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bRES_TMPL\"/>
    </mc:Choice>
  </mc:AlternateContent>
  <xr:revisionPtr revIDLastSave="0" documentId="13_ncr:1_{64A10D13-5283-4393-91D2-07B87C37D0DA}" xr6:coauthVersionLast="47" xr6:coauthVersionMax="47" xr10:uidLastSave="{00000000-0000-0000-0000-000000000000}"/>
  <bookViews>
    <workbookView xWindow="-120" yWindow="-120" windowWidth="25440" windowHeight="15270" firstSheet="9" activeTab="9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Demand" sheetId="5" r:id="rId5"/>
    <sheet name="IND TECH" sheetId="6" r:id="rId6"/>
    <sheet name="&gt;&gt; TIMES" sheetId="7" r:id="rId7"/>
    <sheet name="Def_Tech" sheetId="8" r:id="rId8"/>
    <sheet name="Def_Comm" sheetId="9" r:id="rId9"/>
    <sheet name="TECH IND" sheetId="10" r:id="rId10"/>
  </sheets>
  <definedNames>
    <definedName name="_Fill" localSheetId="2" hidden="1">#REF!</definedName>
    <definedName name="_Fill" localSheetId="4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localSheetId="4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2" hidden="1">{"com_msw",#N/A,FALSE,"Common"}</definedName>
    <definedName name="wrn.com_msw." localSheetId="4" hidden="1">{"com_msw",#N/A,FALSE,"Common"}</definedName>
    <definedName name="wrn.com_msw." hidden="1">{"com_msw",#N/A,FALSE,"Common"}</definedName>
    <definedName name="wrn.msw_1." localSheetId="2" hidden="1">{"msw_1",#N/A,FALSE,"Common"}</definedName>
    <definedName name="wrn.msw_1." localSheetId="4" hidden="1">{"msw_1",#N/A,FALSE,"Common"}</definedName>
    <definedName name="wrn.msw_1." hidden="1">{"msw_1",#N/A,FALSE,"Common"}</definedName>
    <definedName name="wrn.msw_2." localSheetId="2" hidden="1">{"msw_2",#N/A,FALSE,"Common"}</definedName>
    <definedName name="wrn.msw_2." localSheetId="4" hidden="1">{"msw_2",#N/A,FALSE,"Common"}</definedName>
    <definedName name="wrn.msw_2." hidden="1">{"msw_2",#N/A,FALSE,"Common"}</definedName>
    <definedName name="wrn.NATIONAL._.GRID." localSheetId="2" hidden="1">{"NATIONAL GRID",#N/A,FALSE,"Sheet1"}</definedName>
    <definedName name="wrn.NATIONAL._.GRID." localSheetId="4" hidden="1">{"NATIONAL GRID",#N/A,FALSE,"Sheet1"}</definedName>
    <definedName name="wrn.NATIONAL._.GRID." hidden="1">{"NATIONAL GRID",#N/A,FALSE,"Sheet1"}</definedName>
    <definedName name="wrn.regional._.grid." localSheetId="2" hidden="1">{"regional grid",#N/A,FALSE,"Sheet1"}</definedName>
    <definedName name="wrn.regional._.grid." localSheetId="4" hidden="1">{"regional grid",#N/A,FALSE,"Sheet1"}</definedName>
    <definedName name="wrn.regional._.grid." hidden="1">{"regional grid",#N/A,FALSE,"Sheet1"}</definedName>
    <definedName name="wrn.res_mf_msw." localSheetId="2" hidden="1">{"res_mf_mssw",#N/A,FALSE,"Common"}</definedName>
    <definedName name="wrn.res_mf_msw." localSheetId="4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10" l="1"/>
  <c r="L32" i="10"/>
  <c r="K32" i="10"/>
  <c r="J32" i="10"/>
  <c r="I32" i="10"/>
  <c r="H32" i="10"/>
  <c r="G32" i="10"/>
  <c r="F32" i="10"/>
  <c r="E32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M25" i="10"/>
  <c r="N25" i="10" s="1"/>
  <c r="E19" i="10"/>
  <c r="B19" i="10"/>
  <c r="K19" i="10" s="1"/>
  <c r="L19" i="10" s="1"/>
  <c r="B18" i="10"/>
  <c r="E17" i="10"/>
  <c r="B17" i="10"/>
  <c r="K17" i="10" s="1"/>
  <c r="L17" i="10" s="1"/>
  <c r="K16" i="10"/>
  <c r="L16" i="10" s="1"/>
  <c r="I16" i="10"/>
  <c r="J16" i="10" s="1"/>
  <c r="H16" i="10"/>
  <c r="G16" i="10"/>
  <c r="E16" i="10"/>
  <c r="D16" i="10"/>
  <c r="C16" i="10"/>
  <c r="B16" i="10"/>
  <c r="I15" i="10"/>
  <c r="J15" i="10" s="1"/>
  <c r="G15" i="10"/>
  <c r="E15" i="10"/>
  <c r="D15" i="10"/>
  <c r="B15" i="10"/>
  <c r="C15" i="10" s="1"/>
  <c r="E14" i="10"/>
  <c r="B14" i="10"/>
  <c r="E13" i="10"/>
  <c r="B13" i="10"/>
  <c r="K13" i="10" s="1"/>
  <c r="L13" i="10" s="1"/>
  <c r="K12" i="10"/>
  <c r="L12" i="10" s="1"/>
  <c r="H12" i="10"/>
  <c r="E12" i="10"/>
  <c r="B12" i="10"/>
  <c r="I12" i="10" s="1"/>
  <c r="J12" i="10" s="1"/>
  <c r="K11" i="10"/>
  <c r="L11" i="10" s="1"/>
  <c r="J11" i="10"/>
  <c r="I11" i="10"/>
  <c r="G11" i="10"/>
  <c r="E11" i="10"/>
  <c r="B11" i="10"/>
  <c r="H11" i="10" s="1"/>
  <c r="K10" i="10"/>
  <c r="L10" i="10" s="1"/>
  <c r="I10" i="10"/>
  <c r="J10" i="10" s="1"/>
  <c r="H10" i="10"/>
  <c r="G10" i="10"/>
  <c r="E10" i="10"/>
  <c r="D10" i="10"/>
  <c r="C10" i="10"/>
  <c r="B10" i="10"/>
  <c r="I9" i="10"/>
  <c r="J9" i="10" s="1"/>
  <c r="G9" i="10"/>
  <c r="E9" i="10"/>
  <c r="D9" i="10"/>
  <c r="B9" i="10"/>
  <c r="C9" i="10" s="1"/>
  <c r="E8" i="10"/>
  <c r="B8" i="10"/>
  <c r="E7" i="10"/>
  <c r="B7" i="10"/>
  <c r="K7" i="10" s="1"/>
  <c r="L7" i="10" s="1"/>
  <c r="C5" i="9"/>
  <c r="F3349" i="8"/>
  <c r="E3349" i="8" s="1"/>
  <c r="D3349" i="8"/>
  <c r="C3349" i="8"/>
  <c r="F3348" i="8"/>
  <c r="E3348" i="8"/>
  <c r="D3348" i="8"/>
  <c r="C3348" i="8"/>
  <c r="F3347" i="8"/>
  <c r="E3347" i="8" s="1"/>
  <c r="D3347" i="8"/>
  <c r="C3347" i="8"/>
  <c r="F3346" i="8"/>
  <c r="E3346" i="8" s="1"/>
  <c r="D3346" i="8"/>
  <c r="C3346" i="8"/>
  <c r="F3345" i="8"/>
  <c r="E3345" i="8"/>
  <c r="D3345" i="8"/>
  <c r="C3345" i="8"/>
  <c r="F3344" i="8"/>
  <c r="E3344" i="8" s="1"/>
  <c r="D3344" i="8"/>
  <c r="C3344" i="8"/>
  <c r="F3343" i="8"/>
  <c r="E3343" i="8" s="1"/>
  <c r="D3343" i="8"/>
  <c r="C3343" i="8"/>
  <c r="F3342" i="8"/>
  <c r="E3342" i="8"/>
  <c r="D3342" i="8"/>
  <c r="C3342" i="8"/>
  <c r="F3341" i="8"/>
  <c r="E3341" i="8" s="1"/>
  <c r="D3341" i="8"/>
  <c r="C3341" i="8"/>
  <c r="F3340" i="8"/>
  <c r="E3340" i="8" s="1"/>
  <c r="D3340" i="8"/>
  <c r="C3340" i="8"/>
  <c r="F3339" i="8"/>
  <c r="E3339" i="8"/>
  <c r="D3339" i="8"/>
  <c r="C3339" i="8"/>
  <c r="F3338" i="8"/>
  <c r="E3338" i="8" s="1"/>
  <c r="D3338" i="8"/>
  <c r="C3338" i="8"/>
  <c r="F3337" i="8"/>
  <c r="E3337" i="8" s="1"/>
  <c r="D3337" i="8"/>
  <c r="C3337" i="8"/>
  <c r="F3336" i="8"/>
  <c r="E3336" i="8"/>
  <c r="D3336" i="8"/>
  <c r="C3336" i="8"/>
  <c r="F3335" i="8"/>
  <c r="E3335" i="8" s="1"/>
  <c r="D3335" i="8"/>
  <c r="C3335" i="8"/>
  <c r="F3334" i="8"/>
  <c r="E3334" i="8" s="1"/>
  <c r="D3334" i="8"/>
  <c r="C3334" i="8"/>
  <c r="F3333" i="8"/>
  <c r="E3333" i="8"/>
  <c r="D3333" i="8"/>
  <c r="C3333" i="8"/>
  <c r="F3332" i="8"/>
  <c r="E3332" i="8" s="1"/>
  <c r="D3332" i="8"/>
  <c r="C3332" i="8"/>
  <c r="F3331" i="8"/>
  <c r="E3331" i="8" s="1"/>
  <c r="D3331" i="8"/>
  <c r="C3331" i="8"/>
  <c r="F3330" i="8"/>
  <c r="E3330" i="8"/>
  <c r="D3330" i="8"/>
  <c r="C3330" i="8"/>
  <c r="F3329" i="8"/>
  <c r="E3329" i="8" s="1"/>
  <c r="D3329" i="8"/>
  <c r="C3329" i="8"/>
  <c r="F3328" i="8"/>
  <c r="E3328" i="8" s="1"/>
  <c r="D3328" i="8"/>
  <c r="C3328" i="8"/>
  <c r="F3327" i="8"/>
  <c r="E3327" i="8"/>
  <c r="D3327" i="8"/>
  <c r="C3327" i="8"/>
  <c r="F3326" i="8"/>
  <c r="E3326" i="8" s="1"/>
  <c r="D3326" i="8"/>
  <c r="C3326" i="8"/>
  <c r="F3325" i="8"/>
  <c r="E3325" i="8" s="1"/>
  <c r="D3325" i="8"/>
  <c r="C3325" i="8"/>
  <c r="F3324" i="8"/>
  <c r="E3324" i="8"/>
  <c r="D3324" i="8"/>
  <c r="C3324" i="8"/>
  <c r="F3323" i="8"/>
  <c r="E3323" i="8" s="1"/>
  <c r="D3323" i="8"/>
  <c r="C3323" i="8"/>
  <c r="F3322" i="8"/>
  <c r="E3322" i="8" s="1"/>
  <c r="D3322" i="8"/>
  <c r="C3322" i="8"/>
  <c r="F3321" i="8"/>
  <c r="E3321" i="8"/>
  <c r="D3321" i="8"/>
  <c r="C3321" i="8"/>
  <c r="F3320" i="8"/>
  <c r="E3320" i="8" s="1"/>
  <c r="D3320" i="8"/>
  <c r="C3320" i="8"/>
  <c r="F3319" i="8"/>
  <c r="E3319" i="8" s="1"/>
  <c r="D3319" i="8"/>
  <c r="C3319" i="8"/>
  <c r="F3318" i="8"/>
  <c r="E3318" i="8"/>
  <c r="D3318" i="8"/>
  <c r="C3318" i="8"/>
  <c r="C3317" i="8"/>
  <c r="F3316" i="8"/>
  <c r="E3316" i="8"/>
  <c r="D3316" i="8"/>
  <c r="C3316" i="8"/>
  <c r="F3315" i="8"/>
  <c r="E3315" i="8"/>
  <c r="D3315" i="8"/>
  <c r="C3315" i="8"/>
  <c r="F3314" i="8"/>
  <c r="E3314" i="8"/>
  <c r="D3314" i="8"/>
  <c r="C3314" i="8"/>
  <c r="F3313" i="8"/>
  <c r="E3313" i="8"/>
  <c r="D3313" i="8"/>
  <c r="C3313" i="8"/>
  <c r="F3312" i="8"/>
  <c r="E3312" i="8"/>
  <c r="D3312" i="8"/>
  <c r="C3312" i="8"/>
  <c r="F3311" i="8"/>
  <c r="E3311" i="8"/>
  <c r="D3311" i="8"/>
  <c r="C3311" i="8"/>
  <c r="F3310" i="8"/>
  <c r="E3310" i="8"/>
  <c r="D3310" i="8"/>
  <c r="C3310" i="8"/>
  <c r="F3309" i="8"/>
  <c r="E3309" i="8"/>
  <c r="D3309" i="8"/>
  <c r="C3309" i="8"/>
  <c r="F3308" i="8"/>
  <c r="E3308" i="8"/>
  <c r="D3308" i="8"/>
  <c r="C3308" i="8"/>
  <c r="F3307" i="8"/>
  <c r="E3307" i="8"/>
  <c r="D3307" i="8"/>
  <c r="C3307" i="8"/>
  <c r="F3306" i="8"/>
  <c r="E3306" i="8"/>
  <c r="D3306" i="8"/>
  <c r="C3306" i="8"/>
  <c r="F3305" i="8"/>
  <c r="E3305" i="8"/>
  <c r="D3305" i="8"/>
  <c r="C3305" i="8"/>
  <c r="F3304" i="8"/>
  <c r="E3304" i="8"/>
  <c r="D3304" i="8"/>
  <c r="C3304" i="8"/>
  <c r="F3303" i="8"/>
  <c r="E3303" i="8"/>
  <c r="D3303" i="8"/>
  <c r="C3303" i="8"/>
  <c r="F3302" i="8"/>
  <c r="E3302" i="8"/>
  <c r="D3302" i="8"/>
  <c r="C3302" i="8"/>
  <c r="F3301" i="8"/>
  <c r="E3301" i="8"/>
  <c r="D3301" i="8"/>
  <c r="C3301" i="8"/>
  <c r="F3300" i="8"/>
  <c r="E3300" i="8"/>
  <c r="D3300" i="8"/>
  <c r="C3300" i="8"/>
  <c r="F3299" i="8"/>
  <c r="E3299" i="8"/>
  <c r="D3299" i="8"/>
  <c r="C3299" i="8"/>
  <c r="F3298" i="8"/>
  <c r="E3298" i="8"/>
  <c r="D3298" i="8"/>
  <c r="C3298" i="8"/>
  <c r="F3297" i="8"/>
  <c r="E3297" i="8"/>
  <c r="D3297" i="8"/>
  <c r="C3297" i="8"/>
  <c r="F3296" i="8"/>
  <c r="E3296" i="8"/>
  <c r="D3296" i="8"/>
  <c r="C3296" i="8"/>
  <c r="F3295" i="8"/>
  <c r="E3295" i="8"/>
  <c r="D3295" i="8"/>
  <c r="C3295" i="8"/>
  <c r="F3294" i="8"/>
  <c r="E3294" i="8"/>
  <c r="D3294" i="8"/>
  <c r="C3294" i="8"/>
  <c r="F3293" i="8"/>
  <c r="E3293" i="8"/>
  <c r="D3293" i="8"/>
  <c r="C3293" i="8"/>
  <c r="F3292" i="8"/>
  <c r="E3292" i="8"/>
  <c r="D3292" i="8"/>
  <c r="C3292" i="8"/>
  <c r="F3291" i="8"/>
  <c r="E3291" i="8"/>
  <c r="D3291" i="8"/>
  <c r="C3291" i="8"/>
  <c r="F3290" i="8"/>
  <c r="E3290" i="8"/>
  <c r="D3290" i="8"/>
  <c r="C3290" i="8"/>
  <c r="F3289" i="8"/>
  <c r="E3289" i="8"/>
  <c r="D3289" i="8"/>
  <c r="C3289" i="8"/>
  <c r="F3288" i="8"/>
  <c r="E3288" i="8"/>
  <c r="D3288" i="8"/>
  <c r="C3288" i="8"/>
  <c r="F3287" i="8"/>
  <c r="E3287" i="8"/>
  <c r="D3287" i="8"/>
  <c r="C3287" i="8"/>
  <c r="F3286" i="8"/>
  <c r="E3286" i="8"/>
  <c r="D3286" i="8"/>
  <c r="C3286" i="8"/>
  <c r="F3285" i="8"/>
  <c r="E3285" i="8"/>
  <c r="D3285" i="8"/>
  <c r="C3285" i="8"/>
  <c r="F3284" i="8"/>
  <c r="E3284" i="8"/>
  <c r="D3284" i="8"/>
  <c r="C3284" i="8"/>
  <c r="F3283" i="8"/>
  <c r="E3283" i="8"/>
  <c r="D3283" i="8"/>
  <c r="C3283" i="8"/>
  <c r="F3282" i="8"/>
  <c r="E3282" i="8"/>
  <c r="D3282" i="8"/>
  <c r="C3282" i="8"/>
  <c r="F3281" i="8"/>
  <c r="E3281" i="8"/>
  <c r="D3281" i="8"/>
  <c r="C3281" i="8"/>
  <c r="F3280" i="8"/>
  <c r="E3280" i="8"/>
  <c r="D3280" i="8"/>
  <c r="C3280" i="8"/>
  <c r="F3279" i="8"/>
  <c r="E3279" i="8"/>
  <c r="D3279" i="8"/>
  <c r="C3279" i="8"/>
  <c r="F3278" i="8"/>
  <c r="E3278" i="8"/>
  <c r="D3278" i="8"/>
  <c r="C3278" i="8"/>
  <c r="F3277" i="8"/>
  <c r="E3277" i="8"/>
  <c r="D3277" i="8"/>
  <c r="C3277" i="8"/>
  <c r="F3276" i="8"/>
  <c r="E3276" i="8"/>
  <c r="D3276" i="8"/>
  <c r="C3276" i="8"/>
  <c r="F3275" i="8"/>
  <c r="E3275" i="8"/>
  <c r="D3275" i="8"/>
  <c r="C3275" i="8"/>
  <c r="F3274" i="8"/>
  <c r="E3274" i="8"/>
  <c r="D3274" i="8"/>
  <c r="C3274" i="8"/>
  <c r="F3273" i="8"/>
  <c r="E3273" i="8"/>
  <c r="D3273" i="8"/>
  <c r="C3273" i="8"/>
  <c r="F3272" i="8"/>
  <c r="E3272" i="8"/>
  <c r="D3272" i="8"/>
  <c r="C3272" i="8"/>
  <c r="F3271" i="8"/>
  <c r="E3271" i="8"/>
  <c r="D3271" i="8"/>
  <c r="C3271" i="8"/>
  <c r="F3270" i="8"/>
  <c r="E3270" i="8"/>
  <c r="D3270" i="8"/>
  <c r="C3270" i="8"/>
  <c r="F3269" i="8"/>
  <c r="E3269" i="8"/>
  <c r="D3269" i="8"/>
  <c r="C3269" i="8"/>
  <c r="F3268" i="8"/>
  <c r="E3268" i="8"/>
  <c r="D3268" i="8"/>
  <c r="C3268" i="8"/>
  <c r="F3267" i="8"/>
  <c r="E3267" i="8"/>
  <c r="D3267" i="8"/>
  <c r="C3267" i="8"/>
  <c r="F3266" i="8"/>
  <c r="E3266" i="8"/>
  <c r="D3266" i="8"/>
  <c r="C3266" i="8"/>
  <c r="F3265" i="8"/>
  <c r="E3265" i="8"/>
  <c r="D3265" i="8"/>
  <c r="C3265" i="8"/>
  <c r="F3264" i="8"/>
  <c r="E3264" i="8"/>
  <c r="D3264" i="8"/>
  <c r="C3264" i="8"/>
  <c r="F3263" i="8"/>
  <c r="E3263" i="8"/>
  <c r="D3263" i="8"/>
  <c r="C3263" i="8"/>
  <c r="F3262" i="8"/>
  <c r="E3262" i="8"/>
  <c r="D3262" i="8"/>
  <c r="C3262" i="8"/>
  <c r="F3261" i="8"/>
  <c r="E3261" i="8"/>
  <c r="D3261" i="8"/>
  <c r="C3261" i="8"/>
  <c r="F3260" i="8"/>
  <c r="E3260" i="8"/>
  <c r="D3260" i="8"/>
  <c r="C3260" i="8"/>
  <c r="F3259" i="8"/>
  <c r="E3259" i="8"/>
  <c r="D3259" i="8"/>
  <c r="C3259" i="8"/>
  <c r="F3258" i="8"/>
  <c r="E3258" i="8"/>
  <c r="D3258" i="8"/>
  <c r="C3258" i="8"/>
  <c r="F3257" i="8"/>
  <c r="E3257" i="8"/>
  <c r="D3257" i="8"/>
  <c r="C3257" i="8"/>
  <c r="F3256" i="8"/>
  <c r="E3256" i="8"/>
  <c r="D3256" i="8"/>
  <c r="C3256" i="8"/>
  <c r="F3255" i="8"/>
  <c r="E3255" i="8"/>
  <c r="D3255" i="8"/>
  <c r="C3255" i="8"/>
  <c r="F3254" i="8"/>
  <c r="E3254" i="8"/>
  <c r="D3254" i="8"/>
  <c r="C3254" i="8"/>
  <c r="F3253" i="8"/>
  <c r="E3253" i="8"/>
  <c r="D3253" i="8"/>
  <c r="C3253" i="8"/>
  <c r="F3252" i="8"/>
  <c r="E3252" i="8"/>
  <c r="D3252" i="8"/>
  <c r="C3252" i="8"/>
  <c r="F3251" i="8"/>
  <c r="E3251" i="8"/>
  <c r="D3251" i="8"/>
  <c r="C3251" i="8"/>
  <c r="F3250" i="8"/>
  <c r="E3250" i="8"/>
  <c r="D3250" i="8"/>
  <c r="C3250" i="8"/>
  <c r="F3249" i="8"/>
  <c r="E3249" i="8"/>
  <c r="D3249" i="8"/>
  <c r="C3249" i="8"/>
  <c r="F3248" i="8"/>
  <c r="E3248" i="8"/>
  <c r="D3248" i="8"/>
  <c r="C3248" i="8"/>
  <c r="F3247" i="8"/>
  <c r="E3247" i="8"/>
  <c r="D3247" i="8"/>
  <c r="C3247" i="8"/>
  <c r="F3246" i="8"/>
  <c r="E3246" i="8"/>
  <c r="D3246" i="8"/>
  <c r="C3246" i="8"/>
  <c r="F3245" i="8"/>
  <c r="E3245" i="8"/>
  <c r="D3245" i="8"/>
  <c r="C3245" i="8"/>
  <c r="F3244" i="8"/>
  <c r="E3244" i="8"/>
  <c r="D3244" i="8"/>
  <c r="C3244" i="8"/>
  <c r="F3243" i="8"/>
  <c r="E3243" i="8"/>
  <c r="D3243" i="8"/>
  <c r="C3243" i="8"/>
  <c r="F3242" i="8"/>
  <c r="E3242" i="8"/>
  <c r="D3242" i="8"/>
  <c r="C3242" i="8"/>
  <c r="F3241" i="8"/>
  <c r="E3241" i="8"/>
  <c r="D3241" i="8"/>
  <c r="C3241" i="8"/>
  <c r="F3240" i="8"/>
  <c r="E3240" i="8"/>
  <c r="D3240" i="8"/>
  <c r="C3240" i="8"/>
  <c r="F3239" i="8"/>
  <c r="E3239" i="8"/>
  <c r="D3239" i="8"/>
  <c r="C3239" i="8"/>
  <c r="F3238" i="8"/>
  <c r="E3238" i="8"/>
  <c r="D3238" i="8"/>
  <c r="C3238" i="8"/>
  <c r="F3237" i="8"/>
  <c r="E3237" i="8"/>
  <c r="D3237" i="8"/>
  <c r="C3237" i="8"/>
  <c r="F3236" i="8"/>
  <c r="E3236" i="8"/>
  <c r="D3236" i="8"/>
  <c r="C3236" i="8"/>
  <c r="F3235" i="8"/>
  <c r="E3235" i="8"/>
  <c r="D3235" i="8"/>
  <c r="C3235" i="8"/>
  <c r="F3234" i="8"/>
  <c r="E3234" i="8"/>
  <c r="D3234" i="8"/>
  <c r="C3234" i="8"/>
  <c r="F3233" i="8"/>
  <c r="E3233" i="8"/>
  <c r="D3233" i="8"/>
  <c r="C3233" i="8"/>
  <c r="F3232" i="8"/>
  <c r="E3232" i="8"/>
  <c r="D3232" i="8"/>
  <c r="C3232" i="8"/>
  <c r="F3231" i="8"/>
  <c r="E3231" i="8"/>
  <c r="D3231" i="8"/>
  <c r="C3231" i="8"/>
  <c r="F3230" i="8"/>
  <c r="E3230" i="8"/>
  <c r="D3230" i="8"/>
  <c r="C3230" i="8"/>
  <c r="F3229" i="8"/>
  <c r="E3229" i="8"/>
  <c r="D3229" i="8"/>
  <c r="C3229" i="8"/>
  <c r="F3228" i="8"/>
  <c r="E3228" i="8"/>
  <c r="D3228" i="8"/>
  <c r="C3228" i="8"/>
  <c r="F3227" i="8"/>
  <c r="E3227" i="8"/>
  <c r="D3227" i="8"/>
  <c r="C3227" i="8"/>
  <c r="F3226" i="8"/>
  <c r="E3226" i="8"/>
  <c r="D3226" i="8"/>
  <c r="C3226" i="8"/>
  <c r="F3225" i="8"/>
  <c r="E3225" i="8"/>
  <c r="D3225" i="8"/>
  <c r="C3225" i="8"/>
  <c r="F3224" i="8"/>
  <c r="E3224" i="8"/>
  <c r="D3224" i="8"/>
  <c r="C3224" i="8"/>
  <c r="F3223" i="8"/>
  <c r="E3223" i="8"/>
  <c r="D3223" i="8"/>
  <c r="C3223" i="8"/>
  <c r="F3222" i="8"/>
  <c r="E3222" i="8"/>
  <c r="D3222" i="8"/>
  <c r="C3222" i="8"/>
  <c r="F3221" i="8"/>
  <c r="E3221" i="8"/>
  <c r="D3221" i="8"/>
  <c r="C3221" i="8"/>
  <c r="F3220" i="8"/>
  <c r="E3220" i="8"/>
  <c r="D3220" i="8"/>
  <c r="C3220" i="8"/>
  <c r="F3219" i="8"/>
  <c r="E3219" i="8"/>
  <c r="D3219" i="8"/>
  <c r="C3219" i="8"/>
  <c r="F3218" i="8"/>
  <c r="E3218" i="8"/>
  <c r="D3218" i="8"/>
  <c r="C3218" i="8"/>
  <c r="F3217" i="8"/>
  <c r="E3217" i="8"/>
  <c r="D3217" i="8"/>
  <c r="C3217" i="8"/>
  <c r="F3216" i="8"/>
  <c r="E3216" i="8"/>
  <c r="D3216" i="8"/>
  <c r="C3216" i="8"/>
  <c r="F3215" i="8"/>
  <c r="E3215" i="8"/>
  <c r="D3215" i="8"/>
  <c r="C3215" i="8"/>
  <c r="F3214" i="8"/>
  <c r="E3214" i="8"/>
  <c r="D3214" i="8"/>
  <c r="C3214" i="8"/>
  <c r="F3213" i="8"/>
  <c r="E3213" i="8"/>
  <c r="D3213" i="8"/>
  <c r="C3213" i="8"/>
  <c r="F3212" i="8"/>
  <c r="E3212" i="8"/>
  <c r="D3212" i="8"/>
  <c r="C3212" i="8"/>
  <c r="F3211" i="8"/>
  <c r="E3211" i="8"/>
  <c r="D3211" i="8"/>
  <c r="C3211" i="8"/>
  <c r="F3210" i="8"/>
  <c r="E3210" i="8"/>
  <c r="D3210" i="8"/>
  <c r="C3210" i="8"/>
  <c r="F3209" i="8"/>
  <c r="E3209" i="8"/>
  <c r="D3209" i="8"/>
  <c r="C3209" i="8"/>
  <c r="F3208" i="8"/>
  <c r="E3208" i="8"/>
  <c r="D3208" i="8"/>
  <c r="C3208" i="8"/>
  <c r="F3207" i="8"/>
  <c r="E3207" i="8"/>
  <c r="D3207" i="8"/>
  <c r="C3207" i="8"/>
  <c r="F3206" i="8"/>
  <c r="E3206" i="8"/>
  <c r="D3206" i="8"/>
  <c r="C3206" i="8"/>
  <c r="F3205" i="8"/>
  <c r="E3205" i="8"/>
  <c r="D3205" i="8"/>
  <c r="C3205" i="8"/>
  <c r="F3204" i="8"/>
  <c r="E3204" i="8"/>
  <c r="D3204" i="8"/>
  <c r="C3204" i="8"/>
  <c r="F3203" i="8"/>
  <c r="E3203" i="8"/>
  <c r="D3203" i="8"/>
  <c r="C3203" i="8"/>
  <c r="F3202" i="8"/>
  <c r="E3202" i="8"/>
  <c r="D3202" i="8"/>
  <c r="C3202" i="8"/>
  <c r="F3201" i="8"/>
  <c r="E3201" i="8"/>
  <c r="D3201" i="8"/>
  <c r="C3201" i="8"/>
  <c r="F3200" i="8"/>
  <c r="E3200" i="8"/>
  <c r="D3200" i="8"/>
  <c r="C3200" i="8"/>
  <c r="F3199" i="8"/>
  <c r="E3199" i="8"/>
  <c r="D3199" i="8"/>
  <c r="C3199" i="8"/>
  <c r="F3198" i="8"/>
  <c r="E3198" i="8"/>
  <c r="D3198" i="8"/>
  <c r="C3198" i="8"/>
  <c r="F3197" i="8"/>
  <c r="E3197" i="8"/>
  <c r="D3197" i="8"/>
  <c r="C3197" i="8"/>
  <c r="F3196" i="8"/>
  <c r="E3196" i="8"/>
  <c r="D3196" i="8"/>
  <c r="C3196" i="8"/>
  <c r="F3195" i="8"/>
  <c r="E3195" i="8"/>
  <c r="D3195" i="8"/>
  <c r="C3195" i="8"/>
  <c r="F3194" i="8"/>
  <c r="E3194" i="8"/>
  <c r="D3194" i="8"/>
  <c r="C3194" i="8"/>
  <c r="F3193" i="8"/>
  <c r="E3193" i="8"/>
  <c r="D3193" i="8"/>
  <c r="C3193" i="8"/>
  <c r="F3192" i="8"/>
  <c r="E3192" i="8"/>
  <c r="D3192" i="8"/>
  <c r="C3192" i="8"/>
  <c r="F3191" i="8"/>
  <c r="E3191" i="8"/>
  <c r="D3191" i="8"/>
  <c r="C3191" i="8"/>
  <c r="F3190" i="8"/>
  <c r="E3190" i="8"/>
  <c r="D3190" i="8"/>
  <c r="C3190" i="8"/>
  <c r="F3189" i="8"/>
  <c r="E3189" i="8"/>
  <c r="D3189" i="8"/>
  <c r="C3189" i="8"/>
  <c r="F3188" i="8"/>
  <c r="E3188" i="8"/>
  <c r="D3188" i="8"/>
  <c r="C3188" i="8"/>
  <c r="F3187" i="8"/>
  <c r="E3187" i="8"/>
  <c r="D3187" i="8"/>
  <c r="C3187" i="8"/>
  <c r="F3186" i="8"/>
  <c r="E3186" i="8"/>
  <c r="D3186" i="8"/>
  <c r="C3186" i="8"/>
  <c r="F3185" i="8"/>
  <c r="E3185" i="8"/>
  <c r="D3185" i="8"/>
  <c r="C3185" i="8"/>
  <c r="F3184" i="8"/>
  <c r="E3184" i="8"/>
  <c r="D3184" i="8"/>
  <c r="C3184" i="8"/>
  <c r="F3183" i="8"/>
  <c r="E3183" i="8"/>
  <c r="D3183" i="8"/>
  <c r="C3183" i="8"/>
  <c r="F3182" i="8"/>
  <c r="E3182" i="8"/>
  <c r="D3182" i="8"/>
  <c r="C3182" i="8"/>
  <c r="F3181" i="8"/>
  <c r="E3181" i="8"/>
  <c r="D3181" i="8"/>
  <c r="C3181" i="8"/>
  <c r="F3180" i="8"/>
  <c r="E3180" i="8"/>
  <c r="D3180" i="8"/>
  <c r="C3180" i="8"/>
  <c r="F3179" i="8"/>
  <c r="E3179" i="8"/>
  <c r="D3179" i="8"/>
  <c r="C3179" i="8"/>
  <c r="F3178" i="8"/>
  <c r="E3178" i="8"/>
  <c r="D3178" i="8"/>
  <c r="C3178" i="8"/>
  <c r="F3177" i="8"/>
  <c r="E3177" i="8"/>
  <c r="D3177" i="8"/>
  <c r="C3177" i="8"/>
  <c r="F3176" i="8"/>
  <c r="E3176" i="8"/>
  <c r="D3176" i="8"/>
  <c r="C3176" i="8"/>
  <c r="F3175" i="8"/>
  <c r="E3175" i="8"/>
  <c r="D3175" i="8"/>
  <c r="C3175" i="8"/>
  <c r="F3174" i="8"/>
  <c r="E3174" i="8"/>
  <c r="D3174" i="8"/>
  <c r="C3174" i="8"/>
  <c r="F3173" i="8"/>
  <c r="E3173" i="8"/>
  <c r="D3173" i="8"/>
  <c r="C3173" i="8"/>
  <c r="F3172" i="8"/>
  <c r="E3172" i="8"/>
  <c r="D3172" i="8"/>
  <c r="C3172" i="8"/>
  <c r="F3171" i="8"/>
  <c r="E3171" i="8"/>
  <c r="D3171" i="8"/>
  <c r="C3171" i="8"/>
  <c r="F3170" i="8"/>
  <c r="E3170" i="8"/>
  <c r="D3170" i="8"/>
  <c r="C3170" i="8"/>
  <c r="F3169" i="8"/>
  <c r="E3169" i="8"/>
  <c r="D3169" i="8"/>
  <c r="C3169" i="8"/>
  <c r="F3168" i="8"/>
  <c r="E3168" i="8"/>
  <c r="D3168" i="8"/>
  <c r="C3168" i="8"/>
  <c r="F3167" i="8"/>
  <c r="E3167" i="8"/>
  <c r="D3167" i="8"/>
  <c r="C3167" i="8"/>
  <c r="F3166" i="8"/>
  <c r="E3166" i="8"/>
  <c r="D3166" i="8"/>
  <c r="C3166" i="8"/>
  <c r="F3165" i="8"/>
  <c r="E3165" i="8"/>
  <c r="D3165" i="8"/>
  <c r="C3165" i="8"/>
  <c r="F3164" i="8"/>
  <c r="E3164" i="8"/>
  <c r="D3164" i="8"/>
  <c r="C3164" i="8"/>
  <c r="F3163" i="8"/>
  <c r="E3163" i="8"/>
  <c r="D3163" i="8"/>
  <c r="C3163" i="8"/>
  <c r="F3162" i="8"/>
  <c r="E3162" i="8"/>
  <c r="D3162" i="8"/>
  <c r="C3162" i="8"/>
  <c r="F3161" i="8"/>
  <c r="E3161" i="8"/>
  <c r="D3161" i="8"/>
  <c r="C3161" i="8"/>
  <c r="F3160" i="8"/>
  <c r="E3160" i="8"/>
  <c r="D3160" i="8"/>
  <c r="C3160" i="8"/>
  <c r="F3159" i="8"/>
  <c r="E3159" i="8"/>
  <c r="D3159" i="8"/>
  <c r="C3159" i="8"/>
  <c r="F3158" i="8"/>
  <c r="E3158" i="8"/>
  <c r="D3158" i="8"/>
  <c r="C3158" i="8"/>
  <c r="F3157" i="8"/>
  <c r="E3157" i="8"/>
  <c r="D3157" i="8"/>
  <c r="C3157" i="8"/>
  <c r="F3156" i="8"/>
  <c r="E3156" i="8"/>
  <c r="D3156" i="8"/>
  <c r="C3156" i="8"/>
  <c r="F3155" i="8"/>
  <c r="E3155" i="8"/>
  <c r="D3155" i="8"/>
  <c r="C3155" i="8"/>
  <c r="F3154" i="8"/>
  <c r="E3154" i="8"/>
  <c r="D3154" i="8"/>
  <c r="C3154" i="8"/>
  <c r="F3153" i="8"/>
  <c r="E3153" i="8"/>
  <c r="D3153" i="8"/>
  <c r="C3153" i="8"/>
  <c r="F3152" i="8"/>
  <c r="E3152" i="8"/>
  <c r="D3152" i="8"/>
  <c r="C3152" i="8"/>
  <c r="F3151" i="8"/>
  <c r="E3151" i="8"/>
  <c r="D3151" i="8"/>
  <c r="C3151" i="8"/>
  <c r="F3150" i="8"/>
  <c r="E3150" i="8"/>
  <c r="D3150" i="8"/>
  <c r="C3150" i="8"/>
  <c r="F3149" i="8"/>
  <c r="E3149" i="8"/>
  <c r="D3149" i="8"/>
  <c r="C3149" i="8"/>
  <c r="F3148" i="8"/>
  <c r="E3148" i="8"/>
  <c r="D3148" i="8"/>
  <c r="C3148" i="8"/>
  <c r="F3147" i="8"/>
  <c r="E3147" i="8"/>
  <c r="D3147" i="8"/>
  <c r="C3147" i="8"/>
  <c r="F3146" i="8"/>
  <c r="E3146" i="8"/>
  <c r="D3146" i="8"/>
  <c r="C3146" i="8"/>
  <c r="F3145" i="8"/>
  <c r="E3145" i="8"/>
  <c r="D3145" i="8"/>
  <c r="C3145" i="8"/>
  <c r="F3144" i="8"/>
  <c r="E3144" i="8"/>
  <c r="D3144" i="8"/>
  <c r="C3144" i="8"/>
  <c r="F3143" i="8"/>
  <c r="E3143" i="8"/>
  <c r="D3143" i="8"/>
  <c r="C3143" i="8"/>
  <c r="F3142" i="8"/>
  <c r="E3142" i="8"/>
  <c r="D3142" i="8"/>
  <c r="C3142" i="8"/>
  <c r="F3141" i="8"/>
  <c r="E3141" i="8"/>
  <c r="D3141" i="8"/>
  <c r="C3141" i="8"/>
  <c r="F3140" i="8"/>
  <c r="E3140" i="8"/>
  <c r="D3140" i="8"/>
  <c r="C3140" i="8"/>
  <c r="F3139" i="8"/>
  <c r="E3139" i="8"/>
  <c r="D3139" i="8"/>
  <c r="C3139" i="8"/>
  <c r="F3138" i="8"/>
  <c r="E3138" i="8"/>
  <c r="D3138" i="8"/>
  <c r="C3138" i="8"/>
  <c r="F3137" i="8"/>
  <c r="E3137" i="8"/>
  <c r="D3137" i="8"/>
  <c r="C3137" i="8"/>
  <c r="F3136" i="8"/>
  <c r="E3136" i="8"/>
  <c r="D3136" i="8"/>
  <c r="C3136" i="8"/>
  <c r="F3135" i="8"/>
  <c r="E3135" i="8"/>
  <c r="D3135" i="8"/>
  <c r="C3135" i="8"/>
  <c r="F3134" i="8"/>
  <c r="E3134" i="8"/>
  <c r="D3134" i="8"/>
  <c r="C3134" i="8"/>
  <c r="F3133" i="8"/>
  <c r="E3133" i="8"/>
  <c r="D3133" i="8"/>
  <c r="C3133" i="8"/>
  <c r="F3132" i="8"/>
  <c r="E3132" i="8"/>
  <c r="D3132" i="8"/>
  <c r="C3132" i="8"/>
  <c r="F3131" i="8"/>
  <c r="E3131" i="8"/>
  <c r="D3131" i="8"/>
  <c r="C3131" i="8"/>
  <c r="F3130" i="8"/>
  <c r="E3130" i="8"/>
  <c r="D3130" i="8"/>
  <c r="C3130" i="8"/>
  <c r="F3129" i="8"/>
  <c r="E3129" i="8"/>
  <c r="D3129" i="8"/>
  <c r="C3129" i="8"/>
  <c r="F3128" i="8"/>
  <c r="E3128" i="8"/>
  <c r="D3128" i="8"/>
  <c r="C3128" i="8"/>
  <c r="F3127" i="8"/>
  <c r="E3127" i="8"/>
  <c r="D3127" i="8"/>
  <c r="C3127" i="8"/>
  <c r="F3126" i="8"/>
  <c r="E3126" i="8"/>
  <c r="D3126" i="8"/>
  <c r="C3126" i="8"/>
  <c r="F3125" i="8"/>
  <c r="E3125" i="8"/>
  <c r="D3125" i="8"/>
  <c r="C3125" i="8"/>
  <c r="F3124" i="8"/>
  <c r="E3124" i="8"/>
  <c r="D3124" i="8"/>
  <c r="C3124" i="8"/>
  <c r="F3123" i="8"/>
  <c r="E3123" i="8"/>
  <c r="D3123" i="8"/>
  <c r="C3123" i="8"/>
  <c r="F3122" i="8"/>
  <c r="E3122" i="8"/>
  <c r="D3122" i="8"/>
  <c r="C3122" i="8"/>
  <c r="F3121" i="8"/>
  <c r="E3121" i="8"/>
  <c r="D3121" i="8"/>
  <c r="C3121" i="8"/>
  <c r="F3120" i="8"/>
  <c r="E3120" i="8"/>
  <c r="D3120" i="8"/>
  <c r="C3120" i="8"/>
  <c r="F3119" i="8"/>
  <c r="E3119" i="8"/>
  <c r="D3119" i="8"/>
  <c r="C3119" i="8"/>
  <c r="F3118" i="8"/>
  <c r="E3118" i="8"/>
  <c r="D3118" i="8"/>
  <c r="C3118" i="8"/>
  <c r="F3117" i="8"/>
  <c r="E3117" i="8"/>
  <c r="D3117" i="8"/>
  <c r="C3117" i="8"/>
  <c r="F3116" i="8"/>
  <c r="E3116" i="8"/>
  <c r="D3116" i="8"/>
  <c r="C3116" i="8"/>
  <c r="F3115" i="8"/>
  <c r="E3115" i="8"/>
  <c r="D3115" i="8"/>
  <c r="C3115" i="8"/>
  <c r="F3114" i="8"/>
  <c r="E3114" i="8"/>
  <c r="D3114" i="8"/>
  <c r="C3114" i="8"/>
  <c r="F3113" i="8"/>
  <c r="E3113" i="8"/>
  <c r="D3113" i="8"/>
  <c r="C3113" i="8"/>
  <c r="F3112" i="8"/>
  <c r="E3112" i="8"/>
  <c r="D3112" i="8"/>
  <c r="C3112" i="8"/>
  <c r="F3111" i="8"/>
  <c r="E3111" i="8"/>
  <c r="D3111" i="8"/>
  <c r="C3111" i="8"/>
  <c r="F3110" i="8"/>
  <c r="E3110" i="8"/>
  <c r="D3110" i="8"/>
  <c r="C3110" i="8"/>
  <c r="F3109" i="8"/>
  <c r="E3109" i="8"/>
  <c r="D3109" i="8"/>
  <c r="C3109" i="8"/>
  <c r="F3108" i="8"/>
  <c r="E3108" i="8"/>
  <c r="D3108" i="8"/>
  <c r="C3108" i="8"/>
  <c r="F3107" i="8"/>
  <c r="E3107" i="8"/>
  <c r="D3107" i="8"/>
  <c r="C3107" i="8"/>
  <c r="F3106" i="8"/>
  <c r="E3106" i="8"/>
  <c r="D3106" i="8"/>
  <c r="C3106" i="8"/>
  <c r="F3105" i="8"/>
  <c r="E3105" i="8"/>
  <c r="D3105" i="8"/>
  <c r="C3105" i="8"/>
  <c r="F3104" i="8"/>
  <c r="E3104" i="8"/>
  <c r="D3104" i="8"/>
  <c r="C3104" i="8"/>
  <c r="F3103" i="8"/>
  <c r="E3103" i="8"/>
  <c r="D3103" i="8"/>
  <c r="C3103" i="8"/>
  <c r="F3102" i="8"/>
  <c r="E3102" i="8"/>
  <c r="D3102" i="8"/>
  <c r="C3102" i="8"/>
  <c r="F3101" i="8"/>
  <c r="E3101" i="8"/>
  <c r="D3101" i="8"/>
  <c r="C3101" i="8"/>
  <c r="F3100" i="8"/>
  <c r="E3100" i="8"/>
  <c r="D3100" i="8"/>
  <c r="C3100" i="8"/>
  <c r="F3099" i="8"/>
  <c r="E3099" i="8"/>
  <c r="D3099" i="8"/>
  <c r="C3099" i="8"/>
  <c r="F3098" i="8"/>
  <c r="E3098" i="8"/>
  <c r="D3098" i="8"/>
  <c r="C3098" i="8"/>
  <c r="F3097" i="8"/>
  <c r="E3097" i="8"/>
  <c r="D3097" i="8"/>
  <c r="C3097" i="8"/>
  <c r="F3096" i="8"/>
  <c r="E3096" i="8"/>
  <c r="D3096" i="8"/>
  <c r="C3096" i="8"/>
  <c r="F3095" i="8"/>
  <c r="E3095" i="8"/>
  <c r="D3095" i="8"/>
  <c r="C3095" i="8"/>
  <c r="F3094" i="8"/>
  <c r="E3094" i="8"/>
  <c r="D3094" i="8"/>
  <c r="C3094" i="8"/>
  <c r="F3093" i="8"/>
  <c r="E3093" i="8"/>
  <c r="D3093" i="8"/>
  <c r="C3093" i="8"/>
  <c r="F3092" i="8"/>
  <c r="E3092" i="8"/>
  <c r="D3092" i="8"/>
  <c r="C3092" i="8"/>
  <c r="F3091" i="8"/>
  <c r="E3091" i="8"/>
  <c r="D3091" i="8"/>
  <c r="C3091" i="8"/>
  <c r="F3090" i="8"/>
  <c r="E3090" i="8"/>
  <c r="D3090" i="8"/>
  <c r="C3090" i="8"/>
  <c r="F3089" i="8"/>
  <c r="E3089" i="8"/>
  <c r="D3089" i="8"/>
  <c r="C3089" i="8"/>
  <c r="F3088" i="8"/>
  <c r="E3088" i="8"/>
  <c r="D3088" i="8"/>
  <c r="C3088" i="8"/>
  <c r="F3087" i="8"/>
  <c r="E3087" i="8"/>
  <c r="D3087" i="8"/>
  <c r="C3087" i="8"/>
  <c r="F3086" i="8"/>
  <c r="E3086" i="8"/>
  <c r="D3086" i="8"/>
  <c r="C3086" i="8"/>
  <c r="F3085" i="8"/>
  <c r="E3085" i="8"/>
  <c r="D3085" i="8"/>
  <c r="C3085" i="8"/>
  <c r="C3084" i="8"/>
  <c r="F3083" i="8"/>
  <c r="E3083" i="8"/>
  <c r="D3083" i="8"/>
  <c r="C3083" i="8"/>
  <c r="F3082" i="8"/>
  <c r="E3082" i="8"/>
  <c r="D3082" i="8"/>
  <c r="C3082" i="8"/>
  <c r="F3081" i="8"/>
  <c r="E3081" i="8"/>
  <c r="D3081" i="8"/>
  <c r="C3081" i="8"/>
  <c r="F3080" i="8"/>
  <c r="E3080" i="8"/>
  <c r="D3080" i="8"/>
  <c r="C3080" i="8"/>
  <c r="F3079" i="8"/>
  <c r="E3079" i="8"/>
  <c r="D3079" i="8"/>
  <c r="C3079" i="8"/>
  <c r="F3078" i="8"/>
  <c r="E3078" i="8"/>
  <c r="D3078" i="8"/>
  <c r="C3078" i="8"/>
  <c r="F3077" i="8"/>
  <c r="E3077" i="8"/>
  <c r="D3077" i="8"/>
  <c r="C3077" i="8"/>
  <c r="F3076" i="8"/>
  <c r="E3076" i="8"/>
  <c r="D3076" i="8"/>
  <c r="C3076" i="8"/>
  <c r="F3075" i="8"/>
  <c r="E3075" i="8"/>
  <c r="D3075" i="8"/>
  <c r="C3075" i="8"/>
  <c r="F3074" i="8"/>
  <c r="E3074" i="8"/>
  <c r="D3074" i="8"/>
  <c r="C3074" i="8"/>
  <c r="F3073" i="8"/>
  <c r="E3073" i="8"/>
  <c r="D3073" i="8"/>
  <c r="C3073" i="8"/>
  <c r="F3072" i="8"/>
  <c r="E3072" i="8"/>
  <c r="D3072" i="8"/>
  <c r="C3072" i="8"/>
  <c r="F3071" i="8"/>
  <c r="E3071" i="8"/>
  <c r="D3071" i="8"/>
  <c r="C3071" i="8"/>
  <c r="F3070" i="8"/>
  <c r="E3070" i="8"/>
  <c r="D3070" i="8"/>
  <c r="C3070" i="8"/>
  <c r="F3069" i="8"/>
  <c r="E3069" i="8"/>
  <c r="D3069" i="8"/>
  <c r="C3069" i="8"/>
  <c r="F3068" i="8"/>
  <c r="E3068" i="8"/>
  <c r="D3068" i="8"/>
  <c r="C3068" i="8"/>
  <c r="F3067" i="8"/>
  <c r="E3067" i="8"/>
  <c r="D3067" i="8"/>
  <c r="C3067" i="8"/>
  <c r="F3066" i="8"/>
  <c r="E3066" i="8"/>
  <c r="D3066" i="8"/>
  <c r="C3066" i="8"/>
  <c r="F3065" i="8"/>
  <c r="E3065" i="8"/>
  <c r="D3065" i="8"/>
  <c r="C3065" i="8"/>
  <c r="F3064" i="8"/>
  <c r="E3064" i="8"/>
  <c r="D3064" i="8"/>
  <c r="C3064" i="8"/>
  <c r="F3063" i="8"/>
  <c r="E3063" i="8"/>
  <c r="D3063" i="8"/>
  <c r="C3063" i="8"/>
  <c r="F3062" i="8"/>
  <c r="E3062" i="8"/>
  <c r="D3062" i="8"/>
  <c r="C3062" i="8"/>
  <c r="F3061" i="8"/>
  <c r="E3061" i="8"/>
  <c r="D3061" i="8"/>
  <c r="C3061" i="8"/>
  <c r="F3060" i="8"/>
  <c r="E3060" i="8"/>
  <c r="D3060" i="8"/>
  <c r="C3060" i="8"/>
  <c r="F3059" i="8"/>
  <c r="E3059" i="8"/>
  <c r="D3059" i="8"/>
  <c r="C3059" i="8"/>
  <c r="F3058" i="8"/>
  <c r="E3058" i="8"/>
  <c r="D3058" i="8"/>
  <c r="C3058" i="8"/>
  <c r="F3057" i="8"/>
  <c r="E3057" i="8"/>
  <c r="D3057" i="8"/>
  <c r="C3057" i="8"/>
  <c r="F3056" i="8"/>
  <c r="E3056" i="8"/>
  <c r="D3056" i="8"/>
  <c r="C3056" i="8"/>
  <c r="F3055" i="8"/>
  <c r="E3055" i="8"/>
  <c r="D3055" i="8"/>
  <c r="C3055" i="8"/>
  <c r="F3054" i="8"/>
  <c r="E3054" i="8"/>
  <c r="D3054" i="8"/>
  <c r="C3054" i="8"/>
  <c r="F3053" i="8"/>
  <c r="E3053" i="8"/>
  <c r="D3053" i="8"/>
  <c r="C3053" i="8"/>
  <c r="F3052" i="8"/>
  <c r="E3052" i="8"/>
  <c r="D3052" i="8"/>
  <c r="C3052" i="8"/>
  <c r="F3051" i="8"/>
  <c r="E3051" i="8"/>
  <c r="D3051" i="8"/>
  <c r="C3051" i="8"/>
  <c r="F3050" i="8"/>
  <c r="E3050" i="8"/>
  <c r="D3050" i="8"/>
  <c r="C3050" i="8"/>
  <c r="F3049" i="8"/>
  <c r="E3049" i="8"/>
  <c r="D3049" i="8"/>
  <c r="C3049" i="8"/>
  <c r="F3048" i="8"/>
  <c r="E3048" i="8"/>
  <c r="D3048" i="8"/>
  <c r="C3048" i="8"/>
  <c r="F3047" i="8"/>
  <c r="E3047" i="8"/>
  <c r="D3047" i="8"/>
  <c r="C3047" i="8"/>
  <c r="F3046" i="8"/>
  <c r="E3046" i="8"/>
  <c r="D3046" i="8"/>
  <c r="C3046" i="8"/>
  <c r="F3045" i="8"/>
  <c r="E3045" i="8"/>
  <c r="D3045" i="8"/>
  <c r="C3045" i="8"/>
  <c r="F3044" i="8"/>
  <c r="E3044" i="8"/>
  <c r="D3044" i="8"/>
  <c r="C3044" i="8"/>
  <c r="F3043" i="8"/>
  <c r="E3043" i="8"/>
  <c r="D3043" i="8"/>
  <c r="C3043" i="8"/>
  <c r="F3042" i="8"/>
  <c r="E3042" i="8"/>
  <c r="D3042" i="8"/>
  <c r="C3042" i="8"/>
  <c r="F3041" i="8"/>
  <c r="E3041" i="8"/>
  <c r="D3041" i="8"/>
  <c r="C3041" i="8"/>
  <c r="F3040" i="8"/>
  <c r="E3040" i="8"/>
  <c r="D3040" i="8"/>
  <c r="C3040" i="8"/>
  <c r="F3039" i="8"/>
  <c r="E3039" i="8"/>
  <c r="D3039" i="8"/>
  <c r="C3039" i="8"/>
  <c r="F3038" i="8"/>
  <c r="E3038" i="8"/>
  <c r="D3038" i="8"/>
  <c r="C3038" i="8"/>
  <c r="F3037" i="8"/>
  <c r="E3037" i="8"/>
  <c r="D3037" i="8"/>
  <c r="C3037" i="8"/>
  <c r="F3036" i="8"/>
  <c r="E3036" i="8"/>
  <c r="D3036" i="8"/>
  <c r="C3036" i="8"/>
  <c r="F3035" i="8"/>
  <c r="E3035" i="8"/>
  <c r="D3035" i="8"/>
  <c r="C3035" i="8"/>
  <c r="F3034" i="8"/>
  <c r="E3034" i="8"/>
  <c r="D3034" i="8"/>
  <c r="C3034" i="8"/>
  <c r="F3033" i="8"/>
  <c r="E3033" i="8"/>
  <c r="D3033" i="8"/>
  <c r="C3033" i="8"/>
  <c r="F3032" i="8"/>
  <c r="E3032" i="8"/>
  <c r="D3032" i="8"/>
  <c r="C3032" i="8"/>
  <c r="F3031" i="8"/>
  <c r="E3031" i="8"/>
  <c r="D3031" i="8"/>
  <c r="C3031" i="8"/>
  <c r="F3030" i="8"/>
  <c r="E3030" i="8"/>
  <c r="D3030" i="8"/>
  <c r="C3030" i="8"/>
  <c r="F3029" i="8"/>
  <c r="E3029" i="8"/>
  <c r="D3029" i="8"/>
  <c r="C3029" i="8"/>
  <c r="F3028" i="8"/>
  <c r="E3028" i="8"/>
  <c r="D3028" i="8"/>
  <c r="C3028" i="8"/>
  <c r="F3027" i="8"/>
  <c r="E3027" i="8"/>
  <c r="D3027" i="8"/>
  <c r="C3027" i="8"/>
  <c r="F3026" i="8"/>
  <c r="E3026" i="8"/>
  <c r="D3026" i="8"/>
  <c r="C3026" i="8"/>
  <c r="F3025" i="8"/>
  <c r="E3025" i="8"/>
  <c r="D3025" i="8"/>
  <c r="C3025" i="8"/>
  <c r="F3024" i="8"/>
  <c r="E3024" i="8"/>
  <c r="D3024" i="8"/>
  <c r="C3024" i="8"/>
  <c r="F3023" i="8"/>
  <c r="E3023" i="8"/>
  <c r="D3023" i="8"/>
  <c r="C3023" i="8"/>
  <c r="F3022" i="8"/>
  <c r="E3022" i="8"/>
  <c r="D3022" i="8"/>
  <c r="C3022" i="8"/>
  <c r="F3021" i="8"/>
  <c r="E3021" i="8"/>
  <c r="D3021" i="8"/>
  <c r="C3021" i="8"/>
  <c r="F3020" i="8"/>
  <c r="E3020" i="8"/>
  <c r="D3020" i="8"/>
  <c r="C3020" i="8"/>
  <c r="F3019" i="8"/>
  <c r="E3019" i="8"/>
  <c r="D3019" i="8"/>
  <c r="C3019" i="8"/>
  <c r="F3018" i="8"/>
  <c r="E3018" i="8"/>
  <c r="D3018" i="8"/>
  <c r="C3018" i="8"/>
  <c r="F3017" i="8"/>
  <c r="E3017" i="8"/>
  <c r="D3017" i="8"/>
  <c r="C3017" i="8"/>
  <c r="F3016" i="8"/>
  <c r="E3016" i="8"/>
  <c r="D3016" i="8"/>
  <c r="C3016" i="8"/>
  <c r="F3015" i="8"/>
  <c r="E3015" i="8"/>
  <c r="D3015" i="8"/>
  <c r="C3015" i="8"/>
  <c r="F3014" i="8"/>
  <c r="E3014" i="8"/>
  <c r="D3014" i="8"/>
  <c r="C3014" i="8"/>
  <c r="F3013" i="8"/>
  <c r="E3013" i="8"/>
  <c r="D3013" i="8"/>
  <c r="C3013" i="8"/>
  <c r="F3012" i="8"/>
  <c r="E3012" i="8"/>
  <c r="D3012" i="8"/>
  <c r="C3012" i="8"/>
  <c r="F3011" i="8"/>
  <c r="E3011" i="8"/>
  <c r="D3011" i="8"/>
  <c r="C3011" i="8"/>
  <c r="F3010" i="8"/>
  <c r="E3010" i="8"/>
  <c r="D3010" i="8"/>
  <c r="C3010" i="8"/>
  <c r="F3009" i="8"/>
  <c r="E3009" i="8"/>
  <c r="D3009" i="8"/>
  <c r="C3009" i="8"/>
  <c r="F3008" i="8"/>
  <c r="E3008" i="8"/>
  <c r="D3008" i="8"/>
  <c r="C3008" i="8"/>
  <c r="F3007" i="8"/>
  <c r="E3007" i="8"/>
  <c r="D3007" i="8"/>
  <c r="C3007" i="8"/>
  <c r="F3006" i="8"/>
  <c r="E3006" i="8"/>
  <c r="D3006" i="8"/>
  <c r="C3006" i="8"/>
  <c r="F3005" i="8"/>
  <c r="E3005" i="8"/>
  <c r="D3005" i="8"/>
  <c r="C3005" i="8"/>
  <c r="F3004" i="8"/>
  <c r="E3004" i="8"/>
  <c r="D3004" i="8"/>
  <c r="C3004" i="8"/>
  <c r="F3003" i="8"/>
  <c r="E3003" i="8"/>
  <c r="D3003" i="8"/>
  <c r="C3003" i="8"/>
  <c r="F3002" i="8"/>
  <c r="E3002" i="8"/>
  <c r="D3002" i="8"/>
  <c r="C3002" i="8"/>
  <c r="F3001" i="8"/>
  <c r="E3001" i="8"/>
  <c r="D3001" i="8"/>
  <c r="C3001" i="8"/>
  <c r="F3000" i="8"/>
  <c r="E3000" i="8"/>
  <c r="D3000" i="8"/>
  <c r="C3000" i="8"/>
  <c r="F2999" i="8"/>
  <c r="E2999" i="8"/>
  <c r="D2999" i="8"/>
  <c r="C2999" i="8"/>
  <c r="F2998" i="8"/>
  <c r="E2998" i="8"/>
  <c r="D2998" i="8"/>
  <c r="C2998" i="8"/>
  <c r="F2997" i="8"/>
  <c r="E2997" i="8"/>
  <c r="D2997" i="8"/>
  <c r="C2997" i="8"/>
  <c r="F2996" i="8"/>
  <c r="E2996" i="8"/>
  <c r="D2996" i="8"/>
  <c r="C2996" i="8"/>
  <c r="F2995" i="8"/>
  <c r="E2995" i="8"/>
  <c r="D2995" i="8"/>
  <c r="C2995" i="8"/>
  <c r="F2994" i="8"/>
  <c r="E2994" i="8"/>
  <c r="D2994" i="8"/>
  <c r="C2994" i="8"/>
  <c r="F2993" i="8"/>
  <c r="E2993" i="8"/>
  <c r="D2993" i="8"/>
  <c r="C2993" i="8"/>
  <c r="F2992" i="8"/>
  <c r="E2992" i="8"/>
  <c r="D2992" i="8"/>
  <c r="C2992" i="8"/>
  <c r="F2991" i="8"/>
  <c r="E2991" i="8"/>
  <c r="D2991" i="8"/>
  <c r="C2991" i="8"/>
  <c r="F2990" i="8"/>
  <c r="E2990" i="8"/>
  <c r="D2990" i="8"/>
  <c r="C2990" i="8"/>
  <c r="F2989" i="8"/>
  <c r="E2989" i="8"/>
  <c r="D2989" i="8"/>
  <c r="C2989" i="8"/>
  <c r="F2988" i="8"/>
  <c r="E2988" i="8"/>
  <c r="D2988" i="8"/>
  <c r="C2988" i="8"/>
  <c r="F2987" i="8"/>
  <c r="E2987" i="8"/>
  <c r="D2987" i="8"/>
  <c r="C2987" i="8"/>
  <c r="F2986" i="8"/>
  <c r="E2986" i="8"/>
  <c r="D2986" i="8"/>
  <c r="C2986" i="8"/>
  <c r="F2985" i="8"/>
  <c r="E2985" i="8"/>
  <c r="D2985" i="8"/>
  <c r="C2985" i="8"/>
  <c r="F2984" i="8"/>
  <c r="E2984" i="8"/>
  <c r="D2984" i="8"/>
  <c r="C2984" i="8"/>
  <c r="F2983" i="8"/>
  <c r="E2983" i="8"/>
  <c r="D2983" i="8"/>
  <c r="C2983" i="8"/>
  <c r="F2982" i="8"/>
  <c r="E2982" i="8"/>
  <c r="D2982" i="8"/>
  <c r="C2982" i="8"/>
  <c r="F2981" i="8"/>
  <c r="E2981" i="8"/>
  <c r="D2981" i="8"/>
  <c r="C2981" i="8"/>
  <c r="F2980" i="8"/>
  <c r="E2980" i="8"/>
  <c r="D2980" i="8"/>
  <c r="C2980" i="8"/>
  <c r="F2979" i="8"/>
  <c r="E2979" i="8"/>
  <c r="D2979" i="8"/>
  <c r="C2979" i="8"/>
  <c r="F2978" i="8"/>
  <c r="E2978" i="8"/>
  <c r="D2978" i="8"/>
  <c r="C2978" i="8"/>
  <c r="F2977" i="8"/>
  <c r="E2977" i="8"/>
  <c r="D2977" i="8"/>
  <c r="C2977" i="8"/>
  <c r="F2976" i="8"/>
  <c r="E2976" i="8"/>
  <c r="D2976" i="8"/>
  <c r="C2976" i="8"/>
  <c r="F2975" i="8"/>
  <c r="E2975" i="8"/>
  <c r="D2975" i="8"/>
  <c r="C2975" i="8"/>
  <c r="F2974" i="8"/>
  <c r="E2974" i="8"/>
  <c r="D2974" i="8"/>
  <c r="C2974" i="8"/>
  <c r="F2973" i="8"/>
  <c r="E2973" i="8"/>
  <c r="D2973" i="8"/>
  <c r="C2973" i="8"/>
  <c r="F2972" i="8"/>
  <c r="E2972" i="8"/>
  <c r="D2972" i="8"/>
  <c r="C2972" i="8"/>
  <c r="F2971" i="8"/>
  <c r="E2971" i="8"/>
  <c r="D2971" i="8"/>
  <c r="C2971" i="8"/>
  <c r="F2970" i="8"/>
  <c r="E2970" i="8"/>
  <c r="D2970" i="8"/>
  <c r="C2970" i="8"/>
  <c r="F2969" i="8"/>
  <c r="E2969" i="8"/>
  <c r="D2969" i="8"/>
  <c r="C2969" i="8"/>
  <c r="F2968" i="8"/>
  <c r="E2968" i="8"/>
  <c r="D2968" i="8"/>
  <c r="C2968" i="8"/>
  <c r="F2967" i="8"/>
  <c r="E2967" i="8"/>
  <c r="D2967" i="8"/>
  <c r="C2967" i="8"/>
  <c r="F2966" i="8"/>
  <c r="E2966" i="8"/>
  <c r="D2966" i="8"/>
  <c r="C2966" i="8"/>
  <c r="F2965" i="8"/>
  <c r="E2965" i="8"/>
  <c r="D2965" i="8"/>
  <c r="C2965" i="8"/>
  <c r="F2964" i="8"/>
  <c r="E2964" i="8"/>
  <c r="D2964" i="8"/>
  <c r="C2964" i="8"/>
  <c r="F2963" i="8"/>
  <c r="E2963" i="8"/>
  <c r="D2963" i="8"/>
  <c r="C2963" i="8"/>
  <c r="F2962" i="8"/>
  <c r="E2962" i="8"/>
  <c r="D2962" i="8"/>
  <c r="C2962" i="8"/>
  <c r="F2961" i="8"/>
  <c r="E2961" i="8"/>
  <c r="D2961" i="8"/>
  <c r="C2961" i="8"/>
  <c r="F2960" i="8"/>
  <c r="E2960" i="8"/>
  <c r="D2960" i="8"/>
  <c r="C2960" i="8"/>
  <c r="F2959" i="8"/>
  <c r="E2959" i="8"/>
  <c r="D2959" i="8"/>
  <c r="C2959" i="8"/>
  <c r="F2958" i="8"/>
  <c r="E2958" i="8"/>
  <c r="D2958" i="8"/>
  <c r="C2958" i="8"/>
  <c r="F2957" i="8"/>
  <c r="E2957" i="8"/>
  <c r="D2957" i="8"/>
  <c r="C2957" i="8"/>
  <c r="F2956" i="8"/>
  <c r="E2956" i="8"/>
  <c r="D2956" i="8"/>
  <c r="C2956" i="8"/>
  <c r="F2955" i="8"/>
  <c r="E2955" i="8"/>
  <c r="D2955" i="8"/>
  <c r="C2955" i="8"/>
  <c r="F2954" i="8"/>
  <c r="E2954" i="8"/>
  <c r="D2954" i="8"/>
  <c r="C2954" i="8"/>
  <c r="F2953" i="8"/>
  <c r="E2953" i="8"/>
  <c r="D2953" i="8"/>
  <c r="C2953" i="8"/>
  <c r="F2952" i="8"/>
  <c r="E2952" i="8"/>
  <c r="D2952" i="8"/>
  <c r="C2952" i="8"/>
  <c r="F2951" i="8"/>
  <c r="E2951" i="8"/>
  <c r="D2951" i="8"/>
  <c r="C2951" i="8"/>
  <c r="F2950" i="8"/>
  <c r="E2950" i="8"/>
  <c r="D2950" i="8"/>
  <c r="C2950" i="8"/>
  <c r="F2949" i="8"/>
  <c r="E2949" i="8"/>
  <c r="D2949" i="8"/>
  <c r="C2949" i="8"/>
  <c r="F2948" i="8"/>
  <c r="E2948" i="8"/>
  <c r="D2948" i="8"/>
  <c r="C2948" i="8"/>
  <c r="F2947" i="8"/>
  <c r="E2947" i="8"/>
  <c r="D2947" i="8"/>
  <c r="C2947" i="8"/>
  <c r="F2946" i="8"/>
  <c r="E2946" i="8"/>
  <c r="D2946" i="8"/>
  <c r="C2946" i="8"/>
  <c r="F2945" i="8"/>
  <c r="E2945" i="8"/>
  <c r="D2945" i="8"/>
  <c r="C2945" i="8"/>
  <c r="F2944" i="8"/>
  <c r="E2944" i="8"/>
  <c r="D2944" i="8"/>
  <c r="C2944" i="8"/>
  <c r="F2943" i="8"/>
  <c r="E2943" i="8"/>
  <c r="D2943" i="8"/>
  <c r="C2943" i="8"/>
  <c r="F2942" i="8"/>
  <c r="E2942" i="8"/>
  <c r="D2942" i="8"/>
  <c r="C2942" i="8"/>
  <c r="F2941" i="8"/>
  <c r="E2941" i="8"/>
  <c r="D2941" i="8"/>
  <c r="C2941" i="8"/>
  <c r="F2940" i="8"/>
  <c r="E2940" i="8"/>
  <c r="D2940" i="8"/>
  <c r="C2940" i="8"/>
  <c r="F2939" i="8"/>
  <c r="E2939" i="8"/>
  <c r="D2939" i="8"/>
  <c r="C2939" i="8"/>
  <c r="F2938" i="8"/>
  <c r="E2938" i="8"/>
  <c r="D2938" i="8"/>
  <c r="C2938" i="8"/>
  <c r="F2937" i="8"/>
  <c r="E2937" i="8"/>
  <c r="D2937" i="8"/>
  <c r="C2937" i="8"/>
  <c r="F2936" i="8"/>
  <c r="E2936" i="8"/>
  <c r="D2936" i="8"/>
  <c r="C2936" i="8"/>
  <c r="F2935" i="8"/>
  <c r="E2935" i="8"/>
  <c r="D2935" i="8"/>
  <c r="C2935" i="8"/>
  <c r="F2934" i="8"/>
  <c r="E2934" i="8"/>
  <c r="D2934" i="8"/>
  <c r="C2934" i="8"/>
  <c r="F2933" i="8"/>
  <c r="E2933" i="8"/>
  <c r="D2933" i="8"/>
  <c r="C2933" i="8"/>
  <c r="F2932" i="8"/>
  <c r="E2932" i="8"/>
  <c r="D2932" i="8"/>
  <c r="C2932" i="8"/>
  <c r="F2931" i="8"/>
  <c r="E2931" i="8"/>
  <c r="D2931" i="8"/>
  <c r="C2931" i="8"/>
  <c r="F2930" i="8"/>
  <c r="E2930" i="8"/>
  <c r="D2930" i="8"/>
  <c r="C2930" i="8"/>
  <c r="F2929" i="8"/>
  <c r="E2929" i="8"/>
  <c r="D2929" i="8"/>
  <c r="C2929" i="8"/>
  <c r="F2928" i="8"/>
  <c r="E2928" i="8"/>
  <c r="D2928" i="8"/>
  <c r="C2928" i="8"/>
  <c r="F2927" i="8"/>
  <c r="E2927" i="8"/>
  <c r="D2927" i="8"/>
  <c r="C2927" i="8"/>
  <c r="F2926" i="8"/>
  <c r="E2926" i="8"/>
  <c r="D2926" i="8"/>
  <c r="C2926" i="8"/>
  <c r="F2925" i="8"/>
  <c r="E2925" i="8"/>
  <c r="D2925" i="8"/>
  <c r="C2925" i="8"/>
  <c r="F2924" i="8"/>
  <c r="E2924" i="8"/>
  <c r="D2924" i="8"/>
  <c r="C2924" i="8"/>
  <c r="F2923" i="8"/>
  <c r="E2923" i="8"/>
  <c r="D2923" i="8"/>
  <c r="C2923" i="8"/>
  <c r="F2922" i="8"/>
  <c r="E2922" i="8"/>
  <c r="D2922" i="8"/>
  <c r="C2922" i="8"/>
  <c r="F2921" i="8"/>
  <c r="E2921" i="8"/>
  <c r="D2921" i="8"/>
  <c r="C2921" i="8"/>
  <c r="F2920" i="8"/>
  <c r="E2920" i="8"/>
  <c r="D2920" i="8"/>
  <c r="C2920" i="8"/>
  <c r="F2919" i="8"/>
  <c r="E2919" i="8"/>
  <c r="D2919" i="8"/>
  <c r="C2919" i="8"/>
  <c r="F2918" i="8"/>
  <c r="E2918" i="8"/>
  <c r="D2918" i="8"/>
  <c r="C2918" i="8"/>
  <c r="F2917" i="8"/>
  <c r="E2917" i="8"/>
  <c r="D2917" i="8"/>
  <c r="C2917" i="8"/>
  <c r="F2916" i="8"/>
  <c r="E2916" i="8"/>
  <c r="D2916" i="8"/>
  <c r="C2916" i="8"/>
  <c r="F2915" i="8"/>
  <c r="E2915" i="8"/>
  <c r="D2915" i="8"/>
  <c r="C2915" i="8"/>
  <c r="F2914" i="8"/>
  <c r="E2914" i="8"/>
  <c r="D2914" i="8"/>
  <c r="C2914" i="8"/>
  <c r="F2913" i="8"/>
  <c r="E2913" i="8"/>
  <c r="D2913" i="8"/>
  <c r="C2913" i="8"/>
  <c r="F2912" i="8"/>
  <c r="E2912" i="8"/>
  <c r="D2912" i="8"/>
  <c r="C2912" i="8"/>
  <c r="F2911" i="8"/>
  <c r="E2911" i="8"/>
  <c r="D2911" i="8"/>
  <c r="C2911" i="8"/>
  <c r="F2910" i="8"/>
  <c r="E2910" i="8"/>
  <c r="D2910" i="8"/>
  <c r="C2910" i="8"/>
  <c r="F2909" i="8"/>
  <c r="E2909" i="8"/>
  <c r="D2909" i="8"/>
  <c r="C2909" i="8"/>
  <c r="F2908" i="8"/>
  <c r="E2908" i="8"/>
  <c r="D2908" i="8"/>
  <c r="C2908" i="8"/>
  <c r="F2907" i="8"/>
  <c r="E2907" i="8"/>
  <c r="D2907" i="8"/>
  <c r="C2907" i="8"/>
  <c r="F2906" i="8"/>
  <c r="E2906" i="8"/>
  <c r="D2906" i="8"/>
  <c r="C2906" i="8"/>
  <c r="F2905" i="8"/>
  <c r="E2905" i="8"/>
  <c r="D2905" i="8"/>
  <c r="C2905" i="8"/>
  <c r="F2904" i="8"/>
  <c r="E2904" i="8"/>
  <c r="D2904" i="8"/>
  <c r="C2904" i="8"/>
  <c r="F2903" i="8"/>
  <c r="E2903" i="8"/>
  <c r="D2903" i="8"/>
  <c r="C2903" i="8"/>
  <c r="F2902" i="8"/>
  <c r="E2902" i="8"/>
  <c r="D2902" i="8"/>
  <c r="C2902" i="8"/>
  <c r="F2901" i="8"/>
  <c r="E2901" i="8"/>
  <c r="D2901" i="8"/>
  <c r="C2901" i="8"/>
  <c r="F2900" i="8"/>
  <c r="E2900" i="8"/>
  <c r="D2900" i="8"/>
  <c r="C2900" i="8"/>
  <c r="F2899" i="8"/>
  <c r="E2899" i="8"/>
  <c r="D2899" i="8"/>
  <c r="C2899" i="8"/>
  <c r="F2898" i="8"/>
  <c r="E2898" i="8"/>
  <c r="D2898" i="8"/>
  <c r="C2898" i="8"/>
  <c r="F2897" i="8"/>
  <c r="E2897" i="8"/>
  <c r="D2897" i="8"/>
  <c r="C2897" i="8"/>
  <c r="F2896" i="8"/>
  <c r="E2896" i="8"/>
  <c r="D2896" i="8"/>
  <c r="C2896" i="8"/>
  <c r="F2895" i="8"/>
  <c r="E2895" i="8"/>
  <c r="D2895" i="8"/>
  <c r="C2895" i="8"/>
  <c r="F2894" i="8"/>
  <c r="E2894" i="8"/>
  <c r="D2894" i="8"/>
  <c r="C2894" i="8"/>
  <c r="F2893" i="8"/>
  <c r="E2893" i="8"/>
  <c r="D2893" i="8"/>
  <c r="C2893" i="8"/>
  <c r="F2892" i="8"/>
  <c r="E2892" i="8"/>
  <c r="D2892" i="8"/>
  <c r="C2892" i="8"/>
  <c r="F2891" i="8"/>
  <c r="E2891" i="8"/>
  <c r="D2891" i="8"/>
  <c r="C2891" i="8"/>
  <c r="F2890" i="8"/>
  <c r="E2890" i="8"/>
  <c r="D2890" i="8"/>
  <c r="C2890" i="8"/>
  <c r="F2889" i="8"/>
  <c r="E2889" i="8"/>
  <c r="D2889" i="8"/>
  <c r="C2889" i="8"/>
  <c r="F2888" i="8"/>
  <c r="E2888" i="8"/>
  <c r="D2888" i="8"/>
  <c r="C2888" i="8"/>
  <c r="F2887" i="8"/>
  <c r="E2887" i="8"/>
  <c r="D2887" i="8"/>
  <c r="C2887" i="8"/>
  <c r="F2886" i="8"/>
  <c r="E2886" i="8"/>
  <c r="D2886" i="8"/>
  <c r="C2886" i="8"/>
  <c r="F2885" i="8"/>
  <c r="E2885" i="8"/>
  <c r="D2885" i="8"/>
  <c r="C2885" i="8"/>
  <c r="F2884" i="8"/>
  <c r="E2884" i="8"/>
  <c r="D2884" i="8"/>
  <c r="C2884" i="8"/>
  <c r="F2883" i="8"/>
  <c r="E2883" i="8"/>
  <c r="D2883" i="8"/>
  <c r="C2883" i="8"/>
  <c r="F2882" i="8"/>
  <c r="E2882" i="8"/>
  <c r="D2882" i="8"/>
  <c r="C2882" i="8"/>
  <c r="F2881" i="8"/>
  <c r="E2881" i="8"/>
  <c r="D2881" i="8"/>
  <c r="C2881" i="8"/>
  <c r="F2880" i="8"/>
  <c r="E2880" i="8"/>
  <c r="D2880" i="8"/>
  <c r="C2880" i="8"/>
  <c r="F2879" i="8"/>
  <c r="E2879" i="8"/>
  <c r="D2879" i="8"/>
  <c r="C2879" i="8"/>
  <c r="F2878" i="8"/>
  <c r="E2878" i="8"/>
  <c r="D2878" i="8"/>
  <c r="C2878" i="8"/>
  <c r="F2877" i="8"/>
  <c r="E2877" i="8"/>
  <c r="D2877" i="8"/>
  <c r="C2877" i="8"/>
  <c r="F2876" i="8"/>
  <c r="E2876" i="8"/>
  <c r="D2876" i="8"/>
  <c r="C2876" i="8"/>
  <c r="F2875" i="8"/>
  <c r="E2875" i="8"/>
  <c r="D2875" i="8"/>
  <c r="C2875" i="8"/>
  <c r="F2874" i="8"/>
  <c r="E2874" i="8"/>
  <c r="D2874" i="8"/>
  <c r="C2874" i="8"/>
  <c r="F2873" i="8"/>
  <c r="E2873" i="8"/>
  <c r="D2873" i="8"/>
  <c r="C2873" i="8"/>
  <c r="F2872" i="8"/>
  <c r="E2872" i="8"/>
  <c r="D2872" i="8"/>
  <c r="C2872" i="8"/>
  <c r="F2871" i="8"/>
  <c r="E2871" i="8"/>
  <c r="D2871" i="8"/>
  <c r="C2871" i="8"/>
  <c r="F2870" i="8"/>
  <c r="E2870" i="8"/>
  <c r="D2870" i="8"/>
  <c r="C2870" i="8"/>
  <c r="F2869" i="8"/>
  <c r="E2869" i="8"/>
  <c r="D2869" i="8"/>
  <c r="C2869" i="8"/>
  <c r="F2868" i="8"/>
  <c r="E2868" i="8"/>
  <c r="D2868" i="8"/>
  <c r="C2868" i="8"/>
  <c r="F2867" i="8"/>
  <c r="E2867" i="8"/>
  <c r="D2867" i="8"/>
  <c r="C2867" i="8"/>
  <c r="F2866" i="8"/>
  <c r="E2866" i="8"/>
  <c r="D2866" i="8"/>
  <c r="C2866" i="8"/>
  <c r="F2865" i="8"/>
  <c r="E2865" i="8"/>
  <c r="D2865" i="8"/>
  <c r="C2865" i="8"/>
  <c r="F2864" i="8"/>
  <c r="E2864" i="8"/>
  <c r="D2864" i="8"/>
  <c r="C2864" i="8"/>
  <c r="F2863" i="8"/>
  <c r="E2863" i="8"/>
  <c r="D2863" i="8"/>
  <c r="C2863" i="8"/>
  <c r="F2862" i="8"/>
  <c r="E2862" i="8"/>
  <c r="D2862" i="8"/>
  <c r="C2862" i="8"/>
  <c r="F2861" i="8"/>
  <c r="E2861" i="8"/>
  <c r="D2861" i="8"/>
  <c r="C2861" i="8"/>
  <c r="F2860" i="8"/>
  <c r="E2860" i="8"/>
  <c r="D2860" i="8"/>
  <c r="C2860" i="8"/>
  <c r="F2859" i="8"/>
  <c r="E2859" i="8"/>
  <c r="D2859" i="8"/>
  <c r="C2859" i="8"/>
  <c r="F2858" i="8"/>
  <c r="E2858" i="8"/>
  <c r="D2858" i="8"/>
  <c r="C2858" i="8"/>
  <c r="F2857" i="8"/>
  <c r="E2857" i="8"/>
  <c r="D2857" i="8"/>
  <c r="C2857" i="8"/>
  <c r="F2856" i="8"/>
  <c r="E2856" i="8"/>
  <c r="D2856" i="8"/>
  <c r="C2856" i="8"/>
  <c r="F2855" i="8"/>
  <c r="E2855" i="8"/>
  <c r="D2855" i="8"/>
  <c r="C2855" i="8"/>
  <c r="F2854" i="8"/>
  <c r="E2854" i="8"/>
  <c r="D2854" i="8"/>
  <c r="C2854" i="8"/>
  <c r="F2853" i="8"/>
  <c r="E2853" i="8"/>
  <c r="D2853" i="8"/>
  <c r="C2853" i="8"/>
  <c r="F2852" i="8"/>
  <c r="E2852" i="8"/>
  <c r="D2852" i="8"/>
  <c r="C2852" i="8"/>
  <c r="C2851" i="8"/>
  <c r="F2850" i="8"/>
  <c r="E2850" i="8"/>
  <c r="D2850" i="8"/>
  <c r="C2850" i="8"/>
  <c r="F2849" i="8"/>
  <c r="E2849" i="8"/>
  <c r="D2849" i="8"/>
  <c r="C2849" i="8"/>
  <c r="F2848" i="8"/>
  <c r="E2848" i="8" s="1"/>
  <c r="D2848" i="8"/>
  <c r="C2848" i="8"/>
  <c r="F2847" i="8"/>
  <c r="E2847" i="8"/>
  <c r="D2847" i="8"/>
  <c r="C2847" i="8"/>
  <c r="F2846" i="8"/>
  <c r="E2846" i="8"/>
  <c r="D2846" i="8"/>
  <c r="C2846" i="8"/>
  <c r="F2845" i="8"/>
  <c r="E2845" i="8" s="1"/>
  <c r="D2845" i="8"/>
  <c r="C2845" i="8"/>
  <c r="F2844" i="8"/>
  <c r="E2844" i="8" s="1"/>
  <c r="D2844" i="8"/>
  <c r="C2844" i="8"/>
  <c r="F2843" i="8"/>
  <c r="E2843" i="8" s="1"/>
  <c r="D2843" i="8"/>
  <c r="C2843" i="8"/>
  <c r="F2842" i="8"/>
  <c r="E2842" i="8" s="1"/>
  <c r="D2842" i="8"/>
  <c r="C2842" i="8"/>
  <c r="F2841" i="8"/>
  <c r="E2841" i="8"/>
  <c r="D2841" i="8"/>
  <c r="C2841" i="8"/>
  <c r="F2840" i="8"/>
  <c r="E2840" i="8" s="1"/>
  <c r="D2840" i="8"/>
  <c r="C2840" i="8"/>
  <c r="F2839" i="8"/>
  <c r="E2839" i="8" s="1"/>
  <c r="D2839" i="8"/>
  <c r="C2839" i="8"/>
  <c r="F2838" i="8"/>
  <c r="E2838" i="8"/>
  <c r="D2838" i="8"/>
  <c r="C2838" i="8"/>
  <c r="F2837" i="8"/>
  <c r="E2837" i="8"/>
  <c r="D2837" i="8"/>
  <c r="C2837" i="8"/>
  <c r="F2836" i="8"/>
  <c r="E2836" i="8" s="1"/>
  <c r="D2836" i="8"/>
  <c r="C2836" i="8"/>
  <c r="F2835" i="8"/>
  <c r="E2835" i="8"/>
  <c r="D2835" i="8"/>
  <c r="C2835" i="8"/>
  <c r="F2834" i="8"/>
  <c r="E2834" i="8"/>
  <c r="D2834" i="8"/>
  <c r="C2834" i="8"/>
  <c r="F2833" i="8"/>
  <c r="E2833" i="8" s="1"/>
  <c r="D2833" i="8"/>
  <c r="C2833" i="8"/>
  <c r="F2832" i="8"/>
  <c r="E2832" i="8"/>
  <c r="D2832" i="8"/>
  <c r="C2832" i="8"/>
  <c r="F2831" i="8"/>
  <c r="E2831" i="8" s="1"/>
  <c r="D2831" i="8"/>
  <c r="C2831" i="8"/>
  <c r="F2830" i="8"/>
  <c r="E2830" i="8" s="1"/>
  <c r="D2830" i="8"/>
  <c r="C2830" i="8"/>
  <c r="F2829" i="8"/>
  <c r="E2829" i="8" s="1"/>
  <c r="D2829" i="8"/>
  <c r="C2829" i="8"/>
  <c r="F2828" i="8"/>
  <c r="E2828" i="8" s="1"/>
  <c r="D2828" i="8"/>
  <c r="C2828" i="8"/>
  <c r="F2827" i="8"/>
  <c r="E2827" i="8" s="1"/>
  <c r="D2827" i="8"/>
  <c r="C2827" i="8"/>
  <c r="F2826" i="8"/>
  <c r="E2826" i="8" s="1"/>
  <c r="D2826" i="8"/>
  <c r="C2826" i="8"/>
  <c r="F2825" i="8"/>
  <c r="E2825" i="8"/>
  <c r="D2825" i="8"/>
  <c r="C2825" i="8"/>
  <c r="F2824" i="8"/>
  <c r="E2824" i="8" s="1"/>
  <c r="D2824" i="8"/>
  <c r="C2824" i="8"/>
  <c r="F2823" i="8"/>
  <c r="E2823" i="8"/>
  <c r="D2823" i="8"/>
  <c r="C2823" i="8"/>
  <c r="F2822" i="8"/>
  <c r="E2822" i="8"/>
  <c r="D2822" i="8"/>
  <c r="C2822" i="8"/>
  <c r="F2821" i="8"/>
  <c r="E2821" i="8" s="1"/>
  <c r="D2821" i="8"/>
  <c r="C2821" i="8"/>
  <c r="F2820" i="8"/>
  <c r="E2820" i="8"/>
  <c r="D2820" i="8"/>
  <c r="C2820" i="8"/>
  <c r="F2819" i="8"/>
  <c r="E2819" i="8"/>
  <c r="D2819" i="8"/>
  <c r="C2819" i="8"/>
  <c r="F2818" i="8"/>
  <c r="E2818" i="8" s="1"/>
  <c r="D2818" i="8"/>
  <c r="C2818" i="8"/>
  <c r="F2817" i="8"/>
  <c r="E2817" i="8" s="1"/>
  <c r="D2817" i="8"/>
  <c r="C2817" i="8"/>
  <c r="F2816" i="8"/>
  <c r="E2816" i="8" s="1"/>
  <c r="D2816" i="8"/>
  <c r="C2816" i="8"/>
  <c r="F2815" i="8"/>
  <c r="E2815" i="8" s="1"/>
  <c r="D2815" i="8"/>
  <c r="C2815" i="8"/>
  <c r="F2814" i="8"/>
  <c r="E2814" i="8"/>
  <c r="D2814" i="8"/>
  <c r="C2814" i="8"/>
  <c r="F2813" i="8"/>
  <c r="E2813" i="8" s="1"/>
  <c r="D2813" i="8"/>
  <c r="C2813" i="8"/>
  <c r="F2812" i="8"/>
  <c r="E2812" i="8" s="1"/>
  <c r="D2812" i="8"/>
  <c r="C2812" i="8"/>
  <c r="F2811" i="8"/>
  <c r="E2811" i="8"/>
  <c r="D2811" i="8"/>
  <c r="C2811" i="8"/>
  <c r="F2810" i="8"/>
  <c r="E2810" i="8"/>
  <c r="D2810" i="8"/>
  <c r="C2810" i="8"/>
  <c r="F2809" i="8"/>
  <c r="E2809" i="8" s="1"/>
  <c r="D2809" i="8"/>
  <c r="C2809" i="8"/>
  <c r="F2808" i="8"/>
  <c r="E2808" i="8" s="1"/>
  <c r="D2808" i="8"/>
  <c r="C2808" i="8"/>
  <c r="F2807" i="8"/>
  <c r="E2807" i="8" s="1"/>
  <c r="D2807" i="8"/>
  <c r="C2807" i="8"/>
  <c r="F2806" i="8"/>
  <c r="E2806" i="8" s="1"/>
  <c r="D2806" i="8"/>
  <c r="C2806" i="8"/>
  <c r="F2805" i="8"/>
  <c r="E2805" i="8"/>
  <c r="D2805" i="8"/>
  <c r="C2805" i="8"/>
  <c r="F2804" i="8"/>
  <c r="E2804" i="8"/>
  <c r="D2804" i="8"/>
  <c r="C2804" i="8"/>
  <c r="F2803" i="8"/>
  <c r="E2803" i="8" s="1"/>
  <c r="D2803" i="8"/>
  <c r="C2803" i="8"/>
  <c r="F2802" i="8"/>
  <c r="E2802" i="8" s="1"/>
  <c r="D2802" i="8"/>
  <c r="C2802" i="8"/>
  <c r="F2801" i="8"/>
  <c r="E2801" i="8"/>
  <c r="D2801" i="8"/>
  <c r="C2801" i="8"/>
  <c r="F2800" i="8"/>
  <c r="E2800" i="8" s="1"/>
  <c r="D2800" i="8"/>
  <c r="C2800" i="8"/>
  <c r="F2799" i="8"/>
  <c r="E2799" i="8"/>
  <c r="D2799" i="8"/>
  <c r="C2799" i="8"/>
  <c r="F2798" i="8"/>
  <c r="E2798" i="8"/>
  <c r="D2798" i="8"/>
  <c r="C2798" i="8"/>
  <c r="F2797" i="8"/>
  <c r="E2797" i="8" s="1"/>
  <c r="D2797" i="8"/>
  <c r="C2797" i="8"/>
  <c r="F2796" i="8"/>
  <c r="E2796" i="8"/>
  <c r="D2796" i="8"/>
  <c r="C2796" i="8"/>
  <c r="F2795" i="8"/>
  <c r="E2795" i="8" s="1"/>
  <c r="D2795" i="8"/>
  <c r="C2795" i="8"/>
  <c r="F2794" i="8"/>
  <c r="E2794" i="8" s="1"/>
  <c r="D2794" i="8"/>
  <c r="C2794" i="8"/>
  <c r="F2793" i="8"/>
  <c r="E2793" i="8" s="1"/>
  <c r="D2793" i="8"/>
  <c r="C2793" i="8"/>
  <c r="F2792" i="8"/>
  <c r="E2792" i="8"/>
  <c r="D2792" i="8"/>
  <c r="C2792" i="8"/>
  <c r="F2791" i="8"/>
  <c r="E2791" i="8" s="1"/>
  <c r="D2791" i="8"/>
  <c r="C2791" i="8"/>
  <c r="F2790" i="8"/>
  <c r="E2790" i="8" s="1"/>
  <c r="D2790" i="8"/>
  <c r="C2790" i="8"/>
  <c r="F2789" i="8"/>
  <c r="E2789" i="8" s="1"/>
  <c r="D2789" i="8"/>
  <c r="C2789" i="8"/>
  <c r="F2788" i="8"/>
  <c r="E2788" i="8" s="1"/>
  <c r="D2788" i="8"/>
  <c r="C2788" i="8"/>
  <c r="F2787" i="8"/>
  <c r="E2787" i="8"/>
  <c r="D2787" i="8"/>
  <c r="C2787" i="8"/>
  <c r="F2786" i="8"/>
  <c r="E2786" i="8"/>
  <c r="D2786" i="8"/>
  <c r="C2786" i="8"/>
  <c r="F2785" i="8"/>
  <c r="E2785" i="8" s="1"/>
  <c r="D2785" i="8"/>
  <c r="C2785" i="8"/>
  <c r="F2784" i="8"/>
  <c r="E2784" i="8"/>
  <c r="D2784" i="8"/>
  <c r="C2784" i="8"/>
  <c r="F2783" i="8"/>
  <c r="E2783" i="8"/>
  <c r="D2783" i="8"/>
  <c r="C2783" i="8"/>
  <c r="F2782" i="8"/>
  <c r="E2782" i="8" s="1"/>
  <c r="D2782" i="8"/>
  <c r="C2782" i="8"/>
  <c r="F2781" i="8"/>
  <c r="E2781" i="8" s="1"/>
  <c r="D2781" i="8"/>
  <c r="C2781" i="8"/>
  <c r="F2780" i="8"/>
  <c r="E2780" i="8" s="1"/>
  <c r="D2780" i="8"/>
  <c r="C2780" i="8"/>
  <c r="F2779" i="8"/>
  <c r="E2779" i="8" s="1"/>
  <c r="D2779" i="8"/>
  <c r="C2779" i="8"/>
  <c r="F2778" i="8"/>
  <c r="E2778" i="8"/>
  <c r="D2778" i="8"/>
  <c r="C2778" i="8"/>
  <c r="F2777" i="8"/>
  <c r="E2777" i="8"/>
  <c r="D2777" i="8"/>
  <c r="C2777" i="8"/>
  <c r="F2776" i="8"/>
  <c r="E2776" i="8" s="1"/>
  <c r="D2776" i="8"/>
  <c r="C2776" i="8"/>
  <c r="F2775" i="8"/>
  <c r="E2775" i="8"/>
  <c r="D2775" i="8"/>
  <c r="C2775" i="8"/>
  <c r="F2774" i="8"/>
  <c r="E2774" i="8"/>
  <c r="D2774" i="8"/>
  <c r="C2774" i="8"/>
  <c r="F2773" i="8"/>
  <c r="E2773" i="8" s="1"/>
  <c r="D2773" i="8"/>
  <c r="C2773" i="8"/>
  <c r="F2772" i="8"/>
  <c r="E2772" i="8"/>
  <c r="D2772" i="8"/>
  <c r="C2772" i="8"/>
  <c r="F2771" i="8"/>
  <c r="E2771" i="8" s="1"/>
  <c r="D2771" i="8"/>
  <c r="C2771" i="8"/>
  <c r="F2770" i="8"/>
  <c r="E2770" i="8" s="1"/>
  <c r="D2770" i="8"/>
  <c r="C2770" i="8"/>
  <c r="F2769" i="8"/>
  <c r="E2769" i="8" s="1"/>
  <c r="D2769" i="8"/>
  <c r="C2769" i="8"/>
  <c r="F2768" i="8"/>
  <c r="E2768" i="8"/>
  <c r="D2768" i="8"/>
  <c r="C2768" i="8"/>
  <c r="F2767" i="8"/>
  <c r="E2767" i="8" s="1"/>
  <c r="D2767" i="8"/>
  <c r="C2767" i="8"/>
  <c r="F2766" i="8"/>
  <c r="E2766" i="8"/>
  <c r="D2766" i="8"/>
  <c r="C2766" i="8"/>
  <c r="F2765" i="8"/>
  <c r="E2765" i="8" s="1"/>
  <c r="D2765" i="8"/>
  <c r="C2765" i="8"/>
  <c r="F2764" i="8"/>
  <c r="E2764" i="8" s="1"/>
  <c r="D2764" i="8"/>
  <c r="C2764" i="8"/>
  <c r="F2763" i="8"/>
  <c r="E2763" i="8"/>
  <c r="D2763" i="8"/>
  <c r="C2763" i="8"/>
  <c r="F2762" i="8"/>
  <c r="E2762" i="8"/>
  <c r="D2762" i="8"/>
  <c r="C2762" i="8"/>
  <c r="F2761" i="8"/>
  <c r="E2761" i="8" s="1"/>
  <c r="D2761" i="8"/>
  <c r="C2761" i="8"/>
  <c r="F2760" i="8"/>
  <c r="E2760" i="8"/>
  <c r="D2760" i="8"/>
  <c r="C2760" i="8"/>
  <c r="F2759" i="8"/>
  <c r="E2759" i="8"/>
  <c r="D2759" i="8"/>
  <c r="C2759" i="8"/>
  <c r="F2758" i="8"/>
  <c r="E2758" i="8" s="1"/>
  <c r="D2758" i="8"/>
  <c r="C2758" i="8"/>
  <c r="F2757" i="8"/>
  <c r="E2757" i="8" s="1"/>
  <c r="D2757" i="8"/>
  <c r="C2757" i="8"/>
  <c r="F2756" i="8"/>
  <c r="E2756" i="8" s="1"/>
  <c r="D2756" i="8"/>
  <c r="C2756" i="8"/>
  <c r="F2755" i="8"/>
  <c r="E2755" i="8" s="1"/>
  <c r="D2755" i="8"/>
  <c r="C2755" i="8"/>
  <c r="F2754" i="8"/>
  <c r="E2754" i="8"/>
  <c r="D2754" i="8"/>
  <c r="C2754" i="8"/>
  <c r="F2753" i="8"/>
  <c r="E2753" i="8"/>
  <c r="D2753" i="8"/>
  <c r="C2753" i="8"/>
  <c r="F2752" i="8"/>
  <c r="E2752" i="8" s="1"/>
  <c r="D2752" i="8"/>
  <c r="C2752" i="8"/>
  <c r="F2751" i="8"/>
  <c r="E2751" i="8" s="1"/>
  <c r="D2751" i="8"/>
  <c r="C2751" i="8"/>
  <c r="F2750" i="8"/>
  <c r="E2750" i="8"/>
  <c r="D2750" i="8"/>
  <c r="C2750" i="8"/>
  <c r="F2749" i="8"/>
  <c r="E2749" i="8" s="1"/>
  <c r="D2749" i="8"/>
  <c r="C2749" i="8"/>
  <c r="F2748" i="8"/>
  <c r="E2748" i="8" s="1"/>
  <c r="D2748" i="8"/>
  <c r="C2748" i="8"/>
  <c r="F2747" i="8"/>
  <c r="E2747" i="8"/>
  <c r="D2747" i="8"/>
  <c r="C2747" i="8"/>
  <c r="F2746" i="8"/>
  <c r="E2746" i="8" s="1"/>
  <c r="D2746" i="8"/>
  <c r="C2746" i="8"/>
  <c r="F2745" i="8"/>
  <c r="E2745" i="8"/>
  <c r="D2745" i="8"/>
  <c r="C2745" i="8"/>
  <c r="F2744" i="8"/>
  <c r="E2744" i="8" s="1"/>
  <c r="D2744" i="8"/>
  <c r="C2744" i="8"/>
  <c r="F2743" i="8"/>
  <c r="E2743" i="8" s="1"/>
  <c r="D2743" i="8"/>
  <c r="C2743" i="8"/>
  <c r="F2742" i="8"/>
  <c r="E2742" i="8"/>
  <c r="D2742" i="8"/>
  <c r="C2742" i="8"/>
  <c r="F2741" i="8"/>
  <c r="E2741" i="8" s="1"/>
  <c r="D2741" i="8"/>
  <c r="C2741" i="8"/>
  <c r="F2740" i="8"/>
  <c r="E2740" i="8" s="1"/>
  <c r="D2740" i="8"/>
  <c r="C2740" i="8"/>
  <c r="F2739" i="8"/>
  <c r="E2739" i="8" s="1"/>
  <c r="D2739" i="8"/>
  <c r="C2739" i="8"/>
  <c r="F2738" i="8"/>
  <c r="E2738" i="8"/>
  <c r="D2738" i="8"/>
  <c r="C2738" i="8"/>
  <c r="F2737" i="8"/>
  <c r="E2737" i="8" s="1"/>
  <c r="D2737" i="8"/>
  <c r="C2737" i="8"/>
  <c r="F2736" i="8"/>
  <c r="E2736" i="8" s="1"/>
  <c r="D2736" i="8"/>
  <c r="C2736" i="8"/>
  <c r="F2735" i="8"/>
  <c r="E2735" i="8" s="1"/>
  <c r="D2735" i="8"/>
  <c r="C2735" i="8"/>
  <c r="F2734" i="8"/>
  <c r="E2734" i="8" s="1"/>
  <c r="D2734" i="8"/>
  <c r="C2734" i="8"/>
  <c r="F2733" i="8"/>
  <c r="E2733" i="8"/>
  <c r="D2733" i="8"/>
  <c r="C2733" i="8"/>
  <c r="F2732" i="8"/>
  <c r="E2732" i="8" s="1"/>
  <c r="D2732" i="8"/>
  <c r="C2732" i="8"/>
  <c r="F2731" i="8"/>
  <c r="E2731" i="8" s="1"/>
  <c r="D2731" i="8"/>
  <c r="C2731" i="8"/>
  <c r="F2730" i="8"/>
  <c r="E2730" i="8" s="1"/>
  <c r="D2730" i="8"/>
  <c r="C2730" i="8"/>
  <c r="F2729" i="8"/>
  <c r="E2729" i="8"/>
  <c r="D2729" i="8"/>
  <c r="C2729" i="8"/>
  <c r="F2728" i="8"/>
  <c r="E2728" i="8" s="1"/>
  <c r="D2728" i="8"/>
  <c r="C2728" i="8"/>
  <c r="F2727" i="8"/>
  <c r="E2727" i="8"/>
  <c r="D2727" i="8"/>
  <c r="C2727" i="8"/>
  <c r="F2726" i="8"/>
  <c r="E2726" i="8" s="1"/>
  <c r="D2726" i="8"/>
  <c r="C2726" i="8"/>
  <c r="F2725" i="8"/>
  <c r="E2725" i="8" s="1"/>
  <c r="D2725" i="8"/>
  <c r="C2725" i="8"/>
  <c r="F2724" i="8"/>
  <c r="E2724" i="8"/>
  <c r="D2724" i="8"/>
  <c r="C2724" i="8"/>
  <c r="F2723" i="8"/>
  <c r="E2723" i="8" s="1"/>
  <c r="D2723" i="8"/>
  <c r="C2723" i="8"/>
  <c r="F2722" i="8"/>
  <c r="E2722" i="8" s="1"/>
  <c r="D2722" i="8"/>
  <c r="C2722" i="8"/>
  <c r="F2721" i="8"/>
  <c r="E2721" i="8" s="1"/>
  <c r="D2721" i="8"/>
  <c r="C2721" i="8"/>
  <c r="F2720" i="8"/>
  <c r="E2720" i="8" s="1"/>
  <c r="D2720" i="8"/>
  <c r="C2720" i="8"/>
  <c r="F2719" i="8"/>
  <c r="E2719" i="8" s="1"/>
  <c r="D2719" i="8"/>
  <c r="C2719" i="8"/>
  <c r="F2718" i="8"/>
  <c r="E2718" i="8"/>
  <c r="D2718" i="8"/>
  <c r="C2718" i="8"/>
  <c r="F2717" i="8"/>
  <c r="E2717" i="8"/>
  <c r="D2717" i="8"/>
  <c r="C2717" i="8"/>
  <c r="F2716" i="8"/>
  <c r="E2716" i="8" s="1"/>
  <c r="D2716" i="8"/>
  <c r="C2716" i="8"/>
  <c r="F2715" i="8"/>
  <c r="E2715" i="8"/>
  <c r="D2715" i="8"/>
  <c r="C2715" i="8"/>
  <c r="F2714" i="8"/>
  <c r="E2714" i="8"/>
  <c r="D2714" i="8"/>
  <c r="C2714" i="8"/>
  <c r="F2713" i="8"/>
  <c r="E2713" i="8" s="1"/>
  <c r="D2713" i="8"/>
  <c r="C2713" i="8"/>
  <c r="F2712" i="8"/>
  <c r="E2712" i="8" s="1"/>
  <c r="D2712" i="8"/>
  <c r="C2712" i="8"/>
  <c r="F2711" i="8"/>
  <c r="E2711" i="8"/>
  <c r="D2711" i="8"/>
  <c r="C2711" i="8"/>
  <c r="F2710" i="8"/>
  <c r="E2710" i="8" s="1"/>
  <c r="D2710" i="8"/>
  <c r="C2710" i="8"/>
  <c r="F2709" i="8"/>
  <c r="E2709" i="8"/>
  <c r="D2709" i="8"/>
  <c r="C2709" i="8"/>
  <c r="F2708" i="8"/>
  <c r="E2708" i="8" s="1"/>
  <c r="D2708" i="8"/>
  <c r="C2708" i="8"/>
  <c r="F2707" i="8"/>
  <c r="E2707" i="8" s="1"/>
  <c r="D2707" i="8"/>
  <c r="C2707" i="8"/>
  <c r="F2706" i="8"/>
  <c r="E2706" i="8"/>
  <c r="D2706" i="8"/>
  <c r="C2706" i="8"/>
  <c r="F2705" i="8"/>
  <c r="E2705" i="8"/>
  <c r="D2705" i="8"/>
  <c r="C2705" i="8"/>
  <c r="F2704" i="8"/>
  <c r="E2704" i="8" s="1"/>
  <c r="D2704" i="8"/>
  <c r="C2704" i="8"/>
  <c r="F2703" i="8"/>
  <c r="E2703" i="8"/>
  <c r="D2703" i="8"/>
  <c r="C2703" i="8"/>
  <c r="F2702" i="8"/>
  <c r="E2702" i="8" s="1"/>
  <c r="D2702" i="8"/>
  <c r="C2702" i="8"/>
  <c r="F2701" i="8"/>
  <c r="E2701" i="8" s="1"/>
  <c r="D2701" i="8"/>
  <c r="C2701" i="8"/>
  <c r="F2700" i="8"/>
  <c r="E2700" i="8" s="1"/>
  <c r="D2700" i="8"/>
  <c r="C2700" i="8"/>
  <c r="F2699" i="8"/>
  <c r="E2699" i="8"/>
  <c r="D2699" i="8"/>
  <c r="C2699" i="8"/>
  <c r="F2698" i="8"/>
  <c r="E2698" i="8" s="1"/>
  <c r="D2698" i="8"/>
  <c r="C2698" i="8"/>
  <c r="F2697" i="8"/>
  <c r="E2697" i="8"/>
  <c r="D2697" i="8"/>
  <c r="C2697" i="8"/>
  <c r="F2696" i="8"/>
  <c r="E2696" i="8" s="1"/>
  <c r="D2696" i="8"/>
  <c r="C2696" i="8"/>
  <c r="F2695" i="8"/>
  <c r="E2695" i="8" s="1"/>
  <c r="D2695" i="8"/>
  <c r="C2695" i="8"/>
  <c r="F2694" i="8"/>
  <c r="E2694" i="8"/>
  <c r="D2694" i="8"/>
  <c r="C2694" i="8"/>
  <c r="F2693" i="8"/>
  <c r="E2693" i="8" s="1"/>
  <c r="D2693" i="8"/>
  <c r="C2693" i="8"/>
  <c r="F2692" i="8"/>
  <c r="E2692" i="8" s="1"/>
  <c r="D2692" i="8"/>
  <c r="C2692" i="8"/>
  <c r="F2691" i="8"/>
  <c r="E2691" i="8"/>
  <c r="D2691" i="8"/>
  <c r="C2691" i="8"/>
  <c r="F2690" i="8"/>
  <c r="E2690" i="8"/>
  <c r="D2690" i="8"/>
  <c r="C2690" i="8"/>
  <c r="F2689" i="8"/>
  <c r="E2689" i="8" s="1"/>
  <c r="D2689" i="8"/>
  <c r="C2689" i="8"/>
  <c r="F2688" i="8"/>
  <c r="E2688" i="8"/>
  <c r="D2688" i="8"/>
  <c r="C2688" i="8"/>
  <c r="F2687" i="8"/>
  <c r="E2687" i="8" s="1"/>
  <c r="D2687" i="8"/>
  <c r="C2687" i="8"/>
  <c r="F2686" i="8"/>
  <c r="E2686" i="8" s="1"/>
  <c r="D2686" i="8"/>
  <c r="C2686" i="8"/>
  <c r="F2685" i="8"/>
  <c r="E2685" i="8" s="1"/>
  <c r="D2685" i="8"/>
  <c r="C2685" i="8"/>
  <c r="F2684" i="8"/>
  <c r="E2684" i="8"/>
  <c r="D2684" i="8"/>
  <c r="C2684" i="8"/>
  <c r="F2683" i="8"/>
  <c r="E2683" i="8" s="1"/>
  <c r="D2683" i="8"/>
  <c r="C2683" i="8"/>
  <c r="F2682" i="8"/>
  <c r="E2682" i="8"/>
  <c r="D2682" i="8"/>
  <c r="C2682" i="8"/>
  <c r="F2681" i="8"/>
  <c r="E2681" i="8"/>
  <c r="D2681" i="8"/>
  <c r="C2681" i="8"/>
  <c r="F2680" i="8"/>
  <c r="E2680" i="8" s="1"/>
  <c r="D2680" i="8"/>
  <c r="C2680" i="8"/>
  <c r="F2679" i="8"/>
  <c r="E2679" i="8"/>
  <c r="D2679" i="8"/>
  <c r="C2679" i="8"/>
  <c r="F2678" i="8"/>
  <c r="E2678" i="8" s="1"/>
  <c r="D2678" i="8"/>
  <c r="C2678" i="8"/>
  <c r="F2677" i="8"/>
  <c r="E2677" i="8" s="1"/>
  <c r="D2677" i="8"/>
  <c r="C2677" i="8"/>
  <c r="F2676" i="8"/>
  <c r="E2676" i="8" s="1"/>
  <c r="D2676" i="8"/>
  <c r="C2676" i="8"/>
  <c r="F2675" i="8"/>
  <c r="E2675" i="8"/>
  <c r="D2675" i="8"/>
  <c r="C2675" i="8"/>
  <c r="F2674" i="8"/>
  <c r="E2674" i="8" s="1"/>
  <c r="D2674" i="8"/>
  <c r="C2674" i="8"/>
  <c r="F2673" i="8"/>
  <c r="E2673" i="8" s="1"/>
  <c r="D2673" i="8"/>
  <c r="C2673" i="8"/>
  <c r="F2672" i="8"/>
  <c r="E2672" i="8" s="1"/>
  <c r="D2672" i="8"/>
  <c r="C2672" i="8"/>
  <c r="F2671" i="8"/>
  <c r="E2671" i="8" s="1"/>
  <c r="D2671" i="8"/>
  <c r="C2671" i="8"/>
  <c r="F2670" i="8"/>
  <c r="E2670" i="8" s="1"/>
  <c r="D2670" i="8"/>
  <c r="C2670" i="8"/>
  <c r="F2669" i="8"/>
  <c r="E2669" i="8"/>
  <c r="D2669" i="8"/>
  <c r="C2669" i="8"/>
  <c r="F2668" i="8"/>
  <c r="E2668" i="8" s="1"/>
  <c r="D2668" i="8"/>
  <c r="C2668" i="8"/>
  <c r="F2667" i="8"/>
  <c r="E2667" i="8" s="1"/>
  <c r="D2667" i="8"/>
  <c r="C2667" i="8"/>
  <c r="F2666" i="8"/>
  <c r="E2666" i="8" s="1"/>
  <c r="D2666" i="8"/>
  <c r="C2666" i="8"/>
  <c r="F2665" i="8"/>
  <c r="E2665" i="8" s="1"/>
  <c r="D2665" i="8"/>
  <c r="C2665" i="8"/>
  <c r="F2664" i="8"/>
  <c r="E2664" i="8" s="1"/>
  <c r="D2664" i="8"/>
  <c r="C2664" i="8"/>
  <c r="F2663" i="8"/>
  <c r="E2663" i="8"/>
  <c r="D2663" i="8"/>
  <c r="C2663" i="8"/>
  <c r="F2662" i="8"/>
  <c r="E2662" i="8" s="1"/>
  <c r="D2662" i="8"/>
  <c r="C2662" i="8"/>
  <c r="F2661" i="8"/>
  <c r="E2661" i="8"/>
  <c r="D2661" i="8"/>
  <c r="C2661" i="8"/>
  <c r="F2660" i="8"/>
  <c r="E2660" i="8"/>
  <c r="D2660" i="8"/>
  <c r="C2660" i="8"/>
  <c r="F2659" i="8"/>
  <c r="E2659" i="8" s="1"/>
  <c r="D2659" i="8"/>
  <c r="C2659" i="8"/>
  <c r="F2658" i="8"/>
  <c r="E2658" i="8" s="1"/>
  <c r="D2658" i="8"/>
  <c r="C2658" i="8"/>
  <c r="F2657" i="8"/>
  <c r="E2657" i="8" s="1"/>
  <c r="D2657" i="8"/>
  <c r="C2657" i="8"/>
  <c r="F2656" i="8"/>
  <c r="E2656" i="8" s="1"/>
  <c r="D2656" i="8"/>
  <c r="C2656" i="8"/>
  <c r="F2655" i="8"/>
  <c r="E2655" i="8"/>
  <c r="D2655" i="8"/>
  <c r="C2655" i="8"/>
  <c r="F2654" i="8"/>
  <c r="E2654" i="8"/>
  <c r="D2654" i="8"/>
  <c r="C2654" i="8"/>
  <c r="F2653" i="8"/>
  <c r="E2653" i="8" s="1"/>
  <c r="D2653" i="8"/>
  <c r="C2653" i="8"/>
  <c r="F2652" i="8"/>
  <c r="E2652" i="8"/>
  <c r="D2652" i="8"/>
  <c r="C2652" i="8"/>
  <c r="F2651" i="8"/>
  <c r="E2651" i="8"/>
  <c r="D2651" i="8"/>
  <c r="C2651" i="8"/>
  <c r="F2650" i="8"/>
  <c r="E2650" i="8" s="1"/>
  <c r="D2650" i="8"/>
  <c r="C2650" i="8"/>
  <c r="F2649" i="8"/>
  <c r="E2649" i="8" s="1"/>
  <c r="D2649" i="8"/>
  <c r="C2649" i="8"/>
  <c r="F2648" i="8"/>
  <c r="E2648" i="8" s="1"/>
  <c r="D2648" i="8"/>
  <c r="C2648" i="8"/>
  <c r="F2647" i="8"/>
  <c r="E2647" i="8" s="1"/>
  <c r="D2647" i="8"/>
  <c r="C2647" i="8"/>
  <c r="F2646" i="8"/>
  <c r="E2646" i="8" s="1"/>
  <c r="D2646" i="8"/>
  <c r="C2646" i="8"/>
  <c r="F2645" i="8"/>
  <c r="E2645" i="8" s="1"/>
  <c r="D2645" i="8"/>
  <c r="C2645" i="8"/>
  <c r="F2644" i="8"/>
  <c r="E2644" i="8" s="1"/>
  <c r="D2644" i="8"/>
  <c r="C2644" i="8"/>
  <c r="F2643" i="8"/>
  <c r="E2643" i="8" s="1"/>
  <c r="D2643" i="8"/>
  <c r="C2643" i="8"/>
  <c r="F2642" i="8"/>
  <c r="E2642" i="8"/>
  <c r="D2642" i="8"/>
  <c r="C2642" i="8"/>
  <c r="F2641" i="8"/>
  <c r="E2641" i="8" s="1"/>
  <c r="D2641" i="8"/>
  <c r="C2641" i="8"/>
  <c r="F2640" i="8"/>
  <c r="E2640" i="8"/>
  <c r="D2640" i="8"/>
  <c r="C2640" i="8"/>
  <c r="F2639" i="8"/>
  <c r="E2639" i="8"/>
  <c r="D2639" i="8"/>
  <c r="C2639" i="8"/>
  <c r="F2638" i="8"/>
  <c r="E2638" i="8" s="1"/>
  <c r="D2638" i="8"/>
  <c r="C2638" i="8"/>
  <c r="F2637" i="8"/>
  <c r="E2637" i="8" s="1"/>
  <c r="D2637" i="8"/>
  <c r="C2637" i="8"/>
  <c r="F2636" i="8"/>
  <c r="E2636" i="8" s="1"/>
  <c r="D2636" i="8"/>
  <c r="C2636" i="8"/>
  <c r="F2635" i="8"/>
  <c r="E2635" i="8" s="1"/>
  <c r="D2635" i="8"/>
  <c r="C2635" i="8"/>
  <c r="F2634" i="8"/>
  <c r="E2634" i="8"/>
  <c r="D2634" i="8"/>
  <c r="C2634" i="8"/>
  <c r="F2633" i="8"/>
  <c r="E2633" i="8"/>
  <c r="D2633" i="8"/>
  <c r="C2633" i="8"/>
  <c r="F2632" i="8"/>
  <c r="E2632" i="8" s="1"/>
  <c r="D2632" i="8"/>
  <c r="C2632" i="8"/>
  <c r="F2631" i="8"/>
  <c r="E2631" i="8"/>
  <c r="D2631" i="8"/>
  <c r="C2631" i="8"/>
  <c r="F2630" i="8"/>
  <c r="E2630" i="8"/>
  <c r="D2630" i="8"/>
  <c r="C2630" i="8"/>
  <c r="F2629" i="8"/>
  <c r="E2629" i="8" s="1"/>
  <c r="D2629" i="8"/>
  <c r="C2629" i="8"/>
  <c r="F2628" i="8"/>
  <c r="E2628" i="8" s="1"/>
  <c r="D2628" i="8"/>
  <c r="C2628" i="8"/>
  <c r="F2627" i="8"/>
  <c r="E2627" i="8" s="1"/>
  <c r="D2627" i="8"/>
  <c r="C2627" i="8"/>
  <c r="F2626" i="8"/>
  <c r="E2626" i="8" s="1"/>
  <c r="D2626" i="8"/>
  <c r="C2626" i="8"/>
  <c r="F2625" i="8"/>
  <c r="E2625" i="8" s="1"/>
  <c r="D2625" i="8"/>
  <c r="C2625" i="8"/>
  <c r="F2624" i="8"/>
  <c r="E2624" i="8" s="1"/>
  <c r="D2624" i="8"/>
  <c r="C2624" i="8"/>
  <c r="F2623" i="8"/>
  <c r="E2623" i="8" s="1"/>
  <c r="D2623" i="8"/>
  <c r="C2623" i="8"/>
  <c r="F2622" i="8"/>
  <c r="E2622" i="8"/>
  <c r="D2622" i="8"/>
  <c r="C2622" i="8"/>
  <c r="F2621" i="8"/>
  <c r="E2621" i="8"/>
  <c r="D2621" i="8"/>
  <c r="C2621" i="8"/>
  <c r="F2620" i="8"/>
  <c r="E2620" i="8" s="1"/>
  <c r="D2620" i="8"/>
  <c r="C2620" i="8"/>
  <c r="F2619" i="8"/>
  <c r="E2619" i="8" s="1"/>
  <c r="D2619" i="8"/>
  <c r="C2619" i="8"/>
  <c r="F2618" i="8"/>
  <c r="E2618" i="8"/>
  <c r="D2618" i="8"/>
  <c r="C2618" i="8"/>
  <c r="F2617" i="8"/>
  <c r="E2617" i="8" s="1"/>
  <c r="D2617" i="8"/>
  <c r="C2617" i="8"/>
  <c r="F2616" i="8"/>
  <c r="E2616" i="8"/>
  <c r="D2616" i="8"/>
  <c r="C2616" i="8"/>
  <c r="F2615" i="8"/>
  <c r="E2615" i="8" s="1"/>
  <c r="D2615" i="8"/>
  <c r="C2615" i="8"/>
  <c r="F2614" i="8"/>
  <c r="E2614" i="8" s="1"/>
  <c r="D2614" i="8"/>
  <c r="C2614" i="8"/>
  <c r="F2613" i="8"/>
  <c r="E2613" i="8" s="1"/>
  <c r="D2613" i="8"/>
  <c r="C2613" i="8"/>
  <c r="F2612" i="8"/>
  <c r="E2612" i="8" s="1"/>
  <c r="D2612" i="8"/>
  <c r="C2612" i="8"/>
  <c r="F2611" i="8"/>
  <c r="E2611" i="8" s="1"/>
  <c r="D2611" i="8"/>
  <c r="C2611" i="8"/>
  <c r="F2610" i="8"/>
  <c r="E2610" i="8"/>
  <c r="D2610" i="8"/>
  <c r="C2610" i="8"/>
  <c r="F2609" i="8"/>
  <c r="E2609" i="8"/>
  <c r="D2609" i="8"/>
  <c r="C2609" i="8"/>
  <c r="F2608" i="8"/>
  <c r="E2608" i="8" s="1"/>
  <c r="D2608" i="8"/>
  <c r="C2608" i="8"/>
  <c r="F2607" i="8"/>
  <c r="E2607" i="8"/>
  <c r="D2607" i="8"/>
  <c r="C2607" i="8"/>
  <c r="F2606" i="8"/>
  <c r="E2606" i="8"/>
  <c r="D2606" i="8"/>
  <c r="C2606" i="8"/>
  <c r="F2605" i="8"/>
  <c r="E2605" i="8" s="1"/>
  <c r="D2605" i="8"/>
  <c r="C2605" i="8"/>
  <c r="F2604" i="8"/>
  <c r="E2604" i="8" s="1"/>
  <c r="D2604" i="8"/>
  <c r="C2604" i="8"/>
  <c r="F2603" i="8"/>
  <c r="E2603" i="8"/>
  <c r="D2603" i="8"/>
  <c r="C2603" i="8"/>
  <c r="F2602" i="8"/>
  <c r="E2602" i="8" s="1"/>
  <c r="D2602" i="8"/>
  <c r="C2602" i="8"/>
  <c r="F2601" i="8"/>
  <c r="E2601" i="8"/>
  <c r="D2601" i="8"/>
  <c r="C2601" i="8"/>
  <c r="F2600" i="8"/>
  <c r="E2600" i="8"/>
  <c r="D2600" i="8"/>
  <c r="C2600" i="8"/>
  <c r="F2599" i="8"/>
  <c r="E2599" i="8" s="1"/>
  <c r="D2599" i="8"/>
  <c r="C2599" i="8"/>
  <c r="F2598" i="8"/>
  <c r="E2598" i="8" s="1"/>
  <c r="D2598" i="8"/>
  <c r="C2598" i="8"/>
  <c r="F2597" i="8"/>
  <c r="E2597" i="8" s="1"/>
  <c r="D2597" i="8"/>
  <c r="C2597" i="8"/>
  <c r="F2596" i="8"/>
  <c r="E2596" i="8" s="1"/>
  <c r="D2596" i="8"/>
  <c r="C2596" i="8"/>
  <c r="F2595" i="8"/>
  <c r="E2595" i="8"/>
  <c r="D2595" i="8"/>
  <c r="C2595" i="8"/>
  <c r="F2594" i="8"/>
  <c r="E2594" i="8"/>
  <c r="D2594" i="8"/>
  <c r="C2594" i="8"/>
  <c r="F2593" i="8"/>
  <c r="E2593" i="8" s="1"/>
  <c r="D2593" i="8"/>
  <c r="C2593" i="8"/>
  <c r="F2592" i="8"/>
  <c r="E2592" i="8" s="1"/>
  <c r="D2592" i="8"/>
  <c r="C2592" i="8"/>
  <c r="F2591" i="8"/>
  <c r="E2591" i="8" s="1"/>
  <c r="D2591" i="8"/>
  <c r="C2591" i="8"/>
  <c r="F2590" i="8"/>
  <c r="E2590" i="8" s="1"/>
  <c r="D2590" i="8"/>
  <c r="C2590" i="8"/>
  <c r="F2589" i="8"/>
  <c r="E2589" i="8" s="1"/>
  <c r="D2589" i="8"/>
  <c r="C2589" i="8"/>
  <c r="F2588" i="8"/>
  <c r="E2588" i="8"/>
  <c r="D2588" i="8"/>
  <c r="C2588" i="8"/>
  <c r="F2587" i="8"/>
  <c r="E2587" i="8" s="1"/>
  <c r="D2587" i="8"/>
  <c r="C2587" i="8"/>
  <c r="F2586" i="8"/>
  <c r="E2586" i="8"/>
  <c r="D2586" i="8"/>
  <c r="C2586" i="8"/>
  <c r="F2585" i="8"/>
  <c r="E2585" i="8" s="1"/>
  <c r="D2585" i="8"/>
  <c r="C2585" i="8"/>
  <c r="F2584" i="8"/>
  <c r="E2584" i="8" s="1"/>
  <c r="D2584" i="8"/>
  <c r="C2584" i="8"/>
  <c r="F2583" i="8"/>
  <c r="E2583" i="8"/>
  <c r="D2583" i="8"/>
  <c r="C2583" i="8"/>
  <c r="F2582" i="8"/>
  <c r="E2582" i="8"/>
  <c r="D2582" i="8"/>
  <c r="C2582" i="8"/>
  <c r="F2581" i="8"/>
  <c r="E2581" i="8" s="1"/>
  <c r="D2581" i="8"/>
  <c r="C2581" i="8"/>
  <c r="F2580" i="8"/>
  <c r="E2580" i="8" s="1"/>
  <c r="D2580" i="8"/>
  <c r="C2580" i="8"/>
  <c r="F2579" i="8"/>
  <c r="E2579" i="8" s="1"/>
  <c r="D2579" i="8"/>
  <c r="C2579" i="8"/>
  <c r="F2578" i="8"/>
  <c r="E2578" i="8" s="1"/>
  <c r="D2578" i="8"/>
  <c r="C2578" i="8"/>
  <c r="F2577" i="8"/>
  <c r="E2577" i="8"/>
  <c r="D2577" i="8"/>
  <c r="C2577" i="8"/>
  <c r="F2576" i="8"/>
  <c r="E2576" i="8"/>
  <c r="D2576" i="8"/>
  <c r="C2576" i="8"/>
  <c r="F2575" i="8"/>
  <c r="E2575" i="8" s="1"/>
  <c r="D2575" i="8"/>
  <c r="C2575" i="8"/>
  <c r="F2574" i="8"/>
  <c r="E2574" i="8"/>
  <c r="D2574" i="8"/>
  <c r="C2574" i="8"/>
  <c r="F2573" i="8"/>
  <c r="E2573" i="8"/>
  <c r="D2573" i="8"/>
  <c r="C2573" i="8"/>
  <c r="F2572" i="8"/>
  <c r="E2572" i="8" s="1"/>
  <c r="D2572" i="8"/>
  <c r="C2572" i="8"/>
  <c r="F2571" i="8"/>
  <c r="E2571" i="8"/>
  <c r="D2571" i="8"/>
  <c r="C2571" i="8"/>
  <c r="F2570" i="8"/>
  <c r="E2570" i="8" s="1"/>
  <c r="D2570" i="8"/>
  <c r="C2570" i="8"/>
  <c r="F2569" i="8"/>
  <c r="E2569" i="8" s="1"/>
  <c r="D2569" i="8"/>
  <c r="C2569" i="8"/>
  <c r="F2568" i="8"/>
  <c r="E2568" i="8" s="1"/>
  <c r="D2568" i="8"/>
  <c r="C2568" i="8"/>
  <c r="F2567" i="8"/>
  <c r="E2567" i="8"/>
  <c r="D2567" i="8"/>
  <c r="C2567" i="8"/>
  <c r="F2566" i="8"/>
  <c r="E2566" i="8" s="1"/>
  <c r="D2566" i="8"/>
  <c r="C2566" i="8"/>
  <c r="F2565" i="8"/>
  <c r="E2565" i="8"/>
  <c r="D2565" i="8"/>
  <c r="C2565" i="8"/>
  <c r="F2564" i="8"/>
  <c r="E2564" i="8"/>
  <c r="D2564" i="8"/>
  <c r="C2564" i="8"/>
  <c r="F2563" i="8"/>
  <c r="E2563" i="8" s="1"/>
  <c r="D2563" i="8"/>
  <c r="C2563" i="8"/>
  <c r="F2562" i="8"/>
  <c r="E2562" i="8"/>
  <c r="D2562" i="8"/>
  <c r="C2562" i="8"/>
  <c r="F2561" i="8"/>
  <c r="E2561" i="8" s="1"/>
  <c r="D2561" i="8"/>
  <c r="C2561" i="8"/>
  <c r="F2560" i="8"/>
  <c r="E2560" i="8" s="1"/>
  <c r="D2560" i="8"/>
  <c r="C2560" i="8"/>
  <c r="F2559" i="8"/>
  <c r="E2559" i="8"/>
  <c r="D2559" i="8"/>
  <c r="C2559" i="8"/>
  <c r="F2558" i="8"/>
  <c r="E2558" i="8"/>
  <c r="D2558" i="8"/>
  <c r="C2558" i="8"/>
  <c r="F2557" i="8"/>
  <c r="E2557" i="8" s="1"/>
  <c r="D2557" i="8"/>
  <c r="C2557" i="8"/>
  <c r="F2556" i="8"/>
  <c r="E2556" i="8" s="1"/>
  <c r="D2556" i="8"/>
  <c r="C2556" i="8"/>
  <c r="F2555" i="8"/>
  <c r="E2555" i="8" s="1"/>
  <c r="D2555" i="8"/>
  <c r="C2555" i="8"/>
  <c r="F2554" i="8"/>
  <c r="E2554" i="8" s="1"/>
  <c r="D2554" i="8"/>
  <c r="C2554" i="8"/>
  <c r="F2553" i="8"/>
  <c r="E2553" i="8" s="1"/>
  <c r="D2553" i="8"/>
  <c r="C2553" i="8"/>
  <c r="F2552" i="8"/>
  <c r="E2552" i="8" s="1"/>
  <c r="D2552" i="8"/>
  <c r="C2552" i="8"/>
  <c r="F2551" i="8"/>
  <c r="E2551" i="8" s="1"/>
  <c r="D2551" i="8"/>
  <c r="C2551" i="8"/>
  <c r="F2550" i="8"/>
  <c r="E2550" i="8"/>
  <c r="D2550" i="8"/>
  <c r="C2550" i="8"/>
  <c r="F2549" i="8"/>
  <c r="E2549" i="8"/>
  <c r="D2549" i="8"/>
  <c r="C2549" i="8"/>
  <c r="F2548" i="8"/>
  <c r="E2548" i="8" s="1"/>
  <c r="D2548" i="8"/>
  <c r="C2548" i="8"/>
  <c r="F2547" i="8"/>
  <c r="E2547" i="8"/>
  <c r="D2547" i="8"/>
  <c r="C2547" i="8"/>
  <c r="F2546" i="8"/>
  <c r="E2546" i="8"/>
  <c r="D2546" i="8"/>
  <c r="C2546" i="8"/>
  <c r="F2545" i="8"/>
  <c r="E2545" i="8" s="1"/>
  <c r="D2545" i="8"/>
  <c r="C2545" i="8"/>
  <c r="F2544" i="8"/>
  <c r="E2544" i="8" s="1"/>
  <c r="D2544" i="8"/>
  <c r="C2544" i="8"/>
  <c r="F2543" i="8"/>
  <c r="E2543" i="8" s="1"/>
  <c r="D2543" i="8"/>
  <c r="C2543" i="8"/>
  <c r="F2542" i="8"/>
  <c r="E2542" i="8" s="1"/>
  <c r="D2542" i="8"/>
  <c r="C2542" i="8"/>
  <c r="F2541" i="8"/>
  <c r="E2541" i="8" s="1"/>
  <c r="D2541" i="8"/>
  <c r="C2541" i="8"/>
  <c r="F2540" i="8"/>
  <c r="E2540" i="8"/>
  <c r="D2540" i="8"/>
  <c r="C2540" i="8"/>
  <c r="F2539" i="8"/>
  <c r="E2539" i="8" s="1"/>
  <c r="D2539" i="8"/>
  <c r="C2539" i="8"/>
  <c r="F2538" i="8"/>
  <c r="E2538" i="8"/>
  <c r="D2538" i="8"/>
  <c r="C2538" i="8"/>
  <c r="F2537" i="8"/>
  <c r="E2537" i="8"/>
  <c r="D2537" i="8"/>
  <c r="C2537" i="8"/>
  <c r="F2536" i="8"/>
  <c r="E2536" i="8" s="1"/>
  <c r="D2536" i="8"/>
  <c r="C2536" i="8"/>
  <c r="F2535" i="8"/>
  <c r="E2535" i="8"/>
  <c r="D2535" i="8"/>
  <c r="C2535" i="8"/>
  <c r="F2534" i="8"/>
  <c r="E2534" i="8" s="1"/>
  <c r="D2534" i="8"/>
  <c r="C2534" i="8"/>
  <c r="F2533" i="8"/>
  <c r="E2533" i="8" s="1"/>
  <c r="D2533" i="8"/>
  <c r="C2533" i="8"/>
  <c r="F2532" i="8"/>
  <c r="E2532" i="8" s="1"/>
  <c r="D2532" i="8"/>
  <c r="C2532" i="8"/>
  <c r="F2531" i="8"/>
  <c r="E2531" i="8" s="1"/>
  <c r="D2531" i="8"/>
  <c r="C2531" i="8"/>
  <c r="F2530" i="8"/>
  <c r="E2530" i="8" s="1"/>
  <c r="D2530" i="8"/>
  <c r="C2530" i="8"/>
  <c r="F2529" i="8"/>
  <c r="E2529" i="8"/>
  <c r="D2529" i="8"/>
  <c r="C2529" i="8"/>
  <c r="F2528" i="8"/>
  <c r="E2528" i="8"/>
  <c r="D2528" i="8"/>
  <c r="C2528" i="8"/>
  <c r="F2527" i="8"/>
  <c r="E2527" i="8" s="1"/>
  <c r="D2527" i="8"/>
  <c r="C2527" i="8"/>
  <c r="F2526" i="8"/>
  <c r="E2526" i="8" s="1"/>
  <c r="D2526" i="8"/>
  <c r="C2526" i="8"/>
  <c r="F2525" i="8"/>
  <c r="E2525" i="8"/>
  <c r="D2525" i="8"/>
  <c r="C2525" i="8"/>
  <c r="F2524" i="8"/>
  <c r="E2524" i="8" s="1"/>
  <c r="D2524" i="8"/>
  <c r="C2524" i="8"/>
  <c r="F2523" i="8"/>
  <c r="E2523" i="8"/>
  <c r="D2523" i="8"/>
  <c r="C2523" i="8"/>
  <c r="F2522" i="8"/>
  <c r="E2522" i="8"/>
  <c r="D2522" i="8"/>
  <c r="C2522" i="8"/>
  <c r="F2521" i="8"/>
  <c r="E2521" i="8" s="1"/>
  <c r="D2521" i="8"/>
  <c r="C2521" i="8"/>
  <c r="F2520" i="8"/>
  <c r="E2520" i="8" s="1"/>
  <c r="D2520" i="8"/>
  <c r="C2520" i="8"/>
  <c r="F2519" i="8"/>
  <c r="E2519" i="8" s="1"/>
  <c r="D2519" i="8"/>
  <c r="C2519" i="8"/>
  <c r="F2518" i="8"/>
  <c r="E2518" i="8" s="1"/>
  <c r="D2518" i="8"/>
  <c r="C2518" i="8"/>
  <c r="F2517" i="8"/>
  <c r="E2517" i="8"/>
  <c r="D2517" i="8"/>
  <c r="C2517" i="8"/>
  <c r="F2516" i="8"/>
  <c r="E2516" i="8"/>
  <c r="D2516" i="8"/>
  <c r="C2516" i="8"/>
  <c r="F2515" i="8"/>
  <c r="E2515" i="8" s="1"/>
  <c r="D2515" i="8"/>
  <c r="C2515" i="8"/>
  <c r="F2514" i="8"/>
  <c r="E2514" i="8" s="1"/>
  <c r="D2514" i="8"/>
  <c r="C2514" i="8"/>
  <c r="F2513" i="8"/>
  <c r="E2513" i="8"/>
  <c r="D2513" i="8"/>
  <c r="C2513" i="8"/>
  <c r="F2512" i="8"/>
  <c r="E2512" i="8" s="1"/>
  <c r="D2512" i="8"/>
  <c r="C2512" i="8"/>
  <c r="F2511" i="8"/>
  <c r="E2511" i="8"/>
  <c r="D2511" i="8"/>
  <c r="C2511" i="8"/>
  <c r="F2510" i="8"/>
  <c r="E2510" i="8"/>
  <c r="D2510" i="8"/>
  <c r="C2510" i="8"/>
  <c r="F2509" i="8"/>
  <c r="E2509" i="8" s="1"/>
  <c r="D2509" i="8"/>
  <c r="C2509" i="8"/>
  <c r="F2508" i="8"/>
  <c r="E2508" i="8"/>
  <c r="D2508" i="8"/>
  <c r="C2508" i="8"/>
  <c r="F2507" i="8"/>
  <c r="E2507" i="8" s="1"/>
  <c r="D2507" i="8"/>
  <c r="C2507" i="8"/>
  <c r="F2506" i="8"/>
  <c r="E2506" i="8" s="1"/>
  <c r="D2506" i="8"/>
  <c r="C2506" i="8"/>
  <c r="F2505" i="8"/>
  <c r="E2505" i="8"/>
  <c r="D2505" i="8"/>
  <c r="C2505" i="8"/>
  <c r="F2504" i="8"/>
  <c r="E2504" i="8" s="1"/>
  <c r="D2504" i="8"/>
  <c r="C2504" i="8"/>
  <c r="F2503" i="8"/>
  <c r="E2503" i="8" s="1"/>
  <c r="D2503" i="8"/>
  <c r="C2503" i="8"/>
  <c r="F2502" i="8"/>
  <c r="E2502" i="8"/>
  <c r="D2502" i="8"/>
  <c r="C2502" i="8"/>
  <c r="F2501" i="8"/>
  <c r="E2501" i="8"/>
  <c r="D2501" i="8"/>
  <c r="C2501" i="8"/>
  <c r="F2500" i="8"/>
  <c r="E2500" i="8" s="1"/>
  <c r="D2500" i="8"/>
  <c r="C2500" i="8"/>
  <c r="F2499" i="8"/>
  <c r="E2499" i="8"/>
  <c r="D2499" i="8"/>
  <c r="C2499" i="8"/>
  <c r="F2498" i="8"/>
  <c r="E2498" i="8"/>
  <c r="D2498" i="8"/>
  <c r="C2498" i="8"/>
  <c r="F2497" i="8"/>
  <c r="E2497" i="8" s="1"/>
  <c r="D2497" i="8"/>
  <c r="C2497" i="8"/>
  <c r="F2496" i="8"/>
  <c r="E2496" i="8" s="1"/>
  <c r="D2496" i="8"/>
  <c r="C2496" i="8"/>
  <c r="F2495" i="8"/>
  <c r="E2495" i="8"/>
  <c r="D2495" i="8"/>
  <c r="C2495" i="8"/>
  <c r="F2494" i="8"/>
  <c r="E2494" i="8" s="1"/>
  <c r="D2494" i="8"/>
  <c r="C2494" i="8"/>
  <c r="F2493" i="8"/>
  <c r="E2493" i="8"/>
  <c r="D2493" i="8"/>
  <c r="C2493" i="8"/>
  <c r="F2492" i="8"/>
  <c r="E2492" i="8"/>
  <c r="D2492" i="8"/>
  <c r="C2492" i="8"/>
  <c r="F2491" i="8"/>
  <c r="E2491" i="8" s="1"/>
  <c r="D2491" i="8"/>
  <c r="C2491" i="8"/>
  <c r="F2490" i="8"/>
  <c r="E2490" i="8" s="1"/>
  <c r="D2490" i="8"/>
  <c r="C2490" i="8"/>
  <c r="F2489" i="8"/>
  <c r="E2489" i="8" s="1"/>
  <c r="D2489" i="8"/>
  <c r="C2489" i="8"/>
  <c r="F2488" i="8"/>
  <c r="E2488" i="8" s="1"/>
  <c r="D2488" i="8"/>
  <c r="C2488" i="8"/>
  <c r="F2487" i="8"/>
  <c r="E2487" i="8"/>
  <c r="D2487" i="8"/>
  <c r="C2487" i="8"/>
  <c r="F2486" i="8"/>
  <c r="E2486" i="8"/>
  <c r="D2486" i="8"/>
  <c r="C2486" i="8"/>
  <c r="F2485" i="8"/>
  <c r="E2485" i="8" s="1"/>
  <c r="D2485" i="8"/>
  <c r="C2485" i="8"/>
  <c r="F2484" i="8"/>
  <c r="E2484" i="8" s="1"/>
  <c r="D2484" i="8"/>
  <c r="C2484" i="8"/>
  <c r="F2483" i="8"/>
  <c r="E2483" i="8" s="1"/>
  <c r="D2483" i="8"/>
  <c r="C2483" i="8"/>
  <c r="F2482" i="8"/>
  <c r="E2482" i="8" s="1"/>
  <c r="D2482" i="8"/>
  <c r="C2482" i="8"/>
  <c r="F2481" i="8"/>
  <c r="E2481" i="8" s="1"/>
  <c r="D2481" i="8"/>
  <c r="C2481" i="8"/>
  <c r="F2480" i="8"/>
  <c r="E2480" i="8"/>
  <c r="D2480" i="8"/>
  <c r="C2480" i="8"/>
  <c r="F2479" i="8"/>
  <c r="E2479" i="8" s="1"/>
  <c r="D2479" i="8"/>
  <c r="C2479" i="8"/>
  <c r="F2478" i="8"/>
  <c r="E2478" i="8"/>
  <c r="D2478" i="8"/>
  <c r="C2478" i="8"/>
  <c r="F2477" i="8"/>
  <c r="E2477" i="8" s="1"/>
  <c r="D2477" i="8"/>
  <c r="C2477" i="8"/>
  <c r="F2476" i="8"/>
  <c r="E2476" i="8" s="1"/>
  <c r="D2476" i="8"/>
  <c r="C2476" i="8"/>
  <c r="F2475" i="8"/>
  <c r="E2475" i="8"/>
  <c r="D2475" i="8"/>
  <c r="C2475" i="8"/>
  <c r="F2474" i="8"/>
  <c r="E2474" i="8"/>
  <c r="D2474" i="8"/>
  <c r="C2474" i="8"/>
  <c r="F2473" i="8"/>
  <c r="E2473" i="8" s="1"/>
  <c r="D2473" i="8"/>
  <c r="C2473" i="8"/>
  <c r="F2472" i="8"/>
  <c r="E2472" i="8" s="1"/>
  <c r="D2472" i="8"/>
  <c r="C2472" i="8"/>
  <c r="F2471" i="8"/>
  <c r="E2471" i="8" s="1"/>
  <c r="D2471" i="8"/>
  <c r="C2471" i="8"/>
  <c r="F2470" i="8"/>
  <c r="E2470" i="8" s="1"/>
  <c r="D2470" i="8"/>
  <c r="C2470" i="8"/>
  <c r="F2469" i="8"/>
  <c r="E2469" i="8"/>
  <c r="D2469" i="8"/>
  <c r="C2469" i="8"/>
  <c r="F2468" i="8"/>
  <c r="E2468" i="8"/>
  <c r="D2468" i="8"/>
  <c r="C2468" i="8"/>
  <c r="F2467" i="8"/>
  <c r="E2467" i="8" s="1"/>
  <c r="D2467" i="8"/>
  <c r="C2467" i="8"/>
  <c r="F2466" i="8"/>
  <c r="E2466" i="8"/>
  <c r="D2466" i="8"/>
  <c r="C2466" i="8"/>
  <c r="F2465" i="8"/>
  <c r="E2465" i="8"/>
  <c r="D2465" i="8"/>
  <c r="C2465" i="8"/>
  <c r="F2464" i="8"/>
  <c r="E2464" i="8" s="1"/>
  <c r="D2464" i="8"/>
  <c r="C2464" i="8"/>
  <c r="F2463" i="8"/>
  <c r="E2463" i="8" s="1"/>
  <c r="D2463" i="8"/>
  <c r="C2463" i="8"/>
  <c r="F2462" i="8"/>
  <c r="E2462" i="8" s="1"/>
  <c r="D2462" i="8"/>
  <c r="C2462" i="8"/>
  <c r="F2461" i="8"/>
  <c r="E2461" i="8" s="1"/>
  <c r="D2461" i="8"/>
  <c r="C2461" i="8"/>
  <c r="F2460" i="8"/>
  <c r="E2460" i="8"/>
  <c r="D2460" i="8"/>
  <c r="C2460" i="8"/>
  <c r="F2459" i="8"/>
  <c r="E2459" i="8"/>
  <c r="D2459" i="8"/>
  <c r="C2459" i="8"/>
  <c r="F2458" i="8"/>
  <c r="E2458" i="8" s="1"/>
  <c r="D2458" i="8"/>
  <c r="C2458" i="8"/>
  <c r="F2457" i="8"/>
  <c r="E2457" i="8" s="1"/>
  <c r="D2457" i="8"/>
  <c r="C2457" i="8"/>
  <c r="F2456" i="8"/>
  <c r="E2456" i="8"/>
  <c r="D2456" i="8"/>
  <c r="C2456" i="8"/>
  <c r="F2455" i="8"/>
  <c r="E2455" i="8" s="1"/>
  <c r="D2455" i="8"/>
  <c r="C2455" i="8"/>
  <c r="F2454" i="8"/>
  <c r="E2454" i="8"/>
  <c r="D2454" i="8"/>
  <c r="C2454" i="8"/>
  <c r="F2453" i="8"/>
  <c r="E2453" i="8"/>
  <c r="D2453" i="8"/>
  <c r="C2453" i="8"/>
  <c r="F2452" i="8"/>
  <c r="E2452" i="8" s="1"/>
  <c r="D2452" i="8"/>
  <c r="C2452" i="8"/>
  <c r="F2451" i="8"/>
  <c r="E2451" i="8"/>
  <c r="D2451" i="8"/>
  <c r="C2451" i="8"/>
  <c r="F2450" i="8"/>
  <c r="E2450" i="8" s="1"/>
  <c r="D2450" i="8"/>
  <c r="C2450" i="8"/>
  <c r="F2449" i="8"/>
  <c r="E2449" i="8" s="1"/>
  <c r="D2449" i="8"/>
  <c r="C2449" i="8"/>
  <c r="F2448" i="8"/>
  <c r="E2448" i="8" s="1"/>
  <c r="D2448" i="8"/>
  <c r="C2448" i="8"/>
  <c r="F2447" i="8"/>
  <c r="E2447" i="8" s="1"/>
  <c r="D2447" i="8"/>
  <c r="C2447" i="8"/>
  <c r="F2446" i="8"/>
  <c r="E2446" i="8" s="1"/>
  <c r="D2446" i="8"/>
  <c r="C2446" i="8"/>
  <c r="F2445" i="8"/>
  <c r="E2445" i="8"/>
  <c r="D2445" i="8"/>
  <c r="C2445" i="8"/>
  <c r="F2444" i="8"/>
  <c r="E2444" i="8"/>
  <c r="D2444" i="8"/>
  <c r="C2444" i="8"/>
  <c r="F2443" i="8"/>
  <c r="E2443" i="8" s="1"/>
  <c r="D2443" i="8"/>
  <c r="C2443" i="8"/>
  <c r="F2442" i="8"/>
  <c r="E2442" i="8" s="1"/>
  <c r="D2442" i="8"/>
  <c r="C2442" i="8"/>
  <c r="F2441" i="8"/>
  <c r="E2441" i="8"/>
  <c r="D2441" i="8"/>
  <c r="C2441" i="8"/>
  <c r="F2440" i="8"/>
  <c r="E2440" i="8" s="1"/>
  <c r="D2440" i="8"/>
  <c r="C2440" i="8"/>
  <c r="F2439" i="8"/>
  <c r="E2439" i="8" s="1"/>
  <c r="D2439" i="8"/>
  <c r="C2439" i="8"/>
  <c r="F2438" i="8"/>
  <c r="E2438" i="8"/>
  <c r="D2438" i="8"/>
  <c r="C2438" i="8"/>
  <c r="F2437" i="8"/>
  <c r="E2437" i="8" s="1"/>
  <c r="D2437" i="8"/>
  <c r="C2437" i="8"/>
  <c r="F2436" i="8"/>
  <c r="E2436" i="8"/>
  <c r="D2436" i="8"/>
  <c r="C2436" i="8"/>
  <c r="F2435" i="8"/>
  <c r="E2435" i="8" s="1"/>
  <c r="D2435" i="8"/>
  <c r="C2435" i="8"/>
  <c r="F2434" i="8"/>
  <c r="E2434" i="8" s="1"/>
  <c r="D2434" i="8"/>
  <c r="C2434" i="8"/>
  <c r="F2433" i="8"/>
  <c r="E2433" i="8" s="1"/>
  <c r="D2433" i="8"/>
  <c r="C2433" i="8"/>
  <c r="F2432" i="8"/>
  <c r="E2432" i="8" s="1"/>
  <c r="D2432" i="8"/>
  <c r="C2432" i="8"/>
  <c r="F2431" i="8"/>
  <c r="E2431" i="8" s="1"/>
  <c r="D2431" i="8"/>
  <c r="C2431" i="8"/>
  <c r="F2430" i="8"/>
  <c r="E2430" i="8"/>
  <c r="D2430" i="8"/>
  <c r="C2430" i="8"/>
  <c r="F2429" i="8"/>
  <c r="E2429" i="8"/>
  <c r="D2429" i="8"/>
  <c r="C2429" i="8"/>
  <c r="F2428" i="8"/>
  <c r="E2428" i="8" s="1"/>
  <c r="D2428" i="8"/>
  <c r="C2428" i="8"/>
  <c r="F2427" i="8"/>
  <c r="E2427" i="8" s="1"/>
  <c r="D2427" i="8"/>
  <c r="C2427" i="8"/>
  <c r="F2426" i="8"/>
  <c r="E2426" i="8"/>
  <c r="D2426" i="8"/>
  <c r="C2426" i="8"/>
  <c r="F2425" i="8"/>
  <c r="E2425" i="8" s="1"/>
  <c r="D2425" i="8"/>
  <c r="C2425" i="8"/>
  <c r="F2424" i="8"/>
  <c r="E2424" i="8"/>
  <c r="D2424" i="8"/>
  <c r="C2424" i="8"/>
  <c r="F2423" i="8"/>
  <c r="E2423" i="8"/>
  <c r="D2423" i="8"/>
  <c r="C2423" i="8"/>
  <c r="F2422" i="8"/>
  <c r="E2422" i="8" s="1"/>
  <c r="D2422" i="8"/>
  <c r="C2422" i="8"/>
  <c r="F2421" i="8"/>
  <c r="E2421" i="8"/>
  <c r="D2421" i="8"/>
  <c r="C2421" i="8"/>
  <c r="F2420" i="8"/>
  <c r="E2420" i="8" s="1"/>
  <c r="D2420" i="8"/>
  <c r="C2420" i="8"/>
  <c r="F2419" i="8"/>
  <c r="E2419" i="8" s="1"/>
  <c r="D2419" i="8"/>
  <c r="C2419" i="8"/>
  <c r="F2418" i="8"/>
  <c r="E2418" i="8" s="1"/>
  <c r="D2418" i="8"/>
  <c r="C2418" i="8"/>
  <c r="F2417" i="8"/>
  <c r="E2417" i="8"/>
  <c r="D2417" i="8"/>
  <c r="C2417" i="8"/>
  <c r="F2416" i="8"/>
  <c r="E2416" i="8" s="1"/>
  <c r="D2416" i="8"/>
  <c r="C2416" i="8"/>
  <c r="F2415" i="8"/>
  <c r="E2415" i="8"/>
  <c r="D2415" i="8"/>
  <c r="C2415" i="8"/>
  <c r="F2414" i="8"/>
  <c r="E2414" i="8" s="1"/>
  <c r="D2414" i="8"/>
  <c r="C2414" i="8"/>
  <c r="F2413" i="8"/>
  <c r="E2413" i="8" s="1"/>
  <c r="D2413" i="8"/>
  <c r="C2413" i="8"/>
  <c r="F2412" i="8"/>
  <c r="E2412" i="8" s="1"/>
  <c r="D2412" i="8"/>
  <c r="C2412" i="8"/>
  <c r="F2411" i="8"/>
  <c r="E2411" i="8"/>
  <c r="D2411" i="8"/>
  <c r="C2411" i="8"/>
  <c r="F2410" i="8"/>
  <c r="E2410" i="8" s="1"/>
  <c r="D2410" i="8"/>
  <c r="C2410" i="8"/>
  <c r="F2409" i="8"/>
  <c r="E2409" i="8" s="1"/>
  <c r="D2409" i="8"/>
  <c r="C2409" i="8"/>
  <c r="F2408" i="8"/>
  <c r="E2408" i="8" s="1"/>
  <c r="D2408" i="8"/>
  <c r="C2408" i="8"/>
  <c r="F2407" i="8"/>
  <c r="E2407" i="8"/>
  <c r="D2407" i="8"/>
  <c r="C2407" i="8"/>
  <c r="F2406" i="8"/>
  <c r="E2406" i="8" s="1"/>
  <c r="D2406" i="8"/>
  <c r="C2406" i="8"/>
  <c r="F2405" i="8"/>
  <c r="E2405" i="8"/>
  <c r="D2405" i="8"/>
  <c r="C2405" i="8"/>
  <c r="F2404" i="8"/>
  <c r="E2404" i="8" s="1"/>
  <c r="D2404" i="8"/>
  <c r="C2404" i="8"/>
  <c r="F2403" i="8"/>
  <c r="E2403" i="8" s="1"/>
  <c r="D2403" i="8"/>
  <c r="C2403" i="8"/>
  <c r="F2402" i="8"/>
  <c r="E2402" i="8"/>
  <c r="D2402" i="8"/>
  <c r="C2402" i="8"/>
  <c r="F2401" i="8"/>
  <c r="E2401" i="8"/>
  <c r="D2401" i="8"/>
  <c r="C2401" i="8"/>
  <c r="F2400" i="8"/>
  <c r="E2400" i="8" s="1"/>
  <c r="D2400" i="8"/>
  <c r="C2400" i="8"/>
  <c r="F2399" i="8"/>
  <c r="E2399" i="8" s="1"/>
  <c r="D2399" i="8"/>
  <c r="C2399" i="8"/>
  <c r="F2398" i="8"/>
  <c r="E2398" i="8"/>
  <c r="D2398" i="8"/>
  <c r="C2398" i="8"/>
  <c r="F2397" i="8"/>
  <c r="E2397" i="8" s="1"/>
  <c r="D2397" i="8"/>
  <c r="C2397" i="8"/>
  <c r="F2396" i="8"/>
  <c r="E2396" i="8" s="1"/>
  <c r="D2396" i="8"/>
  <c r="C2396" i="8"/>
  <c r="F2395" i="8"/>
  <c r="E2395" i="8" s="1"/>
  <c r="D2395" i="8"/>
  <c r="C2395" i="8"/>
  <c r="F2394" i="8"/>
  <c r="E2394" i="8" s="1"/>
  <c r="D2394" i="8"/>
  <c r="C2394" i="8"/>
  <c r="F2393" i="8"/>
  <c r="E2393" i="8"/>
  <c r="D2393" i="8"/>
  <c r="C2393" i="8"/>
  <c r="F2392" i="8"/>
  <c r="E2392" i="8"/>
  <c r="D2392" i="8"/>
  <c r="C2392" i="8"/>
  <c r="F2391" i="8"/>
  <c r="E2391" i="8" s="1"/>
  <c r="D2391" i="8"/>
  <c r="C2391" i="8"/>
  <c r="F2390" i="8"/>
  <c r="E2390" i="8"/>
  <c r="D2390" i="8"/>
  <c r="C2390" i="8"/>
  <c r="F2389" i="8"/>
  <c r="E2389" i="8"/>
  <c r="D2389" i="8"/>
  <c r="C2389" i="8"/>
  <c r="F2388" i="8"/>
  <c r="E2388" i="8" s="1"/>
  <c r="D2388" i="8"/>
  <c r="C2388" i="8"/>
  <c r="F2387" i="8"/>
  <c r="E2387" i="8" s="1"/>
  <c r="D2387" i="8"/>
  <c r="C2387" i="8"/>
  <c r="F2386" i="8"/>
  <c r="E2386" i="8" s="1"/>
  <c r="D2386" i="8"/>
  <c r="C2386" i="8"/>
  <c r="F2385" i="8"/>
  <c r="E2385" i="8" s="1"/>
  <c r="D2385" i="8"/>
  <c r="C2385" i="8"/>
  <c r="F2384" i="8"/>
  <c r="E2384" i="8"/>
  <c r="D2384" i="8"/>
  <c r="C2384" i="8"/>
  <c r="F2383" i="8"/>
  <c r="E2383" i="8" s="1"/>
  <c r="D2383" i="8"/>
  <c r="C2383" i="8"/>
  <c r="F2382" i="8"/>
  <c r="E2382" i="8" s="1"/>
  <c r="D2382" i="8"/>
  <c r="C2382" i="8"/>
  <c r="F2381" i="8"/>
  <c r="E2381" i="8" s="1"/>
  <c r="D2381" i="8"/>
  <c r="C2381" i="8"/>
  <c r="F2380" i="8"/>
  <c r="E2380" i="8"/>
  <c r="D2380" i="8"/>
  <c r="C2380" i="8"/>
  <c r="F2379" i="8"/>
  <c r="E2379" i="8" s="1"/>
  <c r="D2379" i="8"/>
  <c r="C2379" i="8"/>
  <c r="F2378" i="8"/>
  <c r="E2378" i="8"/>
  <c r="D2378" i="8"/>
  <c r="C2378" i="8"/>
  <c r="F2377" i="8"/>
  <c r="E2377" i="8"/>
  <c r="D2377" i="8"/>
  <c r="C2377" i="8"/>
  <c r="F2376" i="8"/>
  <c r="E2376" i="8" s="1"/>
  <c r="D2376" i="8"/>
  <c r="C2376" i="8"/>
  <c r="F2375" i="8"/>
  <c r="E2375" i="8"/>
  <c r="D2375" i="8"/>
  <c r="C2375" i="8"/>
  <c r="F2374" i="8"/>
  <c r="E2374" i="8" s="1"/>
  <c r="D2374" i="8"/>
  <c r="C2374" i="8"/>
  <c r="F2373" i="8"/>
  <c r="E2373" i="8" s="1"/>
  <c r="D2373" i="8"/>
  <c r="C2373" i="8"/>
  <c r="F2372" i="8"/>
  <c r="E2372" i="8" s="1"/>
  <c r="D2372" i="8"/>
  <c r="C2372" i="8"/>
  <c r="F2371" i="8"/>
  <c r="E2371" i="8"/>
  <c r="D2371" i="8"/>
  <c r="C2371" i="8"/>
  <c r="F2370" i="8"/>
  <c r="E2370" i="8" s="1"/>
  <c r="D2370" i="8"/>
  <c r="C2370" i="8"/>
  <c r="F2369" i="8"/>
  <c r="E2369" i="8"/>
  <c r="D2369" i="8"/>
  <c r="C2369" i="8"/>
  <c r="F2368" i="8"/>
  <c r="E2368" i="8" s="1"/>
  <c r="D2368" i="8"/>
  <c r="C2368" i="8"/>
  <c r="F2367" i="8"/>
  <c r="E2367" i="8" s="1"/>
  <c r="D2367" i="8"/>
  <c r="C2367" i="8"/>
  <c r="F2366" i="8"/>
  <c r="E2366" i="8"/>
  <c r="D2366" i="8"/>
  <c r="C2366" i="8"/>
  <c r="F2365" i="8"/>
  <c r="E2365" i="8"/>
  <c r="D2365" i="8"/>
  <c r="C2365" i="8"/>
  <c r="F2364" i="8"/>
  <c r="E2364" i="8" s="1"/>
  <c r="D2364" i="8"/>
  <c r="C2364" i="8"/>
  <c r="F2363" i="8"/>
  <c r="E2363" i="8" s="1"/>
  <c r="D2363" i="8"/>
  <c r="C2363" i="8"/>
  <c r="F2362" i="8"/>
  <c r="E2362" i="8"/>
  <c r="D2362" i="8"/>
  <c r="C2362" i="8"/>
  <c r="F2361" i="8"/>
  <c r="E2361" i="8" s="1"/>
  <c r="D2361" i="8"/>
  <c r="C2361" i="8"/>
  <c r="F2360" i="8"/>
  <c r="E2360" i="8" s="1"/>
  <c r="D2360" i="8"/>
  <c r="C2360" i="8"/>
  <c r="F2359" i="8"/>
  <c r="E2359" i="8" s="1"/>
  <c r="D2359" i="8"/>
  <c r="C2359" i="8"/>
  <c r="F2358" i="8"/>
  <c r="E2358" i="8" s="1"/>
  <c r="D2358" i="8"/>
  <c r="C2358" i="8"/>
  <c r="F2357" i="8"/>
  <c r="E2357" i="8"/>
  <c r="D2357" i="8"/>
  <c r="C2357" i="8"/>
  <c r="F2356" i="8"/>
  <c r="E2356" i="8"/>
  <c r="D2356" i="8"/>
  <c r="C2356" i="8"/>
  <c r="F2355" i="8"/>
  <c r="E2355" i="8" s="1"/>
  <c r="D2355" i="8"/>
  <c r="C2355" i="8"/>
  <c r="F2354" i="8"/>
  <c r="E2354" i="8"/>
  <c r="D2354" i="8"/>
  <c r="C2354" i="8"/>
  <c r="F2353" i="8"/>
  <c r="E2353" i="8"/>
  <c r="D2353" i="8"/>
  <c r="C2353" i="8"/>
  <c r="F2352" i="8"/>
  <c r="E2352" i="8" s="1"/>
  <c r="D2352" i="8"/>
  <c r="C2352" i="8"/>
  <c r="F2351" i="8"/>
  <c r="E2351" i="8"/>
  <c r="D2351" i="8"/>
  <c r="C2351" i="8"/>
  <c r="F2350" i="8"/>
  <c r="E2350" i="8" s="1"/>
  <c r="D2350" i="8"/>
  <c r="C2350" i="8"/>
  <c r="F2349" i="8"/>
  <c r="E2349" i="8" s="1"/>
  <c r="D2349" i="8"/>
  <c r="C2349" i="8"/>
  <c r="F2348" i="8"/>
  <c r="E2348" i="8"/>
  <c r="D2348" i="8"/>
  <c r="C2348" i="8"/>
  <c r="F2347" i="8"/>
  <c r="E2347" i="8"/>
  <c r="D2347" i="8"/>
  <c r="C2347" i="8"/>
  <c r="F2346" i="8"/>
  <c r="E2346" i="8" s="1"/>
  <c r="D2346" i="8"/>
  <c r="C2346" i="8"/>
  <c r="F2345" i="8"/>
  <c r="E2345" i="8" s="1"/>
  <c r="D2345" i="8"/>
  <c r="C2345" i="8"/>
  <c r="F2344" i="8"/>
  <c r="E2344" i="8"/>
  <c r="D2344" i="8"/>
  <c r="C2344" i="8"/>
  <c r="F2343" i="8"/>
  <c r="E2343" i="8" s="1"/>
  <c r="D2343" i="8"/>
  <c r="C2343" i="8"/>
  <c r="F2342" i="8"/>
  <c r="E2342" i="8"/>
  <c r="D2342" i="8"/>
  <c r="C2342" i="8"/>
  <c r="F2341" i="8"/>
  <c r="E2341" i="8"/>
  <c r="D2341" i="8"/>
  <c r="C2341" i="8"/>
  <c r="F2340" i="8"/>
  <c r="E2340" i="8" s="1"/>
  <c r="D2340" i="8"/>
  <c r="C2340" i="8"/>
  <c r="F2339" i="8"/>
  <c r="E2339" i="8"/>
  <c r="D2339" i="8"/>
  <c r="C2339" i="8"/>
  <c r="F2338" i="8"/>
  <c r="E2338" i="8"/>
  <c r="D2338" i="8"/>
  <c r="C2338" i="8"/>
  <c r="F2337" i="8"/>
  <c r="E2337" i="8" s="1"/>
  <c r="D2337" i="8"/>
  <c r="C2337" i="8"/>
  <c r="F2336" i="8"/>
  <c r="E2336" i="8" s="1"/>
  <c r="D2336" i="8"/>
  <c r="C2336" i="8"/>
  <c r="F2335" i="8"/>
  <c r="E2335" i="8"/>
  <c r="D2335" i="8"/>
  <c r="C2335" i="8"/>
  <c r="F2334" i="8"/>
  <c r="E2334" i="8" s="1"/>
  <c r="D2334" i="8"/>
  <c r="C2334" i="8"/>
  <c r="F2333" i="8"/>
  <c r="E2333" i="8"/>
  <c r="D2333" i="8"/>
  <c r="C2333" i="8"/>
  <c r="F2332" i="8"/>
  <c r="E2332" i="8" s="1"/>
  <c r="D2332" i="8"/>
  <c r="C2332" i="8"/>
  <c r="F2331" i="8"/>
  <c r="E2331" i="8" s="1"/>
  <c r="D2331" i="8"/>
  <c r="C2331" i="8"/>
  <c r="F2330" i="8"/>
  <c r="E2330" i="8"/>
  <c r="D2330" i="8"/>
  <c r="C2330" i="8"/>
  <c r="F2329" i="8"/>
  <c r="E2329" i="8"/>
  <c r="D2329" i="8"/>
  <c r="C2329" i="8"/>
  <c r="F2328" i="8"/>
  <c r="E2328" i="8" s="1"/>
  <c r="D2328" i="8"/>
  <c r="C2328" i="8"/>
  <c r="F2327" i="8"/>
  <c r="E2327" i="8" s="1"/>
  <c r="D2327" i="8"/>
  <c r="C2327" i="8"/>
  <c r="F2326" i="8"/>
  <c r="E2326" i="8"/>
  <c r="D2326" i="8"/>
  <c r="C2326" i="8"/>
  <c r="F2325" i="8"/>
  <c r="E2325" i="8" s="1"/>
  <c r="D2325" i="8"/>
  <c r="C2325" i="8"/>
  <c r="F2324" i="8"/>
  <c r="E2324" i="8" s="1"/>
  <c r="D2324" i="8"/>
  <c r="C2324" i="8"/>
  <c r="F2323" i="8"/>
  <c r="E2323" i="8" s="1"/>
  <c r="D2323" i="8"/>
  <c r="C2323" i="8"/>
  <c r="F2322" i="8"/>
  <c r="E2322" i="8" s="1"/>
  <c r="D2322" i="8"/>
  <c r="C2322" i="8"/>
  <c r="F2321" i="8"/>
  <c r="E2321" i="8"/>
  <c r="D2321" i="8"/>
  <c r="C2321" i="8"/>
  <c r="F2320" i="8"/>
  <c r="E2320" i="8"/>
  <c r="D2320" i="8"/>
  <c r="C2320" i="8"/>
  <c r="F2319" i="8"/>
  <c r="E2319" i="8" s="1"/>
  <c r="D2319" i="8"/>
  <c r="C2319" i="8"/>
  <c r="F2318" i="8"/>
  <c r="E2318" i="8"/>
  <c r="D2318" i="8"/>
  <c r="C2318" i="8"/>
  <c r="F2317" i="8"/>
  <c r="E2317" i="8"/>
  <c r="D2317" i="8"/>
  <c r="C2317" i="8"/>
  <c r="F2316" i="8"/>
  <c r="E2316" i="8" s="1"/>
  <c r="D2316" i="8"/>
  <c r="C2316" i="8"/>
  <c r="F2315" i="8"/>
  <c r="E2315" i="8"/>
  <c r="D2315" i="8"/>
  <c r="C2315" i="8"/>
  <c r="F2314" i="8"/>
  <c r="E2314" i="8" s="1"/>
  <c r="D2314" i="8"/>
  <c r="C2314" i="8"/>
  <c r="F2313" i="8"/>
  <c r="E2313" i="8" s="1"/>
  <c r="D2313" i="8"/>
  <c r="C2313" i="8"/>
  <c r="F2312" i="8"/>
  <c r="E2312" i="8"/>
  <c r="D2312" i="8"/>
  <c r="C2312" i="8"/>
  <c r="F2311" i="8"/>
  <c r="E2311" i="8"/>
  <c r="D2311" i="8"/>
  <c r="C2311" i="8"/>
  <c r="F2310" i="8"/>
  <c r="E2310" i="8" s="1"/>
  <c r="D2310" i="8"/>
  <c r="C2310" i="8"/>
  <c r="F2309" i="8"/>
  <c r="E2309" i="8" s="1"/>
  <c r="D2309" i="8"/>
  <c r="C2309" i="8"/>
  <c r="F2308" i="8"/>
  <c r="E2308" i="8"/>
  <c r="D2308" i="8"/>
  <c r="C2308" i="8"/>
  <c r="F2307" i="8"/>
  <c r="E2307" i="8" s="1"/>
  <c r="D2307" i="8"/>
  <c r="C2307" i="8"/>
  <c r="F2306" i="8"/>
  <c r="E2306" i="8"/>
  <c r="D2306" i="8"/>
  <c r="C2306" i="8"/>
  <c r="F2305" i="8"/>
  <c r="E2305" i="8"/>
  <c r="D2305" i="8"/>
  <c r="C2305" i="8"/>
  <c r="F2304" i="8"/>
  <c r="E2304" i="8" s="1"/>
  <c r="D2304" i="8"/>
  <c r="C2304" i="8"/>
  <c r="F2303" i="8"/>
  <c r="E2303" i="8"/>
  <c r="D2303" i="8"/>
  <c r="C2303" i="8"/>
  <c r="F2302" i="8"/>
  <c r="E2302" i="8"/>
  <c r="D2302" i="8"/>
  <c r="C2302" i="8"/>
  <c r="F2301" i="8"/>
  <c r="E2301" i="8" s="1"/>
  <c r="D2301" i="8"/>
  <c r="C2301" i="8"/>
  <c r="F2300" i="8"/>
  <c r="E2300" i="8" s="1"/>
  <c r="D2300" i="8"/>
  <c r="C2300" i="8"/>
  <c r="F2299" i="8"/>
  <c r="E2299" i="8"/>
  <c r="D2299" i="8"/>
  <c r="C2299" i="8"/>
  <c r="F2298" i="8"/>
  <c r="E2298" i="8" s="1"/>
  <c r="D2298" i="8"/>
  <c r="C2298" i="8"/>
  <c r="F2297" i="8"/>
  <c r="E2297" i="8"/>
  <c r="D2297" i="8"/>
  <c r="C2297" i="8"/>
  <c r="F2296" i="8"/>
  <c r="E2296" i="8" s="1"/>
  <c r="D2296" i="8"/>
  <c r="C2296" i="8"/>
  <c r="F2295" i="8"/>
  <c r="E2295" i="8" s="1"/>
  <c r="D2295" i="8"/>
  <c r="C2295" i="8"/>
  <c r="F2294" i="8"/>
  <c r="E2294" i="8"/>
  <c r="D2294" i="8"/>
  <c r="C2294" i="8"/>
  <c r="F2293" i="8"/>
  <c r="E2293" i="8"/>
  <c r="D2293" i="8"/>
  <c r="C2293" i="8"/>
  <c r="F2292" i="8"/>
  <c r="E2292" i="8" s="1"/>
  <c r="D2292" i="8"/>
  <c r="C2292" i="8"/>
  <c r="F2291" i="8"/>
  <c r="E2291" i="8" s="1"/>
  <c r="D2291" i="8"/>
  <c r="C2291" i="8"/>
  <c r="F2290" i="8"/>
  <c r="E2290" i="8"/>
  <c r="D2290" i="8"/>
  <c r="C2290" i="8"/>
  <c r="F2289" i="8"/>
  <c r="E2289" i="8" s="1"/>
  <c r="D2289" i="8"/>
  <c r="C2289" i="8"/>
  <c r="F2288" i="8"/>
  <c r="E2288" i="8" s="1"/>
  <c r="D2288" i="8"/>
  <c r="C2288" i="8"/>
  <c r="F2287" i="8"/>
  <c r="E2287" i="8" s="1"/>
  <c r="D2287" i="8"/>
  <c r="C2287" i="8"/>
  <c r="F2286" i="8"/>
  <c r="E2286" i="8" s="1"/>
  <c r="D2286" i="8"/>
  <c r="C2286" i="8"/>
  <c r="F2285" i="8"/>
  <c r="E2285" i="8"/>
  <c r="D2285" i="8"/>
  <c r="C2285" i="8"/>
  <c r="F2284" i="8"/>
  <c r="E2284" i="8"/>
  <c r="D2284" i="8"/>
  <c r="C2284" i="8"/>
  <c r="F2283" i="8"/>
  <c r="E2283" i="8" s="1"/>
  <c r="D2283" i="8"/>
  <c r="C2283" i="8"/>
  <c r="F2282" i="8"/>
  <c r="E2282" i="8"/>
  <c r="D2282" i="8"/>
  <c r="C2282" i="8"/>
  <c r="F2281" i="8"/>
  <c r="E2281" i="8"/>
  <c r="D2281" i="8"/>
  <c r="C2281" i="8"/>
  <c r="F2280" i="8"/>
  <c r="E2280" i="8" s="1"/>
  <c r="D2280" i="8"/>
  <c r="C2280" i="8"/>
  <c r="F2279" i="8"/>
  <c r="E2279" i="8"/>
  <c r="D2279" i="8"/>
  <c r="C2279" i="8"/>
  <c r="F2278" i="8"/>
  <c r="E2278" i="8" s="1"/>
  <c r="D2278" i="8"/>
  <c r="C2278" i="8"/>
  <c r="F2277" i="8"/>
  <c r="E2277" i="8" s="1"/>
  <c r="D2277" i="8"/>
  <c r="C2277" i="8"/>
  <c r="F2276" i="8"/>
  <c r="E2276" i="8"/>
  <c r="D2276" i="8"/>
  <c r="C2276" i="8"/>
  <c r="F2275" i="8"/>
  <c r="E2275" i="8"/>
  <c r="D2275" i="8"/>
  <c r="C2275" i="8"/>
  <c r="F2274" i="8"/>
  <c r="E2274" i="8" s="1"/>
  <c r="D2274" i="8"/>
  <c r="C2274" i="8"/>
  <c r="F2273" i="8"/>
  <c r="E2273" i="8" s="1"/>
  <c r="D2273" i="8"/>
  <c r="C2273" i="8"/>
  <c r="F2272" i="8"/>
  <c r="E2272" i="8" s="1"/>
  <c r="D2272" i="8"/>
  <c r="C2272" i="8"/>
  <c r="F2271" i="8"/>
  <c r="E2271" i="8" s="1"/>
  <c r="D2271" i="8"/>
  <c r="C2271" i="8"/>
  <c r="F2270" i="8"/>
  <c r="E2270" i="8"/>
  <c r="D2270" i="8"/>
  <c r="C2270" i="8"/>
  <c r="F2269" i="8"/>
  <c r="E2269" i="8"/>
  <c r="D2269" i="8"/>
  <c r="C2269" i="8"/>
  <c r="F2268" i="8"/>
  <c r="E2268" i="8" s="1"/>
  <c r="D2268" i="8"/>
  <c r="C2268" i="8"/>
  <c r="F2267" i="8"/>
  <c r="E2267" i="8"/>
  <c r="D2267" i="8"/>
  <c r="C2267" i="8"/>
  <c r="F2266" i="8"/>
  <c r="E2266" i="8"/>
  <c r="D2266" i="8"/>
  <c r="C2266" i="8"/>
  <c r="F2265" i="8"/>
  <c r="E2265" i="8" s="1"/>
  <c r="D2265" i="8"/>
  <c r="C2265" i="8"/>
  <c r="F2264" i="8"/>
  <c r="E2264" i="8" s="1"/>
  <c r="D2264" i="8"/>
  <c r="C2264" i="8"/>
  <c r="F2263" i="8"/>
  <c r="E2263" i="8"/>
  <c r="D2263" i="8"/>
  <c r="C2263" i="8"/>
  <c r="F2262" i="8"/>
  <c r="E2262" i="8" s="1"/>
  <c r="D2262" i="8"/>
  <c r="C2262" i="8"/>
  <c r="F2261" i="8"/>
  <c r="E2261" i="8"/>
  <c r="D2261" i="8"/>
  <c r="C2261" i="8"/>
  <c r="F2260" i="8"/>
  <c r="E2260" i="8" s="1"/>
  <c r="D2260" i="8"/>
  <c r="C2260" i="8"/>
  <c r="F2259" i="8"/>
  <c r="E2259" i="8" s="1"/>
  <c r="D2259" i="8"/>
  <c r="C2259" i="8"/>
  <c r="F2258" i="8"/>
  <c r="E2258" i="8"/>
  <c r="D2258" i="8"/>
  <c r="C2258" i="8"/>
  <c r="F2257" i="8"/>
  <c r="E2257" i="8"/>
  <c r="D2257" i="8"/>
  <c r="C2257" i="8"/>
  <c r="F2256" i="8"/>
  <c r="E2256" i="8" s="1"/>
  <c r="D2256" i="8"/>
  <c r="C2256" i="8"/>
  <c r="F2255" i="8"/>
  <c r="E2255" i="8" s="1"/>
  <c r="D2255" i="8"/>
  <c r="C2255" i="8"/>
  <c r="F2254" i="8"/>
  <c r="E2254" i="8"/>
  <c r="D2254" i="8"/>
  <c r="C2254" i="8"/>
  <c r="F2253" i="8"/>
  <c r="E2253" i="8" s="1"/>
  <c r="D2253" i="8"/>
  <c r="C2253" i="8"/>
  <c r="F2252" i="8"/>
  <c r="E2252" i="8" s="1"/>
  <c r="D2252" i="8"/>
  <c r="C2252" i="8"/>
  <c r="F2251" i="8"/>
  <c r="E2251" i="8" s="1"/>
  <c r="D2251" i="8"/>
  <c r="C2251" i="8"/>
  <c r="F2250" i="8"/>
  <c r="E2250" i="8" s="1"/>
  <c r="D2250" i="8"/>
  <c r="C2250" i="8"/>
  <c r="F2249" i="8"/>
  <c r="E2249" i="8"/>
  <c r="D2249" i="8"/>
  <c r="C2249" i="8"/>
  <c r="F2248" i="8"/>
  <c r="E2248" i="8" s="1"/>
  <c r="D2248" i="8"/>
  <c r="C2248" i="8"/>
  <c r="F2247" i="8"/>
  <c r="E2247" i="8" s="1"/>
  <c r="D2247" i="8"/>
  <c r="C2247" i="8"/>
  <c r="F2246" i="8"/>
  <c r="E2246" i="8"/>
  <c r="D2246" i="8"/>
  <c r="C2246" i="8"/>
  <c r="F2245" i="8"/>
  <c r="E2245" i="8"/>
  <c r="D2245" i="8"/>
  <c r="C2245" i="8"/>
  <c r="F2244" i="8"/>
  <c r="E2244" i="8" s="1"/>
  <c r="D2244" i="8"/>
  <c r="C2244" i="8"/>
  <c r="F2243" i="8"/>
  <c r="E2243" i="8"/>
  <c r="D2243" i="8"/>
  <c r="C2243" i="8"/>
  <c r="F2242" i="8"/>
  <c r="E2242" i="8" s="1"/>
  <c r="D2242" i="8"/>
  <c r="C2242" i="8"/>
  <c r="F2241" i="8"/>
  <c r="E2241" i="8" s="1"/>
  <c r="D2241" i="8"/>
  <c r="C2241" i="8"/>
  <c r="F2240" i="8"/>
  <c r="E2240" i="8"/>
  <c r="D2240" i="8"/>
  <c r="C2240" i="8"/>
  <c r="F2239" i="8"/>
  <c r="E2239" i="8"/>
  <c r="D2239" i="8"/>
  <c r="C2239" i="8"/>
  <c r="F2238" i="8"/>
  <c r="E2238" i="8" s="1"/>
  <c r="D2238" i="8"/>
  <c r="C2238" i="8"/>
  <c r="F2237" i="8"/>
  <c r="E2237" i="8" s="1"/>
  <c r="D2237" i="8"/>
  <c r="C2237" i="8"/>
  <c r="F2236" i="8"/>
  <c r="E2236" i="8"/>
  <c r="D2236" i="8"/>
  <c r="C2236" i="8"/>
  <c r="F2235" i="8"/>
  <c r="E2235" i="8" s="1"/>
  <c r="D2235" i="8"/>
  <c r="C2235" i="8"/>
  <c r="F2234" i="8"/>
  <c r="E2234" i="8"/>
  <c r="D2234" i="8"/>
  <c r="C2234" i="8"/>
  <c r="F2233" i="8"/>
  <c r="E2233" i="8"/>
  <c r="D2233" i="8"/>
  <c r="C2233" i="8"/>
  <c r="F2232" i="8"/>
  <c r="E2232" i="8" s="1"/>
  <c r="D2232" i="8"/>
  <c r="C2232" i="8"/>
  <c r="F2231" i="8"/>
  <c r="E2231" i="8"/>
  <c r="D2231" i="8"/>
  <c r="C2231" i="8"/>
  <c r="F2230" i="8"/>
  <c r="E2230" i="8"/>
  <c r="D2230" i="8"/>
  <c r="C2230" i="8"/>
  <c r="F2229" i="8"/>
  <c r="E2229" i="8" s="1"/>
  <c r="D2229" i="8"/>
  <c r="C2229" i="8"/>
  <c r="F2228" i="8"/>
  <c r="E2228" i="8" s="1"/>
  <c r="D2228" i="8"/>
  <c r="C2228" i="8"/>
  <c r="F2227" i="8"/>
  <c r="E2227" i="8"/>
  <c r="D2227" i="8"/>
  <c r="C2227" i="8"/>
  <c r="F2226" i="8"/>
  <c r="E2226" i="8" s="1"/>
  <c r="D2226" i="8"/>
  <c r="C2226" i="8"/>
  <c r="F2225" i="8"/>
  <c r="E2225" i="8"/>
  <c r="D2225" i="8"/>
  <c r="C2225" i="8"/>
  <c r="F2224" i="8"/>
  <c r="E2224" i="8" s="1"/>
  <c r="D2224" i="8"/>
  <c r="C2224" i="8"/>
  <c r="F2223" i="8"/>
  <c r="E2223" i="8" s="1"/>
  <c r="D2223" i="8"/>
  <c r="C2223" i="8"/>
  <c r="F2222" i="8"/>
  <c r="E2222" i="8"/>
  <c r="D2222" i="8"/>
  <c r="C2222" i="8"/>
  <c r="F2221" i="8"/>
  <c r="E2221" i="8"/>
  <c r="D2221" i="8"/>
  <c r="C2221" i="8"/>
  <c r="F2220" i="8"/>
  <c r="E2220" i="8" s="1"/>
  <c r="D2220" i="8"/>
  <c r="C2220" i="8"/>
  <c r="F2219" i="8"/>
  <c r="E2219" i="8" s="1"/>
  <c r="D2219" i="8"/>
  <c r="C2219" i="8"/>
  <c r="F2218" i="8"/>
  <c r="E2218" i="8"/>
  <c r="D2218" i="8"/>
  <c r="C2218" i="8"/>
  <c r="F2217" i="8"/>
  <c r="E2217" i="8"/>
  <c r="D2217" i="8"/>
  <c r="C2217" i="8"/>
  <c r="F2216" i="8"/>
  <c r="E2216" i="8" s="1"/>
  <c r="D2216" i="8"/>
  <c r="C2216" i="8"/>
  <c r="F2215" i="8"/>
  <c r="E2215" i="8"/>
  <c r="D2215" i="8"/>
  <c r="C2215" i="8"/>
  <c r="F2214" i="8"/>
  <c r="E2214" i="8"/>
  <c r="D2214" i="8"/>
  <c r="C2214" i="8"/>
  <c r="F2213" i="8"/>
  <c r="E2213" i="8" s="1"/>
  <c r="D2213" i="8"/>
  <c r="C2213" i="8"/>
  <c r="F2212" i="8"/>
  <c r="E2212" i="8"/>
  <c r="D2212" i="8"/>
  <c r="C2212" i="8"/>
  <c r="F2211" i="8"/>
  <c r="E2211" i="8"/>
  <c r="D2211" i="8"/>
  <c r="C2211" i="8"/>
  <c r="F2210" i="8"/>
  <c r="E2210" i="8" s="1"/>
  <c r="D2210" i="8"/>
  <c r="C2210" i="8"/>
  <c r="F2209" i="8"/>
  <c r="E2209" i="8"/>
  <c r="D2209" i="8"/>
  <c r="C2209" i="8"/>
  <c r="F2208" i="8"/>
  <c r="E2208" i="8"/>
  <c r="D2208" i="8"/>
  <c r="C2208" i="8"/>
  <c r="F2207" i="8"/>
  <c r="E2207" i="8" s="1"/>
  <c r="D2207" i="8"/>
  <c r="C2207" i="8"/>
  <c r="F2206" i="8"/>
  <c r="E2206" i="8"/>
  <c r="D2206" i="8"/>
  <c r="C2206" i="8"/>
  <c r="F2205" i="8"/>
  <c r="E2205" i="8"/>
  <c r="D2205" i="8"/>
  <c r="C2205" i="8"/>
  <c r="F2204" i="8"/>
  <c r="E2204" i="8" s="1"/>
  <c r="D2204" i="8"/>
  <c r="C2204" i="8"/>
  <c r="F2203" i="8"/>
  <c r="E2203" i="8"/>
  <c r="D2203" i="8"/>
  <c r="C2203" i="8"/>
  <c r="F2202" i="8"/>
  <c r="E2202" i="8"/>
  <c r="D2202" i="8"/>
  <c r="C2202" i="8"/>
  <c r="F2201" i="8"/>
  <c r="E2201" i="8" s="1"/>
  <c r="D2201" i="8"/>
  <c r="C2201" i="8"/>
  <c r="F2200" i="8"/>
  <c r="E2200" i="8"/>
  <c r="D2200" i="8"/>
  <c r="C2200" i="8"/>
  <c r="F2199" i="8"/>
  <c r="E2199" i="8"/>
  <c r="D2199" i="8"/>
  <c r="C2199" i="8"/>
  <c r="F2198" i="8"/>
  <c r="E2198" i="8" s="1"/>
  <c r="D2198" i="8"/>
  <c r="C2198" i="8"/>
  <c r="F2197" i="8"/>
  <c r="E2197" i="8"/>
  <c r="D2197" i="8"/>
  <c r="C2197" i="8"/>
  <c r="F2196" i="8"/>
  <c r="E2196" i="8"/>
  <c r="D2196" i="8"/>
  <c r="C2196" i="8"/>
  <c r="F2195" i="8"/>
  <c r="E2195" i="8" s="1"/>
  <c r="D2195" i="8"/>
  <c r="C2195" i="8"/>
  <c r="F2194" i="8"/>
  <c r="E2194" i="8"/>
  <c r="D2194" i="8"/>
  <c r="C2194" i="8"/>
  <c r="F2193" i="8"/>
  <c r="E2193" i="8"/>
  <c r="D2193" i="8"/>
  <c r="C2193" i="8"/>
  <c r="F2192" i="8"/>
  <c r="E2192" i="8" s="1"/>
  <c r="D2192" i="8"/>
  <c r="C2192" i="8"/>
  <c r="F2191" i="8"/>
  <c r="E2191" i="8"/>
  <c r="D2191" i="8"/>
  <c r="C2191" i="8"/>
  <c r="F2190" i="8"/>
  <c r="E2190" i="8"/>
  <c r="D2190" i="8"/>
  <c r="C2190" i="8"/>
  <c r="F2189" i="8"/>
  <c r="E2189" i="8" s="1"/>
  <c r="D2189" i="8"/>
  <c r="C2189" i="8"/>
  <c r="F2188" i="8"/>
  <c r="E2188" i="8"/>
  <c r="D2188" i="8"/>
  <c r="C2188" i="8"/>
  <c r="F2187" i="8"/>
  <c r="E2187" i="8"/>
  <c r="D2187" i="8"/>
  <c r="C2187" i="8"/>
  <c r="F2186" i="8"/>
  <c r="E2186" i="8" s="1"/>
  <c r="D2186" i="8"/>
  <c r="C2186" i="8"/>
  <c r="F2185" i="8"/>
  <c r="E2185" i="8"/>
  <c r="D2185" i="8"/>
  <c r="C2185" i="8"/>
  <c r="F2184" i="8"/>
  <c r="E2184" i="8"/>
  <c r="D2184" i="8"/>
  <c r="C2184" i="8"/>
  <c r="F2183" i="8"/>
  <c r="E2183" i="8" s="1"/>
  <c r="D2183" i="8"/>
  <c r="C2183" i="8"/>
  <c r="F2182" i="8"/>
  <c r="E2182" i="8"/>
  <c r="D2182" i="8"/>
  <c r="C2182" i="8"/>
  <c r="F2181" i="8"/>
  <c r="E2181" i="8"/>
  <c r="D2181" i="8"/>
  <c r="C2181" i="8"/>
  <c r="F2180" i="8"/>
  <c r="E2180" i="8" s="1"/>
  <c r="D2180" i="8"/>
  <c r="C2180" i="8"/>
  <c r="F2179" i="8"/>
  <c r="E2179" i="8"/>
  <c r="D2179" i="8"/>
  <c r="C2179" i="8"/>
  <c r="F2178" i="8"/>
  <c r="E2178" i="8"/>
  <c r="D2178" i="8"/>
  <c r="C2178" i="8"/>
  <c r="F2177" i="8"/>
  <c r="E2177" i="8" s="1"/>
  <c r="D2177" i="8"/>
  <c r="C2177" i="8"/>
  <c r="F2176" i="8"/>
  <c r="E2176" i="8"/>
  <c r="D2176" i="8"/>
  <c r="C2176" i="8"/>
  <c r="F2175" i="8"/>
  <c r="E2175" i="8"/>
  <c r="D2175" i="8"/>
  <c r="C2175" i="8"/>
  <c r="F2174" i="8"/>
  <c r="E2174" i="8" s="1"/>
  <c r="D2174" i="8"/>
  <c r="C2174" i="8"/>
  <c r="F2173" i="8"/>
  <c r="E2173" i="8"/>
  <c r="D2173" i="8"/>
  <c r="C2173" i="8"/>
  <c r="F2172" i="8"/>
  <c r="E2172" i="8"/>
  <c r="D2172" i="8"/>
  <c r="C2172" i="8"/>
  <c r="F2171" i="8"/>
  <c r="E2171" i="8" s="1"/>
  <c r="D2171" i="8"/>
  <c r="C2171" i="8"/>
  <c r="F2170" i="8"/>
  <c r="E2170" i="8"/>
  <c r="D2170" i="8"/>
  <c r="C2170" i="8"/>
  <c r="F2169" i="8"/>
  <c r="E2169" i="8"/>
  <c r="D2169" i="8"/>
  <c r="C2169" i="8"/>
  <c r="F2168" i="8"/>
  <c r="E2168" i="8" s="1"/>
  <c r="D2168" i="8"/>
  <c r="C2168" i="8"/>
  <c r="F2167" i="8"/>
  <c r="E2167" i="8"/>
  <c r="D2167" i="8"/>
  <c r="C2167" i="8"/>
  <c r="F2166" i="8"/>
  <c r="E2166" i="8"/>
  <c r="D2166" i="8"/>
  <c r="C2166" i="8"/>
  <c r="F2165" i="8"/>
  <c r="E2165" i="8" s="1"/>
  <c r="D2165" i="8"/>
  <c r="C2165" i="8"/>
  <c r="F2164" i="8"/>
  <c r="E2164" i="8"/>
  <c r="D2164" i="8"/>
  <c r="C2164" i="8"/>
  <c r="F2163" i="8"/>
  <c r="E2163" i="8"/>
  <c r="D2163" i="8"/>
  <c r="C2163" i="8"/>
  <c r="F2162" i="8"/>
  <c r="E2162" i="8" s="1"/>
  <c r="D2162" i="8"/>
  <c r="C2162" i="8"/>
  <c r="F2161" i="8"/>
  <c r="E2161" i="8"/>
  <c r="D2161" i="8"/>
  <c r="C2161" i="8"/>
  <c r="F2160" i="8"/>
  <c r="E2160" i="8"/>
  <c r="D2160" i="8"/>
  <c r="C2160" i="8"/>
  <c r="F2159" i="8"/>
  <c r="E2159" i="8" s="1"/>
  <c r="D2159" i="8"/>
  <c r="C2159" i="8"/>
  <c r="F2158" i="8"/>
  <c r="E2158" i="8"/>
  <c r="D2158" i="8"/>
  <c r="C2158" i="8"/>
  <c r="F2157" i="8"/>
  <c r="E2157" i="8"/>
  <c r="D2157" i="8"/>
  <c r="C2157" i="8"/>
  <c r="F2156" i="8"/>
  <c r="E2156" i="8" s="1"/>
  <c r="D2156" i="8"/>
  <c r="C2156" i="8"/>
  <c r="F2155" i="8"/>
  <c r="E2155" i="8"/>
  <c r="D2155" i="8"/>
  <c r="C2155" i="8"/>
  <c r="F2154" i="8"/>
  <c r="E2154" i="8"/>
  <c r="D2154" i="8"/>
  <c r="C2154" i="8"/>
  <c r="F2153" i="8"/>
  <c r="E2153" i="8" s="1"/>
  <c r="D2153" i="8"/>
  <c r="C2153" i="8"/>
  <c r="F2152" i="8"/>
  <c r="E2152" i="8"/>
  <c r="D2152" i="8"/>
  <c r="C2152" i="8"/>
  <c r="F2151" i="8"/>
  <c r="E2151" i="8"/>
  <c r="D2151" i="8"/>
  <c r="C2151" i="8"/>
  <c r="F2150" i="8"/>
  <c r="E2150" i="8" s="1"/>
  <c r="D2150" i="8"/>
  <c r="C2150" i="8"/>
  <c r="F2149" i="8"/>
  <c r="E2149" i="8"/>
  <c r="D2149" i="8"/>
  <c r="C2149" i="8"/>
  <c r="F2148" i="8"/>
  <c r="E2148" i="8"/>
  <c r="D2148" i="8"/>
  <c r="C2148" i="8"/>
  <c r="F2147" i="8"/>
  <c r="E2147" i="8" s="1"/>
  <c r="D2147" i="8"/>
  <c r="C2147" i="8"/>
  <c r="F2146" i="8"/>
  <c r="E2146" i="8"/>
  <c r="D2146" i="8"/>
  <c r="C2146" i="8"/>
  <c r="F2145" i="8"/>
  <c r="E2145" i="8"/>
  <c r="D2145" i="8"/>
  <c r="C2145" i="8"/>
  <c r="F2144" i="8"/>
  <c r="E2144" i="8" s="1"/>
  <c r="D2144" i="8"/>
  <c r="C2144" i="8"/>
  <c r="F2143" i="8"/>
  <c r="E2143" i="8"/>
  <c r="D2143" i="8"/>
  <c r="C2143" i="8"/>
  <c r="F2142" i="8"/>
  <c r="E2142" i="8"/>
  <c r="D2142" i="8"/>
  <c r="C2142" i="8"/>
  <c r="F2141" i="8"/>
  <c r="E2141" i="8" s="1"/>
  <c r="D2141" i="8"/>
  <c r="C2141" i="8"/>
  <c r="F2140" i="8"/>
  <c r="E2140" i="8"/>
  <c r="D2140" i="8"/>
  <c r="C2140" i="8"/>
  <c r="F2139" i="8"/>
  <c r="E2139" i="8"/>
  <c r="D2139" i="8"/>
  <c r="C2139" i="8"/>
  <c r="F2138" i="8"/>
  <c r="E2138" i="8" s="1"/>
  <c r="D2138" i="8"/>
  <c r="C2138" i="8"/>
  <c r="F2137" i="8"/>
  <c r="E2137" i="8"/>
  <c r="D2137" i="8"/>
  <c r="C2137" i="8"/>
  <c r="F2136" i="8"/>
  <c r="E2136" i="8"/>
  <c r="D2136" i="8"/>
  <c r="C2136" i="8"/>
  <c r="F2135" i="8"/>
  <c r="E2135" i="8" s="1"/>
  <c r="D2135" i="8"/>
  <c r="C2135" i="8"/>
  <c r="F2134" i="8"/>
  <c r="E2134" i="8"/>
  <c r="D2134" i="8"/>
  <c r="C2134" i="8"/>
  <c r="F2133" i="8"/>
  <c r="E2133" i="8"/>
  <c r="D2133" i="8"/>
  <c r="C2133" i="8"/>
  <c r="F2132" i="8"/>
  <c r="E2132" i="8" s="1"/>
  <c r="D2132" i="8"/>
  <c r="C2132" i="8"/>
  <c r="F2131" i="8"/>
  <c r="E2131" i="8"/>
  <c r="D2131" i="8"/>
  <c r="C2131" i="8"/>
  <c r="F2130" i="8"/>
  <c r="E2130" i="8"/>
  <c r="D2130" i="8"/>
  <c r="C2130" i="8"/>
  <c r="F2129" i="8"/>
  <c r="E2129" i="8" s="1"/>
  <c r="D2129" i="8"/>
  <c r="C2129" i="8"/>
  <c r="F2128" i="8"/>
  <c r="E2128" i="8"/>
  <c r="D2128" i="8"/>
  <c r="C2128" i="8"/>
  <c r="F2127" i="8"/>
  <c r="E2127" i="8"/>
  <c r="D2127" i="8"/>
  <c r="C2127" i="8"/>
  <c r="F2126" i="8"/>
  <c r="E2126" i="8" s="1"/>
  <c r="D2126" i="8"/>
  <c r="C2126" i="8"/>
  <c r="F2125" i="8"/>
  <c r="E2125" i="8"/>
  <c r="D2125" i="8"/>
  <c r="C2125" i="8"/>
  <c r="F2124" i="8"/>
  <c r="E2124" i="8"/>
  <c r="D2124" i="8"/>
  <c r="C2124" i="8"/>
  <c r="F2123" i="8"/>
  <c r="E2123" i="8" s="1"/>
  <c r="D2123" i="8"/>
  <c r="C2123" i="8"/>
  <c r="F2122" i="8"/>
  <c r="E2122" i="8"/>
  <c r="D2122" i="8"/>
  <c r="C2122" i="8"/>
  <c r="F2121" i="8"/>
  <c r="E2121" i="8"/>
  <c r="D2121" i="8"/>
  <c r="C2121" i="8"/>
  <c r="F2120" i="8"/>
  <c r="E2120" i="8" s="1"/>
  <c r="D2120" i="8"/>
  <c r="C2120" i="8"/>
  <c r="F2119" i="8"/>
  <c r="E2119" i="8"/>
  <c r="D2119" i="8"/>
  <c r="C2119" i="8"/>
  <c r="F2118" i="8"/>
  <c r="E2118" i="8"/>
  <c r="D2118" i="8"/>
  <c r="C2118" i="8"/>
  <c r="F2117" i="8"/>
  <c r="E2117" i="8" s="1"/>
  <c r="D2117" i="8"/>
  <c r="C2117" i="8"/>
  <c r="F2116" i="8"/>
  <c r="E2116" i="8"/>
  <c r="D2116" i="8"/>
  <c r="C2116" i="8"/>
  <c r="F2115" i="8"/>
  <c r="E2115" i="8"/>
  <c r="D2115" i="8"/>
  <c r="C2115" i="8"/>
  <c r="F2114" i="8"/>
  <c r="E2114" i="8" s="1"/>
  <c r="D2114" i="8"/>
  <c r="C2114" i="8"/>
  <c r="F2113" i="8"/>
  <c r="E2113" i="8"/>
  <c r="D2113" i="8"/>
  <c r="C2113" i="8"/>
  <c r="F2112" i="8"/>
  <c r="E2112" i="8"/>
  <c r="D2112" i="8"/>
  <c r="C2112" i="8"/>
  <c r="F2111" i="8"/>
  <c r="E2111" i="8" s="1"/>
  <c r="D2111" i="8"/>
  <c r="C2111" i="8"/>
  <c r="F2110" i="8"/>
  <c r="E2110" i="8"/>
  <c r="D2110" i="8"/>
  <c r="C2110" i="8"/>
  <c r="F2109" i="8"/>
  <c r="E2109" i="8"/>
  <c r="D2109" i="8"/>
  <c r="C2109" i="8"/>
  <c r="F2108" i="8"/>
  <c r="E2108" i="8" s="1"/>
  <c r="D2108" i="8"/>
  <c r="C2108" i="8"/>
  <c r="F2107" i="8"/>
  <c r="E2107" i="8"/>
  <c r="D2107" i="8"/>
  <c r="C2107" i="8"/>
  <c r="F2106" i="8"/>
  <c r="E2106" i="8"/>
  <c r="D2106" i="8"/>
  <c r="C2106" i="8"/>
  <c r="F2105" i="8"/>
  <c r="E2105" i="8" s="1"/>
  <c r="D2105" i="8"/>
  <c r="C2105" i="8"/>
  <c r="F2104" i="8"/>
  <c r="E2104" i="8"/>
  <c r="D2104" i="8"/>
  <c r="C2104" i="8"/>
  <c r="F2103" i="8"/>
  <c r="E2103" i="8"/>
  <c r="D2103" i="8"/>
  <c r="C2103" i="8"/>
  <c r="F2102" i="8"/>
  <c r="E2102" i="8" s="1"/>
  <c r="D2102" i="8"/>
  <c r="C2102" i="8"/>
  <c r="F2101" i="8"/>
  <c r="E2101" i="8"/>
  <c r="D2101" i="8"/>
  <c r="C2101" i="8"/>
  <c r="F2100" i="8"/>
  <c r="E2100" i="8"/>
  <c r="D2100" i="8"/>
  <c r="C2100" i="8"/>
  <c r="F2099" i="8"/>
  <c r="E2099" i="8" s="1"/>
  <c r="D2099" i="8"/>
  <c r="C2099" i="8"/>
  <c r="F2098" i="8"/>
  <c r="E2098" i="8"/>
  <c r="D2098" i="8"/>
  <c r="C2098" i="8"/>
  <c r="F2097" i="8"/>
  <c r="E2097" i="8"/>
  <c r="D2097" i="8"/>
  <c r="C2097" i="8"/>
  <c r="F2096" i="8"/>
  <c r="E2096" i="8" s="1"/>
  <c r="D2096" i="8"/>
  <c r="C2096" i="8"/>
  <c r="F2095" i="8"/>
  <c r="E2095" i="8"/>
  <c r="D2095" i="8"/>
  <c r="C2095" i="8"/>
  <c r="F2094" i="8"/>
  <c r="E2094" i="8"/>
  <c r="D2094" i="8"/>
  <c r="C2094" i="8"/>
  <c r="F2093" i="8"/>
  <c r="E2093" i="8" s="1"/>
  <c r="D2093" i="8"/>
  <c r="C2093" i="8"/>
  <c r="F2092" i="8"/>
  <c r="E2092" i="8"/>
  <c r="D2092" i="8"/>
  <c r="C2092" i="8"/>
  <c r="F2091" i="8"/>
  <c r="E2091" i="8"/>
  <c r="D2091" i="8"/>
  <c r="C2091" i="8"/>
  <c r="F2090" i="8"/>
  <c r="E2090" i="8" s="1"/>
  <c r="D2090" i="8"/>
  <c r="C2090" i="8"/>
  <c r="F2089" i="8"/>
  <c r="E2089" i="8"/>
  <c r="D2089" i="8"/>
  <c r="C2089" i="8"/>
  <c r="F2088" i="8"/>
  <c r="E2088" i="8"/>
  <c r="D2088" i="8"/>
  <c r="C2088" i="8"/>
  <c r="F2087" i="8"/>
  <c r="E2087" i="8" s="1"/>
  <c r="D2087" i="8"/>
  <c r="C2087" i="8"/>
  <c r="F2086" i="8"/>
  <c r="E2086" i="8"/>
  <c r="D2086" i="8"/>
  <c r="C2086" i="8"/>
  <c r="F2085" i="8"/>
  <c r="E2085" i="8"/>
  <c r="D2085" i="8"/>
  <c r="C2085" i="8"/>
  <c r="F2084" i="8"/>
  <c r="E2084" i="8" s="1"/>
  <c r="D2084" i="8"/>
  <c r="C2084" i="8"/>
  <c r="F2083" i="8"/>
  <c r="E2083" i="8"/>
  <c r="D2083" i="8"/>
  <c r="C2083" i="8"/>
  <c r="F2082" i="8"/>
  <c r="E2082" i="8"/>
  <c r="D2082" i="8"/>
  <c r="C2082" i="8"/>
  <c r="F2081" i="8"/>
  <c r="E2081" i="8" s="1"/>
  <c r="D2081" i="8"/>
  <c r="C2081" i="8"/>
  <c r="F2080" i="8"/>
  <c r="E2080" i="8"/>
  <c r="D2080" i="8"/>
  <c r="C2080" i="8"/>
  <c r="F2079" i="8"/>
  <c r="E2079" i="8"/>
  <c r="D2079" i="8"/>
  <c r="C2079" i="8"/>
  <c r="F2078" i="8"/>
  <c r="E2078" i="8" s="1"/>
  <c r="D2078" i="8"/>
  <c r="C2078" i="8"/>
  <c r="F2077" i="8"/>
  <c r="E2077" i="8"/>
  <c r="D2077" i="8"/>
  <c r="C2077" i="8"/>
  <c r="F2076" i="8"/>
  <c r="E2076" i="8"/>
  <c r="D2076" i="8"/>
  <c r="C2076" i="8"/>
  <c r="F2075" i="8"/>
  <c r="E2075" i="8" s="1"/>
  <c r="D2075" i="8"/>
  <c r="C2075" i="8"/>
  <c r="F2074" i="8"/>
  <c r="E2074" i="8"/>
  <c r="D2074" i="8"/>
  <c r="C2074" i="8"/>
  <c r="F2073" i="8"/>
  <c r="E2073" i="8"/>
  <c r="D2073" i="8"/>
  <c r="C2073" i="8"/>
  <c r="F2072" i="8"/>
  <c r="E2072" i="8" s="1"/>
  <c r="D2072" i="8"/>
  <c r="C2072" i="8"/>
  <c r="F2071" i="8"/>
  <c r="E2071" i="8"/>
  <c r="D2071" i="8"/>
  <c r="C2071" i="8"/>
  <c r="F2070" i="8"/>
  <c r="E2070" i="8"/>
  <c r="D2070" i="8"/>
  <c r="C2070" i="8"/>
  <c r="F2069" i="8"/>
  <c r="E2069" i="8" s="1"/>
  <c r="D2069" i="8"/>
  <c r="C2069" i="8"/>
  <c r="F2068" i="8"/>
  <c r="E2068" i="8"/>
  <c r="D2068" i="8"/>
  <c r="C2068" i="8"/>
  <c r="F2067" i="8"/>
  <c r="E2067" i="8"/>
  <c r="D2067" i="8"/>
  <c r="C2067" i="8"/>
  <c r="F2066" i="8"/>
  <c r="E2066" i="8" s="1"/>
  <c r="D2066" i="8"/>
  <c r="C2066" i="8"/>
  <c r="F2065" i="8"/>
  <c r="E2065" i="8"/>
  <c r="D2065" i="8"/>
  <c r="C2065" i="8"/>
  <c r="F2064" i="8"/>
  <c r="E2064" i="8"/>
  <c r="D2064" i="8"/>
  <c r="C2064" i="8"/>
  <c r="F2063" i="8"/>
  <c r="E2063" i="8" s="1"/>
  <c r="D2063" i="8"/>
  <c r="C2063" i="8"/>
  <c r="F2062" i="8"/>
  <c r="E2062" i="8"/>
  <c r="D2062" i="8"/>
  <c r="C2062" i="8"/>
  <c r="F2061" i="8"/>
  <c r="E2061" i="8"/>
  <c r="D2061" i="8"/>
  <c r="C2061" i="8"/>
  <c r="F2060" i="8"/>
  <c r="E2060" i="8" s="1"/>
  <c r="D2060" i="8"/>
  <c r="C2060" i="8"/>
  <c r="F2059" i="8"/>
  <c r="E2059" i="8"/>
  <c r="D2059" i="8"/>
  <c r="C2059" i="8"/>
  <c r="F2058" i="8"/>
  <c r="E2058" i="8"/>
  <c r="D2058" i="8"/>
  <c r="C2058" i="8"/>
  <c r="F2057" i="8"/>
  <c r="E2057" i="8" s="1"/>
  <c r="D2057" i="8"/>
  <c r="C2057" i="8"/>
  <c r="F2056" i="8"/>
  <c r="E2056" i="8"/>
  <c r="D2056" i="8"/>
  <c r="C2056" i="8"/>
  <c r="F2055" i="8"/>
  <c r="E2055" i="8"/>
  <c r="D2055" i="8"/>
  <c r="C2055" i="8"/>
  <c r="F2054" i="8"/>
  <c r="E2054" i="8" s="1"/>
  <c r="D2054" i="8"/>
  <c r="C2054" i="8"/>
  <c r="F2053" i="8"/>
  <c r="E2053" i="8"/>
  <c r="D2053" i="8"/>
  <c r="C2053" i="8"/>
  <c r="F2052" i="8"/>
  <c r="E2052" i="8"/>
  <c r="D2052" i="8"/>
  <c r="C2052" i="8"/>
  <c r="F2051" i="8"/>
  <c r="E2051" i="8" s="1"/>
  <c r="D2051" i="8"/>
  <c r="C2051" i="8"/>
  <c r="F2050" i="8"/>
  <c r="E2050" i="8"/>
  <c r="D2050" i="8"/>
  <c r="C2050" i="8"/>
  <c r="F2049" i="8"/>
  <c r="E2049" i="8"/>
  <c r="D2049" i="8"/>
  <c r="C2049" i="8"/>
  <c r="F2048" i="8"/>
  <c r="E2048" i="8" s="1"/>
  <c r="D2048" i="8"/>
  <c r="C2048" i="8"/>
  <c r="F2047" i="8"/>
  <c r="E2047" i="8"/>
  <c r="D2047" i="8"/>
  <c r="C2047" i="8"/>
  <c r="F2046" i="8"/>
  <c r="E2046" i="8"/>
  <c r="D2046" i="8"/>
  <c r="C2046" i="8"/>
  <c r="F2045" i="8"/>
  <c r="E2045" i="8" s="1"/>
  <c r="D2045" i="8"/>
  <c r="C2045" i="8"/>
  <c r="F2044" i="8"/>
  <c r="E2044" i="8"/>
  <c r="D2044" i="8"/>
  <c r="C2044" i="8"/>
  <c r="F2043" i="8"/>
  <c r="E2043" i="8"/>
  <c r="D2043" i="8"/>
  <c r="C2043" i="8"/>
  <c r="F2042" i="8"/>
  <c r="E2042" i="8" s="1"/>
  <c r="D2042" i="8"/>
  <c r="C2042" i="8"/>
  <c r="F2041" i="8"/>
  <c r="E2041" i="8"/>
  <c r="D2041" i="8"/>
  <c r="C2041" i="8"/>
  <c r="F2040" i="8"/>
  <c r="E2040" i="8"/>
  <c r="D2040" i="8"/>
  <c r="C2040" i="8"/>
  <c r="F2039" i="8"/>
  <c r="E2039" i="8" s="1"/>
  <c r="D2039" i="8"/>
  <c r="C2039" i="8"/>
  <c r="F2038" i="8"/>
  <c r="E2038" i="8"/>
  <c r="D2038" i="8"/>
  <c r="C2038" i="8"/>
  <c r="F2037" i="8"/>
  <c r="E2037" i="8"/>
  <c r="D2037" i="8"/>
  <c r="C2037" i="8"/>
  <c r="F2036" i="8"/>
  <c r="E2036" i="8" s="1"/>
  <c r="D2036" i="8"/>
  <c r="C2036" i="8"/>
  <c r="F2035" i="8"/>
  <c r="E2035" i="8"/>
  <c r="D2035" i="8"/>
  <c r="C2035" i="8"/>
  <c r="F2034" i="8"/>
  <c r="E2034" i="8"/>
  <c r="D2034" i="8"/>
  <c r="C2034" i="8"/>
  <c r="F2033" i="8"/>
  <c r="E2033" i="8" s="1"/>
  <c r="D2033" i="8"/>
  <c r="C2033" i="8"/>
  <c r="F2032" i="8"/>
  <c r="E2032" i="8"/>
  <c r="D2032" i="8"/>
  <c r="C2032" i="8"/>
  <c r="F2031" i="8"/>
  <c r="E2031" i="8"/>
  <c r="D2031" i="8"/>
  <c r="C2031" i="8"/>
  <c r="F2030" i="8"/>
  <c r="E2030" i="8" s="1"/>
  <c r="D2030" i="8"/>
  <c r="C2030" i="8"/>
  <c r="F2029" i="8"/>
  <c r="E2029" i="8"/>
  <c r="D2029" i="8"/>
  <c r="C2029" i="8"/>
  <c r="F2028" i="8"/>
  <c r="E2028" i="8"/>
  <c r="D2028" i="8"/>
  <c r="C2028" i="8"/>
  <c r="F2027" i="8"/>
  <c r="E2027" i="8" s="1"/>
  <c r="D2027" i="8"/>
  <c r="C2027" i="8"/>
  <c r="F2026" i="8"/>
  <c r="E2026" i="8"/>
  <c r="D2026" i="8"/>
  <c r="C2026" i="8"/>
  <c r="F2025" i="8"/>
  <c r="E2025" i="8"/>
  <c r="D2025" i="8"/>
  <c r="C2025" i="8"/>
  <c r="F2024" i="8"/>
  <c r="E2024" i="8" s="1"/>
  <c r="D2024" i="8"/>
  <c r="C2024" i="8"/>
  <c r="F2023" i="8"/>
  <c r="E2023" i="8"/>
  <c r="D2023" i="8"/>
  <c r="C2023" i="8"/>
  <c r="F2022" i="8"/>
  <c r="E2022" i="8"/>
  <c r="D2022" i="8"/>
  <c r="C2022" i="8"/>
  <c r="F2021" i="8"/>
  <c r="E2021" i="8" s="1"/>
  <c r="D2021" i="8"/>
  <c r="C2021" i="8"/>
  <c r="F2020" i="8"/>
  <c r="E2020" i="8"/>
  <c r="D2020" i="8"/>
  <c r="C2020" i="8"/>
  <c r="F2019" i="8"/>
  <c r="E2019" i="8"/>
  <c r="D2019" i="8"/>
  <c r="C2019" i="8"/>
  <c r="F2018" i="8"/>
  <c r="E2018" i="8" s="1"/>
  <c r="D2018" i="8"/>
  <c r="C2018" i="8"/>
  <c r="F2017" i="8"/>
  <c r="E2017" i="8"/>
  <c r="D2017" i="8"/>
  <c r="C2017" i="8"/>
  <c r="F2016" i="8"/>
  <c r="E2016" i="8"/>
  <c r="D2016" i="8"/>
  <c r="C2016" i="8"/>
  <c r="F2015" i="8"/>
  <c r="E2015" i="8" s="1"/>
  <c r="D2015" i="8"/>
  <c r="C2015" i="8"/>
  <c r="F2014" i="8"/>
  <c r="E2014" i="8"/>
  <c r="D2014" i="8"/>
  <c r="C2014" i="8"/>
  <c r="F2013" i="8"/>
  <c r="E2013" i="8"/>
  <c r="D2013" i="8"/>
  <c r="C2013" i="8"/>
  <c r="F2012" i="8"/>
  <c r="E2012" i="8" s="1"/>
  <c r="D2012" i="8"/>
  <c r="C2012" i="8"/>
  <c r="F2011" i="8"/>
  <c r="E2011" i="8"/>
  <c r="D2011" i="8"/>
  <c r="C2011" i="8"/>
  <c r="F2010" i="8"/>
  <c r="E2010" i="8"/>
  <c r="D2010" i="8"/>
  <c r="C2010" i="8"/>
  <c r="F2009" i="8"/>
  <c r="E2009" i="8" s="1"/>
  <c r="D2009" i="8"/>
  <c r="C2009" i="8"/>
  <c r="F2008" i="8"/>
  <c r="E2008" i="8"/>
  <c r="D2008" i="8"/>
  <c r="C2008" i="8"/>
  <c r="F2007" i="8"/>
  <c r="E2007" i="8"/>
  <c r="D2007" i="8"/>
  <c r="C2007" i="8"/>
  <c r="F2006" i="8"/>
  <c r="E2006" i="8" s="1"/>
  <c r="D2006" i="8"/>
  <c r="C2006" i="8"/>
  <c r="F2005" i="8"/>
  <c r="E2005" i="8"/>
  <c r="D2005" i="8"/>
  <c r="C2005" i="8"/>
  <c r="F2004" i="8"/>
  <c r="E2004" i="8"/>
  <c r="D2004" i="8"/>
  <c r="C2004" i="8"/>
  <c r="F2003" i="8"/>
  <c r="E2003" i="8" s="1"/>
  <c r="D2003" i="8"/>
  <c r="C2003" i="8"/>
  <c r="F2002" i="8"/>
  <c r="E2002" i="8"/>
  <c r="D2002" i="8"/>
  <c r="C2002" i="8"/>
  <c r="F2001" i="8"/>
  <c r="E2001" i="8"/>
  <c r="D2001" i="8"/>
  <c r="C2001" i="8"/>
  <c r="F2000" i="8"/>
  <c r="E2000" i="8" s="1"/>
  <c r="D2000" i="8"/>
  <c r="C2000" i="8"/>
  <c r="F1999" i="8"/>
  <c r="E1999" i="8"/>
  <c r="D1999" i="8"/>
  <c r="C1999" i="8"/>
  <c r="F1998" i="8"/>
  <c r="E1998" i="8"/>
  <c r="D1998" i="8"/>
  <c r="C1998" i="8"/>
  <c r="F1997" i="8"/>
  <c r="E1997" i="8" s="1"/>
  <c r="D1997" i="8"/>
  <c r="C1997" i="8"/>
  <c r="F1996" i="8"/>
  <c r="E1996" i="8"/>
  <c r="D1996" i="8"/>
  <c r="C1996" i="8"/>
  <c r="F1995" i="8"/>
  <c r="E1995" i="8"/>
  <c r="D1995" i="8"/>
  <c r="C1995" i="8"/>
  <c r="F1994" i="8"/>
  <c r="E1994" i="8" s="1"/>
  <c r="D1994" i="8"/>
  <c r="C1994" i="8"/>
  <c r="F1993" i="8"/>
  <c r="E1993" i="8"/>
  <c r="D1993" i="8"/>
  <c r="C1993" i="8"/>
  <c r="F1992" i="8"/>
  <c r="E1992" i="8"/>
  <c r="D1992" i="8"/>
  <c r="C1992" i="8"/>
  <c r="F1991" i="8"/>
  <c r="E1991" i="8" s="1"/>
  <c r="D1991" i="8"/>
  <c r="C1991" i="8"/>
  <c r="F1990" i="8"/>
  <c r="E1990" i="8"/>
  <c r="D1990" i="8"/>
  <c r="C1990" i="8"/>
  <c r="F1989" i="8"/>
  <c r="E1989" i="8"/>
  <c r="D1989" i="8"/>
  <c r="C1989" i="8"/>
  <c r="F1988" i="8"/>
  <c r="E1988" i="8" s="1"/>
  <c r="D1988" i="8"/>
  <c r="C1988" i="8"/>
  <c r="F1987" i="8"/>
  <c r="E1987" i="8"/>
  <c r="D1987" i="8"/>
  <c r="C1987" i="8"/>
  <c r="F1986" i="8"/>
  <c r="E1986" i="8"/>
  <c r="D1986" i="8"/>
  <c r="C1986" i="8"/>
  <c r="F1985" i="8"/>
  <c r="E1985" i="8" s="1"/>
  <c r="D1985" i="8"/>
  <c r="C1985" i="8"/>
  <c r="F1984" i="8"/>
  <c r="E1984" i="8"/>
  <c r="D1984" i="8"/>
  <c r="C1984" i="8"/>
  <c r="F1983" i="8"/>
  <c r="E1983" i="8"/>
  <c r="D1983" i="8"/>
  <c r="C1983" i="8"/>
  <c r="F1982" i="8"/>
  <c r="E1982" i="8" s="1"/>
  <c r="D1982" i="8"/>
  <c r="C1982" i="8"/>
  <c r="F1981" i="8"/>
  <c r="E1981" i="8"/>
  <c r="D1981" i="8"/>
  <c r="C1981" i="8"/>
  <c r="F1980" i="8"/>
  <c r="E1980" i="8"/>
  <c r="D1980" i="8"/>
  <c r="C1980" i="8"/>
  <c r="F1979" i="8"/>
  <c r="E1979" i="8" s="1"/>
  <c r="D1979" i="8"/>
  <c r="C1979" i="8"/>
  <c r="F1978" i="8"/>
  <c r="E1978" i="8"/>
  <c r="D1978" i="8"/>
  <c r="C1978" i="8"/>
  <c r="F1977" i="8"/>
  <c r="E1977" i="8"/>
  <c r="D1977" i="8"/>
  <c r="C1977" i="8"/>
  <c r="F1976" i="8"/>
  <c r="E1976" i="8" s="1"/>
  <c r="D1976" i="8"/>
  <c r="C1976" i="8"/>
  <c r="F1975" i="8"/>
  <c r="E1975" i="8"/>
  <c r="D1975" i="8"/>
  <c r="C1975" i="8"/>
  <c r="F1974" i="8"/>
  <c r="E1974" i="8"/>
  <c r="D1974" i="8"/>
  <c r="C1974" i="8"/>
  <c r="F1973" i="8"/>
  <c r="E1973" i="8" s="1"/>
  <c r="D1973" i="8"/>
  <c r="C1973" i="8"/>
  <c r="F1972" i="8"/>
  <c r="E1972" i="8"/>
  <c r="D1972" i="8"/>
  <c r="C1972" i="8"/>
  <c r="F1971" i="8"/>
  <c r="E1971" i="8"/>
  <c r="D1971" i="8"/>
  <c r="C1971" i="8"/>
  <c r="F1970" i="8"/>
  <c r="E1970" i="8" s="1"/>
  <c r="D1970" i="8"/>
  <c r="C1970" i="8"/>
  <c r="F1969" i="8"/>
  <c r="E1969" i="8"/>
  <c r="D1969" i="8"/>
  <c r="C1969" i="8"/>
  <c r="F1968" i="8"/>
  <c r="E1968" i="8"/>
  <c r="D1968" i="8"/>
  <c r="C1968" i="8"/>
  <c r="F1967" i="8"/>
  <c r="E1967" i="8" s="1"/>
  <c r="D1967" i="8"/>
  <c r="C1967" i="8"/>
  <c r="F1966" i="8"/>
  <c r="E1966" i="8"/>
  <c r="D1966" i="8"/>
  <c r="C1966" i="8"/>
  <c r="F1965" i="8"/>
  <c r="E1965" i="8"/>
  <c r="D1965" i="8"/>
  <c r="C1965" i="8"/>
  <c r="F1964" i="8"/>
  <c r="E1964" i="8" s="1"/>
  <c r="D1964" i="8"/>
  <c r="C1964" i="8"/>
  <c r="F1963" i="8"/>
  <c r="E1963" i="8"/>
  <c r="D1963" i="8"/>
  <c r="C1963" i="8"/>
  <c r="F1962" i="8"/>
  <c r="E1962" i="8"/>
  <c r="D1962" i="8"/>
  <c r="C1962" i="8"/>
  <c r="F1961" i="8"/>
  <c r="E1961" i="8" s="1"/>
  <c r="D1961" i="8"/>
  <c r="C1961" i="8"/>
  <c r="F1960" i="8"/>
  <c r="E1960" i="8"/>
  <c r="D1960" i="8"/>
  <c r="C1960" i="8"/>
  <c r="F1959" i="8"/>
  <c r="E1959" i="8"/>
  <c r="D1959" i="8"/>
  <c r="C1959" i="8"/>
  <c r="F1958" i="8"/>
  <c r="E1958" i="8" s="1"/>
  <c r="D1958" i="8"/>
  <c r="C1958" i="8"/>
  <c r="F1957" i="8"/>
  <c r="E1957" i="8"/>
  <c r="D1957" i="8"/>
  <c r="C1957" i="8"/>
  <c r="F1956" i="8"/>
  <c r="E1956" i="8"/>
  <c r="D1956" i="8"/>
  <c r="C1956" i="8"/>
  <c r="F1955" i="8"/>
  <c r="E1955" i="8" s="1"/>
  <c r="D1955" i="8"/>
  <c r="C1955" i="8"/>
  <c r="F1954" i="8"/>
  <c r="E1954" i="8"/>
  <c r="D1954" i="8"/>
  <c r="C1954" i="8"/>
  <c r="F1953" i="8"/>
  <c r="E1953" i="8"/>
  <c r="D1953" i="8"/>
  <c r="C1953" i="8"/>
  <c r="F1952" i="8"/>
  <c r="E1952" i="8" s="1"/>
  <c r="D1952" i="8"/>
  <c r="C1952" i="8"/>
  <c r="F1951" i="8"/>
  <c r="E1951" i="8"/>
  <c r="D1951" i="8"/>
  <c r="C1951" i="8"/>
  <c r="F1950" i="8"/>
  <c r="E1950" i="8"/>
  <c r="D1950" i="8"/>
  <c r="C1950" i="8"/>
  <c r="F1949" i="8"/>
  <c r="E1949" i="8" s="1"/>
  <c r="D1949" i="8"/>
  <c r="C1949" i="8"/>
  <c r="F1948" i="8"/>
  <c r="E1948" i="8"/>
  <c r="D1948" i="8"/>
  <c r="C1948" i="8"/>
  <c r="F1947" i="8"/>
  <c r="E1947" i="8"/>
  <c r="D1947" i="8"/>
  <c r="C1947" i="8"/>
  <c r="F1946" i="8"/>
  <c r="E1946" i="8" s="1"/>
  <c r="D1946" i="8"/>
  <c r="C1946" i="8"/>
  <c r="F1945" i="8"/>
  <c r="E1945" i="8"/>
  <c r="D1945" i="8"/>
  <c r="C1945" i="8"/>
  <c r="F1944" i="8"/>
  <c r="E1944" i="8"/>
  <c r="D1944" i="8"/>
  <c r="C1944" i="8"/>
  <c r="F1943" i="8"/>
  <c r="E1943" i="8" s="1"/>
  <c r="D1943" i="8"/>
  <c r="C1943" i="8"/>
  <c r="F1942" i="8"/>
  <c r="E1942" i="8"/>
  <c r="D1942" i="8"/>
  <c r="C1942" i="8"/>
  <c r="F1941" i="8"/>
  <c r="E1941" i="8"/>
  <c r="D1941" i="8"/>
  <c r="C1941" i="8"/>
  <c r="F1940" i="8"/>
  <c r="E1940" i="8" s="1"/>
  <c r="D1940" i="8"/>
  <c r="C1940" i="8"/>
  <c r="F1939" i="8"/>
  <c r="E1939" i="8"/>
  <c r="D1939" i="8"/>
  <c r="C1939" i="8"/>
  <c r="F1938" i="8"/>
  <c r="E1938" i="8"/>
  <c r="D1938" i="8"/>
  <c r="C1938" i="8"/>
  <c r="F1937" i="8"/>
  <c r="E1937" i="8" s="1"/>
  <c r="D1937" i="8"/>
  <c r="C1937" i="8"/>
  <c r="F1936" i="8"/>
  <c r="E1936" i="8"/>
  <c r="D1936" i="8"/>
  <c r="C1936" i="8"/>
  <c r="F1935" i="8"/>
  <c r="E1935" i="8"/>
  <c r="D1935" i="8"/>
  <c r="C1935" i="8"/>
  <c r="F1934" i="8"/>
  <c r="E1934" i="8" s="1"/>
  <c r="D1934" i="8"/>
  <c r="C1934" i="8"/>
  <c r="F1933" i="8"/>
  <c r="E1933" i="8"/>
  <c r="D1933" i="8"/>
  <c r="C1933" i="8"/>
  <c r="F1932" i="8"/>
  <c r="E1932" i="8"/>
  <c r="D1932" i="8"/>
  <c r="C1932" i="8"/>
  <c r="F1931" i="8"/>
  <c r="E1931" i="8" s="1"/>
  <c r="D1931" i="8"/>
  <c r="C1931" i="8"/>
  <c r="F1930" i="8"/>
  <c r="E1930" i="8"/>
  <c r="D1930" i="8"/>
  <c r="C1930" i="8"/>
  <c r="F1929" i="8"/>
  <c r="E1929" i="8"/>
  <c r="D1929" i="8"/>
  <c r="C1929" i="8"/>
  <c r="F1928" i="8"/>
  <c r="E1928" i="8" s="1"/>
  <c r="D1928" i="8"/>
  <c r="C1928" i="8"/>
  <c r="F1927" i="8"/>
  <c r="E1927" i="8"/>
  <c r="D1927" i="8"/>
  <c r="C1927" i="8"/>
  <c r="F1926" i="8"/>
  <c r="E1926" i="8"/>
  <c r="D1926" i="8"/>
  <c r="C1926" i="8"/>
  <c r="F1925" i="8"/>
  <c r="E1925" i="8" s="1"/>
  <c r="D1925" i="8"/>
  <c r="C1925" i="8"/>
  <c r="F1924" i="8"/>
  <c r="E1924" i="8"/>
  <c r="D1924" i="8"/>
  <c r="C1924" i="8"/>
  <c r="F1923" i="8"/>
  <c r="E1923" i="8"/>
  <c r="D1923" i="8"/>
  <c r="C1923" i="8"/>
  <c r="F1922" i="8"/>
  <c r="E1922" i="8" s="1"/>
  <c r="D1922" i="8"/>
  <c r="C1922" i="8"/>
  <c r="F1921" i="8"/>
  <c r="E1921" i="8"/>
  <c r="D1921" i="8"/>
  <c r="C1921" i="8"/>
  <c r="F1920" i="8"/>
  <c r="E1920" i="8"/>
  <c r="D1920" i="8"/>
  <c r="C1920" i="8"/>
  <c r="F1919" i="8"/>
  <c r="E1919" i="8" s="1"/>
  <c r="D1919" i="8"/>
  <c r="C1919" i="8"/>
  <c r="F1918" i="8"/>
  <c r="E1918" i="8"/>
  <c r="D1918" i="8"/>
  <c r="C1918" i="8"/>
  <c r="F1917" i="8"/>
  <c r="E1917" i="8"/>
  <c r="D1917" i="8"/>
  <c r="C1917" i="8"/>
  <c r="F1916" i="8"/>
  <c r="E1916" i="8" s="1"/>
  <c r="D1916" i="8"/>
  <c r="C1916" i="8"/>
  <c r="F1915" i="8"/>
  <c r="E1915" i="8"/>
  <c r="D1915" i="8"/>
  <c r="C1915" i="8"/>
  <c r="F1914" i="8"/>
  <c r="E1914" i="8"/>
  <c r="D1914" i="8"/>
  <c r="C1914" i="8"/>
  <c r="F1913" i="8"/>
  <c r="E1913" i="8" s="1"/>
  <c r="D1913" i="8"/>
  <c r="C1913" i="8"/>
  <c r="F1912" i="8"/>
  <c r="E1912" i="8"/>
  <c r="D1912" i="8"/>
  <c r="C1912" i="8"/>
  <c r="F1911" i="8"/>
  <c r="E1911" i="8"/>
  <c r="D1911" i="8"/>
  <c r="C1911" i="8"/>
  <c r="F1910" i="8"/>
  <c r="E1910" i="8" s="1"/>
  <c r="D1910" i="8"/>
  <c r="C1910" i="8"/>
  <c r="F1909" i="8"/>
  <c r="E1909" i="8"/>
  <c r="D1909" i="8"/>
  <c r="C1909" i="8"/>
  <c r="F1908" i="8"/>
  <c r="E1908" i="8"/>
  <c r="D1908" i="8"/>
  <c r="C1908" i="8"/>
  <c r="F1907" i="8"/>
  <c r="E1907" i="8" s="1"/>
  <c r="D1907" i="8"/>
  <c r="C1907" i="8"/>
  <c r="F1906" i="8"/>
  <c r="E1906" i="8"/>
  <c r="D1906" i="8"/>
  <c r="C1906" i="8"/>
  <c r="F1905" i="8"/>
  <c r="E1905" i="8"/>
  <c r="D1905" i="8"/>
  <c r="C1905" i="8"/>
  <c r="F1904" i="8"/>
  <c r="E1904" i="8" s="1"/>
  <c r="D1904" i="8"/>
  <c r="C1904" i="8"/>
  <c r="F1903" i="8"/>
  <c r="E1903" i="8"/>
  <c r="D1903" i="8"/>
  <c r="C1903" i="8"/>
  <c r="F1902" i="8"/>
  <c r="E1902" i="8"/>
  <c r="D1902" i="8"/>
  <c r="C1902" i="8"/>
  <c r="F1901" i="8"/>
  <c r="E1901" i="8" s="1"/>
  <c r="D1901" i="8"/>
  <c r="C1901" i="8"/>
  <c r="F1900" i="8"/>
  <c r="E1900" i="8"/>
  <c r="D1900" i="8"/>
  <c r="C1900" i="8"/>
  <c r="F1899" i="8"/>
  <c r="E1899" i="8"/>
  <c r="D1899" i="8"/>
  <c r="C1899" i="8"/>
  <c r="F1898" i="8"/>
  <c r="E1898" i="8" s="1"/>
  <c r="D1898" i="8"/>
  <c r="C1898" i="8"/>
  <c r="F1897" i="8"/>
  <c r="E1897" i="8"/>
  <c r="D1897" i="8"/>
  <c r="C1897" i="8"/>
  <c r="F1896" i="8"/>
  <c r="E1896" i="8"/>
  <c r="D1896" i="8"/>
  <c r="C1896" i="8"/>
  <c r="F1895" i="8"/>
  <c r="E1895" i="8" s="1"/>
  <c r="D1895" i="8"/>
  <c r="C1895" i="8"/>
  <c r="F1894" i="8"/>
  <c r="E1894" i="8"/>
  <c r="D1894" i="8"/>
  <c r="C1894" i="8"/>
  <c r="F1893" i="8"/>
  <c r="E1893" i="8"/>
  <c r="D1893" i="8"/>
  <c r="C1893" i="8"/>
  <c r="F1892" i="8"/>
  <c r="E1892" i="8" s="1"/>
  <c r="D1892" i="8"/>
  <c r="C1892" i="8"/>
  <c r="F1891" i="8"/>
  <c r="E1891" i="8"/>
  <c r="D1891" i="8"/>
  <c r="C1891" i="8"/>
  <c r="F1890" i="8"/>
  <c r="E1890" i="8"/>
  <c r="D1890" i="8"/>
  <c r="C1890" i="8"/>
  <c r="F1889" i="8"/>
  <c r="E1889" i="8" s="1"/>
  <c r="D1889" i="8"/>
  <c r="C1889" i="8"/>
  <c r="F1888" i="8"/>
  <c r="E1888" i="8"/>
  <c r="D1888" i="8"/>
  <c r="C1888" i="8"/>
  <c r="F1887" i="8"/>
  <c r="E1887" i="8"/>
  <c r="D1887" i="8"/>
  <c r="C1887" i="8"/>
  <c r="F1886" i="8"/>
  <c r="E1886" i="8" s="1"/>
  <c r="D1886" i="8"/>
  <c r="C1886" i="8"/>
  <c r="F1885" i="8"/>
  <c r="E1885" i="8"/>
  <c r="D1885" i="8"/>
  <c r="C1885" i="8"/>
  <c r="F1884" i="8"/>
  <c r="E1884" i="8"/>
  <c r="D1884" i="8"/>
  <c r="C1884" i="8"/>
  <c r="F1883" i="8"/>
  <c r="E1883" i="8" s="1"/>
  <c r="D1883" i="8"/>
  <c r="C1883" i="8"/>
  <c r="F1882" i="8"/>
  <c r="E1882" i="8"/>
  <c r="D1882" i="8"/>
  <c r="C1882" i="8"/>
  <c r="F1881" i="8"/>
  <c r="E1881" i="8"/>
  <c r="D1881" i="8"/>
  <c r="C1881" i="8"/>
  <c r="F1880" i="8"/>
  <c r="E1880" i="8" s="1"/>
  <c r="D1880" i="8"/>
  <c r="C1880" i="8"/>
  <c r="F1879" i="8"/>
  <c r="E1879" i="8"/>
  <c r="D1879" i="8"/>
  <c r="C1879" i="8"/>
  <c r="F1878" i="8"/>
  <c r="E1878" i="8"/>
  <c r="D1878" i="8"/>
  <c r="C1878" i="8"/>
  <c r="F1877" i="8"/>
  <c r="E1877" i="8" s="1"/>
  <c r="D1877" i="8"/>
  <c r="C1877" i="8"/>
  <c r="F1876" i="8"/>
  <c r="E1876" i="8"/>
  <c r="D1876" i="8"/>
  <c r="C1876" i="8"/>
  <c r="F1875" i="8"/>
  <c r="E1875" i="8"/>
  <c r="D1875" i="8"/>
  <c r="C1875" i="8"/>
  <c r="F1874" i="8"/>
  <c r="E1874" i="8" s="1"/>
  <c r="D1874" i="8"/>
  <c r="C1874" i="8"/>
  <c r="F1873" i="8"/>
  <c r="E1873" i="8"/>
  <c r="D1873" i="8"/>
  <c r="C1873" i="8"/>
  <c r="F1872" i="8"/>
  <c r="E1872" i="8"/>
  <c r="D1872" i="8"/>
  <c r="C1872" i="8"/>
  <c r="F1871" i="8"/>
  <c r="E1871" i="8" s="1"/>
  <c r="D1871" i="8"/>
  <c r="C1871" i="8"/>
  <c r="F1870" i="8"/>
  <c r="E1870" i="8"/>
  <c r="D1870" i="8"/>
  <c r="C1870" i="8"/>
  <c r="F1869" i="8"/>
  <c r="E1869" i="8"/>
  <c r="D1869" i="8"/>
  <c r="C1869" i="8"/>
  <c r="F1868" i="8"/>
  <c r="E1868" i="8" s="1"/>
  <c r="D1868" i="8"/>
  <c r="C1868" i="8"/>
  <c r="F1867" i="8"/>
  <c r="E1867" i="8"/>
  <c r="D1867" i="8"/>
  <c r="C1867" i="8"/>
  <c r="F1866" i="8"/>
  <c r="E1866" i="8"/>
  <c r="D1866" i="8"/>
  <c r="C1866" i="8"/>
  <c r="F1865" i="8"/>
  <c r="E1865" i="8" s="1"/>
  <c r="D1865" i="8"/>
  <c r="C1865" i="8"/>
  <c r="F1864" i="8"/>
  <c r="E1864" i="8"/>
  <c r="D1864" i="8"/>
  <c r="C1864" i="8"/>
  <c r="F1863" i="8"/>
  <c r="E1863" i="8"/>
  <c r="D1863" i="8"/>
  <c r="C1863" i="8"/>
  <c r="F1862" i="8"/>
  <c r="E1862" i="8" s="1"/>
  <c r="D1862" i="8"/>
  <c r="C1862" i="8"/>
  <c r="F1861" i="8"/>
  <c r="E1861" i="8"/>
  <c r="D1861" i="8"/>
  <c r="C1861" i="8"/>
  <c r="F1860" i="8"/>
  <c r="E1860" i="8"/>
  <c r="D1860" i="8"/>
  <c r="C1860" i="8"/>
  <c r="F1859" i="8"/>
  <c r="E1859" i="8" s="1"/>
  <c r="D1859" i="8"/>
  <c r="C1859" i="8"/>
  <c r="F1858" i="8"/>
  <c r="E1858" i="8"/>
  <c r="D1858" i="8"/>
  <c r="C1858" i="8"/>
  <c r="F1857" i="8"/>
  <c r="E1857" i="8"/>
  <c r="D1857" i="8"/>
  <c r="C1857" i="8"/>
  <c r="F1856" i="8"/>
  <c r="E1856" i="8" s="1"/>
  <c r="D1856" i="8"/>
  <c r="C1856" i="8"/>
  <c r="F1855" i="8"/>
  <c r="E1855" i="8"/>
  <c r="D1855" i="8"/>
  <c r="C1855" i="8"/>
  <c r="F1854" i="8"/>
  <c r="E1854" i="8"/>
  <c r="D1854" i="8"/>
  <c r="C1854" i="8"/>
  <c r="F1853" i="8"/>
  <c r="E1853" i="8" s="1"/>
  <c r="D1853" i="8"/>
  <c r="C1853" i="8"/>
  <c r="F1852" i="8"/>
  <c r="E1852" i="8"/>
  <c r="D1852" i="8"/>
  <c r="C1852" i="8"/>
  <c r="F1851" i="8"/>
  <c r="E1851" i="8"/>
  <c r="D1851" i="8"/>
  <c r="C1851" i="8"/>
  <c r="F1850" i="8"/>
  <c r="E1850" i="8" s="1"/>
  <c r="D1850" i="8"/>
  <c r="C1850" i="8"/>
  <c r="F1849" i="8"/>
  <c r="E1849" i="8"/>
  <c r="D1849" i="8"/>
  <c r="C1849" i="8"/>
  <c r="F1848" i="8"/>
  <c r="E1848" i="8"/>
  <c r="D1848" i="8"/>
  <c r="C1848" i="8"/>
  <c r="F1847" i="8"/>
  <c r="E1847" i="8" s="1"/>
  <c r="D1847" i="8"/>
  <c r="C1847" i="8"/>
  <c r="F1846" i="8"/>
  <c r="E1846" i="8"/>
  <c r="D1846" i="8"/>
  <c r="C1846" i="8"/>
  <c r="F1845" i="8"/>
  <c r="E1845" i="8"/>
  <c r="D1845" i="8"/>
  <c r="C1845" i="8"/>
  <c r="F1844" i="8"/>
  <c r="E1844" i="8" s="1"/>
  <c r="D1844" i="8"/>
  <c r="C1844" i="8"/>
  <c r="F1843" i="8"/>
  <c r="E1843" i="8"/>
  <c r="D1843" i="8"/>
  <c r="C1843" i="8"/>
  <c r="F1842" i="8"/>
  <c r="E1842" i="8"/>
  <c r="D1842" i="8"/>
  <c r="C1842" i="8"/>
  <c r="F1841" i="8"/>
  <c r="E1841" i="8" s="1"/>
  <c r="D1841" i="8"/>
  <c r="C1841" i="8"/>
  <c r="F1840" i="8"/>
  <c r="E1840" i="8"/>
  <c r="D1840" i="8"/>
  <c r="C1840" i="8"/>
  <c r="F1839" i="8"/>
  <c r="E1839" i="8"/>
  <c r="D1839" i="8"/>
  <c r="C1839" i="8"/>
  <c r="F1838" i="8"/>
  <c r="E1838" i="8" s="1"/>
  <c r="D1838" i="8"/>
  <c r="C1838" i="8"/>
  <c r="F1837" i="8"/>
  <c r="E1837" i="8"/>
  <c r="D1837" i="8"/>
  <c r="C1837" i="8"/>
  <c r="F1836" i="8"/>
  <c r="E1836" i="8"/>
  <c r="D1836" i="8"/>
  <c r="C1836" i="8"/>
  <c r="F1835" i="8"/>
  <c r="E1835" i="8" s="1"/>
  <c r="D1835" i="8"/>
  <c r="C1835" i="8"/>
  <c r="F1834" i="8"/>
  <c r="E1834" i="8"/>
  <c r="D1834" i="8"/>
  <c r="C1834" i="8"/>
  <c r="F1833" i="8"/>
  <c r="E1833" i="8"/>
  <c r="D1833" i="8"/>
  <c r="C1833" i="8"/>
  <c r="F1832" i="8"/>
  <c r="E1832" i="8" s="1"/>
  <c r="D1832" i="8"/>
  <c r="C1832" i="8"/>
  <c r="F1831" i="8"/>
  <c r="E1831" i="8"/>
  <c r="D1831" i="8"/>
  <c r="C1831" i="8"/>
  <c r="F1830" i="8"/>
  <c r="E1830" i="8"/>
  <c r="D1830" i="8"/>
  <c r="C1830" i="8"/>
  <c r="F1829" i="8"/>
  <c r="E1829" i="8" s="1"/>
  <c r="D1829" i="8"/>
  <c r="C1829" i="8"/>
  <c r="F1828" i="8"/>
  <c r="E1828" i="8"/>
  <c r="D1828" i="8"/>
  <c r="C1828" i="8"/>
  <c r="F1827" i="8"/>
  <c r="E1827" i="8"/>
  <c r="D1827" i="8"/>
  <c r="C1827" i="8"/>
  <c r="F1826" i="8"/>
  <c r="E1826" i="8" s="1"/>
  <c r="D1826" i="8"/>
  <c r="C1826" i="8"/>
  <c r="F1825" i="8"/>
  <c r="E1825" i="8"/>
  <c r="D1825" i="8"/>
  <c r="C1825" i="8"/>
  <c r="F1824" i="8"/>
  <c r="E1824" i="8"/>
  <c r="D1824" i="8"/>
  <c r="C1824" i="8"/>
  <c r="F1823" i="8"/>
  <c r="E1823" i="8" s="1"/>
  <c r="D1823" i="8"/>
  <c r="C1823" i="8"/>
  <c r="F1822" i="8"/>
  <c r="E1822" i="8"/>
  <c r="D1822" i="8"/>
  <c r="C1822" i="8"/>
  <c r="F1821" i="8"/>
  <c r="E1821" i="8"/>
  <c r="D1821" i="8"/>
  <c r="C1821" i="8"/>
  <c r="F1820" i="8"/>
  <c r="E1820" i="8" s="1"/>
  <c r="D1820" i="8"/>
  <c r="C1820" i="8"/>
  <c r="F1819" i="8"/>
  <c r="E1819" i="8"/>
  <c r="D1819" i="8"/>
  <c r="C1819" i="8"/>
  <c r="F1818" i="8"/>
  <c r="E1818" i="8"/>
  <c r="D1818" i="8"/>
  <c r="C1818" i="8"/>
  <c r="F1817" i="8"/>
  <c r="E1817" i="8" s="1"/>
  <c r="D1817" i="8"/>
  <c r="C1817" i="8"/>
  <c r="F1816" i="8"/>
  <c r="E1816" i="8"/>
  <c r="D1816" i="8"/>
  <c r="C1816" i="8"/>
  <c r="F1815" i="8"/>
  <c r="E1815" i="8"/>
  <c r="D1815" i="8"/>
  <c r="C1815" i="8"/>
  <c r="F1814" i="8"/>
  <c r="E1814" i="8" s="1"/>
  <c r="D1814" i="8"/>
  <c r="C1814" i="8"/>
  <c r="F1813" i="8"/>
  <c r="E1813" i="8"/>
  <c r="D1813" i="8"/>
  <c r="C1813" i="8"/>
  <c r="F1812" i="8"/>
  <c r="E1812" i="8"/>
  <c r="D1812" i="8"/>
  <c r="C1812" i="8"/>
  <c r="F1811" i="8"/>
  <c r="E1811" i="8" s="1"/>
  <c r="D1811" i="8"/>
  <c r="C1811" i="8"/>
  <c r="F1810" i="8"/>
  <c r="E1810" i="8"/>
  <c r="D1810" i="8"/>
  <c r="C1810" i="8"/>
  <c r="F1809" i="8"/>
  <c r="E1809" i="8"/>
  <c r="D1809" i="8"/>
  <c r="C1809" i="8"/>
  <c r="F1808" i="8"/>
  <c r="E1808" i="8" s="1"/>
  <c r="D1808" i="8"/>
  <c r="C1808" i="8"/>
  <c r="F1807" i="8"/>
  <c r="E1807" i="8"/>
  <c r="D1807" i="8"/>
  <c r="C1807" i="8"/>
  <c r="F1806" i="8"/>
  <c r="E1806" i="8"/>
  <c r="D1806" i="8"/>
  <c r="C1806" i="8"/>
  <c r="F1805" i="8"/>
  <c r="E1805" i="8" s="1"/>
  <c r="D1805" i="8"/>
  <c r="C1805" i="8"/>
  <c r="F1804" i="8"/>
  <c r="E1804" i="8"/>
  <c r="D1804" i="8"/>
  <c r="C1804" i="8"/>
  <c r="F1803" i="8"/>
  <c r="E1803" i="8"/>
  <c r="D1803" i="8"/>
  <c r="C1803" i="8"/>
  <c r="F1802" i="8"/>
  <c r="E1802" i="8" s="1"/>
  <c r="D1802" i="8"/>
  <c r="C1802" i="8"/>
  <c r="F1801" i="8"/>
  <c r="E1801" i="8"/>
  <c r="D1801" i="8"/>
  <c r="C1801" i="8"/>
  <c r="F1800" i="8"/>
  <c r="E1800" i="8"/>
  <c r="D1800" i="8"/>
  <c r="C1800" i="8"/>
  <c r="F1799" i="8"/>
  <c r="E1799" i="8" s="1"/>
  <c r="D1799" i="8"/>
  <c r="C1799" i="8"/>
  <c r="F1798" i="8"/>
  <c r="E1798" i="8"/>
  <c r="D1798" i="8"/>
  <c r="C1798" i="8"/>
  <c r="F1797" i="8"/>
  <c r="E1797" i="8"/>
  <c r="D1797" i="8"/>
  <c r="C1797" i="8"/>
  <c r="F1796" i="8"/>
  <c r="E1796" i="8" s="1"/>
  <c r="D1796" i="8"/>
  <c r="C1796" i="8"/>
  <c r="F1795" i="8"/>
  <c r="E1795" i="8"/>
  <c r="D1795" i="8"/>
  <c r="C1795" i="8"/>
  <c r="F1794" i="8"/>
  <c r="E1794" i="8"/>
  <c r="D1794" i="8"/>
  <c r="C1794" i="8"/>
  <c r="F1793" i="8"/>
  <c r="E1793" i="8" s="1"/>
  <c r="D1793" i="8"/>
  <c r="C1793" i="8"/>
  <c r="F1792" i="8"/>
  <c r="E1792" i="8"/>
  <c r="D1792" i="8"/>
  <c r="C1792" i="8"/>
  <c r="F1791" i="8"/>
  <c r="E1791" i="8"/>
  <c r="D1791" i="8"/>
  <c r="C1791" i="8"/>
  <c r="F1790" i="8"/>
  <c r="E1790" i="8" s="1"/>
  <c r="D1790" i="8"/>
  <c r="C1790" i="8"/>
  <c r="F1789" i="8"/>
  <c r="E1789" i="8"/>
  <c r="D1789" i="8"/>
  <c r="C1789" i="8"/>
  <c r="F1788" i="8"/>
  <c r="E1788" i="8"/>
  <c r="D1788" i="8"/>
  <c r="C1788" i="8"/>
  <c r="F1787" i="8"/>
  <c r="E1787" i="8" s="1"/>
  <c r="D1787" i="8"/>
  <c r="C1787" i="8"/>
  <c r="F1786" i="8"/>
  <c r="E1786" i="8"/>
  <c r="D1786" i="8"/>
  <c r="C1786" i="8"/>
  <c r="F1785" i="8"/>
  <c r="E1785" i="8"/>
  <c r="D1785" i="8"/>
  <c r="C1785" i="8"/>
  <c r="F1784" i="8"/>
  <c r="E1784" i="8" s="1"/>
  <c r="D1784" i="8"/>
  <c r="C1784" i="8"/>
  <c r="F1783" i="8"/>
  <c r="E1783" i="8"/>
  <c r="D1783" i="8"/>
  <c r="C1783" i="8"/>
  <c r="F1782" i="8"/>
  <c r="E1782" i="8"/>
  <c r="D1782" i="8"/>
  <c r="C1782" i="8"/>
  <c r="F1781" i="8"/>
  <c r="E1781" i="8" s="1"/>
  <c r="D1781" i="8"/>
  <c r="C1781" i="8"/>
  <c r="F1780" i="8"/>
  <c r="E1780" i="8"/>
  <c r="D1780" i="8"/>
  <c r="C1780" i="8"/>
  <c r="F1779" i="8"/>
  <c r="E1779" i="8"/>
  <c r="D1779" i="8"/>
  <c r="C1779" i="8"/>
  <c r="F1778" i="8"/>
  <c r="E1778" i="8" s="1"/>
  <c r="D1778" i="8"/>
  <c r="C1778" i="8"/>
  <c r="F1777" i="8"/>
  <c r="E1777" i="8"/>
  <c r="D1777" i="8"/>
  <c r="C1777" i="8"/>
  <c r="F1776" i="8"/>
  <c r="E1776" i="8"/>
  <c r="D1776" i="8"/>
  <c r="C1776" i="8"/>
  <c r="F1775" i="8"/>
  <c r="E1775" i="8" s="1"/>
  <c r="D1775" i="8"/>
  <c r="C1775" i="8"/>
  <c r="F1774" i="8"/>
  <c r="E1774" i="8"/>
  <c r="D1774" i="8"/>
  <c r="C1774" i="8"/>
  <c r="F1773" i="8"/>
  <c r="E1773" i="8"/>
  <c r="D1773" i="8"/>
  <c r="C1773" i="8"/>
  <c r="F1772" i="8"/>
  <c r="E1772" i="8" s="1"/>
  <c r="D1772" i="8"/>
  <c r="C1772" i="8"/>
  <c r="F1771" i="8"/>
  <c r="E1771" i="8"/>
  <c r="D1771" i="8"/>
  <c r="C1771" i="8"/>
  <c r="F1770" i="8"/>
  <c r="E1770" i="8"/>
  <c r="D1770" i="8"/>
  <c r="C1770" i="8"/>
  <c r="F1769" i="8"/>
  <c r="E1769" i="8" s="1"/>
  <c r="D1769" i="8"/>
  <c r="C1769" i="8"/>
  <c r="F1768" i="8"/>
  <c r="E1768" i="8"/>
  <c r="D1768" i="8"/>
  <c r="C1768" i="8"/>
  <c r="F1767" i="8"/>
  <c r="E1767" i="8"/>
  <c r="D1767" i="8"/>
  <c r="C1767" i="8"/>
  <c r="F1766" i="8"/>
  <c r="E1766" i="8" s="1"/>
  <c r="D1766" i="8"/>
  <c r="C1766" i="8"/>
  <c r="F1765" i="8"/>
  <c r="E1765" i="8"/>
  <c r="D1765" i="8"/>
  <c r="C1765" i="8"/>
  <c r="F1764" i="8"/>
  <c r="E1764" i="8"/>
  <c r="D1764" i="8"/>
  <c r="C1764" i="8"/>
  <c r="F1763" i="8"/>
  <c r="E1763" i="8" s="1"/>
  <c r="D1763" i="8"/>
  <c r="C1763" i="8"/>
  <c r="F1762" i="8"/>
  <c r="E1762" i="8"/>
  <c r="D1762" i="8"/>
  <c r="C1762" i="8"/>
  <c r="F1761" i="8"/>
  <c r="E1761" i="8"/>
  <c r="D1761" i="8"/>
  <c r="C1761" i="8"/>
  <c r="F1760" i="8"/>
  <c r="E1760" i="8" s="1"/>
  <c r="D1760" i="8"/>
  <c r="C1760" i="8"/>
  <c r="F1759" i="8"/>
  <c r="E1759" i="8"/>
  <c r="D1759" i="8"/>
  <c r="C1759" i="8"/>
  <c r="F1758" i="8"/>
  <c r="E1758" i="8"/>
  <c r="D1758" i="8"/>
  <c r="C1758" i="8"/>
  <c r="F1757" i="8"/>
  <c r="E1757" i="8" s="1"/>
  <c r="D1757" i="8"/>
  <c r="C1757" i="8"/>
  <c r="F1756" i="8"/>
  <c r="E1756" i="8"/>
  <c r="D1756" i="8"/>
  <c r="C1756" i="8"/>
  <c r="F1755" i="8"/>
  <c r="E1755" i="8"/>
  <c r="D1755" i="8"/>
  <c r="C1755" i="8"/>
  <c r="F1754" i="8"/>
  <c r="E1754" i="8" s="1"/>
  <c r="D1754" i="8"/>
  <c r="C1754" i="8"/>
  <c r="F1753" i="8"/>
  <c r="E1753" i="8"/>
  <c r="D1753" i="8"/>
  <c r="C1753" i="8"/>
  <c r="F1752" i="8"/>
  <c r="E1752" i="8"/>
  <c r="D1752" i="8"/>
  <c r="C1752" i="8"/>
  <c r="F1751" i="8"/>
  <c r="E1751" i="8" s="1"/>
  <c r="D1751" i="8"/>
  <c r="C1751" i="8"/>
  <c r="F1750" i="8"/>
  <c r="E1750" i="8"/>
  <c r="D1750" i="8"/>
  <c r="C1750" i="8"/>
  <c r="F1749" i="8"/>
  <c r="E1749" i="8"/>
  <c r="D1749" i="8"/>
  <c r="C1749" i="8"/>
  <c r="F1748" i="8"/>
  <c r="E1748" i="8" s="1"/>
  <c r="D1748" i="8"/>
  <c r="C1748" i="8"/>
  <c r="F1747" i="8"/>
  <c r="E1747" i="8"/>
  <c r="D1747" i="8"/>
  <c r="C1747" i="8"/>
  <c r="F1746" i="8"/>
  <c r="E1746" i="8"/>
  <c r="D1746" i="8"/>
  <c r="C1746" i="8"/>
  <c r="F1745" i="8"/>
  <c r="E1745" i="8" s="1"/>
  <c r="D1745" i="8"/>
  <c r="C1745" i="8"/>
  <c r="F1744" i="8"/>
  <c r="E1744" i="8"/>
  <c r="D1744" i="8"/>
  <c r="C1744" i="8"/>
  <c r="F1743" i="8"/>
  <c r="E1743" i="8"/>
  <c r="D1743" i="8"/>
  <c r="C1743" i="8"/>
  <c r="F1742" i="8"/>
  <c r="E1742" i="8" s="1"/>
  <c r="D1742" i="8"/>
  <c r="C1742" i="8"/>
  <c r="F1741" i="8"/>
  <c r="E1741" i="8"/>
  <c r="D1741" i="8"/>
  <c r="C1741" i="8"/>
  <c r="F1740" i="8"/>
  <c r="E1740" i="8"/>
  <c r="D1740" i="8"/>
  <c r="C1740" i="8"/>
  <c r="F1739" i="8"/>
  <c r="E1739" i="8" s="1"/>
  <c r="D1739" i="8"/>
  <c r="C1739" i="8"/>
  <c r="F1738" i="8"/>
  <c r="E1738" i="8"/>
  <c r="D1738" i="8"/>
  <c r="C1738" i="8"/>
  <c r="F1737" i="8"/>
  <c r="E1737" i="8"/>
  <c r="D1737" i="8"/>
  <c r="C1737" i="8"/>
  <c r="F1736" i="8"/>
  <c r="E1736" i="8" s="1"/>
  <c r="D1736" i="8"/>
  <c r="C1736" i="8"/>
  <c r="F1735" i="8"/>
  <c r="E1735" i="8"/>
  <c r="D1735" i="8"/>
  <c r="C1735" i="8"/>
  <c r="F1734" i="8"/>
  <c r="E1734" i="8"/>
  <c r="D1734" i="8"/>
  <c r="C1734" i="8"/>
  <c r="F1733" i="8"/>
  <c r="E1733" i="8" s="1"/>
  <c r="D1733" i="8"/>
  <c r="C1733" i="8"/>
  <c r="F1732" i="8"/>
  <c r="E1732" i="8"/>
  <c r="D1732" i="8"/>
  <c r="C1732" i="8"/>
  <c r="F1731" i="8"/>
  <c r="E1731" i="8"/>
  <c r="D1731" i="8"/>
  <c r="C1731" i="8"/>
  <c r="F1730" i="8"/>
  <c r="E1730" i="8" s="1"/>
  <c r="D1730" i="8"/>
  <c r="C1730" i="8"/>
  <c r="F1729" i="8"/>
  <c r="E1729" i="8"/>
  <c r="D1729" i="8"/>
  <c r="C1729" i="8"/>
  <c r="F1728" i="8"/>
  <c r="E1728" i="8"/>
  <c r="D1728" i="8"/>
  <c r="C1728" i="8"/>
  <c r="F1727" i="8"/>
  <c r="E1727" i="8" s="1"/>
  <c r="D1727" i="8"/>
  <c r="C1727" i="8"/>
  <c r="F1726" i="8"/>
  <c r="E1726" i="8"/>
  <c r="D1726" i="8"/>
  <c r="C1726" i="8"/>
  <c r="F1725" i="8"/>
  <c r="E1725" i="8"/>
  <c r="D1725" i="8"/>
  <c r="C1725" i="8"/>
  <c r="F1724" i="8"/>
  <c r="E1724" i="8" s="1"/>
  <c r="D1724" i="8"/>
  <c r="C1724" i="8"/>
  <c r="F1723" i="8"/>
  <c r="E1723" i="8"/>
  <c r="D1723" i="8"/>
  <c r="C1723" i="8"/>
  <c r="F1722" i="8"/>
  <c r="E1722" i="8"/>
  <c r="D1722" i="8"/>
  <c r="C1722" i="8"/>
  <c r="F1721" i="8"/>
  <c r="E1721" i="8" s="1"/>
  <c r="D1721" i="8"/>
  <c r="C1721" i="8"/>
  <c r="F1720" i="8"/>
  <c r="E1720" i="8"/>
  <c r="D1720" i="8"/>
  <c r="C1720" i="8"/>
  <c r="F1719" i="8"/>
  <c r="E1719" i="8"/>
  <c r="D1719" i="8"/>
  <c r="C1719" i="8"/>
  <c r="F1718" i="8"/>
  <c r="E1718" i="8" s="1"/>
  <c r="D1718" i="8"/>
  <c r="C1718" i="8"/>
  <c r="F1717" i="8"/>
  <c r="E1717" i="8"/>
  <c r="D1717" i="8"/>
  <c r="C1717" i="8"/>
  <c r="F1716" i="8"/>
  <c r="E1716" i="8"/>
  <c r="D1716" i="8"/>
  <c r="C1716" i="8"/>
  <c r="F1715" i="8"/>
  <c r="E1715" i="8" s="1"/>
  <c r="D1715" i="8"/>
  <c r="C1715" i="8"/>
  <c r="F1714" i="8"/>
  <c r="E1714" i="8"/>
  <c r="D1714" i="8"/>
  <c r="C1714" i="8"/>
  <c r="F1713" i="8"/>
  <c r="E1713" i="8"/>
  <c r="D1713" i="8"/>
  <c r="C1713" i="8"/>
  <c r="F1712" i="8"/>
  <c r="E1712" i="8" s="1"/>
  <c r="D1712" i="8"/>
  <c r="C1712" i="8"/>
  <c r="F1711" i="8"/>
  <c r="E1711" i="8"/>
  <c r="D1711" i="8"/>
  <c r="C1711" i="8"/>
  <c r="F1710" i="8"/>
  <c r="E1710" i="8"/>
  <c r="D1710" i="8"/>
  <c r="C1710" i="8"/>
  <c r="F1709" i="8"/>
  <c r="E1709" i="8" s="1"/>
  <c r="D1709" i="8"/>
  <c r="C1709" i="8"/>
  <c r="F1708" i="8"/>
  <c r="E1708" i="8"/>
  <c r="D1708" i="8"/>
  <c r="C1708" i="8"/>
  <c r="F1707" i="8"/>
  <c r="E1707" i="8"/>
  <c r="D1707" i="8"/>
  <c r="C1707" i="8"/>
  <c r="F1706" i="8"/>
  <c r="E1706" i="8" s="1"/>
  <c r="D1706" i="8"/>
  <c r="C1706" i="8"/>
  <c r="F1705" i="8"/>
  <c r="E1705" i="8"/>
  <c r="D1705" i="8"/>
  <c r="C1705" i="8"/>
  <c r="F1704" i="8"/>
  <c r="E1704" i="8"/>
  <c r="D1704" i="8"/>
  <c r="C1704" i="8"/>
  <c r="F1703" i="8"/>
  <c r="E1703" i="8" s="1"/>
  <c r="D1703" i="8"/>
  <c r="C1703" i="8"/>
  <c r="F1702" i="8"/>
  <c r="E1702" i="8"/>
  <c r="D1702" i="8"/>
  <c r="C1702" i="8"/>
  <c r="F1701" i="8"/>
  <c r="E1701" i="8"/>
  <c r="D1701" i="8"/>
  <c r="C1701" i="8"/>
  <c r="F1700" i="8"/>
  <c r="E1700" i="8" s="1"/>
  <c r="D1700" i="8"/>
  <c r="C1700" i="8"/>
  <c r="F1699" i="8"/>
  <c r="E1699" i="8"/>
  <c r="D1699" i="8"/>
  <c r="C1699" i="8"/>
  <c r="F1698" i="8"/>
  <c r="E1698" i="8"/>
  <c r="D1698" i="8"/>
  <c r="C1698" i="8"/>
  <c r="F1697" i="8"/>
  <c r="E1697" i="8" s="1"/>
  <c r="D1697" i="8"/>
  <c r="C1697" i="8"/>
  <c r="F1696" i="8"/>
  <c r="E1696" i="8"/>
  <c r="D1696" i="8"/>
  <c r="C1696" i="8"/>
  <c r="F1695" i="8"/>
  <c r="E1695" i="8"/>
  <c r="D1695" i="8"/>
  <c r="C1695" i="8"/>
  <c r="F1694" i="8"/>
  <c r="E1694" i="8" s="1"/>
  <c r="D1694" i="8"/>
  <c r="C1694" i="8"/>
  <c r="F1693" i="8"/>
  <c r="E1693" i="8"/>
  <c r="D1693" i="8"/>
  <c r="C1693" i="8"/>
  <c r="F1692" i="8"/>
  <c r="E1692" i="8"/>
  <c r="D1692" i="8"/>
  <c r="C1692" i="8"/>
  <c r="F1691" i="8"/>
  <c r="E1691" i="8" s="1"/>
  <c r="D1691" i="8"/>
  <c r="C1691" i="8"/>
  <c r="F1690" i="8"/>
  <c r="E1690" i="8"/>
  <c r="D1690" i="8"/>
  <c r="C1690" i="8"/>
  <c r="F1689" i="8"/>
  <c r="E1689" i="8"/>
  <c r="D1689" i="8"/>
  <c r="C1689" i="8"/>
  <c r="F1688" i="8"/>
  <c r="E1688" i="8" s="1"/>
  <c r="D1688" i="8"/>
  <c r="C1688" i="8"/>
  <c r="F1687" i="8"/>
  <c r="E1687" i="8"/>
  <c r="D1687" i="8"/>
  <c r="C1687" i="8"/>
  <c r="F1686" i="8"/>
  <c r="E1686" i="8"/>
  <c r="D1686" i="8"/>
  <c r="C1686" i="8"/>
  <c r="F1685" i="8"/>
  <c r="E1685" i="8" s="1"/>
  <c r="D1685" i="8"/>
  <c r="C1685" i="8"/>
  <c r="F1684" i="8"/>
  <c r="E1684" i="8"/>
  <c r="D1684" i="8"/>
  <c r="C1684" i="8"/>
  <c r="F1683" i="8"/>
  <c r="E1683" i="8"/>
  <c r="D1683" i="8"/>
  <c r="C1683" i="8"/>
  <c r="F1682" i="8"/>
  <c r="E1682" i="8" s="1"/>
  <c r="D1682" i="8"/>
  <c r="C1682" i="8"/>
  <c r="F1681" i="8"/>
  <c r="E1681" i="8"/>
  <c r="D1681" i="8"/>
  <c r="C1681" i="8"/>
  <c r="F1680" i="8"/>
  <c r="E1680" i="8"/>
  <c r="D1680" i="8"/>
  <c r="C1680" i="8"/>
  <c r="F1679" i="8"/>
  <c r="E1679" i="8" s="1"/>
  <c r="D1679" i="8"/>
  <c r="C1679" i="8"/>
  <c r="F1678" i="8"/>
  <c r="E1678" i="8"/>
  <c r="D1678" i="8"/>
  <c r="C1678" i="8"/>
  <c r="F1677" i="8"/>
  <c r="E1677" i="8"/>
  <c r="D1677" i="8"/>
  <c r="C1677" i="8"/>
  <c r="F1676" i="8"/>
  <c r="E1676" i="8" s="1"/>
  <c r="D1676" i="8"/>
  <c r="C1676" i="8"/>
  <c r="F1675" i="8"/>
  <c r="E1675" i="8"/>
  <c r="D1675" i="8"/>
  <c r="C1675" i="8"/>
  <c r="F1674" i="8"/>
  <c r="E1674" i="8"/>
  <c r="D1674" i="8"/>
  <c r="C1674" i="8"/>
  <c r="F1673" i="8"/>
  <c r="E1673" i="8" s="1"/>
  <c r="D1673" i="8"/>
  <c r="C1673" i="8"/>
  <c r="F1672" i="8"/>
  <c r="E1672" i="8"/>
  <c r="D1672" i="8"/>
  <c r="C1672" i="8"/>
  <c r="F1671" i="8"/>
  <c r="E1671" i="8"/>
  <c r="D1671" i="8"/>
  <c r="C1671" i="8"/>
  <c r="F1670" i="8"/>
  <c r="E1670" i="8" s="1"/>
  <c r="D1670" i="8"/>
  <c r="C1670" i="8"/>
  <c r="F1669" i="8"/>
  <c r="E1669" i="8" s="1"/>
  <c r="D1669" i="8"/>
  <c r="C1669" i="8"/>
  <c r="F1668" i="8"/>
  <c r="E1668" i="8"/>
  <c r="D1668" i="8"/>
  <c r="C1668" i="8"/>
  <c r="F1667" i="8"/>
  <c r="E1667" i="8" s="1"/>
  <c r="D1667" i="8"/>
  <c r="C1667" i="8"/>
  <c r="F1666" i="8"/>
  <c r="E1666" i="8"/>
  <c r="D1666" i="8"/>
  <c r="C1666" i="8"/>
  <c r="F1665" i="8"/>
  <c r="E1665" i="8"/>
  <c r="D1665" i="8"/>
  <c r="C1665" i="8"/>
  <c r="F1664" i="8"/>
  <c r="E1664" i="8" s="1"/>
  <c r="D1664" i="8"/>
  <c r="C1664" i="8"/>
  <c r="F1663" i="8"/>
  <c r="E1663" i="8" s="1"/>
  <c r="D1663" i="8"/>
  <c r="C1663" i="8"/>
  <c r="F1662" i="8"/>
  <c r="E1662" i="8"/>
  <c r="D1662" i="8"/>
  <c r="C1662" i="8"/>
  <c r="F1661" i="8"/>
  <c r="E1661" i="8" s="1"/>
  <c r="D1661" i="8"/>
  <c r="C1661" i="8"/>
  <c r="F1660" i="8"/>
  <c r="E1660" i="8" s="1"/>
  <c r="D1660" i="8"/>
  <c r="C1660" i="8"/>
  <c r="F1659" i="8"/>
  <c r="E1659" i="8"/>
  <c r="D1659" i="8"/>
  <c r="C1659" i="8"/>
  <c r="F1658" i="8"/>
  <c r="E1658" i="8" s="1"/>
  <c r="D1658" i="8"/>
  <c r="C1658" i="8"/>
  <c r="F1657" i="8"/>
  <c r="E1657" i="8"/>
  <c r="D1657" i="8"/>
  <c r="C1657" i="8"/>
  <c r="F1656" i="8"/>
  <c r="E1656" i="8"/>
  <c r="D1656" i="8"/>
  <c r="C1656" i="8"/>
  <c r="F1655" i="8"/>
  <c r="E1655" i="8" s="1"/>
  <c r="D1655" i="8"/>
  <c r="C1655" i="8"/>
  <c r="F1654" i="8"/>
  <c r="E1654" i="8"/>
  <c r="D1654" i="8"/>
  <c r="C1654" i="8"/>
  <c r="F1653" i="8"/>
  <c r="E1653" i="8"/>
  <c r="D1653" i="8"/>
  <c r="C1653" i="8"/>
  <c r="F1652" i="8"/>
  <c r="E1652" i="8" s="1"/>
  <c r="D1652" i="8"/>
  <c r="C1652" i="8"/>
  <c r="F1651" i="8"/>
  <c r="E1651" i="8" s="1"/>
  <c r="D1651" i="8"/>
  <c r="C1651" i="8"/>
  <c r="F1650" i="8"/>
  <c r="E1650" i="8"/>
  <c r="D1650" i="8"/>
  <c r="C1650" i="8"/>
  <c r="F1649" i="8"/>
  <c r="E1649" i="8" s="1"/>
  <c r="D1649" i="8"/>
  <c r="C1649" i="8"/>
  <c r="F1648" i="8"/>
  <c r="E1648" i="8"/>
  <c r="D1648" i="8"/>
  <c r="C1648" i="8"/>
  <c r="F1647" i="8"/>
  <c r="E1647" i="8"/>
  <c r="D1647" i="8"/>
  <c r="C1647" i="8"/>
  <c r="F1646" i="8"/>
  <c r="E1646" i="8" s="1"/>
  <c r="D1646" i="8"/>
  <c r="C1646" i="8"/>
  <c r="F1645" i="8"/>
  <c r="E1645" i="8" s="1"/>
  <c r="D1645" i="8"/>
  <c r="C1645" i="8"/>
  <c r="F1644" i="8"/>
  <c r="E1644" i="8"/>
  <c r="D1644" i="8"/>
  <c r="C1644" i="8"/>
  <c r="F1643" i="8"/>
  <c r="E1643" i="8" s="1"/>
  <c r="D1643" i="8"/>
  <c r="C1643" i="8"/>
  <c r="F1642" i="8"/>
  <c r="E1642" i="8"/>
  <c r="D1642" i="8"/>
  <c r="C1642" i="8"/>
  <c r="F1641" i="8"/>
  <c r="E1641" i="8"/>
  <c r="D1641" i="8"/>
  <c r="C1641" i="8"/>
  <c r="F1640" i="8"/>
  <c r="E1640" i="8" s="1"/>
  <c r="D1640" i="8"/>
  <c r="C1640" i="8"/>
  <c r="F1639" i="8"/>
  <c r="E1639" i="8"/>
  <c r="D1639" i="8"/>
  <c r="C1639" i="8"/>
  <c r="F1638" i="8"/>
  <c r="E1638" i="8"/>
  <c r="D1638" i="8"/>
  <c r="C1638" i="8"/>
  <c r="F1637" i="8"/>
  <c r="E1637" i="8" s="1"/>
  <c r="D1637" i="8"/>
  <c r="C1637" i="8"/>
  <c r="F1636" i="8"/>
  <c r="E1636" i="8"/>
  <c r="D1636" i="8"/>
  <c r="C1636" i="8"/>
  <c r="F1635" i="8"/>
  <c r="E1635" i="8"/>
  <c r="D1635" i="8"/>
  <c r="C1635" i="8"/>
  <c r="F1634" i="8"/>
  <c r="E1634" i="8" s="1"/>
  <c r="D1634" i="8"/>
  <c r="C1634" i="8"/>
  <c r="F1633" i="8"/>
  <c r="E1633" i="8" s="1"/>
  <c r="D1633" i="8"/>
  <c r="C1633" i="8"/>
  <c r="F1632" i="8"/>
  <c r="E1632" i="8"/>
  <c r="D1632" i="8"/>
  <c r="C1632" i="8"/>
  <c r="F1631" i="8"/>
  <c r="E1631" i="8" s="1"/>
  <c r="D1631" i="8"/>
  <c r="C1631" i="8"/>
  <c r="F1630" i="8"/>
  <c r="E1630" i="8"/>
  <c r="D1630" i="8"/>
  <c r="C1630" i="8"/>
  <c r="F1629" i="8"/>
  <c r="E1629" i="8"/>
  <c r="D1629" i="8"/>
  <c r="C1629" i="8"/>
  <c r="F1628" i="8"/>
  <c r="E1628" i="8" s="1"/>
  <c r="D1628" i="8"/>
  <c r="C1628" i="8"/>
  <c r="F1627" i="8"/>
  <c r="E1627" i="8" s="1"/>
  <c r="D1627" i="8"/>
  <c r="C1627" i="8"/>
  <c r="F1626" i="8"/>
  <c r="E1626" i="8"/>
  <c r="D1626" i="8"/>
  <c r="C1626" i="8"/>
  <c r="F1625" i="8"/>
  <c r="E1625" i="8" s="1"/>
  <c r="D1625" i="8"/>
  <c r="C1625" i="8"/>
  <c r="F1624" i="8"/>
  <c r="E1624" i="8" s="1"/>
  <c r="D1624" i="8"/>
  <c r="C1624" i="8"/>
  <c r="F1623" i="8"/>
  <c r="E1623" i="8"/>
  <c r="D1623" i="8"/>
  <c r="C1623" i="8"/>
  <c r="F1622" i="8"/>
  <c r="E1622" i="8" s="1"/>
  <c r="D1622" i="8"/>
  <c r="C1622" i="8"/>
  <c r="F1621" i="8"/>
  <c r="E1621" i="8"/>
  <c r="D1621" i="8"/>
  <c r="C1621" i="8"/>
  <c r="F1620" i="8"/>
  <c r="E1620" i="8"/>
  <c r="D1620" i="8"/>
  <c r="C1620" i="8"/>
  <c r="F1619" i="8"/>
  <c r="E1619" i="8" s="1"/>
  <c r="D1619" i="8"/>
  <c r="C1619" i="8"/>
  <c r="F1618" i="8"/>
  <c r="E1618" i="8"/>
  <c r="D1618" i="8"/>
  <c r="C1618" i="8"/>
  <c r="F1617" i="8"/>
  <c r="E1617" i="8"/>
  <c r="D1617" i="8"/>
  <c r="C1617" i="8"/>
  <c r="F1616" i="8"/>
  <c r="E1616" i="8" s="1"/>
  <c r="D1616" i="8"/>
  <c r="C1616" i="8"/>
  <c r="F1615" i="8"/>
  <c r="E1615" i="8" s="1"/>
  <c r="D1615" i="8"/>
  <c r="C1615" i="8"/>
  <c r="F1614" i="8"/>
  <c r="E1614" i="8"/>
  <c r="D1614" i="8"/>
  <c r="C1614" i="8"/>
  <c r="F1613" i="8"/>
  <c r="E1613" i="8" s="1"/>
  <c r="D1613" i="8"/>
  <c r="C1613" i="8"/>
  <c r="F1612" i="8"/>
  <c r="E1612" i="8"/>
  <c r="D1612" i="8"/>
  <c r="C1612" i="8"/>
  <c r="F1611" i="8"/>
  <c r="E1611" i="8"/>
  <c r="D1611" i="8"/>
  <c r="C1611" i="8"/>
  <c r="F1610" i="8"/>
  <c r="E1610" i="8" s="1"/>
  <c r="D1610" i="8"/>
  <c r="C1610" i="8"/>
  <c r="F1609" i="8"/>
  <c r="E1609" i="8" s="1"/>
  <c r="D1609" i="8"/>
  <c r="C1609" i="8"/>
  <c r="F1608" i="8"/>
  <c r="E1608" i="8"/>
  <c r="D1608" i="8"/>
  <c r="C1608" i="8"/>
  <c r="F1607" i="8"/>
  <c r="E1607" i="8" s="1"/>
  <c r="D1607" i="8"/>
  <c r="C1607" i="8"/>
  <c r="F1606" i="8"/>
  <c r="E1606" i="8"/>
  <c r="D1606" i="8"/>
  <c r="C1606" i="8"/>
  <c r="F1605" i="8"/>
  <c r="E1605" i="8"/>
  <c r="D1605" i="8"/>
  <c r="C1605" i="8"/>
  <c r="F1604" i="8"/>
  <c r="E1604" i="8" s="1"/>
  <c r="D1604" i="8"/>
  <c r="C1604" i="8"/>
  <c r="F1603" i="8"/>
  <c r="E1603" i="8"/>
  <c r="D1603" i="8"/>
  <c r="C1603" i="8"/>
  <c r="F1602" i="8"/>
  <c r="E1602" i="8"/>
  <c r="D1602" i="8"/>
  <c r="C1602" i="8"/>
  <c r="F1601" i="8"/>
  <c r="E1601" i="8" s="1"/>
  <c r="D1601" i="8"/>
  <c r="C1601" i="8"/>
  <c r="F1600" i="8"/>
  <c r="E1600" i="8"/>
  <c r="D1600" i="8"/>
  <c r="C1600" i="8"/>
  <c r="F1599" i="8"/>
  <c r="E1599" i="8"/>
  <c r="D1599" i="8"/>
  <c r="C1599" i="8"/>
  <c r="F1598" i="8"/>
  <c r="E1598" i="8" s="1"/>
  <c r="D1598" i="8"/>
  <c r="C1598" i="8"/>
  <c r="F1597" i="8"/>
  <c r="E1597" i="8" s="1"/>
  <c r="D1597" i="8"/>
  <c r="C1597" i="8"/>
  <c r="F1596" i="8"/>
  <c r="E1596" i="8"/>
  <c r="D1596" i="8"/>
  <c r="C1596" i="8"/>
  <c r="F1595" i="8"/>
  <c r="E1595" i="8" s="1"/>
  <c r="D1595" i="8"/>
  <c r="C1595" i="8"/>
  <c r="F1594" i="8"/>
  <c r="E1594" i="8"/>
  <c r="D1594" i="8"/>
  <c r="C1594" i="8"/>
  <c r="F1593" i="8"/>
  <c r="E1593" i="8"/>
  <c r="D1593" i="8"/>
  <c r="C1593" i="8"/>
  <c r="F1592" i="8"/>
  <c r="E1592" i="8" s="1"/>
  <c r="D1592" i="8"/>
  <c r="C1592" i="8"/>
  <c r="F1591" i="8"/>
  <c r="E1591" i="8" s="1"/>
  <c r="D1591" i="8"/>
  <c r="C1591" i="8"/>
  <c r="F1590" i="8"/>
  <c r="E1590" i="8"/>
  <c r="D1590" i="8"/>
  <c r="C1590" i="8"/>
  <c r="F1589" i="8"/>
  <c r="E1589" i="8" s="1"/>
  <c r="D1589" i="8"/>
  <c r="C1589" i="8"/>
  <c r="F1588" i="8"/>
  <c r="E1588" i="8" s="1"/>
  <c r="D1588" i="8"/>
  <c r="C1588" i="8"/>
  <c r="F1587" i="8"/>
  <c r="E1587" i="8"/>
  <c r="D1587" i="8"/>
  <c r="C1587" i="8"/>
  <c r="F1586" i="8"/>
  <c r="E1586" i="8" s="1"/>
  <c r="D1586" i="8"/>
  <c r="C1586" i="8"/>
  <c r="F1585" i="8"/>
  <c r="E1585" i="8"/>
  <c r="D1585" i="8"/>
  <c r="C1585" i="8"/>
  <c r="F1584" i="8"/>
  <c r="E1584" i="8"/>
  <c r="D1584" i="8"/>
  <c r="C1584" i="8"/>
  <c r="F1583" i="8"/>
  <c r="E1583" i="8" s="1"/>
  <c r="D1583" i="8"/>
  <c r="C1583" i="8"/>
  <c r="F1582" i="8"/>
  <c r="E1582" i="8"/>
  <c r="D1582" i="8"/>
  <c r="C1582" i="8"/>
  <c r="F1581" i="8"/>
  <c r="E1581" i="8"/>
  <c r="D1581" i="8"/>
  <c r="C1581" i="8"/>
  <c r="F1580" i="8"/>
  <c r="E1580" i="8" s="1"/>
  <c r="D1580" i="8"/>
  <c r="C1580" i="8"/>
  <c r="F1579" i="8"/>
  <c r="E1579" i="8" s="1"/>
  <c r="D1579" i="8"/>
  <c r="C1579" i="8"/>
  <c r="F1578" i="8"/>
  <c r="E1578" i="8"/>
  <c r="D1578" i="8"/>
  <c r="C1578" i="8"/>
  <c r="F1577" i="8"/>
  <c r="E1577" i="8" s="1"/>
  <c r="D1577" i="8"/>
  <c r="C1577" i="8"/>
  <c r="F1576" i="8"/>
  <c r="E1576" i="8"/>
  <c r="D1576" i="8"/>
  <c r="C1576" i="8"/>
  <c r="F1575" i="8"/>
  <c r="E1575" i="8"/>
  <c r="D1575" i="8"/>
  <c r="C1575" i="8"/>
  <c r="F1574" i="8"/>
  <c r="E1574" i="8" s="1"/>
  <c r="D1574" i="8"/>
  <c r="C1574" i="8"/>
  <c r="F1573" i="8"/>
  <c r="E1573" i="8" s="1"/>
  <c r="D1573" i="8"/>
  <c r="C1573" i="8"/>
  <c r="F1572" i="8"/>
  <c r="E1572" i="8"/>
  <c r="D1572" i="8"/>
  <c r="C1572" i="8"/>
  <c r="F1571" i="8"/>
  <c r="E1571" i="8" s="1"/>
  <c r="D1571" i="8"/>
  <c r="C1571" i="8"/>
  <c r="F1570" i="8"/>
  <c r="E1570" i="8"/>
  <c r="D1570" i="8"/>
  <c r="C1570" i="8"/>
  <c r="F1569" i="8"/>
  <c r="E1569" i="8"/>
  <c r="D1569" i="8"/>
  <c r="C1569" i="8"/>
  <c r="F1568" i="8"/>
  <c r="E1568" i="8" s="1"/>
  <c r="D1568" i="8"/>
  <c r="C1568" i="8"/>
  <c r="F1567" i="8"/>
  <c r="E1567" i="8"/>
  <c r="D1567" i="8"/>
  <c r="C1567" i="8"/>
  <c r="F1566" i="8"/>
  <c r="E1566" i="8"/>
  <c r="D1566" i="8"/>
  <c r="C1566" i="8"/>
  <c r="F1565" i="8"/>
  <c r="E1565" i="8" s="1"/>
  <c r="D1565" i="8"/>
  <c r="C1565" i="8"/>
  <c r="F1564" i="8"/>
  <c r="E1564" i="8"/>
  <c r="D1564" i="8"/>
  <c r="C1564" i="8"/>
  <c r="F1563" i="8"/>
  <c r="E1563" i="8"/>
  <c r="D1563" i="8"/>
  <c r="C1563" i="8"/>
  <c r="F1562" i="8"/>
  <c r="E1562" i="8" s="1"/>
  <c r="D1562" i="8"/>
  <c r="C1562" i="8"/>
  <c r="F1561" i="8"/>
  <c r="E1561" i="8" s="1"/>
  <c r="D1561" i="8"/>
  <c r="C1561" i="8"/>
  <c r="F1560" i="8"/>
  <c r="E1560" i="8"/>
  <c r="D1560" i="8"/>
  <c r="C1560" i="8"/>
  <c r="F1559" i="8"/>
  <c r="E1559" i="8" s="1"/>
  <c r="D1559" i="8"/>
  <c r="C1559" i="8"/>
  <c r="F1558" i="8"/>
  <c r="E1558" i="8"/>
  <c r="D1558" i="8"/>
  <c r="C1558" i="8"/>
  <c r="F1557" i="8"/>
  <c r="E1557" i="8"/>
  <c r="D1557" i="8"/>
  <c r="C1557" i="8"/>
  <c r="F1556" i="8"/>
  <c r="E1556" i="8" s="1"/>
  <c r="D1556" i="8"/>
  <c r="C1556" i="8"/>
  <c r="F1555" i="8"/>
  <c r="E1555" i="8" s="1"/>
  <c r="D1555" i="8"/>
  <c r="C1555" i="8"/>
  <c r="F1554" i="8"/>
  <c r="E1554" i="8"/>
  <c r="D1554" i="8"/>
  <c r="C1554" i="8"/>
  <c r="F1553" i="8"/>
  <c r="E1553" i="8" s="1"/>
  <c r="D1553" i="8"/>
  <c r="C1553" i="8"/>
  <c r="F1552" i="8"/>
  <c r="E1552" i="8" s="1"/>
  <c r="D1552" i="8"/>
  <c r="C1552" i="8"/>
  <c r="F1551" i="8"/>
  <c r="E1551" i="8"/>
  <c r="D1551" i="8"/>
  <c r="C1551" i="8"/>
  <c r="F1550" i="8"/>
  <c r="E1550" i="8" s="1"/>
  <c r="D1550" i="8"/>
  <c r="C1550" i="8"/>
  <c r="F1549" i="8"/>
  <c r="E1549" i="8"/>
  <c r="D1549" i="8"/>
  <c r="C1549" i="8"/>
  <c r="F1548" i="8"/>
  <c r="E1548" i="8"/>
  <c r="D1548" i="8"/>
  <c r="C1548" i="8"/>
  <c r="F1547" i="8"/>
  <c r="E1547" i="8" s="1"/>
  <c r="D1547" i="8"/>
  <c r="C1547" i="8"/>
  <c r="F1546" i="8"/>
  <c r="E1546" i="8"/>
  <c r="D1546" i="8"/>
  <c r="C1546" i="8"/>
  <c r="F1545" i="8"/>
  <c r="E1545" i="8"/>
  <c r="D1545" i="8"/>
  <c r="C1545" i="8"/>
  <c r="F1544" i="8"/>
  <c r="E1544" i="8" s="1"/>
  <c r="D1544" i="8"/>
  <c r="C1544" i="8"/>
  <c r="F1543" i="8"/>
  <c r="E1543" i="8" s="1"/>
  <c r="D1543" i="8"/>
  <c r="C1543" i="8"/>
  <c r="F1542" i="8"/>
  <c r="E1542" i="8"/>
  <c r="D1542" i="8"/>
  <c r="C1542" i="8"/>
  <c r="F1541" i="8"/>
  <c r="E1541" i="8" s="1"/>
  <c r="D1541" i="8"/>
  <c r="C1541" i="8"/>
  <c r="F1540" i="8"/>
  <c r="E1540" i="8"/>
  <c r="D1540" i="8"/>
  <c r="C1540" i="8"/>
  <c r="F1539" i="8"/>
  <c r="E1539" i="8" s="1"/>
  <c r="D1539" i="8"/>
  <c r="C1539" i="8"/>
  <c r="F1538" i="8"/>
  <c r="E1538" i="8" s="1"/>
  <c r="D1538" i="8"/>
  <c r="C1538" i="8"/>
  <c r="F1537" i="8"/>
  <c r="E1537" i="8" s="1"/>
  <c r="D1537" i="8"/>
  <c r="C1537" i="8"/>
  <c r="F1536" i="8"/>
  <c r="E1536" i="8"/>
  <c r="D1536" i="8"/>
  <c r="C1536" i="8"/>
  <c r="F1535" i="8"/>
  <c r="E1535" i="8" s="1"/>
  <c r="D1535" i="8"/>
  <c r="C1535" i="8"/>
  <c r="F1534" i="8"/>
  <c r="E1534" i="8"/>
  <c r="D1534" i="8"/>
  <c r="C1534" i="8"/>
  <c r="F1533" i="8"/>
  <c r="E1533" i="8"/>
  <c r="D1533" i="8"/>
  <c r="C1533" i="8"/>
  <c r="F1532" i="8"/>
  <c r="E1532" i="8"/>
  <c r="D1532" i="8"/>
  <c r="C1532" i="8"/>
  <c r="F1531" i="8"/>
  <c r="E1531" i="8"/>
  <c r="D1531" i="8"/>
  <c r="C1531" i="8"/>
  <c r="F1530" i="8"/>
  <c r="E1530" i="8"/>
  <c r="D1530" i="8"/>
  <c r="C1530" i="8"/>
  <c r="F1529" i="8"/>
  <c r="E1529" i="8"/>
  <c r="D1529" i="8"/>
  <c r="C1529" i="8"/>
  <c r="F1528" i="8"/>
  <c r="E1528" i="8"/>
  <c r="D1528" i="8"/>
  <c r="C1528" i="8"/>
  <c r="F1527" i="8"/>
  <c r="E1527" i="8"/>
  <c r="D1527" i="8"/>
  <c r="C1527" i="8"/>
  <c r="F1526" i="8"/>
  <c r="E1526" i="8"/>
  <c r="D1526" i="8"/>
  <c r="C1526" i="8"/>
  <c r="F1525" i="8"/>
  <c r="E1525" i="8"/>
  <c r="D1525" i="8"/>
  <c r="C1525" i="8"/>
  <c r="F1524" i="8"/>
  <c r="E1524" i="8"/>
  <c r="D1524" i="8"/>
  <c r="C1524" i="8"/>
  <c r="F1523" i="8"/>
  <c r="E1523" i="8"/>
  <c r="D1523" i="8"/>
  <c r="C1523" i="8"/>
  <c r="F1522" i="8"/>
  <c r="E1522" i="8"/>
  <c r="D1522" i="8"/>
  <c r="C1522" i="8"/>
  <c r="F1521" i="8"/>
  <c r="E1521" i="8"/>
  <c r="D1521" i="8"/>
  <c r="C1521" i="8"/>
  <c r="F1520" i="8"/>
  <c r="E1520" i="8"/>
  <c r="D1520" i="8"/>
  <c r="C1520" i="8"/>
  <c r="F1519" i="8"/>
  <c r="E1519" i="8"/>
  <c r="D1519" i="8"/>
  <c r="C1519" i="8"/>
  <c r="F1518" i="8"/>
  <c r="E1518" i="8"/>
  <c r="D1518" i="8"/>
  <c r="C1518" i="8"/>
  <c r="F1517" i="8"/>
  <c r="E1517" i="8"/>
  <c r="D1517" i="8"/>
  <c r="C1517" i="8"/>
  <c r="F1516" i="8"/>
  <c r="E1516" i="8"/>
  <c r="D1516" i="8"/>
  <c r="C1516" i="8"/>
  <c r="F1515" i="8"/>
  <c r="E1515" i="8"/>
  <c r="D1515" i="8"/>
  <c r="C1515" i="8"/>
  <c r="F1514" i="8"/>
  <c r="E1514" i="8"/>
  <c r="D1514" i="8"/>
  <c r="C1514" i="8"/>
  <c r="F1513" i="8"/>
  <c r="E1513" i="8"/>
  <c r="D1513" i="8"/>
  <c r="C1513" i="8"/>
  <c r="F1512" i="8"/>
  <c r="E1512" i="8"/>
  <c r="D1512" i="8"/>
  <c r="C1512" i="8"/>
  <c r="F1511" i="8"/>
  <c r="E1511" i="8"/>
  <c r="D1511" i="8"/>
  <c r="C1511" i="8"/>
  <c r="F1510" i="8"/>
  <c r="E1510" i="8"/>
  <c r="D1510" i="8"/>
  <c r="C1510" i="8"/>
  <c r="F1509" i="8"/>
  <c r="E1509" i="8"/>
  <c r="D1509" i="8"/>
  <c r="C1509" i="8"/>
  <c r="F1508" i="8"/>
  <c r="E1508" i="8"/>
  <c r="D1508" i="8"/>
  <c r="C1508" i="8"/>
  <c r="F1507" i="8"/>
  <c r="E1507" i="8"/>
  <c r="D1507" i="8"/>
  <c r="C1507" i="8"/>
  <c r="F1506" i="8"/>
  <c r="E1506" i="8"/>
  <c r="D1506" i="8"/>
  <c r="C1506" i="8"/>
  <c r="F1505" i="8"/>
  <c r="E1505" i="8"/>
  <c r="D1505" i="8"/>
  <c r="C1505" i="8"/>
  <c r="F1504" i="8"/>
  <c r="E1504" i="8"/>
  <c r="D1504" i="8"/>
  <c r="C1504" i="8"/>
  <c r="F1503" i="8"/>
  <c r="E1503" i="8"/>
  <c r="D1503" i="8"/>
  <c r="C1503" i="8"/>
  <c r="F1502" i="8"/>
  <c r="E1502" i="8"/>
  <c r="D1502" i="8"/>
  <c r="C1502" i="8"/>
  <c r="F1501" i="8"/>
  <c r="E1501" i="8"/>
  <c r="D1501" i="8"/>
  <c r="C1501" i="8"/>
  <c r="F1500" i="8"/>
  <c r="E1500" i="8"/>
  <c r="D1500" i="8"/>
  <c r="C1500" i="8"/>
  <c r="F1499" i="8"/>
  <c r="E1499" i="8"/>
  <c r="D1499" i="8"/>
  <c r="C1499" i="8"/>
  <c r="F1498" i="8"/>
  <c r="E1498" i="8"/>
  <c r="D1498" i="8"/>
  <c r="C1498" i="8"/>
  <c r="F1497" i="8"/>
  <c r="E1497" i="8"/>
  <c r="D1497" i="8"/>
  <c r="C1497" i="8"/>
  <c r="F1496" i="8"/>
  <c r="E1496" i="8"/>
  <c r="D1496" i="8"/>
  <c r="C1496" i="8"/>
  <c r="F1495" i="8"/>
  <c r="E1495" i="8"/>
  <c r="D1495" i="8"/>
  <c r="C1495" i="8"/>
  <c r="F1494" i="8"/>
  <c r="E1494" i="8"/>
  <c r="D1494" i="8"/>
  <c r="C1494" i="8"/>
  <c r="F1493" i="8"/>
  <c r="E1493" i="8"/>
  <c r="D1493" i="8"/>
  <c r="C1493" i="8"/>
  <c r="F1492" i="8"/>
  <c r="E1492" i="8"/>
  <c r="D1492" i="8"/>
  <c r="C1492" i="8"/>
  <c r="F1491" i="8"/>
  <c r="E1491" i="8"/>
  <c r="D1491" i="8"/>
  <c r="C1491" i="8"/>
  <c r="F1490" i="8"/>
  <c r="E1490" i="8"/>
  <c r="D1490" i="8"/>
  <c r="C1490" i="8"/>
  <c r="F1489" i="8"/>
  <c r="E1489" i="8"/>
  <c r="D1489" i="8"/>
  <c r="C1489" i="8"/>
  <c r="F1488" i="8"/>
  <c r="E1488" i="8"/>
  <c r="D1488" i="8"/>
  <c r="C1488" i="8"/>
  <c r="F1487" i="8"/>
  <c r="E1487" i="8"/>
  <c r="D1487" i="8"/>
  <c r="C1487" i="8"/>
  <c r="F1486" i="8"/>
  <c r="E1486" i="8"/>
  <c r="D1486" i="8"/>
  <c r="C1486" i="8"/>
  <c r="F1485" i="8"/>
  <c r="E1485" i="8"/>
  <c r="D1485" i="8"/>
  <c r="C1485" i="8"/>
  <c r="F1484" i="8"/>
  <c r="E1484" i="8"/>
  <c r="D1484" i="8"/>
  <c r="C1484" i="8"/>
  <c r="F1483" i="8"/>
  <c r="E1483" i="8"/>
  <c r="D1483" i="8"/>
  <c r="C1483" i="8"/>
  <c r="F1482" i="8"/>
  <c r="E1482" i="8"/>
  <c r="D1482" i="8"/>
  <c r="C1482" i="8"/>
  <c r="F1481" i="8"/>
  <c r="E1481" i="8"/>
  <c r="D1481" i="8"/>
  <c r="C1481" i="8"/>
  <c r="F1480" i="8"/>
  <c r="E1480" i="8"/>
  <c r="D1480" i="8"/>
  <c r="C1480" i="8"/>
  <c r="F1479" i="8"/>
  <c r="E1479" i="8"/>
  <c r="D1479" i="8"/>
  <c r="C1479" i="8"/>
  <c r="F1478" i="8"/>
  <c r="E1478" i="8"/>
  <c r="D1478" i="8"/>
  <c r="C1478" i="8"/>
  <c r="F1477" i="8"/>
  <c r="E1477" i="8"/>
  <c r="D1477" i="8"/>
  <c r="C1477" i="8"/>
  <c r="F1476" i="8"/>
  <c r="E1476" i="8"/>
  <c r="D1476" i="8"/>
  <c r="C1476" i="8"/>
  <c r="F1475" i="8"/>
  <c r="E1475" i="8"/>
  <c r="D1475" i="8"/>
  <c r="C1475" i="8"/>
  <c r="F1474" i="8"/>
  <c r="E1474" i="8"/>
  <c r="D1474" i="8"/>
  <c r="C1474" i="8"/>
  <c r="F1473" i="8"/>
  <c r="E1473" i="8"/>
  <c r="D1473" i="8"/>
  <c r="C1473" i="8"/>
  <c r="F1472" i="8"/>
  <c r="E1472" i="8"/>
  <c r="D1472" i="8"/>
  <c r="C1472" i="8"/>
  <c r="F1471" i="8"/>
  <c r="E1471" i="8"/>
  <c r="D1471" i="8"/>
  <c r="C1471" i="8"/>
  <c r="F1470" i="8"/>
  <c r="E1470" i="8"/>
  <c r="D1470" i="8"/>
  <c r="C1470" i="8"/>
  <c r="F1469" i="8"/>
  <c r="E1469" i="8"/>
  <c r="D1469" i="8"/>
  <c r="C1469" i="8"/>
  <c r="F1468" i="8"/>
  <c r="E1468" i="8"/>
  <c r="D1468" i="8"/>
  <c r="C1468" i="8"/>
  <c r="F1467" i="8"/>
  <c r="E1467" i="8"/>
  <c r="D1467" i="8"/>
  <c r="C1467" i="8"/>
  <c r="F1466" i="8"/>
  <c r="E1466" i="8"/>
  <c r="D1466" i="8"/>
  <c r="C1466" i="8"/>
  <c r="F1465" i="8"/>
  <c r="E1465" i="8"/>
  <c r="D1465" i="8"/>
  <c r="C1465" i="8"/>
  <c r="F1464" i="8"/>
  <c r="E1464" i="8"/>
  <c r="D1464" i="8"/>
  <c r="C1464" i="8"/>
  <c r="F1463" i="8"/>
  <c r="E1463" i="8"/>
  <c r="D1463" i="8"/>
  <c r="C1463" i="8"/>
  <c r="F1462" i="8"/>
  <c r="E1462" i="8"/>
  <c r="D1462" i="8"/>
  <c r="C1462" i="8"/>
  <c r="F1461" i="8"/>
  <c r="E1461" i="8"/>
  <c r="D1461" i="8"/>
  <c r="C1461" i="8"/>
  <c r="F1460" i="8"/>
  <c r="E1460" i="8"/>
  <c r="D1460" i="8"/>
  <c r="C1460" i="8"/>
  <c r="F1459" i="8"/>
  <c r="E1459" i="8"/>
  <c r="D1459" i="8"/>
  <c r="C1459" i="8"/>
  <c r="F1458" i="8"/>
  <c r="E1458" i="8"/>
  <c r="D1458" i="8"/>
  <c r="C1458" i="8"/>
  <c r="F1457" i="8"/>
  <c r="E1457" i="8"/>
  <c r="D1457" i="8"/>
  <c r="C1457" i="8"/>
  <c r="F1456" i="8"/>
  <c r="E1456" i="8"/>
  <c r="D1456" i="8"/>
  <c r="C1456" i="8"/>
  <c r="F1455" i="8"/>
  <c r="E1455" i="8"/>
  <c r="D1455" i="8"/>
  <c r="C1455" i="8"/>
  <c r="F1454" i="8"/>
  <c r="E1454" i="8"/>
  <c r="D1454" i="8"/>
  <c r="C1454" i="8"/>
  <c r="F1453" i="8"/>
  <c r="E1453" i="8"/>
  <c r="D1453" i="8"/>
  <c r="C1453" i="8"/>
  <c r="F1452" i="8"/>
  <c r="E1452" i="8"/>
  <c r="D1452" i="8"/>
  <c r="C1452" i="8"/>
  <c r="F1451" i="8"/>
  <c r="E1451" i="8"/>
  <c r="D1451" i="8"/>
  <c r="C1451" i="8"/>
  <c r="F1450" i="8"/>
  <c r="E1450" i="8"/>
  <c r="D1450" i="8"/>
  <c r="C1450" i="8"/>
  <c r="F1449" i="8"/>
  <c r="E1449" i="8"/>
  <c r="D1449" i="8"/>
  <c r="C1449" i="8"/>
  <c r="F1448" i="8"/>
  <c r="E1448" i="8"/>
  <c r="D1448" i="8"/>
  <c r="C1448" i="8"/>
  <c r="F1447" i="8"/>
  <c r="E1447" i="8"/>
  <c r="D1447" i="8"/>
  <c r="C1447" i="8"/>
  <c r="F1446" i="8"/>
  <c r="E1446" i="8"/>
  <c r="D1446" i="8"/>
  <c r="C1446" i="8"/>
  <c r="F1445" i="8"/>
  <c r="E1445" i="8"/>
  <c r="D1445" i="8"/>
  <c r="C1445" i="8"/>
  <c r="F1444" i="8"/>
  <c r="E1444" i="8"/>
  <c r="D1444" i="8"/>
  <c r="C1444" i="8"/>
  <c r="F1443" i="8"/>
  <c r="E1443" i="8"/>
  <c r="D1443" i="8"/>
  <c r="C1443" i="8"/>
  <c r="F1442" i="8"/>
  <c r="E1442" i="8"/>
  <c r="D1442" i="8"/>
  <c r="C1442" i="8"/>
  <c r="F1441" i="8"/>
  <c r="E1441" i="8"/>
  <c r="D1441" i="8"/>
  <c r="C1441" i="8"/>
  <c r="F1440" i="8"/>
  <c r="E1440" i="8"/>
  <c r="D1440" i="8"/>
  <c r="C1440" i="8"/>
  <c r="F1439" i="8"/>
  <c r="E1439" i="8"/>
  <c r="D1439" i="8"/>
  <c r="C1439" i="8"/>
  <c r="F1438" i="8"/>
  <c r="E1438" i="8"/>
  <c r="D1438" i="8"/>
  <c r="C1438" i="8"/>
  <c r="F1437" i="8"/>
  <c r="E1437" i="8"/>
  <c r="D1437" i="8"/>
  <c r="C1437" i="8"/>
  <c r="F1436" i="8"/>
  <c r="E1436" i="8"/>
  <c r="D1436" i="8"/>
  <c r="C1436" i="8"/>
  <c r="F1435" i="8"/>
  <c r="E1435" i="8"/>
  <c r="D1435" i="8"/>
  <c r="C1435" i="8"/>
  <c r="F1434" i="8"/>
  <c r="E1434" i="8"/>
  <c r="D1434" i="8"/>
  <c r="C1434" i="8"/>
  <c r="F1433" i="8"/>
  <c r="E1433" i="8"/>
  <c r="D1433" i="8"/>
  <c r="C1433" i="8"/>
  <c r="F1432" i="8"/>
  <c r="E1432" i="8"/>
  <c r="D1432" i="8"/>
  <c r="C1432" i="8"/>
  <c r="F1431" i="8"/>
  <c r="E1431" i="8"/>
  <c r="D1431" i="8"/>
  <c r="C1431" i="8"/>
  <c r="F1430" i="8"/>
  <c r="E1430" i="8"/>
  <c r="D1430" i="8"/>
  <c r="C1430" i="8"/>
  <c r="F1429" i="8"/>
  <c r="E1429" i="8"/>
  <c r="D1429" i="8"/>
  <c r="C1429" i="8"/>
  <c r="F1428" i="8"/>
  <c r="E1428" i="8"/>
  <c r="D1428" i="8"/>
  <c r="C1428" i="8"/>
  <c r="F1427" i="8"/>
  <c r="E1427" i="8"/>
  <c r="D1427" i="8"/>
  <c r="C1427" i="8"/>
  <c r="D18" i="8"/>
  <c r="C18" i="8"/>
  <c r="B32" i="10" s="1"/>
  <c r="C32" i="10" s="1"/>
  <c r="E17" i="8"/>
  <c r="D17" i="8"/>
  <c r="C17" i="8"/>
  <c r="B17" i="8"/>
  <c r="F17" i="8" s="1"/>
  <c r="C16" i="8"/>
  <c r="D16" i="8" s="1"/>
  <c r="C15" i="8"/>
  <c r="D15" i="8" s="1"/>
  <c r="D14" i="8"/>
  <c r="C14" i="8"/>
  <c r="B14" i="8"/>
  <c r="F14" i="8" s="1"/>
  <c r="E14" i="8" s="1"/>
  <c r="F13" i="8"/>
  <c r="E13" i="8" s="1"/>
  <c r="D13" i="8"/>
  <c r="C13" i="8"/>
  <c r="B13" i="8"/>
  <c r="C12" i="8"/>
  <c r="D12" i="8" s="1"/>
  <c r="D11" i="8"/>
  <c r="C11" i="8"/>
  <c r="B11" i="8" s="1"/>
  <c r="D10" i="8"/>
  <c r="C10" i="8"/>
  <c r="B10" i="8" s="1"/>
  <c r="C9" i="8"/>
  <c r="D9" i="8" s="1"/>
  <c r="B9" i="8"/>
  <c r="F9" i="8" s="1"/>
  <c r="C8" i="8"/>
  <c r="D8" i="8" s="1"/>
  <c r="B8" i="8"/>
  <c r="F8" i="8" s="1"/>
  <c r="D7" i="8"/>
  <c r="C7" i="8"/>
  <c r="B7" i="8" s="1"/>
  <c r="D6" i="8"/>
  <c r="C6" i="8"/>
  <c r="B6" i="8" s="1"/>
  <c r="F5" i="8"/>
  <c r="E5" i="8"/>
  <c r="D5" i="8"/>
  <c r="C5" i="8"/>
  <c r="F7" i="8" l="1"/>
  <c r="E7" i="8" s="1"/>
  <c r="F10" i="8"/>
  <c r="E10" i="8" s="1"/>
  <c r="F11" i="8"/>
  <c r="E11" i="8" s="1"/>
  <c r="F6" i="8"/>
  <c r="E6" i="8" s="1"/>
  <c r="E8" i="8"/>
  <c r="B16" i="8"/>
  <c r="E9" i="8"/>
  <c r="B12" i="8"/>
  <c r="B15" i="8"/>
  <c r="B18" i="8"/>
  <c r="D8" i="10"/>
  <c r="K8" i="10"/>
  <c r="L8" i="10" s="1"/>
  <c r="I8" i="10"/>
  <c r="J8" i="10" s="1"/>
  <c r="H8" i="10"/>
  <c r="G8" i="10"/>
  <c r="C8" i="10"/>
  <c r="N32" i="10"/>
  <c r="O25" i="10"/>
  <c r="D14" i="10"/>
  <c r="K14" i="10"/>
  <c r="L14" i="10" s="1"/>
  <c r="I14" i="10"/>
  <c r="J14" i="10" s="1"/>
  <c r="H14" i="10"/>
  <c r="G14" i="10"/>
  <c r="C14" i="10"/>
  <c r="C7" i="10"/>
  <c r="H9" i="10"/>
  <c r="C13" i="10"/>
  <c r="H15" i="10"/>
  <c r="D7" i="10"/>
  <c r="D13" i="10"/>
  <c r="C12" i="10"/>
  <c r="G7" i="10"/>
  <c r="K9" i="10"/>
  <c r="L9" i="10" s="1"/>
  <c r="D12" i="10"/>
  <c r="G13" i="10"/>
  <c r="K15" i="10"/>
  <c r="L15" i="10" s="1"/>
  <c r="C19" i="10"/>
  <c r="H7" i="10"/>
  <c r="C11" i="10"/>
  <c r="H13" i="10"/>
  <c r="C17" i="10"/>
  <c r="D19" i="10"/>
  <c r="I7" i="10"/>
  <c r="J7" i="10" s="1"/>
  <c r="D11" i="10"/>
  <c r="G12" i="10"/>
  <c r="I13" i="10"/>
  <c r="J13" i="10" s="1"/>
  <c r="D17" i="10"/>
  <c r="G19" i="10"/>
  <c r="G17" i="10"/>
  <c r="H19" i="10"/>
  <c r="H17" i="10"/>
  <c r="I19" i="10"/>
  <c r="J19" i="10" s="1"/>
  <c r="I17" i="10"/>
  <c r="J17" i="10" s="1"/>
  <c r="F12" i="8" l="1"/>
  <c r="E12" i="8" s="1"/>
  <c r="O32" i="10"/>
  <c r="P25" i="10"/>
  <c r="F16" i="8"/>
  <c r="E16" i="8" s="1"/>
  <c r="F15" i="8"/>
  <c r="E15" i="8" s="1"/>
  <c r="F18" i="8"/>
  <c r="E18" i="8" s="1"/>
  <c r="P32" i="10" l="1"/>
  <c r="Q25" i="10"/>
  <c r="Q32" i="10" l="1"/>
  <c r="R25" i="10"/>
  <c r="R32" i="10" l="1"/>
  <c r="S25" i="10"/>
  <c r="S32" i="10" l="1"/>
  <c r="T25" i="10"/>
  <c r="T32" i="10" l="1"/>
  <c r="U25" i="10"/>
  <c r="U32" i="10" l="1"/>
  <c r="V25" i="10"/>
  <c r="V32" i="10" s="1"/>
</calcChain>
</file>

<file path=xl/sharedStrings.xml><?xml version="1.0" encoding="utf-8"?>
<sst xmlns="http://schemas.openxmlformats.org/spreadsheetml/2006/main" count="645" uniqueCount="310">
  <si>
    <t>Generic Comet (GC) TIMES Residential</t>
  </si>
  <si>
    <t>Sheet color</t>
  </si>
  <si>
    <t>Parameters</t>
  </si>
  <si>
    <t>City Dashboard</t>
  </si>
  <si>
    <t>GC Databases</t>
  </si>
  <si>
    <t>TIMES formatted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</si>
  <si>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</si>
  <si>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</si>
  <si>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</si>
  <si>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</si>
  <si>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</si>
  <si>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</si>
  <si>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</si>
  <si>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</si>
  <si>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</si>
  <si>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</si>
  <si>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</si>
  <si>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</si>
  <si>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</si>
  <si>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</si>
  <si>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</si>
  <si>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</si>
  <si>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</si>
  <si>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</si>
  <si>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</si>
  <si>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</si>
  <si>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</si>
  <si>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</si>
  <si>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</si>
  <si>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</si>
  <si>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</si>
  <si>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</si>
  <si>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</si>
  <si>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</si>
  <si>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</si>
  <si>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</si>
  <si>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</si>
  <si>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</si>
  <si>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</si>
  <si>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</si>
  <si>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</si>
  <si>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</si>
  <si>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</si>
  <si>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</si>
  <si>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</si>
  <si>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</si>
  <si>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</si>
  <si>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</si>
  <si>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</si>
  <si>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</si>
  <si>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</si>
  <si>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</si>
  <si>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</si>
  <si>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</si>
  <si>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</si>
  <si>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</si>
  <si>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</si>
  <si>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</si>
  <si>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</si>
  <si>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</si>
  <si>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</si>
  <si>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</si>
  <si>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</si>
  <si>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</si>
  <si>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</si>
  <si>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</si>
  <si>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</si>
  <si>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</si>
  <si>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</si>
  <si>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</si>
  <si>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</si>
  <si>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Sector</t>
  </si>
  <si>
    <t>Sub-sector</t>
  </si>
  <si>
    <t>Archetype</t>
  </si>
  <si>
    <t xml:space="preserve">Vintage </t>
  </si>
  <si>
    <t>Demand Label</t>
  </si>
  <si>
    <t>Unit</t>
  </si>
  <si>
    <t>Commercial</t>
  </si>
  <si>
    <t>Hotel</t>
  </si>
  <si>
    <t>Old</t>
  </si>
  <si>
    <t>COMHOTOldDMD</t>
  </si>
  <si>
    <t>Mm2</t>
  </si>
  <si>
    <t>Retail</t>
  </si>
  <si>
    <t>COMRETOldDMD</t>
  </si>
  <si>
    <t>Office</t>
  </si>
  <si>
    <t>COMOFFOldDMD</t>
  </si>
  <si>
    <t>Hospital</t>
  </si>
  <si>
    <t>COMHOPOldDMD</t>
  </si>
  <si>
    <t>Educationnal</t>
  </si>
  <si>
    <t>COMEDUOldDMD</t>
  </si>
  <si>
    <t>Warehouse</t>
  </si>
  <si>
    <t>COMWAROldDMD</t>
  </si>
  <si>
    <t>Municipal</t>
  </si>
  <si>
    <t>COMMUNOldDMD</t>
  </si>
  <si>
    <t>Other</t>
  </si>
  <si>
    <t>COMOTHOldDMD</t>
  </si>
  <si>
    <t>New</t>
  </si>
  <si>
    <t>COMHOTNewDMD</t>
  </si>
  <si>
    <t>COMRETNewDMD</t>
  </si>
  <si>
    <t>COMOFFNewDMD</t>
  </si>
  <si>
    <t>COMHOPNewDMD</t>
  </si>
  <si>
    <t>COMEDUNewDMD</t>
  </si>
  <si>
    <t>COMWARNewDMD</t>
  </si>
  <si>
    <t>COMMUNNewDMD</t>
  </si>
  <si>
    <t>COMOTHNewDMD</t>
  </si>
  <si>
    <t>Residential</t>
  </si>
  <si>
    <t>Apartment</t>
  </si>
  <si>
    <t>Low Income</t>
  </si>
  <si>
    <t>RESAPALOOldDMD</t>
  </si>
  <si>
    <t>House</t>
  </si>
  <si>
    <t>RESHOULOOldDMD</t>
  </si>
  <si>
    <t>Lower-Middle Income</t>
  </si>
  <si>
    <t>RESAPALMOldDMD</t>
  </si>
  <si>
    <t>RESHOULMOldDMD</t>
  </si>
  <si>
    <t>Upper-Middle Income</t>
  </si>
  <si>
    <t>RESAPAUMOldDMD</t>
  </si>
  <si>
    <t>RESHOUUMOldDMD</t>
  </si>
  <si>
    <t>High Income</t>
  </si>
  <si>
    <t>RESAPAHIOldDMD</t>
  </si>
  <si>
    <t>RESHOUHIOldDMD</t>
  </si>
  <si>
    <t>RESAPALONewDMD</t>
  </si>
  <si>
    <t>RESHOULONewDMD</t>
  </si>
  <si>
    <t>RESAPALMNewDMD</t>
  </si>
  <si>
    <t>RESHOULMNewDMD</t>
  </si>
  <si>
    <t>RESAPAUMNewDMD</t>
  </si>
  <si>
    <t>RESHOUUMNewDMD</t>
  </si>
  <si>
    <t>RESAPAHINewDMD</t>
  </si>
  <si>
    <t>RESHOUHINewDMD</t>
  </si>
  <si>
    <t>Industrial</t>
  </si>
  <si>
    <t>All Industries</t>
  </si>
  <si>
    <t>INDAINDMD</t>
  </si>
  <si>
    <t>TJ</t>
  </si>
  <si>
    <t>Transportation</t>
  </si>
  <si>
    <t>Passenger</t>
  </si>
  <si>
    <t>Passenger Car</t>
  </si>
  <si>
    <t>TRAPASCARDMD</t>
  </si>
  <si>
    <t>M Vkm</t>
  </si>
  <si>
    <t>Passenger Truck</t>
  </si>
  <si>
    <t>TRAPASLDTDMD</t>
  </si>
  <si>
    <t>Motorcycle</t>
  </si>
  <si>
    <t>TRAPASMOTDMD</t>
  </si>
  <si>
    <t>Freight</t>
  </si>
  <si>
    <t>Light Commercial Truck</t>
  </si>
  <si>
    <t>TRAFRECLTDMD</t>
  </si>
  <si>
    <t>Refuse Truck</t>
  </si>
  <si>
    <t>TRAFRERFTDMD</t>
  </si>
  <si>
    <t>Single Unit Long-haul Truck</t>
  </si>
  <si>
    <t>TRAFRESLHDMD</t>
  </si>
  <si>
    <t>Single Unit Short-haul Truck</t>
  </si>
  <si>
    <t>TRAFRESSHDMD</t>
  </si>
  <si>
    <t>Combination Long-haul Truck</t>
  </si>
  <si>
    <t>TRAFRECLHDMD</t>
  </si>
  <si>
    <t>Combination Short-haul Truck</t>
  </si>
  <si>
    <t>TRAFRECSHDMD</t>
  </si>
  <si>
    <t>Transit Bus</t>
  </si>
  <si>
    <t>TRAPASTBUDMD</t>
  </si>
  <si>
    <t>School Bus</t>
  </si>
  <si>
    <t>TRAPASSBUDMD</t>
  </si>
  <si>
    <t>Other Buses</t>
  </si>
  <si>
    <t>TRAPASOBUDMD</t>
  </si>
  <si>
    <t>Rail</t>
  </si>
  <si>
    <t>TRAPASRAIDMD</t>
  </si>
  <si>
    <t>Tram</t>
  </si>
  <si>
    <t>TRAPASTRMDMD</t>
  </si>
  <si>
    <t>Subway</t>
  </si>
  <si>
    <t>TRAPASSUBDMD</t>
  </si>
  <si>
    <t>Bicycle</t>
  </si>
  <si>
    <t>TRAPASBICDMD</t>
  </si>
  <si>
    <t>Walk</t>
  </si>
  <si>
    <t>TRAPASWALDMD</t>
  </si>
  <si>
    <t>Off-Road</t>
  </si>
  <si>
    <t>TRAOTHOFRDMD</t>
  </si>
  <si>
    <t>Waterborne</t>
  </si>
  <si>
    <t>TRAOTHWATDMD</t>
  </si>
  <si>
    <t>Aviation</t>
  </si>
  <si>
    <t>TRAOTHAIRDMD</t>
  </si>
  <si>
    <t>Waste</t>
  </si>
  <si>
    <t>Solid</t>
  </si>
  <si>
    <t>Paper</t>
  </si>
  <si>
    <t>WASSOLPAPDMD</t>
  </si>
  <si>
    <t>k tonnes</t>
  </si>
  <si>
    <t>Glass</t>
  </si>
  <si>
    <t>WASSOLGLADMD</t>
  </si>
  <si>
    <t>Metals</t>
  </si>
  <si>
    <t>WASSOLMETDMD</t>
  </si>
  <si>
    <t>Plastics</t>
  </si>
  <si>
    <t>WASSOLPLADMD</t>
  </si>
  <si>
    <t>Food</t>
  </si>
  <si>
    <t>WASSOLFOODMD</t>
  </si>
  <si>
    <t>Yard trimmings</t>
  </si>
  <si>
    <t>WASSOLYARDMD</t>
  </si>
  <si>
    <t>All other</t>
  </si>
  <si>
    <t>WASSOLAOTDMD</t>
  </si>
  <si>
    <t>Historical</t>
  </si>
  <si>
    <t>WASSOLHISDMD</t>
  </si>
  <si>
    <t>Water</t>
  </si>
  <si>
    <t>Fresh Water</t>
  </si>
  <si>
    <t>WASWATFWADMD</t>
  </si>
  <si>
    <t>Mm3</t>
  </si>
  <si>
    <t>Annual Precipitation</t>
  </si>
  <si>
    <t>WASWATAPRDMD</t>
  </si>
  <si>
    <t>Electricity</t>
  </si>
  <si>
    <t>Miscellanous EGRID electricity demand</t>
  </si>
  <si>
    <t>ELCMISEGRIDDMD</t>
  </si>
  <si>
    <t>Treatment</t>
  </si>
  <si>
    <t>WASWATTRTDMD</t>
  </si>
  <si>
    <t>End Use</t>
  </si>
  <si>
    <t>Technology</t>
  </si>
  <si>
    <t>Energy</t>
  </si>
  <si>
    <t>First Year</t>
  </si>
  <si>
    <t>Description</t>
  </si>
  <si>
    <t>Input Label</t>
  </si>
  <si>
    <t>Output Label</t>
  </si>
  <si>
    <t>Technology Label</t>
  </si>
  <si>
    <t>EFF</t>
  </si>
  <si>
    <t>CFA</t>
  </si>
  <si>
    <t>C2A</t>
  </si>
  <si>
    <t>CAPEX ($/kW)</t>
  </si>
  <si>
    <t>To include</t>
  </si>
  <si>
    <t>All end use</t>
  </si>
  <si>
    <t>Coal</t>
  </si>
  <si>
    <t>INDCOA</t>
  </si>
  <si>
    <t>INDAINAEUCOA20</t>
  </si>
  <si>
    <t>Petcoke</t>
  </si>
  <si>
    <t>INDPCK</t>
  </si>
  <si>
    <t>INDAINAEUPCK20</t>
  </si>
  <si>
    <t>LPG</t>
  </si>
  <si>
    <t>INDLPG</t>
  </si>
  <si>
    <t>INDAINAEULPG20</t>
  </si>
  <si>
    <t>Fuel oil</t>
  </si>
  <si>
    <t>INDFOI</t>
  </si>
  <si>
    <t>INDAINAEUFOI20</t>
  </si>
  <si>
    <t>Natural gas</t>
  </si>
  <si>
    <t>INDNGA</t>
  </si>
  <si>
    <t>INDAINAEUNGA20</t>
  </si>
  <si>
    <t>RNG</t>
  </si>
  <si>
    <t>INDRNG</t>
  </si>
  <si>
    <t>INDAINAEURNG20</t>
  </si>
  <si>
    <t>Kerosene</t>
  </si>
  <si>
    <t>INDKER</t>
  </si>
  <si>
    <t>INDAINAEUKER20</t>
  </si>
  <si>
    <t>Gasoline</t>
  </si>
  <si>
    <t>INDGSL</t>
  </si>
  <si>
    <t>INDAINAEUGSL20</t>
  </si>
  <si>
    <t>Diesel</t>
  </si>
  <si>
    <t>INDDSL</t>
  </si>
  <si>
    <t>INDAINAEUDSL20</t>
  </si>
  <si>
    <t>INDELC</t>
  </si>
  <si>
    <t>INDAINAEUELC20</t>
  </si>
  <si>
    <t>Hydrogen</t>
  </si>
  <si>
    <t>INDH2G</t>
  </si>
  <si>
    <t>INDAINAEUH2G20</t>
  </si>
  <si>
    <t>*</t>
  </si>
  <si>
    <t>Retrofit</t>
  </si>
  <si>
    <t>INDRET</t>
  </si>
  <si>
    <t>INDAINAEURET20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</si>
  <si>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</si>
  <si>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</si>
  <si>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</si>
  <si>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</si>
  <si>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</si>
  <si>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</si>
  <si>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</si>
  <si>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</si>
  <si>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</si>
  <si>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</si>
  <si>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</si>
  <si>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</si>
  <si>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</si>
  <si>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</si>
  <si>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</si>
  <si>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</si>
  <si>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</si>
  <si>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MIN</t>
  </si>
  <si>
    <t>PRE</t>
  </si>
  <si>
    <t>~FI_Comm</t>
  </si>
  <si>
    <t>Csets</t>
  </si>
  <si>
    <t>CommName</t>
  </si>
  <si>
    <t>CommDesc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</si>
  <si>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</si>
  <si>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</si>
  <si>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</si>
  <si>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</si>
  <si>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</si>
  <si>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</si>
  <si>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</si>
  <si>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</si>
  <si>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</si>
  <si>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</si>
  <si>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</si>
  <si>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Industrial Retrofit potential</t>
  </si>
  <si>
    <t>~FI_T</t>
  </si>
  <si>
    <t>Comm-IN</t>
  </si>
  <si>
    <t>Comm-OUT</t>
  </si>
  <si>
    <t>NCAP_START</t>
  </si>
  <si>
    <t>NCAP_TLIFE</t>
  </si>
  <si>
    <t>PRC_CAPACT</t>
  </si>
  <si>
    <t>NCAP_AFA</t>
  </si>
  <si>
    <t>NCAP_AFA~LO</t>
  </si>
  <si>
    <t>NCAP_COST</t>
  </si>
  <si>
    <t>NCAP_FOM</t>
  </si>
  <si>
    <t>Yr</t>
  </si>
  <si>
    <t>Out/In</t>
  </si>
  <si>
    <t>TJ/MW</t>
  </si>
  <si>
    <t>%</t>
  </si>
  <si>
    <t>$ /kW</t>
  </si>
  <si>
    <t>$ /kW / Yr</t>
  </si>
  <si>
    <t>ACT_BND~UP</t>
  </si>
  <si>
    <t>ACT_COST</t>
  </si>
  <si>
    <t>k$/Mm2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</si>
</sst>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0" applyNumberFormat="1"/>
    <xf numFmtId="0" fontId="3" fillId="0" borderId="0" xfId="0" applyFont="1"/>
    <xf numFmtId="0" fontId="4" fillId="7" borderId="1" xfId="0" applyFont="1" applyFill="1" applyBorder="1"/>
    <xf numFmtId="0" fontId="5" fillId="8" borderId="2" xfId="1" applyFill="1" applyBorder="1" applyAlignment="1">
      <alignment horizontal="left" wrapText="1"/>
    </xf>
    <xf numFmtId="2" fontId="0" fillId="0" borderId="0" xfId="0" applyNumberFormat="1"/>
    <xf numFmtId="9" fontId="0" fillId="0" borderId="0" xfId="0" applyNumberFormat="1"/>
  </cellXfs>
  <cellStyles count="2">
    <cellStyle name="Normal" xfId="0" builtinId="0"/>
    <cellStyle name="Normal 1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E23" sqref="E23"/>
    </sheetView>
  </sheetViews>
  <sheetFormatPr defaultColWidth="8.85546875" defaultRowHeight="15" x14ac:dyDescent="0.25"/>
  <cols>
    <col min="1" max="27" width="8.85546875" style="2" customWidth="1"/>
    <col min="28" max="16384" width="8.85546875" style="2"/>
  </cols>
  <sheetData>
    <row r="1" spans="1:3" s="1" customFormat="1" ht="23.45" customHeight="1" x14ac:dyDescent="0.35">
      <c r="A1" s="1" t="s">
        <v>0</v>
      </c>
    </row>
    <row r="2" spans="1:3" s="1" customFormat="1" ht="23.45" customHeight="1" x14ac:dyDescent="0.35"/>
    <row r="3" spans="1:3" x14ac:dyDescent="0.25">
      <c r="B3" s="3" t="s">
        <v>1</v>
      </c>
    </row>
    <row r="4" spans="1:3" x14ac:dyDescent="0.25">
      <c r="B4" s="4"/>
      <c r="C4" s="2" t="s">
        <v>2</v>
      </c>
    </row>
    <row r="6" spans="1:3" x14ac:dyDescent="0.25">
      <c r="B6" s="5"/>
      <c r="C6" s="2" t="s">
        <v>3</v>
      </c>
    </row>
    <row r="8" spans="1:3" x14ac:dyDescent="0.25">
      <c r="B8" s="6"/>
      <c r="C8" s="2" t="s">
        <v>4</v>
      </c>
    </row>
    <row r="10" spans="1:3" x14ac:dyDescent="0.25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E23" sqref="E23"/>
    </sheetView>
  </sheetViews>
  <sheetFormatPr defaultColWidth="8.85546875" defaultRowHeight="15" x14ac:dyDescent="0.2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40" width="8.85546875" style="2" customWidth="1"/>
    <col min="41" max="16384" width="8.85546875" style="2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6"/>
  <sheetViews>
    <sheetView workbookViewId="0">
      <selection activeCell="L14" sqref="L14"/>
    </sheetView>
  </sheetViews>
  <sheetFormatPr defaultRowHeight="15" x14ac:dyDescent="0.25"/>
  <cols>
    <col min="5" max="5" width="19.28515625" bestFit="1" customWidth="1"/>
  </cols>
  <sheetData>
    <row r="1" spans="1:24" x14ac:dyDescent="0.2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>
        <v>2019</v>
      </c>
      <c r="H1">
        <v>2020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>
        <v>2055</v>
      </c>
      <c r="P1">
        <v>2060</v>
      </c>
      <c r="Q1">
        <v>2065</v>
      </c>
      <c r="R1">
        <v>2070</v>
      </c>
      <c r="S1">
        <v>2075</v>
      </c>
      <c r="T1">
        <v>2080</v>
      </c>
      <c r="U1">
        <v>2085</v>
      </c>
      <c r="V1">
        <v>2090</v>
      </c>
      <c r="W1">
        <v>2095</v>
      </c>
      <c r="X1">
        <v>2100</v>
      </c>
    </row>
    <row r="2" spans="1:24" x14ac:dyDescent="0.25">
      <c r="A2" t="s">
        <v>77</v>
      </c>
      <c r="B2" t="s">
        <v>78</v>
      </c>
      <c r="D2" t="s">
        <v>79</v>
      </c>
      <c r="E2" t="s">
        <v>80</v>
      </c>
      <c r="F2" t="s">
        <v>81</v>
      </c>
      <c r="G2">
        <v>11.97870118205155</v>
      </c>
      <c r="H2">
        <v>11.97870118205155</v>
      </c>
      <c r="I2">
        <v>11.97870118205155</v>
      </c>
      <c r="J2">
        <v>11.97870118205155</v>
      </c>
      <c r="K2">
        <v>11.97870118205155</v>
      </c>
      <c r="L2">
        <v>11.97870118205155</v>
      </c>
      <c r="M2">
        <v>11.97870118205155</v>
      </c>
      <c r="N2">
        <v>11.97870118205155</v>
      </c>
      <c r="O2">
        <v>11.97870118205155</v>
      </c>
      <c r="P2">
        <v>11.97870118205155</v>
      </c>
      <c r="Q2">
        <v>11.97870118205155</v>
      </c>
      <c r="R2">
        <v>11.97870118205155</v>
      </c>
      <c r="S2">
        <v>11.97870118205155</v>
      </c>
      <c r="T2">
        <v>11.97870118205155</v>
      </c>
      <c r="U2">
        <v>11.97870118205155</v>
      </c>
      <c r="V2">
        <v>11.97870118205155</v>
      </c>
      <c r="W2">
        <v>11.97870118205155</v>
      </c>
      <c r="X2">
        <v>11.97870118205155</v>
      </c>
    </row>
    <row r="3" spans="1:24" x14ac:dyDescent="0.25">
      <c r="A3" t="s">
        <v>77</v>
      </c>
      <c r="B3" t="s">
        <v>82</v>
      </c>
      <c r="D3" t="s">
        <v>79</v>
      </c>
      <c r="E3" t="s">
        <v>83</v>
      </c>
      <c r="F3" t="s">
        <v>81</v>
      </c>
      <c r="G3">
        <v>23.081056453704559</v>
      </c>
      <c r="H3">
        <v>23.081056453704559</v>
      </c>
      <c r="I3">
        <v>23.081056453704559</v>
      </c>
      <c r="J3">
        <v>23.081056453704559</v>
      </c>
      <c r="K3">
        <v>23.081056453704559</v>
      </c>
      <c r="L3">
        <v>23.081056453704559</v>
      </c>
      <c r="M3">
        <v>23.081056453704559</v>
      </c>
      <c r="N3">
        <v>23.081056453704559</v>
      </c>
      <c r="O3">
        <v>23.081056453704559</v>
      </c>
      <c r="P3">
        <v>23.081056453704559</v>
      </c>
      <c r="Q3">
        <v>23.081056453704559</v>
      </c>
      <c r="R3">
        <v>23.081056453704559</v>
      </c>
      <c r="S3">
        <v>23.081056453704559</v>
      </c>
      <c r="T3">
        <v>23.081056453704559</v>
      </c>
      <c r="U3">
        <v>23.081056453704559</v>
      </c>
      <c r="V3">
        <v>23.081056453704559</v>
      </c>
      <c r="W3">
        <v>23.081056453704559</v>
      </c>
      <c r="X3">
        <v>23.081056453704559</v>
      </c>
    </row>
    <row r="4" spans="1:24" x14ac:dyDescent="0.25">
      <c r="A4" t="s">
        <v>77</v>
      </c>
      <c r="B4" t="s">
        <v>84</v>
      </c>
      <c r="D4" t="s">
        <v>79</v>
      </c>
      <c r="E4" t="s">
        <v>85</v>
      </c>
      <c r="F4" t="s">
        <v>81</v>
      </c>
      <c r="G4">
        <v>73.164818964644439</v>
      </c>
      <c r="H4">
        <v>73.164818964644439</v>
      </c>
      <c r="I4">
        <v>73.164818964644439</v>
      </c>
      <c r="J4">
        <v>73.164818964644439</v>
      </c>
      <c r="K4">
        <v>73.164818964644439</v>
      </c>
      <c r="L4">
        <v>73.164818964644439</v>
      </c>
      <c r="M4">
        <v>73.164818964644439</v>
      </c>
      <c r="N4">
        <v>73.164818964644439</v>
      </c>
      <c r="O4">
        <v>73.164818964644439</v>
      </c>
      <c r="P4">
        <v>73.164818964644439</v>
      </c>
      <c r="Q4">
        <v>73.164818964644439</v>
      </c>
      <c r="R4">
        <v>73.164818964644439</v>
      </c>
      <c r="S4">
        <v>73.164818964644439</v>
      </c>
      <c r="T4">
        <v>73.164818964644439</v>
      </c>
      <c r="U4">
        <v>73.164818964644439</v>
      </c>
      <c r="V4">
        <v>73.164818964644439</v>
      </c>
      <c r="W4">
        <v>73.164818964644439</v>
      </c>
      <c r="X4">
        <v>73.164818964644439</v>
      </c>
    </row>
    <row r="5" spans="1:24" x14ac:dyDescent="0.25">
      <c r="A5" t="s">
        <v>77</v>
      </c>
      <c r="B5" t="s">
        <v>86</v>
      </c>
      <c r="D5" t="s">
        <v>79</v>
      </c>
      <c r="E5" t="s">
        <v>87</v>
      </c>
      <c r="F5" t="s">
        <v>81</v>
      </c>
      <c r="G5">
        <v>44.382259283666471</v>
      </c>
      <c r="H5">
        <v>44.382259283666471</v>
      </c>
      <c r="I5">
        <v>44.382259283666471</v>
      </c>
      <c r="J5">
        <v>44.382259283666471</v>
      </c>
      <c r="K5">
        <v>44.382259283666471</v>
      </c>
      <c r="L5">
        <v>44.382259283666471</v>
      </c>
      <c r="M5">
        <v>44.382259283666471</v>
      </c>
      <c r="N5">
        <v>44.382259283666471</v>
      </c>
      <c r="O5">
        <v>44.382259283666471</v>
      </c>
      <c r="P5">
        <v>44.382259283666471</v>
      </c>
      <c r="Q5">
        <v>44.382259283666471</v>
      </c>
      <c r="R5">
        <v>44.382259283666471</v>
      </c>
      <c r="S5">
        <v>44.382259283666471</v>
      </c>
      <c r="T5">
        <v>44.382259283666471</v>
      </c>
      <c r="U5">
        <v>44.382259283666471</v>
      </c>
      <c r="V5">
        <v>44.382259283666471</v>
      </c>
      <c r="W5">
        <v>44.382259283666471</v>
      </c>
      <c r="X5">
        <v>44.382259283666471</v>
      </c>
    </row>
    <row r="6" spans="1:24" x14ac:dyDescent="0.25">
      <c r="A6" t="s">
        <v>77</v>
      </c>
      <c r="B6" t="s">
        <v>88</v>
      </c>
      <c r="D6" t="s">
        <v>79</v>
      </c>
      <c r="E6" t="s">
        <v>89</v>
      </c>
      <c r="F6" t="s">
        <v>81</v>
      </c>
      <c r="G6">
        <v>48.565496275889338</v>
      </c>
      <c r="H6">
        <v>48.565496275889338</v>
      </c>
      <c r="I6">
        <v>48.565496275889338</v>
      </c>
      <c r="J6">
        <v>48.565496275889338</v>
      </c>
      <c r="K6">
        <v>48.565496275889338</v>
      </c>
      <c r="L6">
        <v>48.565496275889338</v>
      </c>
      <c r="M6">
        <v>48.565496275889338</v>
      </c>
      <c r="N6">
        <v>48.565496275889338</v>
      </c>
      <c r="O6">
        <v>48.565496275889338</v>
      </c>
      <c r="P6">
        <v>48.565496275889338</v>
      </c>
      <c r="Q6">
        <v>48.565496275889338</v>
      </c>
      <c r="R6">
        <v>48.565496275889338</v>
      </c>
      <c r="S6">
        <v>48.565496275889338</v>
      </c>
      <c r="T6">
        <v>48.565496275889338</v>
      </c>
      <c r="U6">
        <v>48.565496275889338</v>
      </c>
      <c r="V6">
        <v>48.565496275889338</v>
      </c>
      <c r="W6">
        <v>48.565496275889338</v>
      </c>
      <c r="X6">
        <v>48.565496275889338</v>
      </c>
    </row>
    <row r="7" spans="1:24" x14ac:dyDescent="0.25">
      <c r="A7" t="s">
        <v>77</v>
      </c>
      <c r="B7" t="s">
        <v>90</v>
      </c>
      <c r="D7" t="s">
        <v>79</v>
      </c>
      <c r="E7" t="s">
        <v>91</v>
      </c>
      <c r="F7" t="s">
        <v>81</v>
      </c>
      <c r="G7">
        <v>32.733586523867501</v>
      </c>
      <c r="H7">
        <v>32.733586523867501</v>
      </c>
      <c r="I7">
        <v>32.733586523867501</v>
      </c>
      <c r="J7">
        <v>32.733586523867501</v>
      </c>
      <c r="K7">
        <v>32.733586523867501</v>
      </c>
      <c r="L7">
        <v>32.733586523867501</v>
      </c>
      <c r="M7">
        <v>32.733586523867501</v>
      </c>
      <c r="N7">
        <v>32.733586523867501</v>
      </c>
      <c r="O7">
        <v>32.733586523867501</v>
      </c>
      <c r="P7">
        <v>32.733586523867501</v>
      </c>
      <c r="Q7">
        <v>32.733586523867501</v>
      </c>
      <c r="R7">
        <v>32.733586523867501</v>
      </c>
      <c r="S7">
        <v>32.733586523867501</v>
      </c>
      <c r="T7">
        <v>32.733586523867501</v>
      </c>
      <c r="U7">
        <v>32.733586523867501</v>
      </c>
      <c r="V7">
        <v>32.733586523867501</v>
      </c>
      <c r="W7">
        <v>32.733586523867501</v>
      </c>
      <c r="X7">
        <v>32.733586523867501</v>
      </c>
    </row>
    <row r="8" spans="1:24" x14ac:dyDescent="0.25">
      <c r="A8" t="s">
        <v>77</v>
      </c>
      <c r="B8" t="s">
        <v>92</v>
      </c>
      <c r="D8" t="s">
        <v>79</v>
      </c>
      <c r="E8" t="s">
        <v>93</v>
      </c>
      <c r="F8" t="s">
        <v>81</v>
      </c>
      <c r="G8">
        <v>16.841332845916298</v>
      </c>
      <c r="H8">
        <v>16.841332845916298</v>
      </c>
      <c r="I8">
        <v>16.841332845916298</v>
      </c>
      <c r="J8">
        <v>16.841332845916298</v>
      </c>
      <c r="K8">
        <v>16.841332845916298</v>
      </c>
      <c r="L8">
        <v>16.841332845916298</v>
      </c>
      <c r="M8">
        <v>16.841332845916298</v>
      </c>
      <c r="N8">
        <v>16.841332845916298</v>
      </c>
      <c r="O8">
        <v>16.841332845916298</v>
      </c>
      <c r="P8">
        <v>16.841332845916298</v>
      </c>
      <c r="Q8">
        <v>16.841332845916298</v>
      </c>
      <c r="R8">
        <v>16.841332845916298</v>
      </c>
      <c r="S8">
        <v>16.841332845916298</v>
      </c>
      <c r="T8">
        <v>16.841332845916298</v>
      </c>
      <c r="U8">
        <v>16.841332845916298</v>
      </c>
      <c r="V8">
        <v>16.841332845916298</v>
      </c>
      <c r="W8">
        <v>16.841332845916298</v>
      </c>
      <c r="X8">
        <v>16.841332845916298</v>
      </c>
    </row>
    <row r="9" spans="1:24" x14ac:dyDescent="0.25">
      <c r="A9" t="s">
        <v>77</v>
      </c>
      <c r="B9" t="s">
        <v>94</v>
      </c>
      <c r="D9" t="s">
        <v>79</v>
      </c>
      <c r="E9" t="s">
        <v>95</v>
      </c>
      <c r="F9" t="s">
        <v>81</v>
      </c>
      <c r="G9">
        <v>8.7602804457077657</v>
      </c>
      <c r="H9">
        <v>8.7602804457077657</v>
      </c>
      <c r="I9">
        <v>8.7602804457077657</v>
      </c>
      <c r="J9">
        <v>8.7602804457077657</v>
      </c>
      <c r="K9">
        <v>8.7602804457077657</v>
      </c>
      <c r="L9">
        <v>8.7602804457077657</v>
      </c>
      <c r="M9">
        <v>8.7602804457077657</v>
      </c>
      <c r="N9">
        <v>8.7602804457077657</v>
      </c>
      <c r="O9">
        <v>8.7602804457077657</v>
      </c>
      <c r="P9">
        <v>8.7602804457077657</v>
      </c>
      <c r="Q9">
        <v>8.7602804457077657</v>
      </c>
      <c r="R9">
        <v>8.7602804457077657</v>
      </c>
      <c r="S9">
        <v>8.7602804457077657</v>
      </c>
      <c r="T9">
        <v>8.7602804457077657</v>
      </c>
      <c r="U9">
        <v>8.7602804457077657</v>
      </c>
      <c r="V9">
        <v>8.7602804457077657</v>
      </c>
      <c r="W9">
        <v>8.7602804457077657</v>
      </c>
      <c r="X9">
        <v>8.7602804457077657</v>
      </c>
    </row>
    <row r="10" spans="1:24" x14ac:dyDescent="0.25">
      <c r="A10" t="s">
        <v>77</v>
      </c>
      <c r="B10" t="s">
        <v>78</v>
      </c>
      <c r="D10" t="s">
        <v>96</v>
      </c>
      <c r="E10" t="s">
        <v>97</v>
      </c>
      <c r="F10" t="s">
        <v>81</v>
      </c>
      <c r="G10">
        <v>0</v>
      </c>
      <c r="H10">
        <v>0.239574023641031</v>
      </c>
      <c r="I10">
        <v>1.4374441418461861</v>
      </c>
      <c r="J10">
        <v>2.6353142600513411</v>
      </c>
      <c r="K10">
        <v>3.833184378256496</v>
      </c>
      <c r="L10">
        <v>5.0310544964616506</v>
      </c>
      <c r="M10">
        <v>6.2289246146668056</v>
      </c>
      <c r="N10">
        <v>7.4267947328719606</v>
      </c>
      <c r="O10">
        <v>8.6246648510771173</v>
      </c>
      <c r="P10">
        <v>9.8225349692822732</v>
      </c>
      <c r="Q10">
        <v>11.020405087487431</v>
      </c>
      <c r="R10">
        <v>12.21827520569258</v>
      </c>
      <c r="S10">
        <v>13.416145323897741</v>
      </c>
      <c r="T10">
        <v>14.6140154421029</v>
      </c>
      <c r="U10">
        <v>15.811885560308051</v>
      </c>
      <c r="V10">
        <v>17.009755678513208</v>
      </c>
      <c r="W10">
        <v>18.207625796718361</v>
      </c>
      <c r="X10">
        <v>19.40549591492352</v>
      </c>
    </row>
    <row r="11" spans="1:24" x14ac:dyDescent="0.25">
      <c r="A11" t="s">
        <v>77</v>
      </c>
      <c r="B11" t="s">
        <v>82</v>
      </c>
      <c r="D11" t="s">
        <v>96</v>
      </c>
      <c r="E11" t="s">
        <v>98</v>
      </c>
      <c r="F11" t="s">
        <v>81</v>
      </c>
      <c r="G11">
        <v>0</v>
      </c>
      <c r="H11">
        <v>0.46162112907409131</v>
      </c>
      <c r="I11">
        <v>2.7697267744445471</v>
      </c>
      <c r="J11">
        <v>5.0778324198150031</v>
      </c>
      <c r="K11">
        <v>7.3859380651854591</v>
      </c>
      <c r="L11">
        <v>9.6940437105559152</v>
      </c>
      <c r="M11">
        <v>12.00214935592637</v>
      </c>
      <c r="N11">
        <v>14.310255001296831</v>
      </c>
      <c r="O11">
        <v>16.618360646667281</v>
      </c>
      <c r="P11">
        <v>18.926466292037741</v>
      </c>
      <c r="Q11">
        <v>21.234571937408202</v>
      </c>
      <c r="R11">
        <v>23.542677582778651</v>
      </c>
      <c r="S11">
        <v>25.850783228149108</v>
      </c>
      <c r="T11">
        <v>28.158888873519569</v>
      </c>
      <c r="U11">
        <v>30.466994518890029</v>
      </c>
      <c r="V11">
        <v>32.775100164260479</v>
      </c>
      <c r="W11">
        <v>35.083205809630932</v>
      </c>
      <c r="X11">
        <v>37.391311455001393</v>
      </c>
    </row>
    <row r="12" spans="1:24" x14ac:dyDescent="0.25">
      <c r="A12" t="s">
        <v>77</v>
      </c>
      <c r="B12" t="s">
        <v>84</v>
      </c>
      <c r="D12" t="s">
        <v>96</v>
      </c>
      <c r="E12" t="s">
        <v>99</v>
      </c>
      <c r="F12" t="s">
        <v>81</v>
      </c>
      <c r="G12">
        <v>0</v>
      </c>
      <c r="H12">
        <v>1.463296379292889</v>
      </c>
      <c r="I12">
        <v>8.7797782757573319</v>
      </c>
      <c r="J12">
        <v>16.096260172221779</v>
      </c>
      <c r="K12">
        <v>23.412742068686221</v>
      </c>
      <c r="L12">
        <v>30.72922396515067</v>
      </c>
      <c r="M12">
        <v>38.045705861615112</v>
      </c>
      <c r="N12">
        <v>45.362187758079557</v>
      </c>
      <c r="O12">
        <v>52.678669654544002</v>
      </c>
      <c r="P12">
        <v>59.995151551008448</v>
      </c>
      <c r="Q12">
        <v>67.311633447472886</v>
      </c>
      <c r="R12">
        <v>74.628115343937324</v>
      </c>
      <c r="S12">
        <v>81.944597240401762</v>
      </c>
      <c r="T12">
        <v>89.261079136866201</v>
      </c>
      <c r="U12">
        <v>96.577561033330639</v>
      </c>
      <c r="V12">
        <v>103.89404292979511</v>
      </c>
      <c r="W12">
        <v>111.2105248262595</v>
      </c>
      <c r="X12">
        <v>118.527006722724</v>
      </c>
    </row>
    <row r="13" spans="1:24" x14ac:dyDescent="0.25">
      <c r="A13" t="s">
        <v>77</v>
      </c>
      <c r="B13" t="s">
        <v>86</v>
      </c>
      <c r="D13" t="s">
        <v>96</v>
      </c>
      <c r="E13" t="s">
        <v>100</v>
      </c>
      <c r="F13" t="s">
        <v>81</v>
      </c>
      <c r="G13">
        <v>0</v>
      </c>
      <c r="H13">
        <v>0.8876451856733294</v>
      </c>
      <c r="I13">
        <v>5.3258711140399759</v>
      </c>
      <c r="J13">
        <v>9.7640970424066218</v>
      </c>
      <c r="K13">
        <v>14.20232297077327</v>
      </c>
      <c r="L13">
        <v>18.640548899139919</v>
      </c>
      <c r="M13">
        <v>23.07877482750656</v>
      </c>
      <c r="N13">
        <v>27.517000755873209</v>
      </c>
      <c r="O13">
        <v>31.955226684239861</v>
      </c>
      <c r="P13">
        <v>36.393452612606509</v>
      </c>
      <c r="Q13">
        <v>40.831678540973158</v>
      </c>
      <c r="R13">
        <v>45.269904469339806</v>
      </c>
      <c r="S13">
        <v>49.708130397706462</v>
      </c>
      <c r="T13">
        <v>54.146356326073096</v>
      </c>
      <c r="U13">
        <v>58.584582254439752</v>
      </c>
      <c r="V13">
        <v>63.022808182806401</v>
      </c>
      <c r="W13">
        <v>67.461034111173049</v>
      </c>
      <c r="X13">
        <v>71.899260039539698</v>
      </c>
    </row>
    <row r="14" spans="1:24" x14ac:dyDescent="0.25">
      <c r="A14" t="s">
        <v>77</v>
      </c>
      <c r="B14" t="s">
        <v>88</v>
      </c>
      <c r="D14" t="s">
        <v>96</v>
      </c>
      <c r="E14" t="s">
        <v>101</v>
      </c>
      <c r="F14" t="s">
        <v>81</v>
      </c>
      <c r="G14">
        <v>0</v>
      </c>
      <c r="H14">
        <v>0.97130992551778672</v>
      </c>
      <c r="I14">
        <v>5.8278595531067214</v>
      </c>
      <c r="J14">
        <v>10.684409180695649</v>
      </c>
      <c r="K14">
        <v>15.540958808284589</v>
      </c>
      <c r="L14">
        <v>20.397508435873519</v>
      </c>
      <c r="M14">
        <v>25.254058063462459</v>
      </c>
      <c r="N14">
        <v>30.110607691051388</v>
      </c>
      <c r="O14">
        <v>34.967157318640332</v>
      </c>
      <c r="P14">
        <v>39.823706946229258</v>
      </c>
      <c r="Q14">
        <v>44.680256573818191</v>
      </c>
      <c r="R14">
        <v>49.536806201407117</v>
      </c>
      <c r="S14">
        <v>54.393355828996057</v>
      </c>
      <c r="T14">
        <v>59.24990545658499</v>
      </c>
      <c r="U14">
        <v>64.10645508417393</v>
      </c>
      <c r="V14">
        <v>68.963004711762864</v>
      </c>
      <c r="W14">
        <v>73.819554339351797</v>
      </c>
      <c r="X14">
        <v>78.67610396694073</v>
      </c>
    </row>
    <row r="15" spans="1:24" x14ac:dyDescent="0.25">
      <c r="A15" t="s">
        <v>77</v>
      </c>
      <c r="B15" t="s">
        <v>90</v>
      </c>
      <c r="D15" t="s">
        <v>96</v>
      </c>
      <c r="E15" t="s">
        <v>102</v>
      </c>
      <c r="F15" t="s">
        <v>81</v>
      </c>
      <c r="G15">
        <v>0</v>
      </c>
      <c r="H15">
        <v>0.65467173047735006</v>
      </c>
      <c r="I15">
        <v>3.928030382864101</v>
      </c>
      <c r="J15">
        <v>7.2013890352508509</v>
      </c>
      <c r="K15">
        <v>10.474747687637599</v>
      </c>
      <c r="L15">
        <v>13.74810634002435</v>
      </c>
      <c r="M15">
        <v>17.021464992411101</v>
      </c>
      <c r="N15">
        <v>20.294823644797852</v>
      </c>
      <c r="O15">
        <v>23.568182297184599</v>
      </c>
      <c r="P15">
        <v>26.84154094957135</v>
      </c>
      <c r="Q15">
        <v>30.114899601958101</v>
      </c>
      <c r="R15">
        <v>33.388258254344848</v>
      </c>
      <c r="S15">
        <v>36.661616906731602</v>
      </c>
      <c r="T15">
        <v>39.93497555911835</v>
      </c>
      <c r="U15">
        <v>43.208334211505097</v>
      </c>
      <c r="V15">
        <v>46.481692863891837</v>
      </c>
      <c r="W15">
        <v>49.755051516278591</v>
      </c>
      <c r="X15">
        <v>53.028410168665339</v>
      </c>
    </row>
    <row r="16" spans="1:24" x14ac:dyDescent="0.25">
      <c r="A16" t="s">
        <v>77</v>
      </c>
      <c r="B16" t="s">
        <v>92</v>
      </c>
      <c r="D16" t="s">
        <v>96</v>
      </c>
      <c r="E16" t="s">
        <v>103</v>
      </c>
      <c r="F16" t="s">
        <v>81</v>
      </c>
      <c r="G16">
        <v>0</v>
      </c>
      <c r="H16">
        <v>0.33682665691832597</v>
      </c>
      <c r="I16">
        <v>2.0209599415099562</v>
      </c>
      <c r="J16">
        <v>3.7050932261015861</v>
      </c>
      <c r="K16">
        <v>5.3892265106932156</v>
      </c>
      <c r="L16">
        <v>7.0733597952848468</v>
      </c>
      <c r="M16">
        <v>8.7574930798764772</v>
      </c>
      <c r="N16">
        <v>10.44162636446811</v>
      </c>
      <c r="O16">
        <v>12.12575964905974</v>
      </c>
      <c r="P16">
        <v>13.809892933651369</v>
      </c>
      <c r="Q16">
        <v>15.494026218243</v>
      </c>
      <c r="R16">
        <v>17.178159502834621</v>
      </c>
      <c r="S16">
        <v>18.862292787426259</v>
      </c>
      <c r="T16">
        <v>20.546426072017891</v>
      </c>
      <c r="U16">
        <v>22.230559356609518</v>
      </c>
      <c r="V16">
        <v>23.91469264120115</v>
      </c>
      <c r="W16">
        <v>25.598825925792781</v>
      </c>
      <c r="X16">
        <v>27.282959210384409</v>
      </c>
    </row>
    <row r="17" spans="1:24" x14ac:dyDescent="0.25">
      <c r="A17" t="s">
        <v>77</v>
      </c>
      <c r="B17" t="s">
        <v>94</v>
      </c>
      <c r="D17" t="s">
        <v>96</v>
      </c>
      <c r="E17" t="s">
        <v>104</v>
      </c>
      <c r="F17" t="s">
        <v>81</v>
      </c>
      <c r="G17">
        <v>0</v>
      </c>
      <c r="H17">
        <v>0.17520560891415529</v>
      </c>
      <c r="I17">
        <v>1.051233653484932</v>
      </c>
      <c r="J17">
        <v>1.9272616980557089</v>
      </c>
      <c r="K17">
        <v>2.8032897426264851</v>
      </c>
      <c r="L17">
        <v>3.6793177871972622</v>
      </c>
      <c r="M17">
        <v>4.5553458317680384</v>
      </c>
      <c r="N17">
        <v>5.4313738763388164</v>
      </c>
      <c r="O17">
        <v>6.3074019209095926</v>
      </c>
      <c r="P17">
        <v>7.1834299654803697</v>
      </c>
      <c r="Q17">
        <v>8.0594580100511468</v>
      </c>
      <c r="R17">
        <v>8.9354860546219239</v>
      </c>
      <c r="S17">
        <v>9.811514099192701</v>
      </c>
      <c r="T17">
        <v>10.68754214376348</v>
      </c>
      <c r="U17">
        <v>11.563570188334261</v>
      </c>
      <c r="V17">
        <v>12.439598232905031</v>
      </c>
      <c r="W17">
        <v>13.315626277475809</v>
      </c>
      <c r="X17">
        <v>14.19165432204659</v>
      </c>
    </row>
    <row r="18" spans="1:24" x14ac:dyDescent="0.25">
      <c r="A18" t="s">
        <v>105</v>
      </c>
      <c r="B18" t="s">
        <v>106</v>
      </c>
      <c r="C18" t="s">
        <v>107</v>
      </c>
      <c r="D18" t="s">
        <v>79</v>
      </c>
      <c r="E18" t="s">
        <v>108</v>
      </c>
      <c r="F18" t="s">
        <v>81</v>
      </c>
      <c r="G18">
        <v>51.80787747749153</v>
      </c>
      <c r="H18">
        <v>51.80787747749153</v>
      </c>
      <c r="I18">
        <v>51.80787747749153</v>
      </c>
      <c r="J18">
        <v>51.80787747749153</v>
      </c>
      <c r="K18">
        <v>51.80787747749153</v>
      </c>
      <c r="L18">
        <v>51.80787747749153</v>
      </c>
      <c r="M18">
        <v>51.80787747749153</v>
      </c>
      <c r="N18">
        <v>51.80787747749153</v>
      </c>
      <c r="O18">
        <v>51.80787747749153</v>
      </c>
      <c r="P18">
        <v>51.80787747749153</v>
      </c>
      <c r="Q18">
        <v>51.80787747749153</v>
      </c>
      <c r="R18">
        <v>51.80787747749153</v>
      </c>
      <c r="S18">
        <v>51.80787747749153</v>
      </c>
      <c r="T18">
        <v>51.80787747749153</v>
      </c>
      <c r="U18">
        <v>51.80787747749153</v>
      </c>
      <c r="V18">
        <v>51.80787747749153</v>
      </c>
      <c r="W18">
        <v>51.80787747749153</v>
      </c>
      <c r="X18">
        <v>51.80787747749153</v>
      </c>
    </row>
    <row r="19" spans="1:24" x14ac:dyDescent="0.25">
      <c r="A19" t="s">
        <v>105</v>
      </c>
      <c r="B19" t="s">
        <v>109</v>
      </c>
      <c r="C19" t="s">
        <v>107</v>
      </c>
      <c r="D19" t="s">
        <v>79</v>
      </c>
      <c r="E19" t="s">
        <v>110</v>
      </c>
      <c r="F19" t="s">
        <v>81</v>
      </c>
      <c r="G19">
        <v>14.956798014988321</v>
      </c>
      <c r="H19">
        <v>14.956798014988321</v>
      </c>
      <c r="I19">
        <v>14.956798014988321</v>
      </c>
      <c r="J19">
        <v>14.956798014988321</v>
      </c>
      <c r="K19">
        <v>14.956798014988321</v>
      </c>
      <c r="L19">
        <v>14.956798014988321</v>
      </c>
      <c r="M19">
        <v>14.956798014988321</v>
      </c>
      <c r="N19">
        <v>14.956798014988321</v>
      </c>
      <c r="O19">
        <v>14.956798014988321</v>
      </c>
      <c r="P19">
        <v>14.956798014988321</v>
      </c>
      <c r="Q19">
        <v>14.956798014988321</v>
      </c>
      <c r="R19">
        <v>14.956798014988321</v>
      </c>
      <c r="S19">
        <v>14.956798014988321</v>
      </c>
      <c r="T19">
        <v>14.956798014988321</v>
      </c>
      <c r="U19">
        <v>14.956798014988321</v>
      </c>
      <c r="V19">
        <v>14.956798014988321</v>
      </c>
      <c r="W19">
        <v>14.956798014988321</v>
      </c>
      <c r="X19">
        <v>14.956798014988321</v>
      </c>
    </row>
    <row r="20" spans="1:24" x14ac:dyDescent="0.25">
      <c r="A20" t="s">
        <v>105</v>
      </c>
      <c r="B20" t="s">
        <v>106</v>
      </c>
      <c r="C20" t="s">
        <v>111</v>
      </c>
      <c r="D20" t="s">
        <v>79</v>
      </c>
      <c r="E20" t="s">
        <v>112</v>
      </c>
      <c r="F20" t="s">
        <v>81</v>
      </c>
      <c r="G20">
        <v>57.121976335841403</v>
      </c>
      <c r="H20">
        <v>57.121976335841403</v>
      </c>
      <c r="I20">
        <v>57.121976335841403</v>
      </c>
      <c r="J20">
        <v>57.121976335841403</v>
      </c>
      <c r="K20">
        <v>57.121976335841403</v>
      </c>
      <c r="L20">
        <v>57.121976335841403</v>
      </c>
      <c r="M20">
        <v>57.121976335841403</v>
      </c>
      <c r="N20">
        <v>57.121976335841403</v>
      </c>
      <c r="O20">
        <v>57.121976335841403</v>
      </c>
      <c r="P20">
        <v>57.121976335841403</v>
      </c>
      <c r="Q20">
        <v>57.121976335841403</v>
      </c>
      <c r="R20">
        <v>57.121976335841403</v>
      </c>
      <c r="S20">
        <v>57.121976335841403</v>
      </c>
      <c r="T20">
        <v>57.121976335841403</v>
      </c>
      <c r="U20">
        <v>57.121976335841403</v>
      </c>
      <c r="V20">
        <v>57.121976335841403</v>
      </c>
      <c r="W20">
        <v>57.121976335841403</v>
      </c>
      <c r="X20">
        <v>57.121976335841403</v>
      </c>
    </row>
    <row r="21" spans="1:24" x14ac:dyDescent="0.25">
      <c r="A21" t="s">
        <v>105</v>
      </c>
      <c r="B21" t="s">
        <v>109</v>
      </c>
      <c r="C21" t="s">
        <v>111</v>
      </c>
      <c r="D21" t="s">
        <v>79</v>
      </c>
      <c r="E21" t="s">
        <v>113</v>
      </c>
      <c r="F21" t="s">
        <v>81</v>
      </c>
      <c r="G21">
        <v>38.299258577539533</v>
      </c>
      <c r="H21">
        <v>38.299258577539533</v>
      </c>
      <c r="I21">
        <v>38.299258577539533</v>
      </c>
      <c r="J21">
        <v>38.299258577539533</v>
      </c>
      <c r="K21">
        <v>38.299258577539533</v>
      </c>
      <c r="L21">
        <v>38.299258577539533</v>
      </c>
      <c r="M21">
        <v>38.299258577539533</v>
      </c>
      <c r="N21">
        <v>38.299258577539533</v>
      </c>
      <c r="O21">
        <v>38.299258577539533</v>
      </c>
      <c r="P21">
        <v>38.299258577539533</v>
      </c>
      <c r="Q21">
        <v>38.299258577539533</v>
      </c>
      <c r="R21">
        <v>38.299258577539533</v>
      </c>
      <c r="S21">
        <v>38.299258577539533</v>
      </c>
      <c r="T21">
        <v>38.299258577539533</v>
      </c>
      <c r="U21">
        <v>38.299258577539533</v>
      </c>
      <c r="V21">
        <v>38.299258577539533</v>
      </c>
      <c r="W21">
        <v>38.299258577539533</v>
      </c>
      <c r="X21">
        <v>38.299258577539533</v>
      </c>
    </row>
    <row r="22" spans="1:24" x14ac:dyDescent="0.25">
      <c r="A22" t="s">
        <v>105</v>
      </c>
      <c r="B22" t="s">
        <v>106</v>
      </c>
      <c r="C22" t="s">
        <v>114</v>
      </c>
      <c r="D22" t="s">
        <v>79</v>
      </c>
      <c r="E22" t="s">
        <v>115</v>
      </c>
      <c r="F22" t="s">
        <v>81</v>
      </c>
      <c r="G22">
        <v>15.495887810194001</v>
      </c>
      <c r="H22">
        <v>15.495887810194001</v>
      </c>
      <c r="I22">
        <v>15.495887810194001</v>
      </c>
      <c r="J22">
        <v>15.495887810194001</v>
      </c>
      <c r="K22">
        <v>15.495887810194001</v>
      </c>
      <c r="L22">
        <v>15.495887810194001</v>
      </c>
      <c r="M22">
        <v>15.495887810194001</v>
      </c>
      <c r="N22">
        <v>15.495887810194001</v>
      </c>
      <c r="O22">
        <v>15.495887810194001</v>
      </c>
      <c r="P22">
        <v>15.495887810194001</v>
      </c>
      <c r="Q22">
        <v>15.495887810194001</v>
      </c>
      <c r="R22">
        <v>15.495887810194001</v>
      </c>
      <c r="S22">
        <v>15.495887810194001</v>
      </c>
      <c r="T22">
        <v>15.495887810194001</v>
      </c>
      <c r="U22">
        <v>15.495887810194001</v>
      </c>
      <c r="V22">
        <v>15.495887810194001</v>
      </c>
      <c r="W22">
        <v>15.495887810194001</v>
      </c>
      <c r="X22">
        <v>15.495887810194001</v>
      </c>
    </row>
    <row r="23" spans="1:24" x14ac:dyDescent="0.25">
      <c r="A23" t="s">
        <v>105</v>
      </c>
      <c r="B23" t="s">
        <v>109</v>
      </c>
      <c r="C23" t="s">
        <v>114</v>
      </c>
      <c r="D23" t="s">
        <v>79</v>
      </c>
      <c r="E23" t="s">
        <v>116</v>
      </c>
      <c r="F23" t="s">
        <v>81</v>
      </c>
      <c r="G23">
        <v>19.187214429670199</v>
      </c>
      <c r="H23">
        <v>19.187214429670199</v>
      </c>
      <c r="I23">
        <v>19.187214429670199</v>
      </c>
      <c r="J23">
        <v>19.187214429670199</v>
      </c>
      <c r="K23">
        <v>19.187214429670199</v>
      </c>
      <c r="L23">
        <v>19.187214429670199</v>
      </c>
      <c r="M23">
        <v>19.187214429670199</v>
      </c>
      <c r="N23">
        <v>19.187214429670199</v>
      </c>
      <c r="O23">
        <v>19.187214429670199</v>
      </c>
      <c r="P23">
        <v>19.187214429670199</v>
      </c>
      <c r="Q23">
        <v>19.187214429670199</v>
      </c>
      <c r="R23">
        <v>19.187214429670199</v>
      </c>
      <c r="S23">
        <v>19.187214429670199</v>
      </c>
      <c r="T23">
        <v>19.187214429670199</v>
      </c>
      <c r="U23">
        <v>19.187214429670199</v>
      </c>
      <c r="V23">
        <v>19.187214429670199</v>
      </c>
      <c r="W23">
        <v>19.187214429670199</v>
      </c>
      <c r="X23">
        <v>19.187214429670199</v>
      </c>
    </row>
    <row r="24" spans="1:24" x14ac:dyDescent="0.25">
      <c r="A24" t="s">
        <v>105</v>
      </c>
      <c r="B24" t="s">
        <v>106</v>
      </c>
      <c r="C24" t="s">
        <v>117</v>
      </c>
      <c r="D24" t="s">
        <v>79</v>
      </c>
      <c r="E24" t="s">
        <v>118</v>
      </c>
      <c r="F24" t="s">
        <v>81</v>
      </c>
      <c r="G24">
        <v>66.398717380854961</v>
      </c>
      <c r="H24">
        <v>66.398717380854961</v>
      </c>
      <c r="I24">
        <v>66.398717380854961</v>
      </c>
      <c r="J24">
        <v>66.398717380854961</v>
      </c>
      <c r="K24">
        <v>66.398717380854961</v>
      </c>
      <c r="L24">
        <v>66.398717380854961</v>
      </c>
      <c r="M24">
        <v>66.398717380854961</v>
      </c>
      <c r="N24">
        <v>66.398717380854961</v>
      </c>
      <c r="O24">
        <v>66.398717380854961</v>
      </c>
      <c r="P24">
        <v>66.398717380854961</v>
      </c>
      <c r="Q24">
        <v>66.398717380854961</v>
      </c>
      <c r="R24">
        <v>66.398717380854961</v>
      </c>
      <c r="S24">
        <v>66.398717380854961</v>
      </c>
      <c r="T24">
        <v>66.398717380854961</v>
      </c>
      <c r="U24">
        <v>66.398717380854961</v>
      </c>
      <c r="V24">
        <v>66.398717380854961</v>
      </c>
      <c r="W24">
        <v>66.398717380854961</v>
      </c>
      <c r="X24">
        <v>66.398717380854961</v>
      </c>
    </row>
    <row r="25" spans="1:24" x14ac:dyDescent="0.25">
      <c r="A25" t="s">
        <v>105</v>
      </c>
      <c r="B25" t="s">
        <v>109</v>
      </c>
      <c r="C25" t="s">
        <v>117</v>
      </c>
      <c r="D25" t="s">
        <v>79</v>
      </c>
      <c r="E25" t="s">
        <v>119</v>
      </c>
      <c r="F25" t="s">
        <v>81</v>
      </c>
      <c r="G25">
        <v>96.552050846441404</v>
      </c>
      <c r="H25">
        <v>96.552050846441404</v>
      </c>
      <c r="I25">
        <v>96.552050846441404</v>
      </c>
      <c r="J25">
        <v>96.552050846441404</v>
      </c>
      <c r="K25">
        <v>96.552050846441404</v>
      </c>
      <c r="L25">
        <v>96.552050846441404</v>
      </c>
      <c r="M25">
        <v>96.552050846441404</v>
      </c>
      <c r="N25">
        <v>96.552050846441404</v>
      </c>
      <c r="O25">
        <v>96.552050846441404</v>
      </c>
      <c r="P25">
        <v>96.552050846441404</v>
      </c>
      <c r="Q25">
        <v>96.552050846441404</v>
      </c>
      <c r="R25">
        <v>96.552050846441404</v>
      </c>
      <c r="S25">
        <v>96.552050846441404</v>
      </c>
      <c r="T25">
        <v>96.552050846441404</v>
      </c>
      <c r="U25">
        <v>96.552050846441404</v>
      </c>
      <c r="V25">
        <v>96.552050846441404</v>
      </c>
      <c r="W25">
        <v>96.552050846441404</v>
      </c>
      <c r="X25">
        <v>96.552050846441404</v>
      </c>
    </row>
    <row r="26" spans="1:24" x14ac:dyDescent="0.25">
      <c r="A26" t="s">
        <v>105</v>
      </c>
      <c r="B26" t="s">
        <v>106</v>
      </c>
      <c r="C26" t="s">
        <v>107</v>
      </c>
      <c r="D26" t="s">
        <v>96</v>
      </c>
      <c r="E26" t="s">
        <v>120</v>
      </c>
      <c r="F26" t="s">
        <v>81</v>
      </c>
      <c r="G26">
        <v>0</v>
      </c>
      <c r="H26">
        <v>0.25903938738745758</v>
      </c>
      <c r="I26">
        <v>1.5542363243247459</v>
      </c>
      <c r="J26">
        <v>2.8494332612620341</v>
      </c>
      <c r="K26">
        <v>4.1446301981993221</v>
      </c>
      <c r="L26">
        <v>5.4398271351366114</v>
      </c>
      <c r="M26">
        <v>6.735024072073899</v>
      </c>
      <c r="N26">
        <v>8.0302210090111874</v>
      </c>
      <c r="O26">
        <v>9.325417945948475</v>
      </c>
      <c r="P26">
        <v>10.620614882885761</v>
      </c>
      <c r="Q26">
        <v>11.91581181982305</v>
      </c>
      <c r="R26">
        <v>13.211008756760339</v>
      </c>
      <c r="S26">
        <v>14.50620569369763</v>
      </c>
      <c r="T26">
        <v>15.801402630634909</v>
      </c>
      <c r="U26">
        <v>17.096599567572198</v>
      </c>
      <c r="V26">
        <v>18.39179650450949</v>
      </c>
      <c r="W26">
        <v>19.686993441446781</v>
      </c>
      <c r="X26">
        <v>20.982190378384061</v>
      </c>
    </row>
    <row r="27" spans="1:24" x14ac:dyDescent="0.25">
      <c r="A27" t="s">
        <v>105</v>
      </c>
      <c r="B27" t="s">
        <v>109</v>
      </c>
      <c r="C27" t="s">
        <v>107</v>
      </c>
      <c r="D27" t="s">
        <v>96</v>
      </c>
      <c r="E27" t="s">
        <v>121</v>
      </c>
      <c r="F27" t="s">
        <v>81</v>
      </c>
      <c r="G27">
        <v>0</v>
      </c>
      <c r="H27">
        <v>7.4783990074941589E-2</v>
      </c>
      <c r="I27">
        <v>0.44870394044964951</v>
      </c>
      <c r="J27">
        <v>0.8226238908243575</v>
      </c>
      <c r="K27">
        <v>1.196543841199065</v>
      </c>
      <c r="L27">
        <v>1.5704637915737729</v>
      </c>
      <c r="M27">
        <v>1.9443837419484811</v>
      </c>
      <c r="N27">
        <v>2.3183036923231888</v>
      </c>
      <c r="O27">
        <v>2.6922236426978969</v>
      </c>
      <c r="P27">
        <v>3.0661435930726051</v>
      </c>
      <c r="Q27">
        <v>3.4400635434473119</v>
      </c>
      <c r="R27">
        <v>3.8139834938220201</v>
      </c>
      <c r="S27">
        <v>4.1879034441967278</v>
      </c>
      <c r="T27">
        <v>4.5618233945714346</v>
      </c>
      <c r="U27">
        <v>4.9357433449461432</v>
      </c>
      <c r="V27">
        <v>5.3096632953208509</v>
      </c>
      <c r="W27">
        <v>5.6835832456955586</v>
      </c>
      <c r="X27">
        <v>6.0575031960702663</v>
      </c>
    </row>
    <row r="28" spans="1:24" x14ac:dyDescent="0.25">
      <c r="A28" t="s">
        <v>105</v>
      </c>
      <c r="B28" t="s">
        <v>106</v>
      </c>
      <c r="C28" t="s">
        <v>111</v>
      </c>
      <c r="D28" t="s">
        <v>96</v>
      </c>
      <c r="E28" t="s">
        <v>122</v>
      </c>
      <c r="F28" t="s">
        <v>81</v>
      </c>
      <c r="G28">
        <v>0</v>
      </c>
      <c r="H28">
        <v>0.28560988167920698</v>
      </c>
      <c r="I28">
        <v>1.7136592900752421</v>
      </c>
      <c r="J28">
        <v>3.1417086984712772</v>
      </c>
      <c r="K28">
        <v>4.5697581068673134</v>
      </c>
      <c r="L28">
        <v>5.9978075152633474</v>
      </c>
      <c r="M28">
        <v>7.4258569236593823</v>
      </c>
      <c r="N28">
        <v>8.8539063320554181</v>
      </c>
      <c r="O28">
        <v>10.281955740451449</v>
      </c>
      <c r="P28">
        <v>11.71000514884749</v>
      </c>
      <c r="Q28">
        <v>13.138054557243519</v>
      </c>
      <c r="R28">
        <v>14.566103965639559</v>
      </c>
      <c r="S28">
        <v>15.994153374035591</v>
      </c>
      <c r="T28">
        <v>17.422202782431629</v>
      </c>
      <c r="U28">
        <v>18.850252190827661</v>
      </c>
      <c r="V28">
        <v>20.278301599223699</v>
      </c>
      <c r="W28">
        <v>21.70635100761973</v>
      </c>
      <c r="X28">
        <v>23.134400416015769</v>
      </c>
    </row>
    <row r="29" spans="1:24" x14ac:dyDescent="0.25">
      <c r="A29" t="s">
        <v>105</v>
      </c>
      <c r="B29" t="s">
        <v>109</v>
      </c>
      <c r="C29" t="s">
        <v>111</v>
      </c>
      <c r="D29" t="s">
        <v>96</v>
      </c>
      <c r="E29" t="s">
        <v>123</v>
      </c>
      <c r="F29" t="s">
        <v>81</v>
      </c>
      <c r="G29">
        <v>0</v>
      </c>
      <c r="H29">
        <v>0.19149629288769771</v>
      </c>
      <c r="I29">
        <v>1.1489777573261859</v>
      </c>
      <c r="J29">
        <v>2.1064592217646738</v>
      </c>
      <c r="K29">
        <v>3.063940686203162</v>
      </c>
      <c r="L29">
        <v>4.0214221506416514</v>
      </c>
      <c r="M29">
        <v>4.9789036150801387</v>
      </c>
      <c r="N29">
        <v>5.9363850795186268</v>
      </c>
      <c r="O29">
        <v>6.893866543957115</v>
      </c>
      <c r="P29">
        <v>7.8513480083956031</v>
      </c>
      <c r="Q29">
        <v>8.8088294728340912</v>
      </c>
      <c r="R29">
        <v>9.7663109372725803</v>
      </c>
      <c r="S29">
        <v>10.723792401711069</v>
      </c>
      <c r="T29">
        <v>11.68127386614956</v>
      </c>
      <c r="U29">
        <v>12.638755330588049</v>
      </c>
      <c r="V29">
        <v>13.59623679502654</v>
      </c>
      <c r="W29">
        <v>14.553718259465031</v>
      </c>
      <c r="X29">
        <v>15.511199723903511</v>
      </c>
    </row>
    <row r="30" spans="1:24" x14ac:dyDescent="0.25">
      <c r="A30" t="s">
        <v>105</v>
      </c>
      <c r="B30" t="s">
        <v>106</v>
      </c>
      <c r="C30" t="s">
        <v>114</v>
      </c>
      <c r="D30" t="s">
        <v>96</v>
      </c>
      <c r="E30" t="s">
        <v>124</v>
      </c>
      <c r="F30" t="s">
        <v>81</v>
      </c>
      <c r="G30">
        <v>0</v>
      </c>
      <c r="H30">
        <v>7.7479439050969989E-2</v>
      </c>
      <c r="I30">
        <v>0.46487663430581988</v>
      </c>
      <c r="J30">
        <v>0.85227382956066988</v>
      </c>
      <c r="K30">
        <v>1.2396710248155201</v>
      </c>
      <c r="L30">
        <v>1.6270682200703701</v>
      </c>
      <c r="M30">
        <v>2.0144654153252199</v>
      </c>
      <c r="N30">
        <v>2.40186261058007</v>
      </c>
      <c r="O30">
        <v>2.7892598058349201</v>
      </c>
      <c r="P30">
        <v>3.1766570010897701</v>
      </c>
      <c r="Q30">
        <v>3.5640541963446202</v>
      </c>
      <c r="R30">
        <v>3.9514513915994698</v>
      </c>
      <c r="S30">
        <v>4.3388485868543203</v>
      </c>
      <c r="T30">
        <v>4.7262457821091699</v>
      </c>
      <c r="U30">
        <v>5.1136429773640204</v>
      </c>
      <c r="V30">
        <v>5.5010401726188691</v>
      </c>
      <c r="W30">
        <v>5.8884373678737187</v>
      </c>
      <c r="X30">
        <v>6.2758345631285684</v>
      </c>
    </row>
    <row r="31" spans="1:24" x14ac:dyDescent="0.25">
      <c r="A31" t="s">
        <v>105</v>
      </c>
      <c r="B31" t="s">
        <v>109</v>
      </c>
      <c r="C31" t="s">
        <v>114</v>
      </c>
      <c r="D31" t="s">
        <v>96</v>
      </c>
      <c r="E31" t="s">
        <v>125</v>
      </c>
      <c r="F31" t="s">
        <v>81</v>
      </c>
      <c r="G31">
        <v>0</v>
      </c>
      <c r="H31">
        <v>9.5936072148351009E-2</v>
      </c>
      <c r="I31">
        <v>0.575616432890106</v>
      </c>
      <c r="J31">
        <v>1.0552967936318609</v>
      </c>
      <c r="K31">
        <v>1.5349771543736159</v>
      </c>
      <c r="L31">
        <v>2.0146575151153709</v>
      </c>
      <c r="M31">
        <v>2.4943378758571262</v>
      </c>
      <c r="N31">
        <v>2.974018236598881</v>
      </c>
      <c r="O31">
        <v>3.4536985973406358</v>
      </c>
      <c r="P31">
        <v>3.933378958082391</v>
      </c>
      <c r="Q31">
        <v>4.4130593188241454</v>
      </c>
      <c r="R31">
        <v>4.8927396795659002</v>
      </c>
      <c r="S31">
        <v>5.372420040307655</v>
      </c>
      <c r="T31">
        <v>5.8521004010494098</v>
      </c>
      <c r="U31">
        <v>6.3317807617911646</v>
      </c>
      <c r="V31">
        <v>6.8114611225329194</v>
      </c>
      <c r="W31">
        <v>7.2911414832746742</v>
      </c>
      <c r="X31">
        <v>7.7708218440164289</v>
      </c>
    </row>
    <row r="32" spans="1:24" x14ac:dyDescent="0.25">
      <c r="A32" t="s">
        <v>105</v>
      </c>
      <c r="B32" t="s">
        <v>106</v>
      </c>
      <c r="C32" t="s">
        <v>117</v>
      </c>
      <c r="D32" t="s">
        <v>96</v>
      </c>
      <c r="E32" t="s">
        <v>126</v>
      </c>
      <c r="F32" t="s">
        <v>81</v>
      </c>
      <c r="G32">
        <v>0</v>
      </c>
      <c r="H32">
        <v>0.33199358690427477</v>
      </c>
      <c r="I32">
        <v>1.991961521425649</v>
      </c>
      <c r="J32">
        <v>3.6519294559470228</v>
      </c>
      <c r="K32">
        <v>5.3118973904683973</v>
      </c>
      <c r="L32">
        <v>6.9718653249897713</v>
      </c>
      <c r="M32">
        <v>8.6318332595111453</v>
      </c>
      <c r="N32">
        <v>10.291801194032519</v>
      </c>
      <c r="O32">
        <v>11.95176912855389</v>
      </c>
      <c r="P32">
        <v>13.611737063075269</v>
      </c>
      <c r="Q32">
        <v>15.27170499759664</v>
      </c>
      <c r="R32">
        <v>16.931672932118019</v>
      </c>
      <c r="S32">
        <v>18.591640866639391</v>
      </c>
      <c r="T32">
        <v>20.25160880116076</v>
      </c>
      <c r="U32">
        <v>21.911576735682139</v>
      </c>
      <c r="V32">
        <v>23.571544670203519</v>
      </c>
      <c r="W32">
        <v>25.231512604724891</v>
      </c>
      <c r="X32">
        <v>26.89148053924627</v>
      </c>
    </row>
    <row r="33" spans="1:24" x14ac:dyDescent="0.25">
      <c r="A33" t="s">
        <v>105</v>
      </c>
      <c r="B33" t="s">
        <v>109</v>
      </c>
      <c r="C33" t="s">
        <v>117</v>
      </c>
      <c r="D33" t="s">
        <v>96</v>
      </c>
      <c r="E33" t="s">
        <v>127</v>
      </c>
      <c r="F33" t="s">
        <v>81</v>
      </c>
      <c r="G33">
        <v>0</v>
      </c>
      <c r="H33">
        <v>0.48276025423220698</v>
      </c>
      <c r="I33">
        <v>2.896561525393242</v>
      </c>
      <c r="J33">
        <v>5.3103627965542781</v>
      </c>
      <c r="K33">
        <v>7.7241640677153134</v>
      </c>
      <c r="L33">
        <v>10.13796533887635</v>
      </c>
      <c r="M33">
        <v>12.551766610037379</v>
      </c>
      <c r="N33">
        <v>14.965567881198419</v>
      </c>
      <c r="O33">
        <v>17.379369152359448</v>
      </c>
      <c r="P33">
        <v>19.79317042352049</v>
      </c>
      <c r="Q33">
        <v>22.206971694681521</v>
      </c>
      <c r="R33">
        <v>24.620772965842551</v>
      </c>
      <c r="S33">
        <v>27.034574237003589</v>
      </c>
      <c r="T33">
        <v>29.44837550816462</v>
      </c>
      <c r="U33">
        <v>31.862176779325662</v>
      </c>
      <c r="V33">
        <v>34.275978050486692</v>
      </c>
      <c r="W33">
        <v>36.689779321647727</v>
      </c>
      <c r="X33">
        <v>39.103580592808761</v>
      </c>
    </row>
    <row r="34" spans="1:24" x14ac:dyDescent="0.25">
      <c r="A34" t="s">
        <v>128</v>
      </c>
      <c r="B34" t="s">
        <v>129</v>
      </c>
      <c r="E34" t="s">
        <v>130</v>
      </c>
      <c r="F34" t="s">
        <v>131</v>
      </c>
      <c r="G34">
        <v>66716.460830940399</v>
      </c>
      <c r="H34">
        <v>68050.790047559203</v>
      </c>
      <c r="I34">
        <v>74855.869052315131</v>
      </c>
      <c r="J34">
        <v>82341.455957546656</v>
      </c>
      <c r="K34">
        <v>90575.601553301327</v>
      </c>
      <c r="L34">
        <v>99633.161708631465</v>
      </c>
      <c r="M34">
        <v>109596.4778794946</v>
      </c>
      <c r="N34">
        <v>120556.1256674441</v>
      </c>
      <c r="O34">
        <v>132611.73823418849</v>
      </c>
      <c r="P34">
        <v>145872.91205760741</v>
      </c>
      <c r="Q34">
        <v>160460.20326336811</v>
      </c>
      <c r="R34">
        <v>176506.22358970501</v>
      </c>
      <c r="S34">
        <v>194156.8459486755</v>
      </c>
      <c r="T34">
        <v>213572.53054354299</v>
      </c>
      <c r="U34">
        <v>234929.78359789739</v>
      </c>
      <c r="V34">
        <v>258422.76195768709</v>
      </c>
      <c r="W34">
        <v>284265.03815345588</v>
      </c>
      <c r="X34">
        <v>312691.54196880152</v>
      </c>
    </row>
    <row r="35" spans="1:24" x14ac:dyDescent="0.25">
      <c r="A35" t="s">
        <v>132</v>
      </c>
      <c r="B35" t="s">
        <v>133</v>
      </c>
      <c r="C35" t="s">
        <v>134</v>
      </c>
      <c r="E35" t="s">
        <v>135</v>
      </c>
      <c r="F35" t="s">
        <v>136</v>
      </c>
      <c r="G35">
        <v>68921.250890371171</v>
      </c>
      <c r="H35">
        <v>69265.857144823021</v>
      </c>
      <c r="I35">
        <v>70997.503573443595</v>
      </c>
      <c r="J35">
        <v>72772.44116277968</v>
      </c>
      <c r="K35">
        <v>74591.752191849169</v>
      </c>
      <c r="L35">
        <v>76456.545996645393</v>
      </c>
      <c r="M35">
        <v>78367.959646561518</v>
      </c>
      <c r="N35">
        <v>80327.158637725544</v>
      </c>
      <c r="O35">
        <v>82335.337603668682</v>
      </c>
      <c r="P35">
        <v>84393.721043760394</v>
      </c>
      <c r="Q35">
        <v>86503.564069854401</v>
      </c>
      <c r="R35">
        <v>88666.153171600759</v>
      </c>
      <c r="S35">
        <v>90882.807000890767</v>
      </c>
      <c r="T35">
        <v>93154.877175913032</v>
      </c>
      <c r="U35">
        <v>95483.749105310853</v>
      </c>
      <c r="V35">
        <v>97870.842832943614</v>
      </c>
      <c r="W35">
        <v>100317.6139037672</v>
      </c>
      <c r="X35">
        <v>102825.55425136141</v>
      </c>
    </row>
    <row r="36" spans="1:24" x14ac:dyDescent="0.25">
      <c r="A36" t="s">
        <v>132</v>
      </c>
      <c r="B36" t="s">
        <v>133</v>
      </c>
      <c r="C36" t="s">
        <v>137</v>
      </c>
      <c r="E36" t="s">
        <v>138</v>
      </c>
      <c r="F36" t="s">
        <v>136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25">
      <c r="A37" t="s">
        <v>132</v>
      </c>
      <c r="B37" t="s">
        <v>133</v>
      </c>
      <c r="C37" t="s">
        <v>139</v>
      </c>
      <c r="E37" t="s">
        <v>140</v>
      </c>
      <c r="F37" t="s">
        <v>136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5">
      <c r="A38" t="s">
        <v>132</v>
      </c>
      <c r="B38" t="s">
        <v>141</v>
      </c>
      <c r="C38" t="s">
        <v>142</v>
      </c>
      <c r="E38" t="s">
        <v>143</v>
      </c>
      <c r="F38" t="s">
        <v>136</v>
      </c>
      <c r="G38">
        <v>1578.5178847930749</v>
      </c>
      <c r="H38">
        <v>1586.41047421704</v>
      </c>
      <c r="I38">
        <v>1626.0707360724659</v>
      </c>
      <c r="J38">
        <v>1666.7225044742779</v>
      </c>
      <c r="K38">
        <v>1708.390567086135</v>
      </c>
      <c r="L38">
        <v>1751.1003312632879</v>
      </c>
      <c r="M38">
        <v>1794.8778395448701</v>
      </c>
      <c r="N38">
        <v>1839.7497855334909</v>
      </c>
      <c r="O38">
        <v>1885.743530171829</v>
      </c>
      <c r="P38">
        <v>1932.8871184261241</v>
      </c>
      <c r="Q38">
        <v>1981.2092963867769</v>
      </c>
      <c r="R38">
        <v>2030.7395287964459</v>
      </c>
      <c r="S38">
        <v>2081.5080170163569</v>
      </c>
      <c r="T38">
        <v>2133.5457174417661</v>
      </c>
      <c r="U38">
        <v>2186.88436037781</v>
      </c>
      <c r="V38">
        <v>2241.5564693872552</v>
      </c>
      <c r="W38">
        <v>2297.595381121936</v>
      </c>
      <c r="X38">
        <v>2355.035265649984</v>
      </c>
    </row>
    <row r="39" spans="1:24" x14ac:dyDescent="0.25">
      <c r="A39" t="s">
        <v>132</v>
      </c>
      <c r="B39" t="s">
        <v>141</v>
      </c>
      <c r="C39" t="s">
        <v>144</v>
      </c>
      <c r="E39" t="s">
        <v>145</v>
      </c>
      <c r="F39" t="s">
        <v>136</v>
      </c>
      <c r="G39">
        <v>70.026308273942732</v>
      </c>
      <c r="H39">
        <v>70.376439815312438</v>
      </c>
      <c r="I39">
        <v>72.135850810695246</v>
      </c>
      <c r="J39">
        <v>73.939247080962616</v>
      </c>
      <c r="K39">
        <v>75.787728257986672</v>
      </c>
      <c r="L39">
        <v>77.682421464436331</v>
      </c>
      <c r="M39">
        <v>79.624482001047227</v>
      </c>
      <c r="N39">
        <v>81.615094051073399</v>
      </c>
      <c r="O39">
        <v>83.65547140235023</v>
      </c>
      <c r="P39">
        <v>85.746858187408975</v>
      </c>
      <c r="Q39">
        <v>87.890529642094194</v>
      </c>
      <c r="R39">
        <v>90.087792883146534</v>
      </c>
      <c r="S39">
        <v>92.339987705225184</v>
      </c>
      <c r="T39">
        <v>94.648487397855803</v>
      </c>
      <c r="U39">
        <v>97.014699582802194</v>
      </c>
      <c r="V39">
        <v>99.440067072372244</v>
      </c>
      <c r="W39">
        <v>101.9260687491815</v>
      </c>
      <c r="X39">
        <v>104.4742204679111</v>
      </c>
    </row>
    <row r="40" spans="1:24" x14ac:dyDescent="0.25">
      <c r="A40" t="s">
        <v>132</v>
      </c>
      <c r="B40" t="s">
        <v>141</v>
      </c>
      <c r="C40" t="s">
        <v>146</v>
      </c>
      <c r="E40" t="s">
        <v>147</v>
      </c>
      <c r="F40" t="s">
        <v>136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t="s">
        <v>132</v>
      </c>
      <c r="B41" t="s">
        <v>141</v>
      </c>
      <c r="C41" t="s">
        <v>148</v>
      </c>
      <c r="E41" t="s">
        <v>149</v>
      </c>
      <c r="F41" t="s">
        <v>136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25">
      <c r="A42" t="s">
        <v>132</v>
      </c>
      <c r="B42" t="s">
        <v>141</v>
      </c>
      <c r="C42" t="s">
        <v>150</v>
      </c>
      <c r="E42" t="s">
        <v>151</v>
      </c>
      <c r="F42" t="s">
        <v>136</v>
      </c>
      <c r="G42">
        <v>1367.6201505846741</v>
      </c>
      <c r="H42">
        <v>1374.4582513375981</v>
      </c>
      <c r="I42">
        <v>1408.819707621037</v>
      </c>
      <c r="J42">
        <v>1444.040200311563</v>
      </c>
      <c r="K42">
        <v>1480.1412053193519</v>
      </c>
      <c r="L42">
        <v>1517.1447354523359</v>
      </c>
      <c r="M42">
        <v>1555.0733538386439</v>
      </c>
      <c r="N42">
        <v>1593.95018768461</v>
      </c>
      <c r="O42">
        <v>1633.7989423767251</v>
      </c>
      <c r="P42">
        <v>1674.643915936143</v>
      </c>
      <c r="Q42">
        <v>1716.510013834547</v>
      </c>
      <c r="R42">
        <v>1759.42276418041</v>
      </c>
      <c r="S42">
        <v>1803.40833328492</v>
      </c>
      <c r="T42">
        <v>1848.4935416170431</v>
      </c>
      <c r="U42">
        <v>1894.705880157469</v>
      </c>
      <c r="V42">
        <v>1942.073527161406</v>
      </c>
      <c r="W42">
        <v>1990.625365340441</v>
      </c>
      <c r="X42">
        <v>2040.390999473952</v>
      </c>
    </row>
    <row r="43" spans="1:24" x14ac:dyDescent="0.25">
      <c r="A43" t="s">
        <v>132</v>
      </c>
      <c r="B43" t="s">
        <v>141</v>
      </c>
      <c r="C43" t="s">
        <v>152</v>
      </c>
      <c r="E43" t="s">
        <v>153</v>
      </c>
      <c r="F43" t="s">
        <v>136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25">
      <c r="A44" t="s">
        <v>132</v>
      </c>
      <c r="B44" t="s">
        <v>133</v>
      </c>
      <c r="C44" t="s">
        <v>154</v>
      </c>
      <c r="E44" t="s">
        <v>155</v>
      </c>
      <c r="F44" t="s">
        <v>136</v>
      </c>
      <c r="G44">
        <v>498.20418535334039</v>
      </c>
      <c r="H44">
        <v>500.69520628010702</v>
      </c>
      <c r="I44">
        <v>513.21258643710962</v>
      </c>
      <c r="J44">
        <v>526.04290109803731</v>
      </c>
      <c r="K44">
        <v>539.19397362548818</v>
      </c>
      <c r="L44">
        <v>552.67382296612539</v>
      </c>
      <c r="M44">
        <v>566.49066854027842</v>
      </c>
      <c r="N44">
        <v>580.65293525378536</v>
      </c>
      <c r="O44">
        <v>595.16925863512995</v>
      </c>
      <c r="P44">
        <v>610.04849010100816</v>
      </c>
      <c r="Q44">
        <v>625.29970235353335</v>
      </c>
      <c r="R44">
        <v>640.93219491237164</v>
      </c>
      <c r="S44">
        <v>656.9554997851809</v>
      </c>
      <c r="T44">
        <v>673.37938727981032</v>
      </c>
      <c r="U44">
        <v>690.21387196180547</v>
      </c>
      <c r="V44">
        <v>707.46921876085059</v>
      </c>
      <c r="W44">
        <v>725.15594922987179</v>
      </c>
      <c r="X44">
        <v>743.28484796061855</v>
      </c>
    </row>
    <row r="45" spans="1:24" x14ac:dyDescent="0.25">
      <c r="A45" t="s">
        <v>132</v>
      </c>
      <c r="B45" t="s">
        <v>133</v>
      </c>
      <c r="C45" t="s">
        <v>156</v>
      </c>
      <c r="E45" t="s">
        <v>157</v>
      </c>
      <c r="F45" t="s">
        <v>136</v>
      </c>
      <c r="G45">
        <v>86.053217342719677</v>
      </c>
      <c r="H45">
        <v>86.483483429433264</v>
      </c>
      <c r="I45">
        <v>88.645570515169084</v>
      </c>
      <c r="J45">
        <v>90.861709778048308</v>
      </c>
      <c r="K45">
        <v>93.133252522499504</v>
      </c>
      <c r="L45">
        <v>95.461583835561981</v>
      </c>
      <c r="M45">
        <v>97.848123431451029</v>
      </c>
      <c r="N45">
        <v>100.29432651723729</v>
      </c>
      <c r="O45">
        <v>102.80168468016819</v>
      </c>
      <c r="P45">
        <v>105.3717267971724</v>
      </c>
      <c r="Q45">
        <v>108.00601996710169</v>
      </c>
      <c r="R45">
        <v>110.7061704662793</v>
      </c>
      <c r="S45">
        <v>113.4738247279362</v>
      </c>
      <c r="T45">
        <v>116.3106703461346</v>
      </c>
      <c r="U45">
        <v>119.21843710478799</v>
      </c>
      <c r="V45">
        <v>122.1988980324077</v>
      </c>
      <c r="W45">
        <v>125.2538704832179</v>
      </c>
      <c r="X45">
        <v>128.38521724529829</v>
      </c>
    </row>
    <row r="46" spans="1:24" x14ac:dyDescent="0.25">
      <c r="A46" t="s">
        <v>132</v>
      </c>
      <c r="B46" t="s">
        <v>133</v>
      </c>
      <c r="C46" t="s">
        <v>158</v>
      </c>
      <c r="E46" t="s">
        <v>159</v>
      </c>
      <c r="F46" t="s">
        <v>136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5">
      <c r="A47" t="s">
        <v>132</v>
      </c>
      <c r="B47" t="s">
        <v>133</v>
      </c>
      <c r="C47" t="s">
        <v>160</v>
      </c>
      <c r="E47" t="s">
        <v>161</v>
      </c>
      <c r="F47" t="s">
        <v>136</v>
      </c>
      <c r="G47">
        <v>364.1076787683694</v>
      </c>
      <c r="H47">
        <v>365.92821716221118</v>
      </c>
      <c r="I47">
        <v>375.07642259126641</v>
      </c>
      <c r="J47">
        <v>384.45333315604802</v>
      </c>
      <c r="K47">
        <v>394.06466648494921</v>
      </c>
      <c r="L47">
        <v>403.91628314707287</v>
      </c>
      <c r="M47">
        <v>414.01419022574959</v>
      </c>
      <c r="N47">
        <v>424.36454498139341</v>
      </c>
      <c r="O47">
        <v>434.97365860592822</v>
      </c>
      <c r="P47">
        <v>445.84800007107629</v>
      </c>
      <c r="Q47">
        <v>456.99420007285318</v>
      </c>
      <c r="R47">
        <v>468.41905507467447</v>
      </c>
      <c r="S47">
        <v>480.12953145154142</v>
      </c>
      <c r="T47">
        <v>492.13276973782979</v>
      </c>
      <c r="U47">
        <v>504.43608898127547</v>
      </c>
      <c r="V47">
        <v>517.04699120580733</v>
      </c>
      <c r="W47">
        <v>529.97316598595251</v>
      </c>
      <c r="X47">
        <v>543.22249513560132</v>
      </c>
    </row>
    <row r="48" spans="1:24" x14ac:dyDescent="0.25">
      <c r="A48" t="s">
        <v>132</v>
      </c>
      <c r="B48" t="s">
        <v>133</v>
      </c>
      <c r="C48" t="s">
        <v>162</v>
      </c>
      <c r="E48" t="s">
        <v>163</v>
      </c>
      <c r="F48" t="s">
        <v>136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25">
      <c r="A49" t="s">
        <v>132</v>
      </c>
      <c r="B49" t="s">
        <v>133</v>
      </c>
      <c r="C49" t="s">
        <v>164</v>
      </c>
      <c r="E49" t="s">
        <v>165</v>
      </c>
      <c r="F49" t="s">
        <v>136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25">
      <c r="A50" t="s">
        <v>132</v>
      </c>
      <c r="B50" t="s">
        <v>133</v>
      </c>
      <c r="C50" t="s">
        <v>166</v>
      </c>
      <c r="E50" t="s">
        <v>167</v>
      </c>
      <c r="F50" t="s">
        <v>136</v>
      </c>
      <c r="G50">
        <v>783.71641071992963</v>
      </c>
      <c r="H50">
        <v>787.63499277352923</v>
      </c>
      <c r="I50">
        <v>807.32586759286744</v>
      </c>
      <c r="J50">
        <v>827.50901428268901</v>
      </c>
      <c r="K50">
        <v>848.19673963975617</v>
      </c>
      <c r="L50">
        <v>869.40165813074998</v>
      </c>
      <c r="M50">
        <v>891.13669958401863</v>
      </c>
      <c r="N50">
        <v>913.41511707361906</v>
      </c>
      <c r="O50">
        <v>936.25049500045941</v>
      </c>
      <c r="P50">
        <v>959.65675737547076</v>
      </c>
      <c r="Q50">
        <v>983.64817630985749</v>
      </c>
      <c r="R50">
        <v>1008.239380717604</v>
      </c>
      <c r="S50">
        <v>1033.4453652355439</v>
      </c>
      <c r="T50">
        <v>1059.2814993664319</v>
      </c>
      <c r="U50">
        <v>1085.763536850593</v>
      </c>
      <c r="V50">
        <v>1112.907625271858</v>
      </c>
      <c r="W50">
        <v>1140.7303159036539</v>
      </c>
      <c r="X50">
        <v>1169.2485738012449</v>
      </c>
    </row>
    <row r="51" spans="1:24" x14ac:dyDescent="0.25">
      <c r="A51" t="s">
        <v>132</v>
      </c>
      <c r="B51" t="s">
        <v>133</v>
      </c>
      <c r="C51" t="s">
        <v>168</v>
      </c>
      <c r="E51" t="s">
        <v>169</v>
      </c>
      <c r="F51" t="s">
        <v>136</v>
      </c>
      <c r="G51">
        <v>4185.0616827171943</v>
      </c>
      <c r="H51">
        <v>4205.9869911307796</v>
      </c>
      <c r="I51">
        <v>4311.136665909049</v>
      </c>
      <c r="J51">
        <v>4418.9150825567749</v>
      </c>
      <c r="K51">
        <v>4529.3879596206934</v>
      </c>
      <c r="L51">
        <v>4642.6226586112107</v>
      </c>
      <c r="M51">
        <v>4758.6882250764902</v>
      </c>
      <c r="N51">
        <v>4877.6554307034021</v>
      </c>
      <c r="O51">
        <v>4999.5968164709866</v>
      </c>
      <c r="P51">
        <v>5124.5867368827612</v>
      </c>
      <c r="Q51">
        <v>5252.7014053048297</v>
      </c>
      <c r="R51">
        <v>5384.0189404374496</v>
      </c>
      <c r="S51">
        <v>5518.619413948385</v>
      </c>
      <c r="T51">
        <v>5656.5848992970941</v>
      </c>
      <c r="U51">
        <v>5797.9995217795213</v>
      </c>
      <c r="V51">
        <v>5942.9495098240086</v>
      </c>
      <c r="W51">
        <v>6091.5232475696084</v>
      </c>
      <c r="X51">
        <v>6243.8113287588494</v>
      </c>
    </row>
    <row r="52" spans="1:24" x14ac:dyDescent="0.25">
      <c r="A52" t="s">
        <v>132</v>
      </c>
      <c r="B52" t="s">
        <v>94</v>
      </c>
      <c r="C52" t="s">
        <v>170</v>
      </c>
      <c r="E52" t="s">
        <v>171</v>
      </c>
      <c r="F52" t="s">
        <v>136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25">
      <c r="A53" t="s">
        <v>132</v>
      </c>
      <c r="B53" t="s">
        <v>94</v>
      </c>
      <c r="C53" t="s">
        <v>172</v>
      </c>
      <c r="E53" t="s">
        <v>173</v>
      </c>
      <c r="F53" t="s">
        <v>136</v>
      </c>
      <c r="G53">
        <v>1.605430432772551</v>
      </c>
      <c r="H53">
        <v>1.6134575849364139</v>
      </c>
      <c r="I53">
        <v>1.6537940245598239</v>
      </c>
      <c r="J53">
        <v>1.6951388751738199</v>
      </c>
      <c r="K53">
        <v>1.7375173470531651</v>
      </c>
      <c r="L53">
        <v>1.7809552807294939</v>
      </c>
      <c r="M53">
        <v>1.8254791627477309</v>
      </c>
      <c r="N53">
        <v>1.8711161418164239</v>
      </c>
      <c r="O53">
        <v>1.9178940453618341</v>
      </c>
      <c r="P53">
        <v>1.9658413964958801</v>
      </c>
      <c r="Q53">
        <v>2.0149874314082772</v>
      </c>
      <c r="R53">
        <v>2.0653621171934842</v>
      </c>
      <c r="S53">
        <v>2.1169961701233211</v>
      </c>
      <c r="T53">
        <v>2.1699210743764041</v>
      </c>
      <c r="U53">
        <v>2.2241691012358138</v>
      </c>
      <c r="V53">
        <v>2.279773328766709</v>
      </c>
      <c r="W53">
        <v>2.3367676619858759</v>
      </c>
      <c r="X53">
        <v>2.395186853535523</v>
      </c>
    </row>
    <row r="54" spans="1:24" x14ac:dyDescent="0.25">
      <c r="A54" t="s">
        <v>132</v>
      </c>
      <c r="B54" t="s">
        <v>94</v>
      </c>
      <c r="C54" t="s">
        <v>174</v>
      </c>
      <c r="E54" t="s">
        <v>175</v>
      </c>
      <c r="F54" t="s">
        <v>136</v>
      </c>
      <c r="G54">
        <v>0.1257155698946095</v>
      </c>
      <c r="H54">
        <v>0.12634414774408251</v>
      </c>
      <c r="I54">
        <v>0.12950275143768461</v>
      </c>
      <c r="J54">
        <v>0.1327403202236267</v>
      </c>
      <c r="K54">
        <v>0.1360588282292173</v>
      </c>
      <c r="L54">
        <v>0.13946029893494771</v>
      </c>
      <c r="M54">
        <v>0.14294680640832139</v>
      </c>
      <c r="N54">
        <v>0.1465204765685294</v>
      </c>
      <c r="O54">
        <v>0.15018348848274271</v>
      </c>
      <c r="P54">
        <v>0.15393807569481119</v>
      </c>
      <c r="Q54">
        <v>0.15778652758718151</v>
      </c>
      <c r="R54">
        <v>0.16173119077686099</v>
      </c>
      <c r="S54">
        <v>0.1657744705462825</v>
      </c>
      <c r="T54">
        <v>0.16991883230993951</v>
      </c>
      <c r="U54">
        <v>0.17416680311768801</v>
      </c>
      <c r="V54">
        <v>0.17852097319563021</v>
      </c>
      <c r="W54">
        <v>0.18298399752552089</v>
      </c>
      <c r="X54">
        <v>0.18755859746365891</v>
      </c>
    </row>
    <row r="55" spans="1:24" x14ac:dyDescent="0.25">
      <c r="A55" t="s">
        <v>176</v>
      </c>
      <c r="B55" t="s">
        <v>177</v>
      </c>
      <c r="C55" t="s">
        <v>178</v>
      </c>
      <c r="E55" t="s">
        <v>179</v>
      </c>
      <c r="F55" t="s">
        <v>180</v>
      </c>
      <c r="G55">
        <v>3375.0740840299131</v>
      </c>
      <c r="H55">
        <v>3391.9494544500621</v>
      </c>
      <c r="I55">
        <v>3476.7481908113132</v>
      </c>
      <c r="J55">
        <v>3563.6668955815949</v>
      </c>
      <c r="K55">
        <v>3652.7585679711351</v>
      </c>
      <c r="L55">
        <v>3744.0775321704132</v>
      </c>
      <c r="M55">
        <v>3837.6794704746731</v>
      </c>
      <c r="N55">
        <v>3933.6214572365402</v>
      </c>
      <c r="O55">
        <v>4031.961993667453</v>
      </c>
      <c r="P55">
        <v>4132.7610435091392</v>
      </c>
      <c r="Q55">
        <v>4236.0800695968674</v>
      </c>
      <c r="R55">
        <v>4341.982071336789</v>
      </c>
      <c r="S55">
        <v>4450.5316231202087</v>
      </c>
      <c r="T55">
        <v>4561.7949136982133</v>
      </c>
      <c r="U55">
        <v>4675.8397865406687</v>
      </c>
      <c r="V55">
        <v>4792.7357812041846</v>
      </c>
      <c r="W55">
        <v>4912.5541757342889</v>
      </c>
      <c r="X55">
        <v>5035.3680301276454</v>
      </c>
    </row>
    <row r="56" spans="1:24" x14ac:dyDescent="0.25">
      <c r="A56" t="s">
        <v>176</v>
      </c>
      <c r="B56" t="s">
        <v>177</v>
      </c>
      <c r="C56" t="s">
        <v>181</v>
      </c>
      <c r="E56" t="s">
        <v>182</v>
      </c>
      <c r="F56" t="s">
        <v>180</v>
      </c>
      <c r="G56">
        <v>405.00889008358951</v>
      </c>
      <c r="H56">
        <v>407.03393453400741</v>
      </c>
      <c r="I56">
        <v>417.20978289735763</v>
      </c>
      <c r="J56">
        <v>427.64002746979139</v>
      </c>
      <c r="K56">
        <v>438.33102815653621</v>
      </c>
      <c r="L56">
        <v>449.28930386044959</v>
      </c>
      <c r="M56">
        <v>460.5215364569608</v>
      </c>
      <c r="N56">
        <v>472.03457486838482</v>
      </c>
      <c r="O56">
        <v>483.83543924009427</v>
      </c>
      <c r="P56">
        <v>495.93132522109659</v>
      </c>
      <c r="Q56">
        <v>508.32960835162402</v>
      </c>
      <c r="R56">
        <v>521.03784856041455</v>
      </c>
      <c r="S56">
        <v>534.06379477442488</v>
      </c>
      <c r="T56">
        <v>547.41538964378549</v>
      </c>
      <c r="U56">
        <v>561.10077438488008</v>
      </c>
      <c r="V56">
        <v>575.128293744502</v>
      </c>
      <c r="W56">
        <v>589.50650108811453</v>
      </c>
      <c r="X56">
        <v>604.24416361531735</v>
      </c>
    </row>
    <row r="57" spans="1:24" x14ac:dyDescent="0.25">
      <c r="A57" t="s">
        <v>176</v>
      </c>
      <c r="B57" t="s">
        <v>177</v>
      </c>
      <c r="C57" t="s">
        <v>183</v>
      </c>
      <c r="E57" t="s">
        <v>184</v>
      </c>
      <c r="F57" t="s">
        <v>180</v>
      </c>
      <c r="G57">
        <v>540.01185344478597</v>
      </c>
      <c r="H57">
        <v>542.71191271200985</v>
      </c>
      <c r="I57">
        <v>556.27971052981002</v>
      </c>
      <c r="J57">
        <v>570.18670329305519</v>
      </c>
      <c r="K57">
        <v>584.44137087538149</v>
      </c>
      <c r="L57">
        <v>599.05240514726597</v>
      </c>
      <c r="M57">
        <v>614.02871527594755</v>
      </c>
      <c r="N57">
        <v>629.37943315784617</v>
      </c>
      <c r="O57">
        <v>645.11391898679221</v>
      </c>
      <c r="P57">
        <v>661.24176696146196</v>
      </c>
      <c r="Q57">
        <v>677.7728111354985</v>
      </c>
      <c r="R57">
        <v>694.71713141388591</v>
      </c>
      <c r="S57">
        <v>712.08505969923294</v>
      </c>
      <c r="T57">
        <v>729.88718619171368</v>
      </c>
      <c r="U57">
        <v>748.13436584650651</v>
      </c>
      <c r="V57">
        <v>766.83772499266911</v>
      </c>
      <c r="W57">
        <v>786.00866811748574</v>
      </c>
      <c r="X57">
        <v>805.65888482042283</v>
      </c>
    </row>
    <row r="58" spans="1:24" x14ac:dyDescent="0.25">
      <c r="A58" t="s">
        <v>176</v>
      </c>
      <c r="B58" t="s">
        <v>177</v>
      </c>
      <c r="C58" t="s">
        <v>185</v>
      </c>
      <c r="E58" t="s">
        <v>186</v>
      </c>
      <c r="F58" t="s">
        <v>180</v>
      </c>
      <c r="G58">
        <v>1350.029633611965</v>
      </c>
      <c r="H58">
        <v>1356.7797817800249</v>
      </c>
      <c r="I58">
        <v>1390.699276324525</v>
      </c>
      <c r="J58">
        <v>1425.4667582326381</v>
      </c>
      <c r="K58">
        <v>1461.1034271884539</v>
      </c>
      <c r="L58">
        <v>1497.631012868165</v>
      </c>
      <c r="M58">
        <v>1535.071788189869</v>
      </c>
      <c r="N58">
        <v>1573.448582894616</v>
      </c>
      <c r="O58">
        <v>1612.784797466981</v>
      </c>
      <c r="P58">
        <v>1653.1044174036549</v>
      </c>
      <c r="Q58">
        <v>1694.432027838747</v>
      </c>
      <c r="R58">
        <v>1736.792828534715</v>
      </c>
      <c r="S58">
        <v>1780.2126492480829</v>
      </c>
      <c r="T58">
        <v>1824.7179654792851</v>
      </c>
      <c r="U58">
        <v>1870.335914616267</v>
      </c>
      <c r="V58">
        <v>1917.0943124816729</v>
      </c>
      <c r="W58">
        <v>1965.021670293715</v>
      </c>
      <c r="X58">
        <v>2014.147212051058</v>
      </c>
    </row>
    <row r="59" spans="1:24" x14ac:dyDescent="0.25">
      <c r="A59" t="s">
        <v>176</v>
      </c>
      <c r="B59" t="s">
        <v>177</v>
      </c>
      <c r="C59" t="s">
        <v>187</v>
      </c>
      <c r="E59" t="s">
        <v>188</v>
      </c>
      <c r="F59" t="s">
        <v>180</v>
      </c>
      <c r="G59">
        <v>1485.0325969731609</v>
      </c>
      <c r="H59">
        <v>1492.4577599580271</v>
      </c>
      <c r="I59">
        <v>1529.769203956977</v>
      </c>
      <c r="J59">
        <v>1568.0134340559021</v>
      </c>
      <c r="K59">
        <v>1607.2137699072989</v>
      </c>
      <c r="L59">
        <v>1647.394114154981</v>
      </c>
      <c r="M59">
        <v>1688.5789670088559</v>
      </c>
      <c r="N59">
        <v>1730.793441184077</v>
      </c>
      <c r="O59">
        <v>1774.0632772136789</v>
      </c>
      <c r="P59">
        <v>1818.414859144021</v>
      </c>
      <c r="Q59">
        <v>1863.8752306226211</v>
      </c>
      <c r="R59">
        <v>1910.472111388186</v>
      </c>
      <c r="S59">
        <v>1958.233914172891</v>
      </c>
      <c r="T59">
        <v>2007.189762027213</v>
      </c>
      <c r="U59">
        <v>2057.3695060778932</v>
      </c>
      <c r="V59">
        <v>2108.8037437298399</v>
      </c>
      <c r="W59">
        <v>2161.5238373230859</v>
      </c>
      <c r="X59">
        <v>2215.5619332561628</v>
      </c>
    </row>
    <row r="60" spans="1:24" x14ac:dyDescent="0.25">
      <c r="A60" t="s">
        <v>176</v>
      </c>
      <c r="B60" t="s">
        <v>177</v>
      </c>
      <c r="C60" t="s">
        <v>189</v>
      </c>
      <c r="E60" t="s">
        <v>190</v>
      </c>
      <c r="F60" t="s">
        <v>180</v>
      </c>
      <c r="G60">
        <v>1080.0237068895719</v>
      </c>
      <c r="H60">
        <v>1085.4238254240199</v>
      </c>
      <c r="I60">
        <v>1112.55942105962</v>
      </c>
      <c r="J60">
        <v>1140.3734065861099</v>
      </c>
      <c r="K60">
        <v>1168.882741750763</v>
      </c>
      <c r="L60">
        <v>1198.1048102945319</v>
      </c>
      <c r="M60">
        <v>1228.0574305518951</v>
      </c>
      <c r="N60">
        <v>1258.7588663156921</v>
      </c>
      <c r="O60">
        <v>1290.227837973584</v>
      </c>
      <c r="P60">
        <v>1322.4835339229239</v>
      </c>
      <c r="Q60">
        <v>1355.545622270997</v>
      </c>
      <c r="R60">
        <v>1389.434262827772</v>
      </c>
      <c r="S60">
        <v>1424.1701193984661</v>
      </c>
      <c r="T60">
        <v>1459.7743723834269</v>
      </c>
      <c r="U60">
        <v>1496.268731693013</v>
      </c>
      <c r="V60">
        <v>1533.675449985338</v>
      </c>
      <c r="W60">
        <v>1572.017336234971</v>
      </c>
      <c r="X60">
        <v>1611.3177696408461</v>
      </c>
    </row>
    <row r="61" spans="1:24" x14ac:dyDescent="0.25">
      <c r="A61" t="s">
        <v>176</v>
      </c>
      <c r="B61" t="s">
        <v>177</v>
      </c>
      <c r="C61" t="s">
        <v>191</v>
      </c>
      <c r="E61" t="s">
        <v>192</v>
      </c>
      <c r="F61" t="s">
        <v>180</v>
      </c>
      <c r="G61">
        <v>5265.1155710866633</v>
      </c>
      <c r="H61">
        <v>5291.4411489420963</v>
      </c>
      <c r="I61">
        <v>5423.727177665648</v>
      </c>
      <c r="J61">
        <v>5559.3203571072891</v>
      </c>
      <c r="K61">
        <v>5698.3033660349711</v>
      </c>
      <c r="L61">
        <v>5840.7609501858451</v>
      </c>
      <c r="M61">
        <v>5986.7799739404909</v>
      </c>
      <c r="N61">
        <v>6136.4494732890034</v>
      </c>
      <c r="O61">
        <v>6289.8607101212274</v>
      </c>
      <c r="P61">
        <v>6447.1072278742577</v>
      </c>
      <c r="Q61">
        <v>6608.2849085711132</v>
      </c>
      <c r="R61">
        <v>6773.4920312853901</v>
      </c>
      <c r="S61">
        <v>6942.8293320675239</v>
      </c>
      <c r="T61">
        <v>7116.400065369211</v>
      </c>
      <c r="U61">
        <v>7294.310067003441</v>
      </c>
      <c r="V61">
        <v>7476.6678186785266</v>
      </c>
      <c r="W61">
        <v>7663.5845141454893</v>
      </c>
      <c r="X61">
        <v>7855.1741269991262</v>
      </c>
    </row>
    <row r="62" spans="1:24" x14ac:dyDescent="0.25">
      <c r="A62" t="s">
        <v>176</v>
      </c>
      <c r="B62" t="s">
        <v>177</v>
      </c>
      <c r="C62" t="s">
        <v>193</v>
      </c>
      <c r="E62" t="s">
        <v>194</v>
      </c>
      <c r="F62" t="s">
        <v>180</v>
      </c>
      <c r="G62">
        <v>206463.0681189782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25">
      <c r="A63" t="s">
        <v>176</v>
      </c>
      <c r="B63" t="s">
        <v>195</v>
      </c>
      <c r="C63" t="s">
        <v>196</v>
      </c>
      <c r="E63" t="s">
        <v>197</v>
      </c>
      <c r="F63" t="s">
        <v>198</v>
      </c>
      <c r="G63">
        <v>1957.9449839347731</v>
      </c>
      <c r="H63">
        <v>1967.7347088544459</v>
      </c>
      <c r="I63">
        <v>2016.9280765758069</v>
      </c>
      <c r="J63">
        <v>2067.3512784902018</v>
      </c>
      <c r="K63">
        <v>2119.0350604524569</v>
      </c>
      <c r="L63">
        <v>2172.010936963768</v>
      </c>
      <c r="M63">
        <v>2226.311210387862</v>
      </c>
      <c r="N63">
        <v>2281.9689906475578</v>
      </c>
      <c r="O63">
        <v>2339.0182154137469</v>
      </c>
      <c r="P63">
        <v>2397.493670799091</v>
      </c>
      <c r="Q63">
        <v>2457.4310125690681</v>
      </c>
      <c r="R63">
        <v>2518.8667878832939</v>
      </c>
      <c r="S63">
        <v>2581.8384575803761</v>
      </c>
      <c r="T63">
        <v>2646.3844190198852</v>
      </c>
      <c r="U63">
        <v>2712.5440294953819</v>
      </c>
      <c r="V63">
        <v>2780.357630232766</v>
      </c>
      <c r="W63">
        <v>2849.866570988585</v>
      </c>
      <c r="X63">
        <v>2921.113235263299</v>
      </c>
    </row>
    <row r="64" spans="1:24" x14ac:dyDescent="0.25">
      <c r="A64" t="s">
        <v>176</v>
      </c>
      <c r="B64" t="s">
        <v>195</v>
      </c>
      <c r="C64" t="s">
        <v>199</v>
      </c>
      <c r="E64" t="s">
        <v>200</v>
      </c>
      <c r="F64" t="s">
        <v>198</v>
      </c>
      <c r="G64">
        <v>118.5672</v>
      </c>
      <c r="H64">
        <v>118.5672</v>
      </c>
      <c r="I64">
        <v>118.5672</v>
      </c>
      <c r="J64">
        <v>118.5672</v>
      </c>
      <c r="K64">
        <v>118.5672</v>
      </c>
      <c r="L64">
        <v>118.5672</v>
      </c>
      <c r="M64">
        <v>118.5672</v>
      </c>
      <c r="N64">
        <v>118.5672</v>
      </c>
      <c r="O64">
        <v>118.5672</v>
      </c>
      <c r="P64">
        <v>118.5672</v>
      </c>
      <c r="Q64">
        <v>118.5672</v>
      </c>
      <c r="R64">
        <v>118.5672</v>
      </c>
      <c r="S64">
        <v>118.5672</v>
      </c>
      <c r="T64">
        <v>118.5672</v>
      </c>
      <c r="U64">
        <v>118.5672</v>
      </c>
      <c r="V64">
        <v>118.5672</v>
      </c>
      <c r="W64">
        <v>118.5672</v>
      </c>
      <c r="X64">
        <v>118.5672</v>
      </c>
    </row>
    <row r="65" spans="1:24" x14ac:dyDescent="0.25">
      <c r="A65" t="s">
        <v>201</v>
      </c>
      <c r="B65" t="s">
        <v>202</v>
      </c>
      <c r="E65" t="s">
        <v>203</v>
      </c>
      <c r="F65" t="s">
        <v>131</v>
      </c>
      <c r="G65">
        <v>-43034.141007505437</v>
      </c>
      <c r="H65">
        <v>-43034.141007505437</v>
      </c>
      <c r="I65">
        <v>-43034.141007505437</v>
      </c>
      <c r="J65">
        <v>-43034.141007505437</v>
      </c>
      <c r="K65">
        <v>-43034.141007505437</v>
      </c>
      <c r="L65">
        <v>-43034.141007505437</v>
      </c>
      <c r="M65">
        <v>-43034.141007505437</v>
      </c>
      <c r="N65">
        <v>-43034.141007505437</v>
      </c>
      <c r="O65">
        <v>-43034.141007505437</v>
      </c>
      <c r="P65">
        <v>-43034.141007505437</v>
      </c>
      <c r="Q65">
        <v>-43034.141007505437</v>
      </c>
      <c r="R65">
        <v>-43034.141007505437</v>
      </c>
      <c r="S65">
        <v>-43034.141007505437</v>
      </c>
      <c r="T65">
        <v>-43034.141007505437</v>
      </c>
      <c r="U65">
        <v>-43034.141007505437</v>
      </c>
      <c r="V65">
        <v>-43034.141007505437</v>
      </c>
      <c r="W65">
        <v>-43034.141007505437</v>
      </c>
      <c r="X65">
        <v>-43034.141007505437</v>
      </c>
    </row>
    <row r="66" spans="1:24" x14ac:dyDescent="0.25">
      <c r="A66" t="s">
        <v>176</v>
      </c>
      <c r="B66" t="s">
        <v>195</v>
      </c>
      <c r="C66" t="s">
        <v>204</v>
      </c>
      <c r="E66" t="s">
        <v>205</v>
      </c>
      <c r="F66" t="s">
        <v>198</v>
      </c>
      <c r="G66">
        <v>1718.825872023252</v>
      </c>
      <c r="H66">
        <v>1727.4200013833679</v>
      </c>
      <c r="I66">
        <v>1770.6055014179519</v>
      </c>
      <c r="J66">
        <v>1814.8706389534011</v>
      </c>
      <c r="K66">
        <v>1860.2424049272361</v>
      </c>
      <c r="L66">
        <v>1906.7484650504171</v>
      </c>
      <c r="M66">
        <v>1954.4171766766769</v>
      </c>
      <c r="N66">
        <v>2003.2776060935939</v>
      </c>
      <c r="O66">
        <v>2053.359546245933</v>
      </c>
      <c r="P66">
        <v>2104.693534902081</v>
      </c>
      <c r="Q66">
        <v>2157.3108732746332</v>
      </c>
      <c r="R66">
        <v>2211.2436451064991</v>
      </c>
      <c r="S66">
        <v>2266.5247362341611</v>
      </c>
      <c r="T66">
        <v>2323.1878546400148</v>
      </c>
      <c r="U66">
        <v>2381.2675510060149</v>
      </c>
      <c r="V66">
        <v>2440.7992397811649</v>
      </c>
      <c r="W66">
        <v>2501.8192207756938</v>
      </c>
      <c r="X66">
        <v>2564.364701295086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W15"/>
  <sheetViews>
    <sheetView zoomScale="85" zoomScaleNormal="85" workbookViewId="0">
      <selection activeCell="G36" sqref="G36"/>
    </sheetView>
  </sheetViews>
  <sheetFormatPr defaultRowHeight="15" x14ac:dyDescent="0.25"/>
  <cols>
    <col min="1" max="1" width="9.85546875" bestFit="1" customWidth="1"/>
    <col min="2" max="2" width="9.7109375" bestFit="1" customWidth="1"/>
    <col min="3" max="3" width="19.140625" bestFit="1" customWidth="1"/>
    <col min="4" max="4" width="7.5703125" bestFit="1" customWidth="1"/>
    <col min="5" max="5" width="14.28515625" bestFit="1" customWidth="1"/>
    <col min="6" max="6" width="18.42578125" bestFit="1" customWidth="1"/>
    <col min="7" max="7" width="10.28515625" bestFit="1" customWidth="1"/>
    <col min="8" max="8" width="10.28515625" customWidth="1"/>
    <col min="9" max="9" width="20.85546875" bestFit="1" customWidth="1"/>
    <col min="10" max="10" width="25.42578125" bestFit="1" customWidth="1"/>
    <col min="11" max="11" width="14" style="8" customWidth="1"/>
    <col min="12" max="12" width="16.7109375" style="8" bestFit="1" customWidth="1"/>
    <col min="13" max="18" width="14" style="8" customWidth="1"/>
    <col min="19" max="20" width="17.28515625" customWidth="1"/>
    <col min="21" max="23" width="14" style="8" customWidth="1"/>
    <col min="24" max="24" width="11.85546875" bestFit="1" customWidth="1"/>
  </cols>
  <sheetData>
    <row r="2" spans="1:17" x14ac:dyDescent="0.25">
      <c r="A2" t="s">
        <v>71</v>
      </c>
      <c r="B2" t="s">
        <v>72</v>
      </c>
      <c r="C2" t="s">
        <v>73</v>
      </c>
      <c r="D2" t="s">
        <v>74</v>
      </c>
      <c r="E2" t="s">
        <v>206</v>
      </c>
      <c r="F2" t="s">
        <v>207</v>
      </c>
      <c r="G2" t="s">
        <v>208</v>
      </c>
      <c r="H2" t="s">
        <v>209</v>
      </c>
      <c r="I2" t="s">
        <v>210</v>
      </c>
      <c r="J2" t="s">
        <v>211</v>
      </c>
      <c r="K2" t="s">
        <v>212</v>
      </c>
      <c r="L2" t="s">
        <v>213</v>
      </c>
      <c r="M2" t="s">
        <v>214</v>
      </c>
      <c r="N2" t="s">
        <v>215</v>
      </c>
      <c r="O2" t="s">
        <v>216</v>
      </c>
      <c r="P2" t="s">
        <v>217</v>
      </c>
      <c r="Q2" t="s">
        <v>218</v>
      </c>
    </row>
    <row r="3" spans="1:17" x14ac:dyDescent="0.25">
      <c r="A3" t="s">
        <v>128</v>
      </c>
      <c r="B3" t="s">
        <v>129</v>
      </c>
      <c r="E3" t="s">
        <v>219</v>
      </c>
      <c r="G3" t="s">
        <v>220</v>
      </c>
      <c r="J3" t="s">
        <v>221</v>
      </c>
      <c r="K3" t="s">
        <v>130</v>
      </c>
      <c r="L3" t="s">
        <v>222</v>
      </c>
      <c r="M3">
        <v>1</v>
      </c>
      <c r="N3">
        <v>0.9</v>
      </c>
      <c r="O3">
        <v>31.536000000000001</v>
      </c>
      <c r="P3">
        <v>1000</v>
      </c>
      <c r="Q3">
        <v>1</v>
      </c>
    </row>
    <row r="4" spans="1:17" x14ac:dyDescent="0.25">
      <c r="A4" t="s">
        <v>128</v>
      </c>
      <c r="B4" t="s">
        <v>129</v>
      </c>
      <c r="E4" t="s">
        <v>219</v>
      </c>
      <c r="G4" t="s">
        <v>223</v>
      </c>
      <c r="J4" t="s">
        <v>224</v>
      </c>
      <c r="K4" t="s">
        <v>130</v>
      </c>
      <c r="L4" t="s">
        <v>225</v>
      </c>
      <c r="M4">
        <v>1</v>
      </c>
      <c r="N4">
        <v>0.9</v>
      </c>
      <c r="O4">
        <v>31.536000000000001</v>
      </c>
      <c r="P4">
        <v>1000</v>
      </c>
      <c r="Q4">
        <v>1</v>
      </c>
    </row>
    <row r="5" spans="1:17" x14ac:dyDescent="0.25">
      <c r="A5" t="s">
        <v>128</v>
      </c>
      <c r="B5" t="s">
        <v>129</v>
      </c>
      <c r="E5" t="s">
        <v>219</v>
      </c>
      <c r="G5" t="s">
        <v>226</v>
      </c>
      <c r="J5" t="s">
        <v>227</v>
      </c>
      <c r="K5" t="s">
        <v>130</v>
      </c>
      <c r="L5" t="s">
        <v>228</v>
      </c>
      <c r="M5">
        <v>1</v>
      </c>
      <c r="N5">
        <v>0.9</v>
      </c>
      <c r="O5">
        <v>31.536000000000001</v>
      </c>
      <c r="P5">
        <v>1000</v>
      </c>
      <c r="Q5">
        <v>1</v>
      </c>
    </row>
    <row r="6" spans="1:17" x14ac:dyDescent="0.25">
      <c r="A6" t="s">
        <v>128</v>
      </c>
      <c r="B6" t="s">
        <v>129</v>
      </c>
      <c r="E6" t="s">
        <v>219</v>
      </c>
      <c r="G6" t="s">
        <v>229</v>
      </c>
      <c r="J6" t="s">
        <v>230</v>
      </c>
      <c r="K6" t="s">
        <v>130</v>
      </c>
      <c r="L6" t="s">
        <v>231</v>
      </c>
      <c r="M6">
        <v>1</v>
      </c>
      <c r="N6">
        <v>0.9</v>
      </c>
      <c r="O6">
        <v>31.536000000000001</v>
      </c>
      <c r="P6">
        <v>1000</v>
      </c>
      <c r="Q6">
        <v>1</v>
      </c>
    </row>
    <row r="7" spans="1:17" x14ac:dyDescent="0.25">
      <c r="A7" t="s">
        <v>128</v>
      </c>
      <c r="B7" t="s">
        <v>129</v>
      </c>
      <c r="E7" t="s">
        <v>219</v>
      </c>
      <c r="G7" t="s">
        <v>232</v>
      </c>
      <c r="J7" t="s">
        <v>233</v>
      </c>
      <c r="K7" t="s">
        <v>130</v>
      </c>
      <c r="L7" t="s">
        <v>234</v>
      </c>
      <c r="M7">
        <v>1</v>
      </c>
      <c r="N7">
        <v>0.9</v>
      </c>
      <c r="O7">
        <v>31.536000000000001</v>
      </c>
      <c r="P7">
        <v>1000</v>
      </c>
      <c r="Q7">
        <v>1</v>
      </c>
    </row>
    <row r="8" spans="1:17" x14ac:dyDescent="0.25">
      <c r="A8" t="s">
        <v>128</v>
      </c>
      <c r="B8" t="s">
        <v>129</v>
      </c>
      <c r="E8" t="s">
        <v>219</v>
      </c>
      <c r="G8" t="s">
        <v>235</v>
      </c>
      <c r="J8" t="s">
        <v>236</v>
      </c>
      <c r="K8" t="s">
        <v>130</v>
      </c>
      <c r="L8" t="s">
        <v>237</v>
      </c>
      <c r="M8">
        <v>1</v>
      </c>
      <c r="N8">
        <v>0.9</v>
      </c>
      <c r="O8">
        <v>31.536000000000001</v>
      </c>
      <c r="P8">
        <v>1000</v>
      </c>
      <c r="Q8">
        <v>1</v>
      </c>
    </row>
    <row r="9" spans="1:17" x14ac:dyDescent="0.25">
      <c r="A9" t="s">
        <v>128</v>
      </c>
      <c r="B9" t="s">
        <v>129</v>
      </c>
      <c r="E9" t="s">
        <v>219</v>
      </c>
      <c r="G9" t="s">
        <v>238</v>
      </c>
      <c r="J9" t="s">
        <v>239</v>
      </c>
      <c r="K9" t="s">
        <v>130</v>
      </c>
      <c r="L9" t="s">
        <v>240</v>
      </c>
      <c r="M9">
        <v>1</v>
      </c>
      <c r="N9">
        <v>0.9</v>
      </c>
      <c r="O9">
        <v>31.536000000000001</v>
      </c>
      <c r="P9">
        <v>1000</v>
      </c>
      <c r="Q9">
        <v>1</v>
      </c>
    </row>
    <row r="10" spans="1:17" x14ac:dyDescent="0.25">
      <c r="A10" t="s">
        <v>128</v>
      </c>
      <c r="B10" t="s">
        <v>129</v>
      </c>
      <c r="E10" t="s">
        <v>219</v>
      </c>
      <c r="G10" t="s">
        <v>241</v>
      </c>
      <c r="J10" t="s">
        <v>242</v>
      </c>
      <c r="K10" t="s">
        <v>130</v>
      </c>
      <c r="L10" t="s">
        <v>243</v>
      </c>
      <c r="M10">
        <v>1</v>
      </c>
      <c r="N10">
        <v>0.9</v>
      </c>
      <c r="O10">
        <v>31.536000000000001</v>
      </c>
      <c r="P10">
        <v>1000</v>
      </c>
      <c r="Q10">
        <v>1</v>
      </c>
    </row>
    <row r="11" spans="1:17" x14ac:dyDescent="0.25">
      <c r="A11" t="s">
        <v>128</v>
      </c>
      <c r="B11" t="s">
        <v>129</v>
      </c>
      <c r="E11" t="s">
        <v>219</v>
      </c>
      <c r="G11" t="s">
        <v>244</v>
      </c>
      <c r="J11" t="s">
        <v>245</v>
      </c>
      <c r="K11" t="s">
        <v>130</v>
      </c>
      <c r="L11" t="s">
        <v>246</v>
      </c>
      <c r="M11">
        <v>1</v>
      </c>
      <c r="N11">
        <v>0.9</v>
      </c>
      <c r="O11">
        <v>31.536000000000001</v>
      </c>
      <c r="P11">
        <v>1000</v>
      </c>
      <c r="Q11">
        <v>1</v>
      </c>
    </row>
    <row r="12" spans="1:17" x14ac:dyDescent="0.25">
      <c r="A12" t="s">
        <v>128</v>
      </c>
      <c r="B12" t="s">
        <v>129</v>
      </c>
      <c r="E12" t="s">
        <v>219</v>
      </c>
      <c r="G12" t="s">
        <v>201</v>
      </c>
      <c r="J12" t="s">
        <v>247</v>
      </c>
      <c r="K12" t="s">
        <v>130</v>
      </c>
      <c r="L12" t="s">
        <v>248</v>
      </c>
      <c r="M12">
        <v>1</v>
      </c>
      <c r="N12">
        <v>0.9</v>
      </c>
      <c r="O12">
        <v>31.536000000000001</v>
      </c>
      <c r="P12">
        <v>1000</v>
      </c>
      <c r="Q12">
        <v>1</v>
      </c>
    </row>
    <row r="13" spans="1:17" x14ac:dyDescent="0.25">
      <c r="A13" t="s">
        <v>128</v>
      </c>
      <c r="B13" t="s">
        <v>129</v>
      </c>
      <c r="E13" t="s">
        <v>219</v>
      </c>
      <c r="G13" t="s">
        <v>249</v>
      </c>
      <c r="J13" t="s">
        <v>250</v>
      </c>
      <c r="K13" t="s">
        <v>130</v>
      </c>
      <c r="L13" t="s">
        <v>251</v>
      </c>
      <c r="M13">
        <v>1</v>
      </c>
      <c r="N13">
        <v>0.9</v>
      </c>
      <c r="O13">
        <v>31.536000000000001</v>
      </c>
      <c r="P13">
        <v>1000</v>
      </c>
      <c r="Q13">
        <v>1</v>
      </c>
    </row>
    <row r="14" spans="1:17" x14ac:dyDescent="0.25">
      <c r="A14" t="s">
        <v>252</v>
      </c>
      <c r="L14" t="s">
        <v>252</v>
      </c>
      <c r="Q14" t="s">
        <v>252</v>
      </c>
    </row>
    <row r="15" spans="1:17" x14ac:dyDescent="0.25">
      <c r="A15" t="s">
        <v>128</v>
      </c>
      <c r="B15" t="s">
        <v>129</v>
      </c>
      <c r="E15" t="s">
        <v>219</v>
      </c>
      <c r="G15" t="s">
        <v>253</v>
      </c>
      <c r="J15" t="s">
        <v>254</v>
      </c>
      <c r="K15" t="s">
        <v>130</v>
      </c>
      <c r="L15" t="s">
        <v>255</v>
      </c>
      <c r="M15">
        <v>1</v>
      </c>
      <c r="N15">
        <v>0.9</v>
      </c>
      <c r="O15">
        <v>31.536000000000001</v>
      </c>
      <c r="P15">
        <v>10000</v>
      </c>
      <c r="Q1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3349"/>
  <sheetViews>
    <sheetView zoomScale="85" zoomScaleNormal="85" workbookViewId="0">
      <selection activeCell="C7" sqref="C7"/>
    </sheetView>
  </sheetViews>
  <sheetFormatPr defaultRowHeight="15" x14ac:dyDescent="0.25"/>
  <cols>
    <col min="2" max="2" width="22.42578125" bestFit="1" customWidth="1"/>
    <col min="3" max="3" width="24.140625" bestFit="1" customWidth="1"/>
    <col min="4" max="4" width="75.7109375" bestFit="1" customWidth="1"/>
    <col min="5" max="5" width="10.42578125" bestFit="1" customWidth="1"/>
    <col min="6" max="6" width="11.85546875" bestFit="1" customWidth="1"/>
    <col min="7" max="7" width="22.5703125" bestFit="1" customWidth="1"/>
    <col min="8" max="8" width="17.28515625" bestFit="1" customWidth="1"/>
    <col min="9" max="9" width="15" bestFit="1" customWidth="1"/>
  </cols>
  <sheetData>
    <row r="2" spans="2:9" x14ac:dyDescent="0.25">
      <c r="B2" s="9" t="s">
        <v>256</v>
      </c>
    </row>
    <row r="3" spans="2:9" x14ac:dyDescent="0.25">
      <c r="B3" s="10" t="s">
        <v>257</v>
      </c>
      <c r="C3" s="10" t="s">
        <v>258</v>
      </c>
      <c r="D3" s="10" t="s">
        <v>259</v>
      </c>
      <c r="E3" s="10" t="s">
        <v>260</v>
      </c>
      <c r="F3" s="10" t="s">
        <v>261</v>
      </c>
      <c r="G3" s="10" t="s">
        <v>262</v>
      </c>
      <c r="H3" s="10" t="s">
        <v>263</v>
      </c>
      <c r="I3" s="10" t="s">
        <v>264</v>
      </c>
    </row>
    <row r="4" spans="2:9" ht="27.6" customHeight="1" thickBot="1" x14ac:dyDescent="0.3">
      <c r="B4" s="11" t="s">
        <v>265</v>
      </c>
      <c r="C4" s="11" t="s">
        <v>266</v>
      </c>
      <c r="D4" s="11" t="s">
        <v>267</v>
      </c>
      <c r="E4" s="11" t="s">
        <v>268</v>
      </c>
      <c r="F4" s="11" t="s">
        <v>269</v>
      </c>
      <c r="G4" s="11" t="s">
        <v>270</v>
      </c>
      <c r="H4" s="11" t="s">
        <v>271</v>
      </c>
      <c r="I4" s="11" t="s">
        <v>272</v>
      </c>
    </row>
    <row r="5" spans="2:9" x14ac:dyDescent="0.25">
      <c r="B5" t="s">
        <v>273</v>
      </c>
      <c r="C5" t="str">
        <f>Def_Comm!C5&amp;"MIN"</f>
        <v>INDRETMIN</v>
      </c>
      <c r="D5" t="str">
        <f>Def_Comm!D5&amp;" Mining"</f>
        <v>Industrial Retrofit potential Mining</v>
      </c>
      <c r="E5" t="str">
        <f t="shared" ref="E5:E18" si="0">IF(B5="*","*",IF(F5="Mlma","Mlm","TJ"))</f>
        <v>TJ</v>
      </c>
      <c r="F5" t="str">
        <f t="shared" ref="F5:F18" si="1">IF(B5="*","*","MW")</f>
        <v>MW</v>
      </c>
    </row>
    <row r="6" spans="2:9" x14ac:dyDescent="0.25">
      <c r="B6" t="str">
        <f>IF(C6="*","*",IF('IND TECH'!Q3=0,"*","PRE"))</f>
        <v>PRE</v>
      </c>
      <c r="C6" t="str">
        <f>'IND TECH'!L3</f>
        <v>INDAINAEUCOA20</v>
      </c>
      <c r="D6" t="str">
        <f>_xlfn.XLOOKUP($C6,'IND TECH'!$L:$L,'IND TECH'!$A:$A)&amp;" "&amp;_xlfn.XLOOKUP($C6,'IND TECH'!$L:$L,'IND TECH'!$B:$B)&amp;" "&amp;_xlfn.XLOOKUP($C6,'IND TECH'!$L:$L,'IND TECH'!$C:$C)&amp;" "&amp;_xlfn.XLOOKUP($C6,'IND TECH'!$L:$L,'IND TECH'!$D:$D)&amp;" "&amp;_xlfn.XLOOKUP($C6,'IND TECH'!$L:$L,'IND TECH'!$E:$E)&amp;" "&amp;_xlfn.XLOOKUP($C6,'IND TECH'!$L:$L,'IND TECH'!$F:$F)&amp;" "&amp;_xlfn.XLOOKUP($C6,'IND TECH'!$L:$L,'IND TECH'!$G:$G)&amp;" "&amp;_xlfn.XLOOKUP($C6,'IND TECH'!$L:$L,'IND TECH'!$H:$H)</f>
        <v xml:space="preserve">Industrial All Industries   All end use  Coal </v>
      </c>
      <c r="E6" t="str">
        <f t="shared" si="0"/>
        <v>TJ</v>
      </c>
      <c r="F6" t="str">
        <f t="shared" si="1"/>
        <v>MW</v>
      </c>
    </row>
    <row r="7" spans="2:9" x14ac:dyDescent="0.25">
      <c r="B7" t="str">
        <f>IF(C7="*","*",IF('IND TECH'!Q4=0,"*","PRE"))</f>
        <v>PRE</v>
      </c>
      <c r="C7" t="str">
        <f>'IND TECH'!L4</f>
        <v>INDAINAEUPCK20</v>
      </c>
      <c r="D7" t="str">
        <f>_xlfn.XLOOKUP($C7,'IND TECH'!$L:$L,'IND TECH'!$A:$A)&amp;" "&amp;_xlfn.XLOOKUP($C7,'IND TECH'!$L:$L,'IND TECH'!$B:$B)&amp;" "&amp;_xlfn.XLOOKUP($C7,'IND TECH'!$L:$L,'IND TECH'!$C:$C)&amp;" "&amp;_xlfn.XLOOKUP($C7,'IND TECH'!$L:$L,'IND TECH'!$D:$D)&amp;" "&amp;_xlfn.XLOOKUP($C7,'IND TECH'!$L:$L,'IND TECH'!$E:$E)&amp;" "&amp;_xlfn.XLOOKUP($C7,'IND TECH'!$L:$L,'IND TECH'!$F:$F)&amp;" "&amp;_xlfn.XLOOKUP($C7,'IND TECH'!$L:$L,'IND TECH'!$G:$G)&amp;" "&amp;_xlfn.XLOOKUP($C7,'IND TECH'!$L:$L,'IND TECH'!$H:$H)</f>
        <v xml:space="preserve">Industrial All Industries   All end use  Petcoke </v>
      </c>
      <c r="E7" t="str">
        <f t="shared" si="0"/>
        <v>TJ</v>
      </c>
      <c r="F7" t="str">
        <f t="shared" si="1"/>
        <v>MW</v>
      </c>
    </row>
    <row r="8" spans="2:9" x14ac:dyDescent="0.25">
      <c r="B8" t="str">
        <f>IF(C8="*","*",IF('IND TECH'!Q5=0,"*","PRE"))</f>
        <v>PRE</v>
      </c>
      <c r="C8" t="str">
        <f>'IND TECH'!L5</f>
        <v>INDAINAEULPG20</v>
      </c>
      <c r="D8" t="str">
        <f>_xlfn.XLOOKUP($C8,'IND TECH'!$L:$L,'IND TECH'!$A:$A)&amp;" "&amp;_xlfn.XLOOKUP($C8,'IND TECH'!$L:$L,'IND TECH'!$B:$B)&amp;" "&amp;_xlfn.XLOOKUP($C8,'IND TECH'!$L:$L,'IND TECH'!$C:$C)&amp;" "&amp;_xlfn.XLOOKUP($C8,'IND TECH'!$L:$L,'IND TECH'!$D:$D)&amp;" "&amp;_xlfn.XLOOKUP($C8,'IND TECH'!$L:$L,'IND TECH'!$E:$E)&amp;" "&amp;_xlfn.XLOOKUP($C8,'IND TECH'!$L:$L,'IND TECH'!$F:$F)&amp;" "&amp;_xlfn.XLOOKUP($C8,'IND TECH'!$L:$L,'IND TECH'!$G:$G)&amp;" "&amp;_xlfn.XLOOKUP($C8,'IND TECH'!$L:$L,'IND TECH'!$H:$H)</f>
        <v xml:space="preserve">Industrial All Industries   All end use  LPG </v>
      </c>
      <c r="E8" t="str">
        <f t="shared" si="0"/>
        <v>TJ</v>
      </c>
      <c r="F8" t="str">
        <f t="shared" si="1"/>
        <v>MW</v>
      </c>
    </row>
    <row r="9" spans="2:9" x14ac:dyDescent="0.25">
      <c r="B9" t="str">
        <f>IF(C9="*","*",IF('IND TECH'!Q6=0,"*","PRE"))</f>
        <v>PRE</v>
      </c>
      <c r="C9" t="str">
        <f>'IND TECH'!L6</f>
        <v>INDAINAEUFOI20</v>
      </c>
      <c r="D9" t="str">
        <f>_xlfn.XLOOKUP($C9,'IND TECH'!$L:$L,'IND TECH'!$A:$A)&amp;" "&amp;_xlfn.XLOOKUP($C9,'IND TECH'!$L:$L,'IND TECH'!$B:$B)&amp;" "&amp;_xlfn.XLOOKUP($C9,'IND TECH'!$L:$L,'IND TECH'!$C:$C)&amp;" "&amp;_xlfn.XLOOKUP($C9,'IND TECH'!$L:$L,'IND TECH'!$D:$D)&amp;" "&amp;_xlfn.XLOOKUP($C9,'IND TECH'!$L:$L,'IND TECH'!$E:$E)&amp;" "&amp;_xlfn.XLOOKUP($C9,'IND TECH'!$L:$L,'IND TECH'!$F:$F)&amp;" "&amp;_xlfn.XLOOKUP($C9,'IND TECH'!$L:$L,'IND TECH'!$G:$G)&amp;" "&amp;_xlfn.XLOOKUP($C9,'IND TECH'!$L:$L,'IND TECH'!$H:$H)</f>
        <v xml:space="preserve">Industrial All Industries   All end use  Fuel oil </v>
      </c>
      <c r="E9" t="str">
        <f t="shared" si="0"/>
        <v>TJ</v>
      </c>
      <c r="F9" t="str">
        <f t="shared" si="1"/>
        <v>MW</v>
      </c>
    </row>
    <row r="10" spans="2:9" x14ac:dyDescent="0.25">
      <c r="B10" t="str">
        <f>IF(C10="*","*",IF('IND TECH'!Q7=0,"*","PRE"))</f>
        <v>PRE</v>
      </c>
      <c r="C10" t="str">
        <f>'IND TECH'!L7</f>
        <v>INDAINAEUNGA20</v>
      </c>
      <c r="D10" t="str">
        <f>_xlfn.XLOOKUP($C10,'IND TECH'!$L:$L,'IND TECH'!$A:$A)&amp;" "&amp;_xlfn.XLOOKUP($C10,'IND TECH'!$L:$L,'IND TECH'!$B:$B)&amp;" "&amp;_xlfn.XLOOKUP($C10,'IND TECH'!$L:$L,'IND TECH'!$C:$C)&amp;" "&amp;_xlfn.XLOOKUP($C10,'IND TECH'!$L:$L,'IND TECH'!$D:$D)&amp;" "&amp;_xlfn.XLOOKUP($C10,'IND TECH'!$L:$L,'IND TECH'!$E:$E)&amp;" "&amp;_xlfn.XLOOKUP($C10,'IND TECH'!$L:$L,'IND TECH'!$F:$F)&amp;" "&amp;_xlfn.XLOOKUP($C10,'IND TECH'!$L:$L,'IND TECH'!$G:$G)&amp;" "&amp;_xlfn.XLOOKUP($C10,'IND TECH'!$L:$L,'IND TECH'!$H:$H)</f>
        <v xml:space="preserve">Industrial All Industries   All end use  Natural gas </v>
      </c>
      <c r="E10" t="str">
        <f t="shared" si="0"/>
        <v>TJ</v>
      </c>
      <c r="F10" t="str">
        <f t="shared" si="1"/>
        <v>MW</v>
      </c>
    </row>
    <row r="11" spans="2:9" x14ac:dyDescent="0.25">
      <c r="B11" t="str">
        <f>IF(C11="*","*",IF('IND TECH'!Q8=0,"*","PRE"))</f>
        <v>PRE</v>
      </c>
      <c r="C11" t="str">
        <f>'IND TECH'!L8</f>
        <v>INDAINAEURNG20</v>
      </c>
      <c r="D11" t="str">
        <f>_xlfn.XLOOKUP($C11,'IND TECH'!$L:$L,'IND TECH'!$A:$A)&amp;" "&amp;_xlfn.XLOOKUP($C11,'IND TECH'!$L:$L,'IND TECH'!$B:$B)&amp;" "&amp;_xlfn.XLOOKUP($C11,'IND TECH'!$L:$L,'IND TECH'!$C:$C)&amp;" "&amp;_xlfn.XLOOKUP($C11,'IND TECH'!$L:$L,'IND TECH'!$D:$D)&amp;" "&amp;_xlfn.XLOOKUP($C11,'IND TECH'!$L:$L,'IND TECH'!$E:$E)&amp;" "&amp;_xlfn.XLOOKUP($C11,'IND TECH'!$L:$L,'IND TECH'!$F:$F)&amp;" "&amp;_xlfn.XLOOKUP($C11,'IND TECH'!$L:$L,'IND TECH'!$G:$G)&amp;" "&amp;_xlfn.XLOOKUP($C11,'IND TECH'!$L:$L,'IND TECH'!$H:$H)</f>
        <v xml:space="preserve">Industrial All Industries   All end use  RNG </v>
      </c>
      <c r="E11" t="str">
        <f t="shared" si="0"/>
        <v>TJ</v>
      </c>
      <c r="F11" t="str">
        <f t="shared" si="1"/>
        <v>MW</v>
      </c>
    </row>
    <row r="12" spans="2:9" x14ac:dyDescent="0.25">
      <c r="B12" t="str">
        <f>IF(C12="*","*",IF('IND TECH'!Q9=0,"*","PRE"))</f>
        <v>PRE</v>
      </c>
      <c r="C12" t="str">
        <f>'IND TECH'!L9</f>
        <v>INDAINAEUKER20</v>
      </c>
      <c r="D12" t="str">
        <f>_xlfn.XLOOKUP($C12,'IND TECH'!$L:$L,'IND TECH'!$A:$A)&amp;" "&amp;_xlfn.XLOOKUP($C12,'IND TECH'!$L:$L,'IND TECH'!$B:$B)&amp;" "&amp;_xlfn.XLOOKUP($C12,'IND TECH'!$L:$L,'IND TECH'!$C:$C)&amp;" "&amp;_xlfn.XLOOKUP($C12,'IND TECH'!$L:$L,'IND TECH'!$D:$D)&amp;" "&amp;_xlfn.XLOOKUP($C12,'IND TECH'!$L:$L,'IND TECH'!$E:$E)&amp;" "&amp;_xlfn.XLOOKUP($C12,'IND TECH'!$L:$L,'IND TECH'!$F:$F)&amp;" "&amp;_xlfn.XLOOKUP($C12,'IND TECH'!$L:$L,'IND TECH'!$G:$G)&amp;" "&amp;_xlfn.XLOOKUP($C12,'IND TECH'!$L:$L,'IND TECH'!$H:$H)</f>
        <v xml:space="preserve">Industrial All Industries   All end use  Kerosene </v>
      </c>
      <c r="E12" t="str">
        <f t="shared" si="0"/>
        <v>TJ</v>
      </c>
      <c r="F12" t="str">
        <f t="shared" si="1"/>
        <v>MW</v>
      </c>
    </row>
    <row r="13" spans="2:9" x14ac:dyDescent="0.25">
      <c r="B13" t="str">
        <f>IF(C13="*","*",IF('IND TECH'!Q10=0,"*","PRE"))</f>
        <v>PRE</v>
      </c>
      <c r="C13" t="str">
        <f>'IND TECH'!L10</f>
        <v>INDAINAEUGSL20</v>
      </c>
      <c r="D13" t="str">
        <f>_xlfn.XLOOKUP($C13,'IND TECH'!$L:$L,'IND TECH'!$A:$A)&amp;" "&amp;_xlfn.XLOOKUP($C13,'IND TECH'!$L:$L,'IND TECH'!$B:$B)&amp;" "&amp;_xlfn.XLOOKUP($C13,'IND TECH'!$L:$L,'IND TECH'!$C:$C)&amp;" "&amp;_xlfn.XLOOKUP($C13,'IND TECH'!$L:$L,'IND TECH'!$D:$D)&amp;" "&amp;_xlfn.XLOOKUP($C13,'IND TECH'!$L:$L,'IND TECH'!$E:$E)&amp;" "&amp;_xlfn.XLOOKUP($C13,'IND TECH'!$L:$L,'IND TECH'!$F:$F)&amp;" "&amp;_xlfn.XLOOKUP($C13,'IND TECH'!$L:$L,'IND TECH'!$G:$G)&amp;" "&amp;_xlfn.XLOOKUP($C13,'IND TECH'!$L:$L,'IND TECH'!$H:$H)</f>
        <v xml:space="preserve">Industrial All Industries   All end use  Gasoline </v>
      </c>
      <c r="E13" t="str">
        <f t="shared" si="0"/>
        <v>TJ</v>
      </c>
      <c r="F13" t="str">
        <f t="shared" si="1"/>
        <v>MW</v>
      </c>
    </row>
    <row r="14" spans="2:9" x14ac:dyDescent="0.25">
      <c r="B14" t="str">
        <f>IF(C14="*","*",IF('IND TECH'!Q11=0,"*","PRE"))</f>
        <v>PRE</v>
      </c>
      <c r="C14" t="str">
        <f>'IND TECH'!L11</f>
        <v>INDAINAEUDSL20</v>
      </c>
      <c r="D14" t="str">
        <f>_xlfn.XLOOKUP($C14,'IND TECH'!$L:$L,'IND TECH'!$A:$A)&amp;" "&amp;_xlfn.XLOOKUP($C14,'IND TECH'!$L:$L,'IND TECH'!$B:$B)&amp;" "&amp;_xlfn.XLOOKUP($C14,'IND TECH'!$L:$L,'IND TECH'!$C:$C)&amp;" "&amp;_xlfn.XLOOKUP($C14,'IND TECH'!$L:$L,'IND TECH'!$D:$D)&amp;" "&amp;_xlfn.XLOOKUP($C14,'IND TECH'!$L:$L,'IND TECH'!$E:$E)&amp;" "&amp;_xlfn.XLOOKUP($C14,'IND TECH'!$L:$L,'IND TECH'!$F:$F)&amp;" "&amp;_xlfn.XLOOKUP($C14,'IND TECH'!$L:$L,'IND TECH'!$G:$G)&amp;" "&amp;_xlfn.XLOOKUP($C14,'IND TECH'!$L:$L,'IND TECH'!$H:$H)</f>
        <v xml:space="preserve">Industrial All Industries   All end use  Diesel </v>
      </c>
      <c r="E14" t="str">
        <f t="shared" si="0"/>
        <v>TJ</v>
      </c>
      <c r="F14" t="str">
        <f t="shared" si="1"/>
        <v>MW</v>
      </c>
    </row>
    <row r="15" spans="2:9" x14ac:dyDescent="0.25">
      <c r="B15" t="str">
        <f>IF(C15="*","*",IF('IND TECH'!Q12=0,"*","PRE"))</f>
        <v>PRE</v>
      </c>
      <c r="C15" t="str">
        <f>'IND TECH'!L12</f>
        <v>INDAINAEUELC20</v>
      </c>
      <c r="D15" t="str">
        <f>_xlfn.XLOOKUP($C15,'IND TECH'!$L:$L,'IND TECH'!$A:$A)&amp;" "&amp;_xlfn.XLOOKUP($C15,'IND TECH'!$L:$L,'IND TECH'!$B:$B)&amp;" "&amp;_xlfn.XLOOKUP($C15,'IND TECH'!$L:$L,'IND TECH'!$C:$C)&amp;" "&amp;_xlfn.XLOOKUP($C15,'IND TECH'!$L:$L,'IND TECH'!$D:$D)&amp;" "&amp;_xlfn.XLOOKUP($C15,'IND TECH'!$L:$L,'IND TECH'!$E:$E)&amp;" "&amp;_xlfn.XLOOKUP($C15,'IND TECH'!$L:$L,'IND TECH'!$F:$F)&amp;" "&amp;_xlfn.XLOOKUP($C15,'IND TECH'!$L:$L,'IND TECH'!$G:$G)&amp;" "&amp;_xlfn.XLOOKUP($C15,'IND TECH'!$L:$L,'IND TECH'!$H:$H)</f>
        <v xml:space="preserve">Industrial All Industries   All end use  Electricity </v>
      </c>
      <c r="E15" t="str">
        <f t="shared" si="0"/>
        <v>TJ</v>
      </c>
      <c r="F15" t="str">
        <f t="shared" si="1"/>
        <v>MW</v>
      </c>
    </row>
    <row r="16" spans="2:9" x14ac:dyDescent="0.25">
      <c r="B16" t="str">
        <f>IF(C16="*","*",IF('IND TECH'!Q13=0,"*","PRE"))</f>
        <v>PRE</v>
      </c>
      <c r="C16" t="str">
        <f>'IND TECH'!L13</f>
        <v>INDAINAEUH2G20</v>
      </c>
      <c r="D16" t="str">
        <f>_xlfn.XLOOKUP($C16,'IND TECH'!$L:$L,'IND TECH'!$A:$A)&amp;" "&amp;_xlfn.XLOOKUP($C16,'IND TECH'!$L:$L,'IND TECH'!$B:$B)&amp;" "&amp;_xlfn.XLOOKUP($C16,'IND TECH'!$L:$L,'IND TECH'!$C:$C)&amp;" "&amp;_xlfn.XLOOKUP($C16,'IND TECH'!$L:$L,'IND TECH'!$D:$D)&amp;" "&amp;_xlfn.XLOOKUP($C16,'IND TECH'!$L:$L,'IND TECH'!$E:$E)&amp;" "&amp;_xlfn.XLOOKUP($C16,'IND TECH'!$L:$L,'IND TECH'!$F:$F)&amp;" "&amp;_xlfn.XLOOKUP($C16,'IND TECH'!$L:$L,'IND TECH'!$G:$G)&amp;" "&amp;_xlfn.XLOOKUP($C16,'IND TECH'!$L:$L,'IND TECH'!$H:$H)</f>
        <v xml:space="preserve">Industrial All Industries   All end use  Hydrogen </v>
      </c>
      <c r="E16" t="str">
        <f t="shared" si="0"/>
        <v>TJ</v>
      </c>
      <c r="F16" t="str">
        <f t="shared" si="1"/>
        <v>MW</v>
      </c>
    </row>
    <row r="17" spans="2:6" x14ac:dyDescent="0.25">
      <c r="B17" t="str">
        <f>IF(C17="*","*",IF('IND TECH'!Q14=0,"*","PRE"))</f>
        <v>*</v>
      </c>
      <c r="C17" t="str">
        <f>'IND TECH'!L14</f>
        <v>*</v>
      </c>
      <c r="D17" t="str">
        <f>_xlfn.XLOOKUP($C17,'IND TECH'!$L:$L,'IND TECH'!$A:$A)&amp;" "&amp;_xlfn.XLOOKUP($C17,'IND TECH'!$L:$L,'IND TECH'!$B:$B)&amp;" "&amp;_xlfn.XLOOKUP($C17,'IND TECH'!$L:$L,'IND TECH'!$C:$C)&amp;" "&amp;_xlfn.XLOOKUP($C17,'IND TECH'!$L:$L,'IND TECH'!$D:$D)&amp;" "&amp;_xlfn.XLOOKUP($C17,'IND TECH'!$L:$L,'IND TECH'!$E:$E)&amp;" "&amp;_xlfn.XLOOKUP($C17,'IND TECH'!$L:$L,'IND TECH'!$F:$F)&amp;" "&amp;_xlfn.XLOOKUP($C17,'IND TECH'!$L:$L,'IND TECH'!$G:$G)&amp;" "&amp;_xlfn.XLOOKUP($C17,'IND TECH'!$L:$L,'IND TECH'!$H:$H)</f>
        <v xml:space="preserve">*       </v>
      </c>
      <c r="E17" t="str">
        <f t="shared" si="0"/>
        <v>*</v>
      </c>
      <c r="F17" t="str">
        <f t="shared" si="1"/>
        <v>*</v>
      </c>
    </row>
    <row r="18" spans="2:6" x14ac:dyDescent="0.25">
      <c r="B18" t="str">
        <f>IF(C18="*","*",IF('IND TECH'!Q15=0,"*","PRE"))</f>
        <v>PRE</v>
      </c>
      <c r="C18" t="str">
        <f>'IND TECH'!L15</f>
        <v>INDAINAEURET20</v>
      </c>
      <c r="D18" t="str">
        <f>_xlfn.XLOOKUP($C18,'IND TECH'!$L:$L,'IND TECH'!$A:$A)&amp;" "&amp;_xlfn.XLOOKUP($C18,'IND TECH'!$L:$L,'IND TECH'!$B:$B)&amp;" "&amp;_xlfn.XLOOKUP($C18,'IND TECH'!$L:$L,'IND TECH'!$C:$C)&amp;" "&amp;_xlfn.XLOOKUP($C18,'IND TECH'!$L:$L,'IND TECH'!$D:$D)&amp;" "&amp;_xlfn.XLOOKUP($C18,'IND TECH'!$L:$L,'IND TECH'!$E:$E)&amp;" "&amp;_xlfn.XLOOKUP($C18,'IND TECH'!$L:$L,'IND TECH'!$F:$F)&amp;" "&amp;_xlfn.XLOOKUP($C18,'IND TECH'!$L:$L,'IND TECH'!$G:$G)&amp;" "&amp;_xlfn.XLOOKUP($C18,'IND TECH'!$L:$L,'IND TECH'!$H:$H)</f>
        <v xml:space="preserve">Industrial All Industries   All end use  Retrofit </v>
      </c>
      <c r="E18" t="str">
        <f t="shared" si="0"/>
        <v>TJ</v>
      </c>
      <c r="F18" t="str">
        <f t="shared" si="1"/>
        <v>MW</v>
      </c>
    </row>
    <row r="1427" spans="2:6" x14ac:dyDescent="0.25">
      <c r="B1427" t="s">
        <v>274</v>
      </c>
      <c r="C1427">
        <f>'IND TECH'!L1425</f>
        <v>0</v>
      </c>
      <c r="D1427" t="str">
        <f>'IND TECH'!A1425&amp;" "&amp;'IND TECH'!B1425&amp;" "&amp;'IND TECH'!C1425&amp;" "&amp;'IND TECH'!D1425&amp;" "&amp;'IND TECH'!E1425&amp;" "&amp;'IND TECH'!F1425&amp;" "&amp;'IND TECH'!G1425&amp;" "&amp;'IND TECH'!H1425</f>
        <v xml:space="preserve">       </v>
      </c>
      <c r="E1427" t="e">
        <f t="shared" ref="E1427:E1490" si="2">IF(F1427="Mlma","Mlm","TJ")</f>
        <v>#REF!</v>
      </c>
      <c r="F1427" t="e">
        <f>'IND TECH'!#REF!</f>
        <v>#REF!</v>
      </c>
    </row>
    <row r="1428" spans="2:6" x14ac:dyDescent="0.25">
      <c r="C1428">
        <f>'IND TECH'!L1426</f>
        <v>0</v>
      </c>
      <c r="D1428" t="str">
        <f>'IND TECH'!A1426&amp;" "&amp;'IND TECH'!B1426&amp;" "&amp;'IND TECH'!C1426&amp;" "&amp;'IND TECH'!D1426&amp;" "&amp;'IND TECH'!E1426&amp;" "&amp;'IND TECH'!F1426&amp;" "&amp;'IND TECH'!G1426&amp;" "&amp;'IND TECH'!H1426</f>
        <v xml:space="preserve">       </v>
      </c>
      <c r="E1428" t="e">
        <f t="shared" si="2"/>
        <v>#REF!</v>
      </c>
      <c r="F1428" t="e">
        <f>'IND TECH'!#REF!</f>
        <v>#REF!</v>
      </c>
    </row>
    <row r="1429" spans="2:6" x14ac:dyDescent="0.25">
      <c r="C1429">
        <f>'IND TECH'!L1427</f>
        <v>0</v>
      </c>
      <c r="D1429" t="str">
        <f>'IND TECH'!A1427&amp;" "&amp;'IND TECH'!B1427&amp;" "&amp;'IND TECH'!C1427&amp;" "&amp;'IND TECH'!D1427&amp;" "&amp;'IND TECH'!E1427&amp;" "&amp;'IND TECH'!F1427&amp;" "&amp;'IND TECH'!G1427&amp;" "&amp;'IND TECH'!H1427</f>
        <v xml:space="preserve">       </v>
      </c>
      <c r="E1429" t="e">
        <f t="shared" si="2"/>
        <v>#REF!</v>
      </c>
      <c r="F1429" t="e">
        <f>'IND TECH'!#REF!</f>
        <v>#REF!</v>
      </c>
    </row>
    <row r="1430" spans="2:6" x14ac:dyDescent="0.25">
      <c r="C1430">
        <f>'IND TECH'!L1428</f>
        <v>0</v>
      </c>
      <c r="D1430" t="str">
        <f>'IND TECH'!A1428&amp;" "&amp;'IND TECH'!B1428&amp;" "&amp;'IND TECH'!C1428&amp;" "&amp;'IND TECH'!D1428&amp;" "&amp;'IND TECH'!E1428&amp;" "&amp;'IND TECH'!F1428&amp;" "&amp;'IND TECH'!G1428&amp;" "&amp;'IND TECH'!H1428</f>
        <v xml:space="preserve">       </v>
      </c>
      <c r="E1430" t="e">
        <f t="shared" si="2"/>
        <v>#REF!</v>
      </c>
      <c r="F1430" t="e">
        <f>'IND TECH'!#REF!</f>
        <v>#REF!</v>
      </c>
    </row>
    <row r="1431" spans="2:6" x14ac:dyDescent="0.25">
      <c r="C1431">
        <f>'IND TECH'!L1429</f>
        <v>0</v>
      </c>
      <c r="D1431" t="str">
        <f>'IND TECH'!A1429&amp;" "&amp;'IND TECH'!B1429&amp;" "&amp;'IND TECH'!C1429&amp;" "&amp;'IND TECH'!D1429&amp;" "&amp;'IND TECH'!E1429&amp;" "&amp;'IND TECH'!F1429&amp;" "&amp;'IND TECH'!G1429&amp;" "&amp;'IND TECH'!H1429</f>
        <v xml:space="preserve">       </v>
      </c>
      <c r="E1431" t="e">
        <f t="shared" si="2"/>
        <v>#REF!</v>
      </c>
      <c r="F1431" t="e">
        <f>'IND TECH'!#REF!</f>
        <v>#REF!</v>
      </c>
    </row>
    <row r="1432" spans="2:6" x14ac:dyDescent="0.25">
      <c r="C1432">
        <f>'IND TECH'!L1430</f>
        <v>0</v>
      </c>
      <c r="D1432" t="str">
        <f>'IND TECH'!A1430&amp;" "&amp;'IND TECH'!B1430&amp;" "&amp;'IND TECH'!C1430&amp;" "&amp;'IND TECH'!D1430&amp;" "&amp;'IND TECH'!E1430&amp;" "&amp;'IND TECH'!F1430&amp;" "&amp;'IND TECH'!G1430&amp;" "&amp;'IND TECH'!H1430</f>
        <v xml:space="preserve">       </v>
      </c>
      <c r="E1432" t="e">
        <f t="shared" si="2"/>
        <v>#REF!</v>
      </c>
      <c r="F1432" t="e">
        <f>'IND TECH'!#REF!</f>
        <v>#REF!</v>
      </c>
    </row>
    <row r="1433" spans="2:6" x14ac:dyDescent="0.25">
      <c r="C1433">
        <f>'IND TECH'!L1431</f>
        <v>0</v>
      </c>
      <c r="D1433" t="str">
        <f>'IND TECH'!A1431&amp;" "&amp;'IND TECH'!B1431&amp;" "&amp;'IND TECH'!C1431&amp;" "&amp;'IND TECH'!D1431&amp;" "&amp;'IND TECH'!E1431&amp;" "&amp;'IND TECH'!F1431&amp;" "&amp;'IND TECH'!G1431&amp;" "&amp;'IND TECH'!H1431</f>
        <v xml:space="preserve">       </v>
      </c>
      <c r="E1433" t="e">
        <f t="shared" si="2"/>
        <v>#REF!</v>
      </c>
      <c r="F1433" t="e">
        <f>'IND TECH'!#REF!</f>
        <v>#REF!</v>
      </c>
    </row>
    <row r="1434" spans="2:6" x14ac:dyDescent="0.25">
      <c r="C1434">
        <f>'IND TECH'!L1432</f>
        <v>0</v>
      </c>
      <c r="D1434" t="str">
        <f>'IND TECH'!A1432&amp;" "&amp;'IND TECH'!B1432&amp;" "&amp;'IND TECH'!C1432&amp;" "&amp;'IND TECH'!D1432&amp;" "&amp;'IND TECH'!E1432&amp;" "&amp;'IND TECH'!F1432&amp;" "&amp;'IND TECH'!G1432&amp;" "&amp;'IND TECH'!H1432</f>
        <v xml:space="preserve">       </v>
      </c>
      <c r="E1434" t="e">
        <f t="shared" si="2"/>
        <v>#REF!</v>
      </c>
      <c r="F1434" t="e">
        <f>'IND TECH'!#REF!</f>
        <v>#REF!</v>
      </c>
    </row>
    <row r="1435" spans="2:6" x14ac:dyDescent="0.25">
      <c r="C1435">
        <f>'IND TECH'!L1433</f>
        <v>0</v>
      </c>
      <c r="D1435" t="str">
        <f>'IND TECH'!A1433&amp;" "&amp;'IND TECH'!B1433&amp;" "&amp;'IND TECH'!C1433&amp;" "&amp;'IND TECH'!D1433&amp;" "&amp;'IND TECH'!E1433&amp;" "&amp;'IND TECH'!F1433&amp;" "&amp;'IND TECH'!G1433&amp;" "&amp;'IND TECH'!H1433</f>
        <v xml:space="preserve">       </v>
      </c>
      <c r="E1435" t="e">
        <f t="shared" si="2"/>
        <v>#REF!</v>
      </c>
      <c r="F1435" t="e">
        <f>'IND TECH'!#REF!</f>
        <v>#REF!</v>
      </c>
    </row>
    <row r="1436" spans="2:6" x14ac:dyDescent="0.25">
      <c r="C1436">
        <f>'IND TECH'!L1434</f>
        <v>0</v>
      </c>
      <c r="D1436" t="str">
        <f>'IND TECH'!A1434&amp;" "&amp;'IND TECH'!B1434&amp;" "&amp;'IND TECH'!C1434&amp;" "&amp;'IND TECH'!D1434&amp;" "&amp;'IND TECH'!E1434&amp;" "&amp;'IND TECH'!F1434&amp;" "&amp;'IND TECH'!G1434&amp;" "&amp;'IND TECH'!H1434</f>
        <v xml:space="preserve">       </v>
      </c>
      <c r="E1436" t="e">
        <f t="shared" si="2"/>
        <v>#REF!</v>
      </c>
      <c r="F1436" t="e">
        <f>'IND TECH'!#REF!</f>
        <v>#REF!</v>
      </c>
    </row>
    <row r="1437" spans="2:6" x14ac:dyDescent="0.25">
      <c r="C1437">
        <f>'IND TECH'!L1435</f>
        <v>0</v>
      </c>
      <c r="D1437" t="str">
        <f>'IND TECH'!A1435&amp;" "&amp;'IND TECH'!B1435&amp;" "&amp;'IND TECH'!C1435&amp;" "&amp;'IND TECH'!D1435&amp;" "&amp;'IND TECH'!E1435&amp;" "&amp;'IND TECH'!F1435&amp;" "&amp;'IND TECH'!G1435&amp;" "&amp;'IND TECH'!H1435</f>
        <v xml:space="preserve">       </v>
      </c>
      <c r="E1437" t="e">
        <f t="shared" si="2"/>
        <v>#REF!</v>
      </c>
      <c r="F1437" t="e">
        <f>'IND TECH'!#REF!</f>
        <v>#REF!</v>
      </c>
    </row>
    <row r="1438" spans="2:6" x14ac:dyDescent="0.25">
      <c r="C1438">
        <f>'IND TECH'!L1436</f>
        <v>0</v>
      </c>
      <c r="D1438" t="str">
        <f>'IND TECH'!A1436&amp;" "&amp;'IND TECH'!B1436&amp;" "&amp;'IND TECH'!C1436&amp;" "&amp;'IND TECH'!D1436&amp;" "&amp;'IND TECH'!E1436&amp;" "&amp;'IND TECH'!F1436&amp;" "&amp;'IND TECH'!G1436&amp;" "&amp;'IND TECH'!H1436</f>
        <v xml:space="preserve">       </v>
      </c>
      <c r="E1438" t="e">
        <f t="shared" si="2"/>
        <v>#REF!</v>
      </c>
      <c r="F1438" t="e">
        <f>'IND TECH'!#REF!</f>
        <v>#REF!</v>
      </c>
    </row>
    <row r="1439" spans="2:6" x14ac:dyDescent="0.25">
      <c r="C1439">
        <f>'IND TECH'!L1437</f>
        <v>0</v>
      </c>
      <c r="D1439" t="str">
        <f>'IND TECH'!A1437&amp;" "&amp;'IND TECH'!B1437&amp;" "&amp;'IND TECH'!C1437&amp;" "&amp;'IND TECH'!D1437&amp;" "&amp;'IND TECH'!E1437&amp;" "&amp;'IND TECH'!F1437&amp;" "&amp;'IND TECH'!G1437&amp;" "&amp;'IND TECH'!H1437</f>
        <v xml:space="preserve">       </v>
      </c>
      <c r="E1439" t="e">
        <f t="shared" si="2"/>
        <v>#REF!</v>
      </c>
      <c r="F1439" t="e">
        <f>'IND TECH'!#REF!</f>
        <v>#REF!</v>
      </c>
    </row>
    <row r="1440" spans="2:6" x14ac:dyDescent="0.25">
      <c r="C1440">
        <f>'IND TECH'!L1438</f>
        <v>0</v>
      </c>
      <c r="D1440" t="str">
        <f>'IND TECH'!A1438&amp;" "&amp;'IND TECH'!B1438&amp;" "&amp;'IND TECH'!C1438&amp;" "&amp;'IND TECH'!D1438&amp;" "&amp;'IND TECH'!E1438&amp;" "&amp;'IND TECH'!F1438&amp;" "&amp;'IND TECH'!G1438&amp;" "&amp;'IND TECH'!H1438</f>
        <v xml:space="preserve">       </v>
      </c>
      <c r="E1440" t="e">
        <f t="shared" si="2"/>
        <v>#REF!</v>
      </c>
      <c r="F1440" t="e">
        <f>'IND TECH'!#REF!</f>
        <v>#REF!</v>
      </c>
    </row>
    <row r="1441" spans="3:6" x14ac:dyDescent="0.25">
      <c r="C1441">
        <f>'IND TECH'!L1439</f>
        <v>0</v>
      </c>
      <c r="D1441" t="str">
        <f>'IND TECH'!A1439&amp;" "&amp;'IND TECH'!B1439&amp;" "&amp;'IND TECH'!C1439&amp;" "&amp;'IND TECH'!D1439&amp;" "&amp;'IND TECH'!E1439&amp;" "&amp;'IND TECH'!F1439&amp;" "&amp;'IND TECH'!G1439&amp;" "&amp;'IND TECH'!H1439</f>
        <v xml:space="preserve">       </v>
      </c>
      <c r="E1441" t="e">
        <f t="shared" si="2"/>
        <v>#REF!</v>
      </c>
      <c r="F1441" t="e">
        <f>'IND TECH'!#REF!</f>
        <v>#REF!</v>
      </c>
    </row>
    <row r="1442" spans="3:6" x14ac:dyDescent="0.25">
      <c r="C1442">
        <f>'IND TECH'!L1440</f>
        <v>0</v>
      </c>
      <c r="D1442" t="str">
        <f>'IND TECH'!A1440&amp;" "&amp;'IND TECH'!B1440&amp;" "&amp;'IND TECH'!C1440&amp;" "&amp;'IND TECH'!D1440&amp;" "&amp;'IND TECH'!E1440&amp;" "&amp;'IND TECH'!F1440&amp;" "&amp;'IND TECH'!G1440&amp;" "&amp;'IND TECH'!H1440</f>
        <v xml:space="preserve">       </v>
      </c>
      <c r="E1442" t="e">
        <f t="shared" si="2"/>
        <v>#REF!</v>
      </c>
      <c r="F1442" t="e">
        <f>'IND TECH'!#REF!</f>
        <v>#REF!</v>
      </c>
    </row>
    <row r="1443" spans="3:6" x14ac:dyDescent="0.25">
      <c r="C1443">
        <f>'IND TECH'!L1441</f>
        <v>0</v>
      </c>
      <c r="D1443" t="str">
        <f>'IND TECH'!A1441&amp;" "&amp;'IND TECH'!B1441&amp;" "&amp;'IND TECH'!C1441&amp;" "&amp;'IND TECH'!D1441&amp;" "&amp;'IND TECH'!E1441&amp;" "&amp;'IND TECH'!F1441&amp;" "&amp;'IND TECH'!G1441&amp;" "&amp;'IND TECH'!H1441</f>
        <v xml:space="preserve">       </v>
      </c>
      <c r="E1443" t="e">
        <f t="shared" si="2"/>
        <v>#REF!</v>
      </c>
      <c r="F1443" t="e">
        <f>'IND TECH'!#REF!</f>
        <v>#REF!</v>
      </c>
    </row>
    <row r="1444" spans="3:6" x14ac:dyDescent="0.25">
      <c r="C1444">
        <f>'IND TECH'!L1442</f>
        <v>0</v>
      </c>
      <c r="D1444" t="str">
        <f>'IND TECH'!A1442&amp;" "&amp;'IND TECH'!B1442&amp;" "&amp;'IND TECH'!C1442&amp;" "&amp;'IND TECH'!D1442&amp;" "&amp;'IND TECH'!E1442&amp;" "&amp;'IND TECH'!F1442&amp;" "&amp;'IND TECH'!G1442&amp;" "&amp;'IND TECH'!H1442</f>
        <v xml:space="preserve">       </v>
      </c>
      <c r="E1444" t="e">
        <f t="shared" si="2"/>
        <v>#REF!</v>
      </c>
      <c r="F1444" t="e">
        <f>'IND TECH'!#REF!</f>
        <v>#REF!</v>
      </c>
    </row>
    <row r="1445" spans="3:6" x14ac:dyDescent="0.25">
      <c r="C1445">
        <f>'IND TECH'!L1443</f>
        <v>0</v>
      </c>
      <c r="D1445" t="str">
        <f>'IND TECH'!A1443&amp;" "&amp;'IND TECH'!B1443&amp;" "&amp;'IND TECH'!C1443&amp;" "&amp;'IND TECH'!D1443&amp;" "&amp;'IND TECH'!E1443&amp;" "&amp;'IND TECH'!F1443&amp;" "&amp;'IND TECH'!G1443&amp;" "&amp;'IND TECH'!H1443</f>
        <v xml:space="preserve">       </v>
      </c>
      <c r="E1445" t="e">
        <f t="shared" si="2"/>
        <v>#REF!</v>
      </c>
      <c r="F1445" t="e">
        <f>'IND TECH'!#REF!</f>
        <v>#REF!</v>
      </c>
    </row>
    <row r="1446" spans="3:6" x14ac:dyDescent="0.25">
      <c r="C1446">
        <f>'IND TECH'!L1444</f>
        <v>0</v>
      </c>
      <c r="D1446" t="str">
        <f>'IND TECH'!A1444&amp;" "&amp;'IND TECH'!B1444&amp;" "&amp;'IND TECH'!C1444&amp;" "&amp;'IND TECH'!D1444&amp;" "&amp;'IND TECH'!E1444&amp;" "&amp;'IND TECH'!F1444&amp;" "&amp;'IND TECH'!G1444&amp;" "&amp;'IND TECH'!H1444</f>
        <v xml:space="preserve">       </v>
      </c>
      <c r="E1446" t="e">
        <f t="shared" si="2"/>
        <v>#REF!</v>
      </c>
      <c r="F1446" t="e">
        <f>'IND TECH'!#REF!</f>
        <v>#REF!</v>
      </c>
    </row>
    <row r="1447" spans="3:6" x14ac:dyDescent="0.25">
      <c r="C1447">
        <f>'IND TECH'!L1445</f>
        <v>0</v>
      </c>
      <c r="D1447" t="str">
        <f>'IND TECH'!A1445&amp;" "&amp;'IND TECH'!B1445&amp;" "&amp;'IND TECH'!C1445&amp;" "&amp;'IND TECH'!D1445&amp;" "&amp;'IND TECH'!E1445&amp;" "&amp;'IND TECH'!F1445&amp;" "&amp;'IND TECH'!G1445&amp;" "&amp;'IND TECH'!H1445</f>
        <v xml:space="preserve">       </v>
      </c>
      <c r="E1447" t="e">
        <f t="shared" si="2"/>
        <v>#REF!</v>
      </c>
      <c r="F1447" t="e">
        <f>'IND TECH'!#REF!</f>
        <v>#REF!</v>
      </c>
    </row>
    <row r="1448" spans="3:6" x14ac:dyDescent="0.25">
      <c r="C1448">
        <f>'IND TECH'!L1446</f>
        <v>0</v>
      </c>
      <c r="D1448" t="str">
        <f>'IND TECH'!A1446&amp;" "&amp;'IND TECH'!B1446&amp;" "&amp;'IND TECH'!C1446&amp;" "&amp;'IND TECH'!D1446&amp;" "&amp;'IND TECH'!E1446&amp;" "&amp;'IND TECH'!F1446&amp;" "&amp;'IND TECH'!G1446&amp;" "&amp;'IND TECH'!H1446</f>
        <v xml:space="preserve">       </v>
      </c>
      <c r="E1448" t="e">
        <f t="shared" si="2"/>
        <v>#REF!</v>
      </c>
      <c r="F1448" t="e">
        <f>'IND TECH'!#REF!</f>
        <v>#REF!</v>
      </c>
    </row>
    <row r="1449" spans="3:6" x14ac:dyDescent="0.25">
      <c r="C1449">
        <f>'IND TECH'!L1447</f>
        <v>0</v>
      </c>
      <c r="D1449" t="str">
        <f>'IND TECH'!A1447&amp;" "&amp;'IND TECH'!B1447&amp;" "&amp;'IND TECH'!C1447&amp;" "&amp;'IND TECH'!D1447&amp;" "&amp;'IND TECH'!E1447&amp;" "&amp;'IND TECH'!F1447&amp;" "&amp;'IND TECH'!G1447&amp;" "&amp;'IND TECH'!H1447</f>
        <v xml:space="preserve">       </v>
      </c>
      <c r="E1449" t="e">
        <f t="shared" si="2"/>
        <v>#REF!</v>
      </c>
      <c r="F1449" t="e">
        <f>'IND TECH'!#REF!</f>
        <v>#REF!</v>
      </c>
    </row>
    <row r="1450" spans="3:6" x14ac:dyDescent="0.25">
      <c r="C1450">
        <f>'IND TECH'!L1448</f>
        <v>0</v>
      </c>
      <c r="D1450" t="str">
        <f>'IND TECH'!A1448&amp;" "&amp;'IND TECH'!B1448&amp;" "&amp;'IND TECH'!C1448&amp;" "&amp;'IND TECH'!D1448&amp;" "&amp;'IND TECH'!E1448&amp;" "&amp;'IND TECH'!F1448&amp;" "&amp;'IND TECH'!G1448&amp;" "&amp;'IND TECH'!H1448</f>
        <v xml:space="preserve">       </v>
      </c>
      <c r="E1450" t="e">
        <f t="shared" si="2"/>
        <v>#REF!</v>
      </c>
      <c r="F1450" t="e">
        <f>'IND TECH'!#REF!</f>
        <v>#REF!</v>
      </c>
    </row>
    <row r="1451" spans="3:6" x14ac:dyDescent="0.25">
      <c r="C1451">
        <f>'IND TECH'!L1449</f>
        <v>0</v>
      </c>
      <c r="D1451" t="str">
        <f>'IND TECH'!A1449&amp;" "&amp;'IND TECH'!B1449&amp;" "&amp;'IND TECH'!C1449&amp;" "&amp;'IND TECH'!D1449&amp;" "&amp;'IND TECH'!E1449&amp;" "&amp;'IND TECH'!F1449&amp;" "&amp;'IND TECH'!G1449&amp;" "&amp;'IND TECH'!H1449</f>
        <v xml:space="preserve">       </v>
      </c>
      <c r="E1451" t="e">
        <f t="shared" si="2"/>
        <v>#REF!</v>
      </c>
      <c r="F1451" t="e">
        <f>'IND TECH'!#REF!</f>
        <v>#REF!</v>
      </c>
    </row>
    <row r="1452" spans="3:6" x14ac:dyDescent="0.25">
      <c r="C1452">
        <f>'IND TECH'!L1450</f>
        <v>0</v>
      </c>
      <c r="D1452" t="str">
        <f>'IND TECH'!A1450&amp;" "&amp;'IND TECH'!B1450&amp;" "&amp;'IND TECH'!C1450&amp;" "&amp;'IND TECH'!D1450&amp;" "&amp;'IND TECH'!E1450&amp;" "&amp;'IND TECH'!F1450&amp;" "&amp;'IND TECH'!G1450&amp;" "&amp;'IND TECH'!H1450</f>
        <v xml:space="preserve">       </v>
      </c>
      <c r="E1452" t="e">
        <f t="shared" si="2"/>
        <v>#REF!</v>
      </c>
      <c r="F1452" t="e">
        <f>'IND TECH'!#REF!</f>
        <v>#REF!</v>
      </c>
    </row>
    <row r="1453" spans="3:6" x14ac:dyDescent="0.25">
      <c r="C1453">
        <f>'IND TECH'!L1451</f>
        <v>0</v>
      </c>
      <c r="D1453" t="str">
        <f>'IND TECH'!A1451&amp;" "&amp;'IND TECH'!B1451&amp;" "&amp;'IND TECH'!C1451&amp;" "&amp;'IND TECH'!D1451&amp;" "&amp;'IND TECH'!E1451&amp;" "&amp;'IND TECH'!F1451&amp;" "&amp;'IND TECH'!G1451&amp;" "&amp;'IND TECH'!H1451</f>
        <v xml:space="preserve">       </v>
      </c>
      <c r="E1453" t="e">
        <f t="shared" si="2"/>
        <v>#REF!</v>
      </c>
      <c r="F1453" t="e">
        <f>'IND TECH'!#REF!</f>
        <v>#REF!</v>
      </c>
    </row>
    <row r="1454" spans="3:6" x14ac:dyDescent="0.25">
      <c r="C1454">
        <f>'IND TECH'!L1452</f>
        <v>0</v>
      </c>
      <c r="D1454" t="str">
        <f>'IND TECH'!A1452&amp;" "&amp;'IND TECH'!B1452&amp;" "&amp;'IND TECH'!C1452&amp;" "&amp;'IND TECH'!D1452&amp;" "&amp;'IND TECH'!E1452&amp;" "&amp;'IND TECH'!F1452&amp;" "&amp;'IND TECH'!G1452&amp;" "&amp;'IND TECH'!H1452</f>
        <v xml:space="preserve">       </v>
      </c>
      <c r="E1454" t="e">
        <f t="shared" si="2"/>
        <v>#REF!</v>
      </c>
      <c r="F1454" t="e">
        <f>'IND TECH'!#REF!</f>
        <v>#REF!</v>
      </c>
    </row>
    <row r="1455" spans="3:6" x14ac:dyDescent="0.25">
      <c r="C1455">
        <f>'IND TECH'!L1453</f>
        <v>0</v>
      </c>
      <c r="D1455" t="str">
        <f>'IND TECH'!A1453&amp;" "&amp;'IND TECH'!B1453&amp;" "&amp;'IND TECH'!C1453&amp;" "&amp;'IND TECH'!D1453&amp;" "&amp;'IND TECH'!E1453&amp;" "&amp;'IND TECH'!F1453&amp;" "&amp;'IND TECH'!G1453&amp;" "&amp;'IND TECH'!H1453</f>
        <v xml:space="preserve">       </v>
      </c>
      <c r="E1455" t="e">
        <f t="shared" si="2"/>
        <v>#REF!</v>
      </c>
      <c r="F1455" t="e">
        <f>'IND TECH'!#REF!</f>
        <v>#REF!</v>
      </c>
    </row>
    <row r="1456" spans="3:6" x14ac:dyDescent="0.25">
      <c r="C1456">
        <f>'IND TECH'!L1454</f>
        <v>0</v>
      </c>
      <c r="D1456" t="str">
        <f>'IND TECH'!A1454&amp;" "&amp;'IND TECH'!B1454&amp;" "&amp;'IND TECH'!C1454&amp;" "&amp;'IND TECH'!D1454&amp;" "&amp;'IND TECH'!E1454&amp;" "&amp;'IND TECH'!F1454&amp;" "&amp;'IND TECH'!G1454&amp;" "&amp;'IND TECH'!H1454</f>
        <v xml:space="preserve">       </v>
      </c>
      <c r="E1456" t="e">
        <f t="shared" si="2"/>
        <v>#REF!</v>
      </c>
      <c r="F1456" t="e">
        <f>'IND TECH'!#REF!</f>
        <v>#REF!</v>
      </c>
    </row>
    <row r="1457" spans="3:6" x14ac:dyDescent="0.25">
      <c r="C1457">
        <f>'IND TECH'!L1455</f>
        <v>0</v>
      </c>
      <c r="D1457" t="str">
        <f>'IND TECH'!A1455&amp;" "&amp;'IND TECH'!B1455&amp;" "&amp;'IND TECH'!C1455&amp;" "&amp;'IND TECH'!D1455&amp;" "&amp;'IND TECH'!E1455&amp;" "&amp;'IND TECH'!F1455&amp;" "&amp;'IND TECH'!G1455&amp;" "&amp;'IND TECH'!H1455</f>
        <v xml:space="preserve">       </v>
      </c>
      <c r="E1457" t="e">
        <f t="shared" si="2"/>
        <v>#REF!</v>
      </c>
      <c r="F1457" t="e">
        <f>'IND TECH'!#REF!</f>
        <v>#REF!</v>
      </c>
    </row>
    <row r="1458" spans="3:6" x14ac:dyDescent="0.25">
      <c r="C1458">
        <f>'IND TECH'!L1456</f>
        <v>0</v>
      </c>
      <c r="D1458" t="str">
        <f>'IND TECH'!A1456&amp;" "&amp;'IND TECH'!B1456&amp;" "&amp;'IND TECH'!C1456&amp;" "&amp;'IND TECH'!D1456&amp;" "&amp;'IND TECH'!E1456&amp;" "&amp;'IND TECH'!F1456&amp;" "&amp;'IND TECH'!G1456&amp;" "&amp;'IND TECH'!H1456</f>
        <v xml:space="preserve">       </v>
      </c>
      <c r="E1458" t="e">
        <f t="shared" si="2"/>
        <v>#REF!</v>
      </c>
      <c r="F1458" t="e">
        <f>'IND TECH'!#REF!</f>
        <v>#REF!</v>
      </c>
    </row>
    <row r="1459" spans="3:6" x14ac:dyDescent="0.25">
      <c r="C1459">
        <f>'IND TECH'!L1457</f>
        <v>0</v>
      </c>
      <c r="D1459" t="str">
        <f>'IND TECH'!A1457&amp;" "&amp;'IND TECH'!B1457&amp;" "&amp;'IND TECH'!C1457&amp;" "&amp;'IND TECH'!D1457&amp;" "&amp;'IND TECH'!E1457&amp;" "&amp;'IND TECH'!F1457&amp;" "&amp;'IND TECH'!G1457&amp;" "&amp;'IND TECH'!H1457</f>
        <v xml:space="preserve">       </v>
      </c>
      <c r="E1459" t="e">
        <f t="shared" si="2"/>
        <v>#REF!</v>
      </c>
      <c r="F1459" t="e">
        <f>'IND TECH'!#REF!</f>
        <v>#REF!</v>
      </c>
    </row>
    <row r="1460" spans="3:6" x14ac:dyDescent="0.25">
      <c r="C1460">
        <f>'IND TECH'!L1458</f>
        <v>0</v>
      </c>
      <c r="D1460" t="str">
        <f>'IND TECH'!A1458&amp;" "&amp;'IND TECH'!B1458&amp;" "&amp;'IND TECH'!C1458&amp;" "&amp;'IND TECH'!D1458&amp;" "&amp;'IND TECH'!E1458&amp;" "&amp;'IND TECH'!F1458&amp;" "&amp;'IND TECH'!G1458&amp;" "&amp;'IND TECH'!H1458</f>
        <v xml:space="preserve">       </v>
      </c>
      <c r="E1460" t="e">
        <f t="shared" si="2"/>
        <v>#REF!</v>
      </c>
      <c r="F1460" t="e">
        <f>'IND TECH'!#REF!</f>
        <v>#REF!</v>
      </c>
    </row>
    <row r="1461" spans="3:6" x14ac:dyDescent="0.25">
      <c r="C1461">
        <f>'IND TECH'!L1459</f>
        <v>0</v>
      </c>
      <c r="D1461" t="str">
        <f>'IND TECH'!A1459&amp;" "&amp;'IND TECH'!B1459&amp;" "&amp;'IND TECH'!C1459&amp;" "&amp;'IND TECH'!D1459&amp;" "&amp;'IND TECH'!E1459&amp;" "&amp;'IND TECH'!F1459&amp;" "&amp;'IND TECH'!G1459&amp;" "&amp;'IND TECH'!H1459</f>
        <v xml:space="preserve">       </v>
      </c>
      <c r="E1461" t="e">
        <f t="shared" si="2"/>
        <v>#REF!</v>
      </c>
      <c r="F1461" t="e">
        <f>'IND TECH'!#REF!</f>
        <v>#REF!</v>
      </c>
    </row>
    <row r="1462" spans="3:6" x14ac:dyDescent="0.25">
      <c r="C1462">
        <f>'IND TECH'!L1460</f>
        <v>0</v>
      </c>
      <c r="D1462" t="str">
        <f>'IND TECH'!A1460&amp;" "&amp;'IND TECH'!B1460&amp;" "&amp;'IND TECH'!C1460&amp;" "&amp;'IND TECH'!D1460&amp;" "&amp;'IND TECH'!E1460&amp;" "&amp;'IND TECH'!F1460&amp;" "&amp;'IND TECH'!G1460&amp;" "&amp;'IND TECH'!H1460</f>
        <v xml:space="preserve">       </v>
      </c>
      <c r="E1462" t="e">
        <f t="shared" si="2"/>
        <v>#REF!</v>
      </c>
      <c r="F1462" t="e">
        <f>'IND TECH'!#REF!</f>
        <v>#REF!</v>
      </c>
    </row>
    <row r="1463" spans="3:6" x14ac:dyDescent="0.25">
      <c r="C1463">
        <f>'IND TECH'!L1461</f>
        <v>0</v>
      </c>
      <c r="D1463" t="str">
        <f>'IND TECH'!A1461&amp;" "&amp;'IND TECH'!B1461&amp;" "&amp;'IND TECH'!C1461&amp;" "&amp;'IND TECH'!D1461&amp;" "&amp;'IND TECH'!E1461&amp;" "&amp;'IND TECH'!F1461&amp;" "&amp;'IND TECH'!G1461&amp;" "&amp;'IND TECH'!H1461</f>
        <v xml:space="preserve">       </v>
      </c>
      <c r="E1463" t="e">
        <f t="shared" si="2"/>
        <v>#REF!</v>
      </c>
      <c r="F1463" t="e">
        <f>'IND TECH'!#REF!</f>
        <v>#REF!</v>
      </c>
    </row>
    <row r="1464" spans="3:6" x14ac:dyDescent="0.25">
      <c r="C1464">
        <f>'IND TECH'!L1462</f>
        <v>0</v>
      </c>
      <c r="D1464" t="str">
        <f>'IND TECH'!A1462&amp;" "&amp;'IND TECH'!B1462&amp;" "&amp;'IND TECH'!C1462&amp;" "&amp;'IND TECH'!D1462&amp;" "&amp;'IND TECH'!E1462&amp;" "&amp;'IND TECH'!F1462&amp;" "&amp;'IND TECH'!G1462&amp;" "&amp;'IND TECH'!H1462</f>
        <v xml:space="preserve">       </v>
      </c>
      <c r="E1464" t="e">
        <f t="shared" si="2"/>
        <v>#REF!</v>
      </c>
      <c r="F1464" t="e">
        <f>'IND TECH'!#REF!</f>
        <v>#REF!</v>
      </c>
    </row>
    <row r="1465" spans="3:6" x14ac:dyDescent="0.25">
      <c r="C1465">
        <f>'IND TECH'!L1463</f>
        <v>0</v>
      </c>
      <c r="D1465" t="str">
        <f>'IND TECH'!A1463&amp;" "&amp;'IND TECH'!B1463&amp;" "&amp;'IND TECH'!C1463&amp;" "&amp;'IND TECH'!D1463&amp;" "&amp;'IND TECH'!E1463&amp;" "&amp;'IND TECH'!F1463&amp;" "&amp;'IND TECH'!G1463&amp;" "&amp;'IND TECH'!H1463</f>
        <v xml:space="preserve">       </v>
      </c>
      <c r="E1465" t="e">
        <f t="shared" si="2"/>
        <v>#REF!</v>
      </c>
      <c r="F1465" t="e">
        <f>'IND TECH'!#REF!</f>
        <v>#REF!</v>
      </c>
    </row>
    <row r="1466" spans="3:6" x14ac:dyDescent="0.25">
      <c r="C1466">
        <f>'IND TECH'!L1464</f>
        <v>0</v>
      </c>
      <c r="D1466" t="str">
        <f>'IND TECH'!A1464&amp;" "&amp;'IND TECH'!B1464&amp;" "&amp;'IND TECH'!C1464&amp;" "&amp;'IND TECH'!D1464&amp;" "&amp;'IND TECH'!E1464&amp;" "&amp;'IND TECH'!F1464&amp;" "&amp;'IND TECH'!G1464&amp;" "&amp;'IND TECH'!H1464</f>
        <v xml:space="preserve">       </v>
      </c>
      <c r="E1466" t="e">
        <f t="shared" si="2"/>
        <v>#REF!</v>
      </c>
      <c r="F1466" t="e">
        <f>'IND TECH'!#REF!</f>
        <v>#REF!</v>
      </c>
    </row>
    <row r="1467" spans="3:6" x14ac:dyDescent="0.25">
      <c r="C1467">
        <f>'IND TECH'!L1465</f>
        <v>0</v>
      </c>
      <c r="D1467" t="str">
        <f>'IND TECH'!A1465&amp;" "&amp;'IND TECH'!B1465&amp;" "&amp;'IND TECH'!C1465&amp;" "&amp;'IND TECH'!D1465&amp;" "&amp;'IND TECH'!E1465&amp;" "&amp;'IND TECH'!F1465&amp;" "&amp;'IND TECH'!G1465&amp;" "&amp;'IND TECH'!H1465</f>
        <v xml:space="preserve">       </v>
      </c>
      <c r="E1467" t="e">
        <f t="shared" si="2"/>
        <v>#REF!</v>
      </c>
      <c r="F1467" t="e">
        <f>'IND TECH'!#REF!</f>
        <v>#REF!</v>
      </c>
    </row>
    <row r="1468" spans="3:6" x14ac:dyDescent="0.25">
      <c r="C1468">
        <f>'IND TECH'!L1466</f>
        <v>0</v>
      </c>
      <c r="D1468" t="str">
        <f>'IND TECH'!A1466&amp;" "&amp;'IND TECH'!B1466&amp;" "&amp;'IND TECH'!C1466&amp;" "&amp;'IND TECH'!D1466&amp;" "&amp;'IND TECH'!E1466&amp;" "&amp;'IND TECH'!F1466&amp;" "&amp;'IND TECH'!G1466&amp;" "&amp;'IND TECH'!H1466</f>
        <v xml:space="preserve">       </v>
      </c>
      <c r="E1468" t="e">
        <f t="shared" si="2"/>
        <v>#REF!</v>
      </c>
      <c r="F1468" t="e">
        <f>'IND TECH'!#REF!</f>
        <v>#REF!</v>
      </c>
    </row>
    <row r="1469" spans="3:6" x14ac:dyDescent="0.25">
      <c r="C1469">
        <f>'IND TECH'!L1467</f>
        <v>0</v>
      </c>
      <c r="D1469" t="str">
        <f>'IND TECH'!A1467&amp;" "&amp;'IND TECH'!B1467&amp;" "&amp;'IND TECH'!C1467&amp;" "&amp;'IND TECH'!D1467&amp;" "&amp;'IND TECH'!E1467&amp;" "&amp;'IND TECH'!F1467&amp;" "&amp;'IND TECH'!G1467&amp;" "&amp;'IND TECH'!H1467</f>
        <v xml:space="preserve">       </v>
      </c>
      <c r="E1469" t="e">
        <f t="shared" si="2"/>
        <v>#REF!</v>
      </c>
      <c r="F1469" t="e">
        <f>'IND TECH'!#REF!</f>
        <v>#REF!</v>
      </c>
    </row>
    <row r="1470" spans="3:6" x14ac:dyDescent="0.25">
      <c r="C1470">
        <f>'IND TECH'!L1468</f>
        <v>0</v>
      </c>
      <c r="D1470" t="str">
        <f>'IND TECH'!A1468&amp;" "&amp;'IND TECH'!B1468&amp;" "&amp;'IND TECH'!C1468&amp;" "&amp;'IND TECH'!D1468&amp;" "&amp;'IND TECH'!E1468&amp;" "&amp;'IND TECH'!F1468&amp;" "&amp;'IND TECH'!G1468&amp;" "&amp;'IND TECH'!H1468</f>
        <v xml:space="preserve">       </v>
      </c>
      <c r="E1470" t="e">
        <f t="shared" si="2"/>
        <v>#REF!</v>
      </c>
      <c r="F1470" t="e">
        <f>'IND TECH'!#REF!</f>
        <v>#REF!</v>
      </c>
    </row>
    <row r="1471" spans="3:6" x14ac:dyDescent="0.25">
      <c r="C1471">
        <f>'IND TECH'!L1469</f>
        <v>0</v>
      </c>
      <c r="D1471" t="str">
        <f>'IND TECH'!A1469&amp;" "&amp;'IND TECH'!B1469&amp;" "&amp;'IND TECH'!C1469&amp;" "&amp;'IND TECH'!D1469&amp;" "&amp;'IND TECH'!E1469&amp;" "&amp;'IND TECH'!F1469&amp;" "&amp;'IND TECH'!G1469&amp;" "&amp;'IND TECH'!H1469</f>
        <v xml:space="preserve">       </v>
      </c>
      <c r="E1471" t="e">
        <f t="shared" si="2"/>
        <v>#REF!</v>
      </c>
      <c r="F1471" t="e">
        <f>'IND TECH'!#REF!</f>
        <v>#REF!</v>
      </c>
    </row>
    <row r="1472" spans="3:6" x14ac:dyDescent="0.25">
      <c r="C1472">
        <f>'IND TECH'!L1470</f>
        <v>0</v>
      </c>
      <c r="D1472" t="str">
        <f>'IND TECH'!A1470&amp;" "&amp;'IND TECH'!B1470&amp;" "&amp;'IND TECH'!C1470&amp;" "&amp;'IND TECH'!D1470&amp;" "&amp;'IND TECH'!E1470&amp;" "&amp;'IND TECH'!F1470&amp;" "&amp;'IND TECH'!G1470&amp;" "&amp;'IND TECH'!H1470</f>
        <v xml:space="preserve">       </v>
      </c>
      <c r="E1472" t="e">
        <f t="shared" si="2"/>
        <v>#REF!</v>
      </c>
      <c r="F1472" t="e">
        <f>'IND TECH'!#REF!</f>
        <v>#REF!</v>
      </c>
    </row>
    <row r="1473" spans="3:6" x14ac:dyDescent="0.25">
      <c r="C1473">
        <f>'IND TECH'!L1471</f>
        <v>0</v>
      </c>
      <c r="D1473" t="str">
        <f>'IND TECH'!A1471&amp;" "&amp;'IND TECH'!B1471&amp;" "&amp;'IND TECH'!C1471&amp;" "&amp;'IND TECH'!D1471&amp;" "&amp;'IND TECH'!E1471&amp;" "&amp;'IND TECH'!F1471&amp;" "&amp;'IND TECH'!G1471&amp;" "&amp;'IND TECH'!H1471</f>
        <v xml:space="preserve">       </v>
      </c>
      <c r="E1473" t="e">
        <f t="shared" si="2"/>
        <v>#REF!</v>
      </c>
      <c r="F1473" t="e">
        <f>'IND TECH'!#REF!</f>
        <v>#REF!</v>
      </c>
    </row>
    <row r="1474" spans="3:6" x14ac:dyDescent="0.25">
      <c r="C1474">
        <f>'IND TECH'!L1472</f>
        <v>0</v>
      </c>
      <c r="D1474" t="str">
        <f>'IND TECH'!A1472&amp;" "&amp;'IND TECH'!B1472&amp;" "&amp;'IND TECH'!C1472&amp;" "&amp;'IND TECH'!D1472&amp;" "&amp;'IND TECH'!E1472&amp;" "&amp;'IND TECH'!F1472&amp;" "&amp;'IND TECH'!G1472&amp;" "&amp;'IND TECH'!H1472</f>
        <v xml:space="preserve">       </v>
      </c>
      <c r="E1474" t="e">
        <f t="shared" si="2"/>
        <v>#REF!</v>
      </c>
      <c r="F1474" t="e">
        <f>'IND TECH'!#REF!</f>
        <v>#REF!</v>
      </c>
    </row>
    <row r="1475" spans="3:6" x14ac:dyDescent="0.25">
      <c r="C1475">
        <f>'IND TECH'!L1473</f>
        <v>0</v>
      </c>
      <c r="D1475" t="str">
        <f>'IND TECH'!A1473&amp;" "&amp;'IND TECH'!B1473&amp;" "&amp;'IND TECH'!C1473&amp;" "&amp;'IND TECH'!D1473&amp;" "&amp;'IND TECH'!E1473&amp;" "&amp;'IND TECH'!F1473&amp;" "&amp;'IND TECH'!G1473&amp;" "&amp;'IND TECH'!H1473</f>
        <v xml:space="preserve">       </v>
      </c>
      <c r="E1475" t="e">
        <f t="shared" si="2"/>
        <v>#REF!</v>
      </c>
      <c r="F1475" t="e">
        <f>'IND TECH'!#REF!</f>
        <v>#REF!</v>
      </c>
    </row>
    <row r="1476" spans="3:6" x14ac:dyDescent="0.25">
      <c r="C1476">
        <f>'IND TECH'!L1474</f>
        <v>0</v>
      </c>
      <c r="D1476" t="str">
        <f>'IND TECH'!A1474&amp;" "&amp;'IND TECH'!B1474&amp;" "&amp;'IND TECH'!C1474&amp;" "&amp;'IND TECH'!D1474&amp;" "&amp;'IND TECH'!E1474&amp;" "&amp;'IND TECH'!F1474&amp;" "&amp;'IND TECH'!G1474&amp;" "&amp;'IND TECH'!H1474</f>
        <v xml:space="preserve">       </v>
      </c>
      <c r="E1476" t="e">
        <f t="shared" si="2"/>
        <v>#REF!</v>
      </c>
      <c r="F1476" t="e">
        <f>'IND TECH'!#REF!</f>
        <v>#REF!</v>
      </c>
    </row>
    <row r="1477" spans="3:6" x14ac:dyDescent="0.25">
      <c r="C1477">
        <f>'IND TECH'!L1475</f>
        <v>0</v>
      </c>
      <c r="D1477" t="str">
        <f>'IND TECH'!A1475&amp;" "&amp;'IND TECH'!B1475&amp;" "&amp;'IND TECH'!C1475&amp;" "&amp;'IND TECH'!D1475&amp;" "&amp;'IND TECH'!E1475&amp;" "&amp;'IND TECH'!F1475&amp;" "&amp;'IND TECH'!G1475&amp;" "&amp;'IND TECH'!H1475</f>
        <v xml:space="preserve">       </v>
      </c>
      <c r="E1477" t="e">
        <f t="shared" si="2"/>
        <v>#REF!</v>
      </c>
      <c r="F1477" t="e">
        <f>'IND TECH'!#REF!</f>
        <v>#REF!</v>
      </c>
    </row>
    <row r="1478" spans="3:6" x14ac:dyDescent="0.25">
      <c r="C1478">
        <f>'IND TECH'!L1476</f>
        <v>0</v>
      </c>
      <c r="D1478" t="str">
        <f>'IND TECH'!A1476&amp;" "&amp;'IND TECH'!B1476&amp;" "&amp;'IND TECH'!C1476&amp;" "&amp;'IND TECH'!D1476&amp;" "&amp;'IND TECH'!E1476&amp;" "&amp;'IND TECH'!F1476&amp;" "&amp;'IND TECH'!G1476&amp;" "&amp;'IND TECH'!H1476</f>
        <v xml:space="preserve">       </v>
      </c>
      <c r="E1478" t="e">
        <f t="shared" si="2"/>
        <v>#REF!</v>
      </c>
      <c r="F1478" t="e">
        <f>'IND TECH'!#REF!</f>
        <v>#REF!</v>
      </c>
    </row>
    <row r="1479" spans="3:6" x14ac:dyDescent="0.25">
      <c r="C1479">
        <f>'IND TECH'!L1477</f>
        <v>0</v>
      </c>
      <c r="D1479" t="str">
        <f>'IND TECH'!A1477&amp;" "&amp;'IND TECH'!B1477&amp;" "&amp;'IND TECH'!C1477&amp;" "&amp;'IND TECH'!D1477&amp;" "&amp;'IND TECH'!E1477&amp;" "&amp;'IND TECH'!F1477&amp;" "&amp;'IND TECH'!G1477&amp;" "&amp;'IND TECH'!H1477</f>
        <v xml:space="preserve">       </v>
      </c>
      <c r="E1479" t="e">
        <f t="shared" si="2"/>
        <v>#REF!</v>
      </c>
      <c r="F1479" t="e">
        <f>'IND TECH'!#REF!</f>
        <v>#REF!</v>
      </c>
    </row>
    <row r="1480" spans="3:6" x14ac:dyDescent="0.25">
      <c r="C1480">
        <f>'IND TECH'!L1478</f>
        <v>0</v>
      </c>
      <c r="D1480" t="str">
        <f>'IND TECH'!A1478&amp;" "&amp;'IND TECH'!B1478&amp;" "&amp;'IND TECH'!C1478&amp;" "&amp;'IND TECH'!D1478&amp;" "&amp;'IND TECH'!E1478&amp;" "&amp;'IND TECH'!F1478&amp;" "&amp;'IND TECH'!G1478&amp;" "&amp;'IND TECH'!H1478</f>
        <v xml:space="preserve">       </v>
      </c>
      <c r="E1480" t="e">
        <f t="shared" si="2"/>
        <v>#REF!</v>
      </c>
      <c r="F1480" t="e">
        <f>'IND TECH'!#REF!</f>
        <v>#REF!</v>
      </c>
    </row>
    <row r="1481" spans="3:6" x14ac:dyDescent="0.25">
      <c r="C1481">
        <f>'IND TECH'!L1479</f>
        <v>0</v>
      </c>
      <c r="D1481" t="str">
        <f>'IND TECH'!A1479&amp;" "&amp;'IND TECH'!B1479&amp;" "&amp;'IND TECH'!C1479&amp;" "&amp;'IND TECH'!D1479&amp;" "&amp;'IND TECH'!E1479&amp;" "&amp;'IND TECH'!F1479&amp;" "&amp;'IND TECH'!G1479&amp;" "&amp;'IND TECH'!H1479</f>
        <v xml:space="preserve">       </v>
      </c>
      <c r="E1481" t="e">
        <f t="shared" si="2"/>
        <v>#REF!</v>
      </c>
      <c r="F1481" t="e">
        <f>'IND TECH'!#REF!</f>
        <v>#REF!</v>
      </c>
    </row>
    <row r="1482" spans="3:6" x14ac:dyDescent="0.25">
      <c r="C1482">
        <f>'IND TECH'!L1480</f>
        <v>0</v>
      </c>
      <c r="D1482" t="str">
        <f>'IND TECH'!A1480&amp;" "&amp;'IND TECH'!B1480&amp;" "&amp;'IND TECH'!C1480&amp;" "&amp;'IND TECH'!D1480&amp;" "&amp;'IND TECH'!E1480&amp;" "&amp;'IND TECH'!F1480&amp;" "&amp;'IND TECH'!G1480&amp;" "&amp;'IND TECH'!H1480</f>
        <v xml:space="preserve">       </v>
      </c>
      <c r="E1482" t="e">
        <f t="shared" si="2"/>
        <v>#REF!</v>
      </c>
      <c r="F1482" t="e">
        <f>'IND TECH'!#REF!</f>
        <v>#REF!</v>
      </c>
    </row>
    <row r="1483" spans="3:6" x14ac:dyDescent="0.25">
      <c r="C1483">
        <f>'IND TECH'!L1481</f>
        <v>0</v>
      </c>
      <c r="D1483" t="str">
        <f>'IND TECH'!A1481&amp;" "&amp;'IND TECH'!B1481&amp;" "&amp;'IND TECH'!C1481&amp;" "&amp;'IND TECH'!D1481&amp;" "&amp;'IND TECH'!E1481&amp;" "&amp;'IND TECH'!F1481&amp;" "&amp;'IND TECH'!G1481&amp;" "&amp;'IND TECH'!H1481</f>
        <v xml:space="preserve">       </v>
      </c>
      <c r="E1483" t="e">
        <f t="shared" si="2"/>
        <v>#REF!</v>
      </c>
      <c r="F1483" t="e">
        <f>'IND TECH'!#REF!</f>
        <v>#REF!</v>
      </c>
    </row>
    <row r="1484" spans="3:6" x14ac:dyDescent="0.25">
      <c r="C1484">
        <f>'IND TECH'!L1482</f>
        <v>0</v>
      </c>
      <c r="D1484" t="str">
        <f>'IND TECH'!A1482&amp;" "&amp;'IND TECH'!B1482&amp;" "&amp;'IND TECH'!C1482&amp;" "&amp;'IND TECH'!D1482&amp;" "&amp;'IND TECH'!E1482&amp;" "&amp;'IND TECH'!F1482&amp;" "&amp;'IND TECH'!G1482&amp;" "&amp;'IND TECH'!H1482</f>
        <v xml:space="preserve">       </v>
      </c>
      <c r="E1484" t="e">
        <f t="shared" si="2"/>
        <v>#REF!</v>
      </c>
      <c r="F1484" t="e">
        <f>'IND TECH'!#REF!</f>
        <v>#REF!</v>
      </c>
    </row>
    <row r="1485" spans="3:6" x14ac:dyDescent="0.25">
      <c r="C1485">
        <f>'IND TECH'!L1483</f>
        <v>0</v>
      </c>
      <c r="D1485" t="str">
        <f>'IND TECH'!A1483&amp;" "&amp;'IND TECH'!B1483&amp;" "&amp;'IND TECH'!C1483&amp;" "&amp;'IND TECH'!D1483&amp;" "&amp;'IND TECH'!E1483&amp;" "&amp;'IND TECH'!F1483&amp;" "&amp;'IND TECH'!G1483&amp;" "&amp;'IND TECH'!H1483</f>
        <v xml:space="preserve">       </v>
      </c>
      <c r="E1485" t="e">
        <f t="shared" si="2"/>
        <v>#REF!</v>
      </c>
      <c r="F1485" t="e">
        <f>'IND TECH'!#REF!</f>
        <v>#REF!</v>
      </c>
    </row>
    <row r="1486" spans="3:6" x14ac:dyDescent="0.25">
      <c r="C1486">
        <f>'IND TECH'!L1484</f>
        <v>0</v>
      </c>
      <c r="D1486" t="str">
        <f>'IND TECH'!A1484&amp;" "&amp;'IND TECH'!B1484&amp;" "&amp;'IND TECH'!C1484&amp;" "&amp;'IND TECH'!D1484&amp;" "&amp;'IND TECH'!E1484&amp;" "&amp;'IND TECH'!F1484&amp;" "&amp;'IND TECH'!G1484&amp;" "&amp;'IND TECH'!H1484</f>
        <v xml:space="preserve">       </v>
      </c>
      <c r="E1486" t="e">
        <f t="shared" si="2"/>
        <v>#REF!</v>
      </c>
      <c r="F1486" t="e">
        <f>'IND TECH'!#REF!</f>
        <v>#REF!</v>
      </c>
    </row>
    <row r="1487" spans="3:6" x14ac:dyDescent="0.25">
      <c r="C1487">
        <f>'IND TECH'!L1485</f>
        <v>0</v>
      </c>
      <c r="D1487" t="str">
        <f>'IND TECH'!A1485&amp;" "&amp;'IND TECH'!B1485&amp;" "&amp;'IND TECH'!C1485&amp;" "&amp;'IND TECH'!D1485&amp;" "&amp;'IND TECH'!E1485&amp;" "&amp;'IND TECH'!F1485&amp;" "&amp;'IND TECH'!G1485&amp;" "&amp;'IND TECH'!H1485</f>
        <v xml:space="preserve">       </v>
      </c>
      <c r="E1487" t="e">
        <f t="shared" si="2"/>
        <v>#REF!</v>
      </c>
      <c r="F1487" t="e">
        <f>'IND TECH'!#REF!</f>
        <v>#REF!</v>
      </c>
    </row>
    <row r="1488" spans="3:6" x14ac:dyDescent="0.25">
      <c r="C1488">
        <f>'IND TECH'!L1486</f>
        <v>0</v>
      </c>
      <c r="D1488" t="str">
        <f>'IND TECH'!A1486&amp;" "&amp;'IND TECH'!B1486&amp;" "&amp;'IND TECH'!C1486&amp;" "&amp;'IND TECH'!D1486&amp;" "&amp;'IND TECH'!E1486&amp;" "&amp;'IND TECH'!F1486&amp;" "&amp;'IND TECH'!G1486&amp;" "&amp;'IND TECH'!H1486</f>
        <v xml:space="preserve">       </v>
      </c>
      <c r="E1488" t="e">
        <f t="shared" si="2"/>
        <v>#REF!</v>
      </c>
      <c r="F1488" t="e">
        <f>'IND TECH'!#REF!</f>
        <v>#REF!</v>
      </c>
    </row>
    <row r="1489" spans="3:6" x14ac:dyDescent="0.25">
      <c r="C1489">
        <f>'IND TECH'!L1487</f>
        <v>0</v>
      </c>
      <c r="D1489" t="str">
        <f>'IND TECH'!A1487&amp;" "&amp;'IND TECH'!B1487&amp;" "&amp;'IND TECH'!C1487&amp;" "&amp;'IND TECH'!D1487&amp;" "&amp;'IND TECH'!E1487&amp;" "&amp;'IND TECH'!F1487&amp;" "&amp;'IND TECH'!G1487&amp;" "&amp;'IND TECH'!H1487</f>
        <v xml:space="preserve">       </v>
      </c>
      <c r="E1489" t="e">
        <f t="shared" si="2"/>
        <v>#REF!</v>
      </c>
      <c r="F1489" t="e">
        <f>'IND TECH'!#REF!</f>
        <v>#REF!</v>
      </c>
    </row>
    <row r="1490" spans="3:6" x14ac:dyDescent="0.25">
      <c r="C1490">
        <f>'IND TECH'!L1488</f>
        <v>0</v>
      </c>
      <c r="D1490" t="str">
        <f>'IND TECH'!A1488&amp;" "&amp;'IND TECH'!B1488&amp;" "&amp;'IND TECH'!C1488&amp;" "&amp;'IND TECH'!D1488&amp;" "&amp;'IND TECH'!E1488&amp;" "&amp;'IND TECH'!F1488&amp;" "&amp;'IND TECH'!G1488&amp;" "&amp;'IND TECH'!H1488</f>
        <v xml:space="preserve">       </v>
      </c>
      <c r="E1490" t="e">
        <f t="shared" si="2"/>
        <v>#REF!</v>
      </c>
      <c r="F1490" t="e">
        <f>'IND TECH'!#REF!</f>
        <v>#REF!</v>
      </c>
    </row>
    <row r="1491" spans="3:6" x14ac:dyDescent="0.25">
      <c r="C1491">
        <f>'IND TECH'!L1489</f>
        <v>0</v>
      </c>
      <c r="D1491" t="str">
        <f>'IND TECH'!A1489&amp;" "&amp;'IND TECH'!B1489&amp;" "&amp;'IND TECH'!C1489&amp;" "&amp;'IND TECH'!D1489&amp;" "&amp;'IND TECH'!E1489&amp;" "&amp;'IND TECH'!F1489&amp;" "&amp;'IND TECH'!G1489&amp;" "&amp;'IND TECH'!H1489</f>
        <v xml:space="preserve">       </v>
      </c>
      <c r="E1491" t="e">
        <f t="shared" ref="E1491:E1554" si="3">IF(F1491="Mlma","Mlm","TJ")</f>
        <v>#REF!</v>
      </c>
      <c r="F1491" t="e">
        <f>'IND TECH'!#REF!</f>
        <v>#REF!</v>
      </c>
    </row>
    <row r="1492" spans="3:6" x14ac:dyDescent="0.25">
      <c r="C1492">
        <f>'IND TECH'!L1490</f>
        <v>0</v>
      </c>
      <c r="D1492" t="str">
        <f>'IND TECH'!A1490&amp;" "&amp;'IND TECH'!B1490&amp;" "&amp;'IND TECH'!C1490&amp;" "&amp;'IND TECH'!D1490&amp;" "&amp;'IND TECH'!E1490&amp;" "&amp;'IND TECH'!F1490&amp;" "&amp;'IND TECH'!G1490&amp;" "&amp;'IND TECH'!H1490</f>
        <v xml:space="preserve">       </v>
      </c>
      <c r="E1492" t="e">
        <f t="shared" si="3"/>
        <v>#REF!</v>
      </c>
      <c r="F1492" t="e">
        <f>'IND TECH'!#REF!</f>
        <v>#REF!</v>
      </c>
    </row>
    <row r="1493" spans="3:6" x14ac:dyDescent="0.25">
      <c r="C1493">
        <f>'IND TECH'!L1491</f>
        <v>0</v>
      </c>
      <c r="D1493" t="str">
        <f>'IND TECH'!A1491&amp;" "&amp;'IND TECH'!B1491&amp;" "&amp;'IND TECH'!C1491&amp;" "&amp;'IND TECH'!D1491&amp;" "&amp;'IND TECH'!E1491&amp;" "&amp;'IND TECH'!F1491&amp;" "&amp;'IND TECH'!G1491&amp;" "&amp;'IND TECH'!H1491</f>
        <v xml:space="preserve">       </v>
      </c>
      <c r="E1493" t="e">
        <f t="shared" si="3"/>
        <v>#REF!</v>
      </c>
      <c r="F1493" t="e">
        <f>'IND TECH'!#REF!</f>
        <v>#REF!</v>
      </c>
    </row>
    <row r="1494" spans="3:6" x14ac:dyDescent="0.25">
      <c r="C1494">
        <f>'IND TECH'!L1492</f>
        <v>0</v>
      </c>
      <c r="D1494" t="str">
        <f>'IND TECH'!A1492&amp;" "&amp;'IND TECH'!B1492&amp;" "&amp;'IND TECH'!C1492&amp;" "&amp;'IND TECH'!D1492&amp;" "&amp;'IND TECH'!E1492&amp;" "&amp;'IND TECH'!F1492&amp;" "&amp;'IND TECH'!G1492&amp;" "&amp;'IND TECH'!H1492</f>
        <v xml:space="preserve">       </v>
      </c>
      <c r="E1494" t="e">
        <f t="shared" si="3"/>
        <v>#REF!</v>
      </c>
      <c r="F1494" t="e">
        <f>'IND TECH'!#REF!</f>
        <v>#REF!</v>
      </c>
    </row>
    <row r="1495" spans="3:6" x14ac:dyDescent="0.25">
      <c r="C1495">
        <f>'IND TECH'!L1493</f>
        <v>0</v>
      </c>
      <c r="D1495" t="str">
        <f>'IND TECH'!A1493&amp;" "&amp;'IND TECH'!B1493&amp;" "&amp;'IND TECH'!C1493&amp;" "&amp;'IND TECH'!D1493&amp;" "&amp;'IND TECH'!E1493&amp;" "&amp;'IND TECH'!F1493&amp;" "&amp;'IND TECH'!G1493&amp;" "&amp;'IND TECH'!H1493</f>
        <v xml:space="preserve">       </v>
      </c>
      <c r="E1495" t="e">
        <f t="shared" si="3"/>
        <v>#REF!</v>
      </c>
      <c r="F1495" t="e">
        <f>'IND TECH'!#REF!</f>
        <v>#REF!</v>
      </c>
    </row>
    <row r="1496" spans="3:6" x14ac:dyDescent="0.25">
      <c r="C1496">
        <f>'IND TECH'!L1494</f>
        <v>0</v>
      </c>
      <c r="D1496" t="str">
        <f>'IND TECH'!A1494&amp;" "&amp;'IND TECH'!B1494&amp;" "&amp;'IND TECH'!C1494&amp;" "&amp;'IND TECH'!D1494&amp;" "&amp;'IND TECH'!E1494&amp;" "&amp;'IND TECH'!F1494&amp;" "&amp;'IND TECH'!G1494&amp;" "&amp;'IND TECH'!H1494</f>
        <v xml:space="preserve">       </v>
      </c>
      <c r="E1496" t="e">
        <f t="shared" si="3"/>
        <v>#REF!</v>
      </c>
      <c r="F1496" t="e">
        <f>'IND TECH'!#REF!</f>
        <v>#REF!</v>
      </c>
    </row>
    <row r="1497" spans="3:6" x14ac:dyDescent="0.25">
      <c r="C1497">
        <f>'IND TECH'!L1495</f>
        <v>0</v>
      </c>
      <c r="D1497" t="str">
        <f>'IND TECH'!A1495&amp;" "&amp;'IND TECH'!B1495&amp;" "&amp;'IND TECH'!C1495&amp;" "&amp;'IND TECH'!D1495&amp;" "&amp;'IND TECH'!E1495&amp;" "&amp;'IND TECH'!F1495&amp;" "&amp;'IND TECH'!G1495&amp;" "&amp;'IND TECH'!H1495</f>
        <v xml:space="preserve">       </v>
      </c>
      <c r="E1497" t="e">
        <f t="shared" si="3"/>
        <v>#REF!</v>
      </c>
      <c r="F1497" t="e">
        <f>'IND TECH'!#REF!</f>
        <v>#REF!</v>
      </c>
    </row>
    <row r="1498" spans="3:6" x14ac:dyDescent="0.25">
      <c r="C1498">
        <f>'IND TECH'!L1496</f>
        <v>0</v>
      </c>
      <c r="D1498" t="str">
        <f>'IND TECH'!A1496&amp;" "&amp;'IND TECH'!B1496&amp;" "&amp;'IND TECH'!C1496&amp;" "&amp;'IND TECH'!D1496&amp;" "&amp;'IND TECH'!E1496&amp;" "&amp;'IND TECH'!F1496&amp;" "&amp;'IND TECH'!G1496&amp;" "&amp;'IND TECH'!H1496</f>
        <v xml:space="preserve">       </v>
      </c>
      <c r="E1498" t="e">
        <f t="shared" si="3"/>
        <v>#REF!</v>
      </c>
      <c r="F1498" t="e">
        <f>'IND TECH'!#REF!</f>
        <v>#REF!</v>
      </c>
    </row>
    <row r="1499" spans="3:6" x14ac:dyDescent="0.25">
      <c r="C1499">
        <f>'IND TECH'!L1497</f>
        <v>0</v>
      </c>
      <c r="D1499" t="str">
        <f>'IND TECH'!A1497&amp;" "&amp;'IND TECH'!B1497&amp;" "&amp;'IND TECH'!C1497&amp;" "&amp;'IND TECH'!D1497&amp;" "&amp;'IND TECH'!E1497&amp;" "&amp;'IND TECH'!F1497&amp;" "&amp;'IND TECH'!G1497&amp;" "&amp;'IND TECH'!H1497</f>
        <v xml:space="preserve">       </v>
      </c>
      <c r="E1499" t="e">
        <f t="shared" si="3"/>
        <v>#REF!</v>
      </c>
      <c r="F1499" t="e">
        <f>'IND TECH'!#REF!</f>
        <v>#REF!</v>
      </c>
    </row>
    <row r="1500" spans="3:6" x14ac:dyDescent="0.25">
      <c r="C1500">
        <f>'IND TECH'!L1498</f>
        <v>0</v>
      </c>
      <c r="D1500" t="str">
        <f>'IND TECH'!A1498&amp;" "&amp;'IND TECH'!B1498&amp;" "&amp;'IND TECH'!C1498&amp;" "&amp;'IND TECH'!D1498&amp;" "&amp;'IND TECH'!E1498&amp;" "&amp;'IND TECH'!F1498&amp;" "&amp;'IND TECH'!G1498&amp;" "&amp;'IND TECH'!H1498</f>
        <v xml:space="preserve">       </v>
      </c>
      <c r="E1500" t="e">
        <f t="shared" si="3"/>
        <v>#REF!</v>
      </c>
      <c r="F1500" t="e">
        <f>'IND TECH'!#REF!</f>
        <v>#REF!</v>
      </c>
    </row>
    <row r="1501" spans="3:6" x14ac:dyDescent="0.25">
      <c r="C1501">
        <f>'IND TECH'!L1499</f>
        <v>0</v>
      </c>
      <c r="D1501" t="str">
        <f>'IND TECH'!A1499&amp;" "&amp;'IND TECH'!B1499&amp;" "&amp;'IND TECH'!C1499&amp;" "&amp;'IND TECH'!D1499&amp;" "&amp;'IND TECH'!E1499&amp;" "&amp;'IND TECH'!F1499&amp;" "&amp;'IND TECH'!G1499&amp;" "&amp;'IND TECH'!H1499</f>
        <v xml:space="preserve">       </v>
      </c>
      <c r="E1501" t="e">
        <f t="shared" si="3"/>
        <v>#REF!</v>
      </c>
      <c r="F1501" t="e">
        <f>'IND TECH'!#REF!</f>
        <v>#REF!</v>
      </c>
    </row>
    <row r="1502" spans="3:6" x14ac:dyDescent="0.25">
      <c r="C1502">
        <f>'IND TECH'!L1500</f>
        <v>0</v>
      </c>
      <c r="D1502" t="str">
        <f>'IND TECH'!A1500&amp;" "&amp;'IND TECH'!B1500&amp;" "&amp;'IND TECH'!C1500&amp;" "&amp;'IND TECH'!D1500&amp;" "&amp;'IND TECH'!E1500&amp;" "&amp;'IND TECH'!F1500&amp;" "&amp;'IND TECH'!G1500&amp;" "&amp;'IND TECH'!H1500</f>
        <v xml:space="preserve">       </v>
      </c>
      <c r="E1502" t="e">
        <f t="shared" si="3"/>
        <v>#REF!</v>
      </c>
      <c r="F1502" t="e">
        <f>'IND TECH'!#REF!</f>
        <v>#REF!</v>
      </c>
    </row>
    <row r="1503" spans="3:6" x14ac:dyDescent="0.25">
      <c r="C1503">
        <f>'IND TECH'!L1501</f>
        <v>0</v>
      </c>
      <c r="D1503" t="str">
        <f>'IND TECH'!A1501&amp;" "&amp;'IND TECH'!B1501&amp;" "&amp;'IND TECH'!C1501&amp;" "&amp;'IND TECH'!D1501&amp;" "&amp;'IND TECH'!E1501&amp;" "&amp;'IND TECH'!F1501&amp;" "&amp;'IND TECH'!G1501&amp;" "&amp;'IND TECH'!H1501</f>
        <v xml:space="preserve">       </v>
      </c>
      <c r="E1503" t="e">
        <f t="shared" si="3"/>
        <v>#REF!</v>
      </c>
      <c r="F1503" t="e">
        <f>'IND TECH'!#REF!</f>
        <v>#REF!</v>
      </c>
    </row>
    <row r="1504" spans="3:6" x14ac:dyDescent="0.25">
      <c r="C1504">
        <f>'IND TECH'!L1502</f>
        <v>0</v>
      </c>
      <c r="D1504" t="str">
        <f>'IND TECH'!A1502&amp;" "&amp;'IND TECH'!B1502&amp;" "&amp;'IND TECH'!C1502&amp;" "&amp;'IND TECH'!D1502&amp;" "&amp;'IND TECH'!E1502&amp;" "&amp;'IND TECH'!F1502&amp;" "&amp;'IND TECH'!G1502&amp;" "&amp;'IND TECH'!H1502</f>
        <v xml:space="preserve">       </v>
      </c>
      <c r="E1504" t="e">
        <f t="shared" si="3"/>
        <v>#REF!</v>
      </c>
      <c r="F1504" t="e">
        <f>'IND TECH'!#REF!</f>
        <v>#REF!</v>
      </c>
    </row>
    <row r="1505" spans="3:6" x14ac:dyDescent="0.25">
      <c r="C1505">
        <f>'IND TECH'!L1503</f>
        <v>0</v>
      </c>
      <c r="D1505" t="str">
        <f>'IND TECH'!A1503&amp;" "&amp;'IND TECH'!B1503&amp;" "&amp;'IND TECH'!C1503&amp;" "&amp;'IND TECH'!D1503&amp;" "&amp;'IND TECH'!E1503&amp;" "&amp;'IND TECH'!F1503&amp;" "&amp;'IND TECH'!G1503&amp;" "&amp;'IND TECH'!H1503</f>
        <v xml:space="preserve">       </v>
      </c>
      <c r="E1505" t="e">
        <f t="shared" si="3"/>
        <v>#REF!</v>
      </c>
      <c r="F1505" t="e">
        <f>'IND TECH'!#REF!</f>
        <v>#REF!</v>
      </c>
    </row>
    <row r="1506" spans="3:6" x14ac:dyDescent="0.25">
      <c r="C1506">
        <f>'IND TECH'!L1504</f>
        <v>0</v>
      </c>
      <c r="D1506" t="str">
        <f>'IND TECH'!A1504&amp;" "&amp;'IND TECH'!B1504&amp;" "&amp;'IND TECH'!C1504&amp;" "&amp;'IND TECH'!D1504&amp;" "&amp;'IND TECH'!E1504&amp;" "&amp;'IND TECH'!F1504&amp;" "&amp;'IND TECH'!G1504&amp;" "&amp;'IND TECH'!H1504</f>
        <v xml:space="preserve">       </v>
      </c>
      <c r="E1506" t="e">
        <f t="shared" si="3"/>
        <v>#REF!</v>
      </c>
      <c r="F1506" t="e">
        <f>'IND TECH'!#REF!</f>
        <v>#REF!</v>
      </c>
    </row>
    <row r="1507" spans="3:6" x14ac:dyDescent="0.25">
      <c r="C1507">
        <f>'IND TECH'!L1505</f>
        <v>0</v>
      </c>
      <c r="D1507" t="str">
        <f>'IND TECH'!A1505&amp;" "&amp;'IND TECH'!B1505&amp;" "&amp;'IND TECH'!C1505&amp;" "&amp;'IND TECH'!D1505&amp;" "&amp;'IND TECH'!E1505&amp;" "&amp;'IND TECH'!F1505&amp;" "&amp;'IND TECH'!G1505&amp;" "&amp;'IND TECH'!H1505</f>
        <v xml:space="preserve">       </v>
      </c>
      <c r="E1507" t="e">
        <f t="shared" si="3"/>
        <v>#REF!</v>
      </c>
      <c r="F1507" t="e">
        <f>'IND TECH'!#REF!</f>
        <v>#REF!</v>
      </c>
    </row>
    <row r="1508" spans="3:6" x14ac:dyDescent="0.25">
      <c r="C1508">
        <f>'IND TECH'!L1506</f>
        <v>0</v>
      </c>
      <c r="D1508" t="str">
        <f>'IND TECH'!A1506&amp;" "&amp;'IND TECH'!B1506&amp;" "&amp;'IND TECH'!C1506&amp;" "&amp;'IND TECH'!D1506&amp;" "&amp;'IND TECH'!E1506&amp;" "&amp;'IND TECH'!F1506&amp;" "&amp;'IND TECH'!G1506&amp;" "&amp;'IND TECH'!H1506</f>
        <v xml:space="preserve">       </v>
      </c>
      <c r="E1508" t="e">
        <f t="shared" si="3"/>
        <v>#REF!</v>
      </c>
      <c r="F1508" t="e">
        <f>'IND TECH'!#REF!</f>
        <v>#REF!</v>
      </c>
    </row>
    <row r="1509" spans="3:6" x14ac:dyDescent="0.25">
      <c r="C1509">
        <f>'IND TECH'!L1507</f>
        <v>0</v>
      </c>
      <c r="D1509" t="str">
        <f>'IND TECH'!A1507&amp;" "&amp;'IND TECH'!B1507&amp;" "&amp;'IND TECH'!C1507&amp;" "&amp;'IND TECH'!D1507&amp;" "&amp;'IND TECH'!E1507&amp;" "&amp;'IND TECH'!F1507&amp;" "&amp;'IND TECH'!G1507&amp;" "&amp;'IND TECH'!H1507</f>
        <v xml:space="preserve">       </v>
      </c>
      <c r="E1509" t="e">
        <f t="shared" si="3"/>
        <v>#REF!</v>
      </c>
      <c r="F1509" t="e">
        <f>'IND TECH'!#REF!</f>
        <v>#REF!</v>
      </c>
    </row>
    <row r="1510" spans="3:6" x14ac:dyDescent="0.25">
      <c r="C1510">
        <f>'IND TECH'!L1508</f>
        <v>0</v>
      </c>
      <c r="D1510" t="str">
        <f>'IND TECH'!A1508&amp;" "&amp;'IND TECH'!B1508&amp;" "&amp;'IND TECH'!C1508&amp;" "&amp;'IND TECH'!D1508&amp;" "&amp;'IND TECH'!E1508&amp;" "&amp;'IND TECH'!F1508&amp;" "&amp;'IND TECH'!G1508&amp;" "&amp;'IND TECH'!H1508</f>
        <v xml:space="preserve">       </v>
      </c>
      <c r="E1510" t="e">
        <f t="shared" si="3"/>
        <v>#REF!</v>
      </c>
      <c r="F1510" t="e">
        <f>'IND TECH'!#REF!</f>
        <v>#REF!</v>
      </c>
    </row>
    <row r="1511" spans="3:6" x14ac:dyDescent="0.25">
      <c r="C1511">
        <f>'IND TECH'!L1509</f>
        <v>0</v>
      </c>
      <c r="D1511" t="str">
        <f>'IND TECH'!A1509&amp;" "&amp;'IND TECH'!B1509&amp;" "&amp;'IND TECH'!C1509&amp;" "&amp;'IND TECH'!D1509&amp;" "&amp;'IND TECH'!E1509&amp;" "&amp;'IND TECH'!F1509&amp;" "&amp;'IND TECH'!G1509&amp;" "&amp;'IND TECH'!H1509</f>
        <v xml:space="preserve">       </v>
      </c>
      <c r="E1511" t="e">
        <f t="shared" si="3"/>
        <v>#REF!</v>
      </c>
      <c r="F1511" t="e">
        <f>'IND TECH'!#REF!</f>
        <v>#REF!</v>
      </c>
    </row>
    <row r="1512" spans="3:6" x14ac:dyDescent="0.25">
      <c r="C1512">
        <f>'IND TECH'!L1510</f>
        <v>0</v>
      </c>
      <c r="D1512" t="str">
        <f>'IND TECH'!A1510&amp;" "&amp;'IND TECH'!B1510&amp;" "&amp;'IND TECH'!C1510&amp;" "&amp;'IND TECH'!D1510&amp;" "&amp;'IND TECH'!E1510&amp;" "&amp;'IND TECH'!F1510&amp;" "&amp;'IND TECH'!G1510&amp;" "&amp;'IND TECH'!H1510</f>
        <v xml:space="preserve">       </v>
      </c>
      <c r="E1512" t="e">
        <f t="shared" si="3"/>
        <v>#REF!</v>
      </c>
      <c r="F1512" t="e">
        <f>'IND TECH'!#REF!</f>
        <v>#REF!</v>
      </c>
    </row>
    <row r="1513" spans="3:6" x14ac:dyDescent="0.25">
      <c r="C1513">
        <f>'IND TECH'!L1511</f>
        <v>0</v>
      </c>
      <c r="D1513" t="str">
        <f>'IND TECH'!A1511&amp;" "&amp;'IND TECH'!B1511&amp;" "&amp;'IND TECH'!C1511&amp;" "&amp;'IND TECH'!D1511&amp;" "&amp;'IND TECH'!E1511&amp;" "&amp;'IND TECH'!F1511&amp;" "&amp;'IND TECH'!G1511&amp;" "&amp;'IND TECH'!H1511</f>
        <v xml:space="preserve">       </v>
      </c>
      <c r="E1513" t="e">
        <f t="shared" si="3"/>
        <v>#REF!</v>
      </c>
      <c r="F1513" t="e">
        <f>'IND TECH'!#REF!</f>
        <v>#REF!</v>
      </c>
    </row>
    <row r="1514" spans="3:6" x14ac:dyDescent="0.25">
      <c r="C1514">
        <f>'IND TECH'!L1512</f>
        <v>0</v>
      </c>
      <c r="D1514" t="str">
        <f>'IND TECH'!A1512&amp;" "&amp;'IND TECH'!B1512&amp;" "&amp;'IND TECH'!C1512&amp;" "&amp;'IND TECH'!D1512&amp;" "&amp;'IND TECH'!E1512&amp;" "&amp;'IND TECH'!F1512&amp;" "&amp;'IND TECH'!G1512&amp;" "&amp;'IND TECH'!H1512</f>
        <v xml:space="preserve">       </v>
      </c>
      <c r="E1514" t="e">
        <f t="shared" si="3"/>
        <v>#REF!</v>
      </c>
      <c r="F1514" t="e">
        <f>'IND TECH'!#REF!</f>
        <v>#REF!</v>
      </c>
    </row>
    <row r="1515" spans="3:6" x14ac:dyDescent="0.25">
      <c r="C1515">
        <f>'IND TECH'!L1513</f>
        <v>0</v>
      </c>
      <c r="D1515" t="str">
        <f>'IND TECH'!A1513&amp;" "&amp;'IND TECH'!B1513&amp;" "&amp;'IND TECH'!C1513&amp;" "&amp;'IND TECH'!D1513&amp;" "&amp;'IND TECH'!E1513&amp;" "&amp;'IND TECH'!F1513&amp;" "&amp;'IND TECH'!G1513&amp;" "&amp;'IND TECH'!H1513</f>
        <v xml:space="preserve">       </v>
      </c>
      <c r="E1515" t="e">
        <f t="shared" si="3"/>
        <v>#REF!</v>
      </c>
      <c r="F1515" t="e">
        <f>'IND TECH'!#REF!</f>
        <v>#REF!</v>
      </c>
    </row>
    <row r="1516" spans="3:6" x14ac:dyDescent="0.25">
      <c r="C1516">
        <f>'IND TECH'!L1514</f>
        <v>0</v>
      </c>
      <c r="D1516" t="str">
        <f>'IND TECH'!A1514&amp;" "&amp;'IND TECH'!B1514&amp;" "&amp;'IND TECH'!C1514&amp;" "&amp;'IND TECH'!D1514&amp;" "&amp;'IND TECH'!E1514&amp;" "&amp;'IND TECH'!F1514&amp;" "&amp;'IND TECH'!G1514&amp;" "&amp;'IND TECH'!H1514</f>
        <v xml:space="preserve">       </v>
      </c>
      <c r="E1516" t="e">
        <f t="shared" si="3"/>
        <v>#REF!</v>
      </c>
      <c r="F1516" t="e">
        <f>'IND TECH'!#REF!</f>
        <v>#REF!</v>
      </c>
    </row>
    <row r="1517" spans="3:6" x14ac:dyDescent="0.25">
      <c r="C1517">
        <f>'IND TECH'!L1515</f>
        <v>0</v>
      </c>
      <c r="D1517" t="str">
        <f>'IND TECH'!A1515&amp;" "&amp;'IND TECH'!B1515&amp;" "&amp;'IND TECH'!C1515&amp;" "&amp;'IND TECH'!D1515&amp;" "&amp;'IND TECH'!E1515&amp;" "&amp;'IND TECH'!F1515&amp;" "&amp;'IND TECH'!G1515&amp;" "&amp;'IND TECH'!H1515</f>
        <v xml:space="preserve">       </v>
      </c>
      <c r="E1517" t="e">
        <f t="shared" si="3"/>
        <v>#REF!</v>
      </c>
      <c r="F1517" t="e">
        <f>'IND TECH'!#REF!</f>
        <v>#REF!</v>
      </c>
    </row>
    <row r="1518" spans="3:6" x14ac:dyDescent="0.25">
      <c r="C1518">
        <f>'IND TECH'!L1516</f>
        <v>0</v>
      </c>
      <c r="D1518" t="str">
        <f>'IND TECH'!A1516&amp;" "&amp;'IND TECH'!B1516&amp;" "&amp;'IND TECH'!C1516&amp;" "&amp;'IND TECH'!D1516&amp;" "&amp;'IND TECH'!E1516&amp;" "&amp;'IND TECH'!F1516&amp;" "&amp;'IND TECH'!G1516&amp;" "&amp;'IND TECH'!H1516</f>
        <v xml:space="preserve">       </v>
      </c>
      <c r="E1518" t="e">
        <f t="shared" si="3"/>
        <v>#REF!</v>
      </c>
      <c r="F1518" t="e">
        <f>'IND TECH'!#REF!</f>
        <v>#REF!</v>
      </c>
    </row>
    <row r="1519" spans="3:6" x14ac:dyDescent="0.25">
      <c r="C1519">
        <f>'IND TECH'!L1517</f>
        <v>0</v>
      </c>
      <c r="D1519" t="str">
        <f>'IND TECH'!A1517&amp;" "&amp;'IND TECH'!B1517&amp;" "&amp;'IND TECH'!C1517&amp;" "&amp;'IND TECH'!D1517&amp;" "&amp;'IND TECH'!E1517&amp;" "&amp;'IND TECH'!F1517&amp;" "&amp;'IND TECH'!G1517&amp;" "&amp;'IND TECH'!H1517</f>
        <v xml:space="preserve">       </v>
      </c>
      <c r="E1519" t="e">
        <f t="shared" si="3"/>
        <v>#REF!</v>
      </c>
      <c r="F1519" t="e">
        <f>'IND TECH'!#REF!</f>
        <v>#REF!</v>
      </c>
    </row>
    <row r="1520" spans="3:6" x14ac:dyDescent="0.25">
      <c r="C1520">
        <f>'IND TECH'!L1518</f>
        <v>0</v>
      </c>
      <c r="D1520" t="str">
        <f>'IND TECH'!A1518&amp;" "&amp;'IND TECH'!B1518&amp;" "&amp;'IND TECH'!C1518&amp;" "&amp;'IND TECH'!D1518&amp;" "&amp;'IND TECH'!E1518&amp;" "&amp;'IND TECH'!F1518&amp;" "&amp;'IND TECH'!G1518&amp;" "&amp;'IND TECH'!H1518</f>
        <v xml:space="preserve">       </v>
      </c>
      <c r="E1520" t="e">
        <f t="shared" si="3"/>
        <v>#REF!</v>
      </c>
      <c r="F1520" t="e">
        <f>'IND TECH'!#REF!</f>
        <v>#REF!</v>
      </c>
    </row>
    <row r="1521" spans="3:6" x14ac:dyDescent="0.25">
      <c r="C1521">
        <f>'IND TECH'!L1519</f>
        <v>0</v>
      </c>
      <c r="D1521" t="str">
        <f>'IND TECH'!A1519&amp;" "&amp;'IND TECH'!B1519&amp;" "&amp;'IND TECH'!C1519&amp;" "&amp;'IND TECH'!D1519&amp;" "&amp;'IND TECH'!E1519&amp;" "&amp;'IND TECH'!F1519&amp;" "&amp;'IND TECH'!G1519&amp;" "&amp;'IND TECH'!H1519</f>
        <v xml:space="preserve">       </v>
      </c>
      <c r="E1521" t="e">
        <f t="shared" si="3"/>
        <v>#REF!</v>
      </c>
      <c r="F1521" t="e">
        <f>'IND TECH'!#REF!</f>
        <v>#REF!</v>
      </c>
    </row>
    <row r="1522" spans="3:6" x14ac:dyDescent="0.25">
      <c r="C1522">
        <f>'IND TECH'!L1520</f>
        <v>0</v>
      </c>
      <c r="D1522" t="str">
        <f>'IND TECH'!A1520&amp;" "&amp;'IND TECH'!B1520&amp;" "&amp;'IND TECH'!C1520&amp;" "&amp;'IND TECH'!D1520&amp;" "&amp;'IND TECH'!E1520&amp;" "&amp;'IND TECH'!F1520&amp;" "&amp;'IND TECH'!G1520&amp;" "&amp;'IND TECH'!H1520</f>
        <v xml:space="preserve">       </v>
      </c>
      <c r="E1522" t="e">
        <f t="shared" si="3"/>
        <v>#REF!</v>
      </c>
      <c r="F1522" t="e">
        <f>'IND TECH'!#REF!</f>
        <v>#REF!</v>
      </c>
    </row>
    <row r="1523" spans="3:6" x14ac:dyDescent="0.25">
      <c r="C1523">
        <f>'IND TECH'!L1521</f>
        <v>0</v>
      </c>
      <c r="D1523" t="str">
        <f>'IND TECH'!A1521&amp;" "&amp;'IND TECH'!B1521&amp;" "&amp;'IND TECH'!C1521&amp;" "&amp;'IND TECH'!D1521&amp;" "&amp;'IND TECH'!E1521&amp;" "&amp;'IND TECH'!F1521&amp;" "&amp;'IND TECH'!G1521&amp;" "&amp;'IND TECH'!H1521</f>
        <v xml:space="preserve">       </v>
      </c>
      <c r="E1523" t="e">
        <f t="shared" si="3"/>
        <v>#REF!</v>
      </c>
      <c r="F1523" t="e">
        <f>'IND TECH'!#REF!</f>
        <v>#REF!</v>
      </c>
    </row>
    <row r="1524" spans="3:6" x14ac:dyDescent="0.25">
      <c r="C1524">
        <f>'IND TECH'!L1522</f>
        <v>0</v>
      </c>
      <c r="D1524" t="str">
        <f>'IND TECH'!A1522&amp;" "&amp;'IND TECH'!B1522&amp;" "&amp;'IND TECH'!C1522&amp;" "&amp;'IND TECH'!D1522&amp;" "&amp;'IND TECH'!E1522&amp;" "&amp;'IND TECH'!F1522&amp;" "&amp;'IND TECH'!G1522&amp;" "&amp;'IND TECH'!H1522</f>
        <v xml:space="preserve">       </v>
      </c>
      <c r="E1524" t="e">
        <f t="shared" si="3"/>
        <v>#REF!</v>
      </c>
      <c r="F1524" t="e">
        <f>'IND TECH'!#REF!</f>
        <v>#REF!</v>
      </c>
    </row>
    <row r="1525" spans="3:6" x14ac:dyDescent="0.25">
      <c r="C1525">
        <f>'IND TECH'!L1523</f>
        <v>0</v>
      </c>
      <c r="D1525" t="str">
        <f>'IND TECH'!A1523&amp;" "&amp;'IND TECH'!B1523&amp;" "&amp;'IND TECH'!C1523&amp;" "&amp;'IND TECH'!D1523&amp;" "&amp;'IND TECH'!E1523&amp;" "&amp;'IND TECH'!F1523&amp;" "&amp;'IND TECH'!G1523&amp;" "&amp;'IND TECH'!H1523</f>
        <v xml:space="preserve">       </v>
      </c>
      <c r="E1525" t="e">
        <f t="shared" si="3"/>
        <v>#REF!</v>
      </c>
      <c r="F1525" t="e">
        <f>'IND TECH'!#REF!</f>
        <v>#REF!</v>
      </c>
    </row>
    <row r="1526" spans="3:6" x14ac:dyDescent="0.25">
      <c r="C1526">
        <f>'IND TECH'!L1524</f>
        <v>0</v>
      </c>
      <c r="D1526" t="str">
        <f>'IND TECH'!A1524&amp;" "&amp;'IND TECH'!B1524&amp;" "&amp;'IND TECH'!C1524&amp;" "&amp;'IND TECH'!D1524&amp;" "&amp;'IND TECH'!E1524&amp;" "&amp;'IND TECH'!F1524&amp;" "&amp;'IND TECH'!G1524&amp;" "&amp;'IND TECH'!H1524</f>
        <v xml:space="preserve">       </v>
      </c>
      <c r="E1526" t="e">
        <f t="shared" si="3"/>
        <v>#REF!</v>
      </c>
      <c r="F1526" t="e">
        <f>'IND TECH'!#REF!</f>
        <v>#REF!</v>
      </c>
    </row>
    <row r="1527" spans="3:6" x14ac:dyDescent="0.25">
      <c r="C1527">
        <f>'IND TECH'!L1525</f>
        <v>0</v>
      </c>
      <c r="D1527" t="str">
        <f>'IND TECH'!A1525&amp;" "&amp;'IND TECH'!B1525&amp;" "&amp;'IND TECH'!C1525&amp;" "&amp;'IND TECH'!D1525&amp;" "&amp;'IND TECH'!E1525&amp;" "&amp;'IND TECH'!F1525&amp;" "&amp;'IND TECH'!G1525&amp;" "&amp;'IND TECH'!H1525</f>
        <v xml:space="preserve">       </v>
      </c>
      <c r="E1527" t="e">
        <f t="shared" si="3"/>
        <v>#REF!</v>
      </c>
      <c r="F1527" t="e">
        <f>'IND TECH'!#REF!</f>
        <v>#REF!</v>
      </c>
    </row>
    <row r="1528" spans="3:6" x14ac:dyDescent="0.25">
      <c r="C1528">
        <f>'IND TECH'!L1526</f>
        <v>0</v>
      </c>
      <c r="D1528" t="str">
        <f>'IND TECH'!A1526&amp;" "&amp;'IND TECH'!B1526&amp;" "&amp;'IND TECH'!C1526&amp;" "&amp;'IND TECH'!D1526&amp;" "&amp;'IND TECH'!E1526&amp;" "&amp;'IND TECH'!F1526&amp;" "&amp;'IND TECH'!G1526&amp;" "&amp;'IND TECH'!H1526</f>
        <v xml:space="preserve">       </v>
      </c>
      <c r="E1528" t="e">
        <f t="shared" si="3"/>
        <v>#REF!</v>
      </c>
      <c r="F1528" t="e">
        <f>'IND TECH'!#REF!</f>
        <v>#REF!</v>
      </c>
    </row>
    <row r="1529" spans="3:6" x14ac:dyDescent="0.25">
      <c r="C1529">
        <f>'IND TECH'!L1527</f>
        <v>0</v>
      </c>
      <c r="D1529" t="str">
        <f>'IND TECH'!A1527&amp;" "&amp;'IND TECH'!B1527&amp;" "&amp;'IND TECH'!C1527&amp;" "&amp;'IND TECH'!D1527&amp;" "&amp;'IND TECH'!E1527&amp;" "&amp;'IND TECH'!F1527&amp;" "&amp;'IND TECH'!G1527&amp;" "&amp;'IND TECH'!H1527</f>
        <v xml:space="preserve">       </v>
      </c>
      <c r="E1529" t="e">
        <f t="shared" si="3"/>
        <v>#REF!</v>
      </c>
      <c r="F1529" t="e">
        <f>'IND TECH'!#REF!</f>
        <v>#REF!</v>
      </c>
    </row>
    <row r="1530" spans="3:6" x14ac:dyDescent="0.25">
      <c r="C1530">
        <f>'IND TECH'!L1528</f>
        <v>0</v>
      </c>
      <c r="D1530" t="str">
        <f>'IND TECH'!A1528&amp;" "&amp;'IND TECH'!B1528&amp;" "&amp;'IND TECH'!C1528&amp;" "&amp;'IND TECH'!D1528&amp;" "&amp;'IND TECH'!E1528&amp;" "&amp;'IND TECH'!F1528&amp;" "&amp;'IND TECH'!G1528&amp;" "&amp;'IND TECH'!H1528</f>
        <v xml:space="preserve">       </v>
      </c>
      <c r="E1530" t="e">
        <f t="shared" si="3"/>
        <v>#REF!</v>
      </c>
      <c r="F1530" t="e">
        <f>'IND TECH'!#REF!</f>
        <v>#REF!</v>
      </c>
    </row>
    <row r="1531" spans="3:6" x14ac:dyDescent="0.25">
      <c r="C1531">
        <f>'IND TECH'!L1529</f>
        <v>0</v>
      </c>
      <c r="D1531" t="str">
        <f>'IND TECH'!A1529&amp;" "&amp;'IND TECH'!B1529&amp;" "&amp;'IND TECH'!C1529&amp;" "&amp;'IND TECH'!D1529&amp;" "&amp;'IND TECH'!E1529&amp;" "&amp;'IND TECH'!F1529&amp;" "&amp;'IND TECH'!G1529&amp;" "&amp;'IND TECH'!H1529</f>
        <v xml:space="preserve">       </v>
      </c>
      <c r="E1531" t="e">
        <f t="shared" si="3"/>
        <v>#REF!</v>
      </c>
      <c r="F1531" t="e">
        <f>'IND TECH'!#REF!</f>
        <v>#REF!</v>
      </c>
    </row>
    <row r="1532" spans="3:6" x14ac:dyDescent="0.25">
      <c r="C1532">
        <f>'IND TECH'!L1530</f>
        <v>0</v>
      </c>
      <c r="D1532" t="str">
        <f>'IND TECH'!A1530&amp;" "&amp;'IND TECH'!B1530&amp;" "&amp;'IND TECH'!C1530&amp;" "&amp;'IND TECH'!D1530&amp;" "&amp;'IND TECH'!E1530&amp;" "&amp;'IND TECH'!F1530&amp;" "&amp;'IND TECH'!G1530&amp;" "&amp;'IND TECH'!H1530</f>
        <v xml:space="preserve">       </v>
      </c>
      <c r="E1532" t="e">
        <f t="shared" si="3"/>
        <v>#REF!</v>
      </c>
      <c r="F1532" t="e">
        <f>'IND TECH'!#REF!</f>
        <v>#REF!</v>
      </c>
    </row>
    <row r="1533" spans="3:6" x14ac:dyDescent="0.25">
      <c r="C1533">
        <f>'IND TECH'!L1531</f>
        <v>0</v>
      </c>
      <c r="D1533" t="str">
        <f>'IND TECH'!A1531&amp;" "&amp;'IND TECH'!B1531&amp;" "&amp;'IND TECH'!C1531&amp;" "&amp;'IND TECH'!D1531&amp;" "&amp;'IND TECH'!E1531&amp;" "&amp;'IND TECH'!F1531&amp;" "&amp;'IND TECH'!G1531&amp;" "&amp;'IND TECH'!H1531</f>
        <v xml:space="preserve">       </v>
      </c>
      <c r="E1533" t="e">
        <f t="shared" si="3"/>
        <v>#REF!</v>
      </c>
      <c r="F1533" t="e">
        <f>'IND TECH'!#REF!</f>
        <v>#REF!</v>
      </c>
    </row>
    <row r="1534" spans="3:6" x14ac:dyDescent="0.25">
      <c r="C1534">
        <f>'IND TECH'!L1532</f>
        <v>0</v>
      </c>
      <c r="D1534" t="str">
        <f>'IND TECH'!A1532&amp;" "&amp;'IND TECH'!B1532&amp;" "&amp;'IND TECH'!C1532&amp;" "&amp;'IND TECH'!D1532&amp;" "&amp;'IND TECH'!E1532&amp;" "&amp;'IND TECH'!F1532&amp;" "&amp;'IND TECH'!G1532&amp;" "&amp;'IND TECH'!H1532</f>
        <v xml:space="preserve">       </v>
      </c>
      <c r="E1534" t="e">
        <f t="shared" si="3"/>
        <v>#REF!</v>
      </c>
      <c r="F1534" t="e">
        <f>'IND TECH'!#REF!</f>
        <v>#REF!</v>
      </c>
    </row>
    <row r="1535" spans="3:6" x14ac:dyDescent="0.25">
      <c r="C1535">
        <f>'IND TECH'!L1533</f>
        <v>0</v>
      </c>
      <c r="D1535" t="str">
        <f>'IND TECH'!A1533&amp;" "&amp;'IND TECH'!B1533&amp;" "&amp;'IND TECH'!C1533&amp;" "&amp;'IND TECH'!D1533&amp;" "&amp;'IND TECH'!E1533&amp;" "&amp;'IND TECH'!F1533&amp;" "&amp;'IND TECH'!G1533&amp;" "&amp;'IND TECH'!H1533</f>
        <v xml:space="preserve">       </v>
      </c>
      <c r="E1535" t="e">
        <f t="shared" si="3"/>
        <v>#REF!</v>
      </c>
      <c r="F1535" t="e">
        <f>'IND TECH'!#REF!</f>
        <v>#REF!</v>
      </c>
    </row>
    <row r="1536" spans="3:6" x14ac:dyDescent="0.25">
      <c r="C1536">
        <f>'IND TECH'!L1534</f>
        <v>0</v>
      </c>
      <c r="D1536" t="str">
        <f>'IND TECH'!A1534&amp;" "&amp;'IND TECH'!B1534&amp;" "&amp;'IND TECH'!C1534&amp;" "&amp;'IND TECH'!D1534&amp;" "&amp;'IND TECH'!E1534&amp;" "&amp;'IND TECH'!F1534&amp;" "&amp;'IND TECH'!G1534&amp;" "&amp;'IND TECH'!H1534</f>
        <v xml:space="preserve">       </v>
      </c>
      <c r="E1536" t="e">
        <f t="shared" si="3"/>
        <v>#REF!</v>
      </c>
      <c r="F1536" t="e">
        <f>'IND TECH'!#REF!</f>
        <v>#REF!</v>
      </c>
    </row>
    <row r="1537" spans="3:6" x14ac:dyDescent="0.25">
      <c r="C1537">
        <f>'IND TECH'!L1535</f>
        <v>0</v>
      </c>
      <c r="D1537" t="str">
        <f>'IND TECH'!A1535&amp;" "&amp;'IND TECH'!B1535&amp;" "&amp;'IND TECH'!C1535&amp;" "&amp;'IND TECH'!D1535&amp;" "&amp;'IND TECH'!E1535&amp;" "&amp;'IND TECH'!F1535&amp;" "&amp;'IND TECH'!G1535&amp;" "&amp;'IND TECH'!H1535</f>
        <v xml:space="preserve">       </v>
      </c>
      <c r="E1537" t="e">
        <f t="shared" si="3"/>
        <v>#REF!</v>
      </c>
      <c r="F1537" t="e">
        <f>'IND TECH'!#REF!</f>
        <v>#REF!</v>
      </c>
    </row>
    <row r="1538" spans="3:6" x14ac:dyDescent="0.25">
      <c r="C1538">
        <f>'IND TECH'!L1536</f>
        <v>0</v>
      </c>
      <c r="D1538" t="str">
        <f>'IND TECH'!A1536&amp;" "&amp;'IND TECH'!B1536&amp;" "&amp;'IND TECH'!C1536&amp;" "&amp;'IND TECH'!D1536&amp;" "&amp;'IND TECH'!E1536&amp;" "&amp;'IND TECH'!F1536&amp;" "&amp;'IND TECH'!G1536&amp;" "&amp;'IND TECH'!H1536</f>
        <v xml:space="preserve">       </v>
      </c>
      <c r="E1538" t="e">
        <f t="shared" si="3"/>
        <v>#REF!</v>
      </c>
      <c r="F1538" t="e">
        <f>'IND TECH'!#REF!</f>
        <v>#REF!</v>
      </c>
    </row>
    <row r="1539" spans="3:6" x14ac:dyDescent="0.25">
      <c r="C1539">
        <f>'IND TECH'!L1537</f>
        <v>0</v>
      </c>
      <c r="D1539" t="str">
        <f>'IND TECH'!A1537&amp;" "&amp;'IND TECH'!B1537&amp;" "&amp;'IND TECH'!C1537&amp;" "&amp;'IND TECH'!D1537&amp;" "&amp;'IND TECH'!E1537&amp;" "&amp;'IND TECH'!F1537&amp;" "&amp;'IND TECH'!G1537&amp;" "&amp;'IND TECH'!H1537</f>
        <v xml:space="preserve">       </v>
      </c>
      <c r="E1539" t="e">
        <f t="shared" si="3"/>
        <v>#REF!</v>
      </c>
      <c r="F1539" t="e">
        <f>'IND TECH'!#REF!</f>
        <v>#REF!</v>
      </c>
    </row>
    <row r="1540" spans="3:6" x14ac:dyDescent="0.25">
      <c r="C1540">
        <f>'IND TECH'!L1538</f>
        <v>0</v>
      </c>
      <c r="D1540" t="str">
        <f>'IND TECH'!A1538&amp;" "&amp;'IND TECH'!B1538&amp;" "&amp;'IND TECH'!C1538&amp;" "&amp;'IND TECH'!D1538&amp;" "&amp;'IND TECH'!E1538&amp;" "&amp;'IND TECH'!F1538&amp;" "&amp;'IND TECH'!G1538&amp;" "&amp;'IND TECH'!H1538</f>
        <v xml:space="preserve">       </v>
      </c>
      <c r="E1540" t="e">
        <f t="shared" si="3"/>
        <v>#REF!</v>
      </c>
      <c r="F1540" t="e">
        <f>'IND TECH'!#REF!</f>
        <v>#REF!</v>
      </c>
    </row>
    <row r="1541" spans="3:6" x14ac:dyDescent="0.25">
      <c r="C1541">
        <f>'IND TECH'!L1539</f>
        <v>0</v>
      </c>
      <c r="D1541" t="str">
        <f>'IND TECH'!A1539&amp;" "&amp;'IND TECH'!B1539&amp;" "&amp;'IND TECH'!C1539&amp;" "&amp;'IND TECH'!D1539&amp;" "&amp;'IND TECH'!E1539&amp;" "&amp;'IND TECH'!F1539&amp;" "&amp;'IND TECH'!G1539&amp;" "&amp;'IND TECH'!H1539</f>
        <v xml:space="preserve">       </v>
      </c>
      <c r="E1541" t="e">
        <f t="shared" si="3"/>
        <v>#REF!</v>
      </c>
      <c r="F1541" t="e">
        <f>'IND TECH'!#REF!</f>
        <v>#REF!</v>
      </c>
    </row>
    <row r="1542" spans="3:6" x14ac:dyDescent="0.25">
      <c r="C1542">
        <f>'IND TECH'!L1540</f>
        <v>0</v>
      </c>
      <c r="D1542" t="str">
        <f>'IND TECH'!A1540&amp;" "&amp;'IND TECH'!B1540&amp;" "&amp;'IND TECH'!C1540&amp;" "&amp;'IND TECH'!D1540&amp;" "&amp;'IND TECH'!E1540&amp;" "&amp;'IND TECH'!F1540&amp;" "&amp;'IND TECH'!G1540&amp;" "&amp;'IND TECH'!H1540</f>
        <v xml:space="preserve">       </v>
      </c>
      <c r="E1542" t="e">
        <f t="shared" si="3"/>
        <v>#REF!</v>
      </c>
      <c r="F1542" t="e">
        <f>'IND TECH'!#REF!</f>
        <v>#REF!</v>
      </c>
    </row>
    <row r="1543" spans="3:6" x14ac:dyDescent="0.25">
      <c r="C1543">
        <f>'IND TECH'!L1541</f>
        <v>0</v>
      </c>
      <c r="D1543" t="str">
        <f>'IND TECH'!A1541&amp;" "&amp;'IND TECH'!B1541&amp;" "&amp;'IND TECH'!C1541&amp;" "&amp;'IND TECH'!D1541&amp;" "&amp;'IND TECH'!E1541&amp;" "&amp;'IND TECH'!F1541&amp;" "&amp;'IND TECH'!G1541&amp;" "&amp;'IND TECH'!H1541</f>
        <v xml:space="preserve">       </v>
      </c>
      <c r="E1543" t="e">
        <f t="shared" si="3"/>
        <v>#REF!</v>
      </c>
      <c r="F1543" t="e">
        <f>'IND TECH'!#REF!</f>
        <v>#REF!</v>
      </c>
    </row>
    <row r="1544" spans="3:6" x14ac:dyDescent="0.25">
      <c r="C1544">
        <f>'IND TECH'!L1542</f>
        <v>0</v>
      </c>
      <c r="D1544" t="str">
        <f>'IND TECH'!A1542&amp;" "&amp;'IND TECH'!B1542&amp;" "&amp;'IND TECH'!C1542&amp;" "&amp;'IND TECH'!D1542&amp;" "&amp;'IND TECH'!E1542&amp;" "&amp;'IND TECH'!F1542&amp;" "&amp;'IND TECH'!G1542&amp;" "&amp;'IND TECH'!H1542</f>
        <v xml:space="preserve">       </v>
      </c>
      <c r="E1544" t="e">
        <f t="shared" si="3"/>
        <v>#REF!</v>
      </c>
      <c r="F1544" t="e">
        <f>'IND TECH'!#REF!</f>
        <v>#REF!</v>
      </c>
    </row>
    <row r="1545" spans="3:6" x14ac:dyDescent="0.25">
      <c r="C1545">
        <f>'IND TECH'!L1543</f>
        <v>0</v>
      </c>
      <c r="D1545" t="str">
        <f>'IND TECH'!A1543&amp;" "&amp;'IND TECH'!B1543&amp;" "&amp;'IND TECH'!C1543&amp;" "&amp;'IND TECH'!D1543&amp;" "&amp;'IND TECH'!E1543&amp;" "&amp;'IND TECH'!F1543&amp;" "&amp;'IND TECH'!G1543&amp;" "&amp;'IND TECH'!H1543</f>
        <v xml:space="preserve">       </v>
      </c>
      <c r="E1545" t="e">
        <f t="shared" si="3"/>
        <v>#REF!</v>
      </c>
      <c r="F1545" t="e">
        <f>'IND TECH'!#REF!</f>
        <v>#REF!</v>
      </c>
    </row>
    <row r="1546" spans="3:6" x14ac:dyDescent="0.25">
      <c r="C1546">
        <f>'IND TECH'!L1544</f>
        <v>0</v>
      </c>
      <c r="D1546" t="str">
        <f>'IND TECH'!A1544&amp;" "&amp;'IND TECH'!B1544&amp;" "&amp;'IND TECH'!C1544&amp;" "&amp;'IND TECH'!D1544&amp;" "&amp;'IND TECH'!E1544&amp;" "&amp;'IND TECH'!F1544&amp;" "&amp;'IND TECH'!G1544&amp;" "&amp;'IND TECH'!H1544</f>
        <v xml:space="preserve">       </v>
      </c>
      <c r="E1546" t="e">
        <f t="shared" si="3"/>
        <v>#REF!</v>
      </c>
      <c r="F1546" t="e">
        <f>'IND TECH'!#REF!</f>
        <v>#REF!</v>
      </c>
    </row>
    <row r="1547" spans="3:6" x14ac:dyDescent="0.25">
      <c r="C1547">
        <f>'IND TECH'!L1545</f>
        <v>0</v>
      </c>
      <c r="D1547" t="str">
        <f>'IND TECH'!A1545&amp;" "&amp;'IND TECH'!B1545&amp;" "&amp;'IND TECH'!C1545&amp;" "&amp;'IND TECH'!D1545&amp;" "&amp;'IND TECH'!E1545&amp;" "&amp;'IND TECH'!F1545&amp;" "&amp;'IND TECH'!G1545&amp;" "&amp;'IND TECH'!H1545</f>
        <v xml:space="preserve">       </v>
      </c>
      <c r="E1547" t="e">
        <f t="shared" si="3"/>
        <v>#REF!</v>
      </c>
      <c r="F1547" t="e">
        <f>'IND TECH'!#REF!</f>
        <v>#REF!</v>
      </c>
    </row>
    <row r="1548" spans="3:6" x14ac:dyDescent="0.25">
      <c r="C1548">
        <f>'IND TECH'!L1546</f>
        <v>0</v>
      </c>
      <c r="D1548" t="str">
        <f>'IND TECH'!A1546&amp;" "&amp;'IND TECH'!B1546&amp;" "&amp;'IND TECH'!C1546&amp;" "&amp;'IND TECH'!D1546&amp;" "&amp;'IND TECH'!E1546&amp;" "&amp;'IND TECH'!F1546&amp;" "&amp;'IND TECH'!G1546&amp;" "&amp;'IND TECH'!H1546</f>
        <v xml:space="preserve">       </v>
      </c>
      <c r="E1548" t="e">
        <f t="shared" si="3"/>
        <v>#REF!</v>
      </c>
      <c r="F1548" t="e">
        <f>'IND TECH'!#REF!</f>
        <v>#REF!</v>
      </c>
    </row>
    <row r="1549" spans="3:6" x14ac:dyDescent="0.25">
      <c r="C1549">
        <f>'IND TECH'!L1547</f>
        <v>0</v>
      </c>
      <c r="D1549" t="str">
        <f>'IND TECH'!A1547&amp;" "&amp;'IND TECH'!B1547&amp;" "&amp;'IND TECH'!C1547&amp;" "&amp;'IND TECH'!D1547&amp;" "&amp;'IND TECH'!E1547&amp;" "&amp;'IND TECH'!F1547&amp;" "&amp;'IND TECH'!G1547&amp;" "&amp;'IND TECH'!H1547</f>
        <v xml:space="preserve">       </v>
      </c>
      <c r="E1549" t="e">
        <f t="shared" si="3"/>
        <v>#REF!</v>
      </c>
      <c r="F1549" t="e">
        <f>'IND TECH'!#REF!</f>
        <v>#REF!</v>
      </c>
    </row>
    <row r="1550" spans="3:6" x14ac:dyDescent="0.25">
      <c r="C1550">
        <f>'IND TECH'!L1548</f>
        <v>0</v>
      </c>
      <c r="D1550" t="str">
        <f>'IND TECH'!A1548&amp;" "&amp;'IND TECH'!B1548&amp;" "&amp;'IND TECH'!C1548&amp;" "&amp;'IND TECH'!D1548&amp;" "&amp;'IND TECH'!E1548&amp;" "&amp;'IND TECH'!F1548&amp;" "&amp;'IND TECH'!G1548&amp;" "&amp;'IND TECH'!H1548</f>
        <v xml:space="preserve">       </v>
      </c>
      <c r="E1550" t="e">
        <f t="shared" si="3"/>
        <v>#REF!</v>
      </c>
      <c r="F1550" t="e">
        <f>'IND TECH'!#REF!</f>
        <v>#REF!</v>
      </c>
    </row>
    <row r="1551" spans="3:6" x14ac:dyDescent="0.25">
      <c r="C1551">
        <f>'IND TECH'!L1549</f>
        <v>0</v>
      </c>
      <c r="D1551" t="str">
        <f>'IND TECH'!A1549&amp;" "&amp;'IND TECH'!B1549&amp;" "&amp;'IND TECH'!C1549&amp;" "&amp;'IND TECH'!D1549&amp;" "&amp;'IND TECH'!E1549&amp;" "&amp;'IND TECH'!F1549&amp;" "&amp;'IND TECH'!G1549&amp;" "&amp;'IND TECH'!H1549</f>
        <v xml:space="preserve">       </v>
      </c>
      <c r="E1551" t="e">
        <f t="shared" si="3"/>
        <v>#REF!</v>
      </c>
      <c r="F1551" t="e">
        <f>'IND TECH'!#REF!</f>
        <v>#REF!</v>
      </c>
    </row>
    <row r="1552" spans="3:6" x14ac:dyDescent="0.25">
      <c r="C1552">
        <f>'IND TECH'!L1550</f>
        <v>0</v>
      </c>
      <c r="D1552" t="str">
        <f>'IND TECH'!A1550&amp;" "&amp;'IND TECH'!B1550&amp;" "&amp;'IND TECH'!C1550&amp;" "&amp;'IND TECH'!D1550&amp;" "&amp;'IND TECH'!E1550&amp;" "&amp;'IND TECH'!F1550&amp;" "&amp;'IND TECH'!G1550&amp;" "&amp;'IND TECH'!H1550</f>
        <v xml:space="preserve">       </v>
      </c>
      <c r="E1552" t="e">
        <f t="shared" si="3"/>
        <v>#REF!</v>
      </c>
      <c r="F1552" t="e">
        <f>'IND TECH'!#REF!</f>
        <v>#REF!</v>
      </c>
    </row>
    <row r="1553" spans="3:6" x14ac:dyDescent="0.25">
      <c r="C1553">
        <f>'IND TECH'!L1551</f>
        <v>0</v>
      </c>
      <c r="D1553" t="str">
        <f>'IND TECH'!A1551&amp;" "&amp;'IND TECH'!B1551&amp;" "&amp;'IND TECH'!C1551&amp;" "&amp;'IND TECH'!D1551&amp;" "&amp;'IND TECH'!E1551&amp;" "&amp;'IND TECH'!F1551&amp;" "&amp;'IND TECH'!G1551&amp;" "&amp;'IND TECH'!H1551</f>
        <v xml:space="preserve">       </v>
      </c>
      <c r="E1553" t="e">
        <f t="shared" si="3"/>
        <v>#REF!</v>
      </c>
      <c r="F1553" t="e">
        <f>'IND TECH'!#REF!</f>
        <v>#REF!</v>
      </c>
    </row>
    <row r="1554" spans="3:6" x14ac:dyDescent="0.25">
      <c r="C1554">
        <f>'IND TECH'!L1552</f>
        <v>0</v>
      </c>
      <c r="D1554" t="str">
        <f>'IND TECH'!A1552&amp;" "&amp;'IND TECH'!B1552&amp;" "&amp;'IND TECH'!C1552&amp;" "&amp;'IND TECH'!D1552&amp;" "&amp;'IND TECH'!E1552&amp;" "&amp;'IND TECH'!F1552&amp;" "&amp;'IND TECH'!G1552&amp;" "&amp;'IND TECH'!H1552</f>
        <v xml:space="preserve">       </v>
      </c>
      <c r="E1554" t="e">
        <f t="shared" si="3"/>
        <v>#REF!</v>
      </c>
      <c r="F1554" t="e">
        <f>'IND TECH'!#REF!</f>
        <v>#REF!</v>
      </c>
    </row>
    <row r="1555" spans="3:6" x14ac:dyDescent="0.25">
      <c r="C1555">
        <f>'IND TECH'!L1553</f>
        <v>0</v>
      </c>
      <c r="D1555" t="str">
        <f>'IND TECH'!A1553&amp;" "&amp;'IND TECH'!B1553&amp;" "&amp;'IND TECH'!C1553&amp;" "&amp;'IND TECH'!D1553&amp;" "&amp;'IND TECH'!E1553&amp;" "&amp;'IND TECH'!F1553&amp;" "&amp;'IND TECH'!G1553&amp;" "&amp;'IND TECH'!H1553</f>
        <v xml:space="preserve">       </v>
      </c>
      <c r="E1555" t="e">
        <f t="shared" ref="E1555:E1618" si="4">IF(F1555="Mlma","Mlm","TJ")</f>
        <v>#REF!</v>
      </c>
      <c r="F1555" t="e">
        <f>'IND TECH'!#REF!</f>
        <v>#REF!</v>
      </c>
    </row>
    <row r="1556" spans="3:6" x14ac:dyDescent="0.25">
      <c r="C1556">
        <f>'IND TECH'!L1554</f>
        <v>0</v>
      </c>
      <c r="D1556" t="str">
        <f>'IND TECH'!A1554&amp;" "&amp;'IND TECH'!B1554&amp;" "&amp;'IND TECH'!C1554&amp;" "&amp;'IND TECH'!D1554&amp;" "&amp;'IND TECH'!E1554&amp;" "&amp;'IND TECH'!F1554&amp;" "&amp;'IND TECH'!G1554&amp;" "&amp;'IND TECH'!H1554</f>
        <v xml:space="preserve">       </v>
      </c>
      <c r="E1556" t="e">
        <f t="shared" si="4"/>
        <v>#REF!</v>
      </c>
      <c r="F1556" t="e">
        <f>'IND TECH'!#REF!</f>
        <v>#REF!</v>
      </c>
    </row>
    <row r="1557" spans="3:6" x14ac:dyDescent="0.25">
      <c r="C1557">
        <f>'IND TECH'!L1555</f>
        <v>0</v>
      </c>
      <c r="D1557" t="str">
        <f>'IND TECH'!A1555&amp;" "&amp;'IND TECH'!B1555&amp;" "&amp;'IND TECH'!C1555&amp;" "&amp;'IND TECH'!D1555&amp;" "&amp;'IND TECH'!E1555&amp;" "&amp;'IND TECH'!F1555&amp;" "&amp;'IND TECH'!G1555&amp;" "&amp;'IND TECH'!H1555</f>
        <v xml:space="preserve">       </v>
      </c>
      <c r="E1557" t="e">
        <f t="shared" si="4"/>
        <v>#REF!</v>
      </c>
      <c r="F1557" t="e">
        <f>'IND TECH'!#REF!</f>
        <v>#REF!</v>
      </c>
    </row>
    <row r="1558" spans="3:6" x14ac:dyDescent="0.25">
      <c r="C1558">
        <f>'IND TECH'!L1556</f>
        <v>0</v>
      </c>
      <c r="D1558" t="str">
        <f>'IND TECH'!A1556&amp;" "&amp;'IND TECH'!B1556&amp;" "&amp;'IND TECH'!C1556&amp;" "&amp;'IND TECH'!D1556&amp;" "&amp;'IND TECH'!E1556&amp;" "&amp;'IND TECH'!F1556&amp;" "&amp;'IND TECH'!G1556&amp;" "&amp;'IND TECH'!H1556</f>
        <v xml:space="preserve">       </v>
      </c>
      <c r="E1558" t="e">
        <f t="shared" si="4"/>
        <v>#REF!</v>
      </c>
      <c r="F1558" t="e">
        <f>'IND TECH'!#REF!</f>
        <v>#REF!</v>
      </c>
    </row>
    <row r="1559" spans="3:6" x14ac:dyDescent="0.25">
      <c r="C1559">
        <f>'IND TECH'!L1557</f>
        <v>0</v>
      </c>
      <c r="D1559" t="str">
        <f>'IND TECH'!A1557&amp;" "&amp;'IND TECH'!B1557&amp;" "&amp;'IND TECH'!C1557&amp;" "&amp;'IND TECH'!D1557&amp;" "&amp;'IND TECH'!E1557&amp;" "&amp;'IND TECH'!F1557&amp;" "&amp;'IND TECH'!G1557&amp;" "&amp;'IND TECH'!H1557</f>
        <v xml:space="preserve">       </v>
      </c>
      <c r="E1559" t="e">
        <f t="shared" si="4"/>
        <v>#REF!</v>
      </c>
      <c r="F1559" t="e">
        <f>'IND TECH'!#REF!</f>
        <v>#REF!</v>
      </c>
    </row>
    <row r="1560" spans="3:6" x14ac:dyDescent="0.25">
      <c r="C1560">
        <f>'IND TECH'!L1558</f>
        <v>0</v>
      </c>
      <c r="D1560" t="str">
        <f>'IND TECH'!A1558&amp;" "&amp;'IND TECH'!B1558&amp;" "&amp;'IND TECH'!C1558&amp;" "&amp;'IND TECH'!D1558&amp;" "&amp;'IND TECH'!E1558&amp;" "&amp;'IND TECH'!F1558&amp;" "&amp;'IND TECH'!G1558&amp;" "&amp;'IND TECH'!H1558</f>
        <v xml:space="preserve">       </v>
      </c>
      <c r="E1560" t="e">
        <f t="shared" si="4"/>
        <v>#REF!</v>
      </c>
      <c r="F1560" t="e">
        <f>'IND TECH'!#REF!</f>
        <v>#REF!</v>
      </c>
    </row>
    <row r="1561" spans="3:6" x14ac:dyDescent="0.25">
      <c r="C1561">
        <f>'IND TECH'!L1559</f>
        <v>0</v>
      </c>
      <c r="D1561" t="str">
        <f>'IND TECH'!A1559&amp;" "&amp;'IND TECH'!B1559&amp;" "&amp;'IND TECH'!C1559&amp;" "&amp;'IND TECH'!D1559&amp;" "&amp;'IND TECH'!E1559&amp;" "&amp;'IND TECH'!F1559&amp;" "&amp;'IND TECH'!G1559&amp;" "&amp;'IND TECH'!H1559</f>
        <v xml:space="preserve">       </v>
      </c>
      <c r="E1561" t="e">
        <f t="shared" si="4"/>
        <v>#REF!</v>
      </c>
      <c r="F1561" t="e">
        <f>'IND TECH'!#REF!</f>
        <v>#REF!</v>
      </c>
    </row>
    <row r="1562" spans="3:6" x14ac:dyDescent="0.25">
      <c r="C1562">
        <f>'IND TECH'!L1560</f>
        <v>0</v>
      </c>
      <c r="D1562" t="str">
        <f>'IND TECH'!A1560&amp;" "&amp;'IND TECH'!B1560&amp;" "&amp;'IND TECH'!C1560&amp;" "&amp;'IND TECH'!D1560&amp;" "&amp;'IND TECH'!E1560&amp;" "&amp;'IND TECH'!F1560&amp;" "&amp;'IND TECH'!G1560&amp;" "&amp;'IND TECH'!H1560</f>
        <v xml:space="preserve">       </v>
      </c>
      <c r="E1562" t="e">
        <f t="shared" si="4"/>
        <v>#REF!</v>
      </c>
      <c r="F1562" t="e">
        <f>'IND TECH'!#REF!</f>
        <v>#REF!</v>
      </c>
    </row>
    <row r="1563" spans="3:6" x14ac:dyDescent="0.25">
      <c r="C1563">
        <f>'IND TECH'!L1561</f>
        <v>0</v>
      </c>
      <c r="D1563" t="str">
        <f>'IND TECH'!A1561&amp;" "&amp;'IND TECH'!B1561&amp;" "&amp;'IND TECH'!C1561&amp;" "&amp;'IND TECH'!D1561&amp;" "&amp;'IND TECH'!E1561&amp;" "&amp;'IND TECH'!F1561&amp;" "&amp;'IND TECH'!G1561&amp;" "&amp;'IND TECH'!H1561</f>
        <v xml:space="preserve">       </v>
      </c>
      <c r="E1563" t="e">
        <f t="shared" si="4"/>
        <v>#REF!</v>
      </c>
      <c r="F1563" t="e">
        <f>'IND TECH'!#REF!</f>
        <v>#REF!</v>
      </c>
    </row>
    <row r="1564" spans="3:6" x14ac:dyDescent="0.25">
      <c r="C1564">
        <f>'IND TECH'!L1562</f>
        <v>0</v>
      </c>
      <c r="D1564" t="str">
        <f>'IND TECH'!A1562&amp;" "&amp;'IND TECH'!B1562&amp;" "&amp;'IND TECH'!C1562&amp;" "&amp;'IND TECH'!D1562&amp;" "&amp;'IND TECH'!E1562&amp;" "&amp;'IND TECH'!F1562&amp;" "&amp;'IND TECH'!G1562&amp;" "&amp;'IND TECH'!H1562</f>
        <v xml:space="preserve">       </v>
      </c>
      <c r="E1564" t="e">
        <f t="shared" si="4"/>
        <v>#REF!</v>
      </c>
      <c r="F1564" t="e">
        <f>'IND TECH'!#REF!</f>
        <v>#REF!</v>
      </c>
    </row>
    <row r="1565" spans="3:6" x14ac:dyDescent="0.25">
      <c r="C1565">
        <f>'IND TECH'!L1563</f>
        <v>0</v>
      </c>
      <c r="D1565" t="str">
        <f>'IND TECH'!A1563&amp;" "&amp;'IND TECH'!B1563&amp;" "&amp;'IND TECH'!C1563&amp;" "&amp;'IND TECH'!D1563&amp;" "&amp;'IND TECH'!E1563&amp;" "&amp;'IND TECH'!F1563&amp;" "&amp;'IND TECH'!G1563&amp;" "&amp;'IND TECH'!H1563</f>
        <v xml:space="preserve">       </v>
      </c>
      <c r="E1565" t="e">
        <f t="shared" si="4"/>
        <v>#REF!</v>
      </c>
      <c r="F1565" t="e">
        <f>'IND TECH'!#REF!</f>
        <v>#REF!</v>
      </c>
    </row>
    <row r="1566" spans="3:6" x14ac:dyDescent="0.25">
      <c r="C1566">
        <f>'IND TECH'!L1564</f>
        <v>0</v>
      </c>
      <c r="D1566" t="str">
        <f>'IND TECH'!A1564&amp;" "&amp;'IND TECH'!B1564&amp;" "&amp;'IND TECH'!C1564&amp;" "&amp;'IND TECH'!D1564&amp;" "&amp;'IND TECH'!E1564&amp;" "&amp;'IND TECH'!F1564&amp;" "&amp;'IND TECH'!G1564&amp;" "&amp;'IND TECH'!H1564</f>
        <v xml:space="preserve">       </v>
      </c>
      <c r="E1566" t="e">
        <f t="shared" si="4"/>
        <v>#REF!</v>
      </c>
      <c r="F1566" t="e">
        <f>'IND TECH'!#REF!</f>
        <v>#REF!</v>
      </c>
    </row>
    <row r="1567" spans="3:6" x14ac:dyDescent="0.25">
      <c r="C1567">
        <f>'IND TECH'!L1565</f>
        <v>0</v>
      </c>
      <c r="D1567" t="str">
        <f>'IND TECH'!A1565&amp;" "&amp;'IND TECH'!B1565&amp;" "&amp;'IND TECH'!C1565&amp;" "&amp;'IND TECH'!D1565&amp;" "&amp;'IND TECH'!E1565&amp;" "&amp;'IND TECH'!F1565&amp;" "&amp;'IND TECH'!G1565&amp;" "&amp;'IND TECH'!H1565</f>
        <v xml:space="preserve">       </v>
      </c>
      <c r="E1567" t="e">
        <f t="shared" si="4"/>
        <v>#REF!</v>
      </c>
      <c r="F1567" t="e">
        <f>'IND TECH'!#REF!</f>
        <v>#REF!</v>
      </c>
    </row>
    <row r="1568" spans="3:6" x14ac:dyDescent="0.25">
      <c r="C1568">
        <f>'IND TECH'!L1566</f>
        <v>0</v>
      </c>
      <c r="D1568" t="str">
        <f>'IND TECH'!A1566&amp;" "&amp;'IND TECH'!B1566&amp;" "&amp;'IND TECH'!C1566&amp;" "&amp;'IND TECH'!D1566&amp;" "&amp;'IND TECH'!E1566&amp;" "&amp;'IND TECH'!F1566&amp;" "&amp;'IND TECH'!G1566&amp;" "&amp;'IND TECH'!H1566</f>
        <v xml:space="preserve">       </v>
      </c>
      <c r="E1568" t="e">
        <f t="shared" si="4"/>
        <v>#REF!</v>
      </c>
      <c r="F1568" t="e">
        <f>'IND TECH'!#REF!</f>
        <v>#REF!</v>
      </c>
    </row>
    <row r="1569" spans="3:6" x14ac:dyDescent="0.25">
      <c r="C1569">
        <f>'IND TECH'!L1567</f>
        <v>0</v>
      </c>
      <c r="D1569" t="str">
        <f>'IND TECH'!A1567&amp;" "&amp;'IND TECH'!B1567&amp;" "&amp;'IND TECH'!C1567&amp;" "&amp;'IND TECH'!D1567&amp;" "&amp;'IND TECH'!E1567&amp;" "&amp;'IND TECH'!F1567&amp;" "&amp;'IND TECH'!G1567&amp;" "&amp;'IND TECH'!H1567</f>
        <v xml:space="preserve">       </v>
      </c>
      <c r="E1569" t="e">
        <f t="shared" si="4"/>
        <v>#REF!</v>
      </c>
      <c r="F1569" t="e">
        <f>'IND TECH'!#REF!</f>
        <v>#REF!</v>
      </c>
    </row>
    <row r="1570" spans="3:6" x14ac:dyDescent="0.25">
      <c r="C1570">
        <f>'IND TECH'!L1568</f>
        <v>0</v>
      </c>
      <c r="D1570" t="str">
        <f>'IND TECH'!A1568&amp;" "&amp;'IND TECH'!B1568&amp;" "&amp;'IND TECH'!C1568&amp;" "&amp;'IND TECH'!D1568&amp;" "&amp;'IND TECH'!E1568&amp;" "&amp;'IND TECH'!F1568&amp;" "&amp;'IND TECH'!G1568&amp;" "&amp;'IND TECH'!H1568</f>
        <v xml:space="preserve">       </v>
      </c>
      <c r="E1570" t="e">
        <f t="shared" si="4"/>
        <v>#REF!</v>
      </c>
      <c r="F1570" t="e">
        <f>'IND TECH'!#REF!</f>
        <v>#REF!</v>
      </c>
    </row>
    <row r="1571" spans="3:6" x14ac:dyDescent="0.25">
      <c r="C1571">
        <f>'IND TECH'!L1569</f>
        <v>0</v>
      </c>
      <c r="D1571" t="str">
        <f>'IND TECH'!A1569&amp;" "&amp;'IND TECH'!B1569&amp;" "&amp;'IND TECH'!C1569&amp;" "&amp;'IND TECH'!D1569&amp;" "&amp;'IND TECH'!E1569&amp;" "&amp;'IND TECH'!F1569&amp;" "&amp;'IND TECH'!G1569&amp;" "&amp;'IND TECH'!H1569</f>
        <v xml:space="preserve">       </v>
      </c>
      <c r="E1571" t="e">
        <f t="shared" si="4"/>
        <v>#REF!</v>
      </c>
      <c r="F1571" t="e">
        <f>'IND TECH'!#REF!</f>
        <v>#REF!</v>
      </c>
    </row>
    <row r="1572" spans="3:6" x14ac:dyDescent="0.25">
      <c r="C1572">
        <f>'IND TECH'!L1570</f>
        <v>0</v>
      </c>
      <c r="D1572" t="str">
        <f>'IND TECH'!A1570&amp;" "&amp;'IND TECH'!B1570&amp;" "&amp;'IND TECH'!C1570&amp;" "&amp;'IND TECH'!D1570&amp;" "&amp;'IND TECH'!E1570&amp;" "&amp;'IND TECH'!F1570&amp;" "&amp;'IND TECH'!G1570&amp;" "&amp;'IND TECH'!H1570</f>
        <v xml:space="preserve">       </v>
      </c>
      <c r="E1572" t="e">
        <f t="shared" si="4"/>
        <v>#REF!</v>
      </c>
      <c r="F1572" t="e">
        <f>'IND TECH'!#REF!</f>
        <v>#REF!</v>
      </c>
    </row>
    <row r="1573" spans="3:6" x14ac:dyDescent="0.25">
      <c r="C1573">
        <f>'IND TECH'!L1571</f>
        <v>0</v>
      </c>
      <c r="D1573" t="str">
        <f>'IND TECH'!A1571&amp;" "&amp;'IND TECH'!B1571&amp;" "&amp;'IND TECH'!C1571&amp;" "&amp;'IND TECH'!D1571&amp;" "&amp;'IND TECH'!E1571&amp;" "&amp;'IND TECH'!F1571&amp;" "&amp;'IND TECH'!G1571&amp;" "&amp;'IND TECH'!H1571</f>
        <v xml:space="preserve">       </v>
      </c>
      <c r="E1573" t="e">
        <f t="shared" si="4"/>
        <v>#REF!</v>
      </c>
      <c r="F1573" t="e">
        <f>'IND TECH'!#REF!</f>
        <v>#REF!</v>
      </c>
    </row>
    <row r="1574" spans="3:6" x14ac:dyDescent="0.25">
      <c r="C1574">
        <f>'IND TECH'!L1572</f>
        <v>0</v>
      </c>
      <c r="D1574" t="str">
        <f>'IND TECH'!A1572&amp;" "&amp;'IND TECH'!B1572&amp;" "&amp;'IND TECH'!C1572&amp;" "&amp;'IND TECH'!D1572&amp;" "&amp;'IND TECH'!E1572&amp;" "&amp;'IND TECH'!F1572&amp;" "&amp;'IND TECH'!G1572&amp;" "&amp;'IND TECH'!H1572</f>
        <v xml:space="preserve">       </v>
      </c>
      <c r="E1574" t="e">
        <f t="shared" si="4"/>
        <v>#REF!</v>
      </c>
      <c r="F1574" t="e">
        <f>'IND TECH'!#REF!</f>
        <v>#REF!</v>
      </c>
    </row>
    <row r="1575" spans="3:6" x14ac:dyDescent="0.25">
      <c r="C1575">
        <f>'IND TECH'!L1573</f>
        <v>0</v>
      </c>
      <c r="D1575" t="str">
        <f>'IND TECH'!A1573&amp;" "&amp;'IND TECH'!B1573&amp;" "&amp;'IND TECH'!C1573&amp;" "&amp;'IND TECH'!D1573&amp;" "&amp;'IND TECH'!E1573&amp;" "&amp;'IND TECH'!F1573&amp;" "&amp;'IND TECH'!G1573&amp;" "&amp;'IND TECH'!H1573</f>
        <v xml:space="preserve">       </v>
      </c>
      <c r="E1575" t="e">
        <f t="shared" si="4"/>
        <v>#REF!</v>
      </c>
      <c r="F1575" t="e">
        <f>'IND TECH'!#REF!</f>
        <v>#REF!</v>
      </c>
    </row>
    <row r="1576" spans="3:6" x14ac:dyDescent="0.25">
      <c r="C1576">
        <f>'IND TECH'!L1574</f>
        <v>0</v>
      </c>
      <c r="D1576" t="str">
        <f>'IND TECH'!A1574&amp;" "&amp;'IND TECH'!B1574&amp;" "&amp;'IND TECH'!C1574&amp;" "&amp;'IND TECH'!D1574&amp;" "&amp;'IND TECH'!E1574&amp;" "&amp;'IND TECH'!F1574&amp;" "&amp;'IND TECH'!G1574&amp;" "&amp;'IND TECH'!H1574</f>
        <v xml:space="preserve">       </v>
      </c>
      <c r="E1576" t="e">
        <f t="shared" si="4"/>
        <v>#REF!</v>
      </c>
      <c r="F1576" t="e">
        <f>'IND TECH'!#REF!</f>
        <v>#REF!</v>
      </c>
    </row>
    <row r="1577" spans="3:6" x14ac:dyDescent="0.25">
      <c r="C1577">
        <f>'IND TECH'!L1575</f>
        <v>0</v>
      </c>
      <c r="D1577" t="str">
        <f>'IND TECH'!A1575&amp;" "&amp;'IND TECH'!B1575&amp;" "&amp;'IND TECH'!C1575&amp;" "&amp;'IND TECH'!D1575&amp;" "&amp;'IND TECH'!E1575&amp;" "&amp;'IND TECH'!F1575&amp;" "&amp;'IND TECH'!G1575&amp;" "&amp;'IND TECH'!H1575</f>
        <v xml:space="preserve">       </v>
      </c>
      <c r="E1577" t="e">
        <f t="shared" si="4"/>
        <v>#REF!</v>
      </c>
      <c r="F1577" t="e">
        <f>'IND TECH'!#REF!</f>
        <v>#REF!</v>
      </c>
    </row>
    <row r="1578" spans="3:6" x14ac:dyDescent="0.25">
      <c r="C1578">
        <f>'IND TECH'!L1576</f>
        <v>0</v>
      </c>
      <c r="D1578" t="str">
        <f>'IND TECH'!A1576&amp;" "&amp;'IND TECH'!B1576&amp;" "&amp;'IND TECH'!C1576&amp;" "&amp;'IND TECH'!D1576&amp;" "&amp;'IND TECH'!E1576&amp;" "&amp;'IND TECH'!F1576&amp;" "&amp;'IND TECH'!G1576&amp;" "&amp;'IND TECH'!H1576</f>
        <v xml:space="preserve">       </v>
      </c>
      <c r="E1578" t="e">
        <f t="shared" si="4"/>
        <v>#REF!</v>
      </c>
      <c r="F1578" t="e">
        <f>'IND TECH'!#REF!</f>
        <v>#REF!</v>
      </c>
    </row>
    <row r="1579" spans="3:6" x14ac:dyDescent="0.25">
      <c r="C1579">
        <f>'IND TECH'!L1577</f>
        <v>0</v>
      </c>
      <c r="D1579" t="str">
        <f>'IND TECH'!A1577&amp;" "&amp;'IND TECH'!B1577&amp;" "&amp;'IND TECH'!C1577&amp;" "&amp;'IND TECH'!D1577&amp;" "&amp;'IND TECH'!E1577&amp;" "&amp;'IND TECH'!F1577&amp;" "&amp;'IND TECH'!G1577&amp;" "&amp;'IND TECH'!H1577</f>
        <v xml:space="preserve">       </v>
      </c>
      <c r="E1579" t="e">
        <f t="shared" si="4"/>
        <v>#REF!</v>
      </c>
      <c r="F1579" t="e">
        <f>'IND TECH'!#REF!</f>
        <v>#REF!</v>
      </c>
    </row>
    <row r="1580" spans="3:6" x14ac:dyDescent="0.25">
      <c r="C1580">
        <f>'IND TECH'!L1578</f>
        <v>0</v>
      </c>
      <c r="D1580" t="str">
        <f>'IND TECH'!A1578&amp;" "&amp;'IND TECH'!B1578&amp;" "&amp;'IND TECH'!C1578&amp;" "&amp;'IND TECH'!D1578&amp;" "&amp;'IND TECH'!E1578&amp;" "&amp;'IND TECH'!F1578&amp;" "&amp;'IND TECH'!G1578&amp;" "&amp;'IND TECH'!H1578</f>
        <v xml:space="preserve">       </v>
      </c>
      <c r="E1580" t="e">
        <f t="shared" si="4"/>
        <v>#REF!</v>
      </c>
      <c r="F1580" t="e">
        <f>'IND TECH'!#REF!</f>
        <v>#REF!</v>
      </c>
    </row>
    <row r="1581" spans="3:6" x14ac:dyDescent="0.25">
      <c r="C1581">
        <f>'IND TECH'!L1579</f>
        <v>0</v>
      </c>
      <c r="D1581" t="str">
        <f>'IND TECH'!A1579&amp;" "&amp;'IND TECH'!B1579&amp;" "&amp;'IND TECH'!C1579&amp;" "&amp;'IND TECH'!D1579&amp;" "&amp;'IND TECH'!E1579&amp;" "&amp;'IND TECH'!F1579&amp;" "&amp;'IND TECH'!G1579&amp;" "&amp;'IND TECH'!H1579</f>
        <v xml:space="preserve">       </v>
      </c>
      <c r="E1581" t="e">
        <f t="shared" si="4"/>
        <v>#REF!</v>
      </c>
      <c r="F1581" t="e">
        <f>'IND TECH'!#REF!</f>
        <v>#REF!</v>
      </c>
    </row>
    <row r="1582" spans="3:6" x14ac:dyDescent="0.25">
      <c r="C1582">
        <f>'IND TECH'!L1580</f>
        <v>0</v>
      </c>
      <c r="D1582" t="str">
        <f>'IND TECH'!A1580&amp;" "&amp;'IND TECH'!B1580&amp;" "&amp;'IND TECH'!C1580&amp;" "&amp;'IND TECH'!D1580&amp;" "&amp;'IND TECH'!E1580&amp;" "&amp;'IND TECH'!F1580&amp;" "&amp;'IND TECH'!G1580&amp;" "&amp;'IND TECH'!H1580</f>
        <v xml:space="preserve">       </v>
      </c>
      <c r="E1582" t="e">
        <f t="shared" si="4"/>
        <v>#REF!</v>
      </c>
      <c r="F1582" t="e">
        <f>'IND TECH'!#REF!</f>
        <v>#REF!</v>
      </c>
    </row>
    <row r="1583" spans="3:6" x14ac:dyDescent="0.25">
      <c r="C1583">
        <f>'IND TECH'!L1581</f>
        <v>0</v>
      </c>
      <c r="D1583" t="str">
        <f>'IND TECH'!A1581&amp;" "&amp;'IND TECH'!B1581&amp;" "&amp;'IND TECH'!C1581&amp;" "&amp;'IND TECH'!D1581&amp;" "&amp;'IND TECH'!E1581&amp;" "&amp;'IND TECH'!F1581&amp;" "&amp;'IND TECH'!G1581&amp;" "&amp;'IND TECH'!H1581</f>
        <v xml:space="preserve">       </v>
      </c>
      <c r="E1583" t="e">
        <f t="shared" si="4"/>
        <v>#REF!</v>
      </c>
      <c r="F1583" t="e">
        <f>'IND TECH'!#REF!</f>
        <v>#REF!</v>
      </c>
    </row>
    <row r="1584" spans="3:6" x14ac:dyDescent="0.25">
      <c r="C1584">
        <f>'IND TECH'!L1582</f>
        <v>0</v>
      </c>
      <c r="D1584" t="str">
        <f>'IND TECH'!A1582&amp;" "&amp;'IND TECH'!B1582&amp;" "&amp;'IND TECH'!C1582&amp;" "&amp;'IND TECH'!D1582&amp;" "&amp;'IND TECH'!E1582&amp;" "&amp;'IND TECH'!F1582&amp;" "&amp;'IND TECH'!G1582&amp;" "&amp;'IND TECH'!H1582</f>
        <v xml:space="preserve">       </v>
      </c>
      <c r="E1584" t="e">
        <f t="shared" si="4"/>
        <v>#REF!</v>
      </c>
      <c r="F1584" t="e">
        <f>'IND TECH'!#REF!</f>
        <v>#REF!</v>
      </c>
    </row>
    <row r="1585" spans="3:6" x14ac:dyDescent="0.25">
      <c r="C1585">
        <f>'IND TECH'!L1583</f>
        <v>0</v>
      </c>
      <c r="D1585" t="str">
        <f>'IND TECH'!A1583&amp;" "&amp;'IND TECH'!B1583&amp;" "&amp;'IND TECH'!C1583&amp;" "&amp;'IND TECH'!D1583&amp;" "&amp;'IND TECH'!E1583&amp;" "&amp;'IND TECH'!F1583&amp;" "&amp;'IND TECH'!G1583&amp;" "&amp;'IND TECH'!H1583</f>
        <v xml:space="preserve">       </v>
      </c>
      <c r="E1585" t="e">
        <f t="shared" si="4"/>
        <v>#REF!</v>
      </c>
      <c r="F1585" t="e">
        <f>'IND TECH'!#REF!</f>
        <v>#REF!</v>
      </c>
    </row>
    <row r="1586" spans="3:6" x14ac:dyDescent="0.25">
      <c r="C1586">
        <f>'IND TECH'!L1584</f>
        <v>0</v>
      </c>
      <c r="D1586" t="str">
        <f>'IND TECH'!A1584&amp;" "&amp;'IND TECH'!B1584&amp;" "&amp;'IND TECH'!C1584&amp;" "&amp;'IND TECH'!D1584&amp;" "&amp;'IND TECH'!E1584&amp;" "&amp;'IND TECH'!F1584&amp;" "&amp;'IND TECH'!G1584&amp;" "&amp;'IND TECH'!H1584</f>
        <v xml:space="preserve">       </v>
      </c>
      <c r="E1586" t="e">
        <f t="shared" si="4"/>
        <v>#REF!</v>
      </c>
      <c r="F1586" t="e">
        <f>'IND TECH'!#REF!</f>
        <v>#REF!</v>
      </c>
    </row>
    <row r="1587" spans="3:6" x14ac:dyDescent="0.25">
      <c r="C1587">
        <f>'IND TECH'!L1585</f>
        <v>0</v>
      </c>
      <c r="D1587" t="str">
        <f>'IND TECH'!A1585&amp;" "&amp;'IND TECH'!B1585&amp;" "&amp;'IND TECH'!C1585&amp;" "&amp;'IND TECH'!D1585&amp;" "&amp;'IND TECH'!E1585&amp;" "&amp;'IND TECH'!F1585&amp;" "&amp;'IND TECH'!G1585&amp;" "&amp;'IND TECH'!H1585</f>
        <v xml:space="preserve">       </v>
      </c>
      <c r="E1587" t="e">
        <f t="shared" si="4"/>
        <v>#REF!</v>
      </c>
      <c r="F1587" t="e">
        <f>'IND TECH'!#REF!</f>
        <v>#REF!</v>
      </c>
    </row>
    <row r="1588" spans="3:6" x14ac:dyDescent="0.25">
      <c r="C1588">
        <f>'IND TECH'!L1586</f>
        <v>0</v>
      </c>
      <c r="D1588" t="str">
        <f>'IND TECH'!A1586&amp;" "&amp;'IND TECH'!B1586&amp;" "&amp;'IND TECH'!C1586&amp;" "&amp;'IND TECH'!D1586&amp;" "&amp;'IND TECH'!E1586&amp;" "&amp;'IND TECH'!F1586&amp;" "&amp;'IND TECH'!G1586&amp;" "&amp;'IND TECH'!H1586</f>
        <v xml:space="preserve">       </v>
      </c>
      <c r="E1588" t="e">
        <f t="shared" si="4"/>
        <v>#REF!</v>
      </c>
      <c r="F1588" t="e">
        <f>'IND TECH'!#REF!</f>
        <v>#REF!</v>
      </c>
    </row>
    <row r="1589" spans="3:6" x14ac:dyDescent="0.25">
      <c r="C1589">
        <f>'IND TECH'!L1587</f>
        <v>0</v>
      </c>
      <c r="D1589" t="str">
        <f>'IND TECH'!A1587&amp;" "&amp;'IND TECH'!B1587&amp;" "&amp;'IND TECH'!C1587&amp;" "&amp;'IND TECH'!D1587&amp;" "&amp;'IND TECH'!E1587&amp;" "&amp;'IND TECH'!F1587&amp;" "&amp;'IND TECH'!G1587&amp;" "&amp;'IND TECH'!H1587</f>
        <v xml:space="preserve">       </v>
      </c>
      <c r="E1589" t="e">
        <f t="shared" si="4"/>
        <v>#REF!</v>
      </c>
      <c r="F1589" t="e">
        <f>'IND TECH'!#REF!</f>
        <v>#REF!</v>
      </c>
    </row>
    <row r="1590" spans="3:6" x14ac:dyDescent="0.25">
      <c r="C1590">
        <f>'IND TECH'!L1588</f>
        <v>0</v>
      </c>
      <c r="D1590" t="str">
        <f>'IND TECH'!A1588&amp;" "&amp;'IND TECH'!B1588&amp;" "&amp;'IND TECH'!C1588&amp;" "&amp;'IND TECH'!D1588&amp;" "&amp;'IND TECH'!E1588&amp;" "&amp;'IND TECH'!F1588&amp;" "&amp;'IND TECH'!G1588&amp;" "&amp;'IND TECH'!H1588</f>
        <v xml:space="preserve">       </v>
      </c>
      <c r="E1590" t="e">
        <f t="shared" si="4"/>
        <v>#REF!</v>
      </c>
      <c r="F1590" t="e">
        <f>'IND TECH'!#REF!</f>
        <v>#REF!</v>
      </c>
    </row>
    <row r="1591" spans="3:6" x14ac:dyDescent="0.25">
      <c r="C1591">
        <f>'IND TECH'!L1589</f>
        <v>0</v>
      </c>
      <c r="D1591" t="str">
        <f>'IND TECH'!A1589&amp;" "&amp;'IND TECH'!B1589&amp;" "&amp;'IND TECH'!C1589&amp;" "&amp;'IND TECH'!D1589&amp;" "&amp;'IND TECH'!E1589&amp;" "&amp;'IND TECH'!F1589&amp;" "&amp;'IND TECH'!G1589&amp;" "&amp;'IND TECH'!H1589</f>
        <v xml:space="preserve">       </v>
      </c>
      <c r="E1591" t="e">
        <f t="shared" si="4"/>
        <v>#REF!</v>
      </c>
      <c r="F1591" t="e">
        <f>'IND TECH'!#REF!</f>
        <v>#REF!</v>
      </c>
    </row>
    <row r="1592" spans="3:6" x14ac:dyDescent="0.25">
      <c r="C1592">
        <f>'IND TECH'!L1590</f>
        <v>0</v>
      </c>
      <c r="D1592" t="str">
        <f>'IND TECH'!A1590&amp;" "&amp;'IND TECH'!B1590&amp;" "&amp;'IND TECH'!C1590&amp;" "&amp;'IND TECH'!D1590&amp;" "&amp;'IND TECH'!E1590&amp;" "&amp;'IND TECH'!F1590&amp;" "&amp;'IND TECH'!G1590&amp;" "&amp;'IND TECH'!H1590</f>
        <v xml:space="preserve">       </v>
      </c>
      <c r="E1592" t="e">
        <f t="shared" si="4"/>
        <v>#REF!</v>
      </c>
      <c r="F1592" t="e">
        <f>'IND TECH'!#REF!</f>
        <v>#REF!</v>
      </c>
    </row>
    <row r="1593" spans="3:6" x14ac:dyDescent="0.25">
      <c r="C1593">
        <f>'IND TECH'!L1591</f>
        <v>0</v>
      </c>
      <c r="D1593" t="str">
        <f>'IND TECH'!A1591&amp;" "&amp;'IND TECH'!B1591&amp;" "&amp;'IND TECH'!C1591&amp;" "&amp;'IND TECH'!D1591&amp;" "&amp;'IND TECH'!E1591&amp;" "&amp;'IND TECH'!F1591&amp;" "&amp;'IND TECH'!G1591&amp;" "&amp;'IND TECH'!H1591</f>
        <v xml:space="preserve">       </v>
      </c>
      <c r="E1593" t="e">
        <f t="shared" si="4"/>
        <v>#REF!</v>
      </c>
      <c r="F1593" t="e">
        <f>'IND TECH'!#REF!</f>
        <v>#REF!</v>
      </c>
    </row>
    <row r="1594" spans="3:6" x14ac:dyDescent="0.25">
      <c r="C1594">
        <f>'IND TECH'!L1592</f>
        <v>0</v>
      </c>
      <c r="D1594" t="str">
        <f>'IND TECH'!A1592&amp;" "&amp;'IND TECH'!B1592&amp;" "&amp;'IND TECH'!C1592&amp;" "&amp;'IND TECH'!D1592&amp;" "&amp;'IND TECH'!E1592&amp;" "&amp;'IND TECH'!F1592&amp;" "&amp;'IND TECH'!G1592&amp;" "&amp;'IND TECH'!H1592</f>
        <v xml:space="preserve">       </v>
      </c>
      <c r="E1594" t="e">
        <f t="shared" si="4"/>
        <v>#REF!</v>
      </c>
      <c r="F1594" t="e">
        <f>'IND TECH'!#REF!</f>
        <v>#REF!</v>
      </c>
    </row>
    <row r="1595" spans="3:6" x14ac:dyDescent="0.25">
      <c r="C1595">
        <f>'IND TECH'!L1593</f>
        <v>0</v>
      </c>
      <c r="D1595" t="str">
        <f>'IND TECH'!A1593&amp;" "&amp;'IND TECH'!B1593&amp;" "&amp;'IND TECH'!C1593&amp;" "&amp;'IND TECH'!D1593&amp;" "&amp;'IND TECH'!E1593&amp;" "&amp;'IND TECH'!F1593&amp;" "&amp;'IND TECH'!G1593&amp;" "&amp;'IND TECH'!H1593</f>
        <v xml:space="preserve">       </v>
      </c>
      <c r="E1595" t="e">
        <f t="shared" si="4"/>
        <v>#REF!</v>
      </c>
      <c r="F1595" t="e">
        <f>'IND TECH'!#REF!</f>
        <v>#REF!</v>
      </c>
    </row>
    <row r="1596" spans="3:6" x14ac:dyDescent="0.25">
      <c r="C1596">
        <f>'IND TECH'!L1594</f>
        <v>0</v>
      </c>
      <c r="D1596" t="str">
        <f>'IND TECH'!A1594&amp;" "&amp;'IND TECH'!B1594&amp;" "&amp;'IND TECH'!C1594&amp;" "&amp;'IND TECH'!D1594&amp;" "&amp;'IND TECH'!E1594&amp;" "&amp;'IND TECH'!F1594&amp;" "&amp;'IND TECH'!G1594&amp;" "&amp;'IND TECH'!H1594</f>
        <v xml:space="preserve">       </v>
      </c>
      <c r="E1596" t="e">
        <f t="shared" si="4"/>
        <v>#REF!</v>
      </c>
      <c r="F1596" t="e">
        <f>'IND TECH'!#REF!</f>
        <v>#REF!</v>
      </c>
    </row>
    <row r="1597" spans="3:6" x14ac:dyDescent="0.25">
      <c r="C1597">
        <f>'IND TECH'!L1595</f>
        <v>0</v>
      </c>
      <c r="D1597" t="str">
        <f>'IND TECH'!A1595&amp;" "&amp;'IND TECH'!B1595&amp;" "&amp;'IND TECH'!C1595&amp;" "&amp;'IND TECH'!D1595&amp;" "&amp;'IND TECH'!E1595&amp;" "&amp;'IND TECH'!F1595&amp;" "&amp;'IND TECH'!G1595&amp;" "&amp;'IND TECH'!H1595</f>
        <v xml:space="preserve">       </v>
      </c>
      <c r="E1597" t="e">
        <f t="shared" si="4"/>
        <v>#REF!</v>
      </c>
      <c r="F1597" t="e">
        <f>'IND TECH'!#REF!</f>
        <v>#REF!</v>
      </c>
    </row>
    <row r="1598" spans="3:6" x14ac:dyDescent="0.25">
      <c r="C1598">
        <f>'IND TECH'!L1596</f>
        <v>0</v>
      </c>
      <c r="D1598" t="str">
        <f>'IND TECH'!A1596&amp;" "&amp;'IND TECH'!B1596&amp;" "&amp;'IND TECH'!C1596&amp;" "&amp;'IND TECH'!D1596&amp;" "&amp;'IND TECH'!E1596&amp;" "&amp;'IND TECH'!F1596&amp;" "&amp;'IND TECH'!G1596&amp;" "&amp;'IND TECH'!H1596</f>
        <v xml:space="preserve">       </v>
      </c>
      <c r="E1598" t="e">
        <f t="shared" si="4"/>
        <v>#REF!</v>
      </c>
      <c r="F1598" t="e">
        <f>'IND TECH'!#REF!</f>
        <v>#REF!</v>
      </c>
    </row>
    <row r="1599" spans="3:6" x14ac:dyDescent="0.25">
      <c r="C1599">
        <f>'IND TECH'!L1597</f>
        <v>0</v>
      </c>
      <c r="D1599" t="str">
        <f>'IND TECH'!A1597&amp;" "&amp;'IND TECH'!B1597&amp;" "&amp;'IND TECH'!C1597&amp;" "&amp;'IND TECH'!D1597&amp;" "&amp;'IND TECH'!E1597&amp;" "&amp;'IND TECH'!F1597&amp;" "&amp;'IND TECH'!G1597&amp;" "&amp;'IND TECH'!H1597</f>
        <v xml:space="preserve">       </v>
      </c>
      <c r="E1599" t="e">
        <f t="shared" si="4"/>
        <v>#REF!</v>
      </c>
      <c r="F1599" t="e">
        <f>'IND TECH'!#REF!</f>
        <v>#REF!</v>
      </c>
    </row>
    <row r="1600" spans="3:6" x14ac:dyDescent="0.25">
      <c r="C1600">
        <f>'IND TECH'!L1598</f>
        <v>0</v>
      </c>
      <c r="D1600" t="str">
        <f>'IND TECH'!A1598&amp;" "&amp;'IND TECH'!B1598&amp;" "&amp;'IND TECH'!C1598&amp;" "&amp;'IND TECH'!D1598&amp;" "&amp;'IND TECH'!E1598&amp;" "&amp;'IND TECH'!F1598&amp;" "&amp;'IND TECH'!G1598&amp;" "&amp;'IND TECH'!H1598</f>
        <v xml:space="preserve">       </v>
      </c>
      <c r="E1600" t="e">
        <f t="shared" si="4"/>
        <v>#REF!</v>
      </c>
      <c r="F1600" t="e">
        <f>'IND TECH'!#REF!</f>
        <v>#REF!</v>
      </c>
    </row>
    <row r="1601" spans="3:6" x14ac:dyDescent="0.25">
      <c r="C1601">
        <f>'IND TECH'!L1599</f>
        <v>0</v>
      </c>
      <c r="D1601" t="str">
        <f>'IND TECH'!A1599&amp;" "&amp;'IND TECH'!B1599&amp;" "&amp;'IND TECH'!C1599&amp;" "&amp;'IND TECH'!D1599&amp;" "&amp;'IND TECH'!E1599&amp;" "&amp;'IND TECH'!F1599&amp;" "&amp;'IND TECH'!G1599&amp;" "&amp;'IND TECH'!H1599</f>
        <v xml:space="preserve">       </v>
      </c>
      <c r="E1601" t="e">
        <f t="shared" si="4"/>
        <v>#REF!</v>
      </c>
      <c r="F1601" t="e">
        <f>'IND TECH'!#REF!</f>
        <v>#REF!</v>
      </c>
    </row>
    <row r="1602" spans="3:6" x14ac:dyDescent="0.25">
      <c r="C1602">
        <f>'IND TECH'!L1600</f>
        <v>0</v>
      </c>
      <c r="D1602" t="str">
        <f>'IND TECH'!A1600&amp;" "&amp;'IND TECH'!B1600&amp;" "&amp;'IND TECH'!C1600&amp;" "&amp;'IND TECH'!D1600&amp;" "&amp;'IND TECH'!E1600&amp;" "&amp;'IND TECH'!F1600&amp;" "&amp;'IND TECH'!G1600&amp;" "&amp;'IND TECH'!H1600</f>
        <v xml:space="preserve">       </v>
      </c>
      <c r="E1602" t="e">
        <f t="shared" si="4"/>
        <v>#REF!</v>
      </c>
      <c r="F1602" t="e">
        <f>'IND TECH'!#REF!</f>
        <v>#REF!</v>
      </c>
    </row>
    <row r="1603" spans="3:6" x14ac:dyDescent="0.25">
      <c r="C1603">
        <f>'IND TECH'!L1601</f>
        <v>0</v>
      </c>
      <c r="D1603" t="str">
        <f>'IND TECH'!A1601&amp;" "&amp;'IND TECH'!B1601&amp;" "&amp;'IND TECH'!C1601&amp;" "&amp;'IND TECH'!D1601&amp;" "&amp;'IND TECH'!E1601&amp;" "&amp;'IND TECH'!F1601&amp;" "&amp;'IND TECH'!G1601&amp;" "&amp;'IND TECH'!H1601</f>
        <v xml:space="preserve">       </v>
      </c>
      <c r="E1603" t="e">
        <f t="shared" si="4"/>
        <v>#REF!</v>
      </c>
      <c r="F1603" t="e">
        <f>'IND TECH'!#REF!</f>
        <v>#REF!</v>
      </c>
    </row>
    <row r="1604" spans="3:6" x14ac:dyDescent="0.25">
      <c r="C1604">
        <f>'IND TECH'!L1602</f>
        <v>0</v>
      </c>
      <c r="D1604" t="str">
        <f>'IND TECH'!A1602&amp;" "&amp;'IND TECH'!B1602&amp;" "&amp;'IND TECH'!C1602&amp;" "&amp;'IND TECH'!D1602&amp;" "&amp;'IND TECH'!E1602&amp;" "&amp;'IND TECH'!F1602&amp;" "&amp;'IND TECH'!G1602&amp;" "&amp;'IND TECH'!H1602</f>
        <v xml:space="preserve">       </v>
      </c>
      <c r="E1604" t="e">
        <f t="shared" si="4"/>
        <v>#REF!</v>
      </c>
      <c r="F1604" t="e">
        <f>'IND TECH'!#REF!</f>
        <v>#REF!</v>
      </c>
    </row>
    <row r="1605" spans="3:6" x14ac:dyDescent="0.25">
      <c r="C1605">
        <f>'IND TECH'!L1603</f>
        <v>0</v>
      </c>
      <c r="D1605" t="str">
        <f>'IND TECH'!A1603&amp;" "&amp;'IND TECH'!B1603&amp;" "&amp;'IND TECH'!C1603&amp;" "&amp;'IND TECH'!D1603&amp;" "&amp;'IND TECH'!E1603&amp;" "&amp;'IND TECH'!F1603&amp;" "&amp;'IND TECH'!G1603&amp;" "&amp;'IND TECH'!H1603</f>
        <v xml:space="preserve">       </v>
      </c>
      <c r="E1605" t="e">
        <f t="shared" si="4"/>
        <v>#REF!</v>
      </c>
      <c r="F1605" t="e">
        <f>'IND TECH'!#REF!</f>
        <v>#REF!</v>
      </c>
    </row>
    <row r="1606" spans="3:6" x14ac:dyDescent="0.25">
      <c r="C1606">
        <f>'IND TECH'!L1604</f>
        <v>0</v>
      </c>
      <c r="D1606" t="str">
        <f>'IND TECH'!A1604&amp;" "&amp;'IND TECH'!B1604&amp;" "&amp;'IND TECH'!C1604&amp;" "&amp;'IND TECH'!D1604&amp;" "&amp;'IND TECH'!E1604&amp;" "&amp;'IND TECH'!F1604&amp;" "&amp;'IND TECH'!G1604&amp;" "&amp;'IND TECH'!H1604</f>
        <v xml:space="preserve">       </v>
      </c>
      <c r="E1606" t="e">
        <f t="shared" si="4"/>
        <v>#REF!</v>
      </c>
      <c r="F1606" t="e">
        <f>'IND TECH'!#REF!</f>
        <v>#REF!</v>
      </c>
    </row>
    <row r="1607" spans="3:6" x14ac:dyDescent="0.25">
      <c r="C1607">
        <f>'IND TECH'!L1605</f>
        <v>0</v>
      </c>
      <c r="D1607" t="str">
        <f>'IND TECH'!A1605&amp;" "&amp;'IND TECH'!B1605&amp;" "&amp;'IND TECH'!C1605&amp;" "&amp;'IND TECH'!D1605&amp;" "&amp;'IND TECH'!E1605&amp;" "&amp;'IND TECH'!F1605&amp;" "&amp;'IND TECH'!G1605&amp;" "&amp;'IND TECH'!H1605</f>
        <v xml:space="preserve">       </v>
      </c>
      <c r="E1607" t="e">
        <f t="shared" si="4"/>
        <v>#REF!</v>
      </c>
      <c r="F1607" t="e">
        <f>'IND TECH'!#REF!</f>
        <v>#REF!</v>
      </c>
    </row>
    <row r="1608" spans="3:6" x14ac:dyDescent="0.25">
      <c r="C1608">
        <f>'IND TECH'!L1606</f>
        <v>0</v>
      </c>
      <c r="D1608" t="str">
        <f>'IND TECH'!A1606&amp;" "&amp;'IND TECH'!B1606&amp;" "&amp;'IND TECH'!C1606&amp;" "&amp;'IND TECH'!D1606&amp;" "&amp;'IND TECH'!E1606&amp;" "&amp;'IND TECH'!F1606&amp;" "&amp;'IND TECH'!G1606&amp;" "&amp;'IND TECH'!H1606</f>
        <v xml:space="preserve">       </v>
      </c>
      <c r="E1608" t="e">
        <f t="shared" si="4"/>
        <v>#REF!</v>
      </c>
      <c r="F1608" t="e">
        <f>'IND TECH'!#REF!</f>
        <v>#REF!</v>
      </c>
    </row>
    <row r="1609" spans="3:6" x14ac:dyDescent="0.25">
      <c r="C1609">
        <f>'IND TECH'!L1607</f>
        <v>0</v>
      </c>
      <c r="D1609" t="str">
        <f>'IND TECH'!A1607&amp;" "&amp;'IND TECH'!B1607&amp;" "&amp;'IND TECH'!C1607&amp;" "&amp;'IND TECH'!D1607&amp;" "&amp;'IND TECH'!E1607&amp;" "&amp;'IND TECH'!F1607&amp;" "&amp;'IND TECH'!G1607&amp;" "&amp;'IND TECH'!H1607</f>
        <v xml:space="preserve">       </v>
      </c>
      <c r="E1609" t="e">
        <f t="shared" si="4"/>
        <v>#REF!</v>
      </c>
      <c r="F1609" t="e">
        <f>'IND TECH'!#REF!</f>
        <v>#REF!</v>
      </c>
    </row>
    <row r="1610" spans="3:6" x14ac:dyDescent="0.25">
      <c r="C1610">
        <f>'IND TECH'!L1608</f>
        <v>0</v>
      </c>
      <c r="D1610" t="str">
        <f>'IND TECH'!A1608&amp;" "&amp;'IND TECH'!B1608&amp;" "&amp;'IND TECH'!C1608&amp;" "&amp;'IND TECH'!D1608&amp;" "&amp;'IND TECH'!E1608&amp;" "&amp;'IND TECH'!F1608&amp;" "&amp;'IND TECH'!G1608&amp;" "&amp;'IND TECH'!H1608</f>
        <v xml:space="preserve">       </v>
      </c>
      <c r="E1610" t="e">
        <f t="shared" si="4"/>
        <v>#REF!</v>
      </c>
      <c r="F1610" t="e">
        <f>'IND TECH'!#REF!</f>
        <v>#REF!</v>
      </c>
    </row>
    <row r="1611" spans="3:6" x14ac:dyDescent="0.25">
      <c r="C1611">
        <f>'IND TECH'!L1609</f>
        <v>0</v>
      </c>
      <c r="D1611" t="str">
        <f>'IND TECH'!A1609&amp;" "&amp;'IND TECH'!B1609&amp;" "&amp;'IND TECH'!C1609&amp;" "&amp;'IND TECH'!D1609&amp;" "&amp;'IND TECH'!E1609&amp;" "&amp;'IND TECH'!F1609&amp;" "&amp;'IND TECH'!G1609&amp;" "&amp;'IND TECH'!H1609</f>
        <v xml:space="preserve">       </v>
      </c>
      <c r="E1611" t="e">
        <f t="shared" si="4"/>
        <v>#REF!</v>
      </c>
      <c r="F1611" t="e">
        <f>'IND TECH'!#REF!</f>
        <v>#REF!</v>
      </c>
    </row>
    <row r="1612" spans="3:6" x14ac:dyDescent="0.25">
      <c r="C1612">
        <f>'IND TECH'!L1610</f>
        <v>0</v>
      </c>
      <c r="D1612" t="str">
        <f>'IND TECH'!A1610&amp;" "&amp;'IND TECH'!B1610&amp;" "&amp;'IND TECH'!C1610&amp;" "&amp;'IND TECH'!D1610&amp;" "&amp;'IND TECH'!E1610&amp;" "&amp;'IND TECH'!F1610&amp;" "&amp;'IND TECH'!G1610&amp;" "&amp;'IND TECH'!H1610</f>
        <v xml:space="preserve">       </v>
      </c>
      <c r="E1612" t="e">
        <f t="shared" si="4"/>
        <v>#REF!</v>
      </c>
      <c r="F1612" t="e">
        <f>'IND TECH'!#REF!</f>
        <v>#REF!</v>
      </c>
    </row>
    <row r="1613" spans="3:6" x14ac:dyDescent="0.25">
      <c r="C1613">
        <f>'IND TECH'!L1611</f>
        <v>0</v>
      </c>
      <c r="D1613" t="str">
        <f>'IND TECH'!A1611&amp;" "&amp;'IND TECH'!B1611&amp;" "&amp;'IND TECH'!C1611&amp;" "&amp;'IND TECH'!D1611&amp;" "&amp;'IND TECH'!E1611&amp;" "&amp;'IND TECH'!F1611&amp;" "&amp;'IND TECH'!G1611&amp;" "&amp;'IND TECH'!H1611</f>
        <v xml:space="preserve">       </v>
      </c>
      <c r="E1613" t="e">
        <f t="shared" si="4"/>
        <v>#REF!</v>
      </c>
      <c r="F1613" t="e">
        <f>'IND TECH'!#REF!</f>
        <v>#REF!</v>
      </c>
    </row>
    <row r="1614" spans="3:6" x14ac:dyDescent="0.25">
      <c r="C1614">
        <f>'IND TECH'!L1612</f>
        <v>0</v>
      </c>
      <c r="D1614" t="str">
        <f>'IND TECH'!A1612&amp;" "&amp;'IND TECH'!B1612&amp;" "&amp;'IND TECH'!C1612&amp;" "&amp;'IND TECH'!D1612&amp;" "&amp;'IND TECH'!E1612&amp;" "&amp;'IND TECH'!F1612&amp;" "&amp;'IND TECH'!G1612&amp;" "&amp;'IND TECH'!H1612</f>
        <v xml:space="preserve">       </v>
      </c>
      <c r="E1614" t="e">
        <f t="shared" si="4"/>
        <v>#REF!</v>
      </c>
      <c r="F1614" t="e">
        <f>'IND TECH'!#REF!</f>
        <v>#REF!</v>
      </c>
    </row>
    <row r="1615" spans="3:6" x14ac:dyDescent="0.25">
      <c r="C1615">
        <f>'IND TECH'!L1613</f>
        <v>0</v>
      </c>
      <c r="D1615" t="str">
        <f>'IND TECH'!A1613&amp;" "&amp;'IND TECH'!B1613&amp;" "&amp;'IND TECH'!C1613&amp;" "&amp;'IND TECH'!D1613&amp;" "&amp;'IND TECH'!E1613&amp;" "&amp;'IND TECH'!F1613&amp;" "&amp;'IND TECH'!G1613&amp;" "&amp;'IND TECH'!H1613</f>
        <v xml:space="preserve">       </v>
      </c>
      <c r="E1615" t="e">
        <f t="shared" si="4"/>
        <v>#REF!</v>
      </c>
      <c r="F1615" t="e">
        <f>'IND TECH'!#REF!</f>
        <v>#REF!</v>
      </c>
    </row>
    <row r="1616" spans="3:6" x14ac:dyDescent="0.25">
      <c r="C1616">
        <f>'IND TECH'!L1614</f>
        <v>0</v>
      </c>
      <c r="D1616" t="str">
        <f>'IND TECH'!A1614&amp;" "&amp;'IND TECH'!B1614&amp;" "&amp;'IND TECH'!C1614&amp;" "&amp;'IND TECH'!D1614&amp;" "&amp;'IND TECH'!E1614&amp;" "&amp;'IND TECH'!F1614&amp;" "&amp;'IND TECH'!G1614&amp;" "&amp;'IND TECH'!H1614</f>
        <v xml:space="preserve">       </v>
      </c>
      <c r="E1616" t="e">
        <f t="shared" si="4"/>
        <v>#REF!</v>
      </c>
      <c r="F1616" t="e">
        <f>'IND TECH'!#REF!</f>
        <v>#REF!</v>
      </c>
    </row>
    <row r="1617" spans="3:6" x14ac:dyDescent="0.25">
      <c r="C1617">
        <f>'IND TECH'!L1615</f>
        <v>0</v>
      </c>
      <c r="D1617" t="str">
        <f>'IND TECH'!A1615&amp;" "&amp;'IND TECH'!B1615&amp;" "&amp;'IND TECH'!C1615&amp;" "&amp;'IND TECH'!D1615&amp;" "&amp;'IND TECH'!E1615&amp;" "&amp;'IND TECH'!F1615&amp;" "&amp;'IND TECH'!G1615&amp;" "&amp;'IND TECH'!H1615</f>
        <v xml:space="preserve">       </v>
      </c>
      <c r="E1617" t="e">
        <f t="shared" si="4"/>
        <v>#REF!</v>
      </c>
      <c r="F1617" t="e">
        <f>'IND TECH'!#REF!</f>
        <v>#REF!</v>
      </c>
    </row>
    <row r="1618" spans="3:6" x14ac:dyDescent="0.25">
      <c r="C1618">
        <f>'IND TECH'!L1616</f>
        <v>0</v>
      </c>
      <c r="D1618" t="str">
        <f>'IND TECH'!A1616&amp;" "&amp;'IND TECH'!B1616&amp;" "&amp;'IND TECH'!C1616&amp;" "&amp;'IND TECH'!D1616&amp;" "&amp;'IND TECH'!E1616&amp;" "&amp;'IND TECH'!F1616&amp;" "&amp;'IND TECH'!G1616&amp;" "&amp;'IND TECH'!H1616</f>
        <v xml:space="preserve">       </v>
      </c>
      <c r="E1618" t="e">
        <f t="shared" si="4"/>
        <v>#REF!</v>
      </c>
      <c r="F1618" t="e">
        <f>'IND TECH'!#REF!</f>
        <v>#REF!</v>
      </c>
    </row>
    <row r="1619" spans="3:6" x14ac:dyDescent="0.25">
      <c r="C1619">
        <f>'IND TECH'!L1617</f>
        <v>0</v>
      </c>
      <c r="D1619" t="str">
        <f>'IND TECH'!A1617&amp;" "&amp;'IND TECH'!B1617&amp;" "&amp;'IND TECH'!C1617&amp;" "&amp;'IND TECH'!D1617&amp;" "&amp;'IND TECH'!E1617&amp;" "&amp;'IND TECH'!F1617&amp;" "&amp;'IND TECH'!G1617&amp;" "&amp;'IND TECH'!H1617</f>
        <v xml:space="preserve">       </v>
      </c>
      <c r="E1619" t="e">
        <f t="shared" ref="E1619:E1682" si="5">IF(F1619="Mlma","Mlm","TJ")</f>
        <v>#REF!</v>
      </c>
      <c r="F1619" t="e">
        <f>'IND TECH'!#REF!</f>
        <v>#REF!</v>
      </c>
    </row>
    <row r="1620" spans="3:6" x14ac:dyDescent="0.25">
      <c r="C1620">
        <f>'IND TECH'!L1618</f>
        <v>0</v>
      </c>
      <c r="D1620" t="str">
        <f>'IND TECH'!A1618&amp;" "&amp;'IND TECH'!B1618&amp;" "&amp;'IND TECH'!C1618&amp;" "&amp;'IND TECH'!D1618&amp;" "&amp;'IND TECH'!E1618&amp;" "&amp;'IND TECH'!F1618&amp;" "&amp;'IND TECH'!G1618&amp;" "&amp;'IND TECH'!H1618</f>
        <v xml:space="preserve">       </v>
      </c>
      <c r="E1620" t="e">
        <f t="shared" si="5"/>
        <v>#REF!</v>
      </c>
      <c r="F1620" t="e">
        <f>'IND TECH'!#REF!</f>
        <v>#REF!</v>
      </c>
    </row>
    <row r="1621" spans="3:6" x14ac:dyDescent="0.25">
      <c r="C1621">
        <f>'IND TECH'!L1619</f>
        <v>0</v>
      </c>
      <c r="D1621" t="str">
        <f>'IND TECH'!A1619&amp;" "&amp;'IND TECH'!B1619&amp;" "&amp;'IND TECH'!C1619&amp;" "&amp;'IND TECH'!D1619&amp;" "&amp;'IND TECH'!E1619&amp;" "&amp;'IND TECH'!F1619&amp;" "&amp;'IND TECH'!G1619&amp;" "&amp;'IND TECH'!H1619</f>
        <v xml:space="preserve">       </v>
      </c>
      <c r="E1621" t="e">
        <f t="shared" si="5"/>
        <v>#REF!</v>
      </c>
      <c r="F1621" t="e">
        <f>'IND TECH'!#REF!</f>
        <v>#REF!</v>
      </c>
    </row>
    <row r="1622" spans="3:6" x14ac:dyDescent="0.25">
      <c r="C1622">
        <f>'IND TECH'!L1620</f>
        <v>0</v>
      </c>
      <c r="D1622" t="str">
        <f>'IND TECH'!A1620&amp;" "&amp;'IND TECH'!B1620&amp;" "&amp;'IND TECH'!C1620&amp;" "&amp;'IND TECH'!D1620&amp;" "&amp;'IND TECH'!E1620&amp;" "&amp;'IND TECH'!F1620&amp;" "&amp;'IND TECH'!G1620&amp;" "&amp;'IND TECH'!H1620</f>
        <v xml:space="preserve">       </v>
      </c>
      <c r="E1622" t="e">
        <f t="shared" si="5"/>
        <v>#REF!</v>
      </c>
      <c r="F1622" t="e">
        <f>'IND TECH'!#REF!</f>
        <v>#REF!</v>
      </c>
    </row>
    <row r="1623" spans="3:6" x14ac:dyDescent="0.25">
      <c r="C1623">
        <f>'IND TECH'!L1621</f>
        <v>0</v>
      </c>
      <c r="D1623" t="str">
        <f>'IND TECH'!A1621&amp;" "&amp;'IND TECH'!B1621&amp;" "&amp;'IND TECH'!C1621&amp;" "&amp;'IND TECH'!D1621&amp;" "&amp;'IND TECH'!E1621&amp;" "&amp;'IND TECH'!F1621&amp;" "&amp;'IND TECH'!G1621&amp;" "&amp;'IND TECH'!H1621</f>
        <v xml:space="preserve">       </v>
      </c>
      <c r="E1623" t="e">
        <f t="shared" si="5"/>
        <v>#REF!</v>
      </c>
      <c r="F1623" t="e">
        <f>'IND TECH'!#REF!</f>
        <v>#REF!</v>
      </c>
    </row>
    <row r="1624" spans="3:6" x14ac:dyDescent="0.25">
      <c r="C1624">
        <f>'IND TECH'!L1622</f>
        <v>0</v>
      </c>
      <c r="D1624" t="str">
        <f>'IND TECH'!A1622&amp;" "&amp;'IND TECH'!B1622&amp;" "&amp;'IND TECH'!C1622&amp;" "&amp;'IND TECH'!D1622&amp;" "&amp;'IND TECH'!E1622&amp;" "&amp;'IND TECH'!F1622&amp;" "&amp;'IND TECH'!G1622&amp;" "&amp;'IND TECH'!H1622</f>
        <v xml:space="preserve">       </v>
      </c>
      <c r="E1624" t="e">
        <f t="shared" si="5"/>
        <v>#REF!</v>
      </c>
      <c r="F1624" t="e">
        <f>'IND TECH'!#REF!</f>
        <v>#REF!</v>
      </c>
    </row>
    <row r="1625" spans="3:6" x14ac:dyDescent="0.25">
      <c r="C1625">
        <f>'IND TECH'!L1623</f>
        <v>0</v>
      </c>
      <c r="D1625" t="str">
        <f>'IND TECH'!A1623&amp;" "&amp;'IND TECH'!B1623&amp;" "&amp;'IND TECH'!C1623&amp;" "&amp;'IND TECH'!D1623&amp;" "&amp;'IND TECH'!E1623&amp;" "&amp;'IND TECH'!F1623&amp;" "&amp;'IND TECH'!G1623&amp;" "&amp;'IND TECH'!H1623</f>
        <v xml:space="preserve">       </v>
      </c>
      <c r="E1625" t="e">
        <f t="shared" si="5"/>
        <v>#REF!</v>
      </c>
      <c r="F1625" t="e">
        <f>'IND TECH'!#REF!</f>
        <v>#REF!</v>
      </c>
    </row>
    <row r="1626" spans="3:6" x14ac:dyDescent="0.25">
      <c r="C1626">
        <f>'IND TECH'!L1624</f>
        <v>0</v>
      </c>
      <c r="D1626" t="str">
        <f>'IND TECH'!A1624&amp;" "&amp;'IND TECH'!B1624&amp;" "&amp;'IND TECH'!C1624&amp;" "&amp;'IND TECH'!D1624&amp;" "&amp;'IND TECH'!E1624&amp;" "&amp;'IND TECH'!F1624&amp;" "&amp;'IND TECH'!G1624&amp;" "&amp;'IND TECH'!H1624</f>
        <v xml:space="preserve">       </v>
      </c>
      <c r="E1626" t="e">
        <f t="shared" si="5"/>
        <v>#REF!</v>
      </c>
      <c r="F1626" t="e">
        <f>'IND TECH'!#REF!</f>
        <v>#REF!</v>
      </c>
    </row>
    <row r="1627" spans="3:6" x14ac:dyDescent="0.25">
      <c r="C1627">
        <f>'IND TECH'!L1625</f>
        <v>0</v>
      </c>
      <c r="D1627" t="str">
        <f>'IND TECH'!A1625&amp;" "&amp;'IND TECH'!B1625&amp;" "&amp;'IND TECH'!C1625&amp;" "&amp;'IND TECH'!D1625&amp;" "&amp;'IND TECH'!E1625&amp;" "&amp;'IND TECH'!F1625&amp;" "&amp;'IND TECH'!G1625&amp;" "&amp;'IND TECH'!H1625</f>
        <v xml:space="preserve">       </v>
      </c>
      <c r="E1627" t="e">
        <f t="shared" si="5"/>
        <v>#REF!</v>
      </c>
      <c r="F1627" t="e">
        <f>'IND TECH'!#REF!</f>
        <v>#REF!</v>
      </c>
    </row>
    <row r="1628" spans="3:6" x14ac:dyDescent="0.25">
      <c r="C1628">
        <f>'IND TECH'!L1626</f>
        <v>0</v>
      </c>
      <c r="D1628" t="str">
        <f>'IND TECH'!A1626&amp;" "&amp;'IND TECH'!B1626&amp;" "&amp;'IND TECH'!C1626&amp;" "&amp;'IND TECH'!D1626&amp;" "&amp;'IND TECH'!E1626&amp;" "&amp;'IND TECH'!F1626&amp;" "&amp;'IND TECH'!G1626&amp;" "&amp;'IND TECH'!H1626</f>
        <v xml:space="preserve">       </v>
      </c>
      <c r="E1628" t="e">
        <f t="shared" si="5"/>
        <v>#REF!</v>
      </c>
      <c r="F1628" t="e">
        <f>'IND TECH'!#REF!</f>
        <v>#REF!</v>
      </c>
    </row>
    <row r="1629" spans="3:6" x14ac:dyDescent="0.25">
      <c r="C1629">
        <f>'IND TECH'!L1627</f>
        <v>0</v>
      </c>
      <c r="D1629" t="str">
        <f>'IND TECH'!A1627&amp;" "&amp;'IND TECH'!B1627&amp;" "&amp;'IND TECH'!C1627&amp;" "&amp;'IND TECH'!D1627&amp;" "&amp;'IND TECH'!E1627&amp;" "&amp;'IND TECH'!F1627&amp;" "&amp;'IND TECH'!G1627&amp;" "&amp;'IND TECH'!H1627</f>
        <v xml:space="preserve">       </v>
      </c>
      <c r="E1629" t="e">
        <f t="shared" si="5"/>
        <v>#REF!</v>
      </c>
      <c r="F1629" t="e">
        <f>'IND TECH'!#REF!</f>
        <v>#REF!</v>
      </c>
    </row>
    <row r="1630" spans="3:6" x14ac:dyDescent="0.25">
      <c r="C1630">
        <f>'IND TECH'!L1628</f>
        <v>0</v>
      </c>
      <c r="D1630" t="str">
        <f>'IND TECH'!A1628&amp;" "&amp;'IND TECH'!B1628&amp;" "&amp;'IND TECH'!C1628&amp;" "&amp;'IND TECH'!D1628&amp;" "&amp;'IND TECH'!E1628&amp;" "&amp;'IND TECH'!F1628&amp;" "&amp;'IND TECH'!G1628&amp;" "&amp;'IND TECH'!H1628</f>
        <v xml:space="preserve">       </v>
      </c>
      <c r="E1630" t="e">
        <f t="shared" si="5"/>
        <v>#REF!</v>
      </c>
      <c r="F1630" t="e">
        <f>'IND TECH'!#REF!</f>
        <v>#REF!</v>
      </c>
    </row>
    <row r="1631" spans="3:6" x14ac:dyDescent="0.25">
      <c r="C1631">
        <f>'IND TECH'!L1629</f>
        <v>0</v>
      </c>
      <c r="D1631" t="str">
        <f>'IND TECH'!A1629&amp;" "&amp;'IND TECH'!B1629&amp;" "&amp;'IND TECH'!C1629&amp;" "&amp;'IND TECH'!D1629&amp;" "&amp;'IND TECH'!E1629&amp;" "&amp;'IND TECH'!F1629&amp;" "&amp;'IND TECH'!G1629&amp;" "&amp;'IND TECH'!H1629</f>
        <v xml:space="preserve">       </v>
      </c>
      <c r="E1631" t="e">
        <f t="shared" si="5"/>
        <v>#REF!</v>
      </c>
      <c r="F1631" t="e">
        <f>'IND TECH'!#REF!</f>
        <v>#REF!</v>
      </c>
    </row>
    <row r="1632" spans="3:6" x14ac:dyDescent="0.25">
      <c r="C1632">
        <f>'IND TECH'!L1630</f>
        <v>0</v>
      </c>
      <c r="D1632" t="str">
        <f>'IND TECH'!A1630&amp;" "&amp;'IND TECH'!B1630&amp;" "&amp;'IND TECH'!C1630&amp;" "&amp;'IND TECH'!D1630&amp;" "&amp;'IND TECH'!E1630&amp;" "&amp;'IND TECH'!F1630&amp;" "&amp;'IND TECH'!G1630&amp;" "&amp;'IND TECH'!H1630</f>
        <v xml:space="preserve">       </v>
      </c>
      <c r="E1632" t="e">
        <f t="shared" si="5"/>
        <v>#REF!</v>
      </c>
      <c r="F1632" t="e">
        <f>'IND TECH'!#REF!</f>
        <v>#REF!</v>
      </c>
    </row>
    <row r="1633" spans="3:6" x14ac:dyDescent="0.25">
      <c r="C1633">
        <f>'IND TECH'!L1631</f>
        <v>0</v>
      </c>
      <c r="D1633" t="str">
        <f>'IND TECH'!A1631&amp;" "&amp;'IND TECH'!B1631&amp;" "&amp;'IND TECH'!C1631&amp;" "&amp;'IND TECH'!D1631&amp;" "&amp;'IND TECH'!E1631&amp;" "&amp;'IND TECH'!F1631&amp;" "&amp;'IND TECH'!G1631&amp;" "&amp;'IND TECH'!H1631</f>
        <v xml:space="preserve">       </v>
      </c>
      <c r="E1633" t="e">
        <f t="shared" si="5"/>
        <v>#REF!</v>
      </c>
      <c r="F1633" t="e">
        <f>'IND TECH'!#REF!</f>
        <v>#REF!</v>
      </c>
    </row>
    <row r="1634" spans="3:6" x14ac:dyDescent="0.25">
      <c r="C1634">
        <f>'IND TECH'!L1632</f>
        <v>0</v>
      </c>
      <c r="D1634" t="str">
        <f>'IND TECH'!A1632&amp;" "&amp;'IND TECH'!B1632&amp;" "&amp;'IND TECH'!C1632&amp;" "&amp;'IND TECH'!D1632&amp;" "&amp;'IND TECH'!E1632&amp;" "&amp;'IND TECH'!F1632&amp;" "&amp;'IND TECH'!G1632&amp;" "&amp;'IND TECH'!H1632</f>
        <v xml:space="preserve">       </v>
      </c>
      <c r="E1634" t="e">
        <f t="shared" si="5"/>
        <v>#REF!</v>
      </c>
      <c r="F1634" t="e">
        <f>'IND TECH'!#REF!</f>
        <v>#REF!</v>
      </c>
    </row>
    <row r="1635" spans="3:6" x14ac:dyDescent="0.25">
      <c r="C1635">
        <f>'IND TECH'!L1633</f>
        <v>0</v>
      </c>
      <c r="D1635" t="str">
        <f>'IND TECH'!A1633&amp;" "&amp;'IND TECH'!B1633&amp;" "&amp;'IND TECH'!C1633&amp;" "&amp;'IND TECH'!D1633&amp;" "&amp;'IND TECH'!E1633&amp;" "&amp;'IND TECH'!F1633&amp;" "&amp;'IND TECH'!G1633&amp;" "&amp;'IND TECH'!H1633</f>
        <v xml:space="preserve">       </v>
      </c>
      <c r="E1635" t="e">
        <f t="shared" si="5"/>
        <v>#REF!</v>
      </c>
      <c r="F1635" t="e">
        <f>'IND TECH'!#REF!</f>
        <v>#REF!</v>
      </c>
    </row>
    <row r="1636" spans="3:6" x14ac:dyDescent="0.25">
      <c r="C1636">
        <f>'IND TECH'!L1634</f>
        <v>0</v>
      </c>
      <c r="D1636" t="str">
        <f>'IND TECH'!A1634&amp;" "&amp;'IND TECH'!B1634&amp;" "&amp;'IND TECH'!C1634&amp;" "&amp;'IND TECH'!D1634&amp;" "&amp;'IND TECH'!E1634&amp;" "&amp;'IND TECH'!F1634&amp;" "&amp;'IND TECH'!G1634&amp;" "&amp;'IND TECH'!H1634</f>
        <v xml:space="preserve">       </v>
      </c>
      <c r="E1636" t="e">
        <f t="shared" si="5"/>
        <v>#REF!</v>
      </c>
      <c r="F1636" t="e">
        <f>'IND TECH'!#REF!</f>
        <v>#REF!</v>
      </c>
    </row>
    <row r="1637" spans="3:6" x14ac:dyDescent="0.25">
      <c r="C1637">
        <f>'IND TECH'!L1635</f>
        <v>0</v>
      </c>
      <c r="D1637" t="str">
        <f>'IND TECH'!A1635&amp;" "&amp;'IND TECH'!B1635&amp;" "&amp;'IND TECH'!C1635&amp;" "&amp;'IND TECH'!D1635&amp;" "&amp;'IND TECH'!E1635&amp;" "&amp;'IND TECH'!F1635&amp;" "&amp;'IND TECH'!G1635&amp;" "&amp;'IND TECH'!H1635</f>
        <v xml:space="preserve">       </v>
      </c>
      <c r="E1637" t="e">
        <f t="shared" si="5"/>
        <v>#REF!</v>
      </c>
      <c r="F1637" t="e">
        <f>'IND TECH'!#REF!</f>
        <v>#REF!</v>
      </c>
    </row>
    <row r="1638" spans="3:6" x14ac:dyDescent="0.25">
      <c r="C1638">
        <f>'IND TECH'!L1636</f>
        <v>0</v>
      </c>
      <c r="D1638" t="str">
        <f>'IND TECH'!A1636&amp;" "&amp;'IND TECH'!B1636&amp;" "&amp;'IND TECH'!C1636&amp;" "&amp;'IND TECH'!D1636&amp;" "&amp;'IND TECH'!E1636&amp;" "&amp;'IND TECH'!F1636&amp;" "&amp;'IND TECH'!G1636&amp;" "&amp;'IND TECH'!H1636</f>
        <v xml:space="preserve">       </v>
      </c>
      <c r="E1638" t="e">
        <f t="shared" si="5"/>
        <v>#REF!</v>
      </c>
      <c r="F1638" t="e">
        <f>'IND TECH'!#REF!</f>
        <v>#REF!</v>
      </c>
    </row>
    <row r="1639" spans="3:6" x14ac:dyDescent="0.25">
      <c r="C1639">
        <f>'IND TECH'!L1637</f>
        <v>0</v>
      </c>
      <c r="D1639" t="str">
        <f>'IND TECH'!A1637&amp;" "&amp;'IND TECH'!B1637&amp;" "&amp;'IND TECH'!C1637&amp;" "&amp;'IND TECH'!D1637&amp;" "&amp;'IND TECH'!E1637&amp;" "&amp;'IND TECH'!F1637&amp;" "&amp;'IND TECH'!G1637&amp;" "&amp;'IND TECH'!H1637</f>
        <v xml:space="preserve">       </v>
      </c>
      <c r="E1639" t="e">
        <f t="shared" si="5"/>
        <v>#REF!</v>
      </c>
      <c r="F1639" t="e">
        <f>'IND TECH'!#REF!</f>
        <v>#REF!</v>
      </c>
    </row>
    <row r="1640" spans="3:6" x14ac:dyDescent="0.25">
      <c r="C1640">
        <f>'IND TECH'!L1638</f>
        <v>0</v>
      </c>
      <c r="D1640" t="str">
        <f>'IND TECH'!A1638&amp;" "&amp;'IND TECH'!B1638&amp;" "&amp;'IND TECH'!C1638&amp;" "&amp;'IND TECH'!D1638&amp;" "&amp;'IND TECH'!E1638&amp;" "&amp;'IND TECH'!F1638&amp;" "&amp;'IND TECH'!G1638&amp;" "&amp;'IND TECH'!H1638</f>
        <v xml:space="preserve">       </v>
      </c>
      <c r="E1640" t="e">
        <f t="shared" si="5"/>
        <v>#REF!</v>
      </c>
      <c r="F1640" t="e">
        <f>'IND TECH'!#REF!</f>
        <v>#REF!</v>
      </c>
    </row>
    <row r="1641" spans="3:6" x14ac:dyDescent="0.25">
      <c r="C1641">
        <f>'IND TECH'!L1639</f>
        <v>0</v>
      </c>
      <c r="D1641" t="str">
        <f>'IND TECH'!A1639&amp;" "&amp;'IND TECH'!B1639&amp;" "&amp;'IND TECH'!C1639&amp;" "&amp;'IND TECH'!D1639&amp;" "&amp;'IND TECH'!E1639&amp;" "&amp;'IND TECH'!F1639&amp;" "&amp;'IND TECH'!G1639&amp;" "&amp;'IND TECH'!H1639</f>
        <v xml:space="preserve">       </v>
      </c>
      <c r="E1641" t="e">
        <f t="shared" si="5"/>
        <v>#REF!</v>
      </c>
      <c r="F1641" t="e">
        <f>'IND TECH'!#REF!</f>
        <v>#REF!</v>
      </c>
    </row>
    <row r="1642" spans="3:6" x14ac:dyDescent="0.25">
      <c r="C1642">
        <f>'IND TECH'!L1640</f>
        <v>0</v>
      </c>
      <c r="D1642" t="str">
        <f>'IND TECH'!A1640&amp;" "&amp;'IND TECH'!B1640&amp;" "&amp;'IND TECH'!C1640&amp;" "&amp;'IND TECH'!D1640&amp;" "&amp;'IND TECH'!E1640&amp;" "&amp;'IND TECH'!F1640&amp;" "&amp;'IND TECH'!G1640&amp;" "&amp;'IND TECH'!H1640</f>
        <v xml:space="preserve">       </v>
      </c>
      <c r="E1642" t="e">
        <f t="shared" si="5"/>
        <v>#REF!</v>
      </c>
      <c r="F1642" t="e">
        <f>'IND TECH'!#REF!</f>
        <v>#REF!</v>
      </c>
    </row>
    <row r="1643" spans="3:6" x14ac:dyDescent="0.25">
      <c r="C1643">
        <f>'IND TECH'!L1641</f>
        <v>0</v>
      </c>
      <c r="D1643" t="str">
        <f>'IND TECH'!A1641&amp;" "&amp;'IND TECH'!B1641&amp;" "&amp;'IND TECH'!C1641&amp;" "&amp;'IND TECH'!D1641&amp;" "&amp;'IND TECH'!E1641&amp;" "&amp;'IND TECH'!F1641&amp;" "&amp;'IND TECH'!G1641&amp;" "&amp;'IND TECH'!H1641</f>
        <v xml:space="preserve">       </v>
      </c>
      <c r="E1643" t="e">
        <f t="shared" si="5"/>
        <v>#REF!</v>
      </c>
      <c r="F1643" t="e">
        <f>'IND TECH'!#REF!</f>
        <v>#REF!</v>
      </c>
    </row>
    <row r="1644" spans="3:6" x14ac:dyDescent="0.25">
      <c r="C1644">
        <f>'IND TECH'!L1642</f>
        <v>0</v>
      </c>
      <c r="D1644" t="str">
        <f>'IND TECH'!A1642&amp;" "&amp;'IND TECH'!B1642&amp;" "&amp;'IND TECH'!C1642&amp;" "&amp;'IND TECH'!D1642&amp;" "&amp;'IND TECH'!E1642&amp;" "&amp;'IND TECH'!F1642&amp;" "&amp;'IND TECH'!G1642&amp;" "&amp;'IND TECH'!H1642</f>
        <v xml:space="preserve">       </v>
      </c>
      <c r="E1644" t="e">
        <f t="shared" si="5"/>
        <v>#REF!</v>
      </c>
      <c r="F1644" t="e">
        <f>'IND TECH'!#REF!</f>
        <v>#REF!</v>
      </c>
    </row>
    <row r="1645" spans="3:6" x14ac:dyDescent="0.25">
      <c r="C1645">
        <f>'IND TECH'!L1643</f>
        <v>0</v>
      </c>
      <c r="D1645" t="str">
        <f>'IND TECH'!A1643&amp;" "&amp;'IND TECH'!B1643&amp;" "&amp;'IND TECH'!C1643&amp;" "&amp;'IND TECH'!D1643&amp;" "&amp;'IND TECH'!E1643&amp;" "&amp;'IND TECH'!F1643&amp;" "&amp;'IND TECH'!G1643&amp;" "&amp;'IND TECH'!H1643</f>
        <v xml:space="preserve">       </v>
      </c>
      <c r="E1645" t="e">
        <f t="shared" si="5"/>
        <v>#REF!</v>
      </c>
      <c r="F1645" t="e">
        <f>'IND TECH'!#REF!</f>
        <v>#REF!</v>
      </c>
    </row>
    <row r="1646" spans="3:6" x14ac:dyDescent="0.25">
      <c r="C1646">
        <f>'IND TECH'!L1644</f>
        <v>0</v>
      </c>
      <c r="D1646" t="str">
        <f>'IND TECH'!A1644&amp;" "&amp;'IND TECH'!B1644&amp;" "&amp;'IND TECH'!C1644&amp;" "&amp;'IND TECH'!D1644&amp;" "&amp;'IND TECH'!E1644&amp;" "&amp;'IND TECH'!F1644&amp;" "&amp;'IND TECH'!G1644&amp;" "&amp;'IND TECH'!H1644</f>
        <v xml:space="preserve">       </v>
      </c>
      <c r="E1646" t="e">
        <f t="shared" si="5"/>
        <v>#REF!</v>
      </c>
      <c r="F1646" t="e">
        <f>'IND TECH'!#REF!</f>
        <v>#REF!</v>
      </c>
    </row>
    <row r="1647" spans="3:6" x14ac:dyDescent="0.25">
      <c r="C1647">
        <f>'IND TECH'!L1645</f>
        <v>0</v>
      </c>
      <c r="D1647" t="str">
        <f>'IND TECH'!A1645&amp;" "&amp;'IND TECH'!B1645&amp;" "&amp;'IND TECH'!C1645&amp;" "&amp;'IND TECH'!D1645&amp;" "&amp;'IND TECH'!E1645&amp;" "&amp;'IND TECH'!F1645&amp;" "&amp;'IND TECH'!G1645&amp;" "&amp;'IND TECH'!H1645</f>
        <v xml:space="preserve">       </v>
      </c>
      <c r="E1647" t="e">
        <f t="shared" si="5"/>
        <v>#REF!</v>
      </c>
      <c r="F1647" t="e">
        <f>'IND TECH'!#REF!</f>
        <v>#REF!</v>
      </c>
    </row>
    <row r="1648" spans="3:6" x14ac:dyDescent="0.25">
      <c r="C1648">
        <f>'IND TECH'!L1646</f>
        <v>0</v>
      </c>
      <c r="D1648" t="str">
        <f>'IND TECH'!A1646&amp;" "&amp;'IND TECH'!B1646&amp;" "&amp;'IND TECH'!C1646&amp;" "&amp;'IND TECH'!D1646&amp;" "&amp;'IND TECH'!E1646&amp;" "&amp;'IND TECH'!F1646&amp;" "&amp;'IND TECH'!G1646&amp;" "&amp;'IND TECH'!H1646</f>
        <v xml:space="preserve">       </v>
      </c>
      <c r="E1648" t="e">
        <f t="shared" si="5"/>
        <v>#REF!</v>
      </c>
      <c r="F1648" t="e">
        <f>'IND TECH'!#REF!</f>
        <v>#REF!</v>
      </c>
    </row>
    <row r="1649" spans="3:6" x14ac:dyDescent="0.25">
      <c r="C1649">
        <f>'IND TECH'!L1647</f>
        <v>0</v>
      </c>
      <c r="D1649" t="str">
        <f>'IND TECH'!A1647&amp;" "&amp;'IND TECH'!B1647&amp;" "&amp;'IND TECH'!C1647&amp;" "&amp;'IND TECH'!D1647&amp;" "&amp;'IND TECH'!E1647&amp;" "&amp;'IND TECH'!F1647&amp;" "&amp;'IND TECH'!G1647&amp;" "&amp;'IND TECH'!H1647</f>
        <v xml:space="preserve">       </v>
      </c>
      <c r="E1649" t="e">
        <f t="shared" si="5"/>
        <v>#REF!</v>
      </c>
      <c r="F1649" t="e">
        <f>'IND TECH'!#REF!</f>
        <v>#REF!</v>
      </c>
    </row>
    <row r="1650" spans="3:6" x14ac:dyDescent="0.25">
      <c r="C1650">
        <f>'IND TECH'!L1648</f>
        <v>0</v>
      </c>
      <c r="D1650" t="str">
        <f>'IND TECH'!A1648&amp;" "&amp;'IND TECH'!B1648&amp;" "&amp;'IND TECH'!C1648&amp;" "&amp;'IND TECH'!D1648&amp;" "&amp;'IND TECH'!E1648&amp;" "&amp;'IND TECH'!F1648&amp;" "&amp;'IND TECH'!G1648&amp;" "&amp;'IND TECH'!H1648</f>
        <v xml:space="preserve">       </v>
      </c>
      <c r="E1650" t="e">
        <f t="shared" si="5"/>
        <v>#REF!</v>
      </c>
      <c r="F1650" t="e">
        <f>'IND TECH'!#REF!</f>
        <v>#REF!</v>
      </c>
    </row>
    <row r="1651" spans="3:6" x14ac:dyDescent="0.25">
      <c r="C1651">
        <f>'IND TECH'!L1649</f>
        <v>0</v>
      </c>
      <c r="D1651" t="str">
        <f>'IND TECH'!A1649&amp;" "&amp;'IND TECH'!B1649&amp;" "&amp;'IND TECH'!C1649&amp;" "&amp;'IND TECH'!D1649&amp;" "&amp;'IND TECH'!E1649&amp;" "&amp;'IND TECH'!F1649&amp;" "&amp;'IND TECH'!G1649&amp;" "&amp;'IND TECH'!H1649</f>
        <v xml:space="preserve">       </v>
      </c>
      <c r="E1651" t="e">
        <f t="shared" si="5"/>
        <v>#REF!</v>
      </c>
      <c r="F1651" t="e">
        <f>'IND TECH'!#REF!</f>
        <v>#REF!</v>
      </c>
    </row>
    <row r="1652" spans="3:6" x14ac:dyDescent="0.25">
      <c r="C1652">
        <f>'IND TECH'!L1650</f>
        <v>0</v>
      </c>
      <c r="D1652" t="str">
        <f>'IND TECH'!A1650&amp;" "&amp;'IND TECH'!B1650&amp;" "&amp;'IND TECH'!C1650&amp;" "&amp;'IND TECH'!D1650&amp;" "&amp;'IND TECH'!E1650&amp;" "&amp;'IND TECH'!F1650&amp;" "&amp;'IND TECH'!G1650&amp;" "&amp;'IND TECH'!H1650</f>
        <v xml:space="preserve">       </v>
      </c>
      <c r="E1652" t="e">
        <f t="shared" si="5"/>
        <v>#REF!</v>
      </c>
      <c r="F1652" t="e">
        <f>'IND TECH'!#REF!</f>
        <v>#REF!</v>
      </c>
    </row>
    <row r="1653" spans="3:6" x14ac:dyDescent="0.25">
      <c r="C1653">
        <f>'IND TECH'!L1651</f>
        <v>0</v>
      </c>
      <c r="D1653" t="str">
        <f>'IND TECH'!A1651&amp;" "&amp;'IND TECH'!B1651&amp;" "&amp;'IND TECH'!C1651&amp;" "&amp;'IND TECH'!D1651&amp;" "&amp;'IND TECH'!E1651&amp;" "&amp;'IND TECH'!F1651&amp;" "&amp;'IND TECH'!G1651&amp;" "&amp;'IND TECH'!H1651</f>
        <v xml:space="preserve">       </v>
      </c>
      <c r="E1653" t="e">
        <f t="shared" si="5"/>
        <v>#REF!</v>
      </c>
      <c r="F1653" t="e">
        <f>'IND TECH'!#REF!</f>
        <v>#REF!</v>
      </c>
    </row>
    <row r="1654" spans="3:6" x14ac:dyDescent="0.25">
      <c r="C1654">
        <f>'IND TECH'!L1652</f>
        <v>0</v>
      </c>
      <c r="D1654" t="str">
        <f>'IND TECH'!A1652&amp;" "&amp;'IND TECH'!B1652&amp;" "&amp;'IND TECH'!C1652&amp;" "&amp;'IND TECH'!D1652&amp;" "&amp;'IND TECH'!E1652&amp;" "&amp;'IND TECH'!F1652&amp;" "&amp;'IND TECH'!G1652&amp;" "&amp;'IND TECH'!H1652</f>
        <v xml:space="preserve">       </v>
      </c>
      <c r="E1654" t="e">
        <f t="shared" si="5"/>
        <v>#REF!</v>
      </c>
      <c r="F1654" t="e">
        <f>'IND TECH'!#REF!</f>
        <v>#REF!</v>
      </c>
    </row>
    <row r="1655" spans="3:6" x14ac:dyDescent="0.25">
      <c r="C1655">
        <f>'IND TECH'!L1653</f>
        <v>0</v>
      </c>
      <c r="D1655" t="str">
        <f>'IND TECH'!A1653&amp;" "&amp;'IND TECH'!B1653&amp;" "&amp;'IND TECH'!C1653&amp;" "&amp;'IND TECH'!D1653&amp;" "&amp;'IND TECH'!E1653&amp;" "&amp;'IND TECH'!F1653&amp;" "&amp;'IND TECH'!G1653&amp;" "&amp;'IND TECH'!H1653</f>
        <v xml:space="preserve">       </v>
      </c>
      <c r="E1655" t="e">
        <f t="shared" si="5"/>
        <v>#REF!</v>
      </c>
      <c r="F1655" t="e">
        <f>'IND TECH'!#REF!</f>
        <v>#REF!</v>
      </c>
    </row>
    <row r="1656" spans="3:6" x14ac:dyDescent="0.25">
      <c r="C1656">
        <f>'IND TECH'!L1654</f>
        <v>0</v>
      </c>
      <c r="D1656" t="str">
        <f>'IND TECH'!A1654&amp;" "&amp;'IND TECH'!B1654&amp;" "&amp;'IND TECH'!C1654&amp;" "&amp;'IND TECH'!D1654&amp;" "&amp;'IND TECH'!E1654&amp;" "&amp;'IND TECH'!F1654&amp;" "&amp;'IND TECH'!G1654&amp;" "&amp;'IND TECH'!H1654</f>
        <v xml:space="preserve">       </v>
      </c>
      <c r="E1656" t="e">
        <f t="shared" si="5"/>
        <v>#REF!</v>
      </c>
      <c r="F1656" t="e">
        <f>'IND TECH'!#REF!</f>
        <v>#REF!</v>
      </c>
    </row>
    <row r="1657" spans="3:6" x14ac:dyDescent="0.25">
      <c r="C1657">
        <f>'IND TECH'!L1655</f>
        <v>0</v>
      </c>
      <c r="D1657" t="str">
        <f>'IND TECH'!A1655&amp;" "&amp;'IND TECH'!B1655&amp;" "&amp;'IND TECH'!C1655&amp;" "&amp;'IND TECH'!D1655&amp;" "&amp;'IND TECH'!E1655&amp;" "&amp;'IND TECH'!F1655&amp;" "&amp;'IND TECH'!G1655&amp;" "&amp;'IND TECH'!H1655</f>
        <v xml:space="preserve">       </v>
      </c>
      <c r="E1657" t="e">
        <f t="shared" si="5"/>
        <v>#REF!</v>
      </c>
      <c r="F1657" t="e">
        <f>'IND TECH'!#REF!</f>
        <v>#REF!</v>
      </c>
    </row>
    <row r="1658" spans="3:6" x14ac:dyDescent="0.25">
      <c r="C1658">
        <f>'IND TECH'!L1656</f>
        <v>0</v>
      </c>
      <c r="D1658" t="str">
        <f>'IND TECH'!A1656&amp;" "&amp;'IND TECH'!B1656&amp;" "&amp;'IND TECH'!C1656&amp;" "&amp;'IND TECH'!D1656&amp;" "&amp;'IND TECH'!E1656&amp;" "&amp;'IND TECH'!F1656&amp;" "&amp;'IND TECH'!G1656&amp;" "&amp;'IND TECH'!H1656</f>
        <v xml:space="preserve">       </v>
      </c>
      <c r="E1658" t="e">
        <f t="shared" si="5"/>
        <v>#REF!</v>
      </c>
      <c r="F1658" t="e">
        <f>'IND TECH'!#REF!</f>
        <v>#REF!</v>
      </c>
    </row>
    <row r="1659" spans="3:6" x14ac:dyDescent="0.25">
      <c r="C1659">
        <f>'IND TECH'!L1657</f>
        <v>0</v>
      </c>
      <c r="D1659" t="str">
        <f>'IND TECH'!A1657&amp;" "&amp;'IND TECH'!B1657&amp;" "&amp;'IND TECH'!C1657&amp;" "&amp;'IND TECH'!D1657&amp;" "&amp;'IND TECH'!E1657&amp;" "&amp;'IND TECH'!F1657&amp;" "&amp;'IND TECH'!G1657&amp;" "&amp;'IND TECH'!H1657</f>
        <v xml:space="preserve">       </v>
      </c>
      <c r="E1659" t="e">
        <f t="shared" si="5"/>
        <v>#REF!</v>
      </c>
      <c r="F1659" t="e">
        <f>'IND TECH'!#REF!</f>
        <v>#REF!</v>
      </c>
    </row>
    <row r="1660" spans="3:6" x14ac:dyDescent="0.25">
      <c r="C1660">
        <f>'IND TECH'!L1658</f>
        <v>0</v>
      </c>
      <c r="D1660" t="str">
        <f>'IND TECH'!A1658&amp;" "&amp;'IND TECH'!B1658&amp;" "&amp;'IND TECH'!C1658&amp;" "&amp;'IND TECH'!D1658&amp;" "&amp;'IND TECH'!E1658&amp;" "&amp;'IND TECH'!F1658&amp;" "&amp;'IND TECH'!G1658&amp;" "&amp;'IND TECH'!H1658</f>
        <v xml:space="preserve">       </v>
      </c>
      <c r="E1660" t="e">
        <f t="shared" si="5"/>
        <v>#REF!</v>
      </c>
      <c r="F1660" t="e">
        <f>'IND TECH'!#REF!</f>
        <v>#REF!</v>
      </c>
    </row>
    <row r="1661" spans="3:6" x14ac:dyDescent="0.25">
      <c r="C1661">
        <f>'IND TECH'!L1659</f>
        <v>0</v>
      </c>
      <c r="D1661" t="str">
        <f>'IND TECH'!A1659&amp;" "&amp;'IND TECH'!B1659&amp;" "&amp;'IND TECH'!C1659&amp;" "&amp;'IND TECH'!D1659&amp;" "&amp;'IND TECH'!E1659&amp;" "&amp;'IND TECH'!F1659&amp;" "&amp;'IND TECH'!G1659&amp;" "&amp;'IND TECH'!H1659</f>
        <v xml:space="preserve">       </v>
      </c>
      <c r="E1661" t="e">
        <f t="shared" si="5"/>
        <v>#REF!</v>
      </c>
      <c r="F1661" t="e">
        <f>'IND TECH'!#REF!</f>
        <v>#REF!</v>
      </c>
    </row>
    <row r="1662" spans="3:6" x14ac:dyDescent="0.25">
      <c r="C1662">
        <f>'IND TECH'!L1660</f>
        <v>0</v>
      </c>
      <c r="D1662" t="str">
        <f>'IND TECH'!A1660&amp;" "&amp;'IND TECH'!B1660&amp;" "&amp;'IND TECH'!C1660&amp;" "&amp;'IND TECH'!D1660&amp;" "&amp;'IND TECH'!E1660&amp;" "&amp;'IND TECH'!F1660&amp;" "&amp;'IND TECH'!G1660&amp;" "&amp;'IND TECH'!H1660</f>
        <v xml:space="preserve">       </v>
      </c>
      <c r="E1662" t="e">
        <f t="shared" si="5"/>
        <v>#REF!</v>
      </c>
      <c r="F1662" t="e">
        <f>'IND TECH'!#REF!</f>
        <v>#REF!</v>
      </c>
    </row>
    <row r="1663" spans="3:6" x14ac:dyDescent="0.25">
      <c r="C1663">
        <f>'IND TECH'!L1661</f>
        <v>0</v>
      </c>
      <c r="D1663" t="str">
        <f>'IND TECH'!A1661&amp;" "&amp;'IND TECH'!B1661&amp;" "&amp;'IND TECH'!C1661&amp;" "&amp;'IND TECH'!D1661&amp;" "&amp;'IND TECH'!E1661&amp;" "&amp;'IND TECH'!F1661&amp;" "&amp;'IND TECH'!G1661&amp;" "&amp;'IND TECH'!H1661</f>
        <v xml:space="preserve">       </v>
      </c>
      <c r="E1663" t="e">
        <f t="shared" si="5"/>
        <v>#REF!</v>
      </c>
      <c r="F1663" t="e">
        <f>'IND TECH'!#REF!</f>
        <v>#REF!</v>
      </c>
    </row>
    <row r="1664" spans="3:6" x14ac:dyDescent="0.25">
      <c r="C1664">
        <f>'IND TECH'!L1662</f>
        <v>0</v>
      </c>
      <c r="D1664" t="str">
        <f>'IND TECH'!A1662&amp;" "&amp;'IND TECH'!B1662&amp;" "&amp;'IND TECH'!C1662&amp;" "&amp;'IND TECH'!D1662&amp;" "&amp;'IND TECH'!E1662&amp;" "&amp;'IND TECH'!F1662&amp;" "&amp;'IND TECH'!G1662&amp;" "&amp;'IND TECH'!H1662</f>
        <v xml:space="preserve">       </v>
      </c>
      <c r="E1664" t="e">
        <f t="shared" si="5"/>
        <v>#REF!</v>
      </c>
      <c r="F1664" t="e">
        <f>'IND TECH'!#REF!</f>
        <v>#REF!</v>
      </c>
    </row>
    <row r="1665" spans="3:6" x14ac:dyDescent="0.25">
      <c r="C1665">
        <f>'IND TECH'!L1663</f>
        <v>0</v>
      </c>
      <c r="D1665" t="str">
        <f>'IND TECH'!A1663&amp;" "&amp;'IND TECH'!B1663&amp;" "&amp;'IND TECH'!C1663&amp;" "&amp;'IND TECH'!D1663&amp;" "&amp;'IND TECH'!E1663&amp;" "&amp;'IND TECH'!F1663&amp;" "&amp;'IND TECH'!G1663&amp;" "&amp;'IND TECH'!H1663</f>
        <v xml:space="preserve">       </v>
      </c>
      <c r="E1665" t="e">
        <f t="shared" si="5"/>
        <v>#REF!</v>
      </c>
      <c r="F1665" t="e">
        <f>'IND TECH'!#REF!</f>
        <v>#REF!</v>
      </c>
    </row>
    <row r="1666" spans="3:6" x14ac:dyDescent="0.25">
      <c r="C1666">
        <f>'IND TECH'!L1664</f>
        <v>0</v>
      </c>
      <c r="D1666" t="str">
        <f>'IND TECH'!A1664&amp;" "&amp;'IND TECH'!B1664&amp;" "&amp;'IND TECH'!C1664&amp;" "&amp;'IND TECH'!D1664&amp;" "&amp;'IND TECH'!E1664&amp;" "&amp;'IND TECH'!F1664&amp;" "&amp;'IND TECH'!G1664&amp;" "&amp;'IND TECH'!H1664</f>
        <v xml:space="preserve">       </v>
      </c>
      <c r="E1666" t="e">
        <f t="shared" si="5"/>
        <v>#REF!</v>
      </c>
      <c r="F1666" t="e">
        <f>'IND TECH'!#REF!</f>
        <v>#REF!</v>
      </c>
    </row>
    <row r="1667" spans="3:6" x14ac:dyDescent="0.25">
      <c r="C1667">
        <f>'IND TECH'!L1665</f>
        <v>0</v>
      </c>
      <c r="D1667" t="str">
        <f>'IND TECH'!A1665&amp;" "&amp;'IND TECH'!B1665&amp;" "&amp;'IND TECH'!C1665&amp;" "&amp;'IND TECH'!D1665&amp;" "&amp;'IND TECH'!E1665&amp;" "&amp;'IND TECH'!F1665&amp;" "&amp;'IND TECH'!G1665&amp;" "&amp;'IND TECH'!H1665</f>
        <v xml:space="preserve">       </v>
      </c>
      <c r="E1667" t="e">
        <f t="shared" si="5"/>
        <v>#REF!</v>
      </c>
      <c r="F1667" t="e">
        <f>'IND TECH'!#REF!</f>
        <v>#REF!</v>
      </c>
    </row>
    <row r="1668" spans="3:6" x14ac:dyDescent="0.25">
      <c r="C1668">
        <f>'IND TECH'!L1666</f>
        <v>0</v>
      </c>
      <c r="D1668" t="str">
        <f>'IND TECH'!A1666&amp;" "&amp;'IND TECH'!B1666&amp;" "&amp;'IND TECH'!C1666&amp;" "&amp;'IND TECH'!D1666&amp;" "&amp;'IND TECH'!E1666&amp;" "&amp;'IND TECH'!F1666&amp;" "&amp;'IND TECH'!G1666&amp;" "&amp;'IND TECH'!H1666</f>
        <v xml:space="preserve">       </v>
      </c>
      <c r="E1668" t="e">
        <f t="shared" si="5"/>
        <v>#REF!</v>
      </c>
      <c r="F1668" t="e">
        <f>'IND TECH'!#REF!</f>
        <v>#REF!</v>
      </c>
    </row>
    <row r="1669" spans="3:6" x14ac:dyDescent="0.25">
      <c r="C1669">
        <f>'IND TECH'!L1667</f>
        <v>0</v>
      </c>
      <c r="D1669" t="str">
        <f>'IND TECH'!A1667&amp;" "&amp;'IND TECH'!B1667&amp;" "&amp;'IND TECH'!C1667&amp;" "&amp;'IND TECH'!D1667&amp;" "&amp;'IND TECH'!E1667&amp;" "&amp;'IND TECH'!F1667&amp;" "&amp;'IND TECH'!G1667&amp;" "&amp;'IND TECH'!H1667</f>
        <v xml:space="preserve">       </v>
      </c>
      <c r="E1669" t="e">
        <f t="shared" si="5"/>
        <v>#REF!</v>
      </c>
      <c r="F1669" t="e">
        <f>'IND TECH'!#REF!</f>
        <v>#REF!</v>
      </c>
    </row>
    <row r="1670" spans="3:6" x14ac:dyDescent="0.25">
      <c r="C1670">
        <f>'IND TECH'!L1668</f>
        <v>0</v>
      </c>
      <c r="D1670" t="str">
        <f>'IND TECH'!A1668&amp;" "&amp;'IND TECH'!B1668&amp;" "&amp;'IND TECH'!C1668&amp;" "&amp;'IND TECH'!D1668&amp;" "&amp;'IND TECH'!E1668&amp;" "&amp;'IND TECH'!F1668&amp;" "&amp;'IND TECH'!G1668&amp;" "&amp;'IND TECH'!H1668</f>
        <v xml:space="preserve">       </v>
      </c>
      <c r="E1670" t="e">
        <f t="shared" si="5"/>
        <v>#REF!</v>
      </c>
      <c r="F1670" t="e">
        <f>'IND TECH'!#REF!</f>
        <v>#REF!</v>
      </c>
    </row>
    <row r="1671" spans="3:6" x14ac:dyDescent="0.25">
      <c r="C1671">
        <f>'IND TECH'!L1669</f>
        <v>0</v>
      </c>
      <c r="D1671" t="str">
        <f>'IND TECH'!A1669&amp;" "&amp;'IND TECH'!B1669&amp;" "&amp;'IND TECH'!C1669&amp;" "&amp;'IND TECH'!D1669&amp;" "&amp;'IND TECH'!E1669&amp;" "&amp;'IND TECH'!F1669&amp;" "&amp;'IND TECH'!G1669&amp;" "&amp;'IND TECH'!H1669</f>
        <v xml:space="preserve">       </v>
      </c>
      <c r="E1671" t="e">
        <f t="shared" si="5"/>
        <v>#REF!</v>
      </c>
      <c r="F1671" t="e">
        <f>'IND TECH'!#REF!</f>
        <v>#REF!</v>
      </c>
    </row>
    <row r="1672" spans="3:6" x14ac:dyDescent="0.25">
      <c r="C1672">
        <f>'IND TECH'!L1670</f>
        <v>0</v>
      </c>
      <c r="D1672" t="str">
        <f>'IND TECH'!A1670&amp;" "&amp;'IND TECH'!B1670&amp;" "&amp;'IND TECH'!C1670&amp;" "&amp;'IND TECH'!D1670&amp;" "&amp;'IND TECH'!E1670&amp;" "&amp;'IND TECH'!F1670&amp;" "&amp;'IND TECH'!G1670&amp;" "&amp;'IND TECH'!H1670</f>
        <v xml:space="preserve">       </v>
      </c>
      <c r="E1672" t="e">
        <f t="shared" si="5"/>
        <v>#REF!</v>
      </c>
      <c r="F1672" t="e">
        <f>'IND TECH'!#REF!</f>
        <v>#REF!</v>
      </c>
    </row>
    <row r="1673" spans="3:6" x14ac:dyDescent="0.25">
      <c r="C1673">
        <f>'IND TECH'!L1671</f>
        <v>0</v>
      </c>
      <c r="D1673" t="str">
        <f>'IND TECH'!A1671&amp;" "&amp;'IND TECH'!B1671&amp;" "&amp;'IND TECH'!C1671&amp;" "&amp;'IND TECH'!D1671&amp;" "&amp;'IND TECH'!E1671&amp;" "&amp;'IND TECH'!F1671&amp;" "&amp;'IND TECH'!G1671&amp;" "&amp;'IND TECH'!H1671</f>
        <v xml:space="preserve">       </v>
      </c>
      <c r="E1673" t="e">
        <f t="shared" si="5"/>
        <v>#REF!</v>
      </c>
      <c r="F1673" t="e">
        <f>'IND TECH'!#REF!</f>
        <v>#REF!</v>
      </c>
    </row>
    <row r="1674" spans="3:6" x14ac:dyDescent="0.25">
      <c r="C1674">
        <f>'IND TECH'!L1672</f>
        <v>0</v>
      </c>
      <c r="D1674" t="str">
        <f>'IND TECH'!A1672&amp;" "&amp;'IND TECH'!B1672&amp;" "&amp;'IND TECH'!C1672&amp;" "&amp;'IND TECH'!D1672&amp;" "&amp;'IND TECH'!E1672&amp;" "&amp;'IND TECH'!F1672&amp;" "&amp;'IND TECH'!G1672&amp;" "&amp;'IND TECH'!H1672</f>
        <v xml:space="preserve">       </v>
      </c>
      <c r="E1674" t="e">
        <f t="shared" si="5"/>
        <v>#REF!</v>
      </c>
      <c r="F1674" t="e">
        <f>'IND TECH'!#REF!</f>
        <v>#REF!</v>
      </c>
    </row>
    <row r="1675" spans="3:6" x14ac:dyDescent="0.25">
      <c r="C1675">
        <f>'IND TECH'!L1673</f>
        <v>0</v>
      </c>
      <c r="D1675" t="str">
        <f>'IND TECH'!A1673&amp;" "&amp;'IND TECH'!B1673&amp;" "&amp;'IND TECH'!C1673&amp;" "&amp;'IND TECH'!D1673&amp;" "&amp;'IND TECH'!E1673&amp;" "&amp;'IND TECH'!F1673&amp;" "&amp;'IND TECH'!G1673&amp;" "&amp;'IND TECH'!H1673</f>
        <v xml:space="preserve">       </v>
      </c>
      <c r="E1675" t="e">
        <f t="shared" si="5"/>
        <v>#REF!</v>
      </c>
      <c r="F1675" t="e">
        <f>'IND TECH'!#REF!</f>
        <v>#REF!</v>
      </c>
    </row>
    <row r="1676" spans="3:6" x14ac:dyDescent="0.25">
      <c r="C1676">
        <f>'IND TECH'!L1674</f>
        <v>0</v>
      </c>
      <c r="D1676" t="str">
        <f>'IND TECH'!A1674&amp;" "&amp;'IND TECH'!B1674&amp;" "&amp;'IND TECH'!C1674&amp;" "&amp;'IND TECH'!D1674&amp;" "&amp;'IND TECH'!E1674&amp;" "&amp;'IND TECH'!F1674&amp;" "&amp;'IND TECH'!G1674&amp;" "&amp;'IND TECH'!H1674</f>
        <v xml:space="preserve">       </v>
      </c>
      <c r="E1676" t="e">
        <f t="shared" si="5"/>
        <v>#REF!</v>
      </c>
      <c r="F1676" t="e">
        <f>'IND TECH'!#REF!</f>
        <v>#REF!</v>
      </c>
    </row>
    <row r="1677" spans="3:6" x14ac:dyDescent="0.25">
      <c r="C1677">
        <f>'IND TECH'!L1675</f>
        <v>0</v>
      </c>
      <c r="D1677" t="str">
        <f>'IND TECH'!A1675&amp;" "&amp;'IND TECH'!B1675&amp;" "&amp;'IND TECH'!C1675&amp;" "&amp;'IND TECH'!D1675&amp;" "&amp;'IND TECH'!E1675&amp;" "&amp;'IND TECH'!F1675&amp;" "&amp;'IND TECH'!G1675&amp;" "&amp;'IND TECH'!H1675</f>
        <v xml:space="preserve">       </v>
      </c>
      <c r="E1677" t="e">
        <f t="shared" si="5"/>
        <v>#REF!</v>
      </c>
      <c r="F1677" t="e">
        <f>'IND TECH'!#REF!</f>
        <v>#REF!</v>
      </c>
    </row>
    <row r="1678" spans="3:6" x14ac:dyDescent="0.25">
      <c r="C1678">
        <f>'IND TECH'!L1676</f>
        <v>0</v>
      </c>
      <c r="D1678" t="str">
        <f>'IND TECH'!A1676&amp;" "&amp;'IND TECH'!B1676&amp;" "&amp;'IND TECH'!C1676&amp;" "&amp;'IND TECH'!D1676&amp;" "&amp;'IND TECH'!E1676&amp;" "&amp;'IND TECH'!F1676&amp;" "&amp;'IND TECH'!G1676&amp;" "&amp;'IND TECH'!H1676</f>
        <v xml:space="preserve">       </v>
      </c>
      <c r="E1678" t="e">
        <f t="shared" si="5"/>
        <v>#REF!</v>
      </c>
      <c r="F1678" t="e">
        <f>'IND TECH'!#REF!</f>
        <v>#REF!</v>
      </c>
    </row>
    <row r="1679" spans="3:6" x14ac:dyDescent="0.25">
      <c r="C1679">
        <f>'IND TECH'!L1677</f>
        <v>0</v>
      </c>
      <c r="D1679" t="str">
        <f>'IND TECH'!A1677&amp;" "&amp;'IND TECH'!B1677&amp;" "&amp;'IND TECH'!C1677&amp;" "&amp;'IND TECH'!D1677&amp;" "&amp;'IND TECH'!E1677&amp;" "&amp;'IND TECH'!F1677&amp;" "&amp;'IND TECH'!G1677&amp;" "&amp;'IND TECH'!H1677</f>
        <v xml:space="preserve">       </v>
      </c>
      <c r="E1679" t="e">
        <f t="shared" si="5"/>
        <v>#REF!</v>
      </c>
      <c r="F1679" t="e">
        <f>'IND TECH'!#REF!</f>
        <v>#REF!</v>
      </c>
    </row>
    <row r="1680" spans="3:6" x14ac:dyDescent="0.25">
      <c r="C1680">
        <f>'IND TECH'!L1678</f>
        <v>0</v>
      </c>
      <c r="D1680" t="str">
        <f>'IND TECH'!A1678&amp;" "&amp;'IND TECH'!B1678&amp;" "&amp;'IND TECH'!C1678&amp;" "&amp;'IND TECH'!D1678&amp;" "&amp;'IND TECH'!E1678&amp;" "&amp;'IND TECH'!F1678&amp;" "&amp;'IND TECH'!G1678&amp;" "&amp;'IND TECH'!H1678</f>
        <v xml:space="preserve">       </v>
      </c>
      <c r="E1680" t="e">
        <f t="shared" si="5"/>
        <v>#REF!</v>
      </c>
      <c r="F1680" t="e">
        <f>'IND TECH'!#REF!</f>
        <v>#REF!</v>
      </c>
    </row>
    <row r="1681" spans="3:6" x14ac:dyDescent="0.25">
      <c r="C1681">
        <f>'IND TECH'!L1679</f>
        <v>0</v>
      </c>
      <c r="D1681" t="str">
        <f>'IND TECH'!A1679&amp;" "&amp;'IND TECH'!B1679&amp;" "&amp;'IND TECH'!C1679&amp;" "&amp;'IND TECH'!D1679&amp;" "&amp;'IND TECH'!E1679&amp;" "&amp;'IND TECH'!F1679&amp;" "&amp;'IND TECH'!G1679&amp;" "&amp;'IND TECH'!H1679</f>
        <v xml:space="preserve">       </v>
      </c>
      <c r="E1681" t="e">
        <f t="shared" si="5"/>
        <v>#REF!</v>
      </c>
      <c r="F1681" t="e">
        <f>'IND TECH'!#REF!</f>
        <v>#REF!</v>
      </c>
    </row>
    <row r="1682" spans="3:6" x14ac:dyDescent="0.25">
      <c r="C1682">
        <f>'IND TECH'!L1680</f>
        <v>0</v>
      </c>
      <c r="D1682" t="str">
        <f>'IND TECH'!A1680&amp;" "&amp;'IND TECH'!B1680&amp;" "&amp;'IND TECH'!C1680&amp;" "&amp;'IND TECH'!D1680&amp;" "&amp;'IND TECH'!E1680&amp;" "&amp;'IND TECH'!F1680&amp;" "&amp;'IND TECH'!G1680&amp;" "&amp;'IND TECH'!H1680</f>
        <v xml:space="preserve">       </v>
      </c>
      <c r="E1682" t="e">
        <f t="shared" si="5"/>
        <v>#REF!</v>
      </c>
      <c r="F1682" t="e">
        <f>'IND TECH'!#REF!</f>
        <v>#REF!</v>
      </c>
    </row>
    <row r="1683" spans="3:6" x14ac:dyDescent="0.25">
      <c r="C1683">
        <f>'IND TECH'!L1681</f>
        <v>0</v>
      </c>
      <c r="D1683" t="str">
        <f>'IND TECH'!A1681&amp;" "&amp;'IND TECH'!B1681&amp;" "&amp;'IND TECH'!C1681&amp;" "&amp;'IND TECH'!D1681&amp;" "&amp;'IND TECH'!E1681&amp;" "&amp;'IND TECH'!F1681&amp;" "&amp;'IND TECH'!G1681&amp;" "&amp;'IND TECH'!H1681</f>
        <v xml:space="preserve">       </v>
      </c>
      <c r="E1683" t="e">
        <f t="shared" ref="E1683:E1746" si="6">IF(F1683="Mlma","Mlm","TJ")</f>
        <v>#REF!</v>
      </c>
      <c r="F1683" t="e">
        <f>'IND TECH'!#REF!</f>
        <v>#REF!</v>
      </c>
    </row>
    <row r="1684" spans="3:6" x14ac:dyDescent="0.25">
      <c r="C1684">
        <f>'IND TECH'!L1682</f>
        <v>0</v>
      </c>
      <c r="D1684" t="str">
        <f>'IND TECH'!A1682&amp;" "&amp;'IND TECH'!B1682&amp;" "&amp;'IND TECH'!C1682&amp;" "&amp;'IND TECH'!D1682&amp;" "&amp;'IND TECH'!E1682&amp;" "&amp;'IND TECH'!F1682&amp;" "&amp;'IND TECH'!G1682&amp;" "&amp;'IND TECH'!H1682</f>
        <v xml:space="preserve">       </v>
      </c>
      <c r="E1684" t="e">
        <f t="shared" si="6"/>
        <v>#REF!</v>
      </c>
      <c r="F1684" t="e">
        <f>'IND TECH'!#REF!</f>
        <v>#REF!</v>
      </c>
    </row>
    <row r="1685" spans="3:6" x14ac:dyDescent="0.25">
      <c r="C1685">
        <f>'IND TECH'!L1683</f>
        <v>0</v>
      </c>
      <c r="D1685" t="str">
        <f>'IND TECH'!A1683&amp;" "&amp;'IND TECH'!B1683&amp;" "&amp;'IND TECH'!C1683&amp;" "&amp;'IND TECH'!D1683&amp;" "&amp;'IND TECH'!E1683&amp;" "&amp;'IND TECH'!F1683&amp;" "&amp;'IND TECH'!G1683&amp;" "&amp;'IND TECH'!H1683</f>
        <v xml:space="preserve">       </v>
      </c>
      <c r="E1685" t="e">
        <f t="shared" si="6"/>
        <v>#REF!</v>
      </c>
      <c r="F1685" t="e">
        <f>'IND TECH'!#REF!</f>
        <v>#REF!</v>
      </c>
    </row>
    <row r="1686" spans="3:6" x14ac:dyDescent="0.25">
      <c r="C1686">
        <f>'IND TECH'!L1684</f>
        <v>0</v>
      </c>
      <c r="D1686" t="str">
        <f>'IND TECH'!A1684&amp;" "&amp;'IND TECH'!B1684&amp;" "&amp;'IND TECH'!C1684&amp;" "&amp;'IND TECH'!D1684&amp;" "&amp;'IND TECH'!E1684&amp;" "&amp;'IND TECH'!F1684&amp;" "&amp;'IND TECH'!G1684&amp;" "&amp;'IND TECH'!H1684</f>
        <v xml:space="preserve">       </v>
      </c>
      <c r="E1686" t="e">
        <f t="shared" si="6"/>
        <v>#REF!</v>
      </c>
      <c r="F1686" t="e">
        <f>'IND TECH'!#REF!</f>
        <v>#REF!</v>
      </c>
    </row>
    <row r="1687" spans="3:6" x14ac:dyDescent="0.25">
      <c r="C1687">
        <f>'IND TECH'!L1685</f>
        <v>0</v>
      </c>
      <c r="D1687" t="str">
        <f>'IND TECH'!A1685&amp;" "&amp;'IND TECH'!B1685&amp;" "&amp;'IND TECH'!C1685&amp;" "&amp;'IND TECH'!D1685&amp;" "&amp;'IND TECH'!E1685&amp;" "&amp;'IND TECH'!F1685&amp;" "&amp;'IND TECH'!G1685&amp;" "&amp;'IND TECH'!H1685</f>
        <v xml:space="preserve">       </v>
      </c>
      <c r="E1687" t="e">
        <f t="shared" si="6"/>
        <v>#REF!</v>
      </c>
      <c r="F1687" t="e">
        <f>'IND TECH'!#REF!</f>
        <v>#REF!</v>
      </c>
    </row>
    <row r="1688" spans="3:6" x14ac:dyDescent="0.25">
      <c r="C1688">
        <f>'IND TECH'!L1686</f>
        <v>0</v>
      </c>
      <c r="D1688" t="str">
        <f>'IND TECH'!A1686&amp;" "&amp;'IND TECH'!B1686&amp;" "&amp;'IND TECH'!C1686&amp;" "&amp;'IND TECH'!D1686&amp;" "&amp;'IND TECH'!E1686&amp;" "&amp;'IND TECH'!F1686&amp;" "&amp;'IND TECH'!G1686&amp;" "&amp;'IND TECH'!H1686</f>
        <v xml:space="preserve">       </v>
      </c>
      <c r="E1688" t="e">
        <f t="shared" si="6"/>
        <v>#REF!</v>
      </c>
      <c r="F1688" t="e">
        <f>'IND TECH'!#REF!</f>
        <v>#REF!</v>
      </c>
    </row>
    <row r="1689" spans="3:6" x14ac:dyDescent="0.25">
      <c r="C1689">
        <f>'IND TECH'!L1687</f>
        <v>0</v>
      </c>
      <c r="D1689" t="str">
        <f>'IND TECH'!A1687&amp;" "&amp;'IND TECH'!B1687&amp;" "&amp;'IND TECH'!C1687&amp;" "&amp;'IND TECH'!D1687&amp;" "&amp;'IND TECH'!E1687&amp;" "&amp;'IND TECH'!F1687&amp;" "&amp;'IND TECH'!G1687&amp;" "&amp;'IND TECH'!H1687</f>
        <v xml:space="preserve">       </v>
      </c>
      <c r="E1689" t="e">
        <f t="shared" si="6"/>
        <v>#REF!</v>
      </c>
      <c r="F1689" t="e">
        <f>'IND TECH'!#REF!</f>
        <v>#REF!</v>
      </c>
    </row>
    <row r="1690" spans="3:6" x14ac:dyDescent="0.25">
      <c r="C1690">
        <f>'IND TECH'!L1688</f>
        <v>0</v>
      </c>
      <c r="D1690" t="str">
        <f>'IND TECH'!A1688&amp;" "&amp;'IND TECH'!B1688&amp;" "&amp;'IND TECH'!C1688&amp;" "&amp;'IND TECH'!D1688&amp;" "&amp;'IND TECH'!E1688&amp;" "&amp;'IND TECH'!F1688&amp;" "&amp;'IND TECH'!G1688&amp;" "&amp;'IND TECH'!H1688</f>
        <v xml:space="preserve">       </v>
      </c>
      <c r="E1690" t="e">
        <f t="shared" si="6"/>
        <v>#REF!</v>
      </c>
      <c r="F1690" t="e">
        <f>'IND TECH'!#REF!</f>
        <v>#REF!</v>
      </c>
    </row>
    <row r="1691" spans="3:6" x14ac:dyDescent="0.25">
      <c r="C1691">
        <f>'IND TECH'!L1689</f>
        <v>0</v>
      </c>
      <c r="D1691" t="str">
        <f>'IND TECH'!A1689&amp;" "&amp;'IND TECH'!B1689&amp;" "&amp;'IND TECH'!C1689&amp;" "&amp;'IND TECH'!D1689&amp;" "&amp;'IND TECH'!E1689&amp;" "&amp;'IND TECH'!F1689&amp;" "&amp;'IND TECH'!G1689&amp;" "&amp;'IND TECH'!H1689</f>
        <v xml:space="preserve">       </v>
      </c>
      <c r="E1691" t="e">
        <f t="shared" si="6"/>
        <v>#REF!</v>
      </c>
      <c r="F1691" t="e">
        <f>'IND TECH'!#REF!</f>
        <v>#REF!</v>
      </c>
    </row>
    <row r="1692" spans="3:6" x14ac:dyDescent="0.25">
      <c r="C1692">
        <f>'IND TECH'!L1690</f>
        <v>0</v>
      </c>
      <c r="D1692" t="str">
        <f>'IND TECH'!A1690&amp;" "&amp;'IND TECH'!B1690&amp;" "&amp;'IND TECH'!C1690&amp;" "&amp;'IND TECH'!D1690&amp;" "&amp;'IND TECH'!E1690&amp;" "&amp;'IND TECH'!F1690&amp;" "&amp;'IND TECH'!G1690&amp;" "&amp;'IND TECH'!H1690</f>
        <v xml:space="preserve">       </v>
      </c>
      <c r="E1692" t="e">
        <f t="shared" si="6"/>
        <v>#REF!</v>
      </c>
      <c r="F1692" t="e">
        <f>'IND TECH'!#REF!</f>
        <v>#REF!</v>
      </c>
    </row>
    <row r="1693" spans="3:6" x14ac:dyDescent="0.25">
      <c r="C1693">
        <f>'IND TECH'!L1691</f>
        <v>0</v>
      </c>
      <c r="D1693" t="str">
        <f>'IND TECH'!A1691&amp;" "&amp;'IND TECH'!B1691&amp;" "&amp;'IND TECH'!C1691&amp;" "&amp;'IND TECH'!D1691&amp;" "&amp;'IND TECH'!E1691&amp;" "&amp;'IND TECH'!F1691&amp;" "&amp;'IND TECH'!G1691&amp;" "&amp;'IND TECH'!H1691</f>
        <v xml:space="preserve">       </v>
      </c>
      <c r="E1693" t="e">
        <f t="shared" si="6"/>
        <v>#REF!</v>
      </c>
      <c r="F1693" t="e">
        <f>'IND TECH'!#REF!</f>
        <v>#REF!</v>
      </c>
    </row>
    <row r="1694" spans="3:6" x14ac:dyDescent="0.25">
      <c r="C1694">
        <f>'IND TECH'!L1692</f>
        <v>0</v>
      </c>
      <c r="D1694" t="str">
        <f>'IND TECH'!A1692&amp;" "&amp;'IND TECH'!B1692&amp;" "&amp;'IND TECH'!C1692&amp;" "&amp;'IND TECH'!D1692&amp;" "&amp;'IND TECH'!E1692&amp;" "&amp;'IND TECH'!F1692&amp;" "&amp;'IND TECH'!G1692&amp;" "&amp;'IND TECH'!H1692</f>
        <v xml:space="preserve">       </v>
      </c>
      <c r="E1694" t="e">
        <f t="shared" si="6"/>
        <v>#REF!</v>
      </c>
      <c r="F1694" t="e">
        <f>'IND TECH'!#REF!</f>
        <v>#REF!</v>
      </c>
    </row>
    <row r="1695" spans="3:6" x14ac:dyDescent="0.25">
      <c r="C1695">
        <f>'IND TECH'!L1693</f>
        <v>0</v>
      </c>
      <c r="D1695" t="str">
        <f>'IND TECH'!A1693&amp;" "&amp;'IND TECH'!B1693&amp;" "&amp;'IND TECH'!C1693&amp;" "&amp;'IND TECH'!D1693&amp;" "&amp;'IND TECH'!E1693&amp;" "&amp;'IND TECH'!F1693&amp;" "&amp;'IND TECH'!G1693&amp;" "&amp;'IND TECH'!H1693</f>
        <v xml:space="preserve">       </v>
      </c>
      <c r="E1695" t="e">
        <f t="shared" si="6"/>
        <v>#REF!</v>
      </c>
      <c r="F1695" t="e">
        <f>'IND TECH'!#REF!</f>
        <v>#REF!</v>
      </c>
    </row>
    <row r="1696" spans="3:6" x14ac:dyDescent="0.25">
      <c r="C1696">
        <f>'IND TECH'!L1694</f>
        <v>0</v>
      </c>
      <c r="D1696" t="str">
        <f>'IND TECH'!A1694&amp;" "&amp;'IND TECH'!B1694&amp;" "&amp;'IND TECH'!C1694&amp;" "&amp;'IND TECH'!D1694&amp;" "&amp;'IND TECH'!E1694&amp;" "&amp;'IND TECH'!F1694&amp;" "&amp;'IND TECH'!G1694&amp;" "&amp;'IND TECH'!H1694</f>
        <v xml:space="preserve">       </v>
      </c>
      <c r="E1696" t="e">
        <f t="shared" si="6"/>
        <v>#REF!</v>
      </c>
      <c r="F1696" t="e">
        <f>'IND TECH'!#REF!</f>
        <v>#REF!</v>
      </c>
    </row>
    <row r="1697" spans="3:6" x14ac:dyDescent="0.25">
      <c r="C1697">
        <f>'IND TECH'!L1695</f>
        <v>0</v>
      </c>
      <c r="D1697" t="str">
        <f>'IND TECH'!A1695&amp;" "&amp;'IND TECH'!B1695&amp;" "&amp;'IND TECH'!C1695&amp;" "&amp;'IND TECH'!D1695&amp;" "&amp;'IND TECH'!E1695&amp;" "&amp;'IND TECH'!F1695&amp;" "&amp;'IND TECH'!G1695&amp;" "&amp;'IND TECH'!H1695</f>
        <v xml:space="preserve">       </v>
      </c>
      <c r="E1697" t="e">
        <f t="shared" si="6"/>
        <v>#REF!</v>
      </c>
      <c r="F1697" t="e">
        <f>'IND TECH'!#REF!</f>
        <v>#REF!</v>
      </c>
    </row>
    <row r="1698" spans="3:6" x14ac:dyDescent="0.25">
      <c r="C1698">
        <f>'IND TECH'!L1696</f>
        <v>0</v>
      </c>
      <c r="D1698" t="str">
        <f>'IND TECH'!A1696&amp;" "&amp;'IND TECH'!B1696&amp;" "&amp;'IND TECH'!C1696&amp;" "&amp;'IND TECH'!D1696&amp;" "&amp;'IND TECH'!E1696&amp;" "&amp;'IND TECH'!F1696&amp;" "&amp;'IND TECH'!G1696&amp;" "&amp;'IND TECH'!H1696</f>
        <v xml:space="preserve">       </v>
      </c>
      <c r="E1698" t="e">
        <f t="shared" si="6"/>
        <v>#REF!</v>
      </c>
      <c r="F1698" t="e">
        <f>'IND TECH'!#REF!</f>
        <v>#REF!</v>
      </c>
    </row>
    <row r="1699" spans="3:6" x14ac:dyDescent="0.25">
      <c r="C1699">
        <f>'IND TECH'!L1697</f>
        <v>0</v>
      </c>
      <c r="D1699" t="str">
        <f>'IND TECH'!A1697&amp;" "&amp;'IND TECH'!B1697&amp;" "&amp;'IND TECH'!C1697&amp;" "&amp;'IND TECH'!D1697&amp;" "&amp;'IND TECH'!E1697&amp;" "&amp;'IND TECH'!F1697&amp;" "&amp;'IND TECH'!G1697&amp;" "&amp;'IND TECH'!H1697</f>
        <v xml:space="preserve">       </v>
      </c>
      <c r="E1699" t="e">
        <f t="shared" si="6"/>
        <v>#REF!</v>
      </c>
      <c r="F1699" t="e">
        <f>'IND TECH'!#REF!</f>
        <v>#REF!</v>
      </c>
    </row>
    <row r="1700" spans="3:6" x14ac:dyDescent="0.25">
      <c r="C1700">
        <f>'IND TECH'!L1698</f>
        <v>0</v>
      </c>
      <c r="D1700" t="str">
        <f>'IND TECH'!A1698&amp;" "&amp;'IND TECH'!B1698&amp;" "&amp;'IND TECH'!C1698&amp;" "&amp;'IND TECH'!D1698&amp;" "&amp;'IND TECH'!E1698&amp;" "&amp;'IND TECH'!F1698&amp;" "&amp;'IND TECH'!G1698&amp;" "&amp;'IND TECH'!H1698</f>
        <v xml:space="preserve">       </v>
      </c>
      <c r="E1700" t="e">
        <f t="shared" si="6"/>
        <v>#REF!</v>
      </c>
      <c r="F1700" t="e">
        <f>'IND TECH'!#REF!</f>
        <v>#REF!</v>
      </c>
    </row>
    <row r="1701" spans="3:6" x14ac:dyDescent="0.25">
      <c r="C1701">
        <f>'IND TECH'!L1699</f>
        <v>0</v>
      </c>
      <c r="D1701" t="str">
        <f>'IND TECH'!A1699&amp;" "&amp;'IND TECH'!B1699&amp;" "&amp;'IND TECH'!C1699&amp;" "&amp;'IND TECH'!D1699&amp;" "&amp;'IND TECH'!E1699&amp;" "&amp;'IND TECH'!F1699&amp;" "&amp;'IND TECH'!G1699&amp;" "&amp;'IND TECH'!H1699</f>
        <v xml:space="preserve">       </v>
      </c>
      <c r="E1701" t="e">
        <f t="shared" si="6"/>
        <v>#REF!</v>
      </c>
      <c r="F1701" t="e">
        <f>'IND TECH'!#REF!</f>
        <v>#REF!</v>
      </c>
    </row>
    <row r="1702" spans="3:6" x14ac:dyDescent="0.25">
      <c r="C1702">
        <f>'IND TECH'!L1700</f>
        <v>0</v>
      </c>
      <c r="D1702" t="str">
        <f>'IND TECH'!A1700&amp;" "&amp;'IND TECH'!B1700&amp;" "&amp;'IND TECH'!C1700&amp;" "&amp;'IND TECH'!D1700&amp;" "&amp;'IND TECH'!E1700&amp;" "&amp;'IND TECH'!F1700&amp;" "&amp;'IND TECH'!G1700&amp;" "&amp;'IND TECH'!H1700</f>
        <v xml:space="preserve">       </v>
      </c>
      <c r="E1702" t="e">
        <f t="shared" si="6"/>
        <v>#REF!</v>
      </c>
      <c r="F1702" t="e">
        <f>'IND TECH'!#REF!</f>
        <v>#REF!</v>
      </c>
    </row>
    <row r="1703" spans="3:6" x14ac:dyDescent="0.25">
      <c r="C1703">
        <f>'IND TECH'!L1701</f>
        <v>0</v>
      </c>
      <c r="D1703" t="str">
        <f>'IND TECH'!A1701&amp;" "&amp;'IND TECH'!B1701&amp;" "&amp;'IND TECH'!C1701&amp;" "&amp;'IND TECH'!D1701&amp;" "&amp;'IND TECH'!E1701&amp;" "&amp;'IND TECH'!F1701&amp;" "&amp;'IND TECH'!G1701&amp;" "&amp;'IND TECH'!H1701</f>
        <v xml:space="preserve">       </v>
      </c>
      <c r="E1703" t="e">
        <f t="shared" si="6"/>
        <v>#REF!</v>
      </c>
      <c r="F1703" t="e">
        <f>'IND TECH'!#REF!</f>
        <v>#REF!</v>
      </c>
    </row>
    <row r="1704" spans="3:6" x14ac:dyDescent="0.25">
      <c r="C1704">
        <f>'IND TECH'!L1702</f>
        <v>0</v>
      </c>
      <c r="D1704" t="str">
        <f>'IND TECH'!A1702&amp;" "&amp;'IND TECH'!B1702&amp;" "&amp;'IND TECH'!C1702&amp;" "&amp;'IND TECH'!D1702&amp;" "&amp;'IND TECH'!E1702&amp;" "&amp;'IND TECH'!F1702&amp;" "&amp;'IND TECH'!G1702&amp;" "&amp;'IND TECH'!H1702</f>
        <v xml:space="preserve">       </v>
      </c>
      <c r="E1704" t="e">
        <f t="shared" si="6"/>
        <v>#REF!</v>
      </c>
      <c r="F1704" t="e">
        <f>'IND TECH'!#REF!</f>
        <v>#REF!</v>
      </c>
    </row>
    <row r="1705" spans="3:6" x14ac:dyDescent="0.25">
      <c r="C1705">
        <f>'IND TECH'!L1703</f>
        <v>0</v>
      </c>
      <c r="D1705" t="str">
        <f>'IND TECH'!A1703&amp;" "&amp;'IND TECH'!B1703&amp;" "&amp;'IND TECH'!C1703&amp;" "&amp;'IND TECH'!D1703&amp;" "&amp;'IND TECH'!E1703&amp;" "&amp;'IND TECH'!F1703&amp;" "&amp;'IND TECH'!G1703&amp;" "&amp;'IND TECH'!H1703</f>
        <v xml:space="preserve">       </v>
      </c>
      <c r="E1705" t="e">
        <f t="shared" si="6"/>
        <v>#REF!</v>
      </c>
      <c r="F1705" t="e">
        <f>'IND TECH'!#REF!</f>
        <v>#REF!</v>
      </c>
    </row>
    <row r="1706" spans="3:6" x14ac:dyDescent="0.25">
      <c r="C1706">
        <f>'IND TECH'!L1704</f>
        <v>0</v>
      </c>
      <c r="D1706" t="str">
        <f>'IND TECH'!A1704&amp;" "&amp;'IND TECH'!B1704&amp;" "&amp;'IND TECH'!C1704&amp;" "&amp;'IND TECH'!D1704&amp;" "&amp;'IND TECH'!E1704&amp;" "&amp;'IND TECH'!F1704&amp;" "&amp;'IND TECH'!G1704&amp;" "&amp;'IND TECH'!H1704</f>
        <v xml:space="preserve">       </v>
      </c>
      <c r="E1706" t="e">
        <f t="shared" si="6"/>
        <v>#REF!</v>
      </c>
      <c r="F1706" t="e">
        <f>'IND TECH'!#REF!</f>
        <v>#REF!</v>
      </c>
    </row>
    <row r="1707" spans="3:6" x14ac:dyDescent="0.25">
      <c r="C1707">
        <f>'IND TECH'!L1705</f>
        <v>0</v>
      </c>
      <c r="D1707" t="str">
        <f>'IND TECH'!A1705&amp;" "&amp;'IND TECH'!B1705&amp;" "&amp;'IND TECH'!C1705&amp;" "&amp;'IND TECH'!D1705&amp;" "&amp;'IND TECH'!E1705&amp;" "&amp;'IND TECH'!F1705&amp;" "&amp;'IND TECH'!G1705&amp;" "&amp;'IND TECH'!H1705</f>
        <v xml:space="preserve">       </v>
      </c>
      <c r="E1707" t="e">
        <f t="shared" si="6"/>
        <v>#REF!</v>
      </c>
      <c r="F1707" t="e">
        <f>'IND TECH'!#REF!</f>
        <v>#REF!</v>
      </c>
    </row>
    <row r="1708" spans="3:6" x14ac:dyDescent="0.25">
      <c r="C1708">
        <f>'IND TECH'!L1706</f>
        <v>0</v>
      </c>
      <c r="D1708" t="str">
        <f>'IND TECH'!A1706&amp;" "&amp;'IND TECH'!B1706&amp;" "&amp;'IND TECH'!C1706&amp;" "&amp;'IND TECH'!D1706&amp;" "&amp;'IND TECH'!E1706&amp;" "&amp;'IND TECH'!F1706&amp;" "&amp;'IND TECH'!G1706&amp;" "&amp;'IND TECH'!H1706</f>
        <v xml:space="preserve">       </v>
      </c>
      <c r="E1708" t="e">
        <f t="shared" si="6"/>
        <v>#REF!</v>
      </c>
      <c r="F1708" t="e">
        <f>'IND TECH'!#REF!</f>
        <v>#REF!</v>
      </c>
    </row>
    <row r="1709" spans="3:6" x14ac:dyDescent="0.25">
      <c r="C1709">
        <f>'IND TECH'!L1707</f>
        <v>0</v>
      </c>
      <c r="D1709" t="str">
        <f>'IND TECH'!A1707&amp;" "&amp;'IND TECH'!B1707&amp;" "&amp;'IND TECH'!C1707&amp;" "&amp;'IND TECH'!D1707&amp;" "&amp;'IND TECH'!E1707&amp;" "&amp;'IND TECH'!F1707&amp;" "&amp;'IND TECH'!G1707&amp;" "&amp;'IND TECH'!H1707</f>
        <v xml:space="preserve">       </v>
      </c>
      <c r="E1709" t="e">
        <f t="shared" si="6"/>
        <v>#REF!</v>
      </c>
      <c r="F1709" t="e">
        <f>'IND TECH'!#REF!</f>
        <v>#REF!</v>
      </c>
    </row>
    <row r="1710" spans="3:6" x14ac:dyDescent="0.25">
      <c r="C1710">
        <f>'IND TECH'!L1708</f>
        <v>0</v>
      </c>
      <c r="D1710" t="str">
        <f>'IND TECH'!A1708&amp;" "&amp;'IND TECH'!B1708&amp;" "&amp;'IND TECH'!C1708&amp;" "&amp;'IND TECH'!D1708&amp;" "&amp;'IND TECH'!E1708&amp;" "&amp;'IND TECH'!F1708&amp;" "&amp;'IND TECH'!G1708&amp;" "&amp;'IND TECH'!H1708</f>
        <v xml:space="preserve">       </v>
      </c>
      <c r="E1710" t="e">
        <f t="shared" si="6"/>
        <v>#REF!</v>
      </c>
      <c r="F1710" t="e">
        <f>'IND TECH'!#REF!</f>
        <v>#REF!</v>
      </c>
    </row>
    <row r="1711" spans="3:6" x14ac:dyDescent="0.25">
      <c r="C1711">
        <f>'IND TECH'!L1709</f>
        <v>0</v>
      </c>
      <c r="D1711" t="str">
        <f>'IND TECH'!A1709&amp;" "&amp;'IND TECH'!B1709&amp;" "&amp;'IND TECH'!C1709&amp;" "&amp;'IND TECH'!D1709&amp;" "&amp;'IND TECH'!E1709&amp;" "&amp;'IND TECH'!F1709&amp;" "&amp;'IND TECH'!G1709&amp;" "&amp;'IND TECH'!H1709</f>
        <v xml:space="preserve">       </v>
      </c>
      <c r="E1711" t="e">
        <f t="shared" si="6"/>
        <v>#REF!</v>
      </c>
      <c r="F1711" t="e">
        <f>'IND TECH'!#REF!</f>
        <v>#REF!</v>
      </c>
    </row>
    <row r="1712" spans="3:6" x14ac:dyDescent="0.25">
      <c r="C1712">
        <f>'IND TECH'!L1710</f>
        <v>0</v>
      </c>
      <c r="D1712" t="str">
        <f>'IND TECH'!A1710&amp;" "&amp;'IND TECH'!B1710&amp;" "&amp;'IND TECH'!C1710&amp;" "&amp;'IND TECH'!D1710&amp;" "&amp;'IND TECH'!E1710&amp;" "&amp;'IND TECH'!F1710&amp;" "&amp;'IND TECH'!G1710&amp;" "&amp;'IND TECH'!H1710</f>
        <v xml:space="preserve">       </v>
      </c>
      <c r="E1712" t="e">
        <f t="shared" si="6"/>
        <v>#REF!</v>
      </c>
      <c r="F1712" t="e">
        <f>'IND TECH'!#REF!</f>
        <v>#REF!</v>
      </c>
    </row>
    <row r="1713" spans="3:6" x14ac:dyDescent="0.25">
      <c r="C1713">
        <f>'IND TECH'!L1711</f>
        <v>0</v>
      </c>
      <c r="D1713" t="str">
        <f>'IND TECH'!A1711&amp;" "&amp;'IND TECH'!B1711&amp;" "&amp;'IND TECH'!C1711&amp;" "&amp;'IND TECH'!D1711&amp;" "&amp;'IND TECH'!E1711&amp;" "&amp;'IND TECH'!F1711&amp;" "&amp;'IND TECH'!G1711&amp;" "&amp;'IND TECH'!H1711</f>
        <v xml:space="preserve">       </v>
      </c>
      <c r="E1713" t="e">
        <f t="shared" si="6"/>
        <v>#REF!</v>
      </c>
      <c r="F1713" t="e">
        <f>'IND TECH'!#REF!</f>
        <v>#REF!</v>
      </c>
    </row>
    <row r="1714" spans="3:6" x14ac:dyDescent="0.25">
      <c r="C1714">
        <f>'IND TECH'!L1712</f>
        <v>0</v>
      </c>
      <c r="D1714" t="str">
        <f>'IND TECH'!A1712&amp;" "&amp;'IND TECH'!B1712&amp;" "&amp;'IND TECH'!C1712&amp;" "&amp;'IND TECH'!D1712&amp;" "&amp;'IND TECH'!E1712&amp;" "&amp;'IND TECH'!F1712&amp;" "&amp;'IND TECH'!G1712&amp;" "&amp;'IND TECH'!H1712</f>
        <v xml:space="preserve">       </v>
      </c>
      <c r="E1714" t="e">
        <f t="shared" si="6"/>
        <v>#REF!</v>
      </c>
      <c r="F1714" t="e">
        <f>'IND TECH'!#REF!</f>
        <v>#REF!</v>
      </c>
    </row>
    <row r="1715" spans="3:6" x14ac:dyDescent="0.25">
      <c r="C1715">
        <f>'IND TECH'!L1713</f>
        <v>0</v>
      </c>
      <c r="D1715" t="str">
        <f>'IND TECH'!A1713&amp;" "&amp;'IND TECH'!B1713&amp;" "&amp;'IND TECH'!C1713&amp;" "&amp;'IND TECH'!D1713&amp;" "&amp;'IND TECH'!E1713&amp;" "&amp;'IND TECH'!F1713&amp;" "&amp;'IND TECH'!G1713&amp;" "&amp;'IND TECH'!H1713</f>
        <v xml:space="preserve">       </v>
      </c>
      <c r="E1715" t="e">
        <f t="shared" si="6"/>
        <v>#REF!</v>
      </c>
      <c r="F1715" t="e">
        <f>'IND TECH'!#REF!</f>
        <v>#REF!</v>
      </c>
    </row>
    <row r="1716" spans="3:6" x14ac:dyDescent="0.25">
      <c r="C1716">
        <f>'IND TECH'!L1714</f>
        <v>0</v>
      </c>
      <c r="D1716" t="str">
        <f>'IND TECH'!A1714&amp;" "&amp;'IND TECH'!B1714&amp;" "&amp;'IND TECH'!C1714&amp;" "&amp;'IND TECH'!D1714&amp;" "&amp;'IND TECH'!E1714&amp;" "&amp;'IND TECH'!F1714&amp;" "&amp;'IND TECH'!G1714&amp;" "&amp;'IND TECH'!H1714</f>
        <v xml:space="preserve">       </v>
      </c>
      <c r="E1716" t="e">
        <f t="shared" si="6"/>
        <v>#REF!</v>
      </c>
      <c r="F1716" t="e">
        <f>'IND TECH'!#REF!</f>
        <v>#REF!</v>
      </c>
    </row>
    <row r="1717" spans="3:6" x14ac:dyDescent="0.25">
      <c r="C1717">
        <f>'IND TECH'!L1715</f>
        <v>0</v>
      </c>
      <c r="D1717" t="str">
        <f>'IND TECH'!A1715&amp;" "&amp;'IND TECH'!B1715&amp;" "&amp;'IND TECH'!C1715&amp;" "&amp;'IND TECH'!D1715&amp;" "&amp;'IND TECH'!E1715&amp;" "&amp;'IND TECH'!F1715&amp;" "&amp;'IND TECH'!G1715&amp;" "&amp;'IND TECH'!H1715</f>
        <v xml:space="preserve">       </v>
      </c>
      <c r="E1717" t="e">
        <f t="shared" si="6"/>
        <v>#REF!</v>
      </c>
      <c r="F1717" t="e">
        <f>'IND TECH'!#REF!</f>
        <v>#REF!</v>
      </c>
    </row>
    <row r="1718" spans="3:6" x14ac:dyDescent="0.25">
      <c r="C1718">
        <f>'IND TECH'!L1716</f>
        <v>0</v>
      </c>
      <c r="D1718" t="str">
        <f>'IND TECH'!A1716&amp;" "&amp;'IND TECH'!B1716&amp;" "&amp;'IND TECH'!C1716&amp;" "&amp;'IND TECH'!D1716&amp;" "&amp;'IND TECH'!E1716&amp;" "&amp;'IND TECH'!F1716&amp;" "&amp;'IND TECH'!G1716&amp;" "&amp;'IND TECH'!H1716</f>
        <v xml:space="preserve">       </v>
      </c>
      <c r="E1718" t="e">
        <f t="shared" si="6"/>
        <v>#REF!</v>
      </c>
      <c r="F1718" t="e">
        <f>'IND TECH'!#REF!</f>
        <v>#REF!</v>
      </c>
    </row>
    <row r="1719" spans="3:6" x14ac:dyDescent="0.25">
      <c r="C1719">
        <f>'IND TECH'!L1717</f>
        <v>0</v>
      </c>
      <c r="D1719" t="str">
        <f>'IND TECH'!A1717&amp;" "&amp;'IND TECH'!B1717&amp;" "&amp;'IND TECH'!C1717&amp;" "&amp;'IND TECH'!D1717&amp;" "&amp;'IND TECH'!E1717&amp;" "&amp;'IND TECH'!F1717&amp;" "&amp;'IND TECH'!G1717&amp;" "&amp;'IND TECH'!H1717</f>
        <v xml:space="preserve">       </v>
      </c>
      <c r="E1719" t="e">
        <f t="shared" si="6"/>
        <v>#REF!</v>
      </c>
      <c r="F1719" t="e">
        <f>'IND TECH'!#REF!</f>
        <v>#REF!</v>
      </c>
    </row>
    <row r="1720" spans="3:6" x14ac:dyDescent="0.25">
      <c r="C1720">
        <f>'IND TECH'!L1718</f>
        <v>0</v>
      </c>
      <c r="D1720" t="str">
        <f>'IND TECH'!A1718&amp;" "&amp;'IND TECH'!B1718&amp;" "&amp;'IND TECH'!C1718&amp;" "&amp;'IND TECH'!D1718&amp;" "&amp;'IND TECH'!E1718&amp;" "&amp;'IND TECH'!F1718&amp;" "&amp;'IND TECH'!G1718&amp;" "&amp;'IND TECH'!H1718</f>
        <v xml:space="preserve">       </v>
      </c>
      <c r="E1720" t="e">
        <f t="shared" si="6"/>
        <v>#REF!</v>
      </c>
      <c r="F1720" t="e">
        <f>'IND TECH'!#REF!</f>
        <v>#REF!</v>
      </c>
    </row>
    <row r="1721" spans="3:6" x14ac:dyDescent="0.25">
      <c r="C1721">
        <f>'IND TECH'!L1719</f>
        <v>0</v>
      </c>
      <c r="D1721" t="str">
        <f>'IND TECH'!A1719&amp;" "&amp;'IND TECH'!B1719&amp;" "&amp;'IND TECH'!C1719&amp;" "&amp;'IND TECH'!D1719&amp;" "&amp;'IND TECH'!E1719&amp;" "&amp;'IND TECH'!F1719&amp;" "&amp;'IND TECH'!G1719&amp;" "&amp;'IND TECH'!H1719</f>
        <v xml:space="preserve">       </v>
      </c>
      <c r="E1721" t="e">
        <f t="shared" si="6"/>
        <v>#REF!</v>
      </c>
      <c r="F1721" t="e">
        <f>'IND TECH'!#REF!</f>
        <v>#REF!</v>
      </c>
    </row>
    <row r="1722" spans="3:6" x14ac:dyDescent="0.25">
      <c r="C1722">
        <f>'IND TECH'!L1720</f>
        <v>0</v>
      </c>
      <c r="D1722" t="str">
        <f>'IND TECH'!A1720&amp;" "&amp;'IND TECH'!B1720&amp;" "&amp;'IND TECH'!C1720&amp;" "&amp;'IND TECH'!D1720&amp;" "&amp;'IND TECH'!E1720&amp;" "&amp;'IND TECH'!F1720&amp;" "&amp;'IND TECH'!G1720&amp;" "&amp;'IND TECH'!H1720</f>
        <v xml:space="preserve">       </v>
      </c>
      <c r="E1722" t="e">
        <f t="shared" si="6"/>
        <v>#REF!</v>
      </c>
      <c r="F1722" t="e">
        <f>'IND TECH'!#REF!</f>
        <v>#REF!</v>
      </c>
    </row>
    <row r="1723" spans="3:6" x14ac:dyDescent="0.25">
      <c r="C1723">
        <f>'IND TECH'!L1721</f>
        <v>0</v>
      </c>
      <c r="D1723" t="str">
        <f>'IND TECH'!A1721&amp;" "&amp;'IND TECH'!B1721&amp;" "&amp;'IND TECH'!C1721&amp;" "&amp;'IND TECH'!D1721&amp;" "&amp;'IND TECH'!E1721&amp;" "&amp;'IND TECH'!F1721&amp;" "&amp;'IND TECH'!G1721&amp;" "&amp;'IND TECH'!H1721</f>
        <v xml:space="preserve">       </v>
      </c>
      <c r="E1723" t="e">
        <f t="shared" si="6"/>
        <v>#REF!</v>
      </c>
      <c r="F1723" t="e">
        <f>'IND TECH'!#REF!</f>
        <v>#REF!</v>
      </c>
    </row>
    <row r="1724" spans="3:6" x14ac:dyDescent="0.25">
      <c r="C1724">
        <f>'IND TECH'!L1722</f>
        <v>0</v>
      </c>
      <c r="D1724" t="str">
        <f>'IND TECH'!A1722&amp;" "&amp;'IND TECH'!B1722&amp;" "&amp;'IND TECH'!C1722&amp;" "&amp;'IND TECH'!D1722&amp;" "&amp;'IND TECH'!E1722&amp;" "&amp;'IND TECH'!F1722&amp;" "&amp;'IND TECH'!G1722&amp;" "&amp;'IND TECH'!H1722</f>
        <v xml:space="preserve">       </v>
      </c>
      <c r="E1724" t="e">
        <f t="shared" si="6"/>
        <v>#REF!</v>
      </c>
      <c r="F1724" t="e">
        <f>'IND TECH'!#REF!</f>
        <v>#REF!</v>
      </c>
    </row>
    <row r="1725" spans="3:6" x14ac:dyDescent="0.25">
      <c r="C1725">
        <f>'IND TECH'!L1723</f>
        <v>0</v>
      </c>
      <c r="D1725" t="str">
        <f>'IND TECH'!A1723&amp;" "&amp;'IND TECH'!B1723&amp;" "&amp;'IND TECH'!C1723&amp;" "&amp;'IND TECH'!D1723&amp;" "&amp;'IND TECH'!E1723&amp;" "&amp;'IND TECH'!F1723&amp;" "&amp;'IND TECH'!G1723&amp;" "&amp;'IND TECH'!H1723</f>
        <v xml:space="preserve">       </v>
      </c>
      <c r="E1725" t="e">
        <f t="shared" si="6"/>
        <v>#REF!</v>
      </c>
      <c r="F1725" t="e">
        <f>'IND TECH'!#REF!</f>
        <v>#REF!</v>
      </c>
    </row>
    <row r="1726" spans="3:6" x14ac:dyDescent="0.25">
      <c r="C1726">
        <f>'IND TECH'!L1724</f>
        <v>0</v>
      </c>
      <c r="D1726" t="str">
        <f>'IND TECH'!A1724&amp;" "&amp;'IND TECH'!B1724&amp;" "&amp;'IND TECH'!C1724&amp;" "&amp;'IND TECH'!D1724&amp;" "&amp;'IND TECH'!E1724&amp;" "&amp;'IND TECH'!F1724&amp;" "&amp;'IND TECH'!G1724&amp;" "&amp;'IND TECH'!H1724</f>
        <v xml:space="preserve">       </v>
      </c>
      <c r="E1726" t="e">
        <f t="shared" si="6"/>
        <v>#REF!</v>
      </c>
      <c r="F1726" t="e">
        <f>'IND TECH'!#REF!</f>
        <v>#REF!</v>
      </c>
    </row>
    <row r="1727" spans="3:6" x14ac:dyDescent="0.25">
      <c r="C1727">
        <f>'IND TECH'!L1725</f>
        <v>0</v>
      </c>
      <c r="D1727" t="str">
        <f>'IND TECH'!A1725&amp;" "&amp;'IND TECH'!B1725&amp;" "&amp;'IND TECH'!C1725&amp;" "&amp;'IND TECH'!D1725&amp;" "&amp;'IND TECH'!E1725&amp;" "&amp;'IND TECH'!F1725&amp;" "&amp;'IND TECH'!G1725&amp;" "&amp;'IND TECH'!H1725</f>
        <v xml:space="preserve">       </v>
      </c>
      <c r="E1727" t="e">
        <f t="shared" si="6"/>
        <v>#REF!</v>
      </c>
      <c r="F1727" t="e">
        <f>'IND TECH'!#REF!</f>
        <v>#REF!</v>
      </c>
    </row>
    <row r="1728" spans="3:6" x14ac:dyDescent="0.25">
      <c r="C1728">
        <f>'IND TECH'!L1726</f>
        <v>0</v>
      </c>
      <c r="D1728" t="str">
        <f>'IND TECH'!A1726&amp;" "&amp;'IND TECH'!B1726&amp;" "&amp;'IND TECH'!C1726&amp;" "&amp;'IND TECH'!D1726&amp;" "&amp;'IND TECH'!E1726&amp;" "&amp;'IND TECH'!F1726&amp;" "&amp;'IND TECH'!G1726&amp;" "&amp;'IND TECH'!H1726</f>
        <v xml:space="preserve">       </v>
      </c>
      <c r="E1728" t="e">
        <f t="shared" si="6"/>
        <v>#REF!</v>
      </c>
      <c r="F1728" t="e">
        <f>'IND TECH'!#REF!</f>
        <v>#REF!</v>
      </c>
    </row>
    <row r="1729" spans="3:6" x14ac:dyDescent="0.25">
      <c r="C1729">
        <f>'IND TECH'!L1727</f>
        <v>0</v>
      </c>
      <c r="D1729" t="str">
        <f>'IND TECH'!A1727&amp;" "&amp;'IND TECH'!B1727&amp;" "&amp;'IND TECH'!C1727&amp;" "&amp;'IND TECH'!D1727&amp;" "&amp;'IND TECH'!E1727&amp;" "&amp;'IND TECH'!F1727&amp;" "&amp;'IND TECH'!G1727&amp;" "&amp;'IND TECH'!H1727</f>
        <v xml:space="preserve">       </v>
      </c>
      <c r="E1729" t="e">
        <f t="shared" si="6"/>
        <v>#REF!</v>
      </c>
      <c r="F1729" t="e">
        <f>'IND TECH'!#REF!</f>
        <v>#REF!</v>
      </c>
    </row>
    <row r="1730" spans="3:6" x14ac:dyDescent="0.25">
      <c r="C1730">
        <f>'IND TECH'!L1728</f>
        <v>0</v>
      </c>
      <c r="D1730" t="str">
        <f>'IND TECH'!A1728&amp;" "&amp;'IND TECH'!B1728&amp;" "&amp;'IND TECH'!C1728&amp;" "&amp;'IND TECH'!D1728&amp;" "&amp;'IND TECH'!E1728&amp;" "&amp;'IND TECH'!F1728&amp;" "&amp;'IND TECH'!G1728&amp;" "&amp;'IND TECH'!H1728</f>
        <v xml:space="preserve">       </v>
      </c>
      <c r="E1730" t="e">
        <f t="shared" si="6"/>
        <v>#REF!</v>
      </c>
      <c r="F1730" t="e">
        <f>'IND TECH'!#REF!</f>
        <v>#REF!</v>
      </c>
    </row>
    <row r="1731" spans="3:6" x14ac:dyDescent="0.25">
      <c r="C1731">
        <f>'IND TECH'!L1729</f>
        <v>0</v>
      </c>
      <c r="D1731" t="str">
        <f>'IND TECH'!A1729&amp;" "&amp;'IND TECH'!B1729&amp;" "&amp;'IND TECH'!C1729&amp;" "&amp;'IND TECH'!D1729&amp;" "&amp;'IND TECH'!E1729&amp;" "&amp;'IND TECH'!F1729&amp;" "&amp;'IND TECH'!G1729&amp;" "&amp;'IND TECH'!H1729</f>
        <v xml:space="preserve">       </v>
      </c>
      <c r="E1731" t="e">
        <f t="shared" si="6"/>
        <v>#REF!</v>
      </c>
      <c r="F1731" t="e">
        <f>'IND TECH'!#REF!</f>
        <v>#REF!</v>
      </c>
    </row>
    <row r="1732" spans="3:6" x14ac:dyDescent="0.25">
      <c r="C1732">
        <f>'IND TECH'!L1730</f>
        <v>0</v>
      </c>
      <c r="D1732" t="str">
        <f>'IND TECH'!A1730&amp;" "&amp;'IND TECH'!B1730&amp;" "&amp;'IND TECH'!C1730&amp;" "&amp;'IND TECH'!D1730&amp;" "&amp;'IND TECH'!E1730&amp;" "&amp;'IND TECH'!F1730&amp;" "&amp;'IND TECH'!G1730&amp;" "&amp;'IND TECH'!H1730</f>
        <v xml:space="preserve">       </v>
      </c>
      <c r="E1732" t="e">
        <f t="shared" si="6"/>
        <v>#REF!</v>
      </c>
      <c r="F1732" t="e">
        <f>'IND TECH'!#REF!</f>
        <v>#REF!</v>
      </c>
    </row>
    <row r="1733" spans="3:6" x14ac:dyDescent="0.25">
      <c r="C1733">
        <f>'IND TECH'!L1731</f>
        <v>0</v>
      </c>
      <c r="D1733" t="str">
        <f>'IND TECH'!A1731&amp;" "&amp;'IND TECH'!B1731&amp;" "&amp;'IND TECH'!C1731&amp;" "&amp;'IND TECH'!D1731&amp;" "&amp;'IND TECH'!E1731&amp;" "&amp;'IND TECH'!F1731&amp;" "&amp;'IND TECH'!G1731&amp;" "&amp;'IND TECH'!H1731</f>
        <v xml:space="preserve">       </v>
      </c>
      <c r="E1733" t="e">
        <f t="shared" si="6"/>
        <v>#REF!</v>
      </c>
      <c r="F1733" t="e">
        <f>'IND TECH'!#REF!</f>
        <v>#REF!</v>
      </c>
    </row>
    <row r="1734" spans="3:6" x14ac:dyDescent="0.25">
      <c r="C1734">
        <f>'IND TECH'!L1732</f>
        <v>0</v>
      </c>
      <c r="D1734" t="str">
        <f>'IND TECH'!A1732&amp;" "&amp;'IND TECH'!B1732&amp;" "&amp;'IND TECH'!C1732&amp;" "&amp;'IND TECH'!D1732&amp;" "&amp;'IND TECH'!E1732&amp;" "&amp;'IND TECH'!F1732&amp;" "&amp;'IND TECH'!G1732&amp;" "&amp;'IND TECH'!H1732</f>
        <v xml:space="preserve">       </v>
      </c>
      <c r="E1734" t="e">
        <f t="shared" si="6"/>
        <v>#REF!</v>
      </c>
      <c r="F1734" t="e">
        <f>'IND TECH'!#REF!</f>
        <v>#REF!</v>
      </c>
    </row>
    <row r="1735" spans="3:6" x14ac:dyDescent="0.25">
      <c r="C1735">
        <f>'IND TECH'!L1733</f>
        <v>0</v>
      </c>
      <c r="D1735" t="str">
        <f>'IND TECH'!A1733&amp;" "&amp;'IND TECH'!B1733&amp;" "&amp;'IND TECH'!C1733&amp;" "&amp;'IND TECH'!D1733&amp;" "&amp;'IND TECH'!E1733&amp;" "&amp;'IND TECH'!F1733&amp;" "&amp;'IND TECH'!G1733&amp;" "&amp;'IND TECH'!H1733</f>
        <v xml:space="preserve">       </v>
      </c>
      <c r="E1735" t="e">
        <f t="shared" si="6"/>
        <v>#REF!</v>
      </c>
      <c r="F1735" t="e">
        <f>'IND TECH'!#REF!</f>
        <v>#REF!</v>
      </c>
    </row>
    <row r="1736" spans="3:6" x14ac:dyDescent="0.25">
      <c r="C1736">
        <f>'IND TECH'!L1734</f>
        <v>0</v>
      </c>
      <c r="D1736" t="str">
        <f>'IND TECH'!A1734&amp;" "&amp;'IND TECH'!B1734&amp;" "&amp;'IND TECH'!C1734&amp;" "&amp;'IND TECH'!D1734&amp;" "&amp;'IND TECH'!E1734&amp;" "&amp;'IND TECH'!F1734&amp;" "&amp;'IND TECH'!G1734&amp;" "&amp;'IND TECH'!H1734</f>
        <v xml:space="preserve">       </v>
      </c>
      <c r="E1736" t="e">
        <f t="shared" si="6"/>
        <v>#REF!</v>
      </c>
      <c r="F1736" t="e">
        <f>'IND TECH'!#REF!</f>
        <v>#REF!</v>
      </c>
    </row>
    <row r="1737" spans="3:6" x14ac:dyDescent="0.25">
      <c r="C1737">
        <f>'IND TECH'!L1735</f>
        <v>0</v>
      </c>
      <c r="D1737" t="str">
        <f>'IND TECH'!A1735&amp;" "&amp;'IND TECH'!B1735&amp;" "&amp;'IND TECH'!C1735&amp;" "&amp;'IND TECH'!D1735&amp;" "&amp;'IND TECH'!E1735&amp;" "&amp;'IND TECH'!F1735&amp;" "&amp;'IND TECH'!G1735&amp;" "&amp;'IND TECH'!H1735</f>
        <v xml:space="preserve">       </v>
      </c>
      <c r="E1737" t="e">
        <f t="shared" si="6"/>
        <v>#REF!</v>
      </c>
      <c r="F1737" t="e">
        <f>'IND TECH'!#REF!</f>
        <v>#REF!</v>
      </c>
    </row>
    <row r="1738" spans="3:6" x14ac:dyDescent="0.25">
      <c r="C1738">
        <f>'IND TECH'!L1736</f>
        <v>0</v>
      </c>
      <c r="D1738" t="str">
        <f>'IND TECH'!A1736&amp;" "&amp;'IND TECH'!B1736&amp;" "&amp;'IND TECH'!C1736&amp;" "&amp;'IND TECH'!D1736&amp;" "&amp;'IND TECH'!E1736&amp;" "&amp;'IND TECH'!F1736&amp;" "&amp;'IND TECH'!G1736&amp;" "&amp;'IND TECH'!H1736</f>
        <v xml:space="preserve">       </v>
      </c>
      <c r="E1738" t="e">
        <f t="shared" si="6"/>
        <v>#REF!</v>
      </c>
      <c r="F1738" t="e">
        <f>'IND TECH'!#REF!</f>
        <v>#REF!</v>
      </c>
    </row>
    <row r="1739" spans="3:6" x14ac:dyDescent="0.25">
      <c r="C1739">
        <f>'IND TECH'!L1737</f>
        <v>0</v>
      </c>
      <c r="D1739" t="str">
        <f>'IND TECH'!A1737&amp;" "&amp;'IND TECH'!B1737&amp;" "&amp;'IND TECH'!C1737&amp;" "&amp;'IND TECH'!D1737&amp;" "&amp;'IND TECH'!E1737&amp;" "&amp;'IND TECH'!F1737&amp;" "&amp;'IND TECH'!G1737&amp;" "&amp;'IND TECH'!H1737</f>
        <v xml:space="preserve">       </v>
      </c>
      <c r="E1739" t="e">
        <f t="shared" si="6"/>
        <v>#REF!</v>
      </c>
      <c r="F1739" t="e">
        <f>'IND TECH'!#REF!</f>
        <v>#REF!</v>
      </c>
    </row>
    <row r="1740" spans="3:6" x14ac:dyDescent="0.25">
      <c r="C1740">
        <f>'IND TECH'!L1738</f>
        <v>0</v>
      </c>
      <c r="D1740" t="str">
        <f>'IND TECH'!A1738&amp;" "&amp;'IND TECH'!B1738&amp;" "&amp;'IND TECH'!C1738&amp;" "&amp;'IND TECH'!D1738&amp;" "&amp;'IND TECH'!E1738&amp;" "&amp;'IND TECH'!F1738&amp;" "&amp;'IND TECH'!G1738&amp;" "&amp;'IND TECH'!H1738</f>
        <v xml:space="preserve">       </v>
      </c>
      <c r="E1740" t="e">
        <f t="shared" si="6"/>
        <v>#REF!</v>
      </c>
      <c r="F1740" t="e">
        <f>'IND TECH'!#REF!</f>
        <v>#REF!</v>
      </c>
    </row>
    <row r="1741" spans="3:6" x14ac:dyDescent="0.25">
      <c r="C1741">
        <f>'IND TECH'!L1739</f>
        <v>0</v>
      </c>
      <c r="D1741" t="str">
        <f>'IND TECH'!A1739&amp;" "&amp;'IND TECH'!B1739&amp;" "&amp;'IND TECH'!C1739&amp;" "&amp;'IND TECH'!D1739&amp;" "&amp;'IND TECH'!E1739&amp;" "&amp;'IND TECH'!F1739&amp;" "&amp;'IND TECH'!G1739&amp;" "&amp;'IND TECH'!H1739</f>
        <v xml:space="preserve">       </v>
      </c>
      <c r="E1741" t="e">
        <f t="shared" si="6"/>
        <v>#REF!</v>
      </c>
      <c r="F1741" t="e">
        <f>'IND TECH'!#REF!</f>
        <v>#REF!</v>
      </c>
    </row>
    <row r="1742" spans="3:6" x14ac:dyDescent="0.25">
      <c r="C1742">
        <f>'IND TECH'!L1740</f>
        <v>0</v>
      </c>
      <c r="D1742" t="str">
        <f>'IND TECH'!A1740&amp;" "&amp;'IND TECH'!B1740&amp;" "&amp;'IND TECH'!C1740&amp;" "&amp;'IND TECH'!D1740&amp;" "&amp;'IND TECH'!E1740&amp;" "&amp;'IND TECH'!F1740&amp;" "&amp;'IND TECH'!G1740&amp;" "&amp;'IND TECH'!H1740</f>
        <v xml:space="preserve">       </v>
      </c>
      <c r="E1742" t="e">
        <f t="shared" si="6"/>
        <v>#REF!</v>
      </c>
      <c r="F1742" t="e">
        <f>'IND TECH'!#REF!</f>
        <v>#REF!</v>
      </c>
    </row>
    <row r="1743" spans="3:6" x14ac:dyDescent="0.25">
      <c r="C1743">
        <f>'IND TECH'!L1741</f>
        <v>0</v>
      </c>
      <c r="D1743" t="str">
        <f>'IND TECH'!A1741&amp;" "&amp;'IND TECH'!B1741&amp;" "&amp;'IND TECH'!C1741&amp;" "&amp;'IND TECH'!D1741&amp;" "&amp;'IND TECH'!E1741&amp;" "&amp;'IND TECH'!F1741&amp;" "&amp;'IND TECH'!G1741&amp;" "&amp;'IND TECH'!H1741</f>
        <v xml:space="preserve">       </v>
      </c>
      <c r="E1743" t="e">
        <f t="shared" si="6"/>
        <v>#REF!</v>
      </c>
      <c r="F1743" t="e">
        <f>'IND TECH'!#REF!</f>
        <v>#REF!</v>
      </c>
    </row>
    <row r="1744" spans="3:6" x14ac:dyDescent="0.25">
      <c r="C1744">
        <f>'IND TECH'!L1742</f>
        <v>0</v>
      </c>
      <c r="D1744" t="str">
        <f>'IND TECH'!A1742&amp;" "&amp;'IND TECH'!B1742&amp;" "&amp;'IND TECH'!C1742&amp;" "&amp;'IND TECH'!D1742&amp;" "&amp;'IND TECH'!E1742&amp;" "&amp;'IND TECH'!F1742&amp;" "&amp;'IND TECH'!G1742&amp;" "&amp;'IND TECH'!H1742</f>
        <v xml:space="preserve">       </v>
      </c>
      <c r="E1744" t="e">
        <f t="shared" si="6"/>
        <v>#REF!</v>
      </c>
      <c r="F1744" t="e">
        <f>'IND TECH'!#REF!</f>
        <v>#REF!</v>
      </c>
    </row>
    <row r="1745" spans="3:6" x14ac:dyDescent="0.25">
      <c r="C1745">
        <f>'IND TECH'!L1743</f>
        <v>0</v>
      </c>
      <c r="D1745" t="str">
        <f>'IND TECH'!A1743&amp;" "&amp;'IND TECH'!B1743&amp;" "&amp;'IND TECH'!C1743&amp;" "&amp;'IND TECH'!D1743&amp;" "&amp;'IND TECH'!E1743&amp;" "&amp;'IND TECH'!F1743&amp;" "&amp;'IND TECH'!G1743&amp;" "&amp;'IND TECH'!H1743</f>
        <v xml:space="preserve">       </v>
      </c>
      <c r="E1745" t="e">
        <f t="shared" si="6"/>
        <v>#REF!</v>
      </c>
      <c r="F1745" t="e">
        <f>'IND TECH'!#REF!</f>
        <v>#REF!</v>
      </c>
    </row>
    <row r="1746" spans="3:6" x14ac:dyDescent="0.25">
      <c r="C1746">
        <f>'IND TECH'!L1744</f>
        <v>0</v>
      </c>
      <c r="D1746" t="str">
        <f>'IND TECH'!A1744&amp;" "&amp;'IND TECH'!B1744&amp;" "&amp;'IND TECH'!C1744&amp;" "&amp;'IND TECH'!D1744&amp;" "&amp;'IND TECH'!E1744&amp;" "&amp;'IND TECH'!F1744&amp;" "&amp;'IND TECH'!G1744&amp;" "&amp;'IND TECH'!H1744</f>
        <v xml:space="preserve">       </v>
      </c>
      <c r="E1746" t="e">
        <f t="shared" si="6"/>
        <v>#REF!</v>
      </c>
      <c r="F1746" t="e">
        <f>'IND TECH'!#REF!</f>
        <v>#REF!</v>
      </c>
    </row>
    <row r="1747" spans="3:6" x14ac:dyDescent="0.25">
      <c r="C1747">
        <f>'IND TECH'!L1745</f>
        <v>0</v>
      </c>
      <c r="D1747" t="str">
        <f>'IND TECH'!A1745&amp;" "&amp;'IND TECH'!B1745&amp;" "&amp;'IND TECH'!C1745&amp;" "&amp;'IND TECH'!D1745&amp;" "&amp;'IND TECH'!E1745&amp;" "&amp;'IND TECH'!F1745&amp;" "&amp;'IND TECH'!G1745&amp;" "&amp;'IND TECH'!H1745</f>
        <v xml:space="preserve">       </v>
      </c>
      <c r="E1747" t="e">
        <f t="shared" ref="E1747:E1810" si="7">IF(F1747="Mlma","Mlm","TJ")</f>
        <v>#REF!</v>
      </c>
      <c r="F1747" t="e">
        <f>'IND TECH'!#REF!</f>
        <v>#REF!</v>
      </c>
    </row>
    <row r="1748" spans="3:6" x14ac:dyDescent="0.25">
      <c r="C1748">
        <f>'IND TECH'!L1746</f>
        <v>0</v>
      </c>
      <c r="D1748" t="str">
        <f>'IND TECH'!A1746&amp;" "&amp;'IND TECH'!B1746&amp;" "&amp;'IND TECH'!C1746&amp;" "&amp;'IND TECH'!D1746&amp;" "&amp;'IND TECH'!E1746&amp;" "&amp;'IND TECH'!F1746&amp;" "&amp;'IND TECH'!G1746&amp;" "&amp;'IND TECH'!H1746</f>
        <v xml:space="preserve">       </v>
      </c>
      <c r="E1748" t="e">
        <f t="shared" si="7"/>
        <v>#REF!</v>
      </c>
      <c r="F1748" t="e">
        <f>'IND TECH'!#REF!</f>
        <v>#REF!</v>
      </c>
    </row>
    <row r="1749" spans="3:6" x14ac:dyDescent="0.25">
      <c r="C1749">
        <f>'IND TECH'!L1747</f>
        <v>0</v>
      </c>
      <c r="D1749" t="str">
        <f>'IND TECH'!A1747&amp;" "&amp;'IND TECH'!B1747&amp;" "&amp;'IND TECH'!C1747&amp;" "&amp;'IND TECH'!D1747&amp;" "&amp;'IND TECH'!E1747&amp;" "&amp;'IND TECH'!F1747&amp;" "&amp;'IND TECH'!G1747&amp;" "&amp;'IND TECH'!H1747</f>
        <v xml:space="preserve">       </v>
      </c>
      <c r="E1749" t="e">
        <f t="shared" si="7"/>
        <v>#REF!</v>
      </c>
      <c r="F1749" t="e">
        <f>'IND TECH'!#REF!</f>
        <v>#REF!</v>
      </c>
    </row>
    <row r="1750" spans="3:6" x14ac:dyDescent="0.25">
      <c r="C1750">
        <f>'IND TECH'!L1748</f>
        <v>0</v>
      </c>
      <c r="D1750" t="str">
        <f>'IND TECH'!A1748&amp;" "&amp;'IND TECH'!B1748&amp;" "&amp;'IND TECH'!C1748&amp;" "&amp;'IND TECH'!D1748&amp;" "&amp;'IND TECH'!E1748&amp;" "&amp;'IND TECH'!F1748&amp;" "&amp;'IND TECH'!G1748&amp;" "&amp;'IND TECH'!H1748</f>
        <v xml:space="preserve">       </v>
      </c>
      <c r="E1750" t="e">
        <f t="shared" si="7"/>
        <v>#REF!</v>
      </c>
      <c r="F1750" t="e">
        <f>'IND TECH'!#REF!</f>
        <v>#REF!</v>
      </c>
    </row>
    <row r="1751" spans="3:6" x14ac:dyDescent="0.25">
      <c r="C1751">
        <f>'IND TECH'!L1749</f>
        <v>0</v>
      </c>
      <c r="D1751" t="str">
        <f>'IND TECH'!A1749&amp;" "&amp;'IND TECH'!B1749&amp;" "&amp;'IND TECH'!C1749&amp;" "&amp;'IND TECH'!D1749&amp;" "&amp;'IND TECH'!E1749&amp;" "&amp;'IND TECH'!F1749&amp;" "&amp;'IND TECH'!G1749&amp;" "&amp;'IND TECH'!H1749</f>
        <v xml:space="preserve">       </v>
      </c>
      <c r="E1751" t="e">
        <f t="shared" si="7"/>
        <v>#REF!</v>
      </c>
      <c r="F1751" t="e">
        <f>'IND TECH'!#REF!</f>
        <v>#REF!</v>
      </c>
    </row>
    <row r="1752" spans="3:6" x14ac:dyDescent="0.25">
      <c r="C1752">
        <f>'IND TECH'!L1750</f>
        <v>0</v>
      </c>
      <c r="D1752" t="str">
        <f>'IND TECH'!A1750&amp;" "&amp;'IND TECH'!B1750&amp;" "&amp;'IND TECH'!C1750&amp;" "&amp;'IND TECH'!D1750&amp;" "&amp;'IND TECH'!E1750&amp;" "&amp;'IND TECH'!F1750&amp;" "&amp;'IND TECH'!G1750&amp;" "&amp;'IND TECH'!H1750</f>
        <v xml:space="preserve">       </v>
      </c>
      <c r="E1752" t="e">
        <f t="shared" si="7"/>
        <v>#REF!</v>
      </c>
      <c r="F1752" t="e">
        <f>'IND TECH'!#REF!</f>
        <v>#REF!</v>
      </c>
    </row>
    <row r="1753" spans="3:6" x14ac:dyDescent="0.25">
      <c r="C1753">
        <f>'IND TECH'!L1751</f>
        <v>0</v>
      </c>
      <c r="D1753" t="str">
        <f>'IND TECH'!A1751&amp;" "&amp;'IND TECH'!B1751&amp;" "&amp;'IND TECH'!C1751&amp;" "&amp;'IND TECH'!D1751&amp;" "&amp;'IND TECH'!E1751&amp;" "&amp;'IND TECH'!F1751&amp;" "&amp;'IND TECH'!G1751&amp;" "&amp;'IND TECH'!H1751</f>
        <v xml:space="preserve">       </v>
      </c>
      <c r="E1753" t="e">
        <f t="shared" si="7"/>
        <v>#REF!</v>
      </c>
      <c r="F1753" t="e">
        <f>'IND TECH'!#REF!</f>
        <v>#REF!</v>
      </c>
    </row>
    <row r="1754" spans="3:6" x14ac:dyDescent="0.25">
      <c r="C1754">
        <f>'IND TECH'!L1752</f>
        <v>0</v>
      </c>
      <c r="D1754" t="str">
        <f>'IND TECH'!A1752&amp;" "&amp;'IND TECH'!B1752&amp;" "&amp;'IND TECH'!C1752&amp;" "&amp;'IND TECH'!D1752&amp;" "&amp;'IND TECH'!E1752&amp;" "&amp;'IND TECH'!F1752&amp;" "&amp;'IND TECH'!G1752&amp;" "&amp;'IND TECH'!H1752</f>
        <v xml:space="preserve">       </v>
      </c>
      <c r="E1754" t="e">
        <f t="shared" si="7"/>
        <v>#REF!</v>
      </c>
      <c r="F1754" t="e">
        <f>'IND TECH'!#REF!</f>
        <v>#REF!</v>
      </c>
    </row>
    <row r="1755" spans="3:6" x14ac:dyDescent="0.25">
      <c r="C1755">
        <f>'IND TECH'!L1753</f>
        <v>0</v>
      </c>
      <c r="D1755" t="str">
        <f>'IND TECH'!A1753&amp;" "&amp;'IND TECH'!B1753&amp;" "&amp;'IND TECH'!C1753&amp;" "&amp;'IND TECH'!D1753&amp;" "&amp;'IND TECH'!E1753&amp;" "&amp;'IND TECH'!F1753&amp;" "&amp;'IND TECH'!G1753&amp;" "&amp;'IND TECH'!H1753</f>
        <v xml:space="preserve">       </v>
      </c>
      <c r="E1755" t="e">
        <f t="shared" si="7"/>
        <v>#REF!</v>
      </c>
      <c r="F1755" t="e">
        <f>'IND TECH'!#REF!</f>
        <v>#REF!</v>
      </c>
    </row>
    <row r="1756" spans="3:6" x14ac:dyDescent="0.25">
      <c r="C1756">
        <f>'IND TECH'!L1754</f>
        <v>0</v>
      </c>
      <c r="D1756" t="str">
        <f>'IND TECH'!A1754&amp;" "&amp;'IND TECH'!B1754&amp;" "&amp;'IND TECH'!C1754&amp;" "&amp;'IND TECH'!D1754&amp;" "&amp;'IND TECH'!E1754&amp;" "&amp;'IND TECH'!F1754&amp;" "&amp;'IND TECH'!G1754&amp;" "&amp;'IND TECH'!H1754</f>
        <v xml:space="preserve">       </v>
      </c>
      <c r="E1756" t="e">
        <f t="shared" si="7"/>
        <v>#REF!</v>
      </c>
      <c r="F1756" t="e">
        <f>'IND TECH'!#REF!</f>
        <v>#REF!</v>
      </c>
    </row>
    <row r="1757" spans="3:6" x14ac:dyDescent="0.25">
      <c r="C1757">
        <f>'IND TECH'!L1755</f>
        <v>0</v>
      </c>
      <c r="D1757" t="str">
        <f>'IND TECH'!A1755&amp;" "&amp;'IND TECH'!B1755&amp;" "&amp;'IND TECH'!C1755&amp;" "&amp;'IND TECH'!D1755&amp;" "&amp;'IND TECH'!E1755&amp;" "&amp;'IND TECH'!F1755&amp;" "&amp;'IND TECH'!G1755&amp;" "&amp;'IND TECH'!H1755</f>
        <v xml:space="preserve">       </v>
      </c>
      <c r="E1757" t="e">
        <f t="shared" si="7"/>
        <v>#REF!</v>
      </c>
      <c r="F1757" t="e">
        <f>'IND TECH'!#REF!</f>
        <v>#REF!</v>
      </c>
    </row>
    <row r="1758" spans="3:6" x14ac:dyDescent="0.25">
      <c r="C1758">
        <f>'IND TECH'!L1756</f>
        <v>0</v>
      </c>
      <c r="D1758" t="str">
        <f>'IND TECH'!A1756&amp;" "&amp;'IND TECH'!B1756&amp;" "&amp;'IND TECH'!C1756&amp;" "&amp;'IND TECH'!D1756&amp;" "&amp;'IND TECH'!E1756&amp;" "&amp;'IND TECH'!F1756&amp;" "&amp;'IND TECH'!G1756&amp;" "&amp;'IND TECH'!H1756</f>
        <v xml:space="preserve">       </v>
      </c>
      <c r="E1758" t="e">
        <f t="shared" si="7"/>
        <v>#REF!</v>
      </c>
      <c r="F1758" t="e">
        <f>'IND TECH'!#REF!</f>
        <v>#REF!</v>
      </c>
    </row>
    <row r="1759" spans="3:6" x14ac:dyDescent="0.25">
      <c r="C1759">
        <f>'IND TECH'!L1757</f>
        <v>0</v>
      </c>
      <c r="D1759" t="str">
        <f>'IND TECH'!A1757&amp;" "&amp;'IND TECH'!B1757&amp;" "&amp;'IND TECH'!C1757&amp;" "&amp;'IND TECH'!D1757&amp;" "&amp;'IND TECH'!E1757&amp;" "&amp;'IND TECH'!F1757&amp;" "&amp;'IND TECH'!G1757&amp;" "&amp;'IND TECH'!H1757</f>
        <v xml:space="preserve">       </v>
      </c>
      <c r="E1759" t="e">
        <f t="shared" si="7"/>
        <v>#REF!</v>
      </c>
      <c r="F1759" t="e">
        <f>'IND TECH'!#REF!</f>
        <v>#REF!</v>
      </c>
    </row>
    <row r="1760" spans="3:6" x14ac:dyDescent="0.25">
      <c r="C1760">
        <f>'IND TECH'!L1758</f>
        <v>0</v>
      </c>
      <c r="D1760" t="str">
        <f>'IND TECH'!A1758&amp;" "&amp;'IND TECH'!B1758&amp;" "&amp;'IND TECH'!C1758&amp;" "&amp;'IND TECH'!D1758&amp;" "&amp;'IND TECH'!E1758&amp;" "&amp;'IND TECH'!F1758&amp;" "&amp;'IND TECH'!G1758&amp;" "&amp;'IND TECH'!H1758</f>
        <v xml:space="preserve">       </v>
      </c>
      <c r="E1760" t="e">
        <f t="shared" si="7"/>
        <v>#REF!</v>
      </c>
      <c r="F1760" t="e">
        <f>'IND TECH'!#REF!</f>
        <v>#REF!</v>
      </c>
    </row>
    <row r="1761" spans="3:6" x14ac:dyDescent="0.25">
      <c r="C1761">
        <f>'IND TECH'!L1759</f>
        <v>0</v>
      </c>
      <c r="D1761" t="str">
        <f>'IND TECH'!A1759&amp;" "&amp;'IND TECH'!B1759&amp;" "&amp;'IND TECH'!C1759&amp;" "&amp;'IND TECH'!D1759&amp;" "&amp;'IND TECH'!E1759&amp;" "&amp;'IND TECH'!F1759&amp;" "&amp;'IND TECH'!G1759&amp;" "&amp;'IND TECH'!H1759</f>
        <v xml:space="preserve">       </v>
      </c>
      <c r="E1761" t="e">
        <f t="shared" si="7"/>
        <v>#REF!</v>
      </c>
      <c r="F1761" t="e">
        <f>'IND TECH'!#REF!</f>
        <v>#REF!</v>
      </c>
    </row>
    <row r="1762" spans="3:6" x14ac:dyDescent="0.25">
      <c r="C1762">
        <f>'IND TECH'!L1760</f>
        <v>0</v>
      </c>
      <c r="D1762" t="str">
        <f>'IND TECH'!A1760&amp;" "&amp;'IND TECH'!B1760&amp;" "&amp;'IND TECH'!C1760&amp;" "&amp;'IND TECH'!D1760&amp;" "&amp;'IND TECH'!E1760&amp;" "&amp;'IND TECH'!F1760&amp;" "&amp;'IND TECH'!G1760&amp;" "&amp;'IND TECH'!H1760</f>
        <v xml:space="preserve">       </v>
      </c>
      <c r="E1762" t="e">
        <f t="shared" si="7"/>
        <v>#REF!</v>
      </c>
      <c r="F1762" t="e">
        <f>'IND TECH'!#REF!</f>
        <v>#REF!</v>
      </c>
    </row>
    <row r="1763" spans="3:6" x14ac:dyDescent="0.25">
      <c r="C1763">
        <f>'IND TECH'!L1761</f>
        <v>0</v>
      </c>
      <c r="D1763" t="str">
        <f>'IND TECH'!A1761&amp;" "&amp;'IND TECH'!B1761&amp;" "&amp;'IND TECH'!C1761&amp;" "&amp;'IND TECH'!D1761&amp;" "&amp;'IND TECH'!E1761&amp;" "&amp;'IND TECH'!F1761&amp;" "&amp;'IND TECH'!G1761&amp;" "&amp;'IND TECH'!H1761</f>
        <v xml:space="preserve">       </v>
      </c>
      <c r="E1763" t="e">
        <f t="shared" si="7"/>
        <v>#REF!</v>
      </c>
      <c r="F1763" t="e">
        <f>'IND TECH'!#REF!</f>
        <v>#REF!</v>
      </c>
    </row>
    <row r="1764" spans="3:6" x14ac:dyDescent="0.25">
      <c r="C1764">
        <f>'IND TECH'!L1762</f>
        <v>0</v>
      </c>
      <c r="D1764" t="str">
        <f>'IND TECH'!A1762&amp;" "&amp;'IND TECH'!B1762&amp;" "&amp;'IND TECH'!C1762&amp;" "&amp;'IND TECH'!D1762&amp;" "&amp;'IND TECH'!E1762&amp;" "&amp;'IND TECH'!F1762&amp;" "&amp;'IND TECH'!G1762&amp;" "&amp;'IND TECH'!H1762</f>
        <v xml:space="preserve">       </v>
      </c>
      <c r="E1764" t="e">
        <f t="shared" si="7"/>
        <v>#REF!</v>
      </c>
      <c r="F1764" t="e">
        <f>'IND TECH'!#REF!</f>
        <v>#REF!</v>
      </c>
    </row>
    <row r="1765" spans="3:6" x14ac:dyDescent="0.25">
      <c r="C1765">
        <f>'IND TECH'!L1763</f>
        <v>0</v>
      </c>
      <c r="D1765" t="str">
        <f>'IND TECH'!A1763&amp;" "&amp;'IND TECH'!B1763&amp;" "&amp;'IND TECH'!C1763&amp;" "&amp;'IND TECH'!D1763&amp;" "&amp;'IND TECH'!E1763&amp;" "&amp;'IND TECH'!F1763&amp;" "&amp;'IND TECH'!G1763&amp;" "&amp;'IND TECH'!H1763</f>
        <v xml:space="preserve">       </v>
      </c>
      <c r="E1765" t="e">
        <f t="shared" si="7"/>
        <v>#REF!</v>
      </c>
      <c r="F1765" t="e">
        <f>'IND TECH'!#REF!</f>
        <v>#REF!</v>
      </c>
    </row>
    <row r="1766" spans="3:6" x14ac:dyDescent="0.25">
      <c r="C1766">
        <f>'IND TECH'!L1764</f>
        <v>0</v>
      </c>
      <c r="D1766" t="str">
        <f>'IND TECH'!A1764&amp;" "&amp;'IND TECH'!B1764&amp;" "&amp;'IND TECH'!C1764&amp;" "&amp;'IND TECH'!D1764&amp;" "&amp;'IND TECH'!E1764&amp;" "&amp;'IND TECH'!F1764&amp;" "&amp;'IND TECH'!G1764&amp;" "&amp;'IND TECH'!H1764</f>
        <v xml:space="preserve">       </v>
      </c>
      <c r="E1766" t="e">
        <f t="shared" si="7"/>
        <v>#REF!</v>
      </c>
      <c r="F1766" t="e">
        <f>'IND TECH'!#REF!</f>
        <v>#REF!</v>
      </c>
    </row>
    <row r="1767" spans="3:6" x14ac:dyDescent="0.25">
      <c r="C1767">
        <f>'IND TECH'!L1765</f>
        <v>0</v>
      </c>
      <c r="D1767" t="str">
        <f>'IND TECH'!A1765&amp;" "&amp;'IND TECH'!B1765&amp;" "&amp;'IND TECH'!C1765&amp;" "&amp;'IND TECH'!D1765&amp;" "&amp;'IND TECH'!E1765&amp;" "&amp;'IND TECH'!F1765&amp;" "&amp;'IND TECH'!G1765&amp;" "&amp;'IND TECH'!H1765</f>
        <v xml:space="preserve">       </v>
      </c>
      <c r="E1767" t="e">
        <f t="shared" si="7"/>
        <v>#REF!</v>
      </c>
      <c r="F1767" t="e">
        <f>'IND TECH'!#REF!</f>
        <v>#REF!</v>
      </c>
    </row>
    <row r="1768" spans="3:6" x14ac:dyDescent="0.25">
      <c r="C1768">
        <f>'IND TECH'!L1766</f>
        <v>0</v>
      </c>
      <c r="D1768" t="str">
        <f>'IND TECH'!A1766&amp;" "&amp;'IND TECH'!B1766&amp;" "&amp;'IND TECH'!C1766&amp;" "&amp;'IND TECH'!D1766&amp;" "&amp;'IND TECH'!E1766&amp;" "&amp;'IND TECH'!F1766&amp;" "&amp;'IND TECH'!G1766&amp;" "&amp;'IND TECH'!H1766</f>
        <v xml:space="preserve">       </v>
      </c>
      <c r="E1768" t="e">
        <f t="shared" si="7"/>
        <v>#REF!</v>
      </c>
      <c r="F1768" t="e">
        <f>'IND TECH'!#REF!</f>
        <v>#REF!</v>
      </c>
    </row>
    <row r="1769" spans="3:6" x14ac:dyDescent="0.25">
      <c r="C1769">
        <f>'IND TECH'!L1767</f>
        <v>0</v>
      </c>
      <c r="D1769" t="str">
        <f>'IND TECH'!A1767&amp;" "&amp;'IND TECH'!B1767&amp;" "&amp;'IND TECH'!C1767&amp;" "&amp;'IND TECH'!D1767&amp;" "&amp;'IND TECH'!E1767&amp;" "&amp;'IND TECH'!F1767&amp;" "&amp;'IND TECH'!G1767&amp;" "&amp;'IND TECH'!H1767</f>
        <v xml:space="preserve">       </v>
      </c>
      <c r="E1769" t="e">
        <f t="shared" si="7"/>
        <v>#REF!</v>
      </c>
      <c r="F1769" t="e">
        <f>'IND TECH'!#REF!</f>
        <v>#REF!</v>
      </c>
    </row>
    <row r="1770" spans="3:6" x14ac:dyDescent="0.25">
      <c r="C1770">
        <f>'IND TECH'!L1768</f>
        <v>0</v>
      </c>
      <c r="D1770" t="str">
        <f>'IND TECH'!A1768&amp;" "&amp;'IND TECH'!B1768&amp;" "&amp;'IND TECH'!C1768&amp;" "&amp;'IND TECH'!D1768&amp;" "&amp;'IND TECH'!E1768&amp;" "&amp;'IND TECH'!F1768&amp;" "&amp;'IND TECH'!G1768&amp;" "&amp;'IND TECH'!H1768</f>
        <v xml:space="preserve">       </v>
      </c>
      <c r="E1770" t="e">
        <f t="shared" si="7"/>
        <v>#REF!</v>
      </c>
      <c r="F1770" t="e">
        <f>'IND TECH'!#REF!</f>
        <v>#REF!</v>
      </c>
    </row>
    <row r="1771" spans="3:6" x14ac:dyDescent="0.25">
      <c r="C1771">
        <f>'IND TECH'!L1769</f>
        <v>0</v>
      </c>
      <c r="D1771" t="str">
        <f>'IND TECH'!A1769&amp;" "&amp;'IND TECH'!B1769&amp;" "&amp;'IND TECH'!C1769&amp;" "&amp;'IND TECH'!D1769&amp;" "&amp;'IND TECH'!E1769&amp;" "&amp;'IND TECH'!F1769&amp;" "&amp;'IND TECH'!G1769&amp;" "&amp;'IND TECH'!H1769</f>
        <v xml:space="preserve">       </v>
      </c>
      <c r="E1771" t="e">
        <f t="shared" si="7"/>
        <v>#REF!</v>
      </c>
      <c r="F1771" t="e">
        <f>'IND TECH'!#REF!</f>
        <v>#REF!</v>
      </c>
    </row>
    <row r="1772" spans="3:6" x14ac:dyDescent="0.25">
      <c r="C1772">
        <f>'IND TECH'!L1770</f>
        <v>0</v>
      </c>
      <c r="D1772" t="str">
        <f>'IND TECH'!A1770&amp;" "&amp;'IND TECH'!B1770&amp;" "&amp;'IND TECH'!C1770&amp;" "&amp;'IND TECH'!D1770&amp;" "&amp;'IND TECH'!E1770&amp;" "&amp;'IND TECH'!F1770&amp;" "&amp;'IND TECH'!G1770&amp;" "&amp;'IND TECH'!H1770</f>
        <v xml:space="preserve">       </v>
      </c>
      <c r="E1772" t="e">
        <f t="shared" si="7"/>
        <v>#REF!</v>
      </c>
      <c r="F1772" t="e">
        <f>'IND TECH'!#REF!</f>
        <v>#REF!</v>
      </c>
    </row>
    <row r="1773" spans="3:6" x14ac:dyDescent="0.25">
      <c r="C1773">
        <f>'IND TECH'!L1771</f>
        <v>0</v>
      </c>
      <c r="D1773" t="str">
        <f>'IND TECH'!A1771&amp;" "&amp;'IND TECH'!B1771&amp;" "&amp;'IND TECH'!C1771&amp;" "&amp;'IND TECH'!D1771&amp;" "&amp;'IND TECH'!E1771&amp;" "&amp;'IND TECH'!F1771&amp;" "&amp;'IND TECH'!G1771&amp;" "&amp;'IND TECH'!H1771</f>
        <v xml:space="preserve">       </v>
      </c>
      <c r="E1773" t="e">
        <f t="shared" si="7"/>
        <v>#REF!</v>
      </c>
      <c r="F1773" t="e">
        <f>'IND TECH'!#REF!</f>
        <v>#REF!</v>
      </c>
    </row>
    <row r="1774" spans="3:6" x14ac:dyDescent="0.25">
      <c r="C1774">
        <f>'IND TECH'!L1772</f>
        <v>0</v>
      </c>
      <c r="D1774" t="str">
        <f>'IND TECH'!A1772&amp;" "&amp;'IND TECH'!B1772&amp;" "&amp;'IND TECH'!C1772&amp;" "&amp;'IND TECH'!D1772&amp;" "&amp;'IND TECH'!E1772&amp;" "&amp;'IND TECH'!F1772&amp;" "&amp;'IND TECH'!G1772&amp;" "&amp;'IND TECH'!H1772</f>
        <v xml:space="preserve">       </v>
      </c>
      <c r="E1774" t="e">
        <f t="shared" si="7"/>
        <v>#REF!</v>
      </c>
      <c r="F1774" t="e">
        <f>'IND TECH'!#REF!</f>
        <v>#REF!</v>
      </c>
    </row>
    <row r="1775" spans="3:6" x14ac:dyDescent="0.25">
      <c r="C1775">
        <f>'IND TECH'!L1773</f>
        <v>0</v>
      </c>
      <c r="D1775" t="str">
        <f>'IND TECH'!A1773&amp;" "&amp;'IND TECH'!B1773&amp;" "&amp;'IND TECH'!C1773&amp;" "&amp;'IND TECH'!D1773&amp;" "&amp;'IND TECH'!E1773&amp;" "&amp;'IND TECH'!F1773&amp;" "&amp;'IND TECH'!G1773&amp;" "&amp;'IND TECH'!H1773</f>
        <v xml:space="preserve">       </v>
      </c>
      <c r="E1775" t="e">
        <f t="shared" si="7"/>
        <v>#REF!</v>
      </c>
      <c r="F1775" t="e">
        <f>'IND TECH'!#REF!</f>
        <v>#REF!</v>
      </c>
    </row>
    <row r="1776" spans="3:6" x14ac:dyDescent="0.25">
      <c r="C1776">
        <f>'IND TECH'!L1774</f>
        <v>0</v>
      </c>
      <c r="D1776" t="str">
        <f>'IND TECH'!A1774&amp;" "&amp;'IND TECH'!B1774&amp;" "&amp;'IND TECH'!C1774&amp;" "&amp;'IND TECH'!D1774&amp;" "&amp;'IND TECH'!E1774&amp;" "&amp;'IND TECH'!F1774&amp;" "&amp;'IND TECH'!G1774&amp;" "&amp;'IND TECH'!H1774</f>
        <v xml:space="preserve">       </v>
      </c>
      <c r="E1776" t="e">
        <f t="shared" si="7"/>
        <v>#REF!</v>
      </c>
      <c r="F1776" t="e">
        <f>'IND TECH'!#REF!</f>
        <v>#REF!</v>
      </c>
    </row>
    <row r="1777" spans="3:6" x14ac:dyDescent="0.25">
      <c r="C1777">
        <f>'IND TECH'!L1775</f>
        <v>0</v>
      </c>
      <c r="D1777" t="str">
        <f>'IND TECH'!A1775&amp;" "&amp;'IND TECH'!B1775&amp;" "&amp;'IND TECH'!C1775&amp;" "&amp;'IND TECH'!D1775&amp;" "&amp;'IND TECH'!E1775&amp;" "&amp;'IND TECH'!F1775&amp;" "&amp;'IND TECH'!G1775&amp;" "&amp;'IND TECH'!H1775</f>
        <v xml:space="preserve">       </v>
      </c>
      <c r="E1777" t="e">
        <f t="shared" si="7"/>
        <v>#REF!</v>
      </c>
      <c r="F1777" t="e">
        <f>'IND TECH'!#REF!</f>
        <v>#REF!</v>
      </c>
    </row>
    <row r="1778" spans="3:6" x14ac:dyDescent="0.25">
      <c r="C1778">
        <f>'IND TECH'!L1776</f>
        <v>0</v>
      </c>
      <c r="D1778" t="str">
        <f>'IND TECH'!A1776&amp;" "&amp;'IND TECH'!B1776&amp;" "&amp;'IND TECH'!C1776&amp;" "&amp;'IND TECH'!D1776&amp;" "&amp;'IND TECH'!E1776&amp;" "&amp;'IND TECH'!F1776&amp;" "&amp;'IND TECH'!G1776&amp;" "&amp;'IND TECH'!H1776</f>
        <v xml:space="preserve">       </v>
      </c>
      <c r="E1778" t="e">
        <f t="shared" si="7"/>
        <v>#REF!</v>
      </c>
      <c r="F1778" t="e">
        <f>'IND TECH'!#REF!</f>
        <v>#REF!</v>
      </c>
    </row>
    <row r="1779" spans="3:6" x14ac:dyDescent="0.25">
      <c r="C1779">
        <f>'IND TECH'!L1777</f>
        <v>0</v>
      </c>
      <c r="D1779" t="str">
        <f>'IND TECH'!A1777&amp;" "&amp;'IND TECH'!B1777&amp;" "&amp;'IND TECH'!C1777&amp;" "&amp;'IND TECH'!D1777&amp;" "&amp;'IND TECH'!E1777&amp;" "&amp;'IND TECH'!F1777&amp;" "&amp;'IND TECH'!G1777&amp;" "&amp;'IND TECH'!H1777</f>
        <v xml:space="preserve">       </v>
      </c>
      <c r="E1779" t="e">
        <f t="shared" si="7"/>
        <v>#REF!</v>
      </c>
      <c r="F1779" t="e">
        <f>'IND TECH'!#REF!</f>
        <v>#REF!</v>
      </c>
    </row>
    <row r="1780" spans="3:6" x14ac:dyDescent="0.25">
      <c r="C1780">
        <f>'IND TECH'!L1778</f>
        <v>0</v>
      </c>
      <c r="D1780" t="str">
        <f>'IND TECH'!A1778&amp;" "&amp;'IND TECH'!B1778&amp;" "&amp;'IND TECH'!C1778&amp;" "&amp;'IND TECH'!D1778&amp;" "&amp;'IND TECH'!E1778&amp;" "&amp;'IND TECH'!F1778&amp;" "&amp;'IND TECH'!G1778&amp;" "&amp;'IND TECH'!H1778</f>
        <v xml:space="preserve">       </v>
      </c>
      <c r="E1780" t="e">
        <f t="shared" si="7"/>
        <v>#REF!</v>
      </c>
      <c r="F1780" t="e">
        <f>'IND TECH'!#REF!</f>
        <v>#REF!</v>
      </c>
    </row>
    <row r="1781" spans="3:6" x14ac:dyDescent="0.25">
      <c r="C1781">
        <f>'IND TECH'!L1779</f>
        <v>0</v>
      </c>
      <c r="D1781" t="str">
        <f>'IND TECH'!A1779&amp;" "&amp;'IND TECH'!B1779&amp;" "&amp;'IND TECH'!C1779&amp;" "&amp;'IND TECH'!D1779&amp;" "&amp;'IND TECH'!E1779&amp;" "&amp;'IND TECH'!F1779&amp;" "&amp;'IND TECH'!G1779&amp;" "&amp;'IND TECH'!H1779</f>
        <v xml:space="preserve">       </v>
      </c>
      <c r="E1781" t="e">
        <f t="shared" si="7"/>
        <v>#REF!</v>
      </c>
      <c r="F1781" t="e">
        <f>'IND TECH'!#REF!</f>
        <v>#REF!</v>
      </c>
    </row>
    <row r="1782" spans="3:6" x14ac:dyDescent="0.25">
      <c r="C1782">
        <f>'IND TECH'!L1780</f>
        <v>0</v>
      </c>
      <c r="D1782" t="str">
        <f>'IND TECH'!A1780&amp;" "&amp;'IND TECH'!B1780&amp;" "&amp;'IND TECH'!C1780&amp;" "&amp;'IND TECH'!D1780&amp;" "&amp;'IND TECH'!E1780&amp;" "&amp;'IND TECH'!F1780&amp;" "&amp;'IND TECH'!G1780&amp;" "&amp;'IND TECH'!H1780</f>
        <v xml:space="preserve">       </v>
      </c>
      <c r="E1782" t="e">
        <f t="shared" si="7"/>
        <v>#REF!</v>
      </c>
      <c r="F1782" t="e">
        <f>'IND TECH'!#REF!</f>
        <v>#REF!</v>
      </c>
    </row>
    <row r="1783" spans="3:6" x14ac:dyDescent="0.25">
      <c r="C1783">
        <f>'IND TECH'!L1781</f>
        <v>0</v>
      </c>
      <c r="D1783" t="str">
        <f>'IND TECH'!A1781&amp;" "&amp;'IND TECH'!B1781&amp;" "&amp;'IND TECH'!C1781&amp;" "&amp;'IND TECH'!D1781&amp;" "&amp;'IND TECH'!E1781&amp;" "&amp;'IND TECH'!F1781&amp;" "&amp;'IND TECH'!G1781&amp;" "&amp;'IND TECH'!H1781</f>
        <v xml:space="preserve">       </v>
      </c>
      <c r="E1783" t="e">
        <f t="shared" si="7"/>
        <v>#REF!</v>
      </c>
      <c r="F1783" t="e">
        <f>'IND TECH'!#REF!</f>
        <v>#REF!</v>
      </c>
    </row>
    <row r="1784" spans="3:6" x14ac:dyDescent="0.25">
      <c r="C1784">
        <f>'IND TECH'!L1782</f>
        <v>0</v>
      </c>
      <c r="D1784" t="str">
        <f>'IND TECH'!A1782&amp;" "&amp;'IND TECH'!B1782&amp;" "&amp;'IND TECH'!C1782&amp;" "&amp;'IND TECH'!D1782&amp;" "&amp;'IND TECH'!E1782&amp;" "&amp;'IND TECH'!F1782&amp;" "&amp;'IND TECH'!G1782&amp;" "&amp;'IND TECH'!H1782</f>
        <v xml:space="preserve">       </v>
      </c>
      <c r="E1784" t="e">
        <f t="shared" si="7"/>
        <v>#REF!</v>
      </c>
      <c r="F1784" t="e">
        <f>'IND TECH'!#REF!</f>
        <v>#REF!</v>
      </c>
    </row>
    <row r="1785" spans="3:6" x14ac:dyDescent="0.25">
      <c r="C1785">
        <f>'IND TECH'!L1783</f>
        <v>0</v>
      </c>
      <c r="D1785" t="str">
        <f>'IND TECH'!A1783&amp;" "&amp;'IND TECH'!B1783&amp;" "&amp;'IND TECH'!C1783&amp;" "&amp;'IND TECH'!D1783&amp;" "&amp;'IND TECH'!E1783&amp;" "&amp;'IND TECH'!F1783&amp;" "&amp;'IND TECH'!G1783&amp;" "&amp;'IND TECH'!H1783</f>
        <v xml:space="preserve">       </v>
      </c>
      <c r="E1785" t="e">
        <f t="shared" si="7"/>
        <v>#REF!</v>
      </c>
      <c r="F1785" t="e">
        <f>'IND TECH'!#REF!</f>
        <v>#REF!</v>
      </c>
    </row>
    <row r="1786" spans="3:6" x14ac:dyDescent="0.25">
      <c r="C1786">
        <f>'IND TECH'!L1784</f>
        <v>0</v>
      </c>
      <c r="D1786" t="str">
        <f>'IND TECH'!A1784&amp;" "&amp;'IND TECH'!B1784&amp;" "&amp;'IND TECH'!C1784&amp;" "&amp;'IND TECH'!D1784&amp;" "&amp;'IND TECH'!E1784&amp;" "&amp;'IND TECH'!F1784&amp;" "&amp;'IND TECH'!G1784&amp;" "&amp;'IND TECH'!H1784</f>
        <v xml:space="preserve">       </v>
      </c>
      <c r="E1786" t="e">
        <f t="shared" si="7"/>
        <v>#REF!</v>
      </c>
      <c r="F1786" t="e">
        <f>'IND TECH'!#REF!</f>
        <v>#REF!</v>
      </c>
    </row>
    <row r="1787" spans="3:6" x14ac:dyDescent="0.25">
      <c r="C1787">
        <f>'IND TECH'!L1785</f>
        <v>0</v>
      </c>
      <c r="D1787" t="str">
        <f>'IND TECH'!A1785&amp;" "&amp;'IND TECH'!B1785&amp;" "&amp;'IND TECH'!C1785&amp;" "&amp;'IND TECH'!D1785&amp;" "&amp;'IND TECH'!E1785&amp;" "&amp;'IND TECH'!F1785&amp;" "&amp;'IND TECH'!G1785&amp;" "&amp;'IND TECH'!H1785</f>
        <v xml:space="preserve">       </v>
      </c>
      <c r="E1787" t="e">
        <f t="shared" si="7"/>
        <v>#REF!</v>
      </c>
      <c r="F1787" t="e">
        <f>'IND TECH'!#REF!</f>
        <v>#REF!</v>
      </c>
    </row>
    <row r="1788" spans="3:6" x14ac:dyDescent="0.25">
      <c r="C1788">
        <f>'IND TECH'!L1786</f>
        <v>0</v>
      </c>
      <c r="D1788" t="str">
        <f>'IND TECH'!A1786&amp;" "&amp;'IND TECH'!B1786&amp;" "&amp;'IND TECH'!C1786&amp;" "&amp;'IND TECH'!D1786&amp;" "&amp;'IND TECH'!E1786&amp;" "&amp;'IND TECH'!F1786&amp;" "&amp;'IND TECH'!G1786&amp;" "&amp;'IND TECH'!H1786</f>
        <v xml:space="preserve">       </v>
      </c>
      <c r="E1788" t="e">
        <f t="shared" si="7"/>
        <v>#REF!</v>
      </c>
      <c r="F1788" t="e">
        <f>'IND TECH'!#REF!</f>
        <v>#REF!</v>
      </c>
    </row>
    <row r="1789" spans="3:6" x14ac:dyDescent="0.25">
      <c r="C1789">
        <f>'IND TECH'!L1787</f>
        <v>0</v>
      </c>
      <c r="D1789" t="str">
        <f>'IND TECH'!A1787&amp;" "&amp;'IND TECH'!B1787&amp;" "&amp;'IND TECH'!C1787&amp;" "&amp;'IND TECH'!D1787&amp;" "&amp;'IND TECH'!E1787&amp;" "&amp;'IND TECH'!F1787&amp;" "&amp;'IND TECH'!G1787&amp;" "&amp;'IND TECH'!H1787</f>
        <v xml:space="preserve">       </v>
      </c>
      <c r="E1789" t="e">
        <f t="shared" si="7"/>
        <v>#REF!</v>
      </c>
      <c r="F1789" t="e">
        <f>'IND TECH'!#REF!</f>
        <v>#REF!</v>
      </c>
    </row>
    <row r="1790" spans="3:6" x14ac:dyDescent="0.25">
      <c r="C1790">
        <f>'IND TECH'!L1788</f>
        <v>0</v>
      </c>
      <c r="D1790" t="str">
        <f>'IND TECH'!A1788&amp;" "&amp;'IND TECH'!B1788&amp;" "&amp;'IND TECH'!C1788&amp;" "&amp;'IND TECH'!D1788&amp;" "&amp;'IND TECH'!E1788&amp;" "&amp;'IND TECH'!F1788&amp;" "&amp;'IND TECH'!G1788&amp;" "&amp;'IND TECH'!H1788</f>
        <v xml:space="preserve">       </v>
      </c>
      <c r="E1790" t="e">
        <f t="shared" si="7"/>
        <v>#REF!</v>
      </c>
      <c r="F1790" t="e">
        <f>'IND TECH'!#REF!</f>
        <v>#REF!</v>
      </c>
    </row>
    <row r="1791" spans="3:6" x14ac:dyDescent="0.25">
      <c r="C1791">
        <f>'IND TECH'!L1789</f>
        <v>0</v>
      </c>
      <c r="D1791" t="str">
        <f>'IND TECH'!A1789&amp;" "&amp;'IND TECH'!B1789&amp;" "&amp;'IND TECH'!C1789&amp;" "&amp;'IND TECH'!D1789&amp;" "&amp;'IND TECH'!E1789&amp;" "&amp;'IND TECH'!F1789&amp;" "&amp;'IND TECH'!G1789&amp;" "&amp;'IND TECH'!H1789</f>
        <v xml:space="preserve">       </v>
      </c>
      <c r="E1791" t="e">
        <f t="shared" si="7"/>
        <v>#REF!</v>
      </c>
      <c r="F1791" t="e">
        <f>'IND TECH'!#REF!</f>
        <v>#REF!</v>
      </c>
    </row>
    <row r="1792" spans="3:6" x14ac:dyDescent="0.25">
      <c r="C1792">
        <f>'IND TECH'!L1790</f>
        <v>0</v>
      </c>
      <c r="D1792" t="str">
        <f>'IND TECH'!A1790&amp;" "&amp;'IND TECH'!B1790&amp;" "&amp;'IND TECH'!C1790&amp;" "&amp;'IND TECH'!D1790&amp;" "&amp;'IND TECH'!E1790&amp;" "&amp;'IND TECH'!F1790&amp;" "&amp;'IND TECH'!G1790&amp;" "&amp;'IND TECH'!H1790</f>
        <v xml:space="preserve">       </v>
      </c>
      <c r="E1792" t="e">
        <f t="shared" si="7"/>
        <v>#REF!</v>
      </c>
      <c r="F1792" t="e">
        <f>'IND TECH'!#REF!</f>
        <v>#REF!</v>
      </c>
    </row>
    <row r="1793" spans="3:6" x14ac:dyDescent="0.25">
      <c r="C1793">
        <f>'IND TECH'!L1791</f>
        <v>0</v>
      </c>
      <c r="D1793" t="str">
        <f>'IND TECH'!A1791&amp;" "&amp;'IND TECH'!B1791&amp;" "&amp;'IND TECH'!C1791&amp;" "&amp;'IND TECH'!D1791&amp;" "&amp;'IND TECH'!E1791&amp;" "&amp;'IND TECH'!F1791&amp;" "&amp;'IND TECH'!G1791&amp;" "&amp;'IND TECH'!H1791</f>
        <v xml:space="preserve">       </v>
      </c>
      <c r="E1793" t="e">
        <f t="shared" si="7"/>
        <v>#REF!</v>
      </c>
      <c r="F1793" t="e">
        <f>'IND TECH'!#REF!</f>
        <v>#REF!</v>
      </c>
    </row>
    <row r="1794" spans="3:6" x14ac:dyDescent="0.25">
      <c r="C1794">
        <f>'IND TECH'!L1792</f>
        <v>0</v>
      </c>
      <c r="D1794" t="str">
        <f>'IND TECH'!A1792&amp;" "&amp;'IND TECH'!B1792&amp;" "&amp;'IND TECH'!C1792&amp;" "&amp;'IND TECH'!D1792&amp;" "&amp;'IND TECH'!E1792&amp;" "&amp;'IND TECH'!F1792&amp;" "&amp;'IND TECH'!G1792&amp;" "&amp;'IND TECH'!H1792</f>
        <v xml:space="preserve">       </v>
      </c>
      <c r="E1794" t="e">
        <f t="shared" si="7"/>
        <v>#REF!</v>
      </c>
      <c r="F1794" t="e">
        <f>'IND TECH'!#REF!</f>
        <v>#REF!</v>
      </c>
    </row>
    <row r="1795" spans="3:6" x14ac:dyDescent="0.25">
      <c r="C1795">
        <f>'IND TECH'!L1793</f>
        <v>0</v>
      </c>
      <c r="D1795" t="str">
        <f>'IND TECH'!A1793&amp;" "&amp;'IND TECH'!B1793&amp;" "&amp;'IND TECH'!C1793&amp;" "&amp;'IND TECH'!D1793&amp;" "&amp;'IND TECH'!E1793&amp;" "&amp;'IND TECH'!F1793&amp;" "&amp;'IND TECH'!G1793&amp;" "&amp;'IND TECH'!H1793</f>
        <v xml:space="preserve">       </v>
      </c>
      <c r="E1795" t="e">
        <f t="shared" si="7"/>
        <v>#REF!</v>
      </c>
      <c r="F1795" t="e">
        <f>'IND TECH'!#REF!</f>
        <v>#REF!</v>
      </c>
    </row>
    <row r="1796" spans="3:6" x14ac:dyDescent="0.25">
      <c r="C1796">
        <f>'IND TECH'!L1794</f>
        <v>0</v>
      </c>
      <c r="D1796" t="str">
        <f>'IND TECH'!A1794&amp;" "&amp;'IND TECH'!B1794&amp;" "&amp;'IND TECH'!C1794&amp;" "&amp;'IND TECH'!D1794&amp;" "&amp;'IND TECH'!E1794&amp;" "&amp;'IND TECH'!F1794&amp;" "&amp;'IND TECH'!G1794&amp;" "&amp;'IND TECH'!H1794</f>
        <v xml:space="preserve">       </v>
      </c>
      <c r="E1796" t="e">
        <f t="shared" si="7"/>
        <v>#REF!</v>
      </c>
      <c r="F1796" t="e">
        <f>'IND TECH'!#REF!</f>
        <v>#REF!</v>
      </c>
    </row>
    <row r="1797" spans="3:6" x14ac:dyDescent="0.25">
      <c r="C1797">
        <f>'IND TECH'!L1795</f>
        <v>0</v>
      </c>
      <c r="D1797" t="str">
        <f>'IND TECH'!A1795&amp;" "&amp;'IND TECH'!B1795&amp;" "&amp;'IND TECH'!C1795&amp;" "&amp;'IND TECH'!D1795&amp;" "&amp;'IND TECH'!E1795&amp;" "&amp;'IND TECH'!F1795&amp;" "&amp;'IND TECH'!G1795&amp;" "&amp;'IND TECH'!H1795</f>
        <v xml:space="preserve">       </v>
      </c>
      <c r="E1797" t="e">
        <f t="shared" si="7"/>
        <v>#REF!</v>
      </c>
      <c r="F1797" t="e">
        <f>'IND TECH'!#REF!</f>
        <v>#REF!</v>
      </c>
    </row>
    <row r="1798" spans="3:6" x14ac:dyDescent="0.25">
      <c r="C1798">
        <f>'IND TECH'!L1796</f>
        <v>0</v>
      </c>
      <c r="D1798" t="str">
        <f>'IND TECH'!A1796&amp;" "&amp;'IND TECH'!B1796&amp;" "&amp;'IND TECH'!C1796&amp;" "&amp;'IND TECH'!D1796&amp;" "&amp;'IND TECH'!E1796&amp;" "&amp;'IND TECH'!F1796&amp;" "&amp;'IND TECH'!G1796&amp;" "&amp;'IND TECH'!H1796</f>
        <v xml:space="preserve">       </v>
      </c>
      <c r="E1798" t="e">
        <f t="shared" si="7"/>
        <v>#REF!</v>
      </c>
      <c r="F1798" t="e">
        <f>'IND TECH'!#REF!</f>
        <v>#REF!</v>
      </c>
    </row>
    <row r="1799" spans="3:6" x14ac:dyDescent="0.25">
      <c r="C1799">
        <f>'IND TECH'!L1797</f>
        <v>0</v>
      </c>
      <c r="D1799" t="str">
        <f>'IND TECH'!A1797&amp;" "&amp;'IND TECH'!B1797&amp;" "&amp;'IND TECH'!C1797&amp;" "&amp;'IND TECH'!D1797&amp;" "&amp;'IND TECH'!E1797&amp;" "&amp;'IND TECH'!F1797&amp;" "&amp;'IND TECH'!G1797&amp;" "&amp;'IND TECH'!H1797</f>
        <v xml:space="preserve">       </v>
      </c>
      <c r="E1799" t="e">
        <f t="shared" si="7"/>
        <v>#REF!</v>
      </c>
      <c r="F1799" t="e">
        <f>'IND TECH'!#REF!</f>
        <v>#REF!</v>
      </c>
    </row>
    <row r="1800" spans="3:6" x14ac:dyDescent="0.25">
      <c r="C1800">
        <f>'IND TECH'!L1798</f>
        <v>0</v>
      </c>
      <c r="D1800" t="str">
        <f>'IND TECH'!A1798&amp;" "&amp;'IND TECH'!B1798&amp;" "&amp;'IND TECH'!C1798&amp;" "&amp;'IND TECH'!D1798&amp;" "&amp;'IND TECH'!E1798&amp;" "&amp;'IND TECH'!F1798&amp;" "&amp;'IND TECH'!G1798&amp;" "&amp;'IND TECH'!H1798</f>
        <v xml:space="preserve">       </v>
      </c>
      <c r="E1800" t="e">
        <f t="shared" si="7"/>
        <v>#REF!</v>
      </c>
      <c r="F1800" t="e">
        <f>'IND TECH'!#REF!</f>
        <v>#REF!</v>
      </c>
    </row>
    <row r="1801" spans="3:6" x14ac:dyDescent="0.25">
      <c r="C1801">
        <f>'IND TECH'!L1799</f>
        <v>0</v>
      </c>
      <c r="D1801" t="str">
        <f>'IND TECH'!A1799&amp;" "&amp;'IND TECH'!B1799&amp;" "&amp;'IND TECH'!C1799&amp;" "&amp;'IND TECH'!D1799&amp;" "&amp;'IND TECH'!E1799&amp;" "&amp;'IND TECH'!F1799&amp;" "&amp;'IND TECH'!G1799&amp;" "&amp;'IND TECH'!H1799</f>
        <v xml:space="preserve">       </v>
      </c>
      <c r="E1801" t="e">
        <f t="shared" si="7"/>
        <v>#REF!</v>
      </c>
      <c r="F1801" t="e">
        <f>'IND TECH'!#REF!</f>
        <v>#REF!</v>
      </c>
    </row>
    <row r="1802" spans="3:6" x14ac:dyDescent="0.25">
      <c r="C1802">
        <f>'IND TECH'!L1800</f>
        <v>0</v>
      </c>
      <c r="D1802" t="str">
        <f>'IND TECH'!A1800&amp;" "&amp;'IND TECH'!B1800&amp;" "&amp;'IND TECH'!C1800&amp;" "&amp;'IND TECH'!D1800&amp;" "&amp;'IND TECH'!E1800&amp;" "&amp;'IND TECH'!F1800&amp;" "&amp;'IND TECH'!G1800&amp;" "&amp;'IND TECH'!H1800</f>
        <v xml:space="preserve">       </v>
      </c>
      <c r="E1802" t="e">
        <f t="shared" si="7"/>
        <v>#REF!</v>
      </c>
      <c r="F1802" t="e">
        <f>'IND TECH'!#REF!</f>
        <v>#REF!</v>
      </c>
    </row>
    <row r="1803" spans="3:6" x14ac:dyDescent="0.25">
      <c r="C1803">
        <f>'IND TECH'!L1801</f>
        <v>0</v>
      </c>
      <c r="D1803" t="str">
        <f>'IND TECH'!A1801&amp;" "&amp;'IND TECH'!B1801&amp;" "&amp;'IND TECH'!C1801&amp;" "&amp;'IND TECH'!D1801&amp;" "&amp;'IND TECH'!E1801&amp;" "&amp;'IND TECH'!F1801&amp;" "&amp;'IND TECH'!G1801&amp;" "&amp;'IND TECH'!H1801</f>
        <v xml:space="preserve">       </v>
      </c>
      <c r="E1803" t="e">
        <f t="shared" si="7"/>
        <v>#REF!</v>
      </c>
      <c r="F1803" t="e">
        <f>'IND TECH'!#REF!</f>
        <v>#REF!</v>
      </c>
    </row>
    <row r="1804" spans="3:6" x14ac:dyDescent="0.25">
      <c r="C1804">
        <f>'IND TECH'!L1802</f>
        <v>0</v>
      </c>
      <c r="D1804" t="str">
        <f>'IND TECH'!A1802&amp;" "&amp;'IND TECH'!B1802&amp;" "&amp;'IND TECH'!C1802&amp;" "&amp;'IND TECH'!D1802&amp;" "&amp;'IND TECH'!E1802&amp;" "&amp;'IND TECH'!F1802&amp;" "&amp;'IND TECH'!G1802&amp;" "&amp;'IND TECH'!H1802</f>
        <v xml:space="preserve">       </v>
      </c>
      <c r="E1804" t="e">
        <f t="shared" si="7"/>
        <v>#REF!</v>
      </c>
      <c r="F1804" t="e">
        <f>'IND TECH'!#REF!</f>
        <v>#REF!</v>
      </c>
    </row>
    <row r="1805" spans="3:6" x14ac:dyDescent="0.25">
      <c r="C1805">
        <f>'IND TECH'!L1803</f>
        <v>0</v>
      </c>
      <c r="D1805" t="str">
        <f>'IND TECH'!A1803&amp;" "&amp;'IND TECH'!B1803&amp;" "&amp;'IND TECH'!C1803&amp;" "&amp;'IND TECH'!D1803&amp;" "&amp;'IND TECH'!E1803&amp;" "&amp;'IND TECH'!F1803&amp;" "&amp;'IND TECH'!G1803&amp;" "&amp;'IND TECH'!H1803</f>
        <v xml:space="preserve">       </v>
      </c>
      <c r="E1805" t="e">
        <f t="shared" si="7"/>
        <v>#REF!</v>
      </c>
      <c r="F1805" t="e">
        <f>'IND TECH'!#REF!</f>
        <v>#REF!</v>
      </c>
    </row>
    <row r="1806" spans="3:6" x14ac:dyDescent="0.25">
      <c r="C1806">
        <f>'IND TECH'!L1804</f>
        <v>0</v>
      </c>
      <c r="D1806" t="str">
        <f>'IND TECH'!A1804&amp;" "&amp;'IND TECH'!B1804&amp;" "&amp;'IND TECH'!C1804&amp;" "&amp;'IND TECH'!D1804&amp;" "&amp;'IND TECH'!E1804&amp;" "&amp;'IND TECH'!F1804&amp;" "&amp;'IND TECH'!G1804&amp;" "&amp;'IND TECH'!H1804</f>
        <v xml:space="preserve">       </v>
      </c>
      <c r="E1806" t="e">
        <f t="shared" si="7"/>
        <v>#REF!</v>
      </c>
      <c r="F1806" t="e">
        <f>'IND TECH'!#REF!</f>
        <v>#REF!</v>
      </c>
    </row>
    <row r="1807" spans="3:6" x14ac:dyDescent="0.25">
      <c r="C1807">
        <f>'IND TECH'!L1805</f>
        <v>0</v>
      </c>
      <c r="D1807" t="str">
        <f>'IND TECH'!A1805&amp;" "&amp;'IND TECH'!B1805&amp;" "&amp;'IND TECH'!C1805&amp;" "&amp;'IND TECH'!D1805&amp;" "&amp;'IND TECH'!E1805&amp;" "&amp;'IND TECH'!F1805&amp;" "&amp;'IND TECH'!G1805&amp;" "&amp;'IND TECH'!H1805</f>
        <v xml:space="preserve">       </v>
      </c>
      <c r="E1807" t="e">
        <f t="shared" si="7"/>
        <v>#REF!</v>
      </c>
      <c r="F1807" t="e">
        <f>'IND TECH'!#REF!</f>
        <v>#REF!</v>
      </c>
    </row>
    <row r="1808" spans="3:6" x14ac:dyDescent="0.25">
      <c r="C1808">
        <f>'IND TECH'!L1806</f>
        <v>0</v>
      </c>
      <c r="D1808" t="str">
        <f>'IND TECH'!A1806&amp;" "&amp;'IND TECH'!B1806&amp;" "&amp;'IND TECH'!C1806&amp;" "&amp;'IND TECH'!D1806&amp;" "&amp;'IND TECH'!E1806&amp;" "&amp;'IND TECH'!F1806&amp;" "&amp;'IND TECH'!G1806&amp;" "&amp;'IND TECH'!H1806</f>
        <v xml:space="preserve">       </v>
      </c>
      <c r="E1808" t="e">
        <f t="shared" si="7"/>
        <v>#REF!</v>
      </c>
      <c r="F1808" t="e">
        <f>'IND TECH'!#REF!</f>
        <v>#REF!</v>
      </c>
    </row>
    <row r="1809" spans="3:6" x14ac:dyDescent="0.25">
      <c r="C1809">
        <f>'IND TECH'!L1807</f>
        <v>0</v>
      </c>
      <c r="D1809" t="str">
        <f>'IND TECH'!A1807&amp;" "&amp;'IND TECH'!B1807&amp;" "&amp;'IND TECH'!C1807&amp;" "&amp;'IND TECH'!D1807&amp;" "&amp;'IND TECH'!E1807&amp;" "&amp;'IND TECH'!F1807&amp;" "&amp;'IND TECH'!G1807&amp;" "&amp;'IND TECH'!H1807</f>
        <v xml:space="preserve">       </v>
      </c>
      <c r="E1809" t="e">
        <f t="shared" si="7"/>
        <v>#REF!</v>
      </c>
      <c r="F1809" t="e">
        <f>'IND TECH'!#REF!</f>
        <v>#REF!</v>
      </c>
    </row>
    <row r="1810" spans="3:6" x14ac:dyDescent="0.25">
      <c r="C1810">
        <f>'IND TECH'!L1808</f>
        <v>0</v>
      </c>
      <c r="D1810" t="str">
        <f>'IND TECH'!A1808&amp;" "&amp;'IND TECH'!B1808&amp;" "&amp;'IND TECH'!C1808&amp;" "&amp;'IND TECH'!D1808&amp;" "&amp;'IND TECH'!E1808&amp;" "&amp;'IND TECH'!F1808&amp;" "&amp;'IND TECH'!G1808&amp;" "&amp;'IND TECH'!H1808</f>
        <v xml:space="preserve">       </v>
      </c>
      <c r="E1810" t="e">
        <f t="shared" si="7"/>
        <v>#REF!</v>
      </c>
      <c r="F1810" t="e">
        <f>'IND TECH'!#REF!</f>
        <v>#REF!</v>
      </c>
    </row>
    <row r="1811" spans="3:6" x14ac:dyDescent="0.25">
      <c r="C1811">
        <f>'IND TECH'!L1809</f>
        <v>0</v>
      </c>
      <c r="D1811" t="str">
        <f>'IND TECH'!A1809&amp;" "&amp;'IND TECH'!B1809&amp;" "&amp;'IND TECH'!C1809&amp;" "&amp;'IND TECH'!D1809&amp;" "&amp;'IND TECH'!E1809&amp;" "&amp;'IND TECH'!F1809&amp;" "&amp;'IND TECH'!G1809&amp;" "&amp;'IND TECH'!H1809</f>
        <v xml:space="preserve">       </v>
      </c>
      <c r="E1811" t="e">
        <f t="shared" ref="E1811:E1874" si="8">IF(F1811="Mlma","Mlm","TJ")</f>
        <v>#REF!</v>
      </c>
      <c r="F1811" t="e">
        <f>'IND TECH'!#REF!</f>
        <v>#REF!</v>
      </c>
    </row>
    <row r="1812" spans="3:6" x14ac:dyDescent="0.25">
      <c r="C1812">
        <f>'IND TECH'!L1810</f>
        <v>0</v>
      </c>
      <c r="D1812" t="str">
        <f>'IND TECH'!A1810&amp;" "&amp;'IND TECH'!B1810&amp;" "&amp;'IND TECH'!C1810&amp;" "&amp;'IND TECH'!D1810&amp;" "&amp;'IND TECH'!E1810&amp;" "&amp;'IND TECH'!F1810&amp;" "&amp;'IND TECH'!G1810&amp;" "&amp;'IND TECH'!H1810</f>
        <v xml:space="preserve">       </v>
      </c>
      <c r="E1812" t="e">
        <f t="shared" si="8"/>
        <v>#REF!</v>
      </c>
      <c r="F1812" t="e">
        <f>'IND TECH'!#REF!</f>
        <v>#REF!</v>
      </c>
    </row>
    <row r="1813" spans="3:6" x14ac:dyDescent="0.25">
      <c r="C1813">
        <f>'IND TECH'!L1811</f>
        <v>0</v>
      </c>
      <c r="D1813" t="str">
        <f>'IND TECH'!A1811&amp;" "&amp;'IND TECH'!B1811&amp;" "&amp;'IND TECH'!C1811&amp;" "&amp;'IND TECH'!D1811&amp;" "&amp;'IND TECH'!E1811&amp;" "&amp;'IND TECH'!F1811&amp;" "&amp;'IND TECH'!G1811&amp;" "&amp;'IND TECH'!H1811</f>
        <v xml:space="preserve">       </v>
      </c>
      <c r="E1813" t="e">
        <f t="shared" si="8"/>
        <v>#REF!</v>
      </c>
      <c r="F1813" t="e">
        <f>'IND TECH'!#REF!</f>
        <v>#REF!</v>
      </c>
    </row>
    <row r="1814" spans="3:6" x14ac:dyDescent="0.25">
      <c r="C1814">
        <f>'IND TECH'!L1812</f>
        <v>0</v>
      </c>
      <c r="D1814" t="str">
        <f>'IND TECH'!A1812&amp;" "&amp;'IND TECH'!B1812&amp;" "&amp;'IND TECH'!C1812&amp;" "&amp;'IND TECH'!D1812&amp;" "&amp;'IND TECH'!E1812&amp;" "&amp;'IND TECH'!F1812&amp;" "&amp;'IND TECH'!G1812&amp;" "&amp;'IND TECH'!H1812</f>
        <v xml:space="preserve">       </v>
      </c>
      <c r="E1814" t="e">
        <f t="shared" si="8"/>
        <v>#REF!</v>
      </c>
      <c r="F1814" t="e">
        <f>'IND TECH'!#REF!</f>
        <v>#REF!</v>
      </c>
    </row>
    <row r="1815" spans="3:6" x14ac:dyDescent="0.25">
      <c r="C1815">
        <f>'IND TECH'!L1813</f>
        <v>0</v>
      </c>
      <c r="D1815" t="str">
        <f>'IND TECH'!A1813&amp;" "&amp;'IND TECH'!B1813&amp;" "&amp;'IND TECH'!C1813&amp;" "&amp;'IND TECH'!D1813&amp;" "&amp;'IND TECH'!E1813&amp;" "&amp;'IND TECH'!F1813&amp;" "&amp;'IND TECH'!G1813&amp;" "&amp;'IND TECH'!H1813</f>
        <v xml:space="preserve">       </v>
      </c>
      <c r="E1815" t="e">
        <f t="shared" si="8"/>
        <v>#REF!</v>
      </c>
      <c r="F1815" t="e">
        <f>'IND TECH'!#REF!</f>
        <v>#REF!</v>
      </c>
    </row>
    <row r="1816" spans="3:6" x14ac:dyDescent="0.25">
      <c r="C1816">
        <f>'IND TECH'!L1814</f>
        <v>0</v>
      </c>
      <c r="D1816" t="str">
        <f>'IND TECH'!A1814&amp;" "&amp;'IND TECH'!B1814&amp;" "&amp;'IND TECH'!C1814&amp;" "&amp;'IND TECH'!D1814&amp;" "&amp;'IND TECH'!E1814&amp;" "&amp;'IND TECH'!F1814&amp;" "&amp;'IND TECH'!G1814&amp;" "&amp;'IND TECH'!H1814</f>
        <v xml:space="preserve">       </v>
      </c>
      <c r="E1816" t="e">
        <f t="shared" si="8"/>
        <v>#REF!</v>
      </c>
      <c r="F1816" t="e">
        <f>'IND TECH'!#REF!</f>
        <v>#REF!</v>
      </c>
    </row>
    <row r="1817" spans="3:6" x14ac:dyDescent="0.25">
      <c r="C1817">
        <f>'IND TECH'!L1815</f>
        <v>0</v>
      </c>
      <c r="D1817" t="str">
        <f>'IND TECH'!A1815&amp;" "&amp;'IND TECH'!B1815&amp;" "&amp;'IND TECH'!C1815&amp;" "&amp;'IND TECH'!D1815&amp;" "&amp;'IND TECH'!E1815&amp;" "&amp;'IND TECH'!F1815&amp;" "&amp;'IND TECH'!G1815&amp;" "&amp;'IND TECH'!H1815</f>
        <v xml:space="preserve">       </v>
      </c>
      <c r="E1817" t="e">
        <f t="shared" si="8"/>
        <v>#REF!</v>
      </c>
      <c r="F1817" t="e">
        <f>'IND TECH'!#REF!</f>
        <v>#REF!</v>
      </c>
    </row>
    <row r="1818" spans="3:6" x14ac:dyDescent="0.25">
      <c r="C1818">
        <f>'IND TECH'!L1816</f>
        <v>0</v>
      </c>
      <c r="D1818" t="str">
        <f>'IND TECH'!A1816&amp;" "&amp;'IND TECH'!B1816&amp;" "&amp;'IND TECH'!C1816&amp;" "&amp;'IND TECH'!D1816&amp;" "&amp;'IND TECH'!E1816&amp;" "&amp;'IND TECH'!F1816&amp;" "&amp;'IND TECH'!G1816&amp;" "&amp;'IND TECH'!H1816</f>
        <v xml:space="preserve">       </v>
      </c>
      <c r="E1818" t="e">
        <f t="shared" si="8"/>
        <v>#REF!</v>
      </c>
      <c r="F1818" t="e">
        <f>'IND TECH'!#REF!</f>
        <v>#REF!</v>
      </c>
    </row>
    <row r="1819" spans="3:6" x14ac:dyDescent="0.25">
      <c r="C1819">
        <f>'IND TECH'!L1817</f>
        <v>0</v>
      </c>
      <c r="D1819" t="str">
        <f>'IND TECH'!A1817&amp;" "&amp;'IND TECH'!B1817&amp;" "&amp;'IND TECH'!C1817&amp;" "&amp;'IND TECH'!D1817&amp;" "&amp;'IND TECH'!E1817&amp;" "&amp;'IND TECH'!F1817&amp;" "&amp;'IND TECH'!G1817&amp;" "&amp;'IND TECH'!H1817</f>
        <v xml:space="preserve">       </v>
      </c>
      <c r="E1819" t="e">
        <f t="shared" si="8"/>
        <v>#REF!</v>
      </c>
      <c r="F1819" t="e">
        <f>'IND TECH'!#REF!</f>
        <v>#REF!</v>
      </c>
    </row>
    <row r="1820" spans="3:6" x14ac:dyDescent="0.25">
      <c r="C1820">
        <f>'IND TECH'!L1818</f>
        <v>0</v>
      </c>
      <c r="D1820" t="str">
        <f>'IND TECH'!A1818&amp;" "&amp;'IND TECH'!B1818&amp;" "&amp;'IND TECH'!C1818&amp;" "&amp;'IND TECH'!D1818&amp;" "&amp;'IND TECH'!E1818&amp;" "&amp;'IND TECH'!F1818&amp;" "&amp;'IND TECH'!G1818&amp;" "&amp;'IND TECH'!H1818</f>
        <v xml:space="preserve">       </v>
      </c>
      <c r="E1820" t="e">
        <f t="shared" si="8"/>
        <v>#REF!</v>
      </c>
      <c r="F1820" t="e">
        <f>'IND TECH'!#REF!</f>
        <v>#REF!</v>
      </c>
    </row>
    <row r="1821" spans="3:6" x14ac:dyDescent="0.25">
      <c r="C1821">
        <f>'IND TECH'!L1819</f>
        <v>0</v>
      </c>
      <c r="D1821" t="str">
        <f>'IND TECH'!A1819&amp;" "&amp;'IND TECH'!B1819&amp;" "&amp;'IND TECH'!C1819&amp;" "&amp;'IND TECH'!D1819&amp;" "&amp;'IND TECH'!E1819&amp;" "&amp;'IND TECH'!F1819&amp;" "&amp;'IND TECH'!G1819&amp;" "&amp;'IND TECH'!H1819</f>
        <v xml:space="preserve">       </v>
      </c>
      <c r="E1821" t="e">
        <f t="shared" si="8"/>
        <v>#REF!</v>
      </c>
      <c r="F1821" t="e">
        <f>'IND TECH'!#REF!</f>
        <v>#REF!</v>
      </c>
    </row>
    <row r="1822" spans="3:6" x14ac:dyDescent="0.25">
      <c r="C1822">
        <f>'IND TECH'!L1820</f>
        <v>0</v>
      </c>
      <c r="D1822" t="str">
        <f>'IND TECH'!A1820&amp;" "&amp;'IND TECH'!B1820&amp;" "&amp;'IND TECH'!C1820&amp;" "&amp;'IND TECH'!D1820&amp;" "&amp;'IND TECH'!E1820&amp;" "&amp;'IND TECH'!F1820&amp;" "&amp;'IND TECH'!G1820&amp;" "&amp;'IND TECH'!H1820</f>
        <v xml:space="preserve">       </v>
      </c>
      <c r="E1822" t="e">
        <f t="shared" si="8"/>
        <v>#REF!</v>
      </c>
      <c r="F1822" t="e">
        <f>'IND TECH'!#REF!</f>
        <v>#REF!</v>
      </c>
    </row>
    <row r="1823" spans="3:6" x14ac:dyDescent="0.25">
      <c r="C1823">
        <f>'IND TECH'!L1821</f>
        <v>0</v>
      </c>
      <c r="D1823" t="str">
        <f>'IND TECH'!A1821&amp;" "&amp;'IND TECH'!B1821&amp;" "&amp;'IND TECH'!C1821&amp;" "&amp;'IND TECH'!D1821&amp;" "&amp;'IND TECH'!E1821&amp;" "&amp;'IND TECH'!F1821&amp;" "&amp;'IND TECH'!G1821&amp;" "&amp;'IND TECH'!H1821</f>
        <v xml:space="preserve">       </v>
      </c>
      <c r="E1823" t="e">
        <f t="shared" si="8"/>
        <v>#REF!</v>
      </c>
      <c r="F1823" t="e">
        <f>'IND TECH'!#REF!</f>
        <v>#REF!</v>
      </c>
    </row>
    <row r="1824" spans="3:6" x14ac:dyDescent="0.25">
      <c r="C1824">
        <f>'IND TECH'!L1822</f>
        <v>0</v>
      </c>
      <c r="D1824" t="str">
        <f>'IND TECH'!A1822&amp;" "&amp;'IND TECH'!B1822&amp;" "&amp;'IND TECH'!C1822&amp;" "&amp;'IND TECH'!D1822&amp;" "&amp;'IND TECH'!E1822&amp;" "&amp;'IND TECH'!F1822&amp;" "&amp;'IND TECH'!G1822&amp;" "&amp;'IND TECH'!H1822</f>
        <v xml:space="preserve">       </v>
      </c>
      <c r="E1824" t="e">
        <f t="shared" si="8"/>
        <v>#REF!</v>
      </c>
      <c r="F1824" t="e">
        <f>'IND TECH'!#REF!</f>
        <v>#REF!</v>
      </c>
    </row>
    <row r="1825" spans="3:6" x14ac:dyDescent="0.25">
      <c r="C1825">
        <f>'IND TECH'!L1823</f>
        <v>0</v>
      </c>
      <c r="D1825" t="str">
        <f>'IND TECH'!A1823&amp;" "&amp;'IND TECH'!B1823&amp;" "&amp;'IND TECH'!C1823&amp;" "&amp;'IND TECH'!D1823&amp;" "&amp;'IND TECH'!E1823&amp;" "&amp;'IND TECH'!F1823&amp;" "&amp;'IND TECH'!G1823&amp;" "&amp;'IND TECH'!H1823</f>
        <v xml:space="preserve">       </v>
      </c>
      <c r="E1825" t="e">
        <f t="shared" si="8"/>
        <v>#REF!</v>
      </c>
      <c r="F1825" t="e">
        <f>'IND TECH'!#REF!</f>
        <v>#REF!</v>
      </c>
    </row>
    <row r="1826" spans="3:6" x14ac:dyDescent="0.25">
      <c r="C1826">
        <f>'IND TECH'!L1824</f>
        <v>0</v>
      </c>
      <c r="D1826" t="str">
        <f>'IND TECH'!A1824&amp;" "&amp;'IND TECH'!B1824&amp;" "&amp;'IND TECH'!C1824&amp;" "&amp;'IND TECH'!D1824&amp;" "&amp;'IND TECH'!E1824&amp;" "&amp;'IND TECH'!F1824&amp;" "&amp;'IND TECH'!G1824&amp;" "&amp;'IND TECH'!H1824</f>
        <v xml:space="preserve">       </v>
      </c>
      <c r="E1826" t="e">
        <f t="shared" si="8"/>
        <v>#REF!</v>
      </c>
      <c r="F1826" t="e">
        <f>'IND TECH'!#REF!</f>
        <v>#REF!</v>
      </c>
    </row>
    <row r="1827" spans="3:6" x14ac:dyDescent="0.25">
      <c r="C1827">
        <f>'IND TECH'!L1825</f>
        <v>0</v>
      </c>
      <c r="D1827" t="str">
        <f>'IND TECH'!A1825&amp;" "&amp;'IND TECH'!B1825&amp;" "&amp;'IND TECH'!C1825&amp;" "&amp;'IND TECH'!D1825&amp;" "&amp;'IND TECH'!E1825&amp;" "&amp;'IND TECH'!F1825&amp;" "&amp;'IND TECH'!G1825&amp;" "&amp;'IND TECH'!H1825</f>
        <v xml:space="preserve">       </v>
      </c>
      <c r="E1827" t="e">
        <f t="shared" si="8"/>
        <v>#REF!</v>
      </c>
      <c r="F1827" t="e">
        <f>'IND TECH'!#REF!</f>
        <v>#REF!</v>
      </c>
    </row>
    <row r="1828" spans="3:6" x14ac:dyDescent="0.25">
      <c r="C1828">
        <f>'IND TECH'!L1826</f>
        <v>0</v>
      </c>
      <c r="D1828" t="str">
        <f>'IND TECH'!A1826&amp;" "&amp;'IND TECH'!B1826&amp;" "&amp;'IND TECH'!C1826&amp;" "&amp;'IND TECH'!D1826&amp;" "&amp;'IND TECH'!E1826&amp;" "&amp;'IND TECH'!F1826&amp;" "&amp;'IND TECH'!G1826&amp;" "&amp;'IND TECH'!H1826</f>
        <v xml:space="preserve">       </v>
      </c>
      <c r="E1828" t="e">
        <f t="shared" si="8"/>
        <v>#REF!</v>
      </c>
      <c r="F1828" t="e">
        <f>'IND TECH'!#REF!</f>
        <v>#REF!</v>
      </c>
    </row>
    <row r="1829" spans="3:6" x14ac:dyDescent="0.25">
      <c r="C1829">
        <f>'IND TECH'!L1827</f>
        <v>0</v>
      </c>
      <c r="D1829" t="str">
        <f>'IND TECH'!A1827&amp;" "&amp;'IND TECH'!B1827&amp;" "&amp;'IND TECH'!C1827&amp;" "&amp;'IND TECH'!D1827&amp;" "&amp;'IND TECH'!E1827&amp;" "&amp;'IND TECH'!F1827&amp;" "&amp;'IND TECH'!G1827&amp;" "&amp;'IND TECH'!H1827</f>
        <v xml:space="preserve">       </v>
      </c>
      <c r="E1829" t="e">
        <f t="shared" si="8"/>
        <v>#REF!</v>
      </c>
      <c r="F1829" t="e">
        <f>'IND TECH'!#REF!</f>
        <v>#REF!</v>
      </c>
    </row>
    <row r="1830" spans="3:6" x14ac:dyDescent="0.25">
      <c r="C1830">
        <f>'IND TECH'!L1828</f>
        <v>0</v>
      </c>
      <c r="D1830" t="str">
        <f>'IND TECH'!A1828&amp;" "&amp;'IND TECH'!B1828&amp;" "&amp;'IND TECH'!C1828&amp;" "&amp;'IND TECH'!D1828&amp;" "&amp;'IND TECH'!E1828&amp;" "&amp;'IND TECH'!F1828&amp;" "&amp;'IND TECH'!G1828&amp;" "&amp;'IND TECH'!H1828</f>
        <v xml:space="preserve">       </v>
      </c>
      <c r="E1830" t="e">
        <f t="shared" si="8"/>
        <v>#REF!</v>
      </c>
      <c r="F1830" t="e">
        <f>'IND TECH'!#REF!</f>
        <v>#REF!</v>
      </c>
    </row>
    <row r="1831" spans="3:6" x14ac:dyDescent="0.25">
      <c r="C1831">
        <f>'IND TECH'!L1829</f>
        <v>0</v>
      </c>
      <c r="D1831" t="str">
        <f>'IND TECH'!A1829&amp;" "&amp;'IND TECH'!B1829&amp;" "&amp;'IND TECH'!C1829&amp;" "&amp;'IND TECH'!D1829&amp;" "&amp;'IND TECH'!E1829&amp;" "&amp;'IND TECH'!F1829&amp;" "&amp;'IND TECH'!G1829&amp;" "&amp;'IND TECH'!H1829</f>
        <v xml:space="preserve">       </v>
      </c>
      <c r="E1831" t="e">
        <f t="shared" si="8"/>
        <v>#REF!</v>
      </c>
      <c r="F1831" t="e">
        <f>'IND TECH'!#REF!</f>
        <v>#REF!</v>
      </c>
    </row>
    <row r="1832" spans="3:6" x14ac:dyDescent="0.25">
      <c r="C1832">
        <f>'IND TECH'!L1830</f>
        <v>0</v>
      </c>
      <c r="D1832" t="str">
        <f>'IND TECH'!A1830&amp;" "&amp;'IND TECH'!B1830&amp;" "&amp;'IND TECH'!C1830&amp;" "&amp;'IND TECH'!D1830&amp;" "&amp;'IND TECH'!E1830&amp;" "&amp;'IND TECH'!F1830&amp;" "&amp;'IND TECH'!G1830&amp;" "&amp;'IND TECH'!H1830</f>
        <v xml:space="preserve">       </v>
      </c>
      <c r="E1832" t="e">
        <f t="shared" si="8"/>
        <v>#REF!</v>
      </c>
      <c r="F1832" t="e">
        <f>'IND TECH'!#REF!</f>
        <v>#REF!</v>
      </c>
    </row>
    <row r="1833" spans="3:6" x14ac:dyDescent="0.25">
      <c r="C1833">
        <f>'IND TECH'!L1831</f>
        <v>0</v>
      </c>
      <c r="D1833" t="str">
        <f>'IND TECH'!A1831&amp;" "&amp;'IND TECH'!B1831&amp;" "&amp;'IND TECH'!C1831&amp;" "&amp;'IND TECH'!D1831&amp;" "&amp;'IND TECH'!E1831&amp;" "&amp;'IND TECH'!F1831&amp;" "&amp;'IND TECH'!G1831&amp;" "&amp;'IND TECH'!H1831</f>
        <v xml:space="preserve">       </v>
      </c>
      <c r="E1833" t="e">
        <f t="shared" si="8"/>
        <v>#REF!</v>
      </c>
      <c r="F1833" t="e">
        <f>'IND TECH'!#REF!</f>
        <v>#REF!</v>
      </c>
    </row>
    <row r="1834" spans="3:6" x14ac:dyDescent="0.25">
      <c r="C1834">
        <f>'IND TECH'!L1832</f>
        <v>0</v>
      </c>
      <c r="D1834" t="str">
        <f>'IND TECH'!A1832&amp;" "&amp;'IND TECH'!B1832&amp;" "&amp;'IND TECH'!C1832&amp;" "&amp;'IND TECH'!D1832&amp;" "&amp;'IND TECH'!E1832&amp;" "&amp;'IND TECH'!F1832&amp;" "&amp;'IND TECH'!G1832&amp;" "&amp;'IND TECH'!H1832</f>
        <v xml:space="preserve">       </v>
      </c>
      <c r="E1834" t="e">
        <f t="shared" si="8"/>
        <v>#REF!</v>
      </c>
      <c r="F1834" t="e">
        <f>'IND TECH'!#REF!</f>
        <v>#REF!</v>
      </c>
    </row>
    <row r="1835" spans="3:6" x14ac:dyDescent="0.25">
      <c r="C1835">
        <f>'IND TECH'!L1833</f>
        <v>0</v>
      </c>
      <c r="D1835" t="str">
        <f>'IND TECH'!A1833&amp;" "&amp;'IND TECH'!B1833&amp;" "&amp;'IND TECH'!C1833&amp;" "&amp;'IND TECH'!D1833&amp;" "&amp;'IND TECH'!E1833&amp;" "&amp;'IND TECH'!F1833&amp;" "&amp;'IND TECH'!G1833&amp;" "&amp;'IND TECH'!H1833</f>
        <v xml:space="preserve">       </v>
      </c>
      <c r="E1835" t="e">
        <f t="shared" si="8"/>
        <v>#REF!</v>
      </c>
      <c r="F1835" t="e">
        <f>'IND TECH'!#REF!</f>
        <v>#REF!</v>
      </c>
    </row>
    <row r="1836" spans="3:6" x14ac:dyDescent="0.25">
      <c r="C1836">
        <f>'IND TECH'!L1834</f>
        <v>0</v>
      </c>
      <c r="D1836" t="str">
        <f>'IND TECH'!A1834&amp;" "&amp;'IND TECH'!B1834&amp;" "&amp;'IND TECH'!C1834&amp;" "&amp;'IND TECH'!D1834&amp;" "&amp;'IND TECH'!E1834&amp;" "&amp;'IND TECH'!F1834&amp;" "&amp;'IND TECH'!G1834&amp;" "&amp;'IND TECH'!H1834</f>
        <v xml:space="preserve">       </v>
      </c>
      <c r="E1836" t="e">
        <f t="shared" si="8"/>
        <v>#REF!</v>
      </c>
      <c r="F1836" t="e">
        <f>'IND TECH'!#REF!</f>
        <v>#REF!</v>
      </c>
    </row>
    <row r="1837" spans="3:6" x14ac:dyDescent="0.25">
      <c r="C1837">
        <f>'IND TECH'!L1835</f>
        <v>0</v>
      </c>
      <c r="D1837" t="str">
        <f>'IND TECH'!A1835&amp;" "&amp;'IND TECH'!B1835&amp;" "&amp;'IND TECH'!C1835&amp;" "&amp;'IND TECH'!D1835&amp;" "&amp;'IND TECH'!E1835&amp;" "&amp;'IND TECH'!F1835&amp;" "&amp;'IND TECH'!G1835&amp;" "&amp;'IND TECH'!H1835</f>
        <v xml:space="preserve">       </v>
      </c>
      <c r="E1837" t="e">
        <f t="shared" si="8"/>
        <v>#REF!</v>
      </c>
      <c r="F1837" t="e">
        <f>'IND TECH'!#REF!</f>
        <v>#REF!</v>
      </c>
    </row>
    <row r="1838" spans="3:6" x14ac:dyDescent="0.25">
      <c r="C1838">
        <f>'IND TECH'!L1836</f>
        <v>0</v>
      </c>
      <c r="D1838" t="str">
        <f>'IND TECH'!A1836&amp;" "&amp;'IND TECH'!B1836&amp;" "&amp;'IND TECH'!C1836&amp;" "&amp;'IND TECH'!D1836&amp;" "&amp;'IND TECH'!E1836&amp;" "&amp;'IND TECH'!F1836&amp;" "&amp;'IND TECH'!G1836&amp;" "&amp;'IND TECH'!H1836</f>
        <v xml:space="preserve">       </v>
      </c>
      <c r="E1838" t="e">
        <f t="shared" si="8"/>
        <v>#REF!</v>
      </c>
      <c r="F1838" t="e">
        <f>'IND TECH'!#REF!</f>
        <v>#REF!</v>
      </c>
    </row>
    <row r="1839" spans="3:6" x14ac:dyDescent="0.25">
      <c r="C1839">
        <f>'IND TECH'!L1837</f>
        <v>0</v>
      </c>
      <c r="D1839" t="str">
        <f>'IND TECH'!A1837&amp;" "&amp;'IND TECH'!B1837&amp;" "&amp;'IND TECH'!C1837&amp;" "&amp;'IND TECH'!D1837&amp;" "&amp;'IND TECH'!E1837&amp;" "&amp;'IND TECH'!F1837&amp;" "&amp;'IND TECH'!G1837&amp;" "&amp;'IND TECH'!H1837</f>
        <v xml:space="preserve">       </v>
      </c>
      <c r="E1839" t="e">
        <f t="shared" si="8"/>
        <v>#REF!</v>
      </c>
      <c r="F1839" t="e">
        <f>'IND TECH'!#REF!</f>
        <v>#REF!</v>
      </c>
    </row>
    <row r="1840" spans="3:6" x14ac:dyDescent="0.25">
      <c r="C1840">
        <f>'IND TECH'!L1838</f>
        <v>0</v>
      </c>
      <c r="D1840" t="str">
        <f>'IND TECH'!A1838&amp;" "&amp;'IND TECH'!B1838&amp;" "&amp;'IND TECH'!C1838&amp;" "&amp;'IND TECH'!D1838&amp;" "&amp;'IND TECH'!E1838&amp;" "&amp;'IND TECH'!F1838&amp;" "&amp;'IND TECH'!G1838&amp;" "&amp;'IND TECH'!H1838</f>
        <v xml:space="preserve">       </v>
      </c>
      <c r="E1840" t="e">
        <f t="shared" si="8"/>
        <v>#REF!</v>
      </c>
      <c r="F1840" t="e">
        <f>'IND TECH'!#REF!</f>
        <v>#REF!</v>
      </c>
    </row>
    <row r="1841" spans="3:6" x14ac:dyDescent="0.25">
      <c r="C1841">
        <f>'IND TECH'!L1839</f>
        <v>0</v>
      </c>
      <c r="D1841" t="str">
        <f>'IND TECH'!A1839&amp;" "&amp;'IND TECH'!B1839&amp;" "&amp;'IND TECH'!C1839&amp;" "&amp;'IND TECH'!D1839&amp;" "&amp;'IND TECH'!E1839&amp;" "&amp;'IND TECH'!F1839&amp;" "&amp;'IND TECH'!G1839&amp;" "&amp;'IND TECH'!H1839</f>
        <v xml:space="preserve">       </v>
      </c>
      <c r="E1841" t="e">
        <f t="shared" si="8"/>
        <v>#REF!</v>
      </c>
      <c r="F1841" t="e">
        <f>'IND TECH'!#REF!</f>
        <v>#REF!</v>
      </c>
    </row>
    <row r="1842" spans="3:6" x14ac:dyDescent="0.25">
      <c r="C1842">
        <f>'IND TECH'!L1840</f>
        <v>0</v>
      </c>
      <c r="D1842" t="str">
        <f>'IND TECH'!A1840&amp;" "&amp;'IND TECH'!B1840&amp;" "&amp;'IND TECH'!C1840&amp;" "&amp;'IND TECH'!D1840&amp;" "&amp;'IND TECH'!E1840&amp;" "&amp;'IND TECH'!F1840&amp;" "&amp;'IND TECH'!G1840&amp;" "&amp;'IND TECH'!H1840</f>
        <v xml:space="preserve">       </v>
      </c>
      <c r="E1842" t="e">
        <f t="shared" si="8"/>
        <v>#REF!</v>
      </c>
      <c r="F1842" t="e">
        <f>'IND TECH'!#REF!</f>
        <v>#REF!</v>
      </c>
    </row>
    <row r="1843" spans="3:6" x14ac:dyDescent="0.25">
      <c r="C1843">
        <f>'IND TECH'!L1841</f>
        <v>0</v>
      </c>
      <c r="D1843" t="str">
        <f>'IND TECH'!A1841&amp;" "&amp;'IND TECH'!B1841&amp;" "&amp;'IND TECH'!C1841&amp;" "&amp;'IND TECH'!D1841&amp;" "&amp;'IND TECH'!E1841&amp;" "&amp;'IND TECH'!F1841&amp;" "&amp;'IND TECH'!G1841&amp;" "&amp;'IND TECH'!H1841</f>
        <v xml:space="preserve">       </v>
      </c>
      <c r="E1843" t="e">
        <f t="shared" si="8"/>
        <v>#REF!</v>
      </c>
      <c r="F1843" t="e">
        <f>'IND TECH'!#REF!</f>
        <v>#REF!</v>
      </c>
    </row>
    <row r="1844" spans="3:6" x14ac:dyDescent="0.25">
      <c r="C1844">
        <f>'IND TECH'!L1842</f>
        <v>0</v>
      </c>
      <c r="D1844" t="str">
        <f>'IND TECH'!A1842&amp;" "&amp;'IND TECH'!B1842&amp;" "&amp;'IND TECH'!C1842&amp;" "&amp;'IND TECH'!D1842&amp;" "&amp;'IND TECH'!E1842&amp;" "&amp;'IND TECH'!F1842&amp;" "&amp;'IND TECH'!G1842&amp;" "&amp;'IND TECH'!H1842</f>
        <v xml:space="preserve">       </v>
      </c>
      <c r="E1844" t="e">
        <f t="shared" si="8"/>
        <v>#REF!</v>
      </c>
      <c r="F1844" t="e">
        <f>'IND TECH'!#REF!</f>
        <v>#REF!</v>
      </c>
    </row>
    <row r="1845" spans="3:6" x14ac:dyDescent="0.25">
      <c r="C1845">
        <f>'IND TECH'!L1843</f>
        <v>0</v>
      </c>
      <c r="D1845" t="str">
        <f>'IND TECH'!A1843&amp;" "&amp;'IND TECH'!B1843&amp;" "&amp;'IND TECH'!C1843&amp;" "&amp;'IND TECH'!D1843&amp;" "&amp;'IND TECH'!E1843&amp;" "&amp;'IND TECH'!F1843&amp;" "&amp;'IND TECH'!G1843&amp;" "&amp;'IND TECH'!H1843</f>
        <v xml:space="preserve">       </v>
      </c>
      <c r="E1845" t="e">
        <f t="shared" si="8"/>
        <v>#REF!</v>
      </c>
      <c r="F1845" t="e">
        <f>'IND TECH'!#REF!</f>
        <v>#REF!</v>
      </c>
    </row>
    <row r="1846" spans="3:6" x14ac:dyDescent="0.25">
      <c r="C1846">
        <f>'IND TECH'!L1844</f>
        <v>0</v>
      </c>
      <c r="D1846" t="str">
        <f>'IND TECH'!A1844&amp;" "&amp;'IND TECH'!B1844&amp;" "&amp;'IND TECH'!C1844&amp;" "&amp;'IND TECH'!D1844&amp;" "&amp;'IND TECH'!E1844&amp;" "&amp;'IND TECH'!F1844&amp;" "&amp;'IND TECH'!G1844&amp;" "&amp;'IND TECH'!H1844</f>
        <v xml:space="preserve">       </v>
      </c>
      <c r="E1846" t="e">
        <f t="shared" si="8"/>
        <v>#REF!</v>
      </c>
      <c r="F1846" t="e">
        <f>'IND TECH'!#REF!</f>
        <v>#REF!</v>
      </c>
    </row>
    <row r="1847" spans="3:6" x14ac:dyDescent="0.25">
      <c r="C1847">
        <f>'IND TECH'!L1845</f>
        <v>0</v>
      </c>
      <c r="D1847" t="str">
        <f>'IND TECH'!A1845&amp;" "&amp;'IND TECH'!B1845&amp;" "&amp;'IND TECH'!C1845&amp;" "&amp;'IND TECH'!D1845&amp;" "&amp;'IND TECH'!E1845&amp;" "&amp;'IND TECH'!F1845&amp;" "&amp;'IND TECH'!G1845&amp;" "&amp;'IND TECH'!H1845</f>
        <v xml:space="preserve">       </v>
      </c>
      <c r="E1847" t="e">
        <f t="shared" si="8"/>
        <v>#REF!</v>
      </c>
      <c r="F1847" t="e">
        <f>'IND TECH'!#REF!</f>
        <v>#REF!</v>
      </c>
    </row>
    <row r="1848" spans="3:6" x14ac:dyDescent="0.25">
      <c r="C1848">
        <f>'IND TECH'!L1846</f>
        <v>0</v>
      </c>
      <c r="D1848" t="str">
        <f>'IND TECH'!A1846&amp;" "&amp;'IND TECH'!B1846&amp;" "&amp;'IND TECH'!C1846&amp;" "&amp;'IND TECH'!D1846&amp;" "&amp;'IND TECH'!E1846&amp;" "&amp;'IND TECH'!F1846&amp;" "&amp;'IND TECH'!G1846&amp;" "&amp;'IND TECH'!H1846</f>
        <v xml:space="preserve">       </v>
      </c>
      <c r="E1848" t="e">
        <f t="shared" si="8"/>
        <v>#REF!</v>
      </c>
      <c r="F1848" t="e">
        <f>'IND TECH'!#REF!</f>
        <v>#REF!</v>
      </c>
    </row>
    <row r="1849" spans="3:6" x14ac:dyDescent="0.25">
      <c r="C1849">
        <f>'IND TECH'!L1847</f>
        <v>0</v>
      </c>
      <c r="D1849" t="str">
        <f>'IND TECH'!A1847&amp;" "&amp;'IND TECH'!B1847&amp;" "&amp;'IND TECH'!C1847&amp;" "&amp;'IND TECH'!D1847&amp;" "&amp;'IND TECH'!E1847&amp;" "&amp;'IND TECH'!F1847&amp;" "&amp;'IND TECH'!G1847&amp;" "&amp;'IND TECH'!H1847</f>
        <v xml:space="preserve">       </v>
      </c>
      <c r="E1849" t="e">
        <f t="shared" si="8"/>
        <v>#REF!</v>
      </c>
      <c r="F1849" t="e">
        <f>'IND TECH'!#REF!</f>
        <v>#REF!</v>
      </c>
    </row>
    <row r="1850" spans="3:6" x14ac:dyDescent="0.25">
      <c r="C1850">
        <f>'IND TECH'!L1848</f>
        <v>0</v>
      </c>
      <c r="D1850" t="str">
        <f>'IND TECH'!A1848&amp;" "&amp;'IND TECH'!B1848&amp;" "&amp;'IND TECH'!C1848&amp;" "&amp;'IND TECH'!D1848&amp;" "&amp;'IND TECH'!E1848&amp;" "&amp;'IND TECH'!F1848&amp;" "&amp;'IND TECH'!G1848&amp;" "&amp;'IND TECH'!H1848</f>
        <v xml:space="preserve">       </v>
      </c>
      <c r="E1850" t="e">
        <f t="shared" si="8"/>
        <v>#REF!</v>
      </c>
      <c r="F1850" t="e">
        <f>'IND TECH'!#REF!</f>
        <v>#REF!</v>
      </c>
    </row>
    <row r="1851" spans="3:6" x14ac:dyDescent="0.25">
      <c r="C1851">
        <f>'IND TECH'!L1849</f>
        <v>0</v>
      </c>
      <c r="D1851" t="str">
        <f>'IND TECH'!A1849&amp;" "&amp;'IND TECH'!B1849&amp;" "&amp;'IND TECH'!C1849&amp;" "&amp;'IND TECH'!D1849&amp;" "&amp;'IND TECH'!E1849&amp;" "&amp;'IND TECH'!F1849&amp;" "&amp;'IND TECH'!G1849&amp;" "&amp;'IND TECH'!H1849</f>
        <v xml:space="preserve">       </v>
      </c>
      <c r="E1851" t="e">
        <f t="shared" si="8"/>
        <v>#REF!</v>
      </c>
      <c r="F1851" t="e">
        <f>'IND TECH'!#REF!</f>
        <v>#REF!</v>
      </c>
    </row>
    <row r="1852" spans="3:6" x14ac:dyDescent="0.25">
      <c r="C1852">
        <f>'IND TECH'!L1850</f>
        <v>0</v>
      </c>
      <c r="D1852" t="str">
        <f>'IND TECH'!A1850&amp;" "&amp;'IND TECH'!B1850&amp;" "&amp;'IND TECH'!C1850&amp;" "&amp;'IND TECH'!D1850&amp;" "&amp;'IND TECH'!E1850&amp;" "&amp;'IND TECH'!F1850&amp;" "&amp;'IND TECH'!G1850&amp;" "&amp;'IND TECH'!H1850</f>
        <v xml:space="preserve">       </v>
      </c>
      <c r="E1852" t="e">
        <f t="shared" si="8"/>
        <v>#REF!</v>
      </c>
      <c r="F1852" t="e">
        <f>'IND TECH'!#REF!</f>
        <v>#REF!</v>
      </c>
    </row>
    <row r="1853" spans="3:6" x14ac:dyDescent="0.25">
      <c r="C1853">
        <f>'IND TECH'!L1851</f>
        <v>0</v>
      </c>
      <c r="D1853" t="str">
        <f>'IND TECH'!A1851&amp;" "&amp;'IND TECH'!B1851&amp;" "&amp;'IND TECH'!C1851&amp;" "&amp;'IND TECH'!D1851&amp;" "&amp;'IND TECH'!E1851&amp;" "&amp;'IND TECH'!F1851&amp;" "&amp;'IND TECH'!G1851&amp;" "&amp;'IND TECH'!H1851</f>
        <v xml:space="preserve">       </v>
      </c>
      <c r="E1853" t="e">
        <f t="shared" si="8"/>
        <v>#REF!</v>
      </c>
      <c r="F1853" t="e">
        <f>'IND TECH'!#REF!</f>
        <v>#REF!</v>
      </c>
    </row>
    <row r="1854" spans="3:6" x14ac:dyDescent="0.25">
      <c r="C1854">
        <f>'IND TECH'!L1852</f>
        <v>0</v>
      </c>
      <c r="D1854" t="str">
        <f>'IND TECH'!A1852&amp;" "&amp;'IND TECH'!B1852&amp;" "&amp;'IND TECH'!C1852&amp;" "&amp;'IND TECH'!D1852&amp;" "&amp;'IND TECH'!E1852&amp;" "&amp;'IND TECH'!F1852&amp;" "&amp;'IND TECH'!G1852&amp;" "&amp;'IND TECH'!H1852</f>
        <v xml:space="preserve">       </v>
      </c>
      <c r="E1854" t="e">
        <f t="shared" si="8"/>
        <v>#REF!</v>
      </c>
      <c r="F1854" t="e">
        <f>'IND TECH'!#REF!</f>
        <v>#REF!</v>
      </c>
    </row>
    <row r="1855" spans="3:6" x14ac:dyDescent="0.25">
      <c r="C1855">
        <f>'IND TECH'!L1853</f>
        <v>0</v>
      </c>
      <c r="D1855" t="str">
        <f>'IND TECH'!A1853&amp;" "&amp;'IND TECH'!B1853&amp;" "&amp;'IND TECH'!C1853&amp;" "&amp;'IND TECH'!D1853&amp;" "&amp;'IND TECH'!E1853&amp;" "&amp;'IND TECH'!F1853&amp;" "&amp;'IND TECH'!G1853&amp;" "&amp;'IND TECH'!H1853</f>
        <v xml:space="preserve">       </v>
      </c>
      <c r="E1855" t="e">
        <f t="shared" si="8"/>
        <v>#REF!</v>
      </c>
      <c r="F1855" t="e">
        <f>'IND TECH'!#REF!</f>
        <v>#REF!</v>
      </c>
    </row>
    <row r="1856" spans="3:6" x14ac:dyDescent="0.25">
      <c r="C1856">
        <f>'IND TECH'!L1854</f>
        <v>0</v>
      </c>
      <c r="D1856" t="str">
        <f>'IND TECH'!A1854&amp;" "&amp;'IND TECH'!B1854&amp;" "&amp;'IND TECH'!C1854&amp;" "&amp;'IND TECH'!D1854&amp;" "&amp;'IND TECH'!E1854&amp;" "&amp;'IND TECH'!F1854&amp;" "&amp;'IND TECH'!G1854&amp;" "&amp;'IND TECH'!H1854</f>
        <v xml:space="preserve">       </v>
      </c>
      <c r="E1856" t="e">
        <f t="shared" si="8"/>
        <v>#REF!</v>
      </c>
      <c r="F1856" t="e">
        <f>'IND TECH'!#REF!</f>
        <v>#REF!</v>
      </c>
    </row>
    <row r="1857" spans="3:6" x14ac:dyDescent="0.25">
      <c r="C1857">
        <f>'IND TECH'!L1855</f>
        <v>0</v>
      </c>
      <c r="D1857" t="str">
        <f>'IND TECH'!A1855&amp;" "&amp;'IND TECH'!B1855&amp;" "&amp;'IND TECH'!C1855&amp;" "&amp;'IND TECH'!D1855&amp;" "&amp;'IND TECH'!E1855&amp;" "&amp;'IND TECH'!F1855&amp;" "&amp;'IND TECH'!G1855&amp;" "&amp;'IND TECH'!H1855</f>
        <v xml:space="preserve">       </v>
      </c>
      <c r="E1857" t="e">
        <f t="shared" si="8"/>
        <v>#REF!</v>
      </c>
      <c r="F1857" t="e">
        <f>'IND TECH'!#REF!</f>
        <v>#REF!</v>
      </c>
    </row>
    <row r="1858" spans="3:6" x14ac:dyDescent="0.25">
      <c r="C1858">
        <f>'IND TECH'!L1856</f>
        <v>0</v>
      </c>
      <c r="D1858" t="str">
        <f>'IND TECH'!A1856&amp;" "&amp;'IND TECH'!B1856&amp;" "&amp;'IND TECH'!C1856&amp;" "&amp;'IND TECH'!D1856&amp;" "&amp;'IND TECH'!E1856&amp;" "&amp;'IND TECH'!F1856&amp;" "&amp;'IND TECH'!G1856&amp;" "&amp;'IND TECH'!H1856</f>
        <v xml:space="preserve">       </v>
      </c>
      <c r="E1858" t="e">
        <f t="shared" si="8"/>
        <v>#REF!</v>
      </c>
      <c r="F1858" t="e">
        <f>'IND TECH'!#REF!</f>
        <v>#REF!</v>
      </c>
    </row>
    <row r="1859" spans="3:6" x14ac:dyDescent="0.25">
      <c r="C1859">
        <f>'IND TECH'!L1857</f>
        <v>0</v>
      </c>
      <c r="D1859" t="str">
        <f>'IND TECH'!A1857&amp;" "&amp;'IND TECH'!B1857&amp;" "&amp;'IND TECH'!C1857&amp;" "&amp;'IND TECH'!D1857&amp;" "&amp;'IND TECH'!E1857&amp;" "&amp;'IND TECH'!F1857&amp;" "&amp;'IND TECH'!G1857&amp;" "&amp;'IND TECH'!H1857</f>
        <v xml:space="preserve">       </v>
      </c>
      <c r="E1859" t="e">
        <f t="shared" si="8"/>
        <v>#REF!</v>
      </c>
      <c r="F1859" t="e">
        <f>'IND TECH'!#REF!</f>
        <v>#REF!</v>
      </c>
    </row>
    <row r="1860" spans="3:6" x14ac:dyDescent="0.25">
      <c r="C1860">
        <f>'IND TECH'!L1858</f>
        <v>0</v>
      </c>
      <c r="D1860" t="str">
        <f>'IND TECH'!A1858&amp;" "&amp;'IND TECH'!B1858&amp;" "&amp;'IND TECH'!C1858&amp;" "&amp;'IND TECH'!D1858&amp;" "&amp;'IND TECH'!E1858&amp;" "&amp;'IND TECH'!F1858&amp;" "&amp;'IND TECH'!G1858&amp;" "&amp;'IND TECH'!H1858</f>
        <v xml:space="preserve">       </v>
      </c>
      <c r="E1860" t="e">
        <f t="shared" si="8"/>
        <v>#REF!</v>
      </c>
      <c r="F1860" t="e">
        <f>'IND TECH'!#REF!</f>
        <v>#REF!</v>
      </c>
    </row>
    <row r="1861" spans="3:6" x14ac:dyDescent="0.25">
      <c r="C1861">
        <f>'IND TECH'!L1859</f>
        <v>0</v>
      </c>
      <c r="D1861" t="str">
        <f>'IND TECH'!A1859&amp;" "&amp;'IND TECH'!B1859&amp;" "&amp;'IND TECH'!C1859&amp;" "&amp;'IND TECH'!D1859&amp;" "&amp;'IND TECH'!E1859&amp;" "&amp;'IND TECH'!F1859&amp;" "&amp;'IND TECH'!G1859&amp;" "&amp;'IND TECH'!H1859</f>
        <v xml:space="preserve">       </v>
      </c>
      <c r="E1861" t="e">
        <f t="shared" si="8"/>
        <v>#REF!</v>
      </c>
      <c r="F1861" t="e">
        <f>'IND TECH'!#REF!</f>
        <v>#REF!</v>
      </c>
    </row>
    <row r="1862" spans="3:6" x14ac:dyDescent="0.25">
      <c r="C1862">
        <f>'IND TECH'!L1860</f>
        <v>0</v>
      </c>
      <c r="D1862" t="str">
        <f>'IND TECH'!A1860&amp;" "&amp;'IND TECH'!B1860&amp;" "&amp;'IND TECH'!C1860&amp;" "&amp;'IND TECH'!D1860&amp;" "&amp;'IND TECH'!E1860&amp;" "&amp;'IND TECH'!F1860&amp;" "&amp;'IND TECH'!G1860&amp;" "&amp;'IND TECH'!H1860</f>
        <v xml:space="preserve">       </v>
      </c>
      <c r="E1862" t="e">
        <f t="shared" si="8"/>
        <v>#REF!</v>
      </c>
      <c r="F1862" t="e">
        <f>'IND TECH'!#REF!</f>
        <v>#REF!</v>
      </c>
    </row>
    <row r="1863" spans="3:6" x14ac:dyDescent="0.25">
      <c r="C1863">
        <f>'IND TECH'!L1861</f>
        <v>0</v>
      </c>
      <c r="D1863" t="str">
        <f>'IND TECH'!A1861&amp;" "&amp;'IND TECH'!B1861&amp;" "&amp;'IND TECH'!C1861&amp;" "&amp;'IND TECH'!D1861&amp;" "&amp;'IND TECH'!E1861&amp;" "&amp;'IND TECH'!F1861&amp;" "&amp;'IND TECH'!G1861&amp;" "&amp;'IND TECH'!H1861</f>
        <v xml:space="preserve">       </v>
      </c>
      <c r="E1863" t="e">
        <f t="shared" si="8"/>
        <v>#REF!</v>
      </c>
      <c r="F1863" t="e">
        <f>'IND TECH'!#REF!</f>
        <v>#REF!</v>
      </c>
    </row>
    <row r="1864" spans="3:6" x14ac:dyDescent="0.25">
      <c r="C1864">
        <f>'IND TECH'!L1862</f>
        <v>0</v>
      </c>
      <c r="D1864" t="str">
        <f>'IND TECH'!A1862&amp;" "&amp;'IND TECH'!B1862&amp;" "&amp;'IND TECH'!C1862&amp;" "&amp;'IND TECH'!D1862&amp;" "&amp;'IND TECH'!E1862&amp;" "&amp;'IND TECH'!F1862&amp;" "&amp;'IND TECH'!G1862&amp;" "&amp;'IND TECH'!H1862</f>
        <v xml:space="preserve">       </v>
      </c>
      <c r="E1864" t="e">
        <f t="shared" si="8"/>
        <v>#REF!</v>
      </c>
      <c r="F1864" t="e">
        <f>'IND TECH'!#REF!</f>
        <v>#REF!</v>
      </c>
    </row>
    <row r="1865" spans="3:6" x14ac:dyDescent="0.25">
      <c r="C1865">
        <f>'IND TECH'!L1863</f>
        <v>0</v>
      </c>
      <c r="D1865" t="str">
        <f>'IND TECH'!A1863&amp;" "&amp;'IND TECH'!B1863&amp;" "&amp;'IND TECH'!C1863&amp;" "&amp;'IND TECH'!D1863&amp;" "&amp;'IND TECH'!E1863&amp;" "&amp;'IND TECH'!F1863&amp;" "&amp;'IND TECH'!G1863&amp;" "&amp;'IND TECH'!H1863</f>
        <v xml:space="preserve">       </v>
      </c>
      <c r="E1865" t="e">
        <f t="shared" si="8"/>
        <v>#REF!</v>
      </c>
      <c r="F1865" t="e">
        <f>'IND TECH'!#REF!</f>
        <v>#REF!</v>
      </c>
    </row>
    <row r="1866" spans="3:6" x14ac:dyDescent="0.25">
      <c r="C1866">
        <f>'IND TECH'!L1864</f>
        <v>0</v>
      </c>
      <c r="D1866" t="str">
        <f>'IND TECH'!A1864&amp;" "&amp;'IND TECH'!B1864&amp;" "&amp;'IND TECH'!C1864&amp;" "&amp;'IND TECH'!D1864&amp;" "&amp;'IND TECH'!E1864&amp;" "&amp;'IND TECH'!F1864&amp;" "&amp;'IND TECH'!G1864&amp;" "&amp;'IND TECH'!H1864</f>
        <v xml:space="preserve">       </v>
      </c>
      <c r="E1866" t="e">
        <f t="shared" si="8"/>
        <v>#REF!</v>
      </c>
      <c r="F1866" t="e">
        <f>'IND TECH'!#REF!</f>
        <v>#REF!</v>
      </c>
    </row>
    <row r="1867" spans="3:6" x14ac:dyDescent="0.25">
      <c r="C1867">
        <f>'IND TECH'!L1865</f>
        <v>0</v>
      </c>
      <c r="D1867" t="str">
        <f>'IND TECH'!A1865&amp;" "&amp;'IND TECH'!B1865&amp;" "&amp;'IND TECH'!C1865&amp;" "&amp;'IND TECH'!D1865&amp;" "&amp;'IND TECH'!E1865&amp;" "&amp;'IND TECH'!F1865&amp;" "&amp;'IND TECH'!G1865&amp;" "&amp;'IND TECH'!H1865</f>
        <v xml:space="preserve">       </v>
      </c>
      <c r="E1867" t="e">
        <f t="shared" si="8"/>
        <v>#REF!</v>
      </c>
      <c r="F1867" t="e">
        <f>'IND TECH'!#REF!</f>
        <v>#REF!</v>
      </c>
    </row>
    <row r="1868" spans="3:6" x14ac:dyDescent="0.25">
      <c r="C1868">
        <f>'IND TECH'!L1866</f>
        <v>0</v>
      </c>
      <c r="D1868" t="str">
        <f>'IND TECH'!A1866&amp;" "&amp;'IND TECH'!B1866&amp;" "&amp;'IND TECH'!C1866&amp;" "&amp;'IND TECH'!D1866&amp;" "&amp;'IND TECH'!E1866&amp;" "&amp;'IND TECH'!F1866&amp;" "&amp;'IND TECH'!G1866&amp;" "&amp;'IND TECH'!H1866</f>
        <v xml:space="preserve">       </v>
      </c>
      <c r="E1868" t="e">
        <f t="shared" si="8"/>
        <v>#REF!</v>
      </c>
      <c r="F1868" t="e">
        <f>'IND TECH'!#REF!</f>
        <v>#REF!</v>
      </c>
    </row>
    <row r="1869" spans="3:6" x14ac:dyDescent="0.25">
      <c r="C1869">
        <f>'IND TECH'!L1867</f>
        <v>0</v>
      </c>
      <c r="D1869" t="str">
        <f>'IND TECH'!A1867&amp;" "&amp;'IND TECH'!B1867&amp;" "&amp;'IND TECH'!C1867&amp;" "&amp;'IND TECH'!D1867&amp;" "&amp;'IND TECH'!E1867&amp;" "&amp;'IND TECH'!F1867&amp;" "&amp;'IND TECH'!G1867&amp;" "&amp;'IND TECH'!H1867</f>
        <v xml:space="preserve">       </v>
      </c>
      <c r="E1869" t="e">
        <f t="shared" si="8"/>
        <v>#REF!</v>
      </c>
      <c r="F1869" t="e">
        <f>'IND TECH'!#REF!</f>
        <v>#REF!</v>
      </c>
    </row>
    <row r="1870" spans="3:6" x14ac:dyDescent="0.25">
      <c r="C1870">
        <f>'IND TECH'!L1868</f>
        <v>0</v>
      </c>
      <c r="D1870" t="str">
        <f>'IND TECH'!A1868&amp;" "&amp;'IND TECH'!B1868&amp;" "&amp;'IND TECH'!C1868&amp;" "&amp;'IND TECH'!D1868&amp;" "&amp;'IND TECH'!E1868&amp;" "&amp;'IND TECH'!F1868&amp;" "&amp;'IND TECH'!G1868&amp;" "&amp;'IND TECH'!H1868</f>
        <v xml:space="preserve">       </v>
      </c>
      <c r="E1870" t="e">
        <f t="shared" si="8"/>
        <v>#REF!</v>
      </c>
      <c r="F1870" t="e">
        <f>'IND TECH'!#REF!</f>
        <v>#REF!</v>
      </c>
    </row>
    <row r="1871" spans="3:6" x14ac:dyDescent="0.25">
      <c r="C1871">
        <f>'IND TECH'!L1869</f>
        <v>0</v>
      </c>
      <c r="D1871" t="str">
        <f>'IND TECH'!A1869&amp;" "&amp;'IND TECH'!B1869&amp;" "&amp;'IND TECH'!C1869&amp;" "&amp;'IND TECH'!D1869&amp;" "&amp;'IND TECH'!E1869&amp;" "&amp;'IND TECH'!F1869&amp;" "&amp;'IND TECH'!G1869&amp;" "&amp;'IND TECH'!H1869</f>
        <v xml:space="preserve">       </v>
      </c>
      <c r="E1871" t="e">
        <f t="shared" si="8"/>
        <v>#REF!</v>
      </c>
      <c r="F1871" t="e">
        <f>'IND TECH'!#REF!</f>
        <v>#REF!</v>
      </c>
    </row>
    <row r="1872" spans="3:6" x14ac:dyDescent="0.25">
      <c r="C1872">
        <f>'IND TECH'!L1870</f>
        <v>0</v>
      </c>
      <c r="D1872" t="str">
        <f>'IND TECH'!A1870&amp;" "&amp;'IND TECH'!B1870&amp;" "&amp;'IND TECH'!C1870&amp;" "&amp;'IND TECH'!D1870&amp;" "&amp;'IND TECH'!E1870&amp;" "&amp;'IND TECH'!F1870&amp;" "&amp;'IND TECH'!G1870&amp;" "&amp;'IND TECH'!H1870</f>
        <v xml:space="preserve">       </v>
      </c>
      <c r="E1872" t="e">
        <f t="shared" si="8"/>
        <v>#REF!</v>
      </c>
      <c r="F1872" t="e">
        <f>'IND TECH'!#REF!</f>
        <v>#REF!</v>
      </c>
    </row>
    <row r="1873" spans="3:6" x14ac:dyDescent="0.25">
      <c r="C1873">
        <f>'IND TECH'!L1871</f>
        <v>0</v>
      </c>
      <c r="D1873" t="str">
        <f>'IND TECH'!A1871&amp;" "&amp;'IND TECH'!B1871&amp;" "&amp;'IND TECH'!C1871&amp;" "&amp;'IND TECH'!D1871&amp;" "&amp;'IND TECH'!E1871&amp;" "&amp;'IND TECH'!F1871&amp;" "&amp;'IND TECH'!G1871&amp;" "&amp;'IND TECH'!H1871</f>
        <v xml:space="preserve">       </v>
      </c>
      <c r="E1873" t="e">
        <f t="shared" si="8"/>
        <v>#REF!</v>
      </c>
      <c r="F1873" t="e">
        <f>'IND TECH'!#REF!</f>
        <v>#REF!</v>
      </c>
    </row>
    <row r="1874" spans="3:6" x14ac:dyDescent="0.25">
      <c r="C1874">
        <f>'IND TECH'!L1872</f>
        <v>0</v>
      </c>
      <c r="D1874" t="str">
        <f>'IND TECH'!A1872&amp;" "&amp;'IND TECH'!B1872&amp;" "&amp;'IND TECH'!C1872&amp;" "&amp;'IND TECH'!D1872&amp;" "&amp;'IND TECH'!E1872&amp;" "&amp;'IND TECH'!F1872&amp;" "&amp;'IND TECH'!G1872&amp;" "&amp;'IND TECH'!H1872</f>
        <v xml:space="preserve">       </v>
      </c>
      <c r="E1874" t="e">
        <f t="shared" si="8"/>
        <v>#REF!</v>
      </c>
      <c r="F1874" t="e">
        <f>'IND TECH'!#REF!</f>
        <v>#REF!</v>
      </c>
    </row>
    <row r="1875" spans="3:6" x14ac:dyDescent="0.25">
      <c r="C1875">
        <f>'IND TECH'!L1873</f>
        <v>0</v>
      </c>
      <c r="D1875" t="str">
        <f>'IND TECH'!A1873&amp;" "&amp;'IND TECH'!B1873&amp;" "&amp;'IND TECH'!C1873&amp;" "&amp;'IND TECH'!D1873&amp;" "&amp;'IND TECH'!E1873&amp;" "&amp;'IND TECH'!F1873&amp;" "&amp;'IND TECH'!G1873&amp;" "&amp;'IND TECH'!H1873</f>
        <v xml:space="preserve">       </v>
      </c>
      <c r="E1875" t="e">
        <f t="shared" ref="E1875:E1938" si="9">IF(F1875="Mlma","Mlm","TJ")</f>
        <v>#REF!</v>
      </c>
      <c r="F1875" t="e">
        <f>'IND TECH'!#REF!</f>
        <v>#REF!</v>
      </c>
    </row>
    <row r="1876" spans="3:6" x14ac:dyDescent="0.25">
      <c r="C1876">
        <f>'IND TECH'!L1874</f>
        <v>0</v>
      </c>
      <c r="D1876" t="str">
        <f>'IND TECH'!A1874&amp;" "&amp;'IND TECH'!B1874&amp;" "&amp;'IND TECH'!C1874&amp;" "&amp;'IND TECH'!D1874&amp;" "&amp;'IND TECH'!E1874&amp;" "&amp;'IND TECH'!F1874&amp;" "&amp;'IND TECH'!G1874&amp;" "&amp;'IND TECH'!H1874</f>
        <v xml:space="preserve">       </v>
      </c>
      <c r="E1876" t="e">
        <f t="shared" si="9"/>
        <v>#REF!</v>
      </c>
      <c r="F1876" t="e">
        <f>'IND TECH'!#REF!</f>
        <v>#REF!</v>
      </c>
    </row>
    <row r="1877" spans="3:6" x14ac:dyDescent="0.25">
      <c r="C1877">
        <f>'IND TECH'!L1875</f>
        <v>0</v>
      </c>
      <c r="D1877" t="str">
        <f>'IND TECH'!A1875&amp;" "&amp;'IND TECH'!B1875&amp;" "&amp;'IND TECH'!C1875&amp;" "&amp;'IND TECH'!D1875&amp;" "&amp;'IND TECH'!E1875&amp;" "&amp;'IND TECH'!F1875&amp;" "&amp;'IND TECH'!G1875&amp;" "&amp;'IND TECH'!H1875</f>
        <v xml:space="preserve">       </v>
      </c>
      <c r="E1877" t="e">
        <f t="shared" si="9"/>
        <v>#REF!</v>
      </c>
      <c r="F1877" t="e">
        <f>'IND TECH'!#REF!</f>
        <v>#REF!</v>
      </c>
    </row>
    <row r="1878" spans="3:6" x14ac:dyDescent="0.25">
      <c r="C1878">
        <f>'IND TECH'!L1876</f>
        <v>0</v>
      </c>
      <c r="D1878" t="str">
        <f>'IND TECH'!A1876&amp;" "&amp;'IND TECH'!B1876&amp;" "&amp;'IND TECH'!C1876&amp;" "&amp;'IND TECH'!D1876&amp;" "&amp;'IND TECH'!E1876&amp;" "&amp;'IND TECH'!F1876&amp;" "&amp;'IND TECH'!G1876&amp;" "&amp;'IND TECH'!H1876</f>
        <v xml:space="preserve">       </v>
      </c>
      <c r="E1878" t="e">
        <f t="shared" si="9"/>
        <v>#REF!</v>
      </c>
      <c r="F1878" t="e">
        <f>'IND TECH'!#REF!</f>
        <v>#REF!</v>
      </c>
    </row>
    <row r="1879" spans="3:6" x14ac:dyDescent="0.25">
      <c r="C1879">
        <f>'IND TECH'!L1877</f>
        <v>0</v>
      </c>
      <c r="D1879" t="str">
        <f>'IND TECH'!A1877&amp;" "&amp;'IND TECH'!B1877&amp;" "&amp;'IND TECH'!C1877&amp;" "&amp;'IND TECH'!D1877&amp;" "&amp;'IND TECH'!E1877&amp;" "&amp;'IND TECH'!F1877&amp;" "&amp;'IND TECH'!G1877&amp;" "&amp;'IND TECH'!H1877</f>
        <v xml:space="preserve">       </v>
      </c>
      <c r="E1879" t="e">
        <f t="shared" si="9"/>
        <v>#REF!</v>
      </c>
      <c r="F1879" t="e">
        <f>'IND TECH'!#REF!</f>
        <v>#REF!</v>
      </c>
    </row>
    <row r="1880" spans="3:6" x14ac:dyDescent="0.25">
      <c r="C1880">
        <f>'IND TECH'!L1878</f>
        <v>0</v>
      </c>
      <c r="D1880" t="str">
        <f>'IND TECH'!A1878&amp;" "&amp;'IND TECH'!B1878&amp;" "&amp;'IND TECH'!C1878&amp;" "&amp;'IND TECH'!D1878&amp;" "&amp;'IND TECH'!E1878&amp;" "&amp;'IND TECH'!F1878&amp;" "&amp;'IND TECH'!G1878&amp;" "&amp;'IND TECH'!H1878</f>
        <v xml:space="preserve">       </v>
      </c>
      <c r="E1880" t="e">
        <f t="shared" si="9"/>
        <v>#REF!</v>
      </c>
      <c r="F1880" t="e">
        <f>'IND TECH'!#REF!</f>
        <v>#REF!</v>
      </c>
    </row>
    <row r="1881" spans="3:6" x14ac:dyDescent="0.25">
      <c r="C1881">
        <f>'IND TECH'!L1879</f>
        <v>0</v>
      </c>
      <c r="D1881" t="str">
        <f>'IND TECH'!A1879&amp;" "&amp;'IND TECH'!B1879&amp;" "&amp;'IND TECH'!C1879&amp;" "&amp;'IND TECH'!D1879&amp;" "&amp;'IND TECH'!E1879&amp;" "&amp;'IND TECH'!F1879&amp;" "&amp;'IND TECH'!G1879&amp;" "&amp;'IND TECH'!H1879</f>
        <v xml:space="preserve">       </v>
      </c>
      <c r="E1881" t="e">
        <f t="shared" si="9"/>
        <v>#REF!</v>
      </c>
      <c r="F1881" t="e">
        <f>'IND TECH'!#REF!</f>
        <v>#REF!</v>
      </c>
    </row>
    <row r="1882" spans="3:6" x14ac:dyDescent="0.25">
      <c r="C1882">
        <f>'IND TECH'!L1880</f>
        <v>0</v>
      </c>
      <c r="D1882" t="str">
        <f>'IND TECH'!A1880&amp;" "&amp;'IND TECH'!B1880&amp;" "&amp;'IND TECH'!C1880&amp;" "&amp;'IND TECH'!D1880&amp;" "&amp;'IND TECH'!E1880&amp;" "&amp;'IND TECH'!F1880&amp;" "&amp;'IND TECH'!G1880&amp;" "&amp;'IND TECH'!H1880</f>
        <v xml:space="preserve">       </v>
      </c>
      <c r="E1882" t="e">
        <f t="shared" si="9"/>
        <v>#REF!</v>
      </c>
      <c r="F1882" t="e">
        <f>'IND TECH'!#REF!</f>
        <v>#REF!</v>
      </c>
    </row>
    <row r="1883" spans="3:6" x14ac:dyDescent="0.25">
      <c r="C1883">
        <f>'IND TECH'!L1881</f>
        <v>0</v>
      </c>
      <c r="D1883" t="str">
        <f>'IND TECH'!A1881&amp;" "&amp;'IND TECH'!B1881&amp;" "&amp;'IND TECH'!C1881&amp;" "&amp;'IND TECH'!D1881&amp;" "&amp;'IND TECH'!E1881&amp;" "&amp;'IND TECH'!F1881&amp;" "&amp;'IND TECH'!G1881&amp;" "&amp;'IND TECH'!H1881</f>
        <v xml:space="preserve">       </v>
      </c>
      <c r="E1883" t="e">
        <f t="shared" si="9"/>
        <v>#REF!</v>
      </c>
      <c r="F1883" t="e">
        <f>'IND TECH'!#REF!</f>
        <v>#REF!</v>
      </c>
    </row>
    <row r="1884" spans="3:6" x14ac:dyDescent="0.25">
      <c r="C1884">
        <f>'IND TECH'!L1882</f>
        <v>0</v>
      </c>
      <c r="D1884" t="str">
        <f>'IND TECH'!A1882&amp;" "&amp;'IND TECH'!B1882&amp;" "&amp;'IND TECH'!C1882&amp;" "&amp;'IND TECH'!D1882&amp;" "&amp;'IND TECH'!E1882&amp;" "&amp;'IND TECH'!F1882&amp;" "&amp;'IND TECH'!G1882&amp;" "&amp;'IND TECH'!H1882</f>
        <v xml:space="preserve">       </v>
      </c>
      <c r="E1884" t="e">
        <f t="shared" si="9"/>
        <v>#REF!</v>
      </c>
      <c r="F1884" t="e">
        <f>'IND TECH'!#REF!</f>
        <v>#REF!</v>
      </c>
    </row>
    <row r="1885" spans="3:6" x14ac:dyDescent="0.25">
      <c r="C1885">
        <f>'IND TECH'!L1883</f>
        <v>0</v>
      </c>
      <c r="D1885" t="str">
        <f>'IND TECH'!A1883&amp;" "&amp;'IND TECH'!B1883&amp;" "&amp;'IND TECH'!C1883&amp;" "&amp;'IND TECH'!D1883&amp;" "&amp;'IND TECH'!E1883&amp;" "&amp;'IND TECH'!F1883&amp;" "&amp;'IND TECH'!G1883&amp;" "&amp;'IND TECH'!H1883</f>
        <v xml:space="preserve">       </v>
      </c>
      <c r="E1885" t="e">
        <f t="shared" si="9"/>
        <v>#REF!</v>
      </c>
      <c r="F1885" t="e">
        <f>'IND TECH'!#REF!</f>
        <v>#REF!</v>
      </c>
    </row>
    <row r="1886" spans="3:6" x14ac:dyDescent="0.25">
      <c r="C1886">
        <f>'IND TECH'!L1884</f>
        <v>0</v>
      </c>
      <c r="D1886" t="str">
        <f>'IND TECH'!A1884&amp;" "&amp;'IND TECH'!B1884&amp;" "&amp;'IND TECH'!C1884&amp;" "&amp;'IND TECH'!D1884&amp;" "&amp;'IND TECH'!E1884&amp;" "&amp;'IND TECH'!F1884&amp;" "&amp;'IND TECH'!G1884&amp;" "&amp;'IND TECH'!H1884</f>
        <v xml:space="preserve">       </v>
      </c>
      <c r="E1886" t="e">
        <f t="shared" si="9"/>
        <v>#REF!</v>
      </c>
      <c r="F1886" t="e">
        <f>'IND TECH'!#REF!</f>
        <v>#REF!</v>
      </c>
    </row>
    <row r="1887" spans="3:6" x14ac:dyDescent="0.25">
      <c r="C1887">
        <f>'IND TECH'!L1885</f>
        <v>0</v>
      </c>
      <c r="D1887" t="str">
        <f>'IND TECH'!A1885&amp;" "&amp;'IND TECH'!B1885&amp;" "&amp;'IND TECH'!C1885&amp;" "&amp;'IND TECH'!D1885&amp;" "&amp;'IND TECH'!E1885&amp;" "&amp;'IND TECH'!F1885&amp;" "&amp;'IND TECH'!G1885&amp;" "&amp;'IND TECH'!H1885</f>
        <v xml:space="preserve">       </v>
      </c>
      <c r="E1887" t="e">
        <f t="shared" si="9"/>
        <v>#REF!</v>
      </c>
      <c r="F1887" t="e">
        <f>'IND TECH'!#REF!</f>
        <v>#REF!</v>
      </c>
    </row>
    <row r="1888" spans="3:6" x14ac:dyDescent="0.25">
      <c r="C1888">
        <f>'IND TECH'!L1886</f>
        <v>0</v>
      </c>
      <c r="D1888" t="str">
        <f>'IND TECH'!A1886&amp;" "&amp;'IND TECH'!B1886&amp;" "&amp;'IND TECH'!C1886&amp;" "&amp;'IND TECH'!D1886&amp;" "&amp;'IND TECH'!E1886&amp;" "&amp;'IND TECH'!F1886&amp;" "&amp;'IND TECH'!G1886&amp;" "&amp;'IND TECH'!H1886</f>
        <v xml:space="preserve">       </v>
      </c>
      <c r="E1888" t="e">
        <f t="shared" si="9"/>
        <v>#REF!</v>
      </c>
      <c r="F1888" t="e">
        <f>'IND TECH'!#REF!</f>
        <v>#REF!</v>
      </c>
    </row>
    <row r="1889" spans="3:6" x14ac:dyDescent="0.25">
      <c r="C1889">
        <f>'IND TECH'!L1887</f>
        <v>0</v>
      </c>
      <c r="D1889" t="str">
        <f>'IND TECH'!A1887&amp;" "&amp;'IND TECH'!B1887&amp;" "&amp;'IND TECH'!C1887&amp;" "&amp;'IND TECH'!D1887&amp;" "&amp;'IND TECH'!E1887&amp;" "&amp;'IND TECH'!F1887&amp;" "&amp;'IND TECH'!G1887&amp;" "&amp;'IND TECH'!H1887</f>
        <v xml:space="preserve">       </v>
      </c>
      <c r="E1889" t="e">
        <f t="shared" si="9"/>
        <v>#REF!</v>
      </c>
      <c r="F1889" t="e">
        <f>'IND TECH'!#REF!</f>
        <v>#REF!</v>
      </c>
    </row>
    <row r="1890" spans="3:6" x14ac:dyDescent="0.25">
      <c r="C1890">
        <f>'IND TECH'!L1888</f>
        <v>0</v>
      </c>
      <c r="D1890" t="str">
        <f>'IND TECH'!A1888&amp;" "&amp;'IND TECH'!B1888&amp;" "&amp;'IND TECH'!C1888&amp;" "&amp;'IND TECH'!D1888&amp;" "&amp;'IND TECH'!E1888&amp;" "&amp;'IND TECH'!F1888&amp;" "&amp;'IND TECH'!G1888&amp;" "&amp;'IND TECH'!H1888</f>
        <v xml:space="preserve">       </v>
      </c>
      <c r="E1890" t="e">
        <f t="shared" si="9"/>
        <v>#REF!</v>
      </c>
      <c r="F1890" t="e">
        <f>'IND TECH'!#REF!</f>
        <v>#REF!</v>
      </c>
    </row>
    <row r="1891" spans="3:6" x14ac:dyDescent="0.25">
      <c r="C1891">
        <f>'IND TECH'!L1889</f>
        <v>0</v>
      </c>
      <c r="D1891" t="str">
        <f>'IND TECH'!A1889&amp;" "&amp;'IND TECH'!B1889&amp;" "&amp;'IND TECH'!C1889&amp;" "&amp;'IND TECH'!D1889&amp;" "&amp;'IND TECH'!E1889&amp;" "&amp;'IND TECH'!F1889&amp;" "&amp;'IND TECH'!G1889&amp;" "&amp;'IND TECH'!H1889</f>
        <v xml:space="preserve">       </v>
      </c>
      <c r="E1891" t="e">
        <f t="shared" si="9"/>
        <v>#REF!</v>
      </c>
      <c r="F1891" t="e">
        <f>'IND TECH'!#REF!</f>
        <v>#REF!</v>
      </c>
    </row>
    <row r="1892" spans="3:6" x14ac:dyDescent="0.25">
      <c r="C1892">
        <f>'IND TECH'!L1890</f>
        <v>0</v>
      </c>
      <c r="D1892" t="str">
        <f>'IND TECH'!A1890&amp;" "&amp;'IND TECH'!B1890&amp;" "&amp;'IND TECH'!C1890&amp;" "&amp;'IND TECH'!D1890&amp;" "&amp;'IND TECH'!E1890&amp;" "&amp;'IND TECH'!F1890&amp;" "&amp;'IND TECH'!G1890&amp;" "&amp;'IND TECH'!H1890</f>
        <v xml:space="preserve">       </v>
      </c>
      <c r="E1892" t="e">
        <f t="shared" si="9"/>
        <v>#REF!</v>
      </c>
      <c r="F1892" t="e">
        <f>'IND TECH'!#REF!</f>
        <v>#REF!</v>
      </c>
    </row>
    <row r="1893" spans="3:6" x14ac:dyDescent="0.25">
      <c r="C1893">
        <f>'IND TECH'!L1891</f>
        <v>0</v>
      </c>
      <c r="D1893" t="str">
        <f>'IND TECH'!A1891&amp;" "&amp;'IND TECH'!B1891&amp;" "&amp;'IND TECH'!C1891&amp;" "&amp;'IND TECH'!D1891&amp;" "&amp;'IND TECH'!E1891&amp;" "&amp;'IND TECH'!F1891&amp;" "&amp;'IND TECH'!G1891&amp;" "&amp;'IND TECH'!H1891</f>
        <v xml:space="preserve">       </v>
      </c>
      <c r="E1893" t="e">
        <f t="shared" si="9"/>
        <v>#REF!</v>
      </c>
      <c r="F1893" t="e">
        <f>'IND TECH'!#REF!</f>
        <v>#REF!</v>
      </c>
    </row>
    <row r="1894" spans="3:6" x14ac:dyDescent="0.25">
      <c r="C1894">
        <f>'IND TECH'!L1892</f>
        <v>0</v>
      </c>
      <c r="D1894" t="str">
        <f>'IND TECH'!A1892&amp;" "&amp;'IND TECH'!B1892&amp;" "&amp;'IND TECH'!C1892&amp;" "&amp;'IND TECH'!D1892&amp;" "&amp;'IND TECH'!E1892&amp;" "&amp;'IND TECH'!F1892&amp;" "&amp;'IND TECH'!G1892&amp;" "&amp;'IND TECH'!H1892</f>
        <v xml:space="preserve">       </v>
      </c>
      <c r="E1894" t="e">
        <f t="shared" si="9"/>
        <v>#REF!</v>
      </c>
      <c r="F1894" t="e">
        <f>'IND TECH'!#REF!</f>
        <v>#REF!</v>
      </c>
    </row>
    <row r="1895" spans="3:6" x14ac:dyDescent="0.25">
      <c r="C1895">
        <f>'IND TECH'!L1893</f>
        <v>0</v>
      </c>
      <c r="D1895" t="str">
        <f>'IND TECH'!A1893&amp;" "&amp;'IND TECH'!B1893&amp;" "&amp;'IND TECH'!C1893&amp;" "&amp;'IND TECH'!D1893&amp;" "&amp;'IND TECH'!E1893&amp;" "&amp;'IND TECH'!F1893&amp;" "&amp;'IND TECH'!G1893&amp;" "&amp;'IND TECH'!H1893</f>
        <v xml:space="preserve">       </v>
      </c>
      <c r="E1895" t="e">
        <f t="shared" si="9"/>
        <v>#REF!</v>
      </c>
      <c r="F1895" t="e">
        <f>'IND TECH'!#REF!</f>
        <v>#REF!</v>
      </c>
    </row>
    <row r="1896" spans="3:6" x14ac:dyDescent="0.25">
      <c r="C1896">
        <f>'IND TECH'!L1894</f>
        <v>0</v>
      </c>
      <c r="D1896" t="str">
        <f>'IND TECH'!A1894&amp;" "&amp;'IND TECH'!B1894&amp;" "&amp;'IND TECH'!C1894&amp;" "&amp;'IND TECH'!D1894&amp;" "&amp;'IND TECH'!E1894&amp;" "&amp;'IND TECH'!F1894&amp;" "&amp;'IND TECH'!G1894&amp;" "&amp;'IND TECH'!H1894</f>
        <v xml:space="preserve">       </v>
      </c>
      <c r="E1896" t="e">
        <f t="shared" si="9"/>
        <v>#REF!</v>
      </c>
      <c r="F1896" t="e">
        <f>'IND TECH'!#REF!</f>
        <v>#REF!</v>
      </c>
    </row>
    <row r="1897" spans="3:6" x14ac:dyDescent="0.25">
      <c r="C1897">
        <f>'IND TECH'!L1895</f>
        <v>0</v>
      </c>
      <c r="D1897" t="str">
        <f>'IND TECH'!A1895&amp;" "&amp;'IND TECH'!B1895&amp;" "&amp;'IND TECH'!C1895&amp;" "&amp;'IND TECH'!D1895&amp;" "&amp;'IND TECH'!E1895&amp;" "&amp;'IND TECH'!F1895&amp;" "&amp;'IND TECH'!G1895&amp;" "&amp;'IND TECH'!H1895</f>
        <v xml:space="preserve">       </v>
      </c>
      <c r="E1897" t="e">
        <f t="shared" si="9"/>
        <v>#REF!</v>
      </c>
      <c r="F1897" t="e">
        <f>'IND TECH'!#REF!</f>
        <v>#REF!</v>
      </c>
    </row>
    <row r="1898" spans="3:6" x14ac:dyDescent="0.25">
      <c r="C1898">
        <f>'IND TECH'!L1896</f>
        <v>0</v>
      </c>
      <c r="D1898" t="str">
        <f>'IND TECH'!A1896&amp;" "&amp;'IND TECH'!B1896&amp;" "&amp;'IND TECH'!C1896&amp;" "&amp;'IND TECH'!D1896&amp;" "&amp;'IND TECH'!E1896&amp;" "&amp;'IND TECH'!F1896&amp;" "&amp;'IND TECH'!G1896&amp;" "&amp;'IND TECH'!H1896</f>
        <v xml:space="preserve">       </v>
      </c>
      <c r="E1898" t="e">
        <f t="shared" si="9"/>
        <v>#REF!</v>
      </c>
      <c r="F1898" t="e">
        <f>'IND TECH'!#REF!</f>
        <v>#REF!</v>
      </c>
    </row>
    <row r="1899" spans="3:6" x14ac:dyDescent="0.25">
      <c r="C1899">
        <f>'IND TECH'!L1897</f>
        <v>0</v>
      </c>
      <c r="D1899" t="str">
        <f>'IND TECH'!A1897&amp;" "&amp;'IND TECH'!B1897&amp;" "&amp;'IND TECH'!C1897&amp;" "&amp;'IND TECH'!D1897&amp;" "&amp;'IND TECH'!E1897&amp;" "&amp;'IND TECH'!F1897&amp;" "&amp;'IND TECH'!G1897&amp;" "&amp;'IND TECH'!H1897</f>
        <v xml:space="preserve">       </v>
      </c>
      <c r="E1899" t="e">
        <f t="shared" si="9"/>
        <v>#REF!</v>
      </c>
      <c r="F1899" t="e">
        <f>'IND TECH'!#REF!</f>
        <v>#REF!</v>
      </c>
    </row>
    <row r="1900" spans="3:6" x14ac:dyDescent="0.25">
      <c r="C1900">
        <f>'IND TECH'!L1898</f>
        <v>0</v>
      </c>
      <c r="D1900" t="str">
        <f>'IND TECH'!A1898&amp;" "&amp;'IND TECH'!B1898&amp;" "&amp;'IND TECH'!C1898&amp;" "&amp;'IND TECH'!D1898&amp;" "&amp;'IND TECH'!E1898&amp;" "&amp;'IND TECH'!F1898&amp;" "&amp;'IND TECH'!G1898&amp;" "&amp;'IND TECH'!H1898</f>
        <v xml:space="preserve">       </v>
      </c>
      <c r="E1900" t="e">
        <f t="shared" si="9"/>
        <v>#REF!</v>
      </c>
      <c r="F1900" t="e">
        <f>'IND TECH'!#REF!</f>
        <v>#REF!</v>
      </c>
    </row>
    <row r="1901" spans="3:6" x14ac:dyDescent="0.25">
      <c r="C1901">
        <f>'IND TECH'!L1899</f>
        <v>0</v>
      </c>
      <c r="D1901" t="str">
        <f>'IND TECH'!A1899&amp;" "&amp;'IND TECH'!B1899&amp;" "&amp;'IND TECH'!C1899&amp;" "&amp;'IND TECH'!D1899&amp;" "&amp;'IND TECH'!E1899&amp;" "&amp;'IND TECH'!F1899&amp;" "&amp;'IND TECH'!G1899&amp;" "&amp;'IND TECH'!H1899</f>
        <v xml:space="preserve">       </v>
      </c>
      <c r="E1901" t="e">
        <f t="shared" si="9"/>
        <v>#REF!</v>
      </c>
      <c r="F1901" t="e">
        <f>'IND TECH'!#REF!</f>
        <v>#REF!</v>
      </c>
    </row>
    <row r="1902" spans="3:6" x14ac:dyDescent="0.25">
      <c r="C1902">
        <f>'IND TECH'!L1900</f>
        <v>0</v>
      </c>
      <c r="D1902" t="str">
        <f>'IND TECH'!A1900&amp;" "&amp;'IND TECH'!B1900&amp;" "&amp;'IND TECH'!C1900&amp;" "&amp;'IND TECH'!D1900&amp;" "&amp;'IND TECH'!E1900&amp;" "&amp;'IND TECH'!F1900&amp;" "&amp;'IND TECH'!G1900&amp;" "&amp;'IND TECH'!H1900</f>
        <v xml:space="preserve">       </v>
      </c>
      <c r="E1902" t="e">
        <f t="shared" si="9"/>
        <v>#REF!</v>
      </c>
      <c r="F1902" t="e">
        <f>'IND TECH'!#REF!</f>
        <v>#REF!</v>
      </c>
    </row>
    <row r="1903" spans="3:6" x14ac:dyDescent="0.25">
      <c r="C1903">
        <f>'IND TECH'!L1901</f>
        <v>0</v>
      </c>
      <c r="D1903" t="str">
        <f>'IND TECH'!A1901&amp;" "&amp;'IND TECH'!B1901&amp;" "&amp;'IND TECH'!C1901&amp;" "&amp;'IND TECH'!D1901&amp;" "&amp;'IND TECH'!E1901&amp;" "&amp;'IND TECH'!F1901&amp;" "&amp;'IND TECH'!G1901&amp;" "&amp;'IND TECH'!H1901</f>
        <v xml:space="preserve">       </v>
      </c>
      <c r="E1903" t="e">
        <f t="shared" si="9"/>
        <v>#REF!</v>
      </c>
      <c r="F1903" t="e">
        <f>'IND TECH'!#REF!</f>
        <v>#REF!</v>
      </c>
    </row>
    <row r="1904" spans="3:6" x14ac:dyDescent="0.25">
      <c r="C1904">
        <f>'IND TECH'!L1902</f>
        <v>0</v>
      </c>
      <c r="D1904" t="str">
        <f>'IND TECH'!A1902&amp;" "&amp;'IND TECH'!B1902&amp;" "&amp;'IND TECH'!C1902&amp;" "&amp;'IND TECH'!D1902&amp;" "&amp;'IND TECH'!E1902&amp;" "&amp;'IND TECH'!F1902&amp;" "&amp;'IND TECH'!G1902&amp;" "&amp;'IND TECH'!H1902</f>
        <v xml:space="preserve">       </v>
      </c>
      <c r="E1904" t="e">
        <f t="shared" si="9"/>
        <v>#REF!</v>
      </c>
      <c r="F1904" t="e">
        <f>'IND TECH'!#REF!</f>
        <v>#REF!</v>
      </c>
    </row>
    <row r="1905" spans="3:6" x14ac:dyDescent="0.25">
      <c r="C1905">
        <f>'IND TECH'!L1903</f>
        <v>0</v>
      </c>
      <c r="D1905" t="str">
        <f>'IND TECH'!A1903&amp;" "&amp;'IND TECH'!B1903&amp;" "&amp;'IND TECH'!C1903&amp;" "&amp;'IND TECH'!D1903&amp;" "&amp;'IND TECH'!E1903&amp;" "&amp;'IND TECH'!F1903&amp;" "&amp;'IND TECH'!G1903&amp;" "&amp;'IND TECH'!H1903</f>
        <v xml:space="preserve">       </v>
      </c>
      <c r="E1905" t="e">
        <f t="shared" si="9"/>
        <v>#REF!</v>
      </c>
      <c r="F1905" t="e">
        <f>'IND TECH'!#REF!</f>
        <v>#REF!</v>
      </c>
    </row>
    <row r="1906" spans="3:6" x14ac:dyDescent="0.25">
      <c r="C1906">
        <f>'IND TECH'!L1904</f>
        <v>0</v>
      </c>
      <c r="D1906" t="str">
        <f>'IND TECH'!A1904&amp;" "&amp;'IND TECH'!B1904&amp;" "&amp;'IND TECH'!C1904&amp;" "&amp;'IND TECH'!D1904&amp;" "&amp;'IND TECH'!E1904&amp;" "&amp;'IND TECH'!F1904&amp;" "&amp;'IND TECH'!G1904&amp;" "&amp;'IND TECH'!H1904</f>
        <v xml:space="preserve">       </v>
      </c>
      <c r="E1906" t="e">
        <f t="shared" si="9"/>
        <v>#REF!</v>
      </c>
      <c r="F1906" t="e">
        <f>'IND TECH'!#REF!</f>
        <v>#REF!</v>
      </c>
    </row>
    <row r="1907" spans="3:6" x14ac:dyDescent="0.25">
      <c r="C1907">
        <f>'IND TECH'!L1905</f>
        <v>0</v>
      </c>
      <c r="D1907" t="str">
        <f>'IND TECH'!A1905&amp;" "&amp;'IND TECH'!B1905&amp;" "&amp;'IND TECH'!C1905&amp;" "&amp;'IND TECH'!D1905&amp;" "&amp;'IND TECH'!E1905&amp;" "&amp;'IND TECH'!F1905&amp;" "&amp;'IND TECH'!G1905&amp;" "&amp;'IND TECH'!H1905</f>
        <v xml:space="preserve">       </v>
      </c>
      <c r="E1907" t="e">
        <f t="shared" si="9"/>
        <v>#REF!</v>
      </c>
      <c r="F1907" t="e">
        <f>'IND TECH'!#REF!</f>
        <v>#REF!</v>
      </c>
    </row>
    <row r="1908" spans="3:6" x14ac:dyDescent="0.25">
      <c r="C1908">
        <f>'IND TECH'!L1906</f>
        <v>0</v>
      </c>
      <c r="D1908" t="str">
        <f>'IND TECH'!A1906&amp;" "&amp;'IND TECH'!B1906&amp;" "&amp;'IND TECH'!C1906&amp;" "&amp;'IND TECH'!D1906&amp;" "&amp;'IND TECH'!E1906&amp;" "&amp;'IND TECH'!F1906&amp;" "&amp;'IND TECH'!G1906&amp;" "&amp;'IND TECH'!H1906</f>
        <v xml:space="preserve">       </v>
      </c>
      <c r="E1908" t="e">
        <f t="shared" si="9"/>
        <v>#REF!</v>
      </c>
      <c r="F1908" t="e">
        <f>'IND TECH'!#REF!</f>
        <v>#REF!</v>
      </c>
    </row>
    <row r="1909" spans="3:6" x14ac:dyDescent="0.25">
      <c r="C1909">
        <f>'IND TECH'!L1907</f>
        <v>0</v>
      </c>
      <c r="D1909" t="str">
        <f>'IND TECH'!A1907&amp;" "&amp;'IND TECH'!B1907&amp;" "&amp;'IND TECH'!C1907&amp;" "&amp;'IND TECH'!D1907&amp;" "&amp;'IND TECH'!E1907&amp;" "&amp;'IND TECH'!F1907&amp;" "&amp;'IND TECH'!G1907&amp;" "&amp;'IND TECH'!H1907</f>
        <v xml:space="preserve">       </v>
      </c>
      <c r="E1909" t="e">
        <f t="shared" si="9"/>
        <v>#REF!</v>
      </c>
      <c r="F1909" t="e">
        <f>'IND TECH'!#REF!</f>
        <v>#REF!</v>
      </c>
    </row>
    <row r="1910" spans="3:6" x14ac:dyDescent="0.25">
      <c r="C1910">
        <f>'IND TECH'!L1908</f>
        <v>0</v>
      </c>
      <c r="D1910" t="str">
        <f>'IND TECH'!A1908&amp;" "&amp;'IND TECH'!B1908&amp;" "&amp;'IND TECH'!C1908&amp;" "&amp;'IND TECH'!D1908&amp;" "&amp;'IND TECH'!E1908&amp;" "&amp;'IND TECH'!F1908&amp;" "&amp;'IND TECH'!G1908&amp;" "&amp;'IND TECH'!H1908</f>
        <v xml:space="preserve">       </v>
      </c>
      <c r="E1910" t="e">
        <f t="shared" si="9"/>
        <v>#REF!</v>
      </c>
      <c r="F1910" t="e">
        <f>'IND TECH'!#REF!</f>
        <v>#REF!</v>
      </c>
    </row>
    <row r="1911" spans="3:6" x14ac:dyDescent="0.25">
      <c r="C1911">
        <f>'IND TECH'!L1909</f>
        <v>0</v>
      </c>
      <c r="D1911" t="str">
        <f>'IND TECH'!A1909&amp;" "&amp;'IND TECH'!B1909&amp;" "&amp;'IND TECH'!C1909&amp;" "&amp;'IND TECH'!D1909&amp;" "&amp;'IND TECH'!E1909&amp;" "&amp;'IND TECH'!F1909&amp;" "&amp;'IND TECH'!G1909&amp;" "&amp;'IND TECH'!H1909</f>
        <v xml:space="preserve">       </v>
      </c>
      <c r="E1911" t="e">
        <f t="shared" si="9"/>
        <v>#REF!</v>
      </c>
      <c r="F1911" t="e">
        <f>'IND TECH'!#REF!</f>
        <v>#REF!</v>
      </c>
    </row>
    <row r="1912" spans="3:6" x14ac:dyDescent="0.25">
      <c r="C1912">
        <f>'IND TECH'!L1910</f>
        <v>0</v>
      </c>
      <c r="D1912" t="str">
        <f>'IND TECH'!A1910&amp;" "&amp;'IND TECH'!B1910&amp;" "&amp;'IND TECH'!C1910&amp;" "&amp;'IND TECH'!D1910&amp;" "&amp;'IND TECH'!E1910&amp;" "&amp;'IND TECH'!F1910&amp;" "&amp;'IND TECH'!G1910&amp;" "&amp;'IND TECH'!H1910</f>
        <v xml:space="preserve">       </v>
      </c>
      <c r="E1912" t="e">
        <f t="shared" si="9"/>
        <v>#REF!</v>
      </c>
      <c r="F1912" t="e">
        <f>'IND TECH'!#REF!</f>
        <v>#REF!</v>
      </c>
    </row>
    <row r="1913" spans="3:6" x14ac:dyDescent="0.25">
      <c r="C1913">
        <f>'IND TECH'!L1911</f>
        <v>0</v>
      </c>
      <c r="D1913" t="str">
        <f>'IND TECH'!A1911&amp;" "&amp;'IND TECH'!B1911&amp;" "&amp;'IND TECH'!C1911&amp;" "&amp;'IND TECH'!D1911&amp;" "&amp;'IND TECH'!E1911&amp;" "&amp;'IND TECH'!F1911&amp;" "&amp;'IND TECH'!G1911&amp;" "&amp;'IND TECH'!H1911</f>
        <v xml:space="preserve">       </v>
      </c>
      <c r="E1913" t="e">
        <f t="shared" si="9"/>
        <v>#REF!</v>
      </c>
      <c r="F1913" t="e">
        <f>'IND TECH'!#REF!</f>
        <v>#REF!</v>
      </c>
    </row>
    <row r="1914" spans="3:6" x14ac:dyDescent="0.25">
      <c r="C1914">
        <f>'IND TECH'!L1912</f>
        <v>0</v>
      </c>
      <c r="D1914" t="str">
        <f>'IND TECH'!A1912&amp;" "&amp;'IND TECH'!B1912&amp;" "&amp;'IND TECH'!C1912&amp;" "&amp;'IND TECH'!D1912&amp;" "&amp;'IND TECH'!E1912&amp;" "&amp;'IND TECH'!F1912&amp;" "&amp;'IND TECH'!G1912&amp;" "&amp;'IND TECH'!H1912</f>
        <v xml:space="preserve">       </v>
      </c>
      <c r="E1914" t="e">
        <f t="shared" si="9"/>
        <v>#REF!</v>
      </c>
      <c r="F1914" t="e">
        <f>'IND TECH'!#REF!</f>
        <v>#REF!</v>
      </c>
    </row>
    <row r="1915" spans="3:6" x14ac:dyDescent="0.25">
      <c r="C1915">
        <f>'IND TECH'!L1913</f>
        <v>0</v>
      </c>
      <c r="D1915" t="str">
        <f>'IND TECH'!A1913&amp;" "&amp;'IND TECH'!B1913&amp;" "&amp;'IND TECH'!C1913&amp;" "&amp;'IND TECH'!D1913&amp;" "&amp;'IND TECH'!E1913&amp;" "&amp;'IND TECH'!F1913&amp;" "&amp;'IND TECH'!G1913&amp;" "&amp;'IND TECH'!H1913</f>
        <v xml:space="preserve">       </v>
      </c>
      <c r="E1915" t="e">
        <f t="shared" si="9"/>
        <v>#REF!</v>
      </c>
      <c r="F1915" t="e">
        <f>'IND TECH'!#REF!</f>
        <v>#REF!</v>
      </c>
    </row>
    <row r="1916" spans="3:6" x14ac:dyDescent="0.25">
      <c r="C1916">
        <f>'IND TECH'!L1914</f>
        <v>0</v>
      </c>
      <c r="D1916" t="str">
        <f>'IND TECH'!A1914&amp;" "&amp;'IND TECH'!B1914&amp;" "&amp;'IND TECH'!C1914&amp;" "&amp;'IND TECH'!D1914&amp;" "&amp;'IND TECH'!E1914&amp;" "&amp;'IND TECH'!F1914&amp;" "&amp;'IND TECH'!G1914&amp;" "&amp;'IND TECH'!H1914</f>
        <v xml:space="preserve">       </v>
      </c>
      <c r="E1916" t="e">
        <f t="shared" si="9"/>
        <v>#REF!</v>
      </c>
      <c r="F1916" t="e">
        <f>'IND TECH'!#REF!</f>
        <v>#REF!</v>
      </c>
    </row>
    <row r="1917" spans="3:6" x14ac:dyDescent="0.25">
      <c r="C1917">
        <f>'IND TECH'!L1915</f>
        <v>0</v>
      </c>
      <c r="D1917" t="str">
        <f>'IND TECH'!A1915&amp;" "&amp;'IND TECH'!B1915&amp;" "&amp;'IND TECH'!C1915&amp;" "&amp;'IND TECH'!D1915&amp;" "&amp;'IND TECH'!E1915&amp;" "&amp;'IND TECH'!F1915&amp;" "&amp;'IND TECH'!G1915&amp;" "&amp;'IND TECH'!H1915</f>
        <v xml:space="preserve">       </v>
      </c>
      <c r="E1917" t="e">
        <f t="shared" si="9"/>
        <v>#REF!</v>
      </c>
      <c r="F1917" t="e">
        <f>'IND TECH'!#REF!</f>
        <v>#REF!</v>
      </c>
    </row>
    <row r="1918" spans="3:6" x14ac:dyDescent="0.25">
      <c r="C1918">
        <f>'IND TECH'!L1916</f>
        <v>0</v>
      </c>
      <c r="D1918" t="str">
        <f>'IND TECH'!A1916&amp;" "&amp;'IND TECH'!B1916&amp;" "&amp;'IND TECH'!C1916&amp;" "&amp;'IND TECH'!D1916&amp;" "&amp;'IND TECH'!E1916&amp;" "&amp;'IND TECH'!F1916&amp;" "&amp;'IND TECH'!G1916&amp;" "&amp;'IND TECH'!H1916</f>
        <v xml:space="preserve">       </v>
      </c>
      <c r="E1918" t="e">
        <f t="shared" si="9"/>
        <v>#REF!</v>
      </c>
      <c r="F1918" t="e">
        <f>'IND TECH'!#REF!</f>
        <v>#REF!</v>
      </c>
    </row>
    <row r="1919" spans="3:6" x14ac:dyDescent="0.25">
      <c r="C1919">
        <f>'IND TECH'!L1917</f>
        <v>0</v>
      </c>
      <c r="D1919" t="str">
        <f>'IND TECH'!A1917&amp;" "&amp;'IND TECH'!B1917&amp;" "&amp;'IND TECH'!C1917&amp;" "&amp;'IND TECH'!D1917&amp;" "&amp;'IND TECH'!E1917&amp;" "&amp;'IND TECH'!F1917&amp;" "&amp;'IND TECH'!G1917&amp;" "&amp;'IND TECH'!H1917</f>
        <v xml:space="preserve">       </v>
      </c>
      <c r="E1919" t="e">
        <f t="shared" si="9"/>
        <v>#REF!</v>
      </c>
      <c r="F1919" t="e">
        <f>'IND TECH'!#REF!</f>
        <v>#REF!</v>
      </c>
    </row>
    <row r="1920" spans="3:6" x14ac:dyDescent="0.25">
      <c r="C1920">
        <f>'IND TECH'!L1918</f>
        <v>0</v>
      </c>
      <c r="D1920" t="str">
        <f>'IND TECH'!A1918&amp;" "&amp;'IND TECH'!B1918&amp;" "&amp;'IND TECH'!C1918&amp;" "&amp;'IND TECH'!D1918&amp;" "&amp;'IND TECH'!E1918&amp;" "&amp;'IND TECH'!F1918&amp;" "&amp;'IND TECH'!G1918&amp;" "&amp;'IND TECH'!H1918</f>
        <v xml:space="preserve">       </v>
      </c>
      <c r="E1920" t="e">
        <f t="shared" si="9"/>
        <v>#REF!</v>
      </c>
      <c r="F1920" t="e">
        <f>'IND TECH'!#REF!</f>
        <v>#REF!</v>
      </c>
    </row>
    <row r="1921" spans="3:6" x14ac:dyDescent="0.25">
      <c r="C1921">
        <f>'IND TECH'!L1919</f>
        <v>0</v>
      </c>
      <c r="D1921" t="str">
        <f>'IND TECH'!A1919&amp;" "&amp;'IND TECH'!B1919&amp;" "&amp;'IND TECH'!C1919&amp;" "&amp;'IND TECH'!D1919&amp;" "&amp;'IND TECH'!E1919&amp;" "&amp;'IND TECH'!F1919&amp;" "&amp;'IND TECH'!G1919&amp;" "&amp;'IND TECH'!H1919</f>
        <v xml:space="preserve">       </v>
      </c>
      <c r="E1921" t="e">
        <f t="shared" si="9"/>
        <v>#REF!</v>
      </c>
      <c r="F1921" t="e">
        <f>'IND TECH'!#REF!</f>
        <v>#REF!</v>
      </c>
    </row>
    <row r="1922" spans="3:6" x14ac:dyDescent="0.25">
      <c r="C1922">
        <f>'IND TECH'!L1920</f>
        <v>0</v>
      </c>
      <c r="D1922" t="str">
        <f>'IND TECH'!A1920&amp;" "&amp;'IND TECH'!B1920&amp;" "&amp;'IND TECH'!C1920&amp;" "&amp;'IND TECH'!D1920&amp;" "&amp;'IND TECH'!E1920&amp;" "&amp;'IND TECH'!F1920&amp;" "&amp;'IND TECH'!G1920&amp;" "&amp;'IND TECH'!H1920</f>
        <v xml:space="preserve">       </v>
      </c>
      <c r="E1922" t="e">
        <f t="shared" si="9"/>
        <v>#REF!</v>
      </c>
      <c r="F1922" t="e">
        <f>'IND TECH'!#REF!</f>
        <v>#REF!</v>
      </c>
    </row>
    <row r="1923" spans="3:6" x14ac:dyDescent="0.25">
      <c r="C1923">
        <f>'IND TECH'!L1921</f>
        <v>0</v>
      </c>
      <c r="D1923" t="str">
        <f>'IND TECH'!A1921&amp;" "&amp;'IND TECH'!B1921&amp;" "&amp;'IND TECH'!C1921&amp;" "&amp;'IND TECH'!D1921&amp;" "&amp;'IND TECH'!E1921&amp;" "&amp;'IND TECH'!F1921&amp;" "&amp;'IND TECH'!G1921&amp;" "&amp;'IND TECH'!H1921</f>
        <v xml:space="preserve">       </v>
      </c>
      <c r="E1923" t="e">
        <f t="shared" si="9"/>
        <v>#REF!</v>
      </c>
      <c r="F1923" t="e">
        <f>'IND TECH'!#REF!</f>
        <v>#REF!</v>
      </c>
    </row>
    <row r="1924" spans="3:6" x14ac:dyDescent="0.25">
      <c r="C1924">
        <f>'IND TECH'!L1922</f>
        <v>0</v>
      </c>
      <c r="D1924" t="str">
        <f>'IND TECH'!A1922&amp;" "&amp;'IND TECH'!B1922&amp;" "&amp;'IND TECH'!C1922&amp;" "&amp;'IND TECH'!D1922&amp;" "&amp;'IND TECH'!E1922&amp;" "&amp;'IND TECH'!F1922&amp;" "&amp;'IND TECH'!G1922&amp;" "&amp;'IND TECH'!H1922</f>
        <v xml:space="preserve">       </v>
      </c>
      <c r="E1924" t="e">
        <f t="shared" si="9"/>
        <v>#REF!</v>
      </c>
      <c r="F1924" t="e">
        <f>'IND TECH'!#REF!</f>
        <v>#REF!</v>
      </c>
    </row>
    <row r="1925" spans="3:6" x14ac:dyDescent="0.25">
      <c r="C1925">
        <f>'IND TECH'!L1923</f>
        <v>0</v>
      </c>
      <c r="D1925" t="str">
        <f>'IND TECH'!A1923&amp;" "&amp;'IND TECH'!B1923&amp;" "&amp;'IND TECH'!C1923&amp;" "&amp;'IND TECH'!D1923&amp;" "&amp;'IND TECH'!E1923&amp;" "&amp;'IND TECH'!F1923&amp;" "&amp;'IND TECH'!G1923&amp;" "&amp;'IND TECH'!H1923</f>
        <v xml:space="preserve">       </v>
      </c>
      <c r="E1925" t="e">
        <f t="shared" si="9"/>
        <v>#REF!</v>
      </c>
      <c r="F1925" t="e">
        <f>'IND TECH'!#REF!</f>
        <v>#REF!</v>
      </c>
    </row>
    <row r="1926" spans="3:6" x14ac:dyDescent="0.25">
      <c r="C1926">
        <f>'IND TECH'!L1924</f>
        <v>0</v>
      </c>
      <c r="D1926" t="str">
        <f>'IND TECH'!A1924&amp;" "&amp;'IND TECH'!B1924&amp;" "&amp;'IND TECH'!C1924&amp;" "&amp;'IND TECH'!D1924&amp;" "&amp;'IND TECH'!E1924&amp;" "&amp;'IND TECH'!F1924&amp;" "&amp;'IND TECH'!G1924&amp;" "&amp;'IND TECH'!H1924</f>
        <v xml:space="preserve">       </v>
      </c>
      <c r="E1926" t="e">
        <f t="shared" si="9"/>
        <v>#REF!</v>
      </c>
      <c r="F1926" t="e">
        <f>'IND TECH'!#REF!</f>
        <v>#REF!</v>
      </c>
    </row>
    <row r="1927" spans="3:6" x14ac:dyDescent="0.25">
      <c r="C1927">
        <f>'IND TECH'!L1925</f>
        <v>0</v>
      </c>
      <c r="D1927" t="str">
        <f>'IND TECH'!A1925&amp;" "&amp;'IND TECH'!B1925&amp;" "&amp;'IND TECH'!C1925&amp;" "&amp;'IND TECH'!D1925&amp;" "&amp;'IND TECH'!E1925&amp;" "&amp;'IND TECH'!F1925&amp;" "&amp;'IND TECH'!G1925&amp;" "&amp;'IND TECH'!H1925</f>
        <v xml:space="preserve">       </v>
      </c>
      <c r="E1927" t="e">
        <f t="shared" si="9"/>
        <v>#REF!</v>
      </c>
      <c r="F1927" t="e">
        <f>'IND TECH'!#REF!</f>
        <v>#REF!</v>
      </c>
    </row>
    <row r="1928" spans="3:6" x14ac:dyDescent="0.25">
      <c r="C1928">
        <f>'IND TECH'!L1926</f>
        <v>0</v>
      </c>
      <c r="D1928" t="str">
        <f>'IND TECH'!A1926&amp;" "&amp;'IND TECH'!B1926&amp;" "&amp;'IND TECH'!C1926&amp;" "&amp;'IND TECH'!D1926&amp;" "&amp;'IND TECH'!E1926&amp;" "&amp;'IND TECH'!F1926&amp;" "&amp;'IND TECH'!G1926&amp;" "&amp;'IND TECH'!H1926</f>
        <v xml:space="preserve">       </v>
      </c>
      <c r="E1928" t="e">
        <f t="shared" si="9"/>
        <v>#REF!</v>
      </c>
      <c r="F1928" t="e">
        <f>'IND TECH'!#REF!</f>
        <v>#REF!</v>
      </c>
    </row>
    <row r="1929" spans="3:6" x14ac:dyDescent="0.25">
      <c r="C1929">
        <f>'IND TECH'!L1927</f>
        <v>0</v>
      </c>
      <c r="D1929" t="str">
        <f>'IND TECH'!A1927&amp;" "&amp;'IND TECH'!B1927&amp;" "&amp;'IND TECH'!C1927&amp;" "&amp;'IND TECH'!D1927&amp;" "&amp;'IND TECH'!E1927&amp;" "&amp;'IND TECH'!F1927&amp;" "&amp;'IND TECH'!G1927&amp;" "&amp;'IND TECH'!H1927</f>
        <v xml:space="preserve">       </v>
      </c>
      <c r="E1929" t="e">
        <f t="shared" si="9"/>
        <v>#REF!</v>
      </c>
      <c r="F1929" t="e">
        <f>'IND TECH'!#REF!</f>
        <v>#REF!</v>
      </c>
    </row>
    <row r="1930" spans="3:6" x14ac:dyDescent="0.25">
      <c r="C1930">
        <f>'IND TECH'!L1928</f>
        <v>0</v>
      </c>
      <c r="D1930" t="str">
        <f>'IND TECH'!A1928&amp;" "&amp;'IND TECH'!B1928&amp;" "&amp;'IND TECH'!C1928&amp;" "&amp;'IND TECH'!D1928&amp;" "&amp;'IND TECH'!E1928&amp;" "&amp;'IND TECH'!F1928&amp;" "&amp;'IND TECH'!G1928&amp;" "&amp;'IND TECH'!H1928</f>
        <v xml:space="preserve">       </v>
      </c>
      <c r="E1930" t="e">
        <f t="shared" si="9"/>
        <v>#REF!</v>
      </c>
      <c r="F1930" t="e">
        <f>'IND TECH'!#REF!</f>
        <v>#REF!</v>
      </c>
    </row>
    <row r="1931" spans="3:6" x14ac:dyDescent="0.25">
      <c r="C1931">
        <f>'IND TECH'!L1929</f>
        <v>0</v>
      </c>
      <c r="D1931" t="str">
        <f>'IND TECH'!A1929&amp;" "&amp;'IND TECH'!B1929&amp;" "&amp;'IND TECH'!C1929&amp;" "&amp;'IND TECH'!D1929&amp;" "&amp;'IND TECH'!E1929&amp;" "&amp;'IND TECH'!F1929&amp;" "&amp;'IND TECH'!G1929&amp;" "&amp;'IND TECH'!H1929</f>
        <v xml:space="preserve">       </v>
      </c>
      <c r="E1931" t="e">
        <f t="shared" si="9"/>
        <v>#REF!</v>
      </c>
      <c r="F1931" t="e">
        <f>'IND TECH'!#REF!</f>
        <v>#REF!</v>
      </c>
    </row>
    <row r="1932" spans="3:6" x14ac:dyDescent="0.25">
      <c r="C1932">
        <f>'IND TECH'!L1930</f>
        <v>0</v>
      </c>
      <c r="D1932" t="str">
        <f>'IND TECH'!A1930&amp;" "&amp;'IND TECH'!B1930&amp;" "&amp;'IND TECH'!C1930&amp;" "&amp;'IND TECH'!D1930&amp;" "&amp;'IND TECH'!E1930&amp;" "&amp;'IND TECH'!F1930&amp;" "&amp;'IND TECH'!G1930&amp;" "&amp;'IND TECH'!H1930</f>
        <v xml:space="preserve">       </v>
      </c>
      <c r="E1932" t="e">
        <f t="shared" si="9"/>
        <v>#REF!</v>
      </c>
      <c r="F1932" t="e">
        <f>'IND TECH'!#REF!</f>
        <v>#REF!</v>
      </c>
    </row>
    <row r="1933" spans="3:6" x14ac:dyDescent="0.25">
      <c r="C1933">
        <f>'IND TECH'!L1931</f>
        <v>0</v>
      </c>
      <c r="D1933" t="str">
        <f>'IND TECH'!A1931&amp;" "&amp;'IND TECH'!B1931&amp;" "&amp;'IND TECH'!C1931&amp;" "&amp;'IND TECH'!D1931&amp;" "&amp;'IND TECH'!E1931&amp;" "&amp;'IND TECH'!F1931&amp;" "&amp;'IND TECH'!G1931&amp;" "&amp;'IND TECH'!H1931</f>
        <v xml:space="preserve">       </v>
      </c>
      <c r="E1933" t="e">
        <f t="shared" si="9"/>
        <v>#REF!</v>
      </c>
      <c r="F1933" t="e">
        <f>'IND TECH'!#REF!</f>
        <v>#REF!</v>
      </c>
    </row>
    <row r="1934" spans="3:6" x14ac:dyDescent="0.25">
      <c r="C1934">
        <f>'IND TECH'!L1932</f>
        <v>0</v>
      </c>
      <c r="D1934" t="str">
        <f>'IND TECH'!A1932&amp;" "&amp;'IND TECH'!B1932&amp;" "&amp;'IND TECH'!C1932&amp;" "&amp;'IND TECH'!D1932&amp;" "&amp;'IND TECH'!E1932&amp;" "&amp;'IND TECH'!F1932&amp;" "&amp;'IND TECH'!G1932&amp;" "&amp;'IND TECH'!H1932</f>
        <v xml:space="preserve">       </v>
      </c>
      <c r="E1934" t="e">
        <f t="shared" si="9"/>
        <v>#REF!</v>
      </c>
      <c r="F1934" t="e">
        <f>'IND TECH'!#REF!</f>
        <v>#REF!</v>
      </c>
    </row>
    <row r="1935" spans="3:6" x14ac:dyDescent="0.25">
      <c r="C1935">
        <f>'IND TECH'!L1933</f>
        <v>0</v>
      </c>
      <c r="D1935" t="str">
        <f>'IND TECH'!A1933&amp;" "&amp;'IND TECH'!B1933&amp;" "&amp;'IND TECH'!C1933&amp;" "&amp;'IND TECH'!D1933&amp;" "&amp;'IND TECH'!E1933&amp;" "&amp;'IND TECH'!F1933&amp;" "&amp;'IND TECH'!G1933&amp;" "&amp;'IND TECH'!H1933</f>
        <v xml:space="preserve">       </v>
      </c>
      <c r="E1935" t="e">
        <f t="shared" si="9"/>
        <v>#REF!</v>
      </c>
      <c r="F1935" t="e">
        <f>'IND TECH'!#REF!</f>
        <v>#REF!</v>
      </c>
    </row>
    <row r="1936" spans="3:6" x14ac:dyDescent="0.25">
      <c r="C1936">
        <f>'IND TECH'!L1934</f>
        <v>0</v>
      </c>
      <c r="D1936" t="str">
        <f>'IND TECH'!A1934&amp;" "&amp;'IND TECH'!B1934&amp;" "&amp;'IND TECH'!C1934&amp;" "&amp;'IND TECH'!D1934&amp;" "&amp;'IND TECH'!E1934&amp;" "&amp;'IND TECH'!F1934&amp;" "&amp;'IND TECH'!G1934&amp;" "&amp;'IND TECH'!H1934</f>
        <v xml:space="preserve">       </v>
      </c>
      <c r="E1936" t="e">
        <f t="shared" si="9"/>
        <v>#REF!</v>
      </c>
      <c r="F1936" t="e">
        <f>'IND TECH'!#REF!</f>
        <v>#REF!</v>
      </c>
    </row>
    <row r="1937" spans="3:6" x14ac:dyDescent="0.25">
      <c r="C1937">
        <f>'IND TECH'!L1935</f>
        <v>0</v>
      </c>
      <c r="D1937" t="str">
        <f>'IND TECH'!A1935&amp;" "&amp;'IND TECH'!B1935&amp;" "&amp;'IND TECH'!C1935&amp;" "&amp;'IND TECH'!D1935&amp;" "&amp;'IND TECH'!E1935&amp;" "&amp;'IND TECH'!F1935&amp;" "&amp;'IND TECH'!G1935&amp;" "&amp;'IND TECH'!H1935</f>
        <v xml:space="preserve">       </v>
      </c>
      <c r="E1937" t="e">
        <f t="shared" si="9"/>
        <v>#REF!</v>
      </c>
      <c r="F1937" t="e">
        <f>'IND TECH'!#REF!</f>
        <v>#REF!</v>
      </c>
    </row>
    <row r="1938" spans="3:6" x14ac:dyDescent="0.25">
      <c r="C1938">
        <f>'IND TECH'!L1936</f>
        <v>0</v>
      </c>
      <c r="D1938" t="str">
        <f>'IND TECH'!A1936&amp;" "&amp;'IND TECH'!B1936&amp;" "&amp;'IND TECH'!C1936&amp;" "&amp;'IND TECH'!D1936&amp;" "&amp;'IND TECH'!E1936&amp;" "&amp;'IND TECH'!F1936&amp;" "&amp;'IND TECH'!G1936&amp;" "&amp;'IND TECH'!H1936</f>
        <v xml:space="preserve">       </v>
      </c>
      <c r="E1938" t="e">
        <f t="shared" si="9"/>
        <v>#REF!</v>
      </c>
      <c r="F1938" t="e">
        <f>'IND TECH'!#REF!</f>
        <v>#REF!</v>
      </c>
    </row>
    <row r="1939" spans="3:6" x14ac:dyDescent="0.25">
      <c r="C1939">
        <f>'IND TECH'!L1937</f>
        <v>0</v>
      </c>
      <c r="D1939" t="str">
        <f>'IND TECH'!A1937&amp;" "&amp;'IND TECH'!B1937&amp;" "&amp;'IND TECH'!C1937&amp;" "&amp;'IND TECH'!D1937&amp;" "&amp;'IND TECH'!E1937&amp;" "&amp;'IND TECH'!F1937&amp;" "&amp;'IND TECH'!G1937&amp;" "&amp;'IND TECH'!H1937</f>
        <v xml:space="preserve">       </v>
      </c>
      <c r="E1939" t="e">
        <f t="shared" ref="E1939:E2002" si="10">IF(F1939="Mlma","Mlm","TJ")</f>
        <v>#REF!</v>
      </c>
      <c r="F1939" t="e">
        <f>'IND TECH'!#REF!</f>
        <v>#REF!</v>
      </c>
    </row>
    <row r="1940" spans="3:6" x14ac:dyDescent="0.25">
      <c r="C1940">
        <f>'IND TECH'!L1938</f>
        <v>0</v>
      </c>
      <c r="D1940" t="str">
        <f>'IND TECH'!A1938&amp;" "&amp;'IND TECH'!B1938&amp;" "&amp;'IND TECH'!C1938&amp;" "&amp;'IND TECH'!D1938&amp;" "&amp;'IND TECH'!E1938&amp;" "&amp;'IND TECH'!F1938&amp;" "&amp;'IND TECH'!G1938&amp;" "&amp;'IND TECH'!H1938</f>
        <v xml:space="preserve">       </v>
      </c>
      <c r="E1940" t="e">
        <f t="shared" si="10"/>
        <v>#REF!</v>
      </c>
      <c r="F1940" t="e">
        <f>'IND TECH'!#REF!</f>
        <v>#REF!</v>
      </c>
    </row>
    <row r="1941" spans="3:6" x14ac:dyDescent="0.25">
      <c r="C1941">
        <f>'IND TECH'!L1939</f>
        <v>0</v>
      </c>
      <c r="D1941" t="str">
        <f>'IND TECH'!A1939&amp;" "&amp;'IND TECH'!B1939&amp;" "&amp;'IND TECH'!C1939&amp;" "&amp;'IND TECH'!D1939&amp;" "&amp;'IND TECH'!E1939&amp;" "&amp;'IND TECH'!F1939&amp;" "&amp;'IND TECH'!G1939&amp;" "&amp;'IND TECH'!H1939</f>
        <v xml:space="preserve">       </v>
      </c>
      <c r="E1941" t="e">
        <f t="shared" si="10"/>
        <v>#REF!</v>
      </c>
      <c r="F1941" t="e">
        <f>'IND TECH'!#REF!</f>
        <v>#REF!</v>
      </c>
    </row>
    <row r="1942" spans="3:6" x14ac:dyDescent="0.25">
      <c r="C1942">
        <f>'IND TECH'!L1940</f>
        <v>0</v>
      </c>
      <c r="D1942" t="str">
        <f>'IND TECH'!A1940&amp;" "&amp;'IND TECH'!B1940&amp;" "&amp;'IND TECH'!C1940&amp;" "&amp;'IND TECH'!D1940&amp;" "&amp;'IND TECH'!E1940&amp;" "&amp;'IND TECH'!F1940&amp;" "&amp;'IND TECH'!G1940&amp;" "&amp;'IND TECH'!H1940</f>
        <v xml:space="preserve">       </v>
      </c>
      <c r="E1942" t="e">
        <f t="shared" si="10"/>
        <v>#REF!</v>
      </c>
      <c r="F1942" t="e">
        <f>'IND TECH'!#REF!</f>
        <v>#REF!</v>
      </c>
    </row>
    <row r="1943" spans="3:6" x14ac:dyDescent="0.25">
      <c r="C1943">
        <f>'IND TECH'!L1941</f>
        <v>0</v>
      </c>
      <c r="D1943" t="str">
        <f>'IND TECH'!A1941&amp;" "&amp;'IND TECH'!B1941&amp;" "&amp;'IND TECH'!C1941&amp;" "&amp;'IND TECH'!D1941&amp;" "&amp;'IND TECH'!E1941&amp;" "&amp;'IND TECH'!F1941&amp;" "&amp;'IND TECH'!G1941&amp;" "&amp;'IND TECH'!H1941</f>
        <v xml:space="preserve">       </v>
      </c>
      <c r="E1943" t="e">
        <f t="shared" si="10"/>
        <v>#REF!</v>
      </c>
      <c r="F1943" t="e">
        <f>'IND TECH'!#REF!</f>
        <v>#REF!</v>
      </c>
    </row>
    <row r="1944" spans="3:6" x14ac:dyDescent="0.25">
      <c r="C1944">
        <f>'IND TECH'!L1942</f>
        <v>0</v>
      </c>
      <c r="D1944" t="str">
        <f>'IND TECH'!A1942&amp;" "&amp;'IND TECH'!B1942&amp;" "&amp;'IND TECH'!C1942&amp;" "&amp;'IND TECH'!D1942&amp;" "&amp;'IND TECH'!E1942&amp;" "&amp;'IND TECH'!F1942&amp;" "&amp;'IND TECH'!G1942&amp;" "&amp;'IND TECH'!H1942</f>
        <v xml:space="preserve">       </v>
      </c>
      <c r="E1944" t="e">
        <f t="shared" si="10"/>
        <v>#REF!</v>
      </c>
      <c r="F1944" t="e">
        <f>'IND TECH'!#REF!</f>
        <v>#REF!</v>
      </c>
    </row>
    <row r="1945" spans="3:6" x14ac:dyDescent="0.25">
      <c r="C1945">
        <f>'IND TECH'!L1943</f>
        <v>0</v>
      </c>
      <c r="D1945" t="str">
        <f>'IND TECH'!A1943&amp;" "&amp;'IND TECH'!B1943&amp;" "&amp;'IND TECH'!C1943&amp;" "&amp;'IND TECH'!D1943&amp;" "&amp;'IND TECH'!E1943&amp;" "&amp;'IND TECH'!F1943&amp;" "&amp;'IND TECH'!G1943&amp;" "&amp;'IND TECH'!H1943</f>
        <v xml:space="preserve">       </v>
      </c>
      <c r="E1945" t="e">
        <f t="shared" si="10"/>
        <v>#REF!</v>
      </c>
      <c r="F1945" t="e">
        <f>'IND TECH'!#REF!</f>
        <v>#REF!</v>
      </c>
    </row>
    <row r="1946" spans="3:6" x14ac:dyDescent="0.25">
      <c r="C1946">
        <f>'IND TECH'!L1944</f>
        <v>0</v>
      </c>
      <c r="D1946" t="str">
        <f>'IND TECH'!A1944&amp;" "&amp;'IND TECH'!B1944&amp;" "&amp;'IND TECH'!C1944&amp;" "&amp;'IND TECH'!D1944&amp;" "&amp;'IND TECH'!E1944&amp;" "&amp;'IND TECH'!F1944&amp;" "&amp;'IND TECH'!G1944&amp;" "&amp;'IND TECH'!H1944</f>
        <v xml:space="preserve">       </v>
      </c>
      <c r="E1946" t="e">
        <f t="shared" si="10"/>
        <v>#REF!</v>
      </c>
      <c r="F1946" t="e">
        <f>'IND TECH'!#REF!</f>
        <v>#REF!</v>
      </c>
    </row>
    <row r="1947" spans="3:6" x14ac:dyDescent="0.25">
      <c r="C1947">
        <f>'IND TECH'!L1945</f>
        <v>0</v>
      </c>
      <c r="D1947" t="str">
        <f>'IND TECH'!A1945&amp;" "&amp;'IND TECH'!B1945&amp;" "&amp;'IND TECH'!C1945&amp;" "&amp;'IND TECH'!D1945&amp;" "&amp;'IND TECH'!E1945&amp;" "&amp;'IND TECH'!F1945&amp;" "&amp;'IND TECH'!G1945&amp;" "&amp;'IND TECH'!H1945</f>
        <v xml:space="preserve">       </v>
      </c>
      <c r="E1947" t="e">
        <f t="shared" si="10"/>
        <v>#REF!</v>
      </c>
      <c r="F1947" t="e">
        <f>'IND TECH'!#REF!</f>
        <v>#REF!</v>
      </c>
    </row>
    <row r="1948" spans="3:6" x14ac:dyDescent="0.25">
      <c r="C1948">
        <f>'IND TECH'!L1946</f>
        <v>0</v>
      </c>
      <c r="D1948" t="str">
        <f>'IND TECH'!A1946&amp;" "&amp;'IND TECH'!B1946&amp;" "&amp;'IND TECH'!C1946&amp;" "&amp;'IND TECH'!D1946&amp;" "&amp;'IND TECH'!E1946&amp;" "&amp;'IND TECH'!F1946&amp;" "&amp;'IND TECH'!G1946&amp;" "&amp;'IND TECH'!H1946</f>
        <v xml:space="preserve">       </v>
      </c>
      <c r="E1948" t="e">
        <f t="shared" si="10"/>
        <v>#REF!</v>
      </c>
      <c r="F1948" t="e">
        <f>'IND TECH'!#REF!</f>
        <v>#REF!</v>
      </c>
    </row>
    <row r="1949" spans="3:6" x14ac:dyDescent="0.25">
      <c r="C1949">
        <f>'IND TECH'!L1947</f>
        <v>0</v>
      </c>
      <c r="D1949" t="str">
        <f>'IND TECH'!A1947&amp;" "&amp;'IND TECH'!B1947&amp;" "&amp;'IND TECH'!C1947&amp;" "&amp;'IND TECH'!D1947&amp;" "&amp;'IND TECH'!E1947&amp;" "&amp;'IND TECH'!F1947&amp;" "&amp;'IND TECH'!G1947&amp;" "&amp;'IND TECH'!H1947</f>
        <v xml:space="preserve">       </v>
      </c>
      <c r="E1949" t="e">
        <f t="shared" si="10"/>
        <v>#REF!</v>
      </c>
      <c r="F1949" t="e">
        <f>'IND TECH'!#REF!</f>
        <v>#REF!</v>
      </c>
    </row>
    <row r="1950" spans="3:6" x14ac:dyDescent="0.25">
      <c r="C1950">
        <f>'IND TECH'!L1948</f>
        <v>0</v>
      </c>
      <c r="D1950" t="str">
        <f>'IND TECH'!A1948&amp;" "&amp;'IND TECH'!B1948&amp;" "&amp;'IND TECH'!C1948&amp;" "&amp;'IND TECH'!D1948&amp;" "&amp;'IND TECH'!E1948&amp;" "&amp;'IND TECH'!F1948&amp;" "&amp;'IND TECH'!G1948&amp;" "&amp;'IND TECH'!H1948</f>
        <v xml:space="preserve">       </v>
      </c>
      <c r="E1950" t="e">
        <f t="shared" si="10"/>
        <v>#REF!</v>
      </c>
      <c r="F1950" t="e">
        <f>'IND TECH'!#REF!</f>
        <v>#REF!</v>
      </c>
    </row>
    <row r="1951" spans="3:6" x14ac:dyDescent="0.25">
      <c r="C1951">
        <f>'IND TECH'!L1949</f>
        <v>0</v>
      </c>
      <c r="D1951" t="str">
        <f>'IND TECH'!A1949&amp;" "&amp;'IND TECH'!B1949&amp;" "&amp;'IND TECH'!C1949&amp;" "&amp;'IND TECH'!D1949&amp;" "&amp;'IND TECH'!E1949&amp;" "&amp;'IND TECH'!F1949&amp;" "&amp;'IND TECH'!G1949&amp;" "&amp;'IND TECH'!H1949</f>
        <v xml:space="preserve">       </v>
      </c>
      <c r="E1951" t="e">
        <f t="shared" si="10"/>
        <v>#REF!</v>
      </c>
      <c r="F1951" t="e">
        <f>'IND TECH'!#REF!</f>
        <v>#REF!</v>
      </c>
    </row>
    <row r="1952" spans="3:6" x14ac:dyDescent="0.25">
      <c r="C1952">
        <f>'IND TECH'!L1950</f>
        <v>0</v>
      </c>
      <c r="D1952" t="str">
        <f>'IND TECH'!A1950&amp;" "&amp;'IND TECH'!B1950&amp;" "&amp;'IND TECH'!C1950&amp;" "&amp;'IND TECH'!D1950&amp;" "&amp;'IND TECH'!E1950&amp;" "&amp;'IND TECH'!F1950&amp;" "&amp;'IND TECH'!G1950&amp;" "&amp;'IND TECH'!H1950</f>
        <v xml:space="preserve">       </v>
      </c>
      <c r="E1952" t="e">
        <f t="shared" si="10"/>
        <v>#REF!</v>
      </c>
      <c r="F1952" t="e">
        <f>'IND TECH'!#REF!</f>
        <v>#REF!</v>
      </c>
    </row>
    <row r="1953" spans="3:6" x14ac:dyDescent="0.25">
      <c r="C1953">
        <f>'IND TECH'!L1951</f>
        <v>0</v>
      </c>
      <c r="D1953" t="str">
        <f>'IND TECH'!A1951&amp;" "&amp;'IND TECH'!B1951&amp;" "&amp;'IND TECH'!C1951&amp;" "&amp;'IND TECH'!D1951&amp;" "&amp;'IND TECH'!E1951&amp;" "&amp;'IND TECH'!F1951&amp;" "&amp;'IND TECH'!G1951&amp;" "&amp;'IND TECH'!H1951</f>
        <v xml:space="preserve">       </v>
      </c>
      <c r="E1953" t="e">
        <f t="shared" si="10"/>
        <v>#REF!</v>
      </c>
      <c r="F1953" t="e">
        <f>'IND TECH'!#REF!</f>
        <v>#REF!</v>
      </c>
    </row>
    <row r="1954" spans="3:6" x14ac:dyDescent="0.25">
      <c r="C1954">
        <f>'IND TECH'!L1952</f>
        <v>0</v>
      </c>
      <c r="D1954" t="str">
        <f>'IND TECH'!A1952&amp;" "&amp;'IND TECH'!B1952&amp;" "&amp;'IND TECH'!C1952&amp;" "&amp;'IND TECH'!D1952&amp;" "&amp;'IND TECH'!E1952&amp;" "&amp;'IND TECH'!F1952&amp;" "&amp;'IND TECH'!G1952&amp;" "&amp;'IND TECH'!H1952</f>
        <v xml:space="preserve">       </v>
      </c>
      <c r="E1954" t="e">
        <f t="shared" si="10"/>
        <v>#REF!</v>
      </c>
      <c r="F1954" t="e">
        <f>'IND TECH'!#REF!</f>
        <v>#REF!</v>
      </c>
    </row>
    <row r="1955" spans="3:6" x14ac:dyDescent="0.25">
      <c r="C1955">
        <f>'IND TECH'!L1953</f>
        <v>0</v>
      </c>
      <c r="D1955" t="str">
        <f>'IND TECH'!A1953&amp;" "&amp;'IND TECH'!B1953&amp;" "&amp;'IND TECH'!C1953&amp;" "&amp;'IND TECH'!D1953&amp;" "&amp;'IND TECH'!E1953&amp;" "&amp;'IND TECH'!F1953&amp;" "&amp;'IND TECH'!G1953&amp;" "&amp;'IND TECH'!H1953</f>
        <v xml:space="preserve">       </v>
      </c>
      <c r="E1955" t="e">
        <f t="shared" si="10"/>
        <v>#REF!</v>
      </c>
      <c r="F1955" t="e">
        <f>'IND TECH'!#REF!</f>
        <v>#REF!</v>
      </c>
    </row>
    <row r="1956" spans="3:6" x14ac:dyDescent="0.25">
      <c r="C1956">
        <f>'IND TECH'!L1954</f>
        <v>0</v>
      </c>
      <c r="D1956" t="str">
        <f>'IND TECH'!A1954&amp;" "&amp;'IND TECH'!B1954&amp;" "&amp;'IND TECH'!C1954&amp;" "&amp;'IND TECH'!D1954&amp;" "&amp;'IND TECH'!E1954&amp;" "&amp;'IND TECH'!F1954&amp;" "&amp;'IND TECH'!G1954&amp;" "&amp;'IND TECH'!H1954</f>
        <v xml:space="preserve">       </v>
      </c>
      <c r="E1956" t="e">
        <f t="shared" si="10"/>
        <v>#REF!</v>
      </c>
      <c r="F1956" t="e">
        <f>'IND TECH'!#REF!</f>
        <v>#REF!</v>
      </c>
    </row>
    <row r="1957" spans="3:6" x14ac:dyDescent="0.25">
      <c r="C1957">
        <f>'IND TECH'!L1955</f>
        <v>0</v>
      </c>
      <c r="D1957" t="str">
        <f>'IND TECH'!A1955&amp;" "&amp;'IND TECH'!B1955&amp;" "&amp;'IND TECH'!C1955&amp;" "&amp;'IND TECH'!D1955&amp;" "&amp;'IND TECH'!E1955&amp;" "&amp;'IND TECH'!F1955&amp;" "&amp;'IND TECH'!G1955&amp;" "&amp;'IND TECH'!H1955</f>
        <v xml:space="preserve">       </v>
      </c>
      <c r="E1957" t="e">
        <f t="shared" si="10"/>
        <v>#REF!</v>
      </c>
      <c r="F1957" t="e">
        <f>'IND TECH'!#REF!</f>
        <v>#REF!</v>
      </c>
    </row>
    <row r="1958" spans="3:6" x14ac:dyDescent="0.25">
      <c r="C1958">
        <f>'IND TECH'!L1956</f>
        <v>0</v>
      </c>
      <c r="D1958" t="str">
        <f>'IND TECH'!A1956&amp;" "&amp;'IND TECH'!B1956&amp;" "&amp;'IND TECH'!C1956&amp;" "&amp;'IND TECH'!D1956&amp;" "&amp;'IND TECH'!E1956&amp;" "&amp;'IND TECH'!F1956&amp;" "&amp;'IND TECH'!G1956&amp;" "&amp;'IND TECH'!H1956</f>
        <v xml:space="preserve">       </v>
      </c>
      <c r="E1958" t="e">
        <f t="shared" si="10"/>
        <v>#REF!</v>
      </c>
      <c r="F1958" t="e">
        <f>'IND TECH'!#REF!</f>
        <v>#REF!</v>
      </c>
    </row>
    <row r="1959" spans="3:6" x14ac:dyDescent="0.25">
      <c r="C1959">
        <f>'IND TECH'!L1957</f>
        <v>0</v>
      </c>
      <c r="D1959" t="str">
        <f>'IND TECH'!A1957&amp;" "&amp;'IND TECH'!B1957&amp;" "&amp;'IND TECH'!C1957&amp;" "&amp;'IND TECH'!D1957&amp;" "&amp;'IND TECH'!E1957&amp;" "&amp;'IND TECH'!F1957&amp;" "&amp;'IND TECH'!G1957&amp;" "&amp;'IND TECH'!H1957</f>
        <v xml:space="preserve">       </v>
      </c>
      <c r="E1959" t="e">
        <f t="shared" si="10"/>
        <v>#REF!</v>
      </c>
      <c r="F1959" t="e">
        <f>'IND TECH'!#REF!</f>
        <v>#REF!</v>
      </c>
    </row>
    <row r="1960" spans="3:6" x14ac:dyDescent="0.25">
      <c r="C1960">
        <f>'IND TECH'!L1958</f>
        <v>0</v>
      </c>
      <c r="D1960" t="str">
        <f>'IND TECH'!A1958&amp;" "&amp;'IND TECH'!B1958&amp;" "&amp;'IND TECH'!C1958&amp;" "&amp;'IND TECH'!D1958&amp;" "&amp;'IND TECH'!E1958&amp;" "&amp;'IND TECH'!F1958&amp;" "&amp;'IND TECH'!G1958&amp;" "&amp;'IND TECH'!H1958</f>
        <v xml:space="preserve">       </v>
      </c>
      <c r="E1960" t="e">
        <f t="shared" si="10"/>
        <v>#REF!</v>
      </c>
      <c r="F1960" t="e">
        <f>'IND TECH'!#REF!</f>
        <v>#REF!</v>
      </c>
    </row>
    <row r="1961" spans="3:6" x14ac:dyDescent="0.25">
      <c r="C1961">
        <f>'IND TECH'!L1959</f>
        <v>0</v>
      </c>
      <c r="D1961" t="str">
        <f>'IND TECH'!A1959&amp;" "&amp;'IND TECH'!B1959&amp;" "&amp;'IND TECH'!C1959&amp;" "&amp;'IND TECH'!D1959&amp;" "&amp;'IND TECH'!E1959&amp;" "&amp;'IND TECH'!F1959&amp;" "&amp;'IND TECH'!G1959&amp;" "&amp;'IND TECH'!H1959</f>
        <v xml:space="preserve">       </v>
      </c>
      <c r="E1961" t="e">
        <f t="shared" si="10"/>
        <v>#REF!</v>
      </c>
      <c r="F1961" t="e">
        <f>'IND TECH'!#REF!</f>
        <v>#REF!</v>
      </c>
    </row>
    <row r="1962" spans="3:6" x14ac:dyDescent="0.25">
      <c r="C1962">
        <f>'IND TECH'!L1960</f>
        <v>0</v>
      </c>
      <c r="D1962" t="str">
        <f>'IND TECH'!A1960&amp;" "&amp;'IND TECH'!B1960&amp;" "&amp;'IND TECH'!C1960&amp;" "&amp;'IND TECH'!D1960&amp;" "&amp;'IND TECH'!E1960&amp;" "&amp;'IND TECH'!F1960&amp;" "&amp;'IND TECH'!G1960&amp;" "&amp;'IND TECH'!H1960</f>
        <v xml:space="preserve">       </v>
      </c>
      <c r="E1962" t="e">
        <f t="shared" si="10"/>
        <v>#REF!</v>
      </c>
      <c r="F1962" t="e">
        <f>'IND TECH'!#REF!</f>
        <v>#REF!</v>
      </c>
    </row>
    <row r="1963" spans="3:6" x14ac:dyDescent="0.25">
      <c r="C1963">
        <f>'IND TECH'!L1961</f>
        <v>0</v>
      </c>
      <c r="D1963" t="str">
        <f>'IND TECH'!A1961&amp;" "&amp;'IND TECH'!B1961&amp;" "&amp;'IND TECH'!C1961&amp;" "&amp;'IND TECH'!D1961&amp;" "&amp;'IND TECH'!E1961&amp;" "&amp;'IND TECH'!F1961&amp;" "&amp;'IND TECH'!G1961&amp;" "&amp;'IND TECH'!H1961</f>
        <v xml:space="preserve">       </v>
      </c>
      <c r="E1963" t="e">
        <f t="shared" si="10"/>
        <v>#REF!</v>
      </c>
      <c r="F1963" t="e">
        <f>'IND TECH'!#REF!</f>
        <v>#REF!</v>
      </c>
    </row>
    <row r="1964" spans="3:6" x14ac:dyDescent="0.25">
      <c r="C1964">
        <f>'IND TECH'!L1962</f>
        <v>0</v>
      </c>
      <c r="D1964" t="str">
        <f>'IND TECH'!A1962&amp;" "&amp;'IND TECH'!B1962&amp;" "&amp;'IND TECH'!C1962&amp;" "&amp;'IND TECH'!D1962&amp;" "&amp;'IND TECH'!E1962&amp;" "&amp;'IND TECH'!F1962&amp;" "&amp;'IND TECH'!G1962&amp;" "&amp;'IND TECH'!H1962</f>
        <v xml:space="preserve">       </v>
      </c>
      <c r="E1964" t="e">
        <f t="shared" si="10"/>
        <v>#REF!</v>
      </c>
      <c r="F1964" t="e">
        <f>'IND TECH'!#REF!</f>
        <v>#REF!</v>
      </c>
    </row>
    <row r="1965" spans="3:6" x14ac:dyDescent="0.25">
      <c r="C1965">
        <f>'IND TECH'!L1963</f>
        <v>0</v>
      </c>
      <c r="D1965" t="str">
        <f>'IND TECH'!A1963&amp;" "&amp;'IND TECH'!B1963&amp;" "&amp;'IND TECH'!C1963&amp;" "&amp;'IND TECH'!D1963&amp;" "&amp;'IND TECH'!E1963&amp;" "&amp;'IND TECH'!F1963&amp;" "&amp;'IND TECH'!G1963&amp;" "&amp;'IND TECH'!H1963</f>
        <v xml:space="preserve">       </v>
      </c>
      <c r="E1965" t="e">
        <f t="shared" si="10"/>
        <v>#REF!</v>
      </c>
      <c r="F1965" t="e">
        <f>'IND TECH'!#REF!</f>
        <v>#REF!</v>
      </c>
    </row>
    <row r="1966" spans="3:6" x14ac:dyDescent="0.25">
      <c r="C1966">
        <f>'IND TECH'!L1964</f>
        <v>0</v>
      </c>
      <c r="D1966" t="str">
        <f>'IND TECH'!A1964&amp;" "&amp;'IND TECH'!B1964&amp;" "&amp;'IND TECH'!C1964&amp;" "&amp;'IND TECH'!D1964&amp;" "&amp;'IND TECH'!E1964&amp;" "&amp;'IND TECH'!F1964&amp;" "&amp;'IND TECH'!G1964&amp;" "&amp;'IND TECH'!H1964</f>
        <v xml:space="preserve">       </v>
      </c>
      <c r="E1966" t="e">
        <f t="shared" si="10"/>
        <v>#REF!</v>
      </c>
      <c r="F1966" t="e">
        <f>'IND TECH'!#REF!</f>
        <v>#REF!</v>
      </c>
    </row>
    <row r="1967" spans="3:6" x14ac:dyDescent="0.25">
      <c r="C1967">
        <f>'IND TECH'!L1965</f>
        <v>0</v>
      </c>
      <c r="D1967" t="str">
        <f>'IND TECH'!A1965&amp;" "&amp;'IND TECH'!B1965&amp;" "&amp;'IND TECH'!C1965&amp;" "&amp;'IND TECH'!D1965&amp;" "&amp;'IND TECH'!E1965&amp;" "&amp;'IND TECH'!F1965&amp;" "&amp;'IND TECH'!G1965&amp;" "&amp;'IND TECH'!H1965</f>
        <v xml:space="preserve">       </v>
      </c>
      <c r="E1967" t="e">
        <f t="shared" si="10"/>
        <v>#REF!</v>
      </c>
      <c r="F1967" t="e">
        <f>'IND TECH'!#REF!</f>
        <v>#REF!</v>
      </c>
    </row>
    <row r="1968" spans="3:6" x14ac:dyDescent="0.25">
      <c r="C1968">
        <f>'IND TECH'!L1966</f>
        <v>0</v>
      </c>
      <c r="D1968" t="str">
        <f>'IND TECH'!A1966&amp;" "&amp;'IND TECH'!B1966&amp;" "&amp;'IND TECH'!C1966&amp;" "&amp;'IND TECH'!D1966&amp;" "&amp;'IND TECH'!E1966&amp;" "&amp;'IND TECH'!F1966&amp;" "&amp;'IND TECH'!G1966&amp;" "&amp;'IND TECH'!H1966</f>
        <v xml:space="preserve">       </v>
      </c>
      <c r="E1968" t="e">
        <f t="shared" si="10"/>
        <v>#REF!</v>
      </c>
      <c r="F1968" t="e">
        <f>'IND TECH'!#REF!</f>
        <v>#REF!</v>
      </c>
    </row>
    <row r="1969" spans="3:6" x14ac:dyDescent="0.25">
      <c r="C1969">
        <f>'IND TECH'!L1967</f>
        <v>0</v>
      </c>
      <c r="D1969" t="str">
        <f>'IND TECH'!A1967&amp;" "&amp;'IND TECH'!B1967&amp;" "&amp;'IND TECH'!C1967&amp;" "&amp;'IND TECH'!D1967&amp;" "&amp;'IND TECH'!E1967&amp;" "&amp;'IND TECH'!F1967&amp;" "&amp;'IND TECH'!G1967&amp;" "&amp;'IND TECH'!H1967</f>
        <v xml:space="preserve">       </v>
      </c>
      <c r="E1969" t="e">
        <f t="shared" si="10"/>
        <v>#REF!</v>
      </c>
      <c r="F1969" t="e">
        <f>'IND TECH'!#REF!</f>
        <v>#REF!</v>
      </c>
    </row>
    <row r="1970" spans="3:6" x14ac:dyDescent="0.25">
      <c r="C1970">
        <f>'IND TECH'!L1968</f>
        <v>0</v>
      </c>
      <c r="D1970" t="str">
        <f>'IND TECH'!A1968&amp;" "&amp;'IND TECH'!B1968&amp;" "&amp;'IND TECH'!C1968&amp;" "&amp;'IND TECH'!D1968&amp;" "&amp;'IND TECH'!E1968&amp;" "&amp;'IND TECH'!F1968&amp;" "&amp;'IND TECH'!G1968&amp;" "&amp;'IND TECH'!H1968</f>
        <v xml:space="preserve">       </v>
      </c>
      <c r="E1970" t="e">
        <f t="shared" si="10"/>
        <v>#REF!</v>
      </c>
      <c r="F1970" t="e">
        <f>'IND TECH'!#REF!</f>
        <v>#REF!</v>
      </c>
    </row>
    <row r="1971" spans="3:6" x14ac:dyDescent="0.25">
      <c r="C1971">
        <f>'IND TECH'!L1969</f>
        <v>0</v>
      </c>
      <c r="D1971" t="str">
        <f>'IND TECH'!A1969&amp;" "&amp;'IND TECH'!B1969&amp;" "&amp;'IND TECH'!C1969&amp;" "&amp;'IND TECH'!D1969&amp;" "&amp;'IND TECH'!E1969&amp;" "&amp;'IND TECH'!F1969&amp;" "&amp;'IND TECH'!G1969&amp;" "&amp;'IND TECH'!H1969</f>
        <v xml:space="preserve">       </v>
      </c>
      <c r="E1971" t="e">
        <f t="shared" si="10"/>
        <v>#REF!</v>
      </c>
      <c r="F1971" t="e">
        <f>'IND TECH'!#REF!</f>
        <v>#REF!</v>
      </c>
    </row>
    <row r="1972" spans="3:6" x14ac:dyDescent="0.25">
      <c r="C1972">
        <f>'IND TECH'!L1970</f>
        <v>0</v>
      </c>
      <c r="D1972" t="str">
        <f>'IND TECH'!A1970&amp;" "&amp;'IND TECH'!B1970&amp;" "&amp;'IND TECH'!C1970&amp;" "&amp;'IND TECH'!D1970&amp;" "&amp;'IND TECH'!E1970&amp;" "&amp;'IND TECH'!F1970&amp;" "&amp;'IND TECH'!G1970&amp;" "&amp;'IND TECH'!H1970</f>
        <v xml:space="preserve">       </v>
      </c>
      <c r="E1972" t="e">
        <f t="shared" si="10"/>
        <v>#REF!</v>
      </c>
      <c r="F1972" t="e">
        <f>'IND TECH'!#REF!</f>
        <v>#REF!</v>
      </c>
    </row>
    <row r="1973" spans="3:6" x14ac:dyDescent="0.25">
      <c r="C1973">
        <f>'IND TECH'!L1971</f>
        <v>0</v>
      </c>
      <c r="D1973" t="str">
        <f>'IND TECH'!A1971&amp;" "&amp;'IND TECH'!B1971&amp;" "&amp;'IND TECH'!C1971&amp;" "&amp;'IND TECH'!D1971&amp;" "&amp;'IND TECH'!E1971&amp;" "&amp;'IND TECH'!F1971&amp;" "&amp;'IND TECH'!G1971&amp;" "&amp;'IND TECH'!H1971</f>
        <v xml:space="preserve">       </v>
      </c>
      <c r="E1973" t="e">
        <f t="shared" si="10"/>
        <v>#REF!</v>
      </c>
      <c r="F1973" t="e">
        <f>'IND TECH'!#REF!</f>
        <v>#REF!</v>
      </c>
    </row>
    <row r="1974" spans="3:6" x14ac:dyDescent="0.25">
      <c r="C1974">
        <f>'IND TECH'!L1972</f>
        <v>0</v>
      </c>
      <c r="D1974" t="str">
        <f>'IND TECH'!A1972&amp;" "&amp;'IND TECH'!B1972&amp;" "&amp;'IND TECH'!C1972&amp;" "&amp;'IND TECH'!D1972&amp;" "&amp;'IND TECH'!E1972&amp;" "&amp;'IND TECH'!F1972&amp;" "&amp;'IND TECH'!G1972&amp;" "&amp;'IND TECH'!H1972</f>
        <v xml:space="preserve">       </v>
      </c>
      <c r="E1974" t="e">
        <f t="shared" si="10"/>
        <v>#REF!</v>
      </c>
      <c r="F1974" t="e">
        <f>'IND TECH'!#REF!</f>
        <v>#REF!</v>
      </c>
    </row>
    <row r="1975" spans="3:6" x14ac:dyDescent="0.25">
      <c r="C1975">
        <f>'IND TECH'!L1973</f>
        <v>0</v>
      </c>
      <c r="D1975" t="str">
        <f>'IND TECH'!A1973&amp;" "&amp;'IND TECH'!B1973&amp;" "&amp;'IND TECH'!C1973&amp;" "&amp;'IND TECH'!D1973&amp;" "&amp;'IND TECH'!E1973&amp;" "&amp;'IND TECH'!F1973&amp;" "&amp;'IND TECH'!G1973&amp;" "&amp;'IND TECH'!H1973</f>
        <v xml:space="preserve">       </v>
      </c>
      <c r="E1975" t="e">
        <f t="shared" si="10"/>
        <v>#REF!</v>
      </c>
      <c r="F1975" t="e">
        <f>'IND TECH'!#REF!</f>
        <v>#REF!</v>
      </c>
    </row>
    <row r="1976" spans="3:6" x14ac:dyDescent="0.25">
      <c r="C1976">
        <f>'IND TECH'!L1974</f>
        <v>0</v>
      </c>
      <c r="D1976" t="str">
        <f>'IND TECH'!A1974&amp;" "&amp;'IND TECH'!B1974&amp;" "&amp;'IND TECH'!C1974&amp;" "&amp;'IND TECH'!D1974&amp;" "&amp;'IND TECH'!E1974&amp;" "&amp;'IND TECH'!F1974&amp;" "&amp;'IND TECH'!G1974&amp;" "&amp;'IND TECH'!H1974</f>
        <v xml:space="preserve">       </v>
      </c>
      <c r="E1976" t="e">
        <f t="shared" si="10"/>
        <v>#REF!</v>
      </c>
      <c r="F1976" t="e">
        <f>'IND TECH'!#REF!</f>
        <v>#REF!</v>
      </c>
    </row>
    <row r="1977" spans="3:6" x14ac:dyDescent="0.25">
      <c r="C1977">
        <f>'IND TECH'!L1975</f>
        <v>0</v>
      </c>
      <c r="D1977" t="str">
        <f>'IND TECH'!A1975&amp;" "&amp;'IND TECH'!B1975&amp;" "&amp;'IND TECH'!C1975&amp;" "&amp;'IND TECH'!D1975&amp;" "&amp;'IND TECH'!E1975&amp;" "&amp;'IND TECH'!F1975&amp;" "&amp;'IND TECH'!G1975&amp;" "&amp;'IND TECH'!H1975</f>
        <v xml:space="preserve">       </v>
      </c>
      <c r="E1977" t="e">
        <f t="shared" si="10"/>
        <v>#REF!</v>
      </c>
      <c r="F1977" t="e">
        <f>'IND TECH'!#REF!</f>
        <v>#REF!</v>
      </c>
    </row>
    <row r="1978" spans="3:6" x14ac:dyDescent="0.25">
      <c r="C1978">
        <f>'IND TECH'!L1976</f>
        <v>0</v>
      </c>
      <c r="D1978" t="str">
        <f>'IND TECH'!A1976&amp;" "&amp;'IND TECH'!B1976&amp;" "&amp;'IND TECH'!C1976&amp;" "&amp;'IND TECH'!D1976&amp;" "&amp;'IND TECH'!E1976&amp;" "&amp;'IND TECH'!F1976&amp;" "&amp;'IND TECH'!G1976&amp;" "&amp;'IND TECH'!H1976</f>
        <v xml:space="preserve">       </v>
      </c>
      <c r="E1978" t="e">
        <f t="shared" si="10"/>
        <v>#REF!</v>
      </c>
      <c r="F1978" t="e">
        <f>'IND TECH'!#REF!</f>
        <v>#REF!</v>
      </c>
    </row>
    <row r="1979" spans="3:6" x14ac:dyDescent="0.25">
      <c r="C1979">
        <f>'IND TECH'!L1977</f>
        <v>0</v>
      </c>
      <c r="D1979" t="str">
        <f>'IND TECH'!A1977&amp;" "&amp;'IND TECH'!B1977&amp;" "&amp;'IND TECH'!C1977&amp;" "&amp;'IND TECH'!D1977&amp;" "&amp;'IND TECH'!E1977&amp;" "&amp;'IND TECH'!F1977&amp;" "&amp;'IND TECH'!G1977&amp;" "&amp;'IND TECH'!H1977</f>
        <v xml:space="preserve">       </v>
      </c>
      <c r="E1979" t="e">
        <f t="shared" si="10"/>
        <v>#REF!</v>
      </c>
      <c r="F1979" t="e">
        <f>'IND TECH'!#REF!</f>
        <v>#REF!</v>
      </c>
    </row>
    <row r="1980" spans="3:6" x14ac:dyDescent="0.25">
      <c r="C1980">
        <f>'IND TECH'!L1978</f>
        <v>0</v>
      </c>
      <c r="D1980" t="str">
        <f>'IND TECH'!A1978&amp;" "&amp;'IND TECH'!B1978&amp;" "&amp;'IND TECH'!C1978&amp;" "&amp;'IND TECH'!D1978&amp;" "&amp;'IND TECH'!E1978&amp;" "&amp;'IND TECH'!F1978&amp;" "&amp;'IND TECH'!G1978&amp;" "&amp;'IND TECH'!H1978</f>
        <v xml:space="preserve">       </v>
      </c>
      <c r="E1980" t="e">
        <f t="shared" si="10"/>
        <v>#REF!</v>
      </c>
      <c r="F1980" t="e">
        <f>'IND TECH'!#REF!</f>
        <v>#REF!</v>
      </c>
    </row>
    <row r="1981" spans="3:6" x14ac:dyDescent="0.25">
      <c r="C1981">
        <f>'IND TECH'!L1979</f>
        <v>0</v>
      </c>
      <c r="D1981" t="str">
        <f>'IND TECH'!A1979&amp;" "&amp;'IND TECH'!B1979&amp;" "&amp;'IND TECH'!C1979&amp;" "&amp;'IND TECH'!D1979&amp;" "&amp;'IND TECH'!E1979&amp;" "&amp;'IND TECH'!F1979&amp;" "&amp;'IND TECH'!G1979&amp;" "&amp;'IND TECH'!H1979</f>
        <v xml:space="preserve">       </v>
      </c>
      <c r="E1981" t="e">
        <f t="shared" si="10"/>
        <v>#REF!</v>
      </c>
      <c r="F1981" t="e">
        <f>'IND TECH'!#REF!</f>
        <v>#REF!</v>
      </c>
    </row>
    <row r="1982" spans="3:6" x14ac:dyDescent="0.25">
      <c r="C1982">
        <f>'IND TECH'!L1980</f>
        <v>0</v>
      </c>
      <c r="D1982" t="str">
        <f>'IND TECH'!A1980&amp;" "&amp;'IND TECH'!B1980&amp;" "&amp;'IND TECH'!C1980&amp;" "&amp;'IND TECH'!D1980&amp;" "&amp;'IND TECH'!E1980&amp;" "&amp;'IND TECH'!F1980&amp;" "&amp;'IND TECH'!G1980&amp;" "&amp;'IND TECH'!H1980</f>
        <v xml:space="preserve">       </v>
      </c>
      <c r="E1982" t="e">
        <f t="shared" si="10"/>
        <v>#REF!</v>
      </c>
      <c r="F1982" t="e">
        <f>'IND TECH'!#REF!</f>
        <v>#REF!</v>
      </c>
    </row>
    <row r="1983" spans="3:6" x14ac:dyDescent="0.25">
      <c r="C1983">
        <f>'IND TECH'!L1981</f>
        <v>0</v>
      </c>
      <c r="D1983" t="str">
        <f>'IND TECH'!A1981&amp;" "&amp;'IND TECH'!B1981&amp;" "&amp;'IND TECH'!C1981&amp;" "&amp;'IND TECH'!D1981&amp;" "&amp;'IND TECH'!E1981&amp;" "&amp;'IND TECH'!F1981&amp;" "&amp;'IND TECH'!G1981&amp;" "&amp;'IND TECH'!H1981</f>
        <v xml:space="preserve">       </v>
      </c>
      <c r="E1983" t="e">
        <f t="shared" si="10"/>
        <v>#REF!</v>
      </c>
      <c r="F1983" t="e">
        <f>'IND TECH'!#REF!</f>
        <v>#REF!</v>
      </c>
    </row>
    <row r="1984" spans="3:6" x14ac:dyDescent="0.25">
      <c r="C1984">
        <f>'IND TECH'!L1982</f>
        <v>0</v>
      </c>
      <c r="D1984" t="str">
        <f>'IND TECH'!A1982&amp;" "&amp;'IND TECH'!B1982&amp;" "&amp;'IND TECH'!C1982&amp;" "&amp;'IND TECH'!D1982&amp;" "&amp;'IND TECH'!E1982&amp;" "&amp;'IND TECH'!F1982&amp;" "&amp;'IND TECH'!G1982&amp;" "&amp;'IND TECH'!H1982</f>
        <v xml:space="preserve">       </v>
      </c>
      <c r="E1984" t="e">
        <f t="shared" si="10"/>
        <v>#REF!</v>
      </c>
      <c r="F1984" t="e">
        <f>'IND TECH'!#REF!</f>
        <v>#REF!</v>
      </c>
    </row>
    <row r="1985" spans="3:6" x14ac:dyDescent="0.25">
      <c r="C1985">
        <f>'IND TECH'!L1983</f>
        <v>0</v>
      </c>
      <c r="D1985" t="str">
        <f>'IND TECH'!A1983&amp;" "&amp;'IND TECH'!B1983&amp;" "&amp;'IND TECH'!C1983&amp;" "&amp;'IND TECH'!D1983&amp;" "&amp;'IND TECH'!E1983&amp;" "&amp;'IND TECH'!F1983&amp;" "&amp;'IND TECH'!G1983&amp;" "&amp;'IND TECH'!H1983</f>
        <v xml:space="preserve">       </v>
      </c>
      <c r="E1985" t="e">
        <f t="shared" si="10"/>
        <v>#REF!</v>
      </c>
      <c r="F1985" t="e">
        <f>'IND TECH'!#REF!</f>
        <v>#REF!</v>
      </c>
    </row>
    <row r="1986" spans="3:6" x14ac:dyDescent="0.25">
      <c r="C1986">
        <f>'IND TECH'!L1984</f>
        <v>0</v>
      </c>
      <c r="D1986" t="str">
        <f>'IND TECH'!A1984&amp;" "&amp;'IND TECH'!B1984&amp;" "&amp;'IND TECH'!C1984&amp;" "&amp;'IND TECH'!D1984&amp;" "&amp;'IND TECH'!E1984&amp;" "&amp;'IND TECH'!F1984&amp;" "&amp;'IND TECH'!G1984&amp;" "&amp;'IND TECH'!H1984</f>
        <v xml:space="preserve">       </v>
      </c>
      <c r="E1986" t="e">
        <f t="shared" si="10"/>
        <v>#REF!</v>
      </c>
      <c r="F1986" t="e">
        <f>'IND TECH'!#REF!</f>
        <v>#REF!</v>
      </c>
    </row>
    <row r="1987" spans="3:6" x14ac:dyDescent="0.25">
      <c r="C1987">
        <f>'IND TECH'!L1985</f>
        <v>0</v>
      </c>
      <c r="D1987" t="str">
        <f>'IND TECH'!A1985&amp;" "&amp;'IND TECH'!B1985&amp;" "&amp;'IND TECH'!C1985&amp;" "&amp;'IND TECH'!D1985&amp;" "&amp;'IND TECH'!E1985&amp;" "&amp;'IND TECH'!F1985&amp;" "&amp;'IND TECH'!G1985&amp;" "&amp;'IND TECH'!H1985</f>
        <v xml:space="preserve">       </v>
      </c>
      <c r="E1987" t="e">
        <f t="shared" si="10"/>
        <v>#REF!</v>
      </c>
      <c r="F1987" t="e">
        <f>'IND TECH'!#REF!</f>
        <v>#REF!</v>
      </c>
    </row>
    <row r="1988" spans="3:6" x14ac:dyDescent="0.25">
      <c r="C1988">
        <f>'IND TECH'!L1986</f>
        <v>0</v>
      </c>
      <c r="D1988" t="str">
        <f>'IND TECH'!A1986&amp;" "&amp;'IND TECH'!B1986&amp;" "&amp;'IND TECH'!C1986&amp;" "&amp;'IND TECH'!D1986&amp;" "&amp;'IND TECH'!E1986&amp;" "&amp;'IND TECH'!F1986&amp;" "&amp;'IND TECH'!G1986&amp;" "&amp;'IND TECH'!H1986</f>
        <v xml:space="preserve">       </v>
      </c>
      <c r="E1988" t="e">
        <f t="shared" si="10"/>
        <v>#REF!</v>
      </c>
      <c r="F1988" t="e">
        <f>'IND TECH'!#REF!</f>
        <v>#REF!</v>
      </c>
    </row>
    <row r="1989" spans="3:6" x14ac:dyDescent="0.25">
      <c r="C1989">
        <f>'IND TECH'!L1987</f>
        <v>0</v>
      </c>
      <c r="D1989" t="str">
        <f>'IND TECH'!A1987&amp;" "&amp;'IND TECH'!B1987&amp;" "&amp;'IND TECH'!C1987&amp;" "&amp;'IND TECH'!D1987&amp;" "&amp;'IND TECH'!E1987&amp;" "&amp;'IND TECH'!F1987&amp;" "&amp;'IND TECH'!G1987&amp;" "&amp;'IND TECH'!H1987</f>
        <v xml:space="preserve">       </v>
      </c>
      <c r="E1989" t="e">
        <f t="shared" si="10"/>
        <v>#REF!</v>
      </c>
      <c r="F1989" t="e">
        <f>'IND TECH'!#REF!</f>
        <v>#REF!</v>
      </c>
    </row>
    <row r="1990" spans="3:6" x14ac:dyDescent="0.25">
      <c r="C1990">
        <f>'IND TECH'!L1988</f>
        <v>0</v>
      </c>
      <c r="D1990" t="str">
        <f>'IND TECH'!A1988&amp;" "&amp;'IND TECH'!B1988&amp;" "&amp;'IND TECH'!C1988&amp;" "&amp;'IND TECH'!D1988&amp;" "&amp;'IND TECH'!E1988&amp;" "&amp;'IND TECH'!F1988&amp;" "&amp;'IND TECH'!G1988&amp;" "&amp;'IND TECH'!H1988</f>
        <v xml:space="preserve">       </v>
      </c>
      <c r="E1990" t="e">
        <f t="shared" si="10"/>
        <v>#REF!</v>
      </c>
      <c r="F1990" t="e">
        <f>'IND TECH'!#REF!</f>
        <v>#REF!</v>
      </c>
    </row>
    <row r="1991" spans="3:6" x14ac:dyDescent="0.25">
      <c r="C1991">
        <f>'IND TECH'!L1989</f>
        <v>0</v>
      </c>
      <c r="D1991" t="str">
        <f>'IND TECH'!A1989&amp;" "&amp;'IND TECH'!B1989&amp;" "&amp;'IND TECH'!C1989&amp;" "&amp;'IND TECH'!D1989&amp;" "&amp;'IND TECH'!E1989&amp;" "&amp;'IND TECH'!F1989&amp;" "&amp;'IND TECH'!G1989&amp;" "&amp;'IND TECH'!H1989</f>
        <v xml:space="preserve">       </v>
      </c>
      <c r="E1991" t="e">
        <f t="shared" si="10"/>
        <v>#REF!</v>
      </c>
      <c r="F1991" t="e">
        <f>'IND TECH'!#REF!</f>
        <v>#REF!</v>
      </c>
    </row>
    <row r="1992" spans="3:6" x14ac:dyDescent="0.25">
      <c r="C1992">
        <f>'IND TECH'!L1990</f>
        <v>0</v>
      </c>
      <c r="D1992" t="str">
        <f>'IND TECH'!A1990&amp;" "&amp;'IND TECH'!B1990&amp;" "&amp;'IND TECH'!C1990&amp;" "&amp;'IND TECH'!D1990&amp;" "&amp;'IND TECH'!E1990&amp;" "&amp;'IND TECH'!F1990&amp;" "&amp;'IND TECH'!G1990&amp;" "&amp;'IND TECH'!H1990</f>
        <v xml:space="preserve">       </v>
      </c>
      <c r="E1992" t="e">
        <f t="shared" si="10"/>
        <v>#REF!</v>
      </c>
      <c r="F1992" t="e">
        <f>'IND TECH'!#REF!</f>
        <v>#REF!</v>
      </c>
    </row>
    <row r="1993" spans="3:6" x14ac:dyDescent="0.25">
      <c r="C1993">
        <f>'IND TECH'!L1991</f>
        <v>0</v>
      </c>
      <c r="D1993" t="str">
        <f>'IND TECH'!A1991&amp;" "&amp;'IND TECH'!B1991&amp;" "&amp;'IND TECH'!C1991&amp;" "&amp;'IND TECH'!D1991&amp;" "&amp;'IND TECH'!E1991&amp;" "&amp;'IND TECH'!F1991&amp;" "&amp;'IND TECH'!G1991&amp;" "&amp;'IND TECH'!H1991</f>
        <v xml:space="preserve">       </v>
      </c>
      <c r="E1993" t="e">
        <f t="shared" si="10"/>
        <v>#REF!</v>
      </c>
      <c r="F1993" t="e">
        <f>'IND TECH'!#REF!</f>
        <v>#REF!</v>
      </c>
    </row>
    <row r="1994" spans="3:6" x14ac:dyDescent="0.25">
      <c r="C1994">
        <f>'IND TECH'!L1992</f>
        <v>0</v>
      </c>
      <c r="D1994" t="str">
        <f>'IND TECH'!A1992&amp;" "&amp;'IND TECH'!B1992&amp;" "&amp;'IND TECH'!C1992&amp;" "&amp;'IND TECH'!D1992&amp;" "&amp;'IND TECH'!E1992&amp;" "&amp;'IND TECH'!F1992&amp;" "&amp;'IND TECH'!G1992&amp;" "&amp;'IND TECH'!H1992</f>
        <v xml:space="preserve">       </v>
      </c>
      <c r="E1994" t="e">
        <f t="shared" si="10"/>
        <v>#REF!</v>
      </c>
      <c r="F1994" t="e">
        <f>'IND TECH'!#REF!</f>
        <v>#REF!</v>
      </c>
    </row>
    <row r="1995" spans="3:6" x14ac:dyDescent="0.25">
      <c r="C1995">
        <f>'IND TECH'!L1993</f>
        <v>0</v>
      </c>
      <c r="D1995" t="str">
        <f>'IND TECH'!A1993&amp;" "&amp;'IND TECH'!B1993&amp;" "&amp;'IND TECH'!C1993&amp;" "&amp;'IND TECH'!D1993&amp;" "&amp;'IND TECH'!E1993&amp;" "&amp;'IND TECH'!F1993&amp;" "&amp;'IND TECH'!G1993&amp;" "&amp;'IND TECH'!H1993</f>
        <v xml:space="preserve">       </v>
      </c>
      <c r="E1995" t="e">
        <f t="shared" si="10"/>
        <v>#REF!</v>
      </c>
      <c r="F1995" t="e">
        <f>'IND TECH'!#REF!</f>
        <v>#REF!</v>
      </c>
    </row>
    <row r="1996" spans="3:6" x14ac:dyDescent="0.25">
      <c r="C1996">
        <f>'IND TECH'!L1994</f>
        <v>0</v>
      </c>
      <c r="D1996" t="str">
        <f>'IND TECH'!A1994&amp;" "&amp;'IND TECH'!B1994&amp;" "&amp;'IND TECH'!C1994&amp;" "&amp;'IND TECH'!D1994&amp;" "&amp;'IND TECH'!E1994&amp;" "&amp;'IND TECH'!F1994&amp;" "&amp;'IND TECH'!G1994&amp;" "&amp;'IND TECH'!H1994</f>
        <v xml:space="preserve">       </v>
      </c>
      <c r="E1996" t="e">
        <f t="shared" si="10"/>
        <v>#REF!</v>
      </c>
      <c r="F1996" t="e">
        <f>'IND TECH'!#REF!</f>
        <v>#REF!</v>
      </c>
    </row>
    <row r="1997" spans="3:6" x14ac:dyDescent="0.25">
      <c r="C1997">
        <f>'IND TECH'!L1995</f>
        <v>0</v>
      </c>
      <c r="D1997" t="str">
        <f>'IND TECH'!A1995&amp;" "&amp;'IND TECH'!B1995&amp;" "&amp;'IND TECH'!C1995&amp;" "&amp;'IND TECH'!D1995&amp;" "&amp;'IND TECH'!E1995&amp;" "&amp;'IND TECH'!F1995&amp;" "&amp;'IND TECH'!G1995&amp;" "&amp;'IND TECH'!H1995</f>
        <v xml:space="preserve">       </v>
      </c>
      <c r="E1997" t="e">
        <f t="shared" si="10"/>
        <v>#REF!</v>
      </c>
      <c r="F1997" t="e">
        <f>'IND TECH'!#REF!</f>
        <v>#REF!</v>
      </c>
    </row>
    <row r="1998" spans="3:6" x14ac:dyDescent="0.25">
      <c r="C1998">
        <f>'IND TECH'!L1996</f>
        <v>0</v>
      </c>
      <c r="D1998" t="str">
        <f>'IND TECH'!A1996&amp;" "&amp;'IND TECH'!B1996&amp;" "&amp;'IND TECH'!C1996&amp;" "&amp;'IND TECH'!D1996&amp;" "&amp;'IND TECH'!E1996&amp;" "&amp;'IND TECH'!F1996&amp;" "&amp;'IND TECH'!G1996&amp;" "&amp;'IND TECH'!H1996</f>
        <v xml:space="preserve">       </v>
      </c>
      <c r="E1998" t="e">
        <f t="shared" si="10"/>
        <v>#REF!</v>
      </c>
      <c r="F1998" t="e">
        <f>'IND TECH'!#REF!</f>
        <v>#REF!</v>
      </c>
    </row>
    <row r="1999" spans="3:6" x14ac:dyDescent="0.25">
      <c r="C1999">
        <f>'IND TECH'!L1997</f>
        <v>0</v>
      </c>
      <c r="D1999" t="str">
        <f>'IND TECH'!A1997&amp;" "&amp;'IND TECH'!B1997&amp;" "&amp;'IND TECH'!C1997&amp;" "&amp;'IND TECH'!D1997&amp;" "&amp;'IND TECH'!E1997&amp;" "&amp;'IND TECH'!F1997&amp;" "&amp;'IND TECH'!G1997&amp;" "&amp;'IND TECH'!H1997</f>
        <v xml:space="preserve">       </v>
      </c>
      <c r="E1999" t="e">
        <f t="shared" si="10"/>
        <v>#REF!</v>
      </c>
      <c r="F1999" t="e">
        <f>'IND TECH'!#REF!</f>
        <v>#REF!</v>
      </c>
    </row>
    <row r="2000" spans="3:6" x14ac:dyDescent="0.25">
      <c r="C2000">
        <f>'IND TECH'!L1998</f>
        <v>0</v>
      </c>
      <c r="D2000" t="str">
        <f>'IND TECH'!A1998&amp;" "&amp;'IND TECH'!B1998&amp;" "&amp;'IND TECH'!C1998&amp;" "&amp;'IND TECH'!D1998&amp;" "&amp;'IND TECH'!E1998&amp;" "&amp;'IND TECH'!F1998&amp;" "&amp;'IND TECH'!G1998&amp;" "&amp;'IND TECH'!H1998</f>
        <v xml:space="preserve">       </v>
      </c>
      <c r="E2000" t="e">
        <f t="shared" si="10"/>
        <v>#REF!</v>
      </c>
      <c r="F2000" t="e">
        <f>'IND TECH'!#REF!</f>
        <v>#REF!</v>
      </c>
    </row>
    <row r="2001" spans="3:6" x14ac:dyDescent="0.25">
      <c r="C2001">
        <f>'IND TECH'!L1999</f>
        <v>0</v>
      </c>
      <c r="D2001" t="str">
        <f>'IND TECH'!A1999&amp;" "&amp;'IND TECH'!B1999&amp;" "&amp;'IND TECH'!C1999&amp;" "&amp;'IND TECH'!D1999&amp;" "&amp;'IND TECH'!E1999&amp;" "&amp;'IND TECH'!F1999&amp;" "&amp;'IND TECH'!G1999&amp;" "&amp;'IND TECH'!H1999</f>
        <v xml:space="preserve">       </v>
      </c>
      <c r="E2001" t="e">
        <f t="shared" si="10"/>
        <v>#REF!</v>
      </c>
      <c r="F2001" t="e">
        <f>'IND TECH'!#REF!</f>
        <v>#REF!</v>
      </c>
    </row>
    <row r="2002" spans="3:6" x14ac:dyDescent="0.25">
      <c r="C2002">
        <f>'IND TECH'!L2000</f>
        <v>0</v>
      </c>
      <c r="D2002" t="str">
        <f>'IND TECH'!A2000&amp;" "&amp;'IND TECH'!B2000&amp;" "&amp;'IND TECH'!C2000&amp;" "&amp;'IND TECH'!D2000&amp;" "&amp;'IND TECH'!E2000&amp;" "&amp;'IND TECH'!F2000&amp;" "&amp;'IND TECH'!G2000&amp;" "&amp;'IND TECH'!H2000</f>
        <v xml:space="preserve">       </v>
      </c>
      <c r="E2002" t="e">
        <f t="shared" si="10"/>
        <v>#REF!</v>
      </c>
      <c r="F2002" t="e">
        <f>'IND TECH'!#REF!</f>
        <v>#REF!</v>
      </c>
    </row>
    <row r="2003" spans="3:6" x14ac:dyDescent="0.25">
      <c r="C2003">
        <f>'IND TECH'!L2001</f>
        <v>0</v>
      </c>
      <c r="D2003" t="str">
        <f>'IND TECH'!A2001&amp;" "&amp;'IND TECH'!B2001&amp;" "&amp;'IND TECH'!C2001&amp;" "&amp;'IND TECH'!D2001&amp;" "&amp;'IND TECH'!E2001&amp;" "&amp;'IND TECH'!F2001&amp;" "&amp;'IND TECH'!G2001&amp;" "&amp;'IND TECH'!H2001</f>
        <v xml:space="preserve">       </v>
      </c>
      <c r="E2003" t="e">
        <f t="shared" ref="E2003:E2066" si="11">IF(F2003="Mlma","Mlm","TJ")</f>
        <v>#REF!</v>
      </c>
      <c r="F2003" t="e">
        <f>'IND TECH'!#REF!</f>
        <v>#REF!</v>
      </c>
    </row>
    <row r="2004" spans="3:6" x14ac:dyDescent="0.25">
      <c r="C2004">
        <f>'IND TECH'!L2002</f>
        <v>0</v>
      </c>
      <c r="D2004" t="str">
        <f>'IND TECH'!A2002&amp;" "&amp;'IND TECH'!B2002&amp;" "&amp;'IND TECH'!C2002&amp;" "&amp;'IND TECH'!D2002&amp;" "&amp;'IND TECH'!E2002&amp;" "&amp;'IND TECH'!F2002&amp;" "&amp;'IND TECH'!G2002&amp;" "&amp;'IND TECH'!H2002</f>
        <v xml:space="preserve">       </v>
      </c>
      <c r="E2004" t="e">
        <f t="shared" si="11"/>
        <v>#REF!</v>
      </c>
      <c r="F2004" t="e">
        <f>'IND TECH'!#REF!</f>
        <v>#REF!</v>
      </c>
    </row>
    <row r="2005" spans="3:6" x14ac:dyDescent="0.25">
      <c r="C2005">
        <f>'IND TECH'!L2003</f>
        <v>0</v>
      </c>
      <c r="D2005" t="str">
        <f>'IND TECH'!A2003&amp;" "&amp;'IND TECH'!B2003&amp;" "&amp;'IND TECH'!C2003&amp;" "&amp;'IND TECH'!D2003&amp;" "&amp;'IND TECH'!E2003&amp;" "&amp;'IND TECH'!F2003&amp;" "&amp;'IND TECH'!G2003&amp;" "&amp;'IND TECH'!H2003</f>
        <v xml:space="preserve">       </v>
      </c>
      <c r="E2005" t="e">
        <f t="shared" si="11"/>
        <v>#REF!</v>
      </c>
      <c r="F2005" t="e">
        <f>'IND TECH'!#REF!</f>
        <v>#REF!</v>
      </c>
    </row>
    <row r="2006" spans="3:6" x14ac:dyDescent="0.25">
      <c r="C2006">
        <f>'IND TECH'!L2004</f>
        <v>0</v>
      </c>
      <c r="D2006" t="str">
        <f>'IND TECH'!A2004&amp;" "&amp;'IND TECH'!B2004&amp;" "&amp;'IND TECH'!C2004&amp;" "&amp;'IND TECH'!D2004&amp;" "&amp;'IND TECH'!E2004&amp;" "&amp;'IND TECH'!F2004&amp;" "&amp;'IND TECH'!G2004&amp;" "&amp;'IND TECH'!H2004</f>
        <v xml:space="preserve">       </v>
      </c>
      <c r="E2006" t="e">
        <f t="shared" si="11"/>
        <v>#REF!</v>
      </c>
      <c r="F2006" t="e">
        <f>'IND TECH'!#REF!</f>
        <v>#REF!</v>
      </c>
    </row>
    <row r="2007" spans="3:6" x14ac:dyDescent="0.25">
      <c r="C2007">
        <f>'IND TECH'!L2005</f>
        <v>0</v>
      </c>
      <c r="D2007" t="str">
        <f>'IND TECH'!A2005&amp;" "&amp;'IND TECH'!B2005&amp;" "&amp;'IND TECH'!C2005&amp;" "&amp;'IND TECH'!D2005&amp;" "&amp;'IND TECH'!E2005&amp;" "&amp;'IND TECH'!F2005&amp;" "&amp;'IND TECH'!G2005&amp;" "&amp;'IND TECH'!H2005</f>
        <v xml:space="preserve">       </v>
      </c>
      <c r="E2007" t="e">
        <f t="shared" si="11"/>
        <v>#REF!</v>
      </c>
      <c r="F2007" t="e">
        <f>'IND TECH'!#REF!</f>
        <v>#REF!</v>
      </c>
    </row>
    <row r="2008" spans="3:6" x14ac:dyDescent="0.25">
      <c r="C2008">
        <f>'IND TECH'!L2006</f>
        <v>0</v>
      </c>
      <c r="D2008" t="str">
        <f>'IND TECH'!A2006&amp;" "&amp;'IND TECH'!B2006&amp;" "&amp;'IND TECH'!C2006&amp;" "&amp;'IND TECH'!D2006&amp;" "&amp;'IND TECH'!E2006&amp;" "&amp;'IND TECH'!F2006&amp;" "&amp;'IND TECH'!G2006&amp;" "&amp;'IND TECH'!H2006</f>
        <v xml:space="preserve">       </v>
      </c>
      <c r="E2008" t="e">
        <f t="shared" si="11"/>
        <v>#REF!</v>
      </c>
      <c r="F2008" t="e">
        <f>'IND TECH'!#REF!</f>
        <v>#REF!</v>
      </c>
    </row>
    <row r="2009" spans="3:6" x14ac:dyDescent="0.25">
      <c r="C2009">
        <f>'IND TECH'!L2007</f>
        <v>0</v>
      </c>
      <c r="D2009" t="str">
        <f>'IND TECH'!A2007&amp;" "&amp;'IND TECH'!B2007&amp;" "&amp;'IND TECH'!C2007&amp;" "&amp;'IND TECH'!D2007&amp;" "&amp;'IND TECH'!E2007&amp;" "&amp;'IND TECH'!F2007&amp;" "&amp;'IND TECH'!G2007&amp;" "&amp;'IND TECH'!H2007</f>
        <v xml:space="preserve">       </v>
      </c>
      <c r="E2009" t="e">
        <f t="shared" si="11"/>
        <v>#REF!</v>
      </c>
      <c r="F2009" t="e">
        <f>'IND TECH'!#REF!</f>
        <v>#REF!</v>
      </c>
    </row>
    <row r="2010" spans="3:6" x14ac:dyDescent="0.25">
      <c r="C2010">
        <f>'IND TECH'!L2008</f>
        <v>0</v>
      </c>
      <c r="D2010" t="str">
        <f>'IND TECH'!A2008&amp;" "&amp;'IND TECH'!B2008&amp;" "&amp;'IND TECH'!C2008&amp;" "&amp;'IND TECH'!D2008&amp;" "&amp;'IND TECH'!E2008&amp;" "&amp;'IND TECH'!F2008&amp;" "&amp;'IND TECH'!G2008&amp;" "&amp;'IND TECH'!H2008</f>
        <v xml:space="preserve">       </v>
      </c>
      <c r="E2010" t="e">
        <f t="shared" si="11"/>
        <v>#REF!</v>
      </c>
      <c r="F2010" t="e">
        <f>'IND TECH'!#REF!</f>
        <v>#REF!</v>
      </c>
    </row>
    <row r="2011" spans="3:6" x14ac:dyDescent="0.25">
      <c r="C2011">
        <f>'IND TECH'!L2009</f>
        <v>0</v>
      </c>
      <c r="D2011" t="str">
        <f>'IND TECH'!A2009&amp;" "&amp;'IND TECH'!B2009&amp;" "&amp;'IND TECH'!C2009&amp;" "&amp;'IND TECH'!D2009&amp;" "&amp;'IND TECH'!E2009&amp;" "&amp;'IND TECH'!F2009&amp;" "&amp;'IND TECH'!G2009&amp;" "&amp;'IND TECH'!H2009</f>
        <v xml:space="preserve">       </v>
      </c>
      <c r="E2011" t="e">
        <f t="shared" si="11"/>
        <v>#REF!</v>
      </c>
      <c r="F2011" t="e">
        <f>'IND TECH'!#REF!</f>
        <v>#REF!</v>
      </c>
    </row>
    <row r="2012" spans="3:6" x14ac:dyDescent="0.25">
      <c r="C2012">
        <f>'IND TECH'!L2010</f>
        <v>0</v>
      </c>
      <c r="D2012" t="str">
        <f>'IND TECH'!A2010&amp;" "&amp;'IND TECH'!B2010&amp;" "&amp;'IND TECH'!C2010&amp;" "&amp;'IND TECH'!D2010&amp;" "&amp;'IND TECH'!E2010&amp;" "&amp;'IND TECH'!F2010&amp;" "&amp;'IND TECH'!G2010&amp;" "&amp;'IND TECH'!H2010</f>
        <v xml:space="preserve">       </v>
      </c>
      <c r="E2012" t="e">
        <f t="shared" si="11"/>
        <v>#REF!</v>
      </c>
      <c r="F2012" t="e">
        <f>'IND TECH'!#REF!</f>
        <v>#REF!</v>
      </c>
    </row>
    <row r="2013" spans="3:6" x14ac:dyDescent="0.25">
      <c r="C2013">
        <f>'IND TECH'!L2011</f>
        <v>0</v>
      </c>
      <c r="D2013" t="str">
        <f>'IND TECH'!A2011&amp;" "&amp;'IND TECH'!B2011&amp;" "&amp;'IND TECH'!C2011&amp;" "&amp;'IND TECH'!D2011&amp;" "&amp;'IND TECH'!E2011&amp;" "&amp;'IND TECH'!F2011&amp;" "&amp;'IND TECH'!G2011&amp;" "&amp;'IND TECH'!H2011</f>
        <v xml:space="preserve">       </v>
      </c>
      <c r="E2013" t="e">
        <f t="shared" si="11"/>
        <v>#REF!</v>
      </c>
      <c r="F2013" t="e">
        <f>'IND TECH'!#REF!</f>
        <v>#REF!</v>
      </c>
    </row>
    <row r="2014" spans="3:6" x14ac:dyDescent="0.25">
      <c r="C2014">
        <f>'IND TECH'!L2012</f>
        <v>0</v>
      </c>
      <c r="D2014" t="str">
        <f>'IND TECH'!A2012&amp;" "&amp;'IND TECH'!B2012&amp;" "&amp;'IND TECH'!C2012&amp;" "&amp;'IND TECH'!D2012&amp;" "&amp;'IND TECH'!E2012&amp;" "&amp;'IND TECH'!F2012&amp;" "&amp;'IND TECH'!G2012&amp;" "&amp;'IND TECH'!H2012</f>
        <v xml:space="preserve">       </v>
      </c>
      <c r="E2014" t="e">
        <f t="shared" si="11"/>
        <v>#REF!</v>
      </c>
      <c r="F2014" t="e">
        <f>'IND TECH'!#REF!</f>
        <v>#REF!</v>
      </c>
    </row>
    <row r="2015" spans="3:6" x14ac:dyDescent="0.25">
      <c r="C2015">
        <f>'IND TECH'!L2013</f>
        <v>0</v>
      </c>
      <c r="D2015" t="str">
        <f>'IND TECH'!A2013&amp;" "&amp;'IND TECH'!B2013&amp;" "&amp;'IND TECH'!C2013&amp;" "&amp;'IND TECH'!D2013&amp;" "&amp;'IND TECH'!E2013&amp;" "&amp;'IND TECH'!F2013&amp;" "&amp;'IND TECH'!G2013&amp;" "&amp;'IND TECH'!H2013</f>
        <v xml:space="preserve">       </v>
      </c>
      <c r="E2015" t="e">
        <f t="shared" si="11"/>
        <v>#REF!</v>
      </c>
      <c r="F2015" t="e">
        <f>'IND TECH'!#REF!</f>
        <v>#REF!</v>
      </c>
    </row>
    <row r="2016" spans="3:6" x14ac:dyDescent="0.25">
      <c r="C2016">
        <f>'IND TECH'!L2014</f>
        <v>0</v>
      </c>
      <c r="D2016" t="str">
        <f>'IND TECH'!A2014&amp;" "&amp;'IND TECH'!B2014&amp;" "&amp;'IND TECH'!C2014&amp;" "&amp;'IND TECH'!D2014&amp;" "&amp;'IND TECH'!E2014&amp;" "&amp;'IND TECH'!F2014&amp;" "&amp;'IND TECH'!G2014&amp;" "&amp;'IND TECH'!H2014</f>
        <v xml:space="preserve">       </v>
      </c>
      <c r="E2016" t="e">
        <f t="shared" si="11"/>
        <v>#REF!</v>
      </c>
      <c r="F2016" t="e">
        <f>'IND TECH'!#REF!</f>
        <v>#REF!</v>
      </c>
    </row>
    <row r="2017" spans="3:6" x14ac:dyDescent="0.25">
      <c r="C2017">
        <f>'IND TECH'!L2015</f>
        <v>0</v>
      </c>
      <c r="D2017" t="str">
        <f>'IND TECH'!A2015&amp;" "&amp;'IND TECH'!B2015&amp;" "&amp;'IND TECH'!C2015&amp;" "&amp;'IND TECH'!D2015&amp;" "&amp;'IND TECH'!E2015&amp;" "&amp;'IND TECH'!F2015&amp;" "&amp;'IND TECH'!G2015&amp;" "&amp;'IND TECH'!H2015</f>
        <v xml:space="preserve">       </v>
      </c>
      <c r="E2017" t="e">
        <f t="shared" si="11"/>
        <v>#REF!</v>
      </c>
      <c r="F2017" t="e">
        <f>'IND TECH'!#REF!</f>
        <v>#REF!</v>
      </c>
    </row>
    <row r="2018" spans="3:6" x14ac:dyDescent="0.25">
      <c r="C2018">
        <f>'IND TECH'!L2016</f>
        <v>0</v>
      </c>
      <c r="D2018" t="str">
        <f>'IND TECH'!A2016&amp;" "&amp;'IND TECH'!B2016&amp;" "&amp;'IND TECH'!C2016&amp;" "&amp;'IND TECH'!D2016&amp;" "&amp;'IND TECH'!E2016&amp;" "&amp;'IND TECH'!F2016&amp;" "&amp;'IND TECH'!G2016&amp;" "&amp;'IND TECH'!H2016</f>
        <v xml:space="preserve">       </v>
      </c>
      <c r="E2018" t="e">
        <f t="shared" si="11"/>
        <v>#REF!</v>
      </c>
      <c r="F2018" t="e">
        <f>'IND TECH'!#REF!</f>
        <v>#REF!</v>
      </c>
    </row>
    <row r="2019" spans="3:6" x14ac:dyDescent="0.25">
      <c r="C2019">
        <f>'IND TECH'!L2017</f>
        <v>0</v>
      </c>
      <c r="D2019" t="str">
        <f>'IND TECH'!A2017&amp;" "&amp;'IND TECH'!B2017&amp;" "&amp;'IND TECH'!C2017&amp;" "&amp;'IND TECH'!D2017&amp;" "&amp;'IND TECH'!E2017&amp;" "&amp;'IND TECH'!F2017&amp;" "&amp;'IND TECH'!G2017&amp;" "&amp;'IND TECH'!H2017</f>
        <v xml:space="preserve">       </v>
      </c>
      <c r="E2019" t="e">
        <f t="shared" si="11"/>
        <v>#REF!</v>
      </c>
      <c r="F2019" t="e">
        <f>'IND TECH'!#REF!</f>
        <v>#REF!</v>
      </c>
    </row>
    <row r="2020" spans="3:6" x14ac:dyDescent="0.25">
      <c r="C2020">
        <f>'IND TECH'!L2018</f>
        <v>0</v>
      </c>
      <c r="D2020" t="str">
        <f>'IND TECH'!A2018&amp;" "&amp;'IND TECH'!B2018&amp;" "&amp;'IND TECH'!C2018&amp;" "&amp;'IND TECH'!D2018&amp;" "&amp;'IND TECH'!E2018&amp;" "&amp;'IND TECH'!F2018&amp;" "&amp;'IND TECH'!G2018&amp;" "&amp;'IND TECH'!H2018</f>
        <v xml:space="preserve">       </v>
      </c>
      <c r="E2020" t="e">
        <f t="shared" si="11"/>
        <v>#REF!</v>
      </c>
      <c r="F2020" t="e">
        <f>'IND TECH'!#REF!</f>
        <v>#REF!</v>
      </c>
    </row>
    <row r="2021" spans="3:6" x14ac:dyDescent="0.25">
      <c r="C2021">
        <f>'IND TECH'!L2019</f>
        <v>0</v>
      </c>
      <c r="D2021" t="str">
        <f>'IND TECH'!A2019&amp;" "&amp;'IND TECH'!B2019&amp;" "&amp;'IND TECH'!C2019&amp;" "&amp;'IND TECH'!D2019&amp;" "&amp;'IND TECH'!E2019&amp;" "&amp;'IND TECH'!F2019&amp;" "&amp;'IND TECH'!G2019&amp;" "&amp;'IND TECH'!H2019</f>
        <v xml:space="preserve">       </v>
      </c>
      <c r="E2021" t="e">
        <f t="shared" si="11"/>
        <v>#REF!</v>
      </c>
      <c r="F2021" t="e">
        <f>'IND TECH'!#REF!</f>
        <v>#REF!</v>
      </c>
    </row>
    <row r="2022" spans="3:6" x14ac:dyDescent="0.25">
      <c r="C2022">
        <f>'IND TECH'!L2020</f>
        <v>0</v>
      </c>
      <c r="D2022" t="str">
        <f>'IND TECH'!A2020&amp;" "&amp;'IND TECH'!B2020&amp;" "&amp;'IND TECH'!C2020&amp;" "&amp;'IND TECH'!D2020&amp;" "&amp;'IND TECH'!E2020&amp;" "&amp;'IND TECH'!F2020&amp;" "&amp;'IND TECH'!G2020&amp;" "&amp;'IND TECH'!H2020</f>
        <v xml:space="preserve">       </v>
      </c>
      <c r="E2022" t="e">
        <f t="shared" si="11"/>
        <v>#REF!</v>
      </c>
      <c r="F2022" t="e">
        <f>'IND TECH'!#REF!</f>
        <v>#REF!</v>
      </c>
    </row>
    <row r="2023" spans="3:6" x14ac:dyDescent="0.25">
      <c r="C2023">
        <f>'IND TECH'!L2021</f>
        <v>0</v>
      </c>
      <c r="D2023" t="str">
        <f>'IND TECH'!A2021&amp;" "&amp;'IND TECH'!B2021&amp;" "&amp;'IND TECH'!C2021&amp;" "&amp;'IND TECH'!D2021&amp;" "&amp;'IND TECH'!E2021&amp;" "&amp;'IND TECH'!F2021&amp;" "&amp;'IND TECH'!G2021&amp;" "&amp;'IND TECH'!H2021</f>
        <v xml:space="preserve">       </v>
      </c>
      <c r="E2023" t="e">
        <f t="shared" si="11"/>
        <v>#REF!</v>
      </c>
      <c r="F2023" t="e">
        <f>'IND TECH'!#REF!</f>
        <v>#REF!</v>
      </c>
    </row>
    <row r="2024" spans="3:6" x14ac:dyDescent="0.25">
      <c r="C2024">
        <f>'IND TECH'!L2022</f>
        <v>0</v>
      </c>
      <c r="D2024" t="str">
        <f>'IND TECH'!A2022&amp;" "&amp;'IND TECH'!B2022&amp;" "&amp;'IND TECH'!C2022&amp;" "&amp;'IND TECH'!D2022&amp;" "&amp;'IND TECH'!E2022&amp;" "&amp;'IND TECH'!F2022&amp;" "&amp;'IND TECH'!G2022&amp;" "&amp;'IND TECH'!H2022</f>
        <v xml:space="preserve">       </v>
      </c>
      <c r="E2024" t="e">
        <f t="shared" si="11"/>
        <v>#REF!</v>
      </c>
      <c r="F2024" t="e">
        <f>'IND TECH'!#REF!</f>
        <v>#REF!</v>
      </c>
    </row>
    <row r="2025" spans="3:6" x14ac:dyDescent="0.25">
      <c r="C2025">
        <f>'IND TECH'!L2023</f>
        <v>0</v>
      </c>
      <c r="D2025" t="str">
        <f>'IND TECH'!A2023&amp;" "&amp;'IND TECH'!B2023&amp;" "&amp;'IND TECH'!C2023&amp;" "&amp;'IND TECH'!D2023&amp;" "&amp;'IND TECH'!E2023&amp;" "&amp;'IND TECH'!F2023&amp;" "&amp;'IND TECH'!G2023&amp;" "&amp;'IND TECH'!H2023</f>
        <v xml:space="preserve">       </v>
      </c>
      <c r="E2025" t="e">
        <f t="shared" si="11"/>
        <v>#REF!</v>
      </c>
      <c r="F2025" t="e">
        <f>'IND TECH'!#REF!</f>
        <v>#REF!</v>
      </c>
    </row>
    <row r="2026" spans="3:6" x14ac:dyDescent="0.25">
      <c r="C2026">
        <f>'IND TECH'!L2024</f>
        <v>0</v>
      </c>
      <c r="D2026" t="str">
        <f>'IND TECH'!A2024&amp;" "&amp;'IND TECH'!B2024&amp;" "&amp;'IND TECH'!C2024&amp;" "&amp;'IND TECH'!D2024&amp;" "&amp;'IND TECH'!E2024&amp;" "&amp;'IND TECH'!F2024&amp;" "&amp;'IND TECH'!G2024&amp;" "&amp;'IND TECH'!H2024</f>
        <v xml:space="preserve">       </v>
      </c>
      <c r="E2026" t="e">
        <f t="shared" si="11"/>
        <v>#REF!</v>
      </c>
      <c r="F2026" t="e">
        <f>'IND TECH'!#REF!</f>
        <v>#REF!</v>
      </c>
    </row>
    <row r="2027" spans="3:6" x14ac:dyDescent="0.25">
      <c r="C2027">
        <f>'IND TECH'!L2025</f>
        <v>0</v>
      </c>
      <c r="D2027" t="str">
        <f>'IND TECH'!A2025&amp;" "&amp;'IND TECH'!B2025&amp;" "&amp;'IND TECH'!C2025&amp;" "&amp;'IND TECH'!D2025&amp;" "&amp;'IND TECH'!E2025&amp;" "&amp;'IND TECH'!F2025&amp;" "&amp;'IND TECH'!G2025&amp;" "&amp;'IND TECH'!H2025</f>
        <v xml:space="preserve">       </v>
      </c>
      <c r="E2027" t="e">
        <f t="shared" si="11"/>
        <v>#REF!</v>
      </c>
      <c r="F2027" t="e">
        <f>'IND TECH'!#REF!</f>
        <v>#REF!</v>
      </c>
    </row>
    <row r="2028" spans="3:6" x14ac:dyDescent="0.25">
      <c r="C2028">
        <f>'IND TECH'!L2026</f>
        <v>0</v>
      </c>
      <c r="D2028" t="str">
        <f>'IND TECH'!A2026&amp;" "&amp;'IND TECH'!B2026&amp;" "&amp;'IND TECH'!C2026&amp;" "&amp;'IND TECH'!D2026&amp;" "&amp;'IND TECH'!E2026&amp;" "&amp;'IND TECH'!F2026&amp;" "&amp;'IND TECH'!G2026&amp;" "&amp;'IND TECH'!H2026</f>
        <v xml:space="preserve">       </v>
      </c>
      <c r="E2028" t="e">
        <f t="shared" si="11"/>
        <v>#REF!</v>
      </c>
      <c r="F2028" t="e">
        <f>'IND TECH'!#REF!</f>
        <v>#REF!</v>
      </c>
    </row>
    <row r="2029" spans="3:6" x14ac:dyDescent="0.25">
      <c r="C2029">
        <f>'IND TECH'!L2027</f>
        <v>0</v>
      </c>
      <c r="D2029" t="str">
        <f>'IND TECH'!A2027&amp;" "&amp;'IND TECH'!B2027&amp;" "&amp;'IND TECH'!C2027&amp;" "&amp;'IND TECH'!D2027&amp;" "&amp;'IND TECH'!E2027&amp;" "&amp;'IND TECH'!F2027&amp;" "&amp;'IND TECH'!G2027&amp;" "&amp;'IND TECH'!H2027</f>
        <v xml:space="preserve">       </v>
      </c>
      <c r="E2029" t="e">
        <f t="shared" si="11"/>
        <v>#REF!</v>
      </c>
      <c r="F2029" t="e">
        <f>'IND TECH'!#REF!</f>
        <v>#REF!</v>
      </c>
    </row>
    <row r="2030" spans="3:6" x14ac:dyDescent="0.25">
      <c r="C2030">
        <f>'IND TECH'!L2028</f>
        <v>0</v>
      </c>
      <c r="D2030" t="str">
        <f>'IND TECH'!A2028&amp;" "&amp;'IND TECH'!B2028&amp;" "&amp;'IND TECH'!C2028&amp;" "&amp;'IND TECH'!D2028&amp;" "&amp;'IND TECH'!E2028&amp;" "&amp;'IND TECH'!F2028&amp;" "&amp;'IND TECH'!G2028&amp;" "&amp;'IND TECH'!H2028</f>
        <v xml:space="preserve">       </v>
      </c>
      <c r="E2030" t="e">
        <f t="shared" si="11"/>
        <v>#REF!</v>
      </c>
      <c r="F2030" t="e">
        <f>'IND TECH'!#REF!</f>
        <v>#REF!</v>
      </c>
    </row>
    <row r="2031" spans="3:6" x14ac:dyDescent="0.25">
      <c r="C2031">
        <f>'IND TECH'!L2029</f>
        <v>0</v>
      </c>
      <c r="D2031" t="str">
        <f>'IND TECH'!A2029&amp;" "&amp;'IND TECH'!B2029&amp;" "&amp;'IND TECH'!C2029&amp;" "&amp;'IND TECH'!D2029&amp;" "&amp;'IND TECH'!E2029&amp;" "&amp;'IND TECH'!F2029&amp;" "&amp;'IND TECH'!G2029&amp;" "&amp;'IND TECH'!H2029</f>
        <v xml:space="preserve">       </v>
      </c>
      <c r="E2031" t="e">
        <f t="shared" si="11"/>
        <v>#REF!</v>
      </c>
      <c r="F2031" t="e">
        <f>'IND TECH'!#REF!</f>
        <v>#REF!</v>
      </c>
    </row>
    <row r="2032" spans="3:6" x14ac:dyDescent="0.25">
      <c r="C2032">
        <f>'IND TECH'!L2030</f>
        <v>0</v>
      </c>
      <c r="D2032" t="str">
        <f>'IND TECH'!A2030&amp;" "&amp;'IND TECH'!B2030&amp;" "&amp;'IND TECH'!C2030&amp;" "&amp;'IND TECH'!D2030&amp;" "&amp;'IND TECH'!E2030&amp;" "&amp;'IND TECH'!F2030&amp;" "&amp;'IND TECH'!G2030&amp;" "&amp;'IND TECH'!H2030</f>
        <v xml:space="preserve">       </v>
      </c>
      <c r="E2032" t="e">
        <f t="shared" si="11"/>
        <v>#REF!</v>
      </c>
      <c r="F2032" t="e">
        <f>'IND TECH'!#REF!</f>
        <v>#REF!</v>
      </c>
    </row>
    <row r="2033" spans="3:6" x14ac:dyDescent="0.25">
      <c r="C2033">
        <f>'IND TECH'!L2031</f>
        <v>0</v>
      </c>
      <c r="D2033" t="str">
        <f>'IND TECH'!A2031&amp;" "&amp;'IND TECH'!B2031&amp;" "&amp;'IND TECH'!C2031&amp;" "&amp;'IND TECH'!D2031&amp;" "&amp;'IND TECH'!E2031&amp;" "&amp;'IND TECH'!F2031&amp;" "&amp;'IND TECH'!G2031&amp;" "&amp;'IND TECH'!H2031</f>
        <v xml:space="preserve">       </v>
      </c>
      <c r="E2033" t="e">
        <f t="shared" si="11"/>
        <v>#REF!</v>
      </c>
      <c r="F2033" t="e">
        <f>'IND TECH'!#REF!</f>
        <v>#REF!</v>
      </c>
    </row>
    <row r="2034" spans="3:6" x14ac:dyDescent="0.25">
      <c r="C2034">
        <f>'IND TECH'!L2032</f>
        <v>0</v>
      </c>
      <c r="D2034" t="str">
        <f>'IND TECH'!A2032&amp;" "&amp;'IND TECH'!B2032&amp;" "&amp;'IND TECH'!C2032&amp;" "&amp;'IND TECH'!D2032&amp;" "&amp;'IND TECH'!E2032&amp;" "&amp;'IND TECH'!F2032&amp;" "&amp;'IND TECH'!G2032&amp;" "&amp;'IND TECH'!H2032</f>
        <v xml:space="preserve">       </v>
      </c>
      <c r="E2034" t="e">
        <f t="shared" si="11"/>
        <v>#REF!</v>
      </c>
      <c r="F2034" t="e">
        <f>'IND TECH'!#REF!</f>
        <v>#REF!</v>
      </c>
    </row>
    <row r="2035" spans="3:6" x14ac:dyDescent="0.25">
      <c r="C2035">
        <f>'IND TECH'!L2033</f>
        <v>0</v>
      </c>
      <c r="D2035" t="str">
        <f>'IND TECH'!A2033&amp;" "&amp;'IND TECH'!B2033&amp;" "&amp;'IND TECH'!C2033&amp;" "&amp;'IND TECH'!D2033&amp;" "&amp;'IND TECH'!E2033&amp;" "&amp;'IND TECH'!F2033&amp;" "&amp;'IND TECH'!G2033&amp;" "&amp;'IND TECH'!H2033</f>
        <v xml:space="preserve">       </v>
      </c>
      <c r="E2035" t="e">
        <f t="shared" si="11"/>
        <v>#REF!</v>
      </c>
      <c r="F2035" t="e">
        <f>'IND TECH'!#REF!</f>
        <v>#REF!</v>
      </c>
    </row>
    <row r="2036" spans="3:6" x14ac:dyDescent="0.25">
      <c r="C2036">
        <f>'IND TECH'!L2034</f>
        <v>0</v>
      </c>
      <c r="D2036" t="str">
        <f>'IND TECH'!A2034&amp;" "&amp;'IND TECH'!B2034&amp;" "&amp;'IND TECH'!C2034&amp;" "&amp;'IND TECH'!D2034&amp;" "&amp;'IND TECH'!E2034&amp;" "&amp;'IND TECH'!F2034&amp;" "&amp;'IND TECH'!G2034&amp;" "&amp;'IND TECH'!H2034</f>
        <v xml:space="preserve">       </v>
      </c>
      <c r="E2036" t="e">
        <f t="shared" si="11"/>
        <v>#REF!</v>
      </c>
      <c r="F2036" t="e">
        <f>'IND TECH'!#REF!</f>
        <v>#REF!</v>
      </c>
    </row>
    <row r="2037" spans="3:6" x14ac:dyDescent="0.25">
      <c r="C2037">
        <f>'IND TECH'!L2035</f>
        <v>0</v>
      </c>
      <c r="D2037" t="str">
        <f>'IND TECH'!A2035&amp;" "&amp;'IND TECH'!B2035&amp;" "&amp;'IND TECH'!C2035&amp;" "&amp;'IND TECH'!D2035&amp;" "&amp;'IND TECH'!E2035&amp;" "&amp;'IND TECH'!F2035&amp;" "&amp;'IND TECH'!G2035&amp;" "&amp;'IND TECH'!H2035</f>
        <v xml:space="preserve">       </v>
      </c>
      <c r="E2037" t="e">
        <f t="shared" si="11"/>
        <v>#REF!</v>
      </c>
      <c r="F2037" t="e">
        <f>'IND TECH'!#REF!</f>
        <v>#REF!</v>
      </c>
    </row>
    <row r="2038" spans="3:6" x14ac:dyDescent="0.25">
      <c r="C2038">
        <f>'IND TECH'!L2036</f>
        <v>0</v>
      </c>
      <c r="D2038" t="str">
        <f>'IND TECH'!A2036&amp;" "&amp;'IND TECH'!B2036&amp;" "&amp;'IND TECH'!C2036&amp;" "&amp;'IND TECH'!D2036&amp;" "&amp;'IND TECH'!E2036&amp;" "&amp;'IND TECH'!F2036&amp;" "&amp;'IND TECH'!G2036&amp;" "&amp;'IND TECH'!H2036</f>
        <v xml:space="preserve">       </v>
      </c>
      <c r="E2038" t="e">
        <f t="shared" si="11"/>
        <v>#REF!</v>
      </c>
      <c r="F2038" t="e">
        <f>'IND TECH'!#REF!</f>
        <v>#REF!</v>
      </c>
    </row>
    <row r="2039" spans="3:6" x14ac:dyDescent="0.25">
      <c r="C2039">
        <f>'IND TECH'!L2037</f>
        <v>0</v>
      </c>
      <c r="D2039" t="str">
        <f>'IND TECH'!A2037&amp;" "&amp;'IND TECH'!B2037&amp;" "&amp;'IND TECH'!C2037&amp;" "&amp;'IND TECH'!D2037&amp;" "&amp;'IND TECH'!E2037&amp;" "&amp;'IND TECH'!F2037&amp;" "&amp;'IND TECH'!G2037&amp;" "&amp;'IND TECH'!H2037</f>
        <v xml:space="preserve">       </v>
      </c>
      <c r="E2039" t="e">
        <f t="shared" si="11"/>
        <v>#REF!</v>
      </c>
      <c r="F2039" t="e">
        <f>'IND TECH'!#REF!</f>
        <v>#REF!</v>
      </c>
    </row>
    <row r="2040" spans="3:6" x14ac:dyDescent="0.25">
      <c r="C2040">
        <f>'IND TECH'!L2038</f>
        <v>0</v>
      </c>
      <c r="D2040" t="str">
        <f>'IND TECH'!A2038&amp;" "&amp;'IND TECH'!B2038&amp;" "&amp;'IND TECH'!C2038&amp;" "&amp;'IND TECH'!D2038&amp;" "&amp;'IND TECH'!E2038&amp;" "&amp;'IND TECH'!F2038&amp;" "&amp;'IND TECH'!G2038&amp;" "&amp;'IND TECH'!H2038</f>
        <v xml:space="preserve">       </v>
      </c>
      <c r="E2040" t="e">
        <f t="shared" si="11"/>
        <v>#REF!</v>
      </c>
      <c r="F2040" t="e">
        <f>'IND TECH'!#REF!</f>
        <v>#REF!</v>
      </c>
    </row>
    <row r="2041" spans="3:6" x14ac:dyDescent="0.25">
      <c r="C2041">
        <f>'IND TECH'!L2039</f>
        <v>0</v>
      </c>
      <c r="D2041" t="str">
        <f>'IND TECH'!A2039&amp;" "&amp;'IND TECH'!B2039&amp;" "&amp;'IND TECH'!C2039&amp;" "&amp;'IND TECH'!D2039&amp;" "&amp;'IND TECH'!E2039&amp;" "&amp;'IND TECH'!F2039&amp;" "&amp;'IND TECH'!G2039&amp;" "&amp;'IND TECH'!H2039</f>
        <v xml:space="preserve">       </v>
      </c>
      <c r="E2041" t="e">
        <f t="shared" si="11"/>
        <v>#REF!</v>
      </c>
      <c r="F2041" t="e">
        <f>'IND TECH'!#REF!</f>
        <v>#REF!</v>
      </c>
    </row>
    <row r="2042" spans="3:6" x14ac:dyDescent="0.25">
      <c r="C2042">
        <f>'IND TECH'!L2040</f>
        <v>0</v>
      </c>
      <c r="D2042" t="str">
        <f>'IND TECH'!A2040&amp;" "&amp;'IND TECH'!B2040&amp;" "&amp;'IND TECH'!C2040&amp;" "&amp;'IND TECH'!D2040&amp;" "&amp;'IND TECH'!E2040&amp;" "&amp;'IND TECH'!F2040&amp;" "&amp;'IND TECH'!G2040&amp;" "&amp;'IND TECH'!H2040</f>
        <v xml:space="preserve">       </v>
      </c>
      <c r="E2042" t="e">
        <f t="shared" si="11"/>
        <v>#REF!</v>
      </c>
      <c r="F2042" t="e">
        <f>'IND TECH'!#REF!</f>
        <v>#REF!</v>
      </c>
    </row>
    <row r="2043" spans="3:6" x14ac:dyDescent="0.25">
      <c r="C2043">
        <f>'IND TECH'!L2041</f>
        <v>0</v>
      </c>
      <c r="D2043" t="str">
        <f>'IND TECH'!A2041&amp;" "&amp;'IND TECH'!B2041&amp;" "&amp;'IND TECH'!C2041&amp;" "&amp;'IND TECH'!D2041&amp;" "&amp;'IND TECH'!E2041&amp;" "&amp;'IND TECH'!F2041&amp;" "&amp;'IND TECH'!G2041&amp;" "&amp;'IND TECH'!H2041</f>
        <v xml:space="preserve">       </v>
      </c>
      <c r="E2043" t="e">
        <f t="shared" si="11"/>
        <v>#REF!</v>
      </c>
      <c r="F2043" t="e">
        <f>'IND TECH'!#REF!</f>
        <v>#REF!</v>
      </c>
    </row>
    <row r="2044" spans="3:6" x14ac:dyDescent="0.25">
      <c r="C2044">
        <f>'IND TECH'!L2042</f>
        <v>0</v>
      </c>
      <c r="D2044" t="str">
        <f>'IND TECH'!A2042&amp;" "&amp;'IND TECH'!B2042&amp;" "&amp;'IND TECH'!C2042&amp;" "&amp;'IND TECH'!D2042&amp;" "&amp;'IND TECH'!E2042&amp;" "&amp;'IND TECH'!F2042&amp;" "&amp;'IND TECH'!G2042&amp;" "&amp;'IND TECH'!H2042</f>
        <v xml:space="preserve">       </v>
      </c>
      <c r="E2044" t="e">
        <f t="shared" si="11"/>
        <v>#REF!</v>
      </c>
      <c r="F2044" t="e">
        <f>'IND TECH'!#REF!</f>
        <v>#REF!</v>
      </c>
    </row>
    <row r="2045" spans="3:6" x14ac:dyDescent="0.25">
      <c r="C2045">
        <f>'IND TECH'!L2043</f>
        <v>0</v>
      </c>
      <c r="D2045" t="str">
        <f>'IND TECH'!A2043&amp;" "&amp;'IND TECH'!B2043&amp;" "&amp;'IND TECH'!C2043&amp;" "&amp;'IND TECH'!D2043&amp;" "&amp;'IND TECH'!E2043&amp;" "&amp;'IND TECH'!F2043&amp;" "&amp;'IND TECH'!G2043&amp;" "&amp;'IND TECH'!H2043</f>
        <v xml:space="preserve">       </v>
      </c>
      <c r="E2045" t="e">
        <f t="shared" si="11"/>
        <v>#REF!</v>
      </c>
      <c r="F2045" t="e">
        <f>'IND TECH'!#REF!</f>
        <v>#REF!</v>
      </c>
    </row>
    <row r="2046" spans="3:6" x14ac:dyDescent="0.25">
      <c r="C2046">
        <f>'IND TECH'!L2044</f>
        <v>0</v>
      </c>
      <c r="D2046" t="str">
        <f>'IND TECH'!A2044&amp;" "&amp;'IND TECH'!B2044&amp;" "&amp;'IND TECH'!C2044&amp;" "&amp;'IND TECH'!D2044&amp;" "&amp;'IND TECH'!E2044&amp;" "&amp;'IND TECH'!F2044&amp;" "&amp;'IND TECH'!G2044&amp;" "&amp;'IND TECH'!H2044</f>
        <v xml:space="preserve">       </v>
      </c>
      <c r="E2046" t="e">
        <f t="shared" si="11"/>
        <v>#REF!</v>
      </c>
      <c r="F2046" t="e">
        <f>'IND TECH'!#REF!</f>
        <v>#REF!</v>
      </c>
    </row>
    <row r="2047" spans="3:6" x14ac:dyDescent="0.25">
      <c r="C2047">
        <f>'IND TECH'!L2045</f>
        <v>0</v>
      </c>
      <c r="D2047" t="str">
        <f>'IND TECH'!A2045&amp;" "&amp;'IND TECH'!B2045&amp;" "&amp;'IND TECH'!C2045&amp;" "&amp;'IND TECH'!D2045&amp;" "&amp;'IND TECH'!E2045&amp;" "&amp;'IND TECH'!F2045&amp;" "&amp;'IND TECH'!G2045&amp;" "&amp;'IND TECH'!H2045</f>
        <v xml:space="preserve">       </v>
      </c>
      <c r="E2047" t="e">
        <f t="shared" si="11"/>
        <v>#REF!</v>
      </c>
      <c r="F2047" t="e">
        <f>'IND TECH'!#REF!</f>
        <v>#REF!</v>
      </c>
    </row>
    <row r="2048" spans="3:6" x14ac:dyDescent="0.25">
      <c r="C2048">
        <f>'IND TECH'!L2046</f>
        <v>0</v>
      </c>
      <c r="D2048" t="str">
        <f>'IND TECH'!A2046&amp;" "&amp;'IND TECH'!B2046&amp;" "&amp;'IND TECH'!C2046&amp;" "&amp;'IND TECH'!D2046&amp;" "&amp;'IND TECH'!E2046&amp;" "&amp;'IND TECH'!F2046&amp;" "&amp;'IND TECH'!G2046&amp;" "&amp;'IND TECH'!H2046</f>
        <v xml:space="preserve">       </v>
      </c>
      <c r="E2048" t="e">
        <f t="shared" si="11"/>
        <v>#REF!</v>
      </c>
      <c r="F2048" t="e">
        <f>'IND TECH'!#REF!</f>
        <v>#REF!</v>
      </c>
    </row>
    <row r="2049" spans="3:6" x14ac:dyDescent="0.25">
      <c r="C2049">
        <f>'IND TECH'!L2047</f>
        <v>0</v>
      </c>
      <c r="D2049" t="str">
        <f>'IND TECH'!A2047&amp;" "&amp;'IND TECH'!B2047&amp;" "&amp;'IND TECH'!C2047&amp;" "&amp;'IND TECH'!D2047&amp;" "&amp;'IND TECH'!E2047&amp;" "&amp;'IND TECH'!F2047&amp;" "&amp;'IND TECH'!G2047&amp;" "&amp;'IND TECH'!H2047</f>
        <v xml:space="preserve">       </v>
      </c>
      <c r="E2049" t="e">
        <f t="shared" si="11"/>
        <v>#REF!</v>
      </c>
      <c r="F2049" t="e">
        <f>'IND TECH'!#REF!</f>
        <v>#REF!</v>
      </c>
    </row>
    <row r="2050" spans="3:6" x14ac:dyDescent="0.25">
      <c r="C2050">
        <f>'IND TECH'!L2048</f>
        <v>0</v>
      </c>
      <c r="D2050" t="str">
        <f>'IND TECH'!A2048&amp;" "&amp;'IND TECH'!B2048&amp;" "&amp;'IND TECH'!C2048&amp;" "&amp;'IND TECH'!D2048&amp;" "&amp;'IND TECH'!E2048&amp;" "&amp;'IND TECH'!F2048&amp;" "&amp;'IND TECH'!G2048&amp;" "&amp;'IND TECH'!H2048</f>
        <v xml:space="preserve">       </v>
      </c>
      <c r="E2050" t="e">
        <f t="shared" si="11"/>
        <v>#REF!</v>
      </c>
      <c r="F2050" t="e">
        <f>'IND TECH'!#REF!</f>
        <v>#REF!</v>
      </c>
    </row>
    <row r="2051" spans="3:6" x14ac:dyDescent="0.25">
      <c r="C2051">
        <f>'IND TECH'!L2049</f>
        <v>0</v>
      </c>
      <c r="D2051" t="str">
        <f>'IND TECH'!A2049&amp;" "&amp;'IND TECH'!B2049&amp;" "&amp;'IND TECH'!C2049&amp;" "&amp;'IND TECH'!D2049&amp;" "&amp;'IND TECH'!E2049&amp;" "&amp;'IND TECH'!F2049&amp;" "&amp;'IND TECH'!G2049&amp;" "&amp;'IND TECH'!H2049</f>
        <v xml:space="preserve">       </v>
      </c>
      <c r="E2051" t="e">
        <f t="shared" si="11"/>
        <v>#REF!</v>
      </c>
      <c r="F2051" t="e">
        <f>'IND TECH'!#REF!</f>
        <v>#REF!</v>
      </c>
    </row>
    <row r="2052" spans="3:6" x14ac:dyDescent="0.25">
      <c r="C2052">
        <f>'IND TECH'!L2050</f>
        <v>0</v>
      </c>
      <c r="D2052" t="str">
        <f>'IND TECH'!A2050&amp;" "&amp;'IND TECH'!B2050&amp;" "&amp;'IND TECH'!C2050&amp;" "&amp;'IND TECH'!D2050&amp;" "&amp;'IND TECH'!E2050&amp;" "&amp;'IND TECH'!F2050&amp;" "&amp;'IND TECH'!G2050&amp;" "&amp;'IND TECH'!H2050</f>
        <v xml:space="preserve">       </v>
      </c>
      <c r="E2052" t="e">
        <f t="shared" si="11"/>
        <v>#REF!</v>
      </c>
      <c r="F2052" t="e">
        <f>'IND TECH'!#REF!</f>
        <v>#REF!</v>
      </c>
    </row>
    <row r="2053" spans="3:6" x14ac:dyDescent="0.25">
      <c r="C2053">
        <f>'IND TECH'!L2051</f>
        <v>0</v>
      </c>
      <c r="D2053" t="str">
        <f>'IND TECH'!A2051&amp;" "&amp;'IND TECH'!B2051&amp;" "&amp;'IND TECH'!C2051&amp;" "&amp;'IND TECH'!D2051&amp;" "&amp;'IND TECH'!E2051&amp;" "&amp;'IND TECH'!F2051&amp;" "&amp;'IND TECH'!G2051&amp;" "&amp;'IND TECH'!H2051</f>
        <v xml:space="preserve">       </v>
      </c>
      <c r="E2053" t="e">
        <f t="shared" si="11"/>
        <v>#REF!</v>
      </c>
      <c r="F2053" t="e">
        <f>'IND TECH'!#REF!</f>
        <v>#REF!</v>
      </c>
    </row>
    <row r="2054" spans="3:6" x14ac:dyDescent="0.25">
      <c r="C2054">
        <f>'IND TECH'!L2052</f>
        <v>0</v>
      </c>
      <c r="D2054" t="str">
        <f>'IND TECH'!A2052&amp;" "&amp;'IND TECH'!B2052&amp;" "&amp;'IND TECH'!C2052&amp;" "&amp;'IND TECH'!D2052&amp;" "&amp;'IND TECH'!E2052&amp;" "&amp;'IND TECH'!F2052&amp;" "&amp;'IND TECH'!G2052&amp;" "&amp;'IND TECH'!H2052</f>
        <v xml:space="preserve">       </v>
      </c>
      <c r="E2054" t="e">
        <f t="shared" si="11"/>
        <v>#REF!</v>
      </c>
      <c r="F2054" t="e">
        <f>'IND TECH'!#REF!</f>
        <v>#REF!</v>
      </c>
    </row>
    <row r="2055" spans="3:6" x14ac:dyDescent="0.25">
      <c r="C2055">
        <f>'IND TECH'!L2053</f>
        <v>0</v>
      </c>
      <c r="D2055" t="str">
        <f>'IND TECH'!A2053&amp;" "&amp;'IND TECH'!B2053&amp;" "&amp;'IND TECH'!C2053&amp;" "&amp;'IND TECH'!D2053&amp;" "&amp;'IND TECH'!E2053&amp;" "&amp;'IND TECH'!F2053&amp;" "&amp;'IND TECH'!G2053&amp;" "&amp;'IND TECH'!H2053</f>
        <v xml:space="preserve">       </v>
      </c>
      <c r="E2055" t="e">
        <f t="shared" si="11"/>
        <v>#REF!</v>
      </c>
      <c r="F2055" t="e">
        <f>'IND TECH'!#REF!</f>
        <v>#REF!</v>
      </c>
    </row>
    <row r="2056" spans="3:6" x14ac:dyDescent="0.25">
      <c r="C2056">
        <f>'IND TECH'!L2054</f>
        <v>0</v>
      </c>
      <c r="D2056" t="str">
        <f>'IND TECH'!A2054&amp;" "&amp;'IND TECH'!B2054&amp;" "&amp;'IND TECH'!C2054&amp;" "&amp;'IND TECH'!D2054&amp;" "&amp;'IND TECH'!E2054&amp;" "&amp;'IND TECH'!F2054&amp;" "&amp;'IND TECH'!G2054&amp;" "&amp;'IND TECH'!H2054</f>
        <v xml:space="preserve">       </v>
      </c>
      <c r="E2056" t="e">
        <f t="shared" si="11"/>
        <v>#REF!</v>
      </c>
      <c r="F2056" t="e">
        <f>'IND TECH'!#REF!</f>
        <v>#REF!</v>
      </c>
    </row>
    <row r="2057" spans="3:6" x14ac:dyDescent="0.25">
      <c r="C2057">
        <f>'IND TECH'!L2055</f>
        <v>0</v>
      </c>
      <c r="D2057" t="str">
        <f>'IND TECH'!A2055&amp;" "&amp;'IND TECH'!B2055&amp;" "&amp;'IND TECH'!C2055&amp;" "&amp;'IND TECH'!D2055&amp;" "&amp;'IND TECH'!E2055&amp;" "&amp;'IND TECH'!F2055&amp;" "&amp;'IND TECH'!G2055&amp;" "&amp;'IND TECH'!H2055</f>
        <v xml:space="preserve">       </v>
      </c>
      <c r="E2057" t="e">
        <f t="shared" si="11"/>
        <v>#REF!</v>
      </c>
      <c r="F2057" t="e">
        <f>'IND TECH'!#REF!</f>
        <v>#REF!</v>
      </c>
    </row>
    <row r="2058" spans="3:6" x14ac:dyDescent="0.25">
      <c r="C2058">
        <f>'IND TECH'!L2056</f>
        <v>0</v>
      </c>
      <c r="D2058" t="str">
        <f>'IND TECH'!A2056&amp;" "&amp;'IND TECH'!B2056&amp;" "&amp;'IND TECH'!C2056&amp;" "&amp;'IND TECH'!D2056&amp;" "&amp;'IND TECH'!E2056&amp;" "&amp;'IND TECH'!F2056&amp;" "&amp;'IND TECH'!G2056&amp;" "&amp;'IND TECH'!H2056</f>
        <v xml:space="preserve">       </v>
      </c>
      <c r="E2058" t="e">
        <f t="shared" si="11"/>
        <v>#REF!</v>
      </c>
      <c r="F2058" t="e">
        <f>'IND TECH'!#REF!</f>
        <v>#REF!</v>
      </c>
    </row>
    <row r="2059" spans="3:6" x14ac:dyDescent="0.25">
      <c r="C2059">
        <f>'IND TECH'!L2057</f>
        <v>0</v>
      </c>
      <c r="D2059" t="str">
        <f>'IND TECH'!A2057&amp;" "&amp;'IND TECH'!B2057&amp;" "&amp;'IND TECH'!C2057&amp;" "&amp;'IND TECH'!D2057&amp;" "&amp;'IND TECH'!E2057&amp;" "&amp;'IND TECH'!F2057&amp;" "&amp;'IND TECH'!G2057&amp;" "&amp;'IND TECH'!H2057</f>
        <v xml:space="preserve">       </v>
      </c>
      <c r="E2059" t="e">
        <f t="shared" si="11"/>
        <v>#REF!</v>
      </c>
      <c r="F2059" t="e">
        <f>'IND TECH'!#REF!</f>
        <v>#REF!</v>
      </c>
    </row>
    <row r="2060" spans="3:6" x14ac:dyDescent="0.25">
      <c r="C2060">
        <f>'IND TECH'!L2058</f>
        <v>0</v>
      </c>
      <c r="D2060" t="str">
        <f>'IND TECH'!A2058&amp;" "&amp;'IND TECH'!B2058&amp;" "&amp;'IND TECH'!C2058&amp;" "&amp;'IND TECH'!D2058&amp;" "&amp;'IND TECH'!E2058&amp;" "&amp;'IND TECH'!F2058&amp;" "&amp;'IND TECH'!G2058&amp;" "&amp;'IND TECH'!H2058</f>
        <v xml:space="preserve">       </v>
      </c>
      <c r="E2060" t="e">
        <f t="shared" si="11"/>
        <v>#REF!</v>
      </c>
      <c r="F2060" t="e">
        <f>'IND TECH'!#REF!</f>
        <v>#REF!</v>
      </c>
    </row>
    <row r="2061" spans="3:6" x14ac:dyDescent="0.25">
      <c r="C2061">
        <f>'IND TECH'!L2059</f>
        <v>0</v>
      </c>
      <c r="D2061" t="str">
        <f>'IND TECH'!A2059&amp;" "&amp;'IND TECH'!B2059&amp;" "&amp;'IND TECH'!C2059&amp;" "&amp;'IND TECH'!D2059&amp;" "&amp;'IND TECH'!E2059&amp;" "&amp;'IND TECH'!F2059&amp;" "&amp;'IND TECH'!G2059&amp;" "&amp;'IND TECH'!H2059</f>
        <v xml:space="preserve">       </v>
      </c>
      <c r="E2061" t="e">
        <f t="shared" si="11"/>
        <v>#REF!</v>
      </c>
      <c r="F2061" t="e">
        <f>'IND TECH'!#REF!</f>
        <v>#REF!</v>
      </c>
    </row>
    <row r="2062" spans="3:6" x14ac:dyDescent="0.25">
      <c r="C2062">
        <f>'IND TECH'!L2060</f>
        <v>0</v>
      </c>
      <c r="D2062" t="str">
        <f>'IND TECH'!A2060&amp;" "&amp;'IND TECH'!B2060&amp;" "&amp;'IND TECH'!C2060&amp;" "&amp;'IND TECH'!D2060&amp;" "&amp;'IND TECH'!E2060&amp;" "&amp;'IND TECH'!F2060&amp;" "&amp;'IND TECH'!G2060&amp;" "&amp;'IND TECH'!H2060</f>
        <v xml:space="preserve">       </v>
      </c>
      <c r="E2062" t="e">
        <f t="shared" si="11"/>
        <v>#REF!</v>
      </c>
      <c r="F2062" t="e">
        <f>'IND TECH'!#REF!</f>
        <v>#REF!</v>
      </c>
    </row>
    <row r="2063" spans="3:6" x14ac:dyDescent="0.25">
      <c r="C2063">
        <f>'IND TECH'!L2061</f>
        <v>0</v>
      </c>
      <c r="D2063" t="str">
        <f>'IND TECH'!A2061&amp;" "&amp;'IND TECH'!B2061&amp;" "&amp;'IND TECH'!C2061&amp;" "&amp;'IND TECH'!D2061&amp;" "&amp;'IND TECH'!E2061&amp;" "&amp;'IND TECH'!F2061&amp;" "&amp;'IND TECH'!G2061&amp;" "&amp;'IND TECH'!H2061</f>
        <v xml:space="preserve">       </v>
      </c>
      <c r="E2063" t="e">
        <f t="shared" si="11"/>
        <v>#REF!</v>
      </c>
      <c r="F2063" t="e">
        <f>'IND TECH'!#REF!</f>
        <v>#REF!</v>
      </c>
    </row>
    <row r="2064" spans="3:6" x14ac:dyDescent="0.25">
      <c r="C2064">
        <f>'IND TECH'!L2062</f>
        <v>0</v>
      </c>
      <c r="D2064" t="str">
        <f>'IND TECH'!A2062&amp;" "&amp;'IND TECH'!B2062&amp;" "&amp;'IND TECH'!C2062&amp;" "&amp;'IND TECH'!D2062&amp;" "&amp;'IND TECH'!E2062&amp;" "&amp;'IND TECH'!F2062&amp;" "&amp;'IND TECH'!G2062&amp;" "&amp;'IND TECH'!H2062</f>
        <v xml:space="preserve">       </v>
      </c>
      <c r="E2064" t="e">
        <f t="shared" si="11"/>
        <v>#REF!</v>
      </c>
      <c r="F2064" t="e">
        <f>'IND TECH'!#REF!</f>
        <v>#REF!</v>
      </c>
    </row>
    <row r="2065" spans="3:6" x14ac:dyDescent="0.25">
      <c r="C2065">
        <f>'IND TECH'!L2063</f>
        <v>0</v>
      </c>
      <c r="D2065" t="str">
        <f>'IND TECH'!A2063&amp;" "&amp;'IND TECH'!B2063&amp;" "&amp;'IND TECH'!C2063&amp;" "&amp;'IND TECH'!D2063&amp;" "&amp;'IND TECH'!E2063&amp;" "&amp;'IND TECH'!F2063&amp;" "&amp;'IND TECH'!G2063&amp;" "&amp;'IND TECH'!H2063</f>
        <v xml:space="preserve">       </v>
      </c>
      <c r="E2065" t="e">
        <f t="shared" si="11"/>
        <v>#REF!</v>
      </c>
      <c r="F2065" t="e">
        <f>'IND TECH'!#REF!</f>
        <v>#REF!</v>
      </c>
    </row>
    <row r="2066" spans="3:6" x14ac:dyDescent="0.25">
      <c r="C2066">
        <f>'IND TECH'!L2064</f>
        <v>0</v>
      </c>
      <c r="D2066" t="str">
        <f>'IND TECH'!A2064&amp;" "&amp;'IND TECH'!B2064&amp;" "&amp;'IND TECH'!C2064&amp;" "&amp;'IND TECH'!D2064&amp;" "&amp;'IND TECH'!E2064&amp;" "&amp;'IND TECH'!F2064&amp;" "&amp;'IND TECH'!G2064&amp;" "&amp;'IND TECH'!H2064</f>
        <v xml:space="preserve">       </v>
      </c>
      <c r="E2066" t="e">
        <f t="shared" si="11"/>
        <v>#REF!</v>
      </c>
      <c r="F2066" t="e">
        <f>'IND TECH'!#REF!</f>
        <v>#REF!</v>
      </c>
    </row>
    <row r="2067" spans="3:6" x14ac:dyDescent="0.25">
      <c r="C2067">
        <f>'IND TECH'!L2065</f>
        <v>0</v>
      </c>
      <c r="D2067" t="str">
        <f>'IND TECH'!A2065&amp;" "&amp;'IND TECH'!B2065&amp;" "&amp;'IND TECH'!C2065&amp;" "&amp;'IND TECH'!D2065&amp;" "&amp;'IND TECH'!E2065&amp;" "&amp;'IND TECH'!F2065&amp;" "&amp;'IND TECH'!G2065&amp;" "&amp;'IND TECH'!H2065</f>
        <v xml:space="preserve">       </v>
      </c>
      <c r="E2067" t="e">
        <f t="shared" ref="E2067:E2130" si="12">IF(F2067="Mlma","Mlm","TJ")</f>
        <v>#REF!</v>
      </c>
      <c r="F2067" t="e">
        <f>'IND TECH'!#REF!</f>
        <v>#REF!</v>
      </c>
    </row>
    <row r="2068" spans="3:6" x14ac:dyDescent="0.25">
      <c r="C2068">
        <f>'IND TECH'!L2066</f>
        <v>0</v>
      </c>
      <c r="D2068" t="str">
        <f>'IND TECH'!A2066&amp;" "&amp;'IND TECH'!B2066&amp;" "&amp;'IND TECH'!C2066&amp;" "&amp;'IND TECH'!D2066&amp;" "&amp;'IND TECH'!E2066&amp;" "&amp;'IND TECH'!F2066&amp;" "&amp;'IND TECH'!G2066&amp;" "&amp;'IND TECH'!H2066</f>
        <v xml:space="preserve">       </v>
      </c>
      <c r="E2068" t="e">
        <f t="shared" si="12"/>
        <v>#REF!</v>
      </c>
      <c r="F2068" t="e">
        <f>'IND TECH'!#REF!</f>
        <v>#REF!</v>
      </c>
    </row>
    <row r="2069" spans="3:6" x14ac:dyDescent="0.25">
      <c r="C2069">
        <f>'IND TECH'!L2067</f>
        <v>0</v>
      </c>
      <c r="D2069" t="str">
        <f>'IND TECH'!A2067&amp;" "&amp;'IND TECH'!B2067&amp;" "&amp;'IND TECH'!C2067&amp;" "&amp;'IND TECH'!D2067&amp;" "&amp;'IND TECH'!E2067&amp;" "&amp;'IND TECH'!F2067&amp;" "&amp;'IND TECH'!G2067&amp;" "&amp;'IND TECH'!H2067</f>
        <v xml:space="preserve">       </v>
      </c>
      <c r="E2069" t="e">
        <f t="shared" si="12"/>
        <v>#REF!</v>
      </c>
      <c r="F2069" t="e">
        <f>'IND TECH'!#REF!</f>
        <v>#REF!</v>
      </c>
    </row>
    <row r="2070" spans="3:6" x14ac:dyDescent="0.25">
      <c r="C2070">
        <f>'IND TECH'!L2068</f>
        <v>0</v>
      </c>
      <c r="D2070" t="str">
        <f>'IND TECH'!A2068&amp;" "&amp;'IND TECH'!B2068&amp;" "&amp;'IND TECH'!C2068&amp;" "&amp;'IND TECH'!D2068&amp;" "&amp;'IND TECH'!E2068&amp;" "&amp;'IND TECH'!F2068&amp;" "&amp;'IND TECH'!G2068&amp;" "&amp;'IND TECH'!H2068</f>
        <v xml:space="preserve">       </v>
      </c>
      <c r="E2070" t="e">
        <f t="shared" si="12"/>
        <v>#REF!</v>
      </c>
      <c r="F2070" t="e">
        <f>'IND TECH'!#REF!</f>
        <v>#REF!</v>
      </c>
    </row>
    <row r="2071" spans="3:6" x14ac:dyDescent="0.25">
      <c r="C2071">
        <f>'IND TECH'!L2069</f>
        <v>0</v>
      </c>
      <c r="D2071" t="str">
        <f>'IND TECH'!A2069&amp;" "&amp;'IND TECH'!B2069&amp;" "&amp;'IND TECH'!C2069&amp;" "&amp;'IND TECH'!D2069&amp;" "&amp;'IND TECH'!E2069&amp;" "&amp;'IND TECH'!F2069&amp;" "&amp;'IND TECH'!G2069&amp;" "&amp;'IND TECH'!H2069</f>
        <v xml:space="preserve">       </v>
      </c>
      <c r="E2071" t="e">
        <f t="shared" si="12"/>
        <v>#REF!</v>
      </c>
      <c r="F2071" t="e">
        <f>'IND TECH'!#REF!</f>
        <v>#REF!</v>
      </c>
    </row>
    <row r="2072" spans="3:6" x14ac:dyDescent="0.25">
      <c r="C2072">
        <f>'IND TECH'!L2070</f>
        <v>0</v>
      </c>
      <c r="D2072" t="str">
        <f>'IND TECH'!A2070&amp;" "&amp;'IND TECH'!B2070&amp;" "&amp;'IND TECH'!C2070&amp;" "&amp;'IND TECH'!D2070&amp;" "&amp;'IND TECH'!E2070&amp;" "&amp;'IND TECH'!F2070&amp;" "&amp;'IND TECH'!G2070&amp;" "&amp;'IND TECH'!H2070</f>
        <v xml:space="preserve">       </v>
      </c>
      <c r="E2072" t="e">
        <f t="shared" si="12"/>
        <v>#REF!</v>
      </c>
      <c r="F2072" t="e">
        <f>'IND TECH'!#REF!</f>
        <v>#REF!</v>
      </c>
    </row>
    <row r="2073" spans="3:6" x14ac:dyDescent="0.25">
      <c r="C2073">
        <f>'IND TECH'!L2071</f>
        <v>0</v>
      </c>
      <c r="D2073" t="str">
        <f>'IND TECH'!A2071&amp;" "&amp;'IND TECH'!B2071&amp;" "&amp;'IND TECH'!C2071&amp;" "&amp;'IND TECH'!D2071&amp;" "&amp;'IND TECH'!E2071&amp;" "&amp;'IND TECH'!F2071&amp;" "&amp;'IND TECH'!G2071&amp;" "&amp;'IND TECH'!H2071</f>
        <v xml:space="preserve">       </v>
      </c>
      <c r="E2073" t="e">
        <f t="shared" si="12"/>
        <v>#REF!</v>
      </c>
      <c r="F2073" t="e">
        <f>'IND TECH'!#REF!</f>
        <v>#REF!</v>
      </c>
    </row>
    <row r="2074" spans="3:6" x14ac:dyDescent="0.25">
      <c r="C2074">
        <f>'IND TECH'!L2072</f>
        <v>0</v>
      </c>
      <c r="D2074" t="str">
        <f>'IND TECH'!A2072&amp;" "&amp;'IND TECH'!B2072&amp;" "&amp;'IND TECH'!C2072&amp;" "&amp;'IND TECH'!D2072&amp;" "&amp;'IND TECH'!E2072&amp;" "&amp;'IND TECH'!F2072&amp;" "&amp;'IND TECH'!G2072&amp;" "&amp;'IND TECH'!H2072</f>
        <v xml:space="preserve">       </v>
      </c>
      <c r="E2074" t="e">
        <f t="shared" si="12"/>
        <v>#REF!</v>
      </c>
      <c r="F2074" t="e">
        <f>'IND TECH'!#REF!</f>
        <v>#REF!</v>
      </c>
    </row>
    <row r="2075" spans="3:6" x14ac:dyDescent="0.25">
      <c r="C2075">
        <f>'IND TECH'!L2073</f>
        <v>0</v>
      </c>
      <c r="D2075" t="str">
        <f>'IND TECH'!A2073&amp;" "&amp;'IND TECH'!B2073&amp;" "&amp;'IND TECH'!C2073&amp;" "&amp;'IND TECH'!D2073&amp;" "&amp;'IND TECH'!E2073&amp;" "&amp;'IND TECH'!F2073&amp;" "&amp;'IND TECH'!G2073&amp;" "&amp;'IND TECH'!H2073</f>
        <v xml:space="preserve">       </v>
      </c>
      <c r="E2075" t="e">
        <f t="shared" si="12"/>
        <v>#REF!</v>
      </c>
      <c r="F2075" t="e">
        <f>'IND TECH'!#REF!</f>
        <v>#REF!</v>
      </c>
    </row>
    <row r="2076" spans="3:6" x14ac:dyDescent="0.25">
      <c r="C2076">
        <f>'IND TECH'!L2074</f>
        <v>0</v>
      </c>
      <c r="D2076" t="str">
        <f>'IND TECH'!A2074&amp;" "&amp;'IND TECH'!B2074&amp;" "&amp;'IND TECH'!C2074&amp;" "&amp;'IND TECH'!D2074&amp;" "&amp;'IND TECH'!E2074&amp;" "&amp;'IND TECH'!F2074&amp;" "&amp;'IND TECH'!G2074&amp;" "&amp;'IND TECH'!H2074</f>
        <v xml:space="preserve">       </v>
      </c>
      <c r="E2076" t="e">
        <f t="shared" si="12"/>
        <v>#REF!</v>
      </c>
      <c r="F2076" t="e">
        <f>'IND TECH'!#REF!</f>
        <v>#REF!</v>
      </c>
    </row>
    <row r="2077" spans="3:6" x14ac:dyDescent="0.25">
      <c r="C2077">
        <f>'IND TECH'!L2075</f>
        <v>0</v>
      </c>
      <c r="D2077" t="str">
        <f>'IND TECH'!A2075&amp;" "&amp;'IND TECH'!B2075&amp;" "&amp;'IND TECH'!C2075&amp;" "&amp;'IND TECH'!D2075&amp;" "&amp;'IND TECH'!E2075&amp;" "&amp;'IND TECH'!F2075&amp;" "&amp;'IND TECH'!G2075&amp;" "&amp;'IND TECH'!H2075</f>
        <v xml:space="preserve">       </v>
      </c>
      <c r="E2077" t="e">
        <f t="shared" si="12"/>
        <v>#REF!</v>
      </c>
      <c r="F2077" t="e">
        <f>'IND TECH'!#REF!</f>
        <v>#REF!</v>
      </c>
    </row>
    <row r="2078" spans="3:6" x14ac:dyDescent="0.25">
      <c r="C2078">
        <f>'IND TECH'!L2076</f>
        <v>0</v>
      </c>
      <c r="D2078" t="str">
        <f>'IND TECH'!A2076&amp;" "&amp;'IND TECH'!B2076&amp;" "&amp;'IND TECH'!C2076&amp;" "&amp;'IND TECH'!D2076&amp;" "&amp;'IND TECH'!E2076&amp;" "&amp;'IND TECH'!F2076&amp;" "&amp;'IND TECH'!G2076&amp;" "&amp;'IND TECH'!H2076</f>
        <v xml:space="preserve">       </v>
      </c>
      <c r="E2078" t="e">
        <f t="shared" si="12"/>
        <v>#REF!</v>
      </c>
      <c r="F2078" t="e">
        <f>'IND TECH'!#REF!</f>
        <v>#REF!</v>
      </c>
    </row>
    <row r="2079" spans="3:6" x14ac:dyDescent="0.25">
      <c r="C2079">
        <f>'IND TECH'!L2077</f>
        <v>0</v>
      </c>
      <c r="D2079" t="str">
        <f>'IND TECH'!A2077&amp;" "&amp;'IND TECH'!B2077&amp;" "&amp;'IND TECH'!C2077&amp;" "&amp;'IND TECH'!D2077&amp;" "&amp;'IND TECH'!E2077&amp;" "&amp;'IND TECH'!F2077&amp;" "&amp;'IND TECH'!G2077&amp;" "&amp;'IND TECH'!H2077</f>
        <v xml:space="preserve">       </v>
      </c>
      <c r="E2079" t="e">
        <f t="shared" si="12"/>
        <v>#REF!</v>
      </c>
      <c r="F2079" t="e">
        <f>'IND TECH'!#REF!</f>
        <v>#REF!</v>
      </c>
    </row>
    <row r="2080" spans="3:6" x14ac:dyDescent="0.25">
      <c r="C2080">
        <f>'IND TECH'!L2078</f>
        <v>0</v>
      </c>
      <c r="D2080" t="str">
        <f>'IND TECH'!A2078&amp;" "&amp;'IND TECH'!B2078&amp;" "&amp;'IND TECH'!C2078&amp;" "&amp;'IND TECH'!D2078&amp;" "&amp;'IND TECH'!E2078&amp;" "&amp;'IND TECH'!F2078&amp;" "&amp;'IND TECH'!G2078&amp;" "&amp;'IND TECH'!H2078</f>
        <v xml:space="preserve">       </v>
      </c>
      <c r="E2080" t="e">
        <f t="shared" si="12"/>
        <v>#REF!</v>
      </c>
      <c r="F2080" t="e">
        <f>'IND TECH'!#REF!</f>
        <v>#REF!</v>
      </c>
    </row>
    <row r="2081" spans="3:6" x14ac:dyDescent="0.25">
      <c r="C2081">
        <f>'IND TECH'!L2079</f>
        <v>0</v>
      </c>
      <c r="D2081" t="str">
        <f>'IND TECH'!A2079&amp;" "&amp;'IND TECH'!B2079&amp;" "&amp;'IND TECH'!C2079&amp;" "&amp;'IND TECH'!D2079&amp;" "&amp;'IND TECH'!E2079&amp;" "&amp;'IND TECH'!F2079&amp;" "&amp;'IND TECH'!G2079&amp;" "&amp;'IND TECH'!H2079</f>
        <v xml:space="preserve">       </v>
      </c>
      <c r="E2081" t="e">
        <f t="shared" si="12"/>
        <v>#REF!</v>
      </c>
      <c r="F2081" t="e">
        <f>'IND TECH'!#REF!</f>
        <v>#REF!</v>
      </c>
    </row>
    <row r="2082" spans="3:6" x14ac:dyDescent="0.25">
      <c r="C2082">
        <f>'IND TECH'!L2080</f>
        <v>0</v>
      </c>
      <c r="D2082" t="str">
        <f>'IND TECH'!A2080&amp;" "&amp;'IND TECH'!B2080&amp;" "&amp;'IND TECH'!C2080&amp;" "&amp;'IND TECH'!D2080&amp;" "&amp;'IND TECH'!E2080&amp;" "&amp;'IND TECH'!F2080&amp;" "&amp;'IND TECH'!G2080&amp;" "&amp;'IND TECH'!H2080</f>
        <v xml:space="preserve">       </v>
      </c>
      <c r="E2082" t="e">
        <f t="shared" si="12"/>
        <v>#REF!</v>
      </c>
      <c r="F2082" t="e">
        <f>'IND TECH'!#REF!</f>
        <v>#REF!</v>
      </c>
    </row>
    <row r="2083" spans="3:6" x14ac:dyDescent="0.25">
      <c r="C2083">
        <f>'IND TECH'!L2081</f>
        <v>0</v>
      </c>
      <c r="D2083" t="str">
        <f>'IND TECH'!A2081&amp;" "&amp;'IND TECH'!B2081&amp;" "&amp;'IND TECH'!C2081&amp;" "&amp;'IND TECH'!D2081&amp;" "&amp;'IND TECH'!E2081&amp;" "&amp;'IND TECH'!F2081&amp;" "&amp;'IND TECH'!G2081&amp;" "&amp;'IND TECH'!H2081</f>
        <v xml:space="preserve">       </v>
      </c>
      <c r="E2083" t="e">
        <f t="shared" si="12"/>
        <v>#REF!</v>
      </c>
      <c r="F2083" t="e">
        <f>'IND TECH'!#REF!</f>
        <v>#REF!</v>
      </c>
    </row>
    <row r="2084" spans="3:6" x14ac:dyDescent="0.25">
      <c r="C2084">
        <f>'IND TECH'!L2082</f>
        <v>0</v>
      </c>
      <c r="D2084" t="str">
        <f>'IND TECH'!A2082&amp;" "&amp;'IND TECH'!B2082&amp;" "&amp;'IND TECH'!C2082&amp;" "&amp;'IND TECH'!D2082&amp;" "&amp;'IND TECH'!E2082&amp;" "&amp;'IND TECH'!F2082&amp;" "&amp;'IND TECH'!G2082&amp;" "&amp;'IND TECH'!H2082</f>
        <v xml:space="preserve">       </v>
      </c>
      <c r="E2084" t="e">
        <f t="shared" si="12"/>
        <v>#REF!</v>
      </c>
      <c r="F2084" t="e">
        <f>'IND TECH'!#REF!</f>
        <v>#REF!</v>
      </c>
    </row>
    <row r="2085" spans="3:6" x14ac:dyDescent="0.25">
      <c r="C2085">
        <f>'IND TECH'!L2083</f>
        <v>0</v>
      </c>
      <c r="D2085" t="str">
        <f>'IND TECH'!A2083&amp;" "&amp;'IND TECH'!B2083&amp;" "&amp;'IND TECH'!C2083&amp;" "&amp;'IND TECH'!D2083&amp;" "&amp;'IND TECH'!E2083&amp;" "&amp;'IND TECH'!F2083&amp;" "&amp;'IND TECH'!G2083&amp;" "&amp;'IND TECH'!H2083</f>
        <v xml:space="preserve">       </v>
      </c>
      <c r="E2085" t="e">
        <f t="shared" si="12"/>
        <v>#REF!</v>
      </c>
      <c r="F2085" t="e">
        <f>'IND TECH'!#REF!</f>
        <v>#REF!</v>
      </c>
    </row>
    <row r="2086" spans="3:6" x14ac:dyDescent="0.25">
      <c r="C2086">
        <f>'IND TECH'!L2084</f>
        <v>0</v>
      </c>
      <c r="D2086" t="str">
        <f>'IND TECH'!A2084&amp;" "&amp;'IND TECH'!B2084&amp;" "&amp;'IND TECH'!C2084&amp;" "&amp;'IND TECH'!D2084&amp;" "&amp;'IND TECH'!E2084&amp;" "&amp;'IND TECH'!F2084&amp;" "&amp;'IND TECH'!G2084&amp;" "&amp;'IND TECH'!H2084</f>
        <v xml:space="preserve">       </v>
      </c>
      <c r="E2086" t="e">
        <f t="shared" si="12"/>
        <v>#REF!</v>
      </c>
      <c r="F2086" t="e">
        <f>'IND TECH'!#REF!</f>
        <v>#REF!</v>
      </c>
    </row>
    <row r="2087" spans="3:6" x14ac:dyDescent="0.25">
      <c r="C2087">
        <f>'IND TECH'!L2085</f>
        <v>0</v>
      </c>
      <c r="D2087" t="str">
        <f>'IND TECH'!A2085&amp;" "&amp;'IND TECH'!B2085&amp;" "&amp;'IND TECH'!C2085&amp;" "&amp;'IND TECH'!D2085&amp;" "&amp;'IND TECH'!E2085&amp;" "&amp;'IND TECH'!F2085&amp;" "&amp;'IND TECH'!G2085&amp;" "&amp;'IND TECH'!H2085</f>
        <v xml:space="preserve">       </v>
      </c>
      <c r="E2087" t="e">
        <f t="shared" si="12"/>
        <v>#REF!</v>
      </c>
      <c r="F2087" t="e">
        <f>'IND TECH'!#REF!</f>
        <v>#REF!</v>
      </c>
    </row>
    <row r="2088" spans="3:6" x14ac:dyDescent="0.25">
      <c r="C2088">
        <f>'IND TECH'!L2086</f>
        <v>0</v>
      </c>
      <c r="D2088" t="str">
        <f>'IND TECH'!A2086&amp;" "&amp;'IND TECH'!B2086&amp;" "&amp;'IND TECH'!C2086&amp;" "&amp;'IND TECH'!D2086&amp;" "&amp;'IND TECH'!E2086&amp;" "&amp;'IND TECH'!F2086&amp;" "&amp;'IND TECH'!G2086&amp;" "&amp;'IND TECH'!H2086</f>
        <v xml:space="preserve">       </v>
      </c>
      <c r="E2088" t="e">
        <f t="shared" si="12"/>
        <v>#REF!</v>
      </c>
      <c r="F2088" t="e">
        <f>'IND TECH'!#REF!</f>
        <v>#REF!</v>
      </c>
    </row>
    <row r="2089" spans="3:6" x14ac:dyDescent="0.25">
      <c r="C2089">
        <f>'IND TECH'!L2087</f>
        <v>0</v>
      </c>
      <c r="D2089" t="str">
        <f>'IND TECH'!A2087&amp;" "&amp;'IND TECH'!B2087&amp;" "&amp;'IND TECH'!C2087&amp;" "&amp;'IND TECH'!D2087&amp;" "&amp;'IND TECH'!E2087&amp;" "&amp;'IND TECH'!F2087&amp;" "&amp;'IND TECH'!G2087&amp;" "&amp;'IND TECH'!H2087</f>
        <v xml:space="preserve">       </v>
      </c>
      <c r="E2089" t="e">
        <f t="shared" si="12"/>
        <v>#REF!</v>
      </c>
      <c r="F2089" t="e">
        <f>'IND TECH'!#REF!</f>
        <v>#REF!</v>
      </c>
    </row>
    <row r="2090" spans="3:6" x14ac:dyDescent="0.25">
      <c r="C2090">
        <f>'IND TECH'!L2088</f>
        <v>0</v>
      </c>
      <c r="D2090" t="str">
        <f>'IND TECH'!A2088&amp;" "&amp;'IND TECH'!B2088&amp;" "&amp;'IND TECH'!C2088&amp;" "&amp;'IND TECH'!D2088&amp;" "&amp;'IND TECH'!E2088&amp;" "&amp;'IND TECH'!F2088&amp;" "&amp;'IND TECH'!G2088&amp;" "&amp;'IND TECH'!H2088</f>
        <v xml:space="preserve">       </v>
      </c>
      <c r="E2090" t="e">
        <f t="shared" si="12"/>
        <v>#REF!</v>
      </c>
      <c r="F2090" t="e">
        <f>'IND TECH'!#REF!</f>
        <v>#REF!</v>
      </c>
    </row>
    <row r="2091" spans="3:6" x14ac:dyDescent="0.25">
      <c r="C2091">
        <f>'IND TECH'!L2089</f>
        <v>0</v>
      </c>
      <c r="D2091" t="str">
        <f>'IND TECH'!A2089&amp;" "&amp;'IND TECH'!B2089&amp;" "&amp;'IND TECH'!C2089&amp;" "&amp;'IND TECH'!D2089&amp;" "&amp;'IND TECH'!E2089&amp;" "&amp;'IND TECH'!F2089&amp;" "&amp;'IND TECH'!G2089&amp;" "&amp;'IND TECH'!H2089</f>
        <v xml:space="preserve">       </v>
      </c>
      <c r="E2091" t="e">
        <f t="shared" si="12"/>
        <v>#REF!</v>
      </c>
      <c r="F2091" t="e">
        <f>'IND TECH'!#REF!</f>
        <v>#REF!</v>
      </c>
    </row>
    <row r="2092" spans="3:6" x14ac:dyDescent="0.25">
      <c r="C2092">
        <f>'IND TECH'!L2090</f>
        <v>0</v>
      </c>
      <c r="D2092" t="str">
        <f>'IND TECH'!A2090&amp;" "&amp;'IND TECH'!B2090&amp;" "&amp;'IND TECH'!C2090&amp;" "&amp;'IND TECH'!D2090&amp;" "&amp;'IND TECH'!E2090&amp;" "&amp;'IND TECH'!F2090&amp;" "&amp;'IND TECH'!G2090&amp;" "&amp;'IND TECH'!H2090</f>
        <v xml:space="preserve">       </v>
      </c>
      <c r="E2092" t="e">
        <f t="shared" si="12"/>
        <v>#REF!</v>
      </c>
      <c r="F2092" t="e">
        <f>'IND TECH'!#REF!</f>
        <v>#REF!</v>
      </c>
    </row>
    <row r="2093" spans="3:6" x14ac:dyDescent="0.25">
      <c r="C2093">
        <f>'IND TECH'!L2091</f>
        <v>0</v>
      </c>
      <c r="D2093" t="str">
        <f>'IND TECH'!A2091&amp;" "&amp;'IND TECH'!B2091&amp;" "&amp;'IND TECH'!C2091&amp;" "&amp;'IND TECH'!D2091&amp;" "&amp;'IND TECH'!E2091&amp;" "&amp;'IND TECH'!F2091&amp;" "&amp;'IND TECH'!G2091&amp;" "&amp;'IND TECH'!H2091</f>
        <v xml:space="preserve">       </v>
      </c>
      <c r="E2093" t="e">
        <f t="shared" si="12"/>
        <v>#REF!</v>
      </c>
      <c r="F2093" t="e">
        <f>'IND TECH'!#REF!</f>
        <v>#REF!</v>
      </c>
    </row>
    <row r="2094" spans="3:6" x14ac:dyDescent="0.25">
      <c r="C2094">
        <f>'IND TECH'!L2092</f>
        <v>0</v>
      </c>
      <c r="D2094" t="str">
        <f>'IND TECH'!A2092&amp;" "&amp;'IND TECH'!B2092&amp;" "&amp;'IND TECH'!C2092&amp;" "&amp;'IND TECH'!D2092&amp;" "&amp;'IND TECH'!E2092&amp;" "&amp;'IND TECH'!F2092&amp;" "&amp;'IND TECH'!G2092&amp;" "&amp;'IND TECH'!H2092</f>
        <v xml:space="preserve">       </v>
      </c>
      <c r="E2094" t="e">
        <f t="shared" si="12"/>
        <v>#REF!</v>
      </c>
      <c r="F2094" t="e">
        <f>'IND TECH'!#REF!</f>
        <v>#REF!</v>
      </c>
    </row>
    <row r="2095" spans="3:6" x14ac:dyDescent="0.25">
      <c r="C2095">
        <f>'IND TECH'!L2093</f>
        <v>0</v>
      </c>
      <c r="D2095" t="str">
        <f>'IND TECH'!A2093&amp;" "&amp;'IND TECH'!B2093&amp;" "&amp;'IND TECH'!C2093&amp;" "&amp;'IND TECH'!D2093&amp;" "&amp;'IND TECH'!E2093&amp;" "&amp;'IND TECH'!F2093&amp;" "&amp;'IND TECH'!G2093&amp;" "&amp;'IND TECH'!H2093</f>
        <v xml:space="preserve">       </v>
      </c>
      <c r="E2095" t="e">
        <f t="shared" si="12"/>
        <v>#REF!</v>
      </c>
      <c r="F2095" t="e">
        <f>'IND TECH'!#REF!</f>
        <v>#REF!</v>
      </c>
    </row>
    <row r="2096" spans="3:6" x14ac:dyDescent="0.25">
      <c r="C2096">
        <f>'IND TECH'!L2094</f>
        <v>0</v>
      </c>
      <c r="D2096" t="str">
        <f>'IND TECH'!A2094&amp;" "&amp;'IND TECH'!B2094&amp;" "&amp;'IND TECH'!C2094&amp;" "&amp;'IND TECH'!D2094&amp;" "&amp;'IND TECH'!E2094&amp;" "&amp;'IND TECH'!F2094&amp;" "&amp;'IND TECH'!G2094&amp;" "&amp;'IND TECH'!H2094</f>
        <v xml:space="preserve">       </v>
      </c>
      <c r="E2096" t="e">
        <f t="shared" si="12"/>
        <v>#REF!</v>
      </c>
      <c r="F2096" t="e">
        <f>'IND TECH'!#REF!</f>
        <v>#REF!</v>
      </c>
    </row>
    <row r="2097" spans="3:6" x14ac:dyDescent="0.25">
      <c r="C2097">
        <f>'IND TECH'!L2095</f>
        <v>0</v>
      </c>
      <c r="D2097" t="str">
        <f>'IND TECH'!A2095&amp;" "&amp;'IND TECH'!B2095&amp;" "&amp;'IND TECH'!C2095&amp;" "&amp;'IND TECH'!D2095&amp;" "&amp;'IND TECH'!E2095&amp;" "&amp;'IND TECH'!F2095&amp;" "&amp;'IND TECH'!G2095&amp;" "&amp;'IND TECH'!H2095</f>
        <v xml:space="preserve">       </v>
      </c>
      <c r="E2097" t="e">
        <f t="shared" si="12"/>
        <v>#REF!</v>
      </c>
      <c r="F2097" t="e">
        <f>'IND TECH'!#REF!</f>
        <v>#REF!</v>
      </c>
    </row>
    <row r="2098" spans="3:6" x14ac:dyDescent="0.25">
      <c r="C2098">
        <f>'IND TECH'!L2096</f>
        <v>0</v>
      </c>
      <c r="D2098" t="str">
        <f>'IND TECH'!A2096&amp;" "&amp;'IND TECH'!B2096&amp;" "&amp;'IND TECH'!C2096&amp;" "&amp;'IND TECH'!D2096&amp;" "&amp;'IND TECH'!E2096&amp;" "&amp;'IND TECH'!F2096&amp;" "&amp;'IND TECH'!G2096&amp;" "&amp;'IND TECH'!H2096</f>
        <v xml:space="preserve">       </v>
      </c>
      <c r="E2098" t="e">
        <f t="shared" si="12"/>
        <v>#REF!</v>
      </c>
      <c r="F2098" t="e">
        <f>'IND TECH'!#REF!</f>
        <v>#REF!</v>
      </c>
    </row>
    <row r="2099" spans="3:6" x14ac:dyDescent="0.25">
      <c r="C2099">
        <f>'IND TECH'!L2097</f>
        <v>0</v>
      </c>
      <c r="D2099" t="str">
        <f>'IND TECH'!A2097&amp;" "&amp;'IND TECH'!B2097&amp;" "&amp;'IND TECH'!C2097&amp;" "&amp;'IND TECH'!D2097&amp;" "&amp;'IND TECH'!E2097&amp;" "&amp;'IND TECH'!F2097&amp;" "&amp;'IND TECH'!G2097&amp;" "&amp;'IND TECH'!H2097</f>
        <v xml:space="preserve">       </v>
      </c>
      <c r="E2099" t="e">
        <f t="shared" si="12"/>
        <v>#REF!</v>
      </c>
      <c r="F2099" t="e">
        <f>'IND TECH'!#REF!</f>
        <v>#REF!</v>
      </c>
    </row>
    <row r="2100" spans="3:6" x14ac:dyDescent="0.25">
      <c r="C2100">
        <f>'IND TECH'!L2098</f>
        <v>0</v>
      </c>
      <c r="D2100" t="str">
        <f>'IND TECH'!A2098&amp;" "&amp;'IND TECH'!B2098&amp;" "&amp;'IND TECH'!C2098&amp;" "&amp;'IND TECH'!D2098&amp;" "&amp;'IND TECH'!E2098&amp;" "&amp;'IND TECH'!F2098&amp;" "&amp;'IND TECH'!G2098&amp;" "&amp;'IND TECH'!H2098</f>
        <v xml:space="preserve">       </v>
      </c>
      <c r="E2100" t="e">
        <f t="shared" si="12"/>
        <v>#REF!</v>
      </c>
      <c r="F2100" t="e">
        <f>'IND TECH'!#REF!</f>
        <v>#REF!</v>
      </c>
    </row>
    <row r="2101" spans="3:6" x14ac:dyDescent="0.25">
      <c r="C2101">
        <f>'IND TECH'!L2099</f>
        <v>0</v>
      </c>
      <c r="D2101" t="str">
        <f>'IND TECH'!A2099&amp;" "&amp;'IND TECH'!B2099&amp;" "&amp;'IND TECH'!C2099&amp;" "&amp;'IND TECH'!D2099&amp;" "&amp;'IND TECH'!E2099&amp;" "&amp;'IND TECH'!F2099&amp;" "&amp;'IND TECH'!G2099&amp;" "&amp;'IND TECH'!H2099</f>
        <v xml:space="preserve">       </v>
      </c>
      <c r="E2101" t="e">
        <f t="shared" si="12"/>
        <v>#REF!</v>
      </c>
      <c r="F2101" t="e">
        <f>'IND TECH'!#REF!</f>
        <v>#REF!</v>
      </c>
    </row>
    <row r="2102" spans="3:6" x14ac:dyDescent="0.25">
      <c r="C2102">
        <f>'IND TECH'!L2100</f>
        <v>0</v>
      </c>
      <c r="D2102" t="str">
        <f>'IND TECH'!A2100&amp;" "&amp;'IND TECH'!B2100&amp;" "&amp;'IND TECH'!C2100&amp;" "&amp;'IND TECH'!D2100&amp;" "&amp;'IND TECH'!E2100&amp;" "&amp;'IND TECH'!F2100&amp;" "&amp;'IND TECH'!G2100&amp;" "&amp;'IND TECH'!H2100</f>
        <v xml:space="preserve">       </v>
      </c>
      <c r="E2102" t="e">
        <f t="shared" si="12"/>
        <v>#REF!</v>
      </c>
      <c r="F2102" t="e">
        <f>'IND TECH'!#REF!</f>
        <v>#REF!</v>
      </c>
    </row>
    <row r="2103" spans="3:6" x14ac:dyDescent="0.25">
      <c r="C2103">
        <f>'IND TECH'!L2101</f>
        <v>0</v>
      </c>
      <c r="D2103" t="str">
        <f>'IND TECH'!A2101&amp;" "&amp;'IND TECH'!B2101&amp;" "&amp;'IND TECH'!C2101&amp;" "&amp;'IND TECH'!D2101&amp;" "&amp;'IND TECH'!E2101&amp;" "&amp;'IND TECH'!F2101&amp;" "&amp;'IND TECH'!G2101&amp;" "&amp;'IND TECH'!H2101</f>
        <v xml:space="preserve">       </v>
      </c>
      <c r="E2103" t="e">
        <f t="shared" si="12"/>
        <v>#REF!</v>
      </c>
      <c r="F2103" t="e">
        <f>'IND TECH'!#REF!</f>
        <v>#REF!</v>
      </c>
    </row>
    <row r="2104" spans="3:6" x14ac:dyDescent="0.25">
      <c r="C2104">
        <f>'IND TECH'!L2102</f>
        <v>0</v>
      </c>
      <c r="D2104" t="str">
        <f>'IND TECH'!A2102&amp;" "&amp;'IND TECH'!B2102&amp;" "&amp;'IND TECH'!C2102&amp;" "&amp;'IND TECH'!D2102&amp;" "&amp;'IND TECH'!E2102&amp;" "&amp;'IND TECH'!F2102&amp;" "&amp;'IND TECH'!G2102&amp;" "&amp;'IND TECH'!H2102</f>
        <v xml:space="preserve">       </v>
      </c>
      <c r="E2104" t="e">
        <f t="shared" si="12"/>
        <v>#REF!</v>
      </c>
      <c r="F2104" t="e">
        <f>'IND TECH'!#REF!</f>
        <v>#REF!</v>
      </c>
    </row>
    <row r="2105" spans="3:6" x14ac:dyDescent="0.25">
      <c r="C2105">
        <f>'IND TECH'!L2103</f>
        <v>0</v>
      </c>
      <c r="D2105" t="str">
        <f>'IND TECH'!A2103&amp;" "&amp;'IND TECH'!B2103&amp;" "&amp;'IND TECH'!C2103&amp;" "&amp;'IND TECH'!D2103&amp;" "&amp;'IND TECH'!E2103&amp;" "&amp;'IND TECH'!F2103&amp;" "&amp;'IND TECH'!G2103&amp;" "&amp;'IND TECH'!H2103</f>
        <v xml:space="preserve">       </v>
      </c>
      <c r="E2105" t="e">
        <f t="shared" si="12"/>
        <v>#REF!</v>
      </c>
      <c r="F2105" t="e">
        <f>'IND TECH'!#REF!</f>
        <v>#REF!</v>
      </c>
    </row>
    <row r="2106" spans="3:6" x14ac:dyDescent="0.25">
      <c r="C2106">
        <f>'IND TECH'!L2104</f>
        <v>0</v>
      </c>
      <c r="D2106" t="str">
        <f>'IND TECH'!A2104&amp;" "&amp;'IND TECH'!B2104&amp;" "&amp;'IND TECH'!C2104&amp;" "&amp;'IND TECH'!D2104&amp;" "&amp;'IND TECH'!E2104&amp;" "&amp;'IND TECH'!F2104&amp;" "&amp;'IND TECH'!G2104&amp;" "&amp;'IND TECH'!H2104</f>
        <v xml:space="preserve">       </v>
      </c>
      <c r="E2106" t="e">
        <f t="shared" si="12"/>
        <v>#REF!</v>
      </c>
      <c r="F2106" t="e">
        <f>'IND TECH'!#REF!</f>
        <v>#REF!</v>
      </c>
    </row>
    <row r="2107" spans="3:6" x14ac:dyDescent="0.25">
      <c r="C2107">
        <f>'IND TECH'!L2105</f>
        <v>0</v>
      </c>
      <c r="D2107" t="str">
        <f>'IND TECH'!A2105&amp;" "&amp;'IND TECH'!B2105&amp;" "&amp;'IND TECH'!C2105&amp;" "&amp;'IND TECH'!D2105&amp;" "&amp;'IND TECH'!E2105&amp;" "&amp;'IND TECH'!F2105&amp;" "&amp;'IND TECH'!G2105&amp;" "&amp;'IND TECH'!H2105</f>
        <v xml:space="preserve">       </v>
      </c>
      <c r="E2107" t="e">
        <f t="shared" si="12"/>
        <v>#REF!</v>
      </c>
      <c r="F2107" t="e">
        <f>'IND TECH'!#REF!</f>
        <v>#REF!</v>
      </c>
    </row>
    <row r="2108" spans="3:6" x14ac:dyDescent="0.25">
      <c r="C2108">
        <f>'IND TECH'!L2106</f>
        <v>0</v>
      </c>
      <c r="D2108" t="str">
        <f>'IND TECH'!A2106&amp;" "&amp;'IND TECH'!B2106&amp;" "&amp;'IND TECH'!C2106&amp;" "&amp;'IND TECH'!D2106&amp;" "&amp;'IND TECH'!E2106&amp;" "&amp;'IND TECH'!F2106&amp;" "&amp;'IND TECH'!G2106&amp;" "&amp;'IND TECH'!H2106</f>
        <v xml:space="preserve">       </v>
      </c>
      <c r="E2108" t="e">
        <f t="shared" si="12"/>
        <v>#REF!</v>
      </c>
      <c r="F2108" t="e">
        <f>'IND TECH'!#REF!</f>
        <v>#REF!</v>
      </c>
    </row>
    <row r="2109" spans="3:6" x14ac:dyDescent="0.25">
      <c r="C2109">
        <f>'IND TECH'!L2107</f>
        <v>0</v>
      </c>
      <c r="D2109" t="str">
        <f>'IND TECH'!A2107&amp;" "&amp;'IND TECH'!B2107&amp;" "&amp;'IND TECH'!C2107&amp;" "&amp;'IND TECH'!D2107&amp;" "&amp;'IND TECH'!E2107&amp;" "&amp;'IND TECH'!F2107&amp;" "&amp;'IND TECH'!G2107&amp;" "&amp;'IND TECH'!H2107</f>
        <v xml:space="preserve">       </v>
      </c>
      <c r="E2109" t="e">
        <f t="shared" si="12"/>
        <v>#REF!</v>
      </c>
      <c r="F2109" t="e">
        <f>'IND TECH'!#REF!</f>
        <v>#REF!</v>
      </c>
    </row>
    <row r="2110" spans="3:6" x14ac:dyDescent="0.25">
      <c r="C2110">
        <f>'IND TECH'!L2108</f>
        <v>0</v>
      </c>
      <c r="D2110" t="str">
        <f>'IND TECH'!A2108&amp;" "&amp;'IND TECH'!B2108&amp;" "&amp;'IND TECH'!C2108&amp;" "&amp;'IND TECH'!D2108&amp;" "&amp;'IND TECH'!E2108&amp;" "&amp;'IND TECH'!F2108&amp;" "&amp;'IND TECH'!G2108&amp;" "&amp;'IND TECH'!H2108</f>
        <v xml:space="preserve">       </v>
      </c>
      <c r="E2110" t="e">
        <f t="shared" si="12"/>
        <v>#REF!</v>
      </c>
      <c r="F2110" t="e">
        <f>'IND TECH'!#REF!</f>
        <v>#REF!</v>
      </c>
    </row>
    <row r="2111" spans="3:6" x14ac:dyDescent="0.25">
      <c r="C2111">
        <f>'IND TECH'!L2109</f>
        <v>0</v>
      </c>
      <c r="D2111" t="str">
        <f>'IND TECH'!A2109&amp;" "&amp;'IND TECH'!B2109&amp;" "&amp;'IND TECH'!C2109&amp;" "&amp;'IND TECH'!D2109&amp;" "&amp;'IND TECH'!E2109&amp;" "&amp;'IND TECH'!F2109&amp;" "&amp;'IND TECH'!G2109&amp;" "&amp;'IND TECH'!H2109</f>
        <v xml:space="preserve">       </v>
      </c>
      <c r="E2111" t="e">
        <f t="shared" si="12"/>
        <v>#REF!</v>
      </c>
      <c r="F2111" t="e">
        <f>'IND TECH'!#REF!</f>
        <v>#REF!</v>
      </c>
    </row>
    <row r="2112" spans="3:6" x14ac:dyDescent="0.25">
      <c r="C2112">
        <f>'IND TECH'!L2110</f>
        <v>0</v>
      </c>
      <c r="D2112" t="str">
        <f>'IND TECH'!A2110&amp;" "&amp;'IND TECH'!B2110&amp;" "&amp;'IND TECH'!C2110&amp;" "&amp;'IND TECH'!D2110&amp;" "&amp;'IND TECH'!E2110&amp;" "&amp;'IND TECH'!F2110&amp;" "&amp;'IND TECH'!G2110&amp;" "&amp;'IND TECH'!H2110</f>
        <v xml:space="preserve">       </v>
      </c>
      <c r="E2112" t="e">
        <f t="shared" si="12"/>
        <v>#REF!</v>
      </c>
      <c r="F2112" t="e">
        <f>'IND TECH'!#REF!</f>
        <v>#REF!</v>
      </c>
    </row>
    <row r="2113" spans="3:6" x14ac:dyDescent="0.25">
      <c r="C2113">
        <f>'IND TECH'!L2111</f>
        <v>0</v>
      </c>
      <c r="D2113" t="str">
        <f>'IND TECH'!A2111&amp;" "&amp;'IND TECH'!B2111&amp;" "&amp;'IND TECH'!C2111&amp;" "&amp;'IND TECH'!D2111&amp;" "&amp;'IND TECH'!E2111&amp;" "&amp;'IND TECH'!F2111&amp;" "&amp;'IND TECH'!G2111&amp;" "&amp;'IND TECH'!H2111</f>
        <v xml:space="preserve">       </v>
      </c>
      <c r="E2113" t="e">
        <f t="shared" si="12"/>
        <v>#REF!</v>
      </c>
      <c r="F2113" t="e">
        <f>'IND TECH'!#REF!</f>
        <v>#REF!</v>
      </c>
    </row>
    <row r="2114" spans="3:6" x14ac:dyDescent="0.25">
      <c r="C2114">
        <f>'IND TECH'!L2112</f>
        <v>0</v>
      </c>
      <c r="D2114" t="str">
        <f>'IND TECH'!A2112&amp;" "&amp;'IND TECH'!B2112&amp;" "&amp;'IND TECH'!C2112&amp;" "&amp;'IND TECH'!D2112&amp;" "&amp;'IND TECH'!E2112&amp;" "&amp;'IND TECH'!F2112&amp;" "&amp;'IND TECH'!G2112&amp;" "&amp;'IND TECH'!H2112</f>
        <v xml:space="preserve">       </v>
      </c>
      <c r="E2114" t="e">
        <f t="shared" si="12"/>
        <v>#REF!</v>
      </c>
      <c r="F2114" t="e">
        <f>'IND TECH'!#REF!</f>
        <v>#REF!</v>
      </c>
    </row>
    <row r="2115" spans="3:6" x14ac:dyDescent="0.25">
      <c r="C2115">
        <f>'IND TECH'!L2113</f>
        <v>0</v>
      </c>
      <c r="D2115" t="str">
        <f>'IND TECH'!A2113&amp;" "&amp;'IND TECH'!B2113&amp;" "&amp;'IND TECH'!C2113&amp;" "&amp;'IND TECH'!D2113&amp;" "&amp;'IND TECH'!E2113&amp;" "&amp;'IND TECH'!F2113&amp;" "&amp;'IND TECH'!G2113&amp;" "&amp;'IND TECH'!H2113</f>
        <v xml:space="preserve">       </v>
      </c>
      <c r="E2115" t="e">
        <f t="shared" si="12"/>
        <v>#REF!</v>
      </c>
      <c r="F2115" t="e">
        <f>'IND TECH'!#REF!</f>
        <v>#REF!</v>
      </c>
    </row>
    <row r="2116" spans="3:6" x14ac:dyDescent="0.25">
      <c r="C2116">
        <f>'IND TECH'!L2114</f>
        <v>0</v>
      </c>
      <c r="D2116" t="str">
        <f>'IND TECH'!A2114&amp;" "&amp;'IND TECH'!B2114&amp;" "&amp;'IND TECH'!C2114&amp;" "&amp;'IND TECH'!D2114&amp;" "&amp;'IND TECH'!E2114&amp;" "&amp;'IND TECH'!F2114&amp;" "&amp;'IND TECH'!G2114&amp;" "&amp;'IND TECH'!H2114</f>
        <v xml:space="preserve">       </v>
      </c>
      <c r="E2116" t="e">
        <f t="shared" si="12"/>
        <v>#REF!</v>
      </c>
      <c r="F2116" t="e">
        <f>'IND TECH'!#REF!</f>
        <v>#REF!</v>
      </c>
    </row>
    <row r="2117" spans="3:6" x14ac:dyDescent="0.25">
      <c r="C2117">
        <f>'IND TECH'!L2115</f>
        <v>0</v>
      </c>
      <c r="D2117" t="str">
        <f>'IND TECH'!A2115&amp;" "&amp;'IND TECH'!B2115&amp;" "&amp;'IND TECH'!C2115&amp;" "&amp;'IND TECH'!D2115&amp;" "&amp;'IND TECH'!E2115&amp;" "&amp;'IND TECH'!F2115&amp;" "&amp;'IND TECH'!G2115&amp;" "&amp;'IND TECH'!H2115</f>
        <v xml:space="preserve">       </v>
      </c>
      <c r="E2117" t="e">
        <f t="shared" si="12"/>
        <v>#REF!</v>
      </c>
      <c r="F2117" t="e">
        <f>'IND TECH'!#REF!</f>
        <v>#REF!</v>
      </c>
    </row>
    <row r="2118" spans="3:6" x14ac:dyDescent="0.25">
      <c r="C2118">
        <f>'IND TECH'!L2116</f>
        <v>0</v>
      </c>
      <c r="D2118" t="str">
        <f>'IND TECH'!A2116&amp;" "&amp;'IND TECH'!B2116&amp;" "&amp;'IND TECH'!C2116&amp;" "&amp;'IND TECH'!D2116&amp;" "&amp;'IND TECH'!E2116&amp;" "&amp;'IND TECH'!F2116&amp;" "&amp;'IND TECH'!G2116&amp;" "&amp;'IND TECH'!H2116</f>
        <v xml:space="preserve">       </v>
      </c>
      <c r="E2118" t="e">
        <f t="shared" si="12"/>
        <v>#REF!</v>
      </c>
      <c r="F2118" t="e">
        <f>'IND TECH'!#REF!</f>
        <v>#REF!</v>
      </c>
    </row>
    <row r="2119" spans="3:6" x14ac:dyDescent="0.25">
      <c r="C2119">
        <f>'IND TECH'!L2117</f>
        <v>0</v>
      </c>
      <c r="D2119" t="str">
        <f>'IND TECH'!A2117&amp;" "&amp;'IND TECH'!B2117&amp;" "&amp;'IND TECH'!C2117&amp;" "&amp;'IND TECH'!D2117&amp;" "&amp;'IND TECH'!E2117&amp;" "&amp;'IND TECH'!F2117&amp;" "&amp;'IND TECH'!G2117&amp;" "&amp;'IND TECH'!H2117</f>
        <v xml:space="preserve">       </v>
      </c>
      <c r="E2119" t="e">
        <f t="shared" si="12"/>
        <v>#REF!</v>
      </c>
      <c r="F2119" t="e">
        <f>'IND TECH'!#REF!</f>
        <v>#REF!</v>
      </c>
    </row>
    <row r="2120" spans="3:6" x14ac:dyDescent="0.25">
      <c r="C2120">
        <f>'IND TECH'!L2118</f>
        <v>0</v>
      </c>
      <c r="D2120" t="str">
        <f>'IND TECH'!A2118&amp;" "&amp;'IND TECH'!B2118&amp;" "&amp;'IND TECH'!C2118&amp;" "&amp;'IND TECH'!D2118&amp;" "&amp;'IND TECH'!E2118&amp;" "&amp;'IND TECH'!F2118&amp;" "&amp;'IND TECH'!G2118&amp;" "&amp;'IND TECH'!H2118</f>
        <v xml:space="preserve">       </v>
      </c>
      <c r="E2120" t="e">
        <f t="shared" si="12"/>
        <v>#REF!</v>
      </c>
      <c r="F2120" t="e">
        <f>'IND TECH'!#REF!</f>
        <v>#REF!</v>
      </c>
    </row>
    <row r="2121" spans="3:6" x14ac:dyDescent="0.25">
      <c r="C2121">
        <f>'IND TECH'!L2119</f>
        <v>0</v>
      </c>
      <c r="D2121" t="str">
        <f>'IND TECH'!A2119&amp;" "&amp;'IND TECH'!B2119&amp;" "&amp;'IND TECH'!C2119&amp;" "&amp;'IND TECH'!D2119&amp;" "&amp;'IND TECH'!E2119&amp;" "&amp;'IND TECH'!F2119&amp;" "&amp;'IND TECH'!G2119&amp;" "&amp;'IND TECH'!H2119</f>
        <v xml:space="preserve">       </v>
      </c>
      <c r="E2121" t="e">
        <f t="shared" si="12"/>
        <v>#REF!</v>
      </c>
      <c r="F2121" t="e">
        <f>'IND TECH'!#REF!</f>
        <v>#REF!</v>
      </c>
    </row>
    <row r="2122" spans="3:6" x14ac:dyDescent="0.25">
      <c r="C2122">
        <f>'IND TECH'!L2120</f>
        <v>0</v>
      </c>
      <c r="D2122" t="str">
        <f>'IND TECH'!A2120&amp;" "&amp;'IND TECH'!B2120&amp;" "&amp;'IND TECH'!C2120&amp;" "&amp;'IND TECH'!D2120&amp;" "&amp;'IND TECH'!E2120&amp;" "&amp;'IND TECH'!F2120&amp;" "&amp;'IND TECH'!G2120&amp;" "&amp;'IND TECH'!H2120</f>
        <v xml:space="preserve">       </v>
      </c>
      <c r="E2122" t="e">
        <f t="shared" si="12"/>
        <v>#REF!</v>
      </c>
      <c r="F2122" t="e">
        <f>'IND TECH'!#REF!</f>
        <v>#REF!</v>
      </c>
    </row>
    <row r="2123" spans="3:6" x14ac:dyDescent="0.25">
      <c r="C2123">
        <f>'IND TECH'!L2121</f>
        <v>0</v>
      </c>
      <c r="D2123" t="str">
        <f>'IND TECH'!A2121&amp;" "&amp;'IND TECH'!B2121&amp;" "&amp;'IND TECH'!C2121&amp;" "&amp;'IND TECH'!D2121&amp;" "&amp;'IND TECH'!E2121&amp;" "&amp;'IND TECH'!F2121&amp;" "&amp;'IND TECH'!G2121&amp;" "&amp;'IND TECH'!H2121</f>
        <v xml:space="preserve">       </v>
      </c>
      <c r="E2123" t="e">
        <f t="shared" si="12"/>
        <v>#REF!</v>
      </c>
      <c r="F2123" t="e">
        <f>'IND TECH'!#REF!</f>
        <v>#REF!</v>
      </c>
    </row>
    <row r="2124" spans="3:6" x14ac:dyDescent="0.25">
      <c r="C2124">
        <f>'IND TECH'!L2122</f>
        <v>0</v>
      </c>
      <c r="D2124" t="str">
        <f>'IND TECH'!A2122&amp;" "&amp;'IND TECH'!B2122&amp;" "&amp;'IND TECH'!C2122&amp;" "&amp;'IND TECH'!D2122&amp;" "&amp;'IND TECH'!E2122&amp;" "&amp;'IND TECH'!F2122&amp;" "&amp;'IND TECH'!G2122&amp;" "&amp;'IND TECH'!H2122</f>
        <v xml:space="preserve">       </v>
      </c>
      <c r="E2124" t="e">
        <f t="shared" si="12"/>
        <v>#REF!</v>
      </c>
      <c r="F2124" t="e">
        <f>'IND TECH'!#REF!</f>
        <v>#REF!</v>
      </c>
    </row>
    <row r="2125" spans="3:6" x14ac:dyDescent="0.25">
      <c r="C2125">
        <f>'IND TECH'!L2123</f>
        <v>0</v>
      </c>
      <c r="D2125" t="str">
        <f>'IND TECH'!A2123&amp;" "&amp;'IND TECH'!B2123&amp;" "&amp;'IND TECH'!C2123&amp;" "&amp;'IND TECH'!D2123&amp;" "&amp;'IND TECH'!E2123&amp;" "&amp;'IND TECH'!F2123&amp;" "&amp;'IND TECH'!G2123&amp;" "&amp;'IND TECH'!H2123</f>
        <v xml:space="preserve">       </v>
      </c>
      <c r="E2125" t="e">
        <f t="shared" si="12"/>
        <v>#REF!</v>
      </c>
      <c r="F2125" t="e">
        <f>'IND TECH'!#REF!</f>
        <v>#REF!</v>
      </c>
    </row>
    <row r="2126" spans="3:6" x14ac:dyDescent="0.25">
      <c r="C2126">
        <f>'IND TECH'!L2124</f>
        <v>0</v>
      </c>
      <c r="D2126" t="str">
        <f>'IND TECH'!A2124&amp;" "&amp;'IND TECH'!B2124&amp;" "&amp;'IND TECH'!C2124&amp;" "&amp;'IND TECH'!D2124&amp;" "&amp;'IND TECH'!E2124&amp;" "&amp;'IND TECH'!F2124&amp;" "&amp;'IND TECH'!G2124&amp;" "&amp;'IND TECH'!H2124</f>
        <v xml:space="preserve">       </v>
      </c>
      <c r="E2126" t="e">
        <f t="shared" si="12"/>
        <v>#REF!</v>
      </c>
      <c r="F2126" t="e">
        <f>'IND TECH'!#REF!</f>
        <v>#REF!</v>
      </c>
    </row>
    <row r="2127" spans="3:6" x14ac:dyDescent="0.25">
      <c r="C2127">
        <f>'IND TECH'!L2125</f>
        <v>0</v>
      </c>
      <c r="D2127" t="str">
        <f>'IND TECH'!A2125&amp;" "&amp;'IND TECH'!B2125&amp;" "&amp;'IND TECH'!C2125&amp;" "&amp;'IND TECH'!D2125&amp;" "&amp;'IND TECH'!E2125&amp;" "&amp;'IND TECH'!F2125&amp;" "&amp;'IND TECH'!G2125&amp;" "&amp;'IND TECH'!H2125</f>
        <v xml:space="preserve">       </v>
      </c>
      <c r="E2127" t="e">
        <f t="shared" si="12"/>
        <v>#REF!</v>
      </c>
      <c r="F2127" t="e">
        <f>'IND TECH'!#REF!</f>
        <v>#REF!</v>
      </c>
    </row>
    <row r="2128" spans="3:6" x14ac:dyDescent="0.25">
      <c r="C2128">
        <f>'IND TECH'!L2126</f>
        <v>0</v>
      </c>
      <c r="D2128" t="str">
        <f>'IND TECH'!A2126&amp;" "&amp;'IND TECH'!B2126&amp;" "&amp;'IND TECH'!C2126&amp;" "&amp;'IND TECH'!D2126&amp;" "&amp;'IND TECH'!E2126&amp;" "&amp;'IND TECH'!F2126&amp;" "&amp;'IND TECH'!G2126&amp;" "&amp;'IND TECH'!H2126</f>
        <v xml:space="preserve">       </v>
      </c>
      <c r="E2128" t="e">
        <f t="shared" si="12"/>
        <v>#REF!</v>
      </c>
      <c r="F2128" t="e">
        <f>'IND TECH'!#REF!</f>
        <v>#REF!</v>
      </c>
    </row>
    <row r="2129" spans="3:6" x14ac:dyDescent="0.25">
      <c r="C2129">
        <f>'IND TECH'!L2127</f>
        <v>0</v>
      </c>
      <c r="D2129" t="str">
        <f>'IND TECH'!A2127&amp;" "&amp;'IND TECH'!B2127&amp;" "&amp;'IND TECH'!C2127&amp;" "&amp;'IND TECH'!D2127&amp;" "&amp;'IND TECH'!E2127&amp;" "&amp;'IND TECH'!F2127&amp;" "&amp;'IND TECH'!G2127&amp;" "&amp;'IND TECH'!H2127</f>
        <v xml:space="preserve">       </v>
      </c>
      <c r="E2129" t="e">
        <f t="shared" si="12"/>
        <v>#REF!</v>
      </c>
      <c r="F2129" t="e">
        <f>'IND TECH'!#REF!</f>
        <v>#REF!</v>
      </c>
    </row>
    <row r="2130" spans="3:6" x14ac:dyDescent="0.25">
      <c r="C2130">
        <f>'IND TECH'!L2128</f>
        <v>0</v>
      </c>
      <c r="D2130" t="str">
        <f>'IND TECH'!A2128&amp;" "&amp;'IND TECH'!B2128&amp;" "&amp;'IND TECH'!C2128&amp;" "&amp;'IND TECH'!D2128&amp;" "&amp;'IND TECH'!E2128&amp;" "&amp;'IND TECH'!F2128&amp;" "&amp;'IND TECH'!G2128&amp;" "&amp;'IND TECH'!H2128</f>
        <v xml:space="preserve">       </v>
      </c>
      <c r="E2130" t="e">
        <f t="shared" si="12"/>
        <v>#REF!</v>
      </c>
      <c r="F2130" t="e">
        <f>'IND TECH'!#REF!</f>
        <v>#REF!</v>
      </c>
    </row>
    <row r="2131" spans="3:6" x14ac:dyDescent="0.25">
      <c r="C2131">
        <f>'IND TECH'!L2129</f>
        <v>0</v>
      </c>
      <c r="D2131" t="str">
        <f>'IND TECH'!A2129&amp;" "&amp;'IND TECH'!B2129&amp;" "&amp;'IND TECH'!C2129&amp;" "&amp;'IND TECH'!D2129&amp;" "&amp;'IND TECH'!E2129&amp;" "&amp;'IND TECH'!F2129&amp;" "&amp;'IND TECH'!G2129&amp;" "&amp;'IND TECH'!H2129</f>
        <v xml:space="preserve">       </v>
      </c>
      <c r="E2131" t="e">
        <f t="shared" ref="E2131:E2194" si="13">IF(F2131="Mlma","Mlm","TJ")</f>
        <v>#REF!</v>
      </c>
      <c r="F2131" t="e">
        <f>'IND TECH'!#REF!</f>
        <v>#REF!</v>
      </c>
    </row>
    <row r="2132" spans="3:6" x14ac:dyDescent="0.25">
      <c r="C2132">
        <f>'IND TECH'!L2130</f>
        <v>0</v>
      </c>
      <c r="D2132" t="str">
        <f>'IND TECH'!A2130&amp;" "&amp;'IND TECH'!B2130&amp;" "&amp;'IND TECH'!C2130&amp;" "&amp;'IND TECH'!D2130&amp;" "&amp;'IND TECH'!E2130&amp;" "&amp;'IND TECH'!F2130&amp;" "&amp;'IND TECH'!G2130&amp;" "&amp;'IND TECH'!H2130</f>
        <v xml:space="preserve">       </v>
      </c>
      <c r="E2132" t="e">
        <f t="shared" si="13"/>
        <v>#REF!</v>
      </c>
      <c r="F2132" t="e">
        <f>'IND TECH'!#REF!</f>
        <v>#REF!</v>
      </c>
    </row>
    <row r="2133" spans="3:6" x14ac:dyDescent="0.25">
      <c r="C2133">
        <f>'IND TECH'!L2131</f>
        <v>0</v>
      </c>
      <c r="D2133" t="str">
        <f>'IND TECH'!A2131&amp;" "&amp;'IND TECH'!B2131&amp;" "&amp;'IND TECH'!C2131&amp;" "&amp;'IND TECH'!D2131&amp;" "&amp;'IND TECH'!E2131&amp;" "&amp;'IND TECH'!F2131&amp;" "&amp;'IND TECH'!G2131&amp;" "&amp;'IND TECH'!H2131</f>
        <v xml:space="preserve">       </v>
      </c>
      <c r="E2133" t="e">
        <f t="shared" si="13"/>
        <v>#REF!</v>
      </c>
      <c r="F2133" t="e">
        <f>'IND TECH'!#REF!</f>
        <v>#REF!</v>
      </c>
    </row>
    <row r="2134" spans="3:6" x14ac:dyDescent="0.25">
      <c r="C2134">
        <f>'IND TECH'!L2132</f>
        <v>0</v>
      </c>
      <c r="D2134" t="str">
        <f>'IND TECH'!A2132&amp;" "&amp;'IND TECH'!B2132&amp;" "&amp;'IND TECH'!C2132&amp;" "&amp;'IND TECH'!D2132&amp;" "&amp;'IND TECH'!E2132&amp;" "&amp;'IND TECH'!F2132&amp;" "&amp;'IND TECH'!G2132&amp;" "&amp;'IND TECH'!H2132</f>
        <v xml:space="preserve">       </v>
      </c>
      <c r="E2134" t="e">
        <f t="shared" si="13"/>
        <v>#REF!</v>
      </c>
      <c r="F2134" t="e">
        <f>'IND TECH'!#REF!</f>
        <v>#REF!</v>
      </c>
    </row>
    <row r="2135" spans="3:6" x14ac:dyDescent="0.25">
      <c r="C2135">
        <f>'IND TECH'!L2133</f>
        <v>0</v>
      </c>
      <c r="D2135" t="str">
        <f>'IND TECH'!A2133&amp;" "&amp;'IND TECH'!B2133&amp;" "&amp;'IND TECH'!C2133&amp;" "&amp;'IND TECH'!D2133&amp;" "&amp;'IND TECH'!E2133&amp;" "&amp;'IND TECH'!F2133&amp;" "&amp;'IND TECH'!G2133&amp;" "&amp;'IND TECH'!H2133</f>
        <v xml:space="preserve">       </v>
      </c>
      <c r="E2135" t="e">
        <f t="shared" si="13"/>
        <v>#REF!</v>
      </c>
      <c r="F2135" t="e">
        <f>'IND TECH'!#REF!</f>
        <v>#REF!</v>
      </c>
    </row>
    <row r="2136" spans="3:6" x14ac:dyDescent="0.25">
      <c r="C2136">
        <f>'IND TECH'!L2134</f>
        <v>0</v>
      </c>
      <c r="D2136" t="str">
        <f>'IND TECH'!A2134&amp;" "&amp;'IND TECH'!B2134&amp;" "&amp;'IND TECH'!C2134&amp;" "&amp;'IND TECH'!D2134&amp;" "&amp;'IND TECH'!E2134&amp;" "&amp;'IND TECH'!F2134&amp;" "&amp;'IND TECH'!G2134&amp;" "&amp;'IND TECH'!H2134</f>
        <v xml:space="preserve">       </v>
      </c>
      <c r="E2136" t="e">
        <f t="shared" si="13"/>
        <v>#REF!</v>
      </c>
      <c r="F2136" t="e">
        <f>'IND TECH'!#REF!</f>
        <v>#REF!</v>
      </c>
    </row>
    <row r="2137" spans="3:6" x14ac:dyDescent="0.25">
      <c r="C2137">
        <f>'IND TECH'!L2135</f>
        <v>0</v>
      </c>
      <c r="D2137" t="str">
        <f>'IND TECH'!A2135&amp;" "&amp;'IND TECH'!B2135&amp;" "&amp;'IND TECH'!C2135&amp;" "&amp;'IND TECH'!D2135&amp;" "&amp;'IND TECH'!E2135&amp;" "&amp;'IND TECH'!F2135&amp;" "&amp;'IND TECH'!G2135&amp;" "&amp;'IND TECH'!H2135</f>
        <v xml:space="preserve">       </v>
      </c>
      <c r="E2137" t="e">
        <f t="shared" si="13"/>
        <v>#REF!</v>
      </c>
      <c r="F2137" t="e">
        <f>'IND TECH'!#REF!</f>
        <v>#REF!</v>
      </c>
    </row>
    <row r="2138" spans="3:6" x14ac:dyDescent="0.25">
      <c r="C2138">
        <f>'IND TECH'!L2136</f>
        <v>0</v>
      </c>
      <c r="D2138" t="str">
        <f>'IND TECH'!A2136&amp;" "&amp;'IND TECH'!B2136&amp;" "&amp;'IND TECH'!C2136&amp;" "&amp;'IND TECH'!D2136&amp;" "&amp;'IND TECH'!E2136&amp;" "&amp;'IND TECH'!F2136&amp;" "&amp;'IND TECH'!G2136&amp;" "&amp;'IND TECH'!H2136</f>
        <v xml:space="preserve">       </v>
      </c>
      <c r="E2138" t="e">
        <f t="shared" si="13"/>
        <v>#REF!</v>
      </c>
      <c r="F2138" t="e">
        <f>'IND TECH'!#REF!</f>
        <v>#REF!</v>
      </c>
    </row>
    <row r="2139" spans="3:6" x14ac:dyDescent="0.25">
      <c r="C2139">
        <f>'IND TECH'!L2137</f>
        <v>0</v>
      </c>
      <c r="D2139" t="str">
        <f>'IND TECH'!A2137&amp;" "&amp;'IND TECH'!B2137&amp;" "&amp;'IND TECH'!C2137&amp;" "&amp;'IND TECH'!D2137&amp;" "&amp;'IND TECH'!E2137&amp;" "&amp;'IND TECH'!F2137&amp;" "&amp;'IND TECH'!G2137&amp;" "&amp;'IND TECH'!H2137</f>
        <v xml:space="preserve">       </v>
      </c>
      <c r="E2139" t="e">
        <f t="shared" si="13"/>
        <v>#REF!</v>
      </c>
      <c r="F2139" t="e">
        <f>'IND TECH'!#REF!</f>
        <v>#REF!</v>
      </c>
    </row>
    <row r="2140" spans="3:6" x14ac:dyDescent="0.25">
      <c r="C2140">
        <f>'IND TECH'!L2138</f>
        <v>0</v>
      </c>
      <c r="D2140" t="str">
        <f>'IND TECH'!A2138&amp;" "&amp;'IND TECH'!B2138&amp;" "&amp;'IND TECH'!C2138&amp;" "&amp;'IND TECH'!D2138&amp;" "&amp;'IND TECH'!E2138&amp;" "&amp;'IND TECH'!F2138&amp;" "&amp;'IND TECH'!G2138&amp;" "&amp;'IND TECH'!H2138</f>
        <v xml:space="preserve">       </v>
      </c>
      <c r="E2140" t="e">
        <f t="shared" si="13"/>
        <v>#REF!</v>
      </c>
      <c r="F2140" t="e">
        <f>'IND TECH'!#REF!</f>
        <v>#REF!</v>
      </c>
    </row>
    <row r="2141" spans="3:6" x14ac:dyDescent="0.25">
      <c r="C2141">
        <f>'IND TECH'!L2139</f>
        <v>0</v>
      </c>
      <c r="D2141" t="str">
        <f>'IND TECH'!A2139&amp;" "&amp;'IND TECH'!B2139&amp;" "&amp;'IND TECH'!C2139&amp;" "&amp;'IND TECH'!D2139&amp;" "&amp;'IND TECH'!E2139&amp;" "&amp;'IND TECH'!F2139&amp;" "&amp;'IND TECH'!G2139&amp;" "&amp;'IND TECH'!H2139</f>
        <v xml:space="preserve">       </v>
      </c>
      <c r="E2141" t="e">
        <f t="shared" si="13"/>
        <v>#REF!</v>
      </c>
      <c r="F2141" t="e">
        <f>'IND TECH'!#REF!</f>
        <v>#REF!</v>
      </c>
    </row>
    <row r="2142" spans="3:6" x14ac:dyDescent="0.25">
      <c r="C2142">
        <f>'IND TECH'!L2140</f>
        <v>0</v>
      </c>
      <c r="D2142" t="str">
        <f>'IND TECH'!A2140&amp;" "&amp;'IND TECH'!B2140&amp;" "&amp;'IND TECH'!C2140&amp;" "&amp;'IND TECH'!D2140&amp;" "&amp;'IND TECH'!E2140&amp;" "&amp;'IND TECH'!F2140&amp;" "&amp;'IND TECH'!G2140&amp;" "&amp;'IND TECH'!H2140</f>
        <v xml:space="preserve">       </v>
      </c>
      <c r="E2142" t="e">
        <f t="shared" si="13"/>
        <v>#REF!</v>
      </c>
      <c r="F2142" t="e">
        <f>'IND TECH'!#REF!</f>
        <v>#REF!</v>
      </c>
    </row>
    <row r="2143" spans="3:6" x14ac:dyDescent="0.25">
      <c r="C2143">
        <f>'IND TECH'!L2141</f>
        <v>0</v>
      </c>
      <c r="D2143" t="str">
        <f>'IND TECH'!A2141&amp;" "&amp;'IND TECH'!B2141&amp;" "&amp;'IND TECH'!C2141&amp;" "&amp;'IND TECH'!D2141&amp;" "&amp;'IND TECH'!E2141&amp;" "&amp;'IND TECH'!F2141&amp;" "&amp;'IND TECH'!G2141&amp;" "&amp;'IND TECH'!H2141</f>
        <v xml:space="preserve">       </v>
      </c>
      <c r="E2143" t="e">
        <f t="shared" si="13"/>
        <v>#REF!</v>
      </c>
      <c r="F2143" t="e">
        <f>'IND TECH'!#REF!</f>
        <v>#REF!</v>
      </c>
    </row>
    <row r="2144" spans="3:6" x14ac:dyDescent="0.25">
      <c r="C2144">
        <f>'IND TECH'!L2142</f>
        <v>0</v>
      </c>
      <c r="D2144" t="str">
        <f>'IND TECH'!A2142&amp;" "&amp;'IND TECH'!B2142&amp;" "&amp;'IND TECH'!C2142&amp;" "&amp;'IND TECH'!D2142&amp;" "&amp;'IND TECH'!E2142&amp;" "&amp;'IND TECH'!F2142&amp;" "&amp;'IND TECH'!G2142&amp;" "&amp;'IND TECH'!H2142</f>
        <v xml:space="preserve">       </v>
      </c>
      <c r="E2144" t="e">
        <f t="shared" si="13"/>
        <v>#REF!</v>
      </c>
      <c r="F2144" t="e">
        <f>'IND TECH'!#REF!</f>
        <v>#REF!</v>
      </c>
    </row>
    <row r="2145" spans="3:6" x14ac:dyDescent="0.25">
      <c r="C2145">
        <f>'IND TECH'!L2143</f>
        <v>0</v>
      </c>
      <c r="D2145" t="str">
        <f>'IND TECH'!A2143&amp;" "&amp;'IND TECH'!B2143&amp;" "&amp;'IND TECH'!C2143&amp;" "&amp;'IND TECH'!D2143&amp;" "&amp;'IND TECH'!E2143&amp;" "&amp;'IND TECH'!F2143&amp;" "&amp;'IND TECH'!G2143&amp;" "&amp;'IND TECH'!H2143</f>
        <v xml:space="preserve">       </v>
      </c>
      <c r="E2145" t="e">
        <f t="shared" si="13"/>
        <v>#REF!</v>
      </c>
      <c r="F2145" t="e">
        <f>'IND TECH'!#REF!</f>
        <v>#REF!</v>
      </c>
    </row>
    <row r="2146" spans="3:6" x14ac:dyDescent="0.25">
      <c r="C2146">
        <f>'IND TECH'!L2144</f>
        <v>0</v>
      </c>
      <c r="D2146" t="str">
        <f>'IND TECH'!A2144&amp;" "&amp;'IND TECH'!B2144&amp;" "&amp;'IND TECH'!C2144&amp;" "&amp;'IND TECH'!D2144&amp;" "&amp;'IND TECH'!E2144&amp;" "&amp;'IND TECH'!F2144&amp;" "&amp;'IND TECH'!G2144&amp;" "&amp;'IND TECH'!H2144</f>
        <v xml:space="preserve">       </v>
      </c>
      <c r="E2146" t="e">
        <f t="shared" si="13"/>
        <v>#REF!</v>
      </c>
      <c r="F2146" t="e">
        <f>'IND TECH'!#REF!</f>
        <v>#REF!</v>
      </c>
    </row>
    <row r="2147" spans="3:6" x14ac:dyDescent="0.25">
      <c r="C2147">
        <f>'IND TECH'!L2145</f>
        <v>0</v>
      </c>
      <c r="D2147" t="str">
        <f>'IND TECH'!A2145&amp;" "&amp;'IND TECH'!B2145&amp;" "&amp;'IND TECH'!C2145&amp;" "&amp;'IND TECH'!D2145&amp;" "&amp;'IND TECH'!E2145&amp;" "&amp;'IND TECH'!F2145&amp;" "&amp;'IND TECH'!G2145&amp;" "&amp;'IND TECH'!H2145</f>
        <v xml:space="preserve">       </v>
      </c>
      <c r="E2147" t="e">
        <f t="shared" si="13"/>
        <v>#REF!</v>
      </c>
      <c r="F2147" t="e">
        <f>'IND TECH'!#REF!</f>
        <v>#REF!</v>
      </c>
    </row>
    <row r="2148" spans="3:6" x14ac:dyDescent="0.25">
      <c r="C2148">
        <f>'IND TECH'!L2146</f>
        <v>0</v>
      </c>
      <c r="D2148" t="str">
        <f>'IND TECH'!A2146&amp;" "&amp;'IND TECH'!B2146&amp;" "&amp;'IND TECH'!C2146&amp;" "&amp;'IND TECH'!D2146&amp;" "&amp;'IND TECH'!E2146&amp;" "&amp;'IND TECH'!F2146&amp;" "&amp;'IND TECH'!G2146&amp;" "&amp;'IND TECH'!H2146</f>
        <v xml:space="preserve">       </v>
      </c>
      <c r="E2148" t="e">
        <f t="shared" si="13"/>
        <v>#REF!</v>
      </c>
      <c r="F2148" t="e">
        <f>'IND TECH'!#REF!</f>
        <v>#REF!</v>
      </c>
    </row>
    <row r="2149" spans="3:6" x14ac:dyDescent="0.25">
      <c r="C2149">
        <f>'IND TECH'!L2147</f>
        <v>0</v>
      </c>
      <c r="D2149" t="str">
        <f>'IND TECH'!A2147&amp;" "&amp;'IND TECH'!B2147&amp;" "&amp;'IND TECH'!C2147&amp;" "&amp;'IND TECH'!D2147&amp;" "&amp;'IND TECH'!E2147&amp;" "&amp;'IND TECH'!F2147&amp;" "&amp;'IND TECH'!G2147&amp;" "&amp;'IND TECH'!H2147</f>
        <v xml:space="preserve">       </v>
      </c>
      <c r="E2149" t="e">
        <f t="shared" si="13"/>
        <v>#REF!</v>
      </c>
      <c r="F2149" t="e">
        <f>'IND TECH'!#REF!</f>
        <v>#REF!</v>
      </c>
    </row>
    <row r="2150" spans="3:6" x14ac:dyDescent="0.25">
      <c r="C2150">
        <f>'IND TECH'!L2148</f>
        <v>0</v>
      </c>
      <c r="D2150" t="str">
        <f>'IND TECH'!A2148&amp;" "&amp;'IND TECH'!B2148&amp;" "&amp;'IND TECH'!C2148&amp;" "&amp;'IND TECH'!D2148&amp;" "&amp;'IND TECH'!E2148&amp;" "&amp;'IND TECH'!F2148&amp;" "&amp;'IND TECH'!G2148&amp;" "&amp;'IND TECH'!H2148</f>
        <v xml:space="preserve">       </v>
      </c>
      <c r="E2150" t="e">
        <f t="shared" si="13"/>
        <v>#REF!</v>
      </c>
      <c r="F2150" t="e">
        <f>'IND TECH'!#REF!</f>
        <v>#REF!</v>
      </c>
    </row>
    <row r="2151" spans="3:6" x14ac:dyDescent="0.25">
      <c r="C2151">
        <f>'IND TECH'!L2149</f>
        <v>0</v>
      </c>
      <c r="D2151" t="str">
        <f>'IND TECH'!A2149&amp;" "&amp;'IND TECH'!B2149&amp;" "&amp;'IND TECH'!C2149&amp;" "&amp;'IND TECH'!D2149&amp;" "&amp;'IND TECH'!E2149&amp;" "&amp;'IND TECH'!F2149&amp;" "&amp;'IND TECH'!G2149&amp;" "&amp;'IND TECH'!H2149</f>
        <v xml:space="preserve">       </v>
      </c>
      <c r="E2151" t="e">
        <f t="shared" si="13"/>
        <v>#REF!</v>
      </c>
      <c r="F2151" t="e">
        <f>'IND TECH'!#REF!</f>
        <v>#REF!</v>
      </c>
    </row>
    <row r="2152" spans="3:6" x14ac:dyDescent="0.25">
      <c r="C2152">
        <f>'IND TECH'!L2150</f>
        <v>0</v>
      </c>
      <c r="D2152" t="str">
        <f>'IND TECH'!A2150&amp;" "&amp;'IND TECH'!B2150&amp;" "&amp;'IND TECH'!C2150&amp;" "&amp;'IND TECH'!D2150&amp;" "&amp;'IND TECH'!E2150&amp;" "&amp;'IND TECH'!F2150&amp;" "&amp;'IND TECH'!G2150&amp;" "&amp;'IND TECH'!H2150</f>
        <v xml:space="preserve">       </v>
      </c>
      <c r="E2152" t="e">
        <f t="shared" si="13"/>
        <v>#REF!</v>
      </c>
      <c r="F2152" t="e">
        <f>'IND TECH'!#REF!</f>
        <v>#REF!</v>
      </c>
    </row>
    <row r="2153" spans="3:6" x14ac:dyDescent="0.25">
      <c r="C2153">
        <f>'IND TECH'!L2151</f>
        <v>0</v>
      </c>
      <c r="D2153" t="str">
        <f>'IND TECH'!A2151&amp;" "&amp;'IND TECH'!B2151&amp;" "&amp;'IND TECH'!C2151&amp;" "&amp;'IND TECH'!D2151&amp;" "&amp;'IND TECH'!E2151&amp;" "&amp;'IND TECH'!F2151&amp;" "&amp;'IND TECH'!G2151&amp;" "&amp;'IND TECH'!H2151</f>
        <v xml:space="preserve">       </v>
      </c>
      <c r="E2153" t="e">
        <f t="shared" si="13"/>
        <v>#REF!</v>
      </c>
      <c r="F2153" t="e">
        <f>'IND TECH'!#REF!</f>
        <v>#REF!</v>
      </c>
    </row>
    <row r="2154" spans="3:6" x14ac:dyDescent="0.25">
      <c r="C2154">
        <f>'IND TECH'!L2152</f>
        <v>0</v>
      </c>
      <c r="D2154" t="str">
        <f>'IND TECH'!A2152&amp;" "&amp;'IND TECH'!B2152&amp;" "&amp;'IND TECH'!C2152&amp;" "&amp;'IND TECH'!D2152&amp;" "&amp;'IND TECH'!E2152&amp;" "&amp;'IND TECH'!F2152&amp;" "&amp;'IND TECH'!G2152&amp;" "&amp;'IND TECH'!H2152</f>
        <v xml:space="preserve">       </v>
      </c>
      <c r="E2154" t="e">
        <f t="shared" si="13"/>
        <v>#REF!</v>
      </c>
      <c r="F2154" t="e">
        <f>'IND TECH'!#REF!</f>
        <v>#REF!</v>
      </c>
    </row>
    <row r="2155" spans="3:6" x14ac:dyDescent="0.25">
      <c r="C2155">
        <f>'IND TECH'!L2153</f>
        <v>0</v>
      </c>
      <c r="D2155" t="str">
        <f>'IND TECH'!A2153&amp;" "&amp;'IND TECH'!B2153&amp;" "&amp;'IND TECH'!C2153&amp;" "&amp;'IND TECH'!D2153&amp;" "&amp;'IND TECH'!E2153&amp;" "&amp;'IND TECH'!F2153&amp;" "&amp;'IND TECH'!G2153&amp;" "&amp;'IND TECH'!H2153</f>
        <v xml:space="preserve">       </v>
      </c>
      <c r="E2155" t="e">
        <f t="shared" si="13"/>
        <v>#REF!</v>
      </c>
      <c r="F2155" t="e">
        <f>'IND TECH'!#REF!</f>
        <v>#REF!</v>
      </c>
    </row>
    <row r="2156" spans="3:6" x14ac:dyDescent="0.25">
      <c r="C2156">
        <f>'IND TECH'!L2154</f>
        <v>0</v>
      </c>
      <c r="D2156" t="str">
        <f>'IND TECH'!A2154&amp;" "&amp;'IND TECH'!B2154&amp;" "&amp;'IND TECH'!C2154&amp;" "&amp;'IND TECH'!D2154&amp;" "&amp;'IND TECH'!E2154&amp;" "&amp;'IND TECH'!F2154&amp;" "&amp;'IND TECH'!G2154&amp;" "&amp;'IND TECH'!H2154</f>
        <v xml:space="preserve">       </v>
      </c>
      <c r="E2156" t="e">
        <f t="shared" si="13"/>
        <v>#REF!</v>
      </c>
      <c r="F2156" t="e">
        <f>'IND TECH'!#REF!</f>
        <v>#REF!</v>
      </c>
    </row>
    <row r="2157" spans="3:6" x14ac:dyDescent="0.25">
      <c r="C2157">
        <f>'IND TECH'!L2155</f>
        <v>0</v>
      </c>
      <c r="D2157" t="str">
        <f>'IND TECH'!A2155&amp;" "&amp;'IND TECH'!B2155&amp;" "&amp;'IND TECH'!C2155&amp;" "&amp;'IND TECH'!D2155&amp;" "&amp;'IND TECH'!E2155&amp;" "&amp;'IND TECH'!F2155&amp;" "&amp;'IND TECH'!G2155&amp;" "&amp;'IND TECH'!H2155</f>
        <v xml:space="preserve">       </v>
      </c>
      <c r="E2157" t="e">
        <f t="shared" si="13"/>
        <v>#REF!</v>
      </c>
      <c r="F2157" t="e">
        <f>'IND TECH'!#REF!</f>
        <v>#REF!</v>
      </c>
    </row>
    <row r="2158" spans="3:6" x14ac:dyDescent="0.25">
      <c r="C2158">
        <f>'IND TECH'!L2156</f>
        <v>0</v>
      </c>
      <c r="D2158" t="str">
        <f>'IND TECH'!A2156&amp;" "&amp;'IND TECH'!B2156&amp;" "&amp;'IND TECH'!C2156&amp;" "&amp;'IND TECH'!D2156&amp;" "&amp;'IND TECH'!E2156&amp;" "&amp;'IND TECH'!F2156&amp;" "&amp;'IND TECH'!G2156&amp;" "&amp;'IND TECH'!H2156</f>
        <v xml:space="preserve">       </v>
      </c>
      <c r="E2158" t="e">
        <f t="shared" si="13"/>
        <v>#REF!</v>
      </c>
      <c r="F2158" t="e">
        <f>'IND TECH'!#REF!</f>
        <v>#REF!</v>
      </c>
    </row>
    <row r="2159" spans="3:6" x14ac:dyDescent="0.25">
      <c r="C2159">
        <f>'IND TECH'!L2157</f>
        <v>0</v>
      </c>
      <c r="D2159" t="str">
        <f>'IND TECH'!A2157&amp;" "&amp;'IND TECH'!B2157&amp;" "&amp;'IND TECH'!C2157&amp;" "&amp;'IND TECH'!D2157&amp;" "&amp;'IND TECH'!E2157&amp;" "&amp;'IND TECH'!F2157&amp;" "&amp;'IND TECH'!G2157&amp;" "&amp;'IND TECH'!H2157</f>
        <v xml:space="preserve">       </v>
      </c>
      <c r="E2159" t="e">
        <f t="shared" si="13"/>
        <v>#REF!</v>
      </c>
      <c r="F2159" t="e">
        <f>'IND TECH'!#REF!</f>
        <v>#REF!</v>
      </c>
    </row>
    <row r="2160" spans="3:6" x14ac:dyDescent="0.25">
      <c r="C2160">
        <f>'IND TECH'!L2158</f>
        <v>0</v>
      </c>
      <c r="D2160" t="str">
        <f>'IND TECH'!A2158&amp;" "&amp;'IND TECH'!B2158&amp;" "&amp;'IND TECH'!C2158&amp;" "&amp;'IND TECH'!D2158&amp;" "&amp;'IND TECH'!E2158&amp;" "&amp;'IND TECH'!F2158&amp;" "&amp;'IND TECH'!G2158&amp;" "&amp;'IND TECH'!H2158</f>
        <v xml:space="preserve">       </v>
      </c>
      <c r="E2160" t="e">
        <f t="shared" si="13"/>
        <v>#REF!</v>
      </c>
      <c r="F2160" t="e">
        <f>'IND TECH'!#REF!</f>
        <v>#REF!</v>
      </c>
    </row>
    <row r="2161" spans="3:6" x14ac:dyDescent="0.25">
      <c r="C2161">
        <f>'IND TECH'!L2159</f>
        <v>0</v>
      </c>
      <c r="D2161" t="str">
        <f>'IND TECH'!A2159&amp;" "&amp;'IND TECH'!B2159&amp;" "&amp;'IND TECH'!C2159&amp;" "&amp;'IND TECH'!D2159&amp;" "&amp;'IND TECH'!E2159&amp;" "&amp;'IND TECH'!F2159&amp;" "&amp;'IND TECH'!G2159&amp;" "&amp;'IND TECH'!H2159</f>
        <v xml:space="preserve">       </v>
      </c>
      <c r="E2161" t="e">
        <f t="shared" si="13"/>
        <v>#REF!</v>
      </c>
      <c r="F2161" t="e">
        <f>'IND TECH'!#REF!</f>
        <v>#REF!</v>
      </c>
    </row>
    <row r="2162" spans="3:6" x14ac:dyDescent="0.25">
      <c r="C2162">
        <f>'IND TECH'!L2160</f>
        <v>0</v>
      </c>
      <c r="D2162" t="str">
        <f>'IND TECH'!A2160&amp;" "&amp;'IND TECH'!B2160&amp;" "&amp;'IND TECH'!C2160&amp;" "&amp;'IND TECH'!D2160&amp;" "&amp;'IND TECH'!E2160&amp;" "&amp;'IND TECH'!F2160&amp;" "&amp;'IND TECH'!G2160&amp;" "&amp;'IND TECH'!H2160</f>
        <v xml:space="preserve">       </v>
      </c>
      <c r="E2162" t="e">
        <f t="shared" si="13"/>
        <v>#REF!</v>
      </c>
      <c r="F2162" t="e">
        <f>'IND TECH'!#REF!</f>
        <v>#REF!</v>
      </c>
    </row>
    <row r="2163" spans="3:6" x14ac:dyDescent="0.25">
      <c r="C2163">
        <f>'IND TECH'!L2161</f>
        <v>0</v>
      </c>
      <c r="D2163" t="str">
        <f>'IND TECH'!A2161&amp;" "&amp;'IND TECH'!B2161&amp;" "&amp;'IND TECH'!C2161&amp;" "&amp;'IND TECH'!D2161&amp;" "&amp;'IND TECH'!E2161&amp;" "&amp;'IND TECH'!F2161&amp;" "&amp;'IND TECH'!G2161&amp;" "&amp;'IND TECH'!H2161</f>
        <v xml:space="preserve">       </v>
      </c>
      <c r="E2163" t="e">
        <f t="shared" si="13"/>
        <v>#REF!</v>
      </c>
      <c r="F2163" t="e">
        <f>'IND TECH'!#REF!</f>
        <v>#REF!</v>
      </c>
    </row>
    <row r="2164" spans="3:6" x14ac:dyDescent="0.25">
      <c r="C2164">
        <f>'IND TECH'!L2162</f>
        <v>0</v>
      </c>
      <c r="D2164" t="str">
        <f>'IND TECH'!A2162&amp;" "&amp;'IND TECH'!B2162&amp;" "&amp;'IND TECH'!C2162&amp;" "&amp;'IND TECH'!D2162&amp;" "&amp;'IND TECH'!E2162&amp;" "&amp;'IND TECH'!F2162&amp;" "&amp;'IND TECH'!G2162&amp;" "&amp;'IND TECH'!H2162</f>
        <v xml:space="preserve">       </v>
      </c>
      <c r="E2164" t="e">
        <f t="shared" si="13"/>
        <v>#REF!</v>
      </c>
      <c r="F2164" t="e">
        <f>'IND TECH'!#REF!</f>
        <v>#REF!</v>
      </c>
    </row>
    <row r="2165" spans="3:6" x14ac:dyDescent="0.25">
      <c r="C2165">
        <f>'IND TECH'!L2163</f>
        <v>0</v>
      </c>
      <c r="D2165" t="str">
        <f>'IND TECH'!A2163&amp;" "&amp;'IND TECH'!B2163&amp;" "&amp;'IND TECH'!C2163&amp;" "&amp;'IND TECH'!D2163&amp;" "&amp;'IND TECH'!E2163&amp;" "&amp;'IND TECH'!F2163&amp;" "&amp;'IND TECH'!G2163&amp;" "&amp;'IND TECH'!H2163</f>
        <v xml:space="preserve">       </v>
      </c>
      <c r="E2165" t="e">
        <f t="shared" si="13"/>
        <v>#REF!</v>
      </c>
      <c r="F2165" t="e">
        <f>'IND TECH'!#REF!</f>
        <v>#REF!</v>
      </c>
    </row>
    <row r="2166" spans="3:6" x14ac:dyDescent="0.25">
      <c r="C2166">
        <f>'IND TECH'!L2164</f>
        <v>0</v>
      </c>
      <c r="D2166" t="str">
        <f>'IND TECH'!A2164&amp;" "&amp;'IND TECH'!B2164&amp;" "&amp;'IND TECH'!C2164&amp;" "&amp;'IND TECH'!D2164&amp;" "&amp;'IND TECH'!E2164&amp;" "&amp;'IND TECH'!F2164&amp;" "&amp;'IND TECH'!G2164&amp;" "&amp;'IND TECH'!H2164</f>
        <v xml:space="preserve">       </v>
      </c>
      <c r="E2166" t="e">
        <f t="shared" si="13"/>
        <v>#REF!</v>
      </c>
      <c r="F2166" t="e">
        <f>'IND TECH'!#REF!</f>
        <v>#REF!</v>
      </c>
    </row>
    <row r="2167" spans="3:6" x14ac:dyDescent="0.25">
      <c r="C2167">
        <f>'IND TECH'!L2165</f>
        <v>0</v>
      </c>
      <c r="D2167" t="str">
        <f>'IND TECH'!A2165&amp;" "&amp;'IND TECH'!B2165&amp;" "&amp;'IND TECH'!C2165&amp;" "&amp;'IND TECH'!D2165&amp;" "&amp;'IND TECH'!E2165&amp;" "&amp;'IND TECH'!F2165&amp;" "&amp;'IND TECH'!G2165&amp;" "&amp;'IND TECH'!H2165</f>
        <v xml:space="preserve">       </v>
      </c>
      <c r="E2167" t="e">
        <f t="shared" si="13"/>
        <v>#REF!</v>
      </c>
      <c r="F2167" t="e">
        <f>'IND TECH'!#REF!</f>
        <v>#REF!</v>
      </c>
    </row>
    <row r="2168" spans="3:6" x14ac:dyDescent="0.25">
      <c r="C2168">
        <f>'IND TECH'!L2166</f>
        <v>0</v>
      </c>
      <c r="D2168" t="str">
        <f>'IND TECH'!A2166&amp;" "&amp;'IND TECH'!B2166&amp;" "&amp;'IND TECH'!C2166&amp;" "&amp;'IND TECH'!D2166&amp;" "&amp;'IND TECH'!E2166&amp;" "&amp;'IND TECH'!F2166&amp;" "&amp;'IND TECH'!G2166&amp;" "&amp;'IND TECH'!H2166</f>
        <v xml:space="preserve">       </v>
      </c>
      <c r="E2168" t="e">
        <f t="shared" si="13"/>
        <v>#REF!</v>
      </c>
      <c r="F2168" t="e">
        <f>'IND TECH'!#REF!</f>
        <v>#REF!</v>
      </c>
    </row>
    <row r="2169" spans="3:6" x14ac:dyDescent="0.25">
      <c r="C2169">
        <f>'IND TECH'!L2167</f>
        <v>0</v>
      </c>
      <c r="D2169" t="str">
        <f>'IND TECH'!A2167&amp;" "&amp;'IND TECH'!B2167&amp;" "&amp;'IND TECH'!C2167&amp;" "&amp;'IND TECH'!D2167&amp;" "&amp;'IND TECH'!E2167&amp;" "&amp;'IND TECH'!F2167&amp;" "&amp;'IND TECH'!G2167&amp;" "&amp;'IND TECH'!H2167</f>
        <v xml:space="preserve">       </v>
      </c>
      <c r="E2169" t="e">
        <f t="shared" si="13"/>
        <v>#REF!</v>
      </c>
      <c r="F2169" t="e">
        <f>'IND TECH'!#REF!</f>
        <v>#REF!</v>
      </c>
    </row>
    <row r="2170" spans="3:6" x14ac:dyDescent="0.25">
      <c r="C2170">
        <f>'IND TECH'!L2168</f>
        <v>0</v>
      </c>
      <c r="D2170" t="str">
        <f>'IND TECH'!A2168&amp;" "&amp;'IND TECH'!B2168&amp;" "&amp;'IND TECH'!C2168&amp;" "&amp;'IND TECH'!D2168&amp;" "&amp;'IND TECH'!E2168&amp;" "&amp;'IND TECH'!F2168&amp;" "&amp;'IND TECH'!G2168&amp;" "&amp;'IND TECH'!H2168</f>
        <v xml:space="preserve">       </v>
      </c>
      <c r="E2170" t="e">
        <f t="shared" si="13"/>
        <v>#REF!</v>
      </c>
      <c r="F2170" t="e">
        <f>'IND TECH'!#REF!</f>
        <v>#REF!</v>
      </c>
    </row>
    <row r="2171" spans="3:6" x14ac:dyDescent="0.25">
      <c r="C2171">
        <f>'IND TECH'!L2169</f>
        <v>0</v>
      </c>
      <c r="D2171" t="str">
        <f>'IND TECH'!A2169&amp;" "&amp;'IND TECH'!B2169&amp;" "&amp;'IND TECH'!C2169&amp;" "&amp;'IND TECH'!D2169&amp;" "&amp;'IND TECH'!E2169&amp;" "&amp;'IND TECH'!F2169&amp;" "&amp;'IND TECH'!G2169&amp;" "&amp;'IND TECH'!H2169</f>
        <v xml:space="preserve">       </v>
      </c>
      <c r="E2171" t="e">
        <f t="shared" si="13"/>
        <v>#REF!</v>
      </c>
      <c r="F2171" t="e">
        <f>'IND TECH'!#REF!</f>
        <v>#REF!</v>
      </c>
    </row>
    <row r="2172" spans="3:6" x14ac:dyDescent="0.25">
      <c r="C2172">
        <f>'IND TECH'!L2170</f>
        <v>0</v>
      </c>
      <c r="D2172" t="str">
        <f>'IND TECH'!A2170&amp;" "&amp;'IND TECH'!B2170&amp;" "&amp;'IND TECH'!C2170&amp;" "&amp;'IND TECH'!D2170&amp;" "&amp;'IND TECH'!E2170&amp;" "&amp;'IND TECH'!F2170&amp;" "&amp;'IND TECH'!G2170&amp;" "&amp;'IND TECH'!H2170</f>
        <v xml:space="preserve">       </v>
      </c>
      <c r="E2172" t="e">
        <f t="shared" si="13"/>
        <v>#REF!</v>
      </c>
      <c r="F2172" t="e">
        <f>'IND TECH'!#REF!</f>
        <v>#REF!</v>
      </c>
    </row>
    <row r="2173" spans="3:6" x14ac:dyDescent="0.25">
      <c r="C2173">
        <f>'IND TECH'!L2171</f>
        <v>0</v>
      </c>
      <c r="D2173" t="str">
        <f>'IND TECH'!A2171&amp;" "&amp;'IND TECH'!B2171&amp;" "&amp;'IND TECH'!C2171&amp;" "&amp;'IND TECH'!D2171&amp;" "&amp;'IND TECH'!E2171&amp;" "&amp;'IND TECH'!F2171&amp;" "&amp;'IND TECH'!G2171&amp;" "&amp;'IND TECH'!H2171</f>
        <v xml:space="preserve">       </v>
      </c>
      <c r="E2173" t="e">
        <f t="shared" si="13"/>
        <v>#REF!</v>
      </c>
      <c r="F2173" t="e">
        <f>'IND TECH'!#REF!</f>
        <v>#REF!</v>
      </c>
    </row>
    <row r="2174" spans="3:6" x14ac:dyDescent="0.25">
      <c r="C2174">
        <f>'IND TECH'!L2172</f>
        <v>0</v>
      </c>
      <c r="D2174" t="str">
        <f>'IND TECH'!A2172&amp;" "&amp;'IND TECH'!B2172&amp;" "&amp;'IND TECH'!C2172&amp;" "&amp;'IND TECH'!D2172&amp;" "&amp;'IND TECH'!E2172&amp;" "&amp;'IND TECH'!F2172&amp;" "&amp;'IND TECH'!G2172&amp;" "&amp;'IND TECH'!H2172</f>
        <v xml:space="preserve">       </v>
      </c>
      <c r="E2174" t="e">
        <f t="shared" si="13"/>
        <v>#REF!</v>
      </c>
      <c r="F2174" t="e">
        <f>'IND TECH'!#REF!</f>
        <v>#REF!</v>
      </c>
    </row>
    <row r="2175" spans="3:6" x14ac:dyDescent="0.25">
      <c r="C2175">
        <f>'IND TECH'!L2173</f>
        <v>0</v>
      </c>
      <c r="D2175" t="str">
        <f>'IND TECH'!A2173&amp;" "&amp;'IND TECH'!B2173&amp;" "&amp;'IND TECH'!C2173&amp;" "&amp;'IND TECH'!D2173&amp;" "&amp;'IND TECH'!E2173&amp;" "&amp;'IND TECH'!F2173&amp;" "&amp;'IND TECH'!G2173&amp;" "&amp;'IND TECH'!H2173</f>
        <v xml:space="preserve">       </v>
      </c>
      <c r="E2175" t="e">
        <f t="shared" si="13"/>
        <v>#REF!</v>
      </c>
      <c r="F2175" t="e">
        <f>'IND TECH'!#REF!</f>
        <v>#REF!</v>
      </c>
    </row>
    <row r="2176" spans="3:6" x14ac:dyDescent="0.25">
      <c r="C2176">
        <f>'IND TECH'!L2174</f>
        <v>0</v>
      </c>
      <c r="D2176" t="str">
        <f>'IND TECH'!A2174&amp;" "&amp;'IND TECH'!B2174&amp;" "&amp;'IND TECH'!C2174&amp;" "&amp;'IND TECH'!D2174&amp;" "&amp;'IND TECH'!E2174&amp;" "&amp;'IND TECH'!F2174&amp;" "&amp;'IND TECH'!G2174&amp;" "&amp;'IND TECH'!H2174</f>
        <v xml:space="preserve">       </v>
      </c>
      <c r="E2176" t="e">
        <f t="shared" si="13"/>
        <v>#REF!</v>
      </c>
      <c r="F2176" t="e">
        <f>'IND TECH'!#REF!</f>
        <v>#REF!</v>
      </c>
    </row>
    <row r="2177" spans="3:6" x14ac:dyDescent="0.25">
      <c r="C2177">
        <f>'IND TECH'!L2175</f>
        <v>0</v>
      </c>
      <c r="D2177" t="str">
        <f>'IND TECH'!A2175&amp;" "&amp;'IND TECH'!B2175&amp;" "&amp;'IND TECH'!C2175&amp;" "&amp;'IND TECH'!D2175&amp;" "&amp;'IND TECH'!E2175&amp;" "&amp;'IND TECH'!F2175&amp;" "&amp;'IND TECH'!G2175&amp;" "&amp;'IND TECH'!H2175</f>
        <v xml:space="preserve">       </v>
      </c>
      <c r="E2177" t="e">
        <f t="shared" si="13"/>
        <v>#REF!</v>
      </c>
      <c r="F2177" t="e">
        <f>'IND TECH'!#REF!</f>
        <v>#REF!</v>
      </c>
    </row>
    <row r="2178" spans="3:6" x14ac:dyDescent="0.25">
      <c r="C2178">
        <f>'IND TECH'!L2176</f>
        <v>0</v>
      </c>
      <c r="D2178" t="str">
        <f>'IND TECH'!A2176&amp;" "&amp;'IND TECH'!B2176&amp;" "&amp;'IND TECH'!C2176&amp;" "&amp;'IND TECH'!D2176&amp;" "&amp;'IND TECH'!E2176&amp;" "&amp;'IND TECH'!F2176&amp;" "&amp;'IND TECH'!G2176&amp;" "&amp;'IND TECH'!H2176</f>
        <v xml:space="preserve">       </v>
      </c>
      <c r="E2178" t="e">
        <f t="shared" si="13"/>
        <v>#REF!</v>
      </c>
      <c r="F2178" t="e">
        <f>'IND TECH'!#REF!</f>
        <v>#REF!</v>
      </c>
    </row>
    <row r="2179" spans="3:6" x14ac:dyDescent="0.25">
      <c r="C2179">
        <f>'IND TECH'!L2177</f>
        <v>0</v>
      </c>
      <c r="D2179" t="str">
        <f>'IND TECH'!A2177&amp;" "&amp;'IND TECH'!B2177&amp;" "&amp;'IND TECH'!C2177&amp;" "&amp;'IND TECH'!D2177&amp;" "&amp;'IND TECH'!E2177&amp;" "&amp;'IND TECH'!F2177&amp;" "&amp;'IND TECH'!G2177&amp;" "&amp;'IND TECH'!H2177</f>
        <v xml:space="preserve">       </v>
      </c>
      <c r="E2179" t="e">
        <f t="shared" si="13"/>
        <v>#REF!</v>
      </c>
      <c r="F2179" t="e">
        <f>'IND TECH'!#REF!</f>
        <v>#REF!</v>
      </c>
    </row>
    <row r="2180" spans="3:6" x14ac:dyDescent="0.25">
      <c r="C2180">
        <f>'IND TECH'!L2178</f>
        <v>0</v>
      </c>
      <c r="D2180" t="str">
        <f>'IND TECH'!A2178&amp;" "&amp;'IND TECH'!B2178&amp;" "&amp;'IND TECH'!C2178&amp;" "&amp;'IND TECH'!D2178&amp;" "&amp;'IND TECH'!E2178&amp;" "&amp;'IND TECH'!F2178&amp;" "&amp;'IND TECH'!G2178&amp;" "&amp;'IND TECH'!H2178</f>
        <v xml:space="preserve">       </v>
      </c>
      <c r="E2180" t="e">
        <f t="shared" si="13"/>
        <v>#REF!</v>
      </c>
      <c r="F2180" t="e">
        <f>'IND TECH'!#REF!</f>
        <v>#REF!</v>
      </c>
    </row>
    <row r="2181" spans="3:6" x14ac:dyDescent="0.25">
      <c r="C2181">
        <f>'IND TECH'!L2179</f>
        <v>0</v>
      </c>
      <c r="D2181" t="str">
        <f>'IND TECH'!A2179&amp;" "&amp;'IND TECH'!B2179&amp;" "&amp;'IND TECH'!C2179&amp;" "&amp;'IND TECH'!D2179&amp;" "&amp;'IND TECH'!E2179&amp;" "&amp;'IND TECH'!F2179&amp;" "&amp;'IND TECH'!G2179&amp;" "&amp;'IND TECH'!H2179</f>
        <v xml:space="preserve">       </v>
      </c>
      <c r="E2181" t="e">
        <f t="shared" si="13"/>
        <v>#REF!</v>
      </c>
      <c r="F2181" t="e">
        <f>'IND TECH'!#REF!</f>
        <v>#REF!</v>
      </c>
    </row>
    <row r="2182" spans="3:6" x14ac:dyDescent="0.25">
      <c r="C2182">
        <f>'IND TECH'!L2180</f>
        <v>0</v>
      </c>
      <c r="D2182" t="str">
        <f>'IND TECH'!A2180&amp;" "&amp;'IND TECH'!B2180&amp;" "&amp;'IND TECH'!C2180&amp;" "&amp;'IND TECH'!D2180&amp;" "&amp;'IND TECH'!E2180&amp;" "&amp;'IND TECH'!F2180&amp;" "&amp;'IND TECH'!G2180&amp;" "&amp;'IND TECH'!H2180</f>
        <v xml:space="preserve">       </v>
      </c>
      <c r="E2182" t="e">
        <f t="shared" si="13"/>
        <v>#REF!</v>
      </c>
      <c r="F2182" t="e">
        <f>'IND TECH'!#REF!</f>
        <v>#REF!</v>
      </c>
    </row>
    <row r="2183" spans="3:6" x14ac:dyDescent="0.25">
      <c r="C2183">
        <f>'IND TECH'!L2181</f>
        <v>0</v>
      </c>
      <c r="D2183" t="str">
        <f>'IND TECH'!A2181&amp;" "&amp;'IND TECH'!B2181&amp;" "&amp;'IND TECH'!C2181&amp;" "&amp;'IND TECH'!D2181&amp;" "&amp;'IND TECH'!E2181&amp;" "&amp;'IND TECH'!F2181&amp;" "&amp;'IND TECH'!G2181&amp;" "&amp;'IND TECH'!H2181</f>
        <v xml:space="preserve">       </v>
      </c>
      <c r="E2183" t="e">
        <f t="shared" si="13"/>
        <v>#REF!</v>
      </c>
      <c r="F2183" t="e">
        <f>'IND TECH'!#REF!</f>
        <v>#REF!</v>
      </c>
    </row>
    <row r="2184" spans="3:6" x14ac:dyDescent="0.25">
      <c r="C2184">
        <f>'IND TECH'!L2182</f>
        <v>0</v>
      </c>
      <c r="D2184" t="str">
        <f>'IND TECH'!A2182&amp;" "&amp;'IND TECH'!B2182&amp;" "&amp;'IND TECH'!C2182&amp;" "&amp;'IND TECH'!D2182&amp;" "&amp;'IND TECH'!E2182&amp;" "&amp;'IND TECH'!F2182&amp;" "&amp;'IND TECH'!G2182&amp;" "&amp;'IND TECH'!H2182</f>
        <v xml:space="preserve">       </v>
      </c>
      <c r="E2184" t="e">
        <f t="shared" si="13"/>
        <v>#REF!</v>
      </c>
      <c r="F2184" t="e">
        <f>'IND TECH'!#REF!</f>
        <v>#REF!</v>
      </c>
    </row>
    <row r="2185" spans="3:6" x14ac:dyDescent="0.25">
      <c r="C2185">
        <f>'IND TECH'!L2183</f>
        <v>0</v>
      </c>
      <c r="D2185" t="str">
        <f>'IND TECH'!A2183&amp;" "&amp;'IND TECH'!B2183&amp;" "&amp;'IND TECH'!C2183&amp;" "&amp;'IND TECH'!D2183&amp;" "&amp;'IND TECH'!E2183&amp;" "&amp;'IND TECH'!F2183&amp;" "&amp;'IND TECH'!G2183&amp;" "&amp;'IND TECH'!H2183</f>
        <v xml:space="preserve">       </v>
      </c>
      <c r="E2185" t="e">
        <f t="shared" si="13"/>
        <v>#REF!</v>
      </c>
      <c r="F2185" t="e">
        <f>'IND TECH'!#REF!</f>
        <v>#REF!</v>
      </c>
    </row>
    <row r="2186" spans="3:6" x14ac:dyDescent="0.25">
      <c r="C2186">
        <f>'IND TECH'!L2184</f>
        <v>0</v>
      </c>
      <c r="D2186" t="str">
        <f>'IND TECH'!A2184&amp;" "&amp;'IND TECH'!B2184&amp;" "&amp;'IND TECH'!C2184&amp;" "&amp;'IND TECH'!D2184&amp;" "&amp;'IND TECH'!E2184&amp;" "&amp;'IND TECH'!F2184&amp;" "&amp;'IND TECH'!G2184&amp;" "&amp;'IND TECH'!H2184</f>
        <v xml:space="preserve">       </v>
      </c>
      <c r="E2186" t="e">
        <f t="shared" si="13"/>
        <v>#REF!</v>
      </c>
      <c r="F2186" t="e">
        <f>'IND TECH'!#REF!</f>
        <v>#REF!</v>
      </c>
    </row>
    <row r="2187" spans="3:6" x14ac:dyDescent="0.25">
      <c r="C2187">
        <f>'IND TECH'!L2185</f>
        <v>0</v>
      </c>
      <c r="D2187" t="str">
        <f>'IND TECH'!A2185&amp;" "&amp;'IND TECH'!B2185&amp;" "&amp;'IND TECH'!C2185&amp;" "&amp;'IND TECH'!D2185&amp;" "&amp;'IND TECH'!E2185&amp;" "&amp;'IND TECH'!F2185&amp;" "&amp;'IND TECH'!G2185&amp;" "&amp;'IND TECH'!H2185</f>
        <v xml:space="preserve">       </v>
      </c>
      <c r="E2187" t="e">
        <f t="shared" si="13"/>
        <v>#REF!</v>
      </c>
      <c r="F2187" t="e">
        <f>'IND TECH'!#REF!</f>
        <v>#REF!</v>
      </c>
    </row>
    <row r="2188" spans="3:6" x14ac:dyDescent="0.25">
      <c r="C2188">
        <f>'IND TECH'!L2186</f>
        <v>0</v>
      </c>
      <c r="D2188" t="str">
        <f>'IND TECH'!A2186&amp;" "&amp;'IND TECH'!B2186&amp;" "&amp;'IND TECH'!C2186&amp;" "&amp;'IND TECH'!D2186&amp;" "&amp;'IND TECH'!E2186&amp;" "&amp;'IND TECH'!F2186&amp;" "&amp;'IND TECH'!G2186&amp;" "&amp;'IND TECH'!H2186</f>
        <v xml:space="preserve">       </v>
      </c>
      <c r="E2188" t="e">
        <f t="shared" si="13"/>
        <v>#REF!</v>
      </c>
      <c r="F2188" t="e">
        <f>'IND TECH'!#REF!</f>
        <v>#REF!</v>
      </c>
    </row>
    <row r="2189" spans="3:6" x14ac:dyDescent="0.25">
      <c r="C2189">
        <f>'IND TECH'!L2187</f>
        <v>0</v>
      </c>
      <c r="D2189" t="str">
        <f>'IND TECH'!A2187&amp;" "&amp;'IND TECH'!B2187&amp;" "&amp;'IND TECH'!C2187&amp;" "&amp;'IND TECH'!D2187&amp;" "&amp;'IND TECH'!E2187&amp;" "&amp;'IND TECH'!F2187&amp;" "&amp;'IND TECH'!G2187&amp;" "&amp;'IND TECH'!H2187</f>
        <v xml:space="preserve">       </v>
      </c>
      <c r="E2189" t="e">
        <f t="shared" si="13"/>
        <v>#REF!</v>
      </c>
      <c r="F2189" t="e">
        <f>'IND TECH'!#REF!</f>
        <v>#REF!</v>
      </c>
    </row>
    <row r="2190" spans="3:6" x14ac:dyDescent="0.25">
      <c r="C2190">
        <f>'IND TECH'!L2188</f>
        <v>0</v>
      </c>
      <c r="D2190" t="str">
        <f>'IND TECH'!A2188&amp;" "&amp;'IND TECH'!B2188&amp;" "&amp;'IND TECH'!C2188&amp;" "&amp;'IND TECH'!D2188&amp;" "&amp;'IND TECH'!E2188&amp;" "&amp;'IND TECH'!F2188&amp;" "&amp;'IND TECH'!G2188&amp;" "&amp;'IND TECH'!H2188</f>
        <v xml:space="preserve">       </v>
      </c>
      <c r="E2190" t="e">
        <f t="shared" si="13"/>
        <v>#REF!</v>
      </c>
      <c r="F2190" t="e">
        <f>'IND TECH'!#REF!</f>
        <v>#REF!</v>
      </c>
    </row>
    <row r="2191" spans="3:6" x14ac:dyDescent="0.25">
      <c r="C2191">
        <f>'IND TECH'!L2189</f>
        <v>0</v>
      </c>
      <c r="D2191" t="str">
        <f>'IND TECH'!A2189&amp;" "&amp;'IND TECH'!B2189&amp;" "&amp;'IND TECH'!C2189&amp;" "&amp;'IND TECH'!D2189&amp;" "&amp;'IND TECH'!E2189&amp;" "&amp;'IND TECH'!F2189&amp;" "&amp;'IND TECH'!G2189&amp;" "&amp;'IND TECH'!H2189</f>
        <v xml:space="preserve">       </v>
      </c>
      <c r="E2191" t="e">
        <f t="shared" si="13"/>
        <v>#REF!</v>
      </c>
      <c r="F2191" t="e">
        <f>'IND TECH'!#REF!</f>
        <v>#REF!</v>
      </c>
    </row>
    <row r="2192" spans="3:6" x14ac:dyDescent="0.25">
      <c r="C2192">
        <f>'IND TECH'!L2190</f>
        <v>0</v>
      </c>
      <c r="D2192" t="str">
        <f>'IND TECH'!A2190&amp;" "&amp;'IND TECH'!B2190&amp;" "&amp;'IND TECH'!C2190&amp;" "&amp;'IND TECH'!D2190&amp;" "&amp;'IND TECH'!E2190&amp;" "&amp;'IND TECH'!F2190&amp;" "&amp;'IND TECH'!G2190&amp;" "&amp;'IND TECH'!H2190</f>
        <v xml:space="preserve">       </v>
      </c>
      <c r="E2192" t="e">
        <f t="shared" si="13"/>
        <v>#REF!</v>
      </c>
      <c r="F2192" t="e">
        <f>'IND TECH'!#REF!</f>
        <v>#REF!</v>
      </c>
    </row>
    <row r="2193" spans="3:6" x14ac:dyDescent="0.25">
      <c r="C2193">
        <f>'IND TECH'!L2191</f>
        <v>0</v>
      </c>
      <c r="D2193" t="str">
        <f>'IND TECH'!A2191&amp;" "&amp;'IND TECH'!B2191&amp;" "&amp;'IND TECH'!C2191&amp;" "&amp;'IND TECH'!D2191&amp;" "&amp;'IND TECH'!E2191&amp;" "&amp;'IND TECH'!F2191&amp;" "&amp;'IND TECH'!G2191&amp;" "&amp;'IND TECH'!H2191</f>
        <v xml:space="preserve">       </v>
      </c>
      <c r="E2193" t="e">
        <f t="shared" si="13"/>
        <v>#REF!</v>
      </c>
      <c r="F2193" t="e">
        <f>'IND TECH'!#REF!</f>
        <v>#REF!</v>
      </c>
    </row>
    <row r="2194" spans="3:6" x14ac:dyDescent="0.25">
      <c r="C2194">
        <f>'IND TECH'!L2192</f>
        <v>0</v>
      </c>
      <c r="D2194" t="str">
        <f>'IND TECH'!A2192&amp;" "&amp;'IND TECH'!B2192&amp;" "&amp;'IND TECH'!C2192&amp;" "&amp;'IND TECH'!D2192&amp;" "&amp;'IND TECH'!E2192&amp;" "&amp;'IND TECH'!F2192&amp;" "&amp;'IND TECH'!G2192&amp;" "&amp;'IND TECH'!H2192</f>
        <v xml:space="preserve">       </v>
      </c>
      <c r="E2194" t="e">
        <f t="shared" si="13"/>
        <v>#REF!</v>
      </c>
      <c r="F2194" t="e">
        <f>'IND TECH'!#REF!</f>
        <v>#REF!</v>
      </c>
    </row>
    <row r="2195" spans="3:6" x14ac:dyDescent="0.25">
      <c r="C2195">
        <f>'IND TECH'!L2193</f>
        <v>0</v>
      </c>
      <c r="D2195" t="str">
        <f>'IND TECH'!A2193&amp;" "&amp;'IND TECH'!B2193&amp;" "&amp;'IND TECH'!C2193&amp;" "&amp;'IND TECH'!D2193&amp;" "&amp;'IND TECH'!E2193&amp;" "&amp;'IND TECH'!F2193&amp;" "&amp;'IND TECH'!G2193&amp;" "&amp;'IND TECH'!H2193</f>
        <v xml:space="preserve">       </v>
      </c>
      <c r="E2195" t="e">
        <f t="shared" ref="E2195:E2258" si="14">IF(F2195="Mlma","Mlm","TJ")</f>
        <v>#REF!</v>
      </c>
      <c r="F2195" t="e">
        <f>'IND TECH'!#REF!</f>
        <v>#REF!</v>
      </c>
    </row>
    <row r="2196" spans="3:6" x14ac:dyDescent="0.25">
      <c r="C2196">
        <f>'IND TECH'!L2194</f>
        <v>0</v>
      </c>
      <c r="D2196" t="str">
        <f>'IND TECH'!A2194&amp;" "&amp;'IND TECH'!B2194&amp;" "&amp;'IND TECH'!C2194&amp;" "&amp;'IND TECH'!D2194&amp;" "&amp;'IND TECH'!E2194&amp;" "&amp;'IND TECH'!F2194&amp;" "&amp;'IND TECH'!G2194&amp;" "&amp;'IND TECH'!H2194</f>
        <v xml:space="preserve">       </v>
      </c>
      <c r="E2196" t="e">
        <f t="shared" si="14"/>
        <v>#REF!</v>
      </c>
      <c r="F2196" t="e">
        <f>'IND TECH'!#REF!</f>
        <v>#REF!</v>
      </c>
    </row>
    <row r="2197" spans="3:6" x14ac:dyDescent="0.25">
      <c r="C2197">
        <f>'IND TECH'!L2195</f>
        <v>0</v>
      </c>
      <c r="D2197" t="str">
        <f>'IND TECH'!A2195&amp;" "&amp;'IND TECH'!B2195&amp;" "&amp;'IND TECH'!C2195&amp;" "&amp;'IND TECH'!D2195&amp;" "&amp;'IND TECH'!E2195&amp;" "&amp;'IND TECH'!F2195&amp;" "&amp;'IND TECH'!G2195&amp;" "&amp;'IND TECH'!H2195</f>
        <v xml:space="preserve">       </v>
      </c>
      <c r="E2197" t="e">
        <f t="shared" si="14"/>
        <v>#REF!</v>
      </c>
      <c r="F2197" t="e">
        <f>'IND TECH'!#REF!</f>
        <v>#REF!</v>
      </c>
    </row>
    <row r="2198" spans="3:6" x14ac:dyDescent="0.25">
      <c r="C2198">
        <f>'IND TECH'!L2196</f>
        <v>0</v>
      </c>
      <c r="D2198" t="str">
        <f>'IND TECH'!A2196&amp;" "&amp;'IND TECH'!B2196&amp;" "&amp;'IND TECH'!C2196&amp;" "&amp;'IND TECH'!D2196&amp;" "&amp;'IND TECH'!E2196&amp;" "&amp;'IND TECH'!F2196&amp;" "&amp;'IND TECH'!G2196&amp;" "&amp;'IND TECH'!H2196</f>
        <v xml:space="preserve">       </v>
      </c>
      <c r="E2198" t="e">
        <f t="shared" si="14"/>
        <v>#REF!</v>
      </c>
      <c r="F2198" t="e">
        <f>'IND TECH'!#REF!</f>
        <v>#REF!</v>
      </c>
    </row>
    <row r="2199" spans="3:6" x14ac:dyDescent="0.25">
      <c r="C2199">
        <f>'IND TECH'!L2197</f>
        <v>0</v>
      </c>
      <c r="D2199" t="str">
        <f>'IND TECH'!A2197&amp;" "&amp;'IND TECH'!B2197&amp;" "&amp;'IND TECH'!C2197&amp;" "&amp;'IND TECH'!D2197&amp;" "&amp;'IND TECH'!E2197&amp;" "&amp;'IND TECH'!F2197&amp;" "&amp;'IND TECH'!G2197&amp;" "&amp;'IND TECH'!H2197</f>
        <v xml:space="preserve">       </v>
      </c>
      <c r="E2199" t="e">
        <f t="shared" si="14"/>
        <v>#REF!</v>
      </c>
      <c r="F2199" t="e">
        <f>'IND TECH'!#REF!</f>
        <v>#REF!</v>
      </c>
    </row>
    <row r="2200" spans="3:6" x14ac:dyDescent="0.25">
      <c r="C2200">
        <f>'IND TECH'!L2198</f>
        <v>0</v>
      </c>
      <c r="D2200" t="str">
        <f>'IND TECH'!A2198&amp;" "&amp;'IND TECH'!B2198&amp;" "&amp;'IND TECH'!C2198&amp;" "&amp;'IND TECH'!D2198&amp;" "&amp;'IND TECH'!E2198&amp;" "&amp;'IND TECH'!F2198&amp;" "&amp;'IND TECH'!G2198&amp;" "&amp;'IND TECH'!H2198</f>
        <v xml:space="preserve">       </v>
      </c>
      <c r="E2200" t="e">
        <f t="shared" si="14"/>
        <v>#REF!</v>
      </c>
      <c r="F2200" t="e">
        <f>'IND TECH'!#REF!</f>
        <v>#REF!</v>
      </c>
    </row>
    <row r="2201" spans="3:6" x14ac:dyDescent="0.25">
      <c r="C2201">
        <f>'IND TECH'!L2199</f>
        <v>0</v>
      </c>
      <c r="D2201" t="str">
        <f>'IND TECH'!A2199&amp;" "&amp;'IND TECH'!B2199&amp;" "&amp;'IND TECH'!C2199&amp;" "&amp;'IND TECH'!D2199&amp;" "&amp;'IND TECH'!E2199&amp;" "&amp;'IND TECH'!F2199&amp;" "&amp;'IND TECH'!G2199&amp;" "&amp;'IND TECH'!H2199</f>
        <v xml:space="preserve">       </v>
      </c>
      <c r="E2201" t="e">
        <f t="shared" si="14"/>
        <v>#REF!</v>
      </c>
      <c r="F2201" t="e">
        <f>'IND TECH'!#REF!</f>
        <v>#REF!</v>
      </c>
    </row>
    <row r="2202" spans="3:6" x14ac:dyDescent="0.25">
      <c r="C2202">
        <f>'IND TECH'!L2200</f>
        <v>0</v>
      </c>
      <c r="D2202" t="str">
        <f>'IND TECH'!A2200&amp;" "&amp;'IND TECH'!B2200&amp;" "&amp;'IND TECH'!C2200&amp;" "&amp;'IND TECH'!D2200&amp;" "&amp;'IND TECH'!E2200&amp;" "&amp;'IND TECH'!F2200&amp;" "&amp;'IND TECH'!G2200&amp;" "&amp;'IND TECH'!H2200</f>
        <v xml:space="preserve">       </v>
      </c>
      <c r="E2202" t="e">
        <f t="shared" si="14"/>
        <v>#REF!</v>
      </c>
      <c r="F2202" t="e">
        <f>'IND TECH'!#REF!</f>
        <v>#REF!</v>
      </c>
    </row>
    <row r="2203" spans="3:6" x14ac:dyDescent="0.25">
      <c r="C2203">
        <f>'IND TECH'!L2201</f>
        <v>0</v>
      </c>
      <c r="D2203" t="str">
        <f>'IND TECH'!A2201&amp;" "&amp;'IND TECH'!B2201&amp;" "&amp;'IND TECH'!C2201&amp;" "&amp;'IND TECH'!D2201&amp;" "&amp;'IND TECH'!E2201&amp;" "&amp;'IND TECH'!F2201&amp;" "&amp;'IND TECH'!G2201&amp;" "&amp;'IND TECH'!H2201</f>
        <v xml:space="preserve">       </v>
      </c>
      <c r="E2203" t="e">
        <f t="shared" si="14"/>
        <v>#REF!</v>
      </c>
      <c r="F2203" t="e">
        <f>'IND TECH'!#REF!</f>
        <v>#REF!</v>
      </c>
    </row>
    <row r="2204" spans="3:6" x14ac:dyDescent="0.25">
      <c r="C2204">
        <f>'IND TECH'!L2202</f>
        <v>0</v>
      </c>
      <c r="D2204" t="str">
        <f>'IND TECH'!A2202&amp;" "&amp;'IND TECH'!B2202&amp;" "&amp;'IND TECH'!C2202&amp;" "&amp;'IND TECH'!D2202&amp;" "&amp;'IND TECH'!E2202&amp;" "&amp;'IND TECH'!F2202&amp;" "&amp;'IND TECH'!G2202&amp;" "&amp;'IND TECH'!H2202</f>
        <v xml:space="preserve">       </v>
      </c>
      <c r="E2204" t="e">
        <f t="shared" si="14"/>
        <v>#REF!</v>
      </c>
      <c r="F2204" t="e">
        <f>'IND TECH'!#REF!</f>
        <v>#REF!</v>
      </c>
    </row>
    <row r="2205" spans="3:6" x14ac:dyDescent="0.25">
      <c r="C2205">
        <f>'IND TECH'!L2203</f>
        <v>0</v>
      </c>
      <c r="D2205" t="str">
        <f>'IND TECH'!A2203&amp;" "&amp;'IND TECH'!B2203&amp;" "&amp;'IND TECH'!C2203&amp;" "&amp;'IND TECH'!D2203&amp;" "&amp;'IND TECH'!E2203&amp;" "&amp;'IND TECH'!F2203&amp;" "&amp;'IND TECH'!G2203&amp;" "&amp;'IND TECH'!H2203</f>
        <v xml:space="preserve">       </v>
      </c>
      <c r="E2205" t="e">
        <f t="shared" si="14"/>
        <v>#REF!</v>
      </c>
      <c r="F2205" t="e">
        <f>'IND TECH'!#REF!</f>
        <v>#REF!</v>
      </c>
    </row>
    <row r="2206" spans="3:6" x14ac:dyDescent="0.25">
      <c r="C2206">
        <f>'IND TECH'!L2204</f>
        <v>0</v>
      </c>
      <c r="D2206" t="str">
        <f>'IND TECH'!A2204&amp;" "&amp;'IND TECH'!B2204&amp;" "&amp;'IND TECH'!C2204&amp;" "&amp;'IND TECH'!D2204&amp;" "&amp;'IND TECH'!E2204&amp;" "&amp;'IND TECH'!F2204&amp;" "&amp;'IND TECH'!G2204&amp;" "&amp;'IND TECH'!H2204</f>
        <v xml:space="preserve">       </v>
      </c>
      <c r="E2206" t="e">
        <f t="shared" si="14"/>
        <v>#REF!</v>
      </c>
      <c r="F2206" t="e">
        <f>'IND TECH'!#REF!</f>
        <v>#REF!</v>
      </c>
    </row>
    <row r="2207" spans="3:6" x14ac:dyDescent="0.25">
      <c r="C2207">
        <f>'IND TECH'!L2205</f>
        <v>0</v>
      </c>
      <c r="D2207" t="str">
        <f>'IND TECH'!A2205&amp;" "&amp;'IND TECH'!B2205&amp;" "&amp;'IND TECH'!C2205&amp;" "&amp;'IND TECH'!D2205&amp;" "&amp;'IND TECH'!E2205&amp;" "&amp;'IND TECH'!F2205&amp;" "&amp;'IND TECH'!G2205&amp;" "&amp;'IND TECH'!H2205</f>
        <v xml:space="preserve">       </v>
      </c>
      <c r="E2207" t="e">
        <f t="shared" si="14"/>
        <v>#REF!</v>
      </c>
      <c r="F2207" t="e">
        <f>'IND TECH'!#REF!</f>
        <v>#REF!</v>
      </c>
    </row>
    <row r="2208" spans="3:6" x14ac:dyDescent="0.25">
      <c r="C2208">
        <f>'IND TECH'!L2206</f>
        <v>0</v>
      </c>
      <c r="D2208" t="str">
        <f>'IND TECH'!A2206&amp;" "&amp;'IND TECH'!B2206&amp;" "&amp;'IND TECH'!C2206&amp;" "&amp;'IND TECH'!D2206&amp;" "&amp;'IND TECH'!E2206&amp;" "&amp;'IND TECH'!F2206&amp;" "&amp;'IND TECH'!G2206&amp;" "&amp;'IND TECH'!H2206</f>
        <v xml:space="preserve">       </v>
      </c>
      <c r="E2208" t="e">
        <f t="shared" si="14"/>
        <v>#REF!</v>
      </c>
      <c r="F2208" t="e">
        <f>'IND TECH'!#REF!</f>
        <v>#REF!</v>
      </c>
    </row>
    <row r="2209" spans="3:6" x14ac:dyDescent="0.25">
      <c r="C2209">
        <f>'IND TECH'!L2207</f>
        <v>0</v>
      </c>
      <c r="D2209" t="str">
        <f>'IND TECH'!A2207&amp;" "&amp;'IND TECH'!B2207&amp;" "&amp;'IND TECH'!C2207&amp;" "&amp;'IND TECH'!D2207&amp;" "&amp;'IND TECH'!E2207&amp;" "&amp;'IND TECH'!F2207&amp;" "&amp;'IND TECH'!G2207&amp;" "&amp;'IND TECH'!H2207</f>
        <v xml:space="preserve">       </v>
      </c>
      <c r="E2209" t="e">
        <f t="shared" si="14"/>
        <v>#REF!</v>
      </c>
      <c r="F2209" t="e">
        <f>'IND TECH'!#REF!</f>
        <v>#REF!</v>
      </c>
    </row>
    <row r="2210" spans="3:6" x14ac:dyDescent="0.25">
      <c r="C2210">
        <f>'IND TECH'!L2208</f>
        <v>0</v>
      </c>
      <c r="D2210" t="str">
        <f>'IND TECH'!A2208&amp;" "&amp;'IND TECH'!B2208&amp;" "&amp;'IND TECH'!C2208&amp;" "&amp;'IND TECH'!D2208&amp;" "&amp;'IND TECH'!E2208&amp;" "&amp;'IND TECH'!F2208&amp;" "&amp;'IND TECH'!G2208&amp;" "&amp;'IND TECH'!H2208</f>
        <v xml:space="preserve">       </v>
      </c>
      <c r="E2210" t="e">
        <f t="shared" si="14"/>
        <v>#REF!</v>
      </c>
      <c r="F2210" t="e">
        <f>'IND TECH'!#REF!</f>
        <v>#REF!</v>
      </c>
    </row>
    <row r="2211" spans="3:6" x14ac:dyDescent="0.25">
      <c r="C2211">
        <f>'IND TECH'!L2209</f>
        <v>0</v>
      </c>
      <c r="D2211" t="str">
        <f>'IND TECH'!A2209&amp;" "&amp;'IND TECH'!B2209&amp;" "&amp;'IND TECH'!C2209&amp;" "&amp;'IND TECH'!D2209&amp;" "&amp;'IND TECH'!E2209&amp;" "&amp;'IND TECH'!F2209&amp;" "&amp;'IND TECH'!G2209&amp;" "&amp;'IND TECH'!H2209</f>
        <v xml:space="preserve">       </v>
      </c>
      <c r="E2211" t="e">
        <f t="shared" si="14"/>
        <v>#REF!</v>
      </c>
      <c r="F2211" t="e">
        <f>'IND TECH'!#REF!</f>
        <v>#REF!</v>
      </c>
    </row>
    <row r="2212" spans="3:6" x14ac:dyDescent="0.25">
      <c r="C2212">
        <f>'IND TECH'!L2210</f>
        <v>0</v>
      </c>
      <c r="D2212" t="str">
        <f>'IND TECH'!A2210&amp;" "&amp;'IND TECH'!B2210&amp;" "&amp;'IND TECH'!C2210&amp;" "&amp;'IND TECH'!D2210&amp;" "&amp;'IND TECH'!E2210&amp;" "&amp;'IND TECH'!F2210&amp;" "&amp;'IND TECH'!G2210&amp;" "&amp;'IND TECH'!H2210</f>
        <v xml:space="preserve">       </v>
      </c>
      <c r="E2212" t="e">
        <f t="shared" si="14"/>
        <v>#REF!</v>
      </c>
      <c r="F2212" t="e">
        <f>'IND TECH'!#REF!</f>
        <v>#REF!</v>
      </c>
    </row>
    <row r="2213" spans="3:6" x14ac:dyDescent="0.25">
      <c r="C2213">
        <f>'IND TECH'!L2211</f>
        <v>0</v>
      </c>
      <c r="D2213" t="str">
        <f>'IND TECH'!A2211&amp;" "&amp;'IND TECH'!B2211&amp;" "&amp;'IND TECH'!C2211&amp;" "&amp;'IND TECH'!D2211&amp;" "&amp;'IND TECH'!E2211&amp;" "&amp;'IND TECH'!F2211&amp;" "&amp;'IND TECH'!G2211&amp;" "&amp;'IND TECH'!H2211</f>
        <v xml:space="preserve">       </v>
      </c>
      <c r="E2213" t="e">
        <f t="shared" si="14"/>
        <v>#REF!</v>
      </c>
      <c r="F2213" t="e">
        <f>'IND TECH'!#REF!</f>
        <v>#REF!</v>
      </c>
    </row>
    <row r="2214" spans="3:6" x14ac:dyDescent="0.25">
      <c r="C2214">
        <f>'IND TECH'!L2212</f>
        <v>0</v>
      </c>
      <c r="D2214" t="str">
        <f>'IND TECH'!A2212&amp;" "&amp;'IND TECH'!B2212&amp;" "&amp;'IND TECH'!C2212&amp;" "&amp;'IND TECH'!D2212&amp;" "&amp;'IND TECH'!E2212&amp;" "&amp;'IND TECH'!F2212&amp;" "&amp;'IND TECH'!G2212&amp;" "&amp;'IND TECH'!H2212</f>
        <v xml:space="preserve">       </v>
      </c>
      <c r="E2214" t="e">
        <f t="shared" si="14"/>
        <v>#REF!</v>
      </c>
      <c r="F2214" t="e">
        <f>'IND TECH'!#REF!</f>
        <v>#REF!</v>
      </c>
    </row>
    <row r="2215" spans="3:6" x14ac:dyDescent="0.25">
      <c r="C2215">
        <f>'IND TECH'!L2213</f>
        <v>0</v>
      </c>
      <c r="D2215" t="str">
        <f>'IND TECH'!A2213&amp;" "&amp;'IND TECH'!B2213&amp;" "&amp;'IND TECH'!C2213&amp;" "&amp;'IND TECH'!D2213&amp;" "&amp;'IND TECH'!E2213&amp;" "&amp;'IND TECH'!F2213&amp;" "&amp;'IND TECH'!G2213&amp;" "&amp;'IND TECH'!H2213</f>
        <v xml:space="preserve">       </v>
      </c>
      <c r="E2215" t="e">
        <f t="shared" si="14"/>
        <v>#REF!</v>
      </c>
      <c r="F2215" t="e">
        <f>'IND TECH'!#REF!</f>
        <v>#REF!</v>
      </c>
    </row>
    <row r="2216" spans="3:6" x14ac:dyDescent="0.25">
      <c r="C2216">
        <f>'IND TECH'!L2214</f>
        <v>0</v>
      </c>
      <c r="D2216" t="str">
        <f>'IND TECH'!A2214&amp;" "&amp;'IND TECH'!B2214&amp;" "&amp;'IND TECH'!C2214&amp;" "&amp;'IND TECH'!D2214&amp;" "&amp;'IND TECH'!E2214&amp;" "&amp;'IND TECH'!F2214&amp;" "&amp;'IND TECH'!G2214&amp;" "&amp;'IND TECH'!H2214</f>
        <v xml:space="preserve">       </v>
      </c>
      <c r="E2216" t="e">
        <f t="shared" si="14"/>
        <v>#REF!</v>
      </c>
      <c r="F2216" t="e">
        <f>'IND TECH'!#REF!</f>
        <v>#REF!</v>
      </c>
    </row>
    <row r="2217" spans="3:6" x14ac:dyDescent="0.25">
      <c r="C2217">
        <f>'IND TECH'!L2215</f>
        <v>0</v>
      </c>
      <c r="D2217" t="str">
        <f>'IND TECH'!A2215&amp;" "&amp;'IND TECH'!B2215&amp;" "&amp;'IND TECH'!C2215&amp;" "&amp;'IND TECH'!D2215&amp;" "&amp;'IND TECH'!E2215&amp;" "&amp;'IND TECH'!F2215&amp;" "&amp;'IND TECH'!G2215&amp;" "&amp;'IND TECH'!H2215</f>
        <v xml:space="preserve">       </v>
      </c>
      <c r="E2217" t="e">
        <f t="shared" si="14"/>
        <v>#REF!</v>
      </c>
      <c r="F2217" t="e">
        <f>'IND TECH'!#REF!</f>
        <v>#REF!</v>
      </c>
    </row>
    <row r="2218" spans="3:6" x14ac:dyDescent="0.25">
      <c r="C2218">
        <f>'IND TECH'!L2216</f>
        <v>0</v>
      </c>
      <c r="D2218" t="str">
        <f>'IND TECH'!A2216&amp;" "&amp;'IND TECH'!B2216&amp;" "&amp;'IND TECH'!C2216&amp;" "&amp;'IND TECH'!D2216&amp;" "&amp;'IND TECH'!E2216&amp;" "&amp;'IND TECH'!F2216&amp;" "&amp;'IND TECH'!G2216&amp;" "&amp;'IND TECH'!H2216</f>
        <v xml:space="preserve">       </v>
      </c>
      <c r="E2218" t="e">
        <f t="shared" si="14"/>
        <v>#REF!</v>
      </c>
      <c r="F2218" t="e">
        <f>'IND TECH'!#REF!</f>
        <v>#REF!</v>
      </c>
    </row>
    <row r="2219" spans="3:6" x14ac:dyDescent="0.25">
      <c r="C2219">
        <f>'IND TECH'!L2217</f>
        <v>0</v>
      </c>
      <c r="D2219" t="str">
        <f>'IND TECH'!A2217&amp;" "&amp;'IND TECH'!B2217&amp;" "&amp;'IND TECH'!C2217&amp;" "&amp;'IND TECH'!D2217&amp;" "&amp;'IND TECH'!E2217&amp;" "&amp;'IND TECH'!F2217&amp;" "&amp;'IND TECH'!G2217&amp;" "&amp;'IND TECH'!H2217</f>
        <v xml:space="preserve">       </v>
      </c>
      <c r="E2219" t="e">
        <f t="shared" si="14"/>
        <v>#REF!</v>
      </c>
      <c r="F2219" t="e">
        <f>'IND TECH'!#REF!</f>
        <v>#REF!</v>
      </c>
    </row>
    <row r="2220" spans="3:6" x14ac:dyDescent="0.25">
      <c r="C2220">
        <f>'IND TECH'!L2218</f>
        <v>0</v>
      </c>
      <c r="D2220" t="str">
        <f>'IND TECH'!A2218&amp;" "&amp;'IND TECH'!B2218&amp;" "&amp;'IND TECH'!C2218&amp;" "&amp;'IND TECH'!D2218&amp;" "&amp;'IND TECH'!E2218&amp;" "&amp;'IND TECH'!F2218&amp;" "&amp;'IND TECH'!G2218&amp;" "&amp;'IND TECH'!H2218</f>
        <v xml:space="preserve">       </v>
      </c>
      <c r="E2220" t="e">
        <f t="shared" si="14"/>
        <v>#REF!</v>
      </c>
      <c r="F2220" t="e">
        <f>'IND TECH'!#REF!</f>
        <v>#REF!</v>
      </c>
    </row>
    <row r="2221" spans="3:6" x14ac:dyDescent="0.25">
      <c r="C2221">
        <f>'IND TECH'!L2219</f>
        <v>0</v>
      </c>
      <c r="D2221" t="str">
        <f>'IND TECH'!A2219&amp;" "&amp;'IND TECH'!B2219&amp;" "&amp;'IND TECH'!C2219&amp;" "&amp;'IND TECH'!D2219&amp;" "&amp;'IND TECH'!E2219&amp;" "&amp;'IND TECH'!F2219&amp;" "&amp;'IND TECH'!G2219&amp;" "&amp;'IND TECH'!H2219</f>
        <v xml:space="preserve">       </v>
      </c>
      <c r="E2221" t="e">
        <f t="shared" si="14"/>
        <v>#REF!</v>
      </c>
      <c r="F2221" t="e">
        <f>'IND TECH'!#REF!</f>
        <v>#REF!</v>
      </c>
    </row>
    <row r="2222" spans="3:6" x14ac:dyDescent="0.25">
      <c r="C2222">
        <f>'IND TECH'!L2220</f>
        <v>0</v>
      </c>
      <c r="D2222" t="str">
        <f>'IND TECH'!A2220&amp;" "&amp;'IND TECH'!B2220&amp;" "&amp;'IND TECH'!C2220&amp;" "&amp;'IND TECH'!D2220&amp;" "&amp;'IND TECH'!E2220&amp;" "&amp;'IND TECH'!F2220&amp;" "&amp;'IND TECH'!G2220&amp;" "&amp;'IND TECH'!H2220</f>
        <v xml:space="preserve">       </v>
      </c>
      <c r="E2222" t="e">
        <f t="shared" si="14"/>
        <v>#REF!</v>
      </c>
      <c r="F2222" t="e">
        <f>'IND TECH'!#REF!</f>
        <v>#REF!</v>
      </c>
    </row>
    <row r="2223" spans="3:6" x14ac:dyDescent="0.25">
      <c r="C2223">
        <f>'IND TECH'!L2221</f>
        <v>0</v>
      </c>
      <c r="D2223" t="str">
        <f>'IND TECH'!A2221&amp;" "&amp;'IND TECH'!B2221&amp;" "&amp;'IND TECH'!C2221&amp;" "&amp;'IND TECH'!D2221&amp;" "&amp;'IND TECH'!E2221&amp;" "&amp;'IND TECH'!F2221&amp;" "&amp;'IND TECH'!G2221&amp;" "&amp;'IND TECH'!H2221</f>
        <v xml:space="preserve">       </v>
      </c>
      <c r="E2223" t="e">
        <f t="shared" si="14"/>
        <v>#REF!</v>
      </c>
      <c r="F2223" t="e">
        <f>'IND TECH'!#REF!</f>
        <v>#REF!</v>
      </c>
    </row>
    <row r="2224" spans="3:6" x14ac:dyDescent="0.25">
      <c r="C2224">
        <f>'IND TECH'!L2222</f>
        <v>0</v>
      </c>
      <c r="D2224" t="str">
        <f>'IND TECH'!A2222&amp;" "&amp;'IND TECH'!B2222&amp;" "&amp;'IND TECH'!C2222&amp;" "&amp;'IND TECH'!D2222&amp;" "&amp;'IND TECH'!E2222&amp;" "&amp;'IND TECH'!F2222&amp;" "&amp;'IND TECH'!G2222&amp;" "&amp;'IND TECH'!H2222</f>
        <v xml:space="preserve">       </v>
      </c>
      <c r="E2224" t="e">
        <f t="shared" si="14"/>
        <v>#REF!</v>
      </c>
      <c r="F2224" t="e">
        <f>'IND TECH'!#REF!</f>
        <v>#REF!</v>
      </c>
    </row>
    <row r="2225" spans="3:6" x14ac:dyDescent="0.25">
      <c r="C2225">
        <f>'IND TECH'!L2223</f>
        <v>0</v>
      </c>
      <c r="D2225" t="str">
        <f>'IND TECH'!A2223&amp;" "&amp;'IND TECH'!B2223&amp;" "&amp;'IND TECH'!C2223&amp;" "&amp;'IND TECH'!D2223&amp;" "&amp;'IND TECH'!E2223&amp;" "&amp;'IND TECH'!F2223&amp;" "&amp;'IND TECH'!G2223&amp;" "&amp;'IND TECH'!H2223</f>
        <v xml:space="preserve">       </v>
      </c>
      <c r="E2225" t="e">
        <f t="shared" si="14"/>
        <v>#REF!</v>
      </c>
      <c r="F2225" t="e">
        <f>'IND TECH'!#REF!</f>
        <v>#REF!</v>
      </c>
    </row>
    <row r="2226" spans="3:6" x14ac:dyDescent="0.25">
      <c r="C2226">
        <f>'IND TECH'!L2224</f>
        <v>0</v>
      </c>
      <c r="D2226" t="str">
        <f>'IND TECH'!A2224&amp;" "&amp;'IND TECH'!B2224&amp;" "&amp;'IND TECH'!C2224&amp;" "&amp;'IND TECH'!D2224&amp;" "&amp;'IND TECH'!E2224&amp;" "&amp;'IND TECH'!F2224&amp;" "&amp;'IND TECH'!G2224&amp;" "&amp;'IND TECH'!H2224</f>
        <v xml:space="preserve">       </v>
      </c>
      <c r="E2226" t="e">
        <f t="shared" si="14"/>
        <v>#REF!</v>
      </c>
      <c r="F2226" t="e">
        <f>'IND TECH'!#REF!</f>
        <v>#REF!</v>
      </c>
    </row>
    <row r="2227" spans="3:6" x14ac:dyDescent="0.25">
      <c r="C2227">
        <f>'IND TECH'!L2225</f>
        <v>0</v>
      </c>
      <c r="D2227" t="str">
        <f>'IND TECH'!A2225&amp;" "&amp;'IND TECH'!B2225&amp;" "&amp;'IND TECH'!C2225&amp;" "&amp;'IND TECH'!D2225&amp;" "&amp;'IND TECH'!E2225&amp;" "&amp;'IND TECH'!F2225&amp;" "&amp;'IND TECH'!G2225&amp;" "&amp;'IND TECH'!H2225</f>
        <v xml:space="preserve">       </v>
      </c>
      <c r="E2227" t="e">
        <f t="shared" si="14"/>
        <v>#REF!</v>
      </c>
      <c r="F2227" t="e">
        <f>'IND TECH'!#REF!</f>
        <v>#REF!</v>
      </c>
    </row>
    <row r="2228" spans="3:6" x14ac:dyDescent="0.25">
      <c r="C2228">
        <f>'IND TECH'!L2226</f>
        <v>0</v>
      </c>
      <c r="D2228" t="str">
        <f>'IND TECH'!A2226&amp;" "&amp;'IND TECH'!B2226&amp;" "&amp;'IND TECH'!C2226&amp;" "&amp;'IND TECH'!D2226&amp;" "&amp;'IND TECH'!E2226&amp;" "&amp;'IND TECH'!F2226&amp;" "&amp;'IND TECH'!G2226&amp;" "&amp;'IND TECH'!H2226</f>
        <v xml:space="preserve">       </v>
      </c>
      <c r="E2228" t="e">
        <f t="shared" si="14"/>
        <v>#REF!</v>
      </c>
      <c r="F2228" t="e">
        <f>'IND TECH'!#REF!</f>
        <v>#REF!</v>
      </c>
    </row>
    <row r="2229" spans="3:6" x14ac:dyDescent="0.25">
      <c r="C2229">
        <f>'IND TECH'!L2227</f>
        <v>0</v>
      </c>
      <c r="D2229" t="str">
        <f>'IND TECH'!A2227&amp;" "&amp;'IND TECH'!B2227&amp;" "&amp;'IND TECH'!C2227&amp;" "&amp;'IND TECH'!D2227&amp;" "&amp;'IND TECH'!E2227&amp;" "&amp;'IND TECH'!F2227&amp;" "&amp;'IND TECH'!G2227&amp;" "&amp;'IND TECH'!H2227</f>
        <v xml:space="preserve">       </v>
      </c>
      <c r="E2229" t="e">
        <f t="shared" si="14"/>
        <v>#REF!</v>
      </c>
      <c r="F2229" t="e">
        <f>'IND TECH'!#REF!</f>
        <v>#REF!</v>
      </c>
    </row>
    <row r="2230" spans="3:6" x14ac:dyDescent="0.25">
      <c r="C2230">
        <f>'IND TECH'!L2228</f>
        <v>0</v>
      </c>
      <c r="D2230" t="str">
        <f>'IND TECH'!A2228&amp;" "&amp;'IND TECH'!B2228&amp;" "&amp;'IND TECH'!C2228&amp;" "&amp;'IND TECH'!D2228&amp;" "&amp;'IND TECH'!E2228&amp;" "&amp;'IND TECH'!F2228&amp;" "&amp;'IND TECH'!G2228&amp;" "&amp;'IND TECH'!H2228</f>
        <v xml:space="preserve">       </v>
      </c>
      <c r="E2230" t="e">
        <f t="shared" si="14"/>
        <v>#REF!</v>
      </c>
      <c r="F2230" t="e">
        <f>'IND TECH'!#REF!</f>
        <v>#REF!</v>
      </c>
    </row>
    <row r="2231" spans="3:6" x14ac:dyDescent="0.25">
      <c r="C2231">
        <f>'IND TECH'!L2229</f>
        <v>0</v>
      </c>
      <c r="D2231" t="str">
        <f>'IND TECH'!A2229&amp;" "&amp;'IND TECH'!B2229&amp;" "&amp;'IND TECH'!C2229&amp;" "&amp;'IND TECH'!D2229&amp;" "&amp;'IND TECH'!E2229&amp;" "&amp;'IND TECH'!F2229&amp;" "&amp;'IND TECH'!G2229&amp;" "&amp;'IND TECH'!H2229</f>
        <v xml:space="preserve">       </v>
      </c>
      <c r="E2231" t="e">
        <f t="shared" si="14"/>
        <v>#REF!</v>
      </c>
      <c r="F2231" t="e">
        <f>'IND TECH'!#REF!</f>
        <v>#REF!</v>
      </c>
    </row>
    <row r="2232" spans="3:6" x14ac:dyDescent="0.25">
      <c r="C2232">
        <f>'IND TECH'!L2230</f>
        <v>0</v>
      </c>
      <c r="D2232" t="str">
        <f>'IND TECH'!A2230&amp;" "&amp;'IND TECH'!B2230&amp;" "&amp;'IND TECH'!C2230&amp;" "&amp;'IND TECH'!D2230&amp;" "&amp;'IND TECH'!E2230&amp;" "&amp;'IND TECH'!F2230&amp;" "&amp;'IND TECH'!G2230&amp;" "&amp;'IND TECH'!H2230</f>
        <v xml:space="preserve">       </v>
      </c>
      <c r="E2232" t="e">
        <f t="shared" si="14"/>
        <v>#REF!</v>
      </c>
      <c r="F2232" t="e">
        <f>'IND TECH'!#REF!</f>
        <v>#REF!</v>
      </c>
    </row>
    <row r="2233" spans="3:6" x14ac:dyDescent="0.25">
      <c r="C2233">
        <f>'IND TECH'!L2231</f>
        <v>0</v>
      </c>
      <c r="D2233" t="str">
        <f>'IND TECH'!A2231&amp;" "&amp;'IND TECH'!B2231&amp;" "&amp;'IND TECH'!C2231&amp;" "&amp;'IND TECH'!D2231&amp;" "&amp;'IND TECH'!E2231&amp;" "&amp;'IND TECH'!F2231&amp;" "&amp;'IND TECH'!G2231&amp;" "&amp;'IND TECH'!H2231</f>
        <v xml:space="preserve">       </v>
      </c>
      <c r="E2233" t="e">
        <f t="shared" si="14"/>
        <v>#REF!</v>
      </c>
      <c r="F2233" t="e">
        <f>'IND TECH'!#REF!</f>
        <v>#REF!</v>
      </c>
    </row>
    <row r="2234" spans="3:6" x14ac:dyDescent="0.25">
      <c r="C2234">
        <f>'IND TECH'!L2232</f>
        <v>0</v>
      </c>
      <c r="D2234" t="str">
        <f>'IND TECH'!A2232&amp;" "&amp;'IND TECH'!B2232&amp;" "&amp;'IND TECH'!C2232&amp;" "&amp;'IND TECH'!D2232&amp;" "&amp;'IND TECH'!E2232&amp;" "&amp;'IND TECH'!F2232&amp;" "&amp;'IND TECH'!G2232&amp;" "&amp;'IND TECH'!H2232</f>
        <v xml:space="preserve">       </v>
      </c>
      <c r="E2234" t="e">
        <f t="shared" si="14"/>
        <v>#REF!</v>
      </c>
      <c r="F2234" t="e">
        <f>'IND TECH'!#REF!</f>
        <v>#REF!</v>
      </c>
    </row>
    <row r="2235" spans="3:6" x14ac:dyDescent="0.25">
      <c r="C2235">
        <f>'IND TECH'!L2233</f>
        <v>0</v>
      </c>
      <c r="D2235" t="str">
        <f>'IND TECH'!A2233&amp;" "&amp;'IND TECH'!B2233&amp;" "&amp;'IND TECH'!C2233&amp;" "&amp;'IND TECH'!D2233&amp;" "&amp;'IND TECH'!E2233&amp;" "&amp;'IND TECH'!F2233&amp;" "&amp;'IND TECH'!G2233&amp;" "&amp;'IND TECH'!H2233</f>
        <v xml:space="preserve">       </v>
      </c>
      <c r="E2235" t="e">
        <f t="shared" si="14"/>
        <v>#REF!</v>
      </c>
      <c r="F2235" t="e">
        <f>'IND TECH'!#REF!</f>
        <v>#REF!</v>
      </c>
    </row>
    <row r="2236" spans="3:6" x14ac:dyDescent="0.25">
      <c r="C2236">
        <f>'IND TECH'!L2234</f>
        <v>0</v>
      </c>
      <c r="D2236" t="str">
        <f>'IND TECH'!A2234&amp;" "&amp;'IND TECH'!B2234&amp;" "&amp;'IND TECH'!C2234&amp;" "&amp;'IND TECH'!D2234&amp;" "&amp;'IND TECH'!E2234&amp;" "&amp;'IND TECH'!F2234&amp;" "&amp;'IND TECH'!G2234&amp;" "&amp;'IND TECH'!H2234</f>
        <v xml:space="preserve">       </v>
      </c>
      <c r="E2236" t="e">
        <f t="shared" si="14"/>
        <v>#REF!</v>
      </c>
      <c r="F2236" t="e">
        <f>'IND TECH'!#REF!</f>
        <v>#REF!</v>
      </c>
    </row>
    <row r="2237" spans="3:6" x14ac:dyDescent="0.25">
      <c r="C2237">
        <f>'IND TECH'!L2235</f>
        <v>0</v>
      </c>
      <c r="D2237" t="str">
        <f>'IND TECH'!A2235&amp;" "&amp;'IND TECH'!B2235&amp;" "&amp;'IND TECH'!C2235&amp;" "&amp;'IND TECH'!D2235&amp;" "&amp;'IND TECH'!E2235&amp;" "&amp;'IND TECH'!F2235&amp;" "&amp;'IND TECH'!G2235&amp;" "&amp;'IND TECH'!H2235</f>
        <v xml:space="preserve">       </v>
      </c>
      <c r="E2237" t="e">
        <f t="shared" si="14"/>
        <v>#REF!</v>
      </c>
      <c r="F2237" t="e">
        <f>'IND TECH'!#REF!</f>
        <v>#REF!</v>
      </c>
    </row>
    <row r="2238" spans="3:6" x14ac:dyDescent="0.25">
      <c r="C2238">
        <f>'IND TECH'!L2236</f>
        <v>0</v>
      </c>
      <c r="D2238" t="str">
        <f>'IND TECH'!A2236&amp;" "&amp;'IND TECH'!B2236&amp;" "&amp;'IND TECH'!C2236&amp;" "&amp;'IND TECH'!D2236&amp;" "&amp;'IND TECH'!E2236&amp;" "&amp;'IND TECH'!F2236&amp;" "&amp;'IND TECH'!G2236&amp;" "&amp;'IND TECH'!H2236</f>
        <v xml:space="preserve">       </v>
      </c>
      <c r="E2238" t="e">
        <f t="shared" si="14"/>
        <v>#REF!</v>
      </c>
      <c r="F2238" t="e">
        <f>'IND TECH'!#REF!</f>
        <v>#REF!</v>
      </c>
    </row>
    <row r="2239" spans="3:6" x14ac:dyDescent="0.25">
      <c r="C2239">
        <f>'IND TECH'!L2237</f>
        <v>0</v>
      </c>
      <c r="D2239" t="str">
        <f>'IND TECH'!A2237&amp;" "&amp;'IND TECH'!B2237&amp;" "&amp;'IND TECH'!C2237&amp;" "&amp;'IND TECH'!D2237&amp;" "&amp;'IND TECH'!E2237&amp;" "&amp;'IND TECH'!F2237&amp;" "&amp;'IND TECH'!G2237&amp;" "&amp;'IND TECH'!H2237</f>
        <v xml:space="preserve">       </v>
      </c>
      <c r="E2239" t="e">
        <f t="shared" si="14"/>
        <v>#REF!</v>
      </c>
      <c r="F2239" t="e">
        <f>'IND TECH'!#REF!</f>
        <v>#REF!</v>
      </c>
    </row>
    <row r="2240" spans="3:6" x14ac:dyDescent="0.25">
      <c r="C2240">
        <f>'IND TECH'!L2238</f>
        <v>0</v>
      </c>
      <c r="D2240" t="str">
        <f>'IND TECH'!A2238&amp;" "&amp;'IND TECH'!B2238&amp;" "&amp;'IND TECH'!C2238&amp;" "&amp;'IND TECH'!D2238&amp;" "&amp;'IND TECH'!E2238&amp;" "&amp;'IND TECH'!F2238&amp;" "&amp;'IND TECH'!G2238&amp;" "&amp;'IND TECH'!H2238</f>
        <v xml:space="preserve">       </v>
      </c>
      <c r="E2240" t="e">
        <f t="shared" si="14"/>
        <v>#REF!</v>
      </c>
      <c r="F2240" t="e">
        <f>'IND TECH'!#REF!</f>
        <v>#REF!</v>
      </c>
    </row>
    <row r="2241" spans="3:6" x14ac:dyDescent="0.25">
      <c r="C2241">
        <f>'IND TECH'!L2239</f>
        <v>0</v>
      </c>
      <c r="D2241" t="str">
        <f>'IND TECH'!A2239&amp;" "&amp;'IND TECH'!B2239&amp;" "&amp;'IND TECH'!C2239&amp;" "&amp;'IND TECH'!D2239&amp;" "&amp;'IND TECH'!E2239&amp;" "&amp;'IND TECH'!F2239&amp;" "&amp;'IND TECH'!G2239&amp;" "&amp;'IND TECH'!H2239</f>
        <v xml:space="preserve">       </v>
      </c>
      <c r="E2241" t="e">
        <f t="shared" si="14"/>
        <v>#REF!</v>
      </c>
      <c r="F2241" t="e">
        <f>'IND TECH'!#REF!</f>
        <v>#REF!</v>
      </c>
    </row>
    <row r="2242" spans="3:6" x14ac:dyDescent="0.25">
      <c r="C2242">
        <f>'IND TECH'!L2240</f>
        <v>0</v>
      </c>
      <c r="D2242" t="str">
        <f>'IND TECH'!A2240&amp;" "&amp;'IND TECH'!B2240&amp;" "&amp;'IND TECH'!C2240&amp;" "&amp;'IND TECH'!D2240&amp;" "&amp;'IND TECH'!E2240&amp;" "&amp;'IND TECH'!F2240&amp;" "&amp;'IND TECH'!G2240&amp;" "&amp;'IND TECH'!H2240</f>
        <v xml:space="preserve">       </v>
      </c>
      <c r="E2242" t="e">
        <f t="shared" si="14"/>
        <v>#REF!</v>
      </c>
      <c r="F2242" t="e">
        <f>'IND TECH'!#REF!</f>
        <v>#REF!</v>
      </c>
    </row>
    <row r="2243" spans="3:6" x14ac:dyDescent="0.25">
      <c r="C2243">
        <f>'IND TECH'!L2241</f>
        <v>0</v>
      </c>
      <c r="D2243" t="str">
        <f>'IND TECH'!A2241&amp;" "&amp;'IND TECH'!B2241&amp;" "&amp;'IND TECH'!C2241&amp;" "&amp;'IND TECH'!D2241&amp;" "&amp;'IND TECH'!E2241&amp;" "&amp;'IND TECH'!F2241&amp;" "&amp;'IND TECH'!G2241&amp;" "&amp;'IND TECH'!H2241</f>
        <v xml:space="preserve">       </v>
      </c>
      <c r="E2243" t="e">
        <f t="shared" si="14"/>
        <v>#REF!</v>
      </c>
      <c r="F2243" t="e">
        <f>'IND TECH'!#REF!</f>
        <v>#REF!</v>
      </c>
    </row>
    <row r="2244" spans="3:6" x14ac:dyDescent="0.25">
      <c r="C2244">
        <f>'IND TECH'!L2242</f>
        <v>0</v>
      </c>
      <c r="D2244" t="str">
        <f>'IND TECH'!A2242&amp;" "&amp;'IND TECH'!B2242&amp;" "&amp;'IND TECH'!C2242&amp;" "&amp;'IND TECH'!D2242&amp;" "&amp;'IND TECH'!E2242&amp;" "&amp;'IND TECH'!F2242&amp;" "&amp;'IND TECH'!G2242&amp;" "&amp;'IND TECH'!H2242</f>
        <v xml:space="preserve">       </v>
      </c>
      <c r="E2244" t="e">
        <f t="shared" si="14"/>
        <v>#REF!</v>
      </c>
      <c r="F2244" t="e">
        <f>'IND TECH'!#REF!</f>
        <v>#REF!</v>
      </c>
    </row>
    <row r="2245" spans="3:6" x14ac:dyDescent="0.25">
      <c r="C2245">
        <f>'IND TECH'!L2243</f>
        <v>0</v>
      </c>
      <c r="D2245" t="str">
        <f>'IND TECH'!A2243&amp;" "&amp;'IND TECH'!B2243&amp;" "&amp;'IND TECH'!C2243&amp;" "&amp;'IND TECH'!D2243&amp;" "&amp;'IND TECH'!E2243&amp;" "&amp;'IND TECH'!F2243&amp;" "&amp;'IND TECH'!G2243&amp;" "&amp;'IND TECH'!H2243</f>
        <v xml:space="preserve">       </v>
      </c>
      <c r="E2245" t="e">
        <f t="shared" si="14"/>
        <v>#REF!</v>
      </c>
      <c r="F2245" t="e">
        <f>'IND TECH'!#REF!</f>
        <v>#REF!</v>
      </c>
    </row>
    <row r="2246" spans="3:6" x14ac:dyDescent="0.25">
      <c r="C2246">
        <f>'IND TECH'!L2244</f>
        <v>0</v>
      </c>
      <c r="D2246" t="str">
        <f>'IND TECH'!A2244&amp;" "&amp;'IND TECH'!B2244&amp;" "&amp;'IND TECH'!C2244&amp;" "&amp;'IND TECH'!D2244&amp;" "&amp;'IND TECH'!E2244&amp;" "&amp;'IND TECH'!F2244&amp;" "&amp;'IND TECH'!G2244&amp;" "&amp;'IND TECH'!H2244</f>
        <v xml:space="preserve">       </v>
      </c>
      <c r="E2246" t="e">
        <f t="shared" si="14"/>
        <v>#REF!</v>
      </c>
      <c r="F2246" t="e">
        <f>'IND TECH'!#REF!</f>
        <v>#REF!</v>
      </c>
    </row>
    <row r="2247" spans="3:6" x14ac:dyDescent="0.25">
      <c r="C2247">
        <f>'IND TECH'!L2245</f>
        <v>0</v>
      </c>
      <c r="D2247" t="str">
        <f>'IND TECH'!A2245&amp;" "&amp;'IND TECH'!B2245&amp;" "&amp;'IND TECH'!C2245&amp;" "&amp;'IND TECH'!D2245&amp;" "&amp;'IND TECH'!E2245&amp;" "&amp;'IND TECH'!F2245&amp;" "&amp;'IND TECH'!G2245&amp;" "&amp;'IND TECH'!H2245</f>
        <v xml:space="preserve">       </v>
      </c>
      <c r="E2247" t="e">
        <f t="shared" si="14"/>
        <v>#REF!</v>
      </c>
      <c r="F2247" t="e">
        <f>'IND TECH'!#REF!</f>
        <v>#REF!</v>
      </c>
    </row>
    <row r="2248" spans="3:6" x14ac:dyDescent="0.25">
      <c r="C2248">
        <f>'IND TECH'!L2246</f>
        <v>0</v>
      </c>
      <c r="D2248" t="str">
        <f>'IND TECH'!A2246&amp;" "&amp;'IND TECH'!B2246&amp;" "&amp;'IND TECH'!C2246&amp;" "&amp;'IND TECH'!D2246&amp;" "&amp;'IND TECH'!E2246&amp;" "&amp;'IND TECH'!F2246&amp;" "&amp;'IND TECH'!G2246&amp;" "&amp;'IND TECH'!H2246</f>
        <v xml:space="preserve">       </v>
      </c>
      <c r="E2248" t="e">
        <f t="shared" si="14"/>
        <v>#REF!</v>
      </c>
      <c r="F2248" t="e">
        <f>'IND TECH'!#REF!</f>
        <v>#REF!</v>
      </c>
    </row>
    <row r="2249" spans="3:6" x14ac:dyDescent="0.25">
      <c r="C2249">
        <f>'IND TECH'!L2247</f>
        <v>0</v>
      </c>
      <c r="D2249" t="str">
        <f>'IND TECH'!A2247&amp;" "&amp;'IND TECH'!B2247&amp;" "&amp;'IND TECH'!C2247&amp;" "&amp;'IND TECH'!D2247&amp;" "&amp;'IND TECH'!E2247&amp;" "&amp;'IND TECH'!F2247&amp;" "&amp;'IND TECH'!G2247&amp;" "&amp;'IND TECH'!H2247</f>
        <v xml:space="preserve">       </v>
      </c>
      <c r="E2249" t="e">
        <f t="shared" si="14"/>
        <v>#REF!</v>
      </c>
      <c r="F2249" t="e">
        <f>'IND TECH'!#REF!</f>
        <v>#REF!</v>
      </c>
    </row>
    <row r="2250" spans="3:6" x14ac:dyDescent="0.25">
      <c r="C2250">
        <f>'IND TECH'!L2248</f>
        <v>0</v>
      </c>
      <c r="D2250" t="str">
        <f>'IND TECH'!A2248&amp;" "&amp;'IND TECH'!B2248&amp;" "&amp;'IND TECH'!C2248&amp;" "&amp;'IND TECH'!D2248&amp;" "&amp;'IND TECH'!E2248&amp;" "&amp;'IND TECH'!F2248&amp;" "&amp;'IND TECH'!G2248&amp;" "&amp;'IND TECH'!H2248</f>
        <v xml:space="preserve">       </v>
      </c>
      <c r="E2250" t="e">
        <f t="shared" si="14"/>
        <v>#REF!</v>
      </c>
      <c r="F2250" t="e">
        <f>'IND TECH'!#REF!</f>
        <v>#REF!</v>
      </c>
    </row>
    <row r="2251" spans="3:6" x14ac:dyDescent="0.25">
      <c r="C2251">
        <f>'IND TECH'!L2249</f>
        <v>0</v>
      </c>
      <c r="D2251" t="str">
        <f>'IND TECH'!A2249&amp;" "&amp;'IND TECH'!B2249&amp;" "&amp;'IND TECH'!C2249&amp;" "&amp;'IND TECH'!D2249&amp;" "&amp;'IND TECH'!E2249&amp;" "&amp;'IND TECH'!F2249&amp;" "&amp;'IND TECH'!G2249&amp;" "&amp;'IND TECH'!H2249</f>
        <v xml:space="preserve">       </v>
      </c>
      <c r="E2251" t="e">
        <f t="shared" si="14"/>
        <v>#REF!</v>
      </c>
      <c r="F2251" t="e">
        <f>'IND TECH'!#REF!</f>
        <v>#REF!</v>
      </c>
    </row>
    <row r="2252" spans="3:6" x14ac:dyDescent="0.25">
      <c r="C2252">
        <f>'IND TECH'!L2250</f>
        <v>0</v>
      </c>
      <c r="D2252" t="str">
        <f>'IND TECH'!A2250&amp;" "&amp;'IND TECH'!B2250&amp;" "&amp;'IND TECH'!C2250&amp;" "&amp;'IND TECH'!D2250&amp;" "&amp;'IND TECH'!E2250&amp;" "&amp;'IND TECH'!F2250&amp;" "&amp;'IND TECH'!G2250&amp;" "&amp;'IND TECH'!H2250</f>
        <v xml:space="preserve">       </v>
      </c>
      <c r="E2252" t="e">
        <f t="shared" si="14"/>
        <v>#REF!</v>
      </c>
      <c r="F2252" t="e">
        <f>'IND TECH'!#REF!</f>
        <v>#REF!</v>
      </c>
    </row>
    <row r="2253" spans="3:6" x14ac:dyDescent="0.25">
      <c r="C2253">
        <f>'IND TECH'!L2251</f>
        <v>0</v>
      </c>
      <c r="D2253" t="str">
        <f>'IND TECH'!A2251&amp;" "&amp;'IND TECH'!B2251&amp;" "&amp;'IND TECH'!C2251&amp;" "&amp;'IND TECH'!D2251&amp;" "&amp;'IND TECH'!E2251&amp;" "&amp;'IND TECH'!F2251&amp;" "&amp;'IND TECH'!G2251&amp;" "&amp;'IND TECH'!H2251</f>
        <v xml:space="preserve">       </v>
      </c>
      <c r="E2253" t="e">
        <f t="shared" si="14"/>
        <v>#REF!</v>
      </c>
      <c r="F2253" t="e">
        <f>'IND TECH'!#REF!</f>
        <v>#REF!</v>
      </c>
    </row>
    <row r="2254" spans="3:6" x14ac:dyDescent="0.25">
      <c r="C2254">
        <f>'IND TECH'!L2252</f>
        <v>0</v>
      </c>
      <c r="D2254" t="str">
        <f>'IND TECH'!A2252&amp;" "&amp;'IND TECH'!B2252&amp;" "&amp;'IND TECH'!C2252&amp;" "&amp;'IND TECH'!D2252&amp;" "&amp;'IND TECH'!E2252&amp;" "&amp;'IND TECH'!F2252&amp;" "&amp;'IND TECH'!G2252&amp;" "&amp;'IND TECH'!H2252</f>
        <v xml:space="preserve">       </v>
      </c>
      <c r="E2254" t="e">
        <f t="shared" si="14"/>
        <v>#REF!</v>
      </c>
      <c r="F2254" t="e">
        <f>'IND TECH'!#REF!</f>
        <v>#REF!</v>
      </c>
    </row>
    <row r="2255" spans="3:6" x14ac:dyDescent="0.25">
      <c r="C2255">
        <f>'IND TECH'!L2253</f>
        <v>0</v>
      </c>
      <c r="D2255" t="str">
        <f>'IND TECH'!A2253&amp;" "&amp;'IND TECH'!B2253&amp;" "&amp;'IND TECH'!C2253&amp;" "&amp;'IND TECH'!D2253&amp;" "&amp;'IND TECH'!E2253&amp;" "&amp;'IND TECH'!F2253&amp;" "&amp;'IND TECH'!G2253&amp;" "&amp;'IND TECH'!H2253</f>
        <v xml:space="preserve">       </v>
      </c>
      <c r="E2255" t="e">
        <f t="shared" si="14"/>
        <v>#REF!</v>
      </c>
      <c r="F2255" t="e">
        <f>'IND TECH'!#REF!</f>
        <v>#REF!</v>
      </c>
    </row>
    <row r="2256" spans="3:6" x14ac:dyDescent="0.25">
      <c r="C2256">
        <f>'IND TECH'!L2254</f>
        <v>0</v>
      </c>
      <c r="D2256" t="str">
        <f>'IND TECH'!A2254&amp;" "&amp;'IND TECH'!B2254&amp;" "&amp;'IND TECH'!C2254&amp;" "&amp;'IND TECH'!D2254&amp;" "&amp;'IND TECH'!E2254&amp;" "&amp;'IND TECH'!F2254&amp;" "&amp;'IND TECH'!G2254&amp;" "&amp;'IND TECH'!H2254</f>
        <v xml:space="preserve">       </v>
      </c>
      <c r="E2256" t="e">
        <f t="shared" si="14"/>
        <v>#REF!</v>
      </c>
      <c r="F2256" t="e">
        <f>'IND TECH'!#REF!</f>
        <v>#REF!</v>
      </c>
    </row>
    <row r="2257" spans="3:6" x14ac:dyDescent="0.25">
      <c r="C2257">
        <f>'IND TECH'!L2255</f>
        <v>0</v>
      </c>
      <c r="D2257" t="str">
        <f>'IND TECH'!A2255&amp;" "&amp;'IND TECH'!B2255&amp;" "&amp;'IND TECH'!C2255&amp;" "&amp;'IND TECH'!D2255&amp;" "&amp;'IND TECH'!E2255&amp;" "&amp;'IND TECH'!F2255&amp;" "&amp;'IND TECH'!G2255&amp;" "&amp;'IND TECH'!H2255</f>
        <v xml:space="preserve">       </v>
      </c>
      <c r="E2257" t="e">
        <f t="shared" si="14"/>
        <v>#REF!</v>
      </c>
      <c r="F2257" t="e">
        <f>'IND TECH'!#REF!</f>
        <v>#REF!</v>
      </c>
    </row>
    <row r="2258" spans="3:6" x14ac:dyDescent="0.25">
      <c r="C2258">
        <f>'IND TECH'!L2256</f>
        <v>0</v>
      </c>
      <c r="D2258" t="str">
        <f>'IND TECH'!A2256&amp;" "&amp;'IND TECH'!B2256&amp;" "&amp;'IND TECH'!C2256&amp;" "&amp;'IND TECH'!D2256&amp;" "&amp;'IND TECH'!E2256&amp;" "&amp;'IND TECH'!F2256&amp;" "&amp;'IND TECH'!G2256&amp;" "&amp;'IND TECH'!H2256</f>
        <v xml:space="preserve">       </v>
      </c>
      <c r="E2258" t="e">
        <f t="shared" si="14"/>
        <v>#REF!</v>
      </c>
      <c r="F2258" t="e">
        <f>'IND TECH'!#REF!</f>
        <v>#REF!</v>
      </c>
    </row>
    <row r="2259" spans="3:6" x14ac:dyDescent="0.25">
      <c r="C2259">
        <f>'IND TECH'!L2257</f>
        <v>0</v>
      </c>
      <c r="D2259" t="str">
        <f>'IND TECH'!A2257&amp;" "&amp;'IND TECH'!B2257&amp;" "&amp;'IND TECH'!C2257&amp;" "&amp;'IND TECH'!D2257&amp;" "&amp;'IND TECH'!E2257&amp;" "&amp;'IND TECH'!F2257&amp;" "&amp;'IND TECH'!G2257&amp;" "&amp;'IND TECH'!H2257</f>
        <v xml:space="preserve">       </v>
      </c>
      <c r="E2259" t="e">
        <f t="shared" ref="E2259:E2322" si="15">IF(F2259="Mlma","Mlm","TJ")</f>
        <v>#REF!</v>
      </c>
      <c r="F2259" t="e">
        <f>'IND TECH'!#REF!</f>
        <v>#REF!</v>
      </c>
    </row>
    <row r="2260" spans="3:6" x14ac:dyDescent="0.25">
      <c r="C2260">
        <f>'IND TECH'!L2258</f>
        <v>0</v>
      </c>
      <c r="D2260" t="str">
        <f>'IND TECH'!A2258&amp;" "&amp;'IND TECH'!B2258&amp;" "&amp;'IND TECH'!C2258&amp;" "&amp;'IND TECH'!D2258&amp;" "&amp;'IND TECH'!E2258&amp;" "&amp;'IND TECH'!F2258&amp;" "&amp;'IND TECH'!G2258&amp;" "&amp;'IND TECH'!H2258</f>
        <v xml:space="preserve">       </v>
      </c>
      <c r="E2260" t="e">
        <f t="shared" si="15"/>
        <v>#REF!</v>
      </c>
      <c r="F2260" t="e">
        <f>'IND TECH'!#REF!</f>
        <v>#REF!</v>
      </c>
    </row>
    <row r="2261" spans="3:6" x14ac:dyDescent="0.25">
      <c r="C2261">
        <f>'IND TECH'!L2259</f>
        <v>0</v>
      </c>
      <c r="D2261" t="str">
        <f>'IND TECH'!A2259&amp;" "&amp;'IND TECH'!B2259&amp;" "&amp;'IND TECH'!C2259&amp;" "&amp;'IND TECH'!D2259&amp;" "&amp;'IND TECH'!E2259&amp;" "&amp;'IND TECH'!F2259&amp;" "&amp;'IND TECH'!G2259&amp;" "&amp;'IND TECH'!H2259</f>
        <v xml:space="preserve">       </v>
      </c>
      <c r="E2261" t="e">
        <f t="shared" si="15"/>
        <v>#REF!</v>
      </c>
      <c r="F2261" t="e">
        <f>'IND TECH'!#REF!</f>
        <v>#REF!</v>
      </c>
    </row>
    <row r="2262" spans="3:6" x14ac:dyDescent="0.25">
      <c r="C2262">
        <f>'IND TECH'!L2260</f>
        <v>0</v>
      </c>
      <c r="D2262" t="str">
        <f>'IND TECH'!A2260&amp;" "&amp;'IND TECH'!B2260&amp;" "&amp;'IND TECH'!C2260&amp;" "&amp;'IND TECH'!D2260&amp;" "&amp;'IND TECH'!E2260&amp;" "&amp;'IND TECH'!F2260&amp;" "&amp;'IND TECH'!G2260&amp;" "&amp;'IND TECH'!H2260</f>
        <v xml:space="preserve">       </v>
      </c>
      <c r="E2262" t="e">
        <f t="shared" si="15"/>
        <v>#REF!</v>
      </c>
      <c r="F2262" t="e">
        <f>'IND TECH'!#REF!</f>
        <v>#REF!</v>
      </c>
    </row>
    <row r="2263" spans="3:6" x14ac:dyDescent="0.25">
      <c r="C2263">
        <f>'IND TECH'!L2261</f>
        <v>0</v>
      </c>
      <c r="D2263" t="str">
        <f>'IND TECH'!A2261&amp;" "&amp;'IND TECH'!B2261&amp;" "&amp;'IND TECH'!C2261&amp;" "&amp;'IND TECH'!D2261&amp;" "&amp;'IND TECH'!E2261&amp;" "&amp;'IND TECH'!F2261&amp;" "&amp;'IND TECH'!G2261&amp;" "&amp;'IND TECH'!H2261</f>
        <v xml:space="preserve">       </v>
      </c>
      <c r="E2263" t="e">
        <f t="shared" si="15"/>
        <v>#REF!</v>
      </c>
      <c r="F2263" t="e">
        <f>'IND TECH'!#REF!</f>
        <v>#REF!</v>
      </c>
    </row>
    <row r="2264" spans="3:6" x14ac:dyDescent="0.25">
      <c r="C2264">
        <f>'IND TECH'!L2262</f>
        <v>0</v>
      </c>
      <c r="D2264" t="str">
        <f>'IND TECH'!A2262&amp;" "&amp;'IND TECH'!B2262&amp;" "&amp;'IND TECH'!C2262&amp;" "&amp;'IND TECH'!D2262&amp;" "&amp;'IND TECH'!E2262&amp;" "&amp;'IND TECH'!F2262&amp;" "&amp;'IND TECH'!G2262&amp;" "&amp;'IND TECH'!H2262</f>
        <v xml:space="preserve">       </v>
      </c>
      <c r="E2264" t="e">
        <f t="shared" si="15"/>
        <v>#REF!</v>
      </c>
      <c r="F2264" t="e">
        <f>'IND TECH'!#REF!</f>
        <v>#REF!</v>
      </c>
    </row>
    <row r="2265" spans="3:6" x14ac:dyDescent="0.25">
      <c r="C2265">
        <f>'IND TECH'!L2263</f>
        <v>0</v>
      </c>
      <c r="D2265" t="str">
        <f>'IND TECH'!A2263&amp;" "&amp;'IND TECH'!B2263&amp;" "&amp;'IND TECH'!C2263&amp;" "&amp;'IND TECH'!D2263&amp;" "&amp;'IND TECH'!E2263&amp;" "&amp;'IND TECH'!F2263&amp;" "&amp;'IND TECH'!G2263&amp;" "&amp;'IND TECH'!H2263</f>
        <v xml:space="preserve">       </v>
      </c>
      <c r="E2265" t="e">
        <f t="shared" si="15"/>
        <v>#REF!</v>
      </c>
      <c r="F2265" t="e">
        <f>'IND TECH'!#REF!</f>
        <v>#REF!</v>
      </c>
    </row>
    <row r="2266" spans="3:6" x14ac:dyDescent="0.25">
      <c r="C2266">
        <f>'IND TECH'!L2264</f>
        <v>0</v>
      </c>
      <c r="D2266" t="str">
        <f>'IND TECH'!A2264&amp;" "&amp;'IND TECH'!B2264&amp;" "&amp;'IND TECH'!C2264&amp;" "&amp;'IND TECH'!D2264&amp;" "&amp;'IND TECH'!E2264&amp;" "&amp;'IND TECH'!F2264&amp;" "&amp;'IND TECH'!G2264&amp;" "&amp;'IND TECH'!H2264</f>
        <v xml:space="preserve">       </v>
      </c>
      <c r="E2266" t="e">
        <f t="shared" si="15"/>
        <v>#REF!</v>
      </c>
      <c r="F2266" t="e">
        <f>'IND TECH'!#REF!</f>
        <v>#REF!</v>
      </c>
    </row>
    <row r="2267" spans="3:6" x14ac:dyDescent="0.25">
      <c r="C2267">
        <f>'IND TECH'!L2265</f>
        <v>0</v>
      </c>
      <c r="D2267" t="str">
        <f>'IND TECH'!A2265&amp;" "&amp;'IND TECH'!B2265&amp;" "&amp;'IND TECH'!C2265&amp;" "&amp;'IND TECH'!D2265&amp;" "&amp;'IND TECH'!E2265&amp;" "&amp;'IND TECH'!F2265&amp;" "&amp;'IND TECH'!G2265&amp;" "&amp;'IND TECH'!H2265</f>
        <v xml:space="preserve">       </v>
      </c>
      <c r="E2267" t="e">
        <f t="shared" si="15"/>
        <v>#REF!</v>
      </c>
      <c r="F2267" t="e">
        <f>'IND TECH'!#REF!</f>
        <v>#REF!</v>
      </c>
    </row>
    <row r="2268" spans="3:6" x14ac:dyDescent="0.25">
      <c r="C2268">
        <f>'IND TECH'!L2266</f>
        <v>0</v>
      </c>
      <c r="D2268" t="str">
        <f>'IND TECH'!A2266&amp;" "&amp;'IND TECH'!B2266&amp;" "&amp;'IND TECH'!C2266&amp;" "&amp;'IND TECH'!D2266&amp;" "&amp;'IND TECH'!E2266&amp;" "&amp;'IND TECH'!F2266&amp;" "&amp;'IND TECH'!G2266&amp;" "&amp;'IND TECH'!H2266</f>
        <v xml:space="preserve">       </v>
      </c>
      <c r="E2268" t="e">
        <f t="shared" si="15"/>
        <v>#REF!</v>
      </c>
      <c r="F2268" t="e">
        <f>'IND TECH'!#REF!</f>
        <v>#REF!</v>
      </c>
    </row>
    <row r="2269" spans="3:6" x14ac:dyDescent="0.25">
      <c r="C2269">
        <f>'IND TECH'!L2267</f>
        <v>0</v>
      </c>
      <c r="D2269" t="str">
        <f>'IND TECH'!A2267&amp;" "&amp;'IND TECH'!B2267&amp;" "&amp;'IND TECH'!C2267&amp;" "&amp;'IND TECH'!D2267&amp;" "&amp;'IND TECH'!E2267&amp;" "&amp;'IND TECH'!F2267&amp;" "&amp;'IND TECH'!G2267&amp;" "&amp;'IND TECH'!H2267</f>
        <v xml:space="preserve">       </v>
      </c>
      <c r="E2269" t="e">
        <f t="shared" si="15"/>
        <v>#REF!</v>
      </c>
      <c r="F2269" t="e">
        <f>'IND TECH'!#REF!</f>
        <v>#REF!</v>
      </c>
    </row>
    <row r="2270" spans="3:6" x14ac:dyDescent="0.25">
      <c r="C2270">
        <f>'IND TECH'!L2268</f>
        <v>0</v>
      </c>
      <c r="D2270" t="str">
        <f>'IND TECH'!A2268&amp;" "&amp;'IND TECH'!B2268&amp;" "&amp;'IND TECH'!C2268&amp;" "&amp;'IND TECH'!D2268&amp;" "&amp;'IND TECH'!E2268&amp;" "&amp;'IND TECH'!F2268&amp;" "&amp;'IND TECH'!G2268&amp;" "&amp;'IND TECH'!H2268</f>
        <v xml:space="preserve">       </v>
      </c>
      <c r="E2270" t="e">
        <f t="shared" si="15"/>
        <v>#REF!</v>
      </c>
      <c r="F2270" t="e">
        <f>'IND TECH'!#REF!</f>
        <v>#REF!</v>
      </c>
    </row>
    <row r="2271" spans="3:6" x14ac:dyDescent="0.25">
      <c r="C2271">
        <f>'IND TECH'!L2269</f>
        <v>0</v>
      </c>
      <c r="D2271" t="str">
        <f>'IND TECH'!A2269&amp;" "&amp;'IND TECH'!B2269&amp;" "&amp;'IND TECH'!C2269&amp;" "&amp;'IND TECH'!D2269&amp;" "&amp;'IND TECH'!E2269&amp;" "&amp;'IND TECH'!F2269&amp;" "&amp;'IND TECH'!G2269&amp;" "&amp;'IND TECH'!H2269</f>
        <v xml:space="preserve">       </v>
      </c>
      <c r="E2271" t="e">
        <f t="shared" si="15"/>
        <v>#REF!</v>
      </c>
      <c r="F2271" t="e">
        <f>'IND TECH'!#REF!</f>
        <v>#REF!</v>
      </c>
    </row>
    <row r="2272" spans="3:6" x14ac:dyDescent="0.25">
      <c r="C2272">
        <f>'IND TECH'!L2270</f>
        <v>0</v>
      </c>
      <c r="D2272" t="str">
        <f>'IND TECH'!A2270&amp;" "&amp;'IND TECH'!B2270&amp;" "&amp;'IND TECH'!C2270&amp;" "&amp;'IND TECH'!D2270&amp;" "&amp;'IND TECH'!E2270&amp;" "&amp;'IND TECH'!F2270&amp;" "&amp;'IND TECH'!G2270&amp;" "&amp;'IND TECH'!H2270</f>
        <v xml:space="preserve">       </v>
      </c>
      <c r="E2272" t="e">
        <f t="shared" si="15"/>
        <v>#REF!</v>
      </c>
      <c r="F2272" t="e">
        <f>'IND TECH'!#REF!</f>
        <v>#REF!</v>
      </c>
    </row>
    <row r="2273" spans="3:6" x14ac:dyDescent="0.25">
      <c r="C2273">
        <f>'IND TECH'!L2271</f>
        <v>0</v>
      </c>
      <c r="D2273" t="str">
        <f>'IND TECH'!A2271&amp;" "&amp;'IND TECH'!B2271&amp;" "&amp;'IND TECH'!C2271&amp;" "&amp;'IND TECH'!D2271&amp;" "&amp;'IND TECH'!E2271&amp;" "&amp;'IND TECH'!F2271&amp;" "&amp;'IND TECH'!G2271&amp;" "&amp;'IND TECH'!H2271</f>
        <v xml:space="preserve">       </v>
      </c>
      <c r="E2273" t="e">
        <f t="shared" si="15"/>
        <v>#REF!</v>
      </c>
      <c r="F2273" t="e">
        <f>'IND TECH'!#REF!</f>
        <v>#REF!</v>
      </c>
    </row>
    <row r="2274" spans="3:6" x14ac:dyDescent="0.25">
      <c r="C2274">
        <f>'IND TECH'!L2272</f>
        <v>0</v>
      </c>
      <c r="D2274" t="str">
        <f>'IND TECH'!A2272&amp;" "&amp;'IND TECH'!B2272&amp;" "&amp;'IND TECH'!C2272&amp;" "&amp;'IND TECH'!D2272&amp;" "&amp;'IND TECH'!E2272&amp;" "&amp;'IND TECH'!F2272&amp;" "&amp;'IND TECH'!G2272&amp;" "&amp;'IND TECH'!H2272</f>
        <v xml:space="preserve">       </v>
      </c>
      <c r="E2274" t="e">
        <f t="shared" si="15"/>
        <v>#REF!</v>
      </c>
      <c r="F2274" t="e">
        <f>'IND TECH'!#REF!</f>
        <v>#REF!</v>
      </c>
    </row>
    <row r="2275" spans="3:6" x14ac:dyDescent="0.25">
      <c r="C2275">
        <f>'IND TECH'!L2273</f>
        <v>0</v>
      </c>
      <c r="D2275" t="str">
        <f>'IND TECH'!A2273&amp;" "&amp;'IND TECH'!B2273&amp;" "&amp;'IND TECH'!C2273&amp;" "&amp;'IND TECH'!D2273&amp;" "&amp;'IND TECH'!E2273&amp;" "&amp;'IND TECH'!F2273&amp;" "&amp;'IND TECH'!G2273&amp;" "&amp;'IND TECH'!H2273</f>
        <v xml:space="preserve">       </v>
      </c>
      <c r="E2275" t="e">
        <f t="shared" si="15"/>
        <v>#REF!</v>
      </c>
      <c r="F2275" t="e">
        <f>'IND TECH'!#REF!</f>
        <v>#REF!</v>
      </c>
    </row>
    <row r="2276" spans="3:6" x14ac:dyDescent="0.25">
      <c r="C2276">
        <f>'IND TECH'!L2274</f>
        <v>0</v>
      </c>
      <c r="D2276" t="str">
        <f>'IND TECH'!A2274&amp;" "&amp;'IND TECH'!B2274&amp;" "&amp;'IND TECH'!C2274&amp;" "&amp;'IND TECH'!D2274&amp;" "&amp;'IND TECH'!E2274&amp;" "&amp;'IND TECH'!F2274&amp;" "&amp;'IND TECH'!G2274&amp;" "&amp;'IND TECH'!H2274</f>
        <v xml:space="preserve">       </v>
      </c>
      <c r="E2276" t="e">
        <f t="shared" si="15"/>
        <v>#REF!</v>
      </c>
      <c r="F2276" t="e">
        <f>'IND TECH'!#REF!</f>
        <v>#REF!</v>
      </c>
    </row>
    <row r="2277" spans="3:6" x14ac:dyDescent="0.25">
      <c r="C2277">
        <f>'IND TECH'!L2275</f>
        <v>0</v>
      </c>
      <c r="D2277" t="str">
        <f>'IND TECH'!A2275&amp;" "&amp;'IND TECH'!B2275&amp;" "&amp;'IND TECH'!C2275&amp;" "&amp;'IND TECH'!D2275&amp;" "&amp;'IND TECH'!E2275&amp;" "&amp;'IND TECH'!F2275&amp;" "&amp;'IND TECH'!G2275&amp;" "&amp;'IND TECH'!H2275</f>
        <v xml:space="preserve">       </v>
      </c>
      <c r="E2277" t="e">
        <f t="shared" si="15"/>
        <v>#REF!</v>
      </c>
      <c r="F2277" t="e">
        <f>'IND TECH'!#REF!</f>
        <v>#REF!</v>
      </c>
    </row>
    <row r="2278" spans="3:6" x14ac:dyDescent="0.25">
      <c r="C2278">
        <f>'IND TECH'!L2276</f>
        <v>0</v>
      </c>
      <c r="D2278" t="str">
        <f>'IND TECH'!A2276&amp;" "&amp;'IND TECH'!B2276&amp;" "&amp;'IND TECH'!C2276&amp;" "&amp;'IND TECH'!D2276&amp;" "&amp;'IND TECH'!E2276&amp;" "&amp;'IND TECH'!F2276&amp;" "&amp;'IND TECH'!G2276&amp;" "&amp;'IND TECH'!H2276</f>
        <v xml:space="preserve">       </v>
      </c>
      <c r="E2278" t="e">
        <f t="shared" si="15"/>
        <v>#REF!</v>
      </c>
      <c r="F2278" t="e">
        <f>'IND TECH'!#REF!</f>
        <v>#REF!</v>
      </c>
    </row>
    <row r="2279" spans="3:6" x14ac:dyDescent="0.25">
      <c r="C2279">
        <f>'IND TECH'!L2277</f>
        <v>0</v>
      </c>
      <c r="D2279" t="str">
        <f>'IND TECH'!A2277&amp;" "&amp;'IND TECH'!B2277&amp;" "&amp;'IND TECH'!C2277&amp;" "&amp;'IND TECH'!D2277&amp;" "&amp;'IND TECH'!E2277&amp;" "&amp;'IND TECH'!F2277&amp;" "&amp;'IND TECH'!G2277&amp;" "&amp;'IND TECH'!H2277</f>
        <v xml:space="preserve">       </v>
      </c>
      <c r="E2279" t="e">
        <f t="shared" si="15"/>
        <v>#REF!</v>
      </c>
      <c r="F2279" t="e">
        <f>'IND TECH'!#REF!</f>
        <v>#REF!</v>
      </c>
    </row>
    <row r="2280" spans="3:6" x14ac:dyDescent="0.25">
      <c r="C2280">
        <f>'IND TECH'!L2278</f>
        <v>0</v>
      </c>
      <c r="D2280" t="str">
        <f>'IND TECH'!A2278&amp;" "&amp;'IND TECH'!B2278&amp;" "&amp;'IND TECH'!C2278&amp;" "&amp;'IND TECH'!D2278&amp;" "&amp;'IND TECH'!E2278&amp;" "&amp;'IND TECH'!F2278&amp;" "&amp;'IND TECH'!G2278&amp;" "&amp;'IND TECH'!H2278</f>
        <v xml:space="preserve">       </v>
      </c>
      <c r="E2280" t="e">
        <f t="shared" si="15"/>
        <v>#REF!</v>
      </c>
      <c r="F2280" t="e">
        <f>'IND TECH'!#REF!</f>
        <v>#REF!</v>
      </c>
    </row>
    <row r="2281" spans="3:6" x14ac:dyDescent="0.25">
      <c r="C2281">
        <f>'IND TECH'!L2279</f>
        <v>0</v>
      </c>
      <c r="D2281" t="str">
        <f>'IND TECH'!A2279&amp;" "&amp;'IND TECH'!B2279&amp;" "&amp;'IND TECH'!C2279&amp;" "&amp;'IND TECH'!D2279&amp;" "&amp;'IND TECH'!E2279&amp;" "&amp;'IND TECH'!F2279&amp;" "&amp;'IND TECH'!G2279&amp;" "&amp;'IND TECH'!H2279</f>
        <v xml:space="preserve">       </v>
      </c>
      <c r="E2281" t="e">
        <f t="shared" si="15"/>
        <v>#REF!</v>
      </c>
      <c r="F2281" t="e">
        <f>'IND TECH'!#REF!</f>
        <v>#REF!</v>
      </c>
    </row>
    <row r="2282" spans="3:6" x14ac:dyDescent="0.25">
      <c r="C2282">
        <f>'IND TECH'!L2280</f>
        <v>0</v>
      </c>
      <c r="D2282" t="str">
        <f>'IND TECH'!A2280&amp;" "&amp;'IND TECH'!B2280&amp;" "&amp;'IND TECH'!C2280&amp;" "&amp;'IND TECH'!D2280&amp;" "&amp;'IND TECH'!E2280&amp;" "&amp;'IND TECH'!F2280&amp;" "&amp;'IND TECH'!G2280&amp;" "&amp;'IND TECH'!H2280</f>
        <v xml:space="preserve">       </v>
      </c>
      <c r="E2282" t="e">
        <f t="shared" si="15"/>
        <v>#REF!</v>
      </c>
      <c r="F2282" t="e">
        <f>'IND TECH'!#REF!</f>
        <v>#REF!</v>
      </c>
    </row>
    <row r="2283" spans="3:6" x14ac:dyDescent="0.25">
      <c r="C2283">
        <f>'IND TECH'!L2281</f>
        <v>0</v>
      </c>
      <c r="D2283" t="str">
        <f>'IND TECH'!A2281&amp;" "&amp;'IND TECH'!B2281&amp;" "&amp;'IND TECH'!C2281&amp;" "&amp;'IND TECH'!D2281&amp;" "&amp;'IND TECH'!E2281&amp;" "&amp;'IND TECH'!F2281&amp;" "&amp;'IND TECH'!G2281&amp;" "&amp;'IND TECH'!H2281</f>
        <v xml:space="preserve">       </v>
      </c>
      <c r="E2283" t="e">
        <f t="shared" si="15"/>
        <v>#REF!</v>
      </c>
      <c r="F2283" t="e">
        <f>'IND TECH'!#REF!</f>
        <v>#REF!</v>
      </c>
    </row>
    <row r="2284" spans="3:6" x14ac:dyDescent="0.25">
      <c r="C2284">
        <f>'IND TECH'!L2282</f>
        <v>0</v>
      </c>
      <c r="D2284" t="str">
        <f>'IND TECH'!A2282&amp;" "&amp;'IND TECH'!B2282&amp;" "&amp;'IND TECH'!C2282&amp;" "&amp;'IND TECH'!D2282&amp;" "&amp;'IND TECH'!E2282&amp;" "&amp;'IND TECH'!F2282&amp;" "&amp;'IND TECH'!G2282&amp;" "&amp;'IND TECH'!H2282</f>
        <v xml:space="preserve">       </v>
      </c>
      <c r="E2284" t="e">
        <f t="shared" si="15"/>
        <v>#REF!</v>
      </c>
      <c r="F2284" t="e">
        <f>'IND TECH'!#REF!</f>
        <v>#REF!</v>
      </c>
    </row>
    <row r="2285" spans="3:6" x14ac:dyDescent="0.25">
      <c r="C2285">
        <f>'IND TECH'!L2283</f>
        <v>0</v>
      </c>
      <c r="D2285" t="str">
        <f>'IND TECH'!A2283&amp;" "&amp;'IND TECH'!B2283&amp;" "&amp;'IND TECH'!C2283&amp;" "&amp;'IND TECH'!D2283&amp;" "&amp;'IND TECH'!E2283&amp;" "&amp;'IND TECH'!F2283&amp;" "&amp;'IND TECH'!G2283&amp;" "&amp;'IND TECH'!H2283</f>
        <v xml:space="preserve">       </v>
      </c>
      <c r="E2285" t="e">
        <f t="shared" si="15"/>
        <v>#REF!</v>
      </c>
      <c r="F2285" t="e">
        <f>'IND TECH'!#REF!</f>
        <v>#REF!</v>
      </c>
    </row>
    <row r="2286" spans="3:6" x14ac:dyDescent="0.25">
      <c r="C2286">
        <f>'IND TECH'!L2284</f>
        <v>0</v>
      </c>
      <c r="D2286" t="str">
        <f>'IND TECH'!A2284&amp;" "&amp;'IND TECH'!B2284&amp;" "&amp;'IND TECH'!C2284&amp;" "&amp;'IND TECH'!D2284&amp;" "&amp;'IND TECH'!E2284&amp;" "&amp;'IND TECH'!F2284&amp;" "&amp;'IND TECH'!G2284&amp;" "&amp;'IND TECH'!H2284</f>
        <v xml:space="preserve">       </v>
      </c>
      <c r="E2286" t="e">
        <f t="shared" si="15"/>
        <v>#REF!</v>
      </c>
      <c r="F2286" t="e">
        <f>'IND TECH'!#REF!</f>
        <v>#REF!</v>
      </c>
    </row>
    <row r="2287" spans="3:6" x14ac:dyDescent="0.25">
      <c r="C2287">
        <f>'IND TECH'!L2285</f>
        <v>0</v>
      </c>
      <c r="D2287" t="str">
        <f>'IND TECH'!A2285&amp;" "&amp;'IND TECH'!B2285&amp;" "&amp;'IND TECH'!C2285&amp;" "&amp;'IND TECH'!D2285&amp;" "&amp;'IND TECH'!E2285&amp;" "&amp;'IND TECH'!F2285&amp;" "&amp;'IND TECH'!G2285&amp;" "&amp;'IND TECH'!H2285</f>
        <v xml:space="preserve">       </v>
      </c>
      <c r="E2287" t="e">
        <f t="shared" si="15"/>
        <v>#REF!</v>
      </c>
      <c r="F2287" t="e">
        <f>'IND TECH'!#REF!</f>
        <v>#REF!</v>
      </c>
    </row>
    <row r="2288" spans="3:6" x14ac:dyDescent="0.25">
      <c r="C2288">
        <f>'IND TECH'!L2286</f>
        <v>0</v>
      </c>
      <c r="D2288" t="str">
        <f>'IND TECH'!A2286&amp;" "&amp;'IND TECH'!B2286&amp;" "&amp;'IND TECH'!C2286&amp;" "&amp;'IND TECH'!D2286&amp;" "&amp;'IND TECH'!E2286&amp;" "&amp;'IND TECH'!F2286&amp;" "&amp;'IND TECH'!G2286&amp;" "&amp;'IND TECH'!H2286</f>
        <v xml:space="preserve">       </v>
      </c>
      <c r="E2288" t="e">
        <f t="shared" si="15"/>
        <v>#REF!</v>
      </c>
      <c r="F2288" t="e">
        <f>'IND TECH'!#REF!</f>
        <v>#REF!</v>
      </c>
    </row>
    <row r="2289" spans="3:6" x14ac:dyDescent="0.25">
      <c r="C2289">
        <f>'IND TECH'!L2287</f>
        <v>0</v>
      </c>
      <c r="D2289" t="str">
        <f>'IND TECH'!A2287&amp;" "&amp;'IND TECH'!B2287&amp;" "&amp;'IND TECH'!C2287&amp;" "&amp;'IND TECH'!D2287&amp;" "&amp;'IND TECH'!E2287&amp;" "&amp;'IND TECH'!F2287&amp;" "&amp;'IND TECH'!G2287&amp;" "&amp;'IND TECH'!H2287</f>
        <v xml:space="preserve">       </v>
      </c>
      <c r="E2289" t="e">
        <f t="shared" si="15"/>
        <v>#REF!</v>
      </c>
      <c r="F2289" t="e">
        <f>'IND TECH'!#REF!</f>
        <v>#REF!</v>
      </c>
    </row>
    <row r="2290" spans="3:6" x14ac:dyDescent="0.25">
      <c r="C2290">
        <f>'IND TECH'!L2288</f>
        <v>0</v>
      </c>
      <c r="D2290" t="str">
        <f>'IND TECH'!A2288&amp;" "&amp;'IND TECH'!B2288&amp;" "&amp;'IND TECH'!C2288&amp;" "&amp;'IND TECH'!D2288&amp;" "&amp;'IND TECH'!E2288&amp;" "&amp;'IND TECH'!F2288&amp;" "&amp;'IND TECH'!G2288&amp;" "&amp;'IND TECH'!H2288</f>
        <v xml:space="preserve">       </v>
      </c>
      <c r="E2290" t="e">
        <f t="shared" si="15"/>
        <v>#REF!</v>
      </c>
      <c r="F2290" t="e">
        <f>'IND TECH'!#REF!</f>
        <v>#REF!</v>
      </c>
    </row>
    <row r="2291" spans="3:6" x14ac:dyDescent="0.25">
      <c r="C2291">
        <f>'IND TECH'!L2289</f>
        <v>0</v>
      </c>
      <c r="D2291" t="str">
        <f>'IND TECH'!A2289&amp;" "&amp;'IND TECH'!B2289&amp;" "&amp;'IND TECH'!C2289&amp;" "&amp;'IND TECH'!D2289&amp;" "&amp;'IND TECH'!E2289&amp;" "&amp;'IND TECH'!F2289&amp;" "&amp;'IND TECH'!G2289&amp;" "&amp;'IND TECH'!H2289</f>
        <v xml:space="preserve">       </v>
      </c>
      <c r="E2291" t="e">
        <f t="shared" si="15"/>
        <v>#REF!</v>
      </c>
      <c r="F2291" t="e">
        <f>'IND TECH'!#REF!</f>
        <v>#REF!</v>
      </c>
    </row>
    <row r="2292" spans="3:6" x14ac:dyDescent="0.25">
      <c r="C2292">
        <f>'IND TECH'!L2290</f>
        <v>0</v>
      </c>
      <c r="D2292" t="str">
        <f>'IND TECH'!A2290&amp;" "&amp;'IND TECH'!B2290&amp;" "&amp;'IND TECH'!C2290&amp;" "&amp;'IND TECH'!D2290&amp;" "&amp;'IND TECH'!E2290&amp;" "&amp;'IND TECH'!F2290&amp;" "&amp;'IND TECH'!G2290&amp;" "&amp;'IND TECH'!H2290</f>
        <v xml:space="preserve">       </v>
      </c>
      <c r="E2292" t="e">
        <f t="shared" si="15"/>
        <v>#REF!</v>
      </c>
      <c r="F2292" t="e">
        <f>'IND TECH'!#REF!</f>
        <v>#REF!</v>
      </c>
    </row>
    <row r="2293" spans="3:6" x14ac:dyDescent="0.25">
      <c r="C2293">
        <f>'IND TECH'!L2291</f>
        <v>0</v>
      </c>
      <c r="D2293" t="str">
        <f>'IND TECH'!A2291&amp;" "&amp;'IND TECH'!B2291&amp;" "&amp;'IND TECH'!C2291&amp;" "&amp;'IND TECH'!D2291&amp;" "&amp;'IND TECH'!E2291&amp;" "&amp;'IND TECH'!F2291&amp;" "&amp;'IND TECH'!G2291&amp;" "&amp;'IND TECH'!H2291</f>
        <v xml:space="preserve">       </v>
      </c>
      <c r="E2293" t="e">
        <f t="shared" si="15"/>
        <v>#REF!</v>
      </c>
      <c r="F2293" t="e">
        <f>'IND TECH'!#REF!</f>
        <v>#REF!</v>
      </c>
    </row>
    <row r="2294" spans="3:6" x14ac:dyDescent="0.25">
      <c r="C2294">
        <f>'IND TECH'!L2292</f>
        <v>0</v>
      </c>
      <c r="D2294" t="str">
        <f>'IND TECH'!A2292&amp;" "&amp;'IND TECH'!B2292&amp;" "&amp;'IND TECH'!C2292&amp;" "&amp;'IND TECH'!D2292&amp;" "&amp;'IND TECH'!E2292&amp;" "&amp;'IND TECH'!F2292&amp;" "&amp;'IND TECH'!G2292&amp;" "&amp;'IND TECH'!H2292</f>
        <v xml:space="preserve">       </v>
      </c>
      <c r="E2294" t="e">
        <f t="shared" si="15"/>
        <v>#REF!</v>
      </c>
      <c r="F2294" t="e">
        <f>'IND TECH'!#REF!</f>
        <v>#REF!</v>
      </c>
    </row>
    <row r="2295" spans="3:6" x14ac:dyDescent="0.25">
      <c r="C2295">
        <f>'IND TECH'!L2293</f>
        <v>0</v>
      </c>
      <c r="D2295" t="str">
        <f>'IND TECH'!A2293&amp;" "&amp;'IND TECH'!B2293&amp;" "&amp;'IND TECH'!C2293&amp;" "&amp;'IND TECH'!D2293&amp;" "&amp;'IND TECH'!E2293&amp;" "&amp;'IND TECH'!F2293&amp;" "&amp;'IND TECH'!G2293&amp;" "&amp;'IND TECH'!H2293</f>
        <v xml:space="preserve">       </v>
      </c>
      <c r="E2295" t="e">
        <f t="shared" si="15"/>
        <v>#REF!</v>
      </c>
      <c r="F2295" t="e">
        <f>'IND TECH'!#REF!</f>
        <v>#REF!</v>
      </c>
    </row>
    <row r="2296" spans="3:6" x14ac:dyDescent="0.25">
      <c r="C2296">
        <f>'IND TECH'!L2294</f>
        <v>0</v>
      </c>
      <c r="D2296" t="str">
        <f>'IND TECH'!A2294&amp;" "&amp;'IND TECH'!B2294&amp;" "&amp;'IND TECH'!C2294&amp;" "&amp;'IND TECH'!D2294&amp;" "&amp;'IND TECH'!E2294&amp;" "&amp;'IND TECH'!F2294&amp;" "&amp;'IND TECH'!G2294&amp;" "&amp;'IND TECH'!H2294</f>
        <v xml:space="preserve">       </v>
      </c>
      <c r="E2296" t="e">
        <f t="shared" si="15"/>
        <v>#REF!</v>
      </c>
      <c r="F2296" t="e">
        <f>'IND TECH'!#REF!</f>
        <v>#REF!</v>
      </c>
    </row>
    <row r="2297" spans="3:6" x14ac:dyDescent="0.25">
      <c r="C2297">
        <f>'IND TECH'!L2295</f>
        <v>0</v>
      </c>
      <c r="D2297" t="str">
        <f>'IND TECH'!A2295&amp;" "&amp;'IND TECH'!B2295&amp;" "&amp;'IND TECH'!C2295&amp;" "&amp;'IND TECH'!D2295&amp;" "&amp;'IND TECH'!E2295&amp;" "&amp;'IND TECH'!F2295&amp;" "&amp;'IND TECH'!G2295&amp;" "&amp;'IND TECH'!H2295</f>
        <v xml:space="preserve">       </v>
      </c>
      <c r="E2297" t="e">
        <f t="shared" si="15"/>
        <v>#REF!</v>
      </c>
      <c r="F2297" t="e">
        <f>'IND TECH'!#REF!</f>
        <v>#REF!</v>
      </c>
    </row>
    <row r="2298" spans="3:6" x14ac:dyDescent="0.25">
      <c r="C2298">
        <f>'IND TECH'!L2296</f>
        <v>0</v>
      </c>
      <c r="D2298" t="str">
        <f>'IND TECH'!A2296&amp;" "&amp;'IND TECH'!B2296&amp;" "&amp;'IND TECH'!C2296&amp;" "&amp;'IND TECH'!D2296&amp;" "&amp;'IND TECH'!E2296&amp;" "&amp;'IND TECH'!F2296&amp;" "&amp;'IND TECH'!G2296&amp;" "&amp;'IND TECH'!H2296</f>
        <v xml:space="preserve">       </v>
      </c>
      <c r="E2298" t="e">
        <f t="shared" si="15"/>
        <v>#REF!</v>
      </c>
      <c r="F2298" t="e">
        <f>'IND TECH'!#REF!</f>
        <v>#REF!</v>
      </c>
    </row>
    <row r="2299" spans="3:6" x14ac:dyDescent="0.25">
      <c r="C2299">
        <f>'IND TECH'!L2297</f>
        <v>0</v>
      </c>
      <c r="D2299" t="str">
        <f>'IND TECH'!A2297&amp;" "&amp;'IND TECH'!B2297&amp;" "&amp;'IND TECH'!C2297&amp;" "&amp;'IND TECH'!D2297&amp;" "&amp;'IND TECH'!E2297&amp;" "&amp;'IND TECH'!F2297&amp;" "&amp;'IND TECH'!G2297&amp;" "&amp;'IND TECH'!H2297</f>
        <v xml:space="preserve">       </v>
      </c>
      <c r="E2299" t="e">
        <f t="shared" si="15"/>
        <v>#REF!</v>
      </c>
      <c r="F2299" t="e">
        <f>'IND TECH'!#REF!</f>
        <v>#REF!</v>
      </c>
    </row>
    <row r="2300" spans="3:6" x14ac:dyDescent="0.25">
      <c r="C2300">
        <f>'IND TECH'!L2298</f>
        <v>0</v>
      </c>
      <c r="D2300" t="str">
        <f>'IND TECH'!A2298&amp;" "&amp;'IND TECH'!B2298&amp;" "&amp;'IND TECH'!C2298&amp;" "&amp;'IND TECH'!D2298&amp;" "&amp;'IND TECH'!E2298&amp;" "&amp;'IND TECH'!F2298&amp;" "&amp;'IND TECH'!G2298&amp;" "&amp;'IND TECH'!H2298</f>
        <v xml:space="preserve">       </v>
      </c>
      <c r="E2300" t="e">
        <f t="shared" si="15"/>
        <v>#REF!</v>
      </c>
      <c r="F2300" t="e">
        <f>'IND TECH'!#REF!</f>
        <v>#REF!</v>
      </c>
    </row>
    <row r="2301" spans="3:6" x14ac:dyDescent="0.25">
      <c r="C2301">
        <f>'IND TECH'!L2299</f>
        <v>0</v>
      </c>
      <c r="D2301" t="str">
        <f>'IND TECH'!A2299&amp;" "&amp;'IND TECH'!B2299&amp;" "&amp;'IND TECH'!C2299&amp;" "&amp;'IND TECH'!D2299&amp;" "&amp;'IND TECH'!E2299&amp;" "&amp;'IND TECH'!F2299&amp;" "&amp;'IND TECH'!G2299&amp;" "&amp;'IND TECH'!H2299</f>
        <v xml:space="preserve">       </v>
      </c>
      <c r="E2301" t="e">
        <f t="shared" si="15"/>
        <v>#REF!</v>
      </c>
      <c r="F2301" t="e">
        <f>'IND TECH'!#REF!</f>
        <v>#REF!</v>
      </c>
    </row>
    <row r="2302" spans="3:6" x14ac:dyDescent="0.25">
      <c r="C2302">
        <f>'IND TECH'!L2300</f>
        <v>0</v>
      </c>
      <c r="D2302" t="str">
        <f>'IND TECH'!A2300&amp;" "&amp;'IND TECH'!B2300&amp;" "&amp;'IND TECH'!C2300&amp;" "&amp;'IND TECH'!D2300&amp;" "&amp;'IND TECH'!E2300&amp;" "&amp;'IND TECH'!F2300&amp;" "&amp;'IND TECH'!G2300&amp;" "&amp;'IND TECH'!H2300</f>
        <v xml:space="preserve">       </v>
      </c>
      <c r="E2302" t="e">
        <f t="shared" si="15"/>
        <v>#REF!</v>
      </c>
      <c r="F2302" t="e">
        <f>'IND TECH'!#REF!</f>
        <v>#REF!</v>
      </c>
    </row>
    <row r="2303" spans="3:6" x14ac:dyDescent="0.25">
      <c r="C2303">
        <f>'IND TECH'!L2301</f>
        <v>0</v>
      </c>
      <c r="D2303" t="str">
        <f>'IND TECH'!A2301&amp;" "&amp;'IND TECH'!B2301&amp;" "&amp;'IND TECH'!C2301&amp;" "&amp;'IND TECH'!D2301&amp;" "&amp;'IND TECH'!E2301&amp;" "&amp;'IND TECH'!F2301&amp;" "&amp;'IND TECH'!G2301&amp;" "&amp;'IND TECH'!H2301</f>
        <v xml:space="preserve">       </v>
      </c>
      <c r="E2303" t="e">
        <f t="shared" si="15"/>
        <v>#REF!</v>
      </c>
      <c r="F2303" t="e">
        <f>'IND TECH'!#REF!</f>
        <v>#REF!</v>
      </c>
    </row>
    <row r="2304" spans="3:6" x14ac:dyDescent="0.25">
      <c r="C2304">
        <f>'IND TECH'!L2302</f>
        <v>0</v>
      </c>
      <c r="D2304" t="str">
        <f>'IND TECH'!A2302&amp;" "&amp;'IND TECH'!B2302&amp;" "&amp;'IND TECH'!C2302&amp;" "&amp;'IND TECH'!D2302&amp;" "&amp;'IND TECH'!E2302&amp;" "&amp;'IND TECH'!F2302&amp;" "&amp;'IND TECH'!G2302&amp;" "&amp;'IND TECH'!H2302</f>
        <v xml:space="preserve">       </v>
      </c>
      <c r="E2304" t="e">
        <f t="shared" si="15"/>
        <v>#REF!</v>
      </c>
      <c r="F2304" t="e">
        <f>'IND TECH'!#REF!</f>
        <v>#REF!</v>
      </c>
    </row>
    <row r="2305" spans="3:6" x14ac:dyDescent="0.25">
      <c r="C2305">
        <f>'IND TECH'!L2303</f>
        <v>0</v>
      </c>
      <c r="D2305" t="str">
        <f>'IND TECH'!A2303&amp;" "&amp;'IND TECH'!B2303&amp;" "&amp;'IND TECH'!C2303&amp;" "&amp;'IND TECH'!D2303&amp;" "&amp;'IND TECH'!E2303&amp;" "&amp;'IND TECH'!F2303&amp;" "&amp;'IND TECH'!G2303&amp;" "&amp;'IND TECH'!H2303</f>
        <v xml:space="preserve">       </v>
      </c>
      <c r="E2305" t="e">
        <f t="shared" si="15"/>
        <v>#REF!</v>
      </c>
      <c r="F2305" t="e">
        <f>'IND TECH'!#REF!</f>
        <v>#REF!</v>
      </c>
    </row>
    <row r="2306" spans="3:6" x14ac:dyDescent="0.25">
      <c r="C2306">
        <f>'IND TECH'!L2304</f>
        <v>0</v>
      </c>
      <c r="D2306" t="str">
        <f>'IND TECH'!A2304&amp;" "&amp;'IND TECH'!B2304&amp;" "&amp;'IND TECH'!C2304&amp;" "&amp;'IND TECH'!D2304&amp;" "&amp;'IND TECH'!E2304&amp;" "&amp;'IND TECH'!F2304&amp;" "&amp;'IND TECH'!G2304&amp;" "&amp;'IND TECH'!H2304</f>
        <v xml:space="preserve">       </v>
      </c>
      <c r="E2306" t="e">
        <f t="shared" si="15"/>
        <v>#REF!</v>
      </c>
      <c r="F2306" t="e">
        <f>'IND TECH'!#REF!</f>
        <v>#REF!</v>
      </c>
    </row>
    <row r="2307" spans="3:6" x14ac:dyDescent="0.25">
      <c r="C2307">
        <f>'IND TECH'!L2305</f>
        <v>0</v>
      </c>
      <c r="D2307" t="str">
        <f>'IND TECH'!A2305&amp;" "&amp;'IND TECH'!B2305&amp;" "&amp;'IND TECH'!C2305&amp;" "&amp;'IND TECH'!D2305&amp;" "&amp;'IND TECH'!E2305&amp;" "&amp;'IND TECH'!F2305&amp;" "&amp;'IND TECH'!G2305&amp;" "&amp;'IND TECH'!H2305</f>
        <v xml:space="preserve">       </v>
      </c>
      <c r="E2307" t="e">
        <f t="shared" si="15"/>
        <v>#REF!</v>
      </c>
      <c r="F2307" t="e">
        <f>'IND TECH'!#REF!</f>
        <v>#REF!</v>
      </c>
    </row>
    <row r="2308" spans="3:6" x14ac:dyDescent="0.25">
      <c r="C2308">
        <f>'IND TECH'!L2306</f>
        <v>0</v>
      </c>
      <c r="D2308" t="str">
        <f>'IND TECH'!A2306&amp;" "&amp;'IND TECH'!B2306&amp;" "&amp;'IND TECH'!C2306&amp;" "&amp;'IND TECH'!D2306&amp;" "&amp;'IND TECH'!E2306&amp;" "&amp;'IND TECH'!F2306&amp;" "&amp;'IND TECH'!G2306&amp;" "&amp;'IND TECH'!H2306</f>
        <v xml:space="preserve">       </v>
      </c>
      <c r="E2308" t="e">
        <f t="shared" si="15"/>
        <v>#REF!</v>
      </c>
      <c r="F2308" t="e">
        <f>'IND TECH'!#REF!</f>
        <v>#REF!</v>
      </c>
    </row>
    <row r="2309" spans="3:6" x14ac:dyDescent="0.25">
      <c r="C2309">
        <f>'IND TECH'!L2307</f>
        <v>0</v>
      </c>
      <c r="D2309" t="str">
        <f>'IND TECH'!A2307&amp;" "&amp;'IND TECH'!B2307&amp;" "&amp;'IND TECH'!C2307&amp;" "&amp;'IND TECH'!D2307&amp;" "&amp;'IND TECH'!E2307&amp;" "&amp;'IND TECH'!F2307&amp;" "&amp;'IND TECH'!G2307&amp;" "&amp;'IND TECH'!H2307</f>
        <v xml:space="preserve">       </v>
      </c>
      <c r="E2309" t="e">
        <f t="shared" si="15"/>
        <v>#REF!</v>
      </c>
      <c r="F2309" t="e">
        <f>'IND TECH'!#REF!</f>
        <v>#REF!</v>
      </c>
    </row>
    <row r="2310" spans="3:6" x14ac:dyDescent="0.25">
      <c r="C2310">
        <f>'IND TECH'!L2308</f>
        <v>0</v>
      </c>
      <c r="D2310" t="str">
        <f>'IND TECH'!A2308&amp;" "&amp;'IND TECH'!B2308&amp;" "&amp;'IND TECH'!C2308&amp;" "&amp;'IND TECH'!D2308&amp;" "&amp;'IND TECH'!E2308&amp;" "&amp;'IND TECH'!F2308&amp;" "&amp;'IND TECH'!G2308&amp;" "&amp;'IND TECH'!H2308</f>
        <v xml:space="preserve">       </v>
      </c>
      <c r="E2310" t="e">
        <f t="shared" si="15"/>
        <v>#REF!</v>
      </c>
      <c r="F2310" t="e">
        <f>'IND TECH'!#REF!</f>
        <v>#REF!</v>
      </c>
    </row>
    <row r="2311" spans="3:6" x14ac:dyDescent="0.25">
      <c r="C2311">
        <f>'IND TECH'!L2309</f>
        <v>0</v>
      </c>
      <c r="D2311" t="str">
        <f>'IND TECH'!A2309&amp;" "&amp;'IND TECH'!B2309&amp;" "&amp;'IND TECH'!C2309&amp;" "&amp;'IND TECH'!D2309&amp;" "&amp;'IND TECH'!E2309&amp;" "&amp;'IND TECH'!F2309&amp;" "&amp;'IND TECH'!G2309&amp;" "&amp;'IND TECH'!H2309</f>
        <v xml:space="preserve">       </v>
      </c>
      <c r="E2311" t="e">
        <f t="shared" si="15"/>
        <v>#REF!</v>
      </c>
      <c r="F2311" t="e">
        <f>'IND TECH'!#REF!</f>
        <v>#REF!</v>
      </c>
    </row>
    <row r="2312" spans="3:6" x14ac:dyDescent="0.25">
      <c r="C2312">
        <f>'IND TECH'!L2310</f>
        <v>0</v>
      </c>
      <c r="D2312" t="str">
        <f>'IND TECH'!A2310&amp;" "&amp;'IND TECH'!B2310&amp;" "&amp;'IND TECH'!C2310&amp;" "&amp;'IND TECH'!D2310&amp;" "&amp;'IND TECH'!E2310&amp;" "&amp;'IND TECH'!F2310&amp;" "&amp;'IND TECH'!G2310&amp;" "&amp;'IND TECH'!H2310</f>
        <v xml:space="preserve">       </v>
      </c>
      <c r="E2312" t="e">
        <f t="shared" si="15"/>
        <v>#REF!</v>
      </c>
      <c r="F2312" t="e">
        <f>'IND TECH'!#REF!</f>
        <v>#REF!</v>
      </c>
    </row>
    <row r="2313" spans="3:6" x14ac:dyDescent="0.25">
      <c r="C2313">
        <f>'IND TECH'!L2311</f>
        <v>0</v>
      </c>
      <c r="D2313" t="str">
        <f>'IND TECH'!A2311&amp;" "&amp;'IND TECH'!B2311&amp;" "&amp;'IND TECH'!C2311&amp;" "&amp;'IND TECH'!D2311&amp;" "&amp;'IND TECH'!E2311&amp;" "&amp;'IND TECH'!F2311&amp;" "&amp;'IND TECH'!G2311&amp;" "&amp;'IND TECH'!H2311</f>
        <v xml:space="preserve">       </v>
      </c>
      <c r="E2313" t="e">
        <f t="shared" si="15"/>
        <v>#REF!</v>
      </c>
      <c r="F2313" t="e">
        <f>'IND TECH'!#REF!</f>
        <v>#REF!</v>
      </c>
    </row>
    <row r="2314" spans="3:6" x14ac:dyDescent="0.25">
      <c r="C2314">
        <f>'IND TECH'!L2312</f>
        <v>0</v>
      </c>
      <c r="D2314" t="str">
        <f>'IND TECH'!A2312&amp;" "&amp;'IND TECH'!B2312&amp;" "&amp;'IND TECH'!C2312&amp;" "&amp;'IND TECH'!D2312&amp;" "&amp;'IND TECH'!E2312&amp;" "&amp;'IND TECH'!F2312&amp;" "&amp;'IND TECH'!G2312&amp;" "&amp;'IND TECH'!H2312</f>
        <v xml:space="preserve">       </v>
      </c>
      <c r="E2314" t="e">
        <f t="shared" si="15"/>
        <v>#REF!</v>
      </c>
      <c r="F2314" t="e">
        <f>'IND TECH'!#REF!</f>
        <v>#REF!</v>
      </c>
    </row>
    <row r="2315" spans="3:6" x14ac:dyDescent="0.25">
      <c r="C2315">
        <f>'IND TECH'!L2313</f>
        <v>0</v>
      </c>
      <c r="D2315" t="str">
        <f>'IND TECH'!A2313&amp;" "&amp;'IND TECH'!B2313&amp;" "&amp;'IND TECH'!C2313&amp;" "&amp;'IND TECH'!D2313&amp;" "&amp;'IND TECH'!E2313&amp;" "&amp;'IND TECH'!F2313&amp;" "&amp;'IND TECH'!G2313&amp;" "&amp;'IND TECH'!H2313</f>
        <v xml:space="preserve">       </v>
      </c>
      <c r="E2315" t="e">
        <f t="shared" si="15"/>
        <v>#REF!</v>
      </c>
      <c r="F2315" t="e">
        <f>'IND TECH'!#REF!</f>
        <v>#REF!</v>
      </c>
    </row>
    <row r="2316" spans="3:6" x14ac:dyDescent="0.25">
      <c r="C2316">
        <f>'IND TECH'!L2314</f>
        <v>0</v>
      </c>
      <c r="D2316" t="str">
        <f>'IND TECH'!A2314&amp;" "&amp;'IND TECH'!B2314&amp;" "&amp;'IND TECH'!C2314&amp;" "&amp;'IND TECH'!D2314&amp;" "&amp;'IND TECH'!E2314&amp;" "&amp;'IND TECH'!F2314&amp;" "&amp;'IND TECH'!G2314&amp;" "&amp;'IND TECH'!H2314</f>
        <v xml:space="preserve">       </v>
      </c>
      <c r="E2316" t="e">
        <f t="shared" si="15"/>
        <v>#REF!</v>
      </c>
      <c r="F2316" t="e">
        <f>'IND TECH'!#REF!</f>
        <v>#REF!</v>
      </c>
    </row>
    <row r="2317" spans="3:6" x14ac:dyDescent="0.25">
      <c r="C2317">
        <f>'IND TECH'!L2315</f>
        <v>0</v>
      </c>
      <c r="D2317" t="str">
        <f>'IND TECH'!A2315&amp;" "&amp;'IND TECH'!B2315&amp;" "&amp;'IND TECH'!C2315&amp;" "&amp;'IND TECH'!D2315&amp;" "&amp;'IND TECH'!E2315&amp;" "&amp;'IND TECH'!F2315&amp;" "&amp;'IND TECH'!G2315&amp;" "&amp;'IND TECH'!H2315</f>
        <v xml:space="preserve">       </v>
      </c>
      <c r="E2317" t="e">
        <f t="shared" si="15"/>
        <v>#REF!</v>
      </c>
      <c r="F2317" t="e">
        <f>'IND TECH'!#REF!</f>
        <v>#REF!</v>
      </c>
    </row>
    <row r="2318" spans="3:6" x14ac:dyDescent="0.25">
      <c r="C2318">
        <f>'IND TECH'!L2316</f>
        <v>0</v>
      </c>
      <c r="D2318" t="str">
        <f>'IND TECH'!A2316&amp;" "&amp;'IND TECH'!B2316&amp;" "&amp;'IND TECH'!C2316&amp;" "&amp;'IND TECH'!D2316&amp;" "&amp;'IND TECH'!E2316&amp;" "&amp;'IND TECH'!F2316&amp;" "&amp;'IND TECH'!G2316&amp;" "&amp;'IND TECH'!H2316</f>
        <v xml:space="preserve">       </v>
      </c>
      <c r="E2318" t="e">
        <f t="shared" si="15"/>
        <v>#REF!</v>
      </c>
      <c r="F2318" t="e">
        <f>'IND TECH'!#REF!</f>
        <v>#REF!</v>
      </c>
    </row>
    <row r="2319" spans="3:6" x14ac:dyDescent="0.25">
      <c r="C2319">
        <f>'IND TECH'!L2317</f>
        <v>0</v>
      </c>
      <c r="D2319" t="str">
        <f>'IND TECH'!A2317&amp;" "&amp;'IND TECH'!B2317&amp;" "&amp;'IND TECH'!C2317&amp;" "&amp;'IND TECH'!D2317&amp;" "&amp;'IND TECH'!E2317&amp;" "&amp;'IND TECH'!F2317&amp;" "&amp;'IND TECH'!G2317&amp;" "&amp;'IND TECH'!H2317</f>
        <v xml:space="preserve">       </v>
      </c>
      <c r="E2319" t="e">
        <f t="shared" si="15"/>
        <v>#REF!</v>
      </c>
      <c r="F2319" t="e">
        <f>'IND TECH'!#REF!</f>
        <v>#REF!</v>
      </c>
    </row>
    <row r="2320" spans="3:6" x14ac:dyDescent="0.25">
      <c r="C2320">
        <f>'IND TECH'!L2318</f>
        <v>0</v>
      </c>
      <c r="D2320" t="str">
        <f>'IND TECH'!A2318&amp;" "&amp;'IND TECH'!B2318&amp;" "&amp;'IND TECH'!C2318&amp;" "&amp;'IND TECH'!D2318&amp;" "&amp;'IND TECH'!E2318&amp;" "&amp;'IND TECH'!F2318&amp;" "&amp;'IND TECH'!G2318&amp;" "&amp;'IND TECH'!H2318</f>
        <v xml:space="preserve">       </v>
      </c>
      <c r="E2320" t="e">
        <f t="shared" si="15"/>
        <v>#REF!</v>
      </c>
      <c r="F2320" t="e">
        <f>'IND TECH'!#REF!</f>
        <v>#REF!</v>
      </c>
    </row>
    <row r="2321" spans="3:6" x14ac:dyDescent="0.25">
      <c r="C2321">
        <f>'IND TECH'!L2319</f>
        <v>0</v>
      </c>
      <c r="D2321" t="str">
        <f>'IND TECH'!A2319&amp;" "&amp;'IND TECH'!B2319&amp;" "&amp;'IND TECH'!C2319&amp;" "&amp;'IND TECH'!D2319&amp;" "&amp;'IND TECH'!E2319&amp;" "&amp;'IND TECH'!F2319&amp;" "&amp;'IND TECH'!G2319&amp;" "&amp;'IND TECH'!H2319</f>
        <v xml:space="preserve">       </v>
      </c>
      <c r="E2321" t="e">
        <f t="shared" si="15"/>
        <v>#REF!</v>
      </c>
      <c r="F2321" t="e">
        <f>'IND TECH'!#REF!</f>
        <v>#REF!</v>
      </c>
    </row>
    <row r="2322" spans="3:6" x14ac:dyDescent="0.25">
      <c r="C2322">
        <f>'IND TECH'!L2320</f>
        <v>0</v>
      </c>
      <c r="D2322" t="str">
        <f>'IND TECH'!A2320&amp;" "&amp;'IND TECH'!B2320&amp;" "&amp;'IND TECH'!C2320&amp;" "&amp;'IND TECH'!D2320&amp;" "&amp;'IND TECH'!E2320&amp;" "&amp;'IND TECH'!F2320&amp;" "&amp;'IND TECH'!G2320&amp;" "&amp;'IND TECH'!H2320</f>
        <v xml:space="preserve">       </v>
      </c>
      <c r="E2322" t="e">
        <f t="shared" si="15"/>
        <v>#REF!</v>
      </c>
      <c r="F2322" t="e">
        <f>'IND TECH'!#REF!</f>
        <v>#REF!</v>
      </c>
    </row>
    <row r="2323" spans="3:6" x14ac:dyDescent="0.25">
      <c r="C2323">
        <f>'IND TECH'!L2321</f>
        <v>0</v>
      </c>
      <c r="D2323" t="str">
        <f>'IND TECH'!A2321&amp;" "&amp;'IND TECH'!B2321&amp;" "&amp;'IND TECH'!C2321&amp;" "&amp;'IND TECH'!D2321&amp;" "&amp;'IND TECH'!E2321&amp;" "&amp;'IND TECH'!F2321&amp;" "&amp;'IND TECH'!G2321&amp;" "&amp;'IND TECH'!H2321</f>
        <v xml:space="preserve">       </v>
      </c>
      <c r="E2323" t="e">
        <f t="shared" ref="E2323:E2386" si="16">IF(F2323="Mlma","Mlm","TJ")</f>
        <v>#REF!</v>
      </c>
      <c r="F2323" t="e">
        <f>'IND TECH'!#REF!</f>
        <v>#REF!</v>
      </c>
    </row>
    <row r="2324" spans="3:6" x14ac:dyDescent="0.25">
      <c r="C2324">
        <f>'IND TECH'!L2322</f>
        <v>0</v>
      </c>
      <c r="D2324" t="str">
        <f>'IND TECH'!A2322&amp;" "&amp;'IND TECH'!B2322&amp;" "&amp;'IND TECH'!C2322&amp;" "&amp;'IND TECH'!D2322&amp;" "&amp;'IND TECH'!E2322&amp;" "&amp;'IND TECH'!F2322&amp;" "&amp;'IND TECH'!G2322&amp;" "&amp;'IND TECH'!H2322</f>
        <v xml:space="preserve">       </v>
      </c>
      <c r="E2324" t="e">
        <f t="shared" si="16"/>
        <v>#REF!</v>
      </c>
      <c r="F2324" t="e">
        <f>'IND TECH'!#REF!</f>
        <v>#REF!</v>
      </c>
    </row>
    <row r="2325" spans="3:6" x14ac:dyDescent="0.25">
      <c r="C2325">
        <f>'IND TECH'!L2323</f>
        <v>0</v>
      </c>
      <c r="D2325" t="str">
        <f>'IND TECH'!A2323&amp;" "&amp;'IND TECH'!B2323&amp;" "&amp;'IND TECH'!C2323&amp;" "&amp;'IND TECH'!D2323&amp;" "&amp;'IND TECH'!E2323&amp;" "&amp;'IND TECH'!F2323&amp;" "&amp;'IND TECH'!G2323&amp;" "&amp;'IND TECH'!H2323</f>
        <v xml:space="preserve">       </v>
      </c>
      <c r="E2325" t="e">
        <f t="shared" si="16"/>
        <v>#REF!</v>
      </c>
      <c r="F2325" t="e">
        <f>'IND TECH'!#REF!</f>
        <v>#REF!</v>
      </c>
    </row>
    <row r="2326" spans="3:6" x14ac:dyDescent="0.25">
      <c r="C2326">
        <f>'IND TECH'!L2324</f>
        <v>0</v>
      </c>
      <c r="D2326" t="str">
        <f>'IND TECH'!A2324&amp;" "&amp;'IND TECH'!B2324&amp;" "&amp;'IND TECH'!C2324&amp;" "&amp;'IND TECH'!D2324&amp;" "&amp;'IND TECH'!E2324&amp;" "&amp;'IND TECH'!F2324&amp;" "&amp;'IND TECH'!G2324&amp;" "&amp;'IND TECH'!H2324</f>
        <v xml:space="preserve">       </v>
      </c>
      <c r="E2326" t="e">
        <f t="shared" si="16"/>
        <v>#REF!</v>
      </c>
      <c r="F2326" t="e">
        <f>'IND TECH'!#REF!</f>
        <v>#REF!</v>
      </c>
    </row>
    <row r="2327" spans="3:6" x14ac:dyDescent="0.25">
      <c r="C2327">
        <f>'IND TECH'!L2325</f>
        <v>0</v>
      </c>
      <c r="D2327" t="str">
        <f>'IND TECH'!A2325&amp;" "&amp;'IND TECH'!B2325&amp;" "&amp;'IND TECH'!C2325&amp;" "&amp;'IND TECH'!D2325&amp;" "&amp;'IND TECH'!E2325&amp;" "&amp;'IND TECH'!F2325&amp;" "&amp;'IND TECH'!G2325&amp;" "&amp;'IND TECH'!H2325</f>
        <v xml:space="preserve">       </v>
      </c>
      <c r="E2327" t="e">
        <f t="shared" si="16"/>
        <v>#REF!</v>
      </c>
      <c r="F2327" t="e">
        <f>'IND TECH'!#REF!</f>
        <v>#REF!</v>
      </c>
    </row>
    <row r="2328" spans="3:6" x14ac:dyDescent="0.25">
      <c r="C2328">
        <f>'IND TECH'!L2326</f>
        <v>0</v>
      </c>
      <c r="D2328" t="str">
        <f>'IND TECH'!A2326&amp;" "&amp;'IND TECH'!B2326&amp;" "&amp;'IND TECH'!C2326&amp;" "&amp;'IND TECH'!D2326&amp;" "&amp;'IND TECH'!E2326&amp;" "&amp;'IND TECH'!F2326&amp;" "&amp;'IND TECH'!G2326&amp;" "&amp;'IND TECH'!H2326</f>
        <v xml:space="preserve">       </v>
      </c>
      <c r="E2328" t="e">
        <f t="shared" si="16"/>
        <v>#REF!</v>
      </c>
      <c r="F2328" t="e">
        <f>'IND TECH'!#REF!</f>
        <v>#REF!</v>
      </c>
    </row>
    <row r="2329" spans="3:6" x14ac:dyDescent="0.25">
      <c r="C2329">
        <f>'IND TECH'!L2327</f>
        <v>0</v>
      </c>
      <c r="D2329" t="str">
        <f>'IND TECH'!A2327&amp;" "&amp;'IND TECH'!B2327&amp;" "&amp;'IND TECH'!C2327&amp;" "&amp;'IND TECH'!D2327&amp;" "&amp;'IND TECH'!E2327&amp;" "&amp;'IND TECH'!F2327&amp;" "&amp;'IND TECH'!G2327&amp;" "&amp;'IND TECH'!H2327</f>
        <v xml:space="preserve">       </v>
      </c>
      <c r="E2329" t="e">
        <f t="shared" si="16"/>
        <v>#REF!</v>
      </c>
      <c r="F2329" t="e">
        <f>'IND TECH'!#REF!</f>
        <v>#REF!</v>
      </c>
    </row>
    <row r="2330" spans="3:6" x14ac:dyDescent="0.25">
      <c r="C2330">
        <f>'IND TECH'!L2328</f>
        <v>0</v>
      </c>
      <c r="D2330" t="str">
        <f>'IND TECH'!A2328&amp;" "&amp;'IND TECH'!B2328&amp;" "&amp;'IND TECH'!C2328&amp;" "&amp;'IND TECH'!D2328&amp;" "&amp;'IND TECH'!E2328&amp;" "&amp;'IND TECH'!F2328&amp;" "&amp;'IND TECH'!G2328&amp;" "&amp;'IND TECH'!H2328</f>
        <v xml:space="preserve">       </v>
      </c>
      <c r="E2330" t="e">
        <f t="shared" si="16"/>
        <v>#REF!</v>
      </c>
      <c r="F2330" t="e">
        <f>'IND TECH'!#REF!</f>
        <v>#REF!</v>
      </c>
    </row>
    <row r="2331" spans="3:6" x14ac:dyDescent="0.25">
      <c r="C2331">
        <f>'IND TECH'!L2329</f>
        <v>0</v>
      </c>
      <c r="D2331" t="str">
        <f>'IND TECH'!A2329&amp;" "&amp;'IND TECH'!B2329&amp;" "&amp;'IND TECH'!C2329&amp;" "&amp;'IND TECH'!D2329&amp;" "&amp;'IND TECH'!E2329&amp;" "&amp;'IND TECH'!F2329&amp;" "&amp;'IND TECH'!G2329&amp;" "&amp;'IND TECH'!H2329</f>
        <v xml:space="preserve">       </v>
      </c>
      <c r="E2331" t="e">
        <f t="shared" si="16"/>
        <v>#REF!</v>
      </c>
      <c r="F2331" t="e">
        <f>'IND TECH'!#REF!</f>
        <v>#REF!</v>
      </c>
    </row>
    <row r="2332" spans="3:6" x14ac:dyDescent="0.25">
      <c r="C2332">
        <f>'IND TECH'!L2330</f>
        <v>0</v>
      </c>
      <c r="D2332" t="str">
        <f>'IND TECH'!A2330&amp;" "&amp;'IND TECH'!B2330&amp;" "&amp;'IND TECH'!C2330&amp;" "&amp;'IND TECH'!D2330&amp;" "&amp;'IND TECH'!E2330&amp;" "&amp;'IND TECH'!F2330&amp;" "&amp;'IND TECH'!G2330&amp;" "&amp;'IND TECH'!H2330</f>
        <v xml:space="preserve">       </v>
      </c>
      <c r="E2332" t="e">
        <f t="shared" si="16"/>
        <v>#REF!</v>
      </c>
      <c r="F2332" t="e">
        <f>'IND TECH'!#REF!</f>
        <v>#REF!</v>
      </c>
    </row>
    <row r="2333" spans="3:6" x14ac:dyDescent="0.25">
      <c r="C2333">
        <f>'IND TECH'!L2331</f>
        <v>0</v>
      </c>
      <c r="D2333" t="str">
        <f>'IND TECH'!A2331&amp;" "&amp;'IND TECH'!B2331&amp;" "&amp;'IND TECH'!C2331&amp;" "&amp;'IND TECH'!D2331&amp;" "&amp;'IND TECH'!E2331&amp;" "&amp;'IND TECH'!F2331&amp;" "&amp;'IND TECH'!G2331&amp;" "&amp;'IND TECH'!H2331</f>
        <v xml:space="preserve">       </v>
      </c>
      <c r="E2333" t="e">
        <f t="shared" si="16"/>
        <v>#REF!</v>
      </c>
      <c r="F2333" t="e">
        <f>'IND TECH'!#REF!</f>
        <v>#REF!</v>
      </c>
    </row>
    <row r="2334" spans="3:6" x14ac:dyDescent="0.25">
      <c r="C2334">
        <f>'IND TECH'!L2332</f>
        <v>0</v>
      </c>
      <c r="D2334" t="str">
        <f>'IND TECH'!A2332&amp;" "&amp;'IND TECH'!B2332&amp;" "&amp;'IND TECH'!C2332&amp;" "&amp;'IND TECH'!D2332&amp;" "&amp;'IND TECH'!E2332&amp;" "&amp;'IND TECH'!F2332&amp;" "&amp;'IND TECH'!G2332&amp;" "&amp;'IND TECH'!H2332</f>
        <v xml:space="preserve">       </v>
      </c>
      <c r="E2334" t="e">
        <f t="shared" si="16"/>
        <v>#REF!</v>
      </c>
      <c r="F2334" t="e">
        <f>'IND TECH'!#REF!</f>
        <v>#REF!</v>
      </c>
    </row>
    <row r="2335" spans="3:6" x14ac:dyDescent="0.25">
      <c r="C2335">
        <f>'IND TECH'!L2333</f>
        <v>0</v>
      </c>
      <c r="D2335" t="str">
        <f>'IND TECH'!A2333&amp;" "&amp;'IND TECH'!B2333&amp;" "&amp;'IND TECH'!C2333&amp;" "&amp;'IND TECH'!D2333&amp;" "&amp;'IND TECH'!E2333&amp;" "&amp;'IND TECH'!F2333&amp;" "&amp;'IND TECH'!G2333&amp;" "&amp;'IND TECH'!H2333</f>
        <v xml:space="preserve">       </v>
      </c>
      <c r="E2335" t="e">
        <f t="shared" si="16"/>
        <v>#REF!</v>
      </c>
      <c r="F2335" t="e">
        <f>'IND TECH'!#REF!</f>
        <v>#REF!</v>
      </c>
    </row>
    <row r="2336" spans="3:6" x14ac:dyDescent="0.25">
      <c r="C2336">
        <f>'IND TECH'!L2334</f>
        <v>0</v>
      </c>
      <c r="D2336" t="str">
        <f>'IND TECH'!A2334&amp;" "&amp;'IND TECH'!B2334&amp;" "&amp;'IND TECH'!C2334&amp;" "&amp;'IND TECH'!D2334&amp;" "&amp;'IND TECH'!E2334&amp;" "&amp;'IND TECH'!F2334&amp;" "&amp;'IND TECH'!G2334&amp;" "&amp;'IND TECH'!H2334</f>
        <v xml:space="preserve">       </v>
      </c>
      <c r="E2336" t="e">
        <f t="shared" si="16"/>
        <v>#REF!</v>
      </c>
      <c r="F2336" t="e">
        <f>'IND TECH'!#REF!</f>
        <v>#REF!</v>
      </c>
    </row>
    <row r="2337" spans="3:6" x14ac:dyDescent="0.25">
      <c r="C2337">
        <f>'IND TECH'!L2335</f>
        <v>0</v>
      </c>
      <c r="D2337" t="str">
        <f>'IND TECH'!A2335&amp;" "&amp;'IND TECH'!B2335&amp;" "&amp;'IND TECH'!C2335&amp;" "&amp;'IND TECH'!D2335&amp;" "&amp;'IND TECH'!E2335&amp;" "&amp;'IND TECH'!F2335&amp;" "&amp;'IND TECH'!G2335&amp;" "&amp;'IND TECH'!H2335</f>
        <v xml:space="preserve">       </v>
      </c>
      <c r="E2337" t="e">
        <f t="shared" si="16"/>
        <v>#REF!</v>
      </c>
      <c r="F2337" t="e">
        <f>'IND TECH'!#REF!</f>
        <v>#REF!</v>
      </c>
    </row>
    <row r="2338" spans="3:6" x14ac:dyDescent="0.25">
      <c r="C2338">
        <f>'IND TECH'!L2336</f>
        <v>0</v>
      </c>
      <c r="D2338" t="str">
        <f>'IND TECH'!A2336&amp;" "&amp;'IND TECH'!B2336&amp;" "&amp;'IND TECH'!C2336&amp;" "&amp;'IND TECH'!D2336&amp;" "&amp;'IND TECH'!E2336&amp;" "&amp;'IND TECH'!F2336&amp;" "&amp;'IND TECH'!G2336&amp;" "&amp;'IND TECH'!H2336</f>
        <v xml:space="preserve">       </v>
      </c>
      <c r="E2338" t="e">
        <f t="shared" si="16"/>
        <v>#REF!</v>
      </c>
      <c r="F2338" t="e">
        <f>'IND TECH'!#REF!</f>
        <v>#REF!</v>
      </c>
    </row>
    <row r="2339" spans="3:6" x14ac:dyDescent="0.25">
      <c r="C2339">
        <f>'IND TECH'!L2337</f>
        <v>0</v>
      </c>
      <c r="D2339" t="str">
        <f>'IND TECH'!A2337&amp;" "&amp;'IND TECH'!B2337&amp;" "&amp;'IND TECH'!C2337&amp;" "&amp;'IND TECH'!D2337&amp;" "&amp;'IND TECH'!E2337&amp;" "&amp;'IND TECH'!F2337&amp;" "&amp;'IND TECH'!G2337&amp;" "&amp;'IND TECH'!H2337</f>
        <v xml:space="preserve">       </v>
      </c>
      <c r="E2339" t="e">
        <f t="shared" si="16"/>
        <v>#REF!</v>
      </c>
      <c r="F2339" t="e">
        <f>'IND TECH'!#REF!</f>
        <v>#REF!</v>
      </c>
    </row>
    <row r="2340" spans="3:6" x14ac:dyDescent="0.25">
      <c r="C2340">
        <f>'IND TECH'!L2338</f>
        <v>0</v>
      </c>
      <c r="D2340" t="str">
        <f>'IND TECH'!A2338&amp;" "&amp;'IND TECH'!B2338&amp;" "&amp;'IND TECH'!C2338&amp;" "&amp;'IND TECH'!D2338&amp;" "&amp;'IND TECH'!E2338&amp;" "&amp;'IND TECH'!F2338&amp;" "&amp;'IND TECH'!G2338&amp;" "&amp;'IND TECH'!H2338</f>
        <v xml:space="preserve">       </v>
      </c>
      <c r="E2340" t="e">
        <f t="shared" si="16"/>
        <v>#REF!</v>
      </c>
      <c r="F2340" t="e">
        <f>'IND TECH'!#REF!</f>
        <v>#REF!</v>
      </c>
    </row>
    <row r="2341" spans="3:6" x14ac:dyDescent="0.25">
      <c r="C2341">
        <f>'IND TECH'!L2339</f>
        <v>0</v>
      </c>
      <c r="D2341" t="str">
        <f>'IND TECH'!A2339&amp;" "&amp;'IND TECH'!B2339&amp;" "&amp;'IND TECH'!C2339&amp;" "&amp;'IND TECH'!D2339&amp;" "&amp;'IND TECH'!E2339&amp;" "&amp;'IND TECH'!F2339&amp;" "&amp;'IND TECH'!G2339&amp;" "&amp;'IND TECH'!H2339</f>
        <v xml:space="preserve">       </v>
      </c>
      <c r="E2341" t="e">
        <f t="shared" si="16"/>
        <v>#REF!</v>
      </c>
      <c r="F2341" t="e">
        <f>'IND TECH'!#REF!</f>
        <v>#REF!</v>
      </c>
    </row>
    <row r="2342" spans="3:6" x14ac:dyDescent="0.25">
      <c r="C2342">
        <f>'IND TECH'!L2340</f>
        <v>0</v>
      </c>
      <c r="D2342" t="str">
        <f>'IND TECH'!A2340&amp;" "&amp;'IND TECH'!B2340&amp;" "&amp;'IND TECH'!C2340&amp;" "&amp;'IND TECH'!D2340&amp;" "&amp;'IND TECH'!E2340&amp;" "&amp;'IND TECH'!F2340&amp;" "&amp;'IND TECH'!G2340&amp;" "&amp;'IND TECH'!H2340</f>
        <v xml:space="preserve">       </v>
      </c>
      <c r="E2342" t="e">
        <f t="shared" si="16"/>
        <v>#REF!</v>
      </c>
      <c r="F2342" t="e">
        <f>'IND TECH'!#REF!</f>
        <v>#REF!</v>
      </c>
    </row>
    <row r="2343" spans="3:6" x14ac:dyDescent="0.25">
      <c r="C2343">
        <f>'IND TECH'!L2341</f>
        <v>0</v>
      </c>
      <c r="D2343" t="str">
        <f>'IND TECH'!A2341&amp;" "&amp;'IND TECH'!B2341&amp;" "&amp;'IND TECH'!C2341&amp;" "&amp;'IND TECH'!D2341&amp;" "&amp;'IND TECH'!E2341&amp;" "&amp;'IND TECH'!F2341&amp;" "&amp;'IND TECH'!G2341&amp;" "&amp;'IND TECH'!H2341</f>
        <v xml:space="preserve">       </v>
      </c>
      <c r="E2343" t="e">
        <f t="shared" si="16"/>
        <v>#REF!</v>
      </c>
      <c r="F2343" t="e">
        <f>'IND TECH'!#REF!</f>
        <v>#REF!</v>
      </c>
    </row>
    <row r="2344" spans="3:6" x14ac:dyDescent="0.25">
      <c r="C2344">
        <f>'IND TECH'!L2342</f>
        <v>0</v>
      </c>
      <c r="D2344" t="str">
        <f>'IND TECH'!A2342&amp;" "&amp;'IND TECH'!B2342&amp;" "&amp;'IND TECH'!C2342&amp;" "&amp;'IND TECH'!D2342&amp;" "&amp;'IND TECH'!E2342&amp;" "&amp;'IND TECH'!F2342&amp;" "&amp;'IND TECH'!G2342&amp;" "&amp;'IND TECH'!H2342</f>
        <v xml:space="preserve">       </v>
      </c>
      <c r="E2344" t="e">
        <f t="shared" si="16"/>
        <v>#REF!</v>
      </c>
      <c r="F2344" t="e">
        <f>'IND TECH'!#REF!</f>
        <v>#REF!</v>
      </c>
    </row>
    <row r="2345" spans="3:6" x14ac:dyDescent="0.25">
      <c r="C2345">
        <f>'IND TECH'!L2343</f>
        <v>0</v>
      </c>
      <c r="D2345" t="str">
        <f>'IND TECH'!A2343&amp;" "&amp;'IND TECH'!B2343&amp;" "&amp;'IND TECH'!C2343&amp;" "&amp;'IND TECH'!D2343&amp;" "&amp;'IND TECH'!E2343&amp;" "&amp;'IND TECH'!F2343&amp;" "&amp;'IND TECH'!G2343&amp;" "&amp;'IND TECH'!H2343</f>
        <v xml:space="preserve">       </v>
      </c>
      <c r="E2345" t="e">
        <f t="shared" si="16"/>
        <v>#REF!</v>
      </c>
      <c r="F2345" t="e">
        <f>'IND TECH'!#REF!</f>
        <v>#REF!</v>
      </c>
    </row>
    <row r="2346" spans="3:6" x14ac:dyDescent="0.25">
      <c r="C2346">
        <f>'IND TECH'!L2344</f>
        <v>0</v>
      </c>
      <c r="D2346" t="str">
        <f>'IND TECH'!A2344&amp;" "&amp;'IND TECH'!B2344&amp;" "&amp;'IND TECH'!C2344&amp;" "&amp;'IND TECH'!D2344&amp;" "&amp;'IND TECH'!E2344&amp;" "&amp;'IND TECH'!F2344&amp;" "&amp;'IND TECH'!G2344&amp;" "&amp;'IND TECH'!H2344</f>
        <v xml:space="preserve">       </v>
      </c>
      <c r="E2346" t="e">
        <f t="shared" si="16"/>
        <v>#REF!</v>
      </c>
      <c r="F2346" t="e">
        <f>'IND TECH'!#REF!</f>
        <v>#REF!</v>
      </c>
    </row>
    <row r="2347" spans="3:6" x14ac:dyDescent="0.25">
      <c r="C2347">
        <f>'IND TECH'!L2345</f>
        <v>0</v>
      </c>
      <c r="D2347" t="str">
        <f>'IND TECH'!A2345&amp;" "&amp;'IND TECH'!B2345&amp;" "&amp;'IND TECH'!C2345&amp;" "&amp;'IND TECH'!D2345&amp;" "&amp;'IND TECH'!E2345&amp;" "&amp;'IND TECH'!F2345&amp;" "&amp;'IND TECH'!G2345&amp;" "&amp;'IND TECH'!H2345</f>
        <v xml:space="preserve">       </v>
      </c>
      <c r="E2347" t="e">
        <f t="shared" si="16"/>
        <v>#REF!</v>
      </c>
      <c r="F2347" t="e">
        <f>'IND TECH'!#REF!</f>
        <v>#REF!</v>
      </c>
    </row>
    <row r="2348" spans="3:6" x14ac:dyDescent="0.25">
      <c r="C2348">
        <f>'IND TECH'!L2346</f>
        <v>0</v>
      </c>
      <c r="D2348" t="str">
        <f>'IND TECH'!A2346&amp;" "&amp;'IND TECH'!B2346&amp;" "&amp;'IND TECH'!C2346&amp;" "&amp;'IND TECH'!D2346&amp;" "&amp;'IND TECH'!E2346&amp;" "&amp;'IND TECH'!F2346&amp;" "&amp;'IND TECH'!G2346&amp;" "&amp;'IND TECH'!H2346</f>
        <v xml:space="preserve">       </v>
      </c>
      <c r="E2348" t="e">
        <f t="shared" si="16"/>
        <v>#REF!</v>
      </c>
      <c r="F2348" t="e">
        <f>'IND TECH'!#REF!</f>
        <v>#REF!</v>
      </c>
    </row>
    <row r="2349" spans="3:6" x14ac:dyDescent="0.25">
      <c r="C2349">
        <f>'IND TECH'!L2347</f>
        <v>0</v>
      </c>
      <c r="D2349" t="str">
        <f>'IND TECH'!A2347&amp;" "&amp;'IND TECH'!B2347&amp;" "&amp;'IND TECH'!C2347&amp;" "&amp;'IND TECH'!D2347&amp;" "&amp;'IND TECH'!E2347&amp;" "&amp;'IND TECH'!F2347&amp;" "&amp;'IND TECH'!G2347&amp;" "&amp;'IND TECH'!H2347</f>
        <v xml:space="preserve">       </v>
      </c>
      <c r="E2349" t="e">
        <f t="shared" si="16"/>
        <v>#REF!</v>
      </c>
      <c r="F2349" t="e">
        <f>'IND TECH'!#REF!</f>
        <v>#REF!</v>
      </c>
    </row>
    <row r="2350" spans="3:6" x14ac:dyDescent="0.25">
      <c r="C2350">
        <f>'IND TECH'!L2348</f>
        <v>0</v>
      </c>
      <c r="D2350" t="str">
        <f>'IND TECH'!A2348&amp;" "&amp;'IND TECH'!B2348&amp;" "&amp;'IND TECH'!C2348&amp;" "&amp;'IND TECH'!D2348&amp;" "&amp;'IND TECH'!E2348&amp;" "&amp;'IND TECH'!F2348&amp;" "&amp;'IND TECH'!G2348&amp;" "&amp;'IND TECH'!H2348</f>
        <v xml:space="preserve">       </v>
      </c>
      <c r="E2350" t="e">
        <f t="shared" si="16"/>
        <v>#REF!</v>
      </c>
      <c r="F2350" t="e">
        <f>'IND TECH'!#REF!</f>
        <v>#REF!</v>
      </c>
    </row>
    <row r="2351" spans="3:6" x14ac:dyDescent="0.25">
      <c r="C2351">
        <f>'IND TECH'!L2349</f>
        <v>0</v>
      </c>
      <c r="D2351" t="str">
        <f>'IND TECH'!A2349&amp;" "&amp;'IND TECH'!B2349&amp;" "&amp;'IND TECH'!C2349&amp;" "&amp;'IND TECH'!D2349&amp;" "&amp;'IND TECH'!E2349&amp;" "&amp;'IND TECH'!F2349&amp;" "&amp;'IND TECH'!G2349&amp;" "&amp;'IND TECH'!H2349</f>
        <v xml:space="preserve">       </v>
      </c>
      <c r="E2351" t="e">
        <f t="shared" si="16"/>
        <v>#REF!</v>
      </c>
      <c r="F2351" t="e">
        <f>'IND TECH'!#REF!</f>
        <v>#REF!</v>
      </c>
    </row>
    <row r="2352" spans="3:6" x14ac:dyDescent="0.25">
      <c r="C2352">
        <f>'IND TECH'!L2350</f>
        <v>0</v>
      </c>
      <c r="D2352" t="str">
        <f>'IND TECH'!A2350&amp;" "&amp;'IND TECH'!B2350&amp;" "&amp;'IND TECH'!C2350&amp;" "&amp;'IND TECH'!D2350&amp;" "&amp;'IND TECH'!E2350&amp;" "&amp;'IND TECH'!F2350&amp;" "&amp;'IND TECH'!G2350&amp;" "&amp;'IND TECH'!H2350</f>
        <v xml:space="preserve">       </v>
      </c>
      <c r="E2352" t="e">
        <f t="shared" si="16"/>
        <v>#REF!</v>
      </c>
      <c r="F2352" t="e">
        <f>'IND TECH'!#REF!</f>
        <v>#REF!</v>
      </c>
    </row>
    <row r="2353" spans="3:6" x14ac:dyDescent="0.25">
      <c r="C2353">
        <f>'IND TECH'!L2351</f>
        <v>0</v>
      </c>
      <c r="D2353" t="str">
        <f>'IND TECH'!A2351&amp;" "&amp;'IND TECH'!B2351&amp;" "&amp;'IND TECH'!C2351&amp;" "&amp;'IND TECH'!D2351&amp;" "&amp;'IND TECH'!E2351&amp;" "&amp;'IND TECH'!F2351&amp;" "&amp;'IND TECH'!G2351&amp;" "&amp;'IND TECH'!H2351</f>
        <v xml:space="preserve">       </v>
      </c>
      <c r="E2353" t="e">
        <f t="shared" si="16"/>
        <v>#REF!</v>
      </c>
      <c r="F2353" t="e">
        <f>'IND TECH'!#REF!</f>
        <v>#REF!</v>
      </c>
    </row>
    <row r="2354" spans="3:6" x14ac:dyDescent="0.25">
      <c r="C2354">
        <f>'IND TECH'!L2352</f>
        <v>0</v>
      </c>
      <c r="D2354" t="str">
        <f>'IND TECH'!A2352&amp;" "&amp;'IND TECH'!B2352&amp;" "&amp;'IND TECH'!C2352&amp;" "&amp;'IND TECH'!D2352&amp;" "&amp;'IND TECH'!E2352&amp;" "&amp;'IND TECH'!F2352&amp;" "&amp;'IND TECH'!G2352&amp;" "&amp;'IND TECH'!H2352</f>
        <v xml:space="preserve">       </v>
      </c>
      <c r="E2354" t="e">
        <f t="shared" si="16"/>
        <v>#REF!</v>
      </c>
      <c r="F2354" t="e">
        <f>'IND TECH'!#REF!</f>
        <v>#REF!</v>
      </c>
    </row>
    <row r="2355" spans="3:6" x14ac:dyDescent="0.25">
      <c r="C2355">
        <f>'IND TECH'!L2353</f>
        <v>0</v>
      </c>
      <c r="D2355" t="str">
        <f>'IND TECH'!A2353&amp;" "&amp;'IND TECH'!B2353&amp;" "&amp;'IND TECH'!C2353&amp;" "&amp;'IND TECH'!D2353&amp;" "&amp;'IND TECH'!E2353&amp;" "&amp;'IND TECH'!F2353&amp;" "&amp;'IND TECH'!G2353&amp;" "&amp;'IND TECH'!H2353</f>
        <v xml:space="preserve">       </v>
      </c>
      <c r="E2355" t="e">
        <f t="shared" si="16"/>
        <v>#REF!</v>
      </c>
      <c r="F2355" t="e">
        <f>'IND TECH'!#REF!</f>
        <v>#REF!</v>
      </c>
    </row>
    <row r="2356" spans="3:6" x14ac:dyDescent="0.25">
      <c r="C2356">
        <f>'IND TECH'!L2354</f>
        <v>0</v>
      </c>
      <c r="D2356" t="str">
        <f>'IND TECH'!A2354&amp;" "&amp;'IND TECH'!B2354&amp;" "&amp;'IND TECH'!C2354&amp;" "&amp;'IND TECH'!D2354&amp;" "&amp;'IND TECH'!E2354&amp;" "&amp;'IND TECH'!F2354&amp;" "&amp;'IND TECH'!G2354&amp;" "&amp;'IND TECH'!H2354</f>
        <v xml:space="preserve">       </v>
      </c>
      <c r="E2356" t="e">
        <f t="shared" si="16"/>
        <v>#REF!</v>
      </c>
      <c r="F2356" t="e">
        <f>'IND TECH'!#REF!</f>
        <v>#REF!</v>
      </c>
    </row>
    <row r="2357" spans="3:6" x14ac:dyDescent="0.25">
      <c r="C2357">
        <f>'IND TECH'!L2355</f>
        <v>0</v>
      </c>
      <c r="D2357" t="str">
        <f>'IND TECH'!A2355&amp;" "&amp;'IND TECH'!B2355&amp;" "&amp;'IND TECH'!C2355&amp;" "&amp;'IND TECH'!D2355&amp;" "&amp;'IND TECH'!E2355&amp;" "&amp;'IND TECH'!F2355&amp;" "&amp;'IND TECH'!G2355&amp;" "&amp;'IND TECH'!H2355</f>
        <v xml:space="preserve">       </v>
      </c>
      <c r="E2357" t="e">
        <f t="shared" si="16"/>
        <v>#REF!</v>
      </c>
      <c r="F2357" t="e">
        <f>'IND TECH'!#REF!</f>
        <v>#REF!</v>
      </c>
    </row>
    <row r="2358" spans="3:6" x14ac:dyDescent="0.25">
      <c r="C2358">
        <f>'IND TECH'!L2356</f>
        <v>0</v>
      </c>
      <c r="D2358" t="str">
        <f>'IND TECH'!A2356&amp;" "&amp;'IND TECH'!B2356&amp;" "&amp;'IND TECH'!C2356&amp;" "&amp;'IND TECH'!D2356&amp;" "&amp;'IND TECH'!E2356&amp;" "&amp;'IND TECH'!F2356&amp;" "&amp;'IND TECH'!G2356&amp;" "&amp;'IND TECH'!H2356</f>
        <v xml:space="preserve">       </v>
      </c>
      <c r="E2358" t="e">
        <f t="shared" si="16"/>
        <v>#REF!</v>
      </c>
      <c r="F2358" t="e">
        <f>'IND TECH'!#REF!</f>
        <v>#REF!</v>
      </c>
    </row>
    <row r="2359" spans="3:6" x14ac:dyDescent="0.25">
      <c r="C2359">
        <f>'IND TECH'!L2357</f>
        <v>0</v>
      </c>
      <c r="D2359" t="str">
        <f>'IND TECH'!A2357&amp;" "&amp;'IND TECH'!B2357&amp;" "&amp;'IND TECH'!C2357&amp;" "&amp;'IND TECH'!D2357&amp;" "&amp;'IND TECH'!E2357&amp;" "&amp;'IND TECH'!F2357&amp;" "&amp;'IND TECH'!G2357&amp;" "&amp;'IND TECH'!H2357</f>
        <v xml:space="preserve">       </v>
      </c>
      <c r="E2359" t="e">
        <f t="shared" si="16"/>
        <v>#REF!</v>
      </c>
      <c r="F2359" t="e">
        <f>'IND TECH'!#REF!</f>
        <v>#REF!</v>
      </c>
    </row>
    <row r="2360" spans="3:6" x14ac:dyDescent="0.25">
      <c r="C2360">
        <f>'IND TECH'!L2358</f>
        <v>0</v>
      </c>
      <c r="D2360" t="str">
        <f>'IND TECH'!A2358&amp;" "&amp;'IND TECH'!B2358&amp;" "&amp;'IND TECH'!C2358&amp;" "&amp;'IND TECH'!D2358&amp;" "&amp;'IND TECH'!E2358&amp;" "&amp;'IND TECH'!F2358&amp;" "&amp;'IND TECH'!G2358&amp;" "&amp;'IND TECH'!H2358</f>
        <v xml:space="preserve">       </v>
      </c>
      <c r="E2360" t="e">
        <f t="shared" si="16"/>
        <v>#REF!</v>
      </c>
      <c r="F2360" t="e">
        <f>'IND TECH'!#REF!</f>
        <v>#REF!</v>
      </c>
    </row>
    <row r="2361" spans="3:6" x14ac:dyDescent="0.25">
      <c r="C2361">
        <f>'IND TECH'!L2359</f>
        <v>0</v>
      </c>
      <c r="D2361" t="str">
        <f>'IND TECH'!A2359&amp;" "&amp;'IND TECH'!B2359&amp;" "&amp;'IND TECH'!C2359&amp;" "&amp;'IND TECH'!D2359&amp;" "&amp;'IND TECH'!E2359&amp;" "&amp;'IND TECH'!F2359&amp;" "&amp;'IND TECH'!G2359&amp;" "&amp;'IND TECH'!H2359</f>
        <v xml:space="preserve">       </v>
      </c>
      <c r="E2361" t="e">
        <f t="shared" si="16"/>
        <v>#REF!</v>
      </c>
      <c r="F2361" t="e">
        <f>'IND TECH'!#REF!</f>
        <v>#REF!</v>
      </c>
    </row>
    <row r="2362" spans="3:6" x14ac:dyDescent="0.25">
      <c r="C2362">
        <f>'IND TECH'!L2360</f>
        <v>0</v>
      </c>
      <c r="D2362" t="str">
        <f>'IND TECH'!A2360&amp;" "&amp;'IND TECH'!B2360&amp;" "&amp;'IND TECH'!C2360&amp;" "&amp;'IND TECH'!D2360&amp;" "&amp;'IND TECH'!E2360&amp;" "&amp;'IND TECH'!F2360&amp;" "&amp;'IND TECH'!G2360&amp;" "&amp;'IND TECH'!H2360</f>
        <v xml:space="preserve">       </v>
      </c>
      <c r="E2362" t="e">
        <f t="shared" si="16"/>
        <v>#REF!</v>
      </c>
      <c r="F2362" t="e">
        <f>'IND TECH'!#REF!</f>
        <v>#REF!</v>
      </c>
    </row>
    <row r="2363" spans="3:6" x14ac:dyDescent="0.25">
      <c r="C2363">
        <f>'IND TECH'!L2361</f>
        <v>0</v>
      </c>
      <c r="D2363" t="str">
        <f>'IND TECH'!A2361&amp;" "&amp;'IND TECH'!B2361&amp;" "&amp;'IND TECH'!C2361&amp;" "&amp;'IND TECH'!D2361&amp;" "&amp;'IND TECH'!E2361&amp;" "&amp;'IND TECH'!F2361&amp;" "&amp;'IND TECH'!G2361&amp;" "&amp;'IND TECH'!H2361</f>
        <v xml:space="preserve">       </v>
      </c>
      <c r="E2363" t="e">
        <f t="shared" si="16"/>
        <v>#REF!</v>
      </c>
      <c r="F2363" t="e">
        <f>'IND TECH'!#REF!</f>
        <v>#REF!</v>
      </c>
    </row>
    <row r="2364" spans="3:6" x14ac:dyDescent="0.25">
      <c r="C2364">
        <f>'IND TECH'!L2362</f>
        <v>0</v>
      </c>
      <c r="D2364" t="str">
        <f>'IND TECH'!A2362&amp;" "&amp;'IND TECH'!B2362&amp;" "&amp;'IND TECH'!C2362&amp;" "&amp;'IND TECH'!D2362&amp;" "&amp;'IND TECH'!E2362&amp;" "&amp;'IND TECH'!F2362&amp;" "&amp;'IND TECH'!G2362&amp;" "&amp;'IND TECH'!H2362</f>
        <v xml:space="preserve">       </v>
      </c>
      <c r="E2364" t="e">
        <f t="shared" si="16"/>
        <v>#REF!</v>
      </c>
      <c r="F2364" t="e">
        <f>'IND TECH'!#REF!</f>
        <v>#REF!</v>
      </c>
    </row>
    <row r="2365" spans="3:6" x14ac:dyDescent="0.25">
      <c r="C2365">
        <f>'IND TECH'!L2363</f>
        <v>0</v>
      </c>
      <c r="D2365" t="str">
        <f>'IND TECH'!A2363&amp;" "&amp;'IND TECH'!B2363&amp;" "&amp;'IND TECH'!C2363&amp;" "&amp;'IND TECH'!D2363&amp;" "&amp;'IND TECH'!E2363&amp;" "&amp;'IND TECH'!F2363&amp;" "&amp;'IND TECH'!G2363&amp;" "&amp;'IND TECH'!H2363</f>
        <v xml:space="preserve">       </v>
      </c>
      <c r="E2365" t="e">
        <f t="shared" si="16"/>
        <v>#REF!</v>
      </c>
      <c r="F2365" t="e">
        <f>'IND TECH'!#REF!</f>
        <v>#REF!</v>
      </c>
    </row>
    <row r="2366" spans="3:6" x14ac:dyDescent="0.25">
      <c r="C2366">
        <f>'IND TECH'!L2364</f>
        <v>0</v>
      </c>
      <c r="D2366" t="str">
        <f>'IND TECH'!A2364&amp;" "&amp;'IND TECH'!B2364&amp;" "&amp;'IND TECH'!C2364&amp;" "&amp;'IND TECH'!D2364&amp;" "&amp;'IND TECH'!E2364&amp;" "&amp;'IND TECH'!F2364&amp;" "&amp;'IND TECH'!G2364&amp;" "&amp;'IND TECH'!H2364</f>
        <v xml:space="preserve">       </v>
      </c>
      <c r="E2366" t="e">
        <f t="shared" si="16"/>
        <v>#REF!</v>
      </c>
      <c r="F2366" t="e">
        <f>'IND TECH'!#REF!</f>
        <v>#REF!</v>
      </c>
    </row>
    <row r="2367" spans="3:6" x14ac:dyDescent="0.25">
      <c r="C2367">
        <f>'IND TECH'!L2365</f>
        <v>0</v>
      </c>
      <c r="D2367" t="str">
        <f>'IND TECH'!A2365&amp;" "&amp;'IND TECH'!B2365&amp;" "&amp;'IND TECH'!C2365&amp;" "&amp;'IND TECH'!D2365&amp;" "&amp;'IND TECH'!E2365&amp;" "&amp;'IND TECH'!F2365&amp;" "&amp;'IND TECH'!G2365&amp;" "&amp;'IND TECH'!H2365</f>
        <v xml:space="preserve">       </v>
      </c>
      <c r="E2367" t="e">
        <f t="shared" si="16"/>
        <v>#REF!</v>
      </c>
      <c r="F2367" t="e">
        <f>'IND TECH'!#REF!</f>
        <v>#REF!</v>
      </c>
    </row>
    <row r="2368" spans="3:6" x14ac:dyDescent="0.25">
      <c r="C2368">
        <f>'IND TECH'!L2366</f>
        <v>0</v>
      </c>
      <c r="D2368" t="str">
        <f>'IND TECH'!A2366&amp;" "&amp;'IND TECH'!B2366&amp;" "&amp;'IND TECH'!C2366&amp;" "&amp;'IND TECH'!D2366&amp;" "&amp;'IND TECH'!E2366&amp;" "&amp;'IND TECH'!F2366&amp;" "&amp;'IND TECH'!G2366&amp;" "&amp;'IND TECH'!H2366</f>
        <v xml:space="preserve">       </v>
      </c>
      <c r="E2368" t="e">
        <f t="shared" si="16"/>
        <v>#REF!</v>
      </c>
      <c r="F2368" t="e">
        <f>'IND TECH'!#REF!</f>
        <v>#REF!</v>
      </c>
    </row>
    <row r="2369" spans="3:6" x14ac:dyDescent="0.25">
      <c r="C2369">
        <f>'IND TECH'!L2367</f>
        <v>0</v>
      </c>
      <c r="D2369" t="str">
        <f>'IND TECH'!A2367&amp;" "&amp;'IND TECH'!B2367&amp;" "&amp;'IND TECH'!C2367&amp;" "&amp;'IND TECH'!D2367&amp;" "&amp;'IND TECH'!E2367&amp;" "&amp;'IND TECH'!F2367&amp;" "&amp;'IND TECH'!G2367&amp;" "&amp;'IND TECH'!H2367</f>
        <v xml:space="preserve">       </v>
      </c>
      <c r="E2369" t="e">
        <f t="shared" si="16"/>
        <v>#REF!</v>
      </c>
      <c r="F2369" t="e">
        <f>'IND TECH'!#REF!</f>
        <v>#REF!</v>
      </c>
    </row>
    <row r="2370" spans="3:6" x14ac:dyDescent="0.25">
      <c r="C2370">
        <f>'IND TECH'!L2368</f>
        <v>0</v>
      </c>
      <c r="D2370" t="str">
        <f>'IND TECH'!A2368&amp;" "&amp;'IND TECH'!B2368&amp;" "&amp;'IND TECH'!C2368&amp;" "&amp;'IND TECH'!D2368&amp;" "&amp;'IND TECH'!E2368&amp;" "&amp;'IND TECH'!F2368&amp;" "&amp;'IND TECH'!G2368&amp;" "&amp;'IND TECH'!H2368</f>
        <v xml:space="preserve">       </v>
      </c>
      <c r="E2370" t="e">
        <f t="shared" si="16"/>
        <v>#REF!</v>
      </c>
      <c r="F2370" t="e">
        <f>'IND TECH'!#REF!</f>
        <v>#REF!</v>
      </c>
    </row>
    <row r="2371" spans="3:6" x14ac:dyDescent="0.25">
      <c r="C2371">
        <f>'IND TECH'!L2369</f>
        <v>0</v>
      </c>
      <c r="D2371" t="str">
        <f>'IND TECH'!A2369&amp;" "&amp;'IND TECH'!B2369&amp;" "&amp;'IND TECH'!C2369&amp;" "&amp;'IND TECH'!D2369&amp;" "&amp;'IND TECH'!E2369&amp;" "&amp;'IND TECH'!F2369&amp;" "&amp;'IND TECH'!G2369&amp;" "&amp;'IND TECH'!H2369</f>
        <v xml:space="preserve">       </v>
      </c>
      <c r="E2371" t="e">
        <f t="shared" si="16"/>
        <v>#REF!</v>
      </c>
      <c r="F2371" t="e">
        <f>'IND TECH'!#REF!</f>
        <v>#REF!</v>
      </c>
    </row>
    <row r="2372" spans="3:6" x14ac:dyDescent="0.25">
      <c r="C2372">
        <f>'IND TECH'!L2370</f>
        <v>0</v>
      </c>
      <c r="D2372" t="str">
        <f>'IND TECH'!A2370&amp;" "&amp;'IND TECH'!B2370&amp;" "&amp;'IND TECH'!C2370&amp;" "&amp;'IND TECH'!D2370&amp;" "&amp;'IND TECH'!E2370&amp;" "&amp;'IND TECH'!F2370&amp;" "&amp;'IND TECH'!G2370&amp;" "&amp;'IND TECH'!H2370</f>
        <v xml:space="preserve">       </v>
      </c>
      <c r="E2372" t="e">
        <f t="shared" si="16"/>
        <v>#REF!</v>
      </c>
      <c r="F2372" t="e">
        <f>'IND TECH'!#REF!</f>
        <v>#REF!</v>
      </c>
    </row>
    <row r="2373" spans="3:6" x14ac:dyDescent="0.25">
      <c r="C2373">
        <f>'IND TECH'!L2371</f>
        <v>0</v>
      </c>
      <c r="D2373" t="str">
        <f>'IND TECH'!A2371&amp;" "&amp;'IND TECH'!B2371&amp;" "&amp;'IND TECH'!C2371&amp;" "&amp;'IND TECH'!D2371&amp;" "&amp;'IND TECH'!E2371&amp;" "&amp;'IND TECH'!F2371&amp;" "&amp;'IND TECH'!G2371&amp;" "&amp;'IND TECH'!H2371</f>
        <v xml:space="preserve">       </v>
      </c>
      <c r="E2373" t="e">
        <f t="shared" si="16"/>
        <v>#REF!</v>
      </c>
      <c r="F2373" t="e">
        <f>'IND TECH'!#REF!</f>
        <v>#REF!</v>
      </c>
    </row>
    <row r="2374" spans="3:6" x14ac:dyDescent="0.25">
      <c r="C2374">
        <f>'IND TECH'!L2372</f>
        <v>0</v>
      </c>
      <c r="D2374" t="str">
        <f>'IND TECH'!A2372&amp;" "&amp;'IND TECH'!B2372&amp;" "&amp;'IND TECH'!C2372&amp;" "&amp;'IND TECH'!D2372&amp;" "&amp;'IND TECH'!E2372&amp;" "&amp;'IND TECH'!F2372&amp;" "&amp;'IND TECH'!G2372&amp;" "&amp;'IND TECH'!H2372</f>
        <v xml:space="preserve">       </v>
      </c>
      <c r="E2374" t="e">
        <f t="shared" si="16"/>
        <v>#REF!</v>
      </c>
      <c r="F2374" t="e">
        <f>'IND TECH'!#REF!</f>
        <v>#REF!</v>
      </c>
    </row>
    <row r="2375" spans="3:6" x14ac:dyDescent="0.25">
      <c r="C2375">
        <f>'IND TECH'!L2373</f>
        <v>0</v>
      </c>
      <c r="D2375" t="str">
        <f>'IND TECH'!A2373&amp;" "&amp;'IND TECH'!B2373&amp;" "&amp;'IND TECH'!C2373&amp;" "&amp;'IND TECH'!D2373&amp;" "&amp;'IND TECH'!E2373&amp;" "&amp;'IND TECH'!F2373&amp;" "&amp;'IND TECH'!G2373&amp;" "&amp;'IND TECH'!H2373</f>
        <v xml:space="preserve">       </v>
      </c>
      <c r="E2375" t="e">
        <f t="shared" si="16"/>
        <v>#REF!</v>
      </c>
      <c r="F2375" t="e">
        <f>'IND TECH'!#REF!</f>
        <v>#REF!</v>
      </c>
    </row>
    <row r="2376" spans="3:6" x14ac:dyDescent="0.25">
      <c r="C2376">
        <f>'IND TECH'!L2374</f>
        <v>0</v>
      </c>
      <c r="D2376" t="str">
        <f>'IND TECH'!A2374&amp;" "&amp;'IND TECH'!B2374&amp;" "&amp;'IND TECH'!C2374&amp;" "&amp;'IND TECH'!D2374&amp;" "&amp;'IND TECH'!E2374&amp;" "&amp;'IND TECH'!F2374&amp;" "&amp;'IND TECH'!G2374&amp;" "&amp;'IND TECH'!H2374</f>
        <v xml:space="preserve">       </v>
      </c>
      <c r="E2376" t="e">
        <f t="shared" si="16"/>
        <v>#REF!</v>
      </c>
      <c r="F2376" t="e">
        <f>'IND TECH'!#REF!</f>
        <v>#REF!</v>
      </c>
    </row>
    <row r="2377" spans="3:6" x14ac:dyDescent="0.25">
      <c r="C2377">
        <f>'IND TECH'!L2375</f>
        <v>0</v>
      </c>
      <c r="D2377" t="str">
        <f>'IND TECH'!A2375&amp;" "&amp;'IND TECH'!B2375&amp;" "&amp;'IND TECH'!C2375&amp;" "&amp;'IND TECH'!D2375&amp;" "&amp;'IND TECH'!E2375&amp;" "&amp;'IND TECH'!F2375&amp;" "&amp;'IND TECH'!G2375&amp;" "&amp;'IND TECH'!H2375</f>
        <v xml:space="preserve">       </v>
      </c>
      <c r="E2377" t="e">
        <f t="shared" si="16"/>
        <v>#REF!</v>
      </c>
      <c r="F2377" t="e">
        <f>'IND TECH'!#REF!</f>
        <v>#REF!</v>
      </c>
    </row>
    <row r="2378" spans="3:6" x14ac:dyDescent="0.25">
      <c r="C2378">
        <f>'IND TECH'!L2376</f>
        <v>0</v>
      </c>
      <c r="D2378" t="str">
        <f>'IND TECH'!A2376&amp;" "&amp;'IND TECH'!B2376&amp;" "&amp;'IND TECH'!C2376&amp;" "&amp;'IND TECH'!D2376&amp;" "&amp;'IND TECH'!E2376&amp;" "&amp;'IND TECH'!F2376&amp;" "&amp;'IND TECH'!G2376&amp;" "&amp;'IND TECH'!H2376</f>
        <v xml:space="preserve">       </v>
      </c>
      <c r="E2378" t="e">
        <f t="shared" si="16"/>
        <v>#REF!</v>
      </c>
      <c r="F2378" t="e">
        <f>'IND TECH'!#REF!</f>
        <v>#REF!</v>
      </c>
    </row>
    <row r="2379" spans="3:6" x14ac:dyDescent="0.25">
      <c r="C2379">
        <f>'IND TECH'!L2377</f>
        <v>0</v>
      </c>
      <c r="D2379" t="str">
        <f>'IND TECH'!A2377&amp;" "&amp;'IND TECH'!B2377&amp;" "&amp;'IND TECH'!C2377&amp;" "&amp;'IND TECH'!D2377&amp;" "&amp;'IND TECH'!E2377&amp;" "&amp;'IND TECH'!F2377&amp;" "&amp;'IND TECH'!G2377&amp;" "&amp;'IND TECH'!H2377</f>
        <v xml:space="preserve">       </v>
      </c>
      <c r="E2379" t="e">
        <f t="shared" si="16"/>
        <v>#REF!</v>
      </c>
      <c r="F2379" t="e">
        <f>'IND TECH'!#REF!</f>
        <v>#REF!</v>
      </c>
    </row>
    <row r="2380" spans="3:6" x14ac:dyDescent="0.25">
      <c r="C2380">
        <f>'IND TECH'!L2378</f>
        <v>0</v>
      </c>
      <c r="D2380" t="str">
        <f>'IND TECH'!A2378&amp;" "&amp;'IND TECH'!B2378&amp;" "&amp;'IND TECH'!C2378&amp;" "&amp;'IND TECH'!D2378&amp;" "&amp;'IND TECH'!E2378&amp;" "&amp;'IND TECH'!F2378&amp;" "&amp;'IND TECH'!G2378&amp;" "&amp;'IND TECH'!H2378</f>
        <v xml:space="preserve">       </v>
      </c>
      <c r="E2380" t="e">
        <f t="shared" si="16"/>
        <v>#REF!</v>
      </c>
      <c r="F2380" t="e">
        <f>'IND TECH'!#REF!</f>
        <v>#REF!</v>
      </c>
    </row>
    <row r="2381" spans="3:6" x14ac:dyDescent="0.25">
      <c r="C2381">
        <f>'IND TECH'!L2379</f>
        <v>0</v>
      </c>
      <c r="D2381" t="str">
        <f>'IND TECH'!A2379&amp;" "&amp;'IND TECH'!B2379&amp;" "&amp;'IND TECH'!C2379&amp;" "&amp;'IND TECH'!D2379&amp;" "&amp;'IND TECH'!E2379&amp;" "&amp;'IND TECH'!F2379&amp;" "&amp;'IND TECH'!G2379&amp;" "&amp;'IND TECH'!H2379</f>
        <v xml:space="preserve">       </v>
      </c>
      <c r="E2381" t="e">
        <f t="shared" si="16"/>
        <v>#REF!</v>
      </c>
      <c r="F2381" t="e">
        <f>'IND TECH'!#REF!</f>
        <v>#REF!</v>
      </c>
    </row>
    <row r="2382" spans="3:6" x14ac:dyDescent="0.25">
      <c r="C2382">
        <f>'IND TECH'!L2380</f>
        <v>0</v>
      </c>
      <c r="D2382" t="str">
        <f>'IND TECH'!A2380&amp;" "&amp;'IND TECH'!B2380&amp;" "&amp;'IND TECH'!C2380&amp;" "&amp;'IND TECH'!D2380&amp;" "&amp;'IND TECH'!E2380&amp;" "&amp;'IND TECH'!F2380&amp;" "&amp;'IND TECH'!G2380&amp;" "&amp;'IND TECH'!H2380</f>
        <v xml:space="preserve">       </v>
      </c>
      <c r="E2382" t="e">
        <f t="shared" si="16"/>
        <v>#REF!</v>
      </c>
      <c r="F2382" t="e">
        <f>'IND TECH'!#REF!</f>
        <v>#REF!</v>
      </c>
    </row>
    <row r="2383" spans="3:6" x14ac:dyDescent="0.25">
      <c r="C2383">
        <f>'IND TECH'!L2381</f>
        <v>0</v>
      </c>
      <c r="D2383" t="str">
        <f>'IND TECH'!A2381&amp;" "&amp;'IND TECH'!B2381&amp;" "&amp;'IND TECH'!C2381&amp;" "&amp;'IND TECH'!D2381&amp;" "&amp;'IND TECH'!E2381&amp;" "&amp;'IND TECH'!F2381&amp;" "&amp;'IND TECH'!G2381&amp;" "&amp;'IND TECH'!H2381</f>
        <v xml:space="preserve">       </v>
      </c>
      <c r="E2383" t="e">
        <f t="shared" si="16"/>
        <v>#REF!</v>
      </c>
      <c r="F2383" t="e">
        <f>'IND TECH'!#REF!</f>
        <v>#REF!</v>
      </c>
    </row>
    <row r="2384" spans="3:6" x14ac:dyDescent="0.25">
      <c r="C2384">
        <f>'IND TECH'!L2382</f>
        <v>0</v>
      </c>
      <c r="D2384" t="str">
        <f>'IND TECH'!A2382&amp;" "&amp;'IND TECH'!B2382&amp;" "&amp;'IND TECH'!C2382&amp;" "&amp;'IND TECH'!D2382&amp;" "&amp;'IND TECH'!E2382&amp;" "&amp;'IND TECH'!F2382&amp;" "&amp;'IND TECH'!G2382&amp;" "&amp;'IND TECH'!H2382</f>
        <v xml:space="preserve">       </v>
      </c>
      <c r="E2384" t="e">
        <f t="shared" si="16"/>
        <v>#REF!</v>
      </c>
      <c r="F2384" t="e">
        <f>'IND TECH'!#REF!</f>
        <v>#REF!</v>
      </c>
    </row>
    <row r="2385" spans="3:6" x14ac:dyDescent="0.25">
      <c r="C2385">
        <f>'IND TECH'!L2383</f>
        <v>0</v>
      </c>
      <c r="D2385" t="str">
        <f>'IND TECH'!A2383&amp;" "&amp;'IND TECH'!B2383&amp;" "&amp;'IND TECH'!C2383&amp;" "&amp;'IND TECH'!D2383&amp;" "&amp;'IND TECH'!E2383&amp;" "&amp;'IND TECH'!F2383&amp;" "&amp;'IND TECH'!G2383&amp;" "&amp;'IND TECH'!H2383</f>
        <v xml:space="preserve">       </v>
      </c>
      <c r="E2385" t="e">
        <f t="shared" si="16"/>
        <v>#REF!</v>
      </c>
      <c r="F2385" t="e">
        <f>'IND TECH'!#REF!</f>
        <v>#REF!</v>
      </c>
    </row>
    <row r="2386" spans="3:6" x14ac:dyDescent="0.25">
      <c r="C2386">
        <f>'IND TECH'!L2384</f>
        <v>0</v>
      </c>
      <c r="D2386" t="str">
        <f>'IND TECH'!A2384&amp;" "&amp;'IND TECH'!B2384&amp;" "&amp;'IND TECH'!C2384&amp;" "&amp;'IND TECH'!D2384&amp;" "&amp;'IND TECH'!E2384&amp;" "&amp;'IND TECH'!F2384&amp;" "&amp;'IND TECH'!G2384&amp;" "&amp;'IND TECH'!H2384</f>
        <v xml:space="preserve">       </v>
      </c>
      <c r="E2386" t="e">
        <f t="shared" si="16"/>
        <v>#REF!</v>
      </c>
      <c r="F2386" t="e">
        <f>'IND TECH'!#REF!</f>
        <v>#REF!</v>
      </c>
    </row>
    <row r="2387" spans="3:6" x14ac:dyDescent="0.25">
      <c r="C2387">
        <f>'IND TECH'!L2385</f>
        <v>0</v>
      </c>
      <c r="D2387" t="str">
        <f>'IND TECH'!A2385&amp;" "&amp;'IND TECH'!B2385&amp;" "&amp;'IND TECH'!C2385&amp;" "&amp;'IND TECH'!D2385&amp;" "&amp;'IND TECH'!E2385&amp;" "&amp;'IND TECH'!F2385&amp;" "&amp;'IND TECH'!G2385&amp;" "&amp;'IND TECH'!H2385</f>
        <v xml:space="preserve">       </v>
      </c>
      <c r="E2387" t="e">
        <f t="shared" ref="E2387:E2450" si="17">IF(F2387="Mlma","Mlm","TJ")</f>
        <v>#REF!</v>
      </c>
      <c r="F2387" t="e">
        <f>'IND TECH'!#REF!</f>
        <v>#REF!</v>
      </c>
    </row>
    <row r="2388" spans="3:6" x14ac:dyDescent="0.25">
      <c r="C2388">
        <f>'IND TECH'!L2386</f>
        <v>0</v>
      </c>
      <c r="D2388" t="str">
        <f>'IND TECH'!A2386&amp;" "&amp;'IND TECH'!B2386&amp;" "&amp;'IND TECH'!C2386&amp;" "&amp;'IND TECH'!D2386&amp;" "&amp;'IND TECH'!E2386&amp;" "&amp;'IND TECH'!F2386&amp;" "&amp;'IND TECH'!G2386&amp;" "&amp;'IND TECH'!H2386</f>
        <v xml:space="preserve">       </v>
      </c>
      <c r="E2388" t="e">
        <f t="shared" si="17"/>
        <v>#REF!</v>
      </c>
      <c r="F2388" t="e">
        <f>'IND TECH'!#REF!</f>
        <v>#REF!</v>
      </c>
    </row>
    <row r="2389" spans="3:6" x14ac:dyDescent="0.25">
      <c r="C2389">
        <f>'IND TECH'!L2387</f>
        <v>0</v>
      </c>
      <c r="D2389" t="str">
        <f>'IND TECH'!A2387&amp;" "&amp;'IND TECH'!B2387&amp;" "&amp;'IND TECH'!C2387&amp;" "&amp;'IND TECH'!D2387&amp;" "&amp;'IND TECH'!E2387&amp;" "&amp;'IND TECH'!F2387&amp;" "&amp;'IND TECH'!G2387&amp;" "&amp;'IND TECH'!H2387</f>
        <v xml:space="preserve">       </v>
      </c>
      <c r="E2389" t="e">
        <f t="shared" si="17"/>
        <v>#REF!</v>
      </c>
      <c r="F2389" t="e">
        <f>'IND TECH'!#REF!</f>
        <v>#REF!</v>
      </c>
    </row>
    <row r="2390" spans="3:6" x14ac:dyDescent="0.25">
      <c r="C2390">
        <f>'IND TECH'!L2388</f>
        <v>0</v>
      </c>
      <c r="D2390" t="str">
        <f>'IND TECH'!A2388&amp;" "&amp;'IND TECH'!B2388&amp;" "&amp;'IND TECH'!C2388&amp;" "&amp;'IND TECH'!D2388&amp;" "&amp;'IND TECH'!E2388&amp;" "&amp;'IND TECH'!F2388&amp;" "&amp;'IND TECH'!G2388&amp;" "&amp;'IND TECH'!H2388</f>
        <v xml:space="preserve">       </v>
      </c>
      <c r="E2390" t="e">
        <f t="shared" si="17"/>
        <v>#REF!</v>
      </c>
      <c r="F2390" t="e">
        <f>'IND TECH'!#REF!</f>
        <v>#REF!</v>
      </c>
    </row>
    <row r="2391" spans="3:6" x14ac:dyDescent="0.25">
      <c r="C2391">
        <f>'IND TECH'!L2389</f>
        <v>0</v>
      </c>
      <c r="D2391" t="str">
        <f>'IND TECH'!A2389&amp;" "&amp;'IND TECH'!B2389&amp;" "&amp;'IND TECH'!C2389&amp;" "&amp;'IND TECH'!D2389&amp;" "&amp;'IND TECH'!E2389&amp;" "&amp;'IND TECH'!F2389&amp;" "&amp;'IND TECH'!G2389&amp;" "&amp;'IND TECH'!H2389</f>
        <v xml:space="preserve">       </v>
      </c>
      <c r="E2391" t="e">
        <f t="shared" si="17"/>
        <v>#REF!</v>
      </c>
      <c r="F2391" t="e">
        <f>'IND TECH'!#REF!</f>
        <v>#REF!</v>
      </c>
    </row>
    <row r="2392" spans="3:6" x14ac:dyDescent="0.25">
      <c r="C2392">
        <f>'IND TECH'!L2390</f>
        <v>0</v>
      </c>
      <c r="D2392" t="str">
        <f>'IND TECH'!A2390&amp;" "&amp;'IND TECH'!B2390&amp;" "&amp;'IND TECH'!C2390&amp;" "&amp;'IND TECH'!D2390&amp;" "&amp;'IND TECH'!E2390&amp;" "&amp;'IND TECH'!F2390&amp;" "&amp;'IND TECH'!G2390&amp;" "&amp;'IND TECH'!H2390</f>
        <v xml:space="preserve">       </v>
      </c>
      <c r="E2392" t="e">
        <f t="shared" si="17"/>
        <v>#REF!</v>
      </c>
      <c r="F2392" t="e">
        <f>'IND TECH'!#REF!</f>
        <v>#REF!</v>
      </c>
    </row>
    <row r="2393" spans="3:6" x14ac:dyDescent="0.25">
      <c r="C2393">
        <f>'IND TECH'!L2391</f>
        <v>0</v>
      </c>
      <c r="D2393" t="str">
        <f>'IND TECH'!A2391&amp;" "&amp;'IND TECH'!B2391&amp;" "&amp;'IND TECH'!C2391&amp;" "&amp;'IND TECH'!D2391&amp;" "&amp;'IND TECH'!E2391&amp;" "&amp;'IND TECH'!F2391&amp;" "&amp;'IND TECH'!G2391&amp;" "&amp;'IND TECH'!H2391</f>
        <v xml:space="preserve">       </v>
      </c>
      <c r="E2393" t="e">
        <f t="shared" si="17"/>
        <v>#REF!</v>
      </c>
      <c r="F2393" t="e">
        <f>'IND TECH'!#REF!</f>
        <v>#REF!</v>
      </c>
    </row>
    <row r="2394" spans="3:6" x14ac:dyDescent="0.25">
      <c r="C2394">
        <f>'IND TECH'!L2392</f>
        <v>0</v>
      </c>
      <c r="D2394" t="str">
        <f>'IND TECH'!A2392&amp;" "&amp;'IND TECH'!B2392&amp;" "&amp;'IND TECH'!C2392&amp;" "&amp;'IND TECH'!D2392&amp;" "&amp;'IND TECH'!E2392&amp;" "&amp;'IND TECH'!F2392&amp;" "&amp;'IND TECH'!G2392&amp;" "&amp;'IND TECH'!H2392</f>
        <v xml:space="preserve">       </v>
      </c>
      <c r="E2394" t="e">
        <f t="shared" si="17"/>
        <v>#REF!</v>
      </c>
      <c r="F2394" t="e">
        <f>'IND TECH'!#REF!</f>
        <v>#REF!</v>
      </c>
    </row>
    <row r="2395" spans="3:6" x14ac:dyDescent="0.25">
      <c r="C2395">
        <f>'IND TECH'!L2393</f>
        <v>0</v>
      </c>
      <c r="D2395" t="str">
        <f>'IND TECH'!A2393&amp;" "&amp;'IND TECH'!B2393&amp;" "&amp;'IND TECH'!C2393&amp;" "&amp;'IND TECH'!D2393&amp;" "&amp;'IND TECH'!E2393&amp;" "&amp;'IND TECH'!F2393&amp;" "&amp;'IND TECH'!G2393&amp;" "&amp;'IND TECH'!H2393</f>
        <v xml:space="preserve">       </v>
      </c>
      <c r="E2395" t="e">
        <f t="shared" si="17"/>
        <v>#REF!</v>
      </c>
      <c r="F2395" t="e">
        <f>'IND TECH'!#REF!</f>
        <v>#REF!</v>
      </c>
    </row>
    <row r="2396" spans="3:6" x14ac:dyDescent="0.25">
      <c r="C2396">
        <f>'IND TECH'!L2394</f>
        <v>0</v>
      </c>
      <c r="D2396" t="str">
        <f>'IND TECH'!A2394&amp;" "&amp;'IND TECH'!B2394&amp;" "&amp;'IND TECH'!C2394&amp;" "&amp;'IND TECH'!D2394&amp;" "&amp;'IND TECH'!E2394&amp;" "&amp;'IND TECH'!F2394&amp;" "&amp;'IND TECH'!G2394&amp;" "&amp;'IND TECH'!H2394</f>
        <v xml:space="preserve">       </v>
      </c>
      <c r="E2396" t="e">
        <f t="shared" si="17"/>
        <v>#REF!</v>
      </c>
      <c r="F2396" t="e">
        <f>'IND TECH'!#REF!</f>
        <v>#REF!</v>
      </c>
    </row>
    <row r="2397" spans="3:6" x14ac:dyDescent="0.25">
      <c r="C2397">
        <f>'IND TECH'!L2395</f>
        <v>0</v>
      </c>
      <c r="D2397" t="str">
        <f>'IND TECH'!A2395&amp;" "&amp;'IND TECH'!B2395&amp;" "&amp;'IND TECH'!C2395&amp;" "&amp;'IND TECH'!D2395&amp;" "&amp;'IND TECH'!E2395&amp;" "&amp;'IND TECH'!F2395&amp;" "&amp;'IND TECH'!G2395&amp;" "&amp;'IND TECH'!H2395</f>
        <v xml:space="preserve">       </v>
      </c>
      <c r="E2397" t="e">
        <f t="shared" si="17"/>
        <v>#REF!</v>
      </c>
      <c r="F2397" t="e">
        <f>'IND TECH'!#REF!</f>
        <v>#REF!</v>
      </c>
    </row>
    <row r="2398" spans="3:6" x14ac:dyDescent="0.25">
      <c r="C2398">
        <f>'IND TECH'!L2396</f>
        <v>0</v>
      </c>
      <c r="D2398" t="str">
        <f>'IND TECH'!A2396&amp;" "&amp;'IND TECH'!B2396&amp;" "&amp;'IND TECH'!C2396&amp;" "&amp;'IND TECH'!D2396&amp;" "&amp;'IND TECH'!E2396&amp;" "&amp;'IND TECH'!F2396&amp;" "&amp;'IND TECH'!G2396&amp;" "&amp;'IND TECH'!H2396</f>
        <v xml:space="preserve">       </v>
      </c>
      <c r="E2398" t="e">
        <f t="shared" si="17"/>
        <v>#REF!</v>
      </c>
      <c r="F2398" t="e">
        <f>'IND TECH'!#REF!</f>
        <v>#REF!</v>
      </c>
    </row>
    <row r="2399" spans="3:6" x14ac:dyDescent="0.25">
      <c r="C2399">
        <f>'IND TECH'!L2397</f>
        <v>0</v>
      </c>
      <c r="D2399" t="str">
        <f>'IND TECH'!A2397&amp;" "&amp;'IND TECH'!B2397&amp;" "&amp;'IND TECH'!C2397&amp;" "&amp;'IND TECH'!D2397&amp;" "&amp;'IND TECH'!E2397&amp;" "&amp;'IND TECH'!F2397&amp;" "&amp;'IND TECH'!G2397&amp;" "&amp;'IND TECH'!H2397</f>
        <v xml:space="preserve">       </v>
      </c>
      <c r="E2399" t="e">
        <f t="shared" si="17"/>
        <v>#REF!</v>
      </c>
      <c r="F2399" t="e">
        <f>'IND TECH'!#REF!</f>
        <v>#REF!</v>
      </c>
    </row>
    <row r="2400" spans="3:6" x14ac:dyDescent="0.25">
      <c r="C2400">
        <f>'IND TECH'!L2398</f>
        <v>0</v>
      </c>
      <c r="D2400" t="str">
        <f>'IND TECH'!A2398&amp;" "&amp;'IND TECH'!B2398&amp;" "&amp;'IND TECH'!C2398&amp;" "&amp;'IND TECH'!D2398&amp;" "&amp;'IND TECH'!E2398&amp;" "&amp;'IND TECH'!F2398&amp;" "&amp;'IND TECH'!G2398&amp;" "&amp;'IND TECH'!H2398</f>
        <v xml:space="preserve">       </v>
      </c>
      <c r="E2400" t="e">
        <f t="shared" si="17"/>
        <v>#REF!</v>
      </c>
      <c r="F2400" t="e">
        <f>'IND TECH'!#REF!</f>
        <v>#REF!</v>
      </c>
    </row>
    <row r="2401" spans="3:6" x14ac:dyDescent="0.25">
      <c r="C2401">
        <f>'IND TECH'!L2399</f>
        <v>0</v>
      </c>
      <c r="D2401" t="str">
        <f>'IND TECH'!A2399&amp;" "&amp;'IND TECH'!B2399&amp;" "&amp;'IND TECH'!C2399&amp;" "&amp;'IND TECH'!D2399&amp;" "&amp;'IND TECH'!E2399&amp;" "&amp;'IND TECH'!F2399&amp;" "&amp;'IND TECH'!G2399&amp;" "&amp;'IND TECH'!H2399</f>
        <v xml:space="preserve">       </v>
      </c>
      <c r="E2401" t="e">
        <f t="shared" si="17"/>
        <v>#REF!</v>
      </c>
      <c r="F2401" t="e">
        <f>'IND TECH'!#REF!</f>
        <v>#REF!</v>
      </c>
    </row>
    <row r="2402" spans="3:6" x14ac:dyDescent="0.25">
      <c r="C2402">
        <f>'IND TECH'!L2400</f>
        <v>0</v>
      </c>
      <c r="D2402" t="str">
        <f>'IND TECH'!A2400&amp;" "&amp;'IND TECH'!B2400&amp;" "&amp;'IND TECH'!C2400&amp;" "&amp;'IND TECH'!D2400&amp;" "&amp;'IND TECH'!E2400&amp;" "&amp;'IND TECH'!F2400&amp;" "&amp;'IND TECH'!G2400&amp;" "&amp;'IND TECH'!H2400</f>
        <v xml:space="preserve">       </v>
      </c>
      <c r="E2402" t="e">
        <f t="shared" si="17"/>
        <v>#REF!</v>
      </c>
      <c r="F2402" t="e">
        <f>'IND TECH'!#REF!</f>
        <v>#REF!</v>
      </c>
    </row>
    <row r="2403" spans="3:6" x14ac:dyDescent="0.25">
      <c r="C2403">
        <f>'IND TECH'!L2401</f>
        <v>0</v>
      </c>
      <c r="D2403" t="str">
        <f>'IND TECH'!A2401&amp;" "&amp;'IND TECH'!B2401&amp;" "&amp;'IND TECH'!C2401&amp;" "&amp;'IND TECH'!D2401&amp;" "&amp;'IND TECH'!E2401&amp;" "&amp;'IND TECH'!F2401&amp;" "&amp;'IND TECH'!G2401&amp;" "&amp;'IND TECH'!H2401</f>
        <v xml:space="preserve">       </v>
      </c>
      <c r="E2403" t="e">
        <f t="shared" si="17"/>
        <v>#REF!</v>
      </c>
      <c r="F2403" t="e">
        <f>'IND TECH'!#REF!</f>
        <v>#REF!</v>
      </c>
    </row>
    <row r="2404" spans="3:6" x14ac:dyDescent="0.25">
      <c r="C2404">
        <f>'IND TECH'!L2402</f>
        <v>0</v>
      </c>
      <c r="D2404" t="str">
        <f>'IND TECH'!A2402&amp;" "&amp;'IND TECH'!B2402&amp;" "&amp;'IND TECH'!C2402&amp;" "&amp;'IND TECH'!D2402&amp;" "&amp;'IND TECH'!E2402&amp;" "&amp;'IND TECH'!F2402&amp;" "&amp;'IND TECH'!G2402&amp;" "&amp;'IND TECH'!H2402</f>
        <v xml:space="preserve">       </v>
      </c>
      <c r="E2404" t="e">
        <f t="shared" si="17"/>
        <v>#REF!</v>
      </c>
      <c r="F2404" t="e">
        <f>'IND TECH'!#REF!</f>
        <v>#REF!</v>
      </c>
    </row>
    <row r="2405" spans="3:6" x14ac:dyDescent="0.25">
      <c r="C2405">
        <f>'IND TECH'!L2403</f>
        <v>0</v>
      </c>
      <c r="D2405" t="str">
        <f>'IND TECH'!A2403&amp;" "&amp;'IND TECH'!B2403&amp;" "&amp;'IND TECH'!C2403&amp;" "&amp;'IND TECH'!D2403&amp;" "&amp;'IND TECH'!E2403&amp;" "&amp;'IND TECH'!F2403&amp;" "&amp;'IND TECH'!G2403&amp;" "&amp;'IND TECH'!H2403</f>
        <v xml:space="preserve">       </v>
      </c>
      <c r="E2405" t="e">
        <f t="shared" si="17"/>
        <v>#REF!</v>
      </c>
      <c r="F2405" t="e">
        <f>'IND TECH'!#REF!</f>
        <v>#REF!</v>
      </c>
    </row>
    <row r="2406" spans="3:6" x14ac:dyDescent="0.25">
      <c r="C2406">
        <f>'IND TECH'!L2404</f>
        <v>0</v>
      </c>
      <c r="D2406" t="str">
        <f>'IND TECH'!A2404&amp;" "&amp;'IND TECH'!B2404&amp;" "&amp;'IND TECH'!C2404&amp;" "&amp;'IND TECH'!D2404&amp;" "&amp;'IND TECH'!E2404&amp;" "&amp;'IND TECH'!F2404&amp;" "&amp;'IND TECH'!G2404&amp;" "&amp;'IND TECH'!H2404</f>
        <v xml:space="preserve">       </v>
      </c>
      <c r="E2406" t="e">
        <f t="shared" si="17"/>
        <v>#REF!</v>
      </c>
      <c r="F2406" t="e">
        <f>'IND TECH'!#REF!</f>
        <v>#REF!</v>
      </c>
    </row>
    <row r="2407" spans="3:6" x14ac:dyDescent="0.25">
      <c r="C2407">
        <f>'IND TECH'!L2405</f>
        <v>0</v>
      </c>
      <c r="D2407" t="str">
        <f>'IND TECH'!A2405&amp;" "&amp;'IND TECH'!B2405&amp;" "&amp;'IND TECH'!C2405&amp;" "&amp;'IND TECH'!D2405&amp;" "&amp;'IND TECH'!E2405&amp;" "&amp;'IND TECH'!F2405&amp;" "&amp;'IND TECH'!G2405&amp;" "&amp;'IND TECH'!H2405</f>
        <v xml:space="preserve">       </v>
      </c>
      <c r="E2407" t="e">
        <f t="shared" si="17"/>
        <v>#REF!</v>
      </c>
      <c r="F2407" t="e">
        <f>'IND TECH'!#REF!</f>
        <v>#REF!</v>
      </c>
    </row>
    <row r="2408" spans="3:6" x14ac:dyDescent="0.25">
      <c r="C2408">
        <f>'IND TECH'!L2406</f>
        <v>0</v>
      </c>
      <c r="D2408" t="str">
        <f>'IND TECH'!A2406&amp;" "&amp;'IND TECH'!B2406&amp;" "&amp;'IND TECH'!C2406&amp;" "&amp;'IND TECH'!D2406&amp;" "&amp;'IND TECH'!E2406&amp;" "&amp;'IND TECH'!F2406&amp;" "&amp;'IND TECH'!G2406&amp;" "&amp;'IND TECH'!H2406</f>
        <v xml:space="preserve">       </v>
      </c>
      <c r="E2408" t="e">
        <f t="shared" si="17"/>
        <v>#REF!</v>
      </c>
      <c r="F2408" t="e">
        <f>'IND TECH'!#REF!</f>
        <v>#REF!</v>
      </c>
    </row>
    <row r="2409" spans="3:6" x14ac:dyDescent="0.25">
      <c r="C2409">
        <f>'IND TECH'!L2407</f>
        <v>0</v>
      </c>
      <c r="D2409" t="str">
        <f>'IND TECH'!A2407&amp;" "&amp;'IND TECH'!B2407&amp;" "&amp;'IND TECH'!C2407&amp;" "&amp;'IND TECH'!D2407&amp;" "&amp;'IND TECH'!E2407&amp;" "&amp;'IND TECH'!F2407&amp;" "&amp;'IND TECH'!G2407&amp;" "&amp;'IND TECH'!H2407</f>
        <v xml:space="preserve">       </v>
      </c>
      <c r="E2409" t="e">
        <f t="shared" si="17"/>
        <v>#REF!</v>
      </c>
      <c r="F2409" t="e">
        <f>'IND TECH'!#REF!</f>
        <v>#REF!</v>
      </c>
    </row>
    <row r="2410" spans="3:6" x14ac:dyDescent="0.25">
      <c r="C2410">
        <f>'IND TECH'!L2408</f>
        <v>0</v>
      </c>
      <c r="D2410" t="str">
        <f>'IND TECH'!A2408&amp;" "&amp;'IND TECH'!B2408&amp;" "&amp;'IND TECH'!C2408&amp;" "&amp;'IND TECH'!D2408&amp;" "&amp;'IND TECH'!E2408&amp;" "&amp;'IND TECH'!F2408&amp;" "&amp;'IND TECH'!G2408&amp;" "&amp;'IND TECH'!H2408</f>
        <v xml:space="preserve">       </v>
      </c>
      <c r="E2410" t="e">
        <f t="shared" si="17"/>
        <v>#REF!</v>
      </c>
      <c r="F2410" t="e">
        <f>'IND TECH'!#REF!</f>
        <v>#REF!</v>
      </c>
    </row>
    <row r="2411" spans="3:6" x14ac:dyDescent="0.25">
      <c r="C2411">
        <f>'IND TECH'!L2409</f>
        <v>0</v>
      </c>
      <c r="D2411" t="str">
        <f>'IND TECH'!A2409&amp;" "&amp;'IND TECH'!B2409&amp;" "&amp;'IND TECH'!C2409&amp;" "&amp;'IND TECH'!D2409&amp;" "&amp;'IND TECH'!E2409&amp;" "&amp;'IND TECH'!F2409&amp;" "&amp;'IND TECH'!G2409&amp;" "&amp;'IND TECH'!H2409</f>
        <v xml:space="preserve">       </v>
      </c>
      <c r="E2411" t="e">
        <f t="shared" si="17"/>
        <v>#REF!</v>
      </c>
      <c r="F2411" t="e">
        <f>'IND TECH'!#REF!</f>
        <v>#REF!</v>
      </c>
    </row>
    <row r="2412" spans="3:6" x14ac:dyDescent="0.25">
      <c r="C2412">
        <f>'IND TECH'!L2410</f>
        <v>0</v>
      </c>
      <c r="D2412" t="str">
        <f>'IND TECH'!A2410&amp;" "&amp;'IND TECH'!B2410&amp;" "&amp;'IND TECH'!C2410&amp;" "&amp;'IND TECH'!D2410&amp;" "&amp;'IND TECH'!E2410&amp;" "&amp;'IND TECH'!F2410&amp;" "&amp;'IND TECH'!G2410&amp;" "&amp;'IND TECH'!H2410</f>
        <v xml:space="preserve">       </v>
      </c>
      <c r="E2412" t="e">
        <f t="shared" si="17"/>
        <v>#REF!</v>
      </c>
      <c r="F2412" t="e">
        <f>'IND TECH'!#REF!</f>
        <v>#REF!</v>
      </c>
    </row>
    <row r="2413" spans="3:6" x14ac:dyDescent="0.25">
      <c r="C2413">
        <f>'IND TECH'!L2411</f>
        <v>0</v>
      </c>
      <c r="D2413" t="str">
        <f>'IND TECH'!A2411&amp;" "&amp;'IND TECH'!B2411&amp;" "&amp;'IND TECH'!C2411&amp;" "&amp;'IND TECH'!D2411&amp;" "&amp;'IND TECH'!E2411&amp;" "&amp;'IND TECH'!F2411&amp;" "&amp;'IND TECH'!G2411&amp;" "&amp;'IND TECH'!H2411</f>
        <v xml:space="preserve">       </v>
      </c>
      <c r="E2413" t="e">
        <f t="shared" si="17"/>
        <v>#REF!</v>
      </c>
      <c r="F2413" t="e">
        <f>'IND TECH'!#REF!</f>
        <v>#REF!</v>
      </c>
    </row>
    <row r="2414" spans="3:6" x14ac:dyDescent="0.25">
      <c r="C2414">
        <f>'IND TECH'!L2412</f>
        <v>0</v>
      </c>
      <c r="D2414" t="str">
        <f>'IND TECH'!A2412&amp;" "&amp;'IND TECH'!B2412&amp;" "&amp;'IND TECH'!C2412&amp;" "&amp;'IND TECH'!D2412&amp;" "&amp;'IND TECH'!E2412&amp;" "&amp;'IND TECH'!F2412&amp;" "&amp;'IND TECH'!G2412&amp;" "&amp;'IND TECH'!H2412</f>
        <v xml:space="preserve">       </v>
      </c>
      <c r="E2414" t="e">
        <f t="shared" si="17"/>
        <v>#REF!</v>
      </c>
      <c r="F2414" t="e">
        <f>'IND TECH'!#REF!</f>
        <v>#REF!</v>
      </c>
    </row>
    <row r="2415" spans="3:6" x14ac:dyDescent="0.25">
      <c r="C2415">
        <f>'IND TECH'!L2413</f>
        <v>0</v>
      </c>
      <c r="D2415" t="str">
        <f>'IND TECH'!A2413&amp;" "&amp;'IND TECH'!B2413&amp;" "&amp;'IND TECH'!C2413&amp;" "&amp;'IND TECH'!D2413&amp;" "&amp;'IND TECH'!E2413&amp;" "&amp;'IND TECH'!F2413&amp;" "&amp;'IND TECH'!G2413&amp;" "&amp;'IND TECH'!H2413</f>
        <v xml:space="preserve">       </v>
      </c>
      <c r="E2415" t="e">
        <f t="shared" si="17"/>
        <v>#REF!</v>
      </c>
      <c r="F2415" t="e">
        <f>'IND TECH'!#REF!</f>
        <v>#REF!</v>
      </c>
    </row>
    <row r="2416" spans="3:6" x14ac:dyDescent="0.25">
      <c r="C2416">
        <f>'IND TECH'!L2414</f>
        <v>0</v>
      </c>
      <c r="D2416" t="str">
        <f>'IND TECH'!A2414&amp;" "&amp;'IND TECH'!B2414&amp;" "&amp;'IND TECH'!C2414&amp;" "&amp;'IND TECH'!D2414&amp;" "&amp;'IND TECH'!E2414&amp;" "&amp;'IND TECH'!F2414&amp;" "&amp;'IND TECH'!G2414&amp;" "&amp;'IND TECH'!H2414</f>
        <v xml:space="preserve">       </v>
      </c>
      <c r="E2416" t="e">
        <f t="shared" si="17"/>
        <v>#REF!</v>
      </c>
      <c r="F2416" t="e">
        <f>'IND TECH'!#REF!</f>
        <v>#REF!</v>
      </c>
    </row>
    <row r="2417" spans="3:6" x14ac:dyDescent="0.25">
      <c r="C2417">
        <f>'IND TECH'!L2415</f>
        <v>0</v>
      </c>
      <c r="D2417" t="str">
        <f>'IND TECH'!A2415&amp;" "&amp;'IND TECH'!B2415&amp;" "&amp;'IND TECH'!C2415&amp;" "&amp;'IND TECH'!D2415&amp;" "&amp;'IND TECH'!E2415&amp;" "&amp;'IND TECH'!F2415&amp;" "&amp;'IND TECH'!G2415&amp;" "&amp;'IND TECH'!H2415</f>
        <v xml:space="preserve">       </v>
      </c>
      <c r="E2417" t="e">
        <f t="shared" si="17"/>
        <v>#REF!</v>
      </c>
      <c r="F2417" t="e">
        <f>'IND TECH'!#REF!</f>
        <v>#REF!</v>
      </c>
    </row>
    <row r="2418" spans="3:6" x14ac:dyDescent="0.25">
      <c r="C2418">
        <f>'IND TECH'!L2416</f>
        <v>0</v>
      </c>
      <c r="D2418" t="str">
        <f>'IND TECH'!A2416&amp;" "&amp;'IND TECH'!B2416&amp;" "&amp;'IND TECH'!C2416&amp;" "&amp;'IND TECH'!D2416&amp;" "&amp;'IND TECH'!E2416&amp;" "&amp;'IND TECH'!F2416&amp;" "&amp;'IND TECH'!G2416&amp;" "&amp;'IND TECH'!H2416</f>
        <v xml:space="preserve">       </v>
      </c>
      <c r="E2418" t="e">
        <f t="shared" si="17"/>
        <v>#REF!</v>
      </c>
      <c r="F2418" t="e">
        <f>'IND TECH'!#REF!</f>
        <v>#REF!</v>
      </c>
    </row>
    <row r="2419" spans="3:6" x14ac:dyDescent="0.25">
      <c r="C2419">
        <f>'IND TECH'!L2417</f>
        <v>0</v>
      </c>
      <c r="D2419" t="str">
        <f>'IND TECH'!A2417&amp;" "&amp;'IND TECH'!B2417&amp;" "&amp;'IND TECH'!C2417&amp;" "&amp;'IND TECH'!D2417&amp;" "&amp;'IND TECH'!E2417&amp;" "&amp;'IND TECH'!F2417&amp;" "&amp;'IND TECH'!G2417&amp;" "&amp;'IND TECH'!H2417</f>
        <v xml:space="preserve">       </v>
      </c>
      <c r="E2419" t="e">
        <f t="shared" si="17"/>
        <v>#REF!</v>
      </c>
      <c r="F2419" t="e">
        <f>'IND TECH'!#REF!</f>
        <v>#REF!</v>
      </c>
    </row>
    <row r="2420" spans="3:6" x14ac:dyDescent="0.25">
      <c r="C2420">
        <f>'IND TECH'!L2418</f>
        <v>0</v>
      </c>
      <c r="D2420" t="str">
        <f>'IND TECH'!A2418&amp;" "&amp;'IND TECH'!B2418&amp;" "&amp;'IND TECH'!C2418&amp;" "&amp;'IND TECH'!D2418&amp;" "&amp;'IND TECH'!E2418&amp;" "&amp;'IND TECH'!F2418&amp;" "&amp;'IND TECH'!G2418&amp;" "&amp;'IND TECH'!H2418</f>
        <v xml:space="preserve">       </v>
      </c>
      <c r="E2420" t="e">
        <f t="shared" si="17"/>
        <v>#REF!</v>
      </c>
      <c r="F2420" t="e">
        <f>'IND TECH'!#REF!</f>
        <v>#REF!</v>
      </c>
    </row>
    <row r="2421" spans="3:6" x14ac:dyDescent="0.25">
      <c r="C2421">
        <f>'IND TECH'!L2419</f>
        <v>0</v>
      </c>
      <c r="D2421" t="str">
        <f>'IND TECH'!A2419&amp;" "&amp;'IND TECH'!B2419&amp;" "&amp;'IND TECH'!C2419&amp;" "&amp;'IND TECH'!D2419&amp;" "&amp;'IND TECH'!E2419&amp;" "&amp;'IND TECH'!F2419&amp;" "&amp;'IND TECH'!G2419&amp;" "&amp;'IND TECH'!H2419</f>
        <v xml:space="preserve">       </v>
      </c>
      <c r="E2421" t="e">
        <f t="shared" si="17"/>
        <v>#REF!</v>
      </c>
      <c r="F2421" t="e">
        <f>'IND TECH'!#REF!</f>
        <v>#REF!</v>
      </c>
    </row>
    <row r="2422" spans="3:6" x14ac:dyDescent="0.25">
      <c r="C2422">
        <f>'IND TECH'!L2420</f>
        <v>0</v>
      </c>
      <c r="D2422" t="str">
        <f>'IND TECH'!A2420&amp;" "&amp;'IND TECH'!B2420&amp;" "&amp;'IND TECH'!C2420&amp;" "&amp;'IND TECH'!D2420&amp;" "&amp;'IND TECH'!E2420&amp;" "&amp;'IND TECH'!F2420&amp;" "&amp;'IND TECH'!G2420&amp;" "&amp;'IND TECH'!H2420</f>
        <v xml:space="preserve">       </v>
      </c>
      <c r="E2422" t="e">
        <f t="shared" si="17"/>
        <v>#REF!</v>
      </c>
      <c r="F2422" t="e">
        <f>'IND TECH'!#REF!</f>
        <v>#REF!</v>
      </c>
    </row>
    <row r="2423" spans="3:6" x14ac:dyDescent="0.25">
      <c r="C2423">
        <f>'IND TECH'!L2421</f>
        <v>0</v>
      </c>
      <c r="D2423" t="str">
        <f>'IND TECH'!A2421&amp;" "&amp;'IND TECH'!B2421&amp;" "&amp;'IND TECH'!C2421&amp;" "&amp;'IND TECH'!D2421&amp;" "&amp;'IND TECH'!E2421&amp;" "&amp;'IND TECH'!F2421&amp;" "&amp;'IND TECH'!G2421&amp;" "&amp;'IND TECH'!H2421</f>
        <v xml:space="preserve">       </v>
      </c>
      <c r="E2423" t="e">
        <f t="shared" si="17"/>
        <v>#REF!</v>
      </c>
      <c r="F2423" t="e">
        <f>'IND TECH'!#REF!</f>
        <v>#REF!</v>
      </c>
    </row>
    <row r="2424" spans="3:6" x14ac:dyDescent="0.25">
      <c r="C2424">
        <f>'IND TECH'!L2422</f>
        <v>0</v>
      </c>
      <c r="D2424" t="str">
        <f>'IND TECH'!A2422&amp;" "&amp;'IND TECH'!B2422&amp;" "&amp;'IND TECH'!C2422&amp;" "&amp;'IND TECH'!D2422&amp;" "&amp;'IND TECH'!E2422&amp;" "&amp;'IND TECH'!F2422&amp;" "&amp;'IND TECH'!G2422&amp;" "&amp;'IND TECH'!H2422</f>
        <v xml:space="preserve">       </v>
      </c>
      <c r="E2424" t="e">
        <f t="shared" si="17"/>
        <v>#REF!</v>
      </c>
      <c r="F2424" t="e">
        <f>'IND TECH'!#REF!</f>
        <v>#REF!</v>
      </c>
    </row>
    <row r="2425" spans="3:6" x14ac:dyDescent="0.25">
      <c r="C2425">
        <f>'IND TECH'!L2423</f>
        <v>0</v>
      </c>
      <c r="D2425" t="str">
        <f>'IND TECH'!A2423&amp;" "&amp;'IND TECH'!B2423&amp;" "&amp;'IND TECH'!C2423&amp;" "&amp;'IND TECH'!D2423&amp;" "&amp;'IND TECH'!E2423&amp;" "&amp;'IND TECH'!F2423&amp;" "&amp;'IND TECH'!G2423&amp;" "&amp;'IND TECH'!H2423</f>
        <v xml:space="preserve">       </v>
      </c>
      <c r="E2425" t="e">
        <f t="shared" si="17"/>
        <v>#REF!</v>
      </c>
      <c r="F2425" t="e">
        <f>'IND TECH'!#REF!</f>
        <v>#REF!</v>
      </c>
    </row>
    <row r="2426" spans="3:6" x14ac:dyDescent="0.25">
      <c r="C2426">
        <f>'IND TECH'!L2424</f>
        <v>0</v>
      </c>
      <c r="D2426" t="str">
        <f>'IND TECH'!A2424&amp;" "&amp;'IND TECH'!B2424&amp;" "&amp;'IND TECH'!C2424&amp;" "&amp;'IND TECH'!D2424&amp;" "&amp;'IND TECH'!E2424&amp;" "&amp;'IND TECH'!F2424&amp;" "&amp;'IND TECH'!G2424&amp;" "&amp;'IND TECH'!H2424</f>
        <v xml:space="preserve">       </v>
      </c>
      <c r="E2426" t="e">
        <f t="shared" si="17"/>
        <v>#REF!</v>
      </c>
      <c r="F2426" t="e">
        <f>'IND TECH'!#REF!</f>
        <v>#REF!</v>
      </c>
    </row>
    <row r="2427" spans="3:6" x14ac:dyDescent="0.25">
      <c r="C2427">
        <f>'IND TECH'!L2425</f>
        <v>0</v>
      </c>
      <c r="D2427" t="str">
        <f>'IND TECH'!A2425&amp;" "&amp;'IND TECH'!B2425&amp;" "&amp;'IND TECH'!C2425&amp;" "&amp;'IND TECH'!D2425&amp;" "&amp;'IND TECH'!E2425&amp;" "&amp;'IND TECH'!F2425&amp;" "&amp;'IND TECH'!G2425&amp;" "&amp;'IND TECH'!H2425</f>
        <v xml:space="preserve">       </v>
      </c>
      <c r="E2427" t="e">
        <f t="shared" si="17"/>
        <v>#REF!</v>
      </c>
      <c r="F2427" t="e">
        <f>'IND TECH'!#REF!</f>
        <v>#REF!</v>
      </c>
    </row>
    <row r="2428" spans="3:6" x14ac:dyDescent="0.25">
      <c r="C2428">
        <f>'IND TECH'!L2426</f>
        <v>0</v>
      </c>
      <c r="D2428" t="str">
        <f>'IND TECH'!A2426&amp;" "&amp;'IND TECH'!B2426&amp;" "&amp;'IND TECH'!C2426&amp;" "&amp;'IND TECH'!D2426&amp;" "&amp;'IND TECH'!E2426&amp;" "&amp;'IND TECH'!F2426&amp;" "&amp;'IND TECH'!G2426&amp;" "&amp;'IND TECH'!H2426</f>
        <v xml:space="preserve">       </v>
      </c>
      <c r="E2428" t="e">
        <f t="shared" si="17"/>
        <v>#REF!</v>
      </c>
      <c r="F2428" t="e">
        <f>'IND TECH'!#REF!</f>
        <v>#REF!</v>
      </c>
    </row>
    <row r="2429" spans="3:6" x14ac:dyDescent="0.25">
      <c r="C2429">
        <f>'IND TECH'!L2427</f>
        <v>0</v>
      </c>
      <c r="D2429" t="str">
        <f>'IND TECH'!A2427&amp;" "&amp;'IND TECH'!B2427&amp;" "&amp;'IND TECH'!C2427&amp;" "&amp;'IND TECH'!D2427&amp;" "&amp;'IND TECH'!E2427&amp;" "&amp;'IND TECH'!F2427&amp;" "&amp;'IND TECH'!G2427&amp;" "&amp;'IND TECH'!H2427</f>
        <v xml:space="preserve">       </v>
      </c>
      <c r="E2429" t="e">
        <f t="shared" si="17"/>
        <v>#REF!</v>
      </c>
      <c r="F2429" t="e">
        <f>'IND TECH'!#REF!</f>
        <v>#REF!</v>
      </c>
    </row>
    <row r="2430" spans="3:6" x14ac:dyDescent="0.25">
      <c r="C2430">
        <f>'IND TECH'!L2428</f>
        <v>0</v>
      </c>
      <c r="D2430" t="str">
        <f>'IND TECH'!A2428&amp;" "&amp;'IND TECH'!B2428&amp;" "&amp;'IND TECH'!C2428&amp;" "&amp;'IND TECH'!D2428&amp;" "&amp;'IND TECH'!E2428&amp;" "&amp;'IND TECH'!F2428&amp;" "&amp;'IND TECH'!G2428&amp;" "&amp;'IND TECH'!H2428</f>
        <v xml:space="preserve">       </v>
      </c>
      <c r="E2430" t="e">
        <f t="shared" si="17"/>
        <v>#REF!</v>
      </c>
      <c r="F2430" t="e">
        <f>'IND TECH'!#REF!</f>
        <v>#REF!</v>
      </c>
    </row>
    <row r="2431" spans="3:6" x14ac:dyDescent="0.25">
      <c r="C2431">
        <f>'IND TECH'!L2429</f>
        <v>0</v>
      </c>
      <c r="D2431" t="str">
        <f>'IND TECH'!A2429&amp;" "&amp;'IND TECH'!B2429&amp;" "&amp;'IND TECH'!C2429&amp;" "&amp;'IND TECH'!D2429&amp;" "&amp;'IND TECH'!E2429&amp;" "&amp;'IND TECH'!F2429&amp;" "&amp;'IND TECH'!G2429&amp;" "&amp;'IND TECH'!H2429</f>
        <v xml:space="preserve">       </v>
      </c>
      <c r="E2431" t="e">
        <f t="shared" si="17"/>
        <v>#REF!</v>
      </c>
      <c r="F2431" t="e">
        <f>'IND TECH'!#REF!</f>
        <v>#REF!</v>
      </c>
    </row>
    <row r="2432" spans="3:6" x14ac:dyDescent="0.25">
      <c r="C2432">
        <f>'IND TECH'!L2430</f>
        <v>0</v>
      </c>
      <c r="D2432" t="str">
        <f>'IND TECH'!A2430&amp;" "&amp;'IND TECH'!B2430&amp;" "&amp;'IND TECH'!C2430&amp;" "&amp;'IND TECH'!D2430&amp;" "&amp;'IND TECH'!E2430&amp;" "&amp;'IND TECH'!F2430&amp;" "&amp;'IND TECH'!G2430&amp;" "&amp;'IND TECH'!H2430</f>
        <v xml:space="preserve">       </v>
      </c>
      <c r="E2432" t="e">
        <f t="shared" si="17"/>
        <v>#REF!</v>
      </c>
      <c r="F2432" t="e">
        <f>'IND TECH'!#REF!</f>
        <v>#REF!</v>
      </c>
    </row>
    <row r="2433" spans="3:6" x14ac:dyDescent="0.25">
      <c r="C2433">
        <f>'IND TECH'!L2431</f>
        <v>0</v>
      </c>
      <c r="D2433" t="str">
        <f>'IND TECH'!A2431&amp;" "&amp;'IND TECH'!B2431&amp;" "&amp;'IND TECH'!C2431&amp;" "&amp;'IND TECH'!D2431&amp;" "&amp;'IND TECH'!E2431&amp;" "&amp;'IND TECH'!F2431&amp;" "&amp;'IND TECH'!G2431&amp;" "&amp;'IND TECH'!H2431</f>
        <v xml:space="preserve">       </v>
      </c>
      <c r="E2433" t="e">
        <f t="shared" si="17"/>
        <v>#REF!</v>
      </c>
      <c r="F2433" t="e">
        <f>'IND TECH'!#REF!</f>
        <v>#REF!</v>
      </c>
    </row>
    <row r="2434" spans="3:6" x14ac:dyDescent="0.25">
      <c r="C2434">
        <f>'IND TECH'!L2432</f>
        <v>0</v>
      </c>
      <c r="D2434" t="str">
        <f>'IND TECH'!A2432&amp;" "&amp;'IND TECH'!B2432&amp;" "&amp;'IND TECH'!C2432&amp;" "&amp;'IND TECH'!D2432&amp;" "&amp;'IND TECH'!E2432&amp;" "&amp;'IND TECH'!F2432&amp;" "&amp;'IND TECH'!G2432&amp;" "&amp;'IND TECH'!H2432</f>
        <v xml:space="preserve">       </v>
      </c>
      <c r="E2434" t="e">
        <f t="shared" si="17"/>
        <v>#REF!</v>
      </c>
      <c r="F2434" t="e">
        <f>'IND TECH'!#REF!</f>
        <v>#REF!</v>
      </c>
    </row>
    <row r="2435" spans="3:6" x14ac:dyDescent="0.25">
      <c r="C2435">
        <f>'IND TECH'!L2433</f>
        <v>0</v>
      </c>
      <c r="D2435" t="str">
        <f>'IND TECH'!A2433&amp;" "&amp;'IND TECH'!B2433&amp;" "&amp;'IND TECH'!C2433&amp;" "&amp;'IND TECH'!D2433&amp;" "&amp;'IND TECH'!E2433&amp;" "&amp;'IND TECH'!F2433&amp;" "&amp;'IND TECH'!G2433&amp;" "&amp;'IND TECH'!H2433</f>
        <v xml:space="preserve">       </v>
      </c>
      <c r="E2435" t="e">
        <f t="shared" si="17"/>
        <v>#REF!</v>
      </c>
      <c r="F2435" t="e">
        <f>'IND TECH'!#REF!</f>
        <v>#REF!</v>
      </c>
    </row>
    <row r="2436" spans="3:6" x14ac:dyDescent="0.25">
      <c r="C2436">
        <f>'IND TECH'!L2434</f>
        <v>0</v>
      </c>
      <c r="D2436" t="str">
        <f>'IND TECH'!A2434&amp;" "&amp;'IND TECH'!B2434&amp;" "&amp;'IND TECH'!C2434&amp;" "&amp;'IND TECH'!D2434&amp;" "&amp;'IND TECH'!E2434&amp;" "&amp;'IND TECH'!F2434&amp;" "&amp;'IND TECH'!G2434&amp;" "&amp;'IND TECH'!H2434</f>
        <v xml:space="preserve">       </v>
      </c>
      <c r="E2436" t="e">
        <f t="shared" si="17"/>
        <v>#REF!</v>
      </c>
      <c r="F2436" t="e">
        <f>'IND TECH'!#REF!</f>
        <v>#REF!</v>
      </c>
    </row>
    <row r="2437" spans="3:6" x14ac:dyDescent="0.25">
      <c r="C2437">
        <f>'IND TECH'!L2435</f>
        <v>0</v>
      </c>
      <c r="D2437" t="str">
        <f>'IND TECH'!A2435&amp;" "&amp;'IND TECH'!B2435&amp;" "&amp;'IND TECH'!C2435&amp;" "&amp;'IND TECH'!D2435&amp;" "&amp;'IND TECH'!E2435&amp;" "&amp;'IND TECH'!F2435&amp;" "&amp;'IND TECH'!G2435&amp;" "&amp;'IND TECH'!H2435</f>
        <v xml:space="preserve">       </v>
      </c>
      <c r="E2437" t="e">
        <f t="shared" si="17"/>
        <v>#REF!</v>
      </c>
      <c r="F2437" t="e">
        <f>'IND TECH'!#REF!</f>
        <v>#REF!</v>
      </c>
    </row>
    <row r="2438" spans="3:6" x14ac:dyDescent="0.25">
      <c r="C2438">
        <f>'IND TECH'!L2436</f>
        <v>0</v>
      </c>
      <c r="D2438" t="str">
        <f>'IND TECH'!A2436&amp;" "&amp;'IND TECH'!B2436&amp;" "&amp;'IND TECH'!C2436&amp;" "&amp;'IND TECH'!D2436&amp;" "&amp;'IND TECH'!E2436&amp;" "&amp;'IND TECH'!F2436&amp;" "&amp;'IND TECH'!G2436&amp;" "&amp;'IND TECH'!H2436</f>
        <v xml:space="preserve">       </v>
      </c>
      <c r="E2438" t="e">
        <f t="shared" si="17"/>
        <v>#REF!</v>
      </c>
      <c r="F2438" t="e">
        <f>'IND TECH'!#REF!</f>
        <v>#REF!</v>
      </c>
    </row>
    <row r="2439" spans="3:6" x14ac:dyDescent="0.25">
      <c r="C2439">
        <f>'IND TECH'!L2437</f>
        <v>0</v>
      </c>
      <c r="D2439" t="str">
        <f>'IND TECH'!A2437&amp;" "&amp;'IND TECH'!B2437&amp;" "&amp;'IND TECH'!C2437&amp;" "&amp;'IND TECH'!D2437&amp;" "&amp;'IND TECH'!E2437&amp;" "&amp;'IND TECH'!F2437&amp;" "&amp;'IND TECH'!G2437&amp;" "&amp;'IND TECH'!H2437</f>
        <v xml:space="preserve">       </v>
      </c>
      <c r="E2439" t="e">
        <f t="shared" si="17"/>
        <v>#REF!</v>
      </c>
      <c r="F2439" t="e">
        <f>'IND TECH'!#REF!</f>
        <v>#REF!</v>
      </c>
    </row>
    <row r="2440" spans="3:6" x14ac:dyDescent="0.25">
      <c r="C2440">
        <f>'IND TECH'!L2438</f>
        <v>0</v>
      </c>
      <c r="D2440" t="str">
        <f>'IND TECH'!A2438&amp;" "&amp;'IND TECH'!B2438&amp;" "&amp;'IND TECH'!C2438&amp;" "&amp;'IND TECH'!D2438&amp;" "&amp;'IND TECH'!E2438&amp;" "&amp;'IND TECH'!F2438&amp;" "&amp;'IND TECH'!G2438&amp;" "&amp;'IND TECH'!H2438</f>
        <v xml:space="preserve">       </v>
      </c>
      <c r="E2440" t="e">
        <f t="shared" si="17"/>
        <v>#REF!</v>
      </c>
      <c r="F2440" t="e">
        <f>'IND TECH'!#REF!</f>
        <v>#REF!</v>
      </c>
    </row>
    <row r="2441" spans="3:6" x14ac:dyDescent="0.25">
      <c r="C2441">
        <f>'IND TECH'!L2439</f>
        <v>0</v>
      </c>
      <c r="D2441" t="str">
        <f>'IND TECH'!A2439&amp;" "&amp;'IND TECH'!B2439&amp;" "&amp;'IND TECH'!C2439&amp;" "&amp;'IND TECH'!D2439&amp;" "&amp;'IND TECH'!E2439&amp;" "&amp;'IND TECH'!F2439&amp;" "&amp;'IND TECH'!G2439&amp;" "&amp;'IND TECH'!H2439</f>
        <v xml:space="preserve">       </v>
      </c>
      <c r="E2441" t="e">
        <f t="shared" si="17"/>
        <v>#REF!</v>
      </c>
      <c r="F2441" t="e">
        <f>'IND TECH'!#REF!</f>
        <v>#REF!</v>
      </c>
    </row>
    <row r="2442" spans="3:6" x14ac:dyDescent="0.25">
      <c r="C2442">
        <f>'IND TECH'!L2440</f>
        <v>0</v>
      </c>
      <c r="D2442" t="str">
        <f>'IND TECH'!A2440&amp;" "&amp;'IND TECH'!B2440&amp;" "&amp;'IND TECH'!C2440&amp;" "&amp;'IND TECH'!D2440&amp;" "&amp;'IND TECH'!E2440&amp;" "&amp;'IND TECH'!F2440&amp;" "&amp;'IND TECH'!G2440&amp;" "&amp;'IND TECH'!H2440</f>
        <v xml:space="preserve">       </v>
      </c>
      <c r="E2442" t="e">
        <f t="shared" si="17"/>
        <v>#REF!</v>
      </c>
      <c r="F2442" t="e">
        <f>'IND TECH'!#REF!</f>
        <v>#REF!</v>
      </c>
    </row>
    <row r="2443" spans="3:6" x14ac:dyDescent="0.25">
      <c r="C2443">
        <f>'IND TECH'!L2441</f>
        <v>0</v>
      </c>
      <c r="D2443" t="str">
        <f>'IND TECH'!A2441&amp;" "&amp;'IND TECH'!B2441&amp;" "&amp;'IND TECH'!C2441&amp;" "&amp;'IND TECH'!D2441&amp;" "&amp;'IND TECH'!E2441&amp;" "&amp;'IND TECH'!F2441&amp;" "&amp;'IND TECH'!G2441&amp;" "&amp;'IND TECH'!H2441</f>
        <v xml:space="preserve">       </v>
      </c>
      <c r="E2443" t="e">
        <f t="shared" si="17"/>
        <v>#REF!</v>
      </c>
      <c r="F2443" t="e">
        <f>'IND TECH'!#REF!</f>
        <v>#REF!</v>
      </c>
    </row>
    <row r="2444" spans="3:6" x14ac:dyDescent="0.25">
      <c r="C2444">
        <f>'IND TECH'!L2442</f>
        <v>0</v>
      </c>
      <c r="D2444" t="str">
        <f>'IND TECH'!A2442&amp;" "&amp;'IND TECH'!B2442&amp;" "&amp;'IND TECH'!C2442&amp;" "&amp;'IND TECH'!D2442&amp;" "&amp;'IND TECH'!E2442&amp;" "&amp;'IND TECH'!F2442&amp;" "&amp;'IND TECH'!G2442&amp;" "&amp;'IND TECH'!H2442</f>
        <v xml:space="preserve">       </v>
      </c>
      <c r="E2444" t="e">
        <f t="shared" si="17"/>
        <v>#REF!</v>
      </c>
      <c r="F2444" t="e">
        <f>'IND TECH'!#REF!</f>
        <v>#REF!</v>
      </c>
    </row>
    <row r="2445" spans="3:6" x14ac:dyDescent="0.25">
      <c r="C2445">
        <f>'IND TECH'!L2443</f>
        <v>0</v>
      </c>
      <c r="D2445" t="str">
        <f>'IND TECH'!A2443&amp;" "&amp;'IND TECH'!B2443&amp;" "&amp;'IND TECH'!C2443&amp;" "&amp;'IND TECH'!D2443&amp;" "&amp;'IND TECH'!E2443&amp;" "&amp;'IND TECH'!F2443&amp;" "&amp;'IND TECH'!G2443&amp;" "&amp;'IND TECH'!H2443</f>
        <v xml:space="preserve">       </v>
      </c>
      <c r="E2445" t="e">
        <f t="shared" si="17"/>
        <v>#REF!</v>
      </c>
      <c r="F2445" t="e">
        <f>'IND TECH'!#REF!</f>
        <v>#REF!</v>
      </c>
    </row>
    <row r="2446" spans="3:6" x14ac:dyDescent="0.25">
      <c r="C2446">
        <f>'IND TECH'!L2444</f>
        <v>0</v>
      </c>
      <c r="D2446" t="str">
        <f>'IND TECH'!A2444&amp;" "&amp;'IND TECH'!B2444&amp;" "&amp;'IND TECH'!C2444&amp;" "&amp;'IND TECH'!D2444&amp;" "&amp;'IND TECH'!E2444&amp;" "&amp;'IND TECH'!F2444&amp;" "&amp;'IND TECH'!G2444&amp;" "&amp;'IND TECH'!H2444</f>
        <v xml:space="preserve">       </v>
      </c>
      <c r="E2446" t="e">
        <f t="shared" si="17"/>
        <v>#REF!</v>
      </c>
      <c r="F2446" t="e">
        <f>'IND TECH'!#REF!</f>
        <v>#REF!</v>
      </c>
    </row>
    <row r="2447" spans="3:6" x14ac:dyDescent="0.25">
      <c r="C2447">
        <f>'IND TECH'!L2445</f>
        <v>0</v>
      </c>
      <c r="D2447" t="str">
        <f>'IND TECH'!A2445&amp;" "&amp;'IND TECH'!B2445&amp;" "&amp;'IND TECH'!C2445&amp;" "&amp;'IND TECH'!D2445&amp;" "&amp;'IND TECH'!E2445&amp;" "&amp;'IND TECH'!F2445&amp;" "&amp;'IND TECH'!G2445&amp;" "&amp;'IND TECH'!H2445</f>
        <v xml:space="preserve">       </v>
      </c>
      <c r="E2447" t="e">
        <f t="shared" si="17"/>
        <v>#REF!</v>
      </c>
      <c r="F2447" t="e">
        <f>'IND TECH'!#REF!</f>
        <v>#REF!</v>
      </c>
    </row>
    <row r="2448" spans="3:6" x14ac:dyDescent="0.25">
      <c r="C2448">
        <f>'IND TECH'!L2446</f>
        <v>0</v>
      </c>
      <c r="D2448" t="str">
        <f>'IND TECH'!A2446&amp;" "&amp;'IND TECH'!B2446&amp;" "&amp;'IND TECH'!C2446&amp;" "&amp;'IND TECH'!D2446&amp;" "&amp;'IND TECH'!E2446&amp;" "&amp;'IND TECH'!F2446&amp;" "&amp;'IND TECH'!G2446&amp;" "&amp;'IND TECH'!H2446</f>
        <v xml:space="preserve">       </v>
      </c>
      <c r="E2448" t="e">
        <f t="shared" si="17"/>
        <v>#REF!</v>
      </c>
      <c r="F2448" t="e">
        <f>'IND TECH'!#REF!</f>
        <v>#REF!</v>
      </c>
    </row>
    <row r="2449" spans="3:6" x14ac:dyDescent="0.25">
      <c r="C2449">
        <f>'IND TECH'!L2447</f>
        <v>0</v>
      </c>
      <c r="D2449" t="str">
        <f>'IND TECH'!A2447&amp;" "&amp;'IND TECH'!B2447&amp;" "&amp;'IND TECH'!C2447&amp;" "&amp;'IND TECH'!D2447&amp;" "&amp;'IND TECH'!E2447&amp;" "&amp;'IND TECH'!F2447&amp;" "&amp;'IND TECH'!G2447&amp;" "&amp;'IND TECH'!H2447</f>
        <v xml:space="preserve">       </v>
      </c>
      <c r="E2449" t="e">
        <f t="shared" si="17"/>
        <v>#REF!</v>
      </c>
      <c r="F2449" t="e">
        <f>'IND TECH'!#REF!</f>
        <v>#REF!</v>
      </c>
    </row>
    <row r="2450" spans="3:6" x14ac:dyDescent="0.25">
      <c r="C2450">
        <f>'IND TECH'!L2448</f>
        <v>0</v>
      </c>
      <c r="D2450" t="str">
        <f>'IND TECH'!A2448&amp;" "&amp;'IND TECH'!B2448&amp;" "&amp;'IND TECH'!C2448&amp;" "&amp;'IND TECH'!D2448&amp;" "&amp;'IND TECH'!E2448&amp;" "&amp;'IND TECH'!F2448&amp;" "&amp;'IND TECH'!G2448&amp;" "&amp;'IND TECH'!H2448</f>
        <v xml:space="preserve">       </v>
      </c>
      <c r="E2450" t="e">
        <f t="shared" si="17"/>
        <v>#REF!</v>
      </c>
      <c r="F2450" t="e">
        <f>'IND TECH'!#REF!</f>
        <v>#REF!</v>
      </c>
    </row>
    <row r="2451" spans="3:6" x14ac:dyDescent="0.25">
      <c r="C2451">
        <f>'IND TECH'!L2449</f>
        <v>0</v>
      </c>
      <c r="D2451" t="str">
        <f>'IND TECH'!A2449&amp;" "&amp;'IND TECH'!B2449&amp;" "&amp;'IND TECH'!C2449&amp;" "&amp;'IND TECH'!D2449&amp;" "&amp;'IND TECH'!E2449&amp;" "&amp;'IND TECH'!F2449&amp;" "&amp;'IND TECH'!G2449&amp;" "&amp;'IND TECH'!H2449</f>
        <v xml:space="preserve">       </v>
      </c>
      <c r="E2451" t="e">
        <f t="shared" ref="E2451:E2514" si="18">IF(F2451="Mlma","Mlm","TJ")</f>
        <v>#REF!</v>
      </c>
      <c r="F2451" t="e">
        <f>'IND TECH'!#REF!</f>
        <v>#REF!</v>
      </c>
    </row>
    <row r="2452" spans="3:6" x14ac:dyDescent="0.25">
      <c r="C2452">
        <f>'IND TECH'!L2450</f>
        <v>0</v>
      </c>
      <c r="D2452" t="str">
        <f>'IND TECH'!A2450&amp;" "&amp;'IND TECH'!B2450&amp;" "&amp;'IND TECH'!C2450&amp;" "&amp;'IND TECH'!D2450&amp;" "&amp;'IND TECH'!E2450&amp;" "&amp;'IND TECH'!F2450&amp;" "&amp;'IND TECH'!G2450&amp;" "&amp;'IND TECH'!H2450</f>
        <v xml:space="preserve">       </v>
      </c>
      <c r="E2452" t="e">
        <f t="shared" si="18"/>
        <v>#REF!</v>
      </c>
      <c r="F2452" t="e">
        <f>'IND TECH'!#REF!</f>
        <v>#REF!</v>
      </c>
    </row>
    <row r="2453" spans="3:6" x14ac:dyDescent="0.25">
      <c r="C2453">
        <f>'IND TECH'!L2451</f>
        <v>0</v>
      </c>
      <c r="D2453" t="str">
        <f>'IND TECH'!A2451&amp;" "&amp;'IND TECH'!B2451&amp;" "&amp;'IND TECH'!C2451&amp;" "&amp;'IND TECH'!D2451&amp;" "&amp;'IND TECH'!E2451&amp;" "&amp;'IND TECH'!F2451&amp;" "&amp;'IND TECH'!G2451&amp;" "&amp;'IND TECH'!H2451</f>
        <v xml:space="preserve">       </v>
      </c>
      <c r="E2453" t="e">
        <f t="shared" si="18"/>
        <v>#REF!</v>
      </c>
      <c r="F2453" t="e">
        <f>'IND TECH'!#REF!</f>
        <v>#REF!</v>
      </c>
    </row>
    <row r="2454" spans="3:6" x14ac:dyDescent="0.25">
      <c r="C2454">
        <f>'IND TECH'!L2452</f>
        <v>0</v>
      </c>
      <c r="D2454" t="str">
        <f>'IND TECH'!A2452&amp;" "&amp;'IND TECH'!B2452&amp;" "&amp;'IND TECH'!C2452&amp;" "&amp;'IND TECH'!D2452&amp;" "&amp;'IND TECH'!E2452&amp;" "&amp;'IND TECH'!F2452&amp;" "&amp;'IND TECH'!G2452&amp;" "&amp;'IND TECH'!H2452</f>
        <v xml:space="preserve">       </v>
      </c>
      <c r="E2454" t="e">
        <f t="shared" si="18"/>
        <v>#REF!</v>
      </c>
      <c r="F2454" t="e">
        <f>'IND TECH'!#REF!</f>
        <v>#REF!</v>
      </c>
    </row>
    <row r="2455" spans="3:6" x14ac:dyDescent="0.25">
      <c r="C2455">
        <f>'IND TECH'!L2453</f>
        <v>0</v>
      </c>
      <c r="D2455" t="str">
        <f>'IND TECH'!A2453&amp;" "&amp;'IND TECH'!B2453&amp;" "&amp;'IND TECH'!C2453&amp;" "&amp;'IND TECH'!D2453&amp;" "&amp;'IND TECH'!E2453&amp;" "&amp;'IND TECH'!F2453&amp;" "&amp;'IND TECH'!G2453&amp;" "&amp;'IND TECH'!H2453</f>
        <v xml:space="preserve">       </v>
      </c>
      <c r="E2455" t="e">
        <f t="shared" si="18"/>
        <v>#REF!</v>
      </c>
      <c r="F2455" t="e">
        <f>'IND TECH'!#REF!</f>
        <v>#REF!</v>
      </c>
    </row>
    <row r="2456" spans="3:6" x14ac:dyDescent="0.25">
      <c r="C2456">
        <f>'IND TECH'!L2454</f>
        <v>0</v>
      </c>
      <c r="D2456" t="str">
        <f>'IND TECH'!A2454&amp;" "&amp;'IND TECH'!B2454&amp;" "&amp;'IND TECH'!C2454&amp;" "&amp;'IND TECH'!D2454&amp;" "&amp;'IND TECH'!E2454&amp;" "&amp;'IND TECH'!F2454&amp;" "&amp;'IND TECH'!G2454&amp;" "&amp;'IND TECH'!H2454</f>
        <v xml:space="preserve">       </v>
      </c>
      <c r="E2456" t="e">
        <f t="shared" si="18"/>
        <v>#REF!</v>
      </c>
      <c r="F2456" t="e">
        <f>'IND TECH'!#REF!</f>
        <v>#REF!</v>
      </c>
    </row>
    <row r="2457" spans="3:6" x14ac:dyDescent="0.25">
      <c r="C2457">
        <f>'IND TECH'!L2455</f>
        <v>0</v>
      </c>
      <c r="D2457" t="str">
        <f>'IND TECH'!A2455&amp;" "&amp;'IND TECH'!B2455&amp;" "&amp;'IND TECH'!C2455&amp;" "&amp;'IND TECH'!D2455&amp;" "&amp;'IND TECH'!E2455&amp;" "&amp;'IND TECH'!F2455&amp;" "&amp;'IND TECH'!G2455&amp;" "&amp;'IND TECH'!H2455</f>
        <v xml:space="preserve">       </v>
      </c>
      <c r="E2457" t="e">
        <f t="shared" si="18"/>
        <v>#REF!</v>
      </c>
      <c r="F2457" t="e">
        <f>'IND TECH'!#REF!</f>
        <v>#REF!</v>
      </c>
    </row>
    <row r="2458" spans="3:6" x14ac:dyDescent="0.25">
      <c r="C2458">
        <f>'IND TECH'!L2456</f>
        <v>0</v>
      </c>
      <c r="D2458" t="str">
        <f>'IND TECH'!A2456&amp;" "&amp;'IND TECH'!B2456&amp;" "&amp;'IND TECH'!C2456&amp;" "&amp;'IND TECH'!D2456&amp;" "&amp;'IND TECH'!E2456&amp;" "&amp;'IND TECH'!F2456&amp;" "&amp;'IND TECH'!G2456&amp;" "&amp;'IND TECH'!H2456</f>
        <v xml:space="preserve">       </v>
      </c>
      <c r="E2458" t="e">
        <f t="shared" si="18"/>
        <v>#REF!</v>
      </c>
      <c r="F2458" t="e">
        <f>'IND TECH'!#REF!</f>
        <v>#REF!</v>
      </c>
    </row>
    <row r="2459" spans="3:6" x14ac:dyDescent="0.25">
      <c r="C2459">
        <f>'IND TECH'!L2457</f>
        <v>0</v>
      </c>
      <c r="D2459" t="str">
        <f>'IND TECH'!A2457&amp;" "&amp;'IND TECH'!B2457&amp;" "&amp;'IND TECH'!C2457&amp;" "&amp;'IND TECH'!D2457&amp;" "&amp;'IND TECH'!E2457&amp;" "&amp;'IND TECH'!F2457&amp;" "&amp;'IND TECH'!G2457&amp;" "&amp;'IND TECH'!H2457</f>
        <v xml:space="preserve">       </v>
      </c>
      <c r="E2459" t="e">
        <f t="shared" si="18"/>
        <v>#REF!</v>
      </c>
      <c r="F2459" t="e">
        <f>'IND TECH'!#REF!</f>
        <v>#REF!</v>
      </c>
    </row>
    <row r="2460" spans="3:6" x14ac:dyDescent="0.25">
      <c r="C2460">
        <f>'IND TECH'!L2458</f>
        <v>0</v>
      </c>
      <c r="D2460" t="str">
        <f>'IND TECH'!A2458&amp;" "&amp;'IND TECH'!B2458&amp;" "&amp;'IND TECH'!C2458&amp;" "&amp;'IND TECH'!D2458&amp;" "&amp;'IND TECH'!E2458&amp;" "&amp;'IND TECH'!F2458&amp;" "&amp;'IND TECH'!G2458&amp;" "&amp;'IND TECH'!H2458</f>
        <v xml:space="preserve">       </v>
      </c>
      <c r="E2460" t="e">
        <f t="shared" si="18"/>
        <v>#REF!</v>
      </c>
      <c r="F2460" t="e">
        <f>'IND TECH'!#REF!</f>
        <v>#REF!</v>
      </c>
    </row>
    <row r="2461" spans="3:6" x14ac:dyDescent="0.25">
      <c r="C2461">
        <f>'IND TECH'!L2459</f>
        <v>0</v>
      </c>
      <c r="D2461" t="str">
        <f>'IND TECH'!A2459&amp;" "&amp;'IND TECH'!B2459&amp;" "&amp;'IND TECH'!C2459&amp;" "&amp;'IND TECH'!D2459&amp;" "&amp;'IND TECH'!E2459&amp;" "&amp;'IND TECH'!F2459&amp;" "&amp;'IND TECH'!G2459&amp;" "&amp;'IND TECH'!H2459</f>
        <v xml:space="preserve">       </v>
      </c>
      <c r="E2461" t="e">
        <f t="shared" si="18"/>
        <v>#REF!</v>
      </c>
      <c r="F2461" t="e">
        <f>'IND TECH'!#REF!</f>
        <v>#REF!</v>
      </c>
    </row>
    <row r="2462" spans="3:6" x14ac:dyDescent="0.25">
      <c r="C2462">
        <f>'IND TECH'!L2460</f>
        <v>0</v>
      </c>
      <c r="D2462" t="str">
        <f>'IND TECH'!A2460&amp;" "&amp;'IND TECH'!B2460&amp;" "&amp;'IND TECH'!C2460&amp;" "&amp;'IND TECH'!D2460&amp;" "&amp;'IND TECH'!E2460&amp;" "&amp;'IND TECH'!F2460&amp;" "&amp;'IND TECH'!G2460&amp;" "&amp;'IND TECH'!H2460</f>
        <v xml:space="preserve">       </v>
      </c>
      <c r="E2462" t="e">
        <f t="shared" si="18"/>
        <v>#REF!</v>
      </c>
      <c r="F2462" t="e">
        <f>'IND TECH'!#REF!</f>
        <v>#REF!</v>
      </c>
    </row>
    <row r="2463" spans="3:6" x14ac:dyDescent="0.25">
      <c r="C2463">
        <f>'IND TECH'!L2461</f>
        <v>0</v>
      </c>
      <c r="D2463" t="str">
        <f>'IND TECH'!A2461&amp;" "&amp;'IND TECH'!B2461&amp;" "&amp;'IND TECH'!C2461&amp;" "&amp;'IND TECH'!D2461&amp;" "&amp;'IND TECH'!E2461&amp;" "&amp;'IND TECH'!F2461&amp;" "&amp;'IND TECH'!G2461&amp;" "&amp;'IND TECH'!H2461</f>
        <v xml:space="preserve">       </v>
      </c>
      <c r="E2463" t="e">
        <f t="shared" si="18"/>
        <v>#REF!</v>
      </c>
      <c r="F2463" t="e">
        <f>'IND TECH'!#REF!</f>
        <v>#REF!</v>
      </c>
    </row>
    <row r="2464" spans="3:6" x14ac:dyDescent="0.25">
      <c r="C2464">
        <f>'IND TECH'!L2462</f>
        <v>0</v>
      </c>
      <c r="D2464" t="str">
        <f>'IND TECH'!A2462&amp;" "&amp;'IND TECH'!B2462&amp;" "&amp;'IND TECH'!C2462&amp;" "&amp;'IND TECH'!D2462&amp;" "&amp;'IND TECH'!E2462&amp;" "&amp;'IND TECH'!F2462&amp;" "&amp;'IND TECH'!G2462&amp;" "&amp;'IND TECH'!H2462</f>
        <v xml:space="preserve">       </v>
      </c>
      <c r="E2464" t="e">
        <f t="shared" si="18"/>
        <v>#REF!</v>
      </c>
      <c r="F2464" t="e">
        <f>'IND TECH'!#REF!</f>
        <v>#REF!</v>
      </c>
    </row>
    <row r="2465" spans="3:6" x14ac:dyDescent="0.25">
      <c r="C2465">
        <f>'IND TECH'!L2463</f>
        <v>0</v>
      </c>
      <c r="D2465" t="str">
        <f>'IND TECH'!A2463&amp;" "&amp;'IND TECH'!B2463&amp;" "&amp;'IND TECH'!C2463&amp;" "&amp;'IND TECH'!D2463&amp;" "&amp;'IND TECH'!E2463&amp;" "&amp;'IND TECH'!F2463&amp;" "&amp;'IND TECH'!G2463&amp;" "&amp;'IND TECH'!H2463</f>
        <v xml:space="preserve">       </v>
      </c>
      <c r="E2465" t="e">
        <f t="shared" si="18"/>
        <v>#REF!</v>
      </c>
      <c r="F2465" t="e">
        <f>'IND TECH'!#REF!</f>
        <v>#REF!</v>
      </c>
    </row>
    <row r="2466" spans="3:6" x14ac:dyDescent="0.25">
      <c r="C2466">
        <f>'IND TECH'!L2464</f>
        <v>0</v>
      </c>
      <c r="D2466" t="str">
        <f>'IND TECH'!A2464&amp;" "&amp;'IND TECH'!B2464&amp;" "&amp;'IND TECH'!C2464&amp;" "&amp;'IND TECH'!D2464&amp;" "&amp;'IND TECH'!E2464&amp;" "&amp;'IND TECH'!F2464&amp;" "&amp;'IND TECH'!G2464&amp;" "&amp;'IND TECH'!H2464</f>
        <v xml:space="preserve">       </v>
      </c>
      <c r="E2466" t="e">
        <f t="shared" si="18"/>
        <v>#REF!</v>
      </c>
      <c r="F2466" t="e">
        <f>'IND TECH'!#REF!</f>
        <v>#REF!</v>
      </c>
    </row>
    <row r="2467" spans="3:6" x14ac:dyDescent="0.25">
      <c r="C2467">
        <f>'IND TECH'!L2465</f>
        <v>0</v>
      </c>
      <c r="D2467" t="str">
        <f>'IND TECH'!A2465&amp;" "&amp;'IND TECH'!B2465&amp;" "&amp;'IND TECH'!C2465&amp;" "&amp;'IND TECH'!D2465&amp;" "&amp;'IND TECH'!E2465&amp;" "&amp;'IND TECH'!F2465&amp;" "&amp;'IND TECH'!G2465&amp;" "&amp;'IND TECH'!H2465</f>
        <v xml:space="preserve">       </v>
      </c>
      <c r="E2467" t="e">
        <f t="shared" si="18"/>
        <v>#REF!</v>
      </c>
      <c r="F2467" t="e">
        <f>'IND TECH'!#REF!</f>
        <v>#REF!</v>
      </c>
    </row>
    <row r="2468" spans="3:6" x14ac:dyDescent="0.25">
      <c r="C2468">
        <f>'IND TECH'!L2466</f>
        <v>0</v>
      </c>
      <c r="D2468" t="str">
        <f>'IND TECH'!A2466&amp;" "&amp;'IND TECH'!B2466&amp;" "&amp;'IND TECH'!C2466&amp;" "&amp;'IND TECH'!D2466&amp;" "&amp;'IND TECH'!E2466&amp;" "&amp;'IND TECH'!F2466&amp;" "&amp;'IND TECH'!G2466&amp;" "&amp;'IND TECH'!H2466</f>
        <v xml:space="preserve">       </v>
      </c>
      <c r="E2468" t="e">
        <f t="shared" si="18"/>
        <v>#REF!</v>
      </c>
      <c r="F2468" t="e">
        <f>'IND TECH'!#REF!</f>
        <v>#REF!</v>
      </c>
    </row>
    <row r="2469" spans="3:6" x14ac:dyDescent="0.25">
      <c r="C2469">
        <f>'IND TECH'!L2467</f>
        <v>0</v>
      </c>
      <c r="D2469" t="str">
        <f>'IND TECH'!A2467&amp;" "&amp;'IND TECH'!B2467&amp;" "&amp;'IND TECH'!C2467&amp;" "&amp;'IND TECH'!D2467&amp;" "&amp;'IND TECH'!E2467&amp;" "&amp;'IND TECH'!F2467&amp;" "&amp;'IND TECH'!G2467&amp;" "&amp;'IND TECH'!H2467</f>
        <v xml:space="preserve">       </v>
      </c>
      <c r="E2469" t="e">
        <f t="shared" si="18"/>
        <v>#REF!</v>
      </c>
      <c r="F2469" t="e">
        <f>'IND TECH'!#REF!</f>
        <v>#REF!</v>
      </c>
    </row>
    <row r="2470" spans="3:6" x14ac:dyDescent="0.25">
      <c r="C2470">
        <f>'IND TECH'!L2468</f>
        <v>0</v>
      </c>
      <c r="D2470" t="str">
        <f>'IND TECH'!A2468&amp;" "&amp;'IND TECH'!B2468&amp;" "&amp;'IND TECH'!C2468&amp;" "&amp;'IND TECH'!D2468&amp;" "&amp;'IND TECH'!E2468&amp;" "&amp;'IND TECH'!F2468&amp;" "&amp;'IND TECH'!G2468&amp;" "&amp;'IND TECH'!H2468</f>
        <v xml:space="preserve">       </v>
      </c>
      <c r="E2470" t="e">
        <f t="shared" si="18"/>
        <v>#REF!</v>
      </c>
      <c r="F2470" t="e">
        <f>'IND TECH'!#REF!</f>
        <v>#REF!</v>
      </c>
    </row>
    <row r="2471" spans="3:6" x14ac:dyDescent="0.25">
      <c r="C2471">
        <f>'IND TECH'!L2469</f>
        <v>0</v>
      </c>
      <c r="D2471" t="str">
        <f>'IND TECH'!A2469&amp;" "&amp;'IND TECH'!B2469&amp;" "&amp;'IND TECH'!C2469&amp;" "&amp;'IND TECH'!D2469&amp;" "&amp;'IND TECH'!E2469&amp;" "&amp;'IND TECH'!F2469&amp;" "&amp;'IND TECH'!G2469&amp;" "&amp;'IND TECH'!H2469</f>
        <v xml:space="preserve">       </v>
      </c>
      <c r="E2471" t="e">
        <f t="shared" si="18"/>
        <v>#REF!</v>
      </c>
      <c r="F2471" t="e">
        <f>'IND TECH'!#REF!</f>
        <v>#REF!</v>
      </c>
    </row>
    <row r="2472" spans="3:6" x14ac:dyDescent="0.25">
      <c r="C2472">
        <f>'IND TECH'!L2470</f>
        <v>0</v>
      </c>
      <c r="D2472" t="str">
        <f>'IND TECH'!A2470&amp;" "&amp;'IND TECH'!B2470&amp;" "&amp;'IND TECH'!C2470&amp;" "&amp;'IND TECH'!D2470&amp;" "&amp;'IND TECH'!E2470&amp;" "&amp;'IND TECH'!F2470&amp;" "&amp;'IND TECH'!G2470&amp;" "&amp;'IND TECH'!H2470</f>
        <v xml:space="preserve">       </v>
      </c>
      <c r="E2472" t="e">
        <f t="shared" si="18"/>
        <v>#REF!</v>
      </c>
      <c r="F2472" t="e">
        <f>'IND TECH'!#REF!</f>
        <v>#REF!</v>
      </c>
    </row>
    <row r="2473" spans="3:6" x14ac:dyDescent="0.25">
      <c r="C2473">
        <f>'IND TECH'!L2471</f>
        <v>0</v>
      </c>
      <c r="D2473" t="str">
        <f>'IND TECH'!A2471&amp;" "&amp;'IND TECH'!B2471&amp;" "&amp;'IND TECH'!C2471&amp;" "&amp;'IND TECH'!D2471&amp;" "&amp;'IND TECH'!E2471&amp;" "&amp;'IND TECH'!F2471&amp;" "&amp;'IND TECH'!G2471&amp;" "&amp;'IND TECH'!H2471</f>
        <v xml:space="preserve">       </v>
      </c>
      <c r="E2473" t="e">
        <f t="shared" si="18"/>
        <v>#REF!</v>
      </c>
      <c r="F2473" t="e">
        <f>'IND TECH'!#REF!</f>
        <v>#REF!</v>
      </c>
    </row>
    <row r="2474" spans="3:6" x14ac:dyDescent="0.25">
      <c r="C2474">
        <f>'IND TECH'!L2472</f>
        <v>0</v>
      </c>
      <c r="D2474" t="str">
        <f>'IND TECH'!A2472&amp;" "&amp;'IND TECH'!B2472&amp;" "&amp;'IND TECH'!C2472&amp;" "&amp;'IND TECH'!D2472&amp;" "&amp;'IND TECH'!E2472&amp;" "&amp;'IND TECH'!F2472&amp;" "&amp;'IND TECH'!G2472&amp;" "&amp;'IND TECH'!H2472</f>
        <v xml:space="preserve">       </v>
      </c>
      <c r="E2474" t="e">
        <f t="shared" si="18"/>
        <v>#REF!</v>
      </c>
      <c r="F2474" t="e">
        <f>'IND TECH'!#REF!</f>
        <v>#REF!</v>
      </c>
    </row>
    <row r="2475" spans="3:6" x14ac:dyDescent="0.25">
      <c r="C2475">
        <f>'IND TECH'!L2473</f>
        <v>0</v>
      </c>
      <c r="D2475" t="str">
        <f>'IND TECH'!A2473&amp;" "&amp;'IND TECH'!B2473&amp;" "&amp;'IND TECH'!C2473&amp;" "&amp;'IND TECH'!D2473&amp;" "&amp;'IND TECH'!E2473&amp;" "&amp;'IND TECH'!F2473&amp;" "&amp;'IND TECH'!G2473&amp;" "&amp;'IND TECH'!H2473</f>
        <v xml:space="preserve">       </v>
      </c>
      <c r="E2475" t="e">
        <f t="shared" si="18"/>
        <v>#REF!</v>
      </c>
      <c r="F2475" t="e">
        <f>'IND TECH'!#REF!</f>
        <v>#REF!</v>
      </c>
    </row>
    <row r="2476" spans="3:6" x14ac:dyDescent="0.25">
      <c r="C2476">
        <f>'IND TECH'!L2474</f>
        <v>0</v>
      </c>
      <c r="D2476" t="str">
        <f>'IND TECH'!A2474&amp;" "&amp;'IND TECH'!B2474&amp;" "&amp;'IND TECH'!C2474&amp;" "&amp;'IND TECH'!D2474&amp;" "&amp;'IND TECH'!E2474&amp;" "&amp;'IND TECH'!F2474&amp;" "&amp;'IND TECH'!G2474&amp;" "&amp;'IND TECH'!H2474</f>
        <v xml:space="preserve">       </v>
      </c>
      <c r="E2476" t="e">
        <f t="shared" si="18"/>
        <v>#REF!</v>
      </c>
      <c r="F2476" t="e">
        <f>'IND TECH'!#REF!</f>
        <v>#REF!</v>
      </c>
    </row>
    <row r="2477" spans="3:6" x14ac:dyDescent="0.25">
      <c r="C2477">
        <f>'IND TECH'!L2475</f>
        <v>0</v>
      </c>
      <c r="D2477" t="str">
        <f>'IND TECH'!A2475&amp;" "&amp;'IND TECH'!B2475&amp;" "&amp;'IND TECH'!C2475&amp;" "&amp;'IND TECH'!D2475&amp;" "&amp;'IND TECH'!E2475&amp;" "&amp;'IND TECH'!F2475&amp;" "&amp;'IND TECH'!G2475&amp;" "&amp;'IND TECH'!H2475</f>
        <v xml:space="preserve">       </v>
      </c>
      <c r="E2477" t="e">
        <f t="shared" si="18"/>
        <v>#REF!</v>
      </c>
      <c r="F2477" t="e">
        <f>'IND TECH'!#REF!</f>
        <v>#REF!</v>
      </c>
    </row>
    <row r="2478" spans="3:6" x14ac:dyDescent="0.25">
      <c r="C2478">
        <f>'IND TECH'!L2476</f>
        <v>0</v>
      </c>
      <c r="D2478" t="str">
        <f>'IND TECH'!A2476&amp;" "&amp;'IND TECH'!B2476&amp;" "&amp;'IND TECH'!C2476&amp;" "&amp;'IND TECH'!D2476&amp;" "&amp;'IND TECH'!E2476&amp;" "&amp;'IND TECH'!F2476&amp;" "&amp;'IND TECH'!G2476&amp;" "&amp;'IND TECH'!H2476</f>
        <v xml:space="preserve">       </v>
      </c>
      <c r="E2478" t="e">
        <f t="shared" si="18"/>
        <v>#REF!</v>
      </c>
      <c r="F2478" t="e">
        <f>'IND TECH'!#REF!</f>
        <v>#REF!</v>
      </c>
    </row>
    <row r="2479" spans="3:6" x14ac:dyDescent="0.25">
      <c r="C2479">
        <f>'IND TECH'!L2477</f>
        <v>0</v>
      </c>
      <c r="D2479" t="str">
        <f>'IND TECH'!A2477&amp;" "&amp;'IND TECH'!B2477&amp;" "&amp;'IND TECH'!C2477&amp;" "&amp;'IND TECH'!D2477&amp;" "&amp;'IND TECH'!E2477&amp;" "&amp;'IND TECH'!F2477&amp;" "&amp;'IND TECH'!G2477&amp;" "&amp;'IND TECH'!H2477</f>
        <v xml:space="preserve">       </v>
      </c>
      <c r="E2479" t="e">
        <f t="shared" si="18"/>
        <v>#REF!</v>
      </c>
      <c r="F2479" t="e">
        <f>'IND TECH'!#REF!</f>
        <v>#REF!</v>
      </c>
    </row>
    <row r="2480" spans="3:6" x14ac:dyDescent="0.25">
      <c r="C2480">
        <f>'IND TECH'!L2478</f>
        <v>0</v>
      </c>
      <c r="D2480" t="str">
        <f>'IND TECH'!A2478&amp;" "&amp;'IND TECH'!B2478&amp;" "&amp;'IND TECH'!C2478&amp;" "&amp;'IND TECH'!D2478&amp;" "&amp;'IND TECH'!E2478&amp;" "&amp;'IND TECH'!F2478&amp;" "&amp;'IND TECH'!G2478&amp;" "&amp;'IND TECH'!H2478</f>
        <v xml:space="preserve">       </v>
      </c>
      <c r="E2480" t="e">
        <f t="shared" si="18"/>
        <v>#REF!</v>
      </c>
      <c r="F2480" t="e">
        <f>'IND TECH'!#REF!</f>
        <v>#REF!</v>
      </c>
    </row>
    <row r="2481" spans="3:6" x14ac:dyDescent="0.25">
      <c r="C2481">
        <f>'IND TECH'!L2479</f>
        <v>0</v>
      </c>
      <c r="D2481" t="str">
        <f>'IND TECH'!A2479&amp;" "&amp;'IND TECH'!B2479&amp;" "&amp;'IND TECH'!C2479&amp;" "&amp;'IND TECH'!D2479&amp;" "&amp;'IND TECH'!E2479&amp;" "&amp;'IND TECH'!F2479&amp;" "&amp;'IND TECH'!G2479&amp;" "&amp;'IND TECH'!H2479</f>
        <v xml:space="preserve">       </v>
      </c>
      <c r="E2481" t="e">
        <f t="shared" si="18"/>
        <v>#REF!</v>
      </c>
      <c r="F2481" t="e">
        <f>'IND TECH'!#REF!</f>
        <v>#REF!</v>
      </c>
    </row>
    <row r="2482" spans="3:6" x14ac:dyDescent="0.25">
      <c r="C2482">
        <f>'IND TECH'!L2480</f>
        <v>0</v>
      </c>
      <c r="D2482" t="str">
        <f>'IND TECH'!A2480&amp;" "&amp;'IND TECH'!B2480&amp;" "&amp;'IND TECH'!C2480&amp;" "&amp;'IND TECH'!D2480&amp;" "&amp;'IND TECH'!E2480&amp;" "&amp;'IND TECH'!F2480&amp;" "&amp;'IND TECH'!G2480&amp;" "&amp;'IND TECH'!H2480</f>
        <v xml:space="preserve">       </v>
      </c>
      <c r="E2482" t="e">
        <f t="shared" si="18"/>
        <v>#REF!</v>
      </c>
      <c r="F2482" t="e">
        <f>'IND TECH'!#REF!</f>
        <v>#REF!</v>
      </c>
    </row>
    <row r="2483" spans="3:6" x14ac:dyDescent="0.25">
      <c r="C2483">
        <f>'IND TECH'!L2481</f>
        <v>0</v>
      </c>
      <c r="D2483" t="str">
        <f>'IND TECH'!A2481&amp;" "&amp;'IND TECH'!B2481&amp;" "&amp;'IND TECH'!C2481&amp;" "&amp;'IND TECH'!D2481&amp;" "&amp;'IND TECH'!E2481&amp;" "&amp;'IND TECH'!F2481&amp;" "&amp;'IND TECH'!G2481&amp;" "&amp;'IND TECH'!H2481</f>
        <v xml:space="preserve">       </v>
      </c>
      <c r="E2483" t="e">
        <f t="shared" si="18"/>
        <v>#REF!</v>
      </c>
      <c r="F2483" t="e">
        <f>'IND TECH'!#REF!</f>
        <v>#REF!</v>
      </c>
    </row>
    <row r="2484" spans="3:6" x14ac:dyDescent="0.25">
      <c r="C2484">
        <f>'IND TECH'!L2482</f>
        <v>0</v>
      </c>
      <c r="D2484" t="str">
        <f>'IND TECH'!A2482&amp;" "&amp;'IND TECH'!B2482&amp;" "&amp;'IND TECH'!C2482&amp;" "&amp;'IND TECH'!D2482&amp;" "&amp;'IND TECH'!E2482&amp;" "&amp;'IND TECH'!F2482&amp;" "&amp;'IND TECH'!G2482&amp;" "&amp;'IND TECH'!H2482</f>
        <v xml:space="preserve">       </v>
      </c>
      <c r="E2484" t="e">
        <f t="shared" si="18"/>
        <v>#REF!</v>
      </c>
      <c r="F2484" t="e">
        <f>'IND TECH'!#REF!</f>
        <v>#REF!</v>
      </c>
    </row>
    <row r="2485" spans="3:6" x14ac:dyDescent="0.25">
      <c r="C2485">
        <f>'IND TECH'!L2483</f>
        <v>0</v>
      </c>
      <c r="D2485" t="str">
        <f>'IND TECH'!A2483&amp;" "&amp;'IND TECH'!B2483&amp;" "&amp;'IND TECH'!C2483&amp;" "&amp;'IND TECH'!D2483&amp;" "&amp;'IND TECH'!E2483&amp;" "&amp;'IND TECH'!F2483&amp;" "&amp;'IND TECH'!G2483&amp;" "&amp;'IND TECH'!H2483</f>
        <v xml:space="preserve">       </v>
      </c>
      <c r="E2485" t="e">
        <f t="shared" si="18"/>
        <v>#REF!</v>
      </c>
      <c r="F2485" t="e">
        <f>'IND TECH'!#REF!</f>
        <v>#REF!</v>
      </c>
    </row>
    <row r="2486" spans="3:6" x14ac:dyDescent="0.25">
      <c r="C2486">
        <f>'IND TECH'!L2484</f>
        <v>0</v>
      </c>
      <c r="D2486" t="str">
        <f>'IND TECH'!A2484&amp;" "&amp;'IND TECH'!B2484&amp;" "&amp;'IND TECH'!C2484&amp;" "&amp;'IND TECH'!D2484&amp;" "&amp;'IND TECH'!E2484&amp;" "&amp;'IND TECH'!F2484&amp;" "&amp;'IND TECH'!G2484&amp;" "&amp;'IND TECH'!H2484</f>
        <v xml:space="preserve">       </v>
      </c>
      <c r="E2486" t="e">
        <f t="shared" si="18"/>
        <v>#REF!</v>
      </c>
      <c r="F2486" t="e">
        <f>'IND TECH'!#REF!</f>
        <v>#REF!</v>
      </c>
    </row>
    <row r="2487" spans="3:6" x14ac:dyDescent="0.25">
      <c r="C2487">
        <f>'IND TECH'!L2485</f>
        <v>0</v>
      </c>
      <c r="D2487" t="str">
        <f>'IND TECH'!A2485&amp;" "&amp;'IND TECH'!B2485&amp;" "&amp;'IND TECH'!C2485&amp;" "&amp;'IND TECH'!D2485&amp;" "&amp;'IND TECH'!E2485&amp;" "&amp;'IND TECH'!F2485&amp;" "&amp;'IND TECH'!G2485&amp;" "&amp;'IND TECH'!H2485</f>
        <v xml:space="preserve">       </v>
      </c>
      <c r="E2487" t="e">
        <f t="shared" si="18"/>
        <v>#REF!</v>
      </c>
      <c r="F2487" t="e">
        <f>'IND TECH'!#REF!</f>
        <v>#REF!</v>
      </c>
    </row>
    <row r="2488" spans="3:6" x14ac:dyDescent="0.25">
      <c r="C2488">
        <f>'IND TECH'!L2486</f>
        <v>0</v>
      </c>
      <c r="D2488" t="str">
        <f>'IND TECH'!A2486&amp;" "&amp;'IND TECH'!B2486&amp;" "&amp;'IND TECH'!C2486&amp;" "&amp;'IND TECH'!D2486&amp;" "&amp;'IND TECH'!E2486&amp;" "&amp;'IND TECH'!F2486&amp;" "&amp;'IND TECH'!G2486&amp;" "&amp;'IND TECH'!H2486</f>
        <v xml:space="preserve">       </v>
      </c>
      <c r="E2488" t="e">
        <f t="shared" si="18"/>
        <v>#REF!</v>
      </c>
      <c r="F2488" t="e">
        <f>'IND TECH'!#REF!</f>
        <v>#REF!</v>
      </c>
    </row>
    <row r="2489" spans="3:6" x14ac:dyDescent="0.25">
      <c r="C2489">
        <f>'IND TECH'!L2487</f>
        <v>0</v>
      </c>
      <c r="D2489" t="str">
        <f>'IND TECH'!A2487&amp;" "&amp;'IND TECH'!B2487&amp;" "&amp;'IND TECH'!C2487&amp;" "&amp;'IND TECH'!D2487&amp;" "&amp;'IND TECH'!E2487&amp;" "&amp;'IND TECH'!F2487&amp;" "&amp;'IND TECH'!G2487&amp;" "&amp;'IND TECH'!H2487</f>
        <v xml:space="preserve">       </v>
      </c>
      <c r="E2489" t="e">
        <f t="shared" si="18"/>
        <v>#REF!</v>
      </c>
      <c r="F2489" t="e">
        <f>'IND TECH'!#REF!</f>
        <v>#REF!</v>
      </c>
    </row>
    <row r="2490" spans="3:6" x14ac:dyDescent="0.25">
      <c r="C2490">
        <f>'IND TECH'!L2488</f>
        <v>0</v>
      </c>
      <c r="D2490" t="str">
        <f>'IND TECH'!A2488&amp;" "&amp;'IND TECH'!B2488&amp;" "&amp;'IND TECH'!C2488&amp;" "&amp;'IND TECH'!D2488&amp;" "&amp;'IND TECH'!E2488&amp;" "&amp;'IND TECH'!F2488&amp;" "&amp;'IND TECH'!G2488&amp;" "&amp;'IND TECH'!H2488</f>
        <v xml:space="preserve">       </v>
      </c>
      <c r="E2490" t="e">
        <f t="shared" si="18"/>
        <v>#REF!</v>
      </c>
      <c r="F2490" t="e">
        <f>'IND TECH'!#REF!</f>
        <v>#REF!</v>
      </c>
    </row>
    <row r="2491" spans="3:6" x14ac:dyDescent="0.25">
      <c r="C2491">
        <f>'IND TECH'!L2489</f>
        <v>0</v>
      </c>
      <c r="D2491" t="str">
        <f>'IND TECH'!A2489&amp;" "&amp;'IND TECH'!B2489&amp;" "&amp;'IND TECH'!C2489&amp;" "&amp;'IND TECH'!D2489&amp;" "&amp;'IND TECH'!E2489&amp;" "&amp;'IND TECH'!F2489&amp;" "&amp;'IND TECH'!G2489&amp;" "&amp;'IND TECH'!H2489</f>
        <v xml:space="preserve">       </v>
      </c>
      <c r="E2491" t="e">
        <f t="shared" si="18"/>
        <v>#REF!</v>
      </c>
      <c r="F2491" t="e">
        <f>'IND TECH'!#REF!</f>
        <v>#REF!</v>
      </c>
    </row>
    <row r="2492" spans="3:6" x14ac:dyDescent="0.25">
      <c r="C2492">
        <f>'IND TECH'!L2490</f>
        <v>0</v>
      </c>
      <c r="D2492" t="str">
        <f>'IND TECH'!A2490&amp;" "&amp;'IND TECH'!B2490&amp;" "&amp;'IND TECH'!C2490&amp;" "&amp;'IND TECH'!D2490&amp;" "&amp;'IND TECH'!E2490&amp;" "&amp;'IND TECH'!F2490&amp;" "&amp;'IND TECH'!G2490&amp;" "&amp;'IND TECH'!H2490</f>
        <v xml:space="preserve">       </v>
      </c>
      <c r="E2492" t="e">
        <f t="shared" si="18"/>
        <v>#REF!</v>
      </c>
      <c r="F2492" t="e">
        <f>'IND TECH'!#REF!</f>
        <v>#REF!</v>
      </c>
    </row>
    <row r="2493" spans="3:6" x14ac:dyDescent="0.25">
      <c r="C2493">
        <f>'IND TECH'!L2491</f>
        <v>0</v>
      </c>
      <c r="D2493" t="str">
        <f>'IND TECH'!A2491&amp;" "&amp;'IND TECH'!B2491&amp;" "&amp;'IND TECH'!C2491&amp;" "&amp;'IND TECH'!D2491&amp;" "&amp;'IND TECH'!E2491&amp;" "&amp;'IND TECH'!F2491&amp;" "&amp;'IND TECH'!G2491&amp;" "&amp;'IND TECH'!H2491</f>
        <v xml:space="preserve">       </v>
      </c>
      <c r="E2493" t="e">
        <f t="shared" si="18"/>
        <v>#REF!</v>
      </c>
      <c r="F2493" t="e">
        <f>'IND TECH'!#REF!</f>
        <v>#REF!</v>
      </c>
    </row>
    <row r="2494" spans="3:6" x14ac:dyDescent="0.25">
      <c r="C2494">
        <f>'IND TECH'!L2492</f>
        <v>0</v>
      </c>
      <c r="D2494" t="str">
        <f>'IND TECH'!A2492&amp;" "&amp;'IND TECH'!B2492&amp;" "&amp;'IND TECH'!C2492&amp;" "&amp;'IND TECH'!D2492&amp;" "&amp;'IND TECH'!E2492&amp;" "&amp;'IND TECH'!F2492&amp;" "&amp;'IND TECH'!G2492&amp;" "&amp;'IND TECH'!H2492</f>
        <v xml:space="preserve">       </v>
      </c>
      <c r="E2494" t="e">
        <f t="shared" si="18"/>
        <v>#REF!</v>
      </c>
      <c r="F2494" t="e">
        <f>'IND TECH'!#REF!</f>
        <v>#REF!</v>
      </c>
    </row>
    <row r="2495" spans="3:6" x14ac:dyDescent="0.25">
      <c r="C2495">
        <f>'IND TECH'!L2493</f>
        <v>0</v>
      </c>
      <c r="D2495" t="str">
        <f>'IND TECH'!A2493&amp;" "&amp;'IND TECH'!B2493&amp;" "&amp;'IND TECH'!C2493&amp;" "&amp;'IND TECH'!D2493&amp;" "&amp;'IND TECH'!E2493&amp;" "&amp;'IND TECH'!F2493&amp;" "&amp;'IND TECH'!G2493&amp;" "&amp;'IND TECH'!H2493</f>
        <v xml:space="preserve">       </v>
      </c>
      <c r="E2495" t="e">
        <f t="shared" si="18"/>
        <v>#REF!</v>
      </c>
      <c r="F2495" t="e">
        <f>'IND TECH'!#REF!</f>
        <v>#REF!</v>
      </c>
    </row>
    <row r="2496" spans="3:6" x14ac:dyDescent="0.25">
      <c r="C2496">
        <f>'IND TECH'!L2494</f>
        <v>0</v>
      </c>
      <c r="D2496" t="str">
        <f>'IND TECH'!A2494&amp;" "&amp;'IND TECH'!B2494&amp;" "&amp;'IND TECH'!C2494&amp;" "&amp;'IND TECH'!D2494&amp;" "&amp;'IND TECH'!E2494&amp;" "&amp;'IND TECH'!F2494&amp;" "&amp;'IND TECH'!G2494&amp;" "&amp;'IND TECH'!H2494</f>
        <v xml:space="preserve">       </v>
      </c>
      <c r="E2496" t="e">
        <f t="shared" si="18"/>
        <v>#REF!</v>
      </c>
      <c r="F2496" t="e">
        <f>'IND TECH'!#REF!</f>
        <v>#REF!</v>
      </c>
    </row>
    <row r="2497" spans="3:6" x14ac:dyDescent="0.25">
      <c r="C2497">
        <f>'IND TECH'!L2495</f>
        <v>0</v>
      </c>
      <c r="D2497" t="str">
        <f>'IND TECH'!A2495&amp;" "&amp;'IND TECH'!B2495&amp;" "&amp;'IND TECH'!C2495&amp;" "&amp;'IND TECH'!D2495&amp;" "&amp;'IND TECH'!E2495&amp;" "&amp;'IND TECH'!F2495&amp;" "&amp;'IND TECH'!G2495&amp;" "&amp;'IND TECH'!H2495</f>
        <v xml:space="preserve">       </v>
      </c>
      <c r="E2497" t="e">
        <f t="shared" si="18"/>
        <v>#REF!</v>
      </c>
      <c r="F2497" t="e">
        <f>'IND TECH'!#REF!</f>
        <v>#REF!</v>
      </c>
    </row>
    <row r="2498" spans="3:6" x14ac:dyDescent="0.25">
      <c r="C2498">
        <f>'IND TECH'!L2496</f>
        <v>0</v>
      </c>
      <c r="D2498" t="str">
        <f>'IND TECH'!A2496&amp;" "&amp;'IND TECH'!B2496&amp;" "&amp;'IND TECH'!C2496&amp;" "&amp;'IND TECH'!D2496&amp;" "&amp;'IND TECH'!E2496&amp;" "&amp;'IND TECH'!F2496&amp;" "&amp;'IND TECH'!G2496&amp;" "&amp;'IND TECH'!H2496</f>
        <v xml:space="preserve">       </v>
      </c>
      <c r="E2498" t="e">
        <f t="shared" si="18"/>
        <v>#REF!</v>
      </c>
      <c r="F2498" t="e">
        <f>'IND TECH'!#REF!</f>
        <v>#REF!</v>
      </c>
    </row>
    <row r="2499" spans="3:6" x14ac:dyDescent="0.25">
      <c r="C2499">
        <f>'IND TECH'!L2497</f>
        <v>0</v>
      </c>
      <c r="D2499" t="str">
        <f>'IND TECH'!A2497&amp;" "&amp;'IND TECH'!B2497&amp;" "&amp;'IND TECH'!C2497&amp;" "&amp;'IND TECH'!D2497&amp;" "&amp;'IND TECH'!E2497&amp;" "&amp;'IND TECH'!F2497&amp;" "&amp;'IND TECH'!G2497&amp;" "&amp;'IND TECH'!H2497</f>
        <v xml:space="preserve">       </v>
      </c>
      <c r="E2499" t="e">
        <f t="shared" si="18"/>
        <v>#REF!</v>
      </c>
      <c r="F2499" t="e">
        <f>'IND TECH'!#REF!</f>
        <v>#REF!</v>
      </c>
    </row>
    <row r="2500" spans="3:6" x14ac:dyDescent="0.25">
      <c r="C2500">
        <f>'IND TECH'!L2498</f>
        <v>0</v>
      </c>
      <c r="D2500" t="str">
        <f>'IND TECH'!A2498&amp;" "&amp;'IND TECH'!B2498&amp;" "&amp;'IND TECH'!C2498&amp;" "&amp;'IND TECH'!D2498&amp;" "&amp;'IND TECH'!E2498&amp;" "&amp;'IND TECH'!F2498&amp;" "&amp;'IND TECH'!G2498&amp;" "&amp;'IND TECH'!H2498</f>
        <v xml:space="preserve">       </v>
      </c>
      <c r="E2500" t="e">
        <f t="shared" si="18"/>
        <v>#REF!</v>
      </c>
      <c r="F2500" t="e">
        <f>'IND TECH'!#REF!</f>
        <v>#REF!</v>
      </c>
    </row>
    <row r="2501" spans="3:6" x14ac:dyDescent="0.25">
      <c r="C2501">
        <f>'IND TECH'!L2499</f>
        <v>0</v>
      </c>
      <c r="D2501" t="str">
        <f>'IND TECH'!A2499&amp;" "&amp;'IND TECH'!B2499&amp;" "&amp;'IND TECH'!C2499&amp;" "&amp;'IND TECH'!D2499&amp;" "&amp;'IND TECH'!E2499&amp;" "&amp;'IND TECH'!F2499&amp;" "&amp;'IND TECH'!G2499&amp;" "&amp;'IND TECH'!H2499</f>
        <v xml:space="preserve">       </v>
      </c>
      <c r="E2501" t="e">
        <f t="shared" si="18"/>
        <v>#REF!</v>
      </c>
      <c r="F2501" t="e">
        <f>'IND TECH'!#REF!</f>
        <v>#REF!</v>
      </c>
    </row>
    <row r="2502" spans="3:6" x14ac:dyDescent="0.25">
      <c r="C2502">
        <f>'IND TECH'!L2500</f>
        <v>0</v>
      </c>
      <c r="D2502" t="str">
        <f>'IND TECH'!A2500&amp;" "&amp;'IND TECH'!B2500&amp;" "&amp;'IND TECH'!C2500&amp;" "&amp;'IND TECH'!D2500&amp;" "&amp;'IND TECH'!E2500&amp;" "&amp;'IND TECH'!F2500&amp;" "&amp;'IND TECH'!G2500&amp;" "&amp;'IND TECH'!H2500</f>
        <v xml:space="preserve">       </v>
      </c>
      <c r="E2502" t="e">
        <f t="shared" si="18"/>
        <v>#REF!</v>
      </c>
      <c r="F2502" t="e">
        <f>'IND TECH'!#REF!</f>
        <v>#REF!</v>
      </c>
    </row>
    <row r="2503" spans="3:6" x14ac:dyDescent="0.25">
      <c r="C2503">
        <f>'IND TECH'!L2501</f>
        <v>0</v>
      </c>
      <c r="D2503" t="str">
        <f>'IND TECH'!A2501&amp;" "&amp;'IND TECH'!B2501&amp;" "&amp;'IND TECH'!C2501&amp;" "&amp;'IND TECH'!D2501&amp;" "&amp;'IND TECH'!E2501&amp;" "&amp;'IND TECH'!F2501&amp;" "&amp;'IND TECH'!G2501&amp;" "&amp;'IND TECH'!H2501</f>
        <v xml:space="preserve">       </v>
      </c>
      <c r="E2503" t="e">
        <f t="shared" si="18"/>
        <v>#REF!</v>
      </c>
      <c r="F2503" t="e">
        <f>'IND TECH'!#REF!</f>
        <v>#REF!</v>
      </c>
    </row>
    <row r="2504" spans="3:6" x14ac:dyDescent="0.25">
      <c r="C2504">
        <f>'IND TECH'!L2502</f>
        <v>0</v>
      </c>
      <c r="D2504" t="str">
        <f>'IND TECH'!A2502&amp;" "&amp;'IND TECH'!B2502&amp;" "&amp;'IND TECH'!C2502&amp;" "&amp;'IND TECH'!D2502&amp;" "&amp;'IND TECH'!E2502&amp;" "&amp;'IND TECH'!F2502&amp;" "&amp;'IND TECH'!G2502&amp;" "&amp;'IND TECH'!H2502</f>
        <v xml:space="preserve">       </v>
      </c>
      <c r="E2504" t="e">
        <f t="shared" si="18"/>
        <v>#REF!</v>
      </c>
      <c r="F2504" t="e">
        <f>'IND TECH'!#REF!</f>
        <v>#REF!</v>
      </c>
    </row>
    <row r="2505" spans="3:6" x14ac:dyDescent="0.25">
      <c r="C2505">
        <f>'IND TECH'!L2503</f>
        <v>0</v>
      </c>
      <c r="D2505" t="str">
        <f>'IND TECH'!A2503&amp;" "&amp;'IND TECH'!B2503&amp;" "&amp;'IND TECH'!C2503&amp;" "&amp;'IND TECH'!D2503&amp;" "&amp;'IND TECH'!E2503&amp;" "&amp;'IND TECH'!F2503&amp;" "&amp;'IND TECH'!G2503&amp;" "&amp;'IND TECH'!H2503</f>
        <v xml:space="preserve">       </v>
      </c>
      <c r="E2505" t="e">
        <f t="shared" si="18"/>
        <v>#REF!</v>
      </c>
      <c r="F2505" t="e">
        <f>'IND TECH'!#REF!</f>
        <v>#REF!</v>
      </c>
    </row>
    <row r="2506" spans="3:6" x14ac:dyDescent="0.25">
      <c r="C2506">
        <f>'IND TECH'!L2504</f>
        <v>0</v>
      </c>
      <c r="D2506" t="str">
        <f>'IND TECH'!A2504&amp;" "&amp;'IND TECH'!B2504&amp;" "&amp;'IND TECH'!C2504&amp;" "&amp;'IND TECH'!D2504&amp;" "&amp;'IND TECH'!E2504&amp;" "&amp;'IND TECH'!F2504&amp;" "&amp;'IND TECH'!G2504&amp;" "&amp;'IND TECH'!H2504</f>
        <v xml:space="preserve">       </v>
      </c>
      <c r="E2506" t="e">
        <f t="shared" si="18"/>
        <v>#REF!</v>
      </c>
      <c r="F2506" t="e">
        <f>'IND TECH'!#REF!</f>
        <v>#REF!</v>
      </c>
    </row>
    <row r="2507" spans="3:6" x14ac:dyDescent="0.25">
      <c r="C2507">
        <f>'IND TECH'!L2505</f>
        <v>0</v>
      </c>
      <c r="D2507" t="str">
        <f>'IND TECH'!A2505&amp;" "&amp;'IND TECH'!B2505&amp;" "&amp;'IND TECH'!C2505&amp;" "&amp;'IND TECH'!D2505&amp;" "&amp;'IND TECH'!E2505&amp;" "&amp;'IND TECH'!F2505&amp;" "&amp;'IND TECH'!G2505&amp;" "&amp;'IND TECH'!H2505</f>
        <v xml:space="preserve">       </v>
      </c>
      <c r="E2507" t="e">
        <f t="shared" si="18"/>
        <v>#REF!</v>
      </c>
      <c r="F2507" t="e">
        <f>'IND TECH'!#REF!</f>
        <v>#REF!</v>
      </c>
    </row>
    <row r="2508" spans="3:6" x14ac:dyDescent="0.25">
      <c r="C2508">
        <f>'IND TECH'!L2506</f>
        <v>0</v>
      </c>
      <c r="D2508" t="str">
        <f>'IND TECH'!A2506&amp;" "&amp;'IND TECH'!B2506&amp;" "&amp;'IND TECH'!C2506&amp;" "&amp;'IND TECH'!D2506&amp;" "&amp;'IND TECH'!E2506&amp;" "&amp;'IND TECH'!F2506&amp;" "&amp;'IND TECH'!G2506&amp;" "&amp;'IND TECH'!H2506</f>
        <v xml:space="preserve">       </v>
      </c>
      <c r="E2508" t="e">
        <f t="shared" si="18"/>
        <v>#REF!</v>
      </c>
      <c r="F2508" t="e">
        <f>'IND TECH'!#REF!</f>
        <v>#REF!</v>
      </c>
    </row>
    <row r="2509" spans="3:6" x14ac:dyDescent="0.25">
      <c r="C2509">
        <f>'IND TECH'!L2507</f>
        <v>0</v>
      </c>
      <c r="D2509" t="str">
        <f>'IND TECH'!A2507&amp;" "&amp;'IND TECH'!B2507&amp;" "&amp;'IND TECH'!C2507&amp;" "&amp;'IND TECH'!D2507&amp;" "&amp;'IND TECH'!E2507&amp;" "&amp;'IND TECH'!F2507&amp;" "&amp;'IND TECH'!G2507&amp;" "&amp;'IND TECH'!H2507</f>
        <v xml:space="preserve">       </v>
      </c>
      <c r="E2509" t="e">
        <f t="shared" si="18"/>
        <v>#REF!</v>
      </c>
      <c r="F2509" t="e">
        <f>'IND TECH'!#REF!</f>
        <v>#REF!</v>
      </c>
    </row>
    <row r="2510" spans="3:6" x14ac:dyDescent="0.25">
      <c r="C2510">
        <f>'IND TECH'!L2508</f>
        <v>0</v>
      </c>
      <c r="D2510" t="str">
        <f>'IND TECH'!A2508&amp;" "&amp;'IND TECH'!B2508&amp;" "&amp;'IND TECH'!C2508&amp;" "&amp;'IND TECH'!D2508&amp;" "&amp;'IND TECH'!E2508&amp;" "&amp;'IND TECH'!F2508&amp;" "&amp;'IND TECH'!G2508&amp;" "&amp;'IND TECH'!H2508</f>
        <v xml:space="preserve">       </v>
      </c>
      <c r="E2510" t="e">
        <f t="shared" si="18"/>
        <v>#REF!</v>
      </c>
      <c r="F2510" t="e">
        <f>'IND TECH'!#REF!</f>
        <v>#REF!</v>
      </c>
    </row>
    <row r="2511" spans="3:6" x14ac:dyDescent="0.25">
      <c r="C2511">
        <f>'IND TECH'!L2509</f>
        <v>0</v>
      </c>
      <c r="D2511" t="str">
        <f>'IND TECH'!A2509&amp;" "&amp;'IND TECH'!B2509&amp;" "&amp;'IND TECH'!C2509&amp;" "&amp;'IND TECH'!D2509&amp;" "&amp;'IND TECH'!E2509&amp;" "&amp;'IND TECH'!F2509&amp;" "&amp;'IND TECH'!G2509&amp;" "&amp;'IND TECH'!H2509</f>
        <v xml:space="preserve">       </v>
      </c>
      <c r="E2511" t="e">
        <f t="shared" si="18"/>
        <v>#REF!</v>
      </c>
      <c r="F2511" t="e">
        <f>'IND TECH'!#REF!</f>
        <v>#REF!</v>
      </c>
    </row>
    <row r="2512" spans="3:6" x14ac:dyDescent="0.25">
      <c r="C2512">
        <f>'IND TECH'!L2510</f>
        <v>0</v>
      </c>
      <c r="D2512" t="str">
        <f>'IND TECH'!A2510&amp;" "&amp;'IND TECH'!B2510&amp;" "&amp;'IND TECH'!C2510&amp;" "&amp;'IND TECH'!D2510&amp;" "&amp;'IND TECH'!E2510&amp;" "&amp;'IND TECH'!F2510&amp;" "&amp;'IND TECH'!G2510&amp;" "&amp;'IND TECH'!H2510</f>
        <v xml:space="preserve">       </v>
      </c>
      <c r="E2512" t="e">
        <f t="shared" si="18"/>
        <v>#REF!</v>
      </c>
      <c r="F2512" t="e">
        <f>'IND TECH'!#REF!</f>
        <v>#REF!</v>
      </c>
    </row>
    <row r="2513" spans="3:6" x14ac:dyDescent="0.25">
      <c r="C2513">
        <f>'IND TECH'!L2511</f>
        <v>0</v>
      </c>
      <c r="D2513" t="str">
        <f>'IND TECH'!A2511&amp;" "&amp;'IND TECH'!B2511&amp;" "&amp;'IND TECH'!C2511&amp;" "&amp;'IND TECH'!D2511&amp;" "&amp;'IND TECH'!E2511&amp;" "&amp;'IND TECH'!F2511&amp;" "&amp;'IND TECH'!G2511&amp;" "&amp;'IND TECH'!H2511</f>
        <v xml:space="preserve">       </v>
      </c>
      <c r="E2513" t="e">
        <f t="shared" si="18"/>
        <v>#REF!</v>
      </c>
      <c r="F2513" t="e">
        <f>'IND TECH'!#REF!</f>
        <v>#REF!</v>
      </c>
    </row>
    <row r="2514" spans="3:6" x14ac:dyDescent="0.25">
      <c r="C2514">
        <f>'IND TECH'!L2512</f>
        <v>0</v>
      </c>
      <c r="D2514" t="str">
        <f>'IND TECH'!A2512&amp;" "&amp;'IND TECH'!B2512&amp;" "&amp;'IND TECH'!C2512&amp;" "&amp;'IND TECH'!D2512&amp;" "&amp;'IND TECH'!E2512&amp;" "&amp;'IND TECH'!F2512&amp;" "&amp;'IND TECH'!G2512&amp;" "&amp;'IND TECH'!H2512</f>
        <v xml:space="preserve">       </v>
      </c>
      <c r="E2514" t="e">
        <f t="shared" si="18"/>
        <v>#REF!</v>
      </c>
      <c r="F2514" t="e">
        <f>'IND TECH'!#REF!</f>
        <v>#REF!</v>
      </c>
    </row>
    <row r="2515" spans="3:6" x14ac:dyDescent="0.25">
      <c r="C2515">
        <f>'IND TECH'!L2513</f>
        <v>0</v>
      </c>
      <c r="D2515" t="str">
        <f>'IND TECH'!A2513&amp;" "&amp;'IND TECH'!B2513&amp;" "&amp;'IND TECH'!C2513&amp;" "&amp;'IND TECH'!D2513&amp;" "&amp;'IND TECH'!E2513&amp;" "&amp;'IND TECH'!F2513&amp;" "&amp;'IND TECH'!G2513&amp;" "&amp;'IND TECH'!H2513</f>
        <v xml:space="preserve">       </v>
      </c>
      <c r="E2515" t="e">
        <f t="shared" ref="E2515:E2578" si="19">IF(F2515="Mlma","Mlm","TJ")</f>
        <v>#REF!</v>
      </c>
      <c r="F2515" t="e">
        <f>'IND TECH'!#REF!</f>
        <v>#REF!</v>
      </c>
    </row>
    <row r="2516" spans="3:6" x14ac:dyDescent="0.25">
      <c r="C2516">
        <f>'IND TECH'!L2514</f>
        <v>0</v>
      </c>
      <c r="D2516" t="str">
        <f>'IND TECH'!A2514&amp;" "&amp;'IND TECH'!B2514&amp;" "&amp;'IND TECH'!C2514&amp;" "&amp;'IND TECH'!D2514&amp;" "&amp;'IND TECH'!E2514&amp;" "&amp;'IND TECH'!F2514&amp;" "&amp;'IND TECH'!G2514&amp;" "&amp;'IND TECH'!H2514</f>
        <v xml:space="preserve">       </v>
      </c>
      <c r="E2516" t="e">
        <f t="shared" si="19"/>
        <v>#REF!</v>
      </c>
      <c r="F2516" t="e">
        <f>'IND TECH'!#REF!</f>
        <v>#REF!</v>
      </c>
    </row>
    <row r="2517" spans="3:6" x14ac:dyDescent="0.25">
      <c r="C2517">
        <f>'IND TECH'!L2515</f>
        <v>0</v>
      </c>
      <c r="D2517" t="str">
        <f>'IND TECH'!A2515&amp;" "&amp;'IND TECH'!B2515&amp;" "&amp;'IND TECH'!C2515&amp;" "&amp;'IND TECH'!D2515&amp;" "&amp;'IND TECH'!E2515&amp;" "&amp;'IND TECH'!F2515&amp;" "&amp;'IND TECH'!G2515&amp;" "&amp;'IND TECH'!H2515</f>
        <v xml:space="preserve">       </v>
      </c>
      <c r="E2517" t="e">
        <f t="shared" si="19"/>
        <v>#REF!</v>
      </c>
      <c r="F2517" t="e">
        <f>'IND TECH'!#REF!</f>
        <v>#REF!</v>
      </c>
    </row>
    <row r="2518" spans="3:6" x14ac:dyDescent="0.25">
      <c r="C2518">
        <f>'IND TECH'!L2516</f>
        <v>0</v>
      </c>
      <c r="D2518" t="str">
        <f>'IND TECH'!A2516&amp;" "&amp;'IND TECH'!B2516&amp;" "&amp;'IND TECH'!C2516&amp;" "&amp;'IND TECH'!D2516&amp;" "&amp;'IND TECH'!E2516&amp;" "&amp;'IND TECH'!F2516&amp;" "&amp;'IND TECH'!G2516&amp;" "&amp;'IND TECH'!H2516</f>
        <v xml:space="preserve">       </v>
      </c>
      <c r="E2518" t="e">
        <f t="shared" si="19"/>
        <v>#REF!</v>
      </c>
      <c r="F2518" t="e">
        <f>'IND TECH'!#REF!</f>
        <v>#REF!</v>
      </c>
    </row>
    <row r="2519" spans="3:6" x14ac:dyDescent="0.25">
      <c r="C2519">
        <f>'IND TECH'!L2517</f>
        <v>0</v>
      </c>
      <c r="D2519" t="str">
        <f>'IND TECH'!A2517&amp;" "&amp;'IND TECH'!B2517&amp;" "&amp;'IND TECH'!C2517&amp;" "&amp;'IND TECH'!D2517&amp;" "&amp;'IND TECH'!E2517&amp;" "&amp;'IND TECH'!F2517&amp;" "&amp;'IND TECH'!G2517&amp;" "&amp;'IND TECH'!H2517</f>
        <v xml:space="preserve">       </v>
      </c>
      <c r="E2519" t="e">
        <f t="shared" si="19"/>
        <v>#REF!</v>
      </c>
      <c r="F2519" t="e">
        <f>'IND TECH'!#REF!</f>
        <v>#REF!</v>
      </c>
    </row>
    <row r="2520" spans="3:6" x14ac:dyDescent="0.25">
      <c r="C2520">
        <f>'IND TECH'!L2518</f>
        <v>0</v>
      </c>
      <c r="D2520" t="str">
        <f>'IND TECH'!A2518&amp;" "&amp;'IND TECH'!B2518&amp;" "&amp;'IND TECH'!C2518&amp;" "&amp;'IND TECH'!D2518&amp;" "&amp;'IND TECH'!E2518&amp;" "&amp;'IND TECH'!F2518&amp;" "&amp;'IND TECH'!G2518&amp;" "&amp;'IND TECH'!H2518</f>
        <v xml:space="preserve">       </v>
      </c>
      <c r="E2520" t="e">
        <f t="shared" si="19"/>
        <v>#REF!</v>
      </c>
      <c r="F2520" t="e">
        <f>'IND TECH'!#REF!</f>
        <v>#REF!</v>
      </c>
    </row>
    <row r="2521" spans="3:6" x14ac:dyDescent="0.25">
      <c r="C2521">
        <f>'IND TECH'!L2519</f>
        <v>0</v>
      </c>
      <c r="D2521" t="str">
        <f>'IND TECH'!A2519&amp;" "&amp;'IND TECH'!B2519&amp;" "&amp;'IND TECH'!C2519&amp;" "&amp;'IND TECH'!D2519&amp;" "&amp;'IND TECH'!E2519&amp;" "&amp;'IND TECH'!F2519&amp;" "&amp;'IND TECH'!G2519&amp;" "&amp;'IND TECH'!H2519</f>
        <v xml:space="preserve">       </v>
      </c>
      <c r="E2521" t="e">
        <f t="shared" si="19"/>
        <v>#REF!</v>
      </c>
      <c r="F2521" t="e">
        <f>'IND TECH'!#REF!</f>
        <v>#REF!</v>
      </c>
    </row>
    <row r="2522" spans="3:6" x14ac:dyDescent="0.25">
      <c r="C2522">
        <f>'IND TECH'!L2520</f>
        <v>0</v>
      </c>
      <c r="D2522" t="str">
        <f>'IND TECH'!A2520&amp;" "&amp;'IND TECH'!B2520&amp;" "&amp;'IND TECH'!C2520&amp;" "&amp;'IND TECH'!D2520&amp;" "&amp;'IND TECH'!E2520&amp;" "&amp;'IND TECH'!F2520&amp;" "&amp;'IND TECH'!G2520&amp;" "&amp;'IND TECH'!H2520</f>
        <v xml:space="preserve">       </v>
      </c>
      <c r="E2522" t="e">
        <f t="shared" si="19"/>
        <v>#REF!</v>
      </c>
      <c r="F2522" t="e">
        <f>'IND TECH'!#REF!</f>
        <v>#REF!</v>
      </c>
    </row>
    <row r="2523" spans="3:6" x14ac:dyDescent="0.25">
      <c r="C2523">
        <f>'IND TECH'!L2521</f>
        <v>0</v>
      </c>
      <c r="D2523" t="str">
        <f>'IND TECH'!A2521&amp;" "&amp;'IND TECH'!B2521&amp;" "&amp;'IND TECH'!C2521&amp;" "&amp;'IND TECH'!D2521&amp;" "&amp;'IND TECH'!E2521&amp;" "&amp;'IND TECH'!F2521&amp;" "&amp;'IND TECH'!G2521&amp;" "&amp;'IND TECH'!H2521</f>
        <v xml:space="preserve">       </v>
      </c>
      <c r="E2523" t="e">
        <f t="shared" si="19"/>
        <v>#REF!</v>
      </c>
      <c r="F2523" t="e">
        <f>'IND TECH'!#REF!</f>
        <v>#REF!</v>
      </c>
    </row>
    <row r="2524" spans="3:6" x14ac:dyDescent="0.25">
      <c r="C2524">
        <f>'IND TECH'!L2522</f>
        <v>0</v>
      </c>
      <c r="D2524" t="str">
        <f>'IND TECH'!A2522&amp;" "&amp;'IND TECH'!B2522&amp;" "&amp;'IND TECH'!C2522&amp;" "&amp;'IND TECH'!D2522&amp;" "&amp;'IND TECH'!E2522&amp;" "&amp;'IND TECH'!F2522&amp;" "&amp;'IND TECH'!G2522&amp;" "&amp;'IND TECH'!H2522</f>
        <v xml:space="preserve">       </v>
      </c>
      <c r="E2524" t="e">
        <f t="shared" si="19"/>
        <v>#REF!</v>
      </c>
      <c r="F2524" t="e">
        <f>'IND TECH'!#REF!</f>
        <v>#REF!</v>
      </c>
    </row>
    <row r="2525" spans="3:6" x14ac:dyDescent="0.25">
      <c r="C2525">
        <f>'IND TECH'!L2523</f>
        <v>0</v>
      </c>
      <c r="D2525" t="str">
        <f>'IND TECH'!A2523&amp;" "&amp;'IND TECH'!B2523&amp;" "&amp;'IND TECH'!C2523&amp;" "&amp;'IND TECH'!D2523&amp;" "&amp;'IND TECH'!E2523&amp;" "&amp;'IND TECH'!F2523&amp;" "&amp;'IND TECH'!G2523&amp;" "&amp;'IND TECH'!H2523</f>
        <v xml:space="preserve">       </v>
      </c>
      <c r="E2525" t="e">
        <f t="shared" si="19"/>
        <v>#REF!</v>
      </c>
      <c r="F2525" t="e">
        <f>'IND TECH'!#REF!</f>
        <v>#REF!</v>
      </c>
    </row>
    <row r="2526" spans="3:6" x14ac:dyDescent="0.25">
      <c r="C2526">
        <f>'IND TECH'!L2524</f>
        <v>0</v>
      </c>
      <c r="D2526" t="str">
        <f>'IND TECH'!A2524&amp;" "&amp;'IND TECH'!B2524&amp;" "&amp;'IND TECH'!C2524&amp;" "&amp;'IND TECH'!D2524&amp;" "&amp;'IND TECH'!E2524&amp;" "&amp;'IND TECH'!F2524&amp;" "&amp;'IND TECH'!G2524&amp;" "&amp;'IND TECH'!H2524</f>
        <v xml:space="preserve">       </v>
      </c>
      <c r="E2526" t="e">
        <f t="shared" si="19"/>
        <v>#REF!</v>
      </c>
      <c r="F2526" t="e">
        <f>'IND TECH'!#REF!</f>
        <v>#REF!</v>
      </c>
    </row>
    <row r="2527" spans="3:6" x14ac:dyDescent="0.25">
      <c r="C2527">
        <f>'IND TECH'!L2525</f>
        <v>0</v>
      </c>
      <c r="D2527" t="str">
        <f>'IND TECH'!A2525&amp;" "&amp;'IND TECH'!B2525&amp;" "&amp;'IND TECH'!C2525&amp;" "&amp;'IND TECH'!D2525&amp;" "&amp;'IND TECH'!E2525&amp;" "&amp;'IND TECH'!F2525&amp;" "&amp;'IND TECH'!G2525&amp;" "&amp;'IND TECH'!H2525</f>
        <v xml:space="preserve">       </v>
      </c>
      <c r="E2527" t="e">
        <f t="shared" si="19"/>
        <v>#REF!</v>
      </c>
      <c r="F2527" t="e">
        <f>'IND TECH'!#REF!</f>
        <v>#REF!</v>
      </c>
    </row>
    <row r="2528" spans="3:6" x14ac:dyDescent="0.25">
      <c r="C2528">
        <f>'IND TECH'!L2526</f>
        <v>0</v>
      </c>
      <c r="D2528" t="str">
        <f>'IND TECH'!A2526&amp;" "&amp;'IND TECH'!B2526&amp;" "&amp;'IND TECH'!C2526&amp;" "&amp;'IND TECH'!D2526&amp;" "&amp;'IND TECH'!E2526&amp;" "&amp;'IND TECH'!F2526&amp;" "&amp;'IND TECH'!G2526&amp;" "&amp;'IND TECH'!H2526</f>
        <v xml:space="preserve">       </v>
      </c>
      <c r="E2528" t="e">
        <f t="shared" si="19"/>
        <v>#REF!</v>
      </c>
      <c r="F2528" t="e">
        <f>'IND TECH'!#REF!</f>
        <v>#REF!</v>
      </c>
    </row>
    <row r="2529" spans="3:6" x14ac:dyDescent="0.25">
      <c r="C2529">
        <f>'IND TECH'!L2527</f>
        <v>0</v>
      </c>
      <c r="D2529" t="str">
        <f>'IND TECH'!A2527&amp;" "&amp;'IND TECH'!B2527&amp;" "&amp;'IND TECH'!C2527&amp;" "&amp;'IND TECH'!D2527&amp;" "&amp;'IND TECH'!E2527&amp;" "&amp;'IND TECH'!F2527&amp;" "&amp;'IND TECH'!G2527&amp;" "&amp;'IND TECH'!H2527</f>
        <v xml:space="preserve">       </v>
      </c>
      <c r="E2529" t="e">
        <f t="shared" si="19"/>
        <v>#REF!</v>
      </c>
      <c r="F2529" t="e">
        <f>'IND TECH'!#REF!</f>
        <v>#REF!</v>
      </c>
    </row>
    <row r="2530" spans="3:6" x14ac:dyDescent="0.25">
      <c r="C2530">
        <f>'IND TECH'!L2528</f>
        <v>0</v>
      </c>
      <c r="D2530" t="str">
        <f>'IND TECH'!A2528&amp;" "&amp;'IND TECH'!B2528&amp;" "&amp;'IND TECH'!C2528&amp;" "&amp;'IND TECH'!D2528&amp;" "&amp;'IND TECH'!E2528&amp;" "&amp;'IND TECH'!F2528&amp;" "&amp;'IND TECH'!G2528&amp;" "&amp;'IND TECH'!H2528</f>
        <v xml:space="preserve">       </v>
      </c>
      <c r="E2530" t="e">
        <f t="shared" si="19"/>
        <v>#REF!</v>
      </c>
      <c r="F2530" t="e">
        <f>'IND TECH'!#REF!</f>
        <v>#REF!</v>
      </c>
    </row>
    <row r="2531" spans="3:6" x14ac:dyDescent="0.25">
      <c r="C2531">
        <f>'IND TECH'!L2529</f>
        <v>0</v>
      </c>
      <c r="D2531" t="str">
        <f>'IND TECH'!A2529&amp;" "&amp;'IND TECH'!B2529&amp;" "&amp;'IND TECH'!C2529&amp;" "&amp;'IND TECH'!D2529&amp;" "&amp;'IND TECH'!E2529&amp;" "&amp;'IND TECH'!F2529&amp;" "&amp;'IND TECH'!G2529&amp;" "&amp;'IND TECH'!H2529</f>
        <v xml:space="preserve">       </v>
      </c>
      <c r="E2531" t="e">
        <f t="shared" si="19"/>
        <v>#REF!</v>
      </c>
      <c r="F2531" t="e">
        <f>'IND TECH'!#REF!</f>
        <v>#REF!</v>
      </c>
    </row>
    <row r="2532" spans="3:6" x14ac:dyDescent="0.25">
      <c r="C2532">
        <f>'IND TECH'!L2530</f>
        <v>0</v>
      </c>
      <c r="D2532" t="str">
        <f>'IND TECH'!A2530&amp;" "&amp;'IND TECH'!B2530&amp;" "&amp;'IND TECH'!C2530&amp;" "&amp;'IND TECH'!D2530&amp;" "&amp;'IND TECH'!E2530&amp;" "&amp;'IND TECH'!F2530&amp;" "&amp;'IND TECH'!G2530&amp;" "&amp;'IND TECH'!H2530</f>
        <v xml:space="preserve">       </v>
      </c>
      <c r="E2532" t="e">
        <f t="shared" si="19"/>
        <v>#REF!</v>
      </c>
      <c r="F2532" t="e">
        <f>'IND TECH'!#REF!</f>
        <v>#REF!</v>
      </c>
    </row>
    <row r="2533" spans="3:6" x14ac:dyDescent="0.25">
      <c r="C2533">
        <f>'IND TECH'!L2531</f>
        <v>0</v>
      </c>
      <c r="D2533" t="str">
        <f>'IND TECH'!A2531&amp;" "&amp;'IND TECH'!B2531&amp;" "&amp;'IND TECH'!C2531&amp;" "&amp;'IND TECH'!D2531&amp;" "&amp;'IND TECH'!E2531&amp;" "&amp;'IND TECH'!F2531&amp;" "&amp;'IND TECH'!G2531&amp;" "&amp;'IND TECH'!H2531</f>
        <v xml:space="preserve">       </v>
      </c>
      <c r="E2533" t="e">
        <f t="shared" si="19"/>
        <v>#REF!</v>
      </c>
      <c r="F2533" t="e">
        <f>'IND TECH'!#REF!</f>
        <v>#REF!</v>
      </c>
    </row>
    <row r="2534" spans="3:6" x14ac:dyDescent="0.25">
      <c r="C2534">
        <f>'IND TECH'!L2532</f>
        <v>0</v>
      </c>
      <c r="D2534" t="str">
        <f>'IND TECH'!A2532&amp;" "&amp;'IND TECH'!B2532&amp;" "&amp;'IND TECH'!C2532&amp;" "&amp;'IND TECH'!D2532&amp;" "&amp;'IND TECH'!E2532&amp;" "&amp;'IND TECH'!F2532&amp;" "&amp;'IND TECH'!G2532&amp;" "&amp;'IND TECH'!H2532</f>
        <v xml:space="preserve">       </v>
      </c>
      <c r="E2534" t="e">
        <f t="shared" si="19"/>
        <v>#REF!</v>
      </c>
      <c r="F2534" t="e">
        <f>'IND TECH'!#REF!</f>
        <v>#REF!</v>
      </c>
    </row>
    <row r="2535" spans="3:6" x14ac:dyDescent="0.25">
      <c r="C2535">
        <f>'IND TECH'!L2533</f>
        <v>0</v>
      </c>
      <c r="D2535" t="str">
        <f>'IND TECH'!A2533&amp;" "&amp;'IND TECH'!B2533&amp;" "&amp;'IND TECH'!C2533&amp;" "&amp;'IND TECH'!D2533&amp;" "&amp;'IND TECH'!E2533&amp;" "&amp;'IND TECH'!F2533&amp;" "&amp;'IND TECH'!G2533&amp;" "&amp;'IND TECH'!H2533</f>
        <v xml:space="preserve">       </v>
      </c>
      <c r="E2535" t="e">
        <f t="shared" si="19"/>
        <v>#REF!</v>
      </c>
      <c r="F2535" t="e">
        <f>'IND TECH'!#REF!</f>
        <v>#REF!</v>
      </c>
    </row>
    <row r="2536" spans="3:6" x14ac:dyDescent="0.25">
      <c r="C2536">
        <f>'IND TECH'!L2534</f>
        <v>0</v>
      </c>
      <c r="D2536" t="str">
        <f>'IND TECH'!A2534&amp;" "&amp;'IND TECH'!B2534&amp;" "&amp;'IND TECH'!C2534&amp;" "&amp;'IND TECH'!D2534&amp;" "&amp;'IND TECH'!E2534&amp;" "&amp;'IND TECH'!F2534&amp;" "&amp;'IND TECH'!G2534&amp;" "&amp;'IND TECH'!H2534</f>
        <v xml:space="preserve">       </v>
      </c>
      <c r="E2536" t="e">
        <f t="shared" si="19"/>
        <v>#REF!</v>
      </c>
      <c r="F2536" t="e">
        <f>'IND TECH'!#REF!</f>
        <v>#REF!</v>
      </c>
    </row>
    <row r="2537" spans="3:6" x14ac:dyDescent="0.25">
      <c r="C2537">
        <f>'IND TECH'!L2535</f>
        <v>0</v>
      </c>
      <c r="D2537" t="str">
        <f>'IND TECH'!A2535&amp;" "&amp;'IND TECH'!B2535&amp;" "&amp;'IND TECH'!C2535&amp;" "&amp;'IND TECH'!D2535&amp;" "&amp;'IND TECH'!E2535&amp;" "&amp;'IND TECH'!F2535&amp;" "&amp;'IND TECH'!G2535&amp;" "&amp;'IND TECH'!H2535</f>
        <v xml:space="preserve">       </v>
      </c>
      <c r="E2537" t="e">
        <f t="shared" si="19"/>
        <v>#REF!</v>
      </c>
      <c r="F2537" t="e">
        <f>'IND TECH'!#REF!</f>
        <v>#REF!</v>
      </c>
    </row>
    <row r="2538" spans="3:6" x14ac:dyDescent="0.25">
      <c r="C2538">
        <f>'IND TECH'!L2536</f>
        <v>0</v>
      </c>
      <c r="D2538" t="str">
        <f>'IND TECH'!A2536&amp;" "&amp;'IND TECH'!B2536&amp;" "&amp;'IND TECH'!C2536&amp;" "&amp;'IND TECH'!D2536&amp;" "&amp;'IND TECH'!E2536&amp;" "&amp;'IND TECH'!F2536&amp;" "&amp;'IND TECH'!G2536&amp;" "&amp;'IND TECH'!H2536</f>
        <v xml:space="preserve">       </v>
      </c>
      <c r="E2538" t="e">
        <f t="shared" si="19"/>
        <v>#REF!</v>
      </c>
      <c r="F2538" t="e">
        <f>'IND TECH'!#REF!</f>
        <v>#REF!</v>
      </c>
    </row>
    <row r="2539" spans="3:6" x14ac:dyDescent="0.25">
      <c r="C2539">
        <f>'IND TECH'!L2537</f>
        <v>0</v>
      </c>
      <c r="D2539" t="str">
        <f>'IND TECH'!A2537&amp;" "&amp;'IND TECH'!B2537&amp;" "&amp;'IND TECH'!C2537&amp;" "&amp;'IND TECH'!D2537&amp;" "&amp;'IND TECH'!E2537&amp;" "&amp;'IND TECH'!F2537&amp;" "&amp;'IND TECH'!G2537&amp;" "&amp;'IND TECH'!H2537</f>
        <v xml:space="preserve">       </v>
      </c>
      <c r="E2539" t="e">
        <f t="shared" si="19"/>
        <v>#REF!</v>
      </c>
      <c r="F2539" t="e">
        <f>'IND TECH'!#REF!</f>
        <v>#REF!</v>
      </c>
    </row>
    <row r="2540" spans="3:6" x14ac:dyDescent="0.25">
      <c r="C2540">
        <f>'IND TECH'!L2538</f>
        <v>0</v>
      </c>
      <c r="D2540" t="str">
        <f>'IND TECH'!A2538&amp;" "&amp;'IND TECH'!B2538&amp;" "&amp;'IND TECH'!C2538&amp;" "&amp;'IND TECH'!D2538&amp;" "&amp;'IND TECH'!E2538&amp;" "&amp;'IND TECH'!F2538&amp;" "&amp;'IND TECH'!G2538&amp;" "&amp;'IND TECH'!H2538</f>
        <v xml:space="preserve">       </v>
      </c>
      <c r="E2540" t="e">
        <f t="shared" si="19"/>
        <v>#REF!</v>
      </c>
      <c r="F2540" t="e">
        <f>'IND TECH'!#REF!</f>
        <v>#REF!</v>
      </c>
    </row>
    <row r="2541" spans="3:6" x14ac:dyDescent="0.25">
      <c r="C2541">
        <f>'IND TECH'!L2539</f>
        <v>0</v>
      </c>
      <c r="D2541" t="str">
        <f>'IND TECH'!A2539&amp;" "&amp;'IND TECH'!B2539&amp;" "&amp;'IND TECH'!C2539&amp;" "&amp;'IND TECH'!D2539&amp;" "&amp;'IND TECH'!E2539&amp;" "&amp;'IND TECH'!F2539&amp;" "&amp;'IND TECH'!G2539&amp;" "&amp;'IND TECH'!H2539</f>
        <v xml:space="preserve">       </v>
      </c>
      <c r="E2541" t="e">
        <f t="shared" si="19"/>
        <v>#REF!</v>
      </c>
      <c r="F2541" t="e">
        <f>'IND TECH'!#REF!</f>
        <v>#REF!</v>
      </c>
    </row>
    <row r="2542" spans="3:6" x14ac:dyDescent="0.25">
      <c r="C2542">
        <f>'IND TECH'!L2540</f>
        <v>0</v>
      </c>
      <c r="D2542" t="str">
        <f>'IND TECH'!A2540&amp;" "&amp;'IND TECH'!B2540&amp;" "&amp;'IND TECH'!C2540&amp;" "&amp;'IND TECH'!D2540&amp;" "&amp;'IND TECH'!E2540&amp;" "&amp;'IND TECH'!F2540&amp;" "&amp;'IND TECH'!G2540&amp;" "&amp;'IND TECH'!H2540</f>
        <v xml:space="preserve">       </v>
      </c>
      <c r="E2542" t="e">
        <f t="shared" si="19"/>
        <v>#REF!</v>
      </c>
      <c r="F2542" t="e">
        <f>'IND TECH'!#REF!</f>
        <v>#REF!</v>
      </c>
    </row>
    <row r="2543" spans="3:6" x14ac:dyDescent="0.25">
      <c r="C2543">
        <f>'IND TECH'!L2541</f>
        <v>0</v>
      </c>
      <c r="D2543" t="str">
        <f>'IND TECH'!A2541&amp;" "&amp;'IND TECH'!B2541&amp;" "&amp;'IND TECH'!C2541&amp;" "&amp;'IND TECH'!D2541&amp;" "&amp;'IND TECH'!E2541&amp;" "&amp;'IND TECH'!F2541&amp;" "&amp;'IND TECH'!G2541&amp;" "&amp;'IND TECH'!H2541</f>
        <v xml:space="preserve">       </v>
      </c>
      <c r="E2543" t="e">
        <f t="shared" si="19"/>
        <v>#REF!</v>
      </c>
      <c r="F2543" t="e">
        <f>'IND TECH'!#REF!</f>
        <v>#REF!</v>
      </c>
    </row>
    <row r="2544" spans="3:6" x14ac:dyDescent="0.25">
      <c r="C2544">
        <f>'IND TECH'!L2542</f>
        <v>0</v>
      </c>
      <c r="D2544" t="str">
        <f>'IND TECH'!A2542&amp;" "&amp;'IND TECH'!B2542&amp;" "&amp;'IND TECH'!C2542&amp;" "&amp;'IND TECH'!D2542&amp;" "&amp;'IND TECH'!E2542&amp;" "&amp;'IND TECH'!F2542&amp;" "&amp;'IND TECH'!G2542&amp;" "&amp;'IND TECH'!H2542</f>
        <v xml:space="preserve">       </v>
      </c>
      <c r="E2544" t="e">
        <f t="shared" si="19"/>
        <v>#REF!</v>
      </c>
      <c r="F2544" t="e">
        <f>'IND TECH'!#REF!</f>
        <v>#REF!</v>
      </c>
    </row>
    <row r="2545" spans="3:6" x14ac:dyDescent="0.25">
      <c r="C2545">
        <f>'IND TECH'!L2543</f>
        <v>0</v>
      </c>
      <c r="D2545" t="str">
        <f>'IND TECH'!A2543&amp;" "&amp;'IND TECH'!B2543&amp;" "&amp;'IND TECH'!C2543&amp;" "&amp;'IND TECH'!D2543&amp;" "&amp;'IND TECH'!E2543&amp;" "&amp;'IND TECH'!F2543&amp;" "&amp;'IND TECH'!G2543&amp;" "&amp;'IND TECH'!H2543</f>
        <v xml:space="preserve">       </v>
      </c>
      <c r="E2545" t="e">
        <f t="shared" si="19"/>
        <v>#REF!</v>
      </c>
      <c r="F2545" t="e">
        <f>'IND TECH'!#REF!</f>
        <v>#REF!</v>
      </c>
    </row>
    <row r="2546" spans="3:6" x14ac:dyDescent="0.25">
      <c r="C2546">
        <f>'IND TECH'!L2544</f>
        <v>0</v>
      </c>
      <c r="D2546" t="str">
        <f>'IND TECH'!A2544&amp;" "&amp;'IND TECH'!B2544&amp;" "&amp;'IND TECH'!C2544&amp;" "&amp;'IND TECH'!D2544&amp;" "&amp;'IND TECH'!E2544&amp;" "&amp;'IND TECH'!F2544&amp;" "&amp;'IND TECH'!G2544&amp;" "&amp;'IND TECH'!H2544</f>
        <v xml:space="preserve">       </v>
      </c>
      <c r="E2546" t="e">
        <f t="shared" si="19"/>
        <v>#REF!</v>
      </c>
      <c r="F2546" t="e">
        <f>'IND TECH'!#REF!</f>
        <v>#REF!</v>
      </c>
    </row>
    <row r="2547" spans="3:6" x14ac:dyDescent="0.25">
      <c r="C2547">
        <f>'IND TECH'!L2545</f>
        <v>0</v>
      </c>
      <c r="D2547" t="str">
        <f>'IND TECH'!A2545&amp;" "&amp;'IND TECH'!B2545&amp;" "&amp;'IND TECH'!C2545&amp;" "&amp;'IND TECH'!D2545&amp;" "&amp;'IND TECH'!E2545&amp;" "&amp;'IND TECH'!F2545&amp;" "&amp;'IND TECH'!G2545&amp;" "&amp;'IND TECH'!H2545</f>
        <v xml:space="preserve">       </v>
      </c>
      <c r="E2547" t="e">
        <f t="shared" si="19"/>
        <v>#REF!</v>
      </c>
      <c r="F2547" t="e">
        <f>'IND TECH'!#REF!</f>
        <v>#REF!</v>
      </c>
    </row>
    <row r="2548" spans="3:6" x14ac:dyDescent="0.25">
      <c r="C2548">
        <f>'IND TECH'!L2546</f>
        <v>0</v>
      </c>
      <c r="D2548" t="str">
        <f>'IND TECH'!A2546&amp;" "&amp;'IND TECH'!B2546&amp;" "&amp;'IND TECH'!C2546&amp;" "&amp;'IND TECH'!D2546&amp;" "&amp;'IND TECH'!E2546&amp;" "&amp;'IND TECH'!F2546&amp;" "&amp;'IND TECH'!G2546&amp;" "&amp;'IND TECH'!H2546</f>
        <v xml:space="preserve">       </v>
      </c>
      <c r="E2548" t="e">
        <f t="shared" si="19"/>
        <v>#REF!</v>
      </c>
      <c r="F2548" t="e">
        <f>'IND TECH'!#REF!</f>
        <v>#REF!</v>
      </c>
    </row>
    <row r="2549" spans="3:6" x14ac:dyDescent="0.25">
      <c r="C2549">
        <f>'IND TECH'!L2547</f>
        <v>0</v>
      </c>
      <c r="D2549" t="str">
        <f>'IND TECH'!A2547&amp;" "&amp;'IND TECH'!B2547&amp;" "&amp;'IND TECH'!C2547&amp;" "&amp;'IND TECH'!D2547&amp;" "&amp;'IND TECH'!E2547&amp;" "&amp;'IND TECH'!F2547&amp;" "&amp;'IND TECH'!G2547&amp;" "&amp;'IND TECH'!H2547</f>
        <v xml:space="preserve">       </v>
      </c>
      <c r="E2549" t="e">
        <f t="shared" si="19"/>
        <v>#REF!</v>
      </c>
      <c r="F2549" t="e">
        <f>'IND TECH'!#REF!</f>
        <v>#REF!</v>
      </c>
    </row>
    <row r="2550" spans="3:6" x14ac:dyDescent="0.25">
      <c r="C2550">
        <f>'IND TECH'!L2548</f>
        <v>0</v>
      </c>
      <c r="D2550" t="str">
        <f>'IND TECH'!A2548&amp;" "&amp;'IND TECH'!B2548&amp;" "&amp;'IND TECH'!C2548&amp;" "&amp;'IND TECH'!D2548&amp;" "&amp;'IND TECH'!E2548&amp;" "&amp;'IND TECH'!F2548&amp;" "&amp;'IND TECH'!G2548&amp;" "&amp;'IND TECH'!H2548</f>
        <v xml:space="preserve">       </v>
      </c>
      <c r="E2550" t="e">
        <f t="shared" si="19"/>
        <v>#REF!</v>
      </c>
      <c r="F2550" t="e">
        <f>'IND TECH'!#REF!</f>
        <v>#REF!</v>
      </c>
    </row>
    <row r="2551" spans="3:6" x14ac:dyDescent="0.25">
      <c r="C2551">
        <f>'IND TECH'!L2549</f>
        <v>0</v>
      </c>
      <c r="D2551" t="str">
        <f>'IND TECH'!A2549&amp;" "&amp;'IND TECH'!B2549&amp;" "&amp;'IND TECH'!C2549&amp;" "&amp;'IND TECH'!D2549&amp;" "&amp;'IND TECH'!E2549&amp;" "&amp;'IND TECH'!F2549&amp;" "&amp;'IND TECH'!G2549&amp;" "&amp;'IND TECH'!H2549</f>
        <v xml:space="preserve">       </v>
      </c>
      <c r="E2551" t="e">
        <f t="shared" si="19"/>
        <v>#REF!</v>
      </c>
      <c r="F2551" t="e">
        <f>'IND TECH'!#REF!</f>
        <v>#REF!</v>
      </c>
    </row>
    <row r="2552" spans="3:6" x14ac:dyDescent="0.25">
      <c r="C2552">
        <f>'IND TECH'!L2550</f>
        <v>0</v>
      </c>
      <c r="D2552" t="str">
        <f>'IND TECH'!A2550&amp;" "&amp;'IND TECH'!B2550&amp;" "&amp;'IND TECH'!C2550&amp;" "&amp;'IND TECH'!D2550&amp;" "&amp;'IND TECH'!E2550&amp;" "&amp;'IND TECH'!F2550&amp;" "&amp;'IND TECH'!G2550&amp;" "&amp;'IND TECH'!H2550</f>
        <v xml:space="preserve">       </v>
      </c>
      <c r="E2552" t="e">
        <f t="shared" si="19"/>
        <v>#REF!</v>
      </c>
      <c r="F2552" t="e">
        <f>'IND TECH'!#REF!</f>
        <v>#REF!</v>
      </c>
    </row>
    <row r="2553" spans="3:6" x14ac:dyDescent="0.25">
      <c r="C2553">
        <f>'IND TECH'!L2551</f>
        <v>0</v>
      </c>
      <c r="D2553" t="str">
        <f>'IND TECH'!A2551&amp;" "&amp;'IND TECH'!B2551&amp;" "&amp;'IND TECH'!C2551&amp;" "&amp;'IND TECH'!D2551&amp;" "&amp;'IND TECH'!E2551&amp;" "&amp;'IND TECH'!F2551&amp;" "&amp;'IND TECH'!G2551&amp;" "&amp;'IND TECH'!H2551</f>
        <v xml:space="preserve">       </v>
      </c>
      <c r="E2553" t="e">
        <f t="shared" si="19"/>
        <v>#REF!</v>
      </c>
      <c r="F2553" t="e">
        <f>'IND TECH'!#REF!</f>
        <v>#REF!</v>
      </c>
    </row>
    <row r="2554" spans="3:6" x14ac:dyDescent="0.25">
      <c r="C2554">
        <f>'IND TECH'!L2552</f>
        <v>0</v>
      </c>
      <c r="D2554" t="str">
        <f>'IND TECH'!A2552&amp;" "&amp;'IND TECH'!B2552&amp;" "&amp;'IND TECH'!C2552&amp;" "&amp;'IND TECH'!D2552&amp;" "&amp;'IND TECH'!E2552&amp;" "&amp;'IND TECH'!F2552&amp;" "&amp;'IND TECH'!G2552&amp;" "&amp;'IND TECH'!H2552</f>
        <v xml:space="preserve">       </v>
      </c>
      <c r="E2554" t="e">
        <f t="shared" si="19"/>
        <v>#REF!</v>
      </c>
      <c r="F2554" t="e">
        <f>'IND TECH'!#REF!</f>
        <v>#REF!</v>
      </c>
    </row>
    <row r="2555" spans="3:6" x14ac:dyDescent="0.25">
      <c r="C2555">
        <f>'IND TECH'!L2553</f>
        <v>0</v>
      </c>
      <c r="D2555" t="str">
        <f>'IND TECH'!A2553&amp;" "&amp;'IND TECH'!B2553&amp;" "&amp;'IND TECH'!C2553&amp;" "&amp;'IND TECH'!D2553&amp;" "&amp;'IND TECH'!E2553&amp;" "&amp;'IND TECH'!F2553&amp;" "&amp;'IND TECH'!G2553&amp;" "&amp;'IND TECH'!H2553</f>
        <v xml:space="preserve">       </v>
      </c>
      <c r="E2555" t="e">
        <f t="shared" si="19"/>
        <v>#REF!</v>
      </c>
      <c r="F2555" t="e">
        <f>'IND TECH'!#REF!</f>
        <v>#REF!</v>
      </c>
    </row>
    <row r="2556" spans="3:6" x14ac:dyDescent="0.25">
      <c r="C2556">
        <f>'IND TECH'!L2554</f>
        <v>0</v>
      </c>
      <c r="D2556" t="str">
        <f>'IND TECH'!A2554&amp;" "&amp;'IND TECH'!B2554&amp;" "&amp;'IND TECH'!C2554&amp;" "&amp;'IND TECH'!D2554&amp;" "&amp;'IND TECH'!E2554&amp;" "&amp;'IND TECH'!F2554&amp;" "&amp;'IND TECH'!G2554&amp;" "&amp;'IND TECH'!H2554</f>
        <v xml:space="preserve">       </v>
      </c>
      <c r="E2556" t="e">
        <f t="shared" si="19"/>
        <v>#REF!</v>
      </c>
      <c r="F2556" t="e">
        <f>'IND TECH'!#REF!</f>
        <v>#REF!</v>
      </c>
    </row>
    <row r="2557" spans="3:6" x14ac:dyDescent="0.25">
      <c r="C2557">
        <f>'IND TECH'!L2555</f>
        <v>0</v>
      </c>
      <c r="D2557" t="str">
        <f>'IND TECH'!A2555&amp;" "&amp;'IND TECH'!B2555&amp;" "&amp;'IND TECH'!C2555&amp;" "&amp;'IND TECH'!D2555&amp;" "&amp;'IND TECH'!E2555&amp;" "&amp;'IND TECH'!F2555&amp;" "&amp;'IND TECH'!G2555&amp;" "&amp;'IND TECH'!H2555</f>
        <v xml:space="preserve">       </v>
      </c>
      <c r="E2557" t="e">
        <f t="shared" si="19"/>
        <v>#REF!</v>
      </c>
      <c r="F2557" t="e">
        <f>'IND TECH'!#REF!</f>
        <v>#REF!</v>
      </c>
    </row>
    <row r="2558" spans="3:6" x14ac:dyDescent="0.25">
      <c r="C2558">
        <f>'IND TECH'!L2556</f>
        <v>0</v>
      </c>
      <c r="D2558" t="str">
        <f>'IND TECH'!A2556&amp;" "&amp;'IND TECH'!B2556&amp;" "&amp;'IND TECH'!C2556&amp;" "&amp;'IND TECH'!D2556&amp;" "&amp;'IND TECH'!E2556&amp;" "&amp;'IND TECH'!F2556&amp;" "&amp;'IND TECH'!G2556&amp;" "&amp;'IND TECH'!H2556</f>
        <v xml:space="preserve">       </v>
      </c>
      <c r="E2558" t="e">
        <f t="shared" si="19"/>
        <v>#REF!</v>
      </c>
      <c r="F2558" t="e">
        <f>'IND TECH'!#REF!</f>
        <v>#REF!</v>
      </c>
    </row>
    <row r="2559" spans="3:6" x14ac:dyDescent="0.25">
      <c r="C2559">
        <f>'IND TECH'!L2557</f>
        <v>0</v>
      </c>
      <c r="D2559" t="str">
        <f>'IND TECH'!A2557&amp;" "&amp;'IND TECH'!B2557&amp;" "&amp;'IND TECH'!C2557&amp;" "&amp;'IND TECH'!D2557&amp;" "&amp;'IND TECH'!E2557&amp;" "&amp;'IND TECH'!F2557&amp;" "&amp;'IND TECH'!G2557&amp;" "&amp;'IND TECH'!H2557</f>
        <v xml:space="preserve">       </v>
      </c>
      <c r="E2559" t="e">
        <f t="shared" si="19"/>
        <v>#REF!</v>
      </c>
      <c r="F2559" t="e">
        <f>'IND TECH'!#REF!</f>
        <v>#REF!</v>
      </c>
    </row>
    <row r="2560" spans="3:6" x14ac:dyDescent="0.25">
      <c r="C2560">
        <f>'IND TECH'!L2558</f>
        <v>0</v>
      </c>
      <c r="D2560" t="str">
        <f>'IND TECH'!A2558&amp;" "&amp;'IND TECH'!B2558&amp;" "&amp;'IND TECH'!C2558&amp;" "&amp;'IND TECH'!D2558&amp;" "&amp;'IND TECH'!E2558&amp;" "&amp;'IND TECH'!F2558&amp;" "&amp;'IND TECH'!G2558&amp;" "&amp;'IND TECH'!H2558</f>
        <v xml:space="preserve">       </v>
      </c>
      <c r="E2560" t="e">
        <f t="shared" si="19"/>
        <v>#REF!</v>
      </c>
      <c r="F2560" t="e">
        <f>'IND TECH'!#REF!</f>
        <v>#REF!</v>
      </c>
    </row>
    <row r="2561" spans="3:6" x14ac:dyDescent="0.25">
      <c r="C2561">
        <f>'IND TECH'!L2559</f>
        <v>0</v>
      </c>
      <c r="D2561" t="str">
        <f>'IND TECH'!A2559&amp;" "&amp;'IND TECH'!B2559&amp;" "&amp;'IND TECH'!C2559&amp;" "&amp;'IND TECH'!D2559&amp;" "&amp;'IND TECH'!E2559&amp;" "&amp;'IND TECH'!F2559&amp;" "&amp;'IND TECH'!G2559&amp;" "&amp;'IND TECH'!H2559</f>
        <v xml:space="preserve">       </v>
      </c>
      <c r="E2561" t="e">
        <f t="shared" si="19"/>
        <v>#REF!</v>
      </c>
      <c r="F2561" t="e">
        <f>'IND TECH'!#REF!</f>
        <v>#REF!</v>
      </c>
    </row>
    <row r="2562" spans="3:6" x14ac:dyDescent="0.25">
      <c r="C2562">
        <f>'IND TECH'!L2560</f>
        <v>0</v>
      </c>
      <c r="D2562" t="str">
        <f>'IND TECH'!A2560&amp;" "&amp;'IND TECH'!B2560&amp;" "&amp;'IND TECH'!C2560&amp;" "&amp;'IND TECH'!D2560&amp;" "&amp;'IND TECH'!E2560&amp;" "&amp;'IND TECH'!F2560&amp;" "&amp;'IND TECH'!G2560&amp;" "&amp;'IND TECH'!H2560</f>
        <v xml:space="preserve">       </v>
      </c>
      <c r="E2562" t="e">
        <f t="shared" si="19"/>
        <v>#REF!</v>
      </c>
      <c r="F2562" t="e">
        <f>'IND TECH'!#REF!</f>
        <v>#REF!</v>
      </c>
    </row>
    <row r="2563" spans="3:6" x14ac:dyDescent="0.25">
      <c r="C2563">
        <f>'IND TECH'!L2561</f>
        <v>0</v>
      </c>
      <c r="D2563" t="str">
        <f>'IND TECH'!A2561&amp;" "&amp;'IND TECH'!B2561&amp;" "&amp;'IND TECH'!C2561&amp;" "&amp;'IND TECH'!D2561&amp;" "&amp;'IND TECH'!E2561&amp;" "&amp;'IND TECH'!F2561&amp;" "&amp;'IND TECH'!G2561&amp;" "&amp;'IND TECH'!H2561</f>
        <v xml:space="preserve">       </v>
      </c>
      <c r="E2563" t="e">
        <f t="shared" si="19"/>
        <v>#REF!</v>
      </c>
      <c r="F2563" t="e">
        <f>'IND TECH'!#REF!</f>
        <v>#REF!</v>
      </c>
    </row>
    <row r="2564" spans="3:6" x14ac:dyDescent="0.25">
      <c r="C2564">
        <f>'IND TECH'!L2562</f>
        <v>0</v>
      </c>
      <c r="D2564" t="str">
        <f>'IND TECH'!A2562&amp;" "&amp;'IND TECH'!B2562&amp;" "&amp;'IND TECH'!C2562&amp;" "&amp;'IND TECH'!D2562&amp;" "&amp;'IND TECH'!E2562&amp;" "&amp;'IND TECH'!F2562&amp;" "&amp;'IND TECH'!G2562&amp;" "&amp;'IND TECH'!H2562</f>
        <v xml:space="preserve">       </v>
      </c>
      <c r="E2564" t="e">
        <f t="shared" si="19"/>
        <v>#REF!</v>
      </c>
      <c r="F2564" t="e">
        <f>'IND TECH'!#REF!</f>
        <v>#REF!</v>
      </c>
    </row>
    <row r="2565" spans="3:6" x14ac:dyDescent="0.25">
      <c r="C2565">
        <f>'IND TECH'!L2563</f>
        <v>0</v>
      </c>
      <c r="D2565" t="str">
        <f>'IND TECH'!A2563&amp;" "&amp;'IND TECH'!B2563&amp;" "&amp;'IND TECH'!C2563&amp;" "&amp;'IND TECH'!D2563&amp;" "&amp;'IND TECH'!E2563&amp;" "&amp;'IND TECH'!F2563&amp;" "&amp;'IND TECH'!G2563&amp;" "&amp;'IND TECH'!H2563</f>
        <v xml:space="preserve">       </v>
      </c>
      <c r="E2565" t="e">
        <f t="shared" si="19"/>
        <v>#REF!</v>
      </c>
      <c r="F2565" t="e">
        <f>'IND TECH'!#REF!</f>
        <v>#REF!</v>
      </c>
    </row>
    <row r="2566" spans="3:6" x14ac:dyDescent="0.25">
      <c r="C2566">
        <f>'IND TECH'!L2564</f>
        <v>0</v>
      </c>
      <c r="D2566" t="str">
        <f>'IND TECH'!A2564&amp;" "&amp;'IND TECH'!B2564&amp;" "&amp;'IND TECH'!C2564&amp;" "&amp;'IND TECH'!D2564&amp;" "&amp;'IND TECH'!E2564&amp;" "&amp;'IND TECH'!F2564&amp;" "&amp;'IND TECH'!G2564&amp;" "&amp;'IND TECH'!H2564</f>
        <v xml:space="preserve">       </v>
      </c>
      <c r="E2566" t="e">
        <f t="shared" si="19"/>
        <v>#REF!</v>
      </c>
      <c r="F2566" t="e">
        <f>'IND TECH'!#REF!</f>
        <v>#REF!</v>
      </c>
    </row>
    <row r="2567" spans="3:6" x14ac:dyDescent="0.25">
      <c r="C2567">
        <f>'IND TECH'!L2565</f>
        <v>0</v>
      </c>
      <c r="D2567" t="str">
        <f>'IND TECH'!A2565&amp;" "&amp;'IND TECH'!B2565&amp;" "&amp;'IND TECH'!C2565&amp;" "&amp;'IND TECH'!D2565&amp;" "&amp;'IND TECH'!E2565&amp;" "&amp;'IND TECH'!F2565&amp;" "&amp;'IND TECH'!G2565&amp;" "&amp;'IND TECH'!H2565</f>
        <v xml:space="preserve">       </v>
      </c>
      <c r="E2567" t="e">
        <f t="shared" si="19"/>
        <v>#REF!</v>
      </c>
      <c r="F2567" t="e">
        <f>'IND TECH'!#REF!</f>
        <v>#REF!</v>
      </c>
    </row>
    <row r="2568" spans="3:6" x14ac:dyDescent="0.25">
      <c r="C2568">
        <f>'IND TECH'!L2566</f>
        <v>0</v>
      </c>
      <c r="D2568" t="str">
        <f>'IND TECH'!A2566&amp;" "&amp;'IND TECH'!B2566&amp;" "&amp;'IND TECH'!C2566&amp;" "&amp;'IND TECH'!D2566&amp;" "&amp;'IND TECH'!E2566&amp;" "&amp;'IND TECH'!F2566&amp;" "&amp;'IND TECH'!G2566&amp;" "&amp;'IND TECH'!H2566</f>
        <v xml:space="preserve">       </v>
      </c>
      <c r="E2568" t="e">
        <f t="shared" si="19"/>
        <v>#REF!</v>
      </c>
      <c r="F2568" t="e">
        <f>'IND TECH'!#REF!</f>
        <v>#REF!</v>
      </c>
    </row>
    <row r="2569" spans="3:6" x14ac:dyDescent="0.25">
      <c r="C2569">
        <f>'IND TECH'!L2567</f>
        <v>0</v>
      </c>
      <c r="D2569" t="str">
        <f>'IND TECH'!A2567&amp;" "&amp;'IND TECH'!B2567&amp;" "&amp;'IND TECH'!C2567&amp;" "&amp;'IND TECH'!D2567&amp;" "&amp;'IND TECH'!E2567&amp;" "&amp;'IND TECH'!F2567&amp;" "&amp;'IND TECH'!G2567&amp;" "&amp;'IND TECH'!H2567</f>
        <v xml:space="preserve">       </v>
      </c>
      <c r="E2569" t="e">
        <f t="shared" si="19"/>
        <v>#REF!</v>
      </c>
      <c r="F2569" t="e">
        <f>'IND TECH'!#REF!</f>
        <v>#REF!</v>
      </c>
    </row>
    <row r="2570" spans="3:6" x14ac:dyDescent="0.25">
      <c r="C2570">
        <f>'IND TECH'!L2568</f>
        <v>0</v>
      </c>
      <c r="D2570" t="str">
        <f>'IND TECH'!A2568&amp;" "&amp;'IND TECH'!B2568&amp;" "&amp;'IND TECH'!C2568&amp;" "&amp;'IND TECH'!D2568&amp;" "&amp;'IND TECH'!E2568&amp;" "&amp;'IND TECH'!F2568&amp;" "&amp;'IND TECH'!G2568&amp;" "&amp;'IND TECH'!H2568</f>
        <v xml:space="preserve">       </v>
      </c>
      <c r="E2570" t="e">
        <f t="shared" si="19"/>
        <v>#REF!</v>
      </c>
      <c r="F2570" t="e">
        <f>'IND TECH'!#REF!</f>
        <v>#REF!</v>
      </c>
    </row>
    <row r="2571" spans="3:6" x14ac:dyDescent="0.25">
      <c r="C2571">
        <f>'IND TECH'!L2569</f>
        <v>0</v>
      </c>
      <c r="D2571" t="str">
        <f>'IND TECH'!A2569&amp;" "&amp;'IND TECH'!B2569&amp;" "&amp;'IND TECH'!C2569&amp;" "&amp;'IND TECH'!D2569&amp;" "&amp;'IND TECH'!E2569&amp;" "&amp;'IND TECH'!F2569&amp;" "&amp;'IND TECH'!G2569&amp;" "&amp;'IND TECH'!H2569</f>
        <v xml:space="preserve">       </v>
      </c>
      <c r="E2571" t="e">
        <f t="shared" si="19"/>
        <v>#REF!</v>
      </c>
      <c r="F2571" t="e">
        <f>'IND TECH'!#REF!</f>
        <v>#REF!</v>
      </c>
    </row>
    <row r="2572" spans="3:6" x14ac:dyDescent="0.25">
      <c r="C2572">
        <f>'IND TECH'!L2570</f>
        <v>0</v>
      </c>
      <c r="D2572" t="str">
        <f>'IND TECH'!A2570&amp;" "&amp;'IND TECH'!B2570&amp;" "&amp;'IND TECH'!C2570&amp;" "&amp;'IND TECH'!D2570&amp;" "&amp;'IND TECH'!E2570&amp;" "&amp;'IND TECH'!F2570&amp;" "&amp;'IND TECH'!G2570&amp;" "&amp;'IND TECH'!H2570</f>
        <v xml:space="preserve">       </v>
      </c>
      <c r="E2572" t="e">
        <f t="shared" si="19"/>
        <v>#REF!</v>
      </c>
      <c r="F2572" t="e">
        <f>'IND TECH'!#REF!</f>
        <v>#REF!</v>
      </c>
    </row>
    <row r="2573" spans="3:6" x14ac:dyDescent="0.25">
      <c r="C2573">
        <f>'IND TECH'!L2571</f>
        <v>0</v>
      </c>
      <c r="D2573" t="str">
        <f>'IND TECH'!A2571&amp;" "&amp;'IND TECH'!B2571&amp;" "&amp;'IND TECH'!C2571&amp;" "&amp;'IND TECH'!D2571&amp;" "&amp;'IND TECH'!E2571&amp;" "&amp;'IND TECH'!F2571&amp;" "&amp;'IND TECH'!G2571&amp;" "&amp;'IND TECH'!H2571</f>
        <v xml:space="preserve">       </v>
      </c>
      <c r="E2573" t="e">
        <f t="shared" si="19"/>
        <v>#REF!</v>
      </c>
      <c r="F2573" t="e">
        <f>'IND TECH'!#REF!</f>
        <v>#REF!</v>
      </c>
    </row>
    <row r="2574" spans="3:6" x14ac:dyDescent="0.25">
      <c r="C2574">
        <f>'IND TECH'!L2572</f>
        <v>0</v>
      </c>
      <c r="D2574" t="str">
        <f>'IND TECH'!A2572&amp;" "&amp;'IND TECH'!B2572&amp;" "&amp;'IND TECH'!C2572&amp;" "&amp;'IND TECH'!D2572&amp;" "&amp;'IND TECH'!E2572&amp;" "&amp;'IND TECH'!F2572&amp;" "&amp;'IND TECH'!G2572&amp;" "&amp;'IND TECH'!H2572</f>
        <v xml:space="preserve">       </v>
      </c>
      <c r="E2574" t="e">
        <f t="shared" si="19"/>
        <v>#REF!</v>
      </c>
      <c r="F2574" t="e">
        <f>'IND TECH'!#REF!</f>
        <v>#REF!</v>
      </c>
    </row>
    <row r="2575" spans="3:6" x14ac:dyDescent="0.25">
      <c r="C2575">
        <f>'IND TECH'!L2573</f>
        <v>0</v>
      </c>
      <c r="D2575" t="str">
        <f>'IND TECH'!A2573&amp;" "&amp;'IND TECH'!B2573&amp;" "&amp;'IND TECH'!C2573&amp;" "&amp;'IND TECH'!D2573&amp;" "&amp;'IND TECH'!E2573&amp;" "&amp;'IND TECH'!F2573&amp;" "&amp;'IND TECH'!G2573&amp;" "&amp;'IND TECH'!H2573</f>
        <v xml:space="preserve">       </v>
      </c>
      <c r="E2575" t="e">
        <f t="shared" si="19"/>
        <v>#REF!</v>
      </c>
      <c r="F2575" t="e">
        <f>'IND TECH'!#REF!</f>
        <v>#REF!</v>
      </c>
    </row>
    <row r="2576" spans="3:6" x14ac:dyDescent="0.25">
      <c r="C2576">
        <f>'IND TECH'!L2574</f>
        <v>0</v>
      </c>
      <c r="D2576" t="str">
        <f>'IND TECH'!A2574&amp;" "&amp;'IND TECH'!B2574&amp;" "&amp;'IND TECH'!C2574&amp;" "&amp;'IND TECH'!D2574&amp;" "&amp;'IND TECH'!E2574&amp;" "&amp;'IND TECH'!F2574&amp;" "&amp;'IND TECH'!G2574&amp;" "&amp;'IND TECH'!H2574</f>
        <v xml:space="preserve">       </v>
      </c>
      <c r="E2576" t="e">
        <f t="shared" si="19"/>
        <v>#REF!</v>
      </c>
      <c r="F2576" t="e">
        <f>'IND TECH'!#REF!</f>
        <v>#REF!</v>
      </c>
    </row>
    <row r="2577" spans="3:6" x14ac:dyDescent="0.25">
      <c r="C2577">
        <f>'IND TECH'!L2575</f>
        <v>0</v>
      </c>
      <c r="D2577" t="str">
        <f>'IND TECH'!A2575&amp;" "&amp;'IND TECH'!B2575&amp;" "&amp;'IND TECH'!C2575&amp;" "&amp;'IND TECH'!D2575&amp;" "&amp;'IND TECH'!E2575&amp;" "&amp;'IND TECH'!F2575&amp;" "&amp;'IND TECH'!G2575&amp;" "&amp;'IND TECH'!H2575</f>
        <v xml:space="preserve">       </v>
      </c>
      <c r="E2577" t="e">
        <f t="shared" si="19"/>
        <v>#REF!</v>
      </c>
      <c r="F2577" t="e">
        <f>'IND TECH'!#REF!</f>
        <v>#REF!</v>
      </c>
    </row>
    <row r="2578" spans="3:6" x14ac:dyDescent="0.25">
      <c r="C2578">
        <f>'IND TECH'!L2576</f>
        <v>0</v>
      </c>
      <c r="D2578" t="str">
        <f>'IND TECH'!A2576&amp;" "&amp;'IND TECH'!B2576&amp;" "&amp;'IND TECH'!C2576&amp;" "&amp;'IND TECH'!D2576&amp;" "&amp;'IND TECH'!E2576&amp;" "&amp;'IND TECH'!F2576&amp;" "&amp;'IND TECH'!G2576&amp;" "&amp;'IND TECH'!H2576</f>
        <v xml:space="preserve">       </v>
      </c>
      <c r="E2578" t="e">
        <f t="shared" si="19"/>
        <v>#REF!</v>
      </c>
      <c r="F2578" t="e">
        <f>'IND TECH'!#REF!</f>
        <v>#REF!</v>
      </c>
    </row>
    <row r="2579" spans="3:6" x14ac:dyDescent="0.25">
      <c r="C2579">
        <f>'IND TECH'!L2577</f>
        <v>0</v>
      </c>
      <c r="D2579" t="str">
        <f>'IND TECH'!A2577&amp;" "&amp;'IND TECH'!B2577&amp;" "&amp;'IND TECH'!C2577&amp;" "&amp;'IND TECH'!D2577&amp;" "&amp;'IND TECH'!E2577&amp;" "&amp;'IND TECH'!F2577&amp;" "&amp;'IND TECH'!G2577&amp;" "&amp;'IND TECH'!H2577</f>
        <v xml:space="preserve">       </v>
      </c>
      <c r="E2579" t="e">
        <f t="shared" ref="E2579:E2642" si="20">IF(F2579="Mlma","Mlm","TJ")</f>
        <v>#REF!</v>
      </c>
      <c r="F2579" t="e">
        <f>'IND TECH'!#REF!</f>
        <v>#REF!</v>
      </c>
    </row>
    <row r="2580" spans="3:6" x14ac:dyDescent="0.25">
      <c r="C2580">
        <f>'IND TECH'!L2578</f>
        <v>0</v>
      </c>
      <c r="D2580" t="str">
        <f>'IND TECH'!A2578&amp;" "&amp;'IND TECH'!B2578&amp;" "&amp;'IND TECH'!C2578&amp;" "&amp;'IND TECH'!D2578&amp;" "&amp;'IND TECH'!E2578&amp;" "&amp;'IND TECH'!F2578&amp;" "&amp;'IND TECH'!G2578&amp;" "&amp;'IND TECH'!H2578</f>
        <v xml:space="preserve">       </v>
      </c>
      <c r="E2580" t="e">
        <f t="shared" si="20"/>
        <v>#REF!</v>
      </c>
      <c r="F2580" t="e">
        <f>'IND TECH'!#REF!</f>
        <v>#REF!</v>
      </c>
    </row>
    <row r="2581" spans="3:6" x14ac:dyDescent="0.25">
      <c r="C2581">
        <f>'IND TECH'!L2579</f>
        <v>0</v>
      </c>
      <c r="D2581" t="str">
        <f>'IND TECH'!A2579&amp;" "&amp;'IND TECH'!B2579&amp;" "&amp;'IND TECH'!C2579&amp;" "&amp;'IND TECH'!D2579&amp;" "&amp;'IND TECH'!E2579&amp;" "&amp;'IND TECH'!F2579&amp;" "&amp;'IND TECH'!G2579&amp;" "&amp;'IND TECH'!H2579</f>
        <v xml:space="preserve">       </v>
      </c>
      <c r="E2581" t="e">
        <f t="shared" si="20"/>
        <v>#REF!</v>
      </c>
      <c r="F2581" t="e">
        <f>'IND TECH'!#REF!</f>
        <v>#REF!</v>
      </c>
    </row>
    <row r="2582" spans="3:6" x14ac:dyDescent="0.25">
      <c r="C2582">
        <f>'IND TECH'!L2580</f>
        <v>0</v>
      </c>
      <c r="D2582" t="str">
        <f>'IND TECH'!A2580&amp;" "&amp;'IND TECH'!B2580&amp;" "&amp;'IND TECH'!C2580&amp;" "&amp;'IND TECH'!D2580&amp;" "&amp;'IND TECH'!E2580&amp;" "&amp;'IND TECH'!F2580&amp;" "&amp;'IND TECH'!G2580&amp;" "&amp;'IND TECH'!H2580</f>
        <v xml:space="preserve">       </v>
      </c>
      <c r="E2582" t="e">
        <f t="shared" si="20"/>
        <v>#REF!</v>
      </c>
      <c r="F2582" t="e">
        <f>'IND TECH'!#REF!</f>
        <v>#REF!</v>
      </c>
    </row>
    <row r="2583" spans="3:6" x14ac:dyDescent="0.25">
      <c r="C2583">
        <f>'IND TECH'!L2581</f>
        <v>0</v>
      </c>
      <c r="D2583" t="str">
        <f>'IND TECH'!A2581&amp;" "&amp;'IND TECH'!B2581&amp;" "&amp;'IND TECH'!C2581&amp;" "&amp;'IND TECH'!D2581&amp;" "&amp;'IND TECH'!E2581&amp;" "&amp;'IND TECH'!F2581&amp;" "&amp;'IND TECH'!G2581&amp;" "&amp;'IND TECH'!H2581</f>
        <v xml:space="preserve">       </v>
      </c>
      <c r="E2583" t="e">
        <f t="shared" si="20"/>
        <v>#REF!</v>
      </c>
      <c r="F2583" t="e">
        <f>'IND TECH'!#REF!</f>
        <v>#REF!</v>
      </c>
    </row>
    <row r="2584" spans="3:6" x14ac:dyDescent="0.25">
      <c r="C2584">
        <f>'IND TECH'!L2582</f>
        <v>0</v>
      </c>
      <c r="D2584" t="str">
        <f>'IND TECH'!A2582&amp;" "&amp;'IND TECH'!B2582&amp;" "&amp;'IND TECH'!C2582&amp;" "&amp;'IND TECH'!D2582&amp;" "&amp;'IND TECH'!E2582&amp;" "&amp;'IND TECH'!F2582&amp;" "&amp;'IND TECH'!G2582&amp;" "&amp;'IND TECH'!H2582</f>
        <v xml:space="preserve">       </v>
      </c>
      <c r="E2584" t="e">
        <f t="shared" si="20"/>
        <v>#REF!</v>
      </c>
      <c r="F2584" t="e">
        <f>'IND TECH'!#REF!</f>
        <v>#REF!</v>
      </c>
    </row>
    <row r="2585" spans="3:6" x14ac:dyDescent="0.25">
      <c r="C2585">
        <f>'IND TECH'!L2583</f>
        <v>0</v>
      </c>
      <c r="D2585" t="str">
        <f>'IND TECH'!A2583&amp;" "&amp;'IND TECH'!B2583&amp;" "&amp;'IND TECH'!C2583&amp;" "&amp;'IND TECH'!D2583&amp;" "&amp;'IND TECH'!E2583&amp;" "&amp;'IND TECH'!F2583&amp;" "&amp;'IND TECH'!G2583&amp;" "&amp;'IND TECH'!H2583</f>
        <v xml:space="preserve">       </v>
      </c>
      <c r="E2585" t="e">
        <f t="shared" si="20"/>
        <v>#REF!</v>
      </c>
      <c r="F2585" t="e">
        <f>'IND TECH'!#REF!</f>
        <v>#REF!</v>
      </c>
    </row>
    <row r="2586" spans="3:6" x14ac:dyDescent="0.25">
      <c r="C2586">
        <f>'IND TECH'!L2584</f>
        <v>0</v>
      </c>
      <c r="D2586" t="str">
        <f>'IND TECH'!A2584&amp;" "&amp;'IND TECH'!B2584&amp;" "&amp;'IND TECH'!C2584&amp;" "&amp;'IND TECH'!D2584&amp;" "&amp;'IND TECH'!E2584&amp;" "&amp;'IND TECH'!F2584&amp;" "&amp;'IND TECH'!G2584&amp;" "&amp;'IND TECH'!H2584</f>
        <v xml:space="preserve">       </v>
      </c>
      <c r="E2586" t="e">
        <f t="shared" si="20"/>
        <v>#REF!</v>
      </c>
      <c r="F2586" t="e">
        <f>'IND TECH'!#REF!</f>
        <v>#REF!</v>
      </c>
    </row>
    <row r="2587" spans="3:6" x14ac:dyDescent="0.25">
      <c r="C2587">
        <f>'IND TECH'!L2585</f>
        <v>0</v>
      </c>
      <c r="D2587" t="str">
        <f>'IND TECH'!A2585&amp;" "&amp;'IND TECH'!B2585&amp;" "&amp;'IND TECH'!C2585&amp;" "&amp;'IND TECH'!D2585&amp;" "&amp;'IND TECH'!E2585&amp;" "&amp;'IND TECH'!F2585&amp;" "&amp;'IND TECH'!G2585&amp;" "&amp;'IND TECH'!H2585</f>
        <v xml:space="preserve">       </v>
      </c>
      <c r="E2587" t="e">
        <f t="shared" si="20"/>
        <v>#REF!</v>
      </c>
      <c r="F2587" t="e">
        <f>'IND TECH'!#REF!</f>
        <v>#REF!</v>
      </c>
    </row>
    <row r="2588" spans="3:6" x14ac:dyDescent="0.25">
      <c r="C2588">
        <f>'IND TECH'!L2586</f>
        <v>0</v>
      </c>
      <c r="D2588" t="str">
        <f>'IND TECH'!A2586&amp;" "&amp;'IND TECH'!B2586&amp;" "&amp;'IND TECH'!C2586&amp;" "&amp;'IND TECH'!D2586&amp;" "&amp;'IND TECH'!E2586&amp;" "&amp;'IND TECH'!F2586&amp;" "&amp;'IND TECH'!G2586&amp;" "&amp;'IND TECH'!H2586</f>
        <v xml:space="preserve">       </v>
      </c>
      <c r="E2588" t="e">
        <f t="shared" si="20"/>
        <v>#REF!</v>
      </c>
      <c r="F2588" t="e">
        <f>'IND TECH'!#REF!</f>
        <v>#REF!</v>
      </c>
    </row>
    <row r="2589" spans="3:6" x14ac:dyDescent="0.25">
      <c r="C2589">
        <f>'IND TECH'!L2587</f>
        <v>0</v>
      </c>
      <c r="D2589" t="str">
        <f>'IND TECH'!A2587&amp;" "&amp;'IND TECH'!B2587&amp;" "&amp;'IND TECH'!C2587&amp;" "&amp;'IND TECH'!D2587&amp;" "&amp;'IND TECH'!E2587&amp;" "&amp;'IND TECH'!F2587&amp;" "&amp;'IND TECH'!G2587&amp;" "&amp;'IND TECH'!H2587</f>
        <v xml:space="preserve">       </v>
      </c>
      <c r="E2589" t="e">
        <f t="shared" si="20"/>
        <v>#REF!</v>
      </c>
      <c r="F2589" t="e">
        <f>'IND TECH'!#REF!</f>
        <v>#REF!</v>
      </c>
    </row>
    <row r="2590" spans="3:6" x14ac:dyDescent="0.25">
      <c r="C2590">
        <f>'IND TECH'!L2588</f>
        <v>0</v>
      </c>
      <c r="D2590" t="str">
        <f>'IND TECH'!A2588&amp;" "&amp;'IND TECH'!B2588&amp;" "&amp;'IND TECH'!C2588&amp;" "&amp;'IND TECH'!D2588&amp;" "&amp;'IND TECH'!E2588&amp;" "&amp;'IND TECH'!F2588&amp;" "&amp;'IND TECH'!G2588&amp;" "&amp;'IND TECH'!H2588</f>
        <v xml:space="preserve">       </v>
      </c>
      <c r="E2590" t="e">
        <f t="shared" si="20"/>
        <v>#REF!</v>
      </c>
      <c r="F2590" t="e">
        <f>'IND TECH'!#REF!</f>
        <v>#REF!</v>
      </c>
    </row>
    <row r="2591" spans="3:6" x14ac:dyDescent="0.25">
      <c r="C2591">
        <f>'IND TECH'!L2589</f>
        <v>0</v>
      </c>
      <c r="D2591" t="str">
        <f>'IND TECH'!A2589&amp;" "&amp;'IND TECH'!B2589&amp;" "&amp;'IND TECH'!C2589&amp;" "&amp;'IND TECH'!D2589&amp;" "&amp;'IND TECH'!E2589&amp;" "&amp;'IND TECH'!F2589&amp;" "&amp;'IND TECH'!G2589&amp;" "&amp;'IND TECH'!H2589</f>
        <v xml:space="preserve">       </v>
      </c>
      <c r="E2591" t="e">
        <f t="shared" si="20"/>
        <v>#REF!</v>
      </c>
      <c r="F2591" t="e">
        <f>'IND TECH'!#REF!</f>
        <v>#REF!</v>
      </c>
    </row>
    <row r="2592" spans="3:6" x14ac:dyDescent="0.25">
      <c r="C2592">
        <f>'IND TECH'!L2590</f>
        <v>0</v>
      </c>
      <c r="D2592" t="str">
        <f>'IND TECH'!A2590&amp;" "&amp;'IND TECH'!B2590&amp;" "&amp;'IND TECH'!C2590&amp;" "&amp;'IND TECH'!D2590&amp;" "&amp;'IND TECH'!E2590&amp;" "&amp;'IND TECH'!F2590&amp;" "&amp;'IND TECH'!G2590&amp;" "&amp;'IND TECH'!H2590</f>
        <v xml:space="preserve">       </v>
      </c>
      <c r="E2592" t="e">
        <f t="shared" si="20"/>
        <v>#REF!</v>
      </c>
      <c r="F2592" t="e">
        <f>'IND TECH'!#REF!</f>
        <v>#REF!</v>
      </c>
    </row>
    <row r="2593" spans="3:6" x14ac:dyDescent="0.25">
      <c r="C2593">
        <f>'IND TECH'!L2591</f>
        <v>0</v>
      </c>
      <c r="D2593" t="str">
        <f>'IND TECH'!A2591&amp;" "&amp;'IND TECH'!B2591&amp;" "&amp;'IND TECH'!C2591&amp;" "&amp;'IND TECH'!D2591&amp;" "&amp;'IND TECH'!E2591&amp;" "&amp;'IND TECH'!F2591&amp;" "&amp;'IND TECH'!G2591&amp;" "&amp;'IND TECH'!H2591</f>
        <v xml:space="preserve">       </v>
      </c>
      <c r="E2593" t="e">
        <f t="shared" si="20"/>
        <v>#REF!</v>
      </c>
      <c r="F2593" t="e">
        <f>'IND TECH'!#REF!</f>
        <v>#REF!</v>
      </c>
    </row>
    <row r="2594" spans="3:6" x14ac:dyDescent="0.25">
      <c r="C2594">
        <f>'IND TECH'!L2592</f>
        <v>0</v>
      </c>
      <c r="D2594" t="str">
        <f>'IND TECH'!A2592&amp;" "&amp;'IND TECH'!B2592&amp;" "&amp;'IND TECH'!C2592&amp;" "&amp;'IND TECH'!D2592&amp;" "&amp;'IND TECH'!E2592&amp;" "&amp;'IND TECH'!F2592&amp;" "&amp;'IND TECH'!G2592&amp;" "&amp;'IND TECH'!H2592</f>
        <v xml:space="preserve">       </v>
      </c>
      <c r="E2594" t="e">
        <f t="shared" si="20"/>
        <v>#REF!</v>
      </c>
      <c r="F2594" t="e">
        <f>'IND TECH'!#REF!</f>
        <v>#REF!</v>
      </c>
    </row>
    <row r="2595" spans="3:6" x14ac:dyDescent="0.25">
      <c r="C2595">
        <f>'IND TECH'!L2593</f>
        <v>0</v>
      </c>
      <c r="D2595" t="str">
        <f>'IND TECH'!A2593&amp;" "&amp;'IND TECH'!B2593&amp;" "&amp;'IND TECH'!C2593&amp;" "&amp;'IND TECH'!D2593&amp;" "&amp;'IND TECH'!E2593&amp;" "&amp;'IND TECH'!F2593&amp;" "&amp;'IND TECH'!G2593&amp;" "&amp;'IND TECH'!H2593</f>
        <v xml:space="preserve">       </v>
      </c>
      <c r="E2595" t="e">
        <f t="shared" si="20"/>
        <v>#REF!</v>
      </c>
      <c r="F2595" t="e">
        <f>'IND TECH'!#REF!</f>
        <v>#REF!</v>
      </c>
    </row>
    <row r="2596" spans="3:6" x14ac:dyDescent="0.25">
      <c r="C2596">
        <f>'IND TECH'!L2594</f>
        <v>0</v>
      </c>
      <c r="D2596" t="str">
        <f>'IND TECH'!A2594&amp;" "&amp;'IND TECH'!B2594&amp;" "&amp;'IND TECH'!C2594&amp;" "&amp;'IND TECH'!D2594&amp;" "&amp;'IND TECH'!E2594&amp;" "&amp;'IND TECH'!F2594&amp;" "&amp;'IND TECH'!G2594&amp;" "&amp;'IND TECH'!H2594</f>
        <v xml:space="preserve">       </v>
      </c>
      <c r="E2596" t="e">
        <f t="shared" si="20"/>
        <v>#REF!</v>
      </c>
      <c r="F2596" t="e">
        <f>'IND TECH'!#REF!</f>
        <v>#REF!</v>
      </c>
    </row>
    <row r="2597" spans="3:6" x14ac:dyDescent="0.25">
      <c r="C2597">
        <f>'IND TECH'!L2595</f>
        <v>0</v>
      </c>
      <c r="D2597" t="str">
        <f>'IND TECH'!A2595&amp;" "&amp;'IND TECH'!B2595&amp;" "&amp;'IND TECH'!C2595&amp;" "&amp;'IND TECH'!D2595&amp;" "&amp;'IND TECH'!E2595&amp;" "&amp;'IND TECH'!F2595&amp;" "&amp;'IND TECH'!G2595&amp;" "&amp;'IND TECH'!H2595</f>
        <v xml:space="preserve">       </v>
      </c>
      <c r="E2597" t="e">
        <f t="shared" si="20"/>
        <v>#REF!</v>
      </c>
      <c r="F2597" t="e">
        <f>'IND TECH'!#REF!</f>
        <v>#REF!</v>
      </c>
    </row>
    <row r="2598" spans="3:6" x14ac:dyDescent="0.25">
      <c r="C2598">
        <f>'IND TECH'!L2596</f>
        <v>0</v>
      </c>
      <c r="D2598" t="str">
        <f>'IND TECH'!A2596&amp;" "&amp;'IND TECH'!B2596&amp;" "&amp;'IND TECH'!C2596&amp;" "&amp;'IND TECH'!D2596&amp;" "&amp;'IND TECH'!E2596&amp;" "&amp;'IND TECH'!F2596&amp;" "&amp;'IND TECH'!G2596&amp;" "&amp;'IND TECH'!H2596</f>
        <v xml:space="preserve">       </v>
      </c>
      <c r="E2598" t="e">
        <f t="shared" si="20"/>
        <v>#REF!</v>
      </c>
      <c r="F2598" t="e">
        <f>'IND TECH'!#REF!</f>
        <v>#REF!</v>
      </c>
    </row>
    <row r="2599" spans="3:6" x14ac:dyDescent="0.25">
      <c r="C2599">
        <f>'IND TECH'!L2597</f>
        <v>0</v>
      </c>
      <c r="D2599" t="str">
        <f>'IND TECH'!A2597&amp;" "&amp;'IND TECH'!B2597&amp;" "&amp;'IND TECH'!C2597&amp;" "&amp;'IND TECH'!D2597&amp;" "&amp;'IND TECH'!E2597&amp;" "&amp;'IND TECH'!F2597&amp;" "&amp;'IND TECH'!G2597&amp;" "&amp;'IND TECH'!H2597</f>
        <v xml:space="preserve">       </v>
      </c>
      <c r="E2599" t="e">
        <f t="shared" si="20"/>
        <v>#REF!</v>
      </c>
      <c r="F2599" t="e">
        <f>'IND TECH'!#REF!</f>
        <v>#REF!</v>
      </c>
    </row>
    <row r="2600" spans="3:6" x14ac:dyDescent="0.25">
      <c r="C2600">
        <f>'IND TECH'!L2598</f>
        <v>0</v>
      </c>
      <c r="D2600" t="str">
        <f>'IND TECH'!A2598&amp;" "&amp;'IND TECH'!B2598&amp;" "&amp;'IND TECH'!C2598&amp;" "&amp;'IND TECH'!D2598&amp;" "&amp;'IND TECH'!E2598&amp;" "&amp;'IND TECH'!F2598&amp;" "&amp;'IND TECH'!G2598&amp;" "&amp;'IND TECH'!H2598</f>
        <v xml:space="preserve">       </v>
      </c>
      <c r="E2600" t="e">
        <f t="shared" si="20"/>
        <v>#REF!</v>
      </c>
      <c r="F2600" t="e">
        <f>'IND TECH'!#REF!</f>
        <v>#REF!</v>
      </c>
    </row>
    <row r="2601" spans="3:6" x14ac:dyDescent="0.25">
      <c r="C2601">
        <f>'IND TECH'!L2599</f>
        <v>0</v>
      </c>
      <c r="D2601" t="str">
        <f>'IND TECH'!A2599&amp;" "&amp;'IND TECH'!B2599&amp;" "&amp;'IND TECH'!C2599&amp;" "&amp;'IND TECH'!D2599&amp;" "&amp;'IND TECH'!E2599&amp;" "&amp;'IND TECH'!F2599&amp;" "&amp;'IND TECH'!G2599&amp;" "&amp;'IND TECH'!H2599</f>
        <v xml:space="preserve">       </v>
      </c>
      <c r="E2601" t="e">
        <f t="shared" si="20"/>
        <v>#REF!</v>
      </c>
      <c r="F2601" t="e">
        <f>'IND TECH'!#REF!</f>
        <v>#REF!</v>
      </c>
    </row>
    <row r="2602" spans="3:6" x14ac:dyDescent="0.25">
      <c r="C2602">
        <f>'IND TECH'!L2600</f>
        <v>0</v>
      </c>
      <c r="D2602" t="str">
        <f>'IND TECH'!A2600&amp;" "&amp;'IND TECH'!B2600&amp;" "&amp;'IND TECH'!C2600&amp;" "&amp;'IND TECH'!D2600&amp;" "&amp;'IND TECH'!E2600&amp;" "&amp;'IND TECH'!F2600&amp;" "&amp;'IND TECH'!G2600&amp;" "&amp;'IND TECH'!H2600</f>
        <v xml:space="preserve">       </v>
      </c>
      <c r="E2602" t="e">
        <f t="shared" si="20"/>
        <v>#REF!</v>
      </c>
      <c r="F2602" t="e">
        <f>'IND TECH'!#REF!</f>
        <v>#REF!</v>
      </c>
    </row>
    <row r="2603" spans="3:6" x14ac:dyDescent="0.25">
      <c r="C2603">
        <f>'IND TECH'!L2601</f>
        <v>0</v>
      </c>
      <c r="D2603" t="str">
        <f>'IND TECH'!A2601&amp;" "&amp;'IND TECH'!B2601&amp;" "&amp;'IND TECH'!C2601&amp;" "&amp;'IND TECH'!D2601&amp;" "&amp;'IND TECH'!E2601&amp;" "&amp;'IND TECH'!F2601&amp;" "&amp;'IND TECH'!G2601&amp;" "&amp;'IND TECH'!H2601</f>
        <v xml:space="preserve">       </v>
      </c>
      <c r="E2603" t="e">
        <f t="shared" si="20"/>
        <v>#REF!</v>
      </c>
      <c r="F2603" t="e">
        <f>'IND TECH'!#REF!</f>
        <v>#REF!</v>
      </c>
    </row>
    <row r="2604" spans="3:6" x14ac:dyDescent="0.25">
      <c r="C2604">
        <f>'IND TECH'!L2602</f>
        <v>0</v>
      </c>
      <c r="D2604" t="str">
        <f>'IND TECH'!A2602&amp;" "&amp;'IND TECH'!B2602&amp;" "&amp;'IND TECH'!C2602&amp;" "&amp;'IND TECH'!D2602&amp;" "&amp;'IND TECH'!E2602&amp;" "&amp;'IND TECH'!F2602&amp;" "&amp;'IND TECH'!G2602&amp;" "&amp;'IND TECH'!H2602</f>
        <v xml:space="preserve">       </v>
      </c>
      <c r="E2604" t="e">
        <f t="shared" si="20"/>
        <v>#REF!</v>
      </c>
      <c r="F2604" t="e">
        <f>'IND TECH'!#REF!</f>
        <v>#REF!</v>
      </c>
    </row>
    <row r="2605" spans="3:6" x14ac:dyDescent="0.25">
      <c r="C2605">
        <f>'IND TECH'!L2603</f>
        <v>0</v>
      </c>
      <c r="D2605" t="str">
        <f>'IND TECH'!A2603&amp;" "&amp;'IND TECH'!B2603&amp;" "&amp;'IND TECH'!C2603&amp;" "&amp;'IND TECH'!D2603&amp;" "&amp;'IND TECH'!E2603&amp;" "&amp;'IND TECH'!F2603&amp;" "&amp;'IND TECH'!G2603&amp;" "&amp;'IND TECH'!H2603</f>
        <v xml:space="preserve">       </v>
      </c>
      <c r="E2605" t="e">
        <f t="shared" si="20"/>
        <v>#REF!</v>
      </c>
      <c r="F2605" t="e">
        <f>'IND TECH'!#REF!</f>
        <v>#REF!</v>
      </c>
    </row>
    <row r="2606" spans="3:6" x14ac:dyDescent="0.25">
      <c r="C2606">
        <f>'IND TECH'!L2604</f>
        <v>0</v>
      </c>
      <c r="D2606" t="str">
        <f>'IND TECH'!A2604&amp;" "&amp;'IND TECH'!B2604&amp;" "&amp;'IND TECH'!C2604&amp;" "&amp;'IND TECH'!D2604&amp;" "&amp;'IND TECH'!E2604&amp;" "&amp;'IND TECH'!F2604&amp;" "&amp;'IND TECH'!G2604&amp;" "&amp;'IND TECH'!H2604</f>
        <v xml:space="preserve">       </v>
      </c>
      <c r="E2606" t="e">
        <f t="shared" si="20"/>
        <v>#REF!</v>
      </c>
      <c r="F2606" t="e">
        <f>'IND TECH'!#REF!</f>
        <v>#REF!</v>
      </c>
    </row>
    <row r="2607" spans="3:6" x14ac:dyDescent="0.25">
      <c r="C2607">
        <f>'IND TECH'!L2605</f>
        <v>0</v>
      </c>
      <c r="D2607" t="str">
        <f>'IND TECH'!A2605&amp;" "&amp;'IND TECH'!B2605&amp;" "&amp;'IND TECH'!C2605&amp;" "&amp;'IND TECH'!D2605&amp;" "&amp;'IND TECH'!E2605&amp;" "&amp;'IND TECH'!F2605&amp;" "&amp;'IND TECH'!G2605&amp;" "&amp;'IND TECH'!H2605</f>
        <v xml:space="preserve">       </v>
      </c>
      <c r="E2607" t="e">
        <f t="shared" si="20"/>
        <v>#REF!</v>
      </c>
      <c r="F2607" t="e">
        <f>'IND TECH'!#REF!</f>
        <v>#REF!</v>
      </c>
    </row>
    <row r="2608" spans="3:6" x14ac:dyDescent="0.25">
      <c r="C2608">
        <f>'IND TECH'!L2606</f>
        <v>0</v>
      </c>
      <c r="D2608" t="str">
        <f>'IND TECH'!A2606&amp;" "&amp;'IND TECH'!B2606&amp;" "&amp;'IND TECH'!C2606&amp;" "&amp;'IND TECH'!D2606&amp;" "&amp;'IND TECH'!E2606&amp;" "&amp;'IND TECH'!F2606&amp;" "&amp;'IND TECH'!G2606&amp;" "&amp;'IND TECH'!H2606</f>
        <v xml:space="preserve">       </v>
      </c>
      <c r="E2608" t="e">
        <f t="shared" si="20"/>
        <v>#REF!</v>
      </c>
      <c r="F2608" t="e">
        <f>'IND TECH'!#REF!</f>
        <v>#REF!</v>
      </c>
    </row>
    <row r="2609" spans="3:6" x14ac:dyDescent="0.25">
      <c r="C2609">
        <f>'IND TECH'!L2607</f>
        <v>0</v>
      </c>
      <c r="D2609" t="str">
        <f>'IND TECH'!A2607&amp;" "&amp;'IND TECH'!B2607&amp;" "&amp;'IND TECH'!C2607&amp;" "&amp;'IND TECH'!D2607&amp;" "&amp;'IND TECH'!E2607&amp;" "&amp;'IND TECH'!F2607&amp;" "&amp;'IND TECH'!G2607&amp;" "&amp;'IND TECH'!H2607</f>
        <v xml:space="preserve">       </v>
      </c>
      <c r="E2609" t="e">
        <f t="shared" si="20"/>
        <v>#REF!</v>
      </c>
      <c r="F2609" t="e">
        <f>'IND TECH'!#REF!</f>
        <v>#REF!</v>
      </c>
    </row>
    <row r="2610" spans="3:6" x14ac:dyDescent="0.25">
      <c r="C2610">
        <f>'IND TECH'!L2608</f>
        <v>0</v>
      </c>
      <c r="D2610" t="str">
        <f>'IND TECH'!A2608&amp;" "&amp;'IND TECH'!B2608&amp;" "&amp;'IND TECH'!C2608&amp;" "&amp;'IND TECH'!D2608&amp;" "&amp;'IND TECH'!E2608&amp;" "&amp;'IND TECH'!F2608&amp;" "&amp;'IND TECH'!G2608&amp;" "&amp;'IND TECH'!H2608</f>
        <v xml:space="preserve">       </v>
      </c>
      <c r="E2610" t="e">
        <f t="shared" si="20"/>
        <v>#REF!</v>
      </c>
      <c r="F2610" t="e">
        <f>'IND TECH'!#REF!</f>
        <v>#REF!</v>
      </c>
    </row>
    <row r="2611" spans="3:6" x14ac:dyDescent="0.25">
      <c r="C2611">
        <f>'IND TECH'!L2609</f>
        <v>0</v>
      </c>
      <c r="D2611" t="str">
        <f>'IND TECH'!A2609&amp;" "&amp;'IND TECH'!B2609&amp;" "&amp;'IND TECH'!C2609&amp;" "&amp;'IND TECH'!D2609&amp;" "&amp;'IND TECH'!E2609&amp;" "&amp;'IND TECH'!F2609&amp;" "&amp;'IND TECH'!G2609&amp;" "&amp;'IND TECH'!H2609</f>
        <v xml:space="preserve">       </v>
      </c>
      <c r="E2611" t="e">
        <f t="shared" si="20"/>
        <v>#REF!</v>
      </c>
      <c r="F2611" t="e">
        <f>'IND TECH'!#REF!</f>
        <v>#REF!</v>
      </c>
    </row>
    <row r="2612" spans="3:6" x14ac:dyDescent="0.25">
      <c r="C2612">
        <f>'IND TECH'!L2610</f>
        <v>0</v>
      </c>
      <c r="D2612" t="str">
        <f>'IND TECH'!A2610&amp;" "&amp;'IND TECH'!B2610&amp;" "&amp;'IND TECH'!C2610&amp;" "&amp;'IND TECH'!D2610&amp;" "&amp;'IND TECH'!E2610&amp;" "&amp;'IND TECH'!F2610&amp;" "&amp;'IND TECH'!G2610&amp;" "&amp;'IND TECH'!H2610</f>
        <v xml:space="preserve">       </v>
      </c>
      <c r="E2612" t="e">
        <f t="shared" si="20"/>
        <v>#REF!</v>
      </c>
      <c r="F2612" t="e">
        <f>'IND TECH'!#REF!</f>
        <v>#REF!</v>
      </c>
    </row>
    <row r="2613" spans="3:6" x14ac:dyDescent="0.25">
      <c r="C2613">
        <f>'IND TECH'!L2611</f>
        <v>0</v>
      </c>
      <c r="D2613" t="str">
        <f>'IND TECH'!A2611&amp;" "&amp;'IND TECH'!B2611&amp;" "&amp;'IND TECH'!C2611&amp;" "&amp;'IND TECH'!D2611&amp;" "&amp;'IND TECH'!E2611&amp;" "&amp;'IND TECH'!F2611&amp;" "&amp;'IND TECH'!G2611&amp;" "&amp;'IND TECH'!H2611</f>
        <v xml:space="preserve">       </v>
      </c>
      <c r="E2613" t="e">
        <f t="shared" si="20"/>
        <v>#REF!</v>
      </c>
      <c r="F2613" t="e">
        <f>'IND TECH'!#REF!</f>
        <v>#REF!</v>
      </c>
    </row>
    <row r="2614" spans="3:6" x14ac:dyDescent="0.25">
      <c r="C2614">
        <f>'IND TECH'!L2612</f>
        <v>0</v>
      </c>
      <c r="D2614" t="str">
        <f>'IND TECH'!A2612&amp;" "&amp;'IND TECH'!B2612&amp;" "&amp;'IND TECH'!C2612&amp;" "&amp;'IND TECH'!D2612&amp;" "&amp;'IND TECH'!E2612&amp;" "&amp;'IND TECH'!F2612&amp;" "&amp;'IND TECH'!G2612&amp;" "&amp;'IND TECH'!H2612</f>
        <v xml:space="preserve">       </v>
      </c>
      <c r="E2614" t="e">
        <f t="shared" si="20"/>
        <v>#REF!</v>
      </c>
      <c r="F2614" t="e">
        <f>'IND TECH'!#REF!</f>
        <v>#REF!</v>
      </c>
    </row>
    <row r="2615" spans="3:6" x14ac:dyDescent="0.25">
      <c r="C2615">
        <f>'IND TECH'!L2613</f>
        <v>0</v>
      </c>
      <c r="D2615" t="str">
        <f>'IND TECH'!A2613&amp;" "&amp;'IND TECH'!B2613&amp;" "&amp;'IND TECH'!C2613&amp;" "&amp;'IND TECH'!D2613&amp;" "&amp;'IND TECH'!E2613&amp;" "&amp;'IND TECH'!F2613&amp;" "&amp;'IND TECH'!G2613&amp;" "&amp;'IND TECH'!H2613</f>
        <v xml:space="preserve">       </v>
      </c>
      <c r="E2615" t="e">
        <f t="shared" si="20"/>
        <v>#REF!</v>
      </c>
      <c r="F2615" t="e">
        <f>'IND TECH'!#REF!</f>
        <v>#REF!</v>
      </c>
    </row>
    <row r="2616" spans="3:6" x14ac:dyDescent="0.25">
      <c r="C2616">
        <f>'IND TECH'!L2614</f>
        <v>0</v>
      </c>
      <c r="D2616" t="str">
        <f>'IND TECH'!A2614&amp;" "&amp;'IND TECH'!B2614&amp;" "&amp;'IND TECH'!C2614&amp;" "&amp;'IND TECH'!D2614&amp;" "&amp;'IND TECH'!E2614&amp;" "&amp;'IND TECH'!F2614&amp;" "&amp;'IND TECH'!G2614&amp;" "&amp;'IND TECH'!H2614</f>
        <v xml:space="preserve">       </v>
      </c>
      <c r="E2616" t="e">
        <f t="shared" si="20"/>
        <v>#REF!</v>
      </c>
      <c r="F2616" t="e">
        <f>'IND TECH'!#REF!</f>
        <v>#REF!</v>
      </c>
    </row>
    <row r="2617" spans="3:6" x14ac:dyDescent="0.25">
      <c r="C2617">
        <f>'IND TECH'!L2615</f>
        <v>0</v>
      </c>
      <c r="D2617" t="str">
        <f>'IND TECH'!A2615&amp;" "&amp;'IND TECH'!B2615&amp;" "&amp;'IND TECH'!C2615&amp;" "&amp;'IND TECH'!D2615&amp;" "&amp;'IND TECH'!E2615&amp;" "&amp;'IND TECH'!F2615&amp;" "&amp;'IND TECH'!G2615&amp;" "&amp;'IND TECH'!H2615</f>
        <v xml:space="preserve">       </v>
      </c>
      <c r="E2617" t="e">
        <f t="shared" si="20"/>
        <v>#REF!</v>
      </c>
      <c r="F2617" t="e">
        <f>'IND TECH'!#REF!</f>
        <v>#REF!</v>
      </c>
    </row>
    <row r="2618" spans="3:6" x14ac:dyDescent="0.25">
      <c r="C2618">
        <f>'IND TECH'!L2616</f>
        <v>0</v>
      </c>
      <c r="D2618" t="str">
        <f>'IND TECH'!A2616&amp;" "&amp;'IND TECH'!B2616&amp;" "&amp;'IND TECH'!C2616&amp;" "&amp;'IND TECH'!D2616&amp;" "&amp;'IND TECH'!E2616&amp;" "&amp;'IND TECH'!F2616&amp;" "&amp;'IND TECH'!G2616&amp;" "&amp;'IND TECH'!H2616</f>
        <v xml:space="preserve">       </v>
      </c>
      <c r="E2618" t="e">
        <f t="shared" si="20"/>
        <v>#REF!</v>
      </c>
      <c r="F2618" t="e">
        <f>'IND TECH'!#REF!</f>
        <v>#REF!</v>
      </c>
    </row>
    <row r="2619" spans="3:6" x14ac:dyDescent="0.25">
      <c r="C2619">
        <f>'IND TECH'!L2617</f>
        <v>0</v>
      </c>
      <c r="D2619" t="str">
        <f>'IND TECH'!A2617&amp;" "&amp;'IND TECH'!B2617&amp;" "&amp;'IND TECH'!C2617&amp;" "&amp;'IND TECH'!D2617&amp;" "&amp;'IND TECH'!E2617&amp;" "&amp;'IND TECH'!F2617&amp;" "&amp;'IND TECH'!G2617&amp;" "&amp;'IND TECH'!H2617</f>
        <v xml:space="preserve">       </v>
      </c>
      <c r="E2619" t="e">
        <f t="shared" si="20"/>
        <v>#REF!</v>
      </c>
      <c r="F2619" t="e">
        <f>'IND TECH'!#REF!</f>
        <v>#REF!</v>
      </c>
    </row>
    <row r="2620" spans="3:6" x14ac:dyDescent="0.25">
      <c r="C2620">
        <f>'IND TECH'!L2618</f>
        <v>0</v>
      </c>
      <c r="D2620" t="str">
        <f>'IND TECH'!A2618&amp;" "&amp;'IND TECH'!B2618&amp;" "&amp;'IND TECH'!C2618&amp;" "&amp;'IND TECH'!D2618&amp;" "&amp;'IND TECH'!E2618&amp;" "&amp;'IND TECH'!F2618&amp;" "&amp;'IND TECH'!G2618&amp;" "&amp;'IND TECH'!H2618</f>
        <v xml:space="preserve">       </v>
      </c>
      <c r="E2620" t="e">
        <f t="shared" si="20"/>
        <v>#REF!</v>
      </c>
      <c r="F2620" t="e">
        <f>'IND TECH'!#REF!</f>
        <v>#REF!</v>
      </c>
    </row>
    <row r="2621" spans="3:6" x14ac:dyDescent="0.25">
      <c r="C2621">
        <f>'IND TECH'!L2619</f>
        <v>0</v>
      </c>
      <c r="D2621" t="str">
        <f>'IND TECH'!A2619&amp;" "&amp;'IND TECH'!B2619&amp;" "&amp;'IND TECH'!C2619&amp;" "&amp;'IND TECH'!D2619&amp;" "&amp;'IND TECH'!E2619&amp;" "&amp;'IND TECH'!F2619&amp;" "&amp;'IND TECH'!G2619&amp;" "&amp;'IND TECH'!H2619</f>
        <v xml:space="preserve">       </v>
      </c>
      <c r="E2621" t="e">
        <f t="shared" si="20"/>
        <v>#REF!</v>
      </c>
      <c r="F2621" t="e">
        <f>'IND TECH'!#REF!</f>
        <v>#REF!</v>
      </c>
    </row>
    <row r="2622" spans="3:6" x14ac:dyDescent="0.25">
      <c r="C2622">
        <f>'IND TECH'!L2620</f>
        <v>0</v>
      </c>
      <c r="D2622" t="str">
        <f>'IND TECH'!A2620&amp;" "&amp;'IND TECH'!B2620&amp;" "&amp;'IND TECH'!C2620&amp;" "&amp;'IND TECH'!D2620&amp;" "&amp;'IND TECH'!E2620&amp;" "&amp;'IND TECH'!F2620&amp;" "&amp;'IND TECH'!G2620&amp;" "&amp;'IND TECH'!H2620</f>
        <v xml:space="preserve">       </v>
      </c>
      <c r="E2622" t="e">
        <f t="shared" si="20"/>
        <v>#REF!</v>
      </c>
      <c r="F2622" t="e">
        <f>'IND TECH'!#REF!</f>
        <v>#REF!</v>
      </c>
    </row>
    <row r="2623" spans="3:6" x14ac:dyDescent="0.25">
      <c r="C2623">
        <f>'IND TECH'!L2621</f>
        <v>0</v>
      </c>
      <c r="D2623" t="str">
        <f>'IND TECH'!A2621&amp;" "&amp;'IND TECH'!B2621&amp;" "&amp;'IND TECH'!C2621&amp;" "&amp;'IND TECH'!D2621&amp;" "&amp;'IND TECH'!E2621&amp;" "&amp;'IND TECH'!F2621&amp;" "&amp;'IND TECH'!G2621&amp;" "&amp;'IND TECH'!H2621</f>
        <v xml:space="preserve">       </v>
      </c>
      <c r="E2623" t="e">
        <f t="shared" si="20"/>
        <v>#REF!</v>
      </c>
      <c r="F2623" t="e">
        <f>'IND TECH'!#REF!</f>
        <v>#REF!</v>
      </c>
    </row>
    <row r="2624" spans="3:6" x14ac:dyDescent="0.25">
      <c r="C2624">
        <f>'IND TECH'!L2622</f>
        <v>0</v>
      </c>
      <c r="D2624" t="str">
        <f>'IND TECH'!A2622&amp;" "&amp;'IND TECH'!B2622&amp;" "&amp;'IND TECH'!C2622&amp;" "&amp;'IND TECH'!D2622&amp;" "&amp;'IND TECH'!E2622&amp;" "&amp;'IND TECH'!F2622&amp;" "&amp;'IND TECH'!G2622&amp;" "&amp;'IND TECH'!H2622</f>
        <v xml:space="preserve">       </v>
      </c>
      <c r="E2624" t="e">
        <f t="shared" si="20"/>
        <v>#REF!</v>
      </c>
      <c r="F2624" t="e">
        <f>'IND TECH'!#REF!</f>
        <v>#REF!</v>
      </c>
    </row>
    <row r="2625" spans="3:6" x14ac:dyDescent="0.25">
      <c r="C2625">
        <f>'IND TECH'!L2623</f>
        <v>0</v>
      </c>
      <c r="D2625" t="str">
        <f>'IND TECH'!A2623&amp;" "&amp;'IND TECH'!B2623&amp;" "&amp;'IND TECH'!C2623&amp;" "&amp;'IND TECH'!D2623&amp;" "&amp;'IND TECH'!E2623&amp;" "&amp;'IND TECH'!F2623&amp;" "&amp;'IND TECH'!G2623&amp;" "&amp;'IND TECH'!H2623</f>
        <v xml:space="preserve">       </v>
      </c>
      <c r="E2625" t="e">
        <f t="shared" si="20"/>
        <v>#REF!</v>
      </c>
      <c r="F2625" t="e">
        <f>'IND TECH'!#REF!</f>
        <v>#REF!</v>
      </c>
    </row>
    <row r="2626" spans="3:6" x14ac:dyDescent="0.25">
      <c r="C2626">
        <f>'IND TECH'!L2624</f>
        <v>0</v>
      </c>
      <c r="D2626" t="str">
        <f>'IND TECH'!A2624&amp;" "&amp;'IND TECH'!B2624&amp;" "&amp;'IND TECH'!C2624&amp;" "&amp;'IND TECH'!D2624&amp;" "&amp;'IND TECH'!E2624&amp;" "&amp;'IND TECH'!F2624&amp;" "&amp;'IND TECH'!G2624&amp;" "&amp;'IND TECH'!H2624</f>
        <v xml:space="preserve">       </v>
      </c>
      <c r="E2626" t="e">
        <f t="shared" si="20"/>
        <v>#REF!</v>
      </c>
      <c r="F2626" t="e">
        <f>'IND TECH'!#REF!</f>
        <v>#REF!</v>
      </c>
    </row>
    <row r="2627" spans="3:6" x14ac:dyDescent="0.25">
      <c r="C2627">
        <f>'IND TECH'!L2625</f>
        <v>0</v>
      </c>
      <c r="D2627" t="str">
        <f>'IND TECH'!A2625&amp;" "&amp;'IND TECH'!B2625&amp;" "&amp;'IND TECH'!C2625&amp;" "&amp;'IND TECH'!D2625&amp;" "&amp;'IND TECH'!E2625&amp;" "&amp;'IND TECH'!F2625&amp;" "&amp;'IND TECH'!G2625&amp;" "&amp;'IND TECH'!H2625</f>
        <v xml:space="preserve">       </v>
      </c>
      <c r="E2627" t="e">
        <f t="shared" si="20"/>
        <v>#REF!</v>
      </c>
      <c r="F2627" t="e">
        <f>'IND TECH'!#REF!</f>
        <v>#REF!</v>
      </c>
    </row>
    <row r="2628" spans="3:6" x14ac:dyDescent="0.25">
      <c r="C2628">
        <f>'IND TECH'!L2626</f>
        <v>0</v>
      </c>
      <c r="D2628" t="str">
        <f>'IND TECH'!A2626&amp;" "&amp;'IND TECH'!B2626&amp;" "&amp;'IND TECH'!C2626&amp;" "&amp;'IND TECH'!D2626&amp;" "&amp;'IND TECH'!E2626&amp;" "&amp;'IND TECH'!F2626&amp;" "&amp;'IND TECH'!G2626&amp;" "&amp;'IND TECH'!H2626</f>
        <v xml:space="preserve">       </v>
      </c>
      <c r="E2628" t="e">
        <f t="shared" si="20"/>
        <v>#REF!</v>
      </c>
      <c r="F2628" t="e">
        <f>'IND TECH'!#REF!</f>
        <v>#REF!</v>
      </c>
    </row>
    <row r="2629" spans="3:6" x14ac:dyDescent="0.25">
      <c r="C2629">
        <f>'IND TECH'!L2627</f>
        <v>0</v>
      </c>
      <c r="D2629" t="str">
        <f>'IND TECH'!A2627&amp;" "&amp;'IND TECH'!B2627&amp;" "&amp;'IND TECH'!C2627&amp;" "&amp;'IND TECH'!D2627&amp;" "&amp;'IND TECH'!E2627&amp;" "&amp;'IND TECH'!F2627&amp;" "&amp;'IND TECH'!G2627&amp;" "&amp;'IND TECH'!H2627</f>
        <v xml:space="preserve">       </v>
      </c>
      <c r="E2629" t="e">
        <f t="shared" si="20"/>
        <v>#REF!</v>
      </c>
      <c r="F2629" t="e">
        <f>'IND TECH'!#REF!</f>
        <v>#REF!</v>
      </c>
    </row>
    <row r="2630" spans="3:6" x14ac:dyDescent="0.25">
      <c r="C2630">
        <f>'IND TECH'!L2628</f>
        <v>0</v>
      </c>
      <c r="D2630" t="str">
        <f>'IND TECH'!A2628&amp;" "&amp;'IND TECH'!B2628&amp;" "&amp;'IND TECH'!C2628&amp;" "&amp;'IND TECH'!D2628&amp;" "&amp;'IND TECH'!E2628&amp;" "&amp;'IND TECH'!F2628&amp;" "&amp;'IND TECH'!G2628&amp;" "&amp;'IND TECH'!H2628</f>
        <v xml:space="preserve">       </v>
      </c>
      <c r="E2630" t="e">
        <f t="shared" si="20"/>
        <v>#REF!</v>
      </c>
      <c r="F2630" t="e">
        <f>'IND TECH'!#REF!</f>
        <v>#REF!</v>
      </c>
    </row>
    <row r="2631" spans="3:6" x14ac:dyDescent="0.25">
      <c r="C2631">
        <f>'IND TECH'!L2629</f>
        <v>0</v>
      </c>
      <c r="D2631" t="str">
        <f>'IND TECH'!A2629&amp;" "&amp;'IND TECH'!B2629&amp;" "&amp;'IND TECH'!C2629&amp;" "&amp;'IND TECH'!D2629&amp;" "&amp;'IND TECH'!E2629&amp;" "&amp;'IND TECH'!F2629&amp;" "&amp;'IND TECH'!G2629&amp;" "&amp;'IND TECH'!H2629</f>
        <v xml:space="preserve">       </v>
      </c>
      <c r="E2631" t="e">
        <f t="shared" si="20"/>
        <v>#REF!</v>
      </c>
      <c r="F2631" t="e">
        <f>'IND TECH'!#REF!</f>
        <v>#REF!</v>
      </c>
    </row>
    <row r="2632" spans="3:6" x14ac:dyDescent="0.25">
      <c r="C2632">
        <f>'IND TECH'!L2630</f>
        <v>0</v>
      </c>
      <c r="D2632" t="str">
        <f>'IND TECH'!A2630&amp;" "&amp;'IND TECH'!B2630&amp;" "&amp;'IND TECH'!C2630&amp;" "&amp;'IND TECH'!D2630&amp;" "&amp;'IND TECH'!E2630&amp;" "&amp;'IND TECH'!F2630&amp;" "&amp;'IND TECH'!G2630&amp;" "&amp;'IND TECH'!H2630</f>
        <v xml:space="preserve">       </v>
      </c>
      <c r="E2632" t="e">
        <f t="shared" si="20"/>
        <v>#REF!</v>
      </c>
      <c r="F2632" t="e">
        <f>'IND TECH'!#REF!</f>
        <v>#REF!</v>
      </c>
    </row>
    <row r="2633" spans="3:6" x14ac:dyDescent="0.25">
      <c r="C2633">
        <f>'IND TECH'!L2631</f>
        <v>0</v>
      </c>
      <c r="D2633" t="str">
        <f>'IND TECH'!A2631&amp;" "&amp;'IND TECH'!B2631&amp;" "&amp;'IND TECH'!C2631&amp;" "&amp;'IND TECH'!D2631&amp;" "&amp;'IND TECH'!E2631&amp;" "&amp;'IND TECH'!F2631&amp;" "&amp;'IND TECH'!G2631&amp;" "&amp;'IND TECH'!H2631</f>
        <v xml:space="preserve">       </v>
      </c>
      <c r="E2633" t="e">
        <f t="shared" si="20"/>
        <v>#REF!</v>
      </c>
      <c r="F2633" t="e">
        <f>'IND TECH'!#REF!</f>
        <v>#REF!</v>
      </c>
    </row>
    <row r="2634" spans="3:6" x14ac:dyDescent="0.25">
      <c r="C2634">
        <f>'IND TECH'!L2632</f>
        <v>0</v>
      </c>
      <c r="D2634" t="str">
        <f>'IND TECH'!A2632&amp;" "&amp;'IND TECH'!B2632&amp;" "&amp;'IND TECH'!C2632&amp;" "&amp;'IND TECH'!D2632&amp;" "&amp;'IND TECH'!E2632&amp;" "&amp;'IND TECH'!F2632&amp;" "&amp;'IND TECH'!G2632&amp;" "&amp;'IND TECH'!H2632</f>
        <v xml:space="preserve">       </v>
      </c>
      <c r="E2634" t="e">
        <f t="shared" si="20"/>
        <v>#REF!</v>
      </c>
      <c r="F2634" t="e">
        <f>'IND TECH'!#REF!</f>
        <v>#REF!</v>
      </c>
    </row>
    <row r="2635" spans="3:6" x14ac:dyDescent="0.25">
      <c r="C2635">
        <f>'IND TECH'!L2633</f>
        <v>0</v>
      </c>
      <c r="D2635" t="str">
        <f>'IND TECH'!A2633&amp;" "&amp;'IND TECH'!B2633&amp;" "&amp;'IND TECH'!C2633&amp;" "&amp;'IND TECH'!D2633&amp;" "&amp;'IND TECH'!E2633&amp;" "&amp;'IND TECH'!F2633&amp;" "&amp;'IND TECH'!G2633&amp;" "&amp;'IND TECH'!H2633</f>
        <v xml:space="preserve">       </v>
      </c>
      <c r="E2635" t="e">
        <f t="shared" si="20"/>
        <v>#REF!</v>
      </c>
      <c r="F2635" t="e">
        <f>'IND TECH'!#REF!</f>
        <v>#REF!</v>
      </c>
    </row>
    <row r="2636" spans="3:6" x14ac:dyDescent="0.25">
      <c r="C2636">
        <f>'IND TECH'!L2634</f>
        <v>0</v>
      </c>
      <c r="D2636" t="str">
        <f>'IND TECH'!A2634&amp;" "&amp;'IND TECH'!B2634&amp;" "&amp;'IND TECH'!C2634&amp;" "&amp;'IND TECH'!D2634&amp;" "&amp;'IND TECH'!E2634&amp;" "&amp;'IND TECH'!F2634&amp;" "&amp;'IND TECH'!G2634&amp;" "&amp;'IND TECH'!H2634</f>
        <v xml:space="preserve">       </v>
      </c>
      <c r="E2636" t="e">
        <f t="shared" si="20"/>
        <v>#REF!</v>
      </c>
      <c r="F2636" t="e">
        <f>'IND TECH'!#REF!</f>
        <v>#REF!</v>
      </c>
    </row>
    <row r="2637" spans="3:6" x14ac:dyDescent="0.25">
      <c r="C2637">
        <f>'IND TECH'!L2635</f>
        <v>0</v>
      </c>
      <c r="D2637" t="str">
        <f>'IND TECH'!A2635&amp;" "&amp;'IND TECH'!B2635&amp;" "&amp;'IND TECH'!C2635&amp;" "&amp;'IND TECH'!D2635&amp;" "&amp;'IND TECH'!E2635&amp;" "&amp;'IND TECH'!F2635&amp;" "&amp;'IND TECH'!G2635&amp;" "&amp;'IND TECH'!H2635</f>
        <v xml:space="preserve">       </v>
      </c>
      <c r="E2637" t="e">
        <f t="shared" si="20"/>
        <v>#REF!</v>
      </c>
      <c r="F2637" t="e">
        <f>'IND TECH'!#REF!</f>
        <v>#REF!</v>
      </c>
    </row>
    <row r="2638" spans="3:6" x14ac:dyDescent="0.25">
      <c r="C2638">
        <f>'IND TECH'!L2636</f>
        <v>0</v>
      </c>
      <c r="D2638" t="str">
        <f>'IND TECH'!A2636&amp;" "&amp;'IND TECH'!B2636&amp;" "&amp;'IND TECH'!C2636&amp;" "&amp;'IND TECH'!D2636&amp;" "&amp;'IND TECH'!E2636&amp;" "&amp;'IND TECH'!F2636&amp;" "&amp;'IND TECH'!G2636&amp;" "&amp;'IND TECH'!H2636</f>
        <v xml:space="preserve">       </v>
      </c>
      <c r="E2638" t="e">
        <f t="shared" si="20"/>
        <v>#REF!</v>
      </c>
      <c r="F2638" t="e">
        <f>'IND TECH'!#REF!</f>
        <v>#REF!</v>
      </c>
    </row>
    <row r="2639" spans="3:6" x14ac:dyDescent="0.25">
      <c r="C2639">
        <f>'IND TECH'!L2637</f>
        <v>0</v>
      </c>
      <c r="D2639" t="str">
        <f>'IND TECH'!A2637&amp;" "&amp;'IND TECH'!B2637&amp;" "&amp;'IND TECH'!C2637&amp;" "&amp;'IND TECH'!D2637&amp;" "&amp;'IND TECH'!E2637&amp;" "&amp;'IND TECH'!F2637&amp;" "&amp;'IND TECH'!G2637&amp;" "&amp;'IND TECH'!H2637</f>
        <v xml:space="preserve">       </v>
      </c>
      <c r="E2639" t="e">
        <f t="shared" si="20"/>
        <v>#REF!</v>
      </c>
      <c r="F2639" t="e">
        <f>'IND TECH'!#REF!</f>
        <v>#REF!</v>
      </c>
    </row>
    <row r="2640" spans="3:6" x14ac:dyDescent="0.25">
      <c r="C2640">
        <f>'IND TECH'!L2638</f>
        <v>0</v>
      </c>
      <c r="D2640" t="str">
        <f>'IND TECH'!A2638&amp;" "&amp;'IND TECH'!B2638&amp;" "&amp;'IND TECH'!C2638&amp;" "&amp;'IND TECH'!D2638&amp;" "&amp;'IND TECH'!E2638&amp;" "&amp;'IND TECH'!F2638&amp;" "&amp;'IND TECH'!G2638&amp;" "&amp;'IND TECH'!H2638</f>
        <v xml:space="preserve">       </v>
      </c>
      <c r="E2640" t="e">
        <f t="shared" si="20"/>
        <v>#REF!</v>
      </c>
      <c r="F2640" t="e">
        <f>'IND TECH'!#REF!</f>
        <v>#REF!</v>
      </c>
    </row>
    <row r="2641" spans="3:6" x14ac:dyDescent="0.25">
      <c r="C2641">
        <f>'IND TECH'!L2639</f>
        <v>0</v>
      </c>
      <c r="D2641" t="str">
        <f>'IND TECH'!A2639&amp;" "&amp;'IND TECH'!B2639&amp;" "&amp;'IND TECH'!C2639&amp;" "&amp;'IND TECH'!D2639&amp;" "&amp;'IND TECH'!E2639&amp;" "&amp;'IND TECH'!F2639&amp;" "&amp;'IND TECH'!G2639&amp;" "&amp;'IND TECH'!H2639</f>
        <v xml:space="preserve">       </v>
      </c>
      <c r="E2641" t="e">
        <f t="shared" si="20"/>
        <v>#REF!</v>
      </c>
      <c r="F2641" t="e">
        <f>'IND TECH'!#REF!</f>
        <v>#REF!</v>
      </c>
    </row>
    <row r="2642" spans="3:6" x14ac:dyDescent="0.25">
      <c r="C2642">
        <f>'IND TECH'!L2640</f>
        <v>0</v>
      </c>
      <c r="D2642" t="str">
        <f>'IND TECH'!A2640&amp;" "&amp;'IND TECH'!B2640&amp;" "&amp;'IND TECH'!C2640&amp;" "&amp;'IND TECH'!D2640&amp;" "&amp;'IND TECH'!E2640&amp;" "&amp;'IND TECH'!F2640&amp;" "&amp;'IND TECH'!G2640&amp;" "&amp;'IND TECH'!H2640</f>
        <v xml:space="preserve">       </v>
      </c>
      <c r="E2642" t="e">
        <f t="shared" si="20"/>
        <v>#REF!</v>
      </c>
      <c r="F2642" t="e">
        <f>'IND TECH'!#REF!</f>
        <v>#REF!</v>
      </c>
    </row>
    <row r="2643" spans="3:6" x14ac:dyDescent="0.25">
      <c r="C2643">
        <f>'IND TECH'!L2641</f>
        <v>0</v>
      </c>
      <c r="D2643" t="str">
        <f>'IND TECH'!A2641&amp;" "&amp;'IND TECH'!B2641&amp;" "&amp;'IND TECH'!C2641&amp;" "&amp;'IND TECH'!D2641&amp;" "&amp;'IND TECH'!E2641&amp;" "&amp;'IND TECH'!F2641&amp;" "&amp;'IND TECH'!G2641&amp;" "&amp;'IND TECH'!H2641</f>
        <v xml:space="preserve">       </v>
      </c>
      <c r="E2643" t="e">
        <f t="shared" ref="E2643:E2706" si="21">IF(F2643="Mlma","Mlm","TJ")</f>
        <v>#REF!</v>
      </c>
      <c r="F2643" t="e">
        <f>'IND TECH'!#REF!</f>
        <v>#REF!</v>
      </c>
    </row>
    <row r="2644" spans="3:6" x14ac:dyDescent="0.25">
      <c r="C2644">
        <f>'IND TECH'!L2642</f>
        <v>0</v>
      </c>
      <c r="D2644" t="str">
        <f>'IND TECH'!A2642&amp;" "&amp;'IND TECH'!B2642&amp;" "&amp;'IND TECH'!C2642&amp;" "&amp;'IND TECH'!D2642&amp;" "&amp;'IND TECH'!E2642&amp;" "&amp;'IND TECH'!F2642&amp;" "&amp;'IND TECH'!G2642&amp;" "&amp;'IND TECH'!H2642</f>
        <v xml:space="preserve">       </v>
      </c>
      <c r="E2644" t="e">
        <f t="shared" si="21"/>
        <v>#REF!</v>
      </c>
      <c r="F2644" t="e">
        <f>'IND TECH'!#REF!</f>
        <v>#REF!</v>
      </c>
    </row>
    <row r="2645" spans="3:6" x14ac:dyDescent="0.25">
      <c r="C2645">
        <f>'IND TECH'!L2643</f>
        <v>0</v>
      </c>
      <c r="D2645" t="str">
        <f>'IND TECH'!A2643&amp;" "&amp;'IND TECH'!B2643&amp;" "&amp;'IND TECH'!C2643&amp;" "&amp;'IND TECH'!D2643&amp;" "&amp;'IND TECH'!E2643&amp;" "&amp;'IND TECH'!F2643&amp;" "&amp;'IND TECH'!G2643&amp;" "&amp;'IND TECH'!H2643</f>
        <v xml:space="preserve">       </v>
      </c>
      <c r="E2645" t="e">
        <f t="shared" si="21"/>
        <v>#REF!</v>
      </c>
      <c r="F2645" t="e">
        <f>'IND TECH'!#REF!</f>
        <v>#REF!</v>
      </c>
    </row>
    <row r="2646" spans="3:6" x14ac:dyDescent="0.25">
      <c r="C2646">
        <f>'IND TECH'!L2644</f>
        <v>0</v>
      </c>
      <c r="D2646" t="str">
        <f>'IND TECH'!A2644&amp;" "&amp;'IND TECH'!B2644&amp;" "&amp;'IND TECH'!C2644&amp;" "&amp;'IND TECH'!D2644&amp;" "&amp;'IND TECH'!E2644&amp;" "&amp;'IND TECH'!F2644&amp;" "&amp;'IND TECH'!G2644&amp;" "&amp;'IND TECH'!H2644</f>
        <v xml:space="preserve">       </v>
      </c>
      <c r="E2646" t="e">
        <f t="shared" si="21"/>
        <v>#REF!</v>
      </c>
      <c r="F2646" t="e">
        <f>'IND TECH'!#REF!</f>
        <v>#REF!</v>
      </c>
    </row>
    <row r="2647" spans="3:6" x14ac:dyDescent="0.25">
      <c r="C2647">
        <f>'IND TECH'!L2645</f>
        <v>0</v>
      </c>
      <c r="D2647" t="str">
        <f>'IND TECH'!A2645&amp;" "&amp;'IND TECH'!B2645&amp;" "&amp;'IND TECH'!C2645&amp;" "&amp;'IND TECH'!D2645&amp;" "&amp;'IND TECH'!E2645&amp;" "&amp;'IND TECH'!F2645&amp;" "&amp;'IND TECH'!G2645&amp;" "&amp;'IND TECH'!H2645</f>
        <v xml:space="preserve">       </v>
      </c>
      <c r="E2647" t="e">
        <f t="shared" si="21"/>
        <v>#REF!</v>
      </c>
      <c r="F2647" t="e">
        <f>'IND TECH'!#REF!</f>
        <v>#REF!</v>
      </c>
    </row>
    <row r="2648" spans="3:6" x14ac:dyDescent="0.25">
      <c r="C2648">
        <f>'IND TECH'!L2646</f>
        <v>0</v>
      </c>
      <c r="D2648" t="str">
        <f>'IND TECH'!A2646&amp;" "&amp;'IND TECH'!B2646&amp;" "&amp;'IND TECH'!C2646&amp;" "&amp;'IND TECH'!D2646&amp;" "&amp;'IND TECH'!E2646&amp;" "&amp;'IND TECH'!F2646&amp;" "&amp;'IND TECH'!G2646&amp;" "&amp;'IND TECH'!H2646</f>
        <v xml:space="preserve">       </v>
      </c>
      <c r="E2648" t="e">
        <f t="shared" si="21"/>
        <v>#REF!</v>
      </c>
      <c r="F2648" t="e">
        <f>'IND TECH'!#REF!</f>
        <v>#REF!</v>
      </c>
    </row>
    <row r="2649" spans="3:6" x14ac:dyDescent="0.25">
      <c r="C2649">
        <f>'IND TECH'!L2647</f>
        <v>0</v>
      </c>
      <c r="D2649" t="str">
        <f>'IND TECH'!A2647&amp;" "&amp;'IND TECH'!B2647&amp;" "&amp;'IND TECH'!C2647&amp;" "&amp;'IND TECH'!D2647&amp;" "&amp;'IND TECH'!E2647&amp;" "&amp;'IND TECH'!F2647&amp;" "&amp;'IND TECH'!G2647&amp;" "&amp;'IND TECH'!H2647</f>
        <v xml:space="preserve">       </v>
      </c>
      <c r="E2649" t="e">
        <f t="shared" si="21"/>
        <v>#REF!</v>
      </c>
      <c r="F2649" t="e">
        <f>'IND TECH'!#REF!</f>
        <v>#REF!</v>
      </c>
    </row>
    <row r="2650" spans="3:6" x14ac:dyDescent="0.25">
      <c r="C2650">
        <f>'IND TECH'!L2648</f>
        <v>0</v>
      </c>
      <c r="D2650" t="str">
        <f>'IND TECH'!A2648&amp;" "&amp;'IND TECH'!B2648&amp;" "&amp;'IND TECH'!C2648&amp;" "&amp;'IND TECH'!D2648&amp;" "&amp;'IND TECH'!E2648&amp;" "&amp;'IND TECH'!F2648&amp;" "&amp;'IND TECH'!G2648&amp;" "&amp;'IND TECH'!H2648</f>
        <v xml:space="preserve">       </v>
      </c>
      <c r="E2650" t="e">
        <f t="shared" si="21"/>
        <v>#REF!</v>
      </c>
      <c r="F2650" t="e">
        <f>'IND TECH'!#REF!</f>
        <v>#REF!</v>
      </c>
    </row>
    <row r="2651" spans="3:6" x14ac:dyDescent="0.25">
      <c r="C2651">
        <f>'IND TECH'!L2649</f>
        <v>0</v>
      </c>
      <c r="D2651" t="str">
        <f>'IND TECH'!A2649&amp;" "&amp;'IND TECH'!B2649&amp;" "&amp;'IND TECH'!C2649&amp;" "&amp;'IND TECH'!D2649&amp;" "&amp;'IND TECH'!E2649&amp;" "&amp;'IND TECH'!F2649&amp;" "&amp;'IND TECH'!G2649&amp;" "&amp;'IND TECH'!H2649</f>
        <v xml:space="preserve">       </v>
      </c>
      <c r="E2651" t="e">
        <f t="shared" si="21"/>
        <v>#REF!</v>
      </c>
      <c r="F2651" t="e">
        <f>'IND TECH'!#REF!</f>
        <v>#REF!</v>
      </c>
    </row>
    <row r="2652" spans="3:6" x14ac:dyDescent="0.25">
      <c r="C2652">
        <f>'IND TECH'!L2650</f>
        <v>0</v>
      </c>
      <c r="D2652" t="str">
        <f>'IND TECH'!A2650&amp;" "&amp;'IND TECH'!B2650&amp;" "&amp;'IND TECH'!C2650&amp;" "&amp;'IND TECH'!D2650&amp;" "&amp;'IND TECH'!E2650&amp;" "&amp;'IND TECH'!F2650&amp;" "&amp;'IND TECH'!G2650&amp;" "&amp;'IND TECH'!H2650</f>
        <v xml:space="preserve">       </v>
      </c>
      <c r="E2652" t="e">
        <f t="shared" si="21"/>
        <v>#REF!</v>
      </c>
      <c r="F2652" t="e">
        <f>'IND TECH'!#REF!</f>
        <v>#REF!</v>
      </c>
    </row>
    <row r="2653" spans="3:6" x14ac:dyDescent="0.25">
      <c r="C2653">
        <f>'IND TECH'!L2651</f>
        <v>0</v>
      </c>
      <c r="D2653" t="str">
        <f>'IND TECH'!A2651&amp;" "&amp;'IND TECH'!B2651&amp;" "&amp;'IND TECH'!C2651&amp;" "&amp;'IND TECH'!D2651&amp;" "&amp;'IND TECH'!E2651&amp;" "&amp;'IND TECH'!F2651&amp;" "&amp;'IND TECH'!G2651&amp;" "&amp;'IND TECH'!H2651</f>
        <v xml:space="preserve">       </v>
      </c>
      <c r="E2653" t="e">
        <f t="shared" si="21"/>
        <v>#REF!</v>
      </c>
      <c r="F2653" t="e">
        <f>'IND TECH'!#REF!</f>
        <v>#REF!</v>
      </c>
    </row>
    <row r="2654" spans="3:6" x14ac:dyDescent="0.25">
      <c r="C2654">
        <f>'IND TECH'!L2652</f>
        <v>0</v>
      </c>
      <c r="D2654" t="str">
        <f>'IND TECH'!A2652&amp;" "&amp;'IND TECH'!B2652&amp;" "&amp;'IND TECH'!C2652&amp;" "&amp;'IND TECH'!D2652&amp;" "&amp;'IND TECH'!E2652&amp;" "&amp;'IND TECH'!F2652&amp;" "&amp;'IND TECH'!G2652&amp;" "&amp;'IND TECH'!H2652</f>
        <v xml:space="preserve">       </v>
      </c>
      <c r="E2654" t="e">
        <f t="shared" si="21"/>
        <v>#REF!</v>
      </c>
      <c r="F2654" t="e">
        <f>'IND TECH'!#REF!</f>
        <v>#REF!</v>
      </c>
    </row>
    <row r="2655" spans="3:6" x14ac:dyDescent="0.25">
      <c r="C2655">
        <f>'IND TECH'!L2653</f>
        <v>0</v>
      </c>
      <c r="D2655" t="str">
        <f>'IND TECH'!A2653&amp;" "&amp;'IND TECH'!B2653&amp;" "&amp;'IND TECH'!C2653&amp;" "&amp;'IND TECH'!D2653&amp;" "&amp;'IND TECH'!E2653&amp;" "&amp;'IND TECH'!F2653&amp;" "&amp;'IND TECH'!G2653&amp;" "&amp;'IND TECH'!H2653</f>
        <v xml:space="preserve">       </v>
      </c>
      <c r="E2655" t="e">
        <f t="shared" si="21"/>
        <v>#REF!</v>
      </c>
      <c r="F2655" t="e">
        <f>'IND TECH'!#REF!</f>
        <v>#REF!</v>
      </c>
    </row>
    <row r="2656" spans="3:6" x14ac:dyDescent="0.25">
      <c r="C2656">
        <f>'IND TECH'!L2654</f>
        <v>0</v>
      </c>
      <c r="D2656" t="str">
        <f>'IND TECH'!A2654&amp;" "&amp;'IND TECH'!B2654&amp;" "&amp;'IND TECH'!C2654&amp;" "&amp;'IND TECH'!D2654&amp;" "&amp;'IND TECH'!E2654&amp;" "&amp;'IND TECH'!F2654&amp;" "&amp;'IND TECH'!G2654&amp;" "&amp;'IND TECH'!H2654</f>
        <v xml:space="preserve">       </v>
      </c>
      <c r="E2656" t="e">
        <f t="shared" si="21"/>
        <v>#REF!</v>
      </c>
      <c r="F2656" t="e">
        <f>'IND TECH'!#REF!</f>
        <v>#REF!</v>
      </c>
    </row>
    <row r="2657" spans="3:6" x14ac:dyDescent="0.25">
      <c r="C2657">
        <f>'IND TECH'!L2655</f>
        <v>0</v>
      </c>
      <c r="D2657" t="str">
        <f>'IND TECH'!A2655&amp;" "&amp;'IND TECH'!B2655&amp;" "&amp;'IND TECH'!C2655&amp;" "&amp;'IND TECH'!D2655&amp;" "&amp;'IND TECH'!E2655&amp;" "&amp;'IND TECH'!F2655&amp;" "&amp;'IND TECH'!G2655&amp;" "&amp;'IND TECH'!H2655</f>
        <v xml:space="preserve">       </v>
      </c>
      <c r="E2657" t="e">
        <f t="shared" si="21"/>
        <v>#REF!</v>
      </c>
      <c r="F2657" t="e">
        <f>'IND TECH'!#REF!</f>
        <v>#REF!</v>
      </c>
    </row>
    <row r="2658" spans="3:6" x14ac:dyDescent="0.25">
      <c r="C2658">
        <f>'IND TECH'!L2656</f>
        <v>0</v>
      </c>
      <c r="D2658" t="str">
        <f>'IND TECH'!A2656&amp;" "&amp;'IND TECH'!B2656&amp;" "&amp;'IND TECH'!C2656&amp;" "&amp;'IND TECH'!D2656&amp;" "&amp;'IND TECH'!E2656&amp;" "&amp;'IND TECH'!F2656&amp;" "&amp;'IND TECH'!G2656&amp;" "&amp;'IND TECH'!H2656</f>
        <v xml:space="preserve">       </v>
      </c>
      <c r="E2658" t="e">
        <f t="shared" si="21"/>
        <v>#REF!</v>
      </c>
      <c r="F2658" t="e">
        <f>'IND TECH'!#REF!</f>
        <v>#REF!</v>
      </c>
    </row>
    <row r="2659" spans="3:6" x14ac:dyDescent="0.25">
      <c r="C2659">
        <f>'IND TECH'!L2657</f>
        <v>0</v>
      </c>
      <c r="D2659" t="str">
        <f>'IND TECH'!A2657&amp;" "&amp;'IND TECH'!B2657&amp;" "&amp;'IND TECH'!C2657&amp;" "&amp;'IND TECH'!D2657&amp;" "&amp;'IND TECH'!E2657&amp;" "&amp;'IND TECH'!F2657&amp;" "&amp;'IND TECH'!G2657&amp;" "&amp;'IND TECH'!H2657</f>
        <v xml:space="preserve">       </v>
      </c>
      <c r="E2659" t="e">
        <f t="shared" si="21"/>
        <v>#REF!</v>
      </c>
      <c r="F2659" t="e">
        <f>'IND TECH'!#REF!</f>
        <v>#REF!</v>
      </c>
    </row>
    <row r="2660" spans="3:6" x14ac:dyDescent="0.25">
      <c r="C2660">
        <f>'IND TECH'!L2658</f>
        <v>0</v>
      </c>
      <c r="D2660" t="str">
        <f>'IND TECH'!A2658&amp;" "&amp;'IND TECH'!B2658&amp;" "&amp;'IND TECH'!C2658&amp;" "&amp;'IND TECH'!D2658&amp;" "&amp;'IND TECH'!E2658&amp;" "&amp;'IND TECH'!F2658&amp;" "&amp;'IND TECH'!G2658&amp;" "&amp;'IND TECH'!H2658</f>
        <v xml:space="preserve">       </v>
      </c>
      <c r="E2660" t="e">
        <f t="shared" si="21"/>
        <v>#REF!</v>
      </c>
      <c r="F2660" t="e">
        <f>'IND TECH'!#REF!</f>
        <v>#REF!</v>
      </c>
    </row>
    <row r="2661" spans="3:6" x14ac:dyDescent="0.25">
      <c r="C2661">
        <f>'IND TECH'!L2659</f>
        <v>0</v>
      </c>
      <c r="D2661" t="str">
        <f>'IND TECH'!A2659&amp;" "&amp;'IND TECH'!B2659&amp;" "&amp;'IND TECH'!C2659&amp;" "&amp;'IND TECH'!D2659&amp;" "&amp;'IND TECH'!E2659&amp;" "&amp;'IND TECH'!F2659&amp;" "&amp;'IND TECH'!G2659&amp;" "&amp;'IND TECH'!H2659</f>
        <v xml:space="preserve">       </v>
      </c>
      <c r="E2661" t="e">
        <f t="shared" si="21"/>
        <v>#REF!</v>
      </c>
      <c r="F2661" t="e">
        <f>'IND TECH'!#REF!</f>
        <v>#REF!</v>
      </c>
    </row>
    <row r="2662" spans="3:6" x14ac:dyDescent="0.25">
      <c r="C2662">
        <f>'IND TECH'!L2660</f>
        <v>0</v>
      </c>
      <c r="D2662" t="str">
        <f>'IND TECH'!A2660&amp;" "&amp;'IND TECH'!B2660&amp;" "&amp;'IND TECH'!C2660&amp;" "&amp;'IND TECH'!D2660&amp;" "&amp;'IND TECH'!E2660&amp;" "&amp;'IND TECH'!F2660&amp;" "&amp;'IND TECH'!G2660&amp;" "&amp;'IND TECH'!H2660</f>
        <v xml:space="preserve">       </v>
      </c>
      <c r="E2662" t="e">
        <f t="shared" si="21"/>
        <v>#REF!</v>
      </c>
      <c r="F2662" t="e">
        <f>'IND TECH'!#REF!</f>
        <v>#REF!</v>
      </c>
    </row>
    <row r="2663" spans="3:6" x14ac:dyDescent="0.25">
      <c r="C2663">
        <f>'IND TECH'!L2661</f>
        <v>0</v>
      </c>
      <c r="D2663" t="str">
        <f>'IND TECH'!A2661&amp;" "&amp;'IND TECH'!B2661&amp;" "&amp;'IND TECH'!C2661&amp;" "&amp;'IND TECH'!D2661&amp;" "&amp;'IND TECH'!E2661&amp;" "&amp;'IND TECH'!F2661&amp;" "&amp;'IND TECH'!G2661&amp;" "&amp;'IND TECH'!H2661</f>
        <v xml:space="preserve">       </v>
      </c>
      <c r="E2663" t="e">
        <f t="shared" si="21"/>
        <v>#REF!</v>
      </c>
      <c r="F2663" t="e">
        <f>'IND TECH'!#REF!</f>
        <v>#REF!</v>
      </c>
    </row>
    <row r="2664" spans="3:6" x14ac:dyDescent="0.25">
      <c r="C2664">
        <f>'IND TECH'!L2662</f>
        <v>0</v>
      </c>
      <c r="D2664" t="str">
        <f>'IND TECH'!A2662&amp;" "&amp;'IND TECH'!B2662&amp;" "&amp;'IND TECH'!C2662&amp;" "&amp;'IND TECH'!D2662&amp;" "&amp;'IND TECH'!E2662&amp;" "&amp;'IND TECH'!F2662&amp;" "&amp;'IND TECH'!G2662&amp;" "&amp;'IND TECH'!H2662</f>
        <v xml:space="preserve">       </v>
      </c>
      <c r="E2664" t="e">
        <f t="shared" si="21"/>
        <v>#REF!</v>
      </c>
      <c r="F2664" t="e">
        <f>'IND TECH'!#REF!</f>
        <v>#REF!</v>
      </c>
    </row>
    <row r="2665" spans="3:6" x14ac:dyDescent="0.25">
      <c r="C2665">
        <f>'IND TECH'!L2663</f>
        <v>0</v>
      </c>
      <c r="D2665" t="str">
        <f>'IND TECH'!A2663&amp;" "&amp;'IND TECH'!B2663&amp;" "&amp;'IND TECH'!C2663&amp;" "&amp;'IND TECH'!D2663&amp;" "&amp;'IND TECH'!E2663&amp;" "&amp;'IND TECH'!F2663&amp;" "&amp;'IND TECH'!G2663&amp;" "&amp;'IND TECH'!H2663</f>
        <v xml:space="preserve">       </v>
      </c>
      <c r="E2665" t="e">
        <f t="shared" si="21"/>
        <v>#REF!</v>
      </c>
      <c r="F2665" t="e">
        <f>'IND TECH'!#REF!</f>
        <v>#REF!</v>
      </c>
    </row>
    <row r="2666" spans="3:6" x14ac:dyDescent="0.25">
      <c r="C2666">
        <f>'IND TECH'!L2664</f>
        <v>0</v>
      </c>
      <c r="D2666" t="str">
        <f>'IND TECH'!A2664&amp;" "&amp;'IND TECH'!B2664&amp;" "&amp;'IND TECH'!C2664&amp;" "&amp;'IND TECH'!D2664&amp;" "&amp;'IND TECH'!E2664&amp;" "&amp;'IND TECH'!F2664&amp;" "&amp;'IND TECH'!G2664&amp;" "&amp;'IND TECH'!H2664</f>
        <v xml:space="preserve">       </v>
      </c>
      <c r="E2666" t="e">
        <f t="shared" si="21"/>
        <v>#REF!</v>
      </c>
      <c r="F2666" t="e">
        <f>'IND TECH'!#REF!</f>
        <v>#REF!</v>
      </c>
    </row>
    <row r="2667" spans="3:6" x14ac:dyDescent="0.25">
      <c r="C2667">
        <f>'IND TECH'!L2665</f>
        <v>0</v>
      </c>
      <c r="D2667" t="str">
        <f>'IND TECH'!A2665&amp;" "&amp;'IND TECH'!B2665&amp;" "&amp;'IND TECH'!C2665&amp;" "&amp;'IND TECH'!D2665&amp;" "&amp;'IND TECH'!E2665&amp;" "&amp;'IND TECH'!F2665&amp;" "&amp;'IND TECH'!G2665&amp;" "&amp;'IND TECH'!H2665</f>
        <v xml:space="preserve">       </v>
      </c>
      <c r="E2667" t="e">
        <f t="shared" si="21"/>
        <v>#REF!</v>
      </c>
      <c r="F2667" t="e">
        <f>'IND TECH'!#REF!</f>
        <v>#REF!</v>
      </c>
    </row>
    <row r="2668" spans="3:6" x14ac:dyDescent="0.25">
      <c r="C2668">
        <f>'IND TECH'!L2666</f>
        <v>0</v>
      </c>
      <c r="D2668" t="str">
        <f>'IND TECH'!A2666&amp;" "&amp;'IND TECH'!B2666&amp;" "&amp;'IND TECH'!C2666&amp;" "&amp;'IND TECH'!D2666&amp;" "&amp;'IND TECH'!E2666&amp;" "&amp;'IND TECH'!F2666&amp;" "&amp;'IND TECH'!G2666&amp;" "&amp;'IND TECH'!H2666</f>
        <v xml:space="preserve">       </v>
      </c>
      <c r="E2668" t="e">
        <f t="shared" si="21"/>
        <v>#REF!</v>
      </c>
      <c r="F2668" t="e">
        <f>'IND TECH'!#REF!</f>
        <v>#REF!</v>
      </c>
    </row>
    <row r="2669" spans="3:6" x14ac:dyDescent="0.25">
      <c r="C2669">
        <f>'IND TECH'!L2667</f>
        <v>0</v>
      </c>
      <c r="D2669" t="str">
        <f>'IND TECH'!A2667&amp;" "&amp;'IND TECH'!B2667&amp;" "&amp;'IND TECH'!C2667&amp;" "&amp;'IND TECH'!D2667&amp;" "&amp;'IND TECH'!E2667&amp;" "&amp;'IND TECH'!F2667&amp;" "&amp;'IND TECH'!G2667&amp;" "&amp;'IND TECH'!H2667</f>
        <v xml:space="preserve">       </v>
      </c>
      <c r="E2669" t="e">
        <f t="shared" si="21"/>
        <v>#REF!</v>
      </c>
      <c r="F2669" t="e">
        <f>'IND TECH'!#REF!</f>
        <v>#REF!</v>
      </c>
    </row>
    <row r="2670" spans="3:6" x14ac:dyDescent="0.25">
      <c r="C2670">
        <f>'IND TECH'!L2668</f>
        <v>0</v>
      </c>
      <c r="D2670" t="str">
        <f>'IND TECH'!A2668&amp;" "&amp;'IND TECH'!B2668&amp;" "&amp;'IND TECH'!C2668&amp;" "&amp;'IND TECH'!D2668&amp;" "&amp;'IND TECH'!E2668&amp;" "&amp;'IND TECH'!F2668&amp;" "&amp;'IND TECH'!G2668&amp;" "&amp;'IND TECH'!H2668</f>
        <v xml:space="preserve">       </v>
      </c>
      <c r="E2670" t="e">
        <f t="shared" si="21"/>
        <v>#REF!</v>
      </c>
      <c r="F2670" t="e">
        <f>'IND TECH'!#REF!</f>
        <v>#REF!</v>
      </c>
    </row>
    <row r="2671" spans="3:6" x14ac:dyDescent="0.25">
      <c r="C2671">
        <f>'IND TECH'!L2669</f>
        <v>0</v>
      </c>
      <c r="D2671" t="str">
        <f>'IND TECH'!A2669&amp;" "&amp;'IND TECH'!B2669&amp;" "&amp;'IND TECH'!C2669&amp;" "&amp;'IND TECH'!D2669&amp;" "&amp;'IND TECH'!E2669&amp;" "&amp;'IND TECH'!F2669&amp;" "&amp;'IND TECH'!G2669&amp;" "&amp;'IND TECH'!H2669</f>
        <v xml:space="preserve">       </v>
      </c>
      <c r="E2671" t="e">
        <f t="shared" si="21"/>
        <v>#REF!</v>
      </c>
      <c r="F2671" t="e">
        <f>'IND TECH'!#REF!</f>
        <v>#REF!</v>
      </c>
    </row>
    <row r="2672" spans="3:6" x14ac:dyDescent="0.25">
      <c r="C2672">
        <f>'IND TECH'!L2670</f>
        <v>0</v>
      </c>
      <c r="D2672" t="str">
        <f>'IND TECH'!A2670&amp;" "&amp;'IND TECH'!B2670&amp;" "&amp;'IND TECH'!C2670&amp;" "&amp;'IND TECH'!D2670&amp;" "&amp;'IND TECH'!E2670&amp;" "&amp;'IND TECH'!F2670&amp;" "&amp;'IND TECH'!G2670&amp;" "&amp;'IND TECH'!H2670</f>
        <v xml:space="preserve">       </v>
      </c>
      <c r="E2672" t="e">
        <f t="shared" si="21"/>
        <v>#REF!</v>
      </c>
      <c r="F2672" t="e">
        <f>'IND TECH'!#REF!</f>
        <v>#REF!</v>
      </c>
    </row>
    <row r="2673" spans="3:6" x14ac:dyDescent="0.25">
      <c r="C2673">
        <f>'IND TECH'!L2671</f>
        <v>0</v>
      </c>
      <c r="D2673" t="str">
        <f>'IND TECH'!A2671&amp;" "&amp;'IND TECH'!B2671&amp;" "&amp;'IND TECH'!C2671&amp;" "&amp;'IND TECH'!D2671&amp;" "&amp;'IND TECH'!E2671&amp;" "&amp;'IND TECH'!F2671&amp;" "&amp;'IND TECH'!G2671&amp;" "&amp;'IND TECH'!H2671</f>
        <v xml:space="preserve">       </v>
      </c>
      <c r="E2673" t="e">
        <f t="shared" si="21"/>
        <v>#REF!</v>
      </c>
      <c r="F2673" t="e">
        <f>'IND TECH'!#REF!</f>
        <v>#REF!</v>
      </c>
    </row>
    <row r="2674" spans="3:6" x14ac:dyDescent="0.25">
      <c r="C2674">
        <f>'IND TECH'!L2672</f>
        <v>0</v>
      </c>
      <c r="D2674" t="str">
        <f>'IND TECH'!A2672&amp;" "&amp;'IND TECH'!B2672&amp;" "&amp;'IND TECH'!C2672&amp;" "&amp;'IND TECH'!D2672&amp;" "&amp;'IND TECH'!E2672&amp;" "&amp;'IND TECH'!F2672&amp;" "&amp;'IND TECH'!G2672&amp;" "&amp;'IND TECH'!H2672</f>
        <v xml:space="preserve">       </v>
      </c>
      <c r="E2674" t="e">
        <f t="shared" si="21"/>
        <v>#REF!</v>
      </c>
      <c r="F2674" t="e">
        <f>'IND TECH'!#REF!</f>
        <v>#REF!</v>
      </c>
    </row>
    <row r="2675" spans="3:6" x14ac:dyDescent="0.25">
      <c r="C2675">
        <f>'IND TECH'!L2673</f>
        <v>0</v>
      </c>
      <c r="D2675" t="str">
        <f>'IND TECH'!A2673&amp;" "&amp;'IND TECH'!B2673&amp;" "&amp;'IND TECH'!C2673&amp;" "&amp;'IND TECH'!D2673&amp;" "&amp;'IND TECH'!E2673&amp;" "&amp;'IND TECH'!F2673&amp;" "&amp;'IND TECH'!G2673&amp;" "&amp;'IND TECH'!H2673</f>
        <v xml:space="preserve">       </v>
      </c>
      <c r="E2675" t="e">
        <f t="shared" si="21"/>
        <v>#REF!</v>
      </c>
      <c r="F2675" t="e">
        <f>'IND TECH'!#REF!</f>
        <v>#REF!</v>
      </c>
    </row>
    <row r="2676" spans="3:6" x14ac:dyDescent="0.25">
      <c r="C2676">
        <f>'IND TECH'!L2674</f>
        <v>0</v>
      </c>
      <c r="D2676" t="str">
        <f>'IND TECH'!A2674&amp;" "&amp;'IND TECH'!B2674&amp;" "&amp;'IND TECH'!C2674&amp;" "&amp;'IND TECH'!D2674&amp;" "&amp;'IND TECH'!E2674&amp;" "&amp;'IND TECH'!F2674&amp;" "&amp;'IND TECH'!G2674&amp;" "&amp;'IND TECH'!H2674</f>
        <v xml:space="preserve">       </v>
      </c>
      <c r="E2676" t="e">
        <f t="shared" si="21"/>
        <v>#REF!</v>
      </c>
      <c r="F2676" t="e">
        <f>'IND TECH'!#REF!</f>
        <v>#REF!</v>
      </c>
    </row>
    <row r="2677" spans="3:6" x14ac:dyDescent="0.25">
      <c r="C2677">
        <f>'IND TECH'!L2675</f>
        <v>0</v>
      </c>
      <c r="D2677" t="str">
        <f>'IND TECH'!A2675&amp;" "&amp;'IND TECH'!B2675&amp;" "&amp;'IND TECH'!C2675&amp;" "&amp;'IND TECH'!D2675&amp;" "&amp;'IND TECH'!E2675&amp;" "&amp;'IND TECH'!F2675&amp;" "&amp;'IND TECH'!G2675&amp;" "&amp;'IND TECH'!H2675</f>
        <v xml:space="preserve">       </v>
      </c>
      <c r="E2677" t="e">
        <f t="shared" si="21"/>
        <v>#REF!</v>
      </c>
      <c r="F2677" t="e">
        <f>'IND TECH'!#REF!</f>
        <v>#REF!</v>
      </c>
    </row>
    <row r="2678" spans="3:6" x14ac:dyDescent="0.25">
      <c r="C2678">
        <f>'IND TECH'!L2676</f>
        <v>0</v>
      </c>
      <c r="D2678" t="str">
        <f>'IND TECH'!A2676&amp;" "&amp;'IND TECH'!B2676&amp;" "&amp;'IND TECH'!C2676&amp;" "&amp;'IND TECH'!D2676&amp;" "&amp;'IND TECH'!E2676&amp;" "&amp;'IND TECH'!F2676&amp;" "&amp;'IND TECH'!G2676&amp;" "&amp;'IND TECH'!H2676</f>
        <v xml:space="preserve">       </v>
      </c>
      <c r="E2678" t="e">
        <f t="shared" si="21"/>
        <v>#REF!</v>
      </c>
      <c r="F2678" t="e">
        <f>'IND TECH'!#REF!</f>
        <v>#REF!</v>
      </c>
    </row>
    <row r="2679" spans="3:6" x14ac:dyDescent="0.25">
      <c r="C2679">
        <f>'IND TECH'!L2677</f>
        <v>0</v>
      </c>
      <c r="D2679" t="str">
        <f>'IND TECH'!A2677&amp;" "&amp;'IND TECH'!B2677&amp;" "&amp;'IND TECH'!C2677&amp;" "&amp;'IND TECH'!D2677&amp;" "&amp;'IND TECH'!E2677&amp;" "&amp;'IND TECH'!F2677&amp;" "&amp;'IND TECH'!G2677&amp;" "&amp;'IND TECH'!H2677</f>
        <v xml:space="preserve">       </v>
      </c>
      <c r="E2679" t="e">
        <f t="shared" si="21"/>
        <v>#REF!</v>
      </c>
      <c r="F2679" t="e">
        <f>'IND TECH'!#REF!</f>
        <v>#REF!</v>
      </c>
    </row>
    <row r="2680" spans="3:6" x14ac:dyDescent="0.25">
      <c r="C2680">
        <f>'IND TECH'!L2678</f>
        <v>0</v>
      </c>
      <c r="D2680" t="str">
        <f>'IND TECH'!A2678&amp;" "&amp;'IND TECH'!B2678&amp;" "&amp;'IND TECH'!C2678&amp;" "&amp;'IND TECH'!D2678&amp;" "&amp;'IND TECH'!E2678&amp;" "&amp;'IND TECH'!F2678&amp;" "&amp;'IND TECH'!G2678&amp;" "&amp;'IND TECH'!H2678</f>
        <v xml:space="preserve">       </v>
      </c>
      <c r="E2680" t="e">
        <f t="shared" si="21"/>
        <v>#REF!</v>
      </c>
      <c r="F2680" t="e">
        <f>'IND TECH'!#REF!</f>
        <v>#REF!</v>
      </c>
    </row>
    <row r="2681" spans="3:6" x14ac:dyDescent="0.25">
      <c r="C2681">
        <f>'IND TECH'!L2679</f>
        <v>0</v>
      </c>
      <c r="D2681" t="str">
        <f>'IND TECH'!A2679&amp;" "&amp;'IND TECH'!B2679&amp;" "&amp;'IND TECH'!C2679&amp;" "&amp;'IND TECH'!D2679&amp;" "&amp;'IND TECH'!E2679&amp;" "&amp;'IND TECH'!F2679&amp;" "&amp;'IND TECH'!G2679&amp;" "&amp;'IND TECH'!H2679</f>
        <v xml:space="preserve">       </v>
      </c>
      <c r="E2681" t="e">
        <f t="shared" si="21"/>
        <v>#REF!</v>
      </c>
      <c r="F2681" t="e">
        <f>'IND TECH'!#REF!</f>
        <v>#REF!</v>
      </c>
    </row>
    <row r="2682" spans="3:6" x14ac:dyDescent="0.25">
      <c r="C2682">
        <f>'IND TECH'!L2680</f>
        <v>0</v>
      </c>
      <c r="D2682" t="str">
        <f>'IND TECH'!A2680&amp;" "&amp;'IND TECH'!B2680&amp;" "&amp;'IND TECH'!C2680&amp;" "&amp;'IND TECH'!D2680&amp;" "&amp;'IND TECH'!E2680&amp;" "&amp;'IND TECH'!F2680&amp;" "&amp;'IND TECH'!G2680&amp;" "&amp;'IND TECH'!H2680</f>
        <v xml:space="preserve">       </v>
      </c>
      <c r="E2682" t="e">
        <f t="shared" si="21"/>
        <v>#REF!</v>
      </c>
      <c r="F2682" t="e">
        <f>'IND TECH'!#REF!</f>
        <v>#REF!</v>
      </c>
    </row>
    <row r="2683" spans="3:6" x14ac:dyDescent="0.25">
      <c r="C2683">
        <f>'IND TECH'!L2681</f>
        <v>0</v>
      </c>
      <c r="D2683" t="str">
        <f>'IND TECH'!A2681&amp;" "&amp;'IND TECH'!B2681&amp;" "&amp;'IND TECH'!C2681&amp;" "&amp;'IND TECH'!D2681&amp;" "&amp;'IND TECH'!E2681&amp;" "&amp;'IND TECH'!F2681&amp;" "&amp;'IND TECH'!G2681&amp;" "&amp;'IND TECH'!H2681</f>
        <v xml:space="preserve">       </v>
      </c>
      <c r="E2683" t="e">
        <f t="shared" si="21"/>
        <v>#REF!</v>
      </c>
      <c r="F2683" t="e">
        <f>'IND TECH'!#REF!</f>
        <v>#REF!</v>
      </c>
    </row>
    <row r="2684" spans="3:6" x14ac:dyDescent="0.25">
      <c r="C2684">
        <f>'IND TECH'!L2682</f>
        <v>0</v>
      </c>
      <c r="D2684" t="str">
        <f>'IND TECH'!A2682&amp;" "&amp;'IND TECH'!B2682&amp;" "&amp;'IND TECH'!C2682&amp;" "&amp;'IND TECH'!D2682&amp;" "&amp;'IND TECH'!E2682&amp;" "&amp;'IND TECH'!F2682&amp;" "&amp;'IND TECH'!G2682&amp;" "&amp;'IND TECH'!H2682</f>
        <v xml:space="preserve">       </v>
      </c>
      <c r="E2684" t="e">
        <f t="shared" si="21"/>
        <v>#REF!</v>
      </c>
      <c r="F2684" t="e">
        <f>'IND TECH'!#REF!</f>
        <v>#REF!</v>
      </c>
    </row>
    <row r="2685" spans="3:6" x14ac:dyDescent="0.25">
      <c r="C2685">
        <f>'IND TECH'!L2683</f>
        <v>0</v>
      </c>
      <c r="D2685" t="str">
        <f>'IND TECH'!A2683&amp;" "&amp;'IND TECH'!B2683&amp;" "&amp;'IND TECH'!C2683&amp;" "&amp;'IND TECH'!D2683&amp;" "&amp;'IND TECH'!E2683&amp;" "&amp;'IND TECH'!F2683&amp;" "&amp;'IND TECH'!G2683&amp;" "&amp;'IND TECH'!H2683</f>
        <v xml:space="preserve">       </v>
      </c>
      <c r="E2685" t="e">
        <f t="shared" si="21"/>
        <v>#REF!</v>
      </c>
      <c r="F2685" t="e">
        <f>'IND TECH'!#REF!</f>
        <v>#REF!</v>
      </c>
    </row>
    <row r="2686" spans="3:6" x14ac:dyDescent="0.25">
      <c r="C2686">
        <f>'IND TECH'!L2684</f>
        <v>0</v>
      </c>
      <c r="D2686" t="str">
        <f>'IND TECH'!A2684&amp;" "&amp;'IND TECH'!B2684&amp;" "&amp;'IND TECH'!C2684&amp;" "&amp;'IND TECH'!D2684&amp;" "&amp;'IND TECH'!E2684&amp;" "&amp;'IND TECH'!F2684&amp;" "&amp;'IND TECH'!G2684&amp;" "&amp;'IND TECH'!H2684</f>
        <v xml:space="preserve">       </v>
      </c>
      <c r="E2686" t="e">
        <f t="shared" si="21"/>
        <v>#REF!</v>
      </c>
      <c r="F2686" t="e">
        <f>'IND TECH'!#REF!</f>
        <v>#REF!</v>
      </c>
    </row>
    <row r="2687" spans="3:6" x14ac:dyDescent="0.25">
      <c r="C2687">
        <f>'IND TECH'!L2685</f>
        <v>0</v>
      </c>
      <c r="D2687" t="str">
        <f>'IND TECH'!A2685&amp;" "&amp;'IND TECH'!B2685&amp;" "&amp;'IND TECH'!C2685&amp;" "&amp;'IND TECH'!D2685&amp;" "&amp;'IND TECH'!E2685&amp;" "&amp;'IND TECH'!F2685&amp;" "&amp;'IND TECH'!G2685&amp;" "&amp;'IND TECH'!H2685</f>
        <v xml:space="preserve">       </v>
      </c>
      <c r="E2687" t="e">
        <f t="shared" si="21"/>
        <v>#REF!</v>
      </c>
      <c r="F2687" t="e">
        <f>'IND TECH'!#REF!</f>
        <v>#REF!</v>
      </c>
    </row>
    <row r="2688" spans="3:6" x14ac:dyDescent="0.25">
      <c r="C2688">
        <f>'IND TECH'!L2686</f>
        <v>0</v>
      </c>
      <c r="D2688" t="str">
        <f>'IND TECH'!A2686&amp;" "&amp;'IND TECH'!B2686&amp;" "&amp;'IND TECH'!C2686&amp;" "&amp;'IND TECH'!D2686&amp;" "&amp;'IND TECH'!E2686&amp;" "&amp;'IND TECH'!F2686&amp;" "&amp;'IND TECH'!G2686&amp;" "&amp;'IND TECH'!H2686</f>
        <v xml:space="preserve">       </v>
      </c>
      <c r="E2688" t="e">
        <f t="shared" si="21"/>
        <v>#REF!</v>
      </c>
      <c r="F2688" t="e">
        <f>'IND TECH'!#REF!</f>
        <v>#REF!</v>
      </c>
    </row>
    <row r="2689" spans="3:6" x14ac:dyDescent="0.25">
      <c r="C2689">
        <f>'IND TECH'!L2687</f>
        <v>0</v>
      </c>
      <c r="D2689" t="str">
        <f>'IND TECH'!A2687&amp;" "&amp;'IND TECH'!B2687&amp;" "&amp;'IND TECH'!C2687&amp;" "&amp;'IND TECH'!D2687&amp;" "&amp;'IND TECH'!E2687&amp;" "&amp;'IND TECH'!F2687&amp;" "&amp;'IND TECH'!G2687&amp;" "&amp;'IND TECH'!H2687</f>
        <v xml:space="preserve">       </v>
      </c>
      <c r="E2689" t="e">
        <f t="shared" si="21"/>
        <v>#REF!</v>
      </c>
      <c r="F2689" t="e">
        <f>'IND TECH'!#REF!</f>
        <v>#REF!</v>
      </c>
    </row>
    <row r="2690" spans="3:6" x14ac:dyDescent="0.25">
      <c r="C2690">
        <f>'IND TECH'!L2688</f>
        <v>0</v>
      </c>
      <c r="D2690" t="str">
        <f>'IND TECH'!A2688&amp;" "&amp;'IND TECH'!B2688&amp;" "&amp;'IND TECH'!C2688&amp;" "&amp;'IND TECH'!D2688&amp;" "&amp;'IND TECH'!E2688&amp;" "&amp;'IND TECH'!F2688&amp;" "&amp;'IND TECH'!G2688&amp;" "&amp;'IND TECH'!H2688</f>
        <v xml:space="preserve">       </v>
      </c>
      <c r="E2690" t="e">
        <f t="shared" si="21"/>
        <v>#REF!</v>
      </c>
      <c r="F2690" t="e">
        <f>'IND TECH'!#REF!</f>
        <v>#REF!</v>
      </c>
    </row>
    <row r="2691" spans="3:6" x14ac:dyDescent="0.25">
      <c r="C2691">
        <f>'IND TECH'!L2689</f>
        <v>0</v>
      </c>
      <c r="D2691" t="str">
        <f>'IND TECH'!A2689&amp;" "&amp;'IND TECH'!B2689&amp;" "&amp;'IND TECH'!C2689&amp;" "&amp;'IND TECH'!D2689&amp;" "&amp;'IND TECH'!E2689&amp;" "&amp;'IND TECH'!F2689&amp;" "&amp;'IND TECH'!G2689&amp;" "&amp;'IND TECH'!H2689</f>
        <v xml:space="preserve">       </v>
      </c>
      <c r="E2691" t="e">
        <f t="shared" si="21"/>
        <v>#REF!</v>
      </c>
      <c r="F2691" t="e">
        <f>'IND TECH'!#REF!</f>
        <v>#REF!</v>
      </c>
    </row>
    <row r="2692" spans="3:6" x14ac:dyDescent="0.25">
      <c r="C2692">
        <f>'IND TECH'!L2690</f>
        <v>0</v>
      </c>
      <c r="D2692" t="str">
        <f>'IND TECH'!A2690&amp;" "&amp;'IND TECH'!B2690&amp;" "&amp;'IND TECH'!C2690&amp;" "&amp;'IND TECH'!D2690&amp;" "&amp;'IND TECH'!E2690&amp;" "&amp;'IND TECH'!F2690&amp;" "&amp;'IND TECH'!G2690&amp;" "&amp;'IND TECH'!H2690</f>
        <v xml:space="preserve">       </v>
      </c>
      <c r="E2692" t="e">
        <f t="shared" si="21"/>
        <v>#REF!</v>
      </c>
      <c r="F2692" t="e">
        <f>'IND TECH'!#REF!</f>
        <v>#REF!</v>
      </c>
    </row>
    <row r="2693" spans="3:6" x14ac:dyDescent="0.25">
      <c r="C2693">
        <f>'IND TECH'!L2691</f>
        <v>0</v>
      </c>
      <c r="D2693" t="str">
        <f>'IND TECH'!A2691&amp;" "&amp;'IND TECH'!B2691&amp;" "&amp;'IND TECH'!C2691&amp;" "&amp;'IND TECH'!D2691&amp;" "&amp;'IND TECH'!E2691&amp;" "&amp;'IND TECH'!F2691&amp;" "&amp;'IND TECH'!G2691&amp;" "&amp;'IND TECH'!H2691</f>
        <v xml:space="preserve">       </v>
      </c>
      <c r="E2693" t="e">
        <f t="shared" si="21"/>
        <v>#REF!</v>
      </c>
      <c r="F2693" t="e">
        <f>'IND TECH'!#REF!</f>
        <v>#REF!</v>
      </c>
    </row>
    <row r="2694" spans="3:6" x14ac:dyDescent="0.25">
      <c r="C2694">
        <f>'IND TECH'!L2692</f>
        <v>0</v>
      </c>
      <c r="D2694" t="str">
        <f>'IND TECH'!A2692&amp;" "&amp;'IND TECH'!B2692&amp;" "&amp;'IND TECH'!C2692&amp;" "&amp;'IND TECH'!D2692&amp;" "&amp;'IND TECH'!E2692&amp;" "&amp;'IND TECH'!F2692&amp;" "&amp;'IND TECH'!G2692&amp;" "&amp;'IND TECH'!H2692</f>
        <v xml:space="preserve">       </v>
      </c>
      <c r="E2694" t="e">
        <f t="shared" si="21"/>
        <v>#REF!</v>
      </c>
      <c r="F2694" t="e">
        <f>'IND TECH'!#REF!</f>
        <v>#REF!</v>
      </c>
    </row>
    <row r="2695" spans="3:6" x14ac:dyDescent="0.25">
      <c r="C2695">
        <f>'IND TECH'!L2693</f>
        <v>0</v>
      </c>
      <c r="D2695" t="str">
        <f>'IND TECH'!A2693&amp;" "&amp;'IND TECH'!B2693&amp;" "&amp;'IND TECH'!C2693&amp;" "&amp;'IND TECH'!D2693&amp;" "&amp;'IND TECH'!E2693&amp;" "&amp;'IND TECH'!F2693&amp;" "&amp;'IND TECH'!G2693&amp;" "&amp;'IND TECH'!H2693</f>
        <v xml:space="preserve">       </v>
      </c>
      <c r="E2695" t="e">
        <f t="shared" si="21"/>
        <v>#REF!</v>
      </c>
      <c r="F2695" t="e">
        <f>'IND TECH'!#REF!</f>
        <v>#REF!</v>
      </c>
    </row>
    <row r="2696" spans="3:6" x14ac:dyDescent="0.25">
      <c r="C2696">
        <f>'IND TECH'!L2694</f>
        <v>0</v>
      </c>
      <c r="D2696" t="str">
        <f>'IND TECH'!A2694&amp;" "&amp;'IND TECH'!B2694&amp;" "&amp;'IND TECH'!C2694&amp;" "&amp;'IND TECH'!D2694&amp;" "&amp;'IND TECH'!E2694&amp;" "&amp;'IND TECH'!F2694&amp;" "&amp;'IND TECH'!G2694&amp;" "&amp;'IND TECH'!H2694</f>
        <v xml:space="preserve">       </v>
      </c>
      <c r="E2696" t="e">
        <f t="shared" si="21"/>
        <v>#REF!</v>
      </c>
      <c r="F2696" t="e">
        <f>'IND TECH'!#REF!</f>
        <v>#REF!</v>
      </c>
    </row>
    <row r="2697" spans="3:6" x14ac:dyDescent="0.25">
      <c r="C2697">
        <f>'IND TECH'!L2695</f>
        <v>0</v>
      </c>
      <c r="D2697" t="str">
        <f>'IND TECH'!A2695&amp;" "&amp;'IND TECH'!B2695&amp;" "&amp;'IND TECH'!C2695&amp;" "&amp;'IND TECH'!D2695&amp;" "&amp;'IND TECH'!E2695&amp;" "&amp;'IND TECH'!F2695&amp;" "&amp;'IND TECH'!G2695&amp;" "&amp;'IND TECH'!H2695</f>
        <v xml:space="preserve">       </v>
      </c>
      <c r="E2697" t="e">
        <f t="shared" si="21"/>
        <v>#REF!</v>
      </c>
      <c r="F2697" t="e">
        <f>'IND TECH'!#REF!</f>
        <v>#REF!</v>
      </c>
    </row>
    <row r="2698" spans="3:6" x14ac:dyDescent="0.25">
      <c r="C2698">
        <f>'IND TECH'!L2696</f>
        <v>0</v>
      </c>
      <c r="D2698" t="str">
        <f>'IND TECH'!A2696&amp;" "&amp;'IND TECH'!B2696&amp;" "&amp;'IND TECH'!C2696&amp;" "&amp;'IND TECH'!D2696&amp;" "&amp;'IND TECH'!E2696&amp;" "&amp;'IND TECH'!F2696&amp;" "&amp;'IND TECH'!G2696&amp;" "&amp;'IND TECH'!H2696</f>
        <v xml:space="preserve">       </v>
      </c>
      <c r="E2698" t="e">
        <f t="shared" si="21"/>
        <v>#REF!</v>
      </c>
      <c r="F2698" t="e">
        <f>'IND TECH'!#REF!</f>
        <v>#REF!</v>
      </c>
    </row>
    <row r="2699" spans="3:6" x14ac:dyDescent="0.25">
      <c r="C2699">
        <f>'IND TECH'!L2697</f>
        <v>0</v>
      </c>
      <c r="D2699" t="str">
        <f>'IND TECH'!A2697&amp;" "&amp;'IND TECH'!B2697&amp;" "&amp;'IND TECH'!C2697&amp;" "&amp;'IND TECH'!D2697&amp;" "&amp;'IND TECH'!E2697&amp;" "&amp;'IND TECH'!F2697&amp;" "&amp;'IND TECH'!G2697&amp;" "&amp;'IND TECH'!H2697</f>
        <v xml:space="preserve">       </v>
      </c>
      <c r="E2699" t="e">
        <f t="shared" si="21"/>
        <v>#REF!</v>
      </c>
      <c r="F2699" t="e">
        <f>'IND TECH'!#REF!</f>
        <v>#REF!</v>
      </c>
    </row>
    <row r="2700" spans="3:6" x14ac:dyDescent="0.25">
      <c r="C2700">
        <f>'IND TECH'!L2698</f>
        <v>0</v>
      </c>
      <c r="D2700" t="str">
        <f>'IND TECH'!A2698&amp;" "&amp;'IND TECH'!B2698&amp;" "&amp;'IND TECH'!C2698&amp;" "&amp;'IND TECH'!D2698&amp;" "&amp;'IND TECH'!E2698&amp;" "&amp;'IND TECH'!F2698&amp;" "&amp;'IND TECH'!G2698&amp;" "&amp;'IND TECH'!H2698</f>
        <v xml:space="preserve">       </v>
      </c>
      <c r="E2700" t="e">
        <f t="shared" si="21"/>
        <v>#REF!</v>
      </c>
      <c r="F2700" t="e">
        <f>'IND TECH'!#REF!</f>
        <v>#REF!</v>
      </c>
    </row>
    <row r="2701" spans="3:6" x14ac:dyDescent="0.25">
      <c r="C2701">
        <f>'IND TECH'!L2699</f>
        <v>0</v>
      </c>
      <c r="D2701" t="str">
        <f>'IND TECH'!A2699&amp;" "&amp;'IND TECH'!B2699&amp;" "&amp;'IND TECH'!C2699&amp;" "&amp;'IND TECH'!D2699&amp;" "&amp;'IND TECH'!E2699&amp;" "&amp;'IND TECH'!F2699&amp;" "&amp;'IND TECH'!G2699&amp;" "&amp;'IND TECH'!H2699</f>
        <v xml:space="preserve">       </v>
      </c>
      <c r="E2701" t="e">
        <f t="shared" si="21"/>
        <v>#REF!</v>
      </c>
      <c r="F2701" t="e">
        <f>'IND TECH'!#REF!</f>
        <v>#REF!</v>
      </c>
    </row>
    <row r="2702" spans="3:6" x14ac:dyDescent="0.25">
      <c r="C2702">
        <f>'IND TECH'!L2700</f>
        <v>0</v>
      </c>
      <c r="D2702" t="str">
        <f>'IND TECH'!A2700&amp;" "&amp;'IND TECH'!B2700&amp;" "&amp;'IND TECH'!C2700&amp;" "&amp;'IND TECH'!D2700&amp;" "&amp;'IND TECH'!E2700&amp;" "&amp;'IND TECH'!F2700&amp;" "&amp;'IND TECH'!G2700&amp;" "&amp;'IND TECH'!H2700</f>
        <v xml:space="preserve">       </v>
      </c>
      <c r="E2702" t="e">
        <f t="shared" si="21"/>
        <v>#REF!</v>
      </c>
      <c r="F2702" t="e">
        <f>'IND TECH'!#REF!</f>
        <v>#REF!</v>
      </c>
    </row>
    <row r="2703" spans="3:6" x14ac:dyDescent="0.25">
      <c r="C2703">
        <f>'IND TECH'!L2701</f>
        <v>0</v>
      </c>
      <c r="D2703" t="str">
        <f>'IND TECH'!A2701&amp;" "&amp;'IND TECH'!B2701&amp;" "&amp;'IND TECH'!C2701&amp;" "&amp;'IND TECH'!D2701&amp;" "&amp;'IND TECH'!E2701&amp;" "&amp;'IND TECH'!F2701&amp;" "&amp;'IND TECH'!G2701&amp;" "&amp;'IND TECH'!H2701</f>
        <v xml:space="preserve">       </v>
      </c>
      <c r="E2703" t="e">
        <f t="shared" si="21"/>
        <v>#REF!</v>
      </c>
      <c r="F2703" t="e">
        <f>'IND TECH'!#REF!</f>
        <v>#REF!</v>
      </c>
    </row>
    <row r="2704" spans="3:6" x14ac:dyDescent="0.25">
      <c r="C2704">
        <f>'IND TECH'!L2702</f>
        <v>0</v>
      </c>
      <c r="D2704" t="str">
        <f>'IND TECH'!A2702&amp;" "&amp;'IND TECH'!B2702&amp;" "&amp;'IND TECH'!C2702&amp;" "&amp;'IND TECH'!D2702&amp;" "&amp;'IND TECH'!E2702&amp;" "&amp;'IND TECH'!F2702&amp;" "&amp;'IND TECH'!G2702&amp;" "&amp;'IND TECH'!H2702</f>
        <v xml:space="preserve">       </v>
      </c>
      <c r="E2704" t="e">
        <f t="shared" si="21"/>
        <v>#REF!</v>
      </c>
      <c r="F2704" t="e">
        <f>'IND TECH'!#REF!</f>
        <v>#REF!</v>
      </c>
    </row>
    <row r="2705" spans="3:6" x14ac:dyDescent="0.25">
      <c r="C2705">
        <f>'IND TECH'!L2703</f>
        <v>0</v>
      </c>
      <c r="D2705" t="str">
        <f>'IND TECH'!A2703&amp;" "&amp;'IND TECH'!B2703&amp;" "&amp;'IND TECH'!C2703&amp;" "&amp;'IND TECH'!D2703&amp;" "&amp;'IND TECH'!E2703&amp;" "&amp;'IND TECH'!F2703&amp;" "&amp;'IND TECH'!G2703&amp;" "&amp;'IND TECH'!H2703</f>
        <v xml:space="preserve">       </v>
      </c>
      <c r="E2705" t="e">
        <f t="shared" si="21"/>
        <v>#REF!</v>
      </c>
      <c r="F2705" t="e">
        <f>'IND TECH'!#REF!</f>
        <v>#REF!</v>
      </c>
    </row>
    <row r="2706" spans="3:6" x14ac:dyDescent="0.25">
      <c r="C2706">
        <f>'IND TECH'!L2704</f>
        <v>0</v>
      </c>
      <c r="D2706" t="str">
        <f>'IND TECH'!A2704&amp;" "&amp;'IND TECH'!B2704&amp;" "&amp;'IND TECH'!C2704&amp;" "&amp;'IND TECH'!D2704&amp;" "&amp;'IND TECH'!E2704&amp;" "&amp;'IND TECH'!F2704&amp;" "&amp;'IND TECH'!G2704&amp;" "&amp;'IND TECH'!H2704</f>
        <v xml:space="preserve">       </v>
      </c>
      <c r="E2706" t="e">
        <f t="shared" si="21"/>
        <v>#REF!</v>
      </c>
      <c r="F2706" t="e">
        <f>'IND TECH'!#REF!</f>
        <v>#REF!</v>
      </c>
    </row>
    <row r="2707" spans="3:6" x14ac:dyDescent="0.25">
      <c r="C2707">
        <f>'IND TECH'!L2705</f>
        <v>0</v>
      </c>
      <c r="D2707" t="str">
        <f>'IND TECH'!A2705&amp;" "&amp;'IND TECH'!B2705&amp;" "&amp;'IND TECH'!C2705&amp;" "&amp;'IND TECH'!D2705&amp;" "&amp;'IND TECH'!E2705&amp;" "&amp;'IND TECH'!F2705&amp;" "&amp;'IND TECH'!G2705&amp;" "&amp;'IND TECH'!H2705</f>
        <v xml:space="preserve">       </v>
      </c>
      <c r="E2707" t="e">
        <f t="shared" ref="E2707:E2770" si="22">IF(F2707="Mlma","Mlm","TJ")</f>
        <v>#REF!</v>
      </c>
      <c r="F2707" t="e">
        <f>'IND TECH'!#REF!</f>
        <v>#REF!</v>
      </c>
    </row>
    <row r="2708" spans="3:6" x14ac:dyDescent="0.25">
      <c r="C2708">
        <f>'IND TECH'!L2706</f>
        <v>0</v>
      </c>
      <c r="D2708" t="str">
        <f>'IND TECH'!A2706&amp;" "&amp;'IND TECH'!B2706&amp;" "&amp;'IND TECH'!C2706&amp;" "&amp;'IND TECH'!D2706&amp;" "&amp;'IND TECH'!E2706&amp;" "&amp;'IND TECH'!F2706&amp;" "&amp;'IND TECH'!G2706&amp;" "&amp;'IND TECH'!H2706</f>
        <v xml:space="preserve">       </v>
      </c>
      <c r="E2708" t="e">
        <f t="shared" si="22"/>
        <v>#REF!</v>
      </c>
      <c r="F2708" t="e">
        <f>'IND TECH'!#REF!</f>
        <v>#REF!</v>
      </c>
    </row>
    <row r="2709" spans="3:6" x14ac:dyDescent="0.25">
      <c r="C2709">
        <f>'IND TECH'!L2707</f>
        <v>0</v>
      </c>
      <c r="D2709" t="str">
        <f>'IND TECH'!A2707&amp;" "&amp;'IND TECH'!B2707&amp;" "&amp;'IND TECH'!C2707&amp;" "&amp;'IND TECH'!D2707&amp;" "&amp;'IND TECH'!E2707&amp;" "&amp;'IND TECH'!F2707&amp;" "&amp;'IND TECH'!G2707&amp;" "&amp;'IND TECH'!H2707</f>
        <v xml:space="preserve">       </v>
      </c>
      <c r="E2709" t="e">
        <f t="shared" si="22"/>
        <v>#REF!</v>
      </c>
      <c r="F2709" t="e">
        <f>'IND TECH'!#REF!</f>
        <v>#REF!</v>
      </c>
    </row>
    <row r="2710" spans="3:6" x14ac:dyDescent="0.25">
      <c r="C2710">
        <f>'IND TECH'!L2708</f>
        <v>0</v>
      </c>
      <c r="D2710" t="str">
        <f>'IND TECH'!A2708&amp;" "&amp;'IND TECH'!B2708&amp;" "&amp;'IND TECH'!C2708&amp;" "&amp;'IND TECH'!D2708&amp;" "&amp;'IND TECH'!E2708&amp;" "&amp;'IND TECH'!F2708&amp;" "&amp;'IND TECH'!G2708&amp;" "&amp;'IND TECH'!H2708</f>
        <v xml:space="preserve">       </v>
      </c>
      <c r="E2710" t="e">
        <f t="shared" si="22"/>
        <v>#REF!</v>
      </c>
      <c r="F2710" t="e">
        <f>'IND TECH'!#REF!</f>
        <v>#REF!</v>
      </c>
    </row>
    <row r="2711" spans="3:6" x14ac:dyDescent="0.25">
      <c r="C2711">
        <f>'IND TECH'!L2709</f>
        <v>0</v>
      </c>
      <c r="D2711" t="str">
        <f>'IND TECH'!A2709&amp;" "&amp;'IND TECH'!B2709&amp;" "&amp;'IND TECH'!C2709&amp;" "&amp;'IND TECH'!D2709&amp;" "&amp;'IND TECH'!E2709&amp;" "&amp;'IND TECH'!F2709&amp;" "&amp;'IND TECH'!G2709&amp;" "&amp;'IND TECH'!H2709</f>
        <v xml:space="preserve">       </v>
      </c>
      <c r="E2711" t="e">
        <f t="shared" si="22"/>
        <v>#REF!</v>
      </c>
      <c r="F2711" t="e">
        <f>'IND TECH'!#REF!</f>
        <v>#REF!</v>
      </c>
    </row>
    <row r="2712" spans="3:6" x14ac:dyDescent="0.25">
      <c r="C2712">
        <f>'IND TECH'!L2710</f>
        <v>0</v>
      </c>
      <c r="D2712" t="str">
        <f>'IND TECH'!A2710&amp;" "&amp;'IND TECH'!B2710&amp;" "&amp;'IND TECH'!C2710&amp;" "&amp;'IND TECH'!D2710&amp;" "&amp;'IND TECH'!E2710&amp;" "&amp;'IND TECH'!F2710&amp;" "&amp;'IND TECH'!G2710&amp;" "&amp;'IND TECH'!H2710</f>
        <v xml:space="preserve">       </v>
      </c>
      <c r="E2712" t="e">
        <f t="shared" si="22"/>
        <v>#REF!</v>
      </c>
      <c r="F2712" t="e">
        <f>'IND TECH'!#REF!</f>
        <v>#REF!</v>
      </c>
    </row>
    <row r="2713" spans="3:6" x14ac:dyDescent="0.25">
      <c r="C2713">
        <f>'IND TECH'!L2711</f>
        <v>0</v>
      </c>
      <c r="D2713" t="str">
        <f>'IND TECH'!A2711&amp;" "&amp;'IND TECH'!B2711&amp;" "&amp;'IND TECH'!C2711&amp;" "&amp;'IND TECH'!D2711&amp;" "&amp;'IND TECH'!E2711&amp;" "&amp;'IND TECH'!F2711&amp;" "&amp;'IND TECH'!G2711&amp;" "&amp;'IND TECH'!H2711</f>
        <v xml:space="preserve">       </v>
      </c>
      <c r="E2713" t="e">
        <f t="shared" si="22"/>
        <v>#REF!</v>
      </c>
      <c r="F2713" t="e">
        <f>'IND TECH'!#REF!</f>
        <v>#REF!</v>
      </c>
    </row>
    <row r="2714" spans="3:6" x14ac:dyDescent="0.25">
      <c r="C2714">
        <f>'IND TECH'!L2712</f>
        <v>0</v>
      </c>
      <c r="D2714" t="str">
        <f>'IND TECH'!A2712&amp;" "&amp;'IND TECH'!B2712&amp;" "&amp;'IND TECH'!C2712&amp;" "&amp;'IND TECH'!D2712&amp;" "&amp;'IND TECH'!E2712&amp;" "&amp;'IND TECH'!F2712&amp;" "&amp;'IND TECH'!G2712&amp;" "&amp;'IND TECH'!H2712</f>
        <v xml:space="preserve">       </v>
      </c>
      <c r="E2714" t="e">
        <f t="shared" si="22"/>
        <v>#REF!</v>
      </c>
      <c r="F2714" t="e">
        <f>'IND TECH'!#REF!</f>
        <v>#REF!</v>
      </c>
    </row>
    <row r="2715" spans="3:6" x14ac:dyDescent="0.25">
      <c r="C2715">
        <f>'IND TECH'!L2713</f>
        <v>0</v>
      </c>
      <c r="D2715" t="str">
        <f>'IND TECH'!A2713&amp;" "&amp;'IND TECH'!B2713&amp;" "&amp;'IND TECH'!C2713&amp;" "&amp;'IND TECH'!D2713&amp;" "&amp;'IND TECH'!E2713&amp;" "&amp;'IND TECH'!F2713&amp;" "&amp;'IND TECH'!G2713&amp;" "&amp;'IND TECH'!H2713</f>
        <v xml:space="preserve">       </v>
      </c>
      <c r="E2715" t="e">
        <f t="shared" si="22"/>
        <v>#REF!</v>
      </c>
      <c r="F2715" t="e">
        <f>'IND TECH'!#REF!</f>
        <v>#REF!</v>
      </c>
    </row>
    <row r="2716" spans="3:6" x14ac:dyDescent="0.25">
      <c r="C2716">
        <f>'IND TECH'!L2714</f>
        <v>0</v>
      </c>
      <c r="D2716" t="str">
        <f>'IND TECH'!A2714&amp;" "&amp;'IND TECH'!B2714&amp;" "&amp;'IND TECH'!C2714&amp;" "&amp;'IND TECH'!D2714&amp;" "&amp;'IND TECH'!E2714&amp;" "&amp;'IND TECH'!F2714&amp;" "&amp;'IND TECH'!G2714&amp;" "&amp;'IND TECH'!H2714</f>
        <v xml:space="preserve">       </v>
      </c>
      <c r="E2716" t="e">
        <f t="shared" si="22"/>
        <v>#REF!</v>
      </c>
      <c r="F2716" t="e">
        <f>'IND TECH'!#REF!</f>
        <v>#REF!</v>
      </c>
    </row>
    <row r="2717" spans="3:6" x14ac:dyDescent="0.25">
      <c r="C2717">
        <f>'IND TECH'!L2715</f>
        <v>0</v>
      </c>
      <c r="D2717" t="str">
        <f>'IND TECH'!A2715&amp;" "&amp;'IND TECH'!B2715&amp;" "&amp;'IND TECH'!C2715&amp;" "&amp;'IND TECH'!D2715&amp;" "&amp;'IND TECH'!E2715&amp;" "&amp;'IND TECH'!F2715&amp;" "&amp;'IND TECH'!G2715&amp;" "&amp;'IND TECH'!H2715</f>
        <v xml:space="preserve">       </v>
      </c>
      <c r="E2717" t="e">
        <f t="shared" si="22"/>
        <v>#REF!</v>
      </c>
      <c r="F2717" t="e">
        <f>'IND TECH'!#REF!</f>
        <v>#REF!</v>
      </c>
    </row>
    <row r="2718" spans="3:6" x14ac:dyDescent="0.25">
      <c r="C2718">
        <f>'IND TECH'!L2716</f>
        <v>0</v>
      </c>
      <c r="D2718" t="str">
        <f>'IND TECH'!A2716&amp;" "&amp;'IND TECH'!B2716&amp;" "&amp;'IND TECH'!C2716&amp;" "&amp;'IND TECH'!D2716&amp;" "&amp;'IND TECH'!E2716&amp;" "&amp;'IND TECH'!F2716&amp;" "&amp;'IND TECH'!G2716&amp;" "&amp;'IND TECH'!H2716</f>
        <v xml:space="preserve">       </v>
      </c>
      <c r="E2718" t="e">
        <f t="shared" si="22"/>
        <v>#REF!</v>
      </c>
      <c r="F2718" t="e">
        <f>'IND TECH'!#REF!</f>
        <v>#REF!</v>
      </c>
    </row>
    <row r="2719" spans="3:6" x14ac:dyDescent="0.25">
      <c r="C2719">
        <f>'IND TECH'!L2717</f>
        <v>0</v>
      </c>
      <c r="D2719" t="str">
        <f>'IND TECH'!A2717&amp;" "&amp;'IND TECH'!B2717&amp;" "&amp;'IND TECH'!C2717&amp;" "&amp;'IND TECH'!D2717&amp;" "&amp;'IND TECH'!E2717&amp;" "&amp;'IND TECH'!F2717&amp;" "&amp;'IND TECH'!G2717&amp;" "&amp;'IND TECH'!H2717</f>
        <v xml:space="preserve">       </v>
      </c>
      <c r="E2719" t="e">
        <f t="shared" si="22"/>
        <v>#REF!</v>
      </c>
      <c r="F2719" t="e">
        <f>'IND TECH'!#REF!</f>
        <v>#REF!</v>
      </c>
    </row>
    <row r="2720" spans="3:6" x14ac:dyDescent="0.25">
      <c r="C2720">
        <f>'IND TECH'!L2718</f>
        <v>0</v>
      </c>
      <c r="D2720" t="str">
        <f>'IND TECH'!A2718&amp;" "&amp;'IND TECH'!B2718&amp;" "&amp;'IND TECH'!C2718&amp;" "&amp;'IND TECH'!D2718&amp;" "&amp;'IND TECH'!E2718&amp;" "&amp;'IND TECH'!F2718&amp;" "&amp;'IND TECH'!G2718&amp;" "&amp;'IND TECH'!H2718</f>
        <v xml:space="preserve">       </v>
      </c>
      <c r="E2720" t="e">
        <f t="shared" si="22"/>
        <v>#REF!</v>
      </c>
      <c r="F2720" t="e">
        <f>'IND TECH'!#REF!</f>
        <v>#REF!</v>
      </c>
    </row>
    <row r="2721" spans="3:6" x14ac:dyDescent="0.25">
      <c r="C2721">
        <f>'IND TECH'!L2719</f>
        <v>0</v>
      </c>
      <c r="D2721" t="str">
        <f>'IND TECH'!A2719&amp;" "&amp;'IND TECH'!B2719&amp;" "&amp;'IND TECH'!C2719&amp;" "&amp;'IND TECH'!D2719&amp;" "&amp;'IND TECH'!E2719&amp;" "&amp;'IND TECH'!F2719&amp;" "&amp;'IND TECH'!G2719&amp;" "&amp;'IND TECH'!H2719</f>
        <v xml:space="preserve">       </v>
      </c>
      <c r="E2721" t="e">
        <f t="shared" si="22"/>
        <v>#REF!</v>
      </c>
      <c r="F2721" t="e">
        <f>'IND TECH'!#REF!</f>
        <v>#REF!</v>
      </c>
    </row>
    <row r="2722" spans="3:6" x14ac:dyDescent="0.25">
      <c r="C2722">
        <f>'IND TECH'!L2720</f>
        <v>0</v>
      </c>
      <c r="D2722" t="str">
        <f>'IND TECH'!A2720&amp;" "&amp;'IND TECH'!B2720&amp;" "&amp;'IND TECH'!C2720&amp;" "&amp;'IND TECH'!D2720&amp;" "&amp;'IND TECH'!E2720&amp;" "&amp;'IND TECH'!F2720&amp;" "&amp;'IND TECH'!G2720&amp;" "&amp;'IND TECH'!H2720</f>
        <v xml:space="preserve">       </v>
      </c>
      <c r="E2722" t="e">
        <f t="shared" si="22"/>
        <v>#REF!</v>
      </c>
      <c r="F2722" t="e">
        <f>'IND TECH'!#REF!</f>
        <v>#REF!</v>
      </c>
    </row>
    <row r="2723" spans="3:6" x14ac:dyDescent="0.25">
      <c r="C2723">
        <f>'IND TECH'!L2721</f>
        <v>0</v>
      </c>
      <c r="D2723" t="str">
        <f>'IND TECH'!A2721&amp;" "&amp;'IND TECH'!B2721&amp;" "&amp;'IND TECH'!C2721&amp;" "&amp;'IND TECH'!D2721&amp;" "&amp;'IND TECH'!E2721&amp;" "&amp;'IND TECH'!F2721&amp;" "&amp;'IND TECH'!G2721&amp;" "&amp;'IND TECH'!H2721</f>
        <v xml:space="preserve">       </v>
      </c>
      <c r="E2723" t="e">
        <f t="shared" si="22"/>
        <v>#REF!</v>
      </c>
      <c r="F2723" t="e">
        <f>'IND TECH'!#REF!</f>
        <v>#REF!</v>
      </c>
    </row>
    <row r="2724" spans="3:6" x14ac:dyDescent="0.25">
      <c r="C2724">
        <f>'IND TECH'!L2722</f>
        <v>0</v>
      </c>
      <c r="D2724" t="str">
        <f>'IND TECH'!A2722&amp;" "&amp;'IND TECH'!B2722&amp;" "&amp;'IND TECH'!C2722&amp;" "&amp;'IND TECH'!D2722&amp;" "&amp;'IND TECH'!E2722&amp;" "&amp;'IND TECH'!F2722&amp;" "&amp;'IND TECH'!G2722&amp;" "&amp;'IND TECH'!H2722</f>
        <v xml:space="preserve">       </v>
      </c>
      <c r="E2724" t="e">
        <f t="shared" si="22"/>
        <v>#REF!</v>
      </c>
      <c r="F2724" t="e">
        <f>'IND TECH'!#REF!</f>
        <v>#REF!</v>
      </c>
    </row>
    <row r="2725" spans="3:6" x14ac:dyDescent="0.25">
      <c r="C2725">
        <f>'IND TECH'!L2723</f>
        <v>0</v>
      </c>
      <c r="D2725" t="str">
        <f>'IND TECH'!A2723&amp;" "&amp;'IND TECH'!B2723&amp;" "&amp;'IND TECH'!C2723&amp;" "&amp;'IND TECH'!D2723&amp;" "&amp;'IND TECH'!E2723&amp;" "&amp;'IND TECH'!F2723&amp;" "&amp;'IND TECH'!G2723&amp;" "&amp;'IND TECH'!H2723</f>
        <v xml:space="preserve">       </v>
      </c>
      <c r="E2725" t="e">
        <f t="shared" si="22"/>
        <v>#REF!</v>
      </c>
      <c r="F2725" t="e">
        <f>'IND TECH'!#REF!</f>
        <v>#REF!</v>
      </c>
    </row>
    <row r="2726" spans="3:6" x14ac:dyDescent="0.25">
      <c r="C2726">
        <f>'IND TECH'!L2724</f>
        <v>0</v>
      </c>
      <c r="D2726" t="str">
        <f>'IND TECH'!A2724&amp;" "&amp;'IND TECH'!B2724&amp;" "&amp;'IND TECH'!C2724&amp;" "&amp;'IND TECH'!D2724&amp;" "&amp;'IND TECH'!E2724&amp;" "&amp;'IND TECH'!F2724&amp;" "&amp;'IND TECH'!G2724&amp;" "&amp;'IND TECH'!H2724</f>
        <v xml:space="preserve">       </v>
      </c>
      <c r="E2726" t="e">
        <f t="shared" si="22"/>
        <v>#REF!</v>
      </c>
      <c r="F2726" t="e">
        <f>'IND TECH'!#REF!</f>
        <v>#REF!</v>
      </c>
    </row>
    <row r="2727" spans="3:6" x14ac:dyDescent="0.25">
      <c r="C2727">
        <f>'IND TECH'!L2725</f>
        <v>0</v>
      </c>
      <c r="D2727" t="str">
        <f>'IND TECH'!A2725&amp;" "&amp;'IND TECH'!B2725&amp;" "&amp;'IND TECH'!C2725&amp;" "&amp;'IND TECH'!D2725&amp;" "&amp;'IND TECH'!E2725&amp;" "&amp;'IND TECH'!F2725&amp;" "&amp;'IND TECH'!G2725&amp;" "&amp;'IND TECH'!H2725</f>
        <v xml:space="preserve">       </v>
      </c>
      <c r="E2727" t="e">
        <f t="shared" si="22"/>
        <v>#REF!</v>
      </c>
      <c r="F2727" t="e">
        <f>'IND TECH'!#REF!</f>
        <v>#REF!</v>
      </c>
    </row>
    <row r="2728" spans="3:6" x14ac:dyDescent="0.25">
      <c r="C2728">
        <f>'IND TECH'!L2726</f>
        <v>0</v>
      </c>
      <c r="D2728" t="str">
        <f>'IND TECH'!A2726&amp;" "&amp;'IND TECH'!B2726&amp;" "&amp;'IND TECH'!C2726&amp;" "&amp;'IND TECH'!D2726&amp;" "&amp;'IND TECH'!E2726&amp;" "&amp;'IND TECH'!F2726&amp;" "&amp;'IND TECH'!G2726&amp;" "&amp;'IND TECH'!H2726</f>
        <v xml:space="preserve">       </v>
      </c>
      <c r="E2728" t="e">
        <f t="shared" si="22"/>
        <v>#REF!</v>
      </c>
      <c r="F2728" t="e">
        <f>'IND TECH'!#REF!</f>
        <v>#REF!</v>
      </c>
    </row>
    <row r="2729" spans="3:6" x14ac:dyDescent="0.25">
      <c r="C2729">
        <f>'IND TECH'!L2727</f>
        <v>0</v>
      </c>
      <c r="D2729" t="str">
        <f>'IND TECH'!A2727&amp;" "&amp;'IND TECH'!B2727&amp;" "&amp;'IND TECH'!C2727&amp;" "&amp;'IND TECH'!D2727&amp;" "&amp;'IND TECH'!E2727&amp;" "&amp;'IND TECH'!F2727&amp;" "&amp;'IND TECH'!G2727&amp;" "&amp;'IND TECH'!H2727</f>
        <v xml:space="preserve">       </v>
      </c>
      <c r="E2729" t="e">
        <f t="shared" si="22"/>
        <v>#REF!</v>
      </c>
      <c r="F2729" t="e">
        <f>'IND TECH'!#REF!</f>
        <v>#REF!</v>
      </c>
    </row>
    <row r="2730" spans="3:6" x14ac:dyDescent="0.25">
      <c r="C2730">
        <f>'IND TECH'!L2728</f>
        <v>0</v>
      </c>
      <c r="D2730" t="str">
        <f>'IND TECH'!A2728&amp;" "&amp;'IND TECH'!B2728&amp;" "&amp;'IND TECH'!C2728&amp;" "&amp;'IND TECH'!D2728&amp;" "&amp;'IND TECH'!E2728&amp;" "&amp;'IND TECH'!F2728&amp;" "&amp;'IND TECH'!G2728&amp;" "&amp;'IND TECH'!H2728</f>
        <v xml:space="preserve">       </v>
      </c>
      <c r="E2730" t="e">
        <f t="shared" si="22"/>
        <v>#REF!</v>
      </c>
      <c r="F2730" t="e">
        <f>'IND TECH'!#REF!</f>
        <v>#REF!</v>
      </c>
    </row>
    <row r="2731" spans="3:6" x14ac:dyDescent="0.25">
      <c r="C2731">
        <f>'IND TECH'!L2729</f>
        <v>0</v>
      </c>
      <c r="D2731" t="str">
        <f>'IND TECH'!A2729&amp;" "&amp;'IND TECH'!B2729&amp;" "&amp;'IND TECH'!C2729&amp;" "&amp;'IND TECH'!D2729&amp;" "&amp;'IND TECH'!E2729&amp;" "&amp;'IND TECH'!F2729&amp;" "&amp;'IND TECH'!G2729&amp;" "&amp;'IND TECH'!H2729</f>
        <v xml:space="preserve">       </v>
      </c>
      <c r="E2731" t="e">
        <f t="shared" si="22"/>
        <v>#REF!</v>
      </c>
      <c r="F2731" t="e">
        <f>'IND TECH'!#REF!</f>
        <v>#REF!</v>
      </c>
    </row>
    <row r="2732" spans="3:6" x14ac:dyDescent="0.25">
      <c r="C2732">
        <f>'IND TECH'!L2730</f>
        <v>0</v>
      </c>
      <c r="D2732" t="str">
        <f>'IND TECH'!A2730&amp;" "&amp;'IND TECH'!B2730&amp;" "&amp;'IND TECH'!C2730&amp;" "&amp;'IND TECH'!D2730&amp;" "&amp;'IND TECH'!E2730&amp;" "&amp;'IND TECH'!F2730&amp;" "&amp;'IND TECH'!G2730&amp;" "&amp;'IND TECH'!H2730</f>
        <v xml:space="preserve">       </v>
      </c>
      <c r="E2732" t="e">
        <f t="shared" si="22"/>
        <v>#REF!</v>
      </c>
      <c r="F2732" t="e">
        <f>'IND TECH'!#REF!</f>
        <v>#REF!</v>
      </c>
    </row>
    <row r="2733" spans="3:6" x14ac:dyDescent="0.25">
      <c r="C2733">
        <f>'IND TECH'!L2731</f>
        <v>0</v>
      </c>
      <c r="D2733" t="str">
        <f>'IND TECH'!A2731&amp;" "&amp;'IND TECH'!B2731&amp;" "&amp;'IND TECH'!C2731&amp;" "&amp;'IND TECH'!D2731&amp;" "&amp;'IND TECH'!E2731&amp;" "&amp;'IND TECH'!F2731&amp;" "&amp;'IND TECH'!G2731&amp;" "&amp;'IND TECH'!H2731</f>
        <v xml:space="preserve">       </v>
      </c>
      <c r="E2733" t="e">
        <f t="shared" si="22"/>
        <v>#REF!</v>
      </c>
      <c r="F2733" t="e">
        <f>'IND TECH'!#REF!</f>
        <v>#REF!</v>
      </c>
    </row>
    <row r="2734" spans="3:6" x14ac:dyDescent="0.25">
      <c r="C2734">
        <f>'IND TECH'!L2732</f>
        <v>0</v>
      </c>
      <c r="D2734" t="str">
        <f>'IND TECH'!A2732&amp;" "&amp;'IND TECH'!B2732&amp;" "&amp;'IND TECH'!C2732&amp;" "&amp;'IND TECH'!D2732&amp;" "&amp;'IND TECH'!E2732&amp;" "&amp;'IND TECH'!F2732&amp;" "&amp;'IND TECH'!G2732&amp;" "&amp;'IND TECH'!H2732</f>
        <v xml:space="preserve">       </v>
      </c>
      <c r="E2734" t="e">
        <f t="shared" si="22"/>
        <v>#REF!</v>
      </c>
      <c r="F2734" t="e">
        <f>'IND TECH'!#REF!</f>
        <v>#REF!</v>
      </c>
    </row>
    <row r="2735" spans="3:6" x14ac:dyDescent="0.25">
      <c r="C2735">
        <f>'IND TECH'!L2733</f>
        <v>0</v>
      </c>
      <c r="D2735" t="str">
        <f>'IND TECH'!A2733&amp;" "&amp;'IND TECH'!B2733&amp;" "&amp;'IND TECH'!C2733&amp;" "&amp;'IND TECH'!D2733&amp;" "&amp;'IND TECH'!E2733&amp;" "&amp;'IND TECH'!F2733&amp;" "&amp;'IND TECH'!G2733&amp;" "&amp;'IND TECH'!H2733</f>
        <v xml:space="preserve">       </v>
      </c>
      <c r="E2735" t="e">
        <f t="shared" si="22"/>
        <v>#REF!</v>
      </c>
      <c r="F2735" t="e">
        <f>'IND TECH'!#REF!</f>
        <v>#REF!</v>
      </c>
    </row>
    <row r="2736" spans="3:6" x14ac:dyDescent="0.25">
      <c r="C2736">
        <f>'IND TECH'!L2734</f>
        <v>0</v>
      </c>
      <c r="D2736" t="str">
        <f>'IND TECH'!A2734&amp;" "&amp;'IND TECH'!B2734&amp;" "&amp;'IND TECH'!C2734&amp;" "&amp;'IND TECH'!D2734&amp;" "&amp;'IND TECH'!E2734&amp;" "&amp;'IND TECH'!F2734&amp;" "&amp;'IND TECH'!G2734&amp;" "&amp;'IND TECH'!H2734</f>
        <v xml:space="preserve">       </v>
      </c>
      <c r="E2736" t="e">
        <f t="shared" si="22"/>
        <v>#REF!</v>
      </c>
      <c r="F2736" t="e">
        <f>'IND TECH'!#REF!</f>
        <v>#REF!</v>
      </c>
    </row>
    <row r="2737" spans="3:6" x14ac:dyDescent="0.25">
      <c r="C2737">
        <f>'IND TECH'!L2735</f>
        <v>0</v>
      </c>
      <c r="D2737" t="str">
        <f>'IND TECH'!A2735&amp;" "&amp;'IND TECH'!B2735&amp;" "&amp;'IND TECH'!C2735&amp;" "&amp;'IND TECH'!D2735&amp;" "&amp;'IND TECH'!E2735&amp;" "&amp;'IND TECH'!F2735&amp;" "&amp;'IND TECH'!G2735&amp;" "&amp;'IND TECH'!H2735</f>
        <v xml:space="preserve">       </v>
      </c>
      <c r="E2737" t="e">
        <f t="shared" si="22"/>
        <v>#REF!</v>
      </c>
      <c r="F2737" t="e">
        <f>'IND TECH'!#REF!</f>
        <v>#REF!</v>
      </c>
    </row>
    <row r="2738" spans="3:6" x14ac:dyDescent="0.25">
      <c r="C2738">
        <f>'IND TECH'!L2736</f>
        <v>0</v>
      </c>
      <c r="D2738" t="str">
        <f>'IND TECH'!A2736&amp;" "&amp;'IND TECH'!B2736&amp;" "&amp;'IND TECH'!C2736&amp;" "&amp;'IND TECH'!D2736&amp;" "&amp;'IND TECH'!E2736&amp;" "&amp;'IND TECH'!F2736&amp;" "&amp;'IND TECH'!G2736&amp;" "&amp;'IND TECH'!H2736</f>
        <v xml:space="preserve">       </v>
      </c>
      <c r="E2738" t="e">
        <f t="shared" si="22"/>
        <v>#REF!</v>
      </c>
      <c r="F2738" t="e">
        <f>'IND TECH'!#REF!</f>
        <v>#REF!</v>
      </c>
    </row>
    <row r="2739" spans="3:6" x14ac:dyDescent="0.25">
      <c r="C2739">
        <f>'IND TECH'!L2737</f>
        <v>0</v>
      </c>
      <c r="D2739" t="str">
        <f>'IND TECH'!A2737&amp;" "&amp;'IND TECH'!B2737&amp;" "&amp;'IND TECH'!C2737&amp;" "&amp;'IND TECH'!D2737&amp;" "&amp;'IND TECH'!E2737&amp;" "&amp;'IND TECH'!F2737&amp;" "&amp;'IND TECH'!G2737&amp;" "&amp;'IND TECH'!H2737</f>
        <v xml:space="preserve">       </v>
      </c>
      <c r="E2739" t="e">
        <f t="shared" si="22"/>
        <v>#REF!</v>
      </c>
      <c r="F2739" t="e">
        <f>'IND TECH'!#REF!</f>
        <v>#REF!</v>
      </c>
    </row>
    <row r="2740" spans="3:6" x14ac:dyDescent="0.25">
      <c r="C2740">
        <f>'IND TECH'!L2738</f>
        <v>0</v>
      </c>
      <c r="D2740" t="str">
        <f>'IND TECH'!A2738&amp;" "&amp;'IND TECH'!B2738&amp;" "&amp;'IND TECH'!C2738&amp;" "&amp;'IND TECH'!D2738&amp;" "&amp;'IND TECH'!E2738&amp;" "&amp;'IND TECH'!F2738&amp;" "&amp;'IND TECH'!G2738&amp;" "&amp;'IND TECH'!H2738</f>
        <v xml:space="preserve">       </v>
      </c>
      <c r="E2740" t="e">
        <f t="shared" si="22"/>
        <v>#REF!</v>
      </c>
      <c r="F2740" t="e">
        <f>'IND TECH'!#REF!</f>
        <v>#REF!</v>
      </c>
    </row>
    <row r="2741" spans="3:6" x14ac:dyDescent="0.25">
      <c r="C2741">
        <f>'IND TECH'!L2739</f>
        <v>0</v>
      </c>
      <c r="D2741" t="str">
        <f>'IND TECH'!A2739&amp;" "&amp;'IND TECH'!B2739&amp;" "&amp;'IND TECH'!C2739&amp;" "&amp;'IND TECH'!D2739&amp;" "&amp;'IND TECH'!E2739&amp;" "&amp;'IND TECH'!F2739&amp;" "&amp;'IND TECH'!G2739&amp;" "&amp;'IND TECH'!H2739</f>
        <v xml:space="preserve">       </v>
      </c>
      <c r="E2741" t="e">
        <f t="shared" si="22"/>
        <v>#REF!</v>
      </c>
      <c r="F2741" t="e">
        <f>'IND TECH'!#REF!</f>
        <v>#REF!</v>
      </c>
    </row>
    <row r="2742" spans="3:6" x14ac:dyDescent="0.25">
      <c r="C2742">
        <f>'IND TECH'!L2740</f>
        <v>0</v>
      </c>
      <c r="D2742" t="str">
        <f>'IND TECH'!A2740&amp;" "&amp;'IND TECH'!B2740&amp;" "&amp;'IND TECH'!C2740&amp;" "&amp;'IND TECH'!D2740&amp;" "&amp;'IND TECH'!E2740&amp;" "&amp;'IND TECH'!F2740&amp;" "&amp;'IND TECH'!G2740&amp;" "&amp;'IND TECH'!H2740</f>
        <v xml:space="preserve">       </v>
      </c>
      <c r="E2742" t="e">
        <f t="shared" si="22"/>
        <v>#REF!</v>
      </c>
      <c r="F2742" t="e">
        <f>'IND TECH'!#REF!</f>
        <v>#REF!</v>
      </c>
    </row>
    <row r="2743" spans="3:6" x14ac:dyDescent="0.25">
      <c r="C2743">
        <f>'IND TECH'!L2741</f>
        <v>0</v>
      </c>
      <c r="D2743" t="str">
        <f>'IND TECH'!A2741&amp;" "&amp;'IND TECH'!B2741&amp;" "&amp;'IND TECH'!C2741&amp;" "&amp;'IND TECH'!D2741&amp;" "&amp;'IND TECH'!E2741&amp;" "&amp;'IND TECH'!F2741&amp;" "&amp;'IND TECH'!G2741&amp;" "&amp;'IND TECH'!H2741</f>
        <v xml:space="preserve">       </v>
      </c>
      <c r="E2743" t="e">
        <f t="shared" si="22"/>
        <v>#REF!</v>
      </c>
      <c r="F2743" t="e">
        <f>'IND TECH'!#REF!</f>
        <v>#REF!</v>
      </c>
    </row>
    <row r="2744" spans="3:6" x14ac:dyDescent="0.25">
      <c r="C2744">
        <f>'IND TECH'!L2742</f>
        <v>0</v>
      </c>
      <c r="D2744" t="str">
        <f>'IND TECH'!A2742&amp;" "&amp;'IND TECH'!B2742&amp;" "&amp;'IND TECH'!C2742&amp;" "&amp;'IND TECH'!D2742&amp;" "&amp;'IND TECH'!E2742&amp;" "&amp;'IND TECH'!F2742&amp;" "&amp;'IND TECH'!G2742&amp;" "&amp;'IND TECH'!H2742</f>
        <v xml:space="preserve">       </v>
      </c>
      <c r="E2744" t="e">
        <f t="shared" si="22"/>
        <v>#REF!</v>
      </c>
      <c r="F2744" t="e">
        <f>'IND TECH'!#REF!</f>
        <v>#REF!</v>
      </c>
    </row>
    <row r="2745" spans="3:6" x14ac:dyDescent="0.25">
      <c r="C2745">
        <f>'IND TECH'!L2743</f>
        <v>0</v>
      </c>
      <c r="D2745" t="str">
        <f>'IND TECH'!A2743&amp;" "&amp;'IND TECH'!B2743&amp;" "&amp;'IND TECH'!C2743&amp;" "&amp;'IND TECH'!D2743&amp;" "&amp;'IND TECH'!E2743&amp;" "&amp;'IND TECH'!F2743&amp;" "&amp;'IND TECH'!G2743&amp;" "&amp;'IND TECH'!H2743</f>
        <v xml:space="preserve">       </v>
      </c>
      <c r="E2745" t="e">
        <f t="shared" si="22"/>
        <v>#REF!</v>
      </c>
      <c r="F2745" t="e">
        <f>'IND TECH'!#REF!</f>
        <v>#REF!</v>
      </c>
    </row>
    <row r="2746" spans="3:6" x14ac:dyDescent="0.25">
      <c r="C2746">
        <f>'IND TECH'!L2744</f>
        <v>0</v>
      </c>
      <c r="D2746" t="str">
        <f>'IND TECH'!A2744&amp;" "&amp;'IND TECH'!B2744&amp;" "&amp;'IND TECH'!C2744&amp;" "&amp;'IND TECH'!D2744&amp;" "&amp;'IND TECH'!E2744&amp;" "&amp;'IND TECH'!F2744&amp;" "&amp;'IND TECH'!G2744&amp;" "&amp;'IND TECH'!H2744</f>
        <v xml:space="preserve">       </v>
      </c>
      <c r="E2746" t="e">
        <f t="shared" si="22"/>
        <v>#REF!</v>
      </c>
      <c r="F2746" t="e">
        <f>'IND TECH'!#REF!</f>
        <v>#REF!</v>
      </c>
    </row>
    <row r="2747" spans="3:6" x14ac:dyDescent="0.25">
      <c r="C2747">
        <f>'IND TECH'!L2745</f>
        <v>0</v>
      </c>
      <c r="D2747" t="str">
        <f>'IND TECH'!A2745&amp;" "&amp;'IND TECH'!B2745&amp;" "&amp;'IND TECH'!C2745&amp;" "&amp;'IND TECH'!D2745&amp;" "&amp;'IND TECH'!E2745&amp;" "&amp;'IND TECH'!F2745&amp;" "&amp;'IND TECH'!G2745&amp;" "&amp;'IND TECH'!H2745</f>
        <v xml:space="preserve">       </v>
      </c>
      <c r="E2747" t="e">
        <f t="shared" si="22"/>
        <v>#REF!</v>
      </c>
      <c r="F2747" t="e">
        <f>'IND TECH'!#REF!</f>
        <v>#REF!</v>
      </c>
    </row>
    <row r="2748" spans="3:6" x14ac:dyDescent="0.25">
      <c r="C2748">
        <f>'IND TECH'!L2746</f>
        <v>0</v>
      </c>
      <c r="D2748" t="str">
        <f>'IND TECH'!A2746&amp;" "&amp;'IND TECH'!B2746&amp;" "&amp;'IND TECH'!C2746&amp;" "&amp;'IND TECH'!D2746&amp;" "&amp;'IND TECH'!E2746&amp;" "&amp;'IND TECH'!F2746&amp;" "&amp;'IND TECH'!G2746&amp;" "&amp;'IND TECH'!H2746</f>
        <v xml:space="preserve">       </v>
      </c>
      <c r="E2748" t="e">
        <f t="shared" si="22"/>
        <v>#REF!</v>
      </c>
      <c r="F2748" t="e">
        <f>'IND TECH'!#REF!</f>
        <v>#REF!</v>
      </c>
    </row>
    <row r="2749" spans="3:6" x14ac:dyDescent="0.25">
      <c r="C2749">
        <f>'IND TECH'!L2747</f>
        <v>0</v>
      </c>
      <c r="D2749" t="str">
        <f>'IND TECH'!A2747&amp;" "&amp;'IND TECH'!B2747&amp;" "&amp;'IND TECH'!C2747&amp;" "&amp;'IND TECH'!D2747&amp;" "&amp;'IND TECH'!E2747&amp;" "&amp;'IND TECH'!F2747&amp;" "&amp;'IND TECH'!G2747&amp;" "&amp;'IND TECH'!H2747</f>
        <v xml:space="preserve">       </v>
      </c>
      <c r="E2749" t="e">
        <f t="shared" si="22"/>
        <v>#REF!</v>
      </c>
      <c r="F2749" t="e">
        <f>'IND TECH'!#REF!</f>
        <v>#REF!</v>
      </c>
    </row>
    <row r="2750" spans="3:6" x14ac:dyDescent="0.25">
      <c r="C2750">
        <f>'IND TECH'!L2748</f>
        <v>0</v>
      </c>
      <c r="D2750" t="str">
        <f>'IND TECH'!A2748&amp;" "&amp;'IND TECH'!B2748&amp;" "&amp;'IND TECH'!C2748&amp;" "&amp;'IND TECH'!D2748&amp;" "&amp;'IND TECH'!E2748&amp;" "&amp;'IND TECH'!F2748&amp;" "&amp;'IND TECH'!G2748&amp;" "&amp;'IND TECH'!H2748</f>
        <v xml:space="preserve">       </v>
      </c>
      <c r="E2750" t="e">
        <f t="shared" si="22"/>
        <v>#REF!</v>
      </c>
      <c r="F2750" t="e">
        <f>'IND TECH'!#REF!</f>
        <v>#REF!</v>
      </c>
    </row>
    <row r="2751" spans="3:6" x14ac:dyDescent="0.25">
      <c r="C2751">
        <f>'IND TECH'!L2749</f>
        <v>0</v>
      </c>
      <c r="D2751" t="str">
        <f>'IND TECH'!A2749&amp;" "&amp;'IND TECH'!B2749&amp;" "&amp;'IND TECH'!C2749&amp;" "&amp;'IND TECH'!D2749&amp;" "&amp;'IND TECH'!E2749&amp;" "&amp;'IND TECH'!F2749&amp;" "&amp;'IND TECH'!G2749&amp;" "&amp;'IND TECH'!H2749</f>
        <v xml:space="preserve">       </v>
      </c>
      <c r="E2751" t="e">
        <f t="shared" si="22"/>
        <v>#REF!</v>
      </c>
      <c r="F2751" t="e">
        <f>'IND TECH'!#REF!</f>
        <v>#REF!</v>
      </c>
    </row>
    <row r="2752" spans="3:6" x14ac:dyDescent="0.25">
      <c r="C2752">
        <f>'IND TECH'!L2750</f>
        <v>0</v>
      </c>
      <c r="D2752" t="str">
        <f>'IND TECH'!A2750&amp;" "&amp;'IND TECH'!B2750&amp;" "&amp;'IND TECH'!C2750&amp;" "&amp;'IND TECH'!D2750&amp;" "&amp;'IND TECH'!E2750&amp;" "&amp;'IND TECH'!F2750&amp;" "&amp;'IND TECH'!G2750&amp;" "&amp;'IND TECH'!H2750</f>
        <v xml:space="preserve">       </v>
      </c>
      <c r="E2752" t="e">
        <f t="shared" si="22"/>
        <v>#REF!</v>
      </c>
      <c r="F2752" t="e">
        <f>'IND TECH'!#REF!</f>
        <v>#REF!</v>
      </c>
    </row>
    <row r="2753" spans="3:6" x14ac:dyDescent="0.25">
      <c r="C2753">
        <f>'IND TECH'!L2751</f>
        <v>0</v>
      </c>
      <c r="D2753" t="str">
        <f>'IND TECH'!A2751&amp;" "&amp;'IND TECH'!B2751&amp;" "&amp;'IND TECH'!C2751&amp;" "&amp;'IND TECH'!D2751&amp;" "&amp;'IND TECH'!E2751&amp;" "&amp;'IND TECH'!F2751&amp;" "&amp;'IND TECH'!G2751&amp;" "&amp;'IND TECH'!H2751</f>
        <v xml:space="preserve">       </v>
      </c>
      <c r="E2753" t="e">
        <f t="shared" si="22"/>
        <v>#REF!</v>
      </c>
      <c r="F2753" t="e">
        <f>'IND TECH'!#REF!</f>
        <v>#REF!</v>
      </c>
    </row>
    <row r="2754" spans="3:6" x14ac:dyDescent="0.25">
      <c r="C2754">
        <f>'IND TECH'!L2752</f>
        <v>0</v>
      </c>
      <c r="D2754" t="str">
        <f>'IND TECH'!A2752&amp;" "&amp;'IND TECH'!B2752&amp;" "&amp;'IND TECH'!C2752&amp;" "&amp;'IND TECH'!D2752&amp;" "&amp;'IND TECH'!E2752&amp;" "&amp;'IND TECH'!F2752&amp;" "&amp;'IND TECH'!G2752&amp;" "&amp;'IND TECH'!H2752</f>
        <v xml:space="preserve">       </v>
      </c>
      <c r="E2754" t="e">
        <f t="shared" si="22"/>
        <v>#REF!</v>
      </c>
      <c r="F2754" t="e">
        <f>'IND TECH'!#REF!</f>
        <v>#REF!</v>
      </c>
    </row>
    <row r="2755" spans="3:6" x14ac:dyDescent="0.25">
      <c r="C2755">
        <f>'IND TECH'!L2753</f>
        <v>0</v>
      </c>
      <c r="D2755" t="str">
        <f>'IND TECH'!A2753&amp;" "&amp;'IND TECH'!B2753&amp;" "&amp;'IND TECH'!C2753&amp;" "&amp;'IND TECH'!D2753&amp;" "&amp;'IND TECH'!E2753&amp;" "&amp;'IND TECH'!F2753&amp;" "&amp;'IND TECH'!G2753&amp;" "&amp;'IND TECH'!H2753</f>
        <v xml:space="preserve">       </v>
      </c>
      <c r="E2755" t="e">
        <f t="shared" si="22"/>
        <v>#REF!</v>
      </c>
      <c r="F2755" t="e">
        <f>'IND TECH'!#REF!</f>
        <v>#REF!</v>
      </c>
    </row>
    <row r="2756" spans="3:6" x14ac:dyDescent="0.25">
      <c r="C2756">
        <f>'IND TECH'!L2754</f>
        <v>0</v>
      </c>
      <c r="D2756" t="str">
        <f>'IND TECH'!A2754&amp;" "&amp;'IND TECH'!B2754&amp;" "&amp;'IND TECH'!C2754&amp;" "&amp;'IND TECH'!D2754&amp;" "&amp;'IND TECH'!E2754&amp;" "&amp;'IND TECH'!F2754&amp;" "&amp;'IND TECH'!G2754&amp;" "&amp;'IND TECH'!H2754</f>
        <v xml:space="preserve">       </v>
      </c>
      <c r="E2756" t="e">
        <f t="shared" si="22"/>
        <v>#REF!</v>
      </c>
      <c r="F2756" t="e">
        <f>'IND TECH'!#REF!</f>
        <v>#REF!</v>
      </c>
    </row>
    <row r="2757" spans="3:6" x14ac:dyDescent="0.25">
      <c r="C2757">
        <f>'IND TECH'!L2755</f>
        <v>0</v>
      </c>
      <c r="D2757" t="str">
        <f>'IND TECH'!A2755&amp;" "&amp;'IND TECH'!B2755&amp;" "&amp;'IND TECH'!C2755&amp;" "&amp;'IND TECH'!D2755&amp;" "&amp;'IND TECH'!E2755&amp;" "&amp;'IND TECH'!F2755&amp;" "&amp;'IND TECH'!G2755&amp;" "&amp;'IND TECH'!H2755</f>
        <v xml:space="preserve">       </v>
      </c>
      <c r="E2757" t="e">
        <f t="shared" si="22"/>
        <v>#REF!</v>
      </c>
      <c r="F2757" t="e">
        <f>'IND TECH'!#REF!</f>
        <v>#REF!</v>
      </c>
    </row>
    <row r="2758" spans="3:6" x14ac:dyDescent="0.25">
      <c r="C2758">
        <f>'IND TECH'!L2756</f>
        <v>0</v>
      </c>
      <c r="D2758" t="str">
        <f>'IND TECH'!A2756&amp;" "&amp;'IND TECH'!B2756&amp;" "&amp;'IND TECH'!C2756&amp;" "&amp;'IND TECH'!D2756&amp;" "&amp;'IND TECH'!E2756&amp;" "&amp;'IND TECH'!F2756&amp;" "&amp;'IND TECH'!G2756&amp;" "&amp;'IND TECH'!H2756</f>
        <v xml:space="preserve">       </v>
      </c>
      <c r="E2758" t="e">
        <f t="shared" si="22"/>
        <v>#REF!</v>
      </c>
      <c r="F2758" t="e">
        <f>'IND TECH'!#REF!</f>
        <v>#REF!</v>
      </c>
    </row>
    <row r="2759" spans="3:6" x14ac:dyDescent="0.25">
      <c r="C2759">
        <f>'IND TECH'!L2757</f>
        <v>0</v>
      </c>
      <c r="D2759" t="str">
        <f>'IND TECH'!A2757&amp;" "&amp;'IND TECH'!B2757&amp;" "&amp;'IND TECH'!C2757&amp;" "&amp;'IND TECH'!D2757&amp;" "&amp;'IND TECH'!E2757&amp;" "&amp;'IND TECH'!F2757&amp;" "&amp;'IND TECH'!G2757&amp;" "&amp;'IND TECH'!H2757</f>
        <v xml:space="preserve">       </v>
      </c>
      <c r="E2759" t="e">
        <f t="shared" si="22"/>
        <v>#REF!</v>
      </c>
      <c r="F2759" t="e">
        <f>'IND TECH'!#REF!</f>
        <v>#REF!</v>
      </c>
    </row>
    <row r="2760" spans="3:6" x14ac:dyDescent="0.25">
      <c r="C2760">
        <f>'IND TECH'!L2758</f>
        <v>0</v>
      </c>
      <c r="D2760" t="str">
        <f>'IND TECH'!A2758&amp;" "&amp;'IND TECH'!B2758&amp;" "&amp;'IND TECH'!C2758&amp;" "&amp;'IND TECH'!D2758&amp;" "&amp;'IND TECH'!E2758&amp;" "&amp;'IND TECH'!F2758&amp;" "&amp;'IND TECH'!G2758&amp;" "&amp;'IND TECH'!H2758</f>
        <v xml:space="preserve">       </v>
      </c>
      <c r="E2760" t="e">
        <f t="shared" si="22"/>
        <v>#REF!</v>
      </c>
      <c r="F2760" t="e">
        <f>'IND TECH'!#REF!</f>
        <v>#REF!</v>
      </c>
    </row>
    <row r="2761" spans="3:6" x14ac:dyDescent="0.25">
      <c r="C2761">
        <f>'IND TECH'!L2759</f>
        <v>0</v>
      </c>
      <c r="D2761" t="str">
        <f>'IND TECH'!A2759&amp;" "&amp;'IND TECH'!B2759&amp;" "&amp;'IND TECH'!C2759&amp;" "&amp;'IND TECH'!D2759&amp;" "&amp;'IND TECH'!E2759&amp;" "&amp;'IND TECH'!F2759&amp;" "&amp;'IND TECH'!G2759&amp;" "&amp;'IND TECH'!H2759</f>
        <v xml:space="preserve">       </v>
      </c>
      <c r="E2761" t="e">
        <f t="shared" si="22"/>
        <v>#REF!</v>
      </c>
      <c r="F2761" t="e">
        <f>'IND TECH'!#REF!</f>
        <v>#REF!</v>
      </c>
    </row>
    <row r="2762" spans="3:6" x14ac:dyDescent="0.25">
      <c r="C2762">
        <f>'IND TECH'!L2760</f>
        <v>0</v>
      </c>
      <c r="D2762" t="str">
        <f>'IND TECH'!A2760&amp;" "&amp;'IND TECH'!B2760&amp;" "&amp;'IND TECH'!C2760&amp;" "&amp;'IND TECH'!D2760&amp;" "&amp;'IND TECH'!E2760&amp;" "&amp;'IND TECH'!F2760&amp;" "&amp;'IND TECH'!G2760&amp;" "&amp;'IND TECH'!H2760</f>
        <v xml:space="preserve">       </v>
      </c>
      <c r="E2762" t="e">
        <f t="shared" si="22"/>
        <v>#REF!</v>
      </c>
      <c r="F2762" t="e">
        <f>'IND TECH'!#REF!</f>
        <v>#REF!</v>
      </c>
    </row>
    <row r="2763" spans="3:6" x14ac:dyDescent="0.25">
      <c r="C2763">
        <f>'IND TECH'!L2761</f>
        <v>0</v>
      </c>
      <c r="D2763" t="str">
        <f>'IND TECH'!A2761&amp;" "&amp;'IND TECH'!B2761&amp;" "&amp;'IND TECH'!C2761&amp;" "&amp;'IND TECH'!D2761&amp;" "&amp;'IND TECH'!E2761&amp;" "&amp;'IND TECH'!F2761&amp;" "&amp;'IND TECH'!G2761&amp;" "&amp;'IND TECH'!H2761</f>
        <v xml:space="preserve">       </v>
      </c>
      <c r="E2763" t="e">
        <f t="shared" si="22"/>
        <v>#REF!</v>
      </c>
      <c r="F2763" t="e">
        <f>'IND TECH'!#REF!</f>
        <v>#REF!</v>
      </c>
    </row>
    <row r="2764" spans="3:6" x14ac:dyDescent="0.25">
      <c r="C2764">
        <f>'IND TECH'!L2762</f>
        <v>0</v>
      </c>
      <c r="D2764" t="str">
        <f>'IND TECH'!A2762&amp;" "&amp;'IND TECH'!B2762&amp;" "&amp;'IND TECH'!C2762&amp;" "&amp;'IND TECH'!D2762&amp;" "&amp;'IND TECH'!E2762&amp;" "&amp;'IND TECH'!F2762&amp;" "&amp;'IND TECH'!G2762&amp;" "&amp;'IND TECH'!H2762</f>
        <v xml:space="preserve">       </v>
      </c>
      <c r="E2764" t="e">
        <f t="shared" si="22"/>
        <v>#REF!</v>
      </c>
      <c r="F2764" t="e">
        <f>'IND TECH'!#REF!</f>
        <v>#REF!</v>
      </c>
    </row>
    <row r="2765" spans="3:6" x14ac:dyDescent="0.25">
      <c r="C2765">
        <f>'IND TECH'!L2763</f>
        <v>0</v>
      </c>
      <c r="D2765" t="str">
        <f>'IND TECH'!A2763&amp;" "&amp;'IND TECH'!B2763&amp;" "&amp;'IND TECH'!C2763&amp;" "&amp;'IND TECH'!D2763&amp;" "&amp;'IND TECH'!E2763&amp;" "&amp;'IND TECH'!F2763&amp;" "&amp;'IND TECH'!G2763&amp;" "&amp;'IND TECH'!H2763</f>
        <v xml:space="preserve">       </v>
      </c>
      <c r="E2765" t="e">
        <f t="shared" si="22"/>
        <v>#REF!</v>
      </c>
      <c r="F2765" t="e">
        <f>'IND TECH'!#REF!</f>
        <v>#REF!</v>
      </c>
    </row>
    <row r="2766" spans="3:6" x14ac:dyDescent="0.25">
      <c r="C2766">
        <f>'IND TECH'!L2764</f>
        <v>0</v>
      </c>
      <c r="D2766" t="str">
        <f>'IND TECH'!A2764&amp;" "&amp;'IND TECH'!B2764&amp;" "&amp;'IND TECH'!C2764&amp;" "&amp;'IND TECH'!D2764&amp;" "&amp;'IND TECH'!E2764&amp;" "&amp;'IND TECH'!F2764&amp;" "&amp;'IND TECH'!G2764&amp;" "&amp;'IND TECH'!H2764</f>
        <v xml:space="preserve">       </v>
      </c>
      <c r="E2766" t="e">
        <f t="shared" si="22"/>
        <v>#REF!</v>
      </c>
      <c r="F2766" t="e">
        <f>'IND TECH'!#REF!</f>
        <v>#REF!</v>
      </c>
    </row>
    <row r="2767" spans="3:6" x14ac:dyDescent="0.25">
      <c r="C2767">
        <f>'IND TECH'!L2765</f>
        <v>0</v>
      </c>
      <c r="D2767" t="str">
        <f>'IND TECH'!A2765&amp;" "&amp;'IND TECH'!B2765&amp;" "&amp;'IND TECH'!C2765&amp;" "&amp;'IND TECH'!D2765&amp;" "&amp;'IND TECH'!E2765&amp;" "&amp;'IND TECH'!F2765&amp;" "&amp;'IND TECH'!G2765&amp;" "&amp;'IND TECH'!H2765</f>
        <v xml:space="preserve">       </v>
      </c>
      <c r="E2767" t="e">
        <f t="shared" si="22"/>
        <v>#REF!</v>
      </c>
      <c r="F2767" t="e">
        <f>'IND TECH'!#REF!</f>
        <v>#REF!</v>
      </c>
    </row>
    <row r="2768" spans="3:6" x14ac:dyDescent="0.25">
      <c r="C2768">
        <f>'IND TECH'!L2766</f>
        <v>0</v>
      </c>
      <c r="D2768" t="str">
        <f>'IND TECH'!A2766&amp;" "&amp;'IND TECH'!B2766&amp;" "&amp;'IND TECH'!C2766&amp;" "&amp;'IND TECH'!D2766&amp;" "&amp;'IND TECH'!E2766&amp;" "&amp;'IND TECH'!F2766&amp;" "&amp;'IND TECH'!G2766&amp;" "&amp;'IND TECH'!H2766</f>
        <v xml:space="preserve">       </v>
      </c>
      <c r="E2768" t="e">
        <f t="shared" si="22"/>
        <v>#REF!</v>
      </c>
      <c r="F2768" t="e">
        <f>'IND TECH'!#REF!</f>
        <v>#REF!</v>
      </c>
    </row>
    <row r="2769" spans="3:6" x14ac:dyDescent="0.25">
      <c r="C2769">
        <f>'IND TECH'!L2767</f>
        <v>0</v>
      </c>
      <c r="D2769" t="str">
        <f>'IND TECH'!A2767&amp;" "&amp;'IND TECH'!B2767&amp;" "&amp;'IND TECH'!C2767&amp;" "&amp;'IND TECH'!D2767&amp;" "&amp;'IND TECH'!E2767&amp;" "&amp;'IND TECH'!F2767&amp;" "&amp;'IND TECH'!G2767&amp;" "&amp;'IND TECH'!H2767</f>
        <v xml:space="preserve">       </v>
      </c>
      <c r="E2769" t="e">
        <f t="shared" si="22"/>
        <v>#REF!</v>
      </c>
      <c r="F2769" t="e">
        <f>'IND TECH'!#REF!</f>
        <v>#REF!</v>
      </c>
    </row>
    <row r="2770" spans="3:6" x14ac:dyDescent="0.25">
      <c r="C2770">
        <f>'IND TECH'!L2768</f>
        <v>0</v>
      </c>
      <c r="D2770" t="str">
        <f>'IND TECH'!A2768&amp;" "&amp;'IND TECH'!B2768&amp;" "&amp;'IND TECH'!C2768&amp;" "&amp;'IND TECH'!D2768&amp;" "&amp;'IND TECH'!E2768&amp;" "&amp;'IND TECH'!F2768&amp;" "&amp;'IND TECH'!G2768&amp;" "&amp;'IND TECH'!H2768</f>
        <v xml:space="preserve">       </v>
      </c>
      <c r="E2770" t="e">
        <f t="shared" si="22"/>
        <v>#REF!</v>
      </c>
      <c r="F2770" t="e">
        <f>'IND TECH'!#REF!</f>
        <v>#REF!</v>
      </c>
    </row>
    <row r="2771" spans="3:6" x14ac:dyDescent="0.25">
      <c r="C2771">
        <f>'IND TECH'!L2769</f>
        <v>0</v>
      </c>
      <c r="D2771" t="str">
        <f>'IND TECH'!A2769&amp;" "&amp;'IND TECH'!B2769&amp;" "&amp;'IND TECH'!C2769&amp;" "&amp;'IND TECH'!D2769&amp;" "&amp;'IND TECH'!E2769&amp;" "&amp;'IND TECH'!F2769&amp;" "&amp;'IND TECH'!G2769&amp;" "&amp;'IND TECH'!H2769</f>
        <v xml:space="preserve">       </v>
      </c>
      <c r="E2771" t="e">
        <f t="shared" ref="E2771:E2834" si="23">IF(F2771="Mlma","Mlm","TJ")</f>
        <v>#REF!</v>
      </c>
      <c r="F2771" t="e">
        <f>'IND TECH'!#REF!</f>
        <v>#REF!</v>
      </c>
    </row>
    <row r="2772" spans="3:6" x14ac:dyDescent="0.25">
      <c r="C2772">
        <f>'IND TECH'!L2770</f>
        <v>0</v>
      </c>
      <c r="D2772" t="str">
        <f>'IND TECH'!A2770&amp;" "&amp;'IND TECH'!B2770&amp;" "&amp;'IND TECH'!C2770&amp;" "&amp;'IND TECH'!D2770&amp;" "&amp;'IND TECH'!E2770&amp;" "&amp;'IND TECH'!F2770&amp;" "&amp;'IND TECH'!G2770&amp;" "&amp;'IND TECH'!H2770</f>
        <v xml:space="preserve">       </v>
      </c>
      <c r="E2772" t="e">
        <f t="shared" si="23"/>
        <v>#REF!</v>
      </c>
      <c r="F2772" t="e">
        <f>'IND TECH'!#REF!</f>
        <v>#REF!</v>
      </c>
    </row>
    <row r="2773" spans="3:6" x14ac:dyDescent="0.25">
      <c r="C2773">
        <f>'IND TECH'!L2771</f>
        <v>0</v>
      </c>
      <c r="D2773" t="str">
        <f>'IND TECH'!A2771&amp;" "&amp;'IND TECH'!B2771&amp;" "&amp;'IND TECH'!C2771&amp;" "&amp;'IND TECH'!D2771&amp;" "&amp;'IND TECH'!E2771&amp;" "&amp;'IND TECH'!F2771&amp;" "&amp;'IND TECH'!G2771&amp;" "&amp;'IND TECH'!H2771</f>
        <v xml:space="preserve">       </v>
      </c>
      <c r="E2773" t="e">
        <f t="shared" si="23"/>
        <v>#REF!</v>
      </c>
      <c r="F2773" t="e">
        <f>'IND TECH'!#REF!</f>
        <v>#REF!</v>
      </c>
    </row>
    <row r="2774" spans="3:6" x14ac:dyDescent="0.25">
      <c r="C2774">
        <f>'IND TECH'!L2772</f>
        <v>0</v>
      </c>
      <c r="D2774" t="str">
        <f>'IND TECH'!A2772&amp;" "&amp;'IND TECH'!B2772&amp;" "&amp;'IND TECH'!C2772&amp;" "&amp;'IND TECH'!D2772&amp;" "&amp;'IND TECH'!E2772&amp;" "&amp;'IND TECH'!F2772&amp;" "&amp;'IND TECH'!G2772&amp;" "&amp;'IND TECH'!H2772</f>
        <v xml:space="preserve">       </v>
      </c>
      <c r="E2774" t="e">
        <f t="shared" si="23"/>
        <v>#REF!</v>
      </c>
      <c r="F2774" t="e">
        <f>'IND TECH'!#REF!</f>
        <v>#REF!</v>
      </c>
    </row>
    <row r="2775" spans="3:6" x14ac:dyDescent="0.25">
      <c r="C2775">
        <f>'IND TECH'!L2773</f>
        <v>0</v>
      </c>
      <c r="D2775" t="str">
        <f>'IND TECH'!A2773&amp;" "&amp;'IND TECH'!B2773&amp;" "&amp;'IND TECH'!C2773&amp;" "&amp;'IND TECH'!D2773&amp;" "&amp;'IND TECH'!E2773&amp;" "&amp;'IND TECH'!F2773&amp;" "&amp;'IND TECH'!G2773&amp;" "&amp;'IND TECH'!H2773</f>
        <v xml:space="preserve">       </v>
      </c>
      <c r="E2775" t="e">
        <f t="shared" si="23"/>
        <v>#REF!</v>
      </c>
      <c r="F2775" t="e">
        <f>'IND TECH'!#REF!</f>
        <v>#REF!</v>
      </c>
    </row>
    <row r="2776" spans="3:6" x14ac:dyDescent="0.25">
      <c r="C2776">
        <f>'IND TECH'!L2774</f>
        <v>0</v>
      </c>
      <c r="D2776" t="str">
        <f>'IND TECH'!A2774&amp;" "&amp;'IND TECH'!B2774&amp;" "&amp;'IND TECH'!C2774&amp;" "&amp;'IND TECH'!D2774&amp;" "&amp;'IND TECH'!E2774&amp;" "&amp;'IND TECH'!F2774&amp;" "&amp;'IND TECH'!G2774&amp;" "&amp;'IND TECH'!H2774</f>
        <v xml:space="preserve">       </v>
      </c>
      <c r="E2776" t="e">
        <f t="shared" si="23"/>
        <v>#REF!</v>
      </c>
      <c r="F2776" t="e">
        <f>'IND TECH'!#REF!</f>
        <v>#REF!</v>
      </c>
    </row>
    <row r="2777" spans="3:6" x14ac:dyDescent="0.25">
      <c r="C2777">
        <f>'IND TECH'!L2775</f>
        <v>0</v>
      </c>
      <c r="D2777" t="str">
        <f>'IND TECH'!A2775&amp;" "&amp;'IND TECH'!B2775&amp;" "&amp;'IND TECH'!C2775&amp;" "&amp;'IND TECH'!D2775&amp;" "&amp;'IND TECH'!E2775&amp;" "&amp;'IND TECH'!F2775&amp;" "&amp;'IND TECH'!G2775&amp;" "&amp;'IND TECH'!H2775</f>
        <v xml:space="preserve">       </v>
      </c>
      <c r="E2777" t="e">
        <f t="shared" si="23"/>
        <v>#REF!</v>
      </c>
      <c r="F2777" t="e">
        <f>'IND TECH'!#REF!</f>
        <v>#REF!</v>
      </c>
    </row>
    <row r="2778" spans="3:6" x14ac:dyDescent="0.25">
      <c r="C2778">
        <f>'IND TECH'!L2776</f>
        <v>0</v>
      </c>
      <c r="D2778" t="str">
        <f>'IND TECH'!A2776&amp;" "&amp;'IND TECH'!B2776&amp;" "&amp;'IND TECH'!C2776&amp;" "&amp;'IND TECH'!D2776&amp;" "&amp;'IND TECH'!E2776&amp;" "&amp;'IND TECH'!F2776&amp;" "&amp;'IND TECH'!G2776&amp;" "&amp;'IND TECH'!H2776</f>
        <v xml:space="preserve">       </v>
      </c>
      <c r="E2778" t="e">
        <f t="shared" si="23"/>
        <v>#REF!</v>
      </c>
      <c r="F2778" t="e">
        <f>'IND TECH'!#REF!</f>
        <v>#REF!</v>
      </c>
    </row>
    <row r="2779" spans="3:6" x14ac:dyDescent="0.25">
      <c r="C2779">
        <f>'IND TECH'!L2777</f>
        <v>0</v>
      </c>
      <c r="D2779" t="str">
        <f>'IND TECH'!A2777&amp;" "&amp;'IND TECH'!B2777&amp;" "&amp;'IND TECH'!C2777&amp;" "&amp;'IND TECH'!D2777&amp;" "&amp;'IND TECH'!E2777&amp;" "&amp;'IND TECH'!F2777&amp;" "&amp;'IND TECH'!G2777&amp;" "&amp;'IND TECH'!H2777</f>
        <v xml:space="preserve">       </v>
      </c>
      <c r="E2779" t="e">
        <f t="shared" si="23"/>
        <v>#REF!</v>
      </c>
      <c r="F2779" t="e">
        <f>'IND TECH'!#REF!</f>
        <v>#REF!</v>
      </c>
    </row>
    <row r="2780" spans="3:6" x14ac:dyDescent="0.25">
      <c r="C2780">
        <f>'IND TECH'!L2778</f>
        <v>0</v>
      </c>
      <c r="D2780" t="str">
        <f>'IND TECH'!A2778&amp;" "&amp;'IND TECH'!B2778&amp;" "&amp;'IND TECH'!C2778&amp;" "&amp;'IND TECH'!D2778&amp;" "&amp;'IND TECH'!E2778&amp;" "&amp;'IND TECH'!F2778&amp;" "&amp;'IND TECH'!G2778&amp;" "&amp;'IND TECH'!H2778</f>
        <v xml:space="preserve">       </v>
      </c>
      <c r="E2780" t="e">
        <f t="shared" si="23"/>
        <v>#REF!</v>
      </c>
      <c r="F2780" t="e">
        <f>'IND TECH'!#REF!</f>
        <v>#REF!</v>
      </c>
    </row>
    <row r="2781" spans="3:6" x14ac:dyDescent="0.25">
      <c r="C2781">
        <f>'IND TECH'!L2779</f>
        <v>0</v>
      </c>
      <c r="D2781" t="str">
        <f>'IND TECH'!A2779&amp;" "&amp;'IND TECH'!B2779&amp;" "&amp;'IND TECH'!C2779&amp;" "&amp;'IND TECH'!D2779&amp;" "&amp;'IND TECH'!E2779&amp;" "&amp;'IND TECH'!F2779&amp;" "&amp;'IND TECH'!G2779&amp;" "&amp;'IND TECH'!H2779</f>
        <v xml:space="preserve">       </v>
      </c>
      <c r="E2781" t="e">
        <f t="shared" si="23"/>
        <v>#REF!</v>
      </c>
      <c r="F2781" t="e">
        <f>'IND TECH'!#REF!</f>
        <v>#REF!</v>
      </c>
    </row>
    <row r="2782" spans="3:6" x14ac:dyDescent="0.25">
      <c r="C2782">
        <f>'IND TECH'!L2780</f>
        <v>0</v>
      </c>
      <c r="D2782" t="str">
        <f>'IND TECH'!A2780&amp;" "&amp;'IND TECH'!B2780&amp;" "&amp;'IND TECH'!C2780&amp;" "&amp;'IND TECH'!D2780&amp;" "&amp;'IND TECH'!E2780&amp;" "&amp;'IND TECH'!F2780&amp;" "&amp;'IND TECH'!G2780&amp;" "&amp;'IND TECH'!H2780</f>
        <v xml:space="preserve">       </v>
      </c>
      <c r="E2782" t="e">
        <f t="shared" si="23"/>
        <v>#REF!</v>
      </c>
      <c r="F2782" t="e">
        <f>'IND TECH'!#REF!</f>
        <v>#REF!</v>
      </c>
    </row>
    <row r="2783" spans="3:6" x14ac:dyDescent="0.25">
      <c r="C2783">
        <f>'IND TECH'!L2781</f>
        <v>0</v>
      </c>
      <c r="D2783" t="str">
        <f>'IND TECH'!A2781&amp;" "&amp;'IND TECH'!B2781&amp;" "&amp;'IND TECH'!C2781&amp;" "&amp;'IND TECH'!D2781&amp;" "&amp;'IND TECH'!E2781&amp;" "&amp;'IND TECH'!F2781&amp;" "&amp;'IND TECH'!G2781&amp;" "&amp;'IND TECH'!H2781</f>
        <v xml:space="preserve">       </v>
      </c>
      <c r="E2783" t="e">
        <f t="shared" si="23"/>
        <v>#REF!</v>
      </c>
      <c r="F2783" t="e">
        <f>'IND TECH'!#REF!</f>
        <v>#REF!</v>
      </c>
    </row>
    <row r="2784" spans="3:6" x14ac:dyDescent="0.25">
      <c r="C2784">
        <f>'IND TECH'!L2782</f>
        <v>0</v>
      </c>
      <c r="D2784" t="str">
        <f>'IND TECH'!A2782&amp;" "&amp;'IND TECH'!B2782&amp;" "&amp;'IND TECH'!C2782&amp;" "&amp;'IND TECH'!D2782&amp;" "&amp;'IND TECH'!E2782&amp;" "&amp;'IND TECH'!F2782&amp;" "&amp;'IND TECH'!G2782&amp;" "&amp;'IND TECH'!H2782</f>
        <v xml:space="preserve">       </v>
      </c>
      <c r="E2784" t="e">
        <f t="shared" si="23"/>
        <v>#REF!</v>
      </c>
      <c r="F2784" t="e">
        <f>'IND TECH'!#REF!</f>
        <v>#REF!</v>
      </c>
    </row>
    <row r="2785" spans="3:6" x14ac:dyDescent="0.25">
      <c r="C2785">
        <f>'IND TECH'!L2783</f>
        <v>0</v>
      </c>
      <c r="D2785" t="str">
        <f>'IND TECH'!A2783&amp;" "&amp;'IND TECH'!B2783&amp;" "&amp;'IND TECH'!C2783&amp;" "&amp;'IND TECH'!D2783&amp;" "&amp;'IND TECH'!E2783&amp;" "&amp;'IND TECH'!F2783&amp;" "&amp;'IND TECH'!G2783&amp;" "&amp;'IND TECH'!H2783</f>
        <v xml:space="preserve">       </v>
      </c>
      <c r="E2785" t="e">
        <f t="shared" si="23"/>
        <v>#REF!</v>
      </c>
      <c r="F2785" t="e">
        <f>'IND TECH'!#REF!</f>
        <v>#REF!</v>
      </c>
    </row>
    <row r="2786" spans="3:6" x14ac:dyDescent="0.25">
      <c r="C2786">
        <f>'IND TECH'!L2784</f>
        <v>0</v>
      </c>
      <c r="D2786" t="str">
        <f>'IND TECH'!A2784&amp;" "&amp;'IND TECH'!B2784&amp;" "&amp;'IND TECH'!C2784&amp;" "&amp;'IND TECH'!D2784&amp;" "&amp;'IND TECH'!E2784&amp;" "&amp;'IND TECH'!F2784&amp;" "&amp;'IND TECH'!G2784&amp;" "&amp;'IND TECH'!H2784</f>
        <v xml:space="preserve">       </v>
      </c>
      <c r="E2786" t="e">
        <f t="shared" si="23"/>
        <v>#REF!</v>
      </c>
      <c r="F2786" t="e">
        <f>'IND TECH'!#REF!</f>
        <v>#REF!</v>
      </c>
    </row>
    <row r="2787" spans="3:6" x14ac:dyDescent="0.25">
      <c r="C2787">
        <f>'IND TECH'!L2785</f>
        <v>0</v>
      </c>
      <c r="D2787" t="str">
        <f>'IND TECH'!A2785&amp;" "&amp;'IND TECH'!B2785&amp;" "&amp;'IND TECH'!C2785&amp;" "&amp;'IND TECH'!D2785&amp;" "&amp;'IND TECH'!E2785&amp;" "&amp;'IND TECH'!F2785&amp;" "&amp;'IND TECH'!G2785&amp;" "&amp;'IND TECH'!H2785</f>
        <v xml:space="preserve">       </v>
      </c>
      <c r="E2787" t="e">
        <f t="shared" si="23"/>
        <v>#REF!</v>
      </c>
      <c r="F2787" t="e">
        <f>'IND TECH'!#REF!</f>
        <v>#REF!</v>
      </c>
    </row>
    <row r="2788" spans="3:6" x14ac:dyDescent="0.25">
      <c r="C2788">
        <f>'IND TECH'!L2786</f>
        <v>0</v>
      </c>
      <c r="D2788" t="str">
        <f>'IND TECH'!A2786&amp;" "&amp;'IND TECH'!B2786&amp;" "&amp;'IND TECH'!C2786&amp;" "&amp;'IND TECH'!D2786&amp;" "&amp;'IND TECH'!E2786&amp;" "&amp;'IND TECH'!F2786&amp;" "&amp;'IND TECH'!G2786&amp;" "&amp;'IND TECH'!H2786</f>
        <v xml:space="preserve">       </v>
      </c>
      <c r="E2788" t="e">
        <f t="shared" si="23"/>
        <v>#REF!</v>
      </c>
      <c r="F2788" t="e">
        <f>'IND TECH'!#REF!</f>
        <v>#REF!</v>
      </c>
    </row>
    <row r="2789" spans="3:6" x14ac:dyDescent="0.25">
      <c r="C2789">
        <f>'IND TECH'!L2787</f>
        <v>0</v>
      </c>
      <c r="D2789" t="str">
        <f>'IND TECH'!A2787&amp;" "&amp;'IND TECH'!B2787&amp;" "&amp;'IND TECH'!C2787&amp;" "&amp;'IND TECH'!D2787&amp;" "&amp;'IND TECH'!E2787&amp;" "&amp;'IND TECH'!F2787&amp;" "&amp;'IND TECH'!G2787&amp;" "&amp;'IND TECH'!H2787</f>
        <v xml:space="preserve">       </v>
      </c>
      <c r="E2789" t="e">
        <f t="shared" si="23"/>
        <v>#REF!</v>
      </c>
      <c r="F2789" t="e">
        <f>'IND TECH'!#REF!</f>
        <v>#REF!</v>
      </c>
    </row>
    <row r="2790" spans="3:6" x14ac:dyDescent="0.25">
      <c r="C2790">
        <f>'IND TECH'!L2788</f>
        <v>0</v>
      </c>
      <c r="D2790" t="str">
        <f>'IND TECH'!A2788&amp;" "&amp;'IND TECH'!B2788&amp;" "&amp;'IND TECH'!C2788&amp;" "&amp;'IND TECH'!D2788&amp;" "&amp;'IND TECH'!E2788&amp;" "&amp;'IND TECH'!F2788&amp;" "&amp;'IND TECH'!G2788&amp;" "&amp;'IND TECH'!H2788</f>
        <v xml:space="preserve">       </v>
      </c>
      <c r="E2790" t="e">
        <f t="shared" si="23"/>
        <v>#REF!</v>
      </c>
      <c r="F2790" t="e">
        <f>'IND TECH'!#REF!</f>
        <v>#REF!</v>
      </c>
    </row>
    <row r="2791" spans="3:6" x14ac:dyDescent="0.25">
      <c r="C2791">
        <f>'IND TECH'!L2789</f>
        <v>0</v>
      </c>
      <c r="D2791" t="str">
        <f>'IND TECH'!A2789&amp;" "&amp;'IND TECH'!B2789&amp;" "&amp;'IND TECH'!C2789&amp;" "&amp;'IND TECH'!D2789&amp;" "&amp;'IND TECH'!E2789&amp;" "&amp;'IND TECH'!F2789&amp;" "&amp;'IND TECH'!G2789&amp;" "&amp;'IND TECH'!H2789</f>
        <v xml:space="preserve">       </v>
      </c>
      <c r="E2791" t="e">
        <f t="shared" si="23"/>
        <v>#REF!</v>
      </c>
      <c r="F2791" t="e">
        <f>'IND TECH'!#REF!</f>
        <v>#REF!</v>
      </c>
    </row>
    <row r="2792" spans="3:6" x14ac:dyDescent="0.25">
      <c r="C2792">
        <f>'IND TECH'!L2790</f>
        <v>0</v>
      </c>
      <c r="D2792" t="str">
        <f>'IND TECH'!A2790&amp;" "&amp;'IND TECH'!B2790&amp;" "&amp;'IND TECH'!C2790&amp;" "&amp;'IND TECH'!D2790&amp;" "&amp;'IND TECH'!E2790&amp;" "&amp;'IND TECH'!F2790&amp;" "&amp;'IND TECH'!G2790&amp;" "&amp;'IND TECH'!H2790</f>
        <v xml:space="preserve">       </v>
      </c>
      <c r="E2792" t="e">
        <f t="shared" si="23"/>
        <v>#REF!</v>
      </c>
      <c r="F2792" t="e">
        <f>'IND TECH'!#REF!</f>
        <v>#REF!</v>
      </c>
    </row>
    <row r="2793" spans="3:6" x14ac:dyDescent="0.25">
      <c r="C2793">
        <f>'IND TECH'!L2791</f>
        <v>0</v>
      </c>
      <c r="D2793" t="str">
        <f>'IND TECH'!A2791&amp;" "&amp;'IND TECH'!B2791&amp;" "&amp;'IND TECH'!C2791&amp;" "&amp;'IND TECH'!D2791&amp;" "&amp;'IND TECH'!E2791&amp;" "&amp;'IND TECH'!F2791&amp;" "&amp;'IND TECH'!G2791&amp;" "&amp;'IND TECH'!H2791</f>
        <v xml:space="preserve">       </v>
      </c>
      <c r="E2793" t="e">
        <f t="shared" si="23"/>
        <v>#REF!</v>
      </c>
      <c r="F2793" t="e">
        <f>'IND TECH'!#REF!</f>
        <v>#REF!</v>
      </c>
    </row>
    <row r="2794" spans="3:6" x14ac:dyDescent="0.25">
      <c r="C2794">
        <f>'IND TECH'!L2792</f>
        <v>0</v>
      </c>
      <c r="D2794" t="str">
        <f>'IND TECH'!A2792&amp;" "&amp;'IND TECH'!B2792&amp;" "&amp;'IND TECH'!C2792&amp;" "&amp;'IND TECH'!D2792&amp;" "&amp;'IND TECH'!E2792&amp;" "&amp;'IND TECH'!F2792&amp;" "&amp;'IND TECH'!G2792&amp;" "&amp;'IND TECH'!H2792</f>
        <v xml:space="preserve">       </v>
      </c>
      <c r="E2794" t="e">
        <f t="shared" si="23"/>
        <v>#REF!</v>
      </c>
      <c r="F2794" t="e">
        <f>'IND TECH'!#REF!</f>
        <v>#REF!</v>
      </c>
    </row>
    <row r="2795" spans="3:6" x14ac:dyDescent="0.25">
      <c r="C2795">
        <f>'IND TECH'!L2793</f>
        <v>0</v>
      </c>
      <c r="D2795" t="str">
        <f>'IND TECH'!A2793&amp;" "&amp;'IND TECH'!B2793&amp;" "&amp;'IND TECH'!C2793&amp;" "&amp;'IND TECH'!D2793&amp;" "&amp;'IND TECH'!E2793&amp;" "&amp;'IND TECH'!F2793&amp;" "&amp;'IND TECH'!G2793&amp;" "&amp;'IND TECH'!H2793</f>
        <v xml:space="preserve">       </v>
      </c>
      <c r="E2795" t="e">
        <f t="shared" si="23"/>
        <v>#REF!</v>
      </c>
      <c r="F2795" t="e">
        <f>'IND TECH'!#REF!</f>
        <v>#REF!</v>
      </c>
    </row>
    <row r="2796" spans="3:6" x14ac:dyDescent="0.25">
      <c r="C2796">
        <f>'IND TECH'!L2794</f>
        <v>0</v>
      </c>
      <c r="D2796" t="str">
        <f>'IND TECH'!A2794&amp;" "&amp;'IND TECH'!B2794&amp;" "&amp;'IND TECH'!C2794&amp;" "&amp;'IND TECH'!D2794&amp;" "&amp;'IND TECH'!E2794&amp;" "&amp;'IND TECH'!F2794&amp;" "&amp;'IND TECH'!G2794&amp;" "&amp;'IND TECH'!H2794</f>
        <v xml:space="preserve">       </v>
      </c>
      <c r="E2796" t="e">
        <f t="shared" si="23"/>
        <v>#REF!</v>
      </c>
      <c r="F2796" t="e">
        <f>'IND TECH'!#REF!</f>
        <v>#REF!</v>
      </c>
    </row>
    <row r="2797" spans="3:6" x14ac:dyDescent="0.25">
      <c r="C2797">
        <f>'IND TECH'!L2795</f>
        <v>0</v>
      </c>
      <c r="D2797" t="str">
        <f>'IND TECH'!A2795&amp;" "&amp;'IND TECH'!B2795&amp;" "&amp;'IND TECH'!C2795&amp;" "&amp;'IND TECH'!D2795&amp;" "&amp;'IND TECH'!E2795&amp;" "&amp;'IND TECH'!F2795&amp;" "&amp;'IND TECH'!G2795&amp;" "&amp;'IND TECH'!H2795</f>
        <v xml:space="preserve">       </v>
      </c>
      <c r="E2797" t="e">
        <f t="shared" si="23"/>
        <v>#REF!</v>
      </c>
      <c r="F2797" t="e">
        <f>'IND TECH'!#REF!</f>
        <v>#REF!</v>
      </c>
    </row>
    <row r="2798" spans="3:6" x14ac:dyDescent="0.25">
      <c r="C2798">
        <f>'IND TECH'!L2796</f>
        <v>0</v>
      </c>
      <c r="D2798" t="str">
        <f>'IND TECH'!A2796&amp;" "&amp;'IND TECH'!B2796&amp;" "&amp;'IND TECH'!C2796&amp;" "&amp;'IND TECH'!D2796&amp;" "&amp;'IND TECH'!E2796&amp;" "&amp;'IND TECH'!F2796&amp;" "&amp;'IND TECH'!G2796&amp;" "&amp;'IND TECH'!H2796</f>
        <v xml:space="preserve">       </v>
      </c>
      <c r="E2798" t="e">
        <f t="shared" si="23"/>
        <v>#REF!</v>
      </c>
      <c r="F2798" t="e">
        <f>'IND TECH'!#REF!</f>
        <v>#REF!</v>
      </c>
    </row>
    <row r="2799" spans="3:6" x14ac:dyDescent="0.25">
      <c r="C2799">
        <f>'IND TECH'!L2797</f>
        <v>0</v>
      </c>
      <c r="D2799" t="str">
        <f>'IND TECH'!A2797&amp;" "&amp;'IND TECH'!B2797&amp;" "&amp;'IND TECH'!C2797&amp;" "&amp;'IND TECH'!D2797&amp;" "&amp;'IND TECH'!E2797&amp;" "&amp;'IND TECH'!F2797&amp;" "&amp;'IND TECH'!G2797&amp;" "&amp;'IND TECH'!H2797</f>
        <v xml:space="preserve">       </v>
      </c>
      <c r="E2799" t="e">
        <f t="shared" si="23"/>
        <v>#REF!</v>
      </c>
      <c r="F2799" t="e">
        <f>'IND TECH'!#REF!</f>
        <v>#REF!</v>
      </c>
    </row>
    <row r="2800" spans="3:6" x14ac:dyDescent="0.25">
      <c r="C2800">
        <f>'IND TECH'!L2798</f>
        <v>0</v>
      </c>
      <c r="D2800" t="str">
        <f>'IND TECH'!A2798&amp;" "&amp;'IND TECH'!B2798&amp;" "&amp;'IND TECH'!C2798&amp;" "&amp;'IND TECH'!D2798&amp;" "&amp;'IND TECH'!E2798&amp;" "&amp;'IND TECH'!F2798&amp;" "&amp;'IND TECH'!G2798&amp;" "&amp;'IND TECH'!H2798</f>
        <v xml:space="preserve">       </v>
      </c>
      <c r="E2800" t="e">
        <f t="shared" si="23"/>
        <v>#REF!</v>
      </c>
      <c r="F2800" t="e">
        <f>'IND TECH'!#REF!</f>
        <v>#REF!</v>
      </c>
    </row>
    <row r="2801" spans="3:6" x14ac:dyDescent="0.25">
      <c r="C2801">
        <f>'IND TECH'!L2799</f>
        <v>0</v>
      </c>
      <c r="D2801" t="str">
        <f>'IND TECH'!A2799&amp;" "&amp;'IND TECH'!B2799&amp;" "&amp;'IND TECH'!C2799&amp;" "&amp;'IND TECH'!D2799&amp;" "&amp;'IND TECH'!E2799&amp;" "&amp;'IND TECH'!F2799&amp;" "&amp;'IND TECH'!G2799&amp;" "&amp;'IND TECH'!H2799</f>
        <v xml:space="preserve">       </v>
      </c>
      <c r="E2801" t="e">
        <f t="shared" si="23"/>
        <v>#REF!</v>
      </c>
      <c r="F2801" t="e">
        <f>'IND TECH'!#REF!</f>
        <v>#REF!</v>
      </c>
    </row>
    <row r="2802" spans="3:6" x14ac:dyDescent="0.25">
      <c r="C2802">
        <f>'IND TECH'!L2800</f>
        <v>0</v>
      </c>
      <c r="D2802" t="str">
        <f>'IND TECH'!A2800&amp;" "&amp;'IND TECH'!B2800&amp;" "&amp;'IND TECH'!C2800&amp;" "&amp;'IND TECH'!D2800&amp;" "&amp;'IND TECH'!E2800&amp;" "&amp;'IND TECH'!F2800&amp;" "&amp;'IND TECH'!G2800&amp;" "&amp;'IND TECH'!H2800</f>
        <v xml:space="preserve">       </v>
      </c>
      <c r="E2802" t="e">
        <f t="shared" si="23"/>
        <v>#REF!</v>
      </c>
      <c r="F2802" t="e">
        <f>'IND TECH'!#REF!</f>
        <v>#REF!</v>
      </c>
    </row>
    <row r="2803" spans="3:6" x14ac:dyDescent="0.25">
      <c r="C2803">
        <f>'IND TECH'!L2801</f>
        <v>0</v>
      </c>
      <c r="D2803" t="str">
        <f>'IND TECH'!A2801&amp;" "&amp;'IND TECH'!B2801&amp;" "&amp;'IND TECH'!C2801&amp;" "&amp;'IND TECH'!D2801&amp;" "&amp;'IND TECH'!E2801&amp;" "&amp;'IND TECH'!F2801&amp;" "&amp;'IND TECH'!G2801&amp;" "&amp;'IND TECH'!H2801</f>
        <v xml:space="preserve">       </v>
      </c>
      <c r="E2803" t="e">
        <f t="shared" si="23"/>
        <v>#REF!</v>
      </c>
      <c r="F2803" t="e">
        <f>'IND TECH'!#REF!</f>
        <v>#REF!</v>
      </c>
    </row>
    <row r="2804" spans="3:6" x14ac:dyDescent="0.25">
      <c r="C2804">
        <f>'IND TECH'!L2802</f>
        <v>0</v>
      </c>
      <c r="D2804" t="str">
        <f>'IND TECH'!A2802&amp;" "&amp;'IND TECH'!B2802&amp;" "&amp;'IND TECH'!C2802&amp;" "&amp;'IND TECH'!D2802&amp;" "&amp;'IND TECH'!E2802&amp;" "&amp;'IND TECH'!F2802&amp;" "&amp;'IND TECH'!G2802&amp;" "&amp;'IND TECH'!H2802</f>
        <v xml:space="preserve">       </v>
      </c>
      <c r="E2804" t="e">
        <f t="shared" si="23"/>
        <v>#REF!</v>
      </c>
      <c r="F2804" t="e">
        <f>'IND TECH'!#REF!</f>
        <v>#REF!</v>
      </c>
    </row>
    <row r="2805" spans="3:6" x14ac:dyDescent="0.25">
      <c r="C2805">
        <f>'IND TECH'!L2803</f>
        <v>0</v>
      </c>
      <c r="D2805" t="str">
        <f>'IND TECH'!A2803&amp;" "&amp;'IND TECH'!B2803&amp;" "&amp;'IND TECH'!C2803&amp;" "&amp;'IND TECH'!D2803&amp;" "&amp;'IND TECH'!E2803&amp;" "&amp;'IND TECH'!F2803&amp;" "&amp;'IND TECH'!G2803&amp;" "&amp;'IND TECH'!H2803</f>
        <v xml:space="preserve">       </v>
      </c>
      <c r="E2805" t="e">
        <f t="shared" si="23"/>
        <v>#REF!</v>
      </c>
      <c r="F2805" t="e">
        <f>'IND TECH'!#REF!</f>
        <v>#REF!</v>
      </c>
    </row>
    <row r="2806" spans="3:6" x14ac:dyDescent="0.25">
      <c r="C2806">
        <f>'IND TECH'!L2804</f>
        <v>0</v>
      </c>
      <c r="D2806" t="str">
        <f>'IND TECH'!A2804&amp;" "&amp;'IND TECH'!B2804&amp;" "&amp;'IND TECH'!C2804&amp;" "&amp;'IND TECH'!D2804&amp;" "&amp;'IND TECH'!E2804&amp;" "&amp;'IND TECH'!F2804&amp;" "&amp;'IND TECH'!G2804&amp;" "&amp;'IND TECH'!H2804</f>
        <v xml:space="preserve">       </v>
      </c>
      <c r="E2806" t="e">
        <f t="shared" si="23"/>
        <v>#REF!</v>
      </c>
      <c r="F2806" t="e">
        <f>'IND TECH'!#REF!</f>
        <v>#REF!</v>
      </c>
    </row>
    <row r="2807" spans="3:6" x14ac:dyDescent="0.25">
      <c r="C2807">
        <f>'IND TECH'!L2805</f>
        <v>0</v>
      </c>
      <c r="D2807" t="str">
        <f>'IND TECH'!A2805&amp;" "&amp;'IND TECH'!B2805&amp;" "&amp;'IND TECH'!C2805&amp;" "&amp;'IND TECH'!D2805&amp;" "&amp;'IND TECH'!E2805&amp;" "&amp;'IND TECH'!F2805&amp;" "&amp;'IND TECH'!G2805&amp;" "&amp;'IND TECH'!H2805</f>
        <v xml:space="preserve">       </v>
      </c>
      <c r="E2807" t="e">
        <f t="shared" si="23"/>
        <v>#REF!</v>
      </c>
      <c r="F2807" t="e">
        <f>'IND TECH'!#REF!</f>
        <v>#REF!</v>
      </c>
    </row>
    <row r="2808" spans="3:6" x14ac:dyDescent="0.25">
      <c r="C2808">
        <f>'IND TECH'!L2806</f>
        <v>0</v>
      </c>
      <c r="D2808" t="str">
        <f>'IND TECH'!A2806&amp;" "&amp;'IND TECH'!B2806&amp;" "&amp;'IND TECH'!C2806&amp;" "&amp;'IND TECH'!D2806&amp;" "&amp;'IND TECH'!E2806&amp;" "&amp;'IND TECH'!F2806&amp;" "&amp;'IND TECH'!G2806&amp;" "&amp;'IND TECH'!H2806</f>
        <v xml:space="preserve">       </v>
      </c>
      <c r="E2808" t="e">
        <f t="shared" si="23"/>
        <v>#REF!</v>
      </c>
      <c r="F2808" t="e">
        <f>'IND TECH'!#REF!</f>
        <v>#REF!</v>
      </c>
    </row>
    <row r="2809" spans="3:6" x14ac:dyDescent="0.25">
      <c r="C2809">
        <f>'IND TECH'!L2807</f>
        <v>0</v>
      </c>
      <c r="D2809" t="str">
        <f>'IND TECH'!A2807&amp;" "&amp;'IND TECH'!B2807&amp;" "&amp;'IND TECH'!C2807&amp;" "&amp;'IND TECH'!D2807&amp;" "&amp;'IND TECH'!E2807&amp;" "&amp;'IND TECH'!F2807&amp;" "&amp;'IND TECH'!G2807&amp;" "&amp;'IND TECH'!H2807</f>
        <v xml:space="preserve">       </v>
      </c>
      <c r="E2809" t="e">
        <f t="shared" si="23"/>
        <v>#REF!</v>
      </c>
      <c r="F2809" t="e">
        <f>'IND TECH'!#REF!</f>
        <v>#REF!</v>
      </c>
    </row>
    <row r="2810" spans="3:6" x14ac:dyDescent="0.25">
      <c r="C2810">
        <f>'IND TECH'!L2808</f>
        <v>0</v>
      </c>
      <c r="D2810" t="str">
        <f>'IND TECH'!A2808&amp;" "&amp;'IND TECH'!B2808&amp;" "&amp;'IND TECH'!C2808&amp;" "&amp;'IND TECH'!D2808&amp;" "&amp;'IND TECH'!E2808&amp;" "&amp;'IND TECH'!F2808&amp;" "&amp;'IND TECH'!G2808&amp;" "&amp;'IND TECH'!H2808</f>
        <v xml:space="preserve">       </v>
      </c>
      <c r="E2810" t="e">
        <f t="shared" si="23"/>
        <v>#REF!</v>
      </c>
      <c r="F2810" t="e">
        <f>'IND TECH'!#REF!</f>
        <v>#REF!</v>
      </c>
    </row>
    <row r="2811" spans="3:6" x14ac:dyDescent="0.25">
      <c r="C2811">
        <f>'IND TECH'!L2809</f>
        <v>0</v>
      </c>
      <c r="D2811" t="str">
        <f>'IND TECH'!A2809&amp;" "&amp;'IND TECH'!B2809&amp;" "&amp;'IND TECH'!C2809&amp;" "&amp;'IND TECH'!D2809&amp;" "&amp;'IND TECH'!E2809&amp;" "&amp;'IND TECH'!F2809&amp;" "&amp;'IND TECH'!G2809&amp;" "&amp;'IND TECH'!H2809</f>
        <v xml:space="preserve">       </v>
      </c>
      <c r="E2811" t="e">
        <f t="shared" si="23"/>
        <v>#REF!</v>
      </c>
      <c r="F2811" t="e">
        <f>'IND TECH'!#REF!</f>
        <v>#REF!</v>
      </c>
    </row>
    <row r="2812" spans="3:6" x14ac:dyDescent="0.25">
      <c r="C2812">
        <f>'IND TECH'!L2810</f>
        <v>0</v>
      </c>
      <c r="D2812" t="str">
        <f>'IND TECH'!A2810&amp;" "&amp;'IND TECH'!B2810&amp;" "&amp;'IND TECH'!C2810&amp;" "&amp;'IND TECH'!D2810&amp;" "&amp;'IND TECH'!E2810&amp;" "&amp;'IND TECH'!F2810&amp;" "&amp;'IND TECH'!G2810&amp;" "&amp;'IND TECH'!H2810</f>
        <v xml:space="preserve">       </v>
      </c>
      <c r="E2812" t="e">
        <f t="shared" si="23"/>
        <v>#REF!</v>
      </c>
      <c r="F2812" t="e">
        <f>'IND TECH'!#REF!</f>
        <v>#REF!</v>
      </c>
    </row>
    <row r="2813" spans="3:6" x14ac:dyDescent="0.25">
      <c r="C2813">
        <f>'IND TECH'!L2811</f>
        <v>0</v>
      </c>
      <c r="D2813" t="str">
        <f>'IND TECH'!A2811&amp;" "&amp;'IND TECH'!B2811&amp;" "&amp;'IND TECH'!C2811&amp;" "&amp;'IND TECH'!D2811&amp;" "&amp;'IND TECH'!E2811&amp;" "&amp;'IND TECH'!F2811&amp;" "&amp;'IND TECH'!G2811&amp;" "&amp;'IND TECH'!H2811</f>
        <v xml:space="preserve">       </v>
      </c>
      <c r="E2813" t="e">
        <f t="shared" si="23"/>
        <v>#REF!</v>
      </c>
      <c r="F2813" t="e">
        <f>'IND TECH'!#REF!</f>
        <v>#REF!</v>
      </c>
    </row>
    <row r="2814" spans="3:6" x14ac:dyDescent="0.25">
      <c r="C2814">
        <f>'IND TECH'!L2812</f>
        <v>0</v>
      </c>
      <c r="D2814" t="str">
        <f>'IND TECH'!A2812&amp;" "&amp;'IND TECH'!B2812&amp;" "&amp;'IND TECH'!C2812&amp;" "&amp;'IND TECH'!D2812&amp;" "&amp;'IND TECH'!E2812&amp;" "&amp;'IND TECH'!F2812&amp;" "&amp;'IND TECH'!G2812&amp;" "&amp;'IND TECH'!H2812</f>
        <v xml:space="preserve">       </v>
      </c>
      <c r="E2814" t="e">
        <f t="shared" si="23"/>
        <v>#REF!</v>
      </c>
      <c r="F2814" t="e">
        <f>'IND TECH'!#REF!</f>
        <v>#REF!</v>
      </c>
    </row>
    <row r="2815" spans="3:6" x14ac:dyDescent="0.25">
      <c r="C2815">
        <f>'IND TECH'!L2813</f>
        <v>0</v>
      </c>
      <c r="D2815" t="str">
        <f>'IND TECH'!A2813&amp;" "&amp;'IND TECH'!B2813&amp;" "&amp;'IND TECH'!C2813&amp;" "&amp;'IND TECH'!D2813&amp;" "&amp;'IND TECH'!E2813&amp;" "&amp;'IND TECH'!F2813&amp;" "&amp;'IND TECH'!G2813&amp;" "&amp;'IND TECH'!H2813</f>
        <v xml:space="preserve">       </v>
      </c>
      <c r="E2815" t="e">
        <f t="shared" si="23"/>
        <v>#REF!</v>
      </c>
      <c r="F2815" t="e">
        <f>'IND TECH'!#REF!</f>
        <v>#REF!</v>
      </c>
    </row>
    <row r="2816" spans="3:6" x14ac:dyDescent="0.25">
      <c r="C2816">
        <f>'IND TECH'!L2814</f>
        <v>0</v>
      </c>
      <c r="D2816" t="str">
        <f>'IND TECH'!A2814&amp;" "&amp;'IND TECH'!B2814&amp;" "&amp;'IND TECH'!C2814&amp;" "&amp;'IND TECH'!D2814&amp;" "&amp;'IND TECH'!E2814&amp;" "&amp;'IND TECH'!F2814&amp;" "&amp;'IND TECH'!G2814&amp;" "&amp;'IND TECH'!H2814</f>
        <v xml:space="preserve">       </v>
      </c>
      <c r="E2816" t="e">
        <f t="shared" si="23"/>
        <v>#REF!</v>
      </c>
      <c r="F2816" t="e">
        <f>'IND TECH'!#REF!</f>
        <v>#REF!</v>
      </c>
    </row>
    <row r="2817" spans="3:6" x14ac:dyDescent="0.25">
      <c r="C2817">
        <f>'IND TECH'!L2815</f>
        <v>0</v>
      </c>
      <c r="D2817" t="str">
        <f>'IND TECH'!A2815&amp;" "&amp;'IND TECH'!B2815&amp;" "&amp;'IND TECH'!C2815&amp;" "&amp;'IND TECH'!D2815&amp;" "&amp;'IND TECH'!E2815&amp;" "&amp;'IND TECH'!F2815&amp;" "&amp;'IND TECH'!G2815&amp;" "&amp;'IND TECH'!H2815</f>
        <v xml:space="preserve">       </v>
      </c>
      <c r="E2817" t="e">
        <f t="shared" si="23"/>
        <v>#REF!</v>
      </c>
      <c r="F2817" t="e">
        <f>'IND TECH'!#REF!</f>
        <v>#REF!</v>
      </c>
    </row>
    <row r="2818" spans="3:6" x14ac:dyDescent="0.25">
      <c r="C2818">
        <f>'IND TECH'!L2816</f>
        <v>0</v>
      </c>
      <c r="D2818" t="str">
        <f>'IND TECH'!A2816&amp;" "&amp;'IND TECH'!B2816&amp;" "&amp;'IND TECH'!C2816&amp;" "&amp;'IND TECH'!D2816&amp;" "&amp;'IND TECH'!E2816&amp;" "&amp;'IND TECH'!F2816&amp;" "&amp;'IND TECH'!G2816&amp;" "&amp;'IND TECH'!H2816</f>
        <v xml:space="preserve">       </v>
      </c>
      <c r="E2818" t="e">
        <f t="shared" si="23"/>
        <v>#REF!</v>
      </c>
      <c r="F2818" t="e">
        <f>'IND TECH'!#REF!</f>
        <v>#REF!</v>
      </c>
    </row>
    <row r="2819" spans="3:6" x14ac:dyDescent="0.25">
      <c r="C2819">
        <f>'IND TECH'!L2817</f>
        <v>0</v>
      </c>
      <c r="D2819" t="str">
        <f>'IND TECH'!A2817&amp;" "&amp;'IND TECH'!B2817&amp;" "&amp;'IND TECH'!C2817&amp;" "&amp;'IND TECH'!D2817&amp;" "&amp;'IND TECH'!E2817&amp;" "&amp;'IND TECH'!F2817&amp;" "&amp;'IND TECH'!G2817&amp;" "&amp;'IND TECH'!H2817</f>
        <v xml:space="preserve">       </v>
      </c>
      <c r="E2819" t="e">
        <f t="shared" si="23"/>
        <v>#REF!</v>
      </c>
      <c r="F2819" t="e">
        <f>'IND TECH'!#REF!</f>
        <v>#REF!</v>
      </c>
    </row>
    <row r="2820" spans="3:6" x14ac:dyDescent="0.25">
      <c r="C2820">
        <f>'IND TECH'!L2818</f>
        <v>0</v>
      </c>
      <c r="D2820" t="str">
        <f>'IND TECH'!A2818&amp;" "&amp;'IND TECH'!B2818&amp;" "&amp;'IND TECH'!C2818&amp;" "&amp;'IND TECH'!D2818&amp;" "&amp;'IND TECH'!E2818&amp;" "&amp;'IND TECH'!F2818&amp;" "&amp;'IND TECH'!G2818&amp;" "&amp;'IND TECH'!H2818</f>
        <v xml:space="preserve">       </v>
      </c>
      <c r="E2820" t="e">
        <f t="shared" si="23"/>
        <v>#REF!</v>
      </c>
      <c r="F2820" t="e">
        <f>'IND TECH'!#REF!</f>
        <v>#REF!</v>
      </c>
    </row>
    <row r="2821" spans="3:6" x14ac:dyDescent="0.25">
      <c r="C2821">
        <f>'IND TECH'!L2819</f>
        <v>0</v>
      </c>
      <c r="D2821" t="str">
        <f>'IND TECH'!A2819&amp;" "&amp;'IND TECH'!B2819&amp;" "&amp;'IND TECH'!C2819&amp;" "&amp;'IND TECH'!D2819&amp;" "&amp;'IND TECH'!E2819&amp;" "&amp;'IND TECH'!F2819&amp;" "&amp;'IND TECH'!G2819&amp;" "&amp;'IND TECH'!H2819</f>
        <v xml:space="preserve">       </v>
      </c>
      <c r="E2821" t="e">
        <f t="shared" si="23"/>
        <v>#REF!</v>
      </c>
      <c r="F2821" t="e">
        <f>'IND TECH'!#REF!</f>
        <v>#REF!</v>
      </c>
    </row>
    <row r="2822" spans="3:6" x14ac:dyDescent="0.25">
      <c r="C2822">
        <f>'IND TECH'!L2820</f>
        <v>0</v>
      </c>
      <c r="D2822" t="str">
        <f>'IND TECH'!A2820&amp;" "&amp;'IND TECH'!B2820&amp;" "&amp;'IND TECH'!C2820&amp;" "&amp;'IND TECH'!D2820&amp;" "&amp;'IND TECH'!E2820&amp;" "&amp;'IND TECH'!F2820&amp;" "&amp;'IND TECH'!G2820&amp;" "&amp;'IND TECH'!H2820</f>
        <v xml:space="preserve">       </v>
      </c>
      <c r="E2822" t="e">
        <f t="shared" si="23"/>
        <v>#REF!</v>
      </c>
      <c r="F2822" t="e">
        <f>'IND TECH'!#REF!</f>
        <v>#REF!</v>
      </c>
    </row>
    <row r="2823" spans="3:6" x14ac:dyDescent="0.25">
      <c r="C2823">
        <f>'IND TECH'!L2821</f>
        <v>0</v>
      </c>
      <c r="D2823" t="str">
        <f>'IND TECH'!A2821&amp;" "&amp;'IND TECH'!B2821&amp;" "&amp;'IND TECH'!C2821&amp;" "&amp;'IND TECH'!D2821&amp;" "&amp;'IND TECH'!E2821&amp;" "&amp;'IND TECH'!F2821&amp;" "&amp;'IND TECH'!G2821&amp;" "&amp;'IND TECH'!H2821</f>
        <v xml:space="preserve">       </v>
      </c>
      <c r="E2823" t="e">
        <f t="shared" si="23"/>
        <v>#REF!</v>
      </c>
      <c r="F2823" t="e">
        <f>'IND TECH'!#REF!</f>
        <v>#REF!</v>
      </c>
    </row>
    <row r="2824" spans="3:6" x14ac:dyDescent="0.25">
      <c r="C2824">
        <f>'IND TECH'!L2822</f>
        <v>0</v>
      </c>
      <c r="D2824" t="str">
        <f>'IND TECH'!A2822&amp;" "&amp;'IND TECH'!B2822&amp;" "&amp;'IND TECH'!C2822&amp;" "&amp;'IND TECH'!D2822&amp;" "&amp;'IND TECH'!E2822&amp;" "&amp;'IND TECH'!F2822&amp;" "&amp;'IND TECH'!G2822&amp;" "&amp;'IND TECH'!H2822</f>
        <v xml:space="preserve">       </v>
      </c>
      <c r="E2824" t="e">
        <f t="shared" si="23"/>
        <v>#REF!</v>
      </c>
      <c r="F2824" t="e">
        <f>'IND TECH'!#REF!</f>
        <v>#REF!</v>
      </c>
    </row>
    <row r="2825" spans="3:6" x14ac:dyDescent="0.25">
      <c r="C2825">
        <f>'IND TECH'!L2823</f>
        <v>0</v>
      </c>
      <c r="D2825" t="str">
        <f>'IND TECH'!A2823&amp;" "&amp;'IND TECH'!B2823&amp;" "&amp;'IND TECH'!C2823&amp;" "&amp;'IND TECH'!D2823&amp;" "&amp;'IND TECH'!E2823&amp;" "&amp;'IND TECH'!F2823&amp;" "&amp;'IND TECH'!G2823&amp;" "&amp;'IND TECH'!H2823</f>
        <v xml:space="preserve">       </v>
      </c>
      <c r="E2825" t="e">
        <f t="shared" si="23"/>
        <v>#REF!</v>
      </c>
      <c r="F2825" t="e">
        <f>'IND TECH'!#REF!</f>
        <v>#REF!</v>
      </c>
    </row>
    <row r="2826" spans="3:6" x14ac:dyDescent="0.25">
      <c r="C2826">
        <f>'IND TECH'!L2824</f>
        <v>0</v>
      </c>
      <c r="D2826" t="str">
        <f>'IND TECH'!A2824&amp;" "&amp;'IND TECH'!B2824&amp;" "&amp;'IND TECH'!C2824&amp;" "&amp;'IND TECH'!D2824&amp;" "&amp;'IND TECH'!E2824&amp;" "&amp;'IND TECH'!F2824&amp;" "&amp;'IND TECH'!G2824&amp;" "&amp;'IND TECH'!H2824</f>
        <v xml:space="preserve">       </v>
      </c>
      <c r="E2826" t="e">
        <f t="shared" si="23"/>
        <v>#REF!</v>
      </c>
      <c r="F2826" t="e">
        <f>'IND TECH'!#REF!</f>
        <v>#REF!</v>
      </c>
    </row>
    <row r="2827" spans="3:6" x14ac:dyDescent="0.25">
      <c r="C2827">
        <f>'IND TECH'!L2825</f>
        <v>0</v>
      </c>
      <c r="D2827" t="str">
        <f>'IND TECH'!A2825&amp;" "&amp;'IND TECH'!B2825&amp;" "&amp;'IND TECH'!C2825&amp;" "&amp;'IND TECH'!D2825&amp;" "&amp;'IND TECH'!E2825&amp;" "&amp;'IND TECH'!F2825&amp;" "&amp;'IND TECH'!G2825&amp;" "&amp;'IND TECH'!H2825</f>
        <v xml:space="preserve">       </v>
      </c>
      <c r="E2827" t="e">
        <f t="shared" si="23"/>
        <v>#REF!</v>
      </c>
      <c r="F2827" t="e">
        <f>'IND TECH'!#REF!</f>
        <v>#REF!</v>
      </c>
    </row>
    <row r="2828" spans="3:6" x14ac:dyDescent="0.25">
      <c r="C2828">
        <f>'IND TECH'!L2826</f>
        <v>0</v>
      </c>
      <c r="D2828" t="str">
        <f>'IND TECH'!A2826&amp;" "&amp;'IND TECH'!B2826&amp;" "&amp;'IND TECH'!C2826&amp;" "&amp;'IND TECH'!D2826&amp;" "&amp;'IND TECH'!E2826&amp;" "&amp;'IND TECH'!F2826&amp;" "&amp;'IND TECH'!G2826&amp;" "&amp;'IND TECH'!H2826</f>
        <v xml:space="preserve">       </v>
      </c>
      <c r="E2828" t="e">
        <f t="shared" si="23"/>
        <v>#REF!</v>
      </c>
      <c r="F2828" t="e">
        <f>'IND TECH'!#REF!</f>
        <v>#REF!</v>
      </c>
    </row>
    <row r="2829" spans="3:6" x14ac:dyDescent="0.25">
      <c r="C2829">
        <f>'IND TECH'!L2827</f>
        <v>0</v>
      </c>
      <c r="D2829" t="str">
        <f>'IND TECH'!A2827&amp;" "&amp;'IND TECH'!B2827&amp;" "&amp;'IND TECH'!C2827&amp;" "&amp;'IND TECH'!D2827&amp;" "&amp;'IND TECH'!E2827&amp;" "&amp;'IND TECH'!F2827&amp;" "&amp;'IND TECH'!G2827&amp;" "&amp;'IND TECH'!H2827</f>
        <v xml:space="preserve">       </v>
      </c>
      <c r="E2829" t="e">
        <f t="shared" si="23"/>
        <v>#REF!</v>
      </c>
      <c r="F2829" t="e">
        <f>'IND TECH'!#REF!</f>
        <v>#REF!</v>
      </c>
    </row>
    <row r="2830" spans="3:6" x14ac:dyDescent="0.25">
      <c r="C2830">
        <f>'IND TECH'!L2828</f>
        <v>0</v>
      </c>
      <c r="D2830" t="str">
        <f>'IND TECH'!A2828&amp;" "&amp;'IND TECH'!B2828&amp;" "&amp;'IND TECH'!C2828&amp;" "&amp;'IND TECH'!D2828&amp;" "&amp;'IND TECH'!E2828&amp;" "&amp;'IND TECH'!F2828&amp;" "&amp;'IND TECH'!G2828&amp;" "&amp;'IND TECH'!H2828</f>
        <v xml:space="preserve">       </v>
      </c>
      <c r="E2830" t="e">
        <f t="shared" si="23"/>
        <v>#REF!</v>
      </c>
      <c r="F2830" t="e">
        <f>'IND TECH'!#REF!</f>
        <v>#REF!</v>
      </c>
    </row>
    <row r="2831" spans="3:6" x14ac:dyDescent="0.25">
      <c r="C2831">
        <f>'IND TECH'!L2829</f>
        <v>0</v>
      </c>
      <c r="D2831" t="str">
        <f>'IND TECH'!A2829&amp;" "&amp;'IND TECH'!B2829&amp;" "&amp;'IND TECH'!C2829&amp;" "&amp;'IND TECH'!D2829&amp;" "&amp;'IND TECH'!E2829&amp;" "&amp;'IND TECH'!F2829&amp;" "&amp;'IND TECH'!G2829&amp;" "&amp;'IND TECH'!H2829</f>
        <v xml:space="preserve">       </v>
      </c>
      <c r="E2831" t="e">
        <f t="shared" si="23"/>
        <v>#REF!</v>
      </c>
      <c r="F2831" t="e">
        <f>'IND TECH'!#REF!</f>
        <v>#REF!</v>
      </c>
    </row>
    <row r="2832" spans="3:6" x14ac:dyDescent="0.25">
      <c r="C2832">
        <f>'IND TECH'!L2830</f>
        <v>0</v>
      </c>
      <c r="D2832" t="str">
        <f>'IND TECH'!A2830&amp;" "&amp;'IND TECH'!B2830&amp;" "&amp;'IND TECH'!C2830&amp;" "&amp;'IND TECH'!D2830&amp;" "&amp;'IND TECH'!E2830&amp;" "&amp;'IND TECH'!F2830&amp;" "&amp;'IND TECH'!G2830&amp;" "&amp;'IND TECH'!H2830</f>
        <v xml:space="preserve">       </v>
      </c>
      <c r="E2832" t="e">
        <f t="shared" si="23"/>
        <v>#REF!</v>
      </c>
      <c r="F2832" t="e">
        <f>'IND TECH'!#REF!</f>
        <v>#REF!</v>
      </c>
    </row>
    <row r="2833" spans="3:6" x14ac:dyDescent="0.25">
      <c r="C2833">
        <f>'IND TECH'!L2831</f>
        <v>0</v>
      </c>
      <c r="D2833" t="str">
        <f>'IND TECH'!A2831&amp;" "&amp;'IND TECH'!B2831&amp;" "&amp;'IND TECH'!C2831&amp;" "&amp;'IND TECH'!D2831&amp;" "&amp;'IND TECH'!E2831&amp;" "&amp;'IND TECH'!F2831&amp;" "&amp;'IND TECH'!G2831&amp;" "&amp;'IND TECH'!H2831</f>
        <v xml:space="preserve">       </v>
      </c>
      <c r="E2833" t="e">
        <f t="shared" si="23"/>
        <v>#REF!</v>
      </c>
      <c r="F2833" t="e">
        <f>'IND TECH'!#REF!</f>
        <v>#REF!</v>
      </c>
    </row>
    <row r="2834" spans="3:6" x14ac:dyDescent="0.25">
      <c r="C2834">
        <f>'IND TECH'!L2832</f>
        <v>0</v>
      </c>
      <c r="D2834" t="str">
        <f>'IND TECH'!A2832&amp;" "&amp;'IND TECH'!B2832&amp;" "&amp;'IND TECH'!C2832&amp;" "&amp;'IND TECH'!D2832&amp;" "&amp;'IND TECH'!E2832&amp;" "&amp;'IND TECH'!F2832&amp;" "&amp;'IND TECH'!G2832&amp;" "&amp;'IND TECH'!H2832</f>
        <v xml:space="preserve">       </v>
      </c>
      <c r="E2834" t="e">
        <f t="shared" si="23"/>
        <v>#REF!</v>
      </c>
      <c r="F2834" t="e">
        <f>'IND TECH'!#REF!</f>
        <v>#REF!</v>
      </c>
    </row>
    <row r="2835" spans="3:6" x14ac:dyDescent="0.25">
      <c r="C2835">
        <f>'IND TECH'!L2833</f>
        <v>0</v>
      </c>
      <c r="D2835" t="str">
        <f>'IND TECH'!A2833&amp;" "&amp;'IND TECH'!B2833&amp;" "&amp;'IND TECH'!C2833&amp;" "&amp;'IND TECH'!D2833&amp;" "&amp;'IND TECH'!E2833&amp;" "&amp;'IND TECH'!F2833&amp;" "&amp;'IND TECH'!G2833&amp;" "&amp;'IND TECH'!H2833</f>
        <v xml:space="preserve">       </v>
      </c>
      <c r="E2835" t="e">
        <f t="shared" ref="E2835:E2898" si="24">IF(F2835="Mlma","Mlm","TJ")</f>
        <v>#REF!</v>
      </c>
      <c r="F2835" t="e">
        <f>'IND TECH'!#REF!</f>
        <v>#REF!</v>
      </c>
    </row>
    <row r="2836" spans="3:6" x14ac:dyDescent="0.25">
      <c r="C2836">
        <f>'IND TECH'!L2834</f>
        <v>0</v>
      </c>
      <c r="D2836" t="str">
        <f>'IND TECH'!A2834&amp;" "&amp;'IND TECH'!B2834&amp;" "&amp;'IND TECH'!C2834&amp;" "&amp;'IND TECH'!D2834&amp;" "&amp;'IND TECH'!E2834&amp;" "&amp;'IND TECH'!F2834&amp;" "&amp;'IND TECH'!G2834&amp;" "&amp;'IND TECH'!H2834</f>
        <v xml:space="preserve">       </v>
      </c>
      <c r="E2836" t="e">
        <f t="shared" si="24"/>
        <v>#REF!</v>
      </c>
      <c r="F2836" t="e">
        <f>'IND TECH'!#REF!</f>
        <v>#REF!</v>
      </c>
    </row>
    <row r="2837" spans="3:6" x14ac:dyDescent="0.25">
      <c r="C2837">
        <f>'IND TECH'!L2835</f>
        <v>0</v>
      </c>
      <c r="D2837" t="str">
        <f>'IND TECH'!A2835&amp;" "&amp;'IND TECH'!B2835&amp;" "&amp;'IND TECH'!C2835&amp;" "&amp;'IND TECH'!D2835&amp;" "&amp;'IND TECH'!E2835&amp;" "&amp;'IND TECH'!F2835&amp;" "&amp;'IND TECH'!G2835&amp;" "&amp;'IND TECH'!H2835</f>
        <v xml:space="preserve">       </v>
      </c>
      <c r="E2837" t="e">
        <f t="shared" si="24"/>
        <v>#REF!</v>
      </c>
      <c r="F2837" t="e">
        <f>'IND TECH'!#REF!</f>
        <v>#REF!</v>
      </c>
    </row>
    <row r="2838" spans="3:6" x14ac:dyDescent="0.25">
      <c r="C2838">
        <f>'IND TECH'!L2836</f>
        <v>0</v>
      </c>
      <c r="D2838" t="str">
        <f>'IND TECH'!A2836&amp;" "&amp;'IND TECH'!B2836&amp;" "&amp;'IND TECH'!C2836&amp;" "&amp;'IND TECH'!D2836&amp;" "&amp;'IND TECH'!E2836&amp;" "&amp;'IND TECH'!F2836&amp;" "&amp;'IND TECH'!G2836&amp;" "&amp;'IND TECH'!H2836</f>
        <v xml:space="preserve">       </v>
      </c>
      <c r="E2838" t="e">
        <f t="shared" si="24"/>
        <v>#REF!</v>
      </c>
      <c r="F2838" t="e">
        <f>'IND TECH'!#REF!</f>
        <v>#REF!</v>
      </c>
    </row>
    <row r="2839" spans="3:6" x14ac:dyDescent="0.25">
      <c r="C2839">
        <f>'IND TECH'!L2837</f>
        <v>0</v>
      </c>
      <c r="D2839" t="str">
        <f>'IND TECH'!A2837&amp;" "&amp;'IND TECH'!B2837&amp;" "&amp;'IND TECH'!C2837&amp;" "&amp;'IND TECH'!D2837&amp;" "&amp;'IND TECH'!E2837&amp;" "&amp;'IND TECH'!F2837&amp;" "&amp;'IND TECH'!G2837&amp;" "&amp;'IND TECH'!H2837</f>
        <v xml:space="preserve">       </v>
      </c>
      <c r="E2839" t="e">
        <f t="shared" si="24"/>
        <v>#REF!</v>
      </c>
      <c r="F2839" t="e">
        <f>'IND TECH'!#REF!</f>
        <v>#REF!</v>
      </c>
    </row>
    <row r="2840" spans="3:6" x14ac:dyDescent="0.25">
      <c r="C2840">
        <f>'IND TECH'!L2838</f>
        <v>0</v>
      </c>
      <c r="D2840" t="str">
        <f>'IND TECH'!A2838&amp;" "&amp;'IND TECH'!B2838&amp;" "&amp;'IND TECH'!C2838&amp;" "&amp;'IND TECH'!D2838&amp;" "&amp;'IND TECH'!E2838&amp;" "&amp;'IND TECH'!F2838&amp;" "&amp;'IND TECH'!G2838&amp;" "&amp;'IND TECH'!H2838</f>
        <v xml:space="preserve">       </v>
      </c>
      <c r="E2840" t="e">
        <f t="shared" si="24"/>
        <v>#REF!</v>
      </c>
      <c r="F2840" t="e">
        <f>'IND TECH'!#REF!</f>
        <v>#REF!</v>
      </c>
    </row>
    <row r="2841" spans="3:6" x14ac:dyDescent="0.25">
      <c r="C2841">
        <f>'IND TECH'!L2839</f>
        <v>0</v>
      </c>
      <c r="D2841" t="str">
        <f>'IND TECH'!A2839&amp;" "&amp;'IND TECH'!B2839&amp;" "&amp;'IND TECH'!C2839&amp;" "&amp;'IND TECH'!D2839&amp;" "&amp;'IND TECH'!E2839&amp;" "&amp;'IND TECH'!F2839&amp;" "&amp;'IND TECH'!G2839&amp;" "&amp;'IND TECH'!H2839</f>
        <v xml:space="preserve">       </v>
      </c>
      <c r="E2841" t="e">
        <f t="shared" si="24"/>
        <v>#REF!</v>
      </c>
      <c r="F2841" t="e">
        <f>'IND TECH'!#REF!</f>
        <v>#REF!</v>
      </c>
    </row>
    <row r="2842" spans="3:6" x14ac:dyDescent="0.25">
      <c r="C2842">
        <f>'IND TECH'!L2840</f>
        <v>0</v>
      </c>
      <c r="D2842" t="str">
        <f>'IND TECH'!A2840&amp;" "&amp;'IND TECH'!B2840&amp;" "&amp;'IND TECH'!C2840&amp;" "&amp;'IND TECH'!D2840&amp;" "&amp;'IND TECH'!E2840&amp;" "&amp;'IND TECH'!F2840&amp;" "&amp;'IND TECH'!G2840&amp;" "&amp;'IND TECH'!H2840</f>
        <v xml:space="preserve">       </v>
      </c>
      <c r="E2842" t="e">
        <f t="shared" si="24"/>
        <v>#REF!</v>
      </c>
      <c r="F2842" t="e">
        <f>'IND TECH'!#REF!</f>
        <v>#REF!</v>
      </c>
    </row>
    <row r="2843" spans="3:6" x14ac:dyDescent="0.25">
      <c r="C2843">
        <f>'IND TECH'!L2841</f>
        <v>0</v>
      </c>
      <c r="D2843" t="str">
        <f>'IND TECH'!A2841&amp;" "&amp;'IND TECH'!B2841&amp;" "&amp;'IND TECH'!C2841&amp;" "&amp;'IND TECH'!D2841&amp;" "&amp;'IND TECH'!E2841&amp;" "&amp;'IND TECH'!F2841&amp;" "&amp;'IND TECH'!G2841&amp;" "&amp;'IND TECH'!H2841</f>
        <v xml:space="preserve">       </v>
      </c>
      <c r="E2843" t="e">
        <f t="shared" si="24"/>
        <v>#REF!</v>
      </c>
      <c r="F2843" t="e">
        <f>'IND TECH'!#REF!</f>
        <v>#REF!</v>
      </c>
    </row>
    <row r="2844" spans="3:6" x14ac:dyDescent="0.25">
      <c r="C2844">
        <f>'IND TECH'!L2842</f>
        <v>0</v>
      </c>
      <c r="D2844" t="str">
        <f>'IND TECH'!A2842&amp;" "&amp;'IND TECH'!B2842&amp;" "&amp;'IND TECH'!C2842&amp;" "&amp;'IND TECH'!D2842&amp;" "&amp;'IND TECH'!E2842&amp;" "&amp;'IND TECH'!F2842&amp;" "&amp;'IND TECH'!G2842&amp;" "&amp;'IND TECH'!H2842</f>
        <v xml:space="preserve">       </v>
      </c>
      <c r="E2844" t="e">
        <f t="shared" si="24"/>
        <v>#REF!</v>
      </c>
      <c r="F2844" t="e">
        <f>'IND TECH'!#REF!</f>
        <v>#REF!</v>
      </c>
    </row>
    <row r="2845" spans="3:6" x14ac:dyDescent="0.25">
      <c r="C2845">
        <f>'IND TECH'!L2843</f>
        <v>0</v>
      </c>
      <c r="D2845" t="str">
        <f>'IND TECH'!A2843&amp;" "&amp;'IND TECH'!B2843&amp;" "&amp;'IND TECH'!C2843&amp;" "&amp;'IND TECH'!D2843&amp;" "&amp;'IND TECH'!E2843&amp;" "&amp;'IND TECH'!F2843&amp;" "&amp;'IND TECH'!G2843&amp;" "&amp;'IND TECH'!H2843</f>
        <v xml:space="preserve">       </v>
      </c>
      <c r="E2845" t="e">
        <f t="shared" si="24"/>
        <v>#REF!</v>
      </c>
      <c r="F2845" t="e">
        <f>'IND TECH'!#REF!</f>
        <v>#REF!</v>
      </c>
    </row>
    <row r="2846" spans="3:6" x14ac:dyDescent="0.25">
      <c r="C2846">
        <f>'IND TECH'!L2844</f>
        <v>0</v>
      </c>
      <c r="D2846" t="str">
        <f>'IND TECH'!A2844&amp;" "&amp;'IND TECH'!B2844&amp;" "&amp;'IND TECH'!C2844&amp;" "&amp;'IND TECH'!D2844&amp;" "&amp;'IND TECH'!E2844&amp;" "&amp;'IND TECH'!F2844&amp;" "&amp;'IND TECH'!G2844&amp;" "&amp;'IND TECH'!H2844</f>
        <v xml:space="preserve">       </v>
      </c>
      <c r="E2846" t="e">
        <f t="shared" si="24"/>
        <v>#REF!</v>
      </c>
      <c r="F2846" t="e">
        <f>'IND TECH'!#REF!</f>
        <v>#REF!</v>
      </c>
    </row>
    <row r="2847" spans="3:6" x14ac:dyDescent="0.25">
      <c r="C2847">
        <f>'IND TECH'!L2845</f>
        <v>0</v>
      </c>
      <c r="D2847" t="str">
        <f>'IND TECH'!A2845&amp;" "&amp;'IND TECH'!B2845&amp;" "&amp;'IND TECH'!C2845&amp;" "&amp;'IND TECH'!D2845&amp;" "&amp;'IND TECH'!E2845&amp;" "&amp;'IND TECH'!F2845&amp;" "&amp;'IND TECH'!G2845&amp;" "&amp;'IND TECH'!H2845</f>
        <v xml:space="preserve">       </v>
      </c>
      <c r="E2847" t="e">
        <f t="shared" si="24"/>
        <v>#REF!</v>
      </c>
      <c r="F2847" t="e">
        <f>'IND TECH'!#REF!</f>
        <v>#REF!</v>
      </c>
    </row>
    <row r="2848" spans="3:6" x14ac:dyDescent="0.25">
      <c r="C2848">
        <f>'IND TECH'!L2846</f>
        <v>0</v>
      </c>
      <c r="D2848" t="str">
        <f>'IND TECH'!A2846&amp;" "&amp;'IND TECH'!B2846&amp;" "&amp;'IND TECH'!C2846&amp;" "&amp;'IND TECH'!D2846&amp;" "&amp;'IND TECH'!E2846&amp;" "&amp;'IND TECH'!F2846&amp;" "&amp;'IND TECH'!G2846&amp;" "&amp;'IND TECH'!H2846</f>
        <v xml:space="preserve">       </v>
      </c>
      <c r="E2848" t="e">
        <f t="shared" si="24"/>
        <v>#REF!</v>
      </c>
      <c r="F2848" t="e">
        <f>'IND TECH'!#REF!</f>
        <v>#REF!</v>
      </c>
    </row>
    <row r="2849" spans="2:6" x14ac:dyDescent="0.25">
      <c r="C2849">
        <f>'IND TECH'!L2847</f>
        <v>0</v>
      </c>
      <c r="D2849" t="str">
        <f>'IND TECH'!A2847&amp;" "&amp;'IND TECH'!B2847&amp;" "&amp;'IND TECH'!C2847&amp;" "&amp;'IND TECH'!D2847&amp;" "&amp;'IND TECH'!E2847&amp;" "&amp;'IND TECH'!F2847&amp;" "&amp;'IND TECH'!G2847&amp;" "&amp;'IND TECH'!H2847</f>
        <v xml:space="preserve">       </v>
      </c>
      <c r="E2849" t="e">
        <f t="shared" si="24"/>
        <v>#REF!</v>
      </c>
      <c r="F2849" t="e">
        <f>'IND TECH'!#REF!</f>
        <v>#REF!</v>
      </c>
    </row>
    <row r="2850" spans="2:6" x14ac:dyDescent="0.25">
      <c r="C2850">
        <f>'IND TECH'!L2848</f>
        <v>0</v>
      </c>
      <c r="D2850" t="str">
        <f>'IND TECH'!A2848&amp;" "&amp;'IND TECH'!B2848&amp;" "&amp;'IND TECH'!C2848&amp;" "&amp;'IND TECH'!D2848&amp;" "&amp;'IND TECH'!E2848&amp;" "&amp;'IND TECH'!F2848&amp;" "&amp;'IND TECH'!G2848&amp;" "&amp;'IND TECH'!H2848</f>
        <v xml:space="preserve">       </v>
      </c>
      <c r="E2850" t="e">
        <f t="shared" si="24"/>
        <v>#REF!</v>
      </c>
      <c r="F2850" t="e">
        <f>'IND TECH'!#REF!</f>
        <v>#REF!</v>
      </c>
    </row>
    <row r="2851" spans="2:6" x14ac:dyDescent="0.25">
      <c r="B2851" t="s">
        <v>252</v>
      </c>
      <c r="C2851">
        <f>'IND TECH'!L2849</f>
        <v>0</v>
      </c>
    </row>
    <row r="2852" spans="2:6" x14ac:dyDescent="0.25">
      <c r="B2852" t="s">
        <v>274</v>
      </c>
      <c r="C2852">
        <f>'IND TECH'!L2850</f>
        <v>0</v>
      </c>
      <c r="D2852" t="str">
        <f>'IND TECH'!A2850&amp;" "&amp;'IND TECH'!B2850&amp;" "&amp;'IND TECH'!C2850&amp;" "&amp;'IND TECH'!D2850&amp;" "&amp;'IND TECH'!E2850&amp;" "&amp;'IND TECH'!F2850&amp;" "&amp;'IND TECH'!G2850&amp;" "&amp;'IND TECH'!H2850</f>
        <v xml:space="preserve">       </v>
      </c>
      <c r="E2852" t="e">
        <f t="shared" ref="E2852:E2915" si="25">IF(F2852="Mlma","Mlm","TJ")</f>
        <v>#REF!</v>
      </c>
      <c r="F2852" t="e">
        <f>'IND TECH'!#REF!</f>
        <v>#REF!</v>
      </c>
    </row>
    <row r="2853" spans="2:6" x14ac:dyDescent="0.25">
      <c r="C2853">
        <f>'IND TECH'!L2851</f>
        <v>0</v>
      </c>
      <c r="D2853" t="str">
        <f>'IND TECH'!A2851&amp;" "&amp;'IND TECH'!B2851&amp;" "&amp;'IND TECH'!C2851&amp;" "&amp;'IND TECH'!D2851&amp;" "&amp;'IND TECH'!E2851&amp;" "&amp;'IND TECH'!F2851&amp;" "&amp;'IND TECH'!G2851&amp;" "&amp;'IND TECH'!H2851</f>
        <v xml:space="preserve">       </v>
      </c>
      <c r="E2853" t="e">
        <f t="shared" si="25"/>
        <v>#REF!</v>
      </c>
      <c r="F2853" t="e">
        <f>'IND TECH'!#REF!</f>
        <v>#REF!</v>
      </c>
    </row>
    <row r="2854" spans="2:6" x14ac:dyDescent="0.25">
      <c r="C2854">
        <f>'IND TECH'!L2852</f>
        <v>0</v>
      </c>
      <c r="D2854" t="str">
        <f>'IND TECH'!A2852&amp;" "&amp;'IND TECH'!B2852&amp;" "&amp;'IND TECH'!C2852&amp;" "&amp;'IND TECH'!D2852&amp;" "&amp;'IND TECH'!E2852&amp;" "&amp;'IND TECH'!F2852&amp;" "&amp;'IND TECH'!G2852&amp;" "&amp;'IND TECH'!H2852</f>
        <v xml:space="preserve">       </v>
      </c>
      <c r="E2854" t="e">
        <f t="shared" si="25"/>
        <v>#REF!</v>
      </c>
      <c r="F2854" t="e">
        <f>'IND TECH'!#REF!</f>
        <v>#REF!</v>
      </c>
    </row>
    <row r="2855" spans="2:6" x14ac:dyDescent="0.25">
      <c r="C2855">
        <f>'IND TECH'!L2853</f>
        <v>0</v>
      </c>
      <c r="D2855" t="str">
        <f>'IND TECH'!A2853&amp;" "&amp;'IND TECH'!B2853&amp;" "&amp;'IND TECH'!C2853&amp;" "&amp;'IND TECH'!D2853&amp;" "&amp;'IND TECH'!E2853&amp;" "&amp;'IND TECH'!F2853&amp;" "&amp;'IND TECH'!G2853&amp;" "&amp;'IND TECH'!H2853</f>
        <v xml:space="preserve">       </v>
      </c>
      <c r="E2855" t="e">
        <f t="shared" si="25"/>
        <v>#REF!</v>
      </c>
      <c r="F2855" t="e">
        <f>'IND TECH'!#REF!</f>
        <v>#REF!</v>
      </c>
    </row>
    <row r="2856" spans="2:6" x14ac:dyDescent="0.25">
      <c r="C2856">
        <f>'IND TECH'!L2854</f>
        <v>0</v>
      </c>
      <c r="D2856" t="str">
        <f>'IND TECH'!A2854&amp;" "&amp;'IND TECH'!B2854&amp;" "&amp;'IND TECH'!C2854&amp;" "&amp;'IND TECH'!D2854&amp;" "&amp;'IND TECH'!E2854&amp;" "&amp;'IND TECH'!F2854&amp;" "&amp;'IND TECH'!G2854&amp;" "&amp;'IND TECH'!H2854</f>
        <v xml:space="preserve">       </v>
      </c>
      <c r="E2856" t="e">
        <f t="shared" si="25"/>
        <v>#REF!</v>
      </c>
      <c r="F2856" t="e">
        <f>'IND TECH'!#REF!</f>
        <v>#REF!</v>
      </c>
    </row>
    <row r="2857" spans="2:6" x14ac:dyDescent="0.25">
      <c r="C2857">
        <f>'IND TECH'!L2855</f>
        <v>0</v>
      </c>
      <c r="D2857" t="str">
        <f>'IND TECH'!A2855&amp;" "&amp;'IND TECH'!B2855&amp;" "&amp;'IND TECH'!C2855&amp;" "&amp;'IND TECH'!D2855&amp;" "&amp;'IND TECH'!E2855&amp;" "&amp;'IND TECH'!F2855&amp;" "&amp;'IND TECH'!G2855&amp;" "&amp;'IND TECH'!H2855</f>
        <v xml:space="preserve">       </v>
      </c>
      <c r="E2857" t="e">
        <f t="shared" si="25"/>
        <v>#REF!</v>
      </c>
      <c r="F2857" t="e">
        <f>'IND TECH'!#REF!</f>
        <v>#REF!</v>
      </c>
    </row>
    <row r="2858" spans="2:6" x14ac:dyDescent="0.25">
      <c r="C2858">
        <f>'IND TECH'!L2856</f>
        <v>0</v>
      </c>
      <c r="D2858" t="str">
        <f>'IND TECH'!A2856&amp;" "&amp;'IND TECH'!B2856&amp;" "&amp;'IND TECH'!C2856&amp;" "&amp;'IND TECH'!D2856&amp;" "&amp;'IND TECH'!E2856&amp;" "&amp;'IND TECH'!F2856&amp;" "&amp;'IND TECH'!G2856&amp;" "&amp;'IND TECH'!H2856</f>
        <v xml:space="preserve">       </v>
      </c>
      <c r="E2858" t="e">
        <f t="shared" si="25"/>
        <v>#REF!</v>
      </c>
      <c r="F2858" t="e">
        <f>'IND TECH'!#REF!</f>
        <v>#REF!</v>
      </c>
    </row>
    <row r="2859" spans="2:6" x14ac:dyDescent="0.25">
      <c r="C2859">
        <f>'IND TECH'!L2857</f>
        <v>0</v>
      </c>
      <c r="D2859" t="str">
        <f>'IND TECH'!A2857&amp;" "&amp;'IND TECH'!B2857&amp;" "&amp;'IND TECH'!C2857&amp;" "&amp;'IND TECH'!D2857&amp;" "&amp;'IND TECH'!E2857&amp;" "&amp;'IND TECH'!F2857&amp;" "&amp;'IND TECH'!G2857&amp;" "&amp;'IND TECH'!H2857</f>
        <v xml:space="preserve">       </v>
      </c>
      <c r="E2859" t="e">
        <f t="shared" si="25"/>
        <v>#REF!</v>
      </c>
      <c r="F2859" t="e">
        <f>'IND TECH'!#REF!</f>
        <v>#REF!</v>
      </c>
    </row>
    <row r="2860" spans="2:6" x14ac:dyDescent="0.25">
      <c r="C2860">
        <f>'IND TECH'!L2858</f>
        <v>0</v>
      </c>
      <c r="D2860" t="str">
        <f>'IND TECH'!A2858&amp;" "&amp;'IND TECH'!B2858&amp;" "&amp;'IND TECH'!C2858&amp;" "&amp;'IND TECH'!D2858&amp;" "&amp;'IND TECH'!E2858&amp;" "&amp;'IND TECH'!F2858&amp;" "&amp;'IND TECH'!G2858&amp;" "&amp;'IND TECH'!H2858</f>
        <v xml:space="preserve">       </v>
      </c>
      <c r="E2860" t="e">
        <f t="shared" si="25"/>
        <v>#REF!</v>
      </c>
      <c r="F2860" t="e">
        <f>'IND TECH'!#REF!</f>
        <v>#REF!</v>
      </c>
    </row>
    <row r="2861" spans="2:6" x14ac:dyDescent="0.25">
      <c r="C2861">
        <f>'IND TECH'!L2859</f>
        <v>0</v>
      </c>
      <c r="D2861" t="str">
        <f>'IND TECH'!A2859&amp;" "&amp;'IND TECH'!B2859&amp;" "&amp;'IND TECH'!C2859&amp;" "&amp;'IND TECH'!D2859&amp;" "&amp;'IND TECH'!E2859&amp;" "&amp;'IND TECH'!F2859&amp;" "&amp;'IND TECH'!G2859&amp;" "&amp;'IND TECH'!H2859</f>
        <v xml:space="preserve">       </v>
      </c>
      <c r="E2861" t="e">
        <f t="shared" si="25"/>
        <v>#REF!</v>
      </c>
      <c r="F2861" t="e">
        <f>'IND TECH'!#REF!</f>
        <v>#REF!</v>
      </c>
    </row>
    <row r="2862" spans="2:6" x14ac:dyDescent="0.25">
      <c r="C2862">
        <f>'IND TECH'!L2860</f>
        <v>0</v>
      </c>
      <c r="D2862" t="str">
        <f>'IND TECH'!A2860&amp;" "&amp;'IND TECH'!B2860&amp;" "&amp;'IND TECH'!C2860&amp;" "&amp;'IND TECH'!D2860&amp;" "&amp;'IND TECH'!E2860&amp;" "&amp;'IND TECH'!F2860&amp;" "&amp;'IND TECH'!G2860&amp;" "&amp;'IND TECH'!H2860</f>
        <v xml:space="preserve">       </v>
      </c>
      <c r="E2862" t="e">
        <f t="shared" si="25"/>
        <v>#REF!</v>
      </c>
      <c r="F2862" t="e">
        <f>'IND TECH'!#REF!</f>
        <v>#REF!</v>
      </c>
    </row>
    <row r="2863" spans="2:6" x14ac:dyDescent="0.25">
      <c r="C2863">
        <f>'IND TECH'!L2861</f>
        <v>0</v>
      </c>
      <c r="D2863" t="str">
        <f>'IND TECH'!A2861&amp;" "&amp;'IND TECH'!B2861&amp;" "&amp;'IND TECH'!C2861&amp;" "&amp;'IND TECH'!D2861&amp;" "&amp;'IND TECH'!E2861&amp;" "&amp;'IND TECH'!F2861&amp;" "&amp;'IND TECH'!G2861&amp;" "&amp;'IND TECH'!H2861</f>
        <v xml:space="preserve">       </v>
      </c>
      <c r="E2863" t="e">
        <f t="shared" si="25"/>
        <v>#REF!</v>
      </c>
      <c r="F2863" t="e">
        <f>'IND TECH'!#REF!</f>
        <v>#REF!</v>
      </c>
    </row>
    <row r="2864" spans="2:6" x14ac:dyDescent="0.25">
      <c r="C2864">
        <f>'IND TECH'!L2862</f>
        <v>0</v>
      </c>
      <c r="D2864" t="str">
        <f>'IND TECH'!A2862&amp;" "&amp;'IND TECH'!B2862&amp;" "&amp;'IND TECH'!C2862&amp;" "&amp;'IND TECH'!D2862&amp;" "&amp;'IND TECH'!E2862&amp;" "&amp;'IND TECH'!F2862&amp;" "&amp;'IND TECH'!G2862&amp;" "&amp;'IND TECH'!H2862</f>
        <v xml:space="preserve">       </v>
      </c>
      <c r="E2864" t="e">
        <f t="shared" si="25"/>
        <v>#REF!</v>
      </c>
      <c r="F2864" t="e">
        <f>'IND TECH'!#REF!</f>
        <v>#REF!</v>
      </c>
    </row>
    <row r="2865" spans="3:6" x14ac:dyDescent="0.25">
      <c r="C2865">
        <f>'IND TECH'!L2863</f>
        <v>0</v>
      </c>
      <c r="D2865" t="str">
        <f>'IND TECH'!A2863&amp;" "&amp;'IND TECH'!B2863&amp;" "&amp;'IND TECH'!C2863&amp;" "&amp;'IND TECH'!D2863&amp;" "&amp;'IND TECH'!E2863&amp;" "&amp;'IND TECH'!F2863&amp;" "&amp;'IND TECH'!G2863&amp;" "&amp;'IND TECH'!H2863</f>
        <v xml:space="preserve">       </v>
      </c>
      <c r="E2865" t="e">
        <f t="shared" si="25"/>
        <v>#REF!</v>
      </c>
      <c r="F2865" t="e">
        <f>'IND TECH'!#REF!</f>
        <v>#REF!</v>
      </c>
    </row>
    <row r="2866" spans="3:6" x14ac:dyDescent="0.25">
      <c r="C2866">
        <f>'IND TECH'!L2864</f>
        <v>0</v>
      </c>
      <c r="D2866" t="str">
        <f>'IND TECH'!A2864&amp;" "&amp;'IND TECH'!B2864&amp;" "&amp;'IND TECH'!C2864&amp;" "&amp;'IND TECH'!D2864&amp;" "&amp;'IND TECH'!E2864&amp;" "&amp;'IND TECH'!F2864&amp;" "&amp;'IND TECH'!G2864&amp;" "&amp;'IND TECH'!H2864</f>
        <v xml:space="preserve">       </v>
      </c>
      <c r="E2866" t="e">
        <f t="shared" si="25"/>
        <v>#REF!</v>
      </c>
      <c r="F2866" t="e">
        <f>'IND TECH'!#REF!</f>
        <v>#REF!</v>
      </c>
    </row>
    <row r="2867" spans="3:6" x14ac:dyDescent="0.25">
      <c r="C2867">
        <f>'IND TECH'!L2865</f>
        <v>0</v>
      </c>
      <c r="D2867" t="str">
        <f>'IND TECH'!A2865&amp;" "&amp;'IND TECH'!B2865&amp;" "&amp;'IND TECH'!C2865&amp;" "&amp;'IND TECH'!D2865&amp;" "&amp;'IND TECH'!E2865&amp;" "&amp;'IND TECH'!F2865&amp;" "&amp;'IND TECH'!G2865&amp;" "&amp;'IND TECH'!H2865</f>
        <v xml:space="preserve">       </v>
      </c>
      <c r="E2867" t="e">
        <f t="shared" si="25"/>
        <v>#REF!</v>
      </c>
      <c r="F2867" t="e">
        <f>'IND TECH'!#REF!</f>
        <v>#REF!</v>
      </c>
    </row>
    <row r="2868" spans="3:6" x14ac:dyDescent="0.25">
      <c r="C2868">
        <f>'IND TECH'!L2866</f>
        <v>0</v>
      </c>
      <c r="D2868" t="str">
        <f>'IND TECH'!A2866&amp;" "&amp;'IND TECH'!B2866&amp;" "&amp;'IND TECH'!C2866&amp;" "&amp;'IND TECH'!D2866&amp;" "&amp;'IND TECH'!E2866&amp;" "&amp;'IND TECH'!F2866&amp;" "&amp;'IND TECH'!G2866&amp;" "&amp;'IND TECH'!H2866</f>
        <v xml:space="preserve">       </v>
      </c>
      <c r="E2868" t="e">
        <f t="shared" si="25"/>
        <v>#REF!</v>
      </c>
      <c r="F2868" t="e">
        <f>'IND TECH'!#REF!</f>
        <v>#REF!</v>
      </c>
    </row>
    <row r="2869" spans="3:6" x14ac:dyDescent="0.25">
      <c r="C2869">
        <f>'IND TECH'!L2867</f>
        <v>0</v>
      </c>
      <c r="D2869" t="str">
        <f>'IND TECH'!A2867&amp;" "&amp;'IND TECH'!B2867&amp;" "&amp;'IND TECH'!C2867&amp;" "&amp;'IND TECH'!D2867&amp;" "&amp;'IND TECH'!E2867&amp;" "&amp;'IND TECH'!F2867&amp;" "&amp;'IND TECH'!G2867&amp;" "&amp;'IND TECH'!H2867</f>
        <v xml:space="preserve">       </v>
      </c>
      <c r="E2869" t="e">
        <f t="shared" si="25"/>
        <v>#REF!</v>
      </c>
      <c r="F2869" t="e">
        <f>'IND TECH'!#REF!</f>
        <v>#REF!</v>
      </c>
    </row>
    <row r="2870" spans="3:6" x14ac:dyDescent="0.25">
      <c r="C2870">
        <f>'IND TECH'!L2868</f>
        <v>0</v>
      </c>
      <c r="D2870" t="str">
        <f>'IND TECH'!A2868&amp;" "&amp;'IND TECH'!B2868&amp;" "&amp;'IND TECH'!C2868&amp;" "&amp;'IND TECH'!D2868&amp;" "&amp;'IND TECH'!E2868&amp;" "&amp;'IND TECH'!F2868&amp;" "&amp;'IND TECH'!G2868&amp;" "&amp;'IND TECH'!H2868</f>
        <v xml:space="preserve">       </v>
      </c>
      <c r="E2870" t="e">
        <f t="shared" si="25"/>
        <v>#REF!</v>
      </c>
      <c r="F2870" t="e">
        <f>'IND TECH'!#REF!</f>
        <v>#REF!</v>
      </c>
    </row>
    <row r="2871" spans="3:6" x14ac:dyDescent="0.25">
      <c r="C2871">
        <f>'IND TECH'!L2869</f>
        <v>0</v>
      </c>
      <c r="D2871" t="str">
        <f>'IND TECH'!A2869&amp;" "&amp;'IND TECH'!B2869&amp;" "&amp;'IND TECH'!C2869&amp;" "&amp;'IND TECH'!D2869&amp;" "&amp;'IND TECH'!E2869&amp;" "&amp;'IND TECH'!F2869&amp;" "&amp;'IND TECH'!G2869&amp;" "&amp;'IND TECH'!H2869</f>
        <v xml:space="preserve">       </v>
      </c>
      <c r="E2871" t="e">
        <f t="shared" si="25"/>
        <v>#REF!</v>
      </c>
      <c r="F2871" t="e">
        <f>'IND TECH'!#REF!</f>
        <v>#REF!</v>
      </c>
    </row>
    <row r="2872" spans="3:6" x14ac:dyDescent="0.25">
      <c r="C2872">
        <f>'IND TECH'!L2870</f>
        <v>0</v>
      </c>
      <c r="D2872" t="str">
        <f>'IND TECH'!A2870&amp;" "&amp;'IND TECH'!B2870&amp;" "&amp;'IND TECH'!C2870&amp;" "&amp;'IND TECH'!D2870&amp;" "&amp;'IND TECH'!E2870&amp;" "&amp;'IND TECH'!F2870&amp;" "&amp;'IND TECH'!G2870&amp;" "&amp;'IND TECH'!H2870</f>
        <v xml:space="preserve">       </v>
      </c>
      <c r="E2872" t="e">
        <f t="shared" si="25"/>
        <v>#REF!</v>
      </c>
      <c r="F2872" t="e">
        <f>'IND TECH'!#REF!</f>
        <v>#REF!</v>
      </c>
    </row>
    <row r="2873" spans="3:6" x14ac:dyDescent="0.25">
      <c r="C2873">
        <f>'IND TECH'!L2871</f>
        <v>0</v>
      </c>
      <c r="D2873" t="str">
        <f>'IND TECH'!A2871&amp;" "&amp;'IND TECH'!B2871&amp;" "&amp;'IND TECH'!C2871&amp;" "&amp;'IND TECH'!D2871&amp;" "&amp;'IND TECH'!E2871&amp;" "&amp;'IND TECH'!F2871&amp;" "&amp;'IND TECH'!G2871&amp;" "&amp;'IND TECH'!H2871</f>
        <v xml:space="preserve">       </v>
      </c>
      <c r="E2873" t="e">
        <f t="shared" si="25"/>
        <v>#REF!</v>
      </c>
      <c r="F2873" t="e">
        <f>'IND TECH'!#REF!</f>
        <v>#REF!</v>
      </c>
    </row>
    <row r="2874" spans="3:6" x14ac:dyDescent="0.25">
      <c r="C2874">
        <f>'IND TECH'!L2872</f>
        <v>0</v>
      </c>
      <c r="D2874" t="str">
        <f>'IND TECH'!A2872&amp;" "&amp;'IND TECH'!B2872&amp;" "&amp;'IND TECH'!C2872&amp;" "&amp;'IND TECH'!D2872&amp;" "&amp;'IND TECH'!E2872&amp;" "&amp;'IND TECH'!F2872&amp;" "&amp;'IND TECH'!G2872&amp;" "&amp;'IND TECH'!H2872</f>
        <v xml:space="preserve">       </v>
      </c>
      <c r="E2874" t="e">
        <f t="shared" si="25"/>
        <v>#REF!</v>
      </c>
      <c r="F2874" t="e">
        <f>'IND TECH'!#REF!</f>
        <v>#REF!</v>
      </c>
    </row>
    <row r="2875" spans="3:6" x14ac:dyDescent="0.25">
      <c r="C2875">
        <f>'IND TECH'!L2873</f>
        <v>0</v>
      </c>
      <c r="D2875" t="str">
        <f>'IND TECH'!A2873&amp;" "&amp;'IND TECH'!B2873&amp;" "&amp;'IND TECH'!C2873&amp;" "&amp;'IND TECH'!D2873&amp;" "&amp;'IND TECH'!E2873&amp;" "&amp;'IND TECH'!F2873&amp;" "&amp;'IND TECH'!G2873&amp;" "&amp;'IND TECH'!H2873</f>
        <v xml:space="preserve">       </v>
      </c>
      <c r="E2875" t="e">
        <f t="shared" si="25"/>
        <v>#REF!</v>
      </c>
      <c r="F2875" t="e">
        <f>'IND TECH'!#REF!</f>
        <v>#REF!</v>
      </c>
    </row>
    <row r="2876" spans="3:6" x14ac:dyDescent="0.25">
      <c r="C2876">
        <f>'IND TECH'!L2874</f>
        <v>0</v>
      </c>
      <c r="D2876" t="str">
        <f>'IND TECH'!A2874&amp;" "&amp;'IND TECH'!B2874&amp;" "&amp;'IND TECH'!C2874&amp;" "&amp;'IND TECH'!D2874&amp;" "&amp;'IND TECH'!E2874&amp;" "&amp;'IND TECH'!F2874&amp;" "&amp;'IND TECH'!G2874&amp;" "&amp;'IND TECH'!H2874</f>
        <v xml:space="preserve">       </v>
      </c>
      <c r="E2876" t="e">
        <f t="shared" si="25"/>
        <v>#REF!</v>
      </c>
      <c r="F2876" t="e">
        <f>'IND TECH'!#REF!</f>
        <v>#REF!</v>
      </c>
    </row>
    <row r="2877" spans="3:6" x14ac:dyDescent="0.25">
      <c r="C2877">
        <f>'IND TECH'!L2875</f>
        <v>0</v>
      </c>
      <c r="D2877" t="str">
        <f>'IND TECH'!A2875&amp;" "&amp;'IND TECH'!B2875&amp;" "&amp;'IND TECH'!C2875&amp;" "&amp;'IND TECH'!D2875&amp;" "&amp;'IND TECH'!E2875&amp;" "&amp;'IND TECH'!F2875&amp;" "&amp;'IND TECH'!G2875&amp;" "&amp;'IND TECH'!H2875</f>
        <v xml:space="preserve">       </v>
      </c>
      <c r="E2877" t="e">
        <f t="shared" si="25"/>
        <v>#REF!</v>
      </c>
      <c r="F2877" t="e">
        <f>'IND TECH'!#REF!</f>
        <v>#REF!</v>
      </c>
    </row>
    <row r="2878" spans="3:6" x14ac:dyDescent="0.25">
      <c r="C2878">
        <f>'IND TECH'!L2876</f>
        <v>0</v>
      </c>
      <c r="D2878" t="str">
        <f>'IND TECH'!A2876&amp;" "&amp;'IND TECH'!B2876&amp;" "&amp;'IND TECH'!C2876&amp;" "&amp;'IND TECH'!D2876&amp;" "&amp;'IND TECH'!E2876&amp;" "&amp;'IND TECH'!F2876&amp;" "&amp;'IND TECH'!G2876&amp;" "&amp;'IND TECH'!H2876</f>
        <v xml:space="preserve">       </v>
      </c>
      <c r="E2878" t="e">
        <f t="shared" si="25"/>
        <v>#REF!</v>
      </c>
      <c r="F2878" t="e">
        <f>'IND TECH'!#REF!</f>
        <v>#REF!</v>
      </c>
    </row>
    <row r="2879" spans="3:6" x14ac:dyDescent="0.25">
      <c r="C2879">
        <f>'IND TECH'!L2877</f>
        <v>0</v>
      </c>
      <c r="D2879" t="str">
        <f>'IND TECH'!A2877&amp;" "&amp;'IND TECH'!B2877&amp;" "&amp;'IND TECH'!C2877&amp;" "&amp;'IND TECH'!D2877&amp;" "&amp;'IND TECH'!E2877&amp;" "&amp;'IND TECH'!F2877&amp;" "&amp;'IND TECH'!G2877&amp;" "&amp;'IND TECH'!H2877</f>
        <v xml:space="preserve">       </v>
      </c>
      <c r="E2879" t="e">
        <f t="shared" si="25"/>
        <v>#REF!</v>
      </c>
      <c r="F2879" t="e">
        <f>'IND TECH'!#REF!</f>
        <v>#REF!</v>
      </c>
    </row>
    <row r="2880" spans="3:6" x14ac:dyDescent="0.25">
      <c r="C2880">
        <f>'IND TECH'!L2878</f>
        <v>0</v>
      </c>
      <c r="D2880" t="str">
        <f>'IND TECH'!A2878&amp;" "&amp;'IND TECH'!B2878&amp;" "&amp;'IND TECH'!C2878&amp;" "&amp;'IND TECH'!D2878&amp;" "&amp;'IND TECH'!E2878&amp;" "&amp;'IND TECH'!F2878&amp;" "&amp;'IND TECH'!G2878&amp;" "&amp;'IND TECH'!H2878</f>
        <v xml:space="preserve">       </v>
      </c>
      <c r="E2880" t="e">
        <f t="shared" si="25"/>
        <v>#REF!</v>
      </c>
      <c r="F2880" t="e">
        <f>'IND TECH'!#REF!</f>
        <v>#REF!</v>
      </c>
    </row>
    <row r="2881" spans="3:6" x14ac:dyDescent="0.25">
      <c r="C2881">
        <f>'IND TECH'!L2879</f>
        <v>0</v>
      </c>
      <c r="D2881" t="str">
        <f>'IND TECH'!A2879&amp;" "&amp;'IND TECH'!B2879&amp;" "&amp;'IND TECH'!C2879&amp;" "&amp;'IND TECH'!D2879&amp;" "&amp;'IND TECH'!E2879&amp;" "&amp;'IND TECH'!F2879&amp;" "&amp;'IND TECH'!G2879&amp;" "&amp;'IND TECH'!H2879</f>
        <v xml:space="preserve">       </v>
      </c>
      <c r="E2881" t="e">
        <f t="shared" si="25"/>
        <v>#REF!</v>
      </c>
      <c r="F2881" t="e">
        <f>'IND TECH'!#REF!</f>
        <v>#REF!</v>
      </c>
    </row>
    <row r="2882" spans="3:6" x14ac:dyDescent="0.25">
      <c r="C2882">
        <f>'IND TECH'!L2880</f>
        <v>0</v>
      </c>
      <c r="D2882" t="str">
        <f>'IND TECH'!A2880&amp;" "&amp;'IND TECH'!B2880&amp;" "&amp;'IND TECH'!C2880&amp;" "&amp;'IND TECH'!D2880&amp;" "&amp;'IND TECH'!E2880&amp;" "&amp;'IND TECH'!F2880&amp;" "&amp;'IND TECH'!G2880&amp;" "&amp;'IND TECH'!H2880</f>
        <v xml:space="preserve">       </v>
      </c>
      <c r="E2882" t="e">
        <f t="shared" si="25"/>
        <v>#REF!</v>
      </c>
      <c r="F2882" t="e">
        <f>'IND TECH'!#REF!</f>
        <v>#REF!</v>
      </c>
    </row>
    <row r="2883" spans="3:6" x14ac:dyDescent="0.25">
      <c r="C2883">
        <f>'IND TECH'!L2881</f>
        <v>0</v>
      </c>
      <c r="D2883" t="str">
        <f>'IND TECH'!A2881&amp;" "&amp;'IND TECH'!B2881&amp;" "&amp;'IND TECH'!C2881&amp;" "&amp;'IND TECH'!D2881&amp;" "&amp;'IND TECH'!E2881&amp;" "&amp;'IND TECH'!F2881&amp;" "&amp;'IND TECH'!G2881&amp;" "&amp;'IND TECH'!H2881</f>
        <v xml:space="preserve">       </v>
      </c>
      <c r="E2883" t="e">
        <f t="shared" si="25"/>
        <v>#REF!</v>
      </c>
      <c r="F2883" t="e">
        <f>'IND TECH'!#REF!</f>
        <v>#REF!</v>
      </c>
    </row>
    <row r="2884" spans="3:6" x14ac:dyDescent="0.25">
      <c r="C2884">
        <f>'IND TECH'!L2882</f>
        <v>0</v>
      </c>
      <c r="D2884" t="str">
        <f>'IND TECH'!A2882&amp;" "&amp;'IND TECH'!B2882&amp;" "&amp;'IND TECH'!C2882&amp;" "&amp;'IND TECH'!D2882&amp;" "&amp;'IND TECH'!E2882&amp;" "&amp;'IND TECH'!F2882&amp;" "&amp;'IND TECH'!G2882&amp;" "&amp;'IND TECH'!H2882</f>
        <v xml:space="preserve">       </v>
      </c>
      <c r="E2884" t="e">
        <f t="shared" si="25"/>
        <v>#REF!</v>
      </c>
      <c r="F2884" t="e">
        <f>'IND TECH'!#REF!</f>
        <v>#REF!</v>
      </c>
    </row>
    <row r="2885" spans="3:6" x14ac:dyDescent="0.25">
      <c r="C2885">
        <f>'IND TECH'!L2883</f>
        <v>0</v>
      </c>
      <c r="D2885" t="str">
        <f>'IND TECH'!A2883&amp;" "&amp;'IND TECH'!B2883&amp;" "&amp;'IND TECH'!C2883&amp;" "&amp;'IND TECH'!D2883&amp;" "&amp;'IND TECH'!E2883&amp;" "&amp;'IND TECH'!F2883&amp;" "&amp;'IND TECH'!G2883&amp;" "&amp;'IND TECH'!H2883</f>
        <v xml:space="preserve">       </v>
      </c>
      <c r="E2885" t="e">
        <f t="shared" si="25"/>
        <v>#REF!</v>
      </c>
      <c r="F2885" t="e">
        <f>'IND TECH'!#REF!</f>
        <v>#REF!</v>
      </c>
    </row>
    <row r="2886" spans="3:6" x14ac:dyDescent="0.25">
      <c r="C2886">
        <f>'IND TECH'!L2884</f>
        <v>0</v>
      </c>
      <c r="D2886" t="str">
        <f>'IND TECH'!A2884&amp;" "&amp;'IND TECH'!B2884&amp;" "&amp;'IND TECH'!C2884&amp;" "&amp;'IND TECH'!D2884&amp;" "&amp;'IND TECH'!E2884&amp;" "&amp;'IND TECH'!F2884&amp;" "&amp;'IND TECH'!G2884&amp;" "&amp;'IND TECH'!H2884</f>
        <v xml:space="preserve">       </v>
      </c>
      <c r="E2886" t="e">
        <f t="shared" si="25"/>
        <v>#REF!</v>
      </c>
      <c r="F2886" t="e">
        <f>'IND TECH'!#REF!</f>
        <v>#REF!</v>
      </c>
    </row>
    <row r="2887" spans="3:6" x14ac:dyDescent="0.25">
      <c r="C2887">
        <f>'IND TECH'!L2885</f>
        <v>0</v>
      </c>
      <c r="D2887" t="str">
        <f>'IND TECH'!A2885&amp;" "&amp;'IND TECH'!B2885&amp;" "&amp;'IND TECH'!C2885&amp;" "&amp;'IND TECH'!D2885&amp;" "&amp;'IND TECH'!E2885&amp;" "&amp;'IND TECH'!F2885&amp;" "&amp;'IND TECH'!G2885&amp;" "&amp;'IND TECH'!H2885</f>
        <v xml:space="preserve">       </v>
      </c>
      <c r="E2887" t="e">
        <f t="shared" si="25"/>
        <v>#REF!</v>
      </c>
      <c r="F2887" t="e">
        <f>'IND TECH'!#REF!</f>
        <v>#REF!</v>
      </c>
    </row>
    <row r="2888" spans="3:6" x14ac:dyDescent="0.25">
      <c r="C2888">
        <f>'IND TECH'!L2886</f>
        <v>0</v>
      </c>
      <c r="D2888" t="str">
        <f>'IND TECH'!A2886&amp;" "&amp;'IND TECH'!B2886&amp;" "&amp;'IND TECH'!C2886&amp;" "&amp;'IND TECH'!D2886&amp;" "&amp;'IND TECH'!E2886&amp;" "&amp;'IND TECH'!F2886&amp;" "&amp;'IND TECH'!G2886&amp;" "&amp;'IND TECH'!H2886</f>
        <v xml:space="preserve">       </v>
      </c>
      <c r="E2888" t="e">
        <f t="shared" si="25"/>
        <v>#REF!</v>
      </c>
      <c r="F2888" t="e">
        <f>'IND TECH'!#REF!</f>
        <v>#REF!</v>
      </c>
    </row>
    <row r="2889" spans="3:6" x14ac:dyDescent="0.25">
      <c r="C2889">
        <f>'IND TECH'!L2887</f>
        <v>0</v>
      </c>
      <c r="D2889" t="str">
        <f>'IND TECH'!A2887&amp;" "&amp;'IND TECH'!B2887&amp;" "&amp;'IND TECH'!C2887&amp;" "&amp;'IND TECH'!D2887&amp;" "&amp;'IND TECH'!E2887&amp;" "&amp;'IND TECH'!F2887&amp;" "&amp;'IND TECH'!G2887&amp;" "&amp;'IND TECH'!H2887</f>
        <v xml:space="preserve">       </v>
      </c>
      <c r="E2889" t="e">
        <f t="shared" si="25"/>
        <v>#REF!</v>
      </c>
      <c r="F2889" t="e">
        <f>'IND TECH'!#REF!</f>
        <v>#REF!</v>
      </c>
    </row>
    <row r="2890" spans="3:6" x14ac:dyDescent="0.25">
      <c r="C2890">
        <f>'IND TECH'!L2888</f>
        <v>0</v>
      </c>
      <c r="D2890" t="str">
        <f>'IND TECH'!A2888&amp;" "&amp;'IND TECH'!B2888&amp;" "&amp;'IND TECH'!C2888&amp;" "&amp;'IND TECH'!D2888&amp;" "&amp;'IND TECH'!E2888&amp;" "&amp;'IND TECH'!F2888&amp;" "&amp;'IND TECH'!G2888&amp;" "&amp;'IND TECH'!H2888</f>
        <v xml:space="preserve">       </v>
      </c>
      <c r="E2890" t="e">
        <f t="shared" si="25"/>
        <v>#REF!</v>
      </c>
      <c r="F2890" t="e">
        <f>'IND TECH'!#REF!</f>
        <v>#REF!</v>
      </c>
    </row>
    <row r="2891" spans="3:6" x14ac:dyDescent="0.25">
      <c r="C2891">
        <f>'IND TECH'!L2889</f>
        <v>0</v>
      </c>
      <c r="D2891" t="str">
        <f>'IND TECH'!A2889&amp;" "&amp;'IND TECH'!B2889&amp;" "&amp;'IND TECH'!C2889&amp;" "&amp;'IND TECH'!D2889&amp;" "&amp;'IND TECH'!E2889&amp;" "&amp;'IND TECH'!F2889&amp;" "&amp;'IND TECH'!G2889&amp;" "&amp;'IND TECH'!H2889</f>
        <v xml:space="preserve">       </v>
      </c>
      <c r="E2891" t="e">
        <f t="shared" si="25"/>
        <v>#REF!</v>
      </c>
      <c r="F2891" t="e">
        <f>'IND TECH'!#REF!</f>
        <v>#REF!</v>
      </c>
    </row>
    <row r="2892" spans="3:6" x14ac:dyDescent="0.25">
      <c r="C2892">
        <f>'IND TECH'!L2890</f>
        <v>0</v>
      </c>
      <c r="D2892" t="str">
        <f>'IND TECH'!A2890&amp;" "&amp;'IND TECH'!B2890&amp;" "&amp;'IND TECH'!C2890&amp;" "&amp;'IND TECH'!D2890&amp;" "&amp;'IND TECH'!E2890&amp;" "&amp;'IND TECH'!F2890&amp;" "&amp;'IND TECH'!G2890&amp;" "&amp;'IND TECH'!H2890</f>
        <v xml:space="preserve">       </v>
      </c>
      <c r="E2892" t="e">
        <f t="shared" si="25"/>
        <v>#REF!</v>
      </c>
      <c r="F2892" t="e">
        <f>'IND TECH'!#REF!</f>
        <v>#REF!</v>
      </c>
    </row>
    <row r="2893" spans="3:6" x14ac:dyDescent="0.25">
      <c r="C2893">
        <f>'IND TECH'!L2891</f>
        <v>0</v>
      </c>
      <c r="D2893" t="str">
        <f>'IND TECH'!A2891&amp;" "&amp;'IND TECH'!B2891&amp;" "&amp;'IND TECH'!C2891&amp;" "&amp;'IND TECH'!D2891&amp;" "&amp;'IND TECH'!E2891&amp;" "&amp;'IND TECH'!F2891&amp;" "&amp;'IND TECH'!G2891&amp;" "&amp;'IND TECH'!H2891</f>
        <v xml:space="preserve">       </v>
      </c>
      <c r="E2893" t="e">
        <f t="shared" si="25"/>
        <v>#REF!</v>
      </c>
      <c r="F2893" t="e">
        <f>'IND TECH'!#REF!</f>
        <v>#REF!</v>
      </c>
    </row>
    <row r="2894" spans="3:6" x14ac:dyDescent="0.25">
      <c r="C2894">
        <f>'IND TECH'!L2892</f>
        <v>0</v>
      </c>
      <c r="D2894" t="str">
        <f>'IND TECH'!A2892&amp;" "&amp;'IND TECH'!B2892&amp;" "&amp;'IND TECH'!C2892&amp;" "&amp;'IND TECH'!D2892&amp;" "&amp;'IND TECH'!E2892&amp;" "&amp;'IND TECH'!F2892&amp;" "&amp;'IND TECH'!G2892&amp;" "&amp;'IND TECH'!H2892</f>
        <v xml:space="preserve">       </v>
      </c>
      <c r="E2894" t="e">
        <f t="shared" si="25"/>
        <v>#REF!</v>
      </c>
      <c r="F2894" t="e">
        <f>'IND TECH'!#REF!</f>
        <v>#REF!</v>
      </c>
    </row>
    <row r="2895" spans="3:6" x14ac:dyDescent="0.25">
      <c r="C2895">
        <f>'IND TECH'!L2893</f>
        <v>0</v>
      </c>
      <c r="D2895" t="str">
        <f>'IND TECH'!A2893&amp;" "&amp;'IND TECH'!B2893&amp;" "&amp;'IND TECH'!C2893&amp;" "&amp;'IND TECH'!D2893&amp;" "&amp;'IND TECH'!E2893&amp;" "&amp;'IND TECH'!F2893&amp;" "&amp;'IND TECH'!G2893&amp;" "&amp;'IND TECH'!H2893</f>
        <v xml:space="preserve">       </v>
      </c>
      <c r="E2895" t="e">
        <f t="shared" si="25"/>
        <v>#REF!</v>
      </c>
      <c r="F2895" t="e">
        <f>'IND TECH'!#REF!</f>
        <v>#REF!</v>
      </c>
    </row>
    <row r="2896" spans="3:6" x14ac:dyDescent="0.25">
      <c r="C2896">
        <f>'IND TECH'!L2894</f>
        <v>0</v>
      </c>
      <c r="D2896" t="str">
        <f>'IND TECH'!A2894&amp;" "&amp;'IND TECH'!B2894&amp;" "&amp;'IND TECH'!C2894&amp;" "&amp;'IND TECH'!D2894&amp;" "&amp;'IND TECH'!E2894&amp;" "&amp;'IND TECH'!F2894&amp;" "&amp;'IND TECH'!G2894&amp;" "&amp;'IND TECH'!H2894</f>
        <v xml:space="preserve">       </v>
      </c>
      <c r="E2896" t="e">
        <f t="shared" si="25"/>
        <v>#REF!</v>
      </c>
      <c r="F2896" t="e">
        <f>'IND TECH'!#REF!</f>
        <v>#REF!</v>
      </c>
    </row>
    <row r="2897" spans="3:6" x14ac:dyDescent="0.25">
      <c r="C2897">
        <f>'IND TECH'!L2895</f>
        <v>0</v>
      </c>
      <c r="D2897" t="str">
        <f>'IND TECH'!A2895&amp;" "&amp;'IND TECH'!B2895&amp;" "&amp;'IND TECH'!C2895&amp;" "&amp;'IND TECH'!D2895&amp;" "&amp;'IND TECH'!E2895&amp;" "&amp;'IND TECH'!F2895&amp;" "&amp;'IND TECH'!G2895&amp;" "&amp;'IND TECH'!H2895</f>
        <v xml:space="preserve">       </v>
      </c>
      <c r="E2897" t="e">
        <f t="shared" si="25"/>
        <v>#REF!</v>
      </c>
      <c r="F2897" t="e">
        <f>'IND TECH'!#REF!</f>
        <v>#REF!</v>
      </c>
    </row>
    <row r="2898" spans="3:6" x14ac:dyDescent="0.25">
      <c r="C2898">
        <f>'IND TECH'!L2896</f>
        <v>0</v>
      </c>
      <c r="D2898" t="str">
        <f>'IND TECH'!A2896&amp;" "&amp;'IND TECH'!B2896&amp;" "&amp;'IND TECH'!C2896&amp;" "&amp;'IND TECH'!D2896&amp;" "&amp;'IND TECH'!E2896&amp;" "&amp;'IND TECH'!F2896&amp;" "&amp;'IND TECH'!G2896&amp;" "&amp;'IND TECH'!H2896</f>
        <v xml:space="preserve">       </v>
      </c>
      <c r="E2898" t="e">
        <f t="shared" si="25"/>
        <v>#REF!</v>
      </c>
      <c r="F2898" t="e">
        <f>'IND TECH'!#REF!</f>
        <v>#REF!</v>
      </c>
    </row>
    <row r="2899" spans="3:6" x14ac:dyDescent="0.25">
      <c r="C2899">
        <f>'IND TECH'!L2897</f>
        <v>0</v>
      </c>
      <c r="D2899" t="str">
        <f>'IND TECH'!A2897&amp;" "&amp;'IND TECH'!B2897&amp;" "&amp;'IND TECH'!C2897&amp;" "&amp;'IND TECH'!D2897&amp;" "&amp;'IND TECH'!E2897&amp;" "&amp;'IND TECH'!F2897&amp;" "&amp;'IND TECH'!G2897&amp;" "&amp;'IND TECH'!H2897</f>
        <v xml:space="preserve">       </v>
      </c>
      <c r="E2899" t="e">
        <f t="shared" si="25"/>
        <v>#REF!</v>
      </c>
      <c r="F2899" t="e">
        <f>'IND TECH'!#REF!</f>
        <v>#REF!</v>
      </c>
    </row>
    <row r="2900" spans="3:6" x14ac:dyDescent="0.25">
      <c r="C2900">
        <f>'IND TECH'!L2898</f>
        <v>0</v>
      </c>
      <c r="D2900" t="str">
        <f>'IND TECH'!A2898&amp;" "&amp;'IND TECH'!B2898&amp;" "&amp;'IND TECH'!C2898&amp;" "&amp;'IND TECH'!D2898&amp;" "&amp;'IND TECH'!E2898&amp;" "&amp;'IND TECH'!F2898&amp;" "&amp;'IND TECH'!G2898&amp;" "&amp;'IND TECH'!H2898</f>
        <v xml:space="preserve">       </v>
      </c>
      <c r="E2900" t="e">
        <f t="shared" si="25"/>
        <v>#REF!</v>
      </c>
      <c r="F2900" t="e">
        <f>'IND TECH'!#REF!</f>
        <v>#REF!</v>
      </c>
    </row>
    <row r="2901" spans="3:6" x14ac:dyDescent="0.25">
      <c r="C2901">
        <f>'IND TECH'!L2899</f>
        <v>0</v>
      </c>
      <c r="D2901" t="str">
        <f>'IND TECH'!A2899&amp;" "&amp;'IND TECH'!B2899&amp;" "&amp;'IND TECH'!C2899&amp;" "&amp;'IND TECH'!D2899&amp;" "&amp;'IND TECH'!E2899&amp;" "&amp;'IND TECH'!F2899&amp;" "&amp;'IND TECH'!G2899&amp;" "&amp;'IND TECH'!H2899</f>
        <v xml:space="preserve">       </v>
      </c>
      <c r="E2901" t="e">
        <f t="shared" si="25"/>
        <v>#REF!</v>
      </c>
      <c r="F2901" t="e">
        <f>'IND TECH'!#REF!</f>
        <v>#REF!</v>
      </c>
    </row>
    <row r="2902" spans="3:6" x14ac:dyDescent="0.25">
      <c r="C2902">
        <f>'IND TECH'!L2900</f>
        <v>0</v>
      </c>
      <c r="D2902" t="str">
        <f>'IND TECH'!A2900&amp;" "&amp;'IND TECH'!B2900&amp;" "&amp;'IND TECH'!C2900&amp;" "&amp;'IND TECH'!D2900&amp;" "&amp;'IND TECH'!E2900&amp;" "&amp;'IND TECH'!F2900&amp;" "&amp;'IND TECH'!G2900&amp;" "&amp;'IND TECH'!H2900</f>
        <v xml:space="preserve">       </v>
      </c>
      <c r="E2902" t="e">
        <f t="shared" si="25"/>
        <v>#REF!</v>
      </c>
      <c r="F2902" t="e">
        <f>'IND TECH'!#REF!</f>
        <v>#REF!</v>
      </c>
    </row>
    <row r="2903" spans="3:6" x14ac:dyDescent="0.25">
      <c r="C2903">
        <f>'IND TECH'!L2901</f>
        <v>0</v>
      </c>
      <c r="D2903" t="str">
        <f>'IND TECH'!A2901&amp;" "&amp;'IND TECH'!B2901&amp;" "&amp;'IND TECH'!C2901&amp;" "&amp;'IND TECH'!D2901&amp;" "&amp;'IND TECH'!E2901&amp;" "&amp;'IND TECH'!F2901&amp;" "&amp;'IND TECH'!G2901&amp;" "&amp;'IND TECH'!H2901</f>
        <v xml:space="preserve">       </v>
      </c>
      <c r="E2903" t="e">
        <f t="shared" si="25"/>
        <v>#REF!</v>
      </c>
      <c r="F2903" t="e">
        <f>'IND TECH'!#REF!</f>
        <v>#REF!</v>
      </c>
    </row>
    <row r="2904" spans="3:6" x14ac:dyDescent="0.25">
      <c r="C2904">
        <f>'IND TECH'!L2902</f>
        <v>0</v>
      </c>
      <c r="D2904" t="str">
        <f>'IND TECH'!A2902&amp;" "&amp;'IND TECH'!B2902&amp;" "&amp;'IND TECH'!C2902&amp;" "&amp;'IND TECH'!D2902&amp;" "&amp;'IND TECH'!E2902&amp;" "&amp;'IND TECH'!F2902&amp;" "&amp;'IND TECH'!G2902&amp;" "&amp;'IND TECH'!H2902</f>
        <v xml:space="preserve">       </v>
      </c>
      <c r="E2904" t="e">
        <f t="shared" si="25"/>
        <v>#REF!</v>
      </c>
      <c r="F2904" t="e">
        <f>'IND TECH'!#REF!</f>
        <v>#REF!</v>
      </c>
    </row>
    <row r="2905" spans="3:6" x14ac:dyDescent="0.25">
      <c r="C2905">
        <f>'IND TECH'!L2903</f>
        <v>0</v>
      </c>
      <c r="D2905" t="str">
        <f>'IND TECH'!A2903&amp;" "&amp;'IND TECH'!B2903&amp;" "&amp;'IND TECH'!C2903&amp;" "&amp;'IND TECH'!D2903&amp;" "&amp;'IND TECH'!E2903&amp;" "&amp;'IND TECH'!F2903&amp;" "&amp;'IND TECH'!G2903&amp;" "&amp;'IND TECH'!H2903</f>
        <v xml:space="preserve">       </v>
      </c>
      <c r="E2905" t="e">
        <f t="shared" si="25"/>
        <v>#REF!</v>
      </c>
      <c r="F2905" t="e">
        <f>'IND TECH'!#REF!</f>
        <v>#REF!</v>
      </c>
    </row>
    <row r="2906" spans="3:6" x14ac:dyDescent="0.25">
      <c r="C2906">
        <f>'IND TECH'!L2904</f>
        <v>0</v>
      </c>
      <c r="D2906" t="str">
        <f>'IND TECH'!A2904&amp;" "&amp;'IND TECH'!B2904&amp;" "&amp;'IND TECH'!C2904&amp;" "&amp;'IND TECH'!D2904&amp;" "&amp;'IND TECH'!E2904&amp;" "&amp;'IND TECH'!F2904&amp;" "&amp;'IND TECH'!G2904&amp;" "&amp;'IND TECH'!H2904</f>
        <v xml:space="preserve">       </v>
      </c>
      <c r="E2906" t="e">
        <f t="shared" si="25"/>
        <v>#REF!</v>
      </c>
      <c r="F2906" t="e">
        <f>'IND TECH'!#REF!</f>
        <v>#REF!</v>
      </c>
    </row>
    <row r="2907" spans="3:6" x14ac:dyDescent="0.25">
      <c r="C2907">
        <f>'IND TECH'!L2905</f>
        <v>0</v>
      </c>
      <c r="D2907" t="str">
        <f>'IND TECH'!A2905&amp;" "&amp;'IND TECH'!B2905&amp;" "&amp;'IND TECH'!C2905&amp;" "&amp;'IND TECH'!D2905&amp;" "&amp;'IND TECH'!E2905&amp;" "&amp;'IND TECH'!F2905&amp;" "&amp;'IND TECH'!G2905&amp;" "&amp;'IND TECH'!H2905</f>
        <v xml:space="preserve">       </v>
      </c>
      <c r="E2907" t="e">
        <f t="shared" si="25"/>
        <v>#REF!</v>
      </c>
      <c r="F2907" t="e">
        <f>'IND TECH'!#REF!</f>
        <v>#REF!</v>
      </c>
    </row>
    <row r="2908" spans="3:6" x14ac:dyDescent="0.25">
      <c r="C2908">
        <f>'IND TECH'!L2906</f>
        <v>0</v>
      </c>
      <c r="D2908" t="str">
        <f>'IND TECH'!A2906&amp;" "&amp;'IND TECH'!B2906&amp;" "&amp;'IND TECH'!C2906&amp;" "&amp;'IND TECH'!D2906&amp;" "&amp;'IND TECH'!E2906&amp;" "&amp;'IND TECH'!F2906&amp;" "&amp;'IND TECH'!G2906&amp;" "&amp;'IND TECH'!H2906</f>
        <v xml:space="preserve">       </v>
      </c>
      <c r="E2908" t="e">
        <f t="shared" si="25"/>
        <v>#REF!</v>
      </c>
      <c r="F2908" t="e">
        <f>'IND TECH'!#REF!</f>
        <v>#REF!</v>
      </c>
    </row>
    <row r="2909" spans="3:6" x14ac:dyDescent="0.25">
      <c r="C2909">
        <f>'IND TECH'!L2907</f>
        <v>0</v>
      </c>
      <c r="D2909" t="str">
        <f>'IND TECH'!A2907&amp;" "&amp;'IND TECH'!B2907&amp;" "&amp;'IND TECH'!C2907&amp;" "&amp;'IND TECH'!D2907&amp;" "&amp;'IND TECH'!E2907&amp;" "&amp;'IND TECH'!F2907&amp;" "&amp;'IND TECH'!G2907&amp;" "&amp;'IND TECH'!H2907</f>
        <v xml:space="preserve">       </v>
      </c>
      <c r="E2909" t="e">
        <f t="shared" si="25"/>
        <v>#REF!</v>
      </c>
      <c r="F2909" t="e">
        <f>'IND TECH'!#REF!</f>
        <v>#REF!</v>
      </c>
    </row>
    <row r="2910" spans="3:6" x14ac:dyDescent="0.25">
      <c r="C2910">
        <f>'IND TECH'!L2908</f>
        <v>0</v>
      </c>
      <c r="D2910" t="str">
        <f>'IND TECH'!A2908&amp;" "&amp;'IND TECH'!B2908&amp;" "&amp;'IND TECH'!C2908&amp;" "&amp;'IND TECH'!D2908&amp;" "&amp;'IND TECH'!E2908&amp;" "&amp;'IND TECH'!F2908&amp;" "&amp;'IND TECH'!G2908&amp;" "&amp;'IND TECH'!H2908</f>
        <v xml:space="preserve">       </v>
      </c>
      <c r="E2910" t="e">
        <f t="shared" si="25"/>
        <v>#REF!</v>
      </c>
      <c r="F2910" t="e">
        <f>'IND TECH'!#REF!</f>
        <v>#REF!</v>
      </c>
    </row>
    <row r="2911" spans="3:6" x14ac:dyDescent="0.25">
      <c r="C2911">
        <f>'IND TECH'!L2909</f>
        <v>0</v>
      </c>
      <c r="D2911" t="str">
        <f>'IND TECH'!A2909&amp;" "&amp;'IND TECH'!B2909&amp;" "&amp;'IND TECH'!C2909&amp;" "&amp;'IND TECH'!D2909&amp;" "&amp;'IND TECH'!E2909&amp;" "&amp;'IND TECH'!F2909&amp;" "&amp;'IND TECH'!G2909&amp;" "&amp;'IND TECH'!H2909</f>
        <v xml:space="preserve">       </v>
      </c>
      <c r="E2911" t="e">
        <f t="shared" si="25"/>
        <v>#REF!</v>
      </c>
      <c r="F2911" t="e">
        <f>'IND TECH'!#REF!</f>
        <v>#REF!</v>
      </c>
    </row>
    <row r="2912" spans="3:6" x14ac:dyDescent="0.25">
      <c r="C2912">
        <f>'IND TECH'!L2910</f>
        <v>0</v>
      </c>
      <c r="D2912" t="str">
        <f>'IND TECH'!A2910&amp;" "&amp;'IND TECH'!B2910&amp;" "&amp;'IND TECH'!C2910&amp;" "&amp;'IND TECH'!D2910&amp;" "&amp;'IND TECH'!E2910&amp;" "&amp;'IND TECH'!F2910&amp;" "&amp;'IND TECH'!G2910&amp;" "&amp;'IND TECH'!H2910</f>
        <v xml:space="preserve">       </v>
      </c>
      <c r="E2912" t="e">
        <f t="shared" si="25"/>
        <v>#REF!</v>
      </c>
      <c r="F2912" t="e">
        <f>'IND TECH'!#REF!</f>
        <v>#REF!</v>
      </c>
    </row>
    <row r="2913" spans="3:6" x14ac:dyDescent="0.25">
      <c r="C2913">
        <f>'IND TECH'!L2911</f>
        <v>0</v>
      </c>
      <c r="D2913" t="str">
        <f>'IND TECH'!A2911&amp;" "&amp;'IND TECH'!B2911&amp;" "&amp;'IND TECH'!C2911&amp;" "&amp;'IND TECH'!D2911&amp;" "&amp;'IND TECH'!E2911&amp;" "&amp;'IND TECH'!F2911&amp;" "&amp;'IND TECH'!G2911&amp;" "&amp;'IND TECH'!H2911</f>
        <v xml:space="preserve">       </v>
      </c>
      <c r="E2913" t="e">
        <f t="shared" si="25"/>
        <v>#REF!</v>
      </c>
      <c r="F2913" t="e">
        <f>'IND TECH'!#REF!</f>
        <v>#REF!</v>
      </c>
    </row>
    <row r="2914" spans="3:6" x14ac:dyDescent="0.25">
      <c r="C2914">
        <f>'IND TECH'!L2912</f>
        <v>0</v>
      </c>
      <c r="D2914" t="str">
        <f>'IND TECH'!A2912&amp;" "&amp;'IND TECH'!B2912&amp;" "&amp;'IND TECH'!C2912&amp;" "&amp;'IND TECH'!D2912&amp;" "&amp;'IND TECH'!E2912&amp;" "&amp;'IND TECH'!F2912&amp;" "&amp;'IND TECH'!G2912&amp;" "&amp;'IND TECH'!H2912</f>
        <v xml:space="preserve">       </v>
      </c>
      <c r="E2914" t="e">
        <f t="shared" si="25"/>
        <v>#REF!</v>
      </c>
      <c r="F2914" t="e">
        <f>'IND TECH'!#REF!</f>
        <v>#REF!</v>
      </c>
    </row>
    <row r="2915" spans="3:6" x14ac:dyDescent="0.25">
      <c r="C2915">
        <f>'IND TECH'!L2913</f>
        <v>0</v>
      </c>
      <c r="D2915" t="str">
        <f>'IND TECH'!A2913&amp;" "&amp;'IND TECH'!B2913&amp;" "&amp;'IND TECH'!C2913&amp;" "&amp;'IND TECH'!D2913&amp;" "&amp;'IND TECH'!E2913&amp;" "&amp;'IND TECH'!F2913&amp;" "&amp;'IND TECH'!G2913&amp;" "&amp;'IND TECH'!H2913</f>
        <v xml:space="preserve">       </v>
      </c>
      <c r="E2915" t="e">
        <f t="shared" si="25"/>
        <v>#REF!</v>
      </c>
      <c r="F2915" t="e">
        <f>'IND TECH'!#REF!</f>
        <v>#REF!</v>
      </c>
    </row>
    <row r="2916" spans="3:6" x14ac:dyDescent="0.25">
      <c r="C2916">
        <f>'IND TECH'!L2914</f>
        <v>0</v>
      </c>
      <c r="D2916" t="str">
        <f>'IND TECH'!A2914&amp;" "&amp;'IND TECH'!B2914&amp;" "&amp;'IND TECH'!C2914&amp;" "&amp;'IND TECH'!D2914&amp;" "&amp;'IND TECH'!E2914&amp;" "&amp;'IND TECH'!F2914&amp;" "&amp;'IND TECH'!G2914&amp;" "&amp;'IND TECH'!H2914</f>
        <v xml:space="preserve">       </v>
      </c>
      <c r="E2916" t="e">
        <f t="shared" ref="E2916:E2979" si="26">IF(F2916="Mlma","Mlm","TJ")</f>
        <v>#REF!</v>
      </c>
      <c r="F2916" t="e">
        <f>'IND TECH'!#REF!</f>
        <v>#REF!</v>
      </c>
    </row>
    <row r="2917" spans="3:6" x14ac:dyDescent="0.25">
      <c r="C2917">
        <f>'IND TECH'!L2915</f>
        <v>0</v>
      </c>
      <c r="D2917" t="str">
        <f>'IND TECH'!A2915&amp;" "&amp;'IND TECH'!B2915&amp;" "&amp;'IND TECH'!C2915&amp;" "&amp;'IND TECH'!D2915&amp;" "&amp;'IND TECH'!E2915&amp;" "&amp;'IND TECH'!F2915&amp;" "&amp;'IND TECH'!G2915&amp;" "&amp;'IND TECH'!H2915</f>
        <v xml:space="preserve">       </v>
      </c>
      <c r="E2917" t="e">
        <f t="shared" si="26"/>
        <v>#REF!</v>
      </c>
      <c r="F2917" t="e">
        <f>'IND TECH'!#REF!</f>
        <v>#REF!</v>
      </c>
    </row>
    <row r="2918" spans="3:6" x14ac:dyDescent="0.25">
      <c r="C2918">
        <f>'IND TECH'!L2916</f>
        <v>0</v>
      </c>
      <c r="D2918" t="str">
        <f>'IND TECH'!A2916&amp;" "&amp;'IND TECH'!B2916&amp;" "&amp;'IND TECH'!C2916&amp;" "&amp;'IND TECH'!D2916&amp;" "&amp;'IND TECH'!E2916&amp;" "&amp;'IND TECH'!F2916&amp;" "&amp;'IND TECH'!G2916&amp;" "&amp;'IND TECH'!H2916</f>
        <v xml:space="preserve">       </v>
      </c>
      <c r="E2918" t="e">
        <f t="shared" si="26"/>
        <v>#REF!</v>
      </c>
      <c r="F2918" t="e">
        <f>'IND TECH'!#REF!</f>
        <v>#REF!</v>
      </c>
    </row>
    <row r="2919" spans="3:6" x14ac:dyDescent="0.25">
      <c r="C2919">
        <f>'IND TECH'!L2917</f>
        <v>0</v>
      </c>
      <c r="D2919" t="str">
        <f>'IND TECH'!A2917&amp;" "&amp;'IND TECH'!B2917&amp;" "&amp;'IND TECH'!C2917&amp;" "&amp;'IND TECH'!D2917&amp;" "&amp;'IND TECH'!E2917&amp;" "&amp;'IND TECH'!F2917&amp;" "&amp;'IND TECH'!G2917&amp;" "&amp;'IND TECH'!H2917</f>
        <v xml:space="preserve">       </v>
      </c>
      <c r="E2919" t="e">
        <f t="shared" si="26"/>
        <v>#REF!</v>
      </c>
      <c r="F2919" t="e">
        <f>'IND TECH'!#REF!</f>
        <v>#REF!</v>
      </c>
    </row>
    <row r="2920" spans="3:6" x14ac:dyDescent="0.25">
      <c r="C2920">
        <f>'IND TECH'!L2918</f>
        <v>0</v>
      </c>
      <c r="D2920" t="str">
        <f>'IND TECH'!A2918&amp;" "&amp;'IND TECH'!B2918&amp;" "&amp;'IND TECH'!C2918&amp;" "&amp;'IND TECH'!D2918&amp;" "&amp;'IND TECH'!E2918&amp;" "&amp;'IND TECH'!F2918&amp;" "&amp;'IND TECH'!G2918&amp;" "&amp;'IND TECH'!H2918</f>
        <v xml:space="preserve">       </v>
      </c>
      <c r="E2920" t="e">
        <f t="shared" si="26"/>
        <v>#REF!</v>
      </c>
      <c r="F2920" t="e">
        <f>'IND TECH'!#REF!</f>
        <v>#REF!</v>
      </c>
    </row>
    <row r="2921" spans="3:6" x14ac:dyDescent="0.25">
      <c r="C2921">
        <f>'IND TECH'!L2919</f>
        <v>0</v>
      </c>
      <c r="D2921" t="str">
        <f>'IND TECH'!A2919&amp;" "&amp;'IND TECH'!B2919&amp;" "&amp;'IND TECH'!C2919&amp;" "&amp;'IND TECH'!D2919&amp;" "&amp;'IND TECH'!E2919&amp;" "&amp;'IND TECH'!F2919&amp;" "&amp;'IND TECH'!G2919&amp;" "&amp;'IND TECH'!H2919</f>
        <v xml:space="preserve">       </v>
      </c>
      <c r="E2921" t="e">
        <f t="shared" si="26"/>
        <v>#REF!</v>
      </c>
      <c r="F2921" t="e">
        <f>'IND TECH'!#REF!</f>
        <v>#REF!</v>
      </c>
    </row>
    <row r="2922" spans="3:6" x14ac:dyDescent="0.25">
      <c r="C2922">
        <f>'IND TECH'!L2920</f>
        <v>0</v>
      </c>
      <c r="D2922" t="str">
        <f>'IND TECH'!A2920&amp;" "&amp;'IND TECH'!B2920&amp;" "&amp;'IND TECH'!C2920&amp;" "&amp;'IND TECH'!D2920&amp;" "&amp;'IND TECH'!E2920&amp;" "&amp;'IND TECH'!F2920&amp;" "&amp;'IND TECH'!G2920&amp;" "&amp;'IND TECH'!H2920</f>
        <v xml:space="preserve">       </v>
      </c>
      <c r="E2922" t="e">
        <f t="shared" si="26"/>
        <v>#REF!</v>
      </c>
      <c r="F2922" t="e">
        <f>'IND TECH'!#REF!</f>
        <v>#REF!</v>
      </c>
    </row>
    <row r="2923" spans="3:6" x14ac:dyDescent="0.25">
      <c r="C2923">
        <f>'IND TECH'!L2921</f>
        <v>0</v>
      </c>
      <c r="D2923" t="str">
        <f>'IND TECH'!A2921&amp;" "&amp;'IND TECH'!B2921&amp;" "&amp;'IND TECH'!C2921&amp;" "&amp;'IND TECH'!D2921&amp;" "&amp;'IND TECH'!E2921&amp;" "&amp;'IND TECH'!F2921&amp;" "&amp;'IND TECH'!G2921&amp;" "&amp;'IND TECH'!H2921</f>
        <v xml:space="preserve">       </v>
      </c>
      <c r="E2923" t="e">
        <f t="shared" si="26"/>
        <v>#REF!</v>
      </c>
      <c r="F2923" t="e">
        <f>'IND TECH'!#REF!</f>
        <v>#REF!</v>
      </c>
    </row>
    <row r="2924" spans="3:6" x14ac:dyDescent="0.25">
      <c r="C2924">
        <f>'IND TECH'!L2922</f>
        <v>0</v>
      </c>
      <c r="D2924" t="str">
        <f>'IND TECH'!A2922&amp;" "&amp;'IND TECH'!B2922&amp;" "&amp;'IND TECH'!C2922&amp;" "&amp;'IND TECH'!D2922&amp;" "&amp;'IND TECH'!E2922&amp;" "&amp;'IND TECH'!F2922&amp;" "&amp;'IND TECH'!G2922&amp;" "&amp;'IND TECH'!H2922</f>
        <v xml:space="preserve">       </v>
      </c>
      <c r="E2924" t="e">
        <f t="shared" si="26"/>
        <v>#REF!</v>
      </c>
      <c r="F2924" t="e">
        <f>'IND TECH'!#REF!</f>
        <v>#REF!</v>
      </c>
    </row>
    <row r="2925" spans="3:6" x14ac:dyDescent="0.25">
      <c r="C2925">
        <f>'IND TECH'!L2923</f>
        <v>0</v>
      </c>
      <c r="D2925" t="str">
        <f>'IND TECH'!A2923&amp;" "&amp;'IND TECH'!B2923&amp;" "&amp;'IND TECH'!C2923&amp;" "&amp;'IND TECH'!D2923&amp;" "&amp;'IND TECH'!E2923&amp;" "&amp;'IND TECH'!F2923&amp;" "&amp;'IND TECH'!G2923&amp;" "&amp;'IND TECH'!H2923</f>
        <v xml:space="preserve">       </v>
      </c>
      <c r="E2925" t="e">
        <f t="shared" si="26"/>
        <v>#REF!</v>
      </c>
      <c r="F2925" t="e">
        <f>'IND TECH'!#REF!</f>
        <v>#REF!</v>
      </c>
    </row>
    <row r="2926" spans="3:6" x14ac:dyDescent="0.25">
      <c r="C2926">
        <f>'IND TECH'!L2924</f>
        <v>0</v>
      </c>
      <c r="D2926" t="str">
        <f>'IND TECH'!A2924&amp;" "&amp;'IND TECH'!B2924&amp;" "&amp;'IND TECH'!C2924&amp;" "&amp;'IND TECH'!D2924&amp;" "&amp;'IND TECH'!E2924&amp;" "&amp;'IND TECH'!F2924&amp;" "&amp;'IND TECH'!G2924&amp;" "&amp;'IND TECH'!H2924</f>
        <v xml:space="preserve">       </v>
      </c>
      <c r="E2926" t="e">
        <f t="shared" si="26"/>
        <v>#REF!</v>
      </c>
      <c r="F2926" t="e">
        <f>'IND TECH'!#REF!</f>
        <v>#REF!</v>
      </c>
    </row>
    <row r="2927" spans="3:6" x14ac:dyDescent="0.25">
      <c r="C2927">
        <f>'IND TECH'!L2925</f>
        <v>0</v>
      </c>
      <c r="D2927" t="str">
        <f>'IND TECH'!A2925&amp;" "&amp;'IND TECH'!B2925&amp;" "&amp;'IND TECH'!C2925&amp;" "&amp;'IND TECH'!D2925&amp;" "&amp;'IND TECH'!E2925&amp;" "&amp;'IND TECH'!F2925&amp;" "&amp;'IND TECH'!G2925&amp;" "&amp;'IND TECH'!H2925</f>
        <v xml:space="preserve">       </v>
      </c>
      <c r="E2927" t="e">
        <f t="shared" si="26"/>
        <v>#REF!</v>
      </c>
      <c r="F2927" t="e">
        <f>'IND TECH'!#REF!</f>
        <v>#REF!</v>
      </c>
    </row>
    <row r="2928" spans="3:6" x14ac:dyDescent="0.25">
      <c r="C2928">
        <f>'IND TECH'!L2926</f>
        <v>0</v>
      </c>
      <c r="D2928" t="str">
        <f>'IND TECH'!A2926&amp;" "&amp;'IND TECH'!B2926&amp;" "&amp;'IND TECH'!C2926&amp;" "&amp;'IND TECH'!D2926&amp;" "&amp;'IND TECH'!E2926&amp;" "&amp;'IND TECH'!F2926&amp;" "&amp;'IND TECH'!G2926&amp;" "&amp;'IND TECH'!H2926</f>
        <v xml:space="preserve">       </v>
      </c>
      <c r="E2928" t="e">
        <f t="shared" si="26"/>
        <v>#REF!</v>
      </c>
      <c r="F2928" t="e">
        <f>'IND TECH'!#REF!</f>
        <v>#REF!</v>
      </c>
    </row>
    <row r="2929" spans="3:6" x14ac:dyDescent="0.25">
      <c r="C2929">
        <f>'IND TECH'!L2927</f>
        <v>0</v>
      </c>
      <c r="D2929" t="str">
        <f>'IND TECH'!A2927&amp;" "&amp;'IND TECH'!B2927&amp;" "&amp;'IND TECH'!C2927&amp;" "&amp;'IND TECH'!D2927&amp;" "&amp;'IND TECH'!E2927&amp;" "&amp;'IND TECH'!F2927&amp;" "&amp;'IND TECH'!G2927&amp;" "&amp;'IND TECH'!H2927</f>
        <v xml:space="preserve">       </v>
      </c>
      <c r="E2929" t="e">
        <f t="shared" si="26"/>
        <v>#REF!</v>
      </c>
      <c r="F2929" t="e">
        <f>'IND TECH'!#REF!</f>
        <v>#REF!</v>
      </c>
    </row>
    <row r="2930" spans="3:6" x14ac:dyDescent="0.25">
      <c r="C2930">
        <f>'IND TECH'!L2928</f>
        <v>0</v>
      </c>
      <c r="D2930" t="str">
        <f>'IND TECH'!A2928&amp;" "&amp;'IND TECH'!B2928&amp;" "&amp;'IND TECH'!C2928&amp;" "&amp;'IND TECH'!D2928&amp;" "&amp;'IND TECH'!E2928&amp;" "&amp;'IND TECH'!F2928&amp;" "&amp;'IND TECH'!G2928&amp;" "&amp;'IND TECH'!H2928</f>
        <v xml:space="preserve">       </v>
      </c>
      <c r="E2930" t="e">
        <f t="shared" si="26"/>
        <v>#REF!</v>
      </c>
      <c r="F2930" t="e">
        <f>'IND TECH'!#REF!</f>
        <v>#REF!</v>
      </c>
    </row>
    <row r="2931" spans="3:6" x14ac:dyDescent="0.25">
      <c r="C2931">
        <f>'IND TECH'!L2929</f>
        <v>0</v>
      </c>
      <c r="D2931" t="str">
        <f>'IND TECH'!A2929&amp;" "&amp;'IND TECH'!B2929&amp;" "&amp;'IND TECH'!C2929&amp;" "&amp;'IND TECH'!D2929&amp;" "&amp;'IND TECH'!E2929&amp;" "&amp;'IND TECH'!F2929&amp;" "&amp;'IND TECH'!G2929&amp;" "&amp;'IND TECH'!H2929</f>
        <v xml:space="preserve">       </v>
      </c>
      <c r="E2931" t="e">
        <f t="shared" si="26"/>
        <v>#REF!</v>
      </c>
      <c r="F2931" t="e">
        <f>'IND TECH'!#REF!</f>
        <v>#REF!</v>
      </c>
    </row>
    <row r="2932" spans="3:6" x14ac:dyDescent="0.25">
      <c r="C2932">
        <f>'IND TECH'!L2930</f>
        <v>0</v>
      </c>
      <c r="D2932" t="str">
        <f>'IND TECH'!A2930&amp;" "&amp;'IND TECH'!B2930&amp;" "&amp;'IND TECH'!C2930&amp;" "&amp;'IND TECH'!D2930&amp;" "&amp;'IND TECH'!E2930&amp;" "&amp;'IND TECH'!F2930&amp;" "&amp;'IND TECH'!G2930&amp;" "&amp;'IND TECH'!H2930</f>
        <v xml:space="preserve">       </v>
      </c>
      <c r="E2932" t="e">
        <f t="shared" si="26"/>
        <v>#REF!</v>
      </c>
      <c r="F2932" t="e">
        <f>'IND TECH'!#REF!</f>
        <v>#REF!</v>
      </c>
    </row>
    <row r="2933" spans="3:6" x14ac:dyDescent="0.25">
      <c r="C2933">
        <f>'IND TECH'!L2931</f>
        <v>0</v>
      </c>
      <c r="D2933" t="str">
        <f>'IND TECH'!A2931&amp;" "&amp;'IND TECH'!B2931&amp;" "&amp;'IND TECH'!C2931&amp;" "&amp;'IND TECH'!D2931&amp;" "&amp;'IND TECH'!E2931&amp;" "&amp;'IND TECH'!F2931&amp;" "&amp;'IND TECH'!G2931&amp;" "&amp;'IND TECH'!H2931</f>
        <v xml:space="preserve">       </v>
      </c>
      <c r="E2933" t="e">
        <f t="shared" si="26"/>
        <v>#REF!</v>
      </c>
      <c r="F2933" t="e">
        <f>'IND TECH'!#REF!</f>
        <v>#REF!</v>
      </c>
    </row>
    <row r="2934" spans="3:6" x14ac:dyDescent="0.25">
      <c r="C2934">
        <f>'IND TECH'!L2932</f>
        <v>0</v>
      </c>
      <c r="D2934" t="str">
        <f>'IND TECH'!A2932&amp;" "&amp;'IND TECH'!B2932&amp;" "&amp;'IND TECH'!C2932&amp;" "&amp;'IND TECH'!D2932&amp;" "&amp;'IND TECH'!E2932&amp;" "&amp;'IND TECH'!F2932&amp;" "&amp;'IND TECH'!G2932&amp;" "&amp;'IND TECH'!H2932</f>
        <v xml:space="preserve">       </v>
      </c>
      <c r="E2934" t="e">
        <f t="shared" si="26"/>
        <v>#REF!</v>
      </c>
      <c r="F2934" t="e">
        <f>'IND TECH'!#REF!</f>
        <v>#REF!</v>
      </c>
    </row>
    <row r="2935" spans="3:6" x14ac:dyDescent="0.25">
      <c r="C2935">
        <f>'IND TECH'!L2933</f>
        <v>0</v>
      </c>
      <c r="D2935" t="str">
        <f>'IND TECH'!A2933&amp;" "&amp;'IND TECH'!B2933&amp;" "&amp;'IND TECH'!C2933&amp;" "&amp;'IND TECH'!D2933&amp;" "&amp;'IND TECH'!E2933&amp;" "&amp;'IND TECH'!F2933&amp;" "&amp;'IND TECH'!G2933&amp;" "&amp;'IND TECH'!H2933</f>
        <v xml:space="preserve">       </v>
      </c>
      <c r="E2935" t="e">
        <f t="shared" si="26"/>
        <v>#REF!</v>
      </c>
      <c r="F2935" t="e">
        <f>'IND TECH'!#REF!</f>
        <v>#REF!</v>
      </c>
    </row>
    <row r="2936" spans="3:6" x14ac:dyDescent="0.25">
      <c r="C2936">
        <f>'IND TECH'!L2934</f>
        <v>0</v>
      </c>
      <c r="D2936" t="str">
        <f>'IND TECH'!A2934&amp;" "&amp;'IND TECH'!B2934&amp;" "&amp;'IND TECH'!C2934&amp;" "&amp;'IND TECH'!D2934&amp;" "&amp;'IND TECH'!E2934&amp;" "&amp;'IND TECH'!F2934&amp;" "&amp;'IND TECH'!G2934&amp;" "&amp;'IND TECH'!H2934</f>
        <v xml:space="preserve">       </v>
      </c>
      <c r="E2936" t="e">
        <f t="shared" si="26"/>
        <v>#REF!</v>
      </c>
      <c r="F2936" t="e">
        <f>'IND TECH'!#REF!</f>
        <v>#REF!</v>
      </c>
    </row>
    <row r="2937" spans="3:6" x14ac:dyDescent="0.25">
      <c r="C2937">
        <f>'IND TECH'!L2935</f>
        <v>0</v>
      </c>
      <c r="D2937" t="str">
        <f>'IND TECH'!A2935&amp;" "&amp;'IND TECH'!B2935&amp;" "&amp;'IND TECH'!C2935&amp;" "&amp;'IND TECH'!D2935&amp;" "&amp;'IND TECH'!E2935&amp;" "&amp;'IND TECH'!F2935&amp;" "&amp;'IND TECH'!G2935&amp;" "&amp;'IND TECH'!H2935</f>
        <v xml:space="preserve">       </v>
      </c>
      <c r="E2937" t="e">
        <f t="shared" si="26"/>
        <v>#REF!</v>
      </c>
      <c r="F2937" t="e">
        <f>'IND TECH'!#REF!</f>
        <v>#REF!</v>
      </c>
    </row>
    <row r="2938" spans="3:6" x14ac:dyDescent="0.25">
      <c r="C2938">
        <f>'IND TECH'!L2936</f>
        <v>0</v>
      </c>
      <c r="D2938" t="str">
        <f>'IND TECH'!A2936&amp;" "&amp;'IND TECH'!B2936&amp;" "&amp;'IND TECH'!C2936&amp;" "&amp;'IND TECH'!D2936&amp;" "&amp;'IND TECH'!E2936&amp;" "&amp;'IND TECH'!F2936&amp;" "&amp;'IND TECH'!G2936&amp;" "&amp;'IND TECH'!H2936</f>
        <v xml:space="preserve">       </v>
      </c>
      <c r="E2938" t="e">
        <f t="shared" si="26"/>
        <v>#REF!</v>
      </c>
      <c r="F2938" t="e">
        <f>'IND TECH'!#REF!</f>
        <v>#REF!</v>
      </c>
    </row>
    <row r="2939" spans="3:6" x14ac:dyDescent="0.25">
      <c r="C2939">
        <f>'IND TECH'!L2937</f>
        <v>0</v>
      </c>
      <c r="D2939" t="str">
        <f>'IND TECH'!A2937&amp;" "&amp;'IND TECH'!B2937&amp;" "&amp;'IND TECH'!C2937&amp;" "&amp;'IND TECH'!D2937&amp;" "&amp;'IND TECH'!E2937&amp;" "&amp;'IND TECH'!F2937&amp;" "&amp;'IND TECH'!G2937&amp;" "&amp;'IND TECH'!H2937</f>
        <v xml:space="preserve">       </v>
      </c>
      <c r="E2939" t="e">
        <f t="shared" si="26"/>
        <v>#REF!</v>
      </c>
      <c r="F2939" t="e">
        <f>'IND TECH'!#REF!</f>
        <v>#REF!</v>
      </c>
    </row>
    <row r="2940" spans="3:6" x14ac:dyDescent="0.25">
      <c r="C2940">
        <f>'IND TECH'!L2938</f>
        <v>0</v>
      </c>
      <c r="D2940" t="str">
        <f>'IND TECH'!A2938&amp;" "&amp;'IND TECH'!B2938&amp;" "&amp;'IND TECH'!C2938&amp;" "&amp;'IND TECH'!D2938&amp;" "&amp;'IND TECH'!E2938&amp;" "&amp;'IND TECH'!F2938&amp;" "&amp;'IND TECH'!G2938&amp;" "&amp;'IND TECH'!H2938</f>
        <v xml:space="preserve">       </v>
      </c>
      <c r="E2940" t="e">
        <f t="shared" si="26"/>
        <v>#REF!</v>
      </c>
      <c r="F2940" t="e">
        <f>'IND TECH'!#REF!</f>
        <v>#REF!</v>
      </c>
    </row>
    <row r="2941" spans="3:6" x14ac:dyDescent="0.25">
      <c r="C2941">
        <f>'IND TECH'!L2939</f>
        <v>0</v>
      </c>
      <c r="D2941" t="str">
        <f>'IND TECH'!A2939&amp;" "&amp;'IND TECH'!B2939&amp;" "&amp;'IND TECH'!C2939&amp;" "&amp;'IND TECH'!D2939&amp;" "&amp;'IND TECH'!E2939&amp;" "&amp;'IND TECH'!F2939&amp;" "&amp;'IND TECH'!G2939&amp;" "&amp;'IND TECH'!H2939</f>
        <v xml:space="preserve">       </v>
      </c>
      <c r="E2941" t="e">
        <f t="shared" si="26"/>
        <v>#REF!</v>
      </c>
      <c r="F2941" t="e">
        <f>'IND TECH'!#REF!</f>
        <v>#REF!</v>
      </c>
    </row>
    <row r="2942" spans="3:6" x14ac:dyDescent="0.25">
      <c r="C2942">
        <f>'IND TECH'!L2940</f>
        <v>0</v>
      </c>
      <c r="D2942" t="str">
        <f>'IND TECH'!A2940&amp;" "&amp;'IND TECH'!B2940&amp;" "&amp;'IND TECH'!C2940&amp;" "&amp;'IND TECH'!D2940&amp;" "&amp;'IND TECH'!E2940&amp;" "&amp;'IND TECH'!F2940&amp;" "&amp;'IND TECH'!G2940&amp;" "&amp;'IND TECH'!H2940</f>
        <v xml:space="preserve">       </v>
      </c>
      <c r="E2942" t="e">
        <f t="shared" si="26"/>
        <v>#REF!</v>
      </c>
      <c r="F2942" t="e">
        <f>'IND TECH'!#REF!</f>
        <v>#REF!</v>
      </c>
    </row>
    <row r="2943" spans="3:6" x14ac:dyDescent="0.25">
      <c r="C2943">
        <f>'IND TECH'!L2941</f>
        <v>0</v>
      </c>
      <c r="D2943" t="str">
        <f>'IND TECH'!A2941&amp;" "&amp;'IND TECH'!B2941&amp;" "&amp;'IND TECH'!C2941&amp;" "&amp;'IND TECH'!D2941&amp;" "&amp;'IND TECH'!E2941&amp;" "&amp;'IND TECH'!F2941&amp;" "&amp;'IND TECH'!G2941&amp;" "&amp;'IND TECH'!H2941</f>
        <v xml:space="preserve">       </v>
      </c>
      <c r="E2943" t="e">
        <f t="shared" si="26"/>
        <v>#REF!</v>
      </c>
      <c r="F2943" t="e">
        <f>'IND TECH'!#REF!</f>
        <v>#REF!</v>
      </c>
    </row>
    <row r="2944" spans="3:6" x14ac:dyDescent="0.25">
      <c r="C2944">
        <f>'IND TECH'!L2942</f>
        <v>0</v>
      </c>
      <c r="D2944" t="str">
        <f>'IND TECH'!A2942&amp;" "&amp;'IND TECH'!B2942&amp;" "&amp;'IND TECH'!C2942&amp;" "&amp;'IND TECH'!D2942&amp;" "&amp;'IND TECH'!E2942&amp;" "&amp;'IND TECH'!F2942&amp;" "&amp;'IND TECH'!G2942&amp;" "&amp;'IND TECH'!H2942</f>
        <v xml:space="preserve">       </v>
      </c>
      <c r="E2944" t="e">
        <f t="shared" si="26"/>
        <v>#REF!</v>
      </c>
      <c r="F2944" t="e">
        <f>'IND TECH'!#REF!</f>
        <v>#REF!</v>
      </c>
    </row>
    <row r="2945" spans="3:6" x14ac:dyDescent="0.25">
      <c r="C2945">
        <f>'IND TECH'!L2943</f>
        <v>0</v>
      </c>
      <c r="D2945" t="str">
        <f>'IND TECH'!A2943&amp;" "&amp;'IND TECH'!B2943&amp;" "&amp;'IND TECH'!C2943&amp;" "&amp;'IND TECH'!D2943&amp;" "&amp;'IND TECH'!E2943&amp;" "&amp;'IND TECH'!F2943&amp;" "&amp;'IND TECH'!G2943&amp;" "&amp;'IND TECH'!H2943</f>
        <v xml:space="preserve">       </v>
      </c>
      <c r="E2945" t="e">
        <f t="shared" si="26"/>
        <v>#REF!</v>
      </c>
      <c r="F2945" t="e">
        <f>'IND TECH'!#REF!</f>
        <v>#REF!</v>
      </c>
    </row>
    <row r="2946" spans="3:6" x14ac:dyDescent="0.25">
      <c r="C2946">
        <f>'IND TECH'!L2944</f>
        <v>0</v>
      </c>
      <c r="D2946" t="str">
        <f>'IND TECH'!A2944&amp;" "&amp;'IND TECH'!B2944&amp;" "&amp;'IND TECH'!C2944&amp;" "&amp;'IND TECH'!D2944&amp;" "&amp;'IND TECH'!E2944&amp;" "&amp;'IND TECH'!F2944&amp;" "&amp;'IND TECH'!G2944&amp;" "&amp;'IND TECH'!H2944</f>
        <v xml:space="preserve">       </v>
      </c>
      <c r="E2946" t="e">
        <f t="shared" si="26"/>
        <v>#REF!</v>
      </c>
      <c r="F2946" t="e">
        <f>'IND TECH'!#REF!</f>
        <v>#REF!</v>
      </c>
    </row>
    <row r="2947" spans="3:6" x14ac:dyDescent="0.25">
      <c r="C2947">
        <f>'IND TECH'!L2945</f>
        <v>0</v>
      </c>
      <c r="D2947" t="str">
        <f>'IND TECH'!A2945&amp;" "&amp;'IND TECH'!B2945&amp;" "&amp;'IND TECH'!C2945&amp;" "&amp;'IND TECH'!D2945&amp;" "&amp;'IND TECH'!E2945&amp;" "&amp;'IND TECH'!F2945&amp;" "&amp;'IND TECH'!G2945&amp;" "&amp;'IND TECH'!H2945</f>
        <v xml:space="preserve">       </v>
      </c>
      <c r="E2947" t="e">
        <f t="shared" si="26"/>
        <v>#REF!</v>
      </c>
      <c r="F2947" t="e">
        <f>'IND TECH'!#REF!</f>
        <v>#REF!</v>
      </c>
    </row>
    <row r="2948" spans="3:6" x14ac:dyDescent="0.25">
      <c r="C2948">
        <f>'IND TECH'!L2946</f>
        <v>0</v>
      </c>
      <c r="D2948" t="str">
        <f>'IND TECH'!A2946&amp;" "&amp;'IND TECH'!B2946&amp;" "&amp;'IND TECH'!C2946&amp;" "&amp;'IND TECH'!D2946&amp;" "&amp;'IND TECH'!E2946&amp;" "&amp;'IND TECH'!F2946&amp;" "&amp;'IND TECH'!G2946&amp;" "&amp;'IND TECH'!H2946</f>
        <v xml:space="preserve">       </v>
      </c>
      <c r="E2948" t="e">
        <f t="shared" si="26"/>
        <v>#REF!</v>
      </c>
      <c r="F2948" t="e">
        <f>'IND TECH'!#REF!</f>
        <v>#REF!</v>
      </c>
    </row>
    <row r="2949" spans="3:6" x14ac:dyDescent="0.25">
      <c r="C2949">
        <f>'IND TECH'!L2947</f>
        <v>0</v>
      </c>
      <c r="D2949" t="str">
        <f>'IND TECH'!A2947&amp;" "&amp;'IND TECH'!B2947&amp;" "&amp;'IND TECH'!C2947&amp;" "&amp;'IND TECH'!D2947&amp;" "&amp;'IND TECH'!E2947&amp;" "&amp;'IND TECH'!F2947&amp;" "&amp;'IND TECH'!G2947&amp;" "&amp;'IND TECH'!H2947</f>
        <v xml:space="preserve">       </v>
      </c>
      <c r="E2949" t="e">
        <f t="shared" si="26"/>
        <v>#REF!</v>
      </c>
      <c r="F2949" t="e">
        <f>'IND TECH'!#REF!</f>
        <v>#REF!</v>
      </c>
    </row>
    <row r="2950" spans="3:6" x14ac:dyDescent="0.25">
      <c r="C2950">
        <f>'IND TECH'!L2948</f>
        <v>0</v>
      </c>
      <c r="D2950" t="str">
        <f>'IND TECH'!A2948&amp;" "&amp;'IND TECH'!B2948&amp;" "&amp;'IND TECH'!C2948&amp;" "&amp;'IND TECH'!D2948&amp;" "&amp;'IND TECH'!E2948&amp;" "&amp;'IND TECH'!F2948&amp;" "&amp;'IND TECH'!G2948&amp;" "&amp;'IND TECH'!H2948</f>
        <v xml:space="preserve">       </v>
      </c>
      <c r="E2950" t="e">
        <f t="shared" si="26"/>
        <v>#REF!</v>
      </c>
      <c r="F2950" t="e">
        <f>'IND TECH'!#REF!</f>
        <v>#REF!</v>
      </c>
    </row>
    <row r="2951" spans="3:6" x14ac:dyDescent="0.25">
      <c r="C2951">
        <f>'IND TECH'!L2949</f>
        <v>0</v>
      </c>
      <c r="D2951" t="str">
        <f>'IND TECH'!A2949&amp;" "&amp;'IND TECH'!B2949&amp;" "&amp;'IND TECH'!C2949&amp;" "&amp;'IND TECH'!D2949&amp;" "&amp;'IND TECH'!E2949&amp;" "&amp;'IND TECH'!F2949&amp;" "&amp;'IND TECH'!G2949&amp;" "&amp;'IND TECH'!H2949</f>
        <v xml:space="preserve">       </v>
      </c>
      <c r="E2951" t="e">
        <f t="shared" si="26"/>
        <v>#REF!</v>
      </c>
      <c r="F2951" t="e">
        <f>'IND TECH'!#REF!</f>
        <v>#REF!</v>
      </c>
    </row>
    <row r="2952" spans="3:6" x14ac:dyDescent="0.25">
      <c r="C2952">
        <f>'IND TECH'!L2950</f>
        <v>0</v>
      </c>
      <c r="D2952" t="str">
        <f>'IND TECH'!A2950&amp;" "&amp;'IND TECH'!B2950&amp;" "&amp;'IND TECH'!C2950&amp;" "&amp;'IND TECH'!D2950&amp;" "&amp;'IND TECH'!E2950&amp;" "&amp;'IND TECH'!F2950&amp;" "&amp;'IND TECH'!G2950&amp;" "&amp;'IND TECH'!H2950</f>
        <v xml:space="preserve">       </v>
      </c>
      <c r="E2952" t="e">
        <f t="shared" si="26"/>
        <v>#REF!</v>
      </c>
      <c r="F2952" t="e">
        <f>'IND TECH'!#REF!</f>
        <v>#REF!</v>
      </c>
    </row>
    <row r="2953" spans="3:6" x14ac:dyDescent="0.25">
      <c r="C2953">
        <f>'IND TECH'!L2951</f>
        <v>0</v>
      </c>
      <c r="D2953" t="str">
        <f>'IND TECH'!A2951&amp;" "&amp;'IND TECH'!B2951&amp;" "&amp;'IND TECH'!C2951&amp;" "&amp;'IND TECH'!D2951&amp;" "&amp;'IND TECH'!E2951&amp;" "&amp;'IND TECH'!F2951&amp;" "&amp;'IND TECH'!G2951&amp;" "&amp;'IND TECH'!H2951</f>
        <v xml:space="preserve">       </v>
      </c>
      <c r="E2953" t="e">
        <f t="shared" si="26"/>
        <v>#REF!</v>
      </c>
      <c r="F2953" t="e">
        <f>'IND TECH'!#REF!</f>
        <v>#REF!</v>
      </c>
    </row>
    <row r="2954" spans="3:6" x14ac:dyDescent="0.25">
      <c r="C2954">
        <f>'IND TECH'!L2952</f>
        <v>0</v>
      </c>
      <c r="D2954" t="str">
        <f>'IND TECH'!A2952&amp;" "&amp;'IND TECH'!B2952&amp;" "&amp;'IND TECH'!C2952&amp;" "&amp;'IND TECH'!D2952&amp;" "&amp;'IND TECH'!E2952&amp;" "&amp;'IND TECH'!F2952&amp;" "&amp;'IND TECH'!G2952&amp;" "&amp;'IND TECH'!H2952</f>
        <v xml:space="preserve">       </v>
      </c>
      <c r="E2954" t="e">
        <f t="shared" si="26"/>
        <v>#REF!</v>
      </c>
      <c r="F2954" t="e">
        <f>'IND TECH'!#REF!</f>
        <v>#REF!</v>
      </c>
    </row>
    <row r="2955" spans="3:6" x14ac:dyDescent="0.25">
      <c r="C2955">
        <f>'IND TECH'!L2953</f>
        <v>0</v>
      </c>
      <c r="D2955" t="str">
        <f>'IND TECH'!A2953&amp;" "&amp;'IND TECH'!B2953&amp;" "&amp;'IND TECH'!C2953&amp;" "&amp;'IND TECH'!D2953&amp;" "&amp;'IND TECH'!E2953&amp;" "&amp;'IND TECH'!F2953&amp;" "&amp;'IND TECH'!G2953&amp;" "&amp;'IND TECH'!H2953</f>
        <v xml:space="preserve">       </v>
      </c>
      <c r="E2955" t="e">
        <f t="shared" si="26"/>
        <v>#REF!</v>
      </c>
      <c r="F2955" t="e">
        <f>'IND TECH'!#REF!</f>
        <v>#REF!</v>
      </c>
    </row>
    <row r="2956" spans="3:6" x14ac:dyDescent="0.25">
      <c r="C2956">
        <f>'IND TECH'!L2954</f>
        <v>0</v>
      </c>
      <c r="D2956" t="str">
        <f>'IND TECH'!A2954&amp;" "&amp;'IND TECH'!B2954&amp;" "&amp;'IND TECH'!C2954&amp;" "&amp;'IND TECH'!D2954&amp;" "&amp;'IND TECH'!E2954&amp;" "&amp;'IND TECH'!F2954&amp;" "&amp;'IND TECH'!G2954&amp;" "&amp;'IND TECH'!H2954</f>
        <v xml:space="preserve">       </v>
      </c>
      <c r="E2956" t="e">
        <f t="shared" si="26"/>
        <v>#REF!</v>
      </c>
      <c r="F2956" t="e">
        <f>'IND TECH'!#REF!</f>
        <v>#REF!</v>
      </c>
    </row>
    <row r="2957" spans="3:6" x14ac:dyDescent="0.25">
      <c r="C2957">
        <f>'IND TECH'!L2955</f>
        <v>0</v>
      </c>
      <c r="D2957" t="str">
        <f>'IND TECH'!A2955&amp;" "&amp;'IND TECH'!B2955&amp;" "&amp;'IND TECH'!C2955&amp;" "&amp;'IND TECH'!D2955&amp;" "&amp;'IND TECH'!E2955&amp;" "&amp;'IND TECH'!F2955&amp;" "&amp;'IND TECH'!G2955&amp;" "&amp;'IND TECH'!H2955</f>
        <v xml:space="preserve">       </v>
      </c>
      <c r="E2957" t="e">
        <f t="shared" si="26"/>
        <v>#REF!</v>
      </c>
      <c r="F2957" t="e">
        <f>'IND TECH'!#REF!</f>
        <v>#REF!</v>
      </c>
    </row>
    <row r="2958" spans="3:6" x14ac:dyDescent="0.25">
      <c r="C2958">
        <f>'IND TECH'!L2956</f>
        <v>0</v>
      </c>
      <c r="D2958" t="str">
        <f>'IND TECH'!A2956&amp;" "&amp;'IND TECH'!B2956&amp;" "&amp;'IND TECH'!C2956&amp;" "&amp;'IND TECH'!D2956&amp;" "&amp;'IND TECH'!E2956&amp;" "&amp;'IND TECH'!F2956&amp;" "&amp;'IND TECH'!G2956&amp;" "&amp;'IND TECH'!H2956</f>
        <v xml:space="preserve">       </v>
      </c>
      <c r="E2958" t="e">
        <f t="shared" si="26"/>
        <v>#REF!</v>
      </c>
      <c r="F2958" t="e">
        <f>'IND TECH'!#REF!</f>
        <v>#REF!</v>
      </c>
    </row>
    <row r="2959" spans="3:6" x14ac:dyDescent="0.25">
      <c r="C2959">
        <f>'IND TECH'!L2957</f>
        <v>0</v>
      </c>
      <c r="D2959" t="str">
        <f>'IND TECH'!A2957&amp;" "&amp;'IND TECH'!B2957&amp;" "&amp;'IND TECH'!C2957&amp;" "&amp;'IND TECH'!D2957&amp;" "&amp;'IND TECH'!E2957&amp;" "&amp;'IND TECH'!F2957&amp;" "&amp;'IND TECH'!G2957&amp;" "&amp;'IND TECH'!H2957</f>
        <v xml:space="preserve">       </v>
      </c>
      <c r="E2959" t="e">
        <f t="shared" si="26"/>
        <v>#REF!</v>
      </c>
      <c r="F2959" t="e">
        <f>'IND TECH'!#REF!</f>
        <v>#REF!</v>
      </c>
    </row>
    <row r="2960" spans="3:6" x14ac:dyDescent="0.25">
      <c r="C2960">
        <f>'IND TECH'!L2958</f>
        <v>0</v>
      </c>
      <c r="D2960" t="str">
        <f>'IND TECH'!A2958&amp;" "&amp;'IND TECH'!B2958&amp;" "&amp;'IND TECH'!C2958&amp;" "&amp;'IND TECH'!D2958&amp;" "&amp;'IND TECH'!E2958&amp;" "&amp;'IND TECH'!F2958&amp;" "&amp;'IND TECH'!G2958&amp;" "&amp;'IND TECH'!H2958</f>
        <v xml:space="preserve">       </v>
      </c>
      <c r="E2960" t="e">
        <f t="shared" si="26"/>
        <v>#REF!</v>
      </c>
      <c r="F2960" t="e">
        <f>'IND TECH'!#REF!</f>
        <v>#REF!</v>
      </c>
    </row>
    <row r="2961" spans="3:6" x14ac:dyDescent="0.25">
      <c r="C2961">
        <f>'IND TECH'!L2959</f>
        <v>0</v>
      </c>
      <c r="D2961" t="str">
        <f>'IND TECH'!A2959&amp;" "&amp;'IND TECH'!B2959&amp;" "&amp;'IND TECH'!C2959&amp;" "&amp;'IND TECH'!D2959&amp;" "&amp;'IND TECH'!E2959&amp;" "&amp;'IND TECH'!F2959&amp;" "&amp;'IND TECH'!G2959&amp;" "&amp;'IND TECH'!H2959</f>
        <v xml:space="preserve">       </v>
      </c>
      <c r="E2961" t="e">
        <f t="shared" si="26"/>
        <v>#REF!</v>
      </c>
      <c r="F2961" t="e">
        <f>'IND TECH'!#REF!</f>
        <v>#REF!</v>
      </c>
    </row>
    <row r="2962" spans="3:6" x14ac:dyDescent="0.25">
      <c r="C2962">
        <f>'IND TECH'!L2960</f>
        <v>0</v>
      </c>
      <c r="D2962" t="str">
        <f>'IND TECH'!A2960&amp;" "&amp;'IND TECH'!B2960&amp;" "&amp;'IND TECH'!C2960&amp;" "&amp;'IND TECH'!D2960&amp;" "&amp;'IND TECH'!E2960&amp;" "&amp;'IND TECH'!F2960&amp;" "&amp;'IND TECH'!G2960&amp;" "&amp;'IND TECH'!H2960</f>
        <v xml:space="preserve">       </v>
      </c>
      <c r="E2962" t="e">
        <f t="shared" si="26"/>
        <v>#REF!</v>
      </c>
      <c r="F2962" t="e">
        <f>'IND TECH'!#REF!</f>
        <v>#REF!</v>
      </c>
    </row>
    <row r="2963" spans="3:6" x14ac:dyDescent="0.25">
      <c r="C2963">
        <f>'IND TECH'!L2961</f>
        <v>0</v>
      </c>
      <c r="D2963" t="str">
        <f>'IND TECH'!A2961&amp;" "&amp;'IND TECH'!B2961&amp;" "&amp;'IND TECH'!C2961&amp;" "&amp;'IND TECH'!D2961&amp;" "&amp;'IND TECH'!E2961&amp;" "&amp;'IND TECH'!F2961&amp;" "&amp;'IND TECH'!G2961&amp;" "&amp;'IND TECH'!H2961</f>
        <v xml:space="preserve">       </v>
      </c>
      <c r="E2963" t="e">
        <f t="shared" si="26"/>
        <v>#REF!</v>
      </c>
      <c r="F2963" t="e">
        <f>'IND TECH'!#REF!</f>
        <v>#REF!</v>
      </c>
    </row>
    <row r="2964" spans="3:6" x14ac:dyDescent="0.25">
      <c r="C2964">
        <f>'IND TECH'!L2962</f>
        <v>0</v>
      </c>
      <c r="D2964" t="str">
        <f>'IND TECH'!A2962&amp;" "&amp;'IND TECH'!B2962&amp;" "&amp;'IND TECH'!C2962&amp;" "&amp;'IND TECH'!D2962&amp;" "&amp;'IND TECH'!E2962&amp;" "&amp;'IND TECH'!F2962&amp;" "&amp;'IND TECH'!G2962&amp;" "&amp;'IND TECH'!H2962</f>
        <v xml:space="preserve">       </v>
      </c>
      <c r="E2964" t="e">
        <f t="shared" si="26"/>
        <v>#REF!</v>
      </c>
      <c r="F2964" t="e">
        <f>'IND TECH'!#REF!</f>
        <v>#REF!</v>
      </c>
    </row>
    <row r="2965" spans="3:6" x14ac:dyDescent="0.25">
      <c r="C2965">
        <f>'IND TECH'!L2963</f>
        <v>0</v>
      </c>
      <c r="D2965" t="str">
        <f>'IND TECH'!A2963&amp;" "&amp;'IND TECH'!B2963&amp;" "&amp;'IND TECH'!C2963&amp;" "&amp;'IND TECH'!D2963&amp;" "&amp;'IND TECH'!E2963&amp;" "&amp;'IND TECH'!F2963&amp;" "&amp;'IND TECH'!G2963&amp;" "&amp;'IND TECH'!H2963</f>
        <v xml:space="preserve">       </v>
      </c>
      <c r="E2965" t="e">
        <f t="shared" si="26"/>
        <v>#REF!</v>
      </c>
      <c r="F2965" t="e">
        <f>'IND TECH'!#REF!</f>
        <v>#REF!</v>
      </c>
    </row>
    <row r="2966" spans="3:6" x14ac:dyDescent="0.25">
      <c r="C2966">
        <f>'IND TECH'!L2964</f>
        <v>0</v>
      </c>
      <c r="D2966" t="str">
        <f>'IND TECH'!A2964&amp;" "&amp;'IND TECH'!B2964&amp;" "&amp;'IND TECH'!C2964&amp;" "&amp;'IND TECH'!D2964&amp;" "&amp;'IND TECH'!E2964&amp;" "&amp;'IND TECH'!F2964&amp;" "&amp;'IND TECH'!G2964&amp;" "&amp;'IND TECH'!H2964</f>
        <v xml:space="preserve">       </v>
      </c>
      <c r="E2966" t="e">
        <f t="shared" si="26"/>
        <v>#REF!</v>
      </c>
      <c r="F2966" t="e">
        <f>'IND TECH'!#REF!</f>
        <v>#REF!</v>
      </c>
    </row>
    <row r="2967" spans="3:6" x14ac:dyDescent="0.25">
      <c r="C2967">
        <f>'IND TECH'!L2965</f>
        <v>0</v>
      </c>
      <c r="D2967" t="str">
        <f>'IND TECH'!A2965&amp;" "&amp;'IND TECH'!B2965&amp;" "&amp;'IND TECH'!C2965&amp;" "&amp;'IND TECH'!D2965&amp;" "&amp;'IND TECH'!E2965&amp;" "&amp;'IND TECH'!F2965&amp;" "&amp;'IND TECH'!G2965&amp;" "&amp;'IND TECH'!H2965</f>
        <v xml:space="preserve">       </v>
      </c>
      <c r="E2967" t="e">
        <f t="shared" si="26"/>
        <v>#REF!</v>
      </c>
      <c r="F2967" t="e">
        <f>'IND TECH'!#REF!</f>
        <v>#REF!</v>
      </c>
    </row>
    <row r="2968" spans="3:6" x14ac:dyDescent="0.25">
      <c r="C2968">
        <f>'IND TECH'!L2966</f>
        <v>0</v>
      </c>
      <c r="D2968" t="str">
        <f>'IND TECH'!A2966&amp;" "&amp;'IND TECH'!B2966&amp;" "&amp;'IND TECH'!C2966&amp;" "&amp;'IND TECH'!D2966&amp;" "&amp;'IND TECH'!E2966&amp;" "&amp;'IND TECH'!F2966&amp;" "&amp;'IND TECH'!G2966&amp;" "&amp;'IND TECH'!H2966</f>
        <v xml:space="preserve">       </v>
      </c>
      <c r="E2968" t="e">
        <f t="shared" si="26"/>
        <v>#REF!</v>
      </c>
      <c r="F2968" t="e">
        <f>'IND TECH'!#REF!</f>
        <v>#REF!</v>
      </c>
    </row>
    <row r="2969" spans="3:6" x14ac:dyDescent="0.25">
      <c r="C2969">
        <f>'IND TECH'!L2967</f>
        <v>0</v>
      </c>
      <c r="D2969" t="str">
        <f>'IND TECH'!A2967&amp;" "&amp;'IND TECH'!B2967&amp;" "&amp;'IND TECH'!C2967&amp;" "&amp;'IND TECH'!D2967&amp;" "&amp;'IND TECH'!E2967&amp;" "&amp;'IND TECH'!F2967&amp;" "&amp;'IND TECH'!G2967&amp;" "&amp;'IND TECH'!H2967</f>
        <v xml:space="preserve">       </v>
      </c>
      <c r="E2969" t="e">
        <f t="shared" si="26"/>
        <v>#REF!</v>
      </c>
      <c r="F2969" t="e">
        <f>'IND TECH'!#REF!</f>
        <v>#REF!</v>
      </c>
    </row>
    <row r="2970" spans="3:6" x14ac:dyDescent="0.25">
      <c r="C2970">
        <f>'IND TECH'!L2968</f>
        <v>0</v>
      </c>
      <c r="D2970" t="str">
        <f>'IND TECH'!A2968&amp;" "&amp;'IND TECH'!B2968&amp;" "&amp;'IND TECH'!C2968&amp;" "&amp;'IND TECH'!D2968&amp;" "&amp;'IND TECH'!E2968&amp;" "&amp;'IND TECH'!F2968&amp;" "&amp;'IND TECH'!G2968&amp;" "&amp;'IND TECH'!H2968</f>
        <v xml:space="preserve">       </v>
      </c>
      <c r="E2970" t="e">
        <f t="shared" si="26"/>
        <v>#REF!</v>
      </c>
      <c r="F2970" t="e">
        <f>'IND TECH'!#REF!</f>
        <v>#REF!</v>
      </c>
    </row>
    <row r="2971" spans="3:6" x14ac:dyDescent="0.25">
      <c r="C2971">
        <f>'IND TECH'!L2969</f>
        <v>0</v>
      </c>
      <c r="D2971" t="str">
        <f>'IND TECH'!A2969&amp;" "&amp;'IND TECH'!B2969&amp;" "&amp;'IND TECH'!C2969&amp;" "&amp;'IND TECH'!D2969&amp;" "&amp;'IND TECH'!E2969&amp;" "&amp;'IND TECH'!F2969&amp;" "&amp;'IND TECH'!G2969&amp;" "&amp;'IND TECH'!H2969</f>
        <v xml:space="preserve">       </v>
      </c>
      <c r="E2971" t="e">
        <f t="shared" si="26"/>
        <v>#REF!</v>
      </c>
      <c r="F2971" t="e">
        <f>'IND TECH'!#REF!</f>
        <v>#REF!</v>
      </c>
    </row>
    <row r="2972" spans="3:6" x14ac:dyDescent="0.25">
      <c r="C2972">
        <f>'IND TECH'!L2970</f>
        <v>0</v>
      </c>
      <c r="D2972" t="str">
        <f>'IND TECH'!A2970&amp;" "&amp;'IND TECH'!B2970&amp;" "&amp;'IND TECH'!C2970&amp;" "&amp;'IND TECH'!D2970&amp;" "&amp;'IND TECH'!E2970&amp;" "&amp;'IND TECH'!F2970&amp;" "&amp;'IND TECH'!G2970&amp;" "&amp;'IND TECH'!H2970</f>
        <v xml:space="preserve">       </v>
      </c>
      <c r="E2972" t="e">
        <f t="shared" si="26"/>
        <v>#REF!</v>
      </c>
      <c r="F2972" t="e">
        <f>'IND TECH'!#REF!</f>
        <v>#REF!</v>
      </c>
    </row>
    <row r="2973" spans="3:6" x14ac:dyDescent="0.25">
      <c r="C2973">
        <f>'IND TECH'!L2971</f>
        <v>0</v>
      </c>
      <c r="D2973" t="str">
        <f>'IND TECH'!A2971&amp;" "&amp;'IND TECH'!B2971&amp;" "&amp;'IND TECH'!C2971&amp;" "&amp;'IND TECH'!D2971&amp;" "&amp;'IND TECH'!E2971&amp;" "&amp;'IND TECH'!F2971&amp;" "&amp;'IND TECH'!G2971&amp;" "&amp;'IND TECH'!H2971</f>
        <v xml:space="preserve">       </v>
      </c>
      <c r="E2973" t="e">
        <f t="shared" si="26"/>
        <v>#REF!</v>
      </c>
      <c r="F2973" t="e">
        <f>'IND TECH'!#REF!</f>
        <v>#REF!</v>
      </c>
    </row>
    <row r="2974" spans="3:6" x14ac:dyDescent="0.25">
      <c r="C2974">
        <f>'IND TECH'!L2972</f>
        <v>0</v>
      </c>
      <c r="D2974" t="str">
        <f>'IND TECH'!A2972&amp;" "&amp;'IND TECH'!B2972&amp;" "&amp;'IND TECH'!C2972&amp;" "&amp;'IND TECH'!D2972&amp;" "&amp;'IND TECH'!E2972&amp;" "&amp;'IND TECH'!F2972&amp;" "&amp;'IND TECH'!G2972&amp;" "&amp;'IND TECH'!H2972</f>
        <v xml:space="preserve">       </v>
      </c>
      <c r="E2974" t="e">
        <f t="shared" si="26"/>
        <v>#REF!</v>
      </c>
      <c r="F2974" t="e">
        <f>'IND TECH'!#REF!</f>
        <v>#REF!</v>
      </c>
    </row>
    <row r="2975" spans="3:6" x14ac:dyDescent="0.25">
      <c r="C2975">
        <f>'IND TECH'!L2973</f>
        <v>0</v>
      </c>
      <c r="D2975" t="str">
        <f>'IND TECH'!A2973&amp;" "&amp;'IND TECH'!B2973&amp;" "&amp;'IND TECH'!C2973&amp;" "&amp;'IND TECH'!D2973&amp;" "&amp;'IND TECH'!E2973&amp;" "&amp;'IND TECH'!F2973&amp;" "&amp;'IND TECH'!G2973&amp;" "&amp;'IND TECH'!H2973</f>
        <v xml:space="preserve">       </v>
      </c>
      <c r="E2975" t="e">
        <f t="shared" si="26"/>
        <v>#REF!</v>
      </c>
      <c r="F2975" t="e">
        <f>'IND TECH'!#REF!</f>
        <v>#REF!</v>
      </c>
    </row>
    <row r="2976" spans="3:6" x14ac:dyDescent="0.25">
      <c r="C2976">
        <f>'IND TECH'!L2974</f>
        <v>0</v>
      </c>
      <c r="D2976" t="str">
        <f>'IND TECH'!A2974&amp;" "&amp;'IND TECH'!B2974&amp;" "&amp;'IND TECH'!C2974&amp;" "&amp;'IND TECH'!D2974&amp;" "&amp;'IND TECH'!E2974&amp;" "&amp;'IND TECH'!F2974&amp;" "&amp;'IND TECH'!G2974&amp;" "&amp;'IND TECH'!H2974</f>
        <v xml:space="preserve">       </v>
      </c>
      <c r="E2976" t="e">
        <f t="shared" si="26"/>
        <v>#REF!</v>
      </c>
      <c r="F2976" t="e">
        <f>'IND TECH'!#REF!</f>
        <v>#REF!</v>
      </c>
    </row>
    <row r="2977" spans="3:6" x14ac:dyDescent="0.25">
      <c r="C2977">
        <f>'IND TECH'!L2975</f>
        <v>0</v>
      </c>
      <c r="D2977" t="str">
        <f>'IND TECH'!A2975&amp;" "&amp;'IND TECH'!B2975&amp;" "&amp;'IND TECH'!C2975&amp;" "&amp;'IND TECH'!D2975&amp;" "&amp;'IND TECH'!E2975&amp;" "&amp;'IND TECH'!F2975&amp;" "&amp;'IND TECH'!G2975&amp;" "&amp;'IND TECH'!H2975</f>
        <v xml:space="preserve">       </v>
      </c>
      <c r="E2977" t="e">
        <f t="shared" si="26"/>
        <v>#REF!</v>
      </c>
      <c r="F2977" t="e">
        <f>'IND TECH'!#REF!</f>
        <v>#REF!</v>
      </c>
    </row>
    <row r="2978" spans="3:6" x14ac:dyDescent="0.25">
      <c r="C2978">
        <f>'IND TECH'!L2976</f>
        <v>0</v>
      </c>
      <c r="D2978" t="str">
        <f>'IND TECH'!A2976&amp;" "&amp;'IND TECH'!B2976&amp;" "&amp;'IND TECH'!C2976&amp;" "&amp;'IND TECH'!D2976&amp;" "&amp;'IND TECH'!E2976&amp;" "&amp;'IND TECH'!F2976&amp;" "&amp;'IND TECH'!G2976&amp;" "&amp;'IND TECH'!H2976</f>
        <v xml:space="preserve">       </v>
      </c>
      <c r="E2978" t="e">
        <f t="shared" si="26"/>
        <v>#REF!</v>
      </c>
      <c r="F2978" t="e">
        <f>'IND TECH'!#REF!</f>
        <v>#REF!</v>
      </c>
    </row>
    <row r="2979" spans="3:6" x14ac:dyDescent="0.25">
      <c r="C2979">
        <f>'IND TECH'!L2977</f>
        <v>0</v>
      </c>
      <c r="D2979" t="str">
        <f>'IND TECH'!A2977&amp;" "&amp;'IND TECH'!B2977&amp;" "&amp;'IND TECH'!C2977&amp;" "&amp;'IND TECH'!D2977&amp;" "&amp;'IND TECH'!E2977&amp;" "&amp;'IND TECH'!F2977&amp;" "&amp;'IND TECH'!G2977&amp;" "&amp;'IND TECH'!H2977</f>
        <v xml:space="preserve">       </v>
      </c>
      <c r="E2979" t="e">
        <f t="shared" si="26"/>
        <v>#REF!</v>
      </c>
      <c r="F2979" t="e">
        <f>'IND TECH'!#REF!</f>
        <v>#REF!</v>
      </c>
    </row>
    <row r="2980" spans="3:6" x14ac:dyDescent="0.25">
      <c r="C2980">
        <f>'IND TECH'!L2978</f>
        <v>0</v>
      </c>
      <c r="D2980" t="str">
        <f>'IND TECH'!A2978&amp;" "&amp;'IND TECH'!B2978&amp;" "&amp;'IND TECH'!C2978&amp;" "&amp;'IND TECH'!D2978&amp;" "&amp;'IND TECH'!E2978&amp;" "&amp;'IND TECH'!F2978&amp;" "&amp;'IND TECH'!G2978&amp;" "&amp;'IND TECH'!H2978</f>
        <v xml:space="preserve">       </v>
      </c>
      <c r="E2980" t="e">
        <f t="shared" ref="E2980:E3043" si="27">IF(F2980="Mlma","Mlm","TJ")</f>
        <v>#REF!</v>
      </c>
      <c r="F2980" t="e">
        <f>'IND TECH'!#REF!</f>
        <v>#REF!</v>
      </c>
    </row>
    <row r="2981" spans="3:6" x14ac:dyDescent="0.25">
      <c r="C2981">
        <f>'IND TECH'!L2979</f>
        <v>0</v>
      </c>
      <c r="D2981" t="str">
        <f>'IND TECH'!A2979&amp;" "&amp;'IND TECH'!B2979&amp;" "&amp;'IND TECH'!C2979&amp;" "&amp;'IND TECH'!D2979&amp;" "&amp;'IND TECH'!E2979&amp;" "&amp;'IND TECH'!F2979&amp;" "&amp;'IND TECH'!G2979&amp;" "&amp;'IND TECH'!H2979</f>
        <v xml:space="preserve">       </v>
      </c>
      <c r="E2981" t="e">
        <f t="shared" si="27"/>
        <v>#REF!</v>
      </c>
      <c r="F2981" t="e">
        <f>'IND TECH'!#REF!</f>
        <v>#REF!</v>
      </c>
    </row>
    <row r="2982" spans="3:6" x14ac:dyDescent="0.25">
      <c r="C2982">
        <f>'IND TECH'!L2980</f>
        <v>0</v>
      </c>
      <c r="D2982" t="str">
        <f>'IND TECH'!A2980&amp;" "&amp;'IND TECH'!B2980&amp;" "&amp;'IND TECH'!C2980&amp;" "&amp;'IND TECH'!D2980&amp;" "&amp;'IND TECH'!E2980&amp;" "&amp;'IND TECH'!F2980&amp;" "&amp;'IND TECH'!G2980&amp;" "&amp;'IND TECH'!H2980</f>
        <v xml:space="preserve">       </v>
      </c>
      <c r="E2982" t="e">
        <f t="shared" si="27"/>
        <v>#REF!</v>
      </c>
      <c r="F2982" t="e">
        <f>'IND TECH'!#REF!</f>
        <v>#REF!</v>
      </c>
    </row>
    <row r="2983" spans="3:6" x14ac:dyDescent="0.25">
      <c r="C2983">
        <f>'IND TECH'!L2981</f>
        <v>0</v>
      </c>
      <c r="D2983" t="str">
        <f>'IND TECH'!A2981&amp;" "&amp;'IND TECH'!B2981&amp;" "&amp;'IND TECH'!C2981&amp;" "&amp;'IND TECH'!D2981&amp;" "&amp;'IND TECH'!E2981&amp;" "&amp;'IND TECH'!F2981&amp;" "&amp;'IND TECH'!G2981&amp;" "&amp;'IND TECH'!H2981</f>
        <v xml:space="preserve">       </v>
      </c>
      <c r="E2983" t="e">
        <f t="shared" si="27"/>
        <v>#REF!</v>
      </c>
      <c r="F2983" t="e">
        <f>'IND TECH'!#REF!</f>
        <v>#REF!</v>
      </c>
    </row>
    <row r="2984" spans="3:6" x14ac:dyDescent="0.25">
      <c r="C2984">
        <f>'IND TECH'!L2982</f>
        <v>0</v>
      </c>
      <c r="D2984" t="str">
        <f>'IND TECH'!A2982&amp;" "&amp;'IND TECH'!B2982&amp;" "&amp;'IND TECH'!C2982&amp;" "&amp;'IND TECH'!D2982&amp;" "&amp;'IND TECH'!E2982&amp;" "&amp;'IND TECH'!F2982&amp;" "&amp;'IND TECH'!G2982&amp;" "&amp;'IND TECH'!H2982</f>
        <v xml:space="preserve">       </v>
      </c>
      <c r="E2984" t="e">
        <f t="shared" si="27"/>
        <v>#REF!</v>
      </c>
      <c r="F2984" t="e">
        <f>'IND TECH'!#REF!</f>
        <v>#REF!</v>
      </c>
    </row>
    <row r="2985" spans="3:6" x14ac:dyDescent="0.25">
      <c r="C2985">
        <f>'IND TECH'!L2983</f>
        <v>0</v>
      </c>
      <c r="D2985" t="str">
        <f>'IND TECH'!A2983&amp;" "&amp;'IND TECH'!B2983&amp;" "&amp;'IND TECH'!C2983&amp;" "&amp;'IND TECH'!D2983&amp;" "&amp;'IND TECH'!E2983&amp;" "&amp;'IND TECH'!F2983&amp;" "&amp;'IND TECH'!G2983&amp;" "&amp;'IND TECH'!H2983</f>
        <v xml:space="preserve">       </v>
      </c>
      <c r="E2985" t="e">
        <f t="shared" si="27"/>
        <v>#REF!</v>
      </c>
      <c r="F2985" t="e">
        <f>'IND TECH'!#REF!</f>
        <v>#REF!</v>
      </c>
    </row>
    <row r="2986" spans="3:6" x14ac:dyDescent="0.25">
      <c r="C2986">
        <f>'IND TECH'!L2984</f>
        <v>0</v>
      </c>
      <c r="D2986" t="str">
        <f>'IND TECH'!A2984&amp;" "&amp;'IND TECH'!B2984&amp;" "&amp;'IND TECH'!C2984&amp;" "&amp;'IND TECH'!D2984&amp;" "&amp;'IND TECH'!E2984&amp;" "&amp;'IND TECH'!F2984&amp;" "&amp;'IND TECH'!G2984&amp;" "&amp;'IND TECH'!H2984</f>
        <v xml:space="preserve">       </v>
      </c>
      <c r="E2986" t="e">
        <f t="shared" si="27"/>
        <v>#REF!</v>
      </c>
      <c r="F2986" t="e">
        <f>'IND TECH'!#REF!</f>
        <v>#REF!</v>
      </c>
    </row>
    <row r="2987" spans="3:6" x14ac:dyDescent="0.25">
      <c r="C2987">
        <f>'IND TECH'!L2985</f>
        <v>0</v>
      </c>
      <c r="D2987" t="str">
        <f>'IND TECH'!A2985&amp;" "&amp;'IND TECH'!B2985&amp;" "&amp;'IND TECH'!C2985&amp;" "&amp;'IND TECH'!D2985&amp;" "&amp;'IND TECH'!E2985&amp;" "&amp;'IND TECH'!F2985&amp;" "&amp;'IND TECH'!G2985&amp;" "&amp;'IND TECH'!H2985</f>
        <v xml:space="preserve">       </v>
      </c>
      <c r="E2987" t="e">
        <f t="shared" si="27"/>
        <v>#REF!</v>
      </c>
      <c r="F2987" t="e">
        <f>'IND TECH'!#REF!</f>
        <v>#REF!</v>
      </c>
    </row>
    <row r="2988" spans="3:6" x14ac:dyDescent="0.25">
      <c r="C2988">
        <f>'IND TECH'!L2986</f>
        <v>0</v>
      </c>
      <c r="D2988" t="str">
        <f>'IND TECH'!A2986&amp;" "&amp;'IND TECH'!B2986&amp;" "&amp;'IND TECH'!C2986&amp;" "&amp;'IND TECH'!D2986&amp;" "&amp;'IND TECH'!E2986&amp;" "&amp;'IND TECH'!F2986&amp;" "&amp;'IND TECH'!G2986&amp;" "&amp;'IND TECH'!H2986</f>
        <v xml:space="preserve">       </v>
      </c>
      <c r="E2988" t="e">
        <f t="shared" si="27"/>
        <v>#REF!</v>
      </c>
      <c r="F2988" t="e">
        <f>'IND TECH'!#REF!</f>
        <v>#REF!</v>
      </c>
    </row>
    <row r="2989" spans="3:6" x14ac:dyDescent="0.25">
      <c r="C2989">
        <f>'IND TECH'!L2987</f>
        <v>0</v>
      </c>
      <c r="D2989" t="str">
        <f>'IND TECH'!A2987&amp;" "&amp;'IND TECH'!B2987&amp;" "&amp;'IND TECH'!C2987&amp;" "&amp;'IND TECH'!D2987&amp;" "&amp;'IND TECH'!E2987&amp;" "&amp;'IND TECH'!F2987&amp;" "&amp;'IND TECH'!G2987&amp;" "&amp;'IND TECH'!H2987</f>
        <v xml:space="preserve">       </v>
      </c>
      <c r="E2989" t="e">
        <f t="shared" si="27"/>
        <v>#REF!</v>
      </c>
      <c r="F2989" t="e">
        <f>'IND TECH'!#REF!</f>
        <v>#REF!</v>
      </c>
    </row>
    <row r="2990" spans="3:6" x14ac:dyDescent="0.25">
      <c r="C2990">
        <f>'IND TECH'!L2988</f>
        <v>0</v>
      </c>
      <c r="D2990" t="str">
        <f>'IND TECH'!A2988&amp;" "&amp;'IND TECH'!B2988&amp;" "&amp;'IND TECH'!C2988&amp;" "&amp;'IND TECH'!D2988&amp;" "&amp;'IND TECH'!E2988&amp;" "&amp;'IND TECH'!F2988&amp;" "&amp;'IND TECH'!G2988&amp;" "&amp;'IND TECH'!H2988</f>
        <v xml:space="preserve">       </v>
      </c>
      <c r="E2990" t="e">
        <f t="shared" si="27"/>
        <v>#REF!</v>
      </c>
      <c r="F2990" t="e">
        <f>'IND TECH'!#REF!</f>
        <v>#REF!</v>
      </c>
    </row>
    <row r="2991" spans="3:6" x14ac:dyDescent="0.25">
      <c r="C2991">
        <f>'IND TECH'!L2989</f>
        <v>0</v>
      </c>
      <c r="D2991" t="str">
        <f>'IND TECH'!A2989&amp;" "&amp;'IND TECH'!B2989&amp;" "&amp;'IND TECH'!C2989&amp;" "&amp;'IND TECH'!D2989&amp;" "&amp;'IND TECH'!E2989&amp;" "&amp;'IND TECH'!F2989&amp;" "&amp;'IND TECH'!G2989&amp;" "&amp;'IND TECH'!H2989</f>
        <v xml:space="preserve">       </v>
      </c>
      <c r="E2991" t="e">
        <f t="shared" si="27"/>
        <v>#REF!</v>
      </c>
      <c r="F2991" t="e">
        <f>'IND TECH'!#REF!</f>
        <v>#REF!</v>
      </c>
    </row>
    <row r="2992" spans="3:6" x14ac:dyDescent="0.25">
      <c r="C2992">
        <f>'IND TECH'!L2990</f>
        <v>0</v>
      </c>
      <c r="D2992" t="str">
        <f>'IND TECH'!A2990&amp;" "&amp;'IND TECH'!B2990&amp;" "&amp;'IND TECH'!C2990&amp;" "&amp;'IND TECH'!D2990&amp;" "&amp;'IND TECH'!E2990&amp;" "&amp;'IND TECH'!F2990&amp;" "&amp;'IND TECH'!G2990&amp;" "&amp;'IND TECH'!H2990</f>
        <v xml:space="preserve">       </v>
      </c>
      <c r="E2992" t="e">
        <f t="shared" si="27"/>
        <v>#REF!</v>
      </c>
      <c r="F2992" t="e">
        <f>'IND TECH'!#REF!</f>
        <v>#REF!</v>
      </c>
    </row>
    <row r="2993" spans="3:6" x14ac:dyDescent="0.25">
      <c r="C2993">
        <f>'IND TECH'!L2991</f>
        <v>0</v>
      </c>
      <c r="D2993" t="str">
        <f>'IND TECH'!A2991&amp;" "&amp;'IND TECH'!B2991&amp;" "&amp;'IND TECH'!C2991&amp;" "&amp;'IND TECH'!D2991&amp;" "&amp;'IND TECH'!E2991&amp;" "&amp;'IND TECH'!F2991&amp;" "&amp;'IND TECH'!G2991&amp;" "&amp;'IND TECH'!H2991</f>
        <v xml:space="preserve">       </v>
      </c>
      <c r="E2993" t="e">
        <f t="shared" si="27"/>
        <v>#REF!</v>
      </c>
      <c r="F2993" t="e">
        <f>'IND TECH'!#REF!</f>
        <v>#REF!</v>
      </c>
    </row>
    <row r="2994" spans="3:6" x14ac:dyDescent="0.25">
      <c r="C2994">
        <f>'IND TECH'!L2992</f>
        <v>0</v>
      </c>
      <c r="D2994" t="str">
        <f>'IND TECH'!A2992&amp;" "&amp;'IND TECH'!B2992&amp;" "&amp;'IND TECH'!C2992&amp;" "&amp;'IND TECH'!D2992&amp;" "&amp;'IND TECH'!E2992&amp;" "&amp;'IND TECH'!F2992&amp;" "&amp;'IND TECH'!G2992&amp;" "&amp;'IND TECH'!H2992</f>
        <v xml:space="preserve">       </v>
      </c>
      <c r="E2994" t="e">
        <f t="shared" si="27"/>
        <v>#REF!</v>
      </c>
      <c r="F2994" t="e">
        <f>'IND TECH'!#REF!</f>
        <v>#REF!</v>
      </c>
    </row>
    <row r="2995" spans="3:6" x14ac:dyDescent="0.25">
      <c r="C2995">
        <f>'IND TECH'!L2993</f>
        <v>0</v>
      </c>
      <c r="D2995" t="str">
        <f>'IND TECH'!A2993&amp;" "&amp;'IND TECH'!B2993&amp;" "&amp;'IND TECH'!C2993&amp;" "&amp;'IND TECH'!D2993&amp;" "&amp;'IND TECH'!E2993&amp;" "&amp;'IND TECH'!F2993&amp;" "&amp;'IND TECH'!G2993&amp;" "&amp;'IND TECH'!H2993</f>
        <v xml:space="preserve">       </v>
      </c>
      <c r="E2995" t="e">
        <f t="shared" si="27"/>
        <v>#REF!</v>
      </c>
      <c r="F2995" t="e">
        <f>'IND TECH'!#REF!</f>
        <v>#REF!</v>
      </c>
    </row>
    <row r="2996" spans="3:6" x14ac:dyDescent="0.25">
      <c r="C2996">
        <f>'IND TECH'!L2994</f>
        <v>0</v>
      </c>
      <c r="D2996" t="str">
        <f>'IND TECH'!A2994&amp;" "&amp;'IND TECH'!B2994&amp;" "&amp;'IND TECH'!C2994&amp;" "&amp;'IND TECH'!D2994&amp;" "&amp;'IND TECH'!E2994&amp;" "&amp;'IND TECH'!F2994&amp;" "&amp;'IND TECH'!G2994&amp;" "&amp;'IND TECH'!H2994</f>
        <v xml:space="preserve">       </v>
      </c>
      <c r="E2996" t="e">
        <f t="shared" si="27"/>
        <v>#REF!</v>
      </c>
      <c r="F2996" t="e">
        <f>'IND TECH'!#REF!</f>
        <v>#REF!</v>
      </c>
    </row>
    <row r="2997" spans="3:6" x14ac:dyDescent="0.25">
      <c r="C2997">
        <f>'IND TECH'!L2995</f>
        <v>0</v>
      </c>
      <c r="D2997" t="str">
        <f>'IND TECH'!A2995&amp;" "&amp;'IND TECH'!B2995&amp;" "&amp;'IND TECH'!C2995&amp;" "&amp;'IND TECH'!D2995&amp;" "&amp;'IND TECH'!E2995&amp;" "&amp;'IND TECH'!F2995&amp;" "&amp;'IND TECH'!G2995&amp;" "&amp;'IND TECH'!H2995</f>
        <v xml:space="preserve">       </v>
      </c>
      <c r="E2997" t="e">
        <f t="shared" si="27"/>
        <v>#REF!</v>
      </c>
      <c r="F2997" t="e">
        <f>'IND TECH'!#REF!</f>
        <v>#REF!</v>
      </c>
    </row>
    <row r="2998" spans="3:6" x14ac:dyDescent="0.25">
      <c r="C2998">
        <f>'IND TECH'!L2996</f>
        <v>0</v>
      </c>
      <c r="D2998" t="str">
        <f>'IND TECH'!A2996&amp;" "&amp;'IND TECH'!B2996&amp;" "&amp;'IND TECH'!C2996&amp;" "&amp;'IND TECH'!D2996&amp;" "&amp;'IND TECH'!E2996&amp;" "&amp;'IND TECH'!F2996&amp;" "&amp;'IND TECH'!G2996&amp;" "&amp;'IND TECH'!H2996</f>
        <v xml:space="preserve">       </v>
      </c>
      <c r="E2998" t="e">
        <f t="shared" si="27"/>
        <v>#REF!</v>
      </c>
      <c r="F2998" t="e">
        <f>'IND TECH'!#REF!</f>
        <v>#REF!</v>
      </c>
    </row>
    <row r="2999" spans="3:6" x14ac:dyDescent="0.25">
      <c r="C2999">
        <f>'IND TECH'!L2997</f>
        <v>0</v>
      </c>
      <c r="D2999" t="str">
        <f>'IND TECH'!A2997&amp;" "&amp;'IND TECH'!B2997&amp;" "&amp;'IND TECH'!C2997&amp;" "&amp;'IND TECH'!D2997&amp;" "&amp;'IND TECH'!E2997&amp;" "&amp;'IND TECH'!F2997&amp;" "&amp;'IND TECH'!G2997&amp;" "&amp;'IND TECH'!H2997</f>
        <v xml:space="preserve">       </v>
      </c>
      <c r="E2999" t="e">
        <f t="shared" si="27"/>
        <v>#REF!</v>
      </c>
      <c r="F2999" t="e">
        <f>'IND TECH'!#REF!</f>
        <v>#REF!</v>
      </c>
    </row>
    <row r="3000" spans="3:6" x14ac:dyDescent="0.25">
      <c r="C3000">
        <f>'IND TECH'!L2998</f>
        <v>0</v>
      </c>
      <c r="D3000" t="str">
        <f>'IND TECH'!A2998&amp;" "&amp;'IND TECH'!B2998&amp;" "&amp;'IND TECH'!C2998&amp;" "&amp;'IND TECH'!D2998&amp;" "&amp;'IND TECH'!E2998&amp;" "&amp;'IND TECH'!F2998&amp;" "&amp;'IND TECH'!G2998&amp;" "&amp;'IND TECH'!H2998</f>
        <v xml:space="preserve">       </v>
      </c>
      <c r="E3000" t="e">
        <f t="shared" si="27"/>
        <v>#REF!</v>
      </c>
      <c r="F3000" t="e">
        <f>'IND TECH'!#REF!</f>
        <v>#REF!</v>
      </c>
    </row>
    <row r="3001" spans="3:6" x14ac:dyDescent="0.25">
      <c r="C3001">
        <f>'IND TECH'!L2999</f>
        <v>0</v>
      </c>
      <c r="D3001" t="str">
        <f>'IND TECH'!A2999&amp;" "&amp;'IND TECH'!B2999&amp;" "&amp;'IND TECH'!C2999&amp;" "&amp;'IND TECH'!D2999&amp;" "&amp;'IND TECH'!E2999&amp;" "&amp;'IND TECH'!F2999&amp;" "&amp;'IND TECH'!G2999&amp;" "&amp;'IND TECH'!H2999</f>
        <v xml:space="preserve">       </v>
      </c>
      <c r="E3001" t="e">
        <f t="shared" si="27"/>
        <v>#REF!</v>
      </c>
      <c r="F3001" t="e">
        <f>'IND TECH'!#REF!</f>
        <v>#REF!</v>
      </c>
    </row>
    <row r="3002" spans="3:6" x14ac:dyDescent="0.25">
      <c r="C3002">
        <f>'IND TECH'!L3000</f>
        <v>0</v>
      </c>
      <c r="D3002" t="str">
        <f>'IND TECH'!A3000&amp;" "&amp;'IND TECH'!B3000&amp;" "&amp;'IND TECH'!C3000&amp;" "&amp;'IND TECH'!D3000&amp;" "&amp;'IND TECH'!E3000&amp;" "&amp;'IND TECH'!F3000&amp;" "&amp;'IND TECH'!G3000&amp;" "&amp;'IND TECH'!H3000</f>
        <v xml:space="preserve">       </v>
      </c>
      <c r="E3002" t="e">
        <f t="shared" si="27"/>
        <v>#REF!</v>
      </c>
      <c r="F3002" t="e">
        <f>'IND TECH'!#REF!</f>
        <v>#REF!</v>
      </c>
    </row>
    <row r="3003" spans="3:6" x14ac:dyDescent="0.25">
      <c r="C3003">
        <f>'IND TECH'!L3001</f>
        <v>0</v>
      </c>
      <c r="D3003" t="str">
        <f>'IND TECH'!A3001&amp;" "&amp;'IND TECH'!B3001&amp;" "&amp;'IND TECH'!C3001&amp;" "&amp;'IND TECH'!D3001&amp;" "&amp;'IND TECH'!E3001&amp;" "&amp;'IND TECH'!F3001&amp;" "&amp;'IND TECH'!G3001&amp;" "&amp;'IND TECH'!H3001</f>
        <v xml:space="preserve">       </v>
      </c>
      <c r="E3003" t="e">
        <f t="shared" si="27"/>
        <v>#REF!</v>
      </c>
      <c r="F3003" t="e">
        <f>'IND TECH'!#REF!</f>
        <v>#REF!</v>
      </c>
    </row>
    <row r="3004" spans="3:6" x14ac:dyDescent="0.25">
      <c r="C3004">
        <f>'IND TECH'!L3002</f>
        <v>0</v>
      </c>
      <c r="D3004" t="str">
        <f>'IND TECH'!A3002&amp;" "&amp;'IND TECH'!B3002&amp;" "&amp;'IND TECH'!C3002&amp;" "&amp;'IND TECH'!D3002&amp;" "&amp;'IND TECH'!E3002&amp;" "&amp;'IND TECH'!F3002&amp;" "&amp;'IND TECH'!G3002&amp;" "&amp;'IND TECH'!H3002</f>
        <v xml:space="preserve">       </v>
      </c>
      <c r="E3004" t="e">
        <f t="shared" si="27"/>
        <v>#REF!</v>
      </c>
      <c r="F3004" t="e">
        <f>'IND TECH'!#REF!</f>
        <v>#REF!</v>
      </c>
    </row>
    <row r="3005" spans="3:6" x14ac:dyDescent="0.25">
      <c r="C3005">
        <f>'IND TECH'!L3003</f>
        <v>0</v>
      </c>
      <c r="D3005" t="str">
        <f>'IND TECH'!A3003&amp;" "&amp;'IND TECH'!B3003&amp;" "&amp;'IND TECH'!C3003&amp;" "&amp;'IND TECH'!D3003&amp;" "&amp;'IND TECH'!E3003&amp;" "&amp;'IND TECH'!F3003&amp;" "&amp;'IND TECH'!G3003&amp;" "&amp;'IND TECH'!H3003</f>
        <v xml:space="preserve">       </v>
      </c>
      <c r="E3005" t="e">
        <f t="shared" si="27"/>
        <v>#REF!</v>
      </c>
      <c r="F3005" t="e">
        <f>'IND TECH'!#REF!</f>
        <v>#REF!</v>
      </c>
    </row>
    <row r="3006" spans="3:6" x14ac:dyDescent="0.25">
      <c r="C3006">
        <f>'IND TECH'!L3004</f>
        <v>0</v>
      </c>
      <c r="D3006" t="str">
        <f>'IND TECH'!A3004&amp;" "&amp;'IND TECH'!B3004&amp;" "&amp;'IND TECH'!C3004&amp;" "&amp;'IND TECH'!D3004&amp;" "&amp;'IND TECH'!E3004&amp;" "&amp;'IND TECH'!F3004&amp;" "&amp;'IND TECH'!G3004&amp;" "&amp;'IND TECH'!H3004</f>
        <v xml:space="preserve">       </v>
      </c>
      <c r="E3006" t="e">
        <f t="shared" si="27"/>
        <v>#REF!</v>
      </c>
      <c r="F3006" t="e">
        <f>'IND TECH'!#REF!</f>
        <v>#REF!</v>
      </c>
    </row>
    <row r="3007" spans="3:6" x14ac:dyDescent="0.25">
      <c r="C3007">
        <f>'IND TECH'!L3005</f>
        <v>0</v>
      </c>
      <c r="D3007" t="str">
        <f>'IND TECH'!A3005&amp;" "&amp;'IND TECH'!B3005&amp;" "&amp;'IND TECH'!C3005&amp;" "&amp;'IND TECH'!D3005&amp;" "&amp;'IND TECH'!E3005&amp;" "&amp;'IND TECH'!F3005&amp;" "&amp;'IND TECH'!G3005&amp;" "&amp;'IND TECH'!H3005</f>
        <v xml:space="preserve">       </v>
      </c>
      <c r="E3007" t="e">
        <f t="shared" si="27"/>
        <v>#REF!</v>
      </c>
      <c r="F3007" t="e">
        <f>'IND TECH'!#REF!</f>
        <v>#REF!</v>
      </c>
    </row>
    <row r="3008" spans="3:6" x14ac:dyDescent="0.25">
      <c r="C3008">
        <f>'IND TECH'!L3006</f>
        <v>0</v>
      </c>
      <c r="D3008" t="str">
        <f>'IND TECH'!A3006&amp;" "&amp;'IND TECH'!B3006&amp;" "&amp;'IND TECH'!C3006&amp;" "&amp;'IND TECH'!D3006&amp;" "&amp;'IND TECH'!E3006&amp;" "&amp;'IND TECH'!F3006&amp;" "&amp;'IND TECH'!G3006&amp;" "&amp;'IND TECH'!H3006</f>
        <v xml:space="preserve">       </v>
      </c>
      <c r="E3008" t="e">
        <f t="shared" si="27"/>
        <v>#REF!</v>
      </c>
      <c r="F3008" t="e">
        <f>'IND TECH'!#REF!</f>
        <v>#REF!</v>
      </c>
    </row>
    <row r="3009" spans="3:6" x14ac:dyDescent="0.25">
      <c r="C3009">
        <f>'IND TECH'!L3007</f>
        <v>0</v>
      </c>
      <c r="D3009" t="str">
        <f>'IND TECH'!A3007&amp;" "&amp;'IND TECH'!B3007&amp;" "&amp;'IND TECH'!C3007&amp;" "&amp;'IND TECH'!D3007&amp;" "&amp;'IND TECH'!E3007&amp;" "&amp;'IND TECH'!F3007&amp;" "&amp;'IND TECH'!G3007&amp;" "&amp;'IND TECH'!H3007</f>
        <v xml:space="preserve">       </v>
      </c>
      <c r="E3009" t="e">
        <f t="shared" si="27"/>
        <v>#REF!</v>
      </c>
      <c r="F3009" t="e">
        <f>'IND TECH'!#REF!</f>
        <v>#REF!</v>
      </c>
    </row>
    <row r="3010" spans="3:6" x14ac:dyDescent="0.25">
      <c r="C3010">
        <f>'IND TECH'!L3008</f>
        <v>0</v>
      </c>
      <c r="D3010" t="str">
        <f>'IND TECH'!A3008&amp;" "&amp;'IND TECH'!B3008&amp;" "&amp;'IND TECH'!C3008&amp;" "&amp;'IND TECH'!D3008&amp;" "&amp;'IND TECH'!E3008&amp;" "&amp;'IND TECH'!F3008&amp;" "&amp;'IND TECH'!G3008&amp;" "&amp;'IND TECH'!H3008</f>
        <v xml:space="preserve">       </v>
      </c>
      <c r="E3010" t="e">
        <f t="shared" si="27"/>
        <v>#REF!</v>
      </c>
      <c r="F3010" t="e">
        <f>'IND TECH'!#REF!</f>
        <v>#REF!</v>
      </c>
    </row>
    <row r="3011" spans="3:6" x14ac:dyDescent="0.25">
      <c r="C3011">
        <f>'IND TECH'!L3009</f>
        <v>0</v>
      </c>
      <c r="D3011" t="str">
        <f>'IND TECH'!A3009&amp;" "&amp;'IND TECH'!B3009&amp;" "&amp;'IND TECH'!C3009&amp;" "&amp;'IND TECH'!D3009&amp;" "&amp;'IND TECH'!E3009&amp;" "&amp;'IND TECH'!F3009&amp;" "&amp;'IND TECH'!G3009&amp;" "&amp;'IND TECH'!H3009</f>
        <v xml:space="preserve">       </v>
      </c>
      <c r="E3011" t="e">
        <f t="shared" si="27"/>
        <v>#REF!</v>
      </c>
      <c r="F3011" t="e">
        <f>'IND TECH'!#REF!</f>
        <v>#REF!</v>
      </c>
    </row>
    <row r="3012" spans="3:6" x14ac:dyDescent="0.25">
      <c r="C3012">
        <f>'IND TECH'!L3010</f>
        <v>0</v>
      </c>
      <c r="D3012" t="str">
        <f>'IND TECH'!A3010&amp;" "&amp;'IND TECH'!B3010&amp;" "&amp;'IND TECH'!C3010&amp;" "&amp;'IND TECH'!D3010&amp;" "&amp;'IND TECH'!E3010&amp;" "&amp;'IND TECH'!F3010&amp;" "&amp;'IND TECH'!G3010&amp;" "&amp;'IND TECH'!H3010</f>
        <v xml:space="preserve">       </v>
      </c>
      <c r="E3012" t="e">
        <f t="shared" si="27"/>
        <v>#REF!</v>
      </c>
      <c r="F3012" t="e">
        <f>'IND TECH'!#REF!</f>
        <v>#REF!</v>
      </c>
    </row>
    <row r="3013" spans="3:6" x14ac:dyDescent="0.25">
      <c r="C3013">
        <f>'IND TECH'!L3011</f>
        <v>0</v>
      </c>
      <c r="D3013" t="str">
        <f>'IND TECH'!A3011&amp;" "&amp;'IND TECH'!B3011&amp;" "&amp;'IND TECH'!C3011&amp;" "&amp;'IND TECH'!D3011&amp;" "&amp;'IND TECH'!E3011&amp;" "&amp;'IND TECH'!F3011&amp;" "&amp;'IND TECH'!G3011&amp;" "&amp;'IND TECH'!H3011</f>
        <v xml:space="preserve">       </v>
      </c>
      <c r="E3013" t="e">
        <f t="shared" si="27"/>
        <v>#REF!</v>
      </c>
      <c r="F3013" t="e">
        <f>'IND TECH'!#REF!</f>
        <v>#REF!</v>
      </c>
    </row>
    <row r="3014" spans="3:6" x14ac:dyDescent="0.25">
      <c r="C3014">
        <f>'IND TECH'!L3012</f>
        <v>0</v>
      </c>
      <c r="D3014" t="str">
        <f>'IND TECH'!A3012&amp;" "&amp;'IND TECH'!B3012&amp;" "&amp;'IND TECH'!C3012&amp;" "&amp;'IND TECH'!D3012&amp;" "&amp;'IND TECH'!E3012&amp;" "&amp;'IND TECH'!F3012&amp;" "&amp;'IND TECH'!G3012&amp;" "&amp;'IND TECH'!H3012</f>
        <v xml:space="preserve">       </v>
      </c>
      <c r="E3014" t="e">
        <f t="shared" si="27"/>
        <v>#REF!</v>
      </c>
      <c r="F3014" t="e">
        <f>'IND TECH'!#REF!</f>
        <v>#REF!</v>
      </c>
    </row>
    <row r="3015" spans="3:6" x14ac:dyDescent="0.25">
      <c r="C3015">
        <f>'IND TECH'!L3013</f>
        <v>0</v>
      </c>
      <c r="D3015" t="str">
        <f>'IND TECH'!A3013&amp;" "&amp;'IND TECH'!B3013&amp;" "&amp;'IND TECH'!C3013&amp;" "&amp;'IND TECH'!D3013&amp;" "&amp;'IND TECH'!E3013&amp;" "&amp;'IND TECH'!F3013&amp;" "&amp;'IND TECH'!G3013&amp;" "&amp;'IND TECH'!H3013</f>
        <v xml:space="preserve">       </v>
      </c>
      <c r="E3015" t="e">
        <f t="shared" si="27"/>
        <v>#REF!</v>
      </c>
      <c r="F3015" t="e">
        <f>'IND TECH'!#REF!</f>
        <v>#REF!</v>
      </c>
    </row>
    <row r="3016" spans="3:6" x14ac:dyDescent="0.25">
      <c r="C3016">
        <f>'IND TECH'!L3014</f>
        <v>0</v>
      </c>
      <c r="D3016" t="str">
        <f>'IND TECH'!A3014&amp;" "&amp;'IND TECH'!B3014&amp;" "&amp;'IND TECH'!C3014&amp;" "&amp;'IND TECH'!D3014&amp;" "&amp;'IND TECH'!E3014&amp;" "&amp;'IND TECH'!F3014&amp;" "&amp;'IND TECH'!G3014&amp;" "&amp;'IND TECH'!H3014</f>
        <v xml:space="preserve">       </v>
      </c>
      <c r="E3016" t="e">
        <f t="shared" si="27"/>
        <v>#REF!</v>
      </c>
      <c r="F3016" t="e">
        <f>'IND TECH'!#REF!</f>
        <v>#REF!</v>
      </c>
    </row>
    <row r="3017" spans="3:6" x14ac:dyDescent="0.25">
      <c r="C3017">
        <f>'IND TECH'!L3015</f>
        <v>0</v>
      </c>
      <c r="D3017" t="str">
        <f>'IND TECH'!A3015&amp;" "&amp;'IND TECH'!B3015&amp;" "&amp;'IND TECH'!C3015&amp;" "&amp;'IND TECH'!D3015&amp;" "&amp;'IND TECH'!E3015&amp;" "&amp;'IND TECH'!F3015&amp;" "&amp;'IND TECH'!G3015&amp;" "&amp;'IND TECH'!H3015</f>
        <v xml:space="preserve">       </v>
      </c>
      <c r="E3017" t="e">
        <f t="shared" si="27"/>
        <v>#REF!</v>
      </c>
      <c r="F3017" t="e">
        <f>'IND TECH'!#REF!</f>
        <v>#REF!</v>
      </c>
    </row>
    <row r="3018" spans="3:6" x14ac:dyDescent="0.25">
      <c r="C3018">
        <f>'IND TECH'!L3016</f>
        <v>0</v>
      </c>
      <c r="D3018" t="str">
        <f>'IND TECH'!A3016&amp;" "&amp;'IND TECH'!B3016&amp;" "&amp;'IND TECH'!C3016&amp;" "&amp;'IND TECH'!D3016&amp;" "&amp;'IND TECH'!E3016&amp;" "&amp;'IND TECH'!F3016&amp;" "&amp;'IND TECH'!G3016&amp;" "&amp;'IND TECH'!H3016</f>
        <v xml:space="preserve">       </v>
      </c>
      <c r="E3018" t="e">
        <f t="shared" si="27"/>
        <v>#REF!</v>
      </c>
      <c r="F3018" t="e">
        <f>'IND TECH'!#REF!</f>
        <v>#REF!</v>
      </c>
    </row>
    <row r="3019" spans="3:6" x14ac:dyDescent="0.25">
      <c r="C3019">
        <f>'IND TECH'!L3017</f>
        <v>0</v>
      </c>
      <c r="D3019" t="str">
        <f>'IND TECH'!A3017&amp;" "&amp;'IND TECH'!B3017&amp;" "&amp;'IND TECH'!C3017&amp;" "&amp;'IND TECH'!D3017&amp;" "&amp;'IND TECH'!E3017&amp;" "&amp;'IND TECH'!F3017&amp;" "&amp;'IND TECH'!G3017&amp;" "&amp;'IND TECH'!H3017</f>
        <v xml:space="preserve">       </v>
      </c>
      <c r="E3019" t="e">
        <f t="shared" si="27"/>
        <v>#REF!</v>
      </c>
      <c r="F3019" t="e">
        <f>'IND TECH'!#REF!</f>
        <v>#REF!</v>
      </c>
    </row>
    <row r="3020" spans="3:6" x14ac:dyDescent="0.25">
      <c r="C3020">
        <f>'IND TECH'!L3018</f>
        <v>0</v>
      </c>
      <c r="D3020" t="str">
        <f>'IND TECH'!A3018&amp;" "&amp;'IND TECH'!B3018&amp;" "&amp;'IND TECH'!C3018&amp;" "&amp;'IND TECH'!D3018&amp;" "&amp;'IND TECH'!E3018&amp;" "&amp;'IND TECH'!F3018&amp;" "&amp;'IND TECH'!G3018&amp;" "&amp;'IND TECH'!H3018</f>
        <v xml:space="preserve">       </v>
      </c>
      <c r="E3020" t="e">
        <f t="shared" si="27"/>
        <v>#REF!</v>
      </c>
      <c r="F3020" t="e">
        <f>'IND TECH'!#REF!</f>
        <v>#REF!</v>
      </c>
    </row>
    <row r="3021" spans="3:6" x14ac:dyDescent="0.25">
      <c r="C3021">
        <f>'IND TECH'!L3019</f>
        <v>0</v>
      </c>
      <c r="D3021" t="str">
        <f>'IND TECH'!A3019&amp;" "&amp;'IND TECH'!B3019&amp;" "&amp;'IND TECH'!C3019&amp;" "&amp;'IND TECH'!D3019&amp;" "&amp;'IND TECH'!E3019&amp;" "&amp;'IND TECH'!F3019&amp;" "&amp;'IND TECH'!G3019&amp;" "&amp;'IND TECH'!H3019</f>
        <v xml:space="preserve">       </v>
      </c>
      <c r="E3021" t="e">
        <f t="shared" si="27"/>
        <v>#REF!</v>
      </c>
      <c r="F3021" t="e">
        <f>'IND TECH'!#REF!</f>
        <v>#REF!</v>
      </c>
    </row>
    <row r="3022" spans="3:6" x14ac:dyDescent="0.25">
      <c r="C3022">
        <f>'IND TECH'!L3020</f>
        <v>0</v>
      </c>
      <c r="D3022" t="str">
        <f>'IND TECH'!A3020&amp;" "&amp;'IND TECH'!B3020&amp;" "&amp;'IND TECH'!C3020&amp;" "&amp;'IND TECH'!D3020&amp;" "&amp;'IND TECH'!E3020&amp;" "&amp;'IND TECH'!F3020&amp;" "&amp;'IND TECH'!G3020&amp;" "&amp;'IND TECH'!H3020</f>
        <v xml:space="preserve">       </v>
      </c>
      <c r="E3022" t="e">
        <f t="shared" si="27"/>
        <v>#REF!</v>
      </c>
      <c r="F3022" t="e">
        <f>'IND TECH'!#REF!</f>
        <v>#REF!</v>
      </c>
    </row>
    <row r="3023" spans="3:6" x14ac:dyDescent="0.25">
      <c r="C3023">
        <f>'IND TECH'!L3021</f>
        <v>0</v>
      </c>
      <c r="D3023" t="str">
        <f>'IND TECH'!A3021&amp;" "&amp;'IND TECH'!B3021&amp;" "&amp;'IND TECH'!C3021&amp;" "&amp;'IND TECH'!D3021&amp;" "&amp;'IND TECH'!E3021&amp;" "&amp;'IND TECH'!F3021&amp;" "&amp;'IND TECH'!G3021&amp;" "&amp;'IND TECH'!H3021</f>
        <v xml:space="preserve">       </v>
      </c>
      <c r="E3023" t="e">
        <f t="shared" si="27"/>
        <v>#REF!</v>
      </c>
      <c r="F3023" t="e">
        <f>'IND TECH'!#REF!</f>
        <v>#REF!</v>
      </c>
    </row>
    <row r="3024" spans="3:6" x14ac:dyDescent="0.25">
      <c r="C3024">
        <f>'IND TECH'!L3022</f>
        <v>0</v>
      </c>
      <c r="D3024" t="str">
        <f>'IND TECH'!A3022&amp;" "&amp;'IND TECH'!B3022&amp;" "&amp;'IND TECH'!C3022&amp;" "&amp;'IND TECH'!D3022&amp;" "&amp;'IND TECH'!E3022&amp;" "&amp;'IND TECH'!F3022&amp;" "&amp;'IND TECH'!G3022&amp;" "&amp;'IND TECH'!H3022</f>
        <v xml:space="preserve">       </v>
      </c>
      <c r="E3024" t="e">
        <f t="shared" si="27"/>
        <v>#REF!</v>
      </c>
      <c r="F3024" t="e">
        <f>'IND TECH'!#REF!</f>
        <v>#REF!</v>
      </c>
    </row>
    <row r="3025" spans="3:6" x14ac:dyDescent="0.25">
      <c r="C3025">
        <f>'IND TECH'!L3023</f>
        <v>0</v>
      </c>
      <c r="D3025" t="str">
        <f>'IND TECH'!A3023&amp;" "&amp;'IND TECH'!B3023&amp;" "&amp;'IND TECH'!C3023&amp;" "&amp;'IND TECH'!D3023&amp;" "&amp;'IND TECH'!E3023&amp;" "&amp;'IND TECH'!F3023&amp;" "&amp;'IND TECH'!G3023&amp;" "&amp;'IND TECH'!H3023</f>
        <v xml:space="preserve">       </v>
      </c>
      <c r="E3025" t="e">
        <f t="shared" si="27"/>
        <v>#REF!</v>
      </c>
      <c r="F3025" t="e">
        <f>'IND TECH'!#REF!</f>
        <v>#REF!</v>
      </c>
    </row>
    <row r="3026" spans="3:6" x14ac:dyDescent="0.25">
      <c r="C3026">
        <f>'IND TECH'!L3024</f>
        <v>0</v>
      </c>
      <c r="D3026" t="str">
        <f>'IND TECH'!A3024&amp;" "&amp;'IND TECH'!B3024&amp;" "&amp;'IND TECH'!C3024&amp;" "&amp;'IND TECH'!D3024&amp;" "&amp;'IND TECH'!E3024&amp;" "&amp;'IND TECH'!F3024&amp;" "&amp;'IND TECH'!G3024&amp;" "&amp;'IND TECH'!H3024</f>
        <v xml:space="preserve">       </v>
      </c>
      <c r="E3026" t="e">
        <f t="shared" si="27"/>
        <v>#REF!</v>
      </c>
      <c r="F3026" t="e">
        <f>'IND TECH'!#REF!</f>
        <v>#REF!</v>
      </c>
    </row>
    <row r="3027" spans="3:6" x14ac:dyDescent="0.25">
      <c r="C3027">
        <f>'IND TECH'!L3025</f>
        <v>0</v>
      </c>
      <c r="D3027" t="str">
        <f>'IND TECH'!A3025&amp;" "&amp;'IND TECH'!B3025&amp;" "&amp;'IND TECH'!C3025&amp;" "&amp;'IND TECH'!D3025&amp;" "&amp;'IND TECH'!E3025&amp;" "&amp;'IND TECH'!F3025&amp;" "&amp;'IND TECH'!G3025&amp;" "&amp;'IND TECH'!H3025</f>
        <v xml:space="preserve">       </v>
      </c>
      <c r="E3027" t="e">
        <f t="shared" si="27"/>
        <v>#REF!</v>
      </c>
      <c r="F3027" t="e">
        <f>'IND TECH'!#REF!</f>
        <v>#REF!</v>
      </c>
    </row>
    <row r="3028" spans="3:6" x14ac:dyDescent="0.25">
      <c r="C3028">
        <f>'IND TECH'!L3026</f>
        <v>0</v>
      </c>
      <c r="D3028" t="str">
        <f>'IND TECH'!A3026&amp;" "&amp;'IND TECH'!B3026&amp;" "&amp;'IND TECH'!C3026&amp;" "&amp;'IND TECH'!D3026&amp;" "&amp;'IND TECH'!E3026&amp;" "&amp;'IND TECH'!F3026&amp;" "&amp;'IND TECH'!G3026&amp;" "&amp;'IND TECH'!H3026</f>
        <v xml:space="preserve">       </v>
      </c>
      <c r="E3028" t="e">
        <f t="shared" si="27"/>
        <v>#REF!</v>
      </c>
      <c r="F3028" t="e">
        <f>'IND TECH'!#REF!</f>
        <v>#REF!</v>
      </c>
    </row>
    <row r="3029" spans="3:6" x14ac:dyDescent="0.25">
      <c r="C3029">
        <f>'IND TECH'!L3027</f>
        <v>0</v>
      </c>
      <c r="D3029" t="str">
        <f>'IND TECH'!A3027&amp;" "&amp;'IND TECH'!B3027&amp;" "&amp;'IND TECH'!C3027&amp;" "&amp;'IND TECH'!D3027&amp;" "&amp;'IND TECH'!E3027&amp;" "&amp;'IND TECH'!F3027&amp;" "&amp;'IND TECH'!G3027&amp;" "&amp;'IND TECH'!H3027</f>
        <v xml:space="preserve">       </v>
      </c>
      <c r="E3029" t="e">
        <f t="shared" si="27"/>
        <v>#REF!</v>
      </c>
      <c r="F3029" t="e">
        <f>'IND TECH'!#REF!</f>
        <v>#REF!</v>
      </c>
    </row>
    <row r="3030" spans="3:6" x14ac:dyDescent="0.25">
      <c r="C3030">
        <f>'IND TECH'!L3028</f>
        <v>0</v>
      </c>
      <c r="D3030" t="str">
        <f>'IND TECH'!A3028&amp;" "&amp;'IND TECH'!B3028&amp;" "&amp;'IND TECH'!C3028&amp;" "&amp;'IND TECH'!D3028&amp;" "&amp;'IND TECH'!E3028&amp;" "&amp;'IND TECH'!F3028&amp;" "&amp;'IND TECH'!G3028&amp;" "&amp;'IND TECH'!H3028</f>
        <v xml:space="preserve">       </v>
      </c>
      <c r="E3030" t="e">
        <f t="shared" si="27"/>
        <v>#REF!</v>
      </c>
      <c r="F3030" t="e">
        <f>'IND TECH'!#REF!</f>
        <v>#REF!</v>
      </c>
    </row>
    <row r="3031" spans="3:6" x14ac:dyDescent="0.25">
      <c r="C3031">
        <f>'IND TECH'!L3029</f>
        <v>0</v>
      </c>
      <c r="D3031" t="str">
        <f>'IND TECH'!A3029&amp;" "&amp;'IND TECH'!B3029&amp;" "&amp;'IND TECH'!C3029&amp;" "&amp;'IND TECH'!D3029&amp;" "&amp;'IND TECH'!E3029&amp;" "&amp;'IND TECH'!F3029&amp;" "&amp;'IND TECH'!G3029&amp;" "&amp;'IND TECH'!H3029</f>
        <v xml:space="preserve">       </v>
      </c>
      <c r="E3031" t="e">
        <f t="shared" si="27"/>
        <v>#REF!</v>
      </c>
      <c r="F3031" t="e">
        <f>'IND TECH'!#REF!</f>
        <v>#REF!</v>
      </c>
    </row>
    <row r="3032" spans="3:6" x14ac:dyDescent="0.25">
      <c r="C3032">
        <f>'IND TECH'!L3030</f>
        <v>0</v>
      </c>
      <c r="D3032" t="str">
        <f>'IND TECH'!A3030&amp;" "&amp;'IND TECH'!B3030&amp;" "&amp;'IND TECH'!C3030&amp;" "&amp;'IND TECH'!D3030&amp;" "&amp;'IND TECH'!E3030&amp;" "&amp;'IND TECH'!F3030&amp;" "&amp;'IND TECH'!G3030&amp;" "&amp;'IND TECH'!H3030</f>
        <v xml:space="preserve">       </v>
      </c>
      <c r="E3032" t="e">
        <f t="shared" si="27"/>
        <v>#REF!</v>
      </c>
      <c r="F3032" t="e">
        <f>'IND TECH'!#REF!</f>
        <v>#REF!</v>
      </c>
    </row>
    <row r="3033" spans="3:6" x14ac:dyDescent="0.25">
      <c r="C3033">
        <f>'IND TECH'!L3031</f>
        <v>0</v>
      </c>
      <c r="D3033" t="str">
        <f>'IND TECH'!A3031&amp;" "&amp;'IND TECH'!B3031&amp;" "&amp;'IND TECH'!C3031&amp;" "&amp;'IND TECH'!D3031&amp;" "&amp;'IND TECH'!E3031&amp;" "&amp;'IND TECH'!F3031&amp;" "&amp;'IND TECH'!G3031&amp;" "&amp;'IND TECH'!H3031</f>
        <v xml:space="preserve">       </v>
      </c>
      <c r="E3033" t="e">
        <f t="shared" si="27"/>
        <v>#REF!</v>
      </c>
      <c r="F3033" t="e">
        <f>'IND TECH'!#REF!</f>
        <v>#REF!</v>
      </c>
    </row>
    <row r="3034" spans="3:6" x14ac:dyDescent="0.25">
      <c r="C3034">
        <f>'IND TECH'!L3032</f>
        <v>0</v>
      </c>
      <c r="D3034" t="str">
        <f>'IND TECH'!A3032&amp;" "&amp;'IND TECH'!B3032&amp;" "&amp;'IND TECH'!C3032&amp;" "&amp;'IND TECH'!D3032&amp;" "&amp;'IND TECH'!E3032&amp;" "&amp;'IND TECH'!F3032&amp;" "&amp;'IND TECH'!G3032&amp;" "&amp;'IND TECH'!H3032</f>
        <v xml:space="preserve">       </v>
      </c>
      <c r="E3034" t="e">
        <f t="shared" si="27"/>
        <v>#REF!</v>
      </c>
      <c r="F3034" t="e">
        <f>'IND TECH'!#REF!</f>
        <v>#REF!</v>
      </c>
    </row>
    <row r="3035" spans="3:6" x14ac:dyDescent="0.25">
      <c r="C3035">
        <f>'IND TECH'!L3033</f>
        <v>0</v>
      </c>
      <c r="D3035" t="str">
        <f>'IND TECH'!A3033&amp;" "&amp;'IND TECH'!B3033&amp;" "&amp;'IND TECH'!C3033&amp;" "&amp;'IND TECH'!D3033&amp;" "&amp;'IND TECH'!E3033&amp;" "&amp;'IND TECH'!F3033&amp;" "&amp;'IND TECH'!G3033&amp;" "&amp;'IND TECH'!H3033</f>
        <v xml:space="preserve">       </v>
      </c>
      <c r="E3035" t="e">
        <f t="shared" si="27"/>
        <v>#REF!</v>
      </c>
      <c r="F3035" t="e">
        <f>'IND TECH'!#REF!</f>
        <v>#REF!</v>
      </c>
    </row>
    <row r="3036" spans="3:6" x14ac:dyDescent="0.25">
      <c r="C3036">
        <f>'IND TECH'!L3034</f>
        <v>0</v>
      </c>
      <c r="D3036" t="str">
        <f>'IND TECH'!A3034&amp;" "&amp;'IND TECH'!B3034&amp;" "&amp;'IND TECH'!C3034&amp;" "&amp;'IND TECH'!D3034&amp;" "&amp;'IND TECH'!E3034&amp;" "&amp;'IND TECH'!F3034&amp;" "&amp;'IND TECH'!G3034&amp;" "&amp;'IND TECH'!H3034</f>
        <v xml:space="preserve">       </v>
      </c>
      <c r="E3036" t="e">
        <f t="shared" si="27"/>
        <v>#REF!</v>
      </c>
      <c r="F3036" t="e">
        <f>'IND TECH'!#REF!</f>
        <v>#REF!</v>
      </c>
    </row>
    <row r="3037" spans="3:6" x14ac:dyDescent="0.25">
      <c r="C3037">
        <f>'IND TECH'!L3035</f>
        <v>0</v>
      </c>
      <c r="D3037" t="str">
        <f>'IND TECH'!A3035&amp;" "&amp;'IND TECH'!B3035&amp;" "&amp;'IND TECH'!C3035&amp;" "&amp;'IND TECH'!D3035&amp;" "&amp;'IND TECH'!E3035&amp;" "&amp;'IND TECH'!F3035&amp;" "&amp;'IND TECH'!G3035&amp;" "&amp;'IND TECH'!H3035</f>
        <v xml:space="preserve">       </v>
      </c>
      <c r="E3037" t="e">
        <f t="shared" si="27"/>
        <v>#REF!</v>
      </c>
      <c r="F3037" t="e">
        <f>'IND TECH'!#REF!</f>
        <v>#REF!</v>
      </c>
    </row>
    <row r="3038" spans="3:6" x14ac:dyDescent="0.25">
      <c r="C3038">
        <f>'IND TECH'!L3036</f>
        <v>0</v>
      </c>
      <c r="D3038" t="str">
        <f>'IND TECH'!A3036&amp;" "&amp;'IND TECH'!B3036&amp;" "&amp;'IND TECH'!C3036&amp;" "&amp;'IND TECH'!D3036&amp;" "&amp;'IND TECH'!E3036&amp;" "&amp;'IND TECH'!F3036&amp;" "&amp;'IND TECH'!G3036&amp;" "&amp;'IND TECH'!H3036</f>
        <v xml:space="preserve">       </v>
      </c>
      <c r="E3038" t="e">
        <f t="shared" si="27"/>
        <v>#REF!</v>
      </c>
      <c r="F3038" t="e">
        <f>'IND TECH'!#REF!</f>
        <v>#REF!</v>
      </c>
    </row>
    <row r="3039" spans="3:6" x14ac:dyDescent="0.25">
      <c r="C3039">
        <f>'IND TECH'!L3037</f>
        <v>0</v>
      </c>
      <c r="D3039" t="str">
        <f>'IND TECH'!A3037&amp;" "&amp;'IND TECH'!B3037&amp;" "&amp;'IND TECH'!C3037&amp;" "&amp;'IND TECH'!D3037&amp;" "&amp;'IND TECH'!E3037&amp;" "&amp;'IND TECH'!F3037&amp;" "&amp;'IND TECH'!G3037&amp;" "&amp;'IND TECH'!H3037</f>
        <v xml:space="preserve">       </v>
      </c>
      <c r="E3039" t="e">
        <f t="shared" si="27"/>
        <v>#REF!</v>
      </c>
      <c r="F3039" t="e">
        <f>'IND TECH'!#REF!</f>
        <v>#REF!</v>
      </c>
    </row>
    <row r="3040" spans="3:6" x14ac:dyDescent="0.25">
      <c r="C3040">
        <f>'IND TECH'!L3038</f>
        <v>0</v>
      </c>
      <c r="D3040" t="str">
        <f>'IND TECH'!A3038&amp;" "&amp;'IND TECH'!B3038&amp;" "&amp;'IND TECH'!C3038&amp;" "&amp;'IND TECH'!D3038&amp;" "&amp;'IND TECH'!E3038&amp;" "&amp;'IND TECH'!F3038&amp;" "&amp;'IND TECH'!G3038&amp;" "&amp;'IND TECH'!H3038</f>
        <v xml:space="preserve">       </v>
      </c>
      <c r="E3040" t="e">
        <f t="shared" si="27"/>
        <v>#REF!</v>
      </c>
      <c r="F3040" t="e">
        <f>'IND TECH'!#REF!</f>
        <v>#REF!</v>
      </c>
    </row>
    <row r="3041" spans="3:6" x14ac:dyDescent="0.25">
      <c r="C3041">
        <f>'IND TECH'!L3039</f>
        <v>0</v>
      </c>
      <c r="D3041" t="str">
        <f>'IND TECH'!A3039&amp;" "&amp;'IND TECH'!B3039&amp;" "&amp;'IND TECH'!C3039&amp;" "&amp;'IND TECH'!D3039&amp;" "&amp;'IND TECH'!E3039&amp;" "&amp;'IND TECH'!F3039&amp;" "&amp;'IND TECH'!G3039&amp;" "&amp;'IND TECH'!H3039</f>
        <v xml:space="preserve">       </v>
      </c>
      <c r="E3041" t="e">
        <f t="shared" si="27"/>
        <v>#REF!</v>
      </c>
      <c r="F3041" t="e">
        <f>'IND TECH'!#REF!</f>
        <v>#REF!</v>
      </c>
    </row>
    <row r="3042" spans="3:6" x14ac:dyDescent="0.25">
      <c r="C3042">
        <f>'IND TECH'!L3040</f>
        <v>0</v>
      </c>
      <c r="D3042" t="str">
        <f>'IND TECH'!A3040&amp;" "&amp;'IND TECH'!B3040&amp;" "&amp;'IND TECH'!C3040&amp;" "&amp;'IND TECH'!D3040&amp;" "&amp;'IND TECH'!E3040&amp;" "&amp;'IND TECH'!F3040&amp;" "&amp;'IND TECH'!G3040&amp;" "&amp;'IND TECH'!H3040</f>
        <v xml:space="preserve">       </v>
      </c>
      <c r="E3042" t="e">
        <f t="shared" si="27"/>
        <v>#REF!</v>
      </c>
      <c r="F3042" t="e">
        <f>'IND TECH'!#REF!</f>
        <v>#REF!</v>
      </c>
    </row>
    <row r="3043" spans="3:6" x14ac:dyDescent="0.25">
      <c r="C3043">
        <f>'IND TECH'!L3041</f>
        <v>0</v>
      </c>
      <c r="D3043" t="str">
        <f>'IND TECH'!A3041&amp;" "&amp;'IND TECH'!B3041&amp;" "&amp;'IND TECH'!C3041&amp;" "&amp;'IND TECH'!D3041&amp;" "&amp;'IND TECH'!E3041&amp;" "&amp;'IND TECH'!F3041&amp;" "&amp;'IND TECH'!G3041&amp;" "&amp;'IND TECH'!H3041</f>
        <v xml:space="preserve">       </v>
      </c>
      <c r="E3043" t="e">
        <f t="shared" si="27"/>
        <v>#REF!</v>
      </c>
      <c r="F3043" t="e">
        <f>'IND TECH'!#REF!</f>
        <v>#REF!</v>
      </c>
    </row>
    <row r="3044" spans="3:6" x14ac:dyDescent="0.25">
      <c r="C3044">
        <f>'IND TECH'!L3042</f>
        <v>0</v>
      </c>
      <c r="D3044" t="str">
        <f>'IND TECH'!A3042&amp;" "&amp;'IND TECH'!B3042&amp;" "&amp;'IND TECH'!C3042&amp;" "&amp;'IND TECH'!D3042&amp;" "&amp;'IND TECH'!E3042&amp;" "&amp;'IND TECH'!F3042&amp;" "&amp;'IND TECH'!G3042&amp;" "&amp;'IND TECH'!H3042</f>
        <v xml:space="preserve">       </v>
      </c>
      <c r="E3044" t="e">
        <f t="shared" ref="E3044:E3107" si="28">IF(F3044="Mlma","Mlm","TJ")</f>
        <v>#REF!</v>
      </c>
      <c r="F3044" t="e">
        <f>'IND TECH'!#REF!</f>
        <v>#REF!</v>
      </c>
    </row>
    <row r="3045" spans="3:6" x14ac:dyDescent="0.25">
      <c r="C3045">
        <f>'IND TECH'!L3043</f>
        <v>0</v>
      </c>
      <c r="D3045" t="str">
        <f>'IND TECH'!A3043&amp;" "&amp;'IND TECH'!B3043&amp;" "&amp;'IND TECH'!C3043&amp;" "&amp;'IND TECH'!D3043&amp;" "&amp;'IND TECH'!E3043&amp;" "&amp;'IND TECH'!F3043&amp;" "&amp;'IND TECH'!G3043&amp;" "&amp;'IND TECH'!H3043</f>
        <v xml:space="preserve">       </v>
      </c>
      <c r="E3045" t="e">
        <f t="shared" si="28"/>
        <v>#REF!</v>
      </c>
      <c r="F3045" t="e">
        <f>'IND TECH'!#REF!</f>
        <v>#REF!</v>
      </c>
    </row>
    <row r="3046" spans="3:6" x14ac:dyDescent="0.25">
      <c r="C3046">
        <f>'IND TECH'!L3044</f>
        <v>0</v>
      </c>
      <c r="D3046" t="str">
        <f>'IND TECH'!A3044&amp;" "&amp;'IND TECH'!B3044&amp;" "&amp;'IND TECH'!C3044&amp;" "&amp;'IND TECH'!D3044&amp;" "&amp;'IND TECH'!E3044&amp;" "&amp;'IND TECH'!F3044&amp;" "&amp;'IND TECH'!G3044&amp;" "&amp;'IND TECH'!H3044</f>
        <v xml:space="preserve">       </v>
      </c>
      <c r="E3046" t="e">
        <f t="shared" si="28"/>
        <v>#REF!</v>
      </c>
      <c r="F3046" t="e">
        <f>'IND TECH'!#REF!</f>
        <v>#REF!</v>
      </c>
    </row>
    <row r="3047" spans="3:6" x14ac:dyDescent="0.25">
      <c r="C3047">
        <f>'IND TECH'!L3045</f>
        <v>0</v>
      </c>
      <c r="D3047" t="str">
        <f>'IND TECH'!A3045&amp;" "&amp;'IND TECH'!B3045&amp;" "&amp;'IND TECH'!C3045&amp;" "&amp;'IND TECH'!D3045&amp;" "&amp;'IND TECH'!E3045&amp;" "&amp;'IND TECH'!F3045&amp;" "&amp;'IND TECH'!G3045&amp;" "&amp;'IND TECH'!H3045</f>
        <v xml:space="preserve">       </v>
      </c>
      <c r="E3047" t="e">
        <f t="shared" si="28"/>
        <v>#REF!</v>
      </c>
      <c r="F3047" t="e">
        <f>'IND TECH'!#REF!</f>
        <v>#REF!</v>
      </c>
    </row>
    <row r="3048" spans="3:6" x14ac:dyDescent="0.25">
      <c r="C3048">
        <f>'IND TECH'!L3046</f>
        <v>0</v>
      </c>
      <c r="D3048" t="str">
        <f>'IND TECH'!A3046&amp;" "&amp;'IND TECH'!B3046&amp;" "&amp;'IND TECH'!C3046&amp;" "&amp;'IND TECH'!D3046&amp;" "&amp;'IND TECH'!E3046&amp;" "&amp;'IND TECH'!F3046&amp;" "&amp;'IND TECH'!G3046&amp;" "&amp;'IND TECH'!H3046</f>
        <v xml:space="preserve">       </v>
      </c>
      <c r="E3048" t="e">
        <f t="shared" si="28"/>
        <v>#REF!</v>
      </c>
      <c r="F3048" t="e">
        <f>'IND TECH'!#REF!</f>
        <v>#REF!</v>
      </c>
    </row>
    <row r="3049" spans="3:6" x14ac:dyDescent="0.25">
      <c r="C3049">
        <f>'IND TECH'!L3047</f>
        <v>0</v>
      </c>
      <c r="D3049" t="str">
        <f>'IND TECH'!A3047&amp;" "&amp;'IND TECH'!B3047&amp;" "&amp;'IND TECH'!C3047&amp;" "&amp;'IND TECH'!D3047&amp;" "&amp;'IND TECH'!E3047&amp;" "&amp;'IND TECH'!F3047&amp;" "&amp;'IND TECH'!G3047&amp;" "&amp;'IND TECH'!H3047</f>
        <v xml:space="preserve">       </v>
      </c>
      <c r="E3049" t="e">
        <f t="shared" si="28"/>
        <v>#REF!</v>
      </c>
      <c r="F3049" t="e">
        <f>'IND TECH'!#REF!</f>
        <v>#REF!</v>
      </c>
    </row>
    <row r="3050" spans="3:6" x14ac:dyDescent="0.25">
      <c r="C3050">
        <f>'IND TECH'!L3048</f>
        <v>0</v>
      </c>
      <c r="D3050" t="str">
        <f>'IND TECH'!A3048&amp;" "&amp;'IND TECH'!B3048&amp;" "&amp;'IND TECH'!C3048&amp;" "&amp;'IND TECH'!D3048&amp;" "&amp;'IND TECH'!E3048&amp;" "&amp;'IND TECH'!F3048&amp;" "&amp;'IND TECH'!G3048&amp;" "&amp;'IND TECH'!H3048</f>
        <v xml:space="preserve">       </v>
      </c>
      <c r="E3050" t="e">
        <f t="shared" si="28"/>
        <v>#REF!</v>
      </c>
      <c r="F3050" t="e">
        <f>'IND TECH'!#REF!</f>
        <v>#REF!</v>
      </c>
    </row>
    <row r="3051" spans="3:6" x14ac:dyDescent="0.25">
      <c r="C3051">
        <f>'IND TECH'!L3049</f>
        <v>0</v>
      </c>
      <c r="D3051" t="str">
        <f>'IND TECH'!A3049&amp;" "&amp;'IND TECH'!B3049&amp;" "&amp;'IND TECH'!C3049&amp;" "&amp;'IND TECH'!D3049&amp;" "&amp;'IND TECH'!E3049&amp;" "&amp;'IND TECH'!F3049&amp;" "&amp;'IND TECH'!G3049&amp;" "&amp;'IND TECH'!H3049</f>
        <v xml:space="preserve">       </v>
      </c>
      <c r="E3051" t="e">
        <f t="shared" si="28"/>
        <v>#REF!</v>
      </c>
      <c r="F3051" t="e">
        <f>'IND TECH'!#REF!</f>
        <v>#REF!</v>
      </c>
    </row>
    <row r="3052" spans="3:6" x14ac:dyDescent="0.25">
      <c r="C3052">
        <f>'IND TECH'!L3050</f>
        <v>0</v>
      </c>
      <c r="D3052" t="str">
        <f>'IND TECH'!A3050&amp;" "&amp;'IND TECH'!B3050&amp;" "&amp;'IND TECH'!C3050&amp;" "&amp;'IND TECH'!D3050&amp;" "&amp;'IND TECH'!E3050&amp;" "&amp;'IND TECH'!F3050&amp;" "&amp;'IND TECH'!G3050&amp;" "&amp;'IND TECH'!H3050</f>
        <v xml:space="preserve">       </v>
      </c>
      <c r="E3052" t="e">
        <f t="shared" si="28"/>
        <v>#REF!</v>
      </c>
      <c r="F3052" t="e">
        <f>'IND TECH'!#REF!</f>
        <v>#REF!</v>
      </c>
    </row>
    <row r="3053" spans="3:6" x14ac:dyDescent="0.25">
      <c r="C3053">
        <f>'IND TECH'!L3051</f>
        <v>0</v>
      </c>
      <c r="D3053" t="str">
        <f>'IND TECH'!A3051&amp;" "&amp;'IND TECH'!B3051&amp;" "&amp;'IND TECH'!C3051&amp;" "&amp;'IND TECH'!D3051&amp;" "&amp;'IND TECH'!E3051&amp;" "&amp;'IND TECH'!F3051&amp;" "&amp;'IND TECH'!G3051&amp;" "&amp;'IND TECH'!H3051</f>
        <v xml:space="preserve">       </v>
      </c>
      <c r="E3053" t="e">
        <f t="shared" si="28"/>
        <v>#REF!</v>
      </c>
      <c r="F3053" t="e">
        <f>'IND TECH'!#REF!</f>
        <v>#REF!</v>
      </c>
    </row>
    <row r="3054" spans="3:6" x14ac:dyDescent="0.25">
      <c r="C3054">
        <f>'IND TECH'!L3052</f>
        <v>0</v>
      </c>
      <c r="D3054" t="str">
        <f>'IND TECH'!A3052&amp;" "&amp;'IND TECH'!B3052&amp;" "&amp;'IND TECH'!C3052&amp;" "&amp;'IND TECH'!D3052&amp;" "&amp;'IND TECH'!E3052&amp;" "&amp;'IND TECH'!F3052&amp;" "&amp;'IND TECH'!G3052&amp;" "&amp;'IND TECH'!H3052</f>
        <v xml:space="preserve">       </v>
      </c>
      <c r="E3054" t="e">
        <f t="shared" si="28"/>
        <v>#REF!</v>
      </c>
      <c r="F3054" t="e">
        <f>'IND TECH'!#REF!</f>
        <v>#REF!</v>
      </c>
    </row>
    <row r="3055" spans="3:6" x14ac:dyDescent="0.25">
      <c r="C3055">
        <f>'IND TECH'!L3053</f>
        <v>0</v>
      </c>
      <c r="D3055" t="str">
        <f>'IND TECH'!A3053&amp;" "&amp;'IND TECH'!B3053&amp;" "&amp;'IND TECH'!C3053&amp;" "&amp;'IND TECH'!D3053&amp;" "&amp;'IND TECH'!E3053&amp;" "&amp;'IND TECH'!F3053&amp;" "&amp;'IND TECH'!G3053&amp;" "&amp;'IND TECH'!H3053</f>
        <v xml:space="preserve">       </v>
      </c>
      <c r="E3055" t="e">
        <f t="shared" si="28"/>
        <v>#REF!</v>
      </c>
      <c r="F3055" t="e">
        <f>'IND TECH'!#REF!</f>
        <v>#REF!</v>
      </c>
    </row>
    <row r="3056" spans="3:6" x14ac:dyDescent="0.25">
      <c r="C3056">
        <f>'IND TECH'!L3054</f>
        <v>0</v>
      </c>
      <c r="D3056" t="str">
        <f>'IND TECH'!A3054&amp;" "&amp;'IND TECH'!B3054&amp;" "&amp;'IND TECH'!C3054&amp;" "&amp;'IND TECH'!D3054&amp;" "&amp;'IND TECH'!E3054&amp;" "&amp;'IND TECH'!F3054&amp;" "&amp;'IND TECH'!G3054&amp;" "&amp;'IND TECH'!H3054</f>
        <v xml:space="preserve">       </v>
      </c>
      <c r="E3056" t="e">
        <f t="shared" si="28"/>
        <v>#REF!</v>
      </c>
      <c r="F3056" t="e">
        <f>'IND TECH'!#REF!</f>
        <v>#REF!</v>
      </c>
    </row>
    <row r="3057" spans="3:6" x14ac:dyDescent="0.25">
      <c r="C3057">
        <f>'IND TECH'!L3055</f>
        <v>0</v>
      </c>
      <c r="D3057" t="str">
        <f>'IND TECH'!A3055&amp;" "&amp;'IND TECH'!B3055&amp;" "&amp;'IND TECH'!C3055&amp;" "&amp;'IND TECH'!D3055&amp;" "&amp;'IND TECH'!E3055&amp;" "&amp;'IND TECH'!F3055&amp;" "&amp;'IND TECH'!G3055&amp;" "&amp;'IND TECH'!H3055</f>
        <v xml:space="preserve">       </v>
      </c>
      <c r="E3057" t="e">
        <f t="shared" si="28"/>
        <v>#REF!</v>
      </c>
      <c r="F3057" t="e">
        <f>'IND TECH'!#REF!</f>
        <v>#REF!</v>
      </c>
    </row>
    <row r="3058" spans="3:6" x14ac:dyDescent="0.25">
      <c r="C3058">
        <f>'IND TECH'!L3056</f>
        <v>0</v>
      </c>
      <c r="D3058" t="str">
        <f>'IND TECH'!A3056&amp;" "&amp;'IND TECH'!B3056&amp;" "&amp;'IND TECH'!C3056&amp;" "&amp;'IND TECH'!D3056&amp;" "&amp;'IND TECH'!E3056&amp;" "&amp;'IND TECH'!F3056&amp;" "&amp;'IND TECH'!G3056&amp;" "&amp;'IND TECH'!H3056</f>
        <v xml:space="preserve">       </v>
      </c>
      <c r="E3058" t="e">
        <f t="shared" si="28"/>
        <v>#REF!</v>
      </c>
      <c r="F3058" t="e">
        <f>'IND TECH'!#REF!</f>
        <v>#REF!</v>
      </c>
    </row>
    <row r="3059" spans="3:6" x14ac:dyDescent="0.25">
      <c r="C3059">
        <f>'IND TECH'!L3057</f>
        <v>0</v>
      </c>
      <c r="D3059" t="str">
        <f>'IND TECH'!A3057&amp;" "&amp;'IND TECH'!B3057&amp;" "&amp;'IND TECH'!C3057&amp;" "&amp;'IND TECH'!D3057&amp;" "&amp;'IND TECH'!E3057&amp;" "&amp;'IND TECH'!F3057&amp;" "&amp;'IND TECH'!G3057&amp;" "&amp;'IND TECH'!H3057</f>
        <v xml:space="preserve">       </v>
      </c>
      <c r="E3059" t="e">
        <f t="shared" si="28"/>
        <v>#REF!</v>
      </c>
      <c r="F3059" t="e">
        <f>'IND TECH'!#REF!</f>
        <v>#REF!</v>
      </c>
    </row>
    <row r="3060" spans="3:6" x14ac:dyDescent="0.25">
      <c r="C3060">
        <f>'IND TECH'!L3058</f>
        <v>0</v>
      </c>
      <c r="D3060" t="str">
        <f>'IND TECH'!A3058&amp;" "&amp;'IND TECH'!B3058&amp;" "&amp;'IND TECH'!C3058&amp;" "&amp;'IND TECH'!D3058&amp;" "&amp;'IND TECH'!E3058&amp;" "&amp;'IND TECH'!F3058&amp;" "&amp;'IND TECH'!G3058&amp;" "&amp;'IND TECH'!H3058</f>
        <v xml:space="preserve">       </v>
      </c>
      <c r="E3060" t="e">
        <f t="shared" si="28"/>
        <v>#REF!</v>
      </c>
      <c r="F3060" t="e">
        <f>'IND TECH'!#REF!</f>
        <v>#REF!</v>
      </c>
    </row>
    <row r="3061" spans="3:6" x14ac:dyDescent="0.25">
      <c r="C3061">
        <f>'IND TECH'!L3059</f>
        <v>0</v>
      </c>
      <c r="D3061" t="str">
        <f>'IND TECH'!A3059&amp;" "&amp;'IND TECH'!B3059&amp;" "&amp;'IND TECH'!C3059&amp;" "&amp;'IND TECH'!D3059&amp;" "&amp;'IND TECH'!E3059&amp;" "&amp;'IND TECH'!F3059&amp;" "&amp;'IND TECH'!G3059&amp;" "&amp;'IND TECH'!H3059</f>
        <v xml:space="preserve">       </v>
      </c>
      <c r="E3061" t="e">
        <f t="shared" si="28"/>
        <v>#REF!</v>
      </c>
      <c r="F3061" t="e">
        <f>'IND TECH'!#REF!</f>
        <v>#REF!</v>
      </c>
    </row>
    <row r="3062" spans="3:6" x14ac:dyDescent="0.25">
      <c r="C3062">
        <f>'IND TECH'!L3060</f>
        <v>0</v>
      </c>
      <c r="D3062" t="str">
        <f>'IND TECH'!A3060&amp;" "&amp;'IND TECH'!B3060&amp;" "&amp;'IND TECH'!C3060&amp;" "&amp;'IND TECH'!D3060&amp;" "&amp;'IND TECH'!E3060&amp;" "&amp;'IND TECH'!F3060&amp;" "&amp;'IND TECH'!G3060&amp;" "&amp;'IND TECH'!H3060</f>
        <v xml:space="preserve">       </v>
      </c>
      <c r="E3062" t="e">
        <f t="shared" si="28"/>
        <v>#REF!</v>
      </c>
      <c r="F3062" t="e">
        <f>'IND TECH'!#REF!</f>
        <v>#REF!</v>
      </c>
    </row>
    <row r="3063" spans="3:6" x14ac:dyDescent="0.25">
      <c r="C3063">
        <f>'IND TECH'!L3061</f>
        <v>0</v>
      </c>
      <c r="D3063" t="str">
        <f>'IND TECH'!A3061&amp;" "&amp;'IND TECH'!B3061&amp;" "&amp;'IND TECH'!C3061&amp;" "&amp;'IND TECH'!D3061&amp;" "&amp;'IND TECH'!E3061&amp;" "&amp;'IND TECH'!F3061&amp;" "&amp;'IND TECH'!G3061&amp;" "&amp;'IND TECH'!H3061</f>
        <v xml:space="preserve">       </v>
      </c>
      <c r="E3063" t="e">
        <f t="shared" si="28"/>
        <v>#REF!</v>
      </c>
      <c r="F3063" t="e">
        <f>'IND TECH'!#REF!</f>
        <v>#REF!</v>
      </c>
    </row>
    <row r="3064" spans="3:6" x14ac:dyDescent="0.25">
      <c r="C3064">
        <f>'IND TECH'!L3062</f>
        <v>0</v>
      </c>
      <c r="D3064" t="str">
        <f>'IND TECH'!A3062&amp;" "&amp;'IND TECH'!B3062&amp;" "&amp;'IND TECH'!C3062&amp;" "&amp;'IND TECH'!D3062&amp;" "&amp;'IND TECH'!E3062&amp;" "&amp;'IND TECH'!F3062&amp;" "&amp;'IND TECH'!G3062&amp;" "&amp;'IND TECH'!H3062</f>
        <v xml:space="preserve">       </v>
      </c>
      <c r="E3064" t="e">
        <f t="shared" si="28"/>
        <v>#REF!</v>
      </c>
      <c r="F3064" t="e">
        <f>'IND TECH'!#REF!</f>
        <v>#REF!</v>
      </c>
    </row>
    <row r="3065" spans="3:6" x14ac:dyDescent="0.25">
      <c r="C3065">
        <f>'IND TECH'!L3063</f>
        <v>0</v>
      </c>
      <c r="D3065" t="str">
        <f>'IND TECH'!A3063&amp;" "&amp;'IND TECH'!B3063&amp;" "&amp;'IND TECH'!C3063&amp;" "&amp;'IND TECH'!D3063&amp;" "&amp;'IND TECH'!E3063&amp;" "&amp;'IND TECH'!F3063&amp;" "&amp;'IND TECH'!G3063&amp;" "&amp;'IND TECH'!H3063</f>
        <v xml:space="preserve">       </v>
      </c>
      <c r="E3065" t="e">
        <f t="shared" si="28"/>
        <v>#REF!</v>
      </c>
      <c r="F3065" t="e">
        <f>'IND TECH'!#REF!</f>
        <v>#REF!</v>
      </c>
    </row>
    <row r="3066" spans="3:6" x14ac:dyDescent="0.25">
      <c r="C3066">
        <f>'IND TECH'!L3064</f>
        <v>0</v>
      </c>
      <c r="D3066" t="str">
        <f>'IND TECH'!A3064&amp;" "&amp;'IND TECH'!B3064&amp;" "&amp;'IND TECH'!C3064&amp;" "&amp;'IND TECH'!D3064&amp;" "&amp;'IND TECH'!E3064&amp;" "&amp;'IND TECH'!F3064&amp;" "&amp;'IND TECH'!G3064&amp;" "&amp;'IND TECH'!H3064</f>
        <v xml:space="preserve">       </v>
      </c>
      <c r="E3066" t="e">
        <f t="shared" si="28"/>
        <v>#REF!</v>
      </c>
      <c r="F3066" t="e">
        <f>'IND TECH'!#REF!</f>
        <v>#REF!</v>
      </c>
    </row>
    <row r="3067" spans="3:6" x14ac:dyDescent="0.25">
      <c r="C3067">
        <f>'IND TECH'!L3065</f>
        <v>0</v>
      </c>
      <c r="D3067" t="str">
        <f>'IND TECH'!A3065&amp;" "&amp;'IND TECH'!B3065&amp;" "&amp;'IND TECH'!C3065&amp;" "&amp;'IND TECH'!D3065&amp;" "&amp;'IND TECH'!E3065&amp;" "&amp;'IND TECH'!F3065&amp;" "&amp;'IND TECH'!G3065&amp;" "&amp;'IND TECH'!H3065</f>
        <v xml:space="preserve">       </v>
      </c>
      <c r="E3067" t="e">
        <f t="shared" si="28"/>
        <v>#REF!</v>
      </c>
      <c r="F3067" t="e">
        <f>'IND TECH'!#REF!</f>
        <v>#REF!</v>
      </c>
    </row>
    <row r="3068" spans="3:6" x14ac:dyDescent="0.25">
      <c r="C3068">
        <f>'IND TECH'!L3066</f>
        <v>0</v>
      </c>
      <c r="D3068" t="str">
        <f>'IND TECH'!A3066&amp;" "&amp;'IND TECH'!B3066&amp;" "&amp;'IND TECH'!C3066&amp;" "&amp;'IND TECH'!D3066&amp;" "&amp;'IND TECH'!E3066&amp;" "&amp;'IND TECH'!F3066&amp;" "&amp;'IND TECH'!G3066&amp;" "&amp;'IND TECH'!H3066</f>
        <v xml:space="preserve">       </v>
      </c>
      <c r="E3068" t="e">
        <f t="shared" si="28"/>
        <v>#REF!</v>
      </c>
      <c r="F3068" t="e">
        <f>'IND TECH'!#REF!</f>
        <v>#REF!</v>
      </c>
    </row>
    <row r="3069" spans="3:6" x14ac:dyDescent="0.25">
      <c r="C3069">
        <f>'IND TECH'!L3067</f>
        <v>0</v>
      </c>
      <c r="D3069" t="str">
        <f>'IND TECH'!A3067&amp;" "&amp;'IND TECH'!B3067&amp;" "&amp;'IND TECH'!C3067&amp;" "&amp;'IND TECH'!D3067&amp;" "&amp;'IND TECH'!E3067&amp;" "&amp;'IND TECH'!F3067&amp;" "&amp;'IND TECH'!G3067&amp;" "&amp;'IND TECH'!H3067</f>
        <v xml:space="preserve">       </v>
      </c>
      <c r="E3069" t="e">
        <f t="shared" si="28"/>
        <v>#REF!</v>
      </c>
      <c r="F3069" t="e">
        <f>'IND TECH'!#REF!</f>
        <v>#REF!</v>
      </c>
    </row>
    <row r="3070" spans="3:6" x14ac:dyDescent="0.25">
      <c r="C3070">
        <f>'IND TECH'!L3068</f>
        <v>0</v>
      </c>
      <c r="D3070" t="str">
        <f>'IND TECH'!A3068&amp;" "&amp;'IND TECH'!B3068&amp;" "&amp;'IND TECH'!C3068&amp;" "&amp;'IND TECH'!D3068&amp;" "&amp;'IND TECH'!E3068&amp;" "&amp;'IND TECH'!F3068&amp;" "&amp;'IND TECH'!G3068&amp;" "&amp;'IND TECH'!H3068</f>
        <v xml:space="preserve">       </v>
      </c>
      <c r="E3070" t="e">
        <f t="shared" si="28"/>
        <v>#REF!</v>
      </c>
      <c r="F3070" t="e">
        <f>'IND TECH'!#REF!</f>
        <v>#REF!</v>
      </c>
    </row>
    <row r="3071" spans="3:6" x14ac:dyDescent="0.25">
      <c r="C3071">
        <f>'IND TECH'!L3069</f>
        <v>0</v>
      </c>
      <c r="D3071" t="str">
        <f>'IND TECH'!A3069&amp;" "&amp;'IND TECH'!B3069&amp;" "&amp;'IND TECH'!C3069&amp;" "&amp;'IND TECH'!D3069&amp;" "&amp;'IND TECH'!E3069&amp;" "&amp;'IND TECH'!F3069&amp;" "&amp;'IND TECH'!G3069&amp;" "&amp;'IND TECH'!H3069</f>
        <v xml:space="preserve">       </v>
      </c>
      <c r="E3071" t="e">
        <f t="shared" si="28"/>
        <v>#REF!</v>
      </c>
      <c r="F3071" t="e">
        <f>'IND TECH'!#REF!</f>
        <v>#REF!</v>
      </c>
    </row>
    <row r="3072" spans="3:6" x14ac:dyDescent="0.25">
      <c r="C3072">
        <f>'IND TECH'!L3070</f>
        <v>0</v>
      </c>
      <c r="D3072" t="str">
        <f>'IND TECH'!A3070&amp;" "&amp;'IND TECH'!B3070&amp;" "&amp;'IND TECH'!C3070&amp;" "&amp;'IND TECH'!D3070&amp;" "&amp;'IND TECH'!E3070&amp;" "&amp;'IND TECH'!F3070&amp;" "&amp;'IND TECH'!G3070&amp;" "&amp;'IND TECH'!H3070</f>
        <v xml:space="preserve">       </v>
      </c>
      <c r="E3072" t="e">
        <f t="shared" si="28"/>
        <v>#REF!</v>
      </c>
      <c r="F3072" t="e">
        <f>'IND TECH'!#REF!</f>
        <v>#REF!</v>
      </c>
    </row>
    <row r="3073" spans="2:6" x14ac:dyDescent="0.25">
      <c r="C3073">
        <f>'IND TECH'!L3071</f>
        <v>0</v>
      </c>
      <c r="D3073" t="str">
        <f>'IND TECH'!A3071&amp;" "&amp;'IND TECH'!B3071&amp;" "&amp;'IND TECH'!C3071&amp;" "&amp;'IND TECH'!D3071&amp;" "&amp;'IND TECH'!E3071&amp;" "&amp;'IND TECH'!F3071&amp;" "&amp;'IND TECH'!G3071&amp;" "&amp;'IND TECH'!H3071</f>
        <v xml:space="preserve">       </v>
      </c>
      <c r="E3073" t="e">
        <f t="shared" si="28"/>
        <v>#REF!</v>
      </c>
      <c r="F3073" t="e">
        <f>'IND TECH'!#REF!</f>
        <v>#REF!</v>
      </c>
    </row>
    <row r="3074" spans="2:6" x14ac:dyDescent="0.25">
      <c r="C3074">
        <f>'IND TECH'!L3072</f>
        <v>0</v>
      </c>
      <c r="D3074" t="str">
        <f>'IND TECH'!A3072&amp;" "&amp;'IND TECH'!B3072&amp;" "&amp;'IND TECH'!C3072&amp;" "&amp;'IND TECH'!D3072&amp;" "&amp;'IND TECH'!E3072&amp;" "&amp;'IND TECH'!F3072&amp;" "&amp;'IND TECH'!G3072&amp;" "&amp;'IND TECH'!H3072</f>
        <v xml:space="preserve">       </v>
      </c>
      <c r="E3074" t="e">
        <f t="shared" si="28"/>
        <v>#REF!</v>
      </c>
      <c r="F3074" t="e">
        <f>'IND TECH'!#REF!</f>
        <v>#REF!</v>
      </c>
    </row>
    <row r="3075" spans="2:6" x14ac:dyDescent="0.25">
      <c r="C3075">
        <f>'IND TECH'!L3073</f>
        <v>0</v>
      </c>
      <c r="D3075" t="str">
        <f>'IND TECH'!A3073&amp;" "&amp;'IND TECH'!B3073&amp;" "&amp;'IND TECH'!C3073&amp;" "&amp;'IND TECH'!D3073&amp;" "&amp;'IND TECH'!E3073&amp;" "&amp;'IND TECH'!F3073&amp;" "&amp;'IND TECH'!G3073&amp;" "&amp;'IND TECH'!H3073</f>
        <v xml:space="preserve">       </v>
      </c>
      <c r="E3075" t="e">
        <f t="shared" si="28"/>
        <v>#REF!</v>
      </c>
      <c r="F3075" t="e">
        <f>'IND TECH'!#REF!</f>
        <v>#REF!</v>
      </c>
    </row>
    <row r="3076" spans="2:6" x14ac:dyDescent="0.25">
      <c r="C3076">
        <f>'IND TECH'!L3074</f>
        <v>0</v>
      </c>
      <c r="D3076" t="str">
        <f>'IND TECH'!A3074&amp;" "&amp;'IND TECH'!B3074&amp;" "&amp;'IND TECH'!C3074&amp;" "&amp;'IND TECH'!D3074&amp;" "&amp;'IND TECH'!E3074&amp;" "&amp;'IND TECH'!F3074&amp;" "&amp;'IND TECH'!G3074&amp;" "&amp;'IND TECH'!H3074</f>
        <v xml:space="preserve">       </v>
      </c>
      <c r="E3076" t="e">
        <f t="shared" si="28"/>
        <v>#REF!</v>
      </c>
      <c r="F3076" t="e">
        <f>'IND TECH'!#REF!</f>
        <v>#REF!</v>
      </c>
    </row>
    <row r="3077" spans="2:6" x14ac:dyDescent="0.25">
      <c r="C3077">
        <f>'IND TECH'!L3075</f>
        <v>0</v>
      </c>
      <c r="D3077" t="str">
        <f>'IND TECH'!A3075&amp;" "&amp;'IND TECH'!B3075&amp;" "&amp;'IND TECH'!C3075&amp;" "&amp;'IND TECH'!D3075&amp;" "&amp;'IND TECH'!E3075&amp;" "&amp;'IND TECH'!F3075&amp;" "&amp;'IND TECH'!G3075&amp;" "&amp;'IND TECH'!H3075</f>
        <v xml:space="preserve">       </v>
      </c>
      <c r="E3077" t="e">
        <f t="shared" si="28"/>
        <v>#REF!</v>
      </c>
      <c r="F3077" t="e">
        <f>'IND TECH'!#REF!</f>
        <v>#REF!</v>
      </c>
    </row>
    <row r="3078" spans="2:6" x14ac:dyDescent="0.25">
      <c r="C3078">
        <f>'IND TECH'!L3076</f>
        <v>0</v>
      </c>
      <c r="D3078" t="str">
        <f>'IND TECH'!A3076&amp;" "&amp;'IND TECH'!B3076&amp;" "&amp;'IND TECH'!C3076&amp;" "&amp;'IND TECH'!D3076&amp;" "&amp;'IND TECH'!E3076&amp;" "&amp;'IND TECH'!F3076&amp;" "&amp;'IND TECH'!G3076&amp;" "&amp;'IND TECH'!H3076</f>
        <v xml:space="preserve">       </v>
      </c>
      <c r="E3078" t="e">
        <f t="shared" si="28"/>
        <v>#REF!</v>
      </c>
      <c r="F3078" t="e">
        <f>'IND TECH'!#REF!</f>
        <v>#REF!</v>
      </c>
    </row>
    <row r="3079" spans="2:6" x14ac:dyDescent="0.25">
      <c r="C3079">
        <f>'IND TECH'!L3077</f>
        <v>0</v>
      </c>
      <c r="D3079" t="str">
        <f>'IND TECH'!A3077&amp;" "&amp;'IND TECH'!B3077&amp;" "&amp;'IND TECH'!C3077&amp;" "&amp;'IND TECH'!D3077&amp;" "&amp;'IND TECH'!E3077&amp;" "&amp;'IND TECH'!F3077&amp;" "&amp;'IND TECH'!G3077&amp;" "&amp;'IND TECH'!H3077</f>
        <v xml:space="preserve">       </v>
      </c>
      <c r="E3079" t="e">
        <f t="shared" si="28"/>
        <v>#REF!</v>
      </c>
      <c r="F3079" t="e">
        <f>'IND TECH'!#REF!</f>
        <v>#REF!</v>
      </c>
    </row>
    <row r="3080" spans="2:6" x14ac:dyDescent="0.25">
      <c r="C3080">
        <f>'IND TECH'!L3078</f>
        <v>0</v>
      </c>
      <c r="D3080" t="str">
        <f>'IND TECH'!A3078&amp;" "&amp;'IND TECH'!B3078&amp;" "&amp;'IND TECH'!C3078&amp;" "&amp;'IND TECH'!D3078&amp;" "&amp;'IND TECH'!E3078&amp;" "&amp;'IND TECH'!F3078&amp;" "&amp;'IND TECH'!G3078&amp;" "&amp;'IND TECH'!H3078</f>
        <v xml:space="preserve">       </v>
      </c>
      <c r="E3080" t="e">
        <f t="shared" si="28"/>
        <v>#REF!</v>
      </c>
      <c r="F3080" t="e">
        <f>'IND TECH'!#REF!</f>
        <v>#REF!</v>
      </c>
    </row>
    <row r="3081" spans="2:6" x14ac:dyDescent="0.25">
      <c r="C3081">
        <f>'IND TECH'!L3079</f>
        <v>0</v>
      </c>
      <c r="D3081" t="str">
        <f>'IND TECH'!A3079&amp;" "&amp;'IND TECH'!B3079&amp;" "&amp;'IND TECH'!C3079&amp;" "&amp;'IND TECH'!D3079&amp;" "&amp;'IND TECH'!E3079&amp;" "&amp;'IND TECH'!F3079&amp;" "&amp;'IND TECH'!G3079&amp;" "&amp;'IND TECH'!H3079</f>
        <v xml:space="preserve">       </v>
      </c>
      <c r="E3081" t="e">
        <f t="shared" si="28"/>
        <v>#REF!</v>
      </c>
      <c r="F3081" t="e">
        <f>'IND TECH'!#REF!</f>
        <v>#REF!</v>
      </c>
    </row>
    <row r="3082" spans="2:6" x14ac:dyDescent="0.25">
      <c r="C3082">
        <f>'IND TECH'!L3080</f>
        <v>0</v>
      </c>
      <c r="D3082" t="str">
        <f>'IND TECH'!A3080&amp;" "&amp;'IND TECH'!B3080&amp;" "&amp;'IND TECH'!C3080&amp;" "&amp;'IND TECH'!D3080&amp;" "&amp;'IND TECH'!E3080&amp;" "&amp;'IND TECH'!F3080&amp;" "&amp;'IND TECH'!G3080&amp;" "&amp;'IND TECH'!H3080</f>
        <v xml:space="preserve">       </v>
      </c>
      <c r="E3082" t="e">
        <f t="shared" si="28"/>
        <v>#REF!</v>
      </c>
      <c r="F3082" t="e">
        <f>'IND TECH'!#REF!</f>
        <v>#REF!</v>
      </c>
    </row>
    <row r="3083" spans="2:6" x14ac:dyDescent="0.25">
      <c r="C3083">
        <f>'IND TECH'!L3081</f>
        <v>0</v>
      </c>
      <c r="D3083" t="str">
        <f>'IND TECH'!A3081&amp;" "&amp;'IND TECH'!B3081&amp;" "&amp;'IND TECH'!C3081&amp;" "&amp;'IND TECH'!D3081&amp;" "&amp;'IND TECH'!E3081&amp;" "&amp;'IND TECH'!F3081&amp;" "&amp;'IND TECH'!G3081&amp;" "&amp;'IND TECH'!H3081</f>
        <v xml:space="preserve">       </v>
      </c>
      <c r="E3083" t="e">
        <f t="shared" si="28"/>
        <v>#REF!</v>
      </c>
      <c r="F3083" t="e">
        <f>'IND TECH'!#REF!</f>
        <v>#REF!</v>
      </c>
    </row>
    <row r="3084" spans="2:6" x14ac:dyDescent="0.25">
      <c r="B3084" t="s">
        <v>252</v>
      </c>
      <c r="C3084">
        <f>'IND TECH'!L3082</f>
        <v>0</v>
      </c>
    </row>
    <row r="3085" spans="2:6" x14ac:dyDescent="0.25">
      <c r="B3085" t="s">
        <v>274</v>
      </c>
      <c r="C3085">
        <f>'IND TECH'!L3083</f>
        <v>0</v>
      </c>
      <c r="D3085" t="str">
        <f>'IND TECH'!A3083&amp;" "&amp;'IND TECH'!B3083&amp;" "&amp;'IND TECH'!C3083&amp;" "&amp;'IND TECH'!D3083&amp;" "&amp;'IND TECH'!E3083&amp;" "&amp;'IND TECH'!F3083&amp;" "&amp;'IND TECH'!G3083&amp;" "&amp;'IND TECH'!H3083</f>
        <v xml:space="preserve">       </v>
      </c>
      <c r="E3085" t="e">
        <f t="shared" ref="E3085:E3148" si="29">IF(F3085="Mlma","Mlm","TJ")</f>
        <v>#REF!</v>
      </c>
      <c r="F3085" t="e">
        <f>'IND TECH'!#REF!</f>
        <v>#REF!</v>
      </c>
    </row>
    <row r="3086" spans="2:6" x14ac:dyDescent="0.25">
      <c r="C3086">
        <f>'IND TECH'!L3084</f>
        <v>0</v>
      </c>
      <c r="D3086" t="str">
        <f>'IND TECH'!A3084&amp;" "&amp;'IND TECH'!B3084&amp;" "&amp;'IND TECH'!C3084&amp;" "&amp;'IND TECH'!D3084&amp;" "&amp;'IND TECH'!E3084&amp;" "&amp;'IND TECH'!F3084&amp;" "&amp;'IND TECH'!G3084&amp;" "&amp;'IND TECH'!H3084</f>
        <v xml:space="preserve">       </v>
      </c>
      <c r="E3086" t="e">
        <f t="shared" si="29"/>
        <v>#REF!</v>
      </c>
      <c r="F3086" t="e">
        <f>'IND TECH'!#REF!</f>
        <v>#REF!</v>
      </c>
    </row>
    <row r="3087" spans="2:6" x14ac:dyDescent="0.25">
      <c r="C3087">
        <f>'IND TECH'!L3085</f>
        <v>0</v>
      </c>
      <c r="D3087" t="str">
        <f>'IND TECH'!A3085&amp;" "&amp;'IND TECH'!B3085&amp;" "&amp;'IND TECH'!C3085&amp;" "&amp;'IND TECH'!D3085&amp;" "&amp;'IND TECH'!E3085&amp;" "&amp;'IND TECH'!F3085&amp;" "&amp;'IND TECH'!G3085&amp;" "&amp;'IND TECH'!H3085</f>
        <v xml:space="preserve">       </v>
      </c>
      <c r="E3087" t="e">
        <f t="shared" si="29"/>
        <v>#REF!</v>
      </c>
      <c r="F3087" t="e">
        <f>'IND TECH'!#REF!</f>
        <v>#REF!</v>
      </c>
    </row>
    <row r="3088" spans="2:6" x14ac:dyDescent="0.25">
      <c r="C3088">
        <f>'IND TECH'!L3086</f>
        <v>0</v>
      </c>
      <c r="D3088" t="str">
        <f>'IND TECH'!A3086&amp;" "&amp;'IND TECH'!B3086&amp;" "&amp;'IND TECH'!C3086&amp;" "&amp;'IND TECH'!D3086&amp;" "&amp;'IND TECH'!E3086&amp;" "&amp;'IND TECH'!F3086&amp;" "&amp;'IND TECH'!G3086&amp;" "&amp;'IND TECH'!H3086</f>
        <v xml:space="preserve">       </v>
      </c>
      <c r="E3088" t="e">
        <f t="shared" si="29"/>
        <v>#REF!</v>
      </c>
      <c r="F3088" t="e">
        <f>'IND TECH'!#REF!</f>
        <v>#REF!</v>
      </c>
    </row>
    <row r="3089" spans="3:6" x14ac:dyDescent="0.25">
      <c r="C3089">
        <f>'IND TECH'!L3087</f>
        <v>0</v>
      </c>
      <c r="D3089" t="str">
        <f>'IND TECH'!A3087&amp;" "&amp;'IND TECH'!B3087&amp;" "&amp;'IND TECH'!C3087&amp;" "&amp;'IND TECH'!D3087&amp;" "&amp;'IND TECH'!E3087&amp;" "&amp;'IND TECH'!F3087&amp;" "&amp;'IND TECH'!G3087&amp;" "&amp;'IND TECH'!H3087</f>
        <v xml:space="preserve">       </v>
      </c>
      <c r="E3089" t="e">
        <f t="shared" si="29"/>
        <v>#REF!</v>
      </c>
      <c r="F3089" t="e">
        <f>'IND TECH'!#REF!</f>
        <v>#REF!</v>
      </c>
    </row>
    <row r="3090" spans="3:6" x14ac:dyDescent="0.25">
      <c r="C3090">
        <f>'IND TECH'!L3088</f>
        <v>0</v>
      </c>
      <c r="D3090" t="str">
        <f>'IND TECH'!A3088&amp;" "&amp;'IND TECH'!B3088&amp;" "&amp;'IND TECH'!C3088&amp;" "&amp;'IND TECH'!D3088&amp;" "&amp;'IND TECH'!E3088&amp;" "&amp;'IND TECH'!F3088&amp;" "&amp;'IND TECH'!G3088&amp;" "&amp;'IND TECH'!H3088</f>
        <v xml:space="preserve">       </v>
      </c>
      <c r="E3090" t="e">
        <f t="shared" si="29"/>
        <v>#REF!</v>
      </c>
      <c r="F3090" t="e">
        <f>'IND TECH'!#REF!</f>
        <v>#REF!</v>
      </c>
    </row>
    <row r="3091" spans="3:6" x14ac:dyDescent="0.25">
      <c r="C3091">
        <f>'IND TECH'!L3089</f>
        <v>0</v>
      </c>
      <c r="D3091" t="str">
        <f>'IND TECH'!A3089&amp;" "&amp;'IND TECH'!B3089&amp;" "&amp;'IND TECH'!C3089&amp;" "&amp;'IND TECH'!D3089&amp;" "&amp;'IND TECH'!E3089&amp;" "&amp;'IND TECH'!F3089&amp;" "&amp;'IND TECH'!G3089&amp;" "&amp;'IND TECH'!H3089</f>
        <v xml:space="preserve">       </v>
      </c>
      <c r="E3091" t="e">
        <f t="shared" si="29"/>
        <v>#REF!</v>
      </c>
      <c r="F3091" t="e">
        <f>'IND TECH'!#REF!</f>
        <v>#REF!</v>
      </c>
    </row>
    <row r="3092" spans="3:6" x14ac:dyDescent="0.25">
      <c r="C3092">
        <f>'IND TECH'!L3090</f>
        <v>0</v>
      </c>
      <c r="D3092" t="str">
        <f>'IND TECH'!A3090&amp;" "&amp;'IND TECH'!B3090&amp;" "&amp;'IND TECH'!C3090&amp;" "&amp;'IND TECH'!D3090&amp;" "&amp;'IND TECH'!E3090&amp;" "&amp;'IND TECH'!F3090&amp;" "&amp;'IND TECH'!G3090&amp;" "&amp;'IND TECH'!H3090</f>
        <v xml:space="preserve">       </v>
      </c>
      <c r="E3092" t="e">
        <f t="shared" si="29"/>
        <v>#REF!</v>
      </c>
      <c r="F3092" t="e">
        <f>'IND TECH'!#REF!</f>
        <v>#REF!</v>
      </c>
    </row>
    <row r="3093" spans="3:6" x14ac:dyDescent="0.25">
      <c r="C3093">
        <f>'IND TECH'!L3091</f>
        <v>0</v>
      </c>
      <c r="D3093" t="str">
        <f>'IND TECH'!A3091&amp;" "&amp;'IND TECH'!B3091&amp;" "&amp;'IND TECH'!C3091&amp;" "&amp;'IND TECH'!D3091&amp;" "&amp;'IND TECH'!E3091&amp;" "&amp;'IND TECH'!F3091&amp;" "&amp;'IND TECH'!G3091&amp;" "&amp;'IND TECH'!H3091</f>
        <v xml:space="preserve">       </v>
      </c>
      <c r="E3093" t="e">
        <f t="shared" si="29"/>
        <v>#REF!</v>
      </c>
      <c r="F3093" t="e">
        <f>'IND TECH'!#REF!</f>
        <v>#REF!</v>
      </c>
    </row>
    <row r="3094" spans="3:6" x14ac:dyDescent="0.25">
      <c r="C3094">
        <f>'IND TECH'!L3092</f>
        <v>0</v>
      </c>
      <c r="D3094" t="str">
        <f>'IND TECH'!A3092&amp;" "&amp;'IND TECH'!B3092&amp;" "&amp;'IND TECH'!C3092&amp;" "&amp;'IND TECH'!D3092&amp;" "&amp;'IND TECH'!E3092&amp;" "&amp;'IND TECH'!F3092&amp;" "&amp;'IND TECH'!G3092&amp;" "&amp;'IND TECH'!H3092</f>
        <v xml:space="preserve">       </v>
      </c>
      <c r="E3094" t="e">
        <f t="shared" si="29"/>
        <v>#REF!</v>
      </c>
      <c r="F3094" t="e">
        <f>'IND TECH'!#REF!</f>
        <v>#REF!</v>
      </c>
    </row>
    <row r="3095" spans="3:6" x14ac:dyDescent="0.25">
      <c r="C3095">
        <f>'IND TECH'!L3093</f>
        <v>0</v>
      </c>
      <c r="D3095" t="str">
        <f>'IND TECH'!A3093&amp;" "&amp;'IND TECH'!B3093&amp;" "&amp;'IND TECH'!C3093&amp;" "&amp;'IND TECH'!D3093&amp;" "&amp;'IND TECH'!E3093&amp;" "&amp;'IND TECH'!F3093&amp;" "&amp;'IND TECH'!G3093&amp;" "&amp;'IND TECH'!H3093</f>
        <v xml:space="preserve">       </v>
      </c>
      <c r="E3095" t="e">
        <f t="shared" si="29"/>
        <v>#REF!</v>
      </c>
      <c r="F3095" t="e">
        <f>'IND TECH'!#REF!</f>
        <v>#REF!</v>
      </c>
    </row>
    <row r="3096" spans="3:6" x14ac:dyDescent="0.25">
      <c r="C3096">
        <f>'IND TECH'!L3094</f>
        <v>0</v>
      </c>
      <c r="D3096" t="str">
        <f>'IND TECH'!A3094&amp;" "&amp;'IND TECH'!B3094&amp;" "&amp;'IND TECH'!C3094&amp;" "&amp;'IND TECH'!D3094&amp;" "&amp;'IND TECH'!E3094&amp;" "&amp;'IND TECH'!F3094&amp;" "&amp;'IND TECH'!G3094&amp;" "&amp;'IND TECH'!H3094</f>
        <v xml:space="preserve">       </v>
      </c>
      <c r="E3096" t="e">
        <f t="shared" si="29"/>
        <v>#REF!</v>
      </c>
      <c r="F3096" t="e">
        <f>'IND TECH'!#REF!</f>
        <v>#REF!</v>
      </c>
    </row>
    <row r="3097" spans="3:6" x14ac:dyDescent="0.25">
      <c r="C3097">
        <f>'IND TECH'!L3095</f>
        <v>0</v>
      </c>
      <c r="D3097" t="str">
        <f>'IND TECH'!A3095&amp;" "&amp;'IND TECH'!B3095&amp;" "&amp;'IND TECH'!C3095&amp;" "&amp;'IND TECH'!D3095&amp;" "&amp;'IND TECH'!E3095&amp;" "&amp;'IND TECH'!F3095&amp;" "&amp;'IND TECH'!G3095&amp;" "&amp;'IND TECH'!H3095</f>
        <v xml:space="preserve">       </v>
      </c>
      <c r="E3097" t="e">
        <f t="shared" si="29"/>
        <v>#REF!</v>
      </c>
      <c r="F3097" t="e">
        <f>'IND TECH'!#REF!</f>
        <v>#REF!</v>
      </c>
    </row>
    <row r="3098" spans="3:6" x14ac:dyDescent="0.25">
      <c r="C3098">
        <f>'IND TECH'!L3096</f>
        <v>0</v>
      </c>
      <c r="D3098" t="str">
        <f>'IND TECH'!A3096&amp;" "&amp;'IND TECH'!B3096&amp;" "&amp;'IND TECH'!C3096&amp;" "&amp;'IND TECH'!D3096&amp;" "&amp;'IND TECH'!E3096&amp;" "&amp;'IND TECH'!F3096&amp;" "&amp;'IND TECH'!G3096&amp;" "&amp;'IND TECH'!H3096</f>
        <v xml:space="preserve">       </v>
      </c>
      <c r="E3098" t="e">
        <f t="shared" si="29"/>
        <v>#REF!</v>
      </c>
      <c r="F3098" t="e">
        <f>'IND TECH'!#REF!</f>
        <v>#REF!</v>
      </c>
    </row>
    <row r="3099" spans="3:6" x14ac:dyDescent="0.25">
      <c r="C3099">
        <f>'IND TECH'!L3097</f>
        <v>0</v>
      </c>
      <c r="D3099" t="str">
        <f>'IND TECH'!A3097&amp;" "&amp;'IND TECH'!B3097&amp;" "&amp;'IND TECH'!C3097&amp;" "&amp;'IND TECH'!D3097&amp;" "&amp;'IND TECH'!E3097&amp;" "&amp;'IND TECH'!F3097&amp;" "&amp;'IND TECH'!G3097&amp;" "&amp;'IND TECH'!H3097</f>
        <v xml:space="preserve">       </v>
      </c>
      <c r="E3099" t="e">
        <f t="shared" si="29"/>
        <v>#REF!</v>
      </c>
      <c r="F3099" t="e">
        <f>'IND TECH'!#REF!</f>
        <v>#REF!</v>
      </c>
    </row>
    <row r="3100" spans="3:6" x14ac:dyDescent="0.25">
      <c r="C3100">
        <f>'IND TECH'!L3098</f>
        <v>0</v>
      </c>
      <c r="D3100" t="str">
        <f>'IND TECH'!A3098&amp;" "&amp;'IND TECH'!B3098&amp;" "&amp;'IND TECH'!C3098&amp;" "&amp;'IND TECH'!D3098&amp;" "&amp;'IND TECH'!E3098&amp;" "&amp;'IND TECH'!F3098&amp;" "&amp;'IND TECH'!G3098&amp;" "&amp;'IND TECH'!H3098</f>
        <v xml:space="preserve">       </v>
      </c>
      <c r="E3100" t="e">
        <f t="shared" si="29"/>
        <v>#REF!</v>
      </c>
      <c r="F3100" t="e">
        <f>'IND TECH'!#REF!</f>
        <v>#REF!</v>
      </c>
    </row>
    <row r="3101" spans="3:6" x14ac:dyDescent="0.25">
      <c r="C3101">
        <f>'IND TECH'!L3099</f>
        <v>0</v>
      </c>
      <c r="D3101" t="str">
        <f>'IND TECH'!A3099&amp;" "&amp;'IND TECH'!B3099&amp;" "&amp;'IND TECH'!C3099&amp;" "&amp;'IND TECH'!D3099&amp;" "&amp;'IND TECH'!E3099&amp;" "&amp;'IND TECH'!F3099&amp;" "&amp;'IND TECH'!G3099&amp;" "&amp;'IND TECH'!H3099</f>
        <v xml:space="preserve">       </v>
      </c>
      <c r="E3101" t="e">
        <f t="shared" si="29"/>
        <v>#REF!</v>
      </c>
      <c r="F3101" t="e">
        <f>'IND TECH'!#REF!</f>
        <v>#REF!</v>
      </c>
    </row>
    <row r="3102" spans="3:6" x14ac:dyDescent="0.25">
      <c r="C3102">
        <f>'IND TECH'!L3100</f>
        <v>0</v>
      </c>
      <c r="D3102" t="str">
        <f>'IND TECH'!A3100&amp;" "&amp;'IND TECH'!B3100&amp;" "&amp;'IND TECH'!C3100&amp;" "&amp;'IND TECH'!D3100&amp;" "&amp;'IND TECH'!E3100&amp;" "&amp;'IND TECH'!F3100&amp;" "&amp;'IND TECH'!G3100&amp;" "&amp;'IND TECH'!H3100</f>
        <v xml:space="preserve">       </v>
      </c>
      <c r="E3102" t="e">
        <f t="shared" si="29"/>
        <v>#REF!</v>
      </c>
      <c r="F3102" t="e">
        <f>'IND TECH'!#REF!</f>
        <v>#REF!</v>
      </c>
    </row>
    <row r="3103" spans="3:6" x14ac:dyDescent="0.25">
      <c r="C3103">
        <f>'IND TECH'!L3101</f>
        <v>0</v>
      </c>
      <c r="D3103" t="str">
        <f>'IND TECH'!A3101&amp;" "&amp;'IND TECH'!B3101&amp;" "&amp;'IND TECH'!C3101&amp;" "&amp;'IND TECH'!D3101&amp;" "&amp;'IND TECH'!E3101&amp;" "&amp;'IND TECH'!F3101&amp;" "&amp;'IND TECH'!G3101&amp;" "&amp;'IND TECH'!H3101</f>
        <v xml:space="preserve">       </v>
      </c>
      <c r="E3103" t="e">
        <f t="shared" si="29"/>
        <v>#REF!</v>
      </c>
      <c r="F3103" t="e">
        <f>'IND TECH'!#REF!</f>
        <v>#REF!</v>
      </c>
    </row>
    <row r="3104" spans="3:6" x14ac:dyDescent="0.25">
      <c r="C3104">
        <f>'IND TECH'!L3102</f>
        <v>0</v>
      </c>
      <c r="D3104" t="str">
        <f>'IND TECH'!A3102&amp;" "&amp;'IND TECH'!B3102&amp;" "&amp;'IND TECH'!C3102&amp;" "&amp;'IND TECH'!D3102&amp;" "&amp;'IND TECH'!E3102&amp;" "&amp;'IND TECH'!F3102&amp;" "&amp;'IND TECH'!G3102&amp;" "&amp;'IND TECH'!H3102</f>
        <v xml:space="preserve">       </v>
      </c>
      <c r="E3104" t="e">
        <f t="shared" si="29"/>
        <v>#REF!</v>
      </c>
      <c r="F3104" t="e">
        <f>'IND TECH'!#REF!</f>
        <v>#REF!</v>
      </c>
    </row>
    <row r="3105" spans="3:6" x14ac:dyDescent="0.25">
      <c r="C3105">
        <f>'IND TECH'!L3103</f>
        <v>0</v>
      </c>
      <c r="D3105" t="str">
        <f>'IND TECH'!A3103&amp;" "&amp;'IND TECH'!B3103&amp;" "&amp;'IND TECH'!C3103&amp;" "&amp;'IND TECH'!D3103&amp;" "&amp;'IND TECH'!E3103&amp;" "&amp;'IND TECH'!F3103&amp;" "&amp;'IND TECH'!G3103&amp;" "&amp;'IND TECH'!H3103</f>
        <v xml:space="preserve">       </v>
      </c>
      <c r="E3105" t="e">
        <f t="shared" si="29"/>
        <v>#REF!</v>
      </c>
      <c r="F3105" t="e">
        <f>'IND TECH'!#REF!</f>
        <v>#REF!</v>
      </c>
    </row>
    <row r="3106" spans="3:6" x14ac:dyDescent="0.25">
      <c r="C3106">
        <f>'IND TECH'!L3104</f>
        <v>0</v>
      </c>
      <c r="D3106" t="str">
        <f>'IND TECH'!A3104&amp;" "&amp;'IND TECH'!B3104&amp;" "&amp;'IND TECH'!C3104&amp;" "&amp;'IND TECH'!D3104&amp;" "&amp;'IND TECH'!E3104&amp;" "&amp;'IND TECH'!F3104&amp;" "&amp;'IND TECH'!G3104&amp;" "&amp;'IND TECH'!H3104</f>
        <v xml:space="preserve">       </v>
      </c>
      <c r="E3106" t="e">
        <f t="shared" si="29"/>
        <v>#REF!</v>
      </c>
      <c r="F3106" t="e">
        <f>'IND TECH'!#REF!</f>
        <v>#REF!</v>
      </c>
    </row>
    <row r="3107" spans="3:6" x14ac:dyDescent="0.25">
      <c r="C3107">
        <f>'IND TECH'!L3105</f>
        <v>0</v>
      </c>
      <c r="D3107" t="str">
        <f>'IND TECH'!A3105&amp;" "&amp;'IND TECH'!B3105&amp;" "&amp;'IND TECH'!C3105&amp;" "&amp;'IND TECH'!D3105&amp;" "&amp;'IND TECH'!E3105&amp;" "&amp;'IND TECH'!F3105&amp;" "&amp;'IND TECH'!G3105&amp;" "&amp;'IND TECH'!H3105</f>
        <v xml:space="preserve">       </v>
      </c>
      <c r="E3107" t="e">
        <f t="shared" si="29"/>
        <v>#REF!</v>
      </c>
      <c r="F3107" t="e">
        <f>'IND TECH'!#REF!</f>
        <v>#REF!</v>
      </c>
    </row>
    <row r="3108" spans="3:6" x14ac:dyDescent="0.25">
      <c r="C3108">
        <f>'IND TECH'!L3106</f>
        <v>0</v>
      </c>
      <c r="D3108" t="str">
        <f>'IND TECH'!A3106&amp;" "&amp;'IND TECH'!B3106&amp;" "&amp;'IND TECH'!C3106&amp;" "&amp;'IND TECH'!D3106&amp;" "&amp;'IND TECH'!E3106&amp;" "&amp;'IND TECH'!F3106&amp;" "&amp;'IND TECH'!G3106&amp;" "&amp;'IND TECH'!H3106</f>
        <v xml:space="preserve">       </v>
      </c>
      <c r="E3108" t="e">
        <f t="shared" si="29"/>
        <v>#REF!</v>
      </c>
      <c r="F3108" t="e">
        <f>'IND TECH'!#REF!</f>
        <v>#REF!</v>
      </c>
    </row>
    <row r="3109" spans="3:6" x14ac:dyDescent="0.25">
      <c r="C3109">
        <f>'IND TECH'!L3107</f>
        <v>0</v>
      </c>
      <c r="D3109" t="str">
        <f>'IND TECH'!A3107&amp;" "&amp;'IND TECH'!B3107&amp;" "&amp;'IND TECH'!C3107&amp;" "&amp;'IND TECH'!D3107&amp;" "&amp;'IND TECH'!E3107&amp;" "&amp;'IND TECH'!F3107&amp;" "&amp;'IND TECH'!G3107&amp;" "&amp;'IND TECH'!H3107</f>
        <v xml:space="preserve">       </v>
      </c>
      <c r="E3109" t="e">
        <f t="shared" si="29"/>
        <v>#REF!</v>
      </c>
      <c r="F3109" t="e">
        <f>'IND TECH'!#REF!</f>
        <v>#REF!</v>
      </c>
    </row>
    <row r="3110" spans="3:6" x14ac:dyDescent="0.25">
      <c r="C3110">
        <f>'IND TECH'!L3108</f>
        <v>0</v>
      </c>
      <c r="D3110" t="str">
        <f>'IND TECH'!A3108&amp;" "&amp;'IND TECH'!B3108&amp;" "&amp;'IND TECH'!C3108&amp;" "&amp;'IND TECH'!D3108&amp;" "&amp;'IND TECH'!E3108&amp;" "&amp;'IND TECH'!F3108&amp;" "&amp;'IND TECH'!G3108&amp;" "&amp;'IND TECH'!H3108</f>
        <v xml:space="preserve">       </v>
      </c>
      <c r="E3110" t="e">
        <f t="shared" si="29"/>
        <v>#REF!</v>
      </c>
      <c r="F3110" t="e">
        <f>'IND TECH'!#REF!</f>
        <v>#REF!</v>
      </c>
    </row>
    <row r="3111" spans="3:6" x14ac:dyDescent="0.25">
      <c r="C3111">
        <f>'IND TECH'!L3109</f>
        <v>0</v>
      </c>
      <c r="D3111" t="str">
        <f>'IND TECH'!A3109&amp;" "&amp;'IND TECH'!B3109&amp;" "&amp;'IND TECH'!C3109&amp;" "&amp;'IND TECH'!D3109&amp;" "&amp;'IND TECH'!E3109&amp;" "&amp;'IND TECH'!F3109&amp;" "&amp;'IND TECH'!G3109&amp;" "&amp;'IND TECH'!H3109</f>
        <v xml:space="preserve">       </v>
      </c>
      <c r="E3111" t="e">
        <f t="shared" si="29"/>
        <v>#REF!</v>
      </c>
      <c r="F3111" t="e">
        <f>'IND TECH'!#REF!</f>
        <v>#REF!</v>
      </c>
    </row>
    <row r="3112" spans="3:6" x14ac:dyDescent="0.25">
      <c r="C3112">
        <f>'IND TECH'!L3110</f>
        <v>0</v>
      </c>
      <c r="D3112" t="str">
        <f>'IND TECH'!A3110&amp;" "&amp;'IND TECH'!B3110&amp;" "&amp;'IND TECH'!C3110&amp;" "&amp;'IND TECH'!D3110&amp;" "&amp;'IND TECH'!E3110&amp;" "&amp;'IND TECH'!F3110&amp;" "&amp;'IND TECH'!G3110&amp;" "&amp;'IND TECH'!H3110</f>
        <v xml:space="preserve">       </v>
      </c>
      <c r="E3112" t="e">
        <f t="shared" si="29"/>
        <v>#REF!</v>
      </c>
      <c r="F3112" t="e">
        <f>'IND TECH'!#REF!</f>
        <v>#REF!</v>
      </c>
    </row>
    <row r="3113" spans="3:6" x14ac:dyDescent="0.25">
      <c r="C3113">
        <f>'IND TECH'!L3111</f>
        <v>0</v>
      </c>
      <c r="D3113" t="str">
        <f>'IND TECH'!A3111&amp;" "&amp;'IND TECH'!B3111&amp;" "&amp;'IND TECH'!C3111&amp;" "&amp;'IND TECH'!D3111&amp;" "&amp;'IND TECH'!E3111&amp;" "&amp;'IND TECH'!F3111&amp;" "&amp;'IND TECH'!G3111&amp;" "&amp;'IND TECH'!H3111</f>
        <v xml:space="preserve">       </v>
      </c>
      <c r="E3113" t="e">
        <f t="shared" si="29"/>
        <v>#REF!</v>
      </c>
      <c r="F3113" t="e">
        <f>'IND TECH'!#REF!</f>
        <v>#REF!</v>
      </c>
    </row>
    <row r="3114" spans="3:6" x14ac:dyDescent="0.25">
      <c r="C3114">
        <f>'IND TECH'!L3112</f>
        <v>0</v>
      </c>
      <c r="D3114" t="str">
        <f>'IND TECH'!A3112&amp;" "&amp;'IND TECH'!B3112&amp;" "&amp;'IND TECH'!C3112&amp;" "&amp;'IND TECH'!D3112&amp;" "&amp;'IND TECH'!E3112&amp;" "&amp;'IND TECH'!F3112&amp;" "&amp;'IND TECH'!G3112&amp;" "&amp;'IND TECH'!H3112</f>
        <v xml:space="preserve">       </v>
      </c>
      <c r="E3114" t="e">
        <f t="shared" si="29"/>
        <v>#REF!</v>
      </c>
      <c r="F3114" t="e">
        <f>'IND TECH'!#REF!</f>
        <v>#REF!</v>
      </c>
    </row>
    <row r="3115" spans="3:6" x14ac:dyDescent="0.25">
      <c r="C3115">
        <f>'IND TECH'!L3113</f>
        <v>0</v>
      </c>
      <c r="D3115" t="str">
        <f>'IND TECH'!A3113&amp;" "&amp;'IND TECH'!B3113&amp;" "&amp;'IND TECH'!C3113&amp;" "&amp;'IND TECH'!D3113&amp;" "&amp;'IND TECH'!E3113&amp;" "&amp;'IND TECH'!F3113&amp;" "&amp;'IND TECH'!G3113&amp;" "&amp;'IND TECH'!H3113</f>
        <v xml:space="preserve">       </v>
      </c>
      <c r="E3115" t="e">
        <f t="shared" si="29"/>
        <v>#REF!</v>
      </c>
      <c r="F3115" t="e">
        <f>'IND TECH'!#REF!</f>
        <v>#REF!</v>
      </c>
    </row>
    <row r="3116" spans="3:6" x14ac:dyDescent="0.25">
      <c r="C3116">
        <f>'IND TECH'!L3114</f>
        <v>0</v>
      </c>
      <c r="D3116" t="str">
        <f>'IND TECH'!A3114&amp;" "&amp;'IND TECH'!B3114&amp;" "&amp;'IND TECH'!C3114&amp;" "&amp;'IND TECH'!D3114&amp;" "&amp;'IND TECH'!E3114&amp;" "&amp;'IND TECH'!F3114&amp;" "&amp;'IND TECH'!G3114&amp;" "&amp;'IND TECH'!H3114</f>
        <v xml:space="preserve">       </v>
      </c>
      <c r="E3116" t="e">
        <f t="shared" si="29"/>
        <v>#REF!</v>
      </c>
      <c r="F3116" t="e">
        <f>'IND TECH'!#REF!</f>
        <v>#REF!</v>
      </c>
    </row>
    <row r="3117" spans="3:6" x14ac:dyDescent="0.25">
      <c r="C3117">
        <f>'IND TECH'!L3115</f>
        <v>0</v>
      </c>
      <c r="D3117" t="str">
        <f>'IND TECH'!A3115&amp;" "&amp;'IND TECH'!B3115&amp;" "&amp;'IND TECH'!C3115&amp;" "&amp;'IND TECH'!D3115&amp;" "&amp;'IND TECH'!E3115&amp;" "&amp;'IND TECH'!F3115&amp;" "&amp;'IND TECH'!G3115&amp;" "&amp;'IND TECH'!H3115</f>
        <v xml:space="preserve">       </v>
      </c>
      <c r="E3117" t="e">
        <f t="shared" si="29"/>
        <v>#REF!</v>
      </c>
      <c r="F3117" t="e">
        <f>'IND TECH'!#REF!</f>
        <v>#REF!</v>
      </c>
    </row>
    <row r="3118" spans="3:6" x14ac:dyDescent="0.25">
      <c r="C3118">
        <f>'IND TECH'!L3116</f>
        <v>0</v>
      </c>
      <c r="D3118" t="str">
        <f>'IND TECH'!A3116&amp;" "&amp;'IND TECH'!B3116&amp;" "&amp;'IND TECH'!C3116&amp;" "&amp;'IND TECH'!D3116&amp;" "&amp;'IND TECH'!E3116&amp;" "&amp;'IND TECH'!F3116&amp;" "&amp;'IND TECH'!G3116&amp;" "&amp;'IND TECH'!H3116</f>
        <v xml:space="preserve">       </v>
      </c>
      <c r="E3118" t="e">
        <f t="shared" si="29"/>
        <v>#REF!</v>
      </c>
      <c r="F3118" t="e">
        <f>'IND TECH'!#REF!</f>
        <v>#REF!</v>
      </c>
    </row>
    <row r="3119" spans="3:6" x14ac:dyDescent="0.25">
      <c r="C3119">
        <f>'IND TECH'!L3117</f>
        <v>0</v>
      </c>
      <c r="D3119" t="str">
        <f>'IND TECH'!A3117&amp;" "&amp;'IND TECH'!B3117&amp;" "&amp;'IND TECH'!C3117&amp;" "&amp;'IND TECH'!D3117&amp;" "&amp;'IND TECH'!E3117&amp;" "&amp;'IND TECH'!F3117&amp;" "&amp;'IND TECH'!G3117&amp;" "&amp;'IND TECH'!H3117</f>
        <v xml:space="preserve">       </v>
      </c>
      <c r="E3119" t="e">
        <f t="shared" si="29"/>
        <v>#REF!</v>
      </c>
      <c r="F3119" t="e">
        <f>'IND TECH'!#REF!</f>
        <v>#REF!</v>
      </c>
    </row>
    <row r="3120" spans="3:6" x14ac:dyDescent="0.25">
      <c r="C3120">
        <f>'IND TECH'!L3118</f>
        <v>0</v>
      </c>
      <c r="D3120" t="str">
        <f>'IND TECH'!A3118&amp;" "&amp;'IND TECH'!B3118&amp;" "&amp;'IND TECH'!C3118&amp;" "&amp;'IND TECH'!D3118&amp;" "&amp;'IND TECH'!E3118&amp;" "&amp;'IND TECH'!F3118&amp;" "&amp;'IND TECH'!G3118&amp;" "&amp;'IND TECH'!H3118</f>
        <v xml:space="preserve">       </v>
      </c>
      <c r="E3120" t="e">
        <f t="shared" si="29"/>
        <v>#REF!</v>
      </c>
      <c r="F3120" t="e">
        <f>'IND TECH'!#REF!</f>
        <v>#REF!</v>
      </c>
    </row>
    <row r="3121" spans="3:6" x14ac:dyDescent="0.25">
      <c r="C3121">
        <f>'IND TECH'!L3119</f>
        <v>0</v>
      </c>
      <c r="D3121" t="str">
        <f>'IND TECH'!A3119&amp;" "&amp;'IND TECH'!B3119&amp;" "&amp;'IND TECH'!C3119&amp;" "&amp;'IND TECH'!D3119&amp;" "&amp;'IND TECH'!E3119&amp;" "&amp;'IND TECH'!F3119&amp;" "&amp;'IND TECH'!G3119&amp;" "&amp;'IND TECH'!H3119</f>
        <v xml:space="preserve">       </v>
      </c>
      <c r="E3121" t="e">
        <f t="shared" si="29"/>
        <v>#REF!</v>
      </c>
      <c r="F3121" t="e">
        <f>'IND TECH'!#REF!</f>
        <v>#REF!</v>
      </c>
    </row>
    <row r="3122" spans="3:6" x14ac:dyDescent="0.25">
      <c r="C3122">
        <f>'IND TECH'!L3120</f>
        <v>0</v>
      </c>
      <c r="D3122" t="str">
        <f>'IND TECH'!A3120&amp;" "&amp;'IND TECH'!B3120&amp;" "&amp;'IND TECH'!C3120&amp;" "&amp;'IND TECH'!D3120&amp;" "&amp;'IND TECH'!E3120&amp;" "&amp;'IND TECH'!F3120&amp;" "&amp;'IND TECH'!G3120&amp;" "&amp;'IND TECH'!H3120</f>
        <v xml:space="preserve">       </v>
      </c>
      <c r="E3122" t="e">
        <f t="shared" si="29"/>
        <v>#REF!</v>
      </c>
      <c r="F3122" t="e">
        <f>'IND TECH'!#REF!</f>
        <v>#REF!</v>
      </c>
    </row>
    <row r="3123" spans="3:6" x14ac:dyDescent="0.25">
      <c r="C3123">
        <f>'IND TECH'!L3121</f>
        <v>0</v>
      </c>
      <c r="D3123" t="str">
        <f>'IND TECH'!A3121&amp;" "&amp;'IND TECH'!B3121&amp;" "&amp;'IND TECH'!C3121&amp;" "&amp;'IND TECH'!D3121&amp;" "&amp;'IND TECH'!E3121&amp;" "&amp;'IND TECH'!F3121&amp;" "&amp;'IND TECH'!G3121&amp;" "&amp;'IND TECH'!H3121</f>
        <v xml:space="preserve">       </v>
      </c>
      <c r="E3123" t="e">
        <f t="shared" si="29"/>
        <v>#REF!</v>
      </c>
      <c r="F3123" t="e">
        <f>'IND TECH'!#REF!</f>
        <v>#REF!</v>
      </c>
    </row>
    <row r="3124" spans="3:6" x14ac:dyDescent="0.25">
      <c r="C3124">
        <f>'IND TECH'!L3122</f>
        <v>0</v>
      </c>
      <c r="D3124" t="str">
        <f>'IND TECH'!A3122&amp;" "&amp;'IND TECH'!B3122&amp;" "&amp;'IND TECH'!C3122&amp;" "&amp;'IND TECH'!D3122&amp;" "&amp;'IND TECH'!E3122&amp;" "&amp;'IND TECH'!F3122&amp;" "&amp;'IND TECH'!G3122&amp;" "&amp;'IND TECH'!H3122</f>
        <v xml:space="preserve">       </v>
      </c>
      <c r="E3124" t="e">
        <f t="shared" si="29"/>
        <v>#REF!</v>
      </c>
      <c r="F3124" t="e">
        <f>'IND TECH'!#REF!</f>
        <v>#REF!</v>
      </c>
    </row>
    <row r="3125" spans="3:6" x14ac:dyDescent="0.25">
      <c r="C3125">
        <f>'IND TECH'!L3123</f>
        <v>0</v>
      </c>
      <c r="D3125" t="str">
        <f>'IND TECH'!A3123&amp;" "&amp;'IND TECH'!B3123&amp;" "&amp;'IND TECH'!C3123&amp;" "&amp;'IND TECH'!D3123&amp;" "&amp;'IND TECH'!E3123&amp;" "&amp;'IND TECH'!F3123&amp;" "&amp;'IND TECH'!G3123&amp;" "&amp;'IND TECH'!H3123</f>
        <v xml:space="preserve">       </v>
      </c>
      <c r="E3125" t="e">
        <f t="shared" si="29"/>
        <v>#REF!</v>
      </c>
      <c r="F3125" t="e">
        <f>'IND TECH'!#REF!</f>
        <v>#REF!</v>
      </c>
    </row>
    <row r="3126" spans="3:6" x14ac:dyDescent="0.25">
      <c r="C3126">
        <f>'IND TECH'!L3124</f>
        <v>0</v>
      </c>
      <c r="D3126" t="str">
        <f>'IND TECH'!A3124&amp;" "&amp;'IND TECH'!B3124&amp;" "&amp;'IND TECH'!C3124&amp;" "&amp;'IND TECH'!D3124&amp;" "&amp;'IND TECH'!E3124&amp;" "&amp;'IND TECH'!F3124&amp;" "&amp;'IND TECH'!G3124&amp;" "&amp;'IND TECH'!H3124</f>
        <v xml:space="preserve">       </v>
      </c>
      <c r="E3126" t="e">
        <f t="shared" si="29"/>
        <v>#REF!</v>
      </c>
      <c r="F3126" t="e">
        <f>'IND TECH'!#REF!</f>
        <v>#REF!</v>
      </c>
    </row>
    <row r="3127" spans="3:6" x14ac:dyDescent="0.25">
      <c r="C3127">
        <f>'IND TECH'!L3125</f>
        <v>0</v>
      </c>
      <c r="D3127" t="str">
        <f>'IND TECH'!A3125&amp;" "&amp;'IND TECH'!B3125&amp;" "&amp;'IND TECH'!C3125&amp;" "&amp;'IND TECH'!D3125&amp;" "&amp;'IND TECH'!E3125&amp;" "&amp;'IND TECH'!F3125&amp;" "&amp;'IND TECH'!G3125&amp;" "&amp;'IND TECH'!H3125</f>
        <v xml:space="preserve">       </v>
      </c>
      <c r="E3127" t="e">
        <f t="shared" si="29"/>
        <v>#REF!</v>
      </c>
      <c r="F3127" t="e">
        <f>'IND TECH'!#REF!</f>
        <v>#REF!</v>
      </c>
    </row>
    <row r="3128" spans="3:6" x14ac:dyDescent="0.25">
      <c r="C3128">
        <f>'IND TECH'!L3126</f>
        <v>0</v>
      </c>
      <c r="D3128" t="str">
        <f>'IND TECH'!A3126&amp;" "&amp;'IND TECH'!B3126&amp;" "&amp;'IND TECH'!C3126&amp;" "&amp;'IND TECH'!D3126&amp;" "&amp;'IND TECH'!E3126&amp;" "&amp;'IND TECH'!F3126&amp;" "&amp;'IND TECH'!G3126&amp;" "&amp;'IND TECH'!H3126</f>
        <v xml:space="preserve">       </v>
      </c>
      <c r="E3128" t="e">
        <f t="shared" si="29"/>
        <v>#REF!</v>
      </c>
      <c r="F3128" t="e">
        <f>'IND TECH'!#REF!</f>
        <v>#REF!</v>
      </c>
    </row>
    <row r="3129" spans="3:6" x14ac:dyDescent="0.25">
      <c r="C3129">
        <f>'IND TECH'!L3127</f>
        <v>0</v>
      </c>
      <c r="D3129" t="str">
        <f>'IND TECH'!A3127&amp;" "&amp;'IND TECH'!B3127&amp;" "&amp;'IND TECH'!C3127&amp;" "&amp;'IND TECH'!D3127&amp;" "&amp;'IND TECH'!E3127&amp;" "&amp;'IND TECH'!F3127&amp;" "&amp;'IND TECH'!G3127&amp;" "&amp;'IND TECH'!H3127</f>
        <v xml:space="preserve">       </v>
      </c>
      <c r="E3129" t="e">
        <f t="shared" si="29"/>
        <v>#REF!</v>
      </c>
      <c r="F3129" t="e">
        <f>'IND TECH'!#REF!</f>
        <v>#REF!</v>
      </c>
    </row>
    <row r="3130" spans="3:6" x14ac:dyDescent="0.25">
      <c r="C3130">
        <f>'IND TECH'!L3128</f>
        <v>0</v>
      </c>
      <c r="D3130" t="str">
        <f>'IND TECH'!A3128&amp;" "&amp;'IND TECH'!B3128&amp;" "&amp;'IND TECH'!C3128&amp;" "&amp;'IND TECH'!D3128&amp;" "&amp;'IND TECH'!E3128&amp;" "&amp;'IND TECH'!F3128&amp;" "&amp;'IND TECH'!G3128&amp;" "&amp;'IND TECH'!H3128</f>
        <v xml:space="preserve">       </v>
      </c>
      <c r="E3130" t="e">
        <f t="shared" si="29"/>
        <v>#REF!</v>
      </c>
      <c r="F3130" t="e">
        <f>'IND TECH'!#REF!</f>
        <v>#REF!</v>
      </c>
    </row>
    <row r="3131" spans="3:6" x14ac:dyDescent="0.25">
      <c r="C3131">
        <f>'IND TECH'!L3129</f>
        <v>0</v>
      </c>
      <c r="D3131" t="str">
        <f>'IND TECH'!A3129&amp;" "&amp;'IND TECH'!B3129&amp;" "&amp;'IND TECH'!C3129&amp;" "&amp;'IND TECH'!D3129&amp;" "&amp;'IND TECH'!E3129&amp;" "&amp;'IND TECH'!F3129&amp;" "&amp;'IND TECH'!G3129&amp;" "&amp;'IND TECH'!H3129</f>
        <v xml:space="preserve">       </v>
      </c>
      <c r="E3131" t="e">
        <f t="shared" si="29"/>
        <v>#REF!</v>
      </c>
      <c r="F3131" t="e">
        <f>'IND TECH'!#REF!</f>
        <v>#REF!</v>
      </c>
    </row>
    <row r="3132" spans="3:6" x14ac:dyDescent="0.25">
      <c r="C3132">
        <f>'IND TECH'!L3130</f>
        <v>0</v>
      </c>
      <c r="D3132" t="str">
        <f>'IND TECH'!A3130&amp;" "&amp;'IND TECH'!B3130&amp;" "&amp;'IND TECH'!C3130&amp;" "&amp;'IND TECH'!D3130&amp;" "&amp;'IND TECH'!E3130&amp;" "&amp;'IND TECH'!F3130&amp;" "&amp;'IND TECH'!G3130&amp;" "&amp;'IND TECH'!H3130</f>
        <v xml:space="preserve">       </v>
      </c>
      <c r="E3132" t="e">
        <f t="shared" si="29"/>
        <v>#REF!</v>
      </c>
      <c r="F3132" t="e">
        <f>'IND TECH'!#REF!</f>
        <v>#REF!</v>
      </c>
    </row>
    <row r="3133" spans="3:6" x14ac:dyDescent="0.25">
      <c r="C3133">
        <f>'IND TECH'!L3131</f>
        <v>0</v>
      </c>
      <c r="D3133" t="str">
        <f>'IND TECH'!A3131&amp;" "&amp;'IND TECH'!B3131&amp;" "&amp;'IND TECH'!C3131&amp;" "&amp;'IND TECH'!D3131&amp;" "&amp;'IND TECH'!E3131&amp;" "&amp;'IND TECH'!F3131&amp;" "&amp;'IND TECH'!G3131&amp;" "&amp;'IND TECH'!H3131</f>
        <v xml:space="preserve">       </v>
      </c>
      <c r="E3133" t="e">
        <f t="shared" si="29"/>
        <v>#REF!</v>
      </c>
      <c r="F3133" t="e">
        <f>'IND TECH'!#REF!</f>
        <v>#REF!</v>
      </c>
    </row>
    <row r="3134" spans="3:6" x14ac:dyDescent="0.25">
      <c r="C3134">
        <f>'IND TECH'!L3132</f>
        <v>0</v>
      </c>
      <c r="D3134" t="str">
        <f>'IND TECH'!A3132&amp;" "&amp;'IND TECH'!B3132&amp;" "&amp;'IND TECH'!C3132&amp;" "&amp;'IND TECH'!D3132&amp;" "&amp;'IND TECH'!E3132&amp;" "&amp;'IND TECH'!F3132&amp;" "&amp;'IND TECH'!G3132&amp;" "&amp;'IND TECH'!H3132</f>
        <v xml:space="preserve">       </v>
      </c>
      <c r="E3134" t="e">
        <f t="shared" si="29"/>
        <v>#REF!</v>
      </c>
      <c r="F3134" t="e">
        <f>'IND TECH'!#REF!</f>
        <v>#REF!</v>
      </c>
    </row>
    <row r="3135" spans="3:6" x14ac:dyDescent="0.25">
      <c r="C3135">
        <f>'IND TECH'!L3133</f>
        <v>0</v>
      </c>
      <c r="D3135" t="str">
        <f>'IND TECH'!A3133&amp;" "&amp;'IND TECH'!B3133&amp;" "&amp;'IND TECH'!C3133&amp;" "&amp;'IND TECH'!D3133&amp;" "&amp;'IND TECH'!E3133&amp;" "&amp;'IND TECH'!F3133&amp;" "&amp;'IND TECH'!G3133&amp;" "&amp;'IND TECH'!H3133</f>
        <v xml:space="preserve">       </v>
      </c>
      <c r="E3135" t="e">
        <f t="shared" si="29"/>
        <v>#REF!</v>
      </c>
      <c r="F3135" t="e">
        <f>'IND TECH'!#REF!</f>
        <v>#REF!</v>
      </c>
    </row>
    <row r="3136" spans="3:6" x14ac:dyDescent="0.25">
      <c r="C3136">
        <f>'IND TECH'!L3134</f>
        <v>0</v>
      </c>
      <c r="D3136" t="str">
        <f>'IND TECH'!A3134&amp;" "&amp;'IND TECH'!B3134&amp;" "&amp;'IND TECH'!C3134&amp;" "&amp;'IND TECH'!D3134&amp;" "&amp;'IND TECH'!E3134&amp;" "&amp;'IND TECH'!F3134&amp;" "&amp;'IND TECH'!G3134&amp;" "&amp;'IND TECH'!H3134</f>
        <v xml:space="preserve">       </v>
      </c>
      <c r="E3136" t="e">
        <f t="shared" si="29"/>
        <v>#REF!</v>
      </c>
      <c r="F3136" t="e">
        <f>'IND TECH'!#REF!</f>
        <v>#REF!</v>
      </c>
    </row>
    <row r="3137" spans="3:6" x14ac:dyDescent="0.25">
      <c r="C3137">
        <f>'IND TECH'!L3135</f>
        <v>0</v>
      </c>
      <c r="D3137" t="str">
        <f>'IND TECH'!A3135&amp;" "&amp;'IND TECH'!B3135&amp;" "&amp;'IND TECH'!C3135&amp;" "&amp;'IND TECH'!D3135&amp;" "&amp;'IND TECH'!E3135&amp;" "&amp;'IND TECH'!F3135&amp;" "&amp;'IND TECH'!G3135&amp;" "&amp;'IND TECH'!H3135</f>
        <v xml:space="preserve">       </v>
      </c>
      <c r="E3137" t="e">
        <f t="shared" si="29"/>
        <v>#REF!</v>
      </c>
      <c r="F3137" t="e">
        <f>'IND TECH'!#REF!</f>
        <v>#REF!</v>
      </c>
    </row>
    <row r="3138" spans="3:6" x14ac:dyDescent="0.25">
      <c r="C3138">
        <f>'IND TECH'!L3136</f>
        <v>0</v>
      </c>
      <c r="D3138" t="str">
        <f>'IND TECH'!A3136&amp;" "&amp;'IND TECH'!B3136&amp;" "&amp;'IND TECH'!C3136&amp;" "&amp;'IND TECH'!D3136&amp;" "&amp;'IND TECH'!E3136&amp;" "&amp;'IND TECH'!F3136&amp;" "&amp;'IND TECH'!G3136&amp;" "&amp;'IND TECH'!H3136</f>
        <v xml:space="preserve">       </v>
      </c>
      <c r="E3138" t="e">
        <f t="shared" si="29"/>
        <v>#REF!</v>
      </c>
      <c r="F3138" t="e">
        <f>'IND TECH'!#REF!</f>
        <v>#REF!</v>
      </c>
    </row>
    <row r="3139" spans="3:6" x14ac:dyDescent="0.25">
      <c r="C3139">
        <f>'IND TECH'!L3137</f>
        <v>0</v>
      </c>
      <c r="D3139" t="str">
        <f>'IND TECH'!A3137&amp;" "&amp;'IND TECH'!B3137&amp;" "&amp;'IND TECH'!C3137&amp;" "&amp;'IND TECH'!D3137&amp;" "&amp;'IND TECH'!E3137&amp;" "&amp;'IND TECH'!F3137&amp;" "&amp;'IND TECH'!G3137&amp;" "&amp;'IND TECH'!H3137</f>
        <v xml:space="preserve">       </v>
      </c>
      <c r="E3139" t="e">
        <f t="shared" si="29"/>
        <v>#REF!</v>
      </c>
      <c r="F3139" t="e">
        <f>'IND TECH'!#REF!</f>
        <v>#REF!</v>
      </c>
    </row>
    <row r="3140" spans="3:6" x14ac:dyDescent="0.25">
      <c r="C3140">
        <f>'IND TECH'!L3138</f>
        <v>0</v>
      </c>
      <c r="D3140" t="str">
        <f>'IND TECH'!A3138&amp;" "&amp;'IND TECH'!B3138&amp;" "&amp;'IND TECH'!C3138&amp;" "&amp;'IND TECH'!D3138&amp;" "&amp;'IND TECH'!E3138&amp;" "&amp;'IND TECH'!F3138&amp;" "&amp;'IND TECH'!G3138&amp;" "&amp;'IND TECH'!H3138</f>
        <v xml:space="preserve">       </v>
      </c>
      <c r="E3140" t="e">
        <f t="shared" si="29"/>
        <v>#REF!</v>
      </c>
      <c r="F3140" t="e">
        <f>'IND TECH'!#REF!</f>
        <v>#REF!</v>
      </c>
    </row>
    <row r="3141" spans="3:6" x14ac:dyDescent="0.25">
      <c r="C3141">
        <f>'IND TECH'!L3139</f>
        <v>0</v>
      </c>
      <c r="D3141" t="str">
        <f>'IND TECH'!A3139&amp;" "&amp;'IND TECH'!B3139&amp;" "&amp;'IND TECH'!C3139&amp;" "&amp;'IND TECH'!D3139&amp;" "&amp;'IND TECH'!E3139&amp;" "&amp;'IND TECH'!F3139&amp;" "&amp;'IND TECH'!G3139&amp;" "&amp;'IND TECH'!H3139</f>
        <v xml:space="preserve">       </v>
      </c>
      <c r="E3141" t="e">
        <f t="shared" si="29"/>
        <v>#REF!</v>
      </c>
      <c r="F3141" t="e">
        <f>'IND TECH'!#REF!</f>
        <v>#REF!</v>
      </c>
    </row>
    <row r="3142" spans="3:6" x14ac:dyDescent="0.25">
      <c r="C3142">
        <f>'IND TECH'!L3140</f>
        <v>0</v>
      </c>
      <c r="D3142" t="str">
        <f>'IND TECH'!A3140&amp;" "&amp;'IND TECH'!B3140&amp;" "&amp;'IND TECH'!C3140&amp;" "&amp;'IND TECH'!D3140&amp;" "&amp;'IND TECH'!E3140&amp;" "&amp;'IND TECH'!F3140&amp;" "&amp;'IND TECH'!G3140&amp;" "&amp;'IND TECH'!H3140</f>
        <v xml:space="preserve">       </v>
      </c>
      <c r="E3142" t="e">
        <f t="shared" si="29"/>
        <v>#REF!</v>
      </c>
      <c r="F3142" t="e">
        <f>'IND TECH'!#REF!</f>
        <v>#REF!</v>
      </c>
    </row>
    <row r="3143" spans="3:6" x14ac:dyDescent="0.25">
      <c r="C3143">
        <f>'IND TECH'!L3141</f>
        <v>0</v>
      </c>
      <c r="D3143" t="str">
        <f>'IND TECH'!A3141&amp;" "&amp;'IND TECH'!B3141&amp;" "&amp;'IND TECH'!C3141&amp;" "&amp;'IND TECH'!D3141&amp;" "&amp;'IND TECH'!E3141&amp;" "&amp;'IND TECH'!F3141&amp;" "&amp;'IND TECH'!G3141&amp;" "&amp;'IND TECH'!H3141</f>
        <v xml:space="preserve">       </v>
      </c>
      <c r="E3143" t="e">
        <f t="shared" si="29"/>
        <v>#REF!</v>
      </c>
      <c r="F3143" t="e">
        <f>'IND TECH'!#REF!</f>
        <v>#REF!</v>
      </c>
    </row>
    <row r="3144" spans="3:6" x14ac:dyDescent="0.25">
      <c r="C3144">
        <f>'IND TECH'!L3142</f>
        <v>0</v>
      </c>
      <c r="D3144" t="str">
        <f>'IND TECH'!A3142&amp;" "&amp;'IND TECH'!B3142&amp;" "&amp;'IND TECH'!C3142&amp;" "&amp;'IND TECH'!D3142&amp;" "&amp;'IND TECH'!E3142&amp;" "&amp;'IND TECH'!F3142&amp;" "&amp;'IND TECH'!G3142&amp;" "&amp;'IND TECH'!H3142</f>
        <v xml:space="preserve">       </v>
      </c>
      <c r="E3144" t="e">
        <f t="shared" si="29"/>
        <v>#REF!</v>
      </c>
      <c r="F3144" t="e">
        <f>'IND TECH'!#REF!</f>
        <v>#REF!</v>
      </c>
    </row>
    <row r="3145" spans="3:6" x14ac:dyDescent="0.25">
      <c r="C3145">
        <f>'IND TECH'!L3143</f>
        <v>0</v>
      </c>
      <c r="D3145" t="str">
        <f>'IND TECH'!A3143&amp;" "&amp;'IND TECH'!B3143&amp;" "&amp;'IND TECH'!C3143&amp;" "&amp;'IND TECH'!D3143&amp;" "&amp;'IND TECH'!E3143&amp;" "&amp;'IND TECH'!F3143&amp;" "&amp;'IND TECH'!G3143&amp;" "&amp;'IND TECH'!H3143</f>
        <v xml:space="preserve">       </v>
      </c>
      <c r="E3145" t="e">
        <f t="shared" si="29"/>
        <v>#REF!</v>
      </c>
      <c r="F3145" t="e">
        <f>'IND TECH'!#REF!</f>
        <v>#REF!</v>
      </c>
    </row>
    <row r="3146" spans="3:6" x14ac:dyDescent="0.25">
      <c r="C3146">
        <f>'IND TECH'!L3144</f>
        <v>0</v>
      </c>
      <c r="D3146" t="str">
        <f>'IND TECH'!A3144&amp;" "&amp;'IND TECH'!B3144&amp;" "&amp;'IND TECH'!C3144&amp;" "&amp;'IND TECH'!D3144&amp;" "&amp;'IND TECH'!E3144&amp;" "&amp;'IND TECH'!F3144&amp;" "&amp;'IND TECH'!G3144&amp;" "&amp;'IND TECH'!H3144</f>
        <v xml:space="preserve">       </v>
      </c>
      <c r="E3146" t="e">
        <f t="shared" si="29"/>
        <v>#REF!</v>
      </c>
      <c r="F3146" t="e">
        <f>'IND TECH'!#REF!</f>
        <v>#REF!</v>
      </c>
    </row>
    <row r="3147" spans="3:6" x14ac:dyDescent="0.25">
      <c r="C3147">
        <f>'IND TECH'!L3145</f>
        <v>0</v>
      </c>
      <c r="D3147" t="str">
        <f>'IND TECH'!A3145&amp;" "&amp;'IND TECH'!B3145&amp;" "&amp;'IND TECH'!C3145&amp;" "&amp;'IND TECH'!D3145&amp;" "&amp;'IND TECH'!E3145&amp;" "&amp;'IND TECH'!F3145&amp;" "&amp;'IND TECH'!G3145&amp;" "&amp;'IND TECH'!H3145</f>
        <v xml:space="preserve">       </v>
      </c>
      <c r="E3147" t="e">
        <f t="shared" si="29"/>
        <v>#REF!</v>
      </c>
      <c r="F3147" t="e">
        <f>'IND TECH'!#REF!</f>
        <v>#REF!</v>
      </c>
    </row>
    <row r="3148" spans="3:6" x14ac:dyDescent="0.25">
      <c r="C3148">
        <f>'IND TECH'!L3146</f>
        <v>0</v>
      </c>
      <c r="D3148" t="str">
        <f>'IND TECH'!A3146&amp;" "&amp;'IND TECH'!B3146&amp;" "&amp;'IND TECH'!C3146&amp;" "&amp;'IND TECH'!D3146&amp;" "&amp;'IND TECH'!E3146&amp;" "&amp;'IND TECH'!F3146&amp;" "&amp;'IND TECH'!G3146&amp;" "&amp;'IND TECH'!H3146</f>
        <v xml:space="preserve">       </v>
      </c>
      <c r="E3148" t="e">
        <f t="shared" si="29"/>
        <v>#REF!</v>
      </c>
      <c r="F3148" t="e">
        <f>'IND TECH'!#REF!</f>
        <v>#REF!</v>
      </c>
    </row>
    <row r="3149" spans="3:6" x14ac:dyDescent="0.25">
      <c r="C3149">
        <f>'IND TECH'!L3147</f>
        <v>0</v>
      </c>
      <c r="D3149" t="str">
        <f>'IND TECH'!A3147&amp;" "&amp;'IND TECH'!B3147&amp;" "&amp;'IND TECH'!C3147&amp;" "&amp;'IND TECH'!D3147&amp;" "&amp;'IND TECH'!E3147&amp;" "&amp;'IND TECH'!F3147&amp;" "&amp;'IND TECH'!G3147&amp;" "&amp;'IND TECH'!H3147</f>
        <v xml:space="preserve">       </v>
      </c>
      <c r="E3149" t="e">
        <f t="shared" ref="E3149:E3212" si="30">IF(F3149="Mlma","Mlm","TJ")</f>
        <v>#REF!</v>
      </c>
      <c r="F3149" t="e">
        <f>'IND TECH'!#REF!</f>
        <v>#REF!</v>
      </c>
    </row>
    <row r="3150" spans="3:6" x14ac:dyDescent="0.25">
      <c r="C3150">
        <f>'IND TECH'!L3148</f>
        <v>0</v>
      </c>
      <c r="D3150" t="str">
        <f>'IND TECH'!A3148&amp;" "&amp;'IND TECH'!B3148&amp;" "&amp;'IND TECH'!C3148&amp;" "&amp;'IND TECH'!D3148&amp;" "&amp;'IND TECH'!E3148&amp;" "&amp;'IND TECH'!F3148&amp;" "&amp;'IND TECH'!G3148&amp;" "&amp;'IND TECH'!H3148</f>
        <v xml:space="preserve">       </v>
      </c>
      <c r="E3150" t="e">
        <f t="shared" si="30"/>
        <v>#REF!</v>
      </c>
      <c r="F3150" t="e">
        <f>'IND TECH'!#REF!</f>
        <v>#REF!</v>
      </c>
    </row>
    <row r="3151" spans="3:6" x14ac:dyDescent="0.25">
      <c r="C3151">
        <f>'IND TECH'!L3149</f>
        <v>0</v>
      </c>
      <c r="D3151" t="str">
        <f>'IND TECH'!A3149&amp;" "&amp;'IND TECH'!B3149&amp;" "&amp;'IND TECH'!C3149&amp;" "&amp;'IND TECH'!D3149&amp;" "&amp;'IND TECH'!E3149&amp;" "&amp;'IND TECH'!F3149&amp;" "&amp;'IND TECH'!G3149&amp;" "&amp;'IND TECH'!H3149</f>
        <v xml:space="preserve">       </v>
      </c>
      <c r="E3151" t="e">
        <f t="shared" si="30"/>
        <v>#REF!</v>
      </c>
      <c r="F3151" t="e">
        <f>'IND TECH'!#REF!</f>
        <v>#REF!</v>
      </c>
    </row>
    <row r="3152" spans="3:6" x14ac:dyDescent="0.25">
      <c r="C3152">
        <f>'IND TECH'!L3150</f>
        <v>0</v>
      </c>
      <c r="D3152" t="str">
        <f>'IND TECH'!A3150&amp;" "&amp;'IND TECH'!B3150&amp;" "&amp;'IND TECH'!C3150&amp;" "&amp;'IND TECH'!D3150&amp;" "&amp;'IND TECH'!E3150&amp;" "&amp;'IND TECH'!F3150&amp;" "&amp;'IND TECH'!G3150&amp;" "&amp;'IND TECH'!H3150</f>
        <v xml:space="preserve">       </v>
      </c>
      <c r="E3152" t="e">
        <f t="shared" si="30"/>
        <v>#REF!</v>
      </c>
      <c r="F3152" t="e">
        <f>'IND TECH'!#REF!</f>
        <v>#REF!</v>
      </c>
    </row>
    <row r="3153" spans="3:6" x14ac:dyDescent="0.25">
      <c r="C3153">
        <f>'IND TECH'!L3151</f>
        <v>0</v>
      </c>
      <c r="D3153" t="str">
        <f>'IND TECH'!A3151&amp;" "&amp;'IND TECH'!B3151&amp;" "&amp;'IND TECH'!C3151&amp;" "&amp;'IND TECH'!D3151&amp;" "&amp;'IND TECH'!E3151&amp;" "&amp;'IND TECH'!F3151&amp;" "&amp;'IND TECH'!G3151&amp;" "&amp;'IND TECH'!H3151</f>
        <v xml:space="preserve">       </v>
      </c>
      <c r="E3153" t="e">
        <f t="shared" si="30"/>
        <v>#REF!</v>
      </c>
      <c r="F3153" t="e">
        <f>'IND TECH'!#REF!</f>
        <v>#REF!</v>
      </c>
    </row>
    <row r="3154" spans="3:6" x14ac:dyDescent="0.25">
      <c r="C3154">
        <f>'IND TECH'!L3152</f>
        <v>0</v>
      </c>
      <c r="D3154" t="str">
        <f>'IND TECH'!A3152&amp;" "&amp;'IND TECH'!B3152&amp;" "&amp;'IND TECH'!C3152&amp;" "&amp;'IND TECH'!D3152&amp;" "&amp;'IND TECH'!E3152&amp;" "&amp;'IND TECH'!F3152&amp;" "&amp;'IND TECH'!G3152&amp;" "&amp;'IND TECH'!H3152</f>
        <v xml:space="preserve">       </v>
      </c>
      <c r="E3154" t="e">
        <f t="shared" si="30"/>
        <v>#REF!</v>
      </c>
      <c r="F3154" t="e">
        <f>'IND TECH'!#REF!</f>
        <v>#REF!</v>
      </c>
    </row>
    <row r="3155" spans="3:6" x14ac:dyDescent="0.25">
      <c r="C3155">
        <f>'IND TECH'!L3153</f>
        <v>0</v>
      </c>
      <c r="D3155" t="str">
        <f>'IND TECH'!A3153&amp;" "&amp;'IND TECH'!B3153&amp;" "&amp;'IND TECH'!C3153&amp;" "&amp;'IND TECH'!D3153&amp;" "&amp;'IND TECH'!E3153&amp;" "&amp;'IND TECH'!F3153&amp;" "&amp;'IND TECH'!G3153&amp;" "&amp;'IND TECH'!H3153</f>
        <v xml:space="preserve">       </v>
      </c>
      <c r="E3155" t="e">
        <f t="shared" si="30"/>
        <v>#REF!</v>
      </c>
      <c r="F3155" t="e">
        <f>'IND TECH'!#REF!</f>
        <v>#REF!</v>
      </c>
    </row>
    <row r="3156" spans="3:6" x14ac:dyDescent="0.25">
      <c r="C3156">
        <f>'IND TECH'!L3154</f>
        <v>0</v>
      </c>
      <c r="D3156" t="str">
        <f>'IND TECH'!A3154&amp;" "&amp;'IND TECH'!B3154&amp;" "&amp;'IND TECH'!C3154&amp;" "&amp;'IND TECH'!D3154&amp;" "&amp;'IND TECH'!E3154&amp;" "&amp;'IND TECH'!F3154&amp;" "&amp;'IND TECH'!G3154&amp;" "&amp;'IND TECH'!H3154</f>
        <v xml:space="preserve">       </v>
      </c>
      <c r="E3156" t="e">
        <f t="shared" si="30"/>
        <v>#REF!</v>
      </c>
      <c r="F3156" t="e">
        <f>'IND TECH'!#REF!</f>
        <v>#REF!</v>
      </c>
    </row>
    <row r="3157" spans="3:6" x14ac:dyDescent="0.25">
      <c r="C3157">
        <f>'IND TECH'!L3155</f>
        <v>0</v>
      </c>
      <c r="D3157" t="str">
        <f>'IND TECH'!A3155&amp;" "&amp;'IND TECH'!B3155&amp;" "&amp;'IND TECH'!C3155&amp;" "&amp;'IND TECH'!D3155&amp;" "&amp;'IND TECH'!E3155&amp;" "&amp;'IND TECH'!F3155&amp;" "&amp;'IND TECH'!G3155&amp;" "&amp;'IND TECH'!H3155</f>
        <v xml:space="preserve">       </v>
      </c>
      <c r="E3157" t="e">
        <f t="shared" si="30"/>
        <v>#REF!</v>
      </c>
      <c r="F3157" t="e">
        <f>'IND TECH'!#REF!</f>
        <v>#REF!</v>
      </c>
    </row>
    <row r="3158" spans="3:6" x14ac:dyDescent="0.25">
      <c r="C3158">
        <f>'IND TECH'!L3156</f>
        <v>0</v>
      </c>
      <c r="D3158" t="str">
        <f>'IND TECH'!A3156&amp;" "&amp;'IND TECH'!B3156&amp;" "&amp;'IND TECH'!C3156&amp;" "&amp;'IND TECH'!D3156&amp;" "&amp;'IND TECH'!E3156&amp;" "&amp;'IND TECH'!F3156&amp;" "&amp;'IND TECH'!G3156&amp;" "&amp;'IND TECH'!H3156</f>
        <v xml:space="preserve">       </v>
      </c>
      <c r="E3158" t="e">
        <f t="shared" si="30"/>
        <v>#REF!</v>
      </c>
      <c r="F3158" t="e">
        <f>'IND TECH'!#REF!</f>
        <v>#REF!</v>
      </c>
    </row>
    <row r="3159" spans="3:6" x14ac:dyDescent="0.25">
      <c r="C3159">
        <f>'IND TECH'!L3157</f>
        <v>0</v>
      </c>
      <c r="D3159" t="str">
        <f>'IND TECH'!A3157&amp;" "&amp;'IND TECH'!B3157&amp;" "&amp;'IND TECH'!C3157&amp;" "&amp;'IND TECH'!D3157&amp;" "&amp;'IND TECH'!E3157&amp;" "&amp;'IND TECH'!F3157&amp;" "&amp;'IND TECH'!G3157&amp;" "&amp;'IND TECH'!H3157</f>
        <v xml:space="preserve">       </v>
      </c>
      <c r="E3159" t="e">
        <f t="shared" si="30"/>
        <v>#REF!</v>
      </c>
      <c r="F3159" t="e">
        <f>'IND TECH'!#REF!</f>
        <v>#REF!</v>
      </c>
    </row>
    <row r="3160" spans="3:6" x14ac:dyDescent="0.25">
      <c r="C3160">
        <f>'IND TECH'!L3158</f>
        <v>0</v>
      </c>
      <c r="D3160" t="str">
        <f>'IND TECH'!A3158&amp;" "&amp;'IND TECH'!B3158&amp;" "&amp;'IND TECH'!C3158&amp;" "&amp;'IND TECH'!D3158&amp;" "&amp;'IND TECH'!E3158&amp;" "&amp;'IND TECH'!F3158&amp;" "&amp;'IND TECH'!G3158&amp;" "&amp;'IND TECH'!H3158</f>
        <v xml:space="preserve">       </v>
      </c>
      <c r="E3160" t="e">
        <f t="shared" si="30"/>
        <v>#REF!</v>
      </c>
      <c r="F3160" t="e">
        <f>'IND TECH'!#REF!</f>
        <v>#REF!</v>
      </c>
    </row>
    <row r="3161" spans="3:6" x14ac:dyDescent="0.25">
      <c r="C3161">
        <f>'IND TECH'!L3159</f>
        <v>0</v>
      </c>
      <c r="D3161" t="str">
        <f>'IND TECH'!A3159&amp;" "&amp;'IND TECH'!B3159&amp;" "&amp;'IND TECH'!C3159&amp;" "&amp;'IND TECH'!D3159&amp;" "&amp;'IND TECH'!E3159&amp;" "&amp;'IND TECH'!F3159&amp;" "&amp;'IND TECH'!G3159&amp;" "&amp;'IND TECH'!H3159</f>
        <v xml:space="preserve">       </v>
      </c>
      <c r="E3161" t="e">
        <f t="shared" si="30"/>
        <v>#REF!</v>
      </c>
      <c r="F3161" t="e">
        <f>'IND TECH'!#REF!</f>
        <v>#REF!</v>
      </c>
    </row>
    <row r="3162" spans="3:6" x14ac:dyDescent="0.25">
      <c r="C3162">
        <f>'IND TECH'!L3160</f>
        <v>0</v>
      </c>
      <c r="D3162" t="str">
        <f>'IND TECH'!A3160&amp;" "&amp;'IND TECH'!B3160&amp;" "&amp;'IND TECH'!C3160&amp;" "&amp;'IND TECH'!D3160&amp;" "&amp;'IND TECH'!E3160&amp;" "&amp;'IND TECH'!F3160&amp;" "&amp;'IND TECH'!G3160&amp;" "&amp;'IND TECH'!H3160</f>
        <v xml:space="preserve">       </v>
      </c>
      <c r="E3162" t="e">
        <f t="shared" si="30"/>
        <v>#REF!</v>
      </c>
      <c r="F3162" t="e">
        <f>'IND TECH'!#REF!</f>
        <v>#REF!</v>
      </c>
    </row>
    <row r="3163" spans="3:6" x14ac:dyDescent="0.25">
      <c r="C3163">
        <f>'IND TECH'!L3161</f>
        <v>0</v>
      </c>
      <c r="D3163" t="str">
        <f>'IND TECH'!A3161&amp;" "&amp;'IND TECH'!B3161&amp;" "&amp;'IND TECH'!C3161&amp;" "&amp;'IND TECH'!D3161&amp;" "&amp;'IND TECH'!E3161&amp;" "&amp;'IND TECH'!F3161&amp;" "&amp;'IND TECH'!G3161&amp;" "&amp;'IND TECH'!H3161</f>
        <v xml:space="preserve">       </v>
      </c>
      <c r="E3163" t="e">
        <f t="shared" si="30"/>
        <v>#REF!</v>
      </c>
      <c r="F3163" t="e">
        <f>'IND TECH'!#REF!</f>
        <v>#REF!</v>
      </c>
    </row>
    <row r="3164" spans="3:6" x14ac:dyDescent="0.25">
      <c r="C3164">
        <f>'IND TECH'!L3162</f>
        <v>0</v>
      </c>
      <c r="D3164" t="str">
        <f>'IND TECH'!A3162&amp;" "&amp;'IND TECH'!B3162&amp;" "&amp;'IND TECH'!C3162&amp;" "&amp;'IND TECH'!D3162&amp;" "&amp;'IND TECH'!E3162&amp;" "&amp;'IND TECH'!F3162&amp;" "&amp;'IND TECH'!G3162&amp;" "&amp;'IND TECH'!H3162</f>
        <v xml:space="preserve">       </v>
      </c>
      <c r="E3164" t="e">
        <f t="shared" si="30"/>
        <v>#REF!</v>
      </c>
      <c r="F3164" t="e">
        <f>'IND TECH'!#REF!</f>
        <v>#REF!</v>
      </c>
    </row>
    <row r="3165" spans="3:6" x14ac:dyDescent="0.25">
      <c r="C3165">
        <f>'IND TECH'!L3163</f>
        <v>0</v>
      </c>
      <c r="D3165" t="str">
        <f>'IND TECH'!A3163&amp;" "&amp;'IND TECH'!B3163&amp;" "&amp;'IND TECH'!C3163&amp;" "&amp;'IND TECH'!D3163&amp;" "&amp;'IND TECH'!E3163&amp;" "&amp;'IND TECH'!F3163&amp;" "&amp;'IND TECH'!G3163&amp;" "&amp;'IND TECH'!H3163</f>
        <v xml:space="preserve">       </v>
      </c>
      <c r="E3165" t="e">
        <f t="shared" si="30"/>
        <v>#REF!</v>
      </c>
      <c r="F3165" t="e">
        <f>'IND TECH'!#REF!</f>
        <v>#REF!</v>
      </c>
    </row>
    <row r="3166" spans="3:6" x14ac:dyDescent="0.25">
      <c r="C3166">
        <f>'IND TECH'!L3164</f>
        <v>0</v>
      </c>
      <c r="D3166" t="str">
        <f>'IND TECH'!A3164&amp;" "&amp;'IND TECH'!B3164&amp;" "&amp;'IND TECH'!C3164&amp;" "&amp;'IND TECH'!D3164&amp;" "&amp;'IND TECH'!E3164&amp;" "&amp;'IND TECH'!F3164&amp;" "&amp;'IND TECH'!G3164&amp;" "&amp;'IND TECH'!H3164</f>
        <v xml:space="preserve">       </v>
      </c>
      <c r="E3166" t="e">
        <f t="shared" si="30"/>
        <v>#REF!</v>
      </c>
      <c r="F3166" t="e">
        <f>'IND TECH'!#REF!</f>
        <v>#REF!</v>
      </c>
    </row>
    <row r="3167" spans="3:6" x14ac:dyDescent="0.25">
      <c r="C3167">
        <f>'IND TECH'!L3165</f>
        <v>0</v>
      </c>
      <c r="D3167" t="str">
        <f>'IND TECH'!A3165&amp;" "&amp;'IND TECH'!B3165&amp;" "&amp;'IND TECH'!C3165&amp;" "&amp;'IND TECH'!D3165&amp;" "&amp;'IND TECH'!E3165&amp;" "&amp;'IND TECH'!F3165&amp;" "&amp;'IND TECH'!G3165&amp;" "&amp;'IND TECH'!H3165</f>
        <v xml:space="preserve">       </v>
      </c>
      <c r="E3167" t="e">
        <f t="shared" si="30"/>
        <v>#REF!</v>
      </c>
      <c r="F3167" t="e">
        <f>'IND TECH'!#REF!</f>
        <v>#REF!</v>
      </c>
    </row>
    <row r="3168" spans="3:6" x14ac:dyDescent="0.25">
      <c r="C3168">
        <f>'IND TECH'!L3166</f>
        <v>0</v>
      </c>
      <c r="D3168" t="str">
        <f>'IND TECH'!A3166&amp;" "&amp;'IND TECH'!B3166&amp;" "&amp;'IND TECH'!C3166&amp;" "&amp;'IND TECH'!D3166&amp;" "&amp;'IND TECH'!E3166&amp;" "&amp;'IND TECH'!F3166&amp;" "&amp;'IND TECH'!G3166&amp;" "&amp;'IND TECH'!H3166</f>
        <v xml:space="preserve">       </v>
      </c>
      <c r="E3168" t="e">
        <f t="shared" si="30"/>
        <v>#REF!</v>
      </c>
      <c r="F3168" t="e">
        <f>'IND TECH'!#REF!</f>
        <v>#REF!</v>
      </c>
    </row>
    <row r="3169" spans="3:6" x14ac:dyDescent="0.25">
      <c r="C3169">
        <f>'IND TECH'!L3167</f>
        <v>0</v>
      </c>
      <c r="D3169" t="str">
        <f>'IND TECH'!A3167&amp;" "&amp;'IND TECH'!B3167&amp;" "&amp;'IND TECH'!C3167&amp;" "&amp;'IND TECH'!D3167&amp;" "&amp;'IND TECH'!E3167&amp;" "&amp;'IND TECH'!F3167&amp;" "&amp;'IND TECH'!G3167&amp;" "&amp;'IND TECH'!H3167</f>
        <v xml:space="preserve">       </v>
      </c>
      <c r="E3169" t="e">
        <f t="shared" si="30"/>
        <v>#REF!</v>
      </c>
      <c r="F3169" t="e">
        <f>'IND TECH'!#REF!</f>
        <v>#REF!</v>
      </c>
    </row>
    <row r="3170" spans="3:6" x14ac:dyDescent="0.25">
      <c r="C3170">
        <f>'IND TECH'!L3168</f>
        <v>0</v>
      </c>
      <c r="D3170" t="str">
        <f>'IND TECH'!A3168&amp;" "&amp;'IND TECH'!B3168&amp;" "&amp;'IND TECH'!C3168&amp;" "&amp;'IND TECH'!D3168&amp;" "&amp;'IND TECH'!E3168&amp;" "&amp;'IND TECH'!F3168&amp;" "&amp;'IND TECH'!G3168&amp;" "&amp;'IND TECH'!H3168</f>
        <v xml:space="preserve">       </v>
      </c>
      <c r="E3170" t="e">
        <f t="shared" si="30"/>
        <v>#REF!</v>
      </c>
      <c r="F3170" t="e">
        <f>'IND TECH'!#REF!</f>
        <v>#REF!</v>
      </c>
    </row>
    <row r="3171" spans="3:6" x14ac:dyDescent="0.25">
      <c r="C3171">
        <f>'IND TECH'!L3169</f>
        <v>0</v>
      </c>
      <c r="D3171" t="str">
        <f>'IND TECH'!A3169&amp;" "&amp;'IND TECH'!B3169&amp;" "&amp;'IND TECH'!C3169&amp;" "&amp;'IND TECH'!D3169&amp;" "&amp;'IND TECH'!E3169&amp;" "&amp;'IND TECH'!F3169&amp;" "&amp;'IND TECH'!G3169&amp;" "&amp;'IND TECH'!H3169</f>
        <v xml:space="preserve">       </v>
      </c>
      <c r="E3171" t="e">
        <f t="shared" si="30"/>
        <v>#REF!</v>
      </c>
      <c r="F3171" t="e">
        <f>'IND TECH'!#REF!</f>
        <v>#REF!</v>
      </c>
    </row>
    <row r="3172" spans="3:6" x14ac:dyDescent="0.25">
      <c r="C3172">
        <f>'IND TECH'!L3170</f>
        <v>0</v>
      </c>
      <c r="D3172" t="str">
        <f>'IND TECH'!A3170&amp;" "&amp;'IND TECH'!B3170&amp;" "&amp;'IND TECH'!C3170&amp;" "&amp;'IND TECH'!D3170&amp;" "&amp;'IND TECH'!E3170&amp;" "&amp;'IND TECH'!F3170&amp;" "&amp;'IND TECH'!G3170&amp;" "&amp;'IND TECH'!H3170</f>
        <v xml:space="preserve">       </v>
      </c>
      <c r="E3172" t="e">
        <f t="shared" si="30"/>
        <v>#REF!</v>
      </c>
      <c r="F3172" t="e">
        <f>'IND TECH'!#REF!</f>
        <v>#REF!</v>
      </c>
    </row>
    <row r="3173" spans="3:6" x14ac:dyDescent="0.25">
      <c r="C3173">
        <f>'IND TECH'!L3171</f>
        <v>0</v>
      </c>
      <c r="D3173" t="str">
        <f>'IND TECH'!A3171&amp;" "&amp;'IND TECH'!B3171&amp;" "&amp;'IND TECH'!C3171&amp;" "&amp;'IND TECH'!D3171&amp;" "&amp;'IND TECH'!E3171&amp;" "&amp;'IND TECH'!F3171&amp;" "&amp;'IND TECH'!G3171&amp;" "&amp;'IND TECH'!H3171</f>
        <v xml:space="preserve">       </v>
      </c>
      <c r="E3173" t="e">
        <f t="shared" si="30"/>
        <v>#REF!</v>
      </c>
      <c r="F3173" t="e">
        <f>'IND TECH'!#REF!</f>
        <v>#REF!</v>
      </c>
    </row>
    <row r="3174" spans="3:6" x14ac:dyDescent="0.25">
      <c r="C3174">
        <f>'IND TECH'!L3172</f>
        <v>0</v>
      </c>
      <c r="D3174" t="str">
        <f>'IND TECH'!A3172&amp;" "&amp;'IND TECH'!B3172&amp;" "&amp;'IND TECH'!C3172&amp;" "&amp;'IND TECH'!D3172&amp;" "&amp;'IND TECH'!E3172&amp;" "&amp;'IND TECH'!F3172&amp;" "&amp;'IND TECH'!G3172&amp;" "&amp;'IND TECH'!H3172</f>
        <v xml:space="preserve">       </v>
      </c>
      <c r="E3174" t="e">
        <f t="shared" si="30"/>
        <v>#REF!</v>
      </c>
      <c r="F3174" t="e">
        <f>'IND TECH'!#REF!</f>
        <v>#REF!</v>
      </c>
    </row>
    <row r="3175" spans="3:6" x14ac:dyDescent="0.25">
      <c r="C3175">
        <f>'IND TECH'!L3173</f>
        <v>0</v>
      </c>
      <c r="D3175" t="str">
        <f>'IND TECH'!A3173&amp;" "&amp;'IND TECH'!B3173&amp;" "&amp;'IND TECH'!C3173&amp;" "&amp;'IND TECH'!D3173&amp;" "&amp;'IND TECH'!E3173&amp;" "&amp;'IND TECH'!F3173&amp;" "&amp;'IND TECH'!G3173&amp;" "&amp;'IND TECH'!H3173</f>
        <v xml:space="preserve">       </v>
      </c>
      <c r="E3175" t="e">
        <f t="shared" si="30"/>
        <v>#REF!</v>
      </c>
      <c r="F3175" t="e">
        <f>'IND TECH'!#REF!</f>
        <v>#REF!</v>
      </c>
    </row>
    <row r="3176" spans="3:6" x14ac:dyDescent="0.25">
      <c r="C3176">
        <f>'IND TECH'!L3174</f>
        <v>0</v>
      </c>
      <c r="D3176" t="str">
        <f>'IND TECH'!A3174&amp;" "&amp;'IND TECH'!B3174&amp;" "&amp;'IND TECH'!C3174&amp;" "&amp;'IND TECH'!D3174&amp;" "&amp;'IND TECH'!E3174&amp;" "&amp;'IND TECH'!F3174&amp;" "&amp;'IND TECH'!G3174&amp;" "&amp;'IND TECH'!H3174</f>
        <v xml:space="preserve">       </v>
      </c>
      <c r="E3176" t="e">
        <f t="shared" si="30"/>
        <v>#REF!</v>
      </c>
      <c r="F3176" t="e">
        <f>'IND TECH'!#REF!</f>
        <v>#REF!</v>
      </c>
    </row>
    <row r="3177" spans="3:6" x14ac:dyDescent="0.25">
      <c r="C3177">
        <f>'IND TECH'!L3175</f>
        <v>0</v>
      </c>
      <c r="D3177" t="str">
        <f>'IND TECH'!A3175&amp;" "&amp;'IND TECH'!B3175&amp;" "&amp;'IND TECH'!C3175&amp;" "&amp;'IND TECH'!D3175&amp;" "&amp;'IND TECH'!E3175&amp;" "&amp;'IND TECH'!F3175&amp;" "&amp;'IND TECH'!G3175&amp;" "&amp;'IND TECH'!H3175</f>
        <v xml:space="preserve">       </v>
      </c>
      <c r="E3177" t="e">
        <f t="shared" si="30"/>
        <v>#REF!</v>
      </c>
      <c r="F3177" t="e">
        <f>'IND TECH'!#REF!</f>
        <v>#REF!</v>
      </c>
    </row>
    <row r="3178" spans="3:6" x14ac:dyDescent="0.25">
      <c r="C3178">
        <f>'IND TECH'!L3176</f>
        <v>0</v>
      </c>
      <c r="D3178" t="str">
        <f>'IND TECH'!A3176&amp;" "&amp;'IND TECH'!B3176&amp;" "&amp;'IND TECH'!C3176&amp;" "&amp;'IND TECH'!D3176&amp;" "&amp;'IND TECH'!E3176&amp;" "&amp;'IND TECH'!F3176&amp;" "&amp;'IND TECH'!G3176&amp;" "&amp;'IND TECH'!H3176</f>
        <v xml:space="preserve">       </v>
      </c>
      <c r="E3178" t="e">
        <f t="shared" si="30"/>
        <v>#REF!</v>
      </c>
      <c r="F3178" t="e">
        <f>'IND TECH'!#REF!</f>
        <v>#REF!</v>
      </c>
    </row>
    <row r="3179" spans="3:6" x14ac:dyDescent="0.25">
      <c r="C3179">
        <f>'IND TECH'!L3177</f>
        <v>0</v>
      </c>
      <c r="D3179" t="str">
        <f>'IND TECH'!A3177&amp;" "&amp;'IND TECH'!B3177&amp;" "&amp;'IND TECH'!C3177&amp;" "&amp;'IND TECH'!D3177&amp;" "&amp;'IND TECH'!E3177&amp;" "&amp;'IND TECH'!F3177&amp;" "&amp;'IND TECH'!G3177&amp;" "&amp;'IND TECH'!H3177</f>
        <v xml:space="preserve">       </v>
      </c>
      <c r="E3179" t="e">
        <f t="shared" si="30"/>
        <v>#REF!</v>
      </c>
      <c r="F3179" t="e">
        <f>'IND TECH'!#REF!</f>
        <v>#REF!</v>
      </c>
    </row>
    <row r="3180" spans="3:6" x14ac:dyDescent="0.25">
      <c r="C3180">
        <f>'IND TECH'!L3178</f>
        <v>0</v>
      </c>
      <c r="D3180" t="str">
        <f>'IND TECH'!A3178&amp;" "&amp;'IND TECH'!B3178&amp;" "&amp;'IND TECH'!C3178&amp;" "&amp;'IND TECH'!D3178&amp;" "&amp;'IND TECH'!E3178&amp;" "&amp;'IND TECH'!F3178&amp;" "&amp;'IND TECH'!G3178&amp;" "&amp;'IND TECH'!H3178</f>
        <v xml:space="preserve">       </v>
      </c>
      <c r="E3180" t="e">
        <f t="shared" si="30"/>
        <v>#REF!</v>
      </c>
      <c r="F3180" t="e">
        <f>'IND TECH'!#REF!</f>
        <v>#REF!</v>
      </c>
    </row>
    <row r="3181" spans="3:6" x14ac:dyDescent="0.25">
      <c r="C3181">
        <f>'IND TECH'!L3179</f>
        <v>0</v>
      </c>
      <c r="D3181" t="str">
        <f>'IND TECH'!A3179&amp;" "&amp;'IND TECH'!B3179&amp;" "&amp;'IND TECH'!C3179&amp;" "&amp;'IND TECH'!D3179&amp;" "&amp;'IND TECH'!E3179&amp;" "&amp;'IND TECH'!F3179&amp;" "&amp;'IND TECH'!G3179&amp;" "&amp;'IND TECH'!H3179</f>
        <v xml:space="preserve">       </v>
      </c>
      <c r="E3181" t="e">
        <f t="shared" si="30"/>
        <v>#REF!</v>
      </c>
      <c r="F3181" t="e">
        <f>'IND TECH'!#REF!</f>
        <v>#REF!</v>
      </c>
    </row>
    <row r="3182" spans="3:6" x14ac:dyDescent="0.25">
      <c r="C3182">
        <f>'IND TECH'!L3180</f>
        <v>0</v>
      </c>
      <c r="D3182" t="str">
        <f>'IND TECH'!A3180&amp;" "&amp;'IND TECH'!B3180&amp;" "&amp;'IND TECH'!C3180&amp;" "&amp;'IND TECH'!D3180&amp;" "&amp;'IND TECH'!E3180&amp;" "&amp;'IND TECH'!F3180&amp;" "&amp;'IND TECH'!G3180&amp;" "&amp;'IND TECH'!H3180</f>
        <v xml:space="preserve">       </v>
      </c>
      <c r="E3182" t="e">
        <f t="shared" si="30"/>
        <v>#REF!</v>
      </c>
      <c r="F3182" t="e">
        <f>'IND TECH'!#REF!</f>
        <v>#REF!</v>
      </c>
    </row>
    <row r="3183" spans="3:6" x14ac:dyDescent="0.25">
      <c r="C3183">
        <f>'IND TECH'!L3181</f>
        <v>0</v>
      </c>
      <c r="D3183" t="str">
        <f>'IND TECH'!A3181&amp;" "&amp;'IND TECH'!B3181&amp;" "&amp;'IND TECH'!C3181&amp;" "&amp;'IND TECH'!D3181&amp;" "&amp;'IND TECH'!E3181&amp;" "&amp;'IND TECH'!F3181&amp;" "&amp;'IND TECH'!G3181&amp;" "&amp;'IND TECH'!H3181</f>
        <v xml:space="preserve">       </v>
      </c>
      <c r="E3183" t="e">
        <f t="shared" si="30"/>
        <v>#REF!</v>
      </c>
      <c r="F3183" t="e">
        <f>'IND TECH'!#REF!</f>
        <v>#REF!</v>
      </c>
    </row>
    <row r="3184" spans="3:6" x14ac:dyDescent="0.25">
      <c r="C3184">
        <f>'IND TECH'!L3182</f>
        <v>0</v>
      </c>
      <c r="D3184" t="str">
        <f>'IND TECH'!A3182&amp;" "&amp;'IND TECH'!B3182&amp;" "&amp;'IND TECH'!C3182&amp;" "&amp;'IND TECH'!D3182&amp;" "&amp;'IND TECH'!E3182&amp;" "&amp;'IND TECH'!F3182&amp;" "&amp;'IND TECH'!G3182&amp;" "&amp;'IND TECH'!H3182</f>
        <v xml:space="preserve">       </v>
      </c>
      <c r="E3184" t="e">
        <f t="shared" si="30"/>
        <v>#REF!</v>
      </c>
      <c r="F3184" t="e">
        <f>'IND TECH'!#REF!</f>
        <v>#REF!</v>
      </c>
    </row>
    <row r="3185" spans="3:6" x14ac:dyDescent="0.25">
      <c r="C3185">
        <f>'IND TECH'!L3183</f>
        <v>0</v>
      </c>
      <c r="D3185" t="str">
        <f>'IND TECH'!A3183&amp;" "&amp;'IND TECH'!B3183&amp;" "&amp;'IND TECH'!C3183&amp;" "&amp;'IND TECH'!D3183&amp;" "&amp;'IND TECH'!E3183&amp;" "&amp;'IND TECH'!F3183&amp;" "&amp;'IND TECH'!G3183&amp;" "&amp;'IND TECH'!H3183</f>
        <v xml:space="preserve">       </v>
      </c>
      <c r="E3185" t="e">
        <f t="shared" si="30"/>
        <v>#REF!</v>
      </c>
      <c r="F3185" t="e">
        <f>'IND TECH'!#REF!</f>
        <v>#REF!</v>
      </c>
    </row>
    <row r="3186" spans="3:6" x14ac:dyDescent="0.25">
      <c r="C3186">
        <f>'IND TECH'!L3184</f>
        <v>0</v>
      </c>
      <c r="D3186" t="str">
        <f>'IND TECH'!A3184&amp;" "&amp;'IND TECH'!B3184&amp;" "&amp;'IND TECH'!C3184&amp;" "&amp;'IND TECH'!D3184&amp;" "&amp;'IND TECH'!E3184&amp;" "&amp;'IND TECH'!F3184&amp;" "&amp;'IND TECH'!G3184&amp;" "&amp;'IND TECH'!H3184</f>
        <v xml:space="preserve">       </v>
      </c>
      <c r="E3186" t="e">
        <f t="shared" si="30"/>
        <v>#REF!</v>
      </c>
      <c r="F3186" t="e">
        <f>'IND TECH'!#REF!</f>
        <v>#REF!</v>
      </c>
    </row>
    <row r="3187" spans="3:6" x14ac:dyDescent="0.25">
      <c r="C3187">
        <f>'IND TECH'!L3185</f>
        <v>0</v>
      </c>
      <c r="D3187" t="str">
        <f>'IND TECH'!A3185&amp;" "&amp;'IND TECH'!B3185&amp;" "&amp;'IND TECH'!C3185&amp;" "&amp;'IND TECH'!D3185&amp;" "&amp;'IND TECH'!E3185&amp;" "&amp;'IND TECH'!F3185&amp;" "&amp;'IND TECH'!G3185&amp;" "&amp;'IND TECH'!H3185</f>
        <v xml:space="preserve">       </v>
      </c>
      <c r="E3187" t="e">
        <f t="shared" si="30"/>
        <v>#REF!</v>
      </c>
      <c r="F3187" t="e">
        <f>'IND TECH'!#REF!</f>
        <v>#REF!</v>
      </c>
    </row>
    <row r="3188" spans="3:6" x14ac:dyDescent="0.25">
      <c r="C3188">
        <f>'IND TECH'!L3186</f>
        <v>0</v>
      </c>
      <c r="D3188" t="str">
        <f>'IND TECH'!A3186&amp;" "&amp;'IND TECH'!B3186&amp;" "&amp;'IND TECH'!C3186&amp;" "&amp;'IND TECH'!D3186&amp;" "&amp;'IND TECH'!E3186&amp;" "&amp;'IND TECH'!F3186&amp;" "&amp;'IND TECH'!G3186&amp;" "&amp;'IND TECH'!H3186</f>
        <v xml:space="preserve">       </v>
      </c>
      <c r="E3188" t="e">
        <f t="shared" si="30"/>
        <v>#REF!</v>
      </c>
      <c r="F3188" t="e">
        <f>'IND TECH'!#REF!</f>
        <v>#REF!</v>
      </c>
    </row>
    <row r="3189" spans="3:6" x14ac:dyDescent="0.25">
      <c r="C3189">
        <f>'IND TECH'!L3187</f>
        <v>0</v>
      </c>
      <c r="D3189" t="str">
        <f>'IND TECH'!A3187&amp;" "&amp;'IND TECH'!B3187&amp;" "&amp;'IND TECH'!C3187&amp;" "&amp;'IND TECH'!D3187&amp;" "&amp;'IND TECH'!E3187&amp;" "&amp;'IND TECH'!F3187&amp;" "&amp;'IND TECH'!G3187&amp;" "&amp;'IND TECH'!H3187</f>
        <v xml:space="preserve">       </v>
      </c>
      <c r="E3189" t="e">
        <f t="shared" si="30"/>
        <v>#REF!</v>
      </c>
      <c r="F3189" t="e">
        <f>'IND TECH'!#REF!</f>
        <v>#REF!</v>
      </c>
    </row>
    <row r="3190" spans="3:6" x14ac:dyDescent="0.25">
      <c r="C3190">
        <f>'IND TECH'!L3188</f>
        <v>0</v>
      </c>
      <c r="D3190" t="str">
        <f>'IND TECH'!A3188&amp;" "&amp;'IND TECH'!B3188&amp;" "&amp;'IND TECH'!C3188&amp;" "&amp;'IND TECH'!D3188&amp;" "&amp;'IND TECH'!E3188&amp;" "&amp;'IND TECH'!F3188&amp;" "&amp;'IND TECH'!G3188&amp;" "&amp;'IND TECH'!H3188</f>
        <v xml:space="preserve">       </v>
      </c>
      <c r="E3190" t="e">
        <f t="shared" si="30"/>
        <v>#REF!</v>
      </c>
      <c r="F3190" t="e">
        <f>'IND TECH'!#REF!</f>
        <v>#REF!</v>
      </c>
    </row>
    <row r="3191" spans="3:6" x14ac:dyDescent="0.25">
      <c r="C3191">
        <f>'IND TECH'!L3189</f>
        <v>0</v>
      </c>
      <c r="D3191" t="str">
        <f>'IND TECH'!A3189&amp;" "&amp;'IND TECH'!B3189&amp;" "&amp;'IND TECH'!C3189&amp;" "&amp;'IND TECH'!D3189&amp;" "&amp;'IND TECH'!E3189&amp;" "&amp;'IND TECH'!F3189&amp;" "&amp;'IND TECH'!G3189&amp;" "&amp;'IND TECH'!H3189</f>
        <v xml:space="preserve">       </v>
      </c>
      <c r="E3191" t="e">
        <f t="shared" si="30"/>
        <v>#REF!</v>
      </c>
      <c r="F3191" t="e">
        <f>'IND TECH'!#REF!</f>
        <v>#REF!</v>
      </c>
    </row>
    <row r="3192" spans="3:6" x14ac:dyDescent="0.25">
      <c r="C3192">
        <f>'IND TECH'!L3190</f>
        <v>0</v>
      </c>
      <c r="D3192" t="str">
        <f>'IND TECH'!A3190&amp;" "&amp;'IND TECH'!B3190&amp;" "&amp;'IND TECH'!C3190&amp;" "&amp;'IND TECH'!D3190&amp;" "&amp;'IND TECH'!E3190&amp;" "&amp;'IND TECH'!F3190&amp;" "&amp;'IND TECH'!G3190&amp;" "&amp;'IND TECH'!H3190</f>
        <v xml:space="preserve">       </v>
      </c>
      <c r="E3192" t="e">
        <f t="shared" si="30"/>
        <v>#REF!</v>
      </c>
      <c r="F3192" t="e">
        <f>'IND TECH'!#REF!</f>
        <v>#REF!</v>
      </c>
    </row>
    <row r="3193" spans="3:6" x14ac:dyDescent="0.25">
      <c r="C3193">
        <f>'IND TECH'!L3191</f>
        <v>0</v>
      </c>
      <c r="D3193" t="str">
        <f>'IND TECH'!A3191&amp;" "&amp;'IND TECH'!B3191&amp;" "&amp;'IND TECH'!C3191&amp;" "&amp;'IND TECH'!D3191&amp;" "&amp;'IND TECH'!E3191&amp;" "&amp;'IND TECH'!F3191&amp;" "&amp;'IND TECH'!G3191&amp;" "&amp;'IND TECH'!H3191</f>
        <v xml:space="preserve">       </v>
      </c>
      <c r="E3193" t="e">
        <f t="shared" si="30"/>
        <v>#REF!</v>
      </c>
      <c r="F3193" t="e">
        <f>'IND TECH'!#REF!</f>
        <v>#REF!</v>
      </c>
    </row>
    <row r="3194" spans="3:6" x14ac:dyDescent="0.25">
      <c r="C3194">
        <f>'IND TECH'!L3192</f>
        <v>0</v>
      </c>
      <c r="D3194" t="str">
        <f>'IND TECH'!A3192&amp;" "&amp;'IND TECH'!B3192&amp;" "&amp;'IND TECH'!C3192&amp;" "&amp;'IND TECH'!D3192&amp;" "&amp;'IND TECH'!E3192&amp;" "&amp;'IND TECH'!F3192&amp;" "&amp;'IND TECH'!G3192&amp;" "&amp;'IND TECH'!H3192</f>
        <v xml:space="preserve">       </v>
      </c>
      <c r="E3194" t="e">
        <f t="shared" si="30"/>
        <v>#REF!</v>
      </c>
      <c r="F3194" t="e">
        <f>'IND TECH'!#REF!</f>
        <v>#REF!</v>
      </c>
    </row>
    <row r="3195" spans="3:6" x14ac:dyDescent="0.25">
      <c r="C3195">
        <f>'IND TECH'!L3193</f>
        <v>0</v>
      </c>
      <c r="D3195" t="str">
        <f>'IND TECH'!A3193&amp;" "&amp;'IND TECH'!B3193&amp;" "&amp;'IND TECH'!C3193&amp;" "&amp;'IND TECH'!D3193&amp;" "&amp;'IND TECH'!E3193&amp;" "&amp;'IND TECH'!F3193&amp;" "&amp;'IND TECH'!G3193&amp;" "&amp;'IND TECH'!H3193</f>
        <v xml:space="preserve">       </v>
      </c>
      <c r="E3195" t="e">
        <f t="shared" si="30"/>
        <v>#REF!</v>
      </c>
      <c r="F3195" t="e">
        <f>'IND TECH'!#REF!</f>
        <v>#REF!</v>
      </c>
    </row>
    <row r="3196" spans="3:6" x14ac:dyDescent="0.25">
      <c r="C3196">
        <f>'IND TECH'!L3194</f>
        <v>0</v>
      </c>
      <c r="D3196" t="str">
        <f>'IND TECH'!A3194&amp;" "&amp;'IND TECH'!B3194&amp;" "&amp;'IND TECH'!C3194&amp;" "&amp;'IND TECH'!D3194&amp;" "&amp;'IND TECH'!E3194&amp;" "&amp;'IND TECH'!F3194&amp;" "&amp;'IND TECH'!G3194&amp;" "&amp;'IND TECH'!H3194</f>
        <v xml:space="preserve">       </v>
      </c>
      <c r="E3196" t="e">
        <f t="shared" si="30"/>
        <v>#REF!</v>
      </c>
      <c r="F3196" t="e">
        <f>'IND TECH'!#REF!</f>
        <v>#REF!</v>
      </c>
    </row>
    <row r="3197" spans="3:6" x14ac:dyDescent="0.25">
      <c r="C3197">
        <f>'IND TECH'!L3195</f>
        <v>0</v>
      </c>
      <c r="D3197" t="str">
        <f>'IND TECH'!A3195&amp;" "&amp;'IND TECH'!B3195&amp;" "&amp;'IND TECH'!C3195&amp;" "&amp;'IND TECH'!D3195&amp;" "&amp;'IND TECH'!E3195&amp;" "&amp;'IND TECH'!F3195&amp;" "&amp;'IND TECH'!G3195&amp;" "&amp;'IND TECH'!H3195</f>
        <v xml:space="preserve">       </v>
      </c>
      <c r="E3197" t="e">
        <f t="shared" si="30"/>
        <v>#REF!</v>
      </c>
      <c r="F3197" t="e">
        <f>'IND TECH'!#REF!</f>
        <v>#REF!</v>
      </c>
    </row>
    <row r="3198" spans="3:6" x14ac:dyDescent="0.25">
      <c r="C3198">
        <f>'IND TECH'!L3196</f>
        <v>0</v>
      </c>
      <c r="D3198" t="str">
        <f>'IND TECH'!A3196&amp;" "&amp;'IND TECH'!B3196&amp;" "&amp;'IND TECH'!C3196&amp;" "&amp;'IND TECH'!D3196&amp;" "&amp;'IND TECH'!E3196&amp;" "&amp;'IND TECH'!F3196&amp;" "&amp;'IND TECH'!G3196&amp;" "&amp;'IND TECH'!H3196</f>
        <v xml:space="preserve">       </v>
      </c>
      <c r="E3198" t="e">
        <f t="shared" si="30"/>
        <v>#REF!</v>
      </c>
      <c r="F3198" t="e">
        <f>'IND TECH'!#REF!</f>
        <v>#REF!</v>
      </c>
    </row>
    <row r="3199" spans="3:6" x14ac:dyDescent="0.25">
      <c r="C3199">
        <f>'IND TECH'!L3197</f>
        <v>0</v>
      </c>
      <c r="D3199" t="str">
        <f>'IND TECH'!A3197&amp;" "&amp;'IND TECH'!B3197&amp;" "&amp;'IND TECH'!C3197&amp;" "&amp;'IND TECH'!D3197&amp;" "&amp;'IND TECH'!E3197&amp;" "&amp;'IND TECH'!F3197&amp;" "&amp;'IND TECH'!G3197&amp;" "&amp;'IND TECH'!H3197</f>
        <v xml:space="preserve">       </v>
      </c>
      <c r="E3199" t="e">
        <f t="shared" si="30"/>
        <v>#REF!</v>
      </c>
      <c r="F3199" t="e">
        <f>'IND TECH'!#REF!</f>
        <v>#REF!</v>
      </c>
    </row>
    <row r="3200" spans="3:6" x14ac:dyDescent="0.25">
      <c r="C3200">
        <f>'IND TECH'!L3198</f>
        <v>0</v>
      </c>
      <c r="D3200" t="str">
        <f>'IND TECH'!A3198&amp;" "&amp;'IND TECH'!B3198&amp;" "&amp;'IND TECH'!C3198&amp;" "&amp;'IND TECH'!D3198&amp;" "&amp;'IND TECH'!E3198&amp;" "&amp;'IND TECH'!F3198&amp;" "&amp;'IND TECH'!G3198&amp;" "&amp;'IND TECH'!H3198</f>
        <v xml:space="preserve">       </v>
      </c>
      <c r="E3200" t="e">
        <f t="shared" si="30"/>
        <v>#REF!</v>
      </c>
      <c r="F3200" t="e">
        <f>'IND TECH'!#REF!</f>
        <v>#REF!</v>
      </c>
    </row>
    <row r="3201" spans="3:6" x14ac:dyDescent="0.25">
      <c r="C3201">
        <f>'IND TECH'!L3199</f>
        <v>0</v>
      </c>
      <c r="D3201" t="str">
        <f>'IND TECH'!A3199&amp;" "&amp;'IND TECH'!B3199&amp;" "&amp;'IND TECH'!C3199&amp;" "&amp;'IND TECH'!D3199&amp;" "&amp;'IND TECH'!E3199&amp;" "&amp;'IND TECH'!F3199&amp;" "&amp;'IND TECH'!G3199&amp;" "&amp;'IND TECH'!H3199</f>
        <v xml:space="preserve">       </v>
      </c>
      <c r="E3201" t="e">
        <f t="shared" si="30"/>
        <v>#REF!</v>
      </c>
      <c r="F3201" t="e">
        <f>'IND TECH'!#REF!</f>
        <v>#REF!</v>
      </c>
    </row>
    <row r="3202" spans="3:6" x14ac:dyDescent="0.25">
      <c r="C3202">
        <f>'IND TECH'!L3200</f>
        <v>0</v>
      </c>
      <c r="D3202" t="str">
        <f>'IND TECH'!A3200&amp;" "&amp;'IND TECH'!B3200&amp;" "&amp;'IND TECH'!C3200&amp;" "&amp;'IND TECH'!D3200&amp;" "&amp;'IND TECH'!E3200&amp;" "&amp;'IND TECH'!F3200&amp;" "&amp;'IND TECH'!G3200&amp;" "&amp;'IND TECH'!H3200</f>
        <v xml:space="preserve">       </v>
      </c>
      <c r="E3202" t="e">
        <f t="shared" si="30"/>
        <v>#REF!</v>
      </c>
      <c r="F3202" t="e">
        <f>'IND TECH'!#REF!</f>
        <v>#REF!</v>
      </c>
    </row>
    <row r="3203" spans="3:6" x14ac:dyDescent="0.25">
      <c r="C3203">
        <f>'IND TECH'!L3201</f>
        <v>0</v>
      </c>
      <c r="D3203" t="str">
        <f>'IND TECH'!A3201&amp;" "&amp;'IND TECH'!B3201&amp;" "&amp;'IND TECH'!C3201&amp;" "&amp;'IND TECH'!D3201&amp;" "&amp;'IND TECH'!E3201&amp;" "&amp;'IND TECH'!F3201&amp;" "&amp;'IND TECH'!G3201&amp;" "&amp;'IND TECH'!H3201</f>
        <v xml:space="preserve">       </v>
      </c>
      <c r="E3203" t="e">
        <f t="shared" si="30"/>
        <v>#REF!</v>
      </c>
      <c r="F3203" t="e">
        <f>'IND TECH'!#REF!</f>
        <v>#REF!</v>
      </c>
    </row>
    <row r="3204" spans="3:6" x14ac:dyDescent="0.25">
      <c r="C3204">
        <f>'IND TECH'!L3202</f>
        <v>0</v>
      </c>
      <c r="D3204" t="str">
        <f>'IND TECH'!A3202&amp;" "&amp;'IND TECH'!B3202&amp;" "&amp;'IND TECH'!C3202&amp;" "&amp;'IND TECH'!D3202&amp;" "&amp;'IND TECH'!E3202&amp;" "&amp;'IND TECH'!F3202&amp;" "&amp;'IND TECH'!G3202&amp;" "&amp;'IND TECH'!H3202</f>
        <v xml:space="preserve">       </v>
      </c>
      <c r="E3204" t="e">
        <f t="shared" si="30"/>
        <v>#REF!</v>
      </c>
      <c r="F3204" t="e">
        <f>'IND TECH'!#REF!</f>
        <v>#REF!</v>
      </c>
    </row>
    <row r="3205" spans="3:6" x14ac:dyDescent="0.25">
      <c r="C3205">
        <f>'IND TECH'!L3203</f>
        <v>0</v>
      </c>
      <c r="D3205" t="str">
        <f>'IND TECH'!A3203&amp;" "&amp;'IND TECH'!B3203&amp;" "&amp;'IND TECH'!C3203&amp;" "&amp;'IND TECH'!D3203&amp;" "&amp;'IND TECH'!E3203&amp;" "&amp;'IND TECH'!F3203&amp;" "&amp;'IND TECH'!G3203&amp;" "&amp;'IND TECH'!H3203</f>
        <v xml:space="preserve">       </v>
      </c>
      <c r="E3205" t="e">
        <f t="shared" si="30"/>
        <v>#REF!</v>
      </c>
      <c r="F3205" t="e">
        <f>'IND TECH'!#REF!</f>
        <v>#REF!</v>
      </c>
    </row>
    <row r="3206" spans="3:6" x14ac:dyDescent="0.25">
      <c r="C3206">
        <f>'IND TECH'!L3204</f>
        <v>0</v>
      </c>
      <c r="D3206" t="str">
        <f>'IND TECH'!A3204&amp;" "&amp;'IND TECH'!B3204&amp;" "&amp;'IND TECH'!C3204&amp;" "&amp;'IND TECH'!D3204&amp;" "&amp;'IND TECH'!E3204&amp;" "&amp;'IND TECH'!F3204&amp;" "&amp;'IND TECH'!G3204&amp;" "&amp;'IND TECH'!H3204</f>
        <v xml:space="preserve">       </v>
      </c>
      <c r="E3206" t="e">
        <f t="shared" si="30"/>
        <v>#REF!</v>
      </c>
      <c r="F3206" t="e">
        <f>'IND TECH'!#REF!</f>
        <v>#REF!</v>
      </c>
    </row>
    <row r="3207" spans="3:6" x14ac:dyDescent="0.25">
      <c r="C3207">
        <f>'IND TECH'!L3205</f>
        <v>0</v>
      </c>
      <c r="D3207" t="str">
        <f>'IND TECH'!A3205&amp;" "&amp;'IND TECH'!B3205&amp;" "&amp;'IND TECH'!C3205&amp;" "&amp;'IND TECH'!D3205&amp;" "&amp;'IND TECH'!E3205&amp;" "&amp;'IND TECH'!F3205&amp;" "&amp;'IND TECH'!G3205&amp;" "&amp;'IND TECH'!H3205</f>
        <v xml:space="preserve">       </v>
      </c>
      <c r="E3207" t="e">
        <f t="shared" si="30"/>
        <v>#REF!</v>
      </c>
      <c r="F3207" t="e">
        <f>'IND TECH'!#REF!</f>
        <v>#REF!</v>
      </c>
    </row>
    <row r="3208" spans="3:6" x14ac:dyDescent="0.25">
      <c r="C3208">
        <f>'IND TECH'!L3206</f>
        <v>0</v>
      </c>
      <c r="D3208" t="str">
        <f>'IND TECH'!A3206&amp;" "&amp;'IND TECH'!B3206&amp;" "&amp;'IND TECH'!C3206&amp;" "&amp;'IND TECH'!D3206&amp;" "&amp;'IND TECH'!E3206&amp;" "&amp;'IND TECH'!F3206&amp;" "&amp;'IND TECH'!G3206&amp;" "&amp;'IND TECH'!H3206</f>
        <v xml:space="preserve">       </v>
      </c>
      <c r="E3208" t="e">
        <f t="shared" si="30"/>
        <v>#REF!</v>
      </c>
      <c r="F3208" t="e">
        <f>'IND TECH'!#REF!</f>
        <v>#REF!</v>
      </c>
    </row>
    <row r="3209" spans="3:6" x14ac:dyDescent="0.25">
      <c r="C3209">
        <f>'IND TECH'!L3207</f>
        <v>0</v>
      </c>
      <c r="D3209" t="str">
        <f>'IND TECH'!A3207&amp;" "&amp;'IND TECH'!B3207&amp;" "&amp;'IND TECH'!C3207&amp;" "&amp;'IND TECH'!D3207&amp;" "&amp;'IND TECH'!E3207&amp;" "&amp;'IND TECH'!F3207&amp;" "&amp;'IND TECH'!G3207&amp;" "&amp;'IND TECH'!H3207</f>
        <v xml:space="preserve">       </v>
      </c>
      <c r="E3209" t="e">
        <f t="shared" si="30"/>
        <v>#REF!</v>
      </c>
      <c r="F3209" t="e">
        <f>'IND TECH'!#REF!</f>
        <v>#REF!</v>
      </c>
    </row>
    <row r="3210" spans="3:6" x14ac:dyDescent="0.25">
      <c r="C3210">
        <f>'IND TECH'!L3208</f>
        <v>0</v>
      </c>
      <c r="D3210" t="str">
        <f>'IND TECH'!A3208&amp;" "&amp;'IND TECH'!B3208&amp;" "&amp;'IND TECH'!C3208&amp;" "&amp;'IND TECH'!D3208&amp;" "&amp;'IND TECH'!E3208&amp;" "&amp;'IND TECH'!F3208&amp;" "&amp;'IND TECH'!G3208&amp;" "&amp;'IND TECH'!H3208</f>
        <v xml:space="preserve">       </v>
      </c>
      <c r="E3210" t="e">
        <f t="shared" si="30"/>
        <v>#REF!</v>
      </c>
      <c r="F3210" t="e">
        <f>'IND TECH'!#REF!</f>
        <v>#REF!</v>
      </c>
    </row>
    <row r="3211" spans="3:6" x14ac:dyDescent="0.25">
      <c r="C3211">
        <f>'IND TECH'!L3209</f>
        <v>0</v>
      </c>
      <c r="D3211" t="str">
        <f>'IND TECH'!A3209&amp;" "&amp;'IND TECH'!B3209&amp;" "&amp;'IND TECH'!C3209&amp;" "&amp;'IND TECH'!D3209&amp;" "&amp;'IND TECH'!E3209&amp;" "&amp;'IND TECH'!F3209&amp;" "&amp;'IND TECH'!G3209&amp;" "&amp;'IND TECH'!H3209</f>
        <v xml:space="preserve">       </v>
      </c>
      <c r="E3211" t="e">
        <f t="shared" si="30"/>
        <v>#REF!</v>
      </c>
      <c r="F3211" t="e">
        <f>'IND TECH'!#REF!</f>
        <v>#REF!</v>
      </c>
    </row>
    <row r="3212" spans="3:6" x14ac:dyDescent="0.25">
      <c r="C3212">
        <f>'IND TECH'!L3210</f>
        <v>0</v>
      </c>
      <c r="D3212" t="str">
        <f>'IND TECH'!A3210&amp;" "&amp;'IND TECH'!B3210&amp;" "&amp;'IND TECH'!C3210&amp;" "&amp;'IND TECH'!D3210&amp;" "&amp;'IND TECH'!E3210&amp;" "&amp;'IND TECH'!F3210&amp;" "&amp;'IND TECH'!G3210&amp;" "&amp;'IND TECH'!H3210</f>
        <v xml:space="preserve">       </v>
      </c>
      <c r="E3212" t="e">
        <f t="shared" si="30"/>
        <v>#REF!</v>
      </c>
      <c r="F3212" t="e">
        <f>'IND TECH'!#REF!</f>
        <v>#REF!</v>
      </c>
    </row>
    <row r="3213" spans="3:6" x14ac:dyDescent="0.25">
      <c r="C3213">
        <f>'IND TECH'!L3211</f>
        <v>0</v>
      </c>
      <c r="D3213" t="str">
        <f>'IND TECH'!A3211&amp;" "&amp;'IND TECH'!B3211&amp;" "&amp;'IND TECH'!C3211&amp;" "&amp;'IND TECH'!D3211&amp;" "&amp;'IND TECH'!E3211&amp;" "&amp;'IND TECH'!F3211&amp;" "&amp;'IND TECH'!G3211&amp;" "&amp;'IND TECH'!H3211</f>
        <v xml:space="preserve">       </v>
      </c>
      <c r="E3213" t="e">
        <f t="shared" ref="E3213:E3276" si="31">IF(F3213="Mlma","Mlm","TJ")</f>
        <v>#REF!</v>
      </c>
      <c r="F3213" t="e">
        <f>'IND TECH'!#REF!</f>
        <v>#REF!</v>
      </c>
    </row>
    <row r="3214" spans="3:6" x14ac:dyDescent="0.25">
      <c r="C3214">
        <f>'IND TECH'!L3212</f>
        <v>0</v>
      </c>
      <c r="D3214" t="str">
        <f>'IND TECH'!A3212&amp;" "&amp;'IND TECH'!B3212&amp;" "&amp;'IND TECH'!C3212&amp;" "&amp;'IND TECH'!D3212&amp;" "&amp;'IND TECH'!E3212&amp;" "&amp;'IND TECH'!F3212&amp;" "&amp;'IND TECH'!G3212&amp;" "&amp;'IND TECH'!H3212</f>
        <v xml:space="preserve">       </v>
      </c>
      <c r="E3214" t="e">
        <f t="shared" si="31"/>
        <v>#REF!</v>
      </c>
      <c r="F3214" t="e">
        <f>'IND TECH'!#REF!</f>
        <v>#REF!</v>
      </c>
    </row>
    <row r="3215" spans="3:6" x14ac:dyDescent="0.25">
      <c r="C3215">
        <f>'IND TECH'!L3213</f>
        <v>0</v>
      </c>
      <c r="D3215" t="str">
        <f>'IND TECH'!A3213&amp;" "&amp;'IND TECH'!B3213&amp;" "&amp;'IND TECH'!C3213&amp;" "&amp;'IND TECH'!D3213&amp;" "&amp;'IND TECH'!E3213&amp;" "&amp;'IND TECH'!F3213&amp;" "&amp;'IND TECH'!G3213&amp;" "&amp;'IND TECH'!H3213</f>
        <v xml:space="preserve">       </v>
      </c>
      <c r="E3215" t="e">
        <f t="shared" si="31"/>
        <v>#REF!</v>
      </c>
      <c r="F3215" t="e">
        <f>'IND TECH'!#REF!</f>
        <v>#REF!</v>
      </c>
    </row>
    <row r="3216" spans="3:6" x14ac:dyDescent="0.25">
      <c r="C3216">
        <f>'IND TECH'!L3214</f>
        <v>0</v>
      </c>
      <c r="D3216" t="str">
        <f>'IND TECH'!A3214&amp;" "&amp;'IND TECH'!B3214&amp;" "&amp;'IND TECH'!C3214&amp;" "&amp;'IND TECH'!D3214&amp;" "&amp;'IND TECH'!E3214&amp;" "&amp;'IND TECH'!F3214&amp;" "&amp;'IND TECH'!G3214&amp;" "&amp;'IND TECH'!H3214</f>
        <v xml:space="preserve">       </v>
      </c>
      <c r="E3216" t="e">
        <f t="shared" si="31"/>
        <v>#REF!</v>
      </c>
      <c r="F3216" t="e">
        <f>'IND TECH'!#REF!</f>
        <v>#REF!</v>
      </c>
    </row>
    <row r="3217" spans="3:6" x14ac:dyDescent="0.25">
      <c r="C3217">
        <f>'IND TECH'!L3215</f>
        <v>0</v>
      </c>
      <c r="D3217" t="str">
        <f>'IND TECH'!A3215&amp;" "&amp;'IND TECH'!B3215&amp;" "&amp;'IND TECH'!C3215&amp;" "&amp;'IND TECH'!D3215&amp;" "&amp;'IND TECH'!E3215&amp;" "&amp;'IND TECH'!F3215&amp;" "&amp;'IND TECH'!G3215&amp;" "&amp;'IND TECH'!H3215</f>
        <v xml:space="preserve">       </v>
      </c>
      <c r="E3217" t="e">
        <f t="shared" si="31"/>
        <v>#REF!</v>
      </c>
      <c r="F3217" t="e">
        <f>'IND TECH'!#REF!</f>
        <v>#REF!</v>
      </c>
    </row>
    <row r="3218" spans="3:6" x14ac:dyDescent="0.25">
      <c r="C3218">
        <f>'IND TECH'!L3216</f>
        <v>0</v>
      </c>
      <c r="D3218" t="str">
        <f>'IND TECH'!A3216&amp;" "&amp;'IND TECH'!B3216&amp;" "&amp;'IND TECH'!C3216&amp;" "&amp;'IND TECH'!D3216&amp;" "&amp;'IND TECH'!E3216&amp;" "&amp;'IND TECH'!F3216&amp;" "&amp;'IND TECH'!G3216&amp;" "&amp;'IND TECH'!H3216</f>
        <v xml:space="preserve">       </v>
      </c>
      <c r="E3218" t="e">
        <f t="shared" si="31"/>
        <v>#REF!</v>
      </c>
      <c r="F3218" t="e">
        <f>'IND TECH'!#REF!</f>
        <v>#REF!</v>
      </c>
    </row>
    <row r="3219" spans="3:6" x14ac:dyDescent="0.25">
      <c r="C3219">
        <f>'IND TECH'!L3217</f>
        <v>0</v>
      </c>
      <c r="D3219" t="str">
        <f>'IND TECH'!A3217&amp;" "&amp;'IND TECH'!B3217&amp;" "&amp;'IND TECH'!C3217&amp;" "&amp;'IND TECH'!D3217&amp;" "&amp;'IND TECH'!E3217&amp;" "&amp;'IND TECH'!F3217&amp;" "&amp;'IND TECH'!G3217&amp;" "&amp;'IND TECH'!H3217</f>
        <v xml:space="preserve">       </v>
      </c>
      <c r="E3219" t="e">
        <f t="shared" si="31"/>
        <v>#REF!</v>
      </c>
      <c r="F3219" t="e">
        <f>'IND TECH'!#REF!</f>
        <v>#REF!</v>
      </c>
    </row>
    <row r="3220" spans="3:6" x14ac:dyDescent="0.25">
      <c r="C3220">
        <f>'IND TECH'!L3218</f>
        <v>0</v>
      </c>
      <c r="D3220" t="str">
        <f>'IND TECH'!A3218&amp;" "&amp;'IND TECH'!B3218&amp;" "&amp;'IND TECH'!C3218&amp;" "&amp;'IND TECH'!D3218&amp;" "&amp;'IND TECH'!E3218&amp;" "&amp;'IND TECH'!F3218&amp;" "&amp;'IND TECH'!G3218&amp;" "&amp;'IND TECH'!H3218</f>
        <v xml:space="preserve">       </v>
      </c>
      <c r="E3220" t="e">
        <f t="shared" si="31"/>
        <v>#REF!</v>
      </c>
      <c r="F3220" t="e">
        <f>'IND TECH'!#REF!</f>
        <v>#REF!</v>
      </c>
    </row>
    <row r="3221" spans="3:6" x14ac:dyDescent="0.25">
      <c r="C3221">
        <f>'IND TECH'!L3219</f>
        <v>0</v>
      </c>
      <c r="D3221" t="str">
        <f>'IND TECH'!A3219&amp;" "&amp;'IND TECH'!B3219&amp;" "&amp;'IND TECH'!C3219&amp;" "&amp;'IND TECH'!D3219&amp;" "&amp;'IND TECH'!E3219&amp;" "&amp;'IND TECH'!F3219&amp;" "&amp;'IND TECH'!G3219&amp;" "&amp;'IND TECH'!H3219</f>
        <v xml:space="preserve">       </v>
      </c>
      <c r="E3221" t="e">
        <f t="shared" si="31"/>
        <v>#REF!</v>
      </c>
      <c r="F3221" t="e">
        <f>'IND TECH'!#REF!</f>
        <v>#REF!</v>
      </c>
    </row>
    <row r="3222" spans="3:6" x14ac:dyDescent="0.25">
      <c r="C3222">
        <f>'IND TECH'!L3220</f>
        <v>0</v>
      </c>
      <c r="D3222" t="str">
        <f>'IND TECH'!A3220&amp;" "&amp;'IND TECH'!B3220&amp;" "&amp;'IND TECH'!C3220&amp;" "&amp;'IND TECH'!D3220&amp;" "&amp;'IND TECH'!E3220&amp;" "&amp;'IND TECH'!F3220&amp;" "&amp;'IND TECH'!G3220&amp;" "&amp;'IND TECH'!H3220</f>
        <v xml:space="preserve">       </v>
      </c>
      <c r="E3222" t="e">
        <f t="shared" si="31"/>
        <v>#REF!</v>
      </c>
      <c r="F3222" t="e">
        <f>'IND TECH'!#REF!</f>
        <v>#REF!</v>
      </c>
    </row>
    <row r="3223" spans="3:6" x14ac:dyDescent="0.25">
      <c r="C3223">
        <f>'IND TECH'!L3221</f>
        <v>0</v>
      </c>
      <c r="D3223" t="str">
        <f>'IND TECH'!A3221&amp;" "&amp;'IND TECH'!B3221&amp;" "&amp;'IND TECH'!C3221&amp;" "&amp;'IND TECH'!D3221&amp;" "&amp;'IND TECH'!E3221&amp;" "&amp;'IND TECH'!F3221&amp;" "&amp;'IND TECH'!G3221&amp;" "&amp;'IND TECH'!H3221</f>
        <v xml:space="preserve">       </v>
      </c>
      <c r="E3223" t="e">
        <f t="shared" si="31"/>
        <v>#REF!</v>
      </c>
      <c r="F3223" t="e">
        <f>'IND TECH'!#REF!</f>
        <v>#REF!</v>
      </c>
    </row>
    <row r="3224" spans="3:6" x14ac:dyDescent="0.25">
      <c r="C3224">
        <f>'IND TECH'!L3222</f>
        <v>0</v>
      </c>
      <c r="D3224" t="str">
        <f>'IND TECH'!A3222&amp;" "&amp;'IND TECH'!B3222&amp;" "&amp;'IND TECH'!C3222&amp;" "&amp;'IND TECH'!D3222&amp;" "&amp;'IND TECH'!E3222&amp;" "&amp;'IND TECH'!F3222&amp;" "&amp;'IND TECH'!G3222&amp;" "&amp;'IND TECH'!H3222</f>
        <v xml:space="preserve">       </v>
      </c>
      <c r="E3224" t="e">
        <f t="shared" si="31"/>
        <v>#REF!</v>
      </c>
      <c r="F3224" t="e">
        <f>'IND TECH'!#REF!</f>
        <v>#REF!</v>
      </c>
    </row>
    <row r="3225" spans="3:6" x14ac:dyDescent="0.25">
      <c r="C3225">
        <f>'IND TECH'!L3223</f>
        <v>0</v>
      </c>
      <c r="D3225" t="str">
        <f>'IND TECH'!A3223&amp;" "&amp;'IND TECH'!B3223&amp;" "&amp;'IND TECH'!C3223&amp;" "&amp;'IND TECH'!D3223&amp;" "&amp;'IND TECH'!E3223&amp;" "&amp;'IND TECH'!F3223&amp;" "&amp;'IND TECH'!G3223&amp;" "&amp;'IND TECH'!H3223</f>
        <v xml:space="preserve">       </v>
      </c>
      <c r="E3225" t="e">
        <f t="shared" si="31"/>
        <v>#REF!</v>
      </c>
      <c r="F3225" t="e">
        <f>'IND TECH'!#REF!</f>
        <v>#REF!</v>
      </c>
    </row>
    <row r="3226" spans="3:6" x14ac:dyDescent="0.25">
      <c r="C3226">
        <f>'IND TECH'!L3224</f>
        <v>0</v>
      </c>
      <c r="D3226" t="str">
        <f>'IND TECH'!A3224&amp;" "&amp;'IND TECH'!B3224&amp;" "&amp;'IND TECH'!C3224&amp;" "&amp;'IND TECH'!D3224&amp;" "&amp;'IND TECH'!E3224&amp;" "&amp;'IND TECH'!F3224&amp;" "&amp;'IND TECH'!G3224&amp;" "&amp;'IND TECH'!H3224</f>
        <v xml:space="preserve">       </v>
      </c>
      <c r="E3226" t="e">
        <f t="shared" si="31"/>
        <v>#REF!</v>
      </c>
      <c r="F3226" t="e">
        <f>'IND TECH'!#REF!</f>
        <v>#REF!</v>
      </c>
    </row>
    <row r="3227" spans="3:6" x14ac:dyDescent="0.25">
      <c r="C3227">
        <f>'IND TECH'!L3225</f>
        <v>0</v>
      </c>
      <c r="D3227" t="str">
        <f>'IND TECH'!A3225&amp;" "&amp;'IND TECH'!B3225&amp;" "&amp;'IND TECH'!C3225&amp;" "&amp;'IND TECH'!D3225&amp;" "&amp;'IND TECH'!E3225&amp;" "&amp;'IND TECH'!F3225&amp;" "&amp;'IND TECH'!G3225&amp;" "&amp;'IND TECH'!H3225</f>
        <v xml:space="preserve">       </v>
      </c>
      <c r="E3227" t="e">
        <f t="shared" si="31"/>
        <v>#REF!</v>
      </c>
      <c r="F3227" t="e">
        <f>'IND TECH'!#REF!</f>
        <v>#REF!</v>
      </c>
    </row>
    <row r="3228" spans="3:6" x14ac:dyDescent="0.25">
      <c r="C3228">
        <f>'IND TECH'!L3226</f>
        <v>0</v>
      </c>
      <c r="D3228" t="str">
        <f>'IND TECH'!A3226&amp;" "&amp;'IND TECH'!B3226&amp;" "&amp;'IND TECH'!C3226&amp;" "&amp;'IND TECH'!D3226&amp;" "&amp;'IND TECH'!E3226&amp;" "&amp;'IND TECH'!F3226&amp;" "&amp;'IND TECH'!G3226&amp;" "&amp;'IND TECH'!H3226</f>
        <v xml:space="preserve">       </v>
      </c>
      <c r="E3228" t="e">
        <f t="shared" si="31"/>
        <v>#REF!</v>
      </c>
      <c r="F3228" t="e">
        <f>'IND TECH'!#REF!</f>
        <v>#REF!</v>
      </c>
    </row>
    <row r="3229" spans="3:6" x14ac:dyDescent="0.25">
      <c r="C3229">
        <f>'IND TECH'!L3227</f>
        <v>0</v>
      </c>
      <c r="D3229" t="str">
        <f>'IND TECH'!A3227&amp;" "&amp;'IND TECH'!B3227&amp;" "&amp;'IND TECH'!C3227&amp;" "&amp;'IND TECH'!D3227&amp;" "&amp;'IND TECH'!E3227&amp;" "&amp;'IND TECH'!F3227&amp;" "&amp;'IND TECH'!G3227&amp;" "&amp;'IND TECH'!H3227</f>
        <v xml:space="preserve">       </v>
      </c>
      <c r="E3229" t="e">
        <f t="shared" si="31"/>
        <v>#REF!</v>
      </c>
      <c r="F3229" t="e">
        <f>'IND TECH'!#REF!</f>
        <v>#REF!</v>
      </c>
    </row>
    <row r="3230" spans="3:6" x14ac:dyDescent="0.25">
      <c r="C3230">
        <f>'IND TECH'!L3228</f>
        <v>0</v>
      </c>
      <c r="D3230" t="str">
        <f>'IND TECH'!A3228&amp;" "&amp;'IND TECH'!B3228&amp;" "&amp;'IND TECH'!C3228&amp;" "&amp;'IND TECH'!D3228&amp;" "&amp;'IND TECH'!E3228&amp;" "&amp;'IND TECH'!F3228&amp;" "&amp;'IND TECH'!G3228&amp;" "&amp;'IND TECH'!H3228</f>
        <v xml:space="preserve">       </v>
      </c>
      <c r="E3230" t="e">
        <f t="shared" si="31"/>
        <v>#REF!</v>
      </c>
      <c r="F3230" t="e">
        <f>'IND TECH'!#REF!</f>
        <v>#REF!</v>
      </c>
    </row>
    <row r="3231" spans="3:6" x14ac:dyDescent="0.25">
      <c r="C3231">
        <f>'IND TECH'!L3229</f>
        <v>0</v>
      </c>
      <c r="D3231" t="str">
        <f>'IND TECH'!A3229&amp;" "&amp;'IND TECH'!B3229&amp;" "&amp;'IND TECH'!C3229&amp;" "&amp;'IND TECH'!D3229&amp;" "&amp;'IND TECH'!E3229&amp;" "&amp;'IND TECH'!F3229&amp;" "&amp;'IND TECH'!G3229&amp;" "&amp;'IND TECH'!H3229</f>
        <v xml:space="preserve">       </v>
      </c>
      <c r="E3231" t="e">
        <f t="shared" si="31"/>
        <v>#REF!</v>
      </c>
      <c r="F3231" t="e">
        <f>'IND TECH'!#REF!</f>
        <v>#REF!</v>
      </c>
    </row>
    <row r="3232" spans="3:6" x14ac:dyDescent="0.25">
      <c r="C3232">
        <f>'IND TECH'!L3230</f>
        <v>0</v>
      </c>
      <c r="D3232" t="str">
        <f>'IND TECH'!A3230&amp;" "&amp;'IND TECH'!B3230&amp;" "&amp;'IND TECH'!C3230&amp;" "&amp;'IND TECH'!D3230&amp;" "&amp;'IND TECH'!E3230&amp;" "&amp;'IND TECH'!F3230&amp;" "&amp;'IND TECH'!G3230&amp;" "&amp;'IND TECH'!H3230</f>
        <v xml:space="preserve">       </v>
      </c>
      <c r="E3232" t="e">
        <f t="shared" si="31"/>
        <v>#REF!</v>
      </c>
      <c r="F3232" t="e">
        <f>'IND TECH'!#REF!</f>
        <v>#REF!</v>
      </c>
    </row>
    <row r="3233" spans="3:6" x14ac:dyDescent="0.25">
      <c r="C3233">
        <f>'IND TECH'!L3231</f>
        <v>0</v>
      </c>
      <c r="D3233" t="str">
        <f>'IND TECH'!A3231&amp;" "&amp;'IND TECH'!B3231&amp;" "&amp;'IND TECH'!C3231&amp;" "&amp;'IND TECH'!D3231&amp;" "&amp;'IND TECH'!E3231&amp;" "&amp;'IND TECH'!F3231&amp;" "&amp;'IND TECH'!G3231&amp;" "&amp;'IND TECH'!H3231</f>
        <v xml:space="preserve">       </v>
      </c>
      <c r="E3233" t="e">
        <f t="shared" si="31"/>
        <v>#REF!</v>
      </c>
      <c r="F3233" t="e">
        <f>'IND TECH'!#REF!</f>
        <v>#REF!</v>
      </c>
    </row>
    <row r="3234" spans="3:6" x14ac:dyDescent="0.25">
      <c r="C3234">
        <f>'IND TECH'!L3232</f>
        <v>0</v>
      </c>
      <c r="D3234" t="str">
        <f>'IND TECH'!A3232&amp;" "&amp;'IND TECH'!B3232&amp;" "&amp;'IND TECH'!C3232&amp;" "&amp;'IND TECH'!D3232&amp;" "&amp;'IND TECH'!E3232&amp;" "&amp;'IND TECH'!F3232&amp;" "&amp;'IND TECH'!G3232&amp;" "&amp;'IND TECH'!H3232</f>
        <v xml:space="preserve">       </v>
      </c>
      <c r="E3234" t="e">
        <f t="shared" si="31"/>
        <v>#REF!</v>
      </c>
      <c r="F3234" t="e">
        <f>'IND TECH'!#REF!</f>
        <v>#REF!</v>
      </c>
    </row>
    <row r="3235" spans="3:6" x14ac:dyDescent="0.25">
      <c r="C3235">
        <f>'IND TECH'!L3233</f>
        <v>0</v>
      </c>
      <c r="D3235" t="str">
        <f>'IND TECH'!A3233&amp;" "&amp;'IND TECH'!B3233&amp;" "&amp;'IND TECH'!C3233&amp;" "&amp;'IND TECH'!D3233&amp;" "&amp;'IND TECH'!E3233&amp;" "&amp;'IND TECH'!F3233&amp;" "&amp;'IND TECH'!G3233&amp;" "&amp;'IND TECH'!H3233</f>
        <v xml:space="preserve">       </v>
      </c>
      <c r="E3235" t="e">
        <f t="shared" si="31"/>
        <v>#REF!</v>
      </c>
      <c r="F3235" t="e">
        <f>'IND TECH'!#REF!</f>
        <v>#REF!</v>
      </c>
    </row>
    <row r="3236" spans="3:6" x14ac:dyDescent="0.25">
      <c r="C3236">
        <f>'IND TECH'!L3234</f>
        <v>0</v>
      </c>
      <c r="D3236" t="str">
        <f>'IND TECH'!A3234&amp;" "&amp;'IND TECH'!B3234&amp;" "&amp;'IND TECH'!C3234&amp;" "&amp;'IND TECH'!D3234&amp;" "&amp;'IND TECH'!E3234&amp;" "&amp;'IND TECH'!F3234&amp;" "&amp;'IND TECH'!G3234&amp;" "&amp;'IND TECH'!H3234</f>
        <v xml:space="preserve">       </v>
      </c>
      <c r="E3236" t="e">
        <f t="shared" si="31"/>
        <v>#REF!</v>
      </c>
      <c r="F3236" t="e">
        <f>'IND TECH'!#REF!</f>
        <v>#REF!</v>
      </c>
    </row>
    <row r="3237" spans="3:6" x14ac:dyDescent="0.25">
      <c r="C3237">
        <f>'IND TECH'!L3235</f>
        <v>0</v>
      </c>
      <c r="D3237" t="str">
        <f>'IND TECH'!A3235&amp;" "&amp;'IND TECH'!B3235&amp;" "&amp;'IND TECH'!C3235&amp;" "&amp;'IND TECH'!D3235&amp;" "&amp;'IND TECH'!E3235&amp;" "&amp;'IND TECH'!F3235&amp;" "&amp;'IND TECH'!G3235&amp;" "&amp;'IND TECH'!H3235</f>
        <v xml:space="preserve">       </v>
      </c>
      <c r="E3237" t="e">
        <f t="shared" si="31"/>
        <v>#REF!</v>
      </c>
      <c r="F3237" t="e">
        <f>'IND TECH'!#REF!</f>
        <v>#REF!</v>
      </c>
    </row>
    <row r="3238" spans="3:6" x14ac:dyDescent="0.25">
      <c r="C3238">
        <f>'IND TECH'!L3236</f>
        <v>0</v>
      </c>
      <c r="D3238" t="str">
        <f>'IND TECH'!A3236&amp;" "&amp;'IND TECH'!B3236&amp;" "&amp;'IND TECH'!C3236&amp;" "&amp;'IND TECH'!D3236&amp;" "&amp;'IND TECH'!E3236&amp;" "&amp;'IND TECH'!F3236&amp;" "&amp;'IND TECH'!G3236&amp;" "&amp;'IND TECH'!H3236</f>
        <v xml:space="preserve">       </v>
      </c>
      <c r="E3238" t="e">
        <f t="shared" si="31"/>
        <v>#REF!</v>
      </c>
      <c r="F3238" t="e">
        <f>'IND TECH'!#REF!</f>
        <v>#REF!</v>
      </c>
    </row>
    <row r="3239" spans="3:6" x14ac:dyDescent="0.25">
      <c r="C3239">
        <f>'IND TECH'!L3237</f>
        <v>0</v>
      </c>
      <c r="D3239" t="str">
        <f>'IND TECH'!A3237&amp;" "&amp;'IND TECH'!B3237&amp;" "&amp;'IND TECH'!C3237&amp;" "&amp;'IND TECH'!D3237&amp;" "&amp;'IND TECH'!E3237&amp;" "&amp;'IND TECH'!F3237&amp;" "&amp;'IND TECH'!G3237&amp;" "&amp;'IND TECH'!H3237</f>
        <v xml:space="preserve">       </v>
      </c>
      <c r="E3239" t="e">
        <f t="shared" si="31"/>
        <v>#REF!</v>
      </c>
      <c r="F3239" t="e">
        <f>'IND TECH'!#REF!</f>
        <v>#REF!</v>
      </c>
    </row>
    <row r="3240" spans="3:6" x14ac:dyDescent="0.25">
      <c r="C3240">
        <f>'IND TECH'!L3238</f>
        <v>0</v>
      </c>
      <c r="D3240" t="str">
        <f>'IND TECH'!A3238&amp;" "&amp;'IND TECH'!B3238&amp;" "&amp;'IND TECH'!C3238&amp;" "&amp;'IND TECH'!D3238&amp;" "&amp;'IND TECH'!E3238&amp;" "&amp;'IND TECH'!F3238&amp;" "&amp;'IND TECH'!G3238&amp;" "&amp;'IND TECH'!H3238</f>
        <v xml:space="preserve">       </v>
      </c>
      <c r="E3240" t="e">
        <f t="shared" si="31"/>
        <v>#REF!</v>
      </c>
      <c r="F3240" t="e">
        <f>'IND TECH'!#REF!</f>
        <v>#REF!</v>
      </c>
    </row>
    <row r="3241" spans="3:6" x14ac:dyDescent="0.25">
      <c r="C3241">
        <f>'IND TECH'!L3239</f>
        <v>0</v>
      </c>
      <c r="D3241" t="str">
        <f>'IND TECH'!A3239&amp;" "&amp;'IND TECH'!B3239&amp;" "&amp;'IND TECH'!C3239&amp;" "&amp;'IND TECH'!D3239&amp;" "&amp;'IND TECH'!E3239&amp;" "&amp;'IND TECH'!F3239&amp;" "&amp;'IND TECH'!G3239&amp;" "&amp;'IND TECH'!H3239</f>
        <v xml:space="preserve">       </v>
      </c>
      <c r="E3241" t="e">
        <f t="shared" si="31"/>
        <v>#REF!</v>
      </c>
      <c r="F3241" t="e">
        <f>'IND TECH'!#REF!</f>
        <v>#REF!</v>
      </c>
    </row>
    <row r="3242" spans="3:6" x14ac:dyDescent="0.25">
      <c r="C3242">
        <f>'IND TECH'!L3240</f>
        <v>0</v>
      </c>
      <c r="D3242" t="str">
        <f>'IND TECH'!A3240&amp;" "&amp;'IND TECH'!B3240&amp;" "&amp;'IND TECH'!C3240&amp;" "&amp;'IND TECH'!D3240&amp;" "&amp;'IND TECH'!E3240&amp;" "&amp;'IND TECH'!F3240&amp;" "&amp;'IND TECH'!G3240&amp;" "&amp;'IND TECH'!H3240</f>
        <v xml:space="preserve">       </v>
      </c>
      <c r="E3242" t="e">
        <f t="shared" si="31"/>
        <v>#REF!</v>
      </c>
      <c r="F3242" t="e">
        <f>'IND TECH'!#REF!</f>
        <v>#REF!</v>
      </c>
    </row>
    <row r="3243" spans="3:6" x14ac:dyDescent="0.25">
      <c r="C3243">
        <f>'IND TECH'!L3241</f>
        <v>0</v>
      </c>
      <c r="D3243" t="str">
        <f>'IND TECH'!A3241&amp;" "&amp;'IND TECH'!B3241&amp;" "&amp;'IND TECH'!C3241&amp;" "&amp;'IND TECH'!D3241&amp;" "&amp;'IND TECH'!E3241&amp;" "&amp;'IND TECH'!F3241&amp;" "&amp;'IND TECH'!G3241&amp;" "&amp;'IND TECH'!H3241</f>
        <v xml:space="preserve">       </v>
      </c>
      <c r="E3243" t="e">
        <f t="shared" si="31"/>
        <v>#REF!</v>
      </c>
      <c r="F3243" t="e">
        <f>'IND TECH'!#REF!</f>
        <v>#REF!</v>
      </c>
    </row>
    <row r="3244" spans="3:6" x14ac:dyDescent="0.25">
      <c r="C3244">
        <f>'IND TECH'!L3242</f>
        <v>0</v>
      </c>
      <c r="D3244" t="str">
        <f>'IND TECH'!A3242&amp;" "&amp;'IND TECH'!B3242&amp;" "&amp;'IND TECH'!C3242&amp;" "&amp;'IND TECH'!D3242&amp;" "&amp;'IND TECH'!E3242&amp;" "&amp;'IND TECH'!F3242&amp;" "&amp;'IND TECH'!G3242&amp;" "&amp;'IND TECH'!H3242</f>
        <v xml:space="preserve">       </v>
      </c>
      <c r="E3244" t="e">
        <f t="shared" si="31"/>
        <v>#REF!</v>
      </c>
      <c r="F3244" t="e">
        <f>'IND TECH'!#REF!</f>
        <v>#REF!</v>
      </c>
    </row>
    <row r="3245" spans="3:6" x14ac:dyDescent="0.25">
      <c r="C3245">
        <f>'IND TECH'!L3243</f>
        <v>0</v>
      </c>
      <c r="D3245" t="str">
        <f>'IND TECH'!A3243&amp;" "&amp;'IND TECH'!B3243&amp;" "&amp;'IND TECH'!C3243&amp;" "&amp;'IND TECH'!D3243&amp;" "&amp;'IND TECH'!E3243&amp;" "&amp;'IND TECH'!F3243&amp;" "&amp;'IND TECH'!G3243&amp;" "&amp;'IND TECH'!H3243</f>
        <v xml:space="preserve">       </v>
      </c>
      <c r="E3245" t="e">
        <f t="shared" si="31"/>
        <v>#REF!</v>
      </c>
      <c r="F3245" t="e">
        <f>'IND TECH'!#REF!</f>
        <v>#REF!</v>
      </c>
    </row>
    <row r="3246" spans="3:6" x14ac:dyDescent="0.25">
      <c r="C3246">
        <f>'IND TECH'!L3244</f>
        <v>0</v>
      </c>
      <c r="D3246" t="str">
        <f>'IND TECH'!A3244&amp;" "&amp;'IND TECH'!B3244&amp;" "&amp;'IND TECH'!C3244&amp;" "&amp;'IND TECH'!D3244&amp;" "&amp;'IND TECH'!E3244&amp;" "&amp;'IND TECH'!F3244&amp;" "&amp;'IND TECH'!G3244&amp;" "&amp;'IND TECH'!H3244</f>
        <v xml:space="preserve">       </v>
      </c>
      <c r="E3246" t="e">
        <f t="shared" si="31"/>
        <v>#REF!</v>
      </c>
      <c r="F3246" t="e">
        <f>'IND TECH'!#REF!</f>
        <v>#REF!</v>
      </c>
    </row>
    <row r="3247" spans="3:6" x14ac:dyDescent="0.25">
      <c r="C3247">
        <f>'IND TECH'!L3245</f>
        <v>0</v>
      </c>
      <c r="D3247" t="str">
        <f>'IND TECH'!A3245&amp;" "&amp;'IND TECH'!B3245&amp;" "&amp;'IND TECH'!C3245&amp;" "&amp;'IND TECH'!D3245&amp;" "&amp;'IND TECH'!E3245&amp;" "&amp;'IND TECH'!F3245&amp;" "&amp;'IND TECH'!G3245&amp;" "&amp;'IND TECH'!H3245</f>
        <v xml:space="preserve">       </v>
      </c>
      <c r="E3247" t="e">
        <f t="shared" si="31"/>
        <v>#REF!</v>
      </c>
      <c r="F3247" t="e">
        <f>'IND TECH'!#REF!</f>
        <v>#REF!</v>
      </c>
    </row>
    <row r="3248" spans="3:6" x14ac:dyDescent="0.25">
      <c r="C3248">
        <f>'IND TECH'!L3246</f>
        <v>0</v>
      </c>
      <c r="D3248" t="str">
        <f>'IND TECH'!A3246&amp;" "&amp;'IND TECH'!B3246&amp;" "&amp;'IND TECH'!C3246&amp;" "&amp;'IND TECH'!D3246&amp;" "&amp;'IND TECH'!E3246&amp;" "&amp;'IND TECH'!F3246&amp;" "&amp;'IND TECH'!G3246&amp;" "&amp;'IND TECH'!H3246</f>
        <v xml:space="preserve">       </v>
      </c>
      <c r="E3248" t="e">
        <f t="shared" si="31"/>
        <v>#REF!</v>
      </c>
      <c r="F3248" t="e">
        <f>'IND TECH'!#REF!</f>
        <v>#REF!</v>
      </c>
    </row>
    <row r="3249" spans="3:6" x14ac:dyDescent="0.25">
      <c r="C3249">
        <f>'IND TECH'!L3247</f>
        <v>0</v>
      </c>
      <c r="D3249" t="str">
        <f>'IND TECH'!A3247&amp;" "&amp;'IND TECH'!B3247&amp;" "&amp;'IND TECH'!C3247&amp;" "&amp;'IND TECH'!D3247&amp;" "&amp;'IND TECH'!E3247&amp;" "&amp;'IND TECH'!F3247&amp;" "&amp;'IND TECH'!G3247&amp;" "&amp;'IND TECH'!H3247</f>
        <v xml:space="preserve">       </v>
      </c>
      <c r="E3249" t="e">
        <f t="shared" si="31"/>
        <v>#REF!</v>
      </c>
      <c r="F3249" t="e">
        <f>'IND TECH'!#REF!</f>
        <v>#REF!</v>
      </c>
    </row>
    <row r="3250" spans="3:6" x14ac:dyDescent="0.25">
      <c r="C3250">
        <f>'IND TECH'!L3248</f>
        <v>0</v>
      </c>
      <c r="D3250" t="str">
        <f>'IND TECH'!A3248&amp;" "&amp;'IND TECH'!B3248&amp;" "&amp;'IND TECH'!C3248&amp;" "&amp;'IND TECH'!D3248&amp;" "&amp;'IND TECH'!E3248&amp;" "&amp;'IND TECH'!F3248&amp;" "&amp;'IND TECH'!G3248&amp;" "&amp;'IND TECH'!H3248</f>
        <v xml:space="preserve">       </v>
      </c>
      <c r="E3250" t="e">
        <f t="shared" si="31"/>
        <v>#REF!</v>
      </c>
      <c r="F3250" t="e">
        <f>'IND TECH'!#REF!</f>
        <v>#REF!</v>
      </c>
    </row>
    <row r="3251" spans="3:6" x14ac:dyDescent="0.25">
      <c r="C3251">
        <f>'IND TECH'!L3249</f>
        <v>0</v>
      </c>
      <c r="D3251" t="str">
        <f>'IND TECH'!A3249&amp;" "&amp;'IND TECH'!B3249&amp;" "&amp;'IND TECH'!C3249&amp;" "&amp;'IND TECH'!D3249&amp;" "&amp;'IND TECH'!E3249&amp;" "&amp;'IND TECH'!F3249&amp;" "&amp;'IND TECH'!G3249&amp;" "&amp;'IND TECH'!H3249</f>
        <v xml:space="preserve">       </v>
      </c>
      <c r="E3251" t="e">
        <f t="shared" si="31"/>
        <v>#REF!</v>
      </c>
      <c r="F3251" t="e">
        <f>'IND TECH'!#REF!</f>
        <v>#REF!</v>
      </c>
    </row>
    <row r="3252" spans="3:6" x14ac:dyDescent="0.25">
      <c r="C3252">
        <f>'IND TECH'!L3250</f>
        <v>0</v>
      </c>
      <c r="D3252" t="str">
        <f>'IND TECH'!A3250&amp;" "&amp;'IND TECH'!B3250&amp;" "&amp;'IND TECH'!C3250&amp;" "&amp;'IND TECH'!D3250&amp;" "&amp;'IND TECH'!E3250&amp;" "&amp;'IND TECH'!F3250&amp;" "&amp;'IND TECH'!G3250&amp;" "&amp;'IND TECH'!H3250</f>
        <v xml:space="preserve">       </v>
      </c>
      <c r="E3252" t="e">
        <f t="shared" si="31"/>
        <v>#REF!</v>
      </c>
      <c r="F3252" t="e">
        <f>'IND TECH'!#REF!</f>
        <v>#REF!</v>
      </c>
    </row>
    <row r="3253" spans="3:6" x14ac:dyDescent="0.25">
      <c r="C3253">
        <f>'IND TECH'!L3251</f>
        <v>0</v>
      </c>
      <c r="D3253" t="str">
        <f>'IND TECH'!A3251&amp;" "&amp;'IND TECH'!B3251&amp;" "&amp;'IND TECH'!C3251&amp;" "&amp;'IND TECH'!D3251&amp;" "&amp;'IND TECH'!E3251&amp;" "&amp;'IND TECH'!F3251&amp;" "&amp;'IND TECH'!G3251&amp;" "&amp;'IND TECH'!H3251</f>
        <v xml:space="preserve">       </v>
      </c>
      <c r="E3253" t="e">
        <f t="shared" si="31"/>
        <v>#REF!</v>
      </c>
      <c r="F3253" t="e">
        <f>'IND TECH'!#REF!</f>
        <v>#REF!</v>
      </c>
    </row>
    <row r="3254" spans="3:6" x14ac:dyDescent="0.25">
      <c r="C3254">
        <f>'IND TECH'!L3252</f>
        <v>0</v>
      </c>
      <c r="D3254" t="str">
        <f>'IND TECH'!A3252&amp;" "&amp;'IND TECH'!B3252&amp;" "&amp;'IND TECH'!C3252&amp;" "&amp;'IND TECH'!D3252&amp;" "&amp;'IND TECH'!E3252&amp;" "&amp;'IND TECH'!F3252&amp;" "&amp;'IND TECH'!G3252&amp;" "&amp;'IND TECH'!H3252</f>
        <v xml:space="preserve">       </v>
      </c>
      <c r="E3254" t="e">
        <f t="shared" si="31"/>
        <v>#REF!</v>
      </c>
      <c r="F3254" t="e">
        <f>'IND TECH'!#REF!</f>
        <v>#REF!</v>
      </c>
    </row>
    <row r="3255" spans="3:6" x14ac:dyDescent="0.25">
      <c r="C3255">
        <f>'IND TECH'!L3253</f>
        <v>0</v>
      </c>
      <c r="D3255" t="str">
        <f>'IND TECH'!A3253&amp;" "&amp;'IND TECH'!B3253&amp;" "&amp;'IND TECH'!C3253&amp;" "&amp;'IND TECH'!D3253&amp;" "&amp;'IND TECH'!E3253&amp;" "&amp;'IND TECH'!F3253&amp;" "&amp;'IND TECH'!G3253&amp;" "&amp;'IND TECH'!H3253</f>
        <v xml:space="preserve">       </v>
      </c>
      <c r="E3255" t="e">
        <f t="shared" si="31"/>
        <v>#REF!</v>
      </c>
      <c r="F3255" t="e">
        <f>'IND TECH'!#REF!</f>
        <v>#REF!</v>
      </c>
    </row>
    <row r="3256" spans="3:6" x14ac:dyDescent="0.25">
      <c r="C3256">
        <f>'IND TECH'!L3254</f>
        <v>0</v>
      </c>
      <c r="D3256" t="str">
        <f>'IND TECH'!A3254&amp;" "&amp;'IND TECH'!B3254&amp;" "&amp;'IND TECH'!C3254&amp;" "&amp;'IND TECH'!D3254&amp;" "&amp;'IND TECH'!E3254&amp;" "&amp;'IND TECH'!F3254&amp;" "&amp;'IND TECH'!G3254&amp;" "&amp;'IND TECH'!H3254</f>
        <v xml:space="preserve">       </v>
      </c>
      <c r="E3256" t="e">
        <f t="shared" si="31"/>
        <v>#REF!</v>
      </c>
      <c r="F3256" t="e">
        <f>'IND TECH'!#REF!</f>
        <v>#REF!</v>
      </c>
    </row>
    <row r="3257" spans="3:6" x14ac:dyDescent="0.25">
      <c r="C3257">
        <f>'IND TECH'!L3255</f>
        <v>0</v>
      </c>
      <c r="D3257" t="str">
        <f>'IND TECH'!A3255&amp;" "&amp;'IND TECH'!B3255&amp;" "&amp;'IND TECH'!C3255&amp;" "&amp;'IND TECH'!D3255&amp;" "&amp;'IND TECH'!E3255&amp;" "&amp;'IND TECH'!F3255&amp;" "&amp;'IND TECH'!G3255&amp;" "&amp;'IND TECH'!H3255</f>
        <v xml:space="preserve">       </v>
      </c>
      <c r="E3257" t="e">
        <f t="shared" si="31"/>
        <v>#REF!</v>
      </c>
      <c r="F3257" t="e">
        <f>'IND TECH'!#REF!</f>
        <v>#REF!</v>
      </c>
    </row>
    <row r="3258" spans="3:6" x14ac:dyDescent="0.25">
      <c r="C3258">
        <f>'IND TECH'!L3256</f>
        <v>0</v>
      </c>
      <c r="D3258" t="str">
        <f>'IND TECH'!A3256&amp;" "&amp;'IND TECH'!B3256&amp;" "&amp;'IND TECH'!C3256&amp;" "&amp;'IND TECH'!D3256&amp;" "&amp;'IND TECH'!E3256&amp;" "&amp;'IND TECH'!F3256&amp;" "&amp;'IND TECH'!G3256&amp;" "&amp;'IND TECH'!H3256</f>
        <v xml:space="preserve">       </v>
      </c>
      <c r="E3258" t="e">
        <f t="shared" si="31"/>
        <v>#REF!</v>
      </c>
      <c r="F3258" t="e">
        <f>'IND TECH'!#REF!</f>
        <v>#REF!</v>
      </c>
    </row>
    <row r="3259" spans="3:6" x14ac:dyDescent="0.25">
      <c r="C3259">
        <f>'IND TECH'!L3257</f>
        <v>0</v>
      </c>
      <c r="D3259" t="str">
        <f>'IND TECH'!A3257&amp;" "&amp;'IND TECH'!B3257&amp;" "&amp;'IND TECH'!C3257&amp;" "&amp;'IND TECH'!D3257&amp;" "&amp;'IND TECH'!E3257&amp;" "&amp;'IND TECH'!F3257&amp;" "&amp;'IND TECH'!G3257&amp;" "&amp;'IND TECH'!H3257</f>
        <v xml:space="preserve">       </v>
      </c>
      <c r="E3259" t="e">
        <f t="shared" si="31"/>
        <v>#REF!</v>
      </c>
      <c r="F3259" t="e">
        <f>'IND TECH'!#REF!</f>
        <v>#REF!</v>
      </c>
    </row>
    <row r="3260" spans="3:6" x14ac:dyDescent="0.25">
      <c r="C3260">
        <f>'IND TECH'!L3258</f>
        <v>0</v>
      </c>
      <c r="D3260" t="str">
        <f>'IND TECH'!A3258&amp;" "&amp;'IND TECH'!B3258&amp;" "&amp;'IND TECH'!C3258&amp;" "&amp;'IND TECH'!D3258&amp;" "&amp;'IND TECH'!E3258&amp;" "&amp;'IND TECH'!F3258&amp;" "&amp;'IND TECH'!G3258&amp;" "&amp;'IND TECH'!H3258</f>
        <v xml:space="preserve">       </v>
      </c>
      <c r="E3260" t="e">
        <f t="shared" si="31"/>
        <v>#REF!</v>
      </c>
      <c r="F3260" t="e">
        <f>'IND TECH'!#REF!</f>
        <v>#REF!</v>
      </c>
    </row>
    <row r="3261" spans="3:6" x14ac:dyDescent="0.25">
      <c r="C3261">
        <f>'IND TECH'!L3259</f>
        <v>0</v>
      </c>
      <c r="D3261" t="str">
        <f>'IND TECH'!A3259&amp;" "&amp;'IND TECH'!B3259&amp;" "&amp;'IND TECH'!C3259&amp;" "&amp;'IND TECH'!D3259&amp;" "&amp;'IND TECH'!E3259&amp;" "&amp;'IND TECH'!F3259&amp;" "&amp;'IND TECH'!G3259&amp;" "&amp;'IND TECH'!H3259</f>
        <v xml:space="preserve">       </v>
      </c>
      <c r="E3261" t="e">
        <f t="shared" si="31"/>
        <v>#REF!</v>
      </c>
      <c r="F3261" t="e">
        <f>'IND TECH'!#REF!</f>
        <v>#REF!</v>
      </c>
    </row>
    <row r="3262" spans="3:6" x14ac:dyDescent="0.25">
      <c r="C3262">
        <f>'IND TECH'!L3260</f>
        <v>0</v>
      </c>
      <c r="D3262" t="str">
        <f>'IND TECH'!A3260&amp;" "&amp;'IND TECH'!B3260&amp;" "&amp;'IND TECH'!C3260&amp;" "&amp;'IND TECH'!D3260&amp;" "&amp;'IND TECH'!E3260&amp;" "&amp;'IND TECH'!F3260&amp;" "&amp;'IND TECH'!G3260&amp;" "&amp;'IND TECH'!H3260</f>
        <v xml:space="preserve">       </v>
      </c>
      <c r="E3262" t="e">
        <f t="shared" si="31"/>
        <v>#REF!</v>
      </c>
      <c r="F3262" t="e">
        <f>'IND TECH'!#REF!</f>
        <v>#REF!</v>
      </c>
    </row>
    <row r="3263" spans="3:6" x14ac:dyDescent="0.25">
      <c r="C3263">
        <f>'IND TECH'!L3261</f>
        <v>0</v>
      </c>
      <c r="D3263" t="str">
        <f>'IND TECH'!A3261&amp;" "&amp;'IND TECH'!B3261&amp;" "&amp;'IND TECH'!C3261&amp;" "&amp;'IND TECH'!D3261&amp;" "&amp;'IND TECH'!E3261&amp;" "&amp;'IND TECH'!F3261&amp;" "&amp;'IND TECH'!G3261&amp;" "&amp;'IND TECH'!H3261</f>
        <v xml:space="preserve">       </v>
      </c>
      <c r="E3263" t="e">
        <f t="shared" si="31"/>
        <v>#REF!</v>
      </c>
      <c r="F3263" t="e">
        <f>'IND TECH'!#REF!</f>
        <v>#REF!</v>
      </c>
    </row>
    <row r="3264" spans="3:6" x14ac:dyDescent="0.25">
      <c r="C3264">
        <f>'IND TECH'!L3262</f>
        <v>0</v>
      </c>
      <c r="D3264" t="str">
        <f>'IND TECH'!A3262&amp;" "&amp;'IND TECH'!B3262&amp;" "&amp;'IND TECH'!C3262&amp;" "&amp;'IND TECH'!D3262&amp;" "&amp;'IND TECH'!E3262&amp;" "&amp;'IND TECH'!F3262&amp;" "&amp;'IND TECH'!G3262&amp;" "&amp;'IND TECH'!H3262</f>
        <v xml:space="preserve">       </v>
      </c>
      <c r="E3264" t="e">
        <f t="shared" si="31"/>
        <v>#REF!</v>
      </c>
      <c r="F3264" t="e">
        <f>'IND TECH'!#REF!</f>
        <v>#REF!</v>
      </c>
    </row>
    <row r="3265" spans="3:6" x14ac:dyDescent="0.25">
      <c r="C3265">
        <f>'IND TECH'!L3263</f>
        <v>0</v>
      </c>
      <c r="D3265" t="str">
        <f>'IND TECH'!A3263&amp;" "&amp;'IND TECH'!B3263&amp;" "&amp;'IND TECH'!C3263&amp;" "&amp;'IND TECH'!D3263&amp;" "&amp;'IND TECH'!E3263&amp;" "&amp;'IND TECH'!F3263&amp;" "&amp;'IND TECH'!G3263&amp;" "&amp;'IND TECH'!H3263</f>
        <v xml:space="preserve">       </v>
      </c>
      <c r="E3265" t="e">
        <f t="shared" si="31"/>
        <v>#REF!</v>
      </c>
      <c r="F3265" t="e">
        <f>'IND TECH'!#REF!</f>
        <v>#REF!</v>
      </c>
    </row>
    <row r="3266" spans="3:6" x14ac:dyDescent="0.25">
      <c r="C3266">
        <f>'IND TECH'!L3264</f>
        <v>0</v>
      </c>
      <c r="D3266" t="str">
        <f>'IND TECH'!A3264&amp;" "&amp;'IND TECH'!B3264&amp;" "&amp;'IND TECH'!C3264&amp;" "&amp;'IND TECH'!D3264&amp;" "&amp;'IND TECH'!E3264&amp;" "&amp;'IND TECH'!F3264&amp;" "&amp;'IND TECH'!G3264&amp;" "&amp;'IND TECH'!H3264</f>
        <v xml:space="preserve">       </v>
      </c>
      <c r="E3266" t="e">
        <f t="shared" si="31"/>
        <v>#REF!</v>
      </c>
      <c r="F3266" t="e">
        <f>'IND TECH'!#REF!</f>
        <v>#REF!</v>
      </c>
    </row>
    <row r="3267" spans="3:6" x14ac:dyDescent="0.25">
      <c r="C3267">
        <f>'IND TECH'!L3265</f>
        <v>0</v>
      </c>
      <c r="D3267" t="str">
        <f>'IND TECH'!A3265&amp;" "&amp;'IND TECH'!B3265&amp;" "&amp;'IND TECH'!C3265&amp;" "&amp;'IND TECH'!D3265&amp;" "&amp;'IND TECH'!E3265&amp;" "&amp;'IND TECH'!F3265&amp;" "&amp;'IND TECH'!G3265&amp;" "&amp;'IND TECH'!H3265</f>
        <v xml:space="preserve">       </v>
      </c>
      <c r="E3267" t="e">
        <f t="shared" si="31"/>
        <v>#REF!</v>
      </c>
      <c r="F3267" t="e">
        <f>'IND TECH'!#REF!</f>
        <v>#REF!</v>
      </c>
    </row>
    <row r="3268" spans="3:6" x14ac:dyDescent="0.25">
      <c r="C3268">
        <f>'IND TECH'!L3266</f>
        <v>0</v>
      </c>
      <c r="D3268" t="str">
        <f>'IND TECH'!A3266&amp;" "&amp;'IND TECH'!B3266&amp;" "&amp;'IND TECH'!C3266&amp;" "&amp;'IND TECH'!D3266&amp;" "&amp;'IND TECH'!E3266&amp;" "&amp;'IND TECH'!F3266&amp;" "&amp;'IND TECH'!G3266&amp;" "&amp;'IND TECH'!H3266</f>
        <v xml:space="preserve">       </v>
      </c>
      <c r="E3268" t="e">
        <f t="shared" si="31"/>
        <v>#REF!</v>
      </c>
      <c r="F3268" t="e">
        <f>'IND TECH'!#REF!</f>
        <v>#REF!</v>
      </c>
    </row>
    <row r="3269" spans="3:6" x14ac:dyDescent="0.25">
      <c r="C3269">
        <f>'IND TECH'!L3267</f>
        <v>0</v>
      </c>
      <c r="D3269" t="str">
        <f>'IND TECH'!A3267&amp;" "&amp;'IND TECH'!B3267&amp;" "&amp;'IND TECH'!C3267&amp;" "&amp;'IND TECH'!D3267&amp;" "&amp;'IND TECH'!E3267&amp;" "&amp;'IND TECH'!F3267&amp;" "&amp;'IND TECH'!G3267&amp;" "&amp;'IND TECH'!H3267</f>
        <v xml:space="preserve">       </v>
      </c>
      <c r="E3269" t="e">
        <f t="shared" si="31"/>
        <v>#REF!</v>
      </c>
      <c r="F3269" t="e">
        <f>'IND TECH'!#REF!</f>
        <v>#REF!</v>
      </c>
    </row>
    <row r="3270" spans="3:6" x14ac:dyDescent="0.25">
      <c r="C3270">
        <f>'IND TECH'!L3268</f>
        <v>0</v>
      </c>
      <c r="D3270" t="str">
        <f>'IND TECH'!A3268&amp;" "&amp;'IND TECH'!B3268&amp;" "&amp;'IND TECH'!C3268&amp;" "&amp;'IND TECH'!D3268&amp;" "&amp;'IND TECH'!E3268&amp;" "&amp;'IND TECH'!F3268&amp;" "&amp;'IND TECH'!G3268&amp;" "&amp;'IND TECH'!H3268</f>
        <v xml:space="preserve">       </v>
      </c>
      <c r="E3270" t="e">
        <f t="shared" si="31"/>
        <v>#REF!</v>
      </c>
      <c r="F3270" t="e">
        <f>'IND TECH'!#REF!</f>
        <v>#REF!</v>
      </c>
    </row>
    <row r="3271" spans="3:6" x14ac:dyDescent="0.25">
      <c r="C3271">
        <f>'IND TECH'!L3269</f>
        <v>0</v>
      </c>
      <c r="D3271" t="str">
        <f>'IND TECH'!A3269&amp;" "&amp;'IND TECH'!B3269&amp;" "&amp;'IND TECH'!C3269&amp;" "&amp;'IND TECH'!D3269&amp;" "&amp;'IND TECH'!E3269&amp;" "&amp;'IND TECH'!F3269&amp;" "&amp;'IND TECH'!G3269&amp;" "&amp;'IND TECH'!H3269</f>
        <v xml:space="preserve">       </v>
      </c>
      <c r="E3271" t="e">
        <f t="shared" si="31"/>
        <v>#REF!</v>
      </c>
      <c r="F3271" t="e">
        <f>'IND TECH'!#REF!</f>
        <v>#REF!</v>
      </c>
    </row>
    <row r="3272" spans="3:6" x14ac:dyDescent="0.25">
      <c r="C3272">
        <f>'IND TECH'!L3270</f>
        <v>0</v>
      </c>
      <c r="D3272" t="str">
        <f>'IND TECH'!A3270&amp;" "&amp;'IND TECH'!B3270&amp;" "&amp;'IND TECH'!C3270&amp;" "&amp;'IND TECH'!D3270&amp;" "&amp;'IND TECH'!E3270&amp;" "&amp;'IND TECH'!F3270&amp;" "&amp;'IND TECH'!G3270&amp;" "&amp;'IND TECH'!H3270</f>
        <v xml:space="preserve">       </v>
      </c>
      <c r="E3272" t="e">
        <f t="shared" si="31"/>
        <v>#REF!</v>
      </c>
      <c r="F3272" t="e">
        <f>'IND TECH'!#REF!</f>
        <v>#REF!</v>
      </c>
    </row>
    <row r="3273" spans="3:6" x14ac:dyDescent="0.25">
      <c r="C3273">
        <f>'IND TECH'!L3271</f>
        <v>0</v>
      </c>
      <c r="D3273" t="str">
        <f>'IND TECH'!A3271&amp;" "&amp;'IND TECH'!B3271&amp;" "&amp;'IND TECH'!C3271&amp;" "&amp;'IND TECH'!D3271&amp;" "&amp;'IND TECH'!E3271&amp;" "&amp;'IND TECH'!F3271&amp;" "&amp;'IND TECH'!G3271&amp;" "&amp;'IND TECH'!H3271</f>
        <v xml:space="preserve">       </v>
      </c>
      <c r="E3273" t="e">
        <f t="shared" si="31"/>
        <v>#REF!</v>
      </c>
      <c r="F3273" t="e">
        <f>'IND TECH'!#REF!</f>
        <v>#REF!</v>
      </c>
    </row>
    <row r="3274" spans="3:6" x14ac:dyDescent="0.25">
      <c r="C3274">
        <f>'IND TECH'!L3272</f>
        <v>0</v>
      </c>
      <c r="D3274" t="str">
        <f>'IND TECH'!A3272&amp;" "&amp;'IND TECH'!B3272&amp;" "&amp;'IND TECH'!C3272&amp;" "&amp;'IND TECH'!D3272&amp;" "&amp;'IND TECH'!E3272&amp;" "&amp;'IND TECH'!F3272&amp;" "&amp;'IND TECH'!G3272&amp;" "&amp;'IND TECH'!H3272</f>
        <v xml:space="preserve">       </v>
      </c>
      <c r="E3274" t="e">
        <f t="shared" si="31"/>
        <v>#REF!</v>
      </c>
      <c r="F3274" t="e">
        <f>'IND TECH'!#REF!</f>
        <v>#REF!</v>
      </c>
    </row>
    <row r="3275" spans="3:6" x14ac:dyDescent="0.25">
      <c r="C3275">
        <f>'IND TECH'!L3273</f>
        <v>0</v>
      </c>
      <c r="D3275" t="str">
        <f>'IND TECH'!A3273&amp;" "&amp;'IND TECH'!B3273&amp;" "&amp;'IND TECH'!C3273&amp;" "&amp;'IND TECH'!D3273&amp;" "&amp;'IND TECH'!E3273&amp;" "&amp;'IND TECH'!F3273&amp;" "&amp;'IND TECH'!G3273&amp;" "&amp;'IND TECH'!H3273</f>
        <v xml:space="preserve">       </v>
      </c>
      <c r="E3275" t="e">
        <f t="shared" si="31"/>
        <v>#REF!</v>
      </c>
      <c r="F3275" t="e">
        <f>'IND TECH'!#REF!</f>
        <v>#REF!</v>
      </c>
    </row>
    <row r="3276" spans="3:6" x14ac:dyDescent="0.25">
      <c r="C3276">
        <f>'IND TECH'!L3274</f>
        <v>0</v>
      </c>
      <c r="D3276" t="str">
        <f>'IND TECH'!A3274&amp;" "&amp;'IND TECH'!B3274&amp;" "&amp;'IND TECH'!C3274&amp;" "&amp;'IND TECH'!D3274&amp;" "&amp;'IND TECH'!E3274&amp;" "&amp;'IND TECH'!F3274&amp;" "&amp;'IND TECH'!G3274&amp;" "&amp;'IND TECH'!H3274</f>
        <v xml:space="preserve">       </v>
      </c>
      <c r="E3276" t="e">
        <f t="shared" si="31"/>
        <v>#REF!</v>
      </c>
      <c r="F3276" t="e">
        <f>'IND TECH'!#REF!</f>
        <v>#REF!</v>
      </c>
    </row>
    <row r="3277" spans="3:6" x14ac:dyDescent="0.25">
      <c r="C3277">
        <f>'IND TECH'!L3275</f>
        <v>0</v>
      </c>
      <c r="D3277" t="str">
        <f>'IND TECH'!A3275&amp;" "&amp;'IND TECH'!B3275&amp;" "&amp;'IND TECH'!C3275&amp;" "&amp;'IND TECH'!D3275&amp;" "&amp;'IND TECH'!E3275&amp;" "&amp;'IND TECH'!F3275&amp;" "&amp;'IND TECH'!G3275&amp;" "&amp;'IND TECH'!H3275</f>
        <v xml:space="preserve">       </v>
      </c>
      <c r="E3277" t="e">
        <f t="shared" ref="E3277:E3340" si="32">IF(F3277="Mlma","Mlm","TJ")</f>
        <v>#REF!</v>
      </c>
      <c r="F3277" t="e">
        <f>'IND TECH'!#REF!</f>
        <v>#REF!</v>
      </c>
    </row>
    <row r="3278" spans="3:6" x14ac:dyDescent="0.25">
      <c r="C3278">
        <f>'IND TECH'!L3276</f>
        <v>0</v>
      </c>
      <c r="D3278" t="str">
        <f>'IND TECH'!A3276&amp;" "&amp;'IND TECH'!B3276&amp;" "&amp;'IND TECH'!C3276&amp;" "&amp;'IND TECH'!D3276&amp;" "&amp;'IND TECH'!E3276&amp;" "&amp;'IND TECH'!F3276&amp;" "&amp;'IND TECH'!G3276&amp;" "&amp;'IND TECH'!H3276</f>
        <v xml:space="preserve">       </v>
      </c>
      <c r="E3278" t="e">
        <f t="shared" si="32"/>
        <v>#REF!</v>
      </c>
      <c r="F3278" t="e">
        <f>'IND TECH'!#REF!</f>
        <v>#REF!</v>
      </c>
    </row>
    <row r="3279" spans="3:6" x14ac:dyDescent="0.25">
      <c r="C3279">
        <f>'IND TECH'!L3277</f>
        <v>0</v>
      </c>
      <c r="D3279" t="str">
        <f>'IND TECH'!A3277&amp;" "&amp;'IND TECH'!B3277&amp;" "&amp;'IND TECH'!C3277&amp;" "&amp;'IND TECH'!D3277&amp;" "&amp;'IND TECH'!E3277&amp;" "&amp;'IND TECH'!F3277&amp;" "&amp;'IND TECH'!G3277&amp;" "&amp;'IND TECH'!H3277</f>
        <v xml:space="preserve">       </v>
      </c>
      <c r="E3279" t="e">
        <f t="shared" si="32"/>
        <v>#REF!</v>
      </c>
      <c r="F3279" t="e">
        <f>'IND TECH'!#REF!</f>
        <v>#REF!</v>
      </c>
    </row>
    <row r="3280" spans="3:6" x14ac:dyDescent="0.25">
      <c r="C3280">
        <f>'IND TECH'!L3278</f>
        <v>0</v>
      </c>
      <c r="D3280" t="str">
        <f>'IND TECH'!A3278&amp;" "&amp;'IND TECH'!B3278&amp;" "&amp;'IND TECH'!C3278&amp;" "&amp;'IND TECH'!D3278&amp;" "&amp;'IND TECH'!E3278&amp;" "&amp;'IND TECH'!F3278&amp;" "&amp;'IND TECH'!G3278&amp;" "&amp;'IND TECH'!H3278</f>
        <v xml:space="preserve">       </v>
      </c>
      <c r="E3280" t="e">
        <f t="shared" si="32"/>
        <v>#REF!</v>
      </c>
      <c r="F3280" t="e">
        <f>'IND TECH'!#REF!</f>
        <v>#REF!</v>
      </c>
    </row>
    <row r="3281" spans="3:6" x14ac:dyDescent="0.25">
      <c r="C3281">
        <f>'IND TECH'!L3279</f>
        <v>0</v>
      </c>
      <c r="D3281" t="str">
        <f>'IND TECH'!A3279&amp;" "&amp;'IND TECH'!B3279&amp;" "&amp;'IND TECH'!C3279&amp;" "&amp;'IND TECH'!D3279&amp;" "&amp;'IND TECH'!E3279&amp;" "&amp;'IND TECH'!F3279&amp;" "&amp;'IND TECH'!G3279&amp;" "&amp;'IND TECH'!H3279</f>
        <v xml:space="preserve">       </v>
      </c>
      <c r="E3281" t="e">
        <f t="shared" si="32"/>
        <v>#REF!</v>
      </c>
      <c r="F3281" t="e">
        <f>'IND TECH'!#REF!</f>
        <v>#REF!</v>
      </c>
    </row>
    <row r="3282" spans="3:6" x14ac:dyDescent="0.25">
      <c r="C3282">
        <f>'IND TECH'!L3280</f>
        <v>0</v>
      </c>
      <c r="D3282" t="str">
        <f>'IND TECH'!A3280&amp;" "&amp;'IND TECH'!B3280&amp;" "&amp;'IND TECH'!C3280&amp;" "&amp;'IND TECH'!D3280&amp;" "&amp;'IND TECH'!E3280&amp;" "&amp;'IND TECH'!F3280&amp;" "&amp;'IND TECH'!G3280&amp;" "&amp;'IND TECH'!H3280</f>
        <v xml:space="preserve">       </v>
      </c>
      <c r="E3282" t="e">
        <f t="shared" si="32"/>
        <v>#REF!</v>
      </c>
      <c r="F3282" t="e">
        <f>'IND TECH'!#REF!</f>
        <v>#REF!</v>
      </c>
    </row>
    <row r="3283" spans="3:6" x14ac:dyDescent="0.25">
      <c r="C3283">
        <f>'IND TECH'!L3281</f>
        <v>0</v>
      </c>
      <c r="D3283" t="str">
        <f>'IND TECH'!A3281&amp;" "&amp;'IND TECH'!B3281&amp;" "&amp;'IND TECH'!C3281&amp;" "&amp;'IND TECH'!D3281&amp;" "&amp;'IND TECH'!E3281&amp;" "&amp;'IND TECH'!F3281&amp;" "&amp;'IND TECH'!G3281&amp;" "&amp;'IND TECH'!H3281</f>
        <v xml:space="preserve">       </v>
      </c>
      <c r="E3283" t="e">
        <f t="shared" si="32"/>
        <v>#REF!</v>
      </c>
      <c r="F3283" t="e">
        <f>'IND TECH'!#REF!</f>
        <v>#REF!</v>
      </c>
    </row>
    <row r="3284" spans="3:6" x14ac:dyDescent="0.25">
      <c r="C3284">
        <f>'IND TECH'!L3282</f>
        <v>0</v>
      </c>
      <c r="D3284" t="str">
        <f>'IND TECH'!A3282&amp;" "&amp;'IND TECH'!B3282&amp;" "&amp;'IND TECH'!C3282&amp;" "&amp;'IND TECH'!D3282&amp;" "&amp;'IND TECH'!E3282&amp;" "&amp;'IND TECH'!F3282&amp;" "&amp;'IND TECH'!G3282&amp;" "&amp;'IND TECH'!H3282</f>
        <v xml:space="preserve">       </v>
      </c>
      <c r="E3284" t="e">
        <f t="shared" si="32"/>
        <v>#REF!</v>
      </c>
      <c r="F3284" t="e">
        <f>'IND TECH'!#REF!</f>
        <v>#REF!</v>
      </c>
    </row>
    <row r="3285" spans="3:6" x14ac:dyDescent="0.25">
      <c r="C3285">
        <f>'IND TECH'!L3283</f>
        <v>0</v>
      </c>
      <c r="D3285" t="str">
        <f>'IND TECH'!A3283&amp;" "&amp;'IND TECH'!B3283&amp;" "&amp;'IND TECH'!C3283&amp;" "&amp;'IND TECH'!D3283&amp;" "&amp;'IND TECH'!E3283&amp;" "&amp;'IND TECH'!F3283&amp;" "&amp;'IND TECH'!G3283&amp;" "&amp;'IND TECH'!H3283</f>
        <v xml:space="preserve">       </v>
      </c>
      <c r="E3285" t="e">
        <f t="shared" si="32"/>
        <v>#REF!</v>
      </c>
      <c r="F3285" t="e">
        <f>'IND TECH'!#REF!</f>
        <v>#REF!</v>
      </c>
    </row>
    <row r="3286" spans="3:6" x14ac:dyDescent="0.25">
      <c r="C3286">
        <f>'IND TECH'!L3284</f>
        <v>0</v>
      </c>
      <c r="D3286" t="str">
        <f>'IND TECH'!A3284&amp;" "&amp;'IND TECH'!B3284&amp;" "&amp;'IND TECH'!C3284&amp;" "&amp;'IND TECH'!D3284&amp;" "&amp;'IND TECH'!E3284&amp;" "&amp;'IND TECH'!F3284&amp;" "&amp;'IND TECH'!G3284&amp;" "&amp;'IND TECH'!H3284</f>
        <v xml:space="preserve">       </v>
      </c>
      <c r="E3286" t="e">
        <f t="shared" si="32"/>
        <v>#REF!</v>
      </c>
      <c r="F3286" t="e">
        <f>'IND TECH'!#REF!</f>
        <v>#REF!</v>
      </c>
    </row>
    <row r="3287" spans="3:6" x14ac:dyDescent="0.25">
      <c r="C3287">
        <f>'IND TECH'!L3285</f>
        <v>0</v>
      </c>
      <c r="D3287" t="str">
        <f>'IND TECH'!A3285&amp;" "&amp;'IND TECH'!B3285&amp;" "&amp;'IND TECH'!C3285&amp;" "&amp;'IND TECH'!D3285&amp;" "&amp;'IND TECH'!E3285&amp;" "&amp;'IND TECH'!F3285&amp;" "&amp;'IND TECH'!G3285&amp;" "&amp;'IND TECH'!H3285</f>
        <v xml:space="preserve">       </v>
      </c>
      <c r="E3287" t="e">
        <f t="shared" si="32"/>
        <v>#REF!</v>
      </c>
      <c r="F3287" t="e">
        <f>'IND TECH'!#REF!</f>
        <v>#REF!</v>
      </c>
    </row>
    <row r="3288" spans="3:6" x14ac:dyDescent="0.25">
      <c r="C3288">
        <f>'IND TECH'!L3286</f>
        <v>0</v>
      </c>
      <c r="D3288" t="str">
        <f>'IND TECH'!A3286&amp;" "&amp;'IND TECH'!B3286&amp;" "&amp;'IND TECH'!C3286&amp;" "&amp;'IND TECH'!D3286&amp;" "&amp;'IND TECH'!E3286&amp;" "&amp;'IND TECH'!F3286&amp;" "&amp;'IND TECH'!G3286&amp;" "&amp;'IND TECH'!H3286</f>
        <v xml:space="preserve">       </v>
      </c>
      <c r="E3288" t="e">
        <f t="shared" si="32"/>
        <v>#REF!</v>
      </c>
      <c r="F3288" t="e">
        <f>'IND TECH'!#REF!</f>
        <v>#REF!</v>
      </c>
    </row>
    <row r="3289" spans="3:6" x14ac:dyDescent="0.25">
      <c r="C3289">
        <f>'IND TECH'!L3287</f>
        <v>0</v>
      </c>
      <c r="D3289" t="str">
        <f>'IND TECH'!A3287&amp;" "&amp;'IND TECH'!B3287&amp;" "&amp;'IND TECH'!C3287&amp;" "&amp;'IND TECH'!D3287&amp;" "&amp;'IND TECH'!E3287&amp;" "&amp;'IND TECH'!F3287&amp;" "&amp;'IND TECH'!G3287&amp;" "&amp;'IND TECH'!H3287</f>
        <v xml:space="preserve">       </v>
      </c>
      <c r="E3289" t="e">
        <f t="shared" si="32"/>
        <v>#REF!</v>
      </c>
      <c r="F3289" t="e">
        <f>'IND TECH'!#REF!</f>
        <v>#REF!</v>
      </c>
    </row>
    <row r="3290" spans="3:6" x14ac:dyDescent="0.25">
      <c r="C3290">
        <f>'IND TECH'!L3288</f>
        <v>0</v>
      </c>
      <c r="D3290" t="str">
        <f>'IND TECH'!A3288&amp;" "&amp;'IND TECH'!B3288&amp;" "&amp;'IND TECH'!C3288&amp;" "&amp;'IND TECH'!D3288&amp;" "&amp;'IND TECH'!E3288&amp;" "&amp;'IND TECH'!F3288&amp;" "&amp;'IND TECH'!G3288&amp;" "&amp;'IND TECH'!H3288</f>
        <v xml:space="preserve">       </v>
      </c>
      <c r="E3290" t="e">
        <f t="shared" si="32"/>
        <v>#REF!</v>
      </c>
      <c r="F3290" t="e">
        <f>'IND TECH'!#REF!</f>
        <v>#REF!</v>
      </c>
    </row>
    <row r="3291" spans="3:6" x14ac:dyDescent="0.25">
      <c r="C3291">
        <f>'IND TECH'!L3289</f>
        <v>0</v>
      </c>
      <c r="D3291" t="str">
        <f>'IND TECH'!A3289&amp;" "&amp;'IND TECH'!B3289&amp;" "&amp;'IND TECH'!C3289&amp;" "&amp;'IND TECH'!D3289&amp;" "&amp;'IND TECH'!E3289&amp;" "&amp;'IND TECH'!F3289&amp;" "&amp;'IND TECH'!G3289&amp;" "&amp;'IND TECH'!H3289</f>
        <v xml:space="preserve">       </v>
      </c>
      <c r="E3291" t="e">
        <f t="shared" si="32"/>
        <v>#REF!</v>
      </c>
      <c r="F3291" t="e">
        <f>'IND TECH'!#REF!</f>
        <v>#REF!</v>
      </c>
    </row>
    <row r="3292" spans="3:6" x14ac:dyDescent="0.25">
      <c r="C3292">
        <f>'IND TECH'!L3290</f>
        <v>0</v>
      </c>
      <c r="D3292" t="str">
        <f>'IND TECH'!A3290&amp;" "&amp;'IND TECH'!B3290&amp;" "&amp;'IND TECH'!C3290&amp;" "&amp;'IND TECH'!D3290&amp;" "&amp;'IND TECH'!E3290&amp;" "&amp;'IND TECH'!F3290&amp;" "&amp;'IND TECH'!G3290&amp;" "&amp;'IND TECH'!H3290</f>
        <v xml:space="preserve">       </v>
      </c>
      <c r="E3292" t="e">
        <f t="shared" si="32"/>
        <v>#REF!</v>
      </c>
      <c r="F3292" t="e">
        <f>'IND TECH'!#REF!</f>
        <v>#REF!</v>
      </c>
    </row>
    <row r="3293" spans="3:6" x14ac:dyDescent="0.25">
      <c r="C3293">
        <f>'IND TECH'!L3291</f>
        <v>0</v>
      </c>
      <c r="D3293" t="str">
        <f>'IND TECH'!A3291&amp;" "&amp;'IND TECH'!B3291&amp;" "&amp;'IND TECH'!C3291&amp;" "&amp;'IND TECH'!D3291&amp;" "&amp;'IND TECH'!E3291&amp;" "&amp;'IND TECH'!F3291&amp;" "&amp;'IND TECH'!G3291&amp;" "&amp;'IND TECH'!H3291</f>
        <v xml:space="preserve">       </v>
      </c>
      <c r="E3293" t="e">
        <f t="shared" si="32"/>
        <v>#REF!</v>
      </c>
      <c r="F3293" t="e">
        <f>'IND TECH'!#REF!</f>
        <v>#REF!</v>
      </c>
    </row>
    <row r="3294" spans="3:6" x14ac:dyDescent="0.25">
      <c r="C3294">
        <f>'IND TECH'!L3292</f>
        <v>0</v>
      </c>
      <c r="D3294" t="str">
        <f>'IND TECH'!A3292&amp;" "&amp;'IND TECH'!B3292&amp;" "&amp;'IND TECH'!C3292&amp;" "&amp;'IND TECH'!D3292&amp;" "&amp;'IND TECH'!E3292&amp;" "&amp;'IND TECH'!F3292&amp;" "&amp;'IND TECH'!G3292&amp;" "&amp;'IND TECH'!H3292</f>
        <v xml:space="preserve">       </v>
      </c>
      <c r="E3294" t="e">
        <f t="shared" si="32"/>
        <v>#REF!</v>
      </c>
      <c r="F3294" t="e">
        <f>'IND TECH'!#REF!</f>
        <v>#REF!</v>
      </c>
    </row>
    <row r="3295" spans="3:6" x14ac:dyDescent="0.25">
      <c r="C3295">
        <f>'IND TECH'!L3293</f>
        <v>0</v>
      </c>
      <c r="D3295" t="str">
        <f>'IND TECH'!A3293&amp;" "&amp;'IND TECH'!B3293&amp;" "&amp;'IND TECH'!C3293&amp;" "&amp;'IND TECH'!D3293&amp;" "&amp;'IND TECH'!E3293&amp;" "&amp;'IND TECH'!F3293&amp;" "&amp;'IND TECH'!G3293&amp;" "&amp;'IND TECH'!H3293</f>
        <v xml:space="preserve">       </v>
      </c>
      <c r="E3295" t="e">
        <f t="shared" si="32"/>
        <v>#REF!</v>
      </c>
      <c r="F3295" t="e">
        <f>'IND TECH'!#REF!</f>
        <v>#REF!</v>
      </c>
    </row>
    <row r="3296" spans="3:6" x14ac:dyDescent="0.25">
      <c r="C3296">
        <f>'IND TECH'!L3294</f>
        <v>0</v>
      </c>
      <c r="D3296" t="str">
        <f>'IND TECH'!A3294&amp;" "&amp;'IND TECH'!B3294&amp;" "&amp;'IND TECH'!C3294&amp;" "&amp;'IND TECH'!D3294&amp;" "&amp;'IND TECH'!E3294&amp;" "&amp;'IND TECH'!F3294&amp;" "&amp;'IND TECH'!G3294&amp;" "&amp;'IND TECH'!H3294</f>
        <v xml:space="preserve">       </v>
      </c>
      <c r="E3296" t="e">
        <f t="shared" si="32"/>
        <v>#REF!</v>
      </c>
      <c r="F3296" t="e">
        <f>'IND TECH'!#REF!</f>
        <v>#REF!</v>
      </c>
    </row>
    <row r="3297" spans="3:6" x14ac:dyDescent="0.25">
      <c r="C3297">
        <f>'IND TECH'!L3295</f>
        <v>0</v>
      </c>
      <c r="D3297" t="str">
        <f>'IND TECH'!A3295&amp;" "&amp;'IND TECH'!B3295&amp;" "&amp;'IND TECH'!C3295&amp;" "&amp;'IND TECH'!D3295&amp;" "&amp;'IND TECH'!E3295&amp;" "&amp;'IND TECH'!F3295&amp;" "&amp;'IND TECH'!G3295&amp;" "&amp;'IND TECH'!H3295</f>
        <v xml:space="preserve">       </v>
      </c>
      <c r="E3297" t="e">
        <f t="shared" si="32"/>
        <v>#REF!</v>
      </c>
      <c r="F3297" t="e">
        <f>'IND TECH'!#REF!</f>
        <v>#REF!</v>
      </c>
    </row>
    <row r="3298" spans="3:6" x14ac:dyDescent="0.25">
      <c r="C3298">
        <f>'IND TECH'!L3296</f>
        <v>0</v>
      </c>
      <c r="D3298" t="str">
        <f>'IND TECH'!A3296&amp;" "&amp;'IND TECH'!B3296&amp;" "&amp;'IND TECH'!C3296&amp;" "&amp;'IND TECH'!D3296&amp;" "&amp;'IND TECH'!E3296&amp;" "&amp;'IND TECH'!F3296&amp;" "&amp;'IND TECH'!G3296&amp;" "&amp;'IND TECH'!H3296</f>
        <v xml:space="preserve">       </v>
      </c>
      <c r="E3298" t="e">
        <f t="shared" si="32"/>
        <v>#REF!</v>
      </c>
      <c r="F3298" t="e">
        <f>'IND TECH'!#REF!</f>
        <v>#REF!</v>
      </c>
    </row>
    <row r="3299" spans="3:6" x14ac:dyDescent="0.25">
      <c r="C3299">
        <f>'IND TECH'!L3297</f>
        <v>0</v>
      </c>
      <c r="D3299" t="str">
        <f>'IND TECH'!A3297&amp;" "&amp;'IND TECH'!B3297&amp;" "&amp;'IND TECH'!C3297&amp;" "&amp;'IND TECH'!D3297&amp;" "&amp;'IND TECH'!E3297&amp;" "&amp;'IND TECH'!F3297&amp;" "&amp;'IND TECH'!G3297&amp;" "&amp;'IND TECH'!H3297</f>
        <v xml:space="preserve">       </v>
      </c>
      <c r="E3299" t="e">
        <f t="shared" si="32"/>
        <v>#REF!</v>
      </c>
      <c r="F3299" t="e">
        <f>'IND TECH'!#REF!</f>
        <v>#REF!</v>
      </c>
    </row>
    <row r="3300" spans="3:6" x14ac:dyDescent="0.25">
      <c r="C3300">
        <f>'IND TECH'!L3298</f>
        <v>0</v>
      </c>
      <c r="D3300" t="str">
        <f>'IND TECH'!A3298&amp;" "&amp;'IND TECH'!B3298&amp;" "&amp;'IND TECH'!C3298&amp;" "&amp;'IND TECH'!D3298&amp;" "&amp;'IND TECH'!E3298&amp;" "&amp;'IND TECH'!F3298&amp;" "&amp;'IND TECH'!G3298&amp;" "&amp;'IND TECH'!H3298</f>
        <v xml:space="preserve">       </v>
      </c>
      <c r="E3300" t="e">
        <f t="shared" si="32"/>
        <v>#REF!</v>
      </c>
      <c r="F3300" t="e">
        <f>'IND TECH'!#REF!</f>
        <v>#REF!</v>
      </c>
    </row>
    <row r="3301" spans="3:6" x14ac:dyDescent="0.25">
      <c r="C3301">
        <f>'IND TECH'!L3299</f>
        <v>0</v>
      </c>
      <c r="D3301" t="str">
        <f>'IND TECH'!A3299&amp;" "&amp;'IND TECH'!B3299&amp;" "&amp;'IND TECH'!C3299&amp;" "&amp;'IND TECH'!D3299&amp;" "&amp;'IND TECH'!E3299&amp;" "&amp;'IND TECH'!F3299&amp;" "&amp;'IND TECH'!G3299&amp;" "&amp;'IND TECH'!H3299</f>
        <v xml:space="preserve">       </v>
      </c>
      <c r="E3301" t="e">
        <f t="shared" si="32"/>
        <v>#REF!</v>
      </c>
      <c r="F3301" t="e">
        <f>'IND TECH'!#REF!</f>
        <v>#REF!</v>
      </c>
    </row>
    <row r="3302" spans="3:6" x14ac:dyDescent="0.25">
      <c r="C3302">
        <f>'IND TECH'!L3300</f>
        <v>0</v>
      </c>
      <c r="D3302" t="str">
        <f>'IND TECH'!A3300&amp;" "&amp;'IND TECH'!B3300&amp;" "&amp;'IND TECH'!C3300&amp;" "&amp;'IND TECH'!D3300&amp;" "&amp;'IND TECH'!E3300&amp;" "&amp;'IND TECH'!F3300&amp;" "&amp;'IND TECH'!G3300&amp;" "&amp;'IND TECH'!H3300</f>
        <v xml:space="preserve">       </v>
      </c>
      <c r="E3302" t="e">
        <f t="shared" si="32"/>
        <v>#REF!</v>
      </c>
      <c r="F3302" t="e">
        <f>'IND TECH'!#REF!</f>
        <v>#REF!</v>
      </c>
    </row>
    <row r="3303" spans="3:6" x14ac:dyDescent="0.25">
      <c r="C3303">
        <f>'IND TECH'!L3301</f>
        <v>0</v>
      </c>
      <c r="D3303" t="str">
        <f>'IND TECH'!A3301&amp;" "&amp;'IND TECH'!B3301&amp;" "&amp;'IND TECH'!C3301&amp;" "&amp;'IND TECH'!D3301&amp;" "&amp;'IND TECH'!E3301&amp;" "&amp;'IND TECH'!F3301&amp;" "&amp;'IND TECH'!G3301&amp;" "&amp;'IND TECH'!H3301</f>
        <v xml:space="preserve">       </v>
      </c>
      <c r="E3303" t="e">
        <f t="shared" si="32"/>
        <v>#REF!</v>
      </c>
      <c r="F3303" t="e">
        <f>'IND TECH'!#REF!</f>
        <v>#REF!</v>
      </c>
    </row>
    <row r="3304" spans="3:6" x14ac:dyDescent="0.25">
      <c r="C3304">
        <f>'IND TECH'!L3302</f>
        <v>0</v>
      </c>
      <c r="D3304" t="str">
        <f>'IND TECH'!A3302&amp;" "&amp;'IND TECH'!B3302&amp;" "&amp;'IND TECH'!C3302&amp;" "&amp;'IND TECH'!D3302&amp;" "&amp;'IND TECH'!E3302&amp;" "&amp;'IND TECH'!F3302&amp;" "&amp;'IND TECH'!G3302&amp;" "&amp;'IND TECH'!H3302</f>
        <v xml:space="preserve">       </v>
      </c>
      <c r="E3304" t="e">
        <f t="shared" si="32"/>
        <v>#REF!</v>
      </c>
      <c r="F3304" t="e">
        <f>'IND TECH'!#REF!</f>
        <v>#REF!</v>
      </c>
    </row>
    <row r="3305" spans="3:6" x14ac:dyDescent="0.25">
      <c r="C3305">
        <f>'IND TECH'!L3303</f>
        <v>0</v>
      </c>
      <c r="D3305" t="str">
        <f>'IND TECH'!A3303&amp;" "&amp;'IND TECH'!B3303&amp;" "&amp;'IND TECH'!C3303&amp;" "&amp;'IND TECH'!D3303&amp;" "&amp;'IND TECH'!E3303&amp;" "&amp;'IND TECH'!F3303&amp;" "&amp;'IND TECH'!G3303&amp;" "&amp;'IND TECH'!H3303</f>
        <v xml:space="preserve">       </v>
      </c>
      <c r="E3305" t="e">
        <f t="shared" si="32"/>
        <v>#REF!</v>
      </c>
      <c r="F3305" t="e">
        <f>'IND TECH'!#REF!</f>
        <v>#REF!</v>
      </c>
    </row>
    <row r="3306" spans="3:6" x14ac:dyDescent="0.25">
      <c r="C3306">
        <f>'IND TECH'!L3304</f>
        <v>0</v>
      </c>
      <c r="D3306" t="str">
        <f>'IND TECH'!A3304&amp;" "&amp;'IND TECH'!B3304&amp;" "&amp;'IND TECH'!C3304&amp;" "&amp;'IND TECH'!D3304&amp;" "&amp;'IND TECH'!E3304&amp;" "&amp;'IND TECH'!F3304&amp;" "&amp;'IND TECH'!G3304&amp;" "&amp;'IND TECH'!H3304</f>
        <v xml:space="preserve">       </v>
      </c>
      <c r="E3306" t="e">
        <f t="shared" si="32"/>
        <v>#REF!</v>
      </c>
      <c r="F3306" t="e">
        <f>'IND TECH'!#REF!</f>
        <v>#REF!</v>
      </c>
    </row>
    <row r="3307" spans="3:6" x14ac:dyDescent="0.25">
      <c r="C3307">
        <f>'IND TECH'!L3305</f>
        <v>0</v>
      </c>
      <c r="D3307" t="str">
        <f>'IND TECH'!A3305&amp;" "&amp;'IND TECH'!B3305&amp;" "&amp;'IND TECH'!C3305&amp;" "&amp;'IND TECH'!D3305&amp;" "&amp;'IND TECH'!E3305&amp;" "&amp;'IND TECH'!F3305&amp;" "&amp;'IND TECH'!G3305&amp;" "&amp;'IND TECH'!H3305</f>
        <v xml:space="preserve">       </v>
      </c>
      <c r="E3307" t="e">
        <f t="shared" si="32"/>
        <v>#REF!</v>
      </c>
      <c r="F3307" t="e">
        <f>'IND TECH'!#REF!</f>
        <v>#REF!</v>
      </c>
    </row>
    <row r="3308" spans="3:6" x14ac:dyDescent="0.25">
      <c r="C3308">
        <f>'IND TECH'!L3306</f>
        <v>0</v>
      </c>
      <c r="D3308" t="str">
        <f>'IND TECH'!A3306&amp;" "&amp;'IND TECH'!B3306&amp;" "&amp;'IND TECH'!C3306&amp;" "&amp;'IND TECH'!D3306&amp;" "&amp;'IND TECH'!E3306&amp;" "&amp;'IND TECH'!F3306&amp;" "&amp;'IND TECH'!G3306&amp;" "&amp;'IND TECH'!H3306</f>
        <v xml:space="preserve">       </v>
      </c>
      <c r="E3308" t="e">
        <f t="shared" si="32"/>
        <v>#REF!</v>
      </c>
      <c r="F3308" t="e">
        <f>'IND TECH'!#REF!</f>
        <v>#REF!</v>
      </c>
    </row>
    <row r="3309" spans="3:6" x14ac:dyDescent="0.25">
      <c r="C3309">
        <f>'IND TECH'!L3307</f>
        <v>0</v>
      </c>
      <c r="D3309" t="str">
        <f>'IND TECH'!A3307&amp;" "&amp;'IND TECH'!B3307&amp;" "&amp;'IND TECH'!C3307&amp;" "&amp;'IND TECH'!D3307&amp;" "&amp;'IND TECH'!E3307&amp;" "&amp;'IND TECH'!F3307&amp;" "&amp;'IND TECH'!G3307&amp;" "&amp;'IND TECH'!H3307</f>
        <v xml:space="preserve">       </v>
      </c>
      <c r="E3309" t="e">
        <f t="shared" si="32"/>
        <v>#REF!</v>
      </c>
      <c r="F3309" t="e">
        <f>'IND TECH'!#REF!</f>
        <v>#REF!</v>
      </c>
    </row>
    <row r="3310" spans="3:6" x14ac:dyDescent="0.25">
      <c r="C3310">
        <f>'IND TECH'!L3308</f>
        <v>0</v>
      </c>
      <c r="D3310" t="str">
        <f>'IND TECH'!A3308&amp;" "&amp;'IND TECH'!B3308&amp;" "&amp;'IND TECH'!C3308&amp;" "&amp;'IND TECH'!D3308&amp;" "&amp;'IND TECH'!E3308&amp;" "&amp;'IND TECH'!F3308&amp;" "&amp;'IND TECH'!G3308&amp;" "&amp;'IND TECH'!H3308</f>
        <v xml:space="preserve">       </v>
      </c>
      <c r="E3310" t="e">
        <f t="shared" si="32"/>
        <v>#REF!</v>
      </c>
      <c r="F3310" t="e">
        <f>'IND TECH'!#REF!</f>
        <v>#REF!</v>
      </c>
    </row>
    <row r="3311" spans="3:6" x14ac:dyDescent="0.25">
      <c r="C3311">
        <f>'IND TECH'!L3309</f>
        <v>0</v>
      </c>
      <c r="D3311" t="str">
        <f>'IND TECH'!A3309&amp;" "&amp;'IND TECH'!B3309&amp;" "&amp;'IND TECH'!C3309&amp;" "&amp;'IND TECH'!D3309&amp;" "&amp;'IND TECH'!E3309&amp;" "&amp;'IND TECH'!F3309&amp;" "&amp;'IND TECH'!G3309&amp;" "&amp;'IND TECH'!H3309</f>
        <v xml:space="preserve">       </v>
      </c>
      <c r="E3311" t="e">
        <f t="shared" si="32"/>
        <v>#REF!</v>
      </c>
      <c r="F3311" t="e">
        <f>'IND TECH'!#REF!</f>
        <v>#REF!</v>
      </c>
    </row>
    <row r="3312" spans="3:6" x14ac:dyDescent="0.25">
      <c r="C3312">
        <f>'IND TECH'!L3310</f>
        <v>0</v>
      </c>
      <c r="D3312" t="str">
        <f>'IND TECH'!A3310&amp;" "&amp;'IND TECH'!B3310&amp;" "&amp;'IND TECH'!C3310&amp;" "&amp;'IND TECH'!D3310&amp;" "&amp;'IND TECH'!E3310&amp;" "&amp;'IND TECH'!F3310&amp;" "&amp;'IND TECH'!G3310&amp;" "&amp;'IND TECH'!H3310</f>
        <v xml:space="preserve">       </v>
      </c>
      <c r="E3312" t="e">
        <f t="shared" si="32"/>
        <v>#REF!</v>
      </c>
      <c r="F3312" t="e">
        <f>'IND TECH'!#REF!</f>
        <v>#REF!</v>
      </c>
    </row>
    <row r="3313" spans="2:6" x14ac:dyDescent="0.25">
      <c r="C3313">
        <f>'IND TECH'!L3311</f>
        <v>0</v>
      </c>
      <c r="D3313" t="str">
        <f>'IND TECH'!A3311&amp;" "&amp;'IND TECH'!B3311&amp;" "&amp;'IND TECH'!C3311&amp;" "&amp;'IND TECH'!D3311&amp;" "&amp;'IND TECH'!E3311&amp;" "&amp;'IND TECH'!F3311&amp;" "&amp;'IND TECH'!G3311&amp;" "&amp;'IND TECH'!H3311</f>
        <v xml:space="preserve">       </v>
      </c>
      <c r="E3313" t="e">
        <f t="shared" si="32"/>
        <v>#REF!</v>
      </c>
      <c r="F3313" t="e">
        <f>'IND TECH'!#REF!</f>
        <v>#REF!</v>
      </c>
    </row>
    <row r="3314" spans="2:6" x14ac:dyDescent="0.25">
      <c r="C3314">
        <f>'IND TECH'!L3312</f>
        <v>0</v>
      </c>
      <c r="D3314" t="str">
        <f>'IND TECH'!A3312&amp;" "&amp;'IND TECH'!B3312&amp;" "&amp;'IND TECH'!C3312&amp;" "&amp;'IND TECH'!D3312&amp;" "&amp;'IND TECH'!E3312&amp;" "&amp;'IND TECH'!F3312&amp;" "&amp;'IND TECH'!G3312&amp;" "&amp;'IND TECH'!H3312</f>
        <v xml:space="preserve">       </v>
      </c>
      <c r="E3314" t="e">
        <f t="shared" si="32"/>
        <v>#REF!</v>
      </c>
      <c r="F3314" t="e">
        <f>'IND TECH'!#REF!</f>
        <v>#REF!</v>
      </c>
    </row>
    <row r="3315" spans="2:6" x14ac:dyDescent="0.25">
      <c r="C3315">
        <f>'IND TECH'!L3313</f>
        <v>0</v>
      </c>
      <c r="D3315" t="str">
        <f>'IND TECH'!A3313&amp;" "&amp;'IND TECH'!B3313&amp;" "&amp;'IND TECH'!C3313&amp;" "&amp;'IND TECH'!D3313&amp;" "&amp;'IND TECH'!E3313&amp;" "&amp;'IND TECH'!F3313&amp;" "&amp;'IND TECH'!G3313&amp;" "&amp;'IND TECH'!H3313</f>
        <v xml:space="preserve">       </v>
      </c>
      <c r="E3315" t="e">
        <f t="shared" si="32"/>
        <v>#REF!</v>
      </c>
      <c r="F3315" t="e">
        <f>'IND TECH'!#REF!</f>
        <v>#REF!</v>
      </c>
    </row>
    <row r="3316" spans="2:6" x14ac:dyDescent="0.25">
      <c r="C3316">
        <f>'IND TECH'!L3314</f>
        <v>0</v>
      </c>
      <c r="D3316" t="str">
        <f>'IND TECH'!A3314&amp;" "&amp;'IND TECH'!B3314&amp;" "&amp;'IND TECH'!C3314&amp;" "&amp;'IND TECH'!D3314&amp;" "&amp;'IND TECH'!E3314&amp;" "&amp;'IND TECH'!F3314&amp;" "&amp;'IND TECH'!G3314&amp;" "&amp;'IND TECH'!H3314</f>
        <v xml:space="preserve">       </v>
      </c>
      <c r="E3316" t="e">
        <f t="shared" si="32"/>
        <v>#REF!</v>
      </c>
      <c r="F3316" t="e">
        <f>'IND TECH'!#REF!</f>
        <v>#REF!</v>
      </c>
    </row>
    <row r="3317" spans="2:6" x14ac:dyDescent="0.25">
      <c r="B3317" t="s">
        <v>252</v>
      </c>
      <c r="C3317">
        <f>'IND TECH'!L3315</f>
        <v>0</v>
      </c>
    </row>
    <row r="3318" spans="2:6" x14ac:dyDescent="0.25">
      <c r="B3318" t="s">
        <v>274</v>
      </c>
      <c r="C3318">
        <f>'IND TECH'!L3316</f>
        <v>0</v>
      </c>
      <c r="D3318" t="str">
        <f>'IND TECH'!A3316&amp;" "&amp;'IND TECH'!B3316&amp;" "&amp;'IND TECH'!C3316&amp;" "&amp;'IND TECH'!D3316&amp;" "&amp;'IND TECH'!E3316&amp;" "&amp;'IND TECH'!F3316&amp;" "&amp;'IND TECH'!G3316&amp;" "&amp;'IND TECH'!H3316</f>
        <v xml:space="preserve">       </v>
      </c>
      <c r="E3318" t="e">
        <f t="shared" ref="E3318:E3349" si="33">IF(F3318="Mlma","Mlm","TJ")</f>
        <v>#REF!</v>
      </c>
      <c r="F3318" t="e">
        <f>'IND TECH'!#REF!</f>
        <v>#REF!</v>
      </c>
    </row>
    <row r="3319" spans="2:6" x14ac:dyDescent="0.25">
      <c r="C3319">
        <f>'IND TECH'!L3317</f>
        <v>0</v>
      </c>
      <c r="D3319" t="str">
        <f>'IND TECH'!A3317&amp;" "&amp;'IND TECH'!B3317&amp;" "&amp;'IND TECH'!C3317&amp;" "&amp;'IND TECH'!D3317&amp;" "&amp;'IND TECH'!E3317&amp;" "&amp;'IND TECH'!F3317&amp;" "&amp;'IND TECH'!G3317&amp;" "&amp;'IND TECH'!H3317</f>
        <v xml:space="preserve">       </v>
      </c>
      <c r="E3319" t="e">
        <f t="shared" si="33"/>
        <v>#REF!</v>
      </c>
      <c r="F3319" t="e">
        <f>'IND TECH'!#REF!</f>
        <v>#REF!</v>
      </c>
    </row>
    <row r="3320" spans="2:6" x14ac:dyDescent="0.25">
      <c r="C3320">
        <f>'IND TECH'!L3318</f>
        <v>0</v>
      </c>
      <c r="D3320" t="str">
        <f>'IND TECH'!A3318&amp;" "&amp;'IND TECH'!B3318&amp;" "&amp;'IND TECH'!C3318&amp;" "&amp;'IND TECH'!D3318&amp;" "&amp;'IND TECH'!E3318&amp;" "&amp;'IND TECH'!F3318&amp;" "&amp;'IND TECH'!G3318&amp;" "&amp;'IND TECH'!H3318</f>
        <v xml:space="preserve">       </v>
      </c>
      <c r="E3320" t="e">
        <f t="shared" si="33"/>
        <v>#REF!</v>
      </c>
      <c r="F3320" t="e">
        <f>'IND TECH'!#REF!</f>
        <v>#REF!</v>
      </c>
    </row>
    <row r="3321" spans="2:6" x14ac:dyDescent="0.25">
      <c r="C3321">
        <f>'IND TECH'!L3319</f>
        <v>0</v>
      </c>
      <c r="D3321" t="str">
        <f>'IND TECH'!A3319&amp;" "&amp;'IND TECH'!B3319&amp;" "&amp;'IND TECH'!C3319&amp;" "&amp;'IND TECH'!D3319&amp;" "&amp;'IND TECH'!E3319&amp;" "&amp;'IND TECH'!F3319&amp;" "&amp;'IND TECH'!G3319&amp;" "&amp;'IND TECH'!H3319</f>
        <v xml:space="preserve">       </v>
      </c>
      <c r="E3321" t="e">
        <f t="shared" si="33"/>
        <v>#REF!</v>
      </c>
      <c r="F3321" t="e">
        <f>'IND TECH'!#REF!</f>
        <v>#REF!</v>
      </c>
    </row>
    <row r="3322" spans="2:6" x14ac:dyDescent="0.25">
      <c r="C3322">
        <f>'IND TECH'!L3320</f>
        <v>0</v>
      </c>
      <c r="D3322" t="str">
        <f>'IND TECH'!A3320&amp;" "&amp;'IND TECH'!B3320&amp;" "&amp;'IND TECH'!C3320&amp;" "&amp;'IND TECH'!D3320&amp;" "&amp;'IND TECH'!E3320&amp;" "&amp;'IND TECH'!F3320&amp;" "&amp;'IND TECH'!G3320&amp;" "&amp;'IND TECH'!H3320</f>
        <v xml:space="preserve">       </v>
      </c>
      <c r="E3322" t="e">
        <f t="shared" si="33"/>
        <v>#REF!</v>
      </c>
      <c r="F3322" t="e">
        <f>'IND TECH'!#REF!</f>
        <v>#REF!</v>
      </c>
    </row>
    <row r="3323" spans="2:6" x14ac:dyDescent="0.25">
      <c r="C3323">
        <f>'IND TECH'!L3321</f>
        <v>0</v>
      </c>
      <c r="D3323" t="str">
        <f>'IND TECH'!A3321&amp;" "&amp;'IND TECH'!B3321&amp;" "&amp;'IND TECH'!C3321&amp;" "&amp;'IND TECH'!D3321&amp;" "&amp;'IND TECH'!E3321&amp;" "&amp;'IND TECH'!F3321&amp;" "&amp;'IND TECH'!G3321&amp;" "&amp;'IND TECH'!H3321</f>
        <v xml:space="preserve">       </v>
      </c>
      <c r="E3323" t="e">
        <f t="shared" si="33"/>
        <v>#REF!</v>
      </c>
      <c r="F3323" t="e">
        <f>'IND TECH'!#REF!</f>
        <v>#REF!</v>
      </c>
    </row>
    <row r="3324" spans="2:6" x14ac:dyDescent="0.25">
      <c r="C3324">
        <f>'IND TECH'!L3322</f>
        <v>0</v>
      </c>
      <c r="D3324" t="str">
        <f>'IND TECH'!A3322&amp;" "&amp;'IND TECH'!B3322&amp;" "&amp;'IND TECH'!C3322&amp;" "&amp;'IND TECH'!D3322&amp;" "&amp;'IND TECH'!E3322&amp;" "&amp;'IND TECH'!F3322&amp;" "&amp;'IND TECH'!G3322&amp;" "&amp;'IND TECH'!H3322</f>
        <v xml:space="preserve">       </v>
      </c>
      <c r="E3324" t="e">
        <f t="shared" si="33"/>
        <v>#REF!</v>
      </c>
      <c r="F3324" t="e">
        <f>'IND TECH'!#REF!</f>
        <v>#REF!</v>
      </c>
    </row>
    <row r="3325" spans="2:6" x14ac:dyDescent="0.25">
      <c r="C3325">
        <f>'IND TECH'!L3323</f>
        <v>0</v>
      </c>
      <c r="D3325" t="str">
        <f>'IND TECH'!A3323&amp;" "&amp;'IND TECH'!B3323&amp;" "&amp;'IND TECH'!C3323&amp;" "&amp;'IND TECH'!D3323&amp;" "&amp;'IND TECH'!E3323&amp;" "&amp;'IND TECH'!F3323&amp;" "&amp;'IND TECH'!G3323&amp;" "&amp;'IND TECH'!H3323</f>
        <v xml:space="preserve">       </v>
      </c>
      <c r="E3325" t="e">
        <f t="shared" si="33"/>
        <v>#REF!</v>
      </c>
      <c r="F3325" t="e">
        <f>'IND TECH'!#REF!</f>
        <v>#REF!</v>
      </c>
    </row>
    <row r="3326" spans="2:6" x14ac:dyDescent="0.25">
      <c r="C3326">
        <f>'IND TECH'!L3324</f>
        <v>0</v>
      </c>
      <c r="D3326" t="str">
        <f>'IND TECH'!A3324&amp;" "&amp;'IND TECH'!B3324&amp;" "&amp;'IND TECH'!C3324&amp;" "&amp;'IND TECH'!D3324&amp;" "&amp;'IND TECH'!E3324&amp;" "&amp;'IND TECH'!F3324&amp;" "&amp;'IND TECH'!G3324&amp;" "&amp;'IND TECH'!H3324</f>
        <v xml:space="preserve">       </v>
      </c>
      <c r="E3326" t="e">
        <f t="shared" si="33"/>
        <v>#REF!</v>
      </c>
      <c r="F3326" t="e">
        <f>'IND TECH'!#REF!</f>
        <v>#REF!</v>
      </c>
    </row>
    <row r="3327" spans="2:6" x14ac:dyDescent="0.25">
      <c r="C3327">
        <f>'IND TECH'!L3325</f>
        <v>0</v>
      </c>
      <c r="D3327" t="str">
        <f>'IND TECH'!A3325&amp;" "&amp;'IND TECH'!B3325&amp;" "&amp;'IND TECH'!C3325&amp;" "&amp;'IND TECH'!D3325&amp;" "&amp;'IND TECH'!E3325&amp;" "&amp;'IND TECH'!F3325&amp;" "&amp;'IND TECH'!G3325&amp;" "&amp;'IND TECH'!H3325</f>
        <v xml:space="preserve">       </v>
      </c>
      <c r="E3327" t="e">
        <f t="shared" si="33"/>
        <v>#REF!</v>
      </c>
      <c r="F3327" t="e">
        <f>'IND TECH'!#REF!</f>
        <v>#REF!</v>
      </c>
    </row>
    <row r="3328" spans="2:6" x14ac:dyDescent="0.25">
      <c r="C3328">
        <f>'IND TECH'!L3326</f>
        <v>0</v>
      </c>
      <c r="D3328" t="str">
        <f>'IND TECH'!A3326&amp;" "&amp;'IND TECH'!B3326&amp;" "&amp;'IND TECH'!C3326&amp;" "&amp;'IND TECH'!D3326&amp;" "&amp;'IND TECH'!E3326&amp;" "&amp;'IND TECH'!F3326&amp;" "&amp;'IND TECH'!G3326&amp;" "&amp;'IND TECH'!H3326</f>
        <v xml:space="preserve">       </v>
      </c>
      <c r="E3328" t="e">
        <f t="shared" si="33"/>
        <v>#REF!</v>
      </c>
      <c r="F3328" t="e">
        <f>'IND TECH'!#REF!</f>
        <v>#REF!</v>
      </c>
    </row>
    <row r="3329" spans="3:6" x14ac:dyDescent="0.25">
      <c r="C3329">
        <f>'IND TECH'!L3327</f>
        <v>0</v>
      </c>
      <c r="D3329" t="str">
        <f>'IND TECH'!A3327&amp;" "&amp;'IND TECH'!B3327&amp;" "&amp;'IND TECH'!C3327&amp;" "&amp;'IND TECH'!D3327&amp;" "&amp;'IND TECH'!E3327&amp;" "&amp;'IND TECH'!F3327&amp;" "&amp;'IND TECH'!G3327&amp;" "&amp;'IND TECH'!H3327</f>
        <v xml:space="preserve">       </v>
      </c>
      <c r="E3329" t="e">
        <f t="shared" si="33"/>
        <v>#REF!</v>
      </c>
      <c r="F3329" t="e">
        <f>'IND TECH'!#REF!</f>
        <v>#REF!</v>
      </c>
    </row>
    <row r="3330" spans="3:6" x14ac:dyDescent="0.25">
      <c r="C3330">
        <f>'IND TECH'!L3328</f>
        <v>0</v>
      </c>
      <c r="D3330" t="str">
        <f>'IND TECH'!A3328&amp;" "&amp;'IND TECH'!B3328&amp;" "&amp;'IND TECH'!C3328&amp;" "&amp;'IND TECH'!D3328&amp;" "&amp;'IND TECH'!E3328&amp;" "&amp;'IND TECH'!F3328&amp;" "&amp;'IND TECH'!G3328&amp;" "&amp;'IND TECH'!H3328</f>
        <v xml:space="preserve">       </v>
      </c>
      <c r="E3330" t="e">
        <f t="shared" si="33"/>
        <v>#REF!</v>
      </c>
      <c r="F3330" t="e">
        <f>'IND TECH'!#REF!</f>
        <v>#REF!</v>
      </c>
    </row>
    <row r="3331" spans="3:6" x14ac:dyDescent="0.25">
      <c r="C3331">
        <f>'IND TECH'!L3329</f>
        <v>0</v>
      </c>
      <c r="D3331" t="str">
        <f>'IND TECH'!A3329&amp;" "&amp;'IND TECH'!B3329&amp;" "&amp;'IND TECH'!C3329&amp;" "&amp;'IND TECH'!D3329&amp;" "&amp;'IND TECH'!E3329&amp;" "&amp;'IND TECH'!F3329&amp;" "&amp;'IND TECH'!G3329&amp;" "&amp;'IND TECH'!H3329</f>
        <v xml:space="preserve">       </v>
      </c>
      <c r="E3331" t="e">
        <f t="shared" si="33"/>
        <v>#REF!</v>
      </c>
      <c r="F3331" t="e">
        <f>'IND TECH'!#REF!</f>
        <v>#REF!</v>
      </c>
    </row>
    <row r="3332" spans="3:6" x14ac:dyDescent="0.25">
      <c r="C3332">
        <f>'IND TECH'!L3330</f>
        <v>0</v>
      </c>
      <c r="D3332" t="str">
        <f>'IND TECH'!A3330&amp;" "&amp;'IND TECH'!B3330&amp;" "&amp;'IND TECH'!C3330&amp;" "&amp;'IND TECH'!D3330&amp;" "&amp;'IND TECH'!E3330&amp;" "&amp;'IND TECH'!F3330&amp;" "&amp;'IND TECH'!G3330&amp;" "&amp;'IND TECH'!H3330</f>
        <v xml:space="preserve">       </v>
      </c>
      <c r="E3332" t="e">
        <f t="shared" si="33"/>
        <v>#REF!</v>
      </c>
      <c r="F3332" t="e">
        <f>'IND TECH'!#REF!</f>
        <v>#REF!</v>
      </c>
    </row>
    <row r="3333" spans="3:6" x14ac:dyDescent="0.25">
      <c r="C3333">
        <f>'IND TECH'!L3331</f>
        <v>0</v>
      </c>
      <c r="D3333" t="str">
        <f>'IND TECH'!A3331&amp;" "&amp;'IND TECH'!B3331&amp;" "&amp;'IND TECH'!C3331&amp;" "&amp;'IND TECH'!D3331&amp;" "&amp;'IND TECH'!E3331&amp;" "&amp;'IND TECH'!F3331&amp;" "&amp;'IND TECH'!G3331&amp;" "&amp;'IND TECH'!H3331</f>
        <v xml:space="preserve">       </v>
      </c>
      <c r="E3333" t="e">
        <f t="shared" si="33"/>
        <v>#REF!</v>
      </c>
      <c r="F3333" t="e">
        <f>'IND TECH'!#REF!</f>
        <v>#REF!</v>
      </c>
    </row>
    <row r="3334" spans="3:6" x14ac:dyDescent="0.25">
      <c r="C3334">
        <f>'IND TECH'!L3332</f>
        <v>0</v>
      </c>
      <c r="D3334" t="str">
        <f>'IND TECH'!A3332&amp;" "&amp;'IND TECH'!B3332&amp;" "&amp;'IND TECH'!C3332&amp;" "&amp;'IND TECH'!D3332&amp;" "&amp;'IND TECH'!E3332&amp;" "&amp;'IND TECH'!F3332&amp;" "&amp;'IND TECH'!G3332&amp;" "&amp;'IND TECH'!H3332</f>
        <v xml:space="preserve">       </v>
      </c>
      <c r="E3334" t="e">
        <f t="shared" si="33"/>
        <v>#REF!</v>
      </c>
      <c r="F3334" t="e">
        <f>'IND TECH'!#REF!</f>
        <v>#REF!</v>
      </c>
    </row>
    <row r="3335" spans="3:6" x14ac:dyDescent="0.25">
      <c r="C3335">
        <f>'IND TECH'!L3333</f>
        <v>0</v>
      </c>
      <c r="D3335" t="str">
        <f>'IND TECH'!A3333&amp;" "&amp;'IND TECH'!B3333&amp;" "&amp;'IND TECH'!C3333&amp;" "&amp;'IND TECH'!D3333&amp;" "&amp;'IND TECH'!E3333&amp;" "&amp;'IND TECH'!F3333&amp;" "&amp;'IND TECH'!G3333&amp;" "&amp;'IND TECH'!H3333</f>
        <v xml:space="preserve">       </v>
      </c>
      <c r="E3335" t="e">
        <f t="shared" si="33"/>
        <v>#REF!</v>
      </c>
      <c r="F3335" t="e">
        <f>'IND TECH'!#REF!</f>
        <v>#REF!</v>
      </c>
    </row>
    <row r="3336" spans="3:6" x14ac:dyDescent="0.25">
      <c r="C3336">
        <f>'IND TECH'!L3334</f>
        <v>0</v>
      </c>
      <c r="D3336" t="str">
        <f>'IND TECH'!A3334&amp;" "&amp;'IND TECH'!B3334&amp;" "&amp;'IND TECH'!C3334&amp;" "&amp;'IND TECH'!D3334&amp;" "&amp;'IND TECH'!E3334&amp;" "&amp;'IND TECH'!F3334&amp;" "&amp;'IND TECH'!G3334&amp;" "&amp;'IND TECH'!H3334</f>
        <v xml:space="preserve">       </v>
      </c>
      <c r="E3336" t="e">
        <f t="shared" si="33"/>
        <v>#REF!</v>
      </c>
      <c r="F3336" t="e">
        <f>'IND TECH'!#REF!</f>
        <v>#REF!</v>
      </c>
    </row>
    <row r="3337" spans="3:6" x14ac:dyDescent="0.25">
      <c r="C3337">
        <f>'IND TECH'!L3335</f>
        <v>0</v>
      </c>
      <c r="D3337" t="str">
        <f>'IND TECH'!A3335&amp;" "&amp;'IND TECH'!B3335&amp;" "&amp;'IND TECH'!C3335&amp;" "&amp;'IND TECH'!D3335&amp;" "&amp;'IND TECH'!E3335&amp;" "&amp;'IND TECH'!F3335&amp;" "&amp;'IND TECH'!G3335&amp;" "&amp;'IND TECH'!H3335</f>
        <v xml:space="preserve">       </v>
      </c>
      <c r="E3337" t="e">
        <f t="shared" si="33"/>
        <v>#REF!</v>
      </c>
      <c r="F3337" t="e">
        <f>'IND TECH'!#REF!</f>
        <v>#REF!</v>
      </c>
    </row>
    <row r="3338" spans="3:6" x14ac:dyDescent="0.25">
      <c r="C3338">
        <f>'IND TECH'!L3336</f>
        <v>0</v>
      </c>
      <c r="D3338" t="str">
        <f>'IND TECH'!A3336&amp;" "&amp;'IND TECH'!B3336&amp;" "&amp;'IND TECH'!C3336&amp;" "&amp;'IND TECH'!D3336&amp;" "&amp;'IND TECH'!E3336&amp;" "&amp;'IND TECH'!F3336&amp;" "&amp;'IND TECH'!G3336&amp;" "&amp;'IND TECH'!H3336</f>
        <v xml:space="preserve">       </v>
      </c>
      <c r="E3338" t="e">
        <f t="shared" si="33"/>
        <v>#REF!</v>
      </c>
      <c r="F3338" t="e">
        <f>'IND TECH'!#REF!</f>
        <v>#REF!</v>
      </c>
    </row>
    <row r="3339" spans="3:6" x14ac:dyDescent="0.25">
      <c r="C3339">
        <f>'IND TECH'!L3337</f>
        <v>0</v>
      </c>
      <c r="D3339" t="str">
        <f>'IND TECH'!A3337&amp;" "&amp;'IND TECH'!B3337&amp;" "&amp;'IND TECH'!C3337&amp;" "&amp;'IND TECH'!D3337&amp;" "&amp;'IND TECH'!E3337&amp;" "&amp;'IND TECH'!F3337&amp;" "&amp;'IND TECH'!G3337&amp;" "&amp;'IND TECH'!H3337</f>
        <v xml:space="preserve">       </v>
      </c>
      <c r="E3339" t="e">
        <f t="shared" si="33"/>
        <v>#REF!</v>
      </c>
      <c r="F3339" t="e">
        <f>'IND TECH'!#REF!</f>
        <v>#REF!</v>
      </c>
    </row>
    <row r="3340" spans="3:6" x14ac:dyDescent="0.25">
      <c r="C3340">
        <f>'IND TECH'!L3338</f>
        <v>0</v>
      </c>
      <c r="D3340" t="str">
        <f>'IND TECH'!A3338&amp;" "&amp;'IND TECH'!B3338&amp;" "&amp;'IND TECH'!C3338&amp;" "&amp;'IND TECH'!D3338&amp;" "&amp;'IND TECH'!E3338&amp;" "&amp;'IND TECH'!F3338&amp;" "&amp;'IND TECH'!G3338&amp;" "&amp;'IND TECH'!H3338</f>
        <v xml:space="preserve">       </v>
      </c>
      <c r="E3340" t="e">
        <f t="shared" si="33"/>
        <v>#REF!</v>
      </c>
      <c r="F3340" t="e">
        <f>'IND TECH'!#REF!</f>
        <v>#REF!</v>
      </c>
    </row>
    <row r="3341" spans="3:6" x14ac:dyDescent="0.25">
      <c r="C3341">
        <f>'IND TECH'!L3339</f>
        <v>0</v>
      </c>
      <c r="D3341" t="str">
        <f>'IND TECH'!A3339&amp;" "&amp;'IND TECH'!B3339&amp;" "&amp;'IND TECH'!C3339&amp;" "&amp;'IND TECH'!D3339&amp;" "&amp;'IND TECH'!E3339&amp;" "&amp;'IND TECH'!F3339&amp;" "&amp;'IND TECH'!G3339&amp;" "&amp;'IND TECH'!H3339</f>
        <v xml:space="preserve">       </v>
      </c>
      <c r="E3341" t="e">
        <f t="shared" si="33"/>
        <v>#REF!</v>
      </c>
      <c r="F3341" t="e">
        <f>'IND TECH'!#REF!</f>
        <v>#REF!</v>
      </c>
    </row>
    <row r="3342" spans="3:6" x14ac:dyDescent="0.25">
      <c r="C3342">
        <f>'IND TECH'!L3340</f>
        <v>0</v>
      </c>
      <c r="D3342" t="str">
        <f>'IND TECH'!A3340&amp;" "&amp;'IND TECH'!B3340&amp;" "&amp;'IND TECH'!C3340&amp;" "&amp;'IND TECH'!D3340&amp;" "&amp;'IND TECH'!E3340&amp;" "&amp;'IND TECH'!F3340&amp;" "&amp;'IND TECH'!G3340&amp;" "&amp;'IND TECH'!H3340</f>
        <v xml:space="preserve">       </v>
      </c>
      <c r="E3342" t="e">
        <f t="shared" si="33"/>
        <v>#REF!</v>
      </c>
      <c r="F3342" t="e">
        <f>'IND TECH'!#REF!</f>
        <v>#REF!</v>
      </c>
    </row>
    <row r="3343" spans="3:6" x14ac:dyDescent="0.25">
      <c r="C3343">
        <f>'IND TECH'!L3341</f>
        <v>0</v>
      </c>
      <c r="D3343" t="str">
        <f>'IND TECH'!A3341&amp;" "&amp;'IND TECH'!B3341&amp;" "&amp;'IND TECH'!C3341&amp;" "&amp;'IND TECH'!D3341&amp;" "&amp;'IND TECH'!E3341&amp;" "&amp;'IND TECH'!F3341&amp;" "&amp;'IND TECH'!G3341&amp;" "&amp;'IND TECH'!H3341</f>
        <v xml:space="preserve">       </v>
      </c>
      <c r="E3343" t="e">
        <f t="shared" si="33"/>
        <v>#REF!</v>
      </c>
      <c r="F3343" t="e">
        <f>'IND TECH'!#REF!</f>
        <v>#REF!</v>
      </c>
    </row>
    <row r="3344" spans="3:6" x14ac:dyDescent="0.25">
      <c r="C3344">
        <f>'IND TECH'!L3342</f>
        <v>0</v>
      </c>
      <c r="D3344" t="str">
        <f>'IND TECH'!A3342&amp;" "&amp;'IND TECH'!B3342&amp;" "&amp;'IND TECH'!C3342&amp;" "&amp;'IND TECH'!D3342&amp;" "&amp;'IND TECH'!E3342&amp;" "&amp;'IND TECH'!F3342&amp;" "&amp;'IND TECH'!G3342&amp;" "&amp;'IND TECH'!H3342</f>
        <v xml:space="preserve">       </v>
      </c>
      <c r="E3344" t="e">
        <f t="shared" si="33"/>
        <v>#REF!</v>
      </c>
      <c r="F3344" t="e">
        <f>'IND TECH'!#REF!</f>
        <v>#REF!</v>
      </c>
    </row>
    <row r="3345" spans="3:6" x14ac:dyDescent="0.25">
      <c r="C3345">
        <f>'IND TECH'!L3343</f>
        <v>0</v>
      </c>
      <c r="D3345" t="str">
        <f>'IND TECH'!A3343&amp;" "&amp;'IND TECH'!B3343&amp;" "&amp;'IND TECH'!C3343&amp;" "&amp;'IND TECH'!D3343&amp;" "&amp;'IND TECH'!E3343&amp;" "&amp;'IND TECH'!F3343&amp;" "&amp;'IND TECH'!G3343&amp;" "&amp;'IND TECH'!H3343</f>
        <v xml:space="preserve">       </v>
      </c>
      <c r="E3345" t="e">
        <f t="shared" si="33"/>
        <v>#REF!</v>
      </c>
      <c r="F3345" t="e">
        <f>'IND TECH'!#REF!</f>
        <v>#REF!</v>
      </c>
    </row>
    <row r="3346" spans="3:6" x14ac:dyDescent="0.25">
      <c r="C3346">
        <f>'IND TECH'!L3344</f>
        <v>0</v>
      </c>
      <c r="D3346" t="str">
        <f>'IND TECH'!A3344&amp;" "&amp;'IND TECH'!B3344&amp;" "&amp;'IND TECH'!C3344&amp;" "&amp;'IND TECH'!D3344&amp;" "&amp;'IND TECH'!E3344&amp;" "&amp;'IND TECH'!F3344&amp;" "&amp;'IND TECH'!G3344&amp;" "&amp;'IND TECH'!H3344</f>
        <v xml:space="preserve">       </v>
      </c>
      <c r="E3346" t="e">
        <f t="shared" si="33"/>
        <v>#REF!</v>
      </c>
      <c r="F3346" t="e">
        <f>'IND TECH'!#REF!</f>
        <v>#REF!</v>
      </c>
    </row>
    <row r="3347" spans="3:6" x14ac:dyDescent="0.25">
      <c r="C3347">
        <f>'IND TECH'!L3345</f>
        <v>0</v>
      </c>
      <c r="D3347" t="str">
        <f>'IND TECH'!A3345&amp;" "&amp;'IND TECH'!B3345&amp;" "&amp;'IND TECH'!C3345&amp;" "&amp;'IND TECH'!D3345&amp;" "&amp;'IND TECH'!E3345&amp;" "&amp;'IND TECH'!F3345&amp;" "&amp;'IND TECH'!G3345&amp;" "&amp;'IND TECH'!H3345</f>
        <v xml:space="preserve">       </v>
      </c>
      <c r="E3347" t="e">
        <f t="shared" si="33"/>
        <v>#REF!</v>
      </c>
      <c r="F3347" t="e">
        <f>'IND TECH'!#REF!</f>
        <v>#REF!</v>
      </c>
    </row>
    <row r="3348" spans="3:6" x14ac:dyDescent="0.25">
      <c r="C3348">
        <f>'IND TECH'!L3346</f>
        <v>0</v>
      </c>
      <c r="D3348" t="str">
        <f>'IND TECH'!A3346&amp;" "&amp;'IND TECH'!B3346&amp;" "&amp;'IND TECH'!C3346&amp;" "&amp;'IND TECH'!D3346&amp;" "&amp;'IND TECH'!E3346&amp;" "&amp;'IND TECH'!F3346&amp;" "&amp;'IND TECH'!G3346&amp;" "&amp;'IND TECH'!H3346</f>
        <v xml:space="preserve">       </v>
      </c>
      <c r="E3348" t="e">
        <f t="shared" si="33"/>
        <v>#REF!</v>
      </c>
      <c r="F3348" t="e">
        <f>'IND TECH'!#REF!</f>
        <v>#REF!</v>
      </c>
    </row>
    <row r="3349" spans="3:6" x14ac:dyDescent="0.25">
      <c r="C3349">
        <f>'IND TECH'!L3347</f>
        <v>0</v>
      </c>
      <c r="D3349" t="str">
        <f>'IND TECH'!A3347&amp;" "&amp;'IND TECH'!B3347&amp;" "&amp;'IND TECH'!C3347&amp;" "&amp;'IND TECH'!D3347&amp;" "&amp;'IND TECH'!E3347&amp;" "&amp;'IND TECH'!F3347&amp;" "&amp;'IND TECH'!G3347&amp;" "&amp;'IND TECH'!H3347</f>
        <v xml:space="preserve">       </v>
      </c>
      <c r="E3349" t="e">
        <f t="shared" si="33"/>
        <v>#REF!</v>
      </c>
      <c r="F3349" t="e">
        <f>'IND TECH'!#REF!</f>
        <v>#REF!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5"/>
  <sheetViews>
    <sheetView workbookViewId="0">
      <selection activeCell="D12" sqref="D12"/>
    </sheetView>
  </sheetViews>
  <sheetFormatPr defaultRowHeight="15" x14ac:dyDescent="0.25"/>
  <cols>
    <col min="2" max="2" width="12.5703125" customWidth="1"/>
    <col min="3" max="3" width="21.28515625" bestFit="1" customWidth="1"/>
    <col min="4" max="4" width="70.28515625" bestFit="1" customWidth="1"/>
    <col min="5" max="5" width="4.5703125" bestFit="1" customWidth="1"/>
    <col min="6" max="6" width="15.7109375" customWidth="1"/>
    <col min="7" max="7" width="8.5703125" bestFit="1" customWidth="1"/>
    <col min="8" max="8" width="10.140625" customWidth="1"/>
    <col min="9" max="9" width="8.140625" bestFit="1" customWidth="1"/>
  </cols>
  <sheetData>
    <row r="2" spans="2:9" x14ac:dyDescent="0.25">
      <c r="B2" s="9" t="s">
        <v>275</v>
      </c>
    </row>
    <row r="3" spans="2:9" x14ac:dyDescent="0.25">
      <c r="B3" s="10" t="s">
        <v>276</v>
      </c>
      <c r="C3" s="10" t="s">
        <v>277</v>
      </c>
      <c r="D3" s="10" t="s">
        <v>278</v>
      </c>
      <c r="E3" s="10" t="s">
        <v>76</v>
      </c>
      <c r="F3" s="10" t="s">
        <v>279</v>
      </c>
      <c r="G3" s="10" t="s">
        <v>280</v>
      </c>
      <c r="H3" s="10" t="s">
        <v>281</v>
      </c>
      <c r="I3" s="10" t="s">
        <v>282</v>
      </c>
    </row>
    <row r="4" spans="2:9" ht="40.9" customHeight="1" thickBot="1" x14ac:dyDescent="0.3">
      <c r="B4" s="11" t="s">
        <v>283</v>
      </c>
      <c r="C4" s="11" t="s">
        <v>284</v>
      </c>
      <c r="D4" s="11" t="s">
        <v>285</v>
      </c>
      <c r="E4" s="11" t="s">
        <v>76</v>
      </c>
      <c r="F4" s="11" t="s">
        <v>286</v>
      </c>
      <c r="G4" s="11" t="s">
        <v>287</v>
      </c>
      <c r="H4" s="11" t="s">
        <v>288</v>
      </c>
      <c r="I4" s="11" t="s">
        <v>289</v>
      </c>
    </row>
    <row r="5" spans="2:9" x14ac:dyDescent="0.25">
      <c r="C5" t="str">
        <f>'IND TECH'!J15</f>
        <v>INDRET</v>
      </c>
      <c r="D5" t="s">
        <v>290</v>
      </c>
      <c r="E5" t="s">
        <v>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4:V3438"/>
  <sheetViews>
    <sheetView tabSelected="1" topLeftCell="A22" zoomScale="85" zoomScaleNormal="85" workbookViewId="0">
      <selection activeCell="F33" sqref="F33"/>
    </sheetView>
  </sheetViews>
  <sheetFormatPr defaultColWidth="12.7109375" defaultRowHeight="15" x14ac:dyDescent="0.25"/>
  <cols>
    <col min="2" max="2" width="16.7109375" bestFit="1" customWidth="1"/>
    <col min="10" max="10" width="13.140625" customWidth="1"/>
  </cols>
  <sheetData>
    <row r="4" spans="2:12" x14ac:dyDescent="0.25">
      <c r="D4" s="9" t="s">
        <v>291</v>
      </c>
      <c r="E4" s="9"/>
    </row>
    <row r="5" spans="2:12" x14ac:dyDescent="0.25">
      <c r="B5" s="10" t="s">
        <v>258</v>
      </c>
      <c r="C5" s="10" t="s">
        <v>292</v>
      </c>
      <c r="D5" s="10" t="s">
        <v>293</v>
      </c>
      <c r="E5" s="10" t="s">
        <v>294</v>
      </c>
      <c r="F5" s="10" t="s">
        <v>295</v>
      </c>
      <c r="G5" s="10" t="s">
        <v>214</v>
      </c>
      <c r="H5" s="10" t="s">
        <v>296</v>
      </c>
      <c r="I5" s="10" t="s">
        <v>297</v>
      </c>
      <c r="J5" s="10" t="s">
        <v>298</v>
      </c>
      <c r="K5" s="10" t="s">
        <v>299</v>
      </c>
      <c r="L5" s="10" t="s">
        <v>300</v>
      </c>
    </row>
    <row r="6" spans="2:12" ht="15" customHeight="1" thickBot="1" x14ac:dyDescent="0.3">
      <c r="B6" s="11" t="s">
        <v>252</v>
      </c>
      <c r="C6" s="11"/>
      <c r="D6" s="11"/>
      <c r="E6" s="11"/>
      <c r="F6" s="11" t="s">
        <v>301</v>
      </c>
      <c r="G6" s="11" t="s">
        <v>302</v>
      </c>
      <c r="H6" s="11" t="s">
        <v>303</v>
      </c>
      <c r="I6" s="11" t="s">
        <v>304</v>
      </c>
      <c r="J6" s="11" t="s">
        <v>304</v>
      </c>
      <c r="K6" s="11" t="s">
        <v>305</v>
      </c>
      <c r="L6" s="11" t="s">
        <v>306</v>
      </c>
    </row>
    <row r="7" spans="2:12" x14ac:dyDescent="0.25">
      <c r="B7" t="str">
        <f>IF('IND TECH'!Q3=1,'IND TECH'!L3,"*")</f>
        <v>INDAINAEUCOA20</v>
      </c>
      <c r="C7" t="str">
        <f>_xlfn.XLOOKUP(B7,'IND TECH'!L:L,'IND TECH'!J:J)</f>
        <v>INDCOA</v>
      </c>
      <c r="D7" t="str">
        <f>_xlfn.XLOOKUP(B7,'IND TECH'!L:L,'IND TECH'!K:K)</f>
        <v>INDAINDMD</v>
      </c>
      <c r="E7">
        <f>'City characteristics'!$C$20+1</f>
        <v>2020</v>
      </c>
      <c r="F7" s="12">
        <v>25</v>
      </c>
      <c r="G7" s="12">
        <f>_xlfn.XLOOKUP(B7,'IND TECH'!L:L,'IND TECH'!M:M)</f>
        <v>1</v>
      </c>
      <c r="H7">
        <f>_xlfn.XLOOKUP(B7,'IND TECH'!L:L,'IND TECH'!O:O)</f>
        <v>31.536000000000001</v>
      </c>
      <c r="I7" s="12">
        <f>_xlfn.XLOOKUP(B7,'IND TECH'!L:L,'IND TECH'!N:N)</f>
        <v>0.9</v>
      </c>
      <c r="J7" s="12">
        <f t="shared" ref="J7:J17" si="0">I7*0.9</f>
        <v>0.81</v>
      </c>
      <c r="K7" s="12">
        <f>_xlfn.XLOOKUP(B7,'IND TECH'!L:L,'IND TECH'!P:P)</f>
        <v>1000</v>
      </c>
      <c r="L7" s="12">
        <f t="shared" ref="L7:L17" si="1">5%*K7</f>
        <v>50</v>
      </c>
    </row>
    <row r="8" spans="2:12" x14ac:dyDescent="0.25">
      <c r="B8" t="str">
        <f>IF('IND TECH'!Q4=1,'IND TECH'!L4,"*")</f>
        <v>INDAINAEUPCK20</v>
      </c>
      <c r="C8" t="str">
        <f>_xlfn.XLOOKUP(B8,'IND TECH'!L:L,'IND TECH'!J:J)</f>
        <v>INDPCK</v>
      </c>
      <c r="D8" t="str">
        <f>_xlfn.XLOOKUP(B8,'IND TECH'!L:L,'IND TECH'!K:K)</f>
        <v>INDAINDMD</v>
      </c>
      <c r="E8">
        <f>'City characteristics'!$C$20+1</f>
        <v>2020</v>
      </c>
      <c r="F8" s="12">
        <v>25</v>
      </c>
      <c r="G8" s="12">
        <f>_xlfn.XLOOKUP(B8,'IND TECH'!L:L,'IND TECH'!M:M)</f>
        <v>1</v>
      </c>
      <c r="H8">
        <f>_xlfn.XLOOKUP(B8,'IND TECH'!L:L,'IND TECH'!O:O)</f>
        <v>31.536000000000001</v>
      </c>
      <c r="I8" s="12">
        <f>_xlfn.XLOOKUP(B8,'IND TECH'!L:L,'IND TECH'!N:N)</f>
        <v>0.9</v>
      </c>
      <c r="J8" s="12">
        <f t="shared" si="0"/>
        <v>0.81</v>
      </c>
      <c r="K8" s="12">
        <f>_xlfn.XLOOKUP(B8,'IND TECH'!L:L,'IND TECH'!P:P)</f>
        <v>1000</v>
      </c>
      <c r="L8" s="12">
        <f t="shared" si="1"/>
        <v>50</v>
      </c>
    </row>
    <row r="9" spans="2:12" x14ac:dyDescent="0.25">
      <c r="B9" t="str">
        <f>IF('IND TECH'!Q5=1,'IND TECH'!L5,"*")</f>
        <v>INDAINAEULPG20</v>
      </c>
      <c r="C9" t="str">
        <f>_xlfn.XLOOKUP(B9,'IND TECH'!L:L,'IND TECH'!J:J)</f>
        <v>INDLPG</v>
      </c>
      <c r="D9" t="str">
        <f>_xlfn.XLOOKUP(B9,'IND TECH'!L:L,'IND TECH'!K:K)</f>
        <v>INDAINDMD</v>
      </c>
      <c r="E9">
        <f>'City characteristics'!$C$20+1</f>
        <v>2020</v>
      </c>
      <c r="F9" s="12">
        <v>25</v>
      </c>
      <c r="G9" s="12">
        <f>_xlfn.XLOOKUP(B9,'IND TECH'!L:L,'IND TECH'!M:M)</f>
        <v>1</v>
      </c>
      <c r="H9">
        <f>_xlfn.XLOOKUP(B9,'IND TECH'!L:L,'IND TECH'!O:O)</f>
        <v>31.536000000000001</v>
      </c>
      <c r="I9" s="12">
        <f>_xlfn.XLOOKUP(B9,'IND TECH'!L:L,'IND TECH'!N:N)</f>
        <v>0.9</v>
      </c>
      <c r="J9" s="12">
        <f t="shared" si="0"/>
        <v>0.81</v>
      </c>
      <c r="K9" s="12">
        <f>_xlfn.XLOOKUP(B9,'IND TECH'!L:L,'IND TECH'!P:P)</f>
        <v>1000</v>
      </c>
      <c r="L9" s="12">
        <f t="shared" si="1"/>
        <v>50</v>
      </c>
    </row>
    <row r="10" spans="2:12" x14ac:dyDescent="0.25">
      <c r="B10" t="str">
        <f>IF('IND TECH'!Q6=1,'IND TECH'!L6,"*")</f>
        <v>INDAINAEUFOI20</v>
      </c>
      <c r="C10" t="str">
        <f>_xlfn.XLOOKUP(B10,'IND TECH'!L:L,'IND TECH'!J:J)</f>
        <v>INDFOI</v>
      </c>
      <c r="D10" t="str">
        <f>_xlfn.XLOOKUP(B10,'IND TECH'!L:L,'IND TECH'!K:K)</f>
        <v>INDAINDMD</v>
      </c>
      <c r="E10">
        <f>'City characteristics'!$C$20+1</f>
        <v>2020</v>
      </c>
      <c r="F10" s="12">
        <v>25</v>
      </c>
      <c r="G10" s="12">
        <f>_xlfn.XLOOKUP(B10,'IND TECH'!L:L,'IND TECH'!M:M)</f>
        <v>1</v>
      </c>
      <c r="H10">
        <f>_xlfn.XLOOKUP(B10,'IND TECH'!L:L,'IND TECH'!O:O)</f>
        <v>31.536000000000001</v>
      </c>
      <c r="I10" s="12">
        <f>_xlfn.XLOOKUP(B10,'IND TECH'!L:L,'IND TECH'!N:N)</f>
        <v>0.9</v>
      </c>
      <c r="J10" s="12">
        <f t="shared" si="0"/>
        <v>0.81</v>
      </c>
      <c r="K10" s="12">
        <f>_xlfn.XLOOKUP(B10,'IND TECH'!L:L,'IND TECH'!P:P)</f>
        <v>1000</v>
      </c>
      <c r="L10" s="12">
        <f t="shared" si="1"/>
        <v>50</v>
      </c>
    </row>
    <row r="11" spans="2:12" x14ac:dyDescent="0.25">
      <c r="B11" t="str">
        <f>IF('IND TECH'!Q7=1,'IND TECH'!L7,"*")</f>
        <v>INDAINAEUNGA20</v>
      </c>
      <c r="C11" t="str">
        <f>_xlfn.XLOOKUP(B11,'IND TECH'!L:L,'IND TECH'!J:J)</f>
        <v>INDNGA</v>
      </c>
      <c r="D11" t="str">
        <f>_xlfn.XLOOKUP(B11,'IND TECH'!L:L,'IND TECH'!K:K)</f>
        <v>INDAINDMD</v>
      </c>
      <c r="E11">
        <f>'City characteristics'!$C$20+1</f>
        <v>2020</v>
      </c>
      <c r="F11" s="12">
        <v>25</v>
      </c>
      <c r="G11" s="12">
        <f>_xlfn.XLOOKUP(B11,'IND TECH'!L:L,'IND TECH'!M:M)</f>
        <v>1</v>
      </c>
      <c r="H11">
        <f>_xlfn.XLOOKUP(B11,'IND TECH'!L:L,'IND TECH'!O:O)</f>
        <v>31.536000000000001</v>
      </c>
      <c r="I11" s="12">
        <f>_xlfn.XLOOKUP(B11,'IND TECH'!L:L,'IND TECH'!N:N)</f>
        <v>0.9</v>
      </c>
      <c r="J11" s="12">
        <f t="shared" si="0"/>
        <v>0.81</v>
      </c>
      <c r="K11" s="12">
        <f>_xlfn.XLOOKUP(B11,'IND TECH'!L:L,'IND TECH'!P:P)</f>
        <v>1000</v>
      </c>
      <c r="L11" s="12">
        <f t="shared" si="1"/>
        <v>50</v>
      </c>
    </row>
    <row r="12" spans="2:12" x14ac:dyDescent="0.25">
      <c r="B12" t="str">
        <f>IF('IND TECH'!Q8=1,'IND TECH'!L8,"*")</f>
        <v>INDAINAEURNG20</v>
      </c>
      <c r="C12" t="str">
        <f>_xlfn.XLOOKUP(B12,'IND TECH'!L:L,'IND TECH'!J:J)</f>
        <v>INDRNG</v>
      </c>
      <c r="D12" t="str">
        <f>_xlfn.XLOOKUP(B12,'IND TECH'!L:L,'IND TECH'!K:K)</f>
        <v>INDAINDMD</v>
      </c>
      <c r="E12">
        <f>'City characteristics'!$C$20+1</f>
        <v>2020</v>
      </c>
      <c r="F12" s="12">
        <v>25</v>
      </c>
      <c r="G12" s="12">
        <f>_xlfn.XLOOKUP(B12,'IND TECH'!L:L,'IND TECH'!M:M)</f>
        <v>1</v>
      </c>
      <c r="H12">
        <f>_xlfn.XLOOKUP(B12,'IND TECH'!L:L,'IND TECH'!O:O)</f>
        <v>31.536000000000001</v>
      </c>
      <c r="I12" s="12">
        <f>_xlfn.XLOOKUP(B12,'IND TECH'!L:L,'IND TECH'!N:N)</f>
        <v>0.9</v>
      </c>
      <c r="J12" s="12">
        <f t="shared" si="0"/>
        <v>0.81</v>
      </c>
      <c r="K12" s="12">
        <f>_xlfn.XLOOKUP(B12,'IND TECH'!L:L,'IND TECH'!P:P)</f>
        <v>1000</v>
      </c>
      <c r="L12" s="12">
        <f t="shared" si="1"/>
        <v>50</v>
      </c>
    </row>
    <row r="13" spans="2:12" x14ac:dyDescent="0.25">
      <c r="B13" t="str">
        <f>IF('IND TECH'!Q9=1,'IND TECH'!L9,"*")</f>
        <v>INDAINAEUKER20</v>
      </c>
      <c r="C13" t="str">
        <f>_xlfn.XLOOKUP(B13,'IND TECH'!L:L,'IND TECH'!J:J)</f>
        <v>INDKER</v>
      </c>
      <c r="D13" t="str">
        <f>_xlfn.XLOOKUP(B13,'IND TECH'!L:L,'IND TECH'!K:K)</f>
        <v>INDAINDMD</v>
      </c>
      <c r="E13">
        <f>'City characteristics'!$C$20+1</f>
        <v>2020</v>
      </c>
      <c r="F13" s="12">
        <v>25</v>
      </c>
      <c r="G13" s="12">
        <f>_xlfn.XLOOKUP(B13,'IND TECH'!L:L,'IND TECH'!M:M)</f>
        <v>1</v>
      </c>
      <c r="H13">
        <f>_xlfn.XLOOKUP(B13,'IND TECH'!L:L,'IND TECH'!O:O)</f>
        <v>31.536000000000001</v>
      </c>
      <c r="I13" s="12">
        <f>_xlfn.XLOOKUP(B13,'IND TECH'!L:L,'IND TECH'!N:N)</f>
        <v>0.9</v>
      </c>
      <c r="J13" s="12">
        <f t="shared" si="0"/>
        <v>0.81</v>
      </c>
      <c r="K13" s="12">
        <f>_xlfn.XLOOKUP(B13,'IND TECH'!L:L,'IND TECH'!P:P)</f>
        <v>1000</v>
      </c>
      <c r="L13" s="12">
        <f t="shared" si="1"/>
        <v>50</v>
      </c>
    </row>
    <row r="14" spans="2:12" x14ac:dyDescent="0.25">
      <c r="B14" t="str">
        <f>IF('IND TECH'!Q10=1,'IND TECH'!L10,"*")</f>
        <v>INDAINAEUGSL20</v>
      </c>
      <c r="C14" t="str">
        <f>_xlfn.XLOOKUP(B14,'IND TECH'!L:L,'IND TECH'!J:J)</f>
        <v>INDGSL</v>
      </c>
      <c r="D14" t="str">
        <f>_xlfn.XLOOKUP(B14,'IND TECH'!L:L,'IND TECH'!K:K)</f>
        <v>INDAINDMD</v>
      </c>
      <c r="E14">
        <f>'City characteristics'!$C$20+1</f>
        <v>2020</v>
      </c>
      <c r="F14" s="12">
        <v>25</v>
      </c>
      <c r="G14" s="12">
        <f>_xlfn.XLOOKUP(B14,'IND TECH'!L:L,'IND TECH'!M:M)</f>
        <v>1</v>
      </c>
      <c r="H14">
        <f>_xlfn.XLOOKUP(B14,'IND TECH'!L:L,'IND TECH'!O:O)</f>
        <v>31.536000000000001</v>
      </c>
      <c r="I14" s="12">
        <f>_xlfn.XLOOKUP(B14,'IND TECH'!L:L,'IND TECH'!N:N)</f>
        <v>0.9</v>
      </c>
      <c r="J14" s="12">
        <f t="shared" si="0"/>
        <v>0.81</v>
      </c>
      <c r="K14" s="12">
        <f>_xlfn.XLOOKUP(B14,'IND TECH'!L:L,'IND TECH'!P:P)</f>
        <v>1000</v>
      </c>
      <c r="L14" s="12">
        <f t="shared" si="1"/>
        <v>50</v>
      </c>
    </row>
    <row r="15" spans="2:12" x14ac:dyDescent="0.25">
      <c r="B15" t="str">
        <f>IF('IND TECH'!Q11=1,'IND TECH'!L11,"*")</f>
        <v>INDAINAEUDSL20</v>
      </c>
      <c r="C15" t="str">
        <f>_xlfn.XLOOKUP(B15,'IND TECH'!L:L,'IND TECH'!J:J)</f>
        <v>INDDSL</v>
      </c>
      <c r="D15" t="str">
        <f>_xlfn.XLOOKUP(B15,'IND TECH'!L:L,'IND TECH'!K:K)</f>
        <v>INDAINDMD</v>
      </c>
      <c r="E15">
        <f>'City characteristics'!$C$20+1</f>
        <v>2020</v>
      </c>
      <c r="F15" s="12">
        <v>25</v>
      </c>
      <c r="G15" s="12">
        <f>_xlfn.XLOOKUP(B15,'IND TECH'!L:L,'IND TECH'!M:M)</f>
        <v>1</v>
      </c>
      <c r="H15">
        <f>_xlfn.XLOOKUP(B15,'IND TECH'!L:L,'IND TECH'!O:O)</f>
        <v>31.536000000000001</v>
      </c>
      <c r="I15" s="12">
        <f>_xlfn.XLOOKUP(B15,'IND TECH'!L:L,'IND TECH'!N:N)</f>
        <v>0.9</v>
      </c>
      <c r="J15" s="12">
        <f t="shared" si="0"/>
        <v>0.81</v>
      </c>
      <c r="K15" s="12">
        <f>_xlfn.XLOOKUP(B15,'IND TECH'!L:L,'IND TECH'!P:P)</f>
        <v>1000</v>
      </c>
      <c r="L15" s="12">
        <f t="shared" si="1"/>
        <v>50</v>
      </c>
    </row>
    <row r="16" spans="2:12" x14ac:dyDescent="0.25">
      <c r="B16" t="str">
        <f>IF('IND TECH'!Q12=1,'IND TECH'!L12,"*")</f>
        <v>INDAINAEUELC20</v>
      </c>
      <c r="C16" t="str">
        <f>_xlfn.XLOOKUP(B16,'IND TECH'!L:L,'IND TECH'!J:J)</f>
        <v>INDELC</v>
      </c>
      <c r="D16" t="str">
        <f>_xlfn.XLOOKUP(B16,'IND TECH'!L:L,'IND TECH'!K:K)</f>
        <v>INDAINDMD</v>
      </c>
      <c r="E16">
        <f>'City characteristics'!$C$20+1</f>
        <v>2020</v>
      </c>
      <c r="F16" s="12">
        <v>25</v>
      </c>
      <c r="G16" s="12">
        <f>_xlfn.XLOOKUP(B16,'IND TECH'!L:L,'IND TECH'!M:M)</f>
        <v>1</v>
      </c>
      <c r="H16">
        <f>_xlfn.XLOOKUP(B16,'IND TECH'!L:L,'IND TECH'!O:O)</f>
        <v>31.536000000000001</v>
      </c>
      <c r="I16" s="12">
        <f>_xlfn.XLOOKUP(B16,'IND TECH'!L:L,'IND TECH'!N:N)</f>
        <v>0.9</v>
      </c>
      <c r="J16" s="12">
        <f t="shared" si="0"/>
        <v>0.81</v>
      </c>
      <c r="K16" s="12">
        <f>_xlfn.XLOOKUP(B16,'IND TECH'!L:L,'IND TECH'!P:P)</f>
        <v>1000</v>
      </c>
      <c r="L16" s="12">
        <f t="shared" si="1"/>
        <v>50</v>
      </c>
    </row>
    <row r="17" spans="2:22" x14ac:dyDescent="0.25">
      <c r="B17" t="str">
        <f>IF('IND TECH'!Q13=1,'IND TECH'!L13,"*")</f>
        <v>INDAINAEUH2G20</v>
      </c>
      <c r="C17" t="str">
        <f>_xlfn.XLOOKUP(B17,'IND TECH'!L:L,'IND TECH'!J:J)</f>
        <v>INDH2G</v>
      </c>
      <c r="D17" t="str">
        <f>_xlfn.XLOOKUP(B17,'IND TECH'!L:L,'IND TECH'!K:K)</f>
        <v>INDAINDMD</v>
      </c>
      <c r="E17">
        <f>'City characteristics'!$C$20+1</f>
        <v>2020</v>
      </c>
      <c r="F17" s="12">
        <v>25</v>
      </c>
      <c r="G17" s="12">
        <f>_xlfn.XLOOKUP(B17,'IND TECH'!L:L,'IND TECH'!M:M)</f>
        <v>1</v>
      </c>
      <c r="H17">
        <f>_xlfn.XLOOKUP(B17,'IND TECH'!L:L,'IND TECH'!O:O)</f>
        <v>31.536000000000001</v>
      </c>
      <c r="I17" s="12">
        <f>_xlfn.XLOOKUP(B17,'IND TECH'!L:L,'IND TECH'!N:N)</f>
        <v>0.9</v>
      </c>
      <c r="J17" s="12">
        <f t="shared" si="0"/>
        <v>0.81</v>
      </c>
      <c r="K17" s="12">
        <f>_xlfn.XLOOKUP(B17,'IND TECH'!L:L,'IND TECH'!P:P)</f>
        <v>1000</v>
      </c>
      <c r="L17" s="12">
        <f t="shared" si="1"/>
        <v>50</v>
      </c>
    </row>
    <row r="18" spans="2:22" x14ac:dyDescent="0.25">
      <c r="B18" t="str">
        <f>IF('IND TECH'!Q14=1,'IND TECH'!L14,"*")</f>
        <v>*</v>
      </c>
      <c r="F18" s="12"/>
      <c r="G18" s="12"/>
      <c r="I18" s="12"/>
      <c r="J18" s="12"/>
      <c r="K18" s="12"/>
      <c r="L18" s="12"/>
    </row>
    <row r="19" spans="2:22" x14ac:dyDescent="0.25">
      <c r="B19" t="str">
        <f>IF('IND TECH'!Q15=1,'IND TECH'!L15,"*")</f>
        <v>INDAINAEURET20</v>
      </c>
      <c r="C19" t="str">
        <f>_xlfn.XLOOKUP(B19,'IND TECH'!L:L,'IND TECH'!J:J)</f>
        <v>INDRET</v>
      </c>
      <c r="D19" t="str">
        <f>_xlfn.XLOOKUP(B19,'IND TECH'!L:L,'IND TECH'!K:K)</f>
        <v>INDAINDMD</v>
      </c>
      <c r="E19">
        <f>'City characteristics'!$C$20+1</f>
        <v>2020</v>
      </c>
      <c r="F19" s="12">
        <v>25</v>
      </c>
      <c r="G19" s="12">
        <f>_xlfn.XLOOKUP(B19,'IND TECH'!L:L,'IND TECH'!M:M)</f>
        <v>1</v>
      </c>
      <c r="H19">
        <f>_xlfn.XLOOKUP(B19,'IND TECH'!L:L,'IND TECH'!O:O)</f>
        <v>31.536000000000001</v>
      </c>
      <c r="I19" s="12">
        <f>_xlfn.XLOOKUP(B19,'IND TECH'!L:L,'IND TECH'!N:N)</f>
        <v>0.9</v>
      </c>
      <c r="J19" s="12">
        <f>I19*0.9</f>
        <v>0.81</v>
      </c>
      <c r="K19" s="12">
        <f>_xlfn.XLOOKUP(B19,'IND TECH'!L:L,'IND TECH'!P:P)</f>
        <v>10000</v>
      </c>
      <c r="L19" s="12">
        <f>5%*K19</f>
        <v>500</v>
      </c>
    </row>
    <row r="20" spans="2:22" x14ac:dyDescent="0.25">
      <c r="F20" s="12"/>
      <c r="G20" s="12"/>
      <c r="I20" s="12"/>
      <c r="J20" s="12"/>
      <c r="K20" s="12"/>
    </row>
    <row r="21" spans="2:22" x14ac:dyDescent="0.25">
      <c r="F21" s="12"/>
      <c r="G21" s="12"/>
      <c r="I21" s="12"/>
      <c r="J21" s="12"/>
      <c r="K21" s="12"/>
    </row>
    <row r="22" spans="2:22" x14ac:dyDescent="0.25">
      <c r="F22" s="12"/>
      <c r="G22" s="12"/>
      <c r="I22" s="12"/>
      <c r="J22" s="12"/>
      <c r="K22" s="12"/>
    </row>
    <row r="23" spans="2:22" x14ac:dyDescent="0.25">
      <c r="F23" s="12"/>
      <c r="G23" s="12"/>
      <c r="I23" s="12"/>
      <c r="J23" s="12"/>
      <c r="K23" s="12"/>
    </row>
    <row r="24" spans="2:22" x14ac:dyDescent="0.25">
      <c r="F24" s="12"/>
      <c r="G24" s="12"/>
      <c r="I24" s="12"/>
      <c r="J24" s="12"/>
      <c r="K24" s="12"/>
    </row>
    <row r="25" spans="2:22" x14ac:dyDescent="0.25">
      <c r="E25" s="13">
        <v>0</v>
      </c>
      <c r="F25" s="13">
        <v>0.01</v>
      </c>
      <c r="G25" s="13">
        <v>0.05</v>
      </c>
      <c r="H25" s="13">
        <v>0.1</v>
      </c>
      <c r="I25" s="13">
        <v>0.15</v>
      </c>
      <c r="J25" s="13">
        <v>0.2</v>
      </c>
      <c r="K25" s="13">
        <v>0.25</v>
      </c>
      <c r="L25" s="13">
        <v>0.3</v>
      </c>
      <c r="M25" s="13">
        <f t="shared" ref="M25:V25" si="2">L25</f>
        <v>0.3</v>
      </c>
      <c r="N25" s="13">
        <f t="shared" si="2"/>
        <v>0.3</v>
      </c>
      <c r="O25" s="13">
        <f t="shared" si="2"/>
        <v>0.3</v>
      </c>
      <c r="P25" s="13">
        <f t="shared" si="2"/>
        <v>0.3</v>
      </c>
      <c r="Q25" s="13">
        <f t="shared" si="2"/>
        <v>0.3</v>
      </c>
      <c r="R25" s="13">
        <f t="shared" si="2"/>
        <v>0.3</v>
      </c>
      <c r="S25" s="13">
        <f t="shared" si="2"/>
        <v>0.3</v>
      </c>
      <c r="T25" s="13">
        <f t="shared" si="2"/>
        <v>0.3</v>
      </c>
      <c r="U25" s="13">
        <f t="shared" si="2"/>
        <v>0.3</v>
      </c>
      <c r="V25" s="13">
        <f t="shared" si="2"/>
        <v>0.3</v>
      </c>
    </row>
    <row r="26" spans="2:22" x14ac:dyDescent="0.25">
      <c r="E26">
        <v>2019</v>
      </c>
      <c r="F26">
        <v>2020</v>
      </c>
      <c r="G26">
        <v>2025</v>
      </c>
      <c r="H26">
        <v>2030</v>
      </c>
      <c r="I26">
        <v>2035</v>
      </c>
      <c r="J26">
        <v>2040</v>
      </c>
      <c r="K26">
        <v>2045</v>
      </c>
      <c r="L26">
        <v>2050</v>
      </c>
      <c r="M26">
        <v>2055</v>
      </c>
      <c r="N26">
        <v>2060</v>
      </c>
      <c r="O26">
        <v>2065</v>
      </c>
      <c r="P26">
        <v>2070</v>
      </c>
      <c r="Q26">
        <v>2075</v>
      </c>
      <c r="R26">
        <v>2080</v>
      </c>
      <c r="S26">
        <v>2085</v>
      </c>
      <c r="T26">
        <v>2090</v>
      </c>
      <c r="U26">
        <v>2095</v>
      </c>
      <c r="V26">
        <v>2100</v>
      </c>
    </row>
    <row r="27" spans="2:22" x14ac:dyDescent="0.25">
      <c r="E27" t="s">
        <v>307</v>
      </c>
      <c r="F27" t="s">
        <v>307</v>
      </c>
      <c r="G27" t="s">
        <v>307</v>
      </c>
      <c r="H27" t="s">
        <v>307</v>
      </c>
      <c r="I27" t="s">
        <v>307</v>
      </c>
      <c r="J27" t="s">
        <v>307</v>
      </c>
      <c r="K27" t="s">
        <v>307</v>
      </c>
      <c r="L27" t="s">
        <v>307</v>
      </c>
      <c r="M27" t="s">
        <v>307</v>
      </c>
      <c r="N27" t="s">
        <v>307</v>
      </c>
      <c r="O27" t="s">
        <v>307</v>
      </c>
      <c r="P27" t="s">
        <v>307</v>
      </c>
      <c r="Q27" t="s">
        <v>307</v>
      </c>
      <c r="R27" t="s">
        <v>307</v>
      </c>
      <c r="S27" t="s">
        <v>307</v>
      </c>
      <c r="T27" t="s">
        <v>307</v>
      </c>
      <c r="U27" t="s">
        <v>307</v>
      </c>
      <c r="V27" t="s">
        <v>307</v>
      </c>
    </row>
    <row r="29" spans="2:22" x14ac:dyDescent="0.25">
      <c r="C29" s="9" t="s">
        <v>291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2:22" x14ac:dyDescent="0.25">
      <c r="B30" s="10" t="s">
        <v>258</v>
      </c>
      <c r="C30" s="10" t="s">
        <v>293</v>
      </c>
      <c r="D30" s="10" t="s">
        <v>308</v>
      </c>
      <c r="E30" s="10" t="str">
        <f t="shared" ref="E30:V30" si="3">E27&amp;"~"&amp;E26</f>
        <v>ACT_BND~UP~2019</v>
      </c>
      <c r="F30" s="10" t="str">
        <f t="shared" si="3"/>
        <v>ACT_BND~UP~2020</v>
      </c>
      <c r="G30" s="10" t="str">
        <f t="shared" si="3"/>
        <v>ACT_BND~UP~2025</v>
      </c>
      <c r="H30" s="10" t="str">
        <f t="shared" si="3"/>
        <v>ACT_BND~UP~2030</v>
      </c>
      <c r="I30" s="10" t="str">
        <f t="shared" si="3"/>
        <v>ACT_BND~UP~2035</v>
      </c>
      <c r="J30" s="10" t="str">
        <f t="shared" si="3"/>
        <v>ACT_BND~UP~2040</v>
      </c>
      <c r="K30" s="10" t="str">
        <f t="shared" si="3"/>
        <v>ACT_BND~UP~2045</v>
      </c>
      <c r="L30" s="10" t="str">
        <f t="shared" si="3"/>
        <v>ACT_BND~UP~2050</v>
      </c>
      <c r="M30" s="10" t="str">
        <f t="shared" si="3"/>
        <v>ACT_BND~UP~2055</v>
      </c>
      <c r="N30" s="10" t="str">
        <f t="shared" si="3"/>
        <v>ACT_BND~UP~2060</v>
      </c>
      <c r="O30" s="10" t="str">
        <f t="shared" si="3"/>
        <v>ACT_BND~UP~2065</v>
      </c>
      <c r="P30" s="10" t="str">
        <f t="shared" si="3"/>
        <v>ACT_BND~UP~2070</v>
      </c>
      <c r="Q30" s="10" t="str">
        <f t="shared" si="3"/>
        <v>ACT_BND~UP~2075</v>
      </c>
      <c r="R30" s="10" t="str">
        <f t="shared" si="3"/>
        <v>ACT_BND~UP~2080</v>
      </c>
      <c r="S30" s="10" t="str">
        <f t="shared" si="3"/>
        <v>ACT_BND~UP~2085</v>
      </c>
      <c r="T30" s="10" t="str">
        <f t="shared" si="3"/>
        <v>ACT_BND~UP~2090</v>
      </c>
      <c r="U30" s="10" t="str">
        <f t="shared" si="3"/>
        <v>ACT_BND~UP~2095</v>
      </c>
      <c r="V30" s="10" t="str">
        <f t="shared" si="3"/>
        <v>ACT_BND~UP~2100</v>
      </c>
    </row>
    <row r="31" spans="2:22" ht="15" customHeight="1" thickBot="1" x14ac:dyDescent="0.3">
      <c r="B31" s="11" t="s">
        <v>252</v>
      </c>
      <c r="C31" s="11"/>
      <c r="D31" s="11" t="s">
        <v>309</v>
      </c>
      <c r="E31" s="11" t="s">
        <v>131</v>
      </c>
      <c r="F31" s="11" t="s">
        <v>131</v>
      </c>
      <c r="G31" s="11" t="s">
        <v>131</v>
      </c>
      <c r="H31" s="11" t="s">
        <v>131</v>
      </c>
      <c r="I31" s="11" t="s">
        <v>131</v>
      </c>
      <c r="J31" s="11" t="s">
        <v>131</v>
      </c>
      <c r="K31" s="11" t="s">
        <v>131</v>
      </c>
      <c r="L31" s="11" t="s">
        <v>131</v>
      </c>
      <c r="M31" s="11" t="s">
        <v>131</v>
      </c>
      <c r="N31" s="11" t="s">
        <v>131</v>
      </c>
      <c r="O31" s="11" t="s">
        <v>131</v>
      </c>
      <c r="P31" s="11" t="s">
        <v>131</v>
      </c>
      <c r="Q31" s="11" t="s">
        <v>131</v>
      </c>
      <c r="R31" s="11" t="s">
        <v>131</v>
      </c>
      <c r="S31" s="11" t="s">
        <v>131</v>
      </c>
      <c r="T31" s="11" t="s">
        <v>131</v>
      </c>
      <c r="U31" s="11" t="s">
        <v>131</v>
      </c>
      <c r="V31" s="11" t="s">
        <v>131</v>
      </c>
    </row>
    <row r="32" spans="2:22" x14ac:dyDescent="0.25">
      <c r="B32" t="str">
        <f>Def_Tech!C18</f>
        <v>INDAINAEURET20</v>
      </c>
      <c r="C32" t="str">
        <f>_xlfn.XLOOKUP(B32,'IND TECH'!L:L,'IND TECH'!K:K)</f>
        <v>INDAINDMD</v>
      </c>
      <c r="D32">
        <v>1</v>
      </c>
      <c r="E32" s="8">
        <f>Demand!G34*E$25</f>
        <v>0</v>
      </c>
      <c r="F32" s="8">
        <f>Demand!H34*F$25</f>
        <v>680.50790047559201</v>
      </c>
      <c r="G32" s="8">
        <f>Demand!I34*G$25</f>
        <v>3742.7934526157569</v>
      </c>
      <c r="H32" s="8">
        <f>Demand!J34*H$25</f>
        <v>8234.1455957546659</v>
      </c>
      <c r="I32" s="8">
        <f>Demand!K34*I$25</f>
        <v>13586.340232995199</v>
      </c>
      <c r="J32" s="8">
        <f>Demand!L34*J$25</f>
        <v>19926.632341726294</v>
      </c>
      <c r="K32" s="8">
        <f>Demand!M34*K$25</f>
        <v>27399.119469873651</v>
      </c>
      <c r="L32" s="8">
        <f>Demand!N34*L$25</f>
        <v>36166.837700233227</v>
      </c>
      <c r="M32" s="8">
        <f>Demand!O34*M$25</f>
        <v>39783.52147025655</v>
      </c>
      <c r="N32" s="8">
        <f>Demand!P34*N$25</f>
        <v>43761.873617282217</v>
      </c>
      <c r="O32" s="8">
        <f>Demand!Q34*O$25</f>
        <v>48138.060979010428</v>
      </c>
      <c r="P32" s="8">
        <f>Demand!R34*P$25</f>
        <v>52951.867076911505</v>
      </c>
      <c r="Q32" s="8">
        <f>Demand!S34*Q$25</f>
        <v>58247.053784602649</v>
      </c>
      <c r="R32" s="8">
        <f>Demand!T34*R$25</f>
        <v>64071.759163062896</v>
      </c>
      <c r="S32" s="8">
        <f>Demand!U34*S$25</f>
        <v>70478.935079369214</v>
      </c>
      <c r="T32" s="8">
        <f>Demand!V34*T$25</f>
        <v>77526.828587306125</v>
      </c>
      <c r="U32" s="8">
        <f>Demand!W34*U$25</f>
        <v>85279.511446036762</v>
      </c>
      <c r="V32" s="8">
        <f>Demand!X34*V$25</f>
        <v>93807.462590640454</v>
      </c>
    </row>
    <row r="33" spans="5:22" x14ac:dyDescent="0.25"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5:22" x14ac:dyDescent="0.25">
      <c r="F34" s="12"/>
      <c r="G34" s="12"/>
      <c r="I34" s="12"/>
      <c r="J34" s="12"/>
      <c r="K34" s="12"/>
    </row>
    <row r="35" spans="5:22" x14ac:dyDescent="0.25">
      <c r="F35" s="12"/>
      <c r="G35" s="12"/>
      <c r="I35" s="12"/>
      <c r="J35" s="12"/>
      <c r="K35" s="12"/>
    </row>
    <row r="36" spans="5:22" x14ac:dyDescent="0.25">
      <c r="F36" s="12"/>
      <c r="G36" s="12"/>
      <c r="I36" s="12"/>
      <c r="J36" s="12"/>
      <c r="K36" s="12"/>
    </row>
    <row r="37" spans="5:22" x14ac:dyDescent="0.25">
      <c r="F37" s="12"/>
      <c r="G37" s="12"/>
      <c r="I37" s="12"/>
      <c r="J37" s="12"/>
      <c r="K37" s="12"/>
    </row>
    <row r="38" spans="5:22" x14ac:dyDescent="0.25">
      <c r="F38" s="12"/>
      <c r="G38" s="12"/>
      <c r="I38" s="12"/>
      <c r="J38" s="12"/>
      <c r="K38" s="12"/>
    </row>
    <row r="39" spans="5:22" x14ac:dyDescent="0.25">
      <c r="F39" s="12"/>
      <c r="G39" s="12"/>
      <c r="I39" s="12"/>
      <c r="J39" s="12"/>
      <c r="K39" s="12"/>
    </row>
    <row r="40" spans="5:22" x14ac:dyDescent="0.25">
      <c r="F40" s="12"/>
      <c r="G40" s="12"/>
      <c r="I40" s="12"/>
      <c r="J40" s="12"/>
      <c r="K40" s="12"/>
    </row>
    <row r="41" spans="5:22" x14ac:dyDescent="0.25">
      <c r="F41" s="12"/>
      <c r="G41" s="12"/>
      <c r="I41" s="12"/>
      <c r="J41" s="12"/>
      <c r="K41" s="12"/>
    </row>
    <row r="42" spans="5:22" x14ac:dyDescent="0.25">
      <c r="F42" s="12"/>
      <c r="G42" s="12"/>
      <c r="I42" s="12"/>
      <c r="J42" s="12"/>
      <c r="K42" s="12"/>
    </row>
    <row r="43" spans="5:22" x14ac:dyDescent="0.25">
      <c r="F43" s="12"/>
      <c r="G43" s="12"/>
      <c r="I43" s="12"/>
      <c r="J43" s="12"/>
      <c r="K43" s="12"/>
    </row>
    <row r="44" spans="5:22" x14ac:dyDescent="0.25">
      <c r="F44" s="12"/>
      <c r="G44" s="12"/>
      <c r="I44" s="12"/>
      <c r="J44" s="12"/>
      <c r="K44" s="12"/>
    </row>
    <row r="45" spans="5:22" x14ac:dyDescent="0.25">
      <c r="F45" s="12"/>
      <c r="G45" s="12"/>
      <c r="I45" s="12"/>
      <c r="J45" s="12"/>
      <c r="K45" s="12"/>
    </row>
    <row r="46" spans="5:22" x14ac:dyDescent="0.25">
      <c r="F46" s="12"/>
      <c r="G46" s="12"/>
      <c r="I46" s="12"/>
      <c r="J46" s="12"/>
      <c r="K46" s="12"/>
    </row>
    <row r="47" spans="5:22" x14ac:dyDescent="0.25">
      <c r="F47" s="12"/>
      <c r="G47" s="12"/>
      <c r="I47" s="12"/>
      <c r="J47" s="12"/>
      <c r="K47" s="12"/>
    </row>
    <row r="48" spans="5:22" x14ac:dyDescent="0.25">
      <c r="F48" s="12"/>
      <c r="G48" s="12"/>
      <c r="I48" s="12"/>
      <c r="J48" s="12"/>
      <c r="K48" s="12"/>
    </row>
    <row r="49" spans="6:11" x14ac:dyDescent="0.25">
      <c r="F49" s="12"/>
      <c r="G49" s="12"/>
      <c r="I49" s="12"/>
      <c r="J49" s="12"/>
      <c r="K49" s="12"/>
    </row>
    <row r="50" spans="6:11" x14ac:dyDescent="0.25">
      <c r="F50" s="12"/>
      <c r="G50" s="12"/>
      <c r="I50" s="12"/>
      <c r="J50" s="12"/>
      <c r="K50" s="12"/>
    </row>
    <row r="51" spans="6:11" x14ac:dyDescent="0.25">
      <c r="F51" s="12"/>
      <c r="G51" s="12"/>
      <c r="I51" s="12"/>
      <c r="J51" s="12"/>
      <c r="K51" s="12"/>
    </row>
    <row r="52" spans="6:11" x14ac:dyDescent="0.25">
      <c r="F52" s="12"/>
      <c r="G52" s="12"/>
      <c r="I52" s="12"/>
      <c r="J52" s="12"/>
      <c r="K52" s="12"/>
    </row>
    <row r="53" spans="6:11" x14ac:dyDescent="0.25">
      <c r="F53" s="12"/>
      <c r="G53" s="12"/>
      <c r="I53" s="12"/>
      <c r="J53" s="12"/>
      <c r="K53" s="12"/>
    </row>
    <row r="54" spans="6:11" x14ac:dyDescent="0.25">
      <c r="F54" s="12"/>
      <c r="G54" s="12"/>
      <c r="I54" s="12"/>
      <c r="J54" s="12"/>
      <c r="K54" s="12"/>
    </row>
    <row r="55" spans="6:11" x14ac:dyDescent="0.25">
      <c r="F55" s="12"/>
      <c r="G55" s="12"/>
      <c r="I55" s="12"/>
      <c r="J55" s="12"/>
      <c r="K55" s="12"/>
    </row>
    <row r="56" spans="6:11" x14ac:dyDescent="0.25">
      <c r="F56" s="12"/>
      <c r="G56" s="12"/>
      <c r="I56" s="12"/>
      <c r="J56" s="12"/>
      <c r="K56" s="12"/>
    </row>
    <row r="57" spans="6:11" x14ac:dyDescent="0.25">
      <c r="F57" s="12"/>
      <c r="G57" s="12"/>
      <c r="I57" s="12"/>
      <c r="J57" s="12"/>
      <c r="K57" s="12"/>
    </row>
    <row r="58" spans="6:11" x14ac:dyDescent="0.25">
      <c r="F58" s="12"/>
      <c r="G58" s="12"/>
      <c r="I58" s="12"/>
      <c r="J58" s="12"/>
      <c r="K58" s="12"/>
    </row>
    <row r="59" spans="6:11" x14ac:dyDescent="0.25">
      <c r="F59" s="12"/>
      <c r="G59" s="12"/>
      <c r="I59" s="12"/>
      <c r="J59" s="12"/>
      <c r="K59" s="12"/>
    </row>
    <row r="60" spans="6:11" x14ac:dyDescent="0.25">
      <c r="F60" s="12"/>
      <c r="G60" s="12"/>
      <c r="I60" s="12"/>
      <c r="J60" s="12"/>
      <c r="K60" s="12"/>
    </row>
    <row r="61" spans="6:11" x14ac:dyDescent="0.25">
      <c r="F61" s="12"/>
      <c r="G61" s="12"/>
      <c r="I61" s="12"/>
      <c r="J61" s="12"/>
      <c r="K61" s="12"/>
    </row>
    <row r="62" spans="6:11" x14ac:dyDescent="0.25">
      <c r="F62" s="12"/>
      <c r="G62" s="12"/>
      <c r="I62" s="12"/>
      <c r="J62" s="12"/>
      <c r="K62" s="12"/>
    </row>
    <row r="63" spans="6:11" x14ac:dyDescent="0.25">
      <c r="F63" s="12"/>
      <c r="G63" s="12"/>
      <c r="I63" s="12"/>
      <c r="J63" s="12"/>
      <c r="K63" s="12"/>
    </row>
    <row r="64" spans="6:11" x14ac:dyDescent="0.25">
      <c r="F64" s="12"/>
      <c r="G64" s="12"/>
      <c r="I64" s="12"/>
      <c r="J64" s="12"/>
      <c r="K64" s="12"/>
    </row>
    <row r="65" spans="6:11" x14ac:dyDescent="0.25">
      <c r="F65" s="12"/>
      <c r="G65" s="12"/>
      <c r="I65" s="12"/>
      <c r="J65" s="12"/>
      <c r="K65" s="12"/>
    </row>
    <row r="66" spans="6:11" x14ac:dyDescent="0.25">
      <c r="F66" s="12"/>
      <c r="G66" s="12"/>
      <c r="I66" s="12"/>
      <c r="J66" s="12"/>
      <c r="K66" s="12"/>
    </row>
    <row r="67" spans="6:11" x14ac:dyDescent="0.25">
      <c r="F67" s="12"/>
      <c r="G67" s="12"/>
      <c r="I67" s="12"/>
      <c r="J67" s="12"/>
      <c r="K67" s="12"/>
    </row>
    <row r="68" spans="6:11" x14ac:dyDescent="0.25">
      <c r="F68" s="12"/>
      <c r="G68" s="12"/>
      <c r="I68" s="12"/>
      <c r="J68" s="12"/>
      <c r="K68" s="12"/>
    </row>
    <row r="69" spans="6:11" x14ac:dyDescent="0.25">
      <c r="F69" s="12"/>
      <c r="G69" s="12"/>
      <c r="I69" s="12"/>
      <c r="J69" s="12"/>
      <c r="K69" s="12"/>
    </row>
    <row r="70" spans="6:11" x14ac:dyDescent="0.25">
      <c r="F70" s="12"/>
      <c r="G70" s="12"/>
      <c r="I70" s="12"/>
      <c r="J70" s="12"/>
      <c r="K70" s="12"/>
    </row>
    <row r="71" spans="6:11" x14ac:dyDescent="0.25">
      <c r="F71" s="12"/>
      <c r="G71" s="12"/>
      <c r="I71" s="12"/>
      <c r="J71" s="12"/>
      <c r="K71" s="12"/>
    </row>
    <row r="72" spans="6:11" x14ac:dyDescent="0.25">
      <c r="F72" s="12"/>
      <c r="G72" s="12"/>
      <c r="I72" s="12"/>
      <c r="J72" s="12"/>
      <c r="K72" s="12"/>
    </row>
    <row r="73" spans="6:11" x14ac:dyDescent="0.25">
      <c r="F73" s="12"/>
      <c r="G73" s="12"/>
      <c r="I73" s="12"/>
      <c r="J73" s="12"/>
      <c r="K73" s="12"/>
    </row>
    <row r="74" spans="6:11" x14ac:dyDescent="0.25">
      <c r="F74" s="12"/>
      <c r="G74" s="12"/>
      <c r="I74" s="12"/>
      <c r="J74" s="12"/>
      <c r="K74" s="12"/>
    </row>
    <row r="75" spans="6:11" x14ac:dyDescent="0.25">
      <c r="F75" s="12"/>
      <c r="G75" s="12"/>
      <c r="I75" s="12"/>
      <c r="J75" s="12"/>
      <c r="K75" s="12"/>
    </row>
    <row r="76" spans="6:11" x14ac:dyDescent="0.25">
      <c r="F76" s="12"/>
      <c r="G76" s="12"/>
      <c r="I76" s="12"/>
      <c r="J76" s="12"/>
      <c r="K76" s="12"/>
    </row>
    <row r="77" spans="6:11" x14ac:dyDescent="0.25">
      <c r="F77" s="12"/>
      <c r="G77" s="12"/>
      <c r="I77" s="12"/>
      <c r="J77" s="12"/>
      <c r="K77" s="12"/>
    </row>
    <row r="78" spans="6:11" x14ac:dyDescent="0.25">
      <c r="F78" s="12"/>
      <c r="G78" s="12"/>
      <c r="I78" s="12"/>
      <c r="J78" s="12"/>
      <c r="K78" s="12"/>
    </row>
    <row r="79" spans="6:11" x14ac:dyDescent="0.25">
      <c r="F79" s="12"/>
      <c r="G79" s="12"/>
      <c r="I79" s="12"/>
      <c r="J79" s="12"/>
      <c r="K79" s="12"/>
    </row>
    <row r="80" spans="6:11" x14ac:dyDescent="0.25">
      <c r="F80" s="12"/>
      <c r="G80" s="12"/>
      <c r="I80" s="12"/>
      <c r="J80" s="12"/>
      <c r="K80" s="12"/>
    </row>
    <row r="81" spans="6:11" x14ac:dyDescent="0.25">
      <c r="F81" s="12"/>
      <c r="G81" s="12"/>
      <c r="I81" s="12"/>
      <c r="J81" s="12"/>
      <c r="K81" s="12"/>
    </row>
    <row r="82" spans="6:11" x14ac:dyDescent="0.25">
      <c r="F82" s="12"/>
      <c r="G82" s="12"/>
      <c r="I82" s="12"/>
      <c r="J82" s="12"/>
      <c r="K82" s="12"/>
    </row>
    <row r="83" spans="6:11" x14ac:dyDescent="0.25">
      <c r="F83" s="12"/>
      <c r="G83" s="12"/>
      <c r="I83" s="12"/>
      <c r="J83" s="12"/>
      <c r="K83" s="12"/>
    </row>
    <row r="84" spans="6:11" x14ac:dyDescent="0.25">
      <c r="F84" s="12"/>
      <c r="G84" s="12"/>
      <c r="I84" s="12"/>
      <c r="J84" s="12"/>
      <c r="K84" s="12"/>
    </row>
    <row r="85" spans="6:11" x14ac:dyDescent="0.25">
      <c r="F85" s="12"/>
      <c r="G85" s="12"/>
      <c r="I85" s="12"/>
      <c r="J85" s="12"/>
      <c r="K85" s="12"/>
    </row>
    <row r="86" spans="6:11" x14ac:dyDescent="0.25">
      <c r="F86" s="12"/>
      <c r="G86" s="12"/>
      <c r="I86" s="12"/>
      <c r="J86" s="12"/>
      <c r="K86" s="12"/>
    </row>
    <row r="87" spans="6:11" x14ac:dyDescent="0.25">
      <c r="F87" s="12"/>
      <c r="G87" s="12"/>
      <c r="I87" s="12"/>
      <c r="J87" s="12"/>
      <c r="K87" s="12"/>
    </row>
    <row r="88" spans="6:11" x14ac:dyDescent="0.25">
      <c r="F88" s="12"/>
      <c r="G88" s="12"/>
      <c r="I88" s="12"/>
      <c r="J88" s="12"/>
      <c r="K88" s="12"/>
    </row>
    <row r="89" spans="6:11" x14ac:dyDescent="0.25">
      <c r="F89" s="12"/>
      <c r="G89" s="12"/>
      <c r="I89" s="12"/>
      <c r="J89" s="12"/>
      <c r="K89" s="12"/>
    </row>
    <row r="90" spans="6:11" x14ac:dyDescent="0.25">
      <c r="F90" s="12"/>
      <c r="G90" s="12"/>
      <c r="I90" s="12"/>
      <c r="J90" s="12"/>
      <c r="K90" s="12"/>
    </row>
    <row r="91" spans="6:11" x14ac:dyDescent="0.25">
      <c r="F91" s="12"/>
      <c r="G91" s="12"/>
      <c r="I91" s="12"/>
      <c r="J91" s="12"/>
      <c r="K91" s="12"/>
    </row>
    <row r="92" spans="6:11" x14ac:dyDescent="0.25">
      <c r="F92" s="12"/>
      <c r="G92" s="12"/>
      <c r="I92" s="12"/>
      <c r="J92" s="12"/>
      <c r="K92" s="12"/>
    </row>
    <row r="93" spans="6:11" x14ac:dyDescent="0.25">
      <c r="F93" s="12"/>
      <c r="G93" s="12"/>
      <c r="I93" s="12"/>
      <c r="J93" s="12"/>
      <c r="K93" s="12"/>
    </row>
    <row r="94" spans="6:11" x14ac:dyDescent="0.25">
      <c r="F94" s="12"/>
      <c r="G94" s="12"/>
      <c r="I94" s="12"/>
      <c r="J94" s="12"/>
      <c r="K94" s="12"/>
    </row>
    <row r="95" spans="6:11" x14ac:dyDescent="0.25">
      <c r="F95" s="12"/>
      <c r="G95" s="12"/>
      <c r="I95" s="12"/>
      <c r="J95" s="12"/>
      <c r="K95" s="12"/>
    </row>
    <row r="96" spans="6:11" x14ac:dyDescent="0.25">
      <c r="F96" s="12"/>
      <c r="G96" s="12"/>
      <c r="I96" s="12"/>
      <c r="J96" s="12"/>
      <c r="K96" s="12"/>
    </row>
    <row r="97" spans="6:11" x14ac:dyDescent="0.25">
      <c r="F97" s="12"/>
      <c r="G97" s="12"/>
      <c r="I97" s="12"/>
      <c r="J97" s="12"/>
      <c r="K97" s="12"/>
    </row>
    <row r="98" spans="6:11" x14ac:dyDescent="0.25">
      <c r="F98" s="12"/>
      <c r="G98" s="12"/>
      <c r="I98" s="12"/>
      <c r="J98" s="12"/>
      <c r="K98" s="12"/>
    </row>
    <row r="99" spans="6:11" x14ac:dyDescent="0.25">
      <c r="F99" s="12"/>
      <c r="G99" s="12"/>
      <c r="I99" s="12"/>
      <c r="J99" s="12"/>
      <c r="K99" s="12"/>
    </row>
    <row r="100" spans="6:11" x14ac:dyDescent="0.25">
      <c r="F100" s="12"/>
      <c r="G100" s="12"/>
      <c r="I100" s="12"/>
      <c r="J100" s="12"/>
      <c r="K100" s="12"/>
    </row>
    <row r="101" spans="6:11" x14ac:dyDescent="0.25">
      <c r="F101" s="12"/>
      <c r="G101" s="12"/>
      <c r="I101" s="12"/>
      <c r="J101" s="12"/>
      <c r="K101" s="12"/>
    </row>
    <row r="102" spans="6:11" x14ac:dyDescent="0.25">
      <c r="F102" s="12"/>
      <c r="G102" s="12"/>
      <c r="I102" s="12"/>
      <c r="J102" s="12"/>
      <c r="K102" s="12"/>
    </row>
    <row r="103" spans="6:11" x14ac:dyDescent="0.25">
      <c r="F103" s="12"/>
      <c r="G103" s="12"/>
      <c r="I103" s="12"/>
      <c r="J103" s="12"/>
      <c r="K103" s="12"/>
    </row>
    <row r="104" spans="6:11" x14ac:dyDescent="0.25">
      <c r="F104" s="12"/>
      <c r="G104" s="12"/>
      <c r="I104" s="12"/>
      <c r="J104" s="12"/>
      <c r="K104" s="12"/>
    </row>
    <row r="105" spans="6:11" x14ac:dyDescent="0.25">
      <c r="F105" s="12"/>
      <c r="G105" s="12"/>
      <c r="I105" s="12"/>
      <c r="J105" s="12"/>
      <c r="K105" s="12"/>
    </row>
    <row r="106" spans="6:11" x14ac:dyDescent="0.25">
      <c r="F106" s="12"/>
      <c r="G106" s="12"/>
      <c r="I106" s="12"/>
      <c r="J106" s="12"/>
      <c r="K106" s="12"/>
    </row>
    <row r="107" spans="6:11" x14ac:dyDescent="0.25">
      <c r="F107" s="12"/>
      <c r="G107" s="12"/>
      <c r="I107" s="12"/>
      <c r="J107" s="12"/>
      <c r="K107" s="12"/>
    </row>
    <row r="108" spans="6:11" x14ac:dyDescent="0.25">
      <c r="F108" s="12"/>
      <c r="G108" s="12"/>
      <c r="I108" s="12"/>
      <c r="J108" s="12"/>
      <c r="K108" s="12"/>
    </row>
    <row r="109" spans="6:11" x14ac:dyDescent="0.25">
      <c r="F109" s="12"/>
      <c r="G109" s="12"/>
      <c r="I109" s="12"/>
      <c r="J109" s="12"/>
      <c r="K109" s="12"/>
    </row>
    <row r="110" spans="6:11" x14ac:dyDescent="0.25">
      <c r="F110" s="12"/>
      <c r="G110" s="12"/>
      <c r="I110" s="12"/>
      <c r="J110" s="12"/>
      <c r="K110" s="12"/>
    </row>
    <row r="111" spans="6:11" x14ac:dyDescent="0.25">
      <c r="F111" s="12"/>
      <c r="G111" s="12"/>
      <c r="I111" s="12"/>
      <c r="J111" s="12"/>
      <c r="K111" s="12"/>
    </row>
    <row r="112" spans="6:11" x14ac:dyDescent="0.25">
      <c r="F112" s="12"/>
      <c r="G112" s="12"/>
      <c r="I112" s="12"/>
      <c r="J112" s="12"/>
      <c r="K112" s="12"/>
    </row>
    <row r="113" spans="6:11" x14ac:dyDescent="0.25">
      <c r="F113" s="12"/>
      <c r="G113" s="12"/>
      <c r="I113" s="12"/>
      <c r="J113" s="12"/>
      <c r="K113" s="12"/>
    </row>
    <row r="114" spans="6:11" x14ac:dyDescent="0.25">
      <c r="F114" s="12"/>
      <c r="G114" s="12"/>
      <c r="I114" s="12"/>
      <c r="J114" s="12"/>
      <c r="K114" s="12"/>
    </row>
    <row r="115" spans="6:11" x14ac:dyDescent="0.25">
      <c r="F115" s="12"/>
      <c r="G115" s="12"/>
      <c r="I115" s="12"/>
      <c r="J115" s="12"/>
      <c r="K115" s="12"/>
    </row>
    <row r="116" spans="6:11" x14ac:dyDescent="0.25">
      <c r="F116" s="12"/>
      <c r="G116" s="12"/>
      <c r="I116" s="12"/>
      <c r="J116" s="12"/>
      <c r="K116" s="12"/>
    </row>
    <row r="117" spans="6:11" x14ac:dyDescent="0.25">
      <c r="F117" s="12"/>
      <c r="G117" s="12"/>
      <c r="I117" s="12"/>
      <c r="J117" s="12"/>
      <c r="K117" s="12"/>
    </row>
    <row r="118" spans="6:11" x14ac:dyDescent="0.25">
      <c r="F118" s="12"/>
      <c r="G118" s="12"/>
      <c r="I118" s="12"/>
      <c r="J118" s="12"/>
      <c r="K118" s="12"/>
    </row>
    <row r="119" spans="6:11" x14ac:dyDescent="0.25">
      <c r="F119" s="12"/>
      <c r="G119" s="12"/>
      <c r="I119" s="12"/>
      <c r="J119" s="12"/>
      <c r="K119" s="12"/>
    </row>
    <row r="120" spans="6:11" x14ac:dyDescent="0.25">
      <c r="F120" s="12"/>
      <c r="G120" s="12"/>
      <c r="I120" s="12"/>
      <c r="J120" s="12"/>
      <c r="K120" s="12"/>
    </row>
    <row r="121" spans="6:11" x14ac:dyDescent="0.25">
      <c r="F121" s="12"/>
      <c r="G121" s="12"/>
      <c r="I121" s="12"/>
      <c r="J121" s="12"/>
      <c r="K121" s="12"/>
    </row>
    <row r="122" spans="6:11" x14ac:dyDescent="0.25">
      <c r="F122" s="12"/>
      <c r="G122" s="12"/>
      <c r="I122" s="12"/>
      <c r="J122" s="12"/>
      <c r="K122" s="12"/>
    </row>
    <row r="123" spans="6:11" x14ac:dyDescent="0.25">
      <c r="F123" s="12"/>
      <c r="G123" s="12"/>
      <c r="I123" s="12"/>
      <c r="J123" s="12"/>
      <c r="K123" s="12"/>
    </row>
    <row r="124" spans="6:11" x14ac:dyDescent="0.25">
      <c r="F124" s="12"/>
      <c r="G124" s="12"/>
      <c r="I124" s="12"/>
      <c r="J124" s="12"/>
      <c r="K124" s="12"/>
    </row>
    <row r="125" spans="6:11" x14ac:dyDescent="0.25">
      <c r="F125" s="12"/>
      <c r="G125" s="12"/>
      <c r="I125" s="12"/>
      <c r="J125" s="12"/>
      <c r="K125" s="12"/>
    </row>
    <row r="126" spans="6:11" x14ac:dyDescent="0.25">
      <c r="F126" s="12"/>
      <c r="G126" s="12"/>
      <c r="I126" s="12"/>
      <c r="J126" s="12"/>
      <c r="K126" s="12"/>
    </row>
    <row r="127" spans="6:11" x14ac:dyDescent="0.25">
      <c r="F127" s="12"/>
      <c r="G127" s="12"/>
      <c r="I127" s="12"/>
      <c r="J127" s="12"/>
      <c r="K127" s="12"/>
    </row>
    <row r="128" spans="6:11" x14ac:dyDescent="0.25">
      <c r="F128" s="12"/>
      <c r="G128" s="12"/>
      <c r="I128" s="12"/>
      <c r="J128" s="12"/>
      <c r="K128" s="12"/>
    </row>
    <row r="129" spans="6:11" x14ac:dyDescent="0.25">
      <c r="F129" s="12"/>
      <c r="G129" s="12"/>
      <c r="I129" s="12"/>
      <c r="J129" s="12"/>
      <c r="K129" s="12"/>
    </row>
    <row r="130" spans="6:11" x14ac:dyDescent="0.25">
      <c r="F130" s="12"/>
      <c r="G130" s="12"/>
      <c r="I130" s="12"/>
      <c r="J130" s="12"/>
      <c r="K130" s="12"/>
    </row>
    <row r="131" spans="6:11" x14ac:dyDescent="0.25">
      <c r="F131" s="12"/>
      <c r="G131" s="12"/>
      <c r="I131" s="12"/>
      <c r="J131" s="12"/>
      <c r="K131" s="12"/>
    </row>
    <row r="132" spans="6:11" x14ac:dyDescent="0.25">
      <c r="F132" s="12"/>
      <c r="G132" s="12"/>
      <c r="I132" s="12"/>
      <c r="J132" s="12"/>
      <c r="K132" s="12"/>
    </row>
    <row r="133" spans="6:11" x14ac:dyDescent="0.25">
      <c r="F133" s="12"/>
      <c r="G133" s="12"/>
      <c r="I133" s="12"/>
      <c r="J133" s="12"/>
      <c r="K133" s="12"/>
    </row>
    <row r="134" spans="6:11" x14ac:dyDescent="0.25">
      <c r="F134" s="12"/>
      <c r="G134" s="12"/>
      <c r="I134" s="12"/>
      <c r="J134" s="12"/>
      <c r="K134" s="12"/>
    </row>
    <row r="135" spans="6:11" x14ac:dyDescent="0.25">
      <c r="F135" s="12"/>
      <c r="G135" s="12"/>
      <c r="I135" s="12"/>
      <c r="J135" s="12"/>
      <c r="K135" s="12"/>
    </row>
    <row r="136" spans="6:11" x14ac:dyDescent="0.25">
      <c r="F136" s="12"/>
      <c r="G136" s="12"/>
      <c r="I136" s="12"/>
      <c r="J136" s="12"/>
      <c r="K136" s="12"/>
    </row>
    <row r="137" spans="6:11" x14ac:dyDescent="0.25">
      <c r="F137" s="12"/>
      <c r="G137" s="12"/>
      <c r="I137" s="12"/>
      <c r="J137" s="12"/>
      <c r="K137" s="12"/>
    </row>
    <row r="138" spans="6:11" x14ac:dyDescent="0.25">
      <c r="F138" s="12"/>
      <c r="G138" s="12"/>
      <c r="I138" s="12"/>
      <c r="J138" s="12"/>
      <c r="K138" s="12"/>
    </row>
    <row r="139" spans="6:11" x14ac:dyDescent="0.25">
      <c r="F139" s="12"/>
      <c r="G139" s="12"/>
      <c r="I139" s="12"/>
      <c r="J139" s="12"/>
      <c r="K139" s="12"/>
    </row>
    <row r="140" spans="6:11" x14ac:dyDescent="0.25">
      <c r="F140" s="12"/>
      <c r="G140" s="12"/>
      <c r="I140" s="12"/>
      <c r="J140" s="12"/>
      <c r="K140" s="12"/>
    </row>
    <row r="141" spans="6:11" x14ac:dyDescent="0.25">
      <c r="F141" s="12"/>
      <c r="G141" s="12"/>
      <c r="I141" s="12"/>
      <c r="J141" s="12"/>
      <c r="K141" s="12"/>
    </row>
    <row r="142" spans="6:11" x14ac:dyDescent="0.25">
      <c r="F142" s="12"/>
      <c r="G142" s="12"/>
      <c r="I142" s="12"/>
      <c r="J142" s="12"/>
      <c r="K142" s="12"/>
    </row>
    <row r="143" spans="6:11" x14ac:dyDescent="0.25">
      <c r="F143" s="12"/>
      <c r="G143" s="12"/>
      <c r="I143" s="12"/>
      <c r="J143" s="12"/>
      <c r="K143" s="12"/>
    </row>
    <row r="144" spans="6:11" x14ac:dyDescent="0.25">
      <c r="F144" s="12"/>
      <c r="G144" s="12"/>
      <c r="I144" s="12"/>
      <c r="J144" s="12"/>
      <c r="K144" s="12"/>
    </row>
    <row r="145" spans="6:11" x14ac:dyDescent="0.25">
      <c r="F145" s="12"/>
      <c r="G145" s="12"/>
      <c r="I145" s="12"/>
      <c r="J145" s="12"/>
      <c r="K145" s="12"/>
    </row>
    <row r="146" spans="6:11" x14ac:dyDescent="0.25">
      <c r="F146" s="12"/>
      <c r="G146" s="12"/>
      <c r="I146" s="12"/>
      <c r="J146" s="12"/>
      <c r="K146" s="12"/>
    </row>
    <row r="147" spans="6:11" x14ac:dyDescent="0.25">
      <c r="F147" s="12"/>
      <c r="G147" s="12"/>
      <c r="I147" s="12"/>
      <c r="J147" s="12"/>
      <c r="K147" s="12"/>
    </row>
    <row r="148" spans="6:11" x14ac:dyDescent="0.25">
      <c r="F148" s="12"/>
      <c r="G148" s="12"/>
      <c r="I148" s="12"/>
      <c r="J148" s="12"/>
      <c r="K148" s="12"/>
    </row>
    <row r="149" spans="6:11" x14ac:dyDescent="0.25">
      <c r="F149" s="12"/>
      <c r="G149" s="12"/>
      <c r="I149" s="12"/>
      <c r="J149" s="12"/>
      <c r="K149" s="12"/>
    </row>
    <row r="150" spans="6:11" x14ac:dyDescent="0.25">
      <c r="F150" s="12"/>
      <c r="G150" s="12"/>
      <c r="I150" s="12"/>
      <c r="J150" s="12"/>
      <c r="K150" s="12"/>
    </row>
    <row r="151" spans="6:11" x14ac:dyDescent="0.25">
      <c r="F151" s="12"/>
      <c r="G151" s="12"/>
      <c r="I151" s="12"/>
      <c r="J151" s="12"/>
      <c r="K151" s="12"/>
    </row>
    <row r="152" spans="6:11" x14ac:dyDescent="0.25">
      <c r="F152" s="12"/>
      <c r="G152" s="12"/>
      <c r="I152" s="12"/>
      <c r="J152" s="12"/>
      <c r="K152" s="12"/>
    </row>
    <row r="153" spans="6:11" x14ac:dyDescent="0.25">
      <c r="F153" s="12"/>
      <c r="G153" s="12"/>
      <c r="I153" s="12"/>
      <c r="J153" s="12"/>
      <c r="K153" s="12"/>
    </row>
    <row r="154" spans="6:11" x14ac:dyDescent="0.25">
      <c r="F154" s="12"/>
      <c r="G154" s="12"/>
      <c r="I154" s="12"/>
      <c r="J154" s="12"/>
      <c r="K154" s="12"/>
    </row>
    <row r="155" spans="6:11" x14ac:dyDescent="0.25">
      <c r="F155" s="12"/>
      <c r="G155" s="12"/>
      <c r="I155" s="12"/>
      <c r="J155" s="12"/>
      <c r="K155" s="12"/>
    </row>
    <row r="156" spans="6:11" x14ac:dyDescent="0.25">
      <c r="F156" s="12"/>
      <c r="G156" s="12"/>
      <c r="I156" s="12"/>
      <c r="J156" s="12"/>
      <c r="K156" s="12"/>
    </row>
    <row r="157" spans="6:11" x14ac:dyDescent="0.25">
      <c r="F157" s="12"/>
      <c r="G157" s="12"/>
      <c r="I157" s="12"/>
      <c r="J157" s="12"/>
      <c r="K157" s="12"/>
    </row>
    <row r="158" spans="6:11" x14ac:dyDescent="0.25">
      <c r="F158" s="12"/>
      <c r="G158" s="12"/>
      <c r="I158" s="12"/>
      <c r="J158" s="12"/>
      <c r="K158" s="12"/>
    </row>
    <row r="159" spans="6:11" x14ac:dyDescent="0.25">
      <c r="F159" s="12"/>
      <c r="G159" s="12"/>
      <c r="I159" s="12"/>
      <c r="J159" s="12"/>
      <c r="K159" s="12"/>
    </row>
    <row r="160" spans="6:11" x14ac:dyDescent="0.25">
      <c r="F160" s="12"/>
      <c r="G160" s="12"/>
      <c r="I160" s="12"/>
      <c r="J160" s="12"/>
      <c r="K160" s="12"/>
    </row>
    <row r="161" spans="6:11" x14ac:dyDescent="0.25">
      <c r="F161" s="12"/>
      <c r="G161" s="12"/>
      <c r="I161" s="12"/>
      <c r="J161" s="12"/>
      <c r="K161" s="12"/>
    </row>
    <row r="162" spans="6:11" x14ac:dyDescent="0.25">
      <c r="F162" s="12"/>
      <c r="G162" s="12"/>
      <c r="I162" s="12"/>
      <c r="J162" s="12"/>
      <c r="K162" s="12"/>
    </row>
    <row r="163" spans="6:11" x14ac:dyDescent="0.25">
      <c r="F163" s="12"/>
      <c r="G163" s="12"/>
      <c r="I163" s="12"/>
      <c r="J163" s="12"/>
      <c r="K163" s="12"/>
    </row>
    <row r="164" spans="6:11" x14ac:dyDescent="0.25">
      <c r="F164" s="12"/>
      <c r="G164" s="12"/>
      <c r="I164" s="12"/>
      <c r="J164" s="12"/>
      <c r="K164" s="12"/>
    </row>
    <row r="165" spans="6:11" x14ac:dyDescent="0.25">
      <c r="F165" s="12"/>
      <c r="G165" s="12"/>
      <c r="I165" s="12"/>
      <c r="J165" s="12"/>
      <c r="K165" s="12"/>
    </row>
    <row r="166" spans="6:11" x14ac:dyDescent="0.25">
      <c r="F166" s="12"/>
      <c r="G166" s="12"/>
      <c r="I166" s="12"/>
      <c r="J166" s="12"/>
      <c r="K166" s="12"/>
    </row>
    <row r="167" spans="6:11" x14ac:dyDescent="0.25">
      <c r="F167" s="12"/>
      <c r="G167" s="12"/>
      <c r="I167" s="12"/>
      <c r="J167" s="12"/>
      <c r="K167" s="12"/>
    </row>
    <row r="168" spans="6:11" x14ac:dyDescent="0.25">
      <c r="F168" s="12"/>
      <c r="G168" s="12"/>
      <c r="I168" s="12"/>
      <c r="J168" s="12"/>
      <c r="K168" s="12"/>
    </row>
    <row r="169" spans="6:11" x14ac:dyDescent="0.25">
      <c r="F169" s="12"/>
      <c r="G169" s="12"/>
      <c r="I169" s="12"/>
      <c r="J169" s="12"/>
      <c r="K169" s="12"/>
    </row>
    <row r="170" spans="6:11" x14ac:dyDescent="0.25">
      <c r="F170" s="12"/>
      <c r="G170" s="12"/>
      <c r="I170" s="12"/>
      <c r="J170" s="12"/>
      <c r="K170" s="12"/>
    </row>
    <row r="171" spans="6:11" x14ac:dyDescent="0.25">
      <c r="F171" s="12"/>
      <c r="G171" s="12"/>
      <c r="I171" s="12"/>
      <c r="J171" s="12"/>
      <c r="K171" s="12"/>
    </row>
    <row r="172" spans="6:11" x14ac:dyDescent="0.25">
      <c r="F172" s="12"/>
      <c r="G172" s="12"/>
      <c r="I172" s="12"/>
      <c r="J172" s="12"/>
      <c r="K172" s="12"/>
    </row>
    <row r="173" spans="6:11" x14ac:dyDescent="0.25">
      <c r="F173" s="12"/>
      <c r="G173" s="12"/>
      <c r="I173" s="12"/>
      <c r="J173" s="12"/>
      <c r="K173" s="12"/>
    </row>
    <row r="174" spans="6:11" x14ac:dyDescent="0.25">
      <c r="F174" s="12"/>
      <c r="G174" s="12"/>
      <c r="I174" s="12"/>
      <c r="J174" s="12"/>
      <c r="K174" s="12"/>
    </row>
    <row r="175" spans="6:11" x14ac:dyDescent="0.25">
      <c r="F175" s="12"/>
      <c r="G175" s="12"/>
      <c r="I175" s="12"/>
      <c r="J175" s="12"/>
      <c r="K175" s="12"/>
    </row>
    <row r="176" spans="6:11" x14ac:dyDescent="0.25">
      <c r="F176" s="12"/>
      <c r="G176" s="12"/>
      <c r="I176" s="12"/>
      <c r="J176" s="12"/>
      <c r="K176" s="12"/>
    </row>
    <row r="177" spans="6:11" x14ac:dyDescent="0.25">
      <c r="F177" s="12"/>
      <c r="G177" s="12"/>
      <c r="I177" s="12"/>
      <c r="J177" s="12"/>
      <c r="K177" s="12"/>
    </row>
    <row r="178" spans="6:11" x14ac:dyDescent="0.25">
      <c r="F178" s="12"/>
      <c r="G178" s="12"/>
      <c r="I178" s="12"/>
      <c r="J178" s="12"/>
      <c r="K178" s="12"/>
    </row>
    <row r="179" spans="6:11" x14ac:dyDescent="0.25">
      <c r="F179" s="12"/>
      <c r="G179" s="12"/>
      <c r="I179" s="12"/>
      <c r="J179" s="12"/>
      <c r="K179" s="12"/>
    </row>
    <row r="180" spans="6:11" x14ac:dyDescent="0.25">
      <c r="F180" s="12"/>
      <c r="G180" s="12"/>
      <c r="I180" s="12"/>
      <c r="J180" s="12"/>
      <c r="K180" s="12"/>
    </row>
    <row r="181" spans="6:11" x14ac:dyDescent="0.25">
      <c r="F181" s="12"/>
      <c r="G181" s="12"/>
      <c r="I181" s="12"/>
      <c r="J181" s="12"/>
      <c r="K181" s="12"/>
    </row>
    <row r="182" spans="6:11" x14ac:dyDescent="0.25">
      <c r="F182" s="12"/>
      <c r="G182" s="12"/>
      <c r="I182" s="12"/>
      <c r="J182" s="12"/>
      <c r="K182" s="12"/>
    </row>
    <row r="183" spans="6:11" x14ac:dyDescent="0.25">
      <c r="F183" s="12"/>
      <c r="G183" s="12"/>
      <c r="I183" s="12"/>
      <c r="J183" s="12"/>
      <c r="K183" s="12"/>
    </row>
    <row r="184" spans="6:11" x14ac:dyDescent="0.25">
      <c r="F184" s="12"/>
      <c r="G184" s="12"/>
      <c r="I184" s="12"/>
      <c r="J184" s="12"/>
      <c r="K184" s="12"/>
    </row>
    <row r="185" spans="6:11" x14ac:dyDescent="0.25">
      <c r="F185" s="12"/>
      <c r="G185" s="12"/>
      <c r="I185" s="12"/>
      <c r="J185" s="12"/>
      <c r="K185" s="12"/>
    </row>
    <row r="186" spans="6:11" x14ac:dyDescent="0.25">
      <c r="F186" s="12"/>
      <c r="G186" s="12"/>
      <c r="I186" s="12"/>
      <c r="J186" s="12"/>
      <c r="K186" s="12"/>
    </row>
    <row r="187" spans="6:11" x14ac:dyDescent="0.25">
      <c r="F187" s="12"/>
      <c r="G187" s="12"/>
      <c r="I187" s="12"/>
      <c r="J187" s="12"/>
      <c r="K187" s="12"/>
    </row>
    <row r="188" spans="6:11" x14ac:dyDescent="0.25">
      <c r="F188" s="12"/>
      <c r="G188" s="12"/>
      <c r="I188" s="12"/>
      <c r="J188" s="12"/>
      <c r="K188" s="12"/>
    </row>
    <row r="189" spans="6:11" x14ac:dyDescent="0.25">
      <c r="F189" s="12"/>
      <c r="G189" s="12"/>
      <c r="I189" s="12"/>
      <c r="J189" s="12"/>
      <c r="K189" s="12"/>
    </row>
    <row r="190" spans="6:11" x14ac:dyDescent="0.25">
      <c r="F190" s="12"/>
      <c r="G190" s="12"/>
      <c r="I190" s="12"/>
      <c r="J190" s="12"/>
      <c r="K190" s="12"/>
    </row>
    <row r="191" spans="6:11" x14ac:dyDescent="0.25">
      <c r="F191" s="12"/>
      <c r="G191" s="12"/>
      <c r="I191" s="12"/>
      <c r="J191" s="12"/>
      <c r="K191" s="12"/>
    </row>
    <row r="192" spans="6:11" x14ac:dyDescent="0.25">
      <c r="F192" s="12"/>
      <c r="G192" s="12"/>
      <c r="I192" s="12"/>
      <c r="J192" s="12"/>
      <c r="K192" s="12"/>
    </row>
    <row r="193" spans="6:11" x14ac:dyDescent="0.25">
      <c r="F193" s="12"/>
      <c r="G193" s="12"/>
      <c r="I193" s="12"/>
      <c r="J193" s="12"/>
      <c r="K193" s="12"/>
    </row>
    <row r="194" spans="6:11" x14ac:dyDescent="0.25">
      <c r="F194" s="12"/>
      <c r="G194" s="12"/>
      <c r="I194" s="12"/>
      <c r="J194" s="12"/>
      <c r="K194" s="12"/>
    </row>
    <row r="195" spans="6:11" x14ac:dyDescent="0.25">
      <c r="F195" s="12"/>
      <c r="G195" s="12"/>
      <c r="I195" s="12"/>
      <c r="J195" s="12"/>
      <c r="K195" s="12"/>
    </row>
    <row r="196" spans="6:11" x14ac:dyDescent="0.25">
      <c r="F196" s="12"/>
      <c r="G196" s="12"/>
      <c r="I196" s="12"/>
      <c r="J196" s="12"/>
      <c r="K196" s="12"/>
    </row>
    <row r="197" spans="6:11" x14ac:dyDescent="0.25">
      <c r="F197" s="12"/>
      <c r="G197" s="12"/>
      <c r="I197" s="12"/>
      <c r="J197" s="12"/>
      <c r="K197" s="12"/>
    </row>
    <row r="198" spans="6:11" x14ac:dyDescent="0.25">
      <c r="F198" s="12"/>
      <c r="G198" s="12"/>
      <c r="I198" s="12"/>
      <c r="J198" s="12"/>
      <c r="K198" s="12"/>
    </row>
    <row r="199" spans="6:11" x14ac:dyDescent="0.25">
      <c r="F199" s="12"/>
      <c r="G199" s="12"/>
      <c r="I199" s="12"/>
      <c r="J199" s="12"/>
      <c r="K199" s="12"/>
    </row>
    <row r="200" spans="6:11" x14ac:dyDescent="0.25">
      <c r="F200" s="12"/>
      <c r="G200" s="12"/>
      <c r="I200" s="12"/>
      <c r="J200" s="12"/>
      <c r="K200" s="12"/>
    </row>
    <row r="201" spans="6:11" x14ac:dyDescent="0.25">
      <c r="F201" s="12"/>
      <c r="G201" s="12"/>
      <c r="I201" s="12"/>
      <c r="J201" s="12"/>
      <c r="K201" s="12"/>
    </row>
    <row r="202" spans="6:11" x14ac:dyDescent="0.25">
      <c r="F202" s="12"/>
      <c r="G202" s="12"/>
      <c r="I202" s="12"/>
      <c r="J202" s="12"/>
      <c r="K202" s="12"/>
    </row>
    <row r="203" spans="6:11" x14ac:dyDescent="0.25">
      <c r="F203" s="12"/>
      <c r="G203" s="12"/>
      <c r="I203" s="12"/>
      <c r="J203" s="12"/>
      <c r="K203" s="12"/>
    </row>
    <row r="204" spans="6:11" x14ac:dyDescent="0.25">
      <c r="F204" s="12"/>
      <c r="G204" s="12"/>
      <c r="I204" s="12"/>
      <c r="J204" s="12"/>
      <c r="K204" s="12"/>
    </row>
    <row r="205" spans="6:11" x14ac:dyDescent="0.25">
      <c r="F205" s="12"/>
      <c r="G205" s="12"/>
      <c r="I205" s="12"/>
      <c r="J205" s="12"/>
      <c r="K205" s="12"/>
    </row>
    <row r="206" spans="6:11" x14ac:dyDescent="0.25">
      <c r="F206" s="12"/>
      <c r="G206" s="12"/>
      <c r="I206" s="12"/>
      <c r="J206" s="12"/>
      <c r="K206" s="12"/>
    </row>
    <row r="207" spans="6:11" x14ac:dyDescent="0.25">
      <c r="F207" s="12"/>
      <c r="G207" s="12"/>
      <c r="I207" s="12"/>
      <c r="J207" s="12"/>
      <c r="K207" s="12"/>
    </row>
    <row r="208" spans="6:11" x14ac:dyDescent="0.25">
      <c r="F208" s="12"/>
      <c r="G208" s="12"/>
      <c r="I208" s="12"/>
      <c r="J208" s="12"/>
      <c r="K208" s="12"/>
    </row>
    <row r="209" spans="6:11" x14ac:dyDescent="0.25">
      <c r="F209" s="12"/>
      <c r="G209" s="12"/>
      <c r="I209" s="12"/>
      <c r="J209" s="12"/>
      <c r="K209" s="12"/>
    </row>
    <row r="210" spans="6:11" x14ac:dyDescent="0.25">
      <c r="F210" s="12"/>
      <c r="G210" s="12"/>
      <c r="I210" s="12"/>
      <c r="J210" s="12"/>
      <c r="K210" s="12"/>
    </row>
    <row r="211" spans="6:11" x14ac:dyDescent="0.25">
      <c r="F211" s="12"/>
      <c r="G211" s="12"/>
      <c r="I211" s="12"/>
      <c r="J211" s="12"/>
      <c r="K211" s="12"/>
    </row>
    <row r="212" spans="6:11" x14ac:dyDescent="0.25">
      <c r="F212" s="12"/>
      <c r="G212" s="12"/>
      <c r="I212" s="12"/>
      <c r="J212" s="12"/>
      <c r="K212" s="12"/>
    </row>
    <row r="213" spans="6:11" x14ac:dyDescent="0.25">
      <c r="F213" s="12"/>
      <c r="G213" s="12"/>
      <c r="I213" s="12"/>
      <c r="J213" s="12"/>
      <c r="K213" s="12"/>
    </row>
    <row r="214" spans="6:11" x14ac:dyDescent="0.25">
      <c r="F214" s="12"/>
      <c r="G214" s="12"/>
      <c r="I214" s="12"/>
      <c r="J214" s="12"/>
      <c r="K214" s="12"/>
    </row>
    <row r="215" spans="6:11" x14ac:dyDescent="0.25">
      <c r="F215" s="12"/>
      <c r="G215" s="12"/>
      <c r="I215" s="12"/>
      <c r="J215" s="12"/>
      <c r="K215" s="12"/>
    </row>
    <row r="216" spans="6:11" x14ac:dyDescent="0.25">
      <c r="F216" s="12"/>
      <c r="G216" s="12"/>
      <c r="I216" s="12"/>
      <c r="J216" s="12"/>
      <c r="K216" s="12"/>
    </row>
    <row r="217" spans="6:11" x14ac:dyDescent="0.25">
      <c r="F217" s="12"/>
      <c r="G217" s="12"/>
      <c r="I217" s="12"/>
      <c r="J217" s="12"/>
      <c r="K217" s="12"/>
    </row>
    <row r="218" spans="6:11" x14ac:dyDescent="0.25">
      <c r="F218" s="12"/>
      <c r="G218" s="12"/>
      <c r="I218" s="12"/>
      <c r="J218" s="12"/>
      <c r="K218" s="12"/>
    </row>
    <row r="219" spans="6:11" x14ac:dyDescent="0.25">
      <c r="F219" s="12"/>
      <c r="G219" s="12"/>
      <c r="I219" s="12"/>
      <c r="J219" s="12"/>
      <c r="K219" s="12"/>
    </row>
    <row r="220" spans="6:11" x14ac:dyDescent="0.25">
      <c r="F220" s="12"/>
      <c r="G220" s="12"/>
      <c r="I220" s="12"/>
      <c r="J220" s="12"/>
      <c r="K220" s="12"/>
    </row>
    <row r="221" spans="6:11" x14ac:dyDescent="0.25">
      <c r="F221" s="12"/>
      <c r="G221" s="12"/>
      <c r="I221" s="12"/>
      <c r="J221" s="12"/>
      <c r="K221" s="12"/>
    </row>
    <row r="222" spans="6:11" x14ac:dyDescent="0.25">
      <c r="F222" s="12"/>
      <c r="G222" s="12"/>
      <c r="I222" s="12"/>
      <c r="J222" s="12"/>
      <c r="K222" s="12"/>
    </row>
    <row r="223" spans="6:11" x14ac:dyDescent="0.25">
      <c r="F223" s="12"/>
      <c r="G223" s="12"/>
      <c r="I223" s="12"/>
      <c r="J223" s="12"/>
      <c r="K223" s="12"/>
    </row>
    <row r="224" spans="6:11" x14ac:dyDescent="0.25">
      <c r="F224" s="12"/>
      <c r="G224" s="12"/>
      <c r="I224" s="12"/>
      <c r="J224" s="12"/>
      <c r="K224" s="12"/>
    </row>
    <row r="225" spans="6:11" x14ac:dyDescent="0.25">
      <c r="F225" s="12"/>
      <c r="G225" s="12"/>
      <c r="I225" s="12"/>
      <c r="J225" s="12"/>
      <c r="K225" s="12"/>
    </row>
    <row r="226" spans="6:11" x14ac:dyDescent="0.25">
      <c r="F226" s="12"/>
      <c r="G226" s="12"/>
      <c r="I226" s="12"/>
      <c r="J226" s="12"/>
      <c r="K226" s="12"/>
    </row>
    <row r="227" spans="6:11" x14ac:dyDescent="0.25">
      <c r="F227" s="12"/>
      <c r="G227" s="12"/>
      <c r="I227" s="12"/>
      <c r="J227" s="12"/>
      <c r="K227" s="12"/>
    </row>
    <row r="228" spans="6:11" x14ac:dyDescent="0.25">
      <c r="F228" s="12"/>
      <c r="G228" s="12"/>
      <c r="I228" s="12"/>
      <c r="J228" s="12"/>
      <c r="K228" s="12"/>
    </row>
    <row r="229" spans="6:11" x14ac:dyDescent="0.25">
      <c r="F229" s="12"/>
      <c r="G229" s="12"/>
      <c r="I229" s="12"/>
      <c r="J229" s="12"/>
      <c r="K229" s="12"/>
    </row>
    <row r="230" spans="6:11" x14ac:dyDescent="0.25">
      <c r="F230" s="12"/>
      <c r="G230" s="12"/>
      <c r="I230" s="12"/>
      <c r="J230" s="12"/>
      <c r="K230" s="12"/>
    </row>
    <row r="231" spans="6:11" x14ac:dyDescent="0.25">
      <c r="F231" s="12"/>
      <c r="G231" s="12"/>
      <c r="I231" s="12"/>
      <c r="J231" s="12"/>
      <c r="K231" s="12"/>
    </row>
    <row r="232" spans="6:11" x14ac:dyDescent="0.25">
      <c r="F232" s="12"/>
      <c r="G232" s="12"/>
      <c r="I232" s="12"/>
      <c r="J232" s="12"/>
      <c r="K232" s="12"/>
    </row>
    <row r="233" spans="6:11" x14ac:dyDescent="0.25">
      <c r="F233" s="12"/>
      <c r="G233" s="12"/>
      <c r="I233" s="12"/>
      <c r="J233" s="12"/>
      <c r="K233" s="12"/>
    </row>
    <row r="234" spans="6:11" x14ac:dyDescent="0.25">
      <c r="F234" s="12"/>
      <c r="G234" s="12"/>
      <c r="I234" s="12"/>
      <c r="J234" s="12"/>
      <c r="K234" s="12"/>
    </row>
    <row r="235" spans="6:11" x14ac:dyDescent="0.25">
      <c r="F235" s="12"/>
      <c r="G235" s="12"/>
      <c r="I235" s="12"/>
      <c r="J235" s="12"/>
      <c r="K235" s="12"/>
    </row>
    <row r="236" spans="6:11" x14ac:dyDescent="0.25">
      <c r="F236" s="12"/>
      <c r="G236" s="12"/>
      <c r="I236" s="12"/>
      <c r="J236" s="12"/>
      <c r="K236" s="12"/>
    </row>
    <row r="237" spans="6:11" x14ac:dyDescent="0.25">
      <c r="F237" s="12"/>
      <c r="G237" s="12"/>
      <c r="I237" s="12"/>
      <c r="J237" s="12"/>
      <c r="K237" s="12"/>
    </row>
    <row r="238" spans="6:11" x14ac:dyDescent="0.25">
      <c r="F238" s="12"/>
      <c r="G238" s="12"/>
      <c r="I238" s="12"/>
      <c r="J238" s="12"/>
      <c r="K238" s="12"/>
    </row>
    <row r="239" spans="6:11" x14ac:dyDescent="0.25">
      <c r="F239" s="12"/>
      <c r="G239" s="12"/>
      <c r="I239" s="12"/>
      <c r="J239" s="12"/>
      <c r="K239" s="12"/>
    </row>
    <row r="240" spans="6:11" x14ac:dyDescent="0.25">
      <c r="F240" s="12"/>
      <c r="G240" s="12"/>
      <c r="I240" s="12"/>
      <c r="J240" s="12"/>
      <c r="K240" s="12"/>
    </row>
    <row r="241" spans="6:11" x14ac:dyDescent="0.25">
      <c r="F241" s="12"/>
      <c r="G241" s="12"/>
      <c r="I241" s="12"/>
      <c r="J241" s="12"/>
      <c r="K241" s="12"/>
    </row>
    <row r="242" spans="6:11" x14ac:dyDescent="0.25">
      <c r="F242" s="12"/>
      <c r="G242" s="12"/>
      <c r="I242" s="12"/>
      <c r="J242" s="12"/>
      <c r="K242" s="12"/>
    </row>
    <row r="243" spans="6:11" x14ac:dyDescent="0.25">
      <c r="F243" s="12"/>
      <c r="G243" s="12"/>
      <c r="I243" s="12"/>
      <c r="J243" s="12"/>
      <c r="K243" s="12"/>
    </row>
    <row r="244" spans="6:11" x14ac:dyDescent="0.25">
      <c r="F244" s="12"/>
      <c r="G244" s="12"/>
      <c r="I244" s="12"/>
      <c r="J244" s="12"/>
      <c r="K244" s="12"/>
    </row>
    <row r="245" spans="6:11" x14ac:dyDescent="0.25">
      <c r="F245" s="12"/>
      <c r="G245" s="12"/>
      <c r="I245" s="12"/>
      <c r="J245" s="12"/>
      <c r="K245" s="12"/>
    </row>
    <row r="246" spans="6:11" x14ac:dyDescent="0.25">
      <c r="F246" s="12"/>
      <c r="G246" s="12"/>
      <c r="I246" s="12"/>
      <c r="J246" s="12"/>
      <c r="K246" s="12"/>
    </row>
    <row r="247" spans="6:11" x14ac:dyDescent="0.25">
      <c r="F247" s="12"/>
      <c r="G247" s="12"/>
      <c r="I247" s="12"/>
      <c r="J247" s="12"/>
      <c r="K247" s="12"/>
    </row>
    <row r="248" spans="6:11" x14ac:dyDescent="0.25">
      <c r="F248" s="12"/>
      <c r="G248" s="12"/>
      <c r="I248" s="12"/>
      <c r="J248" s="12"/>
      <c r="K248" s="12"/>
    </row>
    <row r="249" spans="6:11" x14ac:dyDescent="0.25">
      <c r="F249" s="12"/>
      <c r="G249" s="12"/>
      <c r="I249" s="12"/>
      <c r="J249" s="12"/>
      <c r="K249" s="12"/>
    </row>
    <row r="250" spans="6:11" x14ac:dyDescent="0.25">
      <c r="F250" s="12"/>
      <c r="G250" s="12"/>
      <c r="I250" s="12"/>
      <c r="J250" s="12"/>
      <c r="K250" s="12"/>
    </row>
    <row r="251" spans="6:11" x14ac:dyDescent="0.25">
      <c r="F251" s="12"/>
      <c r="G251" s="12"/>
      <c r="I251" s="12"/>
      <c r="J251" s="12"/>
      <c r="K251" s="12"/>
    </row>
    <row r="252" spans="6:11" x14ac:dyDescent="0.25">
      <c r="F252" s="12"/>
      <c r="G252" s="12"/>
      <c r="I252" s="12"/>
      <c r="J252" s="12"/>
      <c r="K252" s="12"/>
    </row>
    <row r="253" spans="6:11" x14ac:dyDescent="0.25">
      <c r="F253" s="12"/>
      <c r="G253" s="12"/>
      <c r="I253" s="12"/>
      <c r="J253" s="12"/>
      <c r="K253" s="12"/>
    </row>
    <row r="254" spans="6:11" x14ac:dyDescent="0.25">
      <c r="F254" s="12"/>
      <c r="G254" s="12"/>
      <c r="I254" s="12"/>
      <c r="J254" s="12"/>
      <c r="K254" s="12"/>
    </row>
    <row r="255" spans="6:11" x14ac:dyDescent="0.25">
      <c r="F255" s="12"/>
      <c r="G255" s="12"/>
      <c r="I255" s="12"/>
      <c r="J255" s="12"/>
      <c r="K255" s="12"/>
    </row>
    <row r="256" spans="6:11" x14ac:dyDescent="0.25">
      <c r="F256" s="12"/>
      <c r="G256" s="12"/>
      <c r="I256" s="12"/>
      <c r="J256" s="12"/>
      <c r="K256" s="12"/>
    </row>
    <row r="257" spans="6:11" x14ac:dyDescent="0.25">
      <c r="F257" s="12"/>
      <c r="G257" s="12"/>
      <c r="I257" s="12"/>
      <c r="J257" s="12"/>
      <c r="K257" s="12"/>
    </row>
    <row r="258" spans="6:11" x14ac:dyDescent="0.25">
      <c r="F258" s="12"/>
      <c r="G258" s="12"/>
      <c r="I258" s="12"/>
      <c r="J258" s="12"/>
      <c r="K258" s="12"/>
    </row>
    <row r="259" spans="6:11" x14ac:dyDescent="0.25">
      <c r="F259" s="12"/>
      <c r="G259" s="12"/>
      <c r="I259" s="12"/>
      <c r="J259" s="12"/>
      <c r="K259" s="12"/>
    </row>
    <row r="260" spans="6:11" x14ac:dyDescent="0.25">
      <c r="F260" s="12"/>
      <c r="G260" s="12"/>
      <c r="I260" s="12"/>
      <c r="J260" s="12"/>
      <c r="K260" s="12"/>
    </row>
    <row r="261" spans="6:11" x14ac:dyDescent="0.25">
      <c r="F261" s="12"/>
      <c r="G261" s="12"/>
      <c r="I261" s="12"/>
      <c r="J261" s="12"/>
      <c r="K261" s="12"/>
    </row>
    <row r="262" spans="6:11" x14ac:dyDescent="0.25">
      <c r="F262" s="12"/>
      <c r="G262" s="12"/>
      <c r="I262" s="12"/>
      <c r="J262" s="12"/>
      <c r="K262" s="12"/>
    </row>
    <row r="263" spans="6:11" x14ac:dyDescent="0.25">
      <c r="F263" s="12"/>
      <c r="G263" s="12"/>
      <c r="I263" s="12"/>
      <c r="J263" s="12"/>
      <c r="K263" s="12"/>
    </row>
    <row r="264" spans="6:11" x14ac:dyDescent="0.25">
      <c r="F264" s="12"/>
      <c r="G264" s="12"/>
      <c r="I264" s="12"/>
      <c r="J264" s="12"/>
      <c r="K264" s="12"/>
    </row>
    <row r="265" spans="6:11" x14ac:dyDescent="0.25">
      <c r="F265" s="12"/>
      <c r="G265" s="12"/>
      <c r="I265" s="12"/>
      <c r="J265" s="12"/>
      <c r="K265" s="12"/>
    </row>
    <row r="266" spans="6:11" x14ac:dyDescent="0.25">
      <c r="F266" s="12"/>
      <c r="G266" s="12"/>
      <c r="I266" s="12"/>
      <c r="J266" s="12"/>
      <c r="K266" s="12"/>
    </row>
    <row r="267" spans="6:11" x14ac:dyDescent="0.25">
      <c r="F267" s="12"/>
      <c r="G267" s="12"/>
      <c r="I267" s="12"/>
      <c r="J267" s="12"/>
      <c r="K267" s="12"/>
    </row>
    <row r="268" spans="6:11" x14ac:dyDescent="0.25">
      <c r="F268" s="12"/>
      <c r="G268" s="12"/>
      <c r="I268" s="12"/>
      <c r="J268" s="12"/>
      <c r="K268" s="12"/>
    </row>
    <row r="269" spans="6:11" x14ac:dyDescent="0.25">
      <c r="F269" s="12"/>
      <c r="G269" s="12"/>
      <c r="I269" s="12"/>
      <c r="J269" s="12"/>
      <c r="K269" s="12"/>
    </row>
    <row r="270" spans="6:11" x14ac:dyDescent="0.25">
      <c r="F270" s="12"/>
      <c r="G270" s="12"/>
      <c r="I270" s="12"/>
      <c r="J270" s="12"/>
      <c r="K270" s="12"/>
    </row>
    <row r="271" spans="6:11" x14ac:dyDescent="0.25">
      <c r="F271" s="12"/>
      <c r="G271" s="12"/>
      <c r="I271" s="12"/>
      <c r="J271" s="12"/>
      <c r="K271" s="12"/>
    </row>
    <row r="272" spans="6:11" x14ac:dyDescent="0.25">
      <c r="F272" s="12"/>
      <c r="G272" s="12"/>
      <c r="I272" s="12"/>
      <c r="J272" s="12"/>
      <c r="K272" s="12"/>
    </row>
    <row r="273" spans="6:11" x14ac:dyDescent="0.25">
      <c r="F273" s="12"/>
      <c r="G273" s="12"/>
      <c r="I273" s="12"/>
      <c r="J273" s="12"/>
      <c r="K273" s="12"/>
    </row>
    <row r="274" spans="6:11" x14ac:dyDescent="0.25">
      <c r="F274" s="12"/>
      <c r="G274" s="12"/>
      <c r="I274" s="12"/>
      <c r="J274" s="12"/>
      <c r="K274" s="12"/>
    </row>
    <row r="275" spans="6:11" x14ac:dyDescent="0.25">
      <c r="F275" s="12"/>
      <c r="G275" s="12"/>
      <c r="I275" s="12"/>
      <c r="J275" s="12"/>
      <c r="K275" s="12"/>
    </row>
    <row r="276" spans="6:11" x14ac:dyDescent="0.25">
      <c r="F276" s="12"/>
      <c r="G276" s="12"/>
      <c r="I276" s="12"/>
      <c r="J276" s="12"/>
      <c r="K276" s="12"/>
    </row>
    <row r="277" spans="6:11" x14ac:dyDescent="0.25">
      <c r="F277" s="12"/>
      <c r="G277" s="12"/>
      <c r="I277" s="12"/>
      <c r="J277" s="12"/>
      <c r="K277" s="12"/>
    </row>
    <row r="278" spans="6:11" x14ac:dyDescent="0.25">
      <c r="F278" s="12"/>
      <c r="G278" s="12"/>
      <c r="I278" s="12"/>
      <c r="J278" s="12"/>
      <c r="K278" s="12"/>
    </row>
    <row r="279" spans="6:11" x14ac:dyDescent="0.25">
      <c r="F279" s="12"/>
      <c r="G279" s="12"/>
      <c r="I279" s="12"/>
      <c r="J279" s="12"/>
      <c r="K279" s="12"/>
    </row>
    <row r="280" spans="6:11" x14ac:dyDescent="0.25">
      <c r="F280" s="12"/>
      <c r="G280" s="12"/>
      <c r="I280" s="12"/>
      <c r="J280" s="12"/>
      <c r="K280" s="12"/>
    </row>
    <row r="281" spans="6:11" x14ac:dyDescent="0.25">
      <c r="F281" s="12"/>
      <c r="G281" s="12"/>
      <c r="I281" s="12"/>
      <c r="J281" s="12"/>
      <c r="K281" s="12"/>
    </row>
    <row r="282" spans="6:11" x14ac:dyDescent="0.25">
      <c r="F282" s="12"/>
      <c r="G282" s="12"/>
      <c r="I282" s="12"/>
      <c r="J282" s="12"/>
      <c r="K282" s="12"/>
    </row>
    <row r="283" spans="6:11" x14ac:dyDescent="0.25">
      <c r="F283" s="12"/>
      <c r="G283" s="12"/>
      <c r="I283" s="12"/>
      <c r="J283" s="12"/>
      <c r="K283" s="12"/>
    </row>
    <row r="284" spans="6:11" x14ac:dyDescent="0.25">
      <c r="F284" s="12"/>
      <c r="G284" s="12"/>
      <c r="I284" s="12"/>
      <c r="J284" s="12"/>
      <c r="K284" s="12"/>
    </row>
    <row r="285" spans="6:11" x14ac:dyDescent="0.25">
      <c r="F285" s="12"/>
      <c r="G285" s="12"/>
      <c r="I285" s="12"/>
      <c r="J285" s="12"/>
      <c r="K285" s="12"/>
    </row>
    <row r="286" spans="6:11" x14ac:dyDescent="0.25">
      <c r="F286" s="12"/>
      <c r="G286" s="12"/>
      <c r="I286" s="12"/>
      <c r="J286" s="12"/>
      <c r="K286" s="12"/>
    </row>
    <row r="287" spans="6:11" x14ac:dyDescent="0.25">
      <c r="F287" s="12"/>
      <c r="G287" s="12"/>
      <c r="I287" s="12"/>
      <c r="J287" s="12"/>
      <c r="K287" s="12"/>
    </row>
    <row r="288" spans="6:11" x14ac:dyDescent="0.25">
      <c r="F288" s="12"/>
      <c r="G288" s="12"/>
      <c r="I288" s="12"/>
      <c r="J288" s="12"/>
      <c r="K288" s="12"/>
    </row>
    <row r="289" spans="6:11" x14ac:dyDescent="0.25">
      <c r="F289" s="12"/>
      <c r="G289" s="12"/>
      <c r="I289" s="12"/>
      <c r="J289" s="12"/>
      <c r="K289" s="12"/>
    </row>
    <row r="290" spans="6:11" x14ac:dyDescent="0.25">
      <c r="F290" s="12"/>
      <c r="G290" s="12"/>
      <c r="I290" s="12"/>
      <c r="J290" s="12"/>
      <c r="K290" s="12"/>
    </row>
    <row r="291" spans="6:11" x14ac:dyDescent="0.25">
      <c r="F291" s="12"/>
      <c r="G291" s="12"/>
      <c r="I291" s="12"/>
      <c r="J291" s="12"/>
      <c r="K291" s="12"/>
    </row>
    <row r="292" spans="6:11" x14ac:dyDescent="0.25">
      <c r="F292" s="12"/>
      <c r="G292" s="12"/>
      <c r="I292" s="12"/>
      <c r="J292" s="12"/>
      <c r="K292" s="12"/>
    </row>
    <row r="293" spans="6:11" x14ac:dyDescent="0.25">
      <c r="F293" s="12"/>
      <c r="G293" s="12"/>
      <c r="I293" s="12"/>
      <c r="J293" s="12"/>
      <c r="K293" s="12"/>
    </row>
    <row r="294" spans="6:11" x14ac:dyDescent="0.25">
      <c r="F294" s="12"/>
      <c r="G294" s="12"/>
      <c r="I294" s="12"/>
      <c r="J294" s="12"/>
      <c r="K294" s="12"/>
    </row>
    <row r="295" spans="6:11" x14ac:dyDescent="0.25">
      <c r="F295" s="12"/>
      <c r="G295" s="12"/>
      <c r="I295" s="12"/>
      <c r="J295" s="12"/>
      <c r="K295" s="12"/>
    </row>
    <row r="296" spans="6:11" x14ac:dyDescent="0.25">
      <c r="F296" s="12"/>
      <c r="G296" s="12"/>
      <c r="I296" s="12"/>
      <c r="J296" s="12"/>
      <c r="K296" s="12"/>
    </row>
    <row r="297" spans="6:11" x14ac:dyDescent="0.25">
      <c r="F297" s="12"/>
      <c r="G297" s="12"/>
      <c r="I297" s="12"/>
      <c r="J297" s="12"/>
      <c r="K297" s="12"/>
    </row>
    <row r="298" spans="6:11" x14ac:dyDescent="0.25">
      <c r="F298" s="12"/>
      <c r="G298" s="12"/>
      <c r="I298" s="12"/>
      <c r="J298" s="12"/>
      <c r="K298" s="12"/>
    </row>
    <row r="299" spans="6:11" x14ac:dyDescent="0.25">
      <c r="F299" s="12"/>
      <c r="G299" s="12"/>
      <c r="I299" s="12"/>
      <c r="J299" s="12"/>
      <c r="K299" s="12"/>
    </row>
    <row r="300" spans="6:11" x14ac:dyDescent="0.25">
      <c r="F300" s="12"/>
      <c r="G300" s="12"/>
      <c r="I300" s="12"/>
      <c r="J300" s="12"/>
      <c r="K300" s="12"/>
    </row>
    <row r="301" spans="6:11" x14ac:dyDescent="0.25">
      <c r="F301" s="12"/>
      <c r="G301" s="12"/>
      <c r="I301" s="12"/>
      <c r="J301" s="12"/>
      <c r="K301" s="12"/>
    </row>
    <row r="302" spans="6:11" x14ac:dyDescent="0.25">
      <c r="F302" s="12"/>
      <c r="G302" s="12"/>
      <c r="I302" s="12"/>
      <c r="J302" s="12"/>
      <c r="K302" s="12"/>
    </row>
    <row r="303" spans="6:11" x14ac:dyDescent="0.25">
      <c r="F303" s="12"/>
      <c r="G303" s="12"/>
      <c r="I303" s="12"/>
      <c r="J303" s="12"/>
      <c r="K303" s="12"/>
    </row>
    <row r="304" spans="6:11" x14ac:dyDescent="0.25">
      <c r="F304" s="12"/>
      <c r="G304" s="12"/>
      <c r="I304" s="12"/>
      <c r="J304" s="12"/>
      <c r="K304" s="12"/>
    </row>
    <row r="305" spans="6:11" x14ac:dyDescent="0.25">
      <c r="F305" s="12"/>
      <c r="G305" s="12"/>
      <c r="I305" s="12"/>
      <c r="J305" s="12"/>
      <c r="K305" s="12"/>
    </row>
    <row r="306" spans="6:11" x14ac:dyDescent="0.25">
      <c r="F306" s="12"/>
      <c r="G306" s="12"/>
      <c r="I306" s="12"/>
      <c r="J306" s="12"/>
      <c r="K306" s="12"/>
    </row>
    <row r="307" spans="6:11" x14ac:dyDescent="0.25">
      <c r="F307" s="12"/>
      <c r="G307" s="12"/>
      <c r="I307" s="12"/>
      <c r="J307" s="12"/>
      <c r="K307" s="12"/>
    </row>
    <row r="308" spans="6:11" x14ac:dyDescent="0.25">
      <c r="F308" s="12"/>
      <c r="G308" s="12"/>
      <c r="I308" s="12"/>
      <c r="J308" s="12"/>
      <c r="K308" s="12"/>
    </row>
    <row r="309" spans="6:11" x14ac:dyDescent="0.25">
      <c r="F309" s="12"/>
      <c r="G309" s="12"/>
      <c r="I309" s="12"/>
      <c r="J309" s="12"/>
      <c r="K309" s="12"/>
    </row>
    <row r="310" spans="6:11" x14ac:dyDescent="0.25">
      <c r="F310" s="12"/>
      <c r="G310" s="12"/>
      <c r="I310" s="12"/>
      <c r="J310" s="12"/>
      <c r="K310" s="12"/>
    </row>
    <row r="311" spans="6:11" x14ac:dyDescent="0.25">
      <c r="F311" s="12"/>
      <c r="G311" s="12"/>
      <c r="I311" s="12"/>
      <c r="J311" s="12"/>
      <c r="K311" s="12"/>
    </row>
    <row r="312" spans="6:11" x14ac:dyDescent="0.25">
      <c r="F312" s="12"/>
      <c r="G312" s="12"/>
      <c r="I312" s="12"/>
      <c r="J312" s="12"/>
      <c r="K312" s="12"/>
    </row>
    <row r="313" spans="6:11" x14ac:dyDescent="0.25">
      <c r="F313" s="12"/>
      <c r="G313" s="12"/>
      <c r="I313" s="12"/>
      <c r="J313" s="12"/>
      <c r="K313" s="12"/>
    </row>
    <row r="314" spans="6:11" x14ac:dyDescent="0.25">
      <c r="F314" s="12"/>
      <c r="G314" s="12"/>
      <c r="I314" s="12"/>
      <c r="J314" s="12"/>
      <c r="K314" s="12"/>
    </row>
    <row r="315" spans="6:11" x14ac:dyDescent="0.25">
      <c r="F315" s="12"/>
      <c r="G315" s="12"/>
      <c r="I315" s="12"/>
      <c r="J315" s="12"/>
      <c r="K315" s="12"/>
    </row>
    <row r="316" spans="6:11" x14ac:dyDescent="0.25">
      <c r="F316" s="12"/>
      <c r="G316" s="12"/>
      <c r="I316" s="12"/>
      <c r="J316" s="12"/>
      <c r="K316" s="12"/>
    </row>
    <row r="317" spans="6:11" x14ac:dyDescent="0.25">
      <c r="F317" s="12"/>
      <c r="G317" s="12"/>
      <c r="I317" s="12"/>
      <c r="J317" s="12"/>
      <c r="K317" s="12"/>
    </row>
    <row r="318" spans="6:11" x14ac:dyDescent="0.25">
      <c r="F318" s="12"/>
      <c r="G318" s="12"/>
      <c r="I318" s="12"/>
      <c r="J318" s="12"/>
      <c r="K318" s="12"/>
    </row>
    <row r="319" spans="6:11" x14ac:dyDescent="0.25">
      <c r="F319" s="12"/>
      <c r="G319" s="12"/>
      <c r="I319" s="12"/>
      <c r="J319" s="12"/>
      <c r="K319" s="12"/>
    </row>
    <row r="320" spans="6:11" x14ac:dyDescent="0.25">
      <c r="F320" s="12"/>
      <c r="G320" s="12"/>
      <c r="I320" s="12"/>
      <c r="J320" s="12"/>
      <c r="K320" s="12"/>
    </row>
    <row r="321" spans="6:11" x14ac:dyDescent="0.25">
      <c r="F321" s="12"/>
      <c r="G321" s="12"/>
      <c r="I321" s="12"/>
      <c r="J321" s="12"/>
      <c r="K321" s="12"/>
    </row>
    <row r="322" spans="6:11" x14ac:dyDescent="0.25">
      <c r="F322" s="12"/>
      <c r="G322" s="12"/>
      <c r="I322" s="12"/>
      <c r="J322" s="12"/>
      <c r="K322" s="12"/>
    </row>
    <row r="323" spans="6:11" x14ac:dyDescent="0.25">
      <c r="F323" s="12"/>
      <c r="G323" s="12"/>
      <c r="I323" s="12"/>
      <c r="J323" s="12"/>
      <c r="K323" s="12"/>
    </row>
    <row r="324" spans="6:11" x14ac:dyDescent="0.25">
      <c r="F324" s="12"/>
      <c r="G324" s="12"/>
      <c r="I324" s="12"/>
      <c r="J324" s="12"/>
      <c r="K324" s="12"/>
    </row>
    <row r="325" spans="6:11" x14ac:dyDescent="0.25">
      <c r="F325" s="12"/>
      <c r="G325" s="12"/>
      <c r="I325" s="12"/>
      <c r="J325" s="12"/>
      <c r="K325" s="12"/>
    </row>
    <row r="326" spans="6:11" x14ac:dyDescent="0.25">
      <c r="F326" s="12"/>
      <c r="G326" s="12"/>
      <c r="I326" s="12"/>
      <c r="J326" s="12"/>
      <c r="K326" s="12"/>
    </row>
    <row r="327" spans="6:11" x14ac:dyDescent="0.25">
      <c r="F327" s="12"/>
      <c r="G327" s="12"/>
      <c r="I327" s="12"/>
      <c r="J327" s="12"/>
      <c r="K327" s="12"/>
    </row>
    <row r="328" spans="6:11" x14ac:dyDescent="0.25">
      <c r="F328" s="12"/>
      <c r="G328" s="12"/>
      <c r="I328" s="12"/>
      <c r="J328" s="12"/>
      <c r="K328" s="12"/>
    </row>
    <row r="329" spans="6:11" x14ac:dyDescent="0.25">
      <c r="F329" s="12"/>
      <c r="G329" s="12"/>
      <c r="I329" s="12"/>
      <c r="J329" s="12"/>
      <c r="K329" s="12"/>
    </row>
    <row r="330" spans="6:11" x14ac:dyDescent="0.25">
      <c r="F330" s="12"/>
      <c r="G330" s="12"/>
      <c r="I330" s="12"/>
      <c r="J330" s="12"/>
      <c r="K330" s="12"/>
    </row>
    <row r="331" spans="6:11" x14ac:dyDescent="0.25">
      <c r="F331" s="12"/>
      <c r="G331" s="12"/>
      <c r="I331" s="12"/>
      <c r="J331" s="12"/>
      <c r="K331" s="12"/>
    </row>
    <row r="332" spans="6:11" x14ac:dyDescent="0.25">
      <c r="F332" s="12"/>
      <c r="G332" s="12"/>
      <c r="I332" s="12"/>
      <c r="J332" s="12"/>
      <c r="K332" s="12"/>
    </row>
    <row r="333" spans="6:11" x14ac:dyDescent="0.25">
      <c r="F333" s="12"/>
      <c r="G333" s="12"/>
      <c r="I333" s="12"/>
      <c r="J333" s="12"/>
      <c r="K333" s="12"/>
    </row>
    <row r="334" spans="6:11" x14ac:dyDescent="0.25">
      <c r="F334" s="12"/>
      <c r="G334" s="12"/>
      <c r="I334" s="12"/>
      <c r="J334" s="12"/>
      <c r="K334" s="12"/>
    </row>
    <row r="335" spans="6:11" x14ac:dyDescent="0.25">
      <c r="F335" s="12"/>
      <c r="G335" s="12"/>
      <c r="I335" s="12"/>
      <c r="J335" s="12"/>
      <c r="K335" s="12"/>
    </row>
    <row r="336" spans="6:11" x14ac:dyDescent="0.25">
      <c r="F336" s="12"/>
      <c r="G336" s="12"/>
      <c r="I336" s="12"/>
      <c r="J336" s="12"/>
      <c r="K336" s="12"/>
    </row>
    <row r="337" spans="6:11" x14ac:dyDescent="0.25">
      <c r="F337" s="12"/>
      <c r="G337" s="12"/>
      <c r="I337" s="12"/>
      <c r="J337" s="12"/>
      <c r="K337" s="12"/>
    </row>
    <row r="338" spans="6:11" x14ac:dyDescent="0.25">
      <c r="F338" s="12"/>
      <c r="G338" s="12"/>
      <c r="I338" s="12"/>
      <c r="J338" s="12"/>
      <c r="K338" s="12"/>
    </row>
    <row r="339" spans="6:11" x14ac:dyDescent="0.25">
      <c r="F339" s="12"/>
      <c r="G339" s="12"/>
      <c r="I339" s="12"/>
      <c r="J339" s="12"/>
      <c r="K339" s="12"/>
    </row>
    <row r="340" spans="6:11" x14ac:dyDescent="0.25">
      <c r="F340" s="12"/>
      <c r="G340" s="12"/>
      <c r="I340" s="12"/>
      <c r="J340" s="12"/>
      <c r="K340" s="12"/>
    </row>
    <row r="341" spans="6:11" x14ac:dyDescent="0.25">
      <c r="F341" s="12"/>
      <c r="G341" s="12"/>
      <c r="I341" s="12"/>
      <c r="J341" s="12"/>
      <c r="K341" s="12"/>
    </row>
    <row r="342" spans="6:11" x14ac:dyDescent="0.25">
      <c r="F342" s="12"/>
      <c r="G342" s="12"/>
      <c r="I342" s="12"/>
      <c r="J342" s="12"/>
      <c r="K342" s="12"/>
    </row>
    <row r="343" spans="6:11" x14ac:dyDescent="0.25">
      <c r="F343" s="12"/>
      <c r="G343" s="12"/>
      <c r="I343" s="12"/>
      <c r="J343" s="12"/>
      <c r="K343" s="12"/>
    </row>
    <row r="344" spans="6:11" x14ac:dyDescent="0.25">
      <c r="F344" s="12"/>
      <c r="G344" s="12"/>
      <c r="I344" s="12"/>
      <c r="J344" s="12"/>
      <c r="K344" s="12"/>
    </row>
    <row r="345" spans="6:11" x14ac:dyDescent="0.25">
      <c r="F345" s="12"/>
      <c r="G345" s="12"/>
      <c r="I345" s="12"/>
      <c r="J345" s="12"/>
      <c r="K345" s="12"/>
    </row>
    <row r="346" spans="6:11" x14ac:dyDescent="0.25">
      <c r="F346" s="12"/>
      <c r="G346" s="12"/>
      <c r="I346" s="12"/>
      <c r="J346" s="12"/>
      <c r="K346" s="12"/>
    </row>
    <row r="347" spans="6:11" x14ac:dyDescent="0.25">
      <c r="F347" s="12"/>
      <c r="G347" s="12"/>
      <c r="I347" s="12"/>
      <c r="J347" s="12"/>
      <c r="K347" s="12"/>
    </row>
    <row r="348" spans="6:11" x14ac:dyDescent="0.25">
      <c r="F348" s="12"/>
      <c r="G348" s="12"/>
      <c r="I348" s="12"/>
      <c r="J348" s="12"/>
      <c r="K348" s="12"/>
    </row>
    <row r="349" spans="6:11" x14ac:dyDescent="0.25">
      <c r="F349" s="12"/>
      <c r="G349" s="12"/>
      <c r="I349" s="12"/>
      <c r="J349" s="12"/>
      <c r="K349" s="12"/>
    </row>
    <row r="350" spans="6:11" x14ac:dyDescent="0.25">
      <c r="F350" s="12"/>
      <c r="G350" s="12"/>
      <c r="I350" s="12"/>
      <c r="J350" s="12"/>
      <c r="K350" s="12"/>
    </row>
    <row r="351" spans="6:11" x14ac:dyDescent="0.25">
      <c r="F351" s="12"/>
      <c r="G351" s="12"/>
      <c r="I351" s="12"/>
      <c r="J351" s="12"/>
      <c r="K351" s="12"/>
    </row>
    <row r="352" spans="6:11" x14ac:dyDescent="0.25">
      <c r="F352" s="12"/>
      <c r="G352" s="12"/>
      <c r="I352" s="12"/>
      <c r="J352" s="12"/>
      <c r="K352" s="12"/>
    </row>
    <row r="353" spans="6:11" x14ac:dyDescent="0.25">
      <c r="F353" s="12"/>
      <c r="G353" s="12"/>
      <c r="I353" s="12"/>
      <c r="J353" s="12"/>
      <c r="K353" s="12"/>
    </row>
    <row r="354" spans="6:11" x14ac:dyDescent="0.25">
      <c r="F354" s="12"/>
      <c r="G354" s="12"/>
      <c r="I354" s="12"/>
      <c r="J354" s="12"/>
      <c r="K354" s="12"/>
    </row>
    <row r="355" spans="6:11" x14ac:dyDescent="0.25">
      <c r="F355" s="12"/>
      <c r="G355" s="12"/>
      <c r="I355" s="12"/>
      <c r="J355" s="12"/>
      <c r="K355" s="12"/>
    </row>
    <row r="356" spans="6:11" x14ac:dyDescent="0.25">
      <c r="F356" s="12"/>
      <c r="G356" s="12"/>
      <c r="I356" s="12"/>
      <c r="J356" s="12"/>
      <c r="K356" s="12"/>
    </row>
    <row r="357" spans="6:11" x14ac:dyDescent="0.25">
      <c r="F357" s="12"/>
      <c r="G357" s="12"/>
      <c r="I357" s="12"/>
      <c r="J357" s="12"/>
      <c r="K357" s="12"/>
    </row>
    <row r="358" spans="6:11" x14ac:dyDescent="0.25">
      <c r="F358" s="12"/>
      <c r="G358" s="12"/>
      <c r="I358" s="12"/>
      <c r="J358" s="12"/>
      <c r="K358" s="12"/>
    </row>
    <row r="359" spans="6:11" x14ac:dyDescent="0.25">
      <c r="F359" s="12"/>
      <c r="G359" s="12"/>
      <c r="I359" s="12"/>
      <c r="J359" s="12"/>
      <c r="K359" s="12"/>
    </row>
    <row r="360" spans="6:11" x14ac:dyDescent="0.25">
      <c r="F360" s="12"/>
      <c r="G360" s="12"/>
      <c r="I360" s="12"/>
      <c r="J360" s="12"/>
      <c r="K360" s="12"/>
    </row>
    <row r="361" spans="6:11" x14ac:dyDescent="0.25">
      <c r="F361" s="12"/>
      <c r="G361" s="12"/>
      <c r="I361" s="12"/>
      <c r="J361" s="12"/>
      <c r="K361" s="12"/>
    </row>
    <row r="362" spans="6:11" x14ac:dyDescent="0.25">
      <c r="F362" s="12"/>
      <c r="G362" s="12"/>
      <c r="I362" s="12"/>
      <c r="J362" s="12"/>
      <c r="K362" s="12"/>
    </row>
    <row r="363" spans="6:11" x14ac:dyDescent="0.25">
      <c r="F363" s="12"/>
      <c r="G363" s="12"/>
      <c r="I363" s="12"/>
      <c r="J363" s="12"/>
      <c r="K363" s="12"/>
    </row>
    <row r="364" spans="6:11" x14ac:dyDescent="0.25">
      <c r="F364" s="12"/>
      <c r="G364" s="12"/>
      <c r="I364" s="12"/>
      <c r="J364" s="12"/>
      <c r="K364" s="12"/>
    </row>
    <row r="365" spans="6:11" x14ac:dyDescent="0.25">
      <c r="F365" s="12"/>
      <c r="G365" s="12"/>
      <c r="I365" s="12"/>
      <c r="J365" s="12"/>
      <c r="K365" s="12"/>
    </row>
    <row r="366" spans="6:11" x14ac:dyDescent="0.25">
      <c r="F366" s="12"/>
      <c r="G366" s="12"/>
      <c r="I366" s="12"/>
      <c r="J366" s="12"/>
      <c r="K366" s="12"/>
    </row>
    <row r="367" spans="6:11" x14ac:dyDescent="0.25">
      <c r="F367" s="12"/>
      <c r="G367" s="12"/>
      <c r="I367" s="12"/>
      <c r="J367" s="12"/>
      <c r="K367" s="12"/>
    </row>
    <row r="368" spans="6:11" x14ac:dyDescent="0.25">
      <c r="F368" s="12"/>
      <c r="G368" s="12"/>
      <c r="I368" s="12"/>
      <c r="J368" s="12"/>
      <c r="K368" s="12"/>
    </row>
    <row r="369" spans="6:11" x14ac:dyDescent="0.25">
      <c r="F369" s="12"/>
      <c r="G369" s="12"/>
      <c r="I369" s="12"/>
      <c r="J369" s="12"/>
      <c r="K369" s="12"/>
    </row>
    <row r="370" spans="6:11" x14ac:dyDescent="0.25">
      <c r="F370" s="12"/>
      <c r="G370" s="12"/>
      <c r="I370" s="12"/>
      <c r="J370" s="12"/>
      <c r="K370" s="12"/>
    </row>
    <row r="371" spans="6:11" x14ac:dyDescent="0.25">
      <c r="F371" s="12"/>
      <c r="G371" s="12"/>
      <c r="I371" s="12"/>
      <c r="J371" s="12"/>
      <c r="K371" s="12"/>
    </row>
    <row r="372" spans="6:11" x14ac:dyDescent="0.25">
      <c r="F372" s="12"/>
      <c r="G372" s="12"/>
      <c r="I372" s="12"/>
      <c r="J372" s="12"/>
      <c r="K372" s="12"/>
    </row>
    <row r="373" spans="6:11" x14ac:dyDescent="0.25">
      <c r="F373" s="12"/>
      <c r="G373" s="12"/>
      <c r="I373" s="12"/>
      <c r="J373" s="12"/>
      <c r="K373" s="12"/>
    </row>
    <row r="374" spans="6:11" x14ac:dyDescent="0.25">
      <c r="F374" s="12"/>
      <c r="G374" s="12"/>
      <c r="I374" s="12"/>
      <c r="J374" s="12"/>
      <c r="K374" s="12"/>
    </row>
    <row r="375" spans="6:11" x14ac:dyDescent="0.25">
      <c r="F375" s="12"/>
      <c r="G375" s="12"/>
      <c r="I375" s="12"/>
      <c r="J375" s="12"/>
      <c r="K375" s="12"/>
    </row>
    <row r="376" spans="6:11" x14ac:dyDescent="0.25">
      <c r="F376" s="12"/>
      <c r="G376" s="12"/>
      <c r="I376" s="12"/>
      <c r="J376" s="12"/>
      <c r="K376" s="12"/>
    </row>
    <row r="377" spans="6:11" x14ac:dyDescent="0.25">
      <c r="F377" s="12"/>
      <c r="G377" s="12"/>
      <c r="I377" s="12"/>
      <c r="J377" s="12"/>
      <c r="K377" s="12"/>
    </row>
    <row r="378" spans="6:11" x14ac:dyDescent="0.25">
      <c r="F378" s="12"/>
      <c r="G378" s="12"/>
      <c r="I378" s="12"/>
      <c r="J378" s="12"/>
      <c r="K378" s="12"/>
    </row>
    <row r="379" spans="6:11" x14ac:dyDescent="0.25">
      <c r="F379" s="12"/>
      <c r="G379" s="12"/>
      <c r="I379" s="12"/>
      <c r="J379" s="12"/>
      <c r="K379" s="12"/>
    </row>
    <row r="380" spans="6:11" x14ac:dyDescent="0.25">
      <c r="F380" s="12"/>
      <c r="G380" s="12"/>
      <c r="I380" s="12"/>
      <c r="J380" s="12"/>
      <c r="K380" s="12"/>
    </row>
    <row r="381" spans="6:11" x14ac:dyDescent="0.25">
      <c r="F381" s="12"/>
      <c r="G381" s="12"/>
      <c r="I381" s="12"/>
      <c r="J381" s="12"/>
      <c r="K381" s="12"/>
    </row>
    <row r="382" spans="6:11" x14ac:dyDescent="0.25">
      <c r="F382" s="12"/>
      <c r="G382" s="12"/>
      <c r="I382" s="12"/>
      <c r="J382" s="12"/>
      <c r="K382" s="12"/>
    </row>
    <row r="383" spans="6:11" x14ac:dyDescent="0.25">
      <c r="F383" s="12"/>
      <c r="G383" s="12"/>
      <c r="I383" s="12"/>
      <c r="J383" s="12"/>
      <c r="K383" s="12"/>
    </row>
    <row r="384" spans="6:11" x14ac:dyDescent="0.25">
      <c r="F384" s="12"/>
      <c r="G384" s="12"/>
      <c r="I384" s="12"/>
      <c r="J384" s="12"/>
      <c r="K384" s="12"/>
    </row>
    <row r="385" spans="6:11" x14ac:dyDescent="0.25">
      <c r="F385" s="12"/>
      <c r="G385" s="12"/>
      <c r="I385" s="12"/>
      <c r="J385" s="12"/>
      <c r="K385" s="12"/>
    </row>
    <row r="386" spans="6:11" x14ac:dyDescent="0.25">
      <c r="F386" s="12"/>
      <c r="G386" s="12"/>
      <c r="I386" s="12"/>
      <c r="J386" s="12"/>
      <c r="K386" s="12"/>
    </row>
    <row r="387" spans="6:11" x14ac:dyDescent="0.25">
      <c r="F387" s="12"/>
      <c r="G387" s="12"/>
      <c r="I387" s="12"/>
      <c r="J387" s="12"/>
      <c r="K387" s="12"/>
    </row>
    <row r="388" spans="6:11" x14ac:dyDescent="0.25">
      <c r="F388" s="12"/>
      <c r="G388" s="12"/>
      <c r="I388" s="12"/>
      <c r="J388" s="12"/>
      <c r="K388" s="12"/>
    </row>
    <row r="389" spans="6:11" x14ac:dyDescent="0.25">
      <c r="F389" s="12"/>
      <c r="G389" s="12"/>
      <c r="I389" s="12"/>
      <c r="J389" s="12"/>
      <c r="K389" s="12"/>
    </row>
    <row r="390" spans="6:11" x14ac:dyDescent="0.25">
      <c r="F390" s="12"/>
      <c r="G390" s="12"/>
      <c r="I390" s="12"/>
      <c r="J390" s="12"/>
      <c r="K390" s="12"/>
    </row>
    <row r="391" spans="6:11" x14ac:dyDescent="0.25">
      <c r="F391" s="12"/>
      <c r="G391" s="12"/>
      <c r="I391" s="12"/>
      <c r="J391" s="12"/>
      <c r="K391" s="12"/>
    </row>
    <row r="392" spans="6:11" x14ac:dyDescent="0.25">
      <c r="F392" s="12"/>
      <c r="G392" s="12"/>
      <c r="I392" s="12"/>
      <c r="J392" s="12"/>
      <c r="K392" s="12"/>
    </row>
    <row r="393" spans="6:11" x14ac:dyDescent="0.25">
      <c r="F393" s="12"/>
      <c r="G393" s="12"/>
      <c r="I393" s="12"/>
      <c r="J393" s="12"/>
      <c r="K393" s="12"/>
    </row>
    <row r="394" spans="6:11" x14ac:dyDescent="0.25">
      <c r="F394" s="12"/>
      <c r="G394" s="12"/>
      <c r="I394" s="12"/>
      <c r="J394" s="12"/>
      <c r="K394" s="12"/>
    </row>
    <row r="395" spans="6:11" x14ac:dyDescent="0.25">
      <c r="F395" s="12"/>
      <c r="G395" s="12"/>
      <c r="I395" s="12"/>
      <c r="J395" s="12"/>
      <c r="K395" s="12"/>
    </row>
    <row r="396" spans="6:11" x14ac:dyDescent="0.25">
      <c r="F396" s="12"/>
      <c r="G396" s="12"/>
      <c r="I396" s="12"/>
      <c r="J396" s="12"/>
      <c r="K396" s="12"/>
    </row>
    <row r="397" spans="6:11" x14ac:dyDescent="0.25">
      <c r="F397" s="12"/>
      <c r="G397" s="12"/>
      <c r="I397" s="12"/>
      <c r="J397" s="12"/>
      <c r="K397" s="12"/>
    </row>
    <row r="398" spans="6:11" x14ac:dyDescent="0.25">
      <c r="F398" s="12"/>
      <c r="G398" s="12"/>
      <c r="I398" s="12"/>
      <c r="J398" s="12"/>
      <c r="K398" s="12"/>
    </row>
    <row r="399" spans="6:11" x14ac:dyDescent="0.25">
      <c r="F399" s="12"/>
      <c r="G399" s="12"/>
      <c r="I399" s="12"/>
      <c r="J399" s="12"/>
      <c r="K399" s="12"/>
    </row>
    <row r="400" spans="6:11" x14ac:dyDescent="0.25">
      <c r="F400" s="12"/>
      <c r="G400" s="12"/>
      <c r="I400" s="12"/>
      <c r="J400" s="12"/>
      <c r="K400" s="12"/>
    </row>
    <row r="401" spans="6:11" x14ac:dyDescent="0.25">
      <c r="F401" s="12"/>
      <c r="G401" s="12"/>
      <c r="I401" s="12"/>
      <c r="J401" s="12"/>
      <c r="K401" s="12"/>
    </row>
    <row r="402" spans="6:11" x14ac:dyDescent="0.25">
      <c r="F402" s="12"/>
      <c r="G402" s="12"/>
      <c r="I402" s="12"/>
      <c r="J402" s="12"/>
      <c r="K402" s="12"/>
    </row>
    <row r="403" spans="6:11" x14ac:dyDescent="0.25">
      <c r="F403" s="12"/>
      <c r="G403" s="12"/>
      <c r="I403" s="12"/>
      <c r="J403" s="12"/>
      <c r="K403" s="12"/>
    </row>
    <row r="404" spans="6:11" x14ac:dyDescent="0.25">
      <c r="F404" s="12"/>
      <c r="G404" s="12"/>
      <c r="I404" s="12"/>
      <c r="J404" s="12"/>
      <c r="K404" s="12"/>
    </row>
    <row r="405" spans="6:11" x14ac:dyDescent="0.25">
      <c r="F405" s="12"/>
      <c r="G405" s="12"/>
      <c r="I405" s="12"/>
      <c r="J405" s="12"/>
      <c r="K405" s="12"/>
    </row>
    <row r="406" spans="6:11" x14ac:dyDescent="0.25">
      <c r="F406" s="12"/>
      <c r="G406" s="12"/>
      <c r="I406" s="12"/>
      <c r="J406" s="12"/>
      <c r="K406" s="12"/>
    </row>
    <row r="407" spans="6:11" x14ac:dyDescent="0.25">
      <c r="F407" s="12"/>
      <c r="G407" s="12"/>
      <c r="I407" s="12"/>
      <c r="J407" s="12"/>
      <c r="K407" s="12"/>
    </row>
    <row r="408" spans="6:11" x14ac:dyDescent="0.25">
      <c r="F408" s="12"/>
      <c r="G408" s="12"/>
      <c r="I408" s="12"/>
      <c r="J408" s="12"/>
      <c r="K408" s="12"/>
    </row>
    <row r="409" spans="6:11" x14ac:dyDescent="0.25">
      <c r="F409" s="12"/>
      <c r="G409" s="12"/>
      <c r="I409" s="12"/>
      <c r="J409" s="12"/>
      <c r="K409" s="12"/>
    </row>
    <row r="410" spans="6:11" x14ac:dyDescent="0.25">
      <c r="F410" s="12"/>
      <c r="G410" s="12"/>
      <c r="I410" s="12"/>
      <c r="J410" s="12"/>
      <c r="K410" s="12"/>
    </row>
    <row r="411" spans="6:11" x14ac:dyDescent="0.25">
      <c r="F411" s="12"/>
      <c r="G411" s="12"/>
      <c r="I411" s="12"/>
      <c r="J411" s="12"/>
      <c r="K411" s="12"/>
    </row>
    <row r="412" spans="6:11" x14ac:dyDescent="0.25">
      <c r="F412" s="12"/>
      <c r="G412" s="12"/>
      <c r="I412" s="12"/>
      <c r="J412" s="12"/>
      <c r="K412" s="12"/>
    </row>
    <row r="413" spans="6:11" x14ac:dyDescent="0.25">
      <c r="F413" s="12"/>
      <c r="G413" s="12"/>
      <c r="I413" s="12"/>
      <c r="J413" s="12"/>
      <c r="K413" s="12"/>
    </row>
    <row r="414" spans="6:11" x14ac:dyDescent="0.25">
      <c r="F414" s="12"/>
      <c r="G414" s="12"/>
      <c r="I414" s="12"/>
      <c r="J414" s="12"/>
      <c r="K414" s="12"/>
    </row>
    <row r="415" spans="6:11" x14ac:dyDescent="0.25">
      <c r="F415" s="12"/>
      <c r="G415" s="12"/>
      <c r="I415" s="12"/>
      <c r="J415" s="12"/>
      <c r="K415" s="12"/>
    </row>
    <row r="416" spans="6:11" x14ac:dyDescent="0.25">
      <c r="F416" s="12"/>
      <c r="G416" s="12"/>
      <c r="I416" s="12"/>
      <c r="J416" s="12"/>
      <c r="K416" s="12"/>
    </row>
    <row r="417" spans="6:11" x14ac:dyDescent="0.25">
      <c r="F417" s="12"/>
      <c r="G417" s="12"/>
      <c r="I417" s="12"/>
      <c r="J417" s="12"/>
      <c r="K417" s="12"/>
    </row>
    <row r="418" spans="6:11" x14ac:dyDescent="0.25">
      <c r="F418" s="12"/>
      <c r="G418" s="12"/>
      <c r="I418" s="12"/>
      <c r="J418" s="12"/>
      <c r="K418" s="12"/>
    </row>
    <row r="419" spans="6:11" x14ac:dyDescent="0.25">
      <c r="F419" s="12"/>
      <c r="G419" s="12"/>
      <c r="I419" s="12"/>
      <c r="J419" s="12"/>
      <c r="K419" s="12"/>
    </row>
    <row r="420" spans="6:11" x14ac:dyDescent="0.25">
      <c r="F420" s="12"/>
      <c r="G420" s="12"/>
      <c r="I420" s="12"/>
      <c r="J420" s="12"/>
      <c r="K420" s="12"/>
    </row>
    <row r="421" spans="6:11" x14ac:dyDescent="0.25">
      <c r="F421" s="12"/>
      <c r="G421" s="12"/>
      <c r="I421" s="12"/>
      <c r="J421" s="12"/>
      <c r="K421" s="12"/>
    </row>
    <row r="422" spans="6:11" x14ac:dyDescent="0.25">
      <c r="F422" s="12"/>
      <c r="G422" s="12"/>
      <c r="I422" s="12"/>
      <c r="J422" s="12"/>
      <c r="K422" s="12"/>
    </row>
    <row r="423" spans="6:11" x14ac:dyDescent="0.25">
      <c r="F423" s="12"/>
      <c r="G423" s="12"/>
      <c r="I423" s="12"/>
      <c r="J423" s="12"/>
      <c r="K423" s="12"/>
    </row>
    <row r="424" spans="6:11" x14ac:dyDescent="0.25">
      <c r="F424" s="12"/>
      <c r="G424" s="12"/>
      <c r="I424" s="12"/>
      <c r="J424" s="12"/>
      <c r="K424" s="12"/>
    </row>
    <row r="425" spans="6:11" x14ac:dyDescent="0.25">
      <c r="F425" s="12"/>
      <c r="G425" s="12"/>
      <c r="I425" s="12"/>
      <c r="J425" s="12"/>
      <c r="K425" s="12"/>
    </row>
    <row r="426" spans="6:11" x14ac:dyDescent="0.25">
      <c r="F426" s="12"/>
      <c r="G426" s="12"/>
      <c r="I426" s="12"/>
      <c r="J426" s="12"/>
      <c r="K426" s="12"/>
    </row>
    <row r="427" spans="6:11" x14ac:dyDescent="0.25">
      <c r="F427" s="12"/>
      <c r="G427" s="12"/>
      <c r="I427" s="12"/>
      <c r="J427" s="12"/>
      <c r="K427" s="12"/>
    </row>
    <row r="428" spans="6:11" x14ac:dyDescent="0.25">
      <c r="F428" s="12"/>
      <c r="G428" s="12"/>
      <c r="I428" s="12"/>
      <c r="J428" s="12"/>
      <c r="K428" s="12"/>
    </row>
    <row r="429" spans="6:11" x14ac:dyDescent="0.25">
      <c r="F429" s="12"/>
      <c r="G429" s="12"/>
      <c r="I429" s="12"/>
      <c r="J429" s="12"/>
      <c r="K429" s="12"/>
    </row>
    <row r="430" spans="6:11" x14ac:dyDescent="0.25">
      <c r="F430" s="12"/>
      <c r="G430" s="12"/>
      <c r="I430" s="12"/>
      <c r="J430" s="12"/>
      <c r="K430" s="12"/>
    </row>
    <row r="431" spans="6:11" x14ac:dyDescent="0.25">
      <c r="F431" s="12"/>
      <c r="G431" s="12"/>
      <c r="I431" s="12"/>
      <c r="J431" s="12"/>
      <c r="K431" s="12"/>
    </row>
    <row r="432" spans="6:11" x14ac:dyDescent="0.25">
      <c r="F432" s="12"/>
      <c r="G432" s="12"/>
      <c r="I432" s="12"/>
      <c r="J432" s="12"/>
      <c r="K432" s="12"/>
    </row>
    <row r="433" spans="6:11" x14ac:dyDescent="0.25">
      <c r="F433" s="12"/>
      <c r="G433" s="12"/>
      <c r="I433" s="12"/>
      <c r="J433" s="12"/>
      <c r="K433" s="12"/>
    </row>
    <row r="434" spans="6:11" x14ac:dyDescent="0.25">
      <c r="F434" s="12"/>
      <c r="G434" s="12"/>
      <c r="I434" s="12"/>
      <c r="J434" s="12"/>
      <c r="K434" s="12"/>
    </row>
    <row r="435" spans="6:11" x14ac:dyDescent="0.25">
      <c r="F435" s="12"/>
      <c r="G435" s="12"/>
      <c r="I435" s="12"/>
      <c r="J435" s="12"/>
      <c r="K435" s="12"/>
    </row>
    <row r="436" spans="6:11" x14ac:dyDescent="0.25">
      <c r="F436" s="12"/>
      <c r="G436" s="12"/>
      <c r="I436" s="12"/>
      <c r="J436" s="12"/>
      <c r="K436" s="12"/>
    </row>
    <row r="437" spans="6:11" x14ac:dyDescent="0.25">
      <c r="F437" s="12"/>
      <c r="G437" s="12"/>
      <c r="I437" s="12"/>
      <c r="J437" s="12"/>
      <c r="K437" s="12"/>
    </row>
    <row r="438" spans="6:11" x14ac:dyDescent="0.25">
      <c r="F438" s="12"/>
      <c r="G438" s="12"/>
      <c r="I438" s="12"/>
      <c r="J438" s="12"/>
      <c r="K438" s="12"/>
    </row>
    <row r="439" spans="6:11" x14ac:dyDescent="0.25">
      <c r="F439" s="12"/>
      <c r="G439" s="12"/>
      <c r="I439" s="12"/>
      <c r="J439" s="12"/>
      <c r="K439" s="12"/>
    </row>
    <row r="440" spans="6:11" x14ac:dyDescent="0.25">
      <c r="F440" s="12"/>
      <c r="G440" s="12"/>
      <c r="I440" s="12"/>
      <c r="J440" s="12"/>
      <c r="K440" s="12"/>
    </row>
    <row r="441" spans="6:11" x14ac:dyDescent="0.25">
      <c r="F441" s="12"/>
      <c r="G441" s="12"/>
      <c r="I441" s="12"/>
      <c r="J441" s="12"/>
      <c r="K441" s="12"/>
    </row>
    <row r="442" spans="6:11" x14ac:dyDescent="0.25">
      <c r="F442" s="12"/>
      <c r="G442" s="12"/>
      <c r="I442" s="12"/>
      <c r="J442" s="12"/>
      <c r="K442" s="12"/>
    </row>
    <row r="443" spans="6:11" x14ac:dyDescent="0.25">
      <c r="F443" s="12"/>
      <c r="G443" s="12"/>
      <c r="I443" s="12"/>
      <c r="J443" s="12"/>
      <c r="K443" s="12"/>
    </row>
    <row r="444" spans="6:11" x14ac:dyDescent="0.25">
      <c r="F444" s="12"/>
      <c r="G444" s="12"/>
      <c r="I444" s="12"/>
      <c r="J444" s="12"/>
      <c r="K444" s="12"/>
    </row>
    <row r="445" spans="6:11" x14ac:dyDescent="0.25">
      <c r="F445" s="12"/>
      <c r="G445" s="12"/>
      <c r="I445" s="12"/>
      <c r="J445" s="12"/>
      <c r="K445" s="12"/>
    </row>
    <row r="446" spans="6:11" x14ac:dyDescent="0.25">
      <c r="F446" s="12"/>
      <c r="G446" s="12"/>
      <c r="I446" s="12"/>
      <c r="J446" s="12"/>
      <c r="K446" s="12"/>
    </row>
    <row r="447" spans="6:11" x14ac:dyDescent="0.25">
      <c r="F447" s="12"/>
      <c r="G447" s="12"/>
      <c r="I447" s="12"/>
      <c r="J447" s="12"/>
      <c r="K447" s="12"/>
    </row>
    <row r="448" spans="6:11" x14ac:dyDescent="0.25">
      <c r="F448" s="12"/>
      <c r="G448" s="12"/>
      <c r="I448" s="12"/>
      <c r="J448" s="12"/>
      <c r="K448" s="12"/>
    </row>
    <row r="449" spans="6:11" x14ac:dyDescent="0.25">
      <c r="F449" s="12"/>
      <c r="G449" s="12"/>
      <c r="I449" s="12"/>
      <c r="J449" s="12"/>
      <c r="K449" s="12"/>
    </row>
    <row r="450" spans="6:11" x14ac:dyDescent="0.25">
      <c r="F450" s="12"/>
      <c r="G450" s="12"/>
      <c r="I450" s="12"/>
      <c r="J450" s="12"/>
      <c r="K450" s="12"/>
    </row>
    <row r="451" spans="6:11" x14ac:dyDescent="0.25">
      <c r="F451" s="12"/>
      <c r="G451" s="12"/>
      <c r="I451" s="12"/>
      <c r="J451" s="12"/>
      <c r="K451" s="12"/>
    </row>
    <row r="452" spans="6:11" x14ac:dyDescent="0.25">
      <c r="F452" s="12"/>
      <c r="G452" s="12"/>
      <c r="I452" s="12"/>
      <c r="J452" s="12"/>
      <c r="K452" s="12"/>
    </row>
    <row r="453" spans="6:11" x14ac:dyDescent="0.25">
      <c r="F453" s="12"/>
      <c r="G453" s="12"/>
      <c r="I453" s="12"/>
      <c r="J453" s="12"/>
      <c r="K453" s="12"/>
    </row>
    <row r="454" spans="6:11" x14ac:dyDescent="0.25">
      <c r="F454" s="12"/>
      <c r="G454" s="12"/>
      <c r="I454" s="12"/>
      <c r="J454" s="12"/>
      <c r="K454" s="12"/>
    </row>
    <row r="455" spans="6:11" x14ac:dyDescent="0.25">
      <c r="F455" s="12"/>
      <c r="G455" s="12"/>
      <c r="I455" s="12"/>
      <c r="J455" s="12"/>
      <c r="K455" s="12"/>
    </row>
    <row r="456" spans="6:11" x14ac:dyDescent="0.25">
      <c r="F456" s="12"/>
      <c r="G456" s="12"/>
      <c r="I456" s="12"/>
      <c r="J456" s="12"/>
      <c r="K456" s="12"/>
    </row>
    <row r="457" spans="6:11" x14ac:dyDescent="0.25">
      <c r="F457" s="12"/>
      <c r="G457" s="12"/>
      <c r="I457" s="12"/>
      <c r="J457" s="12"/>
      <c r="K457" s="12"/>
    </row>
    <row r="458" spans="6:11" x14ac:dyDescent="0.25">
      <c r="F458" s="12"/>
      <c r="G458" s="12"/>
      <c r="I458" s="12"/>
      <c r="J458" s="12"/>
      <c r="K458" s="12"/>
    </row>
    <row r="459" spans="6:11" x14ac:dyDescent="0.25">
      <c r="F459" s="12"/>
      <c r="G459" s="12"/>
      <c r="I459" s="12"/>
      <c r="J459" s="12"/>
      <c r="K459" s="12"/>
    </row>
    <row r="460" spans="6:11" x14ac:dyDescent="0.25">
      <c r="F460" s="12"/>
      <c r="G460" s="12"/>
      <c r="I460" s="12"/>
      <c r="J460" s="12"/>
      <c r="K460" s="12"/>
    </row>
    <row r="461" spans="6:11" x14ac:dyDescent="0.25">
      <c r="F461" s="12"/>
      <c r="G461" s="12"/>
      <c r="I461" s="12"/>
      <c r="J461" s="12"/>
      <c r="K461" s="12"/>
    </row>
    <row r="462" spans="6:11" x14ac:dyDescent="0.25">
      <c r="F462" s="12"/>
      <c r="G462" s="12"/>
      <c r="I462" s="12"/>
      <c r="J462" s="12"/>
      <c r="K462" s="12"/>
    </row>
    <row r="463" spans="6:11" x14ac:dyDescent="0.25">
      <c r="F463" s="12"/>
      <c r="G463" s="12"/>
      <c r="I463" s="12"/>
      <c r="J463" s="12"/>
      <c r="K463" s="12"/>
    </row>
    <row r="464" spans="6:11" x14ac:dyDescent="0.25">
      <c r="F464" s="12"/>
      <c r="G464" s="12"/>
      <c r="I464" s="12"/>
      <c r="J464" s="12"/>
      <c r="K464" s="12"/>
    </row>
    <row r="465" spans="6:11" x14ac:dyDescent="0.25">
      <c r="F465" s="12"/>
      <c r="G465" s="12"/>
      <c r="I465" s="12"/>
      <c r="J465" s="12"/>
      <c r="K465" s="12"/>
    </row>
    <row r="466" spans="6:11" x14ac:dyDescent="0.25">
      <c r="F466" s="12"/>
      <c r="G466" s="12"/>
      <c r="I466" s="12"/>
      <c r="J466" s="12"/>
      <c r="K466" s="12"/>
    </row>
    <row r="467" spans="6:11" x14ac:dyDescent="0.25">
      <c r="F467" s="12"/>
      <c r="G467" s="12"/>
      <c r="I467" s="12"/>
      <c r="J467" s="12"/>
      <c r="K467" s="12"/>
    </row>
    <row r="468" spans="6:11" x14ac:dyDescent="0.25">
      <c r="F468" s="12"/>
      <c r="G468" s="12"/>
      <c r="I468" s="12"/>
      <c r="J468" s="12"/>
      <c r="K468" s="12"/>
    </row>
    <row r="469" spans="6:11" x14ac:dyDescent="0.25">
      <c r="F469" s="12"/>
      <c r="G469" s="12"/>
      <c r="I469" s="12"/>
      <c r="J469" s="12"/>
      <c r="K469" s="12"/>
    </row>
    <row r="470" spans="6:11" x14ac:dyDescent="0.25">
      <c r="F470" s="12"/>
      <c r="G470" s="12"/>
      <c r="I470" s="12"/>
      <c r="J470" s="12"/>
      <c r="K470" s="12"/>
    </row>
    <row r="471" spans="6:11" x14ac:dyDescent="0.25">
      <c r="F471" s="12"/>
      <c r="G471" s="12"/>
      <c r="I471" s="12"/>
      <c r="J471" s="12"/>
      <c r="K471" s="12"/>
    </row>
    <row r="472" spans="6:11" x14ac:dyDescent="0.25">
      <c r="F472" s="12"/>
      <c r="G472" s="12"/>
      <c r="I472" s="12"/>
      <c r="J472" s="12"/>
      <c r="K472" s="12"/>
    </row>
    <row r="473" spans="6:11" x14ac:dyDescent="0.25">
      <c r="F473" s="12"/>
      <c r="G473" s="12"/>
      <c r="I473" s="12"/>
      <c r="J473" s="12"/>
      <c r="K473" s="12"/>
    </row>
    <row r="474" spans="6:11" x14ac:dyDescent="0.25">
      <c r="F474" s="12"/>
      <c r="G474" s="12"/>
      <c r="I474" s="12"/>
      <c r="J474" s="12"/>
      <c r="K474" s="12"/>
    </row>
    <row r="475" spans="6:11" x14ac:dyDescent="0.25">
      <c r="F475" s="12"/>
      <c r="G475" s="12"/>
      <c r="I475" s="12"/>
      <c r="J475" s="12"/>
      <c r="K475" s="12"/>
    </row>
    <row r="476" spans="6:11" x14ac:dyDescent="0.25">
      <c r="F476" s="12"/>
      <c r="G476" s="12"/>
      <c r="I476" s="12"/>
      <c r="J476" s="12"/>
      <c r="K476" s="12"/>
    </row>
    <row r="477" spans="6:11" x14ac:dyDescent="0.25">
      <c r="F477" s="12"/>
      <c r="G477" s="12"/>
      <c r="I477" s="12"/>
      <c r="J477" s="12"/>
      <c r="K477" s="12"/>
    </row>
    <row r="478" spans="6:11" x14ac:dyDescent="0.25">
      <c r="F478" s="12"/>
      <c r="G478" s="12"/>
      <c r="I478" s="12"/>
      <c r="J478" s="12"/>
      <c r="K478" s="12"/>
    </row>
    <row r="479" spans="6:11" x14ac:dyDescent="0.25">
      <c r="F479" s="12"/>
      <c r="G479" s="12"/>
      <c r="I479" s="12"/>
      <c r="J479" s="12"/>
      <c r="K479" s="12"/>
    </row>
    <row r="480" spans="6:11" x14ac:dyDescent="0.25">
      <c r="F480" s="12"/>
      <c r="G480" s="12"/>
      <c r="I480" s="12"/>
      <c r="J480" s="12"/>
      <c r="K480" s="12"/>
    </row>
    <row r="481" spans="6:11" x14ac:dyDescent="0.25">
      <c r="F481" s="12"/>
      <c r="G481" s="12"/>
      <c r="I481" s="12"/>
      <c r="J481" s="12"/>
      <c r="K481" s="12"/>
    </row>
    <row r="482" spans="6:11" x14ac:dyDescent="0.25">
      <c r="F482" s="12"/>
      <c r="G482" s="12"/>
      <c r="I482" s="12"/>
      <c r="J482" s="12"/>
      <c r="K482" s="12"/>
    </row>
    <row r="483" spans="6:11" x14ac:dyDescent="0.25">
      <c r="F483" s="12"/>
      <c r="G483" s="12"/>
      <c r="I483" s="12"/>
      <c r="J483" s="12"/>
      <c r="K483" s="12"/>
    </row>
    <row r="484" spans="6:11" x14ac:dyDescent="0.25">
      <c r="F484" s="12"/>
      <c r="G484" s="12"/>
      <c r="I484" s="12"/>
      <c r="J484" s="12"/>
      <c r="K484" s="12"/>
    </row>
    <row r="485" spans="6:11" x14ac:dyDescent="0.25">
      <c r="F485" s="12"/>
      <c r="G485" s="12"/>
      <c r="I485" s="12"/>
      <c r="J485" s="12"/>
      <c r="K485" s="12"/>
    </row>
    <row r="486" spans="6:11" x14ac:dyDescent="0.25">
      <c r="F486" s="12"/>
      <c r="G486" s="12"/>
      <c r="I486" s="12"/>
      <c r="J486" s="12"/>
      <c r="K486" s="12"/>
    </row>
    <row r="487" spans="6:11" x14ac:dyDescent="0.25">
      <c r="F487" s="12"/>
      <c r="G487" s="12"/>
      <c r="I487" s="12"/>
      <c r="J487" s="12"/>
      <c r="K487" s="12"/>
    </row>
    <row r="488" spans="6:11" x14ac:dyDescent="0.25">
      <c r="F488" s="12"/>
      <c r="G488" s="12"/>
      <c r="I488" s="12"/>
      <c r="J488" s="12"/>
      <c r="K488" s="12"/>
    </row>
    <row r="489" spans="6:11" x14ac:dyDescent="0.25">
      <c r="F489" s="12"/>
      <c r="G489" s="12"/>
      <c r="I489" s="12"/>
      <c r="J489" s="12"/>
      <c r="K489" s="12"/>
    </row>
    <row r="490" spans="6:11" x14ac:dyDescent="0.25">
      <c r="F490" s="12"/>
      <c r="G490" s="12"/>
      <c r="I490" s="12"/>
      <c r="J490" s="12"/>
      <c r="K490" s="12"/>
    </row>
    <row r="491" spans="6:11" x14ac:dyDescent="0.25">
      <c r="F491" s="12"/>
      <c r="G491" s="12"/>
      <c r="I491" s="12"/>
      <c r="J491" s="12"/>
      <c r="K491" s="12"/>
    </row>
    <row r="492" spans="6:11" x14ac:dyDescent="0.25">
      <c r="F492" s="12"/>
      <c r="G492" s="12"/>
      <c r="I492" s="12"/>
      <c r="J492" s="12"/>
      <c r="K492" s="12"/>
    </row>
    <row r="493" spans="6:11" x14ac:dyDescent="0.25">
      <c r="F493" s="12"/>
      <c r="G493" s="12"/>
      <c r="I493" s="12"/>
      <c r="J493" s="12"/>
      <c r="K493" s="12"/>
    </row>
    <row r="494" spans="6:11" x14ac:dyDescent="0.25">
      <c r="F494" s="12"/>
      <c r="G494" s="12"/>
      <c r="I494" s="12"/>
      <c r="J494" s="12"/>
      <c r="K494" s="12"/>
    </row>
    <row r="495" spans="6:11" x14ac:dyDescent="0.25">
      <c r="F495" s="12"/>
      <c r="G495" s="12"/>
      <c r="I495" s="12"/>
      <c r="J495" s="12"/>
      <c r="K495" s="12"/>
    </row>
    <row r="496" spans="6:11" x14ac:dyDescent="0.25">
      <c r="F496" s="12"/>
      <c r="G496" s="12"/>
      <c r="I496" s="12"/>
      <c r="J496" s="12"/>
      <c r="K496" s="12"/>
    </row>
    <row r="497" spans="6:11" x14ac:dyDescent="0.25">
      <c r="F497" s="12"/>
      <c r="G497" s="12"/>
      <c r="I497" s="12"/>
      <c r="J497" s="12"/>
      <c r="K497" s="12"/>
    </row>
    <row r="498" spans="6:11" x14ac:dyDescent="0.25">
      <c r="F498" s="12"/>
      <c r="G498" s="12"/>
      <c r="I498" s="12"/>
      <c r="J498" s="12"/>
      <c r="K498" s="12"/>
    </row>
    <row r="499" spans="6:11" x14ac:dyDescent="0.25">
      <c r="F499" s="12"/>
      <c r="G499" s="12"/>
      <c r="I499" s="12"/>
      <c r="J499" s="12"/>
      <c r="K499" s="12"/>
    </row>
    <row r="500" spans="6:11" x14ac:dyDescent="0.25">
      <c r="F500" s="12"/>
      <c r="G500" s="12"/>
      <c r="I500" s="12"/>
      <c r="J500" s="12"/>
      <c r="K500" s="12"/>
    </row>
    <row r="501" spans="6:11" x14ac:dyDescent="0.25">
      <c r="F501" s="12"/>
      <c r="G501" s="12"/>
      <c r="I501" s="12"/>
      <c r="J501" s="12"/>
      <c r="K501" s="12"/>
    </row>
    <row r="502" spans="6:11" x14ac:dyDescent="0.25">
      <c r="F502" s="12"/>
      <c r="G502" s="12"/>
      <c r="I502" s="12"/>
      <c r="J502" s="12"/>
      <c r="K502" s="12"/>
    </row>
    <row r="503" spans="6:11" x14ac:dyDescent="0.25">
      <c r="F503" s="12"/>
      <c r="G503" s="12"/>
      <c r="I503" s="12"/>
      <c r="J503" s="12"/>
      <c r="K503" s="12"/>
    </row>
    <row r="504" spans="6:11" x14ac:dyDescent="0.25">
      <c r="F504" s="12"/>
      <c r="G504" s="12"/>
      <c r="I504" s="12"/>
      <c r="J504" s="12"/>
      <c r="K504" s="12"/>
    </row>
    <row r="505" spans="6:11" x14ac:dyDescent="0.25">
      <c r="F505" s="12"/>
      <c r="G505" s="12"/>
      <c r="I505" s="12"/>
      <c r="J505" s="12"/>
      <c r="K505" s="12"/>
    </row>
    <row r="506" spans="6:11" x14ac:dyDescent="0.25">
      <c r="F506" s="12"/>
      <c r="G506" s="12"/>
      <c r="I506" s="12"/>
      <c r="J506" s="12"/>
      <c r="K506" s="12"/>
    </row>
    <row r="507" spans="6:11" x14ac:dyDescent="0.25">
      <c r="F507" s="12"/>
      <c r="G507" s="12"/>
      <c r="I507" s="12"/>
      <c r="J507" s="12"/>
      <c r="K507" s="12"/>
    </row>
    <row r="508" spans="6:11" x14ac:dyDescent="0.25">
      <c r="F508" s="12"/>
      <c r="G508" s="12"/>
      <c r="I508" s="12"/>
      <c r="J508" s="12"/>
      <c r="K508" s="12"/>
    </row>
    <row r="509" spans="6:11" x14ac:dyDescent="0.25">
      <c r="F509" s="12"/>
      <c r="G509" s="12"/>
      <c r="I509" s="12"/>
      <c r="J509" s="12"/>
      <c r="K509" s="12"/>
    </row>
    <row r="510" spans="6:11" x14ac:dyDescent="0.25">
      <c r="F510" s="12"/>
      <c r="G510" s="12"/>
      <c r="I510" s="12"/>
      <c r="J510" s="12"/>
      <c r="K510" s="12"/>
    </row>
    <row r="511" spans="6:11" x14ac:dyDescent="0.25">
      <c r="F511" s="12"/>
      <c r="G511" s="12"/>
      <c r="I511" s="12"/>
      <c r="J511" s="12"/>
      <c r="K511" s="12"/>
    </row>
    <row r="512" spans="6:11" x14ac:dyDescent="0.25">
      <c r="F512" s="12"/>
      <c r="G512" s="12"/>
      <c r="I512" s="12"/>
      <c r="J512" s="12"/>
      <c r="K512" s="12"/>
    </row>
    <row r="513" spans="6:11" x14ac:dyDescent="0.25">
      <c r="F513" s="12"/>
      <c r="G513" s="12"/>
      <c r="I513" s="12"/>
      <c r="J513" s="12"/>
      <c r="K513" s="12"/>
    </row>
    <row r="514" spans="6:11" x14ac:dyDescent="0.25">
      <c r="F514" s="12"/>
      <c r="G514" s="12"/>
      <c r="I514" s="12"/>
      <c r="J514" s="12"/>
      <c r="K514" s="12"/>
    </row>
    <row r="515" spans="6:11" x14ac:dyDescent="0.25">
      <c r="F515" s="12"/>
      <c r="G515" s="12"/>
      <c r="I515" s="12"/>
      <c r="J515" s="12"/>
      <c r="K515" s="12"/>
    </row>
    <row r="516" spans="6:11" x14ac:dyDescent="0.25">
      <c r="F516" s="12"/>
      <c r="G516" s="12"/>
      <c r="I516" s="12"/>
      <c r="J516" s="12"/>
      <c r="K516" s="12"/>
    </row>
    <row r="517" spans="6:11" x14ac:dyDescent="0.25">
      <c r="F517" s="12"/>
      <c r="G517" s="12"/>
      <c r="I517" s="12"/>
      <c r="J517" s="12"/>
      <c r="K517" s="12"/>
    </row>
    <row r="518" spans="6:11" x14ac:dyDescent="0.25">
      <c r="F518" s="12"/>
      <c r="G518" s="12"/>
      <c r="I518" s="12"/>
      <c r="J518" s="12"/>
      <c r="K518" s="12"/>
    </row>
    <row r="519" spans="6:11" x14ac:dyDescent="0.25">
      <c r="F519" s="12"/>
      <c r="G519" s="12"/>
      <c r="I519" s="12"/>
      <c r="J519" s="12"/>
      <c r="K519" s="12"/>
    </row>
    <row r="520" spans="6:11" x14ac:dyDescent="0.25">
      <c r="F520" s="12"/>
      <c r="G520" s="12"/>
      <c r="I520" s="12"/>
      <c r="J520" s="12"/>
      <c r="K520" s="12"/>
    </row>
    <row r="521" spans="6:11" x14ac:dyDescent="0.25">
      <c r="F521" s="12"/>
      <c r="G521" s="12"/>
      <c r="I521" s="12"/>
      <c r="J521" s="12"/>
      <c r="K521" s="12"/>
    </row>
    <row r="522" spans="6:11" x14ac:dyDescent="0.25">
      <c r="F522" s="12"/>
      <c r="G522" s="12"/>
      <c r="I522" s="12"/>
      <c r="J522" s="12"/>
      <c r="K522" s="12"/>
    </row>
    <row r="523" spans="6:11" x14ac:dyDescent="0.25">
      <c r="F523" s="12"/>
      <c r="G523" s="12"/>
      <c r="I523" s="12"/>
      <c r="J523" s="12"/>
      <c r="K523" s="12"/>
    </row>
    <row r="524" spans="6:11" x14ac:dyDescent="0.25">
      <c r="F524" s="12"/>
      <c r="G524" s="12"/>
      <c r="I524" s="12"/>
      <c r="J524" s="12"/>
      <c r="K524" s="12"/>
    </row>
    <row r="525" spans="6:11" x14ac:dyDescent="0.25">
      <c r="F525" s="12"/>
      <c r="G525" s="12"/>
      <c r="I525" s="12"/>
      <c r="J525" s="12"/>
      <c r="K525" s="12"/>
    </row>
    <row r="526" spans="6:11" x14ac:dyDescent="0.25">
      <c r="F526" s="12"/>
      <c r="G526" s="12"/>
      <c r="I526" s="12"/>
      <c r="J526" s="12"/>
      <c r="K526" s="12"/>
    </row>
    <row r="527" spans="6:11" x14ac:dyDescent="0.25">
      <c r="F527" s="12"/>
      <c r="G527" s="12"/>
      <c r="I527" s="12"/>
      <c r="J527" s="12"/>
      <c r="K527" s="12"/>
    </row>
    <row r="528" spans="6:11" x14ac:dyDescent="0.25">
      <c r="F528" s="12"/>
      <c r="G528" s="12"/>
      <c r="I528" s="12"/>
      <c r="J528" s="12"/>
      <c r="K528" s="12"/>
    </row>
    <row r="529" spans="6:11" x14ac:dyDescent="0.25">
      <c r="F529" s="12"/>
      <c r="G529" s="12"/>
      <c r="I529" s="12"/>
      <c r="J529" s="12"/>
      <c r="K529" s="12"/>
    </row>
    <row r="530" spans="6:11" x14ac:dyDescent="0.25">
      <c r="F530" s="12"/>
      <c r="G530" s="12"/>
      <c r="I530" s="12"/>
      <c r="J530" s="12"/>
      <c r="K530" s="12"/>
    </row>
    <row r="531" spans="6:11" x14ac:dyDescent="0.25">
      <c r="F531" s="12"/>
      <c r="G531" s="12"/>
      <c r="I531" s="12"/>
      <c r="J531" s="12"/>
      <c r="K531" s="12"/>
    </row>
    <row r="532" spans="6:11" x14ac:dyDescent="0.25">
      <c r="F532" s="12"/>
      <c r="G532" s="12"/>
      <c r="I532" s="12"/>
      <c r="J532" s="12"/>
      <c r="K532" s="12"/>
    </row>
    <row r="533" spans="6:11" x14ac:dyDescent="0.25">
      <c r="F533" s="12"/>
      <c r="G533" s="12"/>
      <c r="I533" s="12"/>
      <c r="J533" s="12"/>
      <c r="K533" s="12"/>
    </row>
    <row r="534" spans="6:11" x14ac:dyDescent="0.25">
      <c r="F534" s="12"/>
      <c r="G534" s="12"/>
      <c r="I534" s="12"/>
      <c r="J534" s="12"/>
      <c r="K534" s="12"/>
    </row>
    <row r="535" spans="6:11" x14ac:dyDescent="0.25">
      <c r="F535" s="12"/>
      <c r="G535" s="12"/>
      <c r="I535" s="12"/>
      <c r="J535" s="12"/>
      <c r="K535" s="12"/>
    </row>
    <row r="536" spans="6:11" x14ac:dyDescent="0.25">
      <c r="F536" s="12"/>
      <c r="G536" s="12"/>
      <c r="I536" s="12"/>
      <c r="J536" s="12"/>
      <c r="K536" s="12"/>
    </row>
    <row r="537" spans="6:11" x14ac:dyDescent="0.25">
      <c r="F537" s="12"/>
      <c r="G537" s="12"/>
      <c r="I537" s="12"/>
      <c r="J537" s="12"/>
      <c r="K537" s="12"/>
    </row>
    <row r="538" spans="6:11" x14ac:dyDescent="0.25">
      <c r="F538" s="12"/>
      <c r="G538" s="12"/>
      <c r="I538" s="12"/>
      <c r="J538" s="12"/>
      <c r="K538" s="12"/>
    </row>
    <row r="539" spans="6:11" x14ac:dyDescent="0.25">
      <c r="F539" s="12"/>
      <c r="G539" s="12"/>
      <c r="I539" s="12"/>
      <c r="J539" s="12"/>
      <c r="K539" s="12"/>
    </row>
    <row r="540" spans="6:11" x14ac:dyDescent="0.25">
      <c r="F540" s="12"/>
      <c r="G540" s="12"/>
      <c r="I540" s="12"/>
      <c r="J540" s="12"/>
      <c r="K540" s="12"/>
    </row>
    <row r="541" spans="6:11" x14ac:dyDescent="0.25">
      <c r="F541" s="12"/>
      <c r="G541" s="12"/>
      <c r="I541" s="12"/>
      <c r="J541" s="12"/>
      <c r="K541" s="12"/>
    </row>
    <row r="542" spans="6:11" x14ac:dyDescent="0.25">
      <c r="F542" s="12"/>
      <c r="G542" s="12"/>
      <c r="I542" s="12"/>
      <c r="J542" s="12"/>
      <c r="K542" s="12"/>
    </row>
    <row r="543" spans="6:11" x14ac:dyDescent="0.25">
      <c r="F543" s="12"/>
      <c r="G543" s="12"/>
      <c r="I543" s="12"/>
      <c r="J543" s="12"/>
      <c r="K543" s="12"/>
    </row>
    <row r="544" spans="6:11" x14ac:dyDescent="0.25">
      <c r="F544" s="12"/>
      <c r="G544" s="12"/>
      <c r="I544" s="12"/>
      <c r="J544" s="12"/>
      <c r="K544" s="12"/>
    </row>
    <row r="545" spans="6:11" x14ac:dyDescent="0.25">
      <c r="F545" s="12"/>
      <c r="G545" s="12"/>
      <c r="I545" s="12"/>
      <c r="J545" s="12"/>
      <c r="K545" s="12"/>
    </row>
    <row r="546" spans="6:11" x14ac:dyDescent="0.25">
      <c r="F546" s="12"/>
      <c r="G546" s="12"/>
      <c r="I546" s="12"/>
      <c r="J546" s="12"/>
      <c r="K546" s="12"/>
    </row>
    <row r="547" spans="6:11" x14ac:dyDescent="0.25">
      <c r="F547" s="12"/>
      <c r="G547" s="12"/>
      <c r="I547" s="12"/>
      <c r="J547" s="12"/>
      <c r="K547" s="12"/>
    </row>
    <row r="548" spans="6:11" x14ac:dyDescent="0.25">
      <c r="F548" s="12"/>
      <c r="G548" s="12"/>
      <c r="I548" s="12"/>
      <c r="J548" s="12"/>
      <c r="K548" s="12"/>
    </row>
    <row r="549" spans="6:11" x14ac:dyDescent="0.25">
      <c r="F549" s="12"/>
      <c r="G549" s="12"/>
      <c r="I549" s="12"/>
      <c r="J549" s="12"/>
      <c r="K549" s="12"/>
    </row>
    <row r="550" spans="6:11" x14ac:dyDescent="0.25">
      <c r="F550" s="12"/>
      <c r="G550" s="12"/>
      <c r="I550" s="12"/>
      <c r="J550" s="12"/>
      <c r="K550" s="12"/>
    </row>
    <row r="551" spans="6:11" x14ac:dyDescent="0.25">
      <c r="F551" s="12"/>
      <c r="G551" s="12"/>
      <c r="I551" s="12"/>
      <c r="J551" s="12"/>
      <c r="K551" s="12"/>
    </row>
    <row r="552" spans="6:11" x14ac:dyDescent="0.25">
      <c r="F552" s="12"/>
      <c r="G552" s="12"/>
      <c r="I552" s="12"/>
      <c r="J552" s="12"/>
      <c r="K552" s="12"/>
    </row>
    <row r="553" spans="6:11" x14ac:dyDescent="0.25">
      <c r="F553" s="12"/>
      <c r="G553" s="12"/>
      <c r="I553" s="12"/>
      <c r="J553" s="12"/>
      <c r="K553" s="12"/>
    </row>
    <row r="554" spans="6:11" x14ac:dyDescent="0.25">
      <c r="F554" s="12"/>
      <c r="G554" s="12"/>
      <c r="I554" s="12"/>
      <c r="J554" s="12"/>
      <c r="K554" s="12"/>
    </row>
    <row r="555" spans="6:11" x14ac:dyDescent="0.25">
      <c r="F555" s="12"/>
      <c r="G555" s="12"/>
      <c r="I555" s="12"/>
      <c r="J555" s="12"/>
      <c r="K555" s="12"/>
    </row>
    <row r="556" spans="6:11" x14ac:dyDescent="0.25">
      <c r="F556" s="12"/>
      <c r="G556" s="12"/>
      <c r="I556" s="12"/>
      <c r="J556" s="12"/>
      <c r="K556" s="12"/>
    </row>
    <row r="557" spans="6:11" x14ac:dyDescent="0.25">
      <c r="F557" s="12"/>
      <c r="G557" s="12"/>
      <c r="I557" s="12"/>
      <c r="J557" s="12"/>
      <c r="K557" s="12"/>
    </row>
    <row r="558" spans="6:11" x14ac:dyDescent="0.25">
      <c r="F558" s="12"/>
      <c r="G558" s="12"/>
      <c r="I558" s="12"/>
      <c r="J558" s="12"/>
      <c r="K558" s="12"/>
    </row>
    <row r="559" spans="6:11" x14ac:dyDescent="0.25">
      <c r="F559" s="12"/>
      <c r="G559" s="12"/>
      <c r="I559" s="12"/>
      <c r="J559" s="12"/>
      <c r="K559" s="12"/>
    </row>
    <row r="560" spans="6:11" x14ac:dyDescent="0.25">
      <c r="F560" s="12"/>
      <c r="G560" s="12"/>
      <c r="I560" s="12"/>
      <c r="J560" s="12"/>
      <c r="K560" s="12"/>
    </row>
    <row r="561" spans="6:11" x14ac:dyDescent="0.25">
      <c r="F561" s="12"/>
      <c r="G561" s="12"/>
      <c r="I561" s="12"/>
      <c r="J561" s="12"/>
      <c r="K561" s="12"/>
    </row>
    <row r="562" spans="6:11" x14ac:dyDescent="0.25">
      <c r="F562" s="12"/>
      <c r="G562" s="12"/>
      <c r="I562" s="12"/>
      <c r="J562" s="12"/>
      <c r="K562" s="12"/>
    </row>
    <row r="563" spans="6:11" x14ac:dyDescent="0.25">
      <c r="F563" s="12"/>
      <c r="G563" s="12"/>
      <c r="I563" s="12"/>
      <c r="J563" s="12"/>
      <c r="K563" s="12"/>
    </row>
    <row r="564" spans="6:11" x14ac:dyDescent="0.25">
      <c r="F564" s="12"/>
      <c r="G564" s="12"/>
      <c r="I564" s="12"/>
      <c r="J564" s="12"/>
      <c r="K564" s="12"/>
    </row>
    <row r="565" spans="6:11" x14ac:dyDescent="0.25">
      <c r="F565" s="12"/>
      <c r="G565" s="12"/>
      <c r="I565" s="12"/>
      <c r="J565" s="12"/>
      <c r="K565" s="12"/>
    </row>
    <row r="566" spans="6:11" x14ac:dyDescent="0.25">
      <c r="F566" s="12"/>
      <c r="G566" s="12"/>
      <c r="I566" s="12"/>
      <c r="J566" s="12"/>
      <c r="K566" s="12"/>
    </row>
    <row r="567" spans="6:11" x14ac:dyDescent="0.25">
      <c r="F567" s="12"/>
      <c r="G567" s="12"/>
      <c r="I567" s="12"/>
      <c r="J567" s="12"/>
      <c r="K567" s="12"/>
    </row>
    <row r="568" spans="6:11" x14ac:dyDescent="0.25">
      <c r="F568" s="12"/>
      <c r="G568" s="12"/>
      <c r="I568" s="12"/>
      <c r="J568" s="12"/>
      <c r="K568" s="12"/>
    </row>
    <row r="569" spans="6:11" x14ac:dyDescent="0.25">
      <c r="F569" s="12"/>
      <c r="G569" s="12"/>
      <c r="I569" s="12"/>
      <c r="J569" s="12"/>
      <c r="K569" s="12"/>
    </row>
    <row r="570" spans="6:11" x14ac:dyDescent="0.25">
      <c r="F570" s="12"/>
      <c r="G570" s="12"/>
      <c r="I570" s="12"/>
      <c r="J570" s="12"/>
      <c r="K570" s="12"/>
    </row>
    <row r="571" spans="6:11" x14ac:dyDescent="0.25">
      <c r="F571" s="12"/>
      <c r="G571" s="12"/>
      <c r="I571" s="12"/>
      <c r="J571" s="12"/>
      <c r="K571" s="12"/>
    </row>
    <row r="572" spans="6:11" x14ac:dyDescent="0.25">
      <c r="F572" s="12"/>
      <c r="G572" s="12"/>
      <c r="I572" s="12"/>
      <c r="J572" s="12"/>
      <c r="K572" s="12"/>
    </row>
    <row r="573" spans="6:11" x14ac:dyDescent="0.25">
      <c r="F573" s="12"/>
      <c r="G573" s="12"/>
      <c r="I573" s="12"/>
      <c r="J573" s="12"/>
      <c r="K573" s="12"/>
    </row>
    <row r="574" spans="6:11" x14ac:dyDescent="0.25">
      <c r="F574" s="12"/>
      <c r="G574" s="12"/>
      <c r="I574" s="12"/>
      <c r="J574" s="12"/>
      <c r="K574" s="12"/>
    </row>
    <row r="575" spans="6:11" x14ac:dyDescent="0.25">
      <c r="F575" s="12"/>
      <c r="G575" s="12"/>
      <c r="I575" s="12"/>
      <c r="J575" s="12"/>
      <c r="K575" s="12"/>
    </row>
    <row r="576" spans="6:11" x14ac:dyDescent="0.25">
      <c r="F576" s="12"/>
      <c r="G576" s="12"/>
      <c r="I576" s="12"/>
      <c r="J576" s="12"/>
      <c r="K576" s="12"/>
    </row>
    <row r="577" spans="6:11" x14ac:dyDescent="0.25">
      <c r="F577" s="12"/>
      <c r="G577" s="12"/>
      <c r="I577" s="12"/>
      <c r="J577" s="12"/>
      <c r="K577" s="12"/>
    </row>
    <row r="578" spans="6:11" x14ac:dyDescent="0.25">
      <c r="F578" s="12"/>
      <c r="G578" s="12"/>
      <c r="I578" s="12"/>
      <c r="J578" s="12"/>
      <c r="K578" s="12"/>
    </row>
    <row r="579" spans="6:11" x14ac:dyDescent="0.25">
      <c r="F579" s="12"/>
      <c r="G579" s="12"/>
      <c r="I579" s="12"/>
      <c r="J579" s="12"/>
      <c r="K579" s="12"/>
    </row>
    <row r="580" spans="6:11" x14ac:dyDescent="0.25">
      <c r="F580" s="12"/>
      <c r="G580" s="12"/>
      <c r="I580" s="12"/>
      <c r="J580" s="12"/>
      <c r="K580" s="12"/>
    </row>
    <row r="581" spans="6:11" x14ac:dyDescent="0.25">
      <c r="F581" s="12"/>
      <c r="G581" s="12"/>
      <c r="I581" s="12"/>
      <c r="J581" s="12"/>
      <c r="K581" s="12"/>
    </row>
    <row r="582" spans="6:11" x14ac:dyDescent="0.25">
      <c r="F582" s="12"/>
      <c r="G582" s="12"/>
      <c r="I582" s="12"/>
      <c r="J582" s="12"/>
      <c r="K582" s="12"/>
    </row>
    <row r="583" spans="6:11" x14ac:dyDescent="0.25">
      <c r="F583" s="12"/>
      <c r="G583" s="12"/>
      <c r="I583" s="12"/>
      <c r="J583" s="12"/>
      <c r="K583" s="12"/>
    </row>
    <row r="584" spans="6:11" x14ac:dyDescent="0.25">
      <c r="F584" s="12"/>
      <c r="G584" s="12"/>
      <c r="I584" s="12"/>
      <c r="J584" s="12"/>
      <c r="K584" s="12"/>
    </row>
    <row r="585" spans="6:11" x14ac:dyDescent="0.25">
      <c r="F585" s="12"/>
      <c r="G585" s="12"/>
      <c r="I585" s="12"/>
      <c r="J585" s="12"/>
      <c r="K585" s="12"/>
    </row>
    <row r="586" spans="6:11" x14ac:dyDescent="0.25">
      <c r="F586" s="12"/>
      <c r="G586" s="12"/>
      <c r="I586" s="12"/>
      <c r="J586" s="12"/>
      <c r="K586" s="12"/>
    </row>
    <row r="587" spans="6:11" x14ac:dyDescent="0.25">
      <c r="F587" s="12"/>
      <c r="G587" s="12"/>
      <c r="I587" s="12"/>
      <c r="J587" s="12"/>
      <c r="K587" s="12"/>
    </row>
    <row r="588" spans="6:11" x14ac:dyDescent="0.25">
      <c r="F588" s="12"/>
      <c r="G588" s="12"/>
      <c r="I588" s="12"/>
      <c r="J588" s="12"/>
      <c r="K588" s="12"/>
    </row>
    <row r="589" spans="6:11" x14ac:dyDescent="0.25">
      <c r="F589" s="12"/>
      <c r="G589" s="12"/>
      <c r="I589" s="12"/>
      <c r="J589" s="12"/>
      <c r="K589" s="12"/>
    </row>
    <row r="590" spans="6:11" x14ac:dyDescent="0.25">
      <c r="F590" s="12"/>
      <c r="G590" s="12"/>
      <c r="I590" s="12"/>
      <c r="J590" s="12"/>
      <c r="K590" s="12"/>
    </row>
    <row r="591" spans="6:11" x14ac:dyDescent="0.25">
      <c r="F591" s="12"/>
      <c r="G591" s="12"/>
      <c r="I591" s="12"/>
      <c r="J591" s="12"/>
      <c r="K591" s="12"/>
    </row>
    <row r="592" spans="6:11" x14ac:dyDescent="0.25">
      <c r="F592" s="12"/>
      <c r="G592" s="12"/>
      <c r="I592" s="12"/>
      <c r="J592" s="12"/>
      <c r="K592" s="12"/>
    </row>
    <row r="593" spans="6:11" x14ac:dyDescent="0.25">
      <c r="F593" s="12"/>
      <c r="G593" s="12"/>
      <c r="I593" s="12"/>
      <c r="J593" s="12"/>
      <c r="K593" s="12"/>
    </row>
    <row r="594" spans="6:11" x14ac:dyDescent="0.25">
      <c r="F594" s="12"/>
      <c r="G594" s="12"/>
      <c r="I594" s="12"/>
      <c r="J594" s="12"/>
      <c r="K594" s="12"/>
    </row>
    <row r="595" spans="6:11" x14ac:dyDescent="0.25">
      <c r="F595" s="12"/>
      <c r="G595" s="12"/>
      <c r="I595" s="12"/>
      <c r="J595" s="12"/>
      <c r="K595" s="12"/>
    </row>
    <row r="596" spans="6:11" x14ac:dyDescent="0.25">
      <c r="F596" s="12"/>
      <c r="G596" s="12"/>
      <c r="I596" s="12"/>
      <c r="J596" s="12"/>
      <c r="K596" s="12"/>
    </row>
    <row r="597" spans="6:11" x14ac:dyDescent="0.25">
      <c r="F597" s="12"/>
      <c r="G597" s="12"/>
      <c r="I597" s="12"/>
      <c r="J597" s="12"/>
      <c r="K597" s="12"/>
    </row>
    <row r="598" spans="6:11" x14ac:dyDescent="0.25">
      <c r="F598" s="12"/>
      <c r="G598" s="12"/>
      <c r="I598" s="12"/>
      <c r="J598" s="12"/>
      <c r="K598" s="12"/>
    </row>
    <row r="599" spans="6:11" x14ac:dyDescent="0.25">
      <c r="F599" s="12"/>
      <c r="G599" s="12"/>
      <c r="I599" s="12"/>
      <c r="J599" s="12"/>
      <c r="K599" s="12"/>
    </row>
    <row r="600" spans="6:11" x14ac:dyDescent="0.25">
      <c r="F600" s="12"/>
      <c r="G600" s="12"/>
      <c r="I600" s="12"/>
      <c r="J600" s="12"/>
      <c r="K600" s="12"/>
    </row>
    <row r="601" spans="6:11" x14ac:dyDescent="0.25">
      <c r="F601" s="12"/>
      <c r="G601" s="12"/>
      <c r="I601" s="12"/>
      <c r="J601" s="12"/>
      <c r="K601" s="12"/>
    </row>
    <row r="602" spans="6:11" x14ac:dyDescent="0.25">
      <c r="F602" s="12"/>
      <c r="G602" s="12"/>
      <c r="I602" s="12"/>
      <c r="J602" s="12"/>
      <c r="K602" s="12"/>
    </row>
    <row r="603" spans="6:11" x14ac:dyDescent="0.25">
      <c r="F603" s="12"/>
      <c r="G603" s="12"/>
      <c r="I603" s="12"/>
      <c r="J603" s="12"/>
      <c r="K603" s="12"/>
    </row>
    <row r="604" spans="6:11" x14ac:dyDescent="0.25">
      <c r="F604" s="12"/>
      <c r="G604" s="12"/>
      <c r="I604" s="12"/>
      <c r="J604" s="12"/>
      <c r="K604" s="12"/>
    </row>
    <row r="605" spans="6:11" x14ac:dyDescent="0.25">
      <c r="F605" s="12"/>
      <c r="G605" s="12"/>
      <c r="I605" s="12"/>
      <c r="J605" s="12"/>
      <c r="K605" s="12"/>
    </row>
    <row r="606" spans="6:11" x14ac:dyDescent="0.25">
      <c r="F606" s="12"/>
      <c r="G606" s="12"/>
      <c r="I606" s="12"/>
      <c r="J606" s="12"/>
      <c r="K606" s="12"/>
    </row>
    <row r="607" spans="6:11" x14ac:dyDescent="0.25">
      <c r="F607" s="12"/>
      <c r="G607" s="12"/>
      <c r="I607" s="12"/>
      <c r="J607" s="12"/>
      <c r="K607" s="12"/>
    </row>
    <row r="608" spans="6:11" x14ac:dyDescent="0.25">
      <c r="F608" s="12"/>
      <c r="G608" s="12"/>
      <c r="I608" s="12"/>
      <c r="J608" s="12"/>
      <c r="K608" s="12"/>
    </row>
    <row r="609" spans="6:11" x14ac:dyDescent="0.25">
      <c r="F609" s="12"/>
      <c r="G609" s="12"/>
      <c r="I609" s="12"/>
      <c r="J609" s="12"/>
      <c r="K609" s="12"/>
    </row>
    <row r="610" spans="6:11" x14ac:dyDescent="0.25">
      <c r="F610" s="12"/>
      <c r="G610" s="12"/>
      <c r="I610" s="12"/>
      <c r="J610" s="12"/>
      <c r="K610" s="12"/>
    </row>
    <row r="611" spans="6:11" x14ac:dyDescent="0.25">
      <c r="F611" s="12"/>
      <c r="G611" s="12"/>
      <c r="I611" s="12"/>
      <c r="J611" s="12"/>
      <c r="K611" s="12"/>
    </row>
    <row r="612" spans="6:11" x14ac:dyDescent="0.25">
      <c r="F612" s="12"/>
      <c r="G612" s="12"/>
      <c r="I612" s="12"/>
      <c r="J612" s="12"/>
      <c r="K612" s="12"/>
    </row>
    <row r="613" spans="6:11" x14ac:dyDescent="0.25">
      <c r="F613" s="12"/>
      <c r="G613" s="12"/>
      <c r="I613" s="12"/>
      <c r="J613" s="12"/>
      <c r="K613" s="12"/>
    </row>
    <row r="614" spans="6:11" x14ac:dyDescent="0.25">
      <c r="F614" s="12"/>
      <c r="G614" s="12"/>
      <c r="I614" s="12"/>
      <c r="J614" s="12"/>
      <c r="K614" s="12"/>
    </row>
    <row r="615" spans="6:11" x14ac:dyDescent="0.25">
      <c r="F615" s="12"/>
      <c r="G615" s="12"/>
      <c r="I615" s="12"/>
      <c r="J615" s="12"/>
      <c r="K615" s="12"/>
    </row>
    <row r="616" spans="6:11" x14ac:dyDescent="0.25">
      <c r="F616" s="12"/>
      <c r="G616" s="12"/>
      <c r="I616" s="12"/>
      <c r="J616" s="12"/>
      <c r="K616" s="12"/>
    </row>
    <row r="617" spans="6:11" x14ac:dyDescent="0.25">
      <c r="F617" s="12"/>
      <c r="G617" s="12"/>
      <c r="I617" s="12"/>
      <c r="J617" s="12"/>
      <c r="K617" s="12"/>
    </row>
    <row r="618" spans="6:11" x14ac:dyDescent="0.25">
      <c r="F618" s="12"/>
      <c r="G618" s="12"/>
      <c r="I618" s="12"/>
      <c r="J618" s="12"/>
      <c r="K618" s="12"/>
    </row>
    <row r="619" spans="6:11" x14ac:dyDescent="0.25">
      <c r="F619" s="12"/>
      <c r="G619" s="12"/>
      <c r="I619" s="12"/>
      <c r="J619" s="12"/>
      <c r="K619" s="12"/>
    </row>
    <row r="620" spans="6:11" x14ac:dyDescent="0.25">
      <c r="F620" s="12"/>
      <c r="G620" s="12"/>
      <c r="I620" s="12"/>
      <c r="J620" s="12"/>
      <c r="K620" s="12"/>
    </row>
    <row r="621" spans="6:11" x14ac:dyDescent="0.25">
      <c r="F621" s="12"/>
      <c r="G621" s="12"/>
      <c r="I621" s="12"/>
      <c r="J621" s="12"/>
      <c r="K621" s="12"/>
    </row>
    <row r="622" spans="6:11" x14ac:dyDescent="0.25">
      <c r="F622" s="12"/>
      <c r="G622" s="12"/>
      <c r="I622" s="12"/>
      <c r="J622" s="12"/>
      <c r="K622" s="12"/>
    </row>
    <row r="623" spans="6:11" x14ac:dyDescent="0.25">
      <c r="F623" s="12"/>
      <c r="G623" s="12"/>
      <c r="I623" s="12"/>
      <c r="J623" s="12"/>
      <c r="K623" s="12"/>
    </row>
    <row r="624" spans="6:11" x14ac:dyDescent="0.25">
      <c r="F624" s="12"/>
      <c r="G624" s="12"/>
      <c r="I624" s="12"/>
      <c r="J624" s="12"/>
      <c r="K624" s="12"/>
    </row>
    <row r="625" spans="6:11" x14ac:dyDescent="0.25">
      <c r="F625" s="12"/>
      <c r="G625" s="12"/>
      <c r="I625" s="12"/>
      <c r="J625" s="12"/>
      <c r="K625" s="12"/>
    </row>
    <row r="626" spans="6:11" x14ac:dyDescent="0.25">
      <c r="F626" s="12"/>
      <c r="G626" s="12"/>
      <c r="I626" s="12"/>
      <c r="J626" s="12"/>
      <c r="K626" s="12"/>
    </row>
    <row r="627" spans="6:11" x14ac:dyDescent="0.25">
      <c r="F627" s="12"/>
      <c r="G627" s="12"/>
      <c r="I627" s="12"/>
      <c r="J627" s="12"/>
      <c r="K627" s="12"/>
    </row>
    <row r="628" spans="6:11" x14ac:dyDescent="0.25">
      <c r="F628" s="12"/>
      <c r="G628" s="12"/>
      <c r="I628" s="12"/>
      <c r="J628" s="12"/>
      <c r="K628" s="12"/>
    </row>
    <row r="629" spans="6:11" x14ac:dyDescent="0.25">
      <c r="F629" s="12"/>
      <c r="G629" s="12"/>
      <c r="I629" s="12"/>
      <c r="J629" s="12"/>
      <c r="K629" s="12"/>
    </row>
    <row r="630" spans="6:11" x14ac:dyDescent="0.25">
      <c r="F630" s="12"/>
      <c r="G630" s="12"/>
      <c r="I630" s="12"/>
      <c r="J630" s="12"/>
      <c r="K630" s="12"/>
    </row>
    <row r="631" spans="6:11" x14ac:dyDescent="0.25">
      <c r="F631" s="12"/>
      <c r="G631" s="12"/>
      <c r="I631" s="12"/>
      <c r="J631" s="12"/>
      <c r="K631" s="12"/>
    </row>
    <row r="632" spans="6:11" x14ac:dyDescent="0.25">
      <c r="F632" s="12"/>
      <c r="G632" s="12"/>
      <c r="I632" s="12"/>
      <c r="J632" s="12"/>
      <c r="K632" s="12"/>
    </row>
    <row r="633" spans="6:11" x14ac:dyDescent="0.25">
      <c r="F633" s="12"/>
      <c r="G633" s="12"/>
      <c r="I633" s="12"/>
      <c r="J633" s="12"/>
      <c r="K633" s="12"/>
    </row>
    <row r="634" spans="6:11" x14ac:dyDescent="0.25">
      <c r="F634" s="12"/>
      <c r="G634" s="12"/>
      <c r="I634" s="12"/>
      <c r="J634" s="12"/>
      <c r="K634" s="12"/>
    </row>
    <row r="635" spans="6:11" x14ac:dyDescent="0.25">
      <c r="F635" s="12"/>
      <c r="G635" s="12"/>
      <c r="I635" s="12"/>
      <c r="J635" s="12"/>
      <c r="K635" s="12"/>
    </row>
    <row r="636" spans="6:11" x14ac:dyDescent="0.25">
      <c r="F636" s="12"/>
      <c r="G636" s="12"/>
      <c r="I636" s="12"/>
      <c r="J636" s="12"/>
      <c r="K636" s="12"/>
    </row>
    <row r="637" spans="6:11" x14ac:dyDescent="0.25">
      <c r="F637" s="12"/>
      <c r="G637" s="12"/>
      <c r="I637" s="12"/>
      <c r="J637" s="12"/>
      <c r="K637" s="12"/>
    </row>
    <row r="638" spans="6:11" x14ac:dyDescent="0.25">
      <c r="F638" s="12"/>
      <c r="G638" s="12"/>
      <c r="I638" s="12"/>
      <c r="J638" s="12"/>
      <c r="K638" s="12"/>
    </row>
    <row r="639" spans="6:11" x14ac:dyDescent="0.25">
      <c r="F639" s="12"/>
      <c r="G639" s="12"/>
      <c r="I639" s="12"/>
      <c r="J639" s="12"/>
      <c r="K639" s="12"/>
    </row>
    <row r="640" spans="6:11" x14ac:dyDescent="0.25">
      <c r="F640" s="12"/>
      <c r="G640" s="12"/>
      <c r="I640" s="12"/>
      <c r="J640" s="12"/>
      <c r="K640" s="12"/>
    </row>
    <row r="641" spans="6:11" x14ac:dyDescent="0.25">
      <c r="F641" s="12"/>
      <c r="G641" s="12"/>
      <c r="I641" s="12"/>
      <c r="J641" s="12"/>
      <c r="K641" s="12"/>
    </row>
    <row r="642" spans="6:11" x14ac:dyDescent="0.25">
      <c r="F642" s="12"/>
      <c r="G642" s="12"/>
      <c r="I642" s="12"/>
      <c r="J642" s="12"/>
      <c r="K642" s="12"/>
    </row>
    <row r="643" spans="6:11" x14ac:dyDescent="0.25">
      <c r="F643" s="12"/>
      <c r="G643" s="12"/>
      <c r="I643" s="12"/>
      <c r="J643" s="12"/>
      <c r="K643" s="12"/>
    </row>
    <row r="644" spans="6:11" x14ac:dyDescent="0.25">
      <c r="F644" s="12"/>
      <c r="G644" s="12"/>
      <c r="I644" s="12"/>
      <c r="J644" s="12"/>
      <c r="K644" s="12"/>
    </row>
    <row r="645" spans="6:11" x14ac:dyDescent="0.25">
      <c r="F645" s="12"/>
      <c r="G645" s="12"/>
      <c r="I645" s="12"/>
      <c r="J645" s="12"/>
      <c r="K645" s="12"/>
    </row>
    <row r="646" spans="6:11" x14ac:dyDescent="0.25">
      <c r="F646" s="12"/>
      <c r="G646" s="12"/>
      <c r="I646" s="12"/>
      <c r="J646" s="12"/>
      <c r="K646" s="12"/>
    </row>
    <row r="647" spans="6:11" x14ac:dyDescent="0.25">
      <c r="F647" s="12"/>
      <c r="G647" s="12"/>
      <c r="I647" s="12"/>
      <c r="J647" s="12"/>
      <c r="K647" s="12"/>
    </row>
    <row r="648" spans="6:11" x14ac:dyDescent="0.25">
      <c r="F648" s="12"/>
      <c r="G648" s="12"/>
      <c r="I648" s="12"/>
      <c r="J648" s="12"/>
      <c r="K648" s="12"/>
    </row>
    <row r="649" spans="6:11" x14ac:dyDescent="0.25">
      <c r="F649" s="12"/>
      <c r="G649" s="12"/>
      <c r="I649" s="12"/>
      <c r="J649" s="12"/>
      <c r="K649" s="12"/>
    </row>
    <row r="650" spans="6:11" x14ac:dyDescent="0.25">
      <c r="F650" s="12"/>
      <c r="G650" s="12"/>
      <c r="I650" s="12"/>
      <c r="J650" s="12"/>
      <c r="K650" s="12"/>
    </row>
    <row r="651" spans="6:11" x14ac:dyDescent="0.25">
      <c r="F651" s="12"/>
      <c r="G651" s="12"/>
      <c r="I651" s="12"/>
      <c r="J651" s="12"/>
      <c r="K651" s="12"/>
    </row>
    <row r="652" spans="6:11" x14ac:dyDescent="0.25">
      <c r="F652" s="12"/>
      <c r="G652" s="12"/>
      <c r="I652" s="12"/>
      <c r="J652" s="12"/>
      <c r="K652" s="12"/>
    </row>
    <row r="653" spans="6:11" x14ac:dyDescent="0.25">
      <c r="F653" s="12"/>
      <c r="G653" s="12"/>
      <c r="I653" s="12"/>
      <c r="J653" s="12"/>
      <c r="K653" s="12"/>
    </row>
    <row r="654" spans="6:11" x14ac:dyDescent="0.25">
      <c r="F654" s="12"/>
      <c r="G654" s="12"/>
      <c r="I654" s="12"/>
      <c r="J654" s="12"/>
      <c r="K654" s="12"/>
    </row>
    <row r="655" spans="6:11" x14ac:dyDescent="0.25">
      <c r="F655" s="12"/>
      <c r="G655" s="12"/>
      <c r="I655" s="12"/>
      <c r="J655" s="12"/>
      <c r="K655" s="12"/>
    </row>
    <row r="656" spans="6:11" x14ac:dyDescent="0.25">
      <c r="F656" s="12"/>
      <c r="G656" s="12"/>
      <c r="I656" s="12"/>
      <c r="J656" s="12"/>
      <c r="K656" s="12"/>
    </row>
    <row r="657" spans="6:11" x14ac:dyDescent="0.25">
      <c r="F657" s="12"/>
      <c r="G657" s="12"/>
      <c r="I657" s="12"/>
      <c r="J657" s="12"/>
      <c r="K657" s="12"/>
    </row>
    <row r="658" spans="6:11" x14ac:dyDescent="0.25">
      <c r="F658" s="12"/>
      <c r="G658" s="12"/>
      <c r="I658" s="12"/>
      <c r="J658" s="12"/>
      <c r="K658" s="12"/>
    </row>
    <row r="659" spans="6:11" x14ac:dyDescent="0.25">
      <c r="F659" s="12"/>
      <c r="G659" s="12"/>
      <c r="I659" s="12"/>
      <c r="J659" s="12"/>
      <c r="K659" s="12"/>
    </row>
    <row r="660" spans="6:11" x14ac:dyDescent="0.25">
      <c r="F660" s="12"/>
      <c r="G660" s="12"/>
      <c r="I660" s="12"/>
      <c r="J660" s="12"/>
      <c r="K660" s="12"/>
    </row>
    <row r="661" spans="6:11" x14ac:dyDescent="0.25">
      <c r="F661" s="12"/>
      <c r="G661" s="12"/>
      <c r="I661" s="12"/>
      <c r="J661" s="12"/>
      <c r="K661" s="12"/>
    </row>
    <row r="662" spans="6:11" x14ac:dyDescent="0.25">
      <c r="F662" s="12"/>
      <c r="G662" s="12"/>
      <c r="I662" s="12"/>
      <c r="J662" s="12"/>
      <c r="K662" s="12"/>
    </row>
    <row r="663" spans="6:11" x14ac:dyDescent="0.25">
      <c r="F663" s="12"/>
      <c r="G663" s="12"/>
      <c r="I663" s="12"/>
      <c r="J663" s="12"/>
      <c r="K663" s="12"/>
    </row>
    <row r="664" spans="6:11" x14ac:dyDescent="0.25">
      <c r="F664" s="12"/>
      <c r="G664" s="12"/>
      <c r="I664" s="12"/>
      <c r="J664" s="12"/>
      <c r="K664" s="12"/>
    </row>
    <row r="665" spans="6:11" x14ac:dyDescent="0.25">
      <c r="F665" s="12"/>
      <c r="G665" s="12"/>
      <c r="I665" s="12"/>
      <c r="J665" s="12"/>
      <c r="K665" s="12"/>
    </row>
    <row r="666" spans="6:11" x14ac:dyDescent="0.25">
      <c r="F666" s="12"/>
      <c r="G666" s="12"/>
      <c r="I666" s="12"/>
      <c r="J666" s="12"/>
      <c r="K666" s="12"/>
    </row>
    <row r="667" spans="6:11" x14ac:dyDescent="0.25">
      <c r="F667" s="12"/>
      <c r="G667" s="12"/>
      <c r="I667" s="12"/>
      <c r="J667" s="12"/>
      <c r="K667" s="12"/>
    </row>
    <row r="668" spans="6:11" x14ac:dyDescent="0.25">
      <c r="F668" s="12"/>
      <c r="G668" s="12"/>
      <c r="I668" s="12"/>
      <c r="J668" s="12"/>
      <c r="K668" s="12"/>
    </row>
    <row r="669" spans="6:11" x14ac:dyDescent="0.25">
      <c r="F669" s="12"/>
      <c r="G669" s="12"/>
      <c r="I669" s="12"/>
      <c r="J669" s="12"/>
      <c r="K669" s="12"/>
    </row>
    <row r="670" spans="6:11" x14ac:dyDescent="0.25">
      <c r="F670" s="12"/>
      <c r="G670" s="12"/>
      <c r="I670" s="12"/>
      <c r="J670" s="12"/>
      <c r="K670" s="12"/>
    </row>
    <row r="671" spans="6:11" x14ac:dyDescent="0.25">
      <c r="F671" s="12"/>
      <c r="G671" s="12"/>
      <c r="I671" s="12"/>
      <c r="J671" s="12"/>
      <c r="K671" s="12"/>
    </row>
    <row r="672" spans="6:11" x14ac:dyDescent="0.25">
      <c r="F672" s="12"/>
      <c r="G672" s="12"/>
      <c r="I672" s="12"/>
      <c r="J672" s="12"/>
      <c r="K672" s="12"/>
    </row>
    <row r="673" spans="6:11" x14ac:dyDescent="0.25">
      <c r="F673" s="12"/>
      <c r="G673" s="12"/>
      <c r="I673" s="12"/>
      <c r="J673" s="12"/>
      <c r="K673" s="12"/>
    </row>
    <row r="674" spans="6:11" x14ac:dyDescent="0.25">
      <c r="F674" s="12"/>
      <c r="G674" s="12"/>
      <c r="I674" s="12"/>
      <c r="J674" s="12"/>
      <c r="K674" s="12"/>
    </row>
    <row r="675" spans="6:11" x14ac:dyDescent="0.25">
      <c r="F675" s="12"/>
      <c r="G675" s="12"/>
      <c r="I675" s="12"/>
      <c r="J675" s="12"/>
      <c r="K675" s="12"/>
    </row>
    <row r="676" spans="6:11" x14ac:dyDescent="0.25">
      <c r="F676" s="12"/>
      <c r="G676" s="12"/>
      <c r="I676" s="12"/>
      <c r="J676" s="12"/>
      <c r="K676" s="12"/>
    </row>
    <row r="677" spans="6:11" x14ac:dyDescent="0.25">
      <c r="F677" s="12"/>
      <c r="G677" s="12"/>
      <c r="I677" s="12"/>
      <c r="J677" s="12"/>
      <c r="K677" s="12"/>
    </row>
    <row r="678" spans="6:11" x14ac:dyDescent="0.25">
      <c r="F678" s="12"/>
      <c r="G678" s="12"/>
      <c r="I678" s="12"/>
      <c r="J678" s="12"/>
      <c r="K678" s="12"/>
    </row>
    <row r="679" spans="6:11" x14ac:dyDescent="0.25">
      <c r="F679" s="12"/>
      <c r="G679" s="12"/>
      <c r="I679" s="12"/>
      <c r="J679" s="12"/>
      <c r="K679" s="12"/>
    </row>
    <row r="680" spans="6:11" x14ac:dyDescent="0.25">
      <c r="F680" s="12"/>
      <c r="G680" s="12"/>
      <c r="I680" s="12"/>
      <c r="J680" s="12"/>
      <c r="K680" s="12"/>
    </row>
    <row r="681" spans="6:11" x14ac:dyDescent="0.25">
      <c r="F681" s="12"/>
      <c r="G681" s="12"/>
      <c r="I681" s="12"/>
      <c r="J681" s="12"/>
      <c r="K681" s="12"/>
    </row>
    <row r="682" spans="6:11" x14ac:dyDescent="0.25">
      <c r="F682" s="12"/>
      <c r="G682" s="12"/>
      <c r="I682" s="12"/>
      <c r="J682" s="12"/>
      <c r="K682" s="12"/>
    </row>
    <row r="683" spans="6:11" x14ac:dyDescent="0.25">
      <c r="F683" s="12"/>
      <c r="G683" s="12"/>
      <c r="I683" s="12"/>
      <c r="J683" s="12"/>
      <c r="K683" s="12"/>
    </row>
    <row r="684" spans="6:11" x14ac:dyDescent="0.25">
      <c r="F684" s="12"/>
      <c r="G684" s="12"/>
      <c r="I684" s="12"/>
      <c r="J684" s="12"/>
      <c r="K684" s="12"/>
    </row>
    <row r="685" spans="6:11" x14ac:dyDescent="0.25">
      <c r="F685" s="12"/>
      <c r="G685" s="12"/>
      <c r="I685" s="12"/>
      <c r="J685" s="12"/>
      <c r="K685" s="12"/>
    </row>
    <row r="686" spans="6:11" x14ac:dyDescent="0.25">
      <c r="F686" s="12"/>
      <c r="G686" s="12"/>
      <c r="I686" s="12"/>
      <c r="J686" s="12"/>
      <c r="K686" s="12"/>
    </row>
    <row r="687" spans="6:11" x14ac:dyDescent="0.25">
      <c r="F687" s="12"/>
      <c r="G687" s="12"/>
      <c r="I687" s="12"/>
      <c r="J687" s="12"/>
      <c r="K687" s="12"/>
    </row>
    <row r="688" spans="6:11" x14ac:dyDescent="0.25">
      <c r="F688" s="12"/>
      <c r="G688" s="12"/>
      <c r="I688" s="12"/>
      <c r="J688" s="12"/>
      <c r="K688" s="12"/>
    </row>
    <row r="689" spans="6:11" x14ac:dyDescent="0.25">
      <c r="F689" s="12"/>
      <c r="G689" s="12"/>
      <c r="I689" s="12"/>
      <c r="J689" s="12"/>
      <c r="K689" s="12"/>
    </row>
    <row r="690" spans="6:11" x14ac:dyDescent="0.25">
      <c r="F690" s="12"/>
      <c r="G690" s="12"/>
      <c r="I690" s="12"/>
      <c r="J690" s="12"/>
      <c r="K690" s="12"/>
    </row>
    <row r="691" spans="6:11" x14ac:dyDescent="0.25">
      <c r="F691" s="12"/>
      <c r="G691" s="12"/>
      <c r="I691" s="12"/>
      <c r="J691" s="12"/>
      <c r="K691" s="12"/>
    </row>
    <row r="692" spans="6:11" x14ac:dyDescent="0.25">
      <c r="F692" s="12"/>
      <c r="G692" s="12"/>
      <c r="I692" s="12"/>
      <c r="J692" s="12"/>
      <c r="K692" s="12"/>
    </row>
    <row r="693" spans="6:11" x14ac:dyDescent="0.25">
      <c r="F693" s="12"/>
      <c r="G693" s="12"/>
      <c r="I693" s="12"/>
      <c r="J693" s="12"/>
      <c r="K693" s="12"/>
    </row>
    <row r="694" spans="6:11" x14ac:dyDescent="0.25">
      <c r="F694" s="12"/>
      <c r="G694" s="12"/>
      <c r="I694" s="12"/>
      <c r="J694" s="12"/>
      <c r="K694" s="12"/>
    </row>
    <row r="695" spans="6:11" x14ac:dyDescent="0.25">
      <c r="F695" s="12"/>
      <c r="G695" s="12"/>
      <c r="I695" s="12"/>
      <c r="J695" s="12"/>
      <c r="K695" s="12"/>
    </row>
    <row r="696" spans="6:11" x14ac:dyDescent="0.25">
      <c r="F696" s="12"/>
      <c r="G696" s="12"/>
      <c r="I696" s="12"/>
      <c r="J696" s="12"/>
      <c r="K696" s="12"/>
    </row>
    <row r="697" spans="6:11" x14ac:dyDescent="0.25">
      <c r="F697" s="12"/>
      <c r="G697" s="12"/>
      <c r="I697" s="12"/>
      <c r="J697" s="12"/>
      <c r="K697" s="12"/>
    </row>
    <row r="698" spans="6:11" x14ac:dyDescent="0.25">
      <c r="F698" s="12"/>
      <c r="G698" s="12"/>
      <c r="I698" s="12"/>
      <c r="J698" s="12"/>
      <c r="K698" s="12"/>
    </row>
    <row r="699" spans="6:11" x14ac:dyDescent="0.25">
      <c r="F699" s="12"/>
      <c r="G699" s="12"/>
      <c r="I699" s="12"/>
      <c r="J699" s="12"/>
      <c r="K699" s="12"/>
    </row>
    <row r="700" spans="6:11" x14ac:dyDescent="0.25">
      <c r="F700" s="12"/>
      <c r="G700" s="12"/>
      <c r="I700" s="12"/>
      <c r="J700" s="12"/>
      <c r="K700" s="12"/>
    </row>
    <row r="701" spans="6:11" x14ac:dyDescent="0.25">
      <c r="F701" s="12"/>
      <c r="G701" s="12"/>
      <c r="I701" s="12"/>
      <c r="J701" s="12"/>
      <c r="K701" s="12"/>
    </row>
    <row r="702" spans="6:11" x14ac:dyDescent="0.25">
      <c r="F702" s="12"/>
      <c r="G702" s="12"/>
      <c r="I702" s="12"/>
      <c r="J702" s="12"/>
      <c r="K702" s="12"/>
    </row>
    <row r="703" spans="6:11" x14ac:dyDescent="0.25">
      <c r="F703" s="12"/>
      <c r="G703" s="12"/>
      <c r="I703" s="12"/>
      <c r="J703" s="12"/>
      <c r="K703" s="12"/>
    </row>
    <row r="704" spans="6:11" x14ac:dyDescent="0.25">
      <c r="F704" s="12"/>
      <c r="G704" s="12"/>
      <c r="I704" s="12"/>
      <c r="J704" s="12"/>
      <c r="K704" s="12"/>
    </row>
    <row r="705" spans="6:11" x14ac:dyDescent="0.25">
      <c r="F705" s="12"/>
      <c r="G705" s="12"/>
      <c r="I705" s="12"/>
      <c r="J705" s="12"/>
      <c r="K705" s="12"/>
    </row>
    <row r="706" spans="6:11" x14ac:dyDescent="0.25">
      <c r="F706" s="12"/>
      <c r="G706" s="12"/>
      <c r="I706" s="12"/>
      <c r="J706" s="12"/>
      <c r="K706" s="12"/>
    </row>
    <row r="707" spans="6:11" x14ac:dyDescent="0.25">
      <c r="F707" s="12"/>
      <c r="G707" s="12"/>
      <c r="I707" s="12"/>
      <c r="J707" s="12"/>
      <c r="K707" s="12"/>
    </row>
    <row r="708" spans="6:11" x14ac:dyDescent="0.25">
      <c r="F708" s="12"/>
      <c r="G708" s="12"/>
      <c r="I708" s="12"/>
      <c r="J708" s="12"/>
      <c r="K708" s="12"/>
    </row>
    <row r="709" spans="6:11" x14ac:dyDescent="0.25">
      <c r="F709" s="12"/>
      <c r="G709" s="12"/>
      <c r="I709" s="12"/>
      <c r="J709" s="12"/>
      <c r="K709" s="12"/>
    </row>
    <row r="710" spans="6:11" x14ac:dyDescent="0.25">
      <c r="F710" s="12"/>
      <c r="G710" s="12"/>
      <c r="I710" s="12"/>
      <c r="J710" s="12"/>
      <c r="K710" s="12"/>
    </row>
    <row r="711" spans="6:11" x14ac:dyDescent="0.25">
      <c r="F711" s="12"/>
      <c r="G711" s="12"/>
      <c r="I711" s="12"/>
      <c r="J711" s="12"/>
      <c r="K711" s="12"/>
    </row>
    <row r="712" spans="6:11" x14ac:dyDescent="0.25">
      <c r="F712" s="12"/>
      <c r="G712" s="12"/>
      <c r="I712" s="12"/>
      <c r="J712" s="12"/>
      <c r="K712" s="12"/>
    </row>
    <row r="713" spans="6:11" x14ac:dyDescent="0.25">
      <c r="F713" s="12"/>
      <c r="G713" s="12"/>
      <c r="I713" s="12"/>
      <c r="J713" s="12"/>
      <c r="K713" s="12"/>
    </row>
    <row r="714" spans="6:11" x14ac:dyDescent="0.25">
      <c r="F714" s="12"/>
      <c r="G714" s="12"/>
      <c r="I714" s="12"/>
      <c r="J714" s="12"/>
      <c r="K714" s="12"/>
    </row>
    <row r="715" spans="6:11" x14ac:dyDescent="0.25">
      <c r="F715" s="12"/>
      <c r="G715" s="12"/>
      <c r="I715" s="12"/>
      <c r="J715" s="12"/>
      <c r="K715" s="12"/>
    </row>
    <row r="716" spans="6:11" x14ac:dyDescent="0.25">
      <c r="F716" s="12"/>
      <c r="G716" s="12"/>
      <c r="I716" s="12"/>
      <c r="J716" s="12"/>
      <c r="K716" s="12"/>
    </row>
    <row r="717" spans="6:11" x14ac:dyDescent="0.25">
      <c r="F717" s="12"/>
      <c r="G717" s="12"/>
      <c r="I717" s="12"/>
      <c r="J717" s="12"/>
      <c r="K717" s="12"/>
    </row>
    <row r="718" spans="6:11" x14ac:dyDescent="0.25">
      <c r="F718" s="12"/>
      <c r="G718" s="12"/>
      <c r="I718" s="12"/>
      <c r="J718" s="12"/>
      <c r="K718" s="12"/>
    </row>
    <row r="719" spans="6:11" x14ac:dyDescent="0.25">
      <c r="F719" s="12"/>
      <c r="G719" s="12"/>
      <c r="I719" s="12"/>
      <c r="J719" s="12"/>
      <c r="K719" s="12"/>
    </row>
    <row r="720" spans="6:11" x14ac:dyDescent="0.25">
      <c r="F720" s="12"/>
      <c r="G720" s="12"/>
      <c r="I720" s="12"/>
      <c r="J720" s="12"/>
      <c r="K720" s="12"/>
    </row>
    <row r="721" spans="6:11" x14ac:dyDescent="0.25">
      <c r="F721" s="12"/>
      <c r="G721" s="12"/>
      <c r="I721" s="12"/>
      <c r="J721" s="12"/>
      <c r="K721" s="12"/>
    </row>
    <row r="722" spans="6:11" x14ac:dyDescent="0.25">
      <c r="F722" s="12"/>
      <c r="G722" s="12"/>
      <c r="I722" s="12"/>
      <c r="J722" s="12"/>
      <c r="K722" s="12"/>
    </row>
    <row r="723" spans="6:11" x14ac:dyDescent="0.25">
      <c r="F723" s="12"/>
      <c r="G723" s="12"/>
      <c r="I723" s="12"/>
      <c r="J723" s="12"/>
      <c r="K723" s="12"/>
    </row>
    <row r="724" spans="6:11" x14ac:dyDescent="0.25">
      <c r="F724" s="12"/>
      <c r="G724" s="12"/>
      <c r="I724" s="12"/>
      <c r="J724" s="12"/>
      <c r="K724" s="12"/>
    </row>
    <row r="725" spans="6:11" x14ac:dyDescent="0.25">
      <c r="F725" s="12"/>
      <c r="G725" s="12"/>
      <c r="I725" s="12"/>
      <c r="J725" s="12"/>
      <c r="K725" s="12"/>
    </row>
    <row r="726" spans="6:11" x14ac:dyDescent="0.25">
      <c r="F726" s="12"/>
      <c r="G726" s="12"/>
      <c r="I726" s="12"/>
      <c r="J726" s="12"/>
      <c r="K726" s="12"/>
    </row>
    <row r="727" spans="6:11" x14ac:dyDescent="0.25">
      <c r="F727" s="12"/>
      <c r="G727" s="12"/>
      <c r="I727" s="12"/>
      <c r="J727" s="12"/>
      <c r="K727" s="12"/>
    </row>
    <row r="728" spans="6:11" x14ac:dyDescent="0.25">
      <c r="F728" s="12"/>
      <c r="G728" s="12"/>
      <c r="I728" s="12"/>
      <c r="J728" s="12"/>
      <c r="K728" s="12"/>
    </row>
    <row r="729" spans="6:11" x14ac:dyDescent="0.25">
      <c r="F729" s="12"/>
      <c r="G729" s="12"/>
      <c r="I729" s="12"/>
      <c r="J729" s="12"/>
      <c r="K729" s="12"/>
    </row>
    <row r="730" spans="6:11" x14ac:dyDescent="0.25">
      <c r="F730" s="12"/>
      <c r="G730" s="12"/>
      <c r="I730" s="12"/>
      <c r="J730" s="12"/>
      <c r="K730" s="12"/>
    </row>
    <row r="731" spans="6:11" x14ac:dyDescent="0.25">
      <c r="F731" s="12"/>
      <c r="G731" s="12"/>
      <c r="I731" s="12"/>
      <c r="J731" s="12"/>
      <c r="K731" s="12"/>
    </row>
    <row r="732" spans="6:11" x14ac:dyDescent="0.25">
      <c r="F732" s="12"/>
      <c r="G732" s="12"/>
      <c r="I732" s="12"/>
      <c r="J732" s="12"/>
      <c r="K732" s="12"/>
    </row>
    <row r="733" spans="6:11" x14ac:dyDescent="0.25">
      <c r="F733" s="12"/>
      <c r="G733" s="12"/>
      <c r="I733" s="12"/>
      <c r="J733" s="12"/>
      <c r="K733" s="12"/>
    </row>
    <row r="734" spans="6:11" x14ac:dyDescent="0.25">
      <c r="F734" s="12"/>
      <c r="G734" s="12"/>
      <c r="I734" s="12"/>
      <c r="J734" s="12"/>
      <c r="K734" s="12"/>
    </row>
    <row r="735" spans="6:11" x14ac:dyDescent="0.25">
      <c r="F735" s="12"/>
      <c r="G735" s="12"/>
      <c r="I735" s="12"/>
      <c r="J735" s="12"/>
      <c r="K735" s="12"/>
    </row>
    <row r="736" spans="6:11" x14ac:dyDescent="0.25">
      <c r="F736" s="12"/>
      <c r="G736" s="12"/>
      <c r="I736" s="12"/>
      <c r="J736" s="12"/>
      <c r="K736" s="12"/>
    </row>
    <row r="737" spans="6:11" x14ac:dyDescent="0.25">
      <c r="F737" s="12"/>
      <c r="G737" s="12"/>
      <c r="I737" s="12"/>
      <c r="J737" s="12"/>
      <c r="K737" s="12"/>
    </row>
    <row r="738" spans="6:11" x14ac:dyDescent="0.25">
      <c r="F738" s="12"/>
      <c r="G738" s="12"/>
      <c r="I738" s="12"/>
      <c r="J738" s="12"/>
      <c r="K738" s="12"/>
    </row>
    <row r="739" spans="6:11" x14ac:dyDescent="0.25">
      <c r="F739" s="12"/>
      <c r="G739" s="12"/>
      <c r="I739" s="12"/>
      <c r="J739" s="12"/>
      <c r="K739" s="12"/>
    </row>
    <row r="740" spans="6:11" x14ac:dyDescent="0.25">
      <c r="F740" s="12"/>
      <c r="G740" s="12"/>
      <c r="I740" s="12"/>
      <c r="J740" s="12"/>
      <c r="K740" s="12"/>
    </row>
    <row r="741" spans="6:11" x14ac:dyDescent="0.25">
      <c r="F741" s="12"/>
      <c r="G741" s="12"/>
      <c r="I741" s="12"/>
      <c r="J741" s="12"/>
      <c r="K741" s="12"/>
    </row>
    <row r="742" spans="6:11" x14ac:dyDescent="0.25">
      <c r="F742" s="12"/>
      <c r="G742" s="12"/>
      <c r="I742" s="12"/>
      <c r="J742" s="12"/>
      <c r="K742" s="12"/>
    </row>
    <row r="743" spans="6:11" x14ac:dyDescent="0.25">
      <c r="F743" s="12"/>
      <c r="G743" s="12"/>
      <c r="I743" s="12"/>
      <c r="J743" s="12"/>
      <c r="K743" s="12"/>
    </row>
    <row r="744" spans="6:11" x14ac:dyDescent="0.25">
      <c r="F744" s="12"/>
      <c r="G744" s="12"/>
      <c r="I744" s="12"/>
      <c r="J744" s="12"/>
      <c r="K744" s="12"/>
    </row>
    <row r="745" spans="6:11" x14ac:dyDescent="0.25">
      <c r="F745" s="12"/>
      <c r="G745" s="12"/>
      <c r="I745" s="12"/>
      <c r="J745" s="12"/>
      <c r="K745" s="12"/>
    </row>
    <row r="746" spans="6:11" x14ac:dyDescent="0.25">
      <c r="F746" s="12"/>
      <c r="G746" s="12"/>
      <c r="I746" s="12"/>
      <c r="J746" s="12"/>
      <c r="K746" s="12"/>
    </row>
    <row r="747" spans="6:11" x14ac:dyDescent="0.25">
      <c r="F747" s="12"/>
      <c r="G747" s="12"/>
      <c r="I747" s="12"/>
      <c r="J747" s="12"/>
      <c r="K747" s="12"/>
    </row>
    <row r="748" spans="6:11" x14ac:dyDescent="0.25">
      <c r="F748" s="12"/>
      <c r="G748" s="12"/>
      <c r="I748" s="12"/>
      <c r="J748" s="12"/>
      <c r="K748" s="12"/>
    </row>
    <row r="749" spans="6:11" x14ac:dyDescent="0.25">
      <c r="F749" s="12"/>
      <c r="G749" s="12"/>
      <c r="I749" s="12"/>
      <c r="J749" s="12"/>
      <c r="K749" s="12"/>
    </row>
    <row r="750" spans="6:11" x14ac:dyDescent="0.25">
      <c r="F750" s="12"/>
      <c r="G750" s="12"/>
      <c r="I750" s="12"/>
      <c r="J750" s="12"/>
      <c r="K750" s="12"/>
    </row>
    <row r="751" spans="6:11" x14ac:dyDescent="0.25">
      <c r="F751" s="12"/>
      <c r="G751" s="12"/>
      <c r="I751" s="12"/>
      <c r="J751" s="12"/>
      <c r="K751" s="12"/>
    </row>
    <row r="752" spans="6:11" x14ac:dyDescent="0.25">
      <c r="F752" s="12"/>
      <c r="G752" s="12"/>
      <c r="I752" s="12"/>
      <c r="J752" s="12"/>
      <c r="K752" s="12"/>
    </row>
    <row r="753" spans="6:11" x14ac:dyDescent="0.25">
      <c r="F753" s="12"/>
      <c r="G753" s="12"/>
      <c r="I753" s="12"/>
      <c r="J753" s="12"/>
      <c r="K753" s="12"/>
    </row>
    <row r="754" spans="6:11" x14ac:dyDescent="0.25">
      <c r="F754" s="12"/>
      <c r="G754" s="12"/>
      <c r="I754" s="12"/>
      <c r="J754" s="12"/>
      <c r="K754" s="12"/>
    </row>
    <row r="755" spans="6:11" x14ac:dyDescent="0.25">
      <c r="F755" s="12"/>
      <c r="G755" s="12"/>
      <c r="I755" s="12"/>
      <c r="J755" s="12"/>
      <c r="K755" s="12"/>
    </row>
    <row r="756" spans="6:11" x14ac:dyDescent="0.25">
      <c r="F756" s="12"/>
      <c r="G756" s="12"/>
      <c r="I756" s="12"/>
      <c r="J756" s="12"/>
      <c r="K756" s="12"/>
    </row>
    <row r="757" spans="6:11" x14ac:dyDescent="0.25">
      <c r="F757" s="12"/>
      <c r="G757" s="12"/>
      <c r="I757" s="12"/>
      <c r="J757" s="12"/>
      <c r="K757" s="12"/>
    </row>
    <row r="758" spans="6:11" x14ac:dyDescent="0.25">
      <c r="F758" s="12"/>
      <c r="G758" s="12"/>
      <c r="I758" s="12"/>
      <c r="J758" s="12"/>
      <c r="K758" s="12"/>
    </row>
    <row r="759" spans="6:11" x14ac:dyDescent="0.25">
      <c r="F759" s="12"/>
      <c r="G759" s="12"/>
      <c r="I759" s="12"/>
      <c r="J759" s="12"/>
      <c r="K759" s="12"/>
    </row>
    <row r="760" spans="6:11" x14ac:dyDescent="0.25">
      <c r="F760" s="12"/>
      <c r="G760" s="12"/>
      <c r="I760" s="12"/>
      <c r="J760" s="12"/>
      <c r="K760" s="12"/>
    </row>
    <row r="761" spans="6:11" x14ac:dyDescent="0.25">
      <c r="F761" s="12"/>
      <c r="G761" s="12"/>
      <c r="I761" s="12"/>
      <c r="J761" s="12"/>
      <c r="K761" s="12"/>
    </row>
    <row r="762" spans="6:11" x14ac:dyDescent="0.25">
      <c r="F762" s="12"/>
      <c r="G762" s="12"/>
      <c r="I762" s="12"/>
      <c r="J762" s="12"/>
      <c r="K762" s="12"/>
    </row>
    <row r="763" spans="6:11" x14ac:dyDescent="0.25">
      <c r="F763" s="12"/>
      <c r="G763" s="12"/>
      <c r="I763" s="12"/>
      <c r="J763" s="12"/>
      <c r="K763" s="12"/>
    </row>
    <row r="764" spans="6:11" x14ac:dyDescent="0.25">
      <c r="F764" s="12"/>
      <c r="G764" s="12"/>
      <c r="I764" s="12"/>
      <c r="J764" s="12"/>
      <c r="K764" s="12"/>
    </row>
    <row r="765" spans="6:11" x14ac:dyDescent="0.25">
      <c r="F765" s="12"/>
      <c r="G765" s="12"/>
      <c r="I765" s="12"/>
      <c r="J765" s="12"/>
      <c r="K765" s="12"/>
    </row>
    <row r="766" spans="6:11" x14ac:dyDescent="0.25">
      <c r="F766" s="12"/>
      <c r="G766" s="12"/>
      <c r="I766" s="12"/>
      <c r="J766" s="12"/>
      <c r="K766" s="12"/>
    </row>
    <row r="767" spans="6:11" x14ac:dyDescent="0.25">
      <c r="F767" s="12"/>
      <c r="G767" s="12"/>
      <c r="I767" s="12"/>
      <c r="J767" s="12"/>
      <c r="K767" s="12"/>
    </row>
    <row r="768" spans="6:11" x14ac:dyDescent="0.25">
      <c r="F768" s="12"/>
      <c r="G768" s="12"/>
      <c r="I768" s="12"/>
      <c r="J768" s="12"/>
      <c r="K768" s="12"/>
    </row>
    <row r="769" spans="6:11" x14ac:dyDescent="0.25">
      <c r="F769" s="12"/>
      <c r="G769" s="12"/>
      <c r="I769" s="12"/>
      <c r="J769" s="12"/>
      <c r="K769" s="12"/>
    </row>
    <row r="770" spans="6:11" x14ac:dyDescent="0.25">
      <c r="F770" s="12"/>
      <c r="G770" s="12"/>
      <c r="I770" s="12"/>
      <c r="J770" s="12"/>
      <c r="K770" s="12"/>
    </row>
    <row r="771" spans="6:11" x14ac:dyDescent="0.25">
      <c r="F771" s="12"/>
      <c r="G771" s="12"/>
      <c r="I771" s="12"/>
      <c r="J771" s="12"/>
      <c r="K771" s="12"/>
    </row>
    <row r="772" spans="6:11" x14ac:dyDescent="0.25">
      <c r="F772" s="12"/>
      <c r="G772" s="12"/>
      <c r="I772" s="12"/>
      <c r="J772" s="12"/>
      <c r="K772" s="12"/>
    </row>
    <row r="773" spans="6:11" x14ac:dyDescent="0.25">
      <c r="F773" s="12"/>
      <c r="G773" s="12"/>
      <c r="I773" s="12"/>
      <c r="J773" s="12"/>
      <c r="K773" s="12"/>
    </row>
    <row r="774" spans="6:11" x14ac:dyDescent="0.25">
      <c r="F774" s="12"/>
      <c r="G774" s="12"/>
      <c r="I774" s="12"/>
      <c r="J774" s="12"/>
      <c r="K774" s="12"/>
    </row>
    <row r="775" spans="6:11" x14ac:dyDescent="0.25">
      <c r="F775" s="12"/>
      <c r="G775" s="12"/>
      <c r="I775" s="12"/>
      <c r="J775" s="12"/>
      <c r="K775" s="12"/>
    </row>
    <row r="776" spans="6:11" x14ac:dyDescent="0.25">
      <c r="F776" s="12"/>
      <c r="G776" s="12"/>
      <c r="I776" s="12"/>
      <c r="J776" s="12"/>
      <c r="K776" s="12"/>
    </row>
    <row r="777" spans="6:11" x14ac:dyDescent="0.25">
      <c r="F777" s="12"/>
      <c r="G777" s="12"/>
      <c r="I777" s="12"/>
      <c r="J777" s="12"/>
      <c r="K777" s="12"/>
    </row>
    <row r="778" spans="6:11" x14ac:dyDescent="0.25">
      <c r="F778" s="12"/>
      <c r="G778" s="12"/>
      <c r="I778" s="12"/>
      <c r="J778" s="12"/>
      <c r="K778" s="12"/>
    </row>
    <row r="779" spans="6:11" x14ac:dyDescent="0.25">
      <c r="F779" s="12"/>
      <c r="G779" s="12"/>
      <c r="I779" s="12"/>
      <c r="J779" s="12"/>
      <c r="K779" s="12"/>
    </row>
    <row r="780" spans="6:11" x14ac:dyDescent="0.25">
      <c r="F780" s="12"/>
      <c r="G780" s="12"/>
      <c r="I780" s="12"/>
      <c r="J780" s="12"/>
      <c r="K780" s="12"/>
    </row>
    <row r="781" spans="6:11" x14ac:dyDescent="0.25">
      <c r="F781" s="12"/>
      <c r="G781" s="12"/>
      <c r="I781" s="12"/>
      <c r="J781" s="12"/>
      <c r="K781" s="12"/>
    </row>
    <row r="782" spans="6:11" x14ac:dyDescent="0.25">
      <c r="F782" s="12"/>
      <c r="G782" s="12"/>
      <c r="I782" s="12"/>
      <c r="J782" s="12"/>
      <c r="K782" s="12"/>
    </row>
    <row r="783" spans="6:11" x14ac:dyDescent="0.25">
      <c r="F783" s="12"/>
      <c r="G783" s="12"/>
      <c r="I783" s="12"/>
      <c r="J783" s="12"/>
      <c r="K783" s="12"/>
    </row>
    <row r="784" spans="6:11" x14ac:dyDescent="0.25">
      <c r="F784" s="12"/>
      <c r="G784" s="12"/>
      <c r="I784" s="12"/>
      <c r="J784" s="12"/>
      <c r="K784" s="12"/>
    </row>
    <row r="785" spans="6:11" x14ac:dyDescent="0.25">
      <c r="F785" s="12"/>
      <c r="G785" s="12"/>
      <c r="I785" s="12"/>
      <c r="J785" s="12"/>
      <c r="K785" s="12"/>
    </row>
    <row r="786" spans="6:11" x14ac:dyDescent="0.25">
      <c r="F786" s="12"/>
      <c r="G786" s="12"/>
      <c r="I786" s="12"/>
      <c r="J786" s="12"/>
      <c r="K786" s="12"/>
    </row>
    <row r="787" spans="6:11" x14ac:dyDescent="0.25">
      <c r="F787" s="12"/>
      <c r="G787" s="12"/>
      <c r="I787" s="12"/>
      <c r="J787" s="12"/>
      <c r="K787" s="12"/>
    </row>
    <row r="788" spans="6:11" x14ac:dyDescent="0.25">
      <c r="F788" s="12"/>
      <c r="G788" s="12"/>
      <c r="I788" s="12"/>
      <c r="J788" s="12"/>
      <c r="K788" s="12"/>
    </row>
    <row r="789" spans="6:11" x14ac:dyDescent="0.25">
      <c r="F789" s="12"/>
      <c r="G789" s="12"/>
      <c r="I789" s="12"/>
      <c r="J789" s="12"/>
      <c r="K789" s="12"/>
    </row>
    <row r="790" spans="6:11" x14ac:dyDescent="0.25">
      <c r="F790" s="12"/>
      <c r="G790" s="12"/>
      <c r="I790" s="12"/>
      <c r="J790" s="12"/>
      <c r="K790" s="12"/>
    </row>
    <row r="791" spans="6:11" x14ac:dyDescent="0.25">
      <c r="F791" s="12"/>
      <c r="G791" s="12"/>
      <c r="I791" s="12"/>
      <c r="J791" s="12"/>
      <c r="K791" s="12"/>
    </row>
    <row r="792" spans="6:11" x14ac:dyDescent="0.25">
      <c r="F792" s="12"/>
      <c r="G792" s="12"/>
      <c r="I792" s="12"/>
      <c r="J792" s="12"/>
      <c r="K792" s="12"/>
    </row>
    <row r="793" spans="6:11" x14ac:dyDescent="0.25">
      <c r="F793" s="12"/>
      <c r="G793" s="12"/>
      <c r="I793" s="12"/>
      <c r="J793" s="12"/>
      <c r="K793" s="12"/>
    </row>
    <row r="794" spans="6:11" x14ac:dyDescent="0.25">
      <c r="F794" s="12"/>
      <c r="G794" s="12"/>
      <c r="I794" s="12"/>
      <c r="J794" s="12"/>
      <c r="K794" s="12"/>
    </row>
    <row r="795" spans="6:11" x14ac:dyDescent="0.25">
      <c r="F795" s="12"/>
      <c r="G795" s="12"/>
      <c r="I795" s="12"/>
      <c r="J795" s="12"/>
      <c r="K795" s="12"/>
    </row>
    <row r="796" spans="6:11" x14ac:dyDescent="0.25">
      <c r="F796" s="12"/>
      <c r="G796" s="12"/>
      <c r="I796" s="12"/>
      <c r="J796" s="12"/>
      <c r="K796" s="12"/>
    </row>
    <row r="797" spans="6:11" x14ac:dyDescent="0.25">
      <c r="F797" s="12"/>
      <c r="G797" s="12"/>
      <c r="I797" s="12"/>
      <c r="J797" s="12"/>
      <c r="K797" s="12"/>
    </row>
    <row r="798" spans="6:11" x14ac:dyDescent="0.25">
      <c r="F798" s="12"/>
      <c r="G798" s="12"/>
      <c r="I798" s="12"/>
      <c r="J798" s="12"/>
      <c r="K798" s="12"/>
    </row>
    <row r="799" spans="6:11" x14ac:dyDescent="0.25">
      <c r="F799" s="12"/>
      <c r="G799" s="12"/>
      <c r="I799" s="12"/>
      <c r="J799" s="12"/>
      <c r="K799" s="12"/>
    </row>
    <row r="800" spans="6:11" x14ac:dyDescent="0.25">
      <c r="F800" s="12"/>
      <c r="G800" s="12"/>
      <c r="I800" s="12"/>
      <c r="J800" s="12"/>
      <c r="K800" s="12"/>
    </row>
    <row r="801" spans="6:11" x14ac:dyDescent="0.25">
      <c r="F801" s="12"/>
      <c r="G801" s="12"/>
      <c r="I801" s="12"/>
      <c r="J801" s="12"/>
      <c r="K801" s="12"/>
    </row>
    <row r="802" spans="6:11" x14ac:dyDescent="0.25">
      <c r="F802" s="12"/>
      <c r="G802" s="12"/>
      <c r="I802" s="12"/>
      <c r="J802" s="12"/>
      <c r="K802" s="12"/>
    </row>
    <row r="803" spans="6:11" x14ac:dyDescent="0.25">
      <c r="F803" s="12"/>
      <c r="G803" s="12"/>
      <c r="I803" s="12"/>
      <c r="J803" s="12"/>
      <c r="K803" s="12"/>
    </row>
    <row r="804" spans="6:11" x14ac:dyDescent="0.25">
      <c r="F804" s="12"/>
      <c r="G804" s="12"/>
      <c r="I804" s="12"/>
      <c r="J804" s="12"/>
      <c r="K804" s="12"/>
    </row>
    <row r="805" spans="6:11" x14ac:dyDescent="0.25">
      <c r="F805" s="12"/>
      <c r="G805" s="12"/>
      <c r="I805" s="12"/>
      <c r="J805" s="12"/>
      <c r="K805" s="12"/>
    </row>
    <row r="806" spans="6:11" x14ac:dyDescent="0.25">
      <c r="F806" s="12"/>
      <c r="G806" s="12"/>
      <c r="I806" s="12"/>
      <c r="J806" s="12"/>
      <c r="K806" s="12"/>
    </row>
    <row r="807" spans="6:11" x14ac:dyDescent="0.25">
      <c r="F807" s="12"/>
      <c r="G807" s="12"/>
      <c r="I807" s="12"/>
      <c r="J807" s="12"/>
      <c r="K807" s="12"/>
    </row>
    <row r="808" spans="6:11" x14ac:dyDescent="0.25">
      <c r="F808" s="12"/>
      <c r="G808" s="12"/>
      <c r="I808" s="12"/>
      <c r="J808" s="12"/>
      <c r="K808" s="12"/>
    </row>
    <row r="809" spans="6:11" x14ac:dyDescent="0.25">
      <c r="F809" s="12"/>
      <c r="G809" s="12"/>
      <c r="I809" s="12"/>
      <c r="J809" s="12"/>
      <c r="K809" s="12"/>
    </row>
    <row r="810" spans="6:11" x14ac:dyDescent="0.25">
      <c r="F810" s="12"/>
      <c r="G810" s="12"/>
      <c r="I810" s="12"/>
      <c r="J810" s="12"/>
      <c r="K810" s="12"/>
    </row>
    <row r="811" spans="6:11" x14ac:dyDescent="0.25">
      <c r="F811" s="12"/>
      <c r="G811" s="12"/>
      <c r="I811" s="12"/>
      <c r="J811" s="12"/>
      <c r="K811" s="12"/>
    </row>
    <row r="812" spans="6:11" x14ac:dyDescent="0.25">
      <c r="F812" s="12"/>
      <c r="G812" s="12"/>
      <c r="I812" s="12"/>
      <c r="J812" s="12"/>
      <c r="K812" s="12"/>
    </row>
    <row r="813" spans="6:11" x14ac:dyDescent="0.25">
      <c r="F813" s="12"/>
      <c r="G813" s="12"/>
      <c r="I813" s="12"/>
      <c r="J813" s="12"/>
      <c r="K813" s="12"/>
    </row>
    <row r="814" spans="6:11" x14ac:dyDescent="0.25">
      <c r="F814" s="12"/>
      <c r="G814" s="12"/>
      <c r="I814" s="12"/>
      <c r="J814" s="12"/>
      <c r="K814" s="12"/>
    </row>
    <row r="815" spans="6:11" x14ac:dyDescent="0.25">
      <c r="F815" s="12"/>
      <c r="G815" s="12"/>
      <c r="I815" s="12"/>
      <c r="J815" s="12"/>
      <c r="K815" s="12"/>
    </row>
    <row r="816" spans="6:11" x14ac:dyDescent="0.25">
      <c r="F816" s="12"/>
      <c r="G816" s="12"/>
      <c r="I816" s="12"/>
      <c r="J816" s="12"/>
      <c r="K816" s="12"/>
    </row>
    <row r="817" spans="6:11" x14ac:dyDescent="0.25">
      <c r="F817" s="12"/>
      <c r="G817" s="12"/>
      <c r="I817" s="12"/>
      <c r="J817" s="12"/>
      <c r="K817" s="12"/>
    </row>
    <row r="818" spans="6:11" x14ac:dyDescent="0.25">
      <c r="F818" s="12"/>
      <c r="G818" s="12"/>
      <c r="I818" s="12"/>
      <c r="J818" s="12"/>
      <c r="K818" s="12"/>
    </row>
    <row r="819" spans="6:11" x14ac:dyDescent="0.25">
      <c r="F819" s="12"/>
      <c r="G819" s="12"/>
      <c r="I819" s="12"/>
      <c r="J819" s="12"/>
      <c r="K819" s="12"/>
    </row>
    <row r="820" spans="6:11" x14ac:dyDescent="0.25">
      <c r="F820" s="12"/>
      <c r="G820" s="12"/>
      <c r="I820" s="12"/>
      <c r="J820" s="12"/>
      <c r="K820" s="12"/>
    </row>
    <row r="821" spans="6:11" x14ac:dyDescent="0.25">
      <c r="F821" s="12"/>
      <c r="G821" s="12"/>
      <c r="I821" s="12"/>
      <c r="J821" s="12"/>
      <c r="K821" s="12"/>
    </row>
    <row r="822" spans="6:11" x14ac:dyDescent="0.25">
      <c r="F822" s="12"/>
      <c r="G822" s="12"/>
      <c r="I822" s="12"/>
      <c r="J822" s="12"/>
      <c r="K822" s="12"/>
    </row>
    <row r="823" spans="6:11" x14ac:dyDescent="0.25">
      <c r="F823" s="12"/>
      <c r="G823" s="12"/>
      <c r="I823" s="12"/>
      <c r="J823" s="12"/>
      <c r="K823" s="12"/>
    </row>
    <row r="824" spans="6:11" x14ac:dyDescent="0.25">
      <c r="F824" s="12"/>
      <c r="G824" s="12"/>
      <c r="I824" s="12"/>
      <c r="J824" s="12"/>
      <c r="K824" s="12"/>
    </row>
    <row r="825" spans="6:11" x14ac:dyDescent="0.25">
      <c r="F825" s="12"/>
      <c r="G825" s="12"/>
      <c r="I825" s="12"/>
      <c r="J825" s="12"/>
      <c r="K825" s="12"/>
    </row>
    <row r="826" spans="6:11" x14ac:dyDescent="0.25">
      <c r="F826" s="12"/>
      <c r="G826" s="12"/>
      <c r="I826" s="12"/>
      <c r="J826" s="12"/>
      <c r="K826" s="12"/>
    </row>
    <row r="827" spans="6:11" x14ac:dyDescent="0.25">
      <c r="F827" s="12"/>
      <c r="G827" s="12"/>
      <c r="I827" s="12"/>
      <c r="J827" s="12"/>
      <c r="K827" s="12"/>
    </row>
    <row r="828" spans="6:11" x14ac:dyDescent="0.25">
      <c r="F828" s="12"/>
      <c r="G828" s="12"/>
      <c r="I828" s="12"/>
      <c r="J828" s="12"/>
      <c r="K828" s="12"/>
    </row>
    <row r="829" spans="6:11" x14ac:dyDescent="0.25">
      <c r="F829" s="12"/>
      <c r="G829" s="12"/>
      <c r="I829" s="12"/>
      <c r="J829" s="12"/>
      <c r="K829" s="12"/>
    </row>
    <row r="830" spans="6:11" x14ac:dyDescent="0.25">
      <c r="F830" s="12"/>
      <c r="G830" s="12"/>
      <c r="I830" s="12"/>
      <c r="J830" s="12"/>
      <c r="K830" s="12"/>
    </row>
    <row r="831" spans="6:11" x14ac:dyDescent="0.25">
      <c r="F831" s="12"/>
      <c r="G831" s="12"/>
      <c r="I831" s="12"/>
      <c r="J831" s="12"/>
      <c r="K831" s="12"/>
    </row>
    <row r="832" spans="6:11" x14ac:dyDescent="0.25">
      <c r="F832" s="12"/>
      <c r="G832" s="12"/>
      <c r="I832" s="12"/>
      <c r="J832" s="12"/>
      <c r="K832" s="12"/>
    </row>
    <row r="833" spans="6:11" x14ac:dyDescent="0.25">
      <c r="F833" s="12"/>
      <c r="G833" s="12"/>
      <c r="I833" s="12"/>
      <c r="J833" s="12"/>
      <c r="K833" s="12"/>
    </row>
    <row r="834" spans="6:11" x14ac:dyDescent="0.25">
      <c r="F834" s="12"/>
      <c r="G834" s="12"/>
      <c r="I834" s="12"/>
      <c r="J834" s="12"/>
      <c r="K834" s="12"/>
    </row>
    <row r="835" spans="6:11" x14ac:dyDescent="0.25">
      <c r="F835" s="12"/>
      <c r="G835" s="12"/>
      <c r="I835" s="12"/>
      <c r="J835" s="12"/>
      <c r="K835" s="12"/>
    </row>
    <row r="836" spans="6:11" x14ac:dyDescent="0.25">
      <c r="F836" s="12"/>
      <c r="G836" s="12"/>
      <c r="I836" s="12"/>
      <c r="J836" s="12"/>
      <c r="K836" s="12"/>
    </row>
    <row r="837" spans="6:11" x14ac:dyDescent="0.25">
      <c r="F837" s="12"/>
      <c r="G837" s="12"/>
      <c r="I837" s="12"/>
      <c r="J837" s="12"/>
      <c r="K837" s="12"/>
    </row>
    <row r="838" spans="6:11" x14ac:dyDescent="0.25">
      <c r="F838" s="12"/>
      <c r="G838" s="12"/>
      <c r="I838" s="12"/>
      <c r="J838" s="12"/>
      <c r="K838" s="12"/>
    </row>
    <row r="839" spans="6:11" x14ac:dyDescent="0.25">
      <c r="F839" s="12"/>
      <c r="G839" s="12"/>
      <c r="I839" s="12"/>
      <c r="J839" s="12"/>
      <c r="K839" s="12"/>
    </row>
    <row r="840" spans="6:11" x14ac:dyDescent="0.25">
      <c r="F840" s="12"/>
      <c r="G840" s="12"/>
      <c r="I840" s="12"/>
      <c r="J840" s="12"/>
      <c r="K840" s="12"/>
    </row>
    <row r="841" spans="6:11" x14ac:dyDescent="0.25">
      <c r="F841" s="12"/>
      <c r="G841" s="12"/>
      <c r="I841" s="12"/>
      <c r="J841" s="12"/>
      <c r="K841" s="12"/>
    </row>
    <row r="842" spans="6:11" x14ac:dyDescent="0.25">
      <c r="F842" s="12"/>
      <c r="G842" s="12"/>
      <c r="I842" s="12"/>
      <c r="J842" s="12"/>
      <c r="K842" s="12"/>
    </row>
    <row r="843" spans="6:11" x14ac:dyDescent="0.25">
      <c r="F843" s="12"/>
      <c r="G843" s="12"/>
      <c r="I843" s="12"/>
      <c r="J843" s="12"/>
      <c r="K843" s="12"/>
    </row>
    <row r="844" spans="6:11" x14ac:dyDescent="0.25">
      <c r="F844" s="12"/>
      <c r="G844" s="12"/>
      <c r="I844" s="12"/>
      <c r="J844" s="12"/>
      <c r="K844" s="12"/>
    </row>
    <row r="845" spans="6:11" x14ac:dyDescent="0.25">
      <c r="F845" s="12"/>
      <c r="G845" s="12"/>
      <c r="I845" s="12"/>
      <c r="J845" s="12"/>
      <c r="K845" s="12"/>
    </row>
    <row r="846" spans="6:11" x14ac:dyDescent="0.25">
      <c r="F846" s="12"/>
      <c r="G846" s="12"/>
      <c r="I846" s="12"/>
      <c r="J846" s="12"/>
      <c r="K846" s="12"/>
    </row>
    <row r="847" spans="6:11" x14ac:dyDescent="0.25">
      <c r="F847" s="12"/>
      <c r="G847" s="12"/>
      <c r="I847" s="12"/>
      <c r="J847" s="12"/>
      <c r="K847" s="12"/>
    </row>
    <row r="848" spans="6:11" x14ac:dyDescent="0.25">
      <c r="F848" s="12"/>
      <c r="G848" s="12"/>
      <c r="I848" s="12"/>
      <c r="J848" s="12"/>
      <c r="K848" s="12"/>
    </row>
    <row r="849" spans="6:11" x14ac:dyDescent="0.25">
      <c r="F849" s="12"/>
      <c r="G849" s="12"/>
      <c r="I849" s="12"/>
      <c r="J849" s="12"/>
      <c r="K849" s="12"/>
    </row>
    <row r="850" spans="6:11" x14ac:dyDescent="0.25">
      <c r="F850" s="12"/>
      <c r="G850" s="12"/>
      <c r="I850" s="12"/>
      <c r="J850" s="12"/>
      <c r="K850" s="12"/>
    </row>
    <row r="851" spans="6:11" x14ac:dyDescent="0.25">
      <c r="F851" s="12"/>
      <c r="G851" s="12"/>
      <c r="I851" s="12"/>
      <c r="J851" s="12"/>
      <c r="K851" s="12"/>
    </row>
    <row r="852" spans="6:11" x14ac:dyDescent="0.25">
      <c r="F852" s="12"/>
      <c r="G852" s="12"/>
      <c r="I852" s="12"/>
      <c r="J852" s="12"/>
      <c r="K852" s="12"/>
    </row>
    <row r="853" spans="6:11" x14ac:dyDescent="0.25">
      <c r="F853" s="12"/>
      <c r="G853" s="12"/>
      <c r="I853" s="12"/>
      <c r="J853" s="12"/>
      <c r="K853" s="12"/>
    </row>
    <row r="854" spans="6:11" x14ac:dyDescent="0.25">
      <c r="F854" s="12"/>
      <c r="G854" s="12"/>
      <c r="I854" s="12"/>
      <c r="J854" s="12"/>
      <c r="K854" s="12"/>
    </row>
    <row r="855" spans="6:11" x14ac:dyDescent="0.25">
      <c r="F855" s="12"/>
      <c r="G855" s="12"/>
      <c r="I855" s="12"/>
      <c r="J855" s="12"/>
      <c r="K855" s="12"/>
    </row>
    <row r="856" spans="6:11" x14ac:dyDescent="0.25">
      <c r="F856" s="12"/>
      <c r="G856" s="12"/>
      <c r="I856" s="12"/>
      <c r="J856" s="12"/>
      <c r="K856" s="12"/>
    </row>
    <row r="857" spans="6:11" x14ac:dyDescent="0.25">
      <c r="F857" s="12"/>
      <c r="G857" s="12"/>
      <c r="I857" s="12"/>
      <c r="J857" s="12"/>
      <c r="K857" s="12"/>
    </row>
    <row r="858" spans="6:11" x14ac:dyDescent="0.25">
      <c r="F858" s="12"/>
      <c r="G858" s="12"/>
      <c r="I858" s="12"/>
      <c r="J858" s="12"/>
      <c r="K858" s="12"/>
    </row>
    <row r="859" spans="6:11" x14ac:dyDescent="0.25">
      <c r="F859" s="12"/>
      <c r="G859" s="12"/>
      <c r="I859" s="12"/>
      <c r="J859" s="12"/>
      <c r="K859" s="12"/>
    </row>
    <row r="860" spans="6:11" x14ac:dyDescent="0.25">
      <c r="F860" s="12"/>
      <c r="G860" s="12"/>
      <c r="I860" s="12"/>
      <c r="J860" s="12"/>
      <c r="K860" s="12"/>
    </row>
    <row r="861" spans="6:11" x14ac:dyDescent="0.25">
      <c r="F861" s="12"/>
      <c r="G861" s="12"/>
      <c r="I861" s="12"/>
      <c r="J861" s="12"/>
      <c r="K861" s="12"/>
    </row>
    <row r="862" spans="6:11" x14ac:dyDescent="0.25">
      <c r="F862" s="12"/>
      <c r="G862" s="12"/>
      <c r="I862" s="12"/>
      <c r="J862" s="12"/>
      <c r="K862" s="12"/>
    </row>
    <row r="863" spans="6:11" x14ac:dyDescent="0.25">
      <c r="F863" s="12"/>
      <c r="G863" s="12"/>
      <c r="I863" s="12"/>
      <c r="J863" s="12"/>
      <c r="K863" s="12"/>
    </row>
    <row r="864" spans="6:11" x14ac:dyDescent="0.25">
      <c r="F864" s="12"/>
      <c r="G864" s="12"/>
      <c r="I864" s="12"/>
      <c r="J864" s="12"/>
      <c r="K864" s="12"/>
    </row>
    <row r="865" spans="6:11" x14ac:dyDescent="0.25">
      <c r="F865" s="12"/>
      <c r="G865" s="12"/>
      <c r="I865" s="12"/>
      <c r="J865" s="12"/>
      <c r="K865" s="12"/>
    </row>
    <row r="866" spans="6:11" x14ac:dyDescent="0.25">
      <c r="F866" s="12"/>
      <c r="G866" s="12"/>
      <c r="I866" s="12"/>
      <c r="J866" s="12"/>
      <c r="K866" s="12"/>
    </row>
    <row r="867" spans="6:11" x14ac:dyDescent="0.25">
      <c r="F867" s="12"/>
      <c r="G867" s="12"/>
      <c r="I867" s="12"/>
      <c r="J867" s="12"/>
      <c r="K867" s="12"/>
    </row>
    <row r="868" spans="6:11" x14ac:dyDescent="0.25">
      <c r="F868" s="12"/>
      <c r="G868" s="12"/>
      <c r="I868" s="12"/>
      <c r="J868" s="12"/>
      <c r="K868" s="12"/>
    </row>
    <row r="869" spans="6:11" x14ac:dyDescent="0.25">
      <c r="F869" s="12"/>
      <c r="G869" s="12"/>
      <c r="I869" s="12"/>
      <c r="J869" s="12"/>
      <c r="K869" s="12"/>
    </row>
    <row r="870" spans="6:11" x14ac:dyDescent="0.25">
      <c r="F870" s="12"/>
      <c r="G870" s="12"/>
      <c r="I870" s="12"/>
      <c r="J870" s="12"/>
      <c r="K870" s="12"/>
    </row>
    <row r="871" spans="6:11" x14ac:dyDescent="0.25">
      <c r="F871" s="12"/>
      <c r="G871" s="12"/>
      <c r="I871" s="12"/>
      <c r="J871" s="12"/>
      <c r="K871" s="12"/>
    </row>
    <row r="872" spans="6:11" x14ac:dyDescent="0.25">
      <c r="F872" s="12"/>
      <c r="G872" s="12"/>
      <c r="I872" s="12"/>
      <c r="J872" s="12"/>
      <c r="K872" s="12"/>
    </row>
    <row r="873" spans="6:11" x14ac:dyDescent="0.25">
      <c r="F873" s="12"/>
      <c r="G873" s="12"/>
      <c r="I873" s="12"/>
      <c r="J873" s="12"/>
      <c r="K873" s="12"/>
    </row>
    <row r="874" spans="6:11" x14ac:dyDescent="0.25">
      <c r="F874" s="12"/>
      <c r="G874" s="12"/>
      <c r="I874" s="12"/>
      <c r="J874" s="12"/>
      <c r="K874" s="12"/>
    </row>
    <row r="875" spans="6:11" x14ac:dyDescent="0.25">
      <c r="F875" s="12"/>
      <c r="G875" s="12"/>
      <c r="I875" s="12"/>
      <c r="J875" s="12"/>
      <c r="K875" s="12"/>
    </row>
    <row r="876" spans="6:11" x14ac:dyDescent="0.25">
      <c r="F876" s="12"/>
      <c r="G876" s="12"/>
      <c r="I876" s="12"/>
      <c r="J876" s="12"/>
      <c r="K876" s="12"/>
    </row>
    <row r="877" spans="6:11" x14ac:dyDescent="0.25">
      <c r="F877" s="12"/>
      <c r="G877" s="12"/>
      <c r="I877" s="12"/>
      <c r="J877" s="12"/>
      <c r="K877" s="12"/>
    </row>
    <row r="878" spans="6:11" x14ac:dyDescent="0.25">
      <c r="F878" s="12"/>
      <c r="G878" s="12"/>
      <c r="I878" s="12"/>
      <c r="J878" s="12"/>
      <c r="K878" s="12"/>
    </row>
    <row r="879" spans="6:11" x14ac:dyDescent="0.25">
      <c r="F879" s="12"/>
      <c r="G879" s="12"/>
      <c r="I879" s="12"/>
      <c r="J879" s="12"/>
      <c r="K879" s="12"/>
    </row>
    <row r="880" spans="6:11" x14ac:dyDescent="0.25">
      <c r="F880" s="12"/>
      <c r="G880" s="12"/>
      <c r="I880" s="12"/>
      <c r="J880" s="12"/>
      <c r="K880" s="12"/>
    </row>
    <row r="881" spans="6:11" x14ac:dyDescent="0.25">
      <c r="F881" s="12"/>
      <c r="G881" s="12"/>
      <c r="I881" s="12"/>
      <c r="J881" s="12"/>
      <c r="K881" s="12"/>
    </row>
    <row r="882" spans="6:11" x14ac:dyDescent="0.25">
      <c r="F882" s="12"/>
      <c r="G882" s="12"/>
      <c r="I882" s="12"/>
      <c r="J882" s="12"/>
      <c r="K882" s="12"/>
    </row>
    <row r="883" spans="6:11" x14ac:dyDescent="0.25">
      <c r="F883" s="12"/>
      <c r="G883" s="12"/>
      <c r="I883" s="12"/>
      <c r="J883" s="12"/>
      <c r="K883" s="12"/>
    </row>
    <row r="884" spans="6:11" x14ac:dyDescent="0.25">
      <c r="F884" s="12"/>
      <c r="G884" s="12"/>
      <c r="I884" s="12"/>
      <c r="J884" s="12"/>
      <c r="K884" s="12"/>
    </row>
    <row r="885" spans="6:11" x14ac:dyDescent="0.25">
      <c r="F885" s="12"/>
      <c r="G885" s="12"/>
      <c r="I885" s="12"/>
      <c r="J885" s="12"/>
      <c r="K885" s="12"/>
    </row>
    <row r="886" spans="6:11" x14ac:dyDescent="0.25">
      <c r="F886" s="12"/>
      <c r="G886" s="12"/>
      <c r="I886" s="12"/>
      <c r="J886" s="12"/>
      <c r="K886" s="12"/>
    </row>
    <row r="887" spans="6:11" x14ac:dyDescent="0.25">
      <c r="F887" s="12"/>
      <c r="G887" s="12"/>
      <c r="I887" s="12"/>
      <c r="J887" s="12"/>
      <c r="K887" s="12"/>
    </row>
    <row r="888" spans="6:11" x14ac:dyDescent="0.25">
      <c r="F888" s="12"/>
      <c r="G888" s="12"/>
      <c r="I888" s="12"/>
      <c r="J888" s="12"/>
      <c r="K888" s="12"/>
    </row>
    <row r="889" spans="6:11" x14ac:dyDescent="0.25">
      <c r="F889" s="12"/>
      <c r="G889" s="12"/>
      <c r="I889" s="12"/>
      <c r="J889" s="12"/>
      <c r="K889" s="12"/>
    </row>
    <row r="890" spans="6:11" x14ac:dyDescent="0.25">
      <c r="F890" s="12"/>
      <c r="G890" s="12"/>
      <c r="I890" s="12"/>
      <c r="J890" s="12"/>
      <c r="K890" s="12"/>
    </row>
    <row r="891" spans="6:11" x14ac:dyDescent="0.25">
      <c r="F891" s="12"/>
      <c r="G891" s="12"/>
      <c r="I891" s="12"/>
      <c r="J891" s="12"/>
      <c r="K891" s="12"/>
    </row>
    <row r="892" spans="6:11" x14ac:dyDescent="0.25">
      <c r="F892" s="12"/>
      <c r="G892" s="12"/>
      <c r="I892" s="12"/>
      <c r="J892" s="12"/>
      <c r="K892" s="12"/>
    </row>
    <row r="893" spans="6:11" x14ac:dyDescent="0.25">
      <c r="F893" s="12"/>
      <c r="G893" s="12"/>
      <c r="I893" s="12"/>
      <c r="J893" s="12"/>
      <c r="K893" s="12"/>
    </row>
    <row r="894" spans="6:11" x14ac:dyDescent="0.25">
      <c r="F894" s="12"/>
      <c r="G894" s="12"/>
      <c r="I894" s="12"/>
      <c r="J894" s="12"/>
      <c r="K894" s="12"/>
    </row>
    <row r="895" spans="6:11" x14ac:dyDescent="0.25">
      <c r="F895" s="12"/>
      <c r="G895" s="12"/>
      <c r="I895" s="12"/>
      <c r="J895" s="12"/>
      <c r="K895" s="12"/>
    </row>
    <row r="896" spans="6:11" x14ac:dyDescent="0.25">
      <c r="F896" s="12"/>
      <c r="G896" s="12"/>
      <c r="I896" s="12"/>
      <c r="J896" s="12"/>
      <c r="K896" s="12"/>
    </row>
    <row r="897" spans="6:11" x14ac:dyDescent="0.25">
      <c r="F897" s="12"/>
      <c r="G897" s="12"/>
      <c r="I897" s="12"/>
      <c r="J897" s="12"/>
      <c r="K897" s="12"/>
    </row>
    <row r="898" spans="6:11" x14ac:dyDescent="0.25">
      <c r="F898" s="12"/>
      <c r="G898" s="12"/>
      <c r="I898" s="12"/>
      <c r="J898" s="12"/>
      <c r="K898" s="12"/>
    </row>
    <row r="899" spans="6:11" x14ac:dyDescent="0.25">
      <c r="F899" s="12"/>
      <c r="G899" s="12"/>
      <c r="I899" s="12"/>
      <c r="J899" s="12"/>
      <c r="K899" s="12"/>
    </row>
    <row r="900" spans="6:11" x14ac:dyDescent="0.25">
      <c r="F900" s="12"/>
      <c r="G900" s="12"/>
      <c r="I900" s="12"/>
      <c r="J900" s="12"/>
      <c r="K900" s="12"/>
    </row>
    <row r="901" spans="6:11" x14ac:dyDescent="0.25">
      <c r="F901" s="12"/>
      <c r="G901" s="12"/>
      <c r="I901" s="12"/>
      <c r="J901" s="12"/>
      <c r="K901" s="12"/>
    </row>
    <row r="902" spans="6:11" x14ac:dyDescent="0.25">
      <c r="F902" s="12"/>
      <c r="G902" s="12"/>
      <c r="I902" s="12"/>
      <c r="J902" s="12"/>
      <c r="K902" s="12"/>
    </row>
    <row r="903" spans="6:11" x14ac:dyDescent="0.25">
      <c r="F903" s="12"/>
      <c r="G903" s="12"/>
      <c r="I903" s="12"/>
      <c r="J903" s="12"/>
      <c r="K903" s="12"/>
    </row>
    <row r="904" spans="6:11" x14ac:dyDescent="0.25">
      <c r="F904" s="12"/>
      <c r="G904" s="12"/>
      <c r="I904" s="12"/>
      <c r="J904" s="12"/>
      <c r="K904" s="12"/>
    </row>
    <row r="905" spans="6:11" x14ac:dyDescent="0.25">
      <c r="F905" s="12"/>
      <c r="G905" s="12"/>
      <c r="I905" s="12"/>
      <c r="J905" s="12"/>
      <c r="K905" s="12"/>
    </row>
    <row r="906" spans="6:11" x14ac:dyDescent="0.25">
      <c r="F906" s="12"/>
      <c r="G906" s="12"/>
      <c r="I906" s="12"/>
      <c r="J906" s="12"/>
      <c r="K906" s="12"/>
    </row>
    <row r="907" spans="6:11" x14ac:dyDescent="0.25">
      <c r="F907" s="12"/>
      <c r="G907" s="12"/>
      <c r="I907" s="12"/>
      <c r="J907" s="12"/>
      <c r="K907" s="12"/>
    </row>
    <row r="908" spans="6:11" x14ac:dyDescent="0.25">
      <c r="F908" s="12"/>
      <c r="G908" s="12"/>
      <c r="I908" s="12"/>
      <c r="J908" s="12"/>
      <c r="K908" s="12"/>
    </row>
    <row r="909" spans="6:11" x14ac:dyDescent="0.25">
      <c r="F909" s="12"/>
      <c r="G909" s="12"/>
      <c r="I909" s="12"/>
      <c r="J909" s="12"/>
      <c r="K909" s="12"/>
    </row>
    <row r="910" spans="6:11" x14ac:dyDescent="0.25">
      <c r="F910" s="12"/>
      <c r="G910" s="12"/>
      <c r="I910" s="12"/>
      <c r="J910" s="12"/>
      <c r="K910" s="12"/>
    </row>
    <row r="911" spans="6:11" x14ac:dyDescent="0.25">
      <c r="F911" s="12"/>
      <c r="G911" s="12"/>
      <c r="I911" s="12"/>
      <c r="J911" s="12"/>
      <c r="K911" s="12"/>
    </row>
    <row r="912" spans="6:11" x14ac:dyDescent="0.25">
      <c r="F912" s="12"/>
      <c r="G912" s="12"/>
      <c r="I912" s="12"/>
      <c r="J912" s="12"/>
      <c r="K912" s="12"/>
    </row>
    <row r="913" spans="6:11" x14ac:dyDescent="0.25">
      <c r="F913" s="12"/>
      <c r="G913" s="12"/>
      <c r="I913" s="12"/>
      <c r="J913" s="12"/>
      <c r="K913" s="12"/>
    </row>
    <row r="914" spans="6:11" x14ac:dyDescent="0.25">
      <c r="F914" s="12"/>
      <c r="G914" s="12"/>
      <c r="I914" s="12"/>
      <c r="J914" s="12"/>
      <c r="K914" s="12"/>
    </row>
    <row r="915" spans="6:11" x14ac:dyDescent="0.25">
      <c r="F915" s="12"/>
      <c r="G915" s="12"/>
      <c r="I915" s="12"/>
      <c r="J915" s="12"/>
      <c r="K915" s="12"/>
    </row>
    <row r="916" spans="6:11" x14ac:dyDescent="0.25">
      <c r="F916" s="12"/>
      <c r="G916" s="12"/>
      <c r="I916" s="12"/>
      <c r="J916" s="12"/>
      <c r="K916" s="12"/>
    </row>
    <row r="917" spans="6:11" x14ac:dyDescent="0.25">
      <c r="F917" s="12"/>
      <c r="G917" s="12"/>
      <c r="I917" s="12"/>
      <c r="J917" s="12"/>
      <c r="K917" s="12"/>
    </row>
    <row r="918" spans="6:11" x14ac:dyDescent="0.25">
      <c r="F918" s="12"/>
      <c r="G918" s="12"/>
      <c r="I918" s="12"/>
      <c r="J918" s="12"/>
      <c r="K918" s="12"/>
    </row>
    <row r="919" spans="6:11" x14ac:dyDescent="0.25">
      <c r="F919" s="12"/>
      <c r="G919" s="12"/>
      <c r="I919" s="12"/>
      <c r="J919" s="12"/>
      <c r="K919" s="12"/>
    </row>
    <row r="920" spans="6:11" x14ac:dyDescent="0.25">
      <c r="F920" s="12"/>
      <c r="G920" s="12"/>
      <c r="I920" s="12"/>
      <c r="J920" s="12"/>
      <c r="K920" s="12"/>
    </row>
    <row r="921" spans="6:11" x14ac:dyDescent="0.25">
      <c r="F921" s="12"/>
      <c r="G921" s="12"/>
      <c r="I921" s="12"/>
      <c r="J921" s="12"/>
      <c r="K921" s="12"/>
    </row>
    <row r="922" spans="6:11" x14ac:dyDescent="0.25">
      <c r="F922" s="12"/>
      <c r="G922" s="12"/>
      <c r="I922" s="12"/>
      <c r="J922" s="12"/>
      <c r="K922" s="12"/>
    </row>
    <row r="923" spans="6:11" x14ac:dyDescent="0.25">
      <c r="F923" s="12"/>
      <c r="G923" s="12"/>
      <c r="I923" s="12"/>
      <c r="J923" s="12"/>
      <c r="K923" s="12"/>
    </row>
    <row r="924" spans="6:11" x14ac:dyDescent="0.25">
      <c r="F924" s="12"/>
      <c r="G924" s="12"/>
      <c r="I924" s="12"/>
      <c r="J924" s="12"/>
      <c r="K924" s="12"/>
    </row>
    <row r="925" spans="6:11" x14ac:dyDescent="0.25">
      <c r="F925" s="12"/>
      <c r="G925" s="12"/>
      <c r="I925" s="12"/>
      <c r="J925" s="12"/>
      <c r="K925" s="12"/>
    </row>
    <row r="926" spans="6:11" x14ac:dyDescent="0.25">
      <c r="F926" s="12"/>
      <c r="G926" s="12"/>
      <c r="I926" s="12"/>
      <c r="J926" s="12"/>
      <c r="K926" s="12"/>
    </row>
    <row r="927" spans="6:11" x14ac:dyDescent="0.25">
      <c r="F927" s="12"/>
      <c r="G927" s="12"/>
      <c r="I927" s="12"/>
      <c r="J927" s="12"/>
      <c r="K927" s="12"/>
    </row>
    <row r="928" spans="6:11" x14ac:dyDescent="0.25">
      <c r="F928" s="12"/>
      <c r="G928" s="12"/>
      <c r="I928" s="12"/>
      <c r="J928" s="12"/>
      <c r="K928" s="12"/>
    </row>
    <row r="929" spans="6:11" x14ac:dyDescent="0.25">
      <c r="F929" s="12"/>
      <c r="G929" s="12"/>
      <c r="I929" s="12"/>
      <c r="J929" s="12"/>
      <c r="K929" s="12"/>
    </row>
    <row r="930" spans="6:11" x14ac:dyDescent="0.25">
      <c r="F930" s="12"/>
      <c r="G930" s="12"/>
      <c r="I930" s="12"/>
      <c r="J930" s="12"/>
      <c r="K930" s="12"/>
    </row>
    <row r="931" spans="6:11" x14ac:dyDescent="0.25">
      <c r="F931" s="12"/>
      <c r="G931" s="12"/>
      <c r="I931" s="12"/>
      <c r="J931" s="12"/>
      <c r="K931" s="12"/>
    </row>
    <row r="932" spans="6:11" x14ac:dyDescent="0.25">
      <c r="F932" s="12"/>
      <c r="G932" s="12"/>
      <c r="I932" s="12"/>
      <c r="J932" s="12"/>
      <c r="K932" s="12"/>
    </row>
    <row r="933" spans="6:11" x14ac:dyDescent="0.25">
      <c r="F933" s="12"/>
      <c r="G933" s="12"/>
      <c r="I933" s="12"/>
      <c r="J933" s="12"/>
      <c r="K933" s="12"/>
    </row>
    <row r="934" spans="6:11" x14ac:dyDescent="0.25">
      <c r="F934" s="12"/>
      <c r="G934" s="12"/>
      <c r="I934" s="12"/>
      <c r="J934" s="12"/>
      <c r="K934" s="12"/>
    </row>
    <row r="935" spans="6:11" x14ac:dyDescent="0.25">
      <c r="F935" s="12"/>
      <c r="G935" s="12"/>
      <c r="I935" s="12"/>
      <c r="J935" s="12"/>
      <c r="K935" s="12"/>
    </row>
    <row r="936" spans="6:11" x14ac:dyDescent="0.25">
      <c r="F936" s="12"/>
      <c r="G936" s="12"/>
      <c r="I936" s="12"/>
      <c r="J936" s="12"/>
      <c r="K936" s="12"/>
    </row>
    <row r="937" spans="6:11" x14ac:dyDescent="0.25">
      <c r="F937" s="12"/>
      <c r="G937" s="12"/>
      <c r="I937" s="12"/>
      <c r="J937" s="12"/>
      <c r="K937" s="12"/>
    </row>
    <row r="938" spans="6:11" x14ac:dyDescent="0.25">
      <c r="F938" s="12"/>
      <c r="G938" s="12"/>
      <c r="I938" s="12"/>
      <c r="J938" s="12"/>
      <c r="K938" s="12"/>
    </row>
    <row r="939" spans="6:11" x14ac:dyDescent="0.25">
      <c r="F939" s="12"/>
      <c r="G939" s="12"/>
      <c r="I939" s="12"/>
      <c r="J939" s="12"/>
      <c r="K939" s="12"/>
    </row>
    <row r="940" spans="6:11" x14ac:dyDescent="0.25">
      <c r="F940" s="12"/>
      <c r="G940" s="12"/>
      <c r="I940" s="12"/>
      <c r="J940" s="12"/>
      <c r="K940" s="12"/>
    </row>
    <row r="941" spans="6:11" x14ac:dyDescent="0.25">
      <c r="F941" s="12"/>
      <c r="G941" s="12"/>
      <c r="I941" s="12"/>
      <c r="J941" s="12"/>
      <c r="K941" s="12"/>
    </row>
    <row r="942" spans="6:11" x14ac:dyDescent="0.25">
      <c r="F942" s="12"/>
      <c r="G942" s="12"/>
      <c r="I942" s="12"/>
      <c r="J942" s="12"/>
      <c r="K942" s="12"/>
    </row>
    <row r="943" spans="6:11" x14ac:dyDescent="0.25">
      <c r="F943" s="12"/>
      <c r="G943" s="12"/>
      <c r="I943" s="12"/>
      <c r="J943" s="12"/>
      <c r="K943" s="12"/>
    </row>
    <row r="944" spans="6:11" x14ac:dyDescent="0.25">
      <c r="F944" s="12"/>
      <c r="G944" s="12"/>
      <c r="I944" s="12"/>
      <c r="J944" s="12"/>
      <c r="K944" s="12"/>
    </row>
    <row r="945" spans="6:11" x14ac:dyDescent="0.25">
      <c r="F945" s="12"/>
      <c r="G945" s="12"/>
      <c r="I945" s="12"/>
      <c r="J945" s="12"/>
      <c r="K945" s="12"/>
    </row>
    <row r="946" spans="6:11" x14ac:dyDescent="0.25">
      <c r="F946" s="12"/>
      <c r="G946" s="12"/>
      <c r="I946" s="12"/>
      <c r="J946" s="12"/>
      <c r="K946" s="12"/>
    </row>
    <row r="947" spans="6:11" x14ac:dyDescent="0.25">
      <c r="F947" s="12"/>
      <c r="G947" s="12"/>
      <c r="I947" s="12"/>
      <c r="J947" s="12"/>
      <c r="K947" s="12"/>
    </row>
    <row r="948" spans="6:11" x14ac:dyDescent="0.25">
      <c r="F948" s="12"/>
      <c r="G948" s="12"/>
      <c r="I948" s="12"/>
      <c r="J948" s="12"/>
      <c r="K948" s="12"/>
    </row>
    <row r="949" spans="6:11" x14ac:dyDescent="0.25">
      <c r="F949" s="12"/>
      <c r="G949" s="12"/>
      <c r="I949" s="12"/>
      <c r="J949" s="12"/>
      <c r="K949" s="12"/>
    </row>
    <row r="950" spans="6:11" x14ac:dyDescent="0.25">
      <c r="F950" s="12"/>
      <c r="G950" s="12"/>
      <c r="I950" s="12"/>
      <c r="J950" s="12"/>
      <c r="K950" s="12"/>
    </row>
    <row r="951" spans="6:11" x14ac:dyDescent="0.25">
      <c r="F951" s="12"/>
      <c r="G951" s="12"/>
      <c r="I951" s="12"/>
      <c r="J951" s="12"/>
      <c r="K951" s="12"/>
    </row>
    <row r="952" spans="6:11" x14ac:dyDescent="0.25">
      <c r="F952" s="12"/>
      <c r="G952" s="12"/>
      <c r="I952" s="12"/>
      <c r="J952" s="12"/>
      <c r="K952" s="12"/>
    </row>
    <row r="953" spans="6:11" x14ac:dyDescent="0.25">
      <c r="F953" s="12"/>
      <c r="G953" s="12"/>
      <c r="I953" s="12"/>
      <c r="J953" s="12"/>
      <c r="K953" s="12"/>
    </row>
    <row r="954" spans="6:11" x14ac:dyDescent="0.25">
      <c r="F954" s="12"/>
      <c r="G954" s="12"/>
      <c r="I954" s="12"/>
      <c r="J954" s="12"/>
      <c r="K954" s="12"/>
    </row>
    <row r="955" spans="6:11" x14ac:dyDescent="0.25">
      <c r="F955" s="12"/>
      <c r="G955" s="12"/>
      <c r="I955" s="12"/>
      <c r="J955" s="12"/>
      <c r="K955" s="12"/>
    </row>
    <row r="956" spans="6:11" x14ac:dyDescent="0.25">
      <c r="F956" s="12"/>
      <c r="G956" s="12"/>
      <c r="I956" s="12"/>
      <c r="J956" s="12"/>
      <c r="K956" s="12"/>
    </row>
    <row r="957" spans="6:11" x14ac:dyDescent="0.25">
      <c r="F957" s="12"/>
      <c r="G957" s="12"/>
      <c r="I957" s="12"/>
      <c r="J957" s="12"/>
      <c r="K957" s="12"/>
    </row>
    <row r="958" spans="6:11" x14ac:dyDescent="0.25">
      <c r="F958" s="12"/>
      <c r="G958" s="12"/>
      <c r="I958" s="12"/>
      <c r="J958" s="12"/>
      <c r="K958" s="12"/>
    </row>
    <row r="959" spans="6:11" x14ac:dyDescent="0.25">
      <c r="F959" s="12"/>
      <c r="G959" s="12"/>
      <c r="I959" s="12"/>
      <c r="J959" s="12"/>
      <c r="K959" s="12"/>
    </row>
    <row r="960" spans="6:11" x14ac:dyDescent="0.25">
      <c r="F960" s="12"/>
      <c r="G960" s="12"/>
      <c r="I960" s="12"/>
      <c r="J960" s="12"/>
      <c r="K960" s="12"/>
    </row>
    <row r="961" spans="6:11" x14ac:dyDescent="0.25">
      <c r="F961" s="12"/>
      <c r="G961" s="12"/>
      <c r="I961" s="12"/>
      <c r="J961" s="12"/>
      <c r="K961" s="12"/>
    </row>
    <row r="962" spans="6:11" x14ac:dyDescent="0.25">
      <c r="F962" s="12"/>
      <c r="G962" s="12"/>
      <c r="I962" s="12"/>
      <c r="J962" s="12"/>
      <c r="K962" s="12"/>
    </row>
    <row r="963" spans="6:11" x14ac:dyDescent="0.25">
      <c r="F963" s="12"/>
      <c r="G963" s="12"/>
      <c r="I963" s="12"/>
      <c r="J963" s="12"/>
      <c r="K963" s="12"/>
    </row>
    <row r="964" spans="6:11" x14ac:dyDescent="0.25">
      <c r="F964" s="12"/>
      <c r="G964" s="12"/>
      <c r="I964" s="12"/>
      <c r="J964" s="12"/>
      <c r="K964" s="12"/>
    </row>
    <row r="965" spans="6:11" x14ac:dyDescent="0.25">
      <c r="F965" s="12"/>
      <c r="G965" s="12"/>
      <c r="I965" s="12"/>
      <c r="J965" s="12"/>
      <c r="K965" s="12"/>
    </row>
    <row r="966" spans="6:11" x14ac:dyDescent="0.25">
      <c r="F966" s="12"/>
      <c r="G966" s="12"/>
      <c r="I966" s="12"/>
      <c r="J966" s="12"/>
      <c r="K966" s="12"/>
    </row>
    <row r="967" spans="6:11" x14ac:dyDescent="0.25">
      <c r="F967" s="12"/>
      <c r="G967" s="12"/>
      <c r="I967" s="12"/>
      <c r="J967" s="12"/>
      <c r="K967" s="12"/>
    </row>
    <row r="968" spans="6:11" x14ac:dyDescent="0.25">
      <c r="F968" s="12"/>
      <c r="G968" s="12"/>
      <c r="I968" s="12"/>
      <c r="J968" s="12"/>
      <c r="K968" s="12"/>
    </row>
    <row r="969" spans="6:11" x14ac:dyDescent="0.25">
      <c r="F969" s="12"/>
      <c r="G969" s="12"/>
      <c r="I969" s="12"/>
      <c r="J969" s="12"/>
      <c r="K969" s="12"/>
    </row>
    <row r="970" spans="6:11" x14ac:dyDescent="0.25">
      <c r="F970" s="12"/>
      <c r="G970" s="12"/>
      <c r="I970" s="12"/>
      <c r="J970" s="12"/>
      <c r="K970" s="12"/>
    </row>
    <row r="971" spans="6:11" x14ac:dyDescent="0.25">
      <c r="F971" s="12"/>
      <c r="G971" s="12"/>
      <c r="I971" s="12"/>
      <c r="J971" s="12"/>
      <c r="K971" s="12"/>
    </row>
    <row r="972" spans="6:11" x14ac:dyDescent="0.25">
      <c r="F972" s="12"/>
      <c r="G972" s="12"/>
      <c r="I972" s="12"/>
      <c r="J972" s="12"/>
      <c r="K972" s="12"/>
    </row>
    <row r="973" spans="6:11" x14ac:dyDescent="0.25">
      <c r="F973" s="12"/>
      <c r="G973" s="12"/>
      <c r="I973" s="12"/>
      <c r="J973" s="12"/>
      <c r="K973" s="12"/>
    </row>
    <row r="974" spans="6:11" x14ac:dyDescent="0.25">
      <c r="F974" s="12"/>
      <c r="G974" s="12"/>
      <c r="I974" s="12"/>
      <c r="J974" s="12"/>
      <c r="K974" s="12"/>
    </row>
    <row r="975" spans="6:11" x14ac:dyDescent="0.25">
      <c r="F975" s="12"/>
      <c r="G975" s="12"/>
      <c r="I975" s="12"/>
      <c r="J975" s="12"/>
      <c r="K975" s="12"/>
    </row>
    <row r="976" spans="6:11" x14ac:dyDescent="0.25">
      <c r="F976" s="12"/>
      <c r="G976" s="12"/>
      <c r="I976" s="12"/>
      <c r="J976" s="12"/>
      <c r="K976" s="12"/>
    </row>
    <row r="977" spans="6:11" x14ac:dyDescent="0.25">
      <c r="F977" s="12"/>
      <c r="G977" s="12"/>
      <c r="I977" s="12"/>
      <c r="J977" s="12"/>
      <c r="K977" s="12"/>
    </row>
    <row r="978" spans="6:11" x14ac:dyDescent="0.25">
      <c r="F978" s="12"/>
      <c r="G978" s="12"/>
      <c r="I978" s="12"/>
      <c r="J978" s="12"/>
      <c r="K978" s="12"/>
    </row>
    <row r="979" spans="6:11" x14ac:dyDescent="0.25">
      <c r="F979" s="12"/>
      <c r="G979" s="12"/>
      <c r="I979" s="12"/>
      <c r="J979" s="12"/>
      <c r="K979" s="12"/>
    </row>
    <row r="980" spans="6:11" x14ac:dyDescent="0.25">
      <c r="F980" s="12"/>
      <c r="G980" s="12"/>
      <c r="I980" s="12"/>
      <c r="J980" s="12"/>
      <c r="K980" s="12"/>
    </row>
    <row r="981" spans="6:11" x14ac:dyDescent="0.25">
      <c r="F981" s="12"/>
      <c r="G981" s="12"/>
      <c r="I981" s="12"/>
      <c r="J981" s="12"/>
      <c r="K981" s="12"/>
    </row>
    <row r="982" spans="6:11" x14ac:dyDescent="0.25">
      <c r="F982" s="12"/>
      <c r="G982" s="12"/>
      <c r="I982" s="12"/>
      <c r="J982" s="12"/>
      <c r="K982" s="12"/>
    </row>
    <row r="983" spans="6:11" x14ac:dyDescent="0.25">
      <c r="F983" s="12"/>
      <c r="G983" s="12"/>
      <c r="I983" s="12"/>
      <c r="J983" s="12"/>
      <c r="K983" s="12"/>
    </row>
    <row r="984" spans="6:11" x14ac:dyDescent="0.25">
      <c r="F984" s="12"/>
      <c r="G984" s="12"/>
      <c r="I984" s="12"/>
      <c r="J984" s="12"/>
      <c r="K984" s="12"/>
    </row>
    <row r="985" spans="6:11" x14ac:dyDescent="0.25">
      <c r="F985" s="12"/>
      <c r="G985" s="12"/>
      <c r="I985" s="12"/>
      <c r="J985" s="12"/>
      <c r="K985" s="12"/>
    </row>
    <row r="986" spans="6:11" x14ac:dyDescent="0.25">
      <c r="F986" s="12"/>
      <c r="G986" s="12"/>
      <c r="I986" s="12"/>
      <c r="J986" s="12"/>
      <c r="K986" s="12"/>
    </row>
    <row r="987" spans="6:11" x14ac:dyDescent="0.25">
      <c r="F987" s="12"/>
      <c r="G987" s="12"/>
      <c r="I987" s="12"/>
      <c r="J987" s="12"/>
      <c r="K987" s="12"/>
    </row>
    <row r="988" spans="6:11" x14ac:dyDescent="0.25">
      <c r="F988" s="12"/>
      <c r="G988" s="12"/>
      <c r="I988" s="12"/>
      <c r="J988" s="12"/>
      <c r="K988" s="12"/>
    </row>
    <row r="989" spans="6:11" x14ac:dyDescent="0.25">
      <c r="F989" s="12"/>
      <c r="G989" s="12"/>
      <c r="I989" s="12"/>
      <c r="J989" s="12"/>
      <c r="K989" s="12"/>
    </row>
    <row r="990" spans="6:11" x14ac:dyDescent="0.25">
      <c r="F990" s="12"/>
      <c r="G990" s="12"/>
      <c r="I990" s="12"/>
      <c r="J990" s="12"/>
      <c r="K990" s="12"/>
    </row>
    <row r="991" spans="6:11" x14ac:dyDescent="0.25">
      <c r="F991" s="12"/>
      <c r="G991" s="12"/>
      <c r="I991" s="12"/>
      <c r="J991" s="12"/>
      <c r="K991" s="12"/>
    </row>
    <row r="992" spans="6:11" x14ac:dyDescent="0.25">
      <c r="F992" s="12"/>
      <c r="G992" s="12"/>
      <c r="I992" s="12"/>
      <c r="J992" s="12"/>
      <c r="K992" s="12"/>
    </row>
    <row r="993" spans="6:11" x14ac:dyDescent="0.25">
      <c r="F993" s="12"/>
      <c r="G993" s="12"/>
      <c r="I993" s="12"/>
      <c r="J993" s="12"/>
      <c r="K993" s="12"/>
    </row>
    <row r="994" spans="6:11" x14ac:dyDescent="0.25">
      <c r="F994" s="12"/>
      <c r="G994" s="12"/>
      <c r="I994" s="12"/>
      <c r="J994" s="12"/>
      <c r="K994" s="12"/>
    </row>
    <row r="995" spans="6:11" x14ac:dyDescent="0.25">
      <c r="F995" s="12"/>
      <c r="G995" s="12"/>
      <c r="I995" s="12"/>
      <c r="J995" s="12"/>
      <c r="K995" s="12"/>
    </row>
    <row r="996" spans="6:11" x14ac:dyDescent="0.25">
      <c r="F996" s="12"/>
      <c r="G996" s="12"/>
      <c r="I996" s="12"/>
      <c r="J996" s="12"/>
      <c r="K996" s="12"/>
    </row>
    <row r="997" spans="6:11" x14ac:dyDescent="0.25">
      <c r="F997" s="12"/>
      <c r="G997" s="12"/>
      <c r="I997" s="12"/>
      <c r="J997" s="12"/>
      <c r="K997" s="12"/>
    </row>
    <row r="998" spans="6:11" x14ac:dyDescent="0.25">
      <c r="F998" s="12"/>
      <c r="G998" s="12"/>
      <c r="I998" s="12"/>
      <c r="J998" s="12"/>
      <c r="K998" s="12"/>
    </row>
    <row r="999" spans="6:11" x14ac:dyDescent="0.25">
      <c r="F999" s="12"/>
      <c r="G999" s="12"/>
      <c r="I999" s="12"/>
      <c r="J999" s="12"/>
      <c r="K999" s="12"/>
    </row>
    <row r="1000" spans="6:11" x14ac:dyDescent="0.25">
      <c r="F1000" s="12"/>
      <c r="G1000" s="12"/>
      <c r="I1000" s="12"/>
      <c r="J1000" s="12"/>
      <c r="K1000" s="12"/>
    </row>
    <row r="1001" spans="6:11" x14ac:dyDescent="0.25">
      <c r="F1001" s="12"/>
      <c r="G1001" s="12"/>
      <c r="I1001" s="12"/>
      <c r="J1001" s="12"/>
      <c r="K1001" s="12"/>
    </row>
    <row r="1002" spans="6:11" x14ac:dyDescent="0.25">
      <c r="F1002" s="12"/>
      <c r="G1002" s="12"/>
      <c r="I1002" s="12"/>
      <c r="J1002" s="12"/>
      <c r="K1002" s="12"/>
    </row>
    <row r="1003" spans="6:11" x14ac:dyDescent="0.25">
      <c r="F1003" s="12"/>
      <c r="G1003" s="12"/>
      <c r="I1003" s="12"/>
      <c r="J1003" s="12"/>
      <c r="K1003" s="12"/>
    </row>
    <row r="1004" spans="6:11" x14ac:dyDescent="0.25">
      <c r="F1004" s="12"/>
      <c r="G1004" s="12"/>
      <c r="I1004" s="12"/>
      <c r="J1004" s="12"/>
      <c r="K1004" s="12"/>
    </row>
    <row r="1005" spans="6:11" x14ac:dyDescent="0.25">
      <c r="F1005" s="12"/>
      <c r="G1005" s="12"/>
      <c r="I1005" s="12"/>
      <c r="J1005" s="12"/>
      <c r="K1005" s="12"/>
    </row>
    <row r="1006" spans="6:11" x14ac:dyDescent="0.25">
      <c r="F1006" s="12"/>
      <c r="G1006" s="12"/>
      <c r="I1006" s="12"/>
      <c r="J1006" s="12"/>
      <c r="K1006" s="12"/>
    </row>
    <row r="1007" spans="6:11" x14ac:dyDescent="0.25">
      <c r="F1007" s="12"/>
      <c r="G1007" s="12"/>
      <c r="I1007" s="12"/>
      <c r="J1007" s="12"/>
      <c r="K1007" s="12"/>
    </row>
    <row r="1008" spans="6:11" x14ac:dyDescent="0.25">
      <c r="F1008" s="12"/>
      <c r="G1008" s="12"/>
      <c r="I1008" s="12"/>
      <c r="J1008" s="12"/>
      <c r="K1008" s="12"/>
    </row>
    <row r="1009" spans="6:11" x14ac:dyDescent="0.25">
      <c r="F1009" s="12"/>
      <c r="G1009" s="12"/>
      <c r="I1009" s="12"/>
      <c r="J1009" s="12"/>
      <c r="K1009" s="12"/>
    </row>
    <row r="1010" spans="6:11" x14ac:dyDescent="0.25">
      <c r="F1010" s="12"/>
      <c r="G1010" s="12"/>
      <c r="I1010" s="12"/>
      <c r="J1010" s="12"/>
      <c r="K1010" s="12"/>
    </row>
    <row r="1011" spans="6:11" x14ac:dyDescent="0.25">
      <c r="F1011" s="12"/>
      <c r="G1011" s="12"/>
      <c r="I1011" s="12"/>
      <c r="J1011" s="12"/>
      <c r="K1011" s="12"/>
    </row>
    <row r="1012" spans="6:11" x14ac:dyDescent="0.25">
      <c r="F1012" s="12"/>
      <c r="G1012" s="12"/>
      <c r="I1012" s="12"/>
      <c r="J1012" s="12"/>
      <c r="K1012" s="12"/>
    </row>
    <row r="1013" spans="6:11" x14ac:dyDescent="0.25">
      <c r="F1013" s="12"/>
      <c r="G1013" s="12"/>
      <c r="I1013" s="12"/>
      <c r="J1013" s="12"/>
      <c r="K1013" s="12"/>
    </row>
    <row r="1014" spans="6:11" x14ac:dyDescent="0.25">
      <c r="F1014" s="12"/>
      <c r="G1014" s="12"/>
      <c r="I1014" s="12"/>
      <c r="J1014" s="12"/>
      <c r="K1014" s="12"/>
    </row>
    <row r="1015" spans="6:11" x14ac:dyDescent="0.25">
      <c r="F1015" s="12"/>
      <c r="G1015" s="12"/>
      <c r="I1015" s="12"/>
      <c r="J1015" s="12"/>
      <c r="K1015" s="12"/>
    </row>
    <row r="1016" spans="6:11" x14ac:dyDescent="0.25">
      <c r="F1016" s="12"/>
      <c r="G1016" s="12"/>
      <c r="I1016" s="12"/>
      <c r="J1016" s="12"/>
      <c r="K1016" s="12"/>
    </row>
    <row r="1017" spans="6:11" x14ac:dyDescent="0.25">
      <c r="F1017" s="12"/>
      <c r="G1017" s="12"/>
      <c r="I1017" s="12"/>
      <c r="J1017" s="12"/>
      <c r="K1017" s="12"/>
    </row>
    <row r="1018" spans="6:11" x14ac:dyDescent="0.25">
      <c r="F1018" s="12"/>
      <c r="G1018" s="12"/>
      <c r="I1018" s="12"/>
      <c r="J1018" s="12"/>
      <c r="K1018" s="12"/>
    </row>
    <row r="1019" spans="6:11" x14ac:dyDescent="0.25">
      <c r="F1019" s="12"/>
      <c r="G1019" s="12"/>
      <c r="I1019" s="12"/>
      <c r="J1019" s="12"/>
      <c r="K1019" s="12"/>
    </row>
    <row r="1020" spans="6:11" x14ac:dyDescent="0.25">
      <c r="F1020" s="12"/>
      <c r="G1020" s="12"/>
      <c r="I1020" s="12"/>
      <c r="J1020" s="12"/>
      <c r="K1020" s="12"/>
    </row>
    <row r="1021" spans="6:11" x14ac:dyDescent="0.25">
      <c r="F1021" s="12"/>
      <c r="G1021" s="12"/>
      <c r="I1021" s="12"/>
      <c r="J1021" s="12"/>
      <c r="K1021" s="12"/>
    </row>
    <row r="1022" spans="6:11" x14ac:dyDescent="0.25">
      <c r="F1022" s="12"/>
      <c r="G1022" s="12"/>
      <c r="I1022" s="12"/>
      <c r="J1022" s="12"/>
      <c r="K1022" s="12"/>
    </row>
    <row r="1023" spans="6:11" x14ac:dyDescent="0.25">
      <c r="F1023" s="12"/>
      <c r="G1023" s="12"/>
      <c r="I1023" s="12"/>
      <c r="J1023" s="12"/>
      <c r="K1023" s="12"/>
    </row>
    <row r="1024" spans="6:11" x14ac:dyDescent="0.25">
      <c r="F1024" s="12"/>
      <c r="G1024" s="12"/>
      <c r="I1024" s="12"/>
      <c r="J1024" s="12"/>
      <c r="K1024" s="12"/>
    </row>
    <row r="1025" spans="6:11" x14ac:dyDescent="0.25">
      <c r="F1025" s="12"/>
      <c r="G1025" s="12"/>
      <c r="I1025" s="12"/>
      <c r="J1025" s="12"/>
      <c r="K1025" s="12"/>
    </row>
    <row r="1026" spans="6:11" x14ac:dyDescent="0.25">
      <c r="F1026" s="12"/>
      <c r="G1026" s="12"/>
      <c r="I1026" s="12"/>
      <c r="J1026" s="12"/>
      <c r="K1026" s="12"/>
    </row>
    <row r="1027" spans="6:11" x14ac:dyDescent="0.25">
      <c r="F1027" s="12"/>
      <c r="G1027" s="12"/>
      <c r="I1027" s="12"/>
      <c r="J1027" s="12"/>
      <c r="K1027" s="12"/>
    </row>
    <row r="1028" spans="6:11" x14ac:dyDescent="0.25">
      <c r="F1028" s="12"/>
      <c r="G1028" s="12"/>
      <c r="I1028" s="12"/>
      <c r="J1028" s="12"/>
      <c r="K1028" s="12"/>
    </row>
    <row r="1029" spans="6:11" x14ac:dyDescent="0.25">
      <c r="F1029" s="12"/>
      <c r="G1029" s="12"/>
      <c r="I1029" s="12"/>
      <c r="J1029" s="12"/>
      <c r="K1029" s="12"/>
    </row>
    <row r="1030" spans="6:11" x14ac:dyDescent="0.25">
      <c r="F1030" s="12"/>
      <c r="G1030" s="12"/>
      <c r="I1030" s="12"/>
      <c r="J1030" s="12"/>
      <c r="K1030" s="12"/>
    </row>
    <row r="1031" spans="6:11" x14ac:dyDescent="0.25">
      <c r="F1031" s="12"/>
      <c r="G1031" s="12"/>
      <c r="I1031" s="12"/>
      <c r="J1031" s="12"/>
      <c r="K1031" s="12"/>
    </row>
    <row r="1032" spans="6:11" x14ac:dyDescent="0.25">
      <c r="F1032" s="12"/>
      <c r="G1032" s="12"/>
      <c r="I1032" s="12"/>
      <c r="J1032" s="12"/>
      <c r="K1032" s="12"/>
    </row>
    <row r="1033" spans="6:11" x14ac:dyDescent="0.25">
      <c r="F1033" s="12"/>
      <c r="G1033" s="12"/>
      <c r="I1033" s="12"/>
      <c r="J1033" s="12"/>
      <c r="K1033" s="12"/>
    </row>
    <row r="1034" spans="6:11" x14ac:dyDescent="0.25">
      <c r="F1034" s="12"/>
      <c r="G1034" s="12"/>
      <c r="I1034" s="12"/>
      <c r="J1034" s="12"/>
      <c r="K1034" s="12"/>
    </row>
    <row r="1035" spans="6:11" x14ac:dyDescent="0.25">
      <c r="F1035" s="12"/>
      <c r="G1035" s="12"/>
      <c r="I1035" s="12"/>
      <c r="J1035" s="12"/>
      <c r="K1035" s="12"/>
    </row>
    <row r="1036" spans="6:11" x14ac:dyDescent="0.25">
      <c r="F1036" s="12"/>
      <c r="G1036" s="12"/>
      <c r="I1036" s="12"/>
      <c r="J1036" s="12"/>
      <c r="K1036" s="12"/>
    </row>
    <row r="1037" spans="6:11" x14ac:dyDescent="0.25">
      <c r="F1037" s="12"/>
      <c r="G1037" s="12"/>
      <c r="I1037" s="12"/>
      <c r="J1037" s="12"/>
      <c r="K1037" s="12"/>
    </row>
    <row r="1038" spans="6:11" x14ac:dyDescent="0.25">
      <c r="F1038" s="12"/>
      <c r="G1038" s="12"/>
      <c r="I1038" s="12"/>
      <c r="J1038" s="12"/>
      <c r="K1038" s="12"/>
    </row>
    <row r="1039" spans="6:11" x14ac:dyDescent="0.25">
      <c r="F1039" s="12"/>
      <c r="G1039" s="12"/>
      <c r="I1039" s="12"/>
      <c r="J1039" s="12"/>
      <c r="K1039" s="12"/>
    </row>
    <row r="1040" spans="6:11" x14ac:dyDescent="0.25">
      <c r="F1040" s="12"/>
      <c r="G1040" s="12"/>
      <c r="I1040" s="12"/>
      <c r="J1040" s="12"/>
      <c r="K1040" s="12"/>
    </row>
    <row r="1041" spans="6:11" x14ac:dyDescent="0.25">
      <c r="F1041" s="12"/>
      <c r="G1041" s="12"/>
      <c r="I1041" s="12"/>
      <c r="J1041" s="12"/>
      <c r="K1041" s="12"/>
    </row>
    <row r="1042" spans="6:11" x14ac:dyDescent="0.25">
      <c r="F1042" s="12"/>
      <c r="G1042" s="12"/>
      <c r="I1042" s="12"/>
      <c r="J1042" s="12"/>
      <c r="K1042" s="12"/>
    </row>
    <row r="1043" spans="6:11" x14ac:dyDescent="0.25">
      <c r="F1043" s="12"/>
      <c r="G1043" s="12"/>
      <c r="I1043" s="12"/>
      <c r="J1043" s="12"/>
      <c r="K1043" s="12"/>
    </row>
    <row r="1044" spans="6:11" x14ac:dyDescent="0.25">
      <c r="F1044" s="12"/>
      <c r="G1044" s="12"/>
      <c r="I1044" s="12"/>
      <c r="J1044" s="12"/>
      <c r="K1044" s="12"/>
    </row>
    <row r="1045" spans="6:11" x14ac:dyDescent="0.25">
      <c r="F1045" s="12"/>
      <c r="G1045" s="12"/>
      <c r="I1045" s="12"/>
      <c r="J1045" s="12"/>
      <c r="K1045" s="12"/>
    </row>
    <row r="1046" spans="6:11" x14ac:dyDescent="0.25">
      <c r="F1046" s="12"/>
      <c r="G1046" s="12"/>
      <c r="I1046" s="12"/>
      <c r="J1046" s="12"/>
      <c r="K1046" s="12"/>
    </row>
    <row r="1047" spans="6:11" x14ac:dyDescent="0.25">
      <c r="F1047" s="12"/>
      <c r="G1047" s="12"/>
      <c r="I1047" s="12"/>
      <c r="J1047" s="12"/>
      <c r="K1047" s="12"/>
    </row>
    <row r="1048" spans="6:11" x14ac:dyDescent="0.25">
      <c r="F1048" s="12"/>
      <c r="G1048" s="12"/>
      <c r="I1048" s="12"/>
      <c r="J1048" s="12"/>
      <c r="K1048" s="12"/>
    </row>
    <row r="1049" spans="6:11" x14ac:dyDescent="0.25">
      <c r="F1049" s="12"/>
      <c r="G1049" s="12"/>
      <c r="I1049" s="12"/>
      <c r="J1049" s="12"/>
      <c r="K1049" s="12"/>
    </row>
    <row r="1050" spans="6:11" x14ac:dyDescent="0.25">
      <c r="F1050" s="12"/>
      <c r="G1050" s="12"/>
      <c r="I1050" s="12"/>
      <c r="J1050" s="12"/>
      <c r="K1050" s="12"/>
    </row>
    <row r="1051" spans="6:11" x14ac:dyDescent="0.25">
      <c r="F1051" s="12"/>
      <c r="G1051" s="12"/>
      <c r="I1051" s="12"/>
      <c r="J1051" s="12"/>
      <c r="K1051" s="12"/>
    </row>
    <row r="1052" spans="6:11" x14ac:dyDescent="0.25">
      <c r="F1052" s="12"/>
      <c r="G1052" s="12"/>
      <c r="I1052" s="12"/>
      <c r="J1052" s="12"/>
      <c r="K1052" s="12"/>
    </row>
    <row r="1053" spans="6:11" x14ac:dyDescent="0.25">
      <c r="F1053" s="12"/>
      <c r="G1053" s="12"/>
      <c r="I1053" s="12"/>
      <c r="J1053" s="12"/>
      <c r="K1053" s="12"/>
    </row>
    <row r="1054" spans="6:11" x14ac:dyDescent="0.25">
      <c r="F1054" s="12"/>
      <c r="G1054" s="12"/>
      <c r="I1054" s="12"/>
      <c r="J1054" s="12"/>
      <c r="K1054" s="12"/>
    </row>
    <row r="1055" spans="6:11" x14ac:dyDescent="0.25">
      <c r="F1055" s="12"/>
      <c r="G1055" s="12"/>
      <c r="I1055" s="12"/>
      <c r="J1055" s="12"/>
      <c r="K1055" s="12"/>
    </row>
    <row r="1056" spans="6:11" x14ac:dyDescent="0.25">
      <c r="F1056" s="12"/>
      <c r="G1056" s="12"/>
      <c r="I1056" s="12"/>
      <c r="J1056" s="12"/>
      <c r="K1056" s="12"/>
    </row>
    <row r="1057" spans="6:11" x14ac:dyDescent="0.25">
      <c r="F1057" s="12"/>
      <c r="G1057" s="12"/>
      <c r="I1057" s="12"/>
      <c r="J1057" s="12"/>
      <c r="K1057" s="12"/>
    </row>
    <row r="1058" spans="6:11" x14ac:dyDescent="0.25">
      <c r="F1058" s="12"/>
      <c r="G1058" s="12"/>
      <c r="I1058" s="12"/>
      <c r="J1058" s="12"/>
      <c r="K1058" s="12"/>
    </row>
    <row r="1059" spans="6:11" x14ac:dyDescent="0.25">
      <c r="F1059" s="12"/>
      <c r="G1059" s="12"/>
      <c r="I1059" s="12"/>
      <c r="J1059" s="12"/>
      <c r="K1059" s="12"/>
    </row>
    <row r="1060" spans="6:11" x14ac:dyDescent="0.25">
      <c r="F1060" s="12"/>
      <c r="G1060" s="12"/>
      <c r="I1060" s="12"/>
      <c r="J1060" s="12"/>
      <c r="K1060" s="12"/>
    </row>
    <row r="1061" spans="6:11" x14ac:dyDescent="0.25">
      <c r="F1061" s="12"/>
      <c r="G1061" s="12"/>
      <c r="I1061" s="12"/>
      <c r="J1061" s="12"/>
      <c r="K1061" s="12"/>
    </row>
    <row r="1062" spans="6:11" x14ac:dyDescent="0.25">
      <c r="F1062" s="12"/>
      <c r="G1062" s="12"/>
      <c r="I1062" s="12"/>
      <c r="J1062" s="12"/>
      <c r="K1062" s="12"/>
    </row>
    <row r="1063" spans="6:11" x14ac:dyDescent="0.25">
      <c r="F1063" s="12"/>
      <c r="G1063" s="12"/>
      <c r="I1063" s="12"/>
      <c r="J1063" s="12"/>
      <c r="K1063" s="12"/>
    </row>
    <row r="1064" spans="6:11" x14ac:dyDescent="0.25">
      <c r="F1064" s="12"/>
      <c r="G1064" s="12"/>
      <c r="I1064" s="12"/>
      <c r="J1064" s="12"/>
      <c r="K1064" s="12"/>
    </row>
    <row r="1065" spans="6:11" x14ac:dyDescent="0.25">
      <c r="F1065" s="12"/>
      <c r="G1065" s="12"/>
      <c r="I1065" s="12"/>
      <c r="J1065" s="12"/>
      <c r="K1065" s="12"/>
    </row>
    <row r="1066" spans="6:11" x14ac:dyDescent="0.25">
      <c r="F1066" s="12"/>
      <c r="G1066" s="12"/>
      <c r="I1066" s="12"/>
      <c r="J1066" s="12"/>
      <c r="K1066" s="12"/>
    </row>
    <row r="1067" spans="6:11" x14ac:dyDescent="0.25">
      <c r="F1067" s="12"/>
      <c r="G1067" s="12"/>
      <c r="I1067" s="12"/>
      <c r="J1067" s="12"/>
      <c r="K1067" s="12"/>
    </row>
    <row r="1068" spans="6:11" x14ac:dyDescent="0.25">
      <c r="F1068" s="12"/>
      <c r="G1068" s="12"/>
      <c r="I1068" s="12"/>
      <c r="J1068" s="12"/>
      <c r="K1068" s="12"/>
    </row>
    <row r="1069" spans="6:11" x14ac:dyDescent="0.25">
      <c r="F1069" s="12"/>
      <c r="G1069" s="12"/>
      <c r="I1069" s="12"/>
      <c r="J1069" s="12"/>
      <c r="K1069" s="12"/>
    </row>
    <row r="1070" spans="6:11" x14ac:dyDescent="0.25">
      <c r="F1070" s="12"/>
      <c r="G1070" s="12"/>
      <c r="I1070" s="12"/>
      <c r="J1070" s="12"/>
      <c r="K1070" s="12"/>
    </row>
    <row r="1071" spans="6:11" x14ac:dyDescent="0.25">
      <c r="F1071" s="12"/>
      <c r="G1071" s="12"/>
      <c r="I1071" s="12"/>
      <c r="J1071" s="12"/>
      <c r="K1071" s="12"/>
    </row>
    <row r="1072" spans="6:11" x14ac:dyDescent="0.25">
      <c r="F1072" s="12"/>
      <c r="G1072" s="12"/>
      <c r="I1072" s="12"/>
      <c r="J1072" s="12"/>
      <c r="K1072" s="12"/>
    </row>
    <row r="1073" spans="6:11" x14ac:dyDescent="0.25">
      <c r="F1073" s="12"/>
      <c r="G1073" s="12"/>
      <c r="I1073" s="12"/>
      <c r="J1073" s="12"/>
      <c r="K1073" s="12"/>
    </row>
    <row r="1074" spans="6:11" x14ac:dyDescent="0.25">
      <c r="F1074" s="12"/>
      <c r="G1074" s="12"/>
      <c r="I1074" s="12"/>
      <c r="J1074" s="12"/>
      <c r="K1074" s="12"/>
    </row>
    <row r="1075" spans="6:11" x14ac:dyDescent="0.25">
      <c r="F1075" s="12"/>
      <c r="G1075" s="12"/>
      <c r="I1075" s="12"/>
      <c r="J1075" s="12"/>
      <c r="K1075" s="12"/>
    </row>
    <row r="1076" spans="6:11" x14ac:dyDescent="0.25">
      <c r="F1076" s="12"/>
      <c r="G1076" s="12"/>
      <c r="I1076" s="12"/>
      <c r="J1076" s="12"/>
      <c r="K1076" s="12"/>
    </row>
    <row r="1077" spans="6:11" x14ac:dyDescent="0.25">
      <c r="F1077" s="12"/>
      <c r="G1077" s="12"/>
      <c r="I1077" s="12"/>
      <c r="J1077" s="12"/>
      <c r="K1077" s="12"/>
    </row>
    <row r="1078" spans="6:11" x14ac:dyDescent="0.25">
      <c r="F1078" s="12"/>
      <c r="G1078" s="12"/>
      <c r="I1078" s="12"/>
      <c r="J1078" s="12"/>
      <c r="K1078" s="12"/>
    </row>
    <row r="1079" spans="6:11" x14ac:dyDescent="0.25">
      <c r="F1079" s="12"/>
      <c r="G1079" s="12"/>
      <c r="I1079" s="12"/>
      <c r="J1079" s="12"/>
      <c r="K1079" s="12"/>
    </row>
    <row r="1080" spans="6:11" x14ac:dyDescent="0.25">
      <c r="F1080" s="12"/>
      <c r="G1080" s="12"/>
      <c r="I1080" s="12"/>
      <c r="J1080" s="12"/>
      <c r="K1080" s="12"/>
    </row>
    <row r="1081" spans="6:11" x14ac:dyDescent="0.25">
      <c r="F1081" s="12"/>
      <c r="G1081" s="12"/>
      <c r="I1081" s="12"/>
      <c r="J1081" s="12"/>
      <c r="K1081" s="12"/>
    </row>
    <row r="1082" spans="6:11" x14ac:dyDescent="0.25">
      <c r="F1082" s="12"/>
      <c r="G1082" s="12"/>
      <c r="I1082" s="12"/>
      <c r="J1082" s="12"/>
      <c r="K1082" s="12"/>
    </row>
    <row r="1083" spans="6:11" x14ac:dyDescent="0.25">
      <c r="F1083" s="12"/>
      <c r="G1083" s="12"/>
      <c r="I1083" s="12"/>
      <c r="J1083" s="12"/>
      <c r="K1083" s="12"/>
    </row>
    <row r="1084" spans="6:11" x14ac:dyDescent="0.25">
      <c r="F1084" s="12"/>
      <c r="G1084" s="12"/>
      <c r="I1084" s="12"/>
      <c r="J1084" s="12"/>
      <c r="K1084" s="12"/>
    </row>
    <row r="1085" spans="6:11" x14ac:dyDescent="0.25">
      <c r="F1085" s="12"/>
      <c r="G1085" s="12"/>
      <c r="I1085" s="12"/>
      <c r="J1085" s="12"/>
      <c r="K1085" s="12"/>
    </row>
    <row r="1086" spans="6:11" x14ac:dyDescent="0.25">
      <c r="F1086" s="12"/>
      <c r="G1086" s="12"/>
      <c r="I1086" s="12"/>
      <c r="J1086" s="12"/>
      <c r="K1086" s="12"/>
    </row>
    <row r="1087" spans="6:11" x14ac:dyDescent="0.25">
      <c r="F1087" s="12"/>
      <c r="G1087" s="12"/>
      <c r="I1087" s="12"/>
      <c r="J1087" s="12"/>
      <c r="K1087" s="12"/>
    </row>
    <row r="1088" spans="6:11" x14ac:dyDescent="0.25">
      <c r="F1088" s="12"/>
      <c r="G1088" s="12"/>
      <c r="I1088" s="12"/>
      <c r="J1088" s="12"/>
      <c r="K1088" s="12"/>
    </row>
    <row r="1089" spans="6:11" x14ac:dyDescent="0.25">
      <c r="F1089" s="12"/>
      <c r="G1089" s="12"/>
      <c r="I1089" s="12"/>
      <c r="J1089" s="12"/>
      <c r="K1089" s="12"/>
    </row>
    <row r="1090" spans="6:11" x14ac:dyDescent="0.25">
      <c r="F1090" s="12"/>
      <c r="G1090" s="12"/>
      <c r="I1090" s="12"/>
      <c r="J1090" s="12"/>
      <c r="K1090" s="12"/>
    </row>
    <row r="1091" spans="6:11" x14ac:dyDescent="0.25">
      <c r="F1091" s="12"/>
      <c r="G1091" s="12"/>
      <c r="I1091" s="12"/>
      <c r="J1091" s="12"/>
      <c r="K1091" s="12"/>
    </row>
    <row r="1092" spans="6:11" x14ac:dyDescent="0.25">
      <c r="F1092" s="12"/>
      <c r="G1092" s="12"/>
      <c r="I1092" s="12"/>
      <c r="J1092" s="12"/>
      <c r="K1092" s="12"/>
    </row>
    <row r="1093" spans="6:11" x14ac:dyDescent="0.25">
      <c r="F1093" s="12"/>
      <c r="G1093" s="12"/>
      <c r="I1093" s="12"/>
      <c r="J1093" s="12"/>
      <c r="K1093" s="12"/>
    </row>
    <row r="1094" spans="6:11" x14ac:dyDescent="0.25">
      <c r="F1094" s="12"/>
      <c r="G1094" s="12"/>
      <c r="I1094" s="12"/>
      <c r="J1094" s="12"/>
      <c r="K1094" s="12"/>
    </row>
    <row r="1095" spans="6:11" x14ac:dyDescent="0.25">
      <c r="F1095" s="12"/>
      <c r="G1095" s="12"/>
      <c r="I1095" s="12"/>
      <c r="J1095" s="12"/>
      <c r="K1095" s="12"/>
    </row>
    <row r="1096" spans="6:11" x14ac:dyDescent="0.25">
      <c r="F1096" s="12"/>
      <c r="G1096" s="12"/>
      <c r="I1096" s="12"/>
      <c r="J1096" s="12"/>
      <c r="K1096" s="12"/>
    </row>
    <row r="1097" spans="6:11" x14ac:dyDescent="0.25">
      <c r="F1097" s="12"/>
      <c r="G1097" s="12"/>
      <c r="I1097" s="12"/>
      <c r="J1097" s="12"/>
      <c r="K1097" s="12"/>
    </row>
    <row r="1098" spans="6:11" x14ac:dyDescent="0.25">
      <c r="F1098" s="12"/>
      <c r="G1098" s="12"/>
      <c r="I1098" s="12"/>
      <c r="J1098" s="12"/>
      <c r="K1098" s="12"/>
    </row>
    <row r="1099" spans="6:11" x14ac:dyDescent="0.25">
      <c r="F1099" s="12"/>
      <c r="G1099" s="12"/>
      <c r="I1099" s="12"/>
      <c r="J1099" s="12"/>
      <c r="K1099" s="12"/>
    </row>
    <row r="1100" spans="6:11" x14ac:dyDescent="0.25">
      <c r="F1100" s="12"/>
      <c r="G1100" s="12"/>
      <c r="I1100" s="12"/>
      <c r="J1100" s="12"/>
      <c r="K1100" s="12"/>
    </row>
    <row r="1101" spans="6:11" x14ac:dyDescent="0.25">
      <c r="F1101" s="12"/>
      <c r="G1101" s="12"/>
      <c r="I1101" s="12"/>
      <c r="J1101" s="12"/>
      <c r="K1101" s="12"/>
    </row>
    <row r="1102" spans="6:11" x14ac:dyDescent="0.25">
      <c r="F1102" s="12"/>
      <c r="G1102" s="12"/>
      <c r="I1102" s="12"/>
      <c r="J1102" s="12"/>
      <c r="K1102" s="12"/>
    </row>
    <row r="1103" spans="6:11" x14ac:dyDescent="0.25">
      <c r="F1103" s="12"/>
      <c r="G1103" s="12"/>
      <c r="I1103" s="12"/>
      <c r="J1103" s="12"/>
      <c r="K1103" s="12"/>
    </row>
    <row r="1104" spans="6:11" x14ac:dyDescent="0.25">
      <c r="F1104" s="12"/>
      <c r="G1104" s="12"/>
      <c r="I1104" s="12"/>
      <c r="J1104" s="12"/>
      <c r="K1104" s="12"/>
    </row>
    <row r="1105" spans="6:11" x14ac:dyDescent="0.25">
      <c r="F1105" s="12"/>
      <c r="G1105" s="12"/>
      <c r="I1105" s="12"/>
      <c r="J1105" s="12"/>
      <c r="K1105" s="12"/>
    </row>
    <row r="1106" spans="6:11" x14ac:dyDescent="0.25">
      <c r="F1106" s="12"/>
      <c r="G1106" s="12"/>
      <c r="I1106" s="12"/>
      <c r="J1106" s="12"/>
      <c r="K1106" s="12"/>
    </row>
    <row r="1107" spans="6:11" x14ac:dyDescent="0.25">
      <c r="F1107" s="12"/>
      <c r="G1107" s="12"/>
      <c r="I1107" s="12"/>
      <c r="J1107" s="12"/>
      <c r="K1107" s="12"/>
    </row>
    <row r="1108" spans="6:11" x14ac:dyDescent="0.25">
      <c r="F1108" s="12"/>
      <c r="G1108" s="12"/>
      <c r="I1108" s="12"/>
      <c r="J1108" s="12"/>
      <c r="K1108" s="12"/>
    </row>
    <row r="1109" spans="6:11" x14ac:dyDescent="0.25">
      <c r="F1109" s="12"/>
      <c r="G1109" s="12"/>
      <c r="I1109" s="12"/>
      <c r="J1109" s="12"/>
      <c r="K1109" s="12"/>
    </row>
    <row r="1110" spans="6:11" x14ac:dyDescent="0.25">
      <c r="F1110" s="12"/>
      <c r="G1110" s="12"/>
      <c r="I1110" s="12"/>
      <c r="J1110" s="12"/>
      <c r="K1110" s="12"/>
    </row>
    <row r="1111" spans="6:11" x14ac:dyDescent="0.25">
      <c r="F1111" s="12"/>
      <c r="G1111" s="12"/>
      <c r="I1111" s="12"/>
      <c r="J1111" s="12"/>
      <c r="K1111" s="12"/>
    </row>
    <row r="1112" spans="6:11" x14ac:dyDescent="0.25">
      <c r="F1112" s="12"/>
      <c r="G1112" s="12"/>
      <c r="I1112" s="12"/>
      <c r="J1112" s="12"/>
      <c r="K1112" s="12"/>
    </row>
    <row r="1113" spans="6:11" x14ac:dyDescent="0.25">
      <c r="F1113" s="12"/>
      <c r="G1113" s="12"/>
      <c r="I1113" s="12"/>
      <c r="J1113" s="12"/>
      <c r="K1113" s="12"/>
    </row>
    <row r="1114" spans="6:11" x14ac:dyDescent="0.25">
      <c r="F1114" s="12"/>
      <c r="G1114" s="12"/>
      <c r="I1114" s="12"/>
      <c r="J1114" s="12"/>
      <c r="K1114" s="12"/>
    </row>
    <row r="1115" spans="6:11" x14ac:dyDescent="0.25">
      <c r="F1115" s="12"/>
      <c r="G1115" s="12"/>
      <c r="I1115" s="12"/>
      <c r="J1115" s="12"/>
      <c r="K1115" s="12"/>
    </row>
    <row r="1116" spans="6:11" x14ac:dyDescent="0.25">
      <c r="F1116" s="12"/>
      <c r="G1116" s="12"/>
      <c r="I1116" s="12"/>
      <c r="J1116" s="12"/>
      <c r="K1116" s="12"/>
    </row>
    <row r="1117" spans="6:11" x14ac:dyDescent="0.25">
      <c r="F1117" s="12"/>
      <c r="G1117" s="12"/>
      <c r="I1117" s="12"/>
      <c r="J1117" s="12"/>
      <c r="K1117" s="12"/>
    </row>
    <row r="1118" spans="6:11" x14ac:dyDescent="0.25">
      <c r="F1118" s="12"/>
      <c r="G1118" s="12"/>
      <c r="I1118" s="12"/>
      <c r="J1118" s="12"/>
      <c r="K1118" s="12"/>
    </row>
    <row r="1119" spans="6:11" x14ac:dyDescent="0.25">
      <c r="F1119" s="12"/>
      <c r="G1119" s="12"/>
      <c r="I1119" s="12"/>
      <c r="J1119" s="12"/>
      <c r="K1119" s="12"/>
    </row>
    <row r="1120" spans="6:11" x14ac:dyDescent="0.25">
      <c r="F1120" s="12"/>
      <c r="G1120" s="12"/>
      <c r="I1120" s="12"/>
      <c r="J1120" s="12"/>
      <c r="K1120" s="12"/>
    </row>
    <row r="1121" spans="6:11" x14ac:dyDescent="0.25">
      <c r="F1121" s="12"/>
      <c r="G1121" s="12"/>
      <c r="I1121" s="12"/>
      <c r="J1121" s="12"/>
      <c r="K1121" s="12"/>
    </row>
    <row r="1122" spans="6:11" x14ac:dyDescent="0.25">
      <c r="F1122" s="12"/>
      <c r="G1122" s="12"/>
      <c r="I1122" s="12"/>
      <c r="J1122" s="12"/>
      <c r="K1122" s="12"/>
    </row>
    <row r="1123" spans="6:11" x14ac:dyDescent="0.25">
      <c r="F1123" s="12"/>
      <c r="G1123" s="12"/>
      <c r="I1123" s="12"/>
      <c r="J1123" s="12"/>
      <c r="K1123" s="12"/>
    </row>
    <row r="1124" spans="6:11" x14ac:dyDescent="0.25">
      <c r="F1124" s="12"/>
      <c r="G1124" s="12"/>
      <c r="I1124" s="12"/>
      <c r="J1124" s="12"/>
      <c r="K1124" s="12"/>
    </row>
    <row r="1125" spans="6:11" x14ac:dyDescent="0.25">
      <c r="F1125" s="12"/>
      <c r="G1125" s="12"/>
      <c r="I1125" s="12"/>
      <c r="J1125" s="12"/>
      <c r="K1125" s="12"/>
    </row>
    <row r="1126" spans="6:11" x14ac:dyDescent="0.25">
      <c r="F1126" s="12"/>
      <c r="G1126" s="12"/>
      <c r="I1126" s="12"/>
      <c r="J1126" s="12"/>
      <c r="K1126" s="12"/>
    </row>
    <row r="1127" spans="6:11" x14ac:dyDescent="0.25">
      <c r="F1127" s="12"/>
      <c r="G1127" s="12"/>
      <c r="I1127" s="12"/>
      <c r="J1127" s="12"/>
      <c r="K1127" s="12"/>
    </row>
    <row r="1128" spans="6:11" x14ac:dyDescent="0.25">
      <c r="F1128" s="12"/>
      <c r="G1128" s="12"/>
      <c r="I1128" s="12"/>
      <c r="J1128" s="12"/>
      <c r="K1128" s="12"/>
    </row>
    <row r="1129" spans="6:11" x14ac:dyDescent="0.25">
      <c r="F1129" s="12"/>
      <c r="G1129" s="12"/>
      <c r="I1129" s="12"/>
      <c r="J1129" s="12"/>
      <c r="K1129" s="12"/>
    </row>
    <row r="1130" spans="6:11" x14ac:dyDescent="0.25">
      <c r="F1130" s="12"/>
      <c r="G1130" s="12"/>
      <c r="I1130" s="12"/>
      <c r="J1130" s="12"/>
      <c r="K1130" s="12"/>
    </row>
    <row r="1131" spans="6:11" x14ac:dyDescent="0.25">
      <c r="F1131" s="12"/>
      <c r="G1131" s="12"/>
      <c r="I1131" s="12"/>
      <c r="J1131" s="12"/>
      <c r="K1131" s="12"/>
    </row>
    <row r="1132" spans="6:11" x14ac:dyDescent="0.25">
      <c r="F1132" s="12"/>
      <c r="G1132" s="12"/>
      <c r="I1132" s="12"/>
      <c r="J1132" s="12"/>
      <c r="K1132" s="12"/>
    </row>
    <row r="1133" spans="6:11" x14ac:dyDescent="0.25">
      <c r="F1133" s="12"/>
      <c r="G1133" s="12"/>
      <c r="I1133" s="12"/>
      <c r="J1133" s="12"/>
      <c r="K1133" s="12"/>
    </row>
    <row r="1134" spans="6:11" x14ac:dyDescent="0.25">
      <c r="F1134" s="12"/>
      <c r="G1134" s="12"/>
      <c r="I1134" s="12"/>
      <c r="J1134" s="12"/>
      <c r="K1134" s="12"/>
    </row>
    <row r="1135" spans="6:11" x14ac:dyDescent="0.25">
      <c r="F1135" s="12"/>
      <c r="G1135" s="12"/>
      <c r="I1135" s="12"/>
      <c r="J1135" s="12"/>
      <c r="K1135" s="12"/>
    </row>
    <row r="1136" spans="6:11" x14ac:dyDescent="0.25">
      <c r="F1136" s="12"/>
      <c r="G1136" s="12"/>
      <c r="I1136" s="12"/>
      <c r="J1136" s="12"/>
      <c r="K1136" s="12"/>
    </row>
    <row r="1137" spans="6:11" x14ac:dyDescent="0.25">
      <c r="F1137" s="12"/>
      <c r="G1137" s="12"/>
      <c r="I1137" s="12"/>
      <c r="J1137" s="12"/>
      <c r="K1137" s="12"/>
    </row>
    <row r="1138" spans="6:11" x14ac:dyDescent="0.25">
      <c r="F1138" s="12"/>
      <c r="G1138" s="12"/>
      <c r="I1138" s="12"/>
      <c r="J1138" s="12"/>
      <c r="K1138" s="12"/>
    </row>
    <row r="1139" spans="6:11" x14ac:dyDescent="0.25">
      <c r="F1139" s="12"/>
      <c r="G1139" s="12"/>
      <c r="I1139" s="12"/>
      <c r="J1139" s="12"/>
      <c r="K1139" s="12"/>
    </row>
    <row r="1140" spans="6:11" x14ac:dyDescent="0.25">
      <c r="F1140" s="12"/>
      <c r="G1140" s="12"/>
      <c r="I1140" s="12"/>
      <c r="J1140" s="12"/>
      <c r="K1140" s="12"/>
    </row>
    <row r="1141" spans="6:11" x14ac:dyDescent="0.25">
      <c r="F1141" s="12"/>
      <c r="G1141" s="12"/>
      <c r="I1141" s="12"/>
      <c r="J1141" s="12"/>
      <c r="K1141" s="12"/>
    </row>
    <row r="1142" spans="6:11" x14ac:dyDescent="0.25">
      <c r="F1142" s="12"/>
      <c r="G1142" s="12"/>
      <c r="I1142" s="12"/>
      <c r="J1142" s="12"/>
      <c r="K1142" s="12"/>
    </row>
    <row r="1143" spans="6:11" x14ac:dyDescent="0.25">
      <c r="F1143" s="12"/>
      <c r="G1143" s="12"/>
      <c r="I1143" s="12"/>
      <c r="J1143" s="12"/>
      <c r="K1143" s="12"/>
    </row>
    <row r="1144" spans="6:11" x14ac:dyDescent="0.25">
      <c r="F1144" s="12"/>
      <c r="G1144" s="12"/>
      <c r="I1144" s="12"/>
      <c r="J1144" s="12"/>
      <c r="K1144" s="12"/>
    </row>
    <row r="1145" spans="6:11" x14ac:dyDescent="0.25">
      <c r="F1145" s="12"/>
      <c r="G1145" s="12"/>
      <c r="I1145" s="12"/>
      <c r="J1145" s="12"/>
      <c r="K1145" s="12"/>
    </row>
    <row r="1146" spans="6:11" x14ac:dyDescent="0.25">
      <c r="F1146" s="12"/>
      <c r="G1146" s="12"/>
      <c r="I1146" s="12"/>
      <c r="J1146" s="12"/>
      <c r="K1146" s="12"/>
    </row>
    <row r="1147" spans="6:11" x14ac:dyDescent="0.25">
      <c r="F1147" s="12"/>
      <c r="G1147" s="12"/>
      <c r="I1147" s="12"/>
      <c r="J1147" s="12"/>
      <c r="K1147" s="12"/>
    </row>
    <row r="1148" spans="6:11" x14ac:dyDescent="0.25">
      <c r="F1148" s="12"/>
      <c r="G1148" s="12"/>
      <c r="I1148" s="12"/>
      <c r="J1148" s="12"/>
      <c r="K1148" s="12"/>
    </row>
    <row r="1149" spans="6:11" x14ac:dyDescent="0.25">
      <c r="F1149" s="12"/>
      <c r="G1149" s="12"/>
      <c r="I1149" s="12"/>
      <c r="J1149" s="12"/>
      <c r="K1149" s="12"/>
    </row>
    <row r="1150" spans="6:11" x14ac:dyDescent="0.25">
      <c r="F1150" s="12"/>
      <c r="G1150" s="12"/>
      <c r="I1150" s="12"/>
      <c r="J1150" s="12"/>
      <c r="K1150" s="12"/>
    </row>
    <row r="1151" spans="6:11" x14ac:dyDescent="0.25">
      <c r="F1151" s="12"/>
      <c r="G1151" s="12"/>
      <c r="I1151" s="12"/>
      <c r="J1151" s="12"/>
      <c r="K1151" s="12"/>
    </row>
    <row r="1152" spans="6:11" x14ac:dyDescent="0.25">
      <c r="F1152" s="12"/>
      <c r="G1152" s="12"/>
      <c r="I1152" s="12"/>
      <c r="J1152" s="12"/>
      <c r="K1152" s="12"/>
    </row>
    <row r="1153" spans="6:11" x14ac:dyDescent="0.25">
      <c r="F1153" s="12"/>
      <c r="G1153" s="12"/>
      <c r="I1153" s="12"/>
      <c r="J1153" s="12"/>
      <c r="K1153" s="12"/>
    </row>
    <row r="1154" spans="6:11" x14ac:dyDescent="0.25">
      <c r="F1154" s="12"/>
      <c r="G1154" s="12"/>
      <c r="I1154" s="12"/>
      <c r="J1154" s="12"/>
      <c r="K1154" s="12"/>
    </row>
    <row r="1155" spans="6:11" x14ac:dyDescent="0.25">
      <c r="F1155" s="12"/>
      <c r="G1155" s="12"/>
      <c r="I1155" s="12"/>
      <c r="J1155" s="12"/>
      <c r="K1155" s="12"/>
    </row>
    <row r="1156" spans="6:11" x14ac:dyDescent="0.25">
      <c r="F1156" s="12"/>
      <c r="G1156" s="12"/>
      <c r="I1156" s="12"/>
      <c r="J1156" s="12"/>
      <c r="K1156" s="12"/>
    </row>
    <row r="1157" spans="6:11" x14ac:dyDescent="0.25">
      <c r="F1157" s="12"/>
      <c r="G1157" s="12"/>
      <c r="I1157" s="12"/>
      <c r="J1157" s="12"/>
      <c r="K1157" s="12"/>
    </row>
    <row r="1158" spans="6:11" x14ac:dyDescent="0.25">
      <c r="F1158" s="12"/>
      <c r="G1158" s="12"/>
      <c r="I1158" s="12"/>
      <c r="J1158" s="12"/>
      <c r="K1158" s="12"/>
    </row>
    <row r="1159" spans="6:11" x14ac:dyDescent="0.25">
      <c r="F1159" s="12"/>
      <c r="G1159" s="12"/>
      <c r="I1159" s="12"/>
      <c r="J1159" s="12"/>
      <c r="K1159" s="12"/>
    </row>
    <row r="1160" spans="6:11" x14ac:dyDescent="0.25">
      <c r="F1160" s="12"/>
      <c r="G1160" s="12"/>
      <c r="I1160" s="12"/>
      <c r="J1160" s="12"/>
      <c r="K1160" s="12"/>
    </row>
    <row r="1161" spans="6:11" x14ac:dyDescent="0.25">
      <c r="F1161" s="12"/>
      <c r="G1161" s="12"/>
      <c r="I1161" s="12"/>
      <c r="J1161" s="12"/>
      <c r="K1161" s="12"/>
    </row>
    <row r="1162" spans="6:11" x14ac:dyDescent="0.25">
      <c r="F1162" s="12"/>
      <c r="G1162" s="12"/>
      <c r="I1162" s="12"/>
      <c r="J1162" s="12"/>
      <c r="K1162" s="12"/>
    </row>
    <row r="1163" spans="6:11" x14ac:dyDescent="0.25">
      <c r="F1163" s="12"/>
      <c r="G1163" s="12"/>
      <c r="I1163" s="12"/>
      <c r="J1163" s="12"/>
      <c r="K1163" s="12"/>
    </row>
    <row r="1164" spans="6:11" x14ac:dyDescent="0.25">
      <c r="F1164" s="12"/>
      <c r="G1164" s="12"/>
      <c r="I1164" s="12"/>
      <c r="J1164" s="12"/>
      <c r="K1164" s="12"/>
    </row>
    <row r="1165" spans="6:11" x14ac:dyDescent="0.25">
      <c r="F1165" s="12"/>
      <c r="G1165" s="12"/>
      <c r="I1165" s="12"/>
      <c r="J1165" s="12"/>
      <c r="K1165" s="12"/>
    </row>
    <row r="1166" spans="6:11" x14ac:dyDescent="0.25">
      <c r="F1166" s="12"/>
      <c r="G1166" s="12"/>
      <c r="I1166" s="12"/>
      <c r="J1166" s="12"/>
      <c r="K1166" s="12"/>
    </row>
    <row r="1167" spans="6:11" x14ac:dyDescent="0.25">
      <c r="F1167" s="12"/>
      <c r="G1167" s="12"/>
      <c r="I1167" s="12"/>
      <c r="J1167" s="12"/>
      <c r="K1167" s="12"/>
    </row>
    <row r="1168" spans="6:11" x14ac:dyDescent="0.25">
      <c r="F1168" s="12"/>
      <c r="G1168" s="12"/>
      <c r="I1168" s="12"/>
      <c r="J1168" s="12"/>
      <c r="K1168" s="12"/>
    </row>
    <row r="1169" spans="6:11" x14ac:dyDescent="0.25">
      <c r="F1169" s="12"/>
      <c r="G1169" s="12"/>
      <c r="I1169" s="12"/>
      <c r="J1169" s="12"/>
      <c r="K1169" s="12"/>
    </row>
    <row r="1170" spans="6:11" x14ac:dyDescent="0.25">
      <c r="F1170" s="12"/>
      <c r="G1170" s="12"/>
      <c r="I1170" s="12"/>
      <c r="J1170" s="12"/>
      <c r="K1170" s="12"/>
    </row>
    <row r="1171" spans="6:11" x14ac:dyDescent="0.25">
      <c r="F1171" s="12"/>
      <c r="G1171" s="12"/>
      <c r="I1171" s="12"/>
      <c r="J1171" s="12"/>
      <c r="K1171" s="12"/>
    </row>
    <row r="1172" spans="6:11" x14ac:dyDescent="0.25">
      <c r="F1172" s="12"/>
      <c r="G1172" s="12"/>
      <c r="I1172" s="12"/>
      <c r="J1172" s="12"/>
      <c r="K1172" s="12"/>
    </row>
    <row r="1173" spans="6:11" x14ac:dyDescent="0.25">
      <c r="F1173" s="12"/>
      <c r="G1173" s="12"/>
      <c r="I1173" s="12"/>
      <c r="J1173" s="12"/>
      <c r="K1173" s="12"/>
    </row>
    <row r="1174" spans="6:11" x14ac:dyDescent="0.25">
      <c r="F1174" s="12"/>
      <c r="G1174" s="12"/>
      <c r="I1174" s="12"/>
      <c r="J1174" s="12"/>
      <c r="K1174" s="12"/>
    </row>
    <row r="1175" spans="6:11" x14ac:dyDescent="0.25">
      <c r="F1175" s="12"/>
      <c r="G1175" s="12"/>
      <c r="I1175" s="12"/>
      <c r="J1175" s="12"/>
      <c r="K1175" s="12"/>
    </row>
    <row r="1176" spans="6:11" x14ac:dyDescent="0.25">
      <c r="F1176" s="12"/>
      <c r="G1176" s="12"/>
      <c r="I1176" s="12"/>
      <c r="J1176" s="12"/>
      <c r="K1176" s="12"/>
    </row>
    <row r="1177" spans="6:11" x14ac:dyDescent="0.25">
      <c r="F1177" s="12"/>
      <c r="G1177" s="12"/>
      <c r="I1177" s="12"/>
      <c r="J1177" s="12"/>
      <c r="K1177" s="12"/>
    </row>
    <row r="1178" spans="6:11" x14ac:dyDescent="0.25">
      <c r="F1178" s="12"/>
      <c r="G1178" s="12"/>
      <c r="I1178" s="12"/>
      <c r="J1178" s="12"/>
      <c r="K1178" s="12"/>
    </row>
    <row r="1179" spans="6:11" x14ac:dyDescent="0.25">
      <c r="F1179" s="12"/>
      <c r="G1179" s="12"/>
      <c r="I1179" s="12"/>
      <c r="J1179" s="12"/>
      <c r="K1179" s="12"/>
    </row>
    <row r="1180" spans="6:11" x14ac:dyDescent="0.25">
      <c r="F1180" s="12"/>
      <c r="G1180" s="12"/>
      <c r="I1180" s="12"/>
      <c r="J1180" s="12"/>
      <c r="K1180" s="12"/>
    </row>
    <row r="1181" spans="6:11" x14ac:dyDescent="0.25">
      <c r="F1181" s="12"/>
      <c r="G1181" s="12"/>
      <c r="I1181" s="12"/>
      <c r="J1181" s="12"/>
      <c r="K1181" s="12"/>
    </row>
    <row r="1182" spans="6:11" x14ac:dyDescent="0.25">
      <c r="F1182" s="12"/>
      <c r="G1182" s="12"/>
      <c r="I1182" s="12"/>
      <c r="J1182" s="12"/>
      <c r="K1182" s="12"/>
    </row>
    <row r="1183" spans="6:11" x14ac:dyDescent="0.25">
      <c r="F1183" s="12"/>
      <c r="G1183" s="12"/>
      <c r="I1183" s="12"/>
      <c r="J1183" s="12"/>
      <c r="K1183" s="12"/>
    </row>
    <row r="1184" spans="6:11" x14ac:dyDescent="0.25">
      <c r="F1184" s="12"/>
      <c r="G1184" s="12"/>
      <c r="I1184" s="12"/>
      <c r="J1184" s="12"/>
      <c r="K1184" s="12"/>
    </row>
    <row r="1185" spans="6:11" x14ac:dyDescent="0.25">
      <c r="F1185" s="12"/>
      <c r="G1185" s="12"/>
      <c r="I1185" s="12"/>
      <c r="J1185" s="12"/>
      <c r="K1185" s="12"/>
    </row>
    <row r="1186" spans="6:11" x14ac:dyDescent="0.25">
      <c r="F1186" s="12"/>
      <c r="G1186" s="12"/>
      <c r="I1186" s="12"/>
      <c r="J1186" s="12"/>
      <c r="K1186" s="12"/>
    </row>
    <row r="1187" spans="6:11" x14ac:dyDescent="0.25">
      <c r="F1187" s="12"/>
      <c r="G1187" s="12"/>
      <c r="I1187" s="12"/>
      <c r="J1187" s="12"/>
      <c r="K1187" s="12"/>
    </row>
    <row r="1188" spans="6:11" x14ac:dyDescent="0.25">
      <c r="F1188" s="12"/>
      <c r="G1188" s="12"/>
      <c r="I1188" s="12"/>
      <c r="J1188" s="12"/>
      <c r="K1188" s="12"/>
    </row>
    <row r="1189" spans="6:11" x14ac:dyDescent="0.25">
      <c r="F1189" s="12"/>
      <c r="G1189" s="12"/>
      <c r="I1189" s="12"/>
      <c r="J1189" s="12"/>
      <c r="K1189" s="12"/>
    </row>
    <row r="1190" spans="6:11" x14ac:dyDescent="0.25">
      <c r="F1190" s="12"/>
      <c r="G1190" s="12"/>
      <c r="I1190" s="12"/>
      <c r="J1190" s="12"/>
      <c r="K1190" s="12"/>
    </row>
    <row r="1191" spans="6:11" x14ac:dyDescent="0.25">
      <c r="F1191" s="12"/>
      <c r="G1191" s="12"/>
      <c r="I1191" s="12"/>
      <c r="J1191" s="12"/>
      <c r="K1191" s="12"/>
    </row>
    <row r="1192" spans="6:11" x14ac:dyDescent="0.25">
      <c r="F1192" s="12"/>
      <c r="G1192" s="12"/>
      <c r="I1192" s="12"/>
      <c r="J1192" s="12"/>
      <c r="K1192" s="12"/>
    </row>
    <row r="1193" spans="6:11" x14ac:dyDescent="0.25">
      <c r="F1193" s="12"/>
      <c r="G1193" s="12"/>
      <c r="I1193" s="12"/>
      <c r="J1193" s="12"/>
      <c r="K1193" s="12"/>
    </row>
    <row r="1194" spans="6:11" x14ac:dyDescent="0.25">
      <c r="F1194" s="12"/>
      <c r="G1194" s="12"/>
      <c r="I1194" s="12"/>
      <c r="J1194" s="12"/>
      <c r="K1194" s="12"/>
    </row>
    <row r="1195" spans="6:11" x14ac:dyDescent="0.25">
      <c r="F1195" s="12"/>
      <c r="G1195" s="12"/>
      <c r="I1195" s="12"/>
      <c r="J1195" s="12"/>
      <c r="K1195" s="12"/>
    </row>
    <row r="1196" spans="6:11" x14ac:dyDescent="0.25">
      <c r="F1196" s="12"/>
      <c r="G1196" s="12"/>
      <c r="I1196" s="12"/>
      <c r="J1196" s="12"/>
      <c r="K1196" s="12"/>
    </row>
    <row r="1197" spans="6:11" x14ac:dyDescent="0.25">
      <c r="F1197" s="12"/>
      <c r="G1197" s="12"/>
      <c r="I1197" s="12"/>
      <c r="J1197" s="12"/>
      <c r="K1197" s="12"/>
    </row>
    <row r="1198" spans="6:11" x14ac:dyDescent="0.25">
      <c r="F1198" s="12"/>
      <c r="G1198" s="12"/>
      <c r="I1198" s="12"/>
      <c r="J1198" s="12"/>
      <c r="K1198" s="12"/>
    </row>
    <row r="1199" spans="6:11" x14ac:dyDescent="0.25">
      <c r="F1199" s="12"/>
      <c r="G1199" s="12"/>
      <c r="I1199" s="12"/>
      <c r="J1199" s="12"/>
      <c r="K1199" s="12"/>
    </row>
    <row r="1200" spans="6:11" x14ac:dyDescent="0.25">
      <c r="F1200" s="12"/>
      <c r="G1200" s="12"/>
      <c r="I1200" s="12"/>
      <c r="J1200" s="12"/>
      <c r="K1200" s="12"/>
    </row>
    <row r="1201" spans="6:11" x14ac:dyDescent="0.25">
      <c r="F1201" s="12"/>
      <c r="G1201" s="12"/>
      <c r="I1201" s="12"/>
      <c r="J1201" s="12"/>
      <c r="K1201" s="12"/>
    </row>
    <row r="1202" spans="6:11" x14ac:dyDescent="0.25">
      <c r="F1202" s="12"/>
      <c r="G1202" s="12"/>
      <c r="I1202" s="12"/>
      <c r="J1202" s="12"/>
      <c r="K1202" s="12"/>
    </row>
    <row r="1203" spans="6:11" x14ac:dyDescent="0.25">
      <c r="F1203" s="12"/>
      <c r="G1203" s="12"/>
      <c r="I1203" s="12"/>
      <c r="J1203" s="12"/>
      <c r="K1203" s="12"/>
    </row>
    <row r="1204" spans="6:11" x14ac:dyDescent="0.25">
      <c r="F1204" s="12"/>
      <c r="G1204" s="12"/>
      <c r="I1204" s="12"/>
      <c r="J1204" s="12"/>
      <c r="K1204" s="12"/>
    </row>
    <row r="1205" spans="6:11" x14ac:dyDescent="0.25">
      <c r="F1205" s="12"/>
      <c r="G1205" s="12"/>
      <c r="I1205" s="12"/>
      <c r="J1205" s="12"/>
      <c r="K1205" s="12"/>
    </row>
    <row r="1206" spans="6:11" x14ac:dyDescent="0.25">
      <c r="F1206" s="12"/>
      <c r="G1206" s="12"/>
      <c r="I1206" s="12"/>
      <c r="J1206" s="12"/>
      <c r="K1206" s="12"/>
    </row>
    <row r="1207" spans="6:11" x14ac:dyDescent="0.25">
      <c r="F1207" s="12"/>
      <c r="G1207" s="12"/>
      <c r="I1207" s="12"/>
      <c r="J1207" s="12"/>
      <c r="K1207" s="12"/>
    </row>
    <row r="1208" spans="6:11" x14ac:dyDescent="0.25">
      <c r="F1208" s="12"/>
      <c r="G1208" s="12"/>
      <c r="I1208" s="12"/>
      <c r="J1208" s="12"/>
      <c r="K1208" s="12"/>
    </row>
    <row r="1209" spans="6:11" x14ac:dyDescent="0.25">
      <c r="F1209" s="12"/>
      <c r="G1209" s="12"/>
      <c r="I1209" s="12"/>
      <c r="J1209" s="12"/>
      <c r="K1209" s="12"/>
    </row>
    <row r="1210" spans="6:11" x14ac:dyDescent="0.25">
      <c r="F1210" s="12"/>
      <c r="G1210" s="12"/>
      <c r="I1210" s="12"/>
      <c r="J1210" s="12"/>
      <c r="K1210" s="12"/>
    </row>
    <row r="1211" spans="6:11" x14ac:dyDescent="0.25">
      <c r="F1211" s="12"/>
      <c r="G1211" s="12"/>
      <c r="I1211" s="12"/>
      <c r="J1211" s="12"/>
      <c r="K1211" s="12"/>
    </row>
    <row r="1212" spans="6:11" x14ac:dyDescent="0.25">
      <c r="F1212" s="12"/>
      <c r="G1212" s="12"/>
      <c r="I1212" s="12"/>
      <c r="J1212" s="12"/>
      <c r="K1212" s="12"/>
    </row>
    <row r="1213" spans="6:11" x14ac:dyDescent="0.25">
      <c r="F1213" s="12"/>
      <c r="G1213" s="12"/>
      <c r="I1213" s="12"/>
      <c r="J1213" s="12"/>
      <c r="K1213" s="12"/>
    </row>
    <row r="1214" spans="6:11" x14ac:dyDescent="0.25">
      <c r="F1214" s="12"/>
      <c r="G1214" s="12"/>
      <c r="I1214" s="12"/>
      <c r="J1214" s="12"/>
      <c r="K1214" s="12"/>
    </row>
    <row r="1215" spans="6:11" x14ac:dyDescent="0.25">
      <c r="F1215" s="12"/>
      <c r="G1215" s="12"/>
      <c r="I1215" s="12"/>
      <c r="J1215" s="12"/>
      <c r="K1215" s="12"/>
    </row>
    <row r="1216" spans="6:11" x14ac:dyDescent="0.25">
      <c r="F1216" s="12"/>
      <c r="G1216" s="12"/>
      <c r="I1216" s="12"/>
      <c r="J1216" s="12"/>
      <c r="K1216" s="12"/>
    </row>
    <row r="1217" spans="6:11" x14ac:dyDescent="0.25">
      <c r="F1217" s="12"/>
      <c r="G1217" s="12"/>
      <c r="I1217" s="12"/>
      <c r="J1217" s="12"/>
      <c r="K1217" s="12"/>
    </row>
    <row r="1218" spans="6:11" x14ac:dyDescent="0.25">
      <c r="F1218" s="12"/>
      <c r="G1218" s="12"/>
      <c r="I1218" s="12"/>
      <c r="J1218" s="12"/>
      <c r="K1218" s="12"/>
    </row>
    <row r="1219" spans="6:11" x14ac:dyDescent="0.25">
      <c r="F1219" s="12"/>
      <c r="G1219" s="12"/>
      <c r="I1219" s="12"/>
      <c r="J1219" s="12"/>
      <c r="K1219" s="12"/>
    </row>
    <row r="1220" spans="6:11" x14ac:dyDescent="0.25">
      <c r="F1220" s="12"/>
      <c r="G1220" s="12"/>
      <c r="I1220" s="12"/>
      <c r="J1220" s="12"/>
      <c r="K1220" s="12"/>
    </row>
    <row r="1221" spans="6:11" x14ac:dyDescent="0.25">
      <c r="F1221" s="12"/>
      <c r="G1221" s="12"/>
      <c r="I1221" s="12"/>
      <c r="J1221" s="12"/>
      <c r="K1221" s="12"/>
    </row>
    <row r="1222" spans="6:11" x14ac:dyDescent="0.25">
      <c r="F1222" s="12"/>
      <c r="G1222" s="12"/>
      <c r="I1222" s="12"/>
      <c r="J1222" s="12"/>
      <c r="K1222" s="12"/>
    </row>
    <row r="1223" spans="6:11" x14ac:dyDescent="0.25">
      <c r="F1223" s="12"/>
      <c r="G1223" s="12"/>
      <c r="I1223" s="12"/>
      <c r="J1223" s="12"/>
      <c r="K1223" s="12"/>
    </row>
    <row r="1224" spans="6:11" x14ac:dyDescent="0.25">
      <c r="F1224" s="12"/>
      <c r="G1224" s="12"/>
      <c r="I1224" s="12"/>
      <c r="J1224" s="12"/>
      <c r="K1224" s="12"/>
    </row>
    <row r="1225" spans="6:11" x14ac:dyDescent="0.25">
      <c r="F1225" s="12"/>
      <c r="G1225" s="12"/>
      <c r="I1225" s="12"/>
      <c r="J1225" s="12"/>
      <c r="K1225" s="12"/>
    </row>
    <row r="1226" spans="6:11" x14ac:dyDescent="0.25">
      <c r="F1226" s="12"/>
      <c r="G1226" s="12"/>
      <c r="I1226" s="12"/>
      <c r="J1226" s="12"/>
      <c r="K1226" s="12"/>
    </row>
    <row r="1227" spans="6:11" x14ac:dyDescent="0.25">
      <c r="F1227" s="12"/>
      <c r="G1227" s="12"/>
      <c r="I1227" s="12"/>
      <c r="J1227" s="12"/>
      <c r="K1227" s="12"/>
    </row>
    <row r="1228" spans="6:11" x14ac:dyDescent="0.25">
      <c r="F1228" s="12"/>
      <c r="G1228" s="12"/>
      <c r="I1228" s="12"/>
      <c r="J1228" s="12"/>
      <c r="K1228" s="12"/>
    </row>
    <row r="1229" spans="6:11" x14ac:dyDescent="0.25">
      <c r="F1229" s="12"/>
      <c r="G1229" s="12"/>
      <c r="I1229" s="12"/>
      <c r="J1229" s="12"/>
      <c r="K1229" s="12"/>
    </row>
    <row r="1230" spans="6:11" x14ac:dyDescent="0.25">
      <c r="F1230" s="12"/>
      <c r="G1230" s="12"/>
      <c r="I1230" s="12"/>
      <c r="J1230" s="12"/>
      <c r="K1230" s="12"/>
    </row>
    <row r="1231" spans="6:11" x14ac:dyDescent="0.25">
      <c r="F1231" s="12"/>
      <c r="G1231" s="12"/>
      <c r="I1231" s="12"/>
      <c r="J1231" s="12"/>
      <c r="K1231" s="12"/>
    </row>
    <row r="1232" spans="6:11" x14ac:dyDescent="0.25">
      <c r="F1232" s="12"/>
      <c r="G1232" s="12"/>
      <c r="I1232" s="12"/>
      <c r="J1232" s="12"/>
      <c r="K1232" s="12"/>
    </row>
    <row r="1233" spans="6:11" x14ac:dyDescent="0.25">
      <c r="F1233" s="12"/>
      <c r="G1233" s="12"/>
      <c r="I1233" s="12"/>
      <c r="J1233" s="12"/>
      <c r="K1233" s="12"/>
    </row>
    <row r="1234" spans="6:11" x14ac:dyDescent="0.25">
      <c r="F1234" s="12"/>
      <c r="G1234" s="12"/>
      <c r="I1234" s="12"/>
      <c r="J1234" s="12"/>
      <c r="K1234" s="12"/>
    </row>
    <row r="1235" spans="6:11" x14ac:dyDescent="0.25">
      <c r="F1235" s="12"/>
      <c r="G1235" s="12"/>
      <c r="I1235" s="12"/>
      <c r="J1235" s="12"/>
      <c r="K1235" s="12"/>
    </row>
    <row r="1236" spans="6:11" x14ac:dyDescent="0.25">
      <c r="F1236" s="12"/>
      <c r="G1236" s="12"/>
      <c r="I1236" s="12"/>
      <c r="J1236" s="12"/>
      <c r="K1236" s="12"/>
    </row>
    <row r="1237" spans="6:11" x14ac:dyDescent="0.25">
      <c r="F1237" s="12"/>
      <c r="G1237" s="12"/>
      <c r="I1237" s="12"/>
      <c r="J1237" s="12"/>
      <c r="K1237" s="12"/>
    </row>
    <row r="1238" spans="6:11" x14ac:dyDescent="0.25">
      <c r="F1238" s="12"/>
      <c r="G1238" s="12"/>
      <c r="I1238" s="12"/>
      <c r="J1238" s="12"/>
      <c r="K1238" s="12"/>
    </row>
    <row r="1239" spans="6:11" x14ac:dyDescent="0.25">
      <c r="F1239" s="12"/>
      <c r="G1239" s="12"/>
      <c r="I1239" s="12"/>
      <c r="J1239" s="12"/>
      <c r="K1239" s="12"/>
    </row>
    <row r="1240" spans="6:11" x14ac:dyDescent="0.25">
      <c r="F1240" s="12"/>
      <c r="G1240" s="12"/>
      <c r="I1240" s="12"/>
      <c r="J1240" s="12"/>
      <c r="K1240" s="12"/>
    </row>
    <row r="1241" spans="6:11" x14ac:dyDescent="0.25">
      <c r="F1241" s="12"/>
      <c r="G1241" s="12"/>
      <c r="I1241" s="12"/>
      <c r="J1241" s="12"/>
      <c r="K1241" s="12"/>
    </row>
    <row r="1242" spans="6:11" x14ac:dyDescent="0.25">
      <c r="F1242" s="12"/>
      <c r="G1242" s="12"/>
      <c r="I1242" s="12"/>
      <c r="J1242" s="12"/>
      <c r="K1242" s="12"/>
    </row>
    <row r="1243" spans="6:11" x14ac:dyDescent="0.25">
      <c r="F1243" s="12"/>
      <c r="G1243" s="12"/>
      <c r="I1243" s="12"/>
      <c r="J1243" s="12"/>
      <c r="K1243" s="12"/>
    </row>
    <row r="1244" spans="6:11" x14ac:dyDescent="0.25">
      <c r="F1244" s="12"/>
      <c r="G1244" s="12"/>
      <c r="I1244" s="12"/>
      <c r="J1244" s="12"/>
      <c r="K1244" s="12"/>
    </row>
    <row r="1245" spans="6:11" x14ac:dyDescent="0.25">
      <c r="F1245" s="12"/>
      <c r="G1245" s="12"/>
      <c r="I1245" s="12"/>
      <c r="J1245" s="12"/>
      <c r="K1245" s="12"/>
    </row>
    <row r="1246" spans="6:11" x14ac:dyDescent="0.25">
      <c r="F1246" s="12"/>
      <c r="G1246" s="12"/>
      <c r="I1246" s="12"/>
      <c r="J1246" s="12"/>
      <c r="K1246" s="12"/>
    </row>
    <row r="1247" spans="6:11" x14ac:dyDescent="0.25">
      <c r="F1247" s="12"/>
      <c r="G1247" s="12"/>
      <c r="I1247" s="12"/>
      <c r="J1247" s="12"/>
      <c r="K1247" s="12"/>
    </row>
    <row r="1248" spans="6:11" x14ac:dyDescent="0.25">
      <c r="F1248" s="12"/>
      <c r="G1248" s="12"/>
      <c r="I1248" s="12"/>
      <c r="J1248" s="12"/>
      <c r="K1248" s="12"/>
    </row>
    <row r="1249" spans="6:11" x14ac:dyDescent="0.25">
      <c r="F1249" s="12"/>
      <c r="G1249" s="12"/>
      <c r="I1249" s="12"/>
      <c r="J1249" s="12"/>
      <c r="K1249" s="12"/>
    </row>
    <row r="1250" spans="6:11" x14ac:dyDescent="0.25">
      <c r="F1250" s="12"/>
      <c r="G1250" s="12"/>
      <c r="I1250" s="12"/>
      <c r="J1250" s="12"/>
      <c r="K1250" s="12"/>
    </row>
    <row r="1251" spans="6:11" x14ac:dyDescent="0.25">
      <c r="F1251" s="12"/>
      <c r="G1251" s="12"/>
      <c r="I1251" s="12"/>
      <c r="J1251" s="12"/>
      <c r="K1251" s="12"/>
    </row>
    <row r="1252" spans="6:11" x14ac:dyDescent="0.25">
      <c r="F1252" s="12"/>
      <c r="G1252" s="12"/>
      <c r="I1252" s="12"/>
      <c r="J1252" s="12"/>
      <c r="K1252" s="12"/>
    </row>
    <row r="1253" spans="6:11" x14ac:dyDescent="0.25">
      <c r="F1253" s="12"/>
      <c r="G1253" s="12"/>
      <c r="I1253" s="12"/>
      <c r="J1253" s="12"/>
      <c r="K1253" s="12"/>
    </row>
    <row r="1254" spans="6:11" x14ac:dyDescent="0.25">
      <c r="F1254" s="12"/>
      <c r="G1254" s="12"/>
      <c r="I1254" s="12"/>
      <c r="J1254" s="12"/>
      <c r="K1254" s="12"/>
    </row>
    <row r="1255" spans="6:11" x14ac:dyDescent="0.25">
      <c r="F1255" s="12"/>
      <c r="G1255" s="12"/>
      <c r="I1255" s="12"/>
      <c r="J1255" s="12"/>
      <c r="K1255" s="12"/>
    </row>
    <row r="1256" spans="6:11" x14ac:dyDescent="0.25">
      <c r="F1256" s="12"/>
      <c r="G1256" s="12"/>
      <c r="I1256" s="12"/>
      <c r="J1256" s="12"/>
      <c r="K1256" s="12"/>
    </row>
    <row r="1257" spans="6:11" x14ac:dyDescent="0.25">
      <c r="F1257" s="12"/>
      <c r="G1257" s="12"/>
      <c r="I1257" s="12"/>
      <c r="J1257" s="12"/>
      <c r="K1257" s="12"/>
    </row>
    <row r="1258" spans="6:11" x14ac:dyDescent="0.25">
      <c r="F1258" s="12"/>
      <c r="G1258" s="12"/>
      <c r="I1258" s="12"/>
      <c r="J1258" s="12"/>
      <c r="K1258" s="12"/>
    </row>
    <row r="1259" spans="6:11" x14ac:dyDescent="0.25">
      <c r="F1259" s="12"/>
      <c r="G1259" s="12"/>
      <c r="I1259" s="12"/>
      <c r="J1259" s="12"/>
      <c r="K1259" s="12"/>
    </row>
    <row r="1260" spans="6:11" x14ac:dyDescent="0.25">
      <c r="F1260" s="12"/>
      <c r="G1260" s="12"/>
      <c r="I1260" s="12"/>
      <c r="J1260" s="12"/>
      <c r="K1260" s="12"/>
    </row>
    <row r="1261" spans="6:11" x14ac:dyDescent="0.25">
      <c r="F1261" s="12"/>
      <c r="G1261" s="12"/>
      <c r="I1261" s="12"/>
      <c r="J1261" s="12"/>
      <c r="K1261" s="12"/>
    </row>
    <row r="1262" spans="6:11" x14ac:dyDescent="0.25">
      <c r="F1262" s="12"/>
      <c r="G1262" s="12"/>
      <c r="I1262" s="12"/>
      <c r="J1262" s="12"/>
      <c r="K1262" s="12"/>
    </row>
    <row r="1263" spans="6:11" x14ac:dyDescent="0.25">
      <c r="F1263" s="12"/>
      <c r="G1263" s="12"/>
      <c r="I1263" s="12"/>
      <c r="J1263" s="12"/>
      <c r="K1263" s="12"/>
    </row>
    <row r="1264" spans="6:11" x14ac:dyDescent="0.25">
      <c r="F1264" s="12"/>
      <c r="G1264" s="12"/>
      <c r="I1264" s="12"/>
      <c r="J1264" s="12"/>
      <c r="K1264" s="12"/>
    </row>
    <row r="1265" spans="6:11" x14ac:dyDescent="0.25">
      <c r="F1265" s="12"/>
      <c r="G1265" s="12"/>
      <c r="I1265" s="12"/>
      <c r="J1265" s="12"/>
      <c r="K1265" s="12"/>
    </row>
    <row r="1266" spans="6:11" x14ac:dyDescent="0.25">
      <c r="F1266" s="12"/>
      <c r="G1266" s="12"/>
      <c r="I1266" s="12"/>
      <c r="J1266" s="12"/>
      <c r="K1266" s="12"/>
    </row>
    <row r="1267" spans="6:11" x14ac:dyDescent="0.25">
      <c r="F1267" s="12"/>
      <c r="G1267" s="12"/>
      <c r="I1267" s="12"/>
      <c r="J1267" s="12"/>
      <c r="K1267" s="12"/>
    </row>
    <row r="1268" spans="6:11" x14ac:dyDescent="0.25">
      <c r="F1268" s="12"/>
      <c r="G1268" s="12"/>
      <c r="I1268" s="12"/>
      <c r="J1268" s="12"/>
      <c r="K1268" s="12"/>
    </row>
    <row r="1269" spans="6:11" x14ac:dyDescent="0.25">
      <c r="F1269" s="12"/>
      <c r="G1269" s="12"/>
      <c r="I1269" s="12"/>
      <c r="J1269" s="12"/>
      <c r="K1269" s="12"/>
    </row>
    <row r="1270" spans="6:11" x14ac:dyDescent="0.25">
      <c r="F1270" s="12"/>
      <c r="G1270" s="12"/>
      <c r="I1270" s="12"/>
      <c r="J1270" s="12"/>
      <c r="K1270" s="12"/>
    </row>
    <row r="1271" spans="6:11" x14ac:dyDescent="0.25">
      <c r="F1271" s="12"/>
      <c r="G1271" s="12"/>
      <c r="I1271" s="12"/>
      <c r="J1271" s="12"/>
      <c r="K1271" s="12"/>
    </row>
    <row r="1272" spans="6:11" x14ac:dyDescent="0.25">
      <c r="F1272" s="12"/>
      <c r="G1272" s="12"/>
      <c r="I1272" s="12"/>
      <c r="J1272" s="12"/>
      <c r="K1272" s="12"/>
    </row>
    <row r="1273" spans="6:11" x14ac:dyDescent="0.25">
      <c r="F1273" s="12"/>
      <c r="G1273" s="12"/>
      <c r="I1273" s="12"/>
      <c r="J1273" s="12"/>
      <c r="K1273" s="12"/>
    </row>
    <row r="1274" spans="6:11" x14ac:dyDescent="0.25">
      <c r="F1274" s="12"/>
      <c r="G1274" s="12"/>
      <c r="I1274" s="12"/>
      <c r="J1274" s="12"/>
      <c r="K1274" s="12"/>
    </row>
    <row r="1275" spans="6:11" x14ac:dyDescent="0.25">
      <c r="F1275" s="12"/>
      <c r="G1275" s="12"/>
      <c r="I1275" s="12"/>
      <c r="J1275" s="12"/>
      <c r="K1275" s="12"/>
    </row>
    <row r="1276" spans="6:11" x14ac:dyDescent="0.25">
      <c r="F1276" s="12"/>
      <c r="G1276" s="12"/>
      <c r="I1276" s="12"/>
      <c r="J1276" s="12"/>
      <c r="K1276" s="12"/>
    </row>
    <row r="1277" spans="6:11" x14ac:dyDescent="0.25">
      <c r="F1277" s="12"/>
      <c r="G1277" s="12"/>
      <c r="I1277" s="12"/>
      <c r="J1277" s="12"/>
      <c r="K1277" s="12"/>
    </row>
    <row r="1278" spans="6:11" x14ac:dyDescent="0.25">
      <c r="F1278" s="12"/>
      <c r="G1278" s="12"/>
      <c r="I1278" s="12"/>
      <c r="J1278" s="12"/>
      <c r="K1278" s="12"/>
    </row>
    <row r="1279" spans="6:11" x14ac:dyDescent="0.25">
      <c r="F1279" s="12"/>
      <c r="G1279" s="12"/>
      <c r="I1279" s="12"/>
      <c r="J1279" s="12"/>
      <c r="K1279" s="12"/>
    </row>
    <row r="1280" spans="6:11" x14ac:dyDescent="0.25">
      <c r="F1280" s="12"/>
      <c r="G1280" s="12"/>
      <c r="I1280" s="12"/>
      <c r="J1280" s="12"/>
      <c r="K1280" s="12"/>
    </row>
    <row r="1281" spans="6:11" x14ac:dyDescent="0.25">
      <c r="F1281" s="12"/>
      <c r="G1281" s="12"/>
      <c r="I1281" s="12"/>
      <c r="J1281" s="12"/>
      <c r="K1281" s="12"/>
    </row>
    <row r="1282" spans="6:11" x14ac:dyDescent="0.25">
      <c r="F1282" s="12"/>
      <c r="G1282" s="12"/>
      <c r="I1282" s="12"/>
      <c r="J1282" s="12"/>
      <c r="K1282" s="12"/>
    </row>
    <row r="1283" spans="6:11" x14ac:dyDescent="0.25">
      <c r="F1283" s="12"/>
      <c r="G1283" s="12"/>
      <c r="I1283" s="12"/>
      <c r="J1283" s="12"/>
      <c r="K1283" s="12"/>
    </row>
    <row r="1284" spans="6:11" x14ac:dyDescent="0.25">
      <c r="F1284" s="12"/>
      <c r="G1284" s="12"/>
      <c r="I1284" s="12"/>
      <c r="J1284" s="12"/>
      <c r="K1284" s="12"/>
    </row>
    <row r="1285" spans="6:11" x14ac:dyDescent="0.25">
      <c r="F1285" s="12"/>
      <c r="G1285" s="12"/>
      <c r="I1285" s="12"/>
      <c r="J1285" s="12"/>
      <c r="K1285" s="12"/>
    </row>
    <row r="1286" spans="6:11" x14ac:dyDescent="0.25">
      <c r="F1286" s="12"/>
      <c r="G1286" s="12"/>
      <c r="I1286" s="12"/>
      <c r="J1286" s="12"/>
      <c r="K1286" s="12"/>
    </row>
    <row r="1287" spans="6:11" x14ac:dyDescent="0.25">
      <c r="F1287" s="12"/>
      <c r="G1287" s="12"/>
      <c r="I1287" s="12"/>
      <c r="J1287" s="12"/>
      <c r="K1287" s="12"/>
    </row>
    <row r="1288" spans="6:11" x14ac:dyDescent="0.25">
      <c r="F1288" s="12"/>
      <c r="G1288" s="12"/>
      <c r="I1288" s="12"/>
      <c r="J1288" s="12"/>
      <c r="K1288" s="12"/>
    </row>
    <row r="1289" spans="6:11" x14ac:dyDescent="0.25">
      <c r="F1289" s="12"/>
      <c r="G1289" s="12"/>
      <c r="I1289" s="12"/>
      <c r="J1289" s="12"/>
      <c r="K1289" s="12"/>
    </row>
    <row r="1290" spans="6:11" x14ac:dyDescent="0.25">
      <c r="F1290" s="12"/>
      <c r="G1290" s="12"/>
      <c r="I1290" s="12"/>
      <c r="J1290" s="12"/>
      <c r="K1290" s="12"/>
    </row>
    <row r="1291" spans="6:11" x14ac:dyDescent="0.25">
      <c r="F1291" s="12"/>
      <c r="G1291" s="12"/>
      <c r="I1291" s="12"/>
      <c r="J1291" s="12"/>
      <c r="K1291" s="12"/>
    </row>
    <row r="1292" spans="6:11" x14ac:dyDescent="0.25">
      <c r="F1292" s="12"/>
      <c r="G1292" s="12"/>
      <c r="I1292" s="12"/>
      <c r="J1292" s="12"/>
      <c r="K1292" s="12"/>
    </row>
    <row r="1293" spans="6:11" x14ac:dyDescent="0.25">
      <c r="F1293" s="12"/>
      <c r="G1293" s="12"/>
      <c r="I1293" s="12"/>
      <c r="J1293" s="12"/>
      <c r="K1293" s="12"/>
    </row>
    <row r="1294" spans="6:11" x14ac:dyDescent="0.25">
      <c r="F1294" s="12"/>
      <c r="G1294" s="12"/>
      <c r="I1294" s="12"/>
      <c r="J1294" s="12"/>
      <c r="K1294" s="12"/>
    </row>
    <row r="1295" spans="6:11" x14ac:dyDescent="0.25">
      <c r="F1295" s="12"/>
      <c r="G1295" s="12"/>
      <c r="I1295" s="12"/>
      <c r="J1295" s="12"/>
      <c r="K1295" s="12"/>
    </row>
    <row r="1296" spans="6:11" x14ac:dyDescent="0.25">
      <c r="F1296" s="12"/>
      <c r="G1296" s="12"/>
      <c r="I1296" s="12"/>
      <c r="J1296" s="12"/>
      <c r="K1296" s="12"/>
    </row>
    <row r="1297" spans="6:11" x14ac:dyDescent="0.25">
      <c r="F1297" s="12"/>
      <c r="G1297" s="12"/>
      <c r="I1297" s="12"/>
      <c r="J1297" s="12"/>
      <c r="K1297" s="12"/>
    </row>
    <row r="1298" spans="6:11" x14ac:dyDescent="0.25">
      <c r="F1298" s="12"/>
      <c r="G1298" s="12"/>
      <c r="I1298" s="12"/>
      <c r="J1298" s="12"/>
      <c r="K1298" s="12"/>
    </row>
    <row r="1299" spans="6:11" x14ac:dyDescent="0.25">
      <c r="F1299" s="12"/>
      <c r="G1299" s="12"/>
      <c r="I1299" s="12"/>
      <c r="J1299" s="12"/>
      <c r="K1299" s="12"/>
    </row>
    <row r="1300" spans="6:11" x14ac:dyDescent="0.25">
      <c r="F1300" s="12"/>
      <c r="G1300" s="12"/>
      <c r="I1300" s="12"/>
      <c r="J1300" s="12"/>
      <c r="K1300" s="12"/>
    </row>
    <row r="1301" spans="6:11" x14ac:dyDescent="0.25">
      <c r="F1301" s="12"/>
      <c r="G1301" s="12"/>
      <c r="I1301" s="12"/>
      <c r="J1301" s="12"/>
      <c r="K1301" s="12"/>
    </row>
    <row r="1302" spans="6:11" x14ac:dyDescent="0.25">
      <c r="F1302" s="12"/>
      <c r="G1302" s="12"/>
      <c r="I1302" s="12"/>
      <c r="J1302" s="12"/>
      <c r="K1302" s="12"/>
    </row>
    <row r="1303" spans="6:11" x14ac:dyDescent="0.25">
      <c r="F1303" s="12"/>
      <c r="G1303" s="12"/>
      <c r="I1303" s="12"/>
      <c r="J1303" s="12"/>
      <c r="K1303" s="12"/>
    </row>
    <row r="1304" spans="6:11" x14ac:dyDescent="0.25">
      <c r="F1304" s="12"/>
      <c r="G1304" s="12"/>
      <c r="I1304" s="12"/>
      <c r="J1304" s="12"/>
      <c r="K1304" s="12"/>
    </row>
    <row r="1305" spans="6:11" x14ac:dyDescent="0.25">
      <c r="F1305" s="12"/>
      <c r="G1305" s="12"/>
      <c r="I1305" s="12"/>
      <c r="J1305" s="12"/>
      <c r="K1305" s="12"/>
    </row>
    <row r="1306" spans="6:11" x14ac:dyDescent="0.25">
      <c r="F1306" s="12"/>
      <c r="G1306" s="12"/>
      <c r="I1306" s="12"/>
      <c r="J1306" s="12"/>
      <c r="K1306" s="12"/>
    </row>
    <row r="1307" spans="6:11" x14ac:dyDescent="0.25">
      <c r="F1307" s="12"/>
      <c r="G1307" s="12"/>
      <c r="I1307" s="12"/>
      <c r="J1307" s="12"/>
      <c r="K1307" s="12"/>
    </row>
    <row r="1308" spans="6:11" x14ac:dyDescent="0.25">
      <c r="F1308" s="12"/>
      <c r="G1308" s="12"/>
      <c r="I1308" s="12"/>
      <c r="J1308" s="12"/>
      <c r="K1308" s="12"/>
    </row>
    <row r="1309" spans="6:11" x14ac:dyDescent="0.25">
      <c r="F1309" s="12"/>
      <c r="G1309" s="12"/>
      <c r="I1309" s="12"/>
      <c r="J1309" s="12"/>
      <c r="K1309" s="12"/>
    </row>
    <row r="1310" spans="6:11" x14ac:dyDescent="0.25">
      <c r="F1310" s="12"/>
      <c r="G1310" s="12"/>
      <c r="I1310" s="12"/>
      <c r="J1310" s="12"/>
      <c r="K1310" s="12"/>
    </row>
    <row r="1311" spans="6:11" x14ac:dyDescent="0.25">
      <c r="F1311" s="12"/>
      <c r="G1311" s="12"/>
      <c r="I1311" s="12"/>
      <c r="J1311" s="12"/>
      <c r="K1311" s="12"/>
    </row>
    <row r="1312" spans="6:11" x14ac:dyDescent="0.25">
      <c r="F1312" s="12"/>
      <c r="G1312" s="12"/>
      <c r="I1312" s="12"/>
      <c r="J1312" s="12"/>
      <c r="K1312" s="12"/>
    </row>
    <row r="1313" spans="6:11" x14ac:dyDescent="0.25">
      <c r="F1313" s="12"/>
      <c r="G1313" s="12"/>
      <c r="I1313" s="12"/>
      <c r="J1313" s="12"/>
      <c r="K1313" s="12"/>
    </row>
    <row r="1314" spans="6:11" x14ac:dyDescent="0.25">
      <c r="F1314" s="12"/>
      <c r="G1314" s="12"/>
      <c r="I1314" s="12"/>
      <c r="J1314" s="12"/>
      <c r="K1314" s="12"/>
    </row>
    <row r="1315" spans="6:11" x14ac:dyDescent="0.25">
      <c r="F1315" s="12"/>
      <c r="G1315" s="12"/>
      <c r="I1315" s="12"/>
      <c r="J1315" s="12"/>
      <c r="K1315" s="12"/>
    </row>
    <row r="1316" spans="6:11" x14ac:dyDescent="0.25">
      <c r="F1316" s="12"/>
      <c r="G1316" s="12"/>
      <c r="I1316" s="12"/>
      <c r="J1316" s="12"/>
      <c r="K1316" s="12"/>
    </row>
    <row r="1317" spans="6:11" x14ac:dyDescent="0.25">
      <c r="F1317" s="12"/>
      <c r="G1317" s="12"/>
      <c r="I1317" s="12"/>
      <c r="J1317" s="12"/>
      <c r="K1317" s="12"/>
    </row>
    <row r="1318" spans="6:11" x14ac:dyDescent="0.25">
      <c r="F1318" s="12"/>
      <c r="G1318" s="12"/>
      <c r="I1318" s="12"/>
      <c r="J1318" s="12"/>
      <c r="K1318" s="12"/>
    </row>
    <row r="1319" spans="6:11" x14ac:dyDescent="0.25">
      <c r="F1319" s="12"/>
      <c r="G1319" s="12"/>
      <c r="I1319" s="12"/>
      <c r="J1319" s="12"/>
      <c r="K1319" s="12"/>
    </row>
    <row r="1320" spans="6:11" x14ac:dyDescent="0.25">
      <c r="F1320" s="12"/>
      <c r="G1320" s="12"/>
      <c r="I1320" s="12"/>
      <c r="J1320" s="12"/>
      <c r="K1320" s="12"/>
    </row>
    <row r="1321" spans="6:11" x14ac:dyDescent="0.25">
      <c r="F1321" s="12"/>
      <c r="G1321" s="12"/>
      <c r="I1321" s="12"/>
      <c r="J1321" s="12"/>
      <c r="K1321" s="12"/>
    </row>
    <row r="1322" spans="6:11" x14ac:dyDescent="0.25">
      <c r="F1322" s="12"/>
      <c r="G1322" s="12"/>
      <c r="I1322" s="12"/>
      <c r="J1322" s="12"/>
      <c r="K1322" s="12"/>
    </row>
    <row r="1323" spans="6:11" x14ac:dyDescent="0.25">
      <c r="F1323" s="12"/>
      <c r="G1323" s="12"/>
      <c r="I1323" s="12"/>
      <c r="J1323" s="12"/>
      <c r="K1323" s="12"/>
    </row>
    <row r="1324" spans="6:11" x14ac:dyDescent="0.25">
      <c r="F1324" s="12"/>
      <c r="G1324" s="12"/>
      <c r="I1324" s="12"/>
      <c r="J1324" s="12"/>
      <c r="K1324" s="12"/>
    </row>
    <row r="1325" spans="6:11" x14ac:dyDescent="0.25">
      <c r="F1325" s="12"/>
      <c r="G1325" s="12"/>
      <c r="I1325" s="12"/>
      <c r="J1325" s="12"/>
      <c r="K1325" s="12"/>
    </row>
    <row r="1326" spans="6:11" x14ac:dyDescent="0.25">
      <c r="F1326" s="12"/>
      <c r="G1326" s="12"/>
      <c r="I1326" s="12"/>
      <c r="J1326" s="12"/>
      <c r="K1326" s="12"/>
    </row>
    <row r="1327" spans="6:11" x14ac:dyDescent="0.25">
      <c r="F1327" s="12"/>
      <c r="G1327" s="12"/>
      <c r="I1327" s="12"/>
      <c r="J1327" s="12"/>
      <c r="K1327" s="12"/>
    </row>
    <row r="1328" spans="6:11" x14ac:dyDescent="0.25">
      <c r="F1328" s="12"/>
      <c r="G1328" s="12"/>
      <c r="I1328" s="12"/>
      <c r="J1328" s="12"/>
      <c r="K1328" s="12"/>
    </row>
    <row r="1329" spans="6:11" x14ac:dyDescent="0.25">
      <c r="F1329" s="12"/>
      <c r="G1329" s="12"/>
      <c r="I1329" s="12"/>
      <c r="J1329" s="12"/>
      <c r="K1329" s="12"/>
    </row>
    <row r="1330" spans="6:11" x14ac:dyDescent="0.25">
      <c r="F1330" s="12"/>
      <c r="G1330" s="12"/>
      <c r="I1330" s="12"/>
      <c r="J1330" s="12"/>
      <c r="K1330" s="12"/>
    </row>
    <row r="1331" spans="6:11" x14ac:dyDescent="0.25">
      <c r="F1331" s="12"/>
      <c r="G1331" s="12"/>
      <c r="I1331" s="12"/>
      <c r="J1331" s="12"/>
      <c r="K1331" s="12"/>
    </row>
    <row r="1332" spans="6:11" x14ac:dyDescent="0.25">
      <c r="F1332" s="12"/>
      <c r="G1332" s="12"/>
      <c r="I1332" s="12"/>
      <c r="J1332" s="12"/>
      <c r="K1332" s="12"/>
    </row>
    <row r="1333" spans="6:11" x14ac:dyDescent="0.25">
      <c r="F1333" s="12"/>
      <c r="G1333" s="12"/>
      <c r="I1333" s="12"/>
      <c r="J1333" s="12"/>
      <c r="K1333" s="12"/>
    </row>
    <row r="1334" spans="6:11" x14ac:dyDescent="0.25">
      <c r="F1334" s="12"/>
      <c r="G1334" s="12"/>
      <c r="I1334" s="12"/>
      <c r="J1334" s="12"/>
      <c r="K1334" s="12"/>
    </row>
    <row r="1335" spans="6:11" x14ac:dyDescent="0.25">
      <c r="F1335" s="12"/>
      <c r="G1335" s="12"/>
      <c r="I1335" s="12"/>
      <c r="J1335" s="12"/>
      <c r="K1335" s="12"/>
    </row>
    <row r="1336" spans="6:11" x14ac:dyDescent="0.25">
      <c r="F1336" s="12"/>
      <c r="G1336" s="12"/>
      <c r="I1336" s="12"/>
      <c r="J1336" s="12"/>
      <c r="K1336" s="12"/>
    </row>
    <row r="1337" spans="6:11" x14ac:dyDescent="0.25">
      <c r="F1337" s="12"/>
      <c r="G1337" s="12"/>
      <c r="I1337" s="12"/>
      <c r="J1337" s="12"/>
      <c r="K1337" s="12"/>
    </row>
    <row r="1338" spans="6:11" x14ac:dyDescent="0.25">
      <c r="F1338" s="12"/>
      <c r="G1338" s="12"/>
      <c r="I1338" s="12"/>
      <c r="J1338" s="12"/>
      <c r="K1338" s="12"/>
    </row>
    <row r="1339" spans="6:11" x14ac:dyDescent="0.25">
      <c r="F1339" s="12"/>
      <c r="G1339" s="12"/>
      <c r="I1339" s="12"/>
      <c r="J1339" s="12"/>
      <c r="K1339" s="12"/>
    </row>
    <row r="1340" spans="6:11" x14ac:dyDescent="0.25">
      <c r="F1340" s="12"/>
      <c r="G1340" s="12"/>
      <c r="I1340" s="12"/>
      <c r="J1340" s="12"/>
      <c r="K1340" s="12"/>
    </row>
    <row r="1341" spans="6:11" x14ac:dyDescent="0.25">
      <c r="F1341" s="12"/>
      <c r="G1341" s="12"/>
      <c r="I1341" s="12"/>
      <c r="J1341" s="12"/>
      <c r="K1341" s="12"/>
    </row>
    <row r="1342" spans="6:11" x14ac:dyDescent="0.25">
      <c r="F1342" s="12"/>
      <c r="G1342" s="12"/>
      <c r="I1342" s="12"/>
      <c r="J1342" s="12"/>
      <c r="K1342" s="12"/>
    </row>
    <row r="1343" spans="6:11" x14ac:dyDescent="0.25">
      <c r="F1343" s="12"/>
      <c r="G1343" s="12"/>
      <c r="I1343" s="12"/>
      <c r="J1343" s="12"/>
      <c r="K1343" s="12"/>
    </row>
    <row r="1344" spans="6:11" x14ac:dyDescent="0.25">
      <c r="F1344" s="12"/>
      <c r="G1344" s="12"/>
      <c r="I1344" s="12"/>
      <c r="J1344" s="12"/>
      <c r="K1344" s="12"/>
    </row>
    <row r="1345" spans="6:11" x14ac:dyDescent="0.25">
      <c r="F1345" s="12"/>
      <c r="G1345" s="12"/>
      <c r="I1345" s="12"/>
      <c r="J1345" s="12"/>
      <c r="K1345" s="12"/>
    </row>
    <row r="1346" spans="6:11" x14ac:dyDescent="0.25">
      <c r="F1346" s="12"/>
      <c r="G1346" s="12"/>
      <c r="I1346" s="12"/>
      <c r="J1346" s="12"/>
      <c r="K1346" s="12"/>
    </row>
    <row r="1347" spans="6:11" x14ac:dyDescent="0.25">
      <c r="F1347" s="12"/>
      <c r="G1347" s="12"/>
      <c r="I1347" s="12"/>
      <c r="J1347" s="12"/>
      <c r="K1347" s="12"/>
    </row>
    <row r="1348" spans="6:11" x14ac:dyDescent="0.25">
      <c r="F1348" s="12"/>
      <c r="G1348" s="12"/>
      <c r="I1348" s="12"/>
      <c r="J1348" s="12"/>
      <c r="K1348" s="12"/>
    </row>
    <row r="1349" spans="6:11" x14ac:dyDescent="0.25">
      <c r="F1349" s="12"/>
      <c r="G1349" s="12"/>
      <c r="I1349" s="12"/>
      <c r="J1349" s="12"/>
      <c r="K1349" s="12"/>
    </row>
    <row r="1350" spans="6:11" x14ac:dyDescent="0.25">
      <c r="F1350" s="12"/>
      <c r="G1350" s="12"/>
      <c r="I1350" s="12"/>
      <c r="J1350" s="12"/>
      <c r="K1350" s="12"/>
    </row>
    <row r="1351" spans="6:11" x14ac:dyDescent="0.25">
      <c r="F1351" s="12"/>
      <c r="G1351" s="12"/>
      <c r="I1351" s="12"/>
      <c r="J1351" s="12"/>
      <c r="K1351" s="12"/>
    </row>
    <row r="1352" spans="6:11" x14ac:dyDescent="0.25">
      <c r="F1352" s="12"/>
      <c r="G1352" s="12"/>
      <c r="I1352" s="12"/>
      <c r="J1352" s="12"/>
      <c r="K1352" s="12"/>
    </row>
    <row r="1353" spans="6:11" x14ac:dyDescent="0.25">
      <c r="F1353" s="12"/>
      <c r="G1353" s="12"/>
      <c r="I1353" s="12"/>
      <c r="J1353" s="12"/>
      <c r="K1353" s="12"/>
    </row>
    <row r="1354" spans="6:11" x14ac:dyDescent="0.25">
      <c r="F1354" s="12"/>
      <c r="G1354" s="12"/>
      <c r="I1354" s="12"/>
      <c r="J1354" s="12"/>
      <c r="K1354" s="12"/>
    </row>
    <row r="1355" spans="6:11" x14ac:dyDescent="0.25">
      <c r="F1355" s="12"/>
      <c r="G1355" s="12"/>
      <c r="I1355" s="12"/>
      <c r="J1355" s="12"/>
      <c r="K1355" s="12"/>
    </row>
    <row r="1356" spans="6:11" x14ac:dyDescent="0.25">
      <c r="F1356" s="12"/>
      <c r="G1356" s="12"/>
      <c r="I1356" s="12"/>
      <c r="J1356" s="12"/>
      <c r="K1356" s="12"/>
    </row>
    <row r="1357" spans="6:11" x14ac:dyDescent="0.25">
      <c r="F1357" s="12"/>
      <c r="G1357" s="12"/>
      <c r="I1357" s="12"/>
      <c r="J1357" s="12"/>
      <c r="K1357" s="12"/>
    </row>
    <row r="1358" spans="6:11" x14ac:dyDescent="0.25">
      <c r="F1358" s="12"/>
      <c r="G1358" s="12"/>
      <c r="I1358" s="12"/>
      <c r="J1358" s="12"/>
      <c r="K1358" s="12"/>
    </row>
    <row r="1359" spans="6:11" x14ac:dyDescent="0.25">
      <c r="F1359" s="12"/>
      <c r="G1359" s="12"/>
      <c r="I1359" s="12"/>
      <c r="J1359" s="12"/>
      <c r="K1359" s="12"/>
    </row>
    <row r="1360" spans="6:11" x14ac:dyDescent="0.25">
      <c r="F1360" s="12"/>
      <c r="G1360" s="12"/>
      <c r="I1360" s="12"/>
      <c r="J1360" s="12"/>
      <c r="K1360" s="12"/>
    </row>
    <row r="1361" spans="6:11" x14ac:dyDescent="0.25">
      <c r="F1361" s="12"/>
      <c r="G1361" s="12"/>
      <c r="I1361" s="12"/>
      <c r="J1361" s="12"/>
      <c r="K1361" s="12"/>
    </row>
    <row r="1362" spans="6:11" x14ac:dyDescent="0.25">
      <c r="F1362" s="12"/>
      <c r="G1362" s="12"/>
      <c r="I1362" s="12"/>
      <c r="J1362" s="12"/>
      <c r="K1362" s="12"/>
    </row>
    <row r="1363" spans="6:11" x14ac:dyDescent="0.25">
      <c r="F1363" s="12"/>
      <c r="G1363" s="12"/>
      <c r="I1363" s="12"/>
      <c r="J1363" s="12"/>
      <c r="K1363" s="12"/>
    </row>
    <row r="1364" spans="6:11" x14ac:dyDescent="0.25">
      <c r="F1364" s="12"/>
      <c r="G1364" s="12"/>
      <c r="I1364" s="12"/>
      <c r="J1364" s="12"/>
      <c r="K1364" s="12"/>
    </row>
    <row r="1365" spans="6:11" x14ac:dyDescent="0.25">
      <c r="F1365" s="12"/>
      <c r="G1365" s="12"/>
      <c r="I1365" s="12"/>
      <c r="J1365" s="12"/>
      <c r="K1365" s="12"/>
    </row>
    <row r="1366" spans="6:11" x14ac:dyDescent="0.25">
      <c r="F1366" s="12"/>
      <c r="G1366" s="12"/>
      <c r="I1366" s="12"/>
      <c r="J1366" s="12"/>
      <c r="K1366" s="12"/>
    </row>
    <row r="1367" spans="6:11" x14ac:dyDescent="0.25">
      <c r="F1367" s="12"/>
      <c r="G1367" s="12"/>
      <c r="I1367" s="12"/>
      <c r="J1367" s="12"/>
      <c r="K1367" s="12"/>
    </row>
    <row r="1368" spans="6:11" x14ac:dyDescent="0.25">
      <c r="F1368" s="12"/>
      <c r="G1368" s="12"/>
      <c r="I1368" s="12"/>
      <c r="J1368" s="12"/>
      <c r="K1368" s="12"/>
    </row>
    <row r="1369" spans="6:11" x14ac:dyDescent="0.25">
      <c r="F1369" s="12"/>
      <c r="G1369" s="12"/>
      <c r="I1369" s="12"/>
      <c r="J1369" s="12"/>
      <c r="K1369" s="12"/>
    </row>
    <row r="1370" spans="6:11" x14ac:dyDescent="0.25">
      <c r="F1370" s="12"/>
      <c r="G1370" s="12"/>
      <c r="I1370" s="12"/>
      <c r="J1370" s="12"/>
      <c r="K1370" s="12"/>
    </row>
    <row r="1371" spans="6:11" x14ac:dyDescent="0.25">
      <c r="F1371" s="12"/>
      <c r="G1371" s="12"/>
      <c r="I1371" s="12"/>
      <c r="J1371" s="12"/>
      <c r="K1371" s="12"/>
    </row>
    <row r="1372" spans="6:11" x14ac:dyDescent="0.25">
      <c r="F1372" s="12"/>
      <c r="G1372" s="12"/>
      <c r="I1372" s="12"/>
      <c r="J1372" s="12"/>
      <c r="K1372" s="12"/>
    </row>
    <row r="1373" spans="6:11" x14ac:dyDescent="0.25">
      <c r="F1373" s="12"/>
      <c r="G1373" s="12"/>
      <c r="I1373" s="12"/>
      <c r="J1373" s="12"/>
      <c r="K1373" s="12"/>
    </row>
    <row r="1374" spans="6:11" x14ac:dyDescent="0.25">
      <c r="F1374" s="12"/>
      <c r="G1374" s="12"/>
      <c r="I1374" s="12"/>
      <c r="J1374" s="12"/>
      <c r="K1374" s="12"/>
    </row>
    <row r="1375" spans="6:11" x14ac:dyDescent="0.25">
      <c r="F1375" s="12"/>
      <c r="G1375" s="12"/>
      <c r="I1375" s="12"/>
      <c r="J1375" s="12"/>
      <c r="K1375" s="12"/>
    </row>
    <row r="1376" spans="6:11" x14ac:dyDescent="0.25">
      <c r="F1376" s="12"/>
      <c r="G1376" s="12"/>
      <c r="I1376" s="12"/>
      <c r="J1376" s="12"/>
      <c r="K1376" s="12"/>
    </row>
    <row r="1377" spans="6:11" x14ac:dyDescent="0.25">
      <c r="F1377" s="12"/>
      <c r="G1377" s="12"/>
      <c r="I1377" s="12"/>
      <c r="J1377" s="12"/>
      <c r="K1377" s="12"/>
    </row>
    <row r="1378" spans="6:11" x14ac:dyDescent="0.25">
      <c r="F1378" s="12"/>
      <c r="G1378" s="12"/>
      <c r="I1378" s="12"/>
      <c r="J1378" s="12"/>
      <c r="K1378" s="12"/>
    </row>
    <row r="1379" spans="6:11" x14ac:dyDescent="0.25">
      <c r="F1379" s="12"/>
      <c r="G1379" s="12"/>
      <c r="I1379" s="12"/>
      <c r="J1379" s="12"/>
      <c r="K1379" s="12"/>
    </row>
    <row r="1380" spans="6:11" x14ac:dyDescent="0.25">
      <c r="F1380" s="12"/>
      <c r="G1380" s="12"/>
      <c r="I1380" s="12"/>
      <c r="J1380" s="12"/>
      <c r="K1380" s="12"/>
    </row>
    <row r="1381" spans="6:11" x14ac:dyDescent="0.25">
      <c r="F1381" s="12"/>
      <c r="G1381" s="12"/>
      <c r="I1381" s="12"/>
      <c r="J1381" s="12"/>
      <c r="K1381" s="12"/>
    </row>
    <row r="1382" spans="6:11" x14ac:dyDescent="0.25">
      <c r="F1382" s="12"/>
      <c r="G1382" s="12"/>
      <c r="I1382" s="12"/>
      <c r="J1382" s="12"/>
      <c r="K1382" s="12"/>
    </row>
    <row r="1383" spans="6:11" x14ac:dyDescent="0.25">
      <c r="F1383" s="12"/>
      <c r="G1383" s="12"/>
      <c r="I1383" s="12"/>
      <c r="J1383" s="12"/>
      <c r="K1383" s="12"/>
    </row>
    <row r="1384" spans="6:11" x14ac:dyDescent="0.25">
      <c r="F1384" s="12"/>
      <c r="G1384" s="12"/>
      <c r="I1384" s="12"/>
      <c r="J1384" s="12"/>
      <c r="K1384" s="12"/>
    </row>
    <row r="1385" spans="6:11" x14ac:dyDescent="0.25">
      <c r="F1385" s="12"/>
      <c r="G1385" s="12"/>
      <c r="I1385" s="12"/>
      <c r="J1385" s="12"/>
      <c r="K1385" s="12"/>
    </row>
    <row r="1386" spans="6:11" x14ac:dyDescent="0.25">
      <c r="F1386" s="12"/>
      <c r="G1386" s="12"/>
      <c r="I1386" s="12"/>
      <c r="J1386" s="12"/>
      <c r="K1386" s="12"/>
    </row>
    <row r="1387" spans="6:11" x14ac:dyDescent="0.25">
      <c r="F1387" s="12"/>
      <c r="G1387" s="12"/>
      <c r="I1387" s="12"/>
      <c r="J1387" s="12"/>
      <c r="K1387" s="12"/>
    </row>
    <row r="1388" spans="6:11" x14ac:dyDescent="0.25">
      <c r="F1388" s="12"/>
      <c r="G1388" s="12"/>
      <c r="I1388" s="12"/>
      <c r="J1388" s="12"/>
      <c r="K1388" s="12"/>
    </row>
    <row r="1389" spans="6:11" x14ac:dyDescent="0.25">
      <c r="F1389" s="12"/>
      <c r="G1389" s="12"/>
      <c r="I1389" s="12"/>
      <c r="J1389" s="12"/>
      <c r="K1389" s="12"/>
    </row>
    <row r="1390" spans="6:11" x14ac:dyDescent="0.25">
      <c r="F1390" s="12"/>
      <c r="G1390" s="12"/>
      <c r="I1390" s="12"/>
      <c r="J1390" s="12"/>
      <c r="K1390" s="12"/>
    </row>
    <row r="1391" spans="6:11" x14ac:dyDescent="0.25">
      <c r="F1391" s="12"/>
      <c r="G1391" s="12"/>
      <c r="I1391" s="12"/>
      <c r="J1391" s="12"/>
      <c r="K1391" s="12"/>
    </row>
    <row r="1392" spans="6:11" x14ac:dyDescent="0.25">
      <c r="F1392" s="12"/>
      <c r="G1392" s="12"/>
      <c r="I1392" s="12"/>
      <c r="J1392" s="12"/>
      <c r="K1392" s="12"/>
    </row>
    <row r="1393" spans="6:11" x14ac:dyDescent="0.25">
      <c r="F1393" s="12"/>
      <c r="G1393" s="12"/>
      <c r="I1393" s="12"/>
      <c r="J1393" s="12"/>
      <c r="K1393" s="12"/>
    </row>
    <row r="1394" spans="6:11" x14ac:dyDescent="0.25">
      <c r="F1394" s="12"/>
      <c r="G1394" s="12"/>
      <c r="I1394" s="12"/>
      <c r="J1394" s="12"/>
      <c r="K1394" s="12"/>
    </row>
    <row r="1395" spans="6:11" x14ac:dyDescent="0.25">
      <c r="F1395" s="12"/>
      <c r="G1395" s="12"/>
      <c r="I1395" s="12"/>
      <c r="J1395" s="12"/>
      <c r="K1395" s="12"/>
    </row>
    <row r="1396" spans="6:11" x14ac:dyDescent="0.25">
      <c r="F1396" s="12"/>
      <c r="G1396" s="12"/>
      <c r="I1396" s="12"/>
      <c r="J1396" s="12"/>
      <c r="K1396" s="12"/>
    </row>
    <row r="1397" spans="6:11" x14ac:dyDescent="0.25">
      <c r="F1397" s="12"/>
      <c r="G1397" s="12"/>
      <c r="I1397" s="12"/>
      <c r="J1397" s="12"/>
      <c r="K1397" s="12"/>
    </row>
    <row r="1398" spans="6:11" x14ac:dyDescent="0.25">
      <c r="F1398" s="12"/>
      <c r="G1398" s="12"/>
      <c r="I1398" s="12"/>
      <c r="J1398" s="12"/>
      <c r="K1398" s="12"/>
    </row>
    <row r="1399" spans="6:11" x14ac:dyDescent="0.25">
      <c r="F1399" s="12"/>
      <c r="G1399" s="12"/>
      <c r="I1399" s="12"/>
      <c r="J1399" s="12"/>
      <c r="K1399" s="12"/>
    </row>
    <row r="1400" spans="6:11" x14ac:dyDescent="0.25">
      <c r="F1400" s="12"/>
      <c r="G1400" s="12"/>
      <c r="I1400" s="12"/>
      <c r="J1400" s="12"/>
      <c r="K1400" s="12"/>
    </row>
    <row r="1401" spans="6:11" x14ac:dyDescent="0.25">
      <c r="F1401" s="12"/>
      <c r="G1401" s="12"/>
      <c r="I1401" s="12"/>
      <c r="J1401" s="12"/>
      <c r="K1401" s="12"/>
    </row>
    <row r="1402" spans="6:11" x14ac:dyDescent="0.25">
      <c r="F1402" s="12"/>
      <c r="G1402" s="12"/>
      <c r="I1402" s="12"/>
      <c r="J1402" s="12"/>
      <c r="K1402" s="12"/>
    </row>
    <row r="1403" spans="6:11" x14ac:dyDescent="0.25">
      <c r="F1403" s="12"/>
      <c r="G1403" s="12"/>
      <c r="I1403" s="12"/>
      <c r="J1403" s="12"/>
      <c r="K1403" s="12"/>
    </row>
    <row r="1404" spans="6:11" x14ac:dyDescent="0.25">
      <c r="F1404" s="12"/>
      <c r="G1404" s="12"/>
      <c r="I1404" s="12"/>
      <c r="J1404" s="12"/>
      <c r="K1404" s="12"/>
    </row>
    <row r="1405" spans="6:11" x14ac:dyDescent="0.25">
      <c r="F1405" s="12"/>
      <c r="G1405" s="12"/>
      <c r="I1405" s="12"/>
      <c r="J1405" s="12"/>
      <c r="K1405" s="12"/>
    </row>
    <row r="1406" spans="6:11" x14ac:dyDescent="0.25">
      <c r="F1406" s="12"/>
      <c r="G1406" s="12"/>
      <c r="I1406" s="12"/>
      <c r="J1406" s="12"/>
      <c r="K1406" s="12"/>
    </row>
    <row r="1407" spans="6:11" x14ac:dyDescent="0.25">
      <c r="F1407" s="12"/>
      <c r="G1407" s="12"/>
      <c r="I1407" s="12"/>
      <c r="J1407" s="12"/>
      <c r="K1407" s="12"/>
    </row>
    <row r="1408" spans="6:11" x14ac:dyDescent="0.25">
      <c r="F1408" s="12"/>
      <c r="G1408" s="12"/>
      <c r="I1408" s="12"/>
      <c r="J1408" s="12"/>
      <c r="K1408" s="12"/>
    </row>
    <row r="1409" spans="6:11" x14ac:dyDescent="0.25">
      <c r="F1409" s="12"/>
      <c r="G1409" s="12"/>
      <c r="I1409" s="12"/>
      <c r="J1409" s="12"/>
      <c r="K1409" s="12"/>
    </row>
    <row r="1410" spans="6:11" x14ac:dyDescent="0.25">
      <c r="F1410" s="12"/>
      <c r="G1410" s="12"/>
      <c r="I1410" s="12"/>
      <c r="J1410" s="12"/>
      <c r="K1410" s="12"/>
    </row>
    <row r="1411" spans="6:11" x14ac:dyDescent="0.25">
      <c r="F1411" s="12"/>
      <c r="G1411" s="12"/>
      <c r="I1411" s="12"/>
      <c r="J1411" s="12"/>
      <c r="K1411" s="12"/>
    </row>
    <row r="1412" spans="6:11" x14ac:dyDescent="0.25">
      <c r="F1412" s="12"/>
      <c r="G1412" s="12"/>
      <c r="I1412" s="12"/>
      <c r="J1412" s="12"/>
      <c r="K1412" s="12"/>
    </row>
    <row r="1413" spans="6:11" x14ac:dyDescent="0.25">
      <c r="F1413" s="12"/>
      <c r="G1413" s="12"/>
      <c r="I1413" s="12"/>
      <c r="J1413" s="12"/>
      <c r="K1413" s="12"/>
    </row>
    <row r="1414" spans="6:11" x14ac:dyDescent="0.25">
      <c r="F1414" s="12"/>
      <c r="G1414" s="12"/>
      <c r="I1414" s="12"/>
      <c r="J1414" s="12"/>
      <c r="K1414" s="12"/>
    </row>
    <row r="1415" spans="6:11" x14ac:dyDescent="0.25">
      <c r="F1415" s="12"/>
      <c r="G1415" s="12"/>
      <c r="I1415" s="12"/>
      <c r="J1415" s="12"/>
      <c r="K1415" s="12"/>
    </row>
    <row r="1416" spans="6:11" x14ac:dyDescent="0.25">
      <c r="F1416" s="12"/>
      <c r="G1416" s="12"/>
      <c r="I1416" s="12"/>
      <c r="J1416" s="12"/>
      <c r="K1416" s="12"/>
    </row>
    <row r="1417" spans="6:11" x14ac:dyDescent="0.25">
      <c r="F1417" s="12"/>
      <c r="G1417" s="12"/>
      <c r="I1417" s="12"/>
      <c r="J1417" s="12"/>
      <c r="K1417" s="12"/>
    </row>
    <row r="1418" spans="6:11" x14ac:dyDescent="0.25">
      <c r="F1418" s="12"/>
      <c r="G1418" s="12"/>
      <c r="I1418" s="12"/>
      <c r="J1418" s="12"/>
      <c r="K1418" s="12"/>
    </row>
    <row r="1419" spans="6:11" x14ac:dyDescent="0.25">
      <c r="F1419" s="12"/>
      <c r="G1419" s="12"/>
      <c r="I1419" s="12"/>
      <c r="J1419" s="12"/>
      <c r="K1419" s="12"/>
    </row>
    <row r="1420" spans="6:11" x14ac:dyDescent="0.25">
      <c r="F1420" s="12"/>
      <c r="G1420" s="12"/>
      <c r="I1420" s="12"/>
      <c r="J1420" s="12"/>
      <c r="K1420" s="12"/>
    </row>
    <row r="1421" spans="6:11" x14ac:dyDescent="0.25">
      <c r="F1421" s="12"/>
      <c r="G1421" s="12"/>
      <c r="I1421" s="12"/>
      <c r="J1421" s="12"/>
      <c r="K1421" s="12"/>
    </row>
    <row r="1422" spans="6:11" x14ac:dyDescent="0.25">
      <c r="F1422" s="12"/>
      <c r="G1422" s="12"/>
      <c r="I1422" s="12"/>
      <c r="J1422" s="12"/>
      <c r="K1422" s="12"/>
    </row>
    <row r="1423" spans="6:11" x14ac:dyDescent="0.25">
      <c r="F1423" s="12"/>
      <c r="G1423" s="12"/>
      <c r="I1423" s="12"/>
      <c r="J1423" s="12"/>
      <c r="K1423" s="12"/>
    </row>
    <row r="1424" spans="6:11" x14ac:dyDescent="0.25">
      <c r="F1424" s="12"/>
      <c r="G1424" s="12"/>
      <c r="I1424" s="12"/>
      <c r="J1424" s="12"/>
      <c r="K1424" s="12"/>
    </row>
    <row r="1425" spans="6:11" x14ac:dyDescent="0.25">
      <c r="F1425" s="12"/>
      <c r="G1425" s="12"/>
      <c r="I1425" s="12"/>
      <c r="J1425" s="12"/>
      <c r="K1425" s="12"/>
    </row>
    <row r="1426" spans="6:11" x14ac:dyDescent="0.25">
      <c r="F1426" s="12"/>
      <c r="G1426" s="12"/>
      <c r="I1426" s="12"/>
      <c r="J1426" s="12"/>
      <c r="K1426" s="12"/>
    </row>
    <row r="1427" spans="6:11" x14ac:dyDescent="0.25">
      <c r="F1427" s="12"/>
      <c r="G1427" s="12"/>
      <c r="I1427" s="12"/>
      <c r="J1427" s="12"/>
      <c r="K1427" s="12"/>
    </row>
    <row r="1428" spans="6:11" x14ac:dyDescent="0.25">
      <c r="F1428" s="12"/>
      <c r="G1428" s="12"/>
      <c r="I1428" s="12"/>
      <c r="J1428" s="12"/>
      <c r="K1428" s="12"/>
    </row>
    <row r="1429" spans="6:11" x14ac:dyDescent="0.25">
      <c r="F1429" s="12"/>
      <c r="G1429" s="12"/>
      <c r="I1429" s="12"/>
      <c r="J1429" s="12"/>
      <c r="K1429" s="12"/>
    </row>
    <row r="1430" spans="6:11" x14ac:dyDescent="0.25">
      <c r="F1430" s="12"/>
      <c r="G1430" s="12"/>
      <c r="I1430" s="12"/>
      <c r="J1430" s="12"/>
      <c r="K1430" s="12"/>
    </row>
    <row r="1431" spans="6:11" x14ac:dyDescent="0.25">
      <c r="F1431" s="12"/>
      <c r="G1431" s="12"/>
      <c r="I1431" s="12"/>
      <c r="J1431" s="12"/>
      <c r="K1431" s="12"/>
    </row>
    <row r="1432" spans="6:11" x14ac:dyDescent="0.25">
      <c r="F1432" s="12"/>
      <c r="G1432" s="12"/>
      <c r="I1432" s="12"/>
      <c r="J1432" s="12"/>
      <c r="K1432" s="12"/>
    </row>
    <row r="1433" spans="6:11" x14ac:dyDescent="0.25">
      <c r="F1433" s="12"/>
      <c r="G1433" s="12"/>
      <c r="I1433" s="12"/>
      <c r="J1433" s="12"/>
      <c r="K1433" s="12"/>
    </row>
    <row r="1434" spans="6:11" x14ac:dyDescent="0.25">
      <c r="F1434" s="12"/>
      <c r="G1434" s="12"/>
      <c r="I1434" s="12"/>
      <c r="J1434" s="12"/>
      <c r="K1434" s="12"/>
    </row>
    <row r="1435" spans="6:11" x14ac:dyDescent="0.25">
      <c r="F1435" s="12"/>
      <c r="G1435" s="12"/>
      <c r="I1435" s="12"/>
      <c r="J1435" s="12"/>
      <c r="K1435" s="12"/>
    </row>
    <row r="1436" spans="6:11" x14ac:dyDescent="0.25">
      <c r="F1436" s="12"/>
      <c r="G1436" s="12"/>
      <c r="I1436" s="12"/>
      <c r="J1436" s="12"/>
      <c r="K1436" s="12"/>
    </row>
    <row r="1437" spans="6:11" x14ac:dyDescent="0.25">
      <c r="F1437" s="12"/>
      <c r="G1437" s="12"/>
      <c r="I1437" s="12"/>
      <c r="J1437" s="12"/>
      <c r="K1437" s="12"/>
    </row>
    <row r="1438" spans="6:11" x14ac:dyDescent="0.25">
      <c r="F1438" s="12"/>
      <c r="G1438" s="12"/>
      <c r="I1438" s="12"/>
      <c r="J1438" s="12"/>
      <c r="K1438" s="12"/>
    </row>
    <row r="1439" spans="6:11" x14ac:dyDescent="0.25">
      <c r="F1439" s="12"/>
      <c r="G1439" s="12"/>
      <c r="I1439" s="12"/>
      <c r="J1439" s="12"/>
      <c r="K1439" s="12"/>
    </row>
    <row r="1440" spans="6:11" x14ac:dyDescent="0.25">
      <c r="F1440" s="12"/>
      <c r="G1440" s="12"/>
      <c r="I1440" s="12"/>
      <c r="J1440" s="12"/>
      <c r="K1440" s="12"/>
    </row>
    <row r="1441" spans="6:11" x14ac:dyDescent="0.25">
      <c r="F1441" s="12"/>
      <c r="G1441" s="12"/>
      <c r="I1441" s="12"/>
      <c r="J1441" s="12"/>
      <c r="K1441" s="12"/>
    </row>
    <row r="1442" spans="6:11" x14ac:dyDescent="0.25">
      <c r="F1442" s="12"/>
      <c r="G1442" s="12"/>
      <c r="I1442" s="12"/>
      <c r="J1442" s="12"/>
      <c r="K1442" s="12"/>
    </row>
    <row r="1443" spans="6:11" x14ac:dyDescent="0.25">
      <c r="F1443" s="12"/>
      <c r="G1443" s="12"/>
      <c r="I1443" s="12"/>
      <c r="J1443" s="12"/>
      <c r="K1443" s="12"/>
    </row>
    <row r="1444" spans="6:11" x14ac:dyDescent="0.25">
      <c r="F1444" s="12"/>
      <c r="G1444" s="12"/>
      <c r="I1444" s="12"/>
      <c r="J1444" s="12"/>
      <c r="K1444" s="12"/>
    </row>
    <row r="1445" spans="6:11" x14ac:dyDescent="0.25">
      <c r="F1445" s="12"/>
      <c r="G1445" s="12"/>
      <c r="I1445" s="12"/>
      <c r="J1445" s="12"/>
      <c r="K1445" s="12"/>
    </row>
    <row r="1446" spans="6:11" x14ac:dyDescent="0.25">
      <c r="F1446" s="12"/>
      <c r="G1446" s="12"/>
      <c r="I1446" s="12"/>
      <c r="J1446" s="12"/>
      <c r="K1446" s="12"/>
    </row>
    <row r="1447" spans="6:11" x14ac:dyDescent="0.25">
      <c r="F1447" s="12"/>
      <c r="G1447" s="12"/>
      <c r="I1447" s="12"/>
      <c r="J1447" s="12"/>
      <c r="K1447" s="12"/>
    </row>
    <row r="1448" spans="6:11" x14ac:dyDescent="0.25">
      <c r="F1448" s="12"/>
      <c r="G1448" s="12"/>
      <c r="I1448" s="12"/>
      <c r="J1448" s="12"/>
      <c r="K1448" s="12"/>
    </row>
    <row r="1449" spans="6:11" x14ac:dyDescent="0.25">
      <c r="F1449" s="12"/>
      <c r="G1449" s="12"/>
      <c r="I1449" s="12"/>
      <c r="J1449" s="12"/>
      <c r="K1449" s="12"/>
    </row>
    <row r="1450" spans="6:11" x14ac:dyDescent="0.25">
      <c r="F1450" s="12"/>
      <c r="G1450" s="12"/>
      <c r="I1450" s="12"/>
      <c r="J1450" s="12"/>
      <c r="K1450" s="12"/>
    </row>
    <row r="1451" spans="6:11" x14ac:dyDescent="0.25">
      <c r="F1451" s="12"/>
      <c r="G1451" s="12"/>
      <c r="I1451" s="12"/>
      <c r="J1451" s="12"/>
      <c r="K1451" s="12"/>
    </row>
    <row r="1452" spans="6:11" x14ac:dyDescent="0.25">
      <c r="F1452" s="12"/>
      <c r="G1452" s="12"/>
      <c r="I1452" s="12"/>
      <c r="J1452" s="12"/>
      <c r="K1452" s="12"/>
    </row>
    <row r="1453" spans="6:11" x14ac:dyDescent="0.25">
      <c r="F1453" s="12"/>
      <c r="G1453" s="12"/>
      <c r="I1453" s="12"/>
      <c r="J1453" s="12"/>
      <c r="K1453" s="12"/>
    </row>
    <row r="1454" spans="6:11" x14ac:dyDescent="0.25">
      <c r="F1454" s="12"/>
      <c r="G1454" s="12"/>
      <c r="I1454" s="12"/>
      <c r="J1454" s="12"/>
      <c r="K1454" s="12"/>
    </row>
    <row r="1455" spans="6:11" x14ac:dyDescent="0.25">
      <c r="F1455" s="12"/>
      <c r="G1455" s="12"/>
      <c r="I1455" s="12"/>
      <c r="J1455" s="12"/>
      <c r="K1455" s="12"/>
    </row>
    <row r="1456" spans="6:11" x14ac:dyDescent="0.25">
      <c r="F1456" s="12"/>
      <c r="G1456" s="12"/>
      <c r="I1456" s="12"/>
      <c r="J1456" s="12"/>
      <c r="K1456" s="12"/>
    </row>
    <row r="1457" spans="6:11" x14ac:dyDescent="0.25">
      <c r="F1457" s="12"/>
      <c r="G1457" s="12"/>
      <c r="I1457" s="12"/>
      <c r="J1457" s="12"/>
      <c r="K1457" s="12"/>
    </row>
    <row r="1458" spans="6:11" x14ac:dyDescent="0.25">
      <c r="F1458" s="12"/>
      <c r="G1458" s="12"/>
      <c r="I1458" s="12"/>
      <c r="J1458" s="12"/>
      <c r="K1458" s="12"/>
    </row>
    <row r="1459" spans="6:11" x14ac:dyDescent="0.25">
      <c r="F1459" s="12"/>
      <c r="G1459" s="12"/>
      <c r="I1459" s="12"/>
      <c r="J1459" s="12"/>
      <c r="K1459" s="12"/>
    </row>
    <row r="1460" spans="6:11" x14ac:dyDescent="0.25">
      <c r="F1460" s="12"/>
      <c r="G1460" s="12"/>
      <c r="I1460" s="12"/>
      <c r="J1460" s="12"/>
      <c r="K1460" s="12"/>
    </row>
    <row r="1461" spans="6:11" x14ac:dyDescent="0.25">
      <c r="F1461" s="12"/>
      <c r="G1461" s="12"/>
      <c r="I1461" s="12"/>
      <c r="J1461" s="12"/>
      <c r="K1461" s="12"/>
    </row>
    <row r="1462" spans="6:11" x14ac:dyDescent="0.25">
      <c r="F1462" s="12"/>
      <c r="G1462" s="12"/>
      <c r="I1462" s="12"/>
      <c r="J1462" s="12"/>
      <c r="K1462" s="12"/>
    </row>
    <row r="1463" spans="6:11" x14ac:dyDescent="0.25">
      <c r="F1463" s="12"/>
      <c r="G1463" s="12"/>
      <c r="I1463" s="12"/>
      <c r="J1463" s="12"/>
      <c r="K1463" s="12"/>
    </row>
    <row r="1464" spans="6:11" x14ac:dyDescent="0.25">
      <c r="F1464" s="12"/>
      <c r="G1464" s="12"/>
      <c r="I1464" s="12"/>
      <c r="J1464" s="12"/>
      <c r="K1464" s="12"/>
    </row>
    <row r="1465" spans="6:11" x14ac:dyDescent="0.25">
      <c r="F1465" s="12"/>
      <c r="G1465" s="12"/>
      <c r="I1465" s="12"/>
      <c r="J1465" s="12"/>
      <c r="K1465" s="12"/>
    </row>
    <row r="1466" spans="6:11" x14ac:dyDescent="0.25">
      <c r="F1466" s="12"/>
      <c r="G1466" s="12"/>
      <c r="I1466" s="12"/>
      <c r="J1466" s="12"/>
      <c r="K1466" s="12"/>
    </row>
    <row r="1467" spans="6:11" x14ac:dyDescent="0.25">
      <c r="F1467" s="12"/>
      <c r="G1467" s="12"/>
      <c r="I1467" s="12"/>
      <c r="J1467" s="12"/>
      <c r="K1467" s="12"/>
    </row>
    <row r="1468" spans="6:11" x14ac:dyDescent="0.25">
      <c r="F1468" s="12"/>
      <c r="G1468" s="12"/>
      <c r="I1468" s="12"/>
      <c r="J1468" s="12"/>
      <c r="K1468" s="12"/>
    </row>
    <row r="1469" spans="6:11" x14ac:dyDescent="0.25">
      <c r="F1469" s="12"/>
      <c r="G1469" s="12"/>
      <c r="I1469" s="12"/>
      <c r="J1469" s="12"/>
      <c r="K1469" s="12"/>
    </row>
    <row r="1470" spans="6:11" x14ac:dyDescent="0.25">
      <c r="F1470" s="12"/>
      <c r="G1470" s="12"/>
      <c r="I1470" s="12"/>
      <c r="J1470" s="12"/>
      <c r="K1470" s="12"/>
    </row>
    <row r="1471" spans="6:11" x14ac:dyDescent="0.25">
      <c r="F1471" s="12"/>
      <c r="G1471" s="12"/>
      <c r="I1471" s="12"/>
      <c r="J1471" s="12"/>
      <c r="K1471" s="12"/>
    </row>
    <row r="1472" spans="6:11" x14ac:dyDescent="0.25">
      <c r="F1472" s="12"/>
      <c r="G1472" s="12"/>
      <c r="I1472" s="12"/>
      <c r="J1472" s="12"/>
      <c r="K1472" s="12"/>
    </row>
    <row r="1473" spans="6:11" x14ac:dyDescent="0.25">
      <c r="F1473" s="12"/>
      <c r="G1473" s="12"/>
      <c r="I1473" s="12"/>
      <c r="J1473" s="12"/>
      <c r="K1473" s="12"/>
    </row>
    <row r="1474" spans="6:11" x14ac:dyDescent="0.25">
      <c r="F1474" s="12"/>
      <c r="G1474" s="12"/>
      <c r="I1474" s="12"/>
      <c r="J1474" s="12"/>
      <c r="K1474" s="12"/>
    </row>
    <row r="1475" spans="6:11" x14ac:dyDescent="0.25">
      <c r="F1475" s="12"/>
      <c r="G1475" s="12"/>
      <c r="I1475" s="12"/>
      <c r="J1475" s="12"/>
      <c r="K1475" s="12"/>
    </row>
    <row r="1476" spans="6:11" x14ac:dyDescent="0.25">
      <c r="F1476" s="12"/>
      <c r="G1476" s="12"/>
      <c r="I1476" s="12"/>
      <c r="J1476" s="12"/>
      <c r="K1476" s="12"/>
    </row>
    <row r="1477" spans="6:11" x14ac:dyDescent="0.25">
      <c r="F1477" s="12"/>
      <c r="G1477" s="12"/>
      <c r="I1477" s="12"/>
      <c r="J1477" s="12"/>
      <c r="K1477" s="12"/>
    </row>
    <row r="1478" spans="6:11" x14ac:dyDescent="0.25">
      <c r="F1478" s="12"/>
      <c r="G1478" s="12"/>
      <c r="I1478" s="12"/>
      <c r="J1478" s="12"/>
      <c r="K1478" s="12"/>
    </row>
    <row r="1479" spans="6:11" x14ac:dyDescent="0.25">
      <c r="F1479" s="12"/>
      <c r="G1479" s="12"/>
      <c r="I1479" s="12"/>
      <c r="J1479" s="12"/>
      <c r="K1479" s="12"/>
    </row>
    <row r="1480" spans="6:11" x14ac:dyDescent="0.25">
      <c r="F1480" s="12"/>
      <c r="G1480" s="12"/>
      <c r="I1480" s="12"/>
      <c r="J1480" s="12"/>
      <c r="K1480" s="12"/>
    </row>
    <row r="1481" spans="6:11" x14ac:dyDescent="0.25">
      <c r="F1481" s="12"/>
      <c r="G1481" s="12"/>
      <c r="I1481" s="12"/>
      <c r="J1481" s="12"/>
      <c r="K1481" s="12"/>
    </row>
    <row r="1482" spans="6:11" x14ac:dyDescent="0.25">
      <c r="F1482" s="12"/>
      <c r="G1482" s="12"/>
      <c r="I1482" s="12"/>
      <c r="J1482" s="12"/>
      <c r="K1482" s="12"/>
    </row>
    <row r="1483" spans="6:11" x14ac:dyDescent="0.25">
      <c r="F1483" s="12"/>
      <c r="G1483" s="12"/>
      <c r="I1483" s="12"/>
      <c r="J1483" s="12"/>
      <c r="K1483" s="12"/>
    </row>
    <row r="1484" spans="6:11" x14ac:dyDescent="0.25">
      <c r="F1484" s="12"/>
      <c r="G1484" s="12"/>
      <c r="I1484" s="12"/>
      <c r="J1484" s="12"/>
      <c r="K1484" s="12"/>
    </row>
    <row r="1485" spans="6:11" x14ac:dyDescent="0.25">
      <c r="F1485" s="12"/>
      <c r="G1485" s="12"/>
      <c r="I1485" s="12"/>
      <c r="J1485" s="12"/>
      <c r="K1485" s="12"/>
    </row>
    <row r="1486" spans="6:11" x14ac:dyDescent="0.25">
      <c r="F1486" s="12"/>
      <c r="G1486" s="12"/>
      <c r="I1486" s="12"/>
      <c r="J1486" s="12"/>
      <c r="K1486" s="12"/>
    </row>
    <row r="1487" spans="6:11" x14ac:dyDescent="0.25">
      <c r="F1487" s="12"/>
      <c r="G1487" s="12"/>
      <c r="I1487" s="12"/>
      <c r="J1487" s="12"/>
      <c r="K1487" s="12"/>
    </row>
    <row r="1488" spans="6:11" x14ac:dyDescent="0.25">
      <c r="F1488" s="12"/>
      <c r="G1488" s="12"/>
      <c r="I1488" s="12"/>
      <c r="J1488" s="12"/>
      <c r="K1488" s="12"/>
    </row>
    <row r="1489" spans="6:11" x14ac:dyDescent="0.25">
      <c r="F1489" s="12"/>
      <c r="G1489" s="12"/>
      <c r="I1489" s="12"/>
      <c r="J1489" s="12"/>
      <c r="K1489" s="12"/>
    </row>
    <row r="1490" spans="6:11" x14ac:dyDescent="0.25">
      <c r="F1490" s="12"/>
      <c r="G1490" s="12"/>
      <c r="I1490" s="12"/>
      <c r="J1490" s="12"/>
      <c r="K1490" s="12"/>
    </row>
    <row r="1491" spans="6:11" x14ac:dyDescent="0.25">
      <c r="F1491" s="12"/>
      <c r="G1491" s="12"/>
      <c r="I1491" s="12"/>
      <c r="J1491" s="12"/>
      <c r="K1491" s="12"/>
    </row>
    <row r="1492" spans="6:11" x14ac:dyDescent="0.25">
      <c r="F1492" s="12"/>
      <c r="G1492" s="12"/>
      <c r="I1492" s="12"/>
      <c r="J1492" s="12"/>
      <c r="K1492" s="12"/>
    </row>
    <row r="1493" spans="6:11" x14ac:dyDescent="0.25">
      <c r="F1493" s="12"/>
      <c r="G1493" s="12"/>
      <c r="I1493" s="12"/>
      <c r="J1493" s="12"/>
      <c r="K1493" s="12"/>
    </row>
    <row r="1494" spans="6:11" x14ac:dyDescent="0.25">
      <c r="F1494" s="12"/>
      <c r="G1494" s="12"/>
      <c r="I1494" s="12"/>
      <c r="J1494" s="12"/>
      <c r="K1494" s="12"/>
    </row>
    <row r="1495" spans="6:11" x14ac:dyDescent="0.25">
      <c r="F1495" s="12"/>
      <c r="G1495" s="12"/>
      <c r="I1495" s="12"/>
      <c r="J1495" s="12"/>
      <c r="K1495" s="12"/>
    </row>
    <row r="1496" spans="6:11" x14ac:dyDescent="0.25">
      <c r="F1496" s="12"/>
      <c r="G1496" s="12"/>
      <c r="I1496" s="12"/>
      <c r="J1496" s="12"/>
      <c r="K1496" s="12"/>
    </row>
    <row r="1497" spans="6:11" x14ac:dyDescent="0.25">
      <c r="F1497" s="12"/>
      <c r="G1497" s="12"/>
      <c r="I1497" s="12"/>
      <c r="J1497" s="12"/>
      <c r="K1497" s="12"/>
    </row>
    <row r="1498" spans="6:11" x14ac:dyDescent="0.25">
      <c r="F1498" s="12"/>
      <c r="G1498" s="12"/>
      <c r="I1498" s="12"/>
      <c r="J1498" s="12"/>
      <c r="K1498" s="12"/>
    </row>
    <row r="1499" spans="6:11" x14ac:dyDescent="0.25">
      <c r="F1499" s="12"/>
      <c r="G1499" s="12"/>
      <c r="I1499" s="12"/>
      <c r="J1499" s="12"/>
      <c r="K1499" s="12"/>
    </row>
    <row r="1500" spans="6:11" x14ac:dyDescent="0.25">
      <c r="F1500" s="12"/>
      <c r="G1500" s="12"/>
      <c r="I1500" s="12"/>
      <c r="J1500" s="12"/>
      <c r="K1500" s="12"/>
    </row>
    <row r="1501" spans="6:11" x14ac:dyDescent="0.25">
      <c r="F1501" s="12"/>
      <c r="G1501" s="12"/>
      <c r="I1501" s="12"/>
      <c r="J1501" s="12"/>
      <c r="K1501" s="12"/>
    </row>
    <row r="1502" spans="6:11" x14ac:dyDescent="0.25">
      <c r="F1502" s="12"/>
      <c r="G1502" s="12"/>
      <c r="I1502" s="12"/>
      <c r="J1502" s="12"/>
      <c r="K1502" s="12"/>
    </row>
    <row r="1503" spans="6:11" x14ac:dyDescent="0.25">
      <c r="F1503" s="12"/>
      <c r="G1503" s="12"/>
      <c r="I1503" s="12"/>
      <c r="J1503" s="12"/>
      <c r="K1503" s="12"/>
    </row>
    <row r="1504" spans="6:11" x14ac:dyDescent="0.25">
      <c r="F1504" s="12"/>
      <c r="G1504" s="12"/>
      <c r="I1504" s="12"/>
      <c r="J1504" s="12"/>
      <c r="K1504" s="12"/>
    </row>
    <row r="1505" spans="6:11" x14ac:dyDescent="0.25">
      <c r="F1505" s="12"/>
      <c r="G1505" s="12"/>
      <c r="I1505" s="12"/>
      <c r="J1505" s="12"/>
      <c r="K1505" s="12"/>
    </row>
    <row r="1506" spans="6:11" x14ac:dyDescent="0.25">
      <c r="F1506" s="12"/>
      <c r="G1506" s="12"/>
      <c r="I1506" s="12"/>
      <c r="J1506" s="12"/>
      <c r="K1506" s="12"/>
    </row>
    <row r="1507" spans="6:11" x14ac:dyDescent="0.25">
      <c r="F1507" s="12"/>
      <c r="G1507" s="12"/>
      <c r="I1507" s="12"/>
      <c r="J1507" s="12"/>
      <c r="K1507" s="12"/>
    </row>
    <row r="1508" spans="6:11" x14ac:dyDescent="0.25">
      <c r="F1508" s="12"/>
      <c r="G1508" s="12"/>
      <c r="I1508" s="12"/>
      <c r="J1508" s="12"/>
      <c r="K1508" s="12"/>
    </row>
    <row r="1509" spans="6:11" x14ac:dyDescent="0.25">
      <c r="F1509" s="12"/>
      <c r="G1509" s="12"/>
      <c r="I1509" s="12"/>
      <c r="J1509" s="12"/>
      <c r="K1509" s="12"/>
    </row>
    <row r="1510" spans="6:11" x14ac:dyDescent="0.25">
      <c r="F1510" s="12"/>
      <c r="G1510" s="12"/>
      <c r="I1510" s="12"/>
      <c r="J1510" s="12"/>
      <c r="K1510" s="12"/>
    </row>
    <row r="1511" spans="6:11" x14ac:dyDescent="0.25">
      <c r="F1511" s="12"/>
      <c r="G1511" s="12"/>
      <c r="I1511" s="12"/>
      <c r="J1511" s="12"/>
      <c r="K1511" s="12"/>
    </row>
    <row r="1512" spans="6:11" x14ac:dyDescent="0.25">
      <c r="F1512" s="12"/>
      <c r="G1512" s="12"/>
      <c r="I1512" s="12"/>
      <c r="J1512" s="12"/>
      <c r="K1512" s="12"/>
    </row>
    <row r="1513" spans="6:11" x14ac:dyDescent="0.25">
      <c r="F1513" s="12"/>
      <c r="G1513" s="12"/>
      <c r="I1513" s="12"/>
      <c r="J1513" s="12"/>
      <c r="K1513" s="12"/>
    </row>
    <row r="1514" spans="6:11" x14ac:dyDescent="0.25">
      <c r="F1514" s="12"/>
      <c r="G1514" s="12"/>
      <c r="I1514" s="12"/>
      <c r="J1514" s="12"/>
      <c r="K1514" s="12"/>
    </row>
    <row r="1515" spans="6:11" x14ac:dyDescent="0.25">
      <c r="F1515" s="12"/>
      <c r="G1515" s="12"/>
      <c r="I1515" s="12"/>
      <c r="J1515" s="12"/>
      <c r="K1515" s="12"/>
    </row>
    <row r="1516" spans="6:11" x14ac:dyDescent="0.25">
      <c r="F1516" s="12"/>
      <c r="G1516" s="12"/>
      <c r="I1516" s="12"/>
      <c r="J1516" s="12"/>
      <c r="K1516" s="12"/>
    </row>
    <row r="1517" spans="6:11" x14ac:dyDescent="0.25">
      <c r="F1517" s="12"/>
      <c r="G1517" s="12"/>
      <c r="I1517" s="12"/>
      <c r="J1517" s="12"/>
      <c r="K1517" s="12"/>
    </row>
    <row r="1518" spans="6:11" x14ac:dyDescent="0.25">
      <c r="F1518" s="12"/>
      <c r="G1518" s="12"/>
      <c r="I1518" s="12"/>
      <c r="J1518" s="12"/>
      <c r="K1518" s="12"/>
    </row>
    <row r="1519" spans="6:11" x14ac:dyDescent="0.25">
      <c r="F1519" s="12"/>
      <c r="G1519" s="12"/>
      <c r="I1519" s="12"/>
      <c r="J1519" s="12"/>
      <c r="K1519" s="12"/>
    </row>
    <row r="1520" spans="6:11" x14ac:dyDescent="0.25">
      <c r="F1520" s="12"/>
      <c r="G1520" s="12"/>
      <c r="I1520" s="12"/>
      <c r="J1520" s="12"/>
      <c r="K1520" s="12"/>
    </row>
    <row r="1521" spans="6:11" x14ac:dyDescent="0.25">
      <c r="F1521" s="12"/>
      <c r="G1521" s="12"/>
      <c r="I1521" s="12"/>
      <c r="J1521" s="12"/>
      <c r="K1521" s="12"/>
    </row>
    <row r="1522" spans="6:11" x14ac:dyDescent="0.25">
      <c r="F1522" s="12"/>
      <c r="G1522" s="12"/>
      <c r="I1522" s="12"/>
      <c r="J1522" s="12"/>
      <c r="K1522" s="12"/>
    </row>
    <row r="1523" spans="6:11" x14ac:dyDescent="0.25">
      <c r="F1523" s="12"/>
      <c r="G1523" s="12"/>
      <c r="I1523" s="12"/>
      <c r="J1523" s="12"/>
      <c r="K1523" s="12"/>
    </row>
    <row r="1524" spans="6:11" x14ac:dyDescent="0.25">
      <c r="F1524" s="12"/>
      <c r="G1524" s="12"/>
      <c r="I1524" s="12"/>
      <c r="J1524" s="12"/>
      <c r="K1524" s="12"/>
    </row>
    <row r="1525" spans="6:11" x14ac:dyDescent="0.25">
      <c r="F1525" s="12"/>
      <c r="G1525" s="12"/>
      <c r="I1525" s="12"/>
      <c r="J1525" s="12"/>
      <c r="K1525" s="12"/>
    </row>
    <row r="1526" spans="6:11" x14ac:dyDescent="0.25">
      <c r="F1526" s="12"/>
      <c r="G1526" s="12"/>
      <c r="I1526" s="12"/>
      <c r="J1526" s="12"/>
      <c r="K1526" s="12"/>
    </row>
    <row r="1527" spans="6:11" x14ac:dyDescent="0.25">
      <c r="F1527" s="12"/>
      <c r="G1527" s="12"/>
      <c r="I1527" s="12"/>
      <c r="J1527" s="12"/>
      <c r="K1527" s="12"/>
    </row>
    <row r="1528" spans="6:11" x14ac:dyDescent="0.25">
      <c r="F1528" s="12"/>
      <c r="G1528" s="12"/>
      <c r="I1528" s="12"/>
      <c r="J1528" s="12"/>
      <c r="K1528" s="12"/>
    </row>
    <row r="1529" spans="6:11" x14ac:dyDescent="0.25">
      <c r="F1529" s="12"/>
      <c r="G1529" s="12"/>
      <c r="I1529" s="12"/>
      <c r="J1529" s="12"/>
      <c r="K1529" s="12"/>
    </row>
    <row r="1530" spans="6:11" x14ac:dyDescent="0.25">
      <c r="F1530" s="12"/>
      <c r="G1530" s="12"/>
      <c r="I1530" s="12"/>
      <c r="J1530" s="12"/>
      <c r="K1530" s="12"/>
    </row>
    <row r="1531" spans="6:11" x14ac:dyDescent="0.25">
      <c r="F1531" s="12"/>
      <c r="G1531" s="12"/>
      <c r="I1531" s="12"/>
      <c r="J1531" s="12"/>
      <c r="K1531" s="12"/>
    </row>
    <row r="1532" spans="6:11" x14ac:dyDescent="0.25">
      <c r="F1532" s="12"/>
      <c r="G1532" s="12"/>
      <c r="I1532" s="12"/>
      <c r="J1532" s="12"/>
      <c r="K1532" s="12"/>
    </row>
    <row r="1533" spans="6:11" x14ac:dyDescent="0.25">
      <c r="F1533" s="12"/>
      <c r="G1533" s="12"/>
      <c r="I1533" s="12"/>
      <c r="J1533" s="12"/>
      <c r="K1533" s="12"/>
    </row>
    <row r="1534" spans="6:11" x14ac:dyDescent="0.25">
      <c r="F1534" s="12"/>
      <c r="G1534" s="12"/>
      <c r="I1534" s="12"/>
      <c r="J1534" s="12"/>
      <c r="K1534" s="12"/>
    </row>
    <row r="1535" spans="6:11" x14ac:dyDescent="0.25">
      <c r="F1535" s="12"/>
      <c r="G1535" s="12"/>
      <c r="I1535" s="12"/>
      <c r="J1535" s="12"/>
      <c r="K1535" s="12"/>
    </row>
    <row r="1536" spans="6:11" x14ac:dyDescent="0.25">
      <c r="F1536" s="12"/>
      <c r="G1536" s="12"/>
      <c r="I1536" s="12"/>
      <c r="J1536" s="12"/>
      <c r="K1536" s="12"/>
    </row>
    <row r="1537" spans="6:11" x14ac:dyDescent="0.25">
      <c r="F1537" s="12"/>
      <c r="G1537" s="12"/>
      <c r="I1537" s="12"/>
      <c r="J1537" s="12"/>
      <c r="K1537" s="12"/>
    </row>
    <row r="1538" spans="6:11" x14ac:dyDescent="0.25">
      <c r="F1538" s="12"/>
      <c r="G1538" s="12"/>
      <c r="I1538" s="12"/>
      <c r="J1538" s="12"/>
      <c r="K1538" s="12"/>
    </row>
    <row r="1539" spans="6:11" x14ac:dyDescent="0.25">
      <c r="F1539" s="12"/>
      <c r="G1539" s="12"/>
      <c r="I1539" s="12"/>
      <c r="J1539" s="12"/>
      <c r="K1539" s="12"/>
    </row>
    <row r="1540" spans="6:11" x14ac:dyDescent="0.25">
      <c r="F1540" s="12"/>
      <c r="G1540" s="12"/>
      <c r="I1540" s="12"/>
      <c r="J1540" s="12"/>
      <c r="K1540" s="12"/>
    </row>
    <row r="1541" spans="6:11" x14ac:dyDescent="0.25">
      <c r="F1541" s="12"/>
      <c r="G1541" s="12"/>
      <c r="I1541" s="12"/>
      <c r="J1541" s="12"/>
      <c r="K1541" s="12"/>
    </row>
    <row r="1542" spans="6:11" x14ac:dyDescent="0.25">
      <c r="F1542" s="12"/>
      <c r="G1542" s="12"/>
      <c r="I1542" s="12"/>
      <c r="J1542" s="12"/>
      <c r="K1542" s="12"/>
    </row>
    <row r="1543" spans="6:11" x14ac:dyDescent="0.25">
      <c r="F1543" s="12"/>
      <c r="G1543" s="12"/>
      <c r="I1543" s="12"/>
      <c r="J1543" s="12"/>
      <c r="K1543" s="12"/>
    </row>
    <row r="1544" spans="6:11" x14ac:dyDescent="0.25">
      <c r="F1544" s="12"/>
      <c r="G1544" s="12"/>
      <c r="I1544" s="12"/>
      <c r="J1544" s="12"/>
      <c r="K1544" s="12"/>
    </row>
    <row r="1545" spans="6:11" x14ac:dyDescent="0.25">
      <c r="F1545" s="12"/>
      <c r="G1545" s="12"/>
      <c r="I1545" s="12"/>
      <c r="J1545" s="12"/>
      <c r="K1545" s="12"/>
    </row>
    <row r="1546" spans="6:11" x14ac:dyDescent="0.25">
      <c r="F1546" s="12"/>
      <c r="G1546" s="12"/>
      <c r="I1546" s="12"/>
      <c r="J1546" s="12"/>
      <c r="K1546" s="12"/>
    </row>
    <row r="1547" spans="6:11" x14ac:dyDescent="0.25">
      <c r="F1547" s="12"/>
      <c r="G1547" s="12"/>
      <c r="I1547" s="12"/>
      <c r="J1547" s="12"/>
      <c r="K1547" s="12"/>
    </row>
    <row r="1548" spans="6:11" x14ac:dyDescent="0.25">
      <c r="F1548" s="12"/>
      <c r="G1548" s="12"/>
      <c r="I1548" s="12"/>
      <c r="J1548" s="12"/>
      <c r="K1548" s="12"/>
    </row>
    <row r="1549" spans="6:11" x14ac:dyDescent="0.25">
      <c r="F1549" s="12"/>
      <c r="G1549" s="12"/>
      <c r="I1549" s="12"/>
      <c r="J1549" s="12"/>
      <c r="K1549" s="12"/>
    </row>
    <row r="1550" spans="6:11" x14ac:dyDescent="0.25">
      <c r="F1550" s="12"/>
      <c r="G1550" s="12"/>
      <c r="I1550" s="12"/>
      <c r="J1550" s="12"/>
      <c r="K1550" s="12"/>
    </row>
    <row r="1551" spans="6:11" x14ac:dyDescent="0.25">
      <c r="F1551" s="12"/>
      <c r="G1551" s="12"/>
      <c r="I1551" s="12"/>
      <c r="J1551" s="12"/>
      <c r="K1551" s="12"/>
    </row>
    <row r="1552" spans="6:11" x14ac:dyDescent="0.25">
      <c r="F1552" s="12"/>
      <c r="G1552" s="12"/>
      <c r="I1552" s="12"/>
      <c r="J1552" s="12"/>
      <c r="K1552" s="12"/>
    </row>
    <row r="1553" spans="6:11" x14ac:dyDescent="0.25">
      <c r="F1553" s="12"/>
      <c r="G1553" s="12"/>
      <c r="I1553" s="12"/>
      <c r="J1553" s="12"/>
      <c r="K1553" s="12"/>
    </row>
    <row r="1554" spans="6:11" x14ac:dyDescent="0.25">
      <c r="F1554" s="12"/>
      <c r="G1554" s="12"/>
      <c r="I1554" s="12"/>
      <c r="J1554" s="12"/>
      <c r="K1554" s="12"/>
    </row>
    <row r="1555" spans="6:11" x14ac:dyDescent="0.25">
      <c r="F1555" s="12"/>
      <c r="G1555" s="12"/>
      <c r="I1555" s="12"/>
      <c r="J1555" s="12"/>
      <c r="K1555" s="12"/>
    </row>
    <row r="1556" spans="6:11" x14ac:dyDescent="0.25">
      <c r="F1556" s="12"/>
      <c r="G1556" s="12"/>
      <c r="I1556" s="12"/>
      <c r="J1556" s="12"/>
      <c r="K1556" s="12"/>
    </row>
    <row r="1557" spans="6:11" x14ac:dyDescent="0.25">
      <c r="F1557" s="12"/>
      <c r="G1557" s="12"/>
      <c r="I1557" s="12"/>
      <c r="J1557" s="12"/>
      <c r="K1557" s="12"/>
    </row>
    <row r="1558" spans="6:11" x14ac:dyDescent="0.25">
      <c r="F1558" s="12"/>
      <c r="G1558" s="12"/>
      <c r="I1558" s="12"/>
      <c r="J1558" s="12"/>
      <c r="K1558" s="12"/>
    </row>
    <row r="1559" spans="6:11" x14ac:dyDescent="0.25">
      <c r="F1559" s="12"/>
      <c r="G1559" s="12"/>
      <c r="I1559" s="12"/>
      <c r="J1559" s="12"/>
      <c r="K1559" s="12"/>
    </row>
    <row r="1560" spans="6:11" x14ac:dyDescent="0.25">
      <c r="F1560" s="12"/>
      <c r="G1560" s="12"/>
      <c r="I1560" s="12"/>
      <c r="J1560" s="12"/>
      <c r="K1560" s="12"/>
    </row>
    <row r="1561" spans="6:11" x14ac:dyDescent="0.25">
      <c r="F1561" s="12"/>
      <c r="G1561" s="12"/>
      <c r="I1561" s="12"/>
      <c r="J1561" s="12"/>
      <c r="K1561" s="12"/>
    </row>
    <row r="1562" spans="6:11" x14ac:dyDescent="0.25">
      <c r="F1562" s="12"/>
      <c r="G1562" s="12"/>
      <c r="I1562" s="12"/>
      <c r="J1562" s="12"/>
      <c r="K1562" s="12"/>
    </row>
    <row r="1563" spans="6:11" x14ac:dyDescent="0.25">
      <c r="F1563" s="12"/>
      <c r="G1563" s="12"/>
      <c r="I1563" s="12"/>
      <c r="J1563" s="12"/>
      <c r="K1563" s="12"/>
    </row>
    <row r="1564" spans="6:11" x14ac:dyDescent="0.25">
      <c r="F1564" s="12"/>
      <c r="G1564" s="12"/>
      <c r="I1564" s="12"/>
      <c r="J1564" s="12"/>
      <c r="K1564" s="12"/>
    </row>
    <row r="1565" spans="6:11" x14ac:dyDescent="0.25">
      <c r="F1565" s="12"/>
      <c r="G1565" s="12"/>
      <c r="I1565" s="12"/>
      <c r="J1565" s="12"/>
      <c r="K1565" s="12"/>
    </row>
    <row r="1566" spans="6:11" x14ac:dyDescent="0.25">
      <c r="F1566" s="12"/>
      <c r="G1566" s="12"/>
      <c r="I1566" s="12"/>
      <c r="J1566" s="12"/>
      <c r="K1566" s="12"/>
    </row>
    <row r="1567" spans="6:11" x14ac:dyDescent="0.25">
      <c r="F1567" s="12"/>
      <c r="G1567" s="12"/>
      <c r="I1567" s="12"/>
      <c r="J1567" s="12"/>
      <c r="K1567" s="12"/>
    </row>
    <row r="1568" spans="6:11" x14ac:dyDescent="0.25">
      <c r="F1568" s="12"/>
      <c r="G1568" s="12"/>
      <c r="I1568" s="12"/>
      <c r="J1568" s="12"/>
      <c r="K1568" s="12"/>
    </row>
    <row r="1569" spans="6:11" x14ac:dyDescent="0.25">
      <c r="F1569" s="12"/>
      <c r="G1569" s="12"/>
      <c r="I1569" s="12"/>
      <c r="J1569" s="12"/>
      <c r="K1569" s="12"/>
    </row>
    <row r="1570" spans="6:11" x14ac:dyDescent="0.25">
      <c r="F1570" s="12"/>
      <c r="G1570" s="12"/>
      <c r="I1570" s="12"/>
      <c r="J1570" s="12"/>
      <c r="K1570" s="12"/>
    </row>
    <row r="1571" spans="6:11" x14ac:dyDescent="0.25">
      <c r="F1571" s="12"/>
      <c r="G1571" s="12"/>
      <c r="I1571" s="12"/>
      <c r="J1571" s="12"/>
      <c r="K1571" s="12"/>
    </row>
    <row r="1572" spans="6:11" x14ac:dyDescent="0.25">
      <c r="F1572" s="12"/>
      <c r="G1572" s="12"/>
      <c r="I1572" s="12"/>
      <c r="J1572" s="12"/>
      <c r="K1572" s="12"/>
    </row>
    <row r="1573" spans="6:11" x14ac:dyDescent="0.25">
      <c r="F1573" s="12"/>
      <c r="G1573" s="12"/>
      <c r="I1573" s="12"/>
      <c r="J1573" s="12"/>
      <c r="K1573" s="12"/>
    </row>
    <row r="1574" spans="6:11" x14ac:dyDescent="0.25">
      <c r="F1574" s="12"/>
      <c r="G1574" s="12"/>
      <c r="I1574" s="12"/>
      <c r="J1574" s="12"/>
      <c r="K1574" s="12"/>
    </row>
    <row r="1575" spans="6:11" x14ac:dyDescent="0.25">
      <c r="F1575" s="12"/>
      <c r="G1575" s="12"/>
      <c r="I1575" s="12"/>
      <c r="J1575" s="12"/>
      <c r="K1575" s="12"/>
    </row>
    <row r="1576" spans="6:11" x14ac:dyDescent="0.25">
      <c r="F1576" s="12"/>
      <c r="G1576" s="12"/>
      <c r="I1576" s="12"/>
      <c r="J1576" s="12"/>
      <c r="K1576" s="12"/>
    </row>
    <row r="1577" spans="6:11" x14ac:dyDescent="0.25">
      <c r="F1577" s="12"/>
      <c r="G1577" s="12"/>
      <c r="I1577" s="12"/>
      <c r="J1577" s="12"/>
      <c r="K1577" s="12"/>
    </row>
    <row r="1578" spans="6:11" x14ac:dyDescent="0.25">
      <c r="F1578" s="12"/>
      <c r="G1578" s="12"/>
      <c r="I1578" s="12"/>
      <c r="J1578" s="12"/>
      <c r="K1578" s="12"/>
    </row>
    <row r="1579" spans="6:11" x14ac:dyDescent="0.25">
      <c r="F1579" s="12"/>
      <c r="G1579" s="12"/>
      <c r="I1579" s="12"/>
      <c r="J1579" s="12"/>
      <c r="K1579" s="12"/>
    </row>
    <row r="1580" spans="6:11" x14ac:dyDescent="0.25">
      <c r="F1580" s="12"/>
      <c r="G1580" s="12"/>
      <c r="I1580" s="12"/>
      <c r="J1580" s="12"/>
      <c r="K1580" s="12"/>
    </row>
    <row r="1581" spans="6:11" x14ac:dyDescent="0.25">
      <c r="F1581" s="12"/>
      <c r="G1581" s="12"/>
      <c r="I1581" s="12"/>
      <c r="J1581" s="12"/>
      <c r="K1581" s="12"/>
    </row>
    <row r="1582" spans="6:11" x14ac:dyDescent="0.25">
      <c r="F1582" s="12"/>
      <c r="G1582" s="12"/>
      <c r="I1582" s="12"/>
      <c r="J1582" s="12"/>
      <c r="K1582" s="12"/>
    </row>
    <row r="1583" spans="6:11" x14ac:dyDescent="0.25">
      <c r="F1583" s="12"/>
      <c r="G1583" s="12"/>
      <c r="I1583" s="12"/>
      <c r="J1583" s="12"/>
      <c r="K1583" s="12"/>
    </row>
    <row r="1584" spans="6:11" x14ac:dyDescent="0.25">
      <c r="F1584" s="12"/>
      <c r="G1584" s="12"/>
      <c r="I1584" s="12"/>
      <c r="J1584" s="12"/>
      <c r="K1584" s="12"/>
    </row>
    <row r="1585" spans="6:11" x14ac:dyDescent="0.25">
      <c r="F1585" s="12"/>
      <c r="G1585" s="12"/>
      <c r="I1585" s="12"/>
      <c r="J1585" s="12"/>
      <c r="K1585" s="12"/>
    </row>
    <row r="1586" spans="6:11" x14ac:dyDescent="0.25">
      <c r="F1586" s="12"/>
      <c r="G1586" s="12"/>
      <c r="I1586" s="12"/>
      <c r="J1586" s="12"/>
      <c r="K1586" s="12"/>
    </row>
    <row r="1587" spans="6:11" x14ac:dyDescent="0.25">
      <c r="F1587" s="12"/>
      <c r="G1587" s="12"/>
      <c r="I1587" s="12"/>
      <c r="J1587" s="12"/>
      <c r="K1587" s="12"/>
    </row>
    <row r="1588" spans="6:11" x14ac:dyDescent="0.25">
      <c r="F1588" s="12"/>
      <c r="G1588" s="12"/>
      <c r="I1588" s="12"/>
      <c r="J1588" s="12"/>
      <c r="K1588" s="12"/>
    </row>
    <row r="1589" spans="6:11" x14ac:dyDescent="0.25">
      <c r="F1589" s="12"/>
      <c r="G1589" s="12"/>
      <c r="I1589" s="12"/>
      <c r="J1589" s="12"/>
      <c r="K1589" s="12"/>
    </row>
    <row r="1590" spans="6:11" x14ac:dyDescent="0.25">
      <c r="F1590" s="12"/>
      <c r="G1590" s="12"/>
      <c r="I1590" s="12"/>
      <c r="J1590" s="12"/>
      <c r="K1590" s="12"/>
    </row>
    <row r="1591" spans="6:11" x14ac:dyDescent="0.25">
      <c r="F1591" s="12"/>
      <c r="G1591" s="12"/>
      <c r="I1591" s="12"/>
      <c r="J1591" s="12"/>
      <c r="K1591" s="12"/>
    </row>
    <row r="1592" spans="6:11" x14ac:dyDescent="0.25">
      <c r="F1592" s="12"/>
      <c r="G1592" s="12"/>
      <c r="I1592" s="12"/>
      <c r="J1592" s="12"/>
      <c r="K1592" s="12"/>
    </row>
    <row r="1593" spans="6:11" x14ac:dyDescent="0.25">
      <c r="F1593" s="12"/>
      <c r="G1593" s="12"/>
      <c r="I1593" s="12"/>
      <c r="J1593" s="12"/>
      <c r="K1593" s="12"/>
    </row>
    <row r="1594" spans="6:11" x14ac:dyDescent="0.25">
      <c r="F1594" s="12"/>
      <c r="G1594" s="12"/>
      <c r="I1594" s="12"/>
      <c r="J1594" s="12"/>
      <c r="K1594" s="12"/>
    </row>
    <row r="1595" spans="6:11" x14ac:dyDescent="0.25">
      <c r="F1595" s="12"/>
      <c r="G1595" s="12"/>
      <c r="I1595" s="12"/>
      <c r="J1595" s="12"/>
      <c r="K1595" s="12"/>
    </row>
    <row r="1596" spans="6:11" x14ac:dyDescent="0.25">
      <c r="F1596" s="12"/>
      <c r="G1596" s="12"/>
      <c r="I1596" s="12"/>
      <c r="J1596" s="12"/>
      <c r="K1596" s="12"/>
    </row>
    <row r="1597" spans="6:11" x14ac:dyDescent="0.25">
      <c r="F1597" s="12"/>
      <c r="G1597" s="12"/>
      <c r="I1597" s="12"/>
      <c r="J1597" s="12"/>
      <c r="K1597" s="12"/>
    </row>
    <row r="1598" spans="6:11" x14ac:dyDescent="0.25">
      <c r="F1598" s="12"/>
      <c r="G1598" s="12"/>
      <c r="I1598" s="12"/>
      <c r="J1598" s="12"/>
      <c r="K1598" s="12"/>
    </row>
    <row r="1599" spans="6:11" x14ac:dyDescent="0.25">
      <c r="F1599" s="12"/>
      <c r="G1599" s="12"/>
      <c r="I1599" s="12"/>
      <c r="J1599" s="12"/>
      <c r="K1599" s="12"/>
    </row>
    <row r="1600" spans="6:11" x14ac:dyDescent="0.25">
      <c r="F1600" s="12"/>
      <c r="G1600" s="12"/>
      <c r="I1600" s="12"/>
      <c r="J1600" s="12"/>
      <c r="K1600" s="12"/>
    </row>
    <row r="1601" spans="6:11" x14ac:dyDescent="0.25">
      <c r="F1601" s="12"/>
      <c r="G1601" s="12"/>
      <c r="I1601" s="12"/>
      <c r="J1601" s="12"/>
      <c r="K1601" s="12"/>
    </row>
    <row r="1602" spans="6:11" x14ac:dyDescent="0.25">
      <c r="F1602" s="12"/>
      <c r="G1602" s="12"/>
      <c r="I1602" s="12"/>
      <c r="J1602" s="12"/>
      <c r="K1602" s="12"/>
    </row>
    <row r="1603" spans="6:11" x14ac:dyDescent="0.25">
      <c r="F1603" s="12"/>
      <c r="G1603" s="12"/>
      <c r="I1603" s="12"/>
      <c r="J1603" s="12"/>
      <c r="K1603" s="12"/>
    </row>
    <row r="1604" spans="6:11" x14ac:dyDescent="0.25">
      <c r="F1604" s="12"/>
      <c r="G1604" s="12"/>
      <c r="I1604" s="12"/>
      <c r="J1604" s="12"/>
      <c r="K1604" s="12"/>
    </row>
    <row r="1605" spans="6:11" x14ac:dyDescent="0.25">
      <c r="F1605" s="12"/>
      <c r="G1605" s="12"/>
      <c r="I1605" s="12"/>
      <c r="J1605" s="12"/>
      <c r="K1605" s="12"/>
    </row>
    <row r="1606" spans="6:11" x14ac:dyDescent="0.25">
      <c r="F1606" s="12"/>
      <c r="G1606" s="12"/>
      <c r="I1606" s="12"/>
      <c r="J1606" s="12"/>
      <c r="K1606" s="12"/>
    </row>
    <row r="1607" spans="6:11" x14ac:dyDescent="0.25">
      <c r="F1607" s="12"/>
      <c r="G1607" s="12"/>
      <c r="I1607" s="12"/>
      <c r="J1607" s="12"/>
      <c r="K1607" s="12"/>
    </row>
    <row r="1608" spans="6:11" x14ac:dyDescent="0.25">
      <c r="F1608" s="12"/>
      <c r="G1608" s="12"/>
      <c r="I1608" s="12"/>
      <c r="J1608" s="12"/>
      <c r="K1608" s="12"/>
    </row>
    <row r="1609" spans="6:11" x14ac:dyDescent="0.25">
      <c r="F1609" s="12"/>
      <c r="G1609" s="12"/>
      <c r="I1609" s="12"/>
      <c r="J1609" s="12"/>
      <c r="K1609" s="12"/>
    </row>
    <row r="1610" spans="6:11" x14ac:dyDescent="0.25">
      <c r="F1610" s="12"/>
      <c r="G1610" s="12"/>
      <c r="I1610" s="12"/>
      <c r="J1610" s="12"/>
      <c r="K1610" s="12"/>
    </row>
    <row r="1611" spans="6:11" x14ac:dyDescent="0.25">
      <c r="F1611" s="12"/>
      <c r="G1611" s="12"/>
      <c r="I1611" s="12"/>
      <c r="J1611" s="12"/>
      <c r="K1611" s="12"/>
    </row>
    <row r="1612" spans="6:11" x14ac:dyDescent="0.25">
      <c r="F1612" s="12"/>
      <c r="G1612" s="12"/>
      <c r="I1612" s="12"/>
      <c r="J1612" s="12"/>
      <c r="K1612" s="12"/>
    </row>
    <row r="1613" spans="6:11" x14ac:dyDescent="0.25">
      <c r="F1613" s="12"/>
      <c r="G1613" s="12"/>
      <c r="I1613" s="12"/>
      <c r="J1613" s="12"/>
      <c r="K1613" s="12"/>
    </row>
    <row r="1614" spans="6:11" x14ac:dyDescent="0.25">
      <c r="F1614" s="12"/>
      <c r="G1614" s="12"/>
      <c r="I1614" s="12"/>
      <c r="J1614" s="12"/>
      <c r="K1614" s="12"/>
    </row>
    <row r="1615" spans="6:11" x14ac:dyDescent="0.25">
      <c r="F1615" s="12"/>
      <c r="G1615" s="12"/>
      <c r="I1615" s="12"/>
      <c r="J1615" s="12"/>
      <c r="K1615" s="12"/>
    </row>
    <row r="1616" spans="6:11" x14ac:dyDescent="0.25">
      <c r="F1616" s="12"/>
      <c r="G1616" s="12"/>
      <c r="I1616" s="12"/>
      <c r="J1616" s="12"/>
      <c r="K1616" s="12"/>
    </row>
    <row r="1617" spans="6:11" x14ac:dyDescent="0.25">
      <c r="F1617" s="12"/>
      <c r="G1617" s="12"/>
      <c r="I1617" s="12"/>
      <c r="J1617" s="12"/>
      <c r="K1617" s="12"/>
    </row>
    <row r="1618" spans="6:11" x14ac:dyDescent="0.25">
      <c r="F1618" s="12"/>
      <c r="G1618" s="12"/>
      <c r="I1618" s="12"/>
      <c r="J1618" s="12"/>
      <c r="K1618" s="12"/>
    </row>
    <row r="1619" spans="6:11" x14ac:dyDescent="0.25">
      <c r="F1619" s="12"/>
      <c r="G1619" s="12"/>
      <c r="I1619" s="12"/>
      <c r="J1619" s="12"/>
      <c r="K1619" s="12"/>
    </row>
    <row r="1620" spans="6:11" x14ac:dyDescent="0.25">
      <c r="F1620" s="12"/>
      <c r="G1620" s="12"/>
      <c r="I1620" s="12"/>
      <c r="J1620" s="12"/>
      <c r="K1620" s="12"/>
    </row>
    <row r="1621" spans="6:11" x14ac:dyDescent="0.25">
      <c r="F1621" s="12"/>
      <c r="G1621" s="12"/>
      <c r="I1621" s="12"/>
      <c r="J1621" s="12"/>
      <c r="K1621" s="12"/>
    </row>
    <row r="1622" spans="6:11" x14ac:dyDescent="0.25">
      <c r="F1622" s="12"/>
      <c r="G1622" s="12"/>
      <c r="I1622" s="12"/>
      <c r="J1622" s="12"/>
      <c r="K1622" s="12"/>
    </row>
    <row r="1623" spans="6:11" x14ac:dyDescent="0.25">
      <c r="F1623" s="12"/>
      <c r="G1623" s="12"/>
      <c r="I1623" s="12"/>
      <c r="J1623" s="12"/>
      <c r="K1623" s="12"/>
    </row>
    <row r="1624" spans="6:11" x14ac:dyDescent="0.25">
      <c r="F1624" s="12"/>
      <c r="G1624" s="12"/>
      <c r="I1624" s="12"/>
      <c r="J1624" s="12"/>
      <c r="K1624" s="12"/>
    </row>
    <row r="1625" spans="6:11" x14ac:dyDescent="0.25">
      <c r="F1625" s="12"/>
      <c r="G1625" s="12"/>
      <c r="I1625" s="12"/>
      <c r="J1625" s="12"/>
      <c r="K1625" s="12"/>
    </row>
    <row r="1626" spans="6:11" x14ac:dyDescent="0.25">
      <c r="F1626" s="12"/>
      <c r="G1626" s="12"/>
      <c r="I1626" s="12"/>
      <c r="J1626" s="12"/>
      <c r="K1626" s="12"/>
    </row>
    <row r="1627" spans="6:11" x14ac:dyDescent="0.25">
      <c r="F1627" s="12"/>
      <c r="G1627" s="12"/>
      <c r="I1627" s="12"/>
      <c r="J1627" s="12"/>
      <c r="K1627" s="12"/>
    </row>
    <row r="1628" spans="6:11" x14ac:dyDescent="0.25">
      <c r="F1628" s="12"/>
      <c r="G1628" s="12"/>
      <c r="I1628" s="12"/>
      <c r="J1628" s="12"/>
      <c r="K1628" s="12"/>
    </row>
    <row r="1629" spans="6:11" x14ac:dyDescent="0.25">
      <c r="F1629" s="12"/>
      <c r="G1629" s="12"/>
      <c r="I1629" s="12"/>
      <c r="J1629" s="12"/>
      <c r="K1629" s="12"/>
    </row>
    <row r="1630" spans="6:11" x14ac:dyDescent="0.25">
      <c r="F1630" s="12"/>
      <c r="G1630" s="12"/>
      <c r="I1630" s="12"/>
      <c r="J1630" s="12"/>
      <c r="K1630" s="12"/>
    </row>
    <row r="1631" spans="6:11" x14ac:dyDescent="0.25">
      <c r="F1631" s="12"/>
      <c r="G1631" s="12"/>
      <c r="I1631" s="12"/>
      <c r="J1631" s="12"/>
      <c r="K1631" s="12"/>
    </row>
    <row r="1632" spans="6:11" x14ac:dyDescent="0.25">
      <c r="F1632" s="12"/>
      <c r="G1632" s="12"/>
      <c r="I1632" s="12"/>
      <c r="J1632" s="12"/>
      <c r="K1632" s="12"/>
    </row>
    <row r="1633" spans="6:11" x14ac:dyDescent="0.25">
      <c r="F1633" s="12"/>
      <c r="G1633" s="12"/>
      <c r="I1633" s="12"/>
      <c r="J1633" s="12"/>
      <c r="K1633" s="12"/>
    </row>
    <row r="1634" spans="6:11" x14ac:dyDescent="0.25">
      <c r="F1634" s="12"/>
      <c r="G1634" s="12"/>
      <c r="I1634" s="12"/>
      <c r="J1634" s="12"/>
      <c r="K1634" s="12"/>
    </row>
    <row r="1635" spans="6:11" x14ac:dyDescent="0.25">
      <c r="F1635" s="12"/>
      <c r="G1635" s="12"/>
      <c r="I1635" s="12"/>
      <c r="J1635" s="12"/>
      <c r="K1635" s="12"/>
    </row>
    <row r="1636" spans="6:11" x14ac:dyDescent="0.25">
      <c r="F1636" s="12"/>
      <c r="G1636" s="12"/>
      <c r="I1636" s="12"/>
      <c r="J1636" s="12"/>
      <c r="K1636" s="12"/>
    </row>
    <row r="1637" spans="6:11" x14ac:dyDescent="0.25">
      <c r="F1637" s="12"/>
      <c r="G1637" s="12"/>
      <c r="I1637" s="12"/>
      <c r="J1637" s="12"/>
      <c r="K1637" s="12"/>
    </row>
    <row r="1638" spans="6:11" x14ac:dyDescent="0.25">
      <c r="F1638" s="12"/>
      <c r="G1638" s="12"/>
      <c r="I1638" s="12"/>
      <c r="J1638" s="12"/>
      <c r="K1638" s="12"/>
    </row>
    <row r="1639" spans="6:11" x14ac:dyDescent="0.25">
      <c r="F1639" s="12"/>
      <c r="G1639" s="12"/>
      <c r="I1639" s="12"/>
      <c r="J1639" s="12"/>
      <c r="K1639" s="12"/>
    </row>
    <row r="1640" spans="6:11" x14ac:dyDescent="0.25">
      <c r="F1640" s="12"/>
      <c r="G1640" s="12"/>
      <c r="I1640" s="12"/>
      <c r="J1640" s="12"/>
      <c r="K1640" s="12"/>
    </row>
    <row r="1641" spans="6:11" x14ac:dyDescent="0.25">
      <c r="F1641" s="12"/>
      <c r="G1641" s="12"/>
      <c r="I1641" s="12"/>
      <c r="J1641" s="12"/>
      <c r="K1641" s="12"/>
    </row>
    <row r="1642" spans="6:11" x14ac:dyDescent="0.25">
      <c r="F1642" s="12"/>
      <c r="G1642" s="12"/>
      <c r="I1642" s="12"/>
      <c r="J1642" s="12"/>
      <c r="K1642" s="12"/>
    </row>
    <row r="1643" spans="6:11" x14ac:dyDescent="0.25">
      <c r="F1643" s="12"/>
      <c r="G1643" s="12"/>
      <c r="I1643" s="12"/>
      <c r="J1643" s="12"/>
      <c r="K1643" s="12"/>
    </row>
    <row r="1644" spans="6:11" x14ac:dyDescent="0.25">
      <c r="F1644" s="12"/>
      <c r="G1644" s="12"/>
      <c r="I1644" s="12"/>
      <c r="J1644" s="12"/>
      <c r="K1644" s="12"/>
    </row>
    <row r="1645" spans="6:11" x14ac:dyDescent="0.25">
      <c r="F1645" s="12"/>
      <c r="G1645" s="12"/>
      <c r="I1645" s="12"/>
      <c r="J1645" s="12"/>
      <c r="K1645" s="12"/>
    </row>
    <row r="1646" spans="6:11" x14ac:dyDescent="0.25">
      <c r="F1646" s="12"/>
      <c r="G1646" s="12"/>
      <c r="I1646" s="12"/>
      <c r="J1646" s="12"/>
      <c r="K1646" s="12"/>
    </row>
    <row r="1647" spans="6:11" x14ac:dyDescent="0.25">
      <c r="F1647" s="12"/>
      <c r="G1647" s="12"/>
      <c r="I1647" s="12"/>
      <c r="J1647" s="12"/>
      <c r="K1647" s="12"/>
    </row>
    <row r="1648" spans="6:11" x14ac:dyDescent="0.25">
      <c r="F1648" s="12"/>
      <c r="G1648" s="12"/>
      <c r="I1648" s="12"/>
      <c r="J1648" s="12"/>
      <c r="K1648" s="12"/>
    </row>
    <row r="1649" spans="6:11" x14ac:dyDescent="0.25">
      <c r="F1649" s="12"/>
      <c r="G1649" s="12"/>
      <c r="I1649" s="12"/>
      <c r="J1649" s="12"/>
      <c r="K1649" s="12"/>
    </row>
    <row r="1650" spans="6:11" x14ac:dyDescent="0.25">
      <c r="F1650" s="12"/>
      <c r="G1650" s="12"/>
      <c r="I1650" s="12"/>
      <c r="J1650" s="12"/>
      <c r="K1650" s="12"/>
    </row>
    <row r="1651" spans="6:11" x14ac:dyDescent="0.25">
      <c r="F1651" s="12"/>
      <c r="G1651" s="12"/>
      <c r="I1651" s="12"/>
      <c r="J1651" s="12"/>
      <c r="K1651" s="12"/>
    </row>
    <row r="1652" spans="6:11" x14ac:dyDescent="0.25">
      <c r="F1652" s="12"/>
      <c r="G1652" s="12"/>
      <c r="I1652" s="12"/>
      <c r="J1652" s="12"/>
      <c r="K1652" s="12"/>
    </row>
    <row r="1653" spans="6:11" x14ac:dyDescent="0.25">
      <c r="F1653" s="12"/>
      <c r="G1653" s="12"/>
      <c r="I1653" s="12"/>
      <c r="J1653" s="12"/>
      <c r="K1653" s="12"/>
    </row>
    <row r="1654" spans="6:11" x14ac:dyDescent="0.25">
      <c r="F1654" s="12"/>
      <c r="G1654" s="12"/>
      <c r="I1654" s="12"/>
      <c r="J1654" s="12"/>
      <c r="K1654" s="12"/>
    </row>
    <row r="1655" spans="6:11" x14ac:dyDescent="0.25">
      <c r="F1655" s="12"/>
      <c r="G1655" s="12"/>
      <c r="I1655" s="12"/>
      <c r="J1655" s="12"/>
      <c r="K1655" s="12"/>
    </row>
    <row r="1656" spans="6:11" x14ac:dyDescent="0.25">
      <c r="F1656" s="12"/>
      <c r="G1656" s="12"/>
      <c r="I1656" s="12"/>
      <c r="J1656" s="12"/>
      <c r="K1656" s="12"/>
    </row>
    <row r="1657" spans="6:11" x14ac:dyDescent="0.25">
      <c r="F1657" s="12"/>
      <c r="G1657" s="12"/>
      <c r="I1657" s="12"/>
      <c r="J1657" s="12"/>
      <c r="K1657" s="12"/>
    </row>
    <row r="1658" spans="6:11" x14ac:dyDescent="0.25">
      <c r="F1658" s="12"/>
      <c r="G1658" s="12"/>
      <c r="I1658" s="12"/>
      <c r="J1658" s="12"/>
      <c r="K1658" s="12"/>
    </row>
    <row r="1659" spans="6:11" x14ac:dyDescent="0.25">
      <c r="F1659" s="12"/>
      <c r="G1659" s="12"/>
      <c r="I1659" s="12"/>
      <c r="J1659" s="12"/>
      <c r="K1659" s="12"/>
    </row>
    <row r="1660" spans="6:11" x14ac:dyDescent="0.25">
      <c r="F1660" s="12"/>
      <c r="G1660" s="12"/>
      <c r="I1660" s="12"/>
      <c r="J1660" s="12"/>
      <c r="K1660" s="12"/>
    </row>
    <row r="1661" spans="6:11" x14ac:dyDescent="0.25">
      <c r="F1661" s="12"/>
      <c r="G1661" s="12"/>
      <c r="I1661" s="12"/>
      <c r="J1661" s="12"/>
      <c r="K1661" s="12"/>
    </row>
    <row r="1662" spans="6:11" x14ac:dyDescent="0.25">
      <c r="F1662" s="12"/>
      <c r="G1662" s="12"/>
      <c r="I1662" s="12"/>
      <c r="J1662" s="12"/>
      <c r="K1662" s="12"/>
    </row>
    <row r="1663" spans="6:11" x14ac:dyDescent="0.25">
      <c r="F1663" s="12"/>
      <c r="G1663" s="12"/>
      <c r="I1663" s="12"/>
      <c r="J1663" s="12"/>
      <c r="K1663" s="12"/>
    </row>
    <row r="1664" spans="6:11" x14ac:dyDescent="0.25">
      <c r="F1664" s="12"/>
      <c r="G1664" s="12"/>
      <c r="I1664" s="12"/>
      <c r="J1664" s="12"/>
      <c r="K1664" s="12"/>
    </row>
    <row r="1665" spans="6:11" x14ac:dyDescent="0.25">
      <c r="F1665" s="12"/>
      <c r="G1665" s="12"/>
      <c r="I1665" s="12"/>
      <c r="J1665" s="12"/>
      <c r="K1665" s="12"/>
    </row>
    <row r="1666" spans="6:11" x14ac:dyDescent="0.25">
      <c r="F1666" s="12"/>
      <c r="G1666" s="12"/>
      <c r="I1666" s="12"/>
      <c r="J1666" s="12"/>
      <c r="K1666" s="12"/>
    </row>
    <row r="1667" spans="6:11" x14ac:dyDescent="0.25">
      <c r="F1667" s="12"/>
      <c r="G1667" s="12"/>
      <c r="I1667" s="12"/>
      <c r="J1667" s="12"/>
      <c r="K1667" s="12"/>
    </row>
    <row r="1668" spans="6:11" x14ac:dyDescent="0.25">
      <c r="F1668" s="12"/>
      <c r="G1668" s="12"/>
      <c r="I1668" s="12"/>
      <c r="J1668" s="12"/>
      <c r="K1668" s="12"/>
    </row>
    <row r="1669" spans="6:11" x14ac:dyDescent="0.25">
      <c r="F1669" s="12"/>
      <c r="G1669" s="12"/>
      <c r="I1669" s="12"/>
      <c r="J1669" s="12"/>
      <c r="K1669" s="12"/>
    </row>
    <row r="1670" spans="6:11" x14ac:dyDescent="0.25">
      <c r="F1670" s="12"/>
      <c r="G1670" s="12"/>
      <c r="I1670" s="12"/>
      <c r="J1670" s="12"/>
      <c r="K1670" s="12"/>
    </row>
    <row r="1671" spans="6:11" x14ac:dyDescent="0.25">
      <c r="F1671" s="12"/>
      <c r="G1671" s="12"/>
      <c r="I1671" s="12"/>
      <c r="J1671" s="12"/>
      <c r="K1671" s="12"/>
    </row>
    <row r="1672" spans="6:11" x14ac:dyDescent="0.25">
      <c r="F1672" s="12"/>
      <c r="G1672" s="12"/>
      <c r="I1672" s="12"/>
      <c r="J1672" s="12"/>
      <c r="K1672" s="12"/>
    </row>
    <row r="1673" spans="6:11" x14ac:dyDescent="0.25">
      <c r="F1673" s="12"/>
      <c r="G1673" s="12"/>
      <c r="I1673" s="12"/>
      <c r="J1673" s="12"/>
      <c r="K1673" s="12"/>
    </row>
    <row r="1674" spans="6:11" x14ac:dyDescent="0.25">
      <c r="F1674" s="12"/>
      <c r="G1674" s="12"/>
      <c r="I1674" s="12"/>
      <c r="J1674" s="12"/>
      <c r="K1674" s="12"/>
    </row>
    <row r="1675" spans="6:11" x14ac:dyDescent="0.25">
      <c r="F1675" s="12"/>
      <c r="G1675" s="12"/>
      <c r="I1675" s="12"/>
      <c r="J1675" s="12"/>
      <c r="K1675" s="12"/>
    </row>
    <row r="1676" spans="6:11" x14ac:dyDescent="0.25">
      <c r="F1676" s="12"/>
      <c r="G1676" s="12"/>
      <c r="I1676" s="12"/>
      <c r="J1676" s="12"/>
      <c r="K1676" s="12"/>
    </row>
    <row r="1677" spans="6:11" x14ac:dyDescent="0.25">
      <c r="F1677" s="12"/>
      <c r="G1677" s="12"/>
      <c r="I1677" s="12"/>
      <c r="J1677" s="12"/>
      <c r="K1677" s="12"/>
    </row>
    <row r="1678" spans="6:11" x14ac:dyDescent="0.25">
      <c r="F1678" s="12"/>
      <c r="G1678" s="12"/>
      <c r="I1678" s="12"/>
      <c r="J1678" s="12"/>
      <c r="K1678" s="12"/>
    </row>
    <row r="1679" spans="6:11" x14ac:dyDescent="0.25">
      <c r="F1679" s="12"/>
      <c r="G1679" s="12"/>
      <c r="I1679" s="12"/>
      <c r="J1679" s="12"/>
      <c r="K1679" s="12"/>
    </row>
    <row r="1680" spans="6:11" x14ac:dyDescent="0.25">
      <c r="F1680" s="12"/>
      <c r="G1680" s="12"/>
      <c r="I1680" s="12"/>
      <c r="J1680" s="12"/>
      <c r="K1680" s="12"/>
    </row>
    <row r="1681" spans="6:11" x14ac:dyDescent="0.25">
      <c r="F1681" s="12"/>
      <c r="G1681" s="12"/>
      <c r="I1681" s="12"/>
      <c r="J1681" s="12"/>
      <c r="K1681" s="12"/>
    </row>
    <row r="1682" spans="6:11" x14ac:dyDescent="0.25">
      <c r="F1682" s="12"/>
      <c r="G1682" s="12"/>
      <c r="I1682" s="12"/>
      <c r="J1682" s="12"/>
      <c r="K1682" s="12"/>
    </row>
    <row r="1683" spans="6:11" x14ac:dyDescent="0.25">
      <c r="F1683" s="12"/>
      <c r="G1683" s="12"/>
      <c r="I1683" s="12"/>
      <c r="J1683" s="12"/>
      <c r="K1683" s="12"/>
    </row>
    <row r="1684" spans="6:11" x14ac:dyDescent="0.25">
      <c r="F1684" s="12"/>
      <c r="G1684" s="12"/>
      <c r="I1684" s="12"/>
      <c r="J1684" s="12"/>
      <c r="K1684" s="12"/>
    </row>
    <row r="1685" spans="6:11" x14ac:dyDescent="0.25">
      <c r="F1685" s="12"/>
      <c r="G1685" s="12"/>
      <c r="I1685" s="12"/>
      <c r="J1685" s="12"/>
      <c r="K1685" s="12"/>
    </row>
    <row r="1686" spans="6:11" x14ac:dyDescent="0.25">
      <c r="F1686" s="12"/>
      <c r="G1686" s="12"/>
      <c r="I1686" s="12"/>
      <c r="J1686" s="12"/>
      <c r="K1686" s="12"/>
    </row>
    <row r="1687" spans="6:11" x14ac:dyDescent="0.25">
      <c r="F1687" s="12"/>
      <c r="G1687" s="12"/>
      <c r="I1687" s="12"/>
      <c r="J1687" s="12"/>
      <c r="K1687" s="12"/>
    </row>
    <row r="1688" spans="6:11" x14ac:dyDescent="0.25">
      <c r="F1688" s="12"/>
      <c r="G1688" s="12"/>
      <c r="I1688" s="12"/>
      <c r="J1688" s="12"/>
      <c r="K1688" s="12"/>
    </row>
    <row r="1689" spans="6:11" x14ac:dyDescent="0.25">
      <c r="F1689" s="12"/>
      <c r="G1689" s="12"/>
      <c r="I1689" s="12"/>
      <c r="J1689" s="12"/>
      <c r="K1689" s="12"/>
    </row>
    <row r="1690" spans="6:11" x14ac:dyDescent="0.25">
      <c r="F1690" s="12"/>
      <c r="G1690" s="12"/>
      <c r="I1690" s="12"/>
      <c r="J1690" s="12"/>
      <c r="K1690" s="12"/>
    </row>
    <row r="1691" spans="6:11" x14ac:dyDescent="0.25">
      <c r="F1691" s="12"/>
      <c r="G1691" s="12"/>
      <c r="I1691" s="12"/>
      <c r="J1691" s="12"/>
      <c r="K1691" s="12"/>
    </row>
    <row r="1692" spans="6:11" x14ac:dyDescent="0.25">
      <c r="F1692" s="12"/>
      <c r="G1692" s="12"/>
      <c r="I1692" s="12"/>
      <c r="J1692" s="12"/>
      <c r="K1692" s="12"/>
    </row>
    <row r="1693" spans="6:11" x14ac:dyDescent="0.25">
      <c r="F1693" s="12"/>
      <c r="G1693" s="12"/>
      <c r="I1693" s="12"/>
      <c r="J1693" s="12"/>
      <c r="K1693" s="12"/>
    </row>
    <row r="1694" spans="6:11" x14ac:dyDescent="0.25">
      <c r="F1694" s="12"/>
      <c r="G1694" s="12"/>
      <c r="I1694" s="12"/>
      <c r="J1694" s="12"/>
      <c r="K1694" s="12"/>
    </row>
    <row r="1695" spans="6:11" x14ac:dyDescent="0.25">
      <c r="F1695" s="12"/>
      <c r="G1695" s="12"/>
      <c r="I1695" s="12"/>
      <c r="J1695" s="12"/>
      <c r="K1695" s="12"/>
    </row>
    <row r="1696" spans="6:11" x14ac:dyDescent="0.25">
      <c r="F1696" s="12"/>
      <c r="G1696" s="12"/>
      <c r="I1696" s="12"/>
      <c r="J1696" s="12"/>
      <c r="K1696" s="12"/>
    </row>
    <row r="1697" spans="6:11" x14ac:dyDescent="0.25">
      <c r="F1697" s="12"/>
      <c r="G1697" s="12"/>
      <c r="I1697" s="12"/>
      <c r="J1697" s="12"/>
      <c r="K1697" s="12"/>
    </row>
    <row r="1698" spans="6:11" x14ac:dyDescent="0.25">
      <c r="F1698" s="12"/>
      <c r="G1698" s="12"/>
      <c r="I1698" s="12"/>
      <c r="J1698" s="12"/>
      <c r="K1698" s="12"/>
    </row>
    <row r="1699" spans="6:11" x14ac:dyDescent="0.25">
      <c r="F1699" s="12"/>
      <c r="G1699" s="12"/>
      <c r="I1699" s="12"/>
      <c r="J1699" s="12"/>
      <c r="K1699" s="12"/>
    </row>
    <row r="1700" spans="6:11" x14ac:dyDescent="0.25">
      <c r="F1700" s="12"/>
      <c r="G1700" s="12"/>
      <c r="I1700" s="12"/>
      <c r="J1700" s="12"/>
      <c r="K1700" s="12"/>
    </row>
    <row r="1701" spans="6:11" x14ac:dyDescent="0.25">
      <c r="F1701" s="12"/>
      <c r="G1701" s="12"/>
      <c r="I1701" s="12"/>
      <c r="J1701" s="12"/>
      <c r="K1701" s="12"/>
    </row>
    <row r="1702" spans="6:11" x14ac:dyDescent="0.25">
      <c r="F1702" s="12"/>
      <c r="G1702" s="12"/>
      <c r="I1702" s="12"/>
      <c r="J1702" s="12"/>
      <c r="K1702" s="12"/>
    </row>
    <row r="1703" spans="6:11" x14ac:dyDescent="0.25">
      <c r="F1703" s="12"/>
      <c r="G1703" s="12"/>
      <c r="I1703" s="12"/>
      <c r="J1703" s="12"/>
      <c r="K1703" s="12"/>
    </row>
    <row r="1704" spans="6:11" x14ac:dyDescent="0.25">
      <c r="F1704" s="12"/>
      <c r="G1704" s="12"/>
      <c r="I1704" s="12"/>
      <c r="J1704" s="12"/>
      <c r="K1704" s="12"/>
    </row>
    <row r="1705" spans="6:11" x14ac:dyDescent="0.25">
      <c r="F1705" s="12"/>
      <c r="G1705" s="12"/>
      <c r="I1705" s="12"/>
      <c r="J1705" s="12"/>
      <c r="K1705" s="12"/>
    </row>
    <row r="1706" spans="6:11" x14ac:dyDescent="0.25">
      <c r="F1706" s="12"/>
      <c r="G1706" s="12"/>
      <c r="I1706" s="12"/>
      <c r="J1706" s="12"/>
      <c r="K1706" s="12"/>
    </row>
    <row r="1707" spans="6:11" x14ac:dyDescent="0.25">
      <c r="F1707" s="12"/>
      <c r="G1707" s="12"/>
      <c r="I1707" s="12"/>
      <c r="J1707" s="12"/>
      <c r="K1707" s="12"/>
    </row>
    <row r="1708" spans="6:11" x14ac:dyDescent="0.25">
      <c r="F1708" s="12"/>
      <c r="G1708" s="12"/>
      <c r="I1708" s="12"/>
      <c r="J1708" s="12"/>
      <c r="K1708" s="12"/>
    </row>
    <row r="1709" spans="6:11" x14ac:dyDescent="0.25">
      <c r="F1709" s="12"/>
      <c r="G1709" s="12"/>
      <c r="I1709" s="12"/>
      <c r="J1709" s="12"/>
      <c r="K1709" s="12"/>
    </row>
    <row r="1710" spans="6:11" x14ac:dyDescent="0.25">
      <c r="F1710" s="12"/>
      <c r="G1710" s="12"/>
      <c r="I1710" s="12"/>
      <c r="J1710" s="12"/>
      <c r="K1710" s="12"/>
    </row>
    <row r="1711" spans="6:11" x14ac:dyDescent="0.25">
      <c r="F1711" s="12"/>
      <c r="G1711" s="12"/>
      <c r="I1711" s="12"/>
      <c r="J1711" s="12"/>
      <c r="K1711" s="12"/>
    </row>
    <row r="1712" spans="6:11" x14ac:dyDescent="0.25">
      <c r="F1712" s="12"/>
      <c r="G1712" s="12"/>
      <c r="I1712" s="12"/>
      <c r="J1712" s="12"/>
      <c r="K1712" s="12"/>
    </row>
    <row r="1713" spans="6:11" x14ac:dyDescent="0.25">
      <c r="F1713" s="12"/>
      <c r="G1713" s="12"/>
      <c r="I1713" s="12"/>
      <c r="J1713" s="12"/>
      <c r="K1713" s="12"/>
    </row>
    <row r="1714" spans="6:11" x14ac:dyDescent="0.25">
      <c r="F1714" s="12"/>
      <c r="G1714" s="12"/>
      <c r="I1714" s="12"/>
      <c r="J1714" s="12"/>
      <c r="K1714" s="12"/>
    </row>
    <row r="1715" spans="6:11" x14ac:dyDescent="0.25">
      <c r="F1715" s="12"/>
      <c r="G1715" s="12"/>
      <c r="I1715" s="12"/>
      <c r="J1715" s="12"/>
      <c r="K1715" s="12"/>
    </row>
    <row r="1716" spans="6:11" x14ac:dyDescent="0.25">
      <c r="F1716" s="12"/>
      <c r="G1716" s="12"/>
      <c r="I1716" s="12"/>
      <c r="J1716" s="12"/>
      <c r="K1716" s="12"/>
    </row>
    <row r="1717" spans="6:11" x14ac:dyDescent="0.25">
      <c r="F1717" s="12"/>
      <c r="G1717" s="12"/>
      <c r="I1717" s="12"/>
      <c r="J1717" s="12"/>
      <c r="K1717" s="12"/>
    </row>
    <row r="1718" spans="6:11" x14ac:dyDescent="0.25">
      <c r="F1718" s="12"/>
      <c r="G1718" s="12"/>
      <c r="I1718" s="12"/>
      <c r="J1718" s="12"/>
      <c r="K1718" s="12"/>
    </row>
    <row r="1719" spans="6:11" x14ac:dyDescent="0.25">
      <c r="F1719" s="12"/>
      <c r="G1719" s="12"/>
      <c r="I1719" s="12"/>
      <c r="J1719" s="12"/>
      <c r="K1719" s="12"/>
    </row>
    <row r="1720" spans="6:11" x14ac:dyDescent="0.25">
      <c r="F1720" s="12"/>
      <c r="G1720" s="12"/>
      <c r="I1720" s="12"/>
      <c r="J1720" s="12"/>
      <c r="K1720" s="12"/>
    </row>
    <row r="1721" spans="6:11" x14ac:dyDescent="0.25">
      <c r="F1721" s="12"/>
      <c r="G1721" s="12"/>
      <c r="I1721" s="12"/>
      <c r="J1721" s="12"/>
      <c r="K1721" s="12"/>
    </row>
    <row r="1722" spans="6:11" x14ac:dyDescent="0.25">
      <c r="F1722" s="12"/>
      <c r="G1722" s="12"/>
      <c r="I1722" s="12"/>
      <c r="J1722" s="12"/>
      <c r="K1722" s="12"/>
    </row>
    <row r="1723" spans="6:11" x14ac:dyDescent="0.25">
      <c r="F1723" s="12"/>
      <c r="G1723" s="12"/>
      <c r="I1723" s="12"/>
      <c r="J1723" s="12"/>
      <c r="K1723" s="12"/>
    </row>
    <row r="1724" spans="6:11" x14ac:dyDescent="0.25">
      <c r="F1724" s="12"/>
      <c r="G1724" s="12"/>
      <c r="I1724" s="12"/>
      <c r="J1724" s="12"/>
      <c r="K1724" s="12"/>
    </row>
    <row r="1725" spans="6:11" x14ac:dyDescent="0.25">
      <c r="F1725" s="12"/>
      <c r="G1725" s="12"/>
      <c r="I1725" s="12"/>
      <c r="J1725" s="12"/>
      <c r="K1725" s="12"/>
    </row>
    <row r="1726" spans="6:11" x14ac:dyDescent="0.25">
      <c r="F1726" s="12"/>
      <c r="G1726" s="12"/>
      <c r="I1726" s="12"/>
      <c r="J1726" s="12"/>
      <c r="K1726" s="12"/>
    </row>
    <row r="1727" spans="6:11" x14ac:dyDescent="0.25">
      <c r="F1727" s="12"/>
      <c r="G1727" s="12"/>
      <c r="I1727" s="12"/>
      <c r="J1727" s="12"/>
      <c r="K1727" s="12"/>
    </row>
    <row r="1728" spans="6:11" x14ac:dyDescent="0.25">
      <c r="F1728" s="12"/>
      <c r="G1728" s="12"/>
      <c r="I1728" s="12"/>
      <c r="J1728" s="12"/>
      <c r="K1728" s="12"/>
    </row>
    <row r="1729" spans="6:11" x14ac:dyDescent="0.25">
      <c r="F1729" s="12"/>
      <c r="G1729" s="12"/>
      <c r="I1729" s="12"/>
      <c r="J1729" s="12"/>
      <c r="K1729" s="12"/>
    </row>
    <row r="1730" spans="6:11" x14ac:dyDescent="0.25">
      <c r="F1730" s="12"/>
      <c r="G1730" s="12"/>
      <c r="I1730" s="12"/>
      <c r="J1730" s="12"/>
      <c r="K1730" s="12"/>
    </row>
    <row r="1731" spans="6:11" x14ac:dyDescent="0.25">
      <c r="F1731" s="12"/>
      <c r="G1731" s="12"/>
      <c r="I1731" s="12"/>
      <c r="J1731" s="12"/>
      <c r="K1731" s="12"/>
    </row>
    <row r="1732" spans="6:11" x14ac:dyDescent="0.25">
      <c r="F1732" s="12"/>
      <c r="G1732" s="12"/>
      <c r="I1732" s="12"/>
      <c r="J1732" s="12"/>
      <c r="K1732" s="12"/>
    </row>
    <row r="1733" spans="6:11" x14ac:dyDescent="0.25">
      <c r="F1733" s="12"/>
      <c r="G1733" s="12"/>
      <c r="I1733" s="12"/>
      <c r="J1733" s="12"/>
      <c r="K1733" s="12"/>
    </row>
    <row r="1734" spans="6:11" x14ac:dyDescent="0.25">
      <c r="F1734" s="12"/>
      <c r="G1734" s="12"/>
      <c r="I1734" s="12"/>
      <c r="J1734" s="12"/>
      <c r="K1734" s="12"/>
    </row>
    <row r="1735" spans="6:11" x14ac:dyDescent="0.25">
      <c r="F1735" s="12"/>
      <c r="G1735" s="12"/>
      <c r="I1735" s="12"/>
      <c r="J1735" s="12"/>
      <c r="K1735" s="12"/>
    </row>
    <row r="1736" spans="6:11" x14ac:dyDescent="0.25">
      <c r="F1736" s="12"/>
      <c r="G1736" s="12"/>
      <c r="I1736" s="12"/>
      <c r="J1736" s="12"/>
      <c r="K1736" s="12"/>
    </row>
    <row r="1737" spans="6:11" x14ac:dyDescent="0.25">
      <c r="F1737" s="12"/>
      <c r="G1737" s="12"/>
      <c r="I1737" s="12"/>
      <c r="J1737" s="12"/>
      <c r="K1737" s="12"/>
    </row>
    <row r="1738" spans="6:11" x14ac:dyDescent="0.25">
      <c r="F1738" s="12"/>
      <c r="G1738" s="12"/>
      <c r="I1738" s="12"/>
      <c r="J1738" s="12"/>
      <c r="K1738" s="12"/>
    </row>
    <row r="1739" spans="6:11" x14ac:dyDescent="0.25">
      <c r="F1739" s="12"/>
      <c r="G1739" s="12"/>
      <c r="I1739" s="12"/>
      <c r="J1739" s="12"/>
      <c r="K1739" s="12"/>
    </row>
    <row r="1740" spans="6:11" x14ac:dyDescent="0.25">
      <c r="F1740" s="12"/>
      <c r="G1740" s="12"/>
      <c r="I1740" s="12"/>
      <c r="J1740" s="12"/>
      <c r="K1740" s="12"/>
    </row>
    <row r="1741" spans="6:11" x14ac:dyDescent="0.25">
      <c r="F1741" s="12"/>
      <c r="G1741" s="12"/>
      <c r="I1741" s="12"/>
      <c r="J1741" s="12"/>
      <c r="K1741" s="12"/>
    </row>
    <row r="1742" spans="6:11" x14ac:dyDescent="0.25">
      <c r="F1742" s="12"/>
      <c r="G1742" s="12"/>
      <c r="I1742" s="12"/>
      <c r="J1742" s="12"/>
      <c r="K1742" s="12"/>
    </row>
    <row r="1743" spans="6:11" x14ac:dyDescent="0.25">
      <c r="F1743" s="12"/>
      <c r="G1743" s="12"/>
      <c r="I1743" s="12"/>
      <c r="J1743" s="12"/>
      <c r="K1743" s="12"/>
    </row>
    <row r="1744" spans="6:11" x14ac:dyDescent="0.25">
      <c r="F1744" s="12"/>
      <c r="G1744" s="12"/>
      <c r="I1744" s="12"/>
      <c r="J1744" s="12"/>
      <c r="K1744" s="12"/>
    </row>
    <row r="1745" spans="6:11" x14ac:dyDescent="0.25">
      <c r="F1745" s="12"/>
      <c r="G1745" s="12"/>
      <c r="I1745" s="12"/>
      <c r="J1745" s="12"/>
      <c r="K1745" s="12"/>
    </row>
    <row r="1746" spans="6:11" x14ac:dyDescent="0.25">
      <c r="F1746" s="12"/>
      <c r="G1746" s="12"/>
      <c r="I1746" s="12"/>
      <c r="J1746" s="12"/>
      <c r="K1746" s="12"/>
    </row>
    <row r="1747" spans="6:11" x14ac:dyDescent="0.25">
      <c r="F1747" s="12"/>
      <c r="G1747" s="12"/>
      <c r="I1747" s="12"/>
      <c r="J1747" s="12"/>
      <c r="K1747" s="12"/>
    </row>
    <row r="1748" spans="6:11" x14ac:dyDescent="0.25">
      <c r="F1748" s="12"/>
      <c r="G1748" s="12"/>
      <c r="I1748" s="12"/>
      <c r="J1748" s="12"/>
      <c r="K1748" s="12"/>
    </row>
    <row r="1749" spans="6:11" x14ac:dyDescent="0.25">
      <c r="F1749" s="12"/>
      <c r="G1749" s="12"/>
      <c r="I1749" s="12"/>
      <c r="J1749" s="12"/>
      <c r="K1749" s="12"/>
    </row>
    <row r="1750" spans="6:11" x14ac:dyDescent="0.25">
      <c r="F1750" s="12"/>
      <c r="G1750" s="12"/>
      <c r="I1750" s="12"/>
      <c r="J1750" s="12"/>
      <c r="K1750" s="12"/>
    </row>
    <row r="1751" spans="6:11" x14ac:dyDescent="0.25">
      <c r="F1751" s="12"/>
      <c r="G1751" s="12"/>
      <c r="I1751" s="12"/>
      <c r="J1751" s="12"/>
      <c r="K1751" s="12"/>
    </row>
    <row r="1752" spans="6:11" x14ac:dyDescent="0.25">
      <c r="F1752" s="12"/>
      <c r="G1752" s="12"/>
      <c r="I1752" s="12"/>
      <c r="J1752" s="12"/>
      <c r="K1752" s="12"/>
    </row>
    <row r="1753" spans="6:11" x14ac:dyDescent="0.25">
      <c r="F1753" s="12"/>
      <c r="G1753" s="12"/>
      <c r="I1753" s="12"/>
      <c r="J1753" s="12"/>
      <c r="K1753" s="12"/>
    </row>
    <row r="1754" spans="6:11" x14ac:dyDescent="0.25">
      <c r="F1754" s="12"/>
      <c r="G1754" s="12"/>
      <c r="I1754" s="12"/>
      <c r="J1754" s="12"/>
      <c r="K1754" s="12"/>
    </row>
    <row r="1755" spans="6:11" x14ac:dyDescent="0.25">
      <c r="F1755" s="12"/>
      <c r="G1755" s="12"/>
      <c r="I1755" s="12"/>
      <c r="J1755" s="12"/>
      <c r="K1755" s="12"/>
    </row>
    <row r="1756" spans="6:11" x14ac:dyDescent="0.25">
      <c r="F1756" s="12"/>
      <c r="G1756" s="12"/>
      <c r="I1756" s="12"/>
      <c r="J1756" s="12"/>
      <c r="K1756" s="12"/>
    </row>
    <row r="1757" spans="6:11" x14ac:dyDescent="0.25">
      <c r="F1757" s="12"/>
      <c r="G1757" s="12"/>
      <c r="I1757" s="12"/>
      <c r="J1757" s="12"/>
      <c r="K1757" s="12"/>
    </row>
    <row r="1758" spans="6:11" x14ac:dyDescent="0.25">
      <c r="F1758" s="12"/>
      <c r="G1758" s="12"/>
      <c r="I1758" s="12"/>
      <c r="J1758" s="12"/>
      <c r="K1758" s="12"/>
    </row>
    <row r="1759" spans="6:11" x14ac:dyDescent="0.25">
      <c r="F1759" s="12"/>
      <c r="G1759" s="12"/>
      <c r="I1759" s="12"/>
      <c r="J1759" s="12"/>
      <c r="K1759" s="12"/>
    </row>
    <row r="1760" spans="6:11" x14ac:dyDescent="0.25">
      <c r="F1760" s="12"/>
      <c r="G1760" s="12"/>
      <c r="I1760" s="12"/>
      <c r="J1760" s="12"/>
      <c r="K1760" s="12"/>
    </row>
    <row r="1761" spans="6:11" x14ac:dyDescent="0.25">
      <c r="F1761" s="12"/>
      <c r="G1761" s="12"/>
      <c r="I1761" s="12"/>
      <c r="J1761" s="12"/>
      <c r="K1761" s="12"/>
    </row>
    <row r="1762" spans="6:11" x14ac:dyDescent="0.25">
      <c r="F1762" s="12"/>
      <c r="G1762" s="12"/>
      <c r="I1762" s="12"/>
      <c r="J1762" s="12"/>
      <c r="K1762" s="12"/>
    </row>
    <row r="1763" spans="6:11" x14ac:dyDescent="0.25">
      <c r="F1763" s="12"/>
      <c r="G1763" s="12"/>
      <c r="I1763" s="12"/>
      <c r="J1763" s="12"/>
      <c r="K1763" s="12"/>
    </row>
    <row r="1764" spans="6:11" x14ac:dyDescent="0.25">
      <c r="F1764" s="12"/>
      <c r="G1764" s="12"/>
      <c r="I1764" s="12"/>
      <c r="J1764" s="12"/>
      <c r="K1764" s="12"/>
    </row>
    <row r="1765" spans="6:11" x14ac:dyDescent="0.25">
      <c r="F1765" s="12"/>
      <c r="G1765" s="12"/>
      <c r="I1765" s="12"/>
      <c r="J1765" s="12"/>
      <c r="K1765" s="12"/>
    </row>
    <row r="1766" spans="6:11" x14ac:dyDescent="0.25">
      <c r="F1766" s="12"/>
      <c r="G1766" s="12"/>
      <c r="I1766" s="12"/>
      <c r="J1766" s="12"/>
      <c r="K1766" s="12"/>
    </row>
    <row r="1767" spans="6:11" x14ac:dyDescent="0.25">
      <c r="F1767" s="12"/>
      <c r="G1767" s="12"/>
      <c r="I1767" s="12"/>
      <c r="J1767" s="12"/>
      <c r="K1767" s="12"/>
    </row>
    <row r="1768" spans="6:11" x14ac:dyDescent="0.25">
      <c r="F1768" s="12"/>
      <c r="G1768" s="12"/>
      <c r="I1768" s="12"/>
      <c r="J1768" s="12"/>
      <c r="K1768" s="12"/>
    </row>
    <row r="1769" spans="6:11" x14ac:dyDescent="0.25">
      <c r="F1769" s="12"/>
      <c r="G1769" s="12"/>
      <c r="I1769" s="12"/>
      <c r="J1769" s="12"/>
      <c r="K1769" s="12"/>
    </row>
    <row r="1770" spans="6:11" x14ac:dyDescent="0.25">
      <c r="F1770" s="12"/>
      <c r="G1770" s="12"/>
      <c r="I1770" s="12"/>
      <c r="J1770" s="12"/>
      <c r="K1770" s="12"/>
    </row>
    <row r="1771" spans="6:11" x14ac:dyDescent="0.25">
      <c r="F1771" s="12"/>
      <c r="G1771" s="12"/>
      <c r="I1771" s="12"/>
      <c r="J1771" s="12"/>
      <c r="K1771" s="12"/>
    </row>
    <row r="1772" spans="6:11" x14ac:dyDescent="0.25">
      <c r="F1772" s="12"/>
      <c r="G1772" s="12"/>
      <c r="I1772" s="12"/>
      <c r="J1772" s="12"/>
      <c r="K1772" s="12"/>
    </row>
    <row r="1773" spans="6:11" x14ac:dyDescent="0.25">
      <c r="F1773" s="12"/>
      <c r="G1773" s="12"/>
      <c r="I1773" s="12"/>
      <c r="J1773" s="12"/>
      <c r="K1773" s="12"/>
    </row>
    <row r="1774" spans="6:11" x14ac:dyDescent="0.25">
      <c r="F1774" s="12"/>
      <c r="G1774" s="12"/>
      <c r="I1774" s="12"/>
      <c r="J1774" s="12"/>
      <c r="K1774" s="12"/>
    </row>
    <row r="1775" spans="6:11" x14ac:dyDescent="0.25">
      <c r="F1775" s="12"/>
      <c r="G1775" s="12"/>
      <c r="I1775" s="12"/>
      <c r="J1775" s="12"/>
      <c r="K1775" s="12"/>
    </row>
    <row r="1776" spans="6:11" x14ac:dyDescent="0.25">
      <c r="F1776" s="12"/>
      <c r="G1776" s="12"/>
      <c r="I1776" s="12"/>
      <c r="J1776" s="12"/>
      <c r="K1776" s="12"/>
    </row>
    <row r="1777" spans="6:11" x14ac:dyDescent="0.25">
      <c r="F1777" s="12"/>
      <c r="G1777" s="12"/>
      <c r="I1777" s="12"/>
      <c r="J1777" s="12"/>
      <c r="K1777" s="12"/>
    </row>
    <row r="1778" spans="6:11" x14ac:dyDescent="0.25">
      <c r="F1778" s="12"/>
      <c r="G1778" s="12"/>
      <c r="I1778" s="12"/>
      <c r="J1778" s="12"/>
      <c r="K1778" s="12"/>
    </row>
    <row r="1779" spans="6:11" x14ac:dyDescent="0.25">
      <c r="F1779" s="12"/>
      <c r="G1779" s="12"/>
      <c r="I1779" s="12"/>
      <c r="J1779" s="12"/>
      <c r="K1779" s="12"/>
    </row>
    <row r="1780" spans="6:11" x14ac:dyDescent="0.25">
      <c r="F1780" s="12"/>
      <c r="G1780" s="12"/>
      <c r="I1780" s="12"/>
      <c r="J1780" s="12"/>
      <c r="K1780" s="12"/>
    </row>
    <row r="1781" spans="6:11" x14ac:dyDescent="0.25">
      <c r="F1781" s="12"/>
      <c r="G1781" s="12"/>
      <c r="I1781" s="12"/>
      <c r="J1781" s="12"/>
      <c r="K1781" s="12"/>
    </row>
    <row r="1782" spans="6:11" x14ac:dyDescent="0.25">
      <c r="F1782" s="12"/>
      <c r="G1782" s="12"/>
      <c r="I1782" s="12"/>
      <c r="J1782" s="12"/>
      <c r="K1782" s="12"/>
    </row>
    <row r="1783" spans="6:11" x14ac:dyDescent="0.25">
      <c r="F1783" s="12"/>
      <c r="G1783" s="12"/>
      <c r="I1783" s="12"/>
      <c r="J1783" s="12"/>
      <c r="K1783" s="12"/>
    </row>
    <row r="1784" spans="6:11" x14ac:dyDescent="0.25">
      <c r="F1784" s="12"/>
      <c r="G1784" s="12"/>
      <c r="I1784" s="12"/>
      <c r="J1784" s="12"/>
      <c r="K1784" s="12"/>
    </row>
    <row r="1785" spans="6:11" x14ac:dyDescent="0.25">
      <c r="F1785" s="12"/>
      <c r="G1785" s="12"/>
      <c r="I1785" s="12"/>
      <c r="J1785" s="12"/>
      <c r="K1785" s="12"/>
    </row>
    <row r="1786" spans="6:11" x14ac:dyDescent="0.25">
      <c r="F1786" s="12"/>
      <c r="G1786" s="12"/>
      <c r="I1786" s="12"/>
      <c r="J1786" s="12"/>
      <c r="K1786" s="12"/>
    </row>
    <row r="1787" spans="6:11" x14ac:dyDescent="0.25">
      <c r="F1787" s="12"/>
      <c r="G1787" s="12"/>
      <c r="I1787" s="12"/>
      <c r="J1787" s="12"/>
      <c r="K1787" s="12"/>
    </row>
    <row r="1788" spans="6:11" x14ac:dyDescent="0.25">
      <c r="F1788" s="12"/>
      <c r="G1788" s="12"/>
      <c r="I1788" s="12"/>
      <c r="J1788" s="12"/>
      <c r="K1788" s="12"/>
    </row>
    <row r="1789" spans="6:11" x14ac:dyDescent="0.25">
      <c r="F1789" s="12"/>
      <c r="G1789" s="12"/>
      <c r="I1789" s="12"/>
      <c r="J1789" s="12"/>
      <c r="K1789" s="12"/>
    </row>
    <row r="1790" spans="6:11" x14ac:dyDescent="0.25">
      <c r="F1790" s="12"/>
      <c r="G1790" s="12"/>
      <c r="I1790" s="12"/>
      <c r="J1790" s="12"/>
      <c r="K1790" s="12"/>
    </row>
    <row r="1791" spans="6:11" x14ac:dyDescent="0.25">
      <c r="F1791" s="12"/>
      <c r="G1791" s="12"/>
      <c r="I1791" s="12"/>
      <c r="J1791" s="12"/>
      <c r="K1791" s="12"/>
    </row>
    <row r="1792" spans="6:11" x14ac:dyDescent="0.25">
      <c r="F1792" s="12"/>
      <c r="G1792" s="12"/>
      <c r="I1792" s="12"/>
      <c r="J1792" s="12"/>
      <c r="K1792" s="12"/>
    </row>
    <row r="1793" spans="6:11" x14ac:dyDescent="0.25">
      <c r="F1793" s="12"/>
      <c r="G1793" s="12"/>
      <c r="I1793" s="12"/>
      <c r="J1793" s="12"/>
      <c r="K1793" s="12"/>
    </row>
    <row r="1794" spans="6:11" x14ac:dyDescent="0.25">
      <c r="F1794" s="12"/>
      <c r="G1794" s="12"/>
      <c r="I1794" s="12"/>
      <c r="J1794" s="12"/>
      <c r="K1794" s="12"/>
    </row>
    <row r="1795" spans="6:11" x14ac:dyDescent="0.25">
      <c r="F1795" s="12"/>
      <c r="G1795" s="12"/>
      <c r="I1795" s="12"/>
      <c r="J1795" s="12"/>
      <c r="K1795" s="12"/>
    </row>
    <row r="1796" spans="6:11" x14ac:dyDescent="0.25">
      <c r="F1796" s="12"/>
      <c r="G1796" s="12"/>
      <c r="I1796" s="12"/>
      <c r="J1796" s="12"/>
      <c r="K1796" s="12"/>
    </row>
    <row r="1797" spans="6:11" x14ac:dyDescent="0.25">
      <c r="F1797" s="12"/>
      <c r="G1797" s="12"/>
      <c r="I1797" s="12"/>
      <c r="J1797" s="12"/>
      <c r="K1797" s="12"/>
    </row>
    <row r="1798" spans="6:11" x14ac:dyDescent="0.25">
      <c r="F1798" s="12"/>
      <c r="G1798" s="12"/>
      <c r="I1798" s="12"/>
      <c r="J1798" s="12"/>
      <c r="K1798" s="12"/>
    </row>
    <row r="1799" spans="6:11" x14ac:dyDescent="0.25">
      <c r="F1799" s="12"/>
      <c r="G1799" s="12"/>
      <c r="I1799" s="12"/>
      <c r="J1799" s="12"/>
      <c r="K1799" s="12"/>
    </row>
    <row r="1800" spans="6:11" x14ac:dyDescent="0.25">
      <c r="F1800" s="12"/>
      <c r="G1800" s="12"/>
      <c r="I1800" s="12"/>
      <c r="J1800" s="12"/>
      <c r="K1800" s="12"/>
    </row>
    <row r="1801" spans="6:11" x14ac:dyDescent="0.25">
      <c r="F1801" s="12"/>
      <c r="G1801" s="12"/>
      <c r="I1801" s="12"/>
      <c r="J1801" s="12"/>
      <c r="K1801" s="12"/>
    </row>
    <row r="1802" spans="6:11" x14ac:dyDescent="0.25">
      <c r="F1802" s="12"/>
      <c r="G1802" s="12"/>
      <c r="I1802" s="12"/>
      <c r="J1802" s="12"/>
      <c r="K1802" s="12"/>
    </row>
    <row r="1803" spans="6:11" x14ac:dyDescent="0.25">
      <c r="F1803" s="12"/>
      <c r="G1803" s="12"/>
      <c r="I1803" s="12"/>
      <c r="J1803" s="12"/>
      <c r="K1803" s="12"/>
    </row>
    <row r="1804" spans="6:11" x14ac:dyDescent="0.25">
      <c r="F1804" s="12"/>
      <c r="G1804" s="12"/>
      <c r="I1804" s="12"/>
      <c r="J1804" s="12"/>
      <c r="K1804" s="12"/>
    </row>
    <row r="1805" spans="6:11" x14ac:dyDescent="0.25">
      <c r="F1805" s="12"/>
      <c r="G1805" s="12"/>
      <c r="I1805" s="12"/>
      <c r="J1805" s="12"/>
      <c r="K1805" s="12"/>
    </row>
    <row r="1806" spans="6:11" x14ac:dyDescent="0.25">
      <c r="F1806" s="12"/>
      <c r="G1806" s="12"/>
      <c r="I1806" s="12"/>
      <c r="J1806" s="12"/>
      <c r="K1806" s="12"/>
    </row>
    <row r="1807" spans="6:11" x14ac:dyDescent="0.25">
      <c r="F1807" s="12"/>
      <c r="G1807" s="12"/>
      <c r="I1807" s="12"/>
      <c r="J1807" s="12"/>
      <c r="K1807" s="12"/>
    </row>
    <row r="1808" spans="6:11" x14ac:dyDescent="0.25">
      <c r="F1808" s="12"/>
      <c r="G1808" s="12"/>
      <c r="I1808" s="12"/>
      <c r="J1808" s="12"/>
      <c r="K1808" s="12"/>
    </row>
    <row r="1809" spans="6:11" x14ac:dyDescent="0.25">
      <c r="F1809" s="12"/>
      <c r="G1809" s="12"/>
      <c r="I1809" s="12"/>
      <c r="J1809" s="12"/>
      <c r="K1809" s="12"/>
    </row>
    <row r="1810" spans="6:11" x14ac:dyDescent="0.25">
      <c r="F1810" s="12"/>
      <c r="G1810" s="12"/>
      <c r="I1810" s="12"/>
      <c r="J1810" s="12"/>
      <c r="K1810" s="12"/>
    </row>
    <row r="1811" spans="6:11" x14ac:dyDescent="0.25">
      <c r="F1811" s="12"/>
      <c r="G1811" s="12"/>
      <c r="I1811" s="12"/>
      <c r="J1811" s="12"/>
      <c r="K1811" s="12"/>
    </row>
    <row r="1812" spans="6:11" x14ac:dyDescent="0.25">
      <c r="F1812" s="12"/>
      <c r="G1812" s="12"/>
      <c r="I1812" s="12"/>
      <c r="J1812" s="12"/>
      <c r="K1812" s="12"/>
    </row>
    <row r="1813" spans="6:11" x14ac:dyDescent="0.25">
      <c r="F1813" s="12"/>
      <c r="G1813" s="12"/>
      <c r="I1813" s="12"/>
      <c r="J1813" s="12"/>
      <c r="K1813" s="12"/>
    </row>
    <row r="1814" spans="6:11" x14ac:dyDescent="0.25">
      <c r="F1814" s="12"/>
      <c r="G1814" s="12"/>
      <c r="I1814" s="12"/>
      <c r="J1814" s="12"/>
      <c r="K1814" s="12"/>
    </row>
    <row r="1815" spans="6:11" x14ac:dyDescent="0.25">
      <c r="F1815" s="12"/>
      <c r="G1815" s="12"/>
      <c r="I1815" s="12"/>
      <c r="J1815" s="12"/>
      <c r="K1815" s="12"/>
    </row>
    <row r="1816" spans="6:11" x14ac:dyDescent="0.25">
      <c r="F1816" s="12"/>
      <c r="G1816" s="12"/>
      <c r="I1816" s="12"/>
      <c r="J1816" s="12"/>
      <c r="K1816" s="12"/>
    </row>
    <row r="1817" spans="6:11" x14ac:dyDescent="0.25">
      <c r="F1817" s="12"/>
      <c r="G1817" s="12"/>
      <c r="I1817" s="12"/>
      <c r="J1817" s="12"/>
      <c r="K1817" s="12"/>
    </row>
    <row r="1818" spans="6:11" x14ac:dyDescent="0.25">
      <c r="F1818" s="12"/>
      <c r="G1818" s="12"/>
      <c r="I1818" s="12"/>
      <c r="J1818" s="12"/>
      <c r="K1818" s="12"/>
    </row>
    <row r="1819" spans="6:11" x14ac:dyDescent="0.25">
      <c r="F1819" s="12"/>
      <c r="G1819" s="12"/>
      <c r="I1819" s="12"/>
      <c r="J1819" s="12"/>
      <c r="K1819" s="12"/>
    </row>
    <row r="1820" spans="6:11" x14ac:dyDescent="0.25">
      <c r="F1820" s="12"/>
      <c r="G1820" s="12"/>
      <c r="I1820" s="12"/>
      <c r="J1820" s="12"/>
      <c r="K1820" s="12"/>
    </row>
    <row r="1821" spans="6:11" x14ac:dyDescent="0.25">
      <c r="F1821" s="12"/>
      <c r="G1821" s="12"/>
      <c r="I1821" s="12"/>
      <c r="J1821" s="12"/>
      <c r="K1821" s="12"/>
    </row>
    <row r="1822" spans="6:11" x14ac:dyDescent="0.25">
      <c r="F1822" s="12"/>
      <c r="G1822" s="12"/>
      <c r="I1822" s="12"/>
      <c r="J1822" s="12"/>
      <c r="K1822" s="12"/>
    </row>
    <row r="1823" spans="6:11" x14ac:dyDescent="0.25">
      <c r="F1823" s="12"/>
      <c r="G1823" s="12"/>
      <c r="I1823" s="12"/>
      <c r="J1823" s="12"/>
      <c r="K1823" s="12"/>
    </row>
    <row r="1824" spans="6:11" x14ac:dyDescent="0.25">
      <c r="F1824" s="12"/>
      <c r="G1824" s="12"/>
      <c r="I1824" s="12"/>
      <c r="J1824" s="12"/>
      <c r="K1824" s="12"/>
    </row>
    <row r="1825" spans="6:11" x14ac:dyDescent="0.25">
      <c r="F1825" s="12"/>
      <c r="G1825" s="12"/>
      <c r="I1825" s="12"/>
      <c r="J1825" s="12"/>
      <c r="K1825" s="12"/>
    </row>
    <row r="1826" spans="6:11" x14ac:dyDescent="0.25">
      <c r="F1826" s="12"/>
      <c r="G1826" s="12"/>
      <c r="I1826" s="12"/>
      <c r="J1826" s="12"/>
      <c r="K1826" s="12"/>
    </row>
    <row r="1827" spans="6:11" x14ac:dyDescent="0.25">
      <c r="F1827" s="12"/>
      <c r="G1827" s="12"/>
      <c r="I1827" s="12"/>
      <c r="J1827" s="12"/>
      <c r="K1827" s="12"/>
    </row>
    <row r="1828" spans="6:11" x14ac:dyDescent="0.25">
      <c r="F1828" s="12"/>
      <c r="G1828" s="12"/>
      <c r="I1828" s="12"/>
      <c r="J1828" s="12"/>
      <c r="K1828" s="12"/>
    </row>
    <row r="1829" spans="6:11" x14ac:dyDescent="0.25">
      <c r="F1829" s="12"/>
      <c r="G1829" s="12"/>
      <c r="I1829" s="12"/>
      <c r="J1829" s="12"/>
      <c r="K1829" s="12"/>
    </row>
    <row r="1830" spans="6:11" x14ac:dyDescent="0.25">
      <c r="F1830" s="12"/>
      <c r="G1830" s="12"/>
      <c r="I1830" s="12"/>
      <c r="J1830" s="12"/>
      <c r="K1830" s="12"/>
    </row>
    <row r="1831" spans="6:11" x14ac:dyDescent="0.25">
      <c r="F1831" s="12"/>
      <c r="G1831" s="12"/>
      <c r="I1831" s="12"/>
      <c r="J1831" s="12"/>
      <c r="K1831" s="12"/>
    </row>
    <row r="1832" spans="6:11" x14ac:dyDescent="0.25">
      <c r="F1832" s="12"/>
      <c r="G1832" s="12"/>
      <c r="I1832" s="12"/>
      <c r="J1832" s="12"/>
      <c r="K1832" s="12"/>
    </row>
    <row r="1833" spans="6:11" x14ac:dyDescent="0.25">
      <c r="F1833" s="12"/>
      <c r="G1833" s="12"/>
      <c r="I1833" s="12"/>
      <c r="J1833" s="12"/>
      <c r="K1833" s="12"/>
    </row>
    <row r="1834" spans="6:11" x14ac:dyDescent="0.25">
      <c r="F1834" s="12"/>
      <c r="G1834" s="12"/>
      <c r="I1834" s="12"/>
      <c r="J1834" s="12"/>
      <c r="K1834" s="12"/>
    </row>
    <row r="1835" spans="6:11" x14ac:dyDescent="0.25">
      <c r="F1835" s="12"/>
      <c r="G1835" s="12"/>
      <c r="I1835" s="12"/>
      <c r="J1835" s="12"/>
      <c r="K1835" s="12"/>
    </row>
    <row r="1836" spans="6:11" x14ac:dyDescent="0.25">
      <c r="F1836" s="12"/>
      <c r="G1836" s="12"/>
      <c r="I1836" s="12"/>
      <c r="J1836" s="12"/>
      <c r="K1836" s="12"/>
    </row>
    <row r="1837" spans="6:11" x14ac:dyDescent="0.25">
      <c r="F1837" s="12"/>
      <c r="G1837" s="12"/>
      <c r="I1837" s="12"/>
      <c r="J1837" s="12"/>
      <c r="K1837" s="12"/>
    </row>
    <row r="1838" spans="6:11" x14ac:dyDescent="0.25">
      <c r="F1838" s="12"/>
      <c r="G1838" s="12"/>
      <c r="I1838" s="12"/>
      <c r="J1838" s="12"/>
      <c r="K1838" s="12"/>
    </row>
    <row r="1839" spans="6:11" x14ac:dyDescent="0.25">
      <c r="F1839" s="12"/>
      <c r="G1839" s="12"/>
      <c r="I1839" s="12"/>
      <c r="J1839" s="12"/>
      <c r="K1839" s="12"/>
    </row>
    <row r="1840" spans="6:11" x14ac:dyDescent="0.25">
      <c r="F1840" s="12"/>
      <c r="G1840" s="12"/>
      <c r="I1840" s="12"/>
      <c r="J1840" s="12"/>
      <c r="K1840" s="12"/>
    </row>
    <row r="1841" spans="6:11" x14ac:dyDescent="0.25">
      <c r="F1841" s="12"/>
      <c r="G1841" s="12"/>
      <c r="I1841" s="12"/>
      <c r="J1841" s="12"/>
      <c r="K1841" s="12"/>
    </row>
    <row r="1842" spans="6:11" x14ac:dyDescent="0.25">
      <c r="F1842" s="12"/>
      <c r="G1842" s="12"/>
      <c r="I1842" s="12"/>
      <c r="J1842" s="12"/>
      <c r="K1842" s="12"/>
    </row>
    <row r="1843" spans="6:11" x14ac:dyDescent="0.25">
      <c r="F1843" s="12"/>
      <c r="G1843" s="12"/>
      <c r="I1843" s="12"/>
      <c r="J1843" s="12"/>
      <c r="K1843" s="12"/>
    </row>
    <row r="1844" spans="6:11" x14ac:dyDescent="0.25">
      <c r="F1844" s="12"/>
      <c r="G1844" s="12"/>
      <c r="I1844" s="12"/>
      <c r="J1844" s="12"/>
      <c r="K1844" s="12"/>
    </row>
    <row r="1845" spans="6:11" x14ac:dyDescent="0.25">
      <c r="F1845" s="12"/>
      <c r="G1845" s="12"/>
      <c r="I1845" s="12"/>
      <c r="J1845" s="12"/>
      <c r="K1845" s="12"/>
    </row>
    <row r="1846" spans="6:11" x14ac:dyDescent="0.25">
      <c r="F1846" s="12"/>
      <c r="G1846" s="12"/>
      <c r="I1846" s="12"/>
      <c r="J1846" s="12"/>
      <c r="K1846" s="12"/>
    </row>
    <row r="1847" spans="6:11" x14ac:dyDescent="0.25">
      <c r="F1847" s="12"/>
      <c r="G1847" s="12"/>
      <c r="I1847" s="12"/>
      <c r="J1847" s="12"/>
      <c r="K1847" s="12"/>
    </row>
    <row r="1848" spans="6:11" x14ac:dyDescent="0.25">
      <c r="F1848" s="12"/>
      <c r="G1848" s="12"/>
      <c r="I1848" s="12"/>
      <c r="J1848" s="12"/>
      <c r="K1848" s="12"/>
    </row>
    <row r="1849" spans="6:11" x14ac:dyDescent="0.25">
      <c r="F1849" s="12"/>
      <c r="G1849" s="12"/>
      <c r="I1849" s="12"/>
      <c r="J1849" s="12"/>
      <c r="K1849" s="12"/>
    </row>
    <row r="1850" spans="6:11" x14ac:dyDescent="0.25">
      <c r="F1850" s="12"/>
      <c r="G1850" s="12"/>
      <c r="I1850" s="12"/>
      <c r="J1850" s="12"/>
      <c r="K1850" s="12"/>
    </row>
    <row r="1851" spans="6:11" x14ac:dyDescent="0.25">
      <c r="F1851" s="12"/>
      <c r="G1851" s="12"/>
      <c r="I1851" s="12"/>
      <c r="J1851" s="12"/>
      <c r="K1851" s="12"/>
    </row>
    <row r="1852" spans="6:11" x14ac:dyDescent="0.25">
      <c r="F1852" s="12"/>
      <c r="G1852" s="12"/>
      <c r="I1852" s="12"/>
      <c r="J1852" s="12"/>
      <c r="K1852" s="12"/>
    </row>
    <row r="1853" spans="6:11" x14ac:dyDescent="0.25">
      <c r="F1853" s="12"/>
      <c r="G1853" s="12"/>
      <c r="I1853" s="12"/>
      <c r="J1853" s="12"/>
      <c r="K1853" s="12"/>
    </row>
    <row r="1854" spans="6:11" x14ac:dyDescent="0.25">
      <c r="F1854" s="12"/>
      <c r="G1854" s="12"/>
      <c r="I1854" s="12"/>
      <c r="J1854" s="12"/>
      <c r="K1854" s="12"/>
    </row>
    <row r="1855" spans="6:11" x14ac:dyDescent="0.25">
      <c r="F1855" s="12"/>
      <c r="G1855" s="12"/>
      <c r="I1855" s="12"/>
      <c r="J1855" s="12"/>
      <c r="K1855" s="12"/>
    </row>
    <row r="1856" spans="6:11" x14ac:dyDescent="0.25">
      <c r="F1856" s="12"/>
      <c r="G1856" s="12"/>
      <c r="I1856" s="12"/>
      <c r="J1856" s="12"/>
      <c r="K1856" s="12"/>
    </row>
    <row r="1857" spans="6:11" x14ac:dyDescent="0.25">
      <c r="F1857" s="12"/>
      <c r="G1857" s="12"/>
      <c r="I1857" s="12"/>
      <c r="J1857" s="12"/>
      <c r="K1857" s="12"/>
    </row>
    <row r="1858" spans="6:11" x14ac:dyDescent="0.25">
      <c r="F1858" s="12"/>
      <c r="G1858" s="12"/>
      <c r="I1858" s="12"/>
      <c r="J1858" s="12"/>
      <c r="K1858" s="12"/>
    </row>
    <row r="1859" spans="6:11" x14ac:dyDescent="0.25">
      <c r="F1859" s="12"/>
      <c r="G1859" s="12"/>
      <c r="I1859" s="12"/>
      <c r="J1859" s="12"/>
      <c r="K1859" s="12"/>
    </row>
    <row r="1860" spans="6:11" x14ac:dyDescent="0.25">
      <c r="F1860" s="12"/>
      <c r="G1860" s="12"/>
      <c r="I1860" s="12"/>
      <c r="J1860" s="12"/>
      <c r="K1860" s="12"/>
    </row>
    <row r="1861" spans="6:11" x14ac:dyDescent="0.25">
      <c r="F1861" s="12"/>
      <c r="G1861" s="12"/>
      <c r="I1861" s="12"/>
      <c r="J1861" s="12"/>
      <c r="K1861" s="12"/>
    </row>
    <row r="1862" spans="6:11" x14ac:dyDescent="0.25">
      <c r="F1862" s="12"/>
      <c r="G1862" s="12"/>
      <c r="I1862" s="12"/>
      <c r="J1862" s="12"/>
      <c r="K1862" s="12"/>
    </row>
    <row r="1863" spans="6:11" x14ac:dyDescent="0.25">
      <c r="F1863" s="12"/>
      <c r="G1863" s="12"/>
      <c r="I1863" s="12"/>
      <c r="J1863" s="12"/>
      <c r="K1863" s="12"/>
    </row>
    <row r="1864" spans="6:11" x14ac:dyDescent="0.25">
      <c r="F1864" s="12"/>
      <c r="G1864" s="12"/>
      <c r="I1864" s="12"/>
      <c r="J1864" s="12"/>
      <c r="K1864" s="12"/>
    </row>
    <row r="1865" spans="6:11" x14ac:dyDescent="0.25">
      <c r="F1865" s="12"/>
      <c r="G1865" s="12"/>
      <c r="I1865" s="12"/>
      <c r="J1865" s="12"/>
      <c r="K1865" s="12"/>
    </row>
    <row r="1866" spans="6:11" x14ac:dyDescent="0.25">
      <c r="F1866" s="12"/>
      <c r="G1866" s="12"/>
      <c r="I1866" s="12"/>
      <c r="J1866" s="12"/>
      <c r="K1866" s="12"/>
    </row>
    <row r="1867" spans="6:11" x14ac:dyDescent="0.25">
      <c r="F1867" s="12"/>
      <c r="G1867" s="12"/>
      <c r="I1867" s="12"/>
      <c r="J1867" s="12"/>
      <c r="K1867" s="12"/>
    </row>
    <row r="1868" spans="6:11" x14ac:dyDescent="0.25">
      <c r="F1868" s="12"/>
      <c r="G1868" s="12"/>
      <c r="I1868" s="12"/>
      <c r="J1868" s="12"/>
      <c r="K1868" s="12"/>
    </row>
    <row r="1869" spans="6:11" x14ac:dyDescent="0.25">
      <c r="F1869" s="12"/>
      <c r="G1869" s="12"/>
      <c r="I1869" s="12"/>
      <c r="J1869" s="12"/>
      <c r="K1869" s="12"/>
    </row>
    <row r="1870" spans="6:11" x14ac:dyDescent="0.25">
      <c r="F1870" s="12"/>
      <c r="G1870" s="12"/>
      <c r="I1870" s="12"/>
      <c r="J1870" s="12"/>
      <c r="K1870" s="12"/>
    </row>
    <row r="1871" spans="6:11" x14ac:dyDescent="0.25">
      <c r="F1871" s="12"/>
      <c r="G1871" s="12"/>
      <c r="I1871" s="12"/>
      <c r="J1871" s="12"/>
      <c r="K1871" s="12"/>
    </row>
    <row r="1872" spans="6:11" x14ac:dyDescent="0.25">
      <c r="F1872" s="12"/>
      <c r="G1872" s="12"/>
      <c r="I1872" s="12"/>
      <c r="J1872" s="12"/>
      <c r="K1872" s="12"/>
    </row>
    <row r="1873" spans="6:11" x14ac:dyDescent="0.25">
      <c r="F1873" s="12"/>
      <c r="G1873" s="12"/>
      <c r="I1873" s="12"/>
      <c r="J1873" s="12"/>
      <c r="K1873" s="12"/>
    </row>
    <row r="1874" spans="6:11" x14ac:dyDescent="0.25">
      <c r="F1874" s="12"/>
      <c r="G1874" s="12"/>
      <c r="I1874" s="12"/>
      <c r="J1874" s="12"/>
      <c r="K1874" s="12"/>
    </row>
    <row r="1875" spans="6:11" x14ac:dyDescent="0.25">
      <c r="F1875" s="12"/>
      <c r="G1875" s="12"/>
      <c r="I1875" s="12"/>
      <c r="J1875" s="12"/>
      <c r="K1875" s="12"/>
    </row>
    <row r="1876" spans="6:11" x14ac:dyDescent="0.25">
      <c r="F1876" s="12"/>
      <c r="G1876" s="12"/>
      <c r="I1876" s="12"/>
      <c r="J1876" s="12"/>
      <c r="K1876" s="12"/>
    </row>
    <row r="1877" spans="6:11" x14ac:dyDescent="0.25">
      <c r="F1877" s="12"/>
      <c r="G1877" s="12"/>
      <c r="I1877" s="12"/>
      <c r="J1877" s="12"/>
      <c r="K1877" s="12"/>
    </row>
    <row r="1878" spans="6:11" x14ac:dyDescent="0.25">
      <c r="F1878" s="12"/>
      <c r="G1878" s="12"/>
      <c r="I1878" s="12"/>
      <c r="J1878" s="12"/>
      <c r="K1878" s="12"/>
    </row>
    <row r="1879" spans="6:11" x14ac:dyDescent="0.25">
      <c r="F1879" s="12"/>
      <c r="G1879" s="12"/>
      <c r="I1879" s="12"/>
      <c r="J1879" s="12"/>
      <c r="K1879" s="12"/>
    </row>
    <row r="1880" spans="6:11" x14ac:dyDescent="0.25">
      <c r="F1880" s="12"/>
      <c r="G1880" s="12"/>
      <c r="I1880" s="12"/>
      <c r="J1880" s="12"/>
      <c r="K1880" s="12"/>
    </row>
    <row r="1881" spans="6:11" x14ac:dyDescent="0.25">
      <c r="F1881" s="12"/>
      <c r="G1881" s="12"/>
      <c r="I1881" s="12"/>
      <c r="J1881" s="12"/>
      <c r="K1881" s="12"/>
    </row>
    <row r="1882" spans="6:11" x14ac:dyDescent="0.25">
      <c r="F1882" s="12"/>
      <c r="G1882" s="12"/>
      <c r="I1882" s="12"/>
      <c r="J1882" s="12"/>
      <c r="K1882" s="12"/>
    </row>
    <row r="1883" spans="6:11" x14ac:dyDescent="0.25">
      <c r="F1883" s="12"/>
      <c r="G1883" s="12"/>
      <c r="I1883" s="12"/>
      <c r="J1883" s="12"/>
      <c r="K1883" s="12"/>
    </row>
    <row r="1884" spans="6:11" x14ac:dyDescent="0.25">
      <c r="F1884" s="12"/>
      <c r="G1884" s="12"/>
      <c r="I1884" s="12"/>
      <c r="J1884" s="12"/>
      <c r="K1884" s="12"/>
    </row>
    <row r="1885" spans="6:11" x14ac:dyDescent="0.25">
      <c r="F1885" s="12"/>
      <c r="G1885" s="12"/>
      <c r="I1885" s="12"/>
      <c r="J1885" s="12"/>
      <c r="K1885" s="12"/>
    </row>
    <row r="1886" spans="6:11" x14ac:dyDescent="0.25">
      <c r="F1886" s="12"/>
      <c r="G1886" s="12"/>
      <c r="I1886" s="12"/>
      <c r="J1886" s="12"/>
      <c r="K1886" s="12"/>
    </row>
    <row r="1887" spans="6:11" x14ac:dyDescent="0.25">
      <c r="F1887" s="12"/>
      <c r="G1887" s="12"/>
      <c r="I1887" s="12"/>
      <c r="J1887" s="12"/>
      <c r="K1887" s="12"/>
    </row>
    <row r="1888" spans="6:11" x14ac:dyDescent="0.25">
      <c r="F1888" s="12"/>
      <c r="G1888" s="12"/>
      <c r="I1888" s="12"/>
      <c r="J1888" s="12"/>
      <c r="K1888" s="12"/>
    </row>
    <row r="1889" spans="6:11" x14ac:dyDescent="0.25">
      <c r="F1889" s="12"/>
      <c r="G1889" s="12"/>
      <c r="I1889" s="12"/>
      <c r="J1889" s="12"/>
      <c r="K1889" s="12"/>
    </row>
    <row r="1890" spans="6:11" x14ac:dyDescent="0.25">
      <c r="F1890" s="12"/>
      <c r="G1890" s="12"/>
      <c r="I1890" s="12"/>
      <c r="J1890" s="12"/>
      <c r="K1890" s="12"/>
    </row>
    <row r="1891" spans="6:11" x14ac:dyDescent="0.25">
      <c r="F1891" s="12"/>
      <c r="G1891" s="12"/>
      <c r="I1891" s="12"/>
      <c r="J1891" s="12"/>
      <c r="K1891" s="12"/>
    </row>
    <row r="1892" spans="6:11" x14ac:dyDescent="0.25">
      <c r="F1892" s="12"/>
      <c r="G1892" s="12"/>
      <c r="I1892" s="12"/>
      <c r="J1892" s="12"/>
      <c r="K1892" s="12"/>
    </row>
    <row r="1893" spans="6:11" x14ac:dyDescent="0.25">
      <c r="F1893" s="12"/>
      <c r="G1893" s="12"/>
      <c r="I1893" s="12"/>
      <c r="J1893" s="12"/>
      <c r="K1893" s="12"/>
    </row>
    <row r="1894" spans="6:11" x14ac:dyDescent="0.25">
      <c r="F1894" s="12"/>
      <c r="G1894" s="12"/>
      <c r="I1894" s="12"/>
      <c r="J1894" s="12"/>
      <c r="K1894" s="12"/>
    </row>
    <row r="1895" spans="6:11" x14ac:dyDescent="0.25">
      <c r="F1895" s="12"/>
      <c r="G1895" s="12"/>
      <c r="I1895" s="12"/>
      <c r="J1895" s="12"/>
      <c r="K1895" s="12"/>
    </row>
    <row r="1896" spans="6:11" x14ac:dyDescent="0.25">
      <c r="F1896" s="12"/>
      <c r="G1896" s="12"/>
      <c r="I1896" s="12"/>
      <c r="J1896" s="12"/>
      <c r="K1896" s="12"/>
    </row>
    <row r="1897" spans="6:11" x14ac:dyDescent="0.25">
      <c r="F1897" s="12"/>
      <c r="G1897" s="12"/>
      <c r="I1897" s="12"/>
      <c r="J1897" s="12"/>
      <c r="K1897" s="12"/>
    </row>
    <row r="1898" spans="6:11" x14ac:dyDescent="0.25">
      <c r="F1898" s="12"/>
      <c r="G1898" s="12"/>
      <c r="I1898" s="12"/>
      <c r="J1898" s="12"/>
      <c r="K1898" s="12"/>
    </row>
    <row r="1899" spans="6:11" x14ac:dyDescent="0.25">
      <c r="F1899" s="12"/>
      <c r="G1899" s="12"/>
      <c r="I1899" s="12"/>
      <c r="J1899" s="12"/>
      <c r="K1899" s="12"/>
    </row>
    <row r="1900" spans="6:11" x14ac:dyDescent="0.25">
      <c r="F1900" s="12"/>
      <c r="G1900" s="12"/>
      <c r="I1900" s="12"/>
      <c r="J1900" s="12"/>
      <c r="K1900" s="12"/>
    </row>
    <row r="1901" spans="6:11" x14ac:dyDescent="0.25">
      <c r="F1901" s="12"/>
      <c r="G1901" s="12"/>
      <c r="I1901" s="12"/>
      <c r="J1901" s="12"/>
      <c r="K1901" s="12"/>
    </row>
    <row r="1902" spans="6:11" x14ac:dyDescent="0.25">
      <c r="F1902" s="12"/>
      <c r="G1902" s="12"/>
      <c r="I1902" s="12"/>
      <c r="J1902" s="12"/>
      <c r="K1902" s="12"/>
    </row>
    <row r="1903" spans="6:11" x14ac:dyDescent="0.25">
      <c r="F1903" s="12"/>
      <c r="G1903" s="12"/>
      <c r="I1903" s="12"/>
      <c r="J1903" s="12"/>
      <c r="K1903" s="12"/>
    </row>
    <row r="1904" spans="6:11" x14ac:dyDescent="0.25">
      <c r="F1904" s="12"/>
      <c r="G1904" s="12"/>
      <c r="I1904" s="12"/>
      <c r="J1904" s="12"/>
      <c r="K1904" s="12"/>
    </row>
    <row r="1905" spans="6:11" x14ac:dyDescent="0.25">
      <c r="F1905" s="12"/>
      <c r="G1905" s="12"/>
      <c r="I1905" s="12"/>
      <c r="J1905" s="12"/>
      <c r="K1905" s="12"/>
    </row>
    <row r="1906" spans="6:11" x14ac:dyDescent="0.25">
      <c r="F1906" s="12"/>
      <c r="G1906" s="12"/>
      <c r="I1906" s="12"/>
      <c r="J1906" s="12"/>
      <c r="K1906" s="12"/>
    </row>
    <row r="1907" spans="6:11" x14ac:dyDescent="0.25">
      <c r="F1907" s="12"/>
      <c r="G1907" s="12"/>
      <c r="I1907" s="12"/>
      <c r="J1907" s="12"/>
      <c r="K1907" s="12"/>
    </row>
    <row r="1908" spans="6:11" x14ac:dyDescent="0.25">
      <c r="F1908" s="12"/>
      <c r="G1908" s="12"/>
      <c r="I1908" s="12"/>
      <c r="J1908" s="12"/>
      <c r="K1908" s="12"/>
    </row>
    <row r="1909" spans="6:11" x14ac:dyDescent="0.25">
      <c r="F1909" s="12"/>
      <c r="G1909" s="12"/>
      <c r="I1909" s="12"/>
      <c r="J1909" s="12"/>
      <c r="K1909" s="12"/>
    </row>
    <row r="1910" spans="6:11" x14ac:dyDescent="0.25">
      <c r="F1910" s="12"/>
      <c r="G1910" s="12"/>
      <c r="I1910" s="12"/>
      <c r="J1910" s="12"/>
      <c r="K1910" s="12"/>
    </row>
    <row r="1911" spans="6:11" x14ac:dyDescent="0.25">
      <c r="F1911" s="12"/>
      <c r="G1911" s="12"/>
      <c r="I1911" s="12"/>
      <c r="J1911" s="12"/>
      <c r="K1911" s="12"/>
    </row>
    <row r="1912" spans="6:11" x14ac:dyDescent="0.25">
      <c r="F1912" s="12"/>
      <c r="G1912" s="12"/>
      <c r="I1912" s="12"/>
      <c r="J1912" s="12"/>
      <c r="K1912" s="12"/>
    </row>
    <row r="1913" spans="6:11" x14ac:dyDescent="0.25">
      <c r="F1913" s="12"/>
      <c r="G1913" s="12"/>
      <c r="I1913" s="12"/>
      <c r="J1913" s="12"/>
      <c r="K1913" s="12"/>
    </row>
    <row r="1914" spans="6:11" x14ac:dyDescent="0.25">
      <c r="F1914" s="12"/>
      <c r="G1914" s="12"/>
      <c r="I1914" s="12"/>
      <c r="J1914" s="12"/>
      <c r="K1914" s="12"/>
    </row>
    <row r="1915" spans="6:11" x14ac:dyDescent="0.25">
      <c r="F1915" s="12"/>
      <c r="G1915" s="12"/>
      <c r="I1915" s="12"/>
      <c r="J1915" s="12"/>
      <c r="K1915" s="12"/>
    </row>
    <row r="1916" spans="6:11" x14ac:dyDescent="0.25">
      <c r="F1916" s="12"/>
      <c r="G1916" s="12"/>
      <c r="I1916" s="12"/>
      <c r="J1916" s="12"/>
      <c r="K1916" s="12"/>
    </row>
    <row r="1917" spans="6:11" x14ac:dyDescent="0.25">
      <c r="F1917" s="12"/>
      <c r="G1917" s="12"/>
      <c r="I1917" s="12"/>
      <c r="J1917" s="12"/>
      <c r="K1917" s="12"/>
    </row>
    <row r="1918" spans="6:11" x14ac:dyDescent="0.25">
      <c r="F1918" s="12"/>
      <c r="G1918" s="12"/>
      <c r="I1918" s="12"/>
      <c r="J1918" s="12"/>
      <c r="K1918" s="12"/>
    </row>
    <row r="1919" spans="6:11" x14ac:dyDescent="0.25">
      <c r="F1919" s="12"/>
      <c r="G1919" s="12"/>
      <c r="I1919" s="12"/>
      <c r="J1919" s="12"/>
      <c r="K1919" s="12"/>
    </row>
    <row r="1920" spans="6:11" x14ac:dyDescent="0.25">
      <c r="F1920" s="12"/>
      <c r="G1920" s="12"/>
      <c r="I1920" s="12"/>
      <c r="J1920" s="12"/>
      <c r="K1920" s="12"/>
    </row>
    <row r="1921" spans="6:11" x14ac:dyDescent="0.25">
      <c r="F1921" s="12"/>
      <c r="G1921" s="12"/>
      <c r="I1921" s="12"/>
      <c r="J1921" s="12"/>
      <c r="K1921" s="12"/>
    </row>
    <row r="1922" spans="6:11" x14ac:dyDescent="0.25">
      <c r="F1922" s="12"/>
      <c r="G1922" s="12"/>
      <c r="I1922" s="12"/>
      <c r="J1922" s="12"/>
      <c r="K1922" s="12"/>
    </row>
    <row r="1923" spans="6:11" x14ac:dyDescent="0.25">
      <c r="F1923" s="12"/>
      <c r="G1923" s="12"/>
      <c r="I1923" s="12"/>
      <c r="J1923" s="12"/>
      <c r="K1923" s="12"/>
    </row>
    <row r="1924" spans="6:11" x14ac:dyDescent="0.25">
      <c r="F1924" s="12"/>
      <c r="G1924" s="12"/>
      <c r="I1924" s="12"/>
      <c r="J1924" s="12"/>
      <c r="K1924" s="12"/>
    </row>
    <row r="1925" spans="6:11" x14ac:dyDescent="0.25">
      <c r="F1925" s="12"/>
      <c r="G1925" s="12"/>
      <c r="I1925" s="12"/>
      <c r="J1925" s="12"/>
      <c r="K1925" s="12"/>
    </row>
    <row r="1926" spans="6:11" x14ac:dyDescent="0.25">
      <c r="F1926" s="12"/>
      <c r="G1926" s="12"/>
      <c r="I1926" s="12"/>
      <c r="J1926" s="12"/>
      <c r="K1926" s="12"/>
    </row>
    <row r="1927" spans="6:11" x14ac:dyDescent="0.25">
      <c r="F1927" s="12"/>
      <c r="G1927" s="12"/>
      <c r="I1927" s="12"/>
      <c r="J1927" s="12"/>
      <c r="K1927" s="12"/>
    </row>
    <row r="1928" spans="6:11" x14ac:dyDescent="0.25">
      <c r="F1928" s="12"/>
      <c r="G1928" s="12"/>
      <c r="I1928" s="12"/>
      <c r="J1928" s="12"/>
      <c r="K1928" s="12"/>
    </row>
    <row r="1929" spans="6:11" x14ac:dyDescent="0.25">
      <c r="F1929" s="12"/>
      <c r="G1929" s="12"/>
      <c r="I1929" s="12"/>
      <c r="J1929" s="12"/>
      <c r="K1929" s="12"/>
    </row>
    <row r="1930" spans="6:11" x14ac:dyDescent="0.25">
      <c r="F1930" s="12"/>
      <c r="G1930" s="12"/>
      <c r="I1930" s="12"/>
      <c r="J1930" s="12"/>
      <c r="K1930" s="12"/>
    </row>
    <row r="1931" spans="6:11" x14ac:dyDescent="0.25">
      <c r="F1931" s="12"/>
      <c r="G1931" s="12"/>
      <c r="I1931" s="12"/>
      <c r="J1931" s="12"/>
      <c r="K1931" s="12"/>
    </row>
    <row r="1932" spans="6:11" x14ac:dyDescent="0.25">
      <c r="F1932" s="12"/>
      <c r="G1932" s="12"/>
      <c r="I1932" s="12"/>
      <c r="J1932" s="12"/>
      <c r="K1932" s="12"/>
    </row>
    <row r="1933" spans="6:11" x14ac:dyDescent="0.25">
      <c r="F1933" s="12"/>
      <c r="G1933" s="12"/>
      <c r="I1933" s="12"/>
      <c r="J1933" s="12"/>
      <c r="K1933" s="12"/>
    </row>
    <row r="1934" spans="6:11" x14ac:dyDescent="0.25">
      <c r="F1934" s="12"/>
      <c r="G1934" s="12"/>
      <c r="I1934" s="12"/>
      <c r="J1934" s="12"/>
      <c r="K1934" s="12"/>
    </row>
    <row r="1935" spans="6:11" x14ac:dyDescent="0.25">
      <c r="F1935" s="12"/>
      <c r="G1935" s="12"/>
      <c r="I1935" s="12"/>
      <c r="J1935" s="12"/>
      <c r="K1935" s="12"/>
    </row>
    <row r="1936" spans="6:11" x14ac:dyDescent="0.25">
      <c r="F1936" s="12"/>
      <c r="G1936" s="12"/>
      <c r="I1936" s="12"/>
      <c r="J1936" s="12"/>
      <c r="K1936" s="12"/>
    </row>
    <row r="1937" spans="6:11" x14ac:dyDescent="0.25">
      <c r="F1937" s="12"/>
      <c r="G1937" s="12"/>
      <c r="I1937" s="12"/>
      <c r="J1937" s="12"/>
      <c r="K1937" s="12"/>
    </row>
    <row r="1938" spans="6:11" x14ac:dyDescent="0.25">
      <c r="F1938" s="12"/>
      <c r="G1938" s="12"/>
      <c r="I1938" s="12"/>
      <c r="J1938" s="12"/>
      <c r="K1938" s="12"/>
    </row>
    <row r="1939" spans="6:11" x14ac:dyDescent="0.25">
      <c r="F1939" s="12"/>
      <c r="G1939" s="12"/>
      <c r="I1939" s="12"/>
      <c r="J1939" s="12"/>
      <c r="K1939" s="12"/>
    </row>
    <row r="1940" spans="6:11" x14ac:dyDescent="0.25">
      <c r="F1940" s="12"/>
      <c r="G1940" s="12"/>
      <c r="I1940" s="12"/>
      <c r="J1940" s="12"/>
      <c r="K1940" s="12"/>
    </row>
    <row r="1941" spans="6:11" x14ac:dyDescent="0.25">
      <c r="F1941" s="12"/>
      <c r="G1941" s="12"/>
      <c r="I1941" s="12"/>
      <c r="J1941" s="12"/>
      <c r="K1941" s="12"/>
    </row>
    <row r="1942" spans="6:11" x14ac:dyDescent="0.25">
      <c r="F1942" s="12"/>
      <c r="G1942" s="12"/>
      <c r="I1942" s="12"/>
      <c r="J1942" s="12"/>
      <c r="K1942" s="12"/>
    </row>
    <row r="1943" spans="6:11" x14ac:dyDescent="0.25">
      <c r="F1943" s="12"/>
      <c r="G1943" s="12"/>
      <c r="I1943" s="12"/>
      <c r="J1943" s="12"/>
      <c r="K1943" s="12"/>
    </row>
    <row r="1944" spans="6:11" x14ac:dyDescent="0.25">
      <c r="F1944" s="12"/>
      <c r="G1944" s="12"/>
      <c r="I1944" s="12"/>
      <c r="J1944" s="12"/>
      <c r="K1944" s="12"/>
    </row>
    <row r="1945" spans="6:11" x14ac:dyDescent="0.25">
      <c r="F1945" s="12"/>
      <c r="G1945" s="12"/>
      <c r="I1945" s="12"/>
      <c r="J1945" s="12"/>
      <c r="K1945" s="12"/>
    </row>
    <row r="1946" spans="6:11" x14ac:dyDescent="0.25">
      <c r="F1946" s="12"/>
      <c r="G1946" s="12"/>
      <c r="I1946" s="12"/>
      <c r="J1946" s="12"/>
      <c r="K1946" s="12"/>
    </row>
    <row r="1947" spans="6:11" x14ac:dyDescent="0.25">
      <c r="F1947" s="12"/>
      <c r="G1947" s="12"/>
      <c r="I1947" s="12"/>
      <c r="J1947" s="12"/>
      <c r="K1947" s="12"/>
    </row>
    <row r="1948" spans="6:11" x14ac:dyDescent="0.25">
      <c r="F1948" s="12"/>
      <c r="G1948" s="12"/>
      <c r="I1948" s="12"/>
      <c r="J1948" s="12"/>
      <c r="K1948" s="12"/>
    </row>
    <row r="1949" spans="6:11" x14ac:dyDescent="0.25">
      <c r="F1949" s="12"/>
      <c r="G1949" s="12"/>
      <c r="I1949" s="12"/>
      <c r="J1949" s="12"/>
      <c r="K1949" s="12"/>
    </row>
    <row r="1950" spans="6:11" x14ac:dyDescent="0.25">
      <c r="F1950" s="12"/>
      <c r="G1950" s="12"/>
      <c r="I1950" s="12"/>
      <c r="J1950" s="12"/>
      <c r="K1950" s="12"/>
    </row>
    <row r="1951" spans="6:11" x14ac:dyDescent="0.25">
      <c r="F1951" s="12"/>
      <c r="G1951" s="12"/>
      <c r="I1951" s="12"/>
      <c r="J1951" s="12"/>
      <c r="K1951" s="12"/>
    </row>
    <row r="1952" spans="6:11" x14ac:dyDescent="0.25">
      <c r="F1952" s="12"/>
      <c r="G1952" s="12"/>
      <c r="I1952" s="12"/>
      <c r="J1952" s="12"/>
      <c r="K1952" s="12"/>
    </row>
    <row r="1953" spans="6:11" x14ac:dyDescent="0.25">
      <c r="F1953" s="12"/>
      <c r="G1953" s="12"/>
      <c r="I1953" s="12"/>
      <c r="J1953" s="12"/>
      <c r="K1953" s="12"/>
    </row>
    <row r="1954" spans="6:11" x14ac:dyDescent="0.25">
      <c r="F1954" s="12"/>
      <c r="G1954" s="12"/>
      <c r="I1954" s="12"/>
      <c r="J1954" s="12"/>
      <c r="K1954" s="12"/>
    </row>
    <row r="1955" spans="6:11" x14ac:dyDescent="0.25">
      <c r="F1955" s="12"/>
      <c r="G1955" s="12"/>
      <c r="I1955" s="12"/>
      <c r="J1955" s="12"/>
      <c r="K1955" s="12"/>
    </row>
    <row r="1956" spans="6:11" x14ac:dyDescent="0.25">
      <c r="F1956" s="12"/>
      <c r="G1956" s="12"/>
      <c r="I1956" s="12"/>
      <c r="J1956" s="12"/>
      <c r="K1956" s="12"/>
    </row>
    <row r="1957" spans="6:11" x14ac:dyDescent="0.25">
      <c r="F1957" s="12"/>
      <c r="G1957" s="12"/>
      <c r="I1957" s="12"/>
      <c r="J1957" s="12"/>
      <c r="K1957" s="12"/>
    </row>
    <row r="1958" spans="6:11" x14ac:dyDescent="0.25">
      <c r="F1958" s="12"/>
      <c r="G1958" s="12"/>
      <c r="I1958" s="12"/>
      <c r="J1958" s="12"/>
      <c r="K1958" s="12"/>
    </row>
    <row r="1959" spans="6:11" x14ac:dyDescent="0.25">
      <c r="F1959" s="12"/>
      <c r="G1959" s="12"/>
      <c r="I1959" s="12"/>
      <c r="J1959" s="12"/>
      <c r="K1959" s="12"/>
    </row>
    <row r="1960" spans="6:11" x14ac:dyDescent="0.25">
      <c r="F1960" s="12"/>
      <c r="G1960" s="12"/>
      <c r="I1960" s="12"/>
      <c r="J1960" s="12"/>
      <c r="K1960" s="12"/>
    </row>
    <row r="1961" spans="6:11" x14ac:dyDescent="0.25">
      <c r="F1961" s="12"/>
      <c r="G1961" s="12"/>
      <c r="I1961" s="12"/>
      <c r="J1961" s="12"/>
      <c r="K1961" s="12"/>
    </row>
    <row r="1962" spans="6:11" x14ac:dyDescent="0.25">
      <c r="F1962" s="12"/>
      <c r="G1962" s="12"/>
      <c r="I1962" s="12"/>
      <c r="J1962" s="12"/>
      <c r="K1962" s="12"/>
    </row>
    <row r="1963" spans="6:11" x14ac:dyDescent="0.25">
      <c r="F1963" s="12"/>
      <c r="G1963" s="12"/>
      <c r="I1963" s="12"/>
      <c r="J1963" s="12"/>
      <c r="K1963" s="12"/>
    </row>
    <row r="1964" spans="6:11" x14ac:dyDescent="0.25">
      <c r="F1964" s="12"/>
      <c r="G1964" s="12"/>
      <c r="I1964" s="12"/>
      <c r="J1964" s="12"/>
      <c r="K1964" s="12"/>
    </row>
    <row r="1965" spans="6:11" x14ac:dyDescent="0.25">
      <c r="F1965" s="12"/>
      <c r="G1965" s="12"/>
      <c r="I1965" s="12"/>
      <c r="J1965" s="12"/>
      <c r="K1965" s="12"/>
    </row>
    <row r="1966" spans="6:11" x14ac:dyDescent="0.25">
      <c r="F1966" s="12"/>
      <c r="G1966" s="12"/>
      <c r="I1966" s="12"/>
      <c r="J1966" s="12"/>
      <c r="K1966" s="12"/>
    </row>
    <row r="1967" spans="6:11" x14ac:dyDescent="0.25">
      <c r="F1967" s="12"/>
      <c r="G1967" s="12"/>
      <c r="I1967" s="12"/>
      <c r="J1967" s="12"/>
      <c r="K1967" s="12"/>
    </row>
    <row r="1968" spans="6:11" x14ac:dyDescent="0.25">
      <c r="F1968" s="12"/>
      <c r="G1968" s="12"/>
      <c r="I1968" s="12"/>
      <c r="J1968" s="12"/>
      <c r="K1968" s="12"/>
    </row>
    <row r="1969" spans="6:11" x14ac:dyDescent="0.25">
      <c r="F1969" s="12"/>
      <c r="G1969" s="12"/>
      <c r="I1969" s="12"/>
      <c r="J1969" s="12"/>
      <c r="K1969" s="12"/>
    </row>
    <row r="1970" spans="6:11" x14ac:dyDescent="0.25">
      <c r="F1970" s="12"/>
      <c r="G1970" s="12"/>
      <c r="I1970" s="12"/>
      <c r="J1970" s="12"/>
      <c r="K1970" s="12"/>
    </row>
    <row r="1971" spans="6:11" x14ac:dyDescent="0.25">
      <c r="F1971" s="12"/>
      <c r="G1971" s="12"/>
      <c r="I1971" s="12"/>
      <c r="J1971" s="12"/>
      <c r="K1971" s="12"/>
    </row>
    <row r="1972" spans="6:11" x14ac:dyDescent="0.25">
      <c r="F1972" s="12"/>
      <c r="G1972" s="12"/>
      <c r="I1972" s="12"/>
      <c r="J1972" s="12"/>
      <c r="K1972" s="12"/>
    </row>
    <row r="1973" spans="6:11" x14ac:dyDescent="0.25">
      <c r="F1973" s="12"/>
      <c r="G1973" s="12"/>
      <c r="I1973" s="12"/>
      <c r="J1973" s="12"/>
      <c r="K1973" s="12"/>
    </row>
    <row r="1974" spans="6:11" x14ac:dyDescent="0.25">
      <c r="F1974" s="12"/>
      <c r="G1974" s="12"/>
      <c r="I1974" s="12"/>
      <c r="J1974" s="12"/>
      <c r="K1974" s="12"/>
    </row>
    <row r="1975" spans="6:11" x14ac:dyDescent="0.25">
      <c r="F1975" s="12"/>
      <c r="G1975" s="12"/>
      <c r="I1975" s="12"/>
      <c r="J1975" s="12"/>
      <c r="K1975" s="12"/>
    </row>
    <row r="1976" spans="6:11" x14ac:dyDescent="0.25">
      <c r="F1976" s="12"/>
      <c r="G1976" s="12"/>
      <c r="I1976" s="12"/>
      <c r="J1976" s="12"/>
      <c r="K1976" s="12"/>
    </row>
    <row r="1977" spans="6:11" x14ac:dyDescent="0.25">
      <c r="F1977" s="12"/>
      <c r="G1977" s="12"/>
      <c r="I1977" s="12"/>
      <c r="J1977" s="12"/>
      <c r="K1977" s="12"/>
    </row>
    <row r="1978" spans="6:11" x14ac:dyDescent="0.25">
      <c r="F1978" s="12"/>
      <c r="G1978" s="12"/>
      <c r="I1978" s="12"/>
      <c r="J1978" s="12"/>
      <c r="K1978" s="12"/>
    </row>
    <row r="1979" spans="6:11" x14ac:dyDescent="0.25">
      <c r="F1979" s="12"/>
      <c r="G1979" s="12"/>
      <c r="I1979" s="12"/>
      <c r="J1979" s="12"/>
      <c r="K1979" s="12"/>
    </row>
    <row r="1980" spans="6:11" x14ac:dyDescent="0.25">
      <c r="F1980" s="12"/>
      <c r="G1980" s="12"/>
      <c r="I1980" s="12"/>
      <c r="J1980" s="12"/>
      <c r="K1980" s="12"/>
    </row>
    <row r="1981" spans="6:11" x14ac:dyDescent="0.25">
      <c r="F1981" s="12"/>
      <c r="G1981" s="12"/>
      <c r="I1981" s="12"/>
      <c r="J1981" s="12"/>
      <c r="K1981" s="12"/>
    </row>
    <row r="1982" spans="6:11" x14ac:dyDescent="0.25">
      <c r="F1982" s="12"/>
      <c r="G1982" s="12"/>
      <c r="I1982" s="12"/>
      <c r="J1982" s="12"/>
      <c r="K1982" s="12"/>
    </row>
    <row r="1983" spans="6:11" x14ac:dyDescent="0.25">
      <c r="F1983" s="12"/>
      <c r="G1983" s="12"/>
      <c r="I1983" s="12"/>
      <c r="J1983" s="12"/>
      <c r="K1983" s="12"/>
    </row>
    <row r="1984" spans="6:11" x14ac:dyDescent="0.25">
      <c r="F1984" s="12"/>
      <c r="G1984" s="12"/>
      <c r="I1984" s="12"/>
      <c r="J1984" s="12"/>
      <c r="K1984" s="12"/>
    </row>
    <row r="1985" spans="6:11" x14ac:dyDescent="0.25">
      <c r="F1985" s="12"/>
      <c r="G1985" s="12"/>
      <c r="I1985" s="12"/>
      <c r="J1985" s="12"/>
      <c r="K1985" s="12"/>
    </row>
    <row r="1986" spans="6:11" x14ac:dyDescent="0.25">
      <c r="F1986" s="12"/>
      <c r="G1986" s="12"/>
      <c r="I1986" s="12"/>
      <c r="J1986" s="12"/>
      <c r="K1986" s="12"/>
    </row>
    <row r="1987" spans="6:11" x14ac:dyDescent="0.25">
      <c r="F1987" s="12"/>
      <c r="G1987" s="12"/>
      <c r="I1987" s="12"/>
      <c r="J1987" s="12"/>
      <c r="K1987" s="12"/>
    </row>
    <row r="1988" spans="6:11" x14ac:dyDescent="0.25">
      <c r="F1988" s="12"/>
      <c r="G1988" s="12"/>
      <c r="I1988" s="12"/>
      <c r="J1988" s="12"/>
      <c r="K1988" s="12"/>
    </row>
    <row r="1989" spans="6:11" x14ac:dyDescent="0.25">
      <c r="F1989" s="12"/>
      <c r="G1989" s="12"/>
      <c r="I1989" s="12"/>
      <c r="J1989" s="12"/>
      <c r="K1989" s="12"/>
    </row>
    <row r="1990" spans="6:11" x14ac:dyDescent="0.25">
      <c r="F1990" s="12"/>
      <c r="G1990" s="12"/>
      <c r="I1990" s="12"/>
      <c r="J1990" s="12"/>
      <c r="K1990" s="12"/>
    </row>
    <row r="1991" spans="6:11" x14ac:dyDescent="0.25">
      <c r="F1991" s="12"/>
      <c r="G1991" s="12"/>
      <c r="I1991" s="12"/>
      <c r="J1991" s="12"/>
      <c r="K1991" s="12"/>
    </row>
    <row r="1992" spans="6:11" x14ac:dyDescent="0.25">
      <c r="F1992" s="12"/>
      <c r="G1992" s="12"/>
      <c r="I1992" s="12"/>
      <c r="J1992" s="12"/>
      <c r="K1992" s="12"/>
    </row>
    <row r="1993" spans="6:11" x14ac:dyDescent="0.25">
      <c r="F1993" s="12"/>
      <c r="G1993" s="12"/>
      <c r="I1993" s="12"/>
      <c r="J1993" s="12"/>
      <c r="K1993" s="12"/>
    </row>
    <row r="1994" spans="6:11" x14ac:dyDescent="0.25">
      <c r="F1994" s="12"/>
      <c r="G1994" s="12"/>
      <c r="I1994" s="12"/>
      <c r="J1994" s="12"/>
      <c r="K1994" s="12"/>
    </row>
    <row r="1995" spans="6:11" x14ac:dyDescent="0.25">
      <c r="F1995" s="12"/>
      <c r="G1995" s="12"/>
      <c r="I1995" s="12"/>
      <c r="J1995" s="12"/>
      <c r="K1995" s="12"/>
    </row>
    <row r="1996" spans="6:11" x14ac:dyDescent="0.25">
      <c r="F1996" s="12"/>
      <c r="G1996" s="12"/>
      <c r="I1996" s="12"/>
      <c r="J1996" s="12"/>
      <c r="K1996" s="12"/>
    </row>
    <row r="1997" spans="6:11" x14ac:dyDescent="0.25">
      <c r="F1997" s="12"/>
      <c r="G1997" s="12"/>
      <c r="I1997" s="12"/>
      <c r="J1997" s="12"/>
      <c r="K1997" s="12"/>
    </row>
    <row r="1998" spans="6:11" x14ac:dyDescent="0.25">
      <c r="F1998" s="12"/>
      <c r="G1998" s="12"/>
      <c r="I1998" s="12"/>
      <c r="J1998" s="12"/>
      <c r="K1998" s="12"/>
    </row>
    <row r="1999" spans="6:11" x14ac:dyDescent="0.25">
      <c r="F1999" s="12"/>
      <c r="G1999" s="12"/>
      <c r="I1999" s="12"/>
      <c r="J1999" s="12"/>
      <c r="K1999" s="12"/>
    </row>
    <row r="2000" spans="6:11" x14ac:dyDescent="0.25">
      <c r="F2000" s="12"/>
      <c r="G2000" s="12"/>
      <c r="I2000" s="12"/>
      <c r="J2000" s="12"/>
      <c r="K2000" s="12"/>
    </row>
    <row r="2001" spans="6:11" x14ac:dyDescent="0.25">
      <c r="F2001" s="12"/>
      <c r="G2001" s="12"/>
      <c r="I2001" s="12"/>
      <c r="J2001" s="12"/>
      <c r="K2001" s="12"/>
    </row>
    <row r="2002" spans="6:11" x14ac:dyDescent="0.25">
      <c r="F2002" s="12"/>
      <c r="G2002" s="12"/>
      <c r="I2002" s="12"/>
      <c r="J2002" s="12"/>
      <c r="K2002" s="12"/>
    </row>
    <row r="2003" spans="6:11" x14ac:dyDescent="0.25">
      <c r="F2003" s="12"/>
      <c r="G2003" s="12"/>
      <c r="I2003" s="12"/>
      <c r="J2003" s="12"/>
      <c r="K2003" s="12"/>
    </row>
    <row r="2004" spans="6:11" x14ac:dyDescent="0.25">
      <c r="F2004" s="12"/>
      <c r="G2004" s="12"/>
      <c r="I2004" s="12"/>
      <c r="J2004" s="12"/>
      <c r="K2004" s="12"/>
    </row>
    <row r="2005" spans="6:11" x14ac:dyDescent="0.25">
      <c r="F2005" s="12"/>
      <c r="G2005" s="12"/>
      <c r="I2005" s="12"/>
      <c r="J2005" s="12"/>
      <c r="K2005" s="12"/>
    </row>
    <row r="2006" spans="6:11" x14ac:dyDescent="0.25">
      <c r="F2006" s="12"/>
      <c r="G2006" s="12"/>
      <c r="I2006" s="12"/>
      <c r="J2006" s="12"/>
      <c r="K2006" s="12"/>
    </row>
    <row r="2007" spans="6:11" x14ac:dyDescent="0.25">
      <c r="F2007" s="12"/>
      <c r="G2007" s="12"/>
      <c r="I2007" s="12"/>
      <c r="J2007" s="12"/>
      <c r="K2007" s="12"/>
    </row>
    <row r="2008" spans="6:11" x14ac:dyDescent="0.25">
      <c r="F2008" s="12"/>
      <c r="G2008" s="12"/>
      <c r="I2008" s="12"/>
      <c r="J2008" s="12"/>
      <c r="K2008" s="12"/>
    </row>
    <row r="2009" spans="6:11" x14ac:dyDescent="0.25">
      <c r="F2009" s="12"/>
      <c r="G2009" s="12"/>
      <c r="I2009" s="12"/>
      <c r="J2009" s="12"/>
      <c r="K2009" s="12"/>
    </row>
    <row r="2010" spans="6:11" x14ac:dyDescent="0.25">
      <c r="F2010" s="12"/>
      <c r="G2010" s="12"/>
      <c r="I2010" s="12"/>
      <c r="J2010" s="12"/>
      <c r="K2010" s="12"/>
    </row>
    <row r="2011" spans="6:11" x14ac:dyDescent="0.25">
      <c r="F2011" s="12"/>
      <c r="G2011" s="12"/>
      <c r="I2011" s="12"/>
      <c r="J2011" s="12"/>
      <c r="K2011" s="12"/>
    </row>
    <row r="2012" spans="6:11" x14ac:dyDescent="0.25">
      <c r="F2012" s="12"/>
      <c r="G2012" s="12"/>
      <c r="I2012" s="12"/>
      <c r="J2012" s="12"/>
      <c r="K2012" s="12"/>
    </row>
    <row r="2013" spans="6:11" x14ac:dyDescent="0.25">
      <c r="F2013" s="12"/>
      <c r="G2013" s="12"/>
      <c r="I2013" s="12"/>
      <c r="J2013" s="12"/>
      <c r="K2013" s="12"/>
    </row>
    <row r="2014" spans="6:11" x14ac:dyDescent="0.25">
      <c r="F2014" s="12"/>
      <c r="G2014" s="12"/>
      <c r="I2014" s="12"/>
      <c r="J2014" s="12"/>
      <c r="K2014" s="12"/>
    </row>
    <row r="2015" spans="6:11" x14ac:dyDescent="0.25">
      <c r="F2015" s="12"/>
      <c r="G2015" s="12"/>
      <c r="I2015" s="12"/>
      <c r="J2015" s="12"/>
      <c r="K2015" s="12"/>
    </row>
    <row r="2016" spans="6:11" x14ac:dyDescent="0.25">
      <c r="F2016" s="12"/>
      <c r="G2016" s="12"/>
      <c r="I2016" s="12"/>
      <c r="J2016" s="12"/>
      <c r="K2016" s="12"/>
    </row>
    <row r="2017" spans="6:11" x14ac:dyDescent="0.25">
      <c r="F2017" s="12"/>
      <c r="G2017" s="12"/>
      <c r="I2017" s="12"/>
      <c r="J2017" s="12"/>
      <c r="K2017" s="12"/>
    </row>
    <row r="2018" spans="6:11" x14ac:dyDescent="0.25">
      <c r="F2018" s="12"/>
      <c r="G2018" s="12"/>
      <c r="I2018" s="12"/>
      <c r="J2018" s="12"/>
      <c r="K2018" s="12"/>
    </row>
    <row r="2019" spans="6:11" x14ac:dyDescent="0.25">
      <c r="F2019" s="12"/>
      <c r="G2019" s="12"/>
      <c r="I2019" s="12"/>
      <c r="J2019" s="12"/>
      <c r="K2019" s="12"/>
    </row>
    <row r="2020" spans="6:11" x14ac:dyDescent="0.25">
      <c r="F2020" s="12"/>
      <c r="G2020" s="12"/>
      <c r="I2020" s="12"/>
      <c r="J2020" s="12"/>
      <c r="K2020" s="12"/>
    </row>
    <row r="2021" spans="6:11" x14ac:dyDescent="0.25">
      <c r="F2021" s="12"/>
      <c r="G2021" s="12"/>
      <c r="I2021" s="12"/>
      <c r="J2021" s="12"/>
      <c r="K2021" s="12"/>
    </row>
    <row r="2022" spans="6:11" x14ac:dyDescent="0.25">
      <c r="F2022" s="12"/>
      <c r="G2022" s="12"/>
      <c r="I2022" s="12"/>
      <c r="J2022" s="12"/>
      <c r="K2022" s="12"/>
    </row>
    <row r="2023" spans="6:11" x14ac:dyDescent="0.25">
      <c r="F2023" s="12"/>
      <c r="G2023" s="12"/>
      <c r="I2023" s="12"/>
      <c r="J2023" s="12"/>
      <c r="K2023" s="12"/>
    </row>
    <row r="2024" spans="6:11" x14ac:dyDescent="0.25">
      <c r="F2024" s="12"/>
      <c r="G2024" s="12"/>
      <c r="I2024" s="12"/>
      <c r="J2024" s="12"/>
      <c r="K2024" s="12"/>
    </row>
    <row r="2025" spans="6:11" x14ac:dyDescent="0.25">
      <c r="F2025" s="12"/>
      <c r="G2025" s="12"/>
      <c r="I2025" s="12"/>
      <c r="J2025" s="12"/>
      <c r="K2025" s="12"/>
    </row>
    <row r="2026" spans="6:11" x14ac:dyDescent="0.25">
      <c r="F2026" s="12"/>
      <c r="G2026" s="12"/>
      <c r="I2026" s="12"/>
      <c r="J2026" s="12"/>
      <c r="K2026" s="12"/>
    </row>
    <row r="2027" spans="6:11" x14ac:dyDescent="0.25">
      <c r="F2027" s="12"/>
      <c r="G2027" s="12"/>
      <c r="I2027" s="12"/>
      <c r="J2027" s="12"/>
      <c r="K2027" s="12"/>
    </row>
    <row r="2028" spans="6:11" x14ac:dyDescent="0.25">
      <c r="F2028" s="12"/>
      <c r="G2028" s="12"/>
      <c r="I2028" s="12"/>
      <c r="J2028" s="12"/>
      <c r="K2028" s="12"/>
    </row>
    <row r="2029" spans="6:11" x14ac:dyDescent="0.25">
      <c r="F2029" s="12"/>
      <c r="G2029" s="12"/>
      <c r="I2029" s="12"/>
      <c r="J2029" s="12"/>
      <c r="K2029" s="12"/>
    </row>
    <row r="2030" spans="6:11" x14ac:dyDescent="0.25">
      <c r="F2030" s="12"/>
      <c r="G2030" s="12"/>
      <c r="I2030" s="12"/>
      <c r="J2030" s="12"/>
      <c r="K2030" s="12"/>
    </row>
    <row r="2031" spans="6:11" x14ac:dyDescent="0.25">
      <c r="F2031" s="12"/>
      <c r="G2031" s="12"/>
      <c r="I2031" s="12"/>
      <c r="J2031" s="12"/>
      <c r="K2031" s="12"/>
    </row>
    <row r="2032" spans="6:11" x14ac:dyDescent="0.25">
      <c r="F2032" s="12"/>
      <c r="G2032" s="12"/>
      <c r="I2032" s="12"/>
      <c r="J2032" s="12"/>
      <c r="K2032" s="12"/>
    </row>
    <row r="2033" spans="6:11" x14ac:dyDescent="0.25">
      <c r="F2033" s="12"/>
      <c r="G2033" s="12"/>
      <c r="I2033" s="12"/>
      <c r="J2033" s="12"/>
      <c r="K2033" s="12"/>
    </row>
    <row r="2034" spans="6:11" x14ac:dyDescent="0.25">
      <c r="F2034" s="12"/>
      <c r="G2034" s="12"/>
      <c r="I2034" s="12"/>
      <c r="J2034" s="12"/>
      <c r="K2034" s="12"/>
    </row>
    <row r="2035" spans="6:11" x14ac:dyDescent="0.25">
      <c r="F2035" s="12"/>
      <c r="G2035" s="12"/>
      <c r="I2035" s="12"/>
      <c r="J2035" s="12"/>
      <c r="K2035" s="12"/>
    </row>
    <row r="2036" spans="6:11" x14ac:dyDescent="0.25">
      <c r="F2036" s="12"/>
      <c r="G2036" s="12"/>
      <c r="I2036" s="12"/>
      <c r="J2036" s="12"/>
      <c r="K2036" s="12"/>
    </row>
    <row r="2037" spans="6:11" x14ac:dyDescent="0.25">
      <c r="F2037" s="12"/>
      <c r="G2037" s="12"/>
      <c r="I2037" s="12"/>
      <c r="J2037" s="12"/>
      <c r="K2037" s="12"/>
    </row>
    <row r="2038" spans="6:11" x14ac:dyDescent="0.25">
      <c r="F2038" s="12"/>
      <c r="G2038" s="12"/>
      <c r="I2038" s="12"/>
      <c r="J2038" s="12"/>
      <c r="K2038" s="12"/>
    </row>
    <row r="2039" spans="6:11" x14ac:dyDescent="0.25">
      <c r="F2039" s="12"/>
      <c r="G2039" s="12"/>
      <c r="I2039" s="12"/>
      <c r="J2039" s="12"/>
      <c r="K2039" s="12"/>
    </row>
    <row r="2040" spans="6:11" x14ac:dyDescent="0.25">
      <c r="F2040" s="12"/>
      <c r="G2040" s="12"/>
      <c r="I2040" s="12"/>
      <c r="J2040" s="12"/>
      <c r="K2040" s="12"/>
    </row>
    <row r="2041" spans="6:11" x14ac:dyDescent="0.25">
      <c r="F2041" s="12"/>
      <c r="G2041" s="12"/>
      <c r="I2041" s="12"/>
      <c r="J2041" s="12"/>
      <c r="K2041" s="12"/>
    </row>
    <row r="2042" spans="6:11" x14ac:dyDescent="0.25">
      <c r="F2042" s="12"/>
      <c r="G2042" s="12"/>
      <c r="I2042" s="12"/>
      <c r="J2042" s="12"/>
      <c r="K2042" s="12"/>
    </row>
    <row r="2043" spans="6:11" x14ac:dyDescent="0.25">
      <c r="F2043" s="12"/>
      <c r="G2043" s="12"/>
      <c r="I2043" s="12"/>
      <c r="J2043" s="12"/>
      <c r="K2043" s="12"/>
    </row>
    <row r="2044" spans="6:11" x14ac:dyDescent="0.25">
      <c r="F2044" s="12"/>
      <c r="G2044" s="12"/>
      <c r="I2044" s="12"/>
      <c r="J2044" s="12"/>
      <c r="K2044" s="12"/>
    </row>
    <row r="2045" spans="6:11" x14ac:dyDescent="0.25">
      <c r="F2045" s="12"/>
      <c r="G2045" s="12"/>
      <c r="I2045" s="12"/>
      <c r="J2045" s="12"/>
      <c r="K2045" s="12"/>
    </row>
    <row r="2046" spans="6:11" x14ac:dyDescent="0.25">
      <c r="F2046" s="12"/>
      <c r="G2046" s="12"/>
      <c r="I2046" s="12"/>
      <c r="J2046" s="12"/>
      <c r="K2046" s="12"/>
    </row>
    <row r="2047" spans="6:11" x14ac:dyDescent="0.25">
      <c r="F2047" s="12"/>
      <c r="G2047" s="12"/>
      <c r="I2047" s="12"/>
      <c r="J2047" s="12"/>
      <c r="K2047" s="12"/>
    </row>
    <row r="2048" spans="6:11" x14ac:dyDescent="0.25">
      <c r="F2048" s="12"/>
      <c r="G2048" s="12"/>
      <c r="I2048" s="12"/>
      <c r="J2048" s="12"/>
      <c r="K2048" s="12"/>
    </row>
    <row r="2049" spans="6:11" x14ac:dyDescent="0.25">
      <c r="F2049" s="12"/>
      <c r="G2049" s="12"/>
      <c r="I2049" s="12"/>
      <c r="J2049" s="12"/>
      <c r="K2049" s="12"/>
    </row>
    <row r="2050" spans="6:11" x14ac:dyDescent="0.25">
      <c r="F2050" s="12"/>
      <c r="G2050" s="12"/>
      <c r="I2050" s="12"/>
      <c r="J2050" s="12"/>
      <c r="K2050" s="12"/>
    </row>
    <row r="2051" spans="6:11" x14ac:dyDescent="0.25">
      <c r="F2051" s="12"/>
      <c r="G2051" s="12"/>
      <c r="I2051" s="12"/>
      <c r="J2051" s="12"/>
      <c r="K2051" s="12"/>
    </row>
    <row r="2052" spans="6:11" x14ac:dyDescent="0.25">
      <c r="F2052" s="12"/>
      <c r="G2052" s="12"/>
      <c r="I2052" s="12"/>
      <c r="J2052" s="12"/>
      <c r="K2052" s="12"/>
    </row>
    <row r="2053" spans="6:11" x14ac:dyDescent="0.25">
      <c r="F2053" s="12"/>
      <c r="G2053" s="12"/>
      <c r="I2053" s="12"/>
      <c r="J2053" s="12"/>
      <c r="K2053" s="12"/>
    </row>
    <row r="2054" spans="6:11" x14ac:dyDescent="0.25">
      <c r="F2054" s="12"/>
      <c r="G2054" s="12"/>
      <c r="I2054" s="12"/>
      <c r="J2054" s="12"/>
      <c r="K2054" s="12"/>
    </row>
    <row r="2055" spans="6:11" x14ac:dyDescent="0.25">
      <c r="F2055" s="12"/>
      <c r="G2055" s="12"/>
      <c r="I2055" s="12"/>
      <c r="J2055" s="12"/>
      <c r="K2055" s="12"/>
    </row>
    <row r="2056" spans="6:11" x14ac:dyDescent="0.25">
      <c r="F2056" s="12"/>
      <c r="G2056" s="12"/>
      <c r="I2056" s="12"/>
      <c r="J2056" s="12"/>
      <c r="K2056" s="12"/>
    </row>
    <row r="2057" spans="6:11" x14ac:dyDescent="0.25">
      <c r="F2057" s="12"/>
      <c r="G2057" s="12"/>
      <c r="I2057" s="12"/>
      <c r="J2057" s="12"/>
      <c r="K2057" s="12"/>
    </row>
    <row r="2058" spans="6:11" x14ac:dyDescent="0.25">
      <c r="F2058" s="12"/>
      <c r="G2058" s="12"/>
      <c r="I2058" s="12"/>
      <c r="J2058" s="12"/>
      <c r="K2058" s="12"/>
    </row>
    <row r="2059" spans="6:11" x14ac:dyDescent="0.25">
      <c r="F2059" s="12"/>
      <c r="G2059" s="12"/>
      <c r="I2059" s="12"/>
      <c r="J2059" s="12"/>
      <c r="K2059" s="12"/>
    </row>
    <row r="2060" spans="6:11" x14ac:dyDescent="0.25">
      <c r="F2060" s="12"/>
      <c r="G2060" s="12"/>
      <c r="I2060" s="12"/>
      <c r="J2060" s="12"/>
      <c r="K2060" s="12"/>
    </row>
    <row r="2061" spans="6:11" x14ac:dyDescent="0.25">
      <c r="F2061" s="12"/>
      <c r="G2061" s="12"/>
      <c r="I2061" s="12"/>
      <c r="J2061" s="12"/>
      <c r="K2061" s="12"/>
    </row>
    <row r="2062" spans="6:11" x14ac:dyDescent="0.25">
      <c r="F2062" s="12"/>
      <c r="G2062" s="12"/>
      <c r="I2062" s="12"/>
      <c r="J2062" s="12"/>
      <c r="K2062" s="12"/>
    </row>
    <row r="2063" spans="6:11" x14ac:dyDescent="0.25">
      <c r="F2063" s="12"/>
      <c r="G2063" s="12"/>
      <c r="I2063" s="12"/>
      <c r="J2063" s="12"/>
      <c r="K2063" s="12"/>
    </row>
    <row r="2064" spans="6:11" x14ac:dyDescent="0.25">
      <c r="F2064" s="12"/>
      <c r="G2064" s="12"/>
      <c r="I2064" s="12"/>
      <c r="J2064" s="12"/>
      <c r="K2064" s="12"/>
    </row>
    <row r="2065" spans="6:11" x14ac:dyDescent="0.25">
      <c r="F2065" s="12"/>
      <c r="G2065" s="12"/>
      <c r="I2065" s="12"/>
      <c r="J2065" s="12"/>
      <c r="K2065" s="12"/>
    </row>
    <row r="2066" spans="6:11" x14ac:dyDescent="0.25">
      <c r="F2066" s="12"/>
      <c r="G2066" s="12"/>
      <c r="I2066" s="12"/>
      <c r="J2066" s="12"/>
      <c r="K2066" s="12"/>
    </row>
    <row r="2067" spans="6:11" x14ac:dyDescent="0.25">
      <c r="F2067" s="12"/>
      <c r="G2067" s="12"/>
      <c r="I2067" s="12"/>
      <c r="J2067" s="12"/>
      <c r="K2067" s="12"/>
    </row>
    <row r="2068" spans="6:11" x14ac:dyDescent="0.25">
      <c r="F2068" s="12"/>
      <c r="G2068" s="12"/>
      <c r="I2068" s="12"/>
      <c r="J2068" s="12"/>
      <c r="K2068" s="12"/>
    </row>
    <row r="2069" spans="6:11" x14ac:dyDescent="0.25">
      <c r="F2069" s="12"/>
      <c r="G2069" s="12"/>
      <c r="I2069" s="12"/>
      <c r="J2069" s="12"/>
      <c r="K2069" s="12"/>
    </row>
    <row r="2070" spans="6:11" x14ac:dyDescent="0.25">
      <c r="F2070" s="12"/>
      <c r="G2070" s="12"/>
      <c r="I2070" s="12"/>
      <c r="J2070" s="12"/>
      <c r="K2070" s="12"/>
    </row>
    <row r="2071" spans="6:11" x14ac:dyDescent="0.25">
      <c r="F2071" s="12"/>
      <c r="G2071" s="12"/>
      <c r="I2071" s="12"/>
      <c r="J2071" s="12"/>
      <c r="K2071" s="12"/>
    </row>
    <row r="2072" spans="6:11" x14ac:dyDescent="0.25">
      <c r="F2072" s="12"/>
      <c r="G2072" s="12"/>
      <c r="I2072" s="12"/>
      <c r="J2072" s="12"/>
      <c r="K2072" s="12"/>
    </row>
    <row r="2073" spans="6:11" x14ac:dyDescent="0.25">
      <c r="F2073" s="12"/>
      <c r="G2073" s="12"/>
      <c r="I2073" s="12"/>
      <c r="J2073" s="12"/>
      <c r="K2073" s="12"/>
    </row>
    <row r="2074" spans="6:11" x14ac:dyDescent="0.25">
      <c r="F2074" s="12"/>
      <c r="G2074" s="12"/>
      <c r="I2074" s="12"/>
      <c r="J2074" s="12"/>
      <c r="K2074" s="12"/>
    </row>
    <row r="2075" spans="6:11" x14ac:dyDescent="0.25">
      <c r="F2075" s="12"/>
      <c r="G2075" s="12"/>
      <c r="I2075" s="12"/>
      <c r="J2075" s="12"/>
      <c r="K2075" s="12"/>
    </row>
    <row r="2076" spans="6:11" x14ac:dyDescent="0.25">
      <c r="F2076" s="12"/>
      <c r="G2076" s="12"/>
      <c r="I2076" s="12"/>
      <c r="J2076" s="12"/>
      <c r="K2076" s="12"/>
    </row>
    <row r="2077" spans="6:11" x14ac:dyDescent="0.25">
      <c r="F2077" s="12"/>
      <c r="G2077" s="12"/>
      <c r="I2077" s="12"/>
      <c r="J2077" s="12"/>
      <c r="K2077" s="12"/>
    </row>
    <row r="2078" spans="6:11" x14ac:dyDescent="0.25">
      <c r="F2078" s="12"/>
      <c r="G2078" s="12"/>
      <c r="I2078" s="12"/>
      <c r="J2078" s="12"/>
      <c r="K2078" s="12"/>
    </row>
    <row r="2079" spans="6:11" x14ac:dyDescent="0.25">
      <c r="F2079" s="12"/>
      <c r="G2079" s="12"/>
      <c r="I2079" s="12"/>
      <c r="J2079" s="12"/>
      <c r="K2079" s="12"/>
    </row>
    <row r="2080" spans="6:11" x14ac:dyDescent="0.25">
      <c r="F2080" s="12"/>
      <c r="G2080" s="12"/>
      <c r="I2080" s="12"/>
      <c r="J2080" s="12"/>
      <c r="K2080" s="12"/>
    </row>
    <row r="2081" spans="6:11" x14ac:dyDescent="0.25">
      <c r="F2081" s="12"/>
      <c r="G2081" s="12"/>
      <c r="I2081" s="12"/>
      <c r="J2081" s="12"/>
      <c r="K2081" s="12"/>
    </row>
    <row r="2082" spans="6:11" x14ac:dyDescent="0.25">
      <c r="F2082" s="12"/>
      <c r="G2082" s="12"/>
      <c r="I2082" s="12"/>
      <c r="J2082" s="12"/>
      <c r="K2082" s="12"/>
    </row>
    <row r="2083" spans="6:11" x14ac:dyDescent="0.25">
      <c r="F2083" s="12"/>
      <c r="G2083" s="12"/>
      <c r="I2083" s="12"/>
      <c r="J2083" s="12"/>
      <c r="K2083" s="12"/>
    </row>
    <row r="2084" spans="6:11" x14ac:dyDescent="0.25">
      <c r="F2084" s="12"/>
      <c r="G2084" s="12"/>
      <c r="I2084" s="12"/>
      <c r="J2084" s="12"/>
      <c r="K2084" s="12"/>
    </row>
    <row r="2085" spans="6:11" x14ac:dyDescent="0.25">
      <c r="F2085" s="12"/>
      <c r="G2085" s="12"/>
      <c r="I2085" s="12"/>
      <c r="J2085" s="12"/>
      <c r="K2085" s="12"/>
    </row>
    <row r="2086" spans="6:11" x14ac:dyDescent="0.25">
      <c r="F2086" s="12"/>
      <c r="G2086" s="12"/>
      <c r="I2086" s="12"/>
      <c r="J2086" s="12"/>
      <c r="K2086" s="12"/>
    </row>
    <row r="2087" spans="6:11" x14ac:dyDescent="0.25">
      <c r="F2087" s="12"/>
      <c r="G2087" s="12"/>
      <c r="I2087" s="12"/>
      <c r="J2087" s="12"/>
      <c r="K2087" s="12"/>
    </row>
    <row r="2088" spans="6:11" x14ac:dyDescent="0.25">
      <c r="F2088" s="12"/>
      <c r="G2088" s="12"/>
      <c r="I2088" s="12"/>
      <c r="J2088" s="12"/>
      <c r="K2088" s="12"/>
    </row>
    <row r="2089" spans="6:11" x14ac:dyDescent="0.25">
      <c r="F2089" s="12"/>
      <c r="G2089" s="12"/>
      <c r="I2089" s="12"/>
      <c r="J2089" s="12"/>
      <c r="K2089" s="12"/>
    </row>
    <row r="2090" spans="6:11" x14ac:dyDescent="0.25">
      <c r="F2090" s="12"/>
      <c r="G2090" s="12"/>
      <c r="I2090" s="12"/>
      <c r="J2090" s="12"/>
      <c r="K2090" s="12"/>
    </row>
    <row r="2091" spans="6:11" x14ac:dyDescent="0.25">
      <c r="F2091" s="12"/>
      <c r="G2091" s="12"/>
      <c r="I2091" s="12"/>
      <c r="J2091" s="12"/>
      <c r="K2091" s="12"/>
    </row>
    <row r="2092" spans="6:11" x14ac:dyDescent="0.25">
      <c r="F2092" s="12"/>
      <c r="G2092" s="12"/>
      <c r="I2092" s="12"/>
      <c r="J2092" s="12"/>
      <c r="K2092" s="12"/>
    </row>
    <row r="2093" spans="6:11" x14ac:dyDescent="0.25">
      <c r="F2093" s="12"/>
      <c r="G2093" s="12"/>
      <c r="I2093" s="12"/>
      <c r="J2093" s="12"/>
      <c r="K2093" s="12"/>
    </row>
    <row r="2094" spans="6:11" x14ac:dyDescent="0.25">
      <c r="F2094" s="12"/>
      <c r="G2094" s="12"/>
      <c r="I2094" s="12"/>
      <c r="J2094" s="12"/>
      <c r="K2094" s="12"/>
    </row>
    <row r="2095" spans="6:11" x14ac:dyDescent="0.25">
      <c r="F2095" s="12"/>
      <c r="G2095" s="12"/>
      <c r="I2095" s="12"/>
      <c r="J2095" s="12"/>
      <c r="K2095" s="12"/>
    </row>
    <row r="2096" spans="6:11" x14ac:dyDescent="0.25">
      <c r="F2096" s="12"/>
      <c r="G2096" s="12"/>
      <c r="I2096" s="12"/>
      <c r="J2096" s="12"/>
      <c r="K2096" s="12"/>
    </row>
    <row r="2097" spans="6:11" x14ac:dyDescent="0.25">
      <c r="F2097" s="12"/>
      <c r="G2097" s="12"/>
      <c r="I2097" s="12"/>
      <c r="J2097" s="12"/>
      <c r="K2097" s="12"/>
    </row>
    <row r="2098" spans="6:11" x14ac:dyDescent="0.25">
      <c r="F2098" s="12"/>
      <c r="G2098" s="12"/>
      <c r="I2098" s="12"/>
      <c r="J2098" s="12"/>
      <c r="K2098" s="12"/>
    </row>
    <row r="2099" spans="6:11" x14ac:dyDescent="0.25">
      <c r="F2099" s="12"/>
      <c r="G2099" s="12"/>
      <c r="I2099" s="12"/>
      <c r="J2099" s="12"/>
      <c r="K2099" s="12"/>
    </row>
    <row r="2100" spans="6:11" x14ac:dyDescent="0.25">
      <c r="F2100" s="12"/>
      <c r="G2100" s="12"/>
      <c r="I2100" s="12"/>
      <c r="J2100" s="12"/>
      <c r="K2100" s="12"/>
    </row>
    <row r="2101" spans="6:11" x14ac:dyDescent="0.25">
      <c r="F2101" s="12"/>
      <c r="G2101" s="12"/>
      <c r="I2101" s="12"/>
      <c r="J2101" s="12"/>
      <c r="K2101" s="12"/>
    </row>
    <row r="2102" spans="6:11" x14ac:dyDescent="0.25">
      <c r="F2102" s="12"/>
      <c r="G2102" s="12"/>
      <c r="I2102" s="12"/>
      <c r="J2102" s="12"/>
      <c r="K2102" s="12"/>
    </row>
    <row r="2103" spans="6:11" x14ac:dyDescent="0.25">
      <c r="F2103" s="12"/>
      <c r="G2103" s="12"/>
      <c r="I2103" s="12"/>
      <c r="J2103" s="12"/>
      <c r="K2103" s="12"/>
    </row>
    <row r="2104" spans="6:11" x14ac:dyDescent="0.25">
      <c r="F2104" s="12"/>
      <c r="G2104" s="12"/>
      <c r="I2104" s="12"/>
      <c r="J2104" s="12"/>
      <c r="K2104" s="12"/>
    </row>
    <row r="2105" spans="6:11" x14ac:dyDescent="0.25">
      <c r="F2105" s="12"/>
      <c r="G2105" s="12"/>
      <c r="I2105" s="12"/>
      <c r="J2105" s="12"/>
      <c r="K2105" s="12"/>
    </row>
    <row r="2106" spans="6:11" x14ac:dyDescent="0.25">
      <c r="F2106" s="12"/>
      <c r="G2106" s="12"/>
      <c r="I2106" s="12"/>
      <c r="J2106" s="12"/>
      <c r="K2106" s="12"/>
    </row>
    <row r="2107" spans="6:11" x14ac:dyDescent="0.25">
      <c r="F2107" s="12"/>
      <c r="G2107" s="12"/>
      <c r="I2107" s="12"/>
      <c r="J2107" s="12"/>
      <c r="K2107" s="12"/>
    </row>
    <row r="2108" spans="6:11" x14ac:dyDescent="0.25">
      <c r="F2108" s="12"/>
      <c r="G2108" s="12"/>
      <c r="I2108" s="12"/>
      <c r="J2108" s="12"/>
      <c r="K2108" s="12"/>
    </row>
    <row r="2109" spans="6:11" x14ac:dyDescent="0.25">
      <c r="F2109" s="12"/>
      <c r="G2109" s="12"/>
      <c r="I2109" s="12"/>
      <c r="J2109" s="12"/>
      <c r="K2109" s="12"/>
    </row>
    <row r="2110" spans="6:11" x14ac:dyDescent="0.25">
      <c r="F2110" s="12"/>
      <c r="G2110" s="12"/>
      <c r="I2110" s="12"/>
      <c r="J2110" s="12"/>
      <c r="K2110" s="12"/>
    </row>
    <row r="2111" spans="6:11" x14ac:dyDescent="0.25">
      <c r="F2111" s="12"/>
      <c r="G2111" s="12"/>
      <c r="I2111" s="12"/>
      <c r="J2111" s="12"/>
      <c r="K2111" s="12"/>
    </row>
    <row r="2112" spans="6:11" x14ac:dyDescent="0.25">
      <c r="F2112" s="12"/>
      <c r="G2112" s="12"/>
      <c r="I2112" s="12"/>
      <c r="J2112" s="12"/>
      <c r="K2112" s="12"/>
    </row>
    <row r="2113" spans="6:11" x14ac:dyDescent="0.25">
      <c r="F2113" s="12"/>
      <c r="G2113" s="12"/>
      <c r="I2113" s="12"/>
      <c r="J2113" s="12"/>
      <c r="K2113" s="12"/>
    </row>
    <row r="2114" spans="6:11" x14ac:dyDescent="0.25">
      <c r="F2114" s="12"/>
      <c r="G2114" s="12"/>
      <c r="I2114" s="12"/>
      <c r="J2114" s="12"/>
      <c r="K2114" s="12"/>
    </row>
    <row r="2115" spans="6:11" x14ac:dyDescent="0.25">
      <c r="F2115" s="12"/>
      <c r="G2115" s="12"/>
      <c r="I2115" s="12"/>
      <c r="J2115" s="12"/>
      <c r="K2115" s="12"/>
    </row>
    <row r="2116" spans="6:11" x14ac:dyDescent="0.25">
      <c r="F2116" s="12"/>
      <c r="G2116" s="12"/>
      <c r="I2116" s="12"/>
      <c r="J2116" s="12"/>
      <c r="K2116" s="12"/>
    </row>
    <row r="2117" spans="6:11" x14ac:dyDescent="0.25">
      <c r="F2117" s="12"/>
      <c r="G2117" s="12"/>
      <c r="I2117" s="12"/>
      <c r="J2117" s="12"/>
      <c r="K2117" s="12"/>
    </row>
    <row r="2118" spans="6:11" x14ac:dyDescent="0.25">
      <c r="F2118" s="12"/>
      <c r="G2118" s="12"/>
      <c r="I2118" s="12"/>
      <c r="J2118" s="12"/>
      <c r="K2118" s="12"/>
    </row>
    <row r="2119" spans="6:11" x14ac:dyDescent="0.25">
      <c r="F2119" s="12"/>
      <c r="G2119" s="12"/>
      <c r="I2119" s="12"/>
      <c r="J2119" s="12"/>
      <c r="K2119" s="12"/>
    </row>
    <row r="2120" spans="6:11" x14ac:dyDescent="0.25">
      <c r="F2120" s="12"/>
      <c r="G2120" s="12"/>
      <c r="I2120" s="12"/>
      <c r="J2120" s="12"/>
      <c r="K2120" s="12"/>
    </row>
    <row r="2121" spans="6:11" x14ac:dyDescent="0.25">
      <c r="F2121" s="12"/>
      <c r="G2121" s="12"/>
      <c r="I2121" s="12"/>
      <c r="J2121" s="12"/>
      <c r="K2121" s="12"/>
    </row>
    <row r="2122" spans="6:11" x14ac:dyDescent="0.25">
      <c r="F2122" s="12"/>
      <c r="G2122" s="12"/>
      <c r="I2122" s="12"/>
      <c r="J2122" s="12"/>
      <c r="K2122" s="12"/>
    </row>
    <row r="2123" spans="6:11" x14ac:dyDescent="0.25">
      <c r="F2123" s="12"/>
      <c r="G2123" s="12"/>
      <c r="I2123" s="12"/>
      <c r="J2123" s="12"/>
      <c r="K2123" s="12"/>
    </row>
    <row r="2124" spans="6:11" x14ac:dyDescent="0.25">
      <c r="F2124" s="12"/>
      <c r="G2124" s="12"/>
      <c r="I2124" s="12"/>
      <c r="J2124" s="12"/>
      <c r="K2124" s="12"/>
    </row>
    <row r="2125" spans="6:11" x14ac:dyDescent="0.25">
      <c r="F2125" s="12"/>
      <c r="G2125" s="12"/>
      <c r="I2125" s="12"/>
      <c r="J2125" s="12"/>
      <c r="K2125" s="12"/>
    </row>
    <row r="2126" spans="6:11" x14ac:dyDescent="0.25">
      <c r="F2126" s="12"/>
      <c r="G2126" s="12"/>
      <c r="I2126" s="12"/>
      <c r="J2126" s="12"/>
      <c r="K2126" s="12"/>
    </row>
    <row r="2127" spans="6:11" x14ac:dyDescent="0.25">
      <c r="F2127" s="12"/>
      <c r="G2127" s="12"/>
      <c r="I2127" s="12"/>
      <c r="J2127" s="12"/>
      <c r="K2127" s="12"/>
    </row>
    <row r="2128" spans="6:11" x14ac:dyDescent="0.25">
      <c r="F2128" s="12"/>
      <c r="G2128" s="12"/>
      <c r="I2128" s="12"/>
      <c r="J2128" s="12"/>
      <c r="K2128" s="12"/>
    </row>
    <row r="2129" spans="6:11" x14ac:dyDescent="0.25">
      <c r="F2129" s="12"/>
      <c r="G2129" s="12"/>
      <c r="I2129" s="12"/>
      <c r="J2129" s="12"/>
      <c r="K2129" s="12"/>
    </row>
    <row r="2130" spans="6:11" x14ac:dyDescent="0.25">
      <c r="F2130" s="12"/>
      <c r="G2130" s="12"/>
      <c r="I2130" s="12"/>
      <c r="J2130" s="12"/>
      <c r="K2130" s="12"/>
    </row>
    <row r="2131" spans="6:11" x14ac:dyDescent="0.25">
      <c r="F2131" s="12"/>
      <c r="G2131" s="12"/>
      <c r="I2131" s="12"/>
      <c r="J2131" s="12"/>
      <c r="K2131" s="12"/>
    </row>
    <row r="2132" spans="6:11" x14ac:dyDescent="0.25">
      <c r="F2132" s="12"/>
      <c r="G2132" s="12"/>
      <c r="I2132" s="12"/>
      <c r="J2132" s="12"/>
      <c r="K2132" s="12"/>
    </row>
    <row r="2133" spans="6:11" x14ac:dyDescent="0.25">
      <c r="F2133" s="12"/>
      <c r="G2133" s="12"/>
      <c r="I2133" s="12"/>
      <c r="J2133" s="12"/>
      <c r="K2133" s="12"/>
    </row>
    <row r="2134" spans="6:11" x14ac:dyDescent="0.25">
      <c r="F2134" s="12"/>
      <c r="G2134" s="12"/>
      <c r="I2134" s="12"/>
      <c r="J2134" s="12"/>
      <c r="K2134" s="12"/>
    </row>
    <row r="2135" spans="6:11" x14ac:dyDescent="0.25">
      <c r="F2135" s="12"/>
      <c r="G2135" s="12"/>
      <c r="I2135" s="12"/>
      <c r="J2135" s="12"/>
      <c r="K2135" s="12"/>
    </row>
    <row r="2136" spans="6:11" x14ac:dyDescent="0.25">
      <c r="F2136" s="12"/>
      <c r="G2136" s="12"/>
      <c r="I2136" s="12"/>
      <c r="J2136" s="12"/>
      <c r="K2136" s="12"/>
    </row>
    <row r="2137" spans="6:11" x14ac:dyDescent="0.25">
      <c r="F2137" s="12"/>
      <c r="G2137" s="12"/>
      <c r="I2137" s="12"/>
      <c r="J2137" s="12"/>
      <c r="K2137" s="12"/>
    </row>
    <row r="2138" spans="6:11" x14ac:dyDescent="0.25">
      <c r="F2138" s="12"/>
      <c r="G2138" s="12"/>
      <c r="I2138" s="12"/>
      <c r="J2138" s="12"/>
      <c r="K2138" s="12"/>
    </row>
    <row r="2139" spans="6:11" x14ac:dyDescent="0.25">
      <c r="F2139" s="12"/>
      <c r="G2139" s="12"/>
      <c r="I2139" s="12"/>
      <c r="J2139" s="12"/>
      <c r="K2139" s="12"/>
    </row>
    <row r="2140" spans="6:11" x14ac:dyDescent="0.25">
      <c r="F2140" s="12"/>
      <c r="G2140" s="12"/>
      <c r="I2140" s="12"/>
      <c r="J2140" s="12"/>
      <c r="K2140" s="12"/>
    </row>
    <row r="2141" spans="6:11" x14ac:dyDescent="0.25">
      <c r="F2141" s="12"/>
      <c r="G2141" s="12"/>
      <c r="I2141" s="12"/>
      <c r="J2141" s="12"/>
      <c r="K2141" s="12"/>
    </row>
    <row r="2142" spans="6:11" x14ac:dyDescent="0.25">
      <c r="F2142" s="12"/>
      <c r="G2142" s="12"/>
      <c r="I2142" s="12"/>
      <c r="J2142" s="12"/>
      <c r="K2142" s="12"/>
    </row>
    <row r="2143" spans="6:11" x14ac:dyDescent="0.25">
      <c r="F2143" s="12"/>
      <c r="G2143" s="12"/>
      <c r="I2143" s="12"/>
      <c r="J2143" s="12"/>
      <c r="K2143" s="12"/>
    </row>
    <row r="2144" spans="6:11" x14ac:dyDescent="0.25">
      <c r="F2144" s="12"/>
      <c r="G2144" s="12"/>
      <c r="I2144" s="12"/>
      <c r="J2144" s="12"/>
      <c r="K2144" s="12"/>
    </row>
    <row r="2145" spans="6:11" x14ac:dyDescent="0.25">
      <c r="F2145" s="12"/>
      <c r="G2145" s="12"/>
      <c r="I2145" s="12"/>
      <c r="J2145" s="12"/>
      <c r="K2145" s="12"/>
    </row>
    <row r="2146" spans="6:11" x14ac:dyDescent="0.25">
      <c r="F2146" s="12"/>
      <c r="G2146" s="12"/>
      <c r="I2146" s="12"/>
      <c r="J2146" s="12"/>
      <c r="K2146" s="12"/>
    </row>
    <row r="2147" spans="6:11" x14ac:dyDescent="0.25">
      <c r="F2147" s="12"/>
      <c r="G2147" s="12"/>
      <c r="I2147" s="12"/>
      <c r="J2147" s="12"/>
      <c r="K2147" s="12"/>
    </row>
    <row r="2148" spans="6:11" x14ac:dyDescent="0.25">
      <c r="F2148" s="12"/>
      <c r="G2148" s="12"/>
      <c r="I2148" s="12"/>
      <c r="J2148" s="12"/>
      <c r="K2148" s="12"/>
    </row>
    <row r="2149" spans="6:11" x14ac:dyDescent="0.25">
      <c r="F2149" s="12"/>
      <c r="G2149" s="12"/>
      <c r="I2149" s="12"/>
      <c r="J2149" s="12"/>
      <c r="K2149" s="12"/>
    </row>
    <row r="2150" spans="6:11" x14ac:dyDescent="0.25">
      <c r="F2150" s="12"/>
      <c r="G2150" s="12"/>
      <c r="I2150" s="12"/>
      <c r="J2150" s="12"/>
      <c r="K2150" s="12"/>
    </row>
    <row r="2151" spans="6:11" x14ac:dyDescent="0.25">
      <c r="F2151" s="12"/>
      <c r="G2151" s="12"/>
      <c r="I2151" s="12"/>
      <c r="J2151" s="12"/>
      <c r="K2151" s="12"/>
    </row>
    <row r="2152" spans="6:11" x14ac:dyDescent="0.25">
      <c r="F2152" s="12"/>
      <c r="G2152" s="12"/>
      <c r="I2152" s="12"/>
      <c r="J2152" s="12"/>
      <c r="K2152" s="12"/>
    </row>
    <row r="2153" spans="6:11" x14ac:dyDescent="0.25">
      <c r="F2153" s="12"/>
      <c r="G2153" s="12"/>
      <c r="I2153" s="12"/>
      <c r="J2153" s="12"/>
      <c r="K2153" s="12"/>
    </row>
    <row r="2154" spans="6:11" x14ac:dyDescent="0.25">
      <c r="F2154" s="12"/>
      <c r="G2154" s="12"/>
      <c r="I2154" s="12"/>
      <c r="J2154" s="12"/>
      <c r="K2154" s="12"/>
    </row>
    <row r="2155" spans="6:11" x14ac:dyDescent="0.25">
      <c r="F2155" s="12"/>
      <c r="G2155" s="12"/>
      <c r="I2155" s="12"/>
      <c r="J2155" s="12"/>
      <c r="K2155" s="12"/>
    </row>
    <row r="2156" spans="6:11" x14ac:dyDescent="0.25">
      <c r="F2156" s="12"/>
      <c r="G2156" s="12"/>
      <c r="I2156" s="12"/>
      <c r="J2156" s="12"/>
      <c r="K2156" s="12"/>
    </row>
    <row r="2157" spans="6:11" x14ac:dyDescent="0.25">
      <c r="F2157" s="12"/>
      <c r="G2157" s="12"/>
      <c r="I2157" s="12"/>
      <c r="J2157" s="12"/>
      <c r="K2157" s="12"/>
    </row>
    <row r="2158" spans="6:11" x14ac:dyDescent="0.25">
      <c r="F2158" s="12"/>
      <c r="G2158" s="12"/>
      <c r="I2158" s="12"/>
      <c r="J2158" s="12"/>
      <c r="K2158" s="12"/>
    </row>
    <row r="2159" spans="6:11" x14ac:dyDescent="0.25">
      <c r="F2159" s="12"/>
      <c r="G2159" s="12"/>
      <c r="I2159" s="12"/>
      <c r="J2159" s="12"/>
      <c r="K2159" s="12"/>
    </row>
    <row r="2160" spans="6:11" x14ac:dyDescent="0.25">
      <c r="F2160" s="12"/>
      <c r="G2160" s="12"/>
      <c r="I2160" s="12"/>
      <c r="J2160" s="12"/>
      <c r="K2160" s="12"/>
    </row>
    <row r="2161" spans="6:11" x14ac:dyDescent="0.25">
      <c r="F2161" s="12"/>
      <c r="G2161" s="12"/>
      <c r="I2161" s="12"/>
      <c r="J2161" s="12"/>
      <c r="K2161" s="12"/>
    </row>
    <row r="2162" spans="6:11" x14ac:dyDescent="0.25">
      <c r="F2162" s="12"/>
      <c r="G2162" s="12"/>
      <c r="I2162" s="12"/>
      <c r="J2162" s="12"/>
      <c r="K2162" s="12"/>
    </row>
    <row r="2163" spans="6:11" x14ac:dyDescent="0.25">
      <c r="F2163" s="12"/>
      <c r="G2163" s="12"/>
      <c r="I2163" s="12"/>
      <c r="J2163" s="12"/>
      <c r="K2163" s="12"/>
    </row>
    <row r="2164" spans="6:11" x14ac:dyDescent="0.25">
      <c r="F2164" s="12"/>
      <c r="G2164" s="12"/>
      <c r="I2164" s="12"/>
      <c r="J2164" s="12"/>
      <c r="K2164" s="12"/>
    </row>
    <row r="2165" spans="6:11" x14ac:dyDescent="0.25">
      <c r="F2165" s="12"/>
      <c r="G2165" s="12"/>
      <c r="I2165" s="12"/>
      <c r="J2165" s="12"/>
      <c r="K2165" s="12"/>
    </row>
    <row r="2166" spans="6:11" x14ac:dyDescent="0.25">
      <c r="F2166" s="12"/>
      <c r="G2166" s="12"/>
      <c r="I2166" s="12"/>
      <c r="J2166" s="12"/>
      <c r="K2166" s="12"/>
    </row>
    <row r="2167" spans="6:11" x14ac:dyDescent="0.25">
      <c r="F2167" s="12"/>
      <c r="G2167" s="12"/>
      <c r="I2167" s="12"/>
      <c r="J2167" s="12"/>
      <c r="K2167" s="12"/>
    </row>
    <row r="2168" spans="6:11" x14ac:dyDescent="0.25">
      <c r="F2168" s="12"/>
      <c r="G2168" s="12"/>
      <c r="I2168" s="12"/>
      <c r="J2168" s="12"/>
      <c r="K2168" s="12"/>
    </row>
    <row r="2169" spans="6:11" x14ac:dyDescent="0.25">
      <c r="F2169" s="12"/>
      <c r="G2169" s="12"/>
      <c r="I2169" s="12"/>
      <c r="J2169" s="12"/>
      <c r="K2169" s="12"/>
    </row>
    <row r="2170" spans="6:11" x14ac:dyDescent="0.25">
      <c r="F2170" s="12"/>
      <c r="G2170" s="12"/>
      <c r="I2170" s="12"/>
      <c r="J2170" s="12"/>
      <c r="K2170" s="12"/>
    </row>
    <row r="2171" spans="6:11" x14ac:dyDescent="0.25">
      <c r="F2171" s="12"/>
      <c r="G2171" s="12"/>
      <c r="I2171" s="12"/>
      <c r="J2171" s="12"/>
      <c r="K2171" s="12"/>
    </row>
    <row r="2172" spans="6:11" x14ac:dyDescent="0.25">
      <c r="F2172" s="12"/>
      <c r="G2172" s="12"/>
      <c r="I2172" s="12"/>
      <c r="J2172" s="12"/>
      <c r="K2172" s="12"/>
    </row>
    <row r="2173" spans="6:11" x14ac:dyDescent="0.25">
      <c r="F2173" s="12"/>
      <c r="G2173" s="12"/>
      <c r="I2173" s="12"/>
      <c r="J2173" s="12"/>
      <c r="K2173" s="12"/>
    </row>
    <row r="2174" spans="6:11" x14ac:dyDescent="0.25">
      <c r="F2174" s="12"/>
      <c r="G2174" s="12"/>
      <c r="I2174" s="12"/>
      <c r="J2174" s="12"/>
      <c r="K2174" s="12"/>
    </row>
    <row r="2175" spans="6:11" x14ac:dyDescent="0.25">
      <c r="F2175" s="12"/>
      <c r="G2175" s="12"/>
      <c r="I2175" s="12"/>
      <c r="J2175" s="12"/>
      <c r="K2175" s="12"/>
    </row>
    <row r="2176" spans="6:11" x14ac:dyDescent="0.25">
      <c r="F2176" s="12"/>
      <c r="G2176" s="12"/>
      <c r="I2176" s="12"/>
      <c r="J2176" s="12"/>
      <c r="K2176" s="12"/>
    </row>
    <row r="2177" spans="6:11" x14ac:dyDescent="0.25">
      <c r="F2177" s="12"/>
      <c r="G2177" s="12"/>
      <c r="I2177" s="12"/>
      <c r="J2177" s="12"/>
      <c r="K2177" s="12"/>
    </row>
    <row r="2178" spans="6:11" x14ac:dyDescent="0.25">
      <c r="F2178" s="12"/>
      <c r="G2178" s="12"/>
      <c r="I2178" s="12"/>
      <c r="J2178" s="12"/>
      <c r="K2178" s="12"/>
    </row>
    <row r="2179" spans="6:11" x14ac:dyDescent="0.25">
      <c r="F2179" s="12"/>
      <c r="G2179" s="12"/>
      <c r="I2179" s="12"/>
      <c r="J2179" s="12"/>
      <c r="K2179" s="12"/>
    </row>
    <row r="2180" spans="6:11" x14ac:dyDescent="0.25">
      <c r="F2180" s="12"/>
      <c r="G2180" s="12"/>
      <c r="I2180" s="12"/>
      <c r="J2180" s="12"/>
      <c r="K2180" s="12"/>
    </row>
    <row r="2181" spans="6:11" x14ac:dyDescent="0.25">
      <c r="F2181" s="12"/>
      <c r="G2181" s="12"/>
      <c r="I2181" s="12"/>
      <c r="J2181" s="12"/>
      <c r="K2181" s="12"/>
    </row>
    <row r="2182" spans="6:11" x14ac:dyDescent="0.25">
      <c r="F2182" s="12"/>
      <c r="G2182" s="12"/>
      <c r="I2182" s="12"/>
      <c r="J2182" s="12"/>
      <c r="K2182" s="12"/>
    </row>
    <row r="2183" spans="6:11" x14ac:dyDescent="0.25">
      <c r="F2183" s="12"/>
      <c r="G2183" s="12"/>
      <c r="I2183" s="12"/>
      <c r="J2183" s="12"/>
      <c r="K2183" s="12"/>
    </row>
    <row r="2184" spans="6:11" x14ac:dyDescent="0.25">
      <c r="F2184" s="12"/>
      <c r="G2184" s="12"/>
      <c r="I2184" s="12"/>
      <c r="J2184" s="12"/>
      <c r="K2184" s="12"/>
    </row>
    <row r="2185" spans="6:11" x14ac:dyDescent="0.25">
      <c r="F2185" s="12"/>
      <c r="G2185" s="12"/>
      <c r="I2185" s="12"/>
      <c r="J2185" s="12"/>
      <c r="K2185" s="12"/>
    </row>
    <row r="2186" spans="6:11" x14ac:dyDescent="0.25">
      <c r="F2186" s="12"/>
      <c r="G2186" s="12"/>
      <c r="I2186" s="12"/>
      <c r="J2186" s="12"/>
      <c r="K2186" s="12"/>
    </row>
    <row r="2187" spans="6:11" x14ac:dyDescent="0.25">
      <c r="F2187" s="12"/>
      <c r="G2187" s="12"/>
      <c r="I2187" s="12"/>
      <c r="J2187" s="12"/>
      <c r="K2187" s="12"/>
    </row>
    <row r="2188" spans="6:11" x14ac:dyDescent="0.25">
      <c r="F2188" s="12"/>
      <c r="G2188" s="12"/>
      <c r="I2188" s="12"/>
      <c r="J2188" s="12"/>
      <c r="K2188" s="12"/>
    </row>
    <row r="2189" spans="6:11" x14ac:dyDescent="0.25">
      <c r="F2189" s="12"/>
      <c r="G2189" s="12"/>
      <c r="I2189" s="12"/>
      <c r="J2189" s="12"/>
      <c r="K2189" s="12"/>
    </row>
    <row r="2190" spans="6:11" x14ac:dyDescent="0.25">
      <c r="F2190" s="12"/>
      <c r="G2190" s="12"/>
      <c r="I2190" s="12"/>
      <c r="J2190" s="12"/>
      <c r="K2190" s="12"/>
    </row>
    <row r="2191" spans="6:11" x14ac:dyDescent="0.25">
      <c r="F2191" s="12"/>
      <c r="G2191" s="12"/>
      <c r="I2191" s="12"/>
      <c r="J2191" s="12"/>
      <c r="K2191" s="12"/>
    </row>
    <row r="2192" spans="6:11" x14ac:dyDescent="0.25">
      <c r="F2192" s="12"/>
      <c r="G2192" s="12"/>
      <c r="I2192" s="12"/>
      <c r="J2192" s="12"/>
      <c r="K2192" s="12"/>
    </row>
    <row r="2193" spans="6:11" x14ac:dyDescent="0.25">
      <c r="F2193" s="12"/>
      <c r="G2193" s="12"/>
      <c r="I2193" s="12"/>
      <c r="J2193" s="12"/>
      <c r="K2193" s="12"/>
    </row>
    <row r="2194" spans="6:11" x14ac:dyDescent="0.25">
      <c r="F2194" s="12"/>
      <c r="G2194" s="12"/>
      <c r="I2194" s="12"/>
      <c r="J2194" s="12"/>
      <c r="K2194" s="12"/>
    </row>
    <row r="2195" spans="6:11" x14ac:dyDescent="0.25">
      <c r="F2195" s="12"/>
      <c r="G2195" s="12"/>
      <c r="I2195" s="12"/>
      <c r="J2195" s="12"/>
      <c r="K2195" s="12"/>
    </row>
    <row r="2196" spans="6:11" x14ac:dyDescent="0.25">
      <c r="F2196" s="12"/>
      <c r="G2196" s="12"/>
      <c r="I2196" s="12"/>
      <c r="J2196" s="12"/>
      <c r="K2196" s="12"/>
    </row>
    <row r="2197" spans="6:11" x14ac:dyDescent="0.25">
      <c r="F2197" s="12"/>
      <c r="G2197" s="12"/>
      <c r="I2197" s="12"/>
      <c r="J2197" s="12"/>
      <c r="K2197" s="12"/>
    </row>
    <row r="2198" spans="6:11" x14ac:dyDescent="0.25">
      <c r="F2198" s="12"/>
      <c r="G2198" s="12"/>
      <c r="I2198" s="12"/>
      <c r="J2198" s="12"/>
      <c r="K2198" s="12"/>
    </row>
    <row r="2199" spans="6:11" x14ac:dyDescent="0.25">
      <c r="F2199" s="12"/>
      <c r="G2199" s="12"/>
      <c r="I2199" s="12"/>
      <c r="J2199" s="12"/>
      <c r="K2199" s="12"/>
    </row>
    <row r="2200" spans="6:11" x14ac:dyDescent="0.25">
      <c r="F2200" s="12"/>
      <c r="G2200" s="12"/>
      <c r="I2200" s="12"/>
      <c r="J2200" s="12"/>
      <c r="K2200" s="12"/>
    </row>
    <row r="2201" spans="6:11" x14ac:dyDescent="0.25">
      <c r="F2201" s="12"/>
      <c r="G2201" s="12"/>
      <c r="I2201" s="12"/>
      <c r="J2201" s="12"/>
      <c r="K2201" s="12"/>
    </row>
    <row r="2202" spans="6:11" x14ac:dyDescent="0.25">
      <c r="F2202" s="12"/>
      <c r="G2202" s="12"/>
      <c r="I2202" s="12"/>
      <c r="J2202" s="12"/>
      <c r="K2202" s="12"/>
    </row>
    <row r="2203" spans="6:11" x14ac:dyDescent="0.25">
      <c r="F2203" s="12"/>
      <c r="G2203" s="12"/>
      <c r="I2203" s="12"/>
      <c r="J2203" s="12"/>
      <c r="K2203" s="12"/>
    </row>
    <row r="2204" spans="6:11" x14ac:dyDescent="0.25">
      <c r="F2204" s="12"/>
      <c r="G2204" s="12"/>
      <c r="I2204" s="12"/>
      <c r="J2204" s="12"/>
      <c r="K2204" s="12"/>
    </row>
    <row r="2205" spans="6:11" x14ac:dyDescent="0.25">
      <c r="F2205" s="12"/>
      <c r="G2205" s="12"/>
      <c r="I2205" s="12"/>
      <c r="J2205" s="12"/>
      <c r="K2205" s="12"/>
    </row>
    <row r="2206" spans="6:11" x14ac:dyDescent="0.25">
      <c r="F2206" s="12"/>
      <c r="G2206" s="12"/>
      <c r="I2206" s="12"/>
      <c r="J2206" s="12"/>
      <c r="K2206" s="12"/>
    </row>
    <row r="2207" spans="6:11" x14ac:dyDescent="0.25">
      <c r="F2207" s="12"/>
      <c r="G2207" s="12"/>
      <c r="I2207" s="12"/>
      <c r="J2207" s="12"/>
      <c r="K2207" s="12"/>
    </row>
    <row r="2208" spans="6:11" x14ac:dyDescent="0.25">
      <c r="F2208" s="12"/>
      <c r="G2208" s="12"/>
      <c r="I2208" s="12"/>
      <c r="J2208" s="12"/>
      <c r="K2208" s="12"/>
    </row>
    <row r="2209" spans="6:11" x14ac:dyDescent="0.25">
      <c r="F2209" s="12"/>
      <c r="G2209" s="12"/>
      <c r="I2209" s="12"/>
      <c r="J2209" s="12"/>
      <c r="K2209" s="12"/>
    </row>
    <row r="2210" spans="6:11" x14ac:dyDescent="0.25">
      <c r="F2210" s="12"/>
      <c r="G2210" s="12"/>
      <c r="I2210" s="12"/>
      <c r="J2210" s="12"/>
      <c r="K2210" s="12"/>
    </row>
    <row r="2211" spans="6:11" x14ac:dyDescent="0.25">
      <c r="F2211" s="12"/>
      <c r="G2211" s="12"/>
      <c r="I2211" s="12"/>
      <c r="J2211" s="12"/>
      <c r="K2211" s="12"/>
    </row>
    <row r="2212" spans="6:11" x14ac:dyDescent="0.25">
      <c r="F2212" s="12"/>
      <c r="G2212" s="12"/>
      <c r="I2212" s="12"/>
      <c r="J2212" s="12"/>
      <c r="K2212" s="12"/>
    </row>
    <row r="2213" spans="6:11" x14ac:dyDescent="0.25">
      <c r="F2213" s="12"/>
      <c r="G2213" s="12"/>
      <c r="I2213" s="12"/>
      <c r="J2213" s="12"/>
      <c r="K2213" s="12"/>
    </row>
    <row r="2214" spans="6:11" x14ac:dyDescent="0.25">
      <c r="F2214" s="12"/>
      <c r="G2214" s="12"/>
      <c r="I2214" s="12"/>
      <c r="J2214" s="12"/>
      <c r="K2214" s="12"/>
    </row>
    <row r="2215" spans="6:11" x14ac:dyDescent="0.25">
      <c r="F2215" s="12"/>
      <c r="G2215" s="12"/>
      <c r="I2215" s="12"/>
      <c r="J2215" s="12"/>
      <c r="K2215" s="12"/>
    </row>
    <row r="2216" spans="6:11" x14ac:dyDescent="0.25">
      <c r="F2216" s="12"/>
      <c r="G2216" s="12"/>
      <c r="I2216" s="12"/>
      <c r="J2216" s="12"/>
      <c r="K2216" s="12"/>
    </row>
    <row r="2217" spans="6:11" x14ac:dyDescent="0.25">
      <c r="F2217" s="12"/>
      <c r="G2217" s="12"/>
      <c r="I2217" s="12"/>
      <c r="J2217" s="12"/>
      <c r="K2217" s="12"/>
    </row>
    <row r="2218" spans="6:11" x14ac:dyDescent="0.25">
      <c r="F2218" s="12"/>
      <c r="G2218" s="12"/>
      <c r="I2218" s="12"/>
      <c r="J2218" s="12"/>
      <c r="K2218" s="12"/>
    </row>
    <row r="2219" spans="6:11" x14ac:dyDescent="0.25">
      <c r="F2219" s="12"/>
      <c r="G2219" s="12"/>
      <c r="I2219" s="12"/>
      <c r="J2219" s="12"/>
      <c r="K2219" s="12"/>
    </row>
    <row r="2220" spans="6:11" x14ac:dyDescent="0.25">
      <c r="F2220" s="12"/>
      <c r="G2220" s="12"/>
      <c r="I2220" s="12"/>
      <c r="J2220" s="12"/>
      <c r="K2220" s="12"/>
    </row>
    <row r="2221" spans="6:11" x14ac:dyDescent="0.25">
      <c r="F2221" s="12"/>
      <c r="G2221" s="12"/>
      <c r="I2221" s="12"/>
      <c r="J2221" s="12"/>
      <c r="K2221" s="12"/>
    </row>
    <row r="2222" spans="6:11" x14ac:dyDescent="0.25">
      <c r="F2222" s="12"/>
      <c r="G2222" s="12"/>
      <c r="I2222" s="12"/>
      <c r="J2222" s="12"/>
      <c r="K2222" s="12"/>
    </row>
    <row r="2223" spans="6:11" x14ac:dyDescent="0.25">
      <c r="F2223" s="12"/>
      <c r="G2223" s="12"/>
      <c r="I2223" s="12"/>
      <c r="J2223" s="12"/>
      <c r="K2223" s="12"/>
    </row>
    <row r="2224" spans="6:11" x14ac:dyDescent="0.25">
      <c r="F2224" s="12"/>
      <c r="G2224" s="12"/>
      <c r="I2224" s="12"/>
      <c r="J2224" s="12"/>
      <c r="K2224" s="12"/>
    </row>
    <row r="2225" spans="6:11" x14ac:dyDescent="0.25">
      <c r="F2225" s="12"/>
      <c r="G2225" s="12"/>
      <c r="I2225" s="12"/>
      <c r="J2225" s="12"/>
      <c r="K2225" s="12"/>
    </row>
    <row r="2226" spans="6:11" x14ac:dyDescent="0.25">
      <c r="F2226" s="12"/>
      <c r="G2226" s="12"/>
      <c r="I2226" s="12"/>
      <c r="J2226" s="12"/>
      <c r="K2226" s="12"/>
    </row>
    <row r="2227" spans="6:11" x14ac:dyDescent="0.25">
      <c r="F2227" s="12"/>
      <c r="G2227" s="12"/>
      <c r="I2227" s="12"/>
      <c r="J2227" s="12"/>
      <c r="K2227" s="12"/>
    </row>
    <row r="2228" spans="6:11" x14ac:dyDescent="0.25">
      <c r="F2228" s="12"/>
      <c r="G2228" s="12"/>
      <c r="I2228" s="12"/>
      <c r="J2228" s="12"/>
      <c r="K2228" s="12"/>
    </row>
    <row r="2229" spans="6:11" x14ac:dyDescent="0.25">
      <c r="F2229" s="12"/>
      <c r="G2229" s="12"/>
      <c r="I2229" s="12"/>
      <c r="J2229" s="12"/>
      <c r="K2229" s="12"/>
    </row>
    <row r="2230" spans="6:11" x14ac:dyDescent="0.25">
      <c r="F2230" s="12"/>
      <c r="G2230" s="12"/>
      <c r="I2230" s="12"/>
      <c r="J2230" s="12"/>
      <c r="K2230" s="12"/>
    </row>
    <row r="2231" spans="6:11" x14ac:dyDescent="0.25">
      <c r="F2231" s="12"/>
      <c r="G2231" s="12"/>
      <c r="I2231" s="12"/>
      <c r="J2231" s="12"/>
      <c r="K2231" s="12"/>
    </row>
    <row r="2232" spans="6:11" x14ac:dyDescent="0.25">
      <c r="F2232" s="12"/>
      <c r="G2232" s="12"/>
      <c r="I2232" s="12"/>
      <c r="J2232" s="12"/>
      <c r="K2232" s="12"/>
    </row>
    <row r="2233" spans="6:11" x14ac:dyDescent="0.25">
      <c r="F2233" s="12"/>
      <c r="G2233" s="12"/>
      <c r="I2233" s="12"/>
      <c r="J2233" s="12"/>
      <c r="K2233" s="12"/>
    </row>
    <row r="2234" spans="6:11" x14ac:dyDescent="0.25">
      <c r="F2234" s="12"/>
      <c r="G2234" s="12"/>
      <c r="I2234" s="12"/>
      <c r="J2234" s="12"/>
      <c r="K2234" s="12"/>
    </row>
    <row r="2235" spans="6:11" x14ac:dyDescent="0.25">
      <c r="F2235" s="12"/>
      <c r="G2235" s="12"/>
      <c r="I2235" s="12"/>
      <c r="J2235" s="12"/>
      <c r="K2235" s="12"/>
    </row>
    <row r="2236" spans="6:11" x14ac:dyDescent="0.25">
      <c r="F2236" s="12"/>
      <c r="G2236" s="12"/>
      <c r="I2236" s="12"/>
      <c r="J2236" s="12"/>
      <c r="K2236" s="12"/>
    </row>
    <row r="2237" spans="6:11" x14ac:dyDescent="0.25">
      <c r="F2237" s="12"/>
      <c r="G2237" s="12"/>
      <c r="I2237" s="12"/>
      <c r="J2237" s="12"/>
      <c r="K2237" s="12"/>
    </row>
    <row r="2238" spans="6:11" x14ac:dyDescent="0.25">
      <c r="F2238" s="12"/>
      <c r="G2238" s="12"/>
      <c r="I2238" s="12"/>
      <c r="J2238" s="12"/>
      <c r="K2238" s="12"/>
    </row>
    <row r="2239" spans="6:11" x14ac:dyDescent="0.25">
      <c r="F2239" s="12"/>
      <c r="G2239" s="12"/>
      <c r="I2239" s="12"/>
      <c r="J2239" s="12"/>
      <c r="K2239" s="12"/>
    </row>
    <row r="2240" spans="6:11" x14ac:dyDescent="0.25">
      <c r="F2240" s="12"/>
      <c r="G2240" s="12"/>
      <c r="I2240" s="12"/>
      <c r="J2240" s="12"/>
      <c r="K2240" s="12"/>
    </row>
    <row r="2241" spans="6:11" x14ac:dyDescent="0.25">
      <c r="F2241" s="12"/>
      <c r="G2241" s="12"/>
      <c r="I2241" s="12"/>
      <c r="J2241" s="12"/>
      <c r="K2241" s="12"/>
    </row>
    <row r="2242" spans="6:11" x14ac:dyDescent="0.25">
      <c r="F2242" s="12"/>
      <c r="G2242" s="12"/>
      <c r="I2242" s="12"/>
      <c r="J2242" s="12"/>
      <c r="K2242" s="12"/>
    </row>
    <row r="2243" spans="6:11" x14ac:dyDescent="0.25">
      <c r="F2243" s="12"/>
      <c r="G2243" s="12"/>
      <c r="I2243" s="12"/>
      <c r="J2243" s="12"/>
      <c r="K2243" s="12"/>
    </row>
    <row r="2244" spans="6:11" x14ac:dyDescent="0.25">
      <c r="F2244" s="12"/>
      <c r="G2244" s="12"/>
      <c r="I2244" s="12"/>
      <c r="J2244" s="12"/>
      <c r="K2244" s="12"/>
    </row>
    <row r="2245" spans="6:11" x14ac:dyDescent="0.25">
      <c r="F2245" s="12"/>
      <c r="G2245" s="12"/>
      <c r="I2245" s="12"/>
      <c r="J2245" s="12"/>
      <c r="K2245" s="12"/>
    </row>
    <row r="2246" spans="6:11" x14ac:dyDescent="0.25">
      <c r="F2246" s="12"/>
      <c r="G2246" s="12"/>
      <c r="I2246" s="12"/>
      <c r="J2246" s="12"/>
      <c r="K2246" s="12"/>
    </row>
    <row r="2247" spans="6:11" x14ac:dyDescent="0.25">
      <c r="F2247" s="12"/>
      <c r="G2247" s="12"/>
      <c r="I2247" s="12"/>
      <c r="J2247" s="12"/>
      <c r="K2247" s="12"/>
    </row>
    <row r="2248" spans="6:11" x14ac:dyDescent="0.25">
      <c r="F2248" s="12"/>
      <c r="G2248" s="12"/>
      <c r="I2248" s="12"/>
      <c r="J2248" s="12"/>
      <c r="K2248" s="12"/>
    </row>
    <row r="2249" spans="6:11" x14ac:dyDescent="0.25">
      <c r="F2249" s="12"/>
      <c r="G2249" s="12"/>
      <c r="I2249" s="12"/>
      <c r="J2249" s="12"/>
      <c r="K2249" s="12"/>
    </row>
    <row r="2250" spans="6:11" x14ac:dyDescent="0.25">
      <c r="F2250" s="12"/>
      <c r="G2250" s="12"/>
      <c r="I2250" s="12"/>
      <c r="J2250" s="12"/>
      <c r="K2250" s="12"/>
    </row>
    <row r="2251" spans="6:11" x14ac:dyDescent="0.25">
      <c r="F2251" s="12"/>
      <c r="G2251" s="12"/>
      <c r="I2251" s="12"/>
      <c r="J2251" s="12"/>
      <c r="K2251" s="12"/>
    </row>
    <row r="2252" spans="6:11" x14ac:dyDescent="0.25">
      <c r="F2252" s="12"/>
      <c r="G2252" s="12"/>
      <c r="I2252" s="12"/>
      <c r="J2252" s="12"/>
      <c r="K2252" s="12"/>
    </row>
    <row r="2253" spans="6:11" x14ac:dyDescent="0.25">
      <c r="F2253" s="12"/>
      <c r="G2253" s="12"/>
      <c r="I2253" s="12"/>
      <c r="J2253" s="12"/>
      <c r="K2253" s="12"/>
    </row>
    <row r="2254" spans="6:11" x14ac:dyDescent="0.25">
      <c r="F2254" s="12"/>
      <c r="G2254" s="12"/>
      <c r="I2254" s="12"/>
      <c r="J2254" s="12"/>
      <c r="K2254" s="12"/>
    </row>
    <row r="2255" spans="6:11" x14ac:dyDescent="0.25">
      <c r="F2255" s="12"/>
      <c r="G2255" s="12"/>
      <c r="I2255" s="12"/>
      <c r="J2255" s="12"/>
      <c r="K2255" s="12"/>
    </row>
    <row r="2256" spans="6:11" x14ac:dyDescent="0.25">
      <c r="F2256" s="12"/>
      <c r="G2256" s="12"/>
      <c r="I2256" s="12"/>
      <c r="J2256" s="12"/>
      <c r="K2256" s="12"/>
    </row>
    <row r="2257" spans="6:11" x14ac:dyDescent="0.25">
      <c r="F2257" s="12"/>
      <c r="G2257" s="12"/>
      <c r="I2257" s="12"/>
      <c r="J2257" s="12"/>
      <c r="K2257" s="12"/>
    </row>
    <row r="2258" spans="6:11" x14ac:dyDescent="0.25">
      <c r="F2258" s="12"/>
      <c r="G2258" s="12"/>
      <c r="I2258" s="12"/>
      <c r="J2258" s="12"/>
      <c r="K2258" s="12"/>
    </row>
    <row r="2259" spans="6:11" x14ac:dyDescent="0.25">
      <c r="F2259" s="12"/>
      <c r="G2259" s="12"/>
      <c r="I2259" s="12"/>
      <c r="J2259" s="12"/>
      <c r="K2259" s="12"/>
    </row>
    <row r="2260" spans="6:11" x14ac:dyDescent="0.25">
      <c r="F2260" s="12"/>
      <c r="G2260" s="12"/>
      <c r="I2260" s="12"/>
      <c r="J2260" s="12"/>
      <c r="K2260" s="12"/>
    </row>
    <row r="2261" spans="6:11" x14ac:dyDescent="0.25">
      <c r="F2261" s="12"/>
      <c r="G2261" s="12"/>
      <c r="I2261" s="12"/>
      <c r="J2261" s="12"/>
      <c r="K2261" s="12"/>
    </row>
    <row r="2262" spans="6:11" x14ac:dyDescent="0.25">
      <c r="F2262" s="12"/>
      <c r="G2262" s="12"/>
      <c r="I2262" s="12"/>
      <c r="J2262" s="12"/>
      <c r="K2262" s="12"/>
    </row>
    <row r="2263" spans="6:11" x14ac:dyDescent="0.25">
      <c r="F2263" s="12"/>
      <c r="G2263" s="12"/>
      <c r="I2263" s="12"/>
      <c r="J2263" s="12"/>
      <c r="K2263" s="12"/>
    </row>
    <row r="2264" spans="6:11" x14ac:dyDescent="0.25">
      <c r="F2264" s="12"/>
      <c r="G2264" s="12"/>
      <c r="I2264" s="12"/>
      <c r="J2264" s="12"/>
      <c r="K2264" s="12"/>
    </row>
    <row r="2265" spans="6:11" x14ac:dyDescent="0.25">
      <c r="F2265" s="12"/>
      <c r="G2265" s="12"/>
      <c r="I2265" s="12"/>
      <c r="J2265" s="12"/>
      <c r="K2265" s="12"/>
    </row>
    <row r="2266" spans="6:11" x14ac:dyDescent="0.25">
      <c r="F2266" s="12"/>
      <c r="G2266" s="12"/>
      <c r="I2266" s="12"/>
      <c r="J2266" s="12"/>
      <c r="K2266" s="12"/>
    </row>
    <row r="2267" spans="6:11" x14ac:dyDescent="0.25">
      <c r="F2267" s="12"/>
      <c r="G2267" s="12"/>
      <c r="I2267" s="12"/>
      <c r="J2267" s="12"/>
      <c r="K2267" s="12"/>
    </row>
    <row r="2268" spans="6:11" x14ac:dyDescent="0.25">
      <c r="F2268" s="12"/>
      <c r="G2268" s="12"/>
      <c r="I2268" s="12"/>
      <c r="J2268" s="12"/>
      <c r="K2268" s="12"/>
    </row>
    <row r="2269" spans="6:11" x14ac:dyDescent="0.25">
      <c r="F2269" s="12"/>
      <c r="G2269" s="12"/>
      <c r="I2269" s="12"/>
      <c r="J2269" s="12"/>
      <c r="K2269" s="12"/>
    </row>
    <row r="2270" spans="6:11" x14ac:dyDescent="0.25">
      <c r="F2270" s="12"/>
      <c r="G2270" s="12"/>
      <c r="I2270" s="12"/>
      <c r="J2270" s="12"/>
      <c r="K2270" s="12"/>
    </row>
    <row r="2271" spans="6:11" x14ac:dyDescent="0.25">
      <c r="F2271" s="12"/>
      <c r="G2271" s="12"/>
      <c r="I2271" s="12"/>
      <c r="J2271" s="12"/>
      <c r="K2271" s="12"/>
    </row>
    <row r="2272" spans="6:11" x14ac:dyDescent="0.25">
      <c r="F2272" s="12"/>
      <c r="G2272" s="12"/>
      <c r="I2272" s="12"/>
      <c r="J2272" s="12"/>
      <c r="K2272" s="12"/>
    </row>
    <row r="2273" spans="6:11" x14ac:dyDescent="0.25">
      <c r="F2273" s="12"/>
      <c r="G2273" s="12"/>
      <c r="I2273" s="12"/>
      <c r="J2273" s="12"/>
      <c r="K2273" s="12"/>
    </row>
    <row r="2274" spans="6:11" x14ac:dyDescent="0.25">
      <c r="F2274" s="12"/>
      <c r="G2274" s="12"/>
      <c r="I2274" s="12"/>
      <c r="J2274" s="12"/>
      <c r="K2274" s="12"/>
    </row>
    <row r="2275" spans="6:11" x14ac:dyDescent="0.25">
      <c r="F2275" s="12"/>
      <c r="G2275" s="12"/>
      <c r="I2275" s="12"/>
      <c r="J2275" s="12"/>
      <c r="K2275" s="12"/>
    </row>
    <row r="2276" spans="6:11" x14ac:dyDescent="0.25">
      <c r="F2276" s="12"/>
      <c r="G2276" s="12"/>
      <c r="I2276" s="12"/>
      <c r="J2276" s="12"/>
      <c r="K2276" s="12"/>
    </row>
    <row r="2277" spans="6:11" x14ac:dyDescent="0.25">
      <c r="F2277" s="12"/>
      <c r="G2277" s="12"/>
      <c r="I2277" s="12"/>
      <c r="J2277" s="12"/>
      <c r="K2277" s="12"/>
    </row>
    <row r="2278" spans="6:11" x14ac:dyDescent="0.25">
      <c r="F2278" s="12"/>
      <c r="G2278" s="12"/>
      <c r="I2278" s="12"/>
      <c r="J2278" s="12"/>
      <c r="K2278" s="12"/>
    </row>
    <row r="2279" spans="6:11" x14ac:dyDescent="0.25">
      <c r="F2279" s="12"/>
      <c r="G2279" s="12"/>
      <c r="I2279" s="12"/>
      <c r="J2279" s="12"/>
      <c r="K2279" s="12"/>
    </row>
    <row r="2280" spans="6:11" x14ac:dyDescent="0.25">
      <c r="F2280" s="12"/>
      <c r="G2280" s="12"/>
      <c r="I2280" s="12"/>
      <c r="J2280" s="12"/>
      <c r="K2280" s="12"/>
    </row>
    <row r="2281" spans="6:11" x14ac:dyDescent="0.25">
      <c r="F2281" s="12"/>
      <c r="G2281" s="12"/>
      <c r="I2281" s="12"/>
      <c r="J2281" s="12"/>
      <c r="K2281" s="12"/>
    </row>
    <row r="2282" spans="6:11" x14ac:dyDescent="0.25">
      <c r="F2282" s="12"/>
      <c r="G2282" s="12"/>
      <c r="I2282" s="12"/>
      <c r="J2282" s="12"/>
      <c r="K2282" s="12"/>
    </row>
    <row r="2283" spans="6:11" x14ac:dyDescent="0.25">
      <c r="F2283" s="12"/>
      <c r="G2283" s="12"/>
      <c r="I2283" s="12"/>
      <c r="J2283" s="12"/>
      <c r="K2283" s="12"/>
    </row>
    <row r="2284" spans="6:11" x14ac:dyDescent="0.25">
      <c r="F2284" s="12"/>
      <c r="G2284" s="12"/>
      <c r="I2284" s="12"/>
      <c r="J2284" s="12"/>
      <c r="K2284" s="12"/>
    </row>
    <row r="2285" spans="6:11" x14ac:dyDescent="0.25">
      <c r="F2285" s="12"/>
      <c r="G2285" s="12"/>
      <c r="I2285" s="12"/>
      <c r="J2285" s="12"/>
      <c r="K2285" s="12"/>
    </row>
    <row r="2286" spans="6:11" x14ac:dyDescent="0.25">
      <c r="F2286" s="12"/>
      <c r="G2286" s="12"/>
      <c r="I2286" s="12"/>
      <c r="J2286" s="12"/>
      <c r="K2286" s="12"/>
    </row>
    <row r="2287" spans="6:11" x14ac:dyDescent="0.25">
      <c r="F2287" s="12"/>
      <c r="G2287" s="12"/>
      <c r="I2287" s="12"/>
      <c r="J2287" s="12"/>
      <c r="K2287" s="12"/>
    </row>
    <row r="2288" spans="6:11" x14ac:dyDescent="0.25">
      <c r="F2288" s="12"/>
      <c r="G2288" s="12"/>
      <c r="I2288" s="12"/>
      <c r="J2288" s="12"/>
      <c r="K2288" s="12"/>
    </row>
    <row r="2289" spans="6:11" x14ac:dyDescent="0.25">
      <c r="F2289" s="12"/>
      <c r="G2289" s="12"/>
      <c r="I2289" s="12"/>
      <c r="J2289" s="12"/>
      <c r="K2289" s="12"/>
    </row>
    <row r="2290" spans="6:11" x14ac:dyDescent="0.25">
      <c r="F2290" s="12"/>
      <c r="G2290" s="12"/>
      <c r="I2290" s="12"/>
      <c r="J2290" s="12"/>
      <c r="K2290" s="12"/>
    </row>
    <row r="2291" spans="6:11" x14ac:dyDescent="0.25">
      <c r="F2291" s="12"/>
      <c r="G2291" s="12"/>
      <c r="I2291" s="12"/>
      <c r="J2291" s="12"/>
      <c r="K2291" s="12"/>
    </row>
    <row r="2292" spans="6:11" x14ac:dyDescent="0.25">
      <c r="F2292" s="12"/>
      <c r="G2292" s="12"/>
      <c r="I2292" s="12"/>
      <c r="J2292" s="12"/>
      <c r="K2292" s="12"/>
    </row>
    <row r="2293" spans="6:11" x14ac:dyDescent="0.25">
      <c r="F2293" s="12"/>
      <c r="G2293" s="12"/>
      <c r="I2293" s="12"/>
      <c r="J2293" s="12"/>
      <c r="K2293" s="12"/>
    </row>
    <row r="2294" spans="6:11" x14ac:dyDescent="0.25">
      <c r="F2294" s="12"/>
      <c r="G2294" s="12"/>
      <c r="I2294" s="12"/>
      <c r="J2294" s="12"/>
      <c r="K2294" s="12"/>
    </row>
    <row r="2295" spans="6:11" x14ac:dyDescent="0.25">
      <c r="F2295" s="12"/>
      <c r="G2295" s="12"/>
      <c r="I2295" s="12"/>
      <c r="J2295" s="12"/>
      <c r="K2295" s="12"/>
    </row>
    <row r="2296" spans="6:11" x14ac:dyDescent="0.25">
      <c r="F2296" s="12"/>
      <c r="G2296" s="12"/>
      <c r="I2296" s="12"/>
      <c r="J2296" s="12"/>
      <c r="K2296" s="12"/>
    </row>
    <row r="2297" spans="6:11" x14ac:dyDescent="0.25">
      <c r="F2297" s="12"/>
      <c r="G2297" s="12"/>
      <c r="I2297" s="12"/>
      <c r="J2297" s="12"/>
      <c r="K2297" s="12"/>
    </row>
    <row r="2298" spans="6:11" x14ac:dyDescent="0.25">
      <c r="F2298" s="12"/>
      <c r="G2298" s="12"/>
      <c r="I2298" s="12"/>
      <c r="J2298" s="12"/>
      <c r="K2298" s="12"/>
    </row>
    <row r="2299" spans="6:11" x14ac:dyDescent="0.25">
      <c r="F2299" s="12"/>
      <c r="G2299" s="12"/>
      <c r="I2299" s="12"/>
      <c r="J2299" s="12"/>
      <c r="K2299" s="12"/>
    </row>
    <row r="2300" spans="6:11" x14ac:dyDescent="0.25">
      <c r="F2300" s="12"/>
      <c r="G2300" s="12"/>
      <c r="I2300" s="12"/>
      <c r="J2300" s="12"/>
      <c r="K2300" s="12"/>
    </row>
    <row r="2301" spans="6:11" x14ac:dyDescent="0.25">
      <c r="F2301" s="12"/>
      <c r="G2301" s="12"/>
      <c r="I2301" s="12"/>
      <c r="J2301" s="12"/>
      <c r="K2301" s="12"/>
    </row>
    <row r="2302" spans="6:11" x14ac:dyDescent="0.25">
      <c r="F2302" s="12"/>
      <c r="G2302" s="12"/>
      <c r="I2302" s="12"/>
      <c r="J2302" s="12"/>
      <c r="K2302" s="12"/>
    </row>
    <row r="2303" spans="6:11" x14ac:dyDescent="0.25">
      <c r="F2303" s="12"/>
      <c r="G2303" s="12"/>
      <c r="I2303" s="12"/>
      <c r="J2303" s="12"/>
      <c r="K2303" s="12"/>
    </row>
    <row r="2304" spans="6:11" x14ac:dyDescent="0.25">
      <c r="F2304" s="12"/>
      <c r="G2304" s="12"/>
      <c r="I2304" s="12"/>
      <c r="J2304" s="12"/>
      <c r="K2304" s="12"/>
    </row>
    <row r="2305" spans="6:11" x14ac:dyDescent="0.25">
      <c r="F2305" s="12"/>
      <c r="G2305" s="12"/>
      <c r="I2305" s="12"/>
      <c r="J2305" s="12"/>
      <c r="K2305" s="12"/>
    </row>
    <row r="2306" spans="6:11" x14ac:dyDescent="0.25">
      <c r="F2306" s="12"/>
      <c r="G2306" s="12"/>
      <c r="I2306" s="12"/>
      <c r="J2306" s="12"/>
      <c r="K2306" s="12"/>
    </row>
    <row r="2307" spans="6:11" x14ac:dyDescent="0.25">
      <c r="F2307" s="12"/>
      <c r="G2307" s="12"/>
      <c r="I2307" s="12"/>
      <c r="J2307" s="12"/>
      <c r="K2307" s="12"/>
    </row>
    <row r="2308" spans="6:11" x14ac:dyDescent="0.25">
      <c r="F2308" s="12"/>
      <c r="G2308" s="12"/>
      <c r="I2308" s="12"/>
      <c r="J2308" s="12"/>
      <c r="K2308" s="12"/>
    </row>
    <row r="2309" spans="6:11" x14ac:dyDescent="0.25">
      <c r="F2309" s="12"/>
      <c r="G2309" s="12"/>
      <c r="I2309" s="12"/>
      <c r="J2309" s="12"/>
      <c r="K2309" s="12"/>
    </row>
    <row r="2310" spans="6:11" x14ac:dyDescent="0.25">
      <c r="F2310" s="12"/>
      <c r="G2310" s="12"/>
      <c r="I2310" s="12"/>
      <c r="J2310" s="12"/>
      <c r="K2310" s="12"/>
    </row>
    <row r="2311" spans="6:11" x14ac:dyDescent="0.25">
      <c r="F2311" s="12"/>
      <c r="G2311" s="12"/>
      <c r="I2311" s="12"/>
      <c r="J2311" s="12"/>
      <c r="K2311" s="12"/>
    </row>
    <row r="2312" spans="6:11" x14ac:dyDescent="0.25">
      <c r="F2312" s="12"/>
      <c r="G2312" s="12"/>
      <c r="I2312" s="12"/>
      <c r="J2312" s="12"/>
      <c r="K2312" s="12"/>
    </row>
    <row r="2313" spans="6:11" x14ac:dyDescent="0.25">
      <c r="F2313" s="12"/>
      <c r="G2313" s="12"/>
      <c r="I2313" s="12"/>
      <c r="J2313" s="12"/>
      <c r="K2313" s="12"/>
    </row>
    <row r="2314" spans="6:11" x14ac:dyDescent="0.25">
      <c r="F2314" s="12"/>
      <c r="G2314" s="12"/>
      <c r="I2314" s="12"/>
      <c r="J2314" s="12"/>
      <c r="K2314" s="12"/>
    </row>
    <row r="2315" spans="6:11" x14ac:dyDescent="0.25">
      <c r="F2315" s="12"/>
      <c r="G2315" s="12"/>
      <c r="I2315" s="12"/>
      <c r="J2315" s="12"/>
      <c r="K2315" s="12"/>
    </row>
    <row r="2316" spans="6:11" x14ac:dyDescent="0.25">
      <c r="F2316" s="12"/>
      <c r="G2316" s="12"/>
      <c r="I2316" s="12"/>
      <c r="J2316" s="12"/>
      <c r="K2316" s="12"/>
    </row>
    <row r="2317" spans="6:11" x14ac:dyDescent="0.25">
      <c r="F2317" s="12"/>
      <c r="G2317" s="12"/>
      <c r="I2317" s="12"/>
      <c r="J2317" s="12"/>
      <c r="K2317" s="12"/>
    </row>
    <row r="2318" spans="6:11" x14ac:dyDescent="0.25">
      <c r="F2318" s="12"/>
      <c r="G2318" s="12"/>
      <c r="I2318" s="12"/>
      <c r="J2318" s="12"/>
      <c r="K2318" s="12"/>
    </row>
    <row r="2319" spans="6:11" x14ac:dyDescent="0.25">
      <c r="F2319" s="12"/>
      <c r="G2319" s="12"/>
      <c r="I2319" s="12"/>
      <c r="J2319" s="12"/>
      <c r="K2319" s="12"/>
    </row>
    <row r="2320" spans="6:11" x14ac:dyDescent="0.25">
      <c r="F2320" s="12"/>
      <c r="G2320" s="12"/>
      <c r="I2320" s="12"/>
      <c r="J2320" s="12"/>
      <c r="K2320" s="12"/>
    </row>
    <row r="2321" spans="6:11" x14ac:dyDescent="0.25">
      <c r="F2321" s="12"/>
      <c r="G2321" s="12"/>
      <c r="I2321" s="12"/>
      <c r="J2321" s="12"/>
      <c r="K2321" s="12"/>
    </row>
    <row r="2322" spans="6:11" x14ac:dyDescent="0.25">
      <c r="F2322" s="12"/>
      <c r="G2322" s="12"/>
      <c r="I2322" s="12"/>
      <c r="J2322" s="12"/>
      <c r="K2322" s="12"/>
    </row>
    <row r="2323" spans="6:11" x14ac:dyDescent="0.25">
      <c r="F2323" s="12"/>
      <c r="G2323" s="12"/>
      <c r="I2323" s="12"/>
      <c r="J2323" s="12"/>
      <c r="K2323" s="12"/>
    </row>
    <row r="2324" spans="6:11" x14ac:dyDescent="0.25">
      <c r="F2324" s="12"/>
      <c r="G2324" s="12"/>
      <c r="I2324" s="12"/>
      <c r="J2324" s="12"/>
      <c r="K2324" s="12"/>
    </row>
    <row r="2325" spans="6:11" x14ac:dyDescent="0.25">
      <c r="F2325" s="12"/>
      <c r="G2325" s="12"/>
      <c r="I2325" s="12"/>
      <c r="J2325" s="12"/>
      <c r="K2325" s="12"/>
    </row>
    <row r="2326" spans="6:11" x14ac:dyDescent="0.25">
      <c r="F2326" s="12"/>
      <c r="G2326" s="12"/>
      <c r="I2326" s="12"/>
      <c r="J2326" s="12"/>
      <c r="K2326" s="12"/>
    </row>
    <row r="2327" spans="6:11" x14ac:dyDescent="0.25">
      <c r="F2327" s="12"/>
      <c r="G2327" s="12"/>
      <c r="I2327" s="12"/>
      <c r="J2327" s="12"/>
      <c r="K2327" s="12"/>
    </row>
    <row r="2328" spans="6:11" x14ac:dyDescent="0.25">
      <c r="F2328" s="12"/>
      <c r="G2328" s="12"/>
      <c r="I2328" s="12"/>
      <c r="J2328" s="12"/>
      <c r="K2328" s="12"/>
    </row>
    <row r="2329" spans="6:11" x14ac:dyDescent="0.25">
      <c r="F2329" s="12"/>
      <c r="G2329" s="12"/>
      <c r="I2329" s="12"/>
      <c r="J2329" s="12"/>
      <c r="K2329" s="12"/>
    </row>
    <row r="2330" spans="6:11" x14ac:dyDescent="0.25">
      <c r="F2330" s="12"/>
      <c r="G2330" s="12"/>
      <c r="I2330" s="12"/>
      <c r="J2330" s="12"/>
      <c r="K2330" s="12"/>
    </row>
    <row r="2331" spans="6:11" x14ac:dyDescent="0.25">
      <c r="F2331" s="12"/>
      <c r="G2331" s="12"/>
      <c r="I2331" s="12"/>
      <c r="J2331" s="12"/>
      <c r="K2331" s="12"/>
    </row>
    <row r="2332" spans="6:11" x14ac:dyDescent="0.25">
      <c r="F2332" s="12"/>
      <c r="G2332" s="12"/>
      <c r="I2332" s="12"/>
      <c r="J2332" s="12"/>
      <c r="K2332" s="12"/>
    </row>
    <row r="2333" spans="6:11" x14ac:dyDescent="0.25">
      <c r="F2333" s="12"/>
      <c r="G2333" s="12"/>
      <c r="I2333" s="12"/>
      <c r="J2333" s="12"/>
      <c r="K2333" s="12"/>
    </row>
    <row r="2334" spans="6:11" x14ac:dyDescent="0.25">
      <c r="F2334" s="12"/>
      <c r="G2334" s="12"/>
      <c r="I2334" s="12"/>
      <c r="J2334" s="12"/>
      <c r="K2334" s="12"/>
    </row>
    <row r="2335" spans="6:11" x14ac:dyDescent="0.25">
      <c r="F2335" s="12"/>
      <c r="G2335" s="12"/>
      <c r="I2335" s="12"/>
      <c r="J2335" s="12"/>
      <c r="K2335" s="12"/>
    </row>
    <row r="2336" spans="6:11" x14ac:dyDescent="0.25">
      <c r="F2336" s="12"/>
      <c r="G2336" s="12"/>
      <c r="I2336" s="12"/>
      <c r="J2336" s="12"/>
      <c r="K2336" s="12"/>
    </row>
    <row r="2337" spans="6:11" x14ac:dyDescent="0.25">
      <c r="F2337" s="12"/>
      <c r="G2337" s="12"/>
      <c r="I2337" s="12"/>
      <c r="J2337" s="12"/>
      <c r="K2337" s="12"/>
    </row>
    <row r="2338" spans="6:11" x14ac:dyDescent="0.25">
      <c r="F2338" s="12"/>
      <c r="G2338" s="12"/>
      <c r="I2338" s="12"/>
      <c r="J2338" s="12"/>
      <c r="K2338" s="12"/>
    </row>
    <row r="2339" spans="6:11" x14ac:dyDescent="0.25">
      <c r="F2339" s="12"/>
      <c r="G2339" s="12"/>
      <c r="I2339" s="12"/>
      <c r="J2339" s="12"/>
      <c r="K2339" s="12"/>
    </row>
    <row r="2340" spans="6:11" x14ac:dyDescent="0.25">
      <c r="F2340" s="12"/>
      <c r="G2340" s="12"/>
      <c r="I2340" s="12"/>
      <c r="J2340" s="12"/>
      <c r="K2340" s="12"/>
    </row>
    <row r="2341" spans="6:11" x14ac:dyDescent="0.25">
      <c r="F2341" s="12"/>
      <c r="G2341" s="12"/>
      <c r="I2341" s="12"/>
      <c r="J2341" s="12"/>
      <c r="K2341" s="12"/>
    </row>
    <row r="2342" spans="6:11" x14ac:dyDescent="0.25">
      <c r="F2342" s="12"/>
      <c r="G2342" s="12"/>
      <c r="I2342" s="12"/>
      <c r="J2342" s="12"/>
      <c r="K2342" s="12"/>
    </row>
    <row r="2343" spans="6:11" x14ac:dyDescent="0.25">
      <c r="F2343" s="12"/>
      <c r="G2343" s="12"/>
      <c r="I2343" s="12"/>
      <c r="J2343" s="12"/>
      <c r="K2343" s="12"/>
    </row>
    <row r="2344" spans="6:11" x14ac:dyDescent="0.25">
      <c r="F2344" s="12"/>
      <c r="G2344" s="12"/>
      <c r="I2344" s="12"/>
      <c r="J2344" s="12"/>
      <c r="K2344" s="12"/>
    </row>
    <row r="2345" spans="6:11" x14ac:dyDescent="0.25">
      <c r="F2345" s="12"/>
      <c r="G2345" s="12"/>
      <c r="I2345" s="12"/>
      <c r="J2345" s="12"/>
      <c r="K2345" s="12"/>
    </row>
    <row r="2346" spans="6:11" x14ac:dyDescent="0.25">
      <c r="F2346" s="12"/>
      <c r="G2346" s="12"/>
      <c r="I2346" s="12"/>
      <c r="J2346" s="12"/>
      <c r="K2346" s="12"/>
    </row>
    <row r="2347" spans="6:11" x14ac:dyDescent="0.25">
      <c r="F2347" s="12"/>
      <c r="G2347" s="12"/>
      <c r="I2347" s="12"/>
      <c r="J2347" s="12"/>
      <c r="K2347" s="12"/>
    </row>
    <row r="2348" spans="6:11" x14ac:dyDescent="0.25">
      <c r="F2348" s="12"/>
      <c r="G2348" s="12"/>
      <c r="I2348" s="12"/>
      <c r="J2348" s="12"/>
      <c r="K2348" s="12"/>
    </row>
    <row r="2349" spans="6:11" x14ac:dyDescent="0.25">
      <c r="F2349" s="12"/>
      <c r="G2349" s="12"/>
      <c r="I2349" s="12"/>
      <c r="J2349" s="12"/>
      <c r="K2349" s="12"/>
    </row>
    <row r="2350" spans="6:11" x14ac:dyDescent="0.25">
      <c r="F2350" s="12"/>
      <c r="G2350" s="12"/>
      <c r="I2350" s="12"/>
      <c r="J2350" s="12"/>
      <c r="K2350" s="12"/>
    </row>
    <row r="2351" spans="6:11" x14ac:dyDescent="0.25">
      <c r="F2351" s="12"/>
      <c r="G2351" s="12"/>
      <c r="I2351" s="12"/>
      <c r="J2351" s="12"/>
      <c r="K2351" s="12"/>
    </row>
    <row r="2352" spans="6:11" x14ac:dyDescent="0.25">
      <c r="F2352" s="12"/>
      <c r="G2352" s="12"/>
      <c r="I2352" s="12"/>
      <c r="J2352" s="12"/>
      <c r="K2352" s="12"/>
    </row>
    <row r="2353" spans="6:11" x14ac:dyDescent="0.25">
      <c r="F2353" s="12"/>
      <c r="G2353" s="12"/>
      <c r="I2353" s="12"/>
      <c r="J2353" s="12"/>
      <c r="K2353" s="12"/>
    </row>
    <row r="2354" spans="6:11" x14ac:dyDescent="0.25">
      <c r="F2354" s="12"/>
      <c r="G2354" s="12"/>
      <c r="I2354" s="12"/>
      <c r="J2354" s="12"/>
      <c r="K2354" s="12"/>
    </row>
    <row r="2355" spans="6:11" x14ac:dyDescent="0.25">
      <c r="F2355" s="12"/>
      <c r="G2355" s="12"/>
      <c r="I2355" s="12"/>
      <c r="J2355" s="12"/>
      <c r="K2355" s="12"/>
    </row>
    <row r="2356" spans="6:11" x14ac:dyDescent="0.25">
      <c r="F2356" s="12"/>
      <c r="G2356" s="12"/>
      <c r="I2356" s="12"/>
      <c r="J2356" s="12"/>
      <c r="K2356" s="12"/>
    </row>
    <row r="2357" spans="6:11" x14ac:dyDescent="0.25">
      <c r="F2357" s="12"/>
      <c r="G2357" s="12"/>
      <c r="I2357" s="12"/>
      <c r="J2357" s="12"/>
      <c r="K2357" s="12"/>
    </row>
    <row r="2358" spans="6:11" x14ac:dyDescent="0.25">
      <c r="F2358" s="12"/>
      <c r="G2358" s="12"/>
      <c r="I2358" s="12"/>
      <c r="J2358" s="12"/>
      <c r="K2358" s="12"/>
    </row>
    <row r="2359" spans="6:11" x14ac:dyDescent="0.25">
      <c r="F2359" s="12"/>
      <c r="G2359" s="12"/>
      <c r="I2359" s="12"/>
      <c r="J2359" s="12"/>
      <c r="K2359" s="12"/>
    </row>
    <row r="2360" spans="6:11" x14ac:dyDescent="0.25">
      <c r="F2360" s="12"/>
      <c r="G2360" s="12"/>
      <c r="I2360" s="12"/>
      <c r="J2360" s="12"/>
      <c r="K2360" s="12"/>
    </row>
    <row r="2361" spans="6:11" x14ac:dyDescent="0.25">
      <c r="F2361" s="12"/>
      <c r="G2361" s="12"/>
      <c r="I2361" s="12"/>
      <c r="J2361" s="12"/>
      <c r="K2361" s="12"/>
    </row>
    <row r="2362" spans="6:11" x14ac:dyDescent="0.25">
      <c r="F2362" s="12"/>
      <c r="G2362" s="12"/>
      <c r="I2362" s="12"/>
      <c r="J2362" s="12"/>
      <c r="K2362" s="12"/>
    </row>
    <row r="2363" spans="6:11" x14ac:dyDescent="0.25">
      <c r="F2363" s="12"/>
      <c r="G2363" s="12"/>
      <c r="I2363" s="12"/>
      <c r="J2363" s="12"/>
      <c r="K2363" s="12"/>
    </row>
    <row r="2364" spans="6:11" x14ac:dyDescent="0.25">
      <c r="F2364" s="12"/>
      <c r="G2364" s="12"/>
      <c r="I2364" s="12"/>
      <c r="J2364" s="12"/>
      <c r="K2364" s="12"/>
    </row>
    <row r="2365" spans="6:11" x14ac:dyDescent="0.25">
      <c r="F2365" s="12"/>
      <c r="G2365" s="12"/>
      <c r="I2365" s="12"/>
      <c r="J2365" s="12"/>
      <c r="K2365" s="12"/>
    </row>
    <row r="2366" spans="6:11" x14ac:dyDescent="0.25">
      <c r="F2366" s="12"/>
      <c r="G2366" s="12"/>
      <c r="I2366" s="12"/>
      <c r="J2366" s="12"/>
      <c r="K2366" s="12"/>
    </row>
    <row r="2367" spans="6:11" x14ac:dyDescent="0.25">
      <c r="F2367" s="12"/>
      <c r="G2367" s="12"/>
      <c r="I2367" s="12"/>
      <c r="J2367" s="12"/>
      <c r="K2367" s="12"/>
    </row>
    <row r="2368" spans="6:11" x14ac:dyDescent="0.25">
      <c r="F2368" s="12"/>
      <c r="G2368" s="12"/>
      <c r="I2368" s="12"/>
      <c r="J2368" s="12"/>
      <c r="K2368" s="12"/>
    </row>
    <row r="2369" spans="6:11" x14ac:dyDescent="0.25">
      <c r="F2369" s="12"/>
      <c r="G2369" s="12"/>
      <c r="I2369" s="12"/>
      <c r="J2369" s="12"/>
      <c r="K2369" s="12"/>
    </row>
    <row r="2370" spans="6:11" x14ac:dyDescent="0.25">
      <c r="F2370" s="12"/>
      <c r="G2370" s="12"/>
      <c r="I2370" s="12"/>
      <c r="J2370" s="12"/>
      <c r="K2370" s="12"/>
    </row>
    <row r="2371" spans="6:11" x14ac:dyDescent="0.25">
      <c r="F2371" s="12"/>
      <c r="G2371" s="12"/>
      <c r="I2371" s="12"/>
      <c r="J2371" s="12"/>
      <c r="K2371" s="12"/>
    </row>
    <row r="2372" spans="6:11" x14ac:dyDescent="0.25">
      <c r="F2372" s="12"/>
      <c r="G2372" s="12"/>
      <c r="I2372" s="12"/>
      <c r="J2372" s="12"/>
      <c r="K2372" s="12"/>
    </row>
    <row r="2373" spans="6:11" x14ac:dyDescent="0.25">
      <c r="F2373" s="12"/>
      <c r="G2373" s="12"/>
      <c r="I2373" s="12"/>
      <c r="J2373" s="12"/>
      <c r="K2373" s="12"/>
    </row>
    <row r="2374" spans="6:11" x14ac:dyDescent="0.25">
      <c r="F2374" s="12"/>
      <c r="G2374" s="12"/>
      <c r="I2374" s="12"/>
      <c r="J2374" s="12"/>
      <c r="K2374" s="12"/>
    </row>
    <row r="2375" spans="6:11" x14ac:dyDescent="0.25">
      <c r="F2375" s="12"/>
      <c r="G2375" s="12"/>
      <c r="I2375" s="12"/>
      <c r="J2375" s="12"/>
      <c r="K2375" s="12"/>
    </row>
    <row r="2376" spans="6:11" x14ac:dyDescent="0.25">
      <c r="F2376" s="12"/>
      <c r="G2376" s="12"/>
      <c r="I2376" s="12"/>
      <c r="J2376" s="12"/>
      <c r="K2376" s="12"/>
    </row>
    <row r="2377" spans="6:11" x14ac:dyDescent="0.25">
      <c r="F2377" s="12"/>
      <c r="G2377" s="12"/>
      <c r="I2377" s="12"/>
      <c r="J2377" s="12"/>
      <c r="K2377" s="12"/>
    </row>
    <row r="2378" spans="6:11" x14ac:dyDescent="0.25">
      <c r="F2378" s="12"/>
      <c r="G2378" s="12"/>
      <c r="I2378" s="12"/>
      <c r="J2378" s="12"/>
      <c r="K2378" s="12"/>
    </row>
    <row r="2379" spans="6:11" x14ac:dyDescent="0.25">
      <c r="F2379" s="12"/>
      <c r="G2379" s="12"/>
      <c r="I2379" s="12"/>
      <c r="J2379" s="12"/>
      <c r="K2379" s="12"/>
    </row>
    <row r="2380" spans="6:11" x14ac:dyDescent="0.25">
      <c r="F2380" s="12"/>
      <c r="G2380" s="12"/>
      <c r="I2380" s="12"/>
      <c r="J2380" s="12"/>
      <c r="K2380" s="12"/>
    </row>
    <row r="2381" spans="6:11" x14ac:dyDescent="0.25">
      <c r="F2381" s="12"/>
      <c r="G2381" s="12"/>
      <c r="I2381" s="12"/>
      <c r="J2381" s="12"/>
      <c r="K2381" s="12"/>
    </row>
    <row r="2382" spans="6:11" x14ac:dyDescent="0.25">
      <c r="F2382" s="12"/>
      <c r="G2382" s="12"/>
      <c r="I2382" s="12"/>
      <c r="J2382" s="12"/>
      <c r="K2382" s="12"/>
    </row>
    <row r="2383" spans="6:11" x14ac:dyDescent="0.25">
      <c r="F2383" s="12"/>
      <c r="G2383" s="12"/>
      <c r="I2383" s="12"/>
      <c r="J2383" s="12"/>
      <c r="K2383" s="12"/>
    </row>
    <row r="2384" spans="6:11" x14ac:dyDescent="0.25">
      <c r="F2384" s="12"/>
      <c r="G2384" s="12"/>
      <c r="I2384" s="12"/>
      <c r="J2384" s="12"/>
      <c r="K2384" s="12"/>
    </row>
    <row r="2385" spans="6:11" x14ac:dyDescent="0.25">
      <c r="F2385" s="12"/>
      <c r="G2385" s="12"/>
      <c r="I2385" s="12"/>
      <c r="J2385" s="12"/>
      <c r="K2385" s="12"/>
    </row>
    <row r="2386" spans="6:11" x14ac:dyDescent="0.25">
      <c r="F2386" s="12"/>
      <c r="G2386" s="12"/>
      <c r="I2386" s="12"/>
      <c r="J2386" s="12"/>
      <c r="K2386" s="12"/>
    </row>
    <row r="2387" spans="6:11" x14ac:dyDescent="0.25">
      <c r="F2387" s="12"/>
      <c r="G2387" s="12"/>
      <c r="I2387" s="12"/>
      <c r="J2387" s="12"/>
      <c r="K2387" s="12"/>
    </row>
    <row r="2388" spans="6:11" x14ac:dyDescent="0.25">
      <c r="F2388" s="12"/>
      <c r="G2388" s="12"/>
      <c r="I2388" s="12"/>
      <c r="J2388" s="12"/>
      <c r="K2388" s="12"/>
    </row>
    <row r="2389" spans="6:11" x14ac:dyDescent="0.25">
      <c r="F2389" s="12"/>
      <c r="G2389" s="12"/>
      <c r="I2389" s="12"/>
      <c r="J2389" s="12"/>
      <c r="K2389" s="12"/>
    </row>
    <row r="2390" spans="6:11" x14ac:dyDescent="0.25">
      <c r="F2390" s="12"/>
      <c r="G2390" s="12"/>
      <c r="I2390" s="12"/>
      <c r="J2390" s="12"/>
      <c r="K2390" s="12"/>
    </row>
    <row r="2391" spans="6:11" x14ac:dyDescent="0.25">
      <c r="F2391" s="12"/>
      <c r="G2391" s="12"/>
      <c r="I2391" s="12"/>
      <c r="J2391" s="12"/>
      <c r="K2391" s="12"/>
    </row>
    <row r="2392" spans="6:11" x14ac:dyDescent="0.25">
      <c r="F2392" s="12"/>
      <c r="G2392" s="12"/>
      <c r="I2392" s="12"/>
      <c r="J2392" s="12"/>
      <c r="K2392" s="12"/>
    </row>
    <row r="2393" spans="6:11" x14ac:dyDescent="0.25">
      <c r="F2393" s="12"/>
      <c r="G2393" s="12"/>
      <c r="I2393" s="12"/>
      <c r="J2393" s="12"/>
      <c r="K2393" s="12"/>
    </row>
    <row r="2394" spans="6:11" x14ac:dyDescent="0.25">
      <c r="F2394" s="12"/>
      <c r="G2394" s="12"/>
      <c r="I2394" s="12"/>
      <c r="J2394" s="12"/>
      <c r="K2394" s="12"/>
    </row>
    <row r="2395" spans="6:11" x14ac:dyDescent="0.25">
      <c r="F2395" s="12"/>
      <c r="G2395" s="12"/>
      <c r="I2395" s="12"/>
      <c r="J2395" s="12"/>
      <c r="K2395" s="12"/>
    </row>
    <row r="2396" spans="6:11" x14ac:dyDescent="0.25">
      <c r="F2396" s="12"/>
      <c r="G2396" s="12"/>
      <c r="I2396" s="12"/>
      <c r="J2396" s="12"/>
      <c r="K2396" s="12"/>
    </row>
    <row r="2397" spans="6:11" x14ac:dyDescent="0.25">
      <c r="F2397" s="12"/>
      <c r="G2397" s="12"/>
      <c r="I2397" s="12"/>
      <c r="J2397" s="12"/>
      <c r="K2397" s="12"/>
    </row>
    <row r="2398" spans="6:11" x14ac:dyDescent="0.25">
      <c r="F2398" s="12"/>
      <c r="G2398" s="12"/>
      <c r="I2398" s="12"/>
      <c r="J2398" s="12"/>
      <c r="K2398" s="12"/>
    </row>
    <row r="2399" spans="6:11" x14ac:dyDescent="0.25">
      <c r="F2399" s="12"/>
      <c r="G2399" s="12"/>
      <c r="I2399" s="12"/>
      <c r="J2399" s="12"/>
      <c r="K2399" s="12"/>
    </row>
    <row r="2400" spans="6:11" x14ac:dyDescent="0.25">
      <c r="F2400" s="12"/>
      <c r="G2400" s="12"/>
      <c r="I2400" s="12"/>
      <c r="J2400" s="12"/>
      <c r="K2400" s="12"/>
    </row>
    <row r="2401" spans="6:11" x14ac:dyDescent="0.25">
      <c r="F2401" s="12"/>
      <c r="G2401" s="12"/>
      <c r="I2401" s="12"/>
      <c r="J2401" s="12"/>
      <c r="K2401" s="12"/>
    </row>
    <row r="2402" spans="6:11" x14ac:dyDescent="0.25">
      <c r="F2402" s="12"/>
      <c r="G2402" s="12"/>
      <c r="I2402" s="12"/>
      <c r="J2402" s="12"/>
      <c r="K2402" s="12"/>
    </row>
    <row r="2403" spans="6:11" x14ac:dyDescent="0.25">
      <c r="F2403" s="12"/>
      <c r="G2403" s="12"/>
      <c r="I2403" s="12"/>
      <c r="J2403" s="12"/>
      <c r="K2403" s="12"/>
    </row>
    <row r="2404" spans="6:11" x14ac:dyDescent="0.25">
      <c r="F2404" s="12"/>
      <c r="G2404" s="12"/>
      <c r="I2404" s="12"/>
      <c r="J2404" s="12"/>
      <c r="K2404" s="12"/>
    </row>
    <row r="2405" spans="6:11" x14ac:dyDescent="0.25">
      <c r="F2405" s="12"/>
      <c r="G2405" s="12"/>
      <c r="I2405" s="12"/>
      <c r="J2405" s="12"/>
      <c r="K2405" s="12"/>
    </row>
    <row r="2406" spans="6:11" x14ac:dyDescent="0.25">
      <c r="F2406" s="12"/>
      <c r="G2406" s="12"/>
      <c r="I2406" s="12"/>
      <c r="J2406" s="12"/>
      <c r="K2406" s="12"/>
    </row>
    <row r="2407" spans="6:11" x14ac:dyDescent="0.25">
      <c r="F2407" s="12"/>
      <c r="G2407" s="12"/>
      <c r="I2407" s="12"/>
      <c r="J2407" s="12"/>
      <c r="K2407" s="12"/>
    </row>
    <row r="2408" spans="6:11" x14ac:dyDescent="0.25">
      <c r="F2408" s="12"/>
      <c r="G2408" s="12"/>
      <c r="I2408" s="12"/>
      <c r="J2408" s="12"/>
      <c r="K2408" s="12"/>
    </row>
    <row r="2409" spans="6:11" x14ac:dyDescent="0.25">
      <c r="F2409" s="12"/>
      <c r="G2409" s="12"/>
      <c r="I2409" s="12"/>
      <c r="J2409" s="12"/>
      <c r="K2409" s="12"/>
    </row>
    <row r="2410" spans="6:11" x14ac:dyDescent="0.25">
      <c r="F2410" s="12"/>
      <c r="G2410" s="12"/>
      <c r="I2410" s="12"/>
      <c r="J2410" s="12"/>
      <c r="K2410" s="12"/>
    </row>
    <row r="2411" spans="6:11" x14ac:dyDescent="0.25">
      <c r="F2411" s="12"/>
      <c r="G2411" s="12"/>
      <c r="I2411" s="12"/>
      <c r="J2411" s="12"/>
      <c r="K2411" s="12"/>
    </row>
    <row r="2412" spans="6:11" x14ac:dyDescent="0.25">
      <c r="F2412" s="12"/>
      <c r="G2412" s="12"/>
      <c r="I2412" s="12"/>
      <c r="J2412" s="12"/>
      <c r="K2412" s="12"/>
    </row>
    <row r="2413" spans="6:11" x14ac:dyDescent="0.25">
      <c r="F2413" s="12"/>
      <c r="G2413" s="12"/>
      <c r="I2413" s="12"/>
      <c r="J2413" s="12"/>
      <c r="K2413" s="12"/>
    </row>
    <row r="2414" spans="6:11" x14ac:dyDescent="0.25">
      <c r="F2414" s="12"/>
      <c r="G2414" s="12"/>
      <c r="I2414" s="12"/>
      <c r="J2414" s="12"/>
      <c r="K2414" s="12"/>
    </row>
    <row r="2415" spans="6:11" x14ac:dyDescent="0.25">
      <c r="F2415" s="12"/>
      <c r="G2415" s="12"/>
      <c r="I2415" s="12"/>
      <c r="J2415" s="12"/>
      <c r="K2415" s="12"/>
    </row>
    <row r="2416" spans="6:11" x14ac:dyDescent="0.25">
      <c r="F2416" s="12"/>
      <c r="G2416" s="12"/>
      <c r="I2416" s="12"/>
      <c r="J2416" s="12"/>
      <c r="K2416" s="12"/>
    </row>
    <row r="2417" spans="6:11" x14ac:dyDescent="0.25">
      <c r="F2417" s="12"/>
      <c r="G2417" s="12"/>
      <c r="I2417" s="12"/>
      <c r="J2417" s="12"/>
      <c r="K2417" s="12"/>
    </row>
    <row r="2418" spans="6:11" x14ac:dyDescent="0.25">
      <c r="F2418" s="12"/>
      <c r="G2418" s="12"/>
      <c r="I2418" s="12"/>
      <c r="J2418" s="12"/>
      <c r="K2418" s="12"/>
    </row>
    <row r="2419" spans="6:11" x14ac:dyDescent="0.25">
      <c r="F2419" s="12"/>
      <c r="G2419" s="12"/>
      <c r="I2419" s="12"/>
      <c r="J2419" s="12"/>
      <c r="K2419" s="12"/>
    </row>
    <row r="2420" spans="6:11" x14ac:dyDescent="0.25">
      <c r="F2420" s="12"/>
      <c r="G2420" s="12"/>
      <c r="I2420" s="12"/>
      <c r="J2420" s="12"/>
      <c r="K2420" s="12"/>
    </row>
    <row r="2421" spans="6:11" x14ac:dyDescent="0.25">
      <c r="F2421" s="12"/>
      <c r="G2421" s="12"/>
      <c r="I2421" s="12"/>
      <c r="J2421" s="12"/>
      <c r="K2421" s="12"/>
    </row>
    <row r="2422" spans="6:11" x14ac:dyDescent="0.25">
      <c r="F2422" s="12"/>
      <c r="G2422" s="12"/>
      <c r="I2422" s="12"/>
      <c r="J2422" s="12"/>
      <c r="K2422" s="12"/>
    </row>
    <row r="2423" spans="6:11" x14ac:dyDescent="0.25">
      <c r="F2423" s="12"/>
      <c r="G2423" s="12"/>
      <c r="I2423" s="12"/>
      <c r="J2423" s="12"/>
      <c r="K2423" s="12"/>
    </row>
    <row r="2424" spans="6:11" x14ac:dyDescent="0.25">
      <c r="F2424" s="12"/>
      <c r="G2424" s="12"/>
      <c r="I2424" s="12"/>
      <c r="J2424" s="12"/>
      <c r="K2424" s="12"/>
    </row>
    <row r="2425" spans="6:11" x14ac:dyDescent="0.25">
      <c r="F2425" s="12"/>
      <c r="G2425" s="12"/>
      <c r="I2425" s="12"/>
      <c r="J2425" s="12"/>
      <c r="K2425" s="12"/>
    </row>
    <row r="2426" spans="6:11" x14ac:dyDescent="0.25">
      <c r="F2426" s="12"/>
      <c r="G2426" s="12"/>
      <c r="I2426" s="12"/>
      <c r="J2426" s="12"/>
      <c r="K2426" s="12"/>
    </row>
    <row r="2427" spans="6:11" x14ac:dyDescent="0.25">
      <c r="F2427" s="12"/>
      <c r="G2427" s="12"/>
      <c r="I2427" s="12"/>
      <c r="J2427" s="12"/>
      <c r="K2427" s="12"/>
    </row>
    <row r="2428" spans="6:11" x14ac:dyDescent="0.25">
      <c r="F2428" s="12"/>
      <c r="G2428" s="12"/>
      <c r="I2428" s="12"/>
      <c r="J2428" s="12"/>
      <c r="K2428" s="12"/>
    </row>
    <row r="2429" spans="6:11" x14ac:dyDescent="0.25">
      <c r="F2429" s="12"/>
      <c r="G2429" s="12"/>
      <c r="I2429" s="12"/>
      <c r="J2429" s="12"/>
      <c r="K2429" s="12"/>
    </row>
    <row r="2430" spans="6:11" x14ac:dyDescent="0.25">
      <c r="F2430" s="12"/>
      <c r="G2430" s="12"/>
      <c r="I2430" s="12"/>
      <c r="J2430" s="12"/>
      <c r="K2430" s="12"/>
    </row>
    <row r="2431" spans="6:11" x14ac:dyDescent="0.25">
      <c r="F2431" s="12"/>
      <c r="G2431" s="12"/>
      <c r="I2431" s="12"/>
      <c r="J2431" s="12"/>
      <c r="K2431" s="12"/>
    </row>
    <row r="2432" spans="6:11" x14ac:dyDescent="0.25">
      <c r="F2432" s="12"/>
      <c r="G2432" s="12"/>
      <c r="I2432" s="12"/>
      <c r="J2432" s="12"/>
      <c r="K2432" s="12"/>
    </row>
    <row r="2433" spans="6:11" x14ac:dyDescent="0.25">
      <c r="F2433" s="12"/>
      <c r="G2433" s="12"/>
      <c r="I2433" s="12"/>
      <c r="J2433" s="12"/>
      <c r="K2433" s="12"/>
    </row>
    <row r="2434" spans="6:11" x14ac:dyDescent="0.25">
      <c r="F2434" s="12"/>
      <c r="G2434" s="12"/>
      <c r="I2434" s="12"/>
      <c r="J2434" s="12"/>
      <c r="K2434" s="12"/>
    </row>
    <row r="2435" spans="6:11" x14ac:dyDescent="0.25">
      <c r="F2435" s="12"/>
      <c r="G2435" s="12"/>
      <c r="I2435" s="12"/>
      <c r="J2435" s="12"/>
      <c r="K2435" s="12"/>
    </row>
    <row r="2436" spans="6:11" x14ac:dyDescent="0.25">
      <c r="F2436" s="12"/>
      <c r="G2436" s="12"/>
      <c r="I2436" s="12"/>
      <c r="J2436" s="12"/>
      <c r="K2436" s="12"/>
    </row>
    <row r="2437" spans="6:11" x14ac:dyDescent="0.25">
      <c r="F2437" s="12"/>
      <c r="G2437" s="12"/>
      <c r="I2437" s="12"/>
      <c r="J2437" s="12"/>
      <c r="K2437" s="12"/>
    </row>
    <row r="2438" spans="6:11" x14ac:dyDescent="0.25">
      <c r="F2438" s="12"/>
      <c r="G2438" s="12"/>
      <c r="I2438" s="12"/>
      <c r="J2438" s="12"/>
      <c r="K2438" s="12"/>
    </row>
    <row r="2439" spans="6:11" x14ac:dyDescent="0.25">
      <c r="F2439" s="12"/>
      <c r="G2439" s="12"/>
      <c r="I2439" s="12"/>
      <c r="J2439" s="12"/>
      <c r="K2439" s="12"/>
    </row>
    <row r="2440" spans="6:11" x14ac:dyDescent="0.25">
      <c r="F2440" s="12"/>
      <c r="G2440" s="12"/>
      <c r="I2440" s="12"/>
      <c r="J2440" s="12"/>
      <c r="K2440" s="12"/>
    </row>
    <row r="2441" spans="6:11" x14ac:dyDescent="0.25">
      <c r="F2441" s="12"/>
      <c r="G2441" s="12"/>
      <c r="I2441" s="12"/>
      <c r="J2441" s="12"/>
      <c r="K2441" s="12"/>
    </row>
    <row r="2442" spans="6:11" x14ac:dyDescent="0.25">
      <c r="F2442" s="12"/>
      <c r="G2442" s="12"/>
      <c r="I2442" s="12"/>
      <c r="J2442" s="12"/>
      <c r="K2442" s="12"/>
    </row>
    <row r="2443" spans="6:11" x14ac:dyDescent="0.25">
      <c r="F2443" s="12"/>
      <c r="G2443" s="12"/>
      <c r="I2443" s="12"/>
      <c r="J2443" s="12"/>
      <c r="K2443" s="12"/>
    </row>
    <row r="2444" spans="6:11" x14ac:dyDescent="0.25">
      <c r="F2444" s="12"/>
      <c r="G2444" s="12"/>
      <c r="I2444" s="12"/>
      <c r="J2444" s="12"/>
      <c r="K2444" s="12"/>
    </row>
    <row r="2445" spans="6:11" x14ac:dyDescent="0.25">
      <c r="F2445" s="12"/>
      <c r="G2445" s="12"/>
      <c r="I2445" s="12"/>
      <c r="J2445" s="12"/>
      <c r="K2445" s="12"/>
    </row>
    <row r="2446" spans="6:11" x14ac:dyDescent="0.25">
      <c r="F2446" s="12"/>
      <c r="G2446" s="12"/>
      <c r="I2446" s="12"/>
      <c r="J2446" s="12"/>
      <c r="K2446" s="12"/>
    </row>
    <row r="2447" spans="6:11" x14ac:dyDescent="0.25">
      <c r="F2447" s="12"/>
      <c r="G2447" s="12"/>
      <c r="I2447" s="12"/>
      <c r="J2447" s="12"/>
      <c r="K2447" s="12"/>
    </row>
    <row r="2448" spans="6:11" x14ac:dyDescent="0.25">
      <c r="F2448" s="12"/>
      <c r="G2448" s="12"/>
      <c r="I2448" s="12"/>
      <c r="J2448" s="12"/>
      <c r="K2448" s="12"/>
    </row>
    <row r="2449" spans="6:11" x14ac:dyDescent="0.25">
      <c r="F2449" s="12"/>
      <c r="G2449" s="12"/>
      <c r="I2449" s="12"/>
      <c r="J2449" s="12"/>
      <c r="K2449" s="12"/>
    </row>
    <row r="2450" spans="6:11" x14ac:dyDescent="0.25">
      <c r="F2450" s="12"/>
      <c r="G2450" s="12"/>
      <c r="I2450" s="12"/>
      <c r="J2450" s="12"/>
      <c r="K2450" s="12"/>
    </row>
    <row r="2451" spans="6:11" x14ac:dyDescent="0.25">
      <c r="F2451" s="12"/>
      <c r="G2451" s="12"/>
      <c r="I2451" s="12"/>
      <c r="J2451" s="12"/>
      <c r="K2451" s="12"/>
    </row>
    <row r="2452" spans="6:11" x14ac:dyDescent="0.25">
      <c r="F2452" s="12"/>
      <c r="G2452" s="12"/>
      <c r="I2452" s="12"/>
      <c r="J2452" s="12"/>
      <c r="K2452" s="12"/>
    </row>
    <row r="2453" spans="6:11" x14ac:dyDescent="0.25">
      <c r="F2453" s="12"/>
      <c r="G2453" s="12"/>
      <c r="I2453" s="12"/>
      <c r="J2453" s="12"/>
      <c r="K2453" s="12"/>
    </row>
    <row r="2454" spans="6:11" x14ac:dyDescent="0.25">
      <c r="F2454" s="12"/>
      <c r="G2454" s="12"/>
      <c r="I2454" s="12"/>
      <c r="J2454" s="12"/>
      <c r="K2454" s="12"/>
    </row>
    <row r="2455" spans="6:11" x14ac:dyDescent="0.25">
      <c r="F2455" s="12"/>
      <c r="G2455" s="12"/>
      <c r="I2455" s="12"/>
      <c r="J2455" s="12"/>
      <c r="K2455" s="12"/>
    </row>
    <row r="2456" spans="6:11" x14ac:dyDescent="0.25">
      <c r="F2456" s="12"/>
      <c r="G2456" s="12"/>
      <c r="I2456" s="12"/>
      <c r="J2456" s="12"/>
      <c r="K2456" s="12"/>
    </row>
    <row r="2457" spans="6:11" x14ac:dyDescent="0.25">
      <c r="F2457" s="12"/>
      <c r="G2457" s="12"/>
      <c r="I2457" s="12"/>
      <c r="J2457" s="12"/>
      <c r="K2457" s="12"/>
    </row>
    <row r="2458" spans="6:11" x14ac:dyDescent="0.25">
      <c r="F2458" s="12"/>
      <c r="G2458" s="12"/>
      <c r="I2458" s="12"/>
      <c r="J2458" s="12"/>
      <c r="K2458" s="12"/>
    </row>
    <row r="2459" spans="6:11" x14ac:dyDescent="0.25">
      <c r="F2459" s="12"/>
      <c r="G2459" s="12"/>
      <c r="I2459" s="12"/>
      <c r="J2459" s="12"/>
      <c r="K2459" s="12"/>
    </row>
    <row r="2460" spans="6:11" x14ac:dyDescent="0.25">
      <c r="F2460" s="12"/>
      <c r="G2460" s="12"/>
      <c r="I2460" s="12"/>
      <c r="J2460" s="12"/>
      <c r="K2460" s="12"/>
    </row>
    <row r="2461" spans="6:11" x14ac:dyDescent="0.25">
      <c r="F2461" s="12"/>
      <c r="G2461" s="12"/>
      <c r="I2461" s="12"/>
      <c r="J2461" s="12"/>
      <c r="K2461" s="12"/>
    </row>
    <row r="2462" spans="6:11" x14ac:dyDescent="0.25">
      <c r="F2462" s="12"/>
      <c r="G2462" s="12"/>
      <c r="I2462" s="12"/>
      <c r="J2462" s="12"/>
      <c r="K2462" s="12"/>
    </row>
    <row r="2463" spans="6:11" x14ac:dyDescent="0.25">
      <c r="F2463" s="12"/>
      <c r="G2463" s="12"/>
      <c r="I2463" s="12"/>
      <c r="J2463" s="12"/>
      <c r="K2463" s="12"/>
    </row>
    <row r="2464" spans="6:11" x14ac:dyDescent="0.25">
      <c r="F2464" s="12"/>
      <c r="G2464" s="12"/>
      <c r="I2464" s="12"/>
      <c r="J2464" s="12"/>
      <c r="K2464" s="12"/>
    </row>
    <row r="2465" spans="6:11" x14ac:dyDescent="0.25">
      <c r="F2465" s="12"/>
      <c r="G2465" s="12"/>
      <c r="I2465" s="12"/>
      <c r="J2465" s="12"/>
      <c r="K2465" s="12"/>
    </row>
    <row r="2466" spans="6:11" x14ac:dyDescent="0.25">
      <c r="F2466" s="12"/>
      <c r="G2466" s="12"/>
      <c r="I2466" s="12"/>
      <c r="J2466" s="12"/>
      <c r="K2466" s="12"/>
    </row>
    <row r="2467" spans="6:11" x14ac:dyDescent="0.25">
      <c r="F2467" s="12"/>
      <c r="G2467" s="12"/>
      <c r="I2467" s="12"/>
      <c r="J2467" s="12"/>
      <c r="K2467" s="12"/>
    </row>
    <row r="2468" spans="6:11" x14ac:dyDescent="0.25">
      <c r="F2468" s="12"/>
      <c r="G2468" s="12"/>
      <c r="I2468" s="12"/>
      <c r="J2468" s="12"/>
      <c r="K2468" s="12"/>
    </row>
    <row r="2469" spans="6:11" x14ac:dyDescent="0.25">
      <c r="F2469" s="12"/>
      <c r="G2469" s="12"/>
      <c r="I2469" s="12"/>
      <c r="J2469" s="12"/>
      <c r="K2469" s="12"/>
    </row>
    <row r="2470" spans="6:11" x14ac:dyDescent="0.25">
      <c r="F2470" s="12"/>
      <c r="G2470" s="12"/>
      <c r="I2470" s="12"/>
      <c r="J2470" s="12"/>
      <c r="K2470" s="12"/>
    </row>
    <row r="2471" spans="6:11" x14ac:dyDescent="0.25">
      <c r="F2471" s="12"/>
      <c r="G2471" s="12"/>
      <c r="I2471" s="12"/>
      <c r="J2471" s="12"/>
      <c r="K2471" s="12"/>
    </row>
    <row r="2472" spans="6:11" x14ac:dyDescent="0.25">
      <c r="F2472" s="12"/>
      <c r="G2472" s="12"/>
      <c r="I2472" s="12"/>
      <c r="J2472" s="12"/>
      <c r="K2472" s="12"/>
    </row>
    <row r="2473" spans="6:11" x14ac:dyDescent="0.25">
      <c r="F2473" s="12"/>
      <c r="G2473" s="12"/>
      <c r="I2473" s="12"/>
      <c r="J2473" s="12"/>
      <c r="K2473" s="12"/>
    </row>
    <row r="2474" spans="6:11" x14ac:dyDescent="0.25">
      <c r="F2474" s="12"/>
      <c r="G2474" s="12"/>
      <c r="I2474" s="12"/>
      <c r="J2474" s="12"/>
      <c r="K2474" s="12"/>
    </row>
    <row r="2475" spans="6:11" x14ac:dyDescent="0.25">
      <c r="F2475" s="12"/>
      <c r="G2475" s="12"/>
      <c r="I2475" s="12"/>
      <c r="J2475" s="12"/>
      <c r="K2475" s="12"/>
    </row>
    <row r="2476" spans="6:11" x14ac:dyDescent="0.25">
      <c r="F2476" s="12"/>
      <c r="G2476" s="12"/>
      <c r="I2476" s="12"/>
      <c r="J2476" s="12"/>
      <c r="K2476" s="12"/>
    </row>
    <row r="2477" spans="6:11" x14ac:dyDescent="0.25">
      <c r="F2477" s="12"/>
      <c r="G2477" s="12"/>
      <c r="I2477" s="12"/>
      <c r="J2477" s="12"/>
      <c r="K2477" s="12"/>
    </row>
    <row r="2478" spans="6:11" x14ac:dyDescent="0.25">
      <c r="F2478" s="12"/>
      <c r="G2478" s="12"/>
      <c r="I2478" s="12"/>
      <c r="J2478" s="12"/>
      <c r="K2478" s="12"/>
    </row>
    <row r="2479" spans="6:11" x14ac:dyDescent="0.25">
      <c r="F2479" s="12"/>
      <c r="G2479" s="12"/>
      <c r="I2479" s="12"/>
      <c r="J2479" s="12"/>
      <c r="K2479" s="12"/>
    </row>
    <row r="2480" spans="6:11" x14ac:dyDescent="0.25">
      <c r="F2480" s="12"/>
      <c r="G2480" s="12"/>
      <c r="I2480" s="12"/>
      <c r="J2480" s="12"/>
      <c r="K2480" s="12"/>
    </row>
    <row r="2481" spans="6:11" x14ac:dyDescent="0.25">
      <c r="F2481" s="12"/>
      <c r="G2481" s="12"/>
      <c r="I2481" s="12"/>
      <c r="J2481" s="12"/>
      <c r="K2481" s="12"/>
    </row>
    <row r="2482" spans="6:11" x14ac:dyDescent="0.25">
      <c r="F2482" s="12"/>
      <c r="G2482" s="12"/>
      <c r="I2482" s="12"/>
      <c r="J2482" s="12"/>
      <c r="K2482" s="12"/>
    </row>
    <row r="2483" spans="6:11" x14ac:dyDescent="0.25">
      <c r="F2483" s="12"/>
      <c r="G2483" s="12"/>
      <c r="I2483" s="12"/>
      <c r="J2483" s="12"/>
      <c r="K2483" s="12"/>
    </row>
    <row r="2484" spans="6:11" x14ac:dyDescent="0.25">
      <c r="F2484" s="12"/>
      <c r="G2484" s="12"/>
      <c r="I2484" s="12"/>
      <c r="J2484" s="12"/>
      <c r="K2484" s="12"/>
    </row>
    <row r="2485" spans="6:11" x14ac:dyDescent="0.25">
      <c r="F2485" s="12"/>
      <c r="G2485" s="12"/>
      <c r="I2485" s="12"/>
      <c r="J2485" s="12"/>
      <c r="K2485" s="12"/>
    </row>
    <row r="2486" spans="6:11" x14ac:dyDescent="0.25">
      <c r="F2486" s="12"/>
      <c r="G2486" s="12"/>
      <c r="I2486" s="12"/>
      <c r="J2486" s="12"/>
      <c r="K2486" s="12"/>
    </row>
    <row r="2487" spans="6:11" x14ac:dyDescent="0.25">
      <c r="F2487" s="12"/>
      <c r="G2487" s="12"/>
      <c r="I2487" s="12"/>
      <c r="J2487" s="12"/>
      <c r="K2487" s="12"/>
    </row>
    <row r="2488" spans="6:11" x14ac:dyDescent="0.25">
      <c r="F2488" s="12"/>
      <c r="G2488" s="12"/>
      <c r="I2488" s="12"/>
      <c r="J2488" s="12"/>
      <c r="K2488" s="12"/>
    </row>
    <row r="2489" spans="6:11" x14ac:dyDescent="0.25">
      <c r="F2489" s="12"/>
      <c r="G2489" s="12"/>
      <c r="I2489" s="12"/>
      <c r="J2489" s="12"/>
      <c r="K2489" s="12"/>
    </row>
    <row r="2490" spans="6:11" x14ac:dyDescent="0.25">
      <c r="F2490" s="12"/>
      <c r="G2490" s="12"/>
      <c r="I2490" s="12"/>
      <c r="J2490" s="12"/>
      <c r="K2490" s="12"/>
    </row>
    <row r="2491" spans="6:11" x14ac:dyDescent="0.25">
      <c r="F2491" s="12"/>
      <c r="G2491" s="12"/>
      <c r="I2491" s="12"/>
      <c r="J2491" s="12"/>
      <c r="K2491" s="12"/>
    </row>
    <row r="2492" spans="6:11" x14ac:dyDescent="0.25">
      <c r="F2492" s="12"/>
      <c r="G2492" s="12"/>
      <c r="I2492" s="12"/>
      <c r="J2492" s="12"/>
      <c r="K2492" s="12"/>
    </row>
    <row r="2493" spans="6:11" x14ac:dyDescent="0.25">
      <c r="F2493" s="12"/>
      <c r="G2493" s="12"/>
      <c r="I2493" s="12"/>
      <c r="J2493" s="12"/>
      <c r="K2493" s="12"/>
    </row>
    <row r="2494" spans="6:11" x14ac:dyDescent="0.25">
      <c r="F2494" s="12"/>
      <c r="G2494" s="12"/>
      <c r="I2494" s="12"/>
      <c r="J2494" s="12"/>
      <c r="K2494" s="12"/>
    </row>
    <row r="2495" spans="6:11" x14ac:dyDescent="0.25">
      <c r="F2495" s="12"/>
      <c r="G2495" s="12"/>
      <c r="I2495" s="12"/>
      <c r="J2495" s="12"/>
      <c r="K2495" s="12"/>
    </row>
    <row r="2496" spans="6:11" x14ac:dyDescent="0.25">
      <c r="F2496" s="12"/>
      <c r="G2496" s="12"/>
      <c r="I2496" s="12"/>
      <c r="J2496" s="12"/>
      <c r="K2496" s="12"/>
    </row>
    <row r="2497" spans="6:11" x14ac:dyDescent="0.25">
      <c r="F2497" s="12"/>
      <c r="G2497" s="12"/>
      <c r="I2497" s="12"/>
      <c r="J2497" s="12"/>
      <c r="K2497" s="12"/>
    </row>
    <row r="2498" spans="6:11" x14ac:dyDescent="0.25">
      <c r="F2498" s="12"/>
      <c r="G2498" s="12"/>
      <c r="I2498" s="12"/>
      <c r="J2498" s="12"/>
      <c r="K2498" s="12"/>
    </row>
    <row r="2499" spans="6:11" x14ac:dyDescent="0.25">
      <c r="F2499" s="12"/>
      <c r="G2499" s="12"/>
      <c r="I2499" s="12"/>
      <c r="J2499" s="12"/>
      <c r="K2499" s="12"/>
    </row>
    <row r="2500" spans="6:11" x14ac:dyDescent="0.25">
      <c r="F2500" s="12"/>
      <c r="G2500" s="12"/>
      <c r="I2500" s="12"/>
      <c r="J2500" s="12"/>
      <c r="K2500" s="12"/>
    </row>
    <row r="2501" spans="6:11" x14ac:dyDescent="0.25">
      <c r="F2501" s="12"/>
      <c r="G2501" s="12"/>
      <c r="I2501" s="12"/>
      <c r="J2501" s="12"/>
      <c r="K2501" s="12"/>
    </row>
    <row r="2502" spans="6:11" x14ac:dyDescent="0.25">
      <c r="F2502" s="12"/>
      <c r="G2502" s="12"/>
      <c r="I2502" s="12"/>
      <c r="J2502" s="12"/>
      <c r="K2502" s="12"/>
    </row>
    <row r="2503" spans="6:11" x14ac:dyDescent="0.25">
      <c r="F2503" s="12"/>
      <c r="G2503" s="12"/>
      <c r="I2503" s="12"/>
      <c r="J2503" s="12"/>
      <c r="K2503" s="12"/>
    </row>
    <row r="2504" spans="6:11" x14ac:dyDescent="0.25">
      <c r="F2504" s="12"/>
      <c r="G2504" s="12"/>
      <c r="I2504" s="12"/>
      <c r="J2504" s="12"/>
      <c r="K2504" s="12"/>
    </row>
    <row r="2505" spans="6:11" x14ac:dyDescent="0.25">
      <c r="F2505" s="12"/>
      <c r="G2505" s="12"/>
      <c r="I2505" s="12"/>
      <c r="J2505" s="12"/>
      <c r="K2505" s="12"/>
    </row>
    <row r="2506" spans="6:11" x14ac:dyDescent="0.25">
      <c r="F2506" s="12"/>
      <c r="G2506" s="12"/>
      <c r="I2506" s="12"/>
      <c r="J2506" s="12"/>
      <c r="K2506" s="12"/>
    </row>
    <row r="2507" spans="6:11" x14ac:dyDescent="0.25">
      <c r="F2507" s="12"/>
      <c r="G2507" s="12"/>
      <c r="I2507" s="12"/>
      <c r="J2507" s="12"/>
      <c r="K2507" s="12"/>
    </row>
    <row r="2508" spans="6:11" x14ac:dyDescent="0.25">
      <c r="F2508" s="12"/>
      <c r="G2508" s="12"/>
      <c r="I2508" s="12"/>
      <c r="J2508" s="12"/>
      <c r="K2508" s="12"/>
    </row>
    <row r="2509" spans="6:11" x14ac:dyDescent="0.25">
      <c r="F2509" s="12"/>
      <c r="G2509" s="12"/>
      <c r="I2509" s="12"/>
      <c r="J2509" s="12"/>
      <c r="K2509" s="12"/>
    </row>
    <row r="2510" spans="6:11" x14ac:dyDescent="0.25">
      <c r="F2510" s="12"/>
      <c r="G2510" s="12"/>
      <c r="I2510" s="12"/>
      <c r="J2510" s="12"/>
      <c r="K2510" s="12"/>
    </row>
    <row r="2511" spans="6:11" x14ac:dyDescent="0.25">
      <c r="F2511" s="12"/>
      <c r="G2511" s="12"/>
      <c r="I2511" s="12"/>
      <c r="J2511" s="12"/>
      <c r="K2511" s="12"/>
    </row>
    <row r="2512" spans="6:11" x14ac:dyDescent="0.25">
      <c r="F2512" s="12"/>
      <c r="G2512" s="12"/>
      <c r="I2512" s="12"/>
      <c r="J2512" s="12"/>
      <c r="K2512" s="12"/>
    </row>
    <row r="2513" spans="6:11" x14ac:dyDescent="0.25">
      <c r="F2513" s="12"/>
      <c r="G2513" s="12"/>
      <c r="I2513" s="12"/>
      <c r="J2513" s="12"/>
      <c r="K2513" s="12"/>
    </row>
    <row r="2514" spans="6:11" x14ac:dyDescent="0.25">
      <c r="F2514" s="12"/>
      <c r="G2514" s="12"/>
      <c r="I2514" s="12"/>
      <c r="J2514" s="12"/>
      <c r="K2514" s="12"/>
    </row>
    <row r="2515" spans="6:11" x14ac:dyDescent="0.25">
      <c r="F2515" s="12"/>
      <c r="G2515" s="12"/>
      <c r="I2515" s="12"/>
      <c r="J2515" s="12"/>
      <c r="K2515" s="12"/>
    </row>
    <row r="2516" spans="6:11" x14ac:dyDescent="0.25">
      <c r="F2516" s="12"/>
      <c r="G2516" s="12"/>
      <c r="I2516" s="12"/>
      <c r="J2516" s="12"/>
      <c r="K2516" s="12"/>
    </row>
    <row r="2517" spans="6:11" x14ac:dyDescent="0.25">
      <c r="F2517" s="12"/>
      <c r="G2517" s="12"/>
      <c r="I2517" s="12"/>
      <c r="J2517" s="12"/>
      <c r="K2517" s="12"/>
    </row>
    <row r="2518" spans="6:11" x14ac:dyDescent="0.25">
      <c r="F2518" s="12"/>
      <c r="G2518" s="12"/>
      <c r="I2518" s="12"/>
      <c r="J2518" s="12"/>
      <c r="K2518" s="12"/>
    </row>
    <row r="2519" spans="6:11" x14ac:dyDescent="0.25">
      <c r="F2519" s="12"/>
      <c r="G2519" s="12"/>
      <c r="I2519" s="12"/>
      <c r="J2519" s="12"/>
      <c r="K2519" s="12"/>
    </row>
    <row r="2520" spans="6:11" x14ac:dyDescent="0.25">
      <c r="F2520" s="12"/>
      <c r="G2520" s="12"/>
      <c r="I2520" s="12"/>
      <c r="J2520" s="12"/>
      <c r="K2520" s="12"/>
    </row>
    <row r="2521" spans="6:11" x14ac:dyDescent="0.25">
      <c r="F2521" s="12"/>
      <c r="G2521" s="12"/>
      <c r="I2521" s="12"/>
      <c r="J2521" s="12"/>
      <c r="K2521" s="12"/>
    </row>
    <row r="2522" spans="6:11" x14ac:dyDescent="0.25">
      <c r="F2522" s="12"/>
      <c r="G2522" s="12"/>
      <c r="I2522" s="12"/>
      <c r="J2522" s="12"/>
      <c r="K2522" s="12"/>
    </row>
    <row r="2523" spans="6:11" x14ac:dyDescent="0.25">
      <c r="F2523" s="12"/>
      <c r="G2523" s="12"/>
      <c r="I2523" s="12"/>
      <c r="J2523" s="12"/>
      <c r="K2523" s="12"/>
    </row>
    <row r="2524" spans="6:11" x14ac:dyDescent="0.25">
      <c r="F2524" s="12"/>
      <c r="G2524" s="12"/>
      <c r="I2524" s="12"/>
      <c r="J2524" s="12"/>
      <c r="K2524" s="12"/>
    </row>
    <row r="2525" spans="6:11" x14ac:dyDescent="0.25">
      <c r="F2525" s="12"/>
      <c r="G2525" s="12"/>
      <c r="I2525" s="12"/>
      <c r="J2525" s="12"/>
      <c r="K2525" s="12"/>
    </row>
    <row r="2526" spans="6:11" x14ac:dyDescent="0.25">
      <c r="F2526" s="12"/>
      <c r="G2526" s="12"/>
      <c r="I2526" s="12"/>
      <c r="J2526" s="12"/>
      <c r="K2526" s="12"/>
    </row>
    <row r="2527" spans="6:11" x14ac:dyDescent="0.25">
      <c r="F2527" s="12"/>
      <c r="G2527" s="12"/>
      <c r="I2527" s="12"/>
      <c r="J2527" s="12"/>
      <c r="K2527" s="12"/>
    </row>
    <row r="2528" spans="6:11" x14ac:dyDescent="0.25">
      <c r="F2528" s="12"/>
      <c r="G2528" s="12"/>
      <c r="I2528" s="12"/>
      <c r="J2528" s="12"/>
      <c r="K2528" s="12"/>
    </row>
    <row r="2529" spans="6:11" x14ac:dyDescent="0.25">
      <c r="F2529" s="12"/>
      <c r="G2529" s="12"/>
      <c r="I2529" s="12"/>
      <c r="J2529" s="12"/>
      <c r="K2529" s="12"/>
    </row>
    <row r="2530" spans="6:11" x14ac:dyDescent="0.25">
      <c r="F2530" s="12"/>
      <c r="G2530" s="12"/>
      <c r="I2530" s="12"/>
      <c r="J2530" s="12"/>
      <c r="K2530" s="12"/>
    </row>
    <row r="2531" spans="6:11" x14ac:dyDescent="0.25">
      <c r="F2531" s="12"/>
      <c r="G2531" s="12"/>
      <c r="I2531" s="12"/>
      <c r="J2531" s="12"/>
      <c r="K2531" s="12"/>
    </row>
    <row r="2532" spans="6:11" x14ac:dyDescent="0.25">
      <c r="F2532" s="12"/>
      <c r="G2532" s="12"/>
      <c r="I2532" s="12"/>
      <c r="J2532" s="12"/>
      <c r="K2532" s="12"/>
    </row>
    <row r="2533" spans="6:11" x14ac:dyDescent="0.25">
      <c r="F2533" s="12"/>
      <c r="G2533" s="12"/>
      <c r="I2533" s="12"/>
      <c r="J2533" s="12"/>
      <c r="K2533" s="12"/>
    </row>
    <row r="2534" spans="6:11" x14ac:dyDescent="0.25">
      <c r="F2534" s="12"/>
      <c r="G2534" s="12"/>
      <c r="I2534" s="12"/>
      <c r="J2534" s="12"/>
      <c r="K2534" s="12"/>
    </row>
    <row r="2535" spans="6:11" x14ac:dyDescent="0.25">
      <c r="F2535" s="12"/>
      <c r="G2535" s="12"/>
      <c r="I2535" s="12"/>
      <c r="J2535" s="12"/>
      <c r="K2535" s="12"/>
    </row>
    <row r="2536" spans="6:11" x14ac:dyDescent="0.25">
      <c r="F2536" s="12"/>
      <c r="G2536" s="12"/>
      <c r="I2536" s="12"/>
      <c r="J2536" s="12"/>
      <c r="K2536" s="12"/>
    </row>
    <row r="2537" spans="6:11" x14ac:dyDescent="0.25">
      <c r="F2537" s="12"/>
      <c r="G2537" s="12"/>
      <c r="I2537" s="12"/>
      <c r="J2537" s="12"/>
      <c r="K2537" s="12"/>
    </row>
    <row r="2538" spans="6:11" x14ac:dyDescent="0.25">
      <c r="F2538" s="12"/>
      <c r="G2538" s="12"/>
      <c r="I2538" s="12"/>
      <c r="J2538" s="12"/>
      <c r="K2538" s="12"/>
    </row>
    <row r="2539" spans="6:11" x14ac:dyDescent="0.25">
      <c r="F2539" s="12"/>
      <c r="G2539" s="12"/>
      <c r="I2539" s="12"/>
      <c r="J2539" s="12"/>
      <c r="K2539" s="12"/>
    </row>
    <row r="2540" spans="6:11" x14ac:dyDescent="0.25">
      <c r="F2540" s="12"/>
      <c r="G2540" s="12"/>
      <c r="I2540" s="12"/>
      <c r="J2540" s="12"/>
      <c r="K2540" s="12"/>
    </row>
    <row r="2541" spans="6:11" x14ac:dyDescent="0.25">
      <c r="F2541" s="12"/>
      <c r="G2541" s="12"/>
      <c r="I2541" s="12"/>
      <c r="J2541" s="12"/>
      <c r="K2541" s="12"/>
    </row>
    <row r="2542" spans="6:11" x14ac:dyDescent="0.25">
      <c r="F2542" s="12"/>
      <c r="G2542" s="12"/>
      <c r="I2542" s="12"/>
      <c r="J2542" s="12"/>
      <c r="K2542" s="12"/>
    </row>
    <row r="2543" spans="6:11" x14ac:dyDescent="0.25">
      <c r="F2543" s="12"/>
      <c r="G2543" s="12"/>
      <c r="I2543" s="12"/>
      <c r="J2543" s="12"/>
      <c r="K2543" s="12"/>
    </row>
    <row r="2544" spans="6:11" x14ac:dyDescent="0.25">
      <c r="F2544" s="12"/>
      <c r="G2544" s="12"/>
      <c r="I2544" s="12"/>
      <c r="J2544" s="12"/>
      <c r="K2544" s="12"/>
    </row>
    <row r="2545" spans="6:11" x14ac:dyDescent="0.25">
      <c r="F2545" s="12"/>
      <c r="G2545" s="12"/>
      <c r="I2545" s="12"/>
      <c r="J2545" s="12"/>
      <c r="K2545" s="12"/>
    </row>
    <row r="2546" spans="6:11" x14ac:dyDescent="0.25">
      <c r="F2546" s="12"/>
      <c r="G2546" s="12"/>
      <c r="I2546" s="12"/>
      <c r="J2546" s="12"/>
      <c r="K2546" s="12"/>
    </row>
    <row r="2547" spans="6:11" x14ac:dyDescent="0.25">
      <c r="F2547" s="12"/>
      <c r="G2547" s="12"/>
      <c r="I2547" s="12"/>
      <c r="J2547" s="12"/>
      <c r="K2547" s="12"/>
    </row>
    <row r="2548" spans="6:11" x14ac:dyDescent="0.25">
      <c r="F2548" s="12"/>
      <c r="G2548" s="12"/>
      <c r="I2548" s="12"/>
      <c r="J2548" s="12"/>
      <c r="K2548" s="12"/>
    </row>
    <row r="2549" spans="6:11" x14ac:dyDescent="0.25">
      <c r="F2549" s="12"/>
      <c r="G2549" s="12"/>
      <c r="I2549" s="12"/>
      <c r="J2549" s="12"/>
      <c r="K2549" s="12"/>
    </row>
    <row r="2550" spans="6:11" x14ac:dyDescent="0.25">
      <c r="F2550" s="12"/>
      <c r="G2550" s="12"/>
      <c r="I2550" s="12"/>
      <c r="J2550" s="12"/>
      <c r="K2550" s="12"/>
    </row>
    <row r="2551" spans="6:11" x14ac:dyDescent="0.25">
      <c r="F2551" s="12"/>
      <c r="G2551" s="12"/>
      <c r="I2551" s="12"/>
      <c r="J2551" s="12"/>
      <c r="K2551" s="12"/>
    </row>
    <row r="2552" spans="6:11" x14ac:dyDescent="0.25">
      <c r="F2552" s="12"/>
      <c r="G2552" s="12"/>
      <c r="I2552" s="12"/>
      <c r="J2552" s="12"/>
      <c r="K2552" s="12"/>
    </row>
    <row r="2553" spans="6:11" x14ac:dyDescent="0.25">
      <c r="F2553" s="12"/>
      <c r="G2553" s="12"/>
      <c r="I2553" s="12"/>
      <c r="J2553" s="12"/>
      <c r="K2553" s="12"/>
    </row>
    <row r="2554" spans="6:11" x14ac:dyDescent="0.25">
      <c r="F2554" s="12"/>
      <c r="G2554" s="12"/>
      <c r="I2554" s="12"/>
      <c r="J2554" s="12"/>
      <c r="K2554" s="12"/>
    </row>
    <row r="2555" spans="6:11" x14ac:dyDescent="0.25">
      <c r="F2555" s="12"/>
      <c r="G2555" s="12"/>
      <c r="I2555" s="12"/>
      <c r="J2555" s="12"/>
      <c r="K2555" s="12"/>
    </row>
    <row r="2556" spans="6:11" x14ac:dyDescent="0.25">
      <c r="F2556" s="12"/>
      <c r="G2556" s="12"/>
      <c r="I2556" s="12"/>
      <c r="J2556" s="12"/>
      <c r="K2556" s="12"/>
    </row>
    <row r="2557" spans="6:11" x14ac:dyDescent="0.25">
      <c r="F2557" s="12"/>
      <c r="G2557" s="12"/>
      <c r="I2557" s="12"/>
      <c r="J2557" s="12"/>
      <c r="K2557" s="12"/>
    </row>
    <row r="2558" spans="6:11" x14ac:dyDescent="0.25">
      <c r="F2558" s="12"/>
      <c r="G2558" s="12"/>
      <c r="I2558" s="12"/>
      <c r="J2558" s="12"/>
      <c r="K2558" s="12"/>
    </row>
    <row r="2559" spans="6:11" x14ac:dyDescent="0.25">
      <c r="F2559" s="12"/>
      <c r="G2559" s="12"/>
      <c r="I2559" s="12"/>
      <c r="J2559" s="12"/>
      <c r="K2559" s="12"/>
    </row>
    <row r="2560" spans="6:11" x14ac:dyDescent="0.25">
      <c r="F2560" s="12"/>
      <c r="G2560" s="12"/>
      <c r="I2560" s="12"/>
      <c r="J2560" s="12"/>
      <c r="K2560" s="12"/>
    </row>
    <row r="2561" spans="6:11" x14ac:dyDescent="0.25">
      <c r="F2561" s="12"/>
      <c r="G2561" s="12"/>
      <c r="I2561" s="12"/>
      <c r="J2561" s="12"/>
      <c r="K2561" s="12"/>
    </row>
    <row r="2562" spans="6:11" x14ac:dyDescent="0.25">
      <c r="F2562" s="12"/>
      <c r="G2562" s="12"/>
      <c r="I2562" s="12"/>
      <c r="J2562" s="12"/>
      <c r="K2562" s="12"/>
    </row>
    <row r="2563" spans="6:11" x14ac:dyDescent="0.25">
      <c r="F2563" s="12"/>
      <c r="G2563" s="12"/>
      <c r="I2563" s="12"/>
      <c r="J2563" s="12"/>
      <c r="K2563" s="12"/>
    </row>
    <row r="2564" spans="6:11" x14ac:dyDescent="0.25">
      <c r="F2564" s="12"/>
      <c r="G2564" s="12"/>
      <c r="I2564" s="12"/>
      <c r="J2564" s="12"/>
      <c r="K2564" s="12"/>
    </row>
    <row r="2565" spans="6:11" x14ac:dyDescent="0.25">
      <c r="F2565" s="12"/>
      <c r="G2565" s="12"/>
      <c r="I2565" s="12"/>
      <c r="J2565" s="12"/>
      <c r="K2565" s="12"/>
    </row>
    <row r="2566" spans="6:11" x14ac:dyDescent="0.25">
      <c r="F2566" s="12"/>
      <c r="G2566" s="12"/>
      <c r="I2566" s="12"/>
      <c r="J2566" s="12"/>
      <c r="K2566" s="12"/>
    </row>
    <row r="2567" spans="6:11" x14ac:dyDescent="0.25">
      <c r="F2567" s="12"/>
      <c r="G2567" s="12"/>
      <c r="I2567" s="12"/>
      <c r="J2567" s="12"/>
      <c r="K2567" s="12"/>
    </row>
    <row r="2568" spans="6:11" x14ac:dyDescent="0.25">
      <c r="F2568" s="12"/>
      <c r="G2568" s="12"/>
      <c r="I2568" s="12"/>
      <c r="J2568" s="12"/>
      <c r="K2568" s="12"/>
    </row>
    <row r="2569" spans="6:11" x14ac:dyDescent="0.25">
      <c r="F2569" s="12"/>
      <c r="G2569" s="12"/>
      <c r="I2569" s="12"/>
      <c r="J2569" s="12"/>
      <c r="K2569" s="12"/>
    </row>
    <row r="2570" spans="6:11" x14ac:dyDescent="0.25">
      <c r="F2570" s="12"/>
      <c r="G2570" s="12"/>
      <c r="I2570" s="12"/>
      <c r="J2570" s="12"/>
      <c r="K2570" s="12"/>
    </row>
    <row r="2571" spans="6:11" x14ac:dyDescent="0.25">
      <c r="F2571" s="12"/>
      <c r="G2571" s="12"/>
      <c r="I2571" s="12"/>
      <c r="J2571" s="12"/>
      <c r="K2571" s="12"/>
    </row>
    <row r="2572" spans="6:11" x14ac:dyDescent="0.25">
      <c r="F2572" s="12"/>
      <c r="G2572" s="12"/>
      <c r="I2572" s="12"/>
      <c r="J2572" s="12"/>
      <c r="K2572" s="12"/>
    </row>
    <row r="2573" spans="6:11" x14ac:dyDescent="0.25">
      <c r="F2573" s="12"/>
      <c r="G2573" s="12"/>
      <c r="I2573" s="12"/>
      <c r="J2573" s="12"/>
      <c r="K2573" s="12"/>
    </row>
    <row r="2574" spans="6:11" x14ac:dyDescent="0.25">
      <c r="F2574" s="12"/>
      <c r="G2574" s="12"/>
      <c r="I2574" s="12"/>
      <c r="J2574" s="12"/>
      <c r="K2574" s="12"/>
    </row>
    <row r="2575" spans="6:11" x14ac:dyDescent="0.25">
      <c r="F2575" s="12"/>
      <c r="G2575" s="12"/>
      <c r="I2575" s="12"/>
      <c r="J2575" s="12"/>
      <c r="K2575" s="12"/>
    </row>
    <row r="2576" spans="6:11" x14ac:dyDescent="0.25">
      <c r="F2576" s="12"/>
      <c r="G2576" s="12"/>
      <c r="I2576" s="12"/>
      <c r="J2576" s="12"/>
      <c r="K2576" s="12"/>
    </row>
    <row r="2577" spans="6:11" x14ac:dyDescent="0.25">
      <c r="F2577" s="12"/>
      <c r="G2577" s="12"/>
      <c r="I2577" s="12"/>
      <c r="J2577" s="12"/>
      <c r="K2577" s="12"/>
    </row>
    <row r="2578" spans="6:11" x14ac:dyDescent="0.25">
      <c r="F2578" s="12"/>
      <c r="G2578" s="12"/>
      <c r="I2578" s="12"/>
      <c r="J2578" s="12"/>
      <c r="K2578" s="12"/>
    </row>
    <row r="2579" spans="6:11" x14ac:dyDescent="0.25">
      <c r="F2579" s="12"/>
      <c r="G2579" s="12"/>
      <c r="I2579" s="12"/>
      <c r="J2579" s="12"/>
      <c r="K2579" s="12"/>
    </row>
    <row r="2580" spans="6:11" x14ac:dyDescent="0.25">
      <c r="F2580" s="12"/>
      <c r="G2580" s="12"/>
      <c r="I2580" s="12"/>
      <c r="J2580" s="12"/>
      <c r="K2580" s="12"/>
    </row>
    <row r="2581" spans="6:11" x14ac:dyDescent="0.25">
      <c r="F2581" s="12"/>
      <c r="G2581" s="12"/>
      <c r="I2581" s="12"/>
      <c r="J2581" s="12"/>
      <c r="K2581" s="12"/>
    </row>
    <row r="2582" spans="6:11" x14ac:dyDescent="0.25">
      <c r="F2582" s="12"/>
      <c r="G2582" s="12"/>
      <c r="I2582" s="12"/>
      <c r="J2582" s="12"/>
      <c r="K2582" s="12"/>
    </row>
    <row r="2583" spans="6:11" x14ac:dyDescent="0.25">
      <c r="F2583" s="12"/>
      <c r="G2583" s="12"/>
      <c r="I2583" s="12"/>
      <c r="J2583" s="12"/>
      <c r="K2583" s="12"/>
    </row>
    <row r="2584" spans="6:11" x14ac:dyDescent="0.25">
      <c r="F2584" s="12"/>
      <c r="G2584" s="12"/>
      <c r="I2584" s="12"/>
      <c r="J2584" s="12"/>
      <c r="K2584" s="12"/>
    </row>
    <row r="2585" spans="6:11" x14ac:dyDescent="0.25">
      <c r="F2585" s="12"/>
      <c r="G2585" s="12"/>
      <c r="I2585" s="12"/>
      <c r="J2585" s="12"/>
      <c r="K2585" s="12"/>
    </row>
    <row r="2586" spans="6:11" x14ac:dyDescent="0.25">
      <c r="F2586" s="12"/>
      <c r="G2586" s="12"/>
      <c r="I2586" s="12"/>
      <c r="J2586" s="12"/>
      <c r="K2586" s="12"/>
    </row>
    <row r="2587" spans="6:11" x14ac:dyDescent="0.25">
      <c r="F2587" s="12"/>
      <c r="G2587" s="12"/>
      <c r="I2587" s="12"/>
      <c r="J2587" s="12"/>
      <c r="K2587" s="12"/>
    </row>
    <row r="2588" spans="6:11" x14ac:dyDescent="0.25">
      <c r="F2588" s="12"/>
      <c r="G2588" s="12"/>
      <c r="I2588" s="12"/>
      <c r="J2588" s="12"/>
      <c r="K2588" s="12"/>
    </row>
    <row r="2589" spans="6:11" x14ac:dyDescent="0.25">
      <c r="F2589" s="12"/>
      <c r="G2589" s="12"/>
      <c r="I2589" s="12"/>
      <c r="J2589" s="12"/>
      <c r="K2589" s="12"/>
    </row>
    <row r="2590" spans="6:11" x14ac:dyDescent="0.25">
      <c r="F2590" s="12"/>
      <c r="G2590" s="12"/>
      <c r="I2590" s="12"/>
      <c r="J2590" s="12"/>
      <c r="K2590" s="12"/>
    </row>
    <row r="2591" spans="6:11" x14ac:dyDescent="0.25">
      <c r="F2591" s="12"/>
      <c r="G2591" s="12"/>
      <c r="I2591" s="12"/>
      <c r="J2591" s="12"/>
      <c r="K2591" s="12"/>
    </row>
    <row r="2592" spans="6:11" x14ac:dyDescent="0.25">
      <c r="F2592" s="12"/>
      <c r="G2592" s="12"/>
      <c r="I2592" s="12"/>
      <c r="J2592" s="12"/>
      <c r="K2592" s="12"/>
    </row>
    <row r="2593" spans="6:11" x14ac:dyDescent="0.25">
      <c r="F2593" s="12"/>
      <c r="G2593" s="12"/>
      <c r="I2593" s="12"/>
      <c r="J2593" s="12"/>
      <c r="K2593" s="12"/>
    </row>
    <row r="2594" spans="6:11" x14ac:dyDescent="0.25">
      <c r="F2594" s="12"/>
      <c r="G2594" s="12"/>
      <c r="I2594" s="12"/>
      <c r="J2594" s="12"/>
      <c r="K2594" s="12"/>
    </row>
    <row r="2595" spans="6:11" x14ac:dyDescent="0.25">
      <c r="F2595" s="12"/>
      <c r="G2595" s="12"/>
      <c r="I2595" s="12"/>
      <c r="J2595" s="12"/>
      <c r="K2595" s="12"/>
    </row>
    <row r="2596" spans="6:11" x14ac:dyDescent="0.25">
      <c r="F2596" s="12"/>
      <c r="G2596" s="12"/>
      <c r="I2596" s="12"/>
      <c r="J2596" s="12"/>
      <c r="K2596" s="12"/>
    </row>
    <row r="2597" spans="6:11" x14ac:dyDescent="0.25">
      <c r="F2597" s="12"/>
      <c r="G2597" s="12"/>
      <c r="I2597" s="12"/>
      <c r="J2597" s="12"/>
      <c r="K2597" s="12"/>
    </row>
    <row r="2598" spans="6:11" x14ac:dyDescent="0.25">
      <c r="F2598" s="12"/>
      <c r="G2598" s="12"/>
      <c r="I2598" s="12"/>
      <c r="J2598" s="12"/>
      <c r="K2598" s="12"/>
    </row>
    <row r="2599" spans="6:11" x14ac:dyDescent="0.25">
      <c r="F2599" s="12"/>
      <c r="G2599" s="12"/>
      <c r="I2599" s="12"/>
      <c r="J2599" s="12"/>
      <c r="K2599" s="12"/>
    </row>
    <row r="2600" spans="6:11" x14ac:dyDescent="0.25">
      <c r="F2600" s="12"/>
      <c r="G2600" s="12"/>
      <c r="I2600" s="12"/>
      <c r="J2600" s="12"/>
      <c r="K2600" s="12"/>
    </row>
    <row r="2601" spans="6:11" x14ac:dyDescent="0.25">
      <c r="F2601" s="12"/>
      <c r="G2601" s="12"/>
      <c r="I2601" s="12"/>
      <c r="J2601" s="12"/>
      <c r="K2601" s="12"/>
    </row>
    <row r="2602" spans="6:11" x14ac:dyDescent="0.25">
      <c r="F2602" s="12"/>
      <c r="G2602" s="12"/>
      <c r="I2602" s="12"/>
      <c r="J2602" s="12"/>
      <c r="K2602" s="12"/>
    </row>
    <row r="2603" spans="6:11" x14ac:dyDescent="0.25">
      <c r="F2603" s="12"/>
      <c r="G2603" s="12"/>
      <c r="I2603" s="12"/>
      <c r="J2603" s="12"/>
      <c r="K2603" s="12"/>
    </row>
    <row r="2604" spans="6:11" x14ac:dyDescent="0.25">
      <c r="F2604" s="12"/>
      <c r="G2604" s="12"/>
      <c r="I2604" s="12"/>
      <c r="J2604" s="12"/>
      <c r="K2604" s="12"/>
    </row>
    <row r="2605" spans="6:11" x14ac:dyDescent="0.25">
      <c r="F2605" s="12"/>
      <c r="G2605" s="12"/>
      <c r="I2605" s="12"/>
      <c r="J2605" s="12"/>
      <c r="K2605" s="12"/>
    </row>
    <row r="2606" spans="6:11" x14ac:dyDescent="0.25">
      <c r="F2606" s="12"/>
      <c r="G2606" s="12"/>
      <c r="I2606" s="12"/>
      <c r="J2606" s="12"/>
      <c r="K2606" s="12"/>
    </row>
    <row r="2607" spans="6:11" x14ac:dyDescent="0.25">
      <c r="F2607" s="12"/>
      <c r="G2607" s="12"/>
      <c r="I2607" s="12"/>
      <c r="J2607" s="12"/>
      <c r="K2607" s="12"/>
    </row>
    <row r="2608" spans="6:11" x14ac:dyDescent="0.25">
      <c r="F2608" s="12"/>
      <c r="G2608" s="12"/>
      <c r="I2608" s="12"/>
      <c r="J2608" s="12"/>
      <c r="K2608" s="12"/>
    </row>
    <row r="2609" spans="6:11" x14ac:dyDescent="0.25">
      <c r="F2609" s="12"/>
      <c r="G2609" s="12"/>
      <c r="I2609" s="12"/>
      <c r="J2609" s="12"/>
      <c r="K2609" s="12"/>
    </row>
    <row r="2610" spans="6:11" x14ac:dyDescent="0.25">
      <c r="F2610" s="12"/>
      <c r="G2610" s="12"/>
      <c r="I2610" s="12"/>
      <c r="J2610" s="12"/>
      <c r="K2610" s="12"/>
    </row>
    <row r="2611" spans="6:11" x14ac:dyDescent="0.25">
      <c r="F2611" s="12"/>
      <c r="G2611" s="12"/>
      <c r="I2611" s="12"/>
      <c r="J2611" s="12"/>
      <c r="K2611" s="12"/>
    </row>
    <row r="2612" spans="6:11" x14ac:dyDescent="0.25">
      <c r="F2612" s="12"/>
      <c r="G2612" s="12"/>
      <c r="I2612" s="12"/>
      <c r="J2612" s="12"/>
      <c r="K2612" s="12"/>
    </row>
    <row r="2613" spans="6:11" x14ac:dyDescent="0.25">
      <c r="F2613" s="12"/>
      <c r="G2613" s="12"/>
      <c r="I2613" s="12"/>
      <c r="J2613" s="12"/>
      <c r="K2613" s="12"/>
    </row>
    <row r="2614" spans="6:11" x14ac:dyDescent="0.25">
      <c r="F2614" s="12"/>
      <c r="G2614" s="12"/>
      <c r="I2614" s="12"/>
      <c r="J2614" s="12"/>
      <c r="K2614" s="12"/>
    </row>
    <row r="2615" spans="6:11" x14ac:dyDescent="0.25">
      <c r="F2615" s="12"/>
      <c r="G2615" s="12"/>
      <c r="I2615" s="12"/>
      <c r="J2615" s="12"/>
      <c r="K2615" s="12"/>
    </row>
    <row r="2616" spans="6:11" x14ac:dyDescent="0.25">
      <c r="F2616" s="12"/>
      <c r="G2616" s="12"/>
      <c r="I2616" s="12"/>
      <c r="J2616" s="12"/>
      <c r="K2616" s="12"/>
    </row>
    <row r="2617" spans="6:11" x14ac:dyDescent="0.25">
      <c r="F2617" s="12"/>
      <c r="G2617" s="12"/>
      <c r="I2617" s="12"/>
      <c r="J2617" s="12"/>
      <c r="K2617" s="12"/>
    </row>
    <row r="2618" spans="6:11" x14ac:dyDescent="0.25">
      <c r="F2618" s="12"/>
      <c r="G2618" s="12"/>
      <c r="I2618" s="12"/>
      <c r="J2618" s="12"/>
      <c r="K2618" s="12"/>
    </row>
    <row r="2619" spans="6:11" x14ac:dyDescent="0.25">
      <c r="F2619" s="12"/>
      <c r="G2619" s="12"/>
      <c r="I2619" s="12"/>
      <c r="J2619" s="12"/>
      <c r="K2619" s="12"/>
    </row>
    <row r="2620" spans="6:11" x14ac:dyDescent="0.25">
      <c r="F2620" s="12"/>
      <c r="G2620" s="12"/>
      <c r="I2620" s="12"/>
      <c r="J2620" s="12"/>
      <c r="K2620" s="12"/>
    </row>
    <row r="2621" spans="6:11" x14ac:dyDescent="0.25">
      <c r="F2621" s="12"/>
      <c r="G2621" s="12"/>
      <c r="I2621" s="12"/>
      <c r="J2621" s="12"/>
      <c r="K2621" s="12"/>
    </row>
    <row r="2622" spans="6:11" x14ac:dyDescent="0.25">
      <c r="F2622" s="12"/>
      <c r="G2622" s="12"/>
      <c r="I2622" s="12"/>
      <c r="J2622" s="12"/>
      <c r="K2622" s="12"/>
    </row>
    <row r="2623" spans="6:11" x14ac:dyDescent="0.25">
      <c r="F2623" s="12"/>
      <c r="G2623" s="12"/>
      <c r="I2623" s="12"/>
      <c r="J2623" s="12"/>
      <c r="K2623" s="12"/>
    </row>
    <row r="2624" spans="6:11" x14ac:dyDescent="0.25">
      <c r="F2624" s="12"/>
      <c r="G2624" s="12"/>
      <c r="I2624" s="12"/>
      <c r="J2624" s="12"/>
      <c r="K2624" s="12"/>
    </row>
    <row r="2625" spans="6:11" x14ac:dyDescent="0.25">
      <c r="F2625" s="12"/>
      <c r="G2625" s="12"/>
      <c r="I2625" s="12"/>
      <c r="J2625" s="12"/>
      <c r="K2625" s="12"/>
    </row>
    <row r="2626" spans="6:11" x14ac:dyDescent="0.25">
      <c r="F2626" s="12"/>
      <c r="G2626" s="12"/>
      <c r="I2626" s="12"/>
      <c r="J2626" s="12"/>
      <c r="K2626" s="12"/>
    </row>
    <row r="2627" spans="6:11" x14ac:dyDescent="0.25">
      <c r="F2627" s="12"/>
      <c r="G2627" s="12"/>
      <c r="I2627" s="12"/>
      <c r="J2627" s="12"/>
      <c r="K2627" s="12"/>
    </row>
    <row r="2628" spans="6:11" x14ac:dyDescent="0.25">
      <c r="F2628" s="12"/>
      <c r="G2628" s="12"/>
      <c r="I2628" s="12"/>
      <c r="J2628" s="12"/>
      <c r="K2628" s="12"/>
    </row>
    <row r="2629" spans="6:11" x14ac:dyDescent="0.25">
      <c r="F2629" s="12"/>
      <c r="G2629" s="12"/>
      <c r="I2629" s="12"/>
      <c r="J2629" s="12"/>
      <c r="K2629" s="12"/>
    </row>
    <row r="2630" spans="6:11" x14ac:dyDescent="0.25">
      <c r="F2630" s="12"/>
      <c r="G2630" s="12"/>
      <c r="I2630" s="12"/>
      <c r="J2630" s="12"/>
      <c r="K2630" s="12"/>
    </row>
    <row r="2631" spans="6:11" x14ac:dyDescent="0.25">
      <c r="F2631" s="12"/>
      <c r="G2631" s="12"/>
      <c r="I2631" s="12"/>
      <c r="J2631" s="12"/>
      <c r="K2631" s="12"/>
    </row>
    <row r="2632" spans="6:11" x14ac:dyDescent="0.25">
      <c r="F2632" s="12"/>
      <c r="G2632" s="12"/>
      <c r="I2632" s="12"/>
      <c r="J2632" s="12"/>
      <c r="K2632" s="12"/>
    </row>
    <row r="2633" spans="6:11" x14ac:dyDescent="0.25">
      <c r="F2633" s="12"/>
      <c r="G2633" s="12"/>
      <c r="I2633" s="12"/>
      <c r="J2633" s="12"/>
      <c r="K2633" s="12"/>
    </row>
    <row r="2634" spans="6:11" x14ac:dyDescent="0.25">
      <c r="F2634" s="12"/>
      <c r="G2634" s="12"/>
      <c r="I2634" s="12"/>
      <c r="J2634" s="12"/>
      <c r="K2634" s="12"/>
    </row>
    <row r="2635" spans="6:11" x14ac:dyDescent="0.25">
      <c r="F2635" s="12"/>
      <c r="G2635" s="12"/>
      <c r="I2635" s="12"/>
      <c r="J2635" s="12"/>
      <c r="K2635" s="12"/>
    </row>
    <row r="2636" spans="6:11" x14ac:dyDescent="0.25">
      <c r="F2636" s="12"/>
      <c r="G2636" s="12"/>
      <c r="I2636" s="12"/>
      <c r="J2636" s="12"/>
      <c r="K2636" s="12"/>
    </row>
    <row r="2637" spans="6:11" x14ac:dyDescent="0.25">
      <c r="F2637" s="12"/>
      <c r="G2637" s="12"/>
      <c r="I2637" s="12"/>
      <c r="J2637" s="12"/>
      <c r="K2637" s="12"/>
    </row>
    <row r="2638" spans="6:11" x14ac:dyDescent="0.25">
      <c r="F2638" s="12"/>
      <c r="G2638" s="12"/>
      <c r="I2638" s="12"/>
      <c r="J2638" s="12"/>
      <c r="K2638" s="12"/>
    </row>
    <row r="2639" spans="6:11" x14ac:dyDescent="0.25">
      <c r="F2639" s="12"/>
      <c r="G2639" s="12"/>
      <c r="I2639" s="12"/>
      <c r="J2639" s="12"/>
      <c r="K2639" s="12"/>
    </row>
    <row r="2640" spans="6:11" x14ac:dyDescent="0.25">
      <c r="F2640" s="12"/>
      <c r="G2640" s="12"/>
      <c r="I2640" s="12"/>
      <c r="J2640" s="12"/>
      <c r="K2640" s="12"/>
    </row>
    <row r="2641" spans="6:11" x14ac:dyDescent="0.25">
      <c r="F2641" s="12"/>
      <c r="G2641" s="12"/>
      <c r="I2641" s="12"/>
      <c r="J2641" s="12"/>
      <c r="K2641" s="12"/>
    </row>
    <row r="2642" spans="6:11" x14ac:dyDescent="0.25">
      <c r="F2642" s="12"/>
      <c r="G2642" s="12"/>
      <c r="I2642" s="12"/>
      <c r="J2642" s="12"/>
      <c r="K2642" s="12"/>
    </row>
    <row r="2643" spans="6:11" x14ac:dyDescent="0.25">
      <c r="F2643" s="12"/>
      <c r="G2643" s="12"/>
      <c r="I2643" s="12"/>
      <c r="J2643" s="12"/>
      <c r="K2643" s="12"/>
    </row>
    <row r="2644" spans="6:11" x14ac:dyDescent="0.25">
      <c r="F2644" s="12"/>
      <c r="G2644" s="12"/>
      <c r="I2644" s="12"/>
      <c r="J2644" s="12"/>
      <c r="K2644" s="12"/>
    </row>
    <row r="2645" spans="6:11" x14ac:dyDescent="0.25">
      <c r="F2645" s="12"/>
      <c r="G2645" s="12"/>
      <c r="I2645" s="12"/>
      <c r="J2645" s="12"/>
      <c r="K2645" s="12"/>
    </row>
    <row r="2646" spans="6:11" x14ac:dyDescent="0.25">
      <c r="F2646" s="12"/>
      <c r="G2646" s="12"/>
      <c r="I2646" s="12"/>
      <c r="J2646" s="12"/>
      <c r="K2646" s="12"/>
    </row>
    <row r="2647" spans="6:11" x14ac:dyDescent="0.25">
      <c r="F2647" s="12"/>
      <c r="G2647" s="12"/>
      <c r="I2647" s="12"/>
      <c r="J2647" s="12"/>
      <c r="K2647" s="12"/>
    </row>
    <row r="2648" spans="6:11" x14ac:dyDescent="0.25">
      <c r="F2648" s="12"/>
      <c r="G2648" s="12"/>
      <c r="I2648" s="12"/>
      <c r="J2648" s="12"/>
      <c r="K2648" s="12"/>
    </row>
    <row r="2649" spans="6:11" x14ac:dyDescent="0.25">
      <c r="F2649" s="12"/>
      <c r="G2649" s="12"/>
      <c r="I2649" s="12"/>
      <c r="J2649" s="12"/>
      <c r="K2649" s="12"/>
    </row>
    <row r="2650" spans="6:11" x14ac:dyDescent="0.25">
      <c r="F2650" s="12"/>
      <c r="G2650" s="12"/>
      <c r="I2650" s="12"/>
      <c r="J2650" s="12"/>
      <c r="K2650" s="12"/>
    </row>
    <row r="2651" spans="6:11" x14ac:dyDescent="0.25">
      <c r="F2651" s="12"/>
      <c r="G2651" s="12"/>
      <c r="I2651" s="12"/>
      <c r="J2651" s="12"/>
      <c r="K2651" s="12"/>
    </row>
    <row r="2652" spans="6:11" x14ac:dyDescent="0.25">
      <c r="F2652" s="12"/>
      <c r="G2652" s="12"/>
      <c r="I2652" s="12"/>
      <c r="J2652" s="12"/>
      <c r="K2652" s="12"/>
    </row>
    <row r="2653" spans="6:11" x14ac:dyDescent="0.25">
      <c r="F2653" s="12"/>
      <c r="G2653" s="12"/>
      <c r="I2653" s="12"/>
      <c r="J2653" s="12"/>
      <c r="K2653" s="12"/>
    </row>
    <row r="2654" spans="6:11" x14ac:dyDescent="0.25">
      <c r="F2654" s="12"/>
      <c r="G2654" s="12"/>
      <c r="I2654" s="12"/>
      <c r="J2654" s="12"/>
      <c r="K2654" s="12"/>
    </row>
    <row r="2655" spans="6:11" x14ac:dyDescent="0.25">
      <c r="F2655" s="12"/>
      <c r="G2655" s="12"/>
      <c r="I2655" s="12"/>
      <c r="J2655" s="12"/>
      <c r="K2655" s="12"/>
    </row>
    <row r="2656" spans="6:11" x14ac:dyDescent="0.25">
      <c r="F2656" s="12"/>
      <c r="G2656" s="12"/>
      <c r="I2656" s="12"/>
      <c r="J2656" s="12"/>
      <c r="K2656" s="12"/>
    </row>
    <row r="2657" spans="6:11" x14ac:dyDescent="0.25">
      <c r="F2657" s="12"/>
      <c r="G2657" s="12"/>
      <c r="I2657" s="12"/>
      <c r="J2657" s="12"/>
      <c r="K2657" s="12"/>
    </row>
    <row r="2658" spans="6:11" x14ac:dyDescent="0.25">
      <c r="F2658" s="12"/>
      <c r="G2658" s="12"/>
      <c r="I2658" s="12"/>
      <c r="J2658" s="12"/>
      <c r="K2658" s="12"/>
    </row>
    <row r="2659" spans="6:11" x14ac:dyDescent="0.25">
      <c r="F2659" s="12"/>
      <c r="G2659" s="12"/>
      <c r="I2659" s="12"/>
      <c r="J2659" s="12"/>
      <c r="K2659" s="12"/>
    </row>
    <row r="2660" spans="6:11" x14ac:dyDescent="0.25">
      <c r="F2660" s="12"/>
      <c r="G2660" s="12"/>
      <c r="I2660" s="12"/>
      <c r="J2660" s="12"/>
      <c r="K2660" s="12"/>
    </row>
    <row r="2661" spans="6:11" x14ac:dyDescent="0.25">
      <c r="F2661" s="12"/>
      <c r="G2661" s="12"/>
      <c r="I2661" s="12"/>
      <c r="J2661" s="12"/>
      <c r="K2661" s="12"/>
    </row>
    <row r="2662" spans="6:11" x14ac:dyDescent="0.25">
      <c r="F2662" s="12"/>
      <c r="G2662" s="12"/>
      <c r="I2662" s="12"/>
      <c r="J2662" s="12"/>
      <c r="K2662" s="12"/>
    </row>
    <row r="2663" spans="6:11" x14ac:dyDescent="0.25">
      <c r="F2663" s="12"/>
      <c r="G2663" s="12"/>
      <c r="I2663" s="12"/>
      <c r="J2663" s="12"/>
      <c r="K2663" s="12"/>
    </row>
    <row r="2664" spans="6:11" x14ac:dyDescent="0.25">
      <c r="F2664" s="12"/>
      <c r="G2664" s="12"/>
      <c r="I2664" s="12"/>
      <c r="J2664" s="12"/>
      <c r="K2664" s="12"/>
    </row>
    <row r="2665" spans="6:11" x14ac:dyDescent="0.25">
      <c r="F2665" s="12"/>
      <c r="G2665" s="12"/>
      <c r="I2665" s="12"/>
      <c r="J2665" s="12"/>
      <c r="K2665" s="12"/>
    </row>
    <row r="2666" spans="6:11" x14ac:dyDescent="0.25">
      <c r="F2666" s="12"/>
      <c r="G2666" s="12"/>
      <c r="I2666" s="12"/>
      <c r="J2666" s="12"/>
      <c r="K2666" s="12"/>
    </row>
    <row r="2667" spans="6:11" x14ac:dyDescent="0.25">
      <c r="F2667" s="12"/>
      <c r="G2667" s="12"/>
      <c r="I2667" s="12"/>
      <c r="J2667" s="12"/>
      <c r="K2667" s="12"/>
    </row>
    <row r="2668" spans="6:11" x14ac:dyDescent="0.25">
      <c r="F2668" s="12"/>
      <c r="G2668" s="12"/>
      <c r="I2668" s="12"/>
      <c r="J2668" s="12"/>
      <c r="K2668" s="12"/>
    </row>
    <row r="2669" spans="6:11" x14ac:dyDescent="0.25">
      <c r="F2669" s="12"/>
      <c r="G2669" s="12"/>
      <c r="I2669" s="12"/>
      <c r="J2669" s="12"/>
      <c r="K2669" s="12"/>
    </row>
    <row r="2670" spans="6:11" x14ac:dyDescent="0.25">
      <c r="F2670" s="12"/>
      <c r="G2670" s="12"/>
      <c r="I2670" s="12"/>
      <c r="J2670" s="12"/>
      <c r="K2670" s="12"/>
    </row>
    <row r="2671" spans="6:11" x14ac:dyDescent="0.25">
      <c r="F2671" s="12"/>
      <c r="G2671" s="12"/>
      <c r="I2671" s="12"/>
      <c r="J2671" s="12"/>
      <c r="K2671" s="12"/>
    </row>
    <row r="2672" spans="6:11" x14ac:dyDescent="0.25">
      <c r="F2672" s="12"/>
      <c r="G2672" s="12"/>
      <c r="I2672" s="12"/>
      <c r="J2672" s="12"/>
      <c r="K2672" s="12"/>
    </row>
    <row r="2673" spans="6:11" x14ac:dyDescent="0.25">
      <c r="F2673" s="12"/>
      <c r="G2673" s="12"/>
      <c r="I2673" s="12"/>
      <c r="J2673" s="12"/>
      <c r="K2673" s="12"/>
    </row>
    <row r="2674" spans="6:11" x14ac:dyDescent="0.25">
      <c r="F2674" s="12"/>
      <c r="G2674" s="12"/>
      <c r="I2674" s="12"/>
      <c r="J2674" s="12"/>
      <c r="K2674" s="12"/>
    </row>
    <row r="2675" spans="6:11" x14ac:dyDescent="0.25">
      <c r="F2675" s="12"/>
      <c r="G2675" s="12"/>
      <c r="I2675" s="12"/>
      <c r="J2675" s="12"/>
      <c r="K2675" s="12"/>
    </row>
    <row r="2676" spans="6:11" x14ac:dyDescent="0.25">
      <c r="F2676" s="12"/>
      <c r="G2676" s="12"/>
      <c r="I2676" s="12"/>
      <c r="J2676" s="12"/>
      <c r="K2676" s="12"/>
    </row>
    <row r="2677" spans="6:11" x14ac:dyDescent="0.25">
      <c r="F2677" s="12"/>
      <c r="G2677" s="12"/>
      <c r="I2677" s="12"/>
      <c r="J2677" s="12"/>
      <c r="K2677" s="12"/>
    </row>
    <row r="2678" spans="6:11" x14ac:dyDescent="0.25">
      <c r="F2678" s="12"/>
      <c r="G2678" s="12"/>
      <c r="I2678" s="12"/>
      <c r="J2678" s="12"/>
      <c r="K2678" s="12"/>
    </row>
    <row r="2679" spans="6:11" x14ac:dyDescent="0.25">
      <c r="F2679" s="12"/>
      <c r="G2679" s="12"/>
      <c r="I2679" s="12"/>
      <c r="J2679" s="12"/>
      <c r="K2679" s="12"/>
    </row>
    <row r="2680" spans="6:11" x14ac:dyDescent="0.25">
      <c r="F2680" s="12"/>
      <c r="G2680" s="12"/>
      <c r="I2680" s="12"/>
      <c r="J2680" s="12"/>
      <c r="K2680" s="12"/>
    </row>
    <row r="2681" spans="6:11" x14ac:dyDescent="0.25">
      <c r="F2681" s="12"/>
      <c r="G2681" s="12"/>
      <c r="I2681" s="12"/>
      <c r="J2681" s="12"/>
      <c r="K2681" s="12"/>
    </row>
    <row r="2682" spans="6:11" x14ac:dyDescent="0.25">
      <c r="F2682" s="12"/>
      <c r="G2682" s="12"/>
      <c r="I2682" s="12"/>
      <c r="J2682" s="12"/>
      <c r="K2682" s="12"/>
    </row>
    <row r="2683" spans="6:11" x14ac:dyDescent="0.25">
      <c r="F2683" s="12"/>
      <c r="G2683" s="12"/>
      <c r="I2683" s="12"/>
      <c r="J2683" s="12"/>
      <c r="K2683" s="12"/>
    </row>
    <row r="2684" spans="6:11" x14ac:dyDescent="0.25">
      <c r="F2684" s="12"/>
      <c r="G2684" s="12"/>
      <c r="I2684" s="12"/>
      <c r="J2684" s="12"/>
      <c r="K2684" s="12"/>
    </row>
    <row r="2685" spans="6:11" x14ac:dyDescent="0.25">
      <c r="F2685" s="12"/>
      <c r="G2685" s="12"/>
      <c r="I2685" s="12"/>
      <c r="J2685" s="12"/>
      <c r="K2685" s="12"/>
    </row>
    <row r="2686" spans="6:11" x14ac:dyDescent="0.25">
      <c r="F2686" s="12"/>
      <c r="G2686" s="12"/>
      <c r="I2686" s="12"/>
      <c r="J2686" s="12"/>
      <c r="K2686" s="12"/>
    </row>
    <row r="2687" spans="6:11" x14ac:dyDescent="0.25">
      <c r="F2687" s="12"/>
      <c r="G2687" s="12"/>
      <c r="I2687" s="12"/>
      <c r="J2687" s="12"/>
      <c r="K2687" s="12"/>
    </row>
    <row r="2688" spans="6:11" x14ac:dyDescent="0.25">
      <c r="F2688" s="12"/>
      <c r="G2688" s="12"/>
      <c r="I2688" s="12"/>
      <c r="J2688" s="12"/>
      <c r="K2688" s="12"/>
    </row>
    <row r="2689" spans="6:11" x14ac:dyDescent="0.25">
      <c r="F2689" s="12"/>
      <c r="G2689" s="12"/>
      <c r="I2689" s="12"/>
      <c r="J2689" s="12"/>
      <c r="K2689" s="12"/>
    </row>
    <row r="2690" spans="6:11" x14ac:dyDescent="0.25">
      <c r="F2690" s="12"/>
      <c r="G2690" s="12"/>
      <c r="I2690" s="12"/>
      <c r="J2690" s="12"/>
      <c r="K2690" s="12"/>
    </row>
    <row r="2691" spans="6:11" x14ac:dyDescent="0.25">
      <c r="F2691" s="12"/>
      <c r="G2691" s="12"/>
      <c r="I2691" s="12"/>
      <c r="J2691" s="12"/>
      <c r="K2691" s="12"/>
    </row>
    <row r="2692" spans="6:11" x14ac:dyDescent="0.25">
      <c r="F2692" s="12"/>
      <c r="G2692" s="12"/>
      <c r="I2692" s="12"/>
      <c r="J2692" s="12"/>
      <c r="K2692" s="12"/>
    </row>
    <row r="2693" spans="6:11" x14ac:dyDescent="0.25">
      <c r="F2693" s="12"/>
      <c r="G2693" s="12"/>
      <c r="I2693" s="12"/>
      <c r="J2693" s="12"/>
      <c r="K2693" s="12"/>
    </row>
    <row r="2694" spans="6:11" x14ac:dyDescent="0.25">
      <c r="F2694" s="12"/>
      <c r="G2694" s="12"/>
      <c r="I2694" s="12"/>
      <c r="J2694" s="12"/>
      <c r="K2694" s="12"/>
    </row>
    <row r="2695" spans="6:11" x14ac:dyDescent="0.25">
      <c r="F2695" s="12"/>
      <c r="G2695" s="12"/>
      <c r="I2695" s="12"/>
      <c r="J2695" s="12"/>
      <c r="K2695" s="12"/>
    </row>
    <row r="2696" spans="6:11" x14ac:dyDescent="0.25">
      <c r="F2696" s="12"/>
      <c r="G2696" s="12"/>
      <c r="I2696" s="12"/>
      <c r="J2696" s="12"/>
      <c r="K2696" s="12"/>
    </row>
    <row r="2697" spans="6:11" x14ac:dyDescent="0.25">
      <c r="F2697" s="12"/>
      <c r="G2697" s="12"/>
      <c r="I2697" s="12"/>
      <c r="J2697" s="12"/>
      <c r="K2697" s="12"/>
    </row>
    <row r="2698" spans="6:11" x14ac:dyDescent="0.25">
      <c r="F2698" s="12"/>
      <c r="G2698" s="12"/>
      <c r="I2698" s="12"/>
      <c r="J2698" s="12"/>
      <c r="K2698" s="12"/>
    </row>
    <row r="2699" spans="6:11" x14ac:dyDescent="0.25">
      <c r="F2699" s="12"/>
      <c r="G2699" s="12"/>
      <c r="I2699" s="12"/>
      <c r="J2699" s="12"/>
      <c r="K2699" s="12"/>
    </row>
    <row r="2700" spans="6:11" x14ac:dyDescent="0.25">
      <c r="F2700" s="12"/>
      <c r="G2700" s="12"/>
      <c r="I2700" s="12"/>
      <c r="J2700" s="12"/>
      <c r="K2700" s="12"/>
    </row>
    <row r="2701" spans="6:11" x14ac:dyDescent="0.25">
      <c r="F2701" s="12"/>
      <c r="G2701" s="12"/>
      <c r="I2701" s="12"/>
      <c r="J2701" s="12"/>
      <c r="K2701" s="12"/>
    </row>
    <row r="2702" spans="6:11" x14ac:dyDescent="0.25">
      <c r="F2702" s="12"/>
      <c r="G2702" s="12"/>
      <c r="I2702" s="12"/>
      <c r="J2702" s="12"/>
      <c r="K2702" s="12"/>
    </row>
    <row r="2703" spans="6:11" x14ac:dyDescent="0.25">
      <c r="F2703" s="12"/>
      <c r="G2703" s="12"/>
      <c r="I2703" s="12"/>
      <c r="J2703" s="12"/>
      <c r="K2703" s="12"/>
    </row>
    <row r="2704" spans="6:11" x14ac:dyDescent="0.25">
      <c r="F2704" s="12"/>
      <c r="G2704" s="12"/>
      <c r="I2704" s="12"/>
      <c r="J2704" s="12"/>
      <c r="K2704" s="12"/>
    </row>
    <row r="2705" spans="6:11" x14ac:dyDescent="0.25">
      <c r="F2705" s="12"/>
      <c r="G2705" s="12"/>
      <c r="I2705" s="12"/>
      <c r="J2705" s="12"/>
      <c r="K2705" s="12"/>
    </row>
    <row r="2706" spans="6:11" x14ac:dyDescent="0.25">
      <c r="F2706" s="12"/>
      <c r="G2706" s="12"/>
      <c r="I2706" s="12"/>
      <c r="J2706" s="12"/>
      <c r="K2706" s="12"/>
    </row>
    <row r="2707" spans="6:11" x14ac:dyDescent="0.25">
      <c r="F2707" s="12"/>
      <c r="G2707" s="12"/>
      <c r="I2707" s="12"/>
      <c r="J2707" s="12"/>
      <c r="K2707" s="12"/>
    </row>
    <row r="2708" spans="6:11" x14ac:dyDescent="0.25">
      <c r="F2708" s="12"/>
      <c r="G2708" s="12"/>
      <c r="I2708" s="12"/>
      <c r="J2708" s="12"/>
      <c r="K2708" s="12"/>
    </row>
    <row r="2709" spans="6:11" x14ac:dyDescent="0.25">
      <c r="F2709" s="12"/>
      <c r="G2709" s="12"/>
      <c r="I2709" s="12"/>
      <c r="J2709" s="12"/>
      <c r="K2709" s="12"/>
    </row>
    <row r="2710" spans="6:11" x14ac:dyDescent="0.25">
      <c r="F2710" s="12"/>
      <c r="G2710" s="12"/>
      <c r="I2710" s="12"/>
      <c r="J2710" s="12"/>
      <c r="K2710" s="12"/>
    </row>
    <row r="2711" spans="6:11" x14ac:dyDescent="0.25">
      <c r="F2711" s="12"/>
      <c r="G2711" s="12"/>
      <c r="I2711" s="12"/>
      <c r="J2711" s="12"/>
      <c r="K2711" s="12"/>
    </row>
    <row r="2712" spans="6:11" x14ac:dyDescent="0.25">
      <c r="F2712" s="12"/>
      <c r="G2712" s="12"/>
      <c r="I2712" s="12"/>
      <c r="J2712" s="12"/>
      <c r="K2712" s="12"/>
    </row>
    <row r="2713" spans="6:11" x14ac:dyDescent="0.25">
      <c r="F2713" s="12"/>
      <c r="G2713" s="12"/>
      <c r="I2713" s="12"/>
      <c r="J2713" s="12"/>
      <c r="K2713" s="12"/>
    </row>
    <row r="2714" spans="6:11" x14ac:dyDescent="0.25">
      <c r="F2714" s="12"/>
      <c r="G2714" s="12"/>
      <c r="I2714" s="12"/>
      <c r="J2714" s="12"/>
      <c r="K2714" s="12"/>
    </row>
    <row r="2715" spans="6:11" x14ac:dyDescent="0.25">
      <c r="F2715" s="12"/>
      <c r="G2715" s="12"/>
      <c r="I2715" s="12"/>
      <c r="J2715" s="12"/>
      <c r="K2715" s="12"/>
    </row>
    <row r="2716" spans="6:11" x14ac:dyDescent="0.25">
      <c r="F2716" s="12"/>
      <c r="G2716" s="12"/>
      <c r="I2716" s="12"/>
      <c r="J2716" s="12"/>
      <c r="K2716" s="12"/>
    </row>
    <row r="2717" spans="6:11" x14ac:dyDescent="0.25">
      <c r="F2717" s="12"/>
      <c r="G2717" s="12"/>
      <c r="I2717" s="12"/>
      <c r="J2717" s="12"/>
      <c r="K2717" s="12"/>
    </row>
    <row r="2718" spans="6:11" x14ac:dyDescent="0.25">
      <c r="F2718" s="12"/>
      <c r="G2718" s="12"/>
      <c r="I2718" s="12"/>
      <c r="J2718" s="12"/>
      <c r="K2718" s="12"/>
    </row>
    <row r="2719" spans="6:11" x14ac:dyDescent="0.25">
      <c r="F2719" s="12"/>
      <c r="G2719" s="12"/>
      <c r="I2719" s="12"/>
      <c r="J2719" s="12"/>
      <c r="K2719" s="12"/>
    </row>
    <row r="2720" spans="6:11" x14ac:dyDescent="0.25">
      <c r="F2720" s="12"/>
      <c r="G2720" s="12"/>
      <c r="I2720" s="12"/>
      <c r="J2720" s="12"/>
      <c r="K2720" s="12"/>
    </row>
    <row r="2721" spans="6:11" x14ac:dyDescent="0.25">
      <c r="F2721" s="12"/>
      <c r="G2721" s="12"/>
      <c r="I2721" s="12"/>
      <c r="J2721" s="12"/>
      <c r="K2721" s="12"/>
    </row>
    <row r="2722" spans="6:11" x14ac:dyDescent="0.25">
      <c r="F2722" s="12"/>
      <c r="G2722" s="12"/>
      <c r="I2722" s="12"/>
      <c r="J2722" s="12"/>
      <c r="K2722" s="12"/>
    </row>
    <row r="2723" spans="6:11" x14ac:dyDescent="0.25">
      <c r="F2723" s="12"/>
      <c r="G2723" s="12"/>
      <c r="I2723" s="12"/>
      <c r="J2723" s="12"/>
      <c r="K2723" s="12"/>
    </row>
    <row r="2724" spans="6:11" x14ac:dyDescent="0.25">
      <c r="F2724" s="12"/>
      <c r="G2724" s="12"/>
      <c r="I2724" s="12"/>
      <c r="J2724" s="12"/>
      <c r="K2724" s="12"/>
    </row>
    <row r="2725" spans="6:11" x14ac:dyDescent="0.25">
      <c r="F2725" s="12"/>
      <c r="G2725" s="12"/>
      <c r="I2725" s="12"/>
      <c r="J2725" s="12"/>
      <c r="K2725" s="12"/>
    </row>
    <row r="2726" spans="6:11" x14ac:dyDescent="0.25">
      <c r="F2726" s="12"/>
      <c r="G2726" s="12"/>
      <c r="I2726" s="12"/>
      <c r="J2726" s="12"/>
      <c r="K2726" s="12"/>
    </row>
    <row r="2727" spans="6:11" x14ac:dyDescent="0.25">
      <c r="F2727" s="12"/>
      <c r="G2727" s="12"/>
      <c r="I2727" s="12"/>
      <c r="J2727" s="12"/>
      <c r="K2727" s="12"/>
    </row>
    <row r="2728" spans="6:11" x14ac:dyDescent="0.25">
      <c r="F2728" s="12"/>
      <c r="G2728" s="12"/>
      <c r="I2728" s="12"/>
      <c r="J2728" s="12"/>
      <c r="K2728" s="12"/>
    </row>
    <row r="2729" spans="6:11" x14ac:dyDescent="0.25">
      <c r="F2729" s="12"/>
      <c r="G2729" s="12"/>
      <c r="I2729" s="12"/>
      <c r="J2729" s="12"/>
      <c r="K2729" s="12"/>
    </row>
    <row r="2730" spans="6:11" x14ac:dyDescent="0.25">
      <c r="F2730" s="12"/>
      <c r="G2730" s="12"/>
      <c r="I2730" s="12"/>
      <c r="J2730" s="12"/>
      <c r="K2730" s="12"/>
    </row>
    <row r="2731" spans="6:11" x14ac:dyDescent="0.25">
      <c r="F2731" s="12"/>
      <c r="G2731" s="12"/>
      <c r="I2731" s="12"/>
      <c r="J2731" s="12"/>
      <c r="K2731" s="12"/>
    </row>
    <row r="2732" spans="6:11" x14ac:dyDescent="0.25">
      <c r="F2732" s="12"/>
      <c r="G2732" s="12"/>
      <c r="I2732" s="12"/>
      <c r="J2732" s="12"/>
      <c r="K2732" s="12"/>
    </row>
    <row r="2733" spans="6:11" x14ac:dyDescent="0.25">
      <c r="F2733" s="12"/>
      <c r="G2733" s="12"/>
      <c r="I2733" s="12"/>
      <c r="J2733" s="12"/>
      <c r="K2733" s="12"/>
    </row>
    <row r="2734" spans="6:11" x14ac:dyDescent="0.25">
      <c r="F2734" s="12"/>
      <c r="G2734" s="12"/>
      <c r="I2734" s="12"/>
      <c r="J2734" s="12"/>
      <c r="K2734" s="12"/>
    </row>
    <row r="2735" spans="6:11" x14ac:dyDescent="0.25">
      <c r="F2735" s="12"/>
      <c r="G2735" s="12"/>
      <c r="I2735" s="12"/>
      <c r="J2735" s="12"/>
      <c r="K2735" s="12"/>
    </row>
    <row r="2736" spans="6:11" x14ac:dyDescent="0.25">
      <c r="F2736" s="12"/>
      <c r="G2736" s="12"/>
      <c r="I2736" s="12"/>
      <c r="J2736" s="12"/>
      <c r="K2736" s="12"/>
    </row>
    <row r="2737" spans="6:11" x14ac:dyDescent="0.25">
      <c r="F2737" s="12"/>
      <c r="G2737" s="12"/>
      <c r="I2737" s="12"/>
      <c r="J2737" s="12"/>
      <c r="K2737" s="12"/>
    </row>
    <row r="2738" spans="6:11" x14ac:dyDescent="0.25">
      <c r="F2738" s="12"/>
      <c r="G2738" s="12"/>
      <c r="I2738" s="12"/>
      <c r="J2738" s="12"/>
      <c r="K2738" s="12"/>
    </row>
    <row r="2739" spans="6:11" x14ac:dyDescent="0.25">
      <c r="F2739" s="12"/>
      <c r="G2739" s="12"/>
      <c r="I2739" s="12"/>
      <c r="J2739" s="12"/>
      <c r="K2739" s="12"/>
    </row>
    <row r="2740" spans="6:11" x14ac:dyDescent="0.25">
      <c r="F2740" s="12"/>
      <c r="G2740" s="12"/>
      <c r="I2740" s="12"/>
      <c r="J2740" s="12"/>
      <c r="K2740" s="12"/>
    </row>
    <row r="2741" spans="6:11" x14ac:dyDescent="0.25">
      <c r="F2741" s="12"/>
      <c r="G2741" s="12"/>
      <c r="I2741" s="12"/>
      <c r="J2741" s="12"/>
      <c r="K2741" s="12"/>
    </row>
    <row r="2742" spans="6:11" x14ac:dyDescent="0.25">
      <c r="F2742" s="12"/>
      <c r="G2742" s="12"/>
      <c r="I2742" s="12"/>
      <c r="J2742" s="12"/>
      <c r="K2742" s="12"/>
    </row>
    <row r="2743" spans="6:11" x14ac:dyDescent="0.25">
      <c r="F2743" s="12"/>
      <c r="G2743" s="12"/>
      <c r="I2743" s="12"/>
      <c r="J2743" s="12"/>
      <c r="K2743" s="12"/>
    </row>
    <row r="2744" spans="6:11" x14ac:dyDescent="0.25">
      <c r="F2744" s="12"/>
      <c r="G2744" s="12"/>
      <c r="I2744" s="12"/>
      <c r="J2744" s="12"/>
      <c r="K2744" s="12"/>
    </row>
    <row r="2745" spans="6:11" x14ac:dyDescent="0.25">
      <c r="F2745" s="12"/>
      <c r="G2745" s="12"/>
      <c r="I2745" s="12"/>
      <c r="J2745" s="12"/>
      <c r="K2745" s="12"/>
    </row>
    <row r="2746" spans="6:11" x14ac:dyDescent="0.25">
      <c r="F2746" s="12"/>
      <c r="G2746" s="12"/>
      <c r="I2746" s="12"/>
      <c r="J2746" s="12"/>
      <c r="K2746" s="12"/>
    </row>
    <row r="2747" spans="6:11" x14ac:dyDescent="0.25">
      <c r="F2747" s="12"/>
      <c r="G2747" s="12"/>
      <c r="I2747" s="12"/>
      <c r="J2747" s="12"/>
      <c r="K2747" s="12"/>
    </row>
    <row r="2748" spans="6:11" x14ac:dyDescent="0.25">
      <c r="F2748" s="12"/>
      <c r="G2748" s="12"/>
      <c r="I2748" s="12"/>
      <c r="J2748" s="12"/>
      <c r="K2748" s="12"/>
    </row>
    <row r="2749" spans="6:11" x14ac:dyDescent="0.25">
      <c r="F2749" s="12"/>
      <c r="G2749" s="12"/>
      <c r="I2749" s="12"/>
      <c r="J2749" s="12"/>
      <c r="K2749" s="12"/>
    </row>
    <row r="2750" spans="6:11" x14ac:dyDescent="0.25">
      <c r="F2750" s="12"/>
      <c r="G2750" s="12"/>
      <c r="I2750" s="12"/>
      <c r="J2750" s="12"/>
      <c r="K2750" s="12"/>
    </row>
    <row r="2751" spans="6:11" x14ac:dyDescent="0.25">
      <c r="F2751" s="12"/>
      <c r="G2751" s="12"/>
      <c r="I2751" s="12"/>
      <c r="J2751" s="12"/>
      <c r="K2751" s="12"/>
    </row>
    <row r="2752" spans="6:11" x14ac:dyDescent="0.25">
      <c r="F2752" s="12"/>
      <c r="G2752" s="12"/>
      <c r="I2752" s="12"/>
      <c r="J2752" s="12"/>
      <c r="K2752" s="12"/>
    </row>
    <row r="2753" spans="6:11" x14ac:dyDescent="0.25">
      <c r="F2753" s="12"/>
      <c r="G2753" s="12"/>
      <c r="I2753" s="12"/>
      <c r="J2753" s="12"/>
      <c r="K2753" s="12"/>
    </row>
    <row r="2754" spans="6:11" x14ac:dyDescent="0.25">
      <c r="F2754" s="12"/>
      <c r="G2754" s="12"/>
      <c r="I2754" s="12"/>
      <c r="J2754" s="12"/>
      <c r="K2754" s="12"/>
    </row>
    <row r="2755" spans="6:11" x14ac:dyDescent="0.25">
      <c r="F2755" s="12"/>
      <c r="G2755" s="12"/>
      <c r="I2755" s="12"/>
      <c r="J2755" s="12"/>
      <c r="K2755" s="12"/>
    </row>
    <row r="2756" spans="6:11" x14ac:dyDescent="0.25">
      <c r="F2756" s="12"/>
      <c r="G2756" s="12"/>
      <c r="I2756" s="12"/>
      <c r="J2756" s="12"/>
      <c r="K2756" s="12"/>
    </row>
    <row r="2757" spans="6:11" x14ac:dyDescent="0.25">
      <c r="F2757" s="12"/>
      <c r="G2757" s="12"/>
      <c r="I2757" s="12"/>
      <c r="J2757" s="12"/>
      <c r="K2757" s="12"/>
    </row>
    <row r="2758" spans="6:11" x14ac:dyDescent="0.25">
      <c r="F2758" s="12"/>
      <c r="G2758" s="12"/>
      <c r="I2758" s="12"/>
      <c r="J2758" s="12"/>
      <c r="K2758" s="12"/>
    </row>
    <row r="2759" spans="6:11" x14ac:dyDescent="0.25">
      <c r="F2759" s="12"/>
      <c r="G2759" s="12"/>
      <c r="I2759" s="12"/>
      <c r="J2759" s="12"/>
      <c r="K2759" s="12"/>
    </row>
    <row r="2760" spans="6:11" x14ac:dyDescent="0.25">
      <c r="F2760" s="12"/>
      <c r="G2760" s="12"/>
      <c r="I2760" s="12"/>
      <c r="J2760" s="12"/>
      <c r="K2760" s="12"/>
    </row>
    <row r="2761" spans="6:11" x14ac:dyDescent="0.25">
      <c r="F2761" s="12"/>
      <c r="G2761" s="12"/>
      <c r="I2761" s="12"/>
      <c r="J2761" s="12"/>
      <c r="K2761" s="12"/>
    </row>
    <row r="2762" spans="6:11" x14ac:dyDescent="0.25">
      <c r="F2762" s="12"/>
      <c r="G2762" s="12"/>
      <c r="I2762" s="12"/>
      <c r="J2762" s="12"/>
      <c r="K2762" s="12"/>
    </row>
    <row r="2763" spans="6:11" x14ac:dyDescent="0.25">
      <c r="F2763" s="12"/>
      <c r="G2763" s="12"/>
      <c r="I2763" s="12"/>
      <c r="J2763" s="12"/>
      <c r="K2763" s="12"/>
    </row>
    <row r="2764" spans="6:11" x14ac:dyDescent="0.25">
      <c r="F2764" s="12"/>
      <c r="G2764" s="12"/>
      <c r="I2764" s="12"/>
      <c r="J2764" s="12"/>
      <c r="K2764" s="12"/>
    </row>
    <row r="2765" spans="6:11" x14ac:dyDescent="0.25">
      <c r="F2765" s="12"/>
      <c r="G2765" s="12"/>
      <c r="I2765" s="12"/>
      <c r="J2765" s="12"/>
      <c r="K2765" s="12"/>
    </row>
    <row r="2766" spans="6:11" x14ac:dyDescent="0.25">
      <c r="F2766" s="12"/>
      <c r="G2766" s="12"/>
      <c r="I2766" s="12"/>
      <c r="J2766" s="12"/>
      <c r="K2766" s="12"/>
    </row>
    <row r="2767" spans="6:11" x14ac:dyDescent="0.25">
      <c r="F2767" s="12"/>
      <c r="G2767" s="12"/>
      <c r="I2767" s="12"/>
      <c r="J2767" s="12"/>
      <c r="K2767" s="12"/>
    </row>
    <row r="2768" spans="6:11" x14ac:dyDescent="0.25">
      <c r="F2768" s="12"/>
      <c r="G2768" s="12"/>
      <c r="I2768" s="12"/>
      <c r="J2768" s="12"/>
      <c r="K2768" s="12"/>
    </row>
    <row r="2769" spans="6:11" x14ac:dyDescent="0.25">
      <c r="F2769" s="12"/>
      <c r="G2769" s="12"/>
      <c r="I2769" s="12"/>
      <c r="J2769" s="12"/>
      <c r="K2769" s="12"/>
    </row>
    <row r="2770" spans="6:11" x14ac:dyDescent="0.25">
      <c r="F2770" s="12"/>
      <c r="G2770" s="12"/>
      <c r="I2770" s="12"/>
      <c r="J2770" s="12"/>
      <c r="K2770" s="12"/>
    </row>
    <row r="2771" spans="6:11" x14ac:dyDescent="0.25">
      <c r="F2771" s="12"/>
      <c r="G2771" s="12"/>
      <c r="I2771" s="12"/>
      <c r="J2771" s="12"/>
      <c r="K2771" s="12"/>
    </row>
    <row r="2772" spans="6:11" x14ac:dyDescent="0.25">
      <c r="F2772" s="12"/>
      <c r="G2772" s="12"/>
      <c r="I2772" s="12"/>
      <c r="J2772" s="12"/>
      <c r="K2772" s="12"/>
    </row>
    <row r="2773" spans="6:11" x14ac:dyDescent="0.25">
      <c r="F2773" s="12"/>
      <c r="G2773" s="12"/>
      <c r="I2773" s="12"/>
      <c r="J2773" s="12"/>
      <c r="K2773" s="12"/>
    </row>
    <row r="2774" spans="6:11" x14ac:dyDescent="0.25">
      <c r="F2774" s="12"/>
      <c r="G2774" s="12"/>
      <c r="I2774" s="12"/>
      <c r="J2774" s="12"/>
      <c r="K2774" s="12"/>
    </row>
    <row r="2775" spans="6:11" x14ac:dyDescent="0.25">
      <c r="F2775" s="12"/>
      <c r="G2775" s="12"/>
      <c r="I2775" s="12"/>
      <c r="J2775" s="12"/>
      <c r="K2775" s="12"/>
    </row>
    <row r="2776" spans="6:11" x14ac:dyDescent="0.25">
      <c r="F2776" s="12"/>
      <c r="G2776" s="12"/>
      <c r="I2776" s="12"/>
      <c r="J2776" s="12"/>
      <c r="K2776" s="12"/>
    </row>
    <row r="2777" spans="6:11" x14ac:dyDescent="0.25">
      <c r="F2777" s="12"/>
      <c r="G2777" s="12"/>
      <c r="I2777" s="12"/>
      <c r="J2777" s="12"/>
      <c r="K2777" s="12"/>
    </row>
    <row r="2778" spans="6:11" x14ac:dyDescent="0.25">
      <c r="F2778" s="12"/>
      <c r="G2778" s="12"/>
      <c r="I2778" s="12"/>
      <c r="J2778" s="12"/>
      <c r="K2778" s="12"/>
    </row>
    <row r="2779" spans="6:11" x14ac:dyDescent="0.25">
      <c r="F2779" s="12"/>
      <c r="G2779" s="12"/>
      <c r="I2779" s="12"/>
      <c r="J2779" s="12"/>
      <c r="K2779" s="12"/>
    </row>
    <row r="2780" spans="6:11" x14ac:dyDescent="0.25">
      <c r="F2780" s="12"/>
      <c r="G2780" s="12"/>
      <c r="I2780" s="12"/>
      <c r="J2780" s="12"/>
      <c r="K2780" s="12"/>
    </row>
    <row r="2781" spans="6:11" x14ac:dyDescent="0.25">
      <c r="F2781" s="12"/>
      <c r="G2781" s="12"/>
      <c r="I2781" s="12"/>
      <c r="J2781" s="12"/>
      <c r="K2781" s="12"/>
    </row>
    <row r="2782" spans="6:11" x14ac:dyDescent="0.25">
      <c r="F2782" s="12"/>
      <c r="G2782" s="12"/>
      <c r="I2782" s="12"/>
      <c r="J2782" s="12"/>
      <c r="K2782" s="12"/>
    </row>
    <row r="2783" spans="6:11" x14ac:dyDescent="0.25">
      <c r="F2783" s="12"/>
      <c r="G2783" s="12"/>
      <c r="I2783" s="12"/>
      <c r="J2783" s="12"/>
      <c r="K2783" s="12"/>
    </row>
    <row r="2784" spans="6:11" x14ac:dyDescent="0.25">
      <c r="F2784" s="12"/>
      <c r="G2784" s="12"/>
      <c r="I2784" s="12"/>
      <c r="J2784" s="12"/>
      <c r="K2784" s="12"/>
    </row>
    <row r="2785" spans="6:11" x14ac:dyDescent="0.25">
      <c r="F2785" s="12"/>
      <c r="G2785" s="12"/>
      <c r="I2785" s="12"/>
      <c r="J2785" s="12"/>
      <c r="K2785" s="12"/>
    </row>
    <row r="2786" spans="6:11" x14ac:dyDescent="0.25">
      <c r="F2786" s="12"/>
      <c r="G2786" s="12"/>
      <c r="I2786" s="12"/>
      <c r="J2786" s="12"/>
      <c r="K2786" s="12"/>
    </row>
    <row r="2787" spans="6:11" x14ac:dyDescent="0.25">
      <c r="F2787" s="12"/>
      <c r="G2787" s="12"/>
      <c r="I2787" s="12"/>
      <c r="J2787" s="12"/>
      <c r="K2787" s="12"/>
    </row>
    <row r="2788" spans="6:11" x14ac:dyDescent="0.25">
      <c r="F2788" s="12"/>
      <c r="G2788" s="12"/>
      <c r="I2788" s="12"/>
      <c r="J2788" s="12"/>
      <c r="K2788" s="12"/>
    </row>
    <row r="2789" spans="6:11" x14ac:dyDescent="0.25">
      <c r="F2789" s="12"/>
      <c r="G2789" s="12"/>
      <c r="I2789" s="12"/>
      <c r="J2789" s="12"/>
      <c r="K2789" s="12"/>
    </row>
    <row r="2790" spans="6:11" x14ac:dyDescent="0.25">
      <c r="F2790" s="12"/>
      <c r="G2790" s="12"/>
      <c r="I2790" s="12"/>
      <c r="J2790" s="12"/>
      <c r="K2790" s="12"/>
    </row>
    <row r="2791" spans="6:11" x14ac:dyDescent="0.25">
      <c r="F2791" s="12"/>
      <c r="G2791" s="12"/>
      <c r="I2791" s="12"/>
      <c r="J2791" s="12"/>
      <c r="K2791" s="12"/>
    </row>
    <row r="2792" spans="6:11" x14ac:dyDescent="0.25">
      <c r="F2792" s="12"/>
      <c r="G2792" s="12"/>
      <c r="I2792" s="12"/>
      <c r="J2792" s="12"/>
      <c r="K2792" s="12"/>
    </row>
    <row r="2793" spans="6:11" x14ac:dyDescent="0.25">
      <c r="F2793" s="12"/>
      <c r="G2793" s="12"/>
      <c r="I2793" s="12"/>
      <c r="J2793" s="12"/>
      <c r="K2793" s="12"/>
    </row>
    <row r="2794" spans="6:11" x14ac:dyDescent="0.25">
      <c r="F2794" s="12"/>
      <c r="G2794" s="12"/>
      <c r="I2794" s="12"/>
      <c r="J2794" s="12"/>
      <c r="K2794" s="12"/>
    </row>
    <row r="2795" spans="6:11" x14ac:dyDescent="0.25">
      <c r="F2795" s="12"/>
      <c r="G2795" s="12"/>
      <c r="I2795" s="12"/>
      <c r="J2795" s="12"/>
      <c r="K2795" s="12"/>
    </row>
    <row r="2796" spans="6:11" x14ac:dyDescent="0.25">
      <c r="F2796" s="12"/>
      <c r="G2796" s="12"/>
      <c r="I2796" s="12"/>
      <c r="J2796" s="12"/>
      <c r="K2796" s="12"/>
    </row>
    <row r="2797" spans="6:11" x14ac:dyDescent="0.25">
      <c r="F2797" s="12"/>
      <c r="G2797" s="12"/>
      <c r="I2797" s="12"/>
      <c r="J2797" s="12"/>
      <c r="K2797" s="12"/>
    </row>
    <row r="2798" spans="6:11" x14ac:dyDescent="0.25">
      <c r="F2798" s="12"/>
      <c r="G2798" s="12"/>
      <c r="I2798" s="12"/>
      <c r="J2798" s="12"/>
      <c r="K2798" s="12"/>
    </row>
    <row r="2799" spans="6:11" x14ac:dyDescent="0.25">
      <c r="F2799" s="12"/>
      <c r="G2799" s="12"/>
      <c r="I2799" s="12"/>
      <c r="J2799" s="12"/>
      <c r="K2799" s="12"/>
    </row>
    <row r="2800" spans="6:11" x14ac:dyDescent="0.25">
      <c r="F2800" s="12"/>
      <c r="G2800" s="12"/>
      <c r="I2800" s="12"/>
      <c r="J2800" s="12"/>
      <c r="K2800" s="12"/>
    </row>
    <row r="2801" spans="6:11" x14ac:dyDescent="0.25">
      <c r="F2801" s="12"/>
      <c r="G2801" s="12"/>
      <c r="I2801" s="12"/>
      <c r="J2801" s="12"/>
      <c r="K2801" s="12"/>
    </row>
    <row r="2802" spans="6:11" x14ac:dyDescent="0.25">
      <c r="F2802" s="12"/>
      <c r="G2802" s="12"/>
      <c r="I2802" s="12"/>
      <c r="J2802" s="12"/>
      <c r="K2802" s="12"/>
    </row>
    <row r="2803" spans="6:11" x14ac:dyDescent="0.25">
      <c r="F2803" s="12"/>
      <c r="G2803" s="12"/>
      <c r="I2803" s="12"/>
      <c r="J2803" s="12"/>
      <c r="K2803" s="12"/>
    </row>
    <row r="2804" spans="6:11" x14ac:dyDescent="0.25">
      <c r="F2804" s="12"/>
      <c r="G2804" s="12"/>
      <c r="I2804" s="12"/>
      <c r="J2804" s="12"/>
      <c r="K2804" s="12"/>
    </row>
    <row r="2805" spans="6:11" x14ac:dyDescent="0.25">
      <c r="F2805" s="12"/>
      <c r="G2805" s="12"/>
      <c r="I2805" s="12"/>
      <c r="J2805" s="12"/>
      <c r="K2805" s="12"/>
    </row>
    <row r="2806" spans="6:11" x14ac:dyDescent="0.25">
      <c r="F2806" s="12"/>
      <c r="G2806" s="12"/>
      <c r="I2806" s="12"/>
      <c r="J2806" s="12"/>
      <c r="K2806" s="12"/>
    </row>
    <row r="2807" spans="6:11" x14ac:dyDescent="0.25">
      <c r="F2807" s="12"/>
      <c r="G2807" s="12"/>
      <c r="I2807" s="12"/>
      <c r="J2807" s="12"/>
      <c r="K2807" s="12"/>
    </row>
    <row r="2808" spans="6:11" x14ac:dyDescent="0.25">
      <c r="F2808" s="12"/>
      <c r="G2808" s="12"/>
      <c r="I2808" s="12"/>
      <c r="J2808" s="12"/>
      <c r="K2808" s="12"/>
    </row>
    <row r="2809" spans="6:11" x14ac:dyDescent="0.25">
      <c r="F2809" s="12"/>
      <c r="G2809" s="12"/>
      <c r="I2809" s="12"/>
      <c r="J2809" s="12"/>
      <c r="K2809" s="12"/>
    </row>
    <row r="2810" spans="6:11" x14ac:dyDescent="0.25">
      <c r="F2810" s="12"/>
      <c r="G2810" s="12"/>
      <c r="I2810" s="12"/>
      <c r="J2810" s="12"/>
      <c r="K2810" s="12"/>
    </row>
    <row r="2811" spans="6:11" x14ac:dyDescent="0.25">
      <c r="F2811" s="12"/>
      <c r="G2811" s="12"/>
      <c r="I2811" s="12"/>
      <c r="J2811" s="12"/>
      <c r="K2811" s="12"/>
    </row>
    <row r="2812" spans="6:11" x14ac:dyDescent="0.25">
      <c r="F2812" s="12"/>
      <c r="G2812" s="12"/>
      <c r="I2812" s="12"/>
      <c r="J2812" s="12"/>
      <c r="K2812" s="12"/>
    </row>
    <row r="2813" spans="6:11" x14ac:dyDescent="0.25">
      <c r="F2813" s="12"/>
      <c r="G2813" s="12"/>
      <c r="I2813" s="12"/>
      <c r="J2813" s="12"/>
      <c r="K2813" s="12"/>
    </row>
    <row r="2814" spans="6:11" x14ac:dyDescent="0.25">
      <c r="F2814" s="12"/>
      <c r="G2814" s="12"/>
      <c r="I2814" s="12"/>
      <c r="J2814" s="12"/>
      <c r="K2814" s="12"/>
    </row>
    <row r="2815" spans="6:11" x14ac:dyDescent="0.25">
      <c r="F2815" s="12"/>
      <c r="G2815" s="12"/>
      <c r="I2815" s="12"/>
      <c r="J2815" s="12"/>
      <c r="K2815" s="12"/>
    </row>
    <row r="2816" spans="6:11" x14ac:dyDescent="0.25">
      <c r="F2816" s="12"/>
      <c r="G2816" s="12"/>
      <c r="I2816" s="12"/>
      <c r="J2816" s="12"/>
      <c r="K2816" s="12"/>
    </row>
    <row r="2817" spans="6:11" x14ac:dyDescent="0.25">
      <c r="F2817" s="12"/>
      <c r="G2817" s="12"/>
      <c r="I2817" s="12"/>
      <c r="J2817" s="12"/>
      <c r="K2817" s="12"/>
    </row>
    <row r="2818" spans="6:11" x14ac:dyDescent="0.25">
      <c r="F2818" s="12"/>
      <c r="G2818" s="12"/>
      <c r="I2818" s="12"/>
      <c r="J2818" s="12"/>
      <c r="K2818" s="12"/>
    </row>
    <row r="2819" spans="6:11" x14ac:dyDescent="0.25">
      <c r="F2819" s="12"/>
      <c r="G2819" s="12"/>
      <c r="I2819" s="12"/>
      <c r="J2819" s="12"/>
      <c r="K2819" s="12"/>
    </row>
    <row r="2820" spans="6:11" x14ac:dyDescent="0.25">
      <c r="F2820" s="12"/>
      <c r="G2820" s="12"/>
      <c r="I2820" s="12"/>
      <c r="J2820" s="12"/>
      <c r="K2820" s="12"/>
    </row>
    <row r="2821" spans="6:11" x14ac:dyDescent="0.25">
      <c r="F2821" s="12"/>
      <c r="G2821" s="12"/>
      <c r="I2821" s="12"/>
      <c r="J2821" s="12"/>
      <c r="K2821" s="12"/>
    </row>
    <row r="2822" spans="6:11" x14ac:dyDescent="0.25">
      <c r="F2822" s="12"/>
      <c r="G2822" s="12"/>
      <c r="I2822" s="12"/>
      <c r="J2822" s="12"/>
      <c r="K2822" s="12"/>
    </row>
    <row r="2823" spans="6:11" x14ac:dyDescent="0.25">
      <c r="F2823" s="12"/>
      <c r="G2823" s="12"/>
      <c r="I2823" s="12"/>
      <c r="J2823" s="12"/>
      <c r="K2823" s="12"/>
    </row>
    <row r="2824" spans="6:11" x14ac:dyDescent="0.25">
      <c r="F2824" s="12"/>
      <c r="G2824" s="12"/>
      <c r="I2824" s="12"/>
      <c r="J2824" s="12"/>
      <c r="K2824" s="12"/>
    </row>
    <row r="2825" spans="6:11" x14ac:dyDescent="0.25">
      <c r="F2825" s="12"/>
      <c r="G2825" s="12"/>
      <c r="I2825" s="12"/>
      <c r="J2825" s="12"/>
      <c r="K2825" s="12"/>
    </row>
    <row r="2826" spans="6:11" x14ac:dyDescent="0.25">
      <c r="F2826" s="12"/>
      <c r="G2826" s="12"/>
      <c r="I2826" s="12"/>
      <c r="J2826" s="12"/>
      <c r="K2826" s="12"/>
    </row>
    <row r="2827" spans="6:11" x14ac:dyDescent="0.25">
      <c r="F2827" s="12"/>
      <c r="G2827" s="12"/>
      <c r="I2827" s="12"/>
      <c r="J2827" s="12"/>
      <c r="K2827" s="12"/>
    </row>
    <row r="2828" spans="6:11" x14ac:dyDescent="0.25">
      <c r="F2828" s="12"/>
      <c r="G2828" s="12"/>
      <c r="I2828" s="12"/>
      <c r="J2828" s="12"/>
      <c r="K2828" s="12"/>
    </row>
    <row r="2829" spans="6:11" x14ac:dyDescent="0.25">
      <c r="F2829" s="12"/>
      <c r="G2829" s="12"/>
      <c r="I2829" s="12"/>
      <c r="J2829" s="12"/>
      <c r="K2829" s="12"/>
    </row>
    <row r="2830" spans="6:11" x14ac:dyDescent="0.25">
      <c r="F2830" s="12"/>
      <c r="G2830" s="12"/>
      <c r="I2830" s="12"/>
      <c r="J2830" s="12"/>
      <c r="K2830" s="12"/>
    </row>
    <row r="2831" spans="6:11" x14ac:dyDescent="0.25">
      <c r="F2831" s="12"/>
      <c r="G2831" s="12"/>
      <c r="I2831" s="12"/>
      <c r="J2831" s="12"/>
      <c r="K2831" s="12"/>
    </row>
    <row r="2832" spans="6:11" x14ac:dyDescent="0.25">
      <c r="F2832" s="12"/>
      <c r="G2832" s="12"/>
      <c r="I2832" s="12"/>
      <c r="J2832" s="12"/>
      <c r="K2832" s="12"/>
    </row>
    <row r="2833" spans="6:11" x14ac:dyDescent="0.25">
      <c r="F2833" s="12"/>
      <c r="G2833" s="12"/>
      <c r="I2833" s="12"/>
      <c r="J2833" s="12"/>
      <c r="K2833" s="12"/>
    </row>
    <row r="2834" spans="6:11" x14ac:dyDescent="0.25">
      <c r="F2834" s="12"/>
      <c r="G2834" s="12"/>
      <c r="I2834" s="12"/>
      <c r="J2834" s="12"/>
      <c r="K2834" s="12"/>
    </row>
    <row r="2835" spans="6:11" x14ac:dyDescent="0.25">
      <c r="F2835" s="12"/>
      <c r="G2835" s="12"/>
      <c r="I2835" s="12"/>
      <c r="J2835" s="12"/>
      <c r="K2835" s="12"/>
    </row>
    <row r="2836" spans="6:11" x14ac:dyDescent="0.25">
      <c r="F2836" s="12"/>
      <c r="G2836" s="12"/>
      <c r="I2836" s="12"/>
      <c r="J2836" s="12"/>
      <c r="K2836" s="12"/>
    </row>
    <row r="2837" spans="6:11" x14ac:dyDescent="0.25">
      <c r="F2837" s="12"/>
      <c r="G2837" s="12"/>
      <c r="I2837" s="12"/>
      <c r="J2837" s="12"/>
      <c r="K2837" s="12"/>
    </row>
    <row r="2838" spans="6:11" x14ac:dyDescent="0.25">
      <c r="F2838" s="12"/>
      <c r="G2838" s="12"/>
      <c r="I2838" s="12"/>
      <c r="J2838" s="12"/>
      <c r="K2838" s="12"/>
    </row>
    <row r="2839" spans="6:11" x14ac:dyDescent="0.25">
      <c r="F2839" s="12"/>
      <c r="G2839" s="12"/>
      <c r="I2839" s="12"/>
      <c r="J2839" s="12"/>
      <c r="K2839" s="12"/>
    </row>
    <row r="2840" spans="6:11" x14ac:dyDescent="0.25">
      <c r="F2840" s="12"/>
      <c r="G2840" s="12"/>
      <c r="I2840" s="12"/>
      <c r="J2840" s="12"/>
      <c r="K2840" s="12"/>
    </row>
    <row r="2841" spans="6:11" x14ac:dyDescent="0.25">
      <c r="F2841" s="12"/>
      <c r="G2841" s="12"/>
      <c r="I2841" s="12"/>
      <c r="J2841" s="12"/>
      <c r="K2841" s="12"/>
    </row>
    <row r="2842" spans="6:11" x14ac:dyDescent="0.25">
      <c r="F2842" s="12"/>
      <c r="G2842" s="12"/>
      <c r="I2842" s="12"/>
      <c r="J2842" s="12"/>
      <c r="K2842" s="12"/>
    </row>
    <row r="2843" spans="6:11" x14ac:dyDescent="0.25">
      <c r="F2843" s="12"/>
      <c r="G2843" s="12"/>
      <c r="I2843" s="12"/>
      <c r="J2843" s="12"/>
      <c r="K2843" s="12"/>
    </row>
    <row r="2844" spans="6:11" x14ac:dyDescent="0.25">
      <c r="F2844" s="12"/>
      <c r="G2844" s="12"/>
      <c r="I2844" s="12"/>
      <c r="J2844" s="12"/>
      <c r="K2844" s="12"/>
    </row>
    <row r="2845" spans="6:11" x14ac:dyDescent="0.25">
      <c r="F2845" s="12"/>
      <c r="G2845" s="12"/>
      <c r="I2845" s="12"/>
      <c r="J2845" s="12"/>
      <c r="K2845" s="12"/>
    </row>
    <row r="2846" spans="6:11" x14ac:dyDescent="0.25">
      <c r="F2846" s="12"/>
      <c r="G2846" s="12"/>
      <c r="I2846" s="12"/>
      <c r="J2846" s="12"/>
      <c r="K2846" s="12"/>
    </row>
    <row r="2847" spans="6:11" x14ac:dyDescent="0.25">
      <c r="F2847" s="12"/>
      <c r="G2847" s="12"/>
      <c r="I2847" s="12"/>
      <c r="J2847" s="12"/>
      <c r="K2847" s="12"/>
    </row>
    <row r="2848" spans="6:11" x14ac:dyDescent="0.25">
      <c r="F2848" s="12"/>
      <c r="G2848" s="12"/>
      <c r="I2848" s="12"/>
      <c r="J2848" s="12"/>
      <c r="K2848" s="12"/>
    </row>
    <row r="2849" spans="6:11" x14ac:dyDescent="0.25">
      <c r="F2849" s="12"/>
      <c r="G2849" s="12"/>
      <c r="I2849" s="12"/>
      <c r="J2849" s="12"/>
      <c r="K2849" s="12"/>
    </row>
    <row r="2850" spans="6:11" x14ac:dyDescent="0.25">
      <c r="F2850" s="12"/>
      <c r="G2850" s="12"/>
      <c r="I2850" s="12"/>
      <c r="J2850" s="12"/>
      <c r="K2850" s="12"/>
    </row>
    <row r="2851" spans="6:11" x14ac:dyDescent="0.25">
      <c r="F2851" s="12"/>
      <c r="G2851" s="12"/>
      <c r="I2851" s="12"/>
      <c r="J2851" s="12"/>
      <c r="K2851" s="12"/>
    </row>
    <row r="2852" spans="6:11" x14ac:dyDescent="0.25">
      <c r="F2852" s="12"/>
      <c r="G2852" s="12"/>
      <c r="I2852" s="12"/>
      <c r="J2852" s="12"/>
      <c r="K2852" s="12"/>
    </row>
    <row r="2853" spans="6:11" x14ac:dyDescent="0.25">
      <c r="F2853" s="12"/>
      <c r="G2853" s="12"/>
      <c r="I2853" s="12"/>
      <c r="J2853" s="12"/>
      <c r="K2853" s="12"/>
    </row>
    <row r="2854" spans="6:11" x14ac:dyDescent="0.25">
      <c r="F2854" s="12"/>
      <c r="G2854" s="12"/>
      <c r="I2854" s="12"/>
      <c r="J2854" s="12"/>
      <c r="K2854" s="12"/>
    </row>
    <row r="2855" spans="6:11" x14ac:dyDescent="0.25">
      <c r="F2855" s="12"/>
      <c r="G2855" s="12"/>
      <c r="I2855" s="12"/>
      <c r="J2855" s="12"/>
      <c r="K2855" s="12"/>
    </row>
    <row r="2856" spans="6:11" x14ac:dyDescent="0.25">
      <c r="F2856" s="12"/>
      <c r="G2856" s="12"/>
      <c r="I2856" s="12"/>
      <c r="J2856" s="12"/>
      <c r="K2856" s="12"/>
    </row>
    <row r="2857" spans="6:11" x14ac:dyDescent="0.25">
      <c r="F2857" s="12"/>
      <c r="G2857" s="12"/>
      <c r="I2857" s="12"/>
      <c r="J2857" s="12"/>
      <c r="K2857" s="12"/>
    </row>
    <row r="2858" spans="6:11" x14ac:dyDescent="0.25">
      <c r="F2858" s="12"/>
      <c r="G2858" s="12"/>
      <c r="I2858" s="12"/>
      <c r="J2858" s="12"/>
      <c r="K2858" s="12"/>
    </row>
    <row r="2859" spans="6:11" x14ac:dyDescent="0.25">
      <c r="F2859" s="12"/>
      <c r="G2859" s="12"/>
      <c r="I2859" s="12"/>
      <c r="J2859" s="12"/>
      <c r="K2859" s="12"/>
    </row>
    <row r="2860" spans="6:11" x14ac:dyDescent="0.25">
      <c r="F2860" s="12"/>
      <c r="G2860" s="12"/>
      <c r="I2860" s="12"/>
      <c r="J2860" s="12"/>
      <c r="K2860" s="12"/>
    </row>
    <row r="2861" spans="6:11" x14ac:dyDescent="0.25">
      <c r="F2861" s="12"/>
      <c r="G2861" s="12"/>
      <c r="I2861" s="12"/>
      <c r="J2861" s="12"/>
      <c r="K2861" s="12"/>
    </row>
    <row r="2862" spans="6:11" x14ac:dyDescent="0.25">
      <c r="F2862" s="12"/>
      <c r="G2862" s="12"/>
      <c r="I2862" s="12"/>
      <c r="J2862" s="12"/>
      <c r="K2862" s="12"/>
    </row>
    <row r="2863" spans="6:11" x14ac:dyDescent="0.25">
      <c r="F2863" s="12"/>
      <c r="G2863" s="12"/>
      <c r="I2863" s="12"/>
      <c r="J2863" s="12"/>
      <c r="K2863" s="12"/>
    </row>
    <row r="2864" spans="6:11" x14ac:dyDescent="0.25">
      <c r="F2864" s="12"/>
      <c r="G2864" s="12"/>
      <c r="I2864" s="12"/>
      <c r="J2864" s="12"/>
      <c r="K2864" s="12"/>
    </row>
    <row r="2865" spans="6:11" x14ac:dyDescent="0.25">
      <c r="F2865" s="12"/>
      <c r="G2865" s="12"/>
      <c r="I2865" s="12"/>
      <c r="J2865" s="12"/>
      <c r="K2865" s="12"/>
    </row>
    <row r="2866" spans="6:11" x14ac:dyDescent="0.25">
      <c r="F2866" s="12"/>
      <c r="G2866" s="12"/>
      <c r="I2866" s="12"/>
      <c r="J2866" s="12"/>
      <c r="K2866" s="12"/>
    </row>
    <row r="2867" spans="6:11" x14ac:dyDescent="0.25">
      <c r="F2867" s="12"/>
      <c r="G2867" s="12"/>
      <c r="I2867" s="12"/>
      <c r="J2867" s="12"/>
      <c r="K2867" s="12"/>
    </row>
    <row r="2868" spans="6:11" x14ac:dyDescent="0.25">
      <c r="F2868" s="12"/>
      <c r="G2868" s="12"/>
      <c r="I2868" s="12"/>
      <c r="J2868" s="12"/>
      <c r="K2868" s="12"/>
    </row>
    <row r="2869" spans="6:11" x14ac:dyDescent="0.25">
      <c r="F2869" s="12"/>
      <c r="G2869" s="12"/>
      <c r="I2869" s="12"/>
      <c r="J2869" s="12"/>
      <c r="K2869" s="12"/>
    </row>
    <row r="2870" spans="6:11" x14ac:dyDescent="0.25">
      <c r="F2870" s="12"/>
      <c r="G2870" s="12"/>
      <c r="I2870" s="12"/>
      <c r="J2870" s="12"/>
      <c r="K2870" s="12"/>
    </row>
    <row r="2871" spans="6:11" x14ac:dyDescent="0.25">
      <c r="F2871" s="12"/>
      <c r="G2871" s="12"/>
      <c r="I2871" s="12"/>
      <c r="J2871" s="12"/>
      <c r="K2871" s="12"/>
    </row>
    <row r="2872" spans="6:11" x14ac:dyDescent="0.25">
      <c r="F2872" s="12"/>
      <c r="G2872" s="12"/>
      <c r="I2872" s="12"/>
      <c r="J2872" s="12"/>
      <c r="K2872" s="12"/>
    </row>
    <row r="2873" spans="6:11" x14ac:dyDescent="0.25">
      <c r="F2873" s="12"/>
      <c r="G2873" s="12"/>
      <c r="I2873" s="12"/>
      <c r="J2873" s="12"/>
      <c r="K2873" s="12"/>
    </row>
    <row r="2874" spans="6:11" x14ac:dyDescent="0.25">
      <c r="F2874" s="12"/>
      <c r="G2874" s="12"/>
      <c r="I2874" s="12"/>
      <c r="J2874" s="12"/>
      <c r="K2874" s="12"/>
    </row>
    <row r="2875" spans="6:11" x14ac:dyDescent="0.25">
      <c r="F2875" s="12"/>
      <c r="G2875" s="12"/>
      <c r="I2875" s="12"/>
      <c r="J2875" s="12"/>
      <c r="K2875" s="12"/>
    </row>
    <row r="2876" spans="6:11" x14ac:dyDescent="0.25">
      <c r="F2876" s="12"/>
      <c r="G2876" s="12"/>
      <c r="I2876" s="12"/>
      <c r="J2876" s="12"/>
      <c r="K2876" s="12"/>
    </row>
    <row r="2877" spans="6:11" x14ac:dyDescent="0.25">
      <c r="F2877" s="12"/>
      <c r="G2877" s="12"/>
      <c r="I2877" s="12"/>
      <c r="J2877" s="12"/>
      <c r="K2877" s="12"/>
    </row>
    <row r="2878" spans="6:11" x14ac:dyDescent="0.25">
      <c r="F2878" s="12"/>
      <c r="G2878" s="12"/>
      <c r="I2878" s="12"/>
      <c r="J2878" s="12"/>
      <c r="K2878" s="12"/>
    </row>
    <row r="2879" spans="6:11" x14ac:dyDescent="0.25">
      <c r="F2879" s="12"/>
      <c r="G2879" s="12"/>
      <c r="I2879" s="12"/>
      <c r="J2879" s="12"/>
      <c r="K2879" s="12"/>
    </row>
    <row r="2880" spans="6:11" x14ac:dyDescent="0.25">
      <c r="F2880" s="12"/>
      <c r="G2880" s="12"/>
      <c r="I2880" s="12"/>
      <c r="J2880" s="12"/>
      <c r="K2880" s="12"/>
    </row>
    <row r="2881" spans="6:11" x14ac:dyDescent="0.25">
      <c r="F2881" s="12"/>
      <c r="G2881" s="12"/>
      <c r="I2881" s="12"/>
      <c r="J2881" s="12"/>
      <c r="K2881" s="12"/>
    </row>
    <row r="2882" spans="6:11" x14ac:dyDescent="0.25">
      <c r="F2882" s="12"/>
      <c r="G2882" s="12"/>
      <c r="I2882" s="12"/>
      <c r="J2882" s="12"/>
      <c r="K2882" s="12"/>
    </row>
    <row r="2883" spans="6:11" x14ac:dyDescent="0.25">
      <c r="F2883" s="12"/>
      <c r="G2883" s="12"/>
      <c r="I2883" s="12"/>
      <c r="J2883" s="12"/>
      <c r="K2883" s="12"/>
    </row>
    <row r="2884" spans="6:11" x14ac:dyDescent="0.25">
      <c r="F2884" s="12"/>
      <c r="G2884" s="12"/>
      <c r="I2884" s="12"/>
      <c r="J2884" s="12"/>
      <c r="K2884" s="12"/>
    </row>
    <row r="2885" spans="6:11" x14ac:dyDescent="0.25">
      <c r="F2885" s="12"/>
      <c r="G2885" s="12"/>
      <c r="I2885" s="12"/>
      <c r="J2885" s="12"/>
      <c r="K2885" s="12"/>
    </row>
    <row r="2886" spans="6:11" x14ac:dyDescent="0.25">
      <c r="F2886" s="12"/>
      <c r="G2886" s="12"/>
      <c r="I2886" s="12"/>
      <c r="J2886" s="12"/>
      <c r="K2886" s="12"/>
    </row>
    <row r="2887" spans="6:11" x14ac:dyDescent="0.25">
      <c r="F2887" s="12"/>
      <c r="G2887" s="12"/>
      <c r="I2887" s="12"/>
      <c r="J2887" s="12"/>
      <c r="K2887" s="12"/>
    </row>
    <row r="2888" spans="6:11" x14ac:dyDescent="0.25">
      <c r="F2888" s="12"/>
      <c r="G2888" s="12"/>
      <c r="I2888" s="12"/>
      <c r="J2888" s="12"/>
      <c r="K2888" s="12"/>
    </row>
    <row r="2889" spans="6:11" x14ac:dyDescent="0.25">
      <c r="F2889" s="12"/>
      <c r="G2889" s="12"/>
      <c r="I2889" s="12"/>
      <c r="J2889" s="12"/>
      <c r="K2889" s="12"/>
    </row>
    <row r="2890" spans="6:11" x14ac:dyDescent="0.25">
      <c r="F2890" s="12"/>
      <c r="G2890" s="12"/>
      <c r="I2890" s="12"/>
      <c r="J2890" s="12"/>
      <c r="K2890" s="12"/>
    </row>
    <row r="2891" spans="6:11" x14ac:dyDescent="0.25">
      <c r="F2891" s="12"/>
      <c r="G2891" s="12"/>
      <c r="I2891" s="12"/>
      <c r="J2891" s="12"/>
      <c r="K2891" s="12"/>
    </row>
    <row r="2892" spans="6:11" x14ac:dyDescent="0.25">
      <c r="F2892" s="12"/>
      <c r="G2892" s="12"/>
      <c r="I2892" s="12"/>
      <c r="J2892" s="12"/>
      <c r="K2892" s="12"/>
    </row>
    <row r="2893" spans="6:11" x14ac:dyDescent="0.25">
      <c r="F2893" s="12"/>
      <c r="G2893" s="12"/>
      <c r="I2893" s="12"/>
      <c r="J2893" s="12"/>
      <c r="K2893" s="12"/>
    </row>
    <row r="2894" spans="6:11" x14ac:dyDescent="0.25">
      <c r="F2894" s="12"/>
      <c r="G2894" s="12"/>
      <c r="I2894" s="12"/>
      <c r="J2894" s="12"/>
      <c r="K2894" s="12"/>
    </row>
    <row r="2895" spans="6:11" x14ac:dyDescent="0.25">
      <c r="F2895" s="12"/>
      <c r="G2895" s="12"/>
      <c r="I2895" s="12"/>
      <c r="J2895" s="12"/>
      <c r="K2895" s="12"/>
    </row>
    <row r="2896" spans="6:11" x14ac:dyDescent="0.25">
      <c r="F2896" s="12"/>
      <c r="G2896" s="12"/>
      <c r="I2896" s="12"/>
      <c r="J2896" s="12"/>
      <c r="K2896" s="12"/>
    </row>
    <row r="2897" spans="6:11" x14ac:dyDescent="0.25">
      <c r="F2897" s="12"/>
      <c r="G2897" s="12"/>
      <c r="I2897" s="12"/>
      <c r="J2897" s="12"/>
      <c r="K2897" s="12"/>
    </row>
    <row r="2898" spans="6:11" x14ac:dyDescent="0.25">
      <c r="F2898" s="12"/>
      <c r="G2898" s="12"/>
      <c r="I2898" s="12"/>
      <c r="J2898" s="12"/>
      <c r="K2898" s="12"/>
    </row>
    <row r="2899" spans="6:11" x14ac:dyDescent="0.25">
      <c r="F2899" s="12"/>
      <c r="G2899" s="12"/>
      <c r="I2899" s="12"/>
      <c r="J2899" s="12"/>
      <c r="K2899" s="12"/>
    </row>
    <row r="2900" spans="6:11" x14ac:dyDescent="0.25">
      <c r="F2900" s="12"/>
      <c r="G2900" s="12"/>
      <c r="I2900" s="12"/>
      <c r="J2900" s="12"/>
      <c r="K2900" s="12"/>
    </row>
    <row r="2901" spans="6:11" x14ac:dyDescent="0.25">
      <c r="F2901" s="12"/>
      <c r="G2901" s="12"/>
      <c r="I2901" s="12"/>
      <c r="J2901" s="12"/>
      <c r="K2901" s="12"/>
    </row>
    <row r="2902" spans="6:11" x14ac:dyDescent="0.25">
      <c r="F2902" s="12"/>
      <c r="G2902" s="12"/>
      <c r="I2902" s="12"/>
      <c r="J2902" s="12"/>
      <c r="K2902" s="12"/>
    </row>
    <row r="2903" spans="6:11" x14ac:dyDescent="0.25">
      <c r="F2903" s="12"/>
      <c r="G2903" s="12"/>
      <c r="I2903" s="12"/>
      <c r="J2903" s="12"/>
      <c r="K2903" s="12"/>
    </row>
    <row r="2904" spans="6:11" x14ac:dyDescent="0.25">
      <c r="F2904" s="12"/>
      <c r="G2904" s="12"/>
      <c r="I2904" s="12"/>
      <c r="J2904" s="12"/>
      <c r="K2904" s="12"/>
    </row>
    <row r="2905" spans="6:11" x14ac:dyDescent="0.25">
      <c r="F2905" s="12"/>
      <c r="G2905" s="12"/>
      <c r="I2905" s="12"/>
      <c r="J2905" s="12"/>
      <c r="K2905" s="12"/>
    </row>
    <row r="2906" spans="6:11" x14ac:dyDescent="0.25">
      <c r="F2906" s="12"/>
      <c r="G2906" s="12"/>
      <c r="I2906" s="12"/>
      <c r="J2906" s="12"/>
      <c r="K2906" s="12"/>
    </row>
    <row r="2907" spans="6:11" x14ac:dyDescent="0.25">
      <c r="F2907" s="12"/>
      <c r="G2907" s="12"/>
      <c r="I2907" s="12"/>
      <c r="J2907" s="12"/>
      <c r="K2907" s="12"/>
    </row>
    <row r="2908" spans="6:11" x14ac:dyDescent="0.25">
      <c r="F2908" s="12"/>
      <c r="G2908" s="12"/>
      <c r="I2908" s="12"/>
      <c r="J2908" s="12"/>
      <c r="K2908" s="12"/>
    </row>
    <row r="2909" spans="6:11" x14ac:dyDescent="0.25">
      <c r="F2909" s="12"/>
      <c r="G2909" s="12"/>
      <c r="I2909" s="12"/>
      <c r="J2909" s="12"/>
      <c r="K2909" s="12"/>
    </row>
    <row r="2910" spans="6:11" x14ac:dyDescent="0.25">
      <c r="F2910" s="12"/>
      <c r="G2910" s="12"/>
      <c r="I2910" s="12"/>
      <c r="J2910" s="12"/>
      <c r="K2910" s="12"/>
    </row>
    <row r="2911" spans="6:11" x14ac:dyDescent="0.25">
      <c r="F2911" s="12"/>
      <c r="G2911" s="12"/>
      <c r="I2911" s="12"/>
      <c r="J2911" s="12"/>
      <c r="K2911" s="12"/>
    </row>
    <row r="2912" spans="6:11" x14ac:dyDescent="0.25">
      <c r="F2912" s="12"/>
      <c r="G2912" s="12"/>
      <c r="I2912" s="12"/>
      <c r="J2912" s="12"/>
      <c r="K2912" s="12"/>
    </row>
    <row r="2913" spans="6:11" x14ac:dyDescent="0.25">
      <c r="F2913" s="12"/>
      <c r="G2913" s="12"/>
      <c r="I2913" s="12"/>
      <c r="J2913" s="12"/>
      <c r="K2913" s="12"/>
    </row>
    <row r="2914" spans="6:11" x14ac:dyDescent="0.25">
      <c r="F2914" s="12"/>
      <c r="G2914" s="12"/>
      <c r="I2914" s="12"/>
      <c r="J2914" s="12"/>
      <c r="K2914" s="12"/>
    </row>
    <row r="2915" spans="6:11" x14ac:dyDescent="0.25">
      <c r="F2915" s="12"/>
      <c r="G2915" s="12"/>
      <c r="I2915" s="12"/>
      <c r="J2915" s="12"/>
      <c r="K2915" s="12"/>
    </row>
    <row r="2916" spans="6:11" x14ac:dyDescent="0.25">
      <c r="F2916" s="12"/>
      <c r="G2916" s="12"/>
      <c r="I2916" s="12"/>
      <c r="J2916" s="12"/>
      <c r="K2916" s="12"/>
    </row>
    <row r="2917" spans="6:11" x14ac:dyDescent="0.25">
      <c r="F2917" s="12"/>
      <c r="G2917" s="12"/>
      <c r="I2917" s="12"/>
      <c r="J2917" s="12"/>
      <c r="K2917" s="12"/>
    </row>
    <row r="2918" spans="6:11" x14ac:dyDescent="0.25">
      <c r="F2918" s="12"/>
      <c r="G2918" s="12"/>
      <c r="I2918" s="12"/>
      <c r="J2918" s="12"/>
      <c r="K2918" s="12"/>
    </row>
    <row r="2919" spans="6:11" x14ac:dyDescent="0.25">
      <c r="F2919" s="12"/>
      <c r="G2919" s="12"/>
      <c r="I2919" s="12"/>
      <c r="J2919" s="12"/>
      <c r="K2919" s="12"/>
    </row>
    <row r="2920" spans="6:11" x14ac:dyDescent="0.25">
      <c r="F2920" s="12"/>
      <c r="G2920" s="12"/>
      <c r="I2920" s="12"/>
      <c r="J2920" s="12"/>
      <c r="K2920" s="12"/>
    </row>
    <row r="2921" spans="6:11" x14ac:dyDescent="0.25">
      <c r="F2921" s="12"/>
      <c r="G2921" s="12"/>
      <c r="I2921" s="12"/>
      <c r="J2921" s="12"/>
      <c r="K2921" s="12"/>
    </row>
    <row r="2922" spans="6:11" x14ac:dyDescent="0.25">
      <c r="F2922" s="12"/>
      <c r="G2922" s="12"/>
      <c r="I2922" s="12"/>
      <c r="J2922" s="12"/>
      <c r="K2922" s="12"/>
    </row>
    <row r="2923" spans="6:11" x14ac:dyDescent="0.25">
      <c r="F2923" s="12"/>
      <c r="G2923" s="12"/>
      <c r="I2923" s="12"/>
      <c r="J2923" s="12"/>
      <c r="K2923" s="12"/>
    </row>
    <row r="2924" spans="6:11" x14ac:dyDescent="0.25">
      <c r="F2924" s="12"/>
      <c r="G2924" s="12"/>
      <c r="I2924" s="12"/>
      <c r="J2924" s="12"/>
      <c r="K2924" s="12"/>
    </row>
    <row r="2925" spans="6:11" x14ac:dyDescent="0.25">
      <c r="F2925" s="12"/>
      <c r="G2925" s="12"/>
      <c r="I2925" s="12"/>
      <c r="J2925" s="12"/>
      <c r="K2925" s="12"/>
    </row>
    <row r="2926" spans="6:11" x14ac:dyDescent="0.25">
      <c r="F2926" s="12"/>
      <c r="G2926" s="12"/>
      <c r="I2926" s="12"/>
      <c r="J2926" s="12"/>
      <c r="K2926" s="12"/>
    </row>
    <row r="2927" spans="6:11" x14ac:dyDescent="0.25">
      <c r="F2927" s="12"/>
      <c r="G2927" s="12"/>
      <c r="I2927" s="12"/>
      <c r="J2927" s="12"/>
      <c r="K2927" s="12"/>
    </row>
    <row r="2928" spans="6:11" x14ac:dyDescent="0.25">
      <c r="F2928" s="12"/>
      <c r="G2928" s="12"/>
      <c r="I2928" s="12"/>
      <c r="J2928" s="12"/>
      <c r="K2928" s="12"/>
    </row>
    <row r="2929" spans="6:11" x14ac:dyDescent="0.25">
      <c r="F2929" s="12"/>
      <c r="G2929" s="12"/>
      <c r="I2929" s="12"/>
      <c r="J2929" s="12"/>
      <c r="K2929" s="12"/>
    </row>
    <row r="2930" spans="6:11" x14ac:dyDescent="0.25">
      <c r="F2930" s="12"/>
      <c r="G2930" s="12"/>
      <c r="I2930" s="12"/>
      <c r="J2930" s="12"/>
      <c r="K2930" s="12"/>
    </row>
    <row r="2931" spans="6:11" x14ac:dyDescent="0.25">
      <c r="F2931" s="12"/>
      <c r="G2931" s="12"/>
      <c r="I2931" s="12"/>
      <c r="J2931" s="12"/>
      <c r="K2931" s="12"/>
    </row>
    <row r="2932" spans="6:11" x14ac:dyDescent="0.25">
      <c r="F2932" s="12"/>
      <c r="G2932" s="12"/>
      <c r="I2932" s="12"/>
      <c r="J2932" s="12"/>
      <c r="K2932" s="12"/>
    </row>
    <row r="2933" spans="6:11" x14ac:dyDescent="0.25">
      <c r="F2933" s="12"/>
      <c r="G2933" s="12"/>
      <c r="I2933" s="12"/>
      <c r="J2933" s="12"/>
      <c r="K2933" s="12"/>
    </row>
    <row r="2934" spans="6:11" x14ac:dyDescent="0.25">
      <c r="F2934" s="12"/>
      <c r="G2934" s="12"/>
      <c r="I2934" s="12"/>
      <c r="J2934" s="12"/>
      <c r="K2934" s="12"/>
    </row>
    <row r="2935" spans="6:11" x14ac:dyDescent="0.25">
      <c r="F2935" s="12"/>
      <c r="G2935" s="12"/>
      <c r="I2935" s="12"/>
      <c r="J2935" s="12"/>
      <c r="K2935" s="12"/>
    </row>
    <row r="2936" spans="6:11" x14ac:dyDescent="0.25">
      <c r="F2936" s="12"/>
      <c r="G2936" s="12"/>
      <c r="I2936" s="12"/>
      <c r="J2936" s="12"/>
      <c r="K2936" s="12"/>
    </row>
    <row r="2937" spans="6:11" x14ac:dyDescent="0.25">
      <c r="F2937" s="12"/>
      <c r="G2937" s="12"/>
      <c r="I2937" s="12"/>
      <c r="J2937" s="12"/>
      <c r="K2937" s="12"/>
    </row>
    <row r="2938" spans="6:11" x14ac:dyDescent="0.25">
      <c r="F2938" s="12"/>
      <c r="G2938" s="12"/>
      <c r="I2938" s="12"/>
      <c r="J2938" s="12"/>
      <c r="K2938" s="12"/>
    </row>
    <row r="2939" spans="6:11" x14ac:dyDescent="0.25">
      <c r="F2939" s="12"/>
      <c r="G2939" s="12"/>
      <c r="I2939" s="12"/>
      <c r="J2939" s="12"/>
      <c r="K2939" s="12"/>
    </row>
    <row r="2940" spans="6:11" x14ac:dyDescent="0.25">
      <c r="F2940" s="12"/>
      <c r="G2940" s="12"/>
      <c r="I2940" s="12"/>
      <c r="J2940" s="12"/>
      <c r="K2940" s="12"/>
    </row>
    <row r="2941" spans="6:11" x14ac:dyDescent="0.25">
      <c r="F2941" s="12"/>
      <c r="G2941" s="12"/>
      <c r="I2941" s="12"/>
      <c r="J2941" s="12"/>
      <c r="K2941" s="12"/>
    </row>
    <row r="2942" spans="6:11" x14ac:dyDescent="0.25">
      <c r="F2942" s="12"/>
      <c r="G2942" s="12"/>
      <c r="I2942" s="12"/>
      <c r="J2942" s="12"/>
      <c r="K2942" s="12"/>
    </row>
    <row r="2943" spans="6:11" x14ac:dyDescent="0.25">
      <c r="F2943" s="12"/>
      <c r="G2943" s="12"/>
      <c r="I2943" s="12"/>
      <c r="J2943" s="12"/>
      <c r="K2943" s="12"/>
    </row>
    <row r="2944" spans="6:11" x14ac:dyDescent="0.25">
      <c r="F2944" s="12"/>
      <c r="G2944" s="12"/>
      <c r="I2944" s="12"/>
      <c r="J2944" s="12"/>
      <c r="K2944" s="12"/>
    </row>
    <row r="2945" spans="6:11" x14ac:dyDescent="0.25">
      <c r="F2945" s="12"/>
      <c r="G2945" s="12"/>
      <c r="I2945" s="12"/>
      <c r="J2945" s="12"/>
      <c r="K2945" s="12"/>
    </row>
    <row r="2946" spans="6:11" x14ac:dyDescent="0.25">
      <c r="F2946" s="12"/>
      <c r="G2946" s="12"/>
      <c r="I2946" s="12"/>
      <c r="J2946" s="12"/>
      <c r="K2946" s="12"/>
    </row>
    <row r="2947" spans="6:11" x14ac:dyDescent="0.25">
      <c r="F2947" s="12"/>
      <c r="G2947" s="12"/>
      <c r="I2947" s="12"/>
      <c r="J2947" s="12"/>
      <c r="K2947" s="12"/>
    </row>
    <row r="2948" spans="6:11" x14ac:dyDescent="0.25">
      <c r="F2948" s="12"/>
      <c r="G2948" s="12"/>
      <c r="I2948" s="12"/>
      <c r="J2948" s="12"/>
      <c r="K2948" s="12"/>
    </row>
    <row r="2949" spans="6:11" x14ac:dyDescent="0.25">
      <c r="F2949" s="12"/>
      <c r="G2949" s="12"/>
      <c r="I2949" s="12"/>
      <c r="J2949" s="12"/>
      <c r="K2949" s="12"/>
    </row>
    <row r="2950" spans="6:11" x14ac:dyDescent="0.25">
      <c r="F2950" s="12"/>
      <c r="G2950" s="12"/>
      <c r="I2950" s="12"/>
      <c r="J2950" s="12"/>
      <c r="K2950" s="12"/>
    </row>
    <row r="2951" spans="6:11" x14ac:dyDescent="0.25">
      <c r="F2951" s="12"/>
      <c r="G2951" s="12"/>
      <c r="I2951" s="12"/>
      <c r="J2951" s="12"/>
      <c r="K2951" s="12"/>
    </row>
    <row r="2952" spans="6:11" x14ac:dyDescent="0.25">
      <c r="F2952" s="12"/>
      <c r="G2952" s="12"/>
      <c r="I2952" s="12"/>
      <c r="J2952" s="12"/>
      <c r="K2952" s="12"/>
    </row>
    <row r="2953" spans="6:11" x14ac:dyDescent="0.25">
      <c r="F2953" s="12"/>
      <c r="G2953" s="12"/>
      <c r="I2953" s="12"/>
      <c r="J2953" s="12"/>
      <c r="K2953" s="12"/>
    </row>
    <row r="2954" spans="6:11" x14ac:dyDescent="0.25">
      <c r="F2954" s="12"/>
      <c r="G2954" s="12"/>
      <c r="I2954" s="12"/>
      <c r="J2954" s="12"/>
      <c r="K2954" s="12"/>
    </row>
    <row r="2955" spans="6:11" x14ac:dyDescent="0.25">
      <c r="F2955" s="12"/>
      <c r="G2955" s="12"/>
      <c r="I2955" s="12"/>
      <c r="J2955" s="12"/>
      <c r="K2955" s="12"/>
    </row>
    <row r="2956" spans="6:11" x14ac:dyDescent="0.25">
      <c r="F2956" s="12"/>
      <c r="G2956" s="12"/>
      <c r="I2956" s="12"/>
      <c r="J2956" s="12"/>
      <c r="K2956" s="12"/>
    </row>
    <row r="2957" spans="6:11" x14ac:dyDescent="0.25">
      <c r="F2957" s="12"/>
      <c r="G2957" s="12"/>
      <c r="I2957" s="12"/>
      <c r="J2957" s="12"/>
      <c r="K2957" s="12"/>
    </row>
    <row r="2958" spans="6:11" x14ac:dyDescent="0.25">
      <c r="F2958" s="12"/>
      <c r="G2958" s="12"/>
      <c r="I2958" s="12"/>
      <c r="J2958" s="12"/>
      <c r="K2958" s="12"/>
    </row>
    <row r="2959" spans="6:11" x14ac:dyDescent="0.25">
      <c r="F2959" s="12"/>
      <c r="G2959" s="12"/>
      <c r="I2959" s="12"/>
      <c r="J2959" s="12"/>
      <c r="K2959" s="12"/>
    </row>
    <row r="2960" spans="6:11" x14ac:dyDescent="0.25">
      <c r="F2960" s="12"/>
      <c r="G2960" s="12"/>
      <c r="I2960" s="12"/>
      <c r="J2960" s="12"/>
      <c r="K2960" s="12"/>
    </row>
    <row r="2961" spans="6:11" x14ac:dyDescent="0.25">
      <c r="F2961" s="12"/>
      <c r="G2961" s="12"/>
      <c r="I2961" s="12"/>
      <c r="J2961" s="12"/>
      <c r="K2961" s="12"/>
    </row>
    <row r="2962" spans="6:11" x14ac:dyDescent="0.25">
      <c r="F2962" s="12"/>
      <c r="G2962" s="12"/>
      <c r="I2962" s="12"/>
      <c r="J2962" s="12"/>
      <c r="K2962" s="12"/>
    </row>
    <row r="2963" spans="6:11" x14ac:dyDescent="0.25">
      <c r="F2963" s="12"/>
      <c r="G2963" s="12"/>
      <c r="I2963" s="12"/>
      <c r="J2963" s="12"/>
      <c r="K2963" s="12"/>
    </row>
    <row r="2964" spans="6:11" x14ac:dyDescent="0.25">
      <c r="F2964" s="12"/>
      <c r="G2964" s="12"/>
      <c r="I2964" s="12"/>
      <c r="J2964" s="12"/>
      <c r="K2964" s="12"/>
    </row>
    <row r="2965" spans="6:11" x14ac:dyDescent="0.25">
      <c r="F2965" s="12"/>
      <c r="G2965" s="12"/>
      <c r="I2965" s="12"/>
      <c r="J2965" s="12"/>
      <c r="K2965" s="12"/>
    </row>
    <row r="2966" spans="6:11" x14ac:dyDescent="0.25">
      <c r="F2966" s="12"/>
      <c r="G2966" s="12"/>
      <c r="I2966" s="12"/>
      <c r="J2966" s="12"/>
      <c r="K2966" s="12"/>
    </row>
    <row r="2967" spans="6:11" x14ac:dyDescent="0.25">
      <c r="F2967" s="12"/>
      <c r="G2967" s="12"/>
      <c r="I2967" s="12"/>
      <c r="J2967" s="12"/>
      <c r="K2967" s="12"/>
    </row>
    <row r="2968" spans="6:11" x14ac:dyDescent="0.25">
      <c r="F2968" s="12"/>
      <c r="G2968" s="12"/>
      <c r="I2968" s="12"/>
      <c r="J2968" s="12"/>
      <c r="K2968" s="12"/>
    </row>
    <row r="2969" spans="6:11" x14ac:dyDescent="0.25">
      <c r="F2969" s="12"/>
      <c r="G2969" s="12"/>
      <c r="I2969" s="12"/>
      <c r="J2969" s="12"/>
      <c r="K2969" s="12"/>
    </row>
    <row r="2970" spans="6:11" x14ac:dyDescent="0.25">
      <c r="F2970" s="12"/>
      <c r="G2970" s="12"/>
      <c r="I2970" s="12"/>
      <c r="J2970" s="12"/>
      <c r="K2970" s="12"/>
    </row>
    <row r="2971" spans="6:11" x14ac:dyDescent="0.25">
      <c r="F2971" s="12"/>
      <c r="G2971" s="12"/>
      <c r="I2971" s="12"/>
      <c r="J2971" s="12"/>
      <c r="K2971" s="12"/>
    </row>
    <row r="2972" spans="6:11" x14ac:dyDescent="0.25">
      <c r="F2972" s="12"/>
      <c r="G2972" s="12"/>
      <c r="I2972" s="12"/>
      <c r="J2972" s="12"/>
      <c r="K2972" s="12"/>
    </row>
    <row r="2973" spans="6:11" x14ac:dyDescent="0.25">
      <c r="F2973" s="12"/>
      <c r="G2973" s="12"/>
      <c r="I2973" s="12"/>
      <c r="J2973" s="12"/>
      <c r="K2973" s="12"/>
    </row>
    <row r="2974" spans="6:11" x14ac:dyDescent="0.25">
      <c r="F2974" s="12"/>
      <c r="G2974" s="12"/>
      <c r="I2974" s="12"/>
      <c r="J2974" s="12"/>
      <c r="K2974" s="12"/>
    </row>
    <row r="2975" spans="6:11" x14ac:dyDescent="0.25">
      <c r="F2975" s="12"/>
      <c r="G2975" s="12"/>
      <c r="I2975" s="12"/>
      <c r="J2975" s="12"/>
      <c r="K2975" s="12"/>
    </row>
    <row r="2976" spans="6:11" x14ac:dyDescent="0.25">
      <c r="F2976" s="12"/>
      <c r="G2976" s="12"/>
      <c r="I2976" s="12"/>
      <c r="J2976" s="12"/>
      <c r="K2976" s="12"/>
    </row>
    <row r="2977" spans="6:11" x14ac:dyDescent="0.25">
      <c r="F2977" s="12"/>
      <c r="G2977" s="12"/>
      <c r="I2977" s="12"/>
      <c r="J2977" s="12"/>
      <c r="K2977" s="12"/>
    </row>
    <row r="2978" spans="6:11" x14ac:dyDescent="0.25">
      <c r="F2978" s="12"/>
      <c r="G2978" s="12"/>
      <c r="I2978" s="12"/>
      <c r="J2978" s="12"/>
      <c r="K2978" s="12"/>
    </row>
    <row r="2979" spans="6:11" x14ac:dyDescent="0.25">
      <c r="F2979" s="12"/>
      <c r="G2979" s="12"/>
      <c r="I2979" s="12"/>
      <c r="J2979" s="12"/>
      <c r="K2979" s="12"/>
    </row>
    <row r="2980" spans="6:11" x14ac:dyDescent="0.25">
      <c r="F2980" s="12"/>
      <c r="G2980" s="12"/>
      <c r="I2980" s="12"/>
      <c r="J2980" s="12"/>
      <c r="K2980" s="12"/>
    </row>
    <row r="2981" spans="6:11" x14ac:dyDescent="0.25">
      <c r="F2981" s="12"/>
      <c r="G2981" s="12"/>
      <c r="I2981" s="12"/>
      <c r="J2981" s="12"/>
      <c r="K2981" s="12"/>
    </row>
    <row r="2982" spans="6:11" x14ac:dyDescent="0.25">
      <c r="F2982" s="12"/>
      <c r="G2982" s="12"/>
      <c r="I2982" s="12"/>
      <c r="J2982" s="12"/>
      <c r="K2982" s="12"/>
    </row>
    <row r="2983" spans="6:11" x14ac:dyDescent="0.25">
      <c r="F2983" s="12"/>
      <c r="G2983" s="12"/>
      <c r="I2983" s="12"/>
      <c r="J2983" s="12"/>
      <c r="K2983" s="12"/>
    </row>
    <row r="2984" spans="6:11" x14ac:dyDescent="0.25">
      <c r="F2984" s="12"/>
      <c r="G2984" s="12"/>
      <c r="I2984" s="12"/>
      <c r="J2984" s="12"/>
      <c r="K2984" s="12"/>
    </row>
    <row r="2985" spans="6:11" x14ac:dyDescent="0.25">
      <c r="F2985" s="12"/>
      <c r="G2985" s="12"/>
      <c r="I2985" s="12"/>
      <c r="J2985" s="12"/>
      <c r="K2985" s="12"/>
    </row>
    <row r="2986" spans="6:11" x14ac:dyDescent="0.25">
      <c r="F2986" s="12"/>
      <c r="G2986" s="12"/>
      <c r="I2986" s="12"/>
      <c r="J2986" s="12"/>
      <c r="K2986" s="12"/>
    </row>
    <row r="2987" spans="6:11" x14ac:dyDescent="0.25">
      <c r="F2987" s="12"/>
      <c r="G2987" s="12"/>
      <c r="I2987" s="12"/>
      <c r="J2987" s="12"/>
      <c r="K2987" s="12"/>
    </row>
    <row r="2988" spans="6:11" x14ac:dyDescent="0.25">
      <c r="F2988" s="12"/>
      <c r="G2988" s="12"/>
      <c r="I2988" s="12"/>
      <c r="J2988" s="12"/>
      <c r="K2988" s="12"/>
    </row>
    <row r="2989" spans="6:11" x14ac:dyDescent="0.25">
      <c r="F2989" s="12"/>
      <c r="G2989" s="12"/>
      <c r="I2989" s="12"/>
      <c r="J2989" s="12"/>
      <c r="K2989" s="12"/>
    </row>
    <row r="2990" spans="6:11" x14ac:dyDescent="0.25">
      <c r="F2990" s="12"/>
      <c r="G2990" s="12"/>
      <c r="I2990" s="12"/>
      <c r="J2990" s="12"/>
      <c r="K2990" s="12"/>
    </row>
    <row r="2991" spans="6:11" x14ac:dyDescent="0.25">
      <c r="F2991" s="12"/>
      <c r="G2991" s="12"/>
      <c r="I2991" s="12"/>
      <c r="J2991" s="12"/>
      <c r="K2991" s="12"/>
    </row>
    <row r="2992" spans="6:11" x14ac:dyDescent="0.25">
      <c r="F2992" s="12"/>
      <c r="G2992" s="12"/>
      <c r="I2992" s="12"/>
      <c r="J2992" s="12"/>
      <c r="K2992" s="12"/>
    </row>
    <row r="2993" spans="6:11" x14ac:dyDescent="0.25">
      <c r="F2993" s="12"/>
      <c r="G2993" s="12"/>
      <c r="I2993" s="12"/>
      <c r="J2993" s="12"/>
      <c r="K2993" s="12"/>
    </row>
    <row r="2994" spans="6:11" x14ac:dyDescent="0.25">
      <c r="F2994" s="12"/>
      <c r="G2994" s="12"/>
      <c r="I2994" s="12"/>
      <c r="J2994" s="12"/>
      <c r="K2994" s="12"/>
    </row>
    <row r="2995" spans="6:11" x14ac:dyDescent="0.25">
      <c r="F2995" s="12"/>
      <c r="G2995" s="12"/>
      <c r="I2995" s="12"/>
      <c r="J2995" s="12"/>
      <c r="K2995" s="12"/>
    </row>
    <row r="2996" spans="6:11" x14ac:dyDescent="0.25">
      <c r="F2996" s="12"/>
      <c r="G2996" s="12"/>
      <c r="I2996" s="12"/>
      <c r="J2996" s="12"/>
      <c r="K2996" s="12"/>
    </row>
    <row r="2997" spans="6:11" x14ac:dyDescent="0.25">
      <c r="F2997" s="12"/>
      <c r="G2997" s="12"/>
      <c r="I2997" s="12"/>
      <c r="J2997" s="12"/>
      <c r="K2997" s="12"/>
    </row>
    <row r="2998" spans="6:11" x14ac:dyDescent="0.25">
      <c r="F2998" s="12"/>
      <c r="G2998" s="12"/>
      <c r="I2998" s="12"/>
      <c r="J2998" s="12"/>
      <c r="K2998" s="12"/>
    </row>
    <row r="2999" spans="6:11" x14ac:dyDescent="0.25">
      <c r="F2999" s="12"/>
      <c r="G2999" s="12"/>
      <c r="I2999" s="12"/>
      <c r="J2999" s="12"/>
      <c r="K2999" s="12"/>
    </row>
    <row r="3000" spans="6:11" x14ac:dyDescent="0.25">
      <c r="F3000" s="12"/>
      <c r="G3000" s="12"/>
      <c r="I3000" s="12"/>
      <c r="J3000" s="12"/>
      <c r="K3000" s="12"/>
    </row>
    <row r="3001" spans="6:11" x14ac:dyDescent="0.25">
      <c r="F3001" s="12"/>
      <c r="G3001" s="12"/>
      <c r="I3001" s="12"/>
      <c r="J3001" s="12"/>
      <c r="K3001" s="12"/>
    </row>
    <row r="3002" spans="6:11" x14ac:dyDescent="0.25">
      <c r="F3002" s="12"/>
      <c r="G3002" s="12"/>
      <c r="I3002" s="12"/>
      <c r="J3002" s="12"/>
      <c r="K3002" s="12"/>
    </row>
    <row r="3003" spans="6:11" x14ac:dyDescent="0.25">
      <c r="F3003" s="12"/>
      <c r="G3003" s="12"/>
      <c r="I3003" s="12"/>
      <c r="J3003" s="12"/>
      <c r="K3003" s="12"/>
    </row>
    <row r="3004" spans="6:11" x14ac:dyDescent="0.25">
      <c r="F3004" s="12"/>
      <c r="G3004" s="12"/>
      <c r="I3004" s="12"/>
      <c r="J3004" s="12"/>
      <c r="K3004" s="12"/>
    </row>
    <row r="3005" spans="6:11" x14ac:dyDescent="0.25">
      <c r="F3005" s="12"/>
      <c r="G3005" s="12"/>
      <c r="I3005" s="12"/>
      <c r="J3005" s="12"/>
      <c r="K3005" s="12"/>
    </row>
    <row r="3006" spans="6:11" x14ac:dyDescent="0.25">
      <c r="F3006" s="12"/>
      <c r="G3006" s="12"/>
      <c r="I3006" s="12"/>
      <c r="J3006" s="12"/>
      <c r="K3006" s="12"/>
    </row>
    <row r="3007" spans="6:11" x14ac:dyDescent="0.25">
      <c r="F3007" s="12"/>
      <c r="G3007" s="12"/>
      <c r="I3007" s="12"/>
      <c r="J3007" s="12"/>
      <c r="K3007" s="12"/>
    </row>
    <row r="3008" spans="6:11" x14ac:dyDescent="0.25">
      <c r="F3008" s="12"/>
      <c r="G3008" s="12"/>
      <c r="I3008" s="12"/>
      <c r="J3008" s="12"/>
      <c r="K3008" s="12"/>
    </row>
    <row r="3009" spans="6:11" x14ac:dyDescent="0.25">
      <c r="F3009" s="12"/>
      <c r="G3009" s="12"/>
      <c r="I3009" s="12"/>
      <c r="J3009" s="12"/>
      <c r="K3009" s="12"/>
    </row>
    <row r="3010" spans="6:11" x14ac:dyDescent="0.25">
      <c r="F3010" s="12"/>
      <c r="G3010" s="12"/>
      <c r="I3010" s="12"/>
      <c r="J3010" s="12"/>
      <c r="K3010" s="12"/>
    </row>
    <row r="3011" spans="6:11" x14ac:dyDescent="0.25">
      <c r="F3011" s="12"/>
      <c r="G3011" s="12"/>
      <c r="I3011" s="12"/>
      <c r="J3011" s="12"/>
      <c r="K3011" s="12"/>
    </row>
    <row r="3012" spans="6:11" x14ac:dyDescent="0.25">
      <c r="F3012" s="12"/>
      <c r="G3012" s="12"/>
      <c r="I3012" s="12"/>
      <c r="J3012" s="12"/>
      <c r="K3012" s="12"/>
    </row>
    <row r="3013" spans="6:11" x14ac:dyDescent="0.25">
      <c r="F3013" s="12"/>
      <c r="G3013" s="12"/>
      <c r="I3013" s="12"/>
      <c r="J3013" s="12"/>
      <c r="K3013" s="12"/>
    </row>
    <row r="3014" spans="6:11" x14ac:dyDescent="0.25">
      <c r="F3014" s="12"/>
      <c r="G3014" s="12"/>
      <c r="I3014" s="12"/>
      <c r="J3014" s="12"/>
      <c r="K3014" s="12"/>
    </row>
    <row r="3015" spans="6:11" x14ac:dyDescent="0.25">
      <c r="F3015" s="12"/>
      <c r="G3015" s="12"/>
      <c r="I3015" s="12"/>
      <c r="J3015" s="12"/>
      <c r="K3015" s="12"/>
    </row>
    <row r="3016" spans="6:11" x14ac:dyDescent="0.25">
      <c r="F3016" s="12"/>
      <c r="G3016" s="12"/>
      <c r="I3016" s="12"/>
      <c r="J3016" s="12"/>
      <c r="K3016" s="12"/>
    </row>
    <row r="3017" spans="6:11" x14ac:dyDescent="0.25">
      <c r="F3017" s="12"/>
      <c r="G3017" s="12"/>
      <c r="I3017" s="12"/>
      <c r="J3017" s="12"/>
      <c r="K3017" s="12"/>
    </row>
    <row r="3018" spans="6:11" x14ac:dyDescent="0.25">
      <c r="F3018" s="12"/>
      <c r="G3018" s="12"/>
      <c r="I3018" s="12"/>
      <c r="J3018" s="12"/>
      <c r="K3018" s="12"/>
    </row>
    <row r="3019" spans="6:11" x14ac:dyDescent="0.25">
      <c r="F3019" s="12"/>
      <c r="G3019" s="12"/>
      <c r="I3019" s="12"/>
      <c r="J3019" s="12"/>
      <c r="K3019" s="12"/>
    </row>
    <row r="3020" spans="6:11" x14ac:dyDescent="0.25">
      <c r="F3020" s="12"/>
      <c r="G3020" s="12"/>
      <c r="I3020" s="12"/>
      <c r="J3020" s="12"/>
      <c r="K3020" s="12"/>
    </row>
    <row r="3021" spans="6:11" x14ac:dyDescent="0.25">
      <c r="F3021" s="12"/>
      <c r="G3021" s="12"/>
      <c r="I3021" s="12"/>
      <c r="J3021" s="12"/>
      <c r="K3021" s="12"/>
    </row>
    <row r="3022" spans="6:11" x14ac:dyDescent="0.25">
      <c r="F3022" s="12"/>
      <c r="G3022" s="12"/>
      <c r="I3022" s="12"/>
      <c r="J3022" s="12"/>
      <c r="K3022" s="12"/>
    </row>
    <row r="3023" spans="6:11" x14ac:dyDescent="0.25">
      <c r="F3023" s="12"/>
      <c r="G3023" s="12"/>
      <c r="I3023" s="12"/>
      <c r="J3023" s="12"/>
      <c r="K3023" s="12"/>
    </row>
    <row r="3024" spans="6:11" x14ac:dyDescent="0.25">
      <c r="F3024" s="12"/>
      <c r="G3024" s="12"/>
      <c r="I3024" s="12"/>
      <c r="J3024" s="12"/>
      <c r="K3024" s="12"/>
    </row>
    <row r="3025" spans="6:11" x14ac:dyDescent="0.25">
      <c r="F3025" s="12"/>
      <c r="G3025" s="12"/>
      <c r="I3025" s="12"/>
      <c r="J3025" s="12"/>
      <c r="K3025" s="12"/>
    </row>
    <row r="3026" spans="6:11" x14ac:dyDescent="0.25">
      <c r="F3026" s="12"/>
      <c r="G3026" s="12"/>
      <c r="I3026" s="12"/>
      <c r="J3026" s="12"/>
      <c r="K3026" s="12"/>
    </row>
    <row r="3027" spans="6:11" x14ac:dyDescent="0.25">
      <c r="F3027" s="12"/>
      <c r="G3027" s="12"/>
      <c r="I3027" s="12"/>
      <c r="J3027" s="12"/>
      <c r="K3027" s="12"/>
    </row>
    <row r="3028" spans="6:11" x14ac:dyDescent="0.25">
      <c r="F3028" s="12"/>
      <c r="G3028" s="12"/>
      <c r="I3028" s="12"/>
      <c r="J3028" s="12"/>
      <c r="K3028" s="12"/>
    </row>
    <row r="3029" spans="6:11" x14ac:dyDescent="0.25">
      <c r="F3029" s="12"/>
      <c r="G3029" s="12"/>
      <c r="I3029" s="12"/>
      <c r="J3029" s="12"/>
      <c r="K3029" s="12"/>
    </row>
    <row r="3030" spans="6:11" x14ac:dyDescent="0.25">
      <c r="F3030" s="12"/>
      <c r="G3030" s="12"/>
      <c r="I3030" s="12"/>
      <c r="J3030" s="12"/>
      <c r="K3030" s="12"/>
    </row>
    <row r="3031" spans="6:11" x14ac:dyDescent="0.25">
      <c r="F3031" s="12"/>
      <c r="G3031" s="12"/>
      <c r="I3031" s="12"/>
      <c r="J3031" s="12"/>
      <c r="K3031" s="12"/>
    </row>
    <row r="3032" spans="6:11" x14ac:dyDescent="0.25">
      <c r="F3032" s="12"/>
      <c r="G3032" s="12"/>
      <c r="I3032" s="12"/>
      <c r="J3032" s="12"/>
      <c r="K3032" s="12"/>
    </row>
    <row r="3033" spans="6:11" x14ac:dyDescent="0.25">
      <c r="F3033" s="12"/>
      <c r="G3033" s="12"/>
      <c r="I3033" s="12"/>
      <c r="J3033" s="12"/>
      <c r="K3033" s="12"/>
    </row>
    <row r="3034" spans="6:11" x14ac:dyDescent="0.25">
      <c r="F3034" s="12"/>
      <c r="G3034" s="12"/>
      <c r="I3034" s="12"/>
      <c r="J3034" s="12"/>
      <c r="K3034" s="12"/>
    </row>
    <row r="3035" spans="6:11" x14ac:dyDescent="0.25">
      <c r="F3035" s="12"/>
      <c r="G3035" s="12"/>
      <c r="I3035" s="12"/>
      <c r="J3035" s="12"/>
      <c r="K3035" s="12"/>
    </row>
    <row r="3036" spans="6:11" x14ac:dyDescent="0.25">
      <c r="F3036" s="12"/>
      <c r="G3036" s="12"/>
      <c r="I3036" s="12"/>
      <c r="J3036" s="12"/>
      <c r="K3036" s="12"/>
    </row>
    <row r="3037" spans="6:11" x14ac:dyDescent="0.25">
      <c r="F3037" s="12"/>
      <c r="G3037" s="12"/>
      <c r="I3037" s="12"/>
      <c r="J3037" s="12"/>
      <c r="K3037" s="12"/>
    </row>
    <row r="3038" spans="6:11" x14ac:dyDescent="0.25">
      <c r="F3038" s="12"/>
      <c r="G3038" s="12"/>
      <c r="I3038" s="12"/>
      <c r="J3038" s="12"/>
      <c r="K3038" s="12"/>
    </row>
    <row r="3039" spans="6:11" x14ac:dyDescent="0.25">
      <c r="F3039" s="12"/>
      <c r="G3039" s="12"/>
      <c r="I3039" s="12"/>
      <c r="J3039" s="12"/>
      <c r="K3039" s="12"/>
    </row>
    <row r="3040" spans="6:11" x14ac:dyDescent="0.25">
      <c r="F3040" s="12"/>
      <c r="G3040" s="12"/>
      <c r="I3040" s="12"/>
      <c r="J3040" s="12"/>
      <c r="K3040" s="12"/>
    </row>
    <row r="3041" spans="6:11" x14ac:dyDescent="0.25">
      <c r="F3041" s="12"/>
      <c r="G3041" s="12"/>
      <c r="I3041" s="12"/>
      <c r="J3041" s="12"/>
      <c r="K3041" s="12"/>
    </row>
    <row r="3042" spans="6:11" x14ac:dyDescent="0.25">
      <c r="F3042" s="12"/>
      <c r="G3042" s="12"/>
      <c r="I3042" s="12"/>
      <c r="J3042" s="12"/>
      <c r="K3042" s="12"/>
    </row>
    <row r="3043" spans="6:11" x14ac:dyDescent="0.25">
      <c r="F3043" s="12"/>
      <c r="G3043" s="12"/>
      <c r="I3043" s="12"/>
      <c r="J3043" s="12"/>
      <c r="K3043" s="12"/>
    </row>
    <row r="3044" spans="6:11" x14ac:dyDescent="0.25">
      <c r="F3044" s="12"/>
      <c r="G3044" s="12"/>
      <c r="I3044" s="12"/>
      <c r="J3044" s="12"/>
      <c r="K3044" s="12"/>
    </row>
    <row r="3045" spans="6:11" x14ac:dyDescent="0.25">
      <c r="F3045" s="12"/>
      <c r="G3045" s="12"/>
      <c r="I3045" s="12"/>
      <c r="J3045" s="12"/>
      <c r="K3045" s="12"/>
    </row>
    <row r="3046" spans="6:11" x14ac:dyDescent="0.25">
      <c r="F3046" s="12"/>
      <c r="G3046" s="12"/>
      <c r="I3046" s="12"/>
      <c r="J3046" s="12"/>
      <c r="K3046" s="12"/>
    </row>
    <row r="3047" spans="6:11" x14ac:dyDescent="0.25">
      <c r="F3047" s="12"/>
      <c r="G3047" s="12"/>
      <c r="I3047" s="12"/>
      <c r="J3047" s="12"/>
      <c r="K3047" s="12"/>
    </row>
    <row r="3048" spans="6:11" x14ac:dyDescent="0.25">
      <c r="F3048" s="12"/>
      <c r="G3048" s="12"/>
      <c r="I3048" s="12"/>
      <c r="J3048" s="12"/>
      <c r="K3048" s="12"/>
    </row>
    <row r="3049" spans="6:11" x14ac:dyDescent="0.25">
      <c r="F3049" s="12"/>
      <c r="G3049" s="12"/>
      <c r="I3049" s="12"/>
      <c r="J3049" s="12"/>
      <c r="K3049" s="12"/>
    </row>
    <row r="3050" spans="6:11" x14ac:dyDescent="0.25">
      <c r="F3050" s="12"/>
      <c r="G3050" s="12"/>
      <c r="I3050" s="12"/>
      <c r="J3050" s="12"/>
      <c r="K3050" s="12"/>
    </row>
    <row r="3051" spans="6:11" x14ac:dyDescent="0.25">
      <c r="F3051" s="12"/>
      <c r="G3051" s="12"/>
      <c r="I3051" s="12"/>
      <c r="J3051" s="12"/>
      <c r="K3051" s="12"/>
    </row>
    <row r="3052" spans="6:11" x14ac:dyDescent="0.25">
      <c r="F3052" s="12"/>
      <c r="G3052" s="12"/>
      <c r="I3052" s="12"/>
      <c r="J3052" s="12"/>
      <c r="K3052" s="12"/>
    </row>
    <row r="3053" spans="6:11" x14ac:dyDescent="0.25">
      <c r="F3053" s="12"/>
      <c r="G3053" s="12"/>
      <c r="I3053" s="12"/>
      <c r="J3053" s="12"/>
      <c r="K3053" s="12"/>
    </row>
    <row r="3054" spans="6:11" x14ac:dyDescent="0.25">
      <c r="F3054" s="12"/>
      <c r="G3054" s="12"/>
      <c r="I3054" s="12"/>
      <c r="J3054" s="12"/>
      <c r="K3054" s="12"/>
    </row>
    <row r="3055" spans="6:11" x14ac:dyDescent="0.25">
      <c r="F3055" s="12"/>
      <c r="G3055" s="12"/>
      <c r="I3055" s="12"/>
      <c r="J3055" s="12"/>
      <c r="K3055" s="12"/>
    </row>
    <row r="3056" spans="6:11" x14ac:dyDescent="0.25">
      <c r="F3056" s="12"/>
      <c r="G3056" s="12"/>
      <c r="I3056" s="12"/>
      <c r="J3056" s="12"/>
      <c r="K3056" s="12"/>
    </row>
    <row r="3057" spans="6:11" x14ac:dyDescent="0.25">
      <c r="F3057" s="12"/>
      <c r="G3057" s="12"/>
      <c r="I3057" s="12"/>
      <c r="J3057" s="12"/>
      <c r="K3057" s="12"/>
    </row>
    <row r="3058" spans="6:11" x14ac:dyDescent="0.25">
      <c r="F3058" s="12"/>
      <c r="G3058" s="12"/>
      <c r="I3058" s="12"/>
      <c r="J3058" s="12"/>
      <c r="K3058" s="12"/>
    </row>
    <row r="3059" spans="6:11" x14ac:dyDescent="0.25">
      <c r="F3059" s="12"/>
      <c r="G3059" s="12"/>
      <c r="I3059" s="12"/>
      <c r="J3059" s="12"/>
      <c r="K3059" s="12"/>
    </row>
    <row r="3060" spans="6:11" x14ac:dyDescent="0.25">
      <c r="F3060" s="12"/>
      <c r="G3060" s="12"/>
      <c r="I3060" s="12"/>
      <c r="J3060" s="12"/>
      <c r="K3060" s="12"/>
    </row>
    <row r="3061" spans="6:11" x14ac:dyDescent="0.25">
      <c r="F3061" s="12"/>
      <c r="G3061" s="12"/>
      <c r="I3061" s="12"/>
      <c r="J3061" s="12"/>
      <c r="K3061" s="12"/>
    </row>
    <row r="3062" spans="6:11" x14ac:dyDescent="0.25">
      <c r="F3062" s="12"/>
      <c r="G3062" s="12"/>
      <c r="I3062" s="12"/>
      <c r="J3062" s="12"/>
      <c r="K3062" s="12"/>
    </row>
    <row r="3063" spans="6:11" x14ac:dyDescent="0.25">
      <c r="F3063" s="12"/>
      <c r="G3063" s="12"/>
      <c r="I3063" s="12"/>
      <c r="J3063" s="12"/>
      <c r="K3063" s="12"/>
    </row>
    <row r="3064" spans="6:11" x14ac:dyDescent="0.25">
      <c r="F3064" s="12"/>
      <c r="G3064" s="12"/>
      <c r="I3064" s="12"/>
      <c r="J3064" s="12"/>
      <c r="K3064" s="12"/>
    </row>
    <row r="3065" spans="6:11" x14ac:dyDescent="0.25">
      <c r="F3065" s="12"/>
      <c r="G3065" s="12"/>
      <c r="I3065" s="12"/>
      <c r="J3065" s="12"/>
      <c r="K3065" s="12"/>
    </row>
    <row r="3066" spans="6:11" x14ac:dyDescent="0.25">
      <c r="F3066" s="12"/>
      <c r="G3066" s="12"/>
      <c r="I3066" s="12"/>
      <c r="J3066" s="12"/>
      <c r="K3066" s="12"/>
    </row>
    <row r="3067" spans="6:11" x14ac:dyDescent="0.25">
      <c r="F3067" s="12"/>
      <c r="G3067" s="12"/>
      <c r="I3067" s="12"/>
      <c r="J3067" s="12"/>
      <c r="K3067" s="12"/>
    </row>
    <row r="3068" spans="6:11" x14ac:dyDescent="0.25">
      <c r="F3068" s="12"/>
      <c r="G3068" s="12"/>
      <c r="I3068" s="12"/>
      <c r="J3068" s="12"/>
      <c r="K3068" s="12"/>
    </row>
    <row r="3069" spans="6:11" x14ac:dyDescent="0.25">
      <c r="F3069" s="12"/>
      <c r="G3069" s="12"/>
      <c r="I3069" s="12"/>
      <c r="J3069" s="12"/>
      <c r="K3069" s="12"/>
    </row>
    <row r="3070" spans="6:11" x14ac:dyDescent="0.25">
      <c r="F3070" s="12"/>
      <c r="G3070" s="12"/>
      <c r="I3070" s="12"/>
      <c r="J3070" s="12"/>
      <c r="K3070" s="12"/>
    </row>
    <row r="3071" spans="6:11" x14ac:dyDescent="0.25">
      <c r="F3071" s="12"/>
      <c r="G3071" s="12"/>
      <c r="I3071" s="12"/>
      <c r="J3071" s="12"/>
      <c r="K3071" s="12"/>
    </row>
    <row r="3072" spans="6:11" x14ac:dyDescent="0.25">
      <c r="F3072" s="12"/>
      <c r="G3072" s="12"/>
      <c r="I3072" s="12"/>
      <c r="J3072" s="12"/>
      <c r="K3072" s="12"/>
    </row>
    <row r="3073" spans="6:11" x14ac:dyDescent="0.25">
      <c r="F3073" s="12"/>
      <c r="G3073" s="12"/>
      <c r="I3073" s="12"/>
      <c r="J3073" s="12"/>
      <c r="K3073" s="12"/>
    </row>
    <row r="3074" spans="6:11" x14ac:dyDescent="0.25">
      <c r="F3074" s="12"/>
      <c r="G3074" s="12"/>
      <c r="I3074" s="12"/>
      <c r="J3074" s="12"/>
      <c r="K3074" s="12"/>
    </row>
    <row r="3075" spans="6:11" x14ac:dyDescent="0.25">
      <c r="F3075" s="12"/>
      <c r="G3075" s="12"/>
      <c r="I3075" s="12"/>
      <c r="J3075" s="12"/>
      <c r="K3075" s="12"/>
    </row>
    <row r="3076" spans="6:11" x14ac:dyDescent="0.25">
      <c r="F3076" s="12"/>
      <c r="G3076" s="12"/>
      <c r="I3076" s="12"/>
      <c r="J3076" s="12"/>
      <c r="K3076" s="12"/>
    </row>
    <row r="3077" spans="6:11" x14ac:dyDescent="0.25">
      <c r="F3077" s="12"/>
      <c r="G3077" s="12"/>
      <c r="I3077" s="12"/>
      <c r="J3077" s="12"/>
      <c r="K3077" s="12"/>
    </row>
    <row r="3078" spans="6:11" x14ac:dyDescent="0.25">
      <c r="F3078" s="12"/>
      <c r="G3078" s="12"/>
      <c r="I3078" s="12"/>
      <c r="J3078" s="12"/>
      <c r="K3078" s="12"/>
    </row>
    <row r="3079" spans="6:11" x14ac:dyDescent="0.25">
      <c r="F3079" s="12"/>
      <c r="G3079" s="12"/>
      <c r="I3079" s="12"/>
      <c r="J3079" s="12"/>
      <c r="K3079" s="12"/>
    </row>
    <row r="3080" spans="6:11" x14ac:dyDescent="0.25">
      <c r="F3080" s="12"/>
      <c r="G3080" s="12"/>
      <c r="I3080" s="12"/>
      <c r="J3080" s="12"/>
      <c r="K3080" s="12"/>
    </row>
    <row r="3081" spans="6:11" x14ac:dyDescent="0.25">
      <c r="F3081" s="12"/>
      <c r="G3081" s="12"/>
      <c r="I3081" s="12"/>
      <c r="J3081" s="12"/>
      <c r="K3081" s="12"/>
    </row>
    <row r="3082" spans="6:11" x14ac:dyDescent="0.25">
      <c r="F3082" s="12"/>
      <c r="G3082" s="12"/>
      <c r="I3082" s="12"/>
      <c r="J3082" s="12"/>
      <c r="K3082" s="12"/>
    </row>
    <row r="3083" spans="6:11" x14ac:dyDescent="0.25">
      <c r="F3083" s="12"/>
      <c r="G3083" s="12"/>
      <c r="I3083" s="12"/>
      <c r="J3083" s="12"/>
      <c r="K3083" s="12"/>
    </row>
    <row r="3084" spans="6:11" x14ac:dyDescent="0.25">
      <c r="F3084" s="12"/>
      <c r="G3084" s="12"/>
      <c r="I3084" s="12"/>
      <c r="J3084" s="12"/>
      <c r="K3084" s="12"/>
    </row>
    <row r="3085" spans="6:11" x14ac:dyDescent="0.25">
      <c r="F3085" s="12"/>
      <c r="G3085" s="12"/>
      <c r="I3085" s="12"/>
      <c r="J3085" s="12"/>
      <c r="K3085" s="12"/>
    </row>
    <row r="3086" spans="6:11" x14ac:dyDescent="0.25">
      <c r="F3086" s="12"/>
      <c r="G3086" s="12"/>
      <c r="I3086" s="12"/>
      <c r="J3086" s="12"/>
      <c r="K3086" s="12"/>
    </row>
    <row r="3087" spans="6:11" x14ac:dyDescent="0.25">
      <c r="F3087" s="12"/>
      <c r="G3087" s="12"/>
      <c r="I3087" s="12"/>
      <c r="J3087" s="12"/>
      <c r="K3087" s="12"/>
    </row>
    <row r="3088" spans="6:11" x14ac:dyDescent="0.25">
      <c r="F3088" s="12"/>
      <c r="G3088" s="12"/>
      <c r="I3088" s="12"/>
      <c r="J3088" s="12"/>
      <c r="K3088" s="12"/>
    </row>
    <row r="3089" spans="6:11" x14ac:dyDescent="0.25">
      <c r="F3089" s="12"/>
      <c r="G3089" s="12"/>
      <c r="I3089" s="12"/>
      <c r="J3089" s="12"/>
      <c r="K3089" s="12"/>
    </row>
    <row r="3090" spans="6:11" x14ac:dyDescent="0.25">
      <c r="F3090" s="12"/>
      <c r="G3090" s="12"/>
      <c r="I3090" s="12"/>
      <c r="J3090" s="12"/>
      <c r="K3090" s="12"/>
    </row>
    <row r="3091" spans="6:11" x14ac:dyDescent="0.25">
      <c r="F3091" s="12"/>
      <c r="G3091" s="12"/>
      <c r="I3091" s="12"/>
      <c r="J3091" s="12"/>
      <c r="K3091" s="12"/>
    </row>
    <row r="3092" spans="6:11" x14ac:dyDescent="0.25">
      <c r="F3092" s="12"/>
      <c r="G3092" s="12"/>
      <c r="I3092" s="12"/>
      <c r="J3092" s="12"/>
      <c r="K3092" s="12"/>
    </row>
    <row r="3093" spans="6:11" x14ac:dyDescent="0.25">
      <c r="F3093" s="12"/>
      <c r="G3093" s="12"/>
      <c r="I3093" s="12"/>
      <c r="J3093" s="12"/>
      <c r="K3093" s="12"/>
    </row>
    <row r="3094" spans="6:11" x14ac:dyDescent="0.25">
      <c r="F3094" s="12"/>
      <c r="G3094" s="12"/>
      <c r="I3094" s="12"/>
      <c r="J3094" s="12"/>
      <c r="K3094" s="12"/>
    </row>
    <row r="3095" spans="6:11" x14ac:dyDescent="0.25">
      <c r="F3095" s="12"/>
      <c r="G3095" s="12"/>
      <c r="I3095" s="12"/>
      <c r="J3095" s="12"/>
      <c r="K3095" s="12"/>
    </row>
    <row r="3096" spans="6:11" x14ac:dyDescent="0.25">
      <c r="F3096" s="12"/>
      <c r="G3096" s="12"/>
      <c r="I3096" s="12"/>
      <c r="J3096" s="12"/>
      <c r="K3096" s="12"/>
    </row>
    <row r="3097" spans="6:11" x14ac:dyDescent="0.25">
      <c r="F3097" s="12"/>
      <c r="G3097" s="12"/>
      <c r="I3097" s="12"/>
      <c r="J3097" s="12"/>
      <c r="K3097" s="12"/>
    </row>
    <row r="3098" spans="6:11" x14ac:dyDescent="0.25">
      <c r="F3098" s="12"/>
      <c r="G3098" s="12"/>
      <c r="I3098" s="12"/>
      <c r="J3098" s="12"/>
      <c r="K3098" s="12"/>
    </row>
    <row r="3099" spans="6:11" x14ac:dyDescent="0.25">
      <c r="F3099" s="12"/>
      <c r="G3099" s="12"/>
      <c r="I3099" s="12"/>
      <c r="J3099" s="12"/>
      <c r="K3099" s="12"/>
    </row>
    <row r="3100" spans="6:11" x14ac:dyDescent="0.25">
      <c r="F3100" s="12"/>
      <c r="G3100" s="12"/>
      <c r="I3100" s="12"/>
      <c r="J3100" s="12"/>
      <c r="K3100" s="12"/>
    </row>
    <row r="3101" spans="6:11" x14ac:dyDescent="0.25">
      <c r="F3101" s="12"/>
      <c r="G3101" s="12"/>
      <c r="I3101" s="12"/>
      <c r="J3101" s="12"/>
      <c r="K3101" s="12"/>
    </row>
    <row r="3102" spans="6:11" x14ac:dyDescent="0.25">
      <c r="F3102" s="12"/>
      <c r="G3102" s="12"/>
      <c r="I3102" s="12"/>
      <c r="J3102" s="12"/>
      <c r="K3102" s="12"/>
    </row>
    <row r="3103" spans="6:11" x14ac:dyDescent="0.25">
      <c r="F3103" s="12"/>
      <c r="G3103" s="12"/>
      <c r="I3103" s="12"/>
      <c r="J3103" s="12"/>
      <c r="K3103" s="12"/>
    </row>
    <row r="3104" spans="6:11" x14ac:dyDescent="0.25">
      <c r="F3104" s="12"/>
      <c r="G3104" s="12"/>
      <c r="I3104" s="12"/>
      <c r="J3104" s="12"/>
      <c r="K3104" s="12"/>
    </row>
    <row r="3105" spans="6:11" x14ac:dyDescent="0.25">
      <c r="F3105" s="12"/>
      <c r="G3105" s="12"/>
      <c r="I3105" s="12"/>
      <c r="J3105" s="12"/>
      <c r="K3105" s="12"/>
    </row>
    <row r="3106" spans="6:11" x14ac:dyDescent="0.25">
      <c r="F3106" s="12"/>
      <c r="G3106" s="12"/>
      <c r="I3106" s="12"/>
      <c r="J3106" s="12"/>
      <c r="K3106" s="12"/>
    </row>
    <row r="3107" spans="6:11" x14ac:dyDescent="0.25">
      <c r="F3107" s="12"/>
      <c r="G3107" s="12"/>
      <c r="I3107" s="12"/>
      <c r="J3107" s="12"/>
      <c r="K3107" s="12"/>
    </row>
    <row r="3108" spans="6:11" x14ac:dyDescent="0.25">
      <c r="F3108" s="12"/>
      <c r="G3108" s="12"/>
      <c r="I3108" s="12"/>
      <c r="J3108" s="12"/>
      <c r="K3108" s="12"/>
    </row>
    <row r="3109" spans="6:11" x14ac:dyDescent="0.25">
      <c r="F3109" s="12"/>
      <c r="G3109" s="12"/>
      <c r="I3109" s="12"/>
      <c r="J3109" s="12"/>
      <c r="K3109" s="12"/>
    </row>
    <row r="3110" spans="6:11" x14ac:dyDescent="0.25">
      <c r="F3110" s="12"/>
      <c r="G3110" s="12"/>
      <c r="I3110" s="12"/>
      <c r="J3110" s="12"/>
      <c r="K3110" s="12"/>
    </row>
    <row r="3111" spans="6:11" x14ac:dyDescent="0.25">
      <c r="F3111" s="12"/>
      <c r="G3111" s="12"/>
      <c r="I3111" s="12"/>
      <c r="J3111" s="12"/>
      <c r="K3111" s="12"/>
    </row>
    <row r="3112" spans="6:11" x14ac:dyDescent="0.25">
      <c r="F3112" s="12"/>
      <c r="G3112" s="12"/>
      <c r="I3112" s="12"/>
      <c r="J3112" s="12"/>
      <c r="K3112" s="12"/>
    </row>
    <row r="3113" spans="6:11" x14ac:dyDescent="0.25">
      <c r="F3113" s="12"/>
      <c r="G3113" s="12"/>
      <c r="I3113" s="12"/>
      <c r="J3113" s="12"/>
      <c r="K3113" s="12"/>
    </row>
    <row r="3114" spans="6:11" x14ac:dyDescent="0.25">
      <c r="F3114" s="12"/>
      <c r="G3114" s="12"/>
      <c r="I3114" s="12"/>
      <c r="J3114" s="12"/>
      <c r="K3114" s="12"/>
    </row>
    <row r="3115" spans="6:11" x14ac:dyDescent="0.25">
      <c r="F3115" s="12"/>
      <c r="G3115" s="12"/>
      <c r="I3115" s="12"/>
      <c r="J3115" s="12"/>
      <c r="K3115" s="12"/>
    </row>
    <row r="3116" spans="6:11" x14ac:dyDescent="0.25">
      <c r="F3116" s="12"/>
      <c r="G3116" s="12"/>
      <c r="I3116" s="12"/>
      <c r="J3116" s="12"/>
      <c r="K3116" s="12"/>
    </row>
    <row r="3117" spans="6:11" x14ac:dyDescent="0.25">
      <c r="F3117" s="12"/>
      <c r="G3117" s="12"/>
      <c r="I3117" s="12"/>
      <c r="J3117" s="12"/>
      <c r="K3117" s="12"/>
    </row>
    <row r="3118" spans="6:11" x14ac:dyDescent="0.25">
      <c r="F3118" s="12"/>
      <c r="G3118" s="12"/>
      <c r="I3118" s="12"/>
      <c r="J3118" s="12"/>
      <c r="K3118" s="12"/>
    </row>
    <row r="3119" spans="6:11" x14ac:dyDescent="0.25">
      <c r="F3119" s="12"/>
      <c r="G3119" s="12"/>
      <c r="I3119" s="12"/>
      <c r="J3119" s="12"/>
      <c r="K3119" s="12"/>
    </row>
    <row r="3120" spans="6:11" x14ac:dyDescent="0.25">
      <c r="F3120" s="12"/>
      <c r="G3120" s="12"/>
      <c r="I3120" s="12"/>
      <c r="J3120" s="12"/>
      <c r="K3120" s="12"/>
    </row>
    <row r="3121" spans="6:11" x14ac:dyDescent="0.25">
      <c r="F3121" s="12"/>
      <c r="G3121" s="12"/>
      <c r="I3121" s="12"/>
      <c r="J3121" s="12"/>
      <c r="K3121" s="12"/>
    </row>
    <row r="3122" spans="6:11" x14ac:dyDescent="0.25">
      <c r="F3122" s="12"/>
      <c r="G3122" s="12"/>
      <c r="I3122" s="12"/>
      <c r="J3122" s="12"/>
      <c r="K3122" s="12"/>
    </row>
    <row r="3123" spans="6:11" x14ac:dyDescent="0.25">
      <c r="F3123" s="12"/>
      <c r="G3123" s="12"/>
      <c r="I3123" s="12"/>
      <c r="J3123" s="12"/>
      <c r="K3123" s="12"/>
    </row>
    <row r="3124" spans="6:11" x14ac:dyDescent="0.25">
      <c r="F3124" s="12"/>
      <c r="G3124" s="12"/>
      <c r="I3124" s="12"/>
      <c r="J3124" s="12"/>
      <c r="K3124" s="12"/>
    </row>
    <row r="3125" spans="6:11" x14ac:dyDescent="0.25">
      <c r="F3125" s="12"/>
      <c r="G3125" s="12"/>
      <c r="I3125" s="12"/>
      <c r="J3125" s="12"/>
      <c r="K3125" s="12"/>
    </row>
    <row r="3126" spans="6:11" x14ac:dyDescent="0.25">
      <c r="F3126" s="12"/>
      <c r="G3126" s="12"/>
      <c r="I3126" s="12"/>
      <c r="J3126" s="12"/>
      <c r="K3126" s="12"/>
    </row>
    <row r="3127" spans="6:11" x14ac:dyDescent="0.25">
      <c r="F3127" s="12"/>
      <c r="G3127" s="12"/>
      <c r="I3127" s="12"/>
      <c r="J3127" s="12"/>
      <c r="K3127" s="12"/>
    </row>
    <row r="3128" spans="6:11" x14ac:dyDescent="0.25">
      <c r="F3128" s="12"/>
      <c r="G3128" s="12"/>
      <c r="I3128" s="12"/>
      <c r="J3128" s="12"/>
      <c r="K3128" s="12"/>
    </row>
    <row r="3129" spans="6:11" x14ac:dyDescent="0.25">
      <c r="F3129" s="12"/>
      <c r="G3129" s="12"/>
      <c r="I3129" s="12"/>
      <c r="J3129" s="12"/>
      <c r="K3129" s="12"/>
    </row>
    <row r="3130" spans="6:11" x14ac:dyDescent="0.25">
      <c r="F3130" s="12"/>
      <c r="G3130" s="12"/>
      <c r="I3130" s="12"/>
      <c r="J3130" s="12"/>
      <c r="K3130" s="12"/>
    </row>
    <row r="3131" spans="6:11" x14ac:dyDescent="0.25">
      <c r="F3131" s="12"/>
      <c r="G3131" s="12"/>
      <c r="I3131" s="12"/>
      <c r="J3131" s="12"/>
      <c r="K3131" s="12"/>
    </row>
    <row r="3132" spans="6:11" x14ac:dyDescent="0.25">
      <c r="F3132" s="12"/>
      <c r="G3132" s="12"/>
      <c r="I3132" s="12"/>
      <c r="J3132" s="12"/>
      <c r="K3132" s="12"/>
    </row>
    <row r="3133" spans="6:11" x14ac:dyDescent="0.25">
      <c r="F3133" s="12"/>
      <c r="G3133" s="12"/>
      <c r="I3133" s="12"/>
      <c r="J3133" s="12"/>
      <c r="K3133" s="12"/>
    </row>
    <row r="3134" spans="6:11" x14ac:dyDescent="0.25">
      <c r="F3134" s="12"/>
      <c r="G3134" s="12"/>
      <c r="I3134" s="12"/>
      <c r="J3134" s="12"/>
      <c r="K3134" s="12"/>
    </row>
    <row r="3135" spans="6:11" x14ac:dyDescent="0.25">
      <c r="F3135" s="12"/>
      <c r="G3135" s="12"/>
      <c r="I3135" s="12"/>
      <c r="J3135" s="12"/>
      <c r="K3135" s="12"/>
    </row>
    <row r="3136" spans="6:11" x14ac:dyDescent="0.25">
      <c r="F3136" s="12"/>
      <c r="G3136" s="12"/>
      <c r="I3136" s="12"/>
      <c r="J3136" s="12"/>
      <c r="K3136" s="12"/>
    </row>
    <row r="3137" spans="6:11" x14ac:dyDescent="0.25">
      <c r="F3137" s="12"/>
      <c r="G3137" s="12"/>
      <c r="I3137" s="12"/>
      <c r="J3137" s="12"/>
      <c r="K3137" s="12"/>
    </row>
    <row r="3138" spans="6:11" x14ac:dyDescent="0.25">
      <c r="F3138" s="12"/>
      <c r="G3138" s="12"/>
      <c r="I3138" s="12"/>
      <c r="J3138" s="12"/>
      <c r="K3138" s="12"/>
    </row>
    <row r="3139" spans="6:11" x14ac:dyDescent="0.25">
      <c r="F3139" s="12"/>
      <c r="G3139" s="12"/>
      <c r="I3139" s="12"/>
      <c r="J3139" s="12"/>
      <c r="K3139" s="12"/>
    </row>
    <row r="3140" spans="6:11" x14ac:dyDescent="0.25">
      <c r="F3140" s="12"/>
      <c r="G3140" s="12"/>
      <c r="I3140" s="12"/>
      <c r="J3140" s="12"/>
      <c r="K3140" s="12"/>
    </row>
    <row r="3141" spans="6:11" x14ac:dyDescent="0.25">
      <c r="F3141" s="12"/>
      <c r="G3141" s="12"/>
      <c r="I3141" s="12"/>
      <c r="J3141" s="12"/>
      <c r="K3141" s="12"/>
    </row>
    <row r="3142" spans="6:11" x14ac:dyDescent="0.25">
      <c r="F3142" s="12"/>
      <c r="G3142" s="12"/>
      <c r="I3142" s="12"/>
      <c r="J3142" s="12"/>
      <c r="K3142" s="12"/>
    </row>
    <row r="3143" spans="6:11" x14ac:dyDescent="0.25">
      <c r="F3143" s="12"/>
      <c r="G3143" s="12"/>
      <c r="I3143" s="12"/>
      <c r="J3143" s="12"/>
      <c r="K3143" s="12"/>
    </row>
    <row r="3144" spans="6:11" x14ac:dyDescent="0.25">
      <c r="F3144" s="12"/>
      <c r="G3144" s="12"/>
      <c r="I3144" s="12"/>
      <c r="J3144" s="12"/>
      <c r="K3144" s="12"/>
    </row>
    <row r="3145" spans="6:11" x14ac:dyDescent="0.25">
      <c r="F3145" s="12"/>
      <c r="G3145" s="12"/>
      <c r="I3145" s="12"/>
      <c r="J3145" s="12"/>
      <c r="K3145" s="12"/>
    </row>
    <row r="3146" spans="6:11" x14ac:dyDescent="0.25">
      <c r="F3146" s="12"/>
      <c r="G3146" s="12"/>
      <c r="I3146" s="12"/>
      <c r="J3146" s="12"/>
      <c r="K3146" s="12"/>
    </row>
    <row r="3147" spans="6:11" x14ac:dyDescent="0.25">
      <c r="F3147" s="12"/>
      <c r="G3147" s="12"/>
      <c r="I3147" s="12"/>
      <c r="J3147" s="12"/>
      <c r="K3147" s="12"/>
    </row>
    <row r="3148" spans="6:11" x14ac:dyDescent="0.25">
      <c r="F3148" s="12"/>
      <c r="G3148" s="12"/>
      <c r="I3148" s="12"/>
      <c r="J3148" s="12"/>
      <c r="K3148" s="12"/>
    </row>
    <row r="3149" spans="6:11" x14ac:dyDescent="0.25">
      <c r="F3149" s="12"/>
      <c r="G3149" s="12"/>
      <c r="I3149" s="12"/>
      <c r="J3149" s="12"/>
      <c r="K3149" s="12"/>
    </row>
    <row r="3150" spans="6:11" x14ac:dyDescent="0.25">
      <c r="F3150" s="12"/>
      <c r="G3150" s="12"/>
      <c r="I3150" s="12"/>
      <c r="J3150" s="12"/>
      <c r="K3150" s="12"/>
    </row>
    <row r="3151" spans="6:11" x14ac:dyDescent="0.25">
      <c r="F3151" s="12"/>
      <c r="G3151" s="12"/>
      <c r="I3151" s="12"/>
      <c r="J3151" s="12"/>
      <c r="K3151" s="12"/>
    </row>
    <row r="3152" spans="6:11" x14ac:dyDescent="0.25">
      <c r="F3152" s="12"/>
      <c r="G3152" s="12"/>
      <c r="I3152" s="12"/>
      <c r="J3152" s="12"/>
      <c r="K3152" s="12"/>
    </row>
    <row r="3153" spans="6:11" x14ac:dyDescent="0.25">
      <c r="F3153" s="12"/>
      <c r="G3153" s="12"/>
      <c r="I3153" s="12"/>
      <c r="J3153" s="12"/>
      <c r="K3153" s="12"/>
    </row>
    <row r="3154" spans="6:11" x14ac:dyDescent="0.25">
      <c r="F3154" s="12"/>
      <c r="G3154" s="12"/>
      <c r="I3154" s="12"/>
      <c r="J3154" s="12"/>
      <c r="K3154" s="12"/>
    </row>
    <row r="3155" spans="6:11" x14ac:dyDescent="0.25">
      <c r="F3155" s="12"/>
      <c r="G3155" s="12"/>
      <c r="I3155" s="12"/>
      <c r="J3155" s="12"/>
      <c r="K3155" s="12"/>
    </row>
    <row r="3156" spans="6:11" x14ac:dyDescent="0.25">
      <c r="F3156" s="12"/>
      <c r="G3156" s="12"/>
      <c r="I3156" s="12"/>
      <c r="J3156" s="12"/>
      <c r="K3156" s="12"/>
    </row>
    <row r="3157" spans="6:11" x14ac:dyDescent="0.25">
      <c r="F3157" s="12"/>
      <c r="G3157" s="12"/>
      <c r="I3157" s="12"/>
      <c r="J3157" s="12"/>
      <c r="K3157" s="12"/>
    </row>
    <row r="3158" spans="6:11" x14ac:dyDescent="0.25">
      <c r="F3158" s="12"/>
      <c r="G3158" s="12"/>
      <c r="I3158" s="12"/>
      <c r="J3158" s="12"/>
      <c r="K3158" s="12"/>
    </row>
    <row r="3159" spans="6:11" x14ac:dyDescent="0.25">
      <c r="F3159" s="12"/>
      <c r="G3159" s="12"/>
      <c r="I3159" s="12"/>
      <c r="J3159" s="12"/>
      <c r="K3159" s="12"/>
    </row>
    <row r="3160" spans="6:11" x14ac:dyDescent="0.25">
      <c r="F3160" s="12"/>
      <c r="G3160" s="12"/>
      <c r="I3160" s="12"/>
      <c r="J3160" s="12"/>
      <c r="K3160" s="12"/>
    </row>
    <row r="3161" spans="6:11" x14ac:dyDescent="0.25">
      <c r="F3161" s="12"/>
      <c r="G3161" s="12"/>
      <c r="I3161" s="12"/>
      <c r="J3161" s="12"/>
      <c r="K3161" s="12"/>
    </row>
    <row r="3162" spans="6:11" x14ac:dyDescent="0.25">
      <c r="F3162" s="12"/>
      <c r="G3162" s="12"/>
      <c r="I3162" s="12"/>
      <c r="J3162" s="12"/>
      <c r="K3162" s="12"/>
    </row>
    <row r="3163" spans="6:11" x14ac:dyDescent="0.25">
      <c r="F3163" s="12"/>
      <c r="G3163" s="12"/>
      <c r="I3163" s="12"/>
      <c r="J3163" s="12"/>
      <c r="K3163" s="12"/>
    </row>
    <row r="3164" spans="6:11" x14ac:dyDescent="0.25">
      <c r="F3164" s="12"/>
      <c r="G3164" s="12"/>
      <c r="I3164" s="12"/>
      <c r="J3164" s="12"/>
      <c r="K3164" s="12"/>
    </row>
    <row r="3165" spans="6:11" x14ac:dyDescent="0.25">
      <c r="F3165" s="12"/>
      <c r="G3165" s="12"/>
      <c r="I3165" s="12"/>
      <c r="J3165" s="12"/>
      <c r="K3165" s="12"/>
    </row>
    <row r="3166" spans="6:11" x14ac:dyDescent="0.25">
      <c r="F3166" s="12"/>
      <c r="G3166" s="12"/>
      <c r="I3166" s="12"/>
      <c r="J3166" s="12"/>
      <c r="K3166" s="12"/>
    </row>
    <row r="3167" spans="6:11" x14ac:dyDescent="0.25">
      <c r="F3167" s="12"/>
      <c r="G3167" s="12"/>
      <c r="I3167" s="12"/>
      <c r="J3167" s="12"/>
      <c r="K3167" s="12"/>
    </row>
    <row r="3168" spans="6:11" x14ac:dyDescent="0.25">
      <c r="F3168" s="12"/>
      <c r="G3168" s="12"/>
      <c r="I3168" s="12"/>
      <c r="J3168" s="12"/>
      <c r="K3168" s="12"/>
    </row>
    <row r="3169" spans="6:11" x14ac:dyDescent="0.25">
      <c r="F3169" s="12"/>
      <c r="G3169" s="12"/>
      <c r="I3169" s="12"/>
      <c r="J3169" s="12"/>
      <c r="K3169" s="12"/>
    </row>
    <row r="3170" spans="6:11" x14ac:dyDescent="0.25">
      <c r="F3170" s="12"/>
      <c r="G3170" s="12"/>
      <c r="I3170" s="12"/>
      <c r="J3170" s="12"/>
      <c r="K3170" s="12"/>
    </row>
    <row r="3171" spans="6:11" x14ac:dyDescent="0.25">
      <c r="F3171" s="12"/>
      <c r="G3171" s="12"/>
      <c r="I3171" s="12"/>
      <c r="J3171" s="12"/>
      <c r="K3171" s="12"/>
    </row>
    <row r="3172" spans="6:11" x14ac:dyDescent="0.25">
      <c r="F3172" s="12"/>
      <c r="G3172" s="12"/>
      <c r="I3172" s="12"/>
      <c r="J3172" s="12"/>
      <c r="K3172" s="12"/>
    </row>
    <row r="3173" spans="6:11" x14ac:dyDescent="0.25">
      <c r="F3173" s="12"/>
      <c r="G3173" s="12"/>
      <c r="I3173" s="12"/>
      <c r="J3173" s="12"/>
      <c r="K3173" s="12"/>
    </row>
    <row r="3174" spans="6:11" x14ac:dyDescent="0.25">
      <c r="F3174" s="12"/>
      <c r="G3174" s="12"/>
      <c r="I3174" s="12"/>
      <c r="J3174" s="12"/>
      <c r="K3174" s="12"/>
    </row>
    <row r="3175" spans="6:11" x14ac:dyDescent="0.25">
      <c r="F3175" s="12"/>
      <c r="G3175" s="12"/>
      <c r="I3175" s="12"/>
      <c r="J3175" s="12"/>
      <c r="K3175" s="12"/>
    </row>
    <row r="3176" spans="6:11" x14ac:dyDescent="0.25">
      <c r="F3176" s="12"/>
      <c r="G3176" s="12"/>
      <c r="I3176" s="12"/>
      <c r="J3176" s="12"/>
      <c r="K3176" s="12"/>
    </row>
    <row r="3177" spans="6:11" x14ac:dyDescent="0.25">
      <c r="F3177" s="12"/>
      <c r="G3177" s="12"/>
      <c r="I3177" s="12"/>
      <c r="J3177" s="12"/>
      <c r="K3177" s="12"/>
    </row>
    <row r="3178" spans="6:11" x14ac:dyDescent="0.25">
      <c r="F3178" s="12"/>
      <c r="G3178" s="12"/>
      <c r="I3178" s="12"/>
      <c r="J3178" s="12"/>
      <c r="K3178" s="12"/>
    </row>
    <row r="3179" spans="6:11" x14ac:dyDescent="0.25">
      <c r="F3179" s="12"/>
      <c r="G3179" s="12"/>
      <c r="I3179" s="12"/>
      <c r="J3179" s="12"/>
      <c r="K3179" s="12"/>
    </row>
    <row r="3180" spans="6:11" x14ac:dyDescent="0.25">
      <c r="F3180" s="12"/>
      <c r="G3180" s="12"/>
      <c r="I3180" s="12"/>
      <c r="J3180" s="12"/>
      <c r="K3180" s="12"/>
    </row>
    <row r="3181" spans="6:11" x14ac:dyDescent="0.25">
      <c r="F3181" s="12"/>
      <c r="G3181" s="12"/>
      <c r="I3181" s="12"/>
      <c r="J3181" s="12"/>
      <c r="K3181" s="12"/>
    </row>
    <row r="3182" spans="6:11" x14ac:dyDescent="0.25">
      <c r="F3182" s="12"/>
      <c r="G3182" s="12"/>
      <c r="I3182" s="12"/>
      <c r="J3182" s="12"/>
      <c r="K3182" s="12"/>
    </row>
    <row r="3183" spans="6:11" x14ac:dyDescent="0.25">
      <c r="F3183" s="12"/>
      <c r="G3183" s="12"/>
      <c r="I3183" s="12"/>
      <c r="J3183" s="12"/>
      <c r="K3183" s="12"/>
    </row>
    <row r="3184" spans="6:11" x14ac:dyDescent="0.25">
      <c r="F3184" s="12"/>
      <c r="G3184" s="12"/>
      <c r="I3184" s="12"/>
      <c r="J3184" s="12"/>
      <c r="K3184" s="12"/>
    </row>
    <row r="3185" spans="6:11" x14ac:dyDescent="0.25">
      <c r="F3185" s="12"/>
      <c r="G3185" s="12"/>
      <c r="I3185" s="12"/>
      <c r="J3185" s="12"/>
      <c r="K3185" s="12"/>
    </row>
    <row r="3186" spans="6:11" x14ac:dyDescent="0.25">
      <c r="F3186" s="12"/>
      <c r="G3186" s="12"/>
      <c r="I3186" s="12"/>
      <c r="J3186" s="12"/>
      <c r="K3186" s="12"/>
    </row>
    <row r="3187" spans="6:11" x14ac:dyDescent="0.25">
      <c r="F3187" s="12"/>
      <c r="G3187" s="12"/>
      <c r="I3187" s="12"/>
      <c r="J3187" s="12"/>
      <c r="K3187" s="12"/>
    </row>
    <row r="3188" spans="6:11" x14ac:dyDescent="0.25">
      <c r="F3188" s="12"/>
      <c r="G3188" s="12"/>
      <c r="I3188" s="12"/>
      <c r="J3188" s="12"/>
      <c r="K3188" s="12"/>
    </row>
    <row r="3189" spans="6:11" x14ac:dyDescent="0.25">
      <c r="F3189" s="12"/>
      <c r="G3189" s="12"/>
      <c r="I3189" s="12"/>
      <c r="J3189" s="12"/>
      <c r="K3189" s="12"/>
    </row>
    <row r="3190" spans="6:11" x14ac:dyDescent="0.25">
      <c r="F3190" s="12"/>
      <c r="G3190" s="12"/>
      <c r="I3190" s="12"/>
      <c r="J3190" s="12"/>
      <c r="K3190" s="12"/>
    </row>
    <row r="3191" spans="6:11" x14ac:dyDescent="0.25">
      <c r="F3191" s="12"/>
      <c r="G3191" s="12"/>
      <c r="I3191" s="12"/>
      <c r="J3191" s="12"/>
      <c r="K3191" s="12"/>
    </row>
    <row r="3192" spans="6:11" x14ac:dyDescent="0.25">
      <c r="F3192" s="12"/>
      <c r="G3192" s="12"/>
      <c r="I3192" s="12"/>
      <c r="J3192" s="12"/>
      <c r="K3192" s="12"/>
    </row>
    <row r="3193" spans="6:11" x14ac:dyDescent="0.25">
      <c r="F3193" s="12"/>
      <c r="G3193" s="12"/>
      <c r="I3193" s="12"/>
      <c r="J3193" s="12"/>
      <c r="K3193" s="12"/>
    </row>
    <row r="3194" spans="6:11" x14ac:dyDescent="0.25">
      <c r="F3194" s="12"/>
      <c r="G3194" s="12"/>
      <c r="I3194" s="12"/>
      <c r="J3194" s="12"/>
      <c r="K3194" s="12"/>
    </row>
    <row r="3195" spans="6:11" x14ac:dyDescent="0.25">
      <c r="F3195" s="12"/>
      <c r="G3195" s="12"/>
      <c r="I3195" s="12"/>
      <c r="J3195" s="12"/>
      <c r="K3195" s="12"/>
    </row>
    <row r="3196" spans="6:11" x14ac:dyDescent="0.25">
      <c r="F3196" s="12"/>
      <c r="G3196" s="12"/>
      <c r="I3196" s="12"/>
      <c r="J3196" s="12"/>
      <c r="K3196" s="12"/>
    </row>
    <row r="3197" spans="6:11" x14ac:dyDescent="0.25">
      <c r="F3197" s="12"/>
      <c r="G3197" s="12"/>
      <c r="I3197" s="12"/>
      <c r="J3197" s="12"/>
      <c r="K3197" s="12"/>
    </row>
    <row r="3198" spans="6:11" x14ac:dyDescent="0.25">
      <c r="F3198" s="12"/>
      <c r="G3198" s="12"/>
      <c r="I3198" s="12"/>
      <c r="J3198" s="12"/>
      <c r="K3198" s="12"/>
    </row>
    <row r="3199" spans="6:11" x14ac:dyDescent="0.25">
      <c r="F3199" s="12"/>
      <c r="G3199" s="12"/>
      <c r="I3199" s="12"/>
      <c r="J3199" s="12"/>
      <c r="K3199" s="12"/>
    </row>
    <row r="3200" spans="6:11" x14ac:dyDescent="0.25">
      <c r="F3200" s="12"/>
      <c r="G3200" s="12"/>
      <c r="I3200" s="12"/>
      <c r="J3200" s="12"/>
      <c r="K3200" s="12"/>
    </row>
    <row r="3201" spans="6:11" x14ac:dyDescent="0.25">
      <c r="F3201" s="12"/>
      <c r="G3201" s="12"/>
      <c r="I3201" s="12"/>
      <c r="J3201" s="12"/>
      <c r="K3201" s="12"/>
    </row>
    <row r="3202" spans="6:11" x14ac:dyDescent="0.25">
      <c r="F3202" s="12"/>
      <c r="G3202" s="12"/>
      <c r="I3202" s="12"/>
      <c r="J3202" s="12"/>
      <c r="K3202" s="12"/>
    </row>
    <row r="3203" spans="6:11" x14ac:dyDescent="0.25">
      <c r="F3203" s="12"/>
      <c r="G3203" s="12"/>
      <c r="I3203" s="12"/>
      <c r="J3203" s="12"/>
      <c r="K3203" s="12"/>
    </row>
    <row r="3204" spans="6:11" x14ac:dyDescent="0.25">
      <c r="F3204" s="12"/>
      <c r="G3204" s="12"/>
      <c r="I3204" s="12"/>
      <c r="J3204" s="12"/>
      <c r="K3204" s="12"/>
    </row>
    <row r="3205" spans="6:11" x14ac:dyDescent="0.25">
      <c r="F3205" s="12"/>
      <c r="G3205" s="12"/>
      <c r="I3205" s="12"/>
      <c r="J3205" s="12"/>
      <c r="K3205" s="12"/>
    </row>
    <row r="3206" spans="6:11" x14ac:dyDescent="0.25">
      <c r="F3206" s="12"/>
      <c r="G3206" s="12"/>
      <c r="I3206" s="12"/>
      <c r="J3206" s="12"/>
      <c r="K3206" s="12"/>
    </row>
    <row r="3207" spans="6:11" x14ac:dyDescent="0.25">
      <c r="F3207" s="12"/>
      <c r="G3207" s="12"/>
      <c r="I3207" s="12"/>
      <c r="J3207" s="12"/>
      <c r="K3207" s="12"/>
    </row>
    <row r="3208" spans="6:11" x14ac:dyDescent="0.25">
      <c r="F3208" s="12"/>
      <c r="G3208" s="12"/>
      <c r="I3208" s="12"/>
      <c r="J3208" s="12"/>
      <c r="K3208" s="12"/>
    </row>
    <row r="3209" spans="6:11" x14ac:dyDescent="0.25">
      <c r="F3209" s="12"/>
      <c r="G3209" s="12"/>
      <c r="I3209" s="12"/>
      <c r="J3209" s="12"/>
      <c r="K3209" s="12"/>
    </row>
    <row r="3210" spans="6:11" x14ac:dyDescent="0.25">
      <c r="F3210" s="12"/>
      <c r="G3210" s="12"/>
      <c r="I3210" s="12"/>
      <c r="J3210" s="12"/>
      <c r="K3210" s="12"/>
    </row>
    <row r="3211" spans="6:11" x14ac:dyDescent="0.25">
      <c r="F3211" s="12"/>
      <c r="G3211" s="12"/>
      <c r="I3211" s="12"/>
      <c r="J3211" s="12"/>
      <c r="K3211" s="12"/>
    </row>
    <row r="3212" spans="6:11" x14ac:dyDescent="0.25">
      <c r="F3212" s="12"/>
      <c r="G3212" s="12"/>
      <c r="I3212" s="12"/>
      <c r="J3212" s="12"/>
      <c r="K3212" s="12"/>
    </row>
    <row r="3213" spans="6:11" x14ac:dyDescent="0.25">
      <c r="F3213" s="12"/>
      <c r="G3213" s="12"/>
      <c r="I3213" s="12"/>
      <c r="J3213" s="12"/>
      <c r="K3213" s="12"/>
    </row>
    <row r="3214" spans="6:11" x14ac:dyDescent="0.25">
      <c r="F3214" s="12"/>
      <c r="G3214" s="12"/>
      <c r="I3214" s="12"/>
      <c r="J3214" s="12"/>
      <c r="K3214" s="12"/>
    </row>
    <row r="3215" spans="6:11" x14ac:dyDescent="0.25">
      <c r="F3215" s="12"/>
      <c r="G3215" s="12"/>
      <c r="I3215" s="12"/>
      <c r="J3215" s="12"/>
      <c r="K3215" s="12"/>
    </row>
    <row r="3216" spans="6:11" x14ac:dyDescent="0.25">
      <c r="F3216" s="12"/>
      <c r="G3216" s="12"/>
      <c r="I3216" s="12"/>
      <c r="J3216" s="12"/>
      <c r="K3216" s="12"/>
    </row>
    <row r="3217" spans="6:11" x14ac:dyDescent="0.25">
      <c r="F3217" s="12"/>
      <c r="G3217" s="12"/>
      <c r="I3217" s="12"/>
      <c r="J3217" s="12"/>
      <c r="K3217" s="12"/>
    </row>
    <row r="3218" spans="6:11" x14ac:dyDescent="0.25">
      <c r="F3218" s="12"/>
      <c r="G3218" s="12"/>
      <c r="I3218" s="12"/>
      <c r="J3218" s="12"/>
      <c r="K3218" s="12"/>
    </row>
    <row r="3219" spans="6:11" x14ac:dyDescent="0.25">
      <c r="F3219" s="12"/>
      <c r="G3219" s="12"/>
      <c r="I3219" s="12"/>
      <c r="J3219" s="12"/>
      <c r="K3219" s="12"/>
    </row>
    <row r="3220" spans="6:11" x14ac:dyDescent="0.25">
      <c r="F3220" s="12"/>
      <c r="G3220" s="12"/>
      <c r="I3220" s="12"/>
      <c r="J3220" s="12"/>
      <c r="K3220" s="12"/>
    </row>
    <row r="3221" spans="6:11" x14ac:dyDescent="0.25">
      <c r="F3221" s="12"/>
      <c r="G3221" s="12"/>
      <c r="I3221" s="12"/>
      <c r="J3221" s="12"/>
      <c r="K3221" s="12"/>
    </row>
    <row r="3222" spans="6:11" x14ac:dyDescent="0.25">
      <c r="F3222" s="12"/>
      <c r="G3222" s="12"/>
      <c r="I3222" s="12"/>
      <c r="J3222" s="12"/>
      <c r="K3222" s="12"/>
    </row>
    <row r="3223" spans="6:11" x14ac:dyDescent="0.25">
      <c r="F3223" s="12"/>
      <c r="G3223" s="12"/>
      <c r="I3223" s="12"/>
      <c r="J3223" s="12"/>
      <c r="K3223" s="12"/>
    </row>
    <row r="3224" spans="6:11" x14ac:dyDescent="0.25">
      <c r="F3224" s="12"/>
      <c r="G3224" s="12"/>
      <c r="I3224" s="12"/>
      <c r="J3224" s="12"/>
      <c r="K3224" s="12"/>
    </row>
    <row r="3225" spans="6:11" x14ac:dyDescent="0.25">
      <c r="F3225" s="12"/>
      <c r="G3225" s="12"/>
      <c r="I3225" s="12"/>
      <c r="J3225" s="12"/>
      <c r="K3225" s="12"/>
    </row>
    <row r="3226" spans="6:11" x14ac:dyDescent="0.25">
      <c r="F3226" s="12"/>
      <c r="G3226" s="12"/>
      <c r="I3226" s="12"/>
      <c r="J3226" s="12"/>
      <c r="K3226" s="12"/>
    </row>
    <row r="3227" spans="6:11" x14ac:dyDescent="0.25">
      <c r="F3227" s="12"/>
      <c r="G3227" s="12"/>
      <c r="I3227" s="12"/>
      <c r="J3227" s="12"/>
      <c r="K3227" s="12"/>
    </row>
    <row r="3228" spans="6:11" x14ac:dyDescent="0.25">
      <c r="F3228" s="12"/>
      <c r="G3228" s="12"/>
      <c r="I3228" s="12"/>
      <c r="J3228" s="12"/>
      <c r="K3228" s="12"/>
    </row>
    <row r="3229" spans="6:11" x14ac:dyDescent="0.25">
      <c r="F3229" s="12"/>
      <c r="G3229" s="12"/>
      <c r="I3229" s="12"/>
      <c r="J3229" s="12"/>
      <c r="K3229" s="12"/>
    </row>
    <row r="3230" spans="6:11" x14ac:dyDescent="0.25">
      <c r="F3230" s="12"/>
      <c r="G3230" s="12"/>
      <c r="I3230" s="12"/>
      <c r="J3230" s="12"/>
      <c r="K3230" s="12"/>
    </row>
    <row r="3231" spans="6:11" x14ac:dyDescent="0.25">
      <c r="F3231" s="12"/>
      <c r="G3231" s="12"/>
      <c r="I3231" s="12"/>
      <c r="J3231" s="12"/>
      <c r="K3231" s="12"/>
    </row>
    <row r="3232" spans="6:11" x14ac:dyDescent="0.25">
      <c r="F3232" s="12"/>
      <c r="G3232" s="12"/>
      <c r="I3232" s="12"/>
      <c r="J3232" s="12"/>
      <c r="K3232" s="12"/>
    </row>
    <row r="3233" spans="6:11" x14ac:dyDescent="0.25">
      <c r="F3233" s="12"/>
      <c r="G3233" s="12"/>
      <c r="I3233" s="12"/>
      <c r="J3233" s="12"/>
      <c r="K3233" s="12"/>
    </row>
    <row r="3234" spans="6:11" x14ac:dyDescent="0.25">
      <c r="F3234" s="12"/>
      <c r="G3234" s="12"/>
      <c r="I3234" s="12"/>
      <c r="J3234" s="12"/>
      <c r="K3234" s="12"/>
    </row>
    <row r="3235" spans="6:11" x14ac:dyDescent="0.25">
      <c r="F3235" s="12"/>
      <c r="G3235" s="12"/>
      <c r="I3235" s="12"/>
      <c r="J3235" s="12"/>
      <c r="K3235" s="12"/>
    </row>
    <row r="3236" spans="6:11" x14ac:dyDescent="0.25">
      <c r="F3236" s="12"/>
      <c r="G3236" s="12"/>
      <c r="I3236" s="12"/>
      <c r="J3236" s="12"/>
      <c r="K3236" s="12"/>
    </row>
    <row r="3237" spans="6:11" x14ac:dyDescent="0.25">
      <c r="F3237" s="12"/>
      <c r="G3237" s="12"/>
      <c r="I3237" s="12"/>
      <c r="J3237" s="12"/>
      <c r="K3237" s="12"/>
    </row>
    <row r="3238" spans="6:11" x14ac:dyDescent="0.25">
      <c r="F3238" s="12"/>
      <c r="G3238" s="12"/>
      <c r="I3238" s="12"/>
      <c r="J3238" s="12"/>
      <c r="K3238" s="12"/>
    </row>
    <row r="3239" spans="6:11" x14ac:dyDescent="0.25">
      <c r="F3239" s="12"/>
      <c r="G3239" s="12"/>
      <c r="I3239" s="12"/>
      <c r="J3239" s="12"/>
      <c r="K3239" s="12"/>
    </row>
    <row r="3240" spans="6:11" x14ac:dyDescent="0.25">
      <c r="F3240" s="12"/>
      <c r="G3240" s="12"/>
      <c r="I3240" s="12"/>
      <c r="J3240" s="12"/>
      <c r="K3240" s="12"/>
    </row>
    <row r="3241" spans="6:11" x14ac:dyDescent="0.25">
      <c r="F3241" s="12"/>
      <c r="G3241" s="12"/>
      <c r="I3241" s="12"/>
      <c r="J3241" s="12"/>
      <c r="K3241" s="12"/>
    </row>
    <row r="3242" spans="6:11" x14ac:dyDescent="0.25">
      <c r="F3242" s="12"/>
      <c r="G3242" s="12"/>
      <c r="I3242" s="12"/>
      <c r="J3242" s="12"/>
      <c r="K3242" s="12"/>
    </row>
    <row r="3243" spans="6:11" x14ac:dyDescent="0.25">
      <c r="F3243" s="12"/>
      <c r="G3243" s="12"/>
      <c r="I3243" s="12"/>
      <c r="J3243" s="12"/>
      <c r="K3243" s="12"/>
    </row>
    <row r="3244" spans="6:11" x14ac:dyDescent="0.25">
      <c r="F3244" s="12"/>
      <c r="G3244" s="12"/>
      <c r="I3244" s="12"/>
      <c r="J3244" s="12"/>
      <c r="K3244" s="12"/>
    </row>
    <row r="3245" spans="6:11" x14ac:dyDescent="0.25">
      <c r="F3245" s="12"/>
      <c r="G3245" s="12"/>
      <c r="I3245" s="12"/>
      <c r="J3245" s="12"/>
      <c r="K3245" s="12"/>
    </row>
    <row r="3246" spans="6:11" x14ac:dyDescent="0.25">
      <c r="F3246" s="12"/>
      <c r="G3246" s="12"/>
      <c r="I3246" s="12"/>
      <c r="J3246" s="12"/>
      <c r="K3246" s="12"/>
    </row>
    <row r="3247" spans="6:11" x14ac:dyDescent="0.25">
      <c r="F3247" s="12"/>
      <c r="G3247" s="12"/>
      <c r="I3247" s="12"/>
      <c r="J3247" s="12"/>
      <c r="K3247" s="12"/>
    </row>
    <row r="3248" spans="6:11" x14ac:dyDescent="0.25">
      <c r="F3248" s="12"/>
      <c r="G3248" s="12"/>
      <c r="I3248" s="12"/>
      <c r="J3248" s="12"/>
      <c r="K3248" s="12"/>
    </row>
    <row r="3249" spans="6:11" x14ac:dyDescent="0.25">
      <c r="F3249" s="12"/>
      <c r="G3249" s="12"/>
      <c r="I3249" s="12"/>
      <c r="J3249" s="12"/>
      <c r="K3249" s="12"/>
    </row>
    <row r="3250" spans="6:11" x14ac:dyDescent="0.25">
      <c r="F3250" s="12"/>
      <c r="G3250" s="12"/>
      <c r="I3250" s="12"/>
      <c r="J3250" s="12"/>
      <c r="K3250" s="12"/>
    </row>
    <row r="3251" spans="6:11" x14ac:dyDescent="0.25">
      <c r="F3251" s="12"/>
      <c r="G3251" s="12"/>
      <c r="I3251" s="12"/>
      <c r="J3251" s="12"/>
      <c r="K3251" s="12"/>
    </row>
    <row r="3252" spans="6:11" x14ac:dyDescent="0.25">
      <c r="F3252" s="12"/>
      <c r="G3252" s="12"/>
      <c r="I3252" s="12"/>
      <c r="J3252" s="12"/>
      <c r="K3252" s="12"/>
    </row>
    <row r="3253" spans="6:11" x14ac:dyDescent="0.25">
      <c r="F3253" s="12"/>
      <c r="G3253" s="12"/>
      <c r="I3253" s="12"/>
      <c r="J3253" s="12"/>
      <c r="K3253" s="12"/>
    </row>
    <row r="3254" spans="6:11" x14ac:dyDescent="0.25">
      <c r="F3254" s="12"/>
      <c r="G3254" s="12"/>
      <c r="I3254" s="12"/>
      <c r="J3254" s="12"/>
      <c r="K3254" s="12"/>
    </row>
    <row r="3255" spans="6:11" x14ac:dyDescent="0.25">
      <c r="F3255" s="12"/>
      <c r="G3255" s="12"/>
      <c r="I3255" s="12"/>
      <c r="J3255" s="12"/>
      <c r="K3255" s="12"/>
    </row>
    <row r="3256" spans="6:11" x14ac:dyDescent="0.25">
      <c r="F3256" s="12"/>
      <c r="G3256" s="12"/>
      <c r="I3256" s="12"/>
      <c r="J3256" s="12"/>
      <c r="K3256" s="12"/>
    </row>
    <row r="3257" spans="6:11" x14ac:dyDescent="0.25">
      <c r="F3257" s="12"/>
      <c r="G3257" s="12"/>
      <c r="I3257" s="12"/>
      <c r="J3257" s="12"/>
      <c r="K3257" s="12"/>
    </row>
    <row r="3258" spans="6:11" x14ac:dyDescent="0.25">
      <c r="F3258" s="12"/>
      <c r="G3258" s="12"/>
      <c r="I3258" s="12"/>
      <c r="J3258" s="12"/>
      <c r="K3258" s="12"/>
    </row>
    <row r="3259" spans="6:11" x14ac:dyDescent="0.25">
      <c r="F3259" s="12"/>
      <c r="G3259" s="12"/>
      <c r="I3259" s="12"/>
      <c r="J3259" s="12"/>
      <c r="K3259" s="12"/>
    </row>
    <row r="3260" spans="6:11" x14ac:dyDescent="0.25">
      <c r="F3260" s="12"/>
      <c r="G3260" s="12"/>
      <c r="I3260" s="12"/>
      <c r="J3260" s="12"/>
      <c r="K3260" s="12"/>
    </row>
    <row r="3261" spans="6:11" x14ac:dyDescent="0.25">
      <c r="F3261" s="12"/>
      <c r="G3261" s="12"/>
      <c r="I3261" s="12"/>
      <c r="J3261" s="12"/>
      <c r="K3261" s="12"/>
    </row>
    <row r="3262" spans="6:11" x14ac:dyDescent="0.25">
      <c r="F3262" s="12"/>
      <c r="G3262" s="12"/>
      <c r="I3262" s="12"/>
      <c r="J3262" s="12"/>
      <c r="K3262" s="12"/>
    </row>
    <row r="3263" spans="6:11" x14ac:dyDescent="0.25">
      <c r="F3263" s="12"/>
      <c r="G3263" s="12"/>
      <c r="I3263" s="12"/>
      <c r="J3263" s="12"/>
      <c r="K3263" s="12"/>
    </row>
    <row r="3264" spans="6:11" x14ac:dyDescent="0.25">
      <c r="F3264" s="12"/>
      <c r="G3264" s="12"/>
      <c r="I3264" s="12"/>
      <c r="J3264" s="12"/>
      <c r="K3264" s="12"/>
    </row>
    <row r="3265" spans="6:11" x14ac:dyDescent="0.25">
      <c r="F3265" s="12"/>
      <c r="G3265" s="12"/>
      <c r="I3265" s="12"/>
      <c r="J3265" s="12"/>
      <c r="K3265" s="12"/>
    </row>
    <row r="3266" spans="6:11" x14ac:dyDescent="0.25">
      <c r="F3266" s="12"/>
      <c r="G3266" s="12"/>
      <c r="I3266" s="12"/>
      <c r="J3266" s="12"/>
      <c r="K3266" s="12"/>
    </row>
    <row r="3267" spans="6:11" x14ac:dyDescent="0.25">
      <c r="F3267" s="12"/>
      <c r="G3267" s="12"/>
      <c r="I3267" s="12"/>
      <c r="J3267" s="12"/>
      <c r="K3267" s="12"/>
    </row>
    <row r="3268" spans="6:11" x14ac:dyDescent="0.25">
      <c r="F3268" s="12"/>
      <c r="G3268" s="12"/>
      <c r="I3268" s="12"/>
      <c r="J3268" s="12"/>
      <c r="K3268" s="12"/>
    </row>
    <row r="3269" spans="6:11" x14ac:dyDescent="0.25">
      <c r="F3269" s="12"/>
      <c r="G3269" s="12"/>
      <c r="I3269" s="12"/>
      <c r="J3269" s="12"/>
      <c r="K3269" s="12"/>
    </row>
    <row r="3270" spans="6:11" x14ac:dyDescent="0.25">
      <c r="F3270" s="12"/>
      <c r="G3270" s="12"/>
      <c r="I3270" s="12"/>
      <c r="J3270" s="12"/>
      <c r="K3270" s="12"/>
    </row>
    <row r="3271" spans="6:11" x14ac:dyDescent="0.25">
      <c r="F3271" s="12"/>
      <c r="G3271" s="12"/>
      <c r="I3271" s="12"/>
      <c r="J3271" s="12"/>
      <c r="K3271" s="12"/>
    </row>
    <row r="3272" spans="6:11" x14ac:dyDescent="0.25">
      <c r="F3272" s="12"/>
      <c r="G3272" s="12"/>
      <c r="I3272" s="12"/>
      <c r="J3272" s="12"/>
      <c r="K3272" s="12"/>
    </row>
    <row r="3273" spans="6:11" x14ac:dyDescent="0.25">
      <c r="F3273" s="12"/>
      <c r="G3273" s="12"/>
      <c r="I3273" s="12"/>
      <c r="J3273" s="12"/>
      <c r="K3273" s="12"/>
    </row>
    <row r="3274" spans="6:11" x14ac:dyDescent="0.25">
      <c r="F3274" s="12"/>
      <c r="G3274" s="12"/>
      <c r="I3274" s="12"/>
      <c r="J3274" s="12"/>
      <c r="K3274" s="12"/>
    </row>
    <row r="3275" spans="6:11" x14ac:dyDescent="0.25">
      <c r="F3275" s="12"/>
      <c r="G3275" s="12"/>
      <c r="I3275" s="12"/>
      <c r="J3275" s="12"/>
      <c r="K3275" s="12"/>
    </row>
    <row r="3276" spans="6:11" x14ac:dyDescent="0.25">
      <c r="F3276" s="12"/>
      <c r="G3276" s="12"/>
      <c r="I3276" s="12"/>
      <c r="J3276" s="12"/>
      <c r="K3276" s="12"/>
    </row>
    <row r="3277" spans="6:11" x14ac:dyDescent="0.25">
      <c r="F3277" s="12"/>
      <c r="G3277" s="12"/>
      <c r="I3277" s="12"/>
      <c r="J3277" s="12"/>
      <c r="K3277" s="12"/>
    </row>
    <row r="3278" spans="6:11" x14ac:dyDescent="0.25">
      <c r="F3278" s="12"/>
      <c r="G3278" s="12"/>
      <c r="I3278" s="12"/>
      <c r="J3278" s="12"/>
      <c r="K3278" s="12"/>
    </row>
    <row r="3279" spans="6:11" x14ac:dyDescent="0.25">
      <c r="F3279" s="12"/>
      <c r="G3279" s="12"/>
      <c r="I3279" s="12"/>
      <c r="J3279" s="12"/>
      <c r="K3279" s="12"/>
    </row>
    <row r="3280" spans="6:11" x14ac:dyDescent="0.25">
      <c r="F3280" s="12"/>
      <c r="G3280" s="12"/>
      <c r="I3280" s="12"/>
      <c r="J3280" s="12"/>
      <c r="K3280" s="12"/>
    </row>
    <row r="3281" spans="6:11" x14ac:dyDescent="0.25">
      <c r="F3281" s="12"/>
      <c r="G3281" s="12"/>
      <c r="I3281" s="12"/>
      <c r="J3281" s="12"/>
      <c r="K3281" s="12"/>
    </row>
    <row r="3282" spans="6:11" x14ac:dyDescent="0.25">
      <c r="F3282" s="12"/>
      <c r="G3282" s="12"/>
      <c r="I3282" s="12"/>
      <c r="J3282" s="12"/>
      <c r="K3282" s="12"/>
    </row>
    <row r="3283" spans="6:11" x14ac:dyDescent="0.25">
      <c r="F3283" s="12"/>
      <c r="G3283" s="12"/>
      <c r="I3283" s="12"/>
      <c r="J3283" s="12"/>
      <c r="K3283" s="12"/>
    </row>
    <row r="3284" spans="6:11" x14ac:dyDescent="0.25">
      <c r="F3284" s="12"/>
      <c r="G3284" s="12"/>
      <c r="I3284" s="12"/>
      <c r="J3284" s="12"/>
      <c r="K3284" s="12"/>
    </row>
    <row r="3285" spans="6:11" x14ac:dyDescent="0.25">
      <c r="F3285" s="12"/>
      <c r="G3285" s="12"/>
      <c r="I3285" s="12"/>
      <c r="J3285" s="12"/>
      <c r="K3285" s="12"/>
    </row>
    <row r="3286" spans="6:11" x14ac:dyDescent="0.25">
      <c r="F3286" s="12"/>
      <c r="G3286" s="12"/>
      <c r="I3286" s="12"/>
      <c r="J3286" s="12"/>
      <c r="K3286" s="12"/>
    </row>
    <row r="3287" spans="6:11" x14ac:dyDescent="0.25">
      <c r="F3287" s="12"/>
      <c r="G3287" s="12"/>
      <c r="I3287" s="12"/>
      <c r="J3287" s="12"/>
      <c r="K3287" s="12"/>
    </row>
    <row r="3288" spans="6:11" x14ac:dyDescent="0.25">
      <c r="F3288" s="12"/>
      <c r="G3288" s="12"/>
      <c r="I3288" s="12"/>
      <c r="J3288" s="12"/>
      <c r="K3288" s="12"/>
    </row>
    <row r="3289" spans="6:11" x14ac:dyDescent="0.25">
      <c r="F3289" s="12"/>
      <c r="G3289" s="12"/>
      <c r="I3289" s="12"/>
      <c r="J3289" s="12"/>
      <c r="K3289" s="12"/>
    </row>
    <row r="3290" spans="6:11" x14ac:dyDescent="0.25">
      <c r="F3290" s="12"/>
      <c r="G3290" s="12"/>
      <c r="I3290" s="12"/>
      <c r="J3290" s="12"/>
      <c r="K3290" s="12"/>
    </row>
    <row r="3291" spans="6:11" x14ac:dyDescent="0.25">
      <c r="F3291" s="12"/>
      <c r="G3291" s="12"/>
      <c r="I3291" s="12"/>
      <c r="J3291" s="12"/>
      <c r="K3291" s="12"/>
    </row>
    <row r="3292" spans="6:11" x14ac:dyDescent="0.25">
      <c r="F3292" s="12"/>
      <c r="G3292" s="12"/>
      <c r="I3292" s="12"/>
      <c r="J3292" s="12"/>
      <c r="K3292" s="12"/>
    </row>
    <row r="3293" spans="6:11" x14ac:dyDescent="0.25">
      <c r="F3293" s="12"/>
      <c r="G3293" s="12"/>
      <c r="I3293" s="12"/>
      <c r="J3293" s="12"/>
      <c r="K3293" s="12"/>
    </row>
    <row r="3294" spans="6:11" x14ac:dyDescent="0.25">
      <c r="F3294" s="12"/>
      <c r="G3294" s="12"/>
      <c r="I3294" s="12"/>
      <c r="J3294" s="12"/>
      <c r="K3294" s="12"/>
    </row>
    <row r="3295" spans="6:11" x14ac:dyDescent="0.25">
      <c r="F3295" s="12"/>
      <c r="G3295" s="12"/>
      <c r="I3295" s="12"/>
      <c r="J3295" s="12"/>
      <c r="K3295" s="12"/>
    </row>
    <row r="3296" spans="6:11" x14ac:dyDescent="0.25">
      <c r="F3296" s="12"/>
      <c r="G3296" s="12"/>
      <c r="I3296" s="12"/>
      <c r="J3296" s="12"/>
      <c r="K3296" s="12"/>
    </row>
    <row r="3297" spans="6:11" x14ac:dyDescent="0.25">
      <c r="F3297" s="12"/>
      <c r="G3297" s="12"/>
      <c r="I3297" s="12"/>
      <c r="J3297" s="12"/>
      <c r="K3297" s="12"/>
    </row>
    <row r="3298" spans="6:11" x14ac:dyDescent="0.25">
      <c r="F3298" s="12"/>
      <c r="G3298" s="12"/>
      <c r="I3298" s="12"/>
      <c r="J3298" s="12"/>
      <c r="K3298" s="12"/>
    </row>
    <row r="3299" spans="6:11" x14ac:dyDescent="0.25">
      <c r="F3299" s="12"/>
      <c r="G3299" s="12"/>
      <c r="I3299" s="12"/>
      <c r="J3299" s="12"/>
      <c r="K3299" s="12"/>
    </row>
    <row r="3300" spans="6:11" x14ac:dyDescent="0.25">
      <c r="F3300" s="12"/>
      <c r="G3300" s="12"/>
      <c r="I3300" s="12"/>
      <c r="J3300" s="12"/>
      <c r="K3300" s="12"/>
    </row>
    <row r="3301" spans="6:11" x14ac:dyDescent="0.25">
      <c r="F3301" s="12"/>
      <c r="G3301" s="12"/>
      <c r="I3301" s="12"/>
      <c r="J3301" s="12"/>
      <c r="K3301" s="12"/>
    </row>
    <row r="3302" spans="6:11" x14ac:dyDescent="0.25">
      <c r="F3302" s="12"/>
      <c r="G3302" s="12"/>
      <c r="I3302" s="12"/>
      <c r="J3302" s="12"/>
      <c r="K3302" s="12"/>
    </row>
    <row r="3303" spans="6:11" x14ac:dyDescent="0.25">
      <c r="F3303" s="12"/>
      <c r="G3303" s="12"/>
      <c r="I3303" s="12"/>
      <c r="J3303" s="12"/>
      <c r="K3303" s="12"/>
    </row>
    <row r="3304" spans="6:11" x14ac:dyDescent="0.25">
      <c r="F3304" s="12"/>
      <c r="G3304" s="12"/>
      <c r="I3304" s="12"/>
      <c r="J3304" s="12"/>
      <c r="K3304" s="12"/>
    </row>
    <row r="3305" spans="6:11" x14ac:dyDescent="0.25">
      <c r="F3305" s="12"/>
      <c r="G3305" s="12"/>
      <c r="I3305" s="12"/>
      <c r="J3305" s="12"/>
      <c r="K3305" s="12"/>
    </row>
    <row r="3306" spans="6:11" x14ac:dyDescent="0.25">
      <c r="F3306" s="12"/>
      <c r="G3306" s="12"/>
      <c r="I3306" s="12"/>
      <c r="J3306" s="12"/>
      <c r="K3306" s="12"/>
    </row>
    <row r="3307" spans="6:11" x14ac:dyDescent="0.25">
      <c r="F3307" s="12"/>
      <c r="G3307" s="12"/>
      <c r="I3307" s="12"/>
      <c r="J3307" s="12"/>
      <c r="K3307" s="12"/>
    </row>
    <row r="3308" spans="6:11" x14ac:dyDescent="0.25">
      <c r="F3308" s="12"/>
      <c r="G3308" s="12"/>
      <c r="I3308" s="12"/>
      <c r="J3308" s="12"/>
      <c r="K3308" s="12"/>
    </row>
    <row r="3309" spans="6:11" x14ac:dyDescent="0.25">
      <c r="F3309" s="12"/>
      <c r="G3309" s="12"/>
      <c r="I3309" s="12"/>
      <c r="J3309" s="12"/>
      <c r="K3309" s="12"/>
    </row>
    <row r="3310" spans="6:11" x14ac:dyDescent="0.25">
      <c r="F3310" s="12"/>
      <c r="G3310" s="12"/>
      <c r="I3310" s="12"/>
      <c r="J3310" s="12"/>
      <c r="K3310" s="12"/>
    </row>
    <row r="3311" spans="6:11" x14ac:dyDescent="0.25">
      <c r="F3311" s="12"/>
      <c r="G3311" s="12"/>
      <c r="I3311" s="12"/>
      <c r="J3311" s="12"/>
      <c r="K3311" s="12"/>
    </row>
    <row r="3312" spans="6:11" x14ac:dyDescent="0.25">
      <c r="F3312" s="12"/>
      <c r="G3312" s="12"/>
      <c r="I3312" s="12"/>
      <c r="J3312" s="12"/>
      <c r="K3312" s="12"/>
    </row>
    <row r="3313" spans="6:11" x14ac:dyDescent="0.25">
      <c r="F3313" s="12"/>
      <c r="G3313" s="12"/>
      <c r="I3313" s="12"/>
      <c r="J3313" s="12"/>
      <c r="K3313" s="12"/>
    </row>
    <row r="3314" spans="6:11" x14ac:dyDescent="0.25">
      <c r="F3314" s="12"/>
      <c r="G3314" s="12"/>
      <c r="I3314" s="12"/>
      <c r="J3314" s="12"/>
      <c r="K3314" s="12"/>
    </row>
    <row r="3315" spans="6:11" x14ac:dyDescent="0.25">
      <c r="F3315" s="12"/>
      <c r="G3315" s="12"/>
      <c r="I3315" s="12"/>
      <c r="J3315" s="12"/>
      <c r="K3315" s="12"/>
    </row>
    <row r="3316" spans="6:11" x14ac:dyDescent="0.25">
      <c r="F3316" s="12"/>
      <c r="G3316" s="12"/>
      <c r="I3316" s="12"/>
      <c r="J3316" s="12"/>
      <c r="K3316" s="12"/>
    </row>
    <row r="3317" spans="6:11" x14ac:dyDescent="0.25">
      <c r="F3317" s="12"/>
      <c r="G3317" s="12"/>
      <c r="I3317" s="12"/>
      <c r="J3317" s="12"/>
      <c r="K3317" s="12"/>
    </row>
    <row r="3318" spans="6:11" x14ac:dyDescent="0.25">
      <c r="F3318" s="12"/>
      <c r="G3318" s="12"/>
      <c r="I3318" s="12"/>
      <c r="J3318" s="12"/>
      <c r="K3318" s="12"/>
    </row>
    <row r="3319" spans="6:11" x14ac:dyDescent="0.25">
      <c r="F3319" s="12"/>
      <c r="G3319" s="12"/>
      <c r="I3319" s="12"/>
      <c r="J3319" s="12"/>
      <c r="K3319" s="12"/>
    </row>
    <row r="3320" spans="6:11" x14ac:dyDescent="0.25">
      <c r="F3320" s="12"/>
      <c r="G3320" s="12"/>
      <c r="I3320" s="12"/>
      <c r="J3320" s="12"/>
      <c r="K3320" s="12"/>
    </row>
    <row r="3321" spans="6:11" x14ac:dyDescent="0.25">
      <c r="F3321" s="12"/>
      <c r="G3321" s="12"/>
      <c r="I3321" s="12"/>
      <c r="J3321" s="12"/>
      <c r="K3321" s="12"/>
    </row>
    <row r="3322" spans="6:11" x14ac:dyDescent="0.25">
      <c r="F3322" s="12"/>
      <c r="G3322" s="12"/>
      <c r="I3322" s="12"/>
      <c r="J3322" s="12"/>
      <c r="K3322" s="12"/>
    </row>
    <row r="3323" spans="6:11" x14ac:dyDescent="0.25">
      <c r="F3323" s="12"/>
      <c r="G3323" s="12"/>
      <c r="I3323" s="12"/>
      <c r="J3323" s="12"/>
      <c r="K3323" s="12"/>
    </row>
    <row r="3324" spans="6:11" x14ac:dyDescent="0.25">
      <c r="F3324" s="12"/>
      <c r="G3324" s="12"/>
      <c r="I3324" s="12"/>
      <c r="J3324" s="12"/>
      <c r="K3324" s="12"/>
    </row>
    <row r="3325" spans="6:11" x14ac:dyDescent="0.25">
      <c r="F3325" s="12"/>
      <c r="G3325" s="12"/>
      <c r="I3325" s="12"/>
      <c r="J3325" s="12"/>
      <c r="K3325" s="12"/>
    </row>
    <row r="3326" spans="6:11" x14ac:dyDescent="0.25">
      <c r="F3326" s="12"/>
      <c r="G3326" s="12"/>
      <c r="I3326" s="12"/>
      <c r="J3326" s="12"/>
      <c r="K3326" s="12"/>
    </row>
    <row r="3327" spans="6:11" x14ac:dyDescent="0.25">
      <c r="F3327" s="12"/>
      <c r="G3327" s="12"/>
      <c r="I3327" s="12"/>
      <c r="J3327" s="12"/>
      <c r="K3327" s="12"/>
    </row>
    <row r="3328" spans="6:11" x14ac:dyDescent="0.25">
      <c r="F3328" s="12"/>
      <c r="G3328" s="12"/>
      <c r="I3328" s="12"/>
      <c r="J3328" s="12"/>
      <c r="K3328" s="12"/>
    </row>
    <row r="3329" spans="6:11" x14ac:dyDescent="0.25">
      <c r="F3329" s="12"/>
      <c r="G3329" s="12"/>
      <c r="I3329" s="12"/>
      <c r="J3329" s="12"/>
      <c r="K3329" s="12"/>
    </row>
    <row r="3330" spans="6:11" x14ac:dyDescent="0.25">
      <c r="F3330" s="12"/>
      <c r="G3330" s="12"/>
      <c r="I3330" s="12"/>
      <c r="J3330" s="12"/>
      <c r="K3330" s="12"/>
    </row>
    <row r="3331" spans="6:11" x14ac:dyDescent="0.25">
      <c r="F3331" s="12"/>
      <c r="G3331" s="12"/>
      <c r="I3331" s="12"/>
      <c r="J3331" s="12"/>
      <c r="K3331" s="12"/>
    </row>
    <row r="3332" spans="6:11" x14ac:dyDescent="0.25">
      <c r="F3332" s="12"/>
      <c r="G3332" s="12"/>
      <c r="I3332" s="12"/>
      <c r="J3332" s="12"/>
      <c r="K3332" s="12"/>
    </row>
    <row r="3333" spans="6:11" x14ac:dyDescent="0.25">
      <c r="F3333" s="12"/>
      <c r="G3333" s="12"/>
      <c r="I3333" s="12"/>
      <c r="J3333" s="12"/>
      <c r="K3333" s="12"/>
    </row>
    <row r="3334" spans="6:11" x14ac:dyDescent="0.25">
      <c r="F3334" s="12"/>
      <c r="G3334" s="12"/>
      <c r="I3334" s="12"/>
      <c r="J3334" s="12"/>
      <c r="K3334" s="12"/>
    </row>
    <row r="3335" spans="6:11" x14ac:dyDescent="0.25">
      <c r="F3335" s="12"/>
      <c r="G3335" s="12"/>
      <c r="I3335" s="12"/>
      <c r="J3335" s="12"/>
      <c r="K3335" s="12"/>
    </row>
    <row r="3336" spans="6:11" x14ac:dyDescent="0.25">
      <c r="F3336" s="12"/>
      <c r="G3336" s="12"/>
      <c r="I3336" s="12"/>
      <c r="J3336" s="12"/>
      <c r="K3336" s="12"/>
    </row>
    <row r="3337" spans="6:11" x14ac:dyDescent="0.25">
      <c r="F3337" s="12"/>
      <c r="G3337" s="12"/>
      <c r="I3337" s="12"/>
      <c r="J3337" s="12"/>
      <c r="K3337" s="12"/>
    </row>
    <row r="3338" spans="6:11" x14ac:dyDescent="0.25">
      <c r="F3338" s="12"/>
      <c r="G3338" s="12"/>
      <c r="I3338" s="12"/>
      <c r="J3338" s="12"/>
      <c r="K3338" s="12"/>
    </row>
    <row r="3339" spans="6:11" x14ac:dyDescent="0.25">
      <c r="F3339" s="12"/>
      <c r="G3339" s="12"/>
      <c r="I3339" s="12"/>
      <c r="J3339" s="12"/>
      <c r="K3339" s="12"/>
    </row>
    <row r="3340" spans="6:11" x14ac:dyDescent="0.25">
      <c r="F3340" s="12"/>
      <c r="G3340" s="12"/>
      <c r="I3340" s="12"/>
      <c r="J3340" s="12"/>
      <c r="K3340" s="12"/>
    </row>
    <row r="3341" spans="6:11" x14ac:dyDescent="0.25">
      <c r="F3341" s="12"/>
      <c r="G3341" s="12"/>
      <c r="I3341" s="12"/>
      <c r="J3341" s="12"/>
      <c r="K3341" s="12"/>
    </row>
    <row r="3342" spans="6:11" x14ac:dyDescent="0.25">
      <c r="F3342" s="12"/>
      <c r="G3342" s="12"/>
      <c r="I3342" s="12"/>
      <c r="J3342" s="12"/>
      <c r="K3342" s="12"/>
    </row>
    <row r="3343" spans="6:11" x14ac:dyDescent="0.25">
      <c r="F3343" s="12"/>
      <c r="G3343" s="12"/>
      <c r="I3343" s="12"/>
      <c r="J3343" s="12"/>
      <c r="K3343" s="12"/>
    </row>
    <row r="3344" spans="6:11" x14ac:dyDescent="0.25">
      <c r="F3344" s="12"/>
      <c r="G3344" s="12"/>
      <c r="I3344" s="12"/>
      <c r="J3344" s="12"/>
      <c r="K3344" s="12"/>
    </row>
    <row r="3345" spans="6:11" x14ac:dyDescent="0.25">
      <c r="F3345" s="12"/>
      <c r="G3345" s="12"/>
      <c r="I3345" s="12"/>
      <c r="J3345" s="12"/>
      <c r="K3345" s="12"/>
    </row>
    <row r="3346" spans="6:11" x14ac:dyDescent="0.25">
      <c r="F3346" s="12"/>
      <c r="G3346" s="12"/>
      <c r="I3346" s="12"/>
      <c r="J3346" s="12"/>
      <c r="K3346" s="12"/>
    </row>
    <row r="3347" spans="6:11" x14ac:dyDescent="0.25">
      <c r="F3347" s="12"/>
      <c r="G3347" s="12"/>
      <c r="I3347" s="12"/>
      <c r="J3347" s="12"/>
      <c r="K3347" s="12"/>
    </row>
    <row r="3348" spans="6:11" x14ac:dyDescent="0.25">
      <c r="F3348" s="12"/>
      <c r="G3348" s="12"/>
      <c r="I3348" s="12"/>
      <c r="J3348" s="12"/>
      <c r="K3348" s="12"/>
    </row>
    <row r="3349" spans="6:11" x14ac:dyDescent="0.25">
      <c r="F3349" s="12"/>
      <c r="G3349" s="12"/>
      <c r="I3349" s="12"/>
      <c r="J3349" s="12"/>
      <c r="K3349" s="12"/>
    </row>
    <row r="3350" spans="6:11" x14ac:dyDescent="0.25">
      <c r="F3350" s="12"/>
      <c r="G3350" s="12"/>
      <c r="I3350" s="12"/>
      <c r="J3350" s="12"/>
      <c r="K3350" s="12"/>
    </row>
    <row r="3351" spans="6:11" x14ac:dyDescent="0.25">
      <c r="F3351" s="12"/>
      <c r="G3351" s="12"/>
      <c r="I3351" s="12"/>
      <c r="J3351" s="12"/>
      <c r="K3351" s="12"/>
    </row>
    <row r="3352" spans="6:11" x14ac:dyDescent="0.25">
      <c r="F3352" s="12"/>
      <c r="G3352" s="12"/>
      <c r="I3352" s="12"/>
      <c r="J3352" s="12"/>
      <c r="K3352" s="12"/>
    </row>
    <row r="3353" spans="6:11" x14ac:dyDescent="0.25">
      <c r="F3353" s="12"/>
      <c r="G3353" s="12"/>
      <c r="I3353" s="12"/>
      <c r="J3353" s="12"/>
      <c r="K3353" s="12"/>
    </row>
    <row r="3354" spans="6:11" x14ac:dyDescent="0.25">
      <c r="F3354" s="12"/>
      <c r="G3354" s="12"/>
      <c r="I3354" s="12"/>
      <c r="J3354" s="12"/>
      <c r="K3354" s="12"/>
    </row>
    <row r="3355" spans="6:11" x14ac:dyDescent="0.25">
      <c r="F3355" s="12"/>
      <c r="G3355" s="12"/>
      <c r="I3355" s="12"/>
      <c r="J3355" s="12"/>
      <c r="K3355" s="12"/>
    </row>
    <row r="3356" spans="6:11" x14ac:dyDescent="0.25">
      <c r="F3356" s="12"/>
      <c r="G3356" s="12"/>
      <c r="I3356" s="12"/>
      <c r="J3356" s="12"/>
      <c r="K3356" s="12"/>
    </row>
    <row r="3357" spans="6:11" x14ac:dyDescent="0.25">
      <c r="F3357" s="12"/>
      <c r="G3357" s="12"/>
      <c r="I3357" s="12"/>
      <c r="J3357" s="12"/>
      <c r="K3357" s="12"/>
    </row>
    <row r="3358" spans="6:11" x14ac:dyDescent="0.25">
      <c r="F3358" s="12"/>
      <c r="G3358" s="12"/>
      <c r="I3358" s="12"/>
      <c r="J3358" s="12"/>
      <c r="K3358" s="12"/>
    </row>
    <row r="3359" spans="6:11" x14ac:dyDescent="0.25">
      <c r="F3359" s="12"/>
      <c r="G3359" s="12"/>
      <c r="I3359" s="12"/>
      <c r="J3359" s="12"/>
      <c r="K3359" s="12"/>
    </row>
    <row r="3360" spans="6:11" x14ac:dyDescent="0.25">
      <c r="F3360" s="12"/>
      <c r="G3360" s="12"/>
      <c r="I3360" s="12"/>
      <c r="J3360" s="12"/>
      <c r="K3360" s="12"/>
    </row>
    <row r="3361" spans="6:11" x14ac:dyDescent="0.25">
      <c r="F3361" s="12"/>
      <c r="G3361" s="12"/>
      <c r="I3361" s="12"/>
      <c r="J3361" s="12"/>
      <c r="K3361" s="12"/>
    </row>
    <row r="3362" spans="6:11" x14ac:dyDescent="0.25">
      <c r="F3362" s="12"/>
      <c r="G3362" s="12"/>
      <c r="I3362" s="12"/>
      <c r="J3362" s="12"/>
      <c r="K3362" s="12"/>
    </row>
    <row r="3363" spans="6:11" x14ac:dyDescent="0.25">
      <c r="F3363" s="12"/>
      <c r="G3363" s="12"/>
      <c r="I3363" s="12"/>
      <c r="J3363" s="12"/>
      <c r="K3363" s="12"/>
    </row>
    <row r="3364" spans="6:11" x14ac:dyDescent="0.25">
      <c r="F3364" s="12"/>
      <c r="G3364" s="12"/>
      <c r="I3364" s="12"/>
      <c r="J3364" s="12"/>
      <c r="K3364" s="12"/>
    </row>
    <row r="3365" spans="6:11" x14ac:dyDescent="0.25">
      <c r="F3365" s="12"/>
      <c r="G3365" s="12"/>
      <c r="I3365" s="12"/>
      <c r="J3365" s="12"/>
      <c r="K3365" s="12"/>
    </row>
    <row r="3366" spans="6:11" x14ac:dyDescent="0.25">
      <c r="F3366" s="12"/>
      <c r="G3366" s="12"/>
      <c r="I3366" s="12"/>
      <c r="J3366" s="12"/>
      <c r="K3366" s="12"/>
    </row>
    <row r="3367" spans="6:11" x14ac:dyDescent="0.25">
      <c r="F3367" s="12"/>
      <c r="G3367" s="12"/>
      <c r="I3367" s="12"/>
      <c r="J3367" s="12"/>
      <c r="K3367" s="12"/>
    </row>
    <row r="3368" spans="6:11" x14ac:dyDescent="0.25">
      <c r="F3368" s="12"/>
      <c r="G3368" s="12"/>
      <c r="I3368" s="12"/>
      <c r="J3368" s="12"/>
      <c r="K3368" s="12"/>
    </row>
    <row r="3369" spans="6:11" x14ac:dyDescent="0.25">
      <c r="F3369" s="12"/>
      <c r="G3369" s="12"/>
      <c r="I3369" s="12"/>
      <c r="J3369" s="12"/>
      <c r="K3369" s="12"/>
    </row>
    <row r="3370" spans="6:11" x14ac:dyDescent="0.25">
      <c r="F3370" s="12"/>
      <c r="G3370" s="12"/>
      <c r="I3370" s="12"/>
      <c r="J3370" s="12"/>
      <c r="K3370" s="12"/>
    </row>
    <row r="3371" spans="6:11" x14ac:dyDescent="0.25">
      <c r="F3371" s="12"/>
      <c r="G3371" s="12"/>
      <c r="I3371" s="12"/>
      <c r="J3371" s="12"/>
      <c r="K3371" s="12"/>
    </row>
    <row r="3372" spans="6:11" x14ac:dyDescent="0.25">
      <c r="F3372" s="12"/>
      <c r="G3372" s="12"/>
      <c r="I3372" s="12"/>
      <c r="J3372" s="12"/>
      <c r="K3372" s="12"/>
    </row>
    <row r="3373" spans="6:11" x14ac:dyDescent="0.25">
      <c r="F3373" s="12"/>
      <c r="G3373" s="12"/>
      <c r="I3373" s="12"/>
      <c r="J3373" s="12"/>
      <c r="K3373" s="12"/>
    </row>
    <row r="3374" spans="6:11" x14ac:dyDescent="0.25">
      <c r="F3374" s="12"/>
      <c r="G3374" s="12"/>
      <c r="I3374" s="12"/>
      <c r="J3374" s="12"/>
      <c r="K3374" s="12"/>
    </row>
    <row r="3375" spans="6:11" x14ac:dyDescent="0.25">
      <c r="F3375" s="12"/>
      <c r="G3375" s="12"/>
      <c r="I3375" s="12"/>
      <c r="J3375" s="12"/>
      <c r="K3375" s="12"/>
    </row>
    <row r="3376" spans="6:11" x14ac:dyDescent="0.25">
      <c r="F3376" s="12"/>
      <c r="G3376" s="12"/>
      <c r="I3376" s="12"/>
      <c r="J3376" s="12"/>
      <c r="K3376" s="12"/>
    </row>
    <row r="3377" spans="6:11" x14ac:dyDescent="0.25">
      <c r="F3377" s="12"/>
      <c r="G3377" s="12"/>
      <c r="I3377" s="12"/>
      <c r="J3377" s="12"/>
      <c r="K3377" s="12"/>
    </row>
    <row r="3378" spans="6:11" x14ac:dyDescent="0.25">
      <c r="F3378" s="12"/>
      <c r="G3378" s="12"/>
      <c r="I3378" s="12"/>
      <c r="J3378" s="12"/>
      <c r="K3378" s="12"/>
    </row>
    <row r="3379" spans="6:11" x14ac:dyDescent="0.25">
      <c r="F3379" s="12"/>
      <c r="G3379" s="12"/>
      <c r="I3379" s="12"/>
      <c r="J3379" s="12"/>
      <c r="K3379" s="12"/>
    </row>
    <row r="3380" spans="6:11" x14ac:dyDescent="0.25">
      <c r="F3380" s="12"/>
      <c r="G3380" s="12"/>
      <c r="I3380" s="12"/>
      <c r="J3380" s="12"/>
      <c r="K3380" s="12"/>
    </row>
    <row r="3381" spans="6:11" x14ac:dyDescent="0.25">
      <c r="F3381" s="12"/>
      <c r="G3381" s="12"/>
      <c r="I3381" s="12"/>
      <c r="J3381" s="12"/>
      <c r="K3381" s="12"/>
    </row>
    <row r="3382" spans="6:11" x14ac:dyDescent="0.25">
      <c r="F3382" s="12"/>
      <c r="G3382" s="12"/>
      <c r="I3382" s="12"/>
      <c r="J3382" s="12"/>
      <c r="K3382" s="12"/>
    </row>
    <row r="3383" spans="6:11" x14ac:dyDescent="0.25">
      <c r="F3383" s="12"/>
      <c r="G3383" s="12"/>
      <c r="I3383" s="12"/>
      <c r="J3383" s="12"/>
      <c r="K3383" s="12"/>
    </row>
    <row r="3384" spans="6:11" x14ac:dyDescent="0.25">
      <c r="F3384" s="12"/>
      <c r="G3384" s="12"/>
      <c r="I3384" s="12"/>
      <c r="J3384" s="12"/>
      <c r="K3384" s="12"/>
    </row>
    <row r="3385" spans="6:11" x14ac:dyDescent="0.25">
      <c r="F3385" s="12"/>
      <c r="G3385" s="12"/>
      <c r="I3385" s="12"/>
      <c r="J3385" s="12"/>
      <c r="K3385" s="12"/>
    </row>
    <row r="3386" spans="6:11" x14ac:dyDescent="0.25">
      <c r="F3386" s="12"/>
      <c r="G3386" s="12"/>
      <c r="I3386" s="12"/>
      <c r="J3386" s="12"/>
      <c r="K3386" s="12"/>
    </row>
    <row r="3387" spans="6:11" x14ac:dyDescent="0.25">
      <c r="F3387" s="12"/>
      <c r="G3387" s="12"/>
      <c r="I3387" s="12"/>
      <c r="J3387" s="12"/>
      <c r="K3387" s="12"/>
    </row>
    <row r="3388" spans="6:11" x14ac:dyDescent="0.25">
      <c r="F3388" s="12"/>
      <c r="G3388" s="12"/>
      <c r="I3388" s="12"/>
      <c r="J3388" s="12"/>
      <c r="K3388" s="12"/>
    </row>
    <row r="3389" spans="6:11" x14ac:dyDescent="0.25">
      <c r="F3389" s="12"/>
      <c r="G3389" s="12"/>
      <c r="I3389" s="12"/>
      <c r="J3389" s="12"/>
      <c r="K3389" s="12"/>
    </row>
    <row r="3390" spans="6:11" x14ac:dyDescent="0.25">
      <c r="F3390" s="12"/>
      <c r="G3390" s="12"/>
      <c r="I3390" s="12"/>
      <c r="J3390" s="12"/>
      <c r="K3390" s="12"/>
    </row>
    <row r="3391" spans="6:11" x14ac:dyDescent="0.25">
      <c r="F3391" s="12"/>
      <c r="G3391" s="12"/>
      <c r="I3391" s="12"/>
      <c r="J3391" s="12"/>
      <c r="K3391" s="12"/>
    </row>
    <row r="3392" spans="6:11" x14ac:dyDescent="0.25">
      <c r="F3392" s="12"/>
      <c r="G3392" s="12"/>
      <c r="I3392" s="12"/>
      <c r="J3392" s="12"/>
      <c r="K3392" s="12"/>
    </row>
    <row r="3393" spans="6:11" x14ac:dyDescent="0.25">
      <c r="F3393" s="12"/>
      <c r="G3393" s="12"/>
      <c r="I3393" s="12"/>
      <c r="J3393" s="12"/>
      <c r="K3393" s="12"/>
    </row>
    <row r="3394" spans="6:11" x14ac:dyDescent="0.25">
      <c r="F3394" s="12"/>
      <c r="G3394" s="12"/>
      <c r="I3394" s="12"/>
      <c r="J3394" s="12"/>
      <c r="K3394" s="12"/>
    </row>
    <row r="3395" spans="6:11" x14ac:dyDescent="0.25">
      <c r="F3395" s="12"/>
      <c r="G3395" s="12"/>
      <c r="I3395" s="12"/>
      <c r="J3395" s="12"/>
      <c r="K3395" s="12"/>
    </row>
    <row r="3396" spans="6:11" x14ac:dyDescent="0.25">
      <c r="F3396" s="12"/>
      <c r="G3396" s="12"/>
      <c r="I3396" s="12"/>
      <c r="J3396" s="12"/>
      <c r="K3396" s="12"/>
    </row>
    <row r="3397" spans="6:11" x14ac:dyDescent="0.25">
      <c r="F3397" s="12"/>
      <c r="G3397" s="12"/>
      <c r="I3397" s="12"/>
      <c r="J3397" s="12"/>
      <c r="K3397" s="12"/>
    </row>
    <row r="3398" spans="6:11" x14ac:dyDescent="0.25">
      <c r="F3398" s="12"/>
      <c r="G3398" s="12"/>
      <c r="I3398" s="12"/>
      <c r="J3398" s="12"/>
      <c r="K3398" s="12"/>
    </row>
    <row r="3399" spans="6:11" x14ac:dyDescent="0.25">
      <c r="F3399" s="12"/>
      <c r="G3399" s="12"/>
      <c r="I3399" s="12"/>
      <c r="J3399" s="12"/>
      <c r="K3399" s="12"/>
    </row>
    <row r="3400" spans="6:11" x14ac:dyDescent="0.25">
      <c r="F3400" s="12"/>
      <c r="G3400" s="12"/>
      <c r="I3400" s="12"/>
      <c r="J3400" s="12"/>
      <c r="K3400" s="12"/>
    </row>
    <row r="3401" spans="6:11" x14ac:dyDescent="0.25">
      <c r="F3401" s="12"/>
      <c r="G3401" s="12"/>
      <c r="I3401" s="12"/>
      <c r="J3401" s="12"/>
      <c r="K3401" s="12"/>
    </row>
    <row r="3402" spans="6:11" x14ac:dyDescent="0.25">
      <c r="F3402" s="12"/>
      <c r="G3402" s="12"/>
      <c r="I3402" s="12"/>
      <c r="J3402" s="12"/>
      <c r="K3402" s="12"/>
    </row>
    <row r="3403" spans="6:11" x14ac:dyDescent="0.25">
      <c r="F3403" s="12"/>
      <c r="G3403" s="12"/>
      <c r="I3403" s="12"/>
      <c r="J3403" s="12"/>
      <c r="K3403" s="12"/>
    </row>
    <row r="3404" spans="6:11" x14ac:dyDescent="0.25">
      <c r="F3404" s="12"/>
      <c r="G3404" s="12"/>
      <c r="I3404" s="12"/>
      <c r="J3404" s="12"/>
      <c r="K3404" s="12"/>
    </row>
    <row r="3405" spans="6:11" x14ac:dyDescent="0.25">
      <c r="F3405" s="12"/>
      <c r="G3405" s="12"/>
      <c r="I3405" s="12"/>
      <c r="J3405" s="12"/>
      <c r="K3405" s="12"/>
    </row>
    <row r="3406" spans="6:11" x14ac:dyDescent="0.25">
      <c r="F3406" s="12"/>
      <c r="G3406" s="12"/>
      <c r="I3406" s="12"/>
      <c r="J3406" s="12"/>
      <c r="K3406" s="12"/>
    </row>
    <row r="3407" spans="6:11" x14ac:dyDescent="0.25">
      <c r="F3407" s="12"/>
      <c r="G3407" s="12"/>
      <c r="I3407" s="12"/>
      <c r="J3407" s="12"/>
      <c r="K3407" s="12"/>
    </row>
    <row r="3408" spans="6:11" x14ac:dyDescent="0.25">
      <c r="F3408" s="12"/>
      <c r="G3408" s="12"/>
      <c r="I3408" s="12"/>
      <c r="J3408" s="12"/>
      <c r="K3408" s="12"/>
    </row>
    <row r="3409" spans="6:11" x14ac:dyDescent="0.25">
      <c r="F3409" s="12"/>
      <c r="G3409" s="12"/>
      <c r="I3409" s="12"/>
      <c r="J3409" s="12"/>
      <c r="K3409" s="12"/>
    </row>
    <row r="3410" spans="6:11" x14ac:dyDescent="0.25">
      <c r="F3410" s="12"/>
      <c r="G3410" s="12"/>
      <c r="I3410" s="12"/>
      <c r="J3410" s="12"/>
      <c r="K3410" s="12"/>
    </row>
    <row r="3411" spans="6:11" x14ac:dyDescent="0.25">
      <c r="F3411" s="12"/>
      <c r="G3411" s="12"/>
      <c r="I3411" s="12"/>
      <c r="J3411" s="12"/>
      <c r="K3411" s="12"/>
    </row>
    <row r="3412" spans="6:11" x14ac:dyDescent="0.25">
      <c r="F3412" s="12"/>
      <c r="G3412" s="12"/>
      <c r="I3412" s="12"/>
      <c r="J3412" s="12"/>
      <c r="K3412" s="12"/>
    </row>
    <row r="3413" spans="6:11" x14ac:dyDescent="0.25">
      <c r="F3413" s="12"/>
      <c r="G3413" s="12"/>
      <c r="I3413" s="12"/>
      <c r="J3413" s="12"/>
      <c r="K3413" s="12"/>
    </row>
    <row r="3414" spans="6:11" x14ac:dyDescent="0.25">
      <c r="F3414" s="12"/>
      <c r="G3414" s="12"/>
      <c r="I3414" s="12"/>
      <c r="J3414" s="12"/>
      <c r="K3414" s="12"/>
    </row>
    <row r="3415" spans="6:11" x14ac:dyDescent="0.25">
      <c r="F3415" s="12"/>
      <c r="G3415" s="12"/>
      <c r="I3415" s="12"/>
      <c r="J3415" s="12"/>
      <c r="K3415" s="12"/>
    </row>
    <row r="3416" spans="6:11" x14ac:dyDescent="0.25">
      <c r="F3416" s="12"/>
      <c r="G3416" s="12"/>
      <c r="I3416" s="12"/>
      <c r="J3416" s="12"/>
      <c r="K3416" s="12"/>
    </row>
    <row r="3417" spans="6:11" x14ac:dyDescent="0.25">
      <c r="F3417" s="12"/>
      <c r="G3417" s="12"/>
      <c r="I3417" s="12"/>
      <c r="J3417" s="12"/>
      <c r="K3417" s="12"/>
    </row>
    <row r="3418" spans="6:11" x14ac:dyDescent="0.25">
      <c r="F3418" s="12"/>
      <c r="G3418" s="12"/>
      <c r="I3418" s="12"/>
      <c r="J3418" s="12"/>
      <c r="K3418" s="12"/>
    </row>
    <row r="3419" spans="6:11" x14ac:dyDescent="0.25">
      <c r="F3419" s="12"/>
      <c r="G3419" s="12"/>
      <c r="I3419" s="12"/>
      <c r="J3419" s="12"/>
      <c r="K3419" s="12"/>
    </row>
    <row r="3420" spans="6:11" x14ac:dyDescent="0.25">
      <c r="F3420" s="12"/>
      <c r="G3420" s="12"/>
      <c r="I3420" s="12"/>
      <c r="J3420" s="12"/>
      <c r="K3420" s="12"/>
    </row>
    <row r="3421" spans="6:11" x14ac:dyDescent="0.25">
      <c r="F3421" s="12"/>
      <c r="G3421" s="12"/>
      <c r="I3421" s="12"/>
      <c r="J3421" s="12"/>
      <c r="K3421" s="12"/>
    </row>
    <row r="3422" spans="6:11" x14ac:dyDescent="0.25">
      <c r="F3422" s="12"/>
      <c r="G3422" s="12"/>
      <c r="I3422" s="12"/>
      <c r="J3422" s="12"/>
      <c r="K3422" s="12"/>
    </row>
    <row r="3423" spans="6:11" x14ac:dyDescent="0.25">
      <c r="F3423" s="12"/>
      <c r="G3423" s="12"/>
      <c r="I3423" s="12"/>
      <c r="J3423" s="12"/>
      <c r="K3423" s="12"/>
    </row>
    <row r="3424" spans="6:11" x14ac:dyDescent="0.25">
      <c r="F3424" s="12"/>
      <c r="G3424" s="12"/>
      <c r="I3424" s="12"/>
      <c r="J3424" s="12"/>
      <c r="K3424" s="12"/>
    </row>
    <row r="3425" spans="6:11" x14ac:dyDescent="0.25">
      <c r="F3425" s="12"/>
      <c r="G3425" s="12"/>
      <c r="I3425" s="12"/>
      <c r="J3425" s="12"/>
      <c r="K3425" s="12"/>
    </row>
    <row r="3426" spans="6:11" x14ac:dyDescent="0.25">
      <c r="F3426" s="12"/>
      <c r="G3426" s="12"/>
      <c r="I3426" s="12"/>
      <c r="J3426" s="12"/>
      <c r="K3426" s="12"/>
    </row>
    <row r="3427" spans="6:11" x14ac:dyDescent="0.25">
      <c r="F3427" s="12"/>
      <c r="G3427" s="12"/>
      <c r="I3427" s="12"/>
      <c r="J3427" s="12"/>
      <c r="K3427" s="12"/>
    </row>
    <row r="3428" spans="6:11" x14ac:dyDescent="0.25">
      <c r="F3428" s="12"/>
      <c r="G3428" s="12"/>
      <c r="I3428" s="12"/>
      <c r="J3428" s="12"/>
      <c r="K3428" s="12"/>
    </row>
    <row r="3429" spans="6:11" x14ac:dyDescent="0.25">
      <c r="F3429" s="12"/>
      <c r="G3429" s="12"/>
      <c r="I3429" s="12"/>
      <c r="J3429" s="12"/>
      <c r="K3429" s="12"/>
    </row>
    <row r="3430" spans="6:11" x14ac:dyDescent="0.25">
      <c r="F3430" s="12"/>
      <c r="G3430" s="12"/>
      <c r="I3430" s="12"/>
      <c r="J3430" s="12"/>
      <c r="K3430" s="12"/>
    </row>
    <row r="3431" spans="6:11" x14ac:dyDescent="0.25">
      <c r="F3431" s="12"/>
      <c r="G3431" s="12"/>
      <c r="I3431" s="12"/>
      <c r="J3431" s="12"/>
      <c r="K3431" s="12"/>
    </row>
    <row r="3432" spans="6:11" x14ac:dyDescent="0.25">
      <c r="F3432" s="12"/>
      <c r="G3432" s="12"/>
      <c r="I3432" s="12"/>
      <c r="J3432" s="12"/>
      <c r="K3432" s="12"/>
    </row>
    <row r="3433" spans="6:11" x14ac:dyDescent="0.25">
      <c r="F3433" s="12"/>
      <c r="G3433" s="12"/>
      <c r="I3433" s="12"/>
      <c r="J3433" s="12"/>
      <c r="K3433" s="12"/>
    </row>
    <row r="3434" spans="6:11" x14ac:dyDescent="0.25">
      <c r="F3434" s="12"/>
      <c r="G3434" s="12"/>
      <c r="I3434" s="12"/>
      <c r="J3434" s="12"/>
      <c r="K3434" s="12"/>
    </row>
    <row r="3435" spans="6:11" x14ac:dyDescent="0.25">
      <c r="F3435" s="12"/>
      <c r="G3435" s="12"/>
      <c r="I3435" s="12"/>
      <c r="J3435" s="12"/>
      <c r="K3435" s="12"/>
    </row>
    <row r="3436" spans="6:11" x14ac:dyDescent="0.25">
      <c r="F3436" s="12"/>
      <c r="G3436" s="12"/>
      <c r="I3436" s="12"/>
      <c r="J3436" s="12"/>
      <c r="K3436" s="12"/>
    </row>
    <row r="3437" spans="6:11" x14ac:dyDescent="0.25">
      <c r="F3437" s="12"/>
      <c r="G3437" s="12"/>
      <c r="I3437" s="12"/>
      <c r="J3437" s="12"/>
      <c r="K3437" s="12"/>
    </row>
    <row r="3438" spans="6:11" x14ac:dyDescent="0.25">
      <c r="F3438" s="12"/>
      <c r="G3438" s="12"/>
      <c r="I3438" s="12"/>
      <c r="J3438" s="12"/>
      <c r="K343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&gt;&gt; City Data</vt:lpstr>
      <vt:lpstr>City characteristics</vt:lpstr>
      <vt:lpstr>&gt;&gt; GC_NewTech</vt:lpstr>
      <vt:lpstr>Demand</vt:lpstr>
      <vt:lpstr>IND TECH</vt:lpstr>
      <vt:lpstr>&gt;&gt; TIMES</vt:lpstr>
      <vt:lpstr>Def_Tech</vt:lpstr>
      <vt:lpstr>Def_Comm</vt:lpstr>
      <vt:lpstr>TECH 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2025-04-08T18:31:36Z</dcterms:modified>
</cp:coreProperties>
</file>
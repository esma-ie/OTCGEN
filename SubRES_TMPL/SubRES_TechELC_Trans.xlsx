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SubRES_TMPL\"/>
    </mc:Choice>
  </mc:AlternateContent>
  <xr:revisionPtr revIDLastSave="0" documentId="13_ncr:1_{CC71DC6B-5951-4071-A534-860D6EC8606F}" xr6:coauthVersionLast="47" xr6:coauthVersionMax="47" xr10:uidLastSave="{00000000-0000-0000-0000-000000000000}"/>
  <bookViews>
    <workbookView xWindow="-120" yWindow="-120" windowWidth="25440" windowHeight="15270" firstSheet="4" activeTab="6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NewTech" sheetId="4" r:id="rId4"/>
    <sheet name="ELC TECH" sheetId="5" r:id="rId5"/>
    <sheet name="&gt;&gt; TIMES" sheetId="6" r:id="rId6"/>
    <sheet name="Tech_availability" sheetId="7" r:id="rId7"/>
  </sheets>
  <definedNames>
    <definedName name="_Fill" localSheetId="2" hidden="1">#REF!</definedName>
    <definedName name="_Fill" hidden="1">#REF!</definedName>
    <definedName name="_Order1" hidden="1">0</definedName>
    <definedName name="_Order2" hidden="1">0</definedName>
    <definedName name="_Sort" localSheetId="2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2" hidden="1">{"com_msw",#N/A,FALSE,"Common"}</definedName>
    <definedName name="wrn.com_msw." hidden="1">{"com_msw",#N/A,FALSE,"Common"}</definedName>
    <definedName name="wrn.msw_1." localSheetId="2" hidden="1">{"msw_1",#N/A,FALSE,"Common"}</definedName>
    <definedName name="wrn.msw_1." hidden="1">{"msw_1",#N/A,FALSE,"Common"}</definedName>
    <definedName name="wrn.msw_2." localSheetId="2" hidden="1">{"msw_2",#N/A,FALSE,"Common"}</definedName>
    <definedName name="wrn.msw_2." hidden="1">{"msw_2",#N/A,FALSE,"Common"}</definedName>
    <definedName name="wrn.NATIONAL._.GRID." localSheetId="2" hidden="1">{"NATIONAL GRID",#N/A,FALSE,"Sheet1"}</definedName>
    <definedName name="wrn.NATIONAL._.GRID." hidden="1">{"NATIONAL GRID",#N/A,FALSE,"Sheet1"}</definedName>
    <definedName name="wrn.regional._.grid." localSheetId="2" hidden="1">{"regional grid",#N/A,FALSE,"Sheet1"}</definedName>
    <definedName name="wrn.regional._.grid." hidden="1">{"regional grid",#N/A,FALSE,"Sheet1"}</definedName>
    <definedName name="wrn.res_mf_msw." localSheetId="2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4" i="7" l="1"/>
  <c r="C184" i="7"/>
  <c r="H184" i="7" s="1"/>
  <c r="C183" i="7"/>
  <c r="H183" i="7" s="1"/>
  <c r="C182" i="7"/>
  <c r="H182" i="7" s="1"/>
  <c r="C181" i="7"/>
  <c r="H181" i="7" s="1"/>
  <c r="G180" i="7"/>
  <c r="C180" i="7"/>
  <c r="H180" i="7" s="1"/>
  <c r="C179" i="7"/>
  <c r="H179" i="7" s="1"/>
  <c r="C178" i="7"/>
  <c r="H178" i="7" s="1"/>
  <c r="C177" i="7"/>
  <c r="H177" i="7" s="1"/>
  <c r="G176" i="7"/>
  <c r="C176" i="7"/>
  <c r="H176" i="7" s="1"/>
  <c r="C175" i="7"/>
  <c r="H175" i="7" s="1"/>
  <c r="C174" i="7"/>
  <c r="H174" i="7" s="1"/>
  <c r="C173" i="7"/>
  <c r="H173" i="7" s="1"/>
  <c r="G172" i="7"/>
  <c r="C172" i="7"/>
  <c r="H172" i="7" s="1"/>
  <c r="C171" i="7"/>
  <c r="H171" i="7" s="1"/>
  <c r="C170" i="7"/>
  <c r="H170" i="7" s="1"/>
  <c r="C169" i="7"/>
  <c r="H169" i="7" s="1"/>
  <c r="G168" i="7"/>
  <c r="C168" i="7"/>
  <c r="H168" i="7" s="1"/>
  <c r="C167" i="7"/>
  <c r="H167" i="7" s="1"/>
  <c r="C166" i="7"/>
  <c r="H166" i="7" s="1"/>
  <c r="C165" i="7"/>
  <c r="H165" i="7" s="1"/>
  <c r="G164" i="7"/>
  <c r="C164" i="7"/>
  <c r="H164" i="7" s="1"/>
  <c r="C163" i="7"/>
  <c r="H163" i="7" s="1"/>
  <c r="C162" i="7"/>
  <c r="H162" i="7" s="1"/>
  <c r="C161" i="7"/>
  <c r="H161" i="7" s="1"/>
  <c r="G160" i="7"/>
  <c r="C160" i="7"/>
  <c r="H160" i="7" s="1"/>
  <c r="C159" i="7"/>
  <c r="H159" i="7" s="1"/>
  <c r="C158" i="7"/>
  <c r="H158" i="7" s="1"/>
  <c r="C157" i="7"/>
  <c r="H157" i="7" s="1"/>
  <c r="G156" i="7"/>
  <c r="C156" i="7"/>
  <c r="H156" i="7" s="1"/>
  <c r="C155" i="7"/>
  <c r="H155" i="7" s="1"/>
  <c r="C154" i="7"/>
  <c r="H154" i="7" s="1"/>
  <c r="C153" i="7"/>
  <c r="H153" i="7" s="1"/>
  <c r="G152" i="7"/>
  <c r="C152" i="7"/>
  <c r="H152" i="7" s="1"/>
  <c r="C151" i="7"/>
  <c r="H151" i="7" s="1"/>
  <c r="C150" i="7"/>
  <c r="H150" i="7" s="1"/>
  <c r="C149" i="7"/>
  <c r="H149" i="7" s="1"/>
  <c r="G148" i="7"/>
  <c r="C148" i="7"/>
  <c r="H148" i="7" s="1"/>
  <c r="C147" i="7"/>
  <c r="H147" i="7" s="1"/>
  <c r="C146" i="7"/>
  <c r="H146" i="7" s="1"/>
  <c r="C145" i="7"/>
  <c r="H145" i="7" s="1"/>
  <c r="G144" i="7"/>
  <c r="C144" i="7"/>
  <c r="H144" i="7" s="1"/>
  <c r="C143" i="7"/>
  <c r="H143" i="7" s="1"/>
  <c r="C142" i="7"/>
  <c r="H142" i="7" s="1"/>
  <c r="C141" i="7"/>
  <c r="H141" i="7" s="1"/>
  <c r="G140" i="7"/>
  <c r="C140" i="7"/>
  <c r="H140" i="7" s="1"/>
  <c r="C139" i="7"/>
  <c r="H139" i="7" s="1"/>
  <c r="C138" i="7"/>
  <c r="H138" i="7" s="1"/>
  <c r="C137" i="7"/>
  <c r="H137" i="7" s="1"/>
  <c r="G136" i="7"/>
  <c r="C136" i="7"/>
  <c r="H136" i="7" s="1"/>
  <c r="C135" i="7"/>
  <c r="H135" i="7" s="1"/>
  <c r="C134" i="7"/>
  <c r="H134" i="7" s="1"/>
  <c r="C133" i="7"/>
  <c r="H133" i="7" s="1"/>
  <c r="G132" i="7"/>
  <c r="C132" i="7"/>
  <c r="H132" i="7" s="1"/>
  <c r="C131" i="7"/>
  <c r="H131" i="7" s="1"/>
  <c r="C130" i="7"/>
  <c r="H130" i="7" s="1"/>
  <c r="C129" i="7"/>
  <c r="H129" i="7" s="1"/>
  <c r="G128" i="7"/>
  <c r="C128" i="7"/>
  <c r="H128" i="7" s="1"/>
  <c r="C127" i="7"/>
  <c r="H127" i="7" s="1"/>
  <c r="C126" i="7"/>
  <c r="H126" i="7" s="1"/>
  <c r="C125" i="7"/>
  <c r="H125" i="7" s="1"/>
  <c r="G124" i="7"/>
  <c r="C124" i="7"/>
  <c r="H124" i="7" s="1"/>
  <c r="C123" i="7"/>
  <c r="H123" i="7" s="1"/>
  <c r="C122" i="7"/>
  <c r="H122" i="7" s="1"/>
  <c r="C121" i="7"/>
  <c r="H121" i="7" s="1"/>
  <c r="G120" i="7"/>
  <c r="C120" i="7"/>
  <c r="H120" i="7" s="1"/>
  <c r="C119" i="7"/>
  <c r="H119" i="7" s="1"/>
  <c r="C118" i="7"/>
  <c r="H118" i="7" s="1"/>
  <c r="C117" i="7"/>
  <c r="H117" i="7" s="1"/>
  <c r="G116" i="7"/>
  <c r="C116" i="7"/>
  <c r="H116" i="7" s="1"/>
  <c r="C115" i="7"/>
  <c r="H115" i="7" s="1"/>
  <c r="C114" i="7"/>
  <c r="H114" i="7" s="1"/>
  <c r="C113" i="7"/>
  <c r="H113" i="7" s="1"/>
  <c r="G112" i="7"/>
  <c r="C112" i="7"/>
  <c r="H112" i="7" s="1"/>
  <c r="C111" i="7"/>
  <c r="H111" i="7" s="1"/>
  <c r="C110" i="7"/>
  <c r="H110" i="7" s="1"/>
  <c r="C109" i="7"/>
  <c r="H109" i="7" s="1"/>
  <c r="G108" i="7"/>
  <c r="C108" i="7"/>
  <c r="H108" i="7" s="1"/>
  <c r="C107" i="7"/>
  <c r="H107" i="7" s="1"/>
  <c r="C106" i="7"/>
  <c r="H106" i="7" s="1"/>
  <c r="C105" i="7"/>
  <c r="H105" i="7" s="1"/>
  <c r="G104" i="7"/>
  <c r="C104" i="7"/>
  <c r="H104" i="7" s="1"/>
  <c r="C103" i="7"/>
  <c r="H103" i="7" s="1"/>
  <c r="C102" i="7"/>
  <c r="H102" i="7" s="1"/>
  <c r="C101" i="7"/>
  <c r="H101" i="7" s="1"/>
  <c r="G100" i="7"/>
  <c r="C100" i="7"/>
  <c r="H100" i="7" s="1"/>
  <c r="C99" i="7"/>
  <c r="H99" i="7" s="1"/>
  <c r="C98" i="7"/>
  <c r="H98" i="7" s="1"/>
  <c r="C97" i="7"/>
  <c r="H97" i="7" s="1"/>
  <c r="G96" i="7"/>
  <c r="C96" i="7"/>
  <c r="H96" i="7" s="1"/>
  <c r="C95" i="7"/>
  <c r="H95" i="7" s="1"/>
  <c r="C94" i="7"/>
  <c r="H94" i="7" s="1"/>
  <c r="C93" i="7"/>
  <c r="H93" i="7" s="1"/>
  <c r="G92" i="7"/>
  <c r="C92" i="7"/>
  <c r="H92" i="7" s="1"/>
  <c r="C91" i="7"/>
  <c r="H91" i="7" s="1"/>
  <c r="C90" i="7"/>
  <c r="H90" i="7" s="1"/>
  <c r="C89" i="7"/>
  <c r="H89" i="7" s="1"/>
  <c r="G88" i="7"/>
  <c r="C88" i="7"/>
  <c r="H88" i="7" s="1"/>
  <c r="C87" i="7"/>
  <c r="H87" i="7" s="1"/>
  <c r="C86" i="7"/>
  <c r="H86" i="7" s="1"/>
  <c r="C85" i="7"/>
  <c r="H85" i="7" s="1"/>
  <c r="G84" i="7"/>
  <c r="C84" i="7"/>
  <c r="H84" i="7" s="1"/>
  <c r="C83" i="7"/>
  <c r="H83" i="7" s="1"/>
  <c r="C82" i="7"/>
  <c r="H82" i="7" s="1"/>
  <c r="C81" i="7"/>
  <c r="H81" i="7" s="1"/>
  <c r="G80" i="7"/>
  <c r="C80" i="7"/>
  <c r="H80" i="7" s="1"/>
  <c r="C79" i="7"/>
  <c r="H79" i="7" s="1"/>
  <c r="C78" i="7"/>
  <c r="H78" i="7" s="1"/>
  <c r="C77" i="7"/>
  <c r="H77" i="7" s="1"/>
  <c r="G76" i="7"/>
  <c r="C76" i="7"/>
  <c r="H76" i="7" s="1"/>
  <c r="C75" i="7"/>
  <c r="H75" i="7" s="1"/>
  <c r="C74" i="7"/>
  <c r="H74" i="7" s="1"/>
  <c r="C73" i="7"/>
  <c r="H73" i="7" s="1"/>
  <c r="G72" i="7"/>
  <c r="C72" i="7"/>
  <c r="H72" i="7" s="1"/>
  <c r="C71" i="7"/>
  <c r="H71" i="7" s="1"/>
  <c r="C70" i="7"/>
  <c r="H70" i="7" s="1"/>
  <c r="C69" i="7"/>
  <c r="H69" i="7" s="1"/>
  <c r="G68" i="7"/>
  <c r="C68" i="7"/>
  <c r="H68" i="7" s="1"/>
  <c r="C67" i="7"/>
  <c r="H67" i="7" s="1"/>
  <c r="C66" i="7"/>
  <c r="H66" i="7" s="1"/>
  <c r="C65" i="7"/>
  <c r="H65" i="7" s="1"/>
  <c r="G64" i="7"/>
  <c r="C64" i="7"/>
  <c r="H64" i="7" s="1"/>
  <c r="C63" i="7"/>
  <c r="H63" i="7" s="1"/>
  <c r="C62" i="7"/>
  <c r="H62" i="7" s="1"/>
  <c r="C61" i="7"/>
  <c r="H61" i="7" s="1"/>
  <c r="G60" i="7"/>
  <c r="C60" i="7"/>
  <c r="H60" i="7" s="1"/>
  <c r="C59" i="7"/>
  <c r="H59" i="7" s="1"/>
  <c r="C58" i="7"/>
  <c r="H58" i="7" s="1"/>
  <c r="C57" i="7"/>
  <c r="H57" i="7" s="1"/>
  <c r="G56" i="7"/>
  <c r="C56" i="7"/>
  <c r="H56" i="7" s="1"/>
  <c r="C55" i="7"/>
  <c r="H55" i="7" s="1"/>
  <c r="C54" i="7"/>
  <c r="H54" i="7" s="1"/>
  <c r="C53" i="7"/>
  <c r="H53" i="7" s="1"/>
  <c r="G52" i="7"/>
  <c r="C52" i="7"/>
  <c r="H52" i="7" s="1"/>
  <c r="C51" i="7"/>
  <c r="H51" i="7" s="1"/>
  <c r="C50" i="7"/>
  <c r="H50" i="7" s="1"/>
  <c r="C49" i="7"/>
  <c r="H49" i="7" s="1"/>
  <c r="G48" i="7"/>
  <c r="C48" i="7"/>
  <c r="H48" i="7" s="1"/>
  <c r="C47" i="7"/>
  <c r="H47" i="7" s="1"/>
  <c r="C46" i="7"/>
  <c r="H46" i="7" s="1"/>
  <c r="C45" i="7"/>
  <c r="H45" i="7" s="1"/>
  <c r="G44" i="7"/>
  <c r="C44" i="7"/>
  <c r="H44" i="7" s="1"/>
  <c r="C43" i="7"/>
  <c r="H43" i="7" s="1"/>
  <c r="C42" i="7"/>
  <c r="H42" i="7" s="1"/>
  <c r="C41" i="7"/>
  <c r="H41" i="7" s="1"/>
  <c r="G40" i="7"/>
  <c r="C40" i="7"/>
  <c r="H40" i="7" s="1"/>
  <c r="C39" i="7"/>
  <c r="H39" i="7" s="1"/>
  <c r="C38" i="7"/>
  <c r="H38" i="7" s="1"/>
  <c r="C37" i="7"/>
  <c r="H37" i="7" s="1"/>
  <c r="G36" i="7"/>
  <c r="C36" i="7"/>
  <c r="H36" i="7" s="1"/>
  <c r="C35" i="7"/>
  <c r="H35" i="7" s="1"/>
  <c r="C34" i="7"/>
  <c r="H34" i="7" s="1"/>
  <c r="C33" i="7"/>
  <c r="H33" i="7" s="1"/>
  <c r="G32" i="7"/>
  <c r="C32" i="7"/>
  <c r="H32" i="7" s="1"/>
  <c r="C31" i="7"/>
  <c r="H31" i="7" s="1"/>
  <c r="C30" i="7"/>
  <c r="H30" i="7" s="1"/>
  <c r="C29" i="7"/>
  <c r="H29" i="7" s="1"/>
  <c r="G28" i="7"/>
  <c r="C28" i="7"/>
  <c r="H28" i="7" s="1"/>
  <c r="C27" i="7"/>
  <c r="H27" i="7" s="1"/>
  <c r="C26" i="7"/>
  <c r="H26" i="7" s="1"/>
  <c r="C25" i="7"/>
  <c r="H25" i="7" s="1"/>
  <c r="G24" i="7"/>
  <c r="C24" i="7"/>
  <c r="H24" i="7" s="1"/>
  <c r="C23" i="7"/>
  <c r="H23" i="7" s="1"/>
  <c r="C22" i="7"/>
  <c r="H22" i="7" s="1"/>
  <c r="C21" i="7"/>
  <c r="H21" i="7" s="1"/>
  <c r="G20" i="7"/>
  <c r="C20" i="7"/>
  <c r="H20" i="7" s="1"/>
  <c r="C19" i="7"/>
  <c r="H19" i="7" s="1"/>
  <c r="C18" i="7"/>
  <c r="H18" i="7" s="1"/>
  <c r="C17" i="7"/>
  <c r="H17" i="7" s="1"/>
  <c r="G16" i="7"/>
  <c r="C16" i="7"/>
  <c r="H16" i="7" s="1"/>
  <c r="C15" i="7"/>
  <c r="H15" i="7" s="1"/>
  <c r="C14" i="7"/>
  <c r="H14" i="7" s="1"/>
  <c r="C13" i="7"/>
  <c r="H13" i="7" s="1"/>
  <c r="G12" i="7"/>
  <c r="C12" i="7"/>
  <c r="H12" i="7" s="1"/>
  <c r="C11" i="7"/>
  <c r="H11" i="7" s="1"/>
  <c r="C10" i="7"/>
  <c r="H10" i="7" s="1"/>
  <c r="C9" i="7"/>
  <c r="H9" i="7" s="1"/>
  <c r="G8" i="7"/>
  <c r="C8" i="7"/>
  <c r="H8" i="7" s="1"/>
  <c r="C7" i="7"/>
  <c r="H7" i="7" s="1"/>
  <c r="C6" i="7"/>
  <c r="H6" i="7" s="1"/>
  <c r="C5" i="7"/>
  <c r="H5" i="7" s="1"/>
  <c r="G9" i="7" l="1"/>
  <c r="G17" i="7"/>
  <c r="G25" i="7"/>
  <c r="G33" i="7"/>
  <c r="G41" i="7"/>
  <c r="G45" i="7"/>
  <c r="G53" i="7"/>
  <c r="G57" i="7"/>
  <c r="G61" i="7"/>
  <c r="G65" i="7"/>
  <c r="G69" i="7"/>
  <c r="G73" i="7"/>
  <c r="G77" i="7"/>
  <c r="G81" i="7"/>
  <c r="G85" i="7"/>
  <c r="G89" i="7"/>
  <c r="G93" i="7"/>
  <c r="G97" i="7"/>
  <c r="G101" i="7"/>
  <c r="G105" i="7"/>
  <c r="G109" i="7"/>
  <c r="G113" i="7"/>
  <c r="G117" i="7"/>
  <c r="G121" i="7"/>
  <c r="G125" i="7"/>
  <c r="G129" i="7"/>
  <c r="G133" i="7"/>
  <c r="G137" i="7"/>
  <c r="G141" i="7"/>
  <c r="G145" i="7"/>
  <c r="G149" i="7"/>
  <c r="G153" i="7"/>
  <c r="G157" i="7"/>
  <c r="G161" i="7"/>
  <c r="G165" i="7"/>
  <c r="G169" i="7"/>
  <c r="G173" i="7"/>
  <c r="G177" i="7"/>
  <c r="G181" i="7"/>
  <c r="G5" i="7"/>
  <c r="G13" i="7"/>
  <c r="G21" i="7"/>
  <c r="G29" i="7"/>
  <c r="G37" i="7"/>
  <c r="G49" i="7"/>
  <c r="G10" i="7"/>
  <c r="G14" i="7"/>
  <c r="G18" i="7"/>
  <c r="G22" i="7"/>
  <c r="G26" i="7"/>
  <c r="G30" i="7"/>
  <c r="G34" i="7"/>
  <c r="G38" i="7"/>
  <c r="G42" i="7"/>
  <c r="G46" i="7"/>
  <c r="G50" i="7"/>
  <c r="G54" i="7"/>
  <c r="G58" i="7"/>
  <c r="G62" i="7"/>
  <c r="G66" i="7"/>
  <c r="G70" i="7"/>
  <c r="G74" i="7"/>
  <c r="G78" i="7"/>
  <c r="G82" i="7"/>
  <c r="G86" i="7"/>
  <c r="G90" i="7"/>
  <c r="G94" i="7"/>
  <c r="G98" i="7"/>
  <c r="G102" i="7"/>
  <c r="G106" i="7"/>
  <c r="G110" i="7"/>
  <c r="G114" i="7"/>
  <c r="G118" i="7"/>
  <c r="G122" i="7"/>
  <c r="G126" i="7"/>
  <c r="G130" i="7"/>
  <c r="G134" i="7"/>
  <c r="G138" i="7"/>
  <c r="G142" i="7"/>
  <c r="G146" i="7"/>
  <c r="G150" i="7"/>
  <c r="G154" i="7"/>
  <c r="G158" i="7"/>
  <c r="G162" i="7"/>
  <c r="G166" i="7"/>
  <c r="G170" i="7"/>
  <c r="G174" i="7"/>
  <c r="G178" i="7"/>
  <c r="G182" i="7"/>
  <c r="G6" i="7"/>
  <c r="G7" i="7"/>
  <c r="G11" i="7"/>
  <c r="G15" i="7"/>
  <c r="G19" i="7"/>
  <c r="G23" i="7"/>
  <c r="G27" i="7"/>
  <c r="G31" i="7"/>
  <c r="G35" i="7"/>
  <c r="G39" i="7"/>
  <c r="G43" i="7"/>
  <c r="G47" i="7"/>
  <c r="G51" i="7"/>
  <c r="G55" i="7"/>
  <c r="G59" i="7"/>
  <c r="G63" i="7"/>
  <c r="G67" i="7"/>
  <c r="G71" i="7"/>
  <c r="G75" i="7"/>
  <c r="G79" i="7"/>
  <c r="G83" i="7"/>
  <c r="G87" i="7"/>
  <c r="G91" i="7"/>
  <c r="G95" i="7"/>
  <c r="G99" i="7"/>
  <c r="G103" i="7"/>
  <c r="G107" i="7"/>
  <c r="G111" i="7"/>
  <c r="G115" i="7"/>
  <c r="G119" i="7"/>
  <c r="G123" i="7"/>
  <c r="G127" i="7"/>
  <c r="G131" i="7"/>
  <c r="G135" i="7"/>
  <c r="G139" i="7"/>
  <c r="G143" i="7"/>
  <c r="G147" i="7"/>
  <c r="G151" i="7"/>
  <c r="G155" i="7"/>
  <c r="G159" i="7"/>
  <c r="G163" i="7"/>
  <c r="G167" i="7"/>
  <c r="G171" i="7"/>
  <c r="G175" i="7"/>
  <c r="G179" i="7"/>
  <c r="G183" i="7"/>
</calcChain>
</file>

<file path=xl/sharedStrings.xml><?xml version="1.0" encoding="utf-8"?>
<sst xmlns="http://schemas.openxmlformats.org/spreadsheetml/2006/main" count="1236" uniqueCount="478">
  <si>
    <t>Generic Comet (GC) TIMES Supply</t>
  </si>
  <si>
    <t>Sheet color</t>
  </si>
  <si>
    <t>Raw Data and Parameters</t>
  </si>
  <si>
    <t>City Specific Data</t>
  </si>
  <si>
    <t>Post processing for TIMES</t>
  </si>
  <si>
    <t>Table formatted for TIMES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</si>
  <si>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</si>
  <si>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</si>
  <si>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</si>
  <si>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</si>
  <si>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</si>
  <si>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</si>
  <si>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</si>
  <si>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</si>
  <si>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</si>
  <si>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</si>
  <si>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</si>
  <si>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</si>
  <si>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</si>
  <si>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</si>
  <si>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</si>
  <si>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</si>
  <si>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</si>
  <si>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</si>
  <si>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</si>
  <si>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</si>
  <si>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</si>
  <si>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</si>
  <si>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</si>
  <si>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</si>
  <si>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</si>
  <si>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</si>
  <si>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</si>
  <si>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</si>
  <si>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</si>
  <si>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</si>
  <si>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</si>
  <si>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</si>
  <si>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</si>
  <si>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</si>
  <si>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</si>
  <si>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</si>
  <si>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</si>
  <si>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</si>
  <si>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</si>
  <si>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</si>
  <si>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</si>
  <si>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</si>
  <si>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</si>
  <si>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</si>
  <si>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</si>
  <si>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</si>
  <si>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</si>
  <si>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</si>
  <si>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</si>
  <si>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</si>
  <si>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</si>
  <si>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</si>
  <si>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</si>
  <si>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</si>
  <si>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</si>
  <si>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</si>
  <si>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</si>
  <si>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</si>
  <si>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</si>
  <si>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</si>
  <si>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</si>
  <si>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</si>
  <si>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</si>
  <si>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</si>
  <si>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</si>
  <si>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OCC</t>
  </si>
  <si>
    <t>Fixed O&amp;M</t>
  </si>
  <si>
    <t>Variable O&amp;M</t>
  </si>
  <si>
    <t>Heat Rate</t>
  </si>
  <si>
    <t>CF</t>
  </si>
  <si>
    <t>Sector</t>
  </si>
  <si>
    <t>Sub-sector</t>
  </si>
  <si>
    <t>Archetype</t>
  </si>
  <si>
    <t xml:space="preserve">Vintage </t>
  </si>
  <si>
    <t>End Use</t>
  </si>
  <si>
    <t>Technology</t>
  </si>
  <si>
    <t>Energy</t>
  </si>
  <si>
    <t>Technology Label</t>
  </si>
  <si>
    <t>To include</t>
  </si>
  <si>
    <t>Capacity Potential (MW)</t>
  </si>
  <si>
    <t>Lifetime (yr)</t>
  </si>
  <si>
    <t>Capacity2Activity</t>
  </si>
  <si>
    <t>ATB CAPEX 2023 US$ / kW</t>
  </si>
  <si>
    <t>ATB Fixed OM 2023 US$ / kW . Yr</t>
  </si>
  <si>
    <t>ATB Variable OM 2023 US$ / GJ</t>
  </si>
  <si>
    <t>ATB Efficiency (Mwh e /Mwh th)</t>
  </si>
  <si>
    <t>ATB ANNUAL CF %</t>
  </si>
  <si>
    <t>Electricity</t>
  </si>
  <si>
    <t>Grid</t>
  </si>
  <si>
    <t>Dispatchable</t>
  </si>
  <si>
    <t>Hydro New-Stream Dispatchable Class 1</t>
  </si>
  <si>
    <t>Hydro</t>
  </si>
  <si>
    <t>ELCHYDGRDHNSDC120</t>
  </si>
  <si>
    <t>Hydro New-Stream Dispatchable Class 2</t>
  </si>
  <si>
    <t>ELCHYDGRDHNSDC220</t>
  </si>
  <si>
    <t>Hydro New-Stream Dispatchable Class 3</t>
  </si>
  <si>
    <t>ELCHYDGRDHNSDC320</t>
  </si>
  <si>
    <t>Hydro New-Stream Dispatchable Class 4</t>
  </si>
  <si>
    <t>ELCHYDGRDHNSDC420</t>
  </si>
  <si>
    <t>Hydro New-Stream Dispatchable Class 5</t>
  </si>
  <si>
    <t>ELCHYDGRDHNSDC520</t>
  </si>
  <si>
    <t>Non Dispatchable</t>
  </si>
  <si>
    <t>Hydro New-Stream Non Dispatchable Class 1</t>
  </si>
  <si>
    <t>ELCHYDGRDHNSNDC120</t>
  </si>
  <si>
    <t>Hydro New-Stream Non Dispatchable Class 2</t>
  </si>
  <si>
    <t>ELCHYDGRDHNSNDC220</t>
  </si>
  <si>
    <t>Hydro New-Stream Non Dispatchable Class 3</t>
  </si>
  <si>
    <t>ELCHYDGRDHNSNDC320</t>
  </si>
  <si>
    <t>Hydro New-Stream Non Dispatchable Class 4</t>
  </si>
  <si>
    <t>ELCHYDGRDHNSNDC420</t>
  </si>
  <si>
    <t>Hydro New-Stream Non Dispatchable Class 5</t>
  </si>
  <si>
    <t>ELCHYDGRDHNSNDC520</t>
  </si>
  <si>
    <t>Hydro Non-Powered Non Dispatchable Class 1</t>
  </si>
  <si>
    <t>ELCHYDGRDHNPNDC120</t>
  </si>
  <si>
    <t>Hydro Non-Powered Non Dispatchable Class 2</t>
  </si>
  <si>
    <t>ELCHYDGRDHNPNDC220</t>
  </si>
  <si>
    <t>Hydro Non-Powered Non Dispatchable Class 3</t>
  </si>
  <si>
    <t>ELCHYDGRDHNPNDC320</t>
  </si>
  <si>
    <t>Hydro Non-Powered Non Dispatchable Class 4</t>
  </si>
  <si>
    <t>ELCHYDGRDHNPNDC420</t>
  </si>
  <si>
    <t>Hydro Non-Powered Non Dispatchable Class 5</t>
  </si>
  <si>
    <t>ELCHYDGRDHNPNDC520</t>
  </si>
  <si>
    <t>Hydro Upgrade Dispatchable Class 1</t>
  </si>
  <si>
    <t>ELCHYDGRDHUPDC120</t>
  </si>
  <si>
    <t>Hydro Upgrade Dispatchable Class 2</t>
  </si>
  <si>
    <t>ELCHYDGRDHUPDC220</t>
  </si>
  <si>
    <t>Hydro Upgrade Dispatchable Class 3</t>
  </si>
  <si>
    <t>ELCHYDGRDHUPDC320</t>
  </si>
  <si>
    <t>Hydro Upgrade Dispatchable Class 4</t>
  </si>
  <si>
    <t>ELCHYDGRDHUPDC420</t>
  </si>
  <si>
    <t>Hydro Upgrade Dispatchable Class 5</t>
  </si>
  <si>
    <t>ELCHYDGRDHUPDC520</t>
  </si>
  <si>
    <t>Hydro Upgrade Non Dispatchable Class 1</t>
  </si>
  <si>
    <t>ELCHYDGRDHUPNDC120</t>
  </si>
  <si>
    <t>Hydro Upgrade Non Dispatchable Class 2</t>
  </si>
  <si>
    <t>ELCHYDGRDHUPNDC220</t>
  </si>
  <si>
    <t>Hydro Upgrade Non Dispatchable Class 3</t>
  </si>
  <si>
    <t>ELCHYDGRDHUPNDC320</t>
  </si>
  <si>
    <t>Hydro Upgrade Non Dispatchable Class 4</t>
  </si>
  <si>
    <t>ELCHYDGRDHUPNDC420</t>
  </si>
  <si>
    <t>Hydro Upgrade Non Dispatchable Class 5</t>
  </si>
  <si>
    <t>ELCHYDGRDHUPNDC520</t>
  </si>
  <si>
    <t>Storage</t>
  </si>
  <si>
    <t>Pumped Hydro 12h Class 1</t>
  </si>
  <si>
    <t>ELCSTGGRDPSH12HC120</t>
  </si>
  <si>
    <t>Pumped Hydro 12h Class 2</t>
  </si>
  <si>
    <t>ELCSTGGRDPSH12HC220</t>
  </si>
  <si>
    <t>Pumped Hydro 12h Class 3</t>
  </si>
  <si>
    <t>ELCSTGGRDPSH12HC320</t>
  </si>
  <si>
    <t>Pumped Hydro 12h Class 4</t>
  </si>
  <si>
    <t>ELCSTGGRDPSH12HC420</t>
  </si>
  <si>
    <t>Pumped Hydro 12h Class 5</t>
  </si>
  <si>
    <t>ELCSTGGRDPSH12HC520</t>
  </si>
  <si>
    <t>Pumped Hydro 12h Class 6</t>
  </si>
  <si>
    <t>ELCSTGGRDPSH12HC620</t>
  </si>
  <si>
    <t>Pumped Hydro 12h Class 7</t>
  </si>
  <si>
    <t>ELCSTGGRDPSH12HC720</t>
  </si>
  <si>
    <t>Pumped Hydro 12h Class 8</t>
  </si>
  <si>
    <t>ELCSTGGRDPSH12HC820</t>
  </si>
  <si>
    <t>Pumped Hydro 12h Class 9</t>
  </si>
  <si>
    <t>ELCSTGGRDPSH12HC920</t>
  </si>
  <si>
    <t>Pumped Hydro 12h Class 10</t>
  </si>
  <si>
    <t>ELCSTGGRDPSH12HC1020</t>
  </si>
  <si>
    <t>Pumped Hydro 12h Class 11</t>
  </si>
  <si>
    <t>ELCSTGGRDPSH12HC1120</t>
  </si>
  <si>
    <t>Pumped Hydro 12h Class 12</t>
  </si>
  <si>
    <t>ELCSTGGRDPSH12HC1220</t>
  </si>
  <si>
    <t>Pumped Hydro 12h Class 13</t>
  </si>
  <si>
    <t>ELCSTGGRDPSH12HC1320</t>
  </si>
  <si>
    <t>Pumped Hydro 12h Class 14</t>
  </si>
  <si>
    <t>ELCSTGGRDPSH12HC1420</t>
  </si>
  <si>
    <t>Pumped Hydro 12h Class 15</t>
  </si>
  <si>
    <t>ELCSTGGRDPSH12HC1520</t>
  </si>
  <si>
    <t>Pumped Hydro 10h Class 1</t>
  </si>
  <si>
    <t>ELCSTGGRDPSH10HC120</t>
  </si>
  <si>
    <t>Pumped Hydro 10h Class 2</t>
  </si>
  <si>
    <t>ELCSTGGRDPSH10HC220</t>
  </si>
  <si>
    <t>Pumped Hydro 10h Class 3</t>
  </si>
  <si>
    <t>ELCSTGGRDPSH10HC320</t>
  </si>
  <si>
    <t>Pumped Hydro 10h Class 4</t>
  </si>
  <si>
    <t>ELCSTGGRDPSH10HC420</t>
  </si>
  <si>
    <t>Pumped Hydro 10h Class 5</t>
  </si>
  <si>
    <t>ELCSTGGRDPSH10HC520</t>
  </si>
  <si>
    <t>Pumped Hydro 10h Class 6</t>
  </si>
  <si>
    <t>ELCSTGGRDPSH10HC620</t>
  </si>
  <si>
    <t>Pumped Hydro 10h Class 7</t>
  </si>
  <si>
    <t>ELCSTGGRDPSH10HC720</t>
  </si>
  <si>
    <t>Pumped Hydro 10h Class 8</t>
  </si>
  <si>
    <t>ELCSTGGRDPSH10HC820</t>
  </si>
  <si>
    <t>Pumped Hydro 10h Class 9</t>
  </si>
  <si>
    <t>ELCSTGGRDPSH10HC920</t>
  </si>
  <si>
    <t>Pumped Hydro 10h Class 10</t>
  </si>
  <si>
    <t>ELCSTGGRDPSH10HC1020</t>
  </si>
  <si>
    <t>Pumped Hydro 10h Class 11</t>
  </si>
  <si>
    <t>ELCSTGGRDPSH10HC1120</t>
  </si>
  <si>
    <t>Pumped Hydro 10h Class 12</t>
  </si>
  <si>
    <t>ELCSTGGRDPSH10HC1220</t>
  </si>
  <si>
    <t>Pumped Hydro 10h Class 13</t>
  </si>
  <si>
    <t>ELCSTGGRDPSH10HC1320</t>
  </si>
  <si>
    <t>Pumped Hydro 10h Class 14</t>
  </si>
  <si>
    <t>ELCSTGGRDPSH10HC1420</t>
  </si>
  <si>
    <t>Pumped Hydro 10h Class 15</t>
  </si>
  <si>
    <t>ELCSTGGRDPSH10HC1520</t>
  </si>
  <si>
    <t>Pumped Hydro 8h Class 1</t>
  </si>
  <si>
    <t>ELCSTGGRDPSH8HC120</t>
  </si>
  <si>
    <t>Pumped Hydro 8h Class 2</t>
  </si>
  <si>
    <t>ELCSTGGRDPSH8HC220</t>
  </si>
  <si>
    <t>Pumped Hydro 8h Class 3</t>
  </si>
  <si>
    <t>ELCSTGGRDPSH8HC320</t>
  </si>
  <si>
    <t>Pumped Hydro 8h Class 4</t>
  </si>
  <si>
    <t>ELCSTGGRDPSH8HC420</t>
  </si>
  <si>
    <t>Pumped Hydro 8h Class 5</t>
  </si>
  <si>
    <t>ELCSTGGRDPSH8HC520</t>
  </si>
  <si>
    <t>Pumped Hydro 8h Class 6</t>
  </si>
  <si>
    <t>ELCSTGGRDPSH8HC620</t>
  </si>
  <si>
    <t>Pumped Hydro 8h Class 7</t>
  </si>
  <si>
    <t>ELCSTGGRDPSH8HC720</t>
  </si>
  <si>
    <t>Pumped Hydro 8h Class 8</t>
  </si>
  <si>
    <t>ELCSTGGRDPSH8HC820</t>
  </si>
  <si>
    <t>Pumped Hydro 8h Class 9</t>
  </si>
  <si>
    <t>ELCSTGGRDPSH8HC920</t>
  </si>
  <si>
    <t>Pumped Hydro 8h Class 10</t>
  </si>
  <si>
    <t>ELCSTGGRDPSH8HC1020</t>
  </si>
  <si>
    <t>Pumped Hydro 8h Class 11</t>
  </si>
  <si>
    <t>ELCSTGGRDPSH8HC1120</t>
  </si>
  <si>
    <t>Pumped Hydro 8h Class 12</t>
  </si>
  <si>
    <t>ELCSTGGRDPSH8HC1220</t>
  </si>
  <si>
    <t>Pumped Hydro 8h Class 13</t>
  </si>
  <si>
    <t>ELCSTGGRDPSH8HC1320</t>
  </si>
  <si>
    <t>Pumped Hydro 8h Class 14</t>
  </si>
  <si>
    <t>ELCSTGGRDPSH8HC1420</t>
  </si>
  <si>
    <t>Pumped Hydro 8h Class 15</t>
  </si>
  <si>
    <t>ELCSTGGRDPSH8HC1520</t>
  </si>
  <si>
    <t>Partly Dispatchable</t>
  </si>
  <si>
    <t>Concentrated Solar Class 1</t>
  </si>
  <si>
    <t>Solar</t>
  </si>
  <si>
    <t>ELCSOLGRDCSPC120</t>
  </si>
  <si>
    <t>Concentrated Solar Class 2</t>
  </si>
  <si>
    <t>ELCSOLGRDCSPC220</t>
  </si>
  <si>
    <t>Concentrated Solar Class 3</t>
  </si>
  <si>
    <t>ELCSOLGRDCSPC320</t>
  </si>
  <si>
    <t>Onshore Wind Turbine Class 1</t>
  </si>
  <si>
    <t>Wind</t>
  </si>
  <si>
    <t>ELCWNDGRDWONC120</t>
  </si>
  <si>
    <t>Onshore Wind Turbine Class 2</t>
  </si>
  <si>
    <t>ELCWNDGRDWONC220</t>
  </si>
  <si>
    <t>Onshore Wind Turbine Class 3</t>
  </si>
  <si>
    <t>ELCWNDGRDWONC320</t>
  </si>
  <si>
    <t>Onshore Wind Turbine Class 4</t>
  </si>
  <si>
    <t>ELCWNDGRDWONC420</t>
  </si>
  <si>
    <t>Onshore Wind Turbine Class 5</t>
  </si>
  <si>
    <t>ELCWNDGRDWONC520</t>
  </si>
  <si>
    <t>Onshore Wind Turbine Class 6</t>
  </si>
  <si>
    <t>ELCWNDGRDWONC620</t>
  </si>
  <si>
    <t>Onshore Wind Turbine Class 7</t>
  </si>
  <si>
    <t>ELCWNDGRDWONC720</t>
  </si>
  <si>
    <t>Onshore Wind Turbine Class 8</t>
  </si>
  <si>
    <t>ELCWNDGRDWONC820</t>
  </si>
  <si>
    <t>Onshore Wind Turbine Class 9</t>
  </si>
  <si>
    <t>ELCWNDGRDWONC920</t>
  </si>
  <si>
    <t>Onshore Wind Turbine Class 10</t>
  </si>
  <si>
    <t>ELCWNDGRDWONC1020</t>
  </si>
  <si>
    <t>Offshore Wind Turbine Class 1</t>
  </si>
  <si>
    <t>ELCWNDGRDWOFC120</t>
  </si>
  <si>
    <t>Offshore Wind Turbine Class 2</t>
  </si>
  <si>
    <t>ELCWNDGRDWOFC220</t>
  </si>
  <si>
    <t>Offshore Wind Turbine Class 3</t>
  </si>
  <si>
    <t>ELCWNDGRDWOFC320</t>
  </si>
  <si>
    <t>Offshore Wind Turbine Class 4</t>
  </si>
  <si>
    <t>ELCWNDGRDWOFC420</t>
  </si>
  <si>
    <t>Offshore Wind Turbine Class 5</t>
  </si>
  <si>
    <t>ELCWNDGRDWOFC520</t>
  </si>
  <si>
    <t>Offshore Wind Turbine Class 6</t>
  </si>
  <si>
    <t>ELCWNDGRDWOFC620</t>
  </si>
  <si>
    <t>Offshore Wind Turbine Class 7</t>
  </si>
  <si>
    <t>ELCWNDGRDWOFC720</t>
  </si>
  <si>
    <t>Offshore Wind Turbine Class 8</t>
  </si>
  <si>
    <t>ELCWNDGRDWOFC820</t>
  </si>
  <si>
    <t>Offshore Wind Turbine Class 9</t>
  </si>
  <si>
    <t>ELCWNDGRDWOFC920</t>
  </si>
  <si>
    <t>Offshore Wind Turbine Class 10</t>
  </si>
  <si>
    <t>ELCWNDGRDWOFC1020</t>
  </si>
  <si>
    <t>Offshore Wind Turbine Class 11</t>
  </si>
  <si>
    <t>ELCWNDGRDWOFC1120</t>
  </si>
  <si>
    <t>Offshore Wind Turbine Class 12</t>
  </si>
  <si>
    <t>ELCWNDGRDWOFC1220</t>
  </si>
  <si>
    <t>Offshore Wind Turbine Class 13</t>
  </si>
  <si>
    <t>ELCWNDGRDWOFC1320</t>
  </si>
  <si>
    <t>Offshore Wind Turbine Class 14</t>
  </si>
  <si>
    <t>ELCWNDGRDWOFC1420</t>
  </si>
  <si>
    <t>Utility PV Class 1</t>
  </si>
  <si>
    <t>ELCSOLGRDUPVC120</t>
  </si>
  <si>
    <t>Utility PV Class 2</t>
  </si>
  <si>
    <t>ELCSOLGRDUPVC220</t>
  </si>
  <si>
    <t>Utility PV Class 3</t>
  </si>
  <si>
    <t>ELCSOLGRDUPVC320</t>
  </si>
  <si>
    <t>Utility PV Class 4</t>
  </si>
  <si>
    <t>ELCSOLGRDUPVC420</t>
  </si>
  <si>
    <t>Utility PV Class 5</t>
  </si>
  <si>
    <t>ELCSOLGRDUPVC520</t>
  </si>
  <si>
    <t>Baseload</t>
  </si>
  <si>
    <t>Deep EGS Binary</t>
  </si>
  <si>
    <t>Geothermal</t>
  </si>
  <si>
    <t>ELCGEOGRDDEGSB20</t>
  </si>
  <si>
    <t>Deep EGS Flash</t>
  </si>
  <si>
    <t>ELCGEOGRDDEGSF20</t>
  </si>
  <si>
    <t>Hydrothermal Binary</t>
  </si>
  <si>
    <t>ELCGEOGRDHYDB20</t>
  </si>
  <si>
    <t>Hydrothermal Flash</t>
  </si>
  <si>
    <t>ELCGEOGRDHYDF20</t>
  </si>
  <si>
    <t>Near Field EGS Binary</t>
  </si>
  <si>
    <t>ELCGEOGRDNEGSB20</t>
  </si>
  <si>
    <t>Near Field EGS Flash</t>
  </si>
  <si>
    <t>ELCGEOGRDNEGSF20</t>
  </si>
  <si>
    <t>Nuclear Power Plant</t>
  </si>
  <si>
    <t>Uranium</t>
  </si>
  <si>
    <t>ELCURNGRDNUCPP20</t>
  </si>
  <si>
    <t>Small Modular Reactor</t>
  </si>
  <si>
    <t>ELCURNGRDSMRPP20</t>
  </si>
  <si>
    <t>Dedicated Biopower Plant</t>
  </si>
  <si>
    <t>Biomass</t>
  </si>
  <si>
    <t>ELCBIOGRDBIODPP20</t>
  </si>
  <si>
    <t>Utility-Scale Battery Storage 10H</t>
  </si>
  <si>
    <t>ELCSTGGRDUBES10H20</t>
  </si>
  <si>
    <t>Utility-Scale Battery Storage 2H</t>
  </si>
  <si>
    <t>ELCSTGGRDUBES2H20</t>
  </si>
  <si>
    <t>Utility-Scale Battery Storage 4H</t>
  </si>
  <si>
    <t>ELCSTGGRDUBES4H20</t>
  </si>
  <si>
    <t>Utility-Scale Battery Storage 6H</t>
  </si>
  <si>
    <t>ELCSTGGRDUBES6H20</t>
  </si>
  <si>
    <t>Utility-Scale Battery Storage 8H</t>
  </si>
  <si>
    <t>ELCSTGGRDUBES8H20</t>
  </si>
  <si>
    <t>Coal Power Plant w/ 95% CCS</t>
  </si>
  <si>
    <t>Coal</t>
  </si>
  <si>
    <t>ELCCOAGRD95CCS20</t>
  </si>
  <si>
    <t>Coal Power Plant w/ 99% CCS</t>
  </si>
  <si>
    <t>ELCCOAGRD99CCS20</t>
  </si>
  <si>
    <t>Coal Power Plant Conventional</t>
  </si>
  <si>
    <t>ELCCOAGRDCONV20</t>
  </si>
  <si>
    <t>Coal Power Plant IGCC</t>
  </si>
  <si>
    <t>ELCCOAGRDIGCC20</t>
  </si>
  <si>
    <t>Retrofit Coal Power Plant w/ 90% CCS</t>
  </si>
  <si>
    <t>ELCCOAGRD90RCCS20</t>
  </si>
  <si>
    <t>Retrofit Coal Power Plant w/ 95% CCS</t>
  </si>
  <si>
    <t>ELCCOAGRD95RCCS20</t>
  </si>
  <si>
    <t>F-Frame Combustion Turbine</t>
  </si>
  <si>
    <t>Natural gas</t>
  </si>
  <si>
    <t>ELCNGAGRDFFCT20</t>
  </si>
  <si>
    <t>F-Frame Combined Cycle</t>
  </si>
  <si>
    <t>ELCNGAGRDFFCC20</t>
  </si>
  <si>
    <t>F-Frame Combined Cycle w/ 95% CCS</t>
  </si>
  <si>
    <t>ELCNGAGRDFFCC95CCS20</t>
  </si>
  <si>
    <t>F-Frame Combined Cycle w/ 97% CCS</t>
  </si>
  <si>
    <t>ELCNGAGRDFFCC97CCS20</t>
  </si>
  <si>
    <t>Retrofit F-Frame Combined Cycle w/ 90% CCS</t>
  </si>
  <si>
    <t>ELCNGAGRDFFCC90RCCS20</t>
  </si>
  <si>
    <t>Retrofit F-Frame Combined Cycle w/ 95% CCS</t>
  </si>
  <si>
    <t>ELCNGAGRDFFCC95RCCS20</t>
  </si>
  <si>
    <t>H-Frame Combined Cycle</t>
  </si>
  <si>
    <t>ELCNGAGRDHFCC20</t>
  </si>
  <si>
    <t>H-Frame Combined Cycle w/ 95% CCS</t>
  </si>
  <si>
    <t>ELCNGAGRDHFCC95CCS20</t>
  </si>
  <si>
    <t>H-Frame Combined Cycle w/ 97% CCS</t>
  </si>
  <si>
    <t>ELCNGAGRDHFCC97CCS20</t>
  </si>
  <si>
    <t>Retrofit H-Frame Combined Cycle w/ 90% CCS</t>
  </si>
  <si>
    <t>ELCNGAGRDHFCC90RCCS20</t>
  </si>
  <si>
    <t>Retrofit H-Frame Combined Cycle w/ 95% CCS</t>
  </si>
  <si>
    <t>ELCNGAGRDHFCC95RCCS20</t>
  </si>
  <si>
    <t>Decentralized</t>
  </si>
  <si>
    <t>Commercial DW - Class 10</t>
  </si>
  <si>
    <t>ELCWNDDCECDWC1020</t>
  </si>
  <si>
    <t>Commercial DW - Class 1</t>
  </si>
  <si>
    <t>ELCWNDDCECDWC120</t>
  </si>
  <si>
    <t>Commercial DW - Class 2</t>
  </si>
  <si>
    <t>ELCWNDDCECDWC220</t>
  </si>
  <si>
    <t>Commercial DW - Class 3</t>
  </si>
  <si>
    <t>ELCWNDDCECDWC320</t>
  </si>
  <si>
    <t>Commercial DW - Class 4</t>
  </si>
  <si>
    <t>ELCWNDDCECDWC420</t>
  </si>
  <si>
    <t>Commercial DW - Class 5</t>
  </si>
  <si>
    <t>ELCWNDDCECDWC520</t>
  </si>
  <si>
    <t>Commercial DW - Class 6</t>
  </si>
  <si>
    <t>ELCWNDDCECDWC620</t>
  </si>
  <si>
    <t>Commercial DW - Class 7</t>
  </si>
  <si>
    <t>ELCWNDDCECDWC720</t>
  </si>
  <si>
    <t>Commercial DW - Class 8</t>
  </si>
  <si>
    <t>ELCWNDDCECDWC820</t>
  </si>
  <si>
    <t>Commercial DW - Class 9</t>
  </si>
  <si>
    <t>ELCWNDDCECDWC920</t>
  </si>
  <si>
    <t>Residential DW - Class 10</t>
  </si>
  <si>
    <t>ELCWNDDCERDWC1020</t>
  </si>
  <si>
    <t>Residential DW - Class 1</t>
  </si>
  <si>
    <t>ELCWNDDCERDWC120</t>
  </si>
  <si>
    <t>Residential DW - Class 2</t>
  </si>
  <si>
    <t>ELCWNDDCERDWC220</t>
  </si>
  <si>
    <t>Residential DW - Class 3</t>
  </si>
  <si>
    <t>ELCWNDDCERDWC320</t>
  </si>
  <si>
    <t>Residential DW - Class 4</t>
  </si>
  <si>
    <t>ELCWNDDCERDWC420</t>
  </si>
  <si>
    <t>Residential DW - Class 5</t>
  </si>
  <si>
    <t>ELCWNDDCERDWC520</t>
  </si>
  <si>
    <t>Residential DW - Class 6</t>
  </si>
  <si>
    <t>ELCWNDDCERDWC620</t>
  </si>
  <si>
    <t>Residential DW - Class 7</t>
  </si>
  <si>
    <t>ELCWNDDCERDWC720</t>
  </si>
  <si>
    <t>Residential DW - Class 8</t>
  </si>
  <si>
    <t>ELCWNDDCERDWC820</t>
  </si>
  <si>
    <t>Residential DW - Class 9</t>
  </si>
  <si>
    <t>ELCWNDDCERDWC920</t>
  </si>
  <si>
    <t>Residential PV - Class 10</t>
  </si>
  <si>
    <t>ELCSOLDCERDPV1020</t>
  </si>
  <si>
    <t>Residential PV - Class 1</t>
  </si>
  <si>
    <t>ELCSOLDCERDPV120</t>
  </si>
  <si>
    <t>Residential PV - Class 2</t>
  </si>
  <si>
    <t>ELCSOLDCERDPV220</t>
  </si>
  <si>
    <t>Residential PV - Class 3</t>
  </si>
  <si>
    <t>ELCSOLDCERDPV320</t>
  </si>
  <si>
    <t>Residential PV - Class 4</t>
  </si>
  <si>
    <t>ELCSOLDCERDPV420</t>
  </si>
  <si>
    <t>Residential PV - Class 5</t>
  </si>
  <si>
    <t>ELCSOLDCERDPV520</t>
  </si>
  <si>
    <t>Residential PV - Class 6</t>
  </si>
  <si>
    <t>ELCSOLDCERDPV620</t>
  </si>
  <si>
    <t>Residential PV - Class 7</t>
  </si>
  <si>
    <t>ELCSOLDCERDPV720</t>
  </si>
  <si>
    <t>Residential PV - Class 8</t>
  </si>
  <si>
    <t>ELCSOLDCERDPV820</t>
  </si>
  <si>
    <t>Residential PV - Class 9</t>
  </si>
  <si>
    <t>ELCSOLDCERDPV920</t>
  </si>
  <si>
    <t>Commercial PV - Class 10</t>
  </si>
  <si>
    <t>ELCSOLDCECPV1020</t>
  </si>
  <si>
    <t>Commercial PV - Class 1</t>
  </si>
  <si>
    <t>ELCSOLDCECDPV120</t>
  </si>
  <si>
    <t>Commercial PV - Class 2</t>
  </si>
  <si>
    <t>ELCSOLDCECDPV220</t>
  </si>
  <si>
    <t>Commercial PV - Class 3</t>
  </si>
  <si>
    <t>ELCSOLDCECDPV320</t>
  </si>
  <si>
    <t>Commercial PV - Class 4</t>
  </si>
  <si>
    <t>ELCSOLDCECDPV420</t>
  </si>
  <si>
    <t>Commercial PV - Class 5</t>
  </si>
  <si>
    <t>ELCSOLDCECDPV520</t>
  </si>
  <si>
    <t>Commercial PV - Class 6</t>
  </si>
  <si>
    <t>ELCSOLDCECDPV620</t>
  </si>
  <si>
    <t>Commercial PV - Class 7</t>
  </si>
  <si>
    <t>ELCSOLDCECDPV720</t>
  </si>
  <si>
    <t>Commercial PV - Class 8</t>
  </si>
  <si>
    <t>ELCSOLDCECDPV820</t>
  </si>
  <si>
    <t>Commercial PV - Class 9</t>
  </si>
  <si>
    <t>ELCSOLDCECDPV920</t>
  </si>
  <si>
    <t>Residential Battery Storage - 5 kW - 12.5 kWh</t>
  </si>
  <si>
    <t>ELCSTGDCERBES2.5H20</t>
  </si>
  <si>
    <t>Residential Battery Storage - 5 kW - 20 kWh</t>
  </si>
  <si>
    <t>ELCSTGDCERBES4H20</t>
  </si>
  <si>
    <t>Commercial Battery Storage 1Hr</t>
  </si>
  <si>
    <t>ELCSTGDCECBES1H20</t>
  </si>
  <si>
    <t>Commercial Battery Storage 2Hr</t>
  </si>
  <si>
    <t>ELCSTGDCECBES2H20</t>
  </si>
  <si>
    <t>Commercial Battery Storage 4Hr</t>
  </si>
  <si>
    <t>ELCSTGDCECBES4H20</t>
  </si>
  <si>
    <t>Commercial Battery Storage 6Hr</t>
  </si>
  <si>
    <t>ELCSTGDCECBES6H20</t>
  </si>
  <si>
    <t>Commercial Battery Storage 8Hr</t>
  </si>
  <si>
    <t>ELCSTGDCECBES8H20</t>
  </si>
  <si>
    <t>~TFM_AVA</t>
  </si>
  <si>
    <t>PSET_SET</t>
  </si>
  <si>
    <t>PSET_PN</t>
  </si>
  <si>
    <t>PSET_PD</t>
  </si>
  <si>
    <t>PSET_CO</t>
  </si>
  <si>
    <t>PSET_CI</t>
  </si>
  <si>
    <t>CITY</t>
  </si>
  <si>
    <t>EGRID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</si>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</sst>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/>
    <xf numFmtId="0" fontId="4" fillId="0" borderId="0"/>
  </cellStyleXfs>
  <cellXfs count="13">
    <xf numFmtId="0" fontId="0" fillId="0" borderId="0" xfId="0"/>
    <xf numFmtId="0" fontId="3" fillId="2" borderId="1" xfId="0" applyFont="1" applyFill="1" applyBorder="1"/>
    <xf numFmtId="0" fontId="4" fillId="3" borderId="2" xfId="2" applyFill="1" applyBorder="1" applyAlignment="1">
      <alignment horizontal="left" wrapText="1"/>
    </xf>
    <xf numFmtId="0" fontId="5" fillId="0" borderId="0" xfId="2" applyFont="1"/>
    <xf numFmtId="0" fontId="6" fillId="4" borderId="0" xfId="0" applyFont="1" applyFill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" fontId="0" fillId="0" borderId="0" xfId="0" applyNumberFormat="1"/>
    <xf numFmtId="43" fontId="0" fillId="0" borderId="0" xfId="1" applyFont="1"/>
  </cellXfs>
  <cellStyles count="3">
    <cellStyle name="Comma" xfId="1" builtinId="3"/>
    <cellStyle name="Normal" xfId="0" builtinId="0"/>
    <cellStyle name="Normal 10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G21" sqref="G21"/>
    </sheetView>
  </sheetViews>
  <sheetFormatPr defaultColWidth="8.85546875" defaultRowHeight="15" x14ac:dyDescent="0.25"/>
  <cols>
    <col min="1" max="27" width="8.85546875" style="5" customWidth="1"/>
    <col min="28" max="16384" width="8.85546875" style="5"/>
  </cols>
  <sheetData>
    <row r="1" spans="1:3" s="4" customFormat="1" ht="23.45" customHeight="1" x14ac:dyDescent="0.35">
      <c r="A1" s="4" t="s">
        <v>0</v>
      </c>
    </row>
    <row r="2" spans="1:3" s="4" customFormat="1" ht="23.45" customHeight="1" x14ac:dyDescent="0.35"/>
    <row r="3" spans="1:3" x14ac:dyDescent="0.25">
      <c r="B3" s="6" t="s">
        <v>1</v>
      </c>
    </row>
    <row r="4" spans="1:3" x14ac:dyDescent="0.25">
      <c r="B4" s="7"/>
      <c r="C4" s="5" t="s">
        <v>2</v>
      </c>
    </row>
    <row r="6" spans="1:3" x14ac:dyDescent="0.25">
      <c r="B6" s="8"/>
      <c r="C6" s="5" t="s">
        <v>3</v>
      </c>
    </row>
    <row r="8" spans="1:3" x14ac:dyDescent="0.25">
      <c r="B8" s="9"/>
      <c r="C8" s="5" t="s">
        <v>4</v>
      </c>
    </row>
    <row r="10" spans="1:3" x14ac:dyDescent="0.25">
      <c r="B10" s="10"/>
      <c r="C10" s="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G21" sqref="G21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zoomScaleNormal="100" workbookViewId="0">
      <selection activeCell="G21" sqref="G21"/>
    </sheetView>
  </sheetViews>
  <sheetFormatPr defaultColWidth="8.85546875" defaultRowHeight="15" x14ac:dyDescent="0.25"/>
  <cols>
    <col min="1" max="1" width="8.85546875" style="5" customWidth="1"/>
    <col min="2" max="2" width="47.7109375" style="5" customWidth="1"/>
    <col min="3" max="3" width="26.140625" style="5" customWidth="1"/>
    <col min="4" max="4" width="14.42578125" style="5" customWidth="1"/>
    <col min="5" max="13" width="10.85546875" style="5" customWidth="1"/>
    <col min="14" max="40" width="8.85546875" style="5" customWidth="1"/>
    <col min="41" max="16384" width="8.85546875" style="5"/>
  </cols>
  <sheetData>
    <row r="2" spans="2:4" ht="18" customHeight="1" thickBot="1" x14ac:dyDescent="0.3">
      <c r="B2" t="s">
        <v>6</v>
      </c>
    </row>
    <row r="3" spans="2:4" ht="15" customHeight="1" thickTop="1" x14ac:dyDescent="0.25"/>
    <row r="4" spans="2:4" ht="15" customHeight="1" thickBot="1" x14ac:dyDescent="0.3">
      <c r="B4" t="s">
        <v>7</v>
      </c>
      <c r="C4" t="s">
        <v>8</v>
      </c>
    </row>
    <row r="6" spans="2:4" x14ac:dyDescent="0.25">
      <c r="B6" t="s">
        <v>9</v>
      </c>
    </row>
    <row r="7" spans="2:4" ht="15" customHeight="1" thickBot="1" x14ac:dyDescent="0.3">
      <c r="B7" t="s">
        <v>10</v>
      </c>
      <c r="C7" t="s">
        <v>11</v>
      </c>
      <c r="D7" t="s">
        <v>12</v>
      </c>
    </row>
    <row r="8" spans="2:4" x14ac:dyDescent="0.25">
      <c r="B8" t="s">
        <v>13</v>
      </c>
      <c r="C8" t="s">
        <v>14</v>
      </c>
    </row>
    <row r="9" spans="2:4" x14ac:dyDescent="0.25">
      <c r="B9" t="s">
        <v>15</v>
      </c>
      <c r="C9">
        <v>40.5</v>
      </c>
    </row>
    <row r="10" spans="2:4" x14ac:dyDescent="0.25">
      <c r="B10" t="s">
        <v>16</v>
      </c>
      <c r="C10">
        <v>-75</v>
      </c>
    </row>
    <row r="11" spans="2:4" x14ac:dyDescent="0.25">
      <c r="B11" t="s">
        <v>17</v>
      </c>
      <c r="C11" t="s">
        <v>18</v>
      </c>
    </row>
    <row r="12" spans="2:4" x14ac:dyDescent="0.25">
      <c r="B12" t="s">
        <v>19</v>
      </c>
      <c r="C12" t="s">
        <v>14</v>
      </c>
    </row>
    <row r="13" spans="2:4" x14ac:dyDescent="0.25">
      <c r="B13" t="s">
        <v>20</v>
      </c>
      <c r="C13" t="s">
        <v>21</v>
      </c>
    </row>
    <row r="14" spans="2:4" x14ac:dyDescent="0.25">
      <c r="B14" t="s">
        <v>22</v>
      </c>
      <c r="C14" t="s">
        <v>23</v>
      </c>
    </row>
    <row r="15" spans="2:4" x14ac:dyDescent="0.25">
      <c r="B15" t="s">
        <v>24</v>
      </c>
      <c r="C15" t="s">
        <v>25</v>
      </c>
    </row>
    <row r="16" spans="2:4" x14ac:dyDescent="0.25">
      <c r="B16" t="s">
        <v>26</v>
      </c>
      <c r="C16">
        <v>778</v>
      </c>
      <c r="D16" t="s">
        <v>27</v>
      </c>
    </row>
    <row r="17" spans="2:4" x14ac:dyDescent="0.25">
      <c r="B17" t="s">
        <v>28</v>
      </c>
    </row>
    <row r="18" spans="2:4" x14ac:dyDescent="0.25">
      <c r="B18" t="s">
        <v>29</v>
      </c>
    </row>
    <row r="19" spans="2:4" ht="15" customHeight="1" thickBot="1" x14ac:dyDescent="0.3">
      <c r="B19" t="s">
        <v>30</v>
      </c>
      <c r="C19" t="s">
        <v>11</v>
      </c>
      <c r="D19" t="s">
        <v>12</v>
      </c>
    </row>
    <row r="20" spans="2:4" x14ac:dyDescent="0.25">
      <c r="B20" t="s">
        <v>31</v>
      </c>
      <c r="C20">
        <v>2019</v>
      </c>
      <c r="D20" t="s">
        <v>32</v>
      </c>
    </row>
    <row r="21" spans="2:4" x14ac:dyDescent="0.25">
      <c r="B21" t="s">
        <v>33</v>
      </c>
      <c r="C21">
        <v>2050</v>
      </c>
    </row>
    <row r="23" spans="2:4" x14ac:dyDescent="0.25">
      <c r="B23" t="s">
        <v>34</v>
      </c>
    </row>
    <row r="24" spans="2:4" ht="15" customHeight="1" thickBot="1" x14ac:dyDescent="0.3">
      <c r="B24" t="s">
        <v>10</v>
      </c>
      <c r="C24" t="s">
        <v>11</v>
      </c>
      <c r="D24" t="s">
        <v>12</v>
      </c>
    </row>
    <row r="25" spans="2:4" x14ac:dyDescent="0.25">
      <c r="B25" t="s">
        <v>35</v>
      </c>
      <c r="C25">
        <v>8337</v>
      </c>
      <c r="D25" t="s">
        <v>36</v>
      </c>
    </row>
    <row r="26" spans="2:4" x14ac:dyDescent="0.25">
      <c r="B26" t="s">
        <v>37</v>
      </c>
      <c r="C26">
        <v>0.5</v>
      </c>
      <c r="D26" t="s">
        <v>38</v>
      </c>
    </row>
    <row r="27" spans="2:4" x14ac:dyDescent="0.25">
      <c r="B27" t="s">
        <v>39</v>
      </c>
      <c r="C27">
        <v>1206000</v>
      </c>
      <c r="D27" t="s">
        <v>40</v>
      </c>
    </row>
    <row r="28" spans="2:4" x14ac:dyDescent="0.25">
      <c r="B28" t="s">
        <v>41</v>
      </c>
      <c r="C28">
        <v>2</v>
      </c>
      <c r="D28" t="s">
        <v>42</v>
      </c>
    </row>
    <row r="29" spans="2:4" x14ac:dyDescent="0.25">
      <c r="B29" t="s">
        <v>43</v>
      </c>
      <c r="C29">
        <v>5</v>
      </c>
      <c r="D29" t="s">
        <v>42</v>
      </c>
    </row>
    <row r="30" spans="2:4" x14ac:dyDescent="0.25">
      <c r="B30" t="s">
        <v>44</v>
      </c>
      <c r="C30">
        <v>0.42835123053999902</v>
      </c>
    </row>
    <row r="31" spans="2:4" x14ac:dyDescent="0.25">
      <c r="B31" t="s">
        <v>45</v>
      </c>
      <c r="C31">
        <v>0.67251771953144812</v>
      </c>
    </row>
    <row r="32" spans="2:4" x14ac:dyDescent="0.25">
      <c r="B32" t="s">
        <v>46</v>
      </c>
      <c r="C32">
        <v>1.063829787234043</v>
      </c>
    </row>
    <row r="34" spans="2:6" x14ac:dyDescent="0.25">
      <c r="B34" t="s">
        <v>47</v>
      </c>
    </row>
    <row r="35" spans="2:6" ht="15" customHeight="1" thickBot="1" x14ac:dyDescent="0.3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 x14ac:dyDescent="0.25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 x14ac:dyDescent="0.25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 x14ac:dyDescent="0.3">
      <c r="B39" t="s">
        <v>10</v>
      </c>
      <c r="C39" t="s">
        <v>11</v>
      </c>
      <c r="D39" t="s">
        <v>12</v>
      </c>
    </row>
    <row r="40" spans="2:6" x14ac:dyDescent="0.25">
      <c r="B40" t="s">
        <v>51</v>
      </c>
      <c r="C40">
        <v>0.72727402048447432</v>
      </c>
    </row>
    <row r="41" spans="2:6" x14ac:dyDescent="0.25">
      <c r="B41" t="s">
        <v>52</v>
      </c>
      <c r="C41">
        <v>1.558371501272265</v>
      </c>
    </row>
    <row r="42" spans="2:6" x14ac:dyDescent="0.25">
      <c r="B42" t="s">
        <v>53</v>
      </c>
      <c r="C42">
        <v>762</v>
      </c>
      <c r="D42" t="s">
        <v>54</v>
      </c>
    </row>
    <row r="43" spans="2:6" x14ac:dyDescent="0.25">
      <c r="B43" t="s">
        <v>55</v>
      </c>
      <c r="C43" t="s">
        <v>56</v>
      </c>
    </row>
    <row r="44" spans="2:6" x14ac:dyDescent="0.25">
      <c r="B44" t="s">
        <v>57</v>
      </c>
      <c r="C44">
        <v>1.461785714285714</v>
      </c>
      <c r="D44" t="s">
        <v>49</v>
      </c>
    </row>
    <row r="45" spans="2:6" x14ac:dyDescent="0.25">
      <c r="B45" t="s">
        <v>58</v>
      </c>
      <c r="C45">
        <v>3.13</v>
      </c>
      <c r="D45" t="s">
        <v>49</v>
      </c>
    </row>
    <row r="46" spans="2:6" x14ac:dyDescent="0.25">
      <c r="B46" t="s">
        <v>59</v>
      </c>
      <c r="C46">
        <v>4.37</v>
      </c>
      <c r="D46" t="s">
        <v>49</v>
      </c>
    </row>
    <row r="47" spans="2:6" x14ac:dyDescent="0.25">
      <c r="B47" t="s">
        <v>60</v>
      </c>
    </row>
    <row r="48" spans="2:6" x14ac:dyDescent="0.25">
      <c r="B48" t="s">
        <v>61</v>
      </c>
    </row>
    <row r="49" spans="2:4" ht="15" customHeight="1" thickBot="1" x14ac:dyDescent="0.3">
      <c r="B49" t="s">
        <v>10</v>
      </c>
      <c r="C49" t="s">
        <v>11</v>
      </c>
      <c r="D49" t="s">
        <v>12</v>
      </c>
    </row>
    <row r="50" spans="2:4" x14ac:dyDescent="0.25">
      <c r="B50" t="s">
        <v>62</v>
      </c>
      <c r="C50" t="s">
        <v>63</v>
      </c>
    </row>
    <row r="51" spans="2:4" x14ac:dyDescent="0.25">
      <c r="B51" t="s">
        <v>64</v>
      </c>
      <c r="C51" t="s">
        <v>65</v>
      </c>
    </row>
    <row r="52" spans="2:4" x14ac:dyDescent="0.25">
      <c r="B52" t="s">
        <v>66</v>
      </c>
      <c r="C52" t="s">
        <v>67</v>
      </c>
    </row>
    <row r="53" spans="2:4" x14ac:dyDescent="0.25">
      <c r="B53" t="s">
        <v>68</v>
      </c>
      <c r="C53" t="s">
        <v>69</v>
      </c>
    </row>
    <row r="54" spans="2:4" x14ac:dyDescent="0.25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G21" sqref="G21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183"/>
  <sheetViews>
    <sheetView workbookViewId="0">
      <selection activeCell="I6" sqref="I6"/>
    </sheetView>
  </sheetViews>
  <sheetFormatPr defaultRowHeight="15" x14ac:dyDescent="0.25"/>
  <cols>
    <col min="6" max="6" width="33.85546875" bestFit="1" customWidth="1"/>
    <col min="8" max="8" width="25.140625" bestFit="1" customWidth="1"/>
    <col min="9" max="9" width="10.140625" bestFit="1" customWidth="1"/>
    <col min="10" max="10" width="21" bestFit="1" customWidth="1"/>
    <col min="11" max="11" width="17.28515625" bestFit="1" customWidth="1"/>
    <col min="12" max="12" width="20.28515625" bestFit="1" customWidth="1"/>
    <col min="13" max="13" width="10.7109375" style="11" customWidth="1"/>
    <col min="14" max="14" width="9.7109375" customWidth="1"/>
    <col min="15" max="22" width="8.28515625" customWidth="1"/>
    <col min="23" max="23" width="9.7109375" customWidth="1"/>
    <col min="24" max="30" width="6.7109375" customWidth="1"/>
    <col min="31" max="38" width="7.85546875" customWidth="1"/>
    <col min="39" max="39" width="10.28515625" customWidth="1"/>
    <col min="40" max="46" width="7.140625" customWidth="1"/>
    <col min="47" max="54" width="9.85546875" customWidth="1"/>
  </cols>
  <sheetData>
    <row r="1" spans="1:52" x14ac:dyDescent="0.25">
      <c r="M1">
        <v>2021</v>
      </c>
      <c r="N1">
        <v>2025</v>
      </c>
      <c r="O1">
        <v>2030</v>
      </c>
      <c r="P1">
        <v>2035</v>
      </c>
      <c r="Q1">
        <v>2040</v>
      </c>
      <c r="R1">
        <v>2045</v>
      </c>
      <c r="S1">
        <v>2050</v>
      </c>
      <c r="T1">
        <v>2100</v>
      </c>
      <c r="U1">
        <v>2021</v>
      </c>
      <c r="V1">
        <v>2025</v>
      </c>
      <c r="W1">
        <v>2030</v>
      </c>
      <c r="X1">
        <v>2035</v>
      </c>
      <c r="Y1">
        <v>2040</v>
      </c>
      <c r="Z1">
        <v>2045</v>
      </c>
      <c r="AA1">
        <v>2050</v>
      </c>
      <c r="AB1">
        <v>2100</v>
      </c>
      <c r="AC1">
        <v>2021</v>
      </c>
      <c r="AD1">
        <v>2025</v>
      </c>
      <c r="AE1">
        <v>2030</v>
      </c>
      <c r="AF1">
        <v>2035</v>
      </c>
      <c r="AG1">
        <v>2040</v>
      </c>
      <c r="AH1">
        <v>2045</v>
      </c>
      <c r="AI1">
        <v>2050</v>
      </c>
      <c r="AJ1">
        <v>2100</v>
      </c>
      <c r="AK1">
        <v>2021</v>
      </c>
      <c r="AL1">
        <v>2025</v>
      </c>
      <c r="AM1">
        <v>2030</v>
      </c>
      <c r="AN1">
        <v>2035</v>
      </c>
      <c r="AO1">
        <v>2040</v>
      </c>
      <c r="AP1">
        <v>2045</v>
      </c>
      <c r="AQ1">
        <v>2050</v>
      </c>
      <c r="AR1">
        <v>2100</v>
      </c>
      <c r="AS1">
        <v>2021</v>
      </c>
      <c r="AT1">
        <v>2025</v>
      </c>
      <c r="AU1">
        <v>2030</v>
      </c>
      <c r="AV1">
        <v>2035</v>
      </c>
      <c r="AW1">
        <v>2040</v>
      </c>
      <c r="AX1">
        <v>2045</v>
      </c>
      <c r="AY1">
        <v>2050</v>
      </c>
      <c r="AZ1">
        <v>2100</v>
      </c>
    </row>
    <row r="2" spans="1:52" x14ac:dyDescent="0.25">
      <c r="M2" t="s">
        <v>71</v>
      </c>
      <c r="N2" t="s">
        <v>71</v>
      </c>
      <c r="O2" t="s">
        <v>71</v>
      </c>
      <c r="P2" t="s">
        <v>71</v>
      </c>
      <c r="Q2" t="s">
        <v>71</v>
      </c>
      <c r="R2" t="s">
        <v>71</v>
      </c>
      <c r="S2" t="s">
        <v>71</v>
      </c>
      <c r="T2" t="s">
        <v>71</v>
      </c>
      <c r="U2" t="s">
        <v>72</v>
      </c>
      <c r="V2" t="s">
        <v>72</v>
      </c>
      <c r="W2" t="s">
        <v>72</v>
      </c>
      <c r="X2" t="s">
        <v>72</v>
      </c>
      <c r="Y2" t="s">
        <v>72</v>
      </c>
      <c r="Z2" t="s">
        <v>72</v>
      </c>
      <c r="AA2" t="s">
        <v>72</v>
      </c>
      <c r="AB2" t="s">
        <v>72</v>
      </c>
      <c r="AC2" t="s">
        <v>73</v>
      </c>
      <c r="AD2" t="s">
        <v>73</v>
      </c>
      <c r="AE2" t="s">
        <v>73</v>
      </c>
      <c r="AF2" t="s">
        <v>73</v>
      </c>
      <c r="AG2" t="s">
        <v>73</v>
      </c>
      <c r="AH2" t="s">
        <v>73</v>
      </c>
      <c r="AI2" t="s">
        <v>73</v>
      </c>
      <c r="AJ2" t="s">
        <v>73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75</v>
      </c>
      <c r="AT2" t="s">
        <v>75</v>
      </c>
      <c r="AU2" t="s">
        <v>75</v>
      </c>
      <c r="AV2" t="s">
        <v>75</v>
      </c>
      <c r="AW2" t="s">
        <v>75</v>
      </c>
      <c r="AX2" t="s">
        <v>75</v>
      </c>
      <c r="AY2" t="s">
        <v>75</v>
      </c>
      <c r="AZ2" t="s">
        <v>75</v>
      </c>
    </row>
    <row r="3" spans="1:52" x14ac:dyDescent="0.25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86</v>
      </c>
      <c r="L3" t="s">
        <v>87</v>
      </c>
      <c r="M3" t="s">
        <v>88</v>
      </c>
      <c r="U3" t="s">
        <v>89</v>
      </c>
      <c r="AC3" t="s">
        <v>90</v>
      </c>
      <c r="AK3" t="s">
        <v>91</v>
      </c>
      <c r="AS3" t="s">
        <v>92</v>
      </c>
    </row>
    <row r="4" spans="1:52" x14ac:dyDescent="0.25">
      <c r="A4" t="s">
        <v>93</v>
      </c>
      <c r="B4" t="s">
        <v>94</v>
      </c>
      <c r="D4">
        <v>2020</v>
      </c>
      <c r="E4" t="s">
        <v>95</v>
      </c>
      <c r="F4" t="s">
        <v>96</v>
      </c>
      <c r="G4" t="s">
        <v>97</v>
      </c>
      <c r="H4" t="s">
        <v>98</v>
      </c>
      <c r="I4">
        <v>1</v>
      </c>
      <c r="J4">
        <v>0</v>
      </c>
      <c r="K4">
        <v>100</v>
      </c>
      <c r="L4">
        <v>31.536000000000001</v>
      </c>
      <c r="M4">
        <v>8970.368179309633</v>
      </c>
      <c r="N4">
        <v>8970.368179309633</v>
      </c>
      <c r="O4">
        <v>8970.368179309633</v>
      </c>
      <c r="P4">
        <v>8970.368179309633</v>
      </c>
      <c r="Q4">
        <v>8970.368179309633</v>
      </c>
      <c r="R4">
        <v>8970.368179309633</v>
      </c>
      <c r="S4">
        <v>8970.368179309633</v>
      </c>
      <c r="T4">
        <v>8970.368179309633</v>
      </c>
      <c r="U4">
        <v>161.69956506255861</v>
      </c>
      <c r="V4">
        <v>161.69956506255861</v>
      </c>
      <c r="W4">
        <v>161.69956506255861</v>
      </c>
      <c r="X4">
        <v>161.69956506255861</v>
      </c>
      <c r="Y4">
        <v>161.69956506255861</v>
      </c>
      <c r="Z4">
        <v>161.69956506255861</v>
      </c>
      <c r="AA4">
        <v>161.69956506255861</v>
      </c>
      <c r="AB4">
        <v>161.69956506255861</v>
      </c>
      <c r="AS4">
        <v>0.66</v>
      </c>
      <c r="AT4">
        <v>0.66</v>
      </c>
      <c r="AU4">
        <v>0.66</v>
      </c>
      <c r="AV4">
        <v>0.66</v>
      </c>
      <c r="AW4">
        <v>0.66</v>
      </c>
      <c r="AX4">
        <v>0.66</v>
      </c>
      <c r="AY4">
        <v>0.66</v>
      </c>
      <c r="AZ4">
        <v>0.66</v>
      </c>
    </row>
    <row r="5" spans="1:52" x14ac:dyDescent="0.25">
      <c r="A5" t="s">
        <v>93</v>
      </c>
      <c r="B5" t="s">
        <v>94</v>
      </c>
      <c r="D5">
        <v>2020</v>
      </c>
      <c r="E5" t="s">
        <v>95</v>
      </c>
      <c r="F5" t="s">
        <v>99</v>
      </c>
      <c r="G5" t="s">
        <v>97</v>
      </c>
      <c r="H5" t="s">
        <v>100</v>
      </c>
      <c r="I5">
        <v>1</v>
      </c>
      <c r="J5">
        <v>0</v>
      </c>
      <c r="K5">
        <v>100</v>
      </c>
      <c r="L5">
        <v>31.536000000000001</v>
      </c>
      <c r="M5">
        <v>8008.0861522590212</v>
      </c>
      <c r="N5">
        <v>8008.0861522590212</v>
      </c>
      <c r="O5">
        <v>8008.0861522590212</v>
      </c>
      <c r="P5">
        <v>8008.0861522590212</v>
      </c>
      <c r="Q5">
        <v>8008.0861522590212</v>
      </c>
      <c r="R5">
        <v>8008.0861522590212</v>
      </c>
      <c r="S5">
        <v>8008.0861522590212</v>
      </c>
      <c r="T5">
        <v>8008.0861522590212</v>
      </c>
      <c r="U5">
        <v>53.146010894687088</v>
      </c>
      <c r="V5">
        <v>53.146010894687088</v>
      </c>
      <c r="W5">
        <v>53.146010894687088</v>
      </c>
      <c r="X5">
        <v>53.146010894687088</v>
      </c>
      <c r="Y5">
        <v>53.146010894687088</v>
      </c>
      <c r="Z5">
        <v>53.146010894687088</v>
      </c>
      <c r="AA5">
        <v>53.146010894687088</v>
      </c>
      <c r="AB5">
        <v>53.146010894687088</v>
      </c>
      <c r="AS5">
        <v>0.66</v>
      </c>
      <c r="AT5">
        <v>0.66</v>
      </c>
      <c r="AU5">
        <v>0.66</v>
      </c>
      <c r="AV5">
        <v>0.66</v>
      </c>
      <c r="AW5">
        <v>0.66</v>
      </c>
      <c r="AX5">
        <v>0.66</v>
      </c>
      <c r="AY5">
        <v>0.66</v>
      </c>
      <c r="AZ5">
        <v>0.66</v>
      </c>
    </row>
    <row r="6" spans="1:52" x14ac:dyDescent="0.25">
      <c r="A6" t="s">
        <v>93</v>
      </c>
      <c r="B6" t="s">
        <v>94</v>
      </c>
      <c r="D6">
        <v>2020</v>
      </c>
      <c r="E6" t="s">
        <v>95</v>
      </c>
      <c r="F6" t="s">
        <v>101</v>
      </c>
      <c r="G6" t="s">
        <v>97</v>
      </c>
      <c r="H6" t="s">
        <v>102</v>
      </c>
      <c r="I6">
        <v>1</v>
      </c>
      <c r="J6">
        <v>0</v>
      </c>
      <c r="K6">
        <v>100</v>
      </c>
      <c r="L6">
        <v>31.536000000000001</v>
      </c>
      <c r="M6">
        <v>7842.9942886287163</v>
      </c>
      <c r="N6">
        <v>7842.9942886287163</v>
      </c>
      <c r="O6">
        <v>7842.9942886287163</v>
      </c>
      <c r="P6">
        <v>7842.9942886287163</v>
      </c>
      <c r="Q6">
        <v>7842.9942886287163</v>
      </c>
      <c r="R6">
        <v>7842.9942886287163</v>
      </c>
      <c r="S6">
        <v>7842.9942886287163</v>
      </c>
      <c r="T6">
        <v>7842.9942886287163</v>
      </c>
      <c r="U6">
        <v>152.65343554856929</v>
      </c>
      <c r="V6">
        <v>152.65343554856929</v>
      </c>
      <c r="W6">
        <v>152.65343554856929</v>
      </c>
      <c r="X6">
        <v>152.65343554856929</v>
      </c>
      <c r="Y6">
        <v>152.65343554856929</v>
      </c>
      <c r="Z6">
        <v>152.65343554856929</v>
      </c>
      <c r="AA6">
        <v>152.65343554856929</v>
      </c>
      <c r="AB6">
        <v>152.65343554856929</v>
      </c>
      <c r="AS6">
        <v>0.62</v>
      </c>
      <c r="AT6">
        <v>0.62</v>
      </c>
      <c r="AU6">
        <v>0.62</v>
      </c>
      <c r="AV6">
        <v>0.62</v>
      </c>
      <c r="AW6">
        <v>0.62</v>
      </c>
      <c r="AX6">
        <v>0.62</v>
      </c>
      <c r="AY6">
        <v>0.62</v>
      </c>
      <c r="AZ6">
        <v>0.62</v>
      </c>
    </row>
    <row r="7" spans="1:52" x14ac:dyDescent="0.25">
      <c r="A7" t="s">
        <v>93</v>
      </c>
      <c r="B7" t="s">
        <v>94</v>
      </c>
      <c r="D7">
        <v>2020</v>
      </c>
      <c r="E7" t="s">
        <v>95</v>
      </c>
      <c r="F7" t="s">
        <v>103</v>
      </c>
      <c r="G7" t="s">
        <v>97</v>
      </c>
      <c r="H7" t="s">
        <v>104</v>
      </c>
      <c r="I7">
        <v>1</v>
      </c>
      <c r="J7">
        <v>0</v>
      </c>
      <c r="K7">
        <v>100</v>
      </c>
      <c r="L7">
        <v>31.536000000000001</v>
      </c>
      <c r="M7">
        <v>7060.5040856686428</v>
      </c>
      <c r="N7">
        <v>7060.5040856686428</v>
      </c>
      <c r="O7">
        <v>7060.5040856686428</v>
      </c>
      <c r="P7">
        <v>7060.5040856686428</v>
      </c>
      <c r="Q7">
        <v>7060.5040856686428</v>
      </c>
      <c r="R7">
        <v>7060.5040856686428</v>
      </c>
      <c r="S7">
        <v>7060.5040856686428</v>
      </c>
      <c r="T7">
        <v>7060.5040856686428</v>
      </c>
      <c r="U7">
        <v>37.315284245205831</v>
      </c>
      <c r="V7">
        <v>37.315284245205831</v>
      </c>
      <c r="W7">
        <v>37.315284245205831</v>
      </c>
      <c r="X7">
        <v>37.315284245205831</v>
      </c>
      <c r="Y7">
        <v>37.315284245205831</v>
      </c>
      <c r="Z7">
        <v>37.315284245205831</v>
      </c>
      <c r="AA7">
        <v>37.315284245205831</v>
      </c>
      <c r="AB7">
        <v>37.315284245205831</v>
      </c>
      <c r="AS7">
        <v>0.66</v>
      </c>
      <c r="AT7">
        <v>0.66</v>
      </c>
      <c r="AU7">
        <v>0.66</v>
      </c>
      <c r="AV7">
        <v>0.66</v>
      </c>
      <c r="AW7">
        <v>0.66</v>
      </c>
      <c r="AX7">
        <v>0.66</v>
      </c>
      <c r="AY7">
        <v>0.66</v>
      </c>
      <c r="AZ7">
        <v>0.66</v>
      </c>
    </row>
    <row r="8" spans="1:52" x14ac:dyDescent="0.25">
      <c r="A8" t="s">
        <v>93</v>
      </c>
      <c r="B8" t="s">
        <v>94</v>
      </c>
      <c r="D8">
        <v>2020</v>
      </c>
      <c r="E8" t="s">
        <v>95</v>
      </c>
      <c r="F8" t="s">
        <v>105</v>
      </c>
      <c r="G8" t="s">
        <v>97</v>
      </c>
      <c r="H8" t="s">
        <v>106</v>
      </c>
      <c r="I8">
        <v>1</v>
      </c>
      <c r="J8">
        <v>0</v>
      </c>
      <c r="K8">
        <v>100</v>
      </c>
      <c r="L8">
        <v>31.536000000000001</v>
      </c>
      <c r="M8">
        <v>7060.5040856686428</v>
      </c>
      <c r="N8">
        <v>7060.5040856686428</v>
      </c>
      <c r="O8">
        <v>7060.5040856686428</v>
      </c>
      <c r="P8">
        <v>7060.5040856686428</v>
      </c>
      <c r="Q8">
        <v>7060.5040856686428</v>
      </c>
      <c r="R8">
        <v>7060.5040856686428</v>
      </c>
      <c r="S8">
        <v>7060.5040856686428</v>
      </c>
      <c r="T8">
        <v>7060.5040856686428</v>
      </c>
      <c r="U8">
        <v>37.315284245205831</v>
      </c>
      <c r="V8">
        <v>37.315284245205831</v>
      </c>
      <c r="W8">
        <v>37.315284245205831</v>
      </c>
      <c r="X8">
        <v>37.315284245205831</v>
      </c>
      <c r="Y8">
        <v>37.315284245205831</v>
      </c>
      <c r="Z8">
        <v>37.315284245205831</v>
      </c>
      <c r="AA8">
        <v>37.315284245205831</v>
      </c>
      <c r="AB8">
        <v>37.315284245205831</v>
      </c>
      <c r="AS8">
        <v>0.66</v>
      </c>
      <c r="AT8">
        <v>0.66</v>
      </c>
      <c r="AU8">
        <v>0.66</v>
      </c>
      <c r="AV8">
        <v>0.66</v>
      </c>
      <c r="AW8">
        <v>0.66</v>
      </c>
      <c r="AX8">
        <v>0.66</v>
      </c>
      <c r="AY8">
        <v>0.66</v>
      </c>
      <c r="AZ8">
        <v>0.66</v>
      </c>
    </row>
    <row r="9" spans="1:52" x14ac:dyDescent="0.25">
      <c r="A9" t="s">
        <v>93</v>
      </c>
      <c r="B9" t="s">
        <v>94</v>
      </c>
      <c r="D9">
        <v>2020</v>
      </c>
      <c r="E9" t="s">
        <v>107</v>
      </c>
      <c r="F9" t="s">
        <v>108</v>
      </c>
      <c r="G9" t="s">
        <v>97</v>
      </c>
      <c r="H9" t="s">
        <v>109</v>
      </c>
      <c r="I9">
        <v>1</v>
      </c>
      <c r="J9">
        <v>0</v>
      </c>
      <c r="K9">
        <v>100</v>
      </c>
      <c r="L9">
        <v>31.536000000000001</v>
      </c>
      <c r="M9">
        <v>8970.368179309633</v>
      </c>
      <c r="N9">
        <v>8970.368179309633</v>
      </c>
      <c r="O9">
        <v>8970.368179309633</v>
      </c>
      <c r="P9">
        <v>8970.368179309633</v>
      </c>
      <c r="Q9">
        <v>8970.368179309633</v>
      </c>
      <c r="R9">
        <v>8970.368179309633</v>
      </c>
      <c r="S9">
        <v>8970.368179309633</v>
      </c>
      <c r="T9">
        <v>8970.368179309633</v>
      </c>
      <c r="U9">
        <v>161.69956506255861</v>
      </c>
      <c r="V9">
        <v>161.69956506255861</v>
      </c>
      <c r="W9">
        <v>161.69956506255861</v>
      </c>
      <c r="X9">
        <v>161.69956506255861</v>
      </c>
      <c r="Y9">
        <v>161.69956506255861</v>
      </c>
      <c r="Z9">
        <v>161.69956506255861</v>
      </c>
      <c r="AA9">
        <v>161.69956506255861</v>
      </c>
      <c r="AB9">
        <v>161.69956506255861</v>
      </c>
      <c r="AS9">
        <v>0.66</v>
      </c>
      <c r="AT9">
        <v>0.66</v>
      </c>
      <c r="AU9">
        <v>0.66</v>
      </c>
      <c r="AV9">
        <v>0.66</v>
      </c>
      <c r="AW9">
        <v>0.66</v>
      </c>
      <c r="AX9">
        <v>0.66</v>
      </c>
      <c r="AY9">
        <v>0.66</v>
      </c>
      <c r="AZ9">
        <v>0.66</v>
      </c>
    </row>
    <row r="10" spans="1:52" x14ac:dyDescent="0.25">
      <c r="A10" t="s">
        <v>93</v>
      </c>
      <c r="B10" t="s">
        <v>94</v>
      </c>
      <c r="D10">
        <v>2020</v>
      </c>
      <c r="E10" t="s">
        <v>107</v>
      </c>
      <c r="F10" t="s">
        <v>110</v>
      </c>
      <c r="G10" t="s">
        <v>97</v>
      </c>
      <c r="H10" t="s">
        <v>111</v>
      </c>
      <c r="I10">
        <v>1</v>
      </c>
      <c r="J10">
        <v>0</v>
      </c>
      <c r="K10">
        <v>100</v>
      </c>
      <c r="L10">
        <v>31.536000000000001</v>
      </c>
      <c r="M10">
        <v>8008.0861522590212</v>
      </c>
      <c r="N10">
        <v>8008.0861522590212</v>
      </c>
      <c r="O10">
        <v>8008.0861522590212</v>
      </c>
      <c r="P10">
        <v>8008.0861522590212</v>
      </c>
      <c r="Q10">
        <v>8008.0861522590212</v>
      </c>
      <c r="R10">
        <v>8008.0861522590212</v>
      </c>
      <c r="S10">
        <v>8008.0861522590212</v>
      </c>
      <c r="T10">
        <v>8008.0861522590212</v>
      </c>
      <c r="U10">
        <v>53.146010894687088</v>
      </c>
      <c r="V10">
        <v>53.146010894687088</v>
      </c>
      <c r="W10">
        <v>53.146010894687088</v>
      </c>
      <c r="X10">
        <v>53.146010894687088</v>
      </c>
      <c r="Y10">
        <v>53.146010894687088</v>
      </c>
      <c r="Z10">
        <v>53.146010894687088</v>
      </c>
      <c r="AA10">
        <v>53.146010894687088</v>
      </c>
      <c r="AB10">
        <v>53.146010894687088</v>
      </c>
      <c r="AS10">
        <v>0.66</v>
      </c>
      <c r="AT10">
        <v>0.66</v>
      </c>
      <c r="AU10">
        <v>0.66</v>
      </c>
      <c r="AV10">
        <v>0.66</v>
      </c>
      <c r="AW10">
        <v>0.66</v>
      </c>
      <c r="AX10">
        <v>0.66</v>
      </c>
      <c r="AY10">
        <v>0.66</v>
      </c>
      <c r="AZ10">
        <v>0.66</v>
      </c>
    </row>
    <row r="11" spans="1:52" x14ac:dyDescent="0.25">
      <c r="A11" t="s">
        <v>93</v>
      </c>
      <c r="B11" t="s">
        <v>94</v>
      </c>
      <c r="D11">
        <v>2020</v>
      </c>
      <c r="E11" t="s">
        <v>107</v>
      </c>
      <c r="F11" t="s">
        <v>112</v>
      </c>
      <c r="G11" t="s">
        <v>97</v>
      </c>
      <c r="H11" t="s">
        <v>113</v>
      </c>
      <c r="I11">
        <v>1</v>
      </c>
      <c r="J11">
        <v>0</v>
      </c>
      <c r="K11">
        <v>100</v>
      </c>
      <c r="L11">
        <v>31.536000000000001</v>
      </c>
      <c r="M11">
        <v>7842.9942886287163</v>
      </c>
      <c r="N11">
        <v>7842.9942886287163</v>
      </c>
      <c r="O11">
        <v>7842.9942886287163</v>
      </c>
      <c r="P11">
        <v>7842.9942886287163</v>
      </c>
      <c r="Q11">
        <v>7842.9942886287163</v>
      </c>
      <c r="R11">
        <v>7842.9942886287163</v>
      </c>
      <c r="S11">
        <v>7842.9942886287163</v>
      </c>
      <c r="T11">
        <v>7842.9942886287163</v>
      </c>
      <c r="U11">
        <v>152.65343554856929</v>
      </c>
      <c r="V11">
        <v>152.65343554856929</v>
      </c>
      <c r="W11">
        <v>152.65343554856929</v>
      </c>
      <c r="X11">
        <v>152.65343554856929</v>
      </c>
      <c r="Y11">
        <v>152.65343554856929</v>
      </c>
      <c r="Z11">
        <v>152.65343554856929</v>
      </c>
      <c r="AA11">
        <v>152.65343554856929</v>
      </c>
      <c r="AB11">
        <v>152.65343554856929</v>
      </c>
      <c r="AS11">
        <v>0.62</v>
      </c>
      <c r="AT11">
        <v>0.62</v>
      </c>
      <c r="AU11">
        <v>0.62</v>
      </c>
      <c r="AV11">
        <v>0.62</v>
      </c>
      <c r="AW11">
        <v>0.62</v>
      </c>
      <c r="AX11">
        <v>0.62</v>
      </c>
      <c r="AY11">
        <v>0.62</v>
      </c>
      <c r="AZ11">
        <v>0.62</v>
      </c>
    </row>
    <row r="12" spans="1:52" x14ac:dyDescent="0.25">
      <c r="A12" t="s">
        <v>93</v>
      </c>
      <c r="B12" t="s">
        <v>94</v>
      </c>
      <c r="D12">
        <v>2020</v>
      </c>
      <c r="E12" t="s">
        <v>107</v>
      </c>
      <c r="F12" t="s">
        <v>114</v>
      </c>
      <c r="G12" t="s">
        <v>97</v>
      </c>
      <c r="H12" t="s">
        <v>115</v>
      </c>
      <c r="I12">
        <v>1</v>
      </c>
      <c r="J12">
        <v>0</v>
      </c>
      <c r="K12">
        <v>100</v>
      </c>
      <c r="L12">
        <v>31.536000000000001</v>
      </c>
      <c r="M12">
        <v>7060.5040856686428</v>
      </c>
      <c r="N12">
        <v>7060.5040856686428</v>
      </c>
      <c r="O12">
        <v>7060.5040856686428</v>
      </c>
      <c r="P12">
        <v>7060.5040856686428</v>
      </c>
      <c r="Q12">
        <v>7060.5040856686428</v>
      </c>
      <c r="R12">
        <v>7060.5040856686428</v>
      </c>
      <c r="S12">
        <v>7060.5040856686428</v>
      </c>
      <c r="T12">
        <v>7060.5040856686428</v>
      </c>
      <c r="U12">
        <v>37.315284245205831</v>
      </c>
      <c r="V12">
        <v>37.315284245205831</v>
      </c>
      <c r="W12">
        <v>37.315284245205831</v>
      </c>
      <c r="X12">
        <v>37.315284245205831</v>
      </c>
      <c r="Y12">
        <v>37.315284245205831</v>
      </c>
      <c r="Z12">
        <v>37.315284245205831</v>
      </c>
      <c r="AA12">
        <v>37.315284245205831</v>
      </c>
      <c r="AB12">
        <v>37.315284245205831</v>
      </c>
      <c r="AS12">
        <v>0.66</v>
      </c>
      <c r="AT12">
        <v>0.66</v>
      </c>
      <c r="AU12">
        <v>0.66</v>
      </c>
      <c r="AV12">
        <v>0.66</v>
      </c>
      <c r="AW12">
        <v>0.66</v>
      </c>
      <c r="AX12">
        <v>0.66</v>
      </c>
      <c r="AY12">
        <v>0.66</v>
      </c>
      <c r="AZ12">
        <v>0.66</v>
      </c>
    </row>
    <row r="13" spans="1:52" x14ac:dyDescent="0.25">
      <c r="A13" t="s">
        <v>93</v>
      </c>
      <c r="B13" t="s">
        <v>94</v>
      </c>
      <c r="D13">
        <v>2020</v>
      </c>
      <c r="E13" t="s">
        <v>107</v>
      </c>
      <c r="F13" t="s">
        <v>116</v>
      </c>
      <c r="G13" t="s">
        <v>97</v>
      </c>
      <c r="H13" t="s">
        <v>117</v>
      </c>
      <c r="I13">
        <v>1</v>
      </c>
      <c r="J13">
        <v>0</v>
      </c>
      <c r="K13">
        <v>100</v>
      </c>
      <c r="L13">
        <v>31.536000000000001</v>
      </c>
      <c r="M13">
        <v>7060.5040856686428</v>
      </c>
      <c r="N13">
        <v>7060.5040856686428</v>
      </c>
      <c r="O13">
        <v>7060.5040856686428</v>
      </c>
      <c r="P13">
        <v>7060.5040856686428</v>
      </c>
      <c r="Q13">
        <v>7060.5040856686428</v>
      </c>
      <c r="R13">
        <v>7060.5040856686428</v>
      </c>
      <c r="S13">
        <v>7060.5040856686428</v>
      </c>
      <c r="T13">
        <v>7060.5040856686428</v>
      </c>
      <c r="U13">
        <v>37.315284245205831</v>
      </c>
      <c r="V13">
        <v>37.315284245205831</v>
      </c>
      <c r="W13">
        <v>37.315284245205831</v>
      </c>
      <c r="X13">
        <v>37.315284245205831</v>
      </c>
      <c r="Y13">
        <v>37.315284245205831</v>
      </c>
      <c r="Z13">
        <v>37.315284245205831</v>
      </c>
      <c r="AA13">
        <v>37.315284245205831</v>
      </c>
      <c r="AB13">
        <v>37.315284245205831</v>
      </c>
      <c r="AS13">
        <v>0.66</v>
      </c>
      <c r="AT13">
        <v>0.66</v>
      </c>
      <c r="AU13">
        <v>0.66</v>
      </c>
      <c r="AV13">
        <v>0.66</v>
      </c>
      <c r="AW13">
        <v>0.66</v>
      </c>
      <c r="AX13">
        <v>0.66</v>
      </c>
      <c r="AY13">
        <v>0.66</v>
      </c>
      <c r="AZ13">
        <v>0.66</v>
      </c>
    </row>
    <row r="14" spans="1:52" x14ac:dyDescent="0.25">
      <c r="A14" t="s">
        <v>93</v>
      </c>
      <c r="B14" t="s">
        <v>94</v>
      </c>
      <c r="D14">
        <v>2020</v>
      </c>
      <c r="E14" t="s">
        <v>107</v>
      </c>
      <c r="F14" t="s">
        <v>118</v>
      </c>
      <c r="G14" t="s">
        <v>97</v>
      </c>
      <c r="H14" t="s">
        <v>119</v>
      </c>
      <c r="I14">
        <v>1</v>
      </c>
      <c r="J14">
        <v>0</v>
      </c>
      <c r="K14">
        <v>100</v>
      </c>
      <c r="L14">
        <v>31.536000000000001</v>
      </c>
      <c r="M14">
        <v>3188.760653681225</v>
      </c>
      <c r="N14">
        <v>3188.760653681225</v>
      </c>
      <c r="O14">
        <v>3188.760653681225</v>
      </c>
      <c r="P14">
        <v>3188.760653681225</v>
      </c>
      <c r="Q14">
        <v>3060.9840742961269</v>
      </c>
      <c r="R14">
        <v>3060.9840742961269</v>
      </c>
      <c r="S14">
        <v>3060.9840742961269</v>
      </c>
      <c r="T14">
        <v>3060.9840742961269</v>
      </c>
      <c r="U14">
        <v>96.115126086136229</v>
      </c>
      <c r="V14">
        <v>96.115126086136229</v>
      </c>
      <c r="W14">
        <v>96.115126086136229</v>
      </c>
      <c r="X14">
        <v>96.115126086136229</v>
      </c>
      <c r="Y14">
        <v>92.722827518390247</v>
      </c>
      <c r="Z14">
        <v>92.722827518390247</v>
      </c>
      <c r="AA14">
        <v>92.722827518390247</v>
      </c>
      <c r="AB14">
        <v>92.722827518390247</v>
      </c>
      <c r="AS14">
        <v>0.33</v>
      </c>
      <c r="AT14">
        <v>0.33</v>
      </c>
      <c r="AU14">
        <v>0.33</v>
      </c>
      <c r="AV14">
        <v>0.33</v>
      </c>
      <c r="AW14">
        <v>0.33</v>
      </c>
      <c r="AX14">
        <v>0.33</v>
      </c>
      <c r="AY14">
        <v>0.33</v>
      </c>
      <c r="AZ14">
        <v>0.33</v>
      </c>
    </row>
    <row r="15" spans="1:52" x14ac:dyDescent="0.25">
      <c r="A15" t="s">
        <v>93</v>
      </c>
      <c r="B15" t="s">
        <v>94</v>
      </c>
      <c r="D15">
        <v>2020</v>
      </c>
      <c r="E15" t="s">
        <v>107</v>
      </c>
      <c r="F15" t="s">
        <v>120</v>
      </c>
      <c r="G15" t="s">
        <v>97</v>
      </c>
      <c r="H15" t="s">
        <v>121</v>
      </c>
      <c r="I15">
        <v>1</v>
      </c>
      <c r="J15">
        <v>0</v>
      </c>
      <c r="K15">
        <v>100</v>
      </c>
      <c r="L15">
        <v>31.536000000000001</v>
      </c>
      <c r="M15">
        <v>6253.1370265450987</v>
      </c>
      <c r="N15">
        <v>6253.1370265450987</v>
      </c>
      <c r="O15">
        <v>4777.4871495755951</v>
      </c>
      <c r="P15">
        <v>3300.7065064168428</v>
      </c>
      <c r="Q15">
        <v>3168.40686227475</v>
      </c>
      <c r="R15">
        <v>3168.40686227475</v>
      </c>
      <c r="S15">
        <v>3168.40686227475</v>
      </c>
      <c r="T15">
        <v>3168.40686227475</v>
      </c>
      <c r="U15">
        <v>98.37665846463355</v>
      </c>
      <c r="V15">
        <v>98.37665846463355</v>
      </c>
      <c r="W15">
        <v>98.37665846463355</v>
      </c>
      <c r="X15">
        <v>98.37665846463355</v>
      </c>
      <c r="Y15">
        <v>93.853593707638908</v>
      </c>
      <c r="Z15">
        <v>93.853593707638908</v>
      </c>
      <c r="AA15">
        <v>93.853593707638908</v>
      </c>
      <c r="AB15">
        <v>93.853593707638908</v>
      </c>
      <c r="AS15">
        <v>0.41</v>
      </c>
      <c r="AT15">
        <v>0.41</v>
      </c>
      <c r="AU15">
        <v>0.37999999999999989</v>
      </c>
      <c r="AV15">
        <v>0.37999999999999989</v>
      </c>
      <c r="AW15">
        <v>0.37999999999999989</v>
      </c>
      <c r="AX15">
        <v>0.37999999999999989</v>
      </c>
      <c r="AY15">
        <v>0.37999999999999989</v>
      </c>
      <c r="AZ15">
        <v>0.37999999999999989</v>
      </c>
    </row>
    <row r="16" spans="1:52" x14ac:dyDescent="0.25">
      <c r="A16" t="s">
        <v>93</v>
      </c>
      <c r="B16" t="s">
        <v>94</v>
      </c>
      <c r="D16">
        <v>2020</v>
      </c>
      <c r="E16" t="s">
        <v>107</v>
      </c>
      <c r="F16" t="s">
        <v>122</v>
      </c>
      <c r="G16" t="s">
        <v>97</v>
      </c>
      <c r="H16" t="s">
        <v>123</v>
      </c>
      <c r="I16">
        <v>1</v>
      </c>
      <c r="J16">
        <v>0</v>
      </c>
      <c r="K16">
        <v>100</v>
      </c>
      <c r="L16">
        <v>31.536000000000001</v>
      </c>
      <c r="M16">
        <v>6382.0443721194461</v>
      </c>
      <c r="N16">
        <v>6382.0443721194461</v>
      </c>
      <c r="O16">
        <v>5010.4249845608192</v>
      </c>
      <c r="P16">
        <v>3638.8055970021928</v>
      </c>
      <c r="Q16">
        <v>3492.936758589115</v>
      </c>
      <c r="R16">
        <v>3492.936758589115</v>
      </c>
      <c r="S16">
        <v>3492.936758589115</v>
      </c>
      <c r="T16">
        <v>3492.936758589115</v>
      </c>
      <c r="U16">
        <v>117.5996836818608</v>
      </c>
      <c r="V16">
        <v>117.5996836818608</v>
      </c>
      <c r="W16">
        <v>117.5996836818608</v>
      </c>
      <c r="X16">
        <v>117.5996836818608</v>
      </c>
      <c r="Y16">
        <v>113.0766189248662</v>
      </c>
      <c r="Z16">
        <v>113.0766189248662</v>
      </c>
      <c r="AA16">
        <v>113.0766189248662</v>
      </c>
      <c r="AB16">
        <v>113.0766189248662</v>
      </c>
      <c r="AS16">
        <v>0.33</v>
      </c>
      <c r="AT16">
        <v>0.33</v>
      </c>
      <c r="AU16">
        <v>0.32</v>
      </c>
      <c r="AV16">
        <v>0.32</v>
      </c>
      <c r="AW16">
        <v>0.32</v>
      </c>
      <c r="AX16">
        <v>0.32</v>
      </c>
      <c r="AY16">
        <v>0.32</v>
      </c>
      <c r="AZ16">
        <v>0.32</v>
      </c>
    </row>
    <row r="17" spans="1:52" x14ac:dyDescent="0.25">
      <c r="A17" t="s">
        <v>93</v>
      </c>
      <c r="B17" t="s">
        <v>94</v>
      </c>
      <c r="D17">
        <v>2020</v>
      </c>
      <c r="E17" t="s">
        <v>107</v>
      </c>
      <c r="F17" t="s">
        <v>124</v>
      </c>
      <c r="G17" t="s">
        <v>97</v>
      </c>
      <c r="H17" t="s">
        <v>125</v>
      </c>
      <c r="I17">
        <v>1</v>
      </c>
      <c r="J17">
        <v>0</v>
      </c>
      <c r="K17">
        <v>100</v>
      </c>
      <c r="L17">
        <v>31.536000000000001</v>
      </c>
      <c r="M17">
        <v>14006.80078622317</v>
      </c>
      <c r="N17">
        <v>14006.80078622317</v>
      </c>
      <c r="O17">
        <v>11382.292460977031</v>
      </c>
      <c r="P17">
        <v>8758.9149019201323</v>
      </c>
      <c r="Q17">
        <v>8408.3773832530478</v>
      </c>
      <c r="R17">
        <v>8408.3773832530478</v>
      </c>
      <c r="S17">
        <v>8408.3773832530478</v>
      </c>
      <c r="T17">
        <v>8408.3773832530478</v>
      </c>
      <c r="U17">
        <v>196.7533169292671</v>
      </c>
      <c r="V17">
        <v>196.7533169292671</v>
      </c>
      <c r="W17">
        <v>196.7533169292671</v>
      </c>
      <c r="X17">
        <v>196.7533169292671</v>
      </c>
      <c r="Y17">
        <v>188.83795360452649</v>
      </c>
      <c r="Z17">
        <v>188.83795360452649</v>
      </c>
      <c r="AA17">
        <v>188.83795360452649</v>
      </c>
      <c r="AB17">
        <v>188.83795360452649</v>
      </c>
      <c r="AS17">
        <v>0.37999999999999989</v>
      </c>
      <c r="AT17">
        <v>0.37999999999999989</v>
      </c>
      <c r="AU17">
        <v>0.37999999999999989</v>
      </c>
      <c r="AV17">
        <v>0.37999999999999989</v>
      </c>
      <c r="AW17">
        <v>0.37999999999999989</v>
      </c>
      <c r="AX17">
        <v>0.37999999999999989</v>
      </c>
      <c r="AY17">
        <v>0.37999999999999989</v>
      </c>
      <c r="AZ17">
        <v>0.37999999999999989</v>
      </c>
    </row>
    <row r="18" spans="1:52" x14ac:dyDescent="0.25">
      <c r="A18" t="s">
        <v>93</v>
      </c>
      <c r="B18" t="s">
        <v>94</v>
      </c>
      <c r="D18">
        <v>2020</v>
      </c>
      <c r="E18" t="s">
        <v>107</v>
      </c>
      <c r="F18" t="s">
        <v>126</v>
      </c>
      <c r="G18" t="s">
        <v>97</v>
      </c>
      <c r="H18" t="s">
        <v>127</v>
      </c>
      <c r="I18">
        <v>1</v>
      </c>
      <c r="J18">
        <v>0</v>
      </c>
      <c r="K18">
        <v>100</v>
      </c>
      <c r="L18">
        <v>31.536000000000001</v>
      </c>
      <c r="M18">
        <v>14006.80078622317</v>
      </c>
      <c r="N18">
        <v>14006.80078622317</v>
      </c>
      <c r="O18">
        <v>11382.292460977031</v>
      </c>
      <c r="P18">
        <v>8758.9149019201323</v>
      </c>
      <c r="Q18">
        <v>8408.3773832530478</v>
      </c>
      <c r="R18">
        <v>8408.3773832530478</v>
      </c>
      <c r="S18">
        <v>8408.3773832530478</v>
      </c>
      <c r="T18">
        <v>8408.3773832530478</v>
      </c>
      <c r="U18">
        <v>196.7533169292671</v>
      </c>
      <c r="V18">
        <v>196.7533169292671</v>
      </c>
      <c r="W18">
        <v>196.7533169292671</v>
      </c>
      <c r="X18">
        <v>196.7533169292671</v>
      </c>
      <c r="Y18">
        <v>188.83795360452649</v>
      </c>
      <c r="Z18">
        <v>188.83795360452649</v>
      </c>
      <c r="AA18">
        <v>188.83795360452649</v>
      </c>
      <c r="AB18">
        <v>188.83795360452649</v>
      </c>
      <c r="AS18">
        <v>0.37999999999999989</v>
      </c>
      <c r="AT18">
        <v>0.37999999999999989</v>
      </c>
      <c r="AU18">
        <v>0.37999999999999989</v>
      </c>
      <c r="AV18">
        <v>0.37999999999999989</v>
      </c>
      <c r="AW18">
        <v>0.37999999999999989</v>
      </c>
      <c r="AX18">
        <v>0.37999999999999989</v>
      </c>
      <c r="AY18">
        <v>0.37999999999999989</v>
      </c>
      <c r="AZ18">
        <v>0.37999999999999989</v>
      </c>
    </row>
    <row r="19" spans="1:52" x14ac:dyDescent="0.25">
      <c r="A19" t="s">
        <v>93</v>
      </c>
      <c r="B19" t="s">
        <v>94</v>
      </c>
      <c r="D19">
        <v>2020</v>
      </c>
      <c r="E19" t="s">
        <v>95</v>
      </c>
      <c r="F19" t="s">
        <v>128</v>
      </c>
      <c r="G19" t="s">
        <v>97</v>
      </c>
      <c r="H19" t="s">
        <v>129</v>
      </c>
      <c r="I19">
        <v>1</v>
      </c>
      <c r="J19">
        <v>0</v>
      </c>
      <c r="K19">
        <v>100</v>
      </c>
      <c r="L19">
        <v>31.536000000000001</v>
      </c>
      <c r="M19">
        <v>3188.760653681225</v>
      </c>
      <c r="N19">
        <v>3188.760653681225</v>
      </c>
      <c r="O19">
        <v>3188.760653681225</v>
      </c>
      <c r="P19">
        <v>3188.760653681225</v>
      </c>
      <c r="Q19">
        <v>3060.9840742961269</v>
      </c>
      <c r="R19">
        <v>3060.9840742961269</v>
      </c>
      <c r="S19">
        <v>3060.9840742961269</v>
      </c>
      <c r="T19">
        <v>3060.9840742961269</v>
      </c>
      <c r="U19">
        <v>96.115126086136229</v>
      </c>
      <c r="V19">
        <v>96.115126086136229</v>
      </c>
      <c r="W19">
        <v>96.115126086136229</v>
      </c>
      <c r="X19">
        <v>96.115126086136229</v>
      </c>
      <c r="Y19">
        <v>92.722827518390247</v>
      </c>
      <c r="Z19">
        <v>92.722827518390247</v>
      </c>
      <c r="AA19">
        <v>92.722827518390247</v>
      </c>
      <c r="AB19">
        <v>92.722827518390247</v>
      </c>
      <c r="AS19">
        <v>0.33</v>
      </c>
      <c r="AT19">
        <v>0.33</v>
      </c>
      <c r="AU19">
        <v>0.33</v>
      </c>
      <c r="AV19">
        <v>0.33</v>
      </c>
      <c r="AW19">
        <v>0.33</v>
      </c>
      <c r="AX19">
        <v>0.33</v>
      </c>
      <c r="AY19">
        <v>0.33</v>
      </c>
      <c r="AZ19">
        <v>0.33</v>
      </c>
    </row>
    <row r="20" spans="1:52" x14ac:dyDescent="0.25">
      <c r="A20" t="s">
        <v>93</v>
      </c>
      <c r="B20" t="s">
        <v>94</v>
      </c>
      <c r="D20">
        <v>2020</v>
      </c>
      <c r="E20" t="s">
        <v>95</v>
      </c>
      <c r="F20" t="s">
        <v>130</v>
      </c>
      <c r="G20" t="s">
        <v>97</v>
      </c>
      <c r="H20" t="s">
        <v>131</v>
      </c>
      <c r="I20">
        <v>1</v>
      </c>
      <c r="J20">
        <v>0</v>
      </c>
      <c r="K20">
        <v>100</v>
      </c>
      <c r="L20">
        <v>31.536000000000001</v>
      </c>
      <c r="M20">
        <v>6253.1370265450987</v>
      </c>
      <c r="N20">
        <v>6253.1370265450987</v>
      </c>
      <c r="O20">
        <v>4777.4871495755951</v>
      </c>
      <c r="P20">
        <v>3300.7065064168428</v>
      </c>
      <c r="Q20">
        <v>3168.40686227475</v>
      </c>
      <c r="R20">
        <v>3168.40686227475</v>
      </c>
      <c r="S20">
        <v>3168.40686227475</v>
      </c>
      <c r="T20">
        <v>3168.40686227475</v>
      </c>
      <c r="U20">
        <v>98.37665846463355</v>
      </c>
      <c r="V20">
        <v>98.37665846463355</v>
      </c>
      <c r="W20">
        <v>98.37665846463355</v>
      </c>
      <c r="X20">
        <v>98.37665846463355</v>
      </c>
      <c r="Y20">
        <v>93.853593707638908</v>
      </c>
      <c r="Z20">
        <v>93.853593707638908</v>
      </c>
      <c r="AA20">
        <v>93.853593707638908</v>
      </c>
      <c r="AB20">
        <v>93.853593707638908</v>
      </c>
      <c r="AS20">
        <v>0.41</v>
      </c>
      <c r="AT20">
        <v>0.41</v>
      </c>
      <c r="AU20">
        <v>0.37999999999999989</v>
      </c>
      <c r="AV20">
        <v>0.37999999999999989</v>
      </c>
      <c r="AW20">
        <v>0.37999999999999989</v>
      </c>
      <c r="AX20">
        <v>0.37999999999999989</v>
      </c>
      <c r="AY20">
        <v>0.37999999999999989</v>
      </c>
      <c r="AZ20">
        <v>0.37999999999999989</v>
      </c>
    </row>
    <row r="21" spans="1:52" x14ac:dyDescent="0.25">
      <c r="A21" t="s">
        <v>93</v>
      </c>
      <c r="B21" t="s">
        <v>94</v>
      </c>
      <c r="D21">
        <v>2020</v>
      </c>
      <c r="E21" t="s">
        <v>95</v>
      </c>
      <c r="F21" t="s">
        <v>132</v>
      </c>
      <c r="G21" t="s">
        <v>97</v>
      </c>
      <c r="H21" t="s">
        <v>133</v>
      </c>
      <c r="I21">
        <v>1</v>
      </c>
      <c r="J21">
        <v>0</v>
      </c>
      <c r="K21">
        <v>100</v>
      </c>
      <c r="L21">
        <v>31.536000000000001</v>
      </c>
      <c r="M21">
        <v>6382.0443721194461</v>
      </c>
      <c r="N21">
        <v>6382.0443721194461</v>
      </c>
      <c r="O21">
        <v>5010.4249845608192</v>
      </c>
      <c r="P21">
        <v>3638.8055970021928</v>
      </c>
      <c r="Q21">
        <v>3492.936758589115</v>
      </c>
      <c r="R21">
        <v>3492.936758589115</v>
      </c>
      <c r="S21">
        <v>3492.936758589115</v>
      </c>
      <c r="T21">
        <v>3492.936758589115</v>
      </c>
      <c r="U21">
        <v>117.5996836818608</v>
      </c>
      <c r="V21">
        <v>117.5996836818608</v>
      </c>
      <c r="W21">
        <v>117.5996836818608</v>
      </c>
      <c r="X21">
        <v>117.5996836818608</v>
      </c>
      <c r="Y21">
        <v>113.0766189248662</v>
      </c>
      <c r="Z21">
        <v>113.0766189248662</v>
      </c>
      <c r="AA21">
        <v>113.0766189248662</v>
      </c>
      <c r="AB21">
        <v>113.0766189248662</v>
      </c>
      <c r="AS21">
        <v>0.33</v>
      </c>
      <c r="AT21">
        <v>0.33</v>
      </c>
      <c r="AU21">
        <v>0.32</v>
      </c>
      <c r="AV21">
        <v>0.32</v>
      </c>
      <c r="AW21">
        <v>0.32</v>
      </c>
      <c r="AX21">
        <v>0.32</v>
      </c>
      <c r="AY21">
        <v>0.32</v>
      </c>
      <c r="AZ21">
        <v>0.32</v>
      </c>
    </row>
    <row r="22" spans="1:52" x14ac:dyDescent="0.25">
      <c r="A22" t="s">
        <v>93</v>
      </c>
      <c r="B22" t="s">
        <v>94</v>
      </c>
      <c r="D22">
        <v>2020</v>
      </c>
      <c r="E22" t="s">
        <v>95</v>
      </c>
      <c r="F22" t="s">
        <v>134</v>
      </c>
      <c r="G22" t="s">
        <v>97</v>
      </c>
      <c r="H22" t="s">
        <v>135</v>
      </c>
      <c r="I22">
        <v>1</v>
      </c>
      <c r="J22">
        <v>0</v>
      </c>
      <c r="K22">
        <v>100</v>
      </c>
      <c r="L22">
        <v>31.536000000000001</v>
      </c>
      <c r="M22">
        <v>14006.80078622317</v>
      </c>
      <c r="N22">
        <v>14006.80078622317</v>
      </c>
      <c r="O22">
        <v>11382.292460977031</v>
      </c>
      <c r="P22">
        <v>8758.9149019201323</v>
      </c>
      <c r="Q22">
        <v>8408.3773832530478</v>
      </c>
      <c r="R22">
        <v>8408.3773832530478</v>
      </c>
      <c r="S22">
        <v>8408.3773832530478</v>
      </c>
      <c r="T22">
        <v>8408.3773832530478</v>
      </c>
      <c r="U22">
        <v>196.7533169292671</v>
      </c>
      <c r="V22">
        <v>196.7533169292671</v>
      </c>
      <c r="W22">
        <v>196.7533169292671</v>
      </c>
      <c r="X22">
        <v>196.7533169292671</v>
      </c>
      <c r="Y22">
        <v>188.83795360452649</v>
      </c>
      <c r="Z22">
        <v>188.83795360452649</v>
      </c>
      <c r="AA22">
        <v>188.83795360452649</v>
      </c>
      <c r="AB22">
        <v>188.83795360452649</v>
      </c>
      <c r="AS22">
        <v>0.37999999999999989</v>
      </c>
      <c r="AT22">
        <v>0.37999999999999989</v>
      </c>
      <c r="AU22">
        <v>0.37999999999999989</v>
      </c>
      <c r="AV22">
        <v>0.37999999999999989</v>
      </c>
      <c r="AW22">
        <v>0.37999999999999989</v>
      </c>
      <c r="AX22">
        <v>0.37999999999999989</v>
      </c>
      <c r="AY22">
        <v>0.37999999999999989</v>
      </c>
      <c r="AZ22">
        <v>0.37999999999999989</v>
      </c>
    </row>
    <row r="23" spans="1:52" x14ac:dyDescent="0.25">
      <c r="A23" t="s">
        <v>93</v>
      </c>
      <c r="B23" t="s">
        <v>94</v>
      </c>
      <c r="D23">
        <v>2020</v>
      </c>
      <c r="E23" t="s">
        <v>95</v>
      </c>
      <c r="F23" t="s">
        <v>136</v>
      </c>
      <c r="G23" t="s">
        <v>97</v>
      </c>
      <c r="H23" t="s">
        <v>137</v>
      </c>
      <c r="I23">
        <v>1</v>
      </c>
      <c r="J23">
        <v>0</v>
      </c>
      <c r="K23">
        <v>100</v>
      </c>
      <c r="L23">
        <v>31.536000000000001</v>
      </c>
      <c r="M23">
        <v>14006.80078622317</v>
      </c>
      <c r="N23">
        <v>14006.80078622317</v>
      </c>
      <c r="O23">
        <v>11382.292460977031</v>
      </c>
      <c r="P23">
        <v>8758.9149019201323</v>
      </c>
      <c r="Q23">
        <v>8408.3773832530478</v>
      </c>
      <c r="R23">
        <v>8408.3773832530478</v>
      </c>
      <c r="S23">
        <v>8408.3773832530478</v>
      </c>
      <c r="T23">
        <v>8408.3773832530478</v>
      </c>
      <c r="U23">
        <v>196.7533169292671</v>
      </c>
      <c r="V23">
        <v>196.7533169292671</v>
      </c>
      <c r="W23">
        <v>196.7533169292671</v>
      </c>
      <c r="X23">
        <v>196.7533169292671</v>
      </c>
      <c r="Y23">
        <v>188.83795360452649</v>
      </c>
      <c r="Z23">
        <v>188.83795360452649</v>
      </c>
      <c r="AA23">
        <v>188.83795360452649</v>
      </c>
      <c r="AB23">
        <v>188.83795360452649</v>
      </c>
      <c r="AS23">
        <v>0.37999999999999989</v>
      </c>
      <c r="AT23">
        <v>0.37999999999999989</v>
      </c>
      <c r="AU23">
        <v>0.37999999999999989</v>
      </c>
      <c r="AV23">
        <v>0.37999999999999989</v>
      </c>
      <c r="AW23">
        <v>0.37999999999999989</v>
      </c>
      <c r="AX23">
        <v>0.37999999999999989</v>
      </c>
      <c r="AY23">
        <v>0.37999999999999989</v>
      </c>
      <c r="AZ23">
        <v>0.37999999999999989</v>
      </c>
    </row>
    <row r="24" spans="1:52" x14ac:dyDescent="0.25">
      <c r="A24" t="s">
        <v>93</v>
      </c>
      <c r="B24" t="s">
        <v>94</v>
      </c>
      <c r="D24">
        <v>2020</v>
      </c>
      <c r="E24" t="s">
        <v>107</v>
      </c>
      <c r="F24" t="s">
        <v>138</v>
      </c>
      <c r="G24" t="s">
        <v>97</v>
      </c>
      <c r="H24" t="s">
        <v>139</v>
      </c>
      <c r="I24">
        <v>1</v>
      </c>
      <c r="J24">
        <v>0</v>
      </c>
      <c r="K24">
        <v>100</v>
      </c>
      <c r="L24">
        <v>31.536000000000001</v>
      </c>
      <c r="M24">
        <v>3188.760653681225</v>
      </c>
      <c r="N24">
        <v>3188.760653681225</v>
      </c>
      <c r="O24">
        <v>3188.760653681225</v>
      </c>
      <c r="P24">
        <v>3188.760653681225</v>
      </c>
      <c r="Q24">
        <v>3060.9840742961269</v>
      </c>
      <c r="R24">
        <v>3060.9840742961269</v>
      </c>
      <c r="S24">
        <v>3060.9840742961269</v>
      </c>
      <c r="T24">
        <v>3060.9840742961269</v>
      </c>
      <c r="U24">
        <v>96.115126086136229</v>
      </c>
      <c r="V24">
        <v>96.115126086136229</v>
      </c>
      <c r="W24">
        <v>96.115126086136229</v>
      </c>
      <c r="X24">
        <v>96.115126086136229</v>
      </c>
      <c r="Y24">
        <v>92.722827518390247</v>
      </c>
      <c r="Z24">
        <v>92.722827518390247</v>
      </c>
      <c r="AA24">
        <v>92.722827518390247</v>
      </c>
      <c r="AB24">
        <v>92.722827518390247</v>
      </c>
      <c r="AS24">
        <v>0.33</v>
      </c>
      <c r="AT24">
        <v>0.33</v>
      </c>
      <c r="AU24">
        <v>0.33</v>
      </c>
      <c r="AV24">
        <v>0.33</v>
      </c>
      <c r="AW24">
        <v>0.33</v>
      </c>
      <c r="AX24">
        <v>0.33</v>
      </c>
      <c r="AY24">
        <v>0.33</v>
      </c>
      <c r="AZ24">
        <v>0.33</v>
      </c>
    </row>
    <row r="25" spans="1:52" x14ac:dyDescent="0.25">
      <c r="A25" t="s">
        <v>93</v>
      </c>
      <c r="B25" t="s">
        <v>94</v>
      </c>
      <c r="D25">
        <v>2020</v>
      </c>
      <c r="E25" t="s">
        <v>107</v>
      </c>
      <c r="F25" t="s">
        <v>140</v>
      </c>
      <c r="G25" t="s">
        <v>97</v>
      </c>
      <c r="H25" t="s">
        <v>141</v>
      </c>
      <c r="I25">
        <v>1</v>
      </c>
      <c r="J25">
        <v>0</v>
      </c>
      <c r="K25">
        <v>100</v>
      </c>
      <c r="L25">
        <v>31.536000000000001</v>
      </c>
      <c r="M25">
        <v>6253.1370265450987</v>
      </c>
      <c r="N25">
        <v>6253.1370265450987</v>
      </c>
      <c r="O25">
        <v>4777.4871495755951</v>
      </c>
      <c r="P25">
        <v>3300.7065064168428</v>
      </c>
      <c r="Q25">
        <v>3168.40686227475</v>
      </c>
      <c r="R25">
        <v>3168.40686227475</v>
      </c>
      <c r="S25">
        <v>3168.40686227475</v>
      </c>
      <c r="T25">
        <v>3168.40686227475</v>
      </c>
      <c r="U25">
        <v>98.37665846463355</v>
      </c>
      <c r="V25">
        <v>98.37665846463355</v>
      </c>
      <c r="W25">
        <v>98.37665846463355</v>
      </c>
      <c r="X25">
        <v>98.37665846463355</v>
      </c>
      <c r="Y25">
        <v>93.853593707638908</v>
      </c>
      <c r="Z25">
        <v>93.853593707638908</v>
      </c>
      <c r="AA25">
        <v>93.853593707638908</v>
      </c>
      <c r="AB25">
        <v>93.853593707638908</v>
      </c>
      <c r="AS25">
        <v>0.41</v>
      </c>
      <c r="AT25">
        <v>0.41</v>
      </c>
      <c r="AU25">
        <v>0.37999999999999989</v>
      </c>
      <c r="AV25">
        <v>0.37999999999999989</v>
      </c>
      <c r="AW25">
        <v>0.37999999999999989</v>
      </c>
      <c r="AX25">
        <v>0.37999999999999989</v>
      </c>
      <c r="AY25">
        <v>0.37999999999999989</v>
      </c>
      <c r="AZ25">
        <v>0.37999999999999989</v>
      </c>
    </row>
    <row r="26" spans="1:52" x14ac:dyDescent="0.25">
      <c r="A26" t="s">
        <v>93</v>
      </c>
      <c r="B26" t="s">
        <v>94</v>
      </c>
      <c r="D26">
        <v>2020</v>
      </c>
      <c r="E26" t="s">
        <v>107</v>
      </c>
      <c r="F26" t="s">
        <v>142</v>
      </c>
      <c r="G26" t="s">
        <v>97</v>
      </c>
      <c r="H26" t="s">
        <v>143</v>
      </c>
      <c r="I26">
        <v>1</v>
      </c>
      <c r="J26">
        <v>0</v>
      </c>
      <c r="K26">
        <v>100</v>
      </c>
      <c r="L26">
        <v>31.536000000000001</v>
      </c>
      <c r="M26">
        <v>6382.0443721194461</v>
      </c>
      <c r="N26">
        <v>6382.0443721194461</v>
      </c>
      <c r="O26">
        <v>5010.4249845608192</v>
      </c>
      <c r="P26">
        <v>3638.8055970021928</v>
      </c>
      <c r="Q26">
        <v>3492.936758589115</v>
      </c>
      <c r="R26">
        <v>3492.936758589115</v>
      </c>
      <c r="S26">
        <v>3492.936758589115</v>
      </c>
      <c r="T26">
        <v>3492.936758589115</v>
      </c>
      <c r="U26">
        <v>117.5996836818608</v>
      </c>
      <c r="V26">
        <v>117.5996836818608</v>
      </c>
      <c r="W26">
        <v>117.5996836818608</v>
      </c>
      <c r="X26">
        <v>117.5996836818608</v>
      </c>
      <c r="Y26">
        <v>113.0766189248662</v>
      </c>
      <c r="Z26">
        <v>113.0766189248662</v>
      </c>
      <c r="AA26">
        <v>113.0766189248662</v>
      </c>
      <c r="AB26">
        <v>113.0766189248662</v>
      </c>
      <c r="AS26">
        <v>0.33</v>
      </c>
      <c r="AT26">
        <v>0.33</v>
      </c>
      <c r="AU26">
        <v>0.32</v>
      </c>
      <c r="AV26">
        <v>0.32</v>
      </c>
      <c r="AW26">
        <v>0.32</v>
      </c>
      <c r="AX26">
        <v>0.32</v>
      </c>
      <c r="AY26">
        <v>0.32</v>
      </c>
      <c r="AZ26">
        <v>0.32</v>
      </c>
    </row>
    <row r="27" spans="1:52" x14ac:dyDescent="0.25">
      <c r="A27" t="s">
        <v>93</v>
      </c>
      <c r="B27" t="s">
        <v>94</v>
      </c>
      <c r="D27">
        <v>2020</v>
      </c>
      <c r="E27" t="s">
        <v>107</v>
      </c>
      <c r="F27" t="s">
        <v>144</v>
      </c>
      <c r="G27" t="s">
        <v>97</v>
      </c>
      <c r="H27" t="s">
        <v>145</v>
      </c>
      <c r="I27">
        <v>1</v>
      </c>
      <c r="J27">
        <v>0</v>
      </c>
      <c r="K27">
        <v>100</v>
      </c>
      <c r="L27">
        <v>31.536000000000001</v>
      </c>
      <c r="M27">
        <v>14006.80078622317</v>
      </c>
      <c r="N27">
        <v>14006.80078622317</v>
      </c>
      <c r="O27">
        <v>11382.292460977031</v>
      </c>
      <c r="P27">
        <v>8758.9149019201323</v>
      </c>
      <c r="Q27">
        <v>8408.3773832530478</v>
      </c>
      <c r="R27">
        <v>8408.3773832530478</v>
      </c>
      <c r="S27">
        <v>8408.3773832530478</v>
      </c>
      <c r="T27">
        <v>8408.3773832530478</v>
      </c>
      <c r="U27">
        <v>196.7533169292671</v>
      </c>
      <c r="V27">
        <v>196.7533169292671</v>
      </c>
      <c r="W27">
        <v>196.7533169292671</v>
      </c>
      <c r="X27">
        <v>196.7533169292671</v>
      </c>
      <c r="Y27">
        <v>188.83795360452649</v>
      </c>
      <c r="Z27">
        <v>188.83795360452649</v>
      </c>
      <c r="AA27">
        <v>188.83795360452649</v>
      </c>
      <c r="AB27">
        <v>188.83795360452649</v>
      </c>
      <c r="AS27">
        <v>0.37999999999999989</v>
      </c>
      <c r="AT27">
        <v>0.37999999999999989</v>
      </c>
      <c r="AU27">
        <v>0.37999999999999989</v>
      </c>
      <c r="AV27">
        <v>0.37999999999999989</v>
      </c>
      <c r="AW27">
        <v>0.37999999999999989</v>
      </c>
      <c r="AX27">
        <v>0.37999999999999989</v>
      </c>
      <c r="AY27">
        <v>0.37999999999999989</v>
      </c>
      <c r="AZ27">
        <v>0.37999999999999989</v>
      </c>
    </row>
    <row r="28" spans="1:52" x14ac:dyDescent="0.25">
      <c r="A28" t="s">
        <v>93</v>
      </c>
      <c r="B28" t="s">
        <v>94</v>
      </c>
      <c r="D28">
        <v>2020</v>
      </c>
      <c r="E28" t="s">
        <v>107</v>
      </c>
      <c r="F28" t="s">
        <v>146</v>
      </c>
      <c r="G28" t="s">
        <v>97</v>
      </c>
      <c r="H28" t="s">
        <v>147</v>
      </c>
      <c r="I28">
        <v>1</v>
      </c>
      <c r="J28">
        <v>0</v>
      </c>
      <c r="K28">
        <v>100</v>
      </c>
      <c r="L28">
        <v>31.536000000000001</v>
      </c>
      <c r="M28">
        <v>14006.80078622317</v>
      </c>
      <c r="N28">
        <v>14006.80078622317</v>
      </c>
      <c r="O28">
        <v>11382.292460977031</v>
      </c>
      <c r="P28">
        <v>8758.9149019201323</v>
      </c>
      <c r="Q28">
        <v>8408.3773832530478</v>
      </c>
      <c r="R28">
        <v>8408.3773832530478</v>
      </c>
      <c r="S28">
        <v>8408.3773832530478</v>
      </c>
      <c r="T28">
        <v>8408.3773832530478</v>
      </c>
      <c r="U28">
        <v>196.7533169292671</v>
      </c>
      <c r="V28">
        <v>196.7533169292671</v>
      </c>
      <c r="W28">
        <v>196.7533169292671</v>
      </c>
      <c r="X28">
        <v>196.7533169292671</v>
      </c>
      <c r="Y28">
        <v>188.83795360452649</v>
      </c>
      <c r="Z28">
        <v>188.83795360452649</v>
      </c>
      <c r="AA28">
        <v>188.83795360452649</v>
      </c>
      <c r="AB28">
        <v>188.83795360452649</v>
      </c>
      <c r="AS28">
        <v>0.37999999999999989</v>
      </c>
      <c r="AT28">
        <v>0.37999999999999989</v>
      </c>
      <c r="AU28">
        <v>0.37999999999999989</v>
      </c>
      <c r="AV28">
        <v>0.37999999999999989</v>
      </c>
      <c r="AW28">
        <v>0.37999999999999989</v>
      </c>
      <c r="AX28">
        <v>0.37999999999999989</v>
      </c>
      <c r="AY28">
        <v>0.37999999999999989</v>
      </c>
      <c r="AZ28">
        <v>0.37999999999999989</v>
      </c>
    </row>
    <row r="29" spans="1:52" x14ac:dyDescent="0.25">
      <c r="A29" t="s">
        <v>93</v>
      </c>
      <c r="B29" t="s">
        <v>94</v>
      </c>
      <c r="D29">
        <v>2020</v>
      </c>
      <c r="E29" t="s">
        <v>148</v>
      </c>
      <c r="F29" t="s">
        <v>149</v>
      </c>
      <c r="G29" t="s">
        <v>148</v>
      </c>
      <c r="H29" t="s">
        <v>150</v>
      </c>
      <c r="I29">
        <v>1</v>
      </c>
      <c r="J29">
        <v>0</v>
      </c>
      <c r="K29">
        <v>100</v>
      </c>
      <c r="L29">
        <v>31.536000000000001</v>
      </c>
      <c r="M29">
        <v>2385.0937819360602</v>
      </c>
      <c r="N29">
        <v>2385.0937819360602</v>
      </c>
      <c r="O29">
        <v>2385.0937819360602</v>
      </c>
      <c r="P29">
        <v>2385.0937819360602</v>
      </c>
      <c r="Q29">
        <v>2385.0937819360602</v>
      </c>
      <c r="R29">
        <v>2385.0937819360602</v>
      </c>
      <c r="S29">
        <v>2385.0937819360602</v>
      </c>
      <c r="T29">
        <v>2385.0937819360602</v>
      </c>
      <c r="U29">
        <v>21.100097091380029</v>
      </c>
      <c r="V29">
        <v>21.100097091380029</v>
      </c>
      <c r="W29">
        <v>21.100097091380029</v>
      </c>
      <c r="X29">
        <v>21.100097091380029</v>
      </c>
      <c r="Y29">
        <v>21.100097091380029</v>
      </c>
      <c r="Z29">
        <v>21.100097091380029</v>
      </c>
      <c r="AA29">
        <v>21.100097091380029</v>
      </c>
      <c r="AB29">
        <v>21.100097091380029</v>
      </c>
      <c r="AC29">
        <v>0.1696149283872993</v>
      </c>
      <c r="AD29">
        <v>0.1696149283872993</v>
      </c>
      <c r="AE29">
        <v>0.1696149283872993</v>
      </c>
      <c r="AF29">
        <v>0.1696149283872993</v>
      </c>
      <c r="AG29">
        <v>0.1696149283872993</v>
      </c>
      <c r="AH29">
        <v>0.1696149283872993</v>
      </c>
      <c r="AI29">
        <v>0.1696149283872993</v>
      </c>
      <c r="AJ29">
        <v>0.1696149283872993</v>
      </c>
      <c r="AS29">
        <v>0.5</v>
      </c>
      <c r="AT29">
        <v>0.5</v>
      </c>
      <c r="AU29">
        <v>0.5</v>
      </c>
      <c r="AV29">
        <v>0.5</v>
      </c>
      <c r="AW29">
        <v>0.5</v>
      </c>
      <c r="AX29">
        <v>0.5</v>
      </c>
      <c r="AY29">
        <v>0.5</v>
      </c>
      <c r="AZ29">
        <v>0.5</v>
      </c>
    </row>
    <row r="30" spans="1:52" x14ac:dyDescent="0.25">
      <c r="A30" t="s">
        <v>93</v>
      </c>
      <c r="B30" t="s">
        <v>94</v>
      </c>
      <c r="D30">
        <v>2020</v>
      </c>
      <c r="E30" t="s">
        <v>148</v>
      </c>
      <c r="F30" t="s">
        <v>151</v>
      </c>
      <c r="G30" t="s">
        <v>148</v>
      </c>
      <c r="H30" t="s">
        <v>152</v>
      </c>
      <c r="I30">
        <v>1</v>
      </c>
      <c r="J30">
        <v>0</v>
      </c>
      <c r="K30">
        <v>100</v>
      </c>
      <c r="L30">
        <v>31.536000000000001</v>
      </c>
      <c r="M30">
        <v>2703.9530678386359</v>
      </c>
      <c r="N30">
        <v>2703.9530678386359</v>
      </c>
      <c r="O30">
        <v>2703.9530678386359</v>
      </c>
      <c r="P30">
        <v>2703.9530678386359</v>
      </c>
      <c r="Q30">
        <v>2703.9530678386359</v>
      </c>
      <c r="R30">
        <v>2703.9530678386359</v>
      </c>
      <c r="S30">
        <v>2703.9530678386359</v>
      </c>
      <c r="T30">
        <v>2703.9530678386359</v>
      </c>
      <c r="U30">
        <v>21.100097091380029</v>
      </c>
      <c r="V30">
        <v>21.100097091380029</v>
      </c>
      <c r="W30">
        <v>21.100097091380029</v>
      </c>
      <c r="X30">
        <v>21.100097091380029</v>
      </c>
      <c r="Y30">
        <v>21.100097091380029</v>
      </c>
      <c r="Z30">
        <v>21.100097091380029</v>
      </c>
      <c r="AA30">
        <v>21.100097091380029</v>
      </c>
      <c r="AB30">
        <v>21.100097091380029</v>
      </c>
      <c r="AC30">
        <v>0.1696149283872993</v>
      </c>
      <c r="AD30">
        <v>0.1696149283872993</v>
      </c>
      <c r="AE30">
        <v>0.1696149283872993</v>
      </c>
      <c r="AF30">
        <v>0.1696149283872993</v>
      </c>
      <c r="AG30">
        <v>0.1696149283872993</v>
      </c>
      <c r="AH30">
        <v>0.1696149283872993</v>
      </c>
      <c r="AI30">
        <v>0.1696149283872993</v>
      </c>
      <c r="AJ30">
        <v>0.1696149283872993</v>
      </c>
      <c r="AS30">
        <v>0.5</v>
      </c>
      <c r="AT30">
        <v>0.5</v>
      </c>
      <c r="AU30">
        <v>0.5</v>
      </c>
      <c r="AV30">
        <v>0.5</v>
      </c>
      <c r="AW30">
        <v>0.5</v>
      </c>
      <c r="AX30">
        <v>0.5</v>
      </c>
      <c r="AY30">
        <v>0.5</v>
      </c>
      <c r="AZ30">
        <v>0.5</v>
      </c>
    </row>
    <row r="31" spans="1:52" x14ac:dyDescent="0.25">
      <c r="A31" t="s">
        <v>93</v>
      </c>
      <c r="B31" t="s">
        <v>94</v>
      </c>
      <c r="D31">
        <v>2020</v>
      </c>
      <c r="E31" t="s">
        <v>148</v>
      </c>
      <c r="F31" t="s">
        <v>153</v>
      </c>
      <c r="G31" t="s">
        <v>148</v>
      </c>
      <c r="H31" t="s">
        <v>154</v>
      </c>
      <c r="I31">
        <v>1</v>
      </c>
      <c r="J31">
        <v>0</v>
      </c>
      <c r="K31">
        <v>100</v>
      </c>
      <c r="L31">
        <v>31.536000000000001</v>
      </c>
      <c r="M31">
        <v>2902.3052152757159</v>
      </c>
      <c r="N31">
        <v>2902.3052152757159</v>
      </c>
      <c r="O31">
        <v>2902.3052152757159</v>
      </c>
      <c r="P31">
        <v>2902.3052152757159</v>
      </c>
      <c r="Q31">
        <v>2902.3052152757159</v>
      </c>
      <c r="R31">
        <v>2902.3052152757159</v>
      </c>
      <c r="S31">
        <v>2902.3052152757159</v>
      </c>
      <c r="T31">
        <v>2902.3052152757159</v>
      </c>
      <c r="U31">
        <v>21.100097091380029</v>
      </c>
      <c r="V31">
        <v>21.100097091380029</v>
      </c>
      <c r="W31">
        <v>21.100097091380029</v>
      </c>
      <c r="X31">
        <v>21.100097091380029</v>
      </c>
      <c r="Y31">
        <v>21.100097091380029</v>
      </c>
      <c r="Z31">
        <v>21.100097091380029</v>
      </c>
      <c r="AA31">
        <v>21.100097091380029</v>
      </c>
      <c r="AB31">
        <v>21.100097091380029</v>
      </c>
      <c r="AC31">
        <v>0.1696149283872993</v>
      </c>
      <c r="AD31">
        <v>0.1696149283872993</v>
      </c>
      <c r="AE31">
        <v>0.1696149283872993</v>
      </c>
      <c r="AF31">
        <v>0.1696149283872993</v>
      </c>
      <c r="AG31">
        <v>0.1696149283872993</v>
      </c>
      <c r="AH31">
        <v>0.1696149283872993</v>
      </c>
      <c r="AI31">
        <v>0.1696149283872993</v>
      </c>
      <c r="AJ31">
        <v>0.1696149283872993</v>
      </c>
      <c r="AS31">
        <v>0.5</v>
      </c>
      <c r="AT31">
        <v>0.5</v>
      </c>
      <c r="AU31">
        <v>0.5</v>
      </c>
      <c r="AV31">
        <v>0.5</v>
      </c>
      <c r="AW31">
        <v>0.5</v>
      </c>
      <c r="AX31">
        <v>0.5</v>
      </c>
      <c r="AY31">
        <v>0.5</v>
      </c>
      <c r="AZ31">
        <v>0.5</v>
      </c>
    </row>
    <row r="32" spans="1:52" x14ac:dyDescent="0.25">
      <c r="A32" t="s">
        <v>93</v>
      </c>
      <c r="B32" t="s">
        <v>94</v>
      </c>
      <c r="D32">
        <v>2020</v>
      </c>
      <c r="E32" t="s">
        <v>148</v>
      </c>
      <c r="F32" t="s">
        <v>155</v>
      </c>
      <c r="G32" t="s">
        <v>148</v>
      </c>
      <c r="H32" t="s">
        <v>156</v>
      </c>
      <c r="I32">
        <v>1</v>
      </c>
      <c r="J32">
        <v>0</v>
      </c>
      <c r="K32">
        <v>100</v>
      </c>
      <c r="L32">
        <v>31.536000000000001</v>
      </c>
      <c r="M32">
        <v>3059.5593302806092</v>
      </c>
      <c r="N32">
        <v>3059.5593302806092</v>
      </c>
      <c r="O32">
        <v>3059.5593302806092</v>
      </c>
      <c r="P32">
        <v>3059.5593302806092</v>
      </c>
      <c r="Q32">
        <v>3059.5593302806092</v>
      </c>
      <c r="R32">
        <v>3059.5593302806092</v>
      </c>
      <c r="S32">
        <v>3059.5593302806092</v>
      </c>
      <c r="T32">
        <v>3059.5593302806092</v>
      </c>
      <c r="U32">
        <v>21.100097091380029</v>
      </c>
      <c r="V32">
        <v>21.100097091380029</v>
      </c>
      <c r="W32">
        <v>21.100097091380029</v>
      </c>
      <c r="X32">
        <v>21.100097091380029</v>
      </c>
      <c r="Y32">
        <v>21.100097091380029</v>
      </c>
      <c r="Z32">
        <v>21.100097091380029</v>
      </c>
      <c r="AA32">
        <v>21.100097091380029</v>
      </c>
      <c r="AB32">
        <v>21.100097091380029</v>
      </c>
      <c r="AC32">
        <v>0.1696149283872993</v>
      </c>
      <c r="AD32">
        <v>0.1696149283872993</v>
      </c>
      <c r="AE32">
        <v>0.1696149283872993</v>
      </c>
      <c r="AF32">
        <v>0.1696149283872993</v>
      </c>
      <c r="AG32">
        <v>0.1696149283872993</v>
      </c>
      <c r="AH32">
        <v>0.1696149283872993</v>
      </c>
      <c r="AI32">
        <v>0.1696149283872993</v>
      </c>
      <c r="AJ32">
        <v>0.1696149283872993</v>
      </c>
      <c r="AS32">
        <v>0.5</v>
      </c>
      <c r="AT32">
        <v>0.5</v>
      </c>
      <c r="AU32">
        <v>0.5</v>
      </c>
      <c r="AV32">
        <v>0.5</v>
      </c>
      <c r="AW32">
        <v>0.5</v>
      </c>
      <c r="AX32">
        <v>0.5</v>
      </c>
      <c r="AY32">
        <v>0.5</v>
      </c>
      <c r="AZ32">
        <v>0.5</v>
      </c>
    </row>
    <row r="33" spans="1:52" x14ac:dyDescent="0.25">
      <c r="A33" t="s">
        <v>93</v>
      </c>
      <c r="B33" t="s">
        <v>94</v>
      </c>
      <c r="D33">
        <v>2020</v>
      </c>
      <c r="E33" t="s">
        <v>148</v>
      </c>
      <c r="F33" t="s">
        <v>157</v>
      </c>
      <c r="G33" t="s">
        <v>148</v>
      </c>
      <c r="H33" t="s">
        <v>158</v>
      </c>
      <c r="I33">
        <v>1</v>
      </c>
      <c r="J33">
        <v>0</v>
      </c>
      <c r="K33">
        <v>100</v>
      </c>
      <c r="L33">
        <v>31.536000000000001</v>
      </c>
      <c r="M33">
        <v>3198.7823529365151</v>
      </c>
      <c r="N33">
        <v>3198.7823529365151</v>
      </c>
      <c r="O33">
        <v>3198.7823529365151</v>
      </c>
      <c r="P33">
        <v>3198.7823529365151</v>
      </c>
      <c r="Q33">
        <v>3198.7823529365151</v>
      </c>
      <c r="R33">
        <v>3198.7823529365151</v>
      </c>
      <c r="S33">
        <v>3198.7823529365151</v>
      </c>
      <c r="T33">
        <v>3198.7823529365151</v>
      </c>
      <c r="U33">
        <v>21.100097091380029</v>
      </c>
      <c r="V33">
        <v>21.100097091380029</v>
      </c>
      <c r="W33">
        <v>21.100097091380029</v>
      </c>
      <c r="X33">
        <v>21.100097091380029</v>
      </c>
      <c r="Y33">
        <v>21.100097091380029</v>
      </c>
      <c r="Z33">
        <v>21.100097091380029</v>
      </c>
      <c r="AA33">
        <v>21.100097091380029</v>
      </c>
      <c r="AB33">
        <v>21.100097091380029</v>
      </c>
      <c r="AC33">
        <v>0.1696149283872993</v>
      </c>
      <c r="AD33">
        <v>0.1696149283872993</v>
      </c>
      <c r="AE33">
        <v>0.1696149283872993</v>
      </c>
      <c r="AF33">
        <v>0.1696149283872993</v>
      </c>
      <c r="AG33">
        <v>0.1696149283872993</v>
      </c>
      <c r="AH33">
        <v>0.1696149283872993</v>
      </c>
      <c r="AI33">
        <v>0.1696149283872993</v>
      </c>
      <c r="AJ33">
        <v>0.1696149283872993</v>
      </c>
      <c r="AS33">
        <v>0.5</v>
      </c>
      <c r="AT33">
        <v>0.5</v>
      </c>
      <c r="AU33">
        <v>0.5</v>
      </c>
      <c r="AV33">
        <v>0.5</v>
      </c>
      <c r="AW33">
        <v>0.5</v>
      </c>
      <c r="AX33">
        <v>0.5</v>
      </c>
      <c r="AY33">
        <v>0.5</v>
      </c>
      <c r="AZ33">
        <v>0.5</v>
      </c>
    </row>
    <row r="34" spans="1:52" x14ac:dyDescent="0.25">
      <c r="A34" t="s">
        <v>93</v>
      </c>
      <c r="B34" t="s">
        <v>94</v>
      </c>
      <c r="D34">
        <v>2020</v>
      </c>
      <c r="E34" t="s">
        <v>148</v>
      </c>
      <c r="F34" t="s">
        <v>159</v>
      </c>
      <c r="G34" t="s">
        <v>148</v>
      </c>
      <c r="H34" t="s">
        <v>160</v>
      </c>
      <c r="I34">
        <v>1</v>
      </c>
      <c r="J34">
        <v>0</v>
      </c>
      <c r="K34">
        <v>100</v>
      </c>
      <c r="L34">
        <v>31.536000000000001</v>
      </c>
      <c r="M34">
        <v>3332.512077047089</v>
      </c>
      <c r="N34">
        <v>3332.512077047089</v>
      </c>
      <c r="O34">
        <v>3332.512077047089</v>
      </c>
      <c r="P34">
        <v>3332.512077047089</v>
      </c>
      <c r="Q34">
        <v>3332.512077047089</v>
      </c>
      <c r="R34">
        <v>3332.512077047089</v>
      </c>
      <c r="S34">
        <v>3332.512077047089</v>
      </c>
      <c r="T34">
        <v>3332.512077047089</v>
      </c>
      <c r="U34">
        <v>21.100097091380029</v>
      </c>
      <c r="V34">
        <v>21.100097091380029</v>
      </c>
      <c r="W34">
        <v>21.100097091380029</v>
      </c>
      <c r="X34">
        <v>21.100097091380029</v>
      </c>
      <c r="Y34">
        <v>21.100097091380029</v>
      </c>
      <c r="Z34">
        <v>21.100097091380029</v>
      </c>
      <c r="AA34">
        <v>21.100097091380029</v>
      </c>
      <c r="AB34">
        <v>21.100097091380029</v>
      </c>
      <c r="AC34">
        <v>0.1696149283872993</v>
      </c>
      <c r="AD34">
        <v>0.1696149283872993</v>
      </c>
      <c r="AE34">
        <v>0.1696149283872993</v>
      </c>
      <c r="AF34">
        <v>0.1696149283872993</v>
      </c>
      <c r="AG34">
        <v>0.1696149283872993</v>
      </c>
      <c r="AH34">
        <v>0.1696149283872993</v>
      </c>
      <c r="AI34">
        <v>0.1696149283872993</v>
      </c>
      <c r="AJ34">
        <v>0.1696149283872993</v>
      </c>
      <c r="AS34">
        <v>0.5</v>
      </c>
      <c r="AT34">
        <v>0.5</v>
      </c>
      <c r="AU34">
        <v>0.5</v>
      </c>
      <c r="AV34">
        <v>0.5</v>
      </c>
      <c r="AW34">
        <v>0.5</v>
      </c>
      <c r="AX34">
        <v>0.5</v>
      </c>
      <c r="AY34">
        <v>0.5</v>
      </c>
      <c r="AZ34">
        <v>0.5</v>
      </c>
    </row>
    <row r="35" spans="1:52" x14ac:dyDescent="0.25">
      <c r="A35" t="s">
        <v>93</v>
      </c>
      <c r="B35" t="s">
        <v>94</v>
      </c>
      <c r="D35">
        <v>2020</v>
      </c>
      <c r="E35" t="s">
        <v>148</v>
      </c>
      <c r="F35" t="s">
        <v>161</v>
      </c>
      <c r="G35" t="s">
        <v>148</v>
      </c>
      <c r="H35" t="s">
        <v>162</v>
      </c>
      <c r="I35">
        <v>1</v>
      </c>
      <c r="J35">
        <v>0</v>
      </c>
      <c r="K35">
        <v>100</v>
      </c>
      <c r="L35">
        <v>31.536000000000001</v>
      </c>
      <c r="M35">
        <v>3454.6144209714198</v>
      </c>
      <c r="N35">
        <v>3454.6144209714198</v>
      </c>
      <c r="O35">
        <v>3454.6144209714198</v>
      </c>
      <c r="P35">
        <v>3454.6144209714198</v>
      </c>
      <c r="Q35">
        <v>3454.6144209714198</v>
      </c>
      <c r="R35">
        <v>3454.6144209714198</v>
      </c>
      <c r="S35">
        <v>3454.6144209714198</v>
      </c>
      <c r="T35">
        <v>3454.6144209714198</v>
      </c>
      <c r="U35">
        <v>21.100097091380029</v>
      </c>
      <c r="V35">
        <v>21.100097091380029</v>
      </c>
      <c r="W35">
        <v>21.100097091380029</v>
      </c>
      <c r="X35">
        <v>21.100097091380029</v>
      </c>
      <c r="Y35">
        <v>21.100097091380029</v>
      </c>
      <c r="Z35">
        <v>21.100097091380029</v>
      </c>
      <c r="AA35">
        <v>21.100097091380029</v>
      </c>
      <c r="AB35">
        <v>21.100097091380029</v>
      </c>
      <c r="AC35">
        <v>0.1696149283872993</v>
      </c>
      <c r="AD35">
        <v>0.1696149283872993</v>
      </c>
      <c r="AE35">
        <v>0.1696149283872993</v>
      </c>
      <c r="AF35">
        <v>0.1696149283872993</v>
      </c>
      <c r="AG35">
        <v>0.1696149283872993</v>
      </c>
      <c r="AH35">
        <v>0.1696149283872993</v>
      </c>
      <c r="AI35">
        <v>0.1696149283872993</v>
      </c>
      <c r="AJ35">
        <v>0.1696149283872993</v>
      </c>
      <c r="AS35">
        <v>0.5</v>
      </c>
      <c r="AT35">
        <v>0.5</v>
      </c>
      <c r="AU35">
        <v>0.5</v>
      </c>
      <c r="AV35">
        <v>0.5</v>
      </c>
      <c r="AW35">
        <v>0.5</v>
      </c>
      <c r="AX35">
        <v>0.5</v>
      </c>
      <c r="AY35">
        <v>0.5</v>
      </c>
      <c r="AZ35">
        <v>0.5</v>
      </c>
    </row>
    <row r="36" spans="1:52" x14ac:dyDescent="0.25">
      <c r="A36" t="s">
        <v>93</v>
      </c>
      <c r="B36" t="s">
        <v>94</v>
      </c>
      <c r="D36">
        <v>2020</v>
      </c>
      <c r="E36" t="s">
        <v>148</v>
      </c>
      <c r="F36" t="s">
        <v>163</v>
      </c>
      <c r="G36" t="s">
        <v>148</v>
      </c>
      <c r="H36" t="s">
        <v>164</v>
      </c>
      <c r="I36">
        <v>1</v>
      </c>
      <c r="J36">
        <v>0</v>
      </c>
      <c r="K36">
        <v>100</v>
      </c>
      <c r="L36">
        <v>31.536000000000001</v>
      </c>
      <c r="M36">
        <v>3580.1995949713692</v>
      </c>
      <c r="N36">
        <v>3580.1995949713692</v>
      </c>
      <c r="O36">
        <v>3580.1995949713692</v>
      </c>
      <c r="P36">
        <v>3580.1995949713692</v>
      </c>
      <c r="Q36">
        <v>3580.1995949713692</v>
      </c>
      <c r="R36">
        <v>3580.1995949713692</v>
      </c>
      <c r="S36">
        <v>3580.1995949713692</v>
      </c>
      <c r="T36">
        <v>3580.1995949713692</v>
      </c>
      <c r="U36">
        <v>21.100097091380029</v>
      </c>
      <c r="V36">
        <v>21.100097091380029</v>
      </c>
      <c r="W36">
        <v>21.100097091380029</v>
      </c>
      <c r="X36">
        <v>21.100097091380029</v>
      </c>
      <c r="Y36">
        <v>21.100097091380029</v>
      </c>
      <c r="Z36">
        <v>21.100097091380029</v>
      </c>
      <c r="AA36">
        <v>21.100097091380029</v>
      </c>
      <c r="AB36">
        <v>21.100097091380029</v>
      </c>
      <c r="AC36">
        <v>0.1696149283872993</v>
      </c>
      <c r="AD36">
        <v>0.1696149283872993</v>
      </c>
      <c r="AE36">
        <v>0.1696149283872993</v>
      </c>
      <c r="AF36">
        <v>0.1696149283872993</v>
      </c>
      <c r="AG36">
        <v>0.1696149283872993</v>
      </c>
      <c r="AH36">
        <v>0.1696149283872993</v>
      </c>
      <c r="AI36">
        <v>0.1696149283872993</v>
      </c>
      <c r="AJ36">
        <v>0.1696149283872993</v>
      </c>
      <c r="AS36">
        <v>0.5</v>
      </c>
      <c r="AT36">
        <v>0.5</v>
      </c>
      <c r="AU36">
        <v>0.5</v>
      </c>
      <c r="AV36">
        <v>0.5</v>
      </c>
      <c r="AW36">
        <v>0.5</v>
      </c>
      <c r="AX36">
        <v>0.5</v>
      </c>
      <c r="AY36">
        <v>0.5</v>
      </c>
      <c r="AZ36">
        <v>0.5</v>
      </c>
    </row>
    <row r="37" spans="1:52" x14ac:dyDescent="0.25">
      <c r="A37" t="s">
        <v>93</v>
      </c>
      <c r="B37" t="s">
        <v>94</v>
      </c>
      <c r="D37">
        <v>2020</v>
      </c>
      <c r="E37" t="s">
        <v>148</v>
      </c>
      <c r="F37" t="s">
        <v>165</v>
      </c>
      <c r="G37" t="s">
        <v>148</v>
      </c>
      <c r="H37" t="s">
        <v>166</v>
      </c>
      <c r="I37">
        <v>1</v>
      </c>
      <c r="J37">
        <v>0</v>
      </c>
      <c r="K37">
        <v>100</v>
      </c>
      <c r="L37">
        <v>31.536000000000001</v>
      </c>
      <c r="M37">
        <v>3708.5881563782859</v>
      </c>
      <c r="N37">
        <v>3708.5881563782859</v>
      </c>
      <c r="O37">
        <v>3708.5881563782859</v>
      </c>
      <c r="P37">
        <v>3708.5881563782859</v>
      </c>
      <c r="Q37">
        <v>3708.5881563782859</v>
      </c>
      <c r="R37">
        <v>3708.5881563782859</v>
      </c>
      <c r="S37">
        <v>3708.5881563782859</v>
      </c>
      <c r="T37">
        <v>3708.5881563782859</v>
      </c>
      <c r="U37">
        <v>21.100097091380029</v>
      </c>
      <c r="V37">
        <v>21.100097091380029</v>
      </c>
      <c r="W37">
        <v>21.100097091380029</v>
      </c>
      <c r="X37">
        <v>21.100097091380029</v>
      </c>
      <c r="Y37">
        <v>21.100097091380029</v>
      </c>
      <c r="Z37">
        <v>21.100097091380029</v>
      </c>
      <c r="AA37">
        <v>21.100097091380029</v>
      </c>
      <c r="AB37">
        <v>21.100097091380029</v>
      </c>
      <c r="AC37">
        <v>0.1696149283872993</v>
      </c>
      <c r="AD37">
        <v>0.1696149283872993</v>
      </c>
      <c r="AE37">
        <v>0.1696149283872993</v>
      </c>
      <c r="AF37">
        <v>0.1696149283872993</v>
      </c>
      <c r="AG37">
        <v>0.1696149283872993</v>
      </c>
      <c r="AH37">
        <v>0.1696149283872993</v>
      </c>
      <c r="AI37">
        <v>0.1696149283872993</v>
      </c>
      <c r="AJ37">
        <v>0.1696149283872993</v>
      </c>
      <c r="AS37">
        <v>0.5</v>
      </c>
      <c r="AT37">
        <v>0.5</v>
      </c>
      <c r="AU37">
        <v>0.5</v>
      </c>
      <c r="AV37">
        <v>0.5</v>
      </c>
      <c r="AW37">
        <v>0.5</v>
      </c>
      <c r="AX37">
        <v>0.5</v>
      </c>
      <c r="AY37">
        <v>0.5</v>
      </c>
      <c r="AZ37">
        <v>0.5</v>
      </c>
    </row>
    <row r="38" spans="1:52" x14ac:dyDescent="0.25">
      <c r="A38" t="s">
        <v>93</v>
      </c>
      <c r="B38" t="s">
        <v>94</v>
      </c>
      <c r="D38">
        <v>2020</v>
      </c>
      <c r="E38" t="s">
        <v>148</v>
      </c>
      <c r="F38" t="s">
        <v>167</v>
      </c>
      <c r="G38" t="s">
        <v>148</v>
      </c>
      <c r="H38" t="s">
        <v>168</v>
      </c>
      <c r="I38">
        <v>1</v>
      </c>
      <c r="J38">
        <v>0</v>
      </c>
      <c r="K38">
        <v>100</v>
      </c>
      <c r="L38">
        <v>31.536000000000001</v>
      </c>
      <c r="M38">
        <v>3847.158971512988</v>
      </c>
      <c r="N38">
        <v>3847.158971512988</v>
      </c>
      <c r="O38">
        <v>3847.158971512988</v>
      </c>
      <c r="P38">
        <v>3847.158971512988</v>
      </c>
      <c r="Q38">
        <v>3847.158971512988</v>
      </c>
      <c r="R38">
        <v>3847.158971512988</v>
      </c>
      <c r="S38">
        <v>3847.158971512988</v>
      </c>
      <c r="T38">
        <v>3847.158971512988</v>
      </c>
      <c r="U38">
        <v>21.100097091380029</v>
      </c>
      <c r="V38">
        <v>21.100097091380029</v>
      </c>
      <c r="W38">
        <v>21.100097091380029</v>
      </c>
      <c r="X38">
        <v>21.100097091380029</v>
      </c>
      <c r="Y38">
        <v>21.100097091380029</v>
      </c>
      <c r="Z38">
        <v>21.100097091380029</v>
      </c>
      <c r="AA38">
        <v>21.100097091380029</v>
      </c>
      <c r="AB38">
        <v>21.100097091380029</v>
      </c>
      <c r="AC38">
        <v>0.1696149283872993</v>
      </c>
      <c r="AD38">
        <v>0.1696149283872993</v>
      </c>
      <c r="AE38">
        <v>0.1696149283872993</v>
      </c>
      <c r="AF38">
        <v>0.1696149283872993</v>
      </c>
      <c r="AG38">
        <v>0.1696149283872993</v>
      </c>
      <c r="AH38">
        <v>0.1696149283872993</v>
      </c>
      <c r="AI38">
        <v>0.1696149283872993</v>
      </c>
      <c r="AJ38">
        <v>0.1696149283872993</v>
      </c>
      <c r="AS38">
        <v>0.5</v>
      </c>
      <c r="AT38">
        <v>0.5</v>
      </c>
      <c r="AU38">
        <v>0.5</v>
      </c>
      <c r="AV38">
        <v>0.5</v>
      </c>
      <c r="AW38">
        <v>0.5</v>
      </c>
      <c r="AX38">
        <v>0.5</v>
      </c>
      <c r="AY38">
        <v>0.5</v>
      </c>
      <c r="AZ38">
        <v>0.5</v>
      </c>
    </row>
    <row r="39" spans="1:52" x14ac:dyDescent="0.25">
      <c r="A39" t="s">
        <v>93</v>
      </c>
      <c r="B39" t="s">
        <v>94</v>
      </c>
      <c r="D39">
        <v>2020</v>
      </c>
      <c r="E39" t="s">
        <v>148</v>
      </c>
      <c r="F39" t="s">
        <v>169</v>
      </c>
      <c r="G39" t="s">
        <v>148</v>
      </c>
      <c r="H39" t="s">
        <v>170</v>
      </c>
      <c r="I39">
        <v>1</v>
      </c>
      <c r="J39">
        <v>0</v>
      </c>
      <c r="K39">
        <v>100</v>
      </c>
      <c r="L39">
        <v>31.536000000000001</v>
      </c>
      <c r="M39">
        <v>3989.3387907441688</v>
      </c>
      <c r="N39">
        <v>3989.3387907441688</v>
      </c>
      <c r="O39">
        <v>3989.3387907441688</v>
      </c>
      <c r="P39">
        <v>3989.3387907441688</v>
      </c>
      <c r="Q39">
        <v>3989.3387907441688</v>
      </c>
      <c r="R39">
        <v>3989.3387907441688</v>
      </c>
      <c r="S39">
        <v>3989.3387907441688</v>
      </c>
      <c r="T39">
        <v>3989.3387907441688</v>
      </c>
      <c r="U39">
        <v>21.100097091380029</v>
      </c>
      <c r="V39">
        <v>21.100097091380029</v>
      </c>
      <c r="W39">
        <v>21.100097091380029</v>
      </c>
      <c r="X39">
        <v>21.100097091380029</v>
      </c>
      <c r="Y39">
        <v>21.100097091380029</v>
      </c>
      <c r="Z39">
        <v>21.100097091380029</v>
      </c>
      <c r="AA39">
        <v>21.100097091380029</v>
      </c>
      <c r="AB39">
        <v>21.100097091380029</v>
      </c>
      <c r="AC39">
        <v>0.1696149283872993</v>
      </c>
      <c r="AD39">
        <v>0.1696149283872993</v>
      </c>
      <c r="AE39">
        <v>0.1696149283872993</v>
      </c>
      <c r="AF39">
        <v>0.1696149283872993</v>
      </c>
      <c r="AG39">
        <v>0.1696149283872993</v>
      </c>
      <c r="AH39">
        <v>0.1696149283872993</v>
      </c>
      <c r="AI39">
        <v>0.1696149283872993</v>
      </c>
      <c r="AJ39">
        <v>0.1696149283872993</v>
      </c>
      <c r="AS39">
        <v>0.5</v>
      </c>
      <c r="AT39">
        <v>0.5</v>
      </c>
      <c r="AU39">
        <v>0.5</v>
      </c>
      <c r="AV39">
        <v>0.5</v>
      </c>
      <c r="AW39">
        <v>0.5</v>
      </c>
      <c r="AX39">
        <v>0.5</v>
      </c>
      <c r="AY39">
        <v>0.5</v>
      </c>
      <c r="AZ39">
        <v>0.5</v>
      </c>
    </row>
    <row r="40" spans="1:52" x14ac:dyDescent="0.25">
      <c r="A40" t="s">
        <v>93</v>
      </c>
      <c r="B40" t="s">
        <v>94</v>
      </c>
      <c r="D40">
        <v>2020</v>
      </c>
      <c r="E40" t="s">
        <v>148</v>
      </c>
      <c r="F40" t="s">
        <v>171</v>
      </c>
      <c r="G40" t="s">
        <v>148</v>
      </c>
      <c r="H40" t="s">
        <v>172</v>
      </c>
      <c r="I40">
        <v>1</v>
      </c>
      <c r="J40">
        <v>0</v>
      </c>
      <c r="K40">
        <v>100</v>
      </c>
      <c r="L40">
        <v>31.536000000000001</v>
      </c>
      <c r="M40">
        <v>4141.3324292504731</v>
      </c>
      <c r="N40">
        <v>4141.3324292504731</v>
      </c>
      <c r="O40">
        <v>4141.3324292504731</v>
      </c>
      <c r="P40">
        <v>4141.3324292504731</v>
      </c>
      <c r="Q40">
        <v>4141.3324292504731</v>
      </c>
      <c r="R40">
        <v>4141.3324292504731</v>
      </c>
      <c r="S40">
        <v>4141.3324292504731</v>
      </c>
      <c r="T40">
        <v>4141.3324292504731</v>
      </c>
      <c r="U40">
        <v>21.100097091380029</v>
      </c>
      <c r="V40">
        <v>21.100097091380029</v>
      </c>
      <c r="W40">
        <v>21.100097091380029</v>
      </c>
      <c r="X40">
        <v>21.100097091380029</v>
      </c>
      <c r="Y40">
        <v>21.100097091380029</v>
      </c>
      <c r="Z40">
        <v>21.100097091380029</v>
      </c>
      <c r="AA40">
        <v>21.100097091380029</v>
      </c>
      <c r="AB40">
        <v>21.100097091380029</v>
      </c>
      <c r="AC40">
        <v>0.1696149283872993</v>
      </c>
      <c r="AD40">
        <v>0.1696149283872993</v>
      </c>
      <c r="AE40">
        <v>0.1696149283872993</v>
      </c>
      <c r="AF40">
        <v>0.1696149283872993</v>
      </c>
      <c r="AG40">
        <v>0.1696149283872993</v>
      </c>
      <c r="AH40">
        <v>0.1696149283872993</v>
      </c>
      <c r="AI40">
        <v>0.1696149283872993</v>
      </c>
      <c r="AJ40">
        <v>0.1696149283872993</v>
      </c>
      <c r="AS40">
        <v>0.5</v>
      </c>
      <c r="AT40">
        <v>0.5</v>
      </c>
      <c r="AU40">
        <v>0.5</v>
      </c>
      <c r="AV40">
        <v>0.5</v>
      </c>
      <c r="AW40">
        <v>0.5</v>
      </c>
      <c r="AX40">
        <v>0.5</v>
      </c>
      <c r="AY40">
        <v>0.5</v>
      </c>
      <c r="AZ40">
        <v>0.5</v>
      </c>
    </row>
    <row r="41" spans="1:52" x14ac:dyDescent="0.25">
      <c r="A41" t="s">
        <v>93</v>
      </c>
      <c r="B41" t="s">
        <v>94</v>
      </c>
      <c r="D41">
        <v>2020</v>
      </c>
      <c r="E41" t="s">
        <v>148</v>
      </c>
      <c r="F41" t="s">
        <v>173</v>
      </c>
      <c r="G41" t="s">
        <v>148</v>
      </c>
      <c r="H41" t="s">
        <v>174</v>
      </c>
      <c r="I41">
        <v>1</v>
      </c>
      <c r="J41">
        <v>0</v>
      </c>
      <c r="K41">
        <v>100</v>
      </c>
      <c r="L41">
        <v>31.536000000000001</v>
      </c>
      <c r="M41">
        <v>4311.6896102347882</v>
      </c>
      <c r="N41">
        <v>4311.6896102347882</v>
      </c>
      <c r="O41">
        <v>4311.6896102347882</v>
      </c>
      <c r="P41">
        <v>4311.6896102347882</v>
      </c>
      <c r="Q41">
        <v>4311.6896102347882</v>
      </c>
      <c r="R41">
        <v>4311.6896102347882</v>
      </c>
      <c r="S41">
        <v>4311.6896102347882</v>
      </c>
      <c r="T41">
        <v>4311.6896102347882</v>
      </c>
      <c r="U41">
        <v>21.100097091380029</v>
      </c>
      <c r="V41">
        <v>21.100097091380029</v>
      </c>
      <c r="W41">
        <v>21.100097091380029</v>
      </c>
      <c r="X41">
        <v>21.100097091380029</v>
      </c>
      <c r="Y41">
        <v>21.100097091380029</v>
      </c>
      <c r="Z41">
        <v>21.100097091380029</v>
      </c>
      <c r="AA41">
        <v>21.100097091380029</v>
      </c>
      <c r="AB41">
        <v>21.100097091380029</v>
      </c>
      <c r="AC41">
        <v>0.1696149283872993</v>
      </c>
      <c r="AD41">
        <v>0.1696149283872993</v>
      </c>
      <c r="AE41">
        <v>0.1696149283872993</v>
      </c>
      <c r="AF41">
        <v>0.1696149283872993</v>
      </c>
      <c r="AG41">
        <v>0.1696149283872993</v>
      </c>
      <c r="AH41">
        <v>0.1696149283872993</v>
      </c>
      <c r="AI41">
        <v>0.1696149283872993</v>
      </c>
      <c r="AJ41">
        <v>0.1696149283872993</v>
      </c>
      <c r="AS41">
        <v>0.5</v>
      </c>
      <c r="AT41">
        <v>0.5</v>
      </c>
      <c r="AU41">
        <v>0.5</v>
      </c>
      <c r="AV41">
        <v>0.5</v>
      </c>
      <c r="AW41">
        <v>0.5</v>
      </c>
      <c r="AX41">
        <v>0.5</v>
      </c>
      <c r="AY41">
        <v>0.5</v>
      </c>
      <c r="AZ41">
        <v>0.5</v>
      </c>
    </row>
    <row r="42" spans="1:52" x14ac:dyDescent="0.25">
      <c r="A42" t="s">
        <v>93</v>
      </c>
      <c r="B42" t="s">
        <v>94</v>
      </c>
      <c r="D42">
        <v>2020</v>
      </c>
      <c r="E42" t="s">
        <v>148</v>
      </c>
      <c r="F42" t="s">
        <v>175</v>
      </c>
      <c r="G42" t="s">
        <v>148</v>
      </c>
      <c r="H42" t="s">
        <v>176</v>
      </c>
      <c r="I42">
        <v>1</v>
      </c>
      <c r="J42">
        <v>0</v>
      </c>
      <c r="K42">
        <v>100</v>
      </c>
      <c r="L42">
        <v>31.536000000000001</v>
      </c>
      <c r="M42">
        <v>4496.5863120087033</v>
      </c>
      <c r="N42">
        <v>4496.5863120087033</v>
      </c>
      <c r="O42">
        <v>4496.5863120087033</v>
      </c>
      <c r="P42">
        <v>4496.5863120087033</v>
      </c>
      <c r="Q42">
        <v>4496.5863120087033</v>
      </c>
      <c r="R42">
        <v>4496.5863120087033</v>
      </c>
      <c r="S42">
        <v>4496.5863120087033</v>
      </c>
      <c r="T42">
        <v>4496.5863120087033</v>
      </c>
      <c r="U42">
        <v>21.100097091380029</v>
      </c>
      <c r="V42">
        <v>21.100097091380029</v>
      </c>
      <c r="W42">
        <v>21.100097091380029</v>
      </c>
      <c r="X42">
        <v>21.100097091380029</v>
      </c>
      <c r="Y42">
        <v>21.100097091380029</v>
      </c>
      <c r="Z42">
        <v>21.100097091380029</v>
      </c>
      <c r="AA42">
        <v>21.100097091380029</v>
      </c>
      <c r="AB42">
        <v>21.100097091380029</v>
      </c>
      <c r="AC42">
        <v>0.1696149283872993</v>
      </c>
      <c r="AD42">
        <v>0.1696149283872993</v>
      </c>
      <c r="AE42">
        <v>0.1696149283872993</v>
      </c>
      <c r="AF42">
        <v>0.1696149283872993</v>
      </c>
      <c r="AG42">
        <v>0.1696149283872993</v>
      </c>
      <c r="AH42">
        <v>0.1696149283872993</v>
      </c>
      <c r="AI42">
        <v>0.1696149283872993</v>
      </c>
      <c r="AJ42">
        <v>0.1696149283872993</v>
      </c>
      <c r="AS42">
        <v>0.5</v>
      </c>
      <c r="AT42">
        <v>0.5</v>
      </c>
      <c r="AU42">
        <v>0.5</v>
      </c>
      <c r="AV42">
        <v>0.5</v>
      </c>
      <c r="AW42">
        <v>0.5</v>
      </c>
      <c r="AX42">
        <v>0.5</v>
      </c>
      <c r="AY42">
        <v>0.5</v>
      </c>
      <c r="AZ42">
        <v>0.5</v>
      </c>
    </row>
    <row r="43" spans="1:52" x14ac:dyDescent="0.25">
      <c r="A43" t="s">
        <v>93</v>
      </c>
      <c r="B43" t="s">
        <v>94</v>
      </c>
      <c r="D43">
        <v>2020</v>
      </c>
      <c r="E43" t="s">
        <v>148</v>
      </c>
      <c r="F43" t="s">
        <v>177</v>
      </c>
      <c r="G43" t="s">
        <v>148</v>
      </c>
      <c r="H43" t="s">
        <v>178</v>
      </c>
      <c r="I43">
        <v>1</v>
      </c>
      <c r="J43">
        <v>0</v>
      </c>
      <c r="K43">
        <v>100</v>
      </c>
      <c r="L43">
        <v>31.536000000000001</v>
      </c>
      <c r="M43">
        <v>4700.5288106819444</v>
      </c>
      <c r="N43">
        <v>4700.5288106819444</v>
      </c>
      <c r="O43">
        <v>4700.5288106819444</v>
      </c>
      <c r="P43">
        <v>4700.5288106819444</v>
      </c>
      <c r="Q43">
        <v>4700.5288106819444</v>
      </c>
      <c r="R43">
        <v>4700.5288106819444</v>
      </c>
      <c r="S43">
        <v>4700.5288106819444</v>
      </c>
      <c r="T43">
        <v>4700.5288106819444</v>
      </c>
      <c r="U43">
        <v>21.100097091380029</v>
      </c>
      <c r="V43">
        <v>21.100097091380029</v>
      </c>
      <c r="W43">
        <v>21.100097091380029</v>
      </c>
      <c r="X43">
        <v>21.100097091380029</v>
      </c>
      <c r="Y43">
        <v>21.100097091380029</v>
      </c>
      <c r="Z43">
        <v>21.100097091380029</v>
      </c>
      <c r="AA43">
        <v>21.100097091380029</v>
      </c>
      <c r="AB43">
        <v>21.100097091380029</v>
      </c>
      <c r="AC43">
        <v>0.1696149283872993</v>
      </c>
      <c r="AD43">
        <v>0.1696149283872993</v>
      </c>
      <c r="AE43">
        <v>0.1696149283872993</v>
      </c>
      <c r="AF43">
        <v>0.1696149283872993</v>
      </c>
      <c r="AG43">
        <v>0.1696149283872993</v>
      </c>
      <c r="AH43">
        <v>0.1696149283872993</v>
      </c>
      <c r="AI43">
        <v>0.1696149283872993</v>
      </c>
      <c r="AJ43">
        <v>0.1696149283872993</v>
      </c>
      <c r="AS43">
        <v>0.5</v>
      </c>
      <c r="AT43">
        <v>0.5</v>
      </c>
      <c r="AU43">
        <v>0.5</v>
      </c>
      <c r="AV43">
        <v>0.5</v>
      </c>
      <c r="AW43">
        <v>0.5</v>
      </c>
      <c r="AX43">
        <v>0.5</v>
      </c>
      <c r="AY43">
        <v>0.5</v>
      </c>
      <c r="AZ43">
        <v>0.5</v>
      </c>
    </row>
    <row r="44" spans="1:52" x14ac:dyDescent="0.25">
      <c r="A44" t="s">
        <v>93</v>
      </c>
      <c r="B44" t="s">
        <v>94</v>
      </c>
      <c r="D44">
        <v>2020</v>
      </c>
      <c r="E44" t="s">
        <v>148</v>
      </c>
      <c r="F44" t="s">
        <v>179</v>
      </c>
      <c r="G44" t="s">
        <v>148</v>
      </c>
      <c r="H44" t="s">
        <v>180</v>
      </c>
      <c r="I44">
        <v>1</v>
      </c>
      <c r="J44">
        <v>0</v>
      </c>
      <c r="K44">
        <v>100</v>
      </c>
      <c r="L44">
        <v>31.536000000000001</v>
      </c>
      <c r="M44">
        <v>2385.0937819360602</v>
      </c>
      <c r="N44">
        <v>2385.0937819360602</v>
      </c>
      <c r="O44">
        <v>2385.0937819360602</v>
      </c>
      <c r="P44">
        <v>2385.0937819360602</v>
      </c>
      <c r="Q44">
        <v>2385.0937819360602</v>
      </c>
      <c r="R44">
        <v>2385.0937819360602</v>
      </c>
      <c r="S44">
        <v>2385.0937819360602</v>
      </c>
      <c r="T44">
        <v>2385.0937819360602</v>
      </c>
      <c r="U44">
        <v>21.100097091380029</v>
      </c>
      <c r="V44">
        <v>21.100097091380029</v>
      </c>
      <c r="W44">
        <v>21.100097091380029</v>
      </c>
      <c r="X44">
        <v>21.100097091380029</v>
      </c>
      <c r="Y44">
        <v>21.100097091380029</v>
      </c>
      <c r="Z44">
        <v>21.100097091380029</v>
      </c>
      <c r="AA44">
        <v>21.100097091380029</v>
      </c>
      <c r="AB44">
        <v>21.100097091380029</v>
      </c>
      <c r="AC44">
        <v>0.1696149283872993</v>
      </c>
      <c r="AD44">
        <v>0.1696149283872993</v>
      </c>
      <c r="AE44">
        <v>0.1696149283872993</v>
      </c>
      <c r="AF44">
        <v>0.1696149283872993</v>
      </c>
      <c r="AG44">
        <v>0.1696149283872993</v>
      </c>
      <c r="AH44">
        <v>0.1696149283872993</v>
      </c>
      <c r="AI44">
        <v>0.1696149283872993</v>
      </c>
      <c r="AJ44">
        <v>0.1696149283872993</v>
      </c>
      <c r="AS44">
        <v>0.41666666666666669</v>
      </c>
      <c r="AT44">
        <v>0.41666666666666669</v>
      </c>
      <c r="AU44">
        <v>0.41666666666666669</v>
      </c>
      <c r="AV44">
        <v>0.41666666666666669</v>
      </c>
      <c r="AW44">
        <v>0.41666666666666669</v>
      </c>
      <c r="AX44">
        <v>0.41666666666666669</v>
      </c>
      <c r="AY44">
        <v>0.41666666666666669</v>
      </c>
      <c r="AZ44">
        <v>0.41666666666666669</v>
      </c>
    </row>
    <row r="45" spans="1:52" x14ac:dyDescent="0.25">
      <c r="A45" t="s">
        <v>93</v>
      </c>
      <c r="B45" t="s">
        <v>94</v>
      </c>
      <c r="D45">
        <v>2020</v>
      </c>
      <c r="E45" t="s">
        <v>148</v>
      </c>
      <c r="F45" t="s">
        <v>181</v>
      </c>
      <c r="G45" t="s">
        <v>148</v>
      </c>
      <c r="H45" t="s">
        <v>182</v>
      </c>
      <c r="I45">
        <v>1</v>
      </c>
      <c r="J45">
        <v>0</v>
      </c>
      <c r="K45">
        <v>100</v>
      </c>
      <c r="L45">
        <v>31.536000000000001</v>
      </c>
      <c r="M45">
        <v>2703.9530678386359</v>
      </c>
      <c r="N45">
        <v>2703.9530678386359</v>
      </c>
      <c r="O45">
        <v>2703.9530678386359</v>
      </c>
      <c r="P45">
        <v>2703.9530678386359</v>
      </c>
      <c r="Q45">
        <v>2703.9530678386359</v>
      </c>
      <c r="R45">
        <v>2703.9530678386359</v>
      </c>
      <c r="S45">
        <v>2703.9530678386359</v>
      </c>
      <c r="T45">
        <v>2703.9530678386359</v>
      </c>
      <c r="U45">
        <v>21.100097091380029</v>
      </c>
      <c r="V45">
        <v>21.100097091380029</v>
      </c>
      <c r="W45">
        <v>21.100097091380029</v>
      </c>
      <c r="X45">
        <v>21.100097091380029</v>
      </c>
      <c r="Y45">
        <v>21.100097091380029</v>
      </c>
      <c r="Z45">
        <v>21.100097091380029</v>
      </c>
      <c r="AA45">
        <v>21.100097091380029</v>
      </c>
      <c r="AB45">
        <v>21.100097091380029</v>
      </c>
      <c r="AC45">
        <v>0.1696149283872993</v>
      </c>
      <c r="AD45">
        <v>0.1696149283872993</v>
      </c>
      <c r="AE45">
        <v>0.1696149283872993</v>
      </c>
      <c r="AF45">
        <v>0.1696149283872993</v>
      </c>
      <c r="AG45">
        <v>0.1696149283872993</v>
      </c>
      <c r="AH45">
        <v>0.1696149283872993</v>
      </c>
      <c r="AI45">
        <v>0.1696149283872993</v>
      </c>
      <c r="AJ45">
        <v>0.1696149283872993</v>
      </c>
      <c r="AS45">
        <v>0.41666666666666669</v>
      </c>
      <c r="AT45">
        <v>0.41666666666666669</v>
      </c>
      <c r="AU45">
        <v>0.41666666666666669</v>
      </c>
      <c r="AV45">
        <v>0.41666666666666669</v>
      </c>
      <c r="AW45">
        <v>0.41666666666666669</v>
      </c>
      <c r="AX45">
        <v>0.41666666666666669</v>
      </c>
      <c r="AY45">
        <v>0.41666666666666669</v>
      </c>
      <c r="AZ45">
        <v>0.41666666666666669</v>
      </c>
    </row>
    <row r="46" spans="1:52" x14ac:dyDescent="0.25">
      <c r="A46" t="s">
        <v>93</v>
      </c>
      <c r="B46" t="s">
        <v>94</v>
      </c>
      <c r="D46">
        <v>2020</v>
      </c>
      <c r="E46" t="s">
        <v>148</v>
      </c>
      <c r="F46" t="s">
        <v>183</v>
      </c>
      <c r="G46" t="s">
        <v>148</v>
      </c>
      <c r="H46" t="s">
        <v>184</v>
      </c>
      <c r="I46">
        <v>1</v>
      </c>
      <c r="J46">
        <v>0</v>
      </c>
      <c r="K46">
        <v>100</v>
      </c>
      <c r="L46">
        <v>31.536000000000001</v>
      </c>
      <c r="M46">
        <v>2902.3052152757159</v>
      </c>
      <c r="N46">
        <v>2902.3052152757159</v>
      </c>
      <c r="O46">
        <v>2902.3052152757159</v>
      </c>
      <c r="P46">
        <v>2902.3052152757159</v>
      </c>
      <c r="Q46">
        <v>2902.3052152757159</v>
      </c>
      <c r="R46">
        <v>2902.3052152757159</v>
      </c>
      <c r="S46">
        <v>2902.3052152757159</v>
      </c>
      <c r="T46">
        <v>2902.3052152757159</v>
      </c>
      <c r="U46">
        <v>21.100097091380029</v>
      </c>
      <c r="V46">
        <v>21.100097091380029</v>
      </c>
      <c r="W46">
        <v>21.100097091380029</v>
      </c>
      <c r="X46">
        <v>21.100097091380029</v>
      </c>
      <c r="Y46">
        <v>21.100097091380029</v>
      </c>
      <c r="Z46">
        <v>21.100097091380029</v>
      </c>
      <c r="AA46">
        <v>21.100097091380029</v>
      </c>
      <c r="AB46">
        <v>21.100097091380029</v>
      </c>
      <c r="AC46">
        <v>0.1696149283872993</v>
      </c>
      <c r="AD46">
        <v>0.1696149283872993</v>
      </c>
      <c r="AE46">
        <v>0.1696149283872993</v>
      </c>
      <c r="AF46">
        <v>0.1696149283872993</v>
      </c>
      <c r="AG46">
        <v>0.1696149283872993</v>
      </c>
      <c r="AH46">
        <v>0.1696149283872993</v>
      </c>
      <c r="AI46">
        <v>0.1696149283872993</v>
      </c>
      <c r="AJ46">
        <v>0.1696149283872993</v>
      </c>
      <c r="AS46">
        <v>0.41666666666666669</v>
      </c>
      <c r="AT46">
        <v>0.41666666666666669</v>
      </c>
      <c r="AU46">
        <v>0.41666666666666669</v>
      </c>
      <c r="AV46">
        <v>0.41666666666666669</v>
      </c>
      <c r="AW46">
        <v>0.41666666666666669</v>
      </c>
      <c r="AX46">
        <v>0.41666666666666669</v>
      </c>
      <c r="AY46">
        <v>0.41666666666666669</v>
      </c>
      <c r="AZ46">
        <v>0.41666666666666669</v>
      </c>
    </row>
    <row r="47" spans="1:52" x14ac:dyDescent="0.25">
      <c r="A47" t="s">
        <v>93</v>
      </c>
      <c r="B47" t="s">
        <v>94</v>
      </c>
      <c r="D47">
        <v>2020</v>
      </c>
      <c r="E47" t="s">
        <v>148</v>
      </c>
      <c r="F47" t="s">
        <v>185</v>
      </c>
      <c r="G47" t="s">
        <v>148</v>
      </c>
      <c r="H47" t="s">
        <v>186</v>
      </c>
      <c r="I47">
        <v>1</v>
      </c>
      <c r="J47">
        <v>0</v>
      </c>
      <c r="K47">
        <v>100</v>
      </c>
      <c r="L47">
        <v>31.536000000000001</v>
      </c>
      <c r="M47">
        <v>3059.5593302806092</v>
      </c>
      <c r="N47">
        <v>3059.5593302806092</v>
      </c>
      <c r="O47">
        <v>3059.5593302806092</v>
      </c>
      <c r="P47">
        <v>3059.5593302806092</v>
      </c>
      <c r="Q47">
        <v>3059.5593302806092</v>
      </c>
      <c r="R47">
        <v>3059.5593302806092</v>
      </c>
      <c r="S47">
        <v>3059.5593302806092</v>
      </c>
      <c r="T47">
        <v>3059.5593302806092</v>
      </c>
      <c r="U47">
        <v>21.100097091380029</v>
      </c>
      <c r="V47">
        <v>21.100097091380029</v>
      </c>
      <c r="W47">
        <v>21.100097091380029</v>
      </c>
      <c r="X47">
        <v>21.100097091380029</v>
      </c>
      <c r="Y47">
        <v>21.100097091380029</v>
      </c>
      <c r="Z47">
        <v>21.100097091380029</v>
      </c>
      <c r="AA47">
        <v>21.100097091380029</v>
      </c>
      <c r="AB47">
        <v>21.100097091380029</v>
      </c>
      <c r="AC47">
        <v>0.1696149283872993</v>
      </c>
      <c r="AD47">
        <v>0.1696149283872993</v>
      </c>
      <c r="AE47">
        <v>0.1696149283872993</v>
      </c>
      <c r="AF47">
        <v>0.1696149283872993</v>
      </c>
      <c r="AG47">
        <v>0.1696149283872993</v>
      </c>
      <c r="AH47">
        <v>0.1696149283872993</v>
      </c>
      <c r="AI47">
        <v>0.1696149283872993</v>
      </c>
      <c r="AJ47">
        <v>0.1696149283872993</v>
      </c>
      <c r="AS47">
        <v>0.41666666666666669</v>
      </c>
      <c r="AT47">
        <v>0.41666666666666669</v>
      </c>
      <c r="AU47">
        <v>0.41666666666666669</v>
      </c>
      <c r="AV47">
        <v>0.41666666666666669</v>
      </c>
      <c r="AW47">
        <v>0.41666666666666669</v>
      </c>
      <c r="AX47">
        <v>0.41666666666666669</v>
      </c>
      <c r="AY47">
        <v>0.41666666666666669</v>
      </c>
      <c r="AZ47">
        <v>0.41666666666666669</v>
      </c>
    </row>
    <row r="48" spans="1:52" x14ac:dyDescent="0.25">
      <c r="A48" t="s">
        <v>93</v>
      </c>
      <c r="B48" t="s">
        <v>94</v>
      </c>
      <c r="D48">
        <v>2020</v>
      </c>
      <c r="E48" t="s">
        <v>148</v>
      </c>
      <c r="F48" t="s">
        <v>187</v>
      </c>
      <c r="G48" t="s">
        <v>148</v>
      </c>
      <c r="H48" t="s">
        <v>188</v>
      </c>
      <c r="I48">
        <v>1</v>
      </c>
      <c r="J48">
        <v>0</v>
      </c>
      <c r="K48">
        <v>100</v>
      </c>
      <c r="L48">
        <v>31.536000000000001</v>
      </c>
      <c r="M48">
        <v>3198.7823529365151</v>
      </c>
      <c r="N48">
        <v>3198.7823529365151</v>
      </c>
      <c r="O48">
        <v>3198.7823529365151</v>
      </c>
      <c r="P48">
        <v>3198.7823529365151</v>
      </c>
      <c r="Q48">
        <v>3198.7823529365151</v>
      </c>
      <c r="R48">
        <v>3198.7823529365151</v>
      </c>
      <c r="S48">
        <v>3198.7823529365151</v>
      </c>
      <c r="T48">
        <v>3198.7823529365151</v>
      </c>
      <c r="U48">
        <v>21.100097091380029</v>
      </c>
      <c r="V48">
        <v>21.100097091380029</v>
      </c>
      <c r="W48">
        <v>21.100097091380029</v>
      </c>
      <c r="X48">
        <v>21.100097091380029</v>
      </c>
      <c r="Y48">
        <v>21.100097091380029</v>
      </c>
      <c r="Z48">
        <v>21.100097091380029</v>
      </c>
      <c r="AA48">
        <v>21.100097091380029</v>
      </c>
      <c r="AB48">
        <v>21.100097091380029</v>
      </c>
      <c r="AC48">
        <v>0.1696149283872993</v>
      </c>
      <c r="AD48">
        <v>0.1696149283872993</v>
      </c>
      <c r="AE48">
        <v>0.1696149283872993</v>
      </c>
      <c r="AF48">
        <v>0.1696149283872993</v>
      </c>
      <c r="AG48">
        <v>0.1696149283872993</v>
      </c>
      <c r="AH48">
        <v>0.1696149283872993</v>
      </c>
      <c r="AI48">
        <v>0.1696149283872993</v>
      </c>
      <c r="AJ48">
        <v>0.1696149283872993</v>
      </c>
      <c r="AS48">
        <v>0.41666666666666669</v>
      </c>
      <c r="AT48">
        <v>0.41666666666666669</v>
      </c>
      <c r="AU48">
        <v>0.41666666666666669</v>
      </c>
      <c r="AV48">
        <v>0.41666666666666669</v>
      </c>
      <c r="AW48">
        <v>0.41666666666666669</v>
      </c>
      <c r="AX48">
        <v>0.41666666666666669</v>
      </c>
      <c r="AY48">
        <v>0.41666666666666669</v>
      </c>
      <c r="AZ48">
        <v>0.41666666666666669</v>
      </c>
    </row>
    <row r="49" spans="1:52" x14ac:dyDescent="0.25">
      <c r="A49" t="s">
        <v>93</v>
      </c>
      <c r="B49" t="s">
        <v>94</v>
      </c>
      <c r="D49">
        <v>2020</v>
      </c>
      <c r="E49" t="s">
        <v>148</v>
      </c>
      <c r="F49" t="s">
        <v>189</v>
      </c>
      <c r="G49" t="s">
        <v>148</v>
      </c>
      <c r="H49" t="s">
        <v>190</v>
      </c>
      <c r="I49">
        <v>1</v>
      </c>
      <c r="J49">
        <v>0</v>
      </c>
      <c r="K49">
        <v>100</v>
      </c>
      <c r="L49">
        <v>31.536000000000001</v>
      </c>
      <c r="M49">
        <v>3332.512077047089</v>
      </c>
      <c r="N49">
        <v>3332.512077047089</v>
      </c>
      <c r="O49">
        <v>3332.512077047089</v>
      </c>
      <c r="P49">
        <v>3332.512077047089</v>
      </c>
      <c r="Q49">
        <v>3332.512077047089</v>
      </c>
      <c r="R49">
        <v>3332.512077047089</v>
      </c>
      <c r="S49">
        <v>3332.512077047089</v>
      </c>
      <c r="T49">
        <v>3332.512077047089</v>
      </c>
      <c r="U49">
        <v>21.100097091380029</v>
      </c>
      <c r="V49">
        <v>21.100097091380029</v>
      </c>
      <c r="W49">
        <v>21.100097091380029</v>
      </c>
      <c r="X49">
        <v>21.100097091380029</v>
      </c>
      <c r="Y49">
        <v>21.100097091380029</v>
      </c>
      <c r="Z49">
        <v>21.100097091380029</v>
      </c>
      <c r="AA49">
        <v>21.100097091380029</v>
      </c>
      <c r="AB49">
        <v>21.100097091380029</v>
      </c>
      <c r="AC49">
        <v>0.1696149283872993</v>
      </c>
      <c r="AD49">
        <v>0.1696149283872993</v>
      </c>
      <c r="AE49">
        <v>0.1696149283872993</v>
      </c>
      <c r="AF49">
        <v>0.1696149283872993</v>
      </c>
      <c r="AG49">
        <v>0.1696149283872993</v>
      </c>
      <c r="AH49">
        <v>0.1696149283872993</v>
      </c>
      <c r="AI49">
        <v>0.1696149283872993</v>
      </c>
      <c r="AJ49">
        <v>0.1696149283872993</v>
      </c>
      <c r="AS49">
        <v>0.41666666666666669</v>
      </c>
      <c r="AT49">
        <v>0.41666666666666669</v>
      </c>
      <c r="AU49">
        <v>0.41666666666666669</v>
      </c>
      <c r="AV49">
        <v>0.41666666666666669</v>
      </c>
      <c r="AW49">
        <v>0.41666666666666669</v>
      </c>
      <c r="AX49">
        <v>0.41666666666666669</v>
      </c>
      <c r="AY49">
        <v>0.41666666666666669</v>
      </c>
      <c r="AZ49">
        <v>0.41666666666666669</v>
      </c>
    </row>
    <row r="50" spans="1:52" x14ac:dyDescent="0.25">
      <c r="A50" t="s">
        <v>93</v>
      </c>
      <c r="B50" t="s">
        <v>94</v>
      </c>
      <c r="D50">
        <v>2020</v>
      </c>
      <c r="E50" t="s">
        <v>148</v>
      </c>
      <c r="F50" t="s">
        <v>191</v>
      </c>
      <c r="G50" t="s">
        <v>148</v>
      </c>
      <c r="H50" t="s">
        <v>192</v>
      </c>
      <c r="I50">
        <v>1</v>
      </c>
      <c r="J50">
        <v>0</v>
      </c>
      <c r="K50">
        <v>100</v>
      </c>
      <c r="L50">
        <v>31.536000000000001</v>
      </c>
      <c r="M50">
        <v>3454.6144209714198</v>
      </c>
      <c r="N50">
        <v>3454.6144209714198</v>
      </c>
      <c r="O50">
        <v>3454.6144209714198</v>
      </c>
      <c r="P50">
        <v>3454.6144209714198</v>
      </c>
      <c r="Q50">
        <v>3454.6144209714198</v>
      </c>
      <c r="R50">
        <v>3454.6144209714198</v>
      </c>
      <c r="S50">
        <v>3454.6144209714198</v>
      </c>
      <c r="T50">
        <v>3454.6144209714198</v>
      </c>
      <c r="U50">
        <v>21.100097091380029</v>
      </c>
      <c r="V50">
        <v>21.100097091380029</v>
      </c>
      <c r="W50">
        <v>21.100097091380029</v>
      </c>
      <c r="X50">
        <v>21.100097091380029</v>
      </c>
      <c r="Y50">
        <v>21.100097091380029</v>
      </c>
      <c r="Z50">
        <v>21.100097091380029</v>
      </c>
      <c r="AA50">
        <v>21.100097091380029</v>
      </c>
      <c r="AB50">
        <v>21.100097091380029</v>
      </c>
      <c r="AC50">
        <v>0.1696149283872993</v>
      </c>
      <c r="AD50">
        <v>0.1696149283872993</v>
      </c>
      <c r="AE50">
        <v>0.1696149283872993</v>
      </c>
      <c r="AF50">
        <v>0.1696149283872993</v>
      </c>
      <c r="AG50">
        <v>0.1696149283872993</v>
      </c>
      <c r="AH50">
        <v>0.1696149283872993</v>
      </c>
      <c r="AI50">
        <v>0.1696149283872993</v>
      </c>
      <c r="AJ50">
        <v>0.1696149283872993</v>
      </c>
      <c r="AS50">
        <v>0.41666666666666669</v>
      </c>
      <c r="AT50">
        <v>0.41666666666666669</v>
      </c>
      <c r="AU50">
        <v>0.41666666666666669</v>
      </c>
      <c r="AV50">
        <v>0.41666666666666669</v>
      </c>
      <c r="AW50">
        <v>0.41666666666666669</v>
      </c>
      <c r="AX50">
        <v>0.41666666666666669</v>
      </c>
      <c r="AY50">
        <v>0.41666666666666669</v>
      </c>
      <c r="AZ50">
        <v>0.41666666666666669</v>
      </c>
    </row>
    <row r="51" spans="1:52" x14ac:dyDescent="0.25">
      <c r="A51" t="s">
        <v>93</v>
      </c>
      <c r="B51" t="s">
        <v>94</v>
      </c>
      <c r="D51">
        <v>2020</v>
      </c>
      <c r="E51" t="s">
        <v>148</v>
      </c>
      <c r="F51" t="s">
        <v>193</v>
      </c>
      <c r="G51" t="s">
        <v>148</v>
      </c>
      <c r="H51" t="s">
        <v>194</v>
      </c>
      <c r="I51">
        <v>1</v>
      </c>
      <c r="J51">
        <v>0</v>
      </c>
      <c r="K51">
        <v>100</v>
      </c>
      <c r="L51">
        <v>31.536000000000001</v>
      </c>
      <c r="M51">
        <v>3580.1995949713692</v>
      </c>
      <c r="N51">
        <v>3580.1995949713692</v>
      </c>
      <c r="O51">
        <v>3580.1995949713692</v>
      </c>
      <c r="P51">
        <v>3580.1995949713692</v>
      </c>
      <c r="Q51">
        <v>3580.1995949713692</v>
      </c>
      <c r="R51">
        <v>3580.1995949713692</v>
      </c>
      <c r="S51">
        <v>3580.1995949713692</v>
      </c>
      <c r="T51">
        <v>3580.1995949713692</v>
      </c>
      <c r="U51">
        <v>21.100097091380029</v>
      </c>
      <c r="V51">
        <v>21.100097091380029</v>
      </c>
      <c r="W51">
        <v>21.100097091380029</v>
      </c>
      <c r="X51">
        <v>21.100097091380029</v>
      </c>
      <c r="Y51">
        <v>21.100097091380029</v>
      </c>
      <c r="Z51">
        <v>21.100097091380029</v>
      </c>
      <c r="AA51">
        <v>21.100097091380029</v>
      </c>
      <c r="AB51">
        <v>21.100097091380029</v>
      </c>
      <c r="AC51">
        <v>0.1696149283872993</v>
      </c>
      <c r="AD51">
        <v>0.1696149283872993</v>
      </c>
      <c r="AE51">
        <v>0.1696149283872993</v>
      </c>
      <c r="AF51">
        <v>0.1696149283872993</v>
      </c>
      <c r="AG51">
        <v>0.1696149283872993</v>
      </c>
      <c r="AH51">
        <v>0.1696149283872993</v>
      </c>
      <c r="AI51">
        <v>0.1696149283872993</v>
      </c>
      <c r="AJ51">
        <v>0.1696149283872993</v>
      </c>
      <c r="AS51">
        <v>0.41666666666666669</v>
      </c>
      <c r="AT51">
        <v>0.41666666666666669</v>
      </c>
      <c r="AU51">
        <v>0.41666666666666669</v>
      </c>
      <c r="AV51">
        <v>0.41666666666666669</v>
      </c>
      <c r="AW51">
        <v>0.41666666666666669</v>
      </c>
      <c r="AX51">
        <v>0.41666666666666669</v>
      </c>
      <c r="AY51">
        <v>0.41666666666666669</v>
      </c>
      <c r="AZ51">
        <v>0.41666666666666669</v>
      </c>
    </row>
    <row r="52" spans="1:52" x14ac:dyDescent="0.25">
      <c r="A52" t="s">
        <v>93</v>
      </c>
      <c r="B52" t="s">
        <v>94</v>
      </c>
      <c r="D52">
        <v>2020</v>
      </c>
      <c r="E52" t="s">
        <v>148</v>
      </c>
      <c r="F52" t="s">
        <v>195</v>
      </c>
      <c r="G52" t="s">
        <v>148</v>
      </c>
      <c r="H52" t="s">
        <v>196</v>
      </c>
      <c r="I52">
        <v>1</v>
      </c>
      <c r="J52">
        <v>0</v>
      </c>
      <c r="K52">
        <v>100</v>
      </c>
      <c r="L52">
        <v>31.536000000000001</v>
      </c>
      <c r="M52">
        <v>3708.5881563782859</v>
      </c>
      <c r="N52">
        <v>3708.5881563782859</v>
      </c>
      <c r="O52">
        <v>3708.5881563782859</v>
      </c>
      <c r="P52">
        <v>3708.5881563782859</v>
      </c>
      <c r="Q52">
        <v>3708.5881563782859</v>
      </c>
      <c r="R52">
        <v>3708.5881563782859</v>
      </c>
      <c r="S52">
        <v>3708.5881563782859</v>
      </c>
      <c r="T52">
        <v>3708.5881563782859</v>
      </c>
      <c r="U52">
        <v>21.100097091380029</v>
      </c>
      <c r="V52">
        <v>21.100097091380029</v>
      </c>
      <c r="W52">
        <v>21.100097091380029</v>
      </c>
      <c r="X52">
        <v>21.100097091380029</v>
      </c>
      <c r="Y52">
        <v>21.100097091380029</v>
      </c>
      <c r="Z52">
        <v>21.100097091380029</v>
      </c>
      <c r="AA52">
        <v>21.100097091380029</v>
      </c>
      <c r="AB52">
        <v>21.100097091380029</v>
      </c>
      <c r="AC52">
        <v>0.1696149283872993</v>
      </c>
      <c r="AD52">
        <v>0.1696149283872993</v>
      </c>
      <c r="AE52">
        <v>0.1696149283872993</v>
      </c>
      <c r="AF52">
        <v>0.1696149283872993</v>
      </c>
      <c r="AG52">
        <v>0.1696149283872993</v>
      </c>
      <c r="AH52">
        <v>0.1696149283872993</v>
      </c>
      <c r="AI52">
        <v>0.1696149283872993</v>
      </c>
      <c r="AJ52">
        <v>0.1696149283872993</v>
      </c>
      <c r="AS52">
        <v>0.41666666666666669</v>
      </c>
      <c r="AT52">
        <v>0.41666666666666669</v>
      </c>
      <c r="AU52">
        <v>0.41666666666666669</v>
      </c>
      <c r="AV52">
        <v>0.41666666666666669</v>
      </c>
      <c r="AW52">
        <v>0.41666666666666669</v>
      </c>
      <c r="AX52">
        <v>0.41666666666666669</v>
      </c>
      <c r="AY52">
        <v>0.41666666666666669</v>
      </c>
      <c r="AZ52">
        <v>0.41666666666666669</v>
      </c>
    </row>
    <row r="53" spans="1:52" x14ac:dyDescent="0.25">
      <c r="A53" t="s">
        <v>93</v>
      </c>
      <c r="B53" t="s">
        <v>94</v>
      </c>
      <c r="D53">
        <v>2020</v>
      </c>
      <c r="E53" t="s">
        <v>148</v>
      </c>
      <c r="F53" t="s">
        <v>197</v>
      </c>
      <c r="G53" t="s">
        <v>148</v>
      </c>
      <c r="H53" t="s">
        <v>198</v>
      </c>
      <c r="I53">
        <v>1</v>
      </c>
      <c r="J53">
        <v>0</v>
      </c>
      <c r="K53">
        <v>100</v>
      </c>
      <c r="L53">
        <v>31.536000000000001</v>
      </c>
      <c r="M53">
        <v>3847.158971512988</v>
      </c>
      <c r="N53">
        <v>3847.158971512988</v>
      </c>
      <c r="O53">
        <v>3847.158971512988</v>
      </c>
      <c r="P53">
        <v>3847.158971512988</v>
      </c>
      <c r="Q53">
        <v>3847.158971512988</v>
      </c>
      <c r="R53">
        <v>3847.158971512988</v>
      </c>
      <c r="S53">
        <v>3847.158971512988</v>
      </c>
      <c r="T53">
        <v>3847.158971512988</v>
      </c>
      <c r="U53">
        <v>21.100097091380029</v>
      </c>
      <c r="V53">
        <v>21.100097091380029</v>
      </c>
      <c r="W53">
        <v>21.100097091380029</v>
      </c>
      <c r="X53">
        <v>21.100097091380029</v>
      </c>
      <c r="Y53">
        <v>21.100097091380029</v>
      </c>
      <c r="Z53">
        <v>21.100097091380029</v>
      </c>
      <c r="AA53">
        <v>21.100097091380029</v>
      </c>
      <c r="AB53">
        <v>21.100097091380029</v>
      </c>
      <c r="AC53">
        <v>0.1696149283872993</v>
      </c>
      <c r="AD53">
        <v>0.1696149283872993</v>
      </c>
      <c r="AE53">
        <v>0.1696149283872993</v>
      </c>
      <c r="AF53">
        <v>0.1696149283872993</v>
      </c>
      <c r="AG53">
        <v>0.1696149283872993</v>
      </c>
      <c r="AH53">
        <v>0.1696149283872993</v>
      </c>
      <c r="AI53">
        <v>0.1696149283872993</v>
      </c>
      <c r="AJ53">
        <v>0.1696149283872993</v>
      </c>
      <c r="AS53">
        <v>0.41666666666666669</v>
      </c>
      <c r="AT53">
        <v>0.41666666666666669</v>
      </c>
      <c r="AU53">
        <v>0.41666666666666669</v>
      </c>
      <c r="AV53">
        <v>0.41666666666666669</v>
      </c>
      <c r="AW53">
        <v>0.41666666666666669</v>
      </c>
      <c r="AX53">
        <v>0.41666666666666669</v>
      </c>
      <c r="AY53">
        <v>0.41666666666666669</v>
      </c>
      <c r="AZ53">
        <v>0.41666666666666669</v>
      </c>
    </row>
    <row r="54" spans="1:52" x14ac:dyDescent="0.25">
      <c r="A54" t="s">
        <v>93</v>
      </c>
      <c r="B54" t="s">
        <v>94</v>
      </c>
      <c r="D54">
        <v>2020</v>
      </c>
      <c r="E54" t="s">
        <v>148</v>
      </c>
      <c r="F54" t="s">
        <v>199</v>
      </c>
      <c r="G54" t="s">
        <v>148</v>
      </c>
      <c r="H54" t="s">
        <v>200</v>
      </c>
      <c r="I54">
        <v>1</v>
      </c>
      <c r="J54">
        <v>0</v>
      </c>
      <c r="K54">
        <v>100</v>
      </c>
      <c r="L54">
        <v>31.536000000000001</v>
      </c>
      <c r="M54">
        <v>3989.3387907441688</v>
      </c>
      <c r="N54">
        <v>3989.3387907441688</v>
      </c>
      <c r="O54">
        <v>3989.3387907441688</v>
      </c>
      <c r="P54">
        <v>3989.3387907441688</v>
      </c>
      <c r="Q54">
        <v>3989.3387907441688</v>
      </c>
      <c r="R54">
        <v>3989.3387907441688</v>
      </c>
      <c r="S54">
        <v>3989.3387907441688</v>
      </c>
      <c r="T54">
        <v>3989.3387907441688</v>
      </c>
      <c r="U54">
        <v>21.100097091380029</v>
      </c>
      <c r="V54">
        <v>21.100097091380029</v>
      </c>
      <c r="W54">
        <v>21.100097091380029</v>
      </c>
      <c r="X54">
        <v>21.100097091380029</v>
      </c>
      <c r="Y54">
        <v>21.100097091380029</v>
      </c>
      <c r="Z54">
        <v>21.100097091380029</v>
      </c>
      <c r="AA54">
        <v>21.100097091380029</v>
      </c>
      <c r="AB54">
        <v>21.100097091380029</v>
      </c>
      <c r="AC54">
        <v>0.1696149283872993</v>
      </c>
      <c r="AD54">
        <v>0.1696149283872993</v>
      </c>
      <c r="AE54">
        <v>0.1696149283872993</v>
      </c>
      <c r="AF54">
        <v>0.1696149283872993</v>
      </c>
      <c r="AG54">
        <v>0.1696149283872993</v>
      </c>
      <c r="AH54">
        <v>0.1696149283872993</v>
      </c>
      <c r="AI54">
        <v>0.1696149283872993</v>
      </c>
      <c r="AJ54">
        <v>0.1696149283872993</v>
      </c>
      <c r="AS54">
        <v>0.41666666666666669</v>
      </c>
      <c r="AT54">
        <v>0.41666666666666669</v>
      </c>
      <c r="AU54">
        <v>0.41666666666666669</v>
      </c>
      <c r="AV54">
        <v>0.41666666666666669</v>
      </c>
      <c r="AW54">
        <v>0.41666666666666669</v>
      </c>
      <c r="AX54">
        <v>0.41666666666666669</v>
      </c>
      <c r="AY54">
        <v>0.41666666666666669</v>
      </c>
      <c r="AZ54">
        <v>0.41666666666666669</v>
      </c>
    </row>
    <row r="55" spans="1:52" x14ac:dyDescent="0.25">
      <c r="A55" t="s">
        <v>93</v>
      </c>
      <c r="B55" t="s">
        <v>94</v>
      </c>
      <c r="D55">
        <v>2020</v>
      </c>
      <c r="E55" t="s">
        <v>148</v>
      </c>
      <c r="F55" t="s">
        <v>201</v>
      </c>
      <c r="G55" t="s">
        <v>148</v>
      </c>
      <c r="H55" t="s">
        <v>202</v>
      </c>
      <c r="I55">
        <v>1</v>
      </c>
      <c r="J55">
        <v>0</v>
      </c>
      <c r="K55">
        <v>100</v>
      </c>
      <c r="L55">
        <v>31.536000000000001</v>
      </c>
      <c r="M55">
        <v>4141.3324292504731</v>
      </c>
      <c r="N55">
        <v>4141.3324292504731</v>
      </c>
      <c r="O55">
        <v>4141.3324292504731</v>
      </c>
      <c r="P55">
        <v>4141.3324292504731</v>
      </c>
      <c r="Q55">
        <v>4141.3324292504731</v>
      </c>
      <c r="R55">
        <v>4141.3324292504731</v>
      </c>
      <c r="S55">
        <v>4141.3324292504731</v>
      </c>
      <c r="T55">
        <v>4141.3324292504731</v>
      </c>
      <c r="U55">
        <v>21.100097091380029</v>
      </c>
      <c r="V55">
        <v>21.100097091380029</v>
      </c>
      <c r="W55">
        <v>21.100097091380029</v>
      </c>
      <c r="X55">
        <v>21.100097091380029</v>
      </c>
      <c r="Y55">
        <v>21.100097091380029</v>
      </c>
      <c r="Z55">
        <v>21.100097091380029</v>
      </c>
      <c r="AA55">
        <v>21.100097091380029</v>
      </c>
      <c r="AB55">
        <v>21.100097091380029</v>
      </c>
      <c r="AC55">
        <v>0.1696149283872993</v>
      </c>
      <c r="AD55">
        <v>0.1696149283872993</v>
      </c>
      <c r="AE55">
        <v>0.1696149283872993</v>
      </c>
      <c r="AF55">
        <v>0.1696149283872993</v>
      </c>
      <c r="AG55">
        <v>0.1696149283872993</v>
      </c>
      <c r="AH55">
        <v>0.1696149283872993</v>
      </c>
      <c r="AI55">
        <v>0.1696149283872993</v>
      </c>
      <c r="AJ55">
        <v>0.1696149283872993</v>
      </c>
      <c r="AS55">
        <v>0.41666666666666669</v>
      </c>
      <c r="AT55">
        <v>0.41666666666666669</v>
      </c>
      <c r="AU55">
        <v>0.41666666666666669</v>
      </c>
      <c r="AV55">
        <v>0.41666666666666669</v>
      </c>
      <c r="AW55">
        <v>0.41666666666666669</v>
      </c>
      <c r="AX55">
        <v>0.41666666666666669</v>
      </c>
      <c r="AY55">
        <v>0.41666666666666669</v>
      </c>
      <c r="AZ55">
        <v>0.41666666666666669</v>
      </c>
    </row>
    <row r="56" spans="1:52" x14ac:dyDescent="0.25">
      <c r="A56" t="s">
        <v>93</v>
      </c>
      <c r="B56" t="s">
        <v>94</v>
      </c>
      <c r="D56">
        <v>2020</v>
      </c>
      <c r="E56" t="s">
        <v>148</v>
      </c>
      <c r="F56" t="s">
        <v>203</v>
      </c>
      <c r="G56" t="s">
        <v>148</v>
      </c>
      <c r="H56" t="s">
        <v>204</v>
      </c>
      <c r="I56">
        <v>1</v>
      </c>
      <c r="J56">
        <v>0</v>
      </c>
      <c r="K56">
        <v>100</v>
      </c>
      <c r="L56">
        <v>31.536000000000001</v>
      </c>
      <c r="M56">
        <v>4311.6896102347882</v>
      </c>
      <c r="N56">
        <v>4311.6896102347882</v>
      </c>
      <c r="O56">
        <v>4311.6896102347882</v>
      </c>
      <c r="P56">
        <v>4311.6896102347882</v>
      </c>
      <c r="Q56">
        <v>4311.6896102347882</v>
      </c>
      <c r="R56">
        <v>4311.6896102347882</v>
      </c>
      <c r="S56">
        <v>4311.6896102347882</v>
      </c>
      <c r="T56">
        <v>4311.6896102347882</v>
      </c>
      <c r="U56">
        <v>21.100097091380029</v>
      </c>
      <c r="V56">
        <v>21.100097091380029</v>
      </c>
      <c r="W56">
        <v>21.100097091380029</v>
      </c>
      <c r="X56">
        <v>21.100097091380029</v>
      </c>
      <c r="Y56">
        <v>21.100097091380029</v>
      </c>
      <c r="Z56">
        <v>21.100097091380029</v>
      </c>
      <c r="AA56">
        <v>21.100097091380029</v>
      </c>
      <c r="AB56">
        <v>21.100097091380029</v>
      </c>
      <c r="AC56">
        <v>0.1696149283872993</v>
      </c>
      <c r="AD56">
        <v>0.1696149283872993</v>
      </c>
      <c r="AE56">
        <v>0.1696149283872993</v>
      </c>
      <c r="AF56">
        <v>0.1696149283872993</v>
      </c>
      <c r="AG56">
        <v>0.1696149283872993</v>
      </c>
      <c r="AH56">
        <v>0.1696149283872993</v>
      </c>
      <c r="AI56">
        <v>0.1696149283872993</v>
      </c>
      <c r="AJ56">
        <v>0.1696149283872993</v>
      </c>
      <c r="AS56">
        <v>0.41666666666666669</v>
      </c>
      <c r="AT56">
        <v>0.41666666666666669</v>
      </c>
      <c r="AU56">
        <v>0.41666666666666669</v>
      </c>
      <c r="AV56">
        <v>0.41666666666666669</v>
      </c>
      <c r="AW56">
        <v>0.41666666666666669</v>
      </c>
      <c r="AX56">
        <v>0.41666666666666669</v>
      </c>
      <c r="AY56">
        <v>0.41666666666666669</v>
      </c>
      <c r="AZ56">
        <v>0.41666666666666669</v>
      </c>
    </row>
    <row r="57" spans="1:52" x14ac:dyDescent="0.25">
      <c r="A57" t="s">
        <v>93</v>
      </c>
      <c r="B57" t="s">
        <v>94</v>
      </c>
      <c r="D57">
        <v>2020</v>
      </c>
      <c r="E57" t="s">
        <v>148</v>
      </c>
      <c r="F57" t="s">
        <v>205</v>
      </c>
      <c r="G57" t="s">
        <v>148</v>
      </c>
      <c r="H57" t="s">
        <v>206</v>
      </c>
      <c r="I57">
        <v>1</v>
      </c>
      <c r="J57">
        <v>0</v>
      </c>
      <c r="K57">
        <v>100</v>
      </c>
      <c r="L57">
        <v>31.536000000000001</v>
      </c>
      <c r="M57">
        <v>4496.5863120087033</v>
      </c>
      <c r="N57">
        <v>4496.5863120087033</v>
      </c>
      <c r="O57">
        <v>4496.5863120087033</v>
      </c>
      <c r="P57">
        <v>4496.5863120087033</v>
      </c>
      <c r="Q57">
        <v>4496.5863120087033</v>
      </c>
      <c r="R57">
        <v>4496.5863120087033</v>
      </c>
      <c r="S57">
        <v>4496.5863120087033</v>
      </c>
      <c r="T57">
        <v>4496.5863120087033</v>
      </c>
      <c r="U57">
        <v>21.100097091380029</v>
      </c>
      <c r="V57">
        <v>21.100097091380029</v>
      </c>
      <c r="W57">
        <v>21.100097091380029</v>
      </c>
      <c r="X57">
        <v>21.100097091380029</v>
      </c>
      <c r="Y57">
        <v>21.100097091380029</v>
      </c>
      <c r="Z57">
        <v>21.100097091380029</v>
      </c>
      <c r="AA57">
        <v>21.100097091380029</v>
      </c>
      <c r="AB57">
        <v>21.100097091380029</v>
      </c>
      <c r="AC57">
        <v>0.1696149283872993</v>
      </c>
      <c r="AD57">
        <v>0.1696149283872993</v>
      </c>
      <c r="AE57">
        <v>0.1696149283872993</v>
      </c>
      <c r="AF57">
        <v>0.1696149283872993</v>
      </c>
      <c r="AG57">
        <v>0.1696149283872993</v>
      </c>
      <c r="AH57">
        <v>0.1696149283872993</v>
      </c>
      <c r="AI57">
        <v>0.1696149283872993</v>
      </c>
      <c r="AJ57">
        <v>0.1696149283872993</v>
      </c>
      <c r="AS57">
        <v>0.41666666666666669</v>
      </c>
      <c r="AT57">
        <v>0.41666666666666669</v>
      </c>
      <c r="AU57">
        <v>0.41666666666666669</v>
      </c>
      <c r="AV57">
        <v>0.41666666666666669</v>
      </c>
      <c r="AW57">
        <v>0.41666666666666669</v>
      </c>
      <c r="AX57">
        <v>0.41666666666666669</v>
      </c>
      <c r="AY57">
        <v>0.41666666666666669</v>
      </c>
      <c r="AZ57">
        <v>0.41666666666666669</v>
      </c>
    </row>
    <row r="58" spans="1:52" x14ac:dyDescent="0.25">
      <c r="A58" t="s">
        <v>93</v>
      </c>
      <c r="B58" t="s">
        <v>94</v>
      </c>
      <c r="D58">
        <v>2020</v>
      </c>
      <c r="E58" t="s">
        <v>148</v>
      </c>
      <c r="F58" t="s">
        <v>207</v>
      </c>
      <c r="G58" t="s">
        <v>148</v>
      </c>
      <c r="H58" t="s">
        <v>208</v>
      </c>
      <c r="I58">
        <v>1</v>
      </c>
      <c r="J58">
        <v>0</v>
      </c>
      <c r="K58">
        <v>100</v>
      </c>
      <c r="L58">
        <v>31.536000000000001</v>
      </c>
      <c r="M58">
        <v>4700.5288106819444</v>
      </c>
      <c r="N58">
        <v>4700.5288106819444</v>
      </c>
      <c r="O58">
        <v>4700.5288106819444</v>
      </c>
      <c r="P58">
        <v>4700.5288106819444</v>
      </c>
      <c r="Q58">
        <v>4700.5288106819444</v>
      </c>
      <c r="R58">
        <v>4700.5288106819444</v>
      </c>
      <c r="S58">
        <v>4700.5288106819444</v>
      </c>
      <c r="T58">
        <v>4700.5288106819444</v>
      </c>
      <c r="U58">
        <v>21.100097091380029</v>
      </c>
      <c r="V58">
        <v>21.100097091380029</v>
      </c>
      <c r="W58">
        <v>21.100097091380029</v>
      </c>
      <c r="X58">
        <v>21.100097091380029</v>
      </c>
      <c r="Y58">
        <v>21.100097091380029</v>
      </c>
      <c r="Z58">
        <v>21.100097091380029</v>
      </c>
      <c r="AA58">
        <v>21.100097091380029</v>
      </c>
      <c r="AB58">
        <v>21.100097091380029</v>
      </c>
      <c r="AC58">
        <v>0.1696149283872993</v>
      </c>
      <c r="AD58">
        <v>0.1696149283872993</v>
      </c>
      <c r="AE58">
        <v>0.1696149283872993</v>
      </c>
      <c r="AF58">
        <v>0.1696149283872993</v>
      </c>
      <c r="AG58">
        <v>0.1696149283872993</v>
      </c>
      <c r="AH58">
        <v>0.1696149283872993</v>
      </c>
      <c r="AI58">
        <v>0.1696149283872993</v>
      </c>
      <c r="AJ58">
        <v>0.1696149283872993</v>
      </c>
      <c r="AS58">
        <v>0.41666666666666669</v>
      </c>
      <c r="AT58">
        <v>0.41666666666666669</v>
      </c>
      <c r="AU58">
        <v>0.41666666666666669</v>
      </c>
      <c r="AV58">
        <v>0.41666666666666669</v>
      </c>
      <c r="AW58">
        <v>0.41666666666666669</v>
      </c>
      <c r="AX58">
        <v>0.41666666666666669</v>
      </c>
      <c r="AY58">
        <v>0.41666666666666669</v>
      </c>
      <c r="AZ58">
        <v>0.41666666666666669</v>
      </c>
    </row>
    <row r="59" spans="1:52" x14ac:dyDescent="0.25">
      <c r="A59" t="s">
        <v>93</v>
      </c>
      <c r="B59" t="s">
        <v>94</v>
      </c>
      <c r="D59">
        <v>2020</v>
      </c>
      <c r="E59" t="s">
        <v>148</v>
      </c>
      <c r="F59" t="s">
        <v>209</v>
      </c>
      <c r="G59" t="s">
        <v>148</v>
      </c>
      <c r="H59" t="s">
        <v>210</v>
      </c>
      <c r="I59">
        <v>1</v>
      </c>
      <c r="J59">
        <v>0</v>
      </c>
      <c r="K59">
        <v>100</v>
      </c>
      <c r="L59">
        <v>31.536000000000001</v>
      </c>
      <c r="M59">
        <v>2385.0937819360602</v>
      </c>
      <c r="N59">
        <v>2385.0937819360602</v>
      </c>
      <c r="O59">
        <v>2385.0937819360602</v>
      </c>
      <c r="P59">
        <v>2385.0937819360602</v>
      </c>
      <c r="Q59">
        <v>2385.0937819360602</v>
      </c>
      <c r="R59">
        <v>2385.0937819360602</v>
      </c>
      <c r="S59">
        <v>2385.0937819360602</v>
      </c>
      <c r="T59">
        <v>2385.0937819360602</v>
      </c>
      <c r="U59">
        <v>21.100097091380029</v>
      </c>
      <c r="V59">
        <v>21.100097091380029</v>
      </c>
      <c r="W59">
        <v>21.100097091380029</v>
      </c>
      <c r="X59">
        <v>21.100097091380029</v>
      </c>
      <c r="Y59">
        <v>21.100097091380029</v>
      </c>
      <c r="Z59">
        <v>21.100097091380029</v>
      </c>
      <c r="AA59">
        <v>21.100097091380029</v>
      </c>
      <c r="AB59">
        <v>21.100097091380029</v>
      </c>
      <c r="AC59">
        <v>0.1696149283872993</v>
      </c>
      <c r="AD59">
        <v>0.1696149283872993</v>
      </c>
      <c r="AE59">
        <v>0.1696149283872993</v>
      </c>
      <c r="AF59">
        <v>0.1696149283872993</v>
      </c>
      <c r="AG59">
        <v>0.1696149283872993</v>
      </c>
      <c r="AH59">
        <v>0.1696149283872993</v>
      </c>
      <c r="AI59">
        <v>0.1696149283872993</v>
      </c>
      <c r="AJ59">
        <v>0.1696149283872993</v>
      </c>
      <c r="AS59">
        <v>0.33333333333333331</v>
      </c>
      <c r="AT59">
        <v>0.33333333333333331</v>
      </c>
      <c r="AU59">
        <v>0.33333333333333331</v>
      </c>
      <c r="AV59">
        <v>0.33333333333333331</v>
      </c>
      <c r="AW59">
        <v>0.33333333333333331</v>
      </c>
      <c r="AX59">
        <v>0.33333333333333331</v>
      </c>
      <c r="AY59">
        <v>0.33333333333333331</v>
      </c>
      <c r="AZ59">
        <v>0.33333333333333331</v>
      </c>
    </row>
    <row r="60" spans="1:52" x14ac:dyDescent="0.25">
      <c r="A60" t="s">
        <v>93</v>
      </c>
      <c r="B60" t="s">
        <v>94</v>
      </c>
      <c r="D60">
        <v>2020</v>
      </c>
      <c r="E60" t="s">
        <v>148</v>
      </c>
      <c r="F60" t="s">
        <v>211</v>
      </c>
      <c r="G60" t="s">
        <v>148</v>
      </c>
      <c r="H60" t="s">
        <v>212</v>
      </c>
      <c r="I60">
        <v>1</v>
      </c>
      <c r="J60">
        <v>0</v>
      </c>
      <c r="K60">
        <v>100</v>
      </c>
      <c r="L60">
        <v>31.536000000000001</v>
      </c>
      <c r="M60">
        <v>2703.9530678386359</v>
      </c>
      <c r="N60">
        <v>2703.9530678386359</v>
      </c>
      <c r="O60">
        <v>2703.9530678386359</v>
      </c>
      <c r="P60">
        <v>2703.9530678386359</v>
      </c>
      <c r="Q60">
        <v>2703.9530678386359</v>
      </c>
      <c r="R60">
        <v>2703.9530678386359</v>
      </c>
      <c r="S60">
        <v>2703.9530678386359</v>
      </c>
      <c r="T60">
        <v>2703.9530678386359</v>
      </c>
      <c r="U60">
        <v>21.100097091380029</v>
      </c>
      <c r="V60">
        <v>21.100097091380029</v>
      </c>
      <c r="W60">
        <v>21.100097091380029</v>
      </c>
      <c r="X60">
        <v>21.100097091380029</v>
      </c>
      <c r="Y60">
        <v>21.100097091380029</v>
      </c>
      <c r="Z60">
        <v>21.100097091380029</v>
      </c>
      <c r="AA60">
        <v>21.100097091380029</v>
      </c>
      <c r="AB60">
        <v>21.100097091380029</v>
      </c>
      <c r="AC60">
        <v>0.1696149283872993</v>
      </c>
      <c r="AD60">
        <v>0.1696149283872993</v>
      </c>
      <c r="AE60">
        <v>0.1696149283872993</v>
      </c>
      <c r="AF60">
        <v>0.1696149283872993</v>
      </c>
      <c r="AG60">
        <v>0.1696149283872993</v>
      </c>
      <c r="AH60">
        <v>0.1696149283872993</v>
      </c>
      <c r="AI60">
        <v>0.1696149283872993</v>
      </c>
      <c r="AJ60">
        <v>0.1696149283872993</v>
      </c>
      <c r="AS60">
        <v>0.33333333333333331</v>
      </c>
      <c r="AT60">
        <v>0.33333333333333331</v>
      </c>
      <c r="AU60">
        <v>0.33333333333333331</v>
      </c>
      <c r="AV60">
        <v>0.33333333333333331</v>
      </c>
      <c r="AW60">
        <v>0.33333333333333331</v>
      </c>
      <c r="AX60">
        <v>0.33333333333333331</v>
      </c>
      <c r="AY60">
        <v>0.33333333333333331</v>
      </c>
      <c r="AZ60">
        <v>0.33333333333333331</v>
      </c>
    </row>
    <row r="61" spans="1:52" x14ac:dyDescent="0.25">
      <c r="A61" t="s">
        <v>93</v>
      </c>
      <c r="B61" t="s">
        <v>94</v>
      </c>
      <c r="D61">
        <v>2020</v>
      </c>
      <c r="E61" t="s">
        <v>148</v>
      </c>
      <c r="F61" t="s">
        <v>213</v>
      </c>
      <c r="G61" t="s">
        <v>148</v>
      </c>
      <c r="H61" t="s">
        <v>214</v>
      </c>
      <c r="I61">
        <v>1</v>
      </c>
      <c r="J61">
        <v>0</v>
      </c>
      <c r="K61">
        <v>100</v>
      </c>
      <c r="L61">
        <v>31.536000000000001</v>
      </c>
      <c r="M61">
        <v>2902.3052152757159</v>
      </c>
      <c r="N61">
        <v>2902.3052152757159</v>
      </c>
      <c r="O61">
        <v>2902.3052152757159</v>
      </c>
      <c r="P61">
        <v>2902.3052152757159</v>
      </c>
      <c r="Q61">
        <v>2902.3052152757159</v>
      </c>
      <c r="R61">
        <v>2902.3052152757159</v>
      </c>
      <c r="S61">
        <v>2902.3052152757159</v>
      </c>
      <c r="T61">
        <v>2902.3052152757159</v>
      </c>
      <c r="U61">
        <v>21.100097091380029</v>
      </c>
      <c r="V61">
        <v>21.100097091380029</v>
      </c>
      <c r="W61">
        <v>21.100097091380029</v>
      </c>
      <c r="X61">
        <v>21.100097091380029</v>
      </c>
      <c r="Y61">
        <v>21.100097091380029</v>
      </c>
      <c r="Z61">
        <v>21.100097091380029</v>
      </c>
      <c r="AA61">
        <v>21.100097091380029</v>
      </c>
      <c r="AB61">
        <v>21.100097091380029</v>
      </c>
      <c r="AC61">
        <v>0.1696149283872993</v>
      </c>
      <c r="AD61">
        <v>0.1696149283872993</v>
      </c>
      <c r="AE61">
        <v>0.1696149283872993</v>
      </c>
      <c r="AF61">
        <v>0.1696149283872993</v>
      </c>
      <c r="AG61">
        <v>0.1696149283872993</v>
      </c>
      <c r="AH61">
        <v>0.1696149283872993</v>
      </c>
      <c r="AI61">
        <v>0.1696149283872993</v>
      </c>
      <c r="AJ61">
        <v>0.1696149283872993</v>
      </c>
      <c r="AS61">
        <v>0.33333333333333331</v>
      </c>
      <c r="AT61">
        <v>0.33333333333333331</v>
      </c>
      <c r="AU61">
        <v>0.33333333333333331</v>
      </c>
      <c r="AV61">
        <v>0.33333333333333331</v>
      </c>
      <c r="AW61">
        <v>0.33333333333333331</v>
      </c>
      <c r="AX61">
        <v>0.33333333333333331</v>
      </c>
      <c r="AY61">
        <v>0.33333333333333331</v>
      </c>
      <c r="AZ61">
        <v>0.33333333333333331</v>
      </c>
    </row>
    <row r="62" spans="1:52" x14ac:dyDescent="0.25">
      <c r="A62" t="s">
        <v>93</v>
      </c>
      <c r="B62" t="s">
        <v>94</v>
      </c>
      <c r="D62">
        <v>2020</v>
      </c>
      <c r="E62" t="s">
        <v>148</v>
      </c>
      <c r="F62" t="s">
        <v>215</v>
      </c>
      <c r="G62" t="s">
        <v>148</v>
      </c>
      <c r="H62" t="s">
        <v>216</v>
      </c>
      <c r="I62">
        <v>1</v>
      </c>
      <c r="J62">
        <v>0</v>
      </c>
      <c r="K62">
        <v>100</v>
      </c>
      <c r="L62">
        <v>31.536000000000001</v>
      </c>
      <c r="M62">
        <v>3059.5593302806092</v>
      </c>
      <c r="N62">
        <v>3059.5593302806092</v>
      </c>
      <c r="O62">
        <v>3059.5593302806092</v>
      </c>
      <c r="P62">
        <v>3059.5593302806092</v>
      </c>
      <c r="Q62">
        <v>3059.5593302806092</v>
      </c>
      <c r="R62">
        <v>3059.5593302806092</v>
      </c>
      <c r="S62">
        <v>3059.5593302806092</v>
      </c>
      <c r="T62">
        <v>3059.5593302806092</v>
      </c>
      <c r="U62">
        <v>21.100097091380029</v>
      </c>
      <c r="V62">
        <v>21.100097091380029</v>
      </c>
      <c r="W62">
        <v>21.100097091380029</v>
      </c>
      <c r="X62">
        <v>21.100097091380029</v>
      </c>
      <c r="Y62">
        <v>21.100097091380029</v>
      </c>
      <c r="Z62">
        <v>21.100097091380029</v>
      </c>
      <c r="AA62">
        <v>21.100097091380029</v>
      </c>
      <c r="AB62">
        <v>21.100097091380029</v>
      </c>
      <c r="AC62">
        <v>0.1696149283872993</v>
      </c>
      <c r="AD62">
        <v>0.1696149283872993</v>
      </c>
      <c r="AE62">
        <v>0.1696149283872993</v>
      </c>
      <c r="AF62">
        <v>0.1696149283872993</v>
      </c>
      <c r="AG62">
        <v>0.1696149283872993</v>
      </c>
      <c r="AH62">
        <v>0.1696149283872993</v>
      </c>
      <c r="AI62">
        <v>0.1696149283872993</v>
      </c>
      <c r="AJ62">
        <v>0.1696149283872993</v>
      </c>
      <c r="AS62">
        <v>0.33333333333333331</v>
      </c>
      <c r="AT62">
        <v>0.33333333333333331</v>
      </c>
      <c r="AU62">
        <v>0.33333333333333331</v>
      </c>
      <c r="AV62">
        <v>0.33333333333333331</v>
      </c>
      <c r="AW62">
        <v>0.33333333333333331</v>
      </c>
      <c r="AX62">
        <v>0.33333333333333331</v>
      </c>
      <c r="AY62">
        <v>0.33333333333333331</v>
      </c>
      <c r="AZ62">
        <v>0.33333333333333331</v>
      </c>
    </row>
    <row r="63" spans="1:52" x14ac:dyDescent="0.25">
      <c r="A63" t="s">
        <v>93</v>
      </c>
      <c r="B63" t="s">
        <v>94</v>
      </c>
      <c r="D63">
        <v>2020</v>
      </c>
      <c r="E63" t="s">
        <v>148</v>
      </c>
      <c r="F63" t="s">
        <v>217</v>
      </c>
      <c r="G63" t="s">
        <v>148</v>
      </c>
      <c r="H63" t="s">
        <v>218</v>
      </c>
      <c r="I63">
        <v>1</v>
      </c>
      <c r="J63">
        <v>0</v>
      </c>
      <c r="K63">
        <v>100</v>
      </c>
      <c r="L63">
        <v>31.536000000000001</v>
      </c>
      <c r="M63">
        <v>3198.7823529365151</v>
      </c>
      <c r="N63">
        <v>3198.7823529365151</v>
      </c>
      <c r="O63">
        <v>3198.7823529365151</v>
      </c>
      <c r="P63">
        <v>3198.7823529365151</v>
      </c>
      <c r="Q63">
        <v>3198.7823529365151</v>
      </c>
      <c r="R63">
        <v>3198.7823529365151</v>
      </c>
      <c r="S63">
        <v>3198.7823529365151</v>
      </c>
      <c r="T63">
        <v>3198.7823529365151</v>
      </c>
      <c r="U63">
        <v>21.100097091380029</v>
      </c>
      <c r="V63">
        <v>21.100097091380029</v>
      </c>
      <c r="W63">
        <v>21.100097091380029</v>
      </c>
      <c r="X63">
        <v>21.100097091380029</v>
      </c>
      <c r="Y63">
        <v>21.100097091380029</v>
      </c>
      <c r="Z63">
        <v>21.100097091380029</v>
      </c>
      <c r="AA63">
        <v>21.100097091380029</v>
      </c>
      <c r="AB63">
        <v>21.100097091380029</v>
      </c>
      <c r="AC63">
        <v>0.1696149283872993</v>
      </c>
      <c r="AD63">
        <v>0.1696149283872993</v>
      </c>
      <c r="AE63">
        <v>0.1696149283872993</v>
      </c>
      <c r="AF63">
        <v>0.1696149283872993</v>
      </c>
      <c r="AG63">
        <v>0.1696149283872993</v>
      </c>
      <c r="AH63">
        <v>0.1696149283872993</v>
      </c>
      <c r="AI63">
        <v>0.1696149283872993</v>
      </c>
      <c r="AJ63">
        <v>0.1696149283872993</v>
      </c>
      <c r="AS63">
        <v>0.33333333333333331</v>
      </c>
      <c r="AT63">
        <v>0.33333333333333331</v>
      </c>
      <c r="AU63">
        <v>0.33333333333333331</v>
      </c>
      <c r="AV63">
        <v>0.33333333333333331</v>
      </c>
      <c r="AW63">
        <v>0.33333333333333331</v>
      </c>
      <c r="AX63">
        <v>0.33333333333333331</v>
      </c>
      <c r="AY63">
        <v>0.33333333333333331</v>
      </c>
      <c r="AZ63">
        <v>0.33333333333333331</v>
      </c>
    </row>
    <row r="64" spans="1:52" x14ac:dyDescent="0.25">
      <c r="A64" t="s">
        <v>93</v>
      </c>
      <c r="B64" t="s">
        <v>94</v>
      </c>
      <c r="D64">
        <v>2020</v>
      </c>
      <c r="E64" t="s">
        <v>148</v>
      </c>
      <c r="F64" t="s">
        <v>219</v>
      </c>
      <c r="G64" t="s">
        <v>148</v>
      </c>
      <c r="H64" t="s">
        <v>220</v>
      </c>
      <c r="I64">
        <v>1</v>
      </c>
      <c r="J64">
        <v>0</v>
      </c>
      <c r="K64">
        <v>100</v>
      </c>
      <c r="L64">
        <v>31.536000000000001</v>
      </c>
      <c r="M64">
        <v>3332.512077047089</v>
      </c>
      <c r="N64">
        <v>3332.512077047089</v>
      </c>
      <c r="O64">
        <v>3332.512077047089</v>
      </c>
      <c r="P64">
        <v>3332.512077047089</v>
      </c>
      <c r="Q64">
        <v>3332.512077047089</v>
      </c>
      <c r="R64">
        <v>3332.512077047089</v>
      </c>
      <c r="S64">
        <v>3332.512077047089</v>
      </c>
      <c r="T64">
        <v>3332.512077047089</v>
      </c>
      <c r="U64">
        <v>21.100097091380029</v>
      </c>
      <c r="V64">
        <v>21.100097091380029</v>
      </c>
      <c r="W64">
        <v>21.100097091380029</v>
      </c>
      <c r="X64">
        <v>21.100097091380029</v>
      </c>
      <c r="Y64">
        <v>21.100097091380029</v>
      </c>
      <c r="Z64">
        <v>21.100097091380029</v>
      </c>
      <c r="AA64">
        <v>21.100097091380029</v>
      </c>
      <c r="AB64">
        <v>21.100097091380029</v>
      </c>
      <c r="AC64">
        <v>0.1696149283872993</v>
      </c>
      <c r="AD64">
        <v>0.1696149283872993</v>
      </c>
      <c r="AE64">
        <v>0.1696149283872993</v>
      </c>
      <c r="AF64">
        <v>0.1696149283872993</v>
      </c>
      <c r="AG64">
        <v>0.1696149283872993</v>
      </c>
      <c r="AH64">
        <v>0.1696149283872993</v>
      </c>
      <c r="AI64">
        <v>0.1696149283872993</v>
      </c>
      <c r="AJ64">
        <v>0.1696149283872993</v>
      </c>
      <c r="AS64">
        <v>0.33333333333333331</v>
      </c>
      <c r="AT64">
        <v>0.33333333333333331</v>
      </c>
      <c r="AU64">
        <v>0.33333333333333331</v>
      </c>
      <c r="AV64">
        <v>0.33333333333333331</v>
      </c>
      <c r="AW64">
        <v>0.33333333333333331</v>
      </c>
      <c r="AX64">
        <v>0.33333333333333331</v>
      </c>
      <c r="AY64">
        <v>0.33333333333333331</v>
      </c>
      <c r="AZ64">
        <v>0.33333333333333331</v>
      </c>
    </row>
    <row r="65" spans="1:52" x14ac:dyDescent="0.25">
      <c r="A65" t="s">
        <v>93</v>
      </c>
      <c r="B65" t="s">
        <v>94</v>
      </c>
      <c r="D65">
        <v>2020</v>
      </c>
      <c r="E65" t="s">
        <v>148</v>
      </c>
      <c r="F65" t="s">
        <v>221</v>
      </c>
      <c r="G65" t="s">
        <v>148</v>
      </c>
      <c r="H65" t="s">
        <v>222</v>
      </c>
      <c r="I65">
        <v>1</v>
      </c>
      <c r="J65">
        <v>0</v>
      </c>
      <c r="K65">
        <v>100</v>
      </c>
      <c r="L65">
        <v>31.536000000000001</v>
      </c>
      <c r="M65">
        <v>3454.6144209714198</v>
      </c>
      <c r="N65">
        <v>3454.6144209714198</v>
      </c>
      <c r="O65">
        <v>3454.6144209714198</v>
      </c>
      <c r="P65">
        <v>3454.6144209714198</v>
      </c>
      <c r="Q65">
        <v>3454.6144209714198</v>
      </c>
      <c r="R65">
        <v>3454.6144209714198</v>
      </c>
      <c r="S65">
        <v>3454.6144209714198</v>
      </c>
      <c r="T65">
        <v>3454.6144209714198</v>
      </c>
      <c r="U65">
        <v>21.100097091380029</v>
      </c>
      <c r="V65">
        <v>21.100097091380029</v>
      </c>
      <c r="W65">
        <v>21.100097091380029</v>
      </c>
      <c r="X65">
        <v>21.100097091380029</v>
      </c>
      <c r="Y65">
        <v>21.100097091380029</v>
      </c>
      <c r="Z65">
        <v>21.100097091380029</v>
      </c>
      <c r="AA65">
        <v>21.100097091380029</v>
      </c>
      <c r="AB65">
        <v>21.100097091380029</v>
      </c>
      <c r="AC65">
        <v>0.1696149283872993</v>
      </c>
      <c r="AD65">
        <v>0.1696149283872993</v>
      </c>
      <c r="AE65">
        <v>0.1696149283872993</v>
      </c>
      <c r="AF65">
        <v>0.1696149283872993</v>
      </c>
      <c r="AG65">
        <v>0.1696149283872993</v>
      </c>
      <c r="AH65">
        <v>0.1696149283872993</v>
      </c>
      <c r="AI65">
        <v>0.1696149283872993</v>
      </c>
      <c r="AJ65">
        <v>0.1696149283872993</v>
      </c>
      <c r="AS65">
        <v>0.33333333333333331</v>
      </c>
      <c r="AT65">
        <v>0.33333333333333331</v>
      </c>
      <c r="AU65">
        <v>0.33333333333333331</v>
      </c>
      <c r="AV65">
        <v>0.33333333333333331</v>
      </c>
      <c r="AW65">
        <v>0.33333333333333331</v>
      </c>
      <c r="AX65">
        <v>0.33333333333333331</v>
      </c>
      <c r="AY65">
        <v>0.33333333333333331</v>
      </c>
      <c r="AZ65">
        <v>0.33333333333333331</v>
      </c>
    </row>
    <row r="66" spans="1:52" x14ac:dyDescent="0.25">
      <c r="A66" t="s">
        <v>93</v>
      </c>
      <c r="B66" t="s">
        <v>94</v>
      </c>
      <c r="D66">
        <v>2020</v>
      </c>
      <c r="E66" t="s">
        <v>148</v>
      </c>
      <c r="F66" t="s">
        <v>223</v>
      </c>
      <c r="G66" t="s">
        <v>148</v>
      </c>
      <c r="H66" t="s">
        <v>224</v>
      </c>
      <c r="I66">
        <v>1</v>
      </c>
      <c r="J66">
        <v>0</v>
      </c>
      <c r="K66">
        <v>100</v>
      </c>
      <c r="L66">
        <v>31.536000000000001</v>
      </c>
      <c r="M66">
        <v>3580.1995949713692</v>
      </c>
      <c r="N66">
        <v>3580.1995949713692</v>
      </c>
      <c r="O66">
        <v>3580.1995949713692</v>
      </c>
      <c r="P66">
        <v>3580.1995949713692</v>
      </c>
      <c r="Q66">
        <v>3580.1995949713692</v>
      </c>
      <c r="R66">
        <v>3580.1995949713692</v>
      </c>
      <c r="S66">
        <v>3580.1995949713692</v>
      </c>
      <c r="T66">
        <v>3580.1995949713692</v>
      </c>
      <c r="U66">
        <v>21.100097091380029</v>
      </c>
      <c r="V66">
        <v>21.100097091380029</v>
      </c>
      <c r="W66">
        <v>21.100097091380029</v>
      </c>
      <c r="X66">
        <v>21.100097091380029</v>
      </c>
      <c r="Y66">
        <v>21.100097091380029</v>
      </c>
      <c r="Z66">
        <v>21.100097091380029</v>
      </c>
      <c r="AA66">
        <v>21.100097091380029</v>
      </c>
      <c r="AB66">
        <v>21.100097091380029</v>
      </c>
      <c r="AC66">
        <v>0.1696149283872993</v>
      </c>
      <c r="AD66">
        <v>0.1696149283872993</v>
      </c>
      <c r="AE66">
        <v>0.1696149283872993</v>
      </c>
      <c r="AF66">
        <v>0.1696149283872993</v>
      </c>
      <c r="AG66">
        <v>0.1696149283872993</v>
      </c>
      <c r="AH66">
        <v>0.1696149283872993</v>
      </c>
      <c r="AI66">
        <v>0.1696149283872993</v>
      </c>
      <c r="AJ66">
        <v>0.1696149283872993</v>
      </c>
      <c r="AS66">
        <v>0.33333333333333331</v>
      </c>
      <c r="AT66">
        <v>0.33333333333333331</v>
      </c>
      <c r="AU66">
        <v>0.33333333333333331</v>
      </c>
      <c r="AV66">
        <v>0.33333333333333331</v>
      </c>
      <c r="AW66">
        <v>0.33333333333333331</v>
      </c>
      <c r="AX66">
        <v>0.33333333333333331</v>
      </c>
      <c r="AY66">
        <v>0.33333333333333331</v>
      </c>
      <c r="AZ66">
        <v>0.33333333333333331</v>
      </c>
    </row>
    <row r="67" spans="1:52" x14ac:dyDescent="0.25">
      <c r="A67" t="s">
        <v>93</v>
      </c>
      <c r="B67" t="s">
        <v>94</v>
      </c>
      <c r="D67">
        <v>2020</v>
      </c>
      <c r="E67" t="s">
        <v>148</v>
      </c>
      <c r="F67" t="s">
        <v>225</v>
      </c>
      <c r="G67" t="s">
        <v>148</v>
      </c>
      <c r="H67" t="s">
        <v>226</v>
      </c>
      <c r="I67">
        <v>1</v>
      </c>
      <c r="J67">
        <v>0</v>
      </c>
      <c r="K67">
        <v>100</v>
      </c>
      <c r="L67">
        <v>31.536000000000001</v>
      </c>
      <c r="M67">
        <v>3708.5881563782859</v>
      </c>
      <c r="N67">
        <v>3708.5881563782859</v>
      </c>
      <c r="O67">
        <v>3708.5881563782859</v>
      </c>
      <c r="P67">
        <v>3708.5881563782859</v>
      </c>
      <c r="Q67">
        <v>3708.5881563782859</v>
      </c>
      <c r="R67">
        <v>3708.5881563782859</v>
      </c>
      <c r="S67">
        <v>3708.5881563782859</v>
      </c>
      <c r="T67">
        <v>3708.5881563782859</v>
      </c>
      <c r="U67">
        <v>21.100097091380029</v>
      </c>
      <c r="V67">
        <v>21.100097091380029</v>
      </c>
      <c r="W67">
        <v>21.100097091380029</v>
      </c>
      <c r="X67">
        <v>21.100097091380029</v>
      </c>
      <c r="Y67">
        <v>21.100097091380029</v>
      </c>
      <c r="Z67">
        <v>21.100097091380029</v>
      </c>
      <c r="AA67">
        <v>21.100097091380029</v>
      </c>
      <c r="AB67">
        <v>21.100097091380029</v>
      </c>
      <c r="AC67">
        <v>0.1696149283872993</v>
      </c>
      <c r="AD67">
        <v>0.1696149283872993</v>
      </c>
      <c r="AE67">
        <v>0.1696149283872993</v>
      </c>
      <c r="AF67">
        <v>0.1696149283872993</v>
      </c>
      <c r="AG67">
        <v>0.1696149283872993</v>
      </c>
      <c r="AH67">
        <v>0.1696149283872993</v>
      </c>
      <c r="AI67">
        <v>0.1696149283872993</v>
      </c>
      <c r="AJ67">
        <v>0.1696149283872993</v>
      </c>
      <c r="AS67">
        <v>0.33333333333333331</v>
      </c>
      <c r="AT67">
        <v>0.33333333333333331</v>
      </c>
      <c r="AU67">
        <v>0.33333333333333331</v>
      </c>
      <c r="AV67">
        <v>0.33333333333333331</v>
      </c>
      <c r="AW67">
        <v>0.33333333333333331</v>
      </c>
      <c r="AX67">
        <v>0.33333333333333331</v>
      </c>
      <c r="AY67">
        <v>0.33333333333333331</v>
      </c>
      <c r="AZ67">
        <v>0.33333333333333331</v>
      </c>
    </row>
    <row r="68" spans="1:52" x14ac:dyDescent="0.25">
      <c r="A68" t="s">
        <v>93</v>
      </c>
      <c r="B68" t="s">
        <v>94</v>
      </c>
      <c r="D68">
        <v>2020</v>
      </c>
      <c r="E68" t="s">
        <v>148</v>
      </c>
      <c r="F68" t="s">
        <v>227</v>
      </c>
      <c r="G68" t="s">
        <v>148</v>
      </c>
      <c r="H68" t="s">
        <v>228</v>
      </c>
      <c r="I68">
        <v>1</v>
      </c>
      <c r="J68">
        <v>0</v>
      </c>
      <c r="K68">
        <v>100</v>
      </c>
      <c r="L68">
        <v>31.536000000000001</v>
      </c>
      <c r="M68">
        <v>3847.158971512988</v>
      </c>
      <c r="N68">
        <v>3847.158971512988</v>
      </c>
      <c r="O68">
        <v>3847.158971512988</v>
      </c>
      <c r="P68">
        <v>3847.158971512988</v>
      </c>
      <c r="Q68">
        <v>3847.158971512988</v>
      </c>
      <c r="R68">
        <v>3847.158971512988</v>
      </c>
      <c r="S68">
        <v>3847.158971512988</v>
      </c>
      <c r="T68">
        <v>3847.158971512988</v>
      </c>
      <c r="U68">
        <v>21.100097091380029</v>
      </c>
      <c r="V68">
        <v>21.100097091380029</v>
      </c>
      <c r="W68">
        <v>21.100097091380029</v>
      </c>
      <c r="X68">
        <v>21.100097091380029</v>
      </c>
      <c r="Y68">
        <v>21.100097091380029</v>
      </c>
      <c r="Z68">
        <v>21.100097091380029</v>
      </c>
      <c r="AA68">
        <v>21.100097091380029</v>
      </c>
      <c r="AB68">
        <v>21.100097091380029</v>
      </c>
      <c r="AC68">
        <v>0.1696149283872993</v>
      </c>
      <c r="AD68">
        <v>0.1696149283872993</v>
      </c>
      <c r="AE68">
        <v>0.1696149283872993</v>
      </c>
      <c r="AF68">
        <v>0.1696149283872993</v>
      </c>
      <c r="AG68">
        <v>0.1696149283872993</v>
      </c>
      <c r="AH68">
        <v>0.1696149283872993</v>
      </c>
      <c r="AI68">
        <v>0.1696149283872993</v>
      </c>
      <c r="AJ68">
        <v>0.1696149283872993</v>
      </c>
      <c r="AS68">
        <v>0.33333333333333331</v>
      </c>
      <c r="AT68">
        <v>0.33333333333333331</v>
      </c>
      <c r="AU68">
        <v>0.33333333333333331</v>
      </c>
      <c r="AV68">
        <v>0.33333333333333331</v>
      </c>
      <c r="AW68">
        <v>0.33333333333333331</v>
      </c>
      <c r="AX68">
        <v>0.33333333333333331</v>
      </c>
      <c r="AY68">
        <v>0.33333333333333331</v>
      </c>
      <c r="AZ68">
        <v>0.33333333333333331</v>
      </c>
    </row>
    <row r="69" spans="1:52" x14ac:dyDescent="0.25">
      <c r="A69" t="s">
        <v>93</v>
      </c>
      <c r="B69" t="s">
        <v>94</v>
      </c>
      <c r="D69">
        <v>2020</v>
      </c>
      <c r="E69" t="s">
        <v>148</v>
      </c>
      <c r="F69" t="s">
        <v>229</v>
      </c>
      <c r="G69" t="s">
        <v>148</v>
      </c>
      <c r="H69" t="s">
        <v>230</v>
      </c>
      <c r="I69">
        <v>1</v>
      </c>
      <c r="J69">
        <v>0</v>
      </c>
      <c r="K69">
        <v>100</v>
      </c>
      <c r="L69">
        <v>31.536000000000001</v>
      </c>
      <c r="M69">
        <v>3989.3387907441688</v>
      </c>
      <c r="N69">
        <v>3989.3387907441688</v>
      </c>
      <c r="O69">
        <v>3989.3387907441688</v>
      </c>
      <c r="P69">
        <v>3989.3387907441688</v>
      </c>
      <c r="Q69">
        <v>3989.3387907441688</v>
      </c>
      <c r="R69">
        <v>3989.3387907441688</v>
      </c>
      <c r="S69">
        <v>3989.3387907441688</v>
      </c>
      <c r="T69">
        <v>3989.3387907441688</v>
      </c>
      <c r="U69">
        <v>21.100097091380029</v>
      </c>
      <c r="V69">
        <v>21.100097091380029</v>
      </c>
      <c r="W69">
        <v>21.100097091380029</v>
      </c>
      <c r="X69">
        <v>21.100097091380029</v>
      </c>
      <c r="Y69">
        <v>21.100097091380029</v>
      </c>
      <c r="Z69">
        <v>21.100097091380029</v>
      </c>
      <c r="AA69">
        <v>21.100097091380029</v>
      </c>
      <c r="AB69">
        <v>21.100097091380029</v>
      </c>
      <c r="AC69">
        <v>0.1696149283872993</v>
      </c>
      <c r="AD69">
        <v>0.1696149283872993</v>
      </c>
      <c r="AE69">
        <v>0.1696149283872993</v>
      </c>
      <c r="AF69">
        <v>0.1696149283872993</v>
      </c>
      <c r="AG69">
        <v>0.1696149283872993</v>
      </c>
      <c r="AH69">
        <v>0.1696149283872993</v>
      </c>
      <c r="AI69">
        <v>0.1696149283872993</v>
      </c>
      <c r="AJ69">
        <v>0.1696149283872993</v>
      </c>
      <c r="AS69">
        <v>0.33333333333333331</v>
      </c>
      <c r="AT69">
        <v>0.33333333333333331</v>
      </c>
      <c r="AU69">
        <v>0.33333333333333331</v>
      </c>
      <c r="AV69">
        <v>0.33333333333333331</v>
      </c>
      <c r="AW69">
        <v>0.33333333333333331</v>
      </c>
      <c r="AX69">
        <v>0.33333333333333331</v>
      </c>
      <c r="AY69">
        <v>0.33333333333333331</v>
      </c>
      <c r="AZ69">
        <v>0.33333333333333331</v>
      </c>
    </row>
    <row r="70" spans="1:52" x14ac:dyDescent="0.25">
      <c r="A70" t="s">
        <v>93</v>
      </c>
      <c r="B70" t="s">
        <v>94</v>
      </c>
      <c r="D70">
        <v>2020</v>
      </c>
      <c r="E70" t="s">
        <v>148</v>
      </c>
      <c r="F70" t="s">
        <v>231</v>
      </c>
      <c r="G70" t="s">
        <v>148</v>
      </c>
      <c r="H70" t="s">
        <v>232</v>
      </c>
      <c r="I70">
        <v>1</v>
      </c>
      <c r="J70">
        <v>0</v>
      </c>
      <c r="K70">
        <v>100</v>
      </c>
      <c r="L70">
        <v>31.536000000000001</v>
      </c>
      <c r="M70">
        <v>4141.3324292504731</v>
      </c>
      <c r="N70">
        <v>4141.3324292504731</v>
      </c>
      <c r="O70">
        <v>4141.3324292504731</v>
      </c>
      <c r="P70">
        <v>4141.3324292504731</v>
      </c>
      <c r="Q70">
        <v>4141.3324292504731</v>
      </c>
      <c r="R70">
        <v>4141.3324292504731</v>
      </c>
      <c r="S70">
        <v>4141.3324292504731</v>
      </c>
      <c r="T70">
        <v>4141.3324292504731</v>
      </c>
      <c r="U70">
        <v>21.100097091380029</v>
      </c>
      <c r="V70">
        <v>21.100097091380029</v>
      </c>
      <c r="W70">
        <v>21.100097091380029</v>
      </c>
      <c r="X70">
        <v>21.100097091380029</v>
      </c>
      <c r="Y70">
        <v>21.100097091380029</v>
      </c>
      <c r="Z70">
        <v>21.100097091380029</v>
      </c>
      <c r="AA70">
        <v>21.100097091380029</v>
      </c>
      <c r="AB70">
        <v>21.100097091380029</v>
      </c>
      <c r="AC70">
        <v>0.1696149283872993</v>
      </c>
      <c r="AD70">
        <v>0.1696149283872993</v>
      </c>
      <c r="AE70">
        <v>0.1696149283872993</v>
      </c>
      <c r="AF70">
        <v>0.1696149283872993</v>
      </c>
      <c r="AG70">
        <v>0.1696149283872993</v>
      </c>
      <c r="AH70">
        <v>0.1696149283872993</v>
      </c>
      <c r="AI70">
        <v>0.1696149283872993</v>
      </c>
      <c r="AJ70">
        <v>0.1696149283872993</v>
      </c>
      <c r="AS70">
        <v>0.33333333333333331</v>
      </c>
      <c r="AT70">
        <v>0.33333333333333331</v>
      </c>
      <c r="AU70">
        <v>0.33333333333333331</v>
      </c>
      <c r="AV70">
        <v>0.33333333333333331</v>
      </c>
      <c r="AW70">
        <v>0.33333333333333331</v>
      </c>
      <c r="AX70">
        <v>0.33333333333333331</v>
      </c>
      <c r="AY70">
        <v>0.33333333333333331</v>
      </c>
      <c r="AZ70">
        <v>0.33333333333333331</v>
      </c>
    </row>
    <row r="71" spans="1:52" x14ac:dyDescent="0.25">
      <c r="A71" t="s">
        <v>93</v>
      </c>
      <c r="B71" t="s">
        <v>94</v>
      </c>
      <c r="D71">
        <v>2020</v>
      </c>
      <c r="E71" t="s">
        <v>148</v>
      </c>
      <c r="F71" t="s">
        <v>233</v>
      </c>
      <c r="G71" t="s">
        <v>148</v>
      </c>
      <c r="H71" t="s">
        <v>234</v>
      </c>
      <c r="I71">
        <v>1</v>
      </c>
      <c r="J71">
        <v>0</v>
      </c>
      <c r="K71">
        <v>100</v>
      </c>
      <c r="L71">
        <v>31.536000000000001</v>
      </c>
      <c r="M71">
        <v>4311.6896102347882</v>
      </c>
      <c r="N71">
        <v>4311.6896102347882</v>
      </c>
      <c r="O71">
        <v>4311.6896102347882</v>
      </c>
      <c r="P71">
        <v>4311.6896102347882</v>
      </c>
      <c r="Q71">
        <v>4311.6896102347882</v>
      </c>
      <c r="R71">
        <v>4311.6896102347882</v>
      </c>
      <c r="S71">
        <v>4311.6896102347882</v>
      </c>
      <c r="T71">
        <v>4311.6896102347882</v>
      </c>
      <c r="U71">
        <v>21.100097091380029</v>
      </c>
      <c r="V71">
        <v>21.100097091380029</v>
      </c>
      <c r="W71">
        <v>21.100097091380029</v>
      </c>
      <c r="X71">
        <v>21.100097091380029</v>
      </c>
      <c r="Y71">
        <v>21.100097091380029</v>
      </c>
      <c r="Z71">
        <v>21.100097091380029</v>
      </c>
      <c r="AA71">
        <v>21.100097091380029</v>
      </c>
      <c r="AB71">
        <v>21.100097091380029</v>
      </c>
      <c r="AC71">
        <v>0.1696149283872993</v>
      </c>
      <c r="AD71">
        <v>0.1696149283872993</v>
      </c>
      <c r="AE71">
        <v>0.1696149283872993</v>
      </c>
      <c r="AF71">
        <v>0.1696149283872993</v>
      </c>
      <c r="AG71">
        <v>0.1696149283872993</v>
      </c>
      <c r="AH71">
        <v>0.1696149283872993</v>
      </c>
      <c r="AI71">
        <v>0.1696149283872993</v>
      </c>
      <c r="AJ71">
        <v>0.1696149283872993</v>
      </c>
      <c r="AS71">
        <v>0.33333333333333331</v>
      </c>
      <c r="AT71">
        <v>0.33333333333333331</v>
      </c>
      <c r="AU71">
        <v>0.33333333333333331</v>
      </c>
      <c r="AV71">
        <v>0.33333333333333331</v>
      </c>
      <c r="AW71">
        <v>0.33333333333333331</v>
      </c>
      <c r="AX71">
        <v>0.33333333333333331</v>
      </c>
      <c r="AY71">
        <v>0.33333333333333331</v>
      </c>
      <c r="AZ71">
        <v>0.33333333333333331</v>
      </c>
    </row>
    <row r="72" spans="1:52" x14ac:dyDescent="0.25">
      <c r="A72" t="s">
        <v>93</v>
      </c>
      <c r="B72" t="s">
        <v>94</v>
      </c>
      <c r="D72">
        <v>2020</v>
      </c>
      <c r="E72" t="s">
        <v>148</v>
      </c>
      <c r="F72" t="s">
        <v>235</v>
      </c>
      <c r="G72" t="s">
        <v>148</v>
      </c>
      <c r="H72" t="s">
        <v>236</v>
      </c>
      <c r="I72">
        <v>1</v>
      </c>
      <c r="J72">
        <v>0</v>
      </c>
      <c r="K72">
        <v>100</v>
      </c>
      <c r="L72">
        <v>31.536000000000001</v>
      </c>
      <c r="M72">
        <v>4496.5863120087033</v>
      </c>
      <c r="N72">
        <v>4496.5863120087033</v>
      </c>
      <c r="O72">
        <v>4496.5863120087033</v>
      </c>
      <c r="P72">
        <v>4496.5863120087033</v>
      </c>
      <c r="Q72">
        <v>4496.5863120087033</v>
      </c>
      <c r="R72">
        <v>4496.5863120087033</v>
      </c>
      <c r="S72">
        <v>4496.5863120087033</v>
      </c>
      <c r="T72">
        <v>4496.5863120087033</v>
      </c>
      <c r="U72">
        <v>21.100097091380029</v>
      </c>
      <c r="V72">
        <v>21.100097091380029</v>
      </c>
      <c r="W72">
        <v>21.100097091380029</v>
      </c>
      <c r="X72">
        <v>21.100097091380029</v>
      </c>
      <c r="Y72">
        <v>21.100097091380029</v>
      </c>
      <c r="Z72">
        <v>21.100097091380029</v>
      </c>
      <c r="AA72">
        <v>21.100097091380029</v>
      </c>
      <c r="AB72">
        <v>21.100097091380029</v>
      </c>
      <c r="AC72">
        <v>0.1696149283872993</v>
      </c>
      <c r="AD72">
        <v>0.1696149283872993</v>
      </c>
      <c r="AE72">
        <v>0.1696149283872993</v>
      </c>
      <c r="AF72">
        <v>0.1696149283872993</v>
      </c>
      <c r="AG72">
        <v>0.1696149283872993</v>
      </c>
      <c r="AH72">
        <v>0.1696149283872993</v>
      </c>
      <c r="AI72">
        <v>0.1696149283872993</v>
      </c>
      <c r="AJ72">
        <v>0.1696149283872993</v>
      </c>
      <c r="AS72">
        <v>0.33333333333333331</v>
      </c>
      <c r="AT72">
        <v>0.33333333333333331</v>
      </c>
      <c r="AU72">
        <v>0.33333333333333331</v>
      </c>
      <c r="AV72">
        <v>0.33333333333333331</v>
      </c>
      <c r="AW72">
        <v>0.33333333333333331</v>
      </c>
      <c r="AX72">
        <v>0.33333333333333331</v>
      </c>
      <c r="AY72">
        <v>0.33333333333333331</v>
      </c>
      <c r="AZ72">
        <v>0.33333333333333331</v>
      </c>
    </row>
    <row r="73" spans="1:52" x14ac:dyDescent="0.25">
      <c r="A73" t="s">
        <v>93</v>
      </c>
      <c r="B73" t="s">
        <v>94</v>
      </c>
      <c r="D73">
        <v>2020</v>
      </c>
      <c r="E73" t="s">
        <v>148</v>
      </c>
      <c r="F73" t="s">
        <v>237</v>
      </c>
      <c r="G73" t="s">
        <v>148</v>
      </c>
      <c r="H73" t="s">
        <v>238</v>
      </c>
      <c r="I73">
        <v>1</v>
      </c>
      <c r="J73">
        <v>0</v>
      </c>
      <c r="K73">
        <v>100</v>
      </c>
      <c r="L73">
        <v>31.536000000000001</v>
      </c>
      <c r="M73">
        <v>4700.5288106819444</v>
      </c>
      <c r="N73">
        <v>4700.5288106819444</v>
      </c>
      <c r="O73">
        <v>4700.5288106819444</v>
      </c>
      <c r="P73">
        <v>4700.5288106819444</v>
      </c>
      <c r="Q73">
        <v>4700.5288106819444</v>
      </c>
      <c r="R73">
        <v>4700.5288106819444</v>
      </c>
      <c r="S73">
        <v>4700.5288106819444</v>
      </c>
      <c r="T73">
        <v>4700.5288106819444</v>
      </c>
      <c r="U73">
        <v>21.100097091380029</v>
      </c>
      <c r="V73">
        <v>21.100097091380029</v>
      </c>
      <c r="W73">
        <v>21.100097091380029</v>
      </c>
      <c r="X73">
        <v>21.100097091380029</v>
      </c>
      <c r="Y73">
        <v>21.100097091380029</v>
      </c>
      <c r="Z73">
        <v>21.100097091380029</v>
      </c>
      <c r="AA73">
        <v>21.100097091380029</v>
      </c>
      <c r="AB73">
        <v>21.100097091380029</v>
      </c>
      <c r="AC73">
        <v>0.1696149283872993</v>
      </c>
      <c r="AD73">
        <v>0.1696149283872993</v>
      </c>
      <c r="AE73">
        <v>0.1696149283872993</v>
      </c>
      <c r="AF73">
        <v>0.1696149283872993</v>
      </c>
      <c r="AG73">
        <v>0.1696149283872993</v>
      </c>
      <c r="AH73">
        <v>0.1696149283872993</v>
      </c>
      <c r="AI73">
        <v>0.1696149283872993</v>
      </c>
      <c r="AJ73">
        <v>0.1696149283872993</v>
      </c>
      <c r="AS73">
        <v>0.33333333333333331</v>
      </c>
      <c r="AT73">
        <v>0.33333333333333331</v>
      </c>
      <c r="AU73">
        <v>0.33333333333333331</v>
      </c>
      <c r="AV73">
        <v>0.33333333333333331</v>
      </c>
      <c r="AW73">
        <v>0.33333333333333331</v>
      </c>
      <c r="AX73">
        <v>0.33333333333333331</v>
      </c>
      <c r="AY73">
        <v>0.33333333333333331</v>
      </c>
      <c r="AZ73">
        <v>0.33333333333333331</v>
      </c>
    </row>
    <row r="74" spans="1:52" x14ac:dyDescent="0.25">
      <c r="A74" t="s">
        <v>93</v>
      </c>
      <c r="B74" t="s">
        <v>94</v>
      </c>
      <c r="D74">
        <v>2020</v>
      </c>
      <c r="E74" t="s">
        <v>239</v>
      </c>
      <c r="F74" t="s">
        <v>240</v>
      </c>
      <c r="G74" t="s">
        <v>241</v>
      </c>
      <c r="H74" t="s">
        <v>242</v>
      </c>
      <c r="I74">
        <v>1</v>
      </c>
      <c r="J74">
        <v>0</v>
      </c>
      <c r="K74">
        <v>30</v>
      </c>
      <c r="L74">
        <v>31.536000000000001</v>
      </c>
      <c r="M74">
        <v>7714.0905381440816</v>
      </c>
      <c r="N74">
        <v>6685.54513305821</v>
      </c>
      <c r="O74">
        <v>5399.8633767008541</v>
      </c>
      <c r="P74">
        <v>5207.0111132472512</v>
      </c>
      <c r="Q74">
        <v>5014.1588497936491</v>
      </c>
      <c r="R74">
        <v>4821.306586340047</v>
      </c>
      <c r="S74">
        <v>4628.4543228864441</v>
      </c>
      <c r="T74">
        <v>4628.4543228864441</v>
      </c>
      <c r="U74">
        <v>78.13820520946102</v>
      </c>
      <c r="V74">
        <v>69.456182408409788</v>
      </c>
      <c r="W74">
        <v>58.603653907095762</v>
      </c>
      <c r="X74">
        <v>58.603653907095762</v>
      </c>
      <c r="Y74">
        <v>58.603653907095762</v>
      </c>
      <c r="Z74">
        <v>58.603653907095762</v>
      </c>
      <c r="AA74">
        <v>58.603653907095762</v>
      </c>
      <c r="AB74">
        <v>58.603653907095762</v>
      </c>
      <c r="AC74">
        <v>1.151025750139367</v>
      </c>
      <c r="AD74">
        <v>1.0582610423917429</v>
      </c>
      <c r="AE74">
        <v>0.94230515770721801</v>
      </c>
      <c r="AF74">
        <v>0.94230515770721801</v>
      </c>
      <c r="AG74">
        <v>0.94230515770721801</v>
      </c>
      <c r="AH74">
        <v>0.94230515770721801</v>
      </c>
      <c r="AI74">
        <v>0.94230515770721801</v>
      </c>
      <c r="AJ74">
        <v>0.94230515770721801</v>
      </c>
      <c r="AS74">
        <v>0.66600000000000004</v>
      </c>
      <c r="AT74">
        <v>0.66600000000000004</v>
      </c>
      <c r="AU74">
        <v>0.66600000000000004</v>
      </c>
      <c r="AV74">
        <v>0.66600000000000004</v>
      </c>
      <c r="AW74">
        <v>0.66600000000000004</v>
      </c>
      <c r="AX74">
        <v>0.66600000000000004</v>
      </c>
      <c r="AY74">
        <v>0.66600000000000004</v>
      </c>
      <c r="AZ74">
        <v>0.66600000000000004</v>
      </c>
    </row>
    <row r="75" spans="1:52" x14ac:dyDescent="0.25">
      <c r="A75" t="s">
        <v>93</v>
      </c>
      <c r="B75" t="s">
        <v>94</v>
      </c>
      <c r="D75">
        <v>2020</v>
      </c>
      <c r="E75" t="s">
        <v>239</v>
      </c>
      <c r="F75" t="s">
        <v>243</v>
      </c>
      <c r="G75" t="s">
        <v>241</v>
      </c>
      <c r="H75" t="s">
        <v>244</v>
      </c>
      <c r="I75">
        <v>1</v>
      </c>
      <c r="J75">
        <v>0</v>
      </c>
      <c r="K75">
        <v>30</v>
      </c>
      <c r="L75">
        <v>31.536000000000001</v>
      </c>
      <c r="M75">
        <v>7714.0905381440816</v>
      </c>
      <c r="N75">
        <v>6685.54513305821</v>
      </c>
      <c r="O75">
        <v>5399.8633767008541</v>
      </c>
      <c r="P75">
        <v>5207.0111132472512</v>
      </c>
      <c r="Q75">
        <v>5014.1588497936491</v>
      </c>
      <c r="R75">
        <v>4821.306586340047</v>
      </c>
      <c r="S75">
        <v>4628.4543228864441</v>
      </c>
      <c r="T75">
        <v>4628.4543228864441</v>
      </c>
      <c r="U75">
        <v>78.13820520946102</v>
      </c>
      <c r="V75">
        <v>69.456182408409788</v>
      </c>
      <c r="W75">
        <v>58.603653907095762</v>
      </c>
      <c r="X75">
        <v>58.603653907095762</v>
      </c>
      <c r="Y75">
        <v>58.603653907095762</v>
      </c>
      <c r="Z75">
        <v>58.603653907095762</v>
      </c>
      <c r="AA75">
        <v>58.603653907095762</v>
      </c>
      <c r="AB75">
        <v>58.603653907095762</v>
      </c>
      <c r="AC75">
        <v>1.151025750139367</v>
      </c>
      <c r="AD75">
        <v>1.0582610423917429</v>
      </c>
      <c r="AE75">
        <v>0.94230515770721801</v>
      </c>
      <c r="AF75">
        <v>0.94230515770721801</v>
      </c>
      <c r="AG75">
        <v>0.94230515770721801</v>
      </c>
      <c r="AH75">
        <v>0.94230515770721801</v>
      </c>
      <c r="AI75">
        <v>0.94230515770721801</v>
      </c>
      <c r="AJ75">
        <v>0.94230515770721801</v>
      </c>
      <c r="AS75">
        <v>0.64700000000000002</v>
      </c>
      <c r="AT75">
        <v>0.64700000000000002</v>
      </c>
      <c r="AU75">
        <v>0.64700000000000002</v>
      </c>
      <c r="AV75">
        <v>0.64700000000000002</v>
      </c>
      <c r="AW75">
        <v>0.64700000000000002</v>
      </c>
      <c r="AX75">
        <v>0.64700000000000002</v>
      </c>
      <c r="AY75">
        <v>0.64700000000000002</v>
      </c>
      <c r="AZ75">
        <v>0.64700000000000002</v>
      </c>
    </row>
    <row r="76" spans="1:52" x14ac:dyDescent="0.25">
      <c r="A76" t="s">
        <v>93</v>
      </c>
      <c r="B76" t="s">
        <v>94</v>
      </c>
      <c r="D76">
        <v>2020</v>
      </c>
      <c r="E76" t="s">
        <v>239</v>
      </c>
      <c r="F76" t="s">
        <v>245</v>
      </c>
      <c r="G76" t="s">
        <v>241</v>
      </c>
      <c r="H76" t="s">
        <v>246</v>
      </c>
      <c r="I76">
        <v>1</v>
      </c>
      <c r="J76">
        <v>0</v>
      </c>
      <c r="K76">
        <v>30</v>
      </c>
      <c r="L76">
        <v>31.536000000000001</v>
      </c>
      <c r="M76">
        <v>7714.0905381440816</v>
      </c>
      <c r="N76">
        <v>6685.54513305821</v>
      </c>
      <c r="O76">
        <v>5399.8633767008541</v>
      </c>
      <c r="P76">
        <v>5207.0111132472512</v>
      </c>
      <c r="Q76">
        <v>5014.1588497936491</v>
      </c>
      <c r="R76">
        <v>4821.306586340047</v>
      </c>
      <c r="S76">
        <v>4628.4543228864441</v>
      </c>
      <c r="T76">
        <v>4628.4543228864441</v>
      </c>
      <c r="U76">
        <v>78.13820520946102</v>
      </c>
      <c r="V76">
        <v>69.456182408409788</v>
      </c>
      <c r="W76">
        <v>58.603653907095762</v>
      </c>
      <c r="X76">
        <v>58.603653907095762</v>
      </c>
      <c r="Y76">
        <v>58.603653907095762</v>
      </c>
      <c r="Z76">
        <v>58.603653907095762</v>
      </c>
      <c r="AA76">
        <v>58.603653907095762</v>
      </c>
      <c r="AB76">
        <v>58.603653907095762</v>
      </c>
      <c r="AC76">
        <v>1.151025750139367</v>
      </c>
      <c r="AD76">
        <v>1.0582610423917429</v>
      </c>
      <c r="AE76">
        <v>0.94230515770721801</v>
      </c>
      <c r="AF76">
        <v>0.94230515770721801</v>
      </c>
      <c r="AG76">
        <v>0.94230515770721801</v>
      </c>
      <c r="AH76">
        <v>0.94230515770721801</v>
      </c>
      <c r="AI76">
        <v>0.94230515770721801</v>
      </c>
      <c r="AJ76">
        <v>0.94230515770721801</v>
      </c>
      <c r="AS76">
        <v>0.51400000000000001</v>
      </c>
      <c r="AT76">
        <v>0.51400000000000001</v>
      </c>
      <c r="AU76">
        <v>0.51400000000000001</v>
      </c>
      <c r="AV76">
        <v>0.51400000000000001</v>
      </c>
      <c r="AW76">
        <v>0.51400000000000001</v>
      </c>
      <c r="AX76">
        <v>0.51400000000000001</v>
      </c>
      <c r="AY76">
        <v>0.51400000000000001</v>
      </c>
      <c r="AZ76">
        <v>0.51400000000000001</v>
      </c>
    </row>
    <row r="77" spans="1:52" x14ac:dyDescent="0.25">
      <c r="A77" t="s">
        <v>93</v>
      </c>
      <c r="B77" t="s">
        <v>94</v>
      </c>
      <c r="D77">
        <v>2020</v>
      </c>
      <c r="E77" t="s">
        <v>107</v>
      </c>
      <c r="F77" t="s">
        <v>247</v>
      </c>
      <c r="G77" t="s">
        <v>248</v>
      </c>
      <c r="H77" t="s">
        <v>249</v>
      </c>
      <c r="I77">
        <v>1</v>
      </c>
      <c r="J77">
        <v>0</v>
      </c>
      <c r="K77">
        <v>30</v>
      </c>
      <c r="L77">
        <v>31.536000000000001</v>
      </c>
      <c r="M77">
        <v>1451.7715269242919</v>
      </c>
      <c r="N77">
        <v>1350.939266311296</v>
      </c>
      <c r="O77">
        <v>1224.898940545065</v>
      </c>
      <c r="P77">
        <v>1164.5945372747431</v>
      </c>
      <c r="Q77">
        <v>1104.290134004433</v>
      </c>
      <c r="R77">
        <v>1043.985730734111</v>
      </c>
      <c r="S77">
        <v>983.68132746379092</v>
      </c>
      <c r="T77">
        <v>983.68132746379092</v>
      </c>
      <c r="U77">
        <v>34.26221553423445</v>
      </c>
      <c r="V77">
        <v>32.603758456669702</v>
      </c>
      <c r="W77">
        <v>30.53068710971386</v>
      </c>
      <c r="X77">
        <v>29.484728384658851</v>
      </c>
      <c r="Y77">
        <v>28.438769659603839</v>
      </c>
      <c r="Z77">
        <v>27.39281093454883</v>
      </c>
      <c r="AA77">
        <v>26.346852209493811</v>
      </c>
      <c r="AB77">
        <v>26.346852209493811</v>
      </c>
      <c r="AS77">
        <v>0.49814999999999998</v>
      </c>
      <c r="AT77">
        <v>0.51345666666666601</v>
      </c>
      <c r="AU77">
        <v>0.53259000000000001</v>
      </c>
      <c r="AV77">
        <v>0.53474250000000001</v>
      </c>
      <c r="AW77">
        <v>0.53689500000000001</v>
      </c>
      <c r="AX77">
        <v>0.53904750000000001</v>
      </c>
      <c r="AY77">
        <v>0.54120000000000001</v>
      </c>
      <c r="AZ77">
        <v>0.54120000000000001</v>
      </c>
    </row>
    <row r="78" spans="1:52" x14ac:dyDescent="0.25">
      <c r="A78" t="s">
        <v>93</v>
      </c>
      <c r="B78" t="s">
        <v>94</v>
      </c>
      <c r="D78">
        <v>2020</v>
      </c>
      <c r="E78" t="s">
        <v>107</v>
      </c>
      <c r="F78" t="s">
        <v>250</v>
      </c>
      <c r="G78" t="s">
        <v>248</v>
      </c>
      <c r="H78" t="s">
        <v>251</v>
      </c>
      <c r="I78">
        <v>1</v>
      </c>
      <c r="J78">
        <v>0</v>
      </c>
      <c r="K78">
        <v>30</v>
      </c>
      <c r="L78">
        <v>31.536000000000001</v>
      </c>
      <c r="M78">
        <v>1451.7715269242919</v>
      </c>
      <c r="N78">
        <v>1350.939266311296</v>
      </c>
      <c r="O78">
        <v>1224.898940545065</v>
      </c>
      <c r="P78">
        <v>1164.5945372747431</v>
      </c>
      <c r="Q78">
        <v>1104.290134004433</v>
      </c>
      <c r="R78">
        <v>1043.985730734111</v>
      </c>
      <c r="S78">
        <v>983.68132746379092</v>
      </c>
      <c r="T78">
        <v>983.68132746379092</v>
      </c>
      <c r="U78">
        <v>34.26221553423445</v>
      </c>
      <c r="V78">
        <v>32.603758456669702</v>
      </c>
      <c r="W78">
        <v>30.53068710971386</v>
      </c>
      <c r="X78">
        <v>29.484728384658851</v>
      </c>
      <c r="Y78">
        <v>28.438769659603839</v>
      </c>
      <c r="Z78">
        <v>27.39281093454883</v>
      </c>
      <c r="AA78">
        <v>26.346852209493811</v>
      </c>
      <c r="AB78">
        <v>26.346852209493811</v>
      </c>
      <c r="AS78">
        <v>0.46737000000000001</v>
      </c>
      <c r="AT78">
        <v>0.48173088888888799</v>
      </c>
      <c r="AU78">
        <v>0.49968199999999902</v>
      </c>
      <c r="AV78">
        <v>0.50170149999999902</v>
      </c>
      <c r="AW78">
        <v>0.50372099999999997</v>
      </c>
      <c r="AX78">
        <v>0.50574050000000004</v>
      </c>
      <c r="AY78">
        <v>0.50775999999999999</v>
      </c>
      <c r="AZ78">
        <v>0.50775999999999999</v>
      </c>
    </row>
    <row r="79" spans="1:52" x14ac:dyDescent="0.25">
      <c r="A79" t="s">
        <v>93</v>
      </c>
      <c r="B79" t="s">
        <v>94</v>
      </c>
      <c r="D79">
        <v>2020</v>
      </c>
      <c r="E79" t="s">
        <v>107</v>
      </c>
      <c r="F79" t="s">
        <v>252</v>
      </c>
      <c r="G79" t="s">
        <v>248</v>
      </c>
      <c r="H79" t="s">
        <v>253</v>
      </c>
      <c r="I79">
        <v>1</v>
      </c>
      <c r="J79">
        <v>0</v>
      </c>
      <c r="K79">
        <v>30</v>
      </c>
      <c r="L79">
        <v>31.536000000000001</v>
      </c>
      <c r="M79">
        <v>1451.7715269242919</v>
      </c>
      <c r="N79">
        <v>1350.939266311296</v>
      </c>
      <c r="O79">
        <v>1224.898940545065</v>
      </c>
      <c r="P79">
        <v>1164.5945372747431</v>
      </c>
      <c r="Q79">
        <v>1104.290134004433</v>
      </c>
      <c r="R79">
        <v>1043.985730734111</v>
      </c>
      <c r="S79">
        <v>983.68132746379092</v>
      </c>
      <c r="T79">
        <v>983.68132746379092</v>
      </c>
      <c r="U79">
        <v>34.26221553423445</v>
      </c>
      <c r="V79">
        <v>32.603758456669702</v>
      </c>
      <c r="W79">
        <v>30.53068710971386</v>
      </c>
      <c r="X79">
        <v>29.484728384658851</v>
      </c>
      <c r="Y79">
        <v>28.438769659603839</v>
      </c>
      <c r="Z79">
        <v>27.39281093454883</v>
      </c>
      <c r="AA79">
        <v>26.346852209493811</v>
      </c>
      <c r="AB79">
        <v>26.346852209493811</v>
      </c>
      <c r="AS79">
        <v>0.45683999999999902</v>
      </c>
      <c r="AT79">
        <v>0.47087733333333298</v>
      </c>
      <c r="AU79">
        <v>0.48842399999999903</v>
      </c>
      <c r="AV79">
        <v>0.490397999999999</v>
      </c>
      <c r="AW79">
        <v>0.49237199999999998</v>
      </c>
      <c r="AX79">
        <v>0.49434600000000001</v>
      </c>
      <c r="AY79">
        <v>0.49631999999999898</v>
      </c>
      <c r="AZ79">
        <v>0.49631999999999898</v>
      </c>
    </row>
    <row r="80" spans="1:52" x14ac:dyDescent="0.25">
      <c r="A80" t="s">
        <v>93</v>
      </c>
      <c r="B80" t="s">
        <v>94</v>
      </c>
      <c r="D80">
        <v>2020</v>
      </c>
      <c r="E80" t="s">
        <v>107</v>
      </c>
      <c r="F80" t="s">
        <v>254</v>
      </c>
      <c r="G80" t="s">
        <v>248</v>
      </c>
      <c r="H80" t="s">
        <v>255</v>
      </c>
      <c r="I80">
        <v>1</v>
      </c>
      <c r="J80">
        <v>0</v>
      </c>
      <c r="K80">
        <v>30</v>
      </c>
      <c r="L80">
        <v>31.536000000000001</v>
      </c>
      <c r="M80">
        <v>1451.7715269242919</v>
      </c>
      <c r="N80">
        <v>1350.939266311296</v>
      </c>
      <c r="O80">
        <v>1224.898940545065</v>
      </c>
      <c r="P80">
        <v>1164.5945372747431</v>
      </c>
      <c r="Q80">
        <v>1104.290134004433</v>
      </c>
      <c r="R80">
        <v>1043.985730734111</v>
      </c>
      <c r="S80">
        <v>983.68132746379092</v>
      </c>
      <c r="T80">
        <v>983.68132746379092</v>
      </c>
      <c r="U80">
        <v>34.26221553423445</v>
      </c>
      <c r="V80">
        <v>32.603758456669702</v>
      </c>
      <c r="W80">
        <v>30.53068710971386</v>
      </c>
      <c r="X80">
        <v>29.484728384658851</v>
      </c>
      <c r="Y80">
        <v>28.438769659603839</v>
      </c>
      <c r="Z80">
        <v>27.39281093454883</v>
      </c>
      <c r="AA80">
        <v>26.346852209493811</v>
      </c>
      <c r="AB80">
        <v>26.346852209493811</v>
      </c>
      <c r="AS80">
        <v>0.44468999999999997</v>
      </c>
      <c r="AT80">
        <v>0.45835399999999998</v>
      </c>
      <c r="AU80">
        <v>0.47543400000000002</v>
      </c>
      <c r="AV80">
        <v>0.47735549999999999</v>
      </c>
      <c r="AW80">
        <v>0.47927700000000001</v>
      </c>
      <c r="AX80">
        <v>0.48119849999999997</v>
      </c>
      <c r="AY80">
        <v>0.48311999999999999</v>
      </c>
      <c r="AZ80">
        <v>0.48311999999999999</v>
      </c>
    </row>
    <row r="81" spans="1:52" x14ac:dyDescent="0.25">
      <c r="A81" t="s">
        <v>93</v>
      </c>
      <c r="B81" t="s">
        <v>94</v>
      </c>
      <c r="D81">
        <v>2020</v>
      </c>
      <c r="E81" t="s">
        <v>107</v>
      </c>
      <c r="F81" t="s">
        <v>256</v>
      </c>
      <c r="G81" t="s">
        <v>248</v>
      </c>
      <c r="H81" t="s">
        <v>257</v>
      </c>
      <c r="I81">
        <v>1</v>
      </c>
      <c r="J81">
        <v>0</v>
      </c>
      <c r="K81">
        <v>30</v>
      </c>
      <c r="L81">
        <v>31.536000000000001</v>
      </c>
      <c r="M81">
        <v>1451.7715269242919</v>
      </c>
      <c r="N81">
        <v>1350.939266311296</v>
      </c>
      <c r="O81">
        <v>1224.898940545065</v>
      </c>
      <c r="P81">
        <v>1164.5945372747431</v>
      </c>
      <c r="Q81">
        <v>1104.290134004433</v>
      </c>
      <c r="R81">
        <v>1043.985730734111</v>
      </c>
      <c r="S81">
        <v>983.68132746379092</v>
      </c>
      <c r="T81">
        <v>983.68132746379092</v>
      </c>
      <c r="U81">
        <v>34.26221553423445</v>
      </c>
      <c r="V81">
        <v>32.603758456669702</v>
      </c>
      <c r="W81">
        <v>30.53068710971386</v>
      </c>
      <c r="X81">
        <v>29.484728384658851</v>
      </c>
      <c r="Y81">
        <v>28.438769659603839</v>
      </c>
      <c r="Z81">
        <v>27.39281093454883</v>
      </c>
      <c r="AA81">
        <v>26.346852209493811</v>
      </c>
      <c r="AB81">
        <v>26.346852209493811</v>
      </c>
      <c r="AS81">
        <v>0.43010999999999999</v>
      </c>
      <c r="AT81">
        <v>0.443326</v>
      </c>
      <c r="AU81">
        <v>0.45984599999999998</v>
      </c>
      <c r="AV81">
        <v>0.46170450000000002</v>
      </c>
      <c r="AW81">
        <v>0.463563</v>
      </c>
      <c r="AX81">
        <v>0.46542149999999999</v>
      </c>
      <c r="AY81">
        <v>0.46727999999999997</v>
      </c>
      <c r="AZ81">
        <v>0.46727999999999997</v>
      </c>
    </row>
    <row r="82" spans="1:52" x14ac:dyDescent="0.25">
      <c r="A82" t="s">
        <v>93</v>
      </c>
      <c r="B82" t="s">
        <v>94</v>
      </c>
      <c r="D82">
        <v>2020</v>
      </c>
      <c r="E82" t="s">
        <v>107</v>
      </c>
      <c r="F82" t="s">
        <v>258</v>
      </c>
      <c r="G82" t="s">
        <v>248</v>
      </c>
      <c r="H82" t="s">
        <v>259</v>
      </c>
      <c r="I82">
        <v>1</v>
      </c>
      <c r="J82">
        <v>0</v>
      </c>
      <c r="K82">
        <v>30</v>
      </c>
      <c r="L82">
        <v>31.536000000000001</v>
      </c>
      <c r="M82">
        <v>1451.7715269242919</v>
      </c>
      <c r="N82">
        <v>1350.939266311296</v>
      </c>
      <c r="O82">
        <v>1224.898940545065</v>
      </c>
      <c r="P82">
        <v>1164.5945372747431</v>
      </c>
      <c r="Q82">
        <v>1104.290134004433</v>
      </c>
      <c r="R82">
        <v>1043.985730734111</v>
      </c>
      <c r="S82">
        <v>983.68132746379092</v>
      </c>
      <c r="T82">
        <v>983.68132746379092</v>
      </c>
      <c r="U82">
        <v>34.26221553423445</v>
      </c>
      <c r="V82">
        <v>32.603758456669702</v>
      </c>
      <c r="W82">
        <v>30.53068710971386</v>
      </c>
      <c r="X82">
        <v>29.484728384658851</v>
      </c>
      <c r="Y82">
        <v>28.438769659603839</v>
      </c>
      <c r="Z82">
        <v>27.39281093454883</v>
      </c>
      <c r="AA82">
        <v>26.346852209493811</v>
      </c>
      <c r="AB82">
        <v>26.346852209493811</v>
      </c>
      <c r="AS82">
        <v>0.40743000000000001</v>
      </c>
      <c r="AT82">
        <v>0.419949111111111</v>
      </c>
      <c r="AU82">
        <v>0.43559799999999999</v>
      </c>
      <c r="AV82">
        <v>0.43735849999999998</v>
      </c>
      <c r="AW82">
        <v>0.43911899999999998</v>
      </c>
      <c r="AX82">
        <v>0.44087949999999998</v>
      </c>
      <c r="AY82">
        <v>0.44263999999999998</v>
      </c>
      <c r="AZ82">
        <v>0.44263999999999998</v>
      </c>
    </row>
    <row r="83" spans="1:52" x14ac:dyDescent="0.25">
      <c r="A83" t="s">
        <v>93</v>
      </c>
      <c r="B83" t="s">
        <v>94</v>
      </c>
      <c r="D83">
        <v>2020</v>
      </c>
      <c r="E83" t="s">
        <v>107</v>
      </c>
      <c r="F83" t="s">
        <v>260</v>
      </c>
      <c r="G83" t="s">
        <v>248</v>
      </c>
      <c r="H83" t="s">
        <v>261</v>
      </c>
      <c r="I83">
        <v>1</v>
      </c>
      <c r="J83">
        <v>0</v>
      </c>
      <c r="K83">
        <v>30</v>
      </c>
      <c r="L83">
        <v>31.536000000000001</v>
      </c>
      <c r="M83">
        <v>1451.7715269242919</v>
      </c>
      <c r="N83">
        <v>1350.939266311296</v>
      </c>
      <c r="O83">
        <v>1224.898940545065</v>
      </c>
      <c r="P83">
        <v>1164.5945372747431</v>
      </c>
      <c r="Q83">
        <v>1104.290134004433</v>
      </c>
      <c r="R83">
        <v>1043.985730734111</v>
      </c>
      <c r="S83">
        <v>983.68132746379092</v>
      </c>
      <c r="T83">
        <v>983.68132746379092</v>
      </c>
      <c r="U83">
        <v>34.26221553423445</v>
      </c>
      <c r="V83">
        <v>32.603758456669702</v>
      </c>
      <c r="W83">
        <v>30.53068710971386</v>
      </c>
      <c r="X83">
        <v>29.484728384658851</v>
      </c>
      <c r="Y83">
        <v>28.438769659603839</v>
      </c>
      <c r="Z83">
        <v>27.39281093454883</v>
      </c>
      <c r="AA83">
        <v>26.346852209493811</v>
      </c>
      <c r="AB83">
        <v>26.346852209493811</v>
      </c>
      <c r="AS83">
        <v>0.37584000000000001</v>
      </c>
      <c r="AT83">
        <v>0.38738844444444398</v>
      </c>
      <c r="AU83">
        <v>0.40182400000000001</v>
      </c>
      <c r="AV83">
        <v>0.40344799999999997</v>
      </c>
      <c r="AW83">
        <v>0.40507199999999999</v>
      </c>
      <c r="AX83">
        <v>0.406696</v>
      </c>
      <c r="AY83">
        <v>0.40832000000000002</v>
      </c>
      <c r="AZ83">
        <v>0.40832000000000002</v>
      </c>
    </row>
    <row r="84" spans="1:52" x14ac:dyDescent="0.25">
      <c r="A84" t="s">
        <v>93</v>
      </c>
      <c r="B84" t="s">
        <v>94</v>
      </c>
      <c r="D84">
        <v>2020</v>
      </c>
      <c r="E84" t="s">
        <v>107</v>
      </c>
      <c r="F84" t="s">
        <v>262</v>
      </c>
      <c r="G84" t="s">
        <v>248</v>
      </c>
      <c r="H84" t="s">
        <v>263</v>
      </c>
      <c r="I84">
        <v>1</v>
      </c>
      <c r="J84">
        <v>0</v>
      </c>
      <c r="K84">
        <v>30</v>
      </c>
      <c r="L84">
        <v>31.536000000000001</v>
      </c>
      <c r="M84">
        <v>1585.9778456274889</v>
      </c>
      <c r="N84">
        <v>1451.061440581944</v>
      </c>
      <c r="O84">
        <v>1282.4159342750129</v>
      </c>
      <c r="P84">
        <v>1219.700470198158</v>
      </c>
      <c r="Q84">
        <v>1156.985006121314</v>
      </c>
      <c r="R84">
        <v>1094.269542044465</v>
      </c>
      <c r="S84">
        <v>1031.5540779676139</v>
      </c>
      <c r="T84">
        <v>1031.5540779676139</v>
      </c>
      <c r="U84">
        <v>32.226836393586858</v>
      </c>
      <c r="V84">
        <v>30.26684166555577</v>
      </c>
      <c r="W84">
        <v>27.81684825551708</v>
      </c>
      <c r="X84">
        <v>26.883966149386929</v>
      </c>
      <c r="Y84">
        <v>25.951084043256781</v>
      </c>
      <c r="Z84">
        <v>25.018201937126641</v>
      </c>
      <c r="AA84">
        <v>24.08531983099649</v>
      </c>
      <c r="AB84">
        <v>24.08531983099649</v>
      </c>
      <c r="AS84">
        <v>0.33939000000000002</v>
      </c>
      <c r="AT84">
        <v>0.34981844444444399</v>
      </c>
      <c r="AU84">
        <v>0.36285400000000001</v>
      </c>
      <c r="AV84">
        <v>0.36432049999999899</v>
      </c>
      <c r="AW84">
        <v>0.36578699999999997</v>
      </c>
      <c r="AX84">
        <v>0.36725350000000001</v>
      </c>
      <c r="AY84">
        <v>0.36871999999999999</v>
      </c>
      <c r="AZ84">
        <v>0.36871999999999999</v>
      </c>
    </row>
    <row r="85" spans="1:52" x14ac:dyDescent="0.25">
      <c r="A85" t="s">
        <v>93</v>
      </c>
      <c r="B85" t="s">
        <v>94</v>
      </c>
      <c r="D85">
        <v>2020</v>
      </c>
      <c r="E85" t="s">
        <v>107</v>
      </c>
      <c r="F85" t="s">
        <v>264</v>
      </c>
      <c r="G85" t="s">
        <v>248</v>
      </c>
      <c r="H85" t="s">
        <v>265</v>
      </c>
      <c r="I85">
        <v>1</v>
      </c>
      <c r="J85">
        <v>0</v>
      </c>
      <c r="K85">
        <v>30</v>
      </c>
      <c r="L85">
        <v>31.536000000000001</v>
      </c>
      <c r="M85">
        <v>1508.223391140707</v>
      </c>
      <c r="N85">
        <v>1435.7945842215231</v>
      </c>
      <c r="O85">
        <v>1345.2585755725361</v>
      </c>
      <c r="P85">
        <v>1281.5797555124741</v>
      </c>
      <c r="Q85">
        <v>1217.9009354524001</v>
      </c>
      <c r="R85">
        <v>1154.222115392326</v>
      </c>
      <c r="S85">
        <v>1090.543295332257</v>
      </c>
      <c r="T85">
        <v>1090.543295332257</v>
      </c>
      <c r="U85">
        <v>43.4214216671486</v>
      </c>
      <c r="V85">
        <v>41.762964589583873</v>
      </c>
      <c r="W85">
        <v>39.689893242628017</v>
      </c>
      <c r="X85">
        <v>38.13508973241111</v>
      </c>
      <c r="Y85">
        <v>36.580286222194196</v>
      </c>
      <c r="Z85">
        <v>35.025482711977297</v>
      </c>
      <c r="AA85">
        <v>33.470679201760383</v>
      </c>
      <c r="AB85">
        <v>33.470679201760383</v>
      </c>
      <c r="AS85">
        <v>0.32805000000000001</v>
      </c>
      <c r="AT85">
        <v>0.33812999999999999</v>
      </c>
      <c r="AU85">
        <v>0.35072999999999999</v>
      </c>
      <c r="AV85">
        <v>0.3521475</v>
      </c>
      <c r="AW85">
        <v>0.35356500000000002</v>
      </c>
      <c r="AX85">
        <v>0.35498249999999998</v>
      </c>
      <c r="AY85">
        <v>0.35639999999999999</v>
      </c>
      <c r="AZ85">
        <v>0.35639999999999999</v>
      </c>
    </row>
    <row r="86" spans="1:52" x14ac:dyDescent="0.25">
      <c r="A86" t="s">
        <v>93</v>
      </c>
      <c r="B86" t="s">
        <v>94</v>
      </c>
      <c r="D86">
        <v>2020</v>
      </c>
      <c r="E86" t="s">
        <v>107</v>
      </c>
      <c r="F86" t="s">
        <v>266</v>
      </c>
      <c r="G86" t="s">
        <v>248</v>
      </c>
      <c r="H86" t="s">
        <v>267</v>
      </c>
      <c r="I86">
        <v>1</v>
      </c>
      <c r="J86">
        <v>0</v>
      </c>
      <c r="K86">
        <v>30</v>
      </c>
      <c r="L86">
        <v>31.536000000000001</v>
      </c>
      <c r="M86">
        <v>2088.718976007729</v>
      </c>
      <c r="N86">
        <v>1887.5278456766471</v>
      </c>
      <c r="O86">
        <v>1636.0389327628079</v>
      </c>
      <c r="P86">
        <v>1557.487355212271</v>
      </c>
      <c r="Q86">
        <v>1478.935777661723</v>
      </c>
      <c r="R86">
        <v>1400.3842001111859</v>
      </c>
      <c r="S86">
        <v>1321.83262256065</v>
      </c>
      <c r="T86">
        <v>1321.83262256065</v>
      </c>
      <c r="U86">
        <v>34.26221553423445</v>
      </c>
      <c r="V86">
        <v>32.603758456669702</v>
      </c>
      <c r="W86">
        <v>30.53068710971386</v>
      </c>
      <c r="X86">
        <v>29.484728384658851</v>
      </c>
      <c r="Y86">
        <v>28.438769659603839</v>
      </c>
      <c r="Z86">
        <v>27.39281093454883</v>
      </c>
      <c r="AA86">
        <v>26.346852209493811</v>
      </c>
      <c r="AB86">
        <v>26.346852209493811</v>
      </c>
      <c r="AS86">
        <v>0.25839000000000001</v>
      </c>
      <c r="AT86">
        <v>0.26632955555555499</v>
      </c>
      <c r="AU86">
        <v>0.276254</v>
      </c>
      <c r="AV86">
        <v>0.27737050000000002</v>
      </c>
      <c r="AW86">
        <v>0.27848699999999998</v>
      </c>
      <c r="AX86">
        <v>0.2796035</v>
      </c>
      <c r="AY86">
        <v>0.28072000000000003</v>
      </c>
      <c r="AZ86">
        <v>0.28072000000000003</v>
      </c>
    </row>
    <row r="87" spans="1:52" x14ac:dyDescent="0.25">
      <c r="A87" t="s">
        <v>93</v>
      </c>
      <c r="B87" t="s">
        <v>94</v>
      </c>
      <c r="D87">
        <v>2020</v>
      </c>
      <c r="E87" t="s">
        <v>107</v>
      </c>
      <c r="F87" t="s">
        <v>268</v>
      </c>
      <c r="G87" t="s">
        <v>248</v>
      </c>
      <c r="H87" t="s">
        <v>269</v>
      </c>
      <c r="I87">
        <v>1</v>
      </c>
      <c r="J87">
        <v>0</v>
      </c>
      <c r="K87">
        <v>30</v>
      </c>
      <c r="L87">
        <v>31.536000000000001</v>
      </c>
      <c r="M87">
        <v>2535.3822739430389</v>
      </c>
      <c r="N87">
        <v>2211.5100009760808</v>
      </c>
      <c r="O87">
        <v>2032.820410067746</v>
      </c>
      <c r="P87">
        <v>1922.360313828033</v>
      </c>
      <c r="Q87">
        <v>1842.193915328324</v>
      </c>
      <c r="R87">
        <v>1779.2320041756061</v>
      </c>
      <c r="S87">
        <v>1727.379216318732</v>
      </c>
      <c r="T87">
        <v>1727.379216318732</v>
      </c>
      <c r="U87">
        <v>121.32756141100521</v>
      </c>
      <c r="V87">
        <v>107.77056065445031</v>
      </c>
      <c r="W87">
        <v>98.274698865690254</v>
      </c>
      <c r="X87">
        <v>91.909886524784099</v>
      </c>
      <c r="Y87">
        <v>87.115630063526794</v>
      </c>
      <c r="Z87">
        <v>83.268248608751719</v>
      </c>
      <c r="AA87">
        <v>80.054708031610872</v>
      </c>
      <c r="AB87">
        <v>80.054708031610872</v>
      </c>
      <c r="AS87">
        <v>0.46351979389887199</v>
      </c>
      <c r="AT87">
        <v>0.48634191413783001</v>
      </c>
      <c r="AU87">
        <v>0.50892215698769505</v>
      </c>
      <c r="AV87">
        <v>0.51900298317400195</v>
      </c>
      <c r="AW87">
        <v>0.52783008481778104</v>
      </c>
      <c r="AX87">
        <v>0.53590132641881005</v>
      </c>
      <c r="AY87">
        <v>0.543466593113346</v>
      </c>
      <c r="AZ87">
        <v>0.543466593113346</v>
      </c>
    </row>
    <row r="88" spans="1:52" x14ac:dyDescent="0.25">
      <c r="A88" t="s">
        <v>93</v>
      </c>
      <c r="B88" t="s">
        <v>94</v>
      </c>
      <c r="D88">
        <v>2020</v>
      </c>
      <c r="E88" t="s">
        <v>107</v>
      </c>
      <c r="F88" t="s">
        <v>270</v>
      </c>
      <c r="G88" t="s">
        <v>248</v>
      </c>
      <c r="H88" t="s">
        <v>271</v>
      </c>
      <c r="I88">
        <v>1</v>
      </c>
      <c r="J88">
        <v>0</v>
      </c>
      <c r="K88">
        <v>30</v>
      </c>
      <c r="L88">
        <v>31.536000000000001</v>
      </c>
      <c r="M88">
        <v>2543.1481490892311</v>
      </c>
      <c r="N88">
        <v>2218.2838554471159</v>
      </c>
      <c r="O88">
        <v>2039.0469383753241</v>
      </c>
      <c r="P88">
        <v>1928.2485028938861</v>
      </c>
      <c r="Q88">
        <v>1847.8365547395699</v>
      </c>
      <c r="R88">
        <v>1784.6817912718391</v>
      </c>
      <c r="S88">
        <v>1732.670178341278</v>
      </c>
      <c r="T88">
        <v>1732.670178341278</v>
      </c>
      <c r="U88">
        <v>123.9359597794667</v>
      </c>
      <c r="V88">
        <v>110.0874996195957</v>
      </c>
      <c r="W88">
        <v>100.3874880885275</v>
      </c>
      <c r="X88">
        <v>93.885839847084853</v>
      </c>
      <c r="Y88">
        <v>88.988512570044975</v>
      </c>
      <c r="Z88">
        <v>85.05841698673423</v>
      </c>
      <c r="AA88">
        <v>81.775789106585648</v>
      </c>
      <c r="AB88">
        <v>81.775789106585648</v>
      </c>
      <c r="AS88">
        <v>0.45177936049670497</v>
      </c>
      <c r="AT88">
        <v>0.47432558297053101</v>
      </c>
      <c r="AU88">
        <v>0.49671257606755098</v>
      </c>
      <c r="AV88">
        <v>0.50666387231343302</v>
      </c>
      <c r="AW88">
        <v>0.515393406311766</v>
      </c>
      <c r="AX88">
        <v>0.52338635006771494</v>
      </c>
      <c r="AY88">
        <v>0.53088621817746695</v>
      </c>
      <c r="AZ88">
        <v>0.53088621817746695</v>
      </c>
    </row>
    <row r="89" spans="1:52" x14ac:dyDescent="0.25">
      <c r="A89" t="s">
        <v>93</v>
      </c>
      <c r="B89" t="s">
        <v>94</v>
      </c>
      <c r="D89">
        <v>2020</v>
      </c>
      <c r="E89" t="s">
        <v>107</v>
      </c>
      <c r="F89" t="s">
        <v>272</v>
      </c>
      <c r="G89" t="s">
        <v>248</v>
      </c>
      <c r="H89" t="s">
        <v>273</v>
      </c>
      <c r="I89">
        <v>1</v>
      </c>
      <c r="J89">
        <v>0</v>
      </c>
      <c r="K89">
        <v>30</v>
      </c>
      <c r="L89">
        <v>31.536000000000001</v>
      </c>
      <c r="M89">
        <v>2675.426906594575</v>
      </c>
      <c r="N89">
        <v>2333.6651918815678</v>
      </c>
      <c r="O89">
        <v>2145.1054845909448</v>
      </c>
      <c r="P89">
        <v>2028.5440032624549</v>
      </c>
      <c r="Q89">
        <v>1943.9495254374899</v>
      </c>
      <c r="R89">
        <v>1877.509843769049</v>
      </c>
      <c r="S89">
        <v>1822.7929100585129</v>
      </c>
      <c r="T89">
        <v>1822.7929100585129</v>
      </c>
      <c r="U89">
        <v>126.1511840690102</v>
      </c>
      <c r="V89">
        <v>112.0551973206214</v>
      </c>
      <c r="W89">
        <v>102.1818083356591</v>
      </c>
      <c r="X89">
        <v>95.56395000368147</v>
      </c>
      <c r="Y89">
        <v>90.579088177691972</v>
      </c>
      <c r="Z89">
        <v>86.578746289661524</v>
      </c>
      <c r="AA89">
        <v>83.237444905659999</v>
      </c>
      <c r="AB89">
        <v>83.237444905659999</v>
      </c>
      <c r="AS89">
        <v>0.45513391538357001</v>
      </c>
      <c r="AT89">
        <v>0.477758969205831</v>
      </c>
      <c r="AU89">
        <v>0.500201178910329</v>
      </c>
      <c r="AV89">
        <v>0.51018948531416397</v>
      </c>
      <c r="AW89">
        <v>0.51894689699048502</v>
      </c>
      <c r="AX89">
        <v>0.52696221252861997</v>
      </c>
      <c r="AY89">
        <v>0.53448076675792699</v>
      </c>
      <c r="AZ89">
        <v>0.53448076675792699</v>
      </c>
    </row>
    <row r="90" spans="1:52" x14ac:dyDescent="0.25">
      <c r="A90" t="s">
        <v>93</v>
      </c>
      <c r="B90" t="s">
        <v>94</v>
      </c>
      <c r="D90">
        <v>2020</v>
      </c>
      <c r="E90" t="s">
        <v>107</v>
      </c>
      <c r="F90" t="s">
        <v>274</v>
      </c>
      <c r="G90" t="s">
        <v>248</v>
      </c>
      <c r="H90" t="s">
        <v>275</v>
      </c>
      <c r="I90">
        <v>1</v>
      </c>
      <c r="J90">
        <v>0</v>
      </c>
      <c r="K90">
        <v>30</v>
      </c>
      <c r="L90">
        <v>31.536000000000001</v>
      </c>
      <c r="M90">
        <v>2793.6544412439639</v>
      </c>
      <c r="N90">
        <v>2436.7902227516579</v>
      </c>
      <c r="O90">
        <v>2239.898032419831</v>
      </c>
      <c r="P90">
        <v>2118.1856809484989</v>
      </c>
      <c r="Q90">
        <v>2029.8529598796169</v>
      </c>
      <c r="R90">
        <v>1960.4772982570221</v>
      </c>
      <c r="S90">
        <v>1903.342414663334</v>
      </c>
      <c r="T90">
        <v>1903.342414663334</v>
      </c>
      <c r="U90">
        <v>127.3262166235758</v>
      </c>
      <c r="V90">
        <v>113.0989331026649</v>
      </c>
      <c r="W90">
        <v>103.1335786433652</v>
      </c>
      <c r="X90">
        <v>96.454078408943488</v>
      </c>
      <c r="Y90">
        <v>91.422785192168575</v>
      </c>
      <c r="Z90">
        <v>87.38518220363791</v>
      </c>
      <c r="AA90">
        <v>84.012758338069517</v>
      </c>
      <c r="AB90">
        <v>84.012758338069517</v>
      </c>
      <c r="AS90">
        <v>0.45307714324914899</v>
      </c>
      <c r="AT90">
        <v>0.47565386335017201</v>
      </c>
      <c r="AU90">
        <v>0.49806221819658902</v>
      </c>
      <c r="AV90">
        <v>0.50802783262961604</v>
      </c>
      <c r="AW90">
        <v>0.51676815171595303</v>
      </c>
      <c r="AX90">
        <v>0.52476975048398</v>
      </c>
      <c r="AY90">
        <v>0.53227684772680195</v>
      </c>
      <c r="AZ90">
        <v>0.53227684772680195</v>
      </c>
    </row>
    <row r="91" spans="1:52" x14ac:dyDescent="0.25">
      <c r="A91" t="s">
        <v>93</v>
      </c>
      <c r="B91" t="s">
        <v>94</v>
      </c>
      <c r="D91">
        <v>2020</v>
      </c>
      <c r="E91" t="s">
        <v>107</v>
      </c>
      <c r="F91" t="s">
        <v>276</v>
      </c>
      <c r="G91" t="s">
        <v>248</v>
      </c>
      <c r="H91" t="s">
        <v>277</v>
      </c>
      <c r="I91">
        <v>1</v>
      </c>
      <c r="J91">
        <v>0</v>
      </c>
      <c r="K91">
        <v>30</v>
      </c>
      <c r="L91">
        <v>31.536000000000001</v>
      </c>
      <c r="M91">
        <v>2842.9528636346408</v>
      </c>
      <c r="N91">
        <v>2479.791215252797</v>
      </c>
      <c r="O91">
        <v>2279.4245528384158</v>
      </c>
      <c r="P91">
        <v>2155.564395674151</v>
      </c>
      <c r="Q91">
        <v>2065.6729049414512</v>
      </c>
      <c r="R91">
        <v>1995.0730007569221</v>
      </c>
      <c r="S91">
        <v>1936.929882364024</v>
      </c>
      <c r="T91">
        <v>1936.929882364024</v>
      </c>
      <c r="U91">
        <v>130.83802239727379</v>
      </c>
      <c r="V91">
        <v>116.218333779144</v>
      </c>
      <c r="W91">
        <v>105.97812320414999</v>
      </c>
      <c r="X91">
        <v>99.114394551491344</v>
      </c>
      <c r="Y91">
        <v>93.944332391160458</v>
      </c>
      <c r="Z91">
        <v>89.795367596216025</v>
      </c>
      <c r="AA91">
        <v>86.329928341385965</v>
      </c>
      <c r="AB91">
        <v>86.329928341385965</v>
      </c>
      <c r="AS91">
        <v>0.44582431597709798</v>
      </c>
      <c r="AT91">
        <v>0.46823059613210599</v>
      </c>
      <c r="AU91">
        <v>0.49051956807077801</v>
      </c>
      <c r="AV91">
        <v>0.500405163457464</v>
      </c>
      <c r="AW91">
        <v>0.50908520868034801</v>
      </c>
      <c r="AX91">
        <v>0.51703843779057101</v>
      </c>
      <c r="AY91">
        <v>0.524505134085402</v>
      </c>
      <c r="AZ91">
        <v>0.524505134085402</v>
      </c>
    </row>
    <row r="92" spans="1:52" x14ac:dyDescent="0.25">
      <c r="A92" t="s">
        <v>93</v>
      </c>
      <c r="B92" t="s">
        <v>94</v>
      </c>
      <c r="D92">
        <v>2020</v>
      </c>
      <c r="E92" t="s">
        <v>107</v>
      </c>
      <c r="F92" t="s">
        <v>278</v>
      </c>
      <c r="G92" t="s">
        <v>248</v>
      </c>
      <c r="H92" t="s">
        <v>279</v>
      </c>
      <c r="I92">
        <v>1</v>
      </c>
      <c r="J92">
        <v>0</v>
      </c>
      <c r="K92">
        <v>30</v>
      </c>
      <c r="L92">
        <v>31.536000000000001</v>
      </c>
      <c r="M92">
        <v>2869.2718499305552</v>
      </c>
      <c r="N92">
        <v>2502.7481878589092</v>
      </c>
      <c r="O92">
        <v>2300.5266063884669</v>
      </c>
      <c r="P92">
        <v>2175.5197985636541</v>
      </c>
      <c r="Q92">
        <v>2084.7961262837439</v>
      </c>
      <c r="R92">
        <v>2013.5426347905791</v>
      </c>
      <c r="S92">
        <v>1954.861249317785</v>
      </c>
      <c r="T92">
        <v>1954.861249317785</v>
      </c>
      <c r="U92">
        <v>128.99069604663069</v>
      </c>
      <c r="V92">
        <v>114.5774255287416</v>
      </c>
      <c r="W92">
        <v>104.48179838969919</v>
      </c>
      <c r="X92">
        <v>97.714979997310493</v>
      </c>
      <c r="Y92">
        <v>92.617914905325947</v>
      </c>
      <c r="Z92">
        <v>88.527530115284975</v>
      </c>
      <c r="AA92">
        <v>85.111020041244245</v>
      </c>
      <c r="AB92">
        <v>85.111020041244245</v>
      </c>
      <c r="AS92">
        <v>0.38318582438075</v>
      </c>
      <c r="AT92">
        <v>0.40412011289365501</v>
      </c>
      <c r="AU92">
        <v>0.42537804342142499</v>
      </c>
      <c r="AV92">
        <v>0.43457256039500097</v>
      </c>
      <c r="AW92">
        <v>0.44273205497635298</v>
      </c>
      <c r="AX92">
        <v>0.45026754321253498</v>
      </c>
      <c r="AY92">
        <v>0.45738531979008801</v>
      </c>
      <c r="AZ92">
        <v>0.45738531979008801</v>
      </c>
    </row>
    <row r="93" spans="1:52" x14ac:dyDescent="0.25">
      <c r="A93" t="s">
        <v>93</v>
      </c>
      <c r="B93" t="s">
        <v>94</v>
      </c>
      <c r="D93">
        <v>2020</v>
      </c>
      <c r="E93" t="s">
        <v>107</v>
      </c>
      <c r="F93" t="s">
        <v>280</v>
      </c>
      <c r="G93" t="s">
        <v>248</v>
      </c>
      <c r="H93" t="s">
        <v>281</v>
      </c>
      <c r="I93">
        <v>1</v>
      </c>
      <c r="J93">
        <v>0</v>
      </c>
      <c r="K93">
        <v>30</v>
      </c>
      <c r="L93">
        <v>31.536000000000001</v>
      </c>
      <c r="M93">
        <v>3131.368890968633</v>
      </c>
      <c r="N93">
        <v>2731.3646901666721</v>
      </c>
      <c r="O93">
        <v>2510.670938435087</v>
      </c>
      <c r="P93">
        <v>2374.245235450056</v>
      </c>
      <c r="Q93">
        <v>2275.2343016974191</v>
      </c>
      <c r="R93">
        <v>2197.4720754935838</v>
      </c>
      <c r="S93">
        <v>2133.4303692492322</v>
      </c>
      <c r="T93">
        <v>2133.4303692492322</v>
      </c>
      <c r="U93">
        <v>123.2685267323124</v>
      </c>
      <c r="V93">
        <v>109.49464476572329</v>
      </c>
      <c r="W93">
        <v>99.84687076333617</v>
      </c>
      <c r="X93">
        <v>93.380235886093999</v>
      </c>
      <c r="Y93">
        <v>88.509282214206735</v>
      </c>
      <c r="Z93">
        <v>84.600351397566044</v>
      </c>
      <c r="AA93">
        <v>81.335401472488883</v>
      </c>
      <c r="AB93">
        <v>81.335401472488883</v>
      </c>
      <c r="AS93">
        <v>0.29670484989304502</v>
      </c>
      <c r="AT93">
        <v>0.31560685333006999</v>
      </c>
      <c r="AU93">
        <v>0.33544129067210798</v>
      </c>
      <c r="AV93">
        <v>0.34368167971108499</v>
      </c>
      <c r="AW93">
        <v>0.351122483187294</v>
      </c>
      <c r="AX93">
        <v>0.35808122321403302</v>
      </c>
      <c r="AY93">
        <v>0.364717268568513</v>
      </c>
      <c r="AZ93">
        <v>0.364717268568513</v>
      </c>
    </row>
    <row r="94" spans="1:52" x14ac:dyDescent="0.25">
      <c r="A94" t="s">
        <v>93</v>
      </c>
      <c r="B94" t="s">
        <v>94</v>
      </c>
      <c r="D94">
        <v>2020</v>
      </c>
      <c r="E94" t="s">
        <v>107</v>
      </c>
      <c r="F94" t="s">
        <v>282</v>
      </c>
      <c r="G94" t="s">
        <v>248</v>
      </c>
      <c r="H94" t="s">
        <v>283</v>
      </c>
      <c r="I94">
        <v>1</v>
      </c>
      <c r="J94">
        <v>0</v>
      </c>
      <c r="K94">
        <v>30</v>
      </c>
      <c r="L94">
        <v>31.536000000000001</v>
      </c>
      <c r="M94">
        <v>3855.148851590011</v>
      </c>
      <c r="N94">
        <v>3380.1370445216148</v>
      </c>
      <c r="O94">
        <v>3118.0594523149598</v>
      </c>
      <c r="P94">
        <v>2956.051604458426</v>
      </c>
      <c r="Q94">
        <v>2838.474432851051</v>
      </c>
      <c r="R94">
        <v>2746.1304636710038</v>
      </c>
      <c r="S94">
        <v>2670.0798458277732</v>
      </c>
      <c r="T94">
        <v>2670.0798458277732</v>
      </c>
      <c r="U94">
        <v>89.24836968951027</v>
      </c>
      <c r="V94">
        <v>79.93891775971484</v>
      </c>
      <c r="W94">
        <v>73.41820787396081</v>
      </c>
      <c r="X94">
        <v>69.04755719732178</v>
      </c>
      <c r="Y94">
        <v>65.755390967736886</v>
      </c>
      <c r="Z94">
        <v>63.11343399274039</v>
      </c>
      <c r="AA94">
        <v>60.906728979990739</v>
      </c>
      <c r="AB94">
        <v>60.906728979990739</v>
      </c>
      <c r="AS94">
        <v>0.52375843552641699</v>
      </c>
      <c r="AT94">
        <v>0.54102083974009596</v>
      </c>
      <c r="AU94">
        <v>0.55970683666427001</v>
      </c>
      <c r="AV94">
        <v>0.56717745799737396</v>
      </c>
      <c r="AW94">
        <v>0.57403843859745096</v>
      </c>
      <c r="AX94">
        <v>0.58053187189754496</v>
      </c>
      <c r="AY94">
        <v>0.58677926796822799</v>
      </c>
      <c r="AZ94">
        <v>0.58677926796822799</v>
      </c>
    </row>
    <row r="95" spans="1:52" x14ac:dyDescent="0.25">
      <c r="A95" t="s">
        <v>93</v>
      </c>
      <c r="B95" t="s">
        <v>94</v>
      </c>
      <c r="D95">
        <v>2020</v>
      </c>
      <c r="E95" t="s">
        <v>107</v>
      </c>
      <c r="F95" t="s">
        <v>284</v>
      </c>
      <c r="G95" t="s">
        <v>248</v>
      </c>
      <c r="H95" t="s">
        <v>285</v>
      </c>
      <c r="I95">
        <v>1</v>
      </c>
      <c r="J95">
        <v>0</v>
      </c>
      <c r="K95">
        <v>30</v>
      </c>
      <c r="L95">
        <v>31.536000000000001</v>
      </c>
      <c r="M95">
        <v>3869.7724737279368</v>
      </c>
      <c r="N95">
        <v>3392.958818418389</v>
      </c>
      <c r="O95">
        <v>3129.887095031117</v>
      </c>
      <c r="P95">
        <v>2967.2647075960649</v>
      </c>
      <c r="Q95">
        <v>2849.2415339805038</v>
      </c>
      <c r="R95">
        <v>2756.5472791528791</v>
      </c>
      <c r="S95">
        <v>2680.2081807498871</v>
      </c>
      <c r="T95">
        <v>2680.2081807498871</v>
      </c>
      <c r="U95">
        <v>90.257207441065233</v>
      </c>
      <c r="V95">
        <v>80.842524159865405</v>
      </c>
      <c r="W95">
        <v>74.248106055994157</v>
      </c>
      <c r="X95">
        <v>69.828050808528801</v>
      </c>
      <c r="Y95">
        <v>66.498670884303309</v>
      </c>
      <c r="Z95">
        <v>63.826849991975493</v>
      </c>
      <c r="AA95">
        <v>61.595201024158172</v>
      </c>
      <c r="AB95">
        <v>61.595201024158172</v>
      </c>
      <c r="AS95">
        <v>0.51102921488188202</v>
      </c>
      <c r="AT95">
        <v>0.52816298689339902</v>
      </c>
      <c r="AU95">
        <v>0.54675888471414602</v>
      </c>
      <c r="AV95">
        <v>0.55416911512137601</v>
      </c>
      <c r="AW95">
        <v>0.56098460662121497</v>
      </c>
      <c r="AX95">
        <v>0.56744153500713301</v>
      </c>
      <c r="AY95">
        <v>0.57365844020386902</v>
      </c>
      <c r="AZ95">
        <v>0.57365844020386902</v>
      </c>
    </row>
    <row r="96" spans="1:52" x14ac:dyDescent="0.25">
      <c r="A96" t="s">
        <v>93</v>
      </c>
      <c r="B96" t="s">
        <v>94</v>
      </c>
      <c r="D96">
        <v>2020</v>
      </c>
      <c r="E96" t="s">
        <v>107</v>
      </c>
      <c r="F96" t="s">
        <v>286</v>
      </c>
      <c r="G96" t="s">
        <v>248</v>
      </c>
      <c r="H96" t="s">
        <v>287</v>
      </c>
      <c r="I96">
        <v>1</v>
      </c>
      <c r="J96">
        <v>0</v>
      </c>
      <c r="K96">
        <v>30</v>
      </c>
      <c r="L96">
        <v>31.536000000000001</v>
      </c>
      <c r="M96">
        <v>3976.233107784542</v>
      </c>
      <c r="N96">
        <v>3486.3019153547302</v>
      </c>
      <c r="O96">
        <v>3215.9928717724579</v>
      </c>
      <c r="P96">
        <v>3048.896608264411</v>
      </c>
      <c r="Q96">
        <v>2927.626519750941</v>
      </c>
      <c r="R96">
        <v>2832.3821694824669</v>
      </c>
      <c r="S96">
        <v>2753.9429194880122</v>
      </c>
      <c r="T96">
        <v>2753.9429194880122</v>
      </c>
      <c r="U96">
        <v>93.913881809949814</v>
      </c>
      <c r="V96">
        <v>84.117772690065522</v>
      </c>
      <c r="W96">
        <v>77.256188779254387</v>
      </c>
      <c r="X96">
        <v>72.65705971385573</v>
      </c>
      <c r="Y96">
        <v>69.192793517626598</v>
      </c>
      <c r="Z96">
        <v>66.412726655229193</v>
      </c>
      <c r="AA96">
        <v>64.090664812780204</v>
      </c>
      <c r="AB96">
        <v>64.090664812780204</v>
      </c>
      <c r="AS96">
        <v>0.50202627320535997</v>
      </c>
      <c r="AT96">
        <v>0.519069068067046</v>
      </c>
      <c r="AU96">
        <v>0.53760124187860903</v>
      </c>
      <c r="AV96">
        <v>0.54496875985287696</v>
      </c>
      <c r="AW96">
        <v>0.55175207847051</v>
      </c>
      <c r="AX96">
        <v>0.55818318818124102</v>
      </c>
      <c r="AY96">
        <v>0.56437852822740797</v>
      </c>
      <c r="AZ96">
        <v>0.56437852822740797</v>
      </c>
    </row>
    <row r="97" spans="1:52" x14ac:dyDescent="0.25">
      <c r="A97" t="s">
        <v>93</v>
      </c>
      <c r="B97" t="s">
        <v>94</v>
      </c>
      <c r="D97">
        <v>2020</v>
      </c>
      <c r="E97" t="s">
        <v>107</v>
      </c>
      <c r="F97" t="s">
        <v>288</v>
      </c>
      <c r="G97" t="s">
        <v>248</v>
      </c>
      <c r="H97" t="s">
        <v>289</v>
      </c>
      <c r="I97">
        <v>1</v>
      </c>
      <c r="J97">
        <v>0</v>
      </c>
      <c r="K97">
        <v>30</v>
      </c>
      <c r="L97">
        <v>31.536000000000001</v>
      </c>
      <c r="M97">
        <v>4121.5189688418432</v>
      </c>
      <c r="N97">
        <v>3613.6863925591442</v>
      </c>
      <c r="O97">
        <v>3333.5006437928841</v>
      </c>
      <c r="P97">
        <v>3160.29892221304</v>
      </c>
      <c r="Q97">
        <v>3034.5977984074798</v>
      </c>
      <c r="R97">
        <v>2935.8733560356318</v>
      </c>
      <c r="S97">
        <v>2854.5680482253401</v>
      </c>
      <c r="T97">
        <v>2854.5680482253401</v>
      </c>
      <c r="U97">
        <v>101.6215792272114</v>
      </c>
      <c r="V97">
        <v>91.021484120299604</v>
      </c>
      <c r="W97">
        <v>83.596756491345658</v>
      </c>
      <c r="X97">
        <v>78.62016783705738</v>
      </c>
      <c r="Y97">
        <v>74.871582484822937</v>
      </c>
      <c r="Z97">
        <v>71.863350054544028</v>
      </c>
      <c r="AA97">
        <v>69.35071201908903</v>
      </c>
      <c r="AB97">
        <v>69.35071201908903</v>
      </c>
      <c r="AS97">
        <v>0.495273387645846</v>
      </c>
      <c r="AT97">
        <v>0.51224794278062902</v>
      </c>
      <c r="AU97">
        <v>0.53073231877711402</v>
      </c>
      <c r="AV97">
        <v>0.53806779920386505</v>
      </c>
      <c r="AW97">
        <v>0.54482698573229205</v>
      </c>
      <c r="AX97">
        <v>0.55123872948852604</v>
      </c>
      <c r="AY97">
        <v>0.55741789404460396</v>
      </c>
      <c r="AZ97">
        <v>0.55741789404460396</v>
      </c>
    </row>
    <row r="98" spans="1:52" x14ac:dyDescent="0.25">
      <c r="A98" t="s">
        <v>93</v>
      </c>
      <c r="B98" t="s">
        <v>94</v>
      </c>
      <c r="D98">
        <v>2020</v>
      </c>
      <c r="E98" t="s">
        <v>107</v>
      </c>
      <c r="F98" t="s">
        <v>290</v>
      </c>
      <c r="G98" t="s">
        <v>248</v>
      </c>
      <c r="H98" t="s">
        <v>291</v>
      </c>
      <c r="I98">
        <v>1</v>
      </c>
      <c r="J98">
        <v>0</v>
      </c>
      <c r="K98">
        <v>30</v>
      </c>
      <c r="L98">
        <v>31.536000000000001</v>
      </c>
      <c r="M98">
        <v>4165.6333147542473</v>
      </c>
      <c r="N98">
        <v>3652.365193444321</v>
      </c>
      <c r="O98">
        <v>3369.1804991110762</v>
      </c>
      <c r="P98">
        <v>3194.1249268717702</v>
      </c>
      <c r="Q98">
        <v>3067.078371224437</v>
      </c>
      <c r="R98">
        <v>2967.297239745074</v>
      </c>
      <c r="S98">
        <v>2885.12168712932</v>
      </c>
      <c r="T98">
        <v>2885.12168712932</v>
      </c>
      <c r="U98">
        <v>108.104392834809</v>
      </c>
      <c r="V98">
        <v>96.828078746422221</v>
      </c>
      <c r="W98">
        <v>88.929700484682172</v>
      </c>
      <c r="X98">
        <v>83.635636970302315</v>
      </c>
      <c r="Y98">
        <v>79.647915596806357</v>
      </c>
      <c r="Z98">
        <v>76.447776976108869</v>
      </c>
      <c r="AA98">
        <v>73.774848536085372</v>
      </c>
      <c r="AB98">
        <v>73.774848536085372</v>
      </c>
      <c r="AS98">
        <v>0.46681789413292002</v>
      </c>
      <c r="AT98">
        <v>0.48350489884365</v>
      </c>
      <c r="AU98">
        <v>0.50178786310215995</v>
      </c>
      <c r="AV98">
        <v>0.50898834283661099</v>
      </c>
      <c r="AW98">
        <v>0.51564584090877896</v>
      </c>
      <c r="AX98">
        <v>0.52197597987729505</v>
      </c>
      <c r="AY98">
        <v>0.52808698371167195</v>
      </c>
      <c r="AZ98">
        <v>0.52808698371167195</v>
      </c>
    </row>
    <row r="99" spans="1:52" x14ac:dyDescent="0.25">
      <c r="A99" t="s">
        <v>93</v>
      </c>
      <c r="B99" t="s">
        <v>94</v>
      </c>
      <c r="D99">
        <v>2020</v>
      </c>
      <c r="E99" t="s">
        <v>107</v>
      </c>
      <c r="F99" t="s">
        <v>292</v>
      </c>
      <c r="G99" t="s">
        <v>248</v>
      </c>
      <c r="H99" t="s">
        <v>293</v>
      </c>
      <c r="I99">
        <v>1</v>
      </c>
      <c r="J99">
        <v>0</v>
      </c>
      <c r="K99">
        <v>30</v>
      </c>
      <c r="L99">
        <v>31.536000000000001</v>
      </c>
      <c r="M99">
        <v>4170.1455241953454</v>
      </c>
      <c r="N99">
        <v>3656.321431418949</v>
      </c>
      <c r="O99">
        <v>3372.8299917351751</v>
      </c>
      <c r="P99">
        <v>3197.5847994918731</v>
      </c>
      <c r="Q99">
        <v>3070.400627154705</v>
      </c>
      <c r="R99">
        <v>2970.5114128630739</v>
      </c>
      <c r="S99">
        <v>2888.2468477787911</v>
      </c>
      <c r="T99">
        <v>2888.2468477787911</v>
      </c>
      <c r="U99">
        <v>110.80881770668149</v>
      </c>
      <c r="V99">
        <v>99.250406439040503</v>
      </c>
      <c r="W99">
        <v>91.154436108575254</v>
      </c>
      <c r="X99">
        <v>85.727932120074911</v>
      </c>
      <c r="Y99">
        <v>81.64045075920211</v>
      </c>
      <c r="Z99">
        <v>78.360254943303673</v>
      </c>
      <c r="AA99">
        <v>75.620458414348917</v>
      </c>
      <c r="AB99">
        <v>75.620458414348917</v>
      </c>
      <c r="AS99">
        <v>0.37287146322759102</v>
      </c>
      <c r="AT99">
        <v>0.38860911395741699</v>
      </c>
      <c r="AU99">
        <v>0.40622711298112701</v>
      </c>
      <c r="AV99">
        <v>0.41298188499290001</v>
      </c>
      <c r="AW99">
        <v>0.41930365641440898</v>
      </c>
      <c r="AX99">
        <v>0.425364375400901</v>
      </c>
      <c r="AY99">
        <v>0.43125034512968902</v>
      </c>
      <c r="AZ99">
        <v>0.43125034512968902</v>
      </c>
    </row>
    <row r="100" spans="1:52" x14ac:dyDescent="0.25">
      <c r="A100" t="s">
        <v>93</v>
      </c>
      <c r="B100" t="s">
        <v>94</v>
      </c>
      <c r="D100">
        <v>2020</v>
      </c>
      <c r="E100" t="s">
        <v>107</v>
      </c>
      <c r="F100" t="s">
        <v>294</v>
      </c>
      <c r="G100" t="s">
        <v>248</v>
      </c>
      <c r="H100" t="s">
        <v>295</v>
      </c>
      <c r="I100">
        <v>1</v>
      </c>
      <c r="J100">
        <v>0</v>
      </c>
      <c r="K100">
        <v>30</v>
      </c>
      <c r="L100">
        <v>31.536000000000001</v>
      </c>
      <c r="M100">
        <v>4581.0667408393256</v>
      </c>
      <c r="N100">
        <v>4016.6110285859531</v>
      </c>
      <c r="O100">
        <v>3705.1846771282071</v>
      </c>
      <c r="P100">
        <v>3512.6710305372608</v>
      </c>
      <c r="Q100">
        <v>3372.9542800127319</v>
      </c>
      <c r="R100">
        <v>3263.2221004748908</v>
      </c>
      <c r="S100">
        <v>3172.8512822694711</v>
      </c>
      <c r="T100">
        <v>3172.8512822694711</v>
      </c>
      <c r="U100">
        <v>100.0330098879363</v>
      </c>
      <c r="V100">
        <v>89.598617638707836</v>
      </c>
      <c r="W100">
        <v>82.289954872684632</v>
      </c>
      <c r="X100">
        <v>77.391161271479575</v>
      </c>
      <c r="Y100">
        <v>73.701174573207297</v>
      </c>
      <c r="Z100">
        <v>70.739967448385144</v>
      </c>
      <c r="AA100">
        <v>68.266607485305855</v>
      </c>
      <c r="AB100">
        <v>68.266607485305855</v>
      </c>
      <c r="AS100">
        <v>0.30700891729030999</v>
      </c>
      <c r="AT100">
        <v>0.322081009258878</v>
      </c>
      <c r="AU100">
        <v>0.33923282449144498</v>
      </c>
      <c r="AV100">
        <v>0.345675126459635</v>
      </c>
      <c r="AW100">
        <v>0.35176153170769597</v>
      </c>
      <c r="AX100">
        <v>0.35763336979928201</v>
      </c>
      <c r="AY100">
        <v>0.36336157601354502</v>
      </c>
      <c r="AZ100">
        <v>0.36336157601354502</v>
      </c>
    </row>
    <row r="101" spans="1:52" x14ac:dyDescent="0.25">
      <c r="A101" t="s">
        <v>93</v>
      </c>
      <c r="B101" t="s">
        <v>94</v>
      </c>
      <c r="D101">
        <v>2020</v>
      </c>
      <c r="E101" t="s">
        <v>107</v>
      </c>
      <c r="F101" t="s">
        <v>296</v>
      </c>
      <c r="G101" t="s">
        <v>241</v>
      </c>
      <c r="H101" t="s">
        <v>297</v>
      </c>
      <c r="I101">
        <v>1</v>
      </c>
      <c r="J101">
        <v>0</v>
      </c>
      <c r="K101">
        <v>30</v>
      </c>
      <c r="L101">
        <v>31.536000000000001</v>
      </c>
      <c r="M101">
        <v>1408.7255732468459</v>
      </c>
      <c r="N101">
        <v>1361.639988003599</v>
      </c>
      <c r="O101">
        <v>1133.299589912358</v>
      </c>
      <c r="P101">
        <v>904.95919182111663</v>
      </c>
      <c r="Q101">
        <v>833.38868486743809</v>
      </c>
      <c r="R101">
        <v>761.81817791375954</v>
      </c>
      <c r="S101">
        <v>690.24767096007986</v>
      </c>
      <c r="T101">
        <v>690.24767096007986</v>
      </c>
      <c r="U101">
        <v>25.474928501147339</v>
      </c>
      <c r="V101">
        <v>23.161525476034619</v>
      </c>
      <c r="W101">
        <v>20.33362233495237</v>
      </c>
      <c r="X101">
        <v>17.547705083846161</v>
      </c>
      <c r="Y101">
        <v>16.785562476399669</v>
      </c>
      <c r="Z101">
        <v>16.023491074974441</v>
      </c>
      <c r="AA101">
        <v>15.26149145474046</v>
      </c>
      <c r="AB101">
        <v>15.26149145474046</v>
      </c>
      <c r="AS101">
        <v>0.19687382126665801</v>
      </c>
      <c r="AT101">
        <v>0.202379328144388</v>
      </c>
      <c r="AU101">
        <v>0.20926121174154999</v>
      </c>
      <c r="AV101">
        <v>0.21614309533871201</v>
      </c>
      <c r="AW101">
        <v>0.22074375476576899</v>
      </c>
      <c r="AX101">
        <v>0.225344414192826</v>
      </c>
      <c r="AY101">
        <v>0.22994507361988201</v>
      </c>
      <c r="AZ101">
        <v>0.22994507361988201</v>
      </c>
    </row>
    <row r="102" spans="1:52" x14ac:dyDescent="0.25">
      <c r="A102" t="s">
        <v>93</v>
      </c>
      <c r="B102" t="s">
        <v>94</v>
      </c>
      <c r="D102">
        <v>2020</v>
      </c>
      <c r="E102" t="s">
        <v>107</v>
      </c>
      <c r="F102" t="s">
        <v>298</v>
      </c>
      <c r="G102" t="s">
        <v>241</v>
      </c>
      <c r="H102" t="s">
        <v>299</v>
      </c>
      <c r="I102">
        <v>1</v>
      </c>
      <c r="J102">
        <v>0</v>
      </c>
      <c r="K102">
        <v>30</v>
      </c>
      <c r="L102">
        <v>31.536000000000001</v>
      </c>
      <c r="M102">
        <v>1408.7255732468459</v>
      </c>
      <c r="N102">
        <v>1361.639988003599</v>
      </c>
      <c r="O102">
        <v>1133.299589912358</v>
      </c>
      <c r="P102">
        <v>904.95919182111663</v>
      </c>
      <c r="Q102">
        <v>833.38868486743809</v>
      </c>
      <c r="R102">
        <v>761.81817791375954</v>
      </c>
      <c r="S102">
        <v>690.24767096007986</v>
      </c>
      <c r="T102">
        <v>690.24767096007986</v>
      </c>
      <c r="U102">
        <v>25.474928501147339</v>
      </c>
      <c r="V102">
        <v>23.161525476034619</v>
      </c>
      <c r="W102">
        <v>20.33362233495237</v>
      </c>
      <c r="X102">
        <v>17.547705083846161</v>
      </c>
      <c r="Y102">
        <v>16.785562476399669</v>
      </c>
      <c r="Z102">
        <v>16.023491074974441</v>
      </c>
      <c r="AA102">
        <v>15.26149145474046</v>
      </c>
      <c r="AB102">
        <v>15.26149145474046</v>
      </c>
      <c r="AS102">
        <v>0.22558039910458599</v>
      </c>
      <c r="AT102">
        <v>0.23163275150342599</v>
      </c>
      <c r="AU102">
        <v>0.23919819200197601</v>
      </c>
      <c r="AV102">
        <v>0.24676363250052599</v>
      </c>
      <c r="AW102">
        <v>0.25184406144515098</v>
      </c>
      <c r="AX102">
        <v>0.256924490389775</v>
      </c>
      <c r="AY102">
        <v>0.26200491933440001</v>
      </c>
      <c r="AZ102">
        <v>0.26200491933440001</v>
      </c>
    </row>
    <row r="103" spans="1:52" x14ac:dyDescent="0.25">
      <c r="A103" t="s">
        <v>93</v>
      </c>
      <c r="B103" t="s">
        <v>94</v>
      </c>
      <c r="D103">
        <v>2020</v>
      </c>
      <c r="E103" t="s">
        <v>107</v>
      </c>
      <c r="F103" t="s">
        <v>300</v>
      </c>
      <c r="G103" t="s">
        <v>241</v>
      </c>
      <c r="H103" t="s">
        <v>301</v>
      </c>
      <c r="I103">
        <v>1</v>
      </c>
      <c r="J103">
        <v>0</v>
      </c>
      <c r="K103">
        <v>30</v>
      </c>
      <c r="L103">
        <v>31.536000000000001</v>
      </c>
      <c r="M103">
        <v>1408.7255732468459</v>
      </c>
      <c r="N103">
        <v>1361.639988003599</v>
      </c>
      <c r="O103">
        <v>1133.299589912358</v>
      </c>
      <c r="P103">
        <v>904.95919182111663</v>
      </c>
      <c r="Q103">
        <v>833.38868486743809</v>
      </c>
      <c r="R103">
        <v>761.81817791375954</v>
      </c>
      <c r="S103">
        <v>690.24767096007986</v>
      </c>
      <c r="T103">
        <v>690.24767096007986</v>
      </c>
      <c r="U103">
        <v>25.474928501147339</v>
      </c>
      <c r="V103">
        <v>23.161525476034619</v>
      </c>
      <c r="W103">
        <v>20.33362233495237</v>
      </c>
      <c r="X103">
        <v>17.547705083846161</v>
      </c>
      <c r="Y103">
        <v>16.785562476399669</v>
      </c>
      <c r="Z103">
        <v>16.023491074974441</v>
      </c>
      <c r="AA103">
        <v>15.26149145474046</v>
      </c>
      <c r="AB103">
        <v>15.26149145474046</v>
      </c>
      <c r="AS103">
        <v>0.24738093626150501</v>
      </c>
      <c r="AT103">
        <v>0.25379757245607198</v>
      </c>
      <c r="AU103">
        <v>0.26181836769928102</v>
      </c>
      <c r="AV103">
        <v>0.26983916294249</v>
      </c>
      <c r="AW103">
        <v>0.27535921867551399</v>
      </c>
      <c r="AX103">
        <v>0.28087927440853899</v>
      </c>
      <c r="AY103">
        <v>0.28639933014156299</v>
      </c>
      <c r="AZ103">
        <v>0.28639933014156299</v>
      </c>
    </row>
    <row r="104" spans="1:52" x14ac:dyDescent="0.25">
      <c r="A104" t="s">
        <v>93</v>
      </c>
      <c r="B104" t="s">
        <v>94</v>
      </c>
      <c r="D104">
        <v>2020</v>
      </c>
      <c r="E104" t="s">
        <v>107</v>
      </c>
      <c r="F104" t="s">
        <v>302</v>
      </c>
      <c r="G104" t="s">
        <v>241</v>
      </c>
      <c r="H104" t="s">
        <v>303</v>
      </c>
      <c r="I104">
        <v>1</v>
      </c>
      <c r="J104">
        <v>0</v>
      </c>
      <c r="K104">
        <v>30</v>
      </c>
      <c r="L104">
        <v>31.536000000000001</v>
      </c>
      <c r="M104">
        <v>1408.7255732468459</v>
      </c>
      <c r="N104">
        <v>1361.639988003599</v>
      </c>
      <c r="O104">
        <v>1133.299589912358</v>
      </c>
      <c r="P104">
        <v>904.95919182111663</v>
      </c>
      <c r="Q104">
        <v>833.38868486743809</v>
      </c>
      <c r="R104">
        <v>761.81817791375954</v>
      </c>
      <c r="S104">
        <v>690.24767096007986</v>
      </c>
      <c r="T104">
        <v>690.24767096007986</v>
      </c>
      <c r="U104">
        <v>25.474928501147339</v>
      </c>
      <c r="V104">
        <v>23.161525476034619</v>
      </c>
      <c r="W104">
        <v>20.33362233495237</v>
      </c>
      <c r="X104">
        <v>17.547705083846161</v>
      </c>
      <c r="Y104">
        <v>16.785562476399669</v>
      </c>
      <c r="Z104">
        <v>16.023491074974441</v>
      </c>
      <c r="AA104">
        <v>15.26149145474046</v>
      </c>
      <c r="AB104">
        <v>15.26149145474046</v>
      </c>
      <c r="AS104">
        <v>0.27470743745837201</v>
      </c>
      <c r="AT104">
        <v>0.28148929329880301</v>
      </c>
      <c r="AU104">
        <v>0.28996661309934102</v>
      </c>
      <c r="AV104">
        <v>0.29844393289987903</v>
      </c>
      <c r="AW104">
        <v>0.30429277986023501</v>
      </c>
      <c r="AX104">
        <v>0.31014162682059099</v>
      </c>
      <c r="AY104">
        <v>0.31599047378094702</v>
      </c>
      <c r="AZ104">
        <v>0.31599047378094702</v>
      </c>
    </row>
    <row r="105" spans="1:52" x14ac:dyDescent="0.25">
      <c r="A105" t="s">
        <v>93</v>
      </c>
      <c r="B105" t="s">
        <v>94</v>
      </c>
      <c r="D105">
        <v>2020</v>
      </c>
      <c r="E105" t="s">
        <v>107</v>
      </c>
      <c r="F105" t="s">
        <v>304</v>
      </c>
      <c r="G105" t="s">
        <v>241</v>
      </c>
      <c r="H105" t="s">
        <v>305</v>
      </c>
      <c r="I105">
        <v>1</v>
      </c>
      <c r="J105">
        <v>0</v>
      </c>
      <c r="K105">
        <v>30</v>
      </c>
      <c r="L105">
        <v>31.536000000000001</v>
      </c>
      <c r="M105">
        <v>1408.7255732468459</v>
      </c>
      <c r="N105">
        <v>1361.639988003599</v>
      </c>
      <c r="O105">
        <v>1133.299589912358</v>
      </c>
      <c r="P105">
        <v>904.95919182111663</v>
      </c>
      <c r="Q105">
        <v>833.38868486743809</v>
      </c>
      <c r="R105">
        <v>761.81817791375954</v>
      </c>
      <c r="S105">
        <v>690.24767096007986</v>
      </c>
      <c r="T105">
        <v>690.24767096007986</v>
      </c>
      <c r="U105">
        <v>25.474928501147339</v>
      </c>
      <c r="V105">
        <v>23.161525476034619</v>
      </c>
      <c r="W105">
        <v>20.33362233495237</v>
      </c>
      <c r="X105">
        <v>17.547705083846161</v>
      </c>
      <c r="Y105">
        <v>16.785562476399669</v>
      </c>
      <c r="Z105">
        <v>16.023491074974441</v>
      </c>
      <c r="AA105">
        <v>15.26149145474046</v>
      </c>
      <c r="AB105">
        <v>15.26149145474046</v>
      </c>
      <c r="AS105">
        <v>0.30297949893350101</v>
      </c>
      <c r="AT105">
        <v>0.30974988165310702</v>
      </c>
      <c r="AU105">
        <v>0.31821286005261501</v>
      </c>
      <c r="AV105">
        <v>0.326675838452123</v>
      </c>
      <c r="AW105">
        <v>0.33273033738785301</v>
      </c>
      <c r="AX105">
        <v>0.33878483632358303</v>
      </c>
      <c r="AY105">
        <v>0.34483933525931398</v>
      </c>
      <c r="AZ105">
        <v>0.34483933525931398</v>
      </c>
    </row>
    <row r="106" spans="1:52" x14ac:dyDescent="0.25">
      <c r="A106" t="s">
        <v>93</v>
      </c>
      <c r="B106" t="s">
        <v>94</v>
      </c>
      <c r="D106">
        <v>2020</v>
      </c>
      <c r="E106" t="s">
        <v>306</v>
      </c>
      <c r="F106" t="s">
        <v>307</v>
      </c>
      <c r="G106" t="s">
        <v>308</v>
      </c>
      <c r="H106" t="s">
        <v>309</v>
      </c>
      <c r="I106">
        <v>1</v>
      </c>
      <c r="J106">
        <v>0</v>
      </c>
      <c r="K106">
        <v>30</v>
      </c>
      <c r="L106">
        <v>31.536000000000001</v>
      </c>
      <c r="M106">
        <v>31460.697595854352</v>
      </c>
      <c r="N106">
        <v>14377.273679133061</v>
      </c>
      <c r="O106">
        <v>11831.270197437971</v>
      </c>
      <c r="P106">
        <v>10737.0754783266</v>
      </c>
      <c r="Q106">
        <v>10471.319472413479</v>
      </c>
      <c r="R106">
        <v>10212.14125901206</v>
      </c>
      <c r="S106">
        <v>9959.3780295559682</v>
      </c>
      <c r="T106">
        <v>9959.3780295559682</v>
      </c>
      <c r="U106">
        <v>577.6944934023926</v>
      </c>
      <c r="V106">
        <v>475.06906559667732</v>
      </c>
      <c r="W106">
        <v>346.78728083953479</v>
      </c>
      <c r="X106">
        <v>218.50549608239001</v>
      </c>
      <c r="Y106">
        <v>218.50549608239001</v>
      </c>
      <c r="Z106">
        <v>218.50549608239001</v>
      </c>
      <c r="AA106">
        <v>218.50549608239001</v>
      </c>
      <c r="AB106">
        <v>218.50549608239001</v>
      </c>
      <c r="AS106">
        <v>0.8</v>
      </c>
      <c r="AT106">
        <v>0.8</v>
      </c>
      <c r="AU106">
        <v>0.8</v>
      </c>
      <c r="AV106">
        <v>0.8</v>
      </c>
      <c r="AW106">
        <v>0.8</v>
      </c>
      <c r="AX106">
        <v>0.8</v>
      </c>
      <c r="AY106">
        <v>0.8</v>
      </c>
      <c r="AZ106">
        <v>0.8</v>
      </c>
    </row>
    <row r="107" spans="1:52" x14ac:dyDescent="0.25">
      <c r="A107" t="s">
        <v>93</v>
      </c>
      <c r="B107" t="s">
        <v>94</v>
      </c>
      <c r="D107">
        <v>2020</v>
      </c>
      <c r="E107" t="s">
        <v>306</v>
      </c>
      <c r="F107" t="s">
        <v>310</v>
      </c>
      <c r="G107" t="s">
        <v>308</v>
      </c>
      <c r="H107" t="s">
        <v>311</v>
      </c>
      <c r="I107">
        <v>1</v>
      </c>
      <c r="J107">
        <v>0</v>
      </c>
      <c r="K107">
        <v>30</v>
      </c>
      <c r="L107">
        <v>31.536000000000001</v>
      </c>
      <c r="M107">
        <v>13283.75798017331</v>
      </c>
      <c r="N107">
        <v>9637.6059771330474</v>
      </c>
      <c r="O107">
        <v>8095.172880334916</v>
      </c>
      <c r="P107">
        <v>7384.1475554604731</v>
      </c>
      <c r="Q107">
        <v>7201.3806963307652</v>
      </c>
      <c r="R107">
        <v>7023.1375448525223</v>
      </c>
      <c r="S107">
        <v>6849.306133620843</v>
      </c>
      <c r="T107">
        <v>6849.306133620843</v>
      </c>
      <c r="U107">
        <v>226.85138225857901</v>
      </c>
      <c r="V107">
        <v>206.9459378176189</v>
      </c>
      <c r="W107">
        <v>182.06413226641871</v>
      </c>
      <c r="X107">
        <v>157.18232671521861</v>
      </c>
      <c r="Y107">
        <v>157.18232671521861</v>
      </c>
      <c r="Z107">
        <v>157.18232671521861</v>
      </c>
      <c r="AA107">
        <v>157.18232671521861</v>
      </c>
      <c r="AB107">
        <v>157.18232671521861</v>
      </c>
      <c r="AS107">
        <v>0.9</v>
      </c>
      <c r="AT107">
        <v>0.9</v>
      </c>
      <c r="AU107">
        <v>0.9</v>
      </c>
      <c r="AV107">
        <v>0.9</v>
      </c>
      <c r="AW107">
        <v>0.9</v>
      </c>
      <c r="AX107">
        <v>0.9</v>
      </c>
      <c r="AY107">
        <v>0.9</v>
      </c>
      <c r="AZ107">
        <v>0.9</v>
      </c>
    </row>
    <row r="108" spans="1:52" x14ac:dyDescent="0.25">
      <c r="A108" t="s">
        <v>93</v>
      </c>
      <c r="B108" t="s">
        <v>94</v>
      </c>
      <c r="D108">
        <v>2020</v>
      </c>
      <c r="E108" t="s">
        <v>306</v>
      </c>
      <c r="F108" t="s">
        <v>312</v>
      </c>
      <c r="G108" t="s">
        <v>308</v>
      </c>
      <c r="H108" t="s">
        <v>313</v>
      </c>
      <c r="I108">
        <v>1</v>
      </c>
      <c r="J108">
        <v>0</v>
      </c>
      <c r="K108">
        <v>30</v>
      </c>
      <c r="L108">
        <v>31.536000000000001</v>
      </c>
      <c r="M108">
        <v>6833.3612776205246</v>
      </c>
      <c r="N108">
        <v>6494.2398550813741</v>
      </c>
      <c r="O108">
        <v>5926.5816393206178</v>
      </c>
      <c r="P108">
        <v>5566.8367612057764</v>
      </c>
      <c r="Q108">
        <v>5429.0506101989558</v>
      </c>
      <c r="R108">
        <v>5294.6748382320866</v>
      </c>
      <c r="S108">
        <v>5163.6250341716059</v>
      </c>
      <c r="T108">
        <v>5163.6250341716059</v>
      </c>
      <c r="U108">
        <v>170.8099129312339</v>
      </c>
      <c r="V108">
        <v>162.09987547196229</v>
      </c>
      <c r="W108">
        <v>151.21232864787319</v>
      </c>
      <c r="X108">
        <v>140.32478182378409</v>
      </c>
      <c r="Y108">
        <v>140.32478182378409</v>
      </c>
      <c r="Z108">
        <v>140.32478182378409</v>
      </c>
      <c r="AA108">
        <v>140.32478182378409</v>
      </c>
      <c r="AB108">
        <v>140.32478182378409</v>
      </c>
      <c r="AS108">
        <v>0.8</v>
      </c>
      <c r="AT108">
        <v>0.8</v>
      </c>
      <c r="AU108">
        <v>0.8</v>
      </c>
      <c r="AV108">
        <v>0.8</v>
      </c>
      <c r="AW108">
        <v>0.8</v>
      </c>
      <c r="AX108">
        <v>0.8</v>
      </c>
      <c r="AY108">
        <v>0.8</v>
      </c>
      <c r="AZ108">
        <v>0.8</v>
      </c>
    </row>
    <row r="109" spans="1:52" x14ac:dyDescent="0.25">
      <c r="A109" t="s">
        <v>93</v>
      </c>
      <c r="B109" t="s">
        <v>94</v>
      </c>
      <c r="D109">
        <v>2020</v>
      </c>
      <c r="E109" t="s">
        <v>306</v>
      </c>
      <c r="F109" t="s">
        <v>314</v>
      </c>
      <c r="G109" t="s">
        <v>308</v>
      </c>
      <c r="H109" t="s">
        <v>315</v>
      </c>
      <c r="I109">
        <v>1</v>
      </c>
      <c r="J109">
        <v>0</v>
      </c>
      <c r="K109">
        <v>30</v>
      </c>
      <c r="L109">
        <v>31.536000000000001</v>
      </c>
      <c r="M109">
        <v>5141.5939435054142</v>
      </c>
      <c r="N109">
        <v>4951.1172552179423</v>
      </c>
      <c r="O109">
        <v>4562.0372121705796</v>
      </c>
      <c r="P109">
        <v>4305.0128616851307</v>
      </c>
      <c r="Q109">
        <v>4198.4584255320578</v>
      </c>
      <c r="R109">
        <v>4094.5413445341692</v>
      </c>
      <c r="S109">
        <v>3993.1963408629158</v>
      </c>
      <c r="T109">
        <v>3993.1963408629158</v>
      </c>
      <c r="U109">
        <v>128.4796870790527</v>
      </c>
      <c r="V109">
        <v>125.2302476581271</v>
      </c>
      <c r="W109">
        <v>121.1684483819723</v>
      </c>
      <c r="X109">
        <v>117.1066491058164</v>
      </c>
      <c r="Y109">
        <v>117.1066491058164</v>
      </c>
      <c r="Z109">
        <v>117.1066491058164</v>
      </c>
      <c r="AA109">
        <v>117.1066491058164</v>
      </c>
      <c r="AB109">
        <v>117.1066491058164</v>
      </c>
      <c r="AS109">
        <v>0.9</v>
      </c>
      <c r="AT109">
        <v>0.9</v>
      </c>
      <c r="AU109">
        <v>0.9</v>
      </c>
      <c r="AV109">
        <v>0.9</v>
      </c>
      <c r="AW109">
        <v>0.9</v>
      </c>
      <c r="AX109">
        <v>0.9</v>
      </c>
      <c r="AY109">
        <v>0.9</v>
      </c>
      <c r="AZ109">
        <v>0.9</v>
      </c>
    </row>
    <row r="110" spans="1:52" x14ac:dyDescent="0.25">
      <c r="A110" t="s">
        <v>93</v>
      </c>
      <c r="B110" t="s">
        <v>94</v>
      </c>
      <c r="D110">
        <v>2020</v>
      </c>
      <c r="E110" t="s">
        <v>306</v>
      </c>
      <c r="F110" t="s">
        <v>316</v>
      </c>
      <c r="G110" t="s">
        <v>308</v>
      </c>
      <c r="H110" t="s">
        <v>317</v>
      </c>
      <c r="I110">
        <v>1</v>
      </c>
      <c r="J110">
        <v>0</v>
      </c>
      <c r="K110">
        <v>30</v>
      </c>
      <c r="L110">
        <v>31.536000000000001</v>
      </c>
      <c r="M110">
        <v>21992.323802462361</v>
      </c>
      <c r="N110">
        <v>12255.16090351395</v>
      </c>
      <c r="O110">
        <v>9454.5181275553841</v>
      </c>
      <c r="P110">
        <v>8270.162478708824</v>
      </c>
      <c r="Q110">
        <v>8065.4656454760998</v>
      </c>
      <c r="R110">
        <v>7865.8353140978816</v>
      </c>
      <c r="S110">
        <v>7671.1460823359639</v>
      </c>
      <c r="T110">
        <v>7671.1460823359639</v>
      </c>
      <c r="U110">
        <v>511.69245686870539</v>
      </c>
      <c r="V110">
        <v>423.21671746731522</v>
      </c>
      <c r="W110">
        <v>312.62204321557658</v>
      </c>
      <c r="X110">
        <v>202.02736896383919</v>
      </c>
      <c r="Y110">
        <v>202.02736896383919</v>
      </c>
      <c r="Z110">
        <v>202.02736896383919</v>
      </c>
      <c r="AA110">
        <v>202.02736896383919</v>
      </c>
      <c r="AB110">
        <v>202.02736896383919</v>
      </c>
      <c r="AS110">
        <v>0.8</v>
      </c>
      <c r="AT110">
        <v>0.8</v>
      </c>
      <c r="AU110">
        <v>0.8</v>
      </c>
      <c r="AV110">
        <v>0.8</v>
      </c>
      <c r="AW110">
        <v>0.8</v>
      </c>
      <c r="AX110">
        <v>0.8</v>
      </c>
      <c r="AY110">
        <v>0.8</v>
      </c>
      <c r="AZ110">
        <v>0.8</v>
      </c>
    </row>
    <row r="111" spans="1:52" x14ac:dyDescent="0.25">
      <c r="A111" t="s">
        <v>93</v>
      </c>
      <c r="B111" t="s">
        <v>94</v>
      </c>
      <c r="D111">
        <v>2020</v>
      </c>
      <c r="E111" t="s">
        <v>306</v>
      </c>
      <c r="F111" t="s">
        <v>318</v>
      </c>
      <c r="G111" t="s">
        <v>308</v>
      </c>
      <c r="H111" t="s">
        <v>319</v>
      </c>
      <c r="I111">
        <v>1</v>
      </c>
      <c r="J111">
        <v>0</v>
      </c>
      <c r="K111">
        <v>30</v>
      </c>
      <c r="L111">
        <v>31.536000000000001</v>
      </c>
      <c r="M111">
        <v>10912.238665283079</v>
      </c>
      <c r="N111">
        <v>8830.3734012651621</v>
      </c>
      <c r="O111">
        <v>7281.7718478756387</v>
      </c>
      <c r="P111">
        <v>6496.013413542506</v>
      </c>
      <c r="Q111">
        <v>6335.2289818203126</v>
      </c>
      <c r="R111">
        <v>6178.4241652618221</v>
      </c>
      <c r="S111">
        <v>6025.5004634296538</v>
      </c>
      <c r="T111">
        <v>6025.5004634296538</v>
      </c>
      <c r="U111">
        <v>229.03184523140851</v>
      </c>
      <c r="V111">
        <v>208.8187313876694</v>
      </c>
      <c r="W111">
        <v>183.55233908299559</v>
      </c>
      <c r="X111">
        <v>158.2859467783218</v>
      </c>
      <c r="Y111">
        <v>158.2859467783218</v>
      </c>
      <c r="Z111">
        <v>158.2859467783218</v>
      </c>
      <c r="AA111">
        <v>158.2859467783218</v>
      </c>
      <c r="AB111">
        <v>158.2859467783218</v>
      </c>
      <c r="AS111">
        <v>0.9</v>
      </c>
      <c r="AT111">
        <v>0.9</v>
      </c>
      <c r="AU111">
        <v>0.9</v>
      </c>
      <c r="AV111">
        <v>0.9</v>
      </c>
      <c r="AW111">
        <v>0.9</v>
      </c>
      <c r="AX111">
        <v>0.9</v>
      </c>
      <c r="AY111">
        <v>0.9</v>
      </c>
      <c r="AZ111">
        <v>0.9</v>
      </c>
    </row>
    <row r="112" spans="1:52" x14ac:dyDescent="0.25">
      <c r="A112" t="s">
        <v>93</v>
      </c>
      <c r="B112" t="s">
        <v>94</v>
      </c>
      <c r="D112">
        <v>2020</v>
      </c>
      <c r="E112" t="s">
        <v>306</v>
      </c>
      <c r="F112" t="s">
        <v>320</v>
      </c>
      <c r="G112" t="s">
        <v>321</v>
      </c>
      <c r="H112" t="s">
        <v>322</v>
      </c>
      <c r="I112">
        <v>1</v>
      </c>
      <c r="K112">
        <v>60</v>
      </c>
      <c r="L112">
        <v>31.536000000000001</v>
      </c>
      <c r="M112">
        <v>8444.1992650031334</v>
      </c>
      <c r="N112">
        <v>7250.832397359708</v>
      </c>
      <c r="O112">
        <v>6914.1113115917906</v>
      </c>
      <c r="P112">
        <v>6684.4877455526803</v>
      </c>
      <c r="Q112">
        <v>6448.5118235884092</v>
      </c>
      <c r="R112">
        <v>6226.991405897541</v>
      </c>
      <c r="S112">
        <v>5964.6351733857236</v>
      </c>
      <c r="T112">
        <v>5964.6351733857236</v>
      </c>
      <c r="U112">
        <v>172.01215270850639</v>
      </c>
      <c r="V112">
        <v>172.01215270850639</v>
      </c>
      <c r="W112">
        <v>172.01215270850639</v>
      </c>
      <c r="X112">
        <v>172.01215270850639</v>
      </c>
      <c r="Y112">
        <v>172.01215270850639</v>
      </c>
      <c r="Z112">
        <v>172.01215270850639</v>
      </c>
      <c r="AA112">
        <v>172.01215270850639</v>
      </c>
      <c r="AB112">
        <v>172.01215270850639</v>
      </c>
      <c r="AC112">
        <v>0.7758312465122762</v>
      </c>
      <c r="AD112">
        <v>0.7758312465122762</v>
      </c>
      <c r="AE112">
        <v>0.7758312465122762</v>
      </c>
      <c r="AF112">
        <v>0.7758312465122762</v>
      </c>
      <c r="AG112">
        <v>0.7758312465122762</v>
      </c>
      <c r="AH112">
        <v>0.7758312465122762</v>
      </c>
      <c r="AI112">
        <v>0.7758312465122762</v>
      </c>
      <c r="AJ112">
        <v>0.7758312465122762</v>
      </c>
      <c r="AK112">
        <v>0.32661449618084121</v>
      </c>
      <c r="AL112">
        <v>0.32661449618084121</v>
      </c>
      <c r="AM112">
        <v>0.32661449618084121</v>
      </c>
      <c r="AN112">
        <v>0.32661449618084121</v>
      </c>
      <c r="AO112">
        <v>0.32661449618084121</v>
      </c>
      <c r="AP112">
        <v>0.32661449618084121</v>
      </c>
      <c r="AQ112">
        <v>0.32661449618084121</v>
      </c>
      <c r="AR112">
        <v>0.32661449618084121</v>
      </c>
      <c r="AS112">
        <v>0.92699999999999994</v>
      </c>
      <c r="AT112">
        <v>0.92699999999999994</v>
      </c>
      <c r="AU112">
        <v>0.92699999999999994</v>
      </c>
      <c r="AV112">
        <v>0.92699999999999994</v>
      </c>
      <c r="AW112">
        <v>0.92699999999999994</v>
      </c>
      <c r="AX112">
        <v>0.92699999999999994</v>
      </c>
      <c r="AY112">
        <v>0.92699999999999994</v>
      </c>
      <c r="AZ112">
        <v>0.92699999999999994</v>
      </c>
    </row>
    <row r="113" spans="1:52" x14ac:dyDescent="0.25">
      <c r="A113" t="s">
        <v>93</v>
      </c>
      <c r="B113" t="s">
        <v>94</v>
      </c>
      <c r="D113">
        <v>2020</v>
      </c>
      <c r="E113" t="s">
        <v>306</v>
      </c>
      <c r="F113" t="s">
        <v>323</v>
      </c>
      <c r="G113" t="s">
        <v>321</v>
      </c>
      <c r="H113" t="s">
        <v>324</v>
      </c>
      <c r="I113">
        <v>1</v>
      </c>
      <c r="K113">
        <v>45</v>
      </c>
      <c r="L113">
        <v>31.536000000000001</v>
      </c>
      <c r="M113">
        <v>9065.3830319337758</v>
      </c>
      <c r="N113">
        <v>7918.8504407839764</v>
      </c>
      <c r="O113">
        <v>7552.3337746519737</v>
      </c>
      <c r="P113">
        <v>7302.7832260803443</v>
      </c>
      <c r="Q113">
        <v>7046.2922342573784</v>
      </c>
      <c r="R113">
        <v>6805.5983868030689</v>
      </c>
      <c r="S113">
        <v>6520.2689090899366</v>
      </c>
      <c r="T113">
        <v>6520.2689090899366</v>
      </c>
      <c r="U113">
        <v>134.33502328274099</v>
      </c>
      <c r="V113">
        <v>134.33502328274099</v>
      </c>
      <c r="W113">
        <v>134.33502328274099</v>
      </c>
      <c r="X113">
        <v>134.33502328274099</v>
      </c>
      <c r="Y113">
        <v>134.33502328274099</v>
      </c>
      <c r="Z113">
        <v>134.33502328274099</v>
      </c>
      <c r="AA113">
        <v>134.33502328274099</v>
      </c>
      <c r="AB113">
        <v>134.33502328274099</v>
      </c>
      <c r="AC113">
        <v>0.9831383812078639</v>
      </c>
      <c r="AD113">
        <v>0.9831383812078639</v>
      </c>
      <c r="AE113">
        <v>0.9831383812078639</v>
      </c>
      <c r="AF113">
        <v>0.9831383812078639</v>
      </c>
      <c r="AG113">
        <v>0.9831383812078639</v>
      </c>
      <c r="AH113">
        <v>0.9831383812078639</v>
      </c>
      <c r="AI113">
        <v>0.9831383812078639</v>
      </c>
      <c r="AJ113">
        <v>0.9831383812078639</v>
      </c>
      <c r="AK113">
        <v>0.32661449618084121</v>
      </c>
      <c r="AL113">
        <v>0.32661449618084121</v>
      </c>
      <c r="AM113">
        <v>0.32661449618084121</v>
      </c>
      <c r="AN113">
        <v>0.32661449618084121</v>
      </c>
      <c r="AO113">
        <v>0.32661449618084121</v>
      </c>
      <c r="AP113">
        <v>0.32661449618084121</v>
      </c>
      <c r="AQ113">
        <v>0.32661449618084121</v>
      </c>
      <c r="AR113">
        <v>0.32661449618084121</v>
      </c>
      <c r="AS113">
        <v>0.92699999999999994</v>
      </c>
      <c r="AT113">
        <v>0.92699999999999994</v>
      </c>
      <c r="AU113">
        <v>0.92699999999999994</v>
      </c>
      <c r="AV113">
        <v>0.92699999999999994</v>
      </c>
      <c r="AW113">
        <v>0.92699999999999994</v>
      </c>
      <c r="AX113">
        <v>0.92699999999999994</v>
      </c>
      <c r="AY113">
        <v>0.92699999999999994</v>
      </c>
      <c r="AZ113">
        <v>0.92699999999999994</v>
      </c>
    </row>
    <row r="114" spans="1:52" x14ac:dyDescent="0.25">
      <c r="A114" t="s">
        <v>93</v>
      </c>
      <c r="B114" t="s">
        <v>94</v>
      </c>
      <c r="D114">
        <v>2020</v>
      </c>
      <c r="E114" t="s">
        <v>95</v>
      </c>
      <c r="F114" t="s">
        <v>325</v>
      </c>
      <c r="G114" t="s">
        <v>326</v>
      </c>
      <c r="H114" t="s">
        <v>327</v>
      </c>
      <c r="I114">
        <v>1</v>
      </c>
      <c r="K114">
        <v>15</v>
      </c>
      <c r="L114">
        <v>31.536000000000001</v>
      </c>
      <c r="M114">
        <v>5427.3482633967596</v>
      </c>
      <c r="N114">
        <v>4740.3000529735318</v>
      </c>
      <c r="O114">
        <v>4519.7512335657912</v>
      </c>
      <c r="P114">
        <v>4369.1119571391573</v>
      </c>
      <c r="Q114">
        <v>4214.7719944325481</v>
      </c>
      <c r="R114">
        <v>4069.880088046621</v>
      </c>
      <c r="S114">
        <v>3897.2529782515348</v>
      </c>
      <c r="T114">
        <v>3897.2529782515348</v>
      </c>
      <c r="U114">
        <v>177.77906027367459</v>
      </c>
      <c r="V114">
        <v>177.77906027367459</v>
      </c>
      <c r="W114">
        <v>177.77906027367459</v>
      </c>
      <c r="X114">
        <v>177.77906027367459</v>
      </c>
      <c r="Y114">
        <v>177.77906027367459</v>
      </c>
      <c r="Z114">
        <v>177.77906027367459</v>
      </c>
      <c r="AA114">
        <v>177.77906027367459</v>
      </c>
      <c r="AB114">
        <v>177.77906027367459</v>
      </c>
      <c r="AC114">
        <v>1.5830726649481259</v>
      </c>
      <c r="AD114">
        <v>1.5830726649481259</v>
      </c>
      <c r="AE114">
        <v>1.5830726649481259</v>
      </c>
      <c r="AF114">
        <v>1.5830726649481259</v>
      </c>
      <c r="AG114">
        <v>1.5830726649481259</v>
      </c>
      <c r="AH114">
        <v>1.5830726649481259</v>
      </c>
      <c r="AI114">
        <v>1.5830726649481259</v>
      </c>
      <c r="AJ114">
        <v>1.5830726649481259</v>
      </c>
      <c r="AK114">
        <v>0.25275123271120348</v>
      </c>
      <c r="AL114">
        <v>0.25275123271120348</v>
      </c>
      <c r="AM114">
        <v>0.25275123271120348</v>
      </c>
      <c r="AN114">
        <v>0.25275123271120348</v>
      </c>
      <c r="AO114">
        <v>0.25275123271120348</v>
      </c>
      <c r="AP114">
        <v>0.25275123271120348</v>
      </c>
      <c r="AQ114">
        <v>0.25275123271120348</v>
      </c>
      <c r="AR114">
        <v>0.25275123271120348</v>
      </c>
      <c r="AS114">
        <v>0.6349999999999999</v>
      </c>
      <c r="AT114">
        <v>0.6349999999999999</v>
      </c>
      <c r="AU114">
        <v>0.6349999999999999</v>
      </c>
      <c r="AV114">
        <v>0.6349999999999999</v>
      </c>
      <c r="AW114">
        <v>0.6349999999999999</v>
      </c>
      <c r="AX114">
        <v>0.6349999999999999</v>
      </c>
      <c r="AY114">
        <v>0.6349999999999999</v>
      </c>
      <c r="AZ114">
        <v>0.6349999999999999</v>
      </c>
    </row>
    <row r="115" spans="1:52" x14ac:dyDescent="0.25">
      <c r="A115" t="s">
        <v>93</v>
      </c>
      <c r="B115" t="s">
        <v>94</v>
      </c>
      <c r="D115">
        <v>2020</v>
      </c>
      <c r="E115" t="s">
        <v>148</v>
      </c>
      <c r="F115" t="s">
        <v>328</v>
      </c>
      <c r="G115" t="s">
        <v>148</v>
      </c>
      <c r="H115" t="s">
        <v>329</v>
      </c>
      <c r="I115">
        <v>1</v>
      </c>
      <c r="K115">
        <v>15</v>
      </c>
      <c r="L115">
        <v>31.536000000000001</v>
      </c>
      <c r="M115">
        <v>3979.7975262002992</v>
      </c>
      <c r="N115">
        <v>3570.95885713092</v>
      </c>
      <c r="O115">
        <v>2904.7141442618358</v>
      </c>
      <c r="P115">
        <v>2659.4796578177579</v>
      </c>
      <c r="Q115">
        <v>2415.0338331035132</v>
      </c>
      <c r="R115">
        <v>2171.5586569045131</v>
      </c>
      <c r="S115">
        <v>1929.2967739077051</v>
      </c>
      <c r="T115">
        <v>1929.2967739077051</v>
      </c>
      <c r="U115">
        <v>99.494938155007475</v>
      </c>
      <c r="V115">
        <v>89.273971428273015</v>
      </c>
      <c r="W115">
        <v>72.617853606545964</v>
      </c>
      <c r="X115">
        <v>66.486991445444076</v>
      </c>
      <c r="Y115">
        <v>60.375845827587987</v>
      </c>
      <c r="Z115">
        <v>54.288966422612823</v>
      </c>
      <c r="AA115">
        <v>48.232419347692897</v>
      </c>
      <c r="AB115">
        <v>48.232419347692897</v>
      </c>
      <c r="AS115">
        <v>0.41666666666666669</v>
      </c>
      <c r="AT115">
        <v>0.41666666666666669</v>
      </c>
      <c r="AU115">
        <v>0.41666666666666669</v>
      </c>
      <c r="AV115">
        <v>0.41666666666666669</v>
      </c>
      <c r="AW115">
        <v>0.41666666666666669</v>
      </c>
      <c r="AX115">
        <v>0.41666666666666669</v>
      </c>
      <c r="AY115">
        <v>0.41666666666666669</v>
      </c>
      <c r="AZ115">
        <v>0.41666666666666669</v>
      </c>
    </row>
    <row r="116" spans="1:52" x14ac:dyDescent="0.25">
      <c r="A116" t="s">
        <v>93</v>
      </c>
      <c r="B116" t="s">
        <v>94</v>
      </c>
      <c r="D116">
        <v>2020</v>
      </c>
      <c r="E116" t="s">
        <v>148</v>
      </c>
      <c r="F116" t="s">
        <v>330</v>
      </c>
      <c r="G116" t="s">
        <v>148</v>
      </c>
      <c r="H116" t="s">
        <v>331</v>
      </c>
      <c r="I116">
        <v>1</v>
      </c>
      <c r="K116">
        <v>15</v>
      </c>
      <c r="L116">
        <v>31.536000000000001</v>
      </c>
      <c r="M116">
        <v>1066.482018489656</v>
      </c>
      <c r="N116">
        <v>974.98776505193177</v>
      </c>
      <c r="O116">
        <v>846.78511114459968</v>
      </c>
      <c r="P116">
        <v>788.57210787219162</v>
      </c>
      <c r="Q116">
        <v>730.12180374793365</v>
      </c>
      <c r="R116">
        <v>671.37944067013586</v>
      </c>
      <c r="S116">
        <v>612.27200914849584</v>
      </c>
      <c r="T116">
        <v>612.27200914849584</v>
      </c>
      <c r="U116">
        <v>26.6620504622414</v>
      </c>
      <c r="V116">
        <v>24.374694126298269</v>
      </c>
      <c r="W116">
        <v>21.169627778614931</v>
      </c>
      <c r="X116">
        <v>19.71430269680479</v>
      </c>
      <c r="Y116">
        <v>18.253045093698258</v>
      </c>
      <c r="Z116">
        <v>16.784486016753341</v>
      </c>
      <c r="AA116">
        <v>15.306800228712341</v>
      </c>
      <c r="AB116">
        <v>15.306800228712341</v>
      </c>
      <c r="AS116">
        <v>8.3333333333333329E-2</v>
      </c>
      <c r="AT116">
        <v>8.3333333333333329E-2</v>
      </c>
      <c r="AU116">
        <v>8.3333333333333329E-2</v>
      </c>
      <c r="AV116">
        <v>8.3333333333333329E-2</v>
      </c>
      <c r="AW116">
        <v>8.3333333333333329E-2</v>
      </c>
      <c r="AX116">
        <v>8.3333333333333329E-2</v>
      </c>
      <c r="AY116">
        <v>8.3333333333333329E-2</v>
      </c>
      <c r="AZ116">
        <v>8.3333333333333329E-2</v>
      </c>
    </row>
    <row r="117" spans="1:52" x14ac:dyDescent="0.25">
      <c r="A117" t="s">
        <v>93</v>
      </c>
      <c r="B117" t="s">
        <v>94</v>
      </c>
      <c r="D117">
        <v>2020</v>
      </c>
      <c r="E117" t="s">
        <v>148</v>
      </c>
      <c r="F117" t="s">
        <v>332</v>
      </c>
      <c r="G117" t="s">
        <v>148</v>
      </c>
      <c r="H117" t="s">
        <v>333</v>
      </c>
      <c r="I117">
        <v>1</v>
      </c>
      <c r="K117">
        <v>15</v>
      </c>
      <c r="L117">
        <v>31.536000000000001</v>
      </c>
      <c r="M117">
        <v>1794.810895417316</v>
      </c>
      <c r="N117">
        <v>1623.980538071678</v>
      </c>
      <c r="O117">
        <v>1361.2673694239049</v>
      </c>
      <c r="P117">
        <v>1256.298995358582</v>
      </c>
      <c r="Q117">
        <v>1151.34981108683</v>
      </c>
      <c r="R117">
        <v>1046.4242447287311</v>
      </c>
      <c r="S117">
        <v>941.52820033830039</v>
      </c>
      <c r="T117">
        <v>941.52820033830039</v>
      </c>
      <c r="U117">
        <v>44.870272385432912</v>
      </c>
      <c r="V117">
        <v>40.599513451791957</v>
      </c>
      <c r="W117">
        <v>34.031684235597687</v>
      </c>
      <c r="X117">
        <v>31.407474883964611</v>
      </c>
      <c r="Y117">
        <v>28.783745277170748</v>
      </c>
      <c r="Z117">
        <v>26.160606118218261</v>
      </c>
      <c r="AA117">
        <v>23.538205008457481</v>
      </c>
      <c r="AB117">
        <v>23.538205008457481</v>
      </c>
      <c r="AS117">
        <v>0.16666666666666671</v>
      </c>
      <c r="AT117">
        <v>0.16666666666666671</v>
      </c>
      <c r="AU117">
        <v>0.16666666666666671</v>
      </c>
      <c r="AV117">
        <v>0.16666666666666671</v>
      </c>
      <c r="AW117">
        <v>0.16666666666666671</v>
      </c>
      <c r="AX117">
        <v>0.16666666666666671</v>
      </c>
      <c r="AY117">
        <v>0.16666666666666671</v>
      </c>
      <c r="AZ117">
        <v>0.16666666666666671</v>
      </c>
    </row>
    <row r="118" spans="1:52" x14ac:dyDescent="0.25">
      <c r="A118" t="s">
        <v>93</v>
      </c>
      <c r="B118" t="s">
        <v>94</v>
      </c>
      <c r="D118">
        <v>2020</v>
      </c>
      <c r="E118" t="s">
        <v>148</v>
      </c>
      <c r="F118" t="s">
        <v>334</v>
      </c>
      <c r="G118" t="s">
        <v>148</v>
      </c>
      <c r="H118" t="s">
        <v>335</v>
      </c>
      <c r="I118">
        <v>1</v>
      </c>
      <c r="K118">
        <v>15</v>
      </c>
      <c r="L118">
        <v>31.536000000000001</v>
      </c>
      <c r="M118">
        <v>2523.1397723449768</v>
      </c>
      <c r="N118">
        <v>2272.9733110914258</v>
      </c>
      <c r="O118">
        <v>1875.749627703216</v>
      </c>
      <c r="P118">
        <v>1724.025882844971</v>
      </c>
      <c r="Q118">
        <v>1572.577818425721</v>
      </c>
      <c r="R118">
        <v>1421.469048787317</v>
      </c>
      <c r="S118">
        <v>1270.7843915281051</v>
      </c>
      <c r="T118">
        <v>1270.7843915281051</v>
      </c>
      <c r="U118">
        <v>63.078494308624443</v>
      </c>
      <c r="V118">
        <v>56.82433277728564</v>
      </c>
      <c r="W118">
        <v>46.893740692580437</v>
      </c>
      <c r="X118">
        <v>43.100647071124428</v>
      </c>
      <c r="Y118">
        <v>39.314445460643128</v>
      </c>
      <c r="Z118">
        <v>35.536726219683082</v>
      </c>
      <c r="AA118">
        <v>31.769609788202619</v>
      </c>
      <c r="AB118">
        <v>31.769609788202619</v>
      </c>
      <c r="AS118">
        <v>0.25</v>
      </c>
      <c r="AT118">
        <v>0.25</v>
      </c>
      <c r="AU118">
        <v>0.25</v>
      </c>
      <c r="AV118">
        <v>0.25</v>
      </c>
      <c r="AW118">
        <v>0.25</v>
      </c>
      <c r="AX118">
        <v>0.25</v>
      </c>
      <c r="AY118">
        <v>0.25</v>
      </c>
      <c r="AZ118">
        <v>0.25</v>
      </c>
    </row>
    <row r="119" spans="1:52" x14ac:dyDescent="0.25">
      <c r="A119" t="s">
        <v>93</v>
      </c>
      <c r="B119" t="s">
        <v>94</v>
      </c>
      <c r="D119">
        <v>2020</v>
      </c>
      <c r="E119" t="s">
        <v>148</v>
      </c>
      <c r="F119" t="s">
        <v>336</v>
      </c>
      <c r="G119" t="s">
        <v>148</v>
      </c>
      <c r="H119" t="s">
        <v>337</v>
      </c>
      <c r="I119">
        <v>1</v>
      </c>
      <c r="K119">
        <v>15</v>
      </c>
      <c r="L119">
        <v>31.536000000000001</v>
      </c>
      <c r="M119">
        <v>3251.4686492726378</v>
      </c>
      <c r="N119">
        <v>2921.9660841111731</v>
      </c>
      <c r="O119">
        <v>2390.2318859825259</v>
      </c>
      <c r="P119">
        <v>2191.7527703313699</v>
      </c>
      <c r="Q119">
        <v>1993.8058257646221</v>
      </c>
      <c r="R119">
        <v>1796.513852845909</v>
      </c>
      <c r="S119">
        <v>1600.0405827179111</v>
      </c>
      <c r="T119">
        <v>1600.0405827179111</v>
      </c>
      <c r="U119">
        <v>81.286716231815959</v>
      </c>
      <c r="V119">
        <v>73.049152102779317</v>
      </c>
      <c r="W119">
        <v>59.755797149563207</v>
      </c>
      <c r="X119">
        <v>54.793819258284259</v>
      </c>
      <c r="Y119">
        <v>49.845145644115611</v>
      </c>
      <c r="Z119">
        <v>44.912846321147903</v>
      </c>
      <c r="AA119">
        <v>40.001014567947763</v>
      </c>
      <c r="AB119">
        <v>40.001014567947763</v>
      </c>
      <c r="AS119">
        <v>0.33333333333333331</v>
      </c>
      <c r="AT119">
        <v>0.33333333333333331</v>
      </c>
      <c r="AU119">
        <v>0.33333333333333331</v>
      </c>
      <c r="AV119">
        <v>0.33333333333333331</v>
      </c>
      <c r="AW119">
        <v>0.33333333333333331</v>
      </c>
      <c r="AX119">
        <v>0.33333333333333331</v>
      </c>
      <c r="AY119">
        <v>0.33333333333333331</v>
      </c>
      <c r="AZ119">
        <v>0.33333333333333331</v>
      </c>
    </row>
    <row r="120" spans="1:52" x14ac:dyDescent="0.25">
      <c r="A120" t="s">
        <v>93</v>
      </c>
      <c r="B120" t="s">
        <v>94</v>
      </c>
      <c r="D120">
        <v>2020</v>
      </c>
      <c r="E120" t="s">
        <v>95</v>
      </c>
      <c r="F120" t="s">
        <v>338</v>
      </c>
      <c r="G120" t="s">
        <v>339</v>
      </c>
      <c r="H120" t="s">
        <v>340</v>
      </c>
      <c r="I120">
        <v>1</v>
      </c>
      <c r="K120">
        <v>30</v>
      </c>
      <c r="L120">
        <v>31.536000000000001</v>
      </c>
      <c r="M120">
        <v>5365.9378744605992</v>
      </c>
      <c r="N120">
        <v>5176.1953079046734</v>
      </c>
      <c r="O120">
        <v>4859.8069281528979</v>
      </c>
      <c r="P120">
        <v>4543.5316250200467</v>
      </c>
      <c r="Q120">
        <v>4295.7807529556649</v>
      </c>
      <c r="R120">
        <v>4048.029880891283</v>
      </c>
      <c r="S120">
        <v>3800.2790088269021</v>
      </c>
      <c r="T120">
        <v>3800.2790088269021</v>
      </c>
      <c r="U120">
        <v>138.0665517072616</v>
      </c>
      <c r="V120">
        <v>135.23963623413991</v>
      </c>
      <c r="W120">
        <v>127.88965600402361</v>
      </c>
      <c r="X120">
        <v>120.6527523928322</v>
      </c>
      <c r="Y120">
        <v>114.885844827664</v>
      </c>
      <c r="Z120">
        <v>109.11893726249581</v>
      </c>
      <c r="AA120">
        <v>103.35202969732769</v>
      </c>
      <c r="AB120">
        <v>103.35202969732769</v>
      </c>
      <c r="AC120">
        <v>4.6141542555730108</v>
      </c>
      <c r="AD120">
        <v>4.488513567878714</v>
      </c>
      <c r="AE120">
        <v>4.2780654159907696</v>
      </c>
      <c r="AF120">
        <v>4.0707582812951824</v>
      </c>
      <c r="AG120">
        <v>3.998514885870962</v>
      </c>
      <c r="AH120">
        <v>3.923130473254385</v>
      </c>
      <c r="AI120">
        <v>3.8508870778301638</v>
      </c>
      <c r="AJ120">
        <v>3.8508870778301638</v>
      </c>
      <c r="AK120">
        <v>0.3119529750961097</v>
      </c>
      <c r="AL120">
        <v>0.31684851347397602</v>
      </c>
      <c r="AM120">
        <v>0.32533768512597722</v>
      </c>
      <c r="AN120">
        <v>0.33429427271492579</v>
      </c>
      <c r="AO120">
        <v>0.33429427271492579</v>
      </c>
      <c r="AP120">
        <v>0.33429427271492579</v>
      </c>
      <c r="AQ120">
        <v>0.33429427271492579</v>
      </c>
      <c r="AR120">
        <v>0.33429427271492579</v>
      </c>
      <c r="AS120">
        <v>0.9</v>
      </c>
      <c r="AT120">
        <v>0.9</v>
      </c>
      <c r="AU120">
        <v>0.9</v>
      </c>
      <c r="AV120">
        <v>0.9</v>
      </c>
      <c r="AW120">
        <v>0.9</v>
      </c>
      <c r="AX120">
        <v>0.9</v>
      </c>
      <c r="AY120">
        <v>0.9</v>
      </c>
      <c r="AZ120">
        <v>0.9</v>
      </c>
    </row>
    <row r="121" spans="1:52" x14ac:dyDescent="0.25">
      <c r="A121" t="s">
        <v>93</v>
      </c>
      <c r="B121" t="s">
        <v>94</v>
      </c>
      <c r="D121">
        <v>2020</v>
      </c>
      <c r="E121" t="s">
        <v>95</v>
      </c>
      <c r="F121" t="s">
        <v>341</v>
      </c>
      <c r="G121" t="s">
        <v>339</v>
      </c>
      <c r="H121" t="s">
        <v>342</v>
      </c>
      <c r="I121">
        <v>1</v>
      </c>
      <c r="K121">
        <v>30</v>
      </c>
      <c r="L121">
        <v>31.536000000000001</v>
      </c>
      <c r="M121">
        <v>5490.0960020401017</v>
      </c>
      <c r="N121">
        <v>5291.7596124458869</v>
      </c>
      <c r="O121">
        <v>4961.1235787095784</v>
      </c>
      <c r="P121">
        <v>4630.487544973269</v>
      </c>
      <c r="Q121">
        <v>4377.9874549140432</v>
      </c>
      <c r="R121">
        <v>4125.6004414737417</v>
      </c>
      <c r="S121">
        <v>3873.1003514145159</v>
      </c>
      <c r="T121">
        <v>3873.1003514145159</v>
      </c>
      <c r="U121">
        <v>140.89346718038331</v>
      </c>
      <c r="V121">
        <v>137.84039846941181</v>
      </c>
      <c r="W121">
        <v>130.26426500144581</v>
      </c>
      <c r="X121">
        <v>122.5750549145549</v>
      </c>
      <c r="Y121">
        <v>116.69507073046189</v>
      </c>
      <c r="Z121">
        <v>110.9281631652937</v>
      </c>
      <c r="AA121">
        <v>105.04817898120061</v>
      </c>
      <c r="AB121">
        <v>105.04817898120061</v>
      </c>
      <c r="AC121">
        <v>4.7272308744978773</v>
      </c>
      <c r="AD121">
        <v>4.5953081524188661</v>
      </c>
      <c r="AE121">
        <v>4.3754369489538494</v>
      </c>
      <c r="AF121">
        <v>4.1587067626811889</v>
      </c>
      <c r="AG121">
        <v>4.083322350064611</v>
      </c>
      <c r="AH121">
        <v>4.0079379374480339</v>
      </c>
      <c r="AI121">
        <v>3.932553524831456</v>
      </c>
      <c r="AJ121">
        <v>3.932553524831456</v>
      </c>
      <c r="AK121">
        <v>0.30695768636211301</v>
      </c>
      <c r="AL121">
        <v>0.3119529750961097</v>
      </c>
      <c r="AM121">
        <v>0.32059960928321413</v>
      </c>
      <c r="AN121">
        <v>0.3297392386549331</v>
      </c>
      <c r="AO121">
        <v>0.3297392386549331</v>
      </c>
      <c r="AP121">
        <v>0.3297392386549331</v>
      </c>
      <c r="AQ121">
        <v>0.3297392386549331</v>
      </c>
      <c r="AR121">
        <v>0.3297392386549331</v>
      </c>
      <c r="AS121">
        <v>0.9</v>
      </c>
      <c r="AT121">
        <v>0.9</v>
      </c>
      <c r="AU121">
        <v>0.9</v>
      </c>
      <c r="AV121">
        <v>0.9</v>
      </c>
      <c r="AW121">
        <v>0.9</v>
      </c>
      <c r="AX121">
        <v>0.9</v>
      </c>
      <c r="AY121">
        <v>0.9</v>
      </c>
      <c r="AZ121">
        <v>0.9</v>
      </c>
    </row>
    <row r="122" spans="1:52" x14ac:dyDescent="0.25">
      <c r="A122" t="s">
        <v>93</v>
      </c>
      <c r="B122" t="s">
        <v>94</v>
      </c>
      <c r="D122">
        <v>2020</v>
      </c>
      <c r="E122" t="s">
        <v>95</v>
      </c>
      <c r="F122" t="s">
        <v>343</v>
      </c>
      <c r="G122" t="s">
        <v>339</v>
      </c>
      <c r="H122" t="s">
        <v>344</v>
      </c>
      <c r="I122">
        <v>1</v>
      </c>
      <c r="K122">
        <v>30</v>
      </c>
      <c r="L122">
        <v>31.536000000000001</v>
      </c>
      <c r="M122">
        <v>3230.2597728266519</v>
      </c>
      <c r="N122">
        <v>3177.4529917887389</v>
      </c>
      <c r="O122">
        <v>3089.5924588841181</v>
      </c>
      <c r="P122">
        <v>3001.6188493605719</v>
      </c>
      <c r="Q122">
        <v>2857.6723134692179</v>
      </c>
      <c r="R122">
        <v>2713.8388541967879</v>
      </c>
      <c r="S122">
        <v>2569.892318305433</v>
      </c>
      <c r="T122">
        <v>2569.892318305433</v>
      </c>
      <c r="U122">
        <v>87.747456285696146</v>
      </c>
      <c r="V122">
        <v>86.8428433342972</v>
      </c>
      <c r="W122">
        <v>84.920540812574487</v>
      </c>
      <c r="X122">
        <v>82.885161671926895</v>
      </c>
      <c r="Y122">
        <v>79.492863104180898</v>
      </c>
      <c r="Z122">
        <v>76.213641155359781</v>
      </c>
      <c r="AA122">
        <v>72.821342587613799</v>
      </c>
      <c r="AB122">
        <v>72.821342587613799</v>
      </c>
      <c r="AC122">
        <v>2.6573005447343552</v>
      </c>
      <c r="AD122">
        <v>2.625890372810781</v>
      </c>
      <c r="AE122">
        <v>2.5693520633483482</v>
      </c>
      <c r="AF122">
        <v>2.5159547710782721</v>
      </c>
      <c r="AG122">
        <v>2.471980530385268</v>
      </c>
      <c r="AH122">
        <v>2.4311473068846232</v>
      </c>
      <c r="AI122">
        <v>2.3871730661916191</v>
      </c>
      <c r="AJ122">
        <v>2.3871730661916191</v>
      </c>
      <c r="AK122">
        <v>0.40190125342770883</v>
      </c>
      <c r="AL122">
        <v>0.40529060952622031</v>
      </c>
      <c r="AM122">
        <v>0.41110140260256012</v>
      </c>
      <c r="AN122">
        <v>0.41703026663422721</v>
      </c>
      <c r="AO122">
        <v>0.41703026663422721</v>
      </c>
      <c r="AP122">
        <v>0.41703026663422721</v>
      </c>
      <c r="AQ122">
        <v>0.41703026663422721</v>
      </c>
      <c r="AR122">
        <v>0.41703026663422721</v>
      </c>
      <c r="AS122">
        <v>0.9</v>
      </c>
      <c r="AT122">
        <v>0.9</v>
      </c>
      <c r="AU122">
        <v>0.9</v>
      </c>
      <c r="AV122">
        <v>0.9</v>
      </c>
      <c r="AW122">
        <v>0.9</v>
      </c>
      <c r="AX122">
        <v>0.9</v>
      </c>
      <c r="AY122">
        <v>0.9</v>
      </c>
      <c r="AZ122">
        <v>0.9</v>
      </c>
    </row>
    <row r="123" spans="1:52" x14ac:dyDescent="0.25">
      <c r="A123" t="s">
        <v>93</v>
      </c>
      <c r="B123" t="s">
        <v>94</v>
      </c>
      <c r="D123">
        <v>2020</v>
      </c>
      <c r="E123" t="s">
        <v>95</v>
      </c>
      <c r="F123" t="s">
        <v>345</v>
      </c>
      <c r="G123" t="s">
        <v>339</v>
      </c>
      <c r="H123" t="s">
        <v>346</v>
      </c>
      <c r="I123">
        <v>1</v>
      </c>
      <c r="K123">
        <v>30</v>
      </c>
      <c r="L123">
        <v>31.536000000000001</v>
      </c>
      <c r="M123">
        <v>5656.5447850975052</v>
      </c>
      <c r="N123">
        <v>5623.0741058957447</v>
      </c>
      <c r="O123">
        <v>5567.3273327657853</v>
      </c>
      <c r="P123">
        <v>5511.6936362547513</v>
      </c>
      <c r="Q123">
        <v>5455.9468631247919</v>
      </c>
      <c r="R123">
        <v>5400.3131666137579</v>
      </c>
      <c r="S123">
        <v>5344.5663934837976</v>
      </c>
      <c r="T123">
        <v>5344.5663934837976</v>
      </c>
      <c r="U123">
        <v>169.72800500622409</v>
      </c>
      <c r="V123">
        <v>169.16262191159981</v>
      </c>
      <c r="W123">
        <v>167.6926258655765</v>
      </c>
      <c r="X123">
        <v>166.1095532006284</v>
      </c>
      <c r="Y123">
        <v>164.63955715460509</v>
      </c>
      <c r="Z123">
        <v>163.05648448965701</v>
      </c>
      <c r="AA123">
        <v>161.58648844363381</v>
      </c>
      <c r="AB123">
        <v>161.58648844363381</v>
      </c>
      <c r="AC123">
        <v>4.639282393111869</v>
      </c>
      <c r="AD123">
        <v>4.6172952727653689</v>
      </c>
      <c r="AE123">
        <v>4.5827440836494384</v>
      </c>
      <c r="AF123">
        <v>4.5481928945335062</v>
      </c>
      <c r="AG123">
        <v>4.5105006882252159</v>
      </c>
      <c r="AH123">
        <v>4.4759494991092863</v>
      </c>
      <c r="AI123">
        <v>4.4413983099933541</v>
      </c>
      <c r="AJ123">
        <v>4.4413983099933541</v>
      </c>
      <c r="AK123">
        <v>0.41070554183934138</v>
      </c>
      <c r="AL123">
        <v>0.41070554183934138</v>
      </c>
      <c r="AM123">
        <v>0.41070554183934138</v>
      </c>
      <c r="AN123">
        <v>0.41070554183934138</v>
      </c>
      <c r="AO123">
        <v>0.41070554183934138</v>
      </c>
      <c r="AP123">
        <v>0.41070554183934138</v>
      </c>
      <c r="AQ123">
        <v>0.41070554183934138</v>
      </c>
      <c r="AR123">
        <v>0.41070554183934138</v>
      </c>
      <c r="AS123">
        <v>0.9</v>
      </c>
      <c r="AT123">
        <v>0.9</v>
      </c>
      <c r="AU123">
        <v>0.9</v>
      </c>
      <c r="AV123">
        <v>0.9</v>
      </c>
      <c r="AW123">
        <v>0.9</v>
      </c>
      <c r="AX123">
        <v>0.9</v>
      </c>
      <c r="AY123">
        <v>0.9</v>
      </c>
      <c r="AZ123">
        <v>0.9</v>
      </c>
    </row>
    <row r="124" spans="1:52" x14ac:dyDescent="0.25">
      <c r="A124" t="s">
        <v>93</v>
      </c>
      <c r="B124" t="s">
        <v>94</v>
      </c>
      <c r="D124">
        <v>2020</v>
      </c>
      <c r="E124" t="s">
        <v>95</v>
      </c>
      <c r="F124" t="s">
        <v>347</v>
      </c>
      <c r="G124" t="s">
        <v>339</v>
      </c>
      <c r="H124" t="s">
        <v>348</v>
      </c>
      <c r="I124">
        <v>1</v>
      </c>
      <c r="K124">
        <v>30</v>
      </c>
      <c r="L124">
        <v>31.536000000000001</v>
      </c>
      <c r="M124">
        <v>2270.1262015356128</v>
      </c>
      <c r="N124">
        <v>2135.451948396098</v>
      </c>
      <c r="O124">
        <v>1910.7687065923881</v>
      </c>
      <c r="P124">
        <v>1686.1985414076039</v>
      </c>
      <c r="Q124">
        <v>1593.701867127063</v>
      </c>
      <c r="R124">
        <v>1501.0921162275979</v>
      </c>
      <c r="S124">
        <v>1408.5954419470579</v>
      </c>
      <c r="T124">
        <v>1408.5954419470579</v>
      </c>
      <c r="U124">
        <v>162.37802477610779</v>
      </c>
      <c r="V124">
        <v>158.7595729705121</v>
      </c>
      <c r="W124">
        <v>152.65343554856929</v>
      </c>
      <c r="X124">
        <v>146.43422150770169</v>
      </c>
      <c r="Y124">
        <v>141.23269703715781</v>
      </c>
      <c r="Z124">
        <v>135.9180959476891</v>
      </c>
      <c r="AA124">
        <v>130.71657147714529</v>
      </c>
      <c r="AB124">
        <v>130.71657147714529</v>
      </c>
      <c r="AC124">
        <v>5.0287685249641871</v>
      </c>
      <c r="AD124">
        <v>4.9376790263858226</v>
      </c>
      <c r="AE124">
        <v>4.7837691839603096</v>
      </c>
      <c r="AF124">
        <v>4.6330003587271564</v>
      </c>
      <c r="AG124">
        <v>4.5670389976876491</v>
      </c>
      <c r="AH124">
        <v>4.4979366194557873</v>
      </c>
      <c r="AI124">
        <v>4.4319752584162817</v>
      </c>
      <c r="AJ124">
        <v>4.4319752584162817</v>
      </c>
      <c r="AK124">
        <v>0.29384616272831959</v>
      </c>
      <c r="AL124">
        <v>0.29603866402925982</v>
      </c>
      <c r="AM124">
        <v>0.29973134588907657</v>
      </c>
      <c r="AN124">
        <v>0.30354431470520837</v>
      </c>
      <c r="AO124">
        <v>0.30354431470520837</v>
      </c>
      <c r="AP124">
        <v>0.30354431470520837</v>
      </c>
      <c r="AQ124">
        <v>0.30354431470520837</v>
      </c>
      <c r="AR124">
        <v>0.30354431470520837</v>
      </c>
      <c r="AS124">
        <v>0.9</v>
      </c>
      <c r="AT124">
        <v>0.9</v>
      </c>
      <c r="AU124">
        <v>0.9</v>
      </c>
      <c r="AV124">
        <v>0.9</v>
      </c>
      <c r="AW124">
        <v>0.9</v>
      </c>
      <c r="AX124">
        <v>0.9</v>
      </c>
      <c r="AY124">
        <v>0.9</v>
      </c>
      <c r="AZ124">
        <v>0.9</v>
      </c>
    </row>
    <row r="125" spans="1:52" x14ac:dyDescent="0.25">
      <c r="A125" t="s">
        <v>93</v>
      </c>
      <c r="B125" t="s">
        <v>94</v>
      </c>
      <c r="D125">
        <v>2020</v>
      </c>
      <c r="E125" t="s">
        <v>95</v>
      </c>
      <c r="F125" t="s">
        <v>349</v>
      </c>
      <c r="G125" t="s">
        <v>339</v>
      </c>
      <c r="H125" t="s">
        <v>350</v>
      </c>
      <c r="I125">
        <v>1</v>
      </c>
      <c r="K125">
        <v>30</v>
      </c>
      <c r="L125">
        <v>31.536000000000001</v>
      </c>
      <c r="M125">
        <v>2372.347465043692</v>
      </c>
      <c r="N125">
        <v>2230.77553814976</v>
      </c>
      <c r="O125">
        <v>1994.6715578346391</v>
      </c>
      <c r="P125">
        <v>1758.6806541384431</v>
      </c>
      <c r="Q125">
        <v>1662.113221576607</v>
      </c>
      <c r="R125">
        <v>1565.6588656336969</v>
      </c>
      <c r="S125">
        <v>1469.2045096907859</v>
      </c>
      <c r="T125">
        <v>1469.2045096907859</v>
      </c>
      <c r="U125">
        <v>166.3357064384781</v>
      </c>
      <c r="V125">
        <v>162.4911013950327</v>
      </c>
      <c r="W125">
        <v>155.93265749739041</v>
      </c>
      <c r="X125">
        <v>149.48729021867311</v>
      </c>
      <c r="Y125">
        <v>144.05961251027949</v>
      </c>
      <c r="Z125">
        <v>138.74501142081081</v>
      </c>
      <c r="AA125">
        <v>133.3173337124172</v>
      </c>
      <c r="AB125">
        <v>133.3173337124172</v>
      </c>
      <c r="AC125">
        <v>5.1449861610814098</v>
      </c>
      <c r="AD125">
        <v>5.0507556453106881</v>
      </c>
      <c r="AE125">
        <v>4.8905637685004608</v>
      </c>
      <c r="AF125">
        <v>4.7303718916902344</v>
      </c>
      <c r="AG125">
        <v>4.6612695134583726</v>
      </c>
      <c r="AH125">
        <v>4.592167135226509</v>
      </c>
      <c r="AI125">
        <v>4.5230647569946463</v>
      </c>
      <c r="AJ125">
        <v>4.5230647569946463</v>
      </c>
      <c r="AK125">
        <v>0.28933618600875499</v>
      </c>
      <c r="AL125">
        <v>0.2916360377436964</v>
      </c>
      <c r="AM125">
        <v>0.29552586537339759</v>
      </c>
      <c r="AN125">
        <v>0.29952086039336812</v>
      </c>
      <c r="AO125">
        <v>0.29952086039336812</v>
      </c>
      <c r="AP125">
        <v>0.29952086039336812</v>
      </c>
      <c r="AQ125">
        <v>0.29952086039336812</v>
      </c>
      <c r="AR125">
        <v>0.29952086039336812</v>
      </c>
      <c r="AS125">
        <v>0.9</v>
      </c>
      <c r="AT125">
        <v>0.9</v>
      </c>
      <c r="AU125">
        <v>0.9</v>
      </c>
      <c r="AV125">
        <v>0.9</v>
      </c>
      <c r="AW125">
        <v>0.9</v>
      </c>
      <c r="AX125">
        <v>0.9</v>
      </c>
      <c r="AY125">
        <v>0.9</v>
      </c>
      <c r="AZ125">
        <v>0.9</v>
      </c>
    </row>
    <row r="126" spans="1:52" x14ac:dyDescent="0.25">
      <c r="A126" t="s">
        <v>93</v>
      </c>
      <c r="B126" t="s">
        <v>94</v>
      </c>
      <c r="D126">
        <v>2020</v>
      </c>
      <c r="E126" t="s">
        <v>95</v>
      </c>
      <c r="F126" t="s">
        <v>351</v>
      </c>
      <c r="G126" t="s">
        <v>352</v>
      </c>
      <c r="H126" t="s">
        <v>353</v>
      </c>
      <c r="I126">
        <v>1</v>
      </c>
      <c r="K126">
        <v>30</v>
      </c>
      <c r="L126">
        <v>31.536000000000001</v>
      </c>
      <c r="M126">
        <v>1133.7061813407081</v>
      </c>
      <c r="N126">
        <v>1106.7939460365899</v>
      </c>
      <c r="O126">
        <v>1062.0156049423431</v>
      </c>
      <c r="P126">
        <v>1017.2372638480959</v>
      </c>
      <c r="Q126">
        <v>972.34584613492405</v>
      </c>
      <c r="R126">
        <v>927.56750504067713</v>
      </c>
      <c r="S126">
        <v>882.78916394642999</v>
      </c>
      <c r="T126">
        <v>882.78916394642999</v>
      </c>
      <c r="U126">
        <v>27.138388541967881</v>
      </c>
      <c r="V126">
        <v>26.686082066268408</v>
      </c>
      <c r="W126">
        <v>25.894545733794349</v>
      </c>
      <c r="X126">
        <v>25.21608602024515</v>
      </c>
      <c r="Y126">
        <v>24.424549687771091</v>
      </c>
      <c r="Z126">
        <v>23.633013355297031</v>
      </c>
      <c r="AA126">
        <v>22.954553641747829</v>
      </c>
      <c r="AB126">
        <v>22.954553641747829</v>
      </c>
      <c r="AC126">
        <v>2.0228150718781621</v>
      </c>
      <c r="AD126">
        <v>2.0228150718781621</v>
      </c>
      <c r="AE126">
        <v>2.0228150718781621</v>
      </c>
      <c r="AF126">
        <v>2.0228150718781621</v>
      </c>
      <c r="AG126">
        <v>2.0228150718781621</v>
      </c>
      <c r="AH126">
        <v>2.0228150718781621</v>
      </c>
      <c r="AI126">
        <v>2.0228150718781621</v>
      </c>
      <c r="AJ126">
        <v>2.0228150718781621</v>
      </c>
      <c r="AK126">
        <v>0.35115175893807221</v>
      </c>
      <c r="AL126">
        <v>0.35115175893807221</v>
      </c>
      <c r="AM126">
        <v>0.35115175893807221</v>
      </c>
      <c r="AN126">
        <v>0.35115175893807221</v>
      </c>
      <c r="AO126">
        <v>0.35115175893807221</v>
      </c>
      <c r="AP126">
        <v>0.35115175893807221</v>
      </c>
      <c r="AQ126">
        <v>0.35115175893807221</v>
      </c>
      <c r="AR126">
        <v>0.35115175893807221</v>
      </c>
      <c r="AS126">
        <v>0.9</v>
      </c>
      <c r="AT126">
        <v>0.9</v>
      </c>
      <c r="AU126">
        <v>0.9</v>
      </c>
      <c r="AV126">
        <v>0.9</v>
      </c>
      <c r="AW126">
        <v>0.9</v>
      </c>
      <c r="AX126">
        <v>0.9</v>
      </c>
      <c r="AY126">
        <v>0.9</v>
      </c>
      <c r="AZ126">
        <v>0.9</v>
      </c>
    </row>
    <row r="127" spans="1:52" x14ac:dyDescent="0.25">
      <c r="A127" t="s">
        <v>93</v>
      </c>
      <c r="B127" t="s">
        <v>94</v>
      </c>
      <c r="D127">
        <v>2020</v>
      </c>
      <c r="E127" t="s">
        <v>95</v>
      </c>
      <c r="F127" t="s">
        <v>354</v>
      </c>
      <c r="G127" t="s">
        <v>352</v>
      </c>
      <c r="H127" t="s">
        <v>355</v>
      </c>
      <c r="I127">
        <v>1</v>
      </c>
      <c r="K127">
        <v>30</v>
      </c>
      <c r="L127">
        <v>31.536000000000001</v>
      </c>
      <c r="M127">
        <v>1262.3873736772059</v>
      </c>
      <c r="N127">
        <v>1229.70823080792</v>
      </c>
      <c r="O127">
        <v>1175.2053004861341</v>
      </c>
      <c r="P127">
        <v>1120.7023701643479</v>
      </c>
      <c r="Q127">
        <v>1074.5671096430031</v>
      </c>
      <c r="R127">
        <v>1028.4318491216579</v>
      </c>
      <c r="S127">
        <v>982.40966521923724</v>
      </c>
      <c r="T127">
        <v>982.40966521923724</v>
      </c>
      <c r="U127">
        <v>35.166828485633367</v>
      </c>
      <c r="V127">
        <v>34.149138915309578</v>
      </c>
      <c r="W127">
        <v>32.452989631436587</v>
      </c>
      <c r="X127">
        <v>30.643763728638721</v>
      </c>
      <c r="Y127">
        <v>29.51299753939006</v>
      </c>
      <c r="Z127">
        <v>28.382231350141399</v>
      </c>
      <c r="AA127">
        <v>27.251465160892739</v>
      </c>
      <c r="AB127">
        <v>27.251465160892739</v>
      </c>
      <c r="AC127">
        <v>0.61563936970204913</v>
      </c>
      <c r="AD127">
        <v>0.59993428374026214</v>
      </c>
      <c r="AE127">
        <v>0.5779471633937604</v>
      </c>
      <c r="AF127">
        <v>0.55596004304725855</v>
      </c>
      <c r="AG127">
        <v>0.54025495708547167</v>
      </c>
      <c r="AH127">
        <v>0.52454987112368467</v>
      </c>
      <c r="AI127">
        <v>0.50884478516189779</v>
      </c>
      <c r="AJ127">
        <v>0.50884478516189779</v>
      </c>
      <c r="AK127">
        <v>0.5362473112684657</v>
      </c>
      <c r="AL127">
        <v>0.54023775199513113</v>
      </c>
      <c r="AM127">
        <v>0.54699288900308551</v>
      </c>
      <c r="AN127">
        <v>0.55400903419406522</v>
      </c>
      <c r="AO127">
        <v>0.55400903419406522</v>
      </c>
      <c r="AP127">
        <v>0.55400903419406522</v>
      </c>
      <c r="AQ127">
        <v>0.55400903419406522</v>
      </c>
      <c r="AR127">
        <v>0.55400903419406522</v>
      </c>
      <c r="AS127">
        <v>0.9</v>
      </c>
      <c r="AT127">
        <v>0.9</v>
      </c>
      <c r="AU127">
        <v>0.9</v>
      </c>
      <c r="AV127">
        <v>0.9</v>
      </c>
      <c r="AW127">
        <v>0.9</v>
      </c>
      <c r="AX127">
        <v>0.9</v>
      </c>
      <c r="AY127">
        <v>0.9</v>
      </c>
      <c r="AZ127">
        <v>0.9</v>
      </c>
    </row>
    <row r="128" spans="1:52" x14ac:dyDescent="0.25">
      <c r="A128" t="s">
        <v>93</v>
      </c>
      <c r="B128" t="s">
        <v>94</v>
      </c>
      <c r="D128">
        <v>2020</v>
      </c>
      <c r="E128" t="s">
        <v>95</v>
      </c>
      <c r="F128" t="s">
        <v>356</v>
      </c>
      <c r="G128" t="s">
        <v>352</v>
      </c>
      <c r="H128" t="s">
        <v>357</v>
      </c>
      <c r="I128">
        <v>1</v>
      </c>
      <c r="K128">
        <v>30</v>
      </c>
      <c r="L128">
        <v>31.536000000000001</v>
      </c>
      <c r="M128">
        <v>2692.919679695688</v>
      </c>
      <c r="N128">
        <v>2538.796248101095</v>
      </c>
      <c r="O128">
        <v>2281.8861699037989</v>
      </c>
      <c r="P128">
        <v>2024.976091706503</v>
      </c>
      <c r="Q128">
        <v>1909.2987105463651</v>
      </c>
      <c r="R128">
        <v>1793.7344060051521</v>
      </c>
      <c r="S128">
        <v>1678.1701014639391</v>
      </c>
      <c r="T128">
        <v>1678.1701014639391</v>
      </c>
      <c r="U128">
        <v>72.029806255139732</v>
      </c>
      <c r="V128">
        <v>67.959047973844562</v>
      </c>
      <c r="W128">
        <v>61.061374219427726</v>
      </c>
      <c r="X128">
        <v>54.163700465010891</v>
      </c>
      <c r="Y128">
        <v>51.336784991889232</v>
      </c>
      <c r="Z128">
        <v>48.50986951876758</v>
      </c>
      <c r="AA128">
        <v>45.682954045645928</v>
      </c>
      <c r="AB128">
        <v>45.682954045645928</v>
      </c>
      <c r="AC128">
        <v>1.4542909600614731</v>
      </c>
      <c r="AD128">
        <v>1.388329599021968</v>
      </c>
      <c r="AE128">
        <v>1.275252980097102</v>
      </c>
      <c r="AF128">
        <v>1.1653173783645929</v>
      </c>
      <c r="AG128">
        <v>1.124484154863947</v>
      </c>
      <c r="AH128">
        <v>1.0836509313633009</v>
      </c>
      <c r="AI128">
        <v>1.042817707862655</v>
      </c>
      <c r="AJ128">
        <v>1.042817707862655</v>
      </c>
      <c r="AK128">
        <v>0.47259579523562989</v>
      </c>
      <c r="AL128">
        <v>0.47829291303633981</v>
      </c>
      <c r="AM128">
        <v>0.48814615759674501</v>
      </c>
      <c r="AN128">
        <v>0.49834111897199468</v>
      </c>
      <c r="AO128">
        <v>0.49834111897199468</v>
      </c>
      <c r="AP128">
        <v>0.49834111897199468</v>
      </c>
      <c r="AQ128">
        <v>0.49834111897199468</v>
      </c>
      <c r="AR128">
        <v>0.49834111897199468</v>
      </c>
      <c r="AS128">
        <v>0.9</v>
      </c>
      <c r="AT128">
        <v>0.9</v>
      </c>
      <c r="AU128">
        <v>0.9</v>
      </c>
      <c r="AV128">
        <v>0.9</v>
      </c>
      <c r="AW128">
        <v>0.9</v>
      </c>
      <c r="AX128">
        <v>0.9</v>
      </c>
      <c r="AY128">
        <v>0.9</v>
      </c>
      <c r="AZ128">
        <v>0.9</v>
      </c>
    </row>
    <row r="129" spans="1:52" x14ac:dyDescent="0.25">
      <c r="A129" t="s">
        <v>93</v>
      </c>
      <c r="B129" t="s">
        <v>94</v>
      </c>
      <c r="D129">
        <v>2020</v>
      </c>
      <c r="E129" t="s">
        <v>95</v>
      </c>
      <c r="F129" t="s">
        <v>358</v>
      </c>
      <c r="G129" t="s">
        <v>352</v>
      </c>
      <c r="H129" t="s">
        <v>359</v>
      </c>
      <c r="I129">
        <v>1</v>
      </c>
      <c r="K129">
        <v>30</v>
      </c>
      <c r="L129">
        <v>31.536000000000001</v>
      </c>
      <c r="M129">
        <v>2734.0795689843389</v>
      </c>
      <c r="N129">
        <v>2576.3376855841511</v>
      </c>
      <c r="O129">
        <v>2313.434546583836</v>
      </c>
      <c r="P129">
        <v>2050.5314075835231</v>
      </c>
      <c r="Q129">
        <v>1933.497106996286</v>
      </c>
      <c r="R129">
        <v>1816.46280640905</v>
      </c>
      <c r="S129">
        <v>1699.315429202888</v>
      </c>
      <c r="T129">
        <v>1699.315429202888</v>
      </c>
      <c r="U129">
        <v>73.047495825463542</v>
      </c>
      <c r="V129">
        <v>68.863660925243494</v>
      </c>
      <c r="W129">
        <v>61.852910551901793</v>
      </c>
      <c r="X129">
        <v>54.842160178560093</v>
      </c>
      <c r="Y129">
        <v>52.015244705438427</v>
      </c>
      <c r="Z129">
        <v>49.07525261339191</v>
      </c>
      <c r="AA129">
        <v>46.248337140270259</v>
      </c>
      <c r="AB129">
        <v>46.248337140270259</v>
      </c>
      <c r="AC129">
        <v>1.4794190976003321</v>
      </c>
      <c r="AD129">
        <v>1.41031671936847</v>
      </c>
      <c r="AE129">
        <v>1.2972401004436029</v>
      </c>
      <c r="AF129">
        <v>1.184163481518737</v>
      </c>
      <c r="AG129">
        <v>1.1433302580180911</v>
      </c>
      <c r="AH129">
        <v>1.102497034517445</v>
      </c>
      <c r="AI129">
        <v>1.0616638110167991</v>
      </c>
      <c r="AJ129">
        <v>1.0616638110167991</v>
      </c>
      <c r="AK129">
        <v>0.46999196165306462</v>
      </c>
      <c r="AL129">
        <v>0.47582507901286403</v>
      </c>
      <c r="AM129">
        <v>0.48571411268345172</v>
      </c>
      <c r="AN129">
        <v>0.4960950336727607</v>
      </c>
      <c r="AO129">
        <v>0.4960950336727607</v>
      </c>
      <c r="AP129">
        <v>0.4960950336727607</v>
      </c>
      <c r="AQ129">
        <v>0.4960950336727607</v>
      </c>
      <c r="AR129">
        <v>0.4960950336727607</v>
      </c>
      <c r="AS129">
        <v>0.9</v>
      </c>
      <c r="AT129">
        <v>0.9</v>
      </c>
      <c r="AU129">
        <v>0.9</v>
      </c>
      <c r="AV129">
        <v>0.9</v>
      </c>
      <c r="AW129">
        <v>0.9</v>
      </c>
      <c r="AX129">
        <v>0.9</v>
      </c>
      <c r="AY129">
        <v>0.9</v>
      </c>
      <c r="AZ129">
        <v>0.9</v>
      </c>
    </row>
    <row r="130" spans="1:52" x14ac:dyDescent="0.25">
      <c r="A130" t="s">
        <v>93</v>
      </c>
      <c r="B130" t="s">
        <v>94</v>
      </c>
      <c r="D130">
        <v>2020</v>
      </c>
      <c r="E130" t="s">
        <v>95</v>
      </c>
      <c r="F130" t="s">
        <v>360</v>
      </c>
      <c r="G130" t="s">
        <v>352</v>
      </c>
      <c r="H130" t="s">
        <v>361</v>
      </c>
      <c r="I130">
        <v>1</v>
      </c>
      <c r="K130">
        <v>30</v>
      </c>
      <c r="L130">
        <v>31.536000000000001</v>
      </c>
      <c r="M130">
        <v>1410.630821087705</v>
      </c>
      <c r="N130">
        <v>1322.9964414209339</v>
      </c>
      <c r="O130">
        <v>1176.901449770007</v>
      </c>
      <c r="P130">
        <v>1030.8064581190799</v>
      </c>
      <c r="Q130">
        <v>971.78046304029976</v>
      </c>
      <c r="R130">
        <v>912.86754458044459</v>
      </c>
      <c r="S130">
        <v>853.84154950166442</v>
      </c>
      <c r="T130">
        <v>853.84154950166442</v>
      </c>
      <c r="U130">
        <v>72.934419206538678</v>
      </c>
      <c r="V130">
        <v>70.446733590191627</v>
      </c>
      <c r="W130">
        <v>66.262898689971564</v>
      </c>
      <c r="X130">
        <v>62.192140408676387</v>
      </c>
      <c r="Y130">
        <v>59.252148316629857</v>
      </c>
      <c r="Z130">
        <v>56.312156224583347</v>
      </c>
      <c r="AA130">
        <v>53.372164132536817</v>
      </c>
      <c r="AB130">
        <v>53.372164132536817</v>
      </c>
      <c r="AC130">
        <v>1.4542909600614731</v>
      </c>
      <c r="AD130">
        <v>1.41031671936847</v>
      </c>
      <c r="AE130">
        <v>1.338073323944249</v>
      </c>
      <c r="AF130">
        <v>1.268970945712387</v>
      </c>
      <c r="AG130">
        <v>1.2249967050193831</v>
      </c>
      <c r="AH130">
        <v>1.184163481518737</v>
      </c>
      <c r="AI130">
        <v>1.140189240825733</v>
      </c>
      <c r="AJ130">
        <v>1.140189240825733</v>
      </c>
      <c r="AK130">
        <v>0.47272674447232571</v>
      </c>
      <c r="AL130">
        <v>0.47456768311561159</v>
      </c>
      <c r="AM130">
        <v>0.47769027601865438</v>
      </c>
      <c r="AN130">
        <v>0.48078647901947968</v>
      </c>
      <c r="AO130">
        <v>0.48078647901947968</v>
      </c>
      <c r="AP130">
        <v>0.48078647901947968</v>
      </c>
      <c r="AQ130">
        <v>0.48078647901947968</v>
      </c>
      <c r="AR130">
        <v>0.48078647901947968</v>
      </c>
      <c r="AS130">
        <v>0.9</v>
      </c>
      <c r="AT130">
        <v>0.9</v>
      </c>
      <c r="AU130">
        <v>0.9</v>
      </c>
      <c r="AV130">
        <v>0.9</v>
      </c>
      <c r="AW130">
        <v>0.9</v>
      </c>
      <c r="AX130">
        <v>0.9</v>
      </c>
      <c r="AY130">
        <v>0.9</v>
      </c>
      <c r="AZ130">
        <v>0.9</v>
      </c>
    </row>
    <row r="131" spans="1:52" x14ac:dyDescent="0.25">
      <c r="A131" t="s">
        <v>93</v>
      </c>
      <c r="B131" t="s">
        <v>94</v>
      </c>
      <c r="D131">
        <v>2020</v>
      </c>
      <c r="E131" t="s">
        <v>95</v>
      </c>
      <c r="F131" t="s">
        <v>362</v>
      </c>
      <c r="G131" t="s">
        <v>352</v>
      </c>
      <c r="H131" t="s">
        <v>363</v>
      </c>
      <c r="I131">
        <v>1</v>
      </c>
      <c r="K131">
        <v>30</v>
      </c>
      <c r="L131">
        <v>31.536000000000001</v>
      </c>
      <c r="M131">
        <v>1473.2752679720811</v>
      </c>
      <c r="N131">
        <v>1381.23090016724</v>
      </c>
      <c r="O131">
        <v>1227.899004905122</v>
      </c>
      <c r="P131">
        <v>1074.4540330240779</v>
      </c>
      <c r="Q131">
        <v>1012.940352328951</v>
      </c>
      <c r="R131">
        <v>951.53974825274872</v>
      </c>
      <c r="S131">
        <v>890.02606755762156</v>
      </c>
      <c r="T131">
        <v>890.02606755762156</v>
      </c>
      <c r="U131">
        <v>74.630568490411662</v>
      </c>
      <c r="V131">
        <v>72.029806255139732</v>
      </c>
      <c r="W131">
        <v>67.732894735994833</v>
      </c>
      <c r="X131">
        <v>63.435983216849912</v>
      </c>
      <c r="Y131">
        <v>60.382914505878517</v>
      </c>
      <c r="Z131">
        <v>57.329845794907143</v>
      </c>
      <c r="AA131">
        <v>54.38985370286062</v>
      </c>
      <c r="AB131">
        <v>54.38985370286062</v>
      </c>
      <c r="AC131">
        <v>1.491983166369762</v>
      </c>
      <c r="AD131">
        <v>1.4480089256767581</v>
      </c>
      <c r="AE131">
        <v>1.3726245130601811</v>
      </c>
      <c r="AF131">
        <v>1.2972401004436029</v>
      </c>
      <c r="AG131">
        <v>1.2564068769429571</v>
      </c>
      <c r="AH131">
        <v>1.212432636249954</v>
      </c>
      <c r="AI131">
        <v>1.1684583955569501</v>
      </c>
      <c r="AJ131">
        <v>1.1684583955569501</v>
      </c>
      <c r="AK131">
        <v>0.46934548027527501</v>
      </c>
      <c r="AL131">
        <v>0.47122519563613419</v>
      </c>
      <c r="AM131">
        <v>0.47450168844406182</v>
      </c>
      <c r="AN131">
        <v>0.47782406408083578</v>
      </c>
      <c r="AO131">
        <v>0.47782406408083578</v>
      </c>
      <c r="AP131">
        <v>0.47782406408083578</v>
      </c>
      <c r="AQ131">
        <v>0.47782406408083578</v>
      </c>
      <c r="AR131">
        <v>0.47782406408083578</v>
      </c>
      <c r="AS131">
        <v>0.9</v>
      </c>
      <c r="AT131">
        <v>0.9</v>
      </c>
      <c r="AU131">
        <v>0.9</v>
      </c>
      <c r="AV131">
        <v>0.9</v>
      </c>
      <c r="AW131">
        <v>0.9</v>
      </c>
      <c r="AX131">
        <v>0.9</v>
      </c>
      <c r="AY131">
        <v>0.9</v>
      </c>
      <c r="AZ131">
        <v>0.9</v>
      </c>
    </row>
    <row r="132" spans="1:52" x14ac:dyDescent="0.25">
      <c r="A132" t="s">
        <v>93</v>
      </c>
      <c r="B132" t="s">
        <v>94</v>
      </c>
      <c r="D132">
        <v>2020</v>
      </c>
      <c r="E132" t="s">
        <v>95</v>
      </c>
      <c r="F132" t="s">
        <v>364</v>
      </c>
      <c r="G132" t="s">
        <v>352</v>
      </c>
      <c r="H132" t="s">
        <v>365</v>
      </c>
      <c r="I132">
        <v>1</v>
      </c>
      <c r="K132">
        <v>30</v>
      </c>
      <c r="L132">
        <v>31.536000000000001</v>
      </c>
      <c r="M132">
        <v>1298.3457384953131</v>
      </c>
      <c r="N132">
        <v>1261.143530869032</v>
      </c>
      <c r="O132">
        <v>1199.064467079281</v>
      </c>
      <c r="P132">
        <v>1137.098479908454</v>
      </c>
      <c r="Q132">
        <v>1090.397836292484</v>
      </c>
      <c r="R132">
        <v>1043.5841160575901</v>
      </c>
      <c r="S132">
        <v>996.88347244162003</v>
      </c>
      <c r="T132">
        <v>996.88347244162003</v>
      </c>
      <c r="U132">
        <v>34.82759862885878</v>
      </c>
      <c r="V132">
        <v>33.809909058534977</v>
      </c>
      <c r="W132">
        <v>32.113759774661993</v>
      </c>
      <c r="X132">
        <v>30.417610490788999</v>
      </c>
      <c r="Y132">
        <v>29.286844301540341</v>
      </c>
      <c r="Z132">
        <v>28.156078112291681</v>
      </c>
      <c r="AA132">
        <v>27.025311923043009</v>
      </c>
      <c r="AB132">
        <v>27.025311923043009</v>
      </c>
      <c r="AC132">
        <v>0.61563936970204913</v>
      </c>
      <c r="AD132">
        <v>0.59993428374026214</v>
      </c>
      <c r="AE132">
        <v>0.5779471633937604</v>
      </c>
      <c r="AF132">
        <v>0.55596004304725855</v>
      </c>
      <c r="AG132">
        <v>0.54025495708547167</v>
      </c>
      <c r="AH132">
        <v>0.5214088539313273</v>
      </c>
      <c r="AI132">
        <v>0.50570376796954042</v>
      </c>
      <c r="AJ132">
        <v>0.50570376796954042</v>
      </c>
      <c r="AK132">
        <v>0.55070071684978195</v>
      </c>
      <c r="AL132">
        <v>0.55320065525312057</v>
      </c>
      <c r="AM132">
        <v>0.5573573409998771</v>
      </c>
      <c r="AN132">
        <v>0.56166940602489668</v>
      </c>
      <c r="AO132">
        <v>0.56166940602489668</v>
      </c>
      <c r="AP132">
        <v>0.56166940602489668</v>
      </c>
      <c r="AQ132">
        <v>0.56166940602489668</v>
      </c>
      <c r="AR132">
        <v>0.56166940602489668</v>
      </c>
      <c r="AS132">
        <v>0.9</v>
      </c>
      <c r="AT132">
        <v>0.9</v>
      </c>
      <c r="AU132">
        <v>0.9</v>
      </c>
      <c r="AV132">
        <v>0.9</v>
      </c>
      <c r="AW132">
        <v>0.9</v>
      </c>
      <c r="AX132">
        <v>0.9</v>
      </c>
      <c r="AY132">
        <v>0.9</v>
      </c>
      <c r="AZ132">
        <v>0.9</v>
      </c>
    </row>
    <row r="133" spans="1:52" x14ac:dyDescent="0.25">
      <c r="A133" t="s">
        <v>93</v>
      </c>
      <c r="B133" t="s">
        <v>94</v>
      </c>
      <c r="D133">
        <v>2020</v>
      </c>
      <c r="E133" t="s">
        <v>95</v>
      </c>
      <c r="F133" t="s">
        <v>366</v>
      </c>
      <c r="G133" t="s">
        <v>352</v>
      </c>
      <c r="H133" t="s">
        <v>367</v>
      </c>
      <c r="I133">
        <v>1</v>
      </c>
      <c r="K133">
        <v>30</v>
      </c>
      <c r="L133">
        <v>31.536000000000001</v>
      </c>
      <c r="M133">
        <v>2561.5246485049929</v>
      </c>
      <c r="N133">
        <v>2424.3627097491299</v>
      </c>
      <c r="O133">
        <v>2195.8348629019761</v>
      </c>
      <c r="P133">
        <v>1967.420092673746</v>
      </c>
      <c r="Q133">
        <v>1854.9088568435041</v>
      </c>
      <c r="R133">
        <v>1742.397621013263</v>
      </c>
      <c r="S133">
        <v>1629.886385183021</v>
      </c>
      <c r="T133">
        <v>1629.886385183021</v>
      </c>
      <c r="U133">
        <v>67.054435022445631</v>
      </c>
      <c r="V133">
        <v>63.549059835774777</v>
      </c>
      <c r="W133">
        <v>57.782152270606609</v>
      </c>
      <c r="X133">
        <v>51.902168086513562</v>
      </c>
      <c r="Y133">
        <v>49.188329232316782</v>
      </c>
      <c r="Z133">
        <v>46.361413759195123</v>
      </c>
      <c r="AA133">
        <v>43.647574904998343</v>
      </c>
      <c r="AB133">
        <v>43.647574904998343</v>
      </c>
      <c r="AC133">
        <v>1.382047564637253</v>
      </c>
      <c r="AD133">
        <v>1.32550925517482</v>
      </c>
      <c r="AE133">
        <v>1.2281377222117409</v>
      </c>
      <c r="AF133">
        <v>1.1339072064410189</v>
      </c>
      <c r="AG133">
        <v>1.0930739829403731</v>
      </c>
      <c r="AH133">
        <v>1.0522407594397269</v>
      </c>
      <c r="AI133">
        <v>1.014548553131438</v>
      </c>
      <c r="AJ133">
        <v>1.014548553131438</v>
      </c>
      <c r="AK133">
        <v>0.4869618440989365</v>
      </c>
      <c r="AL133">
        <v>0.49130909166324671</v>
      </c>
      <c r="AM133">
        <v>0.49863241876388242</v>
      </c>
      <c r="AN133">
        <v>0.50625246908030386</v>
      </c>
      <c r="AO133">
        <v>0.50625246908030386</v>
      </c>
      <c r="AP133">
        <v>0.50625246908030386</v>
      </c>
      <c r="AQ133">
        <v>0.50625246908030386</v>
      </c>
      <c r="AR133">
        <v>0.50625246908030386</v>
      </c>
      <c r="AS133">
        <v>0.9</v>
      </c>
      <c r="AT133">
        <v>0.9</v>
      </c>
      <c r="AU133">
        <v>0.9</v>
      </c>
      <c r="AV133">
        <v>0.9</v>
      </c>
      <c r="AW133">
        <v>0.9</v>
      </c>
      <c r="AX133">
        <v>0.9</v>
      </c>
      <c r="AY133">
        <v>0.9</v>
      </c>
      <c r="AZ133">
        <v>0.9</v>
      </c>
    </row>
    <row r="134" spans="1:52" x14ac:dyDescent="0.25">
      <c r="A134" t="s">
        <v>93</v>
      </c>
      <c r="B134" t="s">
        <v>94</v>
      </c>
      <c r="D134">
        <v>2020</v>
      </c>
      <c r="E134" t="s">
        <v>95</v>
      </c>
      <c r="F134" t="s">
        <v>368</v>
      </c>
      <c r="G134" t="s">
        <v>352</v>
      </c>
      <c r="H134" t="s">
        <v>369</v>
      </c>
      <c r="I134">
        <v>1</v>
      </c>
      <c r="K134">
        <v>30</v>
      </c>
      <c r="L134">
        <v>31.536000000000001</v>
      </c>
      <c r="M134">
        <v>2598.16147303665</v>
      </c>
      <c r="N134">
        <v>2458.0595421887401</v>
      </c>
      <c r="O134">
        <v>2224.5563241088921</v>
      </c>
      <c r="P134">
        <v>1991.053106029043</v>
      </c>
      <c r="Q134">
        <v>1877.1849507717029</v>
      </c>
      <c r="R134">
        <v>1763.3167955143631</v>
      </c>
      <c r="S134">
        <v>1649.561716875947</v>
      </c>
      <c r="T134">
        <v>1649.561716875947</v>
      </c>
      <c r="U134">
        <v>67.959047973844562</v>
      </c>
      <c r="V134">
        <v>64.453672787173716</v>
      </c>
      <c r="W134">
        <v>58.460611984155797</v>
      </c>
      <c r="X134">
        <v>52.467551181137893</v>
      </c>
      <c r="Y134">
        <v>49.753712326941113</v>
      </c>
      <c r="Z134">
        <v>46.926796853819447</v>
      </c>
      <c r="AA134">
        <v>44.099881380697802</v>
      </c>
      <c r="AB134">
        <v>44.099881380697802</v>
      </c>
      <c r="AC134">
        <v>1.407175702176112</v>
      </c>
      <c r="AD134">
        <v>1.3474963755213221</v>
      </c>
      <c r="AE134">
        <v>1.250124842558243</v>
      </c>
      <c r="AF134">
        <v>1.149612292402806</v>
      </c>
      <c r="AG134">
        <v>1.1119200860945171</v>
      </c>
      <c r="AH134">
        <v>1.071086862593871</v>
      </c>
      <c r="AI134">
        <v>1.0302536390932251</v>
      </c>
      <c r="AJ134">
        <v>1.0302536390932251</v>
      </c>
      <c r="AK134">
        <v>0.48433522237065257</v>
      </c>
      <c r="AL134">
        <v>0.48870547717004409</v>
      </c>
      <c r="AM134">
        <v>0.496239331239274</v>
      </c>
      <c r="AN134">
        <v>0.50393466867541692</v>
      </c>
      <c r="AO134">
        <v>0.50393466867541692</v>
      </c>
      <c r="AP134">
        <v>0.50393466867541692</v>
      </c>
      <c r="AQ134">
        <v>0.50393466867541692</v>
      </c>
      <c r="AR134">
        <v>0.50393466867541692</v>
      </c>
      <c r="AS134">
        <v>0.9</v>
      </c>
      <c r="AT134">
        <v>0.9</v>
      </c>
      <c r="AU134">
        <v>0.9</v>
      </c>
      <c r="AV134">
        <v>0.9</v>
      </c>
      <c r="AW134">
        <v>0.9</v>
      </c>
      <c r="AX134">
        <v>0.9</v>
      </c>
      <c r="AY134">
        <v>0.9</v>
      </c>
      <c r="AZ134">
        <v>0.9</v>
      </c>
    </row>
    <row r="135" spans="1:52" x14ac:dyDescent="0.25">
      <c r="A135" t="s">
        <v>93</v>
      </c>
      <c r="B135" t="s">
        <v>94</v>
      </c>
      <c r="D135">
        <v>2020</v>
      </c>
      <c r="E135" t="s">
        <v>95</v>
      </c>
      <c r="F135" t="s">
        <v>370</v>
      </c>
      <c r="G135" t="s">
        <v>352</v>
      </c>
      <c r="H135" t="s">
        <v>371</v>
      </c>
      <c r="I135">
        <v>1</v>
      </c>
      <c r="K135">
        <v>30</v>
      </c>
      <c r="L135">
        <v>31.536000000000001</v>
      </c>
      <c r="M135">
        <v>1226.0897790023239</v>
      </c>
      <c r="N135">
        <v>1149.9892144658891</v>
      </c>
      <c r="O135">
        <v>1023.230324651114</v>
      </c>
      <c r="P135">
        <v>896.47143483633897</v>
      </c>
      <c r="Q135">
        <v>845.13464984444965</v>
      </c>
      <c r="R135">
        <v>793.79786485256045</v>
      </c>
      <c r="S135">
        <v>742.46107986067125</v>
      </c>
      <c r="T135">
        <v>742.46107986067125</v>
      </c>
      <c r="U135">
        <v>67.845971354919698</v>
      </c>
      <c r="V135">
        <v>65.584438976422376</v>
      </c>
      <c r="W135">
        <v>61.965987170826658</v>
      </c>
      <c r="X135">
        <v>58.234458746306068</v>
      </c>
      <c r="Y135">
        <v>55.407543273184423</v>
      </c>
      <c r="Z135">
        <v>52.580627800062757</v>
      </c>
      <c r="AA135">
        <v>49.753712326941113</v>
      </c>
      <c r="AB135">
        <v>49.753712326941113</v>
      </c>
      <c r="AC135">
        <v>1.382047564637253</v>
      </c>
      <c r="AD135">
        <v>1.344355358328964</v>
      </c>
      <c r="AE135">
        <v>1.2783939972894589</v>
      </c>
      <c r="AF135">
        <v>1.212432636249954</v>
      </c>
      <c r="AG135">
        <v>1.1715994127493079</v>
      </c>
      <c r="AH135">
        <v>1.130766189248662</v>
      </c>
      <c r="AI135">
        <v>1.089932965748015</v>
      </c>
      <c r="AJ135">
        <v>1.089932965748015</v>
      </c>
      <c r="AK135">
        <v>0.48737918034584321</v>
      </c>
      <c r="AL135">
        <v>0.48926607995429411</v>
      </c>
      <c r="AM135">
        <v>0.49244359093682322</v>
      </c>
      <c r="AN135">
        <v>0.49566264404434163</v>
      </c>
      <c r="AO135">
        <v>0.49566264404434163</v>
      </c>
      <c r="AP135">
        <v>0.49566264404434163</v>
      </c>
      <c r="AQ135">
        <v>0.49566264404434163</v>
      </c>
      <c r="AR135">
        <v>0.49566264404434163</v>
      </c>
      <c r="AS135">
        <v>0.9</v>
      </c>
      <c r="AT135">
        <v>0.9</v>
      </c>
      <c r="AU135">
        <v>0.9</v>
      </c>
      <c r="AV135">
        <v>0.9</v>
      </c>
      <c r="AW135">
        <v>0.9</v>
      </c>
      <c r="AX135">
        <v>0.9</v>
      </c>
      <c r="AY135">
        <v>0.9</v>
      </c>
      <c r="AZ135">
        <v>0.9</v>
      </c>
    </row>
    <row r="136" spans="1:52" x14ac:dyDescent="0.25">
      <c r="A136" t="s">
        <v>93</v>
      </c>
      <c r="B136" t="s">
        <v>94</v>
      </c>
      <c r="D136">
        <v>2020</v>
      </c>
      <c r="E136" t="s">
        <v>95</v>
      </c>
      <c r="F136" t="s">
        <v>372</v>
      </c>
      <c r="G136" t="s">
        <v>352</v>
      </c>
      <c r="H136" t="s">
        <v>373</v>
      </c>
      <c r="I136">
        <v>1</v>
      </c>
      <c r="K136">
        <v>30</v>
      </c>
      <c r="L136">
        <v>31.536000000000001</v>
      </c>
      <c r="M136">
        <v>1280.8188625619589</v>
      </c>
      <c r="N136">
        <v>1200.8736929820791</v>
      </c>
      <c r="O136">
        <v>1067.6694358885859</v>
      </c>
      <c r="P136">
        <v>934.46517879509395</v>
      </c>
      <c r="Q136">
        <v>880.97993804363227</v>
      </c>
      <c r="R136">
        <v>827.4946972921706</v>
      </c>
      <c r="S136">
        <v>774.00945654070881</v>
      </c>
      <c r="T136">
        <v>774.00945654070881</v>
      </c>
      <c r="U136">
        <v>69.315967400942952</v>
      </c>
      <c r="V136">
        <v>67.054435022445631</v>
      </c>
      <c r="W136">
        <v>63.209829979000183</v>
      </c>
      <c r="X136">
        <v>59.365224935554743</v>
      </c>
      <c r="Y136">
        <v>56.425232843508212</v>
      </c>
      <c r="Z136">
        <v>53.598317370386553</v>
      </c>
      <c r="AA136">
        <v>50.658325278340037</v>
      </c>
      <c r="AB136">
        <v>50.658325278340037</v>
      </c>
      <c r="AC136">
        <v>1.4165987537531839</v>
      </c>
      <c r="AD136">
        <v>1.375765530252538</v>
      </c>
      <c r="AE136">
        <v>1.3098041692130331</v>
      </c>
      <c r="AF136">
        <v>1.2407017909811699</v>
      </c>
      <c r="AG136">
        <v>1.1998685674805241</v>
      </c>
      <c r="AH136">
        <v>1.159035343979878</v>
      </c>
      <c r="AI136">
        <v>1.1182021204792321</v>
      </c>
      <c r="AJ136">
        <v>1.1182021204792321</v>
      </c>
      <c r="AK136">
        <v>0.48392308064122069</v>
      </c>
      <c r="AL136">
        <v>0.48592162369713021</v>
      </c>
      <c r="AM136">
        <v>0.48926607995429411</v>
      </c>
      <c r="AN136">
        <v>0.49272803488826677</v>
      </c>
      <c r="AO136">
        <v>0.49272803488826677</v>
      </c>
      <c r="AP136">
        <v>0.49272803488826677</v>
      </c>
      <c r="AQ136">
        <v>0.49272803488826677</v>
      </c>
      <c r="AR136">
        <v>0.49272803488826677</v>
      </c>
      <c r="AS136">
        <v>0.9</v>
      </c>
      <c r="AT136">
        <v>0.9</v>
      </c>
      <c r="AU136">
        <v>0.9</v>
      </c>
      <c r="AV136">
        <v>0.9</v>
      </c>
      <c r="AW136">
        <v>0.9</v>
      </c>
      <c r="AX136">
        <v>0.9</v>
      </c>
      <c r="AY136">
        <v>0.9</v>
      </c>
      <c r="AZ136">
        <v>0.9</v>
      </c>
    </row>
    <row r="137" spans="1:52" x14ac:dyDescent="0.25">
      <c r="A137" t="s">
        <v>93</v>
      </c>
      <c r="B137" t="s">
        <v>374</v>
      </c>
      <c r="D137">
        <v>2020</v>
      </c>
      <c r="E137" t="s">
        <v>107</v>
      </c>
      <c r="F137" t="s">
        <v>375</v>
      </c>
      <c r="G137" t="s">
        <v>248</v>
      </c>
      <c r="H137" t="s">
        <v>376</v>
      </c>
      <c r="I137">
        <v>1</v>
      </c>
      <c r="J137">
        <v>233.39318333333341</v>
      </c>
      <c r="K137">
        <v>30</v>
      </c>
      <c r="L137">
        <v>31.536000000000001</v>
      </c>
      <c r="M137">
        <v>4917.4184525969313</v>
      </c>
      <c r="N137">
        <v>4821.6848284228936</v>
      </c>
      <c r="O137">
        <v>2984.1897708938181</v>
      </c>
      <c r="P137">
        <v>2539.1896953994678</v>
      </c>
      <c r="Q137">
        <v>2093.9800186842722</v>
      </c>
      <c r="R137">
        <v>1896.095935565756</v>
      </c>
      <c r="S137">
        <v>1698.211852447241</v>
      </c>
      <c r="T137">
        <v>1698.211852447241</v>
      </c>
      <c r="U137">
        <v>41.27117929699714</v>
      </c>
      <c r="V137">
        <v>40.608188464916751</v>
      </c>
      <c r="W137">
        <v>39.779449924816397</v>
      </c>
      <c r="X137">
        <v>39.157896019741258</v>
      </c>
      <c r="Y137">
        <v>38.536342114665999</v>
      </c>
      <c r="Z137">
        <v>37.914788209590739</v>
      </c>
      <c r="AA137">
        <v>37.293234304515479</v>
      </c>
      <c r="AB137">
        <v>37.293234304515479</v>
      </c>
      <c r="AS137">
        <v>0.1269585</v>
      </c>
      <c r="AT137">
        <v>0.1691445</v>
      </c>
      <c r="AU137">
        <v>0.22187699999999999</v>
      </c>
      <c r="AV137">
        <v>0.22187699999999999</v>
      </c>
      <c r="AW137">
        <v>0.22187699999999999</v>
      </c>
      <c r="AX137">
        <v>0.22187699999999999</v>
      </c>
      <c r="AY137">
        <v>0.22187699999999999</v>
      </c>
      <c r="AZ137">
        <v>0.22187699999999999</v>
      </c>
    </row>
    <row r="138" spans="1:52" x14ac:dyDescent="0.25">
      <c r="A138" t="s">
        <v>93</v>
      </c>
      <c r="B138" t="s">
        <v>374</v>
      </c>
      <c r="D138">
        <v>2020</v>
      </c>
      <c r="E138" t="s">
        <v>107</v>
      </c>
      <c r="F138" t="s">
        <v>377</v>
      </c>
      <c r="G138" t="s">
        <v>248</v>
      </c>
      <c r="H138" t="s">
        <v>378</v>
      </c>
      <c r="I138">
        <v>1</v>
      </c>
      <c r="J138">
        <v>233.39318333333341</v>
      </c>
      <c r="K138">
        <v>30</v>
      </c>
      <c r="L138">
        <v>31.536000000000001</v>
      </c>
      <c r="M138">
        <v>4917.4184525969313</v>
      </c>
      <c r="N138">
        <v>4821.6848284228936</v>
      </c>
      <c r="O138">
        <v>2984.1897708938181</v>
      </c>
      <c r="P138">
        <v>2539.1896953994678</v>
      </c>
      <c r="Q138">
        <v>2093.9800186842722</v>
      </c>
      <c r="R138">
        <v>1896.095935565756</v>
      </c>
      <c r="S138">
        <v>1698.211852447241</v>
      </c>
      <c r="T138">
        <v>1698.211852447241</v>
      </c>
      <c r="U138">
        <v>41.27117929699714</v>
      </c>
      <c r="V138">
        <v>40.608188464916751</v>
      </c>
      <c r="W138">
        <v>39.779449924816397</v>
      </c>
      <c r="X138">
        <v>39.157896019741258</v>
      </c>
      <c r="Y138">
        <v>38.536342114665999</v>
      </c>
      <c r="Z138">
        <v>37.914788209590739</v>
      </c>
      <c r="AA138">
        <v>37.293234304515479</v>
      </c>
      <c r="AB138">
        <v>37.293234304515479</v>
      </c>
      <c r="AS138">
        <v>0.45205770000000001</v>
      </c>
      <c r="AT138">
        <v>0.50556449999999997</v>
      </c>
      <c r="AU138">
        <v>0.57244799999999996</v>
      </c>
      <c r="AV138">
        <v>0.57244799999999996</v>
      </c>
      <c r="AW138">
        <v>0.57244799999999996</v>
      </c>
      <c r="AX138">
        <v>0.57244799999999996</v>
      </c>
      <c r="AY138">
        <v>0.57244799999999996</v>
      </c>
      <c r="AZ138">
        <v>0.57244799999999996</v>
      </c>
    </row>
    <row r="139" spans="1:52" x14ac:dyDescent="0.25">
      <c r="A139" t="s">
        <v>93</v>
      </c>
      <c r="B139" t="s">
        <v>374</v>
      </c>
      <c r="D139">
        <v>2020</v>
      </c>
      <c r="E139" t="s">
        <v>107</v>
      </c>
      <c r="F139" t="s">
        <v>379</v>
      </c>
      <c r="G139" t="s">
        <v>248</v>
      </c>
      <c r="H139" t="s">
        <v>380</v>
      </c>
      <c r="I139">
        <v>1</v>
      </c>
      <c r="J139">
        <v>233.39318333333341</v>
      </c>
      <c r="K139">
        <v>30</v>
      </c>
      <c r="L139">
        <v>31.536000000000001</v>
      </c>
      <c r="M139">
        <v>4917.4184525969313</v>
      </c>
      <c r="N139">
        <v>4821.6848284228936</v>
      </c>
      <c r="O139">
        <v>2984.1897708938181</v>
      </c>
      <c r="P139">
        <v>2539.1896953994678</v>
      </c>
      <c r="Q139">
        <v>2093.9800186842722</v>
      </c>
      <c r="R139">
        <v>1896.095935565756</v>
      </c>
      <c r="S139">
        <v>1698.211852447241</v>
      </c>
      <c r="T139">
        <v>1698.211852447241</v>
      </c>
      <c r="U139">
        <v>41.27117929699714</v>
      </c>
      <c r="V139">
        <v>40.608188464916751</v>
      </c>
      <c r="W139">
        <v>39.779449924816397</v>
      </c>
      <c r="X139">
        <v>39.157896019741258</v>
      </c>
      <c r="Y139">
        <v>38.536342114665999</v>
      </c>
      <c r="Z139">
        <v>37.914788209590739</v>
      </c>
      <c r="AA139">
        <v>37.293234304515479</v>
      </c>
      <c r="AB139">
        <v>37.293234304515479</v>
      </c>
      <c r="AS139">
        <v>0.41202549999999999</v>
      </c>
      <c r="AT139">
        <v>0.46773949999999997</v>
      </c>
      <c r="AU139">
        <v>0.53738200000000003</v>
      </c>
      <c r="AV139">
        <v>0.53738200000000003</v>
      </c>
      <c r="AW139">
        <v>0.53738200000000003</v>
      </c>
      <c r="AX139">
        <v>0.53738200000000003</v>
      </c>
      <c r="AY139">
        <v>0.53738200000000003</v>
      </c>
      <c r="AZ139">
        <v>0.53738200000000003</v>
      </c>
    </row>
    <row r="140" spans="1:52" x14ac:dyDescent="0.25">
      <c r="A140" t="s">
        <v>93</v>
      </c>
      <c r="B140" t="s">
        <v>374</v>
      </c>
      <c r="D140">
        <v>2020</v>
      </c>
      <c r="E140" t="s">
        <v>107</v>
      </c>
      <c r="F140" t="s">
        <v>381</v>
      </c>
      <c r="G140" t="s">
        <v>248</v>
      </c>
      <c r="H140" t="s">
        <v>382</v>
      </c>
      <c r="I140">
        <v>1</v>
      </c>
      <c r="J140">
        <v>233.39318333333341</v>
      </c>
      <c r="K140">
        <v>30</v>
      </c>
      <c r="L140">
        <v>31.536000000000001</v>
      </c>
      <c r="M140">
        <v>4917.4184525969313</v>
      </c>
      <c r="N140">
        <v>4821.6848284228936</v>
      </c>
      <c r="O140">
        <v>2984.1897708938181</v>
      </c>
      <c r="P140">
        <v>2539.1896953994678</v>
      </c>
      <c r="Q140">
        <v>2093.9800186842722</v>
      </c>
      <c r="R140">
        <v>1896.095935565756</v>
      </c>
      <c r="S140">
        <v>1698.211852447241</v>
      </c>
      <c r="T140">
        <v>1698.211852447241</v>
      </c>
      <c r="U140">
        <v>41.27117929699714</v>
      </c>
      <c r="V140">
        <v>40.608188464916751</v>
      </c>
      <c r="W140">
        <v>39.779449924816397</v>
      </c>
      <c r="X140">
        <v>39.157896019741258</v>
      </c>
      <c r="Y140">
        <v>38.536342114665999</v>
      </c>
      <c r="Z140">
        <v>37.914788209590739</v>
      </c>
      <c r="AA140">
        <v>37.293234304515479</v>
      </c>
      <c r="AB140">
        <v>37.293234304515479</v>
      </c>
      <c r="AS140">
        <v>0.3982038</v>
      </c>
      <c r="AT140">
        <v>0.45452299999999901</v>
      </c>
      <c r="AU140">
        <v>0.524922</v>
      </c>
      <c r="AV140">
        <v>0.524922</v>
      </c>
      <c r="AW140">
        <v>0.524922</v>
      </c>
      <c r="AX140">
        <v>0.524922</v>
      </c>
      <c r="AY140">
        <v>0.524922</v>
      </c>
      <c r="AZ140">
        <v>0.524922</v>
      </c>
    </row>
    <row r="141" spans="1:52" x14ac:dyDescent="0.25">
      <c r="A141" t="s">
        <v>93</v>
      </c>
      <c r="B141" t="s">
        <v>374</v>
      </c>
      <c r="D141">
        <v>2020</v>
      </c>
      <c r="E141" t="s">
        <v>107</v>
      </c>
      <c r="F141" t="s">
        <v>383</v>
      </c>
      <c r="G141" t="s">
        <v>248</v>
      </c>
      <c r="H141" t="s">
        <v>384</v>
      </c>
      <c r="I141">
        <v>1</v>
      </c>
      <c r="J141">
        <v>233.39318333333341</v>
      </c>
      <c r="K141">
        <v>30</v>
      </c>
      <c r="L141">
        <v>31.536000000000001</v>
      </c>
      <c r="M141">
        <v>4917.4184525969313</v>
      </c>
      <c r="N141">
        <v>4878.2231378853267</v>
      </c>
      <c r="O141">
        <v>3372.023929972745</v>
      </c>
      <c r="P141">
        <v>2767.0640187247109</v>
      </c>
      <c r="Q141">
        <v>2154.1095905186999</v>
      </c>
      <c r="R141">
        <v>1956.2255074001851</v>
      </c>
      <c r="S141">
        <v>1758.3414242816691</v>
      </c>
      <c r="T141">
        <v>1758.3414242816691</v>
      </c>
      <c r="U141">
        <v>41.27117929699714</v>
      </c>
      <c r="V141">
        <v>40.608188464916751</v>
      </c>
      <c r="W141">
        <v>39.779449924816397</v>
      </c>
      <c r="X141">
        <v>39.157896019741258</v>
      </c>
      <c r="Y141">
        <v>38.536342114665999</v>
      </c>
      <c r="Z141">
        <v>37.914788209590739</v>
      </c>
      <c r="AA141">
        <v>37.293234304515479</v>
      </c>
      <c r="AB141">
        <v>37.293234304515479</v>
      </c>
      <c r="AS141">
        <v>0.38391930000000002</v>
      </c>
      <c r="AT141">
        <v>0.44077250000000001</v>
      </c>
      <c r="AU141">
        <v>0.51183899999999904</v>
      </c>
      <c r="AV141">
        <v>0.51183899999999904</v>
      </c>
      <c r="AW141">
        <v>0.51183899999999904</v>
      </c>
      <c r="AX141">
        <v>0.51183899999999904</v>
      </c>
      <c r="AY141">
        <v>0.51183899999999904</v>
      </c>
      <c r="AZ141">
        <v>0.51183899999999904</v>
      </c>
    </row>
    <row r="142" spans="1:52" x14ac:dyDescent="0.25">
      <c r="A142" t="s">
        <v>93</v>
      </c>
      <c r="B142" t="s">
        <v>374</v>
      </c>
      <c r="D142">
        <v>2020</v>
      </c>
      <c r="E142" t="s">
        <v>107</v>
      </c>
      <c r="F142" t="s">
        <v>385</v>
      </c>
      <c r="G142" t="s">
        <v>248</v>
      </c>
      <c r="H142" t="s">
        <v>386</v>
      </c>
      <c r="I142">
        <v>1</v>
      </c>
      <c r="J142">
        <v>233.39318333333341</v>
      </c>
      <c r="K142">
        <v>30</v>
      </c>
      <c r="L142">
        <v>31.536000000000001</v>
      </c>
      <c r="M142">
        <v>4917.4184525969313</v>
      </c>
      <c r="N142">
        <v>4821.6848284228936</v>
      </c>
      <c r="O142">
        <v>2984.1897708938181</v>
      </c>
      <c r="P142">
        <v>2539.1896953994678</v>
      </c>
      <c r="Q142">
        <v>2093.9800186842722</v>
      </c>
      <c r="R142">
        <v>1896.095935565756</v>
      </c>
      <c r="S142">
        <v>1698.211852447241</v>
      </c>
      <c r="T142">
        <v>1698.211852447241</v>
      </c>
      <c r="U142">
        <v>41.27117929699714</v>
      </c>
      <c r="V142">
        <v>40.608188464916751</v>
      </c>
      <c r="W142">
        <v>39.779449924816397</v>
      </c>
      <c r="X142">
        <v>39.157896019741258</v>
      </c>
      <c r="Y142">
        <v>38.536342114665999</v>
      </c>
      <c r="Z142">
        <v>37.914788209590739</v>
      </c>
      <c r="AA142">
        <v>37.293234304515479</v>
      </c>
      <c r="AB142">
        <v>37.293234304515479</v>
      </c>
      <c r="AS142">
        <v>0.3663418</v>
      </c>
      <c r="AT142">
        <v>0.42372900000000002</v>
      </c>
      <c r="AU142">
        <v>0.49546299999999999</v>
      </c>
      <c r="AV142">
        <v>0.49546299999999999</v>
      </c>
      <c r="AW142">
        <v>0.49546299999999999</v>
      </c>
      <c r="AX142">
        <v>0.49546299999999999</v>
      </c>
      <c r="AY142">
        <v>0.49546299999999999</v>
      </c>
      <c r="AZ142">
        <v>0.49546299999999999</v>
      </c>
    </row>
    <row r="143" spans="1:52" x14ac:dyDescent="0.25">
      <c r="A143" t="s">
        <v>93</v>
      </c>
      <c r="B143" t="s">
        <v>374</v>
      </c>
      <c r="D143">
        <v>2020</v>
      </c>
      <c r="E143" t="s">
        <v>107</v>
      </c>
      <c r="F143" t="s">
        <v>387</v>
      </c>
      <c r="G143" t="s">
        <v>248</v>
      </c>
      <c r="H143" t="s">
        <v>388</v>
      </c>
      <c r="I143">
        <v>1</v>
      </c>
      <c r="J143">
        <v>233.39318333333341</v>
      </c>
      <c r="K143">
        <v>30</v>
      </c>
      <c r="L143">
        <v>31.536000000000001</v>
      </c>
      <c r="M143">
        <v>4917.4184525969313</v>
      </c>
      <c r="N143">
        <v>4821.6848284228936</v>
      </c>
      <c r="O143">
        <v>2984.1897708938181</v>
      </c>
      <c r="P143">
        <v>2539.1896953994678</v>
      </c>
      <c r="Q143">
        <v>2093.9800186842722</v>
      </c>
      <c r="R143">
        <v>1896.095935565756</v>
      </c>
      <c r="S143">
        <v>1698.211852447241</v>
      </c>
      <c r="T143">
        <v>1698.211852447241</v>
      </c>
      <c r="U143">
        <v>41.27117929699714</v>
      </c>
      <c r="V143">
        <v>40.608188464916751</v>
      </c>
      <c r="W143">
        <v>39.779449924816397</v>
      </c>
      <c r="X143">
        <v>39.157896019741258</v>
      </c>
      <c r="Y143">
        <v>38.536342114665999</v>
      </c>
      <c r="Z143">
        <v>37.914788209590739</v>
      </c>
      <c r="AA143">
        <v>37.293234304515479</v>
      </c>
      <c r="AB143">
        <v>37.293234304515479</v>
      </c>
      <c r="AS143">
        <v>0.34020249999999902</v>
      </c>
      <c r="AT143">
        <v>0.39805249999999898</v>
      </c>
      <c r="AU143">
        <v>0.47036499999999998</v>
      </c>
      <c r="AV143">
        <v>0.47036499999999998</v>
      </c>
      <c r="AW143">
        <v>0.47036499999999998</v>
      </c>
      <c r="AX143">
        <v>0.47036499999999998</v>
      </c>
      <c r="AY143">
        <v>0.47036499999999998</v>
      </c>
      <c r="AZ143">
        <v>0.47036499999999998</v>
      </c>
    </row>
    <row r="144" spans="1:52" x14ac:dyDescent="0.25">
      <c r="A144" t="s">
        <v>93</v>
      </c>
      <c r="B144" t="s">
        <v>374</v>
      </c>
      <c r="D144">
        <v>2020</v>
      </c>
      <c r="E144" t="s">
        <v>107</v>
      </c>
      <c r="F144" t="s">
        <v>389</v>
      </c>
      <c r="G144" t="s">
        <v>248</v>
      </c>
      <c r="H144" t="s">
        <v>390</v>
      </c>
      <c r="I144">
        <v>1</v>
      </c>
      <c r="J144">
        <v>233.39318333333341</v>
      </c>
      <c r="K144">
        <v>30</v>
      </c>
      <c r="L144">
        <v>31.536000000000001</v>
      </c>
      <c r="M144">
        <v>4917.4184525969313</v>
      </c>
      <c r="N144">
        <v>4821.6848284228936</v>
      </c>
      <c r="O144">
        <v>2984.1897708938181</v>
      </c>
      <c r="P144">
        <v>2539.1896953994678</v>
      </c>
      <c r="Q144">
        <v>2093.9800186842722</v>
      </c>
      <c r="R144">
        <v>1896.095935565756</v>
      </c>
      <c r="S144">
        <v>1698.211852447241</v>
      </c>
      <c r="T144">
        <v>1698.211852447241</v>
      </c>
      <c r="U144">
        <v>41.27117929699714</v>
      </c>
      <c r="V144">
        <v>40.608188464916751</v>
      </c>
      <c r="W144">
        <v>39.779449924816397</v>
      </c>
      <c r="X144">
        <v>39.157896019741258</v>
      </c>
      <c r="Y144">
        <v>38.536342114665999</v>
      </c>
      <c r="Z144">
        <v>37.914788209590739</v>
      </c>
      <c r="AA144">
        <v>37.293234304515479</v>
      </c>
      <c r="AB144">
        <v>37.293234304515479</v>
      </c>
      <c r="AS144">
        <v>0.30370360000000002</v>
      </c>
      <c r="AT144">
        <v>0.36151799999999901</v>
      </c>
      <c r="AU144">
        <v>0.433786</v>
      </c>
      <c r="AV144">
        <v>0.433786</v>
      </c>
      <c r="AW144">
        <v>0.433786</v>
      </c>
      <c r="AX144">
        <v>0.433786</v>
      </c>
      <c r="AY144">
        <v>0.433786</v>
      </c>
      <c r="AZ144">
        <v>0.433786</v>
      </c>
    </row>
    <row r="145" spans="1:52" x14ac:dyDescent="0.25">
      <c r="A145" t="s">
        <v>93</v>
      </c>
      <c r="B145" t="s">
        <v>374</v>
      </c>
      <c r="D145">
        <v>2020</v>
      </c>
      <c r="E145" t="s">
        <v>107</v>
      </c>
      <c r="F145" t="s">
        <v>391</v>
      </c>
      <c r="G145" t="s">
        <v>248</v>
      </c>
      <c r="H145" t="s">
        <v>392</v>
      </c>
      <c r="I145">
        <v>1</v>
      </c>
      <c r="J145">
        <v>233.39318333333341</v>
      </c>
      <c r="K145">
        <v>30</v>
      </c>
      <c r="L145">
        <v>31.536000000000001</v>
      </c>
      <c r="M145">
        <v>4917.4184525969313</v>
      </c>
      <c r="N145">
        <v>4821.6848284228936</v>
      </c>
      <c r="O145">
        <v>2984.1897708938181</v>
      </c>
      <c r="P145">
        <v>2539.1896953994678</v>
      </c>
      <c r="Q145">
        <v>2093.9800186842722</v>
      </c>
      <c r="R145">
        <v>1896.095935565756</v>
      </c>
      <c r="S145">
        <v>1698.211852447241</v>
      </c>
      <c r="T145">
        <v>1698.211852447241</v>
      </c>
      <c r="U145">
        <v>41.27117929699714</v>
      </c>
      <c r="V145">
        <v>40.608188464916751</v>
      </c>
      <c r="W145">
        <v>39.779449924816397</v>
      </c>
      <c r="X145">
        <v>39.157896019741258</v>
      </c>
      <c r="Y145">
        <v>38.536342114665999</v>
      </c>
      <c r="Z145">
        <v>37.914788209590739</v>
      </c>
      <c r="AA145">
        <v>37.293234304515479</v>
      </c>
      <c r="AB145">
        <v>37.293234304515479</v>
      </c>
      <c r="AS145">
        <v>0.25940829999999998</v>
      </c>
      <c r="AT145">
        <v>0.3166175</v>
      </c>
      <c r="AU145">
        <v>0.388129</v>
      </c>
      <c r="AV145">
        <v>0.388129</v>
      </c>
      <c r="AW145">
        <v>0.388129</v>
      </c>
      <c r="AX145">
        <v>0.388129</v>
      </c>
      <c r="AY145">
        <v>0.388129</v>
      </c>
      <c r="AZ145">
        <v>0.388129</v>
      </c>
    </row>
    <row r="146" spans="1:52" x14ac:dyDescent="0.25">
      <c r="A146" t="s">
        <v>93</v>
      </c>
      <c r="B146" t="s">
        <v>374</v>
      </c>
      <c r="D146">
        <v>2020</v>
      </c>
      <c r="E146" t="s">
        <v>107</v>
      </c>
      <c r="F146" t="s">
        <v>393</v>
      </c>
      <c r="G146" t="s">
        <v>248</v>
      </c>
      <c r="H146" t="s">
        <v>394</v>
      </c>
      <c r="I146">
        <v>1</v>
      </c>
      <c r="J146">
        <v>233.39318333333341</v>
      </c>
      <c r="K146">
        <v>30</v>
      </c>
      <c r="L146">
        <v>31.536000000000001</v>
      </c>
      <c r="M146">
        <v>4917.4184525969313</v>
      </c>
      <c r="N146">
        <v>4821.6848284228936</v>
      </c>
      <c r="O146">
        <v>2984.1897708938181</v>
      </c>
      <c r="P146">
        <v>2539.1896953994678</v>
      </c>
      <c r="Q146">
        <v>2093.9800186842722</v>
      </c>
      <c r="R146">
        <v>1896.095935565756</v>
      </c>
      <c r="S146">
        <v>1698.211852447241</v>
      </c>
      <c r="T146">
        <v>1698.211852447241</v>
      </c>
      <c r="U146">
        <v>41.27117929699714</v>
      </c>
      <c r="V146">
        <v>40.608188464916751</v>
      </c>
      <c r="W146">
        <v>39.779449924816397</v>
      </c>
      <c r="X146">
        <v>39.157896019741258</v>
      </c>
      <c r="Y146">
        <v>38.536342114665999</v>
      </c>
      <c r="Z146">
        <v>37.914788209590739</v>
      </c>
      <c r="AA146">
        <v>37.293234304515479</v>
      </c>
      <c r="AB146">
        <v>37.293234304515479</v>
      </c>
      <c r="AS146">
        <v>0.2115263</v>
      </c>
      <c r="AT146">
        <v>0.26517550000000001</v>
      </c>
      <c r="AU146">
        <v>0.332237</v>
      </c>
      <c r="AV146">
        <v>0.332237</v>
      </c>
      <c r="AW146">
        <v>0.332237</v>
      </c>
      <c r="AX146">
        <v>0.332237</v>
      </c>
      <c r="AY146">
        <v>0.332237</v>
      </c>
      <c r="AZ146">
        <v>0.332237</v>
      </c>
    </row>
    <row r="147" spans="1:52" x14ac:dyDescent="0.25">
      <c r="A147" t="s">
        <v>93</v>
      </c>
      <c r="B147" t="s">
        <v>374</v>
      </c>
      <c r="D147">
        <v>2020</v>
      </c>
      <c r="E147" t="s">
        <v>107</v>
      </c>
      <c r="F147" t="s">
        <v>395</v>
      </c>
      <c r="G147" t="s">
        <v>248</v>
      </c>
      <c r="H147" t="s">
        <v>396</v>
      </c>
      <c r="I147">
        <v>1</v>
      </c>
      <c r="J147">
        <v>233.39318333333341</v>
      </c>
      <c r="K147">
        <v>30</v>
      </c>
      <c r="L147">
        <v>31.536000000000001</v>
      </c>
      <c r="M147">
        <v>6549.0142310829506</v>
      </c>
      <c r="N147">
        <v>6421.1425612343974</v>
      </c>
      <c r="O147">
        <v>3968.077175989039</v>
      </c>
      <c r="P147">
        <v>3222.0031734476329</v>
      </c>
      <c r="Q147">
        <v>2629.692312978324</v>
      </c>
      <c r="R147">
        <v>2226.8699153391431</v>
      </c>
      <c r="S147">
        <v>1953.258376919596</v>
      </c>
      <c r="T147">
        <v>1953.258376919596</v>
      </c>
      <c r="U147">
        <v>41.27117929699714</v>
      </c>
      <c r="V147">
        <v>40.608188464916751</v>
      </c>
      <c r="W147">
        <v>39.779449924816397</v>
      </c>
      <c r="X147">
        <v>39.157896019741258</v>
      </c>
      <c r="Y147">
        <v>38.536342114665999</v>
      </c>
      <c r="Z147">
        <v>37.914788209590739</v>
      </c>
      <c r="AA147">
        <v>37.293234304515479</v>
      </c>
      <c r="AB147">
        <v>37.293234304515479</v>
      </c>
      <c r="AS147">
        <v>0.18580307500000001</v>
      </c>
      <c r="AT147">
        <v>0.19076037500000001</v>
      </c>
      <c r="AU147">
        <v>0.19695699999999999</v>
      </c>
      <c r="AV147">
        <v>0.19695699999999999</v>
      </c>
      <c r="AW147">
        <v>0.19695699999999999</v>
      </c>
      <c r="AX147">
        <v>0.19695699999999999</v>
      </c>
      <c r="AY147">
        <v>0.19695699999999999</v>
      </c>
      <c r="AZ147">
        <v>0.19695699999999999</v>
      </c>
    </row>
    <row r="148" spans="1:52" x14ac:dyDescent="0.25">
      <c r="A148" t="s">
        <v>93</v>
      </c>
      <c r="B148" t="s">
        <v>374</v>
      </c>
      <c r="D148">
        <v>2020</v>
      </c>
      <c r="E148" t="s">
        <v>107</v>
      </c>
      <c r="F148" t="s">
        <v>397</v>
      </c>
      <c r="G148" t="s">
        <v>248</v>
      </c>
      <c r="H148" t="s">
        <v>398</v>
      </c>
      <c r="I148">
        <v>1</v>
      </c>
      <c r="J148">
        <v>233.39318333333341</v>
      </c>
      <c r="K148">
        <v>30</v>
      </c>
      <c r="L148">
        <v>31.536000000000001</v>
      </c>
      <c r="M148">
        <v>6549.0142310829506</v>
      </c>
      <c r="N148">
        <v>6421.1425612343974</v>
      </c>
      <c r="O148">
        <v>3968.077175989039</v>
      </c>
      <c r="P148">
        <v>3222.0031734476329</v>
      </c>
      <c r="Q148">
        <v>2629.692312978324</v>
      </c>
      <c r="R148">
        <v>2226.8699153391431</v>
      </c>
      <c r="S148">
        <v>1953.258376919596</v>
      </c>
      <c r="T148">
        <v>1953.258376919596</v>
      </c>
      <c r="U148">
        <v>41.27117929699714</v>
      </c>
      <c r="V148">
        <v>40.608188464916751</v>
      </c>
      <c r="W148">
        <v>39.779449924816397</v>
      </c>
      <c r="X148">
        <v>39.157896019741258</v>
      </c>
      <c r="Y148">
        <v>38.536342114665999</v>
      </c>
      <c r="Z148">
        <v>37.914788209590739</v>
      </c>
      <c r="AA148">
        <v>37.293234304515479</v>
      </c>
      <c r="AB148">
        <v>37.293234304515479</v>
      </c>
      <c r="AS148">
        <v>0.39758969999999999</v>
      </c>
      <c r="AT148">
        <v>0.44041649999999999</v>
      </c>
      <c r="AU148">
        <v>0.49395</v>
      </c>
      <c r="AV148">
        <v>0.49395</v>
      </c>
      <c r="AW148">
        <v>0.49395</v>
      </c>
      <c r="AX148">
        <v>0.49395</v>
      </c>
      <c r="AY148">
        <v>0.49395</v>
      </c>
      <c r="AZ148">
        <v>0.49395</v>
      </c>
    </row>
    <row r="149" spans="1:52" x14ac:dyDescent="0.25">
      <c r="A149" t="s">
        <v>93</v>
      </c>
      <c r="B149" t="s">
        <v>374</v>
      </c>
      <c r="D149">
        <v>2020</v>
      </c>
      <c r="E149" t="s">
        <v>107</v>
      </c>
      <c r="F149" t="s">
        <v>399</v>
      </c>
      <c r="G149" t="s">
        <v>248</v>
      </c>
      <c r="H149" t="s">
        <v>400</v>
      </c>
      <c r="I149">
        <v>1</v>
      </c>
      <c r="J149">
        <v>233.39318333333341</v>
      </c>
      <c r="K149">
        <v>30</v>
      </c>
      <c r="L149">
        <v>31.536000000000001</v>
      </c>
      <c r="M149">
        <v>6549.0142310829506</v>
      </c>
      <c r="N149">
        <v>6421.1425612343974</v>
      </c>
      <c r="O149">
        <v>3968.077175989039</v>
      </c>
      <c r="P149">
        <v>3222.0031734476329</v>
      </c>
      <c r="Q149">
        <v>2629.692312978324</v>
      </c>
      <c r="R149">
        <v>2226.8699153391431</v>
      </c>
      <c r="S149">
        <v>1953.258376919596</v>
      </c>
      <c r="T149">
        <v>1953.258376919596</v>
      </c>
      <c r="U149">
        <v>41.27117929699714</v>
      </c>
      <c r="V149">
        <v>40.608188464916751</v>
      </c>
      <c r="W149">
        <v>39.779449924816397</v>
      </c>
      <c r="X149">
        <v>39.157896019741258</v>
      </c>
      <c r="Y149">
        <v>38.536342114665999</v>
      </c>
      <c r="Z149">
        <v>37.914788209590739</v>
      </c>
      <c r="AA149">
        <v>37.293234304515479</v>
      </c>
      <c r="AB149">
        <v>37.293234304515479</v>
      </c>
      <c r="AS149">
        <v>0.3663151</v>
      </c>
      <c r="AT149">
        <v>0.40899950000000002</v>
      </c>
      <c r="AU149">
        <v>0.46235500000000002</v>
      </c>
      <c r="AV149">
        <v>0.46235500000000002</v>
      </c>
      <c r="AW149">
        <v>0.46235500000000002</v>
      </c>
      <c r="AX149">
        <v>0.46235500000000002</v>
      </c>
      <c r="AY149">
        <v>0.46235500000000002</v>
      </c>
      <c r="AZ149">
        <v>0.46235500000000002</v>
      </c>
    </row>
    <row r="150" spans="1:52" x14ac:dyDescent="0.25">
      <c r="A150" t="s">
        <v>93</v>
      </c>
      <c r="B150" t="s">
        <v>374</v>
      </c>
      <c r="D150">
        <v>2020</v>
      </c>
      <c r="E150" t="s">
        <v>107</v>
      </c>
      <c r="F150" t="s">
        <v>401</v>
      </c>
      <c r="G150" t="s">
        <v>248</v>
      </c>
      <c r="H150" t="s">
        <v>402</v>
      </c>
      <c r="I150">
        <v>1</v>
      </c>
      <c r="J150">
        <v>233.39318333333341</v>
      </c>
      <c r="K150">
        <v>30</v>
      </c>
      <c r="L150">
        <v>31.536000000000001</v>
      </c>
      <c r="M150">
        <v>6549.0142310829506</v>
      </c>
      <c r="N150">
        <v>6421.1425612343974</v>
      </c>
      <c r="O150">
        <v>3968.077175989039</v>
      </c>
      <c r="P150">
        <v>3222.0031734476329</v>
      </c>
      <c r="Q150">
        <v>2629.692312978324</v>
      </c>
      <c r="R150">
        <v>2226.8699153391431</v>
      </c>
      <c r="S150">
        <v>1953.258376919596</v>
      </c>
      <c r="T150">
        <v>1953.258376919596</v>
      </c>
      <c r="U150">
        <v>41.27117929699714</v>
      </c>
      <c r="V150">
        <v>40.608188464916751</v>
      </c>
      <c r="W150">
        <v>39.779449924816397</v>
      </c>
      <c r="X150">
        <v>39.157896019741258</v>
      </c>
      <c r="Y150">
        <v>38.536342114665999</v>
      </c>
      <c r="Z150">
        <v>37.914788209590739</v>
      </c>
      <c r="AA150">
        <v>37.293234304515479</v>
      </c>
      <c r="AB150">
        <v>37.293234304515479</v>
      </c>
      <c r="AS150">
        <v>0.35520233750000002</v>
      </c>
      <c r="AT150">
        <v>0.39815818749999998</v>
      </c>
      <c r="AU150">
        <v>0.451853</v>
      </c>
      <c r="AV150">
        <v>0.451853</v>
      </c>
      <c r="AW150">
        <v>0.451853</v>
      </c>
      <c r="AX150">
        <v>0.451853</v>
      </c>
      <c r="AY150">
        <v>0.451853</v>
      </c>
      <c r="AZ150">
        <v>0.451853</v>
      </c>
    </row>
    <row r="151" spans="1:52" x14ac:dyDescent="0.25">
      <c r="A151" t="s">
        <v>93</v>
      </c>
      <c r="B151" t="s">
        <v>374</v>
      </c>
      <c r="D151">
        <v>2020</v>
      </c>
      <c r="E151" t="s">
        <v>107</v>
      </c>
      <c r="F151" t="s">
        <v>403</v>
      </c>
      <c r="G151" t="s">
        <v>248</v>
      </c>
      <c r="H151" t="s">
        <v>404</v>
      </c>
      <c r="I151">
        <v>1</v>
      </c>
      <c r="J151">
        <v>233.39318333333341</v>
      </c>
      <c r="K151">
        <v>30</v>
      </c>
      <c r="L151">
        <v>31.536000000000001</v>
      </c>
      <c r="M151">
        <v>6549.0142310829506</v>
      </c>
      <c r="N151">
        <v>6421.1425612343974</v>
      </c>
      <c r="O151">
        <v>3968.077175989039</v>
      </c>
      <c r="P151">
        <v>3222.0031734476329</v>
      </c>
      <c r="Q151">
        <v>2629.692312978324</v>
      </c>
      <c r="R151">
        <v>2226.8699153391431</v>
      </c>
      <c r="S151">
        <v>1953.258376919596</v>
      </c>
      <c r="T151">
        <v>1953.258376919596</v>
      </c>
      <c r="U151">
        <v>41.27117929699714</v>
      </c>
      <c r="V151">
        <v>40.608188464916751</v>
      </c>
      <c r="W151">
        <v>39.779449924816397</v>
      </c>
      <c r="X151">
        <v>39.157896019741258</v>
      </c>
      <c r="Y151">
        <v>38.536342114665999</v>
      </c>
      <c r="Z151">
        <v>37.914788209590739</v>
      </c>
      <c r="AA151">
        <v>37.293234304515479</v>
      </c>
      <c r="AB151">
        <v>37.293234304515479</v>
      </c>
      <c r="AS151">
        <v>0.34360675000000002</v>
      </c>
      <c r="AT151">
        <v>0.38677175000000003</v>
      </c>
      <c r="AU151">
        <v>0.44072800000000001</v>
      </c>
      <c r="AV151">
        <v>0.44072800000000001</v>
      </c>
      <c r="AW151">
        <v>0.44072800000000001</v>
      </c>
      <c r="AX151">
        <v>0.44072800000000001</v>
      </c>
      <c r="AY151">
        <v>0.44072800000000001</v>
      </c>
      <c r="AZ151">
        <v>0.44072800000000001</v>
      </c>
    </row>
    <row r="152" spans="1:52" x14ac:dyDescent="0.25">
      <c r="A152" t="s">
        <v>93</v>
      </c>
      <c r="B152" t="s">
        <v>374</v>
      </c>
      <c r="D152">
        <v>2020</v>
      </c>
      <c r="E152" t="s">
        <v>107</v>
      </c>
      <c r="F152" t="s">
        <v>405</v>
      </c>
      <c r="G152" t="s">
        <v>248</v>
      </c>
      <c r="H152" t="s">
        <v>406</v>
      </c>
      <c r="I152">
        <v>1</v>
      </c>
      <c r="J152">
        <v>233.39318333333341</v>
      </c>
      <c r="K152">
        <v>30</v>
      </c>
      <c r="L152">
        <v>31.536000000000001</v>
      </c>
      <c r="M152">
        <v>6549.0142310829506</v>
      </c>
      <c r="N152">
        <v>6421.1425612343974</v>
      </c>
      <c r="O152">
        <v>3968.077175989039</v>
      </c>
      <c r="P152">
        <v>3222.0031734476329</v>
      </c>
      <c r="Q152">
        <v>2629.692312978324</v>
      </c>
      <c r="R152">
        <v>2226.8699153391431</v>
      </c>
      <c r="S152">
        <v>1953.258376919596</v>
      </c>
      <c r="T152">
        <v>1953.258376919596</v>
      </c>
      <c r="U152">
        <v>41.27117929699714</v>
      </c>
      <c r="V152">
        <v>40.608188464916751</v>
      </c>
      <c r="W152">
        <v>39.779449924816397</v>
      </c>
      <c r="X152">
        <v>39.157896019741258</v>
      </c>
      <c r="Y152">
        <v>38.536342114665999</v>
      </c>
      <c r="Z152">
        <v>37.914788209590739</v>
      </c>
      <c r="AA152">
        <v>37.293234304515479</v>
      </c>
      <c r="AB152">
        <v>37.293234304515479</v>
      </c>
      <c r="AS152">
        <v>0.32920654999999999</v>
      </c>
      <c r="AT152">
        <v>0.37244274999999999</v>
      </c>
      <c r="AU152">
        <v>0.42648799999999998</v>
      </c>
      <c r="AV152">
        <v>0.42648799999999998</v>
      </c>
      <c r="AW152">
        <v>0.42648799999999998</v>
      </c>
      <c r="AX152">
        <v>0.42648799999999998</v>
      </c>
      <c r="AY152">
        <v>0.42648799999999998</v>
      </c>
      <c r="AZ152">
        <v>0.42648799999999998</v>
      </c>
    </row>
    <row r="153" spans="1:52" x14ac:dyDescent="0.25">
      <c r="A153" t="s">
        <v>93</v>
      </c>
      <c r="B153" t="s">
        <v>374</v>
      </c>
      <c r="D153">
        <v>2020</v>
      </c>
      <c r="E153" t="s">
        <v>107</v>
      </c>
      <c r="F153" t="s">
        <v>407</v>
      </c>
      <c r="G153" t="s">
        <v>248</v>
      </c>
      <c r="H153" t="s">
        <v>408</v>
      </c>
      <c r="I153">
        <v>1</v>
      </c>
      <c r="J153">
        <v>233.39318333333341</v>
      </c>
      <c r="K153">
        <v>30</v>
      </c>
      <c r="L153">
        <v>31.536000000000001</v>
      </c>
      <c r="M153">
        <v>6549.0142310829506</v>
      </c>
      <c r="N153">
        <v>6421.1425612343974</v>
      </c>
      <c r="O153">
        <v>3968.077175989039</v>
      </c>
      <c r="P153">
        <v>3222.0031734476329</v>
      </c>
      <c r="Q153">
        <v>2629.692312978324</v>
      </c>
      <c r="R153">
        <v>2226.8699153391431</v>
      </c>
      <c r="S153">
        <v>1953.258376919596</v>
      </c>
      <c r="T153">
        <v>1953.258376919596</v>
      </c>
      <c r="U153">
        <v>41.27117929699714</v>
      </c>
      <c r="V153">
        <v>40.608188464916751</v>
      </c>
      <c r="W153">
        <v>39.779449924816397</v>
      </c>
      <c r="X153">
        <v>39.157896019741258</v>
      </c>
      <c r="Y153">
        <v>38.536342114665999</v>
      </c>
      <c r="Z153">
        <v>37.914788209590739</v>
      </c>
      <c r="AA153">
        <v>37.293234304515479</v>
      </c>
      <c r="AB153">
        <v>37.293234304515479</v>
      </c>
      <c r="AS153">
        <v>0.30730364999999998</v>
      </c>
      <c r="AT153">
        <v>0.35050425000000002</v>
      </c>
      <c r="AU153">
        <v>0.404505</v>
      </c>
      <c r="AV153">
        <v>0.404505</v>
      </c>
      <c r="AW153">
        <v>0.404505</v>
      </c>
      <c r="AX153">
        <v>0.404505</v>
      </c>
      <c r="AY153">
        <v>0.404505</v>
      </c>
      <c r="AZ153">
        <v>0.404505</v>
      </c>
    </row>
    <row r="154" spans="1:52" x14ac:dyDescent="0.25">
      <c r="A154" t="s">
        <v>93</v>
      </c>
      <c r="B154" t="s">
        <v>374</v>
      </c>
      <c r="D154">
        <v>2020</v>
      </c>
      <c r="E154" t="s">
        <v>107</v>
      </c>
      <c r="F154" t="s">
        <v>409</v>
      </c>
      <c r="G154" t="s">
        <v>248</v>
      </c>
      <c r="H154" t="s">
        <v>410</v>
      </c>
      <c r="I154">
        <v>1</v>
      </c>
      <c r="J154">
        <v>233.39318333333341</v>
      </c>
      <c r="K154">
        <v>30</v>
      </c>
      <c r="L154">
        <v>31.536000000000001</v>
      </c>
      <c r="M154">
        <v>6549.0142310829506</v>
      </c>
      <c r="N154">
        <v>6421.1425612343974</v>
      </c>
      <c r="O154">
        <v>3968.077175989039</v>
      </c>
      <c r="P154">
        <v>3222.0031734476329</v>
      </c>
      <c r="Q154">
        <v>2629.692312978324</v>
      </c>
      <c r="R154">
        <v>2226.8699153391431</v>
      </c>
      <c r="S154">
        <v>1953.258376919596</v>
      </c>
      <c r="T154">
        <v>1953.258376919596</v>
      </c>
      <c r="U154">
        <v>41.27117929699714</v>
      </c>
      <c r="V154">
        <v>40.608188464916751</v>
      </c>
      <c r="W154">
        <v>39.779449924816397</v>
      </c>
      <c r="X154">
        <v>39.157896019741258</v>
      </c>
      <c r="Y154">
        <v>38.536342114665999</v>
      </c>
      <c r="Z154">
        <v>37.914788209590739</v>
      </c>
      <c r="AA154">
        <v>37.293234304515479</v>
      </c>
      <c r="AB154">
        <v>37.293234304515479</v>
      </c>
      <c r="AS154">
        <v>0.27663647499999999</v>
      </c>
      <c r="AT154">
        <v>0.319187374999999</v>
      </c>
      <c r="AU154">
        <v>0.37237599999999998</v>
      </c>
      <c r="AV154">
        <v>0.37237599999999998</v>
      </c>
      <c r="AW154">
        <v>0.37237599999999998</v>
      </c>
      <c r="AX154">
        <v>0.37237599999999998</v>
      </c>
      <c r="AY154">
        <v>0.37237599999999998</v>
      </c>
      <c r="AZ154">
        <v>0.37237599999999998</v>
      </c>
    </row>
    <row r="155" spans="1:52" x14ac:dyDescent="0.25">
      <c r="A155" t="s">
        <v>93</v>
      </c>
      <c r="B155" t="s">
        <v>374</v>
      </c>
      <c r="D155">
        <v>2020</v>
      </c>
      <c r="E155" t="s">
        <v>107</v>
      </c>
      <c r="F155" t="s">
        <v>411</v>
      </c>
      <c r="G155" t="s">
        <v>248</v>
      </c>
      <c r="H155" t="s">
        <v>412</v>
      </c>
      <c r="I155">
        <v>1</v>
      </c>
      <c r="J155">
        <v>233.39318333333341</v>
      </c>
      <c r="K155">
        <v>30</v>
      </c>
      <c r="L155">
        <v>31.536000000000001</v>
      </c>
      <c r="M155">
        <v>6549.0142310829506</v>
      </c>
      <c r="N155">
        <v>6421.1425612343974</v>
      </c>
      <c r="O155">
        <v>3968.077175989039</v>
      </c>
      <c r="P155">
        <v>3222.0031734476329</v>
      </c>
      <c r="Q155">
        <v>2629.692312978324</v>
      </c>
      <c r="R155">
        <v>2226.8699153391431</v>
      </c>
      <c r="S155">
        <v>1953.258376919596</v>
      </c>
      <c r="T155">
        <v>1953.258376919596</v>
      </c>
      <c r="U155">
        <v>41.27117929699714</v>
      </c>
      <c r="V155">
        <v>40.608188464916751</v>
      </c>
      <c r="W155">
        <v>39.779449924816397</v>
      </c>
      <c r="X155">
        <v>39.157896019741258</v>
      </c>
      <c r="Y155">
        <v>38.536342114665999</v>
      </c>
      <c r="Z155">
        <v>37.914788209590739</v>
      </c>
      <c r="AA155">
        <v>37.293234304515479</v>
      </c>
      <c r="AB155">
        <v>37.293234304515479</v>
      </c>
      <c r="AS155">
        <v>0.23932990000000001</v>
      </c>
      <c r="AT155">
        <v>0.28030549999999999</v>
      </c>
      <c r="AU155">
        <v>0.33152500000000001</v>
      </c>
      <c r="AV155">
        <v>0.33152500000000001</v>
      </c>
      <c r="AW155">
        <v>0.33152500000000001</v>
      </c>
      <c r="AX155">
        <v>0.33152500000000001</v>
      </c>
      <c r="AY155">
        <v>0.33152500000000001</v>
      </c>
      <c r="AZ155">
        <v>0.33152500000000001</v>
      </c>
    </row>
    <row r="156" spans="1:52" x14ac:dyDescent="0.25">
      <c r="A156" t="s">
        <v>93</v>
      </c>
      <c r="B156" t="s">
        <v>374</v>
      </c>
      <c r="D156">
        <v>2020</v>
      </c>
      <c r="E156" t="s">
        <v>107</v>
      </c>
      <c r="F156" t="s">
        <v>413</v>
      </c>
      <c r="G156" t="s">
        <v>248</v>
      </c>
      <c r="H156" t="s">
        <v>414</v>
      </c>
      <c r="I156">
        <v>1</v>
      </c>
      <c r="J156">
        <v>233.39318333333341</v>
      </c>
      <c r="K156">
        <v>30</v>
      </c>
      <c r="L156">
        <v>31.536000000000001</v>
      </c>
      <c r="M156">
        <v>6549.0142310829506</v>
      </c>
      <c r="N156">
        <v>6421.1425612343974</v>
      </c>
      <c r="O156">
        <v>3968.077175989039</v>
      </c>
      <c r="P156">
        <v>3222.0031734476329</v>
      </c>
      <c r="Q156">
        <v>2629.692312978324</v>
      </c>
      <c r="R156">
        <v>2226.8699153391431</v>
      </c>
      <c r="S156">
        <v>1953.258376919596</v>
      </c>
      <c r="T156">
        <v>1953.258376919596</v>
      </c>
      <c r="U156">
        <v>41.27117929699714</v>
      </c>
      <c r="V156">
        <v>40.608188464916751</v>
      </c>
      <c r="W156">
        <v>39.779449924816397</v>
      </c>
      <c r="X156">
        <v>39.157896019741258</v>
      </c>
      <c r="Y156">
        <v>38.536342114665999</v>
      </c>
      <c r="Z156">
        <v>37.914788209590739</v>
      </c>
      <c r="AA156">
        <v>37.293234304515479</v>
      </c>
      <c r="AB156">
        <v>37.293234304515479</v>
      </c>
      <c r="AS156">
        <v>0.199386699999999</v>
      </c>
      <c r="AT156">
        <v>0.23758550000000001</v>
      </c>
      <c r="AU156">
        <v>0.28533399999999998</v>
      </c>
      <c r="AV156">
        <v>0.28533399999999998</v>
      </c>
      <c r="AW156">
        <v>0.28533399999999998</v>
      </c>
      <c r="AX156">
        <v>0.28533399999999998</v>
      </c>
      <c r="AY156">
        <v>0.28533399999999998</v>
      </c>
      <c r="AZ156">
        <v>0.28533399999999998</v>
      </c>
    </row>
    <row r="157" spans="1:52" x14ac:dyDescent="0.25">
      <c r="A157" t="s">
        <v>93</v>
      </c>
      <c r="B157" t="s">
        <v>374</v>
      </c>
      <c r="D157">
        <v>2020</v>
      </c>
      <c r="E157" t="s">
        <v>107</v>
      </c>
      <c r="F157" t="s">
        <v>415</v>
      </c>
      <c r="G157" t="s">
        <v>241</v>
      </c>
      <c r="H157" t="s">
        <v>416</v>
      </c>
      <c r="I157">
        <v>1</v>
      </c>
      <c r="J157">
        <v>700.17955000000006</v>
      </c>
      <c r="K157">
        <v>30</v>
      </c>
      <c r="L157">
        <v>31.536000000000001</v>
      </c>
      <c r="M157">
        <v>3232.554589138178</v>
      </c>
      <c r="N157">
        <v>2974.9201081634578</v>
      </c>
      <c r="O157">
        <v>2378.9027813256071</v>
      </c>
      <c r="P157">
        <v>1782.885454487767</v>
      </c>
      <c r="Q157">
        <v>1610.1995746889211</v>
      </c>
      <c r="R157">
        <v>1437.5136948900749</v>
      </c>
      <c r="S157">
        <v>1264.827815091229</v>
      </c>
      <c r="T157">
        <v>1264.827815091229</v>
      </c>
      <c r="U157">
        <v>34.293446157052799</v>
      </c>
      <c r="V157">
        <v>31.784509373254991</v>
      </c>
      <c r="W157">
        <v>26.108139740981851</v>
      </c>
      <c r="X157">
        <v>20.431770108708822</v>
      </c>
      <c r="Y157">
        <v>18.787138585640339</v>
      </c>
      <c r="Z157">
        <v>17.142507062571742</v>
      </c>
      <c r="AA157">
        <v>15.49787553950326</v>
      </c>
      <c r="AB157">
        <v>15.49787553950326</v>
      </c>
      <c r="AS157">
        <v>0.11991511872812199</v>
      </c>
      <c r="AT157">
        <v>0.120424240971688</v>
      </c>
      <c r="AU157">
        <v>0.121060643776146</v>
      </c>
      <c r="AV157">
        <v>0.121697046580603</v>
      </c>
      <c r="AW157">
        <v>0.12274461548711101</v>
      </c>
      <c r="AX157">
        <v>0.123792184393619</v>
      </c>
      <c r="AY157">
        <v>0.12483975330012601</v>
      </c>
      <c r="AZ157">
        <v>0.12483975330012601</v>
      </c>
    </row>
    <row r="158" spans="1:52" x14ac:dyDescent="0.25">
      <c r="A158" t="s">
        <v>93</v>
      </c>
      <c r="B158" t="s">
        <v>374</v>
      </c>
      <c r="D158">
        <v>2020</v>
      </c>
      <c r="E158" t="s">
        <v>107</v>
      </c>
      <c r="F158" t="s">
        <v>417</v>
      </c>
      <c r="G158" t="s">
        <v>241</v>
      </c>
      <c r="H158" t="s">
        <v>418</v>
      </c>
      <c r="I158">
        <v>1</v>
      </c>
      <c r="J158">
        <v>700.17955000000006</v>
      </c>
      <c r="K158">
        <v>30</v>
      </c>
      <c r="L158">
        <v>31.536000000000001</v>
      </c>
      <c r="M158">
        <v>3232.554589138178</v>
      </c>
      <c r="N158">
        <v>2974.9201081634578</v>
      </c>
      <c r="O158">
        <v>2378.9027813256071</v>
      </c>
      <c r="P158">
        <v>1782.885454487767</v>
      </c>
      <c r="Q158">
        <v>1610.1995746889211</v>
      </c>
      <c r="R158">
        <v>1437.5136948900749</v>
      </c>
      <c r="S158">
        <v>1264.827815091229</v>
      </c>
      <c r="T158">
        <v>1264.827815091229</v>
      </c>
      <c r="U158">
        <v>34.293446157052799</v>
      </c>
      <c r="V158">
        <v>31.784509373254991</v>
      </c>
      <c r="W158">
        <v>26.108139740981851</v>
      </c>
      <c r="X158">
        <v>20.431770108708822</v>
      </c>
      <c r="Y158">
        <v>18.787138585640339</v>
      </c>
      <c r="Z158">
        <v>17.142507062571742</v>
      </c>
      <c r="AA158">
        <v>15.49787553950326</v>
      </c>
      <c r="AB158">
        <v>15.49787553950326</v>
      </c>
      <c r="AS158">
        <v>0.18503063549930401</v>
      </c>
      <c r="AT158">
        <v>0.18581621794522901</v>
      </c>
      <c r="AU158">
        <v>0.186798196002635</v>
      </c>
      <c r="AV158">
        <v>0.18778017406004199</v>
      </c>
      <c r="AW158">
        <v>0.18939658692404299</v>
      </c>
      <c r="AX158">
        <v>0.19101299978804501</v>
      </c>
      <c r="AY158">
        <v>0.192629412652047</v>
      </c>
      <c r="AZ158">
        <v>0.192629412652047</v>
      </c>
    </row>
    <row r="159" spans="1:52" x14ac:dyDescent="0.25">
      <c r="A159" t="s">
        <v>93</v>
      </c>
      <c r="B159" t="s">
        <v>374</v>
      </c>
      <c r="D159">
        <v>2020</v>
      </c>
      <c r="E159" t="s">
        <v>107</v>
      </c>
      <c r="F159" t="s">
        <v>419</v>
      </c>
      <c r="G159" t="s">
        <v>241</v>
      </c>
      <c r="H159" t="s">
        <v>420</v>
      </c>
      <c r="I159">
        <v>1</v>
      </c>
      <c r="J159">
        <v>700.17955000000006</v>
      </c>
      <c r="K159">
        <v>30</v>
      </c>
      <c r="L159">
        <v>31.536000000000001</v>
      </c>
      <c r="M159">
        <v>3232.554589138178</v>
      </c>
      <c r="N159">
        <v>2974.9201081634578</v>
      </c>
      <c r="O159">
        <v>2378.9027813256071</v>
      </c>
      <c r="P159">
        <v>1782.885454487767</v>
      </c>
      <c r="Q159">
        <v>1610.1995746889211</v>
      </c>
      <c r="R159">
        <v>1437.5136948900749</v>
      </c>
      <c r="S159">
        <v>1264.827815091229</v>
      </c>
      <c r="T159">
        <v>1264.827815091229</v>
      </c>
      <c r="U159">
        <v>34.293446157052799</v>
      </c>
      <c r="V159">
        <v>31.784509373254991</v>
      </c>
      <c r="W159">
        <v>26.108139740981851</v>
      </c>
      <c r="X159">
        <v>20.431770108708822</v>
      </c>
      <c r="Y159">
        <v>18.787138585640339</v>
      </c>
      <c r="Z159">
        <v>17.142507062571742</v>
      </c>
      <c r="AA159">
        <v>15.49787553950326</v>
      </c>
      <c r="AB159">
        <v>15.49787553950326</v>
      </c>
      <c r="AS159">
        <v>0.18216811758946999</v>
      </c>
      <c r="AT159">
        <v>0.182941546675952</v>
      </c>
      <c r="AU159">
        <v>0.18390833303405599</v>
      </c>
      <c r="AV159">
        <v>0.184875119392159</v>
      </c>
      <c r="AW159">
        <v>0.18646652552816401</v>
      </c>
      <c r="AX159">
        <v>0.18805793166417001</v>
      </c>
      <c r="AY159">
        <v>0.18964933780017501</v>
      </c>
      <c r="AZ159">
        <v>0.18964933780017501</v>
      </c>
    </row>
    <row r="160" spans="1:52" x14ac:dyDescent="0.25">
      <c r="A160" t="s">
        <v>93</v>
      </c>
      <c r="B160" t="s">
        <v>374</v>
      </c>
      <c r="D160">
        <v>2020</v>
      </c>
      <c r="E160" t="s">
        <v>107</v>
      </c>
      <c r="F160" t="s">
        <v>421</v>
      </c>
      <c r="G160" t="s">
        <v>241</v>
      </c>
      <c r="H160" t="s">
        <v>422</v>
      </c>
      <c r="I160">
        <v>1</v>
      </c>
      <c r="J160">
        <v>700.17955000000006</v>
      </c>
      <c r="K160">
        <v>30</v>
      </c>
      <c r="L160">
        <v>31.536000000000001</v>
      </c>
      <c r="M160">
        <v>3232.554589138178</v>
      </c>
      <c r="N160">
        <v>2974.9201081634578</v>
      </c>
      <c r="O160">
        <v>2378.9027813256071</v>
      </c>
      <c r="P160">
        <v>1782.885454487767</v>
      </c>
      <c r="Q160">
        <v>1610.1995746889211</v>
      </c>
      <c r="R160">
        <v>1437.5136948900749</v>
      </c>
      <c r="S160">
        <v>1264.827815091229</v>
      </c>
      <c r="T160">
        <v>1264.827815091229</v>
      </c>
      <c r="U160">
        <v>34.293446157052799</v>
      </c>
      <c r="V160">
        <v>31.784509373254991</v>
      </c>
      <c r="W160">
        <v>26.108139740981851</v>
      </c>
      <c r="X160">
        <v>20.431770108708822</v>
      </c>
      <c r="Y160">
        <v>18.787138585640339</v>
      </c>
      <c r="Z160">
        <v>17.142507062571742</v>
      </c>
      <c r="AA160">
        <v>15.49787553950326</v>
      </c>
      <c r="AB160">
        <v>15.49787553950326</v>
      </c>
      <c r="AS160">
        <v>0.16994680900089701</v>
      </c>
      <c r="AT160">
        <v>0.17066835021774401</v>
      </c>
      <c r="AU160">
        <v>0.17157027673880201</v>
      </c>
      <c r="AV160">
        <v>0.17247220325986101</v>
      </c>
      <c r="AW160">
        <v>0.173956845019447</v>
      </c>
      <c r="AX160">
        <v>0.17544148677903401</v>
      </c>
      <c r="AY160">
        <v>0.17692612853862</v>
      </c>
      <c r="AZ160">
        <v>0.17692612853862</v>
      </c>
    </row>
    <row r="161" spans="1:52" x14ac:dyDescent="0.25">
      <c r="A161" t="s">
        <v>93</v>
      </c>
      <c r="B161" t="s">
        <v>374</v>
      </c>
      <c r="D161">
        <v>2020</v>
      </c>
      <c r="E161" t="s">
        <v>107</v>
      </c>
      <c r="F161" t="s">
        <v>423</v>
      </c>
      <c r="G161" t="s">
        <v>241</v>
      </c>
      <c r="H161" t="s">
        <v>424</v>
      </c>
      <c r="I161">
        <v>1</v>
      </c>
      <c r="J161">
        <v>700.17955000000006</v>
      </c>
      <c r="K161">
        <v>30</v>
      </c>
      <c r="L161">
        <v>31.536000000000001</v>
      </c>
      <c r="M161">
        <v>3232.554589138178</v>
      </c>
      <c r="N161">
        <v>2974.9201081634578</v>
      </c>
      <c r="O161">
        <v>2378.9027813256071</v>
      </c>
      <c r="P161">
        <v>1782.885454487767</v>
      </c>
      <c r="Q161">
        <v>1610.1995746889211</v>
      </c>
      <c r="R161">
        <v>1437.5136948900749</v>
      </c>
      <c r="S161">
        <v>1264.827815091229</v>
      </c>
      <c r="T161">
        <v>1264.827815091229</v>
      </c>
      <c r="U161">
        <v>34.293446157052799</v>
      </c>
      <c r="V161">
        <v>31.784509373254991</v>
      </c>
      <c r="W161">
        <v>26.108139740981851</v>
      </c>
      <c r="X161">
        <v>20.431770108708822</v>
      </c>
      <c r="Y161">
        <v>18.787138585640339</v>
      </c>
      <c r="Z161">
        <v>17.142507062571742</v>
      </c>
      <c r="AA161">
        <v>15.49787553950326</v>
      </c>
      <c r="AB161">
        <v>15.49787553950326</v>
      </c>
      <c r="AS161">
        <v>0.16059540108645801</v>
      </c>
      <c r="AT161">
        <v>0.16127723913802999</v>
      </c>
      <c r="AU161">
        <v>0.162129536702494</v>
      </c>
      <c r="AV161">
        <v>0.162981834266958</v>
      </c>
      <c r="AW161">
        <v>0.164384782873361</v>
      </c>
      <c r="AX161">
        <v>0.165787731479764</v>
      </c>
      <c r="AY161">
        <v>0.167190680086168</v>
      </c>
      <c r="AZ161">
        <v>0.167190680086168</v>
      </c>
    </row>
    <row r="162" spans="1:52" x14ac:dyDescent="0.25">
      <c r="A162" t="s">
        <v>93</v>
      </c>
      <c r="B162" t="s">
        <v>374</v>
      </c>
      <c r="D162">
        <v>2020</v>
      </c>
      <c r="E162" t="s">
        <v>107</v>
      </c>
      <c r="F162" t="s">
        <v>425</v>
      </c>
      <c r="G162" t="s">
        <v>241</v>
      </c>
      <c r="H162" t="s">
        <v>426</v>
      </c>
      <c r="I162">
        <v>1</v>
      </c>
      <c r="J162">
        <v>700.17955000000006</v>
      </c>
      <c r="K162">
        <v>30</v>
      </c>
      <c r="L162">
        <v>31.536000000000001</v>
      </c>
      <c r="M162">
        <v>3232.554589138178</v>
      </c>
      <c r="N162">
        <v>2974.9201081634578</v>
      </c>
      <c r="O162">
        <v>2378.9027813256071</v>
      </c>
      <c r="P162">
        <v>1782.885454487767</v>
      </c>
      <c r="Q162">
        <v>1610.1995746889211</v>
      </c>
      <c r="R162">
        <v>1437.5136948900749</v>
      </c>
      <c r="S162">
        <v>1264.827815091229</v>
      </c>
      <c r="T162">
        <v>1264.827815091229</v>
      </c>
      <c r="U162">
        <v>34.293446157052799</v>
      </c>
      <c r="V162">
        <v>31.784509373254991</v>
      </c>
      <c r="W162">
        <v>26.108139740981851</v>
      </c>
      <c r="X162">
        <v>20.431770108708822</v>
      </c>
      <c r="Y162">
        <v>18.787138585640339</v>
      </c>
      <c r="Z162">
        <v>17.142507062571742</v>
      </c>
      <c r="AA162">
        <v>15.49787553950326</v>
      </c>
      <c r="AB162">
        <v>15.49787553950326</v>
      </c>
      <c r="AS162">
        <v>0.152109734046392</v>
      </c>
      <c r="AT162">
        <v>0.15275554459878399</v>
      </c>
      <c r="AU162">
        <v>0.153562807789274</v>
      </c>
      <c r="AV162">
        <v>0.15437007097976299</v>
      </c>
      <c r="AW162">
        <v>0.155698889476165</v>
      </c>
      <c r="AX162">
        <v>0.15702770797256699</v>
      </c>
      <c r="AY162">
        <v>0.158356526468969</v>
      </c>
      <c r="AZ162">
        <v>0.158356526468969</v>
      </c>
    </row>
    <row r="163" spans="1:52" x14ac:dyDescent="0.25">
      <c r="A163" t="s">
        <v>93</v>
      </c>
      <c r="B163" t="s">
        <v>374</v>
      </c>
      <c r="D163">
        <v>2020</v>
      </c>
      <c r="E163" t="s">
        <v>107</v>
      </c>
      <c r="F163" t="s">
        <v>427</v>
      </c>
      <c r="G163" t="s">
        <v>241</v>
      </c>
      <c r="H163" t="s">
        <v>428</v>
      </c>
      <c r="I163">
        <v>1</v>
      </c>
      <c r="J163">
        <v>700.17955000000006</v>
      </c>
      <c r="K163">
        <v>30</v>
      </c>
      <c r="L163">
        <v>31.536000000000001</v>
      </c>
      <c r="M163">
        <v>3232.554589138178</v>
      </c>
      <c r="N163">
        <v>2974.9201081634578</v>
      </c>
      <c r="O163">
        <v>2378.9027813256071</v>
      </c>
      <c r="P163">
        <v>1782.885454487767</v>
      </c>
      <c r="Q163">
        <v>1610.1995746889211</v>
      </c>
      <c r="R163">
        <v>1437.5136948900749</v>
      </c>
      <c r="S163">
        <v>1264.827815091229</v>
      </c>
      <c r="T163">
        <v>1264.827815091229</v>
      </c>
      <c r="U163">
        <v>34.293446157052799</v>
      </c>
      <c r="V163">
        <v>31.784509373254991</v>
      </c>
      <c r="W163">
        <v>26.108139740981851</v>
      </c>
      <c r="X163">
        <v>20.431770108708822</v>
      </c>
      <c r="Y163">
        <v>18.787138585640339</v>
      </c>
      <c r="Z163">
        <v>17.142507062571742</v>
      </c>
      <c r="AA163">
        <v>15.49787553950326</v>
      </c>
      <c r="AB163">
        <v>15.49787553950326</v>
      </c>
      <c r="AS163">
        <v>0.15022218240747401</v>
      </c>
      <c r="AT163">
        <v>0.15085997900353201</v>
      </c>
      <c r="AU163">
        <v>0.15165722474860399</v>
      </c>
      <c r="AV163">
        <v>0.152454470493676</v>
      </c>
      <c r="AW163">
        <v>0.15376679948961</v>
      </c>
      <c r="AX163">
        <v>0.155079128485545</v>
      </c>
      <c r="AY163">
        <v>0.15639145748147901</v>
      </c>
      <c r="AZ163">
        <v>0.15639145748147901</v>
      </c>
    </row>
    <row r="164" spans="1:52" x14ac:dyDescent="0.25">
      <c r="A164" t="s">
        <v>93</v>
      </c>
      <c r="B164" t="s">
        <v>374</v>
      </c>
      <c r="D164">
        <v>2020</v>
      </c>
      <c r="E164" t="s">
        <v>107</v>
      </c>
      <c r="F164" t="s">
        <v>429</v>
      </c>
      <c r="G164" t="s">
        <v>241</v>
      </c>
      <c r="H164" t="s">
        <v>430</v>
      </c>
      <c r="I164">
        <v>1</v>
      </c>
      <c r="J164">
        <v>700.17955000000006</v>
      </c>
      <c r="K164">
        <v>30</v>
      </c>
      <c r="L164">
        <v>31.536000000000001</v>
      </c>
      <c r="M164">
        <v>3232.554589138178</v>
      </c>
      <c r="N164">
        <v>2974.9201081634578</v>
      </c>
      <c r="O164">
        <v>2378.9027813256071</v>
      </c>
      <c r="P164">
        <v>1782.885454487767</v>
      </c>
      <c r="Q164">
        <v>1610.1995746889211</v>
      </c>
      <c r="R164">
        <v>1437.5136948900749</v>
      </c>
      <c r="S164">
        <v>1264.827815091229</v>
      </c>
      <c r="T164">
        <v>1264.827815091229</v>
      </c>
      <c r="U164">
        <v>34.293446157052799</v>
      </c>
      <c r="V164">
        <v>31.784509373254991</v>
      </c>
      <c r="W164">
        <v>26.108139740981851</v>
      </c>
      <c r="X164">
        <v>20.431770108708822</v>
      </c>
      <c r="Y164">
        <v>18.787138585640339</v>
      </c>
      <c r="Z164">
        <v>17.142507062571742</v>
      </c>
      <c r="AA164">
        <v>15.49787553950326</v>
      </c>
      <c r="AB164">
        <v>15.49787553950326</v>
      </c>
      <c r="AS164">
        <v>0.14359938576070599</v>
      </c>
      <c r="AT164">
        <v>0.144209064025037</v>
      </c>
      <c r="AU164">
        <v>0.14497116185545</v>
      </c>
      <c r="AV164">
        <v>0.14573325968586401</v>
      </c>
      <c r="AW164">
        <v>0.14698773245887201</v>
      </c>
      <c r="AX164">
        <v>0.148242205231881</v>
      </c>
      <c r="AY164">
        <v>0.149496678004889</v>
      </c>
      <c r="AZ164">
        <v>0.149496678004889</v>
      </c>
    </row>
    <row r="165" spans="1:52" x14ac:dyDescent="0.25">
      <c r="A165" t="s">
        <v>93</v>
      </c>
      <c r="B165" t="s">
        <v>374</v>
      </c>
      <c r="D165">
        <v>2020</v>
      </c>
      <c r="E165" t="s">
        <v>107</v>
      </c>
      <c r="F165" t="s">
        <v>431</v>
      </c>
      <c r="G165" t="s">
        <v>241</v>
      </c>
      <c r="H165" t="s">
        <v>432</v>
      </c>
      <c r="I165">
        <v>1</v>
      </c>
      <c r="J165">
        <v>700.17955000000006</v>
      </c>
      <c r="K165">
        <v>30</v>
      </c>
      <c r="L165">
        <v>31.536000000000001</v>
      </c>
      <c r="M165">
        <v>3232.554589138178</v>
      </c>
      <c r="N165">
        <v>2974.9201081634578</v>
      </c>
      <c r="O165">
        <v>2378.9027813256071</v>
      </c>
      <c r="P165">
        <v>1782.885454487767</v>
      </c>
      <c r="Q165">
        <v>1610.1995746889211</v>
      </c>
      <c r="R165">
        <v>1437.5136948900749</v>
      </c>
      <c r="S165">
        <v>1264.827815091229</v>
      </c>
      <c r="T165">
        <v>1264.827815091229</v>
      </c>
      <c r="U165">
        <v>34.293446157052799</v>
      </c>
      <c r="V165">
        <v>31.784509373254991</v>
      </c>
      <c r="W165">
        <v>26.108139740981851</v>
      </c>
      <c r="X165">
        <v>20.431770108708822</v>
      </c>
      <c r="Y165">
        <v>18.787138585640339</v>
      </c>
      <c r="Z165">
        <v>17.142507062571742</v>
      </c>
      <c r="AA165">
        <v>15.49787553950326</v>
      </c>
      <c r="AB165">
        <v>15.49787553950326</v>
      </c>
      <c r="AS165">
        <v>0.136792993704728</v>
      </c>
      <c r="AT165">
        <v>0.13737377414841001</v>
      </c>
      <c r="AU165">
        <v>0.138099749703012</v>
      </c>
      <c r="AV165">
        <v>0.138825725257614</v>
      </c>
      <c r="AW165">
        <v>0.14002073793285499</v>
      </c>
      <c r="AX165">
        <v>0.14121575060809699</v>
      </c>
      <c r="AY165">
        <v>0.14241076328333799</v>
      </c>
      <c r="AZ165">
        <v>0.14241076328333799</v>
      </c>
    </row>
    <row r="166" spans="1:52" x14ac:dyDescent="0.25">
      <c r="A166" t="s">
        <v>93</v>
      </c>
      <c r="B166" t="s">
        <v>374</v>
      </c>
      <c r="D166">
        <v>2020</v>
      </c>
      <c r="E166" t="s">
        <v>107</v>
      </c>
      <c r="F166" t="s">
        <v>433</v>
      </c>
      <c r="G166" t="s">
        <v>241</v>
      </c>
      <c r="H166" t="s">
        <v>434</v>
      </c>
      <c r="I166">
        <v>1</v>
      </c>
      <c r="J166">
        <v>700.17955000000006</v>
      </c>
      <c r="K166">
        <v>30</v>
      </c>
      <c r="L166">
        <v>31.536000000000001</v>
      </c>
      <c r="M166">
        <v>3232.554589138178</v>
      </c>
      <c r="N166">
        <v>2974.9201081634578</v>
      </c>
      <c r="O166">
        <v>2378.9027813256071</v>
      </c>
      <c r="P166">
        <v>1782.885454487767</v>
      </c>
      <c r="Q166">
        <v>1610.1995746889211</v>
      </c>
      <c r="R166">
        <v>1437.5136948900749</v>
      </c>
      <c r="S166">
        <v>1264.827815091229</v>
      </c>
      <c r="T166">
        <v>1264.827815091229</v>
      </c>
      <c r="U166">
        <v>34.293446157052799</v>
      </c>
      <c r="V166">
        <v>31.784509373254991</v>
      </c>
      <c r="W166">
        <v>26.108139740981851</v>
      </c>
      <c r="X166">
        <v>20.431770108708822</v>
      </c>
      <c r="Y166">
        <v>18.787138585640339</v>
      </c>
      <c r="Z166">
        <v>17.142507062571742</v>
      </c>
      <c r="AA166">
        <v>15.49787553950326</v>
      </c>
      <c r="AB166">
        <v>15.49787553950326</v>
      </c>
      <c r="AS166">
        <v>0.13134788521027199</v>
      </c>
      <c r="AT166">
        <v>0.13190554741930099</v>
      </c>
      <c r="AU166">
        <v>0.13260262518058699</v>
      </c>
      <c r="AV166">
        <v>0.13329970294187399</v>
      </c>
      <c r="AW166">
        <v>0.13444714758389401</v>
      </c>
      <c r="AX166">
        <v>0.135594592225914</v>
      </c>
      <c r="AY166">
        <v>0.13674203686793501</v>
      </c>
      <c r="AZ166">
        <v>0.13674203686793501</v>
      </c>
    </row>
    <row r="167" spans="1:52" x14ac:dyDescent="0.25">
      <c r="A167" t="s">
        <v>93</v>
      </c>
      <c r="B167" t="s">
        <v>374</v>
      </c>
      <c r="D167">
        <v>2020</v>
      </c>
      <c r="E167" t="s">
        <v>107</v>
      </c>
      <c r="F167" t="s">
        <v>435</v>
      </c>
      <c r="G167" t="s">
        <v>241</v>
      </c>
      <c r="H167" t="s">
        <v>436</v>
      </c>
      <c r="I167">
        <v>1</v>
      </c>
      <c r="J167">
        <v>700.17955000000006</v>
      </c>
      <c r="K167">
        <v>30</v>
      </c>
      <c r="L167">
        <v>31.536000000000001</v>
      </c>
      <c r="M167">
        <v>1912.264310519447</v>
      </c>
      <c r="N167">
        <v>1887.703407882211</v>
      </c>
      <c r="O167">
        <v>1569.6288150057401</v>
      </c>
      <c r="P167">
        <v>1251.5542221292801</v>
      </c>
      <c r="Q167">
        <v>1147.154572863142</v>
      </c>
      <c r="R167">
        <v>1042.7549235970189</v>
      </c>
      <c r="S167">
        <v>938.35527433088987</v>
      </c>
      <c r="T167">
        <v>938.35527433088987</v>
      </c>
      <c r="U167">
        <v>20.242248163120561</v>
      </c>
      <c r="V167">
        <v>19.891925366567069</v>
      </c>
      <c r="W167">
        <v>17.127058056750311</v>
      </c>
      <c r="X167">
        <v>14.36219074693344</v>
      </c>
      <c r="Y167">
        <v>13.45469551192622</v>
      </c>
      <c r="Z167">
        <v>12.547200276919</v>
      </c>
      <c r="AA167">
        <v>11.63970504191178</v>
      </c>
      <c r="AB167">
        <v>11.63970504191178</v>
      </c>
      <c r="AS167">
        <v>0.12096965050148401</v>
      </c>
      <c r="AT167">
        <v>0.123418852376513</v>
      </c>
      <c r="AU167">
        <v>0.1264803547203</v>
      </c>
      <c r="AV167">
        <v>0.129541857064086</v>
      </c>
      <c r="AW167">
        <v>0.13168729284127201</v>
      </c>
      <c r="AX167">
        <v>0.13383272861845799</v>
      </c>
      <c r="AY167">
        <v>0.135978164395645</v>
      </c>
      <c r="AZ167">
        <v>0.135978164395645</v>
      </c>
    </row>
    <row r="168" spans="1:52" x14ac:dyDescent="0.25">
      <c r="A168" t="s">
        <v>93</v>
      </c>
      <c r="B168" t="s">
        <v>374</v>
      </c>
      <c r="D168">
        <v>2020</v>
      </c>
      <c r="E168" t="s">
        <v>107</v>
      </c>
      <c r="F168" t="s">
        <v>437</v>
      </c>
      <c r="G168" t="s">
        <v>241</v>
      </c>
      <c r="H168" t="s">
        <v>438</v>
      </c>
      <c r="I168">
        <v>1</v>
      </c>
      <c r="J168">
        <v>700.17955000000006</v>
      </c>
      <c r="K168">
        <v>30</v>
      </c>
      <c r="L168">
        <v>31.536000000000001</v>
      </c>
      <c r="M168">
        <v>1912.264310519447</v>
      </c>
      <c r="N168">
        <v>1887.703407882211</v>
      </c>
      <c r="O168">
        <v>1569.6288150057401</v>
      </c>
      <c r="P168">
        <v>1251.5542221292801</v>
      </c>
      <c r="Q168">
        <v>1147.154572863142</v>
      </c>
      <c r="R168">
        <v>1042.7549235970189</v>
      </c>
      <c r="S168">
        <v>938.35527433088987</v>
      </c>
      <c r="T168">
        <v>938.35527433088987</v>
      </c>
      <c r="U168">
        <v>20.242248163120561</v>
      </c>
      <c r="V168">
        <v>19.891925366567069</v>
      </c>
      <c r="W168">
        <v>17.127058056750311</v>
      </c>
      <c r="X168">
        <v>14.36219074693344</v>
      </c>
      <c r="Y168">
        <v>13.45469551192622</v>
      </c>
      <c r="Z168">
        <v>12.547200276919</v>
      </c>
      <c r="AA168">
        <v>11.63970504191178</v>
      </c>
      <c r="AB168">
        <v>11.63970504191178</v>
      </c>
      <c r="AS168">
        <v>0.18816672532975201</v>
      </c>
      <c r="AT168">
        <v>0.19197642713995999</v>
      </c>
      <c r="AU168">
        <v>0.19673855440272101</v>
      </c>
      <c r="AV168">
        <v>0.20150068166548099</v>
      </c>
      <c r="AW168">
        <v>0.20483787924293001</v>
      </c>
      <c r="AX168">
        <v>0.208175076820379</v>
      </c>
      <c r="AY168">
        <v>0.21151227439782799</v>
      </c>
      <c r="AZ168">
        <v>0.21151227439782799</v>
      </c>
    </row>
    <row r="169" spans="1:52" x14ac:dyDescent="0.25">
      <c r="A169" t="s">
        <v>93</v>
      </c>
      <c r="B169" t="s">
        <v>374</v>
      </c>
      <c r="D169">
        <v>2020</v>
      </c>
      <c r="E169" t="s">
        <v>107</v>
      </c>
      <c r="F169" t="s">
        <v>439</v>
      </c>
      <c r="G169" t="s">
        <v>241</v>
      </c>
      <c r="H169" t="s">
        <v>440</v>
      </c>
      <c r="I169">
        <v>1</v>
      </c>
      <c r="J169">
        <v>700.17955000000006</v>
      </c>
      <c r="K169">
        <v>30</v>
      </c>
      <c r="L169">
        <v>31.536000000000001</v>
      </c>
      <c r="M169">
        <v>1912.264310519447</v>
      </c>
      <c r="N169">
        <v>1887.703407882211</v>
      </c>
      <c r="O169">
        <v>1569.6288150057401</v>
      </c>
      <c r="P169">
        <v>1251.5542221292801</v>
      </c>
      <c r="Q169">
        <v>1147.154572863142</v>
      </c>
      <c r="R169">
        <v>1042.7549235970189</v>
      </c>
      <c r="S169">
        <v>938.35527433088987</v>
      </c>
      <c r="T169">
        <v>938.35527433088987</v>
      </c>
      <c r="U169">
        <v>20.242248163120561</v>
      </c>
      <c r="V169">
        <v>19.891925366567069</v>
      </c>
      <c r="W169">
        <v>17.127058056750311</v>
      </c>
      <c r="X169">
        <v>14.36219074693344</v>
      </c>
      <c r="Y169">
        <v>13.45469551192622</v>
      </c>
      <c r="Z169">
        <v>12.547200276919</v>
      </c>
      <c r="AA169">
        <v>11.63970504191178</v>
      </c>
      <c r="AB169">
        <v>11.63970504191178</v>
      </c>
      <c r="AS169">
        <v>0.18134325755257399</v>
      </c>
      <c r="AT169">
        <v>0.185014808595174</v>
      </c>
      <c r="AU169">
        <v>0.18960424739842399</v>
      </c>
      <c r="AV169">
        <v>0.19419368620167399</v>
      </c>
      <c r="AW169">
        <v>0.197409867376802</v>
      </c>
      <c r="AX169">
        <v>0.200626048551931</v>
      </c>
      <c r="AY169">
        <v>0.20384222972706001</v>
      </c>
      <c r="AZ169">
        <v>0.20384222972706001</v>
      </c>
    </row>
    <row r="170" spans="1:52" x14ac:dyDescent="0.25">
      <c r="A170" t="s">
        <v>93</v>
      </c>
      <c r="B170" t="s">
        <v>374</v>
      </c>
      <c r="D170">
        <v>2020</v>
      </c>
      <c r="E170" t="s">
        <v>107</v>
      </c>
      <c r="F170" t="s">
        <v>441</v>
      </c>
      <c r="G170" t="s">
        <v>241</v>
      </c>
      <c r="H170" t="s">
        <v>442</v>
      </c>
      <c r="I170">
        <v>1</v>
      </c>
      <c r="J170">
        <v>700.17955000000006</v>
      </c>
      <c r="K170">
        <v>30</v>
      </c>
      <c r="L170">
        <v>31.536000000000001</v>
      </c>
      <c r="M170">
        <v>1912.264310519447</v>
      </c>
      <c r="N170">
        <v>1887.703407882211</v>
      </c>
      <c r="O170">
        <v>1569.6288150057401</v>
      </c>
      <c r="P170">
        <v>1251.5542221292801</v>
      </c>
      <c r="Q170">
        <v>1147.154572863142</v>
      </c>
      <c r="R170">
        <v>1042.7549235970189</v>
      </c>
      <c r="S170">
        <v>938.35527433088987</v>
      </c>
      <c r="T170">
        <v>938.35527433088987</v>
      </c>
      <c r="U170">
        <v>20.242248163120561</v>
      </c>
      <c r="V170">
        <v>19.891925366567069</v>
      </c>
      <c r="W170">
        <v>17.127058056750311</v>
      </c>
      <c r="X170">
        <v>14.36219074693344</v>
      </c>
      <c r="Y170">
        <v>13.45469551192622</v>
      </c>
      <c r="Z170">
        <v>12.547200276919</v>
      </c>
      <c r="AA170">
        <v>11.63970504191178</v>
      </c>
      <c r="AB170">
        <v>11.63970504191178</v>
      </c>
      <c r="AS170">
        <v>0.17166269953272201</v>
      </c>
      <c r="AT170">
        <v>0.17513825396993199</v>
      </c>
      <c r="AU170">
        <v>0.17948269701644401</v>
      </c>
      <c r="AV170">
        <v>0.183827140062956</v>
      </c>
      <c r="AW170">
        <v>0.186871633418596</v>
      </c>
      <c r="AX170">
        <v>0.189916126774236</v>
      </c>
      <c r="AY170">
        <v>0.192960620129876</v>
      </c>
      <c r="AZ170">
        <v>0.192960620129876</v>
      </c>
    </row>
    <row r="171" spans="1:52" x14ac:dyDescent="0.25">
      <c r="A171" t="s">
        <v>93</v>
      </c>
      <c r="B171" t="s">
        <v>374</v>
      </c>
      <c r="D171">
        <v>2020</v>
      </c>
      <c r="E171" t="s">
        <v>107</v>
      </c>
      <c r="F171" t="s">
        <v>443</v>
      </c>
      <c r="G171" t="s">
        <v>241</v>
      </c>
      <c r="H171" t="s">
        <v>444</v>
      </c>
      <c r="I171">
        <v>1</v>
      </c>
      <c r="J171">
        <v>700.17955000000006</v>
      </c>
      <c r="K171">
        <v>30</v>
      </c>
      <c r="L171">
        <v>31.536000000000001</v>
      </c>
      <c r="M171">
        <v>1912.264310519447</v>
      </c>
      <c r="N171">
        <v>1887.703407882211</v>
      </c>
      <c r="O171">
        <v>1569.6288150057401</v>
      </c>
      <c r="P171">
        <v>1251.5542221292801</v>
      </c>
      <c r="Q171">
        <v>1147.154572863142</v>
      </c>
      <c r="R171">
        <v>1042.7549235970189</v>
      </c>
      <c r="S171">
        <v>938.35527433088987</v>
      </c>
      <c r="T171">
        <v>938.35527433088987</v>
      </c>
      <c r="U171">
        <v>20.242248163120561</v>
      </c>
      <c r="V171">
        <v>19.891925366567069</v>
      </c>
      <c r="W171">
        <v>17.127058056750311</v>
      </c>
      <c r="X171">
        <v>14.36219074693344</v>
      </c>
      <c r="Y171">
        <v>13.45469551192622</v>
      </c>
      <c r="Z171">
        <v>12.547200276919</v>
      </c>
      <c r="AA171">
        <v>11.63970504191178</v>
      </c>
      <c r="AB171">
        <v>11.63970504191178</v>
      </c>
      <c r="AS171">
        <v>0.162592000968006</v>
      </c>
      <c r="AT171">
        <v>0.16588390626809399</v>
      </c>
      <c r="AU171">
        <v>0.169998787893204</v>
      </c>
      <c r="AV171">
        <v>0.174113669518314</v>
      </c>
      <c r="AW171">
        <v>0.17699729110864601</v>
      </c>
      <c r="AX171">
        <v>0.17988091269897899</v>
      </c>
      <c r="AY171">
        <v>0.182764534289311</v>
      </c>
      <c r="AZ171">
        <v>0.182764534289311</v>
      </c>
    </row>
    <row r="172" spans="1:52" x14ac:dyDescent="0.25">
      <c r="A172" t="s">
        <v>93</v>
      </c>
      <c r="B172" t="s">
        <v>374</v>
      </c>
      <c r="D172">
        <v>2020</v>
      </c>
      <c r="E172" t="s">
        <v>107</v>
      </c>
      <c r="F172" t="s">
        <v>445</v>
      </c>
      <c r="G172" t="s">
        <v>241</v>
      </c>
      <c r="H172" t="s">
        <v>446</v>
      </c>
      <c r="I172">
        <v>1</v>
      </c>
      <c r="J172">
        <v>700.17955000000006</v>
      </c>
      <c r="K172">
        <v>30</v>
      </c>
      <c r="L172">
        <v>31.536000000000001</v>
      </c>
      <c r="M172">
        <v>1912.264310519447</v>
      </c>
      <c r="N172">
        <v>1887.703407882211</v>
      </c>
      <c r="O172">
        <v>1569.6288150057401</v>
      </c>
      <c r="P172">
        <v>1251.5542221292801</v>
      </c>
      <c r="Q172">
        <v>1147.154572863142</v>
      </c>
      <c r="R172">
        <v>1042.7549235970189</v>
      </c>
      <c r="S172">
        <v>938.35527433088987</v>
      </c>
      <c r="T172">
        <v>938.35527433088987</v>
      </c>
      <c r="U172">
        <v>20.242248163120561</v>
      </c>
      <c r="V172">
        <v>19.891925366567069</v>
      </c>
      <c r="W172">
        <v>17.127058056750311</v>
      </c>
      <c r="X172">
        <v>14.36219074693344</v>
      </c>
      <c r="Y172">
        <v>13.45469551192622</v>
      </c>
      <c r="Z172">
        <v>12.547200276919</v>
      </c>
      <c r="AA172">
        <v>11.63970504191178</v>
      </c>
      <c r="AB172">
        <v>11.63970504191178</v>
      </c>
      <c r="AS172">
        <v>0.15515839795587699</v>
      </c>
      <c r="AT172">
        <v>0.15829979943653499</v>
      </c>
      <c r="AU172">
        <v>0.162226551287358</v>
      </c>
      <c r="AV172">
        <v>0.166153303138181</v>
      </c>
      <c r="AW172">
        <v>0.16890508738096799</v>
      </c>
      <c r="AX172">
        <v>0.17165687162375501</v>
      </c>
      <c r="AY172">
        <v>0.174408655866542</v>
      </c>
      <c r="AZ172">
        <v>0.174408655866542</v>
      </c>
    </row>
    <row r="173" spans="1:52" x14ac:dyDescent="0.25">
      <c r="A173" t="s">
        <v>93</v>
      </c>
      <c r="B173" t="s">
        <v>374</v>
      </c>
      <c r="D173">
        <v>2020</v>
      </c>
      <c r="E173" t="s">
        <v>107</v>
      </c>
      <c r="F173" t="s">
        <v>447</v>
      </c>
      <c r="G173" t="s">
        <v>241</v>
      </c>
      <c r="H173" t="s">
        <v>448</v>
      </c>
      <c r="I173">
        <v>1</v>
      </c>
      <c r="J173">
        <v>700.17955000000006</v>
      </c>
      <c r="K173">
        <v>30</v>
      </c>
      <c r="L173">
        <v>31.536000000000001</v>
      </c>
      <c r="M173">
        <v>1912.264310519447</v>
      </c>
      <c r="N173">
        <v>1887.703407882211</v>
      </c>
      <c r="O173">
        <v>1569.6288150057401</v>
      </c>
      <c r="P173">
        <v>1251.5542221292801</v>
      </c>
      <c r="Q173">
        <v>1147.154572863142</v>
      </c>
      <c r="R173">
        <v>1042.7549235970189</v>
      </c>
      <c r="S173">
        <v>938.35527433088987</v>
      </c>
      <c r="T173">
        <v>938.35527433088987</v>
      </c>
      <c r="U173">
        <v>20.242248163120561</v>
      </c>
      <c r="V173">
        <v>19.891925366567069</v>
      </c>
      <c r="W173">
        <v>17.127058056750311</v>
      </c>
      <c r="X173">
        <v>14.36219074693344</v>
      </c>
      <c r="Y173">
        <v>13.45469551192622</v>
      </c>
      <c r="Z173">
        <v>12.547200276919</v>
      </c>
      <c r="AA173">
        <v>11.63970504191178</v>
      </c>
      <c r="AB173">
        <v>11.63970504191178</v>
      </c>
      <c r="AS173">
        <v>0.15310089877420299</v>
      </c>
      <c r="AT173">
        <v>0.156200643270381</v>
      </c>
      <c r="AU173">
        <v>0.160075323890602</v>
      </c>
      <c r="AV173">
        <v>0.16395000451082301</v>
      </c>
      <c r="AW173">
        <v>0.166665298341862</v>
      </c>
      <c r="AX173">
        <v>0.1693805921729</v>
      </c>
      <c r="AY173">
        <v>0.17209588600393799</v>
      </c>
      <c r="AZ173">
        <v>0.17209588600393799</v>
      </c>
    </row>
    <row r="174" spans="1:52" x14ac:dyDescent="0.25">
      <c r="A174" t="s">
        <v>93</v>
      </c>
      <c r="B174" t="s">
        <v>374</v>
      </c>
      <c r="D174">
        <v>2020</v>
      </c>
      <c r="E174" t="s">
        <v>107</v>
      </c>
      <c r="F174" t="s">
        <v>449</v>
      </c>
      <c r="G174" t="s">
        <v>241</v>
      </c>
      <c r="H174" t="s">
        <v>450</v>
      </c>
      <c r="I174">
        <v>1</v>
      </c>
      <c r="J174">
        <v>700.17955000000006</v>
      </c>
      <c r="K174">
        <v>30</v>
      </c>
      <c r="L174">
        <v>31.536000000000001</v>
      </c>
      <c r="M174">
        <v>1912.264310519447</v>
      </c>
      <c r="N174">
        <v>1887.703407882211</v>
      </c>
      <c r="O174">
        <v>1569.6288150057401</v>
      </c>
      <c r="P174">
        <v>1251.5542221292801</v>
      </c>
      <c r="Q174">
        <v>1147.154572863142</v>
      </c>
      <c r="R174">
        <v>1042.7549235970189</v>
      </c>
      <c r="S174">
        <v>938.35527433088987</v>
      </c>
      <c r="T174">
        <v>938.35527433088987</v>
      </c>
      <c r="U174">
        <v>20.242248163120561</v>
      </c>
      <c r="V174">
        <v>19.891925366567069</v>
      </c>
      <c r="W174">
        <v>17.127058056750311</v>
      </c>
      <c r="X174">
        <v>14.36219074693344</v>
      </c>
      <c r="Y174">
        <v>13.45469551192622</v>
      </c>
      <c r="Z174">
        <v>12.547200276919</v>
      </c>
      <c r="AA174">
        <v>11.63970504191178</v>
      </c>
      <c r="AB174">
        <v>11.63970504191178</v>
      </c>
      <c r="AS174">
        <v>0.145874546451563</v>
      </c>
      <c r="AT174">
        <v>0.148827983211999</v>
      </c>
      <c r="AU174">
        <v>0.152519779162545</v>
      </c>
      <c r="AV174">
        <v>0.15621157511309</v>
      </c>
      <c r="AW174">
        <v>0.158798707254421</v>
      </c>
      <c r="AX174">
        <v>0.16138583939575199</v>
      </c>
      <c r="AY174">
        <v>0.16397297153708301</v>
      </c>
      <c r="AZ174">
        <v>0.16397297153708301</v>
      </c>
    </row>
    <row r="175" spans="1:52" x14ac:dyDescent="0.25">
      <c r="A175" t="s">
        <v>93</v>
      </c>
      <c r="B175" t="s">
        <v>374</v>
      </c>
      <c r="D175">
        <v>2020</v>
      </c>
      <c r="E175" t="s">
        <v>107</v>
      </c>
      <c r="F175" t="s">
        <v>451</v>
      </c>
      <c r="G175" t="s">
        <v>241</v>
      </c>
      <c r="H175" t="s">
        <v>452</v>
      </c>
      <c r="I175">
        <v>1</v>
      </c>
      <c r="J175">
        <v>700.17955000000006</v>
      </c>
      <c r="K175">
        <v>30</v>
      </c>
      <c r="L175">
        <v>31.536000000000001</v>
      </c>
      <c r="M175">
        <v>1912.264310519447</v>
      </c>
      <c r="N175">
        <v>1887.703407882211</v>
      </c>
      <c r="O175">
        <v>1569.6288150057401</v>
      </c>
      <c r="P175">
        <v>1251.5542221292801</v>
      </c>
      <c r="Q175">
        <v>1147.154572863142</v>
      </c>
      <c r="R175">
        <v>1042.7549235970189</v>
      </c>
      <c r="S175">
        <v>938.35527433088987</v>
      </c>
      <c r="T175">
        <v>938.35527433088987</v>
      </c>
      <c r="U175">
        <v>20.242248163120561</v>
      </c>
      <c r="V175">
        <v>19.891925366567069</v>
      </c>
      <c r="W175">
        <v>17.127058056750311</v>
      </c>
      <c r="X175">
        <v>14.36219074693344</v>
      </c>
      <c r="Y175">
        <v>13.45469551192622</v>
      </c>
      <c r="Z175">
        <v>12.547200276919</v>
      </c>
      <c r="AA175">
        <v>11.63970504191178</v>
      </c>
      <c r="AB175">
        <v>11.63970504191178</v>
      </c>
      <c r="AS175">
        <v>0.13854170923496401</v>
      </c>
      <c r="AT175">
        <v>0.141346682322192</v>
      </c>
      <c r="AU175">
        <v>0.144852898681227</v>
      </c>
      <c r="AV175">
        <v>0.148359115040262</v>
      </c>
      <c r="AW175">
        <v>0.15081619694793899</v>
      </c>
      <c r="AX175">
        <v>0.15327327885561601</v>
      </c>
      <c r="AY175">
        <v>0.155730360763293</v>
      </c>
      <c r="AZ175">
        <v>0.155730360763293</v>
      </c>
    </row>
    <row r="176" spans="1:52" x14ac:dyDescent="0.25">
      <c r="A176" t="s">
        <v>93</v>
      </c>
      <c r="B176" t="s">
        <v>374</v>
      </c>
      <c r="D176">
        <v>2020</v>
      </c>
      <c r="E176" t="s">
        <v>107</v>
      </c>
      <c r="F176" t="s">
        <v>453</v>
      </c>
      <c r="G176" t="s">
        <v>241</v>
      </c>
      <c r="H176" t="s">
        <v>454</v>
      </c>
      <c r="I176">
        <v>1</v>
      </c>
      <c r="J176">
        <v>700.17955000000006</v>
      </c>
      <c r="K176">
        <v>30</v>
      </c>
      <c r="L176">
        <v>31.536000000000001</v>
      </c>
      <c r="M176">
        <v>1912.264310519447</v>
      </c>
      <c r="N176">
        <v>1887.703407882211</v>
      </c>
      <c r="O176">
        <v>1569.6288150057401</v>
      </c>
      <c r="P176">
        <v>1251.5542221292801</v>
      </c>
      <c r="Q176">
        <v>1147.154572863142</v>
      </c>
      <c r="R176">
        <v>1042.7549235970189</v>
      </c>
      <c r="S176">
        <v>938.35527433088987</v>
      </c>
      <c r="T176">
        <v>938.35527433088987</v>
      </c>
      <c r="U176">
        <v>20.242248163120561</v>
      </c>
      <c r="V176">
        <v>19.891925366567069</v>
      </c>
      <c r="W176">
        <v>17.127058056750311</v>
      </c>
      <c r="X176">
        <v>14.36219074693344</v>
      </c>
      <c r="Y176">
        <v>13.45469551192622</v>
      </c>
      <c r="Z176">
        <v>12.547200276919</v>
      </c>
      <c r="AA176">
        <v>11.63970504191178</v>
      </c>
      <c r="AB176">
        <v>11.63970504191178</v>
      </c>
      <c r="AS176">
        <v>0.132984854395686</v>
      </c>
      <c r="AT176">
        <v>0.13567732108783701</v>
      </c>
      <c r="AU176">
        <v>0.139042904453026</v>
      </c>
      <c r="AV176">
        <v>0.142408487818215</v>
      </c>
      <c r="AW176">
        <v>0.144767017112642</v>
      </c>
      <c r="AX176">
        <v>0.14712554640707001</v>
      </c>
      <c r="AY176">
        <v>0.14948407570149699</v>
      </c>
      <c r="AZ176">
        <v>0.14948407570149699</v>
      </c>
    </row>
    <row r="177" spans="1:52" x14ac:dyDescent="0.25">
      <c r="A177" t="s">
        <v>93</v>
      </c>
      <c r="B177" t="s">
        <v>374</v>
      </c>
      <c r="D177">
        <v>2020</v>
      </c>
      <c r="E177" t="s">
        <v>148</v>
      </c>
      <c r="F177" t="s">
        <v>455</v>
      </c>
      <c r="G177" t="s">
        <v>148</v>
      </c>
      <c r="H177" t="s">
        <v>456</v>
      </c>
      <c r="I177">
        <v>1</v>
      </c>
      <c r="K177">
        <v>15</v>
      </c>
      <c r="L177">
        <v>31.536000000000001</v>
      </c>
      <c r="M177">
        <v>4162.5408273692674</v>
      </c>
      <c r="N177">
        <v>3570.678737809591</v>
      </c>
      <c r="O177">
        <v>3116.0248697709699</v>
      </c>
      <c r="P177">
        <v>2921.2733154102821</v>
      </c>
      <c r="Q177">
        <v>2726.5217610496052</v>
      </c>
      <c r="R177">
        <v>2531.770206688916</v>
      </c>
      <c r="S177">
        <v>2337.0186523282282</v>
      </c>
      <c r="T177">
        <v>2337.0186523282282</v>
      </c>
      <c r="U177">
        <v>104.0635206842318</v>
      </c>
      <c r="V177">
        <v>89.266968445239712</v>
      </c>
      <c r="W177">
        <v>77.90062174427436</v>
      </c>
      <c r="X177">
        <v>73.031832885257231</v>
      </c>
      <c r="Y177">
        <v>68.163044026240058</v>
      </c>
      <c r="Z177">
        <v>63.294255167222907</v>
      </c>
      <c r="AA177">
        <v>58.425466308205749</v>
      </c>
      <c r="AB177">
        <v>58.425466308205749</v>
      </c>
      <c r="AS177">
        <v>0.1041666666666667</v>
      </c>
      <c r="AT177">
        <v>0.1041666666666667</v>
      </c>
      <c r="AU177">
        <v>0.1041666666666667</v>
      </c>
      <c r="AV177">
        <v>0.1041666666666667</v>
      </c>
      <c r="AW177">
        <v>0.1041666666666667</v>
      </c>
      <c r="AX177">
        <v>0.1041666666666667</v>
      </c>
      <c r="AY177">
        <v>0.1041666666666667</v>
      </c>
      <c r="AZ177">
        <v>0.1041666666666667</v>
      </c>
    </row>
    <row r="178" spans="1:52" x14ac:dyDescent="0.25">
      <c r="A178" t="s">
        <v>93</v>
      </c>
      <c r="B178" t="s">
        <v>374</v>
      </c>
      <c r="D178">
        <v>2020</v>
      </c>
      <c r="E178" t="s">
        <v>148</v>
      </c>
      <c r="F178" t="s">
        <v>457</v>
      </c>
      <c r="G178" t="s">
        <v>148</v>
      </c>
      <c r="H178" t="s">
        <v>458</v>
      </c>
      <c r="I178">
        <v>1</v>
      </c>
      <c r="K178">
        <v>15</v>
      </c>
      <c r="L178">
        <v>31.536000000000001</v>
      </c>
      <c r="M178">
        <v>5380.2809655973724</v>
      </c>
      <c r="N178">
        <v>4339.0574976486123</v>
      </c>
      <c r="O178">
        <v>3736.1579963465811</v>
      </c>
      <c r="P178">
        <v>3502.6481215749259</v>
      </c>
      <c r="Q178">
        <v>3269.1382468032589</v>
      </c>
      <c r="R178">
        <v>3035.6283720316028</v>
      </c>
      <c r="S178">
        <v>2802.1184972599358</v>
      </c>
      <c r="T178">
        <v>2802.1184972599358</v>
      </c>
      <c r="U178">
        <v>134.50702413993429</v>
      </c>
      <c r="V178">
        <v>108.4764374412153</v>
      </c>
      <c r="W178">
        <v>93.403949908664657</v>
      </c>
      <c r="X178">
        <v>87.566203039373136</v>
      </c>
      <c r="Y178">
        <v>81.728456170081628</v>
      </c>
      <c r="Z178">
        <v>75.890709300790022</v>
      </c>
      <c r="AA178">
        <v>70.052962431498514</v>
      </c>
      <c r="AB178">
        <v>70.052962431498514</v>
      </c>
      <c r="AS178">
        <v>0.16666666666666671</v>
      </c>
      <c r="AT178">
        <v>0.16666666666666671</v>
      </c>
      <c r="AU178">
        <v>0.16666666666666671</v>
      </c>
      <c r="AV178">
        <v>0.16666666666666671</v>
      </c>
      <c r="AW178">
        <v>0.16666666666666671</v>
      </c>
      <c r="AX178">
        <v>0.16666666666666671</v>
      </c>
      <c r="AY178">
        <v>0.16666666666666671</v>
      </c>
      <c r="AZ178">
        <v>0.16666666666666671</v>
      </c>
    </row>
    <row r="179" spans="1:52" x14ac:dyDescent="0.25">
      <c r="A179" t="s">
        <v>93</v>
      </c>
      <c r="B179" t="s">
        <v>374</v>
      </c>
      <c r="D179">
        <v>2020</v>
      </c>
      <c r="E179" t="s">
        <v>148</v>
      </c>
      <c r="F179" t="s">
        <v>459</v>
      </c>
      <c r="G179" t="s">
        <v>148</v>
      </c>
      <c r="H179" t="s">
        <v>460</v>
      </c>
      <c r="I179">
        <v>1</v>
      </c>
      <c r="K179">
        <v>15</v>
      </c>
      <c r="L179">
        <v>31.536000000000001</v>
      </c>
      <c r="M179">
        <v>1385.437068205433</v>
      </c>
      <c r="N179">
        <v>1492.137706669683</v>
      </c>
      <c r="O179">
        <v>1275.561845040213</v>
      </c>
      <c r="P179">
        <v>1195.839229725193</v>
      </c>
      <c r="Q179">
        <v>1116.116614410189</v>
      </c>
      <c r="R179">
        <v>1036.393999095176</v>
      </c>
      <c r="S179">
        <v>956.67138378016114</v>
      </c>
      <c r="T179">
        <v>956.67138378016114</v>
      </c>
      <c r="U179">
        <v>34.63592670513588</v>
      </c>
      <c r="V179">
        <v>37.303442666742171</v>
      </c>
      <c r="W179">
        <v>31.889046126005329</v>
      </c>
      <c r="X179">
        <v>29.895980743129989</v>
      </c>
      <c r="Y179">
        <v>27.902915360254649</v>
      </c>
      <c r="Z179">
        <v>25.909849977379309</v>
      </c>
      <c r="AA179">
        <v>23.916784594503969</v>
      </c>
      <c r="AB179">
        <v>23.916784594503969</v>
      </c>
      <c r="AS179">
        <v>4.1666666666666657E-2</v>
      </c>
      <c r="AT179">
        <v>4.1666666666666657E-2</v>
      </c>
      <c r="AU179">
        <v>4.1666666666666657E-2</v>
      </c>
      <c r="AV179">
        <v>4.1666666666666657E-2</v>
      </c>
      <c r="AW179">
        <v>4.1666666666666657E-2</v>
      </c>
      <c r="AX179">
        <v>4.1666666666666657E-2</v>
      </c>
      <c r="AY179">
        <v>4.1666666666666657E-2</v>
      </c>
      <c r="AZ179">
        <v>4.1666666666666657E-2</v>
      </c>
    </row>
    <row r="180" spans="1:52" x14ac:dyDescent="0.25">
      <c r="A180" t="s">
        <v>93</v>
      </c>
      <c r="B180" t="s">
        <v>374</v>
      </c>
      <c r="D180">
        <v>2020</v>
      </c>
      <c r="E180" t="s">
        <v>148</v>
      </c>
      <c r="F180" t="s">
        <v>461</v>
      </c>
      <c r="G180" t="s">
        <v>148</v>
      </c>
      <c r="H180" t="s">
        <v>462</v>
      </c>
      <c r="I180">
        <v>1</v>
      </c>
      <c r="K180">
        <v>15</v>
      </c>
      <c r="L180">
        <v>31.536000000000001</v>
      </c>
      <c r="M180">
        <v>1650.7407533790711</v>
      </c>
      <c r="N180">
        <v>1728.1483448538529</v>
      </c>
      <c r="O180">
        <v>1457.1875963427051</v>
      </c>
      <c r="P180">
        <v>1366.113371571279</v>
      </c>
      <c r="Q180">
        <v>1275.039146799865</v>
      </c>
      <c r="R180">
        <v>1183.9649220284509</v>
      </c>
      <c r="S180">
        <v>1092.890697257033</v>
      </c>
      <c r="T180">
        <v>1092.890697257033</v>
      </c>
      <c r="U180">
        <v>41.268518834477</v>
      </c>
      <c r="V180">
        <v>43.20370862134655</v>
      </c>
      <c r="W180">
        <v>36.429689908567681</v>
      </c>
      <c r="X180">
        <v>34.152834289282211</v>
      </c>
      <c r="Y180">
        <v>31.875978669996751</v>
      </c>
      <c r="Z180">
        <v>29.599123050711281</v>
      </c>
      <c r="AA180">
        <v>27.322267431425811</v>
      </c>
      <c r="AB180">
        <v>27.322267431425811</v>
      </c>
      <c r="AS180">
        <v>8.3333333333333329E-2</v>
      </c>
      <c r="AT180">
        <v>8.3333333333333329E-2</v>
      </c>
      <c r="AU180">
        <v>8.3333333333333329E-2</v>
      </c>
      <c r="AV180">
        <v>8.3333333333333329E-2</v>
      </c>
      <c r="AW180">
        <v>8.3333333333333329E-2</v>
      </c>
      <c r="AX180">
        <v>8.3333333333333329E-2</v>
      </c>
      <c r="AY180">
        <v>8.3333333333333329E-2</v>
      </c>
      <c r="AZ180">
        <v>8.3333333333333329E-2</v>
      </c>
    </row>
    <row r="181" spans="1:52" x14ac:dyDescent="0.25">
      <c r="A181" t="s">
        <v>93</v>
      </c>
      <c r="B181" t="s">
        <v>374</v>
      </c>
      <c r="D181">
        <v>2020</v>
      </c>
      <c r="E181" t="s">
        <v>148</v>
      </c>
      <c r="F181" t="s">
        <v>463</v>
      </c>
      <c r="G181" t="s">
        <v>148</v>
      </c>
      <c r="H181" t="s">
        <v>464</v>
      </c>
      <c r="I181">
        <v>1</v>
      </c>
      <c r="K181">
        <v>15</v>
      </c>
      <c r="L181">
        <v>31.536000000000001</v>
      </c>
      <c r="M181">
        <v>2181.3481237263582</v>
      </c>
      <c r="N181">
        <v>2200.169621222205</v>
      </c>
      <c r="O181">
        <v>1820.4390989476881</v>
      </c>
      <c r="P181">
        <v>1706.6616552634639</v>
      </c>
      <c r="Q181">
        <v>1592.8842115792279</v>
      </c>
      <c r="R181">
        <v>1479.1067678950039</v>
      </c>
      <c r="S181">
        <v>1365.3293242107691</v>
      </c>
      <c r="T181">
        <v>1365.3293242107691</v>
      </c>
      <c r="U181">
        <v>54.533703093159112</v>
      </c>
      <c r="V181">
        <v>55.004240530555201</v>
      </c>
      <c r="W181">
        <v>45.510977473692357</v>
      </c>
      <c r="X181">
        <v>42.666541381586647</v>
      </c>
      <c r="Y181">
        <v>39.822105289480938</v>
      </c>
      <c r="Z181">
        <v>36.9776691973751</v>
      </c>
      <c r="AA181">
        <v>34.133233105269277</v>
      </c>
      <c r="AB181">
        <v>34.133233105269277</v>
      </c>
      <c r="AS181">
        <v>0.16666666666666671</v>
      </c>
      <c r="AT181">
        <v>0.16666666666666671</v>
      </c>
      <c r="AU181">
        <v>0.16666666666666671</v>
      </c>
      <c r="AV181">
        <v>0.16666666666666671</v>
      </c>
      <c r="AW181">
        <v>0.16666666666666671</v>
      </c>
      <c r="AX181">
        <v>0.16666666666666671</v>
      </c>
      <c r="AY181">
        <v>0.16666666666666671</v>
      </c>
      <c r="AZ181">
        <v>0.16666666666666671</v>
      </c>
    </row>
    <row r="182" spans="1:52" x14ac:dyDescent="0.25">
      <c r="A182" t="s">
        <v>93</v>
      </c>
      <c r="B182" t="s">
        <v>374</v>
      </c>
      <c r="D182">
        <v>2020</v>
      </c>
      <c r="E182" t="s">
        <v>148</v>
      </c>
      <c r="F182" t="s">
        <v>465</v>
      </c>
      <c r="G182" t="s">
        <v>148</v>
      </c>
      <c r="H182" t="s">
        <v>466</v>
      </c>
      <c r="I182">
        <v>1</v>
      </c>
      <c r="K182">
        <v>15</v>
      </c>
      <c r="L182">
        <v>31.536000000000001</v>
      </c>
      <c r="M182">
        <v>2711.9554940736562</v>
      </c>
      <c r="N182">
        <v>2672.1908975905581</v>
      </c>
      <c r="O182">
        <v>2183.690601552682</v>
      </c>
      <c r="P182">
        <v>2047.209938955637</v>
      </c>
      <c r="Q182">
        <v>1910.729276358592</v>
      </c>
      <c r="R182">
        <v>1774.248613761557</v>
      </c>
      <c r="S182">
        <v>1637.7679511645119</v>
      </c>
      <c r="T182">
        <v>1637.7679511645119</v>
      </c>
      <c r="U182">
        <v>67.798887351841344</v>
      </c>
      <c r="V182">
        <v>66.804772439763951</v>
      </c>
      <c r="W182">
        <v>54.592265038817061</v>
      </c>
      <c r="X182">
        <v>51.180248473891091</v>
      </c>
      <c r="Y182">
        <v>47.768231908965006</v>
      </c>
      <c r="Z182">
        <v>44.35621534403893</v>
      </c>
      <c r="AA182">
        <v>40.944198779112853</v>
      </c>
      <c r="AB182">
        <v>40.944198779112853</v>
      </c>
      <c r="AS182">
        <v>0.25</v>
      </c>
      <c r="AT182">
        <v>0.25</v>
      </c>
      <c r="AU182">
        <v>0.25</v>
      </c>
      <c r="AV182">
        <v>0.25</v>
      </c>
      <c r="AW182">
        <v>0.25</v>
      </c>
      <c r="AX182">
        <v>0.25</v>
      </c>
      <c r="AY182">
        <v>0.25</v>
      </c>
      <c r="AZ182">
        <v>0.25</v>
      </c>
    </row>
    <row r="183" spans="1:52" x14ac:dyDescent="0.25">
      <c r="A183" t="s">
        <v>93</v>
      </c>
      <c r="B183" t="s">
        <v>374</v>
      </c>
      <c r="D183">
        <v>2020</v>
      </c>
      <c r="E183" t="s">
        <v>148</v>
      </c>
      <c r="F183" t="s">
        <v>467</v>
      </c>
      <c r="G183" t="s">
        <v>148</v>
      </c>
      <c r="H183" t="s">
        <v>468</v>
      </c>
      <c r="I183">
        <v>1</v>
      </c>
      <c r="K183">
        <v>15</v>
      </c>
      <c r="L183">
        <v>31.536000000000001</v>
      </c>
      <c r="M183">
        <v>3242.5628644209428</v>
      </c>
      <c r="N183">
        <v>3144.2121739589102</v>
      </c>
      <c r="O183">
        <v>2546.9421041576661</v>
      </c>
      <c r="P183">
        <v>2387.7582226478098</v>
      </c>
      <c r="Q183">
        <v>2228.5743411379658</v>
      </c>
      <c r="R183">
        <v>2069.39045962811</v>
      </c>
      <c r="S183">
        <v>1910.206578118255</v>
      </c>
      <c r="T183">
        <v>1910.206578118255</v>
      </c>
      <c r="U183">
        <v>81.064071610523584</v>
      </c>
      <c r="V183">
        <v>78.605304348972709</v>
      </c>
      <c r="W183">
        <v>63.673552603941857</v>
      </c>
      <c r="X183">
        <v>59.69395556619542</v>
      </c>
      <c r="Y183">
        <v>55.714358528449083</v>
      </c>
      <c r="Z183">
        <v>51.734761490702752</v>
      </c>
      <c r="AA183">
        <v>47.755164452956421</v>
      </c>
      <c r="AB183">
        <v>47.755164452956421</v>
      </c>
      <c r="AS183">
        <v>0.33333333333333331</v>
      </c>
      <c r="AT183">
        <v>0.33333333333333331</v>
      </c>
      <c r="AU183">
        <v>0.33333333333333331</v>
      </c>
      <c r="AV183">
        <v>0.33333333333333331</v>
      </c>
      <c r="AW183">
        <v>0.33333333333333331</v>
      </c>
      <c r="AX183">
        <v>0.33333333333333331</v>
      </c>
      <c r="AY183">
        <v>0.33333333333333331</v>
      </c>
      <c r="AZ183">
        <v>0.33333333333333331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"/>
  <sheetViews>
    <sheetView workbookViewId="0">
      <selection activeCell="G21" sqref="G21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184"/>
  <sheetViews>
    <sheetView tabSelected="1" topLeftCell="A160" zoomScale="70" zoomScaleNormal="70" workbookViewId="0">
      <selection activeCell="G5" sqref="G5:H184"/>
    </sheetView>
  </sheetViews>
  <sheetFormatPr defaultRowHeight="15" x14ac:dyDescent="0.25"/>
  <cols>
    <col min="2" max="2" width="20.5703125" customWidth="1"/>
    <col min="3" max="3" width="31" bestFit="1" customWidth="1"/>
    <col min="4" max="6" width="20.5703125" customWidth="1"/>
    <col min="7" max="7" width="6.85546875" bestFit="1" customWidth="1"/>
    <col min="8" max="8" width="8.7109375" bestFit="1" customWidth="1"/>
  </cols>
  <sheetData>
    <row r="2" spans="2:8" x14ac:dyDescent="0.25">
      <c r="B2" s="3" t="s">
        <v>469</v>
      </c>
    </row>
    <row r="3" spans="2:8" x14ac:dyDescent="0.25">
      <c r="B3" s="1" t="s">
        <v>470</v>
      </c>
      <c r="C3" s="1" t="s">
        <v>471</v>
      </c>
      <c r="D3" s="1" t="s">
        <v>472</v>
      </c>
      <c r="E3" s="1" t="s">
        <v>473</v>
      </c>
      <c r="F3" s="1" t="s">
        <v>474</v>
      </c>
      <c r="G3" s="1" t="s">
        <v>475</v>
      </c>
      <c r="H3" s="1" t="s">
        <v>476</v>
      </c>
    </row>
    <row r="4" spans="2:8" ht="15" customHeight="1" thickBot="1" x14ac:dyDescent="0.3">
      <c r="B4" s="2" t="s">
        <v>477</v>
      </c>
      <c r="C4" s="2"/>
      <c r="D4" s="2"/>
      <c r="E4" s="2"/>
      <c r="F4" s="2"/>
      <c r="G4" s="2"/>
      <c r="H4" s="2"/>
    </row>
    <row r="5" spans="2:8" x14ac:dyDescent="0.25">
      <c r="C5" t="str">
        <f>'ELC TECH'!H4</f>
        <v>ELCHYDGRDHNSDC120</v>
      </c>
      <c r="G5" s="12">
        <f>IF('ELC TECH'!I4=0,0,IF(_xlfn.XLOOKUP(C5,'ELC TECH'!H:H,'ELC TECH'!B:B)="Grid",0,1))</f>
        <v>0</v>
      </c>
      <c r="H5" s="12">
        <f>IF('ELC TECH'!I4=0,0,IF(_xlfn.XLOOKUP(C5,'ELC TECH'!H:H,'ELC TECH'!B:B)="Grid",1,0))</f>
        <v>1</v>
      </c>
    </row>
    <row r="6" spans="2:8" x14ac:dyDescent="0.25">
      <c r="C6" t="str">
        <f>'ELC TECH'!H5</f>
        <v>ELCHYDGRDHNSDC220</v>
      </c>
      <c r="G6" s="12">
        <f>IF('ELC TECH'!I5=0,0,IF(_xlfn.XLOOKUP(C6,'ELC TECH'!H:H,'ELC TECH'!B:B)="Grid",0,1))</f>
        <v>0</v>
      </c>
      <c r="H6" s="12">
        <f>IF('ELC TECH'!I5=0,0,IF(_xlfn.XLOOKUP(C6,'ELC TECH'!H:H,'ELC TECH'!B:B)="Grid",1,0))</f>
        <v>1</v>
      </c>
    </row>
    <row r="7" spans="2:8" x14ac:dyDescent="0.25">
      <c r="C7" t="str">
        <f>'ELC TECH'!H6</f>
        <v>ELCHYDGRDHNSDC320</v>
      </c>
      <c r="G7" s="12">
        <f>IF('ELC TECH'!I6=0,0,IF(_xlfn.XLOOKUP(C7,'ELC TECH'!H:H,'ELC TECH'!B:B)="Grid",0,1))</f>
        <v>0</v>
      </c>
      <c r="H7" s="12">
        <f>IF('ELC TECH'!I6=0,0,IF(_xlfn.XLOOKUP(C7,'ELC TECH'!H:H,'ELC TECH'!B:B)="Grid",1,0))</f>
        <v>1</v>
      </c>
    </row>
    <row r="8" spans="2:8" x14ac:dyDescent="0.25">
      <c r="C8" t="str">
        <f>'ELC TECH'!H7</f>
        <v>ELCHYDGRDHNSDC420</v>
      </c>
      <c r="G8" s="12">
        <f>IF('ELC TECH'!I7=0,0,IF(_xlfn.XLOOKUP(C8,'ELC TECH'!H:H,'ELC TECH'!B:B)="Grid",0,1))</f>
        <v>0</v>
      </c>
      <c r="H8" s="12">
        <f>IF('ELC TECH'!I7=0,0,IF(_xlfn.XLOOKUP(C8,'ELC TECH'!H:H,'ELC TECH'!B:B)="Grid",1,0))</f>
        <v>1</v>
      </c>
    </row>
    <row r="9" spans="2:8" x14ac:dyDescent="0.25">
      <c r="C9" t="str">
        <f>'ELC TECH'!H8</f>
        <v>ELCHYDGRDHNSDC520</v>
      </c>
      <c r="G9" s="12">
        <f>IF('ELC TECH'!I8=0,0,IF(_xlfn.XLOOKUP(C9,'ELC TECH'!H:H,'ELC TECH'!B:B)="Grid",0,1))</f>
        <v>0</v>
      </c>
      <c r="H9" s="12">
        <f>IF('ELC TECH'!I8=0,0,IF(_xlfn.XLOOKUP(C9,'ELC TECH'!H:H,'ELC TECH'!B:B)="Grid",1,0))</f>
        <v>1</v>
      </c>
    </row>
    <row r="10" spans="2:8" x14ac:dyDescent="0.25">
      <c r="C10" t="str">
        <f>'ELC TECH'!H9</f>
        <v>ELCHYDGRDHNSNDC120</v>
      </c>
      <c r="G10" s="12">
        <f>IF('ELC TECH'!I9=0,0,IF(_xlfn.XLOOKUP(C10,'ELC TECH'!H:H,'ELC TECH'!B:B)="Grid",0,1))</f>
        <v>0</v>
      </c>
      <c r="H10" s="12">
        <f>IF('ELC TECH'!I9=0,0,IF(_xlfn.XLOOKUP(C10,'ELC TECH'!H:H,'ELC TECH'!B:B)="Grid",1,0))</f>
        <v>1</v>
      </c>
    </row>
    <row r="11" spans="2:8" x14ac:dyDescent="0.25">
      <c r="C11" t="str">
        <f>'ELC TECH'!H10</f>
        <v>ELCHYDGRDHNSNDC220</v>
      </c>
      <c r="G11" s="12">
        <f>IF('ELC TECH'!I10=0,0,IF(_xlfn.XLOOKUP(C11,'ELC TECH'!H:H,'ELC TECH'!B:B)="Grid",0,1))</f>
        <v>0</v>
      </c>
      <c r="H11" s="12">
        <f>IF('ELC TECH'!I10=0,0,IF(_xlfn.XLOOKUP(C11,'ELC TECH'!H:H,'ELC TECH'!B:B)="Grid",1,0))</f>
        <v>1</v>
      </c>
    </row>
    <row r="12" spans="2:8" x14ac:dyDescent="0.25">
      <c r="C12" t="str">
        <f>'ELC TECH'!H11</f>
        <v>ELCHYDGRDHNSNDC320</v>
      </c>
      <c r="G12" s="12">
        <f>IF('ELC TECH'!I11=0,0,IF(_xlfn.XLOOKUP(C12,'ELC TECH'!H:H,'ELC TECH'!B:B)="Grid",0,1))</f>
        <v>0</v>
      </c>
      <c r="H12" s="12">
        <f>IF('ELC TECH'!I11=0,0,IF(_xlfn.XLOOKUP(C12,'ELC TECH'!H:H,'ELC TECH'!B:B)="Grid",1,0))</f>
        <v>1</v>
      </c>
    </row>
    <row r="13" spans="2:8" x14ac:dyDescent="0.25">
      <c r="C13" t="str">
        <f>'ELC TECH'!H12</f>
        <v>ELCHYDGRDHNSNDC420</v>
      </c>
      <c r="G13" s="12">
        <f>IF('ELC TECH'!I12=0,0,IF(_xlfn.XLOOKUP(C13,'ELC TECH'!H:H,'ELC TECH'!B:B)="Grid",0,1))</f>
        <v>0</v>
      </c>
      <c r="H13" s="12">
        <f>IF('ELC TECH'!I12=0,0,IF(_xlfn.XLOOKUP(C13,'ELC TECH'!H:H,'ELC TECH'!B:B)="Grid",1,0))</f>
        <v>1</v>
      </c>
    </row>
    <row r="14" spans="2:8" x14ac:dyDescent="0.25">
      <c r="C14" t="str">
        <f>'ELC TECH'!H13</f>
        <v>ELCHYDGRDHNSNDC520</v>
      </c>
      <c r="G14" s="12">
        <f>IF('ELC TECH'!I13=0,0,IF(_xlfn.XLOOKUP(C14,'ELC TECH'!H:H,'ELC TECH'!B:B)="Grid",0,1))</f>
        <v>0</v>
      </c>
      <c r="H14" s="12">
        <f>IF('ELC TECH'!I13=0,0,IF(_xlfn.XLOOKUP(C14,'ELC TECH'!H:H,'ELC TECH'!B:B)="Grid",1,0))</f>
        <v>1</v>
      </c>
    </row>
    <row r="15" spans="2:8" x14ac:dyDescent="0.25">
      <c r="C15" t="str">
        <f>'ELC TECH'!H14</f>
        <v>ELCHYDGRDHNPNDC120</v>
      </c>
      <c r="G15" s="12">
        <f>IF('ELC TECH'!I14=0,0,IF(_xlfn.XLOOKUP(C15,'ELC TECH'!H:H,'ELC TECH'!B:B)="Grid",0,1))</f>
        <v>0</v>
      </c>
      <c r="H15" s="12">
        <f>IF('ELC TECH'!I14=0,0,IF(_xlfn.XLOOKUP(C15,'ELC TECH'!H:H,'ELC TECH'!B:B)="Grid",1,0))</f>
        <v>1</v>
      </c>
    </row>
    <row r="16" spans="2:8" x14ac:dyDescent="0.25">
      <c r="C16" t="str">
        <f>'ELC TECH'!H15</f>
        <v>ELCHYDGRDHNPNDC220</v>
      </c>
      <c r="G16" s="12">
        <f>IF('ELC TECH'!I15=0,0,IF(_xlfn.XLOOKUP(C16,'ELC TECH'!H:H,'ELC TECH'!B:B)="Grid",0,1))</f>
        <v>0</v>
      </c>
      <c r="H16" s="12">
        <f>IF('ELC TECH'!I15=0,0,IF(_xlfn.XLOOKUP(C16,'ELC TECH'!H:H,'ELC TECH'!B:B)="Grid",1,0))</f>
        <v>1</v>
      </c>
    </row>
    <row r="17" spans="3:8" x14ac:dyDescent="0.25">
      <c r="C17" t="str">
        <f>'ELC TECH'!H16</f>
        <v>ELCHYDGRDHNPNDC320</v>
      </c>
      <c r="G17" s="12">
        <f>IF('ELC TECH'!I16=0,0,IF(_xlfn.XLOOKUP(C17,'ELC TECH'!H:H,'ELC TECH'!B:B)="Grid",0,1))</f>
        <v>0</v>
      </c>
      <c r="H17" s="12">
        <f>IF('ELC TECH'!I16=0,0,IF(_xlfn.XLOOKUP(C17,'ELC TECH'!H:H,'ELC TECH'!B:B)="Grid",1,0))</f>
        <v>1</v>
      </c>
    </row>
    <row r="18" spans="3:8" x14ac:dyDescent="0.25">
      <c r="C18" t="str">
        <f>'ELC TECH'!H17</f>
        <v>ELCHYDGRDHNPNDC420</v>
      </c>
      <c r="G18" s="12">
        <f>IF('ELC TECH'!I17=0,0,IF(_xlfn.XLOOKUP(C18,'ELC TECH'!H:H,'ELC TECH'!B:B)="Grid",0,1))</f>
        <v>0</v>
      </c>
      <c r="H18" s="12">
        <f>IF('ELC TECH'!I17=0,0,IF(_xlfn.XLOOKUP(C18,'ELC TECH'!H:H,'ELC TECH'!B:B)="Grid",1,0))</f>
        <v>1</v>
      </c>
    </row>
    <row r="19" spans="3:8" x14ac:dyDescent="0.25">
      <c r="C19" t="str">
        <f>'ELC TECH'!H18</f>
        <v>ELCHYDGRDHNPNDC520</v>
      </c>
      <c r="G19" s="12">
        <f>IF('ELC TECH'!I18=0,0,IF(_xlfn.XLOOKUP(C19,'ELC TECH'!H:H,'ELC TECH'!B:B)="Grid",0,1))</f>
        <v>0</v>
      </c>
      <c r="H19" s="12">
        <f>IF('ELC TECH'!I18=0,0,IF(_xlfn.XLOOKUP(C19,'ELC TECH'!H:H,'ELC TECH'!B:B)="Grid",1,0))</f>
        <v>1</v>
      </c>
    </row>
    <row r="20" spans="3:8" x14ac:dyDescent="0.25">
      <c r="C20" t="str">
        <f>'ELC TECH'!H19</f>
        <v>ELCHYDGRDHUPDC120</v>
      </c>
      <c r="G20" s="12">
        <f>IF('ELC TECH'!I19=0,0,IF(_xlfn.XLOOKUP(C20,'ELC TECH'!H:H,'ELC TECH'!B:B)="Grid",0,1))</f>
        <v>0</v>
      </c>
      <c r="H20" s="12">
        <f>IF('ELC TECH'!I19=0,0,IF(_xlfn.XLOOKUP(C20,'ELC TECH'!H:H,'ELC TECH'!B:B)="Grid",1,0))</f>
        <v>1</v>
      </c>
    </row>
    <row r="21" spans="3:8" x14ac:dyDescent="0.25">
      <c r="C21" t="str">
        <f>'ELC TECH'!H20</f>
        <v>ELCHYDGRDHUPDC220</v>
      </c>
      <c r="G21" s="12">
        <f>IF('ELC TECH'!I20=0,0,IF(_xlfn.XLOOKUP(C21,'ELC TECH'!H:H,'ELC TECH'!B:B)="Grid",0,1))</f>
        <v>0</v>
      </c>
      <c r="H21" s="12">
        <f>IF('ELC TECH'!I20=0,0,IF(_xlfn.XLOOKUP(C21,'ELC TECH'!H:H,'ELC TECH'!B:B)="Grid",1,0))</f>
        <v>1</v>
      </c>
    </row>
    <row r="22" spans="3:8" x14ac:dyDescent="0.25">
      <c r="C22" t="str">
        <f>'ELC TECH'!H21</f>
        <v>ELCHYDGRDHUPDC320</v>
      </c>
      <c r="G22" s="12">
        <f>IF('ELC TECH'!I21=0,0,IF(_xlfn.XLOOKUP(C22,'ELC TECH'!H:H,'ELC TECH'!B:B)="Grid",0,1))</f>
        <v>0</v>
      </c>
      <c r="H22" s="12">
        <f>IF('ELC TECH'!I21=0,0,IF(_xlfn.XLOOKUP(C22,'ELC TECH'!H:H,'ELC TECH'!B:B)="Grid",1,0))</f>
        <v>1</v>
      </c>
    </row>
    <row r="23" spans="3:8" x14ac:dyDescent="0.25">
      <c r="C23" t="str">
        <f>'ELC TECH'!H22</f>
        <v>ELCHYDGRDHUPDC420</v>
      </c>
      <c r="G23" s="12">
        <f>IF('ELC TECH'!I22=0,0,IF(_xlfn.XLOOKUP(C23,'ELC TECH'!H:H,'ELC TECH'!B:B)="Grid",0,1))</f>
        <v>0</v>
      </c>
      <c r="H23" s="12">
        <f>IF('ELC TECH'!I22=0,0,IF(_xlfn.XLOOKUP(C23,'ELC TECH'!H:H,'ELC TECH'!B:B)="Grid",1,0))</f>
        <v>1</v>
      </c>
    </row>
    <row r="24" spans="3:8" x14ac:dyDescent="0.25">
      <c r="C24" t="str">
        <f>'ELC TECH'!H23</f>
        <v>ELCHYDGRDHUPDC520</v>
      </c>
      <c r="G24" s="12">
        <f>IF('ELC TECH'!I23=0,0,IF(_xlfn.XLOOKUP(C24,'ELC TECH'!H:H,'ELC TECH'!B:B)="Grid",0,1))</f>
        <v>0</v>
      </c>
      <c r="H24" s="12">
        <f>IF('ELC TECH'!I23=0,0,IF(_xlfn.XLOOKUP(C24,'ELC TECH'!H:H,'ELC TECH'!B:B)="Grid",1,0))</f>
        <v>1</v>
      </c>
    </row>
    <row r="25" spans="3:8" x14ac:dyDescent="0.25">
      <c r="C25" t="str">
        <f>'ELC TECH'!H24</f>
        <v>ELCHYDGRDHUPNDC120</v>
      </c>
      <c r="G25" s="12">
        <f>IF('ELC TECH'!I24=0,0,IF(_xlfn.XLOOKUP(C25,'ELC TECH'!H:H,'ELC TECH'!B:B)="Grid",0,1))</f>
        <v>0</v>
      </c>
      <c r="H25" s="12">
        <f>IF('ELC TECH'!I24=0,0,IF(_xlfn.XLOOKUP(C25,'ELC TECH'!H:H,'ELC TECH'!B:B)="Grid",1,0))</f>
        <v>1</v>
      </c>
    </row>
    <row r="26" spans="3:8" x14ac:dyDescent="0.25">
      <c r="C26" t="str">
        <f>'ELC TECH'!H25</f>
        <v>ELCHYDGRDHUPNDC220</v>
      </c>
      <c r="G26" s="12">
        <f>IF('ELC TECH'!I25=0,0,IF(_xlfn.XLOOKUP(C26,'ELC TECH'!H:H,'ELC TECH'!B:B)="Grid",0,1))</f>
        <v>0</v>
      </c>
      <c r="H26" s="12">
        <f>IF('ELC TECH'!I25=0,0,IF(_xlfn.XLOOKUP(C26,'ELC TECH'!H:H,'ELC TECH'!B:B)="Grid",1,0))</f>
        <v>1</v>
      </c>
    </row>
    <row r="27" spans="3:8" x14ac:dyDescent="0.25">
      <c r="C27" t="str">
        <f>'ELC TECH'!H26</f>
        <v>ELCHYDGRDHUPNDC320</v>
      </c>
      <c r="G27" s="12">
        <f>IF('ELC TECH'!I26=0,0,IF(_xlfn.XLOOKUP(C27,'ELC TECH'!H:H,'ELC TECH'!B:B)="Grid",0,1))</f>
        <v>0</v>
      </c>
      <c r="H27" s="12">
        <f>IF('ELC TECH'!I26=0,0,IF(_xlfn.XLOOKUP(C27,'ELC TECH'!H:H,'ELC TECH'!B:B)="Grid",1,0))</f>
        <v>1</v>
      </c>
    </row>
    <row r="28" spans="3:8" x14ac:dyDescent="0.25">
      <c r="C28" t="str">
        <f>'ELC TECH'!H27</f>
        <v>ELCHYDGRDHUPNDC420</v>
      </c>
      <c r="G28" s="12">
        <f>IF('ELC TECH'!I27=0,0,IF(_xlfn.XLOOKUP(C28,'ELC TECH'!H:H,'ELC TECH'!B:B)="Grid",0,1))</f>
        <v>0</v>
      </c>
      <c r="H28" s="12">
        <f>IF('ELC TECH'!I27=0,0,IF(_xlfn.XLOOKUP(C28,'ELC TECH'!H:H,'ELC TECH'!B:B)="Grid",1,0))</f>
        <v>1</v>
      </c>
    </row>
    <row r="29" spans="3:8" x14ac:dyDescent="0.25">
      <c r="C29" t="str">
        <f>'ELC TECH'!H28</f>
        <v>ELCHYDGRDHUPNDC520</v>
      </c>
      <c r="G29" s="12">
        <f>IF('ELC TECH'!I28=0,0,IF(_xlfn.XLOOKUP(C29,'ELC TECH'!H:H,'ELC TECH'!B:B)="Grid",0,1))</f>
        <v>0</v>
      </c>
      <c r="H29" s="12">
        <f>IF('ELC TECH'!I28=0,0,IF(_xlfn.XLOOKUP(C29,'ELC TECH'!H:H,'ELC TECH'!B:B)="Grid",1,0))</f>
        <v>1</v>
      </c>
    </row>
    <row r="30" spans="3:8" x14ac:dyDescent="0.25">
      <c r="C30" t="str">
        <f>'ELC TECH'!H29</f>
        <v>ELCSTGGRDPSH12HC120</v>
      </c>
      <c r="G30" s="12">
        <f>IF('ELC TECH'!I29=0,0,IF(_xlfn.XLOOKUP(C30,'ELC TECH'!H:H,'ELC TECH'!B:B)="Grid",0,1))</f>
        <v>0</v>
      </c>
      <c r="H30" s="12">
        <f>IF('ELC TECH'!I29=0,0,IF(_xlfn.XLOOKUP(C30,'ELC TECH'!H:H,'ELC TECH'!B:B)="Grid",1,0))</f>
        <v>1</v>
      </c>
    </row>
    <row r="31" spans="3:8" x14ac:dyDescent="0.25">
      <c r="C31" t="str">
        <f>'ELC TECH'!H30</f>
        <v>ELCSTGGRDPSH12HC220</v>
      </c>
      <c r="G31" s="12">
        <f>IF('ELC TECH'!I30=0,0,IF(_xlfn.XLOOKUP(C31,'ELC TECH'!H:H,'ELC TECH'!B:B)="Grid",0,1))</f>
        <v>0</v>
      </c>
      <c r="H31" s="12">
        <f>IF('ELC TECH'!I30=0,0,IF(_xlfn.XLOOKUP(C31,'ELC TECH'!H:H,'ELC TECH'!B:B)="Grid",1,0))</f>
        <v>1</v>
      </c>
    </row>
    <row r="32" spans="3:8" x14ac:dyDescent="0.25">
      <c r="C32" t="str">
        <f>'ELC TECH'!H31</f>
        <v>ELCSTGGRDPSH12HC320</v>
      </c>
      <c r="G32" s="12">
        <f>IF('ELC TECH'!I31=0,0,IF(_xlfn.XLOOKUP(C32,'ELC TECH'!H:H,'ELC TECH'!B:B)="Grid",0,1))</f>
        <v>0</v>
      </c>
      <c r="H32" s="12">
        <f>IF('ELC TECH'!I31=0,0,IF(_xlfn.XLOOKUP(C32,'ELC TECH'!H:H,'ELC TECH'!B:B)="Grid",1,0))</f>
        <v>1</v>
      </c>
    </row>
    <row r="33" spans="3:8" x14ac:dyDescent="0.25">
      <c r="C33" t="str">
        <f>'ELC TECH'!H32</f>
        <v>ELCSTGGRDPSH12HC420</v>
      </c>
      <c r="G33" s="12">
        <f>IF('ELC TECH'!I32=0,0,IF(_xlfn.XLOOKUP(C33,'ELC TECH'!H:H,'ELC TECH'!B:B)="Grid",0,1))</f>
        <v>0</v>
      </c>
      <c r="H33" s="12">
        <f>IF('ELC TECH'!I32=0,0,IF(_xlfn.XLOOKUP(C33,'ELC TECH'!H:H,'ELC TECH'!B:B)="Grid",1,0))</f>
        <v>1</v>
      </c>
    </row>
    <row r="34" spans="3:8" x14ac:dyDescent="0.25">
      <c r="C34" t="str">
        <f>'ELC TECH'!H33</f>
        <v>ELCSTGGRDPSH12HC520</v>
      </c>
      <c r="G34" s="12">
        <f>IF('ELC TECH'!I33=0,0,IF(_xlfn.XLOOKUP(C34,'ELC TECH'!H:H,'ELC TECH'!B:B)="Grid",0,1))</f>
        <v>0</v>
      </c>
      <c r="H34" s="12">
        <f>IF('ELC TECH'!I33=0,0,IF(_xlfn.XLOOKUP(C34,'ELC TECH'!H:H,'ELC TECH'!B:B)="Grid",1,0))</f>
        <v>1</v>
      </c>
    </row>
    <row r="35" spans="3:8" x14ac:dyDescent="0.25">
      <c r="C35" t="str">
        <f>'ELC TECH'!H34</f>
        <v>ELCSTGGRDPSH12HC620</v>
      </c>
      <c r="G35" s="12">
        <f>IF('ELC TECH'!I34=0,0,IF(_xlfn.XLOOKUP(C35,'ELC TECH'!H:H,'ELC TECH'!B:B)="Grid",0,1))</f>
        <v>0</v>
      </c>
      <c r="H35" s="12">
        <f>IF('ELC TECH'!I34=0,0,IF(_xlfn.XLOOKUP(C35,'ELC TECH'!H:H,'ELC TECH'!B:B)="Grid",1,0))</f>
        <v>1</v>
      </c>
    </row>
    <row r="36" spans="3:8" x14ac:dyDescent="0.25">
      <c r="C36" t="str">
        <f>'ELC TECH'!H35</f>
        <v>ELCSTGGRDPSH12HC720</v>
      </c>
      <c r="G36" s="12">
        <f>IF('ELC TECH'!I35=0,0,IF(_xlfn.XLOOKUP(C36,'ELC TECH'!H:H,'ELC TECH'!B:B)="Grid",0,1))</f>
        <v>0</v>
      </c>
      <c r="H36" s="12">
        <f>IF('ELC TECH'!I35=0,0,IF(_xlfn.XLOOKUP(C36,'ELC TECH'!H:H,'ELC TECH'!B:B)="Grid",1,0))</f>
        <v>1</v>
      </c>
    </row>
    <row r="37" spans="3:8" x14ac:dyDescent="0.25">
      <c r="C37" t="str">
        <f>'ELC TECH'!H36</f>
        <v>ELCSTGGRDPSH12HC820</v>
      </c>
      <c r="G37" s="12">
        <f>IF('ELC TECH'!I36=0,0,IF(_xlfn.XLOOKUP(C37,'ELC TECH'!H:H,'ELC TECH'!B:B)="Grid",0,1))</f>
        <v>0</v>
      </c>
      <c r="H37" s="12">
        <f>IF('ELC TECH'!I36=0,0,IF(_xlfn.XLOOKUP(C37,'ELC TECH'!H:H,'ELC TECH'!B:B)="Grid",1,0))</f>
        <v>1</v>
      </c>
    </row>
    <row r="38" spans="3:8" x14ac:dyDescent="0.25">
      <c r="C38" t="str">
        <f>'ELC TECH'!H37</f>
        <v>ELCSTGGRDPSH12HC920</v>
      </c>
      <c r="G38" s="12">
        <f>IF('ELC TECH'!I37=0,0,IF(_xlfn.XLOOKUP(C38,'ELC TECH'!H:H,'ELC TECH'!B:B)="Grid",0,1))</f>
        <v>0</v>
      </c>
      <c r="H38" s="12">
        <f>IF('ELC TECH'!I37=0,0,IF(_xlfn.XLOOKUP(C38,'ELC TECH'!H:H,'ELC TECH'!B:B)="Grid",1,0))</f>
        <v>1</v>
      </c>
    </row>
    <row r="39" spans="3:8" x14ac:dyDescent="0.25">
      <c r="C39" t="str">
        <f>'ELC TECH'!H38</f>
        <v>ELCSTGGRDPSH12HC1020</v>
      </c>
      <c r="G39" s="12">
        <f>IF('ELC TECH'!I38=0,0,IF(_xlfn.XLOOKUP(C39,'ELC TECH'!H:H,'ELC TECH'!B:B)="Grid",0,1))</f>
        <v>0</v>
      </c>
      <c r="H39" s="12">
        <f>IF('ELC TECH'!I38=0,0,IF(_xlfn.XLOOKUP(C39,'ELC TECH'!H:H,'ELC TECH'!B:B)="Grid",1,0))</f>
        <v>1</v>
      </c>
    </row>
    <row r="40" spans="3:8" x14ac:dyDescent="0.25">
      <c r="C40" t="str">
        <f>'ELC TECH'!H39</f>
        <v>ELCSTGGRDPSH12HC1120</v>
      </c>
      <c r="G40" s="12">
        <f>IF('ELC TECH'!I39=0,0,IF(_xlfn.XLOOKUP(C40,'ELC TECH'!H:H,'ELC TECH'!B:B)="Grid",0,1))</f>
        <v>0</v>
      </c>
      <c r="H40" s="12">
        <f>IF('ELC TECH'!I39=0,0,IF(_xlfn.XLOOKUP(C40,'ELC TECH'!H:H,'ELC TECH'!B:B)="Grid",1,0))</f>
        <v>1</v>
      </c>
    </row>
    <row r="41" spans="3:8" x14ac:dyDescent="0.25">
      <c r="C41" t="str">
        <f>'ELC TECH'!H40</f>
        <v>ELCSTGGRDPSH12HC1220</v>
      </c>
      <c r="G41" s="12">
        <f>IF('ELC TECH'!I40=0,0,IF(_xlfn.XLOOKUP(C41,'ELC TECH'!H:H,'ELC TECH'!B:B)="Grid",0,1))</f>
        <v>0</v>
      </c>
      <c r="H41" s="12">
        <f>IF('ELC TECH'!I40=0,0,IF(_xlfn.XLOOKUP(C41,'ELC TECH'!H:H,'ELC TECH'!B:B)="Grid",1,0))</f>
        <v>1</v>
      </c>
    </row>
    <row r="42" spans="3:8" x14ac:dyDescent="0.25">
      <c r="C42" t="str">
        <f>'ELC TECH'!H41</f>
        <v>ELCSTGGRDPSH12HC1320</v>
      </c>
      <c r="G42" s="12">
        <f>IF('ELC TECH'!I41=0,0,IF(_xlfn.XLOOKUP(C42,'ELC TECH'!H:H,'ELC TECH'!B:B)="Grid",0,1))</f>
        <v>0</v>
      </c>
      <c r="H42" s="12">
        <f>IF('ELC TECH'!I41=0,0,IF(_xlfn.XLOOKUP(C42,'ELC TECH'!H:H,'ELC TECH'!B:B)="Grid",1,0))</f>
        <v>1</v>
      </c>
    </row>
    <row r="43" spans="3:8" x14ac:dyDescent="0.25">
      <c r="C43" t="str">
        <f>'ELC TECH'!H42</f>
        <v>ELCSTGGRDPSH12HC1420</v>
      </c>
      <c r="G43" s="12">
        <f>IF('ELC TECH'!I42=0,0,IF(_xlfn.XLOOKUP(C43,'ELC TECH'!H:H,'ELC TECH'!B:B)="Grid",0,1))</f>
        <v>0</v>
      </c>
      <c r="H43" s="12">
        <f>IF('ELC TECH'!I42=0,0,IF(_xlfn.XLOOKUP(C43,'ELC TECH'!H:H,'ELC TECH'!B:B)="Grid",1,0))</f>
        <v>1</v>
      </c>
    </row>
    <row r="44" spans="3:8" x14ac:dyDescent="0.25">
      <c r="C44" t="str">
        <f>'ELC TECH'!H43</f>
        <v>ELCSTGGRDPSH12HC1520</v>
      </c>
      <c r="G44" s="12">
        <f>IF('ELC TECH'!I43=0,0,IF(_xlfn.XLOOKUP(C44,'ELC TECH'!H:H,'ELC TECH'!B:B)="Grid",0,1))</f>
        <v>0</v>
      </c>
      <c r="H44" s="12">
        <f>IF('ELC TECH'!I43=0,0,IF(_xlfn.XLOOKUP(C44,'ELC TECH'!H:H,'ELC TECH'!B:B)="Grid",1,0))</f>
        <v>1</v>
      </c>
    </row>
    <row r="45" spans="3:8" x14ac:dyDescent="0.25">
      <c r="C45" t="str">
        <f>'ELC TECH'!H44</f>
        <v>ELCSTGGRDPSH10HC120</v>
      </c>
      <c r="G45" s="12">
        <f>IF('ELC TECH'!I44=0,0,IF(_xlfn.XLOOKUP(C45,'ELC TECH'!H:H,'ELC TECH'!B:B)="Grid",0,1))</f>
        <v>0</v>
      </c>
      <c r="H45" s="12">
        <f>IF('ELC TECH'!I44=0,0,IF(_xlfn.XLOOKUP(C45,'ELC TECH'!H:H,'ELC TECH'!B:B)="Grid",1,0))</f>
        <v>1</v>
      </c>
    </row>
    <row r="46" spans="3:8" x14ac:dyDescent="0.25">
      <c r="C46" t="str">
        <f>'ELC TECH'!H45</f>
        <v>ELCSTGGRDPSH10HC220</v>
      </c>
      <c r="G46" s="12">
        <f>IF('ELC TECH'!I45=0,0,IF(_xlfn.XLOOKUP(C46,'ELC TECH'!H:H,'ELC TECH'!B:B)="Grid",0,1))</f>
        <v>0</v>
      </c>
      <c r="H46" s="12">
        <f>IF('ELC TECH'!I45=0,0,IF(_xlfn.XLOOKUP(C46,'ELC TECH'!H:H,'ELC TECH'!B:B)="Grid",1,0))</f>
        <v>1</v>
      </c>
    </row>
    <row r="47" spans="3:8" x14ac:dyDescent="0.25">
      <c r="C47" t="str">
        <f>'ELC TECH'!H46</f>
        <v>ELCSTGGRDPSH10HC320</v>
      </c>
      <c r="G47" s="12">
        <f>IF('ELC TECH'!I46=0,0,IF(_xlfn.XLOOKUP(C47,'ELC TECH'!H:H,'ELC TECH'!B:B)="Grid",0,1))</f>
        <v>0</v>
      </c>
      <c r="H47" s="12">
        <f>IF('ELC TECH'!I46=0,0,IF(_xlfn.XLOOKUP(C47,'ELC TECH'!H:H,'ELC TECH'!B:B)="Grid",1,0))</f>
        <v>1</v>
      </c>
    </row>
    <row r="48" spans="3:8" x14ac:dyDescent="0.25">
      <c r="C48" t="str">
        <f>'ELC TECH'!H47</f>
        <v>ELCSTGGRDPSH10HC420</v>
      </c>
      <c r="G48" s="12">
        <f>IF('ELC TECH'!I47=0,0,IF(_xlfn.XLOOKUP(C48,'ELC TECH'!H:H,'ELC TECH'!B:B)="Grid",0,1))</f>
        <v>0</v>
      </c>
      <c r="H48" s="12">
        <f>IF('ELC TECH'!I47=0,0,IF(_xlfn.XLOOKUP(C48,'ELC TECH'!H:H,'ELC TECH'!B:B)="Grid",1,0))</f>
        <v>1</v>
      </c>
    </row>
    <row r="49" spans="3:8" x14ac:dyDescent="0.25">
      <c r="C49" t="str">
        <f>'ELC TECH'!H48</f>
        <v>ELCSTGGRDPSH10HC520</v>
      </c>
      <c r="G49" s="12">
        <f>IF('ELC TECH'!I48=0,0,IF(_xlfn.XLOOKUP(C49,'ELC TECH'!H:H,'ELC TECH'!B:B)="Grid",0,1))</f>
        <v>0</v>
      </c>
      <c r="H49" s="12">
        <f>IF('ELC TECH'!I48=0,0,IF(_xlfn.XLOOKUP(C49,'ELC TECH'!H:H,'ELC TECH'!B:B)="Grid",1,0))</f>
        <v>1</v>
      </c>
    </row>
    <row r="50" spans="3:8" x14ac:dyDescent="0.25">
      <c r="C50" t="str">
        <f>'ELC TECH'!H49</f>
        <v>ELCSTGGRDPSH10HC620</v>
      </c>
      <c r="G50" s="12">
        <f>IF('ELC TECH'!I49=0,0,IF(_xlfn.XLOOKUP(C50,'ELC TECH'!H:H,'ELC TECH'!B:B)="Grid",0,1))</f>
        <v>0</v>
      </c>
      <c r="H50" s="12">
        <f>IF('ELC TECH'!I49=0,0,IF(_xlfn.XLOOKUP(C50,'ELC TECH'!H:H,'ELC TECH'!B:B)="Grid",1,0))</f>
        <v>1</v>
      </c>
    </row>
    <row r="51" spans="3:8" x14ac:dyDescent="0.25">
      <c r="C51" t="str">
        <f>'ELC TECH'!H50</f>
        <v>ELCSTGGRDPSH10HC720</v>
      </c>
      <c r="G51" s="12">
        <f>IF('ELC TECH'!I50=0,0,IF(_xlfn.XLOOKUP(C51,'ELC TECH'!H:H,'ELC TECH'!B:B)="Grid",0,1))</f>
        <v>0</v>
      </c>
      <c r="H51" s="12">
        <f>IF('ELC TECH'!I50=0,0,IF(_xlfn.XLOOKUP(C51,'ELC TECH'!H:H,'ELC TECH'!B:B)="Grid",1,0))</f>
        <v>1</v>
      </c>
    </row>
    <row r="52" spans="3:8" x14ac:dyDescent="0.25">
      <c r="C52" t="str">
        <f>'ELC TECH'!H51</f>
        <v>ELCSTGGRDPSH10HC820</v>
      </c>
      <c r="G52" s="12">
        <f>IF('ELC TECH'!I51=0,0,IF(_xlfn.XLOOKUP(C52,'ELC TECH'!H:H,'ELC TECH'!B:B)="Grid",0,1))</f>
        <v>0</v>
      </c>
      <c r="H52" s="12">
        <f>IF('ELC TECH'!I51=0,0,IF(_xlfn.XLOOKUP(C52,'ELC TECH'!H:H,'ELC TECH'!B:B)="Grid",1,0))</f>
        <v>1</v>
      </c>
    </row>
    <row r="53" spans="3:8" x14ac:dyDescent="0.25">
      <c r="C53" t="str">
        <f>'ELC TECH'!H52</f>
        <v>ELCSTGGRDPSH10HC920</v>
      </c>
      <c r="G53" s="12">
        <f>IF('ELC TECH'!I52=0,0,IF(_xlfn.XLOOKUP(C53,'ELC TECH'!H:H,'ELC TECH'!B:B)="Grid",0,1))</f>
        <v>0</v>
      </c>
      <c r="H53" s="12">
        <f>IF('ELC TECH'!I52=0,0,IF(_xlfn.XLOOKUP(C53,'ELC TECH'!H:H,'ELC TECH'!B:B)="Grid",1,0))</f>
        <v>1</v>
      </c>
    </row>
    <row r="54" spans="3:8" x14ac:dyDescent="0.25">
      <c r="C54" t="str">
        <f>'ELC TECH'!H53</f>
        <v>ELCSTGGRDPSH10HC1020</v>
      </c>
      <c r="G54" s="12">
        <f>IF('ELC TECH'!I53=0,0,IF(_xlfn.XLOOKUP(C54,'ELC TECH'!H:H,'ELC TECH'!B:B)="Grid",0,1))</f>
        <v>0</v>
      </c>
      <c r="H54" s="12">
        <f>IF('ELC TECH'!I53=0,0,IF(_xlfn.XLOOKUP(C54,'ELC TECH'!H:H,'ELC TECH'!B:B)="Grid",1,0))</f>
        <v>1</v>
      </c>
    </row>
    <row r="55" spans="3:8" x14ac:dyDescent="0.25">
      <c r="C55" t="str">
        <f>'ELC TECH'!H54</f>
        <v>ELCSTGGRDPSH10HC1120</v>
      </c>
      <c r="G55" s="12">
        <f>IF('ELC TECH'!I54=0,0,IF(_xlfn.XLOOKUP(C55,'ELC TECH'!H:H,'ELC TECH'!B:B)="Grid",0,1))</f>
        <v>0</v>
      </c>
      <c r="H55" s="12">
        <f>IF('ELC TECH'!I54=0,0,IF(_xlfn.XLOOKUP(C55,'ELC TECH'!H:H,'ELC TECH'!B:B)="Grid",1,0))</f>
        <v>1</v>
      </c>
    </row>
    <row r="56" spans="3:8" x14ac:dyDescent="0.25">
      <c r="C56" t="str">
        <f>'ELC TECH'!H55</f>
        <v>ELCSTGGRDPSH10HC1220</v>
      </c>
      <c r="G56" s="12">
        <f>IF('ELC TECH'!I55=0,0,IF(_xlfn.XLOOKUP(C56,'ELC TECH'!H:H,'ELC TECH'!B:B)="Grid",0,1))</f>
        <v>0</v>
      </c>
      <c r="H56" s="12">
        <f>IF('ELC TECH'!I55=0,0,IF(_xlfn.XLOOKUP(C56,'ELC TECH'!H:H,'ELC TECH'!B:B)="Grid",1,0))</f>
        <v>1</v>
      </c>
    </row>
    <row r="57" spans="3:8" x14ac:dyDescent="0.25">
      <c r="C57" t="str">
        <f>'ELC TECH'!H56</f>
        <v>ELCSTGGRDPSH10HC1320</v>
      </c>
      <c r="G57" s="12">
        <f>IF('ELC TECH'!I56=0,0,IF(_xlfn.XLOOKUP(C57,'ELC TECH'!H:H,'ELC TECH'!B:B)="Grid",0,1))</f>
        <v>0</v>
      </c>
      <c r="H57" s="12">
        <f>IF('ELC TECH'!I56=0,0,IF(_xlfn.XLOOKUP(C57,'ELC TECH'!H:H,'ELC TECH'!B:B)="Grid",1,0))</f>
        <v>1</v>
      </c>
    </row>
    <row r="58" spans="3:8" x14ac:dyDescent="0.25">
      <c r="C58" t="str">
        <f>'ELC TECH'!H57</f>
        <v>ELCSTGGRDPSH10HC1420</v>
      </c>
      <c r="G58" s="12">
        <f>IF('ELC TECH'!I57=0,0,IF(_xlfn.XLOOKUP(C58,'ELC TECH'!H:H,'ELC TECH'!B:B)="Grid",0,1))</f>
        <v>0</v>
      </c>
      <c r="H58" s="12">
        <f>IF('ELC TECH'!I57=0,0,IF(_xlfn.XLOOKUP(C58,'ELC TECH'!H:H,'ELC TECH'!B:B)="Grid",1,0))</f>
        <v>1</v>
      </c>
    </row>
    <row r="59" spans="3:8" x14ac:dyDescent="0.25">
      <c r="C59" t="str">
        <f>'ELC TECH'!H58</f>
        <v>ELCSTGGRDPSH10HC1520</v>
      </c>
      <c r="G59" s="12">
        <f>IF('ELC TECH'!I58=0,0,IF(_xlfn.XLOOKUP(C59,'ELC TECH'!H:H,'ELC TECH'!B:B)="Grid",0,1))</f>
        <v>0</v>
      </c>
      <c r="H59" s="12">
        <f>IF('ELC TECH'!I58=0,0,IF(_xlfn.XLOOKUP(C59,'ELC TECH'!H:H,'ELC TECH'!B:B)="Grid",1,0))</f>
        <v>1</v>
      </c>
    </row>
    <row r="60" spans="3:8" x14ac:dyDescent="0.25">
      <c r="C60" t="str">
        <f>'ELC TECH'!H59</f>
        <v>ELCSTGGRDPSH8HC120</v>
      </c>
      <c r="G60" s="12">
        <f>IF('ELC TECH'!I59=0,0,IF(_xlfn.XLOOKUP(C60,'ELC TECH'!H:H,'ELC TECH'!B:B)="Grid",0,1))</f>
        <v>0</v>
      </c>
      <c r="H60" s="12">
        <f>IF('ELC TECH'!I59=0,0,IF(_xlfn.XLOOKUP(C60,'ELC TECH'!H:H,'ELC TECH'!B:B)="Grid",1,0))</f>
        <v>1</v>
      </c>
    </row>
    <row r="61" spans="3:8" x14ac:dyDescent="0.25">
      <c r="C61" t="str">
        <f>'ELC TECH'!H60</f>
        <v>ELCSTGGRDPSH8HC220</v>
      </c>
      <c r="G61" s="12">
        <f>IF('ELC TECH'!I60=0,0,IF(_xlfn.XLOOKUP(C61,'ELC TECH'!H:H,'ELC TECH'!B:B)="Grid",0,1))</f>
        <v>0</v>
      </c>
      <c r="H61" s="12">
        <f>IF('ELC TECH'!I60=0,0,IF(_xlfn.XLOOKUP(C61,'ELC TECH'!H:H,'ELC TECH'!B:B)="Grid",1,0))</f>
        <v>1</v>
      </c>
    </row>
    <row r="62" spans="3:8" x14ac:dyDescent="0.25">
      <c r="C62" t="str">
        <f>'ELC TECH'!H61</f>
        <v>ELCSTGGRDPSH8HC320</v>
      </c>
      <c r="G62" s="12">
        <f>IF('ELC TECH'!I61=0,0,IF(_xlfn.XLOOKUP(C62,'ELC TECH'!H:H,'ELC TECH'!B:B)="Grid",0,1))</f>
        <v>0</v>
      </c>
      <c r="H62" s="12">
        <f>IF('ELC TECH'!I61=0,0,IF(_xlfn.XLOOKUP(C62,'ELC TECH'!H:H,'ELC TECH'!B:B)="Grid",1,0))</f>
        <v>1</v>
      </c>
    </row>
    <row r="63" spans="3:8" x14ac:dyDescent="0.25">
      <c r="C63" t="str">
        <f>'ELC TECH'!H62</f>
        <v>ELCSTGGRDPSH8HC420</v>
      </c>
      <c r="G63" s="12">
        <f>IF('ELC TECH'!I62=0,0,IF(_xlfn.XLOOKUP(C63,'ELC TECH'!H:H,'ELC TECH'!B:B)="Grid",0,1))</f>
        <v>0</v>
      </c>
      <c r="H63" s="12">
        <f>IF('ELC TECH'!I62=0,0,IF(_xlfn.XLOOKUP(C63,'ELC TECH'!H:H,'ELC TECH'!B:B)="Grid",1,0))</f>
        <v>1</v>
      </c>
    </row>
    <row r="64" spans="3:8" x14ac:dyDescent="0.25">
      <c r="C64" t="str">
        <f>'ELC TECH'!H63</f>
        <v>ELCSTGGRDPSH8HC520</v>
      </c>
      <c r="G64" s="12">
        <f>IF('ELC TECH'!I63=0,0,IF(_xlfn.XLOOKUP(C64,'ELC TECH'!H:H,'ELC TECH'!B:B)="Grid",0,1))</f>
        <v>0</v>
      </c>
      <c r="H64" s="12">
        <f>IF('ELC TECH'!I63=0,0,IF(_xlfn.XLOOKUP(C64,'ELC TECH'!H:H,'ELC TECH'!B:B)="Grid",1,0))</f>
        <v>1</v>
      </c>
    </row>
    <row r="65" spans="3:8" x14ac:dyDescent="0.25">
      <c r="C65" t="str">
        <f>'ELC TECH'!H64</f>
        <v>ELCSTGGRDPSH8HC620</v>
      </c>
      <c r="G65" s="12">
        <f>IF('ELC TECH'!I64=0,0,IF(_xlfn.XLOOKUP(C65,'ELC TECH'!H:H,'ELC TECH'!B:B)="Grid",0,1))</f>
        <v>0</v>
      </c>
      <c r="H65" s="12">
        <f>IF('ELC TECH'!I64=0,0,IF(_xlfn.XLOOKUP(C65,'ELC TECH'!H:H,'ELC TECH'!B:B)="Grid",1,0))</f>
        <v>1</v>
      </c>
    </row>
    <row r="66" spans="3:8" x14ac:dyDescent="0.25">
      <c r="C66" t="str">
        <f>'ELC TECH'!H65</f>
        <v>ELCSTGGRDPSH8HC720</v>
      </c>
      <c r="G66" s="12">
        <f>IF('ELC TECH'!I65=0,0,IF(_xlfn.XLOOKUP(C66,'ELC TECH'!H:H,'ELC TECH'!B:B)="Grid",0,1))</f>
        <v>0</v>
      </c>
      <c r="H66" s="12">
        <f>IF('ELC TECH'!I65=0,0,IF(_xlfn.XLOOKUP(C66,'ELC TECH'!H:H,'ELC TECH'!B:B)="Grid",1,0))</f>
        <v>1</v>
      </c>
    </row>
    <row r="67" spans="3:8" x14ac:dyDescent="0.25">
      <c r="C67" t="str">
        <f>'ELC TECH'!H66</f>
        <v>ELCSTGGRDPSH8HC820</v>
      </c>
      <c r="G67" s="12">
        <f>IF('ELC TECH'!I66=0,0,IF(_xlfn.XLOOKUP(C67,'ELC TECH'!H:H,'ELC TECH'!B:B)="Grid",0,1))</f>
        <v>0</v>
      </c>
      <c r="H67" s="12">
        <f>IF('ELC TECH'!I66=0,0,IF(_xlfn.XLOOKUP(C67,'ELC TECH'!H:H,'ELC TECH'!B:B)="Grid",1,0))</f>
        <v>1</v>
      </c>
    </row>
    <row r="68" spans="3:8" x14ac:dyDescent="0.25">
      <c r="C68" t="str">
        <f>'ELC TECH'!H67</f>
        <v>ELCSTGGRDPSH8HC920</v>
      </c>
      <c r="G68" s="12">
        <f>IF('ELC TECH'!I67=0,0,IF(_xlfn.XLOOKUP(C68,'ELC TECH'!H:H,'ELC TECH'!B:B)="Grid",0,1))</f>
        <v>0</v>
      </c>
      <c r="H68" s="12">
        <f>IF('ELC TECH'!I67=0,0,IF(_xlfn.XLOOKUP(C68,'ELC TECH'!H:H,'ELC TECH'!B:B)="Grid",1,0))</f>
        <v>1</v>
      </c>
    </row>
    <row r="69" spans="3:8" x14ac:dyDescent="0.25">
      <c r="C69" t="str">
        <f>'ELC TECH'!H68</f>
        <v>ELCSTGGRDPSH8HC1020</v>
      </c>
      <c r="G69" s="12">
        <f>IF('ELC TECH'!I68=0,0,IF(_xlfn.XLOOKUP(C69,'ELC TECH'!H:H,'ELC TECH'!B:B)="Grid",0,1))</f>
        <v>0</v>
      </c>
      <c r="H69" s="12">
        <f>IF('ELC TECH'!I68=0,0,IF(_xlfn.XLOOKUP(C69,'ELC TECH'!H:H,'ELC TECH'!B:B)="Grid",1,0))</f>
        <v>1</v>
      </c>
    </row>
    <row r="70" spans="3:8" x14ac:dyDescent="0.25">
      <c r="C70" t="str">
        <f>'ELC TECH'!H69</f>
        <v>ELCSTGGRDPSH8HC1120</v>
      </c>
      <c r="G70" s="12">
        <f>IF('ELC TECH'!I69=0,0,IF(_xlfn.XLOOKUP(C70,'ELC TECH'!H:H,'ELC TECH'!B:B)="Grid",0,1))</f>
        <v>0</v>
      </c>
      <c r="H70" s="12">
        <f>IF('ELC TECH'!I69=0,0,IF(_xlfn.XLOOKUP(C70,'ELC TECH'!H:H,'ELC TECH'!B:B)="Grid",1,0))</f>
        <v>1</v>
      </c>
    </row>
    <row r="71" spans="3:8" x14ac:dyDescent="0.25">
      <c r="C71" t="str">
        <f>'ELC TECH'!H70</f>
        <v>ELCSTGGRDPSH8HC1220</v>
      </c>
      <c r="G71" s="12">
        <f>IF('ELC TECH'!I70=0,0,IF(_xlfn.XLOOKUP(C71,'ELC TECH'!H:H,'ELC TECH'!B:B)="Grid",0,1))</f>
        <v>0</v>
      </c>
      <c r="H71" s="12">
        <f>IF('ELC TECH'!I70=0,0,IF(_xlfn.XLOOKUP(C71,'ELC TECH'!H:H,'ELC TECH'!B:B)="Grid",1,0))</f>
        <v>1</v>
      </c>
    </row>
    <row r="72" spans="3:8" x14ac:dyDescent="0.25">
      <c r="C72" t="str">
        <f>'ELC TECH'!H71</f>
        <v>ELCSTGGRDPSH8HC1320</v>
      </c>
      <c r="G72" s="12">
        <f>IF('ELC TECH'!I71=0,0,IF(_xlfn.XLOOKUP(C72,'ELC TECH'!H:H,'ELC TECH'!B:B)="Grid",0,1))</f>
        <v>0</v>
      </c>
      <c r="H72" s="12">
        <f>IF('ELC TECH'!I71=0,0,IF(_xlfn.XLOOKUP(C72,'ELC TECH'!H:H,'ELC TECH'!B:B)="Grid",1,0))</f>
        <v>1</v>
      </c>
    </row>
    <row r="73" spans="3:8" x14ac:dyDescent="0.25">
      <c r="C73" t="str">
        <f>'ELC TECH'!H72</f>
        <v>ELCSTGGRDPSH8HC1420</v>
      </c>
      <c r="G73" s="12">
        <f>IF('ELC TECH'!I72=0,0,IF(_xlfn.XLOOKUP(C73,'ELC TECH'!H:H,'ELC TECH'!B:B)="Grid",0,1))</f>
        <v>0</v>
      </c>
      <c r="H73" s="12">
        <f>IF('ELC TECH'!I72=0,0,IF(_xlfn.XLOOKUP(C73,'ELC TECH'!H:H,'ELC TECH'!B:B)="Grid",1,0))</f>
        <v>1</v>
      </c>
    </row>
    <row r="74" spans="3:8" x14ac:dyDescent="0.25">
      <c r="C74" t="str">
        <f>'ELC TECH'!H73</f>
        <v>ELCSTGGRDPSH8HC1520</v>
      </c>
      <c r="G74" s="12">
        <f>IF('ELC TECH'!I73=0,0,IF(_xlfn.XLOOKUP(C74,'ELC TECH'!H:H,'ELC TECH'!B:B)="Grid",0,1))</f>
        <v>0</v>
      </c>
      <c r="H74" s="12">
        <f>IF('ELC TECH'!I73=0,0,IF(_xlfn.XLOOKUP(C74,'ELC TECH'!H:H,'ELC TECH'!B:B)="Grid",1,0))</f>
        <v>1</v>
      </c>
    </row>
    <row r="75" spans="3:8" x14ac:dyDescent="0.25">
      <c r="C75" t="str">
        <f>'ELC TECH'!H74</f>
        <v>ELCSOLGRDCSPC120</v>
      </c>
      <c r="G75" s="12">
        <f>IF('ELC TECH'!I74=0,0,IF(_xlfn.XLOOKUP(C75,'ELC TECH'!H:H,'ELC TECH'!B:B)="Grid",0,1))</f>
        <v>0</v>
      </c>
      <c r="H75" s="12">
        <f>IF('ELC TECH'!I74=0,0,IF(_xlfn.XLOOKUP(C75,'ELC TECH'!H:H,'ELC TECH'!B:B)="Grid",1,0))</f>
        <v>1</v>
      </c>
    </row>
    <row r="76" spans="3:8" x14ac:dyDescent="0.25">
      <c r="C76" t="str">
        <f>'ELC TECH'!H75</f>
        <v>ELCSOLGRDCSPC220</v>
      </c>
      <c r="G76" s="12">
        <f>IF('ELC TECH'!I75=0,0,IF(_xlfn.XLOOKUP(C76,'ELC TECH'!H:H,'ELC TECH'!B:B)="Grid",0,1))</f>
        <v>0</v>
      </c>
      <c r="H76" s="12">
        <f>IF('ELC TECH'!I75=0,0,IF(_xlfn.XLOOKUP(C76,'ELC TECH'!H:H,'ELC TECH'!B:B)="Grid",1,0))</f>
        <v>1</v>
      </c>
    </row>
    <row r="77" spans="3:8" x14ac:dyDescent="0.25">
      <c r="C77" t="str">
        <f>'ELC TECH'!H76</f>
        <v>ELCSOLGRDCSPC320</v>
      </c>
      <c r="G77" s="12">
        <f>IF('ELC TECH'!I76=0,0,IF(_xlfn.XLOOKUP(C77,'ELC TECH'!H:H,'ELC TECH'!B:B)="Grid",0,1))</f>
        <v>0</v>
      </c>
      <c r="H77" s="12">
        <f>IF('ELC TECH'!I76=0,0,IF(_xlfn.XLOOKUP(C77,'ELC TECH'!H:H,'ELC TECH'!B:B)="Grid",1,0))</f>
        <v>1</v>
      </c>
    </row>
    <row r="78" spans="3:8" x14ac:dyDescent="0.25">
      <c r="C78" t="str">
        <f>'ELC TECH'!H77</f>
        <v>ELCWNDGRDWONC120</v>
      </c>
      <c r="G78" s="12">
        <f>IF('ELC TECH'!I77=0,0,IF(_xlfn.XLOOKUP(C78,'ELC TECH'!H:H,'ELC TECH'!B:B)="Grid",0,1))</f>
        <v>0</v>
      </c>
      <c r="H78" s="12">
        <f>IF('ELC TECH'!I77=0,0,IF(_xlfn.XLOOKUP(C78,'ELC TECH'!H:H,'ELC TECH'!B:B)="Grid",1,0))</f>
        <v>1</v>
      </c>
    </row>
    <row r="79" spans="3:8" x14ac:dyDescent="0.25">
      <c r="C79" t="str">
        <f>'ELC TECH'!H78</f>
        <v>ELCWNDGRDWONC220</v>
      </c>
      <c r="G79" s="12">
        <f>IF('ELC TECH'!I78=0,0,IF(_xlfn.XLOOKUP(C79,'ELC TECH'!H:H,'ELC TECH'!B:B)="Grid",0,1))</f>
        <v>0</v>
      </c>
      <c r="H79" s="12">
        <f>IF('ELC TECH'!I78=0,0,IF(_xlfn.XLOOKUP(C79,'ELC TECH'!H:H,'ELC TECH'!B:B)="Grid",1,0))</f>
        <v>1</v>
      </c>
    </row>
    <row r="80" spans="3:8" x14ac:dyDescent="0.25">
      <c r="C80" t="str">
        <f>'ELC TECH'!H79</f>
        <v>ELCWNDGRDWONC320</v>
      </c>
      <c r="G80" s="12">
        <f>IF('ELC TECH'!I79=0,0,IF(_xlfn.XLOOKUP(C80,'ELC TECH'!H:H,'ELC TECH'!B:B)="Grid",0,1))</f>
        <v>0</v>
      </c>
      <c r="H80" s="12">
        <f>IF('ELC TECH'!I79=0,0,IF(_xlfn.XLOOKUP(C80,'ELC TECH'!H:H,'ELC TECH'!B:B)="Grid",1,0))</f>
        <v>1</v>
      </c>
    </row>
    <row r="81" spans="3:8" x14ac:dyDescent="0.25">
      <c r="C81" t="str">
        <f>'ELC TECH'!H80</f>
        <v>ELCWNDGRDWONC420</v>
      </c>
      <c r="G81" s="12">
        <f>IF('ELC TECH'!I80=0,0,IF(_xlfn.XLOOKUP(C81,'ELC TECH'!H:H,'ELC TECH'!B:B)="Grid",0,1))</f>
        <v>0</v>
      </c>
      <c r="H81" s="12">
        <f>IF('ELC TECH'!I80=0,0,IF(_xlfn.XLOOKUP(C81,'ELC TECH'!H:H,'ELC TECH'!B:B)="Grid",1,0))</f>
        <v>1</v>
      </c>
    </row>
    <row r="82" spans="3:8" x14ac:dyDescent="0.25">
      <c r="C82" t="str">
        <f>'ELC TECH'!H81</f>
        <v>ELCWNDGRDWONC520</v>
      </c>
      <c r="G82" s="12">
        <f>IF('ELC TECH'!I81=0,0,IF(_xlfn.XLOOKUP(C82,'ELC TECH'!H:H,'ELC TECH'!B:B)="Grid",0,1))</f>
        <v>0</v>
      </c>
      <c r="H82" s="12">
        <f>IF('ELC TECH'!I81=0,0,IF(_xlfn.XLOOKUP(C82,'ELC TECH'!H:H,'ELC TECH'!B:B)="Grid",1,0))</f>
        <v>1</v>
      </c>
    </row>
    <row r="83" spans="3:8" x14ac:dyDescent="0.25">
      <c r="C83" t="str">
        <f>'ELC TECH'!H82</f>
        <v>ELCWNDGRDWONC620</v>
      </c>
      <c r="G83" s="12">
        <f>IF('ELC TECH'!I82=0,0,IF(_xlfn.XLOOKUP(C83,'ELC TECH'!H:H,'ELC TECH'!B:B)="Grid",0,1))</f>
        <v>0</v>
      </c>
      <c r="H83" s="12">
        <f>IF('ELC TECH'!I82=0,0,IF(_xlfn.XLOOKUP(C83,'ELC TECH'!H:H,'ELC TECH'!B:B)="Grid",1,0))</f>
        <v>1</v>
      </c>
    </row>
    <row r="84" spans="3:8" x14ac:dyDescent="0.25">
      <c r="C84" t="str">
        <f>'ELC TECH'!H83</f>
        <v>ELCWNDGRDWONC720</v>
      </c>
      <c r="G84" s="12">
        <f>IF('ELC TECH'!I83=0,0,IF(_xlfn.XLOOKUP(C84,'ELC TECH'!H:H,'ELC TECH'!B:B)="Grid",0,1))</f>
        <v>0</v>
      </c>
      <c r="H84" s="12">
        <f>IF('ELC TECH'!I83=0,0,IF(_xlfn.XLOOKUP(C84,'ELC TECH'!H:H,'ELC TECH'!B:B)="Grid",1,0))</f>
        <v>1</v>
      </c>
    </row>
    <row r="85" spans="3:8" x14ac:dyDescent="0.25">
      <c r="C85" t="str">
        <f>'ELC TECH'!H84</f>
        <v>ELCWNDGRDWONC820</v>
      </c>
      <c r="G85" s="12">
        <f>IF('ELC TECH'!I84=0,0,IF(_xlfn.XLOOKUP(C85,'ELC TECH'!H:H,'ELC TECH'!B:B)="Grid",0,1))</f>
        <v>0</v>
      </c>
      <c r="H85" s="12">
        <f>IF('ELC TECH'!I84=0,0,IF(_xlfn.XLOOKUP(C85,'ELC TECH'!H:H,'ELC TECH'!B:B)="Grid",1,0))</f>
        <v>1</v>
      </c>
    </row>
    <row r="86" spans="3:8" x14ac:dyDescent="0.25">
      <c r="C86" t="str">
        <f>'ELC TECH'!H85</f>
        <v>ELCWNDGRDWONC920</v>
      </c>
      <c r="G86" s="12">
        <f>IF('ELC TECH'!I85=0,0,IF(_xlfn.XLOOKUP(C86,'ELC TECH'!H:H,'ELC TECH'!B:B)="Grid",0,1))</f>
        <v>0</v>
      </c>
      <c r="H86" s="12">
        <f>IF('ELC TECH'!I85=0,0,IF(_xlfn.XLOOKUP(C86,'ELC TECH'!H:H,'ELC TECH'!B:B)="Grid",1,0))</f>
        <v>1</v>
      </c>
    </row>
    <row r="87" spans="3:8" x14ac:dyDescent="0.25">
      <c r="C87" t="str">
        <f>'ELC TECH'!H86</f>
        <v>ELCWNDGRDWONC1020</v>
      </c>
      <c r="G87" s="12">
        <f>IF('ELC TECH'!I86=0,0,IF(_xlfn.XLOOKUP(C87,'ELC TECH'!H:H,'ELC TECH'!B:B)="Grid",0,1))</f>
        <v>0</v>
      </c>
      <c r="H87" s="12">
        <f>IF('ELC TECH'!I86=0,0,IF(_xlfn.XLOOKUP(C87,'ELC TECH'!H:H,'ELC TECH'!B:B)="Grid",1,0))</f>
        <v>1</v>
      </c>
    </row>
    <row r="88" spans="3:8" x14ac:dyDescent="0.25">
      <c r="C88" t="str">
        <f>'ELC TECH'!H87</f>
        <v>ELCWNDGRDWOFC120</v>
      </c>
      <c r="G88" s="12">
        <f>IF('ELC TECH'!I87=0,0,IF(_xlfn.XLOOKUP(C88,'ELC TECH'!H:H,'ELC TECH'!B:B)="Grid",0,1))</f>
        <v>0</v>
      </c>
      <c r="H88" s="12">
        <f>IF('ELC TECH'!I87=0,0,IF(_xlfn.XLOOKUP(C88,'ELC TECH'!H:H,'ELC TECH'!B:B)="Grid",1,0))</f>
        <v>1</v>
      </c>
    </row>
    <row r="89" spans="3:8" x14ac:dyDescent="0.25">
      <c r="C89" t="str">
        <f>'ELC TECH'!H88</f>
        <v>ELCWNDGRDWOFC220</v>
      </c>
      <c r="G89" s="12">
        <f>IF('ELC TECH'!I88=0,0,IF(_xlfn.XLOOKUP(C89,'ELC TECH'!H:H,'ELC TECH'!B:B)="Grid",0,1))</f>
        <v>0</v>
      </c>
      <c r="H89" s="12">
        <f>IF('ELC TECH'!I88=0,0,IF(_xlfn.XLOOKUP(C89,'ELC TECH'!H:H,'ELC TECH'!B:B)="Grid",1,0))</f>
        <v>1</v>
      </c>
    </row>
    <row r="90" spans="3:8" x14ac:dyDescent="0.25">
      <c r="C90" t="str">
        <f>'ELC TECH'!H89</f>
        <v>ELCWNDGRDWOFC320</v>
      </c>
      <c r="G90" s="12">
        <f>IF('ELC TECH'!I89=0,0,IF(_xlfn.XLOOKUP(C90,'ELC TECH'!H:H,'ELC TECH'!B:B)="Grid",0,1))</f>
        <v>0</v>
      </c>
      <c r="H90" s="12">
        <f>IF('ELC TECH'!I89=0,0,IF(_xlfn.XLOOKUP(C90,'ELC TECH'!H:H,'ELC TECH'!B:B)="Grid",1,0))</f>
        <v>1</v>
      </c>
    </row>
    <row r="91" spans="3:8" x14ac:dyDescent="0.25">
      <c r="C91" t="str">
        <f>'ELC TECH'!H90</f>
        <v>ELCWNDGRDWOFC420</v>
      </c>
      <c r="G91" s="12">
        <f>IF('ELC TECH'!I90=0,0,IF(_xlfn.XLOOKUP(C91,'ELC TECH'!H:H,'ELC TECH'!B:B)="Grid",0,1))</f>
        <v>0</v>
      </c>
      <c r="H91" s="12">
        <f>IF('ELC TECH'!I90=0,0,IF(_xlfn.XLOOKUP(C91,'ELC TECH'!H:H,'ELC TECH'!B:B)="Grid",1,0))</f>
        <v>1</v>
      </c>
    </row>
    <row r="92" spans="3:8" x14ac:dyDescent="0.25">
      <c r="C92" t="str">
        <f>'ELC TECH'!H91</f>
        <v>ELCWNDGRDWOFC520</v>
      </c>
      <c r="G92" s="12">
        <f>IF('ELC TECH'!I91=0,0,IF(_xlfn.XLOOKUP(C92,'ELC TECH'!H:H,'ELC TECH'!B:B)="Grid",0,1))</f>
        <v>0</v>
      </c>
      <c r="H92" s="12">
        <f>IF('ELC TECH'!I91=0,0,IF(_xlfn.XLOOKUP(C92,'ELC TECH'!H:H,'ELC TECH'!B:B)="Grid",1,0))</f>
        <v>1</v>
      </c>
    </row>
    <row r="93" spans="3:8" x14ac:dyDescent="0.25">
      <c r="C93" t="str">
        <f>'ELC TECH'!H92</f>
        <v>ELCWNDGRDWOFC620</v>
      </c>
      <c r="G93" s="12">
        <f>IF('ELC TECH'!I92=0,0,IF(_xlfn.XLOOKUP(C93,'ELC TECH'!H:H,'ELC TECH'!B:B)="Grid",0,1))</f>
        <v>0</v>
      </c>
      <c r="H93" s="12">
        <f>IF('ELC TECH'!I92=0,0,IF(_xlfn.XLOOKUP(C93,'ELC TECH'!H:H,'ELC TECH'!B:B)="Grid",1,0))</f>
        <v>1</v>
      </c>
    </row>
    <row r="94" spans="3:8" x14ac:dyDescent="0.25">
      <c r="C94" t="str">
        <f>'ELC TECH'!H93</f>
        <v>ELCWNDGRDWOFC720</v>
      </c>
      <c r="G94" s="12">
        <f>IF('ELC TECH'!I93=0,0,IF(_xlfn.XLOOKUP(C94,'ELC TECH'!H:H,'ELC TECH'!B:B)="Grid",0,1))</f>
        <v>0</v>
      </c>
      <c r="H94" s="12">
        <f>IF('ELC TECH'!I93=0,0,IF(_xlfn.XLOOKUP(C94,'ELC TECH'!H:H,'ELC TECH'!B:B)="Grid",1,0))</f>
        <v>1</v>
      </c>
    </row>
    <row r="95" spans="3:8" x14ac:dyDescent="0.25">
      <c r="C95" t="str">
        <f>'ELC TECH'!H94</f>
        <v>ELCWNDGRDWOFC820</v>
      </c>
      <c r="G95" s="12">
        <f>IF('ELC TECH'!I94=0,0,IF(_xlfn.XLOOKUP(C95,'ELC TECH'!H:H,'ELC TECH'!B:B)="Grid",0,1))</f>
        <v>0</v>
      </c>
      <c r="H95" s="12">
        <f>IF('ELC TECH'!I94=0,0,IF(_xlfn.XLOOKUP(C95,'ELC TECH'!H:H,'ELC TECH'!B:B)="Grid",1,0))</f>
        <v>1</v>
      </c>
    </row>
    <row r="96" spans="3:8" x14ac:dyDescent="0.25">
      <c r="C96" t="str">
        <f>'ELC TECH'!H95</f>
        <v>ELCWNDGRDWOFC920</v>
      </c>
      <c r="G96" s="12">
        <f>IF('ELC TECH'!I95=0,0,IF(_xlfn.XLOOKUP(C96,'ELC TECH'!H:H,'ELC TECH'!B:B)="Grid",0,1))</f>
        <v>0</v>
      </c>
      <c r="H96" s="12">
        <f>IF('ELC TECH'!I95=0,0,IF(_xlfn.XLOOKUP(C96,'ELC TECH'!H:H,'ELC TECH'!B:B)="Grid",1,0))</f>
        <v>1</v>
      </c>
    </row>
    <row r="97" spans="3:8" x14ac:dyDescent="0.25">
      <c r="C97" t="str">
        <f>'ELC TECH'!H96</f>
        <v>ELCWNDGRDWOFC1020</v>
      </c>
      <c r="G97" s="12">
        <f>IF('ELC TECH'!I96=0,0,IF(_xlfn.XLOOKUP(C97,'ELC TECH'!H:H,'ELC TECH'!B:B)="Grid",0,1))</f>
        <v>0</v>
      </c>
      <c r="H97" s="12">
        <f>IF('ELC TECH'!I96=0,0,IF(_xlfn.XLOOKUP(C97,'ELC TECH'!H:H,'ELC TECH'!B:B)="Grid",1,0))</f>
        <v>1</v>
      </c>
    </row>
    <row r="98" spans="3:8" x14ac:dyDescent="0.25">
      <c r="C98" t="str">
        <f>'ELC TECH'!H97</f>
        <v>ELCWNDGRDWOFC1120</v>
      </c>
      <c r="G98" s="12">
        <f>IF('ELC TECH'!I97=0,0,IF(_xlfn.XLOOKUP(C98,'ELC TECH'!H:H,'ELC TECH'!B:B)="Grid",0,1))</f>
        <v>0</v>
      </c>
      <c r="H98" s="12">
        <f>IF('ELC TECH'!I97=0,0,IF(_xlfn.XLOOKUP(C98,'ELC TECH'!H:H,'ELC TECH'!B:B)="Grid",1,0))</f>
        <v>1</v>
      </c>
    </row>
    <row r="99" spans="3:8" x14ac:dyDescent="0.25">
      <c r="C99" t="str">
        <f>'ELC TECH'!H98</f>
        <v>ELCWNDGRDWOFC1220</v>
      </c>
      <c r="G99" s="12">
        <f>IF('ELC TECH'!I98=0,0,IF(_xlfn.XLOOKUP(C99,'ELC TECH'!H:H,'ELC TECH'!B:B)="Grid",0,1))</f>
        <v>0</v>
      </c>
      <c r="H99" s="12">
        <f>IF('ELC TECH'!I98=0,0,IF(_xlfn.XLOOKUP(C99,'ELC TECH'!H:H,'ELC TECH'!B:B)="Grid",1,0))</f>
        <v>1</v>
      </c>
    </row>
    <row r="100" spans="3:8" x14ac:dyDescent="0.25">
      <c r="C100" t="str">
        <f>'ELC TECH'!H99</f>
        <v>ELCWNDGRDWOFC1320</v>
      </c>
      <c r="G100" s="12">
        <f>IF('ELC TECH'!I99=0,0,IF(_xlfn.XLOOKUP(C100,'ELC TECH'!H:H,'ELC TECH'!B:B)="Grid",0,1))</f>
        <v>0</v>
      </c>
      <c r="H100" s="12">
        <f>IF('ELC TECH'!I99=0,0,IF(_xlfn.XLOOKUP(C100,'ELC TECH'!H:H,'ELC TECH'!B:B)="Grid",1,0))</f>
        <v>1</v>
      </c>
    </row>
    <row r="101" spans="3:8" x14ac:dyDescent="0.25">
      <c r="C101" t="str">
        <f>'ELC TECH'!H100</f>
        <v>ELCWNDGRDWOFC1420</v>
      </c>
      <c r="G101" s="12">
        <f>IF('ELC TECH'!I100=0,0,IF(_xlfn.XLOOKUP(C101,'ELC TECH'!H:H,'ELC TECH'!B:B)="Grid",0,1))</f>
        <v>0</v>
      </c>
      <c r="H101" s="12">
        <f>IF('ELC TECH'!I100=0,0,IF(_xlfn.XLOOKUP(C101,'ELC TECH'!H:H,'ELC TECH'!B:B)="Grid",1,0))</f>
        <v>1</v>
      </c>
    </row>
    <row r="102" spans="3:8" x14ac:dyDescent="0.25">
      <c r="C102" t="str">
        <f>'ELC TECH'!H101</f>
        <v>ELCSOLGRDUPVC120</v>
      </c>
      <c r="G102" s="12">
        <f>IF('ELC TECH'!I101=0,0,IF(_xlfn.XLOOKUP(C102,'ELC TECH'!H:H,'ELC TECH'!B:B)="Grid",0,1))</f>
        <v>0</v>
      </c>
      <c r="H102" s="12">
        <f>IF('ELC TECH'!I101=0,0,IF(_xlfn.XLOOKUP(C102,'ELC TECH'!H:H,'ELC TECH'!B:B)="Grid",1,0))</f>
        <v>1</v>
      </c>
    </row>
    <row r="103" spans="3:8" x14ac:dyDescent="0.25">
      <c r="C103" t="str">
        <f>'ELC TECH'!H102</f>
        <v>ELCSOLGRDUPVC220</v>
      </c>
      <c r="G103" s="12">
        <f>IF('ELC TECH'!I102=0,0,IF(_xlfn.XLOOKUP(C103,'ELC TECH'!H:H,'ELC TECH'!B:B)="Grid",0,1))</f>
        <v>0</v>
      </c>
      <c r="H103" s="12">
        <f>IF('ELC TECH'!I102=0,0,IF(_xlfn.XLOOKUP(C103,'ELC TECH'!H:H,'ELC TECH'!B:B)="Grid",1,0))</f>
        <v>1</v>
      </c>
    </row>
    <row r="104" spans="3:8" x14ac:dyDescent="0.25">
      <c r="C104" t="str">
        <f>'ELC TECH'!H103</f>
        <v>ELCSOLGRDUPVC320</v>
      </c>
      <c r="G104" s="12">
        <f>IF('ELC TECH'!I103=0,0,IF(_xlfn.XLOOKUP(C104,'ELC TECH'!H:H,'ELC TECH'!B:B)="Grid",0,1))</f>
        <v>0</v>
      </c>
      <c r="H104" s="12">
        <f>IF('ELC TECH'!I103=0,0,IF(_xlfn.XLOOKUP(C104,'ELC TECH'!H:H,'ELC TECH'!B:B)="Grid",1,0))</f>
        <v>1</v>
      </c>
    </row>
    <row r="105" spans="3:8" x14ac:dyDescent="0.25">
      <c r="C105" t="str">
        <f>'ELC TECH'!H104</f>
        <v>ELCSOLGRDUPVC420</v>
      </c>
      <c r="G105" s="12">
        <f>IF('ELC TECH'!I104=0,0,IF(_xlfn.XLOOKUP(C105,'ELC TECH'!H:H,'ELC TECH'!B:B)="Grid",0,1))</f>
        <v>0</v>
      </c>
      <c r="H105" s="12">
        <f>IF('ELC TECH'!I104=0,0,IF(_xlfn.XLOOKUP(C105,'ELC TECH'!H:H,'ELC TECH'!B:B)="Grid",1,0))</f>
        <v>1</v>
      </c>
    </row>
    <row r="106" spans="3:8" x14ac:dyDescent="0.25">
      <c r="C106" t="str">
        <f>'ELC TECH'!H105</f>
        <v>ELCSOLGRDUPVC520</v>
      </c>
      <c r="G106" s="12">
        <f>IF('ELC TECH'!I105=0,0,IF(_xlfn.XLOOKUP(C106,'ELC TECH'!H:H,'ELC TECH'!B:B)="Grid",0,1))</f>
        <v>0</v>
      </c>
      <c r="H106" s="12">
        <f>IF('ELC TECH'!I105=0,0,IF(_xlfn.XLOOKUP(C106,'ELC TECH'!H:H,'ELC TECH'!B:B)="Grid",1,0))</f>
        <v>1</v>
      </c>
    </row>
    <row r="107" spans="3:8" x14ac:dyDescent="0.25">
      <c r="C107" t="str">
        <f>'ELC TECH'!H106</f>
        <v>ELCGEOGRDDEGSB20</v>
      </c>
      <c r="G107" s="12">
        <f>IF('ELC TECH'!I106=0,0,IF(_xlfn.XLOOKUP(C107,'ELC TECH'!H:H,'ELC TECH'!B:B)="Grid",0,1))</f>
        <v>0</v>
      </c>
      <c r="H107" s="12">
        <f>IF('ELC TECH'!I106=0,0,IF(_xlfn.XLOOKUP(C107,'ELC TECH'!H:H,'ELC TECH'!B:B)="Grid",1,0))</f>
        <v>1</v>
      </c>
    </row>
    <row r="108" spans="3:8" x14ac:dyDescent="0.25">
      <c r="C108" t="str">
        <f>'ELC TECH'!H107</f>
        <v>ELCGEOGRDDEGSF20</v>
      </c>
      <c r="G108" s="12">
        <f>IF('ELC TECH'!I107=0,0,IF(_xlfn.XLOOKUP(C108,'ELC TECH'!H:H,'ELC TECH'!B:B)="Grid",0,1))</f>
        <v>0</v>
      </c>
      <c r="H108" s="12">
        <f>IF('ELC TECH'!I107=0,0,IF(_xlfn.XLOOKUP(C108,'ELC TECH'!H:H,'ELC TECH'!B:B)="Grid",1,0))</f>
        <v>1</v>
      </c>
    </row>
    <row r="109" spans="3:8" x14ac:dyDescent="0.25">
      <c r="C109" t="str">
        <f>'ELC TECH'!H108</f>
        <v>ELCGEOGRDHYDB20</v>
      </c>
      <c r="G109" s="12">
        <f>IF('ELC TECH'!I108=0,0,IF(_xlfn.XLOOKUP(C109,'ELC TECH'!H:H,'ELC TECH'!B:B)="Grid",0,1))</f>
        <v>0</v>
      </c>
      <c r="H109" s="12">
        <f>IF('ELC TECH'!I108=0,0,IF(_xlfn.XLOOKUP(C109,'ELC TECH'!H:H,'ELC TECH'!B:B)="Grid",1,0))</f>
        <v>1</v>
      </c>
    </row>
    <row r="110" spans="3:8" x14ac:dyDescent="0.25">
      <c r="C110" t="str">
        <f>'ELC TECH'!H109</f>
        <v>ELCGEOGRDHYDF20</v>
      </c>
      <c r="G110" s="12">
        <f>IF('ELC TECH'!I109=0,0,IF(_xlfn.XLOOKUP(C110,'ELC TECH'!H:H,'ELC TECH'!B:B)="Grid",0,1))</f>
        <v>0</v>
      </c>
      <c r="H110" s="12">
        <f>IF('ELC TECH'!I109=0,0,IF(_xlfn.XLOOKUP(C110,'ELC TECH'!H:H,'ELC TECH'!B:B)="Grid",1,0))</f>
        <v>1</v>
      </c>
    </row>
    <row r="111" spans="3:8" x14ac:dyDescent="0.25">
      <c r="C111" t="str">
        <f>'ELC TECH'!H110</f>
        <v>ELCGEOGRDNEGSB20</v>
      </c>
      <c r="G111" s="12">
        <f>IF('ELC TECH'!I110=0,0,IF(_xlfn.XLOOKUP(C111,'ELC TECH'!H:H,'ELC TECH'!B:B)="Grid",0,1))</f>
        <v>0</v>
      </c>
      <c r="H111" s="12">
        <f>IF('ELC TECH'!I110=0,0,IF(_xlfn.XLOOKUP(C111,'ELC TECH'!H:H,'ELC TECH'!B:B)="Grid",1,0))</f>
        <v>1</v>
      </c>
    </row>
    <row r="112" spans="3:8" x14ac:dyDescent="0.25">
      <c r="C112" t="str">
        <f>'ELC TECH'!H111</f>
        <v>ELCGEOGRDNEGSF20</v>
      </c>
      <c r="G112" s="12">
        <f>IF('ELC TECH'!I111=0,0,IF(_xlfn.XLOOKUP(C112,'ELC TECH'!H:H,'ELC TECH'!B:B)="Grid",0,1))</f>
        <v>0</v>
      </c>
      <c r="H112" s="12">
        <f>IF('ELC TECH'!I111=0,0,IF(_xlfn.XLOOKUP(C112,'ELC TECH'!H:H,'ELC TECH'!B:B)="Grid",1,0))</f>
        <v>1</v>
      </c>
    </row>
    <row r="113" spans="3:8" x14ac:dyDescent="0.25">
      <c r="C113" t="str">
        <f>'ELC TECH'!H112</f>
        <v>ELCURNGRDNUCPP20</v>
      </c>
      <c r="G113" s="12">
        <f>IF('ELC TECH'!I112=0,0,IF(_xlfn.XLOOKUP(C113,'ELC TECH'!H:H,'ELC TECH'!B:B)="Grid",0,1))</f>
        <v>0</v>
      </c>
      <c r="H113" s="12">
        <f>IF('ELC TECH'!I112=0,0,IF(_xlfn.XLOOKUP(C113,'ELC TECH'!H:H,'ELC TECH'!B:B)="Grid",1,0))</f>
        <v>1</v>
      </c>
    </row>
    <row r="114" spans="3:8" x14ac:dyDescent="0.25">
      <c r="C114" t="str">
        <f>'ELC TECH'!H113</f>
        <v>ELCURNGRDSMRPP20</v>
      </c>
      <c r="G114" s="12">
        <f>IF('ELC TECH'!I113=0,0,IF(_xlfn.XLOOKUP(C114,'ELC TECH'!H:H,'ELC TECH'!B:B)="Grid",0,1))</f>
        <v>0</v>
      </c>
      <c r="H114" s="12">
        <f>IF('ELC TECH'!I113=0,0,IF(_xlfn.XLOOKUP(C114,'ELC TECH'!H:H,'ELC TECH'!B:B)="Grid",1,0))</f>
        <v>1</v>
      </c>
    </row>
    <row r="115" spans="3:8" x14ac:dyDescent="0.25">
      <c r="C115" t="str">
        <f>'ELC TECH'!H114</f>
        <v>ELCBIOGRDBIODPP20</v>
      </c>
      <c r="G115" s="12">
        <f>IF('ELC TECH'!I114=0,0,IF(_xlfn.XLOOKUP(C115,'ELC TECH'!H:H,'ELC TECH'!B:B)="Grid",0,1))</f>
        <v>0</v>
      </c>
      <c r="H115" s="12">
        <f>IF('ELC TECH'!I114=0,0,IF(_xlfn.XLOOKUP(C115,'ELC TECH'!H:H,'ELC TECH'!B:B)="Grid",1,0))</f>
        <v>1</v>
      </c>
    </row>
    <row r="116" spans="3:8" x14ac:dyDescent="0.25">
      <c r="C116" t="str">
        <f>'ELC TECH'!H115</f>
        <v>ELCSTGGRDUBES10H20</v>
      </c>
      <c r="G116" s="12">
        <f>IF('ELC TECH'!I115=0,0,IF(_xlfn.XLOOKUP(C116,'ELC TECH'!H:H,'ELC TECH'!B:B)="Grid",0,1))</f>
        <v>0</v>
      </c>
      <c r="H116" s="12">
        <f>IF('ELC TECH'!I115=0,0,IF(_xlfn.XLOOKUP(C116,'ELC TECH'!H:H,'ELC TECH'!B:B)="Grid",1,0))</f>
        <v>1</v>
      </c>
    </row>
    <row r="117" spans="3:8" x14ac:dyDescent="0.25">
      <c r="C117" t="str">
        <f>'ELC TECH'!H116</f>
        <v>ELCSTGGRDUBES2H20</v>
      </c>
      <c r="G117" s="12">
        <f>IF('ELC TECH'!I116=0,0,IF(_xlfn.XLOOKUP(C117,'ELC TECH'!H:H,'ELC TECH'!B:B)="Grid",0,1))</f>
        <v>0</v>
      </c>
      <c r="H117" s="12">
        <f>IF('ELC TECH'!I116=0,0,IF(_xlfn.XLOOKUP(C117,'ELC TECH'!H:H,'ELC TECH'!B:B)="Grid",1,0))</f>
        <v>1</v>
      </c>
    </row>
    <row r="118" spans="3:8" x14ac:dyDescent="0.25">
      <c r="C118" t="str">
        <f>'ELC TECH'!H117</f>
        <v>ELCSTGGRDUBES4H20</v>
      </c>
      <c r="G118" s="12">
        <f>IF('ELC TECH'!I117=0,0,IF(_xlfn.XLOOKUP(C118,'ELC TECH'!H:H,'ELC TECH'!B:B)="Grid",0,1))</f>
        <v>0</v>
      </c>
      <c r="H118" s="12">
        <f>IF('ELC TECH'!I117=0,0,IF(_xlfn.XLOOKUP(C118,'ELC TECH'!H:H,'ELC TECH'!B:B)="Grid",1,0))</f>
        <v>1</v>
      </c>
    </row>
    <row r="119" spans="3:8" x14ac:dyDescent="0.25">
      <c r="C119" t="str">
        <f>'ELC TECH'!H118</f>
        <v>ELCSTGGRDUBES6H20</v>
      </c>
      <c r="G119" s="12">
        <f>IF('ELC TECH'!I118=0,0,IF(_xlfn.XLOOKUP(C119,'ELC TECH'!H:H,'ELC TECH'!B:B)="Grid",0,1))</f>
        <v>0</v>
      </c>
      <c r="H119" s="12">
        <f>IF('ELC TECH'!I118=0,0,IF(_xlfn.XLOOKUP(C119,'ELC TECH'!H:H,'ELC TECH'!B:B)="Grid",1,0))</f>
        <v>1</v>
      </c>
    </row>
    <row r="120" spans="3:8" x14ac:dyDescent="0.25">
      <c r="C120" t="str">
        <f>'ELC TECH'!H119</f>
        <v>ELCSTGGRDUBES8H20</v>
      </c>
      <c r="G120" s="12">
        <f>IF('ELC TECH'!I119=0,0,IF(_xlfn.XLOOKUP(C120,'ELC TECH'!H:H,'ELC TECH'!B:B)="Grid",0,1))</f>
        <v>0</v>
      </c>
      <c r="H120" s="12">
        <f>IF('ELC TECH'!I119=0,0,IF(_xlfn.XLOOKUP(C120,'ELC TECH'!H:H,'ELC TECH'!B:B)="Grid",1,0))</f>
        <v>1</v>
      </c>
    </row>
    <row r="121" spans="3:8" x14ac:dyDescent="0.25">
      <c r="C121" t="str">
        <f>'ELC TECH'!H120</f>
        <v>ELCCOAGRD95CCS20</v>
      </c>
      <c r="G121" s="12">
        <f>IF('ELC TECH'!I120=0,0,IF(_xlfn.XLOOKUP(C121,'ELC TECH'!H:H,'ELC TECH'!B:B)="Grid",0,1))</f>
        <v>0</v>
      </c>
      <c r="H121" s="12">
        <f>IF('ELC TECH'!I120=0,0,IF(_xlfn.XLOOKUP(C121,'ELC TECH'!H:H,'ELC TECH'!B:B)="Grid",1,0))</f>
        <v>1</v>
      </c>
    </row>
    <row r="122" spans="3:8" x14ac:dyDescent="0.25">
      <c r="C122" t="str">
        <f>'ELC TECH'!H121</f>
        <v>ELCCOAGRD99CCS20</v>
      </c>
      <c r="G122" s="12">
        <f>IF('ELC TECH'!I121=0,0,IF(_xlfn.XLOOKUP(C122,'ELC TECH'!H:H,'ELC TECH'!B:B)="Grid",0,1))</f>
        <v>0</v>
      </c>
      <c r="H122" s="12">
        <f>IF('ELC TECH'!I121=0,0,IF(_xlfn.XLOOKUP(C122,'ELC TECH'!H:H,'ELC TECH'!B:B)="Grid",1,0))</f>
        <v>1</v>
      </c>
    </row>
    <row r="123" spans="3:8" x14ac:dyDescent="0.25">
      <c r="C123" t="str">
        <f>'ELC TECH'!H122</f>
        <v>ELCCOAGRDCONV20</v>
      </c>
      <c r="G123" s="12">
        <f>IF('ELC TECH'!I122=0,0,IF(_xlfn.XLOOKUP(C123,'ELC TECH'!H:H,'ELC TECH'!B:B)="Grid",0,1))</f>
        <v>0</v>
      </c>
      <c r="H123" s="12">
        <f>IF('ELC TECH'!I122=0,0,IF(_xlfn.XLOOKUP(C123,'ELC TECH'!H:H,'ELC TECH'!B:B)="Grid",1,0))</f>
        <v>1</v>
      </c>
    </row>
    <row r="124" spans="3:8" x14ac:dyDescent="0.25">
      <c r="C124" t="str">
        <f>'ELC TECH'!H123</f>
        <v>ELCCOAGRDIGCC20</v>
      </c>
      <c r="G124" s="12">
        <f>IF('ELC TECH'!I123=0,0,IF(_xlfn.XLOOKUP(C124,'ELC TECH'!H:H,'ELC TECH'!B:B)="Grid",0,1))</f>
        <v>0</v>
      </c>
      <c r="H124" s="12">
        <f>IF('ELC TECH'!I123=0,0,IF(_xlfn.XLOOKUP(C124,'ELC TECH'!H:H,'ELC TECH'!B:B)="Grid",1,0))</f>
        <v>1</v>
      </c>
    </row>
    <row r="125" spans="3:8" x14ac:dyDescent="0.25">
      <c r="C125" t="str">
        <f>'ELC TECH'!H124</f>
        <v>ELCCOAGRD90RCCS20</v>
      </c>
      <c r="G125" s="12">
        <f>IF('ELC TECH'!I124=0,0,IF(_xlfn.XLOOKUP(C125,'ELC TECH'!H:H,'ELC TECH'!B:B)="Grid",0,1))</f>
        <v>0</v>
      </c>
      <c r="H125" s="12">
        <f>IF('ELC TECH'!I124=0,0,IF(_xlfn.XLOOKUP(C125,'ELC TECH'!H:H,'ELC TECH'!B:B)="Grid",1,0))</f>
        <v>1</v>
      </c>
    </row>
    <row r="126" spans="3:8" x14ac:dyDescent="0.25">
      <c r="C126" t="str">
        <f>'ELC TECH'!H125</f>
        <v>ELCCOAGRD95RCCS20</v>
      </c>
      <c r="G126" s="12">
        <f>IF('ELC TECH'!I125=0,0,IF(_xlfn.XLOOKUP(C126,'ELC TECH'!H:H,'ELC TECH'!B:B)="Grid",0,1))</f>
        <v>0</v>
      </c>
      <c r="H126" s="12">
        <f>IF('ELC TECH'!I125=0,0,IF(_xlfn.XLOOKUP(C126,'ELC TECH'!H:H,'ELC TECH'!B:B)="Grid",1,0))</f>
        <v>1</v>
      </c>
    </row>
    <row r="127" spans="3:8" x14ac:dyDescent="0.25">
      <c r="C127" t="str">
        <f>'ELC TECH'!H126</f>
        <v>ELCNGAGRDFFCT20</v>
      </c>
      <c r="G127" s="12">
        <f>IF('ELC TECH'!I126=0,0,IF(_xlfn.XLOOKUP(C127,'ELC TECH'!H:H,'ELC TECH'!B:B)="Grid",0,1))</f>
        <v>0</v>
      </c>
      <c r="H127" s="12">
        <f>IF('ELC TECH'!I126=0,0,IF(_xlfn.XLOOKUP(C127,'ELC TECH'!H:H,'ELC TECH'!B:B)="Grid",1,0))</f>
        <v>1</v>
      </c>
    </row>
    <row r="128" spans="3:8" x14ac:dyDescent="0.25">
      <c r="C128" t="str">
        <f>'ELC TECH'!H127</f>
        <v>ELCNGAGRDFFCC20</v>
      </c>
      <c r="G128" s="12">
        <f>IF('ELC TECH'!I127=0,0,IF(_xlfn.XLOOKUP(C128,'ELC TECH'!H:H,'ELC TECH'!B:B)="Grid",0,1))</f>
        <v>0</v>
      </c>
      <c r="H128" s="12">
        <f>IF('ELC TECH'!I127=0,0,IF(_xlfn.XLOOKUP(C128,'ELC TECH'!H:H,'ELC TECH'!B:B)="Grid",1,0))</f>
        <v>1</v>
      </c>
    </row>
    <row r="129" spans="3:8" x14ac:dyDescent="0.25">
      <c r="C129" t="str">
        <f>'ELC TECH'!H128</f>
        <v>ELCNGAGRDFFCC95CCS20</v>
      </c>
      <c r="G129" s="12">
        <f>IF('ELC TECH'!I128=0,0,IF(_xlfn.XLOOKUP(C129,'ELC TECH'!H:H,'ELC TECH'!B:B)="Grid",0,1))</f>
        <v>0</v>
      </c>
      <c r="H129" s="12">
        <f>IF('ELC TECH'!I128=0,0,IF(_xlfn.XLOOKUP(C129,'ELC TECH'!H:H,'ELC TECH'!B:B)="Grid",1,0))</f>
        <v>1</v>
      </c>
    </row>
    <row r="130" spans="3:8" x14ac:dyDescent="0.25">
      <c r="C130" t="str">
        <f>'ELC TECH'!H129</f>
        <v>ELCNGAGRDFFCC97CCS20</v>
      </c>
      <c r="G130" s="12">
        <f>IF('ELC TECH'!I129=0,0,IF(_xlfn.XLOOKUP(C130,'ELC TECH'!H:H,'ELC TECH'!B:B)="Grid",0,1))</f>
        <v>0</v>
      </c>
      <c r="H130" s="12">
        <f>IF('ELC TECH'!I129=0,0,IF(_xlfn.XLOOKUP(C130,'ELC TECH'!H:H,'ELC TECH'!B:B)="Grid",1,0))</f>
        <v>1</v>
      </c>
    </row>
    <row r="131" spans="3:8" x14ac:dyDescent="0.25">
      <c r="C131" t="str">
        <f>'ELC TECH'!H130</f>
        <v>ELCNGAGRDFFCC90RCCS20</v>
      </c>
      <c r="G131" s="12">
        <f>IF('ELC TECH'!I130=0,0,IF(_xlfn.XLOOKUP(C131,'ELC TECH'!H:H,'ELC TECH'!B:B)="Grid",0,1))</f>
        <v>0</v>
      </c>
      <c r="H131" s="12">
        <f>IF('ELC TECH'!I130=0,0,IF(_xlfn.XLOOKUP(C131,'ELC TECH'!H:H,'ELC TECH'!B:B)="Grid",1,0))</f>
        <v>1</v>
      </c>
    </row>
    <row r="132" spans="3:8" x14ac:dyDescent="0.25">
      <c r="C132" t="str">
        <f>'ELC TECH'!H131</f>
        <v>ELCNGAGRDFFCC95RCCS20</v>
      </c>
      <c r="G132" s="12">
        <f>IF('ELC TECH'!I131=0,0,IF(_xlfn.XLOOKUP(C132,'ELC TECH'!H:H,'ELC TECH'!B:B)="Grid",0,1))</f>
        <v>0</v>
      </c>
      <c r="H132" s="12">
        <f>IF('ELC TECH'!I131=0,0,IF(_xlfn.XLOOKUP(C132,'ELC TECH'!H:H,'ELC TECH'!B:B)="Grid",1,0))</f>
        <v>1</v>
      </c>
    </row>
    <row r="133" spans="3:8" x14ac:dyDescent="0.25">
      <c r="C133" t="str">
        <f>'ELC TECH'!H132</f>
        <v>ELCNGAGRDHFCC20</v>
      </c>
      <c r="G133" s="12">
        <f>IF('ELC TECH'!I132=0,0,IF(_xlfn.XLOOKUP(C133,'ELC TECH'!H:H,'ELC TECH'!B:B)="Grid",0,1))</f>
        <v>0</v>
      </c>
      <c r="H133" s="12">
        <f>IF('ELC TECH'!I132=0,0,IF(_xlfn.XLOOKUP(C133,'ELC TECH'!H:H,'ELC TECH'!B:B)="Grid",1,0))</f>
        <v>1</v>
      </c>
    </row>
    <row r="134" spans="3:8" x14ac:dyDescent="0.25">
      <c r="C134" t="str">
        <f>'ELC TECH'!H133</f>
        <v>ELCNGAGRDHFCC95CCS20</v>
      </c>
      <c r="G134" s="12">
        <f>IF('ELC TECH'!I133=0,0,IF(_xlfn.XLOOKUP(C134,'ELC TECH'!H:H,'ELC TECH'!B:B)="Grid",0,1))</f>
        <v>0</v>
      </c>
      <c r="H134" s="12">
        <f>IF('ELC TECH'!I133=0,0,IF(_xlfn.XLOOKUP(C134,'ELC TECH'!H:H,'ELC TECH'!B:B)="Grid",1,0))</f>
        <v>1</v>
      </c>
    </row>
    <row r="135" spans="3:8" x14ac:dyDescent="0.25">
      <c r="C135" t="str">
        <f>'ELC TECH'!H134</f>
        <v>ELCNGAGRDHFCC97CCS20</v>
      </c>
      <c r="G135" s="12">
        <f>IF('ELC TECH'!I134=0,0,IF(_xlfn.XLOOKUP(C135,'ELC TECH'!H:H,'ELC TECH'!B:B)="Grid",0,1))</f>
        <v>0</v>
      </c>
      <c r="H135" s="12">
        <f>IF('ELC TECH'!I134=0,0,IF(_xlfn.XLOOKUP(C135,'ELC TECH'!H:H,'ELC TECH'!B:B)="Grid",1,0))</f>
        <v>1</v>
      </c>
    </row>
    <row r="136" spans="3:8" x14ac:dyDescent="0.25">
      <c r="C136" t="str">
        <f>'ELC TECH'!H135</f>
        <v>ELCNGAGRDHFCC90RCCS20</v>
      </c>
      <c r="G136" s="12">
        <f>IF('ELC TECH'!I135=0,0,IF(_xlfn.XLOOKUP(C136,'ELC TECH'!H:H,'ELC TECH'!B:B)="Grid",0,1))</f>
        <v>0</v>
      </c>
      <c r="H136" s="12">
        <f>IF('ELC TECH'!I135=0,0,IF(_xlfn.XLOOKUP(C136,'ELC TECH'!H:H,'ELC TECH'!B:B)="Grid",1,0))</f>
        <v>1</v>
      </c>
    </row>
    <row r="137" spans="3:8" x14ac:dyDescent="0.25">
      <c r="C137" t="str">
        <f>'ELC TECH'!H136</f>
        <v>ELCNGAGRDHFCC95RCCS20</v>
      </c>
      <c r="G137" s="12">
        <f>IF('ELC TECH'!I136=0,0,IF(_xlfn.XLOOKUP(C137,'ELC TECH'!H:H,'ELC TECH'!B:B)="Grid",0,1))</f>
        <v>0</v>
      </c>
      <c r="H137" s="12">
        <f>IF('ELC TECH'!I136=0,0,IF(_xlfn.XLOOKUP(C137,'ELC TECH'!H:H,'ELC TECH'!B:B)="Grid",1,0))</f>
        <v>1</v>
      </c>
    </row>
    <row r="138" spans="3:8" x14ac:dyDescent="0.25">
      <c r="C138" t="str">
        <f>'ELC TECH'!H137</f>
        <v>ELCWNDDCECDWC1020</v>
      </c>
      <c r="G138" s="12">
        <f>IF('ELC TECH'!I137=0,0,IF(_xlfn.XLOOKUP(C138,'ELC TECH'!H:H,'ELC TECH'!B:B)="Grid",0,1))</f>
        <v>1</v>
      </c>
      <c r="H138" s="12">
        <f>IF('ELC TECH'!I137=0,0,IF(_xlfn.XLOOKUP(C138,'ELC TECH'!H:H,'ELC TECH'!B:B)="Grid",1,0))</f>
        <v>0</v>
      </c>
    </row>
    <row r="139" spans="3:8" x14ac:dyDescent="0.25">
      <c r="C139" t="str">
        <f>'ELC TECH'!H138</f>
        <v>ELCWNDDCECDWC120</v>
      </c>
      <c r="G139" s="12">
        <f>IF('ELC TECH'!I138=0,0,IF(_xlfn.XLOOKUP(C139,'ELC TECH'!H:H,'ELC TECH'!B:B)="Grid",0,1))</f>
        <v>1</v>
      </c>
      <c r="H139" s="12">
        <f>IF('ELC TECH'!I138=0,0,IF(_xlfn.XLOOKUP(C139,'ELC TECH'!H:H,'ELC TECH'!B:B)="Grid",1,0))</f>
        <v>0</v>
      </c>
    </row>
    <row r="140" spans="3:8" x14ac:dyDescent="0.25">
      <c r="C140" t="str">
        <f>'ELC TECH'!H139</f>
        <v>ELCWNDDCECDWC220</v>
      </c>
      <c r="G140" s="12">
        <f>IF('ELC TECH'!I139=0,0,IF(_xlfn.XLOOKUP(C140,'ELC TECH'!H:H,'ELC TECH'!B:B)="Grid",0,1))</f>
        <v>1</v>
      </c>
      <c r="H140" s="12">
        <f>IF('ELC TECH'!I139=0,0,IF(_xlfn.XLOOKUP(C140,'ELC TECH'!H:H,'ELC TECH'!B:B)="Grid",1,0))</f>
        <v>0</v>
      </c>
    </row>
    <row r="141" spans="3:8" x14ac:dyDescent="0.25">
      <c r="C141" t="str">
        <f>'ELC TECH'!H140</f>
        <v>ELCWNDDCECDWC320</v>
      </c>
      <c r="G141" s="12">
        <f>IF('ELC TECH'!I140=0,0,IF(_xlfn.XLOOKUP(C141,'ELC TECH'!H:H,'ELC TECH'!B:B)="Grid",0,1))</f>
        <v>1</v>
      </c>
      <c r="H141" s="12">
        <f>IF('ELC TECH'!I140=0,0,IF(_xlfn.XLOOKUP(C141,'ELC TECH'!H:H,'ELC TECH'!B:B)="Grid",1,0))</f>
        <v>0</v>
      </c>
    </row>
    <row r="142" spans="3:8" x14ac:dyDescent="0.25">
      <c r="C142" t="str">
        <f>'ELC TECH'!H141</f>
        <v>ELCWNDDCECDWC420</v>
      </c>
      <c r="G142" s="12">
        <f>IF('ELC TECH'!I141=0,0,IF(_xlfn.XLOOKUP(C142,'ELC TECH'!H:H,'ELC TECH'!B:B)="Grid",0,1))</f>
        <v>1</v>
      </c>
      <c r="H142" s="12">
        <f>IF('ELC TECH'!I141=0,0,IF(_xlfn.XLOOKUP(C142,'ELC TECH'!H:H,'ELC TECH'!B:B)="Grid",1,0))</f>
        <v>0</v>
      </c>
    </row>
    <row r="143" spans="3:8" x14ac:dyDescent="0.25">
      <c r="C143" t="str">
        <f>'ELC TECH'!H142</f>
        <v>ELCWNDDCECDWC520</v>
      </c>
      <c r="G143" s="12">
        <f>IF('ELC TECH'!I142=0,0,IF(_xlfn.XLOOKUP(C143,'ELC TECH'!H:H,'ELC TECH'!B:B)="Grid",0,1))</f>
        <v>1</v>
      </c>
      <c r="H143" s="12">
        <f>IF('ELC TECH'!I142=0,0,IF(_xlfn.XLOOKUP(C143,'ELC TECH'!H:H,'ELC TECH'!B:B)="Grid",1,0))</f>
        <v>0</v>
      </c>
    </row>
    <row r="144" spans="3:8" x14ac:dyDescent="0.25">
      <c r="C144" t="str">
        <f>'ELC TECH'!H143</f>
        <v>ELCWNDDCECDWC620</v>
      </c>
      <c r="G144" s="12">
        <f>IF('ELC TECH'!I143=0,0,IF(_xlfn.XLOOKUP(C144,'ELC TECH'!H:H,'ELC TECH'!B:B)="Grid",0,1))</f>
        <v>1</v>
      </c>
      <c r="H144" s="12">
        <f>IF('ELC TECH'!I143=0,0,IF(_xlfn.XLOOKUP(C144,'ELC TECH'!H:H,'ELC TECH'!B:B)="Grid",1,0))</f>
        <v>0</v>
      </c>
    </row>
    <row r="145" spans="3:8" x14ac:dyDescent="0.25">
      <c r="C145" t="str">
        <f>'ELC TECH'!H144</f>
        <v>ELCWNDDCECDWC720</v>
      </c>
      <c r="G145" s="12">
        <f>IF('ELC TECH'!I144=0,0,IF(_xlfn.XLOOKUP(C145,'ELC TECH'!H:H,'ELC TECH'!B:B)="Grid",0,1))</f>
        <v>1</v>
      </c>
      <c r="H145" s="12">
        <f>IF('ELC TECH'!I144=0,0,IF(_xlfn.XLOOKUP(C145,'ELC TECH'!H:H,'ELC TECH'!B:B)="Grid",1,0))</f>
        <v>0</v>
      </c>
    </row>
    <row r="146" spans="3:8" x14ac:dyDescent="0.25">
      <c r="C146" t="str">
        <f>'ELC TECH'!H145</f>
        <v>ELCWNDDCECDWC820</v>
      </c>
      <c r="G146" s="12">
        <f>IF('ELC TECH'!I145=0,0,IF(_xlfn.XLOOKUP(C146,'ELC TECH'!H:H,'ELC TECH'!B:B)="Grid",0,1))</f>
        <v>1</v>
      </c>
      <c r="H146" s="12">
        <f>IF('ELC TECH'!I145=0,0,IF(_xlfn.XLOOKUP(C146,'ELC TECH'!H:H,'ELC TECH'!B:B)="Grid",1,0))</f>
        <v>0</v>
      </c>
    </row>
    <row r="147" spans="3:8" x14ac:dyDescent="0.25">
      <c r="C147" t="str">
        <f>'ELC TECH'!H146</f>
        <v>ELCWNDDCECDWC920</v>
      </c>
      <c r="G147" s="12">
        <f>IF('ELC TECH'!I146=0,0,IF(_xlfn.XLOOKUP(C147,'ELC TECH'!H:H,'ELC TECH'!B:B)="Grid",0,1))</f>
        <v>1</v>
      </c>
      <c r="H147" s="12">
        <f>IF('ELC TECH'!I146=0,0,IF(_xlfn.XLOOKUP(C147,'ELC TECH'!H:H,'ELC TECH'!B:B)="Grid",1,0))</f>
        <v>0</v>
      </c>
    </row>
    <row r="148" spans="3:8" x14ac:dyDescent="0.25">
      <c r="C148" t="str">
        <f>'ELC TECH'!H147</f>
        <v>ELCWNDDCERDWC1020</v>
      </c>
      <c r="G148" s="12">
        <f>IF('ELC TECH'!I147=0,0,IF(_xlfn.XLOOKUP(C148,'ELC TECH'!H:H,'ELC TECH'!B:B)="Grid",0,1))</f>
        <v>1</v>
      </c>
      <c r="H148" s="12">
        <f>IF('ELC TECH'!I147=0,0,IF(_xlfn.XLOOKUP(C148,'ELC TECH'!H:H,'ELC TECH'!B:B)="Grid",1,0))</f>
        <v>0</v>
      </c>
    </row>
    <row r="149" spans="3:8" x14ac:dyDescent="0.25">
      <c r="C149" t="str">
        <f>'ELC TECH'!H148</f>
        <v>ELCWNDDCERDWC120</v>
      </c>
      <c r="G149" s="12">
        <f>IF('ELC TECH'!I148=0,0,IF(_xlfn.XLOOKUP(C149,'ELC TECH'!H:H,'ELC TECH'!B:B)="Grid",0,1))</f>
        <v>1</v>
      </c>
      <c r="H149" s="12">
        <f>IF('ELC TECH'!I148=0,0,IF(_xlfn.XLOOKUP(C149,'ELC TECH'!H:H,'ELC TECH'!B:B)="Grid",1,0))</f>
        <v>0</v>
      </c>
    </row>
    <row r="150" spans="3:8" x14ac:dyDescent="0.25">
      <c r="C150" t="str">
        <f>'ELC TECH'!H149</f>
        <v>ELCWNDDCERDWC220</v>
      </c>
      <c r="G150" s="12">
        <f>IF('ELC TECH'!I149=0,0,IF(_xlfn.XLOOKUP(C150,'ELC TECH'!H:H,'ELC TECH'!B:B)="Grid",0,1))</f>
        <v>1</v>
      </c>
      <c r="H150" s="12">
        <f>IF('ELC TECH'!I149=0,0,IF(_xlfn.XLOOKUP(C150,'ELC TECH'!H:H,'ELC TECH'!B:B)="Grid",1,0))</f>
        <v>0</v>
      </c>
    </row>
    <row r="151" spans="3:8" x14ac:dyDescent="0.25">
      <c r="C151" t="str">
        <f>'ELC TECH'!H150</f>
        <v>ELCWNDDCERDWC320</v>
      </c>
      <c r="G151" s="12">
        <f>IF('ELC TECH'!I150=0,0,IF(_xlfn.XLOOKUP(C151,'ELC TECH'!H:H,'ELC TECH'!B:B)="Grid",0,1))</f>
        <v>1</v>
      </c>
      <c r="H151" s="12">
        <f>IF('ELC TECH'!I150=0,0,IF(_xlfn.XLOOKUP(C151,'ELC TECH'!H:H,'ELC TECH'!B:B)="Grid",1,0))</f>
        <v>0</v>
      </c>
    </row>
    <row r="152" spans="3:8" x14ac:dyDescent="0.25">
      <c r="C152" t="str">
        <f>'ELC TECH'!H151</f>
        <v>ELCWNDDCERDWC420</v>
      </c>
      <c r="G152" s="12">
        <f>IF('ELC TECH'!I151=0,0,IF(_xlfn.XLOOKUP(C152,'ELC TECH'!H:H,'ELC TECH'!B:B)="Grid",0,1))</f>
        <v>1</v>
      </c>
      <c r="H152" s="12">
        <f>IF('ELC TECH'!I151=0,0,IF(_xlfn.XLOOKUP(C152,'ELC TECH'!H:H,'ELC TECH'!B:B)="Grid",1,0))</f>
        <v>0</v>
      </c>
    </row>
    <row r="153" spans="3:8" x14ac:dyDescent="0.25">
      <c r="C153" t="str">
        <f>'ELC TECH'!H152</f>
        <v>ELCWNDDCERDWC520</v>
      </c>
      <c r="G153" s="12">
        <f>IF('ELC TECH'!I152=0,0,IF(_xlfn.XLOOKUP(C153,'ELC TECH'!H:H,'ELC TECH'!B:B)="Grid",0,1))</f>
        <v>1</v>
      </c>
      <c r="H153" s="12">
        <f>IF('ELC TECH'!I152=0,0,IF(_xlfn.XLOOKUP(C153,'ELC TECH'!H:H,'ELC TECH'!B:B)="Grid",1,0))</f>
        <v>0</v>
      </c>
    </row>
    <row r="154" spans="3:8" x14ac:dyDescent="0.25">
      <c r="C154" t="str">
        <f>'ELC TECH'!H153</f>
        <v>ELCWNDDCERDWC620</v>
      </c>
      <c r="G154" s="12">
        <f>IF('ELC TECH'!I153=0,0,IF(_xlfn.XLOOKUP(C154,'ELC TECH'!H:H,'ELC TECH'!B:B)="Grid",0,1))</f>
        <v>1</v>
      </c>
      <c r="H154" s="12">
        <f>IF('ELC TECH'!I153=0,0,IF(_xlfn.XLOOKUP(C154,'ELC TECH'!H:H,'ELC TECH'!B:B)="Grid",1,0))</f>
        <v>0</v>
      </c>
    </row>
    <row r="155" spans="3:8" x14ac:dyDescent="0.25">
      <c r="C155" t="str">
        <f>'ELC TECH'!H154</f>
        <v>ELCWNDDCERDWC720</v>
      </c>
      <c r="G155" s="12">
        <f>IF('ELC TECH'!I154=0,0,IF(_xlfn.XLOOKUP(C155,'ELC TECH'!H:H,'ELC TECH'!B:B)="Grid",0,1))</f>
        <v>1</v>
      </c>
      <c r="H155" s="12">
        <f>IF('ELC TECH'!I154=0,0,IF(_xlfn.XLOOKUP(C155,'ELC TECH'!H:H,'ELC TECH'!B:B)="Grid",1,0))</f>
        <v>0</v>
      </c>
    </row>
    <row r="156" spans="3:8" x14ac:dyDescent="0.25">
      <c r="C156" t="str">
        <f>'ELC TECH'!H155</f>
        <v>ELCWNDDCERDWC820</v>
      </c>
      <c r="G156" s="12">
        <f>IF('ELC TECH'!I155=0,0,IF(_xlfn.XLOOKUP(C156,'ELC TECH'!H:H,'ELC TECH'!B:B)="Grid",0,1))</f>
        <v>1</v>
      </c>
      <c r="H156" s="12">
        <f>IF('ELC TECH'!I155=0,0,IF(_xlfn.XLOOKUP(C156,'ELC TECH'!H:H,'ELC TECH'!B:B)="Grid",1,0))</f>
        <v>0</v>
      </c>
    </row>
    <row r="157" spans="3:8" x14ac:dyDescent="0.25">
      <c r="C157" t="str">
        <f>'ELC TECH'!H156</f>
        <v>ELCWNDDCERDWC920</v>
      </c>
      <c r="G157" s="12">
        <f>IF('ELC TECH'!I156=0,0,IF(_xlfn.XLOOKUP(C157,'ELC TECH'!H:H,'ELC TECH'!B:B)="Grid",0,1))</f>
        <v>1</v>
      </c>
      <c r="H157" s="12">
        <f>IF('ELC TECH'!I156=0,0,IF(_xlfn.XLOOKUP(C157,'ELC TECH'!H:H,'ELC TECH'!B:B)="Grid",1,0))</f>
        <v>0</v>
      </c>
    </row>
    <row r="158" spans="3:8" x14ac:dyDescent="0.25">
      <c r="C158" t="str">
        <f>'ELC TECH'!H157</f>
        <v>ELCSOLDCERDPV1020</v>
      </c>
      <c r="G158" s="12">
        <f>IF('ELC TECH'!I157=0,0,IF(_xlfn.XLOOKUP(C158,'ELC TECH'!H:H,'ELC TECH'!B:B)="Grid",0,1))</f>
        <v>1</v>
      </c>
      <c r="H158" s="12">
        <f>IF('ELC TECH'!I157=0,0,IF(_xlfn.XLOOKUP(C158,'ELC TECH'!H:H,'ELC TECH'!B:B)="Grid",1,0))</f>
        <v>0</v>
      </c>
    </row>
    <row r="159" spans="3:8" x14ac:dyDescent="0.25">
      <c r="C159" t="str">
        <f>'ELC TECH'!H158</f>
        <v>ELCSOLDCERDPV120</v>
      </c>
      <c r="G159" s="12">
        <f>IF('ELC TECH'!I158=0,0,IF(_xlfn.XLOOKUP(C159,'ELC TECH'!H:H,'ELC TECH'!B:B)="Grid",0,1))</f>
        <v>1</v>
      </c>
      <c r="H159" s="12">
        <f>IF('ELC TECH'!I158=0,0,IF(_xlfn.XLOOKUP(C159,'ELC TECH'!H:H,'ELC TECH'!B:B)="Grid",1,0))</f>
        <v>0</v>
      </c>
    </row>
    <row r="160" spans="3:8" x14ac:dyDescent="0.25">
      <c r="C160" t="str">
        <f>'ELC TECH'!H159</f>
        <v>ELCSOLDCERDPV220</v>
      </c>
      <c r="G160" s="12">
        <f>IF('ELC TECH'!I159=0,0,IF(_xlfn.XLOOKUP(C160,'ELC TECH'!H:H,'ELC TECH'!B:B)="Grid",0,1))</f>
        <v>1</v>
      </c>
      <c r="H160" s="12">
        <f>IF('ELC TECH'!I159=0,0,IF(_xlfn.XLOOKUP(C160,'ELC TECH'!H:H,'ELC TECH'!B:B)="Grid",1,0))</f>
        <v>0</v>
      </c>
    </row>
    <row r="161" spans="3:8" x14ac:dyDescent="0.25">
      <c r="C161" t="str">
        <f>'ELC TECH'!H160</f>
        <v>ELCSOLDCERDPV320</v>
      </c>
      <c r="G161" s="12">
        <f>IF('ELC TECH'!I160=0,0,IF(_xlfn.XLOOKUP(C161,'ELC TECH'!H:H,'ELC TECH'!B:B)="Grid",0,1))</f>
        <v>1</v>
      </c>
      <c r="H161" s="12">
        <f>IF('ELC TECH'!I160=0,0,IF(_xlfn.XLOOKUP(C161,'ELC TECH'!H:H,'ELC TECH'!B:B)="Grid",1,0))</f>
        <v>0</v>
      </c>
    </row>
    <row r="162" spans="3:8" x14ac:dyDescent="0.25">
      <c r="C162" t="str">
        <f>'ELC TECH'!H161</f>
        <v>ELCSOLDCERDPV420</v>
      </c>
      <c r="G162" s="12">
        <f>IF('ELC TECH'!I161=0,0,IF(_xlfn.XLOOKUP(C162,'ELC TECH'!H:H,'ELC TECH'!B:B)="Grid",0,1))</f>
        <v>1</v>
      </c>
      <c r="H162" s="12">
        <f>IF('ELC TECH'!I161=0,0,IF(_xlfn.XLOOKUP(C162,'ELC TECH'!H:H,'ELC TECH'!B:B)="Grid",1,0))</f>
        <v>0</v>
      </c>
    </row>
    <row r="163" spans="3:8" x14ac:dyDescent="0.25">
      <c r="C163" t="str">
        <f>'ELC TECH'!H162</f>
        <v>ELCSOLDCERDPV520</v>
      </c>
      <c r="G163" s="12">
        <f>IF('ELC TECH'!I162=0,0,IF(_xlfn.XLOOKUP(C163,'ELC TECH'!H:H,'ELC TECH'!B:B)="Grid",0,1))</f>
        <v>1</v>
      </c>
      <c r="H163" s="12">
        <f>IF('ELC TECH'!I162=0,0,IF(_xlfn.XLOOKUP(C163,'ELC TECH'!H:H,'ELC TECH'!B:B)="Grid",1,0))</f>
        <v>0</v>
      </c>
    </row>
    <row r="164" spans="3:8" x14ac:dyDescent="0.25">
      <c r="C164" t="str">
        <f>'ELC TECH'!H163</f>
        <v>ELCSOLDCERDPV620</v>
      </c>
      <c r="G164" s="12">
        <f>IF('ELC TECH'!I163=0,0,IF(_xlfn.XLOOKUP(C164,'ELC TECH'!H:H,'ELC TECH'!B:B)="Grid",0,1))</f>
        <v>1</v>
      </c>
      <c r="H164" s="12">
        <f>IF('ELC TECH'!I163=0,0,IF(_xlfn.XLOOKUP(C164,'ELC TECH'!H:H,'ELC TECH'!B:B)="Grid",1,0))</f>
        <v>0</v>
      </c>
    </row>
    <row r="165" spans="3:8" x14ac:dyDescent="0.25">
      <c r="C165" t="str">
        <f>'ELC TECH'!H164</f>
        <v>ELCSOLDCERDPV720</v>
      </c>
      <c r="G165" s="12">
        <f>IF('ELC TECH'!I164=0,0,IF(_xlfn.XLOOKUP(C165,'ELC TECH'!H:H,'ELC TECH'!B:B)="Grid",0,1))</f>
        <v>1</v>
      </c>
      <c r="H165" s="12">
        <f>IF('ELC TECH'!I164=0,0,IF(_xlfn.XLOOKUP(C165,'ELC TECH'!H:H,'ELC TECH'!B:B)="Grid",1,0))</f>
        <v>0</v>
      </c>
    </row>
    <row r="166" spans="3:8" x14ac:dyDescent="0.25">
      <c r="C166" t="str">
        <f>'ELC TECH'!H165</f>
        <v>ELCSOLDCERDPV820</v>
      </c>
      <c r="G166" s="12">
        <f>IF('ELC TECH'!I165=0,0,IF(_xlfn.XLOOKUP(C166,'ELC TECH'!H:H,'ELC TECH'!B:B)="Grid",0,1))</f>
        <v>1</v>
      </c>
      <c r="H166" s="12">
        <f>IF('ELC TECH'!I165=0,0,IF(_xlfn.XLOOKUP(C166,'ELC TECH'!H:H,'ELC TECH'!B:B)="Grid",1,0))</f>
        <v>0</v>
      </c>
    </row>
    <row r="167" spans="3:8" x14ac:dyDescent="0.25">
      <c r="C167" t="str">
        <f>'ELC TECH'!H166</f>
        <v>ELCSOLDCERDPV920</v>
      </c>
      <c r="G167" s="12">
        <f>IF('ELC TECH'!I166=0,0,IF(_xlfn.XLOOKUP(C167,'ELC TECH'!H:H,'ELC TECH'!B:B)="Grid",0,1))</f>
        <v>1</v>
      </c>
      <c r="H167" s="12">
        <f>IF('ELC TECH'!I166=0,0,IF(_xlfn.XLOOKUP(C167,'ELC TECH'!H:H,'ELC TECH'!B:B)="Grid",1,0))</f>
        <v>0</v>
      </c>
    </row>
    <row r="168" spans="3:8" x14ac:dyDescent="0.25">
      <c r="C168" t="str">
        <f>'ELC TECH'!H167</f>
        <v>ELCSOLDCECPV1020</v>
      </c>
      <c r="G168" s="12">
        <f>IF('ELC TECH'!I167=0,0,IF(_xlfn.XLOOKUP(C168,'ELC TECH'!H:H,'ELC TECH'!B:B)="Grid",0,1))</f>
        <v>1</v>
      </c>
      <c r="H168" s="12">
        <f>IF('ELC TECH'!I167=0,0,IF(_xlfn.XLOOKUP(C168,'ELC TECH'!H:H,'ELC TECH'!B:B)="Grid",1,0))</f>
        <v>0</v>
      </c>
    </row>
    <row r="169" spans="3:8" x14ac:dyDescent="0.25">
      <c r="C169" t="str">
        <f>'ELC TECH'!H168</f>
        <v>ELCSOLDCECDPV120</v>
      </c>
      <c r="G169" s="12">
        <f>IF('ELC TECH'!I168=0,0,IF(_xlfn.XLOOKUP(C169,'ELC TECH'!H:H,'ELC TECH'!B:B)="Grid",0,1))</f>
        <v>1</v>
      </c>
      <c r="H169" s="12">
        <f>IF('ELC TECH'!I168=0,0,IF(_xlfn.XLOOKUP(C169,'ELC TECH'!H:H,'ELC TECH'!B:B)="Grid",1,0))</f>
        <v>0</v>
      </c>
    </row>
    <row r="170" spans="3:8" x14ac:dyDescent="0.25">
      <c r="C170" t="str">
        <f>'ELC TECH'!H169</f>
        <v>ELCSOLDCECDPV220</v>
      </c>
      <c r="G170" s="12">
        <f>IF('ELC TECH'!I169=0,0,IF(_xlfn.XLOOKUP(C170,'ELC TECH'!H:H,'ELC TECH'!B:B)="Grid",0,1))</f>
        <v>1</v>
      </c>
      <c r="H170" s="12">
        <f>IF('ELC TECH'!I169=0,0,IF(_xlfn.XLOOKUP(C170,'ELC TECH'!H:H,'ELC TECH'!B:B)="Grid",1,0))</f>
        <v>0</v>
      </c>
    </row>
    <row r="171" spans="3:8" x14ac:dyDescent="0.25">
      <c r="C171" t="str">
        <f>'ELC TECH'!H170</f>
        <v>ELCSOLDCECDPV320</v>
      </c>
      <c r="G171" s="12">
        <f>IF('ELC TECH'!I170=0,0,IF(_xlfn.XLOOKUP(C171,'ELC TECH'!H:H,'ELC TECH'!B:B)="Grid",0,1))</f>
        <v>1</v>
      </c>
      <c r="H171" s="12">
        <f>IF('ELC TECH'!I170=0,0,IF(_xlfn.XLOOKUP(C171,'ELC TECH'!H:H,'ELC TECH'!B:B)="Grid",1,0))</f>
        <v>0</v>
      </c>
    </row>
    <row r="172" spans="3:8" x14ac:dyDescent="0.25">
      <c r="C172" t="str">
        <f>'ELC TECH'!H171</f>
        <v>ELCSOLDCECDPV420</v>
      </c>
      <c r="G172" s="12">
        <f>IF('ELC TECH'!I171=0,0,IF(_xlfn.XLOOKUP(C172,'ELC TECH'!H:H,'ELC TECH'!B:B)="Grid",0,1))</f>
        <v>1</v>
      </c>
      <c r="H172" s="12">
        <f>IF('ELC TECH'!I171=0,0,IF(_xlfn.XLOOKUP(C172,'ELC TECH'!H:H,'ELC TECH'!B:B)="Grid",1,0))</f>
        <v>0</v>
      </c>
    </row>
    <row r="173" spans="3:8" x14ac:dyDescent="0.25">
      <c r="C173" t="str">
        <f>'ELC TECH'!H172</f>
        <v>ELCSOLDCECDPV520</v>
      </c>
      <c r="G173" s="12">
        <f>IF('ELC TECH'!I172=0,0,IF(_xlfn.XLOOKUP(C173,'ELC TECH'!H:H,'ELC TECH'!B:B)="Grid",0,1))</f>
        <v>1</v>
      </c>
      <c r="H173" s="12">
        <f>IF('ELC TECH'!I172=0,0,IF(_xlfn.XLOOKUP(C173,'ELC TECH'!H:H,'ELC TECH'!B:B)="Grid",1,0))</f>
        <v>0</v>
      </c>
    </row>
    <row r="174" spans="3:8" x14ac:dyDescent="0.25">
      <c r="C174" t="str">
        <f>'ELC TECH'!H173</f>
        <v>ELCSOLDCECDPV620</v>
      </c>
      <c r="G174" s="12">
        <f>IF('ELC TECH'!I173=0,0,IF(_xlfn.XLOOKUP(C174,'ELC TECH'!H:H,'ELC TECH'!B:B)="Grid",0,1))</f>
        <v>1</v>
      </c>
      <c r="H174" s="12">
        <f>IF('ELC TECH'!I173=0,0,IF(_xlfn.XLOOKUP(C174,'ELC TECH'!H:H,'ELC TECH'!B:B)="Grid",1,0))</f>
        <v>0</v>
      </c>
    </row>
    <row r="175" spans="3:8" x14ac:dyDescent="0.25">
      <c r="C175" t="str">
        <f>'ELC TECH'!H174</f>
        <v>ELCSOLDCECDPV720</v>
      </c>
      <c r="G175" s="12">
        <f>IF('ELC TECH'!I174=0,0,IF(_xlfn.XLOOKUP(C175,'ELC TECH'!H:H,'ELC TECH'!B:B)="Grid",0,1))</f>
        <v>1</v>
      </c>
      <c r="H175" s="12">
        <f>IF('ELC TECH'!I174=0,0,IF(_xlfn.XLOOKUP(C175,'ELC TECH'!H:H,'ELC TECH'!B:B)="Grid",1,0))</f>
        <v>0</v>
      </c>
    </row>
    <row r="176" spans="3:8" x14ac:dyDescent="0.25">
      <c r="C176" t="str">
        <f>'ELC TECH'!H175</f>
        <v>ELCSOLDCECDPV820</v>
      </c>
      <c r="G176" s="12">
        <f>IF('ELC TECH'!I175=0,0,IF(_xlfn.XLOOKUP(C176,'ELC TECH'!H:H,'ELC TECH'!B:B)="Grid",0,1))</f>
        <v>1</v>
      </c>
      <c r="H176" s="12">
        <f>IF('ELC TECH'!I175=0,0,IF(_xlfn.XLOOKUP(C176,'ELC TECH'!H:H,'ELC TECH'!B:B)="Grid",1,0))</f>
        <v>0</v>
      </c>
    </row>
    <row r="177" spans="3:8" x14ac:dyDescent="0.25">
      <c r="C177" t="str">
        <f>'ELC TECH'!H176</f>
        <v>ELCSOLDCECDPV920</v>
      </c>
      <c r="G177" s="12">
        <f>IF('ELC TECH'!I176=0,0,IF(_xlfn.XLOOKUP(C177,'ELC TECH'!H:H,'ELC TECH'!B:B)="Grid",0,1))</f>
        <v>1</v>
      </c>
      <c r="H177" s="12">
        <f>IF('ELC TECH'!I176=0,0,IF(_xlfn.XLOOKUP(C177,'ELC TECH'!H:H,'ELC TECH'!B:B)="Grid",1,0))</f>
        <v>0</v>
      </c>
    </row>
    <row r="178" spans="3:8" x14ac:dyDescent="0.25">
      <c r="C178" t="str">
        <f>'ELC TECH'!H177</f>
        <v>ELCSTGDCERBES2.5H20</v>
      </c>
      <c r="G178" s="12">
        <f>IF('ELC TECH'!I177=0,0,IF(_xlfn.XLOOKUP(C178,'ELC TECH'!H:H,'ELC TECH'!B:B)="Grid",0,1))</f>
        <v>1</v>
      </c>
      <c r="H178" s="12">
        <f>IF('ELC TECH'!I177=0,0,IF(_xlfn.XLOOKUP(C178,'ELC TECH'!H:H,'ELC TECH'!B:B)="Grid",1,0))</f>
        <v>0</v>
      </c>
    </row>
    <row r="179" spans="3:8" x14ac:dyDescent="0.25">
      <c r="C179" t="str">
        <f>'ELC TECH'!H178</f>
        <v>ELCSTGDCERBES4H20</v>
      </c>
      <c r="G179" s="12">
        <f>IF('ELC TECH'!I178=0,0,IF(_xlfn.XLOOKUP(C179,'ELC TECH'!H:H,'ELC TECH'!B:B)="Grid",0,1))</f>
        <v>1</v>
      </c>
      <c r="H179" s="12">
        <f>IF('ELC TECH'!I178=0,0,IF(_xlfn.XLOOKUP(C179,'ELC TECH'!H:H,'ELC TECH'!B:B)="Grid",1,0))</f>
        <v>0</v>
      </c>
    </row>
    <row r="180" spans="3:8" x14ac:dyDescent="0.25">
      <c r="C180" t="str">
        <f>'ELC TECH'!H179</f>
        <v>ELCSTGDCECBES1H20</v>
      </c>
      <c r="G180" s="12">
        <f>IF('ELC TECH'!I179=0,0,IF(_xlfn.XLOOKUP(C180,'ELC TECH'!H:H,'ELC TECH'!B:B)="Grid",0,1))</f>
        <v>1</v>
      </c>
      <c r="H180" s="12">
        <f>IF('ELC TECH'!I179=0,0,IF(_xlfn.XLOOKUP(C180,'ELC TECH'!H:H,'ELC TECH'!B:B)="Grid",1,0))</f>
        <v>0</v>
      </c>
    </row>
    <row r="181" spans="3:8" x14ac:dyDescent="0.25">
      <c r="C181" t="str">
        <f>'ELC TECH'!H180</f>
        <v>ELCSTGDCECBES2H20</v>
      </c>
      <c r="G181" s="12">
        <f>IF('ELC TECH'!I180=0,0,IF(_xlfn.XLOOKUP(C181,'ELC TECH'!H:H,'ELC TECH'!B:B)="Grid",0,1))</f>
        <v>1</v>
      </c>
      <c r="H181" s="12">
        <f>IF('ELC TECH'!I180=0,0,IF(_xlfn.XLOOKUP(C181,'ELC TECH'!H:H,'ELC TECH'!B:B)="Grid",1,0))</f>
        <v>0</v>
      </c>
    </row>
    <row r="182" spans="3:8" x14ac:dyDescent="0.25">
      <c r="C182" t="str">
        <f>'ELC TECH'!H181</f>
        <v>ELCSTGDCECBES4H20</v>
      </c>
      <c r="G182" s="12">
        <f>IF('ELC TECH'!I181=0,0,IF(_xlfn.XLOOKUP(C182,'ELC TECH'!H:H,'ELC TECH'!B:B)="Grid",0,1))</f>
        <v>1</v>
      </c>
      <c r="H182" s="12">
        <f>IF('ELC TECH'!I181=0,0,IF(_xlfn.XLOOKUP(C182,'ELC TECH'!H:H,'ELC TECH'!B:B)="Grid",1,0))</f>
        <v>0</v>
      </c>
    </row>
    <row r="183" spans="3:8" x14ac:dyDescent="0.25">
      <c r="C183" t="str">
        <f>'ELC TECH'!H182</f>
        <v>ELCSTGDCECBES6H20</v>
      </c>
      <c r="G183" s="12">
        <f>IF('ELC TECH'!I182=0,0,IF(_xlfn.XLOOKUP(C183,'ELC TECH'!H:H,'ELC TECH'!B:B)="Grid",0,1))</f>
        <v>1</v>
      </c>
      <c r="H183" s="12">
        <f>IF('ELC TECH'!I182=0,0,IF(_xlfn.XLOOKUP(C183,'ELC TECH'!H:H,'ELC TECH'!B:B)="Grid",1,0))</f>
        <v>0</v>
      </c>
    </row>
    <row r="184" spans="3:8" x14ac:dyDescent="0.25">
      <c r="C184" t="str">
        <f>'ELC TECH'!H183</f>
        <v>ELCSTGDCECBES8H20</v>
      </c>
      <c r="G184" s="12">
        <f>IF('ELC TECH'!I183=0,0,IF(_xlfn.XLOOKUP(C184,'ELC TECH'!H:H,'ELC TECH'!B:B)="Grid",0,1))</f>
        <v>1</v>
      </c>
      <c r="H184" s="12">
        <f>IF('ELC TECH'!I183=0,0,IF(_xlfn.XLOOKUP(C184,'ELC TECH'!H:H,'ELC TECH'!B:B)="Grid",1,0))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&gt;&gt; City Data</vt:lpstr>
      <vt:lpstr>City characteristics</vt:lpstr>
      <vt:lpstr>&gt;&gt; GC_NewTech</vt:lpstr>
      <vt:lpstr>ELC TECH</vt:lpstr>
      <vt:lpstr>&gt;&gt; TIMES</vt:lpstr>
      <vt:lpstr>Tech_availability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2025-04-08T18:31:32Z</dcterms:modified>
</cp:coreProperties>
</file>
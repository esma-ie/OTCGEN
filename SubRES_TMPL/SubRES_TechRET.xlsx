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Veda\Veda_models\COMET_Generative_NYC\SubRES_TMPL\"/>
    </mc:Choice>
  </mc:AlternateContent>
  <xr:revisionPtr revIDLastSave="0" documentId="13_ncr:1_{3C2FD22A-19C3-4472-BDB8-31876C96E3ED}" xr6:coauthVersionLast="47" xr6:coauthVersionMax="47" xr10:uidLastSave="{00000000-0000-0000-0000-000000000000}"/>
  <bookViews>
    <workbookView xWindow="-120" yWindow="-120" windowWidth="25440" windowHeight="15270" firstSheet="3" activeTab="5" xr2:uid="{00000000-000D-0000-FFFF-FFFF00000000}"/>
  </bookViews>
  <sheets>
    <sheet name="ReadMe" sheetId="1" r:id="rId1"/>
    <sheet name="&gt;&gt; City Data" sheetId="2" r:id="rId2"/>
    <sheet name="City characteristics" sheetId="3" r:id="rId3"/>
    <sheet name="&gt;&gt; GC_NewTech" sheetId="4" r:id="rId4"/>
    <sheet name="RET TECH" sheetId="5" r:id="rId5"/>
    <sheet name="Demand" sheetId="6" r:id="rId6"/>
    <sheet name="&gt;&gt; TIMES" sheetId="7" r:id="rId7"/>
    <sheet name="Def_Tech" sheetId="8" r:id="rId8"/>
    <sheet name="Def_Comm" sheetId="9" r:id="rId9"/>
    <sheet name="TECH RET" sheetId="10" r:id="rId10"/>
    <sheet name="&gt;&gt; Parameters" sheetId="11" r:id="rId11"/>
  </sheets>
  <definedNames>
    <definedName name="_Fill" localSheetId="2" hidden="1">#REF!</definedName>
    <definedName name="_Fill" hidden="1">#REF!</definedName>
    <definedName name="_Order1" hidden="1">0</definedName>
    <definedName name="_Order2" hidden="1">0</definedName>
    <definedName name="_Sort" localSheetId="2" hidden="1">#REF!</definedName>
    <definedName name="_Sort" hidden="1">#REF!</definedName>
    <definedName name="anscount" hidden="1">1</definedName>
    <definedName name="CBWorkbookPriority" hidden="1">-1587101571</definedName>
    <definedName name="sencount" hidden="1">2</definedName>
    <definedName name="wrn.com_msw." localSheetId="2" hidden="1">{"com_msw",#N/A,FALSE,"Common"}</definedName>
    <definedName name="wrn.com_msw." hidden="1">{"com_msw",#N/A,FALSE,"Common"}</definedName>
    <definedName name="wrn.msw_1." localSheetId="2" hidden="1">{"msw_1",#N/A,FALSE,"Common"}</definedName>
    <definedName name="wrn.msw_1." hidden="1">{"msw_1",#N/A,FALSE,"Common"}</definedName>
    <definedName name="wrn.msw_2." localSheetId="2" hidden="1">{"msw_2",#N/A,FALSE,"Common"}</definedName>
    <definedName name="wrn.msw_2." hidden="1">{"msw_2",#N/A,FALSE,"Common"}</definedName>
    <definedName name="wrn.NATIONAL._.GRID." localSheetId="2" hidden="1">{"NATIONAL GRID",#N/A,FALSE,"Sheet1"}</definedName>
    <definedName name="wrn.NATIONAL._.GRID." hidden="1">{"NATIONAL GRID",#N/A,FALSE,"Sheet1"}</definedName>
    <definedName name="wrn.regional._.grid." localSheetId="2" hidden="1">{"regional grid",#N/A,FALSE,"Sheet1"}</definedName>
    <definedName name="wrn.regional._.grid." hidden="1">{"regional grid",#N/A,FALSE,"Sheet1"}</definedName>
    <definedName name="wrn.res_mf_msw." localSheetId="2" hidden="1">{"res_mf_mssw",#N/A,FALSE,"Common"}</definedName>
    <definedName name="wrn.res_mf_msw." hidden="1">{"res_mf_mssw",#N/A,FALSE,"Common"}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136" i="10" l="1"/>
  <c r="AG135" i="10"/>
  <c r="AC135" i="10"/>
  <c r="Z135" i="10"/>
  <c r="Y135" i="10"/>
  <c r="AD135" i="10" s="1"/>
  <c r="AG134" i="10"/>
  <c r="AF134" i="10"/>
  <c r="AE134" i="10"/>
  <c r="AD134" i="10"/>
  <c r="Z134" i="10"/>
  <c r="Y134" i="10"/>
  <c r="AA134" i="10" s="1"/>
  <c r="AF133" i="10"/>
  <c r="AE133" i="10"/>
  <c r="AD133" i="10"/>
  <c r="AC133" i="10"/>
  <c r="AB133" i="10"/>
  <c r="AA133" i="10"/>
  <c r="Y133" i="10"/>
  <c r="AG133" i="10" s="1"/>
  <c r="AF132" i="10"/>
  <c r="AC132" i="10"/>
  <c r="AA132" i="10"/>
  <c r="Y132" i="10"/>
  <c r="AB132" i="10" s="1"/>
  <c r="Y131" i="10"/>
  <c r="AG130" i="10"/>
  <c r="AF130" i="10"/>
  <c r="AE130" i="10"/>
  <c r="AD130" i="10"/>
  <c r="Z130" i="10"/>
  <c r="Y130" i="10"/>
  <c r="AA130" i="10" s="1"/>
  <c r="AF129" i="10"/>
  <c r="AE129" i="10"/>
  <c r="AD129" i="10"/>
  <c r="AC129" i="10"/>
  <c r="AB129" i="10"/>
  <c r="AA129" i="10"/>
  <c r="Y129" i="10"/>
  <c r="AG129" i="10" s="1"/>
  <c r="AF128" i="10"/>
  <c r="AC128" i="10"/>
  <c r="AB128" i="10"/>
  <c r="AA128" i="10"/>
  <c r="Z128" i="10"/>
  <c r="Y128" i="10"/>
  <c r="AG127" i="10"/>
  <c r="Z127" i="10"/>
  <c r="Y127" i="10"/>
  <c r="AG126" i="10"/>
  <c r="AF126" i="10"/>
  <c r="AE126" i="10"/>
  <c r="AD126" i="10"/>
  <c r="Z126" i="10"/>
  <c r="Y126" i="10"/>
  <c r="AA126" i="10" s="1"/>
  <c r="AF125" i="10"/>
  <c r="AE125" i="10"/>
  <c r="AD125" i="10"/>
  <c r="AC125" i="10"/>
  <c r="AB125" i="10"/>
  <c r="AA125" i="10"/>
  <c r="Y125" i="10"/>
  <c r="AG125" i="10" s="1"/>
  <c r="AF124" i="10"/>
  <c r="AE124" i="10"/>
  <c r="AC124" i="10"/>
  <c r="AB124" i="10"/>
  <c r="AA124" i="10"/>
  <c r="Z124" i="10"/>
  <c r="Y124" i="10"/>
  <c r="Y123" i="10"/>
  <c r="AG122" i="10"/>
  <c r="AF122" i="10"/>
  <c r="AE122" i="10"/>
  <c r="AD122" i="10"/>
  <c r="AB122" i="10"/>
  <c r="Y122" i="10"/>
  <c r="Y121" i="10"/>
  <c r="AF120" i="10"/>
  <c r="AE120" i="10"/>
  <c r="AC120" i="10"/>
  <c r="AA120" i="10"/>
  <c r="Y120" i="10"/>
  <c r="AE119" i="10"/>
  <c r="AC119" i="10"/>
  <c r="AB119" i="10"/>
  <c r="Z119" i="10"/>
  <c r="Y119" i="10"/>
  <c r="AG118" i="10"/>
  <c r="AF118" i="10"/>
  <c r="AD118" i="10"/>
  <c r="Z118" i="10"/>
  <c r="Y118" i="10"/>
  <c r="AF117" i="10"/>
  <c r="AE117" i="10"/>
  <c r="AD117" i="10"/>
  <c r="AC117" i="10"/>
  <c r="AB117" i="10"/>
  <c r="AA117" i="10"/>
  <c r="Y117" i="10"/>
  <c r="Y116" i="10"/>
  <c r="AG115" i="10"/>
  <c r="AE115" i="10"/>
  <c r="AC115" i="10"/>
  <c r="AB115" i="10"/>
  <c r="Z115" i="10"/>
  <c r="Y115" i="10"/>
  <c r="AB114" i="10"/>
  <c r="Y114" i="10"/>
  <c r="AF113" i="10"/>
  <c r="AE113" i="10"/>
  <c r="AD113" i="10"/>
  <c r="AC113" i="10"/>
  <c r="AB113" i="10"/>
  <c r="AA113" i="10"/>
  <c r="Y113" i="10"/>
  <c r="AC112" i="10"/>
  <c r="AB112" i="10"/>
  <c r="AA112" i="10"/>
  <c r="Y112" i="10"/>
  <c r="AG111" i="10"/>
  <c r="AE111" i="10"/>
  <c r="AB111" i="10"/>
  <c r="Y111" i="10"/>
  <c r="AE110" i="10"/>
  <c r="Y110" i="10"/>
  <c r="AF109" i="10"/>
  <c r="AD109" i="10"/>
  <c r="Y109" i="10"/>
  <c r="AF108" i="10"/>
  <c r="AE108" i="10"/>
  <c r="AC108" i="10"/>
  <c r="AB108" i="10"/>
  <c r="AA108" i="10"/>
  <c r="Z108" i="10"/>
  <c r="Y108" i="10"/>
  <c r="AG107" i="10"/>
  <c r="Z107" i="10"/>
  <c r="Y107" i="10"/>
  <c r="Y106" i="10"/>
  <c r="Y105" i="10"/>
  <c r="AF104" i="10"/>
  <c r="AE104" i="10"/>
  <c r="AC104" i="10"/>
  <c r="AA104" i="10"/>
  <c r="Y104" i="10"/>
  <c r="Z103" i="10"/>
  <c r="Y103" i="10"/>
  <c r="AG102" i="10"/>
  <c r="AF102" i="10"/>
  <c r="AD102" i="10"/>
  <c r="Z102" i="10"/>
  <c r="Y102" i="10"/>
  <c r="Y101" i="10"/>
  <c r="Y100" i="10"/>
  <c r="AG99" i="10"/>
  <c r="AE99" i="10"/>
  <c r="AC99" i="10"/>
  <c r="AB99" i="10"/>
  <c r="Z99" i="10"/>
  <c r="Y99" i="10"/>
  <c r="Y98" i="10"/>
  <c r="AF97" i="10"/>
  <c r="AE97" i="10"/>
  <c r="AD97" i="10"/>
  <c r="AC97" i="10"/>
  <c r="AB97" i="10"/>
  <c r="AA97" i="10"/>
  <c r="Y97" i="10"/>
  <c r="Y96" i="10"/>
  <c r="AG95" i="10"/>
  <c r="AE95" i="10"/>
  <c r="AB95" i="10"/>
  <c r="Y95" i="10"/>
  <c r="Y94" i="10"/>
  <c r="AF93" i="10"/>
  <c r="Y93" i="10"/>
  <c r="AF92" i="10"/>
  <c r="AE92" i="10"/>
  <c r="AC92" i="10"/>
  <c r="AB92" i="10"/>
  <c r="AA92" i="10"/>
  <c r="Z92" i="10"/>
  <c r="Y92" i="10"/>
  <c r="Y91" i="10"/>
  <c r="AG90" i="10"/>
  <c r="AF90" i="10"/>
  <c r="AE90" i="10"/>
  <c r="AD90" i="10"/>
  <c r="AB90" i="10"/>
  <c r="Y90" i="10"/>
  <c r="Y89" i="10"/>
  <c r="AF88" i="10"/>
  <c r="AE88" i="10"/>
  <c r="AC88" i="10"/>
  <c r="AA88" i="10"/>
  <c r="Y88" i="10"/>
  <c r="AE87" i="10"/>
  <c r="AB87" i="10"/>
  <c r="Z87" i="10"/>
  <c r="Y87" i="10"/>
  <c r="AG86" i="10"/>
  <c r="AF86" i="10"/>
  <c r="AD86" i="10"/>
  <c r="Z86" i="10"/>
  <c r="Y86" i="10"/>
  <c r="AF85" i="10"/>
  <c r="AE85" i="10"/>
  <c r="AD85" i="10"/>
  <c r="AB85" i="10"/>
  <c r="AA85" i="10"/>
  <c r="Y85" i="10"/>
  <c r="AB84" i="10"/>
  <c r="Y84" i="10"/>
  <c r="AG83" i="10"/>
  <c r="AE83" i="10"/>
  <c r="AC83" i="10"/>
  <c r="AB83" i="10"/>
  <c r="Z83" i="10"/>
  <c r="Y83" i="10"/>
  <c r="Z82" i="10"/>
  <c r="Y82" i="10"/>
  <c r="AF81" i="10"/>
  <c r="AE81" i="10"/>
  <c r="AD81" i="10"/>
  <c r="AC81" i="10"/>
  <c r="AB81" i="10"/>
  <c r="AA81" i="10"/>
  <c r="Y81" i="10"/>
  <c r="AA80" i="10"/>
  <c r="Y80" i="10"/>
  <c r="AG79" i="10"/>
  <c r="AE79" i="10"/>
  <c r="Y79" i="10"/>
  <c r="Y78" i="10"/>
  <c r="AF77" i="10"/>
  <c r="AD77" i="10"/>
  <c r="AB77" i="10"/>
  <c r="Y77" i="10"/>
  <c r="AF76" i="10"/>
  <c r="AE76" i="10"/>
  <c r="AC76" i="10"/>
  <c r="AB76" i="10"/>
  <c r="AA76" i="10"/>
  <c r="Z76" i="10"/>
  <c r="Y76" i="10"/>
  <c r="AG75" i="10"/>
  <c r="AC75" i="10"/>
  <c r="Z75" i="10"/>
  <c r="Y75" i="10"/>
  <c r="AG74" i="10"/>
  <c r="AF74" i="10"/>
  <c r="AE74" i="10"/>
  <c r="Y74" i="10"/>
  <c r="AA73" i="10"/>
  <c r="Y73" i="10"/>
  <c r="AF72" i="10"/>
  <c r="AE72" i="10"/>
  <c r="AC72" i="10"/>
  <c r="AA72" i="10"/>
  <c r="Y72" i="10"/>
  <c r="Y71" i="10"/>
  <c r="AG70" i="10"/>
  <c r="AF70" i="10"/>
  <c r="AD70" i="10"/>
  <c r="Z70" i="10"/>
  <c r="Y70" i="10"/>
  <c r="Y69" i="10"/>
  <c r="Y68" i="10"/>
  <c r="AE68" i="10" s="1"/>
  <c r="AG67" i="10"/>
  <c r="AE67" i="10"/>
  <c r="AC67" i="10"/>
  <c r="AB67" i="10"/>
  <c r="Z67" i="10"/>
  <c r="Y67" i="10"/>
  <c r="Z66" i="10"/>
  <c r="Y66" i="10"/>
  <c r="AF65" i="10"/>
  <c r="AE65" i="10"/>
  <c r="AD65" i="10"/>
  <c r="AC65" i="10"/>
  <c r="AB65" i="10"/>
  <c r="AA65" i="10"/>
  <c r="Y65" i="10"/>
  <c r="Y64" i="10"/>
  <c r="AG63" i="10"/>
  <c r="AE63" i="10"/>
  <c r="AB63" i="10"/>
  <c r="Y63" i="10"/>
  <c r="AB62" i="10"/>
  <c r="Y62" i="10"/>
  <c r="Y61" i="10"/>
  <c r="AF60" i="10"/>
  <c r="AE60" i="10"/>
  <c r="AC60" i="10"/>
  <c r="AB60" i="10"/>
  <c r="AA60" i="10"/>
  <c r="Z60" i="10"/>
  <c r="Y60" i="10"/>
  <c r="AC59" i="10"/>
  <c r="Y59" i="10"/>
  <c r="AG58" i="10"/>
  <c r="AF58" i="10"/>
  <c r="AD58" i="10"/>
  <c r="Y58" i="10"/>
  <c r="AE57" i="10"/>
  <c r="AC57" i="10"/>
  <c r="AB57" i="10"/>
  <c r="Y57" i="10"/>
  <c r="AF56" i="10"/>
  <c r="Y56" i="10"/>
  <c r="Z55" i="10"/>
  <c r="Y55" i="10"/>
  <c r="AG54" i="10"/>
  <c r="AF54" i="10"/>
  <c r="AD54" i="10"/>
  <c r="Z54" i="10"/>
  <c r="Y54" i="10"/>
  <c r="AB53" i="10"/>
  <c r="Y53" i="10"/>
  <c r="Y52" i="10"/>
  <c r="AG51" i="10"/>
  <c r="AE51" i="10"/>
  <c r="AC51" i="10"/>
  <c r="AB51" i="10"/>
  <c r="Z51" i="10"/>
  <c r="Y51" i="10"/>
  <c r="Y50" i="10"/>
  <c r="AF49" i="10"/>
  <c r="AE49" i="10"/>
  <c r="AD49" i="10"/>
  <c r="AC49" i="10"/>
  <c r="AB49" i="10"/>
  <c r="AA49" i="10"/>
  <c r="Y49" i="10"/>
  <c r="AB48" i="10"/>
  <c r="Y48" i="10"/>
  <c r="AG47" i="10"/>
  <c r="AE47" i="10"/>
  <c r="AB47" i="10"/>
  <c r="Y47" i="10"/>
  <c r="Y46" i="10"/>
  <c r="AF45" i="10"/>
  <c r="AD45" i="10"/>
  <c r="AB45" i="10"/>
  <c r="Y45" i="10"/>
  <c r="AF44" i="10"/>
  <c r="AE44" i="10"/>
  <c r="AC44" i="10"/>
  <c r="AB44" i="10"/>
  <c r="AA44" i="10"/>
  <c r="Z44" i="10"/>
  <c r="Y44" i="10"/>
  <c r="AG43" i="10"/>
  <c r="AC43" i="10"/>
  <c r="Z43" i="10"/>
  <c r="Y43" i="10"/>
  <c r="AF42" i="10"/>
  <c r="AB42" i="10"/>
  <c r="Y42" i="10"/>
  <c r="AB41" i="10"/>
  <c r="Y41" i="10"/>
  <c r="AF40" i="10"/>
  <c r="AC40" i="10"/>
  <c r="Y40" i="10"/>
  <c r="AE39" i="10"/>
  <c r="AC39" i="10"/>
  <c r="AB39" i="10"/>
  <c r="Z39" i="10"/>
  <c r="Y39" i="10"/>
  <c r="AG38" i="10"/>
  <c r="AE38" i="10"/>
  <c r="AD38" i="10"/>
  <c r="AC38" i="10"/>
  <c r="AB38" i="10"/>
  <c r="AA38" i="10"/>
  <c r="Z38" i="10"/>
  <c r="Y38" i="10"/>
  <c r="AF38" i="10" s="1"/>
  <c r="AG37" i="10"/>
  <c r="AF37" i="10"/>
  <c r="AE37" i="10"/>
  <c r="AD37" i="10"/>
  <c r="AC37" i="10"/>
  <c r="AA37" i="10"/>
  <c r="Z37" i="10"/>
  <c r="Y37" i="10"/>
  <c r="AB37" i="10" s="1"/>
  <c r="AD36" i="10"/>
  <c r="AA36" i="10"/>
  <c r="Y36" i="10"/>
  <c r="Y35" i="10"/>
  <c r="AG34" i="10"/>
  <c r="AF34" i="10"/>
  <c r="AE34" i="10"/>
  <c r="AC34" i="10"/>
  <c r="Y34" i="10"/>
  <c r="Y33" i="10"/>
  <c r="Z33" i="10" s="1"/>
  <c r="AG32" i="10"/>
  <c r="AF32" i="10"/>
  <c r="AC32" i="10"/>
  <c r="Y32" i="10"/>
  <c r="AF31" i="10"/>
  <c r="AD31" i="10"/>
  <c r="AC31" i="10"/>
  <c r="AB31" i="10"/>
  <c r="AA31" i="10"/>
  <c r="Y31" i="10"/>
  <c r="AG30" i="10"/>
  <c r="AD30" i="10"/>
  <c r="AC30" i="10"/>
  <c r="AB30" i="10"/>
  <c r="AA30" i="10"/>
  <c r="Y30" i="10"/>
  <c r="AG29" i="10"/>
  <c r="AB29" i="10"/>
  <c r="Y29" i="10"/>
  <c r="AG28" i="10"/>
  <c r="AF28" i="10"/>
  <c r="AE28" i="10"/>
  <c r="AD28" i="10"/>
  <c r="AC28" i="10"/>
  <c r="AB28" i="10"/>
  <c r="AA28" i="10"/>
  <c r="Z28" i="10"/>
  <c r="Y28" i="10"/>
  <c r="P28" i="10"/>
  <c r="N28" i="10"/>
  <c r="M28" i="10"/>
  <c r="L28" i="10"/>
  <c r="AB27" i="10"/>
  <c r="Y27" i="10"/>
  <c r="AD26" i="10"/>
  <c r="AB26" i="10"/>
  <c r="Z26" i="10"/>
  <c r="Y26" i="10"/>
  <c r="AG25" i="10"/>
  <c r="AF25" i="10"/>
  <c r="AE25" i="10"/>
  <c r="AD25" i="10"/>
  <c r="AC25" i="10"/>
  <c r="AB25" i="10"/>
  <c r="AA25" i="10"/>
  <c r="Z25" i="10"/>
  <c r="Y25" i="10"/>
  <c r="Y24" i="10"/>
  <c r="AE23" i="10"/>
  <c r="AA23" i="10"/>
  <c r="Y23" i="10"/>
  <c r="AB23" i="10" s="1"/>
  <c r="AE22" i="10"/>
  <c r="AA22" i="10"/>
  <c r="Y22" i="10"/>
  <c r="Y21" i="10"/>
  <c r="AE20" i="10"/>
  <c r="AD20" i="10"/>
  <c r="AC20" i="10"/>
  <c r="AB20" i="10"/>
  <c r="AA20" i="10"/>
  <c r="Z20" i="10"/>
  <c r="Y20" i="10"/>
  <c r="AG19" i="10"/>
  <c r="AF19" i="10"/>
  <c r="AE19" i="10"/>
  <c r="AD19" i="10"/>
  <c r="AC19" i="10"/>
  <c r="AA19" i="10"/>
  <c r="Y19" i="10"/>
  <c r="AB19" i="10" s="1"/>
  <c r="C19" i="10"/>
  <c r="S19" i="10" s="1"/>
  <c r="B19" i="10"/>
  <c r="AF18" i="10"/>
  <c r="AE18" i="10"/>
  <c r="AD18" i="10"/>
  <c r="AA18" i="10"/>
  <c r="Y18" i="10"/>
  <c r="AG18" i="10" s="1"/>
  <c r="AD17" i="10"/>
  <c r="Y17" i="10"/>
  <c r="AG16" i="10"/>
  <c r="AC16" i="10"/>
  <c r="AB16" i="10"/>
  <c r="AA16" i="10"/>
  <c r="Z16" i="10"/>
  <c r="Y16" i="10"/>
  <c r="AG15" i="10"/>
  <c r="AF15" i="10"/>
  <c r="AE15" i="10"/>
  <c r="AD15" i="10"/>
  <c r="AC15" i="10"/>
  <c r="AB15" i="10"/>
  <c r="AA15" i="10"/>
  <c r="Z15" i="10"/>
  <c r="Y15" i="10"/>
  <c r="AG14" i="10"/>
  <c r="AF14" i="10"/>
  <c r="AE14" i="10"/>
  <c r="AD14" i="10"/>
  <c r="Y14" i="10"/>
  <c r="Y13" i="10"/>
  <c r="AF13" i="10" s="1"/>
  <c r="Y12" i="10"/>
  <c r="AE12" i="10" s="1"/>
  <c r="AE11" i="10"/>
  <c r="AD11" i="10"/>
  <c r="AC11" i="10"/>
  <c r="AB11" i="10"/>
  <c r="AA11" i="10"/>
  <c r="Z11" i="10"/>
  <c r="Y11" i="10"/>
  <c r="AG10" i="10"/>
  <c r="AF10" i="10"/>
  <c r="AE10" i="10"/>
  <c r="AD10" i="10"/>
  <c r="AC10" i="10"/>
  <c r="AB10" i="10"/>
  <c r="AA10" i="10"/>
  <c r="Z10" i="10"/>
  <c r="Y10" i="10"/>
  <c r="AA9" i="10"/>
  <c r="Y9" i="10"/>
  <c r="AG8" i="10"/>
  <c r="AD8" i="10"/>
  <c r="AB8" i="10"/>
  <c r="AA8" i="10"/>
  <c r="Y8" i="10"/>
  <c r="T6" i="10"/>
  <c r="S6" i="10"/>
  <c r="R6" i="10"/>
  <c r="Q6" i="10"/>
  <c r="P6" i="10"/>
  <c r="O6" i="10"/>
  <c r="G6" i="10"/>
  <c r="F6" i="10"/>
  <c r="E6" i="10"/>
  <c r="V2" i="10"/>
  <c r="V6" i="10" s="1"/>
  <c r="U2" i="10"/>
  <c r="U6" i="10" s="1"/>
  <c r="T2" i="10"/>
  <c r="S2" i="10"/>
  <c r="R2" i="10"/>
  <c r="Q2" i="10"/>
  <c r="P2" i="10"/>
  <c r="O2" i="10"/>
  <c r="N2" i="10"/>
  <c r="N6" i="10" s="1"/>
  <c r="M2" i="10"/>
  <c r="M6" i="10" s="1"/>
  <c r="L2" i="10"/>
  <c r="L6" i="10" s="1"/>
  <c r="K2" i="10"/>
  <c r="K6" i="10" s="1"/>
  <c r="J2" i="10"/>
  <c r="J6" i="10" s="1"/>
  <c r="I2" i="10"/>
  <c r="I6" i="10" s="1"/>
  <c r="H2" i="10"/>
  <c r="H6" i="10" s="1"/>
  <c r="G2" i="10"/>
  <c r="F2" i="10"/>
  <c r="E2" i="10"/>
  <c r="D29" i="9"/>
  <c r="D25" i="9"/>
  <c r="C31" i="9"/>
  <c r="C29" i="9"/>
  <c r="C32" i="10" s="1"/>
  <c r="C28" i="9"/>
  <c r="C31" i="10" s="1"/>
  <c r="C27" i="9"/>
  <c r="C30" i="10" s="1"/>
  <c r="C26" i="9"/>
  <c r="D26" i="9" s="1"/>
  <c r="D26" i="8" s="1"/>
  <c r="C25" i="9"/>
  <c r="C28" i="10" s="1"/>
  <c r="O28" i="10" s="1"/>
  <c r="C16" i="9"/>
  <c r="D16" i="9" s="1"/>
  <c r="C14" i="9"/>
  <c r="C13" i="9"/>
  <c r="C16" i="10" s="1"/>
  <c r="C12" i="9"/>
  <c r="D12" i="9" s="1"/>
  <c r="D12" i="8" s="1"/>
  <c r="C9" i="9"/>
  <c r="D9" i="9" s="1"/>
  <c r="D9" i="8" s="1"/>
  <c r="C7" i="9"/>
  <c r="C5" i="9" a="1"/>
  <c r="C19" i="9" s="1"/>
  <c r="F3352" i="8"/>
  <c r="E3352" i="8"/>
  <c r="D3352" i="8"/>
  <c r="C3352" i="8"/>
  <c r="F3351" i="8"/>
  <c r="E3351" i="8" s="1"/>
  <c r="D3351" i="8"/>
  <c r="C3351" i="8"/>
  <c r="F3350" i="8"/>
  <c r="E3350" i="8"/>
  <c r="D3350" i="8"/>
  <c r="C3350" i="8"/>
  <c r="F3349" i="8"/>
  <c r="E3349" i="8"/>
  <c r="D3349" i="8"/>
  <c r="C3349" i="8"/>
  <c r="F3348" i="8"/>
  <c r="E3348" i="8" s="1"/>
  <c r="D3348" i="8"/>
  <c r="C3348" i="8"/>
  <c r="F3347" i="8"/>
  <c r="E3347" i="8"/>
  <c r="D3347" i="8"/>
  <c r="C3347" i="8"/>
  <c r="F166" i="8"/>
  <c r="E166" i="8" s="1"/>
  <c r="C166" i="8"/>
  <c r="D166" i="8" s="1"/>
  <c r="B166" i="8"/>
  <c r="C165" i="8"/>
  <c r="B165" i="8"/>
  <c r="F164" i="8"/>
  <c r="E164" i="8"/>
  <c r="D164" i="8"/>
  <c r="C164" i="8"/>
  <c r="B164" i="8"/>
  <c r="C163" i="8"/>
  <c r="D163" i="8" s="1"/>
  <c r="B163" i="8"/>
  <c r="D162" i="8"/>
  <c r="C162" i="8"/>
  <c r="F162" i="8" s="1"/>
  <c r="E162" i="8" s="1"/>
  <c r="B162" i="8"/>
  <c r="F161" i="8"/>
  <c r="E161" i="8"/>
  <c r="D161" i="8"/>
  <c r="C161" i="8"/>
  <c r="B161" i="8"/>
  <c r="C160" i="8"/>
  <c r="B160" i="8"/>
  <c r="D159" i="8"/>
  <c r="C159" i="8"/>
  <c r="F159" i="8" s="1"/>
  <c r="E159" i="8" s="1"/>
  <c r="B159" i="8"/>
  <c r="D158" i="8"/>
  <c r="C158" i="8"/>
  <c r="F158" i="8" s="1"/>
  <c r="E158" i="8" s="1"/>
  <c r="B158" i="8"/>
  <c r="C157" i="8"/>
  <c r="F157" i="8" s="1"/>
  <c r="E157" i="8" s="1"/>
  <c r="B157" i="8"/>
  <c r="F156" i="8"/>
  <c r="E156" i="8" s="1"/>
  <c r="C156" i="8"/>
  <c r="D156" i="8" s="1"/>
  <c r="B156" i="8"/>
  <c r="E155" i="8"/>
  <c r="D155" i="8"/>
  <c r="C155" i="8"/>
  <c r="F155" i="8" s="1"/>
  <c r="B155" i="8"/>
  <c r="C154" i="8"/>
  <c r="F154" i="8" s="1"/>
  <c r="E154" i="8" s="1"/>
  <c r="B154" i="8"/>
  <c r="C153" i="8"/>
  <c r="B153" i="8"/>
  <c r="F152" i="8"/>
  <c r="E152" i="8" s="1"/>
  <c r="C152" i="8"/>
  <c r="D152" i="8" s="1"/>
  <c r="B152" i="8"/>
  <c r="C151" i="8"/>
  <c r="D151" i="8" s="1"/>
  <c r="B151" i="8"/>
  <c r="F150" i="8"/>
  <c r="E150" i="8"/>
  <c r="D150" i="8"/>
  <c r="C150" i="8"/>
  <c r="B150" i="8"/>
  <c r="F149" i="8"/>
  <c r="E149" i="8" s="1"/>
  <c r="D149" i="8"/>
  <c r="C149" i="8"/>
  <c r="B149" i="8"/>
  <c r="C148" i="8"/>
  <c r="F148" i="8" s="1"/>
  <c r="E148" i="8" s="1"/>
  <c r="B148" i="8"/>
  <c r="F147" i="8"/>
  <c r="E147" i="8"/>
  <c r="C147" i="8"/>
  <c r="D147" i="8" s="1"/>
  <c r="B147" i="8"/>
  <c r="C146" i="8"/>
  <c r="F146" i="8" s="1"/>
  <c r="E146" i="8" s="1"/>
  <c r="B146" i="8"/>
  <c r="C145" i="8"/>
  <c r="F145" i="8" s="1"/>
  <c r="E145" i="8" s="1"/>
  <c r="B145" i="8"/>
  <c r="F144" i="8"/>
  <c r="E144" i="8"/>
  <c r="C144" i="8"/>
  <c r="D144" i="8" s="1"/>
  <c r="B144" i="8"/>
  <c r="D143" i="8"/>
  <c r="C143" i="8"/>
  <c r="F143" i="8" s="1"/>
  <c r="E143" i="8" s="1"/>
  <c r="B143" i="8"/>
  <c r="C142" i="8"/>
  <c r="F142" i="8" s="1"/>
  <c r="E142" i="8" s="1"/>
  <c r="B142" i="8"/>
  <c r="E141" i="8"/>
  <c r="C141" i="8"/>
  <c r="F141" i="8" s="1"/>
  <c r="B141" i="8"/>
  <c r="C140" i="8"/>
  <c r="D140" i="8" s="1"/>
  <c r="B140" i="8"/>
  <c r="C139" i="8"/>
  <c r="D139" i="8" s="1"/>
  <c r="B139" i="8"/>
  <c r="F138" i="8"/>
  <c r="E138" i="8" s="1"/>
  <c r="C138" i="8"/>
  <c r="D138" i="8" s="1"/>
  <c r="B138" i="8"/>
  <c r="F137" i="8"/>
  <c r="E137" i="8"/>
  <c r="D137" i="8"/>
  <c r="C137" i="8"/>
  <c r="B137" i="8"/>
  <c r="F136" i="8"/>
  <c r="E136" i="8" s="1"/>
  <c r="D136" i="8"/>
  <c r="C136" i="8"/>
  <c r="B136" i="8"/>
  <c r="E135" i="8"/>
  <c r="D135" i="8"/>
  <c r="C135" i="8"/>
  <c r="F135" i="8" s="1"/>
  <c r="B135" i="8"/>
  <c r="D134" i="8"/>
  <c r="C134" i="8"/>
  <c r="F134" i="8" s="1"/>
  <c r="E134" i="8" s="1"/>
  <c r="B134" i="8"/>
  <c r="F133" i="8"/>
  <c r="E133" i="8" s="1"/>
  <c r="C133" i="8"/>
  <c r="D133" i="8" s="1"/>
  <c r="B133" i="8"/>
  <c r="F132" i="8"/>
  <c r="E132" i="8"/>
  <c r="C132" i="8"/>
  <c r="D132" i="8" s="1"/>
  <c r="B132" i="8"/>
  <c r="C131" i="8"/>
  <c r="D131" i="8" s="1"/>
  <c r="B131" i="8"/>
  <c r="C130" i="8"/>
  <c r="B130" i="8"/>
  <c r="C129" i="8"/>
  <c r="F129" i="8" s="1"/>
  <c r="E129" i="8" s="1"/>
  <c r="B129" i="8"/>
  <c r="F128" i="8"/>
  <c r="E128" i="8"/>
  <c r="D128" i="8"/>
  <c r="C128" i="8"/>
  <c r="B128" i="8"/>
  <c r="C127" i="8"/>
  <c r="B127" i="8"/>
  <c r="C126" i="8"/>
  <c r="D126" i="8" s="1"/>
  <c r="B126" i="8"/>
  <c r="F125" i="8"/>
  <c r="E125" i="8"/>
  <c r="D125" i="8"/>
  <c r="C125" i="8"/>
  <c r="B125" i="8"/>
  <c r="C124" i="8"/>
  <c r="F124" i="8" s="1"/>
  <c r="E124" i="8" s="1"/>
  <c r="B124" i="8"/>
  <c r="F123" i="8"/>
  <c r="E123" i="8"/>
  <c r="C123" i="8"/>
  <c r="D123" i="8" s="1"/>
  <c r="B123" i="8"/>
  <c r="C122" i="8"/>
  <c r="F122" i="8" s="1"/>
  <c r="E122" i="8" s="1"/>
  <c r="B122" i="8"/>
  <c r="C121" i="8"/>
  <c r="F121" i="8" s="1"/>
  <c r="E121" i="8" s="1"/>
  <c r="B121" i="8"/>
  <c r="F120" i="8"/>
  <c r="E120" i="8"/>
  <c r="D120" i="8"/>
  <c r="C120" i="8"/>
  <c r="B120" i="8"/>
  <c r="E119" i="8"/>
  <c r="D119" i="8"/>
  <c r="C119" i="8"/>
  <c r="F119" i="8" s="1"/>
  <c r="B119" i="8"/>
  <c r="C118" i="8"/>
  <c r="D118" i="8" s="1"/>
  <c r="B118" i="8"/>
  <c r="C117" i="8"/>
  <c r="F117" i="8" s="1"/>
  <c r="E117" i="8" s="1"/>
  <c r="B117" i="8"/>
  <c r="F116" i="8"/>
  <c r="E116" i="8" s="1"/>
  <c r="D116" i="8"/>
  <c r="C116" i="8"/>
  <c r="B116" i="8"/>
  <c r="C115" i="8"/>
  <c r="D115" i="8" s="1"/>
  <c r="B115" i="8"/>
  <c r="D114" i="8"/>
  <c r="C114" i="8"/>
  <c r="F114" i="8" s="1"/>
  <c r="E114" i="8" s="1"/>
  <c r="B114" i="8"/>
  <c r="F113" i="8"/>
  <c r="E113" i="8" s="1"/>
  <c r="D113" i="8"/>
  <c r="C113" i="8"/>
  <c r="B113" i="8"/>
  <c r="F112" i="8"/>
  <c r="E112" i="8" s="1"/>
  <c r="C112" i="8"/>
  <c r="D112" i="8" s="1"/>
  <c r="B112" i="8"/>
  <c r="F111" i="8"/>
  <c r="E111" i="8"/>
  <c r="C111" i="8"/>
  <c r="D111" i="8" s="1"/>
  <c r="B111" i="8"/>
  <c r="F110" i="8"/>
  <c r="E110" i="8" s="1"/>
  <c r="D110" i="8"/>
  <c r="C110" i="8"/>
  <c r="B110" i="8"/>
  <c r="C109" i="8"/>
  <c r="F109" i="8" s="1"/>
  <c r="E109" i="8" s="1"/>
  <c r="B109" i="8"/>
  <c r="F108" i="8"/>
  <c r="E108" i="8"/>
  <c r="D108" i="8"/>
  <c r="C108" i="8"/>
  <c r="B108" i="8"/>
  <c r="C107" i="8"/>
  <c r="D107" i="8" s="1"/>
  <c r="B107" i="8"/>
  <c r="C106" i="8"/>
  <c r="F106" i="8" s="1"/>
  <c r="E106" i="8" s="1"/>
  <c r="B106" i="8"/>
  <c r="E105" i="8"/>
  <c r="D105" i="8"/>
  <c r="C105" i="8"/>
  <c r="F105" i="8" s="1"/>
  <c r="B105" i="8"/>
  <c r="C104" i="8"/>
  <c r="F104" i="8" s="1"/>
  <c r="E104" i="8" s="1"/>
  <c r="B104" i="8"/>
  <c r="C103" i="8"/>
  <c r="D103" i="8" s="1"/>
  <c r="B103" i="8"/>
  <c r="F102" i="8"/>
  <c r="E102" i="8"/>
  <c r="C102" i="8"/>
  <c r="D102" i="8" s="1"/>
  <c r="B102" i="8"/>
  <c r="F101" i="8"/>
  <c r="E101" i="8" s="1"/>
  <c r="D101" i="8"/>
  <c r="C101" i="8"/>
  <c r="B101" i="8"/>
  <c r="C100" i="8"/>
  <c r="D100" i="8" s="1"/>
  <c r="B100" i="8"/>
  <c r="E99" i="8"/>
  <c r="C99" i="8"/>
  <c r="F99" i="8" s="1"/>
  <c r="B99" i="8"/>
  <c r="F98" i="8"/>
  <c r="E98" i="8" s="1"/>
  <c r="D98" i="8"/>
  <c r="C98" i="8"/>
  <c r="B98" i="8"/>
  <c r="F97" i="8"/>
  <c r="E97" i="8"/>
  <c r="C97" i="8"/>
  <c r="D97" i="8" s="1"/>
  <c r="B97" i="8"/>
  <c r="F96" i="8"/>
  <c r="E96" i="8" s="1"/>
  <c r="D96" i="8"/>
  <c r="C96" i="8"/>
  <c r="B96" i="8"/>
  <c r="C95" i="8"/>
  <c r="F95" i="8" s="1"/>
  <c r="E95" i="8" s="1"/>
  <c r="B95" i="8"/>
  <c r="E94" i="8"/>
  <c r="D94" i="8"/>
  <c r="C94" i="8"/>
  <c r="F94" i="8" s="1"/>
  <c r="B94" i="8"/>
  <c r="E93" i="8"/>
  <c r="C93" i="8"/>
  <c r="F93" i="8" s="1"/>
  <c r="B93" i="8"/>
  <c r="F92" i="8"/>
  <c r="E92" i="8"/>
  <c r="C92" i="8"/>
  <c r="D92" i="8" s="1"/>
  <c r="B92" i="8"/>
  <c r="F91" i="8"/>
  <c r="E91" i="8"/>
  <c r="C91" i="8"/>
  <c r="D91" i="8" s="1"/>
  <c r="B91" i="8"/>
  <c r="F90" i="8"/>
  <c r="E90" i="8" s="1"/>
  <c r="D90" i="8"/>
  <c r="C90" i="8"/>
  <c r="B90" i="8"/>
  <c r="C89" i="8"/>
  <c r="F89" i="8" s="1"/>
  <c r="E89" i="8" s="1"/>
  <c r="B89" i="8"/>
  <c r="F88" i="8"/>
  <c r="E88" i="8"/>
  <c r="D88" i="8"/>
  <c r="C88" i="8"/>
  <c r="B88" i="8"/>
  <c r="F87" i="8"/>
  <c r="E87" i="8"/>
  <c r="C87" i="8"/>
  <c r="D87" i="8" s="1"/>
  <c r="B87" i="8"/>
  <c r="C86" i="8"/>
  <c r="D86" i="8" s="1"/>
  <c r="B86" i="8"/>
  <c r="F85" i="8"/>
  <c r="E85" i="8" s="1"/>
  <c r="C85" i="8"/>
  <c r="D85" i="8" s="1"/>
  <c r="B85" i="8"/>
  <c r="F84" i="8"/>
  <c r="E84" i="8"/>
  <c r="D84" i="8"/>
  <c r="C84" i="8"/>
  <c r="B84" i="8"/>
  <c r="D83" i="8"/>
  <c r="C83" i="8"/>
  <c r="F83" i="8" s="1"/>
  <c r="E83" i="8" s="1"/>
  <c r="B83" i="8"/>
  <c r="F82" i="8"/>
  <c r="E82" i="8" s="1"/>
  <c r="C82" i="8"/>
  <c r="D82" i="8" s="1"/>
  <c r="B82" i="8"/>
  <c r="C81" i="8"/>
  <c r="F81" i="8" s="1"/>
  <c r="E81" i="8" s="1"/>
  <c r="B81" i="8"/>
  <c r="F80" i="8"/>
  <c r="E80" i="8"/>
  <c r="D80" i="8"/>
  <c r="C80" i="8"/>
  <c r="B80" i="8"/>
  <c r="C79" i="8"/>
  <c r="B79" i="8"/>
  <c r="C78" i="8"/>
  <c r="F78" i="8" s="1"/>
  <c r="E78" i="8" s="1"/>
  <c r="B78" i="8"/>
  <c r="F77" i="8"/>
  <c r="E77" i="8"/>
  <c r="D77" i="8"/>
  <c r="C77" i="8"/>
  <c r="B77" i="8"/>
  <c r="F76" i="8"/>
  <c r="E76" i="8"/>
  <c r="D76" i="8"/>
  <c r="C76" i="8"/>
  <c r="B76" i="8"/>
  <c r="C75" i="8"/>
  <c r="D75" i="8" s="1"/>
  <c r="B75" i="8"/>
  <c r="C74" i="8"/>
  <c r="F74" i="8" s="1"/>
  <c r="E74" i="8" s="1"/>
  <c r="B74" i="8"/>
  <c r="F73" i="8"/>
  <c r="E73" i="8" s="1"/>
  <c r="C73" i="8"/>
  <c r="D73" i="8" s="1"/>
  <c r="B73" i="8"/>
  <c r="F72" i="8"/>
  <c r="E72" i="8"/>
  <c r="C72" i="8"/>
  <c r="D72" i="8" s="1"/>
  <c r="B72" i="8"/>
  <c r="C71" i="8"/>
  <c r="D71" i="8" s="1"/>
  <c r="B71" i="8"/>
  <c r="C70" i="8"/>
  <c r="D70" i="8" s="1"/>
  <c r="B70" i="8"/>
  <c r="E69" i="8"/>
  <c r="D69" i="8"/>
  <c r="C69" i="8"/>
  <c r="F69" i="8" s="1"/>
  <c r="B69" i="8"/>
  <c r="F68" i="8"/>
  <c r="E68" i="8"/>
  <c r="D68" i="8"/>
  <c r="C68" i="8"/>
  <c r="B68" i="8"/>
  <c r="C67" i="8"/>
  <c r="D67" i="8" s="1"/>
  <c r="B67" i="8"/>
  <c r="F66" i="8"/>
  <c r="E66" i="8" s="1"/>
  <c r="C66" i="8"/>
  <c r="D66" i="8" s="1"/>
  <c r="B66" i="8"/>
  <c r="F65" i="8"/>
  <c r="E65" i="8" s="1"/>
  <c r="D65" i="8"/>
  <c r="C65" i="8"/>
  <c r="B65" i="8"/>
  <c r="D64" i="8"/>
  <c r="C64" i="8"/>
  <c r="F64" i="8" s="1"/>
  <c r="E64" i="8" s="1"/>
  <c r="B64" i="8"/>
  <c r="F63" i="8"/>
  <c r="E63" i="8" s="1"/>
  <c r="D63" i="8"/>
  <c r="C63" i="8"/>
  <c r="B63" i="8"/>
  <c r="C62" i="8"/>
  <c r="F62" i="8" s="1"/>
  <c r="E62" i="8" s="1"/>
  <c r="B62" i="8"/>
  <c r="F61" i="8"/>
  <c r="E61" i="8"/>
  <c r="D61" i="8"/>
  <c r="C61" i="8"/>
  <c r="B61" i="8"/>
  <c r="F60" i="8"/>
  <c r="E60" i="8"/>
  <c r="C60" i="8"/>
  <c r="D60" i="8" s="1"/>
  <c r="B60" i="8"/>
  <c r="C59" i="8"/>
  <c r="F59" i="8" s="1"/>
  <c r="E59" i="8" s="1"/>
  <c r="B59" i="8"/>
  <c r="F58" i="8"/>
  <c r="E58" i="8" s="1"/>
  <c r="D58" i="8"/>
  <c r="C58" i="8"/>
  <c r="B58" i="8"/>
  <c r="E57" i="8"/>
  <c r="C57" i="8"/>
  <c r="F57" i="8" s="1"/>
  <c r="B57" i="8"/>
  <c r="D56" i="8"/>
  <c r="C56" i="8"/>
  <c r="F56" i="8" s="1"/>
  <c r="E56" i="8" s="1"/>
  <c r="B56" i="8"/>
  <c r="F55" i="8"/>
  <c r="E55" i="8" s="1"/>
  <c r="C55" i="8"/>
  <c r="D55" i="8" s="1"/>
  <c r="B55" i="8"/>
  <c r="C54" i="8"/>
  <c r="F54" i="8" s="1"/>
  <c r="E54" i="8" s="1"/>
  <c r="B54" i="8"/>
  <c r="F53" i="8"/>
  <c r="E53" i="8"/>
  <c r="D53" i="8"/>
  <c r="C53" i="8"/>
  <c r="B53" i="8"/>
  <c r="F52" i="8"/>
  <c r="E52" i="8"/>
  <c r="D52" i="8"/>
  <c r="C52" i="8"/>
  <c r="B52" i="8"/>
  <c r="C51" i="8"/>
  <c r="D51" i="8" s="1"/>
  <c r="B51" i="8"/>
  <c r="C50" i="8"/>
  <c r="F50" i="8" s="1"/>
  <c r="E50" i="8" s="1"/>
  <c r="B50" i="8"/>
  <c r="F49" i="8"/>
  <c r="E49" i="8" s="1"/>
  <c r="C49" i="8"/>
  <c r="D49" i="8" s="1"/>
  <c r="B49" i="8"/>
  <c r="F48" i="8"/>
  <c r="E48" i="8"/>
  <c r="C48" i="8"/>
  <c r="D48" i="8" s="1"/>
  <c r="B48" i="8"/>
  <c r="C47" i="8"/>
  <c r="D47" i="8" s="1"/>
  <c r="B47" i="8"/>
  <c r="C46" i="8"/>
  <c r="F46" i="8" s="1"/>
  <c r="E46" i="8" s="1"/>
  <c r="B46" i="8"/>
  <c r="E45" i="8"/>
  <c r="D45" i="8"/>
  <c r="C45" i="8"/>
  <c r="F45" i="8" s="1"/>
  <c r="B45" i="8"/>
  <c r="F44" i="8"/>
  <c r="E44" i="8"/>
  <c r="D44" i="8"/>
  <c r="C44" i="8"/>
  <c r="B44" i="8"/>
  <c r="C43" i="8"/>
  <c r="D43" i="8" s="1"/>
  <c r="B43" i="8"/>
  <c r="F42" i="8"/>
  <c r="E42" i="8"/>
  <c r="C42" i="8"/>
  <c r="D42" i="8" s="1"/>
  <c r="B42" i="8"/>
  <c r="F41" i="8"/>
  <c r="E41" i="8" s="1"/>
  <c r="D41" i="8"/>
  <c r="C41" i="8"/>
  <c r="B41" i="8"/>
  <c r="C40" i="8"/>
  <c r="F40" i="8" s="1"/>
  <c r="E40" i="8" s="1"/>
  <c r="B40" i="8"/>
  <c r="F39" i="8"/>
  <c r="E39" i="8" s="1"/>
  <c r="D39" i="8"/>
  <c r="C39" i="8"/>
  <c r="B39" i="8"/>
  <c r="C38" i="8"/>
  <c r="F38" i="8" s="1"/>
  <c r="E38" i="8" s="1"/>
  <c r="B38" i="8"/>
  <c r="C31" i="8"/>
  <c r="B34" i="10" s="1"/>
  <c r="D29" i="8"/>
  <c r="C29" i="8"/>
  <c r="B32" i="10" s="1"/>
  <c r="C28" i="8"/>
  <c r="B31" i="10" s="1"/>
  <c r="C26" i="8"/>
  <c r="B29" i="10" s="1"/>
  <c r="D25" i="8"/>
  <c r="C25" i="8"/>
  <c r="B28" i="10" s="1"/>
  <c r="C19" i="8"/>
  <c r="B22" i="10" s="1"/>
  <c r="D16" i="8"/>
  <c r="C16" i="8"/>
  <c r="C14" i="8"/>
  <c r="B17" i="10" s="1"/>
  <c r="C7" i="8"/>
  <c r="B10" i="10" s="1"/>
  <c r="L30" i="10" l="1"/>
  <c r="V30" i="10"/>
  <c r="J30" i="10"/>
  <c r="U30" i="10"/>
  <c r="G30" i="10"/>
  <c r="S30" i="10"/>
  <c r="E30" i="10"/>
  <c r="Q30" i="10"/>
  <c r="P30" i="10"/>
  <c r="N30" i="10"/>
  <c r="M30" i="10"/>
  <c r="T30" i="10"/>
  <c r="R30" i="10"/>
  <c r="O30" i="10"/>
  <c r="K30" i="10"/>
  <c r="I30" i="10"/>
  <c r="H30" i="10"/>
  <c r="F30" i="10"/>
  <c r="D40" i="8"/>
  <c r="D59" i="8"/>
  <c r="C13" i="8"/>
  <c r="B16" i="10" s="1"/>
  <c r="F47" i="8"/>
  <c r="E47" i="8" s="1"/>
  <c r="D50" i="8"/>
  <c r="F71" i="8"/>
  <c r="E71" i="8" s="1"/>
  <c r="D74" i="8"/>
  <c r="D99" i="8"/>
  <c r="F131" i="8"/>
  <c r="E131" i="8" s="1"/>
  <c r="F140" i="8"/>
  <c r="E140" i="8" s="1"/>
  <c r="N32" i="10"/>
  <c r="L32" i="10"/>
  <c r="U32" i="10"/>
  <c r="G32" i="10"/>
  <c r="S32" i="10"/>
  <c r="E32" i="10"/>
  <c r="M32" i="10"/>
  <c r="K32" i="10"/>
  <c r="J32" i="10"/>
  <c r="H32" i="10"/>
  <c r="F32" i="10"/>
  <c r="O32" i="10"/>
  <c r="I32" i="10"/>
  <c r="Q32" i="10"/>
  <c r="P32" i="10"/>
  <c r="C29" i="10"/>
  <c r="F153" i="8"/>
  <c r="E153" i="8" s="1"/>
  <c r="D153" i="8"/>
  <c r="C22" i="10"/>
  <c r="D19" i="9"/>
  <c r="D19" i="8" s="1"/>
  <c r="C34" i="10"/>
  <c r="D31" i="9"/>
  <c r="D31" i="8" s="1"/>
  <c r="Z17" i="10"/>
  <c r="AF17" i="10"/>
  <c r="AE17" i="10"/>
  <c r="AC17" i="10"/>
  <c r="AB17" i="10"/>
  <c r="AG17" i="10"/>
  <c r="AA17" i="10"/>
  <c r="AF26" i="10"/>
  <c r="AC26" i="10"/>
  <c r="AA26" i="10"/>
  <c r="AG26" i="10"/>
  <c r="AE26" i="10"/>
  <c r="AD55" i="10"/>
  <c r="AA55" i="10"/>
  <c r="AF55" i="10"/>
  <c r="AG55" i="10"/>
  <c r="AE55" i="10"/>
  <c r="AC55" i="10"/>
  <c r="AB55" i="10"/>
  <c r="F160" i="8"/>
  <c r="E160" i="8" s="1"/>
  <c r="D160" i="8"/>
  <c r="D46" i="8"/>
  <c r="F51" i="8"/>
  <c r="E51" i="8" s="1"/>
  <c r="F67" i="8"/>
  <c r="E67" i="8" s="1"/>
  <c r="D157" i="8"/>
  <c r="Q16" i="10"/>
  <c r="E16" i="10"/>
  <c r="T16" i="10"/>
  <c r="G16" i="10"/>
  <c r="S16" i="10"/>
  <c r="F16" i="10"/>
  <c r="P16" i="10"/>
  <c r="O16" i="10"/>
  <c r="V16" i="10"/>
  <c r="U16" i="10"/>
  <c r="N16" i="10"/>
  <c r="H16" i="10"/>
  <c r="Z35" i="10"/>
  <c r="AA35" i="10"/>
  <c r="AD35" i="10"/>
  <c r="AB35" i="10"/>
  <c r="AG35" i="10"/>
  <c r="AF35" i="10"/>
  <c r="AE35" i="10"/>
  <c r="AG52" i="10"/>
  <c r="AD52" i="10"/>
  <c r="AF52" i="10"/>
  <c r="AC52" i="10"/>
  <c r="AA52" i="10"/>
  <c r="AE52" i="10"/>
  <c r="AB52" i="10"/>
  <c r="Z52" i="10"/>
  <c r="D38" i="8"/>
  <c r="D54" i="8"/>
  <c r="D62" i="8"/>
  <c r="D78" i="8"/>
  <c r="D81" i="8"/>
  <c r="F86" i="8"/>
  <c r="E86" i="8" s="1"/>
  <c r="D89" i="8"/>
  <c r="D95" i="8"/>
  <c r="F100" i="8"/>
  <c r="E100" i="8" s="1"/>
  <c r="D109" i="8"/>
  <c r="F115" i="8"/>
  <c r="E115" i="8" s="1"/>
  <c r="F118" i="8"/>
  <c r="E118" i="8" s="1"/>
  <c r="D121" i="8"/>
  <c r="D124" i="8"/>
  <c r="F126" i="8"/>
  <c r="E126" i="8" s="1"/>
  <c r="C17" i="10"/>
  <c r="D14" i="9"/>
  <c r="D14" i="8" s="1"/>
  <c r="D13" i="9"/>
  <c r="D13" i="8" s="1"/>
  <c r="I16" i="10"/>
  <c r="R19" i="10"/>
  <c r="AD24" i="10"/>
  <c r="AF24" i="10"/>
  <c r="AE24" i="10"/>
  <c r="AG24" i="10"/>
  <c r="AC24" i="10"/>
  <c r="AB24" i="10"/>
  <c r="AA24" i="10"/>
  <c r="AC35" i="10"/>
  <c r="F19" i="10"/>
  <c r="D106" i="8"/>
  <c r="C15" i="10"/>
  <c r="Q19" i="10"/>
  <c r="AG33" i="10"/>
  <c r="AE33" i="10"/>
  <c r="AD33" i="10"/>
  <c r="AF33" i="10"/>
  <c r="AC33" i="10"/>
  <c r="AB33" i="10"/>
  <c r="AA33" i="10"/>
  <c r="D142" i="8"/>
  <c r="D145" i="8"/>
  <c r="D148" i="8"/>
  <c r="D57" i="8"/>
  <c r="F70" i="8"/>
  <c r="E70" i="8" s="1"/>
  <c r="F103" i="8"/>
  <c r="E103" i="8" s="1"/>
  <c r="F130" i="8"/>
  <c r="E130" i="8" s="1"/>
  <c r="D130" i="8"/>
  <c r="F139" i="8"/>
  <c r="E139" i="8" s="1"/>
  <c r="F151" i="8"/>
  <c r="E151" i="8" s="1"/>
  <c r="J16" i="10"/>
  <c r="Z24" i="10"/>
  <c r="AG101" i="10"/>
  <c r="Z101" i="10"/>
  <c r="AF101" i="10"/>
  <c r="AE101" i="10"/>
  <c r="AD101" i="10"/>
  <c r="AC101" i="10"/>
  <c r="AB101" i="10"/>
  <c r="AA101" i="10"/>
  <c r="N19" i="10"/>
  <c r="K19" i="10"/>
  <c r="J19" i="10"/>
  <c r="U19" i="10"/>
  <c r="H19" i="10"/>
  <c r="T19" i="10"/>
  <c r="G19" i="10"/>
  <c r="O19" i="10"/>
  <c r="M19" i="10"/>
  <c r="L19" i="10"/>
  <c r="I19" i="10"/>
  <c r="E19" i="10"/>
  <c r="P19" i="10"/>
  <c r="F43" i="8"/>
  <c r="E43" i="8" s="1"/>
  <c r="F75" i="8"/>
  <c r="E75" i="8" s="1"/>
  <c r="D154" i="8"/>
  <c r="D127" i="8"/>
  <c r="F127" i="8"/>
  <c r="E127" i="8" s="1"/>
  <c r="V28" i="10"/>
  <c r="T28" i="10"/>
  <c r="H28" i="10"/>
  <c r="I28" i="10"/>
  <c r="S28" i="10"/>
  <c r="F28" i="10"/>
  <c r="J28" i="10"/>
  <c r="G28" i="10"/>
  <c r="U28" i="10"/>
  <c r="R28" i="10"/>
  <c r="E28" i="10"/>
  <c r="Q28" i="10"/>
  <c r="K28" i="10"/>
  <c r="K16" i="10"/>
  <c r="V19" i="10"/>
  <c r="AA27" i="10"/>
  <c r="Z27" i="10"/>
  <c r="AG27" i="10"/>
  <c r="AF27" i="10"/>
  <c r="AE27" i="10"/>
  <c r="AD27" i="10"/>
  <c r="AC27" i="10"/>
  <c r="R32" i="10"/>
  <c r="AA46" i="10"/>
  <c r="AC46" i="10"/>
  <c r="AG46" i="10"/>
  <c r="AF46" i="10"/>
  <c r="AE46" i="10"/>
  <c r="AD46" i="10"/>
  <c r="AB46" i="10"/>
  <c r="Z46" i="10"/>
  <c r="AG105" i="10"/>
  <c r="Z105" i="10"/>
  <c r="AF105" i="10"/>
  <c r="AE105" i="10"/>
  <c r="AD105" i="10"/>
  <c r="AC105" i="10"/>
  <c r="AB105" i="10"/>
  <c r="AA105" i="10"/>
  <c r="AD13" i="10"/>
  <c r="AC13" i="10"/>
  <c r="AA13" i="10"/>
  <c r="Z13" i="10"/>
  <c r="AG13" i="10"/>
  <c r="AE13" i="10"/>
  <c r="L16" i="10"/>
  <c r="AD21" i="10"/>
  <c r="AG21" i="10"/>
  <c r="AE21" i="10"/>
  <c r="AC21" i="10"/>
  <c r="AF21" i="10"/>
  <c r="AB21" i="10"/>
  <c r="AA21" i="10"/>
  <c r="Z21" i="10"/>
  <c r="T32" i="10"/>
  <c r="AG68" i="10"/>
  <c r="AD68" i="10"/>
  <c r="AF68" i="10"/>
  <c r="AC68" i="10"/>
  <c r="AA68" i="10"/>
  <c r="C12" i="8"/>
  <c r="B15" i="10" s="1"/>
  <c r="D79" i="8"/>
  <c r="F79" i="8"/>
  <c r="E79" i="8" s="1"/>
  <c r="D93" i="8"/>
  <c r="D104" i="8"/>
  <c r="F107" i="8"/>
  <c r="E107" i="8" s="1"/>
  <c r="F165" i="8"/>
  <c r="E165" i="8" s="1"/>
  <c r="D165" i="8"/>
  <c r="D27" i="9"/>
  <c r="D27" i="8" s="1"/>
  <c r="C27" i="8"/>
  <c r="B30" i="10" s="1"/>
  <c r="D28" i="9"/>
  <c r="D28" i="8" s="1"/>
  <c r="M16" i="10"/>
  <c r="V32" i="10"/>
  <c r="AG61" i="10"/>
  <c r="Z61" i="10"/>
  <c r="AE61" i="10"/>
  <c r="AC61" i="10"/>
  <c r="AA61" i="10"/>
  <c r="AF61" i="10"/>
  <c r="AD61" i="10"/>
  <c r="AB61" i="10"/>
  <c r="Z68" i="10"/>
  <c r="AA78" i="10"/>
  <c r="AC78" i="10"/>
  <c r="AG78" i="10"/>
  <c r="AF78" i="10"/>
  <c r="AE78" i="10"/>
  <c r="AD78" i="10"/>
  <c r="AB78" i="10"/>
  <c r="Z78" i="10"/>
  <c r="C10" i="10"/>
  <c r="D7" i="9"/>
  <c r="D7" i="8" s="1"/>
  <c r="C12" i="10"/>
  <c r="C9" i="8"/>
  <c r="B12" i="10" s="1"/>
  <c r="AB13" i="10"/>
  <c r="D129" i="8"/>
  <c r="S31" i="10"/>
  <c r="G31" i="10"/>
  <c r="Q31" i="10"/>
  <c r="E31" i="10"/>
  <c r="V31" i="10"/>
  <c r="H31" i="10"/>
  <c r="T31" i="10"/>
  <c r="F31" i="10"/>
  <c r="R31" i="10"/>
  <c r="P31" i="10"/>
  <c r="N31" i="10"/>
  <c r="M31" i="10"/>
  <c r="L31" i="10"/>
  <c r="K31" i="10"/>
  <c r="J31" i="10"/>
  <c r="I31" i="10"/>
  <c r="U31" i="10"/>
  <c r="O31" i="10"/>
  <c r="R16" i="10"/>
  <c r="Z23" i="10"/>
  <c r="AG23" i="10"/>
  <c r="AF23" i="10"/>
  <c r="AD23" i="10"/>
  <c r="AC23" i="10"/>
  <c r="AB68" i="10"/>
  <c r="C6" i="9"/>
  <c r="C24" i="9"/>
  <c r="AE29" i="10"/>
  <c r="AC29" i="10"/>
  <c r="AF29" i="10"/>
  <c r="AD29" i="10"/>
  <c r="AA29" i="10"/>
  <c r="Z29" i="10"/>
  <c r="Z30" i="10"/>
  <c r="AF30" i="10"/>
  <c r="AE30" i="10"/>
  <c r="AD75" i="10"/>
  <c r="AA75" i="10"/>
  <c r="AF75" i="10"/>
  <c r="AE75" i="10"/>
  <c r="AB75" i="10"/>
  <c r="AG84" i="10"/>
  <c r="AD84" i="10"/>
  <c r="AF84" i="10"/>
  <c r="AC84" i="10"/>
  <c r="AA84" i="10"/>
  <c r="AE84" i="10"/>
  <c r="AD43" i="10"/>
  <c r="AA43" i="10"/>
  <c r="AF43" i="10"/>
  <c r="AE43" i="10"/>
  <c r="AB43" i="10"/>
  <c r="Z84" i="10"/>
  <c r="C15" i="9"/>
  <c r="C30" i="9"/>
  <c r="AD9" i="10"/>
  <c r="AC9" i="10"/>
  <c r="AB9" i="10"/>
  <c r="Z9" i="10"/>
  <c r="AA66" i="10"/>
  <c r="AC66" i="10"/>
  <c r="AF66" i="10"/>
  <c r="AD66" i="10"/>
  <c r="AG66" i="10"/>
  <c r="AE66" i="10"/>
  <c r="AB66" i="10"/>
  <c r="AA98" i="10"/>
  <c r="AC98" i="10"/>
  <c r="AF98" i="10"/>
  <c r="AE98" i="10"/>
  <c r="AD98" i="10"/>
  <c r="AG98" i="10"/>
  <c r="Z98" i="10"/>
  <c r="C17" i="9"/>
  <c r="C33" i="9"/>
  <c r="AE9" i="10"/>
  <c r="AA12" i="10"/>
  <c r="AG12" i="10"/>
  <c r="AF12" i="10"/>
  <c r="AD12" i="10"/>
  <c r="AA50" i="10"/>
  <c r="AC50" i="10"/>
  <c r="AF50" i="10"/>
  <c r="AD50" i="10"/>
  <c r="AG50" i="10"/>
  <c r="AE50" i="10"/>
  <c r="AB98" i="10"/>
  <c r="D117" i="8"/>
  <c r="D122" i="8"/>
  <c r="D146" i="8"/>
  <c r="C18" i="9"/>
  <c r="C36" i="9"/>
  <c r="AF8" i="10"/>
  <c r="AE8" i="10"/>
  <c r="AC8" i="10"/>
  <c r="AF9" i="10"/>
  <c r="Z12" i="10"/>
  <c r="AC14" i="10"/>
  <c r="AA14" i="10"/>
  <c r="Z14" i="10"/>
  <c r="AG48" i="10"/>
  <c r="AD48" i="10"/>
  <c r="AE48" i="10"/>
  <c r="AF48" i="10"/>
  <c r="AC48" i="10"/>
  <c r="Z50" i="10"/>
  <c r="AG64" i="10"/>
  <c r="AD64" i="10"/>
  <c r="AE64" i="10"/>
  <c r="AF64" i="10"/>
  <c r="AC64" i="10"/>
  <c r="AB64" i="10"/>
  <c r="AA64" i="10"/>
  <c r="AG96" i="10"/>
  <c r="AD96" i="10"/>
  <c r="AF96" i="10"/>
  <c r="AE96" i="10"/>
  <c r="AC96" i="10"/>
  <c r="AB96" i="10"/>
  <c r="D141" i="8"/>
  <c r="F163" i="8"/>
  <c r="E163" i="8" s="1"/>
  <c r="C5" i="9"/>
  <c r="Z8" i="10"/>
  <c r="AG9" i="10"/>
  <c r="AB12" i="10"/>
  <c r="AB14" i="10"/>
  <c r="AE16" i="10"/>
  <c r="AF16" i="10"/>
  <c r="AD16" i="10"/>
  <c r="AG20" i="10"/>
  <c r="AF20" i="10"/>
  <c r="Z48" i="10"/>
  <c r="AB50" i="10"/>
  <c r="Z64" i="10"/>
  <c r="Z96" i="10"/>
  <c r="C35" i="9"/>
  <c r="C23" i="9"/>
  <c r="C11" i="9"/>
  <c r="C34" i="9"/>
  <c r="C22" i="9"/>
  <c r="C10" i="9"/>
  <c r="C32" i="9"/>
  <c r="C20" i="9"/>
  <c r="C8" i="9"/>
  <c r="C21" i="9"/>
  <c r="AF11" i="10"/>
  <c r="AG11" i="10"/>
  <c r="AC12" i="10"/>
  <c r="AB22" i="10"/>
  <c r="Z22" i="10"/>
  <c r="AG22" i="10"/>
  <c r="AF22" i="10"/>
  <c r="AD22" i="10"/>
  <c r="AC22" i="10"/>
  <c r="AA48" i="10"/>
  <c r="AG89" i="10"/>
  <c r="Z89" i="10"/>
  <c r="AF89" i="10"/>
  <c r="AD89" i="10"/>
  <c r="AE89" i="10"/>
  <c r="AC89" i="10"/>
  <c r="AB89" i="10"/>
  <c r="AA89" i="10"/>
  <c r="AA96" i="10"/>
  <c r="AD71" i="10"/>
  <c r="AA71" i="10"/>
  <c r="AF71" i="10"/>
  <c r="AG71" i="10"/>
  <c r="AE71" i="10"/>
  <c r="AC71" i="10"/>
  <c r="AB71" i="10"/>
  <c r="Z71" i="10"/>
  <c r="AG77" i="10"/>
  <c r="Z77" i="10"/>
  <c r="AE77" i="10"/>
  <c r="AC77" i="10"/>
  <c r="AA77" i="10"/>
  <c r="AB32" i="10"/>
  <c r="Z32" i="10"/>
  <c r="AG36" i="10"/>
  <c r="AF36" i="10"/>
  <c r="AE36" i="10"/>
  <c r="AG41" i="10"/>
  <c r="Z41" i="10"/>
  <c r="AF41" i="10"/>
  <c r="AD41" i="10"/>
  <c r="AG53" i="10"/>
  <c r="Z53" i="10"/>
  <c r="AF53" i="10"/>
  <c r="AD53" i="10"/>
  <c r="AC53" i="10"/>
  <c r="AG56" i="10"/>
  <c r="AD56" i="10"/>
  <c r="AB56" i="10"/>
  <c r="Z56" i="10"/>
  <c r="AC56" i="10"/>
  <c r="AA56" i="10"/>
  <c r="AD59" i="10"/>
  <c r="AA59" i="10"/>
  <c r="AF59" i="10"/>
  <c r="AE59" i="10"/>
  <c r="AB59" i="10"/>
  <c r="AG69" i="10"/>
  <c r="Z69" i="10"/>
  <c r="AE69" i="10"/>
  <c r="AD69" i="10"/>
  <c r="AC69" i="10"/>
  <c r="AB69" i="10"/>
  <c r="AA69" i="10"/>
  <c r="AG93" i="10"/>
  <c r="Z93" i="10"/>
  <c r="AE93" i="10"/>
  <c r="AC93" i="10"/>
  <c r="AB93" i="10"/>
  <c r="AA93" i="10"/>
  <c r="Z18" i="10"/>
  <c r="AA32" i="10"/>
  <c r="Z36" i="10"/>
  <c r="AA41" i="10"/>
  <c r="AA53" i="10"/>
  <c r="AE56" i="10"/>
  <c r="Z59" i="10"/>
  <c r="AF69" i="10"/>
  <c r="AG73" i="10"/>
  <c r="Z73" i="10"/>
  <c r="AF73" i="10"/>
  <c r="AD73" i="10"/>
  <c r="AE73" i="10"/>
  <c r="AC73" i="10"/>
  <c r="AA82" i="10"/>
  <c r="AC82" i="10"/>
  <c r="AF82" i="10"/>
  <c r="AD82" i="10"/>
  <c r="AG82" i="10"/>
  <c r="AE82" i="10"/>
  <c r="AB82" i="10"/>
  <c r="AD93" i="10"/>
  <c r="AD103" i="10"/>
  <c r="AA103" i="10"/>
  <c r="AF103" i="10"/>
  <c r="AG103" i="10"/>
  <c r="AE103" i="10"/>
  <c r="AC103" i="10"/>
  <c r="AB103" i="10"/>
  <c r="AA110" i="10"/>
  <c r="AC110" i="10"/>
  <c r="AG110" i="10"/>
  <c r="AF110" i="10"/>
  <c r="AB18" i="10"/>
  <c r="AG31" i="10"/>
  <c r="AE31" i="10"/>
  <c r="AD32" i="10"/>
  <c r="AD34" i="10"/>
  <c r="AB34" i="10"/>
  <c r="Z34" i="10"/>
  <c r="AB36" i="10"/>
  <c r="AC41" i="10"/>
  <c r="AE53" i="10"/>
  <c r="AG57" i="10"/>
  <c r="Z57" i="10"/>
  <c r="AF57" i="10"/>
  <c r="AD57" i="10"/>
  <c r="AG59" i="10"/>
  <c r="AA62" i="10"/>
  <c r="AC62" i="10"/>
  <c r="AG62" i="10"/>
  <c r="AF62" i="10"/>
  <c r="AE62" i="10"/>
  <c r="AD62" i="10"/>
  <c r="AB73" i="10"/>
  <c r="AG80" i="10"/>
  <c r="AD80" i="10"/>
  <c r="AE80" i="10"/>
  <c r="AF80" i="10"/>
  <c r="AC80" i="10"/>
  <c r="AB80" i="10"/>
  <c r="AD91" i="10"/>
  <c r="AA91" i="10"/>
  <c r="AF91" i="10"/>
  <c r="AE91" i="10"/>
  <c r="AC91" i="10"/>
  <c r="AB91" i="10"/>
  <c r="AG91" i="10"/>
  <c r="AA94" i="10"/>
  <c r="AC94" i="10"/>
  <c r="AG94" i="10"/>
  <c r="AF94" i="10"/>
  <c r="AE94" i="10"/>
  <c r="AD94" i="10"/>
  <c r="AB94" i="10"/>
  <c r="Z94" i="10"/>
  <c r="AG100" i="10"/>
  <c r="AD100" i="10"/>
  <c r="AF100" i="10"/>
  <c r="AC100" i="10"/>
  <c r="AB100" i="10"/>
  <c r="AA100" i="10"/>
  <c r="Z110" i="10"/>
  <c r="AC18" i="10"/>
  <c r="Z19" i="10"/>
  <c r="Z31" i="10"/>
  <c r="AE32" i="10"/>
  <c r="AA34" i="10"/>
  <c r="AC36" i="10"/>
  <c r="AD39" i="10"/>
  <c r="AA39" i="10"/>
  <c r="AF39" i="10"/>
  <c r="AG39" i="10"/>
  <c r="AE41" i="10"/>
  <c r="AA57" i="10"/>
  <c r="Z62" i="10"/>
  <c r="Z80" i="10"/>
  <c r="Z91" i="10"/>
  <c r="Z100" i="10"/>
  <c r="AB110" i="10"/>
  <c r="AA42" i="10"/>
  <c r="AC42" i="10"/>
  <c r="Z42" i="10"/>
  <c r="AG42" i="10"/>
  <c r="AE42" i="10"/>
  <c r="AD42" i="10"/>
  <c r="AE100" i="10"/>
  <c r="AD110" i="10"/>
  <c r="AG40" i="10"/>
  <c r="AD40" i="10"/>
  <c r="AB40" i="10"/>
  <c r="Z40" i="10"/>
  <c r="AA58" i="10"/>
  <c r="AC58" i="10"/>
  <c r="Z58" i="10"/>
  <c r="AA106" i="10"/>
  <c r="AC106" i="10"/>
  <c r="Z106" i="10"/>
  <c r="AD123" i="10"/>
  <c r="AA123" i="10"/>
  <c r="AF123" i="10"/>
  <c r="AG123" i="10"/>
  <c r="AE123" i="10"/>
  <c r="AC123" i="10"/>
  <c r="AB123" i="10"/>
  <c r="AA40" i="10"/>
  <c r="AD47" i="10"/>
  <c r="AA47" i="10"/>
  <c r="AF47" i="10"/>
  <c r="AC47" i="10"/>
  <c r="Z47" i="10"/>
  <c r="AB58" i="10"/>
  <c r="AG85" i="10"/>
  <c r="Z85" i="10"/>
  <c r="AD87" i="10"/>
  <c r="AA87" i="10"/>
  <c r="AF87" i="10"/>
  <c r="AG87" i="10"/>
  <c r="AB106" i="10"/>
  <c r="Z123" i="10"/>
  <c r="AA74" i="10"/>
  <c r="AC74" i="10"/>
  <c r="Z74" i="10"/>
  <c r="AD106" i="10"/>
  <c r="AG116" i="10"/>
  <c r="AD116" i="10"/>
  <c r="AF116" i="10"/>
  <c r="AE116" i="10"/>
  <c r="AC116" i="10"/>
  <c r="AB116" i="10"/>
  <c r="AA116" i="10"/>
  <c r="AG121" i="10"/>
  <c r="Z121" i="10"/>
  <c r="AF121" i="10"/>
  <c r="AE121" i="10"/>
  <c r="AD121" i="10"/>
  <c r="AE40" i="10"/>
  <c r="AG45" i="10"/>
  <c r="Z45" i="10"/>
  <c r="AE45" i="10"/>
  <c r="AC45" i="10"/>
  <c r="AA45" i="10"/>
  <c r="AE58" i="10"/>
  <c r="AD63" i="10"/>
  <c r="AA63" i="10"/>
  <c r="AF63" i="10"/>
  <c r="AC63" i="10"/>
  <c r="Z63" i="10"/>
  <c r="AB74" i="10"/>
  <c r="AE106" i="10"/>
  <c r="Z116" i="10"/>
  <c r="AA121" i="10"/>
  <c r="AG72" i="10"/>
  <c r="AD72" i="10"/>
  <c r="AB72" i="10"/>
  <c r="Z72" i="10"/>
  <c r="AD74" i="10"/>
  <c r="AC85" i="10"/>
  <c r="AC87" i="10"/>
  <c r="AA90" i="10"/>
  <c r="AC90" i="10"/>
  <c r="Z90" i="10"/>
  <c r="AF106" i="10"/>
  <c r="AG109" i="10"/>
  <c r="Z109" i="10"/>
  <c r="AE109" i="10"/>
  <c r="AC109" i="10"/>
  <c r="AB109" i="10"/>
  <c r="AA109" i="10"/>
  <c r="AG117" i="10"/>
  <c r="Z117" i="10"/>
  <c r="AD119" i="10"/>
  <c r="AA119" i="10"/>
  <c r="AF119" i="10"/>
  <c r="AG119" i="10"/>
  <c r="AB121" i="10"/>
  <c r="AD79" i="10"/>
  <c r="AA79" i="10"/>
  <c r="AF79" i="10"/>
  <c r="AC79" i="10"/>
  <c r="Z79" i="10"/>
  <c r="AG106" i="10"/>
  <c r="AG112" i="10"/>
  <c r="AD112" i="10"/>
  <c r="AF112" i="10"/>
  <c r="AE112" i="10"/>
  <c r="AA114" i="10"/>
  <c r="AC114" i="10"/>
  <c r="AG114" i="10"/>
  <c r="AF114" i="10"/>
  <c r="AE114" i="10"/>
  <c r="AD114" i="10"/>
  <c r="AC121" i="10"/>
  <c r="AB79" i="10"/>
  <c r="AG88" i="10"/>
  <c r="AD88" i="10"/>
  <c r="AB88" i="10"/>
  <c r="Z88" i="10"/>
  <c r="AD107" i="10"/>
  <c r="AA107" i="10"/>
  <c r="AF107" i="10"/>
  <c r="AE107" i="10"/>
  <c r="AC107" i="10"/>
  <c r="AB107" i="10"/>
  <c r="Z112" i="10"/>
  <c r="Z114" i="10"/>
  <c r="AD131" i="10"/>
  <c r="AB131" i="10"/>
  <c r="AA131" i="10"/>
  <c r="AF131" i="10"/>
  <c r="AE131" i="10"/>
  <c r="AA54" i="10"/>
  <c r="AC54" i="10"/>
  <c r="AA70" i="10"/>
  <c r="AC70" i="10"/>
  <c r="AA86" i="10"/>
  <c r="AC86" i="10"/>
  <c r="AA102" i="10"/>
  <c r="AC102" i="10"/>
  <c r="AA118" i="10"/>
  <c r="AC118" i="10"/>
  <c r="AD127" i="10"/>
  <c r="AB127" i="10"/>
  <c r="AA127" i="10"/>
  <c r="AF127" i="10"/>
  <c r="AE127" i="10"/>
  <c r="Z131" i="10"/>
  <c r="AD95" i="10"/>
  <c r="AA95" i="10"/>
  <c r="AF95" i="10"/>
  <c r="AG104" i="10"/>
  <c r="AD104" i="10"/>
  <c r="AD111" i="10"/>
  <c r="AA111" i="10"/>
  <c r="AF111" i="10"/>
  <c r="AG120" i="10"/>
  <c r="AD120" i="10"/>
  <c r="AC131" i="10"/>
  <c r="AG49" i="10"/>
  <c r="Z49" i="10"/>
  <c r="AB54" i="10"/>
  <c r="AG65" i="10"/>
  <c r="Z65" i="10"/>
  <c r="AB70" i="10"/>
  <c r="AG81" i="10"/>
  <c r="Z81" i="10"/>
  <c r="AB86" i="10"/>
  <c r="Z95" i="10"/>
  <c r="AG97" i="10"/>
  <c r="Z97" i="10"/>
  <c r="AB102" i="10"/>
  <c r="Z104" i="10"/>
  <c r="Z111" i="10"/>
  <c r="AG113" i="10"/>
  <c r="Z113" i="10"/>
  <c r="AB118" i="10"/>
  <c r="Z120" i="10"/>
  <c r="AC127" i="10"/>
  <c r="AG131" i="10"/>
  <c r="AG136" i="10"/>
  <c r="AF136" i="10"/>
  <c r="AE136" i="10"/>
  <c r="AD136" i="10"/>
  <c r="AC136" i="10"/>
  <c r="AB136" i="10"/>
  <c r="AA122" i="10"/>
  <c r="AC122" i="10"/>
  <c r="AG132" i="10"/>
  <c r="AE132" i="10"/>
  <c r="AD132" i="10"/>
  <c r="Z136" i="10"/>
  <c r="AG44" i="10"/>
  <c r="AD44" i="10"/>
  <c r="AD51" i="10"/>
  <c r="AA51" i="10"/>
  <c r="AF51" i="10"/>
  <c r="AE54" i="10"/>
  <c r="AG60" i="10"/>
  <c r="AD60" i="10"/>
  <c r="AD67" i="10"/>
  <c r="AA67" i="10"/>
  <c r="AF67" i="10"/>
  <c r="AE70" i="10"/>
  <c r="AG76" i="10"/>
  <c r="AD76" i="10"/>
  <c r="AD83" i="10"/>
  <c r="AA83" i="10"/>
  <c r="AF83" i="10"/>
  <c r="AE86" i="10"/>
  <c r="AG92" i="10"/>
  <c r="AD92" i="10"/>
  <c r="AC95" i="10"/>
  <c r="AD99" i="10"/>
  <c r="AA99" i="10"/>
  <c r="AF99" i="10"/>
  <c r="AE102" i="10"/>
  <c r="AB104" i="10"/>
  <c r="AG108" i="10"/>
  <c r="AD108" i="10"/>
  <c r="AC111" i="10"/>
  <c r="AD115" i="10"/>
  <c r="AA115" i="10"/>
  <c r="AF115" i="10"/>
  <c r="AE118" i="10"/>
  <c r="AB120" i="10"/>
  <c r="Z122" i="10"/>
  <c r="AG124" i="10"/>
  <c r="AD124" i="10"/>
  <c r="AG128" i="10"/>
  <c r="AE128" i="10"/>
  <c r="AD128" i="10"/>
  <c r="Z132" i="10"/>
  <c r="AA136" i="10"/>
  <c r="AB126" i="10"/>
  <c r="AB130" i="10"/>
  <c r="AB134" i="10"/>
  <c r="AE135" i="10"/>
  <c r="Z125" i="10"/>
  <c r="AC126" i="10"/>
  <c r="Z129" i="10"/>
  <c r="AC130" i="10"/>
  <c r="Z133" i="10"/>
  <c r="AC134" i="10"/>
  <c r="AF135" i="10"/>
  <c r="AA135" i="10"/>
  <c r="AB135" i="10"/>
  <c r="C24" i="10" l="1"/>
  <c r="D21" i="9"/>
  <c r="D21" i="8" s="1"/>
  <c r="C21" i="8"/>
  <c r="B24" i="10" s="1"/>
  <c r="C11" i="10"/>
  <c r="D8" i="9"/>
  <c r="D8" i="8" s="1"/>
  <c r="C8" i="8"/>
  <c r="B11" i="10" s="1"/>
  <c r="N22" i="10"/>
  <c r="K22" i="10"/>
  <c r="Q22" i="10"/>
  <c r="P22" i="10"/>
  <c r="M22" i="10"/>
  <c r="L22" i="10"/>
  <c r="E22" i="10"/>
  <c r="V22" i="10"/>
  <c r="U22" i="10"/>
  <c r="T22" i="10"/>
  <c r="S22" i="10"/>
  <c r="R22" i="10"/>
  <c r="F22" i="10"/>
  <c r="H22" i="10"/>
  <c r="G22" i="10"/>
  <c r="O22" i="10"/>
  <c r="J22" i="10"/>
  <c r="I22" i="10"/>
  <c r="D10" i="9"/>
  <c r="D10" i="8" s="1"/>
  <c r="C13" i="10"/>
  <c r="C10" i="8"/>
  <c r="B13" i="10" s="1"/>
  <c r="C37" i="10"/>
  <c r="D34" i="9"/>
  <c r="D34" i="8" s="1"/>
  <c r="C34" i="8"/>
  <c r="B37" i="10" s="1"/>
  <c r="C21" i="10"/>
  <c r="D18" i="9"/>
  <c r="D18" i="8" s="1"/>
  <c r="C18" i="8"/>
  <c r="B21" i="10" s="1"/>
  <c r="C33" i="10"/>
  <c r="D30" i="9"/>
  <c r="D30" i="8" s="1"/>
  <c r="C30" i="8"/>
  <c r="B33" i="10" s="1"/>
  <c r="K10" i="10"/>
  <c r="L10" i="10"/>
  <c r="J10" i="10"/>
  <c r="U10" i="10"/>
  <c r="H10" i="10"/>
  <c r="S10" i="10"/>
  <c r="R10" i="10"/>
  <c r="Q10" i="10"/>
  <c r="P10" i="10"/>
  <c r="N10" i="10"/>
  <c r="T10" i="10"/>
  <c r="V10" i="10"/>
  <c r="O10" i="10"/>
  <c r="M10" i="10"/>
  <c r="I10" i="10"/>
  <c r="E10" i="10"/>
  <c r="G10" i="10"/>
  <c r="F10" i="10"/>
  <c r="C25" i="10"/>
  <c r="D22" i="9"/>
  <c r="D22" i="8" s="1"/>
  <c r="C22" i="8"/>
  <c r="B25" i="10" s="1"/>
  <c r="C14" i="10"/>
  <c r="C11" i="8"/>
  <c r="B14" i="10" s="1"/>
  <c r="D11" i="9"/>
  <c r="D11" i="8" s="1"/>
  <c r="D15" i="9"/>
  <c r="D15" i="8" s="1"/>
  <c r="C18" i="10"/>
  <c r="C15" i="8"/>
  <c r="B18" i="10" s="1"/>
  <c r="M12" i="10"/>
  <c r="R12" i="10"/>
  <c r="E12" i="10"/>
  <c r="Q12" i="10"/>
  <c r="O12" i="10"/>
  <c r="J12" i="10"/>
  <c r="I12" i="10"/>
  <c r="H12" i="10"/>
  <c r="G12" i="10"/>
  <c r="U12" i="10"/>
  <c r="K12" i="10"/>
  <c r="N12" i="10"/>
  <c r="V12" i="10"/>
  <c r="L12" i="10"/>
  <c r="F12" i="10"/>
  <c r="S12" i="10"/>
  <c r="P12" i="10"/>
  <c r="T12" i="10"/>
  <c r="C39" i="10"/>
  <c r="D36" i="9"/>
  <c r="D36" i="8" s="1"/>
  <c r="C36" i="8"/>
  <c r="B39" i="10" s="1"/>
  <c r="C26" i="10"/>
  <c r="D23" i="9"/>
  <c r="D23" i="8" s="1"/>
  <c r="C23" i="8"/>
  <c r="B26" i="10" s="1"/>
  <c r="Q29" i="10"/>
  <c r="E29" i="10"/>
  <c r="O29" i="10"/>
  <c r="V29" i="10"/>
  <c r="H29" i="10"/>
  <c r="T29" i="10"/>
  <c r="F29" i="10"/>
  <c r="L29" i="10"/>
  <c r="K29" i="10"/>
  <c r="I29" i="10"/>
  <c r="G29" i="10"/>
  <c r="U29" i="10"/>
  <c r="S29" i="10"/>
  <c r="R29" i="10"/>
  <c r="P29" i="10"/>
  <c r="N29" i="10"/>
  <c r="M29" i="10"/>
  <c r="J29" i="10"/>
  <c r="C38" i="10"/>
  <c r="D35" i="9"/>
  <c r="D35" i="8" s="1"/>
  <c r="C35" i="8"/>
  <c r="B38" i="10" s="1"/>
  <c r="C36" i="10"/>
  <c r="C33" i="8"/>
  <c r="B36" i="10" s="1"/>
  <c r="D33" i="9"/>
  <c r="D33" i="8" s="1"/>
  <c r="D24" i="9"/>
  <c r="D24" i="8" s="1"/>
  <c r="C27" i="10"/>
  <c r="C24" i="8"/>
  <c r="B27" i="10" s="1"/>
  <c r="D20" i="9"/>
  <c r="D20" i="8" s="1"/>
  <c r="C23" i="10"/>
  <c r="C20" i="8"/>
  <c r="B23" i="10" s="1"/>
  <c r="L17" i="10"/>
  <c r="Q17" i="10"/>
  <c r="P17" i="10"/>
  <c r="N17" i="10"/>
  <c r="M17" i="10"/>
  <c r="O17" i="10"/>
  <c r="K17" i="10"/>
  <c r="J17" i="10"/>
  <c r="I17" i="10"/>
  <c r="G17" i="10"/>
  <c r="R17" i="10"/>
  <c r="U17" i="10"/>
  <c r="T17" i="10"/>
  <c r="S17" i="10"/>
  <c r="H17" i="10"/>
  <c r="F17" i="10"/>
  <c r="E17" i="10"/>
  <c r="V17" i="10"/>
  <c r="C35" i="10"/>
  <c r="C32" i="8"/>
  <c r="B35" i="10" s="1"/>
  <c r="D32" i="9"/>
  <c r="D32" i="8" s="1"/>
  <c r="C8" i="10"/>
  <c r="D5" i="9"/>
  <c r="D5" i="8" s="1"/>
  <c r="C5" i="8"/>
  <c r="B8" i="10" s="1"/>
  <c r="C20" i="10"/>
  <c r="D17" i="9"/>
  <c r="D17" i="8" s="1"/>
  <c r="C17" i="8"/>
  <c r="B20" i="10" s="1"/>
  <c r="C9" i="10"/>
  <c r="D6" i="9"/>
  <c r="D6" i="8" s="1"/>
  <c r="C6" i="8"/>
  <c r="B9" i="10" s="1"/>
  <c r="V15" i="10"/>
  <c r="J15" i="10"/>
  <c r="I15" i="10"/>
  <c r="U15" i="10"/>
  <c r="H15" i="10"/>
  <c r="S15" i="10"/>
  <c r="F15" i="10"/>
  <c r="R15" i="10"/>
  <c r="E15" i="10"/>
  <c r="P15" i="10"/>
  <c r="O15" i="10"/>
  <c r="N15" i="10"/>
  <c r="M15" i="10"/>
  <c r="K15" i="10"/>
  <c r="Q15" i="10"/>
  <c r="T15" i="10"/>
  <c r="L15" i="10"/>
  <c r="G15" i="10"/>
  <c r="P34" i="10"/>
  <c r="N34" i="10"/>
  <c r="L34" i="10"/>
  <c r="V34" i="10"/>
  <c r="G34" i="10"/>
  <c r="T34" i="10"/>
  <c r="E34" i="10"/>
  <c r="H34" i="10"/>
  <c r="F34" i="10"/>
  <c r="S34" i="10"/>
  <c r="R34" i="10"/>
  <c r="J34" i="10"/>
  <c r="I34" i="10"/>
  <c r="M34" i="10"/>
  <c r="K34" i="10"/>
  <c r="U34" i="10"/>
  <c r="Q34" i="10"/>
  <c r="O34" i="10"/>
  <c r="U23" i="10" l="1"/>
  <c r="I23" i="10"/>
  <c r="V23" i="10"/>
  <c r="H23" i="10"/>
  <c r="P23" i="10"/>
  <c r="O23" i="10"/>
  <c r="M23" i="10"/>
  <c r="L23" i="10"/>
  <c r="R23" i="10"/>
  <c r="Q23" i="10"/>
  <c r="N23" i="10"/>
  <c r="K23" i="10"/>
  <c r="J23" i="10"/>
  <c r="G23" i="10"/>
  <c r="S23" i="10"/>
  <c r="T23" i="10"/>
  <c r="F23" i="10"/>
  <c r="E23" i="10"/>
  <c r="M27" i="10"/>
  <c r="K27" i="10"/>
  <c r="V27" i="10"/>
  <c r="I27" i="10"/>
  <c r="U27" i="10"/>
  <c r="F27" i="10"/>
  <c r="T27" i="10"/>
  <c r="E27" i="10"/>
  <c r="R27" i="10"/>
  <c r="Q27" i="10"/>
  <c r="L27" i="10"/>
  <c r="J27" i="10"/>
  <c r="H27" i="10"/>
  <c r="G27" i="10"/>
  <c r="N27" i="10"/>
  <c r="S27" i="10"/>
  <c r="O27" i="10"/>
  <c r="P27" i="10"/>
  <c r="U20" i="10"/>
  <c r="I20" i="10"/>
  <c r="V20" i="10"/>
  <c r="H20" i="10"/>
  <c r="T20" i="10"/>
  <c r="G20" i="10"/>
  <c r="R20" i="10"/>
  <c r="E20" i="10"/>
  <c r="Q20" i="10"/>
  <c r="S20" i="10"/>
  <c r="P20" i="10"/>
  <c r="O20" i="10"/>
  <c r="N20" i="10"/>
  <c r="M20" i="10"/>
  <c r="L20" i="10"/>
  <c r="J20" i="10"/>
  <c r="F20" i="10"/>
  <c r="K20" i="10"/>
  <c r="U33" i="10"/>
  <c r="I33" i="10"/>
  <c r="S33" i="10"/>
  <c r="G33" i="10"/>
  <c r="V33" i="10"/>
  <c r="F33" i="10"/>
  <c r="R33" i="10"/>
  <c r="Q33" i="10"/>
  <c r="P33" i="10"/>
  <c r="O33" i="10"/>
  <c r="M33" i="10"/>
  <c r="L33" i="10"/>
  <c r="H33" i="10"/>
  <c r="E33" i="10"/>
  <c r="K33" i="10"/>
  <c r="J33" i="10"/>
  <c r="N33" i="10"/>
  <c r="T33" i="10"/>
  <c r="U8" i="10"/>
  <c r="Q8" i="10"/>
  <c r="E8" i="10"/>
  <c r="P8" i="10"/>
  <c r="N8" i="10"/>
  <c r="I8" i="10"/>
  <c r="H8" i="10"/>
  <c r="G8" i="10"/>
  <c r="V8" i="10"/>
  <c r="F8" i="10"/>
  <c r="S8" i="10"/>
  <c r="J8" i="10"/>
  <c r="T8" i="10"/>
  <c r="R8" i="10"/>
  <c r="O8" i="10"/>
  <c r="M8" i="10"/>
  <c r="L8" i="10"/>
  <c r="K8" i="10"/>
  <c r="P21" i="10"/>
  <c r="S21" i="10"/>
  <c r="F21" i="10"/>
  <c r="R21" i="10"/>
  <c r="E21" i="10"/>
  <c r="O21" i="10"/>
  <c r="N21" i="10"/>
  <c r="L21" i="10"/>
  <c r="K21" i="10"/>
  <c r="J21" i="10"/>
  <c r="I21" i="10"/>
  <c r="H21" i="10"/>
  <c r="G21" i="10"/>
  <c r="M21" i="10"/>
  <c r="V21" i="10"/>
  <c r="U21" i="10"/>
  <c r="Q21" i="10"/>
  <c r="T21" i="10"/>
  <c r="L35" i="10"/>
  <c r="K35" i="10"/>
  <c r="V35" i="10"/>
  <c r="I35" i="10"/>
  <c r="T35" i="10"/>
  <c r="G35" i="10"/>
  <c r="J35" i="10"/>
  <c r="F35" i="10"/>
  <c r="Q35" i="10"/>
  <c r="P35" i="10"/>
  <c r="O35" i="10"/>
  <c r="N35" i="10"/>
  <c r="M35" i="10"/>
  <c r="H35" i="10"/>
  <c r="R35" i="10"/>
  <c r="E35" i="10"/>
  <c r="S35" i="10"/>
  <c r="U35" i="10"/>
  <c r="N37" i="10"/>
  <c r="S37" i="10"/>
  <c r="F37" i="10"/>
  <c r="Q37" i="10"/>
  <c r="O37" i="10"/>
  <c r="V37" i="10"/>
  <c r="E37" i="10"/>
  <c r="T37" i="10"/>
  <c r="U37" i="10"/>
  <c r="R37" i="10"/>
  <c r="P37" i="10"/>
  <c r="M37" i="10"/>
  <c r="L37" i="10"/>
  <c r="K37" i="10"/>
  <c r="J37" i="10"/>
  <c r="I37" i="10"/>
  <c r="H37" i="10"/>
  <c r="G37" i="10"/>
  <c r="R11" i="10"/>
  <c r="F11" i="10"/>
  <c r="U11" i="10"/>
  <c r="H11" i="10"/>
  <c r="T11" i="10"/>
  <c r="G11" i="10"/>
  <c r="Q11" i="10"/>
  <c r="V11" i="10"/>
  <c r="S11" i="10"/>
  <c r="P11" i="10"/>
  <c r="N11" i="10"/>
  <c r="E11" i="10"/>
  <c r="L11" i="10"/>
  <c r="K11" i="10"/>
  <c r="J11" i="10"/>
  <c r="I11" i="10"/>
  <c r="O11" i="10"/>
  <c r="M11" i="10"/>
  <c r="U38" i="10"/>
  <c r="I38" i="10"/>
  <c r="R38" i="10"/>
  <c r="F38" i="10"/>
  <c r="Q38" i="10"/>
  <c r="O38" i="10"/>
  <c r="M38" i="10"/>
  <c r="H38" i="10"/>
  <c r="E38" i="10"/>
  <c r="L38" i="10"/>
  <c r="K38" i="10"/>
  <c r="J38" i="10"/>
  <c r="G38" i="10"/>
  <c r="V38" i="10"/>
  <c r="T38" i="10"/>
  <c r="S38" i="10"/>
  <c r="P38" i="10"/>
  <c r="N38" i="10"/>
  <c r="P39" i="10"/>
  <c r="M39" i="10"/>
  <c r="R39" i="10"/>
  <c r="F39" i="10"/>
  <c r="T39" i="10"/>
  <c r="Q39" i="10"/>
  <c r="N39" i="10"/>
  <c r="O39" i="10"/>
  <c r="K39" i="10"/>
  <c r="V39" i="10"/>
  <c r="U39" i="10"/>
  <c r="S39" i="10"/>
  <c r="L39" i="10"/>
  <c r="J39" i="10"/>
  <c r="I39" i="10"/>
  <c r="H39" i="10"/>
  <c r="G39" i="10"/>
  <c r="E39" i="10"/>
  <c r="O14" i="10"/>
  <c r="L14" i="10"/>
  <c r="K14" i="10"/>
  <c r="V14" i="10"/>
  <c r="I14" i="10"/>
  <c r="U14" i="10"/>
  <c r="H14" i="10"/>
  <c r="F14" i="10"/>
  <c r="E14" i="10"/>
  <c r="T14" i="10"/>
  <c r="R14" i="10"/>
  <c r="G14" i="10"/>
  <c r="S14" i="10"/>
  <c r="Q14" i="10"/>
  <c r="P14" i="10"/>
  <c r="N14" i="10"/>
  <c r="J14" i="10"/>
  <c r="M14" i="10"/>
  <c r="K25" i="10"/>
  <c r="R25" i="10"/>
  <c r="E25" i="10"/>
  <c r="P25" i="10"/>
  <c r="U25" i="10"/>
  <c r="F25" i="10"/>
  <c r="T25" i="10"/>
  <c r="Q25" i="10"/>
  <c r="O25" i="10"/>
  <c r="H25" i="10"/>
  <c r="G25" i="10"/>
  <c r="V25" i="10"/>
  <c r="I25" i="10"/>
  <c r="N25" i="10"/>
  <c r="M25" i="10"/>
  <c r="L25" i="10"/>
  <c r="J25" i="10"/>
  <c r="S25" i="10"/>
  <c r="S18" i="10"/>
  <c r="G18" i="10"/>
  <c r="N18" i="10"/>
  <c r="M18" i="10"/>
  <c r="K18" i="10"/>
  <c r="J18" i="10"/>
  <c r="E18" i="10"/>
  <c r="V18" i="10"/>
  <c r="U18" i="10"/>
  <c r="T18" i="10"/>
  <c r="Q18" i="10"/>
  <c r="F18" i="10"/>
  <c r="H18" i="10"/>
  <c r="R18" i="10"/>
  <c r="P18" i="10"/>
  <c r="L18" i="10"/>
  <c r="I18" i="10"/>
  <c r="O18" i="10"/>
  <c r="T13" i="10"/>
  <c r="H13" i="10"/>
  <c r="O13" i="10"/>
  <c r="N13" i="10"/>
  <c r="L13" i="10"/>
  <c r="Q13" i="10"/>
  <c r="P13" i="10"/>
  <c r="M13" i="10"/>
  <c r="K13" i="10"/>
  <c r="I13" i="10"/>
  <c r="R13" i="10"/>
  <c r="S13" i="10"/>
  <c r="J13" i="10"/>
  <c r="G13" i="10"/>
  <c r="F13" i="10"/>
  <c r="E13" i="10"/>
  <c r="V13" i="10"/>
  <c r="U13" i="10"/>
  <c r="P9" i="10"/>
  <c r="N9" i="10"/>
  <c r="M9" i="10"/>
  <c r="K9" i="10"/>
  <c r="O9" i="10"/>
  <c r="L9" i="10"/>
  <c r="J9" i="10"/>
  <c r="I9" i="10"/>
  <c r="G9" i="10"/>
  <c r="Q9" i="10"/>
  <c r="T9" i="10"/>
  <c r="S9" i="10"/>
  <c r="R9" i="10"/>
  <c r="H9" i="10"/>
  <c r="F9" i="10"/>
  <c r="E9" i="10"/>
  <c r="V9" i="10"/>
  <c r="U9" i="10"/>
  <c r="S36" i="10"/>
  <c r="G36" i="10"/>
  <c r="V36" i="10"/>
  <c r="I36" i="10"/>
  <c r="T36" i="10"/>
  <c r="F36" i="10"/>
  <c r="Q36" i="10"/>
  <c r="O36" i="10"/>
  <c r="M36" i="10"/>
  <c r="J36" i="10"/>
  <c r="H36" i="10"/>
  <c r="E36" i="10"/>
  <c r="R36" i="10"/>
  <c r="P36" i="10"/>
  <c r="N36" i="10"/>
  <c r="L36" i="10"/>
  <c r="K36" i="10"/>
  <c r="U36" i="10"/>
  <c r="R26" i="10"/>
  <c r="F26" i="10"/>
  <c r="N26" i="10"/>
  <c r="L26" i="10"/>
  <c r="T26" i="10"/>
  <c r="S26" i="10"/>
  <c r="P26" i="10"/>
  <c r="O26" i="10"/>
  <c r="Q26" i="10"/>
  <c r="M26" i="10"/>
  <c r="K26" i="10"/>
  <c r="J26" i="10"/>
  <c r="I26" i="10"/>
  <c r="H26" i="10"/>
  <c r="U26" i="10"/>
  <c r="G26" i="10"/>
  <c r="E26" i="10"/>
  <c r="V26" i="10"/>
  <c r="P24" i="10"/>
  <c r="U24" i="10"/>
  <c r="H24" i="10"/>
  <c r="S24" i="10"/>
  <c r="F24" i="10"/>
  <c r="R24" i="10"/>
  <c r="Q24" i="10"/>
  <c r="N24" i="10"/>
  <c r="M24" i="10"/>
  <c r="K24" i="10"/>
  <c r="J24" i="10"/>
  <c r="I24" i="10"/>
  <c r="G24" i="10"/>
  <c r="E24" i="10"/>
  <c r="L24" i="10"/>
  <c r="O24" i="10"/>
  <c r="V24" i="10"/>
  <c r="T24" i="10"/>
</calcChain>
</file>

<file path=xl/sharedStrings.xml><?xml version="1.0" encoding="utf-8"?>
<sst xmlns="http://schemas.openxmlformats.org/spreadsheetml/2006/main" count="2059" uniqueCount="484">
  <si>
    <t>Generic Comet (GC) TIMES Residential</t>
  </si>
  <si>
    <t>Sheet color</t>
  </si>
  <si>
    <t>Parameters</t>
  </si>
  <si>
    <t>City Dashboard</t>
  </si>
  <si>
    <t>GC Databases</t>
  </si>
  <si>
    <t>TIMES formatted</t>
  </si>
  <si>
    <t>City Basic Data</t>
  </si>
  <si>
    <t>Calibration methodology</t>
  </si>
  <si>
    <t>GHG Inventory</t>
  </si>
  <si>
    <t>A. City Characteristics</t>
  </si>
  <si>
    <t>Data Item</t>
  </si>
  <si>
    <t>Value</t>
  </si>
  <si>
    <t>Units</t>
  </si>
  <si>
    <t>City Name</t>
  </si>
  <si>
    <t>New York</t>
  </si>
  <si>
    <t>Latitude</t>
  </si>
  <si>
    <t>Longitude</t>
  </si>
  <si>
    <t>County</t>
  </si>
  <si>
    <t>New York County</t>
  </si>
  <si>
    <t>State</t>
  </si>
  <si>
    <t>Census Division</t>
  </si>
  <si>
    <t>Middle Atlantic</t>
  </si>
  <si>
    <t>Climate Division</t>
  </si>
  <si>
    <t>Northeast</t>
  </si>
  <si>
    <t>Egrid Region</t>
  </si>
  <si>
    <t>NPCC NYC/Westchester</t>
  </si>
  <si>
    <t>Area of city (excluding water, natural and agricultural areas)</t>
  </si>
  <si>
    <t>square kilometers</t>
  </si>
  <si>
    <t>* Division and Region Map can be found in the Maps sheet.</t>
  </si>
  <si>
    <t>B. Planning Base Year and Target Years</t>
  </si>
  <si>
    <t>Year</t>
  </si>
  <si>
    <t>Base Year</t>
  </si>
  <si>
    <t>Acceptable range [2018,2021]</t>
  </si>
  <si>
    <t>End Year</t>
  </si>
  <si>
    <t>C. City Population and GDP</t>
  </si>
  <si>
    <t>Population in Base Year</t>
  </si>
  <si>
    <t>Thousand of people</t>
  </si>
  <si>
    <t>Annual population growth (Base Year - End Year)</t>
  </si>
  <si>
    <t>% people</t>
  </si>
  <si>
    <t>GDP in Base Year</t>
  </si>
  <si>
    <t>Million US$</t>
  </si>
  <si>
    <t>Annual GDP growth rate</t>
  </si>
  <si>
    <t>% US$</t>
  </si>
  <si>
    <t>Share of manufacturing GDP</t>
  </si>
  <si>
    <t>Share of State population</t>
  </si>
  <si>
    <t>Share of State GDP</t>
  </si>
  <si>
    <t>Adjustment from state manufacturing GDP</t>
  </si>
  <si>
    <t>D. Climate Data</t>
  </si>
  <si>
    <t>Heating degree days (HDD)</t>
  </si>
  <si>
    <t>F</t>
  </si>
  <si>
    <t>Cooling degree days (CDD)</t>
  </si>
  <si>
    <t>Correction from State HDD</t>
  </si>
  <si>
    <t>Correction from State CDD</t>
  </si>
  <si>
    <t>Annual precipitation</t>
  </si>
  <si>
    <t>mm / year</t>
  </si>
  <si>
    <t>Climate change scenario</t>
  </si>
  <si>
    <t>RCP4.5</t>
  </si>
  <si>
    <t>Average temperature increase in 1980-2020</t>
  </si>
  <si>
    <t>Forecasted average temperature increase in 2035-2065</t>
  </si>
  <si>
    <t>Forecasted average temperature increase in 2070-2100</t>
  </si>
  <si>
    <t>*Climate change scenario description can be found in the Lists sheet.</t>
  </si>
  <si>
    <t>E. Energy scenario</t>
  </si>
  <si>
    <t>AEO energy scenario</t>
  </si>
  <si>
    <t>lowmachighZTC</t>
  </si>
  <si>
    <t>Electricity technology scenario</t>
  </si>
  <si>
    <t>Moderate</t>
  </si>
  <si>
    <t>Transport technology scenario</t>
  </si>
  <si>
    <t>Mid</t>
  </si>
  <si>
    <t>District energy</t>
  </si>
  <si>
    <t>Yes</t>
  </si>
  <si>
    <t>* Energy scenario description can be foundin the Lists sheet.</t>
  </si>
  <si>
    <t>Sector</t>
  </si>
  <si>
    <t>Sub-sector</t>
  </si>
  <si>
    <t>Archetype</t>
  </si>
  <si>
    <t xml:space="preserve">Vintage </t>
  </si>
  <si>
    <t>End Use</t>
  </si>
  <si>
    <t>Technology</t>
  </si>
  <si>
    <t>Class</t>
  </si>
  <si>
    <t>Energy</t>
  </si>
  <si>
    <t>First Year</t>
  </si>
  <si>
    <t>Description</t>
  </si>
  <si>
    <t>Input Label</t>
  </si>
  <si>
    <t>Output Label</t>
  </si>
  <si>
    <t>Technology Label</t>
  </si>
  <si>
    <t>To Include</t>
  </si>
  <si>
    <t>CAPEX (2023 US$ / unit)</t>
  </si>
  <si>
    <t>Average Gain (% TJ)</t>
  </si>
  <si>
    <t>Base year building Intensity (TJ / Mm2)</t>
  </si>
  <si>
    <t>CAPEX (Thousands 2023 US$ / MW)</t>
  </si>
  <si>
    <t>Efficiency (TJ/Mm2)</t>
  </si>
  <si>
    <t>Average Lifetime (year)</t>
  </si>
  <si>
    <t>CFA</t>
  </si>
  <si>
    <t>C2A</t>
  </si>
  <si>
    <t>Residential</t>
  </si>
  <si>
    <t>Apartment</t>
  </si>
  <si>
    <t>Low Income</t>
  </si>
  <si>
    <t>New</t>
  </si>
  <si>
    <t>Space heating</t>
  </si>
  <si>
    <t>Building enveloppe</t>
  </si>
  <si>
    <t>ENERGY STAR</t>
  </si>
  <si>
    <t>Space heating Building enveloppe ClassENERGY STAR  2020</t>
  </si>
  <si>
    <t>RESAPALONewSHRET</t>
  </si>
  <si>
    <t>RESAPALONewSHEUE</t>
  </si>
  <si>
    <t>RESAPALONewSHENVESTAR20</t>
  </si>
  <si>
    <t>PATH</t>
  </si>
  <si>
    <t>Space heating Building enveloppe ClassPATH  2020</t>
  </si>
  <si>
    <t>RESAPALONewSHENVPATH20</t>
  </si>
  <si>
    <t>IECC 2009 +40%</t>
  </si>
  <si>
    <t>Space heating Building enveloppe ClassIECC 2009 +40%  2020</t>
  </si>
  <si>
    <t>RESAPALONewSHENVIECC4020</t>
  </si>
  <si>
    <t>IECC 2009</t>
  </si>
  <si>
    <t>Space heating Building enveloppe ClassIECC 2009  2020</t>
  </si>
  <si>
    <t>RESAPALONewSHENVIECC20</t>
  </si>
  <si>
    <t>Space cooling</t>
  </si>
  <si>
    <t>Space cooling Building enveloppe ClassENERGY STAR  2020</t>
  </si>
  <si>
    <t>RESAPALONewSCRET</t>
  </si>
  <si>
    <t>RESAPALONewSCEUE</t>
  </si>
  <si>
    <t>RESAPALONewSCENVESTAR20</t>
  </si>
  <si>
    <t>Space cooling Building enveloppe ClassPATH  2020</t>
  </si>
  <si>
    <t>RESAPALONewSCENVPATH20</t>
  </si>
  <si>
    <t>Space cooling Building enveloppe ClassIECC 2009 +40%  2020</t>
  </si>
  <si>
    <t>RESAPALONewSCENVIECC4020</t>
  </si>
  <si>
    <t>Space cooling Building enveloppe ClassIECC 2009  2020</t>
  </si>
  <si>
    <t>RESAPALONewSCENVIECC20</t>
  </si>
  <si>
    <t>House</t>
  </si>
  <si>
    <t>RESHOULONewSHRET</t>
  </si>
  <si>
    <t>RESHOULONewSHEUE</t>
  </si>
  <si>
    <t>RESHOULONewSHENVESTAR20</t>
  </si>
  <si>
    <t>RESHOULONewSHENVPATH20</t>
  </si>
  <si>
    <t>RESHOULONewSHENVIECC4020</t>
  </si>
  <si>
    <t>RESHOULONewSHENVIECC20</t>
  </si>
  <si>
    <t>RESHOULONewSCRET</t>
  </si>
  <si>
    <t>RESHOULONewSCEUE</t>
  </si>
  <si>
    <t>RESHOULONewSCENVESTAR20</t>
  </si>
  <si>
    <t>RESHOULONewSCENVPATH20</t>
  </si>
  <si>
    <t>RESHOULONewSCENVIECC4020</t>
  </si>
  <si>
    <t>RESHOULONewSCENVIECC20</t>
  </si>
  <si>
    <t>Lower-middle Income</t>
  </si>
  <si>
    <t>RESAPALMNewSHRET</t>
  </si>
  <si>
    <t>RESAPALMNewSHEUE</t>
  </si>
  <si>
    <t>RESAPALMNewSHENVESTAR20</t>
  </si>
  <si>
    <t>RESAPALMNewSHENVPATH20</t>
  </si>
  <si>
    <t>RESAPALMNewSHENVIECC4020</t>
  </si>
  <si>
    <t>RESAPALMNewSHENVIECC20</t>
  </si>
  <si>
    <t>RESAPALMNewSCRET</t>
  </si>
  <si>
    <t>RESAPALMNewSCEUE</t>
  </si>
  <si>
    <t>RESAPALMNewSCENVESTAR20</t>
  </si>
  <si>
    <t>RESAPALMNewSCENVPATH20</t>
  </si>
  <si>
    <t>RESAPALMNewSCENVIECC4020</t>
  </si>
  <si>
    <t>RESAPALMNewSCENVIECC20</t>
  </si>
  <si>
    <t>RESHOULMNewSHRET</t>
  </si>
  <si>
    <t>RESHOULMNewSHEUE</t>
  </si>
  <si>
    <t>RESHOULMNewSHENVESTAR20</t>
  </si>
  <si>
    <t>RESHOULMNewSHENVPATH20</t>
  </si>
  <si>
    <t>RESHOULMNewSHENVIECC4020</t>
  </si>
  <si>
    <t>RESHOULMNewSHENVIECC20</t>
  </si>
  <si>
    <t>RESHOULMNewSCRET</t>
  </si>
  <si>
    <t>RESHOULMNewSCEUE</t>
  </si>
  <si>
    <t>RESHOULMNewSCENVESTAR20</t>
  </si>
  <si>
    <t>RESHOULMNewSCENVPATH20</t>
  </si>
  <si>
    <t>RESHOULMNewSCENVIECC4020</t>
  </si>
  <si>
    <t>RESHOULMNewSCENVIECC20</t>
  </si>
  <si>
    <t>Upper-middle Income</t>
  </si>
  <si>
    <t>RESAPAUMNewSHRET</t>
  </si>
  <si>
    <t>RESAPAUMNewSHEUE</t>
  </si>
  <si>
    <t>RESAPAUMNewSHENVESTAR20</t>
  </si>
  <si>
    <t>RESAPAUMNewSHENVPATH20</t>
  </si>
  <si>
    <t>RESAPAUMNewSHENVIECC4020</t>
  </si>
  <si>
    <t>RESAPAUMNewSHENVIECC20</t>
  </si>
  <si>
    <t>RESAPAUMNewSCRET</t>
  </si>
  <si>
    <t>RESAPAUMNewSCEUE</t>
  </si>
  <si>
    <t>RESAPAUMNewSCENVESTAR20</t>
  </si>
  <si>
    <t>RESAPAUMNewSCENVPATH20</t>
  </si>
  <si>
    <t>RESAPAUMNewSCENVIECC4020</t>
  </si>
  <si>
    <t>RESAPAUMNewSCENVIECC20</t>
  </si>
  <si>
    <t>RESHOUUMNewSHRET</t>
  </si>
  <si>
    <t>RESHOUUMNewSHEUE</t>
  </si>
  <si>
    <t>RESHOUUMNewSHENVESTAR20</t>
  </si>
  <si>
    <t>RESHOUUMNewSHENVPATH20</t>
  </si>
  <si>
    <t>RESHOUUMNewSHENVIECC4020</t>
  </si>
  <si>
    <t>RESHOUUMNewSHENVIECC20</t>
  </si>
  <si>
    <t>RESHOUUMNewSCRET</t>
  </si>
  <si>
    <t>RESHOUUMNewSCEUE</t>
  </si>
  <si>
    <t>RESHOUUMNewSCENVESTAR20</t>
  </si>
  <si>
    <t>RESHOUUMNewSCENVPATH20</t>
  </si>
  <si>
    <t>RESHOUUMNewSCENVIECC4020</t>
  </si>
  <si>
    <t>RESHOUUMNewSCENVIECC20</t>
  </si>
  <si>
    <t>High Income</t>
  </si>
  <si>
    <t>RESAPAHINewSHRET</t>
  </si>
  <si>
    <t>RESAPAHINewSHEUE</t>
  </si>
  <si>
    <t>RESAPAHINewSHENVESTAR20</t>
  </si>
  <si>
    <t>RESAPAHINewSHENVPATH20</t>
  </si>
  <si>
    <t>RESAPAHINewSHENVIECC4020</t>
  </si>
  <si>
    <t>RESAPAHINewSHENVIECC20</t>
  </si>
  <si>
    <t>RESAPAHINewSCRET</t>
  </si>
  <si>
    <t>RESAPAHINewSCEUE</t>
  </si>
  <si>
    <t>RESAPAHINewSCENVESTAR20</t>
  </si>
  <si>
    <t>RESAPAHINewSCENVPATH20</t>
  </si>
  <si>
    <t>RESAPAHINewSCENVIECC4020</t>
  </si>
  <si>
    <t>RESAPAHINewSCENVIECC20</t>
  </si>
  <si>
    <t>RESHOUHINewSHRET</t>
  </si>
  <si>
    <t>RESHOUHINewSHEUE</t>
  </si>
  <si>
    <t>RESHOUHINewSHENVESTAR20</t>
  </si>
  <si>
    <t>RESHOUHINewSHENVPATH20</t>
  </si>
  <si>
    <t>RESHOUHINewSHENVIECC4020</t>
  </si>
  <si>
    <t>RESHOUHINewSHENVIECC20</t>
  </si>
  <si>
    <t>RESHOUHINewSCRET</t>
  </si>
  <si>
    <t>RESHOUHINewSCEUE</t>
  </si>
  <si>
    <t>RESHOUHINewSCENVESTAR20</t>
  </si>
  <si>
    <t>RESHOUHINewSCENVPATH20</t>
  </si>
  <si>
    <t>RESHOUHINewSCENVIECC4020</t>
  </si>
  <si>
    <t>RESHOUHINewSCENVIECC20</t>
  </si>
  <si>
    <t>*</t>
  </si>
  <si>
    <t>Old</t>
  </si>
  <si>
    <t>RESAPALOOldSHRET</t>
  </si>
  <si>
    <t>RESAPALOOldSHEUE</t>
  </si>
  <si>
    <t>RESAPALOOldSHENVESTAR20</t>
  </si>
  <si>
    <t>RESAPALOOldSHENVPATH20</t>
  </si>
  <si>
    <t>RESAPALOOldSHENVIECC4020</t>
  </si>
  <si>
    <t>RESAPALOOldSHENVIECC20</t>
  </si>
  <si>
    <t>RESAPALOOldSCRET</t>
  </si>
  <si>
    <t>RESAPALOOldSCEUE</t>
  </si>
  <si>
    <t>RESAPALOOldSCENVESTAR20</t>
  </si>
  <si>
    <t>RESAPALOOldSCENVPATH20</t>
  </si>
  <si>
    <t>RESAPALOOldSCENVIECC4020</t>
  </si>
  <si>
    <t>RESAPALOOldSCENVIECC20</t>
  </si>
  <si>
    <t>RESHOULOOldSHRET</t>
  </si>
  <si>
    <t>RESHOULOOldSHEUE</t>
  </si>
  <si>
    <t>RESHOULOOldSHENVESTAR20</t>
  </si>
  <si>
    <t>RESHOULOOldSHENVPATH20</t>
  </si>
  <si>
    <t>RESHOULOOldSHENVIECC4020</t>
  </si>
  <si>
    <t>RESHOULOOldSHENVIECC20</t>
  </si>
  <si>
    <t>RESHOULOOldSCRET</t>
  </si>
  <si>
    <t>RESHOULOOldSCEUE</t>
  </si>
  <si>
    <t>RESHOULOOldSCENVESTAR20</t>
  </si>
  <si>
    <t>RESHOULOOldSCENVPATH20</t>
  </si>
  <si>
    <t>RESHOULOOldSCENVIECC4020</t>
  </si>
  <si>
    <t>RESHOULOOldSCENVIECC20</t>
  </si>
  <si>
    <t>RESAPALMOldSHRET</t>
  </si>
  <si>
    <t>RESAPALMOldSHEUE</t>
  </si>
  <si>
    <t>RESAPALMOldSHENVESTAR20</t>
  </si>
  <si>
    <t>RESAPALMOldSHENVPATH20</t>
  </si>
  <si>
    <t>RESAPALMOldSHENVIECC4020</t>
  </si>
  <si>
    <t>RESAPALMOldSHENVIECC20</t>
  </si>
  <si>
    <t>RESAPALMOldSCRET</t>
  </si>
  <si>
    <t>RESAPALMOldSCEUE</t>
  </si>
  <si>
    <t>RESAPALMOldSCENVESTAR20</t>
  </si>
  <si>
    <t>RESAPALMOldSCENVPATH20</t>
  </si>
  <si>
    <t>RESAPALMOldSCENVIECC4020</t>
  </si>
  <si>
    <t>RESAPALMOldSCENVIECC20</t>
  </si>
  <si>
    <t>RESHOULMOldSHRET</t>
  </si>
  <si>
    <t>RESHOULMOldSHEUE</t>
  </si>
  <si>
    <t>RESHOULMOldSHENVESTAR20</t>
  </si>
  <si>
    <t>RESHOULMOldSHENVPATH20</t>
  </si>
  <si>
    <t>RESHOULMOldSHENVIECC4020</t>
  </si>
  <si>
    <t>RESHOULMOldSHENVIECC20</t>
  </si>
  <si>
    <t>RESHOULMOldSCRET</t>
  </si>
  <si>
    <t>RESHOULMOldSCEUE</t>
  </si>
  <si>
    <t>RESHOULMOldSCENVESTAR20</t>
  </si>
  <si>
    <t>RESHOULMOldSCENVPATH20</t>
  </si>
  <si>
    <t>RESHOULMOldSCENVIECC4020</t>
  </si>
  <si>
    <t>RESHOULMOldSCENVIECC20</t>
  </si>
  <si>
    <t>RESAPAUMOldSHRET</t>
  </si>
  <si>
    <t>RESAPAUMOldSHEUE</t>
  </si>
  <si>
    <t>RESAPAUMOldSHENVESTAR20</t>
  </si>
  <si>
    <t>RESAPAUMOldSHENVPATH20</t>
  </si>
  <si>
    <t>RESAPAUMOldSHENVIECC4020</t>
  </si>
  <si>
    <t>RESAPAUMOldSHENVIECC20</t>
  </si>
  <si>
    <t>RESAPAUMOldSCRET</t>
  </si>
  <si>
    <t>RESAPAUMOldSCEUE</t>
  </si>
  <si>
    <t>RESAPAUMOldSCENVESTAR20</t>
  </si>
  <si>
    <t>RESAPAUMOldSCENVPATH20</t>
  </si>
  <si>
    <t>RESAPAUMOldSCENVIECC4020</t>
  </si>
  <si>
    <t>RESAPAUMOldSCENVIECC20</t>
  </si>
  <si>
    <t>RESHOUUMOldSHRET</t>
  </si>
  <si>
    <t>RESHOUUMOldSHEUE</t>
  </si>
  <si>
    <t>RESHOUUMOldSHENVESTAR20</t>
  </si>
  <si>
    <t>RESHOUUMOldSHENVPATH20</t>
  </si>
  <si>
    <t>RESHOUUMOldSHENVIECC4020</t>
  </si>
  <si>
    <t>RESHOUUMOldSHENVIECC20</t>
  </si>
  <si>
    <t>RESHOUUMOldSCRET</t>
  </si>
  <si>
    <t>RESHOUUMOldSCEUE</t>
  </si>
  <si>
    <t>RESHOUUMOldSCENVESTAR20</t>
  </si>
  <si>
    <t>RESHOUUMOldSCENVPATH20</t>
  </si>
  <si>
    <t>RESHOUUMOldSCENVIECC4020</t>
  </si>
  <si>
    <t>RESHOUUMOldSCENVIECC20</t>
  </si>
  <si>
    <t>RESAPAHIOldSHRET</t>
  </si>
  <si>
    <t>RESAPAHIOldSHEUE</t>
  </si>
  <si>
    <t>RESAPAHIOldSHENVESTAR20</t>
  </si>
  <si>
    <t>RESAPAHIOldSHENVPATH20</t>
  </si>
  <si>
    <t>RESAPAHIOldSHENVIECC4020</t>
  </si>
  <si>
    <t>RESAPAHIOldSHENVIECC20</t>
  </si>
  <si>
    <t>RESAPAHIOldSCRET</t>
  </si>
  <si>
    <t>RESAPAHIOldSCEUE</t>
  </si>
  <si>
    <t>RESAPAHIOldSCENVESTAR20</t>
  </si>
  <si>
    <t>RESAPAHIOldSCENVPATH20</t>
  </si>
  <si>
    <t>RESAPAHIOldSCENVIECC4020</t>
  </si>
  <si>
    <t>RESAPAHIOldSCENVIECC20</t>
  </si>
  <si>
    <t>RESHOUHIOldSHRET</t>
  </si>
  <si>
    <t>RESHOUHIOldSHEUE</t>
  </si>
  <si>
    <t>RESHOUHIOldSHENVESTAR20</t>
  </si>
  <si>
    <t>RESHOUHIOldSHENVPATH20</t>
  </si>
  <si>
    <t>RESHOUHIOldSHENVIECC4020</t>
  </si>
  <si>
    <t>RESHOUHIOldSHENVIECC20</t>
  </si>
  <si>
    <t>RESHOUHIOldSCRET</t>
  </si>
  <si>
    <t>RESHOUHIOldSCEUE</t>
  </si>
  <si>
    <t>RESHOUHIOldSCENVESTAR20</t>
  </si>
  <si>
    <t>RESHOUHIOldSCENVPATH20</t>
  </si>
  <si>
    <t>RESHOUHIOldSCENVIECC4020</t>
  </si>
  <si>
    <t>RESHOUHIOldSCENVIECC20</t>
  </si>
  <si>
    <t>Demand Label</t>
  </si>
  <si>
    <t>Unit</t>
  </si>
  <si>
    <t>Commercial</t>
  </si>
  <si>
    <t>Hotel</t>
  </si>
  <si>
    <t>COMHOTOldDMD</t>
  </si>
  <si>
    <t>Mm2</t>
  </si>
  <si>
    <t>Retail</t>
  </si>
  <si>
    <t>COMRETOldDMD</t>
  </si>
  <si>
    <t>Office</t>
  </si>
  <si>
    <t>COMOFFOldDMD</t>
  </si>
  <si>
    <t>Hospital</t>
  </si>
  <si>
    <t>COMHOPOldDMD</t>
  </si>
  <si>
    <t>Educationnal</t>
  </si>
  <si>
    <t>COMEDUOldDMD</t>
  </si>
  <si>
    <t>Warehouse</t>
  </si>
  <si>
    <t>COMWAROldDMD</t>
  </si>
  <si>
    <t>Municipal</t>
  </si>
  <si>
    <t>COMMUNOldDMD</t>
  </si>
  <si>
    <t>Other</t>
  </si>
  <si>
    <t>COMOTHOldDMD</t>
  </si>
  <si>
    <t>COMHOTNewDMD</t>
  </si>
  <si>
    <t>COMRETNewDMD</t>
  </si>
  <si>
    <t>COMOFFNewDMD</t>
  </si>
  <si>
    <t>COMHOPNewDMD</t>
  </si>
  <si>
    <t>COMEDUNewDMD</t>
  </si>
  <si>
    <t>COMWARNewDMD</t>
  </si>
  <si>
    <t>COMMUNNewDMD</t>
  </si>
  <si>
    <t>COMOTHNewDMD</t>
  </si>
  <si>
    <t>RESAPALOOldDMD</t>
  </si>
  <si>
    <t>RESHOULOOldDMD</t>
  </si>
  <si>
    <t>Lower-Middle Income</t>
  </si>
  <si>
    <t>RESAPALMOldDMD</t>
  </si>
  <si>
    <t>RESHOULMOldDMD</t>
  </si>
  <si>
    <t>Upper-Middle Income</t>
  </si>
  <si>
    <t>RESAPAUMOldDMD</t>
  </si>
  <si>
    <t>RESHOUUMOldDMD</t>
  </si>
  <si>
    <t>RESAPAHIOldDMD</t>
  </si>
  <si>
    <t>RESHOUHIOldDMD</t>
  </si>
  <si>
    <t>RESAPALONewDMD</t>
  </si>
  <si>
    <t>RESHOULONewDMD</t>
  </si>
  <si>
    <t>RESAPALMNewDMD</t>
  </si>
  <si>
    <t>RESHOULMNewDMD</t>
  </si>
  <si>
    <t>RESAPAUMNewDMD</t>
  </si>
  <si>
    <t>RESHOUUMNewDMD</t>
  </si>
  <si>
    <t>RESAPAHINewDMD</t>
  </si>
  <si>
    <t>RESHOUHINewDMD</t>
  </si>
  <si>
    <t>Industrial</t>
  </si>
  <si>
    <t>All Industries</t>
  </si>
  <si>
    <t>INDAINDMD</t>
  </si>
  <si>
    <t>TJ</t>
  </si>
  <si>
    <t>Transportation</t>
  </si>
  <si>
    <t>Passenger</t>
  </si>
  <si>
    <t>Passenger Car</t>
  </si>
  <si>
    <t>TRAPASCARDMD</t>
  </si>
  <si>
    <t>M Vkm</t>
  </si>
  <si>
    <t>Passenger Truck</t>
  </si>
  <si>
    <t>TRAPASLDTDMD</t>
  </si>
  <si>
    <t>Motorcycle</t>
  </si>
  <si>
    <t>TRAPASMOTDMD</t>
  </si>
  <si>
    <t>Freight</t>
  </si>
  <si>
    <t>Light Commercial Truck</t>
  </si>
  <si>
    <t>TRAFRECLTDMD</t>
  </si>
  <si>
    <t>Refuse Truck</t>
  </si>
  <si>
    <t>TRAFRERFTDMD</t>
  </si>
  <si>
    <t>Single Unit Long-haul Truck</t>
  </si>
  <si>
    <t>TRAFRESLHDMD</t>
  </si>
  <si>
    <t>Single Unit Short-haul Truck</t>
  </si>
  <si>
    <t>TRAFRESSHDMD</t>
  </si>
  <si>
    <t>Combination Long-haul Truck</t>
  </si>
  <si>
    <t>TRAFRECLHDMD</t>
  </si>
  <si>
    <t>Combination Short-haul Truck</t>
  </si>
  <si>
    <t>TRAFRECSHDMD</t>
  </si>
  <si>
    <t>Transit Bus</t>
  </si>
  <si>
    <t>TRAPASTBUDMD</t>
  </si>
  <si>
    <t>School Bus</t>
  </si>
  <si>
    <t>TRAPASSBUDMD</t>
  </si>
  <si>
    <t>Other Buses</t>
  </si>
  <si>
    <t>TRAPASOBUDMD</t>
  </si>
  <si>
    <t>Rail</t>
  </si>
  <si>
    <t>TRAPASRAIDMD</t>
  </si>
  <si>
    <t>Tram</t>
  </si>
  <si>
    <t>TRAPASTRMDMD</t>
  </si>
  <si>
    <t>Subway</t>
  </si>
  <si>
    <t>TRAPASSUBDMD</t>
  </si>
  <si>
    <t>Bicycle</t>
  </si>
  <si>
    <t>TRAPASBICDMD</t>
  </si>
  <si>
    <t>Walk</t>
  </si>
  <si>
    <t>TRAPASWALDMD</t>
  </si>
  <si>
    <t>Off-Road</t>
  </si>
  <si>
    <t>TRAOTHOFRDMD</t>
  </si>
  <si>
    <t>Waterborne</t>
  </si>
  <si>
    <t>TRAOTHWATDMD</t>
  </si>
  <si>
    <t>Aviation</t>
  </si>
  <si>
    <t>TRAOTHAIRDMD</t>
  </si>
  <si>
    <t>Waste</t>
  </si>
  <si>
    <t>Solid</t>
  </si>
  <si>
    <t>Paper</t>
  </si>
  <si>
    <t>WASSOLPAPDMD</t>
  </si>
  <si>
    <t>k tonnes</t>
  </si>
  <si>
    <t>Glass</t>
  </si>
  <si>
    <t>WASSOLGLADMD</t>
  </si>
  <si>
    <t>Metals</t>
  </si>
  <si>
    <t>WASSOLMETDMD</t>
  </si>
  <si>
    <t>Plastics</t>
  </si>
  <si>
    <t>WASSOLPLADMD</t>
  </si>
  <si>
    <t>Food</t>
  </si>
  <si>
    <t>WASSOLFOODMD</t>
  </si>
  <si>
    <t>Yard trimmings</t>
  </si>
  <si>
    <t>WASSOLYARDMD</t>
  </si>
  <si>
    <t>All other</t>
  </si>
  <si>
    <t>WASSOLAOTDMD</t>
  </si>
  <si>
    <t>Historical</t>
  </si>
  <si>
    <t>WASSOLHISDMD</t>
  </si>
  <si>
    <t>Water</t>
  </si>
  <si>
    <t>Fresh Water</t>
  </si>
  <si>
    <t>WASWATFWADMD</t>
  </si>
  <si>
    <t>Mm3</t>
  </si>
  <si>
    <t>Annual Precipitation</t>
  </si>
  <si>
    <t>WASWATAPRDMD</t>
  </si>
  <si>
    <t>Electricity</t>
  </si>
  <si>
    <t>Miscellanous EGRID electricity demand</t>
  </si>
  <si>
    <t>ELCMISEGRIDDMD</t>
  </si>
  <si>
    <t>Treatment</t>
  </si>
  <si>
    <t>WASWATTRTDMD</t>
  </si>
  <si>
    <t>~FI_Process</t>
  </si>
  <si>
    <t>Sets</t>
  </si>
  <si>
    <t>TechName</t>
  </si>
  <si>
    <t>TechDesc</t>
  </si>
  <si>
    <t>Tact</t>
  </si>
  <si>
    <t>Tcap</t>
  </si>
  <si>
    <t>Tslvl</t>
  </si>
  <si>
    <t>PrimaryCG</t>
  </si>
  <si>
    <t>Vintage</t>
  </si>
  <si>
    <t>*Process Set Membership</t>
  </si>
  <si>
    <t>Technology Name</t>
  </si>
  <si>
    <t>Technology Description</t>
  </si>
  <si>
    <t>Activity Unit</t>
  </si>
  <si>
    <t>Capacity Unit</t>
  </si>
  <si>
    <t>TimeSlice level of Process Activity</t>
  </si>
  <si>
    <t>Primary Commodity Group</t>
  </si>
  <si>
    <t>Vintage Tracking</t>
  </si>
  <si>
    <t>MIN</t>
  </si>
  <si>
    <t>~FI_Comm</t>
  </si>
  <si>
    <t>Csets</t>
  </si>
  <si>
    <t>CommName</t>
  </si>
  <si>
    <t>CommDesc</t>
  </si>
  <si>
    <t>LimType</t>
  </si>
  <si>
    <t>CTSLvl</t>
  </si>
  <si>
    <t>PeakTS</t>
  </si>
  <si>
    <t>Ctype</t>
  </si>
  <si>
    <t>*Commodity Set Membership</t>
  </si>
  <si>
    <t>Commodity Name</t>
  </si>
  <si>
    <t>Commodity Description</t>
  </si>
  <si>
    <t>Sense of the Balance EQN.</t>
  </si>
  <si>
    <t>Timeslice Level</t>
  </si>
  <si>
    <t>Peak Monitoring</t>
  </si>
  <si>
    <t>Electricity Indicator</t>
  </si>
  <si>
    <t>ACT_BND~UP</t>
  </si>
  <si>
    <t>~FI_T</t>
  </si>
  <si>
    <t>Comm-OUT</t>
  </si>
  <si>
    <t>ACT_COST</t>
  </si>
  <si>
    <t>Comm-IN</t>
  </si>
  <si>
    <t>NCAP_START</t>
  </si>
  <si>
    <t>NCAP_TLIFE</t>
  </si>
  <si>
    <t>EFF</t>
  </si>
  <si>
    <t>PRC_CAPACT</t>
  </si>
  <si>
    <t>NCAP_AFA</t>
  </si>
  <si>
    <t>NCAP_COST</t>
  </si>
  <si>
    <t>k$/Mm2</t>
  </si>
  <si>
    <t>Yr</t>
  </si>
  <si>
    <t>Out/In</t>
  </si>
  <si>
    <t>TJ/MW</t>
  </si>
  <si>
    <t>%</t>
  </si>
  <si>
    <t>$ /kW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</si>
</sst>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99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5" fillId="0" borderId="0"/>
  </cellStyleXfs>
  <cellXfs count="13">
    <xf numFmtId="0" fontId="0" fillId="0" borderId="0" xfId="0"/>
    <xf numFmtId="0" fontId="2" fillId="2" borderId="0" xfId="0" applyFont="1" applyFill="1"/>
    <xf numFmtId="0" fontId="0" fillId="2" borderId="0" xfId="0" applyFill="1"/>
    <xf numFmtId="0" fontId="1" fillId="2" borderId="0" xfId="0" applyFont="1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164" fontId="0" fillId="0" borderId="0" xfId="0" applyNumberFormat="1"/>
    <xf numFmtId="0" fontId="3" fillId="0" borderId="0" xfId="0" applyFont="1"/>
    <xf numFmtId="0" fontId="4" fillId="7" borderId="1" xfId="0" applyFont="1" applyFill="1" applyBorder="1"/>
    <xf numFmtId="0" fontId="5" fillId="8" borderId="2" xfId="1" applyFill="1" applyBorder="1" applyAlignment="1">
      <alignment horizontal="left" wrapText="1"/>
    </xf>
    <xf numFmtId="2" fontId="0" fillId="0" borderId="0" xfId="0" applyNumberFormat="1"/>
  </cellXfs>
  <cellStyles count="2">
    <cellStyle name="Normal" xfId="0" builtinId="0"/>
    <cellStyle name="Normal 10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workbookViewId="0">
      <selection activeCell="E23" sqref="E23"/>
    </sheetView>
  </sheetViews>
  <sheetFormatPr defaultColWidth="8.85546875" defaultRowHeight="15" x14ac:dyDescent="0.25"/>
  <cols>
    <col min="1" max="27" width="8.85546875" style="2" customWidth="1"/>
    <col min="28" max="16384" width="8.85546875" style="2"/>
  </cols>
  <sheetData>
    <row r="1" spans="1:3" s="1" customFormat="1" ht="23.45" customHeight="1" x14ac:dyDescent="0.35">
      <c r="A1" s="1" t="s">
        <v>0</v>
      </c>
    </row>
    <row r="2" spans="1:3" s="1" customFormat="1" ht="23.45" customHeight="1" x14ac:dyDescent="0.35"/>
    <row r="3" spans="1:3" x14ac:dyDescent="0.25">
      <c r="B3" s="3" t="s">
        <v>1</v>
      </c>
    </row>
    <row r="4" spans="1:3" x14ac:dyDescent="0.25">
      <c r="B4" s="4"/>
      <c r="C4" s="2" t="s">
        <v>2</v>
      </c>
    </row>
    <row r="6" spans="1:3" x14ac:dyDescent="0.25">
      <c r="B6" s="5"/>
      <c r="C6" s="2" t="s">
        <v>3</v>
      </c>
    </row>
    <row r="8" spans="1:3" x14ac:dyDescent="0.25">
      <c r="B8" s="6"/>
      <c r="C8" s="2" t="s">
        <v>4</v>
      </c>
    </row>
    <row r="10" spans="1:3" x14ac:dyDescent="0.25">
      <c r="B10" s="7"/>
      <c r="C10" s="2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7" tint="0.39997558519241921"/>
  </sheetPr>
  <dimension ref="A1"/>
  <sheetViews>
    <sheetView workbookViewId="0">
      <selection activeCell="E23" sqref="E23"/>
    </sheetView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F54"/>
  <sheetViews>
    <sheetView zoomScaleNormal="100" workbookViewId="0">
      <selection activeCell="G10" sqref="G10"/>
    </sheetView>
  </sheetViews>
  <sheetFormatPr defaultColWidth="8.85546875" defaultRowHeight="15" x14ac:dyDescent="0.25"/>
  <cols>
    <col min="1" max="1" width="8.85546875" style="2" customWidth="1"/>
    <col min="2" max="2" width="47.7109375" style="2" customWidth="1"/>
    <col min="3" max="3" width="26.140625" style="2" customWidth="1"/>
    <col min="4" max="4" width="14.42578125" style="2" customWidth="1"/>
    <col min="5" max="13" width="10.85546875" style="2" customWidth="1"/>
    <col min="14" max="40" width="8.85546875" style="2" customWidth="1"/>
    <col min="41" max="16384" width="8.85546875" style="2"/>
  </cols>
  <sheetData>
    <row r="2" spans="2:4" ht="18" customHeight="1" thickBot="1" x14ac:dyDescent="0.3">
      <c r="B2" t="s">
        <v>6</v>
      </c>
    </row>
    <row r="3" spans="2:4" ht="15" customHeight="1" thickTop="1" x14ac:dyDescent="0.25"/>
    <row r="4" spans="2:4" ht="15" customHeight="1" thickBot="1" x14ac:dyDescent="0.3">
      <c r="B4" t="s">
        <v>7</v>
      </c>
      <c r="C4" t="s">
        <v>8</v>
      </c>
    </row>
    <row r="6" spans="2:4" x14ac:dyDescent="0.25">
      <c r="B6" t="s">
        <v>9</v>
      </c>
    </row>
    <row r="7" spans="2:4" ht="15" customHeight="1" thickBot="1" x14ac:dyDescent="0.3">
      <c r="B7" t="s">
        <v>10</v>
      </c>
      <c r="C7" t="s">
        <v>11</v>
      </c>
      <c r="D7" t="s">
        <v>12</v>
      </c>
    </row>
    <row r="8" spans="2:4" x14ac:dyDescent="0.25">
      <c r="B8" t="s">
        <v>13</v>
      </c>
      <c r="C8" t="s">
        <v>14</v>
      </c>
    </row>
    <row r="9" spans="2:4" x14ac:dyDescent="0.25">
      <c r="B9" t="s">
        <v>15</v>
      </c>
      <c r="C9">
        <v>40.5</v>
      </c>
    </row>
    <row r="10" spans="2:4" x14ac:dyDescent="0.25">
      <c r="B10" t="s">
        <v>16</v>
      </c>
      <c r="C10">
        <v>-75</v>
      </c>
    </row>
    <row r="11" spans="2:4" x14ac:dyDescent="0.25">
      <c r="B11" t="s">
        <v>17</v>
      </c>
      <c r="C11" t="s">
        <v>18</v>
      </c>
    </row>
    <row r="12" spans="2:4" x14ac:dyDescent="0.25">
      <c r="B12" t="s">
        <v>19</v>
      </c>
      <c r="C12" t="s">
        <v>14</v>
      </c>
    </row>
    <row r="13" spans="2:4" x14ac:dyDescent="0.25">
      <c r="B13" t="s">
        <v>20</v>
      </c>
      <c r="C13" t="s">
        <v>21</v>
      </c>
    </row>
    <row r="14" spans="2:4" x14ac:dyDescent="0.25">
      <c r="B14" t="s">
        <v>22</v>
      </c>
      <c r="C14" t="s">
        <v>23</v>
      </c>
    </row>
    <row r="15" spans="2:4" x14ac:dyDescent="0.25">
      <c r="B15" t="s">
        <v>24</v>
      </c>
      <c r="C15" t="s">
        <v>25</v>
      </c>
    </row>
    <row r="16" spans="2:4" x14ac:dyDescent="0.25">
      <c r="B16" t="s">
        <v>26</v>
      </c>
      <c r="C16">
        <v>778</v>
      </c>
      <c r="D16" t="s">
        <v>27</v>
      </c>
    </row>
    <row r="17" spans="2:4" x14ac:dyDescent="0.25">
      <c r="B17" t="s">
        <v>28</v>
      </c>
    </row>
    <row r="18" spans="2:4" x14ac:dyDescent="0.25">
      <c r="B18" t="s">
        <v>29</v>
      </c>
    </row>
    <row r="19" spans="2:4" ht="15" customHeight="1" thickBot="1" x14ac:dyDescent="0.3">
      <c r="B19" t="s">
        <v>30</v>
      </c>
      <c r="C19" t="s">
        <v>11</v>
      </c>
      <c r="D19" t="s">
        <v>12</v>
      </c>
    </row>
    <row r="20" spans="2:4" x14ac:dyDescent="0.25">
      <c r="B20" t="s">
        <v>31</v>
      </c>
      <c r="C20">
        <v>2019</v>
      </c>
      <c r="D20" t="s">
        <v>32</v>
      </c>
    </row>
    <row r="21" spans="2:4" x14ac:dyDescent="0.25">
      <c r="B21" t="s">
        <v>33</v>
      </c>
      <c r="C21">
        <v>2050</v>
      </c>
    </row>
    <row r="23" spans="2:4" x14ac:dyDescent="0.25">
      <c r="B23" t="s">
        <v>34</v>
      </c>
    </row>
    <row r="24" spans="2:4" ht="15" customHeight="1" thickBot="1" x14ac:dyDescent="0.3">
      <c r="B24" t="s">
        <v>10</v>
      </c>
      <c r="C24" t="s">
        <v>11</v>
      </c>
      <c r="D24" t="s">
        <v>12</v>
      </c>
    </row>
    <row r="25" spans="2:4" x14ac:dyDescent="0.25">
      <c r="B25" t="s">
        <v>35</v>
      </c>
      <c r="C25">
        <v>8337</v>
      </c>
      <c r="D25" t="s">
        <v>36</v>
      </c>
    </row>
    <row r="26" spans="2:4" x14ac:dyDescent="0.25">
      <c r="B26" t="s">
        <v>37</v>
      </c>
      <c r="C26">
        <v>0.5</v>
      </c>
      <c r="D26" t="s">
        <v>38</v>
      </c>
    </row>
    <row r="27" spans="2:4" x14ac:dyDescent="0.25">
      <c r="B27" t="s">
        <v>39</v>
      </c>
      <c r="C27">
        <v>1206000</v>
      </c>
      <c r="D27" t="s">
        <v>40</v>
      </c>
    </row>
    <row r="28" spans="2:4" x14ac:dyDescent="0.25">
      <c r="B28" t="s">
        <v>41</v>
      </c>
      <c r="C28">
        <v>2</v>
      </c>
      <c r="D28" t="s">
        <v>42</v>
      </c>
    </row>
    <row r="29" spans="2:4" x14ac:dyDescent="0.25">
      <c r="B29" t="s">
        <v>43</v>
      </c>
      <c r="C29">
        <v>5</v>
      </c>
      <c r="D29" t="s">
        <v>42</v>
      </c>
    </row>
    <row r="30" spans="2:4" x14ac:dyDescent="0.25">
      <c r="B30" t="s">
        <v>44</v>
      </c>
      <c r="C30">
        <v>0.42835123053999902</v>
      </c>
    </row>
    <row r="31" spans="2:4" x14ac:dyDescent="0.25">
      <c r="B31" t="s">
        <v>45</v>
      </c>
      <c r="C31">
        <v>0.67251771953144812</v>
      </c>
    </row>
    <row r="32" spans="2:4" x14ac:dyDescent="0.25">
      <c r="B32" t="s">
        <v>46</v>
      </c>
      <c r="C32">
        <v>1.063829787234043</v>
      </c>
    </row>
    <row r="34" spans="2:6" x14ac:dyDescent="0.25">
      <c r="B34" t="s">
        <v>47</v>
      </c>
    </row>
    <row r="35" spans="2:6" ht="15" customHeight="1" thickBot="1" x14ac:dyDescent="0.3">
      <c r="B35" t="s">
        <v>10</v>
      </c>
      <c r="C35">
        <v>2000</v>
      </c>
      <c r="D35">
        <v>2050</v>
      </c>
      <c r="E35">
        <v>2100</v>
      </c>
      <c r="F35" t="s">
        <v>12</v>
      </c>
    </row>
    <row r="36" spans="2:6" x14ac:dyDescent="0.25">
      <c r="B36" t="s">
        <v>48</v>
      </c>
      <c r="C36">
        <v>4473.4625000000005</v>
      </c>
      <c r="D36">
        <v>4066.4182142857139</v>
      </c>
      <c r="E36">
        <v>3763.8582142857172</v>
      </c>
      <c r="F36" t="s">
        <v>49</v>
      </c>
    </row>
    <row r="37" spans="2:6" x14ac:dyDescent="0.25">
      <c r="B37" t="s">
        <v>50</v>
      </c>
      <c r="C37">
        <v>1020.733333333334</v>
      </c>
      <c r="D37">
        <v>1224.255476190476</v>
      </c>
      <c r="E37">
        <v>1375.5354761904771</v>
      </c>
      <c r="F37" t="s">
        <v>49</v>
      </c>
    </row>
    <row r="39" spans="2:6" ht="15" customHeight="1" thickBot="1" x14ac:dyDescent="0.3">
      <c r="B39" t="s">
        <v>10</v>
      </c>
      <c r="C39" t="s">
        <v>11</v>
      </c>
      <c r="D39" t="s">
        <v>12</v>
      </c>
    </row>
    <row r="40" spans="2:6" x14ac:dyDescent="0.25">
      <c r="B40" t="s">
        <v>51</v>
      </c>
      <c r="C40">
        <v>0.72727402048447432</v>
      </c>
    </row>
    <row r="41" spans="2:6" x14ac:dyDescent="0.25">
      <c r="B41" t="s">
        <v>52</v>
      </c>
      <c r="C41">
        <v>1.558371501272265</v>
      </c>
    </row>
    <row r="42" spans="2:6" x14ac:dyDescent="0.25">
      <c r="B42" t="s">
        <v>53</v>
      </c>
      <c r="C42">
        <v>762</v>
      </c>
      <c r="D42" t="s">
        <v>54</v>
      </c>
    </row>
    <row r="43" spans="2:6" x14ac:dyDescent="0.25">
      <c r="B43" t="s">
        <v>55</v>
      </c>
      <c r="C43" t="s">
        <v>56</v>
      </c>
    </row>
    <row r="44" spans="2:6" x14ac:dyDescent="0.25">
      <c r="B44" t="s">
        <v>57</v>
      </c>
      <c r="C44">
        <v>1.461785714285714</v>
      </c>
      <c r="D44" t="s">
        <v>49</v>
      </c>
    </row>
    <row r="45" spans="2:6" x14ac:dyDescent="0.25">
      <c r="B45" t="s">
        <v>58</v>
      </c>
      <c r="C45">
        <v>3.13</v>
      </c>
      <c r="D45" t="s">
        <v>49</v>
      </c>
    </row>
    <row r="46" spans="2:6" x14ac:dyDescent="0.25">
      <c r="B46" t="s">
        <v>59</v>
      </c>
      <c r="C46">
        <v>4.37</v>
      </c>
      <c r="D46" t="s">
        <v>49</v>
      </c>
    </row>
    <row r="47" spans="2:6" x14ac:dyDescent="0.25">
      <c r="B47" t="s">
        <v>60</v>
      </c>
    </row>
    <row r="48" spans="2:6" x14ac:dyDescent="0.25">
      <c r="B48" t="s">
        <v>61</v>
      </c>
    </row>
    <row r="49" spans="2:4" ht="15" customHeight="1" thickBot="1" x14ac:dyDescent="0.3">
      <c r="B49" t="s">
        <v>10</v>
      </c>
      <c r="C49" t="s">
        <v>11</v>
      </c>
      <c r="D49" t="s">
        <v>12</v>
      </c>
    </row>
    <row r="50" spans="2:4" x14ac:dyDescent="0.25">
      <c r="B50" t="s">
        <v>62</v>
      </c>
      <c r="C50" t="s">
        <v>63</v>
      </c>
    </row>
    <row r="51" spans="2:4" x14ac:dyDescent="0.25">
      <c r="B51" t="s">
        <v>64</v>
      </c>
      <c r="C51" t="s">
        <v>65</v>
      </c>
    </row>
    <row r="52" spans="2:4" x14ac:dyDescent="0.25">
      <c r="B52" t="s">
        <v>66</v>
      </c>
      <c r="C52" t="s">
        <v>67</v>
      </c>
    </row>
    <row r="53" spans="2:4" x14ac:dyDescent="0.25">
      <c r="B53" t="s">
        <v>68</v>
      </c>
      <c r="C53" t="s">
        <v>69</v>
      </c>
    </row>
    <row r="54" spans="2:4" x14ac:dyDescent="0.25">
      <c r="B54" t="s">
        <v>70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9" tint="0.39997558519241921"/>
  </sheetPr>
  <dimension ref="A1"/>
  <sheetViews>
    <sheetView workbookViewId="0">
      <selection activeCell="E23" sqref="E23"/>
    </sheetView>
  </sheetViews>
  <sheetFormatPr defaultRowHeight="15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X131"/>
  <sheetViews>
    <sheetView zoomScale="85" zoomScaleNormal="85" workbookViewId="0">
      <selection activeCell="N3" sqref="N3:N131"/>
    </sheetView>
  </sheetViews>
  <sheetFormatPr defaultRowHeight="15" x14ac:dyDescent="0.25"/>
  <cols>
    <col min="1" max="1" width="11.85546875" bestFit="1" customWidth="1"/>
    <col min="2" max="2" width="10.7109375" bestFit="1" customWidth="1"/>
    <col min="3" max="3" width="21.42578125" bestFit="1" customWidth="1"/>
    <col min="4" max="4" width="8.7109375" bestFit="1" customWidth="1"/>
    <col min="5" max="5" width="14.28515625" bestFit="1" customWidth="1"/>
    <col min="6" max="6" width="19.42578125" bestFit="1" customWidth="1"/>
    <col min="7" max="7" width="14.5703125" bestFit="1" customWidth="1"/>
    <col min="8" max="8" width="7" bestFit="1" customWidth="1"/>
    <col min="9" max="9" width="9.7109375" bestFit="1" customWidth="1"/>
    <col min="10" max="10" width="58.140625" bestFit="1" customWidth="1"/>
    <col min="11" max="11" width="21.28515625" style="8" bestFit="1" customWidth="1"/>
    <col min="12" max="12" width="21.42578125" style="8" bestFit="1" customWidth="1"/>
    <col min="13" max="13" width="29.85546875" style="8" bestFit="1" customWidth="1"/>
    <col min="14" max="14" width="10.7109375" style="8" bestFit="1" customWidth="1"/>
    <col min="15" max="15" width="22.140625" style="8" bestFit="1" customWidth="1"/>
    <col min="16" max="16" width="19.140625" style="8" bestFit="1" customWidth="1"/>
    <col min="17" max="17" width="37.5703125" style="8" bestFit="1" customWidth="1"/>
    <col min="18" max="18" width="32.85546875" style="8" bestFit="1" customWidth="1"/>
    <col min="19" max="19" width="18.85546875" style="8" bestFit="1" customWidth="1"/>
    <col min="20" max="20" width="22.7109375" bestFit="1" customWidth="1"/>
    <col min="21" max="21" width="4.42578125" bestFit="1" customWidth="1"/>
    <col min="22" max="22" width="4.7109375" style="8" bestFit="1" customWidth="1"/>
    <col min="23" max="24" width="14" style="8" customWidth="1"/>
    <col min="25" max="25" width="11.85546875" bestFit="1" customWidth="1"/>
  </cols>
  <sheetData>
    <row r="2" spans="1:22" x14ac:dyDescent="0.25">
      <c r="A2" t="s">
        <v>71</v>
      </c>
      <c r="B2" t="s">
        <v>72</v>
      </c>
      <c r="C2" t="s">
        <v>73</v>
      </c>
      <c r="D2" t="s">
        <v>74</v>
      </c>
      <c r="E2" t="s">
        <v>75</v>
      </c>
      <c r="F2" t="s">
        <v>76</v>
      </c>
      <c r="G2" t="s">
        <v>77</v>
      </c>
      <c r="H2" t="s">
        <v>78</v>
      </c>
      <c r="I2" t="s">
        <v>79</v>
      </c>
      <c r="J2" t="s">
        <v>80</v>
      </c>
      <c r="K2" t="s">
        <v>81</v>
      </c>
      <c r="L2" t="s">
        <v>82</v>
      </c>
      <c r="M2" t="s">
        <v>83</v>
      </c>
      <c r="N2" t="s">
        <v>84</v>
      </c>
      <c r="O2" t="s">
        <v>85</v>
      </c>
      <c r="P2" t="s">
        <v>86</v>
      </c>
      <c r="Q2" t="s">
        <v>87</v>
      </c>
      <c r="R2" t="s">
        <v>88</v>
      </c>
      <c r="S2" t="s">
        <v>89</v>
      </c>
      <c r="T2" t="s">
        <v>90</v>
      </c>
      <c r="U2" t="s">
        <v>91</v>
      </c>
      <c r="V2" t="s">
        <v>92</v>
      </c>
    </row>
    <row r="3" spans="1:22" x14ac:dyDescent="0.25">
      <c r="A3" t="s">
        <v>93</v>
      </c>
      <c r="B3" t="s">
        <v>94</v>
      </c>
      <c r="C3" t="s">
        <v>95</v>
      </c>
      <c r="D3" t="s">
        <v>96</v>
      </c>
      <c r="E3" t="s">
        <v>97</v>
      </c>
      <c r="F3" t="s">
        <v>98</v>
      </c>
      <c r="G3" t="s">
        <v>99</v>
      </c>
      <c r="I3">
        <v>2020</v>
      </c>
      <c r="J3" t="s">
        <v>100</v>
      </c>
      <c r="K3" t="s">
        <v>101</v>
      </c>
      <c r="L3" t="s">
        <v>102</v>
      </c>
      <c r="M3" t="s">
        <v>103</v>
      </c>
      <c r="N3">
        <v>1</v>
      </c>
      <c r="O3">
        <v>3036.1724381484469</v>
      </c>
      <c r="P3">
        <v>-0.1391900330394471</v>
      </c>
      <c r="Q3">
        <v>250.95541034781999</v>
      </c>
      <c r="R3">
        <v>27562.279063411021</v>
      </c>
      <c r="S3">
        <v>34.930491857741082</v>
      </c>
      <c r="T3">
        <v>30</v>
      </c>
      <c r="U3">
        <v>9.8628146588536497E-2</v>
      </c>
      <c r="V3">
        <v>31.536000000000001</v>
      </c>
    </row>
    <row r="4" spans="1:22" x14ac:dyDescent="0.25">
      <c r="A4" t="s">
        <v>93</v>
      </c>
      <c r="B4" t="s">
        <v>94</v>
      </c>
      <c r="C4" t="s">
        <v>95</v>
      </c>
      <c r="D4" t="s">
        <v>96</v>
      </c>
      <c r="E4" t="s">
        <v>97</v>
      </c>
      <c r="F4" t="s">
        <v>98</v>
      </c>
      <c r="G4" t="s">
        <v>104</v>
      </c>
      <c r="I4">
        <v>2020</v>
      </c>
      <c r="J4" t="s">
        <v>105</v>
      </c>
      <c r="K4" t="s">
        <v>101</v>
      </c>
      <c r="L4" t="s">
        <v>102</v>
      </c>
      <c r="M4" t="s">
        <v>106</v>
      </c>
      <c r="N4">
        <v>1</v>
      </c>
      <c r="O4">
        <v>5041.7245980783027</v>
      </c>
      <c r="P4">
        <v>-0.49971985209806602</v>
      </c>
      <c r="Q4">
        <v>250.95541034781999</v>
      </c>
      <c r="R4">
        <v>12748.214025109821</v>
      </c>
      <c r="S4">
        <v>125.40740054222211</v>
      </c>
      <c r="T4">
        <v>30</v>
      </c>
      <c r="U4">
        <v>9.8628146588536497E-2</v>
      </c>
      <c r="V4">
        <v>31.536000000000001</v>
      </c>
    </row>
    <row r="5" spans="1:22" x14ac:dyDescent="0.25">
      <c r="A5" t="s">
        <v>93</v>
      </c>
      <c r="B5" t="s">
        <v>94</v>
      </c>
      <c r="C5" t="s">
        <v>95</v>
      </c>
      <c r="D5" t="s">
        <v>96</v>
      </c>
      <c r="E5" t="s">
        <v>97</v>
      </c>
      <c r="F5" t="s">
        <v>98</v>
      </c>
      <c r="G5" t="s">
        <v>107</v>
      </c>
      <c r="I5">
        <v>2020</v>
      </c>
      <c r="J5" t="s">
        <v>108</v>
      </c>
      <c r="K5" t="s">
        <v>101</v>
      </c>
      <c r="L5" t="s">
        <v>102</v>
      </c>
      <c r="M5" t="s">
        <v>109</v>
      </c>
      <c r="N5">
        <v>1</v>
      </c>
      <c r="O5">
        <v>4130.0516552567015</v>
      </c>
      <c r="P5">
        <v>-0.20096334880876951</v>
      </c>
      <c r="Q5">
        <v>250.95541034781999</v>
      </c>
      <c r="R5">
        <v>25967.817743330601</v>
      </c>
      <c r="S5">
        <v>50.432839665176843</v>
      </c>
      <c r="T5">
        <v>30</v>
      </c>
      <c r="U5">
        <v>9.8628146588536497E-2</v>
      </c>
      <c r="V5">
        <v>31.536000000000001</v>
      </c>
    </row>
    <row r="6" spans="1:22" x14ac:dyDescent="0.25">
      <c r="A6" t="s">
        <v>93</v>
      </c>
      <c r="B6" t="s">
        <v>94</v>
      </c>
      <c r="C6" t="s">
        <v>95</v>
      </c>
      <c r="D6" t="s">
        <v>96</v>
      </c>
      <c r="E6" t="s">
        <v>97</v>
      </c>
      <c r="F6" t="s">
        <v>98</v>
      </c>
      <c r="G6" t="s">
        <v>110</v>
      </c>
      <c r="I6">
        <v>2020</v>
      </c>
      <c r="J6" t="s">
        <v>111</v>
      </c>
      <c r="K6" t="s">
        <v>101</v>
      </c>
      <c r="L6" t="s">
        <v>102</v>
      </c>
      <c r="M6" t="s">
        <v>112</v>
      </c>
      <c r="N6">
        <v>1</v>
      </c>
      <c r="O6">
        <v>2694.965526691155</v>
      </c>
      <c r="P6">
        <v>-0.1248778723648238</v>
      </c>
      <c r="Q6">
        <v>250.95541034781999</v>
      </c>
      <c r="R6">
        <v>27268.70749891856</v>
      </c>
      <c r="S6">
        <v>31.338777702677039</v>
      </c>
      <c r="T6">
        <v>30</v>
      </c>
      <c r="U6">
        <v>9.8628146588536497E-2</v>
      </c>
      <c r="V6">
        <v>31.536000000000001</v>
      </c>
    </row>
    <row r="7" spans="1:22" x14ac:dyDescent="0.25">
      <c r="A7" t="s">
        <v>93</v>
      </c>
      <c r="B7" t="s">
        <v>94</v>
      </c>
      <c r="C7" t="s">
        <v>95</v>
      </c>
      <c r="D7" t="s">
        <v>96</v>
      </c>
      <c r="E7" t="s">
        <v>113</v>
      </c>
      <c r="F7" t="s">
        <v>98</v>
      </c>
      <c r="G7" t="s">
        <v>99</v>
      </c>
      <c r="I7">
        <v>2020</v>
      </c>
      <c r="J7" t="s">
        <v>114</v>
      </c>
      <c r="K7" t="s">
        <v>115</v>
      </c>
      <c r="L7" t="s">
        <v>116</v>
      </c>
      <c r="M7" t="s">
        <v>117</v>
      </c>
      <c r="N7">
        <v>0</v>
      </c>
      <c r="O7">
        <v>3036.1724381484469</v>
      </c>
      <c r="P7">
        <v>0.1149260684276816</v>
      </c>
      <c r="Q7">
        <v>69.115623150559045</v>
      </c>
      <c r="R7">
        <v>0</v>
      </c>
      <c r="S7">
        <v>-7.9431868356230044</v>
      </c>
      <c r="T7">
        <v>30</v>
      </c>
      <c r="U7">
        <v>8.2748623405738631E-2</v>
      </c>
      <c r="V7">
        <v>31.536000000000001</v>
      </c>
    </row>
    <row r="8" spans="1:22" x14ac:dyDescent="0.25">
      <c r="A8" t="s">
        <v>93</v>
      </c>
      <c r="B8" t="s">
        <v>94</v>
      </c>
      <c r="C8" t="s">
        <v>95</v>
      </c>
      <c r="D8" t="s">
        <v>96</v>
      </c>
      <c r="E8" t="s">
        <v>113</v>
      </c>
      <c r="F8" t="s">
        <v>98</v>
      </c>
      <c r="G8" t="s">
        <v>104</v>
      </c>
      <c r="I8">
        <v>2020</v>
      </c>
      <c r="J8" t="s">
        <v>118</v>
      </c>
      <c r="K8" t="s">
        <v>115</v>
      </c>
      <c r="L8" t="s">
        <v>116</v>
      </c>
      <c r="M8" t="s">
        <v>119</v>
      </c>
      <c r="N8">
        <v>0</v>
      </c>
      <c r="O8">
        <v>5041.7245980783027</v>
      </c>
      <c r="P8">
        <v>8.1951034351869317E-2</v>
      </c>
      <c r="Q8">
        <v>69.115623150559045</v>
      </c>
      <c r="R8">
        <v>0</v>
      </c>
      <c r="S8">
        <v>-5.664096807062319</v>
      </c>
      <c r="T8">
        <v>30</v>
      </c>
      <c r="U8">
        <v>8.2748623405738631E-2</v>
      </c>
      <c r="V8">
        <v>31.536000000000001</v>
      </c>
    </row>
    <row r="9" spans="1:22" x14ac:dyDescent="0.25">
      <c r="A9" t="s">
        <v>93</v>
      </c>
      <c r="B9" t="s">
        <v>94</v>
      </c>
      <c r="C9" t="s">
        <v>95</v>
      </c>
      <c r="D9" t="s">
        <v>96</v>
      </c>
      <c r="E9" t="s">
        <v>113</v>
      </c>
      <c r="F9" t="s">
        <v>98</v>
      </c>
      <c r="G9" t="s">
        <v>107</v>
      </c>
      <c r="I9">
        <v>2020</v>
      </c>
      <c r="J9" t="s">
        <v>120</v>
      </c>
      <c r="K9" t="s">
        <v>115</v>
      </c>
      <c r="L9" t="s">
        <v>116</v>
      </c>
      <c r="M9" t="s">
        <v>121</v>
      </c>
      <c r="N9">
        <v>0</v>
      </c>
      <c r="O9">
        <v>4130.0516552567015</v>
      </c>
      <c r="P9">
        <v>0.1005107058437861</v>
      </c>
      <c r="Q9">
        <v>69.115623150559045</v>
      </c>
      <c r="R9">
        <v>0</v>
      </c>
      <c r="S9">
        <v>-6.9468600676958134</v>
      </c>
      <c r="T9">
        <v>30</v>
      </c>
      <c r="U9">
        <v>8.2748623405738631E-2</v>
      </c>
      <c r="V9">
        <v>31.536000000000001</v>
      </c>
    </row>
    <row r="10" spans="1:22" x14ac:dyDescent="0.25">
      <c r="A10" t="s">
        <v>93</v>
      </c>
      <c r="B10" t="s">
        <v>94</v>
      </c>
      <c r="C10" t="s">
        <v>95</v>
      </c>
      <c r="D10" t="s">
        <v>96</v>
      </c>
      <c r="E10" t="s">
        <v>113</v>
      </c>
      <c r="F10" t="s">
        <v>98</v>
      </c>
      <c r="G10" t="s">
        <v>110</v>
      </c>
      <c r="I10">
        <v>2020</v>
      </c>
      <c r="J10" t="s">
        <v>122</v>
      </c>
      <c r="K10" t="s">
        <v>115</v>
      </c>
      <c r="L10" t="s">
        <v>116</v>
      </c>
      <c r="M10" t="s">
        <v>123</v>
      </c>
      <c r="N10">
        <v>0</v>
      </c>
      <c r="O10">
        <v>2694.965526691155</v>
      </c>
      <c r="P10">
        <v>0.1247485291326627</v>
      </c>
      <c r="Q10">
        <v>69.115623150559045</v>
      </c>
      <c r="R10">
        <v>0</v>
      </c>
      <c r="S10">
        <v>-8.6220723281196499</v>
      </c>
      <c r="T10">
        <v>30</v>
      </c>
      <c r="U10">
        <v>8.2748623405738631E-2</v>
      </c>
      <c r="V10">
        <v>31.536000000000001</v>
      </c>
    </row>
    <row r="11" spans="1:22" x14ac:dyDescent="0.25">
      <c r="A11" t="s">
        <v>93</v>
      </c>
      <c r="B11" t="s">
        <v>124</v>
      </c>
      <c r="C11" t="s">
        <v>95</v>
      </c>
      <c r="D11" t="s">
        <v>96</v>
      </c>
      <c r="E11" t="s">
        <v>97</v>
      </c>
      <c r="F11" t="s">
        <v>98</v>
      </c>
      <c r="G11" t="s">
        <v>99</v>
      </c>
      <c r="I11">
        <v>2020</v>
      </c>
      <c r="J11" t="s">
        <v>100</v>
      </c>
      <c r="K11" t="s">
        <v>125</v>
      </c>
      <c r="L11" t="s">
        <v>126</v>
      </c>
      <c r="M11" t="s">
        <v>127</v>
      </c>
      <c r="N11">
        <v>1</v>
      </c>
      <c r="O11">
        <v>15612.59696366465</v>
      </c>
      <c r="P11">
        <v>-0.33953103663499401</v>
      </c>
      <c r="Q11">
        <v>477.33616035955339</v>
      </c>
      <c r="R11">
        <v>15273.365023245389</v>
      </c>
      <c r="S11">
        <v>162.07044135024691</v>
      </c>
      <c r="T11">
        <v>30</v>
      </c>
      <c r="U11">
        <v>9.0305172134094655E-2</v>
      </c>
      <c r="V11">
        <v>31.536000000000001</v>
      </c>
    </row>
    <row r="12" spans="1:22" x14ac:dyDescent="0.25">
      <c r="A12" t="s">
        <v>93</v>
      </c>
      <c r="B12" t="s">
        <v>124</v>
      </c>
      <c r="C12" t="s">
        <v>95</v>
      </c>
      <c r="D12" t="s">
        <v>96</v>
      </c>
      <c r="E12" t="s">
        <v>97</v>
      </c>
      <c r="F12" t="s">
        <v>98</v>
      </c>
      <c r="G12" t="s">
        <v>104</v>
      </c>
      <c r="I12">
        <v>2020</v>
      </c>
      <c r="J12" t="s">
        <v>105</v>
      </c>
      <c r="K12" t="s">
        <v>125</v>
      </c>
      <c r="L12" t="s">
        <v>126</v>
      </c>
      <c r="M12" t="s">
        <v>128</v>
      </c>
      <c r="N12">
        <v>1</v>
      </c>
      <c r="O12">
        <v>23540.28075216963</v>
      </c>
      <c r="P12">
        <v>-0.51119235805864227</v>
      </c>
      <c r="Q12">
        <v>477.33616035955339</v>
      </c>
      <c r="R12">
        <v>15295.593999641809</v>
      </c>
      <c r="S12">
        <v>244.0105974008583</v>
      </c>
      <c r="T12">
        <v>30</v>
      </c>
      <c r="U12">
        <v>9.0305172134094655E-2</v>
      </c>
      <c r="V12">
        <v>31.536000000000001</v>
      </c>
    </row>
    <row r="13" spans="1:22" x14ac:dyDescent="0.25">
      <c r="A13" t="s">
        <v>93</v>
      </c>
      <c r="B13" t="s">
        <v>124</v>
      </c>
      <c r="C13" t="s">
        <v>95</v>
      </c>
      <c r="D13" t="s">
        <v>96</v>
      </c>
      <c r="E13" t="s">
        <v>97</v>
      </c>
      <c r="F13" t="s">
        <v>98</v>
      </c>
      <c r="G13" t="s">
        <v>107</v>
      </c>
      <c r="I13">
        <v>2020</v>
      </c>
      <c r="J13" t="s">
        <v>108</v>
      </c>
      <c r="K13" t="s">
        <v>125</v>
      </c>
      <c r="L13" t="s">
        <v>126</v>
      </c>
      <c r="M13" t="s">
        <v>129</v>
      </c>
      <c r="N13">
        <v>1</v>
      </c>
      <c r="O13">
        <v>19829.56015632757</v>
      </c>
      <c r="P13">
        <v>-0.45261048976391621</v>
      </c>
      <c r="Q13">
        <v>477.33616035955339</v>
      </c>
      <c r="R13">
        <v>14552.16224631257</v>
      </c>
      <c r="S13">
        <v>216.0473533223647</v>
      </c>
      <c r="T13">
        <v>30</v>
      </c>
      <c r="U13">
        <v>9.0305172134094655E-2</v>
      </c>
      <c r="V13">
        <v>31.536000000000001</v>
      </c>
    </row>
    <row r="14" spans="1:22" x14ac:dyDescent="0.25">
      <c r="A14" t="s">
        <v>93</v>
      </c>
      <c r="B14" t="s">
        <v>124</v>
      </c>
      <c r="C14" t="s">
        <v>95</v>
      </c>
      <c r="D14" t="s">
        <v>96</v>
      </c>
      <c r="E14" t="s">
        <v>97</v>
      </c>
      <c r="F14" t="s">
        <v>98</v>
      </c>
      <c r="G14" t="s">
        <v>110</v>
      </c>
      <c r="I14">
        <v>2020</v>
      </c>
      <c r="J14" t="s">
        <v>111</v>
      </c>
      <c r="K14" t="s">
        <v>125</v>
      </c>
      <c r="L14" t="s">
        <v>126</v>
      </c>
      <c r="M14" t="s">
        <v>130</v>
      </c>
      <c r="N14">
        <v>1</v>
      </c>
      <c r="O14">
        <v>14582.25683828563</v>
      </c>
      <c r="P14">
        <v>-0.2475073834604197</v>
      </c>
      <c r="Q14">
        <v>477.33616035955339</v>
      </c>
      <c r="R14">
        <v>19569.316002970769</v>
      </c>
      <c r="S14">
        <v>118.14422408163639</v>
      </c>
      <c r="T14">
        <v>30</v>
      </c>
      <c r="U14">
        <v>9.0305172134094655E-2</v>
      </c>
      <c r="V14">
        <v>31.536000000000001</v>
      </c>
    </row>
    <row r="15" spans="1:22" x14ac:dyDescent="0.25">
      <c r="A15" t="s">
        <v>93</v>
      </c>
      <c r="B15" t="s">
        <v>124</v>
      </c>
      <c r="C15" t="s">
        <v>95</v>
      </c>
      <c r="D15" t="s">
        <v>96</v>
      </c>
      <c r="E15" t="s">
        <v>113</v>
      </c>
      <c r="F15" t="s">
        <v>98</v>
      </c>
      <c r="G15" t="s">
        <v>99</v>
      </c>
      <c r="I15">
        <v>2020</v>
      </c>
      <c r="J15" t="s">
        <v>114</v>
      </c>
      <c r="K15" t="s">
        <v>131</v>
      </c>
      <c r="L15" t="s">
        <v>132</v>
      </c>
      <c r="M15" t="s">
        <v>133</v>
      </c>
      <c r="N15">
        <v>1</v>
      </c>
      <c r="O15">
        <v>15612.59696366465</v>
      </c>
      <c r="P15">
        <v>-0.20418959954450561</v>
      </c>
      <c r="Q15">
        <v>87.185414546843788</v>
      </c>
      <c r="R15">
        <v>139046.82984733791</v>
      </c>
      <c r="S15">
        <v>17.802354882441751</v>
      </c>
      <c r="T15">
        <v>30</v>
      </c>
      <c r="U15">
        <v>8.0981185647948012E-2</v>
      </c>
      <c r="V15">
        <v>31.536000000000001</v>
      </c>
    </row>
    <row r="16" spans="1:22" x14ac:dyDescent="0.25">
      <c r="A16" t="s">
        <v>93</v>
      </c>
      <c r="B16" t="s">
        <v>124</v>
      </c>
      <c r="C16" t="s">
        <v>95</v>
      </c>
      <c r="D16" t="s">
        <v>96</v>
      </c>
      <c r="E16" t="s">
        <v>113</v>
      </c>
      <c r="F16" t="s">
        <v>98</v>
      </c>
      <c r="G16" t="s">
        <v>104</v>
      </c>
      <c r="I16">
        <v>2020</v>
      </c>
      <c r="J16" t="s">
        <v>118</v>
      </c>
      <c r="K16" t="s">
        <v>131</v>
      </c>
      <c r="L16" t="s">
        <v>132</v>
      </c>
      <c r="M16" t="s">
        <v>134</v>
      </c>
      <c r="N16">
        <v>1</v>
      </c>
      <c r="O16">
        <v>23540.28075216963</v>
      </c>
      <c r="P16">
        <v>-0.22657050673752141</v>
      </c>
      <c r="Q16">
        <v>87.185414546843788</v>
      </c>
      <c r="R16">
        <v>188941.70178027509</v>
      </c>
      <c r="S16">
        <v>19.753643553999261</v>
      </c>
      <c r="T16">
        <v>30</v>
      </c>
      <c r="U16">
        <v>8.0981185647948012E-2</v>
      </c>
      <c r="V16">
        <v>31.536000000000001</v>
      </c>
    </row>
    <row r="17" spans="1:22" x14ac:dyDescent="0.25">
      <c r="A17" t="s">
        <v>93</v>
      </c>
      <c r="B17" t="s">
        <v>124</v>
      </c>
      <c r="C17" t="s">
        <v>95</v>
      </c>
      <c r="D17" t="s">
        <v>96</v>
      </c>
      <c r="E17" t="s">
        <v>113</v>
      </c>
      <c r="F17" t="s">
        <v>98</v>
      </c>
      <c r="G17" t="s">
        <v>107</v>
      </c>
      <c r="I17">
        <v>2020</v>
      </c>
      <c r="J17" t="s">
        <v>120</v>
      </c>
      <c r="K17" t="s">
        <v>131</v>
      </c>
      <c r="L17" t="s">
        <v>132</v>
      </c>
      <c r="M17" t="s">
        <v>135</v>
      </c>
      <c r="N17">
        <v>1</v>
      </c>
      <c r="O17">
        <v>19829.56015632757</v>
      </c>
      <c r="P17">
        <v>-0.21089908383512479</v>
      </c>
      <c r="Q17">
        <v>87.185414546843788</v>
      </c>
      <c r="R17">
        <v>170984.97473536621</v>
      </c>
      <c r="S17">
        <v>18.38732405171492</v>
      </c>
      <c r="T17">
        <v>30</v>
      </c>
      <c r="U17">
        <v>8.0981185647948012E-2</v>
      </c>
      <c r="V17">
        <v>31.536000000000001</v>
      </c>
    </row>
    <row r="18" spans="1:22" x14ac:dyDescent="0.25">
      <c r="A18" t="s">
        <v>93</v>
      </c>
      <c r="B18" t="s">
        <v>124</v>
      </c>
      <c r="C18" t="s">
        <v>95</v>
      </c>
      <c r="D18" t="s">
        <v>96</v>
      </c>
      <c r="E18" t="s">
        <v>113</v>
      </c>
      <c r="F18" t="s">
        <v>98</v>
      </c>
      <c r="G18" t="s">
        <v>110</v>
      </c>
      <c r="I18">
        <v>2020</v>
      </c>
      <c r="J18" t="s">
        <v>122</v>
      </c>
      <c r="K18" t="s">
        <v>131</v>
      </c>
      <c r="L18" t="s">
        <v>132</v>
      </c>
      <c r="M18" t="s">
        <v>136</v>
      </c>
      <c r="N18">
        <v>1</v>
      </c>
      <c r="O18">
        <v>14582.25683828563</v>
      </c>
      <c r="P18">
        <v>-0.1627443537673183</v>
      </c>
      <c r="Q18">
        <v>87.185414546843788</v>
      </c>
      <c r="R18">
        <v>162944.00011963249</v>
      </c>
      <c r="S18">
        <v>14.188933948361839</v>
      </c>
      <c r="T18">
        <v>30</v>
      </c>
      <c r="U18">
        <v>8.0981185647948012E-2</v>
      </c>
      <c r="V18">
        <v>31.536000000000001</v>
      </c>
    </row>
    <row r="19" spans="1:22" x14ac:dyDescent="0.25">
      <c r="A19" t="s">
        <v>93</v>
      </c>
      <c r="B19" t="s">
        <v>94</v>
      </c>
      <c r="C19" t="s">
        <v>137</v>
      </c>
      <c r="D19" t="s">
        <v>96</v>
      </c>
      <c r="E19" t="s">
        <v>97</v>
      </c>
      <c r="F19" t="s">
        <v>98</v>
      </c>
      <c r="G19" t="s">
        <v>99</v>
      </c>
      <c r="I19">
        <v>2020</v>
      </c>
      <c r="J19" t="s">
        <v>100</v>
      </c>
      <c r="K19" t="s">
        <v>138</v>
      </c>
      <c r="L19" t="s">
        <v>139</v>
      </c>
      <c r="M19" t="s">
        <v>140</v>
      </c>
      <c r="N19">
        <v>1</v>
      </c>
      <c r="O19">
        <v>3036.1724381484469</v>
      </c>
      <c r="P19">
        <v>-0.1391900330394471</v>
      </c>
      <c r="Q19">
        <v>279.92208498924828</v>
      </c>
      <c r="R19">
        <v>24710.101215290371</v>
      </c>
      <c r="S19">
        <v>38.962364258124403</v>
      </c>
      <c r="T19">
        <v>30</v>
      </c>
      <c r="U19">
        <v>9.0799342577003436E-2</v>
      </c>
      <c r="V19">
        <v>31.536000000000001</v>
      </c>
    </row>
    <row r="20" spans="1:22" x14ac:dyDescent="0.25">
      <c r="A20" t="s">
        <v>93</v>
      </c>
      <c r="B20" t="s">
        <v>94</v>
      </c>
      <c r="C20" t="s">
        <v>137</v>
      </c>
      <c r="D20" t="s">
        <v>96</v>
      </c>
      <c r="E20" t="s">
        <v>97</v>
      </c>
      <c r="F20" t="s">
        <v>98</v>
      </c>
      <c r="G20" t="s">
        <v>104</v>
      </c>
      <c r="I20">
        <v>2020</v>
      </c>
      <c r="J20" t="s">
        <v>105</v>
      </c>
      <c r="K20" t="s">
        <v>138</v>
      </c>
      <c r="L20" t="s">
        <v>139</v>
      </c>
      <c r="M20" t="s">
        <v>141</v>
      </c>
      <c r="N20">
        <v>1</v>
      </c>
      <c r="O20">
        <v>5041.7245980783027</v>
      </c>
      <c r="P20">
        <v>-0.49971985209806602</v>
      </c>
      <c r="Q20">
        <v>279.92208498924828</v>
      </c>
      <c r="R20">
        <v>11429.01347707578</v>
      </c>
      <c r="S20">
        <v>139.88262290980941</v>
      </c>
      <c r="T20">
        <v>30</v>
      </c>
      <c r="U20">
        <v>9.0799342577003436E-2</v>
      </c>
      <c r="V20">
        <v>31.536000000000001</v>
      </c>
    </row>
    <row r="21" spans="1:22" x14ac:dyDescent="0.25">
      <c r="A21" t="s">
        <v>93</v>
      </c>
      <c r="B21" t="s">
        <v>94</v>
      </c>
      <c r="C21" t="s">
        <v>137</v>
      </c>
      <c r="D21" t="s">
        <v>96</v>
      </c>
      <c r="E21" t="s">
        <v>97</v>
      </c>
      <c r="F21" t="s">
        <v>98</v>
      </c>
      <c r="G21" t="s">
        <v>107</v>
      </c>
      <c r="I21">
        <v>2020</v>
      </c>
      <c r="J21" t="s">
        <v>108</v>
      </c>
      <c r="K21" t="s">
        <v>138</v>
      </c>
      <c r="L21" t="s">
        <v>139</v>
      </c>
      <c r="M21" t="s">
        <v>142</v>
      </c>
      <c r="N21">
        <v>1</v>
      </c>
      <c r="O21">
        <v>4130.0516552567015</v>
      </c>
      <c r="P21">
        <v>-0.20096334880876951</v>
      </c>
      <c r="Q21">
        <v>279.92208498924828</v>
      </c>
      <c r="R21">
        <v>23280.63667382743</v>
      </c>
      <c r="S21">
        <v>56.254079604972333</v>
      </c>
      <c r="T21">
        <v>30</v>
      </c>
      <c r="U21">
        <v>9.0799342577003436E-2</v>
      </c>
      <c r="V21">
        <v>31.536000000000001</v>
      </c>
    </row>
    <row r="22" spans="1:22" x14ac:dyDescent="0.25">
      <c r="A22" t="s">
        <v>93</v>
      </c>
      <c r="B22" t="s">
        <v>94</v>
      </c>
      <c r="C22" t="s">
        <v>137</v>
      </c>
      <c r="D22" t="s">
        <v>96</v>
      </c>
      <c r="E22" t="s">
        <v>97</v>
      </c>
      <c r="F22" t="s">
        <v>98</v>
      </c>
      <c r="G22" t="s">
        <v>110</v>
      </c>
      <c r="I22">
        <v>2020</v>
      </c>
      <c r="J22" t="s">
        <v>111</v>
      </c>
      <c r="K22" t="s">
        <v>138</v>
      </c>
      <c r="L22" t="s">
        <v>139</v>
      </c>
      <c r="M22" t="s">
        <v>143</v>
      </c>
      <c r="N22">
        <v>1</v>
      </c>
      <c r="O22">
        <v>2694.965526691155</v>
      </c>
      <c r="P22">
        <v>-0.1248778723648238</v>
      </c>
      <c r="Q22">
        <v>279.92208498924828</v>
      </c>
      <c r="R22">
        <v>24446.908790025009</v>
      </c>
      <c r="S22">
        <v>34.956074401382701</v>
      </c>
      <c r="T22">
        <v>30</v>
      </c>
      <c r="U22">
        <v>9.0799342577003436E-2</v>
      </c>
      <c r="V22">
        <v>31.536000000000001</v>
      </c>
    </row>
    <row r="23" spans="1:22" x14ac:dyDescent="0.25">
      <c r="A23" t="s">
        <v>93</v>
      </c>
      <c r="B23" t="s">
        <v>94</v>
      </c>
      <c r="C23" t="s">
        <v>137</v>
      </c>
      <c r="D23" t="s">
        <v>96</v>
      </c>
      <c r="E23" t="s">
        <v>113</v>
      </c>
      <c r="F23" t="s">
        <v>98</v>
      </c>
      <c r="G23" t="s">
        <v>99</v>
      </c>
      <c r="I23">
        <v>2020</v>
      </c>
      <c r="J23" t="s">
        <v>114</v>
      </c>
      <c r="K23" t="s">
        <v>144</v>
      </c>
      <c r="L23" t="s">
        <v>145</v>
      </c>
      <c r="M23" t="s">
        <v>146</v>
      </c>
      <c r="N23">
        <v>0</v>
      </c>
      <c r="O23">
        <v>3036.1724381484469</v>
      </c>
      <c r="P23">
        <v>0.1149260684276816</v>
      </c>
      <c r="Q23">
        <v>76.158562032876347</v>
      </c>
      <c r="R23">
        <v>0</v>
      </c>
      <c r="S23">
        <v>-8.7526041115441817</v>
      </c>
      <c r="T23">
        <v>30</v>
      </c>
      <c r="U23">
        <v>7.9838654742081211E-2</v>
      </c>
      <c r="V23">
        <v>31.536000000000001</v>
      </c>
    </row>
    <row r="24" spans="1:22" x14ac:dyDescent="0.25">
      <c r="A24" t="s">
        <v>93</v>
      </c>
      <c r="B24" t="s">
        <v>94</v>
      </c>
      <c r="C24" t="s">
        <v>137</v>
      </c>
      <c r="D24" t="s">
        <v>96</v>
      </c>
      <c r="E24" t="s">
        <v>113</v>
      </c>
      <c r="F24" t="s">
        <v>98</v>
      </c>
      <c r="G24" t="s">
        <v>104</v>
      </c>
      <c r="I24">
        <v>2020</v>
      </c>
      <c r="J24" t="s">
        <v>118</v>
      </c>
      <c r="K24" t="s">
        <v>144</v>
      </c>
      <c r="L24" t="s">
        <v>145</v>
      </c>
      <c r="M24" t="s">
        <v>147</v>
      </c>
      <c r="N24">
        <v>0</v>
      </c>
      <c r="O24">
        <v>5041.7245980783027</v>
      </c>
      <c r="P24">
        <v>8.1951034351869317E-2</v>
      </c>
      <c r="Q24">
        <v>76.158562032876347</v>
      </c>
      <c r="R24">
        <v>0</v>
      </c>
      <c r="S24">
        <v>-6.2412729333452202</v>
      </c>
      <c r="T24">
        <v>30</v>
      </c>
      <c r="U24">
        <v>7.9838654742081211E-2</v>
      </c>
      <c r="V24">
        <v>31.536000000000001</v>
      </c>
    </row>
    <row r="25" spans="1:22" x14ac:dyDescent="0.25">
      <c r="A25" t="s">
        <v>93</v>
      </c>
      <c r="B25" t="s">
        <v>94</v>
      </c>
      <c r="C25" t="s">
        <v>137</v>
      </c>
      <c r="D25" t="s">
        <v>96</v>
      </c>
      <c r="E25" t="s">
        <v>113</v>
      </c>
      <c r="F25" t="s">
        <v>98</v>
      </c>
      <c r="G25" t="s">
        <v>107</v>
      </c>
      <c r="I25">
        <v>2020</v>
      </c>
      <c r="J25" t="s">
        <v>120</v>
      </c>
      <c r="K25" t="s">
        <v>144</v>
      </c>
      <c r="L25" t="s">
        <v>145</v>
      </c>
      <c r="M25" t="s">
        <v>148</v>
      </c>
      <c r="N25">
        <v>0</v>
      </c>
      <c r="O25">
        <v>4130.0516552567015</v>
      </c>
      <c r="P25">
        <v>0.1005107058437861</v>
      </c>
      <c r="Q25">
        <v>76.158562032876347</v>
      </c>
      <c r="R25">
        <v>0</v>
      </c>
      <c r="S25">
        <v>-7.6547508259721706</v>
      </c>
      <c r="T25">
        <v>30</v>
      </c>
      <c r="U25">
        <v>7.9838654742081211E-2</v>
      </c>
      <c r="V25">
        <v>31.536000000000001</v>
      </c>
    </row>
    <row r="26" spans="1:22" x14ac:dyDescent="0.25">
      <c r="A26" t="s">
        <v>93</v>
      </c>
      <c r="B26" t="s">
        <v>94</v>
      </c>
      <c r="C26" t="s">
        <v>137</v>
      </c>
      <c r="D26" t="s">
        <v>96</v>
      </c>
      <c r="E26" t="s">
        <v>113</v>
      </c>
      <c r="F26" t="s">
        <v>98</v>
      </c>
      <c r="G26" t="s">
        <v>110</v>
      </c>
      <c r="I26">
        <v>2020</v>
      </c>
      <c r="J26" t="s">
        <v>122</v>
      </c>
      <c r="K26" t="s">
        <v>144</v>
      </c>
      <c r="L26" t="s">
        <v>145</v>
      </c>
      <c r="M26" t="s">
        <v>149</v>
      </c>
      <c r="N26">
        <v>0</v>
      </c>
      <c r="O26">
        <v>2694.965526691155</v>
      </c>
      <c r="P26">
        <v>0.1247485291326627</v>
      </c>
      <c r="Q26">
        <v>76.158562032876347</v>
      </c>
      <c r="R26">
        <v>0</v>
      </c>
      <c r="S26">
        <v>-9.5006685944599738</v>
      </c>
      <c r="T26">
        <v>30</v>
      </c>
      <c r="U26">
        <v>7.9838654742081211E-2</v>
      </c>
      <c r="V26">
        <v>31.536000000000001</v>
      </c>
    </row>
    <row r="27" spans="1:22" x14ac:dyDescent="0.25">
      <c r="A27" t="s">
        <v>93</v>
      </c>
      <c r="B27" t="s">
        <v>124</v>
      </c>
      <c r="C27" t="s">
        <v>137</v>
      </c>
      <c r="D27" t="s">
        <v>96</v>
      </c>
      <c r="E27" t="s">
        <v>97</v>
      </c>
      <c r="F27" t="s">
        <v>98</v>
      </c>
      <c r="G27" t="s">
        <v>99</v>
      </c>
      <c r="I27">
        <v>2020</v>
      </c>
      <c r="J27" t="s">
        <v>100</v>
      </c>
      <c r="K27" t="s">
        <v>150</v>
      </c>
      <c r="L27" t="s">
        <v>151</v>
      </c>
      <c r="M27" t="s">
        <v>152</v>
      </c>
      <c r="N27">
        <v>1</v>
      </c>
      <c r="O27">
        <v>15612.59696366465</v>
      </c>
      <c r="P27">
        <v>-0.33953103663499401</v>
      </c>
      <c r="Q27">
        <v>462.5108141623416</v>
      </c>
      <c r="R27">
        <v>15762.938276740209</v>
      </c>
      <c r="S27">
        <v>157.0367761874349</v>
      </c>
      <c r="T27">
        <v>30</v>
      </c>
      <c r="U27">
        <v>8.263812321365821E-2</v>
      </c>
      <c r="V27">
        <v>31.536000000000001</v>
      </c>
    </row>
    <row r="28" spans="1:22" x14ac:dyDescent="0.25">
      <c r="A28" t="s">
        <v>93</v>
      </c>
      <c r="B28" t="s">
        <v>124</v>
      </c>
      <c r="C28" t="s">
        <v>137</v>
      </c>
      <c r="D28" t="s">
        <v>96</v>
      </c>
      <c r="E28" t="s">
        <v>97</v>
      </c>
      <c r="F28" t="s">
        <v>98</v>
      </c>
      <c r="G28" t="s">
        <v>104</v>
      </c>
      <c r="I28">
        <v>2020</v>
      </c>
      <c r="J28" t="s">
        <v>105</v>
      </c>
      <c r="K28" t="s">
        <v>150</v>
      </c>
      <c r="L28" t="s">
        <v>151</v>
      </c>
      <c r="M28" t="s">
        <v>153</v>
      </c>
      <c r="N28">
        <v>1</v>
      </c>
      <c r="O28">
        <v>23540.28075216963</v>
      </c>
      <c r="P28">
        <v>-0.51119235805864227</v>
      </c>
      <c r="Q28">
        <v>462.5108141623416</v>
      </c>
      <c r="R28">
        <v>15785.87978192644</v>
      </c>
      <c r="S28">
        <v>236.43199371926991</v>
      </c>
      <c r="T28">
        <v>30</v>
      </c>
      <c r="U28">
        <v>8.263812321365821E-2</v>
      </c>
      <c r="V28">
        <v>31.536000000000001</v>
      </c>
    </row>
    <row r="29" spans="1:22" x14ac:dyDescent="0.25">
      <c r="A29" t="s">
        <v>93</v>
      </c>
      <c r="B29" t="s">
        <v>124</v>
      </c>
      <c r="C29" t="s">
        <v>137</v>
      </c>
      <c r="D29" t="s">
        <v>96</v>
      </c>
      <c r="E29" t="s">
        <v>97</v>
      </c>
      <c r="F29" t="s">
        <v>98</v>
      </c>
      <c r="G29" t="s">
        <v>107</v>
      </c>
      <c r="I29">
        <v>2020</v>
      </c>
      <c r="J29" t="s">
        <v>108</v>
      </c>
      <c r="K29" t="s">
        <v>150</v>
      </c>
      <c r="L29" t="s">
        <v>151</v>
      </c>
      <c r="M29" t="s">
        <v>154</v>
      </c>
      <c r="N29">
        <v>1</v>
      </c>
      <c r="O29">
        <v>19829.56015632757</v>
      </c>
      <c r="P29">
        <v>-0.45261048976391621</v>
      </c>
      <c r="Q29">
        <v>462.5108141623416</v>
      </c>
      <c r="R29">
        <v>15018.618027698591</v>
      </c>
      <c r="S29">
        <v>209.33724611912501</v>
      </c>
      <c r="T29">
        <v>30</v>
      </c>
      <c r="U29">
        <v>8.263812321365821E-2</v>
      </c>
      <c r="V29">
        <v>31.536000000000001</v>
      </c>
    </row>
    <row r="30" spans="1:22" x14ac:dyDescent="0.25">
      <c r="A30" t="s">
        <v>93</v>
      </c>
      <c r="B30" t="s">
        <v>124</v>
      </c>
      <c r="C30" t="s">
        <v>137</v>
      </c>
      <c r="D30" t="s">
        <v>96</v>
      </c>
      <c r="E30" t="s">
        <v>97</v>
      </c>
      <c r="F30" t="s">
        <v>98</v>
      </c>
      <c r="G30" t="s">
        <v>110</v>
      </c>
      <c r="I30">
        <v>2020</v>
      </c>
      <c r="J30" t="s">
        <v>111</v>
      </c>
      <c r="K30" t="s">
        <v>150</v>
      </c>
      <c r="L30" t="s">
        <v>151</v>
      </c>
      <c r="M30" t="s">
        <v>155</v>
      </c>
      <c r="N30">
        <v>1</v>
      </c>
      <c r="O30">
        <v>14582.25683828563</v>
      </c>
      <c r="P30">
        <v>-0.2475073834604197</v>
      </c>
      <c r="Q30">
        <v>462.5108141623416</v>
      </c>
      <c r="R30">
        <v>20196.591897291459</v>
      </c>
      <c r="S30">
        <v>114.4748414354696</v>
      </c>
      <c r="T30">
        <v>30</v>
      </c>
      <c r="U30">
        <v>8.263812321365821E-2</v>
      </c>
      <c r="V30">
        <v>31.536000000000001</v>
      </c>
    </row>
    <row r="31" spans="1:22" x14ac:dyDescent="0.25">
      <c r="A31" t="s">
        <v>93</v>
      </c>
      <c r="B31" t="s">
        <v>124</v>
      </c>
      <c r="C31" t="s">
        <v>137</v>
      </c>
      <c r="D31" t="s">
        <v>96</v>
      </c>
      <c r="E31" t="s">
        <v>113</v>
      </c>
      <c r="F31" t="s">
        <v>98</v>
      </c>
      <c r="G31" t="s">
        <v>99</v>
      </c>
      <c r="I31">
        <v>2020</v>
      </c>
      <c r="J31" t="s">
        <v>114</v>
      </c>
      <c r="K31" t="s">
        <v>156</v>
      </c>
      <c r="L31" t="s">
        <v>157</v>
      </c>
      <c r="M31" t="s">
        <v>158</v>
      </c>
      <c r="N31">
        <v>1</v>
      </c>
      <c r="O31">
        <v>15612.59696366465</v>
      </c>
      <c r="P31">
        <v>-0.20418959954450561</v>
      </c>
      <c r="Q31">
        <v>82.712671332171311</v>
      </c>
      <c r="R31">
        <v>146565.88049223591</v>
      </c>
      <c r="S31">
        <v>16.88906723657237</v>
      </c>
      <c r="T31">
        <v>30</v>
      </c>
      <c r="U31">
        <v>9.7022787788124412E-2</v>
      </c>
      <c r="V31">
        <v>31.536000000000001</v>
      </c>
    </row>
    <row r="32" spans="1:22" x14ac:dyDescent="0.25">
      <c r="A32" t="s">
        <v>93</v>
      </c>
      <c r="B32" t="s">
        <v>124</v>
      </c>
      <c r="C32" t="s">
        <v>137</v>
      </c>
      <c r="D32" t="s">
        <v>96</v>
      </c>
      <c r="E32" t="s">
        <v>113</v>
      </c>
      <c r="F32" t="s">
        <v>98</v>
      </c>
      <c r="G32" t="s">
        <v>104</v>
      </c>
      <c r="I32">
        <v>2020</v>
      </c>
      <c r="J32" t="s">
        <v>118</v>
      </c>
      <c r="K32" t="s">
        <v>156</v>
      </c>
      <c r="L32" t="s">
        <v>157</v>
      </c>
      <c r="M32" t="s">
        <v>159</v>
      </c>
      <c r="N32">
        <v>1</v>
      </c>
      <c r="O32">
        <v>23540.28075216963</v>
      </c>
      <c r="P32">
        <v>-0.22657050673752141</v>
      </c>
      <c r="Q32">
        <v>82.712671332171311</v>
      </c>
      <c r="R32">
        <v>199158.8511117548</v>
      </c>
      <c r="S32">
        <v>18.740251857344109</v>
      </c>
      <c r="T32">
        <v>30</v>
      </c>
      <c r="U32">
        <v>9.7022787788124412E-2</v>
      </c>
      <c r="V32">
        <v>31.536000000000001</v>
      </c>
    </row>
    <row r="33" spans="1:22" x14ac:dyDescent="0.25">
      <c r="A33" t="s">
        <v>93</v>
      </c>
      <c r="B33" t="s">
        <v>124</v>
      </c>
      <c r="C33" t="s">
        <v>137</v>
      </c>
      <c r="D33" t="s">
        <v>96</v>
      </c>
      <c r="E33" t="s">
        <v>113</v>
      </c>
      <c r="F33" t="s">
        <v>98</v>
      </c>
      <c r="G33" t="s">
        <v>107</v>
      </c>
      <c r="I33">
        <v>2020</v>
      </c>
      <c r="J33" t="s">
        <v>120</v>
      </c>
      <c r="K33" t="s">
        <v>156</v>
      </c>
      <c r="L33" t="s">
        <v>157</v>
      </c>
      <c r="M33" t="s">
        <v>160</v>
      </c>
      <c r="N33">
        <v>1</v>
      </c>
      <c r="O33">
        <v>19829.56015632757</v>
      </c>
      <c r="P33">
        <v>-0.21089908383512479</v>
      </c>
      <c r="Q33">
        <v>82.712671332171311</v>
      </c>
      <c r="R33">
        <v>180231.1020002838</v>
      </c>
      <c r="S33">
        <v>17.444026605510729</v>
      </c>
      <c r="T33">
        <v>30</v>
      </c>
      <c r="U33">
        <v>9.7022787788124412E-2</v>
      </c>
      <c r="V33">
        <v>31.536000000000001</v>
      </c>
    </row>
    <row r="34" spans="1:22" x14ac:dyDescent="0.25">
      <c r="A34" t="s">
        <v>93</v>
      </c>
      <c r="B34" t="s">
        <v>124</v>
      </c>
      <c r="C34" t="s">
        <v>137</v>
      </c>
      <c r="D34" t="s">
        <v>96</v>
      </c>
      <c r="E34" t="s">
        <v>113</v>
      </c>
      <c r="F34" t="s">
        <v>98</v>
      </c>
      <c r="G34" t="s">
        <v>110</v>
      </c>
      <c r="I34">
        <v>2020</v>
      </c>
      <c r="J34" t="s">
        <v>122</v>
      </c>
      <c r="K34" t="s">
        <v>156</v>
      </c>
      <c r="L34" t="s">
        <v>157</v>
      </c>
      <c r="M34" t="s">
        <v>161</v>
      </c>
      <c r="N34">
        <v>1</v>
      </c>
      <c r="O34">
        <v>14582.25683828563</v>
      </c>
      <c r="P34">
        <v>-0.1627443537673183</v>
      </c>
      <c r="Q34">
        <v>82.712671332171311</v>
      </c>
      <c r="R34">
        <v>171755.30628552599</v>
      </c>
      <c r="S34">
        <v>13.46102024432281</v>
      </c>
      <c r="T34">
        <v>30</v>
      </c>
      <c r="U34">
        <v>9.7022787788124412E-2</v>
      </c>
      <c r="V34">
        <v>31.536000000000001</v>
      </c>
    </row>
    <row r="35" spans="1:22" x14ac:dyDescent="0.25">
      <c r="A35" t="s">
        <v>93</v>
      </c>
      <c r="B35" t="s">
        <v>94</v>
      </c>
      <c r="C35" t="s">
        <v>162</v>
      </c>
      <c r="D35" t="s">
        <v>96</v>
      </c>
      <c r="E35" t="s">
        <v>97</v>
      </c>
      <c r="F35" t="s">
        <v>98</v>
      </c>
      <c r="G35" t="s">
        <v>99</v>
      </c>
      <c r="I35">
        <v>2020</v>
      </c>
      <c r="J35" t="s">
        <v>100</v>
      </c>
      <c r="K35" t="s">
        <v>163</v>
      </c>
      <c r="L35" t="s">
        <v>164</v>
      </c>
      <c r="M35" t="s">
        <v>165</v>
      </c>
      <c r="N35">
        <v>1</v>
      </c>
      <c r="O35">
        <v>3036.1724381484469</v>
      </c>
      <c r="P35">
        <v>-0.1391900330394471</v>
      </c>
      <c r="Q35">
        <v>261.19290352107038</v>
      </c>
      <c r="R35">
        <v>26481.971597369429</v>
      </c>
      <c r="S35">
        <v>36.355448870766921</v>
      </c>
      <c r="T35">
        <v>30</v>
      </c>
      <c r="U35">
        <v>8.7856310855373987E-2</v>
      </c>
      <c r="V35">
        <v>31.536000000000001</v>
      </c>
    </row>
    <row r="36" spans="1:22" x14ac:dyDescent="0.25">
      <c r="A36" t="s">
        <v>93</v>
      </c>
      <c r="B36" t="s">
        <v>94</v>
      </c>
      <c r="C36" t="s">
        <v>162</v>
      </c>
      <c r="D36" t="s">
        <v>96</v>
      </c>
      <c r="E36" t="s">
        <v>97</v>
      </c>
      <c r="F36" t="s">
        <v>98</v>
      </c>
      <c r="G36" t="s">
        <v>104</v>
      </c>
      <c r="I36">
        <v>2020</v>
      </c>
      <c r="J36" t="s">
        <v>105</v>
      </c>
      <c r="K36" t="s">
        <v>163</v>
      </c>
      <c r="L36" t="s">
        <v>164</v>
      </c>
      <c r="M36" t="s">
        <v>166</v>
      </c>
      <c r="N36">
        <v>1</v>
      </c>
      <c r="O36">
        <v>5041.7245980783027</v>
      </c>
      <c r="P36">
        <v>-0.49971985209806602</v>
      </c>
      <c r="Q36">
        <v>261.19290352107038</v>
      </c>
      <c r="R36">
        <v>12248.54595490642</v>
      </c>
      <c r="S36">
        <v>130.52327911661371</v>
      </c>
      <c r="T36">
        <v>30</v>
      </c>
      <c r="U36">
        <v>8.7856310855373987E-2</v>
      </c>
      <c r="V36">
        <v>31.536000000000001</v>
      </c>
    </row>
    <row r="37" spans="1:22" x14ac:dyDescent="0.25">
      <c r="A37" t="s">
        <v>93</v>
      </c>
      <c r="B37" t="s">
        <v>94</v>
      </c>
      <c r="C37" t="s">
        <v>162</v>
      </c>
      <c r="D37" t="s">
        <v>96</v>
      </c>
      <c r="E37" t="s">
        <v>97</v>
      </c>
      <c r="F37" t="s">
        <v>98</v>
      </c>
      <c r="G37" t="s">
        <v>107</v>
      </c>
      <c r="I37">
        <v>2020</v>
      </c>
      <c r="J37" t="s">
        <v>108</v>
      </c>
      <c r="K37" t="s">
        <v>163</v>
      </c>
      <c r="L37" t="s">
        <v>164</v>
      </c>
      <c r="M37" t="s">
        <v>167</v>
      </c>
      <c r="N37">
        <v>1</v>
      </c>
      <c r="O37">
        <v>4130.0516552567015</v>
      </c>
      <c r="P37">
        <v>-0.20096334880876951</v>
      </c>
      <c r="Q37">
        <v>261.19290352107038</v>
      </c>
      <c r="R37">
        <v>24950.00541654924</v>
      </c>
      <c r="S37">
        <v>52.490200576680152</v>
      </c>
      <c r="T37">
        <v>30</v>
      </c>
      <c r="U37">
        <v>8.7856310855373987E-2</v>
      </c>
      <c r="V37">
        <v>31.536000000000001</v>
      </c>
    </row>
    <row r="38" spans="1:22" x14ac:dyDescent="0.25">
      <c r="A38" t="s">
        <v>93</v>
      </c>
      <c r="B38" t="s">
        <v>94</v>
      </c>
      <c r="C38" t="s">
        <v>162</v>
      </c>
      <c r="D38" t="s">
        <v>96</v>
      </c>
      <c r="E38" t="s">
        <v>97</v>
      </c>
      <c r="F38" t="s">
        <v>98</v>
      </c>
      <c r="G38" t="s">
        <v>110</v>
      </c>
      <c r="I38">
        <v>2020</v>
      </c>
      <c r="J38" t="s">
        <v>111</v>
      </c>
      <c r="K38" t="s">
        <v>163</v>
      </c>
      <c r="L38" t="s">
        <v>164</v>
      </c>
      <c r="M38" t="s">
        <v>168</v>
      </c>
      <c r="N38">
        <v>1</v>
      </c>
      <c r="O38">
        <v>2694.965526691155</v>
      </c>
      <c r="P38">
        <v>-0.1248778723648238</v>
      </c>
      <c r="Q38">
        <v>261.19290352107038</v>
      </c>
      <c r="R38">
        <v>26199.906612293322</v>
      </c>
      <c r="S38">
        <v>32.617214068501958</v>
      </c>
      <c r="T38">
        <v>30</v>
      </c>
      <c r="U38">
        <v>8.7856310855373987E-2</v>
      </c>
      <c r="V38">
        <v>31.536000000000001</v>
      </c>
    </row>
    <row r="39" spans="1:22" x14ac:dyDescent="0.25">
      <c r="A39" t="s">
        <v>93</v>
      </c>
      <c r="B39" t="s">
        <v>94</v>
      </c>
      <c r="C39" t="s">
        <v>162</v>
      </c>
      <c r="D39" t="s">
        <v>96</v>
      </c>
      <c r="E39" t="s">
        <v>113</v>
      </c>
      <c r="F39" t="s">
        <v>98</v>
      </c>
      <c r="G39" t="s">
        <v>99</v>
      </c>
      <c r="I39">
        <v>2020</v>
      </c>
      <c r="J39" t="s">
        <v>114</v>
      </c>
      <c r="K39" t="s">
        <v>169</v>
      </c>
      <c r="L39" t="s">
        <v>170</v>
      </c>
      <c r="M39" t="s">
        <v>171</v>
      </c>
      <c r="N39">
        <v>0</v>
      </c>
      <c r="O39">
        <v>3036.1724381484469</v>
      </c>
      <c r="P39">
        <v>0.1149260684276816</v>
      </c>
      <c r="Q39">
        <v>86.633276599156915</v>
      </c>
      <c r="R39">
        <v>0</v>
      </c>
      <c r="S39">
        <v>-9.9564218745489743</v>
      </c>
      <c r="T39">
        <v>30</v>
      </c>
      <c r="U39">
        <v>9.606602748064616E-2</v>
      </c>
      <c r="V39">
        <v>31.536000000000001</v>
      </c>
    </row>
    <row r="40" spans="1:22" x14ac:dyDescent="0.25">
      <c r="A40" t="s">
        <v>93</v>
      </c>
      <c r="B40" t="s">
        <v>94</v>
      </c>
      <c r="C40" t="s">
        <v>162</v>
      </c>
      <c r="D40" t="s">
        <v>96</v>
      </c>
      <c r="E40" t="s">
        <v>113</v>
      </c>
      <c r="F40" t="s">
        <v>98</v>
      </c>
      <c r="G40" t="s">
        <v>104</v>
      </c>
      <c r="I40">
        <v>2020</v>
      </c>
      <c r="J40" t="s">
        <v>118</v>
      </c>
      <c r="K40" t="s">
        <v>169</v>
      </c>
      <c r="L40" t="s">
        <v>170</v>
      </c>
      <c r="M40" t="s">
        <v>172</v>
      </c>
      <c r="N40">
        <v>0</v>
      </c>
      <c r="O40">
        <v>5041.7245980783027</v>
      </c>
      <c r="P40">
        <v>8.1951034351869317E-2</v>
      </c>
      <c r="Q40">
        <v>86.633276599156915</v>
      </c>
      <c r="R40">
        <v>0</v>
      </c>
      <c r="S40">
        <v>-7.0996866265925043</v>
      </c>
      <c r="T40">
        <v>30</v>
      </c>
      <c r="U40">
        <v>9.606602748064616E-2</v>
      </c>
      <c r="V40">
        <v>31.536000000000001</v>
      </c>
    </row>
    <row r="41" spans="1:22" x14ac:dyDescent="0.25">
      <c r="A41" t="s">
        <v>93</v>
      </c>
      <c r="B41" t="s">
        <v>94</v>
      </c>
      <c r="C41" t="s">
        <v>162</v>
      </c>
      <c r="D41" t="s">
        <v>96</v>
      </c>
      <c r="E41" t="s">
        <v>113</v>
      </c>
      <c r="F41" t="s">
        <v>98</v>
      </c>
      <c r="G41" t="s">
        <v>107</v>
      </c>
      <c r="I41">
        <v>2020</v>
      </c>
      <c r="J41" t="s">
        <v>120</v>
      </c>
      <c r="K41" t="s">
        <v>169</v>
      </c>
      <c r="L41" t="s">
        <v>170</v>
      </c>
      <c r="M41" t="s">
        <v>173</v>
      </c>
      <c r="N41">
        <v>0</v>
      </c>
      <c r="O41">
        <v>4130.0516552567015</v>
      </c>
      <c r="P41">
        <v>0.1005107058437861</v>
      </c>
      <c r="Q41">
        <v>86.633276599156915</v>
      </c>
      <c r="R41">
        <v>0</v>
      </c>
      <c r="S41">
        <v>-8.7075717805412189</v>
      </c>
      <c r="T41">
        <v>30</v>
      </c>
      <c r="U41">
        <v>9.606602748064616E-2</v>
      </c>
      <c r="V41">
        <v>31.536000000000001</v>
      </c>
    </row>
    <row r="42" spans="1:22" x14ac:dyDescent="0.25">
      <c r="A42" t="s">
        <v>93</v>
      </c>
      <c r="B42" t="s">
        <v>94</v>
      </c>
      <c r="C42" t="s">
        <v>162</v>
      </c>
      <c r="D42" t="s">
        <v>96</v>
      </c>
      <c r="E42" t="s">
        <v>113</v>
      </c>
      <c r="F42" t="s">
        <v>98</v>
      </c>
      <c r="G42" t="s">
        <v>110</v>
      </c>
      <c r="I42">
        <v>2020</v>
      </c>
      <c r="J42" t="s">
        <v>122</v>
      </c>
      <c r="K42" t="s">
        <v>169</v>
      </c>
      <c r="L42" t="s">
        <v>170</v>
      </c>
      <c r="M42" t="s">
        <v>174</v>
      </c>
      <c r="N42">
        <v>0</v>
      </c>
      <c r="O42">
        <v>2694.965526691155</v>
      </c>
      <c r="P42">
        <v>0.1247485291326627</v>
      </c>
      <c r="Q42">
        <v>86.633276599156915</v>
      </c>
      <c r="R42">
        <v>0</v>
      </c>
      <c r="S42">
        <v>-10.80737382968795</v>
      </c>
      <c r="T42">
        <v>30</v>
      </c>
      <c r="U42">
        <v>9.606602748064616E-2</v>
      </c>
      <c r="V42">
        <v>31.536000000000001</v>
      </c>
    </row>
    <row r="43" spans="1:22" x14ac:dyDescent="0.25">
      <c r="A43" t="s">
        <v>93</v>
      </c>
      <c r="B43" t="s">
        <v>124</v>
      </c>
      <c r="C43" t="s">
        <v>162</v>
      </c>
      <c r="D43" t="s">
        <v>96</v>
      </c>
      <c r="E43" t="s">
        <v>97</v>
      </c>
      <c r="F43" t="s">
        <v>98</v>
      </c>
      <c r="G43" t="s">
        <v>99</v>
      </c>
      <c r="I43">
        <v>2020</v>
      </c>
      <c r="J43" t="s">
        <v>100</v>
      </c>
      <c r="K43" t="s">
        <v>175</v>
      </c>
      <c r="L43" t="s">
        <v>176</v>
      </c>
      <c r="M43" t="s">
        <v>177</v>
      </c>
      <c r="N43">
        <v>1</v>
      </c>
      <c r="O43">
        <v>15612.59696366465</v>
      </c>
      <c r="P43">
        <v>-0.33953103663499401</v>
      </c>
      <c r="Q43">
        <v>525.45184958198365</v>
      </c>
      <c r="R43">
        <v>13874.78114648514</v>
      </c>
      <c r="S43">
        <v>178.40721119034589</v>
      </c>
      <c r="T43">
        <v>30</v>
      </c>
      <c r="U43">
        <v>9.1249964693936397E-2</v>
      </c>
      <c r="V43">
        <v>31.536000000000001</v>
      </c>
    </row>
    <row r="44" spans="1:22" x14ac:dyDescent="0.25">
      <c r="A44" t="s">
        <v>93</v>
      </c>
      <c r="B44" t="s">
        <v>124</v>
      </c>
      <c r="C44" t="s">
        <v>162</v>
      </c>
      <c r="D44" t="s">
        <v>96</v>
      </c>
      <c r="E44" t="s">
        <v>97</v>
      </c>
      <c r="F44" t="s">
        <v>98</v>
      </c>
      <c r="G44" t="s">
        <v>104</v>
      </c>
      <c r="I44">
        <v>2020</v>
      </c>
      <c r="J44" t="s">
        <v>105</v>
      </c>
      <c r="K44" t="s">
        <v>175</v>
      </c>
      <c r="L44" t="s">
        <v>176</v>
      </c>
      <c r="M44" t="s">
        <v>178</v>
      </c>
      <c r="N44">
        <v>1</v>
      </c>
      <c r="O44">
        <v>23540.28075216963</v>
      </c>
      <c r="P44">
        <v>-0.51119235805864227</v>
      </c>
      <c r="Q44">
        <v>525.45184958198365</v>
      </c>
      <c r="R44">
        <v>13894.974612832701</v>
      </c>
      <c r="S44">
        <v>268.60697003408922</v>
      </c>
      <c r="T44">
        <v>30</v>
      </c>
      <c r="U44">
        <v>9.1249964693936397E-2</v>
      </c>
      <c r="V44">
        <v>31.536000000000001</v>
      </c>
    </row>
    <row r="45" spans="1:22" x14ac:dyDescent="0.25">
      <c r="A45" t="s">
        <v>93</v>
      </c>
      <c r="B45" t="s">
        <v>124</v>
      </c>
      <c r="C45" t="s">
        <v>162</v>
      </c>
      <c r="D45" t="s">
        <v>96</v>
      </c>
      <c r="E45" t="s">
        <v>97</v>
      </c>
      <c r="F45" t="s">
        <v>98</v>
      </c>
      <c r="G45" t="s">
        <v>107</v>
      </c>
      <c r="I45">
        <v>2020</v>
      </c>
      <c r="J45" t="s">
        <v>108</v>
      </c>
      <c r="K45" t="s">
        <v>175</v>
      </c>
      <c r="L45" t="s">
        <v>176</v>
      </c>
      <c r="M45" t="s">
        <v>179</v>
      </c>
      <c r="N45">
        <v>1</v>
      </c>
      <c r="O45">
        <v>19829.56015632757</v>
      </c>
      <c r="P45">
        <v>-0.45261048976391621</v>
      </c>
      <c r="Q45">
        <v>525.45184958198365</v>
      </c>
      <c r="R45">
        <v>13219.618994794881</v>
      </c>
      <c r="S45">
        <v>237.8250189866572</v>
      </c>
      <c r="T45">
        <v>30</v>
      </c>
      <c r="U45">
        <v>9.1249964693936397E-2</v>
      </c>
      <c r="V45">
        <v>31.536000000000001</v>
      </c>
    </row>
    <row r="46" spans="1:22" x14ac:dyDescent="0.25">
      <c r="A46" t="s">
        <v>93</v>
      </c>
      <c r="B46" t="s">
        <v>124</v>
      </c>
      <c r="C46" t="s">
        <v>162</v>
      </c>
      <c r="D46" t="s">
        <v>96</v>
      </c>
      <c r="E46" t="s">
        <v>97</v>
      </c>
      <c r="F46" t="s">
        <v>98</v>
      </c>
      <c r="G46" t="s">
        <v>110</v>
      </c>
      <c r="I46">
        <v>2020</v>
      </c>
      <c r="J46" t="s">
        <v>111</v>
      </c>
      <c r="K46" t="s">
        <v>175</v>
      </c>
      <c r="L46" t="s">
        <v>176</v>
      </c>
      <c r="M46" t="s">
        <v>180</v>
      </c>
      <c r="N46">
        <v>1</v>
      </c>
      <c r="O46">
        <v>14582.25683828563</v>
      </c>
      <c r="P46">
        <v>-0.2475073834604197</v>
      </c>
      <c r="Q46">
        <v>525.45184958198365</v>
      </c>
      <c r="R46">
        <v>17777.351377013991</v>
      </c>
      <c r="S46">
        <v>130.05321242447479</v>
      </c>
      <c r="T46">
        <v>30</v>
      </c>
      <c r="U46">
        <v>9.1249964693936397E-2</v>
      </c>
      <c r="V46">
        <v>31.536000000000001</v>
      </c>
    </row>
    <row r="47" spans="1:22" x14ac:dyDescent="0.25">
      <c r="A47" t="s">
        <v>93</v>
      </c>
      <c r="B47" t="s">
        <v>124</v>
      </c>
      <c r="C47" t="s">
        <v>162</v>
      </c>
      <c r="D47" t="s">
        <v>96</v>
      </c>
      <c r="E47" t="s">
        <v>113</v>
      </c>
      <c r="F47" t="s">
        <v>98</v>
      </c>
      <c r="G47" t="s">
        <v>99</v>
      </c>
      <c r="I47">
        <v>2020</v>
      </c>
      <c r="J47" t="s">
        <v>114</v>
      </c>
      <c r="K47" t="s">
        <v>181</v>
      </c>
      <c r="L47" t="s">
        <v>182</v>
      </c>
      <c r="M47" t="s">
        <v>183</v>
      </c>
      <c r="N47">
        <v>1</v>
      </c>
      <c r="O47">
        <v>15612.59696366465</v>
      </c>
      <c r="P47">
        <v>-0.20418959954450561</v>
      </c>
      <c r="Q47">
        <v>93.596266663178213</v>
      </c>
      <c r="R47">
        <v>129522.85314211011</v>
      </c>
      <c r="S47">
        <v>19.111384208815121</v>
      </c>
      <c r="T47">
        <v>30</v>
      </c>
      <c r="U47">
        <v>5.8273038403982118E-2</v>
      </c>
      <c r="V47">
        <v>31.536000000000001</v>
      </c>
    </row>
    <row r="48" spans="1:22" x14ac:dyDescent="0.25">
      <c r="A48" t="s">
        <v>93</v>
      </c>
      <c r="B48" t="s">
        <v>124</v>
      </c>
      <c r="C48" t="s">
        <v>162</v>
      </c>
      <c r="D48" t="s">
        <v>96</v>
      </c>
      <c r="E48" t="s">
        <v>113</v>
      </c>
      <c r="F48" t="s">
        <v>98</v>
      </c>
      <c r="G48" t="s">
        <v>104</v>
      </c>
      <c r="I48">
        <v>2020</v>
      </c>
      <c r="J48" t="s">
        <v>118</v>
      </c>
      <c r="K48" t="s">
        <v>181</v>
      </c>
      <c r="L48" t="s">
        <v>182</v>
      </c>
      <c r="M48" t="s">
        <v>184</v>
      </c>
      <c r="N48">
        <v>1</v>
      </c>
      <c r="O48">
        <v>23540.28075216963</v>
      </c>
      <c r="P48">
        <v>-0.22657050673752141</v>
      </c>
      <c r="Q48">
        <v>93.596266663178213</v>
      </c>
      <c r="R48">
        <v>176000.18870603159</v>
      </c>
      <c r="S48">
        <v>21.206153566616472</v>
      </c>
      <c r="T48">
        <v>30</v>
      </c>
      <c r="U48">
        <v>5.8273038403982118E-2</v>
      </c>
      <c r="V48">
        <v>31.536000000000001</v>
      </c>
    </row>
    <row r="49" spans="1:22" x14ac:dyDescent="0.25">
      <c r="A49" t="s">
        <v>93</v>
      </c>
      <c r="B49" t="s">
        <v>124</v>
      </c>
      <c r="C49" t="s">
        <v>162</v>
      </c>
      <c r="D49" t="s">
        <v>96</v>
      </c>
      <c r="E49" t="s">
        <v>113</v>
      </c>
      <c r="F49" t="s">
        <v>98</v>
      </c>
      <c r="G49" t="s">
        <v>107</v>
      </c>
      <c r="I49">
        <v>2020</v>
      </c>
      <c r="J49" t="s">
        <v>120</v>
      </c>
      <c r="K49" t="s">
        <v>181</v>
      </c>
      <c r="L49" t="s">
        <v>182</v>
      </c>
      <c r="M49" t="s">
        <v>185</v>
      </c>
      <c r="N49">
        <v>1</v>
      </c>
      <c r="O49">
        <v>19829.56015632757</v>
      </c>
      <c r="P49">
        <v>-0.21089908383512479</v>
      </c>
      <c r="Q49">
        <v>93.596266663178213</v>
      </c>
      <c r="R49">
        <v>159273.403043214</v>
      </c>
      <c r="S49">
        <v>19.73936688965232</v>
      </c>
      <c r="T49">
        <v>30</v>
      </c>
      <c r="U49">
        <v>5.8273038403982118E-2</v>
      </c>
      <c r="V49">
        <v>31.536000000000001</v>
      </c>
    </row>
    <row r="50" spans="1:22" x14ac:dyDescent="0.25">
      <c r="A50" t="s">
        <v>93</v>
      </c>
      <c r="B50" t="s">
        <v>124</v>
      </c>
      <c r="C50" t="s">
        <v>162</v>
      </c>
      <c r="D50" t="s">
        <v>96</v>
      </c>
      <c r="E50" t="s">
        <v>113</v>
      </c>
      <c r="F50" t="s">
        <v>98</v>
      </c>
      <c r="G50" t="s">
        <v>110</v>
      </c>
      <c r="I50">
        <v>2020</v>
      </c>
      <c r="J50" t="s">
        <v>122</v>
      </c>
      <c r="K50" t="s">
        <v>181</v>
      </c>
      <c r="L50" t="s">
        <v>182</v>
      </c>
      <c r="M50" t="s">
        <v>186</v>
      </c>
      <c r="N50">
        <v>1</v>
      </c>
      <c r="O50">
        <v>14582.25683828563</v>
      </c>
      <c r="P50">
        <v>-0.1627443537673183</v>
      </c>
      <c r="Q50">
        <v>93.596266663178213</v>
      </c>
      <c r="R50">
        <v>151783.192907416</v>
      </c>
      <c r="S50">
        <v>15.232263933132529</v>
      </c>
      <c r="T50">
        <v>30</v>
      </c>
      <c r="U50">
        <v>5.8273038403982118E-2</v>
      </c>
      <c r="V50">
        <v>31.536000000000001</v>
      </c>
    </row>
    <row r="51" spans="1:22" x14ac:dyDescent="0.25">
      <c r="A51" t="s">
        <v>93</v>
      </c>
      <c r="B51" t="s">
        <v>94</v>
      </c>
      <c r="C51" t="s">
        <v>187</v>
      </c>
      <c r="D51" t="s">
        <v>96</v>
      </c>
      <c r="E51" t="s">
        <v>97</v>
      </c>
      <c r="F51" t="s">
        <v>98</v>
      </c>
      <c r="G51" t="s">
        <v>99</v>
      </c>
      <c r="I51">
        <v>2020</v>
      </c>
      <c r="J51" t="s">
        <v>100</v>
      </c>
      <c r="K51" t="s">
        <v>188</v>
      </c>
      <c r="L51" t="s">
        <v>189</v>
      </c>
      <c r="M51" t="s">
        <v>190</v>
      </c>
      <c r="N51">
        <v>1</v>
      </c>
      <c r="O51">
        <v>3036.1724381484469</v>
      </c>
      <c r="P51">
        <v>-0.1391900330394471</v>
      </c>
      <c r="Q51">
        <v>242.87521631189429</v>
      </c>
      <c r="R51">
        <v>28479.246081646001</v>
      </c>
      <c r="S51">
        <v>33.805809382915442</v>
      </c>
      <c r="T51">
        <v>30</v>
      </c>
      <c r="U51">
        <v>0.10652957206919771</v>
      </c>
      <c r="V51">
        <v>31.536000000000001</v>
      </c>
    </row>
    <row r="52" spans="1:22" x14ac:dyDescent="0.25">
      <c r="A52" t="s">
        <v>93</v>
      </c>
      <c r="B52" t="s">
        <v>94</v>
      </c>
      <c r="C52" t="s">
        <v>187</v>
      </c>
      <c r="D52" t="s">
        <v>96</v>
      </c>
      <c r="E52" t="s">
        <v>97</v>
      </c>
      <c r="F52" t="s">
        <v>98</v>
      </c>
      <c r="G52" t="s">
        <v>104</v>
      </c>
      <c r="I52">
        <v>2020</v>
      </c>
      <c r="J52" t="s">
        <v>105</v>
      </c>
      <c r="K52" t="s">
        <v>188</v>
      </c>
      <c r="L52" t="s">
        <v>189</v>
      </c>
      <c r="M52" t="s">
        <v>191</v>
      </c>
      <c r="N52">
        <v>1</v>
      </c>
      <c r="O52">
        <v>5041.7245980783027</v>
      </c>
      <c r="P52">
        <v>-0.49971985209806602</v>
      </c>
      <c r="Q52">
        <v>242.87521631189429</v>
      </c>
      <c r="R52">
        <v>13172.33322713708</v>
      </c>
      <c r="S52">
        <v>121.3695671736656</v>
      </c>
      <c r="T52">
        <v>30</v>
      </c>
      <c r="U52">
        <v>0.10652957206919771</v>
      </c>
      <c r="V52">
        <v>31.536000000000001</v>
      </c>
    </row>
    <row r="53" spans="1:22" x14ac:dyDescent="0.25">
      <c r="A53" t="s">
        <v>93</v>
      </c>
      <c r="B53" t="s">
        <v>94</v>
      </c>
      <c r="C53" t="s">
        <v>187</v>
      </c>
      <c r="D53" t="s">
        <v>96</v>
      </c>
      <c r="E53" t="s">
        <v>97</v>
      </c>
      <c r="F53" t="s">
        <v>98</v>
      </c>
      <c r="G53" t="s">
        <v>107</v>
      </c>
      <c r="I53">
        <v>2020</v>
      </c>
      <c r="J53" t="s">
        <v>108</v>
      </c>
      <c r="K53" t="s">
        <v>188</v>
      </c>
      <c r="L53" t="s">
        <v>189</v>
      </c>
      <c r="M53" t="s">
        <v>192</v>
      </c>
      <c r="N53">
        <v>1</v>
      </c>
      <c r="O53">
        <v>4130.0516552567015</v>
      </c>
      <c r="P53">
        <v>-0.20096334880876951</v>
      </c>
      <c r="Q53">
        <v>242.87521631189429</v>
      </c>
      <c r="R53">
        <v>26831.738769287451</v>
      </c>
      <c r="S53">
        <v>48.809016812692562</v>
      </c>
      <c r="T53">
        <v>30</v>
      </c>
      <c r="U53">
        <v>0.10652957206919771</v>
      </c>
      <c r="V53">
        <v>31.536000000000001</v>
      </c>
    </row>
    <row r="54" spans="1:22" x14ac:dyDescent="0.25">
      <c r="A54" t="s">
        <v>93</v>
      </c>
      <c r="B54" t="s">
        <v>94</v>
      </c>
      <c r="C54" t="s">
        <v>187</v>
      </c>
      <c r="D54" t="s">
        <v>96</v>
      </c>
      <c r="E54" t="s">
        <v>97</v>
      </c>
      <c r="F54" t="s">
        <v>98</v>
      </c>
      <c r="G54" t="s">
        <v>110</v>
      </c>
      <c r="I54">
        <v>2020</v>
      </c>
      <c r="J54" t="s">
        <v>111</v>
      </c>
      <c r="K54" t="s">
        <v>188</v>
      </c>
      <c r="L54" t="s">
        <v>189</v>
      </c>
      <c r="M54" t="s">
        <v>193</v>
      </c>
      <c r="N54">
        <v>1</v>
      </c>
      <c r="O54">
        <v>2694.965526691155</v>
      </c>
      <c r="P54">
        <v>-0.1248778723648238</v>
      </c>
      <c r="Q54">
        <v>242.87521631189429</v>
      </c>
      <c r="R54">
        <v>28175.907710805201</v>
      </c>
      <c r="S54">
        <v>30.329740263175701</v>
      </c>
      <c r="T54">
        <v>30</v>
      </c>
      <c r="U54">
        <v>0.10652957206919771</v>
      </c>
      <c r="V54">
        <v>31.536000000000001</v>
      </c>
    </row>
    <row r="55" spans="1:22" x14ac:dyDescent="0.25">
      <c r="A55" t="s">
        <v>93</v>
      </c>
      <c r="B55" t="s">
        <v>94</v>
      </c>
      <c r="C55" t="s">
        <v>187</v>
      </c>
      <c r="D55" t="s">
        <v>96</v>
      </c>
      <c r="E55" t="s">
        <v>113</v>
      </c>
      <c r="F55" t="s">
        <v>98</v>
      </c>
      <c r="G55" t="s">
        <v>99</v>
      </c>
      <c r="I55">
        <v>2020</v>
      </c>
      <c r="J55" t="s">
        <v>114</v>
      </c>
      <c r="K55" t="s">
        <v>194</v>
      </c>
      <c r="L55" t="s">
        <v>195</v>
      </c>
      <c r="M55" t="s">
        <v>196</v>
      </c>
      <c r="N55">
        <v>0</v>
      </c>
      <c r="O55">
        <v>3036.1724381484469</v>
      </c>
      <c r="P55">
        <v>0.1149260684276816</v>
      </c>
      <c r="Q55">
        <v>82.406582662466192</v>
      </c>
      <c r="R55">
        <v>0</v>
      </c>
      <c r="S55">
        <v>-9.4706645579579902</v>
      </c>
      <c r="T55">
        <v>30</v>
      </c>
      <c r="U55">
        <v>6.1608679451578198E-2</v>
      </c>
      <c r="V55">
        <v>31.536000000000001</v>
      </c>
    </row>
    <row r="56" spans="1:22" x14ac:dyDescent="0.25">
      <c r="A56" t="s">
        <v>93</v>
      </c>
      <c r="B56" t="s">
        <v>94</v>
      </c>
      <c r="C56" t="s">
        <v>187</v>
      </c>
      <c r="D56" t="s">
        <v>96</v>
      </c>
      <c r="E56" t="s">
        <v>113</v>
      </c>
      <c r="F56" t="s">
        <v>98</v>
      </c>
      <c r="G56" t="s">
        <v>104</v>
      </c>
      <c r="I56">
        <v>2020</v>
      </c>
      <c r="J56" t="s">
        <v>118</v>
      </c>
      <c r="K56" t="s">
        <v>194</v>
      </c>
      <c r="L56" t="s">
        <v>195</v>
      </c>
      <c r="M56" t="s">
        <v>197</v>
      </c>
      <c r="N56">
        <v>0</v>
      </c>
      <c r="O56">
        <v>5041.7245980783027</v>
      </c>
      <c r="P56">
        <v>8.1951034351869317E-2</v>
      </c>
      <c r="Q56">
        <v>82.406582662466192</v>
      </c>
      <c r="R56">
        <v>0</v>
      </c>
      <c r="S56">
        <v>-6.7533046865919264</v>
      </c>
      <c r="T56">
        <v>30</v>
      </c>
      <c r="U56">
        <v>6.1608679451578198E-2</v>
      </c>
      <c r="V56">
        <v>31.536000000000001</v>
      </c>
    </row>
    <row r="57" spans="1:22" x14ac:dyDescent="0.25">
      <c r="A57" t="s">
        <v>93</v>
      </c>
      <c r="B57" t="s">
        <v>94</v>
      </c>
      <c r="C57" t="s">
        <v>187</v>
      </c>
      <c r="D57" t="s">
        <v>96</v>
      </c>
      <c r="E57" t="s">
        <v>113</v>
      </c>
      <c r="F57" t="s">
        <v>98</v>
      </c>
      <c r="G57" t="s">
        <v>107</v>
      </c>
      <c r="I57">
        <v>2020</v>
      </c>
      <c r="J57" t="s">
        <v>120</v>
      </c>
      <c r="K57" t="s">
        <v>194</v>
      </c>
      <c r="L57" t="s">
        <v>195</v>
      </c>
      <c r="M57" t="s">
        <v>198</v>
      </c>
      <c r="N57">
        <v>0</v>
      </c>
      <c r="O57">
        <v>4130.0516552567015</v>
      </c>
      <c r="P57">
        <v>0.1005107058437861</v>
      </c>
      <c r="Q57">
        <v>82.406582662466192</v>
      </c>
      <c r="R57">
        <v>0</v>
      </c>
      <c r="S57">
        <v>-8.2827437895787828</v>
      </c>
      <c r="T57">
        <v>30</v>
      </c>
      <c r="U57">
        <v>6.1608679451578198E-2</v>
      </c>
      <c r="V57">
        <v>31.536000000000001</v>
      </c>
    </row>
    <row r="58" spans="1:22" x14ac:dyDescent="0.25">
      <c r="A58" t="s">
        <v>93</v>
      </c>
      <c r="B58" t="s">
        <v>94</v>
      </c>
      <c r="C58" t="s">
        <v>187</v>
      </c>
      <c r="D58" t="s">
        <v>96</v>
      </c>
      <c r="E58" t="s">
        <v>113</v>
      </c>
      <c r="F58" t="s">
        <v>98</v>
      </c>
      <c r="G58" t="s">
        <v>110</v>
      </c>
      <c r="I58">
        <v>2020</v>
      </c>
      <c r="J58" t="s">
        <v>122</v>
      </c>
      <c r="K58" t="s">
        <v>194</v>
      </c>
      <c r="L58" t="s">
        <v>195</v>
      </c>
      <c r="M58" t="s">
        <v>199</v>
      </c>
      <c r="N58">
        <v>0</v>
      </c>
      <c r="O58">
        <v>2694.965526691155</v>
      </c>
      <c r="P58">
        <v>0.1247485291326627</v>
      </c>
      <c r="Q58">
        <v>82.406582662466192</v>
      </c>
      <c r="R58">
        <v>0</v>
      </c>
      <c r="S58">
        <v>-10.28009997799184</v>
      </c>
      <c r="T58">
        <v>30</v>
      </c>
      <c r="U58">
        <v>6.1608679451578198E-2</v>
      </c>
      <c r="V58">
        <v>31.536000000000001</v>
      </c>
    </row>
    <row r="59" spans="1:22" x14ac:dyDescent="0.25">
      <c r="A59" t="s">
        <v>93</v>
      </c>
      <c r="B59" t="s">
        <v>124</v>
      </c>
      <c r="C59" t="s">
        <v>187</v>
      </c>
      <c r="D59" t="s">
        <v>96</v>
      </c>
      <c r="E59" t="s">
        <v>97</v>
      </c>
      <c r="F59" t="s">
        <v>98</v>
      </c>
      <c r="G59" t="s">
        <v>99</v>
      </c>
      <c r="I59">
        <v>2020</v>
      </c>
      <c r="J59" t="s">
        <v>100</v>
      </c>
      <c r="K59" t="s">
        <v>200</v>
      </c>
      <c r="L59" t="s">
        <v>201</v>
      </c>
      <c r="M59" t="s">
        <v>202</v>
      </c>
      <c r="N59">
        <v>1</v>
      </c>
      <c r="O59">
        <v>15612.59696366465</v>
      </c>
      <c r="P59">
        <v>-0.33953103663499401</v>
      </c>
      <c r="Q59">
        <v>460.64753070976008</v>
      </c>
      <c r="R59">
        <v>15826.698136713539</v>
      </c>
      <c r="S59">
        <v>156.40413362523509</v>
      </c>
      <c r="T59">
        <v>30</v>
      </c>
      <c r="U59">
        <v>7.9105094690167521E-2</v>
      </c>
      <c r="V59">
        <v>31.536000000000001</v>
      </c>
    </row>
    <row r="60" spans="1:22" x14ac:dyDescent="0.25">
      <c r="A60" t="s">
        <v>93</v>
      </c>
      <c r="B60" t="s">
        <v>124</v>
      </c>
      <c r="C60" t="s">
        <v>187</v>
      </c>
      <c r="D60" t="s">
        <v>96</v>
      </c>
      <c r="E60" t="s">
        <v>97</v>
      </c>
      <c r="F60" t="s">
        <v>98</v>
      </c>
      <c r="G60" t="s">
        <v>104</v>
      </c>
      <c r="I60">
        <v>2020</v>
      </c>
      <c r="J60" t="s">
        <v>105</v>
      </c>
      <c r="K60" t="s">
        <v>200</v>
      </c>
      <c r="L60" t="s">
        <v>201</v>
      </c>
      <c r="M60" t="s">
        <v>203</v>
      </c>
      <c r="N60">
        <v>1</v>
      </c>
      <c r="O60">
        <v>23540.28075216963</v>
      </c>
      <c r="P60">
        <v>-0.51119235805864227</v>
      </c>
      <c r="Q60">
        <v>460.64753070976008</v>
      </c>
      <c r="R60">
        <v>15849.73243850486</v>
      </c>
      <c r="S60">
        <v>235.47949745741309</v>
      </c>
      <c r="T60">
        <v>30</v>
      </c>
      <c r="U60">
        <v>7.9105094690167521E-2</v>
      </c>
      <c r="V60">
        <v>31.536000000000001</v>
      </c>
    </row>
    <row r="61" spans="1:22" x14ac:dyDescent="0.25">
      <c r="A61" t="s">
        <v>93</v>
      </c>
      <c r="B61" t="s">
        <v>124</v>
      </c>
      <c r="C61" t="s">
        <v>187</v>
      </c>
      <c r="D61" t="s">
        <v>96</v>
      </c>
      <c r="E61" t="s">
        <v>97</v>
      </c>
      <c r="F61" t="s">
        <v>98</v>
      </c>
      <c r="G61" t="s">
        <v>107</v>
      </c>
      <c r="I61">
        <v>2020</v>
      </c>
      <c r="J61" t="s">
        <v>108</v>
      </c>
      <c r="K61" t="s">
        <v>200</v>
      </c>
      <c r="L61" t="s">
        <v>201</v>
      </c>
      <c r="M61" t="s">
        <v>204</v>
      </c>
      <c r="N61">
        <v>1</v>
      </c>
      <c r="O61">
        <v>19829.56015632757</v>
      </c>
      <c r="P61">
        <v>-0.45261048976391621</v>
      </c>
      <c r="Q61">
        <v>460.64753070976008</v>
      </c>
      <c r="R61">
        <v>15079.36717012541</v>
      </c>
      <c r="S61">
        <v>208.49390448308321</v>
      </c>
      <c r="T61">
        <v>30</v>
      </c>
      <c r="U61">
        <v>7.9105094690167521E-2</v>
      </c>
      <c r="V61">
        <v>31.536000000000001</v>
      </c>
    </row>
    <row r="62" spans="1:22" x14ac:dyDescent="0.25">
      <c r="A62" t="s">
        <v>93</v>
      </c>
      <c r="B62" t="s">
        <v>124</v>
      </c>
      <c r="C62" t="s">
        <v>187</v>
      </c>
      <c r="D62" t="s">
        <v>96</v>
      </c>
      <c r="E62" t="s">
        <v>97</v>
      </c>
      <c r="F62" t="s">
        <v>98</v>
      </c>
      <c r="G62" t="s">
        <v>110</v>
      </c>
      <c r="I62">
        <v>2020</v>
      </c>
      <c r="J62" t="s">
        <v>111</v>
      </c>
      <c r="K62" t="s">
        <v>200</v>
      </c>
      <c r="L62" t="s">
        <v>201</v>
      </c>
      <c r="M62" t="s">
        <v>205</v>
      </c>
      <c r="N62">
        <v>1</v>
      </c>
      <c r="O62">
        <v>14582.25683828563</v>
      </c>
      <c r="P62">
        <v>-0.2475073834604197</v>
      </c>
      <c r="Q62">
        <v>460.64753070976008</v>
      </c>
      <c r="R62">
        <v>20278.28554150309</v>
      </c>
      <c r="S62">
        <v>114.01366502347609</v>
      </c>
      <c r="T62">
        <v>30</v>
      </c>
      <c r="U62">
        <v>7.9105094690167521E-2</v>
      </c>
      <c r="V62">
        <v>31.536000000000001</v>
      </c>
    </row>
    <row r="63" spans="1:22" x14ac:dyDescent="0.25">
      <c r="A63" t="s">
        <v>93</v>
      </c>
      <c r="B63" t="s">
        <v>124</v>
      </c>
      <c r="C63" t="s">
        <v>187</v>
      </c>
      <c r="D63" t="s">
        <v>96</v>
      </c>
      <c r="E63" t="s">
        <v>113</v>
      </c>
      <c r="F63" t="s">
        <v>98</v>
      </c>
      <c r="G63" t="s">
        <v>99</v>
      </c>
      <c r="I63">
        <v>2020</v>
      </c>
      <c r="J63" t="s">
        <v>114</v>
      </c>
      <c r="K63" t="s">
        <v>206</v>
      </c>
      <c r="L63" t="s">
        <v>207</v>
      </c>
      <c r="M63" t="s">
        <v>208</v>
      </c>
      <c r="N63">
        <v>1</v>
      </c>
      <c r="O63">
        <v>15612.59696366465</v>
      </c>
      <c r="P63">
        <v>-0.20418959954450561</v>
      </c>
      <c r="Q63">
        <v>98.984980962511315</v>
      </c>
      <c r="R63">
        <v>122471.6657394308</v>
      </c>
      <c r="S63">
        <v>20.211703623655701</v>
      </c>
      <c r="T63">
        <v>30</v>
      </c>
      <c r="U63">
        <v>7.2863694504238907E-2</v>
      </c>
      <c r="V63">
        <v>31.536000000000001</v>
      </c>
    </row>
    <row r="64" spans="1:22" x14ac:dyDescent="0.25">
      <c r="A64" t="s">
        <v>93</v>
      </c>
      <c r="B64" t="s">
        <v>124</v>
      </c>
      <c r="C64" t="s">
        <v>187</v>
      </c>
      <c r="D64" t="s">
        <v>96</v>
      </c>
      <c r="E64" t="s">
        <v>113</v>
      </c>
      <c r="F64" t="s">
        <v>98</v>
      </c>
      <c r="G64" t="s">
        <v>104</v>
      </c>
      <c r="I64">
        <v>2020</v>
      </c>
      <c r="J64" t="s">
        <v>118</v>
      </c>
      <c r="K64" t="s">
        <v>206</v>
      </c>
      <c r="L64" t="s">
        <v>207</v>
      </c>
      <c r="M64" t="s">
        <v>209</v>
      </c>
      <c r="N64">
        <v>1</v>
      </c>
      <c r="O64">
        <v>23540.28075216963</v>
      </c>
      <c r="P64">
        <v>-0.22657050673752141</v>
      </c>
      <c r="Q64">
        <v>98.984980962511315</v>
      </c>
      <c r="R64">
        <v>166418.7883325273</v>
      </c>
      <c r="S64">
        <v>22.4270772960801</v>
      </c>
      <c r="T64">
        <v>30</v>
      </c>
      <c r="U64">
        <v>7.2863694504238907E-2</v>
      </c>
      <c r="V64">
        <v>31.536000000000001</v>
      </c>
    </row>
    <row r="65" spans="1:22" x14ac:dyDescent="0.25">
      <c r="A65" t="s">
        <v>93</v>
      </c>
      <c r="B65" t="s">
        <v>124</v>
      </c>
      <c r="C65" t="s">
        <v>187</v>
      </c>
      <c r="D65" t="s">
        <v>96</v>
      </c>
      <c r="E65" t="s">
        <v>113</v>
      </c>
      <c r="F65" t="s">
        <v>98</v>
      </c>
      <c r="G65" t="s">
        <v>107</v>
      </c>
      <c r="I65">
        <v>2020</v>
      </c>
      <c r="J65" t="s">
        <v>120</v>
      </c>
      <c r="K65" t="s">
        <v>206</v>
      </c>
      <c r="L65" t="s">
        <v>207</v>
      </c>
      <c r="M65" t="s">
        <v>210</v>
      </c>
      <c r="N65">
        <v>1</v>
      </c>
      <c r="O65">
        <v>19829.56015632757</v>
      </c>
      <c r="P65">
        <v>-0.21089908383512479</v>
      </c>
      <c r="Q65">
        <v>98.984980962511315</v>
      </c>
      <c r="R65">
        <v>150602.6041388078</v>
      </c>
      <c r="S65">
        <v>20.875841798430908</v>
      </c>
      <c r="T65">
        <v>30</v>
      </c>
      <c r="U65">
        <v>7.2863694504238907E-2</v>
      </c>
      <c r="V65">
        <v>31.536000000000001</v>
      </c>
    </row>
    <row r="66" spans="1:22" x14ac:dyDescent="0.25">
      <c r="A66" t="s">
        <v>93</v>
      </c>
      <c r="B66" t="s">
        <v>124</v>
      </c>
      <c r="C66" t="s">
        <v>187</v>
      </c>
      <c r="D66" t="s">
        <v>96</v>
      </c>
      <c r="E66" t="s">
        <v>113</v>
      </c>
      <c r="F66" t="s">
        <v>98</v>
      </c>
      <c r="G66" t="s">
        <v>110</v>
      </c>
      <c r="I66">
        <v>2020</v>
      </c>
      <c r="J66" t="s">
        <v>122</v>
      </c>
      <c r="K66" t="s">
        <v>206</v>
      </c>
      <c r="L66" t="s">
        <v>207</v>
      </c>
      <c r="M66" t="s">
        <v>211</v>
      </c>
      <c r="N66">
        <v>1</v>
      </c>
      <c r="O66">
        <v>14582.25683828563</v>
      </c>
      <c r="P66">
        <v>-0.1627443537673183</v>
      </c>
      <c r="Q66">
        <v>98.984980962511315</v>
      </c>
      <c r="R66">
        <v>143520.15891917501</v>
      </c>
      <c r="S66">
        <v>16.109246759414209</v>
      </c>
      <c r="T66">
        <v>30</v>
      </c>
      <c r="U66">
        <v>7.2863694504238907E-2</v>
      </c>
      <c r="V66">
        <v>31.536000000000001</v>
      </c>
    </row>
    <row r="67" spans="1:22" x14ac:dyDescent="0.25">
      <c r="A67" t="s">
        <v>212</v>
      </c>
      <c r="M67" t="s">
        <v>212</v>
      </c>
      <c r="N67" t="s">
        <v>212</v>
      </c>
    </row>
    <row r="68" spans="1:22" x14ac:dyDescent="0.25">
      <c r="A68" t="s">
        <v>93</v>
      </c>
      <c r="B68" t="s">
        <v>94</v>
      </c>
      <c r="C68" t="s">
        <v>95</v>
      </c>
      <c r="D68" t="s">
        <v>213</v>
      </c>
      <c r="E68" t="s">
        <v>97</v>
      </c>
      <c r="F68" t="s">
        <v>98</v>
      </c>
      <c r="G68" t="s">
        <v>99</v>
      </c>
      <c r="I68">
        <v>2020</v>
      </c>
      <c r="J68" t="s">
        <v>100</v>
      </c>
      <c r="K68" t="s">
        <v>214</v>
      </c>
      <c r="L68" t="s">
        <v>215</v>
      </c>
      <c r="M68" t="s">
        <v>216</v>
      </c>
      <c r="N68">
        <v>1</v>
      </c>
      <c r="O68">
        <v>3036.1724381484469</v>
      </c>
      <c r="P68">
        <v>-0.1391900330394471</v>
      </c>
      <c r="Q68">
        <v>250.95541034781999</v>
      </c>
      <c r="R68">
        <v>55124.558126822041</v>
      </c>
      <c r="S68">
        <v>1</v>
      </c>
      <c r="T68">
        <v>30</v>
      </c>
      <c r="U68">
        <v>9.8628146588536497E-2</v>
      </c>
      <c r="V68">
        <v>31.536000000000001</v>
      </c>
    </row>
    <row r="69" spans="1:22" x14ac:dyDescent="0.25">
      <c r="A69" t="s">
        <v>93</v>
      </c>
      <c r="B69" t="s">
        <v>94</v>
      </c>
      <c r="C69" t="s">
        <v>95</v>
      </c>
      <c r="D69" t="s">
        <v>213</v>
      </c>
      <c r="E69" t="s">
        <v>97</v>
      </c>
      <c r="F69" t="s">
        <v>98</v>
      </c>
      <c r="G69" t="s">
        <v>104</v>
      </c>
      <c r="I69">
        <v>2020</v>
      </c>
      <c r="J69" t="s">
        <v>105</v>
      </c>
      <c r="K69" t="s">
        <v>214</v>
      </c>
      <c r="L69" t="s">
        <v>215</v>
      </c>
      <c r="M69" t="s">
        <v>217</v>
      </c>
      <c r="N69">
        <v>1</v>
      </c>
      <c r="O69">
        <v>5041.7245980783027</v>
      </c>
      <c r="P69">
        <v>-0.49971985209806602</v>
      </c>
      <c r="Q69">
        <v>250.95541034781999</v>
      </c>
      <c r="R69">
        <v>25496.428050219649</v>
      </c>
      <c r="S69">
        <v>1</v>
      </c>
      <c r="T69">
        <v>30</v>
      </c>
      <c r="U69">
        <v>9.8628146588536497E-2</v>
      </c>
      <c r="V69">
        <v>31.536000000000001</v>
      </c>
    </row>
    <row r="70" spans="1:22" x14ac:dyDescent="0.25">
      <c r="A70" t="s">
        <v>93</v>
      </c>
      <c r="B70" t="s">
        <v>94</v>
      </c>
      <c r="C70" t="s">
        <v>95</v>
      </c>
      <c r="D70" t="s">
        <v>213</v>
      </c>
      <c r="E70" t="s">
        <v>97</v>
      </c>
      <c r="F70" t="s">
        <v>98</v>
      </c>
      <c r="G70" t="s">
        <v>107</v>
      </c>
      <c r="I70">
        <v>2020</v>
      </c>
      <c r="J70" t="s">
        <v>108</v>
      </c>
      <c r="K70" t="s">
        <v>214</v>
      </c>
      <c r="L70" t="s">
        <v>215</v>
      </c>
      <c r="M70" t="s">
        <v>218</v>
      </c>
      <c r="N70">
        <v>1</v>
      </c>
      <c r="O70">
        <v>4130.0516552567015</v>
      </c>
      <c r="P70">
        <v>-0.20096334880876951</v>
      </c>
      <c r="Q70">
        <v>250.95541034781999</v>
      </c>
      <c r="R70">
        <v>51935.635486661187</v>
      </c>
      <c r="S70">
        <v>1</v>
      </c>
      <c r="T70">
        <v>30</v>
      </c>
      <c r="U70">
        <v>9.8628146588536497E-2</v>
      </c>
      <c r="V70">
        <v>31.536000000000001</v>
      </c>
    </row>
    <row r="71" spans="1:22" x14ac:dyDescent="0.25">
      <c r="A71" t="s">
        <v>93</v>
      </c>
      <c r="B71" t="s">
        <v>94</v>
      </c>
      <c r="C71" t="s">
        <v>95</v>
      </c>
      <c r="D71" t="s">
        <v>213</v>
      </c>
      <c r="E71" t="s">
        <v>97</v>
      </c>
      <c r="F71" t="s">
        <v>98</v>
      </c>
      <c r="G71" t="s">
        <v>110</v>
      </c>
      <c r="I71">
        <v>2020</v>
      </c>
      <c r="J71" t="s">
        <v>111</v>
      </c>
      <c r="K71" t="s">
        <v>214</v>
      </c>
      <c r="L71" t="s">
        <v>215</v>
      </c>
      <c r="M71" t="s">
        <v>219</v>
      </c>
      <c r="N71">
        <v>1</v>
      </c>
      <c r="O71">
        <v>2694.965526691155</v>
      </c>
      <c r="P71">
        <v>-0.1248778723648238</v>
      </c>
      <c r="Q71">
        <v>250.95541034781999</v>
      </c>
      <c r="R71">
        <v>54537.414997837113</v>
      </c>
      <c r="S71">
        <v>1</v>
      </c>
      <c r="T71">
        <v>30</v>
      </c>
      <c r="U71">
        <v>9.8628146588536497E-2</v>
      </c>
      <c r="V71">
        <v>31.536000000000001</v>
      </c>
    </row>
    <row r="72" spans="1:22" x14ac:dyDescent="0.25">
      <c r="A72" t="s">
        <v>93</v>
      </c>
      <c r="B72" t="s">
        <v>94</v>
      </c>
      <c r="C72" t="s">
        <v>95</v>
      </c>
      <c r="D72" t="s">
        <v>213</v>
      </c>
      <c r="E72" t="s">
        <v>113</v>
      </c>
      <c r="F72" t="s">
        <v>98</v>
      </c>
      <c r="G72" t="s">
        <v>99</v>
      </c>
      <c r="I72">
        <v>2020</v>
      </c>
      <c r="J72" t="s">
        <v>114</v>
      </c>
      <c r="K72" t="s">
        <v>220</v>
      </c>
      <c r="L72" t="s">
        <v>221</v>
      </c>
      <c r="M72" t="s">
        <v>222</v>
      </c>
      <c r="N72">
        <v>0</v>
      </c>
      <c r="O72">
        <v>3036.1724381484469</v>
      </c>
      <c r="P72">
        <v>0.1149260684276816</v>
      </c>
      <c r="Q72">
        <v>69.115623150559045</v>
      </c>
      <c r="R72">
        <v>0</v>
      </c>
      <c r="S72">
        <v>1</v>
      </c>
      <c r="T72">
        <v>30</v>
      </c>
      <c r="U72">
        <v>8.2748623405738631E-2</v>
      </c>
      <c r="V72">
        <v>31.536000000000001</v>
      </c>
    </row>
    <row r="73" spans="1:22" x14ac:dyDescent="0.25">
      <c r="A73" t="s">
        <v>93</v>
      </c>
      <c r="B73" t="s">
        <v>94</v>
      </c>
      <c r="C73" t="s">
        <v>95</v>
      </c>
      <c r="D73" t="s">
        <v>213</v>
      </c>
      <c r="E73" t="s">
        <v>113</v>
      </c>
      <c r="F73" t="s">
        <v>98</v>
      </c>
      <c r="G73" t="s">
        <v>104</v>
      </c>
      <c r="I73">
        <v>2020</v>
      </c>
      <c r="J73" t="s">
        <v>118</v>
      </c>
      <c r="K73" t="s">
        <v>220</v>
      </c>
      <c r="L73" t="s">
        <v>221</v>
      </c>
      <c r="M73" t="s">
        <v>223</v>
      </c>
      <c r="N73">
        <v>0</v>
      </c>
      <c r="O73">
        <v>5041.7245980783027</v>
      </c>
      <c r="P73">
        <v>8.1951034351869317E-2</v>
      </c>
      <c r="Q73">
        <v>69.115623150559045</v>
      </c>
      <c r="R73">
        <v>0</v>
      </c>
      <c r="S73">
        <v>1</v>
      </c>
      <c r="T73">
        <v>30</v>
      </c>
      <c r="U73">
        <v>8.2748623405738631E-2</v>
      </c>
      <c r="V73">
        <v>31.536000000000001</v>
      </c>
    </row>
    <row r="74" spans="1:22" x14ac:dyDescent="0.25">
      <c r="A74" t="s">
        <v>93</v>
      </c>
      <c r="B74" t="s">
        <v>94</v>
      </c>
      <c r="C74" t="s">
        <v>95</v>
      </c>
      <c r="D74" t="s">
        <v>213</v>
      </c>
      <c r="E74" t="s">
        <v>113</v>
      </c>
      <c r="F74" t="s">
        <v>98</v>
      </c>
      <c r="G74" t="s">
        <v>107</v>
      </c>
      <c r="I74">
        <v>2020</v>
      </c>
      <c r="J74" t="s">
        <v>120</v>
      </c>
      <c r="K74" t="s">
        <v>220</v>
      </c>
      <c r="L74" t="s">
        <v>221</v>
      </c>
      <c r="M74" t="s">
        <v>224</v>
      </c>
      <c r="N74">
        <v>0</v>
      </c>
      <c r="O74">
        <v>4130.0516552567015</v>
      </c>
      <c r="P74">
        <v>0.1005107058437861</v>
      </c>
      <c r="Q74">
        <v>69.115623150559045</v>
      </c>
      <c r="R74">
        <v>0</v>
      </c>
      <c r="S74">
        <v>1</v>
      </c>
      <c r="T74">
        <v>30</v>
      </c>
      <c r="U74">
        <v>8.2748623405738631E-2</v>
      </c>
      <c r="V74">
        <v>31.536000000000001</v>
      </c>
    </row>
    <row r="75" spans="1:22" x14ac:dyDescent="0.25">
      <c r="A75" t="s">
        <v>93</v>
      </c>
      <c r="B75" t="s">
        <v>94</v>
      </c>
      <c r="C75" t="s">
        <v>95</v>
      </c>
      <c r="D75" t="s">
        <v>213</v>
      </c>
      <c r="E75" t="s">
        <v>113</v>
      </c>
      <c r="F75" t="s">
        <v>98</v>
      </c>
      <c r="G75" t="s">
        <v>110</v>
      </c>
      <c r="I75">
        <v>2020</v>
      </c>
      <c r="J75" t="s">
        <v>122</v>
      </c>
      <c r="K75" t="s">
        <v>220</v>
      </c>
      <c r="L75" t="s">
        <v>221</v>
      </c>
      <c r="M75" t="s">
        <v>225</v>
      </c>
      <c r="N75">
        <v>0</v>
      </c>
      <c r="O75">
        <v>2694.965526691155</v>
      </c>
      <c r="P75">
        <v>0.1247485291326627</v>
      </c>
      <c r="Q75">
        <v>69.115623150559045</v>
      </c>
      <c r="R75">
        <v>0</v>
      </c>
      <c r="S75">
        <v>1</v>
      </c>
      <c r="T75">
        <v>30</v>
      </c>
      <c r="U75">
        <v>8.2748623405738631E-2</v>
      </c>
      <c r="V75">
        <v>31.536000000000001</v>
      </c>
    </row>
    <row r="76" spans="1:22" x14ac:dyDescent="0.25">
      <c r="A76" t="s">
        <v>93</v>
      </c>
      <c r="B76" t="s">
        <v>124</v>
      </c>
      <c r="C76" t="s">
        <v>95</v>
      </c>
      <c r="D76" t="s">
        <v>213</v>
      </c>
      <c r="E76" t="s">
        <v>97</v>
      </c>
      <c r="F76" t="s">
        <v>98</v>
      </c>
      <c r="G76" t="s">
        <v>99</v>
      </c>
      <c r="I76">
        <v>2020</v>
      </c>
      <c r="J76" t="s">
        <v>100</v>
      </c>
      <c r="K76" t="s">
        <v>226</v>
      </c>
      <c r="L76" t="s">
        <v>227</v>
      </c>
      <c r="M76" t="s">
        <v>228</v>
      </c>
      <c r="N76">
        <v>1</v>
      </c>
      <c r="O76">
        <v>15612.59696366465</v>
      </c>
      <c r="P76">
        <v>-0.33953103663499401</v>
      </c>
      <c r="Q76">
        <v>477.33616035955339</v>
      </c>
      <c r="R76">
        <v>30546.730046490771</v>
      </c>
      <c r="S76">
        <v>1</v>
      </c>
      <c r="T76">
        <v>30</v>
      </c>
      <c r="U76">
        <v>9.0305172134094655E-2</v>
      </c>
      <c r="V76">
        <v>31.536000000000001</v>
      </c>
    </row>
    <row r="77" spans="1:22" x14ac:dyDescent="0.25">
      <c r="A77" t="s">
        <v>93</v>
      </c>
      <c r="B77" t="s">
        <v>124</v>
      </c>
      <c r="C77" t="s">
        <v>95</v>
      </c>
      <c r="D77" t="s">
        <v>213</v>
      </c>
      <c r="E77" t="s">
        <v>97</v>
      </c>
      <c r="F77" t="s">
        <v>98</v>
      </c>
      <c r="G77" t="s">
        <v>104</v>
      </c>
      <c r="I77">
        <v>2020</v>
      </c>
      <c r="J77" t="s">
        <v>105</v>
      </c>
      <c r="K77" t="s">
        <v>226</v>
      </c>
      <c r="L77" t="s">
        <v>227</v>
      </c>
      <c r="M77" t="s">
        <v>229</v>
      </c>
      <c r="N77">
        <v>1</v>
      </c>
      <c r="O77">
        <v>23540.28075216963</v>
      </c>
      <c r="P77">
        <v>-0.51119235805864227</v>
      </c>
      <c r="Q77">
        <v>477.33616035955339</v>
      </c>
      <c r="R77">
        <v>30591.187999283629</v>
      </c>
      <c r="S77">
        <v>1</v>
      </c>
      <c r="T77">
        <v>30</v>
      </c>
      <c r="U77">
        <v>9.0305172134094655E-2</v>
      </c>
      <c r="V77">
        <v>31.536000000000001</v>
      </c>
    </row>
    <row r="78" spans="1:22" x14ac:dyDescent="0.25">
      <c r="A78" t="s">
        <v>93</v>
      </c>
      <c r="B78" t="s">
        <v>124</v>
      </c>
      <c r="C78" t="s">
        <v>95</v>
      </c>
      <c r="D78" t="s">
        <v>213</v>
      </c>
      <c r="E78" t="s">
        <v>97</v>
      </c>
      <c r="F78" t="s">
        <v>98</v>
      </c>
      <c r="G78" t="s">
        <v>107</v>
      </c>
      <c r="I78">
        <v>2020</v>
      </c>
      <c r="J78" t="s">
        <v>108</v>
      </c>
      <c r="K78" t="s">
        <v>226</v>
      </c>
      <c r="L78" t="s">
        <v>227</v>
      </c>
      <c r="M78" t="s">
        <v>230</v>
      </c>
      <c r="N78">
        <v>1</v>
      </c>
      <c r="O78">
        <v>19829.56015632757</v>
      </c>
      <c r="P78">
        <v>-0.45261048976391621</v>
      </c>
      <c r="Q78">
        <v>477.33616035955339</v>
      </c>
      <c r="R78">
        <v>29104.324492625139</v>
      </c>
      <c r="S78">
        <v>1</v>
      </c>
      <c r="T78">
        <v>30</v>
      </c>
      <c r="U78">
        <v>9.0305172134094655E-2</v>
      </c>
      <c r="V78">
        <v>31.536000000000001</v>
      </c>
    </row>
    <row r="79" spans="1:22" x14ac:dyDescent="0.25">
      <c r="A79" t="s">
        <v>93</v>
      </c>
      <c r="B79" t="s">
        <v>124</v>
      </c>
      <c r="C79" t="s">
        <v>95</v>
      </c>
      <c r="D79" t="s">
        <v>213</v>
      </c>
      <c r="E79" t="s">
        <v>97</v>
      </c>
      <c r="F79" t="s">
        <v>98</v>
      </c>
      <c r="G79" t="s">
        <v>110</v>
      </c>
      <c r="I79">
        <v>2020</v>
      </c>
      <c r="J79" t="s">
        <v>111</v>
      </c>
      <c r="K79" t="s">
        <v>226</v>
      </c>
      <c r="L79" t="s">
        <v>227</v>
      </c>
      <c r="M79" t="s">
        <v>231</v>
      </c>
      <c r="N79">
        <v>1</v>
      </c>
      <c r="O79">
        <v>14582.25683828563</v>
      </c>
      <c r="P79">
        <v>-0.2475073834604197</v>
      </c>
      <c r="Q79">
        <v>477.33616035955339</v>
      </c>
      <c r="R79">
        <v>39138.63200594153</v>
      </c>
      <c r="S79">
        <v>1</v>
      </c>
      <c r="T79">
        <v>30</v>
      </c>
      <c r="U79">
        <v>9.0305172134094655E-2</v>
      </c>
      <c r="V79">
        <v>31.536000000000001</v>
      </c>
    </row>
    <row r="80" spans="1:22" x14ac:dyDescent="0.25">
      <c r="A80" t="s">
        <v>93</v>
      </c>
      <c r="B80" t="s">
        <v>124</v>
      </c>
      <c r="C80" t="s">
        <v>95</v>
      </c>
      <c r="D80" t="s">
        <v>213</v>
      </c>
      <c r="E80" t="s">
        <v>113</v>
      </c>
      <c r="F80" t="s">
        <v>98</v>
      </c>
      <c r="G80" t="s">
        <v>99</v>
      </c>
      <c r="I80">
        <v>2020</v>
      </c>
      <c r="J80" t="s">
        <v>114</v>
      </c>
      <c r="K80" t="s">
        <v>232</v>
      </c>
      <c r="L80" t="s">
        <v>233</v>
      </c>
      <c r="M80" t="s">
        <v>234</v>
      </c>
      <c r="N80">
        <v>1</v>
      </c>
      <c r="O80">
        <v>15612.59696366465</v>
      </c>
      <c r="P80">
        <v>-0.20418959954450561</v>
      </c>
      <c r="Q80">
        <v>87.185414546843788</v>
      </c>
      <c r="R80">
        <v>278093.65969467588</v>
      </c>
      <c r="S80">
        <v>1</v>
      </c>
      <c r="T80">
        <v>30</v>
      </c>
      <c r="U80">
        <v>8.0981185647948012E-2</v>
      </c>
      <c r="V80">
        <v>31.536000000000001</v>
      </c>
    </row>
    <row r="81" spans="1:22" x14ac:dyDescent="0.25">
      <c r="A81" t="s">
        <v>93</v>
      </c>
      <c r="B81" t="s">
        <v>124</v>
      </c>
      <c r="C81" t="s">
        <v>95</v>
      </c>
      <c r="D81" t="s">
        <v>213</v>
      </c>
      <c r="E81" t="s">
        <v>113</v>
      </c>
      <c r="F81" t="s">
        <v>98</v>
      </c>
      <c r="G81" t="s">
        <v>104</v>
      </c>
      <c r="I81">
        <v>2020</v>
      </c>
      <c r="J81" t="s">
        <v>118</v>
      </c>
      <c r="K81" t="s">
        <v>232</v>
      </c>
      <c r="L81" t="s">
        <v>233</v>
      </c>
      <c r="M81" t="s">
        <v>235</v>
      </c>
      <c r="N81">
        <v>1</v>
      </c>
      <c r="O81">
        <v>23540.28075216963</v>
      </c>
      <c r="P81">
        <v>-0.22657050673752141</v>
      </c>
      <c r="Q81">
        <v>87.185414546843788</v>
      </c>
      <c r="R81">
        <v>377883.40356055018</v>
      </c>
      <c r="S81">
        <v>1</v>
      </c>
      <c r="T81">
        <v>30</v>
      </c>
      <c r="U81">
        <v>8.0981185647948012E-2</v>
      </c>
      <c r="V81">
        <v>31.536000000000001</v>
      </c>
    </row>
    <row r="82" spans="1:22" x14ac:dyDescent="0.25">
      <c r="A82" t="s">
        <v>93</v>
      </c>
      <c r="B82" t="s">
        <v>124</v>
      </c>
      <c r="C82" t="s">
        <v>95</v>
      </c>
      <c r="D82" t="s">
        <v>213</v>
      </c>
      <c r="E82" t="s">
        <v>113</v>
      </c>
      <c r="F82" t="s">
        <v>98</v>
      </c>
      <c r="G82" t="s">
        <v>107</v>
      </c>
      <c r="I82">
        <v>2020</v>
      </c>
      <c r="J82" t="s">
        <v>120</v>
      </c>
      <c r="K82" t="s">
        <v>232</v>
      </c>
      <c r="L82" t="s">
        <v>233</v>
      </c>
      <c r="M82" t="s">
        <v>236</v>
      </c>
      <c r="N82">
        <v>1</v>
      </c>
      <c r="O82">
        <v>19829.56015632757</v>
      </c>
      <c r="P82">
        <v>-0.21089908383512479</v>
      </c>
      <c r="Q82">
        <v>87.185414546843788</v>
      </c>
      <c r="R82">
        <v>341969.94947073248</v>
      </c>
      <c r="S82">
        <v>1</v>
      </c>
      <c r="T82">
        <v>30</v>
      </c>
      <c r="U82">
        <v>8.0981185647948012E-2</v>
      </c>
      <c r="V82">
        <v>31.536000000000001</v>
      </c>
    </row>
    <row r="83" spans="1:22" x14ac:dyDescent="0.25">
      <c r="A83" t="s">
        <v>93</v>
      </c>
      <c r="B83" t="s">
        <v>124</v>
      </c>
      <c r="C83" t="s">
        <v>95</v>
      </c>
      <c r="D83" t="s">
        <v>213</v>
      </c>
      <c r="E83" t="s">
        <v>113</v>
      </c>
      <c r="F83" t="s">
        <v>98</v>
      </c>
      <c r="G83" t="s">
        <v>110</v>
      </c>
      <c r="I83">
        <v>2020</v>
      </c>
      <c r="J83" t="s">
        <v>122</v>
      </c>
      <c r="K83" t="s">
        <v>232</v>
      </c>
      <c r="L83" t="s">
        <v>233</v>
      </c>
      <c r="M83" t="s">
        <v>237</v>
      </c>
      <c r="N83">
        <v>1</v>
      </c>
      <c r="O83">
        <v>14582.25683828563</v>
      </c>
      <c r="P83">
        <v>-0.1627443537673183</v>
      </c>
      <c r="Q83">
        <v>87.185414546843788</v>
      </c>
      <c r="R83">
        <v>325888.00023926498</v>
      </c>
      <c r="S83">
        <v>1</v>
      </c>
      <c r="T83">
        <v>30</v>
      </c>
      <c r="U83">
        <v>8.0981185647948012E-2</v>
      </c>
      <c r="V83">
        <v>31.536000000000001</v>
      </c>
    </row>
    <row r="84" spans="1:22" x14ac:dyDescent="0.25">
      <c r="A84" t="s">
        <v>93</v>
      </c>
      <c r="B84" t="s">
        <v>94</v>
      </c>
      <c r="C84" t="s">
        <v>137</v>
      </c>
      <c r="D84" t="s">
        <v>213</v>
      </c>
      <c r="E84" t="s">
        <v>97</v>
      </c>
      <c r="F84" t="s">
        <v>98</v>
      </c>
      <c r="G84" t="s">
        <v>99</v>
      </c>
      <c r="I84">
        <v>2020</v>
      </c>
      <c r="J84" t="s">
        <v>100</v>
      </c>
      <c r="K84" t="s">
        <v>238</v>
      </c>
      <c r="L84" t="s">
        <v>239</v>
      </c>
      <c r="M84" t="s">
        <v>240</v>
      </c>
      <c r="N84">
        <v>1</v>
      </c>
      <c r="O84">
        <v>3036.1724381484469</v>
      </c>
      <c r="P84">
        <v>-0.1391900330394471</v>
      </c>
      <c r="Q84">
        <v>279.92208498924828</v>
      </c>
      <c r="R84">
        <v>49420.20243058075</v>
      </c>
      <c r="S84">
        <v>1</v>
      </c>
      <c r="T84">
        <v>30</v>
      </c>
      <c r="U84">
        <v>9.0799342577003436E-2</v>
      </c>
      <c r="V84">
        <v>31.536000000000001</v>
      </c>
    </row>
    <row r="85" spans="1:22" x14ac:dyDescent="0.25">
      <c r="A85" t="s">
        <v>93</v>
      </c>
      <c r="B85" t="s">
        <v>94</v>
      </c>
      <c r="C85" t="s">
        <v>137</v>
      </c>
      <c r="D85" t="s">
        <v>213</v>
      </c>
      <c r="E85" t="s">
        <v>97</v>
      </c>
      <c r="F85" t="s">
        <v>98</v>
      </c>
      <c r="G85" t="s">
        <v>104</v>
      </c>
      <c r="I85">
        <v>2020</v>
      </c>
      <c r="J85" t="s">
        <v>105</v>
      </c>
      <c r="K85" t="s">
        <v>238</v>
      </c>
      <c r="L85" t="s">
        <v>239</v>
      </c>
      <c r="M85" t="s">
        <v>241</v>
      </c>
      <c r="N85">
        <v>1</v>
      </c>
      <c r="O85">
        <v>5041.7245980783027</v>
      </c>
      <c r="P85">
        <v>-0.49971985209806602</v>
      </c>
      <c r="Q85">
        <v>279.92208498924828</v>
      </c>
      <c r="R85">
        <v>22858.026954151559</v>
      </c>
      <c r="S85">
        <v>1</v>
      </c>
      <c r="T85">
        <v>30</v>
      </c>
      <c r="U85">
        <v>9.0799342577003436E-2</v>
      </c>
      <c r="V85">
        <v>31.536000000000001</v>
      </c>
    </row>
    <row r="86" spans="1:22" x14ac:dyDescent="0.25">
      <c r="A86" t="s">
        <v>93</v>
      </c>
      <c r="B86" t="s">
        <v>94</v>
      </c>
      <c r="C86" t="s">
        <v>137</v>
      </c>
      <c r="D86" t="s">
        <v>213</v>
      </c>
      <c r="E86" t="s">
        <v>97</v>
      </c>
      <c r="F86" t="s">
        <v>98</v>
      </c>
      <c r="G86" t="s">
        <v>107</v>
      </c>
      <c r="I86">
        <v>2020</v>
      </c>
      <c r="J86" t="s">
        <v>108</v>
      </c>
      <c r="K86" t="s">
        <v>238</v>
      </c>
      <c r="L86" t="s">
        <v>239</v>
      </c>
      <c r="M86" t="s">
        <v>242</v>
      </c>
      <c r="N86">
        <v>1</v>
      </c>
      <c r="O86">
        <v>4130.0516552567015</v>
      </c>
      <c r="P86">
        <v>-0.20096334880876951</v>
      </c>
      <c r="Q86">
        <v>279.92208498924828</v>
      </c>
      <c r="R86">
        <v>46561.27334765486</v>
      </c>
      <c r="S86">
        <v>1</v>
      </c>
      <c r="T86">
        <v>30</v>
      </c>
      <c r="U86">
        <v>9.0799342577003436E-2</v>
      </c>
      <c r="V86">
        <v>31.536000000000001</v>
      </c>
    </row>
    <row r="87" spans="1:22" x14ac:dyDescent="0.25">
      <c r="A87" t="s">
        <v>93</v>
      </c>
      <c r="B87" t="s">
        <v>94</v>
      </c>
      <c r="C87" t="s">
        <v>137</v>
      </c>
      <c r="D87" t="s">
        <v>213</v>
      </c>
      <c r="E87" t="s">
        <v>97</v>
      </c>
      <c r="F87" t="s">
        <v>98</v>
      </c>
      <c r="G87" t="s">
        <v>110</v>
      </c>
      <c r="I87">
        <v>2020</v>
      </c>
      <c r="J87" t="s">
        <v>111</v>
      </c>
      <c r="K87" t="s">
        <v>238</v>
      </c>
      <c r="L87" t="s">
        <v>239</v>
      </c>
      <c r="M87" t="s">
        <v>243</v>
      </c>
      <c r="N87">
        <v>1</v>
      </c>
      <c r="O87">
        <v>2694.965526691155</v>
      </c>
      <c r="P87">
        <v>-0.1248778723648238</v>
      </c>
      <c r="Q87">
        <v>279.92208498924828</v>
      </c>
      <c r="R87">
        <v>48893.817580050018</v>
      </c>
      <c r="S87">
        <v>1</v>
      </c>
      <c r="T87">
        <v>30</v>
      </c>
      <c r="U87">
        <v>9.0799342577003436E-2</v>
      </c>
      <c r="V87">
        <v>31.536000000000001</v>
      </c>
    </row>
    <row r="88" spans="1:22" x14ac:dyDescent="0.25">
      <c r="A88" t="s">
        <v>93</v>
      </c>
      <c r="B88" t="s">
        <v>94</v>
      </c>
      <c r="C88" t="s">
        <v>137</v>
      </c>
      <c r="D88" t="s">
        <v>213</v>
      </c>
      <c r="E88" t="s">
        <v>113</v>
      </c>
      <c r="F88" t="s">
        <v>98</v>
      </c>
      <c r="G88" t="s">
        <v>99</v>
      </c>
      <c r="I88">
        <v>2020</v>
      </c>
      <c r="J88" t="s">
        <v>114</v>
      </c>
      <c r="K88" t="s">
        <v>244</v>
      </c>
      <c r="L88" t="s">
        <v>245</v>
      </c>
      <c r="M88" t="s">
        <v>246</v>
      </c>
      <c r="N88">
        <v>0</v>
      </c>
      <c r="O88">
        <v>3036.1724381484469</v>
      </c>
      <c r="P88">
        <v>0.1149260684276816</v>
      </c>
      <c r="Q88">
        <v>76.158562032876347</v>
      </c>
      <c r="R88">
        <v>0</v>
      </c>
      <c r="S88">
        <v>1</v>
      </c>
      <c r="T88">
        <v>30</v>
      </c>
      <c r="U88">
        <v>7.9838654742081211E-2</v>
      </c>
      <c r="V88">
        <v>31.536000000000001</v>
      </c>
    </row>
    <row r="89" spans="1:22" x14ac:dyDescent="0.25">
      <c r="A89" t="s">
        <v>93</v>
      </c>
      <c r="B89" t="s">
        <v>94</v>
      </c>
      <c r="C89" t="s">
        <v>137</v>
      </c>
      <c r="D89" t="s">
        <v>213</v>
      </c>
      <c r="E89" t="s">
        <v>113</v>
      </c>
      <c r="F89" t="s">
        <v>98</v>
      </c>
      <c r="G89" t="s">
        <v>104</v>
      </c>
      <c r="I89">
        <v>2020</v>
      </c>
      <c r="J89" t="s">
        <v>118</v>
      </c>
      <c r="K89" t="s">
        <v>244</v>
      </c>
      <c r="L89" t="s">
        <v>245</v>
      </c>
      <c r="M89" t="s">
        <v>247</v>
      </c>
      <c r="N89">
        <v>0</v>
      </c>
      <c r="O89">
        <v>5041.7245980783027</v>
      </c>
      <c r="P89">
        <v>8.1951034351869317E-2</v>
      </c>
      <c r="Q89">
        <v>76.158562032876347</v>
      </c>
      <c r="R89">
        <v>0</v>
      </c>
      <c r="S89">
        <v>1</v>
      </c>
      <c r="T89">
        <v>30</v>
      </c>
      <c r="U89">
        <v>7.9838654742081211E-2</v>
      </c>
      <c r="V89">
        <v>31.536000000000001</v>
      </c>
    </row>
    <row r="90" spans="1:22" x14ac:dyDescent="0.25">
      <c r="A90" t="s">
        <v>93</v>
      </c>
      <c r="B90" t="s">
        <v>94</v>
      </c>
      <c r="C90" t="s">
        <v>137</v>
      </c>
      <c r="D90" t="s">
        <v>213</v>
      </c>
      <c r="E90" t="s">
        <v>113</v>
      </c>
      <c r="F90" t="s">
        <v>98</v>
      </c>
      <c r="G90" t="s">
        <v>107</v>
      </c>
      <c r="I90">
        <v>2020</v>
      </c>
      <c r="J90" t="s">
        <v>120</v>
      </c>
      <c r="K90" t="s">
        <v>244</v>
      </c>
      <c r="L90" t="s">
        <v>245</v>
      </c>
      <c r="M90" t="s">
        <v>248</v>
      </c>
      <c r="N90">
        <v>0</v>
      </c>
      <c r="O90">
        <v>4130.0516552567015</v>
      </c>
      <c r="P90">
        <v>0.1005107058437861</v>
      </c>
      <c r="Q90">
        <v>76.158562032876347</v>
      </c>
      <c r="R90">
        <v>0</v>
      </c>
      <c r="S90">
        <v>1</v>
      </c>
      <c r="T90">
        <v>30</v>
      </c>
      <c r="U90">
        <v>7.9838654742081211E-2</v>
      </c>
      <c r="V90">
        <v>31.536000000000001</v>
      </c>
    </row>
    <row r="91" spans="1:22" x14ac:dyDescent="0.25">
      <c r="A91" t="s">
        <v>93</v>
      </c>
      <c r="B91" t="s">
        <v>94</v>
      </c>
      <c r="C91" t="s">
        <v>137</v>
      </c>
      <c r="D91" t="s">
        <v>213</v>
      </c>
      <c r="E91" t="s">
        <v>113</v>
      </c>
      <c r="F91" t="s">
        <v>98</v>
      </c>
      <c r="G91" t="s">
        <v>110</v>
      </c>
      <c r="I91">
        <v>2020</v>
      </c>
      <c r="J91" t="s">
        <v>122</v>
      </c>
      <c r="K91" t="s">
        <v>244</v>
      </c>
      <c r="L91" t="s">
        <v>245</v>
      </c>
      <c r="M91" t="s">
        <v>249</v>
      </c>
      <c r="N91">
        <v>0</v>
      </c>
      <c r="O91">
        <v>2694.965526691155</v>
      </c>
      <c r="P91">
        <v>0.1247485291326627</v>
      </c>
      <c r="Q91">
        <v>76.158562032876347</v>
      </c>
      <c r="R91">
        <v>0</v>
      </c>
      <c r="S91">
        <v>1</v>
      </c>
      <c r="T91">
        <v>30</v>
      </c>
      <c r="U91">
        <v>7.9838654742081211E-2</v>
      </c>
      <c r="V91">
        <v>31.536000000000001</v>
      </c>
    </row>
    <row r="92" spans="1:22" x14ac:dyDescent="0.25">
      <c r="A92" t="s">
        <v>93</v>
      </c>
      <c r="B92" t="s">
        <v>124</v>
      </c>
      <c r="C92" t="s">
        <v>137</v>
      </c>
      <c r="D92" t="s">
        <v>213</v>
      </c>
      <c r="E92" t="s">
        <v>97</v>
      </c>
      <c r="F92" t="s">
        <v>98</v>
      </c>
      <c r="G92" t="s">
        <v>99</v>
      </c>
      <c r="I92">
        <v>2020</v>
      </c>
      <c r="J92" t="s">
        <v>100</v>
      </c>
      <c r="K92" t="s">
        <v>250</v>
      </c>
      <c r="L92" t="s">
        <v>251</v>
      </c>
      <c r="M92" t="s">
        <v>252</v>
      </c>
      <c r="N92">
        <v>1</v>
      </c>
      <c r="O92">
        <v>15612.59696366465</v>
      </c>
      <c r="P92">
        <v>-0.33953103663499401</v>
      </c>
      <c r="Q92">
        <v>462.5108141623416</v>
      </c>
      <c r="R92">
        <v>31525.876553480419</v>
      </c>
      <c r="S92">
        <v>1</v>
      </c>
      <c r="T92">
        <v>30</v>
      </c>
      <c r="U92">
        <v>8.263812321365821E-2</v>
      </c>
      <c r="V92">
        <v>31.536000000000001</v>
      </c>
    </row>
    <row r="93" spans="1:22" x14ac:dyDescent="0.25">
      <c r="A93" t="s">
        <v>93</v>
      </c>
      <c r="B93" t="s">
        <v>124</v>
      </c>
      <c r="C93" t="s">
        <v>137</v>
      </c>
      <c r="D93" t="s">
        <v>213</v>
      </c>
      <c r="E93" t="s">
        <v>97</v>
      </c>
      <c r="F93" t="s">
        <v>98</v>
      </c>
      <c r="G93" t="s">
        <v>104</v>
      </c>
      <c r="I93">
        <v>2020</v>
      </c>
      <c r="J93" t="s">
        <v>105</v>
      </c>
      <c r="K93" t="s">
        <v>250</v>
      </c>
      <c r="L93" t="s">
        <v>251</v>
      </c>
      <c r="M93" t="s">
        <v>253</v>
      </c>
      <c r="N93">
        <v>1</v>
      </c>
      <c r="O93">
        <v>23540.28075216963</v>
      </c>
      <c r="P93">
        <v>-0.51119235805864227</v>
      </c>
      <c r="Q93">
        <v>462.5108141623416</v>
      </c>
      <c r="R93">
        <v>31571.759563852891</v>
      </c>
      <c r="S93">
        <v>1</v>
      </c>
      <c r="T93">
        <v>30</v>
      </c>
      <c r="U93">
        <v>8.263812321365821E-2</v>
      </c>
      <c r="V93">
        <v>31.536000000000001</v>
      </c>
    </row>
    <row r="94" spans="1:22" x14ac:dyDescent="0.25">
      <c r="A94" t="s">
        <v>93</v>
      </c>
      <c r="B94" t="s">
        <v>124</v>
      </c>
      <c r="C94" t="s">
        <v>137</v>
      </c>
      <c r="D94" t="s">
        <v>213</v>
      </c>
      <c r="E94" t="s">
        <v>97</v>
      </c>
      <c r="F94" t="s">
        <v>98</v>
      </c>
      <c r="G94" t="s">
        <v>107</v>
      </c>
      <c r="I94">
        <v>2020</v>
      </c>
      <c r="J94" t="s">
        <v>108</v>
      </c>
      <c r="K94" t="s">
        <v>250</v>
      </c>
      <c r="L94" t="s">
        <v>251</v>
      </c>
      <c r="M94" t="s">
        <v>254</v>
      </c>
      <c r="N94">
        <v>1</v>
      </c>
      <c r="O94">
        <v>19829.56015632757</v>
      </c>
      <c r="P94">
        <v>-0.45261048976391621</v>
      </c>
      <c r="Q94">
        <v>462.5108141623416</v>
      </c>
      <c r="R94">
        <v>30037.236055397181</v>
      </c>
      <c r="S94">
        <v>1</v>
      </c>
      <c r="T94">
        <v>30</v>
      </c>
      <c r="U94">
        <v>8.263812321365821E-2</v>
      </c>
      <c r="V94">
        <v>31.536000000000001</v>
      </c>
    </row>
    <row r="95" spans="1:22" x14ac:dyDescent="0.25">
      <c r="A95" t="s">
        <v>93</v>
      </c>
      <c r="B95" t="s">
        <v>124</v>
      </c>
      <c r="C95" t="s">
        <v>137</v>
      </c>
      <c r="D95" t="s">
        <v>213</v>
      </c>
      <c r="E95" t="s">
        <v>97</v>
      </c>
      <c r="F95" t="s">
        <v>98</v>
      </c>
      <c r="G95" t="s">
        <v>110</v>
      </c>
      <c r="I95">
        <v>2020</v>
      </c>
      <c r="J95" t="s">
        <v>111</v>
      </c>
      <c r="K95" t="s">
        <v>250</v>
      </c>
      <c r="L95" t="s">
        <v>251</v>
      </c>
      <c r="M95" t="s">
        <v>255</v>
      </c>
      <c r="N95">
        <v>1</v>
      </c>
      <c r="O95">
        <v>14582.25683828563</v>
      </c>
      <c r="P95">
        <v>-0.2475073834604197</v>
      </c>
      <c r="Q95">
        <v>462.5108141623416</v>
      </c>
      <c r="R95">
        <v>40393.183794582917</v>
      </c>
      <c r="S95">
        <v>1</v>
      </c>
      <c r="T95">
        <v>30</v>
      </c>
      <c r="U95">
        <v>8.263812321365821E-2</v>
      </c>
      <c r="V95">
        <v>31.536000000000001</v>
      </c>
    </row>
    <row r="96" spans="1:22" x14ac:dyDescent="0.25">
      <c r="A96" t="s">
        <v>93</v>
      </c>
      <c r="B96" t="s">
        <v>124</v>
      </c>
      <c r="C96" t="s">
        <v>137</v>
      </c>
      <c r="D96" t="s">
        <v>213</v>
      </c>
      <c r="E96" t="s">
        <v>113</v>
      </c>
      <c r="F96" t="s">
        <v>98</v>
      </c>
      <c r="G96" t="s">
        <v>99</v>
      </c>
      <c r="I96">
        <v>2020</v>
      </c>
      <c r="J96" t="s">
        <v>114</v>
      </c>
      <c r="K96" t="s">
        <v>256</v>
      </c>
      <c r="L96" t="s">
        <v>257</v>
      </c>
      <c r="M96" t="s">
        <v>258</v>
      </c>
      <c r="N96">
        <v>1</v>
      </c>
      <c r="O96">
        <v>15612.59696366465</v>
      </c>
      <c r="P96">
        <v>-0.20418959954450561</v>
      </c>
      <c r="Q96">
        <v>82.712671332171311</v>
      </c>
      <c r="R96">
        <v>293131.76098447188</v>
      </c>
      <c r="S96">
        <v>1</v>
      </c>
      <c r="T96">
        <v>30</v>
      </c>
      <c r="U96">
        <v>9.7022787788124412E-2</v>
      </c>
      <c r="V96">
        <v>31.536000000000001</v>
      </c>
    </row>
    <row r="97" spans="1:22" x14ac:dyDescent="0.25">
      <c r="A97" t="s">
        <v>93</v>
      </c>
      <c r="B97" t="s">
        <v>124</v>
      </c>
      <c r="C97" t="s">
        <v>137</v>
      </c>
      <c r="D97" t="s">
        <v>213</v>
      </c>
      <c r="E97" t="s">
        <v>113</v>
      </c>
      <c r="F97" t="s">
        <v>98</v>
      </c>
      <c r="G97" t="s">
        <v>104</v>
      </c>
      <c r="I97">
        <v>2020</v>
      </c>
      <c r="J97" t="s">
        <v>118</v>
      </c>
      <c r="K97" t="s">
        <v>256</v>
      </c>
      <c r="L97" t="s">
        <v>257</v>
      </c>
      <c r="M97" t="s">
        <v>259</v>
      </c>
      <c r="N97">
        <v>1</v>
      </c>
      <c r="O97">
        <v>23540.28075216963</v>
      </c>
      <c r="P97">
        <v>-0.22657050673752141</v>
      </c>
      <c r="Q97">
        <v>82.712671332171311</v>
      </c>
      <c r="R97">
        <v>398317.70222350961</v>
      </c>
      <c r="S97">
        <v>1</v>
      </c>
      <c r="T97">
        <v>30</v>
      </c>
      <c r="U97">
        <v>9.7022787788124412E-2</v>
      </c>
      <c r="V97">
        <v>31.536000000000001</v>
      </c>
    </row>
    <row r="98" spans="1:22" x14ac:dyDescent="0.25">
      <c r="A98" t="s">
        <v>93</v>
      </c>
      <c r="B98" t="s">
        <v>124</v>
      </c>
      <c r="C98" t="s">
        <v>137</v>
      </c>
      <c r="D98" t="s">
        <v>213</v>
      </c>
      <c r="E98" t="s">
        <v>113</v>
      </c>
      <c r="F98" t="s">
        <v>98</v>
      </c>
      <c r="G98" t="s">
        <v>107</v>
      </c>
      <c r="I98">
        <v>2020</v>
      </c>
      <c r="J98" t="s">
        <v>120</v>
      </c>
      <c r="K98" t="s">
        <v>256</v>
      </c>
      <c r="L98" t="s">
        <v>257</v>
      </c>
      <c r="M98" t="s">
        <v>260</v>
      </c>
      <c r="N98">
        <v>1</v>
      </c>
      <c r="O98">
        <v>19829.56015632757</v>
      </c>
      <c r="P98">
        <v>-0.21089908383512479</v>
      </c>
      <c r="Q98">
        <v>82.712671332171311</v>
      </c>
      <c r="R98">
        <v>360462.20400056761</v>
      </c>
      <c r="S98">
        <v>1</v>
      </c>
      <c r="T98">
        <v>30</v>
      </c>
      <c r="U98">
        <v>9.7022787788124412E-2</v>
      </c>
      <c r="V98">
        <v>31.536000000000001</v>
      </c>
    </row>
    <row r="99" spans="1:22" x14ac:dyDescent="0.25">
      <c r="A99" t="s">
        <v>93</v>
      </c>
      <c r="B99" t="s">
        <v>124</v>
      </c>
      <c r="C99" t="s">
        <v>137</v>
      </c>
      <c r="D99" t="s">
        <v>213</v>
      </c>
      <c r="E99" t="s">
        <v>113</v>
      </c>
      <c r="F99" t="s">
        <v>98</v>
      </c>
      <c r="G99" t="s">
        <v>110</v>
      </c>
      <c r="I99">
        <v>2020</v>
      </c>
      <c r="J99" t="s">
        <v>122</v>
      </c>
      <c r="K99" t="s">
        <v>256</v>
      </c>
      <c r="L99" t="s">
        <v>257</v>
      </c>
      <c r="M99" t="s">
        <v>261</v>
      </c>
      <c r="N99">
        <v>1</v>
      </c>
      <c r="O99">
        <v>14582.25683828563</v>
      </c>
      <c r="P99">
        <v>-0.1627443537673183</v>
      </c>
      <c r="Q99">
        <v>82.712671332171311</v>
      </c>
      <c r="R99">
        <v>343510.61257105193</v>
      </c>
      <c r="S99">
        <v>1</v>
      </c>
      <c r="T99">
        <v>30</v>
      </c>
      <c r="U99">
        <v>9.7022787788124412E-2</v>
      </c>
      <c r="V99">
        <v>31.536000000000001</v>
      </c>
    </row>
    <row r="100" spans="1:22" x14ac:dyDescent="0.25">
      <c r="A100" t="s">
        <v>93</v>
      </c>
      <c r="B100" t="s">
        <v>94</v>
      </c>
      <c r="C100" t="s">
        <v>162</v>
      </c>
      <c r="D100" t="s">
        <v>213</v>
      </c>
      <c r="E100" t="s">
        <v>97</v>
      </c>
      <c r="F100" t="s">
        <v>98</v>
      </c>
      <c r="G100" t="s">
        <v>99</v>
      </c>
      <c r="I100">
        <v>2020</v>
      </c>
      <c r="J100" t="s">
        <v>100</v>
      </c>
      <c r="K100" t="s">
        <v>262</v>
      </c>
      <c r="L100" t="s">
        <v>263</v>
      </c>
      <c r="M100" t="s">
        <v>264</v>
      </c>
      <c r="N100">
        <v>1</v>
      </c>
      <c r="O100">
        <v>3036.1724381484469</v>
      </c>
      <c r="P100">
        <v>-0.1391900330394471</v>
      </c>
      <c r="Q100">
        <v>261.19290352107038</v>
      </c>
      <c r="R100">
        <v>52963.943194738873</v>
      </c>
      <c r="S100">
        <v>1</v>
      </c>
      <c r="T100">
        <v>30</v>
      </c>
      <c r="U100">
        <v>8.7856310855373987E-2</v>
      </c>
      <c r="V100">
        <v>31.536000000000001</v>
      </c>
    </row>
    <row r="101" spans="1:22" x14ac:dyDescent="0.25">
      <c r="A101" t="s">
        <v>93</v>
      </c>
      <c r="B101" t="s">
        <v>94</v>
      </c>
      <c r="C101" t="s">
        <v>162</v>
      </c>
      <c r="D101" t="s">
        <v>213</v>
      </c>
      <c r="E101" t="s">
        <v>97</v>
      </c>
      <c r="F101" t="s">
        <v>98</v>
      </c>
      <c r="G101" t="s">
        <v>104</v>
      </c>
      <c r="I101">
        <v>2020</v>
      </c>
      <c r="J101" t="s">
        <v>105</v>
      </c>
      <c r="K101" t="s">
        <v>262</v>
      </c>
      <c r="L101" t="s">
        <v>263</v>
      </c>
      <c r="M101" t="s">
        <v>265</v>
      </c>
      <c r="N101">
        <v>1</v>
      </c>
      <c r="O101">
        <v>5041.7245980783027</v>
      </c>
      <c r="P101">
        <v>-0.49971985209806602</v>
      </c>
      <c r="Q101">
        <v>261.19290352107038</v>
      </c>
      <c r="R101">
        <v>24497.09190981284</v>
      </c>
      <c r="S101">
        <v>1</v>
      </c>
      <c r="T101">
        <v>30</v>
      </c>
      <c r="U101">
        <v>8.7856310855373987E-2</v>
      </c>
      <c r="V101">
        <v>31.536000000000001</v>
      </c>
    </row>
    <row r="102" spans="1:22" x14ac:dyDescent="0.25">
      <c r="A102" t="s">
        <v>93</v>
      </c>
      <c r="B102" t="s">
        <v>94</v>
      </c>
      <c r="C102" t="s">
        <v>162</v>
      </c>
      <c r="D102" t="s">
        <v>213</v>
      </c>
      <c r="E102" t="s">
        <v>97</v>
      </c>
      <c r="F102" t="s">
        <v>98</v>
      </c>
      <c r="G102" t="s">
        <v>107</v>
      </c>
      <c r="I102">
        <v>2020</v>
      </c>
      <c r="J102" t="s">
        <v>108</v>
      </c>
      <c r="K102" t="s">
        <v>262</v>
      </c>
      <c r="L102" t="s">
        <v>263</v>
      </c>
      <c r="M102" t="s">
        <v>266</v>
      </c>
      <c r="N102">
        <v>1</v>
      </c>
      <c r="O102">
        <v>4130.0516552567015</v>
      </c>
      <c r="P102">
        <v>-0.20096334880876951</v>
      </c>
      <c r="Q102">
        <v>261.19290352107038</v>
      </c>
      <c r="R102">
        <v>49900.010833098488</v>
      </c>
      <c r="S102">
        <v>1</v>
      </c>
      <c r="T102">
        <v>30</v>
      </c>
      <c r="U102">
        <v>8.7856310855373987E-2</v>
      </c>
      <c r="V102">
        <v>31.536000000000001</v>
      </c>
    </row>
    <row r="103" spans="1:22" x14ac:dyDescent="0.25">
      <c r="A103" t="s">
        <v>93</v>
      </c>
      <c r="B103" t="s">
        <v>94</v>
      </c>
      <c r="C103" t="s">
        <v>162</v>
      </c>
      <c r="D103" t="s">
        <v>213</v>
      </c>
      <c r="E103" t="s">
        <v>97</v>
      </c>
      <c r="F103" t="s">
        <v>98</v>
      </c>
      <c r="G103" t="s">
        <v>110</v>
      </c>
      <c r="I103">
        <v>2020</v>
      </c>
      <c r="J103" t="s">
        <v>111</v>
      </c>
      <c r="K103" t="s">
        <v>262</v>
      </c>
      <c r="L103" t="s">
        <v>263</v>
      </c>
      <c r="M103" t="s">
        <v>267</v>
      </c>
      <c r="N103">
        <v>1</v>
      </c>
      <c r="O103">
        <v>2694.965526691155</v>
      </c>
      <c r="P103">
        <v>-0.1248778723648238</v>
      </c>
      <c r="Q103">
        <v>261.19290352107038</v>
      </c>
      <c r="R103">
        <v>52399.813224586644</v>
      </c>
      <c r="S103">
        <v>1</v>
      </c>
      <c r="T103">
        <v>30</v>
      </c>
      <c r="U103">
        <v>8.7856310855373987E-2</v>
      </c>
      <c r="V103">
        <v>31.536000000000001</v>
      </c>
    </row>
    <row r="104" spans="1:22" x14ac:dyDescent="0.25">
      <c r="A104" t="s">
        <v>93</v>
      </c>
      <c r="B104" t="s">
        <v>94</v>
      </c>
      <c r="C104" t="s">
        <v>162</v>
      </c>
      <c r="D104" t="s">
        <v>213</v>
      </c>
      <c r="E104" t="s">
        <v>113</v>
      </c>
      <c r="F104" t="s">
        <v>98</v>
      </c>
      <c r="G104" t="s">
        <v>99</v>
      </c>
      <c r="I104">
        <v>2020</v>
      </c>
      <c r="J104" t="s">
        <v>114</v>
      </c>
      <c r="K104" t="s">
        <v>268</v>
      </c>
      <c r="L104" t="s">
        <v>269</v>
      </c>
      <c r="M104" t="s">
        <v>270</v>
      </c>
      <c r="N104">
        <v>0</v>
      </c>
      <c r="O104">
        <v>3036.1724381484469</v>
      </c>
      <c r="P104">
        <v>0.1149260684276816</v>
      </c>
      <c r="Q104">
        <v>86.633276599156915</v>
      </c>
      <c r="R104">
        <v>0</v>
      </c>
      <c r="S104">
        <v>1</v>
      </c>
      <c r="T104">
        <v>30</v>
      </c>
      <c r="U104">
        <v>9.606602748064616E-2</v>
      </c>
      <c r="V104">
        <v>31.536000000000001</v>
      </c>
    </row>
    <row r="105" spans="1:22" x14ac:dyDescent="0.25">
      <c r="A105" t="s">
        <v>93</v>
      </c>
      <c r="B105" t="s">
        <v>94</v>
      </c>
      <c r="C105" t="s">
        <v>162</v>
      </c>
      <c r="D105" t="s">
        <v>213</v>
      </c>
      <c r="E105" t="s">
        <v>113</v>
      </c>
      <c r="F105" t="s">
        <v>98</v>
      </c>
      <c r="G105" t="s">
        <v>104</v>
      </c>
      <c r="I105">
        <v>2020</v>
      </c>
      <c r="J105" t="s">
        <v>118</v>
      </c>
      <c r="K105" t="s">
        <v>268</v>
      </c>
      <c r="L105" t="s">
        <v>269</v>
      </c>
      <c r="M105" t="s">
        <v>271</v>
      </c>
      <c r="N105">
        <v>0</v>
      </c>
      <c r="O105">
        <v>5041.7245980783027</v>
      </c>
      <c r="P105">
        <v>8.1951034351869317E-2</v>
      </c>
      <c r="Q105">
        <v>86.633276599156915</v>
      </c>
      <c r="R105">
        <v>0</v>
      </c>
      <c r="S105">
        <v>1</v>
      </c>
      <c r="T105">
        <v>30</v>
      </c>
      <c r="U105">
        <v>9.606602748064616E-2</v>
      </c>
      <c r="V105">
        <v>31.536000000000001</v>
      </c>
    </row>
    <row r="106" spans="1:22" x14ac:dyDescent="0.25">
      <c r="A106" t="s">
        <v>93</v>
      </c>
      <c r="B106" t="s">
        <v>94</v>
      </c>
      <c r="C106" t="s">
        <v>162</v>
      </c>
      <c r="D106" t="s">
        <v>213</v>
      </c>
      <c r="E106" t="s">
        <v>113</v>
      </c>
      <c r="F106" t="s">
        <v>98</v>
      </c>
      <c r="G106" t="s">
        <v>107</v>
      </c>
      <c r="I106">
        <v>2020</v>
      </c>
      <c r="J106" t="s">
        <v>120</v>
      </c>
      <c r="K106" t="s">
        <v>268</v>
      </c>
      <c r="L106" t="s">
        <v>269</v>
      </c>
      <c r="M106" t="s">
        <v>272</v>
      </c>
      <c r="N106">
        <v>0</v>
      </c>
      <c r="O106">
        <v>4130.0516552567015</v>
      </c>
      <c r="P106">
        <v>0.1005107058437861</v>
      </c>
      <c r="Q106">
        <v>86.633276599156915</v>
      </c>
      <c r="R106">
        <v>0</v>
      </c>
      <c r="S106">
        <v>1</v>
      </c>
      <c r="T106">
        <v>30</v>
      </c>
      <c r="U106">
        <v>9.606602748064616E-2</v>
      </c>
      <c r="V106">
        <v>31.536000000000001</v>
      </c>
    </row>
    <row r="107" spans="1:22" x14ac:dyDescent="0.25">
      <c r="A107" t="s">
        <v>93</v>
      </c>
      <c r="B107" t="s">
        <v>94</v>
      </c>
      <c r="C107" t="s">
        <v>162</v>
      </c>
      <c r="D107" t="s">
        <v>213</v>
      </c>
      <c r="E107" t="s">
        <v>113</v>
      </c>
      <c r="F107" t="s">
        <v>98</v>
      </c>
      <c r="G107" t="s">
        <v>110</v>
      </c>
      <c r="I107">
        <v>2020</v>
      </c>
      <c r="J107" t="s">
        <v>122</v>
      </c>
      <c r="K107" t="s">
        <v>268</v>
      </c>
      <c r="L107" t="s">
        <v>269</v>
      </c>
      <c r="M107" t="s">
        <v>273</v>
      </c>
      <c r="N107">
        <v>0</v>
      </c>
      <c r="O107">
        <v>2694.965526691155</v>
      </c>
      <c r="P107">
        <v>0.1247485291326627</v>
      </c>
      <c r="Q107">
        <v>86.633276599156915</v>
      </c>
      <c r="R107">
        <v>0</v>
      </c>
      <c r="S107">
        <v>1</v>
      </c>
      <c r="T107">
        <v>30</v>
      </c>
      <c r="U107">
        <v>9.606602748064616E-2</v>
      </c>
      <c r="V107">
        <v>31.536000000000001</v>
      </c>
    </row>
    <row r="108" spans="1:22" x14ac:dyDescent="0.25">
      <c r="A108" t="s">
        <v>93</v>
      </c>
      <c r="B108" t="s">
        <v>124</v>
      </c>
      <c r="C108" t="s">
        <v>162</v>
      </c>
      <c r="D108" t="s">
        <v>213</v>
      </c>
      <c r="E108" t="s">
        <v>97</v>
      </c>
      <c r="F108" t="s">
        <v>98</v>
      </c>
      <c r="G108" t="s">
        <v>99</v>
      </c>
      <c r="I108">
        <v>2020</v>
      </c>
      <c r="J108" t="s">
        <v>100</v>
      </c>
      <c r="K108" t="s">
        <v>274</v>
      </c>
      <c r="L108" t="s">
        <v>275</v>
      </c>
      <c r="M108" t="s">
        <v>276</v>
      </c>
      <c r="N108">
        <v>1</v>
      </c>
      <c r="O108">
        <v>15612.59696366465</v>
      </c>
      <c r="P108">
        <v>-0.33953103663499401</v>
      </c>
      <c r="Q108">
        <v>525.45184958198365</v>
      </c>
      <c r="R108">
        <v>27749.56229297028</v>
      </c>
      <c r="S108">
        <v>1</v>
      </c>
      <c r="T108">
        <v>30</v>
      </c>
      <c r="U108">
        <v>9.1249964693936397E-2</v>
      </c>
      <c r="V108">
        <v>31.536000000000001</v>
      </c>
    </row>
    <row r="109" spans="1:22" x14ac:dyDescent="0.25">
      <c r="A109" t="s">
        <v>93</v>
      </c>
      <c r="B109" t="s">
        <v>124</v>
      </c>
      <c r="C109" t="s">
        <v>162</v>
      </c>
      <c r="D109" t="s">
        <v>213</v>
      </c>
      <c r="E109" t="s">
        <v>97</v>
      </c>
      <c r="F109" t="s">
        <v>98</v>
      </c>
      <c r="G109" t="s">
        <v>104</v>
      </c>
      <c r="I109">
        <v>2020</v>
      </c>
      <c r="J109" t="s">
        <v>105</v>
      </c>
      <c r="K109" t="s">
        <v>274</v>
      </c>
      <c r="L109" t="s">
        <v>275</v>
      </c>
      <c r="M109" t="s">
        <v>277</v>
      </c>
      <c r="N109">
        <v>1</v>
      </c>
      <c r="O109">
        <v>23540.28075216963</v>
      </c>
      <c r="P109">
        <v>-0.51119235805864227</v>
      </c>
      <c r="Q109">
        <v>525.45184958198365</v>
      </c>
      <c r="R109">
        <v>27789.94922566539</v>
      </c>
      <c r="S109">
        <v>1</v>
      </c>
      <c r="T109">
        <v>30</v>
      </c>
      <c r="U109">
        <v>9.1249964693936397E-2</v>
      </c>
      <c r="V109">
        <v>31.536000000000001</v>
      </c>
    </row>
    <row r="110" spans="1:22" x14ac:dyDescent="0.25">
      <c r="A110" t="s">
        <v>93</v>
      </c>
      <c r="B110" t="s">
        <v>124</v>
      </c>
      <c r="C110" t="s">
        <v>162</v>
      </c>
      <c r="D110" t="s">
        <v>213</v>
      </c>
      <c r="E110" t="s">
        <v>97</v>
      </c>
      <c r="F110" t="s">
        <v>98</v>
      </c>
      <c r="G110" t="s">
        <v>107</v>
      </c>
      <c r="I110">
        <v>2020</v>
      </c>
      <c r="J110" t="s">
        <v>108</v>
      </c>
      <c r="K110" t="s">
        <v>274</v>
      </c>
      <c r="L110" t="s">
        <v>275</v>
      </c>
      <c r="M110" t="s">
        <v>278</v>
      </c>
      <c r="N110">
        <v>1</v>
      </c>
      <c r="O110">
        <v>19829.56015632757</v>
      </c>
      <c r="P110">
        <v>-0.45261048976391621</v>
      </c>
      <c r="Q110">
        <v>525.45184958198365</v>
      </c>
      <c r="R110">
        <v>26439.237989589768</v>
      </c>
      <c r="S110">
        <v>1</v>
      </c>
      <c r="T110">
        <v>30</v>
      </c>
      <c r="U110">
        <v>9.1249964693936397E-2</v>
      </c>
      <c r="V110">
        <v>31.536000000000001</v>
      </c>
    </row>
    <row r="111" spans="1:22" x14ac:dyDescent="0.25">
      <c r="A111" t="s">
        <v>93</v>
      </c>
      <c r="B111" t="s">
        <v>124</v>
      </c>
      <c r="C111" t="s">
        <v>162</v>
      </c>
      <c r="D111" t="s">
        <v>213</v>
      </c>
      <c r="E111" t="s">
        <v>97</v>
      </c>
      <c r="F111" t="s">
        <v>98</v>
      </c>
      <c r="G111" t="s">
        <v>110</v>
      </c>
      <c r="I111">
        <v>2020</v>
      </c>
      <c r="J111" t="s">
        <v>111</v>
      </c>
      <c r="K111" t="s">
        <v>274</v>
      </c>
      <c r="L111" t="s">
        <v>275</v>
      </c>
      <c r="M111" t="s">
        <v>279</v>
      </c>
      <c r="N111">
        <v>1</v>
      </c>
      <c r="O111">
        <v>14582.25683828563</v>
      </c>
      <c r="P111">
        <v>-0.2475073834604197</v>
      </c>
      <c r="Q111">
        <v>525.45184958198365</v>
      </c>
      <c r="R111">
        <v>35554.702754027989</v>
      </c>
      <c r="S111">
        <v>1</v>
      </c>
      <c r="T111">
        <v>30</v>
      </c>
      <c r="U111">
        <v>9.1249964693936397E-2</v>
      </c>
      <c r="V111">
        <v>31.536000000000001</v>
      </c>
    </row>
    <row r="112" spans="1:22" x14ac:dyDescent="0.25">
      <c r="A112" t="s">
        <v>93</v>
      </c>
      <c r="B112" t="s">
        <v>124</v>
      </c>
      <c r="C112" t="s">
        <v>162</v>
      </c>
      <c r="D112" t="s">
        <v>213</v>
      </c>
      <c r="E112" t="s">
        <v>113</v>
      </c>
      <c r="F112" t="s">
        <v>98</v>
      </c>
      <c r="G112" t="s">
        <v>99</v>
      </c>
      <c r="I112">
        <v>2020</v>
      </c>
      <c r="J112" t="s">
        <v>114</v>
      </c>
      <c r="K112" t="s">
        <v>280</v>
      </c>
      <c r="L112" t="s">
        <v>281</v>
      </c>
      <c r="M112" t="s">
        <v>282</v>
      </c>
      <c r="N112">
        <v>1</v>
      </c>
      <c r="O112">
        <v>15612.59696366465</v>
      </c>
      <c r="P112">
        <v>-0.20418959954450561</v>
      </c>
      <c r="Q112">
        <v>93.596266663178213</v>
      </c>
      <c r="R112">
        <v>259045.7062842203</v>
      </c>
      <c r="S112">
        <v>1</v>
      </c>
      <c r="T112">
        <v>30</v>
      </c>
      <c r="U112">
        <v>5.8273038403982118E-2</v>
      </c>
      <c r="V112">
        <v>31.536000000000001</v>
      </c>
    </row>
    <row r="113" spans="1:22" x14ac:dyDescent="0.25">
      <c r="A113" t="s">
        <v>93</v>
      </c>
      <c r="B113" t="s">
        <v>124</v>
      </c>
      <c r="C113" t="s">
        <v>162</v>
      </c>
      <c r="D113" t="s">
        <v>213</v>
      </c>
      <c r="E113" t="s">
        <v>113</v>
      </c>
      <c r="F113" t="s">
        <v>98</v>
      </c>
      <c r="G113" t="s">
        <v>104</v>
      </c>
      <c r="I113">
        <v>2020</v>
      </c>
      <c r="J113" t="s">
        <v>118</v>
      </c>
      <c r="K113" t="s">
        <v>280</v>
      </c>
      <c r="L113" t="s">
        <v>281</v>
      </c>
      <c r="M113" t="s">
        <v>283</v>
      </c>
      <c r="N113">
        <v>1</v>
      </c>
      <c r="O113">
        <v>23540.28075216963</v>
      </c>
      <c r="P113">
        <v>-0.22657050673752141</v>
      </c>
      <c r="Q113">
        <v>93.596266663178213</v>
      </c>
      <c r="R113">
        <v>352000.37741206319</v>
      </c>
      <c r="S113">
        <v>1</v>
      </c>
      <c r="T113">
        <v>30</v>
      </c>
      <c r="U113">
        <v>5.8273038403982118E-2</v>
      </c>
      <c r="V113">
        <v>31.536000000000001</v>
      </c>
    </row>
    <row r="114" spans="1:22" x14ac:dyDescent="0.25">
      <c r="A114" t="s">
        <v>93</v>
      </c>
      <c r="B114" t="s">
        <v>124</v>
      </c>
      <c r="C114" t="s">
        <v>162</v>
      </c>
      <c r="D114" t="s">
        <v>213</v>
      </c>
      <c r="E114" t="s">
        <v>113</v>
      </c>
      <c r="F114" t="s">
        <v>98</v>
      </c>
      <c r="G114" t="s">
        <v>107</v>
      </c>
      <c r="I114">
        <v>2020</v>
      </c>
      <c r="J114" t="s">
        <v>120</v>
      </c>
      <c r="K114" t="s">
        <v>280</v>
      </c>
      <c r="L114" t="s">
        <v>281</v>
      </c>
      <c r="M114" t="s">
        <v>284</v>
      </c>
      <c r="N114">
        <v>1</v>
      </c>
      <c r="O114">
        <v>19829.56015632757</v>
      </c>
      <c r="P114">
        <v>-0.21089908383512479</v>
      </c>
      <c r="Q114">
        <v>93.596266663178213</v>
      </c>
      <c r="R114">
        <v>318546.80608642788</v>
      </c>
      <c r="S114">
        <v>1</v>
      </c>
      <c r="T114">
        <v>30</v>
      </c>
      <c r="U114">
        <v>5.8273038403982118E-2</v>
      </c>
      <c r="V114">
        <v>31.536000000000001</v>
      </c>
    </row>
    <row r="115" spans="1:22" x14ac:dyDescent="0.25">
      <c r="A115" t="s">
        <v>93</v>
      </c>
      <c r="B115" t="s">
        <v>124</v>
      </c>
      <c r="C115" t="s">
        <v>162</v>
      </c>
      <c r="D115" t="s">
        <v>213</v>
      </c>
      <c r="E115" t="s">
        <v>113</v>
      </c>
      <c r="F115" t="s">
        <v>98</v>
      </c>
      <c r="G115" t="s">
        <v>110</v>
      </c>
      <c r="I115">
        <v>2020</v>
      </c>
      <c r="J115" t="s">
        <v>122</v>
      </c>
      <c r="K115" t="s">
        <v>280</v>
      </c>
      <c r="L115" t="s">
        <v>281</v>
      </c>
      <c r="M115" t="s">
        <v>285</v>
      </c>
      <c r="N115">
        <v>1</v>
      </c>
      <c r="O115">
        <v>14582.25683828563</v>
      </c>
      <c r="P115">
        <v>-0.1627443537673183</v>
      </c>
      <c r="Q115">
        <v>93.596266663178213</v>
      </c>
      <c r="R115">
        <v>303566.385814832</v>
      </c>
      <c r="S115">
        <v>1</v>
      </c>
      <c r="T115">
        <v>30</v>
      </c>
      <c r="U115">
        <v>5.8273038403982118E-2</v>
      </c>
      <c r="V115">
        <v>31.536000000000001</v>
      </c>
    </row>
    <row r="116" spans="1:22" x14ac:dyDescent="0.25">
      <c r="A116" t="s">
        <v>93</v>
      </c>
      <c r="B116" t="s">
        <v>94</v>
      </c>
      <c r="C116" t="s">
        <v>187</v>
      </c>
      <c r="D116" t="s">
        <v>213</v>
      </c>
      <c r="E116" t="s">
        <v>97</v>
      </c>
      <c r="F116" t="s">
        <v>98</v>
      </c>
      <c r="G116" t="s">
        <v>99</v>
      </c>
      <c r="I116">
        <v>2020</v>
      </c>
      <c r="J116" t="s">
        <v>100</v>
      </c>
      <c r="K116" t="s">
        <v>286</v>
      </c>
      <c r="L116" t="s">
        <v>287</v>
      </c>
      <c r="M116" t="s">
        <v>288</v>
      </c>
      <c r="N116">
        <v>1</v>
      </c>
      <c r="O116">
        <v>3036.1724381484469</v>
      </c>
      <c r="P116">
        <v>-0.1391900330394471</v>
      </c>
      <c r="Q116">
        <v>242.87521631189429</v>
      </c>
      <c r="R116">
        <v>56958.492163292009</v>
      </c>
      <c r="S116">
        <v>1</v>
      </c>
      <c r="T116">
        <v>30</v>
      </c>
      <c r="U116">
        <v>0.10652957206919771</v>
      </c>
      <c r="V116">
        <v>31.536000000000001</v>
      </c>
    </row>
    <row r="117" spans="1:22" x14ac:dyDescent="0.25">
      <c r="A117" t="s">
        <v>93</v>
      </c>
      <c r="B117" t="s">
        <v>94</v>
      </c>
      <c r="C117" t="s">
        <v>187</v>
      </c>
      <c r="D117" t="s">
        <v>213</v>
      </c>
      <c r="E117" t="s">
        <v>97</v>
      </c>
      <c r="F117" t="s">
        <v>98</v>
      </c>
      <c r="G117" t="s">
        <v>104</v>
      </c>
      <c r="I117">
        <v>2020</v>
      </c>
      <c r="J117" t="s">
        <v>105</v>
      </c>
      <c r="K117" t="s">
        <v>286</v>
      </c>
      <c r="L117" t="s">
        <v>287</v>
      </c>
      <c r="M117" t="s">
        <v>289</v>
      </c>
      <c r="N117">
        <v>1</v>
      </c>
      <c r="O117">
        <v>5041.7245980783027</v>
      </c>
      <c r="P117">
        <v>-0.49971985209806602</v>
      </c>
      <c r="Q117">
        <v>242.87521631189429</v>
      </c>
      <c r="R117">
        <v>26344.666454274149</v>
      </c>
      <c r="S117">
        <v>1</v>
      </c>
      <c r="T117">
        <v>30</v>
      </c>
      <c r="U117">
        <v>0.10652957206919771</v>
      </c>
      <c r="V117">
        <v>31.536000000000001</v>
      </c>
    </row>
    <row r="118" spans="1:22" x14ac:dyDescent="0.25">
      <c r="A118" t="s">
        <v>93</v>
      </c>
      <c r="B118" t="s">
        <v>94</v>
      </c>
      <c r="C118" t="s">
        <v>187</v>
      </c>
      <c r="D118" t="s">
        <v>213</v>
      </c>
      <c r="E118" t="s">
        <v>97</v>
      </c>
      <c r="F118" t="s">
        <v>98</v>
      </c>
      <c r="G118" t="s">
        <v>107</v>
      </c>
      <c r="I118">
        <v>2020</v>
      </c>
      <c r="J118" t="s">
        <v>108</v>
      </c>
      <c r="K118" t="s">
        <v>286</v>
      </c>
      <c r="L118" t="s">
        <v>287</v>
      </c>
      <c r="M118" t="s">
        <v>290</v>
      </c>
      <c r="N118">
        <v>1</v>
      </c>
      <c r="O118">
        <v>4130.0516552567015</v>
      </c>
      <c r="P118">
        <v>-0.20096334880876951</v>
      </c>
      <c r="Q118">
        <v>242.87521631189429</v>
      </c>
      <c r="R118">
        <v>53663.477538574902</v>
      </c>
      <c r="S118">
        <v>1</v>
      </c>
      <c r="T118">
        <v>30</v>
      </c>
      <c r="U118">
        <v>0.10652957206919771</v>
      </c>
      <c r="V118">
        <v>31.536000000000001</v>
      </c>
    </row>
    <row r="119" spans="1:22" x14ac:dyDescent="0.25">
      <c r="A119" t="s">
        <v>93</v>
      </c>
      <c r="B119" t="s">
        <v>94</v>
      </c>
      <c r="C119" t="s">
        <v>187</v>
      </c>
      <c r="D119" t="s">
        <v>213</v>
      </c>
      <c r="E119" t="s">
        <v>97</v>
      </c>
      <c r="F119" t="s">
        <v>98</v>
      </c>
      <c r="G119" t="s">
        <v>110</v>
      </c>
      <c r="I119">
        <v>2020</v>
      </c>
      <c r="J119" t="s">
        <v>111</v>
      </c>
      <c r="K119" t="s">
        <v>286</v>
      </c>
      <c r="L119" t="s">
        <v>287</v>
      </c>
      <c r="M119" t="s">
        <v>291</v>
      </c>
      <c r="N119">
        <v>1</v>
      </c>
      <c r="O119">
        <v>2694.965526691155</v>
      </c>
      <c r="P119">
        <v>-0.1248778723648238</v>
      </c>
      <c r="Q119">
        <v>242.87521631189429</v>
      </c>
      <c r="R119">
        <v>56351.815421610387</v>
      </c>
      <c r="S119">
        <v>1</v>
      </c>
      <c r="T119">
        <v>30</v>
      </c>
      <c r="U119">
        <v>0.10652957206919771</v>
      </c>
      <c r="V119">
        <v>31.536000000000001</v>
      </c>
    </row>
    <row r="120" spans="1:22" x14ac:dyDescent="0.25">
      <c r="A120" t="s">
        <v>93</v>
      </c>
      <c r="B120" t="s">
        <v>94</v>
      </c>
      <c r="C120" t="s">
        <v>187</v>
      </c>
      <c r="D120" t="s">
        <v>213</v>
      </c>
      <c r="E120" t="s">
        <v>113</v>
      </c>
      <c r="F120" t="s">
        <v>98</v>
      </c>
      <c r="G120" t="s">
        <v>99</v>
      </c>
      <c r="I120">
        <v>2020</v>
      </c>
      <c r="J120" t="s">
        <v>114</v>
      </c>
      <c r="K120" t="s">
        <v>292</v>
      </c>
      <c r="L120" t="s">
        <v>293</v>
      </c>
      <c r="M120" t="s">
        <v>294</v>
      </c>
      <c r="N120">
        <v>0</v>
      </c>
      <c r="O120">
        <v>3036.1724381484469</v>
      </c>
      <c r="P120">
        <v>0.1149260684276816</v>
      </c>
      <c r="Q120">
        <v>82.406582662466192</v>
      </c>
      <c r="R120">
        <v>0</v>
      </c>
      <c r="S120">
        <v>1</v>
      </c>
      <c r="T120">
        <v>30</v>
      </c>
      <c r="U120">
        <v>6.1608679451578198E-2</v>
      </c>
      <c r="V120">
        <v>31.536000000000001</v>
      </c>
    </row>
    <row r="121" spans="1:22" x14ac:dyDescent="0.25">
      <c r="A121" t="s">
        <v>93</v>
      </c>
      <c r="B121" t="s">
        <v>94</v>
      </c>
      <c r="C121" t="s">
        <v>187</v>
      </c>
      <c r="D121" t="s">
        <v>213</v>
      </c>
      <c r="E121" t="s">
        <v>113</v>
      </c>
      <c r="F121" t="s">
        <v>98</v>
      </c>
      <c r="G121" t="s">
        <v>104</v>
      </c>
      <c r="I121">
        <v>2020</v>
      </c>
      <c r="J121" t="s">
        <v>118</v>
      </c>
      <c r="K121" t="s">
        <v>292</v>
      </c>
      <c r="L121" t="s">
        <v>293</v>
      </c>
      <c r="M121" t="s">
        <v>295</v>
      </c>
      <c r="N121">
        <v>0</v>
      </c>
      <c r="O121">
        <v>5041.7245980783027</v>
      </c>
      <c r="P121">
        <v>8.1951034351869317E-2</v>
      </c>
      <c r="Q121">
        <v>82.406582662466192</v>
      </c>
      <c r="R121">
        <v>0</v>
      </c>
      <c r="S121">
        <v>1</v>
      </c>
      <c r="T121">
        <v>30</v>
      </c>
      <c r="U121">
        <v>6.1608679451578198E-2</v>
      </c>
      <c r="V121">
        <v>31.536000000000001</v>
      </c>
    </row>
    <row r="122" spans="1:22" x14ac:dyDescent="0.25">
      <c r="A122" t="s">
        <v>93</v>
      </c>
      <c r="B122" t="s">
        <v>94</v>
      </c>
      <c r="C122" t="s">
        <v>187</v>
      </c>
      <c r="D122" t="s">
        <v>213</v>
      </c>
      <c r="E122" t="s">
        <v>113</v>
      </c>
      <c r="F122" t="s">
        <v>98</v>
      </c>
      <c r="G122" t="s">
        <v>107</v>
      </c>
      <c r="I122">
        <v>2020</v>
      </c>
      <c r="J122" t="s">
        <v>120</v>
      </c>
      <c r="K122" t="s">
        <v>292</v>
      </c>
      <c r="L122" t="s">
        <v>293</v>
      </c>
      <c r="M122" t="s">
        <v>296</v>
      </c>
      <c r="N122">
        <v>0</v>
      </c>
      <c r="O122">
        <v>4130.0516552567015</v>
      </c>
      <c r="P122">
        <v>0.1005107058437861</v>
      </c>
      <c r="Q122">
        <v>82.406582662466192</v>
      </c>
      <c r="R122">
        <v>0</v>
      </c>
      <c r="S122">
        <v>1</v>
      </c>
      <c r="T122">
        <v>30</v>
      </c>
      <c r="U122">
        <v>6.1608679451578198E-2</v>
      </c>
      <c r="V122">
        <v>31.536000000000001</v>
      </c>
    </row>
    <row r="123" spans="1:22" x14ac:dyDescent="0.25">
      <c r="A123" t="s">
        <v>93</v>
      </c>
      <c r="B123" t="s">
        <v>94</v>
      </c>
      <c r="C123" t="s">
        <v>187</v>
      </c>
      <c r="D123" t="s">
        <v>213</v>
      </c>
      <c r="E123" t="s">
        <v>113</v>
      </c>
      <c r="F123" t="s">
        <v>98</v>
      </c>
      <c r="G123" t="s">
        <v>110</v>
      </c>
      <c r="I123">
        <v>2020</v>
      </c>
      <c r="J123" t="s">
        <v>122</v>
      </c>
      <c r="K123" t="s">
        <v>292</v>
      </c>
      <c r="L123" t="s">
        <v>293</v>
      </c>
      <c r="M123" t="s">
        <v>297</v>
      </c>
      <c r="N123">
        <v>0</v>
      </c>
      <c r="O123">
        <v>2694.965526691155</v>
      </c>
      <c r="P123">
        <v>0.1247485291326627</v>
      </c>
      <c r="Q123">
        <v>82.406582662466192</v>
      </c>
      <c r="R123">
        <v>0</v>
      </c>
      <c r="S123">
        <v>1</v>
      </c>
      <c r="T123">
        <v>30</v>
      </c>
      <c r="U123">
        <v>6.1608679451578198E-2</v>
      </c>
      <c r="V123">
        <v>31.536000000000001</v>
      </c>
    </row>
    <row r="124" spans="1:22" x14ac:dyDescent="0.25">
      <c r="A124" t="s">
        <v>93</v>
      </c>
      <c r="B124" t="s">
        <v>124</v>
      </c>
      <c r="C124" t="s">
        <v>187</v>
      </c>
      <c r="D124" t="s">
        <v>213</v>
      </c>
      <c r="E124" t="s">
        <v>97</v>
      </c>
      <c r="F124" t="s">
        <v>98</v>
      </c>
      <c r="G124" t="s">
        <v>99</v>
      </c>
      <c r="I124">
        <v>2020</v>
      </c>
      <c r="J124" t="s">
        <v>100</v>
      </c>
      <c r="K124" t="s">
        <v>298</v>
      </c>
      <c r="L124" t="s">
        <v>299</v>
      </c>
      <c r="M124" t="s">
        <v>300</v>
      </c>
      <c r="N124">
        <v>1</v>
      </c>
      <c r="O124">
        <v>15612.59696366465</v>
      </c>
      <c r="P124">
        <v>-0.33953103663499401</v>
      </c>
      <c r="Q124">
        <v>460.64753070976008</v>
      </c>
      <c r="R124">
        <v>31653.396273427079</v>
      </c>
      <c r="S124">
        <v>1</v>
      </c>
      <c r="T124">
        <v>30</v>
      </c>
      <c r="U124">
        <v>7.9105094690167521E-2</v>
      </c>
      <c r="V124">
        <v>31.536000000000001</v>
      </c>
    </row>
    <row r="125" spans="1:22" x14ac:dyDescent="0.25">
      <c r="A125" t="s">
        <v>93</v>
      </c>
      <c r="B125" t="s">
        <v>124</v>
      </c>
      <c r="C125" t="s">
        <v>187</v>
      </c>
      <c r="D125" t="s">
        <v>213</v>
      </c>
      <c r="E125" t="s">
        <v>97</v>
      </c>
      <c r="F125" t="s">
        <v>98</v>
      </c>
      <c r="G125" t="s">
        <v>104</v>
      </c>
      <c r="I125">
        <v>2020</v>
      </c>
      <c r="J125" t="s">
        <v>105</v>
      </c>
      <c r="K125" t="s">
        <v>298</v>
      </c>
      <c r="L125" t="s">
        <v>299</v>
      </c>
      <c r="M125" t="s">
        <v>301</v>
      </c>
      <c r="N125">
        <v>1</v>
      </c>
      <c r="O125">
        <v>23540.28075216963</v>
      </c>
      <c r="P125">
        <v>-0.51119235805864227</v>
      </c>
      <c r="Q125">
        <v>460.64753070976008</v>
      </c>
      <c r="R125">
        <v>31699.464877009708</v>
      </c>
      <c r="S125">
        <v>1</v>
      </c>
      <c r="T125">
        <v>30</v>
      </c>
      <c r="U125">
        <v>7.9105094690167521E-2</v>
      </c>
      <c r="V125">
        <v>31.536000000000001</v>
      </c>
    </row>
    <row r="126" spans="1:22" x14ac:dyDescent="0.25">
      <c r="A126" t="s">
        <v>93</v>
      </c>
      <c r="B126" t="s">
        <v>124</v>
      </c>
      <c r="C126" t="s">
        <v>187</v>
      </c>
      <c r="D126" t="s">
        <v>213</v>
      </c>
      <c r="E126" t="s">
        <v>97</v>
      </c>
      <c r="F126" t="s">
        <v>98</v>
      </c>
      <c r="G126" t="s">
        <v>107</v>
      </c>
      <c r="I126">
        <v>2020</v>
      </c>
      <c r="J126" t="s">
        <v>108</v>
      </c>
      <c r="K126" t="s">
        <v>298</v>
      </c>
      <c r="L126" t="s">
        <v>299</v>
      </c>
      <c r="M126" t="s">
        <v>302</v>
      </c>
      <c r="N126">
        <v>1</v>
      </c>
      <c r="O126">
        <v>19829.56015632757</v>
      </c>
      <c r="P126">
        <v>-0.45261048976391621</v>
      </c>
      <c r="Q126">
        <v>460.64753070976008</v>
      </c>
      <c r="R126">
        <v>30158.73434025083</v>
      </c>
      <c r="S126">
        <v>1</v>
      </c>
      <c r="T126">
        <v>30</v>
      </c>
      <c r="U126">
        <v>7.9105094690167521E-2</v>
      </c>
      <c r="V126">
        <v>31.536000000000001</v>
      </c>
    </row>
    <row r="127" spans="1:22" x14ac:dyDescent="0.25">
      <c r="A127" t="s">
        <v>93</v>
      </c>
      <c r="B127" t="s">
        <v>124</v>
      </c>
      <c r="C127" t="s">
        <v>187</v>
      </c>
      <c r="D127" t="s">
        <v>213</v>
      </c>
      <c r="E127" t="s">
        <v>97</v>
      </c>
      <c r="F127" t="s">
        <v>98</v>
      </c>
      <c r="G127" t="s">
        <v>110</v>
      </c>
      <c r="I127">
        <v>2020</v>
      </c>
      <c r="J127" t="s">
        <v>111</v>
      </c>
      <c r="K127" t="s">
        <v>298</v>
      </c>
      <c r="L127" t="s">
        <v>299</v>
      </c>
      <c r="M127" t="s">
        <v>303</v>
      </c>
      <c r="N127">
        <v>1</v>
      </c>
      <c r="O127">
        <v>14582.25683828563</v>
      </c>
      <c r="P127">
        <v>-0.2475073834604197</v>
      </c>
      <c r="Q127">
        <v>460.64753070976008</v>
      </c>
      <c r="R127">
        <v>40556.571083006173</v>
      </c>
      <c r="S127">
        <v>1</v>
      </c>
      <c r="T127">
        <v>30</v>
      </c>
      <c r="U127">
        <v>7.9105094690167521E-2</v>
      </c>
      <c r="V127">
        <v>31.536000000000001</v>
      </c>
    </row>
    <row r="128" spans="1:22" x14ac:dyDescent="0.25">
      <c r="A128" t="s">
        <v>93</v>
      </c>
      <c r="B128" t="s">
        <v>124</v>
      </c>
      <c r="C128" t="s">
        <v>187</v>
      </c>
      <c r="D128" t="s">
        <v>213</v>
      </c>
      <c r="E128" t="s">
        <v>113</v>
      </c>
      <c r="F128" t="s">
        <v>98</v>
      </c>
      <c r="G128" t="s">
        <v>99</v>
      </c>
      <c r="I128">
        <v>2020</v>
      </c>
      <c r="J128" t="s">
        <v>114</v>
      </c>
      <c r="K128" t="s">
        <v>304</v>
      </c>
      <c r="L128" t="s">
        <v>305</v>
      </c>
      <c r="M128" t="s">
        <v>306</v>
      </c>
      <c r="N128">
        <v>1</v>
      </c>
      <c r="O128">
        <v>15612.59696366465</v>
      </c>
      <c r="P128">
        <v>-0.20418959954450561</v>
      </c>
      <c r="Q128">
        <v>98.984980962511315</v>
      </c>
      <c r="R128">
        <v>244943.3314788616</v>
      </c>
      <c r="S128">
        <v>1</v>
      </c>
      <c r="T128">
        <v>30</v>
      </c>
      <c r="U128">
        <v>7.2863694504238907E-2</v>
      </c>
      <c r="V128">
        <v>31.536000000000001</v>
      </c>
    </row>
    <row r="129" spans="1:22" x14ac:dyDescent="0.25">
      <c r="A129" t="s">
        <v>93</v>
      </c>
      <c r="B129" t="s">
        <v>124</v>
      </c>
      <c r="C129" t="s">
        <v>187</v>
      </c>
      <c r="D129" t="s">
        <v>213</v>
      </c>
      <c r="E129" t="s">
        <v>113</v>
      </c>
      <c r="F129" t="s">
        <v>98</v>
      </c>
      <c r="G129" t="s">
        <v>104</v>
      </c>
      <c r="I129">
        <v>2020</v>
      </c>
      <c r="J129" t="s">
        <v>118</v>
      </c>
      <c r="K129" t="s">
        <v>304</v>
      </c>
      <c r="L129" t="s">
        <v>305</v>
      </c>
      <c r="M129" t="s">
        <v>307</v>
      </c>
      <c r="N129">
        <v>1</v>
      </c>
      <c r="O129">
        <v>23540.28075216963</v>
      </c>
      <c r="P129">
        <v>-0.22657050673752141</v>
      </c>
      <c r="Q129">
        <v>98.984980962511315</v>
      </c>
      <c r="R129">
        <v>332837.57666505448</v>
      </c>
      <c r="S129">
        <v>1</v>
      </c>
      <c r="T129">
        <v>30</v>
      </c>
      <c r="U129">
        <v>7.2863694504238907E-2</v>
      </c>
      <c r="V129">
        <v>31.536000000000001</v>
      </c>
    </row>
    <row r="130" spans="1:22" x14ac:dyDescent="0.25">
      <c r="A130" t="s">
        <v>93</v>
      </c>
      <c r="B130" t="s">
        <v>124</v>
      </c>
      <c r="C130" t="s">
        <v>187</v>
      </c>
      <c r="D130" t="s">
        <v>213</v>
      </c>
      <c r="E130" t="s">
        <v>113</v>
      </c>
      <c r="F130" t="s">
        <v>98</v>
      </c>
      <c r="G130" t="s">
        <v>107</v>
      </c>
      <c r="I130">
        <v>2020</v>
      </c>
      <c r="J130" t="s">
        <v>120</v>
      </c>
      <c r="K130" t="s">
        <v>304</v>
      </c>
      <c r="L130" t="s">
        <v>305</v>
      </c>
      <c r="M130" t="s">
        <v>308</v>
      </c>
      <c r="N130">
        <v>1</v>
      </c>
      <c r="O130">
        <v>19829.56015632757</v>
      </c>
      <c r="P130">
        <v>-0.21089908383512479</v>
      </c>
      <c r="Q130">
        <v>98.984980962511315</v>
      </c>
      <c r="R130">
        <v>301205.20827761572</v>
      </c>
      <c r="S130">
        <v>1</v>
      </c>
      <c r="T130">
        <v>30</v>
      </c>
      <c r="U130">
        <v>7.2863694504238907E-2</v>
      </c>
      <c r="V130">
        <v>31.536000000000001</v>
      </c>
    </row>
    <row r="131" spans="1:22" x14ac:dyDescent="0.25">
      <c r="A131" t="s">
        <v>93</v>
      </c>
      <c r="B131" t="s">
        <v>124</v>
      </c>
      <c r="C131" t="s">
        <v>187</v>
      </c>
      <c r="D131" t="s">
        <v>213</v>
      </c>
      <c r="E131" t="s">
        <v>113</v>
      </c>
      <c r="F131" t="s">
        <v>98</v>
      </c>
      <c r="G131" t="s">
        <v>110</v>
      </c>
      <c r="I131">
        <v>2020</v>
      </c>
      <c r="J131" t="s">
        <v>122</v>
      </c>
      <c r="K131" t="s">
        <v>304</v>
      </c>
      <c r="L131" t="s">
        <v>305</v>
      </c>
      <c r="M131" t="s">
        <v>309</v>
      </c>
      <c r="N131">
        <v>1</v>
      </c>
      <c r="O131">
        <v>14582.25683828563</v>
      </c>
      <c r="P131">
        <v>-0.1627443537673183</v>
      </c>
      <c r="Q131">
        <v>98.984980962511315</v>
      </c>
      <c r="R131">
        <v>287040.3178383499</v>
      </c>
      <c r="S131">
        <v>1</v>
      </c>
      <c r="T131">
        <v>30</v>
      </c>
      <c r="U131">
        <v>7.2863694504238907E-2</v>
      </c>
      <c r="V131">
        <v>31.536000000000001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X66"/>
  <sheetViews>
    <sheetView tabSelected="1" workbookViewId="0">
      <selection sqref="A1:XFD1048576"/>
    </sheetView>
  </sheetViews>
  <sheetFormatPr defaultRowHeight="15" x14ac:dyDescent="0.25"/>
  <cols>
    <col min="5" max="5" width="19.28515625" bestFit="1" customWidth="1"/>
  </cols>
  <sheetData>
    <row r="1" spans="1:24" x14ac:dyDescent="0.25">
      <c r="A1" t="s">
        <v>71</v>
      </c>
      <c r="B1" t="s">
        <v>72</v>
      </c>
      <c r="C1" t="s">
        <v>73</v>
      </c>
      <c r="D1" t="s">
        <v>74</v>
      </c>
      <c r="E1" t="s">
        <v>310</v>
      </c>
      <c r="F1" t="s">
        <v>311</v>
      </c>
      <c r="G1">
        <v>2019</v>
      </c>
      <c r="H1">
        <v>2020</v>
      </c>
      <c r="I1">
        <v>2025</v>
      </c>
      <c r="J1">
        <v>2030</v>
      </c>
      <c r="K1">
        <v>2035</v>
      </c>
      <c r="L1">
        <v>2040</v>
      </c>
      <c r="M1">
        <v>2045</v>
      </c>
      <c r="N1">
        <v>2050</v>
      </c>
      <c r="O1">
        <v>2055</v>
      </c>
      <c r="P1">
        <v>2060</v>
      </c>
      <c r="Q1">
        <v>2065</v>
      </c>
      <c r="R1">
        <v>2070</v>
      </c>
      <c r="S1">
        <v>2075</v>
      </c>
      <c r="T1">
        <v>2080</v>
      </c>
      <c r="U1">
        <v>2085</v>
      </c>
      <c r="V1">
        <v>2090</v>
      </c>
      <c r="W1">
        <v>2095</v>
      </c>
      <c r="X1">
        <v>2100</v>
      </c>
    </row>
    <row r="2" spans="1:24" x14ac:dyDescent="0.25">
      <c r="A2" t="s">
        <v>312</v>
      </c>
      <c r="B2" t="s">
        <v>313</v>
      </c>
      <c r="D2" t="s">
        <v>213</v>
      </c>
      <c r="E2" t="s">
        <v>314</v>
      </c>
      <c r="F2" t="s">
        <v>315</v>
      </c>
      <c r="G2">
        <v>11.97870118205155</v>
      </c>
      <c r="H2">
        <v>11.97870118205155</v>
      </c>
      <c r="I2">
        <v>11.97870118205155</v>
      </c>
      <c r="J2">
        <v>11.97870118205155</v>
      </c>
      <c r="K2">
        <v>11.97870118205155</v>
      </c>
      <c r="L2">
        <v>11.97870118205155</v>
      </c>
      <c r="M2">
        <v>11.97870118205155</v>
      </c>
      <c r="N2">
        <v>11.97870118205155</v>
      </c>
      <c r="O2">
        <v>11.97870118205155</v>
      </c>
      <c r="P2">
        <v>11.97870118205155</v>
      </c>
      <c r="Q2">
        <v>11.97870118205155</v>
      </c>
      <c r="R2">
        <v>11.97870118205155</v>
      </c>
      <c r="S2">
        <v>11.97870118205155</v>
      </c>
      <c r="T2">
        <v>11.97870118205155</v>
      </c>
      <c r="U2">
        <v>11.97870118205155</v>
      </c>
      <c r="V2">
        <v>11.97870118205155</v>
      </c>
      <c r="W2">
        <v>11.97870118205155</v>
      </c>
      <c r="X2">
        <v>11.97870118205155</v>
      </c>
    </row>
    <row r="3" spans="1:24" x14ac:dyDescent="0.25">
      <c r="A3" t="s">
        <v>312</v>
      </c>
      <c r="B3" t="s">
        <v>316</v>
      </c>
      <c r="D3" t="s">
        <v>213</v>
      </c>
      <c r="E3" t="s">
        <v>317</v>
      </c>
      <c r="F3" t="s">
        <v>315</v>
      </c>
      <c r="G3">
        <v>23.081056453704559</v>
      </c>
      <c r="H3">
        <v>23.081056453704559</v>
      </c>
      <c r="I3">
        <v>23.081056453704559</v>
      </c>
      <c r="J3">
        <v>23.081056453704559</v>
      </c>
      <c r="K3">
        <v>23.081056453704559</v>
      </c>
      <c r="L3">
        <v>23.081056453704559</v>
      </c>
      <c r="M3">
        <v>23.081056453704559</v>
      </c>
      <c r="N3">
        <v>23.081056453704559</v>
      </c>
      <c r="O3">
        <v>23.081056453704559</v>
      </c>
      <c r="P3">
        <v>23.081056453704559</v>
      </c>
      <c r="Q3">
        <v>23.081056453704559</v>
      </c>
      <c r="R3">
        <v>23.081056453704559</v>
      </c>
      <c r="S3">
        <v>23.081056453704559</v>
      </c>
      <c r="T3">
        <v>23.081056453704559</v>
      </c>
      <c r="U3">
        <v>23.081056453704559</v>
      </c>
      <c r="V3">
        <v>23.081056453704559</v>
      </c>
      <c r="W3">
        <v>23.081056453704559</v>
      </c>
      <c r="X3">
        <v>23.081056453704559</v>
      </c>
    </row>
    <row r="4" spans="1:24" x14ac:dyDescent="0.25">
      <c r="A4" t="s">
        <v>312</v>
      </c>
      <c r="B4" t="s">
        <v>318</v>
      </c>
      <c r="D4" t="s">
        <v>213</v>
      </c>
      <c r="E4" t="s">
        <v>319</v>
      </c>
      <c r="F4" t="s">
        <v>315</v>
      </c>
      <c r="G4">
        <v>73.164818964644439</v>
      </c>
      <c r="H4">
        <v>73.164818964644439</v>
      </c>
      <c r="I4">
        <v>73.164818964644439</v>
      </c>
      <c r="J4">
        <v>73.164818964644439</v>
      </c>
      <c r="K4">
        <v>73.164818964644439</v>
      </c>
      <c r="L4">
        <v>73.164818964644439</v>
      </c>
      <c r="M4">
        <v>73.164818964644439</v>
      </c>
      <c r="N4">
        <v>73.164818964644439</v>
      </c>
      <c r="O4">
        <v>73.164818964644439</v>
      </c>
      <c r="P4">
        <v>73.164818964644439</v>
      </c>
      <c r="Q4">
        <v>73.164818964644439</v>
      </c>
      <c r="R4">
        <v>73.164818964644439</v>
      </c>
      <c r="S4">
        <v>73.164818964644439</v>
      </c>
      <c r="T4">
        <v>73.164818964644439</v>
      </c>
      <c r="U4">
        <v>73.164818964644439</v>
      </c>
      <c r="V4">
        <v>73.164818964644439</v>
      </c>
      <c r="W4">
        <v>73.164818964644439</v>
      </c>
      <c r="X4">
        <v>73.164818964644439</v>
      </c>
    </row>
    <row r="5" spans="1:24" x14ac:dyDescent="0.25">
      <c r="A5" t="s">
        <v>312</v>
      </c>
      <c r="B5" t="s">
        <v>320</v>
      </c>
      <c r="D5" t="s">
        <v>213</v>
      </c>
      <c r="E5" t="s">
        <v>321</v>
      </c>
      <c r="F5" t="s">
        <v>315</v>
      </c>
      <c r="G5">
        <v>44.382259283666471</v>
      </c>
      <c r="H5">
        <v>44.382259283666471</v>
      </c>
      <c r="I5">
        <v>44.382259283666471</v>
      </c>
      <c r="J5">
        <v>44.382259283666471</v>
      </c>
      <c r="K5">
        <v>44.382259283666471</v>
      </c>
      <c r="L5">
        <v>44.382259283666471</v>
      </c>
      <c r="M5">
        <v>44.382259283666471</v>
      </c>
      <c r="N5">
        <v>44.382259283666471</v>
      </c>
      <c r="O5">
        <v>44.382259283666471</v>
      </c>
      <c r="P5">
        <v>44.382259283666471</v>
      </c>
      <c r="Q5">
        <v>44.382259283666471</v>
      </c>
      <c r="R5">
        <v>44.382259283666471</v>
      </c>
      <c r="S5">
        <v>44.382259283666471</v>
      </c>
      <c r="T5">
        <v>44.382259283666471</v>
      </c>
      <c r="U5">
        <v>44.382259283666471</v>
      </c>
      <c r="V5">
        <v>44.382259283666471</v>
      </c>
      <c r="W5">
        <v>44.382259283666471</v>
      </c>
      <c r="X5">
        <v>44.382259283666471</v>
      </c>
    </row>
    <row r="6" spans="1:24" x14ac:dyDescent="0.25">
      <c r="A6" t="s">
        <v>312</v>
      </c>
      <c r="B6" t="s">
        <v>322</v>
      </c>
      <c r="D6" t="s">
        <v>213</v>
      </c>
      <c r="E6" t="s">
        <v>323</v>
      </c>
      <c r="F6" t="s">
        <v>315</v>
      </c>
      <c r="G6">
        <v>48.565496275889338</v>
      </c>
      <c r="H6">
        <v>48.565496275889338</v>
      </c>
      <c r="I6">
        <v>48.565496275889338</v>
      </c>
      <c r="J6">
        <v>48.565496275889338</v>
      </c>
      <c r="K6">
        <v>48.565496275889338</v>
      </c>
      <c r="L6">
        <v>48.565496275889338</v>
      </c>
      <c r="M6">
        <v>48.565496275889338</v>
      </c>
      <c r="N6">
        <v>48.565496275889338</v>
      </c>
      <c r="O6">
        <v>48.565496275889338</v>
      </c>
      <c r="P6">
        <v>48.565496275889338</v>
      </c>
      <c r="Q6">
        <v>48.565496275889338</v>
      </c>
      <c r="R6">
        <v>48.565496275889338</v>
      </c>
      <c r="S6">
        <v>48.565496275889338</v>
      </c>
      <c r="T6">
        <v>48.565496275889338</v>
      </c>
      <c r="U6">
        <v>48.565496275889338</v>
      </c>
      <c r="V6">
        <v>48.565496275889338</v>
      </c>
      <c r="W6">
        <v>48.565496275889338</v>
      </c>
      <c r="X6">
        <v>48.565496275889338</v>
      </c>
    </row>
    <row r="7" spans="1:24" x14ac:dyDescent="0.25">
      <c r="A7" t="s">
        <v>312</v>
      </c>
      <c r="B7" t="s">
        <v>324</v>
      </c>
      <c r="D7" t="s">
        <v>213</v>
      </c>
      <c r="E7" t="s">
        <v>325</v>
      </c>
      <c r="F7" t="s">
        <v>315</v>
      </c>
      <c r="G7">
        <v>32.733586523867501</v>
      </c>
      <c r="H7">
        <v>32.733586523867501</v>
      </c>
      <c r="I7">
        <v>32.733586523867501</v>
      </c>
      <c r="J7">
        <v>32.733586523867501</v>
      </c>
      <c r="K7">
        <v>32.733586523867501</v>
      </c>
      <c r="L7">
        <v>32.733586523867501</v>
      </c>
      <c r="M7">
        <v>32.733586523867501</v>
      </c>
      <c r="N7">
        <v>32.733586523867501</v>
      </c>
      <c r="O7">
        <v>32.733586523867501</v>
      </c>
      <c r="P7">
        <v>32.733586523867501</v>
      </c>
      <c r="Q7">
        <v>32.733586523867501</v>
      </c>
      <c r="R7">
        <v>32.733586523867501</v>
      </c>
      <c r="S7">
        <v>32.733586523867501</v>
      </c>
      <c r="T7">
        <v>32.733586523867501</v>
      </c>
      <c r="U7">
        <v>32.733586523867501</v>
      </c>
      <c r="V7">
        <v>32.733586523867501</v>
      </c>
      <c r="W7">
        <v>32.733586523867501</v>
      </c>
      <c r="X7">
        <v>32.733586523867501</v>
      </c>
    </row>
    <row r="8" spans="1:24" x14ac:dyDescent="0.25">
      <c r="A8" t="s">
        <v>312</v>
      </c>
      <c r="B8" t="s">
        <v>326</v>
      </c>
      <c r="D8" t="s">
        <v>213</v>
      </c>
      <c r="E8" t="s">
        <v>327</v>
      </c>
      <c r="F8" t="s">
        <v>315</v>
      </c>
      <c r="G8">
        <v>16.841332845916298</v>
      </c>
      <c r="H8">
        <v>16.841332845916298</v>
      </c>
      <c r="I8">
        <v>16.841332845916298</v>
      </c>
      <c r="J8">
        <v>16.841332845916298</v>
      </c>
      <c r="K8">
        <v>16.841332845916298</v>
      </c>
      <c r="L8">
        <v>16.841332845916298</v>
      </c>
      <c r="M8">
        <v>16.841332845916298</v>
      </c>
      <c r="N8">
        <v>16.841332845916298</v>
      </c>
      <c r="O8">
        <v>16.841332845916298</v>
      </c>
      <c r="P8">
        <v>16.841332845916298</v>
      </c>
      <c r="Q8">
        <v>16.841332845916298</v>
      </c>
      <c r="R8">
        <v>16.841332845916298</v>
      </c>
      <c r="S8">
        <v>16.841332845916298</v>
      </c>
      <c r="T8">
        <v>16.841332845916298</v>
      </c>
      <c r="U8">
        <v>16.841332845916298</v>
      </c>
      <c r="V8">
        <v>16.841332845916298</v>
      </c>
      <c r="W8">
        <v>16.841332845916298</v>
      </c>
      <c r="X8">
        <v>16.841332845916298</v>
      </c>
    </row>
    <row r="9" spans="1:24" x14ac:dyDescent="0.25">
      <c r="A9" t="s">
        <v>312</v>
      </c>
      <c r="B9" t="s">
        <v>328</v>
      </c>
      <c r="D9" t="s">
        <v>213</v>
      </c>
      <c r="E9" t="s">
        <v>329</v>
      </c>
      <c r="F9" t="s">
        <v>315</v>
      </c>
      <c r="G9">
        <v>8.7602804457077657</v>
      </c>
      <c r="H9">
        <v>8.7602804457077657</v>
      </c>
      <c r="I9">
        <v>8.7602804457077657</v>
      </c>
      <c r="J9">
        <v>8.7602804457077657</v>
      </c>
      <c r="K9">
        <v>8.7602804457077657</v>
      </c>
      <c r="L9">
        <v>8.7602804457077657</v>
      </c>
      <c r="M9">
        <v>8.7602804457077657</v>
      </c>
      <c r="N9">
        <v>8.7602804457077657</v>
      </c>
      <c r="O9">
        <v>8.7602804457077657</v>
      </c>
      <c r="P9">
        <v>8.7602804457077657</v>
      </c>
      <c r="Q9">
        <v>8.7602804457077657</v>
      </c>
      <c r="R9">
        <v>8.7602804457077657</v>
      </c>
      <c r="S9">
        <v>8.7602804457077657</v>
      </c>
      <c r="T9">
        <v>8.7602804457077657</v>
      </c>
      <c r="U9">
        <v>8.7602804457077657</v>
      </c>
      <c r="V9">
        <v>8.7602804457077657</v>
      </c>
      <c r="W9">
        <v>8.7602804457077657</v>
      </c>
      <c r="X9">
        <v>8.7602804457077657</v>
      </c>
    </row>
    <row r="10" spans="1:24" x14ac:dyDescent="0.25">
      <c r="A10" t="s">
        <v>312</v>
      </c>
      <c r="B10" t="s">
        <v>313</v>
      </c>
      <c r="D10" t="s">
        <v>96</v>
      </c>
      <c r="E10" t="s">
        <v>330</v>
      </c>
      <c r="F10" t="s">
        <v>315</v>
      </c>
      <c r="G10">
        <v>0</v>
      </c>
      <c r="H10">
        <v>0.239574023641031</v>
      </c>
      <c r="I10">
        <v>1.4374441418461861</v>
      </c>
      <c r="J10">
        <v>2.6353142600513411</v>
      </c>
      <c r="K10">
        <v>3.833184378256496</v>
      </c>
      <c r="L10">
        <v>5.0310544964616506</v>
      </c>
      <c r="M10">
        <v>6.2289246146668056</v>
      </c>
      <c r="N10">
        <v>7.4267947328719606</v>
      </c>
      <c r="O10">
        <v>8.6246648510771173</v>
      </c>
      <c r="P10">
        <v>9.8225349692822732</v>
      </c>
      <c r="Q10">
        <v>11.020405087487431</v>
      </c>
      <c r="R10">
        <v>12.21827520569258</v>
      </c>
      <c r="S10">
        <v>13.416145323897741</v>
      </c>
      <c r="T10">
        <v>14.6140154421029</v>
      </c>
      <c r="U10">
        <v>15.811885560308051</v>
      </c>
      <c r="V10">
        <v>17.009755678513208</v>
      </c>
      <c r="W10">
        <v>18.207625796718361</v>
      </c>
      <c r="X10">
        <v>19.40549591492352</v>
      </c>
    </row>
    <row r="11" spans="1:24" x14ac:dyDescent="0.25">
      <c r="A11" t="s">
        <v>312</v>
      </c>
      <c r="B11" t="s">
        <v>316</v>
      </c>
      <c r="D11" t="s">
        <v>96</v>
      </c>
      <c r="E11" t="s">
        <v>331</v>
      </c>
      <c r="F11" t="s">
        <v>315</v>
      </c>
      <c r="G11">
        <v>0</v>
      </c>
      <c r="H11">
        <v>0.46162112907409131</v>
      </c>
      <c r="I11">
        <v>2.7697267744445471</v>
      </c>
      <c r="J11">
        <v>5.0778324198150031</v>
      </c>
      <c r="K11">
        <v>7.3859380651854591</v>
      </c>
      <c r="L11">
        <v>9.6940437105559152</v>
      </c>
      <c r="M11">
        <v>12.00214935592637</v>
      </c>
      <c r="N11">
        <v>14.310255001296831</v>
      </c>
      <c r="O11">
        <v>16.618360646667281</v>
      </c>
      <c r="P11">
        <v>18.926466292037741</v>
      </c>
      <c r="Q11">
        <v>21.234571937408202</v>
      </c>
      <c r="R11">
        <v>23.542677582778651</v>
      </c>
      <c r="S11">
        <v>25.850783228149108</v>
      </c>
      <c r="T11">
        <v>28.158888873519569</v>
      </c>
      <c r="U11">
        <v>30.466994518890029</v>
      </c>
      <c r="V11">
        <v>32.775100164260479</v>
      </c>
      <c r="W11">
        <v>35.083205809630932</v>
      </c>
      <c r="X11">
        <v>37.391311455001393</v>
      </c>
    </row>
    <row r="12" spans="1:24" x14ac:dyDescent="0.25">
      <c r="A12" t="s">
        <v>312</v>
      </c>
      <c r="B12" t="s">
        <v>318</v>
      </c>
      <c r="D12" t="s">
        <v>96</v>
      </c>
      <c r="E12" t="s">
        <v>332</v>
      </c>
      <c r="F12" t="s">
        <v>315</v>
      </c>
      <c r="G12">
        <v>0</v>
      </c>
      <c r="H12">
        <v>1.463296379292889</v>
      </c>
      <c r="I12">
        <v>8.7797782757573319</v>
      </c>
      <c r="J12">
        <v>16.096260172221779</v>
      </c>
      <c r="K12">
        <v>23.412742068686221</v>
      </c>
      <c r="L12">
        <v>30.72922396515067</v>
      </c>
      <c r="M12">
        <v>38.045705861615112</v>
      </c>
      <c r="N12">
        <v>45.362187758079557</v>
      </c>
      <c r="O12">
        <v>52.678669654544002</v>
      </c>
      <c r="P12">
        <v>59.995151551008448</v>
      </c>
      <c r="Q12">
        <v>67.311633447472886</v>
      </c>
      <c r="R12">
        <v>74.628115343937324</v>
      </c>
      <c r="S12">
        <v>81.944597240401762</v>
      </c>
      <c r="T12">
        <v>89.261079136866201</v>
      </c>
      <c r="U12">
        <v>96.577561033330639</v>
      </c>
      <c r="V12">
        <v>103.89404292979511</v>
      </c>
      <c r="W12">
        <v>111.2105248262595</v>
      </c>
      <c r="X12">
        <v>118.527006722724</v>
      </c>
    </row>
    <row r="13" spans="1:24" x14ac:dyDescent="0.25">
      <c r="A13" t="s">
        <v>312</v>
      </c>
      <c r="B13" t="s">
        <v>320</v>
      </c>
      <c r="D13" t="s">
        <v>96</v>
      </c>
      <c r="E13" t="s">
        <v>333</v>
      </c>
      <c r="F13" t="s">
        <v>315</v>
      </c>
      <c r="G13">
        <v>0</v>
      </c>
      <c r="H13">
        <v>0.8876451856733294</v>
      </c>
      <c r="I13">
        <v>5.3258711140399759</v>
      </c>
      <c r="J13">
        <v>9.7640970424066218</v>
      </c>
      <c r="K13">
        <v>14.20232297077327</v>
      </c>
      <c r="L13">
        <v>18.640548899139919</v>
      </c>
      <c r="M13">
        <v>23.07877482750656</v>
      </c>
      <c r="N13">
        <v>27.517000755873209</v>
      </c>
      <c r="O13">
        <v>31.955226684239861</v>
      </c>
      <c r="P13">
        <v>36.393452612606509</v>
      </c>
      <c r="Q13">
        <v>40.831678540973158</v>
      </c>
      <c r="R13">
        <v>45.269904469339806</v>
      </c>
      <c r="S13">
        <v>49.708130397706462</v>
      </c>
      <c r="T13">
        <v>54.146356326073096</v>
      </c>
      <c r="U13">
        <v>58.584582254439752</v>
      </c>
      <c r="V13">
        <v>63.022808182806401</v>
      </c>
      <c r="W13">
        <v>67.461034111173049</v>
      </c>
      <c r="X13">
        <v>71.899260039539698</v>
      </c>
    </row>
    <row r="14" spans="1:24" x14ac:dyDescent="0.25">
      <c r="A14" t="s">
        <v>312</v>
      </c>
      <c r="B14" t="s">
        <v>322</v>
      </c>
      <c r="D14" t="s">
        <v>96</v>
      </c>
      <c r="E14" t="s">
        <v>334</v>
      </c>
      <c r="F14" t="s">
        <v>315</v>
      </c>
      <c r="G14">
        <v>0</v>
      </c>
      <c r="H14">
        <v>0.97130992551778672</v>
      </c>
      <c r="I14">
        <v>5.8278595531067214</v>
      </c>
      <c r="J14">
        <v>10.684409180695649</v>
      </c>
      <c r="K14">
        <v>15.540958808284589</v>
      </c>
      <c r="L14">
        <v>20.397508435873519</v>
      </c>
      <c r="M14">
        <v>25.254058063462459</v>
      </c>
      <c r="N14">
        <v>30.110607691051388</v>
      </c>
      <c r="O14">
        <v>34.967157318640332</v>
      </c>
      <c r="P14">
        <v>39.823706946229258</v>
      </c>
      <c r="Q14">
        <v>44.680256573818191</v>
      </c>
      <c r="R14">
        <v>49.536806201407117</v>
      </c>
      <c r="S14">
        <v>54.393355828996057</v>
      </c>
      <c r="T14">
        <v>59.24990545658499</v>
      </c>
      <c r="U14">
        <v>64.10645508417393</v>
      </c>
      <c r="V14">
        <v>68.963004711762864</v>
      </c>
      <c r="W14">
        <v>73.819554339351797</v>
      </c>
      <c r="X14">
        <v>78.67610396694073</v>
      </c>
    </row>
    <row r="15" spans="1:24" x14ac:dyDescent="0.25">
      <c r="A15" t="s">
        <v>312</v>
      </c>
      <c r="B15" t="s">
        <v>324</v>
      </c>
      <c r="D15" t="s">
        <v>96</v>
      </c>
      <c r="E15" t="s">
        <v>335</v>
      </c>
      <c r="F15" t="s">
        <v>315</v>
      </c>
      <c r="G15">
        <v>0</v>
      </c>
      <c r="H15">
        <v>0.65467173047735006</v>
      </c>
      <c r="I15">
        <v>3.928030382864101</v>
      </c>
      <c r="J15">
        <v>7.2013890352508509</v>
      </c>
      <c r="K15">
        <v>10.474747687637599</v>
      </c>
      <c r="L15">
        <v>13.74810634002435</v>
      </c>
      <c r="M15">
        <v>17.021464992411101</v>
      </c>
      <c r="N15">
        <v>20.294823644797852</v>
      </c>
      <c r="O15">
        <v>23.568182297184599</v>
      </c>
      <c r="P15">
        <v>26.84154094957135</v>
      </c>
      <c r="Q15">
        <v>30.114899601958101</v>
      </c>
      <c r="R15">
        <v>33.388258254344848</v>
      </c>
      <c r="S15">
        <v>36.661616906731602</v>
      </c>
      <c r="T15">
        <v>39.93497555911835</v>
      </c>
      <c r="U15">
        <v>43.208334211505097</v>
      </c>
      <c r="V15">
        <v>46.481692863891837</v>
      </c>
      <c r="W15">
        <v>49.755051516278591</v>
      </c>
      <c r="X15">
        <v>53.028410168665339</v>
      </c>
    </row>
    <row r="16" spans="1:24" x14ac:dyDescent="0.25">
      <c r="A16" t="s">
        <v>312</v>
      </c>
      <c r="B16" t="s">
        <v>326</v>
      </c>
      <c r="D16" t="s">
        <v>96</v>
      </c>
      <c r="E16" t="s">
        <v>336</v>
      </c>
      <c r="F16" t="s">
        <v>315</v>
      </c>
      <c r="G16">
        <v>0</v>
      </c>
      <c r="H16">
        <v>0.33682665691832597</v>
      </c>
      <c r="I16">
        <v>2.0209599415099562</v>
      </c>
      <c r="J16">
        <v>3.7050932261015861</v>
      </c>
      <c r="K16">
        <v>5.3892265106932156</v>
      </c>
      <c r="L16">
        <v>7.0733597952848468</v>
      </c>
      <c r="M16">
        <v>8.7574930798764772</v>
      </c>
      <c r="N16">
        <v>10.44162636446811</v>
      </c>
      <c r="O16">
        <v>12.12575964905974</v>
      </c>
      <c r="P16">
        <v>13.809892933651369</v>
      </c>
      <c r="Q16">
        <v>15.494026218243</v>
      </c>
      <c r="R16">
        <v>17.178159502834621</v>
      </c>
      <c r="S16">
        <v>18.862292787426259</v>
      </c>
      <c r="T16">
        <v>20.546426072017891</v>
      </c>
      <c r="U16">
        <v>22.230559356609518</v>
      </c>
      <c r="V16">
        <v>23.91469264120115</v>
      </c>
      <c r="W16">
        <v>25.598825925792781</v>
      </c>
      <c r="X16">
        <v>27.282959210384409</v>
      </c>
    </row>
    <row r="17" spans="1:24" x14ac:dyDescent="0.25">
      <c r="A17" t="s">
        <v>312</v>
      </c>
      <c r="B17" t="s">
        <v>328</v>
      </c>
      <c r="D17" t="s">
        <v>96</v>
      </c>
      <c r="E17" t="s">
        <v>337</v>
      </c>
      <c r="F17" t="s">
        <v>315</v>
      </c>
      <c r="G17">
        <v>0</v>
      </c>
      <c r="H17">
        <v>0.17520560891415529</v>
      </c>
      <c r="I17">
        <v>1.051233653484932</v>
      </c>
      <c r="J17">
        <v>1.9272616980557089</v>
      </c>
      <c r="K17">
        <v>2.8032897426264851</v>
      </c>
      <c r="L17">
        <v>3.6793177871972622</v>
      </c>
      <c r="M17">
        <v>4.5553458317680384</v>
      </c>
      <c r="N17">
        <v>5.4313738763388164</v>
      </c>
      <c r="O17">
        <v>6.3074019209095926</v>
      </c>
      <c r="P17">
        <v>7.1834299654803697</v>
      </c>
      <c r="Q17">
        <v>8.0594580100511468</v>
      </c>
      <c r="R17">
        <v>8.9354860546219239</v>
      </c>
      <c r="S17">
        <v>9.811514099192701</v>
      </c>
      <c r="T17">
        <v>10.68754214376348</v>
      </c>
      <c r="U17">
        <v>11.563570188334261</v>
      </c>
      <c r="V17">
        <v>12.439598232905031</v>
      </c>
      <c r="W17">
        <v>13.315626277475809</v>
      </c>
      <c r="X17">
        <v>14.19165432204659</v>
      </c>
    </row>
    <row r="18" spans="1:24" x14ac:dyDescent="0.25">
      <c r="A18" t="s">
        <v>93</v>
      </c>
      <c r="B18" t="s">
        <v>94</v>
      </c>
      <c r="C18" t="s">
        <v>95</v>
      </c>
      <c r="D18" t="s">
        <v>213</v>
      </c>
      <c r="E18" t="s">
        <v>338</v>
      </c>
      <c r="F18" t="s">
        <v>315</v>
      </c>
      <c r="G18">
        <v>51.80787747749153</v>
      </c>
      <c r="H18">
        <v>51.80787747749153</v>
      </c>
      <c r="I18">
        <v>51.80787747749153</v>
      </c>
      <c r="J18">
        <v>51.80787747749153</v>
      </c>
      <c r="K18">
        <v>51.80787747749153</v>
      </c>
      <c r="L18">
        <v>51.80787747749153</v>
      </c>
      <c r="M18">
        <v>51.80787747749153</v>
      </c>
      <c r="N18">
        <v>51.80787747749153</v>
      </c>
      <c r="O18">
        <v>51.80787747749153</v>
      </c>
      <c r="P18">
        <v>51.80787747749153</v>
      </c>
      <c r="Q18">
        <v>51.80787747749153</v>
      </c>
      <c r="R18">
        <v>51.80787747749153</v>
      </c>
      <c r="S18">
        <v>51.80787747749153</v>
      </c>
      <c r="T18">
        <v>51.80787747749153</v>
      </c>
      <c r="U18">
        <v>51.80787747749153</v>
      </c>
      <c r="V18">
        <v>51.80787747749153</v>
      </c>
      <c r="W18">
        <v>51.80787747749153</v>
      </c>
      <c r="X18">
        <v>51.80787747749153</v>
      </c>
    </row>
    <row r="19" spans="1:24" x14ac:dyDescent="0.25">
      <c r="A19" t="s">
        <v>93</v>
      </c>
      <c r="B19" t="s">
        <v>124</v>
      </c>
      <c r="C19" t="s">
        <v>95</v>
      </c>
      <c r="D19" t="s">
        <v>213</v>
      </c>
      <c r="E19" t="s">
        <v>339</v>
      </c>
      <c r="F19" t="s">
        <v>315</v>
      </c>
      <c r="G19">
        <v>14.956798014988321</v>
      </c>
      <c r="H19">
        <v>14.956798014988321</v>
      </c>
      <c r="I19">
        <v>14.956798014988321</v>
      </c>
      <c r="J19">
        <v>14.956798014988321</v>
      </c>
      <c r="K19">
        <v>14.956798014988321</v>
      </c>
      <c r="L19">
        <v>14.956798014988321</v>
      </c>
      <c r="M19">
        <v>14.956798014988321</v>
      </c>
      <c r="N19">
        <v>14.956798014988321</v>
      </c>
      <c r="O19">
        <v>14.956798014988321</v>
      </c>
      <c r="P19">
        <v>14.956798014988321</v>
      </c>
      <c r="Q19">
        <v>14.956798014988321</v>
      </c>
      <c r="R19">
        <v>14.956798014988321</v>
      </c>
      <c r="S19">
        <v>14.956798014988321</v>
      </c>
      <c r="T19">
        <v>14.956798014988321</v>
      </c>
      <c r="U19">
        <v>14.956798014988321</v>
      </c>
      <c r="V19">
        <v>14.956798014988321</v>
      </c>
      <c r="W19">
        <v>14.956798014988321</v>
      </c>
      <c r="X19">
        <v>14.956798014988321</v>
      </c>
    </row>
    <row r="20" spans="1:24" x14ac:dyDescent="0.25">
      <c r="A20" t="s">
        <v>93</v>
      </c>
      <c r="B20" t="s">
        <v>94</v>
      </c>
      <c r="C20" t="s">
        <v>340</v>
      </c>
      <c r="D20" t="s">
        <v>213</v>
      </c>
      <c r="E20" t="s">
        <v>341</v>
      </c>
      <c r="F20" t="s">
        <v>315</v>
      </c>
      <c r="G20">
        <v>57.121976335841403</v>
      </c>
      <c r="H20">
        <v>57.121976335841403</v>
      </c>
      <c r="I20">
        <v>57.121976335841403</v>
      </c>
      <c r="J20">
        <v>57.121976335841403</v>
      </c>
      <c r="K20">
        <v>57.121976335841403</v>
      </c>
      <c r="L20">
        <v>57.121976335841403</v>
      </c>
      <c r="M20">
        <v>57.121976335841403</v>
      </c>
      <c r="N20">
        <v>57.121976335841403</v>
      </c>
      <c r="O20">
        <v>57.121976335841403</v>
      </c>
      <c r="P20">
        <v>57.121976335841403</v>
      </c>
      <c r="Q20">
        <v>57.121976335841403</v>
      </c>
      <c r="R20">
        <v>57.121976335841403</v>
      </c>
      <c r="S20">
        <v>57.121976335841403</v>
      </c>
      <c r="T20">
        <v>57.121976335841403</v>
      </c>
      <c r="U20">
        <v>57.121976335841403</v>
      </c>
      <c r="V20">
        <v>57.121976335841403</v>
      </c>
      <c r="W20">
        <v>57.121976335841403</v>
      </c>
      <c r="X20">
        <v>57.121976335841403</v>
      </c>
    </row>
    <row r="21" spans="1:24" x14ac:dyDescent="0.25">
      <c r="A21" t="s">
        <v>93</v>
      </c>
      <c r="B21" t="s">
        <v>124</v>
      </c>
      <c r="C21" t="s">
        <v>340</v>
      </c>
      <c r="D21" t="s">
        <v>213</v>
      </c>
      <c r="E21" t="s">
        <v>342</v>
      </c>
      <c r="F21" t="s">
        <v>315</v>
      </c>
      <c r="G21">
        <v>38.299258577539533</v>
      </c>
      <c r="H21">
        <v>38.299258577539533</v>
      </c>
      <c r="I21">
        <v>38.299258577539533</v>
      </c>
      <c r="J21">
        <v>38.299258577539533</v>
      </c>
      <c r="K21">
        <v>38.299258577539533</v>
      </c>
      <c r="L21">
        <v>38.299258577539533</v>
      </c>
      <c r="M21">
        <v>38.299258577539533</v>
      </c>
      <c r="N21">
        <v>38.299258577539533</v>
      </c>
      <c r="O21">
        <v>38.299258577539533</v>
      </c>
      <c r="P21">
        <v>38.299258577539533</v>
      </c>
      <c r="Q21">
        <v>38.299258577539533</v>
      </c>
      <c r="R21">
        <v>38.299258577539533</v>
      </c>
      <c r="S21">
        <v>38.299258577539533</v>
      </c>
      <c r="T21">
        <v>38.299258577539533</v>
      </c>
      <c r="U21">
        <v>38.299258577539533</v>
      </c>
      <c r="V21">
        <v>38.299258577539533</v>
      </c>
      <c r="W21">
        <v>38.299258577539533</v>
      </c>
      <c r="X21">
        <v>38.299258577539533</v>
      </c>
    </row>
    <row r="22" spans="1:24" x14ac:dyDescent="0.25">
      <c r="A22" t="s">
        <v>93</v>
      </c>
      <c r="B22" t="s">
        <v>94</v>
      </c>
      <c r="C22" t="s">
        <v>343</v>
      </c>
      <c r="D22" t="s">
        <v>213</v>
      </c>
      <c r="E22" t="s">
        <v>344</v>
      </c>
      <c r="F22" t="s">
        <v>315</v>
      </c>
      <c r="G22">
        <v>15.495887810194001</v>
      </c>
      <c r="H22">
        <v>15.495887810194001</v>
      </c>
      <c r="I22">
        <v>15.495887810194001</v>
      </c>
      <c r="J22">
        <v>15.495887810194001</v>
      </c>
      <c r="K22">
        <v>15.495887810194001</v>
      </c>
      <c r="L22">
        <v>15.495887810194001</v>
      </c>
      <c r="M22">
        <v>15.495887810194001</v>
      </c>
      <c r="N22">
        <v>15.495887810194001</v>
      </c>
      <c r="O22">
        <v>15.495887810194001</v>
      </c>
      <c r="P22">
        <v>15.495887810194001</v>
      </c>
      <c r="Q22">
        <v>15.495887810194001</v>
      </c>
      <c r="R22">
        <v>15.495887810194001</v>
      </c>
      <c r="S22">
        <v>15.495887810194001</v>
      </c>
      <c r="T22">
        <v>15.495887810194001</v>
      </c>
      <c r="U22">
        <v>15.495887810194001</v>
      </c>
      <c r="V22">
        <v>15.495887810194001</v>
      </c>
      <c r="W22">
        <v>15.495887810194001</v>
      </c>
      <c r="X22">
        <v>15.495887810194001</v>
      </c>
    </row>
    <row r="23" spans="1:24" x14ac:dyDescent="0.25">
      <c r="A23" t="s">
        <v>93</v>
      </c>
      <c r="B23" t="s">
        <v>124</v>
      </c>
      <c r="C23" t="s">
        <v>343</v>
      </c>
      <c r="D23" t="s">
        <v>213</v>
      </c>
      <c r="E23" t="s">
        <v>345</v>
      </c>
      <c r="F23" t="s">
        <v>315</v>
      </c>
      <c r="G23">
        <v>19.187214429670199</v>
      </c>
      <c r="H23">
        <v>19.187214429670199</v>
      </c>
      <c r="I23">
        <v>19.187214429670199</v>
      </c>
      <c r="J23">
        <v>19.187214429670199</v>
      </c>
      <c r="K23">
        <v>19.187214429670199</v>
      </c>
      <c r="L23">
        <v>19.187214429670199</v>
      </c>
      <c r="M23">
        <v>19.187214429670199</v>
      </c>
      <c r="N23">
        <v>19.187214429670199</v>
      </c>
      <c r="O23">
        <v>19.187214429670199</v>
      </c>
      <c r="P23">
        <v>19.187214429670199</v>
      </c>
      <c r="Q23">
        <v>19.187214429670199</v>
      </c>
      <c r="R23">
        <v>19.187214429670199</v>
      </c>
      <c r="S23">
        <v>19.187214429670199</v>
      </c>
      <c r="T23">
        <v>19.187214429670199</v>
      </c>
      <c r="U23">
        <v>19.187214429670199</v>
      </c>
      <c r="V23">
        <v>19.187214429670199</v>
      </c>
      <c r="W23">
        <v>19.187214429670199</v>
      </c>
      <c r="X23">
        <v>19.187214429670199</v>
      </c>
    </row>
    <row r="24" spans="1:24" x14ac:dyDescent="0.25">
      <c r="A24" t="s">
        <v>93</v>
      </c>
      <c r="B24" t="s">
        <v>94</v>
      </c>
      <c r="C24" t="s">
        <v>187</v>
      </c>
      <c r="D24" t="s">
        <v>213</v>
      </c>
      <c r="E24" t="s">
        <v>346</v>
      </c>
      <c r="F24" t="s">
        <v>315</v>
      </c>
      <c r="G24">
        <v>66.398717380854961</v>
      </c>
      <c r="H24">
        <v>66.398717380854961</v>
      </c>
      <c r="I24">
        <v>66.398717380854961</v>
      </c>
      <c r="J24">
        <v>66.398717380854961</v>
      </c>
      <c r="K24">
        <v>66.398717380854961</v>
      </c>
      <c r="L24">
        <v>66.398717380854961</v>
      </c>
      <c r="M24">
        <v>66.398717380854961</v>
      </c>
      <c r="N24">
        <v>66.398717380854961</v>
      </c>
      <c r="O24">
        <v>66.398717380854961</v>
      </c>
      <c r="P24">
        <v>66.398717380854961</v>
      </c>
      <c r="Q24">
        <v>66.398717380854961</v>
      </c>
      <c r="R24">
        <v>66.398717380854961</v>
      </c>
      <c r="S24">
        <v>66.398717380854961</v>
      </c>
      <c r="T24">
        <v>66.398717380854961</v>
      </c>
      <c r="U24">
        <v>66.398717380854961</v>
      </c>
      <c r="V24">
        <v>66.398717380854961</v>
      </c>
      <c r="W24">
        <v>66.398717380854961</v>
      </c>
      <c r="X24">
        <v>66.398717380854961</v>
      </c>
    </row>
    <row r="25" spans="1:24" x14ac:dyDescent="0.25">
      <c r="A25" t="s">
        <v>93</v>
      </c>
      <c r="B25" t="s">
        <v>124</v>
      </c>
      <c r="C25" t="s">
        <v>187</v>
      </c>
      <c r="D25" t="s">
        <v>213</v>
      </c>
      <c r="E25" t="s">
        <v>347</v>
      </c>
      <c r="F25" t="s">
        <v>315</v>
      </c>
      <c r="G25">
        <v>96.552050846441404</v>
      </c>
      <c r="H25">
        <v>96.552050846441404</v>
      </c>
      <c r="I25">
        <v>96.552050846441404</v>
      </c>
      <c r="J25">
        <v>96.552050846441404</v>
      </c>
      <c r="K25">
        <v>96.552050846441404</v>
      </c>
      <c r="L25">
        <v>96.552050846441404</v>
      </c>
      <c r="M25">
        <v>96.552050846441404</v>
      </c>
      <c r="N25">
        <v>96.552050846441404</v>
      </c>
      <c r="O25">
        <v>96.552050846441404</v>
      </c>
      <c r="P25">
        <v>96.552050846441404</v>
      </c>
      <c r="Q25">
        <v>96.552050846441404</v>
      </c>
      <c r="R25">
        <v>96.552050846441404</v>
      </c>
      <c r="S25">
        <v>96.552050846441404</v>
      </c>
      <c r="T25">
        <v>96.552050846441404</v>
      </c>
      <c r="U25">
        <v>96.552050846441404</v>
      </c>
      <c r="V25">
        <v>96.552050846441404</v>
      </c>
      <c r="W25">
        <v>96.552050846441404</v>
      </c>
      <c r="X25">
        <v>96.552050846441404</v>
      </c>
    </row>
    <row r="26" spans="1:24" x14ac:dyDescent="0.25">
      <c r="A26" t="s">
        <v>93</v>
      </c>
      <c r="B26" t="s">
        <v>94</v>
      </c>
      <c r="C26" t="s">
        <v>95</v>
      </c>
      <c r="D26" t="s">
        <v>96</v>
      </c>
      <c r="E26" t="s">
        <v>348</v>
      </c>
      <c r="F26" t="s">
        <v>315</v>
      </c>
      <c r="G26">
        <v>0</v>
      </c>
      <c r="H26">
        <v>0.25903938738745758</v>
      </c>
      <c r="I26">
        <v>1.5542363243247459</v>
      </c>
      <c r="J26">
        <v>2.8494332612620341</v>
      </c>
      <c r="K26">
        <v>4.1446301981993221</v>
      </c>
      <c r="L26">
        <v>5.4398271351366114</v>
      </c>
      <c r="M26">
        <v>6.735024072073899</v>
      </c>
      <c r="N26">
        <v>8.0302210090111874</v>
      </c>
      <c r="O26">
        <v>9.325417945948475</v>
      </c>
      <c r="P26">
        <v>10.620614882885761</v>
      </c>
      <c r="Q26">
        <v>11.91581181982305</v>
      </c>
      <c r="R26">
        <v>13.211008756760339</v>
      </c>
      <c r="S26">
        <v>14.50620569369763</v>
      </c>
      <c r="T26">
        <v>15.801402630634909</v>
      </c>
      <c r="U26">
        <v>17.096599567572198</v>
      </c>
      <c r="V26">
        <v>18.39179650450949</v>
      </c>
      <c r="W26">
        <v>19.686993441446781</v>
      </c>
      <c r="X26">
        <v>20.982190378384061</v>
      </c>
    </row>
    <row r="27" spans="1:24" x14ac:dyDescent="0.25">
      <c r="A27" t="s">
        <v>93</v>
      </c>
      <c r="B27" t="s">
        <v>124</v>
      </c>
      <c r="C27" t="s">
        <v>95</v>
      </c>
      <c r="D27" t="s">
        <v>96</v>
      </c>
      <c r="E27" t="s">
        <v>349</v>
      </c>
      <c r="F27" t="s">
        <v>315</v>
      </c>
      <c r="G27">
        <v>0</v>
      </c>
      <c r="H27">
        <v>7.4783990074941589E-2</v>
      </c>
      <c r="I27">
        <v>0.44870394044964951</v>
      </c>
      <c r="J27">
        <v>0.8226238908243575</v>
      </c>
      <c r="K27">
        <v>1.196543841199065</v>
      </c>
      <c r="L27">
        <v>1.5704637915737729</v>
      </c>
      <c r="M27">
        <v>1.9443837419484811</v>
      </c>
      <c r="N27">
        <v>2.3183036923231888</v>
      </c>
      <c r="O27">
        <v>2.6922236426978969</v>
      </c>
      <c r="P27">
        <v>3.0661435930726051</v>
      </c>
      <c r="Q27">
        <v>3.4400635434473119</v>
      </c>
      <c r="R27">
        <v>3.8139834938220201</v>
      </c>
      <c r="S27">
        <v>4.1879034441967278</v>
      </c>
      <c r="T27">
        <v>4.5618233945714346</v>
      </c>
      <c r="U27">
        <v>4.9357433449461432</v>
      </c>
      <c r="V27">
        <v>5.3096632953208509</v>
      </c>
      <c r="W27">
        <v>5.6835832456955586</v>
      </c>
      <c r="X27">
        <v>6.0575031960702663</v>
      </c>
    </row>
    <row r="28" spans="1:24" x14ac:dyDescent="0.25">
      <c r="A28" t="s">
        <v>93</v>
      </c>
      <c r="B28" t="s">
        <v>94</v>
      </c>
      <c r="C28" t="s">
        <v>340</v>
      </c>
      <c r="D28" t="s">
        <v>96</v>
      </c>
      <c r="E28" t="s">
        <v>350</v>
      </c>
      <c r="F28" t="s">
        <v>315</v>
      </c>
      <c r="G28">
        <v>0</v>
      </c>
      <c r="H28">
        <v>0.28560988167920698</v>
      </c>
      <c r="I28">
        <v>1.7136592900752421</v>
      </c>
      <c r="J28">
        <v>3.1417086984712772</v>
      </c>
      <c r="K28">
        <v>4.5697581068673134</v>
      </c>
      <c r="L28">
        <v>5.9978075152633474</v>
      </c>
      <c r="M28">
        <v>7.4258569236593823</v>
      </c>
      <c r="N28">
        <v>8.8539063320554181</v>
      </c>
      <c r="O28">
        <v>10.281955740451449</v>
      </c>
      <c r="P28">
        <v>11.71000514884749</v>
      </c>
      <c r="Q28">
        <v>13.138054557243519</v>
      </c>
      <c r="R28">
        <v>14.566103965639559</v>
      </c>
      <c r="S28">
        <v>15.994153374035591</v>
      </c>
      <c r="T28">
        <v>17.422202782431629</v>
      </c>
      <c r="U28">
        <v>18.850252190827661</v>
      </c>
      <c r="V28">
        <v>20.278301599223699</v>
      </c>
      <c r="W28">
        <v>21.70635100761973</v>
      </c>
      <c r="X28">
        <v>23.134400416015769</v>
      </c>
    </row>
    <row r="29" spans="1:24" x14ac:dyDescent="0.25">
      <c r="A29" t="s">
        <v>93</v>
      </c>
      <c r="B29" t="s">
        <v>124</v>
      </c>
      <c r="C29" t="s">
        <v>340</v>
      </c>
      <c r="D29" t="s">
        <v>96</v>
      </c>
      <c r="E29" t="s">
        <v>351</v>
      </c>
      <c r="F29" t="s">
        <v>315</v>
      </c>
      <c r="G29">
        <v>0</v>
      </c>
      <c r="H29">
        <v>0.19149629288769771</v>
      </c>
      <c r="I29">
        <v>1.1489777573261859</v>
      </c>
      <c r="J29">
        <v>2.1064592217646738</v>
      </c>
      <c r="K29">
        <v>3.063940686203162</v>
      </c>
      <c r="L29">
        <v>4.0214221506416514</v>
      </c>
      <c r="M29">
        <v>4.9789036150801387</v>
      </c>
      <c r="N29">
        <v>5.9363850795186268</v>
      </c>
      <c r="O29">
        <v>6.893866543957115</v>
      </c>
      <c r="P29">
        <v>7.8513480083956031</v>
      </c>
      <c r="Q29">
        <v>8.8088294728340912</v>
      </c>
      <c r="R29">
        <v>9.7663109372725803</v>
      </c>
      <c r="S29">
        <v>10.723792401711069</v>
      </c>
      <c r="T29">
        <v>11.68127386614956</v>
      </c>
      <c r="U29">
        <v>12.638755330588049</v>
      </c>
      <c r="V29">
        <v>13.59623679502654</v>
      </c>
      <c r="W29">
        <v>14.553718259465031</v>
      </c>
      <c r="X29">
        <v>15.511199723903511</v>
      </c>
    </row>
    <row r="30" spans="1:24" x14ac:dyDescent="0.25">
      <c r="A30" t="s">
        <v>93</v>
      </c>
      <c r="B30" t="s">
        <v>94</v>
      </c>
      <c r="C30" t="s">
        <v>343</v>
      </c>
      <c r="D30" t="s">
        <v>96</v>
      </c>
      <c r="E30" t="s">
        <v>352</v>
      </c>
      <c r="F30" t="s">
        <v>315</v>
      </c>
      <c r="G30">
        <v>0</v>
      </c>
      <c r="H30">
        <v>7.7479439050969989E-2</v>
      </c>
      <c r="I30">
        <v>0.46487663430581988</v>
      </c>
      <c r="J30">
        <v>0.85227382956066988</v>
      </c>
      <c r="K30">
        <v>1.2396710248155201</v>
      </c>
      <c r="L30">
        <v>1.6270682200703701</v>
      </c>
      <c r="M30">
        <v>2.0144654153252199</v>
      </c>
      <c r="N30">
        <v>2.40186261058007</v>
      </c>
      <c r="O30">
        <v>2.7892598058349201</v>
      </c>
      <c r="P30">
        <v>3.1766570010897701</v>
      </c>
      <c r="Q30">
        <v>3.5640541963446202</v>
      </c>
      <c r="R30">
        <v>3.9514513915994698</v>
      </c>
      <c r="S30">
        <v>4.3388485868543203</v>
      </c>
      <c r="T30">
        <v>4.7262457821091699</v>
      </c>
      <c r="U30">
        <v>5.1136429773640204</v>
      </c>
      <c r="V30">
        <v>5.5010401726188691</v>
      </c>
      <c r="W30">
        <v>5.8884373678737187</v>
      </c>
      <c r="X30">
        <v>6.2758345631285684</v>
      </c>
    </row>
    <row r="31" spans="1:24" x14ac:dyDescent="0.25">
      <c r="A31" t="s">
        <v>93</v>
      </c>
      <c r="B31" t="s">
        <v>124</v>
      </c>
      <c r="C31" t="s">
        <v>343</v>
      </c>
      <c r="D31" t="s">
        <v>96</v>
      </c>
      <c r="E31" t="s">
        <v>353</v>
      </c>
      <c r="F31" t="s">
        <v>315</v>
      </c>
      <c r="G31">
        <v>0</v>
      </c>
      <c r="H31">
        <v>9.5936072148351009E-2</v>
      </c>
      <c r="I31">
        <v>0.575616432890106</v>
      </c>
      <c r="J31">
        <v>1.0552967936318609</v>
      </c>
      <c r="K31">
        <v>1.5349771543736159</v>
      </c>
      <c r="L31">
        <v>2.0146575151153709</v>
      </c>
      <c r="M31">
        <v>2.4943378758571262</v>
      </c>
      <c r="N31">
        <v>2.974018236598881</v>
      </c>
      <c r="O31">
        <v>3.4536985973406358</v>
      </c>
      <c r="P31">
        <v>3.933378958082391</v>
      </c>
      <c r="Q31">
        <v>4.4130593188241454</v>
      </c>
      <c r="R31">
        <v>4.8927396795659002</v>
      </c>
      <c r="S31">
        <v>5.372420040307655</v>
      </c>
      <c r="T31">
        <v>5.8521004010494098</v>
      </c>
      <c r="U31">
        <v>6.3317807617911646</v>
      </c>
      <c r="V31">
        <v>6.8114611225329194</v>
      </c>
      <c r="W31">
        <v>7.2911414832746742</v>
      </c>
      <c r="X31">
        <v>7.7708218440164289</v>
      </c>
    </row>
    <row r="32" spans="1:24" x14ac:dyDescent="0.25">
      <c r="A32" t="s">
        <v>93</v>
      </c>
      <c r="B32" t="s">
        <v>94</v>
      </c>
      <c r="C32" t="s">
        <v>187</v>
      </c>
      <c r="D32" t="s">
        <v>96</v>
      </c>
      <c r="E32" t="s">
        <v>354</v>
      </c>
      <c r="F32" t="s">
        <v>315</v>
      </c>
      <c r="G32">
        <v>0</v>
      </c>
      <c r="H32">
        <v>0.33199358690427477</v>
      </c>
      <c r="I32">
        <v>1.991961521425649</v>
      </c>
      <c r="J32">
        <v>3.6519294559470228</v>
      </c>
      <c r="K32">
        <v>5.3118973904683973</v>
      </c>
      <c r="L32">
        <v>6.9718653249897713</v>
      </c>
      <c r="M32">
        <v>8.6318332595111453</v>
      </c>
      <c r="N32">
        <v>10.291801194032519</v>
      </c>
      <c r="O32">
        <v>11.95176912855389</v>
      </c>
      <c r="P32">
        <v>13.611737063075269</v>
      </c>
      <c r="Q32">
        <v>15.27170499759664</v>
      </c>
      <c r="R32">
        <v>16.931672932118019</v>
      </c>
      <c r="S32">
        <v>18.591640866639391</v>
      </c>
      <c r="T32">
        <v>20.25160880116076</v>
      </c>
      <c r="U32">
        <v>21.911576735682139</v>
      </c>
      <c r="V32">
        <v>23.571544670203519</v>
      </c>
      <c r="W32">
        <v>25.231512604724891</v>
      </c>
      <c r="X32">
        <v>26.89148053924627</v>
      </c>
    </row>
    <row r="33" spans="1:24" x14ac:dyDescent="0.25">
      <c r="A33" t="s">
        <v>93</v>
      </c>
      <c r="B33" t="s">
        <v>124</v>
      </c>
      <c r="C33" t="s">
        <v>187</v>
      </c>
      <c r="D33" t="s">
        <v>96</v>
      </c>
      <c r="E33" t="s">
        <v>355</v>
      </c>
      <c r="F33" t="s">
        <v>315</v>
      </c>
      <c r="G33">
        <v>0</v>
      </c>
      <c r="H33">
        <v>0.48276025423220698</v>
      </c>
      <c r="I33">
        <v>2.896561525393242</v>
      </c>
      <c r="J33">
        <v>5.3103627965542781</v>
      </c>
      <c r="K33">
        <v>7.7241640677153134</v>
      </c>
      <c r="L33">
        <v>10.13796533887635</v>
      </c>
      <c r="M33">
        <v>12.551766610037379</v>
      </c>
      <c r="N33">
        <v>14.965567881198419</v>
      </c>
      <c r="O33">
        <v>17.379369152359448</v>
      </c>
      <c r="P33">
        <v>19.79317042352049</v>
      </c>
      <c r="Q33">
        <v>22.206971694681521</v>
      </c>
      <c r="R33">
        <v>24.620772965842551</v>
      </c>
      <c r="S33">
        <v>27.034574237003589</v>
      </c>
      <c r="T33">
        <v>29.44837550816462</v>
      </c>
      <c r="U33">
        <v>31.862176779325662</v>
      </c>
      <c r="V33">
        <v>34.275978050486692</v>
      </c>
      <c r="W33">
        <v>36.689779321647727</v>
      </c>
      <c r="X33">
        <v>39.103580592808761</v>
      </c>
    </row>
    <row r="34" spans="1:24" x14ac:dyDescent="0.25">
      <c r="A34" t="s">
        <v>356</v>
      </c>
      <c r="B34" t="s">
        <v>357</v>
      </c>
      <c r="E34" t="s">
        <v>358</v>
      </c>
      <c r="F34" t="s">
        <v>359</v>
      </c>
      <c r="G34">
        <v>66716.460830940399</v>
      </c>
      <c r="H34">
        <v>68050.790047559203</v>
      </c>
      <c r="I34">
        <v>74855.869052315131</v>
      </c>
      <c r="J34">
        <v>82341.455957546656</v>
      </c>
      <c r="K34">
        <v>90575.601553301327</v>
      </c>
      <c r="L34">
        <v>99633.161708631465</v>
      </c>
      <c r="M34">
        <v>109596.4778794946</v>
      </c>
      <c r="N34">
        <v>120556.1256674441</v>
      </c>
      <c r="O34">
        <v>132611.73823418849</v>
      </c>
      <c r="P34">
        <v>145872.91205760741</v>
      </c>
      <c r="Q34">
        <v>160460.20326336811</v>
      </c>
      <c r="R34">
        <v>176506.22358970501</v>
      </c>
      <c r="S34">
        <v>194156.8459486755</v>
      </c>
      <c r="T34">
        <v>213572.53054354299</v>
      </c>
      <c r="U34">
        <v>234929.78359789739</v>
      </c>
      <c r="V34">
        <v>258422.76195768709</v>
      </c>
      <c r="W34">
        <v>284265.03815345588</v>
      </c>
      <c r="X34">
        <v>312691.54196880152</v>
      </c>
    </row>
    <row r="35" spans="1:24" x14ac:dyDescent="0.25">
      <c r="A35" t="s">
        <v>360</v>
      </c>
      <c r="B35" t="s">
        <v>361</v>
      </c>
      <c r="C35" t="s">
        <v>362</v>
      </c>
      <c r="E35" t="s">
        <v>363</v>
      </c>
      <c r="F35" t="s">
        <v>364</v>
      </c>
      <c r="G35">
        <v>68921.250890371171</v>
      </c>
      <c r="H35">
        <v>69265.857144823021</v>
      </c>
      <c r="I35">
        <v>70997.503573443595</v>
      </c>
      <c r="J35">
        <v>72772.44116277968</v>
      </c>
      <c r="K35">
        <v>74591.752191849169</v>
      </c>
      <c r="L35">
        <v>76456.545996645393</v>
      </c>
      <c r="M35">
        <v>78367.959646561518</v>
      </c>
      <c r="N35">
        <v>80327.158637725544</v>
      </c>
      <c r="O35">
        <v>82335.337603668682</v>
      </c>
      <c r="P35">
        <v>84393.721043760394</v>
      </c>
      <c r="Q35">
        <v>86503.564069854401</v>
      </c>
      <c r="R35">
        <v>88666.153171600759</v>
      </c>
      <c r="S35">
        <v>90882.807000890767</v>
      </c>
      <c r="T35">
        <v>93154.877175913032</v>
      </c>
      <c r="U35">
        <v>95483.749105310853</v>
      </c>
      <c r="V35">
        <v>97870.842832943614</v>
      </c>
      <c r="W35">
        <v>100317.6139037672</v>
      </c>
      <c r="X35">
        <v>102825.55425136141</v>
      </c>
    </row>
    <row r="36" spans="1:24" x14ac:dyDescent="0.25">
      <c r="A36" t="s">
        <v>360</v>
      </c>
      <c r="B36" t="s">
        <v>361</v>
      </c>
      <c r="C36" t="s">
        <v>365</v>
      </c>
      <c r="E36" t="s">
        <v>366</v>
      </c>
      <c r="F36" t="s">
        <v>364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</row>
    <row r="37" spans="1:24" x14ac:dyDescent="0.25">
      <c r="A37" t="s">
        <v>360</v>
      </c>
      <c r="B37" t="s">
        <v>361</v>
      </c>
      <c r="C37" t="s">
        <v>367</v>
      </c>
      <c r="E37" t="s">
        <v>368</v>
      </c>
      <c r="F37" t="s">
        <v>364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</row>
    <row r="38" spans="1:24" x14ac:dyDescent="0.25">
      <c r="A38" t="s">
        <v>360</v>
      </c>
      <c r="B38" t="s">
        <v>369</v>
      </c>
      <c r="C38" t="s">
        <v>370</v>
      </c>
      <c r="E38" t="s">
        <v>371</v>
      </c>
      <c r="F38" t="s">
        <v>364</v>
      </c>
      <c r="G38">
        <v>1578.5178847930749</v>
      </c>
      <c r="H38">
        <v>1586.41047421704</v>
      </c>
      <c r="I38">
        <v>1626.0707360724659</v>
      </c>
      <c r="J38">
        <v>1666.7225044742779</v>
      </c>
      <c r="K38">
        <v>1708.390567086135</v>
      </c>
      <c r="L38">
        <v>1751.1003312632879</v>
      </c>
      <c r="M38">
        <v>1794.8778395448701</v>
      </c>
      <c r="N38">
        <v>1839.7497855334909</v>
      </c>
      <c r="O38">
        <v>1885.743530171829</v>
      </c>
      <c r="P38">
        <v>1932.8871184261241</v>
      </c>
      <c r="Q38">
        <v>1981.2092963867769</v>
      </c>
      <c r="R38">
        <v>2030.7395287964459</v>
      </c>
      <c r="S38">
        <v>2081.5080170163569</v>
      </c>
      <c r="T38">
        <v>2133.5457174417661</v>
      </c>
      <c r="U38">
        <v>2186.88436037781</v>
      </c>
      <c r="V38">
        <v>2241.5564693872552</v>
      </c>
      <c r="W38">
        <v>2297.595381121936</v>
      </c>
      <c r="X38">
        <v>2355.035265649984</v>
      </c>
    </row>
    <row r="39" spans="1:24" x14ac:dyDescent="0.25">
      <c r="A39" t="s">
        <v>360</v>
      </c>
      <c r="B39" t="s">
        <v>369</v>
      </c>
      <c r="C39" t="s">
        <v>372</v>
      </c>
      <c r="E39" t="s">
        <v>373</v>
      </c>
      <c r="F39" t="s">
        <v>364</v>
      </c>
      <c r="G39">
        <v>70.026308273942732</v>
      </c>
      <c r="H39">
        <v>70.376439815312438</v>
      </c>
      <c r="I39">
        <v>72.135850810695246</v>
      </c>
      <c r="J39">
        <v>73.939247080962616</v>
      </c>
      <c r="K39">
        <v>75.787728257986672</v>
      </c>
      <c r="L39">
        <v>77.682421464436331</v>
      </c>
      <c r="M39">
        <v>79.624482001047227</v>
      </c>
      <c r="N39">
        <v>81.615094051073399</v>
      </c>
      <c r="O39">
        <v>83.65547140235023</v>
      </c>
      <c r="P39">
        <v>85.746858187408975</v>
      </c>
      <c r="Q39">
        <v>87.890529642094194</v>
      </c>
      <c r="R39">
        <v>90.087792883146534</v>
      </c>
      <c r="S39">
        <v>92.339987705225184</v>
      </c>
      <c r="T39">
        <v>94.648487397855803</v>
      </c>
      <c r="U39">
        <v>97.014699582802194</v>
      </c>
      <c r="V39">
        <v>99.440067072372244</v>
      </c>
      <c r="W39">
        <v>101.9260687491815</v>
      </c>
      <c r="X39">
        <v>104.4742204679111</v>
      </c>
    </row>
    <row r="40" spans="1:24" x14ac:dyDescent="0.25">
      <c r="A40" t="s">
        <v>360</v>
      </c>
      <c r="B40" t="s">
        <v>369</v>
      </c>
      <c r="C40" t="s">
        <v>374</v>
      </c>
      <c r="E40" t="s">
        <v>375</v>
      </c>
      <c r="F40" t="s">
        <v>364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</row>
    <row r="41" spans="1:24" x14ac:dyDescent="0.25">
      <c r="A41" t="s">
        <v>360</v>
      </c>
      <c r="B41" t="s">
        <v>369</v>
      </c>
      <c r="C41" t="s">
        <v>376</v>
      </c>
      <c r="E41" t="s">
        <v>377</v>
      </c>
      <c r="F41" t="s">
        <v>364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</row>
    <row r="42" spans="1:24" x14ac:dyDescent="0.25">
      <c r="A42" t="s">
        <v>360</v>
      </c>
      <c r="B42" t="s">
        <v>369</v>
      </c>
      <c r="C42" t="s">
        <v>378</v>
      </c>
      <c r="E42" t="s">
        <v>379</v>
      </c>
      <c r="F42" t="s">
        <v>364</v>
      </c>
      <c r="G42">
        <v>1367.6201505846741</v>
      </c>
      <c r="H42">
        <v>1374.4582513375981</v>
      </c>
      <c r="I42">
        <v>1408.819707621037</v>
      </c>
      <c r="J42">
        <v>1444.040200311563</v>
      </c>
      <c r="K42">
        <v>1480.1412053193519</v>
      </c>
      <c r="L42">
        <v>1517.1447354523359</v>
      </c>
      <c r="M42">
        <v>1555.0733538386439</v>
      </c>
      <c r="N42">
        <v>1593.95018768461</v>
      </c>
      <c r="O42">
        <v>1633.7989423767251</v>
      </c>
      <c r="P42">
        <v>1674.643915936143</v>
      </c>
      <c r="Q42">
        <v>1716.510013834547</v>
      </c>
      <c r="R42">
        <v>1759.42276418041</v>
      </c>
      <c r="S42">
        <v>1803.40833328492</v>
      </c>
      <c r="T42">
        <v>1848.4935416170431</v>
      </c>
      <c r="U42">
        <v>1894.705880157469</v>
      </c>
      <c r="V42">
        <v>1942.073527161406</v>
      </c>
      <c r="W42">
        <v>1990.625365340441</v>
      </c>
      <c r="X42">
        <v>2040.390999473952</v>
      </c>
    </row>
    <row r="43" spans="1:24" x14ac:dyDescent="0.25">
      <c r="A43" t="s">
        <v>360</v>
      </c>
      <c r="B43" t="s">
        <v>369</v>
      </c>
      <c r="C43" t="s">
        <v>380</v>
      </c>
      <c r="E43" t="s">
        <v>381</v>
      </c>
      <c r="F43" t="s">
        <v>364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</row>
    <row r="44" spans="1:24" x14ac:dyDescent="0.25">
      <c r="A44" t="s">
        <v>360</v>
      </c>
      <c r="B44" t="s">
        <v>361</v>
      </c>
      <c r="C44" t="s">
        <v>382</v>
      </c>
      <c r="E44" t="s">
        <v>383</v>
      </c>
      <c r="F44" t="s">
        <v>364</v>
      </c>
      <c r="G44">
        <v>498.20418535334039</v>
      </c>
      <c r="H44">
        <v>500.69520628010702</v>
      </c>
      <c r="I44">
        <v>513.21258643710962</v>
      </c>
      <c r="J44">
        <v>526.04290109803731</v>
      </c>
      <c r="K44">
        <v>539.19397362548818</v>
      </c>
      <c r="L44">
        <v>552.67382296612539</v>
      </c>
      <c r="M44">
        <v>566.49066854027842</v>
      </c>
      <c r="N44">
        <v>580.65293525378536</v>
      </c>
      <c r="O44">
        <v>595.16925863512995</v>
      </c>
      <c r="P44">
        <v>610.04849010100816</v>
      </c>
      <c r="Q44">
        <v>625.29970235353335</v>
      </c>
      <c r="R44">
        <v>640.93219491237164</v>
      </c>
      <c r="S44">
        <v>656.9554997851809</v>
      </c>
      <c r="T44">
        <v>673.37938727981032</v>
      </c>
      <c r="U44">
        <v>690.21387196180547</v>
      </c>
      <c r="V44">
        <v>707.46921876085059</v>
      </c>
      <c r="W44">
        <v>725.15594922987179</v>
      </c>
      <c r="X44">
        <v>743.28484796061855</v>
      </c>
    </row>
    <row r="45" spans="1:24" x14ac:dyDescent="0.25">
      <c r="A45" t="s">
        <v>360</v>
      </c>
      <c r="B45" t="s">
        <v>361</v>
      </c>
      <c r="C45" t="s">
        <v>384</v>
      </c>
      <c r="E45" t="s">
        <v>385</v>
      </c>
      <c r="F45" t="s">
        <v>364</v>
      </c>
      <c r="G45">
        <v>86.053217342719677</v>
      </c>
      <c r="H45">
        <v>86.483483429433264</v>
      </c>
      <c r="I45">
        <v>88.645570515169084</v>
      </c>
      <c r="J45">
        <v>90.861709778048308</v>
      </c>
      <c r="K45">
        <v>93.133252522499504</v>
      </c>
      <c r="L45">
        <v>95.461583835561981</v>
      </c>
      <c r="M45">
        <v>97.848123431451029</v>
      </c>
      <c r="N45">
        <v>100.29432651723729</v>
      </c>
      <c r="O45">
        <v>102.80168468016819</v>
      </c>
      <c r="P45">
        <v>105.3717267971724</v>
      </c>
      <c r="Q45">
        <v>108.00601996710169</v>
      </c>
      <c r="R45">
        <v>110.7061704662793</v>
      </c>
      <c r="S45">
        <v>113.4738247279362</v>
      </c>
      <c r="T45">
        <v>116.3106703461346</v>
      </c>
      <c r="U45">
        <v>119.21843710478799</v>
      </c>
      <c r="V45">
        <v>122.1988980324077</v>
      </c>
      <c r="W45">
        <v>125.2538704832179</v>
      </c>
      <c r="X45">
        <v>128.38521724529829</v>
      </c>
    </row>
    <row r="46" spans="1:24" x14ac:dyDescent="0.25">
      <c r="A46" t="s">
        <v>360</v>
      </c>
      <c r="B46" t="s">
        <v>361</v>
      </c>
      <c r="C46" t="s">
        <v>386</v>
      </c>
      <c r="E46" t="s">
        <v>387</v>
      </c>
      <c r="F46" t="s">
        <v>364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</row>
    <row r="47" spans="1:24" x14ac:dyDescent="0.25">
      <c r="A47" t="s">
        <v>360</v>
      </c>
      <c r="B47" t="s">
        <v>361</v>
      </c>
      <c r="C47" t="s">
        <v>388</v>
      </c>
      <c r="E47" t="s">
        <v>389</v>
      </c>
      <c r="F47" t="s">
        <v>364</v>
      </c>
      <c r="G47">
        <v>364.1076787683694</v>
      </c>
      <c r="H47">
        <v>365.92821716221118</v>
      </c>
      <c r="I47">
        <v>375.07642259126641</v>
      </c>
      <c r="J47">
        <v>384.45333315604802</v>
      </c>
      <c r="K47">
        <v>394.06466648494921</v>
      </c>
      <c r="L47">
        <v>403.91628314707287</v>
      </c>
      <c r="M47">
        <v>414.01419022574959</v>
      </c>
      <c r="N47">
        <v>424.36454498139341</v>
      </c>
      <c r="O47">
        <v>434.97365860592822</v>
      </c>
      <c r="P47">
        <v>445.84800007107629</v>
      </c>
      <c r="Q47">
        <v>456.99420007285318</v>
      </c>
      <c r="R47">
        <v>468.41905507467447</v>
      </c>
      <c r="S47">
        <v>480.12953145154142</v>
      </c>
      <c r="T47">
        <v>492.13276973782979</v>
      </c>
      <c r="U47">
        <v>504.43608898127547</v>
      </c>
      <c r="V47">
        <v>517.04699120580733</v>
      </c>
      <c r="W47">
        <v>529.97316598595251</v>
      </c>
      <c r="X47">
        <v>543.22249513560132</v>
      </c>
    </row>
    <row r="48" spans="1:24" x14ac:dyDescent="0.25">
      <c r="A48" t="s">
        <v>360</v>
      </c>
      <c r="B48" t="s">
        <v>361</v>
      </c>
      <c r="C48" t="s">
        <v>390</v>
      </c>
      <c r="E48" t="s">
        <v>391</v>
      </c>
      <c r="F48" t="s">
        <v>364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</row>
    <row r="49" spans="1:24" x14ac:dyDescent="0.25">
      <c r="A49" t="s">
        <v>360</v>
      </c>
      <c r="B49" t="s">
        <v>361</v>
      </c>
      <c r="C49" t="s">
        <v>392</v>
      </c>
      <c r="E49" t="s">
        <v>393</v>
      </c>
      <c r="F49" t="s">
        <v>364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</row>
    <row r="50" spans="1:24" x14ac:dyDescent="0.25">
      <c r="A50" t="s">
        <v>360</v>
      </c>
      <c r="B50" t="s">
        <v>361</v>
      </c>
      <c r="C50" t="s">
        <v>394</v>
      </c>
      <c r="E50" t="s">
        <v>395</v>
      </c>
      <c r="F50" t="s">
        <v>364</v>
      </c>
      <c r="G50">
        <v>783.71641071992963</v>
      </c>
      <c r="H50">
        <v>787.63499277352923</v>
      </c>
      <c r="I50">
        <v>807.32586759286744</v>
      </c>
      <c r="J50">
        <v>827.50901428268901</v>
      </c>
      <c r="K50">
        <v>848.19673963975617</v>
      </c>
      <c r="L50">
        <v>869.40165813074998</v>
      </c>
      <c r="M50">
        <v>891.13669958401863</v>
      </c>
      <c r="N50">
        <v>913.41511707361906</v>
      </c>
      <c r="O50">
        <v>936.25049500045941</v>
      </c>
      <c r="P50">
        <v>959.65675737547076</v>
      </c>
      <c r="Q50">
        <v>983.64817630985749</v>
      </c>
      <c r="R50">
        <v>1008.239380717604</v>
      </c>
      <c r="S50">
        <v>1033.4453652355439</v>
      </c>
      <c r="T50">
        <v>1059.2814993664319</v>
      </c>
      <c r="U50">
        <v>1085.763536850593</v>
      </c>
      <c r="V50">
        <v>1112.907625271858</v>
      </c>
      <c r="W50">
        <v>1140.7303159036539</v>
      </c>
      <c r="X50">
        <v>1169.2485738012449</v>
      </c>
    </row>
    <row r="51" spans="1:24" x14ac:dyDescent="0.25">
      <c r="A51" t="s">
        <v>360</v>
      </c>
      <c r="B51" t="s">
        <v>361</v>
      </c>
      <c r="C51" t="s">
        <v>396</v>
      </c>
      <c r="E51" t="s">
        <v>397</v>
      </c>
      <c r="F51" t="s">
        <v>364</v>
      </c>
      <c r="G51">
        <v>4185.0616827171943</v>
      </c>
      <c r="H51">
        <v>4205.9869911307796</v>
      </c>
      <c r="I51">
        <v>4311.136665909049</v>
      </c>
      <c r="J51">
        <v>4418.9150825567749</v>
      </c>
      <c r="K51">
        <v>4529.3879596206934</v>
      </c>
      <c r="L51">
        <v>4642.6226586112107</v>
      </c>
      <c r="M51">
        <v>4758.6882250764902</v>
      </c>
      <c r="N51">
        <v>4877.6554307034021</v>
      </c>
      <c r="O51">
        <v>4999.5968164709866</v>
      </c>
      <c r="P51">
        <v>5124.5867368827612</v>
      </c>
      <c r="Q51">
        <v>5252.7014053048297</v>
      </c>
      <c r="R51">
        <v>5384.0189404374496</v>
      </c>
      <c r="S51">
        <v>5518.619413948385</v>
      </c>
      <c r="T51">
        <v>5656.5848992970941</v>
      </c>
      <c r="U51">
        <v>5797.9995217795213</v>
      </c>
      <c r="V51">
        <v>5942.9495098240086</v>
      </c>
      <c r="W51">
        <v>6091.5232475696084</v>
      </c>
      <c r="X51">
        <v>6243.8113287588494</v>
      </c>
    </row>
    <row r="52" spans="1:24" x14ac:dyDescent="0.25">
      <c r="A52" t="s">
        <v>360</v>
      </c>
      <c r="B52" t="s">
        <v>328</v>
      </c>
      <c r="C52" t="s">
        <v>398</v>
      </c>
      <c r="E52" t="s">
        <v>399</v>
      </c>
      <c r="F52" t="s">
        <v>364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</row>
    <row r="53" spans="1:24" x14ac:dyDescent="0.25">
      <c r="A53" t="s">
        <v>360</v>
      </c>
      <c r="B53" t="s">
        <v>328</v>
      </c>
      <c r="C53" t="s">
        <v>400</v>
      </c>
      <c r="E53" t="s">
        <v>401</v>
      </c>
      <c r="F53" t="s">
        <v>364</v>
      </c>
      <c r="G53">
        <v>1.605430432772551</v>
      </c>
      <c r="H53">
        <v>1.6134575849364139</v>
      </c>
      <c r="I53">
        <v>1.6537940245598239</v>
      </c>
      <c r="J53">
        <v>1.6951388751738199</v>
      </c>
      <c r="K53">
        <v>1.7375173470531651</v>
      </c>
      <c r="L53">
        <v>1.7809552807294939</v>
      </c>
      <c r="M53">
        <v>1.8254791627477309</v>
      </c>
      <c r="N53">
        <v>1.8711161418164239</v>
      </c>
      <c r="O53">
        <v>1.9178940453618341</v>
      </c>
      <c r="P53">
        <v>1.9658413964958801</v>
      </c>
      <c r="Q53">
        <v>2.0149874314082772</v>
      </c>
      <c r="R53">
        <v>2.0653621171934842</v>
      </c>
      <c r="S53">
        <v>2.1169961701233211</v>
      </c>
      <c r="T53">
        <v>2.1699210743764041</v>
      </c>
      <c r="U53">
        <v>2.2241691012358138</v>
      </c>
      <c r="V53">
        <v>2.279773328766709</v>
      </c>
      <c r="W53">
        <v>2.3367676619858759</v>
      </c>
      <c r="X53">
        <v>2.395186853535523</v>
      </c>
    </row>
    <row r="54" spans="1:24" x14ac:dyDescent="0.25">
      <c r="A54" t="s">
        <v>360</v>
      </c>
      <c r="B54" t="s">
        <v>328</v>
      </c>
      <c r="C54" t="s">
        <v>402</v>
      </c>
      <c r="E54" t="s">
        <v>403</v>
      </c>
      <c r="F54" t="s">
        <v>364</v>
      </c>
      <c r="G54">
        <v>0.1257155698946095</v>
      </c>
      <c r="H54">
        <v>0.12634414774408251</v>
      </c>
      <c r="I54">
        <v>0.12950275143768461</v>
      </c>
      <c r="J54">
        <v>0.1327403202236267</v>
      </c>
      <c r="K54">
        <v>0.1360588282292173</v>
      </c>
      <c r="L54">
        <v>0.13946029893494771</v>
      </c>
      <c r="M54">
        <v>0.14294680640832139</v>
      </c>
      <c r="N54">
        <v>0.1465204765685294</v>
      </c>
      <c r="O54">
        <v>0.15018348848274271</v>
      </c>
      <c r="P54">
        <v>0.15393807569481119</v>
      </c>
      <c r="Q54">
        <v>0.15778652758718151</v>
      </c>
      <c r="R54">
        <v>0.16173119077686099</v>
      </c>
      <c r="S54">
        <v>0.1657744705462825</v>
      </c>
      <c r="T54">
        <v>0.16991883230993951</v>
      </c>
      <c r="U54">
        <v>0.17416680311768801</v>
      </c>
      <c r="V54">
        <v>0.17852097319563021</v>
      </c>
      <c r="W54">
        <v>0.18298399752552089</v>
      </c>
      <c r="X54">
        <v>0.18755859746365891</v>
      </c>
    </row>
    <row r="55" spans="1:24" x14ac:dyDescent="0.25">
      <c r="A55" t="s">
        <v>404</v>
      </c>
      <c r="B55" t="s">
        <v>405</v>
      </c>
      <c r="C55" t="s">
        <v>406</v>
      </c>
      <c r="E55" t="s">
        <v>407</v>
      </c>
      <c r="F55" t="s">
        <v>408</v>
      </c>
      <c r="G55">
        <v>3375.0740840299131</v>
      </c>
      <c r="H55">
        <v>3391.9494544500621</v>
      </c>
      <c r="I55">
        <v>3476.7481908113132</v>
      </c>
      <c r="J55">
        <v>3563.6668955815949</v>
      </c>
      <c r="K55">
        <v>3652.7585679711351</v>
      </c>
      <c r="L55">
        <v>3744.0775321704132</v>
      </c>
      <c r="M55">
        <v>3837.6794704746731</v>
      </c>
      <c r="N55">
        <v>3933.6214572365402</v>
      </c>
      <c r="O55">
        <v>4031.961993667453</v>
      </c>
      <c r="P55">
        <v>4132.7610435091392</v>
      </c>
      <c r="Q55">
        <v>4236.0800695968674</v>
      </c>
      <c r="R55">
        <v>4341.982071336789</v>
      </c>
      <c r="S55">
        <v>4450.5316231202087</v>
      </c>
      <c r="T55">
        <v>4561.7949136982133</v>
      </c>
      <c r="U55">
        <v>4675.8397865406687</v>
      </c>
      <c r="V55">
        <v>4792.7357812041846</v>
      </c>
      <c r="W55">
        <v>4912.5541757342889</v>
      </c>
      <c r="X55">
        <v>5035.3680301276454</v>
      </c>
    </row>
    <row r="56" spans="1:24" x14ac:dyDescent="0.25">
      <c r="A56" t="s">
        <v>404</v>
      </c>
      <c r="B56" t="s">
        <v>405</v>
      </c>
      <c r="C56" t="s">
        <v>409</v>
      </c>
      <c r="E56" t="s">
        <v>410</v>
      </c>
      <c r="F56" t="s">
        <v>408</v>
      </c>
      <c r="G56">
        <v>405.00889008358951</v>
      </c>
      <c r="H56">
        <v>407.03393453400741</v>
      </c>
      <c r="I56">
        <v>417.20978289735763</v>
      </c>
      <c r="J56">
        <v>427.64002746979139</v>
      </c>
      <c r="K56">
        <v>438.33102815653621</v>
      </c>
      <c r="L56">
        <v>449.28930386044959</v>
      </c>
      <c r="M56">
        <v>460.5215364569608</v>
      </c>
      <c r="N56">
        <v>472.03457486838482</v>
      </c>
      <c r="O56">
        <v>483.83543924009427</v>
      </c>
      <c r="P56">
        <v>495.93132522109659</v>
      </c>
      <c r="Q56">
        <v>508.32960835162402</v>
      </c>
      <c r="R56">
        <v>521.03784856041455</v>
      </c>
      <c r="S56">
        <v>534.06379477442488</v>
      </c>
      <c r="T56">
        <v>547.41538964378549</v>
      </c>
      <c r="U56">
        <v>561.10077438488008</v>
      </c>
      <c r="V56">
        <v>575.128293744502</v>
      </c>
      <c r="W56">
        <v>589.50650108811453</v>
      </c>
      <c r="X56">
        <v>604.24416361531735</v>
      </c>
    </row>
    <row r="57" spans="1:24" x14ac:dyDescent="0.25">
      <c r="A57" t="s">
        <v>404</v>
      </c>
      <c r="B57" t="s">
        <v>405</v>
      </c>
      <c r="C57" t="s">
        <v>411</v>
      </c>
      <c r="E57" t="s">
        <v>412</v>
      </c>
      <c r="F57" t="s">
        <v>408</v>
      </c>
      <c r="G57">
        <v>540.01185344478597</v>
      </c>
      <c r="H57">
        <v>542.71191271200985</v>
      </c>
      <c r="I57">
        <v>556.27971052981002</v>
      </c>
      <c r="J57">
        <v>570.18670329305519</v>
      </c>
      <c r="K57">
        <v>584.44137087538149</v>
      </c>
      <c r="L57">
        <v>599.05240514726597</v>
      </c>
      <c r="M57">
        <v>614.02871527594755</v>
      </c>
      <c r="N57">
        <v>629.37943315784617</v>
      </c>
      <c r="O57">
        <v>645.11391898679221</v>
      </c>
      <c r="P57">
        <v>661.24176696146196</v>
      </c>
      <c r="Q57">
        <v>677.7728111354985</v>
      </c>
      <c r="R57">
        <v>694.71713141388591</v>
      </c>
      <c r="S57">
        <v>712.08505969923294</v>
      </c>
      <c r="T57">
        <v>729.88718619171368</v>
      </c>
      <c r="U57">
        <v>748.13436584650651</v>
      </c>
      <c r="V57">
        <v>766.83772499266911</v>
      </c>
      <c r="W57">
        <v>786.00866811748574</v>
      </c>
      <c r="X57">
        <v>805.65888482042283</v>
      </c>
    </row>
    <row r="58" spans="1:24" x14ac:dyDescent="0.25">
      <c r="A58" t="s">
        <v>404</v>
      </c>
      <c r="B58" t="s">
        <v>405</v>
      </c>
      <c r="C58" t="s">
        <v>413</v>
      </c>
      <c r="E58" t="s">
        <v>414</v>
      </c>
      <c r="F58" t="s">
        <v>408</v>
      </c>
      <c r="G58">
        <v>1350.029633611965</v>
      </c>
      <c r="H58">
        <v>1356.7797817800249</v>
      </c>
      <c r="I58">
        <v>1390.699276324525</v>
      </c>
      <c r="J58">
        <v>1425.4667582326381</v>
      </c>
      <c r="K58">
        <v>1461.1034271884539</v>
      </c>
      <c r="L58">
        <v>1497.631012868165</v>
      </c>
      <c r="M58">
        <v>1535.071788189869</v>
      </c>
      <c r="N58">
        <v>1573.448582894616</v>
      </c>
      <c r="O58">
        <v>1612.784797466981</v>
      </c>
      <c r="P58">
        <v>1653.1044174036549</v>
      </c>
      <c r="Q58">
        <v>1694.432027838747</v>
      </c>
      <c r="R58">
        <v>1736.792828534715</v>
      </c>
      <c r="S58">
        <v>1780.2126492480829</v>
      </c>
      <c r="T58">
        <v>1824.7179654792851</v>
      </c>
      <c r="U58">
        <v>1870.335914616267</v>
      </c>
      <c r="V58">
        <v>1917.0943124816729</v>
      </c>
      <c r="W58">
        <v>1965.021670293715</v>
      </c>
      <c r="X58">
        <v>2014.147212051058</v>
      </c>
    </row>
    <row r="59" spans="1:24" x14ac:dyDescent="0.25">
      <c r="A59" t="s">
        <v>404</v>
      </c>
      <c r="B59" t="s">
        <v>405</v>
      </c>
      <c r="C59" t="s">
        <v>415</v>
      </c>
      <c r="E59" t="s">
        <v>416</v>
      </c>
      <c r="F59" t="s">
        <v>408</v>
      </c>
      <c r="G59">
        <v>1485.0325969731609</v>
      </c>
      <c r="H59">
        <v>1492.4577599580271</v>
      </c>
      <c r="I59">
        <v>1529.769203956977</v>
      </c>
      <c r="J59">
        <v>1568.0134340559021</v>
      </c>
      <c r="K59">
        <v>1607.2137699072989</v>
      </c>
      <c r="L59">
        <v>1647.394114154981</v>
      </c>
      <c r="M59">
        <v>1688.5789670088559</v>
      </c>
      <c r="N59">
        <v>1730.793441184077</v>
      </c>
      <c r="O59">
        <v>1774.0632772136789</v>
      </c>
      <c r="P59">
        <v>1818.414859144021</v>
      </c>
      <c r="Q59">
        <v>1863.8752306226211</v>
      </c>
      <c r="R59">
        <v>1910.472111388186</v>
      </c>
      <c r="S59">
        <v>1958.233914172891</v>
      </c>
      <c r="T59">
        <v>2007.189762027213</v>
      </c>
      <c r="U59">
        <v>2057.3695060778932</v>
      </c>
      <c r="V59">
        <v>2108.8037437298399</v>
      </c>
      <c r="W59">
        <v>2161.5238373230859</v>
      </c>
      <c r="X59">
        <v>2215.5619332561628</v>
      </c>
    </row>
    <row r="60" spans="1:24" x14ac:dyDescent="0.25">
      <c r="A60" t="s">
        <v>404</v>
      </c>
      <c r="B60" t="s">
        <v>405</v>
      </c>
      <c r="C60" t="s">
        <v>417</v>
      </c>
      <c r="E60" t="s">
        <v>418</v>
      </c>
      <c r="F60" t="s">
        <v>408</v>
      </c>
      <c r="G60">
        <v>1080.0237068895719</v>
      </c>
      <c r="H60">
        <v>1085.4238254240199</v>
      </c>
      <c r="I60">
        <v>1112.55942105962</v>
      </c>
      <c r="J60">
        <v>1140.3734065861099</v>
      </c>
      <c r="K60">
        <v>1168.882741750763</v>
      </c>
      <c r="L60">
        <v>1198.1048102945319</v>
      </c>
      <c r="M60">
        <v>1228.0574305518951</v>
      </c>
      <c r="N60">
        <v>1258.7588663156921</v>
      </c>
      <c r="O60">
        <v>1290.227837973584</v>
      </c>
      <c r="P60">
        <v>1322.4835339229239</v>
      </c>
      <c r="Q60">
        <v>1355.545622270997</v>
      </c>
      <c r="R60">
        <v>1389.434262827772</v>
      </c>
      <c r="S60">
        <v>1424.1701193984661</v>
      </c>
      <c r="T60">
        <v>1459.7743723834269</v>
      </c>
      <c r="U60">
        <v>1496.268731693013</v>
      </c>
      <c r="V60">
        <v>1533.675449985338</v>
      </c>
      <c r="W60">
        <v>1572.017336234971</v>
      </c>
      <c r="X60">
        <v>1611.3177696408461</v>
      </c>
    </row>
    <row r="61" spans="1:24" x14ac:dyDescent="0.25">
      <c r="A61" t="s">
        <v>404</v>
      </c>
      <c r="B61" t="s">
        <v>405</v>
      </c>
      <c r="C61" t="s">
        <v>419</v>
      </c>
      <c r="E61" t="s">
        <v>420</v>
      </c>
      <c r="F61" t="s">
        <v>408</v>
      </c>
      <c r="G61">
        <v>5265.1155710866633</v>
      </c>
      <c r="H61">
        <v>5291.4411489420963</v>
      </c>
      <c r="I61">
        <v>5423.727177665648</v>
      </c>
      <c r="J61">
        <v>5559.3203571072891</v>
      </c>
      <c r="K61">
        <v>5698.3033660349711</v>
      </c>
      <c r="L61">
        <v>5840.7609501858451</v>
      </c>
      <c r="M61">
        <v>5986.7799739404909</v>
      </c>
      <c r="N61">
        <v>6136.4494732890034</v>
      </c>
      <c r="O61">
        <v>6289.8607101212274</v>
      </c>
      <c r="P61">
        <v>6447.1072278742577</v>
      </c>
      <c r="Q61">
        <v>6608.2849085711132</v>
      </c>
      <c r="R61">
        <v>6773.4920312853901</v>
      </c>
      <c r="S61">
        <v>6942.8293320675239</v>
      </c>
      <c r="T61">
        <v>7116.400065369211</v>
      </c>
      <c r="U61">
        <v>7294.310067003441</v>
      </c>
      <c r="V61">
        <v>7476.6678186785266</v>
      </c>
      <c r="W61">
        <v>7663.5845141454893</v>
      </c>
      <c r="X61">
        <v>7855.1741269991262</v>
      </c>
    </row>
    <row r="62" spans="1:24" x14ac:dyDescent="0.25">
      <c r="A62" t="s">
        <v>404</v>
      </c>
      <c r="B62" t="s">
        <v>405</v>
      </c>
      <c r="C62" t="s">
        <v>421</v>
      </c>
      <c r="E62" t="s">
        <v>422</v>
      </c>
      <c r="F62" t="s">
        <v>408</v>
      </c>
      <c r="G62">
        <v>206463.0681189782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</row>
    <row r="63" spans="1:24" x14ac:dyDescent="0.25">
      <c r="A63" t="s">
        <v>404</v>
      </c>
      <c r="B63" t="s">
        <v>423</v>
      </c>
      <c r="C63" t="s">
        <v>424</v>
      </c>
      <c r="E63" t="s">
        <v>425</v>
      </c>
      <c r="F63" t="s">
        <v>426</v>
      </c>
      <c r="G63">
        <v>1957.9449839347731</v>
      </c>
      <c r="H63">
        <v>1967.7347088544459</v>
      </c>
      <c r="I63">
        <v>2016.9280765758069</v>
      </c>
      <c r="J63">
        <v>2067.3512784902018</v>
      </c>
      <c r="K63">
        <v>2119.0350604524569</v>
      </c>
      <c r="L63">
        <v>2172.010936963768</v>
      </c>
      <c r="M63">
        <v>2226.311210387862</v>
      </c>
      <c r="N63">
        <v>2281.9689906475578</v>
      </c>
      <c r="O63">
        <v>2339.0182154137469</v>
      </c>
      <c r="P63">
        <v>2397.493670799091</v>
      </c>
      <c r="Q63">
        <v>2457.4310125690681</v>
      </c>
      <c r="R63">
        <v>2518.8667878832939</v>
      </c>
      <c r="S63">
        <v>2581.8384575803761</v>
      </c>
      <c r="T63">
        <v>2646.3844190198852</v>
      </c>
      <c r="U63">
        <v>2712.5440294953819</v>
      </c>
      <c r="V63">
        <v>2780.357630232766</v>
      </c>
      <c r="W63">
        <v>2849.866570988585</v>
      </c>
      <c r="X63">
        <v>2921.113235263299</v>
      </c>
    </row>
    <row r="64" spans="1:24" x14ac:dyDescent="0.25">
      <c r="A64" t="s">
        <v>404</v>
      </c>
      <c r="B64" t="s">
        <v>423</v>
      </c>
      <c r="C64" t="s">
        <v>427</v>
      </c>
      <c r="E64" t="s">
        <v>428</v>
      </c>
      <c r="F64" t="s">
        <v>426</v>
      </c>
      <c r="G64">
        <v>118.5672</v>
      </c>
      <c r="H64">
        <v>118.5672</v>
      </c>
      <c r="I64">
        <v>118.5672</v>
      </c>
      <c r="J64">
        <v>118.5672</v>
      </c>
      <c r="K64">
        <v>118.5672</v>
      </c>
      <c r="L64">
        <v>118.5672</v>
      </c>
      <c r="M64">
        <v>118.5672</v>
      </c>
      <c r="N64">
        <v>118.5672</v>
      </c>
      <c r="O64">
        <v>118.5672</v>
      </c>
      <c r="P64">
        <v>118.5672</v>
      </c>
      <c r="Q64">
        <v>118.5672</v>
      </c>
      <c r="R64">
        <v>118.5672</v>
      </c>
      <c r="S64">
        <v>118.5672</v>
      </c>
      <c r="T64">
        <v>118.5672</v>
      </c>
      <c r="U64">
        <v>118.5672</v>
      </c>
      <c r="V64">
        <v>118.5672</v>
      </c>
      <c r="W64">
        <v>118.5672</v>
      </c>
      <c r="X64">
        <v>118.5672</v>
      </c>
    </row>
    <row r="65" spans="1:24" x14ac:dyDescent="0.25">
      <c r="A65" t="s">
        <v>429</v>
      </c>
      <c r="B65" t="s">
        <v>430</v>
      </c>
      <c r="E65" t="s">
        <v>431</v>
      </c>
      <c r="F65" t="s">
        <v>359</v>
      </c>
      <c r="G65">
        <v>-43034.141007505437</v>
      </c>
      <c r="H65">
        <v>-43034.141007505437</v>
      </c>
      <c r="I65">
        <v>-43034.141007505437</v>
      </c>
      <c r="J65">
        <v>-43034.141007505437</v>
      </c>
      <c r="K65">
        <v>-43034.141007505437</v>
      </c>
      <c r="L65">
        <v>-43034.141007505437</v>
      </c>
      <c r="M65">
        <v>-43034.141007505437</v>
      </c>
      <c r="N65">
        <v>-43034.141007505437</v>
      </c>
      <c r="O65">
        <v>-43034.141007505437</v>
      </c>
      <c r="P65">
        <v>-43034.141007505437</v>
      </c>
      <c r="Q65">
        <v>-43034.141007505437</v>
      </c>
      <c r="R65">
        <v>-43034.141007505437</v>
      </c>
      <c r="S65">
        <v>-43034.141007505437</v>
      </c>
      <c r="T65">
        <v>-43034.141007505437</v>
      </c>
      <c r="U65">
        <v>-43034.141007505437</v>
      </c>
      <c r="V65">
        <v>-43034.141007505437</v>
      </c>
      <c r="W65">
        <v>-43034.141007505437</v>
      </c>
      <c r="X65">
        <v>-43034.141007505437</v>
      </c>
    </row>
    <row r="66" spans="1:24" x14ac:dyDescent="0.25">
      <c r="A66" t="s">
        <v>404</v>
      </c>
      <c r="B66" t="s">
        <v>423</v>
      </c>
      <c r="C66" t="s">
        <v>432</v>
      </c>
      <c r="E66" t="s">
        <v>433</v>
      </c>
      <c r="F66" t="s">
        <v>426</v>
      </c>
      <c r="G66">
        <v>1718.825872023252</v>
      </c>
      <c r="H66">
        <v>1727.4200013833679</v>
      </c>
      <c r="I66">
        <v>1770.6055014179519</v>
      </c>
      <c r="J66">
        <v>1814.8706389534011</v>
      </c>
      <c r="K66">
        <v>1860.2424049272361</v>
      </c>
      <c r="L66">
        <v>1906.7484650504171</v>
      </c>
      <c r="M66">
        <v>1954.4171766766769</v>
      </c>
      <c r="N66">
        <v>2003.2776060935939</v>
      </c>
      <c r="O66">
        <v>2053.359546245933</v>
      </c>
      <c r="P66">
        <v>2104.693534902081</v>
      </c>
      <c r="Q66">
        <v>2157.3108732746332</v>
      </c>
      <c r="R66">
        <v>2211.2436451064991</v>
      </c>
      <c r="S66">
        <v>2266.5247362341611</v>
      </c>
      <c r="T66">
        <v>2323.1878546400148</v>
      </c>
      <c r="U66">
        <v>2381.2675510060149</v>
      </c>
      <c r="V66">
        <v>2440.7992397811649</v>
      </c>
      <c r="W66">
        <v>2501.8192207756938</v>
      </c>
      <c r="X66">
        <v>2564.364701295086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8"/>
  </sheetPr>
  <dimension ref="A1"/>
  <sheetViews>
    <sheetView workbookViewId="0">
      <selection activeCell="E23" sqref="E23"/>
    </sheetView>
  </sheetViews>
  <sheetFormatPr defaultRowHeight="15" x14ac:dyDescent="0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I3352"/>
  <sheetViews>
    <sheetView topLeftCell="A165" zoomScale="85" zoomScaleNormal="85" workbookViewId="0">
      <selection activeCell="B38" sqref="B38:B166"/>
    </sheetView>
  </sheetViews>
  <sheetFormatPr defaultRowHeight="15" x14ac:dyDescent="0.25"/>
  <cols>
    <col min="2" max="2" width="22.42578125" bestFit="1" customWidth="1"/>
    <col min="3" max="3" width="29.85546875" bestFit="1" customWidth="1"/>
    <col min="4" max="4" width="96.5703125" bestFit="1" customWidth="1"/>
    <col min="5" max="5" width="10.42578125" bestFit="1" customWidth="1"/>
    <col min="6" max="6" width="11.85546875" bestFit="1" customWidth="1"/>
    <col min="7" max="7" width="22.5703125" bestFit="1" customWidth="1"/>
    <col min="8" max="8" width="17.28515625" bestFit="1" customWidth="1"/>
    <col min="9" max="9" width="15" bestFit="1" customWidth="1"/>
  </cols>
  <sheetData>
    <row r="2" spans="2:9" x14ac:dyDescent="0.25">
      <c r="B2" s="9" t="s">
        <v>434</v>
      </c>
    </row>
    <row r="3" spans="2:9" x14ac:dyDescent="0.25">
      <c r="B3" s="10" t="s">
        <v>435</v>
      </c>
      <c r="C3" s="10" t="s">
        <v>436</v>
      </c>
      <c r="D3" s="10" t="s">
        <v>437</v>
      </c>
      <c r="E3" s="10" t="s">
        <v>438</v>
      </c>
      <c r="F3" s="10" t="s">
        <v>439</v>
      </c>
      <c r="G3" s="10" t="s">
        <v>440</v>
      </c>
      <c r="H3" s="10" t="s">
        <v>441</v>
      </c>
      <c r="I3" s="10" t="s">
        <v>442</v>
      </c>
    </row>
    <row r="4" spans="2:9" ht="27.6" customHeight="1" thickBot="1" x14ac:dyDescent="0.3">
      <c r="B4" s="11" t="s">
        <v>443</v>
      </c>
      <c r="C4" s="11" t="s">
        <v>444</v>
      </c>
      <c r="D4" s="11" t="s">
        <v>445</v>
      </c>
      <c r="E4" s="11" t="s">
        <v>446</v>
      </c>
      <c r="F4" s="11" t="s">
        <v>447</v>
      </c>
      <c r="G4" s="11" t="s">
        <v>448</v>
      </c>
      <c r="H4" s="11" t="s">
        <v>449</v>
      </c>
      <c r="I4" s="11" t="s">
        <v>450</v>
      </c>
    </row>
    <row r="5" spans="2:9" x14ac:dyDescent="0.25">
      <c r="B5" t="s">
        <v>451</v>
      </c>
      <c r="C5" t="str">
        <f>Def_Comm!C5&amp;"MIN"</f>
        <v>RESAPALONewSHRETMIN</v>
      </c>
      <c r="D5" t="str">
        <f>Def_Comm!D5&amp;" Mining"</f>
        <v>Apartment Low Income New Space heating Retrofit potential Mining</v>
      </c>
      <c r="E5" t="s">
        <v>315</v>
      </c>
      <c r="F5" t="s">
        <v>315</v>
      </c>
    </row>
    <row r="6" spans="2:9" x14ac:dyDescent="0.25">
      <c r="C6" t="str">
        <f>Def_Comm!C6&amp;"MIN"</f>
        <v>RESAPALONewSCRETMIN</v>
      </c>
      <c r="D6" t="str">
        <f>Def_Comm!D6&amp;" Mining"</f>
        <v>Apartment Low Income New Space cooling Retrofit potential Mining</v>
      </c>
      <c r="E6" t="s">
        <v>315</v>
      </c>
      <c r="F6" t="s">
        <v>315</v>
      </c>
    </row>
    <row r="7" spans="2:9" x14ac:dyDescent="0.25">
      <c r="C7" t="str">
        <f>Def_Comm!C7&amp;"MIN"</f>
        <v>RESHOULONewSHRETMIN</v>
      </c>
      <c r="D7" t="str">
        <f>Def_Comm!D7&amp;" Mining"</f>
        <v>House Low Income New Space heating Retrofit potential Mining</v>
      </c>
      <c r="E7" t="s">
        <v>315</v>
      </c>
      <c r="F7" t="s">
        <v>315</v>
      </c>
    </row>
    <row r="8" spans="2:9" x14ac:dyDescent="0.25">
      <c r="C8" t="str">
        <f>Def_Comm!C8&amp;"MIN"</f>
        <v>RESHOULONewSCRETMIN</v>
      </c>
      <c r="D8" t="str">
        <f>Def_Comm!D8&amp;" Mining"</f>
        <v>House Low Income New Space cooling Retrofit potential Mining</v>
      </c>
      <c r="E8" t="s">
        <v>315</v>
      </c>
      <c r="F8" t="s">
        <v>315</v>
      </c>
    </row>
    <row r="9" spans="2:9" x14ac:dyDescent="0.25">
      <c r="C9" t="str">
        <f>Def_Comm!C9&amp;"MIN"</f>
        <v>RESAPALMNewSHRETMIN</v>
      </c>
      <c r="D9" t="str">
        <f>Def_Comm!D9&amp;" Mining"</f>
        <v>Apartment Lower-middle Income New Space heating Retrofit potential Mining</v>
      </c>
      <c r="E9" t="s">
        <v>315</v>
      </c>
      <c r="F9" t="s">
        <v>315</v>
      </c>
    </row>
    <row r="10" spans="2:9" x14ac:dyDescent="0.25">
      <c r="C10" t="str">
        <f>Def_Comm!C10&amp;"MIN"</f>
        <v>RESAPALMNewSCRETMIN</v>
      </c>
      <c r="D10" t="str">
        <f>Def_Comm!D10&amp;" Mining"</f>
        <v>Apartment Lower-middle Income New Space cooling Retrofit potential Mining</v>
      </c>
      <c r="E10" t="s">
        <v>315</v>
      </c>
      <c r="F10" t="s">
        <v>315</v>
      </c>
    </row>
    <row r="11" spans="2:9" x14ac:dyDescent="0.25">
      <c r="C11" t="str">
        <f>Def_Comm!C11&amp;"MIN"</f>
        <v>RESHOULMNewSHRETMIN</v>
      </c>
      <c r="D11" t="str">
        <f>Def_Comm!D11&amp;" Mining"</f>
        <v>House Lower-middle Income New Space heating Retrofit potential Mining</v>
      </c>
      <c r="E11" t="s">
        <v>315</v>
      </c>
      <c r="F11" t="s">
        <v>315</v>
      </c>
    </row>
    <row r="12" spans="2:9" x14ac:dyDescent="0.25">
      <c r="C12" t="str">
        <f>Def_Comm!C12&amp;"MIN"</f>
        <v>RESHOULMNewSCRETMIN</v>
      </c>
      <c r="D12" t="str">
        <f>Def_Comm!D12&amp;" Mining"</f>
        <v>House Lower-middle Income New Space cooling Retrofit potential Mining</v>
      </c>
      <c r="E12" t="s">
        <v>315</v>
      </c>
      <c r="F12" t="s">
        <v>315</v>
      </c>
    </row>
    <row r="13" spans="2:9" x14ac:dyDescent="0.25">
      <c r="C13" t="str">
        <f>Def_Comm!C13&amp;"MIN"</f>
        <v>RESAPAUMNewSHRETMIN</v>
      </c>
      <c r="D13" t="str">
        <f>Def_Comm!D13&amp;" Mining"</f>
        <v>Apartment Upper-middle Income New Space heating Retrofit potential Mining</v>
      </c>
      <c r="E13" t="s">
        <v>315</v>
      </c>
      <c r="F13" t="s">
        <v>315</v>
      </c>
    </row>
    <row r="14" spans="2:9" x14ac:dyDescent="0.25">
      <c r="C14" t="str">
        <f>Def_Comm!C14&amp;"MIN"</f>
        <v>RESAPAUMNewSCRETMIN</v>
      </c>
      <c r="D14" t="str">
        <f>Def_Comm!D14&amp;" Mining"</f>
        <v>Apartment Upper-middle Income New Space cooling Retrofit potential Mining</v>
      </c>
      <c r="E14" t="s">
        <v>315</v>
      </c>
      <c r="F14" t="s">
        <v>315</v>
      </c>
    </row>
    <row r="15" spans="2:9" x14ac:dyDescent="0.25">
      <c r="C15" t="str">
        <f>Def_Comm!C15&amp;"MIN"</f>
        <v>RESHOUUMNewSHRETMIN</v>
      </c>
      <c r="D15" t="str">
        <f>Def_Comm!D15&amp;" Mining"</f>
        <v>House Upper-middle Income New Space heating Retrofit potential Mining</v>
      </c>
      <c r="E15" t="s">
        <v>315</v>
      </c>
      <c r="F15" t="s">
        <v>315</v>
      </c>
    </row>
    <row r="16" spans="2:9" x14ac:dyDescent="0.25">
      <c r="C16" t="str">
        <f>Def_Comm!C16&amp;"MIN"</f>
        <v>RESHOUUMNewSCRETMIN</v>
      </c>
      <c r="D16" t="str">
        <f>Def_Comm!D16&amp;" Mining"</f>
        <v>House Upper-middle Income New Space cooling Retrofit potential Mining</v>
      </c>
      <c r="E16" t="s">
        <v>315</v>
      </c>
      <c r="F16" t="s">
        <v>315</v>
      </c>
    </row>
    <row r="17" spans="3:6" x14ac:dyDescent="0.25">
      <c r="C17" t="str">
        <f>Def_Comm!C17&amp;"MIN"</f>
        <v>RESAPAHINewSHRETMIN</v>
      </c>
      <c r="D17" t="str">
        <f>Def_Comm!D17&amp;" Mining"</f>
        <v>Apartment High Income New Space heating Retrofit potential Mining</v>
      </c>
      <c r="E17" t="s">
        <v>315</v>
      </c>
      <c r="F17" t="s">
        <v>315</v>
      </c>
    </row>
    <row r="18" spans="3:6" x14ac:dyDescent="0.25">
      <c r="C18" t="str">
        <f>Def_Comm!C18&amp;"MIN"</f>
        <v>RESAPAHINewSCRETMIN</v>
      </c>
      <c r="D18" t="str">
        <f>Def_Comm!D18&amp;" Mining"</f>
        <v>Apartment High Income New Space cooling Retrofit potential Mining</v>
      </c>
      <c r="E18" t="s">
        <v>315</v>
      </c>
      <c r="F18" t="s">
        <v>315</v>
      </c>
    </row>
    <row r="19" spans="3:6" x14ac:dyDescent="0.25">
      <c r="C19" t="str">
        <f>Def_Comm!C19&amp;"MIN"</f>
        <v>RESHOUHINewSHRETMIN</v>
      </c>
      <c r="D19" t="str">
        <f>Def_Comm!D19&amp;" Mining"</f>
        <v>House High Income New Space heating Retrofit potential Mining</v>
      </c>
      <c r="E19" t="s">
        <v>315</v>
      </c>
      <c r="F19" t="s">
        <v>315</v>
      </c>
    </row>
    <row r="20" spans="3:6" x14ac:dyDescent="0.25">
      <c r="C20" t="str">
        <f>Def_Comm!C20&amp;"MIN"</f>
        <v>RESHOUHINewSCRETMIN</v>
      </c>
      <c r="D20" t="str">
        <f>Def_Comm!D20&amp;" Mining"</f>
        <v>House High Income New Space cooling Retrofit potential Mining</v>
      </c>
      <c r="E20" t="s">
        <v>315</v>
      </c>
      <c r="F20" t="s">
        <v>315</v>
      </c>
    </row>
    <row r="21" spans="3:6" x14ac:dyDescent="0.25">
      <c r="C21" t="str">
        <f>Def_Comm!C21&amp;"MIN"</f>
        <v>RESAPALOOldSHRETMIN</v>
      </c>
      <c r="D21" t="str">
        <f>Def_Comm!D21&amp;" Mining"</f>
        <v>Apartment Low Income Old Space heating Retrofit potential Mining</v>
      </c>
      <c r="E21" t="s">
        <v>315</v>
      </c>
      <c r="F21" t="s">
        <v>315</v>
      </c>
    </row>
    <row r="22" spans="3:6" x14ac:dyDescent="0.25">
      <c r="C22" t="str">
        <f>Def_Comm!C22&amp;"MIN"</f>
        <v>RESAPALOOldSCRETMIN</v>
      </c>
      <c r="D22" t="str">
        <f>Def_Comm!D22&amp;" Mining"</f>
        <v>Apartment Low Income Old Space cooling Retrofit potential Mining</v>
      </c>
      <c r="E22" t="s">
        <v>315</v>
      </c>
      <c r="F22" t="s">
        <v>315</v>
      </c>
    </row>
    <row r="23" spans="3:6" x14ac:dyDescent="0.25">
      <c r="C23" t="str">
        <f>Def_Comm!C23&amp;"MIN"</f>
        <v>RESHOULOOldSHRETMIN</v>
      </c>
      <c r="D23" t="str">
        <f>Def_Comm!D23&amp;" Mining"</f>
        <v>House Low Income Old Space heating Retrofit potential Mining</v>
      </c>
      <c r="E23" t="s">
        <v>315</v>
      </c>
      <c r="F23" t="s">
        <v>315</v>
      </c>
    </row>
    <row r="24" spans="3:6" x14ac:dyDescent="0.25">
      <c r="C24" t="str">
        <f>Def_Comm!C24&amp;"MIN"</f>
        <v>RESHOULOOldSCRETMIN</v>
      </c>
      <c r="D24" t="str">
        <f>Def_Comm!D24&amp;" Mining"</f>
        <v>House Low Income Old Space cooling Retrofit potential Mining</v>
      </c>
      <c r="E24" t="s">
        <v>315</v>
      </c>
      <c r="F24" t="s">
        <v>315</v>
      </c>
    </row>
    <row r="25" spans="3:6" x14ac:dyDescent="0.25">
      <c r="C25" t="str">
        <f>Def_Comm!C25&amp;"MIN"</f>
        <v>RESAPALMOldSHRETMIN</v>
      </c>
      <c r="D25" t="str">
        <f>Def_Comm!D25&amp;" Mining"</f>
        <v>Apartment Lower-middle Income Old Space heating Retrofit potential Mining</v>
      </c>
      <c r="E25" t="s">
        <v>315</v>
      </c>
      <c r="F25" t="s">
        <v>315</v>
      </c>
    </row>
    <row r="26" spans="3:6" x14ac:dyDescent="0.25">
      <c r="C26" t="str">
        <f>Def_Comm!C26&amp;"MIN"</f>
        <v>RESAPALMOldSCRETMIN</v>
      </c>
      <c r="D26" t="str">
        <f>Def_Comm!D26&amp;" Mining"</f>
        <v>Apartment Lower-middle Income Old Space cooling Retrofit potential Mining</v>
      </c>
      <c r="E26" t="s">
        <v>315</v>
      </c>
      <c r="F26" t="s">
        <v>315</v>
      </c>
    </row>
    <row r="27" spans="3:6" x14ac:dyDescent="0.25">
      <c r="C27" t="str">
        <f>Def_Comm!C27&amp;"MIN"</f>
        <v>RESHOULMOldSHRETMIN</v>
      </c>
      <c r="D27" t="str">
        <f>Def_Comm!D27&amp;" Mining"</f>
        <v>House Lower-middle Income Old Space heating Retrofit potential Mining</v>
      </c>
      <c r="E27" t="s">
        <v>315</v>
      </c>
      <c r="F27" t="s">
        <v>315</v>
      </c>
    </row>
    <row r="28" spans="3:6" x14ac:dyDescent="0.25">
      <c r="C28" t="str">
        <f>Def_Comm!C28&amp;"MIN"</f>
        <v>RESHOULMOldSCRETMIN</v>
      </c>
      <c r="D28" t="str">
        <f>Def_Comm!D28&amp;" Mining"</f>
        <v>House Lower-middle Income Old Space cooling Retrofit potential Mining</v>
      </c>
      <c r="E28" t="s">
        <v>315</v>
      </c>
      <c r="F28" t="s">
        <v>315</v>
      </c>
    </row>
    <row r="29" spans="3:6" x14ac:dyDescent="0.25">
      <c r="C29" t="str">
        <f>Def_Comm!C29&amp;"MIN"</f>
        <v>RESAPAUMOldSHRETMIN</v>
      </c>
      <c r="D29" t="str">
        <f>Def_Comm!D29&amp;" Mining"</f>
        <v>Apartment Upper-middle Income Old Space heating Retrofit potential Mining</v>
      </c>
      <c r="E29" t="s">
        <v>315</v>
      </c>
      <c r="F29" t="s">
        <v>315</v>
      </c>
    </row>
    <row r="30" spans="3:6" x14ac:dyDescent="0.25">
      <c r="C30" t="str">
        <f>Def_Comm!C30&amp;"MIN"</f>
        <v>RESAPAUMOldSCRETMIN</v>
      </c>
      <c r="D30" t="str">
        <f>Def_Comm!D30&amp;" Mining"</f>
        <v>Apartment Upper-middle Income Old Space cooling Retrofit potential Mining</v>
      </c>
      <c r="E30" t="s">
        <v>315</v>
      </c>
      <c r="F30" t="s">
        <v>315</v>
      </c>
    </row>
    <row r="31" spans="3:6" x14ac:dyDescent="0.25">
      <c r="C31" t="str">
        <f>Def_Comm!C31&amp;"MIN"</f>
        <v>RESHOUUMOldSHRETMIN</v>
      </c>
      <c r="D31" t="str">
        <f>Def_Comm!D31&amp;" Mining"</f>
        <v>House Upper-middle Income Old Space heating Retrofit potential Mining</v>
      </c>
      <c r="E31" t="s">
        <v>315</v>
      </c>
      <c r="F31" t="s">
        <v>315</v>
      </c>
    </row>
    <row r="32" spans="3:6" x14ac:dyDescent="0.25">
      <c r="C32" t="str">
        <f>Def_Comm!C32&amp;"MIN"</f>
        <v>RESHOUUMOldSCRETMIN</v>
      </c>
      <c r="D32" t="str">
        <f>Def_Comm!D32&amp;" Mining"</f>
        <v>House Upper-middle Income Old Space cooling Retrofit potential Mining</v>
      </c>
      <c r="E32" t="s">
        <v>315</v>
      </c>
      <c r="F32" t="s">
        <v>315</v>
      </c>
    </row>
    <row r="33" spans="2:6" x14ac:dyDescent="0.25">
      <c r="C33" t="str">
        <f>Def_Comm!C33&amp;"MIN"</f>
        <v>RESAPAHIOldSHRETMIN</v>
      </c>
      <c r="D33" t="str">
        <f>Def_Comm!D33&amp;" Mining"</f>
        <v>Apartment High Income Old Space heating Retrofit potential Mining</v>
      </c>
      <c r="E33" t="s">
        <v>315</v>
      </c>
      <c r="F33" t="s">
        <v>315</v>
      </c>
    </row>
    <row r="34" spans="2:6" x14ac:dyDescent="0.25">
      <c r="C34" t="str">
        <f>Def_Comm!C34&amp;"MIN"</f>
        <v>RESAPAHIOldSCRETMIN</v>
      </c>
      <c r="D34" t="str">
        <f>Def_Comm!D34&amp;" Mining"</f>
        <v>Apartment High Income Old Space cooling Retrofit potential Mining</v>
      </c>
      <c r="E34" t="s">
        <v>315</v>
      </c>
      <c r="F34" t="s">
        <v>315</v>
      </c>
    </row>
    <row r="35" spans="2:6" x14ac:dyDescent="0.25">
      <c r="C35" t="str">
        <f>Def_Comm!C35&amp;"MIN"</f>
        <v>RESHOUHIOldSHRETMIN</v>
      </c>
      <c r="D35" t="str">
        <f>Def_Comm!D35&amp;" Mining"</f>
        <v>House High Income Old Space heating Retrofit potential Mining</v>
      </c>
      <c r="E35" t="s">
        <v>315</v>
      </c>
      <c r="F35" t="s">
        <v>315</v>
      </c>
    </row>
    <row r="36" spans="2:6" x14ac:dyDescent="0.25">
      <c r="C36" t="str">
        <f>Def_Comm!C36&amp;"MIN"</f>
        <v>RESHOUHIOldSCRETMIN</v>
      </c>
      <c r="D36" t="str">
        <f>Def_Comm!D36&amp;" Mining"</f>
        <v>House High Income Old Space cooling Retrofit potential Mining</v>
      </c>
      <c r="E36" t="s">
        <v>315</v>
      </c>
      <c r="F36" t="s">
        <v>315</v>
      </c>
    </row>
    <row r="37" spans="2:6" x14ac:dyDescent="0.25">
      <c r="B37" t="s">
        <v>212</v>
      </c>
      <c r="C37" t="s">
        <v>212</v>
      </c>
    </row>
    <row r="38" spans="2:6" x14ac:dyDescent="0.25">
      <c r="B38" t="str">
        <f>IF('RET TECH'!N3=1,"PRE","*")</f>
        <v>PRE</v>
      </c>
      <c r="C38" t="str">
        <f>'RET TECH'!M3</f>
        <v>RESAPALONewSHENVESTAR20</v>
      </c>
      <c r="D38" t="str">
        <f>_xlfn.XLOOKUP(C38,'RET TECH'!$M:$M,'RET TECH'!$A:$A)&amp;" "&amp;_xlfn.XLOOKUP(C38,'RET TECH'!$M:$M,'RET TECH'!$B:$B)&amp;" "&amp;_xlfn.XLOOKUP(C38,'RET TECH'!$M:$M,'RET TECH'!$C:$C)&amp;" "&amp;_xlfn.XLOOKUP(C38,'RET TECH'!$M:$M,'RET TECH'!$D:$D)&amp;" "&amp;_xlfn.XLOOKUP(C38,'RET TECH'!$M:$M,'RET TECH'!$E:$E)&amp;" "&amp;_xlfn.XLOOKUP(C38,'RET TECH'!$M:$M,'RET TECH'!$F:$F)&amp;" "&amp;_xlfn.XLOOKUP(C38,'RET TECH'!$M:$M,'RET TECH'!$G:$G)&amp;" "&amp;_xlfn.XLOOKUP(C38,'RET TECH'!$M:$M,'RET TECH'!$H:$H)</f>
        <v xml:space="preserve">Residential Apartment Low Income New Space heating Building enveloppe ENERGY STAR </v>
      </c>
      <c r="E38" t="str">
        <f t="shared" ref="E38:E69" si="0">IF(F38="*","*",IF(F38="Mlma","Mlm","TJ"))</f>
        <v>TJ</v>
      </c>
      <c r="F38" t="str">
        <f t="shared" ref="F38:F69" si="1">IF(C38="*","*","MW")</f>
        <v>MW</v>
      </c>
    </row>
    <row r="39" spans="2:6" x14ac:dyDescent="0.25">
      <c r="B39" t="str">
        <f>IF('RET TECH'!N4=1,"PRE","*")</f>
        <v>PRE</v>
      </c>
      <c r="C39" t="str">
        <f>'RET TECH'!M4</f>
        <v>RESAPALONewSHENVPATH20</v>
      </c>
      <c r="D39" t="str">
        <f>_xlfn.XLOOKUP(C39,'RET TECH'!$M:$M,'RET TECH'!$A:$A)&amp;" "&amp;_xlfn.XLOOKUP(C39,'RET TECH'!$M:$M,'RET TECH'!$B:$B)&amp;" "&amp;_xlfn.XLOOKUP(C39,'RET TECH'!$M:$M,'RET TECH'!$C:$C)&amp;" "&amp;_xlfn.XLOOKUP(C39,'RET TECH'!$M:$M,'RET TECH'!$D:$D)&amp;" "&amp;_xlfn.XLOOKUP(C39,'RET TECH'!$M:$M,'RET TECH'!$E:$E)&amp;" "&amp;_xlfn.XLOOKUP(C39,'RET TECH'!$M:$M,'RET TECH'!$F:$F)&amp;" "&amp;_xlfn.XLOOKUP(C39,'RET TECH'!$M:$M,'RET TECH'!$G:$G)&amp;" "&amp;_xlfn.XLOOKUP(C39,'RET TECH'!$M:$M,'RET TECH'!$H:$H)</f>
        <v xml:space="preserve">Residential Apartment Low Income New Space heating Building enveloppe PATH </v>
      </c>
      <c r="E39" t="str">
        <f t="shared" si="0"/>
        <v>TJ</v>
      </c>
      <c r="F39" t="str">
        <f t="shared" si="1"/>
        <v>MW</v>
      </c>
    </row>
    <row r="40" spans="2:6" x14ac:dyDescent="0.25">
      <c r="B40" t="str">
        <f>IF('RET TECH'!N5=1,"PRE","*")</f>
        <v>PRE</v>
      </c>
      <c r="C40" t="str">
        <f>'RET TECH'!M5</f>
        <v>RESAPALONewSHENVIECC4020</v>
      </c>
      <c r="D40" t="str">
        <f>_xlfn.XLOOKUP(C40,'RET TECH'!$M:$M,'RET TECH'!$A:$A)&amp;" "&amp;_xlfn.XLOOKUP(C40,'RET TECH'!$M:$M,'RET TECH'!$B:$B)&amp;" "&amp;_xlfn.XLOOKUP(C40,'RET TECH'!$M:$M,'RET TECH'!$C:$C)&amp;" "&amp;_xlfn.XLOOKUP(C40,'RET TECH'!$M:$M,'RET TECH'!$D:$D)&amp;" "&amp;_xlfn.XLOOKUP(C40,'RET TECH'!$M:$M,'RET TECH'!$E:$E)&amp;" "&amp;_xlfn.XLOOKUP(C40,'RET TECH'!$M:$M,'RET TECH'!$F:$F)&amp;" "&amp;_xlfn.XLOOKUP(C40,'RET TECH'!$M:$M,'RET TECH'!$G:$G)&amp;" "&amp;_xlfn.XLOOKUP(C40,'RET TECH'!$M:$M,'RET TECH'!$H:$H)</f>
        <v xml:space="preserve">Residential Apartment Low Income New Space heating Building enveloppe IECC 2009 +40% </v>
      </c>
      <c r="E40" t="str">
        <f t="shared" si="0"/>
        <v>TJ</v>
      </c>
      <c r="F40" t="str">
        <f t="shared" si="1"/>
        <v>MW</v>
      </c>
    </row>
    <row r="41" spans="2:6" x14ac:dyDescent="0.25">
      <c r="B41" t="str">
        <f>IF('RET TECH'!N6=1,"PRE","*")</f>
        <v>PRE</v>
      </c>
      <c r="C41" t="str">
        <f>'RET TECH'!M6</f>
        <v>RESAPALONewSHENVIECC20</v>
      </c>
      <c r="D41" t="str">
        <f>_xlfn.XLOOKUP(C41,'RET TECH'!$M:$M,'RET TECH'!$A:$A)&amp;" "&amp;_xlfn.XLOOKUP(C41,'RET TECH'!$M:$M,'RET TECH'!$B:$B)&amp;" "&amp;_xlfn.XLOOKUP(C41,'RET TECH'!$M:$M,'RET TECH'!$C:$C)&amp;" "&amp;_xlfn.XLOOKUP(C41,'RET TECH'!$M:$M,'RET TECH'!$D:$D)&amp;" "&amp;_xlfn.XLOOKUP(C41,'RET TECH'!$M:$M,'RET TECH'!$E:$E)&amp;" "&amp;_xlfn.XLOOKUP(C41,'RET TECH'!$M:$M,'RET TECH'!$F:$F)&amp;" "&amp;_xlfn.XLOOKUP(C41,'RET TECH'!$M:$M,'RET TECH'!$G:$G)&amp;" "&amp;_xlfn.XLOOKUP(C41,'RET TECH'!$M:$M,'RET TECH'!$H:$H)</f>
        <v xml:space="preserve">Residential Apartment Low Income New Space heating Building enveloppe IECC 2009 </v>
      </c>
      <c r="E41" t="str">
        <f t="shared" si="0"/>
        <v>TJ</v>
      </c>
      <c r="F41" t="str">
        <f t="shared" si="1"/>
        <v>MW</v>
      </c>
    </row>
    <row r="42" spans="2:6" x14ac:dyDescent="0.25">
      <c r="B42" t="str">
        <f>IF('RET TECH'!N7=1,"PRE","*")</f>
        <v>*</v>
      </c>
      <c r="C42" t="str">
        <f>'RET TECH'!M7</f>
        <v>RESAPALONewSCENVESTAR20</v>
      </c>
      <c r="D42" t="str">
        <f>_xlfn.XLOOKUP(C42,'RET TECH'!$M:$M,'RET TECH'!$A:$A)&amp;" "&amp;_xlfn.XLOOKUP(C42,'RET TECH'!$M:$M,'RET TECH'!$B:$B)&amp;" "&amp;_xlfn.XLOOKUP(C42,'RET TECH'!$M:$M,'RET TECH'!$C:$C)&amp;" "&amp;_xlfn.XLOOKUP(C42,'RET TECH'!$M:$M,'RET TECH'!$D:$D)&amp;" "&amp;_xlfn.XLOOKUP(C42,'RET TECH'!$M:$M,'RET TECH'!$E:$E)&amp;" "&amp;_xlfn.XLOOKUP(C42,'RET TECH'!$M:$M,'RET TECH'!$F:$F)&amp;" "&amp;_xlfn.XLOOKUP(C42,'RET TECH'!$M:$M,'RET TECH'!$G:$G)&amp;" "&amp;_xlfn.XLOOKUP(C42,'RET TECH'!$M:$M,'RET TECH'!$H:$H)</f>
        <v xml:space="preserve">Residential Apartment Low Income New Space cooling Building enveloppe ENERGY STAR </v>
      </c>
      <c r="E42" t="str">
        <f t="shared" si="0"/>
        <v>TJ</v>
      </c>
      <c r="F42" t="str">
        <f t="shared" si="1"/>
        <v>MW</v>
      </c>
    </row>
    <row r="43" spans="2:6" x14ac:dyDescent="0.25">
      <c r="B43" t="str">
        <f>IF('RET TECH'!N8=1,"PRE","*")</f>
        <v>*</v>
      </c>
      <c r="C43" t="str">
        <f>'RET TECH'!M8</f>
        <v>RESAPALONewSCENVPATH20</v>
      </c>
      <c r="D43" t="str">
        <f>_xlfn.XLOOKUP(C43,'RET TECH'!$M:$M,'RET TECH'!$A:$A)&amp;" "&amp;_xlfn.XLOOKUP(C43,'RET TECH'!$M:$M,'RET TECH'!$B:$B)&amp;" "&amp;_xlfn.XLOOKUP(C43,'RET TECH'!$M:$M,'RET TECH'!$C:$C)&amp;" "&amp;_xlfn.XLOOKUP(C43,'RET TECH'!$M:$M,'RET TECH'!$D:$D)&amp;" "&amp;_xlfn.XLOOKUP(C43,'RET TECH'!$M:$M,'RET TECH'!$E:$E)&amp;" "&amp;_xlfn.XLOOKUP(C43,'RET TECH'!$M:$M,'RET TECH'!$F:$F)&amp;" "&amp;_xlfn.XLOOKUP(C43,'RET TECH'!$M:$M,'RET TECH'!$G:$G)&amp;" "&amp;_xlfn.XLOOKUP(C43,'RET TECH'!$M:$M,'RET TECH'!$H:$H)</f>
        <v xml:space="preserve">Residential Apartment Low Income New Space cooling Building enveloppe PATH </v>
      </c>
      <c r="E43" t="str">
        <f t="shared" si="0"/>
        <v>TJ</v>
      </c>
      <c r="F43" t="str">
        <f t="shared" si="1"/>
        <v>MW</v>
      </c>
    </row>
    <row r="44" spans="2:6" x14ac:dyDescent="0.25">
      <c r="B44" t="str">
        <f>IF('RET TECH'!N9=1,"PRE","*")</f>
        <v>*</v>
      </c>
      <c r="C44" t="str">
        <f>'RET TECH'!M9</f>
        <v>RESAPALONewSCENVIECC4020</v>
      </c>
      <c r="D44" t="str">
        <f>_xlfn.XLOOKUP(C44,'RET TECH'!$M:$M,'RET TECH'!$A:$A)&amp;" "&amp;_xlfn.XLOOKUP(C44,'RET TECH'!$M:$M,'RET TECH'!$B:$B)&amp;" "&amp;_xlfn.XLOOKUP(C44,'RET TECH'!$M:$M,'RET TECH'!$C:$C)&amp;" "&amp;_xlfn.XLOOKUP(C44,'RET TECH'!$M:$M,'RET TECH'!$D:$D)&amp;" "&amp;_xlfn.XLOOKUP(C44,'RET TECH'!$M:$M,'RET TECH'!$E:$E)&amp;" "&amp;_xlfn.XLOOKUP(C44,'RET TECH'!$M:$M,'RET TECH'!$F:$F)&amp;" "&amp;_xlfn.XLOOKUP(C44,'RET TECH'!$M:$M,'RET TECH'!$G:$G)&amp;" "&amp;_xlfn.XLOOKUP(C44,'RET TECH'!$M:$M,'RET TECH'!$H:$H)</f>
        <v xml:space="preserve">Residential Apartment Low Income New Space cooling Building enveloppe IECC 2009 +40% </v>
      </c>
      <c r="E44" t="str">
        <f t="shared" si="0"/>
        <v>TJ</v>
      </c>
      <c r="F44" t="str">
        <f t="shared" si="1"/>
        <v>MW</v>
      </c>
    </row>
    <row r="45" spans="2:6" x14ac:dyDescent="0.25">
      <c r="B45" t="str">
        <f>IF('RET TECH'!N10=1,"PRE","*")</f>
        <v>*</v>
      </c>
      <c r="C45" t="str">
        <f>'RET TECH'!M10</f>
        <v>RESAPALONewSCENVIECC20</v>
      </c>
      <c r="D45" t="str">
        <f>_xlfn.XLOOKUP(C45,'RET TECH'!$M:$M,'RET TECH'!$A:$A)&amp;" "&amp;_xlfn.XLOOKUP(C45,'RET TECH'!$M:$M,'RET TECH'!$B:$B)&amp;" "&amp;_xlfn.XLOOKUP(C45,'RET TECH'!$M:$M,'RET TECH'!$C:$C)&amp;" "&amp;_xlfn.XLOOKUP(C45,'RET TECH'!$M:$M,'RET TECH'!$D:$D)&amp;" "&amp;_xlfn.XLOOKUP(C45,'RET TECH'!$M:$M,'RET TECH'!$E:$E)&amp;" "&amp;_xlfn.XLOOKUP(C45,'RET TECH'!$M:$M,'RET TECH'!$F:$F)&amp;" "&amp;_xlfn.XLOOKUP(C45,'RET TECH'!$M:$M,'RET TECH'!$G:$G)&amp;" "&amp;_xlfn.XLOOKUP(C45,'RET TECH'!$M:$M,'RET TECH'!$H:$H)</f>
        <v xml:space="preserve">Residential Apartment Low Income New Space cooling Building enveloppe IECC 2009 </v>
      </c>
      <c r="E45" t="str">
        <f t="shared" si="0"/>
        <v>TJ</v>
      </c>
      <c r="F45" t="str">
        <f t="shared" si="1"/>
        <v>MW</v>
      </c>
    </row>
    <row r="46" spans="2:6" x14ac:dyDescent="0.25">
      <c r="B46" t="str">
        <f>IF('RET TECH'!N11=1,"PRE","*")</f>
        <v>PRE</v>
      </c>
      <c r="C46" t="str">
        <f>'RET TECH'!M11</f>
        <v>RESHOULONewSHENVESTAR20</v>
      </c>
      <c r="D46" t="str">
        <f>_xlfn.XLOOKUP(C46,'RET TECH'!$M:$M,'RET TECH'!$A:$A)&amp;" "&amp;_xlfn.XLOOKUP(C46,'RET TECH'!$M:$M,'RET TECH'!$B:$B)&amp;" "&amp;_xlfn.XLOOKUP(C46,'RET TECH'!$M:$M,'RET TECH'!$C:$C)&amp;" "&amp;_xlfn.XLOOKUP(C46,'RET TECH'!$M:$M,'RET TECH'!$D:$D)&amp;" "&amp;_xlfn.XLOOKUP(C46,'RET TECH'!$M:$M,'RET TECH'!$E:$E)&amp;" "&amp;_xlfn.XLOOKUP(C46,'RET TECH'!$M:$M,'RET TECH'!$F:$F)&amp;" "&amp;_xlfn.XLOOKUP(C46,'RET TECH'!$M:$M,'RET TECH'!$G:$G)&amp;" "&amp;_xlfn.XLOOKUP(C46,'RET TECH'!$M:$M,'RET TECH'!$H:$H)</f>
        <v xml:space="preserve">Residential House Low Income New Space heating Building enveloppe ENERGY STAR </v>
      </c>
      <c r="E46" t="str">
        <f t="shared" si="0"/>
        <v>TJ</v>
      </c>
      <c r="F46" t="str">
        <f t="shared" si="1"/>
        <v>MW</v>
      </c>
    </row>
    <row r="47" spans="2:6" x14ac:dyDescent="0.25">
      <c r="B47" t="str">
        <f>IF('RET TECH'!N12=1,"PRE","*")</f>
        <v>PRE</v>
      </c>
      <c r="C47" t="str">
        <f>'RET TECH'!M12</f>
        <v>RESHOULONewSHENVPATH20</v>
      </c>
      <c r="D47" t="str">
        <f>_xlfn.XLOOKUP(C47,'RET TECH'!$M:$M,'RET TECH'!$A:$A)&amp;" "&amp;_xlfn.XLOOKUP(C47,'RET TECH'!$M:$M,'RET TECH'!$B:$B)&amp;" "&amp;_xlfn.XLOOKUP(C47,'RET TECH'!$M:$M,'RET TECH'!$C:$C)&amp;" "&amp;_xlfn.XLOOKUP(C47,'RET TECH'!$M:$M,'RET TECH'!$D:$D)&amp;" "&amp;_xlfn.XLOOKUP(C47,'RET TECH'!$M:$M,'RET TECH'!$E:$E)&amp;" "&amp;_xlfn.XLOOKUP(C47,'RET TECH'!$M:$M,'RET TECH'!$F:$F)&amp;" "&amp;_xlfn.XLOOKUP(C47,'RET TECH'!$M:$M,'RET TECH'!$G:$G)&amp;" "&amp;_xlfn.XLOOKUP(C47,'RET TECH'!$M:$M,'RET TECH'!$H:$H)</f>
        <v xml:space="preserve">Residential House Low Income New Space heating Building enveloppe PATH </v>
      </c>
      <c r="E47" t="str">
        <f t="shared" si="0"/>
        <v>TJ</v>
      </c>
      <c r="F47" t="str">
        <f t="shared" si="1"/>
        <v>MW</v>
      </c>
    </row>
    <row r="48" spans="2:6" x14ac:dyDescent="0.25">
      <c r="B48" t="str">
        <f>IF('RET TECH'!N13=1,"PRE","*")</f>
        <v>PRE</v>
      </c>
      <c r="C48" t="str">
        <f>'RET TECH'!M13</f>
        <v>RESHOULONewSHENVIECC4020</v>
      </c>
      <c r="D48" t="str">
        <f>_xlfn.XLOOKUP(C48,'RET TECH'!$M:$M,'RET TECH'!$A:$A)&amp;" "&amp;_xlfn.XLOOKUP(C48,'RET TECH'!$M:$M,'RET TECH'!$B:$B)&amp;" "&amp;_xlfn.XLOOKUP(C48,'RET TECH'!$M:$M,'RET TECH'!$C:$C)&amp;" "&amp;_xlfn.XLOOKUP(C48,'RET TECH'!$M:$M,'RET TECH'!$D:$D)&amp;" "&amp;_xlfn.XLOOKUP(C48,'RET TECH'!$M:$M,'RET TECH'!$E:$E)&amp;" "&amp;_xlfn.XLOOKUP(C48,'RET TECH'!$M:$M,'RET TECH'!$F:$F)&amp;" "&amp;_xlfn.XLOOKUP(C48,'RET TECH'!$M:$M,'RET TECH'!$G:$G)&amp;" "&amp;_xlfn.XLOOKUP(C48,'RET TECH'!$M:$M,'RET TECH'!$H:$H)</f>
        <v xml:space="preserve">Residential House Low Income New Space heating Building enveloppe IECC 2009 +40% </v>
      </c>
      <c r="E48" t="str">
        <f t="shared" si="0"/>
        <v>TJ</v>
      </c>
      <c r="F48" t="str">
        <f t="shared" si="1"/>
        <v>MW</v>
      </c>
    </row>
    <row r="49" spans="2:6" x14ac:dyDescent="0.25">
      <c r="B49" t="str">
        <f>IF('RET TECH'!N14=1,"PRE","*")</f>
        <v>PRE</v>
      </c>
      <c r="C49" t="str">
        <f>'RET TECH'!M14</f>
        <v>RESHOULONewSHENVIECC20</v>
      </c>
      <c r="D49" t="str">
        <f>_xlfn.XLOOKUP(C49,'RET TECH'!$M:$M,'RET TECH'!$A:$A)&amp;" "&amp;_xlfn.XLOOKUP(C49,'RET TECH'!$M:$M,'RET TECH'!$B:$B)&amp;" "&amp;_xlfn.XLOOKUP(C49,'RET TECH'!$M:$M,'RET TECH'!$C:$C)&amp;" "&amp;_xlfn.XLOOKUP(C49,'RET TECH'!$M:$M,'RET TECH'!$D:$D)&amp;" "&amp;_xlfn.XLOOKUP(C49,'RET TECH'!$M:$M,'RET TECH'!$E:$E)&amp;" "&amp;_xlfn.XLOOKUP(C49,'RET TECH'!$M:$M,'RET TECH'!$F:$F)&amp;" "&amp;_xlfn.XLOOKUP(C49,'RET TECH'!$M:$M,'RET TECH'!$G:$G)&amp;" "&amp;_xlfn.XLOOKUP(C49,'RET TECH'!$M:$M,'RET TECH'!$H:$H)</f>
        <v xml:space="preserve">Residential House Low Income New Space heating Building enveloppe IECC 2009 </v>
      </c>
      <c r="E49" t="str">
        <f t="shared" si="0"/>
        <v>TJ</v>
      </c>
      <c r="F49" t="str">
        <f t="shared" si="1"/>
        <v>MW</v>
      </c>
    </row>
    <row r="50" spans="2:6" x14ac:dyDescent="0.25">
      <c r="B50" t="str">
        <f>IF('RET TECH'!N15=1,"PRE","*")</f>
        <v>PRE</v>
      </c>
      <c r="C50" t="str">
        <f>'RET TECH'!M15</f>
        <v>RESHOULONewSCENVESTAR20</v>
      </c>
      <c r="D50" t="str">
        <f>_xlfn.XLOOKUP(C50,'RET TECH'!$M:$M,'RET TECH'!$A:$A)&amp;" "&amp;_xlfn.XLOOKUP(C50,'RET TECH'!$M:$M,'RET TECH'!$B:$B)&amp;" "&amp;_xlfn.XLOOKUP(C50,'RET TECH'!$M:$M,'RET TECH'!$C:$C)&amp;" "&amp;_xlfn.XLOOKUP(C50,'RET TECH'!$M:$M,'RET TECH'!$D:$D)&amp;" "&amp;_xlfn.XLOOKUP(C50,'RET TECH'!$M:$M,'RET TECH'!$E:$E)&amp;" "&amp;_xlfn.XLOOKUP(C50,'RET TECH'!$M:$M,'RET TECH'!$F:$F)&amp;" "&amp;_xlfn.XLOOKUP(C50,'RET TECH'!$M:$M,'RET TECH'!$G:$G)&amp;" "&amp;_xlfn.XLOOKUP(C50,'RET TECH'!$M:$M,'RET TECH'!$H:$H)</f>
        <v xml:space="preserve">Residential House Low Income New Space cooling Building enveloppe ENERGY STAR </v>
      </c>
      <c r="E50" t="str">
        <f t="shared" si="0"/>
        <v>TJ</v>
      </c>
      <c r="F50" t="str">
        <f t="shared" si="1"/>
        <v>MW</v>
      </c>
    </row>
    <row r="51" spans="2:6" x14ac:dyDescent="0.25">
      <c r="B51" t="str">
        <f>IF('RET TECH'!N16=1,"PRE","*")</f>
        <v>PRE</v>
      </c>
      <c r="C51" t="str">
        <f>'RET TECH'!M16</f>
        <v>RESHOULONewSCENVPATH20</v>
      </c>
      <c r="D51" t="str">
        <f>_xlfn.XLOOKUP(C51,'RET TECH'!$M:$M,'RET TECH'!$A:$A)&amp;" "&amp;_xlfn.XLOOKUP(C51,'RET TECH'!$M:$M,'RET TECH'!$B:$B)&amp;" "&amp;_xlfn.XLOOKUP(C51,'RET TECH'!$M:$M,'RET TECH'!$C:$C)&amp;" "&amp;_xlfn.XLOOKUP(C51,'RET TECH'!$M:$M,'RET TECH'!$D:$D)&amp;" "&amp;_xlfn.XLOOKUP(C51,'RET TECH'!$M:$M,'RET TECH'!$E:$E)&amp;" "&amp;_xlfn.XLOOKUP(C51,'RET TECH'!$M:$M,'RET TECH'!$F:$F)&amp;" "&amp;_xlfn.XLOOKUP(C51,'RET TECH'!$M:$M,'RET TECH'!$G:$G)&amp;" "&amp;_xlfn.XLOOKUP(C51,'RET TECH'!$M:$M,'RET TECH'!$H:$H)</f>
        <v xml:space="preserve">Residential House Low Income New Space cooling Building enveloppe PATH </v>
      </c>
      <c r="E51" t="str">
        <f t="shared" si="0"/>
        <v>TJ</v>
      </c>
      <c r="F51" t="str">
        <f t="shared" si="1"/>
        <v>MW</v>
      </c>
    </row>
    <row r="52" spans="2:6" x14ac:dyDescent="0.25">
      <c r="B52" t="str">
        <f>IF('RET TECH'!N17=1,"PRE","*")</f>
        <v>PRE</v>
      </c>
      <c r="C52" t="str">
        <f>'RET TECH'!M17</f>
        <v>RESHOULONewSCENVIECC4020</v>
      </c>
      <c r="D52" t="str">
        <f>_xlfn.XLOOKUP(C52,'RET TECH'!$M:$M,'RET TECH'!$A:$A)&amp;" "&amp;_xlfn.XLOOKUP(C52,'RET TECH'!$M:$M,'RET TECH'!$B:$B)&amp;" "&amp;_xlfn.XLOOKUP(C52,'RET TECH'!$M:$M,'RET TECH'!$C:$C)&amp;" "&amp;_xlfn.XLOOKUP(C52,'RET TECH'!$M:$M,'RET TECH'!$D:$D)&amp;" "&amp;_xlfn.XLOOKUP(C52,'RET TECH'!$M:$M,'RET TECH'!$E:$E)&amp;" "&amp;_xlfn.XLOOKUP(C52,'RET TECH'!$M:$M,'RET TECH'!$F:$F)&amp;" "&amp;_xlfn.XLOOKUP(C52,'RET TECH'!$M:$M,'RET TECH'!$G:$G)&amp;" "&amp;_xlfn.XLOOKUP(C52,'RET TECH'!$M:$M,'RET TECH'!$H:$H)</f>
        <v xml:space="preserve">Residential House Low Income New Space cooling Building enveloppe IECC 2009 +40% </v>
      </c>
      <c r="E52" t="str">
        <f t="shared" si="0"/>
        <v>TJ</v>
      </c>
      <c r="F52" t="str">
        <f t="shared" si="1"/>
        <v>MW</v>
      </c>
    </row>
    <row r="53" spans="2:6" x14ac:dyDescent="0.25">
      <c r="B53" t="str">
        <f>IF('RET TECH'!N18=1,"PRE","*")</f>
        <v>PRE</v>
      </c>
      <c r="C53" t="str">
        <f>'RET TECH'!M18</f>
        <v>RESHOULONewSCENVIECC20</v>
      </c>
      <c r="D53" t="str">
        <f>_xlfn.XLOOKUP(C53,'RET TECH'!$M:$M,'RET TECH'!$A:$A)&amp;" "&amp;_xlfn.XLOOKUP(C53,'RET TECH'!$M:$M,'RET TECH'!$B:$B)&amp;" "&amp;_xlfn.XLOOKUP(C53,'RET TECH'!$M:$M,'RET TECH'!$C:$C)&amp;" "&amp;_xlfn.XLOOKUP(C53,'RET TECH'!$M:$M,'RET TECH'!$D:$D)&amp;" "&amp;_xlfn.XLOOKUP(C53,'RET TECH'!$M:$M,'RET TECH'!$E:$E)&amp;" "&amp;_xlfn.XLOOKUP(C53,'RET TECH'!$M:$M,'RET TECH'!$F:$F)&amp;" "&amp;_xlfn.XLOOKUP(C53,'RET TECH'!$M:$M,'RET TECH'!$G:$G)&amp;" "&amp;_xlfn.XLOOKUP(C53,'RET TECH'!$M:$M,'RET TECH'!$H:$H)</f>
        <v xml:space="preserve">Residential House Low Income New Space cooling Building enveloppe IECC 2009 </v>
      </c>
      <c r="E53" t="str">
        <f t="shared" si="0"/>
        <v>TJ</v>
      </c>
      <c r="F53" t="str">
        <f t="shared" si="1"/>
        <v>MW</v>
      </c>
    </row>
    <row r="54" spans="2:6" x14ac:dyDescent="0.25">
      <c r="B54" t="str">
        <f>IF('RET TECH'!N19=1,"PRE","*")</f>
        <v>PRE</v>
      </c>
      <c r="C54" t="str">
        <f>'RET TECH'!M19</f>
        <v>RESAPALMNewSHENVESTAR20</v>
      </c>
      <c r="D54" t="str">
        <f>_xlfn.XLOOKUP(C54,'RET TECH'!$M:$M,'RET TECH'!$A:$A)&amp;" "&amp;_xlfn.XLOOKUP(C54,'RET TECH'!$M:$M,'RET TECH'!$B:$B)&amp;" "&amp;_xlfn.XLOOKUP(C54,'RET TECH'!$M:$M,'RET TECH'!$C:$C)&amp;" "&amp;_xlfn.XLOOKUP(C54,'RET TECH'!$M:$M,'RET TECH'!$D:$D)&amp;" "&amp;_xlfn.XLOOKUP(C54,'RET TECH'!$M:$M,'RET TECH'!$E:$E)&amp;" "&amp;_xlfn.XLOOKUP(C54,'RET TECH'!$M:$M,'RET TECH'!$F:$F)&amp;" "&amp;_xlfn.XLOOKUP(C54,'RET TECH'!$M:$M,'RET TECH'!$G:$G)&amp;" "&amp;_xlfn.XLOOKUP(C54,'RET TECH'!$M:$M,'RET TECH'!$H:$H)</f>
        <v xml:space="preserve">Residential Apartment Lower-middle Income New Space heating Building enveloppe ENERGY STAR </v>
      </c>
      <c r="E54" t="str">
        <f t="shared" si="0"/>
        <v>TJ</v>
      </c>
      <c r="F54" t="str">
        <f t="shared" si="1"/>
        <v>MW</v>
      </c>
    </row>
    <row r="55" spans="2:6" x14ac:dyDescent="0.25">
      <c r="B55" t="str">
        <f>IF('RET TECH'!N20=1,"PRE","*")</f>
        <v>PRE</v>
      </c>
      <c r="C55" t="str">
        <f>'RET TECH'!M20</f>
        <v>RESAPALMNewSHENVPATH20</v>
      </c>
      <c r="D55" t="str">
        <f>_xlfn.XLOOKUP(C55,'RET TECH'!$M:$M,'RET TECH'!$A:$A)&amp;" "&amp;_xlfn.XLOOKUP(C55,'RET TECH'!$M:$M,'RET TECH'!$B:$B)&amp;" "&amp;_xlfn.XLOOKUP(C55,'RET TECH'!$M:$M,'RET TECH'!$C:$C)&amp;" "&amp;_xlfn.XLOOKUP(C55,'RET TECH'!$M:$M,'RET TECH'!$D:$D)&amp;" "&amp;_xlfn.XLOOKUP(C55,'RET TECH'!$M:$M,'RET TECH'!$E:$E)&amp;" "&amp;_xlfn.XLOOKUP(C55,'RET TECH'!$M:$M,'RET TECH'!$F:$F)&amp;" "&amp;_xlfn.XLOOKUP(C55,'RET TECH'!$M:$M,'RET TECH'!$G:$G)&amp;" "&amp;_xlfn.XLOOKUP(C55,'RET TECH'!$M:$M,'RET TECH'!$H:$H)</f>
        <v xml:space="preserve">Residential Apartment Lower-middle Income New Space heating Building enveloppe PATH </v>
      </c>
      <c r="E55" t="str">
        <f t="shared" si="0"/>
        <v>TJ</v>
      </c>
      <c r="F55" t="str">
        <f t="shared" si="1"/>
        <v>MW</v>
      </c>
    </row>
    <row r="56" spans="2:6" x14ac:dyDescent="0.25">
      <c r="B56" t="str">
        <f>IF('RET TECH'!N21=1,"PRE","*")</f>
        <v>PRE</v>
      </c>
      <c r="C56" t="str">
        <f>'RET TECH'!M21</f>
        <v>RESAPALMNewSHENVIECC4020</v>
      </c>
      <c r="D56" t="str">
        <f>_xlfn.XLOOKUP(C56,'RET TECH'!$M:$M,'RET TECH'!$A:$A)&amp;" "&amp;_xlfn.XLOOKUP(C56,'RET TECH'!$M:$M,'RET TECH'!$B:$B)&amp;" "&amp;_xlfn.XLOOKUP(C56,'RET TECH'!$M:$M,'RET TECH'!$C:$C)&amp;" "&amp;_xlfn.XLOOKUP(C56,'RET TECH'!$M:$M,'RET TECH'!$D:$D)&amp;" "&amp;_xlfn.XLOOKUP(C56,'RET TECH'!$M:$M,'RET TECH'!$E:$E)&amp;" "&amp;_xlfn.XLOOKUP(C56,'RET TECH'!$M:$M,'RET TECH'!$F:$F)&amp;" "&amp;_xlfn.XLOOKUP(C56,'RET TECH'!$M:$M,'RET TECH'!$G:$G)&amp;" "&amp;_xlfn.XLOOKUP(C56,'RET TECH'!$M:$M,'RET TECH'!$H:$H)</f>
        <v xml:space="preserve">Residential Apartment Lower-middle Income New Space heating Building enveloppe IECC 2009 +40% </v>
      </c>
      <c r="E56" t="str">
        <f t="shared" si="0"/>
        <v>TJ</v>
      </c>
      <c r="F56" t="str">
        <f t="shared" si="1"/>
        <v>MW</v>
      </c>
    </row>
    <row r="57" spans="2:6" x14ac:dyDescent="0.25">
      <c r="B57" t="str">
        <f>IF('RET TECH'!N22=1,"PRE","*")</f>
        <v>PRE</v>
      </c>
      <c r="C57" t="str">
        <f>'RET TECH'!M22</f>
        <v>RESAPALMNewSHENVIECC20</v>
      </c>
      <c r="D57" t="str">
        <f>_xlfn.XLOOKUP(C57,'RET TECH'!$M:$M,'RET TECH'!$A:$A)&amp;" "&amp;_xlfn.XLOOKUP(C57,'RET TECH'!$M:$M,'RET TECH'!$B:$B)&amp;" "&amp;_xlfn.XLOOKUP(C57,'RET TECH'!$M:$M,'RET TECH'!$C:$C)&amp;" "&amp;_xlfn.XLOOKUP(C57,'RET TECH'!$M:$M,'RET TECH'!$D:$D)&amp;" "&amp;_xlfn.XLOOKUP(C57,'RET TECH'!$M:$M,'RET TECH'!$E:$E)&amp;" "&amp;_xlfn.XLOOKUP(C57,'RET TECH'!$M:$M,'RET TECH'!$F:$F)&amp;" "&amp;_xlfn.XLOOKUP(C57,'RET TECH'!$M:$M,'RET TECH'!$G:$G)&amp;" "&amp;_xlfn.XLOOKUP(C57,'RET TECH'!$M:$M,'RET TECH'!$H:$H)</f>
        <v xml:space="preserve">Residential Apartment Lower-middle Income New Space heating Building enveloppe IECC 2009 </v>
      </c>
      <c r="E57" t="str">
        <f t="shared" si="0"/>
        <v>TJ</v>
      </c>
      <c r="F57" t="str">
        <f t="shared" si="1"/>
        <v>MW</v>
      </c>
    </row>
    <row r="58" spans="2:6" x14ac:dyDescent="0.25">
      <c r="B58" t="str">
        <f>IF('RET TECH'!N23=1,"PRE","*")</f>
        <v>*</v>
      </c>
      <c r="C58" t="str">
        <f>'RET TECH'!M23</f>
        <v>RESAPALMNewSCENVESTAR20</v>
      </c>
      <c r="D58" t="str">
        <f>_xlfn.XLOOKUP(C58,'RET TECH'!$M:$M,'RET TECH'!$A:$A)&amp;" "&amp;_xlfn.XLOOKUP(C58,'RET TECH'!$M:$M,'RET TECH'!$B:$B)&amp;" "&amp;_xlfn.XLOOKUP(C58,'RET TECH'!$M:$M,'RET TECH'!$C:$C)&amp;" "&amp;_xlfn.XLOOKUP(C58,'RET TECH'!$M:$M,'RET TECH'!$D:$D)&amp;" "&amp;_xlfn.XLOOKUP(C58,'RET TECH'!$M:$M,'RET TECH'!$E:$E)&amp;" "&amp;_xlfn.XLOOKUP(C58,'RET TECH'!$M:$M,'RET TECH'!$F:$F)&amp;" "&amp;_xlfn.XLOOKUP(C58,'RET TECH'!$M:$M,'RET TECH'!$G:$G)&amp;" "&amp;_xlfn.XLOOKUP(C58,'RET TECH'!$M:$M,'RET TECH'!$H:$H)</f>
        <v xml:space="preserve">Residential Apartment Lower-middle Income New Space cooling Building enveloppe ENERGY STAR </v>
      </c>
      <c r="E58" t="str">
        <f t="shared" si="0"/>
        <v>TJ</v>
      </c>
      <c r="F58" t="str">
        <f t="shared" si="1"/>
        <v>MW</v>
      </c>
    </row>
    <row r="59" spans="2:6" x14ac:dyDescent="0.25">
      <c r="B59" t="str">
        <f>IF('RET TECH'!N24=1,"PRE","*")</f>
        <v>*</v>
      </c>
      <c r="C59" t="str">
        <f>'RET TECH'!M24</f>
        <v>RESAPALMNewSCENVPATH20</v>
      </c>
      <c r="D59" t="str">
        <f>_xlfn.XLOOKUP(C59,'RET TECH'!$M:$M,'RET TECH'!$A:$A)&amp;" "&amp;_xlfn.XLOOKUP(C59,'RET TECH'!$M:$M,'RET TECH'!$B:$B)&amp;" "&amp;_xlfn.XLOOKUP(C59,'RET TECH'!$M:$M,'RET TECH'!$C:$C)&amp;" "&amp;_xlfn.XLOOKUP(C59,'RET TECH'!$M:$M,'RET TECH'!$D:$D)&amp;" "&amp;_xlfn.XLOOKUP(C59,'RET TECH'!$M:$M,'RET TECH'!$E:$E)&amp;" "&amp;_xlfn.XLOOKUP(C59,'RET TECH'!$M:$M,'RET TECH'!$F:$F)&amp;" "&amp;_xlfn.XLOOKUP(C59,'RET TECH'!$M:$M,'RET TECH'!$G:$G)&amp;" "&amp;_xlfn.XLOOKUP(C59,'RET TECH'!$M:$M,'RET TECH'!$H:$H)</f>
        <v xml:space="preserve">Residential Apartment Lower-middle Income New Space cooling Building enveloppe PATH </v>
      </c>
      <c r="E59" t="str">
        <f t="shared" si="0"/>
        <v>TJ</v>
      </c>
      <c r="F59" t="str">
        <f t="shared" si="1"/>
        <v>MW</v>
      </c>
    </row>
    <row r="60" spans="2:6" x14ac:dyDescent="0.25">
      <c r="B60" t="str">
        <f>IF('RET TECH'!N25=1,"PRE","*")</f>
        <v>*</v>
      </c>
      <c r="C60" t="str">
        <f>'RET TECH'!M25</f>
        <v>RESAPALMNewSCENVIECC4020</v>
      </c>
      <c r="D60" t="str">
        <f>_xlfn.XLOOKUP(C60,'RET TECH'!$M:$M,'RET TECH'!$A:$A)&amp;" "&amp;_xlfn.XLOOKUP(C60,'RET TECH'!$M:$M,'RET TECH'!$B:$B)&amp;" "&amp;_xlfn.XLOOKUP(C60,'RET TECH'!$M:$M,'RET TECH'!$C:$C)&amp;" "&amp;_xlfn.XLOOKUP(C60,'RET TECH'!$M:$M,'RET TECH'!$D:$D)&amp;" "&amp;_xlfn.XLOOKUP(C60,'RET TECH'!$M:$M,'RET TECH'!$E:$E)&amp;" "&amp;_xlfn.XLOOKUP(C60,'RET TECH'!$M:$M,'RET TECH'!$F:$F)&amp;" "&amp;_xlfn.XLOOKUP(C60,'RET TECH'!$M:$M,'RET TECH'!$G:$G)&amp;" "&amp;_xlfn.XLOOKUP(C60,'RET TECH'!$M:$M,'RET TECH'!$H:$H)</f>
        <v xml:space="preserve">Residential Apartment Lower-middle Income New Space cooling Building enveloppe IECC 2009 +40% </v>
      </c>
      <c r="E60" t="str">
        <f t="shared" si="0"/>
        <v>TJ</v>
      </c>
      <c r="F60" t="str">
        <f t="shared" si="1"/>
        <v>MW</v>
      </c>
    </row>
    <row r="61" spans="2:6" x14ac:dyDescent="0.25">
      <c r="B61" t="str">
        <f>IF('RET TECH'!N26=1,"PRE","*")</f>
        <v>*</v>
      </c>
      <c r="C61" t="str">
        <f>'RET TECH'!M26</f>
        <v>RESAPALMNewSCENVIECC20</v>
      </c>
      <c r="D61" t="str">
        <f>_xlfn.XLOOKUP(C61,'RET TECH'!$M:$M,'RET TECH'!$A:$A)&amp;" "&amp;_xlfn.XLOOKUP(C61,'RET TECH'!$M:$M,'RET TECH'!$B:$B)&amp;" "&amp;_xlfn.XLOOKUP(C61,'RET TECH'!$M:$M,'RET TECH'!$C:$C)&amp;" "&amp;_xlfn.XLOOKUP(C61,'RET TECH'!$M:$M,'RET TECH'!$D:$D)&amp;" "&amp;_xlfn.XLOOKUP(C61,'RET TECH'!$M:$M,'RET TECH'!$E:$E)&amp;" "&amp;_xlfn.XLOOKUP(C61,'RET TECH'!$M:$M,'RET TECH'!$F:$F)&amp;" "&amp;_xlfn.XLOOKUP(C61,'RET TECH'!$M:$M,'RET TECH'!$G:$G)&amp;" "&amp;_xlfn.XLOOKUP(C61,'RET TECH'!$M:$M,'RET TECH'!$H:$H)</f>
        <v xml:space="preserve">Residential Apartment Lower-middle Income New Space cooling Building enveloppe IECC 2009 </v>
      </c>
      <c r="E61" t="str">
        <f t="shared" si="0"/>
        <v>TJ</v>
      </c>
      <c r="F61" t="str">
        <f t="shared" si="1"/>
        <v>MW</v>
      </c>
    </row>
    <row r="62" spans="2:6" x14ac:dyDescent="0.25">
      <c r="B62" t="str">
        <f>IF('RET TECH'!N27=1,"PRE","*")</f>
        <v>PRE</v>
      </c>
      <c r="C62" t="str">
        <f>'RET TECH'!M27</f>
        <v>RESHOULMNewSHENVESTAR20</v>
      </c>
      <c r="D62" t="str">
        <f>_xlfn.XLOOKUP(C62,'RET TECH'!$M:$M,'RET TECH'!$A:$A)&amp;" "&amp;_xlfn.XLOOKUP(C62,'RET TECH'!$M:$M,'RET TECH'!$B:$B)&amp;" "&amp;_xlfn.XLOOKUP(C62,'RET TECH'!$M:$M,'RET TECH'!$C:$C)&amp;" "&amp;_xlfn.XLOOKUP(C62,'RET TECH'!$M:$M,'RET TECH'!$D:$D)&amp;" "&amp;_xlfn.XLOOKUP(C62,'RET TECH'!$M:$M,'RET TECH'!$E:$E)&amp;" "&amp;_xlfn.XLOOKUP(C62,'RET TECH'!$M:$M,'RET TECH'!$F:$F)&amp;" "&amp;_xlfn.XLOOKUP(C62,'RET TECH'!$M:$M,'RET TECH'!$G:$G)&amp;" "&amp;_xlfn.XLOOKUP(C62,'RET TECH'!$M:$M,'RET TECH'!$H:$H)</f>
        <v xml:space="preserve">Residential House Lower-middle Income New Space heating Building enveloppe ENERGY STAR </v>
      </c>
      <c r="E62" t="str">
        <f t="shared" si="0"/>
        <v>TJ</v>
      </c>
      <c r="F62" t="str">
        <f t="shared" si="1"/>
        <v>MW</v>
      </c>
    </row>
    <row r="63" spans="2:6" x14ac:dyDescent="0.25">
      <c r="B63" t="str">
        <f>IF('RET TECH'!N28=1,"PRE","*")</f>
        <v>PRE</v>
      </c>
      <c r="C63" t="str">
        <f>'RET TECH'!M28</f>
        <v>RESHOULMNewSHENVPATH20</v>
      </c>
      <c r="D63" t="str">
        <f>_xlfn.XLOOKUP(C63,'RET TECH'!$M:$M,'RET TECH'!$A:$A)&amp;" "&amp;_xlfn.XLOOKUP(C63,'RET TECH'!$M:$M,'RET TECH'!$B:$B)&amp;" "&amp;_xlfn.XLOOKUP(C63,'RET TECH'!$M:$M,'RET TECH'!$C:$C)&amp;" "&amp;_xlfn.XLOOKUP(C63,'RET TECH'!$M:$M,'RET TECH'!$D:$D)&amp;" "&amp;_xlfn.XLOOKUP(C63,'RET TECH'!$M:$M,'RET TECH'!$E:$E)&amp;" "&amp;_xlfn.XLOOKUP(C63,'RET TECH'!$M:$M,'RET TECH'!$F:$F)&amp;" "&amp;_xlfn.XLOOKUP(C63,'RET TECH'!$M:$M,'RET TECH'!$G:$G)&amp;" "&amp;_xlfn.XLOOKUP(C63,'RET TECH'!$M:$M,'RET TECH'!$H:$H)</f>
        <v xml:space="preserve">Residential House Lower-middle Income New Space heating Building enveloppe PATH </v>
      </c>
      <c r="E63" t="str">
        <f t="shared" si="0"/>
        <v>TJ</v>
      </c>
      <c r="F63" t="str">
        <f t="shared" si="1"/>
        <v>MW</v>
      </c>
    </row>
    <row r="64" spans="2:6" x14ac:dyDescent="0.25">
      <c r="B64" t="str">
        <f>IF('RET TECH'!N29=1,"PRE","*")</f>
        <v>PRE</v>
      </c>
      <c r="C64" t="str">
        <f>'RET TECH'!M29</f>
        <v>RESHOULMNewSHENVIECC4020</v>
      </c>
      <c r="D64" t="str">
        <f>_xlfn.XLOOKUP(C64,'RET TECH'!$M:$M,'RET TECH'!$A:$A)&amp;" "&amp;_xlfn.XLOOKUP(C64,'RET TECH'!$M:$M,'RET TECH'!$B:$B)&amp;" "&amp;_xlfn.XLOOKUP(C64,'RET TECH'!$M:$M,'RET TECH'!$C:$C)&amp;" "&amp;_xlfn.XLOOKUP(C64,'RET TECH'!$M:$M,'RET TECH'!$D:$D)&amp;" "&amp;_xlfn.XLOOKUP(C64,'RET TECH'!$M:$M,'RET TECH'!$E:$E)&amp;" "&amp;_xlfn.XLOOKUP(C64,'RET TECH'!$M:$M,'RET TECH'!$F:$F)&amp;" "&amp;_xlfn.XLOOKUP(C64,'RET TECH'!$M:$M,'RET TECH'!$G:$G)&amp;" "&amp;_xlfn.XLOOKUP(C64,'RET TECH'!$M:$M,'RET TECH'!$H:$H)</f>
        <v xml:space="preserve">Residential House Lower-middle Income New Space heating Building enveloppe IECC 2009 +40% </v>
      </c>
      <c r="E64" t="str">
        <f t="shared" si="0"/>
        <v>TJ</v>
      </c>
      <c r="F64" t="str">
        <f t="shared" si="1"/>
        <v>MW</v>
      </c>
    </row>
    <row r="65" spans="2:6" x14ac:dyDescent="0.25">
      <c r="B65" t="str">
        <f>IF('RET TECH'!N30=1,"PRE","*")</f>
        <v>PRE</v>
      </c>
      <c r="C65" t="str">
        <f>'RET TECH'!M30</f>
        <v>RESHOULMNewSHENVIECC20</v>
      </c>
      <c r="D65" t="str">
        <f>_xlfn.XLOOKUP(C65,'RET TECH'!$M:$M,'RET TECH'!$A:$A)&amp;" "&amp;_xlfn.XLOOKUP(C65,'RET TECH'!$M:$M,'RET TECH'!$B:$B)&amp;" "&amp;_xlfn.XLOOKUP(C65,'RET TECH'!$M:$M,'RET TECH'!$C:$C)&amp;" "&amp;_xlfn.XLOOKUP(C65,'RET TECH'!$M:$M,'RET TECH'!$D:$D)&amp;" "&amp;_xlfn.XLOOKUP(C65,'RET TECH'!$M:$M,'RET TECH'!$E:$E)&amp;" "&amp;_xlfn.XLOOKUP(C65,'RET TECH'!$M:$M,'RET TECH'!$F:$F)&amp;" "&amp;_xlfn.XLOOKUP(C65,'RET TECH'!$M:$M,'RET TECH'!$G:$G)&amp;" "&amp;_xlfn.XLOOKUP(C65,'RET TECH'!$M:$M,'RET TECH'!$H:$H)</f>
        <v xml:space="preserve">Residential House Lower-middle Income New Space heating Building enveloppe IECC 2009 </v>
      </c>
      <c r="E65" t="str">
        <f t="shared" si="0"/>
        <v>TJ</v>
      </c>
      <c r="F65" t="str">
        <f t="shared" si="1"/>
        <v>MW</v>
      </c>
    </row>
    <row r="66" spans="2:6" x14ac:dyDescent="0.25">
      <c r="B66" t="str">
        <f>IF('RET TECH'!N31=1,"PRE","*")</f>
        <v>PRE</v>
      </c>
      <c r="C66" t="str">
        <f>'RET TECH'!M31</f>
        <v>RESHOULMNewSCENVESTAR20</v>
      </c>
      <c r="D66" t="str">
        <f>_xlfn.XLOOKUP(C66,'RET TECH'!$M:$M,'RET TECH'!$A:$A)&amp;" "&amp;_xlfn.XLOOKUP(C66,'RET TECH'!$M:$M,'RET TECH'!$B:$B)&amp;" "&amp;_xlfn.XLOOKUP(C66,'RET TECH'!$M:$M,'RET TECH'!$C:$C)&amp;" "&amp;_xlfn.XLOOKUP(C66,'RET TECH'!$M:$M,'RET TECH'!$D:$D)&amp;" "&amp;_xlfn.XLOOKUP(C66,'RET TECH'!$M:$M,'RET TECH'!$E:$E)&amp;" "&amp;_xlfn.XLOOKUP(C66,'RET TECH'!$M:$M,'RET TECH'!$F:$F)&amp;" "&amp;_xlfn.XLOOKUP(C66,'RET TECH'!$M:$M,'RET TECH'!$G:$G)&amp;" "&amp;_xlfn.XLOOKUP(C66,'RET TECH'!$M:$M,'RET TECH'!$H:$H)</f>
        <v xml:space="preserve">Residential House Lower-middle Income New Space cooling Building enveloppe ENERGY STAR </v>
      </c>
      <c r="E66" t="str">
        <f t="shared" si="0"/>
        <v>TJ</v>
      </c>
      <c r="F66" t="str">
        <f t="shared" si="1"/>
        <v>MW</v>
      </c>
    </row>
    <row r="67" spans="2:6" x14ac:dyDescent="0.25">
      <c r="B67" t="str">
        <f>IF('RET TECH'!N32=1,"PRE","*")</f>
        <v>PRE</v>
      </c>
      <c r="C67" t="str">
        <f>'RET TECH'!M32</f>
        <v>RESHOULMNewSCENVPATH20</v>
      </c>
      <c r="D67" t="str">
        <f>_xlfn.XLOOKUP(C67,'RET TECH'!$M:$M,'RET TECH'!$A:$A)&amp;" "&amp;_xlfn.XLOOKUP(C67,'RET TECH'!$M:$M,'RET TECH'!$B:$B)&amp;" "&amp;_xlfn.XLOOKUP(C67,'RET TECH'!$M:$M,'RET TECH'!$C:$C)&amp;" "&amp;_xlfn.XLOOKUP(C67,'RET TECH'!$M:$M,'RET TECH'!$D:$D)&amp;" "&amp;_xlfn.XLOOKUP(C67,'RET TECH'!$M:$M,'RET TECH'!$E:$E)&amp;" "&amp;_xlfn.XLOOKUP(C67,'RET TECH'!$M:$M,'RET TECH'!$F:$F)&amp;" "&amp;_xlfn.XLOOKUP(C67,'RET TECH'!$M:$M,'RET TECH'!$G:$G)&amp;" "&amp;_xlfn.XLOOKUP(C67,'RET TECH'!$M:$M,'RET TECH'!$H:$H)</f>
        <v xml:space="preserve">Residential House Lower-middle Income New Space cooling Building enveloppe PATH </v>
      </c>
      <c r="E67" t="str">
        <f t="shared" si="0"/>
        <v>TJ</v>
      </c>
      <c r="F67" t="str">
        <f t="shared" si="1"/>
        <v>MW</v>
      </c>
    </row>
    <row r="68" spans="2:6" x14ac:dyDescent="0.25">
      <c r="B68" t="str">
        <f>IF('RET TECH'!N33=1,"PRE","*")</f>
        <v>PRE</v>
      </c>
      <c r="C68" t="str">
        <f>'RET TECH'!M33</f>
        <v>RESHOULMNewSCENVIECC4020</v>
      </c>
      <c r="D68" t="str">
        <f>_xlfn.XLOOKUP(C68,'RET TECH'!$M:$M,'RET TECH'!$A:$A)&amp;" "&amp;_xlfn.XLOOKUP(C68,'RET TECH'!$M:$M,'RET TECH'!$B:$B)&amp;" "&amp;_xlfn.XLOOKUP(C68,'RET TECH'!$M:$M,'RET TECH'!$C:$C)&amp;" "&amp;_xlfn.XLOOKUP(C68,'RET TECH'!$M:$M,'RET TECH'!$D:$D)&amp;" "&amp;_xlfn.XLOOKUP(C68,'RET TECH'!$M:$M,'RET TECH'!$E:$E)&amp;" "&amp;_xlfn.XLOOKUP(C68,'RET TECH'!$M:$M,'RET TECH'!$F:$F)&amp;" "&amp;_xlfn.XLOOKUP(C68,'RET TECH'!$M:$M,'RET TECH'!$G:$G)&amp;" "&amp;_xlfn.XLOOKUP(C68,'RET TECH'!$M:$M,'RET TECH'!$H:$H)</f>
        <v xml:space="preserve">Residential House Lower-middle Income New Space cooling Building enveloppe IECC 2009 +40% </v>
      </c>
      <c r="E68" t="str">
        <f t="shared" si="0"/>
        <v>TJ</v>
      </c>
      <c r="F68" t="str">
        <f t="shared" si="1"/>
        <v>MW</v>
      </c>
    </row>
    <row r="69" spans="2:6" x14ac:dyDescent="0.25">
      <c r="B69" t="str">
        <f>IF('RET TECH'!N34=1,"PRE","*")</f>
        <v>PRE</v>
      </c>
      <c r="C69" t="str">
        <f>'RET TECH'!M34</f>
        <v>RESHOULMNewSCENVIECC20</v>
      </c>
      <c r="D69" t="str">
        <f>_xlfn.XLOOKUP(C69,'RET TECH'!$M:$M,'RET TECH'!$A:$A)&amp;" "&amp;_xlfn.XLOOKUP(C69,'RET TECH'!$M:$M,'RET TECH'!$B:$B)&amp;" "&amp;_xlfn.XLOOKUP(C69,'RET TECH'!$M:$M,'RET TECH'!$C:$C)&amp;" "&amp;_xlfn.XLOOKUP(C69,'RET TECH'!$M:$M,'RET TECH'!$D:$D)&amp;" "&amp;_xlfn.XLOOKUP(C69,'RET TECH'!$M:$M,'RET TECH'!$E:$E)&amp;" "&amp;_xlfn.XLOOKUP(C69,'RET TECH'!$M:$M,'RET TECH'!$F:$F)&amp;" "&amp;_xlfn.XLOOKUP(C69,'RET TECH'!$M:$M,'RET TECH'!$G:$G)&amp;" "&amp;_xlfn.XLOOKUP(C69,'RET TECH'!$M:$M,'RET TECH'!$H:$H)</f>
        <v xml:space="preserve">Residential House Lower-middle Income New Space cooling Building enveloppe IECC 2009 </v>
      </c>
      <c r="E69" t="str">
        <f t="shared" si="0"/>
        <v>TJ</v>
      </c>
      <c r="F69" t="str">
        <f t="shared" si="1"/>
        <v>MW</v>
      </c>
    </row>
    <row r="70" spans="2:6" x14ac:dyDescent="0.25">
      <c r="B70" t="str">
        <f>IF('RET TECH'!N35=1,"PRE","*")</f>
        <v>PRE</v>
      </c>
      <c r="C70" t="str">
        <f>'RET TECH'!M35</f>
        <v>RESAPAUMNewSHENVESTAR20</v>
      </c>
      <c r="D70" t="str">
        <f>_xlfn.XLOOKUP(C70,'RET TECH'!$M:$M,'RET TECH'!$A:$A)&amp;" "&amp;_xlfn.XLOOKUP(C70,'RET TECH'!$M:$M,'RET TECH'!$B:$B)&amp;" "&amp;_xlfn.XLOOKUP(C70,'RET TECH'!$M:$M,'RET TECH'!$C:$C)&amp;" "&amp;_xlfn.XLOOKUP(C70,'RET TECH'!$M:$M,'RET TECH'!$D:$D)&amp;" "&amp;_xlfn.XLOOKUP(C70,'RET TECH'!$M:$M,'RET TECH'!$E:$E)&amp;" "&amp;_xlfn.XLOOKUP(C70,'RET TECH'!$M:$M,'RET TECH'!$F:$F)&amp;" "&amp;_xlfn.XLOOKUP(C70,'RET TECH'!$M:$M,'RET TECH'!$G:$G)&amp;" "&amp;_xlfn.XLOOKUP(C70,'RET TECH'!$M:$M,'RET TECH'!$H:$H)</f>
        <v xml:space="preserve">Residential Apartment Upper-middle Income New Space heating Building enveloppe ENERGY STAR </v>
      </c>
      <c r="E70" t="str">
        <f t="shared" ref="E70:E101" si="2">IF(F70="*","*",IF(F70="Mlma","Mlm","TJ"))</f>
        <v>TJ</v>
      </c>
      <c r="F70" t="str">
        <f t="shared" ref="F70:F101" si="3">IF(C70="*","*","MW")</f>
        <v>MW</v>
      </c>
    </row>
    <row r="71" spans="2:6" x14ac:dyDescent="0.25">
      <c r="B71" t="str">
        <f>IF('RET TECH'!N36=1,"PRE","*")</f>
        <v>PRE</v>
      </c>
      <c r="C71" t="str">
        <f>'RET TECH'!M36</f>
        <v>RESAPAUMNewSHENVPATH20</v>
      </c>
      <c r="D71" t="str">
        <f>_xlfn.XLOOKUP(C71,'RET TECH'!$M:$M,'RET TECH'!$A:$A)&amp;" "&amp;_xlfn.XLOOKUP(C71,'RET TECH'!$M:$M,'RET TECH'!$B:$B)&amp;" "&amp;_xlfn.XLOOKUP(C71,'RET TECH'!$M:$M,'RET TECH'!$C:$C)&amp;" "&amp;_xlfn.XLOOKUP(C71,'RET TECH'!$M:$M,'RET TECH'!$D:$D)&amp;" "&amp;_xlfn.XLOOKUP(C71,'RET TECH'!$M:$M,'RET TECH'!$E:$E)&amp;" "&amp;_xlfn.XLOOKUP(C71,'RET TECH'!$M:$M,'RET TECH'!$F:$F)&amp;" "&amp;_xlfn.XLOOKUP(C71,'RET TECH'!$M:$M,'RET TECH'!$G:$G)&amp;" "&amp;_xlfn.XLOOKUP(C71,'RET TECH'!$M:$M,'RET TECH'!$H:$H)</f>
        <v xml:space="preserve">Residential Apartment Upper-middle Income New Space heating Building enveloppe PATH </v>
      </c>
      <c r="E71" t="str">
        <f t="shared" si="2"/>
        <v>TJ</v>
      </c>
      <c r="F71" t="str">
        <f t="shared" si="3"/>
        <v>MW</v>
      </c>
    </row>
    <row r="72" spans="2:6" x14ac:dyDescent="0.25">
      <c r="B72" t="str">
        <f>IF('RET TECH'!N37=1,"PRE","*")</f>
        <v>PRE</v>
      </c>
      <c r="C72" t="str">
        <f>'RET TECH'!M37</f>
        <v>RESAPAUMNewSHENVIECC4020</v>
      </c>
      <c r="D72" t="str">
        <f>_xlfn.XLOOKUP(C72,'RET TECH'!$M:$M,'RET TECH'!$A:$A)&amp;" "&amp;_xlfn.XLOOKUP(C72,'RET TECH'!$M:$M,'RET TECH'!$B:$B)&amp;" "&amp;_xlfn.XLOOKUP(C72,'RET TECH'!$M:$M,'RET TECH'!$C:$C)&amp;" "&amp;_xlfn.XLOOKUP(C72,'RET TECH'!$M:$M,'RET TECH'!$D:$D)&amp;" "&amp;_xlfn.XLOOKUP(C72,'RET TECH'!$M:$M,'RET TECH'!$E:$E)&amp;" "&amp;_xlfn.XLOOKUP(C72,'RET TECH'!$M:$M,'RET TECH'!$F:$F)&amp;" "&amp;_xlfn.XLOOKUP(C72,'RET TECH'!$M:$M,'RET TECH'!$G:$G)&amp;" "&amp;_xlfn.XLOOKUP(C72,'RET TECH'!$M:$M,'RET TECH'!$H:$H)</f>
        <v xml:space="preserve">Residential Apartment Upper-middle Income New Space heating Building enveloppe IECC 2009 +40% </v>
      </c>
      <c r="E72" t="str">
        <f t="shared" si="2"/>
        <v>TJ</v>
      </c>
      <c r="F72" t="str">
        <f t="shared" si="3"/>
        <v>MW</v>
      </c>
    </row>
    <row r="73" spans="2:6" x14ac:dyDescent="0.25">
      <c r="B73" t="str">
        <f>IF('RET TECH'!N38=1,"PRE","*")</f>
        <v>PRE</v>
      </c>
      <c r="C73" t="str">
        <f>'RET TECH'!M38</f>
        <v>RESAPAUMNewSHENVIECC20</v>
      </c>
      <c r="D73" t="str">
        <f>_xlfn.XLOOKUP(C73,'RET TECH'!$M:$M,'RET TECH'!$A:$A)&amp;" "&amp;_xlfn.XLOOKUP(C73,'RET TECH'!$M:$M,'RET TECH'!$B:$B)&amp;" "&amp;_xlfn.XLOOKUP(C73,'RET TECH'!$M:$M,'RET TECH'!$C:$C)&amp;" "&amp;_xlfn.XLOOKUP(C73,'RET TECH'!$M:$M,'RET TECH'!$D:$D)&amp;" "&amp;_xlfn.XLOOKUP(C73,'RET TECH'!$M:$M,'RET TECH'!$E:$E)&amp;" "&amp;_xlfn.XLOOKUP(C73,'RET TECH'!$M:$M,'RET TECH'!$F:$F)&amp;" "&amp;_xlfn.XLOOKUP(C73,'RET TECH'!$M:$M,'RET TECH'!$G:$G)&amp;" "&amp;_xlfn.XLOOKUP(C73,'RET TECH'!$M:$M,'RET TECH'!$H:$H)</f>
        <v xml:space="preserve">Residential Apartment Upper-middle Income New Space heating Building enveloppe IECC 2009 </v>
      </c>
      <c r="E73" t="str">
        <f t="shared" si="2"/>
        <v>TJ</v>
      </c>
      <c r="F73" t="str">
        <f t="shared" si="3"/>
        <v>MW</v>
      </c>
    </row>
    <row r="74" spans="2:6" x14ac:dyDescent="0.25">
      <c r="B74" t="str">
        <f>IF('RET TECH'!N39=1,"PRE","*")</f>
        <v>*</v>
      </c>
      <c r="C74" t="str">
        <f>'RET TECH'!M39</f>
        <v>RESAPAUMNewSCENVESTAR20</v>
      </c>
      <c r="D74" t="str">
        <f>_xlfn.XLOOKUP(C74,'RET TECH'!$M:$M,'RET TECH'!$A:$A)&amp;" "&amp;_xlfn.XLOOKUP(C74,'RET TECH'!$M:$M,'RET TECH'!$B:$B)&amp;" "&amp;_xlfn.XLOOKUP(C74,'RET TECH'!$M:$M,'RET TECH'!$C:$C)&amp;" "&amp;_xlfn.XLOOKUP(C74,'RET TECH'!$M:$M,'RET TECH'!$D:$D)&amp;" "&amp;_xlfn.XLOOKUP(C74,'RET TECH'!$M:$M,'RET TECH'!$E:$E)&amp;" "&amp;_xlfn.XLOOKUP(C74,'RET TECH'!$M:$M,'RET TECH'!$F:$F)&amp;" "&amp;_xlfn.XLOOKUP(C74,'RET TECH'!$M:$M,'RET TECH'!$G:$G)&amp;" "&amp;_xlfn.XLOOKUP(C74,'RET TECH'!$M:$M,'RET TECH'!$H:$H)</f>
        <v xml:space="preserve">Residential Apartment Upper-middle Income New Space cooling Building enveloppe ENERGY STAR </v>
      </c>
      <c r="E74" t="str">
        <f t="shared" si="2"/>
        <v>TJ</v>
      </c>
      <c r="F74" t="str">
        <f t="shared" si="3"/>
        <v>MW</v>
      </c>
    </row>
    <row r="75" spans="2:6" x14ac:dyDescent="0.25">
      <c r="B75" t="str">
        <f>IF('RET TECH'!N40=1,"PRE","*")</f>
        <v>*</v>
      </c>
      <c r="C75" t="str">
        <f>'RET TECH'!M40</f>
        <v>RESAPAUMNewSCENVPATH20</v>
      </c>
      <c r="D75" t="str">
        <f>_xlfn.XLOOKUP(C75,'RET TECH'!$M:$M,'RET TECH'!$A:$A)&amp;" "&amp;_xlfn.XLOOKUP(C75,'RET TECH'!$M:$M,'RET TECH'!$B:$B)&amp;" "&amp;_xlfn.XLOOKUP(C75,'RET TECH'!$M:$M,'RET TECH'!$C:$C)&amp;" "&amp;_xlfn.XLOOKUP(C75,'RET TECH'!$M:$M,'RET TECH'!$D:$D)&amp;" "&amp;_xlfn.XLOOKUP(C75,'RET TECH'!$M:$M,'RET TECH'!$E:$E)&amp;" "&amp;_xlfn.XLOOKUP(C75,'RET TECH'!$M:$M,'RET TECH'!$F:$F)&amp;" "&amp;_xlfn.XLOOKUP(C75,'RET TECH'!$M:$M,'RET TECH'!$G:$G)&amp;" "&amp;_xlfn.XLOOKUP(C75,'RET TECH'!$M:$M,'RET TECH'!$H:$H)</f>
        <v xml:space="preserve">Residential Apartment Upper-middle Income New Space cooling Building enveloppe PATH </v>
      </c>
      <c r="E75" t="str">
        <f t="shared" si="2"/>
        <v>TJ</v>
      </c>
      <c r="F75" t="str">
        <f t="shared" si="3"/>
        <v>MW</v>
      </c>
    </row>
    <row r="76" spans="2:6" x14ac:dyDescent="0.25">
      <c r="B76" t="str">
        <f>IF('RET TECH'!N41=1,"PRE","*")</f>
        <v>*</v>
      </c>
      <c r="C76" t="str">
        <f>'RET TECH'!M41</f>
        <v>RESAPAUMNewSCENVIECC4020</v>
      </c>
      <c r="D76" t="str">
        <f>_xlfn.XLOOKUP(C76,'RET TECH'!$M:$M,'RET TECH'!$A:$A)&amp;" "&amp;_xlfn.XLOOKUP(C76,'RET TECH'!$M:$M,'RET TECH'!$B:$B)&amp;" "&amp;_xlfn.XLOOKUP(C76,'RET TECH'!$M:$M,'RET TECH'!$C:$C)&amp;" "&amp;_xlfn.XLOOKUP(C76,'RET TECH'!$M:$M,'RET TECH'!$D:$D)&amp;" "&amp;_xlfn.XLOOKUP(C76,'RET TECH'!$M:$M,'RET TECH'!$E:$E)&amp;" "&amp;_xlfn.XLOOKUP(C76,'RET TECH'!$M:$M,'RET TECH'!$F:$F)&amp;" "&amp;_xlfn.XLOOKUP(C76,'RET TECH'!$M:$M,'RET TECH'!$G:$G)&amp;" "&amp;_xlfn.XLOOKUP(C76,'RET TECH'!$M:$M,'RET TECH'!$H:$H)</f>
        <v xml:space="preserve">Residential Apartment Upper-middle Income New Space cooling Building enveloppe IECC 2009 +40% </v>
      </c>
      <c r="E76" t="str">
        <f t="shared" si="2"/>
        <v>TJ</v>
      </c>
      <c r="F76" t="str">
        <f t="shared" si="3"/>
        <v>MW</v>
      </c>
    </row>
    <row r="77" spans="2:6" x14ac:dyDescent="0.25">
      <c r="B77" t="str">
        <f>IF('RET TECH'!N42=1,"PRE","*")</f>
        <v>*</v>
      </c>
      <c r="C77" t="str">
        <f>'RET TECH'!M42</f>
        <v>RESAPAUMNewSCENVIECC20</v>
      </c>
      <c r="D77" t="str">
        <f>_xlfn.XLOOKUP(C77,'RET TECH'!$M:$M,'RET TECH'!$A:$A)&amp;" "&amp;_xlfn.XLOOKUP(C77,'RET TECH'!$M:$M,'RET TECH'!$B:$B)&amp;" "&amp;_xlfn.XLOOKUP(C77,'RET TECH'!$M:$M,'RET TECH'!$C:$C)&amp;" "&amp;_xlfn.XLOOKUP(C77,'RET TECH'!$M:$M,'RET TECH'!$D:$D)&amp;" "&amp;_xlfn.XLOOKUP(C77,'RET TECH'!$M:$M,'RET TECH'!$E:$E)&amp;" "&amp;_xlfn.XLOOKUP(C77,'RET TECH'!$M:$M,'RET TECH'!$F:$F)&amp;" "&amp;_xlfn.XLOOKUP(C77,'RET TECH'!$M:$M,'RET TECH'!$G:$G)&amp;" "&amp;_xlfn.XLOOKUP(C77,'RET TECH'!$M:$M,'RET TECH'!$H:$H)</f>
        <v xml:space="preserve">Residential Apartment Upper-middle Income New Space cooling Building enveloppe IECC 2009 </v>
      </c>
      <c r="E77" t="str">
        <f t="shared" si="2"/>
        <v>TJ</v>
      </c>
      <c r="F77" t="str">
        <f t="shared" si="3"/>
        <v>MW</v>
      </c>
    </row>
    <row r="78" spans="2:6" x14ac:dyDescent="0.25">
      <c r="B78" t="str">
        <f>IF('RET TECH'!N43=1,"PRE","*")</f>
        <v>PRE</v>
      </c>
      <c r="C78" t="str">
        <f>'RET TECH'!M43</f>
        <v>RESHOUUMNewSHENVESTAR20</v>
      </c>
      <c r="D78" t="str">
        <f>_xlfn.XLOOKUP(C78,'RET TECH'!$M:$M,'RET TECH'!$A:$A)&amp;" "&amp;_xlfn.XLOOKUP(C78,'RET TECH'!$M:$M,'RET TECH'!$B:$B)&amp;" "&amp;_xlfn.XLOOKUP(C78,'RET TECH'!$M:$M,'RET TECH'!$C:$C)&amp;" "&amp;_xlfn.XLOOKUP(C78,'RET TECH'!$M:$M,'RET TECH'!$D:$D)&amp;" "&amp;_xlfn.XLOOKUP(C78,'RET TECH'!$M:$M,'RET TECH'!$E:$E)&amp;" "&amp;_xlfn.XLOOKUP(C78,'RET TECH'!$M:$M,'RET TECH'!$F:$F)&amp;" "&amp;_xlfn.XLOOKUP(C78,'RET TECH'!$M:$M,'RET TECH'!$G:$G)&amp;" "&amp;_xlfn.XLOOKUP(C78,'RET TECH'!$M:$M,'RET TECH'!$H:$H)</f>
        <v xml:space="preserve">Residential House Upper-middle Income New Space heating Building enveloppe ENERGY STAR </v>
      </c>
      <c r="E78" t="str">
        <f t="shared" si="2"/>
        <v>TJ</v>
      </c>
      <c r="F78" t="str">
        <f t="shared" si="3"/>
        <v>MW</v>
      </c>
    </row>
    <row r="79" spans="2:6" x14ac:dyDescent="0.25">
      <c r="B79" t="str">
        <f>IF('RET TECH'!N44=1,"PRE","*")</f>
        <v>PRE</v>
      </c>
      <c r="C79" t="str">
        <f>'RET TECH'!M44</f>
        <v>RESHOUUMNewSHENVPATH20</v>
      </c>
      <c r="D79" t="str">
        <f>_xlfn.XLOOKUP(C79,'RET TECH'!$M:$M,'RET TECH'!$A:$A)&amp;" "&amp;_xlfn.XLOOKUP(C79,'RET TECH'!$M:$M,'RET TECH'!$B:$B)&amp;" "&amp;_xlfn.XLOOKUP(C79,'RET TECH'!$M:$M,'RET TECH'!$C:$C)&amp;" "&amp;_xlfn.XLOOKUP(C79,'RET TECH'!$M:$M,'RET TECH'!$D:$D)&amp;" "&amp;_xlfn.XLOOKUP(C79,'RET TECH'!$M:$M,'RET TECH'!$E:$E)&amp;" "&amp;_xlfn.XLOOKUP(C79,'RET TECH'!$M:$M,'RET TECH'!$F:$F)&amp;" "&amp;_xlfn.XLOOKUP(C79,'RET TECH'!$M:$M,'RET TECH'!$G:$G)&amp;" "&amp;_xlfn.XLOOKUP(C79,'RET TECH'!$M:$M,'RET TECH'!$H:$H)</f>
        <v xml:space="preserve">Residential House Upper-middle Income New Space heating Building enveloppe PATH </v>
      </c>
      <c r="E79" t="str">
        <f t="shared" si="2"/>
        <v>TJ</v>
      </c>
      <c r="F79" t="str">
        <f t="shared" si="3"/>
        <v>MW</v>
      </c>
    </row>
    <row r="80" spans="2:6" x14ac:dyDescent="0.25">
      <c r="B80" t="str">
        <f>IF('RET TECH'!N45=1,"PRE","*")</f>
        <v>PRE</v>
      </c>
      <c r="C80" t="str">
        <f>'RET TECH'!M45</f>
        <v>RESHOUUMNewSHENVIECC4020</v>
      </c>
      <c r="D80" t="str">
        <f>_xlfn.XLOOKUP(C80,'RET TECH'!$M:$M,'RET TECH'!$A:$A)&amp;" "&amp;_xlfn.XLOOKUP(C80,'RET TECH'!$M:$M,'RET TECH'!$B:$B)&amp;" "&amp;_xlfn.XLOOKUP(C80,'RET TECH'!$M:$M,'RET TECH'!$C:$C)&amp;" "&amp;_xlfn.XLOOKUP(C80,'RET TECH'!$M:$M,'RET TECH'!$D:$D)&amp;" "&amp;_xlfn.XLOOKUP(C80,'RET TECH'!$M:$M,'RET TECH'!$E:$E)&amp;" "&amp;_xlfn.XLOOKUP(C80,'RET TECH'!$M:$M,'RET TECH'!$F:$F)&amp;" "&amp;_xlfn.XLOOKUP(C80,'RET TECH'!$M:$M,'RET TECH'!$G:$G)&amp;" "&amp;_xlfn.XLOOKUP(C80,'RET TECH'!$M:$M,'RET TECH'!$H:$H)</f>
        <v xml:space="preserve">Residential House Upper-middle Income New Space heating Building enveloppe IECC 2009 +40% </v>
      </c>
      <c r="E80" t="str">
        <f t="shared" si="2"/>
        <v>TJ</v>
      </c>
      <c r="F80" t="str">
        <f t="shared" si="3"/>
        <v>MW</v>
      </c>
    </row>
    <row r="81" spans="2:6" x14ac:dyDescent="0.25">
      <c r="B81" t="str">
        <f>IF('RET TECH'!N46=1,"PRE","*")</f>
        <v>PRE</v>
      </c>
      <c r="C81" t="str">
        <f>'RET TECH'!M46</f>
        <v>RESHOUUMNewSHENVIECC20</v>
      </c>
      <c r="D81" t="str">
        <f>_xlfn.XLOOKUP(C81,'RET TECH'!$M:$M,'RET TECH'!$A:$A)&amp;" "&amp;_xlfn.XLOOKUP(C81,'RET TECH'!$M:$M,'RET TECH'!$B:$B)&amp;" "&amp;_xlfn.XLOOKUP(C81,'RET TECH'!$M:$M,'RET TECH'!$C:$C)&amp;" "&amp;_xlfn.XLOOKUP(C81,'RET TECH'!$M:$M,'RET TECH'!$D:$D)&amp;" "&amp;_xlfn.XLOOKUP(C81,'RET TECH'!$M:$M,'RET TECH'!$E:$E)&amp;" "&amp;_xlfn.XLOOKUP(C81,'RET TECH'!$M:$M,'RET TECH'!$F:$F)&amp;" "&amp;_xlfn.XLOOKUP(C81,'RET TECH'!$M:$M,'RET TECH'!$G:$G)&amp;" "&amp;_xlfn.XLOOKUP(C81,'RET TECH'!$M:$M,'RET TECH'!$H:$H)</f>
        <v xml:space="preserve">Residential House Upper-middle Income New Space heating Building enveloppe IECC 2009 </v>
      </c>
      <c r="E81" t="str">
        <f t="shared" si="2"/>
        <v>TJ</v>
      </c>
      <c r="F81" t="str">
        <f t="shared" si="3"/>
        <v>MW</v>
      </c>
    </row>
    <row r="82" spans="2:6" x14ac:dyDescent="0.25">
      <c r="B82" t="str">
        <f>IF('RET TECH'!N47=1,"PRE","*")</f>
        <v>PRE</v>
      </c>
      <c r="C82" t="str">
        <f>'RET TECH'!M47</f>
        <v>RESHOUUMNewSCENVESTAR20</v>
      </c>
      <c r="D82" t="str">
        <f>_xlfn.XLOOKUP(C82,'RET TECH'!$M:$M,'RET TECH'!$A:$A)&amp;" "&amp;_xlfn.XLOOKUP(C82,'RET TECH'!$M:$M,'RET TECH'!$B:$B)&amp;" "&amp;_xlfn.XLOOKUP(C82,'RET TECH'!$M:$M,'RET TECH'!$C:$C)&amp;" "&amp;_xlfn.XLOOKUP(C82,'RET TECH'!$M:$M,'RET TECH'!$D:$D)&amp;" "&amp;_xlfn.XLOOKUP(C82,'RET TECH'!$M:$M,'RET TECH'!$E:$E)&amp;" "&amp;_xlfn.XLOOKUP(C82,'RET TECH'!$M:$M,'RET TECH'!$F:$F)&amp;" "&amp;_xlfn.XLOOKUP(C82,'RET TECH'!$M:$M,'RET TECH'!$G:$G)&amp;" "&amp;_xlfn.XLOOKUP(C82,'RET TECH'!$M:$M,'RET TECH'!$H:$H)</f>
        <v xml:space="preserve">Residential House Upper-middle Income New Space cooling Building enveloppe ENERGY STAR </v>
      </c>
      <c r="E82" t="str">
        <f t="shared" si="2"/>
        <v>TJ</v>
      </c>
      <c r="F82" t="str">
        <f t="shared" si="3"/>
        <v>MW</v>
      </c>
    </row>
    <row r="83" spans="2:6" x14ac:dyDescent="0.25">
      <c r="B83" t="str">
        <f>IF('RET TECH'!N48=1,"PRE","*")</f>
        <v>PRE</v>
      </c>
      <c r="C83" t="str">
        <f>'RET TECH'!M48</f>
        <v>RESHOUUMNewSCENVPATH20</v>
      </c>
      <c r="D83" t="str">
        <f>_xlfn.XLOOKUP(C83,'RET TECH'!$M:$M,'RET TECH'!$A:$A)&amp;" "&amp;_xlfn.XLOOKUP(C83,'RET TECH'!$M:$M,'RET TECH'!$B:$B)&amp;" "&amp;_xlfn.XLOOKUP(C83,'RET TECH'!$M:$M,'RET TECH'!$C:$C)&amp;" "&amp;_xlfn.XLOOKUP(C83,'RET TECH'!$M:$M,'RET TECH'!$D:$D)&amp;" "&amp;_xlfn.XLOOKUP(C83,'RET TECH'!$M:$M,'RET TECH'!$E:$E)&amp;" "&amp;_xlfn.XLOOKUP(C83,'RET TECH'!$M:$M,'RET TECH'!$F:$F)&amp;" "&amp;_xlfn.XLOOKUP(C83,'RET TECH'!$M:$M,'RET TECH'!$G:$G)&amp;" "&amp;_xlfn.XLOOKUP(C83,'RET TECH'!$M:$M,'RET TECH'!$H:$H)</f>
        <v xml:space="preserve">Residential House Upper-middle Income New Space cooling Building enveloppe PATH </v>
      </c>
      <c r="E83" t="str">
        <f t="shared" si="2"/>
        <v>TJ</v>
      </c>
      <c r="F83" t="str">
        <f t="shared" si="3"/>
        <v>MW</v>
      </c>
    </row>
    <row r="84" spans="2:6" x14ac:dyDescent="0.25">
      <c r="B84" t="str">
        <f>IF('RET TECH'!N49=1,"PRE","*")</f>
        <v>PRE</v>
      </c>
      <c r="C84" t="str">
        <f>'RET TECH'!M49</f>
        <v>RESHOUUMNewSCENVIECC4020</v>
      </c>
      <c r="D84" t="str">
        <f>_xlfn.XLOOKUP(C84,'RET TECH'!$M:$M,'RET TECH'!$A:$A)&amp;" "&amp;_xlfn.XLOOKUP(C84,'RET TECH'!$M:$M,'RET TECH'!$B:$B)&amp;" "&amp;_xlfn.XLOOKUP(C84,'RET TECH'!$M:$M,'RET TECH'!$C:$C)&amp;" "&amp;_xlfn.XLOOKUP(C84,'RET TECH'!$M:$M,'RET TECH'!$D:$D)&amp;" "&amp;_xlfn.XLOOKUP(C84,'RET TECH'!$M:$M,'RET TECH'!$E:$E)&amp;" "&amp;_xlfn.XLOOKUP(C84,'RET TECH'!$M:$M,'RET TECH'!$F:$F)&amp;" "&amp;_xlfn.XLOOKUP(C84,'RET TECH'!$M:$M,'RET TECH'!$G:$G)&amp;" "&amp;_xlfn.XLOOKUP(C84,'RET TECH'!$M:$M,'RET TECH'!$H:$H)</f>
        <v xml:space="preserve">Residential House Upper-middle Income New Space cooling Building enveloppe IECC 2009 +40% </v>
      </c>
      <c r="E84" t="str">
        <f t="shared" si="2"/>
        <v>TJ</v>
      </c>
      <c r="F84" t="str">
        <f t="shared" si="3"/>
        <v>MW</v>
      </c>
    </row>
    <row r="85" spans="2:6" x14ac:dyDescent="0.25">
      <c r="B85" t="str">
        <f>IF('RET TECH'!N50=1,"PRE","*")</f>
        <v>PRE</v>
      </c>
      <c r="C85" t="str">
        <f>'RET TECH'!M50</f>
        <v>RESHOUUMNewSCENVIECC20</v>
      </c>
      <c r="D85" t="str">
        <f>_xlfn.XLOOKUP(C85,'RET TECH'!$M:$M,'RET TECH'!$A:$A)&amp;" "&amp;_xlfn.XLOOKUP(C85,'RET TECH'!$M:$M,'RET TECH'!$B:$B)&amp;" "&amp;_xlfn.XLOOKUP(C85,'RET TECH'!$M:$M,'RET TECH'!$C:$C)&amp;" "&amp;_xlfn.XLOOKUP(C85,'RET TECH'!$M:$M,'RET TECH'!$D:$D)&amp;" "&amp;_xlfn.XLOOKUP(C85,'RET TECH'!$M:$M,'RET TECH'!$E:$E)&amp;" "&amp;_xlfn.XLOOKUP(C85,'RET TECH'!$M:$M,'RET TECH'!$F:$F)&amp;" "&amp;_xlfn.XLOOKUP(C85,'RET TECH'!$M:$M,'RET TECH'!$G:$G)&amp;" "&amp;_xlfn.XLOOKUP(C85,'RET TECH'!$M:$M,'RET TECH'!$H:$H)</f>
        <v xml:space="preserve">Residential House Upper-middle Income New Space cooling Building enveloppe IECC 2009 </v>
      </c>
      <c r="E85" t="str">
        <f t="shared" si="2"/>
        <v>TJ</v>
      </c>
      <c r="F85" t="str">
        <f t="shared" si="3"/>
        <v>MW</v>
      </c>
    </row>
    <row r="86" spans="2:6" x14ac:dyDescent="0.25">
      <c r="B86" t="str">
        <f>IF('RET TECH'!N51=1,"PRE","*")</f>
        <v>PRE</v>
      </c>
      <c r="C86" t="str">
        <f>'RET TECH'!M51</f>
        <v>RESAPAHINewSHENVESTAR20</v>
      </c>
      <c r="D86" t="str">
        <f>_xlfn.XLOOKUP(C86,'RET TECH'!$M:$M,'RET TECH'!$A:$A)&amp;" "&amp;_xlfn.XLOOKUP(C86,'RET TECH'!$M:$M,'RET TECH'!$B:$B)&amp;" "&amp;_xlfn.XLOOKUP(C86,'RET TECH'!$M:$M,'RET TECH'!$C:$C)&amp;" "&amp;_xlfn.XLOOKUP(C86,'RET TECH'!$M:$M,'RET TECH'!$D:$D)&amp;" "&amp;_xlfn.XLOOKUP(C86,'RET TECH'!$M:$M,'RET TECH'!$E:$E)&amp;" "&amp;_xlfn.XLOOKUP(C86,'RET TECH'!$M:$M,'RET TECH'!$F:$F)&amp;" "&amp;_xlfn.XLOOKUP(C86,'RET TECH'!$M:$M,'RET TECH'!$G:$G)&amp;" "&amp;_xlfn.XLOOKUP(C86,'RET TECH'!$M:$M,'RET TECH'!$H:$H)</f>
        <v xml:space="preserve">Residential Apartment High Income New Space heating Building enveloppe ENERGY STAR </v>
      </c>
      <c r="E86" t="str">
        <f t="shared" si="2"/>
        <v>TJ</v>
      </c>
      <c r="F86" t="str">
        <f t="shared" si="3"/>
        <v>MW</v>
      </c>
    </row>
    <row r="87" spans="2:6" x14ac:dyDescent="0.25">
      <c r="B87" t="str">
        <f>IF('RET TECH'!N52=1,"PRE","*")</f>
        <v>PRE</v>
      </c>
      <c r="C87" t="str">
        <f>'RET TECH'!M52</f>
        <v>RESAPAHINewSHENVPATH20</v>
      </c>
      <c r="D87" t="str">
        <f>_xlfn.XLOOKUP(C87,'RET TECH'!$M:$M,'RET TECH'!$A:$A)&amp;" "&amp;_xlfn.XLOOKUP(C87,'RET TECH'!$M:$M,'RET TECH'!$B:$B)&amp;" "&amp;_xlfn.XLOOKUP(C87,'RET TECH'!$M:$M,'RET TECH'!$C:$C)&amp;" "&amp;_xlfn.XLOOKUP(C87,'RET TECH'!$M:$M,'RET TECH'!$D:$D)&amp;" "&amp;_xlfn.XLOOKUP(C87,'RET TECH'!$M:$M,'RET TECH'!$E:$E)&amp;" "&amp;_xlfn.XLOOKUP(C87,'RET TECH'!$M:$M,'RET TECH'!$F:$F)&amp;" "&amp;_xlfn.XLOOKUP(C87,'RET TECH'!$M:$M,'RET TECH'!$G:$G)&amp;" "&amp;_xlfn.XLOOKUP(C87,'RET TECH'!$M:$M,'RET TECH'!$H:$H)</f>
        <v xml:space="preserve">Residential Apartment High Income New Space heating Building enveloppe PATH </v>
      </c>
      <c r="E87" t="str">
        <f t="shared" si="2"/>
        <v>TJ</v>
      </c>
      <c r="F87" t="str">
        <f t="shared" si="3"/>
        <v>MW</v>
      </c>
    </row>
    <row r="88" spans="2:6" x14ac:dyDescent="0.25">
      <c r="B88" t="str">
        <f>IF('RET TECH'!N53=1,"PRE","*")</f>
        <v>PRE</v>
      </c>
      <c r="C88" t="str">
        <f>'RET TECH'!M53</f>
        <v>RESAPAHINewSHENVIECC4020</v>
      </c>
      <c r="D88" t="str">
        <f>_xlfn.XLOOKUP(C88,'RET TECH'!$M:$M,'RET TECH'!$A:$A)&amp;" "&amp;_xlfn.XLOOKUP(C88,'RET TECH'!$M:$M,'RET TECH'!$B:$B)&amp;" "&amp;_xlfn.XLOOKUP(C88,'RET TECH'!$M:$M,'RET TECH'!$C:$C)&amp;" "&amp;_xlfn.XLOOKUP(C88,'RET TECH'!$M:$M,'RET TECH'!$D:$D)&amp;" "&amp;_xlfn.XLOOKUP(C88,'RET TECH'!$M:$M,'RET TECH'!$E:$E)&amp;" "&amp;_xlfn.XLOOKUP(C88,'RET TECH'!$M:$M,'RET TECH'!$F:$F)&amp;" "&amp;_xlfn.XLOOKUP(C88,'RET TECH'!$M:$M,'RET TECH'!$G:$G)&amp;" "&amp;_xlfn.XLOOKUP(C88,'RET TECH'!$M:$M,'RET TECH'!$H:$H)</f>
        <v xml:space="preserve">Residential Apartment High Income New Space heating Building enveloppe IECC 2009 +40% </v>
      </c>
      <c r="E88" t="str">
        <f t="shared" si="2"/>
        <v>TJ</v>
      </c>
      <c r="F88" t="str">
        <f t="shared" si="3"/>
        <v>MW</v>
      </c>
    </row>
    <row r="89" spans="2:6" x14ac:dyDescent="0.25">
      <c r="B89" t="str">
        <f>IF('RET TECH'!N54=1,"PRE","*")</f>
        <v>PRE</v>
      </c>
      <c r="C89" t="str">
        <f>'RET TECH'!M54</f>
        <v>RESAPAHINewSHENVIECC20</v>
      </c>
      <c r="D89" t="str">
        <f>_xlfn.XLOOKUP(C89,'RET TECH'!$M:$M,'RET TECH'!$A:$A)&amp;" "&amp;_xlfn.XLOOKUP(C89,'RET TECH'!$M:$M,'RET TECH'!$B:$B)&amp;" "&amp;_xlfn.XLOOKUP(C89,'RET TECH'!$M:$M,'RET TECH'!$C:$C)&amp;" "&amp;_xlfn.XLOOKUP(C89,'RET TECH'!$M:$M,'RET TECH'!$D:$D)&amp;" "&amp;_xlfn.XLOOKUP(C89,'RET TECH'!$M:$M,'RET TECH'!$E:$E)&amp;" "&amp;_xlfn.XLOOKUP(C89,'RET TECH'!$M:$M,'RET TECH'!$F:$F)&amp;" "&amp;_xlfn.XLOOKUP(C89,'RET TECH'!$M:$M,'RET TECH'!$G:$G)&amp;" "&amp;_xlfn.XLOOKUP(C89,'RET TECH'!$M:$M,'RET TECH'!$H:$H)</f>
        <v xml:space="preserve">Residential Apartment High Income New Space heating Building enveloppe IECC 2009 </v>
      </c>
      <c r="E89" t="str">
        <f t="shared" si="2"/>
        <v>TJ</v>
      </c>
      <c r="F89" t="str">
        <f t="shared" si="3"/>
        <v>MW</v>
      </c>
    </row>
    <row r="90" spans="2:6" x14ac:dyDescent="0.25">
      <c r="B90" t="str">
        <f>IF('RET TECH'!N55=1,"PRE","*")</f>
        <v>*</v>
      </c>
      <c r="C90" t="str">
        <f>'RET TECH'!M55</f>
        <v>RESAPAHINewSCENVESTAR20</v>
      </c>
      <c r="D90" t="str">
        <f>_xlfn.XLOOKUP(C90,'RET TECH'!$M:$M,'RET TECH'!$A:$A)&amp;" "&amp;_xlfn.XLOOKUP(C90,'RET TECH'!$M:$M,'RET TECH'!$B:$B)&amp;" "&amp;_xlfn.XLOOKUP(C90,'RET TECH'!$M:$M,'RET TECH'!$C:$C)&amp;" "&amp;_xlfn.XLOOKUP(C90,'RET TECH'!$M:$M,'RET TECH'!$D:$D)&amp;" "&amp;_xlfn.XLOOKUP(C90,'RET TECH'!$M:$M,'RET TECH'!$E:$E)&amp;" "&amp;_xlfn.XLOOKUP(C90,'RET TECH'!$M:$M,'RET TECH'!$F:$F)&amp;" "&amp;_xlfn.XLOOKUP(C90,'RET TECH'!$M:$M,'RET TECH'!$G:$G)&amp;" "&amp;_xlfn.XLOOKUP(C90,'RET TECH'!$M:$M,'RET TECH'!$H:$H)</f>
        <v xml:space="preserve">Residential Apartment High Income New Space cooling Building enveloppe ENERGY STAR </v>
      </c>
      <c r="E90" t="str">
        <f t="shared" si="2"/>
        <v>TJ</v>
      </c>
      <c r="F90" t="str">
        <f t="shared" si="3"/>
        <v>MW</v>
      </c>
    </row>
    <row r="91" spans="2:6" x14ac:dyDescent="0.25">
      <c r="B91" t="str">
        <f>IF('RET TECH'!N56=1,"PRE","*")</f>
        <v>*</v>
      </c>
      <c r="C91" t="str">
        <f>'RET TECH'!M56</f>
        <v>RESAPAHINewSCENVPATH20</v>
      </c>
      <c r="D91" t="str">
        <f>_xlfn.XLOOKUP(C91,'RET TECH'!$M:$M,'RET TECH'!$A:$A)&amp;" "&amp;_xlfn.XLOOKUP(C91,'RET TECH'!$M:$M,'RET TECH'!$B:$B)&amp;" "&amp;_xlfn.XLOOKUP(C91,'RET TECH'!$M:$M,'RET TECH'!$C:$C)&amp;" "&amp;_xlfn.XLOOKUP(C91,'RET TECH'!$M:$M,'RET TECH'!$D:$D)&amp;" "&amp;_xlfn.XLOOKUP(C91,'RET TECH'!$M:$M,'RET TECH'!$E:$E)&amp;" "&amp;_xlfn.XLOOKUP(C91,'RET TECH'!$M:$M,'RET TECH'!$F:$F)&amp;" "&amp;_xlfn.XLOOKUP(C91,'RET TECH'!$M:$M,'RET TECH'!$G:$G)&amp;" "&amp;_xlfn.XLOOKUP(C91,'RET TECH'!$M:$M,'RET TECH'!$H:$H)</f>
        <v xml:space="preserve">Residential Apartment High Income New Space cooling Building enveloppe PATH </v>
      </c>
      <c r="E91" t="str">
        <f t="shared" si="2"/>
        <v>TJ</v>
      </c>
      <c r="F91" t="str">
        <f t="shared" si="3"/>
        <v>MW</v>
      </c>
    </row>
    <row r="92" spans="2:6" x14ac:dyDescent="0.25">
      <c r="B92" t="str">
        <f>IF('RET TECH'!N57=1,"PRE","*")</f>
        <v>*</v>
      </c>
      <c r="C92" t="str">
        <f>'RET TECH'!M57</f>
        <v>RESAPAHINewSCENVIECC4020</v>
      </c>
      <c r="D92" t="str">
        <f>_xlfn.XLOOKUP(C92,'RET TECH'!$M:$M,'RET TECH'!$A:$A)&amp;" "&amp;_xlfn.XLOOKUP(C92,'RET TECH'!$M:$M,'RET TECH'!$B:$B)&amp;" "&amp;_xlfn.XLOOKUP(C92,'RET TECH'!$M:$M,'RET TECH'!$C:$C)&amp;" "&amp;_xlfn.XLOOKUP(C92,'RET TECH'!$M:$M,'RET TECH'!$D:$D)&amp;" "&amp;_xlfn.XLOOKUP(C92,'RET TECH'!$M:$M,'RET TECH'!$E:$E)&amp;" "&amp;_xlfn.XLOOKUP(C92,'RET TECH'!$M:$M,'RET TECH'!$F:$F)&amp;" "&amp;_xlfn.XLOOKUP(C92,'RET TECH'!$M:$M,'RET TECH'!$G:$G)&amp;" "&amp;_xlfn.XLOOKUP(C92,'RET TECH'!$M:$M,'RET TECH'!$H:$H)</f>
        <v xml:space="preserve">Residential Apartment High Income New Space cooling Building enveloppe IECC 2009 +40% </v>
      </c>
      <c r="E92" t="str">
        <f t="shared" si="2"/>
        <v>TJ</v>
      </c>
      <c r="F92" t="str">
        <f t="shared" si="3"/>
        <v>MW</v>
      </c>
    </row>
    <row r="93" spans="2:6" x14ac:dyDescent="0.25">
      <c r="B93" t="str">
        <f>IF('RET TECH'!N58=1,"PRE","*")</f>
        <v>*</v>
      </c>
      <c r="C93" t="str">
        <f>'RET TECH'!M58</f>
        <v>RESAPAHINewSCENVIECC20</v>
      </c>
      <c r="D93" t="str">
        <f>_xlfn.XLOOKUP(C93,'RET TECH'!$M:$M,'RET TECH'!$A:$A)&amp;" "&amp;_xlfn.XLOOKUP(C93,'RET TECH'!$M:$M,'RET TECH'!$B:$B)&amp;" "&amp;_xlfn.XLOOKUP(C93,'RET TECH'!$M:$M,'RET TECH'!$C:$C)&amp;" "&amp;_xlfn.XLOOKUP(C93,'RET TECH'!$M:$M,'RET TECH'!$D:$D)&amp;" "&amp;_xlfn.XLOOKUP(C93,'RET TECH'!$M:$M,'RET TECH'!$E:$E)&amp;" "&amp;_xlfn.XLOOKUP(C93,'RET TECH'!$M:$M,'RET TECH'!$F:$F)&amp;" "&amp;_xlfn.XLOOKUP(C93,'RET TECH'!$M:$M,'RET TECH'!$G:$G)&amp;" "&amp;_xlfn.XLOOKUP(C93,'RET TECH'!$M:$M,'RET TECH'!$H:$H)</f>
        <v xml:space="preserve">Residential Apartment High Income New Space cooling Building enveloppe IECC 2009 </v>
      </c>
      <c r="E93" t="str">
        <f t="shared" si="2"/>
        <v>TJ</v>
      </c>
      <c r="F93" t="str">
        <f t="shared" si="3"/>
        <v>MW</v>
      </c>
    </row>
    <row r="94" spans="2:6" x14ac:dyDescent="0.25">
      <c r="B94" t="str">
        <f>IF('RET TECH'!N59=1,"PRE","*")</f>
        <v>PRE</v>
      </c>
      <c r="C94" t="str">
        <f>'RET TECH'!M59</f>
        <v>RESHOUHINewSHENVESTAR20</v>
      </c>
      <c r="D94" t="str">
        <f>_xlfn.XLOOKUP(C94,'RET TECH'!$M:$M,'RET TECH'!$A:$A)&amp;" "&amp;_xlfn.XLOOKUP(C94,'RET TECH'!$M:$M,'RET TECH'!$B:$B)&amp;" "&amp;_xlfn.XLOOKUP(C94,'RET TECH'!$M:$M,'RET TECH'!$C:$C)&amp;" "&amp;_xlfn.XLOOKUP(C94,'RET TECH'!$M:$M,'RET TECH'!$D:$D)&amp;" "&amp;_xlfn.XLOOKUP(C94,'RET TECH'!$M:$M,'RET TECH'!$E:$E)&amp;" "&amp;_xlfn.XLOOKUP(C94,'RET TECH'!$M:$M,'RET TECH'!$F:$F)&amp;" "&amp;_xlfn.XLOOKUP(C94,'RET TECH'!$M:$M,'RET TECH'!$G:$G)&amp;" "&amp;_xlfn.XLOOKUP(C94,'RET TECH'!$M:$M,'RET TECH'!$H:$H)</f>
        <v xml:space="preserve">Residential House High Income New Space heating Building enveloppe ENERGY STAR </v>
      </c>
      <c r="E94" t="str">
        <f t="shared" si="2"/>
        <v>TJ</v>
      </c>
      <c r="F94" t="str">
        <f t="shared" si="3"/>
        <v>MW</v>
      </c>
    </row>
    <row r="95" spans="2:6" x14ac:dyDescent="0.25">
      <c r="B95" t="str">
        <f>IF('RET TECH'!N60=1,"PRE","*")</f>
        <v>PRE</v>
      </c>
      <c r="C95" t="str">
        <f>'RET TECH'!M60</f>
        <v>RESHOUHINewSHENVPATH20</v>
      </c>
      <c r="D95" t="str">
        <f>_xlfn.XLOOKUP(C95,'RET TECH'!$M:$M,'RET TECH'!$A:$A)&amp;" "&amp;_xlfn.XLOOKUP(C95,'RET TECH'!$M:$M,'RET TECH'!$B:$B)&amp;" "&amp;_xlfn.XLOOKUP(C95,'RET TECH'!$M:$M,'RET TECH'!$C:$C)&amp;" "&amp;_xlfn.XLOOKUP(C95,'RET TECH'!$M:$M,'RET TECH'!$D:$D)&amp;" "&amp;_xlfn.XLOOKUP(C95,'RET TECH'!$M:$M,'RET TECH'!$E:$E)&amp;" "&amp;_xlfn.XLOOKUP(C95,'RET TECH'!$M:$M,'RET TECH'!$F:$F)&amp;" "&amp;_xlfn.XLOOKUP(C95,'RET TECH'!$M:$M,'RET TECH'!$G:$G)&amp;" "&amp;_xlfn.XLOOKUP(C95,'RET TECH'!$M:$M,'RET TECH'!$H:$H)</f>
        <v xml:space="preserve">Residential House High Income New Space heating Building enveloppe PATH </v>
      </c>
      <c r="E95" t="str">
        <f t="shared" si="2"/>
        <v>TJ</v>
      </c>
      <c r="F95" t="str">
        <f t="shared" si="3"/>
        <v>MW</v>
      </c>
    </row>
    <row r="96" spans="2:6" x14ac:dyDescent="0.25">
      <c r="B96" t="str">
        <f>IF('RET TECH'!N61=1,"PRE","*")</f>
        <v>PRE</v>
      </c>
      <c r="C96" t="str">
        <f>'RET TECH'!M61</f>
        <v>RESHOUHINewSHENVIECC4020</v>
      </c>
      <c r="D96" t="str">
        <f>_xlfn.XLOOKUP(C96,'RET TECH'!$M:$M,'RET TECH'!$A:$A)&amp;" "&amp;_xlfn.XLOOKUP(C96,'RET TECH'!$M:$M,'RET TECH'!$B:$B)&amp;" "&amp;_xlfn.XLOOKUP(C96,'RET TECH'!$M:$M,'RET TECH'!$C:$C)&amp;" "&amp;_xlfn.XLOOKUP(C96,'RET TECH'!$M:$M,'RET TECH'!$D:$D)&amp;" "&amp;_xlfn.XLOOKUP(C96,'RET TECH'!$M:$M,'RET TECH'!$E:$E)&amp;" "&amp;_xlfn.XLOOKUP(C96,'RET TECH'!$M:$M,'RET TECH'!$F:$F)&amp;" "&amp;_xlfn.XLOOKUP(C96,'RET TECH'!$M:$M,'RET TECH'!$G:$G)&amp;" "&amp;_xlfn.XLOOKUP(C96,'RET TECH'!$M:$M,'RET TECH'!$H:$H)</f>
        <v xml:space="preserve">Residential House High Income New Space heating Building enveloppe IECC 2009 +40% </v>
      </c>
      <c r="E96" t="str">
        <f t="shared" si="2"/>
        <v>TJ</v>
      </c>
      <c r="F96" t="str">
        <f t="shared" si="3"/>
        <v>MW</v>
      </c>
    </row>
    <row r="97" spans="2:6" x14ac:dyDescent="0.25">
      <c r="B97" t="str">
        <f>IF('RET TECH'!N62=1,"PRE","*")</f>
        <v>PRE</v>
      </c>
      <c r="C97" t="str">
        <f>'RET TECH'!M62</f>
        <v>RESHOUHINewSHENVIECC20</v>
      </c>
      <c r="D97" t="str">
        <f>_xlfn.XLOOKUP(C97,'RET TECH'!$M:$M,'RET TECH'!$A:$A)&amp;" "&amp;_xlfn.XLOOKUP(C97,'RET TECH'!$M:$M,'RET TECH'!$B:$B)&amp;" "&amp;_xlfn.XLOOKUP(C97,'RET TECH'!$M:$M,'RET TECH'!$C:$C)&amp;" "&amp;_xlfn.XLOOKUP(C97,'RET TECH'!$M:$M,'RET TECH'!$D:$D)&amp;" "&amp;_xlfn.XLOOKUP(C97,'RET TECH'!$M:$M,'RET TECH'!$E:$E)&amp;" "&amp;_xlfn.XLOOKUP(C97,'RET TECH'!$M:$M,'RET TECH'!$F:$F)&amp;" "&amp;_xlfn.XLOOKUP(C97,'RET TECH'!$M:$M,'RET TECH'!$G:$G)&amp;" "&amp;_xlfn.XLOOKUP(C97,'RET TECH'!$M:$M,'RET TECH'!$H:$H)</f>
        <v xml:space="preserve">Residential House High Income New Space heating Building enveloppe IECC 2009 </v>
      </c>
      <c r="E97" t="str">
        <f t="shared" si="2"/>
        <v>TJ</v>
      </c>
      <c r="F97" t="str">
        <f t="shared" si="3"/>
        <v>MW</v>
      </c>
    </row>
    <row r="98" spans="2:6" x14ac:dyDescent="0.25">
      <c r="B98" t="str">
        <f>IF('RET TECH'!N63=1,"PRE","*")</f>
        <v>PRE</v>
      </c>
      <c r="C98" t="str">
        <f>'RET TECH'!M63</f>
        <v>RESHOUHINewSCENVESTAR20</v>
      </c>
      <c r="D98" t="str">
        <f>_xlfn.XLOOKUP(C98,'RET TECH'!$M:$M,'RET TECH'!$A:$A)&amp;" "&amp;_xlfn.XLOOKUP(C98,'RET TECH'!$M:$M,'RET TECH'!$B:$B)&amp;" "&amp;_xlfn.XLOOKUP(C98,'RET TECH'!$M:$M,'RET TECH'!$C:$C)&amp;" "&amp;_xlfn.XLOOKUP(C98,'RET TECH'!$M:$M,'RET TECH'!$D:$D)&amp;" "&amp;_xlfn.XLOOKUP(C98,'RET TECH'!$M:$M,'RET TECH'!$E:$E)&amp;" "&amp;_xlfn.XLOOKUP(C98,'RET TECH'!$M:$M,'RET TECH'!$F:$F)&amp;" "&amp;_xlfn.XLOOKUP(C98,'RET TECH'!$M:$M,'RET TECH'!$G:$G)&amp;" "&amp;_xlfn.XLOOKUP(C98,'RET TECH'!$M:$M,'RET TECH'!$H:$H)</f>
        <v xml:space="preserve">Residential House High Income New Space cooling Building enveloppe ENERGY STAR </v>
      </c>
      <c r="E98" t="str">
        <f t="shared" si="2"/>
        <v>TJ</v>
      </c>
      <c r="F98" t="str">
        <f t="shared" si="3"/>
        <v>MW</v>
      </c>
    </row>
    <row r="99" spans="2:6" x14ac:dyDescent="0.25">
      <c r="B99" t="str">
        <f>IF('RET TECH'!N64=1,"PRE","*")</f>
        <v>PRE</v>
      </c>
      <c r="C99" t="str">
        <f>'RET TECH'!M64</f>
        <v>RESHOUHINewSCENVPATH20</v>
      </c>
      <c r="D99" t="str">
        <f>_xlfn.XLOOKUP(C99,'RET TECH'!$M:$M,'RET TECH'!$A:$A)&amp;" "&amp;_xlfn.XLOOKUP(C99,'RET TECH'!$M:$M,'RET TECH'!$B:$B)&amp;" "&amp;_xlfn.XLOOKUP(C99,'RET TECH'!$M:$M,'RET TECH'!$C:$C)&amp;" "&amp;_xlfn.XLOOKUP(C99,'RET TECH'!$M:$M,'RET TECH'!$D:$D)&amp;" "&amp;_xlfn.XLOOKUP(C99,'RET TECH'!$M:$M,'RET TECH'!$E:$E)&amp;" "&amp;_xlfn.XLOOKUP(C99,'RET TECH'!$M:$M,'RET TECH'!$F:$F)&amp;" "&amp;_xlfn.XLOOKUP(C99,'RET TECH'!$M:$M,'RET TECH'!$G:$G)&amp;" "&amp;_xlfn.XLOOKUP(C99,'RET TECH'!$M:$M,'RET TECH'!$H:$H)</f>
        <v xml:space="preserve">Residential House High Income New Space cooling Building enveloppe PATH </v>
      </c>
      <c r="E99" t="str">
        <f t="shared" si="2"/>
        <v>TJ</v>
      </c>
      <c r="F99" t="str">
        <f t="shared" si="3"/>
        <v>MW</v>
      </c>
    </row>
    <row r="100" spans="2:6" x14ac:dyDescent="0.25">
      <c r="B100" t="str">
        <f>IF('RET TECH'!N65=1,"PRE","*")</f>
        <v>PRE</v>
      </c>
      <c r="C100" t="str">
        <f>'RET TECH'!M65</f>
        <v>RESHOUHINewSCENVIECC4020</v>
      </c>
      <c r="D100" t="str">
        <f>_xlfn.XLOOKUP(C100,'RET TECH'!$M:$M,'RET TECH'!$A:$A)&amp;" "&amp;_xlfn.XLOOKUP(C100,'RET TECH'!$M:$M,'RET TECH'!$B:$B)&amp;" "&amp;_xlfn.XLOOKUP(C100,'RET TECH'!$M:$M,'RET TECH'!$C:$C)&amp;" "&amp;_xlfn.XLOOKUP(C100,'RET TECH'!$M:$M,'RET TECH'!$D:$D)&amp;" "&amp;_xlfn.XLOOKUP(C100,'RET TECH'!$M:$M,'RET TECH'!$E:$E)&amp;" "&amp;_xlfn.XLOOKUP(C100,'RET TECH'!$M:$M,'RET TECH'!$F:$F)&amp;" "&amp;_xlfn.XLOOKUP(C100,'RET TECH'!$M:$M,'RET TECH'!$G:$G)&amp;" "&amp;_xlfn.XLOOKUP(C100,'RET TECH'!$M:$M,'RET TECH'!$H:$H)</f>
        <v xml:space="preserve">Residential House High Income New Space cooling Building enveloppe IECC 2009 +40% </v>
      </c>
      <c r="E100" t="str">
        <f t="shared" si="2"/>
        <v>TJ</v>
      </c>
      <c r="F100" t="str">
        <f t="shared" si="3"/>
        <v>MW</v>
      </c>
    </row>
    <row r="101" spans="2:6" x14ac:dyDescent="0.25">
      <c r="B101" t="str">
        <f>IF('RET TECH'!N66=1,"PRE","*")</f>
        <v>PRE</v>
      </c>
      <c r="C101" t="str">
        <f>'RET TECH'!M66</f>
        <v>RESHOUHINewSCENVIECC20</v>
      </c>
      <c r="D101" t="str">
        <f>_xlfn.XLOOKUP(C101,'RET TECH'!$M:$M,'RET TECH'!$A:$A)&amp;" "&amp;_xlfn.XLOOKUP(C101,'RET TECH'!$M:$M,'RET TECH'!$B:$B)&amp;" "&amp;_xlfn.XLOOKUP(C101,'RET TECH'!$M:$M,'RET TECH'!$C:$C)&amp;" "&amp;_xlfn.XLOOKUP(C101,'RET TECH'!$M:$M,'RET TECH'!$D:$D)&amp;" "&amp;_xlfn.XLOOKUP(C101,'RET TECH'!$M:$M,'RET TECH'!$E:$E)&amp;" "&amp;_xlfn.XLOOKUP(C101,'RET TECH'!$M:$M,'RET TECH'!$F:$F)&amp;" "&amp;_xlfn.XLOOKUP(C101,'RET TECH'!$M:$M,'RET TECH'!$G:$G)&amp;" "&amp;_xlfn.XLOOKUP(C101,'RET TECH'!$M:$M,'RET TECH'!$H:$H)</f>
        <v xml:space="preserve">Residential House High Income New Space cooling Building enveloppe IECC 2009 </v>
      </c>
      <c r="E101" t="str">
        <f t="shared" si="2"/>
        <v>TJ</v>
      </c>
      <c r="F101" t="str">
        <f t="shared" si="3"/>
        <v>MW</v>
      </c>
    </row>
    <row r="102" spans="2:6" x14ac:dyDescent="0.25">
      <c r="B102" t="str">
        <f>IF('RET TECH'!N67=1,"PRE","*")</f>
        <v>*</v>
      </c>
      <c r="C102" t="str">
        <f>'RET TECH'!M67</f>
        <v>*</v>
      </c>
      <c r="D102" t="str">
        <f>_xlfn.XLOOKUP(C102,'RET TECH'!$M:$M,'RET TECH'!$A:$A)&amp;" "&amp;_xlfn.XLOOKUP(C102,'RET TECH'!$M:$M,'RET TECH'!$B:$B)&amp;" "&amp;_xlfn.XLOOKUP(C102,'RET TECH'!$M:$M,'RET TECH'!$C:$C)&amp;" "&amp;_xlfn.XLOOKUP(C102,'RET TECH'!$M:$M,'RET TECH'!$D:$D)&amp;" "&amp;_xlfn.XLOOKUP(C102,'RET TECH'!$M:$M,'RET TECH'!$E:$E)&amp;" "&amp;_xlfn.XLOOKUP(C102,'RET TECH'!$M:$M,'RET TECH'!$F:$F)&amp;" "&amp;_xlfn.XLOOKUP(C102,'RET TECH'!$M:$M,'RET TECH'!$G:$G)&amp;" "&amp;_xlfn.XLOOKUP(C102,'RET TECH'!$M:$M,'RET TECH'!$H:$H)</f>
        <v xml:space="preserve">*       </v>
      </c>
      <c r="E102" t="str">
        <f t="shared" ref="E102:E133" si="4">IF(F102="*","*",IF(F102="Mlma","Mlm","TJ"))</f>
        <v>*</v>
      </c>
      <c r="F102" t="str">
        <f t="shared" ref="F102:F133" si="5">IF(C102="*","*","MW")</f>
        <v>*</v>
      </c>
    </row>
    <row r="103" spans="2:6" x14ac:dyDescent="0.25">
      <c r="B103" t="str">
        <f>IF('RET TECH'!N68=1,"PRE","*")</f>
        <v>PRE</v>
      </c>
      <c r="C103" t="str">
        <f>'RET TECH'!M68</f>
        <v>RESAPALOOldSHENVESTAR20</v>
      </c>
      <c r="D103" t="str">
        <f>_xlfn.XLOOKUP(C103,'RET TECH'!$M:$M,'RET TECH'!$A:$A)&amp;" "&amp;_xlfn.XLOOKUP(C103,'RET TECH'!$M:$M,'RET TECH'!$B:$B)&amp;" "&amp;_xlfn.XLOOKUP(C103,'RET TECH'!$M:$M,'RET TECH'!$C:$C)&amp;" "&amp;_xlfn.XLOOKUP(C103,'RET TECH'!$M:$M,'RET TECH'!$D:$D)&amp;" "&amp;_xlfn.XLOOKUP(C103,'RET TECH'!$M:$M,'RET TECH'!$E:$E)&amp;" "&amp;_xlfn.XLOOKUP(C103,'RET TECH'!$M:$M,'RET TECH'!$F:$F)&amp;" "&amp;_xlfn.XLOOKUP(C103,'RET TECH'!$M:$M,'RET TECH'!$G:$G)&amp;" "&amp;_xlfn.XLOOKUP(C103,'RET TECH'!$M:$M,'RET TECH'!$H:$H)</f>
        <v xml:space="preserve">Residential Apartment Low Income Old Space heating Building enveloppe ENERGY STAR </v>
      </c>
      <c r="E103" t="str">
        <f t="shared" si="4"/>
        <v>TJ</v>
      </c>
      <c r="F103" t="str">
        <f t="shared" si="5"/>
        <v>MW</v>
      </c>
    </row>
    <row r="104" spans="2:6" x14ac:dyDescent="0.25">
      <c r="B104" t="str">
        <f>IF('RET TECH'!N69=1,"PRE","*")</f>
        <v>PRE</v>
      </c>
      <c r="C104" t="str">
        <f>'RET TECH'!M69</f>
        <v>RESAPALOOldSHENVPATH20</v>
      </c>
      <c r="D104" t="str">
        <f>_xlfn.XLOOKUP(C104,'RET TECH'!$M:$M,'RET TECH'!$A:$A)&amp;" "&amp;_xlfn.XLOOKUP(C104,'RET TECH'!$M:$M,'RET TECH'!$B:$B)&amp;" "&amp;_xlfn.XLOOKUP(C104,'RET TECH'!$M:$M,'RET TECH'!$C:$C)&amp;" "&amp;_xlfn.XLOOKUP(C104,'RET TECH'!$M:$M,'RET TECH'!$D:$D)&amp;" "&amp;_xlfn.XLOOKUP(C104,'RET TECH'!$M:$M,'RET TECH'!$E:$E)&amp;" "&amp;_xlfn.XLOOKUP(C104,'RET TECH'!$M:$M,'RET TECH'!$F:$F)&amp;" "&amp;_xlfn.XLOOKUP(C104,'RET TECH'!$M:$M,'RET TECH'!$G:$G)&amp;" "&amp;_xlfn.XLOOKUP(C104,'RET TECH'!$M:$M,'RET TECH'!$H:$H)</f>
        <v xml:space="preserve">Residential Apartment Low Income Old Space heating Building enveloppe PATH </v>
      </c>
      <c r="E104" t="str">
        <f t="shared" si="4"/>
        <v>TJ</v>
      </c>
      <c r="F104" t="str">
        <f t="shared" si="5"/>
        <v>MW</v>
      </c>
    </row>
    <row r="105" spans="2:6" x14ac:dyDescent="0.25">
      <c r="B105" t="str">
        <f>IF('RET TECH'!N70=1,"PRE","*")</f>
        <v>PRE</v>
      </c>
      <c r="C105" t="str">
        <f>'RET TECH'!M70</f>
        <v>RESAPALOOldSHENVIECC4020</v>
      </c>
      <c r="D105" t="str">
        <f>_xlfn.XLOOKUP(C105,'RET TECH'!$M:$M,'RET TECH'!$A:$A)&amp;" "&amp;_xlfn.XLOOKUP(C105,'RET TECH'!$M:$M,'RET TECH'!$B:$B)&amp;" "&amp;_xlfn.XLOOKUP(C105,'RET TECH'!$M:$M,'RET TECH'!$C:$C)&amp;" "&amp;_xlfn.XLOOKUP(C105,'RET TECH'!$M:$M,'RET TECH'!$D:$D)&amp;" "&amp;_xlfn.XLOOKUP(C105,'RET TECH'!$M:$M,'RET TECH'!$E:$E)&amp;" "&amp;_xlfn.XLOOKUP(C105,'RET TECH'!$M:$M,'RET TECH'!$F:$F)&amp;" "&amp;_xlfn.XLOOKUP(C105,'RET TECH'!$M:$M,'RET TECH'!$G:$G)&amp;" "&amp;_xlfn.XLOOKUP(C105,'RET TECH'!$M:$M,'RET TECH'!$H:$H)</f>
        <v xml:space="preserve">Residential Apartment Low Income Old Space heating Building enveloppe IECC 2009 +40% </v>
      </c>
      <c r="E105" t="str">
        <f t="shared" si="4"/>
        <v>TJ</v>
      </c>
      <c r="F105" t="str">
        <f t="shared" si="5"/>
        <v>MW</v>
      </c>
    </row>
    <row r="106" spans="2:6" x14ac:dyDescent="0.25">
      <c r="B106" t="str">
        <f>IF('RET TECH'!N71=1,"PRE","*")</f>
        <v>PRE</v>
      </c>
      <c r="C106" t="str">
        <f>'RET TECH'!M71</f>
        <v>RESAPALOOldSHENVIECC20</v>
      </c>
      <c r="D106" t="str">
        <f>_xlfn.XLOOKUP(C106,'RET TECH'!$M:$M,'RET TECH'!$A:$A)&amp;" "&amp;_xlfn.XLOOKUP(C106,'RET TECH'!$M:$M,'RET TECH'!$B:$B)&amp;" "&amp;_xlfn.XLOOKUP(C106,'RET TECH'!$M:$M,'RET TECH'!$C:$C)&amp;" "&amp;_xlfn.XLOOKUP(C106,'RET TECH'!$M:$M,'RET TECH'!$D:$D)&amp;" "&amp;_xlfn.XLOOKUP(C106,'RET TECH'!$M:$M,'RET TECH'!$E:$E)&amp;" "&amp;_xlfn.XLOOKUP(C106,'RET TECH'!$M:$M,'RET TECH'!$F:$F)&amp;" "&amp;_xlfn.XLOOKUP(C106,'RET TECH'!$M:$M,'RET TECH'!$G:$G)&amp;" "&amp;_xlfn.XLOOKUP(C106,'RET TECH'!$M:$M,'RET TECH'!$H:$H)</f>
        <v xml:space="preserve">Residential Apartment Low Income Old Space heating Building enveloppe IECC 2009 </v>
      </c>
      <c r="E106" t="str">
        <f t="shared" si="4"/>
        <v>TJ</v>
      </c>
      <c r="F106" t="str">
        <f t="shared" si="5"/>
        <v>MW</v>
      </c>
    </row>
    <row r="107" spans="2:6" x14ac:dyDescent="0.25">
      <c r="B107" t="str">
        <f>IF('RET TECH'!N72=1,"PRE","*")</f>
        <v>*</v>
      </c>
      <c r="C107" t="str">
        <f>'RET TECH'!M72</f>
        <v>RESAPALOOldSCENVESTAR20</v>
      </c>
      <c r="D107" t="str">
        <f>_xlfn.XLOOKUP(C107,'RET TECH'!$M:$M,'RET TECH'!$A:$A)&amp;" "&amp;_xlfn.XLOOKUP(C107,'RET TECH'!$M:$M,'RET TECH'!$B:$B)&amp;" "&amp;_xlfn.XLOOKUP(C107,'RET TECH'!$M:$M,'RET TECH'!$C:$C)&amp;" "&amp;_xlfn.XLOOKUP(C107,'RET TECH'!$M:$M,'RET TECH'!$D:$D)&amp;" "&amp;_xlfn.XLOOKUP(C107,'RET TECH'!$M:$M,'RET TECH'!$E:$E)&amp;" "&amp;_xlfn.XLOOKUP(C107,'RET TECH'!$M:$M,'RET TECH'!$F:$F)&amp;" "&amp;_xlfn.XLOOKUP(C107,'RET TECH'!$M:$M,'RET TECH'!$G:$G)&amp;" "&amp;_xlfn.XLOOKUP(C107,'RET TECH'!$M:$M,'RET TECH'!$H:$H)</f>
        <v xml:space="preserve">Residential Apartment Low Income Old Space cooling Building enveloppe ENERGY STAR </v>
      </c>
      <c r="E107" t="str">
        <f t="shared" si="4"/>
        <v>TJ</v>
      </c>
      <c r="F107" t="str">
        <f t="shared" si="5"/>
        <v>MW</v>
      </c>
    </row>
    <row r="108" spans="2:6" x14ac:dyDescent="0.25">
      <c r="B108" t="str">
        <f>IF('RET TECH'!N73=1,"PRE","*")</f>
        <v>*</v>
      </c>
      <c r="C108" t="str">
        <f>'RET TECH'!M73</f>
        <v>RESAPALOOldSCENVPATH20</v>
      </c>
      <c r="D108" t="str">
        <f>_xlfn.XLOOKUP(C108,'RET TECH'!$M:$M,'RET TECH'!$A:$A)&amp;" "&amp;_xlfn.XLOOKUP(C108,'RET TECH'!$M:$M,'RET TECH'!$B:$B)&amp;" "&amp;_xlfn.XLOOKUP(C108,'RET TECH'!$M:$M,'RET TECH'!$C:$C)&amp;" "&amp;_xlfn.XLOOKUP(C108,'RET TECH'!$M:$M,'RET TECH'!$D:$D)&amp;" "&amp;_xlfn.XLOOKUP(C108,'RET TECH'!$M:$M,'RET TECH'!$E:$E)&amp;" "&amp;_xlfn.XLOOKUP(C108,'RET TECH'!$M:$M,'RET TECH'!$F:$F)&amp;" "&amp;_xlfn.XLOOKUP(C108,'RET TECH'!$M:$M,'RET TECH'!$G:$G)&amp;" "&amp;_xlfn.XLOOKUP(C108,'RET TECH'!$M:$M,'RET TECH'!$H:$H)</f>
        <v xml:space="preserve">Residential Apartment Low Income Old Space cooling Building enveloppe PATH </v>
      </c>
      <c r="E108" t="str">
        <f t="shared" si="4"/>
        <v>TJ</v>
      </c>
      <c r="F108" t="str">
        <f t="shared" si="5"/>
        <v>MW</v>
      </c>
    </row>
    <row r="109" spans="2:6" x14ac:dyDescent="0.25">
      <c r="B109" t="str">
        <f>IF('RET TECH'!N74=1,"PRE","*")</f>
        <v>*</v>
      </c>
      <c r="C109" t="str">
        <f>'RET TECH'!M74</f>
        <v>RESAPALOOldSCENVIECC4020</v>
      </c>
      <c r="D109" t="str">
        <f>_xlfn.XLOOKUP(C109,'RET TECH'!$M:$M,'RET TECH'!$A:$A)&amp;" "&amp;_xlfn.XLOOKUP(C109,'RET TECH'!$M:$M,'RET TECH'!$B:$B)&amp;" "&amp;_xlfn.XLOOKUP(C109,'RET TECH'!$M:$M,'RET TECH'!$C:$C)&amp;" "&amp;_xlfn.XLOOKUP(C109,'RET TECH'!$M:$M,'RET TECH'!$D:$D)&amp;" "&amp;_xlfn.XLOOKUP(C109,'RET TECH'!$M:$M,'RET TECH'!$E:$E)&amp;" "&amp;_xlfn.XLOOKUP(C109,'RET TECH'!$M:$M,'RET TECH'!$F:$F)&amp;" "&amp;_xlfn.XLOOKUP(C109,'RET TECH'!$M:$M,'RET TECH'!$G:$G)&amp;" "&amp;_xlfn.XLOOKUP(C109,'RET TECH'!$M:$M,'RET TECH'!$H:$H)</f>
        <v xml:space="preserve">Residential Apartment Low Income Old Space cooling Building enveloppe IECC 2009 +40% </v>
      </c>
      <c r="E109" t="str">
        <f t="shared" si="4"/>
        <v>TJ</v>
      </c>
      <c r="F109" t="str">
        <f t="shared" si="5"/>
        <v>MW</v>
      </c>
    </row>
    <row r="110" spans="2:6" x14ac:dyDescent="0.25">
      <c r="B110" t="str">
        <f>IF('RET TECH'!N75=1,"PRE","*")</f>
        <v>*</v>
      </c>
      <c r="C110" t="str">
        <f>'RET TECH'!M75</f>
        <v>RESAPALOOldSCENVIECC20</v>
      </c>
      <c r="D110" t="str">
        <f>_xlfn.XLOOKUP(C110,'RET TECH'!$M:$M,'RET TECH'!$A:$A)&amp;" "&amp;_xlfn.XLOOKUP(C110,'RET TECH'!$M:$M,'RET TECH'!$B:$B)&amp;" "&amp;_xlfn.XLOOKUP(C110,'RET TECH'!$M:$M,'RET TECH'!$C:$C)&amp;" "&amp;_xlfn.XLOOKUP(C110,'RET TECH'!$M:$M,'RET TECH'!$D:$D)&amp;" "&amp;_xlfn.XLOOKUP(C110,'RET TECH'!$M:$M,'RET TECH'!$E:$E)&amp;" "&amp;_xlfn.XLOOKUP(C110,'RET TECH'!$M:$M,'RET TECH'!$F:$F)&amp;" "&amp;_xlfn.XLOOKUP(C110,'RET TECH'!$M:$M,'RET TECH'!$G:$G)&amp;" "&amp;_xlfn.XLOOKUP(C110,'RET TECH'!$M:$M,'RET TECH'!$H:$H)</f>
        <v xml:space="preserve">Residential Apartment Low Income Old Space cooling Building enveloppe IECC 2009 </v>
      </c>
      <c r="E110" t="str">
        <f t="shared" si="4"/>
        <v>TJ</v>
      </c>
      <c r="F110" t="str">
        <f t="shared" si="5"/>
        <v>MW</v>
      </c>
    </row>
    <row r="111" spans="2:6" x14ac:dyDescent="0.25">
      <c r="B111" t="str">
        <f>IF('RET TECH'!N76=1,"PRE","*")</f>
        <v>PRE</v>
      </c>
      <c r="C111" t="str">
        <f>'RET TECH'!M76</f>
        <v>RESHOULOOldSHENVESTAR20</v>
      </c>
      <c r="D111" t="str">
        <f>_xlfn.XLOOKUP(C111,'RET TECH'!$M:$M,'RET TECH'!$A:$A)&amp;" "&amp;_xlfn.XLOOKUP(C111,'RET TECH'!$M:$M,'RET TECH'!$B:$B)&amp;" "&amp;_xlfn.XLOOKUP(C111,'RET TECH'!$M:$M,'RET TECH'!$C:$C)&amp;" "&amp;_xlfn.XLOOKUP(C111,'RET TECH'!$M:$M,'RET TECH'!$D:$D)&amp;" "&amp;_xlfn.XLOOKUP(C111,'RET TECH'!$M:$M,'RET TECH'!$E:$E)&amp;" "&amp;_xlfn.XLOOKUP(C111,'RET TECH'!$M:$M,'RET TECH'!$F:$F)&amp;" "&amp;_xlfn.XLOOKUP(C111,'RET TECH'!$M:$M,'RET TECH'!$G:$G)&amp;" "&amp;_xlfn.XLOOKUP(C111,'RET TECH'!$M:$M,'RET TECH'!$H:$H)</f>
        <v xml:space="preserve">Residential House Low Income Old Space heating Building enveloppe ENERGY STAR </v>
      </c>
      <c r="E111" t="str">
        <f t="shared" si="4"/>
        <v>TJ</v>
      </c>
      <c r="F111" t="str">
        <f t="shared" si="5"/>
        <v>MW</v>
      </c>
    </row>
    <row r="112" spans="2:6" x14ac:dyDescent="0.25">
      <c r="B112" t="str">
        <f>IF('RET TECH'!N77=1,"PRE","*")</f>
        <v>PRE</v>
      </c>
      <c r="C112" t="str">
        <f>'RET TECH'!M77</f>
        <v>RESHOULOOldSHENVPATH20</v>
      </c>
      <c r="D112" t="str">
        <f>_xlfn.XLOOKUP(C112,'RET TECH'!$M:$M,'RET TECH'!$A:$A)&amp;" "&amp;_xlfn.XLOOKUP(C112,'RET TECH'!$M:$M,'RET TECH'!$B:$B)&amp;" "&amp;_xlfn.XLOOKUP(C112,'RET TECH'!$M:$M,'RET TECH'!$C:$C)&amp;" "&amp;_xlfn.XLOOKUP(C112,'RET TECH'!$M:$M,'RET TECH'!$D:$D)&amp;" "&amp;_xlfn.XLOOKUP(C112,'RET TECH'!$M:$M,'RET TECH'!$E:$E)&amp;" "&amp;_xlfn.XLOOKUP(C112,'RET TECH'!$M:$M,'RET TECH'!$F:$F)&amp;" "&amp;_xlfn.XLOOKUP(C112,'RET TECH'!$M:$M,'RET TECH'!$G:$G)&amp;" "&amp;_xlfn.XLOOKUP(C112,'RET TECH'!$M:$M,'RET TECH'!$H:$H)</f>
        <v xml:space="preserve">Residential House Low Income Old Space heating Building enveloppe PATH </v>
      </c>
      <c r="E112" t="str">
        <f t="shared" si="4"/>
        <v>TJ</v>
      </c>
      <c r="F112" t="str">
        <f t="shared" si="5"/>
        <v>MW</v>
      </c>
    </row>
    <row r="113" spans="2:6" x14ac:dyDescent="0.25">
      <c r="B113" t="str">
        <f>IF('RET TECH'!N78=1,"PRE","*")</f>
        <v>PRE</v>
      </c>
      <c r="C113" t="str">
        <f>'RET TECH'!M78</f>
        <v>RESHOULOOldSHENVIECC4020</v>
      </c>
      <c r="D113" t="str">
        <f>_xlfn.XLOOKUP(C113,'RET TECH'!$M:$M,'RET TECH'!$A:$A)&amp;" "&amp;_xlfn.XLOOKUP(C113,'RET TECH'!$M:$M,'RET TECH'!$B:$B)&amp;" "&amp;_xlfn.XLOOKUP(C113,'RET TECH'!$M:$M,'RET TECH'!$C:$C)&amp;" "&amp;_xlfn.XLOOKUP(C113,'RET TECH'!$M:$M,'RET TECH'!$D:$D)&amp;" "&amp;_xlfn.XLOOKUP(C113,'RET TECH'!$M:$M,'RET TECH'!$E:$E)&amp;" "&amp;_xlfn.XLOOKUP(C113,'RET TECH'!$M:$M,'RET TECH'!$F:$F)&amp;" "&amp;_xlfn.XLOOKUP(C113,'RET TECH'!$M:$M,'RET TECH'!$G:$G)&amp;" "&amp;_xlfn.XLOOKUP(C113,'RET TECH'!$M:$M,'RET TECH'!$H:$H)</f>
        <v xml:space="preserve">Residential House Low Income Old Space heating Building enveloppe IECC 2009 +40% </v>
      </c>
      <c r="E113" t="str">
        <f t="shared" si="4"/>
        <v>TJ</v>
      </c>
      <c r="F113" t="str">
        <f t="shared" si="5"/>
        <v>MW</v>
      </c>
    </row>
    <row r="114" spans="2:6" x14ac:dyDescent="0.25">
      <c r="B114" t="str">
        <f>IF('RET TECH'!N79=1,"PRE","*")</f>
        <v>PRE</v>
      </c>
      <c r="C114" t="str">
        <f>'RET TECH'!M79</f>
        <v>RESHOULOOldSHENVIECC20</v>
      </c>
      <c r="D114" t="str">
        <f>_xlfn.XLOOKUP(C114,'RET TECH'!$M:$M,'RET TECH'!$A:$A)&amp;" "&amp;_xlfn.XLOOKUP(C114,'RET TECH'!$M:$M,'RET TECH'!$B:$B)&amp;" "&amp;_xlfn.XLOOKUP(C114,'RET TECH'!$M:$M,'RET TECH'!$C:$C)&amp;" "&amp;_xlfn.XLOOKUP(C114,'RET TECH'!$M:$M,'RET TECH'!$D:$D)&amp;" "&amp;_xlfn.XLOOKUP(C114,'RET TECH'!$M:$M,'RET TECH'!$E:$E)&amp;" "&amp;_xlfn.XLOOKUP(C114,'RET TECH'!$M:$M,'RET TECH'!$F:$F)&amp;" "&amp;_xlfn.XLOOKUP(C114,'RET TECH'!$M:$M,'RET TECH'!$G:$G)&amp;" "&amp;_xlfn.XLOOKUP(C114,'RET TECH'!$M:$M,'RET TECH'!$H:$H)</f>
        <v xml:space="preserve">Residential House Low Income Old Space heating Building enveloppe IECC 2009 </v>
      </c>
      <c r="E114" t="str">
        <f t="shared" si="4"/>
        <v>TJ</v>
      </c>
      <c r="F114" t="str">
        <f t="shared" si="5"/>
        <v>MW</v>
      </c>
    </row>
    <row r="115" spans="2:6" x14ac:dyDescent="0.25">
      <c r="B115" t="str">
        <f>IF('RET TECH'!N80=1,"PRE","*")</f>
        <v>PRE</v>
      </c>
      <c r="C115" t="str">
        <f>'RET TECH'!M80</f>
        <v>RESHOULOOldSCENVESTAR20</v>
      </c>
      <c r="D115" t="str">
        <f>_xlfn.XLOOKUP(C115,'RET TECH'!$M:$M,'RET TECH'!$A:$A)&amp;" "&amp;_xlfn.XLOOKUP(C115,'RET TECH'!$M:$M,'RET TECH'!$B:$B)&amp;" "&amp;_xlfn.XLOOKUP(C115,'RET TECH'!$M:$M,'RET TECH'!$C:$C)&amp;" "&amp;_xlfn.XLOOKUP(C115,'RET TECH'!$M:$M,'RET TECH'!$D:$D)&amp;" "&amp;_xlfn.XLOOKUP(C115,'RET TECH'!$M:$M,'RET TECH'!$E:$E)&amp;" "&amp;_xlfn.XLOOKUP(C115,'RET TECH'!$M:$M,'RET TECH'!$F:$F)&amp;" "&amp;_xlfn.XLOOKUP(C115,'RET TECH'!$M:$M,'RET TECH'!$G:$G)&amp;" "&amp;_xlfn.XLOOKUP(C115,'RET TECH'!$M:$M,'RET TECH'!$H:$H)</f>
        <v xml:space="preserve">Residential House Low Income Old Space cooling Building enveloppe ENERGY STAR </v>
      </c>
      <c r="E115" t="str">
        <f t="shared" si="4"/>
        <v>TJ</v>
      </c>
      <c r="F115" t="str">
        <f t="shared" si="5"/>
        <v>MW</v>
      </c>
    </row>
    <row r="116" spans="2:6" x14ac:dyDescent="0.25">
      <c r="B116" t="str">
        <f>IF('RET TECH'!N81=1,"PRE","*")</f>
        <v>PRE</v>
      </c>
      <c r="C116" t="str">
        <f>'RET TECH'!M81</f>
        <v>RESHOULOOldSCENVPATH20</v>
      </c>
      <c r="D116" t="str">
        <f>_xlfn.XLOOKUP(C116,'RET TECH'!$M:$M,'RET TECH'!$A:$A)&amp;" "&amp;_xlfn.XLOOKUP(C116,'RET TECH'!$M:$M,'RET TECH'!$B:$B)&amp;" "&amp;_xlfn.XLOOKUP(C116,'RET TECH'!$M:$M,'RET TECH'!$C:$C)&amp;" "&amp;_xlfn.XLOOKUP(C116,'RET TECH'!$M:$M,'RET TECH'!$D:$D)&amp;" "&amp;_xlfn.XLOOKUP(C116,'RET TECH'!$M:$M,'RET TECH'!$E:$E)&amp;" "&amp;_xlfn.XLOOKUP(C116,'RET TECH'!$M:$M,'RET TECH'!$F:$F)&amp;" "&amp;_xlfn.XLOOKUP(C116,'RET TECH'!$M:$M,'RET TECH'!$G:$G)&amp;" "&amp;_xlfn.XLOOKUP(C116,'RET TECH'!$M:$M,'RET TECH'!$H:$H)</f>
        <v xml:space="preserve">Residential House Low Income Old Space cooling Building enveloppe PATH </v>
      </c>
      <c r="E116" t="str">
        <f t="shared" si="4"/>
        <v>TJ</v>
      </c>
      <c r="F116" t="str">
        <f t="shared" si="5"/>
        <v>MW</v>
      </c>
    </row>
    <row r="117" spans="2:6" x14ac:dyDescent="0.25">
      <c r="B117" t="str">
        <f>IF('RET TECH'!N82=1,"PRE","*")</f>
        <v>PRE</v>
      </c>
      <c r="C117" t="str">
        <f>'RET TECH'!M82</f>
        <v>RESHOULOOldSCENVIECC4020</v>
      </c>
      <c r="D117" t="str">
        <f>_xlfn.XLOOKUP(C117,'RET TECH'!$M:$M,'RET TECH'!$A:$A)&amp;" "&amp;_xlfn.XLOOKUP(C117,'RET TECH'!$M:$M,'RET TECH'!$B:$B)&amp;" "&amp;_xlfn.XLOOKUP(C117,'RET TECH'!$M:$M,'RET TECH'!$C:$C)&amp;" "&amp;_xlfn.XLOOKUP(C117,'RET TECH'!$M:$M,'RET TECH'!$D:$D)&amp;" "&amp;_xlfn.XLOOKUP(C117,'RET TECH'!$M:$M,'RET TECH'!$E:$E)&amp;" "&amp;_xlfn.XLOOKUP(C117,'RET TECH'!$M:$M,'RET TECH'!$F:$F)&amp;" "&amp;_xlfn.XLOOKUP(C117,'RET TECH'!$M:$M,'RET TECH'!$G:$G)&amp;" "&amp;_xlfn.XLOOKUP(C117,'RET TECH'!$M:$M,'RET TECH'!$H:$H)</f>
        <v xml:space="preserve">Residential House Low Income Old Space cooling Building enveloppe IECC 2009 +40% </v>
      </c>
      <c r="E117" t="str">
        <f t="shared" si="4"/>
        <v>TJ</v>
      </c>
      <c r="F117" t="str">
        <f t="shared" si="5"/>
        <v>MW</v>
      </c>
    </row>
    <row r="118" spans="2:6" x14ac:dyDescent="0.25">
      <c r="B118" t="str">
        <f>IF('RET TECH'!N83=1,"PRE","*")</f>
        <v>PRE</v>
      </c>
      <c r="C118" t="str">
        <f>'RET TECH'!M83</f>
        <v>RESHOULOOldSCENVIECC20</v>
      </c>
      <c r="D118" t="str">
        <f>_xlfn.XLOOKUP(C118,'RET TECH'!$M:$M,'RET TECH'!$A:$A)&amp;" "&amp;_xlfn.XLOOKUP(C118,'RET TECH'!$M:$M,'RET TECH'!$B:$B)&amp;" "&amp;_xlfn.XLOOKUP(C118,'RET TECH'!$M:$M,'RET TECH'!$C:$C)&amp;" "&amp;_xlfn.XLOOKUP(C118,'RET TECH'!$M:$M,'RET TECH'!$D:$D)&amp;" "&amp;_xlfn.XLOOKUP(C118,'RET TECH'!$M:$M,'RET TECH'!$E:$E)&amp;" "&amp;_xlfn.XLOOKUP(C118,'RET TECH'!$M:$M,'RET TECH'!$F:$F)&amp;" "&amp;_xlfn.XLOOKUP(C118,'RET TECH'!$M:$M,'RET TECH'!$G:$G)&amp;" "&amp;_xlfn.XLOOKUP(C118,'RET TECH'!$M:$M,'RET TECH'!$H:$H)</f>
        <v xml:space="preserve">Residential House Low Income Old Space cooling Building enveloppe IECC 2009 </v>
      </c>
      <c r="E118" t="str">
        <f t="shared" si="4"/>
        <v>TJ</v>
      </c>
      <c r="F118" t="str">
        <f t="shared" si="5"/>
        <v>MW</v>
      </c>
    </row>
    <row r="119" spans="2:6" x14ac:dyDescent="0.25">
      <c r="B119" t="str">
        <f>IF('RET TECH'!N84=1,"PRE","*")</f>
        <v>PRE</v>
      </c>
      <c r="C119" t="str">
        <f>'RET TECH'!M84</f>
        <v>RESAPALMOldSHENVESTAR20</v>
      </c>
      <c r="D119" t="str">
        <f>_xlfn.XLOOKUP(C119,'RET TECH'!$M:$M,'RET TECH'!$A:$A)&amp;" "&amp;_xlfn.XLOOKUP(C119,'RET TECH'!$M:$M,'RET TECH'!$B:$B)&amp;" "&amp;_xlfn.XLOOKUP(C119,'RET TECH'!$M:$M,'RET TECH'!$C:$C)&amp;" "&amp;_xlfn.XLOOKUP(C119,'RET TECH'!$M:$M,'RET TECH'!$D:$D)&amp;" "&amp;_xlfn.XLOOKUP(C119,'RET TECH'!$M:$M,'RET TECH'!$E:$E)&amp;" "&amp;_xlfn.XLOOKUP(C119,'RET TECH'!$M:$M,'RET TECH'!$F:$F)&amp;" "&amp;_xlfn.XLOOKUP(C119,'RET TECH'!$M:$M,'RET TECH'!$G:$G)&amp;" "&amp;_xlfn.XLOOKUP(C119,'RET TECH'!$M:$M,'RET TECH'!$H:$H)</f>
        <v xml:space="preserve">Residential Apartment Lower-middle Income Old Space heating Building enveloppe ENERGY STAR </v>
      </c>
      <c r="E119" t="str">
        <f t="shared" si="4"/>
        <v>TJ</v>
      </c>
      <c r="F119" t="str">
        <f t="shared" si="5"/>
        <v>MW</v>
      </c>
    </row>
    <row r="120" spans="2:6" x14ac:dyDescent="0.25">
      <c r="B120" t="str">
        <f>IF('RET TECH'!N85=1,"PRE","*")</f>
        <v>PRE</v>
      </c>
      <c r="C120" t="str">
        <f>'RET TECH'!M85</f>
        <v>RESAPALMOldSHENVPATH20</v>
      </c>
      <c r="D120" t="str">
        <f>_xlfn.XLOOKUP(C120,'RET TECH'!$M:$M,'RET TECH'!$A:$A)&amp;" "&amp;_xlfn.XLOOKUP(C120,'RET TECH'!$M:$M,'RET TECH'!$B:$B)&amp;" "&amp;_xlfn.XLOOKUP(C120,'RET TECH'!$M:$M,'RET TECH'!$C:$C)&amp;" "&amp;_xlfn.XLOOKUP(C120,'RET TECH'!$M:$M,'RET TECH'!$D:$D)&amp;" "&amp;_xlfn.XLOOKUP(C120,'RET TECH'!$M:$M,'RET TECH'!$E:$E)&amp;" "&amp;_xlfn.XLOOKUP(C120,'RET TECH'!$M:$M,'RET TECH'!$F:$F)&amp;" "&amp;_xlfn.XLOOKUP(C120,'RET TECH'!$M:$M,'RET TECH'!$G:$G)&amp;" "&amp;_xlfn.XLOOKUP(C120,'RET TECH'!$M:$M,'RET TECH'!$H:$H)</f>
        <v xml:space="preserve">Residential Apartment Lower-middle Income Old Space heating Building enveloppe PATH </v>
      </c>
      <c r="E120" t="str">
        <f t="shared" si="4"/>
        <v>TJ</v>
      </c>
      <c r="F120" t="str">
        <f t="shared" si="5"/>
        <v>MW</v>
      </c>
    </row>
    <row r="121" spans="2:6" x14ac:dyDescent="0.25">
      <c r="B121" t="str">
        <f>IF('RET TECH'!N86=1,"PRE","*")</f>
        <v>PRE</v>
      </c>
      <c r="C121" t="str">
        <f>'RET TECH'!M86</f>
        <v>RESAPALMOldSHENVIECC4020</v>
      </c>
      <c r="D121" t="str">
        <f>_xlfn.XLOOKUP(C121,'RET TECH'!$M:$M,'RET TECH'!$A:$A)&amp;" "&amp;_xlfn.XLOOKUP(C121,'RET TECH'!$M:$M,'RET TECH'!$B:$B)&amp;" "&amp;_xlfn.XLOOKUP(C121,'RET TECH'!$M:$M,'RET TECH'!$C:$C)&amp;" "&amp;_xlfn.XLOOKUP(C121,'RET TECH'!$M:$M,'RET TECH'!$D:$D)&amp;" "&amp;_xlfn.XLOOKUP(C121,'RET TECH'!$M:$M,'RET TECH'!$E:$E)&amp;" "&amp;_xlfn.XLOOKUP(C121,'RET TECH'!$M:$M,'RET TECH'!$F:$F)&amp;" "&amp;_xlfn.XLOOKUP(C121,'RET TECH'!$M:$M,'RET TECH'!$G:$G)&amp;" "&amp;_xlfn.XLOOKUP(C121,'RET TECH'!$M:$M,'RET TECH'!$H:$H)</f>
        <v xml:space="preserve">Residential Apartment Lower-middle Income Old Space heating Building enveloppe IECC 2009 +40% </v>
      </c>
      <c r="E121" t="str">
        <f t="shared" si="4"/>
        <v>TJ</v>
      </c>
      <c r="F121" t="str">
        <f t="shared" si="5"/>
        <v>MW</v>
      </c>
    </row>
    <row r="122" spans="2:6" x14ac:dyDescent="0.25">
      <c r="B122" t="str">
        <f>IF('RET TECH'!N87=1,"PRE","*")</f>
        <v>PRE</v>
      </c>
      <c r="C122" t="str">
        <f>'RET TECH'!M87</f>
        <v>RESAPALMOldSHENVIECC20</v>
      </c>
      <c r="D122" t="str">
        <f>_xlfn.XLOOKUP(C122,'RET TECH'!$M:$M,'RET TECH'!$A:$A)&amp;" "&amp;_xlfn.XLOOKUP(C122,'RET TECH'!$M:$M,'RET TECH'!$B:$B)&amp;" "&amp;_xlfn.XLOOKUP(C122,'RET TECH'!$M:$M,'RET TECH'!$C:$C)&amp;" "&amp;_xlfn.XLOOKUP(C122,'RET TECH'!$M:$M,'RET TECH'!$D:$D)&amp;" "&amp;_xlfn.XLOOKUP(C122,'RET TECH'!$M:$M,'RET TECH'!$E:$E)&amp;" "&amp;_xlfn.XLOOKUP(C122,'RET TECH'!$M:$M,'RET TECH'!$F:$F)&amp;" "&amp;_xlfn.XLOOKUP(C122,'RET TECH'!$M:$M,'RET TECH'!$G:$G)&amp;" "&amp;_xlfn.XLOOKUP(C122,'RET TECH'!$M:$M,'RET TECH'!$H:$H)</f>
        <v xml:space="preserve">Residential Apartment Lower-middle Income Old Space heating Building enveloppe IECC 2009 </v>
      </c>
      <c r="E122" t="str">
        <f t="shared" si="4"/>
        <v>TJ</v>
      </c>
      <c r="F122" t="str">
        <f t="shared" si="5"/>
        <v>MW</v>
      </c>
    </row>
    <row r="123" spans="2:6" x14ac:dyDescent="0.25">
      <c r="B123" t="str">
        <f>IF('RET TECH'!N88=1,"PRE","*")</f>
        <v>*</v>
      </c>
      <c r="C123" t="str">
        <f>'RET TECH'!M88</f>
        <v>RESAPALMOldSCENVESTAR20</v>
      </c>
      <c r="D123" t="str">
        <f>_xlfn.XLOOKUP(C123,'RET TECH'!$M:$M,'RET TECH'!$A:$A)&amp;" "&amp;_xlfn.XLOOKUP(C123,'RET TECH'!$M:$M,'RET TECH'!$B:$B)&amp;" "&amp;_xlfn.XLOOKUP(C123,'RET TECH'!$M:$M,'RET TECH'!$C:$C)&amp;" "&amp;_xlfn.XLOOKUP(C123,'RET TECH'!$M:$M,'RET TECH'!$D:$D)&amp;" "&amp;_xlfn.XLOOKUP(C123,'RET TECH'!$M:$M,'RET TECH'!$E:$E)&amp;" "&amp;_xlfn.XLOOKUP(C123,'RET TECH'!$M:$M,'RET TECH'!$F:$F)&amp;" "&amp;_xlfn.XLOOKUP(C123,'RET TECH'!$M:$M,'RET TECH'!$G:$G)&amp;" "&amp;_xlfn.XLOOKUP(C123,'RET TECH'!$M:$M,'RET TECH'!$H:$H)</f>
        <v xml:space="preserve">Residential Apartment Lower-middle Income Old Space cooling Building enveloppe ENERGY STAR </v>
      </c>
      <c r="E123" t="str">
        <f t="shared" si="4"/>
        <v>TJ</v>
      </c>
      <c r="F123" t="str">
        <f t="shared" si="5"/>
        <v>MW</v>
      </c>
    </row>
    <row r="124" spans="2:6" x14ac:dyDescent="0.25">
      <c r="B124" t="str">
        <f>IF('RET TECH'!N89=1,"PRE","*")</f>
        <v>*</v>
      </c>
      <c r="C124" t="str">
        <f>'RET TECH'!M89</f>
        <v>RESAPALMOldSCENVPATH20</v>
      </c>
      <c r="D124" t="str">
        <f>_xlfn.XLOOKUP(C124,'RET TECH'!$M:$M,'RET TECH'!$A:$A)&amp;" "&amp;_xlfn.XLOOKUP(C124,'RET TECH'!$M:$M,'RET TECH'!$B:$B)&amp;" "&amp;_xlfn.XLOOKUP(C124,'RET TECH'!$M:$M,'RET TECH'!$C:$C)&amp;" "&amp;_xlfn.XLOOKUP(C124,'RET TECH'!$M:$M,'RET TECH'!$D:$D)&amp;" "&amp;_xlfn.XLOOKUP(C124,'RET TECH'!$M:$M,'RET TECH'!$E:$E)&amp;" "&amp;_xlfn.XLOOKUP(C124,'RET TECH'!$M:$M,'RET TECH'!$F:$F)&amp;" "&amp;_xlfn.XLOOKUP(C124,'RET TECH'!$M:$M,'RET TECH'!$G:$G)&amp;" "&amp;_xlfn.XLOOKUP(C124,'RET TECH'!$M:$M,'RET TECH'!$H:$H)</f>
        <v xml:space="preserve">Residential Apartment Lower-middle Income Old Space cooling Building enveloppe PATH </v>
      </c>
      <c r="E124" t="str">
        <f t="shared" si="4"/>
        <v>TJ</v>
      </c>
      <c r="F124" t="str">
        <f t="shared" si="5"/>
        <v>MW</v>
      </c>
    </row>
    <row r="125" spans="2:6" x14ac:dyDescent="0.25">
      <c r="B125" t="str">
        <f>IF('RET TECH'!N90=1,"PRE","*")</f>
        <v>*</v>
      </c>
      <c r="C125" t="str">
        <f>'RET TECH'!M90</f>
        <v>RESAPALMOldSCENVIECC4020</v>
      </c>
      <c r="D125" t="str">
        <f>_xlfn.XLOOKUP(C125,'RET TECH'!$M:$M,'RET TECH'!$A:$A)&amp;" "&amp;_xlfn.XLOOKUP(C125,'RET TECH'!$M:$M,'RET TECH'!$B:$B)&amp;" "&amp;_xlfn.XLOOKUP(C125,'RET TECH'!$M:$M,'RET TECH'!$C:$C)&amp;" "&amp;_xlfn.XLOOKUP(C125,'RET TECH'!$M:$M,'RET TECH'!$D:$D)&amp;" "&amp;_xlfn.XLOOKUP(C125,'RET TECH'!$M:$M,'RET TECH'!$E:$E)&amp;" "&amp;_xlfn.XLOOKUP(C125,'RET TECH'!$M:$M,'RET TECH'!$F:$F)&amp;" "&amp;_xlfn.XLOOKUP(C125,'RET TECH'!$M:$M,'RET TECH'!$G:$G)&amp;" "&amp;_xlfn.XLOOKUP(C125,'RET TECH'!$M:$M,'RET TECH'!$H:$H)</f>
        <v xml:space="preserve">Residential Apartment Lower-middle Income Old Space cooling Building enveloppe IECC 2009 +40% </v>
      </c>
      <c r="E125" t="str">
        <f t="shared" si="4"/>
        <v>TJ</v>
      </c>
      <c r="F125" t="str">
        <f t="shared" si="5"/>
        <v>MW</v>
      </c>
    </row>
    <row r="126" spans="2:6" x14ac:dyDescent="0.25">
      <c r="B126" t="str">
        <f>IF('RET TECH'!N91=1,"PRE","*")</f>
        <v>*</v>
      </c>
      <c r="C126" t="str">
        <f>'RET TECH'!M91</f>
        <v>RESAPALMOldSCENVIECC20</v>
      </c>
      <c r="D126" t="str">
        <f>_xlfn.XLOOKUP(C126,'RET TECH'!$M:$M,'RET TECH'!$A:$A)&amp;" "&amp;_xlfn.XLOOKUP(C126,'RET TECH'!$M:$M,'RET TECH'!$B:$B)&amp;" "&amp;_xlfn.XLOOKUP(C126,'RET TECH'!$M:$M,'RET TECH'!$C:$C)&amp;" "&amp;_xlfn.XLOOKUP(C126,'RET TECH'!$M:$M,'RET TECH'!$D:$D)&amp;" "&amp;_xlfn.XLOOKUP(C126,'RET TECH'!$M:$M,'RET TECH'!$E:$E)&amp;" "&amp;_xlfn.XLOOKUP(C126,'RET TECH'!$M:$M,'RET TECH'!$F:$F)&amp;" "&amp;_xlfn.XLOOKUP(C126,'RET TECH'!$M:$M,'RET TECH'!$G:$G)&amp;" "&amp;_xlfn.XLOOKUP(C126,'RET TECH'!$M:$M,'RET TECH'!$H:$H)</f>
        <v xml:space="preserve">Residential Apartment Lower-middle Income Old Space cooling Building enveloppe IECC 2009 </v>
      </c>
      <c r="E126" t="str">
        <f t="shared" si="4"/>
        <v>TJ</v>
      </c>
      <c r="F126" t="str">
        <f t="shared" si="5"/>
        <v>MW</v>
      </c>
    </row>
    <row r="127" spans="2:6" x14ac:dyDescent="0.25">
      <c r="B127" t="str">
        <f>IF('RET TECH'!N92=1,"PRE","*")</f>
        <v>PRE</v>
      </c>
      <c r="C127" t="str">
        <f>'RET TECH'!M92</f>
        <v>RESHOULMOldSHENVESTAR20</v>
      </c>
      <c r="D127" t="str">
        <f>_xlfn.XLOOKUP(C127,'RET TECH'!$M:$M,'RET TECH'!$A:$A)&amp;" "&amp;_xlfn.XLOOKUP(C127,'RET TECH'!$M:$M,'RET TECH'!$B:$B)&amp;" "&amp;_xlfn.XLOOKUP(C127,'RET TECH'!$M:$M,'RET TECH'!$C:$C)&amp;" "&amp;_xlfn.XLOOKUP(C127,'RET TECH'!$M:$M,'RET TECH'!$D:$D)&amp;" "&amp;_xlfn.XLOOKUP(C127,'RET TECH'!$M:$M,'RET TECH'!$E:$E)&amp;" "&amp;_xlfn.XLOOKUP(C127,'RET TECH'!$M:$M,'RET TECH'!$F:$F)&amp;" "&amp;_xlfn.XLOOKUP(C127,'RET TECH'!$M:$M,'RET TECH'!$G:$G)&amp;" "&amp;_xlfn.XLOOKUP(C127,'RET TECH'!$M:$M,'RET TECH'!$H:$H)</f>
        <v xml:space="preserve">Residential House Lower-middle Income Old Space heating Building enveloppe ENERGY STAR </v>
      </c>
      <c r="E127" t="str">
        <f t="shared" si="4"/>
        <v>TJ</v>
      </c>
      <c r="F127" t="str">
        <f t="shared" si="5"/>
        <v>MW</v>
      </c>
    </row>
    <row r="128" spans="2:6" x14ac:dyDescent="0.25">
      <c r="B128" t="str">
        <f>IF('RET TECH'!N93=1,"PRE","*")</f>
        <v>PRE</v>
      </c>
      <c r="C128" t="str">
        <f>'RET TECH'!M93</f>
        <v>RESHOULMOldSHENVPATH20</v>
      </c>
      <c r="D128" t="str">
        <f>_xlfn.XLOOKUP(C128,'RET TECH'!$M:$M,'RET TECH'!$A:$A)&amp;" "&amp;_xlfn.XLOOKUP(C128,'RET TECH'!$M:$M,'RET TECH'!$B:$B)&amp;" "&amp;_xlfn.XLOOKUP(C128,'RET TECH'!$M:$M,'RET TECH'!$C:$C)&amp;" "&amp;_xlfn.XLOOKUP(C128,'RET TECH'!$M:$M,'RET TECH'!$D:$D)&amp;" "&amp;_xlfn.XLOOKUP(C128,'RET TECH'!$M:$M,'RET TECH'!$E:$E)&amp;" "&amp;_xlfn.XLOOKUP(C128,'RET TECH'!$M:$M,'RET TECH'!$F:$F)&amp;" "&amp;_xlfn.XLOOKUP(C128,'RET TECH'!$M:$M,'RET TECH'!$G:$G)&amp;" "&amp;_xlfn.XLOOKUP(C128,'RET TECH'!$M:$M,'RET TECH'!$H:$H)</f>
        <v xml:space="preserve">Residential House Lower-middle Income Old Space heating Building enveloppe PATH </v>
      </c>
      <c r="E128" t="str">
        <f t="shared" si="4"/>
        <v>TJ</v>
      </c>
      <c r="F128" t="str">
        <f t="shared" si="5"/>
        <v>MW</v>
      </c>
    </row>
    <row r="129" spans="2:6" x14ac:dyDescent="0.25">
      <c r="B129" t="str">
        <f>IF('RET TECH'!N94=1,"PRE","*")</f>
        <v>PRE</v>
      </c>
      <c r="C129" t="str">
        <f>'RET TECH'!M94</f>
        <v>RESHOULMOldSHENVIECC4020</v>
      </c>
      <c r="D129" t="str">
        <f>_xlfn.XLOOKUP(C129,'RET TECH'!$M:$M,'RET TECH'!$A:$A)&amp;" "&amp;_xlfn.XLOOKUP(C129,'RET TECH'!$M:$M,'RET TECH'!$B:$B)&amp;" "&amp;_xlfn.XLOOKUP(C129,'RET TECH'!$M:$M,'RET TECH'!$C:$C)&amp;" "&amp;_xlfn.XLOOKUP(C129,'RET TECH'!$M:$M,'RET TECH'!$D:$D)&amp;" "&amp;_xlfn.XLOOKUP(C129,'RET TECH'!$M:$M,'RET TECH'!$E:$E)&amp;" "&amp;_xlfn.XLOOKUP(C129,'RET TECH'!$M:$M,'RET TECH'!$F:$F)&amp;" "&amp;_xlfn.XLOOKUP(C129,'RET TECH'!$M:$M,'RET TECH'!$G:$G)&amp;" "&amp;_xlfn.XLOOKUP(C129,'RET TECH'!$M:$M,'RET TECH'!$H:$H)</f>
        <v xml:space="preserve">Residential House Lower-middle Income Old Space heating Building enveloppe IECC 2009 +40% </v>
      </c>
      <c r="E129" t="str">
        <f t="shared" si="4"/>
        <v>TJ</v>
      </c>
      <c r="F129" t="str">
        <f t="shared" si="5"/>
        <v>MW</v>
      </c>
    </row>
    <row r="130" spans="2:6" x14ac:dyDescent="0.25">
      <c r="B130" t="str">
        <f>IF('RET TECH'!N95=1,"PRE","*")</f>
        <v>PRE</v>
      </c>
      <c r="C130" t="str">
        <f>'RET TECH'!M95</f>
        <v>RESHOULMOldSHENVIECC20</v>
      </c>
      <c r="D130" t="str">
        <f>_xlfn.XLOOKUP(C130,'RET TECH'!$M:$M,'RET TECH'!$A:$A)&amp;" "&amp;_xlfn.XLOOKUP(C130,'RET TECH'!$M:$M,'RET TECH'!$B:$B)&amp;" "&amp;_xlfn.XLOOKUP(C130,'RET TECH'!$M:$M,'RET TECH'!$C:$C)&amp;" "&amp;_xlfn.XLOOKUP(C130,'RET TECH'!$M:$M,'RET TECH'!$D:$D)&amp;" "&amp;_xlfn.XLOOKUP(C130,'RET TECH'!$M:$M,'RET TECH'!$E:$E)&amp;" "&amp;_xlfn.XLOOKUP(C130,'RET TECH'!$M:$M,'RET TECH'!$F:$F)&amp;" "&amp;_xlfn.XLOOKUP(C130,'RET TECH'!$M:$M,'RET TECH'!$G:$G)&amp;" "&amp;_xlfn.XLOOKUP(C130,'RET TECH'!$M:$M,'RET TECH'!$H:$H)</f>
        <v xml:space="preserve">Residential House Lower-middle Income Old Space heating Building enveloppe IECC 2009 </v>
      </c>
      <c r="E130" t="str">
        <f t="shared" si="4"/>
        <v>TJ</v>
      </c>
      <c r="F130" t="str">
        <f t="shared" si="5"/>
        <v>MW</v>
      </c>
    </row>
    <row r="131" spans="2:6" x14ac:dyDescent="0.25">
      <c r="B131" t="str">
        <f>IF('RET TECH'!N96=1,"PRE","*")</f>
        <v>PRE</v>
      </c>
      <c r="C131" t="str">
        <f>'RET TECH'!M96</f>
        <v>RESHOULMOldSCENVESTAR20</v>
      </c>
      <c r="D131" t="str">
        <f>_xlfn.XLOOKUP(C131,'RET TECH'!$M:$M,'RET TECH'!$A:$A)&amp;" "&amp;_xlfn.XLOOKUP(C131,'RET TECH'!$M:$M,'RET TECH'!$B:$B)&amp;" "&amp;_xlfn.XLOOKUP(C131,'RET TECH'!$M:$M,'RET TECH'!$C:$C)&amp;" "&amp;_xlfn.XLOOKUP(C131,'RET TECH'!$M:$M,'RET TECH'!$D:$D)&amp;" "&amp;_xlfn.XLOOKUP(C131,'RET TECH'!$M:$M,'RET TECH'!$E:$E)&amp;" "&amp;_xlfn.XLOOKUP(C131,'RET TECH'!$M:$M,'RET TECH'!$F:$F)&amp;" "&amp;_xlfn.XLOOKUP(C131,'RET TECH'!$M:$M,'RET TECH'!$G:$G)&amp;" "&amp;_xlfn.XLOOKUP(C131,'RET TECH'!$M:$M,'RET TECH'!$H:$H)</f>
        <v xml:space="preserve">Residential House Lower-middle Income Old Space cooling Building enveloppe ENERGY STAR </v>
      </c>
      <c r="E131" t="str">
        <f t="shared" si="4"/>
        <v>TJ</v>
      </c>
      <c r="F131" t="str">
        <f t="shared" si="5"/>
        <v>MW</v>
      </c>
    </row>
    <row r="132" spans="2:6" x14ac:dyDescent="0.25">
      <c r="B132" t="str">
        <f>IF('RET TECH'!N97=1,"PRE","*")</f>
        <v>PRE</v>
      </c>
      <c r="C132" t="str">
        <f>'RET TECH'!M97</f>
        <v>RESHOULMOldSCENVPATH20</v>
      </c>
      <c r="D132" t="str">
        <f>_xlfn.XLOOKUP(C132,'RET TECH'!$M:$M,'RET TECH'!$A:$A)&amp;" "&amp;_xlfn.XLOOKUP(C132,'RET TECH'!$M:$M,'RET TECH'!$B:$B)&amp;" "&amp;_xlfn.XLOOKUP(C132,'RET TECH'!$M:$M,'RET TECH'!$C:$C)&amp;" "&amp;_xlfn.XLOOKUP(C132,'RET TECH'!$M:$M,'RET TECH'!$D:$D)&amp;" "&amp;_xlfn.XLOOKUP(C132,'RET TECH'!$M:$M,'RET TECH'!$E:$E)&amp;" "&amp;_xlfn.XLOOKUP(C132,'RET TECH'!$M:$M,'RET TECH'!$F:$F)&amp;" "&amp;_xlfn.XLOOKUP(C132,'RET TECH'!$M:$M,'RET TECH'!$G:$G)&amp;" "&amp;_xlfn.XLOOKUP(C132,'RET TECH'!$M:$M,'RET TECH'!$H:$H)</f>
        <v xml:space="preserve">Residential House Lower-middle Income Old Space cooling Building enveloppe PATH </v>
      </c>
      <c r="E132" t="str">
        <f t="shared" si="4"/>
        <v>TJ</v>
      </c>
      <c r="F132" t="str">
        <f t="shared" si="5"/>
        <v>MW</v>
      </c>
    </row>
    <row r="133" spans="2:6" x14ac:dyDescent="0.25">
      <c r="B133" t="str">
        <f>IF('RET TECH'!N98=1,"PRE","*")</f>
        <v>PRE</v>
      </c>
      <c r="C133" t="str">
        <f>'RET TECH'!M98</f>
        <v>RESHOULMOldSCENVIECC4020</v>
      </c>
      <c r="D133" t="str">
        <f>_xlfn.XLOOKUP(C133,'RET TECH'!$M:$M,'RET TECH'!$A:$A)&amp;" "&amp;_xlfn.XLOOKUP(C133,'RET TECH'!$M:$M,'RET TECH'!$B:$B)&amp;" "&amp;_xlfn.XLOOKUP(C133,'RET TECH'!$M:$M,'RET TECH'!$C:$C)&amp;" "&amp;_xlfn.XLOOKUP(C133,'RET TECH'!$M:$M,'RET TECH'!$D:$D)&amp;" "&amp;_xlfn.XLOOKUP(C133,'RET TECH'!$M:$M,'RET TECH'!$E:$E)&amp;" "&amp;_xlfn.XLOOKUP(C133,'RET TECH'!$M:$M,'RET TECH'!$F:$F)&amp;" "&amp;_xlfn.XLOOKUP(C133,'RET TECH'!$M:$M,'RET TECH'!$G:$G)&amp;" "&amp;_xlfn.XLOOKUP(C133,'RET TECH'!$M:$M,'RET TECH'!$H:$H)</f>
        <v xml:space="preserve">Residential House Lower-middle Income Old Space cooling Building enveloppe IECC 2009 +40% </v>
      </c>
      <c r="E133" t="str">
        <f t="shared" si="4"/>
        <v>TJ</v>
      </c>
      <c r="F133" t="str">
        <f t="shared" si="5"/>
        <v>MW</v>
      </c>
    </row>
    <row r="134" spans="2:6" x14ac:dyDescent="0.25">
      <c r="B134" t="str">
        <f>IF('RET TECH'!N99=1,"PRE","*")</f>
        <v>PRE</v>
      </c>
      <c r="C134" t="str">
        <f>'RET TECH'!M99</f>
        <v>RESHOULMOldSCENVIECC20</v>
      </c>
      <c r="D134" t="str">
        <f>_xlfn.XLOOKUP(C134,'RET TECH'!$M:$M,'RET TECH'!$A:$A)&amp;" "&amp;_xlfn.XLOOKUP(C134,'RET TECH'!$M:$M,'RET TECH'!$B:$B)&amp;" "&amp;_xlfn.XLOOKUP(C134,'RET TECH'!$M:$M,'RET TECH'!$C:$C)&amp;" "&amp;_xlfn.XLOOKUP(C134,'RET TECH'!$M:$M,'RET TECH'!$D:$D)&amp;" "&amp;_xlfn.XLOOKUP(C134,'RET TECH'!$M:$M,'RET TECH'!$E:$E)&amp;" "&amp;_xlfn.XLOOKUP(C134,'RET TECH'!$M:$M,'RET TECH'!$F:$F)&amp;" "&amp;_xlfn.XLOOKUP(C134,'RET TECH'!$M:$M,'RET TECH'!$G:$G)&amp;" "&amp;_xlfn.XLOOKUP(C134,'RET TECH'!$M:$M,'RET TECH'!$H:$H)</f>
        <v xml:space="preserve">Residential House Lower-middle Income Old Space cooling Building enveloppe IECC 2009 </v>
      </c>
      <c r="E134" t="str">
        <f t="shared" ref="E134:E165" si="6">IF(F134="*","*",IF(F134="Mlma","Mlm","TJ"))</f>
        <v>TJ</v>
      </c>
      <c r="F134" t="str">
        <f t="shared" ref="F134:F166" si="7">IF(C134="*","*","MW")</f>
        <v>MW</v>
      </c>
    </row>
    <row r="135" spans="2:6" x14ac:dyDescent="0.25">
      <c r="B135" t="str">
        <f>IF('RET TECH'!N100=1,"PRE","*")</f>
        <v>PRE</v>
      </c>
      <c r="C135" t="str">
        <f>'RET TECH'!M100</f>
        <v>RESAPAUMOldSHENVESTAR20</v>
      </c>
      <c r="D135" t="str">
        <f>_xlfn.XLOOKUP(C135,'RET TECH'!$M:$M,'RET TECH'!$A:$A)&amp;" "&amp;_xlfn.XLOOKUP(C135,'RET TECH'!$M:$M,'RET TECH'!$B:$B)&amp;" "&amp;_xlfn.XLOOKUP(C135,'RET TECH'!$M:$M,'RET TECH'!$C:$C)&amp;" "&amp;_xlfn.XLOOKUP(C135,'RET TECH'!$M:$M,'RET TECH'!$D:$D)&amp;" "&amp;_xlfn.XLOOKUP(C135,'RET TECH'!$M:$M,'RET TECH'!$E:$E)&amp;" "&amp;_xlfn.XLOOKUP(C135,'RET TECH'!$M:$M,'RET TECH'!$F:$F)&amp;" "&amp;_xlfn.XLOOKUP(C135,'RET TECH'!$M:$M,'RET TECH'!$G:$G)&amp;" "&amp;_xlfn.XLOOKUP(C135,'RET TECH'!$M:$M,'RET TECH'!$H:$H)</f>
        <v xml:space="preserve">Residential Apartment Upper-middle Income Old Space heating Building enveloppe ENERGY STAR </v>
      </c>
      <c r="E135" t="str">
        <f t="shared" si="6"/>
        <v>TJ</v>
      </c>
      <c r="F135" t="str">
        <f t="shared" si="7"/>
        <v>MW</v>
      </c>
    </row>
    <row r="136" spans="2:6" x14ac:dyDescent="0.25">
      <c r="B136" t="str">
        <f>IF('RET TECH'!N101=1,"PRE","*")</f>
        <v>PRE</v>
      </c>
      <c r="C136" t="str">
        <f>'RET TECH'!M101</f>
        <v>RESAPAUMOldSHENVPATH20</v>
      </c>
      <c r="D136" t="str">
        <f>_xlfn.XLOOKUP(C136,'RET TECH'!$M:$M,'RET TECH'!$A:$A)&amp;" "&amp;_xlfn.XLOOKUP(C136,'RET TECH'!$M:$M,'RET TECH'!$B:$B)&amp;" "&amp;_xlfn.XLOOKUP(C136,'RET TECH'!$M:$M,'RET TECH'!$C:$C)&amp;" "&amp;_xlfn.XLOOKUP(C136,'RET TECH'!$M:$M,'RET TECH'!$D:$D)&amp;" "&amp;_xlfn.XLOOKUP(C136,'RET TECH'!$M:$M,'RET TECH'!$E:$E)&amp;" "&amp;_xlfn.XLOOKUP(C136,'RET TECH'!$M:$M,'RET TECH'!$F:$F)&amp;" "&amp;_xlfn.XLOOKUP(C136,'RET TECH'!$M:$M,'RET TECH'!$G:$G)&amp;" "&amp;_xlfn.XLOOKUP(C136,'RET TECH'!$M:$M,'RET TECH'!$H:$H)</f>
        <v xml:space="preserve">Residential Apartment Upper-middle Income Old Space heating Building enveloppe PATH </v>
      </c>
      <c r="E136" t="str">
        <f t="shared" si="6"/>
        <v>TJ</v>
      </c>
      <c r="F136" t="str">
        <f t="shared" si="7"/>
        <v>MW</v>
      </c>
    </row>
    <row r="137" spans="2:6" x14ac:dyDescent="0.25">
      <c r="B137" t="str">
        <f>IF('RET TECH'!N102=1,"PRE","*")</f>
        <v>PRE</v>
      </c>
      <c r="C137" t="str">
        <f>'RET TECH'!M102</f>
        <v>RESAPAUMOldSHENVIECC4020</v>
      </c>
      <c r="D137" t="str">
        <f>_xlfn.XLOOKUP(C137,'RET TECH'!$M:$M,'RET TECH'!$A:$A)&amp;" "&amp;_xlfn.XLOOKUP(C137,'RET TECH'!$M:$M,'RET TECH'!$B:$B)&amp;" "&amp;_xlfn.XLOOKUP(C137,'RET TECH'!$M:$M,'RET TECH'!$C:$C)&amp;" "&amp;_xlfn.XLOOKUP(C137,'RET TECH'!$M:$M,'RET TECH'!$D:$D)&amp;" "&amp;_xlfn.XLOOKUP(C137,'RET TECH'!$M:$M,'RET TECH'!$E:$E)&amp;" "&amp;_xlfn.XLOOKUP(C137,'RET TECH'!$M:$M,'RET TECH'!$F:$F)&amp;" "&amp;_xlfn.XLOOKUP(C137,'RET TECH'!$M:$M,'RET TECH'!$G:$G)&amp;" "&amp;_xlfn.XLOOKUP(C137,'RET TECH'!$M:$M,'RET TECH'!$H:$H)</f>
        <v xml:space="preserve">Residential Apartment Upper-middle Income Old Space heating Building enveloppe IECC 2009 +40% </v>
      </c>
      <c r="E137" t="str">
        <f t="shared" si="6"/>
        <v>TJ</v>
      </c>
      <c r="F137" t="str">
        <f t="shared" si="7"/>
        <v>MW</v>
      </c>
    </row>
    <row r="138" spans="2:6" x14ac:dyDescent="0.25">
      <c r="B138" t="str">
        <f>IF('RET TECH'!N103=1,"PRE","*")</f>
        <v>PRE</v>
      </c>
      <c r="C138" t="str">
        <f>'RET TECH'!M103</f>
        <v>RESAPAUMOldSHENVIECC20</v>
      </c>
      <c r="D138" t="str">
        <f>_xlfn.XLOOKUP(C138,'RET TECH'!$M:$M,'RET TECH'!$A:$A)&amp;" "&amp;_xlfn.XLOOKUP(C138,'RET TECH'!$M:$M,'RET TECH'!$B:$B)&amp;" "&amp;_xlfn.XLOOKUP(C138,'RET TECH'!$M:$M,'RET TECH'!$C:$C)&amp;" "&amp;_xlfn.XLOOKUP(C138,'RET TECH'!$M:$M,'RET TECH'!$D:$D)&amp;" "&amp;_xlfn.XLOOKUP(C138,'RET TECH'!$M:$M,'RET TECH'!$E:$E)&amp;" "&amp;_xlfn.XLOOKUP(C138,'RET TECH'!$M:$M,'RET TECH'!$F:$F)&amp;" "&amp;_xlfn.XLOOKUP(C138,'RET TECH'!$M:$M,'RET TECH'!$G:$G)&amp;" "&amp;_xlfn.XLOOKUP(C138,'RET TECH'!$M:$M,'RET TECH'!$H:$H)</f>
        <v xml:space="preserve">Residential Apartment Upper-middle Income Old Space heating Building enveloppe IECC 2009 </v>
      </c>
      <c r="E138" t="str">
        <f t="shared" si="6"/>
        <v>TJ</v>
      </c>
      <c r="F138" t="str">
        <f t="shared" si="7"/>
        <v>MW</v>
      </c>
    </row>
    <row r="139" spans="2:6" x14ac:dyDescent="0.25">
      <c r="B139" t="str">
        <f>IF('RET TECH'!N104=1,"PRE","*")</f>
        <v>*</v>
      </c>
      <c r="C139" t="str">
        <f>'RET TECH'!M104</f>
        <v>RESAPAUMOldSCENVESTAR20</v>
      </c>
      <c r="D139" t="str">
        <f>_xlfn.XLOOKUP(C139,'RET TECH'!$M:$M,'RET TECH'!$A:$A)&amp;" "&amp;_xlfn.XLOOKUP(C139,'RET TECH'!$M:$M,'RET TECH'!$B:$B)&amp;" "&amp;_xlfn.XLOOKUP(C139,'RET TECH'!$M:$M,'RET TECH'!$C:$C)&amp;" "&amp;_xlfn.XLOOKUP(C139,'RET TECH'!$M:$M,'RET TECH'!$D:$D)&amp;" "&amp;_xlfn.XLOOKUP(C139,'RET TECH'!$M:$M,'RET TECH'!$E:$E)&amp;" "&amp;_xlfn.XLOOKUP(C139,'RET TECH'!$M:$M,'RET TECH'!$F:$F)&amp;" "&amp;_xlfn.XLOOKUP(C139,'RET TECH'!$M:$M,'RET TECH'!$G:$G)&amp;" "&amp;_xlfn.XLOOKUP(C139,'RET TECH'!$M:$M,'RET TECH'!$H:$H)</f>
        <v xml:space="preserve">Residential Apartment Upper-middle Income Old Space cooling Building enveloppe ENERGY STAR </v>
      </c>
      <c r="E139" t="str">
        <f t="shared" si="6"/>
        <v>TJ</v>
      </c>
      <c r="F139" t="str">
        <f t="shared" si="7"/>
        <v>MW</v>
      </c>
    </row>
    <row r="140" spans="2:6" x14ac:dyDescent="0.25">
      <c r="B140" t="str">
        <f>IF('RET TECH'!N105=1,"PRE","*")</f>
        <v>*</v>
      </c>
      <c r="C140" t="str">
        <f>'RET TECH'!M105</f>
        <v>RESAPAUMOldSCENVPATH20</v>
      </c>
      <c r="D140" t="str">
        <f>_xlfn.XLOOKUP(C140,'RET TECH'!$M:$M,'RET TECH'!$A:$A)&amp;" "&amp;_xlfn.XLOOKUP(C140,'RET TECH'!$M:$M,'RET TECH'!$B:$B)&amp;" "&amp;_xlfn.XLOOKUP(C140,'RET TECH'!$M:$M,'RET TECH'!$C:$C)&amp;" "&amp;_xlfn.XLOOKUP(C140,'RET TECH'!$M:$M,'RET TECH'!$D:$D)&amp;" "&amp;_xlfn.XLOOKUP(C140,'RET TECH'!$M:$M,'RET TECH'!$E:$E)&amp;" "&amp;_xlfn.XLOOKUP(C140,'RET TECH'!$M:$M,'RET TECH'!$F:$F)&amp;" "&amp;_xlfn.XLOOKUP(C140,'RET TECH'!$M:$M,'RET TECH'!$G:$G)&amp;" "&amp;_xlfn.XLOOKUP(C140,'RET TECH'!$M:$M,'RET TECH'!$H:$H)</f>
        <v xml:space="preserve">Residential Apartment Upper-middle Income Old Space cooling Building enveloppe PATH </v>
      </c>
      <c r="E140" t="str">
        <f t="shared" si="6"/>
        <v>TJ</v>
      </c>
      <c r="F140" t="str">
        <f t="shared" si="7"/>
        <v>MW</v>
      </c>
    </row>
    <row r="141" spans="2:6" x14ac:dyDescent="0.25">
      <c r="B141" t="str">
        <f>IF('RET TECH'!N106=1,"PRE","*")</f>
        <v>*</v>
      </c>
      <c r="C141" t="str">
        <f>'RET TECH'!M106</f>
        <v>RESAPAUMOldSCENVIECC4020</v>
      </c>
      <c r="D141" t="str">
        <f>_xlfn.XLOOKUP(C141,'RET TECH'!$M:$M,'RET TECH'!$A:$A)&amp;" "&amp;_xlfn.XLOOKUP(C141,'RET TECH'!$M:$M,'RET TECH'!$B:$B)&amp;" "&amp;_xlfn.XLOOKUP(C141,'RET TECH'!$M:$M,'RET TECH'!$C:$C)&amp;" "&amp;_xlfn.XLOOKUP(C141,'RET TECH'!$M:$M,'RET TECH'!$D:$D)&amp;" "&amp;_xlfn.XLOOKUP(C141,'RET TECH'!$M:$M,'RET TECH'!$E:$E)&amp;" "&amp;_xlfn.XLOOKUP(C141,'RET TECH'!$M:$M,'RET TECH'!$F:$F)&amp;" "&amp;_xlfn.XLOOKUP(C141,'RET TECH'!$M:$M,'RET TECH'!$G:$G)&amp;" "&amp;_xlfn.XLOOKUP(C141,'RET TECH'!$M:$M,'RET TECH'!$H:$H)</f>
        <v xml:space="preserve">Residential Apartment Upper-middle Income Old Space cooling Building enveloppe IECC 2009 +40% </v>
      </c>
      <c r="E141" t="str">
        <f t="shared" si="6"/>
        <v>TJ</v>
      </c>
      <c r="F141" t="str">
        <f t="shared" si="7"/>
        <v>MW</v>
      </c>
    </row>
    <row r="142" spans="2:6" x14ac:dyDescent="0.25">
      <c r="B142" t="str">
        <f>IF('RET TECH'!N107=1,"PRE","*")</f>
        <v>*</v>
      </c>
      <c r="C142" t="str">
        <f>'RET TECH'!M107</f>
        <v>RESAPAUMOldSCENVIECC20</v>
      </c>
      <c r="D142" t="str">
        <f>_xlfn.XLOOKUP(C142,'RET TECH'!$M:$M,'RET TECH'!$A:$A)&amp;" "&amp;_xlfn.XLOOKUP(C142,'RET TECH'!$M:$M,'RET TECH'!$B:$B)&amp;" "&amp;_xlfn.XLOOKUP(C142,'RET TECH'!$M:$M,'RET TECH'!$C:$C)&amp;" "&amp;_xlfn.XLOOKUP(C142,'RET TECH'!$M:$M,'RET TECH'!$D:$D)&amp;" "&amp;_xlfn.XLOOKUP(C142,'RET TECH'!$M:$M,'RET TECH'!$E:$E)&amp;" "&amp;_xlfn.XLOOKUP(C142,'RET TECH'!$M:$M,'RET TECH'!$F:$F)&amp;" "&amp;_xlfn.XLOOKUP(C142,'RET TECH'!$M:$M,'RET TECH'!$G:$G)&amp;" "&amp;_xlfn.XLOOKUP(C142,'RET TECH'!$M:$M,'RET TECH'!$H:$H)</f>
        <v xml:space="preserve">Residential Apartment Upper-middle Income Old Space cooling Building enveloppe IECC 2009 </v>
      </c>
      <c r="E142" t="str">
        <f t="shared" si="6"/>
        <v>TJ</v>
      </c>
      <c r="F142" t="str">
        <f t="shared" si="7"/>
        <v>MW</v>
      </c>
    </row>
    <row r="143" spans="2:6" x14ac:dyDescent="0.25">
      <c r="B143" t="str">
        <f>IF('RET TECH'!N108=1,"PRE","*")</f>
        <v>PRE</v>
      </c>
      <c r="C143" t="str">
        <f>'RET TECH'!M108</f>
        <v>RESHOUUMOldSHENVESTAR20</v>
      </c>
      <c r="D143" t="str">
        <f>_xlfn.XLOOKUP(C143,'RET TECH'!$M:$M,'RET TECH'!$A:$A)&amp;" "&amp;_xlfn.XLOOKUP(C143,'RET TECH'!$M:$M,'RET TECH'!$B:$B)&amp;" "&amp;_xlfn.XLOOKUP(C143,'RET TECH'!$M:$M,'RET TECH'!$C:$C)&amp;" "&amp;_xlfn.XLOOKUP(C143,'RET TECH'!$M:$M,'RET TECH'!$D:$D)&amp;" "&amp;_xlfn.XLOOKUP(C143,'RET TECH'!$M:$M,'RET TECH'!$E:$E)&amp;" "&amp;_xlfn.XLOOKUP(C143,'RET TECH'!$M:$M,'RET TECH'!$F:$F)&amp;" "&amp;_xlfn.XLOOKUP(C143,'RET TECH'!$M:$M,'RET TECH'!$G:$G)&amp;" "&amp;_xlfn.XLOOKUP(C143,'RET TECH'!$M:$M,'RET TECH'!$H:$H)</f>
        <v xml:space="preserve">Residential House Upper-middle Income Old Space heating Building enveloppe ENERGY STAR </v>
      </c>
      <c r="E143" t="str">
        <f t="shared" si="6"/>
        <v>TJ</v>
      </c>
      <c r="F143" t="str">
        <f t="shared" si="7"/>
        <v>MW</v>
      </c>
    </row>
    <row r="144" spans="2:6" x14ac:dyDescent="0.25">
      <c r="B144" t="str">
        <f>IF('RET TECH'!N109=1,"PRE","*")</f>
        <v>PRE</v>
      </c>
      <c r="C144" t="str">
        <f>'RET TECH'!M109</f>
        <v>RESHOUUMOldSHENVPATH20</v>
      </c>
      <c r="D144" t="str">
        <f>_xlfn.XLOOKUP(C144,'RET TECH'!$M:$M,'RET TECH'!$A:$A)&amp;" "&amp;_xlfn.XLOOKUP(C144,'RET TECH'!$M:$M,'RET TECH'!$B:$B)&amp;" "&amp;_xlfn.XLOOKUP(C144,'RET TECH'!$M:$M,'RET TECH'!$C:$C)&amp;" "&amp;_xlfn.XLOOKUP(C144,'RET TECH'!$M:$M,'RET TECH'!$D:$D)&amp;" "&amp;_xlfn.XLOOKUP(C144,'RET TECH'!$M:$M,'RET TECH'!$E:$E)&amp;" "&amp;_xlfn.XLOOKUP(C144,'RET TECH'!$M:$M,'RET TECH'!$F:$F)&amp;" "&amp;_xlfn.XLOOKUP(C144,'RET TECH'!$M:$M,'RET TECH'!$G:$G)&amp;" "&amp;_xlfn.XLOOKUP(C144,'RET TECH'!$M:$M,'RET TECH'!$H:$H)</f>
        <v xml:space="preserve">Residential House Upper-middle Income Old Space heating Building enveloppe PATH </v>
      </c>
      <c r="E144" t="str">
        <f t="shared" si="6"/>
        <v>TJ</v>
      </c>
      <c r="F144" t="str">
        <f t="shared" si="7"/>
        <v>MW</v>
      </c>
    </row>
    <row r="145" spans="2:6" x14ac:dyDescent="0.25">
      <c r="B145" t="str">
        <f>IF('RET TECH'!N110=1,"PRE","*")</f>
        <v>PRE</v>
      </c>
      <c r="C145" t="str">
        <f>'RET TECH'!M110</f>
        <v>RESHOUUMOldSHENVIECC4020</v>
      </c>
      <c r="D145" t="str">
        <f>_xlfn.XLOOKUP(C145,'RET TECH'!$M:$M,'RET TECH'!$A:$A)&amp;" "&amp;_xlfn.XLOOKUP(C145,'RET TECH'!$M:$M,'RET TECH'!$B:$B)&amp;" "&amp;_xlfn.XLOOKUP(C145,'RET TECH'!$M:$M,'RET TECH'!$C:$C)&amp;" "&amp;_xlfn.XLOOKUP(C145,'RET TECH'!$M:$M,'RET TECH'!$D:$D)&amp;" "&amp;_xlfn.XLOOKUP(C145,'RET TECH'!$M:$M,'RET TECH'!$E:$E)&amp;" "&amp;_xlfn.XLOOKUP(C145,'RET TECH'!$M:$M,'RET TECH'!$F:$F)&amp;" "&amp;_xlfn.XLOOKUP(C145,'RET TECH'!$M:$M,'RET TECH'!$G:$G)&amp;" "&amp;_xlfn.XLOOKUP(C145,'RET TECH'!$M:$M,'RET TECH'!$H:$H)</f>
        <v xml:space="preserve">Residential House Upper-middle Income Old Space heating Building enveloppe IECC 2009 +40% </v>
      </c>
      <c r="E145" t="str">
        <f t="shared" si="6"/>
        <v>TJ</v>
      </c>
      <c r="F145" t="str">
        <f t="shared" si="7"/>
        <v>MW</v>
      </c>
    </row>
    <row r="146" spans="2:6" x14ac:dyDescent="0.25">
      <c r="B146" t="str">
        <f>IF('RET TECH'!N111=1,"PRE","*")</f>
        <v>PRE</v>
      </c>
      <c r="C146" t="str">
        <f>'RET TECH'!M111</f>
        <v>RESHOUUMOldSHENVIECC20</v>
      </c>
      <c r="D146" t="str">
        <f>_xlfn.XLOOKUP(C146,'RET TECH'!$M:$M,'RET TECH'!$A:$A)&amp;" "&amp;_xlfn.XLOOKUP(C146,'RET TECH'!$M:$M,'RET TECH'!$B:$B)&amp;" "&amp;_xlfn.XLOOKUP(C146,'RET TECH'!$M:$M,'RET TECH'!$C:$C)&amp;" "&amp;_xlfn.XLOOKUP(C146,'RET TECH'!$M:$M,'RET TECH'!$D:$D)&amp;" "&amp;_xlfn.XLOOKUP(C146,'RET TECH'!$M:$M,'RET TECH'!$E:$E)&amp;" "&amp;_xlfn.XLOOKUP(C146,'RET TECH'!$M:$M,'RET TECH'!$F:$F)&amp;" "&amp;_xlfn.XLOOKUP(C146,'RET TECH'!$M:$M,'RET TECH'!$G:$G)&amp;" "&amp;_xlfn.XLOOKUP(C146,'RET TECH'!$M:$M,'RET TECH'!$H:$H)</f>
        <v xml:space="preserve">Residential House Upper-middle Income Old Space heating Building enveloppe IECC 2009 </v>
      </c>
      <c r="E146" t="str">
        <f t="shared" si="6"/>
        <v>TJ</v>
      </c>
      <c r="F146" t="str">
        <f t="shared" si="7"/>
        <v>MW</v>
      </c>
    </row>
    <row r="147" spans="2:6" x14ac:dyDescent="0.25">
      <c r="B147" t="str">
        <f>IF('RET TECH'!N112=1,"PRE","*")</f>
        <v>PRE</v>
      </c>
      <c r="C147" t="str">
        <f>'RET TECH'!M112</f>
        <v>RESHOUUMOldSCENVESTAR20</v>
      </c>
      <c r="D147" t="str">
        <f>_xlfn.XLOOKUP(C147,'RET TECH'!$M:$M,'RET TECH'!$A:$A)&amp;" "&amp;_xlfn.XLOOKUP(C147,'RET TECH'!$M:$M,'RET TECH'!$B:$B)&amp;" "&amp;_xlfn.XLOOKUP(C147,'RET TECH'!$M:$M,'RET TECH'!$C:$C)&amp;" "&amp;_xlfn.XLOOKUP(C147,'RET TECH'!$M:$M,'RET TECH'!$D:$D)&amp;" "&amp;_xlfn.XLOOKUP(C147,'RET TECH'!$M:$M,'RET TECH'!$E:$E)&amp;" "&amp;_xlfn.XLOOKUP(C147,'RET TECH'!$M:$M,'RET TECH'!$F:$F)&amp;" "&amp;_xlfn.XLOOKUP(C147,'RET TECH'!$M:$M,'RET TECH'!$G:$G)&amp;" "&amp;_xlfn.XLOOKUP(C147,'RET TECH'!$M:$M,'RET TECH'!$H:$H)</f>
        <v xml:space="preserve">Residential House Upper-middle Income Old Space cooling Building enveloppe ENERGY STAR </v>
      </c>
      <c r="E147" t="str">
        <f t="shared" si="6"/>
        <v>TJ</v>
      </c>
      <c r="F147" t="str">
        <f t="shared" si="7"/>
        <v>MW</v>
      </c>
    </row>
    <row r="148" spans="2:6" x14ac:dyDescent="0.25">
      <c r="B148" t="str">
        <f>IF('RET TECH'!N113=1,"PRE","*")</f>
        <v>PRE</v>
      </c>
      <c r="C148" t="str">
        <f>'RET TECH'!M113</f>
        <v>RESHOUUMOldSCENVPATH20</v>
      </c>
      <c r="D148" t="str">
        <f>_xlfn.XLOOKUP(C148,'RET TECH'!$M:$M,'RET TECH'!$A:$A)&amp;" "&amp;_xlfn.XLOOKUP(C148,'RET TECH'!$M:$M,'RET TECH'!$B:$B)&amp;" "&amp;_xlfn.XLOOKUP(C148,'RET TECH'!$M:$M,'RET TECH'!$C:$C)&amp;" "&amp;_xlfn.XLOOKUP(C148,'RET TECH'!$M:$M,'RET TECH'!$D:$D)&amp;" "&amp;_xlfn.XLOOKUP(C148,'RET TECH'!$M:$M,'RET TECH'!$E:$E)&amp;" "&amp;_xlfn.XLOOKUP(C148,'RET TECH'!$M:$M,'RET TECH'!$F:$F)&amp;" "&amp;_xlfn.XLOOKUP(C148,'RET TECH'!$M:$M,'RET TECH'!$G:$G)&amp;" "&amp;_xlfn.XLOOKUP(C148,'RET TECH'!$M:$M,'RET TECH'!$H:$H)</f>
        <v xml:space="preserve">Residential House Upper-middle Income Old Space cooling Building enveloppe PATH </v>
      </c>
      <c r="E148" t="str">
        <f t="shared" si="6"/>
        <v>TJ</v>
      </c>
      <c r="F148" t="str">
        <f t="shared" si="7"/>
        <v>MW</v>
      </c>
    </row>
    <row r="149" spans="2:6" x14ac:dyDescent="0.25">
      <c r="B149" t="str">
        <f>IF('RET TECH'!N114=1,"PRE","*")</f>
        <v>PRE</v>
      </c>
      <c r="C149" t="str">
        <f>'RET TECH'!M114</f>
        <v>RESHOUUMOldSCENVIECC4020</v>
      </c>
      <c r="D149" t="str">
        <f>_xlfn.XLOOKUP(C149,'RET TECH'!$M:$M,'RET TECH'!$A:$A)&amp;" "&amp;_xlfn.XLOOKUP(C149,'RET TECH'!$M:$M,'RET TECH'!$B:$B)&amp;" "&amp;_xlfn.XLOOKUP(C149,'RET TECH'!$M:$M,'RET TECH'!$C:$C)&amp;" "&amp;_xlfn.XLOOKUP(C149,'RET TECH'!$M:$M,'RET TECH'!$D:$D)&amp;" "&amp;_xlfn.XLOOKUP(C149,'RET TECH'!$M:$M,'RET TECH'!$E:$E)&amp;" "&amp;_xlfn.XLOOKUP(C149,'RET TECH'!$M:$M,'RET TECH'!$F:$F)&amp;" "&amp;_xlfn.XLOOKUP(C149,'RET TECH'!$M:$M,'RET TECH'!$G:$G)&amp;" "&amp;_xlfn.XLOOKUP(C149,'RET TECH'!$M:$M,'RET TECH'!$H:$H)</f>
        <v xml:space="preserve">Residential House Upper-middle Income Old Space cooling Building enveloppe IECC 2009 +40% </v>
      </c>
      <c r="E149" t="str">
        <f t="shared" si="6"/>
        <v>TJ</v>
      </c>
      <c r="F149" t="str">
        <f t="shared" si="7"/>
        <v>MW</v>
      </c>
    </row>
    <row r="150" spans="2:6" x14ac:dyDescent="0.25">
      <c r="B150" t="str">
        <f>IF('RET TECH'!N115=1,"PRE","*")</f>
        <v>PRE</v>
      </c>
      <c r="C150" t="str">
        <f>'RET TECH'!M115</f>
        <v>RESHOUUMOldSCENVIECC20</v>
      </c>
      <c r="D150" t="str">
        <f>_xlfn.XLOOKUP(C150,'RET TECH'!$M:$M,'RET TECH'!$A:$A)&amp;" "&amp;_xlfn.XLOOKUP(C150,'RET TECH'!$M:$M,'RET TECH'!$B:$B)&amp;" "&amp;_xlfn.XLOOKUP(C150,'RET TECH'!$M:$M,'RET TECH'!$C:$C)&amp;" "&amp;_xlfn.XLOOKUP(C150,'RET TECH'!$M:$M,'RET TECH'!$D:$D)&amp;" "&amp;_xlfn.XLOOKUP(C150,'RET TECH'!$M:$M,'RET TECH'!$E:$E)&amp;" "&amp;_xlfn.XLOOKUP(C150,'RET TECH'!$M:$M,'RET TECH'!$F:$F)&amp;" "&amp;_xlfn.XLOOKUP(C150,'RET TECH'!$M:$M,'RET TECH'!$G:$G)&amp;" "&amp;_xlfn.XLOOKUP(C150,'RET TECH'!$M:$M,'RET TECH'!$H:$H)</f>
        <v xml:space="preserve">Residential House Upper-middle Income Old Space cooling Building enveloppe IECC 2009 </v>
      </c>
      <c r="E150" t="str">
        <f t="shared" si="6"/>
        <v>TJ</v>
      </c>
      <c r="F150" t="str">
        <f t="shared" si="7"/>
        <v>MW</v>
      </c>
    </row>
    <row r="151" spans="2:6" x14ac:dyDescent="0.25">
      <c r="B151" t="str">
        <f>IF('RET TECH'!N116=1,"PRE","*")</f>
        <v>PRE</v>
      </c>
      <c r="C151" t="str">
        <f>'RET TECH'!M116</f>
        <v>RESAPAHIOldSHENVESTAR20</v>
      </c>
      <c r="D151" t="str">
        <f>_xlfn.XLOOKUP(C151,'RET TECH'!$M:$M,'RET TECH'!$A:$A)&amp;" "&amp;_xlfn.XLOOKUP(C151,'RET TECH'!$M:$M,'RET TECH'!$B:$B)&amp;" "&amp;_xlfn.XLOOKUP(C151,'RET TECH'!$M:$M,'RET TECH'!$C:$C)&amp;" "&amp;_xlfn.XLOOKUP(C151,'RET TECH'!$M:$M,'RET TECH'!$D:$D)&amp;" "&amp;_xlfn.XLOOKUP(C151,'RET TECH'!$M:$M,'RET TECH'!$E:$E)&amp;" "&amp;_xlfn.XLOOKUP(C151,'RET TECH'!$M:$M,'RET TECH'!$F:$F)&amp;" "&amp;_xlfn.XLOOKUP(C151,'RET TECH'!$M:$M,'RET TECH'!$G:$G)&amp;" "&amp;_xlfn.XLOOKUP(C151,'RET TECH'!$M:$M,'RET TECH'!$H:$H)</f>
        <v xml:space="preserve">Residential Apartment High Income Old Space heating Building enveloppe ENERGY STAR </v>
      </c>
      <c r="E151" t="str">
        <f t="shared" si="6"/>
        <v>TJ</v>
      </c>
      <c r="F151" t="str">
        <f t="shared" si="7"/>
        <v>MW</v>
      </c>
    </row>
    <row r="152" spans="2:6" x14ac:dyDescent="0.25">
      <c r="B152" t="str">
        <f>IF('RET TECH'!N117=1,"PRE","*")</f>
        <v>PRE</v>
      </c>
      <c r="C152" t="str">
        <f>'RET TECH'!M117</f>
        <v>RESAPAHIOldSHENVPATH20</v>
      </c>
      <c r="D152" t="str">
        <f>_xlfn.XLOOKUP(C152,'RET TECH'!$M:$M,'RET TECH'!$A:$A)&amp;" "&amp;_xlfn.XLOOKUP(C152,'RET TECH'!$M:$M,'RET TECH'!$B:$B)&amp;" "&amp;_xlfn.XLOOKUP(C152,'RET TECH'!$M:$M,'RET TECH'!$C:$C)&amp;" "&amp;_xlfn.XLOOKUP(C152,'RET TECH'!$M:$M,'RET TECH'!$D:$D)&amp;" "&amp;_xlfn.XLOOKUP(C152,'RET TECH'!$M:$M,'RET TECH'!$E:$E)&amp;" "&amp;_xlfn.XLOOKUP(C152,'RET TECH'!$M:$M,'RET TECH'!$F:$F)&amp;" "&amp;_xlfn.XLOOKUP(C152,'RET TECH'!$M:$M,'RET TECH'!$G:$G)&amp;" "&amp;_xlfn.XLOOKUP(C152,'RET TECH'!$M:$M,'RET TECH'!$H:$H)</f>
        <v xml:space="preserve">Residential Apartment High Income Old Space heating Building enveloppe PATH </v>
      </c>
      <c r="E152" t="str">
        <f t="shared" si="6"/>
        <v>TJ</v>
      </c>
      <c r="F152" t="str">
        <f t="shared" si="7"/>
        <v>MW</v>
      </c>
    </row>
    <row r="153" spans="2:6" x14ac:dyDescent="0.25">
      <c r="B153" t="str">
        <f>IF('RET TECH'!N118=1,"PRE","*")</f>
        <v>PRE</v>
      </c>
      <c r="C153" t="str">
        <f>'RET TECH'!M118</f>
        <v>RESAPAHIOldSHENVIECC4020</v>
      </c>
      <c r="D153" t="str">
        <f>_xlfn.XLOOKUP(C153,'RET TECH'!$M:$M,'RET TECH'!$A:$A)&amp;" "&amp;_xlfn.XLOOKUP(C153,'RET TECH'!$M:$M,'RET TECH'!$B:$B)&amp;" "&amp;_xlfn.XLOOKUP(C153,'RET TECH'!$M:$M,'RET TECH'!$C:$C)&amp;" "&amp;_xlfn.XLOOKUP(C153,'RET TECH'!$M:$M,'RET TECH'!$D:$D)&amp;" "&amp;_xlfn.XLOOKUP(C153,'RET TECH'!$M:$M,'RET TECH'!$E:$E)&amp;" "&amp;_xlfn.XLOOKUP(C153,'RET TECH'!$M:$M,'RET TECH'!$F:$F)&amp;" "&amp;_xlfn.XLOOKUP(C153,'RET TECH'!$M:$M,'RET TECH'!$G:$G)&amp;" "&amp;_xlfn.XLOOKUP(C153,'RET TECH'!$M:$M,'RET TECH'!$H:$H)</f>
        <v xml:space="preserve">Residential Apartment High Income Old Space heating Building enveloppe IECC 2009 +40% </v>
      </c>
      <c r="E153" t="str">
        <f t="shared" si="6"/>
        <v>TJ</v>
      </c>
      <c r="F153" t="str">
        <f t="shared" si="7"/>
        <v>MW</v>
      </c>
    </row>
    <row r="154" spans="2:6" x14ac:dyDescent="0.25">
      <c r="B154" t="str">
        <f>IF('RET TECH'!N119=1,"PRE","*")</f>
        <v>PRE</v>
      </c>
      <c r="C154" t="str">
        <f>'RET TECH'!M119</f>
        <v>RESAPAHIOldSHENVIECC20</v>
      </c>
      <c r="D154" t="str">
        <f>_xlfn.XLOOKUP(C154,'RET TECH'!$M:$M,'RET TECH'!$A:$A)&amp;" "&amp;_xlfn.XLOOKUP(C154,'RET TECH'!$M:$M,'RET TECH'!$B:$B)&amp;" "&amp;_xlfn.XLOOKUP(C154,'RET TECH'!$M:$M,'RET TECH'!$C:$C)&amp;" "&amp;_xlfn.XLOOKUP(C154,'RET TECH'!$M:$M,'RET TECH'!$D:$D)&amp;" "&amp;_xlfn.XLOOKUP(C154,'RET TECH'!$M:$M,'RET TECH'!$E:$E)&amp;" "&amp;_xlfn.XLOOKUP(C154,'RET TECH'!$M:$M,'RET TECH'!$F:$F)&amp;" "&amp;_xlfn.XLOOKUP(C154,'RET TECH'!$M:$M,'RET TECH'!$G:$G)&amp;" "&amp;_xlfn.XLOOKUP(C154,'RET TECH'!$M:$M,'RET TECH'!$H:$H)</f>
        <v xml:space="preserve">Residential Apartment High Income Old Space heating Building enveloppe IECC 2009 </v>
      </c>
      <c r="E154" t="str">
        <f t="shared" si="6"/>
        <v>TJ</v>
      </c>
      <c r="F154" t="str">
        <f t="shared" si="7"/>
        <v>MW</v>
      </c>
    </row>
    <row r="155" spans="2:6" x14ac:dyDescent="0.25">
      <c r="B155" t="str">
        <f>IF('RET TECH'!N120=1,"PRE","*")</f>
        <v>*</v>
      </c>
      <c r="C155" t="str">
        <f>'RET TECH'!M120</f>
        <v>RESAPAHIOldSCENVESTAR20</v>
      </c>
      <c r="D155" t="str">
        <f>_xlfn.XLOOKUP(C155,'RET TECH'!$M:$M,'RET TECH'!$A:$A)&amp;" "&amp;_xlfn.XLOOKUP(C155,'RET TECH'!$M:$M,'RET TECH'!$B:$B)&amp;" "&amp;_xlfn.XLOOKUP(C155,'RET TECH'!$M:$M,'RET TECH'!$C:$C)&amp;" "&amp;_xlfn.XLOOKUP(C155,'RET TECH'!$M:$M,'RET TECH'!$D:$D)&amp;" "&amp;_xlfn.XLOOKUP(C155,'RET TECH'!$M:$M,'RET TECH'!$E:$E)&amp;" "&amp;_xlfn.XLOOKUP(C155,'RET TECH'!$M:$M,'RET TECH'!$F:$F)&amp;" "&amp;_xlfn.XLOOKUP(C155,'RET TECH'!$M:$M,'RET TECH'!$G:$G)&amp;" "&amp;_xlfn.XLOOKUP(C155,'RET TECH'!$M:$M,'RET TECH'!$H:$H)</f>
        <v xml:space="preserve">Residential Apartment High Income Old Space cooling Building enveloppe ENERGY STAR </v>
      </c>
      <c r="E155" t="str">
        <f t="shared" si="6"/>
        <v>TJ</v>
      </c>
      <c r="F155" t="str">
        <f t="shared" si="7"/>
        <v>MW</v>
      </c>
    </row>
    <row r="156" spans="2:6" x14ac:dyDescent="0.25">
      <c r="B156" t="str">
        <f>IF('RET TECH'!N121=1,"PRE","*")</f>
        <v>*</v>
      </c>
      <c r="C156" t="str">
        <f>'RET TECH'!M121</f>
        <v>RESAPAHIOldSCENVPATH20</v>
      </c>
      <c r="D156" t="str">
        <f>_xlfn.XLOOKUP(C156,'RET TECH'!$M:$M,'RET TECH'!$A:$A)&amp;" "&amp;_xlfn.XLOOKUP(C156,'RET TECH'!$M:$M,'RET TECH'!$B:$B)&amp;" "&amp;_xlfn.XLOOKUP(C156,'RET TECH'!$M:$M,'RET TECH'!$C:$C)&amp;" "&amp;_xlfn.XLOOKUP(C156,'RET TECH'!$M:$M,'RET TECH'!$D:$D)&amp;" "&amp;_xlfn.XLOOKUP(C156,'RET TECH'!$M:$M,'RET TECH'!$E:$E)&amp;" "&amp;_xlfn.XLOOKUP(C156,'RET TECH'!$M:$M,'RET TECH'!$F:$F)&amp;" "&amp;_xlfn.XLOOKUP(C156,'RET TECH'!$M:$M,'RET TECH'!$G:$G)&amp;" "&amp;_xlfn.XLOOKUP(C156,'RET TECH'!$M:$M,'RET TECH'!$H:$H)</f>
        <v xml:space="preserve">Residential Apartment High Income Old Space cooling Building enveloppe PATH </v>
      </c>
      <c r="E156" t="str">
        <f t="shared" si="6"/>
        <v>TJ</v>
      </c>
      <c r="F156" t="str">
        <f t="shared" si="7"/>
        <v>MW</v>
      </c>
    </row>
    <row r="157" spans="2:6" x14ac:dyDescent="0.25">
      <c r="B157" t="str">
        <f>IF('RET TECH'!N122=1,"PRE","*")</f>
        <v>*</v>
      </c>
      <c r="C157" t="str">
        <f>'RET TECH'!M122</f>
        <v>RESAPAHIOldSCENVIECC4020</v>
      </c>
      <c r="D157" t="str">
        <f>_xlfn.XLOOKUP(C157,'RET TECH'!$M:$M,'RET TECH'!$A:$A)&amp;" "&amp;_xlfn.XLOOKUP(C157,'RET TECH'!$M:$M,'RET TECH'!$B:$B)&amp;" "&amp;_xlfn.XLOOKUP(C157,'RET TECH'!$M:$M,'RET TECH'!$C:$C)&amp;" "&amp;_xlfn.XLOOKUP(C157,'RET TECH'!$M:$M,'RET TECH'!$D:$D)&amp;" "&amp;_xlfn.XLOOKUP(C157,'RET TECH'!$M:$M,'RET TECH'!$E:$E)&amp;" "&amp;_xlfn.XLOOKUP(C157,'RET TECH'!$M:$M,'RET TECH'!$F:$F)&amp;" "&amp;_xlfn.XLOOKUP(C157,'RET TECH'!$M:$M,'RET TECH'!$G:$G)&amp;" "&amp;_xlfn.XLOOKUP(C157,'RET TECH'!$M:$M,'RET TECH'!$H:$H)</f>
        <v xml:space="preserve">Residential Apartment High Income Old Space cooling Building enveloppe IECC 2009 +40% </v>
      </c>
      <c r="E157" t="str">
        <f t="shared" si="6"/>
        <v>TJ</v>
      </c>
      <c r="F157" t="str">
        <f t="shared" si="7"/>
        <v>MW</v>
      </c>
    </row>
    <row r="158" spans="2:6" x14ac:dyDescent="0.25">
      <c r="B158" t="str">
        <f>IF('RET TECH'!N123=1,"PRE","*")</f>
        <v>*</v>
      </c>
      <c r="C158" t="str">
        <f>'RET TECH'!M123</f>
        <v>RESAPAHIOldSCENVIECC20</v>
      </c>
      <c r="D158" t="str">
        <f>_xlfn.XLOOKUP(C158,'RET TECH'!$M:$M,'RET TECH'!$A:$A)&amp;" "&amp;_xlfn.XLOOKUP(C158,'RET TECH'!$M:$M,'RET TECH'!$B:$B)&amp;" "&amp;_xlfn.XLOOKUP(C158,'RET TECH'!$M:$M,'RET TECH'!$C:$C)&amp;" "&amp;_xlfn.XLOOKUP(C158,'RET TECH'!$M:$M,'RET TECH'!$D:$D)&amp;" "&amp;_xlfn.XLOOKUP(C158,'RET TECH'!$M:$M,'RET TECH'!$E:$E)&amp;" "&amp;_xlfn.XLOOKUP(C158,'RET TECH'!$M:$M,'RET TECH'!$F:$F)&amp;" "&amp;_xlfn.XLOOKUP(C158,'RET TECH'!$M:$M,'RET TECH'!$G:$G)&amp;" "&amp;_xlfn.XLOOKUP(C158,'RET TECH'!$M:$M,'RET TECH'!$H:$H)</f>
        <v xml:space="preserve">Residential Apartment High Income Old Space cooling Building enveloppe IECC 2009 </v>
      </c>
      <c r="E158" t="str">
        <f t="shared" si="6"/>
        <v>TJ</v>
      </c>
      <c r="F158" t="str">
        <f t="shared" si="7"/>
        <v>MW</v>
      </c>
    </row>
    <row r="159" spans="2:6" x14ac:dyDescent="0.25">
      <c r="B159" t="str">
        <f>IF('RET TECH'!N124=1,"PRE","*")</f>
        <v>PRE</v>
      </c>
      <c r="C159" t="str">
        <f>'RET TECH'!M124</f>
        <v>RESHOUHIOldSHENVESTAR20</v>
      </c>
      <c r="D159" t="str">
        <f>_xlfn.XLOOKUP(C159,'RET TECH'!$M:$M,'RET TECH'!$A:$A)&amp;" "&amp;_xlfn.XLOOKUP(C159,'RET TECH'!$M:$M,'RET TECH'!$B:$B)&amp;" "&amp;_xlfn.XLOOKUP(C159,'RET TECH'!$M:$M,'RET TECH'!$C:$C)&amp;" "&amp;_xlfn.XLOOKUP(C159,'RET TECH'!$M:$M,'RET TECH'!$D:$D)&amp;" "&amp;_xlfn.XLOOKUP(C159,'RET TECH'!$M:$M,'RET TECH'!$E:$E)&amp;" "&amp;_xlfn.XLOOKUP(C159,'RET TECH'!$M:$M,'RET TECH'!$F:$F)&amp;" "&amp;_xlfn.XLOOKUP(C159,'RET TECH'!$M:$M,'RET TECH'!$G:$G)&amp;" "&amp;_xlfn.XLOOKUP(C159,'RET TECH'!$M:$M,'RET TECH'!$H:$H)</f>
        <v xml:space="preserve">Residential House High Income Old Space heating Building enveloppe ENERGY STAR </v>
      </c>
      <c r="E159" t="str">
        <f t="shared" si="6"/>
        <v>TJ</v>
      </c>
      <c r="F159" t="str">
        <f t="shared" si="7"/>
        <v>MW</v>
      </c>
    </row>
    <row r="160" spans="2:6" x14ac:dyDescent="0.25">
      <c r="B160" t="str">
        <f>IF('RET TECH'!N125=1,"PRE","*")</f>
        <v>PRE</v>
      </c>
      <c r="C160" t="str">
        <f>'RET TECH'!M125</f>
        <v>RESHOUHIOldSHENVPATH20</v>
      </c>
      <c r="D160" t="str">
        <f>_xlfn.XLOOKUP(C160,'RET TECH'!$M:$M,'RET TECH'!$A:$A)&amp;" "&amp;_xlfn.XLOOKUP(C160,'RET TECH'!$M:$M,'RET TECH'!$B:$B)&amp;" "&amp;_xlfn.XLOOKUP(C160,'RET TECH'!$M:$M,'RET TECH'!$C:$C)&amp;" "&amp;_xlfn.XLOOKUP(C160,'RET TECH'!$M:$M,'RET TECH'!$D:$D)&amp;" "&amp;_xlfn.XLOOKUP(C160,'RET TECH'!$M:$M,'RET TECH'!$E:$E)&amp;" "&amp;_xlfn.XLOOKUP(C160,'RET TECH'!$M:$M,'RET TECH'!$F:$F)&amp;" "&amp;_xlfn.XLOOKUP(C160,'RET TECH'!$M:$M,'RET TECH'!$G:$G)&amp;" "&amp;_xlfn.XLOOKUP(C160,'RET TECH'!$M:$M,'RET TECH'!$H:$H)</f>
        <v xml:space="preserve">Residential House High Income Old Space heating Building enveloppe PATH </v>
      </c>
      <c r="E160" t="str">
        <f t="shared" si="6"/>
        <v>TJ</v>
      </c>
      <c r="F160" t="str">
        <f t="shared" si="7"/>
        <v>MW</v>
      </c>
    </row>
    <row r="161" spans="2:6" x14ac:dyDescent="0.25">
      <c r="B161" t="str">
        <f>IF('RET TECH'!N126=1,"PRE","*")</f>
        <v>PRE</v>
      </c>
      <c r="C161" t="str">
        <f>'RET TECH'!M126</f>
        <v>RESHOUHIOldSHENVIECC4020</v>
      </c>
      <c r="D161" t="str">
        <f>_xlfn.XLOOKUP(C161,'RET TECH'!$M:$M,'RET TECH'!$A:$A)&amp;" "&amp;_xlfn.XLOOKUP(C161,'RET TECH'!$M:$M,'RET TECH'!$B:$B)&amp;" "&amp;_xlfn.XLOOKUP(C161,'RET TECH'!$M:$M,'RET TECH'!$C:$C)&amp;" "&amp;_xlfn.XLOOKUP(C161,'RET TECH'!$M:$M,'RET TECH'!$D:$D)&amp;" "&amp;_xlfn.XLOOKUP(C161,'RET TECH'!$M:$M,'RET TECH'!$E:$E)&amp;" "&amp;_xlfn.XLOOKUP(C161,'RET TECH'!$M:$M,'RET TECH'!$F:$F)&amp;" "&amp;_xlfn.XLOOKUP(C161,'RET TECH'!$M:$M,'RET TECH'!$G:$G)&amp;" "&amp;_xlfn.XLOOKUP(C161,'RET TECH'!$M:$M,'RET TECH'!$H:$H)</f>
        <v xml:space="preserve">Residential House High Income Old Space heating Building enveloppe IECC 2009 +40% </v>
      </c>
      <c r="E161" t="str">
        <f t="shared" si="6"/>
        <v>TJ</v>
      </c>
      <c r="F161" t="str">
        <f t="shared" si="7"/>
        <v>MW</v>
      </c>
    </row>
    <row r="162" spans="2:6" x14ac:dyDescent="0.25">
      <c r="B162" t="str">
        <f>IF('RET TECH'!N127=1,"PRE","*")</f>
        <v>PRE</v>
      </c>
      <c r="C162" t="str">
        <f>'RET TECH'!M127</f>
        <v>RESHOUHIOldSHENVIECC20</v>
      </c>
      <c r="D162" t="str">
        <f>_xlfn.XLOOKUP(C162,'RET TECH'!$M:$M,'RET TECH'!$A:$A)&amp;" "&amp;_xlfn.XLOOKUP(C162,'RET TECH'!$M:$M,'RET TECH'!$B:$B)&amp;" "&amp;_xlfn.XLOOKUP(C162,'RET TECH'!$M:$M,'RET TECH'!$C:$C)&amp;" "&amp;_xlfn.XLOOKUP(C162,'RET TECH'!$M:$M,'RET TECH'!$D:$D)&amp;" "&amp;_xlfn.XLOOKUP(C162,'RET TECH'!$M:$M,'RET TECH'!$E:$E)&amp;" "&amp;_xlfn.XLOOKUP(C162,'RET TECH'!$M:$M,'RET TECH'!$F:$F)&amp;" "&amp;_xlfn.XLOOKUP(C162,'RET TECH'!$M:$M,'RET TECH'!$G:$G)&amp;" "&amp;_xlfn.XLOOKUP(C162,'RET TECH'!$M:$M,'RET TECH'!$H:$H)</f>
        <v xml:space="preserve">Residential House High Income Old Space heating Building enveloppe IECC 2009 </v>
      </c>
      <c r="E162" t="str">
        <f t="shared" si="6"/>
        <v>TJ</v>
      </c>
      <c r="F162" t="str">
        <f t="shared" si="7"/>
        <v>MW</v>
      </c>
    </row>
    <row r="163" spans="2:6" x14ac:dyDescent="0.25">
      <c r="B163" t="str">
        <f>IF('RET TECH'!N128=1,"PRE","*")</f>
        <v>PRE</v>
      </c>
      <c r="C163" t="str">
        <f>'RET TECH'!M128</f>
        <v>RESHOUHIOldSCENVESTAR20</v>
      </c>
      <c r="D163" t="str">
        <f>_xlfn.XLOOKUP(C163,'RET TECH'!$M:$M,'RET TECH'!$A:$A)&amp;" "&amp;_xlfn.XLOOKUP(C163,'RET TECH'!$M:$M,'RET TECH'!$B:$B)&amp;" "&amp;_xlfn.XLOOKUP(C163,'RET TECH'!$M:$M,'RET TECH'!$C:$C)&amp;" "&amp;_xlfn.XLOOKUP(C163,'RET TECH'!$M:$M,'RET TECH'!$D:$D)&amp;" "&amp;_xlfn.XLOOKUP(C163,'RET TECH'!$M:$M,'RET TECH'!$E:$E)&amp;" "&amp;_xlfn.XLOOKUP(C163,'RET TECH'!$M:$M,'RET TECH'!$F:$F)&amp;" "&amp;_xlfn.XLOOKUP(C163,'RET TECH'!$M:$M,'RET TECH'!$G:$G)&amp;" "&amp;_xlfn.XLOOKUP(C163,'RET TECH'!$M:$M,'RET TECH'!$H:$H)</f>
        <v xml:space="preserve">Residential House High Income Old Space cooling Building enveloppe ENERGY STAR </v>
      </c>
      <c r="E163" t="str">
        <f t="shared" si="6"/>
        <v>TJ</v>
      </c>
      <c r="F163" t="str">
        <f t="shared" si="7"/>
        <v>MW</v>
      </c>
    </row>
    <row r="164" spans="2:6" x14ac:dyDescent="0.25">
      <c r="B164" t="str">
        <f>IF('RET TECH'!N129=1,"PRE","*")</f>
        <v>PRE</v>
      </c>
      <c r="C164" t="str">
        <f>'RET TECH'!M129</f>
        <v>RESHOUHIOldSCENVPATH20</v>
      </c>
      <c r="D164" t="str">
        <f>_xlfn.XLOOKUP(C164,'RET TECH'!$M:$M,'RET TECH'!$A:$A)&amp;" "&amp;_xlfn.XLOOKUP(C164,'RET TECH'!$M:$M,'RET TECH'!$B:$B)&amp;" "&amp;_xlfn.XLOOKUP(C164,'RET TECH'!$M:$M,'RET TECH'!$C:$C)&amp;" "&amp;_xlfn.XLOOKUP(C164,'RET TECH'!$M:$M,'RET TECH'!$D:$D)&amp;" "&amp;_xlfn.XLOOKUP(C164,'RET TECH'!$M:$M,'RET TECH'!$E:$E)&amp;" "&amp;_xlfn.XLOOKUP(C164,'RET TECH'!$M:$M,'RET TECH'!$F:$F)&amp;" "&amp;_xlfn.XLOOKUP(C164,'RET TECH'!$M:$M,'RET TECH'!$G:$G)&amp;" "&amp;_xlfn.XLOOKUP(C164,'RET TECH'!$M:$M,'RET TECH'!$H:$H)</f>
        <v xml:space="preserve">Residential House High Income Old Space cooling Building enveloppe PATH </v>
      </c>
      <c r="E164" t="str">
        <f t="shared" si="6"/>
        <v>TJ</v>
      </c>
      <c r="F164" t="str">
        <f t="shared" si="7"/>
        <v>MW</v>
      </c>
    </row>
    <row r="165" spans="2:6" x14ac:dyDescent="0.25">
      <c r="B165" t="str">
        <f>IF('RET TECH'!N130=1,"PRE","*")</f>
        <v>PRE</v>
      </c>
      <c r="C165" t="str">
        <f>'RET TECH'!M130</f>
        <v>RESHOUHIOldSCENVIECC4020</v>
      </c>
      <c r="D165" t="str">
        <f>_xlfn.XLOOKUP(C165,'RET TECH'!$M:$M,'RET TECH'!$A:$A)&amp;" "&amp;_xlfn.XLOOKUP(C165,'RET TECH'!$M:$M,'RET TECH'!$B:$B)&amp;" "&amp;_xlfn.XLOOKUP(C165,'RET TECH'!$M:$M,'RET TECH'!$C:$C)&amp;" "&amp;_xlfn.XLOOKUP(C165,'RET TECH'!$M:$M,'RET TECH'!$D:$D)&amp;" "&amp;_xlfn.XLOOKUP(C165,'RET TECH'!$M:$M,'RET TECH'!$E:$E)&amp;" "&amp;_xlfn.XLOOKUP(C165,'RET TECH'!$M:$M,'RET TECH'!$F:$F)&amp;" "&amp;_xlfn.XLOOKUP(C165,'RET TECH'!$M:$M,'RET TECH'!$G:$G)&amp;" "&amp;_xlfn.XLOOKUP(C165,'RET TECH'!$M:$M,'RET TECH'!$H:$H)</f>
        <v xml:space="preserve">Residential House High Income Old Space cooling Building enveloppe IECC 2009 +40% </v>
      </c>
      <c r="E165" t="str">
        <f t="shared" si="6"/>
        <v>TJ</v>
      </c>
      <c r="F165" t="str">
        <f t="shared" si="7"/>
        <v>MW</v>
      </c>
    </row>
    <row r="166" spans="2:6" x14ac:dyDescent="0.25">
      <c r="B166" t="str">
        <f>IF('RET TECH'!N131=1,"PRE","*")</f>
        <v>PRE</v>
      </c>
      <c r="C166" t="str">
        <f>'RET TECH'!M131</f>
        <v>RESHOUHIOldSCENVIECC20</v>
      </c>
      <c r="D166" t="str">
        <f>_xlfn.XLOOKUP(C166,'RET TECH'!$M:$M,'RET TECH'!$A:$A)&amp;" "&amp;_xlfn.XLOOKUP(C166,'RET TECH'!$M:$M,'RET TECH'!$B:$B)&amp;" "&amp;_xlfn.XLOOKUP(C166,'RET TECH'!$M:$M,'RET TECH'!$C:$C)&amp;" "&amp;_xlfn.XLOOKUP(C166,'RET TECH'!$M:$M,'RET TECH'!$D:$D)&amp;" "&amp;_xlfn.XLOOKUP(C166,'RET TECH'!$M:$M,'RET TECH'!$E:$E)&amp;" "&amp;_xlfn.XLOOKUP(C166,'RET TECH'!$M:$M,'RET TECH'!$F:$F)&amp;" "&amp;_xlfn.XLOOKUP(C166,'RET TECH'!$M:$M,'RET TECH'!$G:$G)&amp;" "&amp;_xlfn.XLOOKUP(C166,'RET TECH'!$M:$M,'RET TECH'!$H:$H)</f>
        <v xml:space="preserve">Residential House High Income Old Space cooling Building enveloppe IECC 2009 </v>
      </c>
      <c r="E166" t="str">
        <f t="shared" ref="E166:E197" si="8">IF(F166="*","*",IF(F166="Mlma","Mlm","TJ"))</f>
        <v>TJ</v>
      </c>
      <c r="F166" t="str">
        <f t="shared" si="7"/>
        <v>MW</v>
      </c>
    </row>
    <row r="3347" spans="3:6" x14ac:dyDescent="0.25">
      <c r="C3347">
        <f>'RET TECH'!M3312</f>
        <v>0</v>
      </c>
      <c r="D3347" t="str">
        <f>'RET TECH'!A3312&amp;" "&amp;'RET TECH'!B3312&amp;" "&amp;'RET TECH'!C3312&amp;" "&amp;'RET TECH'!D3312&amp;" "&amp;'RET TECH'!E3312&amp;" "&amp;'RET TECH'!F3312&amp;" "&amp;'RET TECH'!G3312&amp;" "&amp;'RET TECH'!H3312</f>
        <v xml:space="preserve">       </v>
      </c>
      <c r="E3347" t="str">
        <f t="shared" ref="E3347:E3352" si="9">IF(F3347="Mlma","Mlm","TJ")</f>
        <v>TJ</v>
      </c>
      <c r="F3347">
        <f>'RET TECH'!Q3312</f>
        <v>0</v>
      </c>
    </row>
    <row r="3348" spans="3:6" x14ac:dyDescent="0.25">
      <c r="C3348">
        <f>'RET TECH'!M3313</f>
        <v>0</v>
      </c>
      <c r="D3348" t="str">
        <f>'RET TECH'!A3313&amp;" "&amp;'RET TECH'!B3313&amp;" "&amp;'RET TECH'!C3313&amp;" "&amp;'RET TECH'!D3313&amp;" "&amp;'RET TECH'!E3313&amp;" "&amp;'RET TECH'!F3313&amp;" "&amp;'RET TECH'!G3313&amp;" "&amp;'RET TECH'!H3313</f>
        <v xml:space="preserve">       </v>
      </c>
      <c r="E3348" t="str">
        <f t="shared" si="9"/>
        <v>TJ</v>
      </c>
      <c r="F3348">
        <f>'RET TECH'!Q3313</f>
        <v>0</v>
      </c>
    </row>
    <row r="3349" spans="3:6" x14ac:dyDescent="0.25">
      <c r="C3349">
        <f>'RET TECH'!M3314</f>
        <v>0</v>
      </c>
      <c r="D3349" t="str">
        <f>'RET TECH'!A3314&amp;" "&amp;'RET TECH'!B3314&amp;" "&amp;'RET TECH'!C3314&amp;" "&amp;'RET TECH'!D3314&amp;" "&amp;'RET TECH'!E3314&amp;" "&amp;'RET TECH'!F3314&amp;" "&amp;'RET TECH'!G3314&amp;" "&amp;'RET TECH'!H3314</f>
        <v xml:space="preserve">       </v>
      </c>
      <c r="E3349" t="str">
        <f t="shared" si="9"/>
        <v>TJ</v>
      </c>
      <c r="F3349">
        <f>'RET TECH'!Q3314</f>
        <v>0</v>
      </c>
    </row>
    <row r="3350" spans="3:6" x14ac:dyDescent="0.25">
      <c r="C3350">
        <f>'RET TECH'!M3315</f>
        <v>0</v>
      </c>
      <c r="D3350" t="str">
        <f>'RET TECH'!A3315&amp;" "&amp;'RET TECH'!B3315&amp;" "&amp;'RET TECH'!C3315&amp;" "&amp;'RET TECH'!D3315&amp;" "&amp;'RET TECH'!E3315&amp;" "&amp;'RET TECH'!F3315&amp;" "&amp;'RET TECH'!G3315&amp;" "&amp;'RET TECH'!H3315</f>
        <v xml:space="preserve">       </v>
      </c>
      <c r="E3350" t="str">
        <f t="shared" si="9"/>
        <v>TJ</v>
      </c>
      <c r="F3350">
        <f>'RET TECH'!Q3315</f>
        <v>0</v>
      </c>
    </row>
    <row r="3351" spans="3:6" x14ac:dyDescent="0.25">
      <c r="C3351">
        <f>'RET TECH'!M3316</f>
        <v>0</v>
      </c>
      <c r="D3351" t="str">
        <f>'RET TECH'!A3316&amp;" "&amp;'RET TECH'!B3316&amp;" "&amp;'RET TECH'!C3316&amp;" "&amp;'RET TECH'!D3316&amp;" "&amp;'RET TECH'!E3316&amp;" "&amp;'RET TECH'!F3316&amp;" "&amp;'RET TECH'!G3316&amp;" "&amp;'RET TECH'!H3316</f>
        <v xml:space="preserve">       </v>
      </c>
      <c r="E3351" t="str">
        <f t="shared" si="9"/>
        <v>TJ</v>
      </c>
      <c r="F3351">
        <f>'RET TECH'!Q3316</f>
        <v>0</v>
      </c>
    </row>
    <row r="3352" spans="3:6" x14ac:dyDescent="0.25">
      <c r="C3352">
        <f>'RET TECH'!M3317</f>
        <v>0</v>
      </c>
      <c r="D3352" t="str">
        <f>'RET TECH'!A3317&amp;" "&amp;'RET TECH'!B3317&amp;" "&amp;'RET TECH'!C3317&amp;" "&amp;'RET TECH'!D3317&amp;" "&amp;'RET TECH'!E3317&amp;" "&amp;'RET TECH'!F3317&amp;" "&amp;'RET TECH'!G3317&amp;" "&amp;'RET TECH'!H3317</f>
        <v xml:space="preserve">       </v>
      </c>
      <c r="E3352" t="str">
        <f t="shared" si="9"/>
        <v>TJ</v>
      </c>
      <c r="F3352">
        <f>'RET TECH'!Q3317</f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I36"/>
  <sheetViews>
    <sheetView workbookViewId="0">
      <selection activeCell="D23" sqref="D23"/>
    </sheetView>
  </sheetViews>
  <sheetFormatPr defaultRowHeight="15" x14ac:dyDescent="0.25"/>
  <cols>
    <col min="2" max="2" width="12.5703125" customWidth="1"/>
    <col min="3" max="3" width="21.28515625" bestFit="1" customWidth="1"/>
    <col min="4" max="4" width="70.28515625" bestFit="1" customWidth="1"/>
    <col min="5" max="5" width="5.28515625" bestFit="1" customWidth="1"/>
    <col min="6" max="6" width="15.7109375" customWidth="1"/>
    <col min="7" max="7" width="8.5703125" bestFit="1" customWidth="1"/>
    <col min="8" max="8" width="10.140625" customWidth="1"/>
    <col min="9" max="9" width="8.140625" bestFit="1" customWidth="1"/>
  </cols>
  <sheetData>
    <row r="2" spans="2:9" x14ac:dyDescent="0.25">
      <c r="B2" s="9" t="s">
        <v>452</v>
      </c>
    </row>
    <row r="3" spans="2:9" x14ac:dyDescent="0.25">
      <c r="B3" s="10" t="s">
        <v>453</v>
      </c>
      <c r="C3" s="10" t="s">
        <v>454</v>
      </c>
      <c r="D3" s="10" t="s">
        <v>455</v>
      </c>
      <c r="E3" s="10" t="s">
        <v>311</v>
      </c>
      <c r="F3" s="10" t="s">
        <v>456</v>
      </c>
      <c r="G3" s="10" t="s">
        <v>457</v>
      </c>
      <c r="H3" s="10" t="s">
        <v>458</v>
      </c>
      <c r="I3" s="10" t="s">
        <v>459</v>
      </c>
    </row>
    <row r="4" spans="2:9" ht="40.9" customHeight="1" thickBot="1" x14ac:dyDescent="0.3">
      <c r="B4" s="11" t="s">
        <v>460</v>
      </c>
      <c r="C4" s="11" t="s">
        <v>461</v>
      </c>
      <c r="D4" s="11" t="s">
        <v>462</v>
      </c>
      <c r="E4" s="11" t="s">
        <v>311</v>
      </c>
      <c r="F4" s="11" t="s">
        <v>463</v>
      </c>
      <c r="G4" s="11" t="s">
        <v>464</v>
      </c>
      <c r="H4" s="11" t="s">
        <v>465</v>
      </c>
      <c r="I4" s="11" t="s">
        <v>466</v>
      </c>
    </row>
    <row r="5" spans="2:9" x14ac:dyDescent="0.25">
      <c r="C5" t="str">
        <f t="array" ref="C5:C36">_xlfn._xlws.FILTER(_xlfn.UNIQUE('RET TECH'!K3:K131),_xlfn.UNIQUE('RET TECH'!K3:K131)&lt;&gt;0,"")</f>
        <v>RESAPALONewSHRET</v>
      </c>
      <c r="D5" t="str">
        <f>_xlfn.XLOOKUP(C5,'RET TECH'!K:K,'RET TECH'!B:B)&amp;" "&amp;_xlfn.XLOOKUP(C5,'RET TECH'!K:K,'RET TECH'!C:C)&amp;" "&amp;_xlfn.XLOOKUP(C5,'RET TECH'!K:K,'RET TECH'!D:D)&amp;" "&amp;_xlfn.XLOOKUP(C5,'RET TECH'!K:K,'RET TECH'!E:E)&amp;" Retrofit potential"</f>
        <v>Apartment Low Income New Space heating Retrofit potential</v>
      </c>
      <c r="E5" t="s">
        <v>315</v>
      </c>
    </row>
    <row r="6" spans="2:9" x14ac:dyDescent="0.25">
      <c r="C6" t="str">
        <v>RESAPALONewSCRET</v>
      </c>
      <c r="D6" t="str">
        <f>_xlfn.XLOOKUP(C6,'RET TECH'!K:K,'RET TECH'!B:B)&amp;" "&amp;_xlfn.XLOOKUP(C6,'RET TECH'!K:K,'RET TECH'!C:C)&amp;" "&amp;_xlfn.XLOOKUP(C6,'RET TECH'!K:K,'RET TECH'!D:D)&amp;" "&amp;_xlfn.XLOOKUP(C6,'RET TECH'!K:K,'RET TECH'!E:E)&amp;" Retrofit potential"</f>
        <v>Apartment Low Income New Space cooling Retrofit potential</v>
      </c>
      <c r="E6" t="s">
        <v>315</v>
      </c>
    </row>
    <row r="7" spans="2:9" x14ac:dyDescent="0.25">
      <c r="C7" t="str">
        <v>RESHOULONewSHRET</v>
      </c>
      <c r="D7" t="str">
        <f>_xlfn.XLOOKUP(C7,'RET TECH'!K:K,'RET TECH'!B:B)&amp;" "&amp;_xlfn.XLOOKUP(C7,'RET TECH'!K:K,'RET TECH'!C:C)&amp;" "&amp;_xlfn.XLOOKUP(C7,'RET TECH'!K:K,'RET TECH'!D:D)&amp;" "&amp;_xlfn.XLOOKUP(C7,'RET TECH'!K:K,'RET TECH'!E:E)&amp;" Retrofit potential"</f>
        <v>House Low Income New Space heating Retrofit potential</v>
      </c>
      <c r="E7" t="s">
        <v>315</v>
      </c>
    </row>
    <row r="8" spans="2:9" x14ac:dyDescent="0.25">
      <c r="C8" t="str">
        <v>RESHOULONewSCRET</v>
      </c>
      <c r="D8" t="str">
        <f>_xlfn.XLOOKUP(C8,'RET TECH'!K:K,'RET TECH'!B:B)&amp;" "&amp;_xlfn.XLOOKUP(C8,'RET TECH'!K:K,'RET TECH'!C:C)&amp;" "&amp;_xlfn.XLOOKUP(C8,'RET TECH'!K:K,'RET TECH'!D:D)&amp;" "&amp;_xlfn.XLOOKUP(C8,'RET TECH'!K:K,'RET TECH'!E:E)&amp;" Retrofit potential"</f>
        <v>House Low Income New Space cooling Retrofit potential</v>
      </c>
      <c r="E8" t="s">
        <v>315</v>
      </c>
    </row>
    <row r="9" spans="2:9" x14ac:dyDescent="0.25">
      <c r="C9" t="str">
        <v>RESAPALMNewSHRET</v>
      </c>
      <c r="D9" t="str">
        <f>_xlfn.XLOOKUP(C9,'RET TECH'!K:K,'RET TECH'!B:B)&amp;" "&amp;_xlfn.XLOOKUP(C9,'RET TECH'!K:K,'RET TECH'!C:C)&amp;" "&amp;_xlfn.XLOOKUP(C9,'RET TECH'!K:K,'RET TECH'!D:D)&amp;" "&amp;_xlfn.XLOOKUP(C9,'RET TECH'!K:K,'RET TECH'!E:E)&amp;" Retrofit potential"</f>
        <v>Apartment Lower-middle Income New Space heating Retrofit potential</v>
      </c>
      <c r="E9" t="s">
        <v>315</v>
      </c>
    </row>
    <row r="10" spans="2:9" x14ac:dyDescent="0.25">
      <c r="C10" t="str">
        <v>RESAPALMNewSCRET</v>
      </c>
      <c r="D10" t="str">
        <f>_xlfn.XLOOKUP(C10,'RET TECH'!K:K,'RET TECH'!B:B)&amp;" "&amp;_xlfn.XLOOKUP(C10,'RET TECH'!K:K,'RET TECH'!C:C)&amp;" "&amp;_xlfn.XLOOKUP(C10,'RET TECH'!K:K,'RET TECH'!D:D)&amp;" "&amp;_xlfn.XLOOKUP(C10,'RET TECH'!K:K,'RET TECH'!E:E)&amp;" Retrofit potential"</f>
        <v>Apartment Lower-middle Income New Space cooling Retrofit potential</v>
      </c>
      <c r="E10" t="s">
        <v>315</v>
      </c>
    </row>
    <row r="11" spans="2:9" x14ac:dyDescent="0.25">
      <c r="C11" t="str">
        <v>RESHOULMNewSHRET</v>
      </c>
      <c r="D11" t="str">
        <f>_xlfn.XLOOKUP(C11,'RET TECH'!K:K,'RET TECH'!B:B)&amp;" "&amp;_xlfn.XLOOKUP(C11,'RET TECH'!K:K,'RET TECH'!C:C)&amp;" "&amp;_xlfn.XLOOKUP(C11,'RET TECH'!K:K,'RET TECH'!D:D)&amp;" "&amp;_xlfn.XLOOKUP(C11,'RET TECH'!K:K,'RET TECH'!E:E)&amp;" Retrofit potential"</f>
        <v>House Lower-middle Income New Space heating Retrofit potential</v>
      </c>
      <c r="E11" t="s">
        <v>315</v>
      </c>
    </row>
    <row r="12" spans="2:9" x14ac:dyDescent="0.25">
      <c r="C12" t="str">
        <v>RESHOULMNewSCRET</v>
      </c>
      <c r="D12" t="str">
        <f>_xlfn.XLOOKUP(C12,'RET TECH'!K:K,'RET TECH'!B:B)&amp;" "&amp;_xlfn.XLOOKUP(C12,'RET TECH'!K:K,'RET TECH'!C:C)&amp;" "&amp;_xlfn.XLOOKUP(C12,'RET TECH'!K:K,'RET TECH'!D:D)&amp;" "&amp;_xlfn.XLOOKUP(C12,'RET TECH'!K:K,'RET TECH'!E:E)&amp;" Retrofit potential"</f>
        <v>House Lower-middle Income New Space cooling Retrofit potential</v>
      </c>
      <c r="E12" t="s">
        <v>315</v>
      </c>
    </row>
    <row r="13" spans="2:9" x14ac:dyDescent="0.25">
      <c r="C13" t="str">
        <v>RESAPAUMNewSHRET</v>
      </c>
      <c r="D13" t="str">
        <f>_xlfn.XLOOKUP(C13,'RET TECH'!K:K,'RET TECH'!B:B)&amp;" "&amp;_xlfn.XLOOKUP(C13,'RET TECH'!K:K,'RET TECH'!C:C)&amp;" "&amp;_xlfn.XLOOKUP(C13,'RET TECH'!K:K,'RET TECH'!D:D)&amp;" "&amp;_xlfn.XLOOKUP(C13,'RET TECH'!K:K,'RET TECH'!E:E)&amp;" Retrofit potential"</f>
        <v>Apartment Upper-middle Income New Space heating Retrofit potential</v>
      </c>
      <c r="E13" t="s">
        <v>315</v>
      </c>
    </row>
    <row r="14" spans="2:9" x14ac:dyDescent="0.25">
      <c r="C14" t="str">
        <v>RESAPAUMNewSCRET</v>
      </c>
      <c r="D14" t="str">
        <f>_xlfn.XLOOKUP(C14,'RET TECH'!K:K,'RET TECH'!B:B)&amp;" "&amp;_xlfn.XLOOKUP(C14,'RET TECH'!K:K,'RET TECH'!C:C)&amp;" "&amp;_xlfn.XLOOKUP(C14,'RET TECH'!K:K,'RET TECH'!D:D)&amp;" "&amp;_xlfn.XLOOKUP(C14,'RET TECH'!K:K,'RET TECH'!E:E)&amp;" Retrofit potential"</f>
        <v>Apartment Upper-middle Income New Space cooling Retrofit potential</v>
      </c>
      <c r="E14" t="s">
        <v>315</v>
      </c>
    </row>
    <row r="15" spans="2:9" x14ac:dyDescent="0.25">
      <c r="C15" t="str">
        <v>RESHOUUMNewSHRET</v>
      </c>
      <c r="D15" t="str">
        <f>_xlfn.XLOOKUP(C15,'RET TECH'!K:K,'RET TECH'!B:B)&amp;" "&amp;_xlfn.XLOOKUP(C15,'RET TECH'!K:K,'RET TECH'!C:C)&amp;" "&amp;_xlfn.XLOOKUP(C15,'RET TECH'!K:K,'RET TECH'!D:D)&amp;" "&amp;_xlfn.XLOOKUP(C15,'RET TECH'!K:K,'RET TECH'!E:E)&amp;" Retrofit potential"</f>
        <v>House Upper-middle Income New Space heating Retrofit potential</v>
      </c>
      <c r="E15" t="s">
        <v>315</v>
      </c>
    </row>
    <row r="16" spans="2:9" x14ac:dyDescent="0.25">
      <c r="C16" t="str">
        <v>RESHOUUMNewSCRET</v>
      </c>
      <c r="D16" t="str">
        <f>_xlfn.XLOOKUP(C16,'RET TECH'!K:K,'RET TECH'!B:B)&amp;" "&amp;_xlfn.XLOOKUP(C16,'RET TECH'!K:K,'RET TECH'!C:C)&amp;" "&amp;_xlfn.XLOOKUP(C16,'RET TECH'!K:K,'RET TECH'!D:D)&amp;" "&amp;_xlfn.XLOOKUP(C16,'RET TECH'!K:K,'RET TECH'!E:E)&amp;" Retrofit potential"</f>
        <v>House Upper-middle Income New Space cooling Retrofit potential</v>
      </c>
      <c r="E16" t="s">
        <v>315</v>
      </c>
    </row>
    <row r="17" spans="3:5" x14ac:dyDescent="0.25">
      <c r="C17" t="str">
        <v>RESAPAHINewSHRET</v>
      </c>
      <c r="D17" t="str">
        <f>_xlfn.XLOOKUP(C17,'RET TECH'!K:K,'RET TECH'!B:B)&amp;" "&amp;_xlfn.XLOOKUP(C17,'RET TECH'!K:K,'RET TECH'!C:C)&amp;" "&amp;_xlfn.XLOOKUP(C17,'RET TECH'!K:K,'RET TECH'!D:D)&amp;" "&amp;_xlfn.XLOOKUP(C17,'RET TECH'!K:K,'RET TECH'!E:E)&amp;" Retrofit potential"</f>
        <v>Apartment High Income New Space heating Retrofit potential</v>
      </c>
      <c r="E17" t="s">
        <v>315</v>
      </c>
    </row>
    <row r="18" spans="3:5" x14ac:dyDescent="0.25">
      <c r="C18" t="str">
        <v>RESAPAHINewSCRET</v>
      </c>
      <c r="D18" t="str">
        <f>_xlfn.XLOOKUP(C18,'RET TECH'!K:K,'RET TECH'!B:B)&amp;" "&amp;_xlfn.XLOOKUP(C18,'RET TECH'!K:K,'RET TECH'!C:C)&amp;" "&amp;_xlfn.XLOOKUP(C18,'RET TECH'!K:K,'RET TECH'!D:D)&amp;" "&amp;_xlfn.XLOOKUP(C18,'RET TECH'!K:K,'RET TECH'!E:E)&amp;" Retrofit potential"</f>
        <v>Apartment High Income New Space cooling Retrofit potential</v>
      </c>
      <c r="E18" t="s">
        <v>315</v>
      </c>
    </row>
    <row r="19" spans="3:5" x14ac:dyDescent="0.25">
      <c r="C19" t="str">
        <v>RESHOUHINewSHRET</v>
      </c>
      <c r="D19" t="str">
        <f>_xlfn.XLOOKUP(C19,'RET TECH'!K:K,'RET TECH'!B:B)&amp;" "&amp;_xlfn.XLOOKUP(C19,'RET TECH'!K:K,'RET TECH'!C:C)&amp;" "&amp;_xlfn.XLOOKUP(C19,'RET TECH'!K:K,'RET TECH'!D:D)&amp;" "&amp;_xlfn.XLOOKUP(C19,'RET TECH'!K:K,'RET TECH'!E:E)&amp;" Retrofit potential"</f>
        <v>House High Income New Space heating Retrofit potential</v>
      </c>
      <c r="E19" t="s">
        <v>315</v>
      </c>
    </row>
    <row r="20" spans="3:5" x14ac:dyDescent="0.25">
      <c r="C20" t="str">
        <v>RESHOUHINewSCRET</v>
      </c>
      <c r="D20" t="str">
        <f>_xlfn.XLOOKUP(C20,'RET TECH'!K:K,'RET TECH'!B:B)&amp;" "&amp;_xlfn.XLOOKUP(C20,'RET TECH'!K:K,'RET TECH'!C:C)&amp;" "&amp;_xlfn.XLOOKUP(C20,'RET TECH'!K:K,'RET TECH'!D:D)&amp;" "&amp;_xlfn.XLOOKUP(C20,'RET TECH'!K:K,'RET TECH'!E:E)&amp;" Retrofit potential"</f>
        <v>House High Income New Space cooling Retrofit potential</v>
      </c>
      <c r="E20" t="s">
        <v>315</v>
      </c>
    </row>
    <row r="21" spans="3:5" x14ac:dyDescent="0.25">
      <c r="C21" t="str">
        <v>RESAPALOOldSHRET</v>
      </c>
      <c r="D21" t="str">
        <f>_xlfn.XLOOKUP(C21,'RET TECH'!K:K,'RET TECH'!B:B)&amp;" "&amp;_xlfn.XLOOKUP(C21,'RET TECH'!K:K,'RET TECH'!C:C)&amp;" "&amp;_xlfn.XLOOKUP(C21,'RET TECH'!K:K,'RET TECH'!D:D)&amp;" "&amp;_xlfn.XLOOKUP(C21,'RET TECH'!K:K,'RET TECH'!E:E)&amp;" Retrofit potential"</f>
        <v>Apartment Low Income Old Space heating Retrofit potential</v>
      </c>
      <c r="E21" t="s">
        <v>315</v>
      </c>
    </row>
    <row r="22" spans="3:5" x14ac:dyDescent="0.25">
      <c r="C22" t="str">
        <v>RESAPALOOldSCRET</v>
      </c>
      <c r="D22" t="str">
        <f>_xlfn.XLOOKUP(C22,'RET TECH'!K:K,'RET TECH'!B:B)&amp;" "&amp;_xlfn.XLOOKUP(C22,'RET TECH'!K:K,'RET TECH'!C:C)&amp;" "&amp;_xlfn.XLOOKUP(C22,'RET TECH'!K:K,'RET TECH'!D:D)&amp;" "&amp;_xlfn.XLOOKUP(C22,'RET TECH'!K:K,'RET TECH'!E:E)&amp;" Retrofit potential"</f>
        <v>Apartment Low Income Old Space cooling Retrofit potential</v>
      </c>
      <c r="E22" t="s">
        <v>315</v>
      </c>
    </row>
    <row r="23" spans="3:5" x14ac:dyDescent="0.25">
      <c r="C23" t="str">
        <v>RESHOULOOldSHRET</v>
      </c>
      <c r="D23" t="str">
        <f>_xlfn.XLOOKUP(C23,'RET TECH'!K:K,'RET TECH'!B:B)&amp;" "&amp;_xlfn.XLOOKUP(C23,'RET TECH'!K:K,'RET TECH'!C:C)&amp;" "&amp;_xlfn.XLOOKUP(C23,'RET TECH'!K:K,'RET TECH'!D:D)&amp;" "&amp;_xlfn.XLOOKUP(C23,'RET TECH'!K:K,'RET TECH'!E:E)&amp;" Retrofit potential"</f>
        <v>House Low Income Old Space heating Retrofit potential</v>
      </c>
      <c r="E23" t="s">
        <v>315</v>
      </c>
    </row>
    <row r="24" spans="3:5" x14ac:dyDescent="0.25">
      <c r="C24" t="str">
        <v>RESHOULOOldSCRET</v>
      </c>
      <c r="D24" t="str">
        <f>_xlfn.XLOOKUP(C24,'RET TECH'!K:K,'RET TECH'!B:B)&amp;" "&amp;_xlfn.XLOOKUP(C24,'RET TECH'!K:K,'RET TECH'!C:C)&amp;" "&amp;_xlfn.XLOOKUP(C24,'RET TECH'!K:K,'RET TECH'!D:D)&amp;" "&amp;_xlfn.XLOOKUP(C24,'RET TECH'!K:K,'RET TECH'!E:E)&amp;" Retrofit potential"</f>
        <v>House Low Income Old Space cooling Retrofit potential</v>
      </c>
      <c r="E24" t="s">
        <v>315</v>
      </c>
    </row>
    <row r="25" spans="3:5" x14ac:dyDescent="0.25">
      <c r="C25" t="str">
        <v>RESAPALMOldSHRET</v>
      </c>
      <c r="D25" t="str">
        <f>_xlfn.XLOOKUP(C25,'RET TECH'!K:K,'RET TECH'!B:B)&amp;" "&amp;_xlfn.XLOOKUP(C25,'RET TECH'!K:K,'RET TECH'!C:C)&amp;" "&amp;_xlfn.XLOOKUP(C25,'RET TECH'!K:K,'RET TECH'!D:D)&amp;" "&amp;_xlfn.XLOOKUP(C25,'RET TECH'!K:K,'RET TECH'!E:E)&amp;" Retrofit potential"</f>
        <v>Apartment Lower-middle Income Old Space heating Retrofit potential</v>
      </c>
      <c r="E25" t="s">
        <v>315</v>
      </c>
    </row>
    <row r="26" spans="3:5" x14ac:dyDescent="0.25">
      <c r="C26" t="str">
        <v>RESAPALMOldSCRET</v>
      </c>
      <c r="D26" t="str">
        <f>_xlfn.XLOOKUP(C26,'RET TECH'!K:K,'RET TECH'!B:B)&amp;" "&amp;_xlfn.XLOOKUP(C26,'RET TECH'!K:K,'RET TECH'!C:C)&amp;" "&amp;_xlfn.XLOOKUP(C26,'RET TECH'!K:K,'RET TECH'!D:D)&amp;" "&amp;_xlfn.XLOOKUP(C26,'RET TECH'!K:K,'RET TECH'!E:E)&amp;" Retrofit potential"</f>
        <v>Apartment Lower-middle Income Old Space cooling Retrofit potential</v>
      </c>
      <c r="E26" t="s">
        <v>315</v>
      </c>
    </row>
    <row r="27" spans="3:5" x14ac:dyDescent="0.25">
      <c r="C27" t="str">
        <v>RESHOULMOldSHRET</v>
      </c>
      <c r="D27" t="str">
        <f>_xlfn.XLOOKUP(C27,'RET TECH'!K:K,'RET TECH'!B:B)&amp;" "&amp;_xlfn.XLOOKUP(C27,'RET TECH'!K:K,'RET TECH'!C:C)&amp;" "&amp;_xlfn.XLOOKUP(C27,'RET TECH'!K:K,'RET TECH'!D:D)&amp;" "&amp;_xlfn.XLOOKUP(C27,'RET TECH'!K:K,'RET TECH'!E:E)&amp;" Retrofit potential"</f>
        <v>House Lower-middle Income Old Space heating Retrofit potential</v>
      </c>
      <c r="E27" t="s">
        <v>315</v>
      </c>
    </row>
    <row r="28" spans="3:5" x14ac:dyDescent="0.25">
      <c r="C28" t="str">
        <v>RESHOULMOldSCRET</v>
      </c>
      <c r="D28" t="str">
        <f>_xlfn.XLOOKUP(C28,'RET TECH'!K:K,'RET TECH'!B:B)&amp;" "&amp;_xlfn.XLOOKUP(C28,'RET TECH'!K:K,'RET TECH'!C:C)&amp;" "&amp;_xlfn.XLOOKUP(C28,'RET TECH'!K:K,'RET TECH'!D:D)&amp;" "&amp;_xlfn.XLOOKUP(C28,'RET TECH'!K:K,'RET TECH'!E:E)&amp;" Retrofit potential"</f>
        <v>House Lower-middle Income Old Space cooling Retrofit potential</v>
      </c>
      <c r="E28" t="s">
        <v>315</v>
      </c>
    </row>
    <row r="29" spans="3:5" x14ac:dyDescent="0.25">
      <c r="C29" t="str">
        <v>RESAPAUMOldSHRET</v>
      </c>
      <c r="D29" t="str">
        <f>_xlfn.XLOOKUP(C29,'RET TECH'!K:K,'RET TECH'!B:B)&amp;" "&amp;_xlfn.XLOOKUP(C29,'RET TECH'!K:K,'RET TECH'!C:C)&amp;" "&amp;_xlfn.XLOOKUP(C29,'RET TECH'!K:K,'RET TECH'!D:D)&amp;" "&amp;_xlfn.XLOOKUP(C29,'RET TECH'!K:K,'RET TECH'!E:E)&amp;" Retrofit potential"</f>
        <v>Apartment Upper-middle Income Old Space heating Retrofit potential</v>
      </c>
      <c r="E29" t="s">
        <v>315</v>
      </c>
    </row>
    <row r="30" spans="3:5" x14ac:dyDescent="0.25">
      <c r="C30" t="str">
        <v>RESAPAUMOldSCRET</v>
      </c>
      <c r="D30" t="str">
        <f>_xlfn.XLOOKUP(C30,'RET TECH'!K:K,'RET TECH'!B:B)&amp;" "&amp;_xlfn.XLOOKUP(C30,'RET TECH'!K:K,'RET TECH'!C:C)&amp;" "&amp;_xlfn.XLOOKUP(C30,'RET TECH'!K:K,'RET TECH'!D:D)&amp;" "&amp;_xlfn.XLOOKUP(C30,'RET TECH'!K:K,'RET TECH'!E:E)&amp;" Retrofit potential"</f>
        <v>Apartment Upper-middle Income Old Space cooling Retrofit potential</v>
      </c>
      <c r="E30" t="s">
        <v>315</v>
      </c>
    </row>
    <row r="31" spans="3:5" x14ac:dyDescent="0.25">
      <c r="C31" t="str">
        <v>RESHOUUMOldSHRET</v>
      </c>
      <c r="D31" t="str">
        <f>_xlfn.XLOOKUP(C31,'RET TECH'!K:K,'RET TECH'!B:B)&amp;" "&amp;_xlfn.XLOOKUP(C31,'RET TECH'!K:K,'RET TECH'!C:C)&amp;" "&amp;_xlfn.XLOOKUP(C31,'RET TECH'!K:K,'RET TECH'!D:D)&amp;" "&amp;_xlfn.XLOOKUP(C31,'RET TECH'!K:K,'RET TECH'!E:E)&amp;" Retrofit potential"</f>
        <v>House Upper-middle Income Old Space heating Retrofit potential</v>
      </c>
      <c r="E31" t="s">
        <v>315</v>
      </c>
    </row>
    <row r="32" spans="3:5" x14ac:dyDescent="0.25">
      <c r="C32" t="str">
        <v>RESHOUUMOldSCRET</v>
      </c>
      <c r="D32" t="str">
        <f>_xlfn.XLOOKUP(C32,'RET TECH'!K:K,'RET TECH'!B:B)&amp;" "&amp;_xlfn.XLOOKUP(C32,'RET TECH'!K:K,'RET TECH'!C:C)&amp;" "&amp;_xlfn.XLOOKUP(C32,'RET TECH'!K:K,'RET TECH'!D:D)&amp;" "&amp;_xlfn.XLOOKUP(C32,'RET TECH'!K:K,'RET TECH'!E:E)&amp;" Retrofit potential"</f>
        <v>House Upper-middle Income Old Space cooling Retrofit potential</v>
      </c>
      <c r="E32" t="s">
        <v>315</v>
      </c>
    </row>
    <row r="33" spans="3:5" x14ac:dyDescent="0.25">
      <c r="C33" t="str">
        <v>RESAPAHIOldSHRET</v>
      </c>
      <c r="D33" t="str">
        <f>_xlfn.XLOOKUP(C33,'RET TECH'!K:K,'RET TECH'!B:B)&amp;" "&amp;_xlfn.XLOOKUP(C33,'RET TECH'!K:K,'RET TECH'!C:C)&amp;" "&amp;_xlfn.XLOOKUP(C33,'RET TECH'!K:K,'RET TECH'!D:D)&amp;" "&amp;_xlfn.XLOOKUP(C33,'RET TECH'!K:K,'RET TECH'!E:E)&amp;" Retrofit potential"</f>
        <v>Apartment High Income Old Space heating Retrofit potential</v>
      </c>
      <c r="E33" t="s">
        <v>315</v>
      </c>
    </row>
    <row r="34" spans="3:5" x14ac:dyDescent="0.25">
      <c r="C34" t="str">
        <v>RESAPAHIOldSCRET</v>
      </c>
      <c r="D34" t="str">
        <f>_xlfn.XLOOKUP(C34,'RET TECH'!K:K,'RET TECH'!B:B)&amp;" "&amp;_xlfn.XLOOKUP(C34,'RET TECH'!K:K,'RET TECH'!C:C)&amp;" "&amp;_xlfn.XLOOKUP(C34,'RET TECH'!K:K,'RET TECH'!D:D)&amp;" "&amp;_xlfn.XLOOKUP(C34,'RET TECH'!K:K,'RET TECH'!E:E)&amp;" Retrofit potential"</f>
        <v>Apartment High Income Old Space cooling Retrofit potential</v>
      </c>
      <c r="E34" t="s">
        <v>315</v>
      </c>
    </row>
    <row r="35" spans="3:5" x14ac:dyDescent="0.25">
      <c r="C35" t="str">
        <v>RESHOUHIOldSHRET</v>
      </c>
      <c r="D35" t="str">
        <f>_xlfn.XLOOKUP(C35,'RET TECH'!K:K,'RET TECH'!B:B)&amp;" "&amp;_xlfn.XLOOKUP(C35,'RET TECH'!K:K,'RET TECH'!C:C)&amp;" "&amp;_xlfn.XLOOKUP(C35,'RET TECH'!K:K,'RET TECH'!D:D)&amp;" "&amp;_xlfn.XLOOKUP(C35,'RET TECH'!K:K,'RET TECH'!E:E)&amp;" Retrofit potential"</f>
        <v>House High Income Old Space heating Retrofit potential</v>
      </c>
      <c r="E35" t="s">
        <v>315</v>
      </c>
    </row>
    <row r="36" spans="3:5" x14ac:dyDescent="0.25">
      <c r="C36" t="str">
        <v>RESHOUHIOldSCRET</v>
      </c>
      <c r="D36" t="str">
        <f>_xlfn.XLOOKUP(C36,'RET TECH'!K:K,'RET TECH'!B:B)&amp;" "&amp;_xlfn.XLOOKUP(C36,'RET TECH'!K:K,'RET TECH'!C:C)&amp;" "&amp;_xlfn.XLOOKUP(C36,'RET TECH'!K:K,'RET TECH'!D:D)&amp;" "&amp;_xlfn.XLOOKUP(C36,'RET TECH'!K:K,'RET TECH'!E:E)&amp;" Retrofit potential"</f>
        <v>House High Income Old Space cooling Retrofit potential</v>
      </c>
      <c r="E36" t="s">
        <v>315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2:AG3442"/>
  <sheetViews>
    <sheetView zoomScale="85" zoomScaleNormal="85" workbookViewId="0">
      <selection activeCell="AA8" sqref="AA8"/>
    </sheetView>
  </sheetViews>
  <sheetFormatPr defaultRowHeight="15" x14ac:dyDescent="0.25"/>
  <cols>
    <col min="2" max="2" width="24.42578125" bestFit="1" customWidth="1"/>
    <col min="3" max="3" width="20.7109375" bestFit="1" customWidth="1"/>
    <col min="4" max="4" width="10.7109375" bestFit="1" customWidth="1"/>
    <col min="5" max="5" width="9.7109375" bestFit="1" customWidth="1"/>
    <col min="6" max="21" width="9.7109375" customWidth="1"/>
    <col min="25" max="25" width="29.5703125" bestFit="1" customWidth="1"/>
    <col min="26" max="26" width="21.28515625" bestFit="1" customWidth="1"/>
    <col min="27" max="27" width="21.42578125" bestFit="1" customWidth="1"/>
    <col min="28" max="28" width="12" bestFit="1" customWidth="1"/>
    <col min="29" max="29" width="12.140625" bestFit="1" customWidth="1"/>
    <col min="30" max="30" width="7.7109375" bestFit="1" customWidth="1"/>
    <col min="31" max="31" width="13.42578125" bestFit="1" customWidth="1"/>
    <col min="32" max="32" width="10.7109375" bestFit="1" customWidth="1"/>
    <col min="33" max="33" width="12.140625" customWidth="1"/>
  </cols>
  <sheetData>
    <row r="2" spans="2:33" x14ac:dyDescent="0.25">
      <c r="E2">
        <f>Demand!G1</f>
        <v>2019</v>
      </c>
      <c r="F2">
        <f>Demand!H1</f>
        <v>2020</v>
      </c>
      <c r="G2">
        <f>Demand!I1</f>
        <v>2025</v>
      </c>
      <c r="H2">
        <f>Demand!J1</f>
        <v>2030</v>
      </c>
      <c r="I2">
        <f>Demand!K1</f>
        <v>2035</v>
      </c>
      <c r="J2">
        <f>Demand!L1</f>
        <v>2040</v>
      </c>
      <c r="K2">
        <f>Demand!M1</f>
        <v>2045</v>
      </c>
      <c r="L2">
        <f>Demand!N1</f>
        <v>2050</v>
      </c>
      <c r="M2">
        <f>Demand!O1</f>
        <v>2055</v>
      </c>
      <c r="N2">
        <f>Demand!P1</f>
        <v>2060</v>
      </c>
      <c r="O2">
        <f>Demand!Q1</f>
        <v>2065</v>
      </c>
      <c r="P2">
        <f>Demand!R1</f>
        <v>2070</v>
      </c>
      <c r="Q2">
        <f>Demand!S1</f>
        <v>2075</v>
      </c>
      <c r="R2">
        <f>Demand!T1</f>
        <v>2080</v>
      </c>
      <c r="S2">
        <f>Demand!U1</f>
        <v>2085</v>
      </c>
      <c r="T2">
        <f>Demand!V1</f>
        <v>2090</v>
      </c>
      <c r="U2">
        <f>Demand!W1</f>
        <v>2095</v>
      </c>
      <c r="V2">
        <f>Demand!X1</f>
        <v>2100</v>
      </c>
    </row>
    <row r="3" spans="2:33" x14ac:dyDescent="0.25">
      <c r="E3" t="s">
        <v>467</v>
      </c>
      <c r="F3" t="s">
        <v>467</v>
      </c>
      <c r="G3" t="s">
        <v>467</v>
      </c>
      <c r="H3" t="s">
        <v>467</v>
      </c>
      <c r="I3" t="s">
        <v>467</v>
      </c>
      <c r="J3" t="s">
        <v>467</v>
      </c>
      <c r="K3" t="s">
        <v>467</v>
      </c>
      <c r="L3" t="s">
        <v>467</v>
      </c>
      <c r="M3" t="s">
        <v>467</v>
      </c>
      <c r="N3" t="s">
        <v>467</v>
      </c>
      <c r="O3" t="s">
        <v>467</v>
      </c>
      <c r="P3" t="s">
        <v>467</v>
      </c>
      <c r="Q3" t="s">
        <v>467</v>
      </c>
      <c r="R3" t="s">
        <v>467</v>
      </c>
      <c r="S3" t="s">
        <v>467</v>
      </c>
      <c r="T3" t="s">
        <v>467</v>
      </c>
      <c r="U3" t="s">
        <v>467</v>
      </c>
      <c r="V3" t="s">
        <v>467</v>
      </c>
    </row>
    <row r="5" spans="2:33" x14ac:dyDescent="0.25">
      <c r="C5" s="9" t="s">
        <v>468</v>
      </c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AA5" s="9" t="s">
        <v>468</v>
      </c>
      <c r="AB5" s="9"/>
    </row>
    <row r="6" spans="2:33" x14ac:dyDescent="0.25">
      <c r="B6" s="10" t="s">
        <v>436</v>
      </c>
      <c r="C6" s="10" t="s">
        <v>469</v>
      </c>
      <c r="D6" s="10" t="s">
        <v>470</v>
      </c>
      <c r="E6" s="10" t="str">
        <f t="shared" ref="E6:V6" si="0">E3&amp;"~"&amp;E2</f>
        <v>ACT_BND~UP~2019</v>
      </c>
      <c r="F6" s="10" t="str">
        <f t="shared" si="0"/>
        <v>ACT_BND~UP~2020</v>
      </c>
      <c r="G6" s="10" t="str">
        <f t="shared" si="0"/>
        <v>ACT_BND~UP~2025</v>
      </c>
      <c r="H6" s="10" t="str">
        <f t="shared" si="0"/>
        <v>ACT_BND~UP~2030</v>
      </c>
      <c r="I6" s="10" t="str">
        <f t="shared" si="0"/>
        <v>ACT_BND~UP~2035</v>
      </c>
      <c r="J6" s="10" t="str">
        <f t="shared" si="0"/>
        <v>ACT_BND~UP~2040</v>
      </c>
      <c r="K6" s="10" t="str">
        <f t="shared" si="0"/>
        <v>ACT_BND~UP~2045</v>
      </c>
      <c r="L6" s="10" t="str">
        <f t="shared" si="0"/>
        <v>ACT_BND~UP~2050</v>
      </c>
      <c r="M6" s="10" t="str">
        <f t="shared" si="0"/>
        <v>ACT_BND~UP~2055</v>
      </c>
      <c r="N6" s="10" t="str">
        <f t="shared" si="0"/>
        <v>ACT_BND~UP~2060</v>
      </c>
      <c r="O6" s="10" t="str">
        <f t="shared" si="0"/>
        <v>ACT_BND~UP~2065</v>
      </c>
      <c r="P6" s="10" t="str">
        <f t="shared" si="0"/>
        <v>ACT_BND~UP~2070</v>
      </c>
      <c r="Q6" s="10" t="str">
        <f t="shared" si="0"/>
        <v>ACT_BND~UP~2075</v>
      </c>
      <c r="R6" s="10" t="str">
        <f t="shared" si="0"/>
        <v>ACT_BND~UP~2080</v>
      </c>
      <c r="S6" s="10" t="str">
        <f t="shared" si="0"/>
        <v>ACT_BND~UP~2085</v>
      </c>
      <c r="T6" s="10" t="str">
        <f t="shared" si="0"/>
        <v>ACT_BND~UP~2090</v>
      </c>
      <c r="U6" s="10" t="str">
        <f t="shared" si="0"/>
        <v>ACT_BND~UP~2095</v>
      </c>
      <c r="V6" s="10" t="str">
        <f t="shared" si="0"/>
        <v>ACT_BND~UP~2100</v>
      </c>
      <c r="Y6" s="10" t="s">
        <v>436</v>
      </c>
      <c r="Z6" s="10" t="s">
        <v>471</v>
      </c>
      <c r="AA6" s="10" t="s">
        <v>469</v>
      </c>
      <c r="AB6" s="10" t="s">
        <v>472</v>
      </c>
      <c r="AC6" s="10" t="s">
        <v>473</v>
      </c>
      <c r="AD6" s="10" t="s">
        <v>474</v>
      </c>
      <c r="AE6" s="10" t="s">
        <v>475</v>
      </c>
      <c r="AF6" s="10" t="s">
        <v>476</v>
      </c>
      <c r="AG6" s="10" t="s">
        <v>477</v>
      </c>
    </row>
    <row r="7" spans="2:33" ht="15" customHeight="1" thickBot="1" x14ac:dyDescent="0.3">
      <c r="B7" s="11" t="s">
        <v>212</v>
      </c>
      <c r="C7" s="11"/>
      <c r="D7" s="11" t="s">
        <v>478</v>
      </c>
      <c r="E7" s="11" t="s">
        <v>315</v>
      </c>
      <c r="F7" s="11" t="s">
        <v>315</v>
      </c>
      <c r="G7" s="11" t="s">
        <v>315</v>
      </c>
      <c r="H7" s="11" t="s">
        <v>315</v>
      </c>
      <c r="I7" s="11" t="s">
        <v>315</v>
      </c>
      <c r="J7" s="11" t="s">
        <v>315</v>
      </c>
      <c r="K7" s="11" t="s">
        <v>315</v>
      </c>
      <c r="L7" s="11" t="s">
        <v>315</v>
      </c>
      <c r="M7" s="11" t="s">
        <v>315</v>
      </c>
      <c r="N7" s="11" t="s">
        <v>315</v>
      </c>
      <c r="O7" s="11" t="s">
        <v>315</v>
      </c>
      <c r="P7" s="11" t="s">
        <v>315</v>
      </c>
      <c r="Q7" s="11" t="s">
        <v>315</v>
      </c>
      <c r="R7" s="11" t="s">
        <v>315</v>
      </c>
      <c r="S7" s="11" t="s">
        <v>315</v>
      </c>
      <c r="T7" s="11" t="s">
        <v>315</v>
      </c>
      <c r="U7" s="11" t="s">
        <v>315</v>
      </c>
      <c r="V7" s="11" t="s">
        <v>315</v>
      </c>
      <c r="Y7" s="11" t="s">
        <v>212</v>
      </c>
      <c r="Z7" s="11"/>
      <c r="AA7" s="11"/>
      <c r="AB7" s="11"/>
      <c r="AC7" s="11" t="s">
        <v>479</v>
      </c>
      <c r="AD7" s="11" t="s">
        <v>480</v>
      </c>
      <c r="AE7" s="11" t="s">
        <v>481</v>
      </c>
      <c r="AF7" s="11" t="s">
        <v>482</v>
      </c>
      <c r="AG7" s="11" t="s">
        <v>483</v>
      </c>
    </row>
    <row r="8" spans="2:33" x14ac:dyDescent="0.25">
      <c r="B8" t="str">
        <f>Def_Tech!C5</f>
        <v>RESAPALONewSHRETMIN</v>
      </c>
      <c r="C8" t="str">
        <f>Def_Comm!C5</f>
        <v>RESAPALONewSHRET</v>
      </c>
      <c r="D8">
        <v>1</v>
      </c>
      <c r="E8" s="8">
        <f>_xlfn.XLOOKUP(LEFT($C8,LEN($C8)-5)&amp;"DMD",Demand!$E:$E,Demand!G:G)</f>
        <v>0</v>
      </c>
      <c r="F8" s="8">
        <f>_xlfn.XLOOKUP(LEFT($C8,LEN($C8)-5)&amp;"DMD",Demand!$E:$E,Demand!H:H)</f>
        <v>0.25903938738745758</v>
      </c>
      <c r="G8" s="8">
        <f>_xlfn.XLOOKUP(LEFT($C8,LEN($C8)-5)&amp;"DMD",Demand!$E:$E,Demand!I:I)</f>
        <v>1.5542363243247459</v>
      </c>
      <c r="H8" s="8">
        <f>_xlfn.XLOOKUP(LEFT($C8,LEN($C8)-5)&amp;"DMD",Demand!$E:$E,Demand!J:J)</f>
        <v>2.8494332612620341</v>
      </c>
      <c r="I8" s="8">
        <f>_xlfn.XLOOKUP(LEFT($C8,LEN($C8)-5)&amp;"DMD",Demand!$E:$E,Demand!K:K)</f>
        <v>4.1446301981993221</v>
      </c>
      <c r="J8" s="8">
        <f>_xlfn.XLOOKUP(LEFT($C8,LEN($C8)-5)&amp;"DMD",Demand!$E:$E,Demand!L:L)</f>
        <v>5.4398271351366114</v>
      </c>
      <c r="K8" s="8">
        <f>_xlfn.XLOOKUP(LEFT($C8,LEN($C8)-5)&amp;"DMD",Demand!$E:$E,Demand!M:M)</f>
        <v>6.735024072073899</v>
      </c>
      <c r="L8" s="8">
        <f>_xlfn.XLOOKUP(LEFT($C8,LEN($C8)-5)&amp;"DMD",Demand!$E:$E,Demand!N:N)</f>
        <v>8.0302210090111874</v>
      </c>
      <c r="M8" s="8">
        <f>_xlfn.XLOOKUP(LEFT($C8,LEN($C8)-5)&amp;"DMD",Demand!$E:$E,Demand!O:O)</f>
        <v>9.325417945948475</v>
      </c>
      <c r="N8" s="8">
        <f>_xlfn.XLOOKUP(LEFT($C8,LEN($C8)-5)&amp;"DMD",Demand!$E:$E,Demand!P:P)</f>
        <v>10.620614882885761</v>
      </c>
      <c r="O8" s="8">
        <f>_xlfn.XLOOKUP(LEFT($C8,LEN($C8)-5)&amp;"DMD",Demand!$E:$E,Demand!Q:Q)</f>
        <v>11.91581181982305</v>
      </c>
      <c r="P8" s="8">
        <f>_xlfn.XLOOKUP(LEFT($C8,LEN($C8)-5)&amp;"DMD",Demand!$E:$E,Demand!R:R)</f>
        <v>13.211008756760339</v>
      </c>
      <c r="Q8" s="8">
        <f>_xlfn.XLOOKUP(LEFT($C8,LEN($C8)-5)&amp;"DMD",Demand!$E:$E,Demand!S:S)</f>
        <v>14.50620569369763</v>
      </c>
      <c r="R8" s="8">
        <f>_xlfn.XLOOKUP(LEFT($C8,LEN($C8)-5)&amp;"DMD",Demand!$E:$E,Demand!T:T)</f>
        <v>15.801402630634909</v>
      </c>
      <c r="S8" s="8">
        <f>_xlfn.XLOOKUP(LEFT($C8,LEN($C8)-5)&amp;"DMD",Demand!$E:$E,Demand!U:U)</f>
        <v>17.096599567572198</v>
      </c>
      <c r="T8" s="8">
        <f>_xlfn.XLOOKUP(LEFT($C8,LEN($C8)-5)&amp;"DMD",Demand!$E:$E,Demand!V:V)</f>
        <v>18.39179650450949</v>
      </c>
      <c r="U8" s="8">
        <f>_xlfn.XLOOKUP(LEFT($C8,LEN($C8)-5)&amp;"DMD",Demand!$E:$E,Demand!W:W)</f>
        <v>19.686993441446781</v>
      </c>
      <c r="V8" s="8">
        <f>_xlfn.XLOOKUP(LEFT($C8,LEN($C8)-5)&amp;"DMD",Demand!$E:$E,Demand!X:X)</f>
        <v>20.982190378384061</v>
      </c>
      <c r="Y8" t="str">
        <f>IF('RET TECH'!N3=1,'RET TECH'!M3,"*")</f>
        <v>RESAPALONewSHENVESTAR20</v>
      </c>
      <c r="Z8" t="str">
        <f>IF(Y8="","",_xlfn.XLOOKUP(Y8,'RET TECH'!M:M,'RET TECH'!K:K))</f>
        <v>RESAPALONewSHRET</v>
      </c>
      <c r="AA8" t="str">
        <f>IF(Y8="","",_xlfn.XLOOKUP(Y8,'RET TECH'!M:M,'RET TECH'!L:L))</f>
        <v>RESAPALONewSHEUE</v>
      </c>
      <c r="AB8">
        <f>IF(Y8="","",'City characteristics'!$C$20+1)</f>
        <v>2020</v>
      </c>
      <c r="AC8" s="12">
        <f>IF(Y8="","",_xlfn.XLOOKUP(Y8,'RET TECH'!M:M,'RET TECH'!T:T))</f>
        <v>30</v>
      </c>
      <c r="AD8" s="12">
        <f>IF(Y8="","",_xlfn.XLOOKUP(Y8,'RET TECH'!M:M,'RET TECH'!S:S))</f>
        <v>34.930491857741082</v>
      </c>
      <c r="AE8">
        <f>IF(Y8="","",_xlfn.XLOOKUP(Y8,'RET TECH'!M:M,'RET TECH'!V:V))</f>
        <v>31.536000000000001</v>
      </c>
      <c r="AF8" s="12">
        <f>IF(Y8="","",_xlfn.XLOOKUP(Y8,'RET TECH'!M:M,'RET TECH'!U:U))</f>
        <v>9.8628146588536497E-2</v>
      </c>
      <c r="AG8" s="12">
        <f>IF(Y8="","",_xlfn.XLOOKUP(Y8,'RET TECH'!M:M,'RET TECH'!R:R))</f>
        <v>27562.279063411021</v>
      </c>
    </row>
    <row r="9" spans="2:33" x14ac:dyDescent="0.25">
      <c r="B9" t="str">
        <f>Def_Tech!C6</f>
        <v>RESAPALONewSCRETMIN</v>
      </c>
      <c r="C9" t="str">
        <f>Def_Comm!C6</f>
        <v>RESAPALONewSCRET</v>
      </c>
      <c r="D9">
        <v>1</v>
      </c>
      <c r="E9" s="8">
        <f>_xlfn.XLOOKUP(LEFT($C9,LEN($C9)-5)&amp;"DMD",Demand!$E:$E,Demand!G:G)</f>
        <v>0</v>
      </c>
      <c r="F9" s="8">
        <f>_xlfn.XLOOKUP(LEFT($C9,LEN($C9)-5)&amp;"DMD",Demand!$E:$E,Demand!H:H)</f>
        <v>0.25903938738745758</v>
      </c>
      <c r="G9" s="8">
        <f>_xlfn.XLOOKUP(LEFT($C9,LEN($C9)-5)&amp;"DMD",Demand!$E:$E,Demand!I:I)</f>
        <v>1.5542363243247459</v>
      </c>
      <c r="H9" s="8">
        <f>_xlfn.XLOOKUP(LEFT($C9,LEN($C9)-5)&amp;"DMD",Demand!$E:$E,Demand!J:J)</f>
        <v>2.8494332612620341</v>
      </c>
      <c r="I9" s="8">
        <f>_xlfn.XLOOKUP(LEFT($C9,LEN($C9)-5)&amp;"DMD",Demand!$E:$E,Demand!K:K)</f>
        <v>4.1446301981993221</v>
      </c>
      <c r="J9" s="8">
        <f>_xlfn.XLOOKUP(LEFT($C9,LEN($C9)-5)&amp;"DMD",Demand!$E:$E,Demand!L:L)</f>
        <v>5.4398271351366114</v>
      </c>
      <c r="K9" s="8">
        <f>_xlfn.XLOOKUP(LEFT($C9,LEN($C9)-5)&amp;"DMD",Demand!$E:$E,Demand!M:M)</f>
        <v>6.735024072073899</v>
      </c>
      <c r="L9" s="8">
        <f>_xlfn.XLOOKUP(LEFT($C9,LEN($C9)-5)&amp;"DMD",Demand!$E:$E,Demand!N:N)</f>
        <v>8.0302210090111874</v>
      </c>
      <c r="M9" s="8">
        <f>_xlfn.XLOOKUP(LEFT($C9,LEN($C9)-5)&amp;"DMD",Demand!$E:$E,Demand!O:O)</f>
        <v>9.325417945948475</v>
      </c>
      <c r="N9" s="8">
        <f>_xlfn.XLOOKUP(LEFT($C9,LEN($C9)-5)&amp;"DMD",Demand!$E:$E,Demand!P:P)</f>
        <v>10.620614882885761</v>
      </c>
      <c r="O9" s="8">
        <f>_xlfn.XLOOKUP(LEFT($C9,LEN($C9)-5)&amp;"DMD",Demand!$E:$E,Demand!Q:Q)</f>
        <v>11.91581181982305</v>
      </c>
      <c r="P9" s="8">
        <f>_xlfn.XLOOKUP(LEFT($C9,LEN($C9)-5)&amp;"DMD",Demand!$E:$E,Demand!R:R)</f>
        <v>13.211008756760339</v>
      </c>
      <c r="Q9" s="8">
        <f>_xlfn.XLOOKUP(LEFT($C9,LEN($C9)-5)&amp;"DMD",Demand!$E:$E,Demand!S:S)</f>
        <v>14.50620569369763</v>
      </c>
      <c r="R9" s="8">
        <f>_xlfn.XLOOKUP(LEFT($C9,LEN($C9)-5)&amp;"DMD",Demand!$E:$E,Demand!T:T)</f>
        <v>15.801402630634909</v>
      </c>
      <c r="S9" s="8">
        <f>_xlfn.XLOOKUP(LEFT($C9,LEN($C9)-5)&amp;"DMD",Demand!$E:$E,Demand!U:U)</f>
        <v>17.096599567572198</v>
      </c>
      <c r="T9" s="8">
        <f>_xlfn.XLOOKUP(LEFT($C9,LEN($C9)-5)&amp;"DMD",Demand!$E:$E,Demand!V:V)</f>
        <v>18.39179650450949</v>
      </c>
      <c r="U9" s="8">
        <f>_xlfn.XLOOKUP(LEFT($C9,LEN($C9)-5)&amp;"DMD",Demand!$E:$E,Demand!W:W)</f>
        <v>19.686993441446781</v>
      </c>
      <c r="V9" s="8">
        <f>_xlfn.XLOOKUP(LEFT($C9,LEN($C9)-5)&amp;"DMD",Demand!$E:$E,Demand!X:X)</f>
        <v>20.982190378384061</v>
      </c>
      <c r="Y9" t="str">
        <f>IF('RET TECH'!N4=1,'RET TECH'!M4,"*")</f>
        <v>RESAPALONewSHENVPATH20</v>
      </c>
      <c r="Z9" t="str">
        <f>IF(Y9="","",_xlfn.XLOOKUP(Y9,'RET TECH'!M:M,'RET TECH'!K:K))</f>
        <v>RESAPALONewSHRET</v>
      </c>
      <c r="AA9" t="str">
        <f>IF(Y9="","",_xlfn.XLOOKUP(Y9,'RET TECH'!M:M,'RET TECH'!L:L))</f>
        <v>RESAPALONewSHEUE</v>
      </c>
      <c r="AB9">
        <f>IF(Y9="","",'City characteristics'!$C$20+1)</f>
        <v>2020</v>
      </c>
      <c r="AC9" s="12">
        <f>IF(Y9="","",_xlfn.XLOOKUP(Y9,'RET TECH'!M:M,'RET TECH'!T:T))</f>
        <v>30</v>
      </c>
      <c r="AD9" s="12">
        <f>IF(Y9="","",_xlfn.XLOOKUP(Y9,'RET TECH'!M:M,'RET TECH'!S:S))</f>
        <v>125.40740054222211</v>
      </c>
      <c r="AE9">
        <f>IF(Y9="","",_xlfn.XLOOKUP(Y9,'RET TECH'!M:M,'RET TECH'!V:V))</f>
        <v>31.536000000000001</v>
      </c>
      <c r="AF9" s="12">
        <f>IF(Y9="","",_xlfn.XLOOKUP(Y9,'RET TECH'!M:M,'RET TECH'!U:U))</f>
        <v>9.8628146588536497E-2</v>
      </c>
      <c r="AG9" s="12">
        <f>IF(Y9="","",_xlfn.XLOOKUP(Y9,'RET TECH'!M:M,'RET TECH'!R:R))</f>
        <v>12748.214025109821</v>
      </c>
    </row>
    <row r="10" spans="2:33" x14ac:dyDescent="0.25">
      <c r="B10" t="str">
        <f>Def_Tech!C7</f>
        <v>RESHOULONewSHRETMIN</v>
      </c>
      <c r="C10" t="str">
        <f>Def_Comm!C7</f>
        <v>RESHOULONewSHRET</v>
      </c>
      <c r="D10">
        <v>1</v>
      </c>
      <c r="E10" s="8">
        <f>_xlfn.XLOOKUP(LEFT($C10,LEN($C10)-5)&amp;"DMD",Demand!$E:$E,Demand!G:G)</f>
        <v>0</v>
      </c>
      <c r="F10" s="8">
        <f>_xlfn.XLOOKUP(LEFT($C10,LEN($C10)-5)&amp;"DMD",Demand!$E:$E,Demand!H:H)</f>
        <v>7.4783990074941589E-2</v>
      </c>
      <c r="G10" s="8">
        <f>_xlfn.XLOOKUP(LEFT($C10,LEN($C10)-5)&amp;"DMD",Demand!$E:$E,Demand!I:I)</f>
        <v>0.44870394044964951</v>
      </c>
      <c r="H10" s="8">
        <f>_xlfn.XLOOKUP(LEFT($C10,LEN($C10)-5)&amp;"DMD",Demand!$E:$E,Demand!J:J)</f>
        <v>0.8226238908243575</v>
      </c>
      <c r="I10" s="8">
        <f>_xlfn.XLOOKUP(LEFT($C10,LEN($C10)-5)&amp;"DMD",Demand!$E:$E,Demand!K:K)</f>
        <v>1.196543841199065</v>
      </c>
      <c r="J10" s="8">
        <f>_xlfn.XLOOKUP(LEFT($C10,LEN($C10)-5)&amp;"DMD",Demand!$E:$E,Demand!L:L)</f>
        <v>1.5704637915737729</v>
      </c>
      <c r="K10" s="8">
        <f>_xlfn.XLOOKUP(LEFT($C10,LEN($C10)-5)&amp;"DMD",Demand!$E:$E,Demand!M:M)</f>
        <v>1.9443837419484811</v>
      </c>
      <c r="L10" s="8">
        <f>_xlfn.XLOOKUP(LEFT($C10,LEN($C10)-5)&amp;"DMD",Demand!$E:$E,Demand!N:N)</f>
        <v>2.3183036923231888</v>
      </c>
      <c r="M10" s="8">
        <f>_xlfn.XLOOKUP(LEFT($C10,LEN($C10)-5)&amp;"DMD",Demand!$E:$E,Demand!O:O)</f>
        <v>2.6922236426978969</v>
      </c>
      <c r="N10" s="8">
        <f>_xlfn.XLOOKUP(LEFT($C10,LEN($C10)-5)&amp;"DMD",Demand!$E:$E,Demand!P:P)</f>
        <v>3.0661435930726051</v>
      </c>
      <c r="O10" s="8">
        <f>_xlfn.XLOOKUP(LEFT($C10,LEN($C10)-5)&amp;"DMD",Demand!$E:$E,Demand!Q:Q)</f>
        <v>3.4400635434473119</v>
      </c>
      <c r="P10" s="8">
        <f>_xlfn.XLOOKUP(LEFT($C10,LEN($C10)-5)&amp;"DMD",Demand!$E:$E,Demand!R:R)</f>
        <v>3.8139834938220201</v>
      </c>
      <c r="Q10" s="8">
        <f>_xlfn.XLOOKUP(LEFT($C10,LEN($C10)-5)&amp;"DMD",Demand!$E:$E,Demand!S:S)</f>
        <v>4.1879034441967278</v>
      </c>
      <c r="R10" s="8">
        <f>_xlfn.XLOOKUP(LEFT($C10,LEN($C10)-5)&amp;"DMD",Demand!$E:$E,Demand!T:T)</f>
        <v>4.5618233945714346</v>
      </c>
      <c r="S10" s="8">
        <f>_xlfn.XLOOKUP(LEFT($C10,LEN($C10)-5)&amp;"DMD",Demand!$E:$E,Demand!U:U)</f>
        <v>4.9357433449461432</v>
      </c>
      <c r="T10" s="8">
        <f>_xlfn.XLOOKUP(LEFT($C10,LEN($C10)-5)&amp;"DMD",Demand!$E:$E,Demand!V:V)</f>
        <v>5.3096632953208509</v>
      </c>
      <c r="U10" s="8">
        <f>_xlfn.XLOOKUP(LEFT($C10,LEN($C10)-5)&amp;"DMD",Demand!$E:$E,Demand!W:W)</f>
        <v>5.6835832456955586</v>
      </c>
      <c r="V10" s="8">
        <f>_xlfn.XLOOKUP(LEFT($C10,LEN($C10)-5)&amp;"DMD",Demand!$E:$E,Demand!X:X)</f>
        <v>6.0575031960702663</v>
      </c>
      <c r="Y10" t="str">
        <f>IF('RET TECH'!N5=1,'RET TECH'!M5,"*")</f>
        <v>RESAPALONewSHENVIECC4020</v>
      </c>
      <c r="Z10" t="str">
        <f>IF(Y10="","",_xlfn.XLOOKUP(Y10,'RET TECH'!M:M,'RET TECH'!K:K))</f>
        <v>RESAPALONewSHRET</v>
      </c>
      <c r="AA10" t="str">
        <f>IF(Y10="","",_xlfn.XLOOKUP(Y10,'RET TECH'!M:M,'RET TECH'!L:L))</f>
        <v>RESAPALONewSHEUE</v>
      </c>
      <c r="AB10">
        <f>IF(Y10="","",'City characteristics'!$C$20+1)</f>
        <v>2020</v>
      </c>
      <c r="AC10" s="12">
        <f>IF(Y10="","",_xlfn.XLOOKUP(Y10,'RET TECH'!M:M,'RET TECH'!T:T))</f>
        <v>30</v>
      </c>
      <c r="AD10" s="12">
        <f>IF(Y10="","",_xlfn.XLOOKUP(Y10,'RET TECH'!M:M,'RET TECH'!S:S))</f>
        <v>50.432839665176843</v>
      </c>
      <c r="AE10">
        <f>IF(Y10="","",_xlfn.XLOOKUP(Y10,'RET TECH'!M:M,'RET TECH'!V:V))</f>
        <v>31.536000000000001</v>
      </c>
      <c r="AF10" s="12">
        <f>IF(Y10="","",_xlfn.XLOOKUP(Y10,'RET TECH'!M:M,'RET TECH'!U:U))</f>
        <v>9.8628146588536497E-2</v>
      </c>
      <c r="AG10" s="12">
        <f>IF(Y10="","",_xlfn.XLOOKUP(Y10,'RET TECH'!M:M,'RET TECH'!R:R))</f>
        <v>25967.817743330601</v>
      </c>
    </row>
    <row r="11" spans="2:33" x14ac:dyDescent="0.25">
      <c r="B11" t="str">
        <f>Def_Tech!C8</f>
        <v>RESHOULONewSCRETMIN</v>
      </c>
      <c r="C11" t="str">
        <f>Def_Comm!C8</f>
        <v>RESHOULONewSCRET</v>
      </c>
      <c r="D11">
        <v>1</v>
      </c>
      <c r="E11" s="8">
        <f>_xlfn.XLOOKUP(LEFT($C11,LEN($C11)-5)&amp;"DMD",Demand!$E:$E,Demand!G:G)</f>
        <v>0</v>
      </c>
      <c r="F11" s="8">
        <f>_xlfn.XLOOKUP(LEFT($C11,LEN($C11)-5)&amp;"DMD",Demand!$E:$E,Demand!H:H)</f>
        <v>7.4783990074941589E-2</v>
      </c>
      <c r="G11" s="8">
        <f>_xlfn.XLOOKUP(LEFT($C11,LEN($C11)-5)&amp;"DMD",Demand!$E:$E,Demand!I:I)</f>
        <v>0.44870394044964951</v>
      </c>
      <c r="H11" s="8">
        <f>_xlfn.XLOOKUP(LEFT($C11,LEN($C11)-5)&amp;"DMD",Demand!$E:$E,Demand!J:J)</f>
        <v>0.8226238908243575</v>
      </c>
      <c r="I11" s="8">
        <f>_xlfn.XLOOKUP(LEFT($C11,LEN($C11)-5)&amp;"DMD",Demand!$E:$E,Demand!K:K)</f>
        <v>1.196543841199065</v>
      </c>
      <c r="J11" s="8">
        <f>_xlfn.XLOOKUP(LEFT($C11,LEN($C11)-5)&amp;"DMD",Demand!$E:$E,Demand!L:L)</f>
        <v>1.5704637915737729</v>
      </c>
      <c r="K11" s="8">
        <f>_xlfn.XLOOKUP(LEFT($C11,LEN($C11)-5)&amp;"DMD",Demand!$E:$E,Demand!M:M)</f>
        <v>1.9443837419484811</v>
      </c>
      <c r="L11" s="8">
        <f>_xlfn.XLOOKUP(LEFT($C11,LEN($C11)-5)&amp;"DMD",Demand!$E:$E,Demand!N:N)</f>
        <v>2.3183036923231888</v>
      </c>
      <c r="M11" s="8">
        <f>_xlfn.XLOOKUP(LEFT($C11,LEN($C11)-5)&amp;"DMD",Demand!$E:$E,Demand!O:O)</f>
        <v>2.6922236426978969</v>
      </c>
      <c r="N11" s="8">
        <f>_xlfn.XLOOKUP(LEFT($C11,LEN($C11)-5)&amp;"DMD",Demand!$E:$E,Demand!P:P)</f>
        <v>3.0661435930726051</v>
      </c>
      <c r="O11" s="8">
        <f>_xlfn.XLOOKUP(LEFT($C11,LEN($C11)-5)&amp;"DMD",Demand!$E:$E,Demand!Q:Q)</f>
        <v>3.4400635434473119</v>
      </c>
      <c r="P11" s="8">
        <f>_xlfn.XLOOKUP(LEFT($C11,LEN($C11)-5)&amp;"DMD",Demand!$E:$E,Demand!R:R)</f>
        <v>3.8139834938220201</v>
      </c>
      <c r="Q11" s="8">
        <f>_xlfn.XLOOKUP(LEFT($C11,LEN($C11)-5)&amp;"DMD",Demand!$E:$E,Demand!S:S)</f>
        <v>4.1879034441967278</v>
      </c>
      <c r="R11" s="8">
        <f>_xlfn.XLOOKUP(LEFT($C11,LEN($C11)-5)&amp;"DMD",Demand!$E:$E,Demand!T:T)</f>
        <v>4.5618233945714346</v>
      </c>
      <c r="S11" s="8">
        <f>_xlfn.XLOOKUP(LEFT($C11,LEN($C11)-5)&amp;"DMD",Demand!$E:$E,Demand!U:U)</f>
        <v>4.9357433449461432</v>
      </c>
      <c r="T11" s="8">
        <f>_xlfn.XLOOKUP(LEFT($C11,LEN($C11)-5)&amp;"DMD",Demand!$E:$E,Demand!V:V)</f>
        <v>5.3096632953208509</v>
      </c>
      <c r="U11" s="8">
        <f>_xlfn.XLOOKUP(LEFT($C11,LEN($C11)-5)&amp;"DMD",Demand!$E:$E,Demand!W:W)</f>
        <v>5.6835832456955586</v>
      </c>
      <c r="V11" s="8">
        <f>_xlfn.XLOOKUP(LEFT($C11,LEN($C11)-5)&amp;"DMD",Demand!$E:$E,Demand!X:X)</f>
        <v>6.0575031960702663</v>
      </c>
      <c r="Y11" t="str">
        <f>IF('RET TECH'!N6=1,'RET TECH'!M6,"*")</f>
        <v>RESAPALONewSHENVIECC20</v>
      </c>
      <c r="Z11" t="str">
        <f>IF(Y11="","",_xlfn.XLOOKUP(Y11,'RET TECH'!M:M,'RET TECH'!K:K))</f>
        <v>RESAPALONewSHRET</v>
      </c>
      <c r="AA11" t="str">
        <f>IF(Y11="","",_xlfn.XLOOKUP(Y11,'RET TECH'!M:M,'RET TECH'!L:L))</f>
        <v>RESAPALONewSHEUE</v>
      </c>
      <c r="AB11">
        <f>IF(Y11="","",'City characteristics'!$C$20+1)</f>
        <v>2020</v>
      </c>
      <c r="AC11" s="12">
        <f>IF(Y11="","",_xlfn.XLOOKUP(Y11,'RET TECH'!M:M,'RET TECH'!T:T))</f>
        <v>30</v>
      </c>
      <c r="AD11" s="12">
        <f>IF(Y11="","",_xlfn.XLOOKUP(Y11,'RET TECH'!M:M,'RET TECH'!S:S))</f>
        <v>31.338777702677039</v>
      </c>
      <c r="AE11">
        <f>IF(Y11="","",_xlfn.XLOOKUP(Y11,'RET TECH'!M:M,'RET TECH'!V:V))</f>
        <v>31.536000000000001</v>
      </c>
      <c r="AF11" s="12">
        <f>IF(Y11="","",_xlfn.XLOOKUP(Y11,'RET TECH'!M:M,'RET TECH'!U:U))</f>
        <v>9.8628146588536497E-2</v>
      </c>
      <c r="AG11" s="12">
        <f>IF(Y11="","",_xlfn.XLOOKUP(Y11,'RET TECH'!M:M,'RET TECH'!R:R))</f>
        <v>27268.70749891856</v>
      </c>
    </row>
    <row r="12" spans="2:33" x14ac:dyDescent="0.25">
      <c r="B12" t="str">
        <f>Def_Tech!C9</f>
        <v>RESAPALMNewSHRETMIN</v>
      </c>
      <c r="C12" t="str">
        <f>Def_Comm!C9</f>
        <v>RESAPALMNewSHRET</v>
      </c>
      <c r="D12">
        <v>1</v>
      </c>
      <c r="E12" s="8">
        <f>_xlfn.XLOOKUP(LEFT($C12,LEN($C12)-5)&amp;"DMD",Demand!$E:$E,Demand!G:G)</f>
        <v>0</v>
      </c>
      <c r="F12" s="8">
        <f>_xlfn.XLOOKUP(LEFT($C12,LEN($C12)-5)&amp;"DMD",Demand!$E:$E,Demand!H:H)</f>
        <v>0.28560988167920698</v>
      </c>
      <c r="G12" s="8">
        <f>_xlfn.XLOOKUP(LEFT($C12,LEN($C12)-5)&amp;"DMD",Demand!$E:$E,Demand!I:I)</f>
        <v>1.7136592900752421</v>
      </c>
      <c r="H12" s="8">
        <f>_xlfn.XLOOKUP(LEFT($C12,LEN($C12)-5)&amp;"DMD",Demand!$E:$E,Demand!J:J)</f>
        <v>3.1417086984712772</v>
      </c>
      <c r="I12" s="8">
        <f>_xlfn.XLOOKUP(LEFT($C12,LEN($C12)-5)&amp;"DMD",Demand!$E:$E,Demand!K:K)</f>
        <v>4.5697581068673134</v>
      </c>
      <c r="J12" s="8">
        <f>_xlfn.XLOOKUP(LEFT($C12,LEN($C12)-5)&amp;"DMD",Demand!$E:$E,Demand!L:L)</f>
        <v>5.9978075152633474</v>
      </c>
      <c r="K12" s="8">
        <f>_xlfn.XLOOKUP(LEFT($C12,LEN($C12)-5)&amp;"DMD",Demand!$E:$E,Demand!M:M)</f>
        <v>7.4258569236593823</v>
      </c>
      <c r="L12" s="8">
        <f>_xlfn.XLOOKUP(LEFT($C12,LEN($C12)-5)&amp;"DMD",Demand!$E:$E,Demand!N:N)</f>
        <v>8.8539063320554181</v>
      </c>
      <c r="M12" s="8">
        <f>_xlfn.XLOOKUP(LEFT($C12,LEN($C12)-5)&amp;"DMD",Demand!$E:$E,Demand!O:O)</f>
        <v>10.281955740451449</v>
      </c>
      <c r="N12" s="8">
        <f>_xlfn.XLOOKUP(LEFT($C12,LEN($C12)-5)&amp;"DMD",Demand!$E:$E,Demand!P:P)</f>
        <v>11.71000514884749</v>
      </c>
      <c r="O12" s="8">
        <f>_xlfn.XLOOKUP(LEFT($C12,LEN($C12)-5)&amp;"DMD",Demand!$E:$E,Demand!Q:Q)</f>
        <v>13.138054557243519</v>
      </c>
      <c r="P12" s="8">
        <f>_xlfn.XLOOKUP(LEFT($C12,LEN($C12)-5)&amp;"DMD",Demand!$E:$E,Demand!R:R)</f>
        <v>14.566103965639559</v>
      </c>
      <c r="Q12" s="8">
        <f>_xlfn.XLOOKUP(LEFT($C12,LEN($C12)-5)&amp;"DMD",Demand!$E:$E,Demand!S:S)</f>
        <v>15.994153374035591</v>
      </c>
      <c r="R12" s="8">
        <f>_xlfn.XLOOKUP(LEFT($C12,LEN($C12)-5)&amp;"DMD",Demand!$E:$E,Demand!T:T)</f>
        <v>17.422202782431629</v>
      </c>
      <c r="S12" s="8">
        <f>_xlfn.XLOOKUP(LEFT($C12,LEN($C12)-5)&amp;"DMD",Demand!$E:$E,Demand!U:U)</f>
        <v>18.850252190827661</v>
      </c>
      <c r="T12" s="8">
        <f>_xlfn.XLOOKUP(LEFT($C12,LEN($C12)-5)&amp;"DMD",Demand!$E:$E,Demand!V:V)</f>
        <v>20.278301599223699</v>
      </c>
      <c r="U12" s="8">
        <f>_xlfn.XLOOKUP(LEFT($C12,LEN($C12)-5)&amp;"DMD",Demand!$E:$E,Demand!W:W)</f>
        <v>21.70635100761973</v>
      </c>
      <c r="V12" s="8">
        <f>_xlfn.XLOOKUP(LEFT($C12,LEN($C12)-5)&amp;"DMD",Demand!$E:$E,Demand!X:X)</f>
        <v>23.134400416015769</v>
      </c>
      <c r="Y12" t="str">
        <f>IF('RET TECH'!N7=1,'RET TECH'!M7,"*")</f>
        <v>*</v>
      </c>
      <c r="Z12">
        <f>IF(Y12="","",_xlfn.XLOOKUP(Y12,'RET TECH'!M:M,'RET TECH'!K:K))</f>
        <v>0</v>
      </c>
      <c r="AA12">
        <f>IF(Y12="","",_xlfn.XLOOKUP(Y12,'RET TECH'!M:M,'RET TECH'!L:L))</f>
        <v>0</v>
      </c>
      <c r="AB12">
        <f>IF(Y12="","",'City characteristics'!$C$20+1)</f>
        <v>2020</v>
      </c>
      <c r="AC12" s="12">
        <f>IF(Y12="","",_xlfn.XLOOKUP(Y12,'RET TECH'!M:M,'RET TECH'!T:T))</f>
        <v>0</v>
      </c>
      <c r="AD12" s="12">
        <f>IF(Y12="","",_xlfn.XLOOKUP(Y12,'RET TECH'!M:M,'RET TECH'!S:S))</f>
        <v>0</v>
      </c>
      <c r="AE12">
        <f>IF(Y12="","",_xlfn.XLOOKUP(Y12,'RET TECH'!M:M,'RET TECH'!V:V))</f>
        <v>0</v>
      </c>
      <c r="AF12" s="12">
        <f>IF(Y12="","",_xlfn.XLOOKUP(Y12,'RET TECH'!M:M,'RET TECH'!U:U))</f>
        <v>0</v>
      </c>
      <c r="AG12" s="12">
        <f>IF(Y12="","",_xlfn.XLOOKUP(Y12,'RET TECH'!M:M,'RET TECH'!R:R))</f>
        <v>0</v>
      </c>
    </row>
    <row r="13" spans="2:33" x14ac:dyDescent="0.25">
      <c r="B13" t="str">
        <f>Def_Tech!C10</f>
        <v>RESAPALMNewSCRETMIN</v>
      </c>
      <c r="C13" t="str">
        <f>Def_Comm!C10</f>
        <v>RESAPALMNewSCRET</v>
      </c>
      <c r="D13">
        <v>1</v>
      </c>
      <c r="E13" s="8">
        <f>_xlfn.XLOOKUP(LEFT($C13,LEN($C13)-5)&amp;"DMD",Demand!$E:$E,Demand!G:G)</f>
        <v>0</v>
      </c>
      <c r="F13" s="8">
        <f>_xlfn.XLOOKUP(LEFT($C13,LEN($C13)-5)&amp;"DMD",Demand!$E:$E,Demand!H:H)</f>
        <v>0.28560988167920698</v>
      </c>
      <c r="G13" s="8">
        <f>_xlfn.XLOOKUP(LEFT($C13,LEN($C13)-5)&amp;"DMD",Demand!$E:$E,Demand!I:I)</f>
        <v>1.7136592900752421</v>
      </c>
      <c r="H13" s="8">
        <f>_xlfn.XLOOKUP(LEFT($C13,LEN($C13)-5)&amp;"DMD",Demand!$E:$E,Demand!J:J)</f>
        <v>3.1417086984712772</v>
      </c>
      <c r="I13" s="8">
        <f>_xlfn.XLOOKUP(LEFT($C13,LEN($C13)-5)&amp;"DMD",Demand!$E:$E,Demand!K:K)</f>
        <v>4.5697581068673134</v>
      </c>
      <c r="J13" s="8">
        <f>_xlfn.XLOOKUP(LEFT($C13,LEN($C13)-5)&amp;"DMD",Demand!$E:$E,Demand!L:L)</f>
        <v>5.9978075152633474</v>
      </c>
      <c r="K13" s="8">
        <f>_xlfn.XLOOKUP(LEFT($C13,LEN($C13)-5)&amp;"DMD",Demand!$E:$E,Demand!M:M)</f>
        <v>7.4258569236593823</v>
      </c>
      <c r="L13" s="8">
        <f>_xlfn.XLOOKUP(LEFT($C13,LEN($C13)-5)&amp;"DMD",Demand!$E:$E,Demand!N:N)</f>
        <v>8.8539063320554181</v>
      </c>
      <c r="M13" s="8">
        <f>_xlfn.XLOOKUP(LEFT($C13,LEN($C13)-5)&amp;"DMD",Demand!$E:$E,Demand!O:O)</f>
        <v>10.281955740451449</v>
      </c>
      <c r="N13" s="8">
        <f>_xlfn.XLOOKUP(LEFT($C13,LEN($C13)-5)&amp;"DMD",Demand!$E:$E,Demand!P:P)</f>
        <v>11.71000514884749</v>
      </c>
      <c r="O13" s="8">
        <f>_xlfn.XLOOKUP(LEFT($C13,LEN($C13)-5)&amp;"DMD",Demand!$E:$E,Demand!Q:Q)</f>
        <v>13.138054557243519</v>
      </c>
      <c r="P13" s="8">
        <f>_xlfn.XLOOKUP(LEFT($C13,LEN($C13)-5)&amp;"DMD",Demand!$E:$E,Demand!R:R)</f>
        <v>14.566103965639559</v>
      </c>
      <c r="Q13" s="8">
        <f>_xlfn.XLOOKUP(LEFT($C13,LEN($C13)-5)&amp;"DMD",Demand!$E:$E,Demand!S:S)</f>
        <v>15.994153374035591</v>
      </c>
      <c r="R13" s="8">
        <f>_xlfn.XLOOKUP(LEFT($C13,LEN($C13)-5)&amp;"DMD",Demand!$E:$E,Demand!T:T)</f>
        <v>17.422202782431629</v>
      </c>
      <c r="S13" s="8">
        <f>_xlfn.XLOOKUP(LEFT($C13,LEN($C13)-5)&amp;"DMD",Demand!$E:$E,Demand!U:U)</f>
        <v>18.850252190827661</v>
      </c>
      <c r="T13" s="8">
        <f>_xlfn.XLOOKUP(LEFT($C13,LEN($C13)-5)&amp;"DMD",Demand!$E:$E,Demand!V:V)</f>
        <v>20.278301599223699</v>
      </c>
      <c r="U13" s="8">
        <f>_xlfn.XLOOKUP(LEFT($C13,LEN($C13)-5)&amp;"DMD",Demand!$E:$E,Demand!W:W)</f>
        <v>21.70635100761973</v>
      </c>
      <c r="V13" s="8">
        <f>_xlfn.XLOOKUP(LEFT($C13,LEN($C13)-5)&amp;"DMD",Demand!$E:$E,Demand!X:X)</f>
        <v>23.134400416015769</v>
      </c>
      <c r="Y13" t="str">
        <f>IF('RET TECH'!N8=1,'RET TECH'!M8,"*")</f>
        <v>*</v>
      </c>
      <c r="Z13">
        <f>IF(Y13="","",_xlfn.XLOOKUP(Y13,'RET TECH'!M:M,'RET TECH'!K:K))</f>
        <v>0</v>
      </c>
      <c r="AA13">
        <f>IF(Y13="","",_xlfn.XLOOKUP(Y13,'RET TECH'!M:M,'RET TECH'!L:L))</f>
        <v>0</v>
      </c>
      <c r="AB13">
        <f>IF(Y13="","",'City characteristics'!$C$20+1)</f>
        <v>2020</v>
      </c>
      <c r="AC13" s="12">
        <f>IF(Y13="","",_xlfn.XLOOKUP(Y13,'RET TECH'!M:M,'RET TECH'!T:T))</f>
        <v>0</v>
      </c>
      <c r="AD13" s="12">
        <f>IF(Y13="","",_xlfn.XLOOKUP(Y13,'RET TECH'!M:M,'RET TECH'!S:S))</f>
        <v>0</v>
      </c>
      <c r="AE13">
        <f>IF(Y13="","",_xlfn.XLOOKUP(Y13,'RET TECH'!M:M,'RET TECH'!V:V))</f>
        <v>0</v>
      </c>
      <c r="AF13" s="12">
        <f>IF(Y13="","",_xlfn.XLOOKUP(Y13,'RET TECH'!M:M,'RET TECH'!U:U))</f>
        <v>0</v>
      </c>
      <c r="AG13" s="12">
        <f>IF(Y13="","",_xlfn.XLOOKUP(Y13,'RET TECH'!M:M,'RET TECH'!R:R))</f>
        <v>0</v>
      </c>
    </row>
    <row r="14" spans="2:33" x14ac:dyDescent="0.25">
      <c r="B14" t="str">
        <f>Def_Tech!C11</f>
        <v>RESHOULMNewSHRETMIN</v>
      </c>
      <c r="C14" t="str">
        <f>Def_Comm!C11</f>
        <v>RESHOULMNewSHRET</v>
      </c>
      <c r="D14">
        <v>1</v>
      </c>
      <c r="E14" s="8">
        <f>_xlfn.XLOOKUP(LEFT($C14,LEN($C14)-5)&amp;"DMD",Demand!$E:$E,Demand!G:G)</f>
        <v>0</v>
      </c>
      <c r="F14" s="8">
        <f>_xlfn.XLOOKUP(LEFT($C14,LEN($C14)-5)&amp;"DMD",Demand!$E:$E,Demand!H:H)</f>
        <v>0.19149629288769771</v>
      </c>
      <c r="G14" s="8">
        <f>_xlfn.XLOOKUP(LEFT($C14,LEN($C14)-5)&amp;"DMD",Demand!$E:$E,Demand!I:I)</f>
        <v>1.1489777573261859</v>
      </c>
      <c r="H14" s="8">
        <f>_xlfn.XLOOKUP(LEFT($C14,LEN($C14)-5)&amp;"DMD",Demand!$E:$E,Demand!J:J)</f>
        <v>2.1064592217646738</v>
      </c>
      <c r="I14" s="8">
        <f>_xlfn.XLOOKUP(LEFT($C14,LEN($C14)-5)&amp;"DMD",Demand!$E:$E,Demand!K:K)</f>
        <v>3.063940686203162</v>
      </c>
      <c r="J14" s="8">
        <f>_xlfn.XLOOKUP(LEFT($C14,LEN($C14)-5)&amp;"DMD",Demand!$E:$E,Demand!L:L)</f>
        <v>4.0214221506416514</v>
      </c>
      <c r="K14" s="8">
        <f>_xlfn.XLOOKUP(LEFT($C14,LEN($C14)-5)&amp;"DMD",Demand!$E:$E,Demand!M:M)</f>
        <v>4.9789036150801387</v>
      </c>
      <c r="L14" s="8">
        <f>_xlfn.XLOOKUP(LEFT($C14,LEN($C14)-5)&amp;"DMD",Demand!$E:$E,Demand!N:N)</f>
        <v>5.9363850795186268</v>
      </c>
      <c r="M14" s="8">
        <f>_xlfn.XLOOKUP(LEFT($C14,LEN($C14)-5)&amp;"DMD",Demand!$E:$E,Demand!O:O)</f>
        <v>6.893866543957115</v>
      </c>
      <c r="N14" s="8">
        <f>_xlfn.XLOOKUP(LEFT($C14,LEN($C14)-5)&amp;"DMD",Demand!$E:$E,Demand!P:P)</f>
        <v>7.8513480083956031</v>
      </c>
      <c r="O14" s="8">
        <f>_xlfn.XLOOKUP(LEFT($C14,LEN($C14)-5)&amp;"DMD",Demand!$E:$E,Demand!Q:Q)</f>
        <v>8.8088294728340912</v>
      </c>
      <c r="P14" s="8">
        <f>_xlfn.XLOOKUP(LEFT($C14,LEN($C14)-5)&amp;"DMD",Demand!$E:$E,Demand!R:R)</f>
        <v>9.7663109372725803</v>
      </c>
      <c r="Q14" s="8">
        <f>_xlfn.XLOOKUP(LEFT($C14,LEN($C14)-5)&amp;"DMD",Demand!$E:$E,Demand!S:S)</f>
        <v>10.723792401711069</v>
      </c>
      <c r="R14" s="8">
        <f>_xlfn.XLOOKUP(LEFT($C14,LEN($C14)-5)&amp;"DMD",Demand!$E:$E,Demand!T:T)</f>
        <v>11.68127386614956</v>
      </c>
      <c r="S14" s="8">
        <f>_xlfn.XLOOKUP(LEFT($C14,LEN($C14)-5)&amp;"DMD",Demand!$E:$E,Demand!U:U)</f>
        <v>12.638755330588049</v>
      </c>
      <c r="T14" s="8">
        <f>_xlfn.XLOOKUP(LEFT($C14,LEN($C14)-5)&amp;"DMD",Demand!$E:$E,Demand!V:V)</f>
        <v>13.59623679502654</v>
      </c>
      <c r="U14" s="8">
        <f>_xlfn.XLOOKUP(LEFT($C14,LEN($C14)-5)&amp;"DMD",Demand!$E:$E,Demand!W:W)</f>
        <v>14.553718259465031</v>
      </c>
      <c r="V14" s="8">
        <f>_xlfn.XLOOKUP(LEFT($C14,LEN($C14)-5)&amp;"DMD",Demand!$E:$E,Demand!X:X)</f>
        <v>15.511199723903511</v>
      </c>
      <c r="Y14" t="str">
        <f>IF('RET TECH'!N9=1,'RET TECH'!M9,"*")</f>
        <v>*</v>
      </c>
      <c r="Z14">
        <f>IF(Y14="","",_xlfn.XLOOKUP(Y14,'RET TECH'!M:M,'RET TECH'!K:K))</f>
        <v>0</v>
      </c>
      <c r="AA14">
        <f>IF(Y14="","",_xlfn.XLOOKUP(Y14,'RET TECH'!M:M,'RET TECH'!L:L))</f>
        <v>0</v>
      </c>
      <c r="AB14">
        <f>IF(Y14="","",'City characteristics'!$C$20+1)</f>
        <v>2020</v>
      </c>
      <c r="AC14" s="12">
        <f>IF(Y14="","",_xlfn.XLOOKUP(Y14,'RET TECH'!M:M,'RET TECH'!T:T))</f>
        <v>0</v>
      </c>
      <c r="AD14" s="12">
        <f>IF(Y14="","",_xlfn.XLOOKUP(Y14,'RET TECH'!M:M,'RET TECH'!S:S))</f>
        <v>0</v>
      </c>
      <c r="AE14">
        <f>IF(Y14="","",_xlfn.XLOOKUP(Y14,'RET TECH'!M:M,'RET TECH'!V:V))</f>
        <v>0</v>
      </c>
      <c r="AF14" s="12">
        <f>IF(Y14="","",_xlfn.XLOOKUP(Y14,'RET TECH'!M:M,'RET TECH'!U:U))</f>
        <v>0</v>
      </c>
      <c r="AG14" s="12">
        <f>IF(Y14="","",_xlfn.XLOOKUP(Y14,'RET TECH'!M:M,'RET TECH'!R:R))</f>
        <v>0</v>
      </c>
    </row>
    <row r="15" spans="2:33" x14ac:dyDescent="0.25">
      <c r="B15" t="str">
        <f>Def_Tech!C12</f>
        <v>RESHOULMNewSCRETMIN</v>
      </c>
      <c r="C15" t="str">
        <f>Def_Comm!C12</f>
        <v>RESHOULMNewSCRET</v>
      </c>
      <c r="D15">
        <v>1</v>
      </c>
      <c r="E15" s="8">
        <f>_xlfn.XLOOKUP(LEFT($C15,LEN($C15)-5)&amp;"DMD",Demand!$E:$E,Demand!G:G)</f>
        <v>0</v>
      </c>
      <c r="F15" s="8">
        <f>_xlfn.XLOOKUP(LEFT($C15,LEN($C15)-5)&amp;"DMD",Demand!$E:$E,Demand!H:H)</f>
        <v>0.19149629288769771</v>
      </c>
      <c r="G15" s="8">
        <f>_xlfn.XLOOKUP(LEFT($C15,LEN($C15)-5)&amp;"DMD",Demand!$E:$E,Demand!I:I)</f>
        <v>1.1489777573261859</v>
      </c>
      <c r="H15" s="8">
        <f>_xlfn.XLOOKUP(LEFT($C15,LEN($C15)-5)&amp;"DMD",Demand!$E:$E,Demand!J:J)</f>
        <v>2.1064592217646738</v>
      </c>
      <c r="I15" s="8">
        <f>_xlfn.XLOOKUP(LEFT($C15,LEN($C15)-5)&amp;"DMD",Demand!$E:$E,Demand!K:K)</f>
        <v>3.063940686203162</v>
      </c>
      <c r="J15" s="8">
        <f>_xlfn.XLOOKUP(LEFT($C15,LEN($C15)-5)&amp;"DMD",Demand!$E:$E,Demand!L:L)</f>
        <v>4.0214221506416514</v>
      </c>
      <c r="K15" s="8">
        <f>_xlfn.XLOOKUP(LEFT($C15,LEN($C15)-5)&amp;"DMD",Demand!$E:$E,Demand!M:M)</f>
        <v>4.9789036150801387</v>
      </c>
      <c r="L15" s="8">
        <f>_xlfn.XLOOKUP(LEFT($C15,LEN($C15)-5)&amp;"DMD",Demand!$E:$E,Demand!N:N)</f>
        <v>5.9363850795186268</v>
      </c>
      <c r="M15" s="8">
        <f>_xlfn.XLOOKUP(LEFT($C15,LEN($C15)-5)&amp;"DMD",Demand!$E:$E,Demand!O:O)</f>
        <v>6.893866543957115</v>
      </c>
      <c r="N15" s="8">
        <f>_xlfn.XLOOKUP(LEFT($C15,LEN($C15)-5)&amp;"DMD",Demand!$E:$E,Demand!P:P)</f>
        <v>7.8513480083956031</v>
      </c>
      <c r="O15" s="8">
        <f>_xlfn.XLOOKUP(LEFT($C15,LEN($C15)-5)&amp;"DMD",Demand!$E:$E,Demand!Q:Q)</f>
        <v>8.8088294728340912</v>
      </c>
      <c r="P15" s="8">
        <f>_xlfn.XLOOKUP(LEFT($C15,LEN($C15)-5)&amp;"DMD",Demand!$E:$E,Demand!R:R)</f>
        <v>9.7663109372725803</v>
      </c>
      <c r="Q15" s="8">
        <f>_xlfn.XLOOKUP(LEFT($C15,LEN($C15)-5)&amp;"DMD",Demand!$E:$E,Demand!S:S)</f>
        <v>10.723792401711069</v>
      </c>
      <c r="R15" s="8">
        <f>_xlfn.XLOOKUP(LEFT($C15,LEN($C15)-5)&amp;"DMD",Demand!$E:$E,Demand!T:T)</f>
        <v>11.68127386614956</v>
      </c>
      <c r="S15" s="8">
        <f>_xlfn.XLOOKUP(LEFT($C15,LEN($C15)-5)&amp;"DMD",Demand!$E:$E,Demand!U:U)</f>
        <v>12.638755330588049</v>
      </c>
      <c r="T15" s="8">
        <f>_xlfn.XLOOKUP(LEFT($C15,LEN($C15)-5)&amp;"DMD",Demand!$E:$E,Demand!V:V)</f>
        <v>13.59623679502654</v>
      </c>
      <c r="U15" s="8">
        <f>_xlfn.XLOOKUP(LEFT($C15,LEN($C15)-5)&amp;"DMD",Demand!$E:$E,Demand!W:W)</f>
        <v>14.553718259465031</v>
      </c>
      <c r="V15" s="8">
        <f>_xlfn.XLOOKUP(LEFT($C15,LEN($C15)-5)&amp;"DMD",Demand!$E:$E,Demand!X:X)</f>
        <v>15.511199723903511</v>
      </c>
      <c r="Y15" t="str">
        <f>IF('RET TECH'!N10=1,'RET TECH'!M10,"*")</f>
        <v>*</v>
      </c>
      <c r="Z15">
        <f>IF(Y15="","",_xlfn.XLOOKUP(Y15,'RET TECH'!M:M,'RET TECH'!K:K))</f>
        <v>0</v>
      </c>
      <c r="AA15">
        <f>IF(Y15="","",_xlfn.XLOOKUP(Y15,'RET TECH'!M:M,'RET TECH'!L:L))</f>
        <v>0</v>
      </c>
      <c r="AB15">
        <f>IF(Y15="","",'City characteristics'!$C$20+1)</f>
        <v>2020</v>
      </c>
      <c r="AC15" s="12">
        <f>IF(Y15="","",_xlfn.XLOOKUP(Y15,'RET TECH'!M:M,'RET TECH'!T:T))</f>
        <v>0</v>
      </c>
      <c r="AD15" s="12">
        <f>IF(Y15="","",_xlfn.XLOOKUP(Y15,'RET TECH'!M:M,'RET TECH'!S:S))</f>
        <v>0</v>
      </c>
      <c r="AE15">
        <f>IF(Y15="","",_xlfn.XLOOKUP(Y15,'RET TECH'!M:M,'RET TECH'!V:V))</f>
        <v>0</v>
      </c>
      <c r="AF15" s="12">
        <f>IF(Y15="","",_xlfn.XLOOKUP(Y15,'RET TECH'!M:M,'RET TECH'!U:U))</f>
        <v>0</v>
      </c>
      <c r="AG15" s="12">
        <f>IF(Y15="","",_xlfn.XLOOKUP(Y15,'RET TECH'!M:M,'RET TECH'!R:R))</f>
        <v>0</v>
      </c>
    </row>
    <row r="16" spans="2:33" x14ac:dyDescent="0.25">
      <c r="B16" t="str">
        <f>Def_Tech!C13</f>
        <v>RESAPAUMNewSHRETMIN</v>
      </c>
      <c r="C16" t="str">
        <f>Def_Comm!C13</f>
        <v>RESAPAUMNewSHRET</v>
      </c>
      <c r="D16">
        <v>1</v>
      </c>
      <c r="E16" s="8">
        <f>_xlfn.XLOOKUP(LEFT($C16,LEN($C16)-5)&amp;"DMD",Demand!$E:$E,Demand!G:G)</f>
        <v>0</v>
      </c>
      <c r="F16" s="8">
        <f>_xlfn.XLOOKUP(LEFT($C16,LEN($C16)-5)&amp;"DMD",Demand!$E:$E,Demand!H:H)</f>
        <v>7.7479439050969989E-2</v>
      </c>
      <c r="G16" s="8">
        <f>_xlfn.XLOOKUP(LEFT($C16,LEN($C16)-5)&amp;"DMD",Demand!$E:$E,Demand!I:I)</f>
        <v>0.46487663430581988</v>
      </c>
      <c r="H16" s="8">
        <f>_xlfn.XLOOKUP(LEFT($C16,LEN($C16)-5)&amp;"DMD",Demand!$E:$E,Demand!J:J)</f>
        <v>0.85227382956066988</v>
      </c>
      <c r="I16" s="8">
        <f>_xlfn.XLOOKUP(LEFT($C16,LEN($C16)-5)&amp;"DMD",Demand!$E:$E,Demand!K:K)</f>
        <v>1.2396710248155201</v>
      </c>
      <c r="J16" s="8">
        <f>_xlfn.XLOOKUP(LEFT($C16,LEN($C16)-5)&amp;"DMD",Demand!$E:$E,Demand!L:L)</f>
        <v>1.6270682200703701</v>
      </c>
      <c r="K16" s="8">
        <f>_xlfn.XLOOKUP(LEFT($C16,LEN($C16)-5)&amp;"DMD",Demand!$E:$E,Demand!M:M)</f>
        <v>2.0144654153252199</v>
      </c>
      <c r="L16" s="8">
        <f>_xlfn.XLOOKUP(LEFT($C16,LEN($C16)-5)&amp;"DMD",Demand!$E:$E,Demand!N:N)</f>
        <v>2.40186261058007</v>
      </c>
      <c r="M16" s="8">
        <f>_xlfn.XLOOKUP(LEFT($C16,LEN($C16)-5)&amp;"DMD",Demand!$E:$E,Demand!O:O)</f>
        <v>2.7892598058349201</v>
      </c>
      <c r="N16" s="8">
        <f>_xlfn.XLOOKUP(LEFT($C16,LEN($C16)-5)&amp;"DMD",Demand!$E:$E,Demand!P:P)</f>
        <v>3.1766570010897701</v>
      </c>
      <c r="O16" s="8">
        <f>_xlfn.XLOOKUP(LEFT($C16,LEN($C16)-5)&amp;"DMD",Demand!$E:$E,Demand!Q:Q)</f>
        <v>3.5640541963446202</v>
      </c>
      <c r="P16" s="8">
        <f>_xlfn.XLOOKUP(LEFT($C16,LEN($C16)-5)&amp;"DMD",Demand!$E:$E,Demand!R:R)</f>
        <v>3.9514513915994698</v>
      </c>
      <c r="Q16" s="8">
        <f>_xlfn.XLOOKUP(LEFT($C16,LEN($C16)-5)&amp;"DMD",Demand!$E:$E,Demand!S:S)</f>
        <v>4.3388485868543203</v>
      </c>
      <c r="R16" s="8">
        <f>_xlfn.XLOOKUP(LEFT($C16,LEN($C16)-5)&amp;"DMD",Demand!$E:$E,Demand!T:T)</f>
        <v>4.7262457821091699</v>
      </c>
      <c r="S16" s="8">
        <f>_xlfn.XLOOKUP(LEFT($C16,LEN($C16)-5)&amp;"DMD",Demand!$E:$E,Demand!U:U)</f>
        <v>5.1136429773640204</v>
      </c>
      <c r="T16" s="8">
        <f>_xlfn.XLOOKUP(LEFT($C16,LEN($C16)-5)&amp;"DMD",Demand!$E:$E,Demand!V:V)</f>
        <v>5.5010401726188691</v>
      </c>
      <c r="U16" s="8">
        <f>_xlfn.XLOOKUP(LEFT($C16,LEN($C16)-5)&amp;"DMD",Demand!$E:$E,Demand!W:W)</f>
        <v>5.8884373678737187</v>
      </c>
      <c r="V16" s="8">
        <f>_xlfn.XLOOKUP(LEFT($C16,LEN($C16)-5)&amp;"DMD",Demand!$E:$E,Demand!X:X)</f>
        <v>6.2758345631285684</v>
      </c>
      <c r="Y16" t="str">
        <f>IF('RET TECH'!N11=1,'RET TECH'!M11,"*")</f>
        <v>RESHOULONewSHENVESTAR20</v>
      </c>
      <c r="Z16" t="str">
        <f>IF(Y16="","",_xlfn.XLOOKUP(Y16,'RET TECH'!M:M,'RET TECH'!K:K))</f>
        <v>RESHOULONewSHRET</v>
      </c>
      <c r="AA16" t="str">
        <f>IF(Y16="","",_xlfn.XLOOKUP(Y16,'RET TECH'!M:M,'RET TECH'!L:L))</f>
        <v>RESHOULONewSHEUE</v>
      </c>
      <c r="AB16">
        <f>IF(Y16="","",'City characteristics'!$C$20+1)</f>
        <v>2020</v>
      </c>
      <c r="AC16" s="12">
        <f>IF(Y16="","",_xlfn.XLOOKUP(Y16,'RET TECH'!M:M,'RET TECH'!T:T))</f>
        <v>30</v>
      </c>
      <c r="AD16" s="12">
        <f>IF(Y16="","",_xlfn.XLOOKUP(Y16,'RET TECH'!M:M,'RET TECH'!S:S))</f>
        <v>162.07044135024691</v>
      </c>
      <c r="AE16">
        <f>IF(Y16="","",_xlfn.XLOOKUP(Y16,'RET TECH'!M:M,'RET TECH'!V:V))</f>
        <v>31.536000000000001</v>
      </c>
      <c r="AF16" s="12">
        <f>IF(Y16="","",_xlfn.XLOOKUP(Y16,'RET TECH'!M:M,'RET TECH'!U:U))</f>
        <v>9.0305172134094655E-2</v>
      </c>
      <c r="AG16" s="12">
        <f>IF(Y16="","",_xlfn.XLOOKUP(Y16,'RET TECH'!M:M,'RET TECH'!R:R))</f>
        <v>15273.365023245389</v>
      </c>
    </row>
    <row r="17" spans="2:33" x14ac:dyDescent="0.25">
      <c r="B17" t="str">
        <f>Def_Tech!C14</f>
        <v>RESAPAUMNewSCRETMIN</v>
      </c>
      <c r="C17" t="str">
        <f>Def_Comm!C14</f>
        <v>RESAPAUMNewSCRET</v>
      </c>
      <c r="D17">
        <v>1</v>
      </c>
      <c r="E17" s="8">
        <f>_xlfn.XLOOKUP(LEFT($C17,LEN($C17)-5)&amp;"DMD",Demand!$E:$E,Demand!G:G)</f>
        <v>0</v>
      </c>
      <c r="F17" s="8">
        <f>_xlfn.XLOOKUP(LEFT($C17,LEN($C17)-5)&amp;"DMD",Demand!$E:$E,Demand!H:H)</f>
        <v>7.7479439050969989E-2</v>
      </c>
      <c r="G17" s="8">
        <f>_xlfn.XLOOKUP(LEFT($C17,LEN($C17)-5)&amp;"DMD",Demand!$E:$E,Demand!I:I)</f>
        <v>0.46487663430581988</v>
      </c>
      <c r="H17" s="8">
        <f>_xlfn.XLOOKUP(LEFT($C17,LEN($C17)-5)&amp;"DMD",Demand!$E:$E,Demand!J:J)</f>
        <v>0.85227382956066988</v>
      </c>
      <c r="I17" s="8">
        <f>_xlfn.XLOOKUP(LEFT($C17,LEN($C17)-5)&amp;"DMD",Demand!$E:$E,Demand!K:K)</f>
        <v>1.2396710248155201</v>
      </c>
      <c r="J17" s="8">
        <f>_xlfn.XLOOKUP(LEFT($C17,LEN($C17)-5)&amp;"DMD",Demand!$E:$E,Demand!L:L)</f>
        <v>1.6270682200703701</v>
      </c>
      <c r="K17" s="8">
        <f>_xlfn.XLOOKUP(LEFT($C17,LEN($C17)-5)&amp;"DMD",Demand!$E:$E,Demand!M:M)</f>
        <v>2.0144654153252199</v>
      </c>
      <c r="L17" s="8">
        <f>_xlfn.XLOOKUP(LEFT($C17,LEN($C17)-5)&amp;"DMD",Demand!$E:$E,Demand!N:N)</f>
        <v>2.40186261058007</v>
      </c>
      <c r="M17" s="8">
        <f>_xlfn.XLOOKUP(LEFT($C17,LEN($C17)-5)&amp;"DMD",Demand!$E:$E,Demand!O:O)</f>
        <v>2.7892598058349201</v>
      </c>
      <c r="N17" s="8">
        <f>_xlfn.XLOOKUP(LEFT($C17,LEN($C17)-5)&amp;"DMD",Demand!$E:$E,Demand!P:P)</f>
        <v>3.1766570010897701</v>
      </c>
      <c r="O17" s="8">
        <f>_xlfn.XLOOKUP(LEFT($C17,LEN($C17)-5)&amp;"DMD",Demand!$E:$E,Demand!Q:Q)</f>
        <v>3.5640541963446202</v>
      </c>
      <c r="P17" s="8">
        <f>_xlfn.XLOOKUP(LEFT($C17,LEN($C17)-5)&amp;"DMD",Demand!$E:$E,Demand!R:R)</f>
        <v>3.9514513915994698</v>
      </c>
      <c r="Q17" s="8">
        <f>_xlfn.XLOOKUP(LEFT($C17,LEN($C17)-5)&amp;"DMD",Demand!$E:$E,Demand!S:S)</f>
        <v>4.3388485868543203</v>
      </c>
      <c r="R17" s="8">
        <f>_xlfn.XLOOKUP(LEFT($C17,LEN($C17)-5)&amp;"DMD",Demand!$E:$E,Demand!T:T)</f>
        <v>4.7262457821091699</v>
      </c>
      <c r="S17" s="8">
        <f>_xlfn.XLOOKUP(LEFT($C17,LEN($C17)-5)&amp;"DMD",Demand!$E:$E,Demand!U:U)</f>
        <v>5.1136429773640204</v>
      </c>
      <c r="T17" s="8">
        <f>_xlfn.XLOOKUP(LEFT($C17,LEN($C17)-5)&amp;"DMD",Demand!$E:$E,Demand!V:V)</f>
        <v>5.5010401726188691</v>
      </c>
      <c r="U17" s="8">
        <f>_xlfn.XLOOKUP(LEFT($C17,LEN($C17)-5)&amp;"DMD",Demand!$E:$E,Demand!W:W)</f>
        <v>5.8884373678737187</v>
      </c>
      <c r="V17" s="8">
        <f>_xlfn.XLOOKUP(LEFT($C17,LEN($C17)-5)&amp;"DMD",Demand!$E:$E,Demand!X:X)</f>
        <v>6.2758345631285684</v>
      </c>
      <c r="Y17" t="str">
        <f>IF('RET TECH'!N12=1,'RET TECH'!M12,"*")</f>
        <v>RESHOULONewSHENVPATH20</v>
      </c>
      <c r="Z17" t="str">
        <f>IF(Y17="","",_xlfn.XLOOKUP(Y17,'RET TECH'!M:M,'RET TECH'!K:K))</f>
        <v>RESHOULONewSHRET</v>
      </c>
      <c r="AA17" t="str">
        <f>IF(Y17="","",_xlfn.XLOOKUP(Y17,'RET TECH'!M:M,'RET TECH'!L:L))</f>
        <v>RESHOULONewSHEUE</v>
      </c>
      <c r="AB17">
        <f>IF(Y17="","",'City characteristics'!$C$20+1)</f>
        <v>2020</v>
      </c>
      <c r="AC17" s="12">
        <f>IF(Y17="","",_xlfn.XLOOKUP(Y17,'RET TECH'!M:M,'RET TECH'!T:T))</f>
        <v>30</v>
      </c>
      <c r="AD17" s="12">
        <f>IF(Y17="","",_xlfn.XLOOKUP(Y17,'RET TECH'!M:M,'RET TECH'!S:S))</f>
        <v>244.0105974008583</v>
      </c>
      <c r="AE17">
        <f>IF(Y17="","",_xlfn.XLOOKUP(Y17,'RET TECH'!M:M,'RET TECH'!V:V))</f>
        <v>31.536000000000001</v>
      </c>
      <c r="AF17" s="12">
        <f>IF(Y17="","",_xlfn.XLOOKUP(Y17,'RET TECH'!M:M,'RET TECH'!U:U))</f>
        <v>9.0305172134094655E-2</v>
      </c>
      <c r="AG17" s="12">
        <f>IF(Y17="","",_xlfn.XLOOKUP(Y17,'RET TECH'!M:M,'RET TECH'!R:R))</f>
        <v>15295.593999641809</v>
      </c>
    </row>
    <row r="18" spans="2:33" x14ac:dyDescent="0.25">
      <c r="B18" t="str">
        <f>Def_Tech!C15</f>
        <v>RESHOUUMNewSHRETMIN</v>
      </c>
      <c r="C18" t="str">
        <f>Def_Comm!C15</f>
        <v>RESHOUUMNewSHRET</v>
      </c>
      <c r="D18">
        <v>1</v>
      </c>
      <c r="E18" s="8">
        <f>_xlfn.XLOOKUP(LEFT($C18,LEN($C18)-5)&amp;"DMD",Demand!$E:$E,Demand!G:G)</f>
        <v>0</v>
      </c>
      <c r="F18" s="8">
        <f>_xlfn.XLOOKUP(LEFT($C18,LEN($C18)-5)&amp;"DMD",Demand!$E:$E,Demand!H:H)</f>
        <v>9.5936072148351009E-2</v>
      </c>
      <c r="G18" s="8">
        <f>_xlfn.XLOOKUP(LEFT($C18,LEN($C18)-5)&amp;"DMD",Demand!$E:$E,Demand!I:I)</f>
        <v>0.575616432890106</v>
      </c>
      <c r="H18" s="8">
        <f>_xlfn.XLOOKUP(LEFT($C18,LEN($C18)-5)&amp;"DMD",Demand!$E:$E,Demand!J:J)</f>
        <v>1.0552967936318609</v>
      </c>
      <c r="I18" s="8">
        <f>_xlfn.XLOOKUP(LEFT($C18,LEN($C18)-5)&amp;"DMD",Demand!$E:$E,Demand!K:K)</f>
        <v>1.5349771543736159</v>
      </c>
      <c r="J18" s="8">
        <f>_xlfn.XLOOKUP(LEFT($C18,LEN($C18)-5)&amp;"DMD",Demand!$E:$E,Demand!L:L)</f>
        <v>2.0146575151153709</v>
      </c>
      <c r="K18" s="8">
        <f>_xlfn.XLOOKUP(LEFT($C18,LEN($C18)-5)&amp;"DMD",Demand!$E:$E,Demand!M:M)</f>
        <v>2.4943378758571262</v>
      </c>
      <c r="L18" s="8">
        <f>_xlfn.XLOOKUP(LEFT($C18,LEN($C18)-5)&amp;"DMD",Demand!$E:$E,Demand!N:N)</f>
        <v>2.974018236598881</v>
      </c>
      <c r="M18" s="8">
        <f>_xlfn.XLOOKUP(LEFT($C18,LEN($C18)-5)&amp;"DMD",Demand!$E:$E,Demand!O:O)</f>
        <v>3.4536985973406358</v>
      </c>
      <c r="N18" s="8">
        <f>_xlfn.XLOOKUP(LEFT($C18,LEN($C18)-5)&amp;"DMD",Demand!$E:$E,Demand!P:P)</f>
        <v>3.933378958082391</v>
      </c>
      <c r="O18" s="8">
        <f>_xlfn.XLOOKUP(LEFT($C18,LEN($C18)-5)&amp;"DMD",Demand!$E:$E,Demand!Q:Q)</f>
        <v>4.4130593188241454</v>
      </c>
      <c r="P18" s="8">
        <f>_xlfn.XLOOKUP(LEFT($C18,LEN($C18)-5)&amp;"DMD",Demand!$E:$E,Demand!R:R)</f>
        <v>4.8927396795659002</v>
      </c>
      <c r="Q18" s="8">
        <f>_xlfn.XLOOKUP(LEFT($C18,LEN($C18)-5)&amp;"DMD",Demand!$E:$E,Demand!S:S)</f>
        <v>5.372420040307655</v>
      </c>
      <c r="R18" s="8">
        <f>_xlfn.XLOOKUP(LEFT($C18,LEN($C18)-5)&amp;"DMD",Demand!$E:$E,Demand!T:T)</f>
        <v>5.8521004010494098</v>
      </c>
      <c r="S18" s="8">
        <f>_xlfn.XLOOKUP(LEFT($C18,LEN($C18)-5)&amp;"DMD",Demand!$E:$E,Demand!U:U)</f>
        <v>6.3317807617911646</v>
      </c>
      <c r="T18" s="8">
        <f>_xlfn.XLOOKUP(LEFT($C18,LEN($C18)-5)&amp;"DMD",Demand!$E:$E,Demand!V:V)</f>
        <v>6.8114611225329194</v>
      </c>
      <c r="U18" s="8">
        <f>_xlfn.XLOOKUP(LEFT($C18,LEN($C18)-5)&amp;"DMD",Demand!$E:$E,Demand!W:W)</f>
        <v>7.2911414832746742</v>
      </c>
      <c r="V18" s="8">
        <f>_xlfn.XLOOKUP(LEFT($C18,LEN($C18)-5)&amp;"DMD",Demand!$E:$E,Demand!X:X)</f>
        <v>7.7708218440164289</v>
      </c>
      <c r="Y18" t="str">
        <f>IF('RET TECH'!N13=1,'RET TECH'!M13,"*")</f>
        <v>RESHOULONewSHENVIECC4020</v>
      </c>
      <c r="Z18" t="str">
        <f>IF(Y18="","",_xlfn.XLOOKUP(Y18,'RET TECH'!M:M,'RET TECH'!K:K))</f>
        <v>RESHOULONewSHRET</v>
      </c>
      <c r="AA18" t="str">
        <f>IF(Y18="","",_xlfn.XLOOKUP(Y18,'RET TECH'!M:M,'RET TECH'!L:L))</f>
        <v>RESHOULONewSHEUE</v>
      </c>
      <c r="AB18">
        <f>IF(Y18="","",'City characteristics'!$C$20+1)</f>
        <v>2020</v>
      </c>
      <c r="AC18" s="12">
        <f>IF(Y18="","",_xlfn.XLOOKUP(Y18,'RET TECH'!M:M,'RET TECH'!T:T))</f>
        <v>30</v>
      </c>
      <c r="AD18" s="12">
        <f>IF(Y18="","",_xlfn.XLOOKUP(Y18,'RET TECH'!M:M,'RET TECH'!S:S))</f>
        <v>216.0473533223647</v>
      </c>
      <c r="AE18">
        <f>IF(Y18="","",_xlfn.XLOOKUP(Y18,'RET TECH'!M:M,'RET TECH'!V:V))</f>
        <v>31.536000000000001</v>
      </c>
      <c r="AF18" s="12">
        <f>IF(Y18="","",_xlfn.XLOOKUP(Y18,'RET TECH'!M:M,'RET TECH'!U:U))</f>
        <v>9.0305172134094655E-2</v>
      </c>
      <c r="AG18" s="12">
        <f>IF(Y18="","",_xlfn.XLOOKUP(Y18,'RET TECH'!M:M,'RET TECH'!R:R))</f>
        <v>14552.16224631257</v>
      </c>
    </row>
    <row r="19" spans="2:33" x14ac:dyDescent="0.25">
      <c r="B19" t="str">
        <f>Def_Tech!C16</f>
        <v>RESHOUUMNewSCRETMIN</v>
      </c>
      <c r="C19" t="str">
        <f>Def_Comm!C16</f>
        <v>RESHOUUMNewSCRET</v>
      </c>
      <c r="D19">
        <v>1</v>
      </c>
      <c r="E19" s="8">
        <f>_xlfn.XLOOKUP(LEFT($C19,LEN($C19)-5)&amp;"DMD",Demand!$E:$E,Demand!G:G)</f>
        <v>0</v>
      </c>
      <c r="F19" s="8">
        <f>_xlfn.XLOOKUP(LEFT($C19,LEN($C19)-5)&amp;"DMD",Demand!$E:$E,Demand!H:H)</f>
        <v>9.5936072148351009E-2</v>
      </c>
      <c r="G19" s="8">
        <f>_xlfn.XLOOKUP(LEFT($C19,LEN($C19)-5)&amp;"DMD",Demand!$E:$E,Demand!I:I)</f>
        <v>0.575616432890106</v>
      </c>
      <c r="H19" s="8">
        <f>_xlfn.XLOOKUP(LEFT($C19,LEN($C19)-5)&amp;"DMD",Demand!$E:$E,Demand!J:J)</f>
        <v>1.0552967936318609</v>
      </c>
      <c r="I19" s="8">
        <f>_xlfn.XLOOKUP(LEFT($C19,LEN($C19)-5)&amp;"DMD",Demand!$E:$E,Demand!K:K)</f>
        <v>1.5349771543736159</v>
      </c>
      <c r="J19" s="8">
        <f>_xlfn.XLOOKUP(LEFT($C19,LEN($C19)-5)&amp;"DMD",Demand!$E:$E,Demand!L:L)</f>
        <v>2.0146575151153709</v>
      </c>
      <c r="K19" s="8">
        <f>_xlfn.XLOOKUP(LEFT($C19,LEN($C19)-5)&amp;"DMD",Demand!$E:$E,Demand!M:M)</f>
        <v>2.4943378758571262</v>
      </c>
      <c r="L19" s="8">
        <f>_xlfn.XLOOKUP(LEFT($C19,LEN($C19)-5)&amp;"DMD",Demand!$E:$E,Demand!N:N)</f>
        <v>2.974018236598881</v>
      </c>
      <c r="M19" s="8">
        <f>_xlfn.XLOOKUP(LEFT($C19,LEN($C19)-5)&amp;"DMD",Demand!$E:$E,Demand!O:O)</f>
        <v>3.4536985973406358</v>
      </c>
      <c r="N19" s="8">
        <f>_xlfn.XLOOKUP(LEFT($C19,LEN($C19)-5)&amp;"DMD",Demand!$E:$E,Demand!P:P)</f>
        <v>3.933378958082391</v>
      </c>
      <c r="O19" s="8">
        <f>_xlfn.XLOOKUP(LEFT($C19,LEN($C19)-5)&amp;"DMD",Demand!$E:$E,Demand!Q:Q)</f>
        <v>4.4130593188241454</v>
      </c>
      <c r="P19" s="8">
        <f>_xlfn.XLOOKUP(LEFT($C19,LEN($C19)-5)&amp;"DMD",Demand!$E:$E,Demand!R:R)</f>
        <v>4.8927396795659002</v>
      </c>
      <c r="Q19" s="8">
        <f>_xlfn.XLOOKUP(LEFT($C19,LEN($C19)-5)&amp;"DMD",Demand!$E:$E,Demand!S:S)</f>
        <v>5.372420040307655</v>
      </c>
      <c r="R19" s="8">
        <f>_xlfn.XLOOKUP(LEFT($C19,LEN($C19)-5)&amp;"DMD",Demand!$E:$E,Demand!T:T)</f>
        <v>5.8521004010494098</v>
      </c>
      <c r="S19" s="8">
        <f>_xlfn.XLOOKUP(LEFT($C19,LEN($C19)-5)&amp;"DMD",Demand!$E:$E,Demand!U:U)</f>
        <v>6.3317807617911646</v>
      </c>
      <c r="T19" s="8">
        <f>_xlfn.XLOOKUP(LEFT($C19,LEN($C19)-5)&amp;"DMD",Demand!$E:$E,Demand!V:V)</f>
        <v>6.8114611225329194</v>
      </c>
      <c r="U19" s="8">
        <f>_xlfn.XLOOKUP(LEFT($C19,LEN($C19)-5)&amp;"DMD",Demand!$E:$E,Demand!W:W)</f>
        <v>7.2911414832746742</v>
      </c>
      <c r="V19" s="8">
        <f>_xlfn.XLOOKUP(LEFT($C19,LEN($C19)-5)&amp;"DMD",Demand!$E:$E,Demand!X:X)</f>
        <v>7.7708218440164289</v>
      </c>
      <c r="Y19" t="str">
        <f>IF('RET TECH'!N14=1,'RET TECH'!M14,"*")</f>
        <v>RESHOULONewSHENVIECC20</v>
      </c>
      <c r="Z19" t="str">
        <f>IF(Y19="","",_xlfn.XLOOKUP(Y19,'RET TECH'!M:M,'RET TECH'!K:K))</f>
        <v>RESHOULONewSHRET</v>
      </c>
      <c r="AA19" t="str">
        <f>IF(Y19="","",_xlfn.XLOOKUP(Y19,'RET TECH'!M:M,'RET TECH'!L:L))</f>
        <v>RESHOULONewSHEUE</v>
      </c>
      <c r="AB19">
        <f>IF(Y19="","",'City characteristics'!$C$20+1)</f>
        <v>2020</v>
      </c>
      <c r="AC19" s="12">
        <f>IF(Y19="","",_xlfn.XLOOKUP(Y19,'RET TECH'!M:M,'RET TECH'!T:T))</f>
        <v>30</v>
      </c>
      <c r="AD19" s="12">
        <f>IF(Y19="","",_xlfn.XLOOKUP(Y19,'RET TECH'!M:M,'RET TECH'!S:S))</f>
        <v>118.14422408163639</v>
      </c>
      <c r="AE19">
        <f>IF(Y19="","",_xlfn.XLOOKUP(Y19,'RET TECH'!M:M,'RET TECH'!V:V))</f>
        <v>31.536000000000001</v>
      </c>
      <c r="AF19" s="12">
        <f>IF(Y19="","",_xlfn.XLOOKUP(Y19,'RET TECH'!M:M,'RET TECH'!U:U))</f>
        <v>9.0305172134094655E-2</v>
      </c>
      <c r="AG19" s="12">
        <f>IF(Y19="","",_xlfn.XLOOKUP(Y19,'RET TECH'!M:M,'RET TECH'!R:R))</f>
        <v>19569.316002970769</v>
      </c>
    </row>
    <row r="20" spans="2:33" x14ac:dyDescent="0.25">
      <c r="B20" t="str">
        <f>Def_Tech!C17</f>
        <v>RESAPAHINewSHRETMIN</v>
      </c>
      <c r="C20" t="str">
        <f>Def_Comm!C17</f>
        <v>RESAPAHINewSHRET</v>
      </c>
      <c r="D20">
        <v>1</v>
      </c>
      <c r="E20" s="8">
        <f>_xlfn.XLOOKUP(LEFT($C20,LEN($C20)-5)&amp;"DMD",Demand!$E:$E,Demand!G:G)</f>
        <v>0</v>
      </c>
      <c r="F20" s="8">
        <f>_xlfn.XLOOKUP(LEFT($C20,LEN($C20)-5)&amp;"DMD",Demand!$E:$E,Demand!H:H)</f>
        <v>0.33199358690427477</v>
      </c>
      <c r="G20" s="8">
        <f>_xlfn.XLOOKUP(LEFT($C20,LEN($C20)-5)&amp;"DMD",Demand!$E:$E,Demand!I:I)</f>
        <v>1.991961521425649</v>
      </c>
      <c r="H20" s="8">
        <f>_xlfn.XLOOKUP(LEFT($C20,LEN($C20)-5)&amp;"DMD",Demand!$E:$E,Demand!J:J)</f>
        <v>3.6519294559470228</v>
      </c>
      <c r="I20" s="8">
        <f>_xlfn.XLOOKUP(LEFT($C20,LEN($C20)-5)&amp;"DMD",Demand!$E:$E,Demand!K:K)</f>
        <v>5.3118973904683973</v>
      </c>
      <c r="J20" s="8">
        <f>_xlfn.XLOOKUP(LEFT($C20,LEN($C20)-5)&amp;"DMD",Demand!$E:$E,Demand!L:L)</f>
        <v>6.9718653249897713</v>
      </c>
      <c r="K20" s="8">
        <f>_xlfn.XLOOKUP(LEFT($C20,LEN($C20)-5)&amp;"DMD",Demand!$E:$E,Demand!M:M)</f>
        <v>8.6318332595111453</v>
      </c>
      <c r="L20" s="8">
        <f>_xlfn.XLOOKUP(LEFT($C20,LEN($C20)-5)&amp;"DMD",Demand!$E:$E,Demand!N:N)</f>
        <v>10.291801194032519</v>
      </c>
      <c r="M20" s="8">
        <f>_xlfn.XLOOKUP(LEFT($C20,LEN($C20)-5)&amp;"DMD",Demand!$E:$E,Demand!O:O)</f>
        <v>11.95176912855389</v>
      </c>
      <c r="N20" s="8">
        <f>_xlfn.XLOOKUP(LEFT($C20,LEN($C20)-5)&amp;"DMD",Demand!$E:$E,Demand!P:P)</f>
        <v>13.611737063075269</v>
      </c>
      <c r="O20" s="8">
        <f>_xlfn.XLOOKUP(LEFT($C20,LEN($C20)-5)&amp;"DMD",Demand!$E:$E,Demand!Q:Q)</f>
        <v>15.27170499759664</v>
      </c>
      <c r="P20" s="8">
        <f>_xlfn.XLOOKUP(LEFT($C20,LEN($C20)-5)&amp;"DMD",Demand!$E:$E,Demand!R:R)</f>
        <v>16.931672932118019</v>
      </c>
      <c r="Q20" s="8">
        <f>_xlfn.XLOOKUP(LEFT($C20,LEN($C20)-5)&amp;"DMD",Demand!$E:$E,Demand!S:S)</f>
        <v>18.591640866639391</v>
      </c>
      <c r="R20" s="8">
        <f>_xlfn.XLOOKUP(LEFT($C20,LEN($C20)-5)&amp;"DMD",Demand!$E:$E,Demand!T:T)</f>
        <v>20.25160880116076</v>
      </c>
      <c r="S20" s="8">
        <f>_xlfn.XLOOKUP(LEFT($C20,LEN($C20)-5)&amp;"DMD",Demand!$E:$E,Demand!U:U)</f>
        <v>21.911576735682139</v>
      </c>
      <c r="T20" s="8">
        <f>_xlfn.XLOOKUP(LEFT($C20,LEN($C20)-5)&amp;"DMD",Demand!$E:$E,Demand!V:V)</f>
        <v>23.571544670203519</v>
      </c>
      <c r="U20" s="8">
        <f>_xlfn.XLOOKUP(LEFT($C20,LEN($C20)-5)&amp;"DMD",Demand!$E:$E,Demand!W:W)</f>
        <v>25.231512604724891</v>
      </c>
      <c r="V20" s="8">
        <f>_xlfn.XLOOKUP(LEFT($C20,LEN($C20)-5)&amp;"DMD",Demand!$E:$E,Demand!X:X)</f>
        <v>26.89148053924627</v>
      </c>
      <c r="Y20" t="str">
        <f>IF('RET TECH'!N15=1,'RET TECH'!M15,"*")</f>
        <v>RESHOULONewSCENVESTAR20</v>
      </c>
      <c r="Z20" t="str">
        <f>IF(Y20="","",_xlfn.XLOOKUP(Y20,'RET TECH'!M:M,'RET TECH'!K:K))</f>
        <v>RESHOULONewSCRET</v>
      </c>
      <c r="AA20" t="str">
        <f>IF(Y20="","",_xlfn.XLOOKUP(Y20,'RET TECH'!M:M,'RET TECH'!L:L))</f>
        <v>RESHOULONewSCEUE</v>
      </c>
      <c r="AB20">
        <f>IF(Y20="","",'City characteristics'!$C$20+1)</f>
        <v>2020</v>
      </c>
      <c r="AC20" s="12">
        <f>IF(Y20="","",_xlfn.XLOOKUP(Y20,'RET TECH'!M:M,'RET TECH'!T:T))</f>
        <v>30</v>
      </c>
      <c r="AD20" s="12">
        <f>IF(Y20="","",_xlfn.XLOOKUP(Y20,'RET TECH'!M:M,'RET TECH'!S:S))</f>
        <v>17.802354882441751</v>
      </c>
      <c r="AE20">
        <f>IF(Y20="","",_xlfn.XLOOKUP(Y20,'RET TECH'!M:M,'RET TECH'!V:V))</f>
        <v>31.536000000000001</v>
      </c>
      <c r="AF20" s="12">
        <f>IF(Y20="","",_xlfn.XLOOKUP(Y20,'RET TECH'!M:M,'RET TECH'!U:U))</f>
        <v>8.0981185647948012E-2</v>
      </c>
      <c r="AG20" s="12">
        <f>IF(Y20="","",_xlfn.XLOOKUP(Y20,'RET TECH'!M:M,'RET TECH'!R:R))</f>
        <v>139046.82984733791</v>
      </c>
    </row>
    <row r="21" spans="2:33" x14ac:dyDescent="0.25">
      <c r="B21" t="str">
        <f>Def_Tech!C18</f>
        <v>RESAPAHINewSCRETMIN</v>
      </c>
      <c r="C21" t="str">
        <f>Def_Comm!C18</f>
        <v>RESAPAHINewSCRET</v>
      </c>
      <c r="D21">
        <v>1</v>
      </c>
      <c r="E21" s="8">
        <f>_xlfn.XLOOKUP(LEFT($C21,LEN($C21)-5)&amp;"DMD",Demand!$E:$E,Demand!G:G)</f>
        <v>0</v>
      </c>
      <c r="F21" s="8">
        <f>_xlfn.XLOOKUP(LEFT($C21,LEN($C21)-5)&amp;"DMD",Demand!$E:$E,Demand!H:H)</f>
        <v>0.33199358690427477</v>
      </c>
      <c r="G21" s="8">
        <f>_xlfn.XLOOKUP(LEFT($C21,LEN($C21)-5)&amp;"DMD",Demand!$E:$E,Demand!I:I)</f>
        <v>1.991961521425649</v>
      </c>
      <c r="H21" s="8">
        <f>_xlfn.XLOOKUP(LEFT($C21,LEN($C21)-5)&amp;"DMD",Demand!$E:$E,Demand!J:J)</f>
        <v>3.6519294559470228</v>
      </c>
      <c r="I21" s="8">
        <f>_xlfn.XLOOKUP(LEFT($C21,LEN($C21)-5)&amp;"DMD",Demand!$E:$E,Demand!K:K)</f>
        <v>5.3118973904683973</v>
      </c>
      <c r="J21" s="8">
        <f>_xlfn.XLOOKUP(LEFT($C21,LEN($C21)-5)&amp;"DMD",Demand!$E:$E,Demand!L:L)</f>
        <v>6.9718653249897713</v>
      </c>
      <c r="K21" s="8">
        <f>_xlfn.XLOOKUP(LEFT($C21,LEN($C21)-5)&amp;"DMD",Demand!$E:$E,Demand!M:M)</f>
        <v>8.6318332595111453</v>
      </c>
      <c r="L21" s="8">
        <f>_xlfn.XLOOKUP(LEFT($C21,LEN($C21)-5)&amp;"DMD",Demand!$E:$E,Demand!N:N)</f>
        <v>10.291801194032519</v>
      </c>
      <c r="M21" s="8">
        <f>_xlfn.XLOOKUP(LEFT($C21,LEN($C21)-5)&amp;"DMD",Demand!$E:$E,Demand!O:O)</f>
        <v>11.95176912855389</v>
      </c>
      <c r="N21" s="8">
        <f>_xlfn.XLOOKUP(LEFT($C21,LEN($C21)-5)&amp;"DMD",Demand!$E:$E,Demand!P:P)</f>
        <v>13.611737063075269</v>
      </c>
      <c r="O21" s="8">
        <f>_xlfn.XLOOKUP(LEFT($C21,LEN($C21)-5)&amp;"DMD",Demand!$E:$E,Demand!Q:Q)</f>
        <v>15.27170499759664</v>
      </c>
      <c r="P21" s="8">
        <f>_xlfn.XLOOKUP(LEFT($C21,LEN($C21)-5)&amp;"DMD",Demand!$E:$E,Demand!R:R)</f>
        <v>16.931672932118019</v>
      </c>
      <c r="Q21" s="8">
        <f>_xlfn.XLOOKUP(LEFT($C21,LEN($C21)-5)&amp;"DMD",Demand!$E:$E,Demand!S:S)</f>
        <v>18.591640866639391</v>
      </c>
      <c r="R21" s="8">
        <f>_xlfn.XLOOKUP(LEFT($C21,LEN($C21)-5)&amp;"DMD",Demand!$E:$E,Demand!T:T)</f>
        <v>20.25160880116076</v>
      </c>
      <c r="S21" s="8">
        <f>_xlfn.XLOOKUP(LEFT($C21,LEN($C21)-5)&amp;"DMD",Demand!$E:$E,Demand!U:U)</f>
        <v>21.911576735682139</v>
      </c>
      <c r="T21" s="8">
        <f>_xlfn.XLOOKUP(LEFT($C21,LEN($C21)-5)&amp;"DMD",Demand!$E:$E,Demand!V:V)</f>
        <v>23.571544670203519</v>
      </c>
      <c r="U21" s="8">
        <f>_xlfn.XLOOKUP(LEFT($C21,LEN($C21)-5)&amp;"DMD",Demand!$E:$E,Demand!W:W)</f>
        <v>25.231512604724891</v>
      </c>
      <c r="V21" s="8">
        <f>_xlfn.XLOOKUP(LEFT($C21,LEN($C21)-5)&amp;"DMD",Demand!$E:$E,Demand!X:X)</f>
        <v>26.89148053924627</v>
      </c>
      <c r="Y21" t="str">
        <f>IF('RET TECH'!N16=1,'RET TECH'!M16,"*")</f>
        <v>RESHOULONewSCENVPATH20</v>
      </c>
      <c r="Z21" t="str">
        <f>IF(Y21="","",_xlfn.XLOOKUP(Y21,'RET TECH'!M:M,'RET TECH'!K:K))</f>
        <v>RESHOULONewSCRET</v>
      </c>
      <c r="AA21" t="str">
        <f>IF(Y21="","",_xlfn.XLOOKUP(Y21,'RET TECH'!M:M,'RET TECH'!L:L))</f>
        <v>RESHOULONewSCEUE</v>
      </c>
      <c r="AB21">
        <f>IF(Y21="","",'City characteristics'!$C$20+1)</f>
        <v>2020</v>
      </c>
      <c r="AC21" s="12">
        <f>IF(Y21="","",_xlfn.XLOOKUP(Y21,'RET TECH'!M:M,'RET TECH'!T:T))</f>
        <v>30</v>
      </c>
      <c r="AD21" s="12">
        <f>IF(Y21="","",_xlfn.XLOOKUP(Y21,'RET TECH'!M:M,'RET TECH'!S:S))</f>
        <v>19.753643553999261</v>
      </c>
      <c r="AE21">
        <f>IF(Y21="","",_xlfn.XLOOKUP(Y21,'RET TECH'!M:M,'RET TECH'!V:V))</f>
        <v>31.536000000000001</v>
      </c>
      <c r="AF21" s="12">
        <f>IF(Y21="","",_xlfn.XLOOKUP(Y21,'RET TECH'!M:M,'RET TECH'!U:U))</f>
        <v>8.0981185647948012E-2</v>
      </c>
      <c r="AG21" s="12">
        <f>IF(Y21="","",_xlfn.XLOOKUP(Y21,'RET TECH'!M:M,'RET TECH'!R:R))</f>
        <v>188941.70178027509</v>
      </c>
    </row>
    <row r="22" spans="2:33" x14ac:dyDescent="0.25">
      <c r="B22" t="str">
        <f>Def_Tech!C19</f>
        <v>RESHOUHINewSHRETMIN</v>
      </c>
      <c r="C22" t="str">
        <f>Def_Comm!C19</f>
        <v>RESHOUHINewSHRET</v>
      </c>
      <c r="D22">
        <v>1</v>
      </c>
      <c r="E22" s="8">
        <f>_xlfn.XLOOKUP(LEFT($C22,LEN($C22)-5)&amp;"DMD",Demand!$E:$E,Demand!G:G)</f>
        <v>0</v>
      </c>
      <c r="F22" s="8">
        <f>_xlfn.XLOOKUP(LEFT($C22,LEN($C22)-5)&amp;"DMD",Demand!$E:$E,Demand!H:H)</f>
        <v>0.48276025423220698</v>
      </c>
      <c r="G22" s="8">
        <f>_xlfn.XLOOKUP(LEFT($C22,LEN($C22)-5)&amp;"DMD",Demand!$E:$E,Demand!I:I)</f>
        <v>2.896561525393242</v>
      </c>
      <c r="H22" s="8">
        <f>_xlfn.XLOOKUP(LEFT($C22,LEN($C22)-5)&amp;"DMD",Demand!$E:$E,Demand!J:J)</f>
        <v>5.3103627965542781</v>
      </c>
      <c r="I22" s="8">
        <f>_xlfn.XLOOKUP(LEFT($C22,LEN($C22)-5)&amp;"DMD",Demand!$E:$E,Demand!K:K)</f>
        <v>7.7241640677153134</v>
      </c>
      <c r="J22" s="8">
        <f>_xlfn.XLOOKUP(LEFT($C22,LEN($C22)-5)&amp;"DMD",Demand!$E:$E,Demand!L:L)</f>
        <v>10.13796533887635</v>
      </c>
      <c r="K22" s="8">
        <f>_xlfn.XLOOKUP(LEFT($C22,LEN($C22)-5)&amp;"DMD",Demand!$E:$E,Demand!M:M)</f>
        <v>12.551766610037379</v>
      </c>
      <c r="L22" s="8">
        <f>_xlfn.XLOOKUP(LEFT($C22,LEN($C22)-5)&amp;"DMD",Demand!$E:$E,Demand!N:N)</f>
        <v>14.965567881198419</v>
      </c>
      <c r="M22" s="8">
        <f>_xlfn.XLOOKUP(LEFT($C22,LEN($C22)-5)&amp;"DMD",Demand!$E:$E,Demand!O:O)</f>
        <v>17.379369152359448</v>
      </c>
      <c r="N22" s="8">
        <f>_xlfn.XLOOKUP(LEFT($C22,LEN($C22)-5)&amp;"DMD",Demand!$E:$E,Demand!P:P)</f>
        <v>19.79317042352049</v>
      </c>
      <c r="O22" s="8">
        <f>_xlfn.XLOOKUP(LEFT($C22,LEN($C22)-5)&amp;"DMD",Demand!$E:$E,Demand!Q:Q)</f>
        <v>22.206971694681521</v>
      </c>
      <c r="P22" s="8">
        <f>_xlfn.XLOOKUP(LEFT($C22,LEN($C22)-5)&amp;"DMD",Demand!$E:$E,Demand!R:R)</f>
        <v>24.620772965842551</v>
      </c>
      <c r="Q22" s="8">
        <f>_xlfn.XLOOKUP(LEFT($C22,LEN($C22)-5)&amp;"DMD",Demand!$E:$E,Demand!S:S)</f>
        <v>27.034574237003589</v>
      </c>
      <c r="R22" s="8">
        <f>_xlfn.XLOOKUP(LEFT($C22,LEN($C22)-5)&amp;"DMD",Demand!$E:$E,Demand!T:T)</f>
        <v>29.44837550816462</v>
      </c>
      <c r="S22" s="8">
        <f>_xlfn.XLOOKUP(LEFT($C22,LEN($C22)-5)&amp;"DMD",Demand!$E:$E,Demand!U:U)</f>
        <v>31.862176779325662</v>
      </c>
      <c r="T22" s="8">
        <f>_xlfn.XLOOKUP(LEFT($C22,LEN($C22)-5)&amp;"DMD",Demand!$E:$E,Demand!V:V)</f>
        <v>34.275978050486692</v>
      </c>
      <c r="U22" s="8">
        <f>_xlfn.XLOOKUP(LEFT($C22,LEN($C22)-5)&amp;"DMD",Demand!$E:$E,Demand!W:W)</f>
        <v>36.689779321647727</v>
      </c>
      <c r="V22" s="8">
        <f>_xlfn.XLOOKUP(LEFT($C22,LEN($C22)-5)&amp;"DMD",Demand!$E:$E,Demand!X:X)</f>
        <v>39.103580592808761</v>
      </c>
      <c r="Y22" t="str">
        <f>IF('RET TECH'!N17=1,'RET TECH'!M17,"*")</f>
        <v>RESHOULONewSCENVIECC4020</v>
      </c>
      <c r="Z22" t="str">
        <f>IF(Y22="","",_xlfn.XLOOKUP(Y22,'RET TECH'!M:M,'RET TECH'!K:K))</f>
        <v>RESHOULONewSCRET</v>
      </c>
      <c r="AA22" t="str">
        <f>IF(Y22="","",_xlfn.XLOOKUP(Y22,'RET TECH'!M:M,'RET TECH'!L:L))</f>
        <v>RESHOULONewSCEUE</v>
      </c>
      <c r="AB22">
        <f>IF(Y22="","",'City characteristics'!$C$20+1)</f>
        <v>2020</v>
      </c>
      <c r="AC22" s="12">
        <f>IF(Y22="","",_xlfn.XLOOKUP(Y22,'RET TECH'!M:M,'RET TECH'!T:T))</f>
        <v>30</v>
      </c>
      <c r="AD22" s="12">
        <f>IF(Y22="","",_xlfn.XLOOKUP(Y22,'RET TECH'!M:M,'RET TECH'!S:S))</f>
        <v>18.38732405171492</v>
      </c>
      <c r="AE22">
        <f>IF(Y22="","",_xlfn.XLOOKUP(Y22,'RET TECH'!M:M,'RET TECH'!V:V))</f>
        <v>31.536000000000001</v>
      </c>
      <c r="AF22" s="12">
        <f>IF(Y22="","",_xlfn.XLOOKUP(Y22,'RET TECH'!M:M,'RET TECH'!U:U))</f>
        <v>8.0981185647948012E-2</v>
      </c>
      <c r="AG22" s="12">
        <f>IF(Y22="","",_xlfn.XLOOKUP(Y22,'RET TECH'!M:M,'RET TECH'!R:R))</f>
        <v>170984.97473536621</v>
      </c>
    </row>
    <row r="23" spans="2:33" x14ac:dyDescent="0.25">
      <c r="B23" t="str">
        <f>Def_Tech!C20</f>
        <v>RESHOUHINewSCRETMIN</v>
      </c>
      <c r="C23" t="str">
        <f>Def_Comm!C20</f>
        <v>RESHOUHINewSCRET</v>
      </c>
      <c r="D23">
        <v>1</v>
      </c>
      <c r="E23" s="8">
        <f>_xlfn.XLOOKUP(LEFT($C23,LEN($C23)-5)&amp;"DMD",Demand!$E:$E,Demand!G:G)</f>
        <v>0</v>
      </c>
      <c r="F23" s="8">
        <f>_xlfn.XLOOKUP(LEFT($C23,LEN($C23)-5)&amp;"DMD",Demand!$E:$E,Demand!H:H)</f>
        <v>0.48276025423220698</v>
      </c>
      <c r="G23" s="8">
        <f>_xlfn.XLOOKUP(LEFT($C23,LEN($C23)-5)&amp;"DMD",Demand!$E:$E,Demand!I:I)</f>
        <v>2.896561525393242</v>
      </c>
      <c r="H23" s="8">
        <f>_xlfn.XLOOKUP(LEFT($C23,LEN($C23)-5)&amp;"DMD",Demand!$E:$E,Demand!J:J)</f>
        <v>5.3103627965542781</v>
      </c>
      <c r="I23" s="8">
        <f>_xlfn.XLOOKUP(LEFT($C23,LEN($C23)-5)&amp;"DMD",Demand!$E:$E,Demand!K:K)</f>
        <v>7.7241640677153134</v>
      </c>
      <c r="J23" s="8">
        <f>_xlfn.XLOOKUP(LEFT($C23,LEN($C23)-5)&amp;"DMD",Demand!$E:$E,Demand!L:L)</f>
        <v>10.13796533887635</v>
      </c>
      <c r="K23" s="8">
        <f>_xlfn.XLOOKUP(LEFT($C23,LEN($C23)-5)&amp;"DMD",Demand!$E:$E,Demand!M:M)</f>
        <v>12.551766610037379</v>
      </c>
      <c r="L23" s="8">
        <f>_xlfn.XLOOKUP(LEFT($C23,LEN($C23)-5)&amp;"DMD",Demand!$E:$E,Demand!N:N)</f>
        <v>14.965567881198419</v>
      </c>
      <c r="M23" s="8">
        <f>_xlfn.XLOOKUP(LEFT($C23,LEN($C23)-5)&amp;"DMD",Demand!$E:$E,Demand!O:O)</f>
        <v>17.379369152359448</v>
      </c>
      <c r="N23" s="8">
        <f>_xlfn.XLOOKUP(LEFT($C23,LEN($C23)-5)&amp;"DMD",Demand!$E:$E,Demand!P:P)</f>
        <v>19.79317042352049</v>
      </c>
      <c r="O23" s="8">
        <f>_xlfn.XLOOKUP(LEFT($C23,LEN($C23)-5)&amp;"DMD",Demand!$E:$E,Demand!Q:Q)</f>
        <v>22.206971694681521</v>
      </c>
      <c r="P23" s="8">
        <f>_xlfn.XLOOKUP(LEFT($C23,LEN($C23)-5)&amp;"DMD",Demand!$E:$E,Demand!R:R)</f>
        <v>24.620772965842551</v>
      </c>
      <c r="Q23" s="8">
        <f>_xlfn.XLOOKUP(LEFT($C23,LEN($C23)-5)&amp;"DMD",Demand!$E:$E,Demand!S:S)</f>
        <v>27.034574237003589</v>
      </c>
      <c r="R23" s="8">
        <f>_xlfn.XLOOKUP(LEFT($C23,LEN($C23)-5)&amp;"DMD",Demand!$E:$E,Demand!T:T)</f>
        <v>29.44837550816462</v>
      </c>
      <c r="S23" s="8">
        <f>_xlfn.XLOOKUP(LEFT($C23,LEN($C23)-5)&amp;"DMD",Demand!$E:$E,Demand!U:U)</f>
        <v>31.862176779325662</v>
      </c>
      <c r="T23" s="8">
        <f>_xlfn.XLOOKUP(LEFT($C23,LEN($C23)-5)&amp;"DMD",Demand!$E:$E,Demand!V:V)</f>
        <v>34.275978050486692</v>
      </c>
      <c r="U23" s="8">
        <f>_xlfn.XLOOKUP(LEFT($C23,LEN($C23)-5)&amp;"DMD",Demand!$E:$E,Demand!W:W)</f>
        <v>36.689779321647727</v>
      </c>
      <c r="V23" s="8">
        <f>_xlfn.XLOOKUP(LEFT($C23,LEN($C23)-5)&amp;"DMD",Demand!$E:$E,Demand!X:X)</f>
        <v>39.103580592808761</v>
      </c>
      <c r="Y23" t="str">
        <f>IF('RET TECH'!N18=1,'RET TECH'!M18,"*")</f>
        <v>RESHOULONewSCENVIECC20</v>
      </c>
      <c r="Z23" t="str">
        <f>IF(Y23="","",_xlfn.XLOOKUP(Y23,'RET TECH'!M:M,'RET TECH'!K:K))</f>
        <v>RESHOULONewSCRET</v>
      </c>
      <c r="AA23" t="str">
        <f>IF(Y23="","",_xlfn.XLOOKUP(Y23,'RET TECH'!M:M,'RET TECH'!L:L))</f>
        <v>RESHOULONewSCEUE</v>
      </c>
      <c r="AB23">
        <f>IF(Y23="","",'City characteristics'!$C$20+1)</f>
        <v>2020</v>
      </c>
      <c r="AC23" s="12">
        <f>IF(Y23="","",_xlfn.XLOOKUP(Y23,'RET TECH'!M:M,'RET TECH'!T:T))</f>
        <v>30</v>
      </c>
      <c r="AD23" s="12">
        <f>IF(Y23="","",_xlfn.XLOOKUP(Y23,'RET TECH'!M:M,'RET TECH'!S:S))</f>
        <v>14.188933948361839</v>
      </c>
      <c r="AE23">
        <f>IF(Y23="","",_xlfn.XLOOKUP(Y23,'RET TECH'!M:M,'RET TECH'!V:V))</f>
        <v>31.536000000000001</v>
      </c>
      <c r="AF23" s="12">
        <f>IF(Y23="","",_xlfn.XLOOKUP(Y23,'RET TECH'!M:M,'RET TECH'!U:U))</f>
        <v>8.0981185647948012E-2</v>
      </c>
      <c r="AG23" s="12">
        <f>IF(Y23="","",_xlfn.XLOOKUP(Y23,'RET TECH'!M:M,'RET TECH'!R:R))</f>
        <v>162944.00011963249</v>
      </c>
    </row>
    <row r="24" spans="2:33" x14ac:dyDescent="0.25">
      <c r="B24" t="str">
        <f>Def_Tech!C21</f>
        <v>RESAPALOOldSHRETMIN</v>
      </c>
      <c r="C24" t="str">
        <f>Def_Comm!C21</f>
        <v>RESAPALOOldSHRET</v>
      </c>
      <c r="D24">
        <v>1</v>
      </c>
      <c r="E24" s="8">
        <f>_xlfn.XLOOKUP(LEFT($C24,LEN($C24)-5)&amp;"DMD",Demand!$E:$E,Demand!G:G)</f>
        <v>51.80787747749153</v>
      </c>
      <c r="F24" s="8">
        <f>_xlfn.XLOOKUP(LEFT($C24,LEN($C24)-5)&amp;"DMD",Demand!$E:$E,Demand!H:H)</f>
        <v>51.80787747749153</v>
      </c>
      <c r="G24" s="8">
        <f>_xlfn.XLOOKUP(LEFT($C24,LEN($C24)-5)&amp;"DMD",Demand!$E:$E,Demand!I:I)</f>
        <v>51.80787747749153</v>
      </c>
      <c r="H24" s="8">
        <f>_xlfn.XLOOKUP(LEFT($C24,LEN($C24)-5)&amp;"DMD",Demand!$E:$E,Demand!J:J)</f>
        <v>51.80787747749153</v>
      </c>
      <c r="I24" s="8">
        <f>_xlfn.XLOOKUP(LEFT($C24,LEN($C24)-5)&amp;"DMD",Demand!$E:$E,Demand!K:K)</f>
        <v>51.80787747749153</v>
      </c>
      <c r="J24" s="8">
        <f>_xlfn.XLOOKUP(LEFT($C24,LEN($C24)-5)&amp;"DMD",Demand!$E:$E,Demand!L:L)</f>
        <v>51.80787747749153</v>
      </c>
      <c r="K24" s="8">
        <f>_xlfn.XLOOKUP(LEFT($C24,LEN($C24)-5)&amp;"DMD",Demand!$E:$E,Demand!M:M)</f>
        <v>51.80787747749153</v>
      </c>
      <c r="L24" s="8">
        <f>_xlfn.XLOOKUP(LEFT($C24,LEN($C24)-5)&amp;"DMD",Demand!$E:$E,Demand!N:N)</f>
        <v>51.80787747749153</v>
      </c>
      <c r="M24" s="8">
        <f>_xlfn.XLOOKUP(LEFT($C24,LEN($C24)-5)&amp;"DMD",Demand!$E:$E,Demand!O:O)</f>
        <v>51.80787747749153</v>
      </c>
      <c r="N24" s="8">
        <f>_xlfn.XLOOKUP(LEFT($C24,LEN($C24)-5)&amp;"DMD",Demand!$E:$E,Demand!P:P)</f>
        <v>51.80787747749153</v>
      </c>
      <c r="O24" s="8">
        <f>_xlfn.XLOOKUP(LEFT($C24,LEN($C24)-5)&amp;"DMD",Demand!$E:$E,Demand!Q:Q)</f>
        <v>51.80787747749153</v>
      </c>
      <c r="P24" s="8">
        <f>_xlfn.XLOOKUP(LEFT($C24,LEN($C24)-5)&amp;"DMD",Demand!$E:$E,Demand!R:R)</f>
        <v>51.80787747749153</v>
      </c>
      <c r="Q24" s="8">
        <f>_xlfn.XLOOKUP(LEFT($C24,LEN($C24)-5)&amp;"DMD",Demand!$E:$E,Demand!S:S)</f>
        <v>51.80787747749153</v>
      </c>
      <c r="R24" s="8">
        <f>_xlfn.XLOOKUP(LEFT($C24,LEN($C24)-5)&amp;"DMD",Demand!$E:$E,Demand!T:T)</f>
        <v>51.80787747749153</v>
      </c>
      <c r="S24" s="8">
        <f>_xlfn.XLOOKUP(LEFT($C24,LEN($C24)-5)&amp;"DMD",Demand!$E:$E,Demand!U:U)</f>
        <v>51.80787747749153</v>
      </c>
      <c r="T24" s="8">
        <f>_xlfn.XLOOKUP(LEFT($C24,LEN($C24)-5)&amp;"DMD",Demand!$E:$E,Demand!V:V)</f>
        <v>51.80787747749153</v>
      </c>
      <c r="U24" s="8">
        <f>_xlfn.XLOOKUP(LEFT($C24,LEN($C24)-5)&amp;"DMD",Demand!$E:$E,Demand!W:W)</f>
        <v>51.80787747749153</v>
      </c>
      <c r="V24" s="8">
        <f>_xlfn.XLOOKUP(LEFT($C24,LEN($C24)-5)&amp;"DMD",Demand!$E:$E,Demand!X:X)</f>
        <v>51.80787747749153</v>
      </c>
      <c r="Y24" t="str">
        <f>IF('RET TECH'!N19=1,'RET TECH'!M19,"*")</f>
        <v>RESAPALMNewSHENVESTAR20</v>
      </c>
      <c r="Z24" t="str">
        <f>IF(Y24="","",_xlfn.XLOOKUP(Y24,'RET TECH'!M:M,'RET TECH'!K:K))</f>
        <v>RESAPALMNewSHRET</v>
      </c>
      <c r="AA24" t="str">
        <f>IF(Y24="","",_xlfn.XLOOKUP(Y24,'RET TECH'!M:M,'RET TECH'!L:L))</f>
        <v>RESAPALMNewSHEUE</v>
      </c>
      <c r="AB24">
        <f>IF(Y24="","",'City characteristics'!$C$20+1)</f>
        <v>2020</v>
      </c>
      <c r="AC24" s="12">
        <f>IF(Y24="","",_xlfn.XLOOKUP(Y24,'RET TECH'!M:M,'RET TECH'!T:T))</f>
        <v>30</v>
      </c>
      <c r="AD24" s="12">
        <f>IF(Y24="","",_xlfn.XLOOKUP(Y24,'RET TECH'!M:M,'RET TECH'!S:S))</f>
        <v>38.962364258124403</v>
      </c>
      <c r="AE24">
        <f>IF(Y24="","",_xlfn.XLOOKUP(Y24,'RET TECH'!M:M,'RET TECH'!V:V))</f>
        <v>31.536000000000001</v>
      </c>
      <c r="AF24" s="12">
        <f>IF(Y24="","",_xlfn.XLOOKUP(Y24,'RET TECH'!M:M,'RET TECH'!U:U))</f>
        <v>9.0799342577003436E-2</v>
      </c>
      <c r="AG24" s="12">
        <f>IF(Y24="","",_xlfn.XLOOKUP(Y24,'RET TECH'!M:M,'RET TECH'!R:R))</f>
        <v>24710.101215290371</v>
      </c>
    </row>
    <row r="25" spans="2:33" x14ac:dyDescent="0.25">
      <c r="B25" t="str">
        <f>Def_Tech!C22</f>
        <v>RESAPALOOldSCRETMIN</v>
      </c>
      <c r="C25" t="str">
        <f>Def_Comm!C22</f>
        <v>RESAPALOOldSCRET</v>
      </c>
      <c r="D25">
        <v>1</v>
      </c>
      <c r="E25" s="8">
        <f>_xlfn.XLOOKUP(LEFT($C25,LEN($C25)-5)&amp;"DMD",Demand!$E:$E,Demand!G:G)</f>
        <v>51.80787747749153</v>
      </c>
      <c r="F25" s="8">
        <f>_xlfn.XLOOKUP(LEFT($C25,LEN($C25)-5)&amp;"DMD",Demand!$E:$E,Demand!H:H)</f>
        <v>51.80787747749153</v>
      </c>
      <c r="G25" s="8">
        <f>_xlfn.XLOOKUP(LEFT($C25,LEN($C25)-5)&amp;"DMD",Demand!$E:$E,Demand!I:I)</f>
        <v>51.80787747749153</v>
      </c>
      <c r="H25" s="8">
        <f>_xlfn.XLOOKUP(LEFT($C25,LEN($C25)-5)&amp;"DMD",Demand!$E:$E,Demand!J:J)</f>
        <v>51.80787747749153</v>
      </c>
      <c r="I25" s="8">
        <f>_xlfn.XLOOKUP(LEFT($C25,LEN($C25)-5)&amp;"DMD",Demand!$E:$E,Demand!K:K)</f>
        <v>51.80787747749153</v>
      </c>
      <c r="J25" s="8">
        <f>_xlfn.XLOOKUP(LEFT($C25,LEN($C25)-5)&amp;"DMD",Demand!$E:$E,Demand!L:L)</f>
        <v>51.80787747749153</v>
      </c>
      <c r="K25" s="8">
        <f>_xlfn.XLOOKUP(LEFT($C25,LEN($C25)-5)&amp;"DMD",Demand!$E:$E,Demand!M:M)</f>
        <v>51.80787747749153</v>
      </c>
      <c r="L25" s="8">
        <f>_xlfn.XLOOKUP(LEFT($C25,LEN($C25)-5)&amp;"DMD",Demand!$E:$E,Demand!N:N)</f>
        <v>51.80787747749153</v>
      </c>
      <c r="M25" s="8">
        <f>_xlfn.XLOOKUP(LEFT($C25,LEN($C25)-5)&amp;"DMD",Demand!$E:$E,Demand!O:O)</f>
        <v>51.80787747749153</v>
      </c>
      <c r="N25" s="8">
        <f>_xlfn.XLOOKUP(LEFT($C25,LEN($C25)-5)&amp;"DMD",Demand!$E:$E,Demand!P:P)</f>
        <v>51.80787747749153</v>
      </c>
      <c r="O25" s="8">
        <f>_xlfn.XLOOKUP(LEFT($C25,LEN($C25)-5)&amp;"DMD",Demand!$E:$E,Demand!Q:Q)</f>
        <v>51.80787747749153</v>
      </c>
      <c r="P25" s="8">
        <f>_xlfn.XLOOKUP(LEFT($C25,LEN($C25)-5)&amp;"DMD",Demand!$E:$E,Demand!R:R)</f>
        <v>51.80787747749153</v>
      </c>
      <c r="Q25" s="8">
        <f>_xlfn.XLOOKUP(LEFT($C25,LEN($C25)-5)&amp;"DMD",Demand!$E:$E,Demand!S:S)</f>
        <v>51.80787747749153</v>
      </c>
      <c r="R25" s="8">
        <f>_xlfn.XLOOKUP(LEFT($C25,LEN($C25)-5)&amp;"DMD",Demand!$E:$E,Demand!T:T)</f>
        <v>51.80787747749153</v>
      </c>
      <c r="S25" s="8">
        <f>_xlfn.XLOOKUP(LEFT($C25,LEN($C25)-5)&amp;"DMD",Demand!$E:$E,Demand!U:U)</f>
        <v>51.80787747749153</v>
      </c>
      <c r="T25" s="8">
        <f>_xlfn.XLOOKUP(LEFT($C25,LEN($C25)-5)&amp;"DMD",Demand!$E:$E,Demand!V:V)</f>
        <v>51.80787747749153</v>
      </c>
      <c r="U25" s="8">
        <f>_xlfn.XLOOKUP(LEFT($C25,LEN($C25)-5)&amp;"DMD",Demand!$E:$E,Demand!W:W)</f>
        <v>51.80787747749153</v>
      </c>
      <c r="V25" s="8">
        <f>_xlfn.XLOOKUP(LEFT($C25,LEN($C25)-5)&amp;"DMD",Demand!$E:$E,Demand!X:X)</f>
        <v>51.80787747749153</v>
      </c>
      <c r="Y25" t="str">
        <f>IF('RET TECH'!N20=1,'RET TECH'!M20,"*")</f>
        <v>RESAPALMNewSHENVPATH20</v>
      </c>
      <c r="Z25" t="str">
        <f>IF(Y25="","",_xlfn.XLOOKUP(Y25,'RET TECH'!M:M,'RET TECH'!K:K))</f>
        <v>RESAPALMNewSHRET</v>
      </c>
      <c r="AA25" t="str">
        <f>IF(Y25="","",_xlfn.XLOOKUP(Y25,'RET TECH'!M:M,'RET TECH'!L:L))</f>
        <v>RESAPALMNewSHEUE</v>
      </c>
      <c r="AB25">
        <f>IF(Y25="","",'City characteristics'!$C$20+1)</f>
        <v>2020</v>
      </c>
      <c r="AC25" s="12">
        <f>IF(Y25="","",_xlfn.XLOOKUP(Y25,'RET TECH'!M:M,'RET TECH'!T:T))</f>
        <v>30</v>
      </c>
      <c r="AD25" s="12">
        <f>IF(Y25="","",_xlfn.XLOOKUP(Y25,'RET TECH'!M:M,'RET TECH'!S:S))</f>
        <v>139.88262290980941</v>
      </c>
      <c r="AE25">
        <f>IF(Y25="","",_xlfn.XLOOKUP(Y25,'RET TECH'!M:M,'RET TECH'!V:V))</f>
        <v>31.536000000000001</v>
      </c>
      <c r="AF25" s="12">
        <f>IF(Y25="","",_xlfn.XLOOKUP(Y25,'RET TECH'!M:M,'RET TECH'!U:U))</f>
        <v>9.0799342577003436E-2</v>
      </c>
      <c r="AG25" s="12">
        <f>IF(Y25="","",_xlfn.XLOOKUP(Y25,'RET TECH'!M:M,'RET TECH'!R:R))</f>
        <v>11429.01347707578</v>
      </c>
    </row>
    <row r="26" spans="2:33" x14ac:dyDescent="0.25">
      <c r="B26" t="str">
        <f>Def_Tech!C23</f>
        <v>RESHOULOOldSHRETMIN</v>
      </c>
      <c r="C26" t="str">
        <f>Def_Comm!C23</f>
        <v>RESHOULOOldSHRET</v>
      </c>
      <c r="D26">
        <v>1</v>
      </c>
      <c r="E26" s="8">
        <f>_xlfn.XLOOKUP(LEFT($C26,LEN($C26)-5)&amp;"DMD",Demand!$E:$E,Demand!G:G)</f>
        <v>14.956798014988321</v>
      </c>
      <c r="F26" s="8">
        <f>_xlfn.XLOOKUP(LEFT($C26,LEN($C26)-5)&amp;"DMD",Demand!$E:$E,Demand!H:H)</f>
        <v>14.956798014988321</v>
      </c>
      <c r="G26" s="8">
        <f>_xlfn.XLOOKUP(LEFT($C26,LEN($C26)-5)&amp;"DMD",Demand!$E:$E,Demand!I:I)</f>
        <v>14.956798014988321</v>
      </c>
      <c r="H26" s="8">
        <f>_xlfn.XLOOKUP(LEFT($C26,LEN($C26)-5)&amp;"DMD",Demand!$E:$E,Demand!J:J)</f>
        <v>14.956798014988321</v>
      </c>
      <c r="I26" s="8">
        <f>_xlfn.XLOOKUP(LEFT($C26,LEN($C26)-5)&amp;"DMD",Demand!$E:$E,Demand!K:K)</f>
        <v>14.956798014988321</v>
      </c>
      <c r="J26" s="8">
        <f>_xlfn.XLOOKUP(LEFT($C26,LEN($C26)-5)&amp;"DMD",Demand!$E:$E,Demand!L:L)</f>
        <v>14.956798014988321</v>
      </c>
      <c r="K26" s="8">
        <f>_xlfn.XLOOKUP(LEFT($C26,LEN($C26)-5)&amp;"DMD",Demand!$E:$E,Demand!M:M)</f>
        <v>14.956798014988321</v>
      </c>
      <c r="L26" s="8">
        <f>_xlfn.XLOOKUP(LEFT($C26,LEN($C26)-5)&amp;"DMD",Demand!$E:$E,Demand!N:N)</f>
        <v>14.956798014988321</v>
      </c>
      <c r="M26" s="8">
        <f>_xlfn.XLOOKUP(LEFT($C26,LEN($C26)-5)&amp;"DMD",Demand!$E:$E,Demand!O:O)</f>
        <v>14.956798014988321</v>
      </c>
      <c r="N26" s="8">
        <f>_xlfn.XLOOKUP(LEFT($C26,LEN($C26)-5)&amp;"DMD",Demand!$E:$E,Demand!P:P)</f>
        <v>14.956798014988321</v>
      </c>
      <c r="O26" s="8">
        <f>_xlfn.XLOOKUP(LEFT($C26,LEN($C26)-5)&amp;"DMD",Demand!$E:$E,Demand!Q:Q)</f>
        <v>14.956798014988321</v>
      </c>
      <c r="P26" s="8">
        <f>_xlfn.XLOOKUP(LEFT($C26,LEN($C26)-5)&amp;"DMD",Demand!$E:$E,Demand!R:R)</f>
        <v>14.956798014988321</v>
      </c>
      <c r="Q26" s="8">
        <f>_xlfn.XLOOKUP(LEFT($C26,LEN($C26)-5)&amp;"DMD",Demand!$E:$E,Demand!S:S)</f>
        <v>14.956798014988321</v>
      </c>
      <c r="R26" s="8">
        <f>_xlfn.XLOOKUP(LEFT($C26,LEN($C26)-5)&amp;"DMD",Demand!$E:$E,Demand!T:T)</f>
        <v>14.956798014988321</v>
      </c>
      <c r="S26" s="8">
        <f>_xlfn.XLOOKUP(LEFT($C26,LEN($C26)-5)&amp;"DMD",Demand!$E:$E,Demand!U:U)</f>
        <v>14.956798014988321</v>
      </c>
      <c r="T26" s="8">
        <f>_xlfn.XLOOKUP(LEFT($C26,LEN($C26)-5)&amp;"DMD",Demand!$E:$E,Demand!V:V)</f>
        <v>14.956798014988321</v>
      </c>
      <c r="U26" s="8">
        <f>_xlfn.XLOOKUP(LEFT($C26,LEN($C26)-5)&amp;"DMD",Demand!$E:$E,Demand!W:W)</f>
        <v>14.956798014988321</v>
      </c>
      <c r="V26" s="8">
        <f>_xlfn.XLOOKUP(LEFT($C26,LEN($C26)-5)&amp;"DMD",Demand!$E:$E,Demand!X:X)</f>
        <v>14.956798014988321</v>
      </c>
      <c r="Y26" t="str">
        <f>IF('RET TECH'!N21=1,'RET TECH'!M21,"*")</f>
        <v>RESAPALMNewSHENVIECC4020</v>
      </c>
      <c r="Z26" t="str">
        <f>IF(Y26="","",_xlfn.XLOOKUP(Y26,'RET TECH'!M:M,'RET TECH'!K:K))</f>
        <v>RESAPALMNewSHRET</v>
      </c>
      <c r="AA26" t="str">
        <f>IF(Y26="","",_xlfn.XLOOKUP(Y26,'RET TECH'!M:M,'RET TECH'!L:L))</f>
        <v>RESAPALMNewSHEUE</v>
      </c>
      <c r="AB26">
        <f>IF(Y26="","",'City characteristics'!$C$20+1)</f>
        <v>2020</v>
      </c>
      <c r="AC26" s="12">
        <f>IF(Y26="","",_xlfn.XLOOKUP(Y26,'RET TECH'!M:M,'RET TECH'!T:T))</f>
        <v>30</v>
      </c>
      <c r="AD26" s="12">
        <f>IF(Y26="","",_xlfn.XLOOKUP(Y26,'RET TECH'!M:M,'RET TECH'!S:S))</f>
        <v>56.254079604972333</v>
      </c>
      <c r="AE26">
        <f>IF(Y26="","",_xlfn.XLOOKUP(Y26,'RET TECH'!M:M,'RET TECH'!V:V))</f>
        <v>31.536000000000001</v>
      </c>
      <c r="AF26" s="12">
        <f>IF(Y26="","",_xlfn.XLOOKUP(Y26,'RET TECH'!M:M,'RET TECH'!U:U))</f>
        <v>9.0799342577003436E-2</v>
      </c>
      <c r="AG26" s="12">
        <f>IF(Y26="","",_xlfn.XLOOKUP(Y26,'RET TECH'!M:M,'RET TECH'!R:R))</f>
        <v>23280.63667382743</v>
      </c>
    </row>
    <row r="27" spans="2:33" x14ac:dyDescent="0.25">
      <c r="B27" t="str">
        <f>Def_Tech!C24</f>
        <v>RESHOULOOldSCRETMIN</v>
      </c>
      <c r="C27" t="str">
        <f>Def_Comm!C24</f>
        <v>RESHOULOOldSCRET</v>
      </c>
      <c r="D27">
        <v>1</v>
      </c>
      <c r="E27" s="8">
        <f>_xlfn.XLOOKUP(LEFT($C27,LEN($C27)-5)&amp;"DMD",Demand!$E:$E,Demand!G:G)</f>
        <v>14.956798014988321</v>
      </c>
      <c r="F27" s="8">
        <f>_xlfn.XLOOKUP(LEFT($C27,LEN($C27)-5)&amp;"DMD",Demand!$E:$E,Demand!H:H)</f>
        <v>14.956798014988321</v>
      </c>
      <c r="G27" s="8">
        <f>_xlfn.XLOOKUP(LEFT($C27,LEN($C27)-5)&amp;"DMD",Demand!$E:$E,Demand!I:I)</f>
        <v>14.956798014988321</v>
      </c>
      <c r="H27" s="8">
        <f>_xlfn.XLOOKUP(LEFT($C27,LEN($C27)-5)&amp;"DMD",Demand!$E:$E,Demand!J:J)</f>
        <v>14.956798014988321</v>
      </c>
      <c r="I27" s="8">
        <f>_xlfn.XLOOKUP(LEFT($C27,LEN($C27)-5)&amp;"DMD",Demand!$E:$E,Demand!K:K)</f>
        <v>14.956798014988321</v>
      </c>
      <c r="J27" s="8">
        <f>_xlfn.XLOOKUP(LEFT($C27,LEN($C27)-5)&amp;"DMD",Demand!$E:$E,Demand!L:L)</f>
        <v>14.956798014988321</v>
      </c>
      <c r="K27" s="8">
        <f>_xlfn.XLOOKUP(LEFT($C27,LEN($C27)-5)&amp;"DMD",Demand!$E:$E,Demand!M:M)</f>
        <v>14.956798014988321</v>
      </c>
      <c r="L27" s="8">
        <f>_xlfn.XLOOKUP(LEFT($C27,LEN($C27)-5)&amp;"DMD",Demand!$E:$E,Demand!N:N)</f>
        <v>14.956798014988321</v>
      </c>
      <c r="M27" s="8">
        <f>_xlfn.XLOOKUP(LEFT($C27,LEN($C27)-5)&amp;"DMD",Demand!$E:$E,Demand!O:O)</f>
        <v>14.956798014988321</v>
      </c>
      <c r="N27" s="8">
        <f>_xlfn.XLOOKUP(LEFT($C27,LEN($C27)-5)&amp;"DMD",Demand!$E:$E,Demand!P:P)</f>
        <v>14.956798014988321</v>
      </c>
      <c r="O27" s="8">
        <f>_xlfn.XLOOKUP(LEFT($C27,LEN($C27)-5)&amp;"DMD",Demand!$E:$E,Demand!Q:Q)</f>
        <v>14.956798014988321</v>
      </c>
      <c r="P27" s="8">
        <f>_xlfn.XLOOKUP(LEFT($C27,LEN($C27)-5)&amp;"DMD",Demand!$E:$E,Demand!R:R)</f>
        <v>14.956798014988321</v>
      </c>
      <c r="Q27" s="8">
        <f>_xlfn.XLOOKUP(LEFT($C27,LEN($C27)-5)&amp;"DMD",Demand!$E:$E,Demand!S:S)</f>
        <v>14.956798014988321</v>
      </c>
      <c r="R27" s="8">
        <f>_xlfn.XLOOKUP(LEFT($C27,LEN($C27)-5)&amp;"DMD",Demand!$E:$E,Demand!T:T)</f>
        <v>14.956798014988321</v>
      </c>
      <c r="S27" s="8">
        <f>_xlfn.XLOOKUP(LEFT($C27,LEN($C27)-5)&amp;"DMD",Demand!$E:$E,Demand!U:U)</f>
        <v>14.956798014988321</v>
      </c>
      <c r="T27" s="8">
        <f>_xlfn.XLOOKUP(LEFT($C27,LEN($C27)-5)&amp;"DMD",Demand!$E:$E,Demand!V:V)</f>
        <v>14.956798014988321</v>
      </c>
      <c r="U27" s="8">
        <f>_xlfn.XLOOKUP(LEFT($C27,LEN($C27)-5)&amp;"DMD",Demand!$E:$E,Demand!W:W)</f>
        <v>14.956798014988321</v>
      </c>
      <c r="V27" s="8">
        <f>_xlfn.XLOOKUP(LEFT($C27,LEN($C27)-5)&amp;"DMD",Demand!$E:$E,Demand!X:X)</f>
        <v>14.956798014988321</v>
      </c>
      <c r="Y27" t="str">
        <f>IF('RET TECH'!N22=1,'RET TECH'!M22,"*")</f>
        <v>RESAPALMNewSHENVIECC20</v>
      </c>
      <c r="Z27" t="str">
        <f>IF(Y27="","",_xlfn.XLOOKUP(Y27,'RET TECH'!M:M,'RET TECH'!K:K))</f>
        <v>RESAPALMNewSHRET</v>
      </c>
      <c r="AA27" t="str">
        <f>IF(Y27="","",_xlfn.XLOOKUP(Y27,'RET TECH'!M:M,'RET TECH'!L:L))</f>
        <v>RESAPALMNewSHEUE</v>
      </c>
      <c r="AB27">
        <f>IF(Y27="","",'City characteristics'!$C$20+1)</f>
        <v>2020</v>
      </c>
      <c r="AC27" s="12">
        <f>IF(Y27="","",_xlfn.XLOOKUP(Y27,'RET TECH'!M:M,'RET TECH'!T:T))</f>
        <v>30</v>
      </c>
      <c r="AD27" s="12">
        <f>IF(Y27="","",_xlfn.XLOOKUP(Y27,'RET TECH'!M:M,'RET TECH'!S:S))</f>
        <v>34.956074401382701</v>
      </c>
      <c r="AE27">
        <f>IF(Y27="","",_xlfn.XLOOKUP(Y27,'RET TECH'!M:M,'RET TECH'!V:V))</f>
        <v>31.536000000000001</v>
      </c>
      <c r="AF27" s="12">
        <f>IF(Y27="","",_xlfn.XLOOKUP(Y27,'RET TECH'!M:M,'RET TECH'!U:U))</f>
        <v>9.0799342577003436E-2</v>
      </c>
      <c r="AG27" s="12">
        <f>IF(Y27="","",_xlfn.XLOOKUP(Y27,'RET TECH'!M:M,'RET TECH'!R:R))</f>
        <v>24446.908790025009</v>
      </c>
    </row>
    <row r="28" spans="2:33" x14ac:dyDescent="0.25">
      <c r="B28" t="str">
        <f>Def_Tech!C25</f>
        <v>RESAPALMOldSHRETMIN</v>
      </c>
      <c r="C28" t="str">
        <f>Def_Comm!C25</f>
        <v>RESAPALMOldSHRET</v>
      </c>
      <c r="D28">
        <v>1</v>
      </c>
      <c r="E28" s="8">
        <f>_xlfn.XLOOKUP(LEFT($C28,LEN($C28)-5)&amp;"DMD",Demand!$E:$E,Demand!G:G)</f>
        <v>57.121976335841403</v>
      </c>
      <c r="F28" s="8">
        <f>_xlfn.XLOOKUP(LEFT($C28,LEN($C28)-5)&amp;"DMD",Demand!$E:$E,Demand!H:H)</f>
        <v>57.121976335841403</v>
      </c>
      <c r="G28" s="8">
        <f>_xlfn.XLOOKUP(LEFT($C28,LEN($C28)-5)&amp;"DMD",Demand!$E:$E,Demand!I:I)</f>
        <v>57.121976335841403</v>
      </c>
      <c r="H28" s="8">
        <f>_xlfn.XLOOKUP(LEFT($C28,LEN($C28)-5)&amp;"DMD",Demand!$E:$E,Demand!J:J)</f>
        <v>57.121976335841403</v>
      </c>
      <c r="I28" s="8">
        <f>_xlfn.XLOOKUP(LEFT($C28,LEN($C28)-5)&amp;"DMD",Demand!$E:$E,Demand!K:K)</f>
        <v>57.121976335841403</v>
      </c>
      <c r="J28" s="8">
        <f>_xlfn.XLOOKUP(LEFT($C28,LEN($C28)-5)&amp;"DMD",Demand!$E:$E,Demand!L:L)</f>
        <v>57.121976335841403</v>
      </c>
      <c r="K28" s="8">
        <f>_xlfn.XLOOKUP(LEFT($C28,LEN($C28)-5)&amp;"DMD",Demand!$E:$E,Demand!M:M)</f>
        <v>57.121976335841403</v>
      </c>
      <c r="L28" s="8">
        <f>_xlfn.XLOOKUP(LEFT($C28,LEN($C28)-5)&amp;"DMD",Demand!$E:$E,Demand!N:N)</f>
        <v>57.121976335841403</v>
      </c>
      <c r="M28" s="8">
        <f>_xlfn.XLOOKUP(LEFT($C28,LEN($C28)-5)&amp;"DMD",Demand!$E:$E,Demand!O:O)</f>
        <v>57.121976335841403</v>
      </c>
      <c r="N28" s="8">
        <f>_xlfn.XLOOKUP(LEFT($C28,LEN($C28)-5)&amp;"DMD",Demand!$E:$E,Demand!P:P)</f>
        <v>57.121976335841403</v>
      </c>
      <c r="O28" s="8">
        <f>_xlfn.XLOOKUP(LEFT($C28,LEN($C28)-5)&amp;"DMD",Demand!$E:$E,Demand!Q:Q)</f>
        <v>57.121976335841403</v>
      </c>
      <c r="P28" s="8">
        <f>_xlfn.XLOOKUP(LEFT($C28,LEN($C28)-5)&amp;"DMD",Demand!$E:$E,Demand!R:R)</f>
        <v>57.121976335841403</v>
      </c>
      <c r="Q28" s="8">
        <f>_xlfn.XLOOKUP(LEFT($C28,LEN($C28)-5)&amp;"DMD",Demand!$E:$E,Demand!S:S)</f>
        <v>57.121976335841403</v>
      </c>
      <c r="R28" s="8">
        <f>_xlfn.XLOOKUP(LEFT($C28,LEN($C28)-5)&amp;"DMD",Demand!$E:$E,Demand!T:T)</f>
        <v>57.121976335841403</v>
      </c>
      <c r="S28" s="8">
        <f>_xlfn.XLOOKUP(LEFT($C28,LEN($C28)-5)&amp;"DMD",Demand!$E:$E,Demand!U:U)</f>
        <v>57.121976335841403</v>
      </c>
      <c r="T28" s="8">
        <f>_xlfn.XLOOKUP(LEFT($C28,LEN($C28)-5)&amp;"DMD",Demand!$E:$E,Demand!V:V)</f>
        <v>57.121976335841403</v>
      </c>
      <c r="U28" s="8">
        <f>_xlfn.XLOOKUP(LEFT($C28,LEN($C28)-5)&amp;"DMD",Demand!$E:$E,Demand!W:W)</f>
        <v>57.121976335841403</v>
      </c>
      <c r="V28" s="8">
        <f>_xlfn.XLOOKUP(LEFT($C28,LEN($C28)-5)&amp;"DMD",Demand!$E:$E,Demand!X:X)</f>
        <v>57.121976335841403</v>
      </c>
      <c r="Y28" t="str">
        <f>IF('RET TECH'!N23=1,'RET TECH'!M23,"*")</f>
        <v>*</v>
      </c>
      <c r="Z28">
        <f>IF(Y28="","",_xlfn.XLOOKUP(Y28,'RET TECH'!M:M,'RET TECH'!K:K))</f>
        <v>0</v>
      </c>
      <c r="AA28">
        <f>IF(Y28="","",_xlfn.XLOOKUP(Y28,'RET TECH'!M:M,'RET TECH'!L:L))</f>
        <v>0</v>
      </c>
      <c r="AB28">
        <f>IF(Y28="","",'City characteristics'!$C$20+1)</f>
        <v>2020</v>
      </c>
      <c r="AC28" s="12">
        <f>IF(Y28="","",_xlfn.XLOOKUP(Y28,'RET TECH'!M:M,'RET TECH'!T:T))</f>
        <v>0</v>
      </c>
      <c r="AD28" s="12">
        <f>IF(Y28="","",_xlfn.XLOOKUP(Y28,'RET TECH'!M:M,'RET TECH'!S:S))</f>
        <v>0</v>
      </c>
      <c r="AE28">
        <f>IF(Y28="","",_xlfn.XLOOKUP(Y28,'RET TECH'!M:M,'RET TECH'!V:V))</f>
        <v>0</v>
      </c>
      <c r="AF28" s="12">
        <f>IF(Y28="","",_xlfn.XLOOKUP(Y28,'RET TECH'!M:M,'RET TECH'!U:U))</f>
        <v>0</v>
      </c>
      <c r="AG28" s="12">
        <f>IF(Y28="","",_xlfn.XLOOKUP(Y28,'RET TECH'!M:M,'RET TECH'!R:R))</f>
        <v>0</v>
      </c>
    </row>
    <row r="29" spans="2:33" x14ac:dyDescent="0.25">
      <c r="B29" t="str">
        <f>Def_Tech!C26</f>
        <v>RESAPALMOldSCRETMIN</v>
      </c>
      <c r="C29" t="str">
        <f>Def_Comm!C26</f>
        <v>RESAPALMOldSCRET</v>
      </c>
      <c r="D29">
        <v>1</v>
      </c>
      <c r="E29" s="8">
        <f>_xlfn.XLOOKUP(LEFT($C29,LEN($C29)-5)&amp;"DMD",Demand!$E:$E,Demand!G:G)</f>
        <v>57.121976335841403</v>
      </c>
      <c r="F29" s="8">
        <f>_xlfn.XLOOKUP(LEFT($C29,LEN($C29)-5)&amp;"DMD",Demand!$E:$E,Demand!H:H)</f>
        <v>57.121976335841403</v>
      </c>
      <c r="G29" s="8">
        <f>_xlfn.XLOOKUP(LEFT($C29,LEN($C29)-5)&amp;"DMD",Demand!$E:$E,Demand!I:I)</f>
        <v>57.121976335841403</v>
      </c>
      <c r="H29" s="8">
        <f>_xlfn.XLOOKUP(LEFT($C29,LEN($C29)-5)&amp;"DMD",Demand!$E:$E,Demand!J:J)</f>
        <v>57.121976335841403</v>
      </c>
      <c r="I29" s="8">
        <f>_xlfn.XLOOKUP(LEFT($C29,LEN($C29)-5)&amp;"DMD",Demand!$E:$E,Demand!K:K)</f>
        <v>57.121976335841403</v>
      </c>
      <c r="J29" s="8">
        <f>_xlfn.XLOOKUP(LEFT($C29,LEN($C29)-5)&amp;"DMD",Demand!$E:$E,Demand!L:L)</f>
        <v>57.121976335841403</v>
      </c>
      <c r="K29" s="8">
        <f>_xlfn.XLOOKUP(LEFT($C29,LEN($C29)-5)&amp;"DMD",Demand!$E:$E,Demand!M:M)</f>
        <v>57.121976335841403</v>
      </c>
      <c r="L29" s="8">
        <f>_xlfn.XLOOKUP(LEFT($C29,LEN($C29)-5)&amp;"DMD",Demand!$E:$E,Demand!N:N)</f>
        <v>57.121976335841403</v>
      </c>
      <c r="M29" s="8">
        <f>_xlfn.XLOOKUP(LEFT($C29,LEN($C29)-5)&amp;"DMD",Demand!$E:$E,Demand!O:O)</f>
        <v>57.121976335841403</v>
      </c>
      <c r="N29" s="8">
        <f>_xlfn.XLOOKUP(LEFT($C29,LEN($C29)-5)&amp;"DMD",Demand!$E:$E,Demand!P:P)</f>
        <v>57.121976335841403</v>
      </c>
      <c r="O29" s="8">
        <f>_xlfn.XLOOKUP(LEFT($C29,LEN($C29)-5)&amp;"DMD",Demand!$E:$E,Demand!Q:Q)</f>
        <v>57.121976335841403</v>
      </c>
      <c r="P29" s="8">
        <f>_xlfn.XLOOKUP(LEFT($C29,LEN($C29)-5)&amp;"DMD",Demand!$E:$E,Demand!R:R)</f>
        <v>57.121976335841403</v>
      </c>
      <c r="Q29" s="8">
        <f>_xlfn.XLOOKUP(LEFT($C29,LEN($C29)-5)&amp;"DMD",Demand!$E:$E,Demand!S:S)</f>
        <v>57.121976335841403</v>
      </c>
      <c r="R29" s="8">
        <f>_xlfn.XLOOKUP(LEFT($C29,LEN($C29)-5)&amp;"DMD",Demand!$E:$E,Demand!T:T)</f>
        <v>57.121976335841403</v>
      </c>
      <c r="S29" s="8">
        <f>_xlfn.XLOOKUP(LEFT($C29,LEN($C29)-5)&amp;"DMD",Demand!$E:$E,Demand!U:U)</f>
        <v>57.121976335841403</v>
      </c>
      <c r="T29" s="8">
        <f>_xlfn.XLOOKUP(LEFT($C29,LEN($C29)-5)&amp;"DMD",Demand!$E:$E,Demand!V:V)</f>
        <v>57.121976335841403</v>
      </c>
      <c r="U29" s="8">
        <f>_xlfn.XLOOKUP(LEFT($C29,LEN($C29)-5)&amp;"DMD",Demand!$E:$E,Demand!W:W)</f>
        <v>57.121976335841403</v>
      </c>
      <c r="V29" s="8">
        <f>_xlfn.XLOOKUP(LEFT($C29,LEN($C29)-5)&amp;"DMD",Demand!$E:$E,Demand!X:X)</f>
        <v>57.121976335841403</v>
      </c>
      <c r="Y29" t="str">
        <f>IF('RET TECH'!N24=1,'RET TECH'!M24,"*")</f>
        <v>*</v>
      </c>
      <c r="Z29">
        <f>IF(Y29="","",_xlfn.XLOOKUP(Y29,'RET TECH'!M:M,'RET TECH'!K:K))</f>
        <v>0</v>
      </c>
      <c r="AA29">
        <f>IF(Y29="","",_xlfn.XLOOKUP(Y29,'RET TECH'!M:M,'RET TECH'!L:L))</f>
        <v>0</v>
      </c>
      <c r="AB29">
        <f>IF(Y29="","",'City characteristics'!$C$20+1)</f>
        <v>2020</v>
      </c>
      <c r="AC29" s="12">
        <f>IF(Y29="","",_xlfn.XLOOKUP(Y29,'RET TECH'!M:M,'RET TECH'!T:T))</f>
        <v>0</v>
      </c>
      <c r="AD29" s="12">
        <f>IF(Y29="","",_xlfn.XLOOKUP(Y29,'RET TECH'!M:M,'RET TECH'!S:S))</f>
        <v>0</v>
      </c>
      <c r="AE29">
        <f>IF(Y29="","",_xlfn.XLOOKUP(Y29,'RET TECH'!M:M,'RET TECH'!V:V))</f>
        <v>0</v>
      </c>
      <c r="AF29" s="12">
        <f>IF(Y29="","",_xlfn.XLOOKUP(Y29,'RET TECH'!M:M,'RET TECH'!U:U))</f>
        <v>0</v>
      </c>
      <c r="AG29" s="12">
        <f>IF(Y29="","",_xlfn.XLOOKUP(Y29,'RET TECH'!M:M,'RET TECH'!R:R))</f>
        <v>0</v>
      </c>
    </row>
    <row r="30" spans="2:33" x14ac:dyDescent="0.25">
      <c r="B30" t="str">
        <f>Def_Tech!C27</f>
        <v>RESHOULMOldSHRETMIN</v>
      </c>
      <c r="C30" t="str">
        <f>Def_Comm!C27</f>
        <v>RESHOULMOldSHRET</v>
      </c>
      <c r="D30">
        <v>1</v>
      </c>
      <c r="E30" s="8">
        <f>_xlfn.XLOOKUP(LEFT($C30,LEN($C30)-5)&amp;"DMD",Demand!$E:$E,Demand!G:G)</f>
        <v>38.299258577539533</v>
      </c>
      <c r="F30" s="8">
        <f>_xlfn.XLOOKUP(LEFT($C30,LEN($C30)-5)&amp;"DMD",Demand!$E:$E,Demand!H:H)</f>
        <v>38.299258577539533</v>
      </c>
      <c r="G30" s="8">
        <f>_xlfn.XLOOKUP(LEFT($C30,LEN($C30)-5)&amp;"DMD",Demand!$E:$E,Demand!I:I)</f>
        <v>38.299258577539533</v>
      </c>
      <c r="H30" s="8">
        <f>_xlfn.XLOOKUP(LEFT($C30,LEN($C30)-5)&amp;"DMD",Demand!$E:$E,Demand!J:J)</f>
        <v>38.299258577539533</v>
      </c>
      <c r="I30" s="8">
        <f>_xlfn.XLOOKUP(LEFT($C30,LEN($C30)-5)&amp;"DMD",Demand!$E:$E,Demand!K:K)</f>
        <v>38.299258577539533</v>
      </c>
      <c r="J30" s="8">
        <f>_xlfn.XLOOKUP(LEFT($C30,LEN($C30)-5)&amp;"DMD",Demand!$E:$E,Demand!L:L)</f>
        <v>38.299258577539533</v>
      </c>
      <c r="K30" s="8">
        <f>_xlfn.XLOOKUP(LEFT($C30,LEN($C30)-5)&amp;"DMD",Demand!$E:$E,Demand!M:M)</f>
        <v>38.299258577539533</v>
      </c>
      <c r="L30" s="8">
        <f>_xlfn.XLOOKUP(LEFT($C30,LEN($C30)-5)&amp;"DMD",Demand!$E:$E,Demand!N:N)</f>
        <v>38.299258577539533</v>
      </c>
      <c r="M30" s="8">
        <f>_xlfn.XLOOKUP(LEFT($C30,LEN($C30)-5)&amp;"DMD",Demand!$E:$E,Demand!O:O)</f>
        <v>38.299258577539533</v>
      </c>
      <c r="N30" s="8">
        <f>_xlfn.XLOOKUP(LEFT($C30,LEN($C30)-5)&amp;"DMD",Demand!$E:$E,Demand!P:P)</f>
        <v>38.299258577539533</v>
      </c>
      <c r="O30" s="8">
        <f>_xlfn.XLOOKUP(LEFT($C30,LEN($C30)-5)&amp;"DMD",Demand!$E:$E,Demand!Q:Q)</f>
        <v>38.299258577539533</v>
      </c>
      <c r="P30" s="8">
        <f>_xlfn.XLOOKUP(LEFT($C30,LEN($C30)-5)&amp;"DMD",Demand!$E:$E,Demand!R:R)</f>
        <v>38.299258577539533</v>
      </c>
      <c r="Q30" s="8">
        <f>_xlfn.XLOOKUP(LEFT($C30,LEN($C30)-5)&amp;"DMD",Demand!$E:$E,Demand!S:S)</f>
        <v>38.299258577539533</v>
      </c>
      <c r="R30" s="8">
        <f>_xlfn.XLOOKUP(LEFT($C30,LEN($C30)-5)&amp;"DMD",Demand!$E:$E,Demand!T:T)</f>
        <v>38.299258577539533</v>
      </c>
      <c r="S30" s="8">
        <f>_xlfn.XLOOKUP(LEFT($C30,LEN($C30)-5)&amp;"DMD",Demand!$E:$E,Demand!U:U)</f>
        <v>38.299258577539533</v>
      </c>
      <c r="T30" s="8">
        <f>_xlfn.XLOOKUP(LEFT($C30,LEN($C30)-5)&amp;"DMD",Demand!$E:$E,Demand!V:V)</f>
        <v>38.299258577539533</v>
      </c>
      <c r="U30" s="8">
        <f>_xlfn.XLOOKUP(LEFT($C30,LEN($C30)-5)&amp;"DMD",Demand!$E:$E,Demand!W:W)</f>
        <v>38.299258577539533</v>
      </c>
      <c r="V30" s="8">
        <f>_xlfn.XLOOKUP(LEFT($C30,LEN($C30)-5)&amp;"DMD",Demand!$E:$E,Demand!X:X)</f>
        <v>38.299258577539533</v>
      </c>
      <c r="Y30" t="str">
        <f>IF('RET TECH'!N25=1,'RET TECH'!M25,"*")</f>
        <v>*</v>
      </c>
      <c r="Z30">
        <f>IF(Y30="","",_xlfn.XLOOKUP(Y30,'RET TECH'!M:M,'RET TECH'!K:K))</f>
        <v>0</v>
      </c>
      <c r="AA30">
        <f>IF(Y30="","",_xlfn.XLOOKUP(Y30,'RET TECH'!M:M,'RET TECH'!L:L))</f>
        <v>0</v>
      </c>
      <c r="AB30">
        <f>IF(Y30="","",'City characteristics'!$C$20+1)</f>
        <v>2020</v>
      </c>
      <c r="AC30" s="12">
        <f>IF(Y30="","",_xlfn.XLOOKUP(Y30,'RET TECH'!M:M,'RET TECH'!T:T))</f>
        <v>0</v>
      </c>
      <c r="AD30" s="12">
        <f>IF(Y30="","",_xlfn.XLOOKUP(Y30,'RET TECH'!M:M,'RET TECH'!S:S))</f>
        <v>0</v>
      </c>
      <c r="AE30">
        <f>IF(Y30="","",_xlfn.XLOOKUP(Y30,'RET TECH'!M:M,'RET TECH'!V:V))</f>
        <v>0</v>
      </c>
      <c r="AF30" s="12">
        <f>IF(Y30="","",_xlfn.XLOOKUP(Y30,'RET TECH'!M:M,'RET TECH'!U:U))</f>
        <v>0</v>
      </c>
      <c r="AG30" s="12">
        <f>IF(Y30="","",_xlfn.XLOOKUP(Y30,'RET TECH'!M:M,'RET TECH'!R:R))</f>
        <v>0</v>
      </c>
    </row>
    <row r="31" spans="2:33" x14ac:dyDescent="0.25">
      <c r="B31" t="str">
        <f>Def_Tech!C28</f>
        <v>RESHOULMOldSCRETMIN</v>
      </c>
      <c r="C31" t="str">
        <f>Def_Comm!C28</f>
        <v>RESHOULMOldSCRET</v>
      </c>
      <c r="D31">
        <v>1</v>
      </c>
      <c r="E31" s="8">
        <f>_xlfn.XLOOKUP(LEFT($C31,LEN($C31)-5)&amp;"DMD",Demand!$E:$E,Demand!G:G)</f>
        <v>38.299258577539533</v>
      </c>
      <c r="F31" s="8">
        <f>_xlfn.XLOOKUP(LEFT($C31,LEN($C31)-5)&amp;"DMD",Demand!$E:$E,Demand!H:H)</f>
        <v>38.299258577539533</v>
      </c>
      <c r="G31" s="8">
        <f>_xlfn.XLOOKUP(LEFT($C31,LEN($C31)-5)&amp;"DMD",Demand!$E:$E,Demand!I:I)</f>
        <v>38.299258577539533</v>
      </c>
      <c r="H31" s="8">
        <f>_xlfn.XLOOKUP(LEFT($C31,LEN($C31)-5)&amp;"DMD",Demand!$E:$E,Demand!J:J)</f>
        <v>38.299258577539533</v>
      </c>
      <c r="I31" s="8">
        <f>_xlfn.XLOOKUP(LEFT($C31,LEN($C31)-5)&amp;"DMD",Demand!$E:$E,Demand!K:K)</f>
        <v>38.299258577539533</v>
      </c>
      <c r="J31" s="8">
        <f>_xlfn.XLOOKUP(LEFT($C31,LEN($C31)-5)&amp;"DMD",Demand!$E:$E,Demand!L:L)</f>
        <v>38.299258577539533</v>
      </c>
      <c r="K31" s="8">
        <f>_xlfn.XLOOKUP(LEFT($C31,LEN($C31)-5)&amp;"DMD",Demand!$E:$E,Demand!M:M)</f>
        <v>38.299258577539533</v>
      </c>
      <c r="L31" s="8">
        <f>_xlfn.XLOOKUP(LEFT($C31,LEN($C31)-5)&amp;"DMD",Demand!$E:$E,Demand!N:N)</f>
        <v>38.299258577539533</v>
      </c>
      <c r="M31" s="8">
        <f>_xlfn.XLOOKUP(LEFT($C31,LEN($C31)-5)&amp;"DMD",Demand!$E:$E,Demand!O:O)</f>
        <v>38.299258577539533</v>
      </c>
      <c r="N31" s="8">
        <f>_xlfn.XLOOKUP(LEFT($C31,LEN($C31)-5)&amp;"DMD",Demand!$E:$E,Demand!P:P)</f>
        <v>38.299258577539533</v>
      </c>
      <c r="O31" s="8">
        <f>_xlfn.XLOOKUP(LEFT($C31,LEN($C31)-5)&amp;"DMD",Demand!$E:$E,Demand!Q:Q)</f>
        <v>38.299258577539533</v>
      </c>
      <c r="P31" s="8">
        <f>_xlfn.XLOOKUP(LEFT($C31,LEN($C31)-5)&amp;"DMD",Demand!$E:$E,Demand!R:R)</f>
        <v>38.299258577539533</v>
      </c>
      <c r="Q31" s="8">
        <f>_xlfn.XLOOKUP(LEFT($C31,LEN($C31)-5)&amp;"DMD",Demand!$E:$E,Demand!S:S)</f>
        <v>38.299258577539533</v>
      </c>
      <c r="R31" s="8">
        <f>_xlfn.XLOOKUP(LEFT($C31,LEN($C31)-5)&amp;"DMD",Demand!$E:$E,Demand!T:T)</f>
        <v>38.299258577539533</v>
      </c>
      <c r="S31" s="8">
        <f>_xlfn.XLOOKUP(LEFT($C31,LEN($C31)-5)&amp;"DMD",Demand!$E:$E,Demand!U:U)</f>
        <v>38.299258577539533</v>
      </c>
      <c r="T31" s="8">
        <f>_xlfn.XLOOKUP(LEFT($C31,LEN($C31)-5)&amp;"DMD",Demand!$E:$E,Demand!V:V)</f>
        <v>38.299258577539533</v>
      </c>
      <c r="U31" s="8">
        <f>_xlfn.XLOOKUP(LEFT($C31,LEN($C31)-5)&amp;"DMD",Demand!$E:$E,Demand!W:W)</f>
        <v>38.299258577539533</v>
      </c>
      <c r="V31" s="8">
        <f>_xlfn.XLOOKUP(LEFT($C31,LEN($C31)-5)&amp;"DMD",Demand!$E:$E,Demand!X:X)</f>
        <v>38.299258577539533</v>
      </c>
      <c r="Y31" t="str">
        <f>IF('RET TECH'!N26=1,'RET TECH'!M26,"*")</f>
        <v>*</v>
      </c>
      <c r="Z31">
        <f>IF(Y31="","",_xlfn.XLOOKUP(Y31,'RET TECH'!M:M,'RET TECH'!K:K))</f>
        <v>0</v>
      </c>
      <c r="AA31">
        <f>IF(Y31="","",_xlfn.XLOOKUP(Y31,'RET TECH'!M:M,'RET TECH'!L:L))</f>
        <v>0</v>
      </c>
      <c r="AB31">
        <f>IF(Y31="","",'City characteristics'!$C$20+1)</f>
        <v>2020</v>
      </c>
      <c r="AC31" s="12">
        <f>IF(Y31="","",_xlfn.XLOOKUP(Y31,'RET TECH'!M:M,'RET TECH'!T:T))</f>
        <v>0</v>
      </c>
      <c r="AD31" s="12">
        <f>IF(Y31="","",_xlfn.XLOOKUP(Y31,'RET TECH'!M:M,'RET TECH'!S:S))</f>
        <v>0</v>
      </c>
      <c r="AE31">
        <f>IF(Y31="","",_xlfn.XLOOKUP(Y31,'RET TECH'!M:M,'RET TECH'!V:V))</f>
        <v>0</v>
      </c>
      <c r="AF31" s="12">
        <f>IF(Y31="","",_xlfn.XLOOKUP(Y31,'RET TECH'!M:M,'RET TECH'!U:U))</f>
        <v>0</v>
      </c>
      <c r="AG31" s="12">
        <f>IF(Y31="","",_xlfn.XLOOKUP(Y31,'RET TECH'!M:M,'RET TECH'!R:R))</f>
        <v>0</v>
      </c>
    </row>
    <row r="32" spans="2:33" x14ac:dyDescent="0.25">
      <c r="B32" t="str">
        <f>Def_Tech!C29</f>
        <v>RESAPAUMOldSHRETMIN</v>
      </c>
      <c r="C32" t="str">
        <f>Def_Comm!C29</f>
        <v>RESAPAUMOldSHRET</v>
      </c>
      <c r="D32">
        <v>1</v>
      </c>
      <c r="E32" s="8">
        <f>_xlfn.XLOOKUP(LEFT($C32,LEN($C32)-5)&amp;"DMD",Demand!$E:$E,Demand!G:G)</f>
        <v>15.495887810194001</v>
      </c>
      <c r="F32" s="8">
        <f>_xlfn.XLOOKUP(LEFT($C32,LEN($C32)-5)&amp;"DMD",Demand!$E:$E,Demand!H:H)</f>
        <v>15.495887810194001</v>
      </c>
      <c r="G32" s="8">
        <f>_xlfn.XLOOKUP(LEFT($C32,LEN($C32)-5)&amp;"DMD",Demand!$E:$E,Demand!I:I)</f>
        <v>15.495887810194001</v>
      </c>
      <c r="H32" s="8">
        <f>_xlfn.XLOOKUP(LEFT($C32,LEN($C32)-5)&amp;"DMD",Demand!$E:$E,Demand!J:J)</f>
        <v>15.495887810194001</v>
      </c>
      <c r="I32" s="8">
        <f>_xlfn.XLOOKUP(LEFT($C32,LEN($C32)-5)&amp;"DMD",Demand!$E:$E,Demand!K:K)</f>
        <v>15.495887810194001</v>
      </c>
      <c r="J32" s="8">
        <f>_xlfn.XLOOKUP(LEFT($C32,LEN($C32)-5)&amp;"DMD",Demand!$E:$E,Demand!L:L)</f>
        <v>15.495887810194001</v>
      </c>
      <c r="K32" s="8">
        <f>_xlfn.XLOOKUP(LEFT($C32,LEN($C32)-5)&amp;"DMD",Demand!$E:$E,Demand!M:M)</f>
        <v>15.495887810194001</v>
      </c>
      <c r="L32" s="8">
        <f>_xlfn.XLOOKUP(LEFT($C32,LEN($C32)-5)&amp;"DMD",Demand!$E:$E,Demand!N:N)</f>
        <v>15.495887810194001</v>
      </c>
      <c r="M32" s="8">
        <f>_xlfn.XLOOKUP(LEFT($C32,LEN($C32)-5)&amp;"DMD",Demand!$E:$E,Demand!O:O)</f>
        <v>15.495887810194001</v>
      </c>
      <c r="N32" s="8">
        <f>_xlfn.XLOOKUP(LEFT($C32,LEN($C32)-5)&amp;"DMD",Demand!$E:$E,Demand!P:P)</f>
        <v>15.495887810194001</v>
      </c>
      <c r="O32" s="8">
        <f>_xlfn.XLOOKUP(LEFT($C32,LEN($C32)-5)&amp;"DMD",Demand!$E:$E,Demand!Q:Q)</f>
        <v>15.495887810194001</v>
      </c>
      <c r="P32" s="8">
        <f>_xlfn.XLOOKUP(LEFT($C32,LEN($C32)-5)&amp;"DMD",Demand!$E:$E,Demand!R:R)</f>
        <v>15.495887810194001</v>
      </c>
      <c r="Q32" s="8">
        <f>_xlfn.XLOOKUP(LEFT($C32,LEN($C32)-5)&amp;"DMD",Demand!$E:$E,Demand!S:S)</f>
        <v>15.495887810194001</v>
      </c>
      <c r="R32" s="8">
        <f>_xlfn.XLOOKUP(LEFT($C32,LEN($C32)-5)&amp;"DMD",Demand!$E:$E,Demand!T:T)</f>
        <v>15.495887810194001</v>
      </c>
      <c r="S32" s="8">
        <f>_xlfn.XLOOKUP(LEFT($C32,LEN($C32)-5)&amp;"DMD",Demand!$E:$E,Demand!U:U)</f>
        <v>15.495887810194001</v>
      </c>
      <c r="T32" s="8">
        <f>_xlfn.XLOOKUP(LEFT($C32,LEN($C32)-5)&amp;"DMD",Demand!$E:$E,Demand!V:V)</f>
        <v>15.495887810194001</v>
      </c>
      <c r="U32" s="8">
        <f>_xlfn.XLOOKUP(LEFT($C32,LEN($C32)-5)&amp;"DMD",Demand!$E:$E,Demand!W:W)</f>
        <v>15.495887810194001</v>
      </c>
      <c r="V32" s="8">
        <f>_xlfn.XLOOKUP(LEFT($C32,LEN($C32)-5)&amp;"DMD",Demand!$E:$E,Demand!X:X)</f>
        <v>15.495887810194001</v>
      </c>
      <c r="Y32" t="str">
        <f>IF('RET TECH'!N27=1,'RET TECH'!M27,"*")</f>
        <v>RESHOULMNewSHENVESTAR20</v>
      </c>
      <c r="Z32" t="str">
        <f>IF(Y32="","",_xlfn.XLOOKUP(Y32,'RET TECH'!M:M,'RET TECH'!K:K))</f>
        <v>RESHOULMNewSHRET</v>
      </c>
      <c r="AA32" t="str">
        <f>IF(Y32="","",_xlfn.XLOOKUP(Y32,'RET TECH'!M:M,'RET TECH'!L:L))</f>
        <v>RESHOULMNewSHEUE</v>
      </c>
      <c r="AB32">
        <f>IF(Y32="","",'City characteristics'!$C$20+1)</f>
        <v>2020</v>
      </c>
      <c r="AC32" s="12">
        <f>IF(Y32="","",_xlfn.XLOOKUP(Y32,'RET TECH'!M:M,'RET TECH'!T:T))</f>
        <v>30</v>
      </c>
      <c r="AD32" s="12">
        <f>IF(Y32="","",_xlfn.XLOOKUP(Y32,'RET TECH'!M:M,'RET TECH'!S:S))</f>
        <v>157.0367761874349</v>
      </c>
      <c r="AE32">
        <f>IF(Y32="","",_xlfn.XLOOKUP(Y32,'RET TECH'!M:M,'RET TECH'!V:V))</f>
        <v>31.536000000000001</v>
      </c>
      <c r="AF32" s="12">
        <f>IF(Y32="","",_xlfn.XLOOKUP(Y32,'RET TECH'!M:M,'RET TECH'!U:U))</f>
        <v>8.263812321365821E-2</v>
      </c>
      <c r="AG32" s="12">
        <f>IF(Y32="","",_xlfn.XLOOKUP(Y32,'RET TECH'!M:M,'RET TECH'!R:R))</f>
        <v>15762.938276740209</v>
      </c>
    </row>
    <row r="33" spans="2:33" x14ac:dyDescent="0.25">
      <c r="B33" t="str">
        <f>Def_Tech!C30</f>
        <v>RESAPAUMOldSCRETMIN</v>
      </c>
      <c r="C33" t="str">
        <f>Def_Comm!C30</f>
        <v>RESAPAUMOldSCRET</v>
      </c>
      <c r="D33">
        <v>1</v>
      </c>
      <c r="E33" s="8">
        <f>_xlfn.XLOOKUP(LEFT($C33,LEN($C33)-5)&amp;"DMD",Demand!$E:$E,Demand!G:G)</f>
        <v>15.495887810194001</v>
      </c>
      <c r="F33" s="8">
        <f>_xlfn.XLOOKUP(LEFT($C33,LEN($C33)-5)&amp;"DMD",Demand!$E:$E,Demand!H:H)</f>
        <v>15.495887810194001</v>
      </c>
      <c r="G33" s="8">
        <f>_xlfn.XLOOKUP(LEFT($C33,LEN($C33)-5)&amp;"DMD",Demand!$E:$E,Demand!I:I)</f>
        <v>15.495887810194001</v>
      </c>
      <c r="H33" s="8">
        <f>_xlfn.XLOOKUP(LEFT($C33,LEN($C33)-5)&amp;"DMD",Demand!$E:$E,Demand!J:J)</f>
        <v>15.495887810194001</v>
      </c>
      <c r="I33" s="8">
        <f>_xlfn.XLOOKUP(LEFT($C33,LEN($C33)-5)&amp;"DMD",Demand!$E:$E,Demand!K:K)</f>
        <v>15.495887810194001</v>
      </c>
      <c r="J33" s="8">
        <f>_xlfn.XLOOKUP(LEFT($C33,LEN($C33)-5)&amp;"DMD",Demand!$E:$E,Demand!L:L)</f>
        <v>15.495887810194001</v>
      </c>
      <c r="K33" s="8">
        <f>_xlfn.XLOOKUP(LEFT($C33,LEN($C33)-5)&amp;"DMD",Demand!$E:$E,Demand!M:M)</f>
        <v>15.495887810194001</v>
      </c>
      <c r="L33" s="8">
        <f>_xlfn.XLOOKUP(LEFT($C33,LEN($C33)-5)&amp;"DMD",Demand!$E:$E,Demand!N:N)</f>
        <v>15.495887810194001</v>
      </c>
      <c r="M33" s="8">
        <f>_xlfn.XLOOKUP(LEFT($C33,LEN($C33)-5)&amp;"DMD",Demand!$E:$E,Demand!O:O)</f>
        <v>15.495887810194001</v>
      </c>
      <c r="N33" s="8">
        <f>_xlfn.XLOOKUP(LEFT($C33,LEN($C33)-5)&amp;"DMD",Demand!$E:$E,Demand!P:P)</f>
        <v>15.495887810194001</v>
      </c>
      <c r="O33" s="8">
        <f>_xlfn.XLOOKUP(LEFT($C33,LEN($C33)-5)&amp;"DMD",Demand!$E:$E,Demand!Q:Q)</f>
        <v>15.495887810194001</v>
      </c>
      <c r="P33" s="8">
        <f>_xlfn.XLOOKUP(LEFT($C33,LEN($C33)-5)&amp;"DMD",Demand!$E:$E,Demand!R:R)</f>
        <v>15.495887810194001</v>
      </c>
      <c r="Q33" s="8">
        <f>_xlfn.XLOOKUP(LEFT($C33,LEN($C33)-5)&amp;"DMD",Demand!$E:$E,Demand!S:S)</f>
        <v>15.495887810194001</v>
      </c>
      <c r="R33" s="8">
        <f>_xlfn.XLOOKUP(LEFT($C33,LEN($C33)-5)&amp;"DMD",Demand!$E:$E,Demand!T:T)</f>
        <v>15.495887810194001</v>
      </c>
      <c r="S33" s="8">
        <f>_xlfn.XLOOKUP(LEFT($C33,LEN($C33)-5)&amp;"DMD",Demand!$E:$E,Demand!U:U)</f>
        <v>15.495887810194001</v>
      </c>
      <c r="T33" s="8">
        <f>_xlfn.XLOOKUP(LEFT($C33,LEN($C33)-5)&amp;"DMD",Demand!$E:$E,Demand!V:V)</f>
        <v>15.495887810194001</v>
      </c>
      <c r="U33" s="8">
        <f>_xlfn.XLOOKUP(LEFT($C33,LEN($C33)-5)&amp;"DMD",Demand!$E:$E,Demand!W:W)</f>
        <v>15.495887810194001</v>
      </c>
      <c r="V33" s="8">
        <f>_xlfn.XLOOKUP(LEFT($C33,LEN($C33)-5)&amp;"DMD",Demand!$E:$E,Demand!X:X)</f>
        <v>15.495887810194001</v>
      </c>
      <c r="Y33" t="str">
        <f>IF('RET TECH'!N28=1,'RET TECH'!M28,"*")</f>
        <v>RESHOULMNewSHENVPATH20</v>
      </c>
      <c r="Z33" t="str">
        <f>IF(Y33="","",_xlfn.XLOOKUP(Y33,'RET TECH'!M:M,'RET TECH'!K:K))</f>
        <v>RESHOULMNewSHRET</v>
      </c>
      <c r="AA33" t="str">
        <f>IF(Y33="","",_xlfn.XLOOKUP(Y33,'RET TECH'!M:M,'RET TECH'!L:L))</f>
        <v>RESHOULMNewSHEUE</v>
      </c>
      <c r="AB33">
        <f>IF(Y33="","",'City characteristics'!$C$20+1)</f>
        <v>2020</v>
      </c>
      <c r="AC33" s="12">
        <f>IF(Y33="","",_xlfn.XLOOKUP(Y33,'RET TECH'!M:M,'RET TECH'!T:T))</f>
        <v>30</v>
      </c>
      <c r="AD33" s="12">
        <f>IF(Y33="","",_xlfn.XLOOKUP(Y33,'RET TECH'!M:M,'RET TECH'!S:S))</f>
        <v>236.43199371926991</v>
      </c>
      <c r="AE33">
        <f>IF(Y33="","",_xlfn.XLOOKUP(Y33,'RET TECH'!M:M,'RET TECH'!V:V))</f>
        <v>31.536000000000001</v>
      </c>
      <c r="AF33" s="12">
        <f>IF(Y33="","",_xlfn.XLOOKUP(Y33,'RET TECH'!M:M,'RET TECH'!U:U))</f>
        <v>8.263812321365821E-2</v>
      </c>
      <c r="AG33" s="12">
        <f>IF(Y33="","",_xlfn.XLOOKUP(Y33,'RET TECH'!M:M,'RET TECH'!R:R))</f>
        <v>15785.87978192644</v>
      </c>
    </row>
    <row r="34" spans="2:33" x14ac:dyDescent="0.25">
      <c r="B34" t="str">
        <f>Def_Tech!C31</f>
        <v>RESHOUUMOldSHRETMIN</v>
      </c>
      <c r="C34" t="str">
        <f>Def_Comm!C31</f>
        <v>RESHOUUMOldSHRET</v>
      </c>
      <c r="D34">
        <v>1</v>
      </c>
      <c r="E34" s="8">
        <f>_xlfn.XLOOKUP(LEFT($C34,LEN($C34)-5)&amp;"DMD",Demand!$E:$E,Demand!G:G)</f>
        <v>19.187214429670199</v>
      </c>
      <c r="F34" s="8">
        <f>_xlfn.XLOOKUP(LEFT($C34,LEN($C34)-5)&amp;"DMD",Demand!$E:$E,Demand!H:H)</f>
        <v>19.187214429670199</v>
      </c>
      <c r="G34" s="8">
        <f>_xlfn.XLOOKUP(LEFT($C34,LEN($C34)-5)&amp;"DMD",Demand!$E:$E,Demand!I:I)</f>
        <v>19.187214429670199</v>
      </c>
      <c r="H34" s="8">
        <f>_xlfn.XLOOKUP(LEFT($C34,LEN($C34)-5)&amp;"DMD",Demand!$E:$E,Demand!J:J)</f>
        <v>19.187214429670199</v>
      </c>
      <c r="I34" s="8">
        <f>_xlfn.XLOOKUP(LEFT($C34,LEN($C34)-5)&amp;"DMD",Demand!$E:$E,Demand!K:K)</f>
        <v>19.187214429670199</v>
      </c>
      <c r="J34" s="8">
        <f>_xlfn.XLOOKUP(LEFT($C34,LEN($C34)-5)&amp;"DMD",Demand!$E:$E,Demand!L:L)</f>
        <v>19.187214429670199</v>
      </c>
      <c r="K34" s="8">
        <f>_xlfn.XLOOKUP(LEFT($C34,LEN($C34)-5)&amp;"DMD",Demand!$E:$E,Demand!M:M)</f>
        <v>19.187214429670199</v>
      </c>
      <c r="L34" s="8">
        <f>_xlfn.XLOOKUP(LEFT($C34,LEN($C34)-5)&amp;"DMD",Demand!$E:$E,Demand!N:N)</f>
        <v>19.187214429670199</v>
      </c>
      <c r="M34" s="8">
        <f>_xlfn.XLOOKUP(LEFT($C34,LEN($C34)-5)&amp;"DMD",Demand!$E:$E,Demand!O:O)</f>
        <v>19.187214429670199</v>
      </c>
      <c r="N34" s="8">
        <f>_xlfn.XLOOKUP(LEFT($C34,LEN($C34)-5)&amp;"DMD",Demand!$E:$E,Demand!P:P)</f>
        <v>19.187214429670199</v>
      </c>
      <c r="O34" s="8">
        <f>_xlfn.XLOOKUP(LEFT($C34,LEN($C34)-5)&amp;"DMD",Demand!$E:$E,Demand!Q:Q)</f>
        <v>19.187214429670199</v>
      </c>
      <c r="P34" s="8">
        <f>_xlfn.XLOOKUP(LEFT($C34,LEN($C34)-5)&amp;"DMD",Demand!$E:$E,Demand!R:R)</f>
        <v>19.187214429670199</v>
      </c>
      <c r="Q34" s="8">
        <f>_xlfn.XLOOKUP(LEFT($C34,LEN($C34)-5)&amp;"DMD",Demand!$E:$E,Demand!S:S)</f>
        <v>19.187214429670199</v>
      </c>
      <c r="R34" s="8">
        <f>_xlfn.XLOOKUP(LEFT($C34,LEN($C34)-5)&amp;"DMD",Demand!$E:$E,Demand!T:T)</f>
        <v>19.187214429670199</v>
      </c>
      <c r="S34" s="8">
        <f>_xlfn.XLOOKUP(LEFT($C34,LEN($C34)-5)&amp;"DMD",Demand!$E:$E,Demand!U:U)</f>
        <v>19.187214429670199</v>
      </c>
      <c r="T34" s="8">
        <f>_xlfn.XLOOKUP(LEFT($C34,LEN($C34)-5)&amp;"DMD",Demand!$E:$E,Demand!V:V)</f>
        <v>19.187214429670199</v>
      </c>
      <c r="U34" s="8">
        <f>_xlfn.XLOOKUP(LEFT($C34,LEN($C34)-5)&amp;"DMD",Demand!$E:$E,Demand!W:W)</f>
        <v>19.187214429670199</v>
      </c>
      <c r="V34" s="8">
        <f>_xlfn.XLOOKUP(LEFT($C34,LEN($C34)-5)&amp;"DMD",Demand!$E:$E,Demand!X:X)</f>
        <v>19.187214429670199</v>
      </c>
      <c r="Y34" t="str">
        <f>IF('RET TECH'!N29=1,'RET TECH'!M29,"*")</f>
        <v>RESHOULMNewSHENVIECC4020</v>
      </c>
      <c r="Z34" t="str">
        <f>IF(Y34="","",_xlfn.XLOOKUP(Y34,'RET TECH'!M:M,'RET TECH'!K:K))</f>
        <v>RESHOULMNewSHRET</v>
      </c>
      <c r="AA34" t="str">
        <f>IF(Y34="","",_xlfn.XLOOKUP(Y34,'RET TECH'!M:M,'RET TECH'!L:L))</f>
        <v>RESHOULMNewSHEUE</v>
      </c>
      <c r="AB34">
        <f>IF(Y34="","",'City characteristics'!$C$20+1)</f>
        <v>2020</v>
      </c>
      <c r="AC34" s="12">
        <f>IF(Y34="","",_xlfn.XLOOKUP(Y34,'RET TECH'!M:M,'RET TECH'!T:T))</f>
        <v>30</v>
      </c>
      <c r="AD34" s="12">
        <f>IF(Y34="","",_xlfn.XLOOKUP(Y34,'RET TECH'!M:M,'RET TECH'!S:S))</f>
        <v>209.33724611912501</v>
      </c>
      <c r="AE34">
        <f>IF(Y34="","",_xlfn.XLOOKUP(Y34,'RET TECH'!M:M,'RET TECH'!V:V))</f>
        <v>31.536000000000001</v>
      </c>
      <c r="AF34" s="12">
        <f>IF(Y34="","",_xlfn.XLOOKUP(Y34,'RET TECH'!M:M,'RET TECH'!U:U))</f>
        <v>8.263812321365821E-2</v>
      </c>
      <c r="AG34" s="12">
        <f>IF(Y34="","",_xlfn.XLOOKUP(Y34,'RET TECH'!M:M,'RET TECH'!R:R))</f>
        <v>15018.618027698591</v>
      </c>
    </row>
    <row r="35" spans="2:33" x14ac:dyDescent="0.25">
      <c r="B35" t="str">
        <f>Def_Tech!C32</f>
        <v>RESHOUUMOldSCRETMIN</v>
      </c>
      <c r="C35" t="str">
        <f>Def_Comm!C32</f>
        <v>RESHOUUMOldSCRET</v>
      </c>
      <c r="D35">
        <v>1</v>
      </c>
      <c r="E35" s="8">
        <f>_xlfn.XLOOKUP(LEFT($C35,LEN($C35)-5)&amp;"DMD",Demand!$E:$E,Demand!G:G)</f>
        <v>19.187214429670199</v>
      </c>
      <c r="F35" s="8">
        <f>_xlfn.XLOOKUP(LEFT($C35,LEN($C35)-5)&amp;"DMD",Demand!$E:$E,Demand!H:H)</f>
        <v>19.187214429670199</v>
      </c>
      <c r="G35" s="8">
        <f>_xlfn.XLOOKUP(LEFT($C35,LEN($C35)-5)&amp;"DMD",Demand!$E:$E,Demand!I:I)</f>
        <v>19.187214429670199</v>
      </c>
      <c r="H35" s="8">
        <f>_xlfn.XLOOKUP(LEFT($C35,LEN($C35)-5)&amp;"DMD",Demand!$E:$E,Demand!J:J)</f>
        <v>19.187214429670199</v>
      </c>
      <c r="I35" s="8">
        <f>_xlfn.XLOOKUP(LEFT($C35,LEN($C35)-5)&amp;"DMD",Demand!$E:$E,Demand!K:K)</f>
        <v>19.187214429670199</v>
      </c>
      <c r="J35" s="8">
        <f>_xlfn.XLOOKUP(LEFT($C35,LEN($C35)-5)&amp;"DMD",Demand!$E:$E,Demand!L:L)</f>
        <v>19.187214429670199</v>
      </c>
      <c r="K35" s="8">
        <f>_xlfn.XLOOKUP(LEFT($C35,LEN($C35)-5)&amp;"DMD",Demand!$E:$E,Demand!M:M)</f>
        <v>19.187214429670199</v>
      </c>
      <c r="L35" s="8">
        <f>_xlfn.XLOOKUP(LEFT($C35,LEN($C35)-5)&amp;"DMD",Demand!$E:$E,Demand!N:N)</f>
        <v>19.187214429670199</v>
      </c>
      <c r="M35" s="8">
        <f>_xlfn.XLOOKUP(LEFT($C35,LEN($C35)-5)&amp;"DMD",Demand!$E:$E,Demand!O:O)</f>
        <v>19.187214429670199</v>
      </c>
      <c r="N35" s="8">
        <f>_xlfn.XLOOKUP(LEFT($C35,LEN($C35)-5)&amp;"DMD",Demand!$E:$E,Demand!P:P)</f>
        <v>19.187214429670199</v>
      </c>
      <c r="O35" s="8">
        <f>_xlfn.XLOOKUP(LEFT($C35,LEN($C35)-5)&amp;"DMD",Demand!$E:$E,Demand!Q:Q)</f>
        <v>19.187214429670199</v>
      </c>
      <c r="P35" s="8">
        <f>_xlfn.XLOOKUP(LEFT($C35,LEN($C35)-5)&amp;"DMD",Demand!$E:$E,Demand!R:R)</f>
        <v>19.187214429670199</v>
      </c>
      <c r="Q35" s="8">
        <f>_xlfn.XLOOKUP(LEFT($C35,LEN($C35)-5)&amp;"DMD",Demand!$E:$E,Demand!S:S)</f>
        <v>19.187214429670199</v>
      </c>
      <c r="R35" s="8">
        <f>_xlfn.XLOOKUP(LEFT($C35,LEN($C35)-5)&amp;"DMD",Demand!$E:$E,Demand!T:T)</f>
        <v>19.187214429670199</v>
      </c>
      <c r="S35" s="8">
        <f>_xlfn.XLOOKUP(LEFT($C35,LEN($C35)-5)&amp;"DMD",Demand!$E:$E,Demand!U:U)</f>
        <v>19.187214429670199</v>
      </c>
      <c r="T35" s="8">
        <f>_xlfn.XLOOKUP(LEFT($C35,LEN($C35)-5)&amp;"DMD",Demand!$E:$E,Demand!V:V)</f>
        <v>19.187214429670199</v>
      </c>
      <c r="U35" s="8">
        <f>_xlfn.XLOOKUP(LEFT($C35,LEN($C35)-5)&amp;"DMD",Demand!$E:$E,Demand!W:W)</f>
        <v>19.187214429670199</v>
      </c>
      <c r="V35" s="8">
        <f>_xlfn.XLOOKUP(LEFT($C35,LEN($C35)-5)&amp;"DMD",Demand!$E:$E,Demand!X:X)</f>
        <v>19.187214429670199</v>
      </c>
      <c r="Y35" t="str">
        <f>IF('RET TECH'!N30=1,'RET TECH'!M30,"*")</f>
        <v>RESHOULMNewSHENVIECC20</v>
      </c>
      <c r="Z35" t="str">
        <f>IF(Y35="","",_xlfn.XLOOKUP(Y35,'RET TECH'!M:M,'RET TECH'!K:K))</f>
        <v>RESHOULMNewSHRET</v>
      </c>
      <c r="AA35" t="str">
        <f>IF(Y35="","",_xlfn.XLOOKUP(Y35,'RET TECH'!M:M,'RET TECH'!L:L))</f>
        <v>RESHOULMNewSHEUE</v>
      </c>
      <c r="AB35">
        <f>IF(Y35="","",'City characteristics'!$C$20+1)</f>
        <v>2020</v>
      </c>
      <c r="AC35" s="12">
        <f>IF(Y35="","",_xlfn.XLOOKUP(Y35,'RET TECH'!M:M,'RET TECH'!T:T))</f>
        <v>30</v>
      </c>
      <c r="AD35" s="12">
        <f>IF(Y35="","",_xlfn.XLOOKUP(Y35,'RET TECH'!M:M,'RET TECH'!S:S))</f>
        <v>114.4748414354696</v>
      </c>
      <c r="AE35">
        <f>IF(Y35="","",_xlfn.XLOOKUP(Y35,'RET TECH'!M:M,'RET TECH'!V:V))</f>
        <v>31.536000000000001</v>
      </c>
      <c r="AF35" s="12">
        <f>IF(Y35="","",_xlfn.XLOOKUP(Y35,'RET TECH'!M:M,'RET TECH'!U:U))</f>
        <v>8.263812321365821E-2</v>
      </c>
      <c r="AG35" s="12">
        <f>IF(Y35="","",_xlfn.XLOOKUP(Y35,'RET TECH'!M:M,'RET TECH'!R:R))</f>
        <v>20196.591897291459</v>
      </c>
    </row>
    <row r="36" spans="2:33" x14ac:dyDescent="0.25">
      <c r="B36" t="str">
        <f>Def_Tech!C33</f>
        <v>RESAPAHIOldSHRETMIN</v>
      </c>
      <c r="C36" t="str">
        <f>Def_Comm!C33</f>
        <v>RESAPAHIOldSHRET</v>
      </c>
      <c r="D36">
        <v>1</v>
      </c>
      <c r="E36" s="8">
        <f>_xlfn.XLOOKUP(LEFT($C36,LEN($C36)-5)&amp;"DMD",Demand!$E:$E,Demand!G:G)</f>
        <v>66.398717380854961</v>
      </c>
      <c r="F36" s="8">
        <f>_xlfn.XLOOKUP(LEFT($C36,LEN($C36)-5)&amp;"DMD",Demand!$E:$E,Demand!H:H)</f>
        <v>66.398717380854961</v>
      </c>
      <c r="G36" s="8">
        <f>_xlfn.XLOOKUP(LEFT($C36,LEN($C36)-5)&amp;"DMD",Demand!$E:$E,Demand!I:I)</f>
        <v>66.398717380854961</v>
      </c>
      <c r="H36" s="8">
        <f>_xlfn.XLOOKUP(LEFT($C36,LEN($C36)-5)&amp;"DMD",Demand!$E:$E,Demand!J:J)</f>
        <v>66.398717380854961</v>
      </c>
      <c r="I36" s="8">
        <f>_xlfn.XLOOKUP(LEFT($C36,LEN($C36)-5)&amp;"DMD",Demand!$E:$E,Demand!K:K)</f>
        <v>66.398717380854961</v>
      </c>
      <c r="J36" s="8">
        <f>_xlfn.XLOOKUP(LEFT($C36,LEN($C36)-5)&amp;"DMD",Demand!$E:$E,Demand!L:L)</f>
        <v>66.398717380854961</v>
      </c>
      <c r="K36" s="8">
        <f>_xlfn.XLOOKUP(LEFT($C36,LEN($C36)-5)&amp;"DMD",Demand!$E:$E,Demand!M:M)</f>
        <v>66.398717380854961</v>
      </c>
      <c r="L36" s="8">
        <f>_xlfn.XLOOKUP(LEFT($C36,LEN($C36)-5)&amp;"DMD",Demand!$E:$E,Demand!N:N)</f>
        <v>66.398717380854961</v>
      </c>
      <c r="M36" s="8">
        <f>_xlfn.XLOOKUP(LEFT($C36,LEN($C36)-5)&amp;"DMD",Demand!$E:$E,Demand!O:O)</f>
        <v>66.398717380854961</v>
      </c>
      <c r="N36" s="8">
        <f>_xlfn.XLOOKUP(LEFT($C36,LEN($C36)-5)&amp;"DMD",Demand!$E:$E,Demand!P:P)</f>
        <v>66.398717380854961</v>
      </c>
      <c r="O36" s="8">
        <f>_xlfn.XLOOKUP(LEFT($C36,LEN($C36)-5)&amp;"DMD",Demand!$E:$E,Demand!Q:Q)</f>
        <v>66.398717380854961</v>
      </c>
      <c r="P36" s="8">
        <f>_xlfn.XLOOKUP(LEFT($C36,LEN($C36)-5)&amp;"DMD",Demand!$E:$E,Demand!R:R)</f>
        <v>66.398717380854961</v>
      </c>
      <c r="Q36" s="8">
        <f>_xlfn.XLOOKUP(LEFT($C36,LEN($C36)-5)&amp;"DMD",Demand!$E:$E,Demand!S:S)</f>
        <v>66.398717380854961</v>
      </c>
      <c r="R36" s="8">
        <f>_xlfn.XLOOKUP(LEFT($C36,LEN($C36)-5)&amp;"DMD",Demand!$E:$E,Demand!T:T)</f>
        <v>66.398717380854961</v>
      </c>
      <c r="S36" s="8">
        <f>_xlfn.XLOOKUP(LEFT($C36,LEN($C36)-5)&amp;"DMD",Demand!$E:$E,Demand!U:U)</f>
        <v>66.398717380854961</v>
      </c>
      <c r="T36" s="8">
        <f>_xlfn.XLOOKUP(LEFT($C36,LEN($C36)-5)&amp;"DMD",Demand!$E:$E,Demand!V:V)</f>
        <v>66.398717380854961</v>
      </c>
      <c r="U36" s="8">
        <f>_xlfn.XLOOKUP(LEFT($C36,LEN($C36)-5)&amp;"DMD",Demand!$E:$E,Demand!W:W)</f>
        <v>66.398717380854961</v>
      </c>
      <c r="V36" s="8">
        <f>_xlfn.XLOOKUP(LEFT($C36,LEN($C36)-5)&amp;"DMD",Demand!$E:$E,Demand!X:X)</f>
        <v>66.398717380854961</v>
      </c>
      <c r="Y36" t="str">
        <f>IF('RET TECH'!N31=1,'RET TECH'!M31,"*")</f>
        <v>RESHOULMNewSCENVESTAR20</v>
      </c>
      <c r="Z36" t="str">
        <f>IF(Y36="","",_xlfn.XLOOKUP(Y36,'RET TECH'!M:M,'RET TECH'!K:K))</f>
        <v>RESHOULMNewSCRET</v>
      </c>
      <c r="AA36" t="str">
        <f>IF(Y36="","",_xlfn.XLOOKUP(Y36,'RET TECH'!M:M,'RET TECH'!L:L))</f>
        <v>RESHOULMNewSCEUE</v>
      </c>
      <c r="AB36">
        <f>IF(Y36="","",'City characteristics'!$C$20+1)</f>
        <v>2020</v>
      </c>
      <c r="AC36" s="12">
        <f>IF(Y36="","",_xlfn.XLOOKUP(Y36,'RET TECH'!M:M,'RET TECH'!T:T))</f>
        <v>30</v>
      </c>
      <c r="AD36" s="12">
        <f>IF(Y36="","",_xlfn.XLOOKUP(Y36,'RET TECH'!M:M,'RET TECH'!S:S))</f>
        <v>16.88906723657237</v>
      </c>
      <c r="AE36">
        <f>IF(Y36="","",_xlfn.XLOOKUP(Y36,'RET TECH'!M:M,'RET TECH'!V:V))</f>
        <v>31.536000000000001</v>
      </c>
      <c r="AF36" s="12">
        <f>IF(Y36="","",_xlfn.XLOOKUP(Y36,'RET TECH'!M:M,'RET TECH'!U:U))</f>
        <v>9.7022787788124412E-2</v>
      </c>
      <c r="AG36" s="12">
        <f>IF(Y36="","",_xlfn.XLOOKUP(Y36,'RET TECH'!M:M,'RET TECH'!R:R))</f>
        <v>146565.88049223591</v>
      </c>
    </row>
    <row r="37" spans="2:33" x14ac:dyDescent="0.25">
      <c r="B37" t="str">
        <f>Def_Tech!C34</f>
        <v>RESAPAHIOldSCRETMIN</v>
      </c>
      <c r="C37" t="str">
        <f>Def_Comm!C34</f>
        <v>RESAPAHIOldSCRET</v>
      </c>
      <c r="D37">
        <v>1</v>
      </c>
      <c r="E37" s="8">
        <f>_xlfn.XLOOKUP(LEFT($C37,LEN($C37)-5)&amp;"DMD",Demand!$E:$E,Demand!G:G)</f>
        <v>66.398717380854961</v>
      </c>
      <c r="F37" s="8">
        <f>_xlfn.XLOOKUP(LEFT($C37,LEN($C37)-5)&amp;"DMD",Demand!$E:$E,Demand!H:H)</f>
        <v>66.398717380854961</v>
      </c>
      <c r="G37" s="8">
        <f>_xlfn.XLOOKUP(LEFT($C37,LEN($C37)-5)&amp;"DMD",Demand!$E:$E,Demand!I:I)</f>
        <v>66.398717380854961</v>
      </c>
      <c r="H37" s="8">
        <f>_xlfn.XLOOKUP(LEFT($C37,LEN($C37)-5)&amp;"DMD",Demand!$E:$E,Demand!J:J)</f>
        <v>66.398717380854961</v>
      </c>
      <c r="I37" s="8">
        <f>_xlfn.XLOOKUP(LEFT($C37,LEN($C37)-5)&amp;"DMD",Demand!$E:$E,Demand!K:K)</f>
        <v>66.398717380854961</v>
      </c>
      <c r="J37" s="8">
        <f>_xlfn.XLOOKUP(LEFT($C37,LEN($C37)-5)&amp;"DMD",Demand!$E:$E,Demand!L:L)</f>
        <v>66.398717380854961</v>
      </c>
      <c r="K37" s="8">
        <f>_xlfn.XLOOKUP(LEFT($C37,LEN($C37)-5)&amp;"DMD",Demand!$E:$E,Demand!M:M)</f>
        <v>66.398717380854961</v>
      </c>
      <c r="L37" s="8">
        <f>_xlfn.XLOOKUP(LEFT($C37,LEN($C37)-5)&amp;"DMD",Demand!$E:$E,Demand!N:N)</f>
        <v>66.398717380854961</v>
      </c>
      <c r="M37" s="8">
        <f>_xlfn.XLOOKUP(LEFT($C37,LEN($C37)-5)&amp;"DMD",Demand!$E:$E,Demand!O:O)</f>
        <v>66.398717380854961</v>
      </c>
      <c r="N37" s="8">
        <f>_xlfn.XLOOKUP(LEFT($C37,LEN($C37)-5)&amp;"DMD",Demand!$E:$E,Demand!P:P)</f>
        <v>66.398717380854961</v>
      </c>
      <c r="O37" s="8">
        <f>_xlfn.XLOOKUP(LEFT($C37,LEN($C37)-5)&amp;"DMD",Demand!$E:$E,Demand!Q:Q)</f>
        <v>66.398717380854961</v>
      </c>
      <c r="P37" s="8">
        <f>_xlfn.XLOOKUP(LEFT($C37,LEN($C37)-5)&amp;"DMD",Demand!$E:$E,Demand!R:R)</f>
        <v>66.398717380854961</v>
      </c>
      <c r="Q37" s="8">
        <f>_xlfn.XLOOKUP(LEFT($C37,LEN($C37)-5)&amp;"DMD",Demand!$E:$E,Demand!S:S)</f>
        <v>66.398717380854961</v>
      </c>
      <c r="R37" s="8">
        <f>_xlfn.XLOOKUP(LEFT($C37,LEN($C37)-5)&amp;"DMD",Demand!$E:$E,Demand!T:T)</f>
        <v>66.398717380854961</v>
      </c>
      <c r="S37" s="8">
        <f>_xlfn.XLOOKUP(LEFT($C37,LEN($C37)-5)&amp;"DMD",Demand!$E:$E,Demand!U:U)</f>
        <v>66.398717380854961</v>
      </c>
      <c r="T37" s="8">
        <f>_xlfn.XLOOKUP(LEFT($C37,LEN($C37)-5)&amp;"DMD",Demand!$E:$E,Demand!V:V)</f>
        <v>66.398717380854961</v>
      </c>
      <c r="U37" s="8">
        <f>_xlfn.XLOOKUP(LEFT($C37,LEN($C37)-5)&amp;"DMD",Demand!$E:$E,Demand!W:W)</f>
        <v>66.398717380854961</v>
      </c>
      <c r="V37" s="8">
        <f>_xlfn.XLOOKUP(LEFT($C37,LEN($C37)-5)&amp;"DMD",Demand!$E:$E,Demand!X:X)</f>
        <v>66.398717380854961</v>
      </c>
      <c r="Y37" t="str">
        <f>IF('RET TECH'!N32=1,'RET TECH'!M32,"*")</f>
        <v>RESHOULMNewSCENVPATH20</v>
      </c>
      <c r="Z37" t="str">
        <f>IF(Y37="","",_xlfn.XLOOKUP(Y37,'RET TECH'!M:M,'RET TECH'!K:K))</f>
        <v>RESHOULMNewSCRET</v>
      </c>
      <c r="AA37" t="str">
        <f>IF(Y37="","",_xlfn.XLOOKUP(Y37,'RET TECH'!M:M,'RET TECH'!L:L))</f>
        <v>RESHOULMNewSCEUE</v>
      </c>
      <c r="AB37">
        <f>IF(Y37="","",'City characteristics'!$C$20+1)</f>
        <v>2020</v>
      </c>
      <c r="AC37" s="12">
        <f>IF(Y37="","",_xlfn.XLOOKUP(Y37,'RET TECH'!M:M,'RET TECH'!T:T))</f>
        <v>30</v>
      </c>
      <c r="AD37" s="12">
        <f>IF(Y37="","",_xlfn.XLOOKUP(Y37,'RET TECH'!M:M,'RET TECH'!S:S))</f>
        <v>18.740251857344109</v>
      </c>
      <c r="AE37">
        <f>IF(Y37="","",_xlfn.XLOOKUP(Y37,'RET TECH'!M:M,'RET TECH'!V:V))</f>
        <v>31.536000000000001</v>
      </c>
      <c r="AF37" s="12">
        <f>IF(Y37="","",_xlfn.XLOOKUP(Y37,'RET TECH'!M:M,'RET TECH'!U:U))</f>
        <v>9.7022787788124412E-2</v>
      </c>
      <c r="AG37" s="12">
        <f>IF(Y37="","",_xlfn.XLOOKUP(Y37,'RET TECH'!M:M,'RET TECH'!R:R))</f>
        <v>199158.8511117548</v>
      </c>
    </row>
    <row r="38" spans="2:33" x14ac:dyDescent="0.25">
      <c r="B38" t="str">
        <f>Def_Tech!C35</f>
        <v>RESHOUHIOldSHRETMIN</v>
      </c>
      <c r="C38" t="str">
        <f>Def_Comm!C35</f>
        <v>RESHOUHIOldSHRET</v>
      </c>
      <c r="D38">
        <v>1</v>
      </c>
      <c r="E38" s="8">
        <f>_xlfn.XLOOKUP(LEFT($C38,LEN($C38)-5)&amp;"DMD",Demand!$E:$E,Demand!G:G)</f>
        <v>96.552050846441404</v>
      </c>
      <c r="F38" s="8">
        <f>_xlfn.XLOOKUP(LEFT($C38,LEN($C38)-5)&amp;"DMD",Demand!$E:$E,Demand!H:H)</f>
        <v>96.552050846441404</v>
      </c>
      <c r="G38" s="8">
        <f>_xlfn.XLOOKUP(LEFT($C38,LEN($C38)-5)&amp;"DMD",Demand!$E:$E,Demand!I:I)</f>
        <v>96.552050846441404</v>
      </c>
      <c r="H38" s="8">
        <f>_xlfn.XLOOKUP(LEFT($C38,LEN($C38)-5)&amp;"DMD",Demand!$E:$E,Demand!J:J)</f>
        <v>96.552050846441404</v>
      </c>
      <c r="I38" s="8">
        <f>_xlfn.XLOOKUP(LEFT($C38,LEN($C38)-5)&amp;"DMD",Demand!$E:$E,Demand!K:K)</f>
        <v>96.552050846441404</v>
      </c>
      <c r="J38" s="8">
        <f>_xlfn.XLOOKUP(LEFT($C38,LEN($C38)-5)&amp;"DMD",Demand!$E:$E,Demand!L:L)</f>
        <v>96.552050846441404</v>
      </c>
      <c r="K38" s="8">
        <f>_xlfn.XLOOKUP(LEFT($C38,LEN($C38)-5)&amp;"DMD",Demand!$E:$E,Demand!M:M)</f>
        <v>96.552050846441404</v>
      </c>
      <c r="L38" s="8">
        <f>_xlfn.XLOOKUP(LEFT($C38,LEN($C38)-5)&amp;"DMD",Demand!$E:$E,Demand!N:N)</f>
        <v>96.552050846441404</v>
      </c>
      <c r="M38" s="8">
        <f>_xlfn.XLOOKUP(LEFT($C38,LEN($C38)-5)&amp;"DMD",Demand!$E:$E,Demand!O:O)</f>
        <v>96.552050846441404</v>
      </c>
      <c r="N38" s="8">
        <f>_xlfn.XLOOKUP(LEFT($C38,LEN($C38)-5)&amp;"DMD",Demand!$E:$E,Demand!P:P)</f>
        <v>96.552050846441404</v>
      </c>
      <c r="O38" s="8">
        <f>_xlfn.XLOOKUP(LEFT($C38,LEN($C38)-5)&amp;"DMD",Demand!$E:$E,Demand!Q:Q)</f>
        <v>96.552050846441404</v>
      </c>
      <c r="P38" s="8">
        <f>_xlfn.XLOOKUP(LEFT($C38,LEN($C38)-5)&amp;"DMD",Demand!$E:$E,Demand!R:R)</f>
        <v>96.552050846441404</v>
      </c>
      <c r="Q38" s="8">
        <f>_xlfn.XLOOKUP(LEFT($C38,LEN($C38)-5)&amp;"DMD",Demand!$E:$E,Demand!S:S)</f>
        <v>96.552050846441404</v>
      </c>
      <c r="R38" s="8">
        <f>_xlfn.XLOOKUP(LEFT($C38,LEN($C38)-5)&amp;"DMD",Demand!$E:$E,Demand!T:T)</f>
        <v>96.552050846441404</v>
      </c>
      <c r="S38" s="8">
        <f>_xlfn.XLOOKUP(LEFT($C38,LEN($C38)-5)&amp;"DMD",Demand!$E:$E,Demand!U:U)</f>
        <v>96.552050846441404</v>
      </c>
      <c r="T38" s="8">
        <f>_xlfn.XLOOKUP(LEFT($C38,LEN($C38)-5)&amp;"DMD",Demand!$E:$E,Demand!V:V)</f>
        <v>96.552050846441404</v>
      </c>
      <c r="U38" s="8">
        <f>_xlfn.XLOOKUP(LEFT($C38,LEN($C38)-5)&amp;"DMD",Demand!$E:$E,Demand!W:W)</f>
        <v>96.552050846441404</v>
      </c>
      <c r="V38" s="8">
        <f>_xlfn.XLOOKUP(LEFT($C38,LEN($C38)-5)&amp;"DMD",Demand!$E:$E,Demand!X:X)</f>
        <v>96.552050846441404</v>
      </c>
      <c r="Y38" t="str">
        <f>IF('RET TECH'!N33=1,'RET TECH'!M33,"*")</f>
        <v>RESHOULMNewSCENVIECC4020</v>
      </c>
      <c r="Z38" t="str">
        <f>IF(Y38="","",_xlfn.XLOOKUP(Y38,'RET TECH'!M:M,'RET TECH'!K:K))</f>
        <v>RESHOULMNewSCRET</v>
      </c>
      <c r="AA38" t="str">
        <f>IF(Y38="","",_xlfn.XLOOKUP(Y38,'RET TECH'!M:M,'RET TECH'!L:L))</f>
        <v>RESHOULMNewSCEUE</v>
      </c>
      <c r="AB38">
        <f>IF(Y38="","",'City characteristics'!$C$20+1)</f>
        <v>2020</v>
      </c>
      <c r="AC38" s="12">
        <f>IF(Y38="","",_xlfn.XLOOKUP(Y38,'RET TECH'!M:M,'RET TECH'!T:T))</f>
        <v>30</v>
      </c>
      <c r="AD38" s="12">
        <f>IF(Y38="","",_xlfn.XLOOKUP(Y38,'RET TECH'!M:M,'RET TECH'!S:S))</f>
        <v>17.444026605510729</v>
      </c>
      <c r="AE38">
        <f>IF(Y38="","",_xlfn.XLOOKUP(Y38,'RET TECH'!M:M,'RET TECH'!V:V))</f>
        <v>31.536000000000001</v>
      </c>
      <c r="AF38" s="12">
        <f>IF(Y38="","",_xlfn.XLOOKUP(Y38,'RET TECH'!M:M,'RET TECH'!U:U))</f>
        <v>9.7022787788124412E-2</v>
      </c>
      <c r="AG38" s="12">
        <f>IF(Y38="","",_xlfn.XLOOKUP(Y38,'RET TECH'!M:M,'RET TECH'!R:R))</f>
        <v>180231.1020002838</v>
      </c>
    </row>
    <row r="39" spans="2:33" x14ac:dyDescent="0.25">
      <c r="B39" t="str">
        <f>Def_Tech!C36</f>
        <v>RESHOUHIOldSCRETMIN</v>
      </c>
      <c r="C39" t="str">
        <f>Def_Comm!C36</f>
        <v>RESHOUHIOldSCRET</v>
      </c>
      <c r="D39">
        <v>1</v>
      </c>
      <c r="E39" s="8">
        <f>_xlfn.XLOOKUP(LEFT($C39,LEN($C39)-5)&amp;"DMD",Demand!$E:$E,Demand!G:G)</f>
        <v>96.552050846441404</v>
      </c>
      <c r="F39" s="8">
        <f>_xlfn.XLOOKUP(LEFT($C39,LEN($C39)-5)&amp;"DMD",Demand!$E:$E,Demand!H:H)</f>
        <v>96.552050846441404</v>
      </c>
      <c r="G39" s="8">
        <f>_xlfn.XLOOKUP(LEFT($C39,LEN($C39)-5)&amp;"DMD",Demand!$E:$E,Demand!I:I)</f>
        <v>96.552050846441404</v>
      </c>
      <c r="H39" s="8">
        <f>_xlfn.XLOOKUP(LEFT($C39,LEN($C39)-5)&amp;"DMD",Demand!$E:$E,Demand!J:J)</f>
        <v>96.552050846441404</v>
      </c>
      <c r="I39" s="8">
        <f>_xlfn.XLOOKUP(LEFT($C39,LEN($C39)-5)&amp;"DMD",Demand!$E:$E,Demand!K:K)</f>
        <v>96.552050846441404</v>
      </c>
      <c r="J39" s="8">
        <f>_xlfn.XLOOKUP(LEFT($C39,LEN($C39)-5)&amp;"DMD",Demand!$E:$E,Demand!L:L)</f>
        <v>96.552050846441404</v>
      </c>
      <c r="K39" s="8">
        <f>_xlfn.XLOOKUP(LEFT($C39,LEN($C39)-5)&amp;"DMD",Demand!$E:$E,Demand!M:M)</f>
        <v>96.552050846441404</v>
      </c>
      <c r="L39" s="8">
        <f>_xlfn.XLOOKUP(LEFT($C39,LEN($C39)-5)&amp;"DMD",Demand!$E:$E,Demand!N:N)</f>
        <v>96.552050846441404</v>
      </c>
      <c r="M39" s="8">
        <f>_xlfn.XLOOKUP(LEFT($C39,LEN($C39)-5)&amp;"DMD",Demand!$E:$E,Demand!O:O)</f>
        <v>96.552050846441404</v>
      </c>
      <c r="N39" s="8">
        <f>_xlfn.XLOOKUP(LEFT($C39,LEN($C39)-5)&amp;"DMD",Demand!$E:$E,Demand!P:P)</f>
        <v>96.552050846441404</v>
      </c>
      <c r="O39" s="8">
        <f>_xlfn.XLOOKUP(LEFT($C39,LEN($C39)-5)&amp;"DMD",Demand!$E:$E,Demand!Q:Q)</f>
        <v>96.552050846441404</v>
      </c>
      <c r="P39" s="8">
        <f>_xlfn.XLOOKUP(LEFT($C39,LEN($C39)-5)&amp;"DMD",Demand!$E:$E,Demand!R:R)</f>
        <v>96.552050846441404</v>
      </c>
      <c r="Q39" s="8">
        <f>_xlfn.XLOOKUP(LEFT($C39,LEN($C39)-5)&amp;"DMD",Demand!$E:$E,Demand!S:S)</f>
        <v>96.552050846441404</v>
      </c>
      <c r="R39" s="8">
        <f>_xlfn.XLOOKUP(LEFT($C39,LEN($C39)-5)&amp;"DMD",Demand!$E:$E,Demand!T:T)</f>
        <v>96.552050846441404</v>
      </c>
      <c r="S39" s="8">
        <f>_xlfn.XLOOKUP(LEFT($C39,LEN($C39)-5)&amp;"DMD",Demand!$E:$E,Demand!U:U)</f>
        <v>96.552050846441404</v>
      </c>
      <c r="T39" s="8">
        <f>_xlfn.XLOOKUP(LEFT($C39,LEN($C39)-5)&amp;"DMD",Demand!$E:$E,Demand!V:V)</f>
        <v>96.552050846441404</v>
      </c>
      <c r="U39" s="8">
        <f>_xlfn.XLOOKUP(LEFT($C39,LEN($C39)-5)&amp;"DMD",Demand!$E:$E,Demand!W:W)</f>
        <v>96.552050846441404</v>
      </c>
      <c r="V39" s="8">
        <f>_xlfn.XLOOKUP(LEFT($C39,LEN($C39)-5)&amp;"DMD",Demand!$E:$E,Demand!X:X)</f>
        <v>96.552050846441404</v>
      </c>
      <c r="Y39" t="str">
        <f>IF('RET TECH'!N34=1,'RET TECH'!M34,"*")</f>
        <v>RESHOULMNewSCENVIECC20</v>
      </c>
      <c r="Z39" t="str">
        <f>IF(Y39="","",_xlfn.XLOOKUP(Y39,'RET TECH'!M:M,'RET TECH'!K:K))</f>
        <v>RESHOULMNewSCRET</v>
      </c>
      <c r="AA39" t="str">
        <f>IF(Y39="","",_xlfn.XLOOKUP(Y39,'RET TECH'!M:M,'RET TECH'!L:L))</f>
        <v>RESHOULMNewSCEUE</v>
      </c>
      <c r="AB39">
        <f>IF(Y39="","",'City characteristics'!$C$20+1)</f>
        <v>2020</v>
      </c>
      <c r="AC39" s="12">
        <f>IF(Y39="","",_xlfn.XLOOKUP(Y39,'RET TECH'!M:M,'RET TECH'!T:T))</f>
        <v>30</v>
      </c>
      <c r="AD39" s="12">
        <f>IF(Y39="","",_xlfn.XLOOKUP(Y39,'RET TECH'!M:M,'RET TECH'!S:S))</f>
        <v>13.46102024432281</v>
      </c>
      <c r="AE39">
        <f>IF(Y39="","",_xlfn.XLOOKUP(Y39,'RET TECH'!M:M,'RET TECH'!V:V))</f>
        <v>31.536000000000001</v>
      </c>
      <c r="AF39" s="12">
        <f>IF(Y39="","",_xlfn.XLOOKUP(Y39,'RET TECH'!M:M,'RET TECH'!U:U))</f>
        <v>9.7022787788124412E-2</v>
      </c>
      <c r="AG39" s="12">
        <f>IF(Y39="","",_xlfn.XLOOKUP(Y39,'RET TECH'!M:M,'RET TECH'!R:R))</f>
        <v>171755.30628552599</v>
      </c>
    </row>
    <row r="40" spans="2:33" x14ac:dyDescent="0.25">
      <c r="Y40" t="str">
        <f>IF('RET TECH'!N35=1,'RET TECH'!M35,"*")</f>
        <v>RESAPAUMNewSHENVESTAR20</v>
      </c>
      <c r="Z40" t="str">
        <f>IF(Y40="","",_xlfn.XLOOKUP(Y40,'RET TECH'!M:M,'RET TECH'!K:K))</f>
        <v>RESAPAUMNewSHRET</v>
      </c>
      <c r="AA40" t="str">
        <f>IF(Y40="","",_xlfn.XLOOKUP(Y40,'RET TECH'!M:M,'RET TECH'!L:L))</f>
        <v>RESAPAUMNewSHEUE</v>
      </c>
      <c r="AB40">
        <f>IF(Y40="","",'City characteristics'!$C$20+1)</f>
        <v>2020</v>
      </c>
      <c r="AC40" s="12">
        <f>IF(Y40="","",_xlfn.XLOOKUP(Y40,'RET TECH'!M:M,'RET TECH'!T:T))</f>
        <v>30</v>
      </c>
      <c r="AD40" s="12">
        <f>IF(Y40="","",_xlfn.XLOOKUP(Y40,'RET TECH'!M:M,'RET TECH'!S:S))</f>
        <v>36.355448870766921</v>
      </c>
      <c r="AE40">
        <f>IF(Y40="","",_xlfn.XLOOKUP(Y40,'RET TECH'!M:M,'RET TECH'!V:V))</f>
        <v>31.536000000000001</v>
      </c>
      <c r="AF40" s="12">
        <f>IF(Y40="","",_xlfn.XLOOKUP(Y40,'RET TECH'!M:M,'RET TECH'!U:U))</f>
        <v>8.7856310855373987E-2</v>
      </c>
      <c r="AG40" s="12">
        <f>IF(Y40="","",_xlfn.XLOOKUP(Y40,'RET TECH'!M:M,'RET TECH'!R:R))</f>
        <v>26481.971597369429</v>
      </c>
    </row>
    <row r="41" spans="2:33" x14ac:dyDescent="0.25">
      <c r="Y41" t="str">
        <f>IF('RET TECH'!N36=1,'RET TECH'!M36,"*")</f>
        <v>RESAPAUMNewSHENVPATH20</v>
      </c>
      <c r="Z41" t="str">
        <f>IF(Y41="","",_xlfn.XLOOKUP(Y41,'RET TECH'!M:M,'RET TECH'!K:K))</f>
        <v>RESAPAUMNewSHRET</v>
      </c>
      <c r="AA41" t="str">
        <f>IF(Y41="","",_xlfn.XLOOKUP(Y41,'RET TECH'!M:M,'RET TECH'!L:L))</f>
        <v>RESAPAUMNewSHEUE</v>
      </c>
      <c r="AB41">
        <f>IF(Y41="","",'City characteristics'!$C$20+1)</f>
        <v>2020</v>
      </c>
      <c r="AC41" s="12">
        <f>IF(Y41="","",_xlfn.XLOOKUP(Y41,'RET TECH'!M:M,'RET TECH'!T:T))</f>
        <v>30</v>
      </c>
      <c r="AD41" s="12">
        <f>IF(Y41="","",_xlfn.XLOOKUP(Y41,'RET TECH'!M:M,'RET TECH'!S:S))</f>
        <v>130.52327911661371</v>
      </c>
      <c r="AE41">
        <f>IF(Y41="","",_xlfn.XLOOKUP(Y41,'RET TECH'!M:M,'RET TECH'!V:V))</f>
        <v>31.536000000000001</v>
      </c>
      <c r="AF41" s="12">
        <f>IF(Y41="","",_xlfn.XLOOKUP(Y41,'RET TECH'!M:M,'RET TECH'!U:U))</f>
        <v>8.7856310855373987E-2</v>
      </c>
      <c r="AG41" s="12">
        <f>IF(Y41="","",_xlfn.XLOOKUP(Y41,'RET TECH'!M:M,'RET TECH'!R:R))</f>
        <v>12248.54595490642</v>
      </c>
    </row>
    <row r="42" spans="2:33" x14ac:dyDescent="0.25">
      <c r="Y42" t="str">
        <f>IF('RET TECH'!N37=1,'RET TECH'!M37,"*")</f>
        <v>RESAPAUMNewSHENVIECC4020</v>
      </c>
      <c r="Z42" t="str">
        <f>IF(Y42="","",_xlfn.XLOOKUP(Y42,'RET TECH'!M:M,'RET TECH'!K:K))</f>
        <v>RESAPAUMNewSHRET</v>
      </c>
      <c r="AA42" t="str">
        <f>IF(Y42="","",_xlfn.XLOOKUP(Y42,'RET TECH'!M:M,'RET TECH'!L:L))</f>
        <v>RESAPAUMNewSHEUE</v>
      </c>
      <c r="AB42">
        <f>IF(Y42="","",'City characteristics'!$C$20+1)</f>
        <v>2020</v>
      </c>
      <c r="AC42" s="12">
        <f>IF(Y42="","",_xlfn.XLOOKUP(Y42,'RET TECH'!M:M,'RET TECH'!T:T))</f>
        <v>30</v>
      </c>
      <c r="AD42" s="12">
        <f>IF(Y42="","",_xlfn.XLOOKUP(Y42,'RET TECH'!M:M,'RET TECH'!S:S))</f>
        <v>52.490200576680152</v>
      </c>
      <c r="AE42">
        <f>IF(Y42="","",_xlfn.XLOOKUP(Y42,'RET TECH'!M:M,'RET TECH'!V:V))</f>
        <v>31.536000000000001</v>
      </c>
      <c r="AF42" s="12">
        <f>IF(Y42="","",_xlfn.XLOOKUP(Y42,'RET TECH'!M:M,'RET TECH'!U:U))</f>
        <v>8.7856310855373987E-2</v>
      </c>
      <c r="AG42" s="12">
        <f>IF(Y42="","",_xlfn.XLOOKUP(Y42,'RET TECH'!M:M,'RET TECH'!R:R))</f>
        <v>24950.00541654924</v>
      </c>
    </row>
    <row r="43" spans="2:33" x14ac:dyDescent="0.25">
      <c r="Y43" t="str">
        <f>IF('RET TECH'!N38=1,'RET TECH'!M38,"*")</f>
        <v>RESAPAUMNewSHENVIECC20</v>
      </c>
      <c r="Z43" t="str">
        <f>IF(Y43="","",_xlfn.XLOOKUP(Y43,'RET TECH'!M:M,'RET TECH'!K:K))</f>
        <v>RESAPAUMNewSHRET</v>
      </c>
      <c r="AA43" t="str">
        <f>IF(Y43="","",_xlfn.XLOOKUP(Y43,'RET TECH'!M:M,'RET TECH'!L:L))</f>
        <v>RESAPAUMNewSHEUE</v>
      </c>
      <c r="AB43">
        <f>IF(Y43="","",'City characteristics'!$C$20+1)</f>
        <v>2020</v>
      </c>
      <c r="AC43" s="12">
        <f>IF(Y43="","",_xlfn.XLOOKUP(Y43,'RET TECH'!M:M,'RET TECH'!T:T))</f>
        <v>30</v>
      </c>
      <c r="AD43" s="12">
        <f>IF(Y43="","",_xlfn.XLOOKUP(Y43,'RET TECH'!M:M,'RET TECH'!S:S))</f>
        <v>32.617214068501958</v>
      </c>
      <c r="AE43">
        <f>IF(Y43="","",_xlfn.XLOOKUP(Y43,'RET TECH'!M:M,'RET TECH'!V:V))</f>
        <v>31.536000000000001</v>
      </c>
      <c r="AF43" s="12">
        <f>IF(Y43="","",_xlfn.XLOOKUP(Y43,'RET TECH'!M:M,'RET TECH'!U:U))</f>
        <v>8.7856310855373987E-2</v>
      </c>
      <c r="AG43" s="12">
        <f>IF(Y43="","",_xlfn.XLOOKUP(Y43,'RET TECH'!M:M,'RET TECH'!R:R))</f>
        <v>26199.906612293322</v>
      </c>
    </row>
    <row r="44" spans="2:33" x14ac:dyDescent="0.25">
      <c r="Y44" t="str">
        <f>IF('RET TECH'!N39=1,'RET TECH'!M39,"*")</f>
        <v>*</v>
      </c>
      <c r="Z44">
        <f>IF(Y44="","",_xlfn.XLOOKUP(Y44,'RET TECH'!M:M,'RET TECH'!K:K))</f>
        <v>0</v>
      </c>
      <c r="AA44">
        <f>IF(Y44="","",_xlfn.XLOOKUP(Y44,'RET TECH'!M:M,'RET TECH'!L:L))</f>
        <v>0</v>
      </c>
      <c r="AB44">
        <f>IF(Y44="","",'City characteristics'!$C$20+1)</f>
        <v>2020</v>
      </c>
      <c r="AC44" s="12">
        <f>IF(Y44="","",_xlfn.XLOOKUP(Y44,'RET TECH'!M:M,'RET TECH'!T:T))</f>
        <v>0</v>
      </c>
      <c r="AD44" s="12">
        <f>IF(Y44="","",_xlfn.XLOOKUP(Y44,'RET TECH'!M:M,'RET TECH'!S:S))</f>
        <v>0</v>
      </c>
      <c r="AE44">
        <f>IF(Y44="","",_xlfn.XLOOKUP(Y44,'RET TECH'!M:M,'RET TECH'!V:V))</f>
        <v>0</v>
      </c>
      <c r="AF44" s="12">
        <f>IF(Y44="","",_xlfn.XLOOKUP(Y44,'RET TECH'!M:M,'RET TECH'!U:U))</f>
        <v>0</v>
      </c>
      <c r="AG44" s="12">
        <f>IF(Y44="","",_xlfn.XLOOKUP(Y44,'RET TECH'!M:M,'RET TECH'!R:R))</f>
        <v>0</v>
      </c>
    </row>
    <row r="45" spans="2:33" x14ac:dyDescent="0.25">
      <c r="Y45" t="str">
        <f>IF('RET TECH'!N40=1,'RET TECH'!M40,"*")</f>
        <v>*</v>
      </c>
      <c r="Z45">
        <f>IF(Y45="","",_xlfn.XLOOKUP(Y45,'RET TECH'!M:M,'RET TECH'!K:K))</f>
        <v>0</v>
      </c>
      <c r="AA45">
        <f>IF(Y45="","",_xlfn.XLOOKUP(Y45,'RET TECH'!M:M,'RET TECH'!L:L))</f>
        <v>0</v>
      </c>
      <c r="AB45">
        <f>IF(Y45="","",'City characteristics'!$C$20+1)</f>
        <v>2020</v>
      </c>
      <c r="AC45" s="12">
        <f>IF(Y45="","",_xlfn.XLOOKUP(Y45,'RET TECH'!M:M,'RET TECH'!T:T))</f>
        <v>0</v>
      </c>
      <c r="AD45" s="12">
        <f>IF(Y45="","",_xlfn.XLOOKUP(Y45,'RET TECH'!M:M,'RET TECH'!S:S))</f>
        <v>0</v>
      </c>
      <c r="AE45">
        <f>IF(Y45="","",_xlfn.XLOOKUP(Y45,'RET TECH'!M:M,'RET TECH'!V:V))</f>
        <v>0</v>
      </c>
      <c r="AF45" s="12">
        <f>IF(Y45="","",_xlfn.XLOOKUP(Y45,'RET TECH'!M:M,'RET TECH'!U:U))</f>
        <v>0</v>
      </c>
      <c r="AG45" s="12">
        <f>IF(Y45="","",_xlfn.XLOOKUP(Y45,'RET TECH'!M:M,'RET TECH'!R:R))</f>
        <v>0</v>
      </c>
    </row>
    <row r="46" spans="2:33" x14ac:dyDescent="0.25">
      <c r="Y46" t="str">
        <f>IF('RET TECH'!N41=1,'RET TECH'!M41,"*")</f>
        <v>*</v>
      </c>
      <c r="Z46">
        <f>IF(Y46="","",_xlfn.XLOOKUP(Y46,'RET TECH'!M:M,'RET TECH'!K:K))</f>
        <v>0</v>
      </c>
      <c r="AA46">
        <f>IF(Y46="","",_xlfn.XLOOKUP(Y46,'RET TECH'!M:M,'RET TECH'!L:L))</f>
        <v>0</v>
      </c>
      <c r="AB46">
        <f>IF(Y46="","",'City characteristics'!$C$20+1)</f>
        <v>2020</v>
      </c>
      <c r="AC46" s="12">
        <f>IF(Y46="","",_xlfn.XLOOKUP(Y46,'RET TECH'!M:M,'RET TECH'!T:T))</f>
        <v>0</v>
      </c>
      <c r="AD46" s="12">
        <f>IF(Y46="","",_xlfn.XLOOKUP(Y46,'RET TECH'!M:M,'RET TECH'!S:S))</f>
        <v>0</v>
      </c>
      <c r="AE46">
        <f>IF(Y46="","",_xlfn.XLOOKUP(Y46,'RET TECH'!M:M,'RET TECH'!V:V))</f>
        <v>0</v>
      </c>
      <c r="AF46" s="12">
        <f>IF(Y46="","",_xlfn.XLOOKUP(Y46,'RET TECH'!M:M,'RET TECH'!U:U))</f>
        <v>0</v>
      </c>
      <c r="AG46" s="12">
        <f>IF(Y46="","",_xlfn.XLOOKUP(Y46,'RET TECH'!M:M,'RET TECH'!R:R))</f>
        <v>0</v>
      </c>
    </row>
    <row r="47" spans="2:33" x14ac:dyDescent="0.25">
      <c r="Y47" t="str">
        <f>IF('RET TECH'!N42=1,'RET TECH'!M42,"*")</f>
        <v>*</v>
      </c>
      <c r="Z47">
        <f>IF(Y47="","",_xlfn.XLOOKUP(Y47,'RET TECH'!M:M,'RET TECH'!K:K))</f>
        <v>0</v>
      </c>
      <c r="AA47">
        <f>IF(Y47="","",_xlfn.XLOOKUP(Y47,'RET TECH'!M:M,'RET TECH'!L:L))</f>
        <v>0</v>
      </c>
      <c r="AB47">
        <f>IF(Y47="","",'City characteristics'!$C$20+1)</f>
        <v>2020</v>
      </c>
      <c r="AC47" s="12">
        <f>IF(Y47="","",_xlfn.XLOOKUP(Y47,'RET TECH'!M:M,'RET TECH'!T:T))</f>
        <v>0</v>
      </c>
      <c r="AD47" s="12">
        <f>IF(Y47="","",_xlfn.XLOOKUP(Y47,'RET TECH'!M:M,'RET TECH'!S:S))</f>
        <v>0</v>
      </c>
      <c r="AE47">
        <f>IF(Y47="","",_xlfn.XLOOKUP(Y47,'RET TECH'!M:M,'RET TECH'!V:V))</f>
        <v>0</v>
      </c>
      <c r="AF47" s="12">
        <f>IF(Y47="","",_xlfn.XLOOKUP(Y47,'RET TECH'!M:M,'RET TECH'!U:U))</f>
        <v>0</v>
      </c>
      <c r="AG47" s="12">
        <f>IF(Y47="","",_xlfn.XLOOKUP(Y47,'RET TECH'!M:M,'RET TECH'!R:R))</f>
        <v>0</v>
      </c>
    </row>
    <row r="48" spans="2:33" x14ac:dyDescent="0.25">
      <c r="Y48" t="str">
        <f>IF('RET TECH'!N43=1,'RET TECH'!M43,"*")</f>
        <v>RESHOUUMNewSHENVESTAR20</v>
      </c>
      <c r="Z48" t="str">
        <f>IF(Y48="","",_xlfn.XLOOKUP(Y48,'RET TECH'!M:M,'RET TECH'!K:K))</f>
        <v>RESHOUUMNewSHRET</v>
      </c>
      <c r="AA48" t="str">
        <f>IF(Y48="","",_xlfn.XLOOKUP(Y48,'RET TECH'!M:M,'RET TECH'!L:L))</f>
        <v>RESHOUUMNewSHEUE</v>
      </c>
      <c r="AB48">
        <f>IF(Y48="","",'City characteristics'!$C$20+1)</f>
        <v>2020</v>
      </c>
      <c r="AC48" s="12">
        <f>IF(Y48="","",_xlfn.XLOOKUP(Y48,'RET TECH'!M:M,'RET TECH'!T:T))</f>
        <v>30</v>
      </c>
      <c r="AD48" s="12">
        <f>IF(Y48="","",_xlfn.XLOOKUP(Y48,'RET TECH'!M:M,'RET TECH'!S:S))</f>
        <v>178.40721119034589</v>
      </c>
      <c r="AE48">
        <f>IF(Y48="","",_xlfn.XLOOKUP(Y48,'RET TECH'!M:M,'RET TECH'!V:V))</f>
        <v>31.536000000000001</v>
      </c>
      <c r="AF48" s="12">
        <f>IF(Y48="","",_xlfn.XLOOKUP(Y48,'RET TECH'!M:M,'RET TECH'!U:U))</f>
        <v>9.1249964693936397E-2</v>
      </c>
      <c r="AG48" s="12">
        <f>IF(Y48="","",_xlfn.XLOOKUP(Y48,'RET TECH'!M:M,'RET TECH'!R:R))</f>
        <v>13874.78114648514</v>
      </c>
    </row>
    <row r="49" spans="25:33" x14ac:dyDescent="0.25">
      <c r="Y49" t="str">
        <f>IF('RET TECH'!N44=1,'RET TECH'!M44,"*")</f>
        <v>RESHOUUMNewSHENVPATH20</v>
      </c>
      <c r="Z49" t="str">
        <f>IF(Y49="","",_xlfn.XLOOKUP(Y49,'RET TECH'!M:M,'RET TECH'!K:K))</f>
        <v>RESHOUUMNewSHRET</v>
      </c>
      <c r="AA49" t="str">
        <f>IF(Y49="","",_xlfn.XLOOKUP(Y49,'RET TECH'!M:M,'RET TECH'!L:L))</f>
        <v>RESHOUUMNewSHEUE</v>
      </c>
      <c r="AB49">
        <f>IF(Y49="","",'City characteristics'!$C$20+1)</f>
        <v>2020</v>
      </c>
      <c r="AC49" s="12">
        <f>IF(Y49="","",_xlfn.XLOOKUP(Y49,'RET TECH'!M:M,'RET TECH'!T:T))</f>
        <v>30</v>
      </c>
      <c r="AD49" s="12">
        <f>IF(Y49="","",_xlfn.XLOOKUP(Y49,'RET TECH'!M:M,'RET TECH'!S:S))</f>
        <v>268.60697003408922</v>
      </c>
      <c r="AE49">
        <f>IF(Y49="","",_xlfn.XLOOKUP(Y49,'RET TECH'!M:M,'RET TECH'!V:V))</f>
        <v>31.536000000000001</v>
      </c>
      <c r="AF49" s="12">
        <f>IF(Y49="","",_xlfn.XLOOKUP(Y49,'RET TECH'!M:M,'RET TECH'!U:U))</f>
        <v>9.1249964693936397E-2</v>
      </c>
      <c r="AG49" s="12">
        <f>IF(Y49="","",_xlfn.XLOOKUP(Y49,'RET TECH'!M:M,'RET TECH'!R:R))</f>
        <v>13894.974612832701</v>
      </c>
    </row>
    <row r="50" spans="25:33" x14ac:dyDescent="0.25">
      <c r="Y50" t="str">
        <f>IF('RET TECH'!N45=1,'RET TECH'!M45,"*")</f>
        <v>RESHOUUMNewSHENVIECC4020</v>
      </c>
      <c r="Z50" t="str">
        <f>IF(Y50="","",_xlfn.XLOOKUP(Y50,'RET TECH'!M:M,'RET TECH'!K:K))</f>
        <v>RESHOUUMNewSHRET</v>
      </c>
      <c r="AA50" t="str">
        <f>IF(Y50="","",_xlfn.XLOOKUP(Y50,'RET TECH'!M:M,'RET TECH'!L:L))</f>
        <v>RESHOUUMNewSHEUE</v>
      </c>
      <c r="AB50">
        <f>IF(Y50="","",'City characteristics'!$C$20+1)</f>
        <v>2020</v>
      </c>
      <c r="AC50" s="12">
        <f>IF(Y50="","",_xlfn.XLOOKUP(Y50,'RET TECH'!M:M,'RET TECH'!T:T))</f>
        <v>30</v>
      </c>
      <c r="AD50" s="12">
        <f>IF(Y50="","",_xlfn.XLOOKUP(Y50,'RET TECH'!M:M,'RET TECH'!S:S))</f>
        <v>237.8250189866572</v>
      </c>
      <c r="AE50">
        <f>IF(Y50="","",_xlfn.XLOOKUP(Y50,'RET TECH'!M:M,'RET TECH'!V:V))</f>
        <v>31.536000000000001</v>
      </c>
      <c r="AF50" s="12">
        <f>IF(Y50="","",_xlfn.XLOOKUP(Y50,'RET TECH'!M:M,'RET TECH'!U:U))</f>
        <v>9.1249964693936397E-2</v>
      </c>
      <c r="AG50" s="12">
        <f>IF(Y50="","",_xlfn.XLOOKUP(Y50,'RET TECH'!M:M,'RET TECH'!R:R))</f>
        <v>13219.618994794881</v>
      </c>
    </row>
    <row r="51" spans="25:33" x14ac:dyDescent="0.25">
      <c r="Y51" t="str">
        <f>IF('RET TECH'!N46=1,'RET TECH'!M46,"*")</f>
        <v>RESHOUUMNewSHENVIECC20</v>
      </c>
      <c r="Z51" t="str">
        <f>IF(Y51="","",_xlfn.XLOOKUP(Y51,'RET TECH'!M:M,'RET TECH'!K:K))</f>
        <v>RESHOUUMNewSHRET</v>
      </c>
      <c r="AA51" t="str">
        <f>IF(Y51="","",_xlfn.XLOOKUP(Y51,'RET TECH'!M:M,'RET TECH'!L:L))</f>
        <v>RESHOUUMNewSHEUE</v>
      </c>
      <c r="AB51">
        <f>IF(Y51="","",'City characteristics'!$C$20+1)</f>
        <v>2020</v>
      </c>
      <c r="AC51" s="12">
        <f>IF(Y51="","",_xlfn.XLOOKUP(Y51,'RET TECH'!M:M,'RET TECH'!T:T))</f>
        <v>30</v>
      </c>
      <c r="AD51" s="12">
        <f>IF(Y51="","",_xlfn.XLOOKUP(Y51,'RET TECH'!M:M,'RET TECH'!S:S))</f>
        <v>130.05321242447479</v>
      </c>
      <c r="AE51">
        <f>IF(Y51="","",_xlfn.XLOOKUP(Y51,'RET TECH'!M:M,'RET TECH'!V:V))</f>
        <v>31.536000000000001</v>
      </c>
      <c r="AF51" s="12">
        <f>IF(Y51="","",_xlfn.XLOOKUP(Y51,'RET TECH'!M:M,'RET TECH'!U:U))</f>
        <v>9.1249964693936397E-2</v>
      </c>
      <c r="AG51" s="12">
        <f>IF(Y51="","",_xlfn.XLOOKUP(Y51,'RET TECH'!M:M,'RET TECH'!R:R))</f>
        <v>17777.351377013991</v>
      </c>
    </row>
    <row r="52" spans="25:33" x14ac:dyDescent="0.25">
      <c r="Y52" t="str">
        <f>IF('RET TECH'!N47=1,'RET TECH'!M47,"*")</f>
        <v>RESHOUUMNewSCENVESTAR20</v>
      </c>
      <c r="Z52" t="str">
        <f>IF(Y52="","",_xlfn.XLOOKUP(Y52,'RET TECH'!M:M,'RET TECH'!K:K))</f>
        <v>RESHOUUMNewSCRET</v>
      </c>
      <c r="AA52" t="str">
        <f>IF(Y52="","",_xlfn.XLOOKUP(Y52,'RET TECH'!M:M,'RET TECH'!L:L))</f>
        <v>RESHOUUMNewSCEUE</v>
      </c>
      <c r="AB52">
        <f>IF(Y52="","",'City characteristics'!$C$20+1)</f>
        <v>2020</v>
      </c>
      <c r="AC52" s="12">
        <f>IF(Y52="","",_xlfn.XLOOKUP(Y52,'RET TECH'!M:M,'RET TECH'!T:T))</f>
        <v>30</v>
      </c>
      <c r="AD52" s="12">
        <f>IF(Y52="","",_xlfn.XLOOKUP(Y52,'RET TECH'!M:M,'RET TECH'!S:S))</f>
        <v>19.111384208815121</v>
      </c>
      <c r="AE52">
        <f>IF(Y52="","",_xlfn.XLOOKUP(Y52,'RET TECH'!M:M,'RET TECH'!V:V))</f>
        <v>31.536000000000001</v>
      </c>
      <c r="AF52" s="12">
        <f>IF(Y52="","",_xlfn.XLOOKUP(Y52,'RET TECH'!M:M,'RET TECH'!U:U))</f>
        <v>5.8273038403982118E-2</v>
      </c>
      <c r="AG52" s="12">
        <f>IF(Y52="","",_xlfn.XLOOKUP(Y52,'RET TECH'!M:M,'RET TECH'!R:R))</f>
        <v>129522.85314211011</v>
      </c>
    </row>
    <row r="53" spans="25:33" x14ac:dyDescent="0.25">
      <c r="Y53" t="str">
        <f>IF('RET TECH'!N48=1,'RET TECH'!M48,"*")</f>
        <v>RESHOUUMNewSCENVPATH20</v>
      </c>
      <c r="Z53" t="str">
        <f>IF(Y53="","",_xlfn.XLOOKUP(Y53,'RET TECH'!M:M,'RET TECH'!K:K))</f>
        <v>RESHOUUMNewSCRET</v>
      </c>
      <c r="AA53" t="str">
        <f>IF(Y53="","",_xlfn.XLOOKUP(Y53,'RET TECH'!M:M,'RET TECH'!L:L))</f>
        <v>RESHOUUMNewSCEUE</v>
      </c>
      <c r="AB53">
        <f>IF(Y53="","",'City characteristics'!$C$20+1)</f>
        <v>2020</v>
      </c>
      <c r="AC53" s="12">
        <f>IF(Y53="","",_xlfn.XLOOKUP(Y53,'RET TECH'!M:M,'RET TECH'!T:T))</f>
        <v>30</v>
      </c>
      <c r="AD53" s="12">
        <f>IF(Y53="","",_xlfn.XLOOKUP(Y53,'RET TECH'!M:M,'RET TECH'!S:S))</f>
        <v>21.206153566616472</v>
      </c>
      <c r="AE53">
        <f>IF(Y53="","",_xlfn.XLOOKUP(Y53,'RET TECH'!M:M,'RET TECH'!V:V))</f>
        <v>31.536000000000001</v>
      </c>
      <c r="AF53" s="12">
        <f>IF(Y53="","",_xlfn.XLOOKUP(Y53,'RET TECH'!M:M,'RET TECH'!U:U))</f>
        <v>5.8273038403982118E-2</v>
      </c>
      <c r="AG53" s="12">
        <f>IF(Y53="","",_xlfn.XLOOKUP(Y53,'RET TECH'!M:M,'RET TECH'!R:R))</f>
        <v>176000.18870603159</v>
      </c>
    </row>
    <row r="54" spans="25:33" x14ac:dyDescent="0.25">
      <c r="Y54" t="str">
        <f>IF('RET TECH'!N49=1,'RET TECH'!M49,"*")</f>
        <v>RESHOUUMNewSCENVIECC4020</v>
      </c>
      <c r="Z54" t="str">
        <f>IF(Y54="","",_xlfn.XLOOKUP(Y54,'RET TECH'!M:M,'RET TECH'!K:K))</f>
        <v>RESHOUUMNewSCRET</v>
      </c>
      <c r="AA54" t="str">
        <f>IF(Y54="","",_xlfn.XLOOKUP(Y54,'RET TECH'!M:M,'RET TECH'!L:L))</f>
        <v>RESHOUUMNewSCEUE</v>
      </c>
      <c r="AB54">
        <f>IF(Y54="","",'City characteristics'!$C$20+1)</f>
        <v>2020</v>
      </c>
      <c r="AC54" s="12">
        <f>IF(Y54="","",_xlfn.XLOOKUP(Y54,'RET TECH'!M:M,'RET TECH'!T:T))</f>
        <v>30</v>
      </c>
      <c r="AD54" s="12">
        <f>IF(Y54="","",_xlfn.XLOOKUP(Y54,'RET TECH'!M:M,'RET TECH'!S:S))</f>
        <v>19.73936688965232</v>
      </c>
      <c r="AE54">
        <f>IF(Y54="","",_xlfn.XLOOKUP(Y54,'RET TECH'!M:M,'RET TECH'!V:V))</f>
        <v>31.536000000000001</v>
      </c>
      <c r="AF54" s="12">
        <f>IF(Y54="","",_xlfn.XLOOKUP(Y54,'RET TECH'!M:M,'RET TECH'!U:U))</f>
        <v>5.8273038403982118E-2</v>
      </c>
      <c r="AG54" s="12">
        <f>IF(Y54="","",_xlfn.XLOOKUP(Y54,'RET TECH'!M:M,'RET TECH'!R:R))</f>
        <v>159273.403043214</v>
      </c>
    </row>
    <row r="55" spans="25:33" x14ac:dyDescent="0.25">
      <c r="Y55" t="str">
        <f>IF('RET TECH'!N50=1,'RET TECH'!M50,"*")</f>
        <v>RESHOUUMNewSCENVIECC20</v>
      </c>
      <c r="Z55" t="str">
        <f>IF(Y55="","",_xlfn.XLOOKUP(Y55,'RET TECH'!M:M,'RET TECH'!K:K))</f>
        <v>RESHOUUMNewSCRET</v>
      </c>
      <c r="AA55" t="str">
        <f>IF(Y55="","",_xlfn.XLOOKUP(Y55,'RET TECH'!M:M,'RET TECH'!L:L))</f>
        <v>RESHOUUMNewSCEUE</v>
      </c>
      <c r="AB55">
        <f>IF(Y55="","",'City characteristics'!$C$20+1)</f>
        <v>2020</v>
      </c>
      <c r="AC55" s="12">
        <f>IF(Y55="","",_xlfn.XLOOKUP(Y55,'RET TECH'!M:M,'RET TECH'!T:T))</f>
        <v>30</v>
      </c>
      <c r="AD55" s="12">
        <f>IF(Y55="","",_xlfn.XLOOKUP(Y55,'RET TECH'!M:M,'RET TECH'!S:S))</f>
        <v>15.232263933132529</v>
      </c>
      <c r="AE55">
        <f>IF(Y55="","",_xlfn.XLOOKUP(Y55,'RET TECH'!M:M,'RET TECH'!V:V))</f>
        <v>31.536000000000001</v>
      </c>
      <c r="AF55" s="12">
        <f>IF(Y55="","",_xlfn.XLOOKUP(Y55,'RET TECH'!M:M,'RET TECH'!U:U))</f>
        <v>5.8273038403982118E-2</v>
      </c>
      <c r="AG55" s="12">
        <f>IF(Y55="","",_xlfn.XLOOKUP(Y55,'RET TECH'!M:M,'RET TECH'!R:R))</f>
        <v>151783.192907416</v>
      </c>
    </row>
    <row r="56" spans="25:33" x14ac:dyDescent="0.25">
      <c r="Y56" t="str">
        <f>IF('RET TECH'!N51=1,'RET TECH'!M51,"*")</f>
        <v>RESAPAHINewSHENVESTAR20</v>
      </c>
      <c r="Z56" t="str">
        <f>IF(Y56="","",_xlfn.XLOOKUP(Y56,'RET TECH'!M:M,'RET TECH'!K:K))</f>
        <v>RESAPAHINewSHRET</v>
      </c>
      <c r="AA56" t="str">
        <f>IF(Y56="","",_xlfn.XLOOKUP(Y56,'RET TECH'!M:M,'RET TECH'!L:L))</f>
        <v>RESAPAHINewSHEUE</v>
      </c>
      <c r="AB56">
        <f>IF(Y56="","",'City characteristics'!$C$20+1)</f>
        <v>2020</v>
      </c>
      <c r="AC56" s="12">
        <f>IF(Y56="","",_xlfn.XLOOKUP(Y56,'RET TECH'!M:M,'RET TECH'!T:T))</f>
        <v>30</v>
      </c>
      <c r="AD56" s="12">
        <f>IF(Y56="","",_xlfn.XLOOKUP(Y56,'RET TECH'!M:M,'RET TECH'!S:S))</f>
        <v>33.805809382915442</v>
      </c>
      <c r="AE56">
        <f>IF(Y56="","",_xlfn.XLOOKUP(Y56,'RET TECH'!M:M,'RET TECH'!V:V))</f>
        <v>31.536000000000001</v>
      </c>
      <c r="AF56" s="12">
        <f>IF(Y56="","",_xlfn.XLOOKUP(Y56,'RET TECH'!M:M,'RET TECH'!U:U))</f>
        <v>0.10652957206919771</v>
      </c>
      <c r="AG56" s="12">
        <f>IF(Y56="","",_xlfn.XLOOKUP(Y56,'RET TECH'!M:M,'RET TECH'!R:R))</f>
        <v>28479.246081646001</v>
      </c>
    </row>
    <row r="57" spans="25:33" x14ac:dyDescent="0.25">
      <c r="Y57" t="str">
        <f>IF('RET TECH'!N52=1,'RET TECH'!M52,"*")</f>
        <v>RESAPAHINewSHENVPATH20</v>
      </c>
      <c r="Z57" t="str">
        <f>IF(Y57="","",_xlfn.XLOOKUP(Y57,'RET TECH'!M:M,'RET TECH'!K:K))</f>
        <v>RESAPAHINewSHRET</v>
      </c>
      <c r="AA57" t="str">
        <f>IF(Y57="","",_xlfn.XLOOKUP(Y57,'RET TECH'!M:M,'RET TECH'!L:L))</f>
        <v>RESAPAHINewSHEUE</v>
      </c>
      <c r="AB57">
        <f>IF(Y57="","",'City characteristics'!$C$20+1)</f>
        <v>2020</v>
      </c>
      <c r="AC57" s="12">
        <f>IF(Y57="","",_xlfn.XLOOKUP(Y57,'RET TECH'!M:M,'RET TECH'!T:T))</f>
        <v>30</v>
      </c>
      <c r="AD57" s="12">
        <f>IF(Y57="","",_xlfn.XLOOKUP(Y57,'RET TECH'!M:M,'RET TECH'!S:S))</f>
        <v>121.3695671736656</v>
      </c>
      <c r="AE57">
        <f>IF(Y57="","",_xlfn.XLOOKUP(Y57,'RET TECH'!M:M,'RET TECH'!V:V))</f>
        <v>31.536000000000001</v>
      </c>
      <c r="AF57" s="12">
        <f>IF(Y57="","",_xlfn.XLOOKUP(Y57,'RET TECH'!M:M,'RET TECH'!U:U))</f>
        <v>0.10652957206919771</v>
      </c>
      <c r="AG57" s="12">
        <f>IF(Y57="","",_xlfn.XLOOKUP(Y57,'RET TECH'!M:M,'RET TECH'!R:R))</f>
        <v>13172.33322713708</v>
      </c>
    </row>
    <row r="58" spans="25:33" x14ac:dyDescent="0.25">
      <c r="Y58" t="str">
        <f>IF('RET TECH'!N53=1,'RET TECH'!M53,"*")</f>
        <v>RESAPAHINewSHENVIECC4020</v>
      </c>
      <c r="Z58" t="str">
        <f>IF(Y58="","",_xlfn.XLOOKUP(Y58,'RET TECH'!M:M,'RET TECH'!K:K))</f>
        <v>RESAPAHINewSHRET</v>
      </c>
      <c r="AA58" t="str">
        <f>IF(Y58="","",_xlfn.XLOOKUP(Y58,'RET TECH'!M:M,'RET TECH'!L:L))</f>
        <v>RESAPAHINewSHEUE</v>
      </c>
      <c r="AB58">
        <f>IF(Y58="","",'City characteristics'!$C$20+1)</f>
        <v>2020</v>
      </c>
      <c r="AC58" s="12">
        <f>IF(Y58="","",_xlfn.XLOOKUP(Y58,'RET TECH'!M:M,'RET TECH'!T:T))</f>
        <v>30</v>
      </c>
      <c r="AD58" s="12">
        <f>IF(Y58="","",_xlfn.XLOOKUP(Y58,'RET TECH'!M:M,'RET TECH'!S:S))</f>
        <v>48.809016812692562</v>
      </c>
      <c r="AE58">
        <f>IF(Y58="","",_xlfn.XLOOKUP(Y58,'RET TECH'!M:M,'RET TECH'!V:V))</f>
        <v>31.536000000000001</v>
      </c>
      <c r="AF58" s="12">
        <f>IF(Y58="","",_xlfn.XLOOKUP(Y58,'RET TECH'!M:M,'RET TECH'!U:U))</f>
        <v>0.10652957206919771</v>
      </c>
      <c r="AG58" s="12">
        <f>IF(Y58="","",_xlfn.XLOOKUP(Y58,'RET TECH'!M:M,'RET TECH'!R:R))</f>
        <v>26831.738769287451</v>
      </c>
    </row>
    <row r="59" spans="25:33" x14ac:dyDescent="0.25">
      <c r="Y59" t="str">
        <f>IF('RET TECH'!N54=1,'RET TECH'!M54,"*")</f>
        <v>RESAPAHINewSHENVIECC20</v>
      </c>
      <c r="Z59" t="str">
        <f>IF(Y59="","",_xlfn.XLOOKUP(Y59,'RET TECH'!M:M,'RET TECH'!K:K))</f>
        <v>RESAPAHINewSHRET</v>
      </c>
      <c r="AA59" t="str">
        <f>IF(Y59="","",_xlfn.XLOOKUP(Y59,'RET TECH'!M:M,'RET TECH'!L:L))</f>
        <v>RESAPAHINewSHEUE</v>
      </c>
      <c r="AB59">
        <f>IF(Y59="","",'City characteristics'!$C$20+1)</f>
        <v>2020</v>
      </c>
      <c r="AC59" s="12">
        <f>IF(Y59="","",_xlfn.XLOOKUP(Y59,'RET TECH'!M:M,'RET TECH'!T:T))</f>
        <v>30</v>
      </c>
      <c r="AD59" s="12">
        <f>IF(Y59="","",_xlfn.XLOOKUP(Y59,'RET TECH'!M:M,'RET TECH'!S:S))</f>
        <v>30.329740263175701</v>
      </c>
      <c r="AE59">
        <f>IF(Y59="","",_xlfn.XLOOKUP(Y59,'RET TECH'!M:M,'RET TECH'!V:V))</f>
        <v>31.536000000000001</v>
      </c>
      <c r="AF59" s="12">
        <f>IF(Y59="","",_xlfn.XLOOKUP(Y59,'RET TECH'!M:M,'RET TECH'!U:U))</f>
        <v>0.10652957206919771</v>
      </c>
      <c r="AG59" s="12">
        <f>IF(Y59="","",_xlfn.XLOOKUP(Y59,'RET TECH'!M:M,'RET TECH'!R:R))</f>
        <v>28175.907710805201</v>
      </c>
    </row>
    <row r="60" spans="25:33" x14ac:dyDescent="0.25">
      <c r="Y60" t="str">
        <f>IF('RET TECH'!N55=1,'RET TECH'!M55,"*")</f>
        <v>*</v>
      </c>
      <c r="Z60">
        <f>IF(Y60="","",_xlfn.XLOOKUP(Y60,'RET TECH'!M:M,'RET TECH'!K:K))</f>
        <v>0</v>
      </c>
      <c r="AA60">
        <f>IF(Y60="","",_xlfn.XLOOKUP(Y60,'RET TECH'!M:M,'RET TECH'!L:L))</f>
        <v>0</v>
      </c>
      <c r="AB60">
        <f>IF(Y60="","",'City characteristics'!$C$20+1)</f>
        <v>2020</v>
      </c>
      <c r="AC60" s="12">
        <f>IF(Y60="","",_xlfn.XLOOKUP(Y60,'RET TECH'!M:M,'RET TECH'!T:T))</f>
        <v>0</v>
      </c>
      <c r="AD60" s="12">
        <f>IF(Y60="","",_xlfn.XLOOKUP(Y60,'RET TECH'!M:M,'RET TECH'!S:S))</f>
        <v>0</v>
      </c>
      <c r="AE60">
        <f>IF(Y60="","",_xlfn.XLOOKUP(Y60,'RET TECH'!M:M,'RET TECH'!V:V))</f>
        <v>0</v>
      </c>
      <c r="AF60" s="12">
        <f>IF(Y60="","",_xlfn.XLOOKUP(Y60,'RET TECH'!M:M,'RET TECH'!U:U))</f>
        <v>0</v>
      </c>
      <c r="AG60" s="12">
        <f>IF(Y60="","",_xlfn.XLOOKUP(Y60,'RET TECH'!M:M,'RET TECH'!R:R))</f>
        <v>0</v>
      </c>
    </row>
    <row r="61" spans="25:33" x14ac:dyDescent="0.25">
      <c r="Y61" t="str">
        <f>IF('RET TECH'!N56=1,'RET TECH'!M56,"*")</f>
        <v>*</v>
      </c>
      <c r="Z61">
        <f>IF(Y61="","",_xlfn.XLOOKUP(Y61,'RET TECH'!M:M,'RET TECH'!K:K))</f>
        <v>0</v>
      </c>
      <c r="AA61">
        <f>IF(Y61="","",_xlfn.XLOOKUP(Y61,'RET TECH'!M:M,'RET TECH'!L:L))</f>
        <v>0</v>
      </c>
      <c r="AB61">
        <f>IF(Y61="","",'City characteristics'!$C$20+1)</f>
        <v>2020</v>
      </c>
      <c r="AC61" s="12">
        <f>IF(Y61="","",_xlfn.XLOOKUP(Y61,'RET TECH'!M:M,'RET TECH'!T:T))</f>
        <v>0</v>
      </c>
      <c r="AD61" s="12">
        <f>IF(Y61="","",_xlfn.XLOOKUP(Y61,'RET TECH'!M:M,'RET TECH'!S:S))</f>
        <v>0</v>
      </c>
      <c r="AE61">
        <f>IF(Y61="","",_xlfn.XLOOKUP(Y61,'RET TECH'!M:M,'RET TECH'!V:V))</f>
        <v>0</v>
      </c>
      <c r="AF61" s="12">
        <f>IF(Y61="","",_xlfn.XLOOKUP(Y61,'RET TECH'!M:M,'RET TECH'!U:U))</f>
        <v>0</v>
      </c>
      <c r="AG61" s="12">
        <f>IF(Y61="","",_xlfn.XLOOKUP(Y61,'RET TECH'!M:M,'RET TECH'!R:R))</f>
        <v>0</v>
      </c>
    </row>
    <row r="62" spans="25:33" x14ac:dyDescent="0.25">
      <c r="Y62" t="str">
        <f>IF('RET TECH'!N57=1,'RET TECH'!M57,"*")</f>
        <v>*</v>
      </c>
      <c r="Z62">
        <f>IF(Y62="","",_xlfn.XLOOKUP(Y62,'RET TECH'!M:M,'RET TECH'!K:K))</f>
        <v>0</v>
      </c>
      <c r="AA62">
        <f>IF(Y62="","",_xlfn.XLOOKUP(Y62,'RET TECH'!M:M,'RET TECH'!L:L))</f>
        <v>0</v>
      </c>
      <c r="AB62">
        <f>IF(Y62="","",'City characteristics'!$C$20+1)</f>
        <v>2020</v>
      </c>
      <c r="AC62" s="12">
        <f>IF(Y62="","",_xlfn.XLOOKUP(Y62,'RET TECH'!M:M,'RET TECH'!T:T))</f>
        <v>0</v>
      </c>
      <c r="AD62" s="12">
        <f>IF(Y62="","",_xlfn.XLOOKUP(Y62,'RET TECH'!M:M,'RET TECH'!S:S))</f>
        <v>0</v>
      </c>
      <c r="AE62">
        <f>IF(Y62="","",_xlfn.XLOOKUP(Y62,'RET TECH'!M:M,'RET TECH'!V:V))</f>
        <v>0</v>
      </c>
      <c r="AF62" s="12">
        <f>IF(Y62="","",_xlfn.XLOOKUP(Y62,'RET TECH'!M:M,'RET TECH'!U:U))</f>
        <v>0</v>
      </c>
      <c r="AG62" s="12">
        <f>IF(Y62="","",_xlfn.XLOOKUP(Y62,'RET TECH'!M:M,'RET TECH'!R:R))</f>
        <v>0</v>
      </c>
    </row>
    <row r="63" spans="25:33" x14ac:dyDescent="0.25">
      <c r="Y63" t="str">
        <f>IF('RET TECH'!N58=1,'RET TECH'!M58,"*")</f>
        <v>*</v>
      </c>
      <c r="Z63">
        <f>IF(Y63="","",_xlfn.XLOOKUP(Y63,'RET TECH'!M:M,'RET TECH'!K:K))</f>
        <v>0</v>
      </c>
      <c r="AA63">
        <f>IF(Y63="","",_xlfn.XLOOKUP(Y63,'RET TECH'!M:M,'RET TECH'!L:L))</f>
        <v>0</v>
      </c>
      <c r="AB63">
        <f>IF(Y63="","",'City characteristics'!$C$20+1)</f>
        <v>2020</v>
      </c>
      <c r="AC63" s="12">
        <f>IF(Y63="","",_xlfn.XLOOKUP(Y63,'RET TECH'!M:M,'RET TECH'!T:T))</f>
        <v>0</v>
      </c>
      <c r="AD63" s="12">
        <f>IF(Y63="","",_xlfn.XLOOKUP(Y63,'RET TECH'!M:M,'RET TECH'!S:S))</f>
        <v>0</v>
      </c>
      <c r="AE63">
        <f>IF(Y63="","",_xlfn.XLOOKUP(Y63,'RET TECH'!M:M,'RET TECH'!V:V))</f>
        <v>0</v>
      </c>
      <c r="AF63" s="12">
        <f>IF(Y63="","",_xlfn.XLOOKUP(Y63,'RET TECH'!M:M,'RET TECH'!U:U))</f>
        <v>0</v>
      </c>
      <c r="AG63" s="12">
        <f>IF(Y63="","",_xlfn.XLOOKUP(Y63,'RET TECH'!M:M,'RET TECH'!R:R))</f>
        <v>0</v>
      </c>
    </row>
    <row r="64" spans="25:33" x14ac:dyDescent="0.25">
      <c r="Y64" t="str">
        <f>IF('RET TECH'!N59=1,'RET TECH'!M59,"*")</f>
        <v>RESHOUHINewSHENVESTAR20</v>
      </c>
      <c r="Z64" t="str">
        <f>IF(Y64="","",_xlfn.XLOOKUP(Y64,'RET TECH'!M:M,'RET TECH'!K:K))</f>
        <v>RESHOUHINewSHRET</v>
      </c>
      <c r="AA64" t="str">
        <f>IF(Y64="","",_xlfn.XLOOKUP(Y64,'RET TECH'!M:M,'RET TECH'!L:L))</f>
        <v>RESHOUHINewSHEUE</v>
      </c>
      <c r="AB64">
        <f>IF(Y64="","",'City characteristics'!$C$20+1)</f>
        <v>2020</v>
      </c>
      <c r="AC64" s="12">
        <f>IF(Y64="","",_xlfn.XLOOKUP(Y64,'RET TECH'!M:M,'RET TECH'!T:T))</f>
        <v>30</v>
      </c>
      <c r="AD64" s="12">
        <f>IF(Y64="","",_xlfn.XLOOKUP(Y64,'RET TECH'!M:M,'RET TECH'!S:S))</f>
        <v>156.40413362523509</v>
      </c>
      <c r="AE64">
        <f>IF(Y64="","",_xlfn.XLOOKUP(Y64,'RET TECH'!M:M,'RET TECH'!V:V))</f>
        <v>31.536000000000001</v>
      </c>
      <c r="AF64" s="12">
        <f>IF(Y64="","",_xlfn.XLOOKUP(Y64,'RET TECH'!M:M,'RET TECH'!U:U))</f>
        <v>7.9105094690167521E-2</v>
      </c>
      <c r="AG64" s="12">
        <f>IF(Y64="","",_xlfn.XLOOKUP(Y64,'RET TECH'!M:M,'RET TECH'!R:R))</f>
        <v>15826.698136713539</v>
      </c>
    </row>
    <row r="65" spans="25:33" x14ac:dyDescent="0.25">
      <c r="Y65" t="str">
        <f>IF('RET TECH'!N60=1,'RET TECH'!M60,"*")</f>
        <v>RESHOUHINewSHENVPATH20</v>
      </c>
      <c r="Z65" t="str">
        <f>IF(Y65="","",_xlfn.XLOOKUP(Y65,'RET TECH'!M:M,'RET TECH'!K:K))</f>
        <v>RESHOUHINewSHRET</v>
      </c>
      <c r="AA65" t="str">
        <f>IF(Y65="","",_xlfn.XLOOKUP(Y65,'RET TECH'!M:M,'RET TECH'!L:L))</f>
        <v>RESHOUHINewSHEUE</v>
      </c>
      <c r="AB65">
        <f>IF(Y65="","",'City characteristics'!$C$20+1)</f>
        <v>2020</v>
      </c>
      <c r="AC65" s="12">
        <f>IF(Y65="","",_xlfn.XLOOKUP(Y65,'RET TECH'!M:M,'RET TECH'!T:T))</f>
        <v>30</v>
      </c>
      <c r="AD65" s="12">
        <f>IF(Y65="","",_xlfn.XLOOKUP(Y65,'RET TECH'!M:M,'RET TECH'!S:S))</f>
        <v>235.47949745741309</v>
      </c>
      <c r="AE65">
        <f>IF(Y65="","",_xlfn.XLOOKUP(Y65,'RET TECH'!M:M,'RET TECH'!V:V))</f>
        <v>31.536000000000001</v>
      </c>
      <c r="AF65" s="12">
        <f>IF(Y65="","",_xlfn.XLOOKUP(Y65,'RET TECH'!M:M,'RET TECH'!U:U))</f>
        <v>7.9105094690167521E-2</v>
      </c>
      <c r="AG65" s="12">
        <f>IF(Y65="","",_xlfn.XLOOKUP(Y65,'RET TECH'!M:M,'RET TECH'!R:R))</f>
        <v>15849.73243850486</v>
      </c>
    </row>
    <row r="66" spans="25:33" x14ac:dyDescent="0.25">
      <c r="Y66" t="str">
        <f>IF('RET TECH'!N61=1,'RET TECH'!M61,"*")</f>
        <v>RESHOUHINewSHENVIECC4020</v>
      </c>
      <c r="Z66" t="str">
        <f>IF(Y66="","",_xlfn.XLOOKUP(Y66,'RET TECH'!M:M,'RET TECH'!K:K))</f>
        <v>RESHOUHINewSHRET</v>
      </c>
      <c r="AA66" t="str">
        <f>IF(Y66="","",_xlfn.XLOOKUP(Y66,'RET TECH'!M:M,'RET TECH'!L:L))</f>
        <v>RESHOUHINewSHEUE</v>
      </c>
      <c r="AB66">
        <f>IF(Y66="","",'City characteristics'!$C$20+1)</f>
        <v>2020</v>
      </c>
      <c r="AC66" s="12">
        <f>IF(Y66="","",_xlfn.XLOOKUP(Y66,'RET TECH'!M:M,'RET TECH'!T:T))</f>
        <v>30</v>
      </c>
      <c r="AD66" s="12">
        <f>IF(Y66="","",_xlfn.XLOOKUP(Y66,'RET TECH'!M:M,'RET TECH'!S:S))</f>
        <v>208.49390448308321</v>
      </c>
      <c r="AE66">
        <f>IF(Y66="","",_xlfn.XLOOKUP(Y66,'RET TECH'!M:M,'RET TECH'!V:V))</f>
        <v>31.536000000000001</v>
      </c>
      <c r="AF66" s="12">
        <f>IF(Y66="","",_xlfn.XLOOKUP(Y66,'RET TECH'!M:M,'RET TECH'!U:U))</f>
        <v>7.9105094690167521E-2</v>
      </c>
      <c r="AG66" s="12">
        <f>IF(Y66="","",_xlfn.XLOOKUP(Y66,'RET TECH'!M:M,'RET TECH'!R:R))</f>
        <v>15079.36717012541</v>
      </c>
    </row>
    <row r="67" spans="25:33" x14ac:dyDescent="0.25">
      <c r="Y67" t="str">
        <f>IF('RET TECH'!N62=1,'RET TECH'!M62,"*")</f>
        <v>RESHOUHINewSHENVIECC20</v>
      </c>
      <c r="Z67" t="str">
        <f>IF(Y67="","",_xlfn.XLOOKUP(Y67,'RET TECH'!M:M,'RET TECH'!K:K))</f>
        <v>RESHOUHINewSHRET</v>
      </c>
      <c r="AA67" t="str">
        <f>IF(Y67="","",_xlfn.XLOOKUP(Y67,'RET TECH'!M:M,'RET TECH'!L:L))</f>
        <v>RESHOUHINewSHEUE</v>
      </c>
      <c r="AB67">
        <f>IF(Y67="","",'City characteristics'!$C$20+1)</f>
        <v>2020</v>
      </c>
      <c r="AC67" s="12">
        <f>IF(Y67="","",_xlfn.XLOOKUP(Y67,'RET TECH'!M:M,'RET TECH'!T:T))</f>
        <v>30</v>
      </c>
      <c r="AD67" s="12">
        <f>IF(Y67="","",_xlfn.XLOOKUP(Y67,'RET TECH'!M:M,'RET TECH'!S:S))</f>
        <v>114.01366502347609</v>
      </c>
      <c r="AE67">
        <f>IF(Y67="","",_xlfn.XLOOKUP(Y67,'RET TECH'!M:M,'RET TECH'!V:V))</f>
        <v>31.536000000000001</v>
      </c>
      <c r="AF67" s="12">
        <f>IF(Y67="","",_xlfn.XLOOKUP(Y67,'RET TECH'!M:M,'RET TECH'!U:U))</f>
        <v>7.9105094690167521E-2</v>
      </c>
      <c r="AG67" s="12">
        <f>IF(Y67="","",_xlfn.XLOOKUP(Y67,'RET TECH'!M:M,'RET TECH'!R:R))</f>
        <v>20278.28554150309</v>
      </c>
    </row>
    <row r="68" spans="25:33" x14ac:dyDescent="0.25">
      <c r="Y68" t="str">
        <f>IF('RET TECH'!N63=1,'RET TECH'!M63,"*")</f>
        <v>RESHOUHINewSCENVESTAR20</v>
      </c>
      <c r="Z68" t="str">
        <f>IF(Y68="","",_xlfn.XLOOKUP(Y68,'RET TECH'!M:M,'RET TECH'!K:K))</f>
        <v>RESHOUHINewSCRET</v>
      </c>
      <c r="AA68" t="str">
        <f>IF(Y68="","",_xlfn.XLOOKUP(Y68,'RET TECH'!M:M,'RET TECH'!L:L))</f>
        <v>RESHOUHINewSCEUE</v>
      </c>
      <c r="AB68">
        <f>IF(Y68="","",'City characteristics'!$C$20+1)</f>
        <v>2020</v>
      </c>
      <c r="AC68" s="12">
        <f>IF(Y68="","",_xlfn.XLOOKUP(Y68,'RET TECH'!M:M,'RET TECH'!T:T))</f>
        <v>30</v>
      </c>
      <c r="AD68" s="12">
        <f>IF(Y68="","",_xlfn.XLOOKUP(Y68,'RET TECH'!M:M,'RET TECH'!S:S))</f>
        <v>20.211703623655701</v>
      </c>
      <c r="AE68">
        <f>IF(Y68="","",_xlfn.XLOOKUP(Y68,'RET TECH'!M:M,'RET TECH'!V:V))</f>
        <v>31.536000000000001</v>
      </c>
      <c r="AF68" s="12">
        <f>IF(Y68="","",_xlfn.XLOOKUP(Y68,'RET TECH'!M:M,'RET TECH'!U:U))</f>
        <v>7.2863694504238907E-2</v>
      </c>
      <c r="AG68" s="12">
        <f>IF(Y68="","",_xlfn.XLOOKUP(Y68,'RET TECH'!M:M,'RET TECH'!R:R))</f>
        <v>122471.6657394308</v>
      </c>
    </row>
    <row r="69" spans="25:33" x14ac:dyDescent="0.25">
      <c r="Y69" t="str">
        <f>IF('RET TECH'!N64=1,'RET TECH'!M64,"*")</f>
        <v>RESHOUHINewSCENVPATH20</v>
      </c>
      <c r="Z69" t="str">
        <f>IF(Y69="","",_xlfn.XLOOKUP(Y69,'RET TECH'!M:M,'RET TECH'!K:K))</f>
        <v>RESHOUHINewSCRET</v>
      </c>
      <c r="AA69" t="str">
        <f>IF(Y69="","",_xlfn.XLOOKUP(Y69,'RET TECH'!M:M,'RET TECH'!L:L))</f>
        <v>RESHOUHINewSCEUE</v>
      </c>
      <c r="AB69">
        <f>IF(Y69="","",'City characteristics'!$C$20+1)</f>
        <v>2020</v>
      </c>
      <c r="AC69" s="12">
        <f>IF(Y69="","",_xlfn.XLOOKUP(Y69,'RET TECH'!M:M,'RET TECH'!T:T))</f>
        <v>30</v>
      </c>
      <c r="AD69" s="12">
        <f>IF(Y69="","",_xlfn.XLOOKUP(Y69,'RET TECH'!M:M,'RET TECH'!S:S))</f>
        <v>22.4270772960801</v>
      </c>
      <c r="AE69">
        <f>IF(Y69="","",_xlfn.XLOOKUP(Y69,'RET TECH'!M:M,'RET TECH'!V:V))</f>
        <v>31.536000000000001</v>
      </c>
      <c r="AF69" s="12">
        <f>IF(Y69="","",_xlfn.XLOOKUP(Y69,'RET TECH'!M:M,'RET TECH'!U:U))</f>
        <v>7.2863694504238907E-2</v>
      </c>
      <c r="AG69" s="12">
        <f>IF(Y69="","",_xlfn.XLOOKUP(Y69,'RET TECH'!M:M,'RET TECH'!R:R))</f>
        <v>166418.7883325273</v>
      </c>
    </row>
    <row r="70" spans="25:33" x14ac:dyDescent="0.25">
      <c r="Y70" t="str">
        <f>IF('RET TECH'!N65=1,'RET TECH'!M65,"*")</f>
        <v>RESHOUHINewSCENVIECC4020</v>
      </c>
      <c r="Z70" t="str">
        <f>IF(Y70="","",_xlfn.XLOOKUP(Y70,'RET TECH'!M:M,'RET TECH'!K:K))</f>
        <v>RESHOUHINewSCRET</v>
      </c>
      <c r="AA70" t="str">
        <f>IF(Y70="","",_xlfn.XLOOKUP(Y70,'RET TECH'!M:M,'RET TECH'!L:L))</f>
        <v>RESHOUHINewSCEUE</v>
      </c>
      <c r="AB70">
        <f>IF(Y70="","",'City characteristics'!$C$20+1)</f>
        <v>2020</v>
      </c>
      <c r="AC70" s="12">
        <f>IF(Y70="","",_xlfn.XLOOKUP(Y70,'RET TECH'!M:M,'RET TECH'!T:T))</f>
        <v>30</v>
      </c>
      <c r="AD70" s="12">
        <f>IF(Y70="","",_xlfn.XLOOKUP(Y70,'RET TECH'!M:M,'RET TECH'!S:S))</f>
        <v>20.875841798430908</v>
      </c>
      <c r="AE70">
        <f>IF(Y70="","",_xlfn.XLOOKUP(Y70,'RET TECH'!M:M,'RET TECH'!V:V))</f>
        <v>31.536000000000001</v>
      </c>
      <c r="AF70" s="12">
        <f>IF(Y70="","",_xlfn.XLOOKUP(Y70,'RET TECH'!M:M,'RET TECH'!U:U))</f>
        <v>7.2863694504238907E-2</v>
      </c>
      <c r="AG70" s="12">
        <f>IF(Y70="","",_xlfn.XLOOKUP(Y70,'RET TECH'!M:M,'RET TECH'!R:R))</f>
        <v>150602.6041388078</v>
      </c>
    </row>
    <row r="71" spans="25:33" x14ac:dyDescent="0.25">
      <c r="Y71" t="str">
        <f>IF('RET TECH'!N66=1,'RET TECH'!M66,"*")</f>
        <v>RESHOUHINewSCENVIECC20</v>
      </c>
      <c r="Z71" t="str">
        <f>IF(Y71="","",_xlfn.XLOOKUP(Y71,'RET TECH'!M:M,'RET TECH'!K:K))</f>
        <v>RESHOUHINewSCRET</v>
      </c>
      <c r="AA71" t="str">
        <f>IF(Y71="","",_xlfn.XLOOKUP(Y71,'RET TECH'!M:M,'RET TECH'!L:L))</f>
        <v>RESHOUHINewSCEUE</v>
      </c>
      <c r="AB71">
        <f>IF(Y71="","",'City characteristics'!$C$20+1)</f>
        <v>2020</v>
      </c>
      <c r="AC71" s="12">
        <f>IF(Y71="","",_xlfn.XLOOKUP(Y71,'RET TECH'!M:M,'RET TECH'!T:T))</f>
        <v>30</v>
      </c>
      <c r="AD71" s="12">
        <f>IF(Y71="","",_xlfn.XLOOKUP(Y71,'RET TECH'!M:M,'RET TECH'!S:S))</f>
        <v>16.109246759414209</v>
      </c>
      <c r="AE71">
        <f>IF(Y71="","",_xlfn.XLOOKUP(Y71,'RET TECH'!M:M,'RET TECH'!V:V))</f>
        <v>31.536000000000001</v>
      </c>
      <c r="AF71" s="12">
        <f>IF(Y71="","",_xlfn.XLOOKUP(Y71,'RET TECH'!M:M,'RET TECH'!U:U))</f>
        <v>7.2863694504238907E-2</v>
      </c>
      <c r="AG71" s="12">
        <f>IF(Y71="","",_xlfn.XLOOKUP(Y71,'RET TECH'!M:M,'RET TECH'!R:R))</f>
        <v>143520.15891917501</v>
      </c>
    </row>
    <row r="72" spans="25:33" x14ac:dyDescent="0.25">
      <c r="Y72" t="str">
        <f>IF('RET TECH'!N67=1,'RET TECH'!M67,"*")</f>
        <v>*</v>
      </c>
      <c r="Z72">
        <f>IF(Y72="","",_xlfn.XLOOKUP(Y72,'RET TECH'!M:M,'RET TECH'!K:K))</f>
        <v>0</v>
      </c>
      <c r="AA72">
        <f>IF(Y72="","",_xlfn.XLOOKUP(Y72,'RET TECH'!M:M,'RET TECH'!L:L))</f>
        <v>0</v>
      </c>
      <c r="AB72">
        <f>IF(Y72="","",'City characteristics'!$C$20+1)</f>
        <v>2020</v>
      </c>
      <c r="AC72" s="12">
        <f>IF(Y72="","",_xlfn.XLOOKUP(Y72,'RET TECH'!M:M,'RET TECH'!T:T))</f>
        <v>0</v>
      </c>
      <c r="AD72" s="12">
        <f>IF(Y72="","",_xlfn.XLOOKUP(Y72,'RET TECH'!M:M,'RET TECH'!S:S))</f>
        <v>0</v>
      </c>
      <c r="AE72">
        <f>IF(Y72="","",_xlfn.XLOOKUP(Y72,'RET TECH'!M:M,'RET TECH'!V:V))</f>
        <v>0</v>
      </c>
      <c r="AF72" s="12">
        <f>IF(Y72="","",_xlfn.XLOOKUP(Y72,'RET TECH'!M:M,'RET TECH'!U:U))</f>
        <v>0</v>
      </c>
      <c r="AG72" s="12">
        <f>IF(Y72="","",_xlfn.XLOOKUP(Y72,'RET TECH'!M:M,'RET TECH'!R:R))</f>
        <v>0</v>
      </c>
    </row>
    <row r="73" spans="25:33" x14ac:dyDescent="0.25">
      <c r="Y73" t="str">
        <f>IF('RET TECH'!N68=1,'RET TECH'!M68,"*")</f>
        <v>RESAPALOOldSHENVESTAR20</v>
      </c>
      <c r="Z73" t="str">
        <f>IF(Y73="","",_xlfn.XLOOKUP(Y73,'RET TECH'!M:M,'RET TECH'!K:K))</f>
        <v>RESAPALOOldSHRET</v>
      </c>
      <c r="AA73" t="str">
        <f>IF(Y73="","",_xlfn.XLOOKUP(Y73,'RET TECH'!M:M,'RET TECH'!L:L))</f>
        <v>RESAPALOOldSHEUE</v>
      </c>
      <c r="AB73">
        <f>IF(Y73="","",'City characteristics'!$C$20+1)</f>
        <v>2020</v>
      </c>
      <c r="AC73" s="12">
        <f>IF(Y73="","",_xlfn.XLOOKUP(Y73,'RET TECH'!M:M,'RET TECH'!T:T))</f>
        <v>30</v>
      </c>
      <c r="AD73" s="12">
        <f>IF(Y73="","",_xlfn.XLOOKUP(Y73,'RET TECH'!M:M,'RET TECH'!S:S))</f>
        <v>1</v>
      </c>
      <c r="AE73">
        <f>IF(Y73="","",_xlfn.XLOOKUP(Y73,'RET TECH'!M:M,'RET TECH'!V:V))</f>
        <v>31.536000000000001</v>
      </c>
      <c r="AF73" s="12">
        <f>IF(Y73="","",_xlfn.XLOOKUP(Y73,'RET TECH'!M:M,'RET TECH'!U:U))</f>
        <v>9.8628146588536497E-2</v>
      </c>
      <c r="AG73" s="12">
        <f>IF(Y73="","",_xlfn.XLOOKUP(Y73,'RET TECH'!M:M,'RET TECH'!R:R))</f>
        <v>55124.558126822041</v>
      </c>
    </row>
    <row r="74" spans="25:33" x14ac:dyDescent="0.25">
      <c r="Y74" t="str">
        <f>IF('RET TECH'!N69=1,'RET TECH'!M69,"*")</f>
        <v>RESAPALOOldSHENVPATH20</v>
      </c>
      <c r="Z74" t="str">
        <f>IF(Y74="","",_xlfn.XLOOKUP(Y74,'RET TECH'!M:M,'RET TECH'!K:K))</f>
        <v>RESAPALOOldSHRET</v>
      </c>
      <c r="AA74" t="str">
        <f>IF(Y74="","",_xlfn.XLOOKUP(Y74,'RET TECH'!M:M,'RET TECH'!L:L))</f>
        <v>RESAPALOOldSHEUE</v>
      </c>
      <c r="AB74">
        <f>IF(Y74="","",'City characteristics'!$C$20+1)</f>
        <v>2020</v>
      </c>
      <c r="AC74" s="12">
        <f>IF(Y74="","",_xlfn.XLOOKUP(Y74,'RET TECH'!M:M,'RET TECH'!T:T))</f>
        <v>30</v>
      </c>
      <c r="AD74" s="12">
        <f>IF(Y74="","",_xlfn.XLOOKUP(Y74,'RET TECH'!M:M,'RET TECH'!S:S))</f>
        <v>1</v>
      </c>
      <c r="AE74">
        <f>IF(Y74="","",_xlfn.XLOOKUP(Y74,'RET TECH'!M:M,'RET TECH'!V:V))</f>
        <v>31.536000000000001</v>
      </c>
      <c r="AF74" s="12">
        <f>IF(Y74="","",_xlfn.XLOOKUP(Y74,'RET TECH'!M:M,'RET TECH'!U:U))</f>
        <v>9.8628146588536497E-2</v>
      </c>
      <c r="AG74" s="12">
        <f>IF(Y74="","",_xlfn.XLOOKUP(Y74,'RET TECH'!M:M,'RET TECH'!R:R))</f>
        <v>25496.428050219649</v>
      </c>
    </row>
    <row r="75" spans="25:33" x14ac:dyDescent="0.25">
      <c r="Y75" t="str">
        <f>IF('RET TECH'!N70=1,'RET TECH'!M70,"*")</f>
        <v>RESAPALOOldSHENVIECC4020</v>
      </c>
      <c r="Z75" t="str">
        <f>IF(Y75="","",_xlfn.XLOOKUP(Y75,'RET TECH'!M:M,'RET TECH'!K:K))</f>
        <v>RESAPALOOldSHRET</v>
      </c>
      <c r="AA75" t="str">
        <f>IF(Y75="","",_xlfn.XLOOKUP(Y75,'RET TECH'!M:M,'RET TECH'!L:L))</f>
        <v>RESAPALOOldSHEUE</v>
      </c>
      <c r="AB75">
        <f>IF(Y75="","",'City characteristics'!$C$20+1)</f>
        <v>2020</v>
      </c>
      <c r="AC75" s="12">
        <f>IF(Y75="","",_xlfn.XLOOKUP(Y75,'RET TECH'!M:M,'RET TECH'!T:T))</f>
        <v>30</v>
      </c>
      <c r="AD75" s="12">
        <f>IF(Y75="","",_xlfn.XLOOKUP(Y75,'RET TECH'!M:M,'RET TECH'!S:S))</f>
        <v>1</v>
      </c>
      <c r="AE75">
        <f>IF(Y75="","",_xlfn.XLOOKUP(Y75,'RET TECH'!M:M,'RET TECH'!V:V))</f>
        <v>31.536000000000001</v>
      </c>
      <c r="AF75" s="12">
        <f>IF(Y75="","",_xlfn.XLOOKUP(Y75,'RET TECH'!M:M,'RET TECH'!U:U))</f>
        <v>9.8628146588536497E-2</v>
      </c>
      <c r="AG75" s="12">
        <f>IF(Y75="","",_xlfn.XLOOKUP(Y75,'RET TECH'!M:M,'RET TECH'!R:R))</f>
        <v>51935.635486661187</v>
      </c>
    </row>
    <row r="76" spans="25:33" x14ac:dyDescent="0.25">
      <c r="Y76" t="str">
        <f>IF('RET TECH'!N71=1,'RET TECH'!M71,"*")</f>
        <v>RESAPALOOldSHENVIECC20</v>
      </c>
      <c r="Z76" t="str">
        <f>IF(Y76="","",_xlfn.XLOOKUP(Y76,'RET TECH'!M:M,'RET TECH'!K:K))</f>
        <v>RESAPALOOldSHRET</v>
      </c>
      <c r="AA76" t="str">
        <f>IF(Y76="","",_xlfn.XLOOKUP(Y76,'RET TECH'!M:M,'RET TECH'!L:L))</f>
        <v>RESAPALOOldSHEUE</v>
      </c>
      <c r="AB76">
        <f>IF(Y76="","",'City characteristics'!$C$20+1)</f>
        <v>2020</v>
      </c>
      <c r="AC76" s="12">
        <f>IF(Y76="","",_xlfn.XLOOKUP(Y76,'RET TECH'!M:M,'RET TECH'!T:T))</f>
        <v>30</v>
      </c>
      <c r="AD76" s="12">
        <f>IF(Y76="","",_xlfn.XLOOKUP(Y76,'RET TECH'!M:M,'RET TECH'!S:S))</f>
        <v>1</v>
      </c>
      <c r="AE76">
        <f>IF(Y76="","",_xlfn.XLOOKUP(Y76,'RET TECH'!M:M,'RET TECH'!V:V))</f>
        <v>31.536000000000001</v>
      </c>
      <c r="AF76" s="12">
        <f>IF(Y76="","",_xlfn.XLOOKUP(Y76,'RET TECH'!M:M,'RET TECH'!U:U))</f>
        <v>9.8628146588536497E-2</v>
      </c>
      <c r="AG76" s="12">
        <f>IF(Y76="","",_xlfn.XLOOKUP(Y76,'RET TECH'!M:M,'RET TECH'!R:R))</f>
        <v>54537.414997837113</v>
      </c>
    </row>
    <row r="77" spans="25:33" x14ac:dyDescent="0.25">
      <c r="Y77" t="str">
        <f>IF('RET TECH'!N72=1,'RET TECH'!M72,"*")</f>
        <v>*</v>
      </c>
      <c r="Z77">
        <f>IF(Y77="","",_xlfn.XLOOKUP(Y77,'RET TECH'!M:M,'RET TECH'!K:K))</f>
        <v>0</v>
      </c>
      <c r="AA77">
        <f>IF(Y77="","",_xlfn.XLOOKUP(Y77,'RET TECH'!M:M,'RET TECH'!L:L))</f>
        <v>0</v>
      </c>
      <c r="AB77">
        <f>IF(Y77="","",'City characteristics'!$C$20+1)</f>
        <v>2020</v>
      </c>
      <c r="AC77" s="12">
        <f>IF(Y77="","",_xlfn.XLOOKUP(Y77,'RET TECH'!M:M,'RET TECH'!T:T))</f>
        <v>0</v>
      </c>
      <c r="AD77" s="12">
        <f>IF(Y77="","",_xlfn.XLOOKUP(Y77,'RET TECH'!M:M,'RET TECH'!S:S))</f>
        <v>0</v>
      </c>
      <c r="AE77">
        <f>IF(Y77="","",_xlfn.XLOOKUP(Y77,'RET TECH'!M:M,'RET TECH'!V:V))</f>
        <v>0</v>
      </c>
      <c r="AF77" s="12">
        <f>IF(Y77="","",_xlfn.XLOOKUP(Y77,'RET TECH'!M:M,'RET TECH'!U:U))</f>
        <v>0</v>
      </c>
      <c r="AG77" s="12">
        <f>IF(Y77="","",_xlfn.XLOOKUP(Y77,'RET TECH'!M:M,'RET TECH'!R:R))</f>
        <v>0</v>
      </c>
    </row>
    <row r="78" spans="25:33" x14ac:dyDescent="0.25">
      <c r="Y78" t="str">
        <f>IF('RET TECH'!N73=1,'RET TECH'!M73,"*")</f>
        <v>*</v>
      </c>
      <c r="Z78">
        <f>IF(Y78="","",_xlfn.XLOOKUP(Y78,'RET TECH'!M:M,'RET TECH'!K:K))</f>
        <v>0</v>
      </c>
      <c r="AA78">
        <f>IF(Y78="","",_xlfn.XLOOKUP(Y78,'RET TECH'!M:M,'RET TECH'!L:L))</f>
        <v>0</v>
      </c>
      <c r="AB78">
        <f>IF(Y78="","",'City characteristics'!$C$20+1)</f>
        <v>2020</v>
      </c>
      <c r="AC78" s="12">
        <f>IF(Y78="","",_xlfn.XLOOKUP(Y78,'RET TECH'!M:M,'RET TECH'!T:T))</f>
        <v>0</v>
      </c>
      <c r="AD78" s="12">
        <f>IF(Y78="","",_xlfn.XLOOKUP(Y78,'RET TECH'!M:M,'RET TECH'!S:S))</f>
        <v>0</v>
      </c>
      <c r="AE78">
        <f>IF(Y78="","",_xlfn.XLOOKUP(Y78,'RET TECH'!M:M,'RET TECH'!V:V))</f>
        <v>0</v>
      </c>
      <c r="AF78" s="12">
        <f>IF(Y78="","",_xlfn.XLOOKUP(Y78,'RET TECH'!M:M,'RET TECH'!U:U))</f>
        <v>0</v>
      </c>
      <c r="AG78" s="12">
        <f>IF(Y78="","",_xlfn.XLOOKUP(Y78,'RET TECH'!M:M,'RET TECH'!R:R))</f>
        <v>0</v>
      </c>
    </row>
    <row r="79" spans="25:33" x14ac:dyDescent="0.25">
      <c r="Y79" t="str">
        <f>IF('RET TECH'!N74=1,'RET TECH'!M74,"*")</f>
        <v>*</v>
      </c>
      <c r="Z79">
        <f>IF(Y79="","",_xlfn.XLOOKUP(Y79,'RET TECH'!M:M,'RET TECH'!K:K))</f>
        <v>0</v>
      </c>
      <c r="AA79">
        <f>IF(Y79="","",_xlfn.XLOOKUP(Y79,'RET TECH'!M:M,'RET TECH'!L:L))</f>
        <v>0</v>
      </c>
      <c r="AB79">
        <f>IF(Y79="","",'City characteristics'!$C$20+1)</f>
        <v>2020</v>
      </c>
      <c r="AC79" s="12">
        <f>IF(Y79="","",_xlfn.XLOOKUP(Y79,'RET TECH'!M:M,'RET TECH'!T:T))</f>
        <v>0</v>
      </c>
      <c r="AD79" s="12">
        <f>IF(Y79="","",_xlfn.XLOOKUP(Y79,'RET TECH'!M:M,'RET TECH'!S:S))</f>
        <v>0</v>
      </c>
      <c r="AE79">
        <f>IF(Y79="","",_xlfn.XLOOKUP(Y79,'RET TECH'!M:M,'RET TECH'!V:V))</f>
        <v>0</v>
      </c>
      <c r="AF79" s="12">
        <f>IF(Y79="","",_xlfn.XLOOKUP(Y79,'RET TECH'!M:M,'RET TECH'!U:U))</f>
        <v>0</v>
      </c>
      <c r="AG79" s="12">
        <f>IF(Y79="","",_xlfn.XLOOKUP(Y79,'RET TECH'!M:M,'RET TECH'!R:R))</f>
        <v>0</v>
      </c>
    </row>
    <row r="80" spans="25:33" x14ac:dyDescent="0.25">
      <c r="Y80" t="str">
        <f>IF('RET TECH'!N75=1,'RET TECH'!M75,"*")</f>
        <v>*</v>
      </c>
      <c r="Z80">
        <f>IF(Y80="","",_xlfn.XLOOKUP(Y80,'RET TECH'!M:M,'RET TECH'!K:K))</f>
        <v>0</v>
      </c>
      <c r="AA80">
        <f>IF(Y80="","",_xlfn.XLOOKUP(Y80,'RET TECH'!M:M,'RET TECH'!L:L))</f>
        <v>0</v>
      </c>
      <c r="AB80">
        <f>IF(Y80="","",'City characteristics'!$C$20+1)</f>
        <v>2020</v>
      </c>
      <c r="AC80" s="12">
        <f>IF(Y80="","",_xlfn.XLOOKUP(Y80,'RET TECH'!M:M,'RET TECH'!T:T))</f>
        <v>0</v>
      </c>
      <c r="AD80" s="12">
        <f>IF(Y80="","",_xlfn.XLOOKUP(Y80,'RET TECH'!M:M,'RET TECH'!S:S))</f>
        <v>0</v>
      </c>
      <c r="AE80">
        <f>IF(Y80="","",_xlfn.XLOOKUP(Y80,'RET TECH'!M:M,'RET TECH'!V:V))</f>
        <v>0</v>
      </c>
      <c r="AF80" s="12">
        <f>IF(Y80="","",_xlfn.XLOOKUP(Y80,'RET TECH'!M:M,'RET TECH'!U:U))</f>
        <v>0</v>
      </c>
      <c r="AG80" s="12">
        <f>IF(Y80="","",_xlfn.XLOOKUP(Y80,'RET TECH'!M:M,'RET TECH'!R:R))</f>
        <v>0</v>
      </c>
    </row>
    <row r="81" spans="25:33" x14ac:dyDescent="0.25">
      <c r="Y81" t="str">
        <f>IF('RET TECH'!N76=1,'RET TECH'!M76,"*")</f>
        <v>RESHOULOOldSHENVESTAR20</v>
      </c>
      <c r="Z81" t="str">
        <f>IF(Y81="","",_xlfn.XLOOKUP(Y81,'RET TECH'!M:M,'RET TECH'!K:K))</f>
        <v>RESHOULOOldSHRET</v>
      </c>
      <c r="AA81" t="str">
        <f>IF(Y81="","",_xlfn.XLOOKUP(Y81,'RET TECH'!M:M,'RET TECH'!L:L))</f>
        <v>RESHOULOOldSHEUE</v>
      </c>
      <c r="AB81">
        <f>IF(Y81="","",'City characteristics'!$C$20+1)</f>
        <v>2020</v>
      </c>
      <c r="AC81" s="12">
        <f>IF(Y81="","",_xlfn.XLOOKUP(Y81,'RET TECH'!M:M,'RET TECH'!T:T))</f>
        <v>30</v>
      </c>
      <c r="AD81" s="12">
        <f>IF(Y81="","",_xlfn.XLOOKUP(Y81,'RET TECH'!M:M,'RET TECH'!S:S))</f>
        <v>1</v>
      </c>
      <c r="AE81">
        <f>IF(Y81="","",_xlfn.XLOOKUP(Y81,'RET TECH'!M:M,'RET TECH'!V:V))</f>
        <v>31.536000000000001</v>
      </c>
      <c r="AF81" s="12">
        <f>IF(Y81="","",_xlfn.XLOOKUP(Y81,'RET TECH'!M:M,'RET TECH'!U:U))</f>
        <v>9.0305172134094655E-2</v>
      </c>
      <c r="AG81" s="12">
        <f>IF(Y81="","",_xlfn.XLOOKUP(Y81,'RET TECH'!M:M,'RET TECH'!R:R))</f>
        <v>30546.730046490771</v>
      </c>
    </row>
    <row r="82" spans="25:33" x14ac:dyDescent="0.25">
      <c r="Y82" t="str">
        <f>IF('RET TECH'!N77=1,'RET TECH'!M77,"*")</f>
        <v>RESHOULOOldSHENVPATH20</v>
      </c>
      <c r="Z82" t="str">
        <f>IF(Y82="","",_xlfn.XLOOKUP(Y82,'RET TECH'!M:M,'RET TECH'!K:K))</f>
        <v>RESHOULOOldSHRET</v>
      </c>
      <c r="AA82" t="str">
        <f>IF(Y82="","",_xlfn.XLOOKUP(Y82,'RET TECH'!M:M,'RET TECH'!L:L))</f>
        <v>RESHOULOOldSHEUE</v>
      </c>
      <c r="AB82">
        <f>IF(Y82="","",'City characteristics'!$C$20+1)</f>
        <v>2020</v>
      </c>
      <c r="AC82" s="12">
        <f>IF(Y82="","",_xlfn.XLOOKUP(Y82,'RET TECH'!M:M,'RET TECH'!T:T))</f>
        <v>30</v>
      </c>
      <c r="AD82" s="12">
        <f>IF(Y82="","",_xlfn.XLOOKUP(Y82,'RET TECH'!M:M,'RET TECH'!S:S))</f>
        <v>1</v>
      </c>
      <c r="AE82">
        <f>IF(Y82="","",_xlfn.XLOOKUP(Y82,'RET TECH'!M:M,'RET TECH'!V:V))</f>
        <v>31.536000000000001</v>
      </c>
      <c r="AF82" s="12">
        <f>IF(Y82="","",_xlfn.XLOOKUP(Y82,'RET TECH'!M:M,'RET TECH'!U:U))</f>
        <v>9.0305172134094655E-2</v>
      </c>
      <c r="AG82" s="12">
        <f>IF(Y82="","",_xlfn.XLOOKUP(Y82,'RET TECH'!M:M,'RET TECH'!R:R))</f>
        <v>30591.187999283629</v>
      </c>
    </row>
    <row r="83" spans="25:33" x14ac:dyDescent="0.25">
      <c r="Y83" t="str">
        <f>IF('RET TECH'!N78=1,'RET TECH'!M78,"*")</f>
        <v>RESHOULOOldSHENVIECC4020</v>
      </c>
      <c r="Z83" t="str">
        <f>IF(Y83="","",_xlfn.XLOOKUP(Y83,'RET TECH'!M:M,'RET TECH'!K:K))</f>
        <v>RESHOULOOldSHRET</v>
      </c>
      <c r="AA83" t="str">
        <f>IF(Y83="","",_xlfn.XLOOKUP(Y83,'RET TECH'!M:M,'RET TECH'!L:L))</f>
        <v>RESHOULOOldSHEUE</v>
      </c>
      <c r="AB83">
        <f>IF(Y83="","",'City characteristics'!$C$20+1)</f>
        <v>2020</v>
      </c>
      <c r="AC83" s="12">
        <f>IF(Y83="","",_xlfn.XLOOKUP(Y83,'RET TECH'!M:M,'RET TECH'!T:T))</f>
        <v>30</v>
      </c>
      <c r="AD83" s="12">
        <f>IF(Y83="","",_xlfn.XLOOKUP(Y83,'RET TECH'!M:M,'RET TECH'!S:S))</f>
        <v>1</v>
      </c>
      <c r="AE83">
        <f>IF(Y83="","",_xlfn.XLOOKUP(Y83,'RET TECH'!M:M,'RET TECH'!V:V))</f>
        <v>31.536000000000001</v>
      </c>
      <c r="AF83" s="12">
        <f>IF(Y83="","",_xlfn.XLOOKUP(Y83,'RET TECH'!M:M,'RET TECH'!U:U))</f>
        <v>9.0305172134094655E-2</v>
      </c>
      <c r="AG83" s="12">
        <f>IF(Y83="","",_xlfn.XLOOKUP(Y83,'RET TECH'!M:M,'RET TECH'!R:R))</f>
        <v>29104.324492625139</v>
      </c>
    </row>
    <row r="84" spans="25:33" x14ac:dyDescent="0.25">
      <c r="Y84" t="str">
        <f>IF('RET TECH'!N79=1,'RET TECH'!M79,"*")</f>
        <v>RESHOULOOldSHENVIECC20</v>
      </c>
      <c r="Z84" t="str">
        <f>IF(Y84="","",_xlfn.XLOOKUP(Y84,'RET TECH'!M:M,'RET TECH'!K:K))</f>
        <v>RESHOULOOldSHRET</v>
      </c>
      <c r="AA84" t="str">
        <f>IF(Y84="","",_xlfn.XLOOKUP(Y84,'RET TECH'!M:M,'RET TECH'!L:L))</f>
        <v>RESHOULOOldSHEUE</v>
      </c>
      <c r="AB84">
        <f>IF(Y84="","",'City characteristics'!$C$20+1)</f>
        <v>2020</v>
      </c>
      <c r="AC84" s="12">
        <f>IF(Y84="","",_xlfn.XLOOKUP(Y84,'RET TECH'!M:M,'RET TECH'!T:T))</f>
        <v>30</v>
      </c>
      <c r="AD84" s="12">
        <f>IF(Y84="","",_xlfn.XLOOKUP(Y84,'RET TECH'!M:M,'RET TECH'!S:S))</f>
        <v>1</v>
      </c>
      <c r="AE84">
        <f>IF(Y84="","",_xlfn.XLOOKUP(Y84,'RET TECH'!M:M,'RET TECH'!V:V))</f>
        <v>31.536000000000001</v>
      </c>
      <c r="AF84" s="12">
        <f>IF(Y84="","",_xlfn.XLOOKUP(Y84,'RET TECH'!M:M,'RET TECH'!U:U))</f>
        <v>9.0305172134094655E-2</v>
      </c>
      <c r="AG84" s="12">
        <f>IF(Y84="","",_xlfn.XLOOKUP(Y84,'RET TECH'!M:M,'RET TECH'!R:R))</f>
        <v>39138.63200594153</v>
      </c>
    </row>
    <row r="85" spans="25:33" x14ac:dyDescent="0.25">
      <c r="Y85" t="str">
        <f>IF('RET TECH'!N80=1,'RET TECH'!M80,"*")</f>
        <v>RESHOULOOldSCENVESTAR20</v>
      </c>
      <c r="Z85" t="str">
        <f>IF(Y85="","",_xlfn.XLOOKUP(Y85,'RET TECH'!M:M,'RET TECH'!K:K))</f>
        <v>RESHOULOOldSCRET</v>
      </c>
      <c r="AA85" t="str">
        <f>IF(Y85="","",_xlfn.XLOOKUP(Y85,'RET TECH'!M:M,'RET TECH'!L:L))</f>
        <v>RESHOULOOldSCEUE</v>
      </c>
      <c r="AB85">
        <f>IF(Y85="","",'City characteristics'!$C$20+1)</f>
        <v>2020</v>
      </c>
      <c r="AC85" s="12">
        <f>IF(Y85="","",_xlfn.XLOOKUP(Y85,'RET TECH'!M:M,'RET TECH'!T:T))</f>
        <v>30</v>
      </c>
      <c r="AD85" s="12">
        <f>IF(Y85="","",_xlfn.XLOOKUP(Y85,'RET TECH'!M:M,'RET TECH'!S:S))</f>
        <v>1</v>
      </c>
      <c r="AE85">
        <f>IF(Y85="","",_xlfn.XLOOKUP(Y85,'RET TECH'!M:M,'RET TECH'!V:V))</f>
        <v>31.536000000000001</v>
      </c>
      <c r="AF85" s="12">
        <f>IF(Y85="","",_xlfn.XLOOKUP(Y85,'RET TECH'!M:M,'RET TECH'!U:U))</f>
        <v>8.0981185647948012E-2</v>
      </c>
      <c r="AG85" s="12">
        <f>IF(Y85="","",_xlfn.XLOOKUP(Y85,'RET TECH'!M:M,'RET TECH'!R:R))</f>
        <v>278093.65969467588</v>
      </c>
    </row>
    <row r="86" spans="25:33" x14ac:dyDescent="0.25">
      <c r="Y86" t="str">
        <f>IF('RET TECH'!N81=1,'RET TECH'!M81,"*")</f>
        <v>RESHOULOOldSCENVPATH20</v>
      </c>
      <c r="Z86" t="str">
        <f>IF(Y86="","",_xlfn.XLOOKUP(Y86,'RET TECH'!M:M,'RET TECH'!K:K))</f>
        <v>RESHOULOOldSCRET</v>
      </c>
      <c r="AA86" t="str">
        <f>IF(Y86="","",_xlfn.XLOOKUP(Y86,'RET TECH'!M:M,'RET TECH'!L:L))</f>
        <v>RESHOULOOldSCEUE</v>
      </c>
      <c r="AB86">
        <f>IF(Y86="","",'City characteristics'!$C$20+1)</f>
        <v>2020</v>
      </c>
      <c r="AC86" s="12">
        <f>IF(Y86="","",_xlfn.XLOOKUP(Y86,'RET TECH'!M:M,'RET TECH'!T:T))</f>
        <v>30</v>
      </c>
      <c r="AD86" s="12">
        <f>IF(Y86="","",_xlfn.XLOOKUP(Y86,'RET TECH'!M:M,'RET TECH'!S:S))</f>
        <v>1</v>
      </c>
      <c r="AE86">
        <f>IF(Y86="","",_xlfn.XLOOKUP(Y86,'RET TECH'!M:M,'RET TECH'!V:V))</f>
        <v>31.536000000000001</v>
      </c>
      <c r="AF86" s="12">
        <f>IF(Y86="","",_xlfn.XLOOKUP(Y86,'RET TECH'!M:M,'RET TECH'!U:U))</f>
        <v>8.0981185647948012E-2</v>
      </c>
      <c r="AG86" s="12">
        <f>IF(Y86="","",_xlfn.XLOOKUP(Y86,'RET TECH'!M:M,'RET TECH'!R:R))</f>
        <v>377883.40356055018</v>
      </c>
    </row>
    <row r="87" spans="25:33" x14ac:dyDescent="0.25">
      <c r="Y87" t="str">
        <f>IF('RET TECH'!N82=1,'RET TECH'!M82,"*")</f>
        <v>RESHOULOOldSCENVIECC4020</v>
      </c>
      <c r="Z87" t="str">
        <f>IF(Y87="","",_xlfn.XLOOKUP(Y87,'RET TECH'!M:M,'RET TECH'!K:K))</f>
        <v>RESHOULOOldSCRET</v>
      </c>
      <c r="AA87" t="str">
        <f>IF(Y87="","",_xlfn.XLOOKUP(Y87,'RET TECH'!M:M,'RET TECH'!L:L))</f>
        <v>RESHOULOOldSCEUE</v>
      </c>
      <c r="AB87">
        <f>IF(Y87="","",'City characteristics'!$C$20+1)</f>
        <v>2020</v>
      </c>
      <c r="AC87" s="12">
        <f>IF(Y87="","",_xlfn.XLOOKUP(Y87,'RET TECH'!M:M,'RET TECH'!T:T))</f>
        <v>30</v>
      </c>
      <c r="AD87" s="12">
        <f>IF(Y87="","",_xlfn.XLOOKUP(Y87,'RET TECH'!M:M,'RET TECH'!S:S))</f>
        <v>1</v>
      </c>
      <c r="AE87">
        <f>IF(Y87="","",_xlfn.XLOOKUP(Y87,'RET TECH'!M:M,'RET TECH'!V:V))</f>
        <v>31.536000000000001</v>
      </c>
      <c r="AF87" s="12">
        <f>IF(Y87="","",_xlfn.XLOOKUP(Y87,'RET TECH'!M:M,'RET TECH'!U:U))</f>
        <v>8.0981185647948012E-2</v>
      </c>
      <c r="AG87" s="12">
        <f>IF(Y87="","",_xlfn.XLOOKUP(Y87,'RET TECH'!M:M,'RET TECH'!R:R))</f>
        <v>341969.94947073248</v>
      </c>
    </row>
    <row r="88" spans="25:33" x14ac:dyDescent="0.25">
      <c r="Y88" t="str">
        <f>IF('RET TECH'!N83=1,'RET TECH'!M83,"*")</f>
        <v>RESHOULOOldSCENVIECC20</v>
      </c>
      <c r="Z88" t="str">
        <f>IF(Y88="","",_xlfn.XLOOKUP(Y88,'RET TECH'!M:M,'RET TECH'!K:K))</f>
        <v>RESHOULOOldSCRET</v>
      </c>
      <c r="AA88" t="str">
        <f>IF(Y88="","",_xlfn.XLOOKUP(Y88,'RET TECH'!M:M,'RET TECH'!L:L))</f>
        <v>RESHOULOOldSCEUE</v>
      </c>
      <c r="AB88">
        <f>IF(Y88="","",'City characteristics'!$C$20+1)</f>
        <v>2020</v>
      </c>
      <c r="AC88" s="12">
        <f>IF(Y88="","",_xlfn.XLOOKUP(Y88,'RET TECH'!M:M,'RET TECH'!T:T))</f>
        <v>30</v>
      </c>
      <c r="AD88" s="12">
        <f>IF(Y88="","",_xlfn.XLOOKUP(Y88,'RET TECH'!M:M,'RET TECH'!S:S))</f>
        <v>1</v>
      </c>
      <c r="AE88">
        <f>IF(Y88="","",_xlfn.XLOOKUP(Y88,'RET TECH'!M:M,'RET TECH'!V:V))</f>
        <v>31.536000000000001</v>
      </c>
      <c r="AF88" s="12">
        <f>IF(Y88="","",_xlfn.XLOOKUP(Y88,'RET TECH'!M:M,'RET TECH'!U:U))</f>
        <v>8.0981185647948012E-2</v>
      </c>
      <c r="AG88" s="12">
        <f>IF(Y88="","",_xlfn.XLOOKUP(Y88,'RET TECH'!M:M,'RET TECH'!R:R))</f>
        <v>325888.00023926498</v>
      </c>
    </row>
    <row r="89" spans="25:33" x14ac:dyDescent="0.25">
      <c r="Y89" t="str">
        <f>IF('RET TECH'!N84=1,'RET TECH'!M84,"*")</f>
        <v>RESAPALMOldSHENVESTAR20</v>
      </c>
      <c r="Z89" t="str">
        <f>IF(Y89="","",_xlfn.XLOOKUP(Y89,'RET TECH'!M:M,'RET TECH'!K:K))</f>
        <v>RESAPALMOldSHRET</v>
      </c>
      <c r="AA89" t="str">
        <f>IF(Y89="","",_xlfn.XLOOKUP(Y89,'RET TECH'!M:M,'RET TECH'!L:L))</f>
        <v>RESAPALMOldSHEUE</v>
      </c>
      <c r="AB89">
        <f>IF(Y89="","",'City characteristics'!$C$20+1)</f>
        <v>2020</v>
      </c>
      <c r="AC89" s="12">
        <f>IF(Y89="","",_xlfn.XLOOKUP(Y89,'RET TECH'!M:M,'RET TECH'!T:T))</f>
        <v>30</v>
      </c>
      <c r="AD89" s="12">
        <f>IF(Y89="","",_xlfn.XLOOKUP(Y89,'RET TECH'!M:M,'RET TECH'!S:S))</f>
        <v>1</v>
      </c>
      <c r="AE89">
        <f>IF(Y89="","",_xlfn.XLOOKUP(Y89,'RET TECH'!M:M,'RET TECH'!V:V))</f>
        <v>31.536000000000001</v>
      </c>
      <c r="AF89" s="12">
        <f>IF(Y89="","",_xlfn.XLOOKUP(Y89,'RET TECH'!M:M,'RET TECH'!U:U))</f>
        <v>9.0799342577003436E-2</v>
      </c>
      <c r="AG89" s="12">
        <f>IF(Y89="","",_xlfn.XLOOKUP(Y89,'RET TECH'!M:M,'RET TECH'!R:R))</f>
        <v>49420.20243058075</v>
      </c>
    </row>
    <row r="90" spans="25:33" x14ac:dyDescent="0.25">
      <c r="Y90" t="str">
        <f>IF('RET TECH'!N85=1,'RET TECH'!M85,"*")</f>
        <v>RESAPALMOldSHENVPATH20</v>
      </c>
      <c r="Z90" t="str">
        <f>IF(Y90="","",_xlfn.XLOOKUP(Y90,'RET TECH'!M:M,'RET TECH'!K:K))</f>
        <v>RESAPALMOldSHRET</v>
      </c>
      <c r="AA90" t="str">
        <f>IF(Y90="","",_xlfn.XLOOKUP(Y90,'RET TECH'!M:M,'RET TECH'!L:L))</f>
        <v>RESAPALMOldSHEUE</v>
      </c>
      <c r="AB90">
        <f>IF(Y90="","",'City characteristics'!$C$20+1)</f>
        <v>2020</v>
      </c>
      <c r="AC90" s="12">
        <f>IF(Y90="","",_xlfn.XLOOKUP(Y90,'RET TECH'!M:M,'RET TECH'!T:T))</f>
        <v>30</v>
      </c>
      <c r="AD90" s="12">
        <f>IF(Y90="","",_xlfn.XLOOKUP(Y90,'RET TECH'!M:M,'RET TECH'!S:S))</f>
        <v>1</v>
      </c>
      <c r="AE90">
        <f>IF(Y90="","",_xlfn.XLOOKUP(Y90,'RET TECH'!M:M,'RET TECH'!V:V))</f>
        <v>31.536000000000001</v>
      </c>
      <c r="AF90" s="12">
        <f>IF(Y90="","",_xlfn.XLOOKUP(Y90,'RET TECH'!M:M,'RET TECH'!U:U))</f>
        <v>9.0799342577003436E-2</v>
      </c>
      <c r="AG90" s="12">
        <f>IF(Y90="","",_xlfn.XLOOKUP(Y90,'RET TECH'!M:M,'RET TECH'!R:R))</f>
        <v>22858.026954151559</v>
      </c>
    </row>
    <row r="91" spans="25:33" x14ac:dyDescent="0.25">
      <c r="Y91" t="str">
        <f>IF('RET TECH'!N86=1,'RET TECH'!M86,"*")</f>
        <v>RESAPALMOldSHENVIECC4020</v>
      </c>
      <c r="Z91" t="str">
        <f>IF(Y91="","",_xlfn.XLOOKUP(Y91,'RET TECH'!M:M,'RET TECH'!K:K))</f>
        <v>RESAPALMOldSHRET</v>
      </c>
      <c r="AA91" t="str">
        <f>IF(Y91="","",_xlfn.XLOOKUP(Y91,'RET TECH'!M:M,'RET TECH'!L:L))</f>
        <v>RESAPALMOldSHEUE</v>
      </c>
      <c r="AB91">
        <f>IF(Y91="","",'City characteristics'!$C$20+1)</f>
        <v>2020</v>
      </c>
      <c r="AC91" s="12">
        <f>IF(Y91="","",_xlfn.XLOOKUP(Y91,'RET TECH'!M:M,'RET TECH'!T:T))</f>
        <v>30</v>
      </c>
      <c r="AD91" s="12">
        <f>IF(Y91="","",_xlfn.XLOOKUP(Y91,'RET TECH'!M:M,'RET TECH'!S:S))</f>
        <v>1</v>
      </c>
      <c r="AE91">
        <f>IF(Y91="","",_xlfn.XLOOKUP(Y91,'RET TECH'!M:M,'RET TECH'!V:V))</f>
        <v>31.536000000000001</v>
      </c>
      <c r="AF91" s="12">
        <f>IF(Y91="","",_xlfn.XLOOKUP(Y91,'RET TECH'!M:M,'RET TECH'!U:U))</f>
        <v>9.0799342577003436E-2</v>
      </c>
      <c r="AG91" s="12">
        <f>IF(Y91="","",_xlfn.XLOOKUP(Y91,'RET TECH'!M:M,'RET TECH'!R:R))</f>
        <v>46561.27334765486</v>
      </c>
    </row>
    <row r="92" spans="25:33" x14ac:dyDescent="0.25">
      <c r="Y92" t="str">
        <f>IF('RET TECH'!N87=1,'RET TECH'!M87,"*")</f>
        <v>RESAPALMOldSHENVIECC20</v>
      </c>
      <c r="Z92" t="str">
        <f>IF(Y92="","",_xlfn.XLOOKUP(Y92,'RET TECH'!M:M,'RET TECH'!K:K))</f>
        <v>RESAPALMOldSHRET</v>
      </c>
      <c r="AA92" t="str">
        <f>IF(Y92="","",_xlfn.XLOOKUP(Y92,'RET TECH'!M:M,'RET TECH'!L:L))</f>
        <v>RESAPALMOldSHEUE</v>
      </c>
      <c r="AB92">
        <f>IF(Y92="","",'City characteristics'!$C$20+1)</f>
        <v>2020</v>
      </c>
      <c r="AC92" s="12">
        <f>IF(Y92="","",_xlfn.XLOOKUP(Y92,'RET TECH'!M:M,'RET TECH'!T:T))</f>
        <v>30</v>
      </c>
      <c r="AD92" s="12">
        <f>IF(Y92="","",_xlfn.XLOOKUP(Y92,'RET TECH'!M:M,'RET TECH'!S:S))</f>
        <v>1</v>
      </c>
      <c r="AE92">
        <f>IF(Y92="","",_xlfn.XLOOKUP(Y92,'RET TECH'!M:M,'RET TECH'!V:V))</f>
        <v>31.536000000000001</v>
      </c>
      <c r="AF92" s="12">
        <f>IF(Y92="","",_xlfn.XLOOKUP(Y92,'RET TECH'!M:M,'RET TECH'!U:U))</f>
        <v>9.0799342577003436E-2</v>
      </c>
      <c r="AG92" s="12">
        <f>IF(Y92="","",_xlfn.XLOOKUP(Y92,'RET TECH'!M:M,'RET TECH'!R:R))</f>
        <v>48893.817580050018</v>
      </c>
    </row>
    <row r="93" spans="25:33" x14ac:dyDescent="0.25">
      <c r="Y93" t="str">
        <f>IF('RET TECH'!N88=1,'RET TECH'!M88,"*")</f>
        <v>*</v>
      </c>
      <c r="Z93">
        <f>IF(Y93="","",_xlfn.XLOOKUP(Y93,'RET TECH'!M:M,'RET TECH'!K:K))</f>
        <v>0</v>
      </c>
      <c r="AA93">
        <f>IF(Y93="","",_xlfn.XLOOKUP(Y93,'RET TECH'!M:M,'RET TECH'!L:L))</f>
        <v>0</v>
      </c>
      <c r="AB93">
        <f>IF(Y93="","",'City characteristics'!$C$20+1)</f>
        <v>2020</v>
      </c>
      <c r="AC93" s="12">
        <f>IF(Y93="","",_xlfn.XLOOKUP(Y93,'RET TECH'!M:M,'RET TECH'!T:T))</f>
        <v>0</v>
      </c>
      <c r="AD93" s="12">
        <f>IF(Y93="","",_xlfn.XLOOKUP(Y93,'RET TECH'!M:M,'RET TECH'!S:S))</f>
        <v>0</v>
      </c>
      <c r="AE93">
        <f>IF(Y93="","",_xlfn.XLOOKUP(Y93,'RET TECH'!M:M,'RET TECH'!V:V))</f>
        <v>0</v>
      </c>
      <c r="AF93" s="12">
        <f>IF(Y93="","",_xlfn.XLOOKUP(Y93,'RET TECH'!M:M,'RET TECH'!U:U))</f>
        <v>0</v>
      </c>
      <c r="AG93" s="12">
        <f>IF(Y93="","",_xlfn.XLOOKUP(Y93,'RET TECH'!M:M,'RET TECH'!R:R))</f>
        <v>0</v>
      </c>
    </row>
    <row r="94" spans="25:33" x14ac:dyDescent="0.25">
      <c r="Y94" t="str">
        <f>IF('RET TECH'!N89=1,'RET TECH'!M89,"*")</f>
        <v>*</v>
      </c>
      <c r="Z94">
        <f>IF(Y94="","",_xlfn.XLOOKUP(Y94,'RET TECH'!M:M,'RET TECH'!K:K))</f>
        <v>0</v>
      </c>
      <c r="AA94">
        <f>IF(Y94="","",_xlfn.XLOOKUP(Y94,'RET TECH'!M:M,'RET TECH'!L:L))</f>
        <v>0</v>
      </c>
      <c r="AB94">
        <f>IF(Y94="","",'City characteristics'!$C$20+1)</f>
        <v>2020</v>
      </c>
      <c r="AC94" s="12">
        <f>IF(Y94="","",_xlfn.XLOOKUP(Y94,'RET TECH'!M:M,'RET TECH'!T:T))</f>
        <v>0</v>
      </c>
      <c r="AD94" s="12">
        <f>IF(Y94="","",_xlfn.XLOOKUP(Y94,'RET TECH'!M:M,'RET TECH'!S:S))</f>
        <v>0</v>
      </c>
      <c r="AE94">
        <f>IF(Y94="","",_xlfn.XLOOKUP(Y94,'RET TECH'!M:M,'RET TECH'!V:V))</f>
        <v>0</v>
      </c>
      <c r="AF94" s="12">
        <f>IF(Y94="","",_xlfn.XLOOKUP(Y94,'RET TECH'!M:M,'RET TECH'!U:U))</f>
        <v>0</v>
      </c>
      <c r="AG94" s="12">
        <f>IF(Y94="","",_xlfn.XLOOKUP(Y94,'RET TECH'!M:M,'RET TECH'!R:R))</f>
        <v>0</v>
      </c>
    </row>
    <row r="95" spans="25:33" x14ac:dyDescent="0.25">
      <c r="Y95" t="str">
        <f>IF('RET TECH'!N90=1,'RET TECH'!M90,"*")</f>
        <v>*</v>
      </c>
      <c r="Z95">
        <f>IF(Y95="","",_xlfn.XLOOKUP(Y95,'RET TECH'!M:M,'RET TECH'!K:K))</f>
        <v>0</v>
      </c>
      <c r="AA95">
        <f>IF(Y95="","",_xlfn.XLOOKUP(Y95,'RET TECH'!M:M,'RET TECH'!L:L))</f>
        <v>0</v>
      </c>
      <c r="AB95">
        <f>IF(Y95="","",'City characteristics'!$C$20+1)</f>
        <v>2020</v>
      </c>
      <c r="AC95" s="12">
        <f>IF(Y95="","",_xlfn.XLOOKUP(Y95,'RET TECH'!M:M,'RET TECH'!T:T))</f>
        <v>0</v>
      </c>
      <c r="AD95" s="12">
        <f>IF(Y95="","",_xlfn.XLOOKUP(Y95,'RET TECH'!M:M,'RET TECH'!S:S))</f>
        <v>0</v>
      </c>
      <c r="AE95">
        <f>IF(Y95="","",_xlfn.XLOOKUP(Y95,'RET TECH'!M:M,'RET TECH'!V:V))</f>
        <v>0</v>
      </c>
      <c r="AF95" s="12">
        <f>IF(Y95="","",_xlfn.XLOOKUP(Y95,'RET TECH'!M:M,'RET TECH'!U:U))</f>
        <v>0</v>
      </c>
      <c r="AG95" s="12">
        <f>IF(Y95="","",_xlfn.XLOOKUP(Y95,'RET TECH'!M:M,'RET TECH'!R:R))</f>
        <v>0</v>
      </c>
    </row>
    <row r="96" spans="25:33" x14ac:dyDescent="0.25">
      <c r="Y96" t="str">
        <f>IF('RET TECH'!N91=1,'RET TECH'!M91,"*")</f>
        <v>*</v>
      </c>
      <c r="Z96">
        <f>IF(Y96="","",_xlfn.XLOOKUP(Y96,'RET TECH'!M:M,'RET TECH'!K:K))</f>
        <v>0</v>
      </c>
      <c r="AA96">
        <f>IF(Y96="","",_xlfn.XLOOKUP(Y96,'RET TECH'!M:M,'RET TECH'!L:L))</f>
        <v>0</v>
      </c>
      <c r="AB96">
        <f>IF(Y96="","",'City characteristics'!$C$20+1)</f>
        <v>2020</v>
      </c>
      <c r="AC96" s="12">
        <f>IF(Y96="","",_xlfn.XLOOKUP(Y96,'RET TECH'!M:M,'RET TECH'!T:T))</f>
        <v>0</v>
      </c>
      <c r="AD96" s="12">
        <f>IF(Y96="","",_xlfn.XLOOKUP(Y96,'RET TECH'!M:M,'RET TECH'!S:S))</f>
        <v>0</v>
      </c>
      <c r="AE96">
        <f>IF(Y96="","",_xlfn.XLOOKUP(Y96,'RET TECH'!M:M,'RET TECH'!V:V))</f>
        <v>0</v>
      </c>
      <c r="AF96" s="12">
        <f>IF(Y96="","",_xlfn.XLOOKUP(Y96,'RET TECH'!M:M,'RET TECH'!U:U))</f>
        <v>0</v>
      </c>
      <c r="AG96" s="12">
        <f>IF(Y96="","",_xlfn.XLOOKUP(Y96,'RET TECH'!M:M,'RET TECH'!R:R))</f>
        <v>0</v>
      </c>
    </row>
    <row r="97" spans="25:33" x14ac:dyDescent="0.25">
      <c r="Y97" t="str">
        <f>IF('RET TECH'!N92=1,'RET TECH'!M92,"*")</f>
        <v>RESHOULMOldSHENVESTAR20</v>
      </c>
      <c r="Z97" t="str">
        <f>IF(Y97="","",_xlfn.XLOOKUP(Y97,'RET TECH'!M:M,'RET TECH'!K:K))</f>
        <v>RESHOULMOldSHRET</v>
      </c>
      <c r="AA97" t="str">
        <f>IF(Y97="","",_xlfn.XLOOKUP(Y97,'RET TECH'!M:M,'RET TECH'!L:L))</f>
        <v>RESHOULMOldSHEUE</v>
      </c>
      <c r="AB97">
        <f>IF(Y97="","",'City characteristics'!$C$20+1)</f>
        <v>2020</v>
      </c>
      <c r="AC97" s="12">
        <f>IF(Y97="","",_xlfn.XLOOKUP(Y97,'RET TECH'!M:M,'RET TECH'!T:T))</f>
        <v>30</v>
      </c>
      <c r="AD97" s="12">
        <f>IF(Y97="","",_xlfn.XLOOKUP(Y97,'RET TECH'!M:M,'RET TECH'!S:S))</f>
        <v>1</v>
      </c>
      <c r="AE97">
        <f>IF(Y97="","",_xlfn.XLOOKUP(Y97,'RET TECH'!M:M,'RET TECH'!V:V))</f>
        <v>31.536000000000001</v>
      </c>
      <c r="AF97" s="12">
        <f>IF(Y97="","",_xlfn.XLOOKUP(Y97,'RET TECH'!M:M,'RET TECH'!U:U))</f>
        <v>8.263812321365821E-2</v>
      </c>
      <c r="AG97" s="12">
        <f>IF(Y97="","",_xlfn.XLOOKUP(Y97,'RET TECH'!M:M,'RET TECH'!R:R))</f>
        <v>31525.876553480419</v>
      </c>
    </row>
    <row r="98" spans="25:33" x14ac:dyDescent="0.25">
      <c r="Y98" t="str">
        <f>IF('RET TECH'!N93=1,'RET TECH'!M93,"*")</f>
        <v>RESHOULMOldSHENVPATH20</v>
      </c>
      <c r="Z98" t="str">
        <f>IF(Y98="","",_xlfn.XLOOKUP(Y98,'RET TECH'!M:M,'RET TECH'!K:K))</f>
        <v>RESHOULMOldSHRET</v>
      </c>
      <c r="AA98" t="str">
        <f>IF(Y98="","",_xlfn.XLOOKUP(Y98,'RET TECH'!M:M,'RET TECH'!L:L))</f>
        <v>RESHOULMOldSHEUE</v>
      </c>
      <c r="AB98">
        <f>IF(Y98="","",'City characteristics'!$C$20+1)</f>
        <v>2020</v>
      </c>
      <c r="AC98" s="12">
        <f>IF(Y98="","",_xlfn.XLOOKUP(Y98,'RET TECH'!M:M,'RET TECH'!T:T))</f>
        <v>30</v>
      </c>
      <c r="AD98" s="12">
        <f>IF(Y98="","",_xlfn.XLOOKUP(Y98,'RET TECH'!M:M,'RET TECH'!S:S))</f>
        <v>1</v>
      </c>
      <c r="AE98">
        <f>IF(Y98="","",_xlfn.XLOOKUP(Y98,'RET TECH'!M:M,'RET TECH'!V:V))</f>
        <v>31.536000000000001</v>
      </c>
      <c r="AF98" s="12">
        <f>IF(Y98="","",_xlfn.XLOOKUP(Y98,'RET TECH'!M:M,'RET TECH'!U:U))</f>
        <v>8.263812321365821E-2</v>
      </c>
      <c r="AG98" s="12">
        <f>IF(Y98="","",_xlfn.XLOOKUP(Y98,'RET TECH'!M:M,'RET TECH'!R:R))</f>
        <v>31571.759563852891</v>
      </c>
    </row>
    <row r="99" spans="25:33" x14ac:dyDescent="0.25">
      <c r="Y99" t="str">
        <f>IF('RET TECH'!N94=1,'RET TECH'!M94,"*")</f>
        <v>RESHOULMOldSHENVIECC4020</v>
      </c>
      <c r="Z99" t="str">
        <f>IF(Y99="","",_xlfn.XLOOKUP(Y99,'RET TECH'!M:M,'RET TECH'!K:K))</f>
        <v>RESHOULMOldSHRET</v>
      </c>
      <c r="AA99" t="str">
        <f>IF(Y99="","",_xlfn.XLOOKUP(Y99,'RET TECH'!M:M,'RET TECH'!L:L))</f>
        <v>RESHOULMOldSHEUE</v>
      </c>
      <c r="AB99">
        <f>IF(Y99="","",'City characteristics'!$C$20+1)</f>
        <v>2020</v>
      </c>
      <c r="AC99" s="12">
        <f>IF(Y99="","",_xlfn.XLOOKUP(Y99,'RET TECH'!M:M,'RET TECH'!T:T))</f>
        <v>30</v>
      </c>
      <c r="AD99" s="12">
        <f>IF(Y99="","",_xlfn.XLOOKUP(Y99,'RET TECH'!M:M,'RET TECH'!S:S))</f>
        <v>1</v>
      </c>
      <c r="AE99">
        <f>IF(Y99="","",_xlfn.XLOOKUP(Y99,'RET TECH'!M:M,'RET TECH'!V:V))</f>
        <v>31.536000000000001</v>
      </c>
      <c r="AF99" s="12">
        <f>IF(Y99="","",_xlfn.XLOOKUP(Y99,'RET TECH'!M:M,'RET TECH'!U:U))</f>
        <v>8.263812321365821E-2</v>
      </c>
      <c r="AG99" s="12">
        <f>IF(Y99="","",_xlfn.XLOOKUP(Y99,'RET TECH'!M:M,'RET TECH'!R:R))</f>
        <v>30037.236055397181</v>
      </c>
    </row>
    <row r="100" spans="25:33" x14ac:dyDescent="0.25">
      <c r="Y100" t="str">
        <f>IF('RET TECH'!N95=1,'RET TECH'!M95,"*")</f>
        <v>RESHOULMOldSHENVIECC20</v>
      </c>
      <c r="Z100" t="str">
        <f>IF(Y100="","",_xlfn.XLOOKUP(Y100,'RET TECH'!M:M,'RET TECH'!K:K))</f>
        <v>RESHOULMOldSHRET</v>
      </c>
      <c r="AA100" t="str">
        <f>IF(Y100="","",_xlfn.XLOOKUP(Y100,'RET TECH'!M:M,'RET TECH'!L:L))</f>
        <v>RESHOULMOldSHEUE</v>
      </c>
      <c r="AB100">
        <f>IF(Y100="","",'City characteristics'!$C$20+1)</f>
        <v>2020</v>
      </c>
      <c r="AC100" s="12">
        <f>IF(Y100="","",_xlfn.XLOOKUP(Y100,'RET TECH'!M:M,'RET TECH'!T:T))</f>
        <v>30</v>
      </c>
      <c r="AD100" s="12">
        <f>IF(Y100="","",_xlfn.XLOOKUP(Y100,'RET TECH'!M:M,'RET TECH'!S:S))</f>
        <v>1</v>
      </c>
      <c r="AE100">
        <f>IF(Y100="","",_xlfn.XLOOKUP(Y100,'RET TECH'!M:M,'RET TECH'!V:V))</f>
        <v>31.536000000000001</v>
      </c>
      <c r="AF100" s="12">
        <f>IF(Y100="","",_xlfn.XLOOKUP(Y100,'RET TECH'!M:M,'RET TECH'!U:U))</f>
        <v>8.263812321365821E-2</v>
      </c>
      <c r="AG100" s="12">
        <f>IF(Y100="","",_xlfn.XLOOKUP(Y100,'RET TECH'!M:M,'RET TECH'!R:R))</f>
        <v>40393.183794582917</v>
      </c>
    </row>
    <row r="101" spans="25:33" x14ac:dyDescent="0.25">
      <c r="Y101" t="str">
        <f>IF('RET TECH'!N96=1,'RET TECH'!M96,"*")</f>
        <v>RESHOULMOldSCENVESTAR20</v>
      </c>
      <c r="Z101" t="str">
        <f>IF(Y101="","",_xlfn.XLOOKUP(Y101,'RET TECH'!M:M,'RET TECH'!K:K))</f>
        <v>RESHOULMOldSCRET</v>
      </c>
      <c r="AA101" t="str">
        <f>IF(Y101="","",_xlfn.XLOOKUP(Y101,'RET TECH'!M:M,'RET TECH'!L:L))</f>
        <v>RESHOULMOldSCEUE</v>
      </c>
      <c r="AB101">
        <f>IF(Y101="","",'City characteristics'!$C$20+1)</f>
        <v>2020</v>
      </c>
      <c r="AC101" s="12">
        <f>IF(Y101="","",_xlfn.XLOOKUP(Y101,'RET TECH'!M:M,'RET TECH'!T:T))</f>
        <v>30</v>
      </c>
      <c r="AD101" s="12">
        <f>IF(Y101="","",_xlfn.XLOOKUP(Y101,'RET TECH'!M:M,'RET TECH'!S:S))</f>
        <v>1</v>
      </c>
      <c r="AE101">
        <f>IF(Y101="","",_xlfn.XLOOKUP(Y101,'RET TECH'!M:M,'RET TECH'!V:V))</f>
        <v>31.536000000000001</v>
      </c>
      <c r="AF101" s="12">
        <f>IF(Y101="","",_xlfn.XLOOKUP(Y101,'RET TECH'!M:M,'RET TECH'!U:U))</f>
        <v>9.7022787788124412E-2</v>
      </c>
      <c r="AG101" s="12">
        <f>IF(Y101="","",_xlfn.XLOOKUP(Y101,'RET TECH'!M:M,'RET TECH'!R:R))</f>
        <v>293131.76098447188</v>
      </c>
    </row>
    <row r="102" spans="25:33" x14ac:dyDescent="0.25">
      <c r="Y102" t="str">
        <f>IF('RET TECH'!N97=1,'RET TECH'!M97,"*")</f>
        <v>RESHOULMOldSCENVPATH20</v>
      </c>
      <c r="Z102" t="str">
        <f>IF(Y102="","",_xlfn.XLOOKUP(Y102,'RET TECH'!M:M,'RET TECH'!K:K))</f>
        <v>RESHOULMOldSCRET</v>
      </c>
      <c r="AA102" t="str">
        <f>IF(Y102="","",_xlfn.XLOOKUP(Y102,'RET TECH'!M:M,'RET TECH'!L:L))</f>
        <v>RESHOULMOldSCEUE</v>
      </c>
      <c r="AB102">
        <f>IF(Y102="","",'City characteristics'!$C$20+1)</f>
        <v>2020</v>
      </c>
      <c r="AC102" s="12">
        <f>IF(Y102="","",_xlfn.XLOOKUP(Y102,'RET TECH'!M:M,'RET TECH'!T:T))</f>
        <v>30</v>
      </c>
      <c r="AD102" s="12">
        <f>IF(Y102="","",_xlfn.XLOOKUP(Y102,'RET TECH'!M:M,'RET TECH'!S:S))</f>
        <v>1</v>
      </c>
      <c r="AE102">
        <f>IF(Y102="","",_xlfn.XLOOKUP(Y102,'RET TECH'!M:M,'RET TECH'!V:V))</f>
        <v>31.536000000000001</v>
      </c>
      <c r="AF102" s="12">
        <f>IF(Y102="","",_xlfn.XLOOKUP(Y102,'RET TECH'!M:M,'RET TECH'!U:U))</f>
        <v>9.7022787788124412E-2</v>
      </c>
      <c r="AG102" s="12">
        <f>IF(Y102="","",_xlfn.XLOOKUP(Y102,'RET TECH'!M:M,'RET TECH'!R:R))</f>
        <v>398317.70222350961</v>
      </c>
    </row>
    <row r="103" spans="25:33" x14ac:dyDescent="0.25">
      <c r="Y103" t="str">
        <f>IF('RET TECH'!N98=1,'RET TECH'!M98,"*")</f>
        <v>RESHOULMOldSCENVIECC4020</v>
      </c>
      <c r="Z103" t="str">
        <f>IF(Y103="","",_xlfn.XLOOKUP(Y103,'RET TECH'!M:M,'RET TECH'!K:K))</f>
        <v>RESHOULMOldSCRET</v>
      </c>
      <c r="AA103" t="str">
        <f>IF(Y103="","",_xlfn.XLOOKUP(Y103,'RET TECH'!M:M,'RET TECH'!L:L))</f>
        <v>RESHOULMOldSCEUE</v>
      </c>
      <c r="AB103">
        <f>IF(Y103="","",'City characteristics'!$C$20+1)</f>
        <v>2020</v>
      </c>
      <c r="AC103" s="12">
        <f>IF(Y103="","",_xlfn.XLOOKUP(Y103,'RET TECH'!M:M,'RET TECH'!T:T))</f>
        <v>30</v>
      </c>
      <c r="AD103" s="12">
        <f>IF(Y103="","",_xlfn.XLOOKUP(Y103,'RET TECH'!M:M,'RET TECH'!S:S))</f>
        <v>1</v>
      </c>
      <c r="AE103">
        <f>IF(Y103="","",_xlfn.XLOOKUP(Y103,'RET TECH'!M:M,'RET TECH'!V:V))</f>
        <v>31.536000000000001</v>
      </c>
      <c r="AF103" s="12">
        <f>IF(Y103="","",_xlfn.XLOOKUP(Y103,'RET TECH'!M:M,'RET TECH'!U:U))</f>
        <v>9.7022787788124412E-2</v>
      </c>
      <c r="AG103" s="12">
        <f>IF(Y103="","",_xlfn.XLOOKUP(Y103,'RET TECH'!M:M,'RET TECH'!R:R))</f>
        <v>360462.20400056761</v>
      </c>
    </row>
    <row r="104" spans="25:33" x14ac:dyDescent="0.25">
      <c r="Y104" t="str">
        <f>IF('RET TECH'!N99=1,'RET TECH'!M99,"*")</f>
        <v>RESHOULMOldSCENVIECC20</v>
      </c>
      <c r="Z104" t="str">
        <f>IF(Y104="","",_xlfn.XLOOKUP(Y104,'RET TECH'!M:M,'RET TECH'!K:K))</f>
        <v>RESHOULMOldSCRET</v>
      </c>
      <c r="AA104" t="str">
        <f>IF(Y104="","",_xlfn.XLOOKUP(Y104,'RET TECH'!M:M,'RET TECH'!L:L))</f>
        <v>RESHOULMOldSCEUE</v>
      </c>
      <c r="AB104">
        <f>IF(Y104="","",'City characteristics'!$C$20+1)</f>
        <v>2020</v>
      </c>
      <c r="AC104" s="12">
        <f>IF(Y104="","",_xlfn.XLOOKUP(Y104,'RET TECH'!M:M,'RET TECH'!T:T))</f>
        <v>30</v>
      </c>
      <c r="AD104" s="12">
        <f>IF(Y104="","",_xlfn.XLOOKUP(Y104,'RET TECH'!M:M,'RET TECH'!S:S))</f>
        <v>1</v>
      </c>
      <c r="AE104">
        <f>IF(Y104="","",_xlfn.XLOOKUP(Y104,'RET TECH'!M:M,'RET TECH'!V:V))</f>
        <v>31.536000000000001</v>
      </c>
      <c r="AF104" s="12">
        <f>IF(Y104="","",_xlfn.XLOOKUP(Y104,'RET TECH'!M:M,'RET TECH'!U:U))</f>
        <v>9.7022787788124412E-2</v>
      </c>
      <c r="AG104" s="12">
        <f>IF(Y104="","",_xlfn.XLOOKUP(Y104,'RET TECH'!M:M,'RET TECH'!R:R))</f>
        <v>343510.61257105193</v>
      </c>
    </row>
    <row r="105" spans="25:33" x14ac:dyDescent="0.25">
      <c r="Y105" t="str">
        <f>IF('RET TECH'!N100=1,'RET TECH'!M100,"*")</f>
        <v>RESAPAUMOldSHENVESTAR20</v>
      </c>
      <c r="Z105" t="str">
        <f>IF(Y105="","",_xlfn.XLOOKUP(Y105,'RET TECH'!M:M,'RET TECH'!K:K))</f>
        <v>RESAPAUMOldSHRET</v>
      </c>
      <c r="AA105" t="str">
        <f>IF(Y105="","",_xlfn.XLOOKUP(Y105,'RET TECH'!M:M,'RET TECH'!L:L))</f>
        <v>RESAPAUMOldSHEUE</v>
      </c>
      <c r="AB105">
        <f>IF(Y105="","",'City characteristics'!$C$20+1)</f>
        <v>2020</v>
      </c>
      <c r="AC105" s="12">
        <f>IF(Y105="","",_xlfn.XLOOKUP(Y105,'RET TECH'!M:M,'RET TECH'!T:T))</f>
        <v>30</v>
      </c>
      <c r="AD105" s="12">
        <f>IF(Y105="","",_xlfn.XLOOKUP(Y105,'RET TECH'!M:M,'RET TECH'!S:S))</f>
        <v>1</v>
      </c>
      <c r="AE105">
        <f>IF(Y105="","",_xlfn.XLOOKUP(Y105,'RET TECH'!M:M,'RET TECH'!V:V))</f>
        <v>31.536000000000001</v>
      </c>
      <c r="AF105" s="12">
        <f>IF(Y105="","",_xlfn.XLOOKUP(Y105,'RET TECH'!M:M,'RET TECH'!U:U))</f>
        <v>8.7856310855373987E-2</v>
      </c>
      <c r="AG105" s="12">
        <f>IF(Y105="","",_xlfn.XLOOKUP(Y105,'RET TECH'!M:M,'RET TECH'!R:R))</f>
        <v>52963.943194738873</v>
      </c>
    </row>
    <row r="106" spans="25:33" x14ac:dyDescent="0.25">
      <c r="Y106" t="str">
        <f>IF('RET TECH'!N101=1,'RET TECH'!M101,"*")</f>
        <v>RESAPAUMOldSHENVPATH20</v>
      </c>
      <c r="Z106" t="str">
        <f>IF(Y106="","",_xlfn.XLOOKUP(Y106,'RET TECH'!M:M,'RET TECH'!K:K))</f>
        <v>RESAPAUMOldSHRET</v>
      </c>
      <c r="AA106" t="str">
        <f>IF(Y106="","",_xlfn.XLOOKUP(Y106,'RET TECH'!M:M,'RET TECH'!L:L))</f>
        <v>RESAPAUMOldSHEUE</v>
      </c>
      <c r="AB106">
        <f>IF(Y106="","",'City characteristics'!$C$20+1)</f>
        <v>2020</v>
      </c>
      <c r="AC106" s="12">
        <f>IF(Y106="","",_xlfn.XLOOKUP(Y106,'RET TECH'!M:M,'RET TECH'!T:T))</f>
        <v>30</v>
      </c>
      <c r="AD106" s="12">
        <f>IF(Y106="","",_xlfn.XLOOKUP(Y106,'RET TECH'!M:M,'RET TECH'!S:S))</f>
        <v>1</v>
      </c>
      <c r="AE106">
        <f>IF(Y106="","",_xlfn.XLOOKUP(Y106,'RET TECH'!M:M,'RET TECH'!V:V))</f>
        <v>31.536000000000001</v>
      </c>
      <c r="AF106" s="12">
        <f>IF(Y106="","",_xlfn.XLOOKUP(Y106,'RET TECH'!M:M,'RET TECH'!U:U))</f>
        <v>8.7856310855373987E-2</v>
      </c>
      <c r="AG106" s="12">
        <f>IF(Y106="","",_xlfn.XLOOKUP(Y106,'RET TECH'!M:M,'RET TECH'!R:R))</f>
        <v>24497.09190981284</v>
      </c>
    </row>
    <row r="107" spans="25:33" x14ac:dyDescent="0.25">
      <c r="Y107" t="str">
        <f>IF('RET TECH'!N102=1,'RET TECH'!M102,"*")</f>
        <v>RESAPAUMOldSHENVIECC4020</v>
      </c>
      <c r="Z107" t="str">
        <f>IF(Y107="","",_xlfn.XLOOKUP(Y107,'RET TECH'!M:M,'RET TECH'!K:K))</f>
        <v>RESAPAUMOldSHRET</v>
      </c>
      <c r="AA107" t="str">
        <f>IF(Y107="","",_xlfn.XLOOKUP(Y107,'RET TECH'!M:M,'RET TECH'!L:L))</f>
        <v>RESAPAUMOldSHEUE</v>
      </c>
      <c r="AB107">
        <f>IF(Y107="","",'City characteristics'!$C$20+1)</f>
        <v>2020</v>
      </c>
      <c r="AC107" s="12">
        <f>IF(Y107="","",_xlfn.XLOOKUP(Y107,'RET TECH'!M:M,'RET TECH'!T:T))</f>
        <v>30</v>
      </c>
      <c r="AD107" s="12">
        <f>IF(Y107="","",_xlfn.XLOOKUP(Y107,'RET TECH'!M:M,'RET TECH'!S:S))</f>
        <v>1</v>
      </c>
      <c r="AE107">
        <f>IF(Y107="","",_xlfn.XLOOKUP(Y107,'RET TECH'!M:M,'RET TECH'!V:V))</f>
        <v>31.536000000000001</v>
      </c>
      <c r="AF107" s="12">
        <f>IF(Y107="","",_xlfn.XLOOKUP(Y107,'RET TECH'!M:M,'RET TECH'!U:U))</f>
        <v>8.7856310855373987E-2</v>
      </c>
      <c r="AG107" s="12">
        <f>IF(Y107="","",_xlfn.XLOOKUP(Y107,'RET TECH'!M:M,'RET TECH'!R:R))</f>
        <v>49900.010833098488</v>
      </c>
    </row>
    <row r="108" spans="25:33" x14ac:dyDescent="0.25">
      <c r="Y108" t="str">
        <f>IF('RET TECH'!N103=1,'RET TECH'!M103,"*")</f>
        <v>RESAPAUMOldSHENVIECC20</v>
      </c>
      <c r="Z108" t="str">
        <f>IF(Y108="","",_xlfn.XLOOKUP(Y108,'RET TECH'!M:M,'RET TECH'!K:K))</f>
        <v>RESAPAUMOldSHRET</v>
      </c>
      <c r="AA108" t="str">
        <f>IF(Y108="","",_xlfn.XLOOKUP(Y108,'RET TECH'!M:M,'RET TECH'!L:L))</f>
        <v>RESAPAUMOldSHEUE</v>
      </c>
      <c r="AB108">
        <f>IF(Y108="","",'City characteristics'!$C$20+1)</f>
        <v>2020</v>
      </c>
      <c r="AC108" s="12">
        <f>IF(Y108="","",_xlfn.XLOOKUP(Y108,'RET TECH'!M:M,'RET TECH'!T:T))</f>
        <v>30</v>
      </c>
      <c r="AD108" s="12">
        <f>IF(Y108="","",_xlfn.XLOOKUP(Y108,'RET TECH'!M:M,'RET TECH'!S:S))</f>
        <v>1</v>
      </c>
      <c r="AE108">
        <f>IF(Y108="","",_xlfn.XLOOKUP(Y108,'RET TECH'!M:M,'RET TECH'!V:V))</f>
        <v>31.536000000000001</v>
      </c>
      <c r="AF108" s="12">
        <f>IF(Y108="","",_xlfn.XLOOKUP(Y108,'RET TECH'!M:M,'RET TECH'!U:U))</f>
        <v>8.7856310855373987E-2</v>
      </c>
      <c r="AG108" s="12">
        <f>IF(Y108="","",_xlfn.XLOOKUP(Y108,'RET TECH'!M:M,'RET TECH'!R:R))</f>
        <v>52399.813224586644</v>
      </c>
    </row>
    <row r="109" spans="25:33" x14ac:dyDescent="0.25">
      <c r="Y109" t="str">
        <f>IF('RET TECH'!N104=1,'RET TECH'!M104,"*")</f>
        <v>*</v>
      </c>
      <c r="Z109">
        <f>IF(Y109="","",_xlfn.XLOOKUP(Y109,'RET TECH'!M:M,'RET TECH'!K:K))</f>
        <v>0</v>
      </c>
      <c r="AA109">
        <f>IF(Y109="","",_xlfn.XLOOKUP(Y109,'RET TECH'!M:M,'RET TECH'!L:L))</f>
        <v>0</v>
      </c>
      <c r="AB109">
        <f>IF(Y109="","",'City characteristics'!$C$20+1)</f>
        <v>2020</v>
      </c>
      <c r="AC109" s="12">
        <f>IF(Y109="","",_xlfn.XLOOKUP(Y109,'RET TECH'!M:M,'RET TECH'!T:T))</f>
        <v>0</v>
      </c>
      <c r="AD109" s="12">
        <f>IF(Y109="","",_xlfn.XLOOKUP(Y109,'RET TECH'!M:M,'RET TECH'!S:S))</f>
        <v>0</v>
      </c>
      <c r="AE109">
        <f>IF(Y109="","",_xlfn.XLOOKUP(Y109,'RET TECH'!M:M,'RET TECH'!V:V))</f>
        <v>0</v>
      </c>
      <c r="AF109" s="12">
        <f>IF(Y109="","",_xlfn.XLOOKUP(Y109,'RET TECH'!M:M,'RET TECH'!U:U))</f>
        <v>0</v>
      </c>
      <c r="AG109" s="12">
        <f>IF(Y109="","",_xlfn.XLOOKUP(Y109,'RET TECH'!M:M,'RET TECH'!R:R))</f>
        <v>0</v>
      </c>
    </row>
    <row r="110" spans="25:33" x14ac:dyDescent="0.25">
      <c r="Y110" t="str">
        <f>IF('RET TECH'!N105=1,'RET TECH'!M105,"*")</f>
        <v>*</v>
      </c>
      <c r="Z110">
        <f>IF(Y110="","",_xlfn.XLOOKUP(Y110,'RET TECH'!M:M,'RET TECH'!K:K))</f>
        <v>0</v>
      </c>
      <c r="AA110">
        <f>IF(Y110="","",_xlfn.XLOOKUP(Y110,'RET TECH'!M:M,'RET TECH'!L:L))</f>
        <v>0</v>
      </c>
      <c r="AB110">
        <f>IF(Y110="","",'City characteristics'!$C$20+1)</f>
        <v>2020</v>
      </c>
      <c r="AC110" s="12">
        <f>IF(Y110="","",_xlfn.XLOOKUP(Y110,'RET TECH'!M:M,'RET TECH'!T:T))</f>
        <v>0</v>
      </c>
      <c r="AD110" s="12">
        <f>IF(Y110="","",_xlfn.XLOOKUP(Y110,'RET TECH'!M:M,'RET TECH'!S:S))</f>
        <v>0</v>
      </c>
      <c r="AE110">
        <f>IF(Y110="","",_xlfn.XLOOKUP(Y110,'RET TECH'!M:M,'RET TECH'!V:V))</f>
        <v>0</v>
      </c>
      <c r="AF110" s="12">
        <f>IF(Y110="","",_xlfn.XLOOKUP(Y110,'RET TECH'!M:M,'RET TECH'!U:U))</f>
        <v>0</v>
      </c>
      <c r="AG110" s="12">
        <f>IF(Y110="","",_xlfn.XLOOKUP(Y110,'RET TECH'!M:M,'RET TECH'!R:R))</f>
        <v>0</v>
      </c>
    </row>
    <row r="111" spans="25:33" x14ac:dyDescent="0.25">
      <c r="Y111" t="str">
        <f>IF('RET TECH'!N106=1,'RET TECH'!M106,"*")</f>
        <v>*</v>
      </c>
      <c r="Z111">
        <f>IF(Y111="","",_xlfn.XLOOKUP(Y111,'RET TECH'!M:M,'RET TECH'!K:K))</f>
        <v>0</v>
      </c>
      <c r="AA111">
        <f>IF(Y111="","",_xlfn.XLOOKUP(Y111,'RET TECH'!M:M,'RET TECH'!L:L))</f>
        <v>0</v>
      </c>
      <c r="AB111">
        <f>IF(Y111="","",'City characteristics'!$C$20+1)</f>
        <v>2020</v>
      </c>
      <c r="AC111" s="12">
        <f>IF(Y111="","",_xlfn.XLOOKUP(Y111,'RET TECH'!M:M,'RET TECH'!T:T))</f>
        <v>0</v>
      </c>
      <c r="AD111" s="12">
        <f>IF(Y111="","",_xlfn.XLOOKUP(Y111,'RET TECH'!M:M,'RET TECH'!S:S))</f>
        <v>0</v>
      </c>
      <c r="AE111">
        <f>IF(Y111="","",_xlfn.XLOOKUP(Y111,'RET TECH'!M:M,'RET TECH'!V:V))</f>
        <v>0</v>
      </c>
      <c r="AF111" s="12">
        <f>IF(Y111="","",_xlfn.XLOOKUP(Y111,'RET TECH'!M:M,'RET TECH'!U:U))</f>
        <v>0</v>
      </c>
      <c r="AG111" s="12">
        <f>IF(Y111="","",_xlfn.XLOOKUP(Y111,'RET TECH'!M:M,'RET TECH'!R:R))</f>
        <v>0</v>
      </c>
    </row>
    <row r="112" spans="25:33" x14ac:dyDescent="0.25">
      <c r="Y112" t="str">
        <f>IF('RET TECH'!N107=1,'RET TECH'!M107,"*")</f>
        <v>*</v>
      </c>
      <c r="Z112">
        <f>IF(Y112="","",_xlfn.XLOOKUP(Y112,'RET TECH'!M:M,'RET TECH'!K:K))</f>
        <v>0</v>
      </c>
      <c r="AA112">
        <f>IF(Y112="","",_xlfn.XLOOKUP(Y112,'RET TECH'!M:M,'RET TECH'!L:L))</f>
        <v>0</v>
      </c>
      <c r="AB112">
        <f>IF(Y112="","",'City characteristics'!$C$20+1)</f>
        <v>2020</v>
      </c>
      <c r="AC112" s="12">
        <f>IF(Y112="","",_xlfn.XLOOKUP(Y112,'RET TECH'!M:M,'RET TECH'!T:T))</f>
        <v>0</v>
      </c>
      <c r="AD112" s="12">
        <f>IF(Y112="","",_xlfn.XLOOKUP(Y112,'RET TECH'!M:M,'RET TECH'!S:S))</f>
        <v>0</v>
      </c>
      <c r="AE112">
        <f>IF(Y112="","",_xlfn.XLOOKUP(Y112,'RET TECH'!M:M,'RET TECH'!V:V))</f>
        <v>0</v>
      </c>
      <c r="AF112" s="12">
        <f>IF(Y112="","",_xlfn.XLOOKUP(Y112,'RET TECH'!M:M,'RET TECH'!U:U))</f>
        <v>0</v>
      </c>
      <c r="AG112" s="12">
        <f>IF(Y112="","",_xlfn.XLOOKUP(Y112,'RET TECH'!M:M,'RET TECH'!R:R))</f>
        <v>0</v>
      </c>
    </row>
    <row r="113" spans="25:33" x14ac:dyDescent="0.25">
      <c r="Y113" t="str">
        <f>IF('RET TECH'!N108=1,'RET TECH'!M108,"*")</f>
        <v>RESHOUUMOldSHENVESTAR20</v>
      </c>
      <c r="Z113" t="str">
        <f>IF(Y113="","",_xlfn.XLOOKUP(Y113,'RET TECH'!M:M,'RET TECH'!K:K))</f>
        <v>RESHOUUMOldSHRET</v>
      </c>
      <c r="AA113" t="str">
        <f>IF(Y113="","",_xlfn.XLOOKUP(Y113,'RET TECH'!M:M,'RET TECH'!L:L))</f>
        <v>RESHOUUMOldSHEUE</v>
      </c>
      <c r="AB113">
        <f>IF(Y113="","",'City characteristics'!$C$20+1)</f>
        <v>2020</v>
      </c>
      <c r="AC113" s="12">
        <f>IF(Y113="","",_xlfn.XLOOKUP(Y113,'RET TECH'!M:M,'RET TECH'!T:T))</f>
        <v>30</v>
      </c>
      <c r="AD113" s="12">
        <f>IF(Y113="","",_xlfn.XLOOKUP(Y113,'RET TECH'!M:M,'RET TECH'!S:S))</f>
        <v>1</v>
      </c>
      <c r="AE113">
        <f>IF(Y113="","",_xlfn.XLOOKUP(Y113,'RET TECH'!M:M,'RET TECH'!V:V))</f>
        <v>31.536000000000001</v>
      </c>
      <c r="AF113" s="12">
        <f>IF(Y113="","",_xlfn.XLOOKUP(Y113,'RET TECH'!M:M,'RET TECH'!U:U))</f>
        <v>9.1249964693936397E-2</v>
      </c>
      <c r="AG113" s="12">
        <f>IF(Y113="","",_xlfn.XLOOKUP(Y113,'RET TECH'!M:M,'RET TECH'!R:R))</f>
        <v>27749.56229297028</v>
      </c>
    </row>
    <row r="114" spans="25:33" x14ac:dyDescent="0.25">
      <c r="Y114" t="str">
        <f>IF('RET TECH'!N109=1,'RET TECH'!M109,"*")</f>
        <v>RESHOUUMOldSHENVPATH20</v>
      </c>
      <c r="Z114" t="str">
        <f>IF(Y114="","",_xlfn.XLOOKUP(Y114,'RET TECH'!M:M,'RET TECH'!K:K))</f>
        <v>RESHOUUMOldSHRET</v>
      </c>
      <c r="AA114" t="str">
        <f>IF(Y114="","",_xlfn.XLOOKUP(Y114,'RET TECH'!M:M,'RET TECH'!L:L))</f>
        <v>RESHOUUMOldSHEUE</v>
      </c>
      <c r="AB114">
        <f>IF(Y114="","",'City characteristics'!$C$20+1)</f>
        <v>2020</v>
      </c>
      <c r="AC114" s="12">
        <f>IF(Y114="","",_xlfn.XLOOKUP(Y114,'RET TECH'!M:M,'RET TECH'!T:T))</f>
        <v>30</v>
      </c>
      <c r="AD114" s="12">
        <f>IF(Y114="","",_xlfn.XLOOKUP(Y114,'RET TECH'!M:M,'RET TECH'!S:S))</f>
        <v>1</v>
      </c>
      <c r="AE114">
        <f>IF(Y114="","",_xlfn.XLOOKUP(Y114,'RET TECH'!M:M,'RET TECH'!V:V))</f>
        <v>31.536000000000001</v>
      </c>
      <c r="AF114" s="12">
        <f>IF(Y114="","",_xlfn.XLOOKUP(Y114,'RET TECH'!M:M,'RET TECH'!U:U))</f>
        <v>9.1249964693936397E-2</v>
      </c>
      <c r="AG114" s="12">
        <f>IF(Y114="","",_xlfn.XLOOKUP(Y114,'RET TECH'!M:M,'RET TECH'!R:R))</f>
        <v>27789.94922566539</v>
      </c>
    </row>
    <row r="115" spans="25:33" x14ac:dyDescent="0.25">
      <c r="Y115" t="str">
        <f>IF('RET TECH'!N110=1,'RET TECH'!M110,"*")</f>
        <v>RESHOUUMOldSHENVIECC4020</v>
      </c>
      <c r="Z115" t="str">
        <f>IF(Y115="","",_xlfn.XLOOKUP(Y115,'RET TECH'!M:M,'RET TECH'!K:K))</f>
        <v>RESHOUUMOldSHRET</v>
      </c>
      <c r="AA115" t="str">
        <f>IF(Y115="","",_xlfn.XLOOKUP(Y115,'RET TECH'!M:M,'RET TECH'!L:L))</f>
        <v>RESHOUUMOldSHEUE</v>
      </c>
      <c r="AB115">
        <f>IF(Y115="","",'City characteristics'!$C$20+1)</f>
        <v>2020</v>
      </c>
      <c r="AC115" s="12">
        <f>IF(Y115="","",_xlfn.XLOOKUP(Y115,'RET TECH'!M:M,'RET TECH'!T:T))</f>
        <v>30</v>
      </c>
      <c r="AD115" s="12">
        <f>IF(Y115="","",_xlfn.XLOOKUP(Y115,'RET TECH'!M:M,'RET TECH'!S:S))</f>
        <v>1</v>
      </c>
      <c r="AE115">
        <f>IF(Y115="","",_xlfn.XLOOKUP(Y115,'RET TECH'!M:M,'RET TECH'!V:V))</f>
        <v>31.536000000000001</v>
      </c>
      <c r="AF115" s="12">
        <f>IF(Y115="","",_xlfn.XLOOKUP(Y115,'RET TECH'!M:M,'RET TECH'!U:U))</f>
        <v>9.1249964693936397E-2</v>
      </c>
      <c r="AG115" s="12">
        <f>IF(Y115="","",_xlfn.XLOOKUP(Y115,'RET TECH'!M:M,'RET TECH'!R:R))</f>
        <v>26439.237989589768</v>
      </c>
    </row>
    <row r="116" spans="25:33" x14ac:dyDescent="0.25">
      <c r="Y116" t="str">
        <f>IF('RET TECH'!N111=1,'RET TECH'!M111,"*")</f>
        <v>RESHOUUMOldSHENVIECC20</v>
      </c>
      <c r="Z116" t="str">
        <f>IF(Y116="","",_xlfn.XLOOKUP(Y116,'RET TECH'!M:M,'RET TECH'!K:K))</f>
        <v>RESHOUUMOldSHRET</v>
      </c>
      <c r="AA116" t="str">
        <f>IF(Y116="","",_xlfn.XLOOKUP(Y116,'RET TECH'!M:M,'RET TECH'!L:L))</f>
        <v>RESHOUUMOldSHEUE</v>
      </c>
      <c r="AB116">
        <f>IF(Y116="","",'City characteristics'!$C$20+1)</f>
        <v>2020</v>
      </c>
      <c r="AC116" s="12">
        <f>IF(Y116="","",_xlfn.XLOOKUP(Y116,'RET TECH'!M:M,'RET TECH'!T:T))</f>
        <v>30</v>
      </c>
      <c r="AD116" s="12">
        <f>IF(Y116="","",_xlfn.XLOOKUP(Y116,'RET TECH'!M:M,'RET TECH'!S:S))</f>
        <v>1</v>
      </c>
      <c r="AE116">
        <f>IF(Y116="","",_xlfn.XLOOKUP(Y116,'RET TECH'!M:M,'RET TECH'!V:V))</f>
        <v>31.536000000000001</v>
      </c>
      <c r="AF116" s="12">
        <f>IF(Y116="","",_xlfn.XLOOKUP(Y116,'RET TECH'!M:M,'RET TECH'!U:U))</f>
        <v>9.1249964693936397E-2</v>
      </c>
      <c r="AG116" s="12">
        <f>IF(Y116="","",_xlfn.XLOOKUP(Y116,'RET TECH'!M:M,'RET TECH'!R:R))</f>
        <v>35554.702754027989</v>
      </c>
    </row>
    <row r="117" spans="25:33" x14ac:dyDescent="0.25">
      <c r="Y117" t="str">
        <f>IF('RET TECH'!N112=1,'RET TECH'!M112,"*")</f>
        <v>RESHOUUMOldSCENVESTAR20</v>
      </c>
      <c r="Z117" t="str">
        <f>IF(Y117="","",_xlfn.XLOOKUP(Y117,'RET TECH'!M:M,'RET TECH'!K:K))</f>
        <v>RESHOUUMOldSCRET</v>
      </c>
      <c r="AA117" t="str">
        <f>IF(Y117="","",_xlfn.XLOOKUP(Y117,'RET TECH'!M:M,'RET TECH'!L:L))</f>
        <v>RESHOUUMOldSCEUE</v>
      </c>
      <c r="AB117">
        <f>IF(Y117="","",'City characteristics'!$C$20+1)</f>
        <v>2020</v>
      </c>
      <c r="AC117" s="12">
        <f>IF(Y117="","",_xlfn.XLOOKUP(Y117,'RET TECH'!M:M,'RET TECH'!T:T))</f>
        <v>30</v>
      </c>
      <c r="AD117" s="12">
        <f>IF(Y117="","",_xlfn.XLOOKUP(Y117,'RET TECH'!M:M,'RET TECH'!S:S))</f>
        <v>1</v>
      </c>
      <c r="AE117">
        <f>IF(Y117="","",_xlfn.XLOOKUP(Y117,'RET TECH'!M:M,'RET TECH'!V:V))</f>
        <v>31.536000000000001</v>
      </c>
      <c r="AF117" s="12">
        <f>IF(Y117="","",_xlfn.XLOOKUP(Y117,'RET TECH'!M:M,'RET TECH'!U:U))</f>
        <v>5.8273038403982118E-2</v>
      </c>
      <c r="AG117" s="12">
        <f>IF(Y117="","",_xlfn.XLOOKUP(Y117,'RET TECH'!M:M,'RET TECH'!R:R))</f>
        <v>259045.7062842203</v>
      </c>
    </row>
    <row r="118" spans="25:33" x14ac:dyDescent="0.25">
      <c r="Y118" t="str">
        <f>IF('RET TECH'!N113=1,'RET TECH'!M113,"*")</f>
        <v>RESHOUUMOldSCENVPATH20</v>
      </c>
      <c r="Z118" t="str">
        <f>IF(Y118="","",_xlfn.XLOOKUP(Y118,'RET TECH'!M:M,'RET TECH'!K:K))</f>
        <v>RESHOUUMOldSCRET</v>
      </c>
      <c r="AA118" t="str">
        <f>IF(Y118="","",_xlfn.XLOOKUP(Y118,'RET TECH'!M:M,'RET TECH'!L:L))</f>
        <v>RESHOUUMOldSCEUE</v>
      </c>
      <c r="AB118">
        <f>IF(Y118="","",'City characteristics'!$C$20+1)</f>
        <v>2020</v>
      </c>
      <c r="AC118" s="12">
        <f>IF(Y118="","",_xlfn.XLOOKUP(Y118,'RET TECH'!M:M,'RET TECH'!T:T))</f>
        <v>30</v>
      </c>
      <c r="AD118" s="12">
        <f>IF(Y118="","",_xlfn.XLOOKUP(Y118,'RET TECH'!M:M,'RET TECH'!S:S))</f>
        <v>1</v>
      </c>
      <c r="AE118">
        <f>IF(Y118="","",_xlfn.XLOOKUP(Y118,'RET TECH'!M:M,'RET TECH'!V:V))</f>
        <v>31.536000000000001</v>
      </c>
      <c r="AF118" s="12">
        <f>IF(Y118="","",_xlfn.XLOOKUP(Y118,'RET TECH'!M:M,'RET TECH'!U:U))</f>
        <v>5.8273038403982118E-2</v>
      </c>
      <c r="AG118" s="12">
        <f>IF(Y118="","",_xlfn.XLOOKUP(Y118,'RET TECH'!M:M,'RET TECH'!R:R))</f>
        <v>352000.37741206319</v>
      </c>
    </row>
    <row r="119" spans="25:33" x14ac:dyDescent="0.25">
      <c r="Y119" t="str">
        <f>IF('RET TECH'!N114=1,'RET TECH'!M114,"*")</f>
        <v>RESHOUUMOldSCENVIECC4020</v>
      </c>
      <c r="Z119" t="str">
        <f>IF(Y119="","",_xlfn.XLOOKUP(Y119,'RET TECH'!M:M,'RET TECH'!K:K))</f>
        <v>RESHOUUMOldSCRET</v>
      </c>
      <c r="AA119" t="str">
        <f>IF(Y119="","",_xlfn.XLOOKUP(Y119,'RET TECH'!M:M,'RET TECH'!L:L))</f>
        <v>RESHOUUMOldSCEUE</v>
      </c>
      <c r="AB119">
        <f>IF(Y119="","",'City characteristics'!$C$20+1)</f>
        <v>2020</v>
      </c>
      <c r="AC119" s="12">
        <f>IF(Y119="","",_xlfn.XLOOKUP(Y119,'RET TECH'!M:M,'RET TECH'!T:T))</f>
        <v>30</v>
      </c>
      <c r="AD119" s="12">
        <f>IF(Y119="","",_xlfn.XLOOKUP(Y119,'RET TECH'!M:M,'RET TECH'!S:S))</f>
        <v>1</v>
      </c>
      <c r="AE119">
        <f>IF(Y119="","",_xlfn.XLOOKUP(Y119,'RET TECH'!M:M,'RET TECH'!V:V))</f>
        <v>31.536000000000001</v>
      </c>
      <c r="AF119" s="12">
        <f>IF(Y119="","",_xlfn.XLOOKUP(Y119,'RET TECH'!M:M,'RET TECH'!U:U))</f>
        <v>5.8273038403982118E-2</v>
      </c>
      <c r="AG119" s="12">
        <f>IF(Y119="","",_xlfn.XLOOKUP(Y119,'RET TECH'!M:M,'RET TECH'!R:R))</f>
        <v>318546.80608642788</v>
      </c>
    </row>
    <row r="120" spans="25:33" x14ac:dyDescent="0.25">
      <c r="Y120" t="str">
        <f>IF('RET TECH'!N115=1,'RET TECH'!M115,"*")</f>
        <v>RESHOUUMOldSCENVIECC20</v>
      </c>
      <c r="Z120" t="str">
        <f>IF(Y120="","",_xlfn.XLOOKUP(Y120,'RET TECH'!M:M,'RET TECH'!K:K))</f>
        <v>RESHOUUMOldSCRET</v>
      </c>
      <c r="AA120" t="str">
        <f>IF(Y120="","",_xlfn.XLOOKUP(Y120,'RET TECH'!M:M,'RET TECH'!L:L))</f>
        <v>RESHOUUMOldSCEUE</v>
      </c>
      <c r="AB120">
        <f>IF(Y120="","",'City characteristics'!$C$20+1)</f>
        <v>2020</v>
      </c>
      <c r="AC120" s="12">
        <f>IF(Y120="","",_xlfn.XLOOKUP(Y120,'RET TECH'!M:M,'RET TECH'!T:T))</f>
        <v>30</v>
      </c>
      <c r="AD120" s="12">
        <f>IF(Y120="","",_xlfn.XLOOKUP(Y120,'RET TECH'!M:M,'RET TECH'!S:S))</f>
        <v>1</v>
      </c>
      <c r="AE120">
        <f>IF(Y120="","",_xlfn.XLOOKUP(Y120,'RET TECH'!M:M,'RET TECH'!V:V))</f>
        <v>31.536000000000001</v>
      </c>
      <c r="AF120" s="12">
        <f>IF(Y120="","",_xlfn.XLOOKUP(Y120,'RET TECH'!M:M,'RET TECH'!U:U))</f>
        <v>5.8273038403982118E-2</v>
      </c>
      <c r="AG120" s="12">
        <f>IF(Y120="","",_xlfn.XLOOKUP(Y120,'RET TECH'!M:M,'RET TECH'!R:R))</f>
        <v>303566.385814832</v>
      </c>
    </row>
    <row r="121" spans="25:33" x14ac:dyDescent="0.25">
      <c r="Y121" t="str">
        <f>IF('RET TECH'!N116=1,'RET TECH'!M116,"*")</f>
        <v>RESAPAHIOldSHENVESTAR20</v>
      </c>
      <c r="Z121" t="str">
        <f>IF(Y121="","",_xlfn.XLOOKUP(Y121,'RET TECH'!M:M,'RET TECH'!K:K))</f>
        <v>RESAPAHIOldSHRET</v>
      </c>
      <c r="AA121" t="str">
        <f>IF(Y121="","",_xlfn.XLOOKUP(Y121,'RET TECH'!M:M,'RET TECH'!L:L))</f>
        <v>RESAPAHIOldSHEUE</v>
      </c>
      <c r="AB121">
        <f>IF(Y121="","",'City characteristics'!$C$20+1)</f>
        <v>2020</v>
      </c>
      <c r="AC121" s="12">
        <f>IF(Y121="","",_xlfn.XLOOKUP(Y121,'RET TECH'!M:M,'RET TECH'!T:T))</f>
        <v>30</v>
      </c>
      <c r="AD121" s="12">
        <f>IF(Y121="","",_xlfn.XLOOKUP(Y121,'RET TECH'!M:M,'RET TECH'!S:S))</f>
        <v>1</v>
      </c>
      <c r="AE121">
        <f>IF(Y121="","",_xlfn.XLOOKUP(Y121,'RET TECH'!M:M,'RET TECH'!V:V))</f>
        <v>31.536000000000001</v>
      </c>
      <c r="AF121" s="12">
        <f>IF(Y121="","",_xlfn.XLOOKUP(Y121,'RET TECH'!M:M,'RET TECH'!U:U))</f>
        <v>0.10652957206919771</v>
      </c>
      <c r="AG121" s="12">
        <f>IF(Y121="","",_xlfn.XLOOKUP(Y121,'RET TECH'!M:M,'RET TECH'!R:R))</f>
        <v>56958.492163292009</v>
      </c>
    </row>
    <row r="122" spans="25:33" x14ac:dyDescent="0.25">
      <c r="Y122" t="str">
        <f>IF('RET TECH'!N117=1,'RET TECH'!M117,"*")</f>
        <v>RESAPAHIOldSHENVPATH20</v>
      </c>
      <c r="Z122" t="str">
        <f>IF(Y122="","",_xlfn.XLOOKUP(Y122,'RET TECH'!M:M,'RET TECH'!K:K))</f>
        <v>RESAPAHIOldSHRET</v>
      </c>
      <c r="AA122" t="str">
        <f>IF(Y122="","",_xlfn.XLOOKUP(Y122,'RET TECH'!M:M,'RET TECH'!L:L))</f>
        <v>RESAPAHIOldSHEUE</v>
      </c>
      <c r="AB122">
        <f>IF(Y122="","",'City characteristics'!$C$20+1)</f>
        <v>2020</v>
      </c>
      <c r="AC122" s="12">
        <f>IF(Y122="","",_xlfn.XLOOKUP(Y122,'RET TECH'!M:M,'RET TECH'!T:T))</f>
        <v>30</v>
      </c>
      <c r="AD122" s="12">
        <f>IF(Y122="","",_xlfn.XLOOKUP(Y122,'RET TECH'!M:M,'RET TECH'!S:S))</f>
        <v>1</v>
      </c>
      <c r="AE122">
        <f>IF(Y122="","",_xlfn.XLOOKUP(Y122,'RET TECH'!M:M,'RET TECH'!V:V))</f>
        <v>31.536000000000001</v>
      </c>
      <c r="AF122" s="12">
        <f>IF(Y122="","",_xlfn.XLOOKUP(Y122,'RET TECH'!M:M,'RET TECH'!U:U))</f>
        <v>0.10652957206919771</v>
      </c>
      <c r="AG122" s="12">
        <f>IF(Y122="","",_xlfn.XLOOKUP(Y122,'RET TECH'!M:M,'RET TECH'!R:R))</f>
        <v>26344.666454274149</v>
      </c>
    </row>
    <row r="123" spans="25:33" x14ac:dyDescent="0.25">
      <c r="Y123" t="str">
        <f>IF('RET TECH'!N118=1,'RET TECH'!M118,"*")</f>
        <v>RESAPAHIOldSHENVIECC4020</v>
      </c>
      <c r="Z123" t="str">
        <f>IF(Y123="","",_xlfn.XLOOKUP(Y123,'RET TECH'!M:M,'RET TECH'!K:K))</f>
        <v>RESAPAHIOldSHRET</v>
      </c>
      <c r="AA123" t="str">
        <f>IF(Y123="","",_xlfn.XLOOKUP(Y123,'RET TECH'!M:M,'RET TECH'!L:L))</f>
        <v>RESAPAHIOldSHEUE</v>
      </c>
      <c r="AB123">
        <f>IF(Y123="","",'City characteristics'!$C$20+1)</f>
        <v>2020</v>
      </c>
      <c r="AC123" s="12">
        <f>IF(Y123="","",_xlfn.XLOOKUP(Y123,'RET TECH'!M:M,'RET TECH'!T:T))</f>
        <v>30</v>
      </c>
      <c r="AD123" s="12">
        <f>IF(Y123="","",_xlfn.XLOOKUP(Y123,'RET TECH'!M:M,'RET TECH'!S:S))</f>
        <v>1</v>
      </c>
      <c r="AE123">
        <f>IF(Y123="","",_xlfn.XLOOKUP(Y123,'RET TECH'!M:M,'RET TECH'!V:V))</f>
        <v>31.536000000000001</v>
      </c>
      <c r="AF123" s="12">
        <f>IF(Y123="","",_xlfn.XLOOKUP(Y123,'RET TECH'!M:M,'RET TECH'!U:U))</f>
        <v>0.10652957206919771</v>
      </c>
      <c r="AG123" s="12">
        <f>IF(Y123="","",_xlfn.XLOOKUP(Y123,'RET TECH'!M:M,'RET TECH'!R:R))</f>
        <v>53663.477538574902</v>
      </c>
    </row>
    <row r="124" spans="25:33" x14ac:dyDescent="0.25">
      <c r="Y124" t="str">
        <f>IF('RET TECH'!N119=1,'RET TECH'!M119,"*")</f>
        <v>RESAPAHIOldSHENVIECC20</v>
      </c>
      <c r="Z124" t="str">
        <f>IF(Y124="","",_xlfn.XLOOKUP(Y124,'RET TECH'!M:M,'RET TECH'!K:K))</f>
        <v>RESAPAHIOldSHRET</v>
      </c>
      <c r="AA124" t="str">
        <f>IF(Y124="","",_xlfn.XLOOKUP(Y124,'RET TECH'!M:M,'RET TECH'!L:L))</f>
        <v>RESAPAHIOldSHEUE</v>
      </c>
      <c r="AB124">
        <f>IF(Y124="","",'City characteristics'!$C$20+1)</f>
        <v>2020</v>
      </c>
      <c r="AC124" s="12">
        <f>IF(Y124="","",_xlfn.XLOOKUP(Y124,'RET TECH'!M:M,'RET TECH'!T:T))</f>
        <v>30</v>
      </c>
      <c r="AD124" s="12">
        <f>IF(Y124="","",_xlfn.XLOOKUP(Y124,'RET TECH'!M:M,'RET TECH'!S:S))</f>
        <v>1</v>
      </c>
      <c r="AE124">
        <f>IF(Y124="","",_xlfn.XLOOKUP(Y124,'RET TECH'!M:M,'RET TECH'!V:V))</f>
        <v>31.536000000000001</v>
      </c>
      <c r="AF124" s="12">
        <f>IF(Y124="","",_xlfn.XLOOKUP(Y124,'RET TECH'!M:M,'RET TECH'!U:U))</f>
        <v>0.10652957206919771</v>
      </c>
      <c r="AG124" s="12">
        <f>IF(Y124="","",_xlfn.XLOOKUP(Y124,'RET TECH'!M:M,'RET TECH'!R:R))</f>
        <v>56351.815421610387</v>
      </c>
    </row>
    <row r="125" spans="25:33" x14ac:dyDescent="0.25">
      <c r="Y125" t="str">
        <f>IF('RET TECH'!N120=1,'RET TECH'!M120,"*")</f>
        <v>*</v>
      </c>
      <c r="Z125">
        <f>IF(Y125="","",_xlfn.XLOOKUP(Y125,'RET TECH'!M:M,'RET TECH'!K:K))</f>
        <v>0</v>
      </c>
      <c r="AA125">
        <f>IF(Y125="","",_xlfn.XLOOKUP(Y125,'RET TECH'!M:M,'RET TECH'!L:L))</f>
        <v>0</v>
      </c>
      <c r="AB125">
        <f>IF(Y125="","",'City characteristics'!$C$20+1)</f>
        <v>2020</v>
      </c>
      <c r="AC125" s="12">
        <f>IF(Y125="","",_xlfn.XLOOKUP(Y125,'RET TECH'!M:M,'RET TECH'!T:T))</f>
        <v>0</v>
      </c>
      <c r="AD125" s="12">
        <f>IF(Y125="","",_xlfn.XLOOKUP(Y125,'RET TECH'!M:M,'RET TECH'!S:S))</f>
        <v>0</v>
      </c>
      <c r="AE125">
        <f>IF(Y125="","",_xlfn.XLOOKUP(Y125,'RET TECH'!M:M,'RET TECH'!V:V))</f>
        <v>0</v>
      </c>
      <c r="AF125" s="12">
        <f>IF(Y125="","",_xlfn.XLOOKUP(Y125,'RET TECH'!M:M,'RET TECH'!U:U))</f>
        <v>0</v>
      </c>
      <c r="AG125" s="12">
        <f>IF(Y125="","",_xlfn.XLOOKUP(Y125,'RET TECH'!M:M,'RET TECH'!R:R))</f>
        <v>0</v>
      </c>
    </row>
    <row r="126" spans="25:33" x14ac:dyDescent="0.25">
      <c r="Y126" t="str">
        <f>IF('RET TECH'!N121=1,'RET TECH'!M121,"*")</f>
        <v>*</v>
      </c>
      <c r="Z126">
        <f>IF(Y126="","",_xlfn.XLOOKUP(Y126,'RET TECH'!M:M,'RET TECH'!K:K))</f>
        <v>0</v>
      </c>
      <c r="AA126">
        <f>IF(Y126="","",_xlfn.XLOOKUP(Y126,'RET TECH'!M:M,'RET TECH'!L:L))</f>
        <v>0</v>
      </c>
      <c r="AB126">
        <f>IF(Y126="","",'City characteristics'!$C$20+1)</f>
        <v>2020</v>
      </c>
      <c r="AC126" s="12">
        <f>IF(Y126="","",_xlfn.XLOOKUP(Y126,'RET TECH'!M:M,'RET TECH'!T:T))</f>
        <v>0</v>
      </c>
      <c r="AD126" s="12">
        <f>IF(Y126="","",_xlfn.XLOOKUP(Y126,'RET TECH'!M:M,'RET TECH'!S:S))</f>
        <v>0</v>
      </c>
      <c r="AE126">
        <f>IF(Y126="","",_xlfn.XLOOKUP(Y126,'RET TECH'!M:M,'RET TECH'!V:V))</f>
        <v>0</v>
      </c>
      <c r="AF126" s="12">
        <f>IF(Y126="","",_xlfn.XLOOKUP(Y126,'RET TECH'!M:M,'RET TECH'!U:U))</f>
        <v>0</v>
      </c>
      <c r="AG126" s="12">
        <f>IF(Y126="","",_xlfn.XLOOKUP(Y126,'RET TECH'!M:M,'RET TECH'!R:R))</f>
        <v>0</v>
      </c>
    </row>
    <row r="127" spans="25:33" x14ac:dyDescent="0.25">
      <c r="Y127" t="str">
        <f>IF('RET TECH'!N122=1,'RET TECH'!M122,"*")</f>
        <v>*</v>
      </c>
      <c r="Z127">
        <f>IF(Y127="","",_xlfn.XLOOKUP(Y127,'RET TECH'!M:M,'RET TECH'!K:K))</f>
        <v>0</v>
      </c>
      <c r="AA127">
        <f>IF(Y127="","",_xlfn.XLOOKUP(Y127,'RET TECH'!M:M,'RET TECH'!L:L))</f>
        <v>0</v>
      </c>
      <c r="AB127">
        <f>IF(Y127="","",'City characteristics'!$C$20+1)</f>
        <v>2020</v>
      </c>
      <c r="AC127" s="12">
        <f>IF(Y127="","",_xlfn.XLOOKUP(Y127,'RET TECH'!M:M,'RET TECH'!T:T))</f>
        <v>0</v>
      </c>
      <c r="AD127" s="12">
        <f>IF(Y127="","",_xlfn.XLOOKUP(Y127,'RET TECH'!M:M,'RET TECH'!S:S))</f>
        <v>0</v>
      </c>
      <c r="AE127">
        <f>IF(Y127="","",_xlfn.XLOOKUP(Y127,'RET TECH'!M:M,'RET TECH'!V:V))</f>
        <v>0</v>
      </c>
      <c r="AF127" s="12">
        <f>IF(Y127="","",_xlfn.XLOOKUP(Y127,'RET TECH'!M:M,'RET TECH'!U:U))</f>
        <v>0</v>
      </c>
      <c r="AG127" s="12">
        <f>IF(Y127="","",_xlfn.XLOOKUP(Y127,'RET TECH'!M:M,'RET TECH'!R:R))</f>
        <v>0</v>
      </c>
    </row>
    <row r="128" spans="25:33" x14ac:dyDescent="0.25">
      <c r="Y128" t="str">
        <f>IF('RET TECH'!N123=1,'RET TECH'!M123,"*")</f>
        <v>*</v>
      </c>
      <c r="Z128">
        <f>IF(Y128="","",_xlfn.XLOOKUP(Y128,'RET TECH'!M:M,'RET TECH'!K:K))</f>
        <v>0</v>
      </c>
      <c r="AA128">
        <f>IF(Y128="","",_xlfn.XLOOKUP(Y128,'RET TECH'!M:M,'RET TECH'!L:L))</f>
        <v>0</v>
      </c>
      <c r="AB128">
        <f>IF(Y128="","",'City characteristics'!$C$20+1)</f>
        <v>2020</v>
      </c>
      <c r="AC128" s="12">
        <f>IF(Y128="","",_xlfn.XLOOKUP(Y128,'RET TECH'!M:M,'RET TECH'!T:T))</f>
        <v>0</v>
      </c>
      <c r="AD128" s="12">
        <f>IF(Y128="","",_xlfn.XLOOKUP(Y128,'RET TECH'!M:M,'RET TECH'!S:S))</f>
        <v>0</v>
      </c>
      <c r="AE128">
        <f>IF(Y128="","",_xlfn.XLOOKUP(Y128,'RET TECH'!M:M,'RET TECH'!V:V))</f>
        <v>0</v>
      </c>
      <c r="AF128" s="12">
        <f>IF(Y128="","",_xlfn.XLOOKUP(Y128,'RET TECH'!M:M,'RET TECH'!U:U))</f>
        <v>0</v>
      </c>
      <c r="AG128" s="12">
        <f>IF(Y128="","",_xlfn.XLOOKUP(Y128,'RET TECH'!M:M,'RET TECH'!R:R))</f>
        <v>0</v>
      </c>
    </row>
    <row r="129" spans="25:33" x14ac:dyDescent="0.25">
      <c r="Y129" t="str">
        <f>IF('RET TECH'!N124=1,'RET TECH'!M124,"*")</f>
        <v>RESHOUHIOldSHENVESTAR20</v>
      </c>
      <c r="Z129" t="str">
        <f>IF(Y129="","",_xlfn.XLOOKUP(Y129,'RET TECH'!M:M,'RET TECH'!K:K))</f>
        <v>RESHOUHIOldSHRET</v>
      </c>
      <c r="AA129" t="str">
        <f>IF(Y129="","",_xlfn.XLOOKUP(Y129,'RET TECH'!M:M,'RET TECH'!L:L))</f>
        <v>RESHOUHIOldSHEUE</v>
      </c>
      <c r="AB129">
        <f>IF(Y129="","",'City characteristics'!$C$20+1)</f>
        <v>2020</v>
      </c>
      <c r="AC129" s="12">
        <f>IF(Y129="","",_xlfn.XLOOKUP(Y129,'RET TECH'!M:M,'RET TECH'!T:T))</f>
        <v>30</v>
      </c>
      <c r="AD129" s="12">
        <f>IF(Y129="","",_xlfn.XLOOKUP(Y129,'RET TECH'!M:M,'RET TECH'!S:S))</f>
        <v>1</v>
      </c>
      <c r="AE129">
        <f>IF(Y129="","",_xlfn.XLOOKUP(Y129,'RET TECH'!M:M,'RET TECH'!V:V))</f>
        <v>31.536000000000001</v>
      </c>
      <c r="AF129" s="12">
        <f>IF(Y129="","",_xlfn.XLOOKUP(Y129,'RET TECH'!M:M,'RET TECH'!U:U))</f>
        <v>7.9105094690167521E-2</v>
      </c>
      <c r="AG129" s="12">
        <f>IF(Y129="","",_xlfn.XLOOKUP(Y129,'RET TECH'!M:M,'RET TECH'!R:R))</f>
        <v>31653.396273427079</v>
      </c>
    </row>
    <row r="130" spans="25:33" x14ac:dyDescent="0.25">
      <c r="Y130" t="str">
        <f>IF('RET TECH'!N125=1,'RET TECH'!M125,"*")</f>
        <v>RESHOUHIOldSHENVPATH20</v>
      </c>
      <c r="Z130" t="str">
        <f>IF(Y130="","",_xlfn.XLOOKUP(Y130,'RET TECH'!M:M,'RET TECH'!K:K))</f>
        <v>RESHOUHIOldSHRET</v>
      </c>
      <c r="AA130" t="str">
        <f>IF(Y130="","",_xlfn.XLOOKUP(Y130,'RET TECH'!M:M,'RET TECH'!L:L))</f>
        <v>RESHOUHIOldSHEUE</v>
      </c>
      <c r="AB130">
        <f>IF(Y130="","",'City characteristics'!$C$20+1)</f>
        <v>2020</v>
      </c>
      <c r="AC130" s="12">
        <f>IF(Y130="","",_xlfn.XLOOKUP(Y130,'RET TECH'!M:M,'RET TECH'!T:T))</f>
        <v>30</v>
      </c>
      <c r="AD130" s="12">
        <f>IF(Y130="","",_xlfn.XLOOKUP(Y130,'RET TECH'!M:M,'RET TECH'!S:S))</f>
        <v>1</v>
      </c>
      <c r="AE130">
        <f>IF(Y130="","",_xlfn.XLOOKUP(Y130,'RET TECH'!M:M,'RET TECH'!V:V))</f>
        <v>31.536000000000001</v>
      </c>
      <c r="AF130" s="12">
        <f>IF(Y130="","",_xlfn.XLOOKUP(Y130,'RET TECH'!M:M,'RET TECH'!U:U))</f>
        <v>7.9105094690167521E-2</v>
      </c>
      <c r="AG130" s="12">
        <f>IF(Y130="","",_xlfn.XLOOKUP(Y130,'RET TECH'!M:M,'RET TECH'!R:R))</f>
        <v>31699.464877009708</v>
      </c>
    </row>
    <row r="131" spans="25:33" x14ac:dyDescent="0.25">
      <c r="Y131" t="str">
        <f>IF('RET TECH'!N126=1,'RET TECH'!M126,"*")</f>
        <v>RESHOUHIOldSHENVIECC4020</v>
      </c>
      <c r="Z131" t="str">
        <f>IF(Y131="","",_xlfn.XLOOKUP(Y131,'RET TECH'!M:M,'RET TECH'!K:K))</f>
        <v>RESHOUHIOldSHRET</v>
      </c>
      <c r="AA131" t="str">
        <f>IF(Y131="","",_xlfn.XLOOKUP(Y131,'RET TECH'!M:M,'RET TECH'!L:L))</f>
        <v>RESHOUHIOldSHEUE</v>
      </c>
      <c r="AB131">
        <f>IF(Y131="","",'City characteristics'!$C$20+1)</f>
        <v>2020</v>
      </c>
      <c r="AC131" s="12">
        <f>IF(Y131="","",_xlfn.XLOOKUP(Y131,'RET TECH'!M:M,'RET TECH'!T:T))</f>
        <v>30</v>
      </c>
      <c r="AD131" s="12">
        <f>IF(Y131="","",_xlfn.XLOOKUP(Y131,'RET TECH'!M:M,'RET TECH'!S:S))</f>
        <v>1</v>
      </c>
      <c r="AE131">
        <f>IF(Y131="","",_xlfn.XLOOKUP(Y131,'RET TECH'!M:M,'RET TECH'!V:V))</f>
        <v>31.536000000000001</v>
      </c>
      <c r="AF131" s="12">
        <f>IF(Y131="","",_xlfn.XLOOKUP(Y131,'RET TECH'!M:M,'RET TECH'!U:U))</f>
        <v>7.9105094690167521E-2</v>
      </c>
      <c r="AG131" s="12">
        <f>IF(Y131="","",_xlfn.XLOOKUP(Y131,'RET TECH'!M:M,'RET TECH'!R:R))</f>
        <v>30158.73434025083</v>
      </c>
    </row>
    <row r="132" spans="25:33" x14ac:dyDescent="0.25">
      <c r="Y132" t="str">
        <f>IF('RET TECH'!N127=1,'RET TECH'!M127,"*")</f>
        <v>RESHOUHIOldSHENVIECC20</v>
      </c>
      <c r="Z132" t="str">
        <f>IF(Y132="","",_xlfn.XLOOKUP(Y132,'RET TECH'!M:M,'RET TECH'!K:K))</f>
        <v>RESHOUHIOldSHRET</v>
      </c>
      <c r="AA132" t="str">
        <f>IF(Y132="","",_xlfn.XLOOKUP(Y132,'RET TECH'!M:M,'RET TECH'!L:L))</f>
        <v>RESHOUHIOldSHEUE</v>
      </c>
      <c r="AB132">
        <f>IF(Y132="","",'City characteristics'!$C$20+1)</f>
        <v>2020</v>
      </c>
      <c r="AC132" s="12">
        <f>IF(Y132="","",_xlfn.XLOOKUP(Y132,'RET TECH'!M:M,'RET TECH'!T:T))</f>
        <v>30</v>
      </c>
      <c r="AD132" s="12">
        <f>IF(Y132="","",_xlfn.XLOOKUP(Y132,'RET TECH'!M:M,'RET TECH'!S:S))</f>
        <v>1</v>
      </c>
      <c r="AE132">
        <f>IF(Y132="","",_xlfn.XLOOKUP(Y132,'RET TECH'!M:M,'RET TECH'!V:V))</f>
        <v>31.536000000000001</v>
      </c>
      <c r="AF132" s="12">
        <f>IF(Y132="","",_xlfn.XLOOKUP(Y132,'RET TECH'!M:M,'RET TECH'!U:U))</f>
        <v>7.9105094690167521E-2</v>
      </c>
      <c r="AG132" s="12">
        <f>IF(Y132="","",_xlfn.XLOOKUP(Y132,'RET TECH'!M:M,'RET TECH'!R:R))</f>
        <v>40556.571083006173</v>
      </c>
    </row>
    <row r="133" spans="25:33" x14ac:dyDescent="0.25">
      <c r="Y133" t="str">
        <f>IF('RET TECH'!N128=1,'RET TECH'!M128,"*")</f>
        <v>RESHOUHIOldSCENVESTAR20</v>
      </c>
      <c r="Z133" t="str">
        <f>IF(Y133="","",_xlfn.XLOOKUP(Y133,'RET TECH'!M:M,'RET TECH'!K:K))</f>
        <v>RESHOUHIOldSCRET</v>
      </c>
      <c r="AA133" t="str">
        <f>IF(Y133="","",_xlfn.XLOOKUP(Y133,'RET TECH'!M:M,'RET TECH'!L:L))</f>
        <v>RESHOUHIOldSCEUE</v>
      </c>
      <c r="AB133">
        <f>IF(Y133="","",'City characteristics'!$C$20+1)</f>
        <v>2020</v>
      </c>
      <c r="AC133" s="12">
        <f>IF(Y133="","",_xlfn.XLOOKUP(Y133,'RET TECH'!M:M,'RET TECH'!T:T))</f>
        <v>30</v>
      </c>
      <c r="AD133" s="12">
        <f>IF(Y133="","",_xlfn.XLOOKUP(Y133,'RET TECH'!M:M,'RET TECH'!S:S))</f>
        <v>1</v>
      </c>
      <c r="AE133">
        <f>IF(Y133="","",_xlfn.XLOOKUP(Y133,'RET TECH'!M:M,'RET TECH'!V:V))</f>
        <v>31.536000000000001</v>
      </c>
      <c r="AF133" s="12">
        <f>IF(Y133="","",_xlfn.XLOOKUP(Y133,'RET TECH'!M:M,'RET TECH'!U:U))</f>
        <v>7.2863694504238907E-2</v>
      </c>
      <c r="AG133" s="12">
        <f>IF(Y133="","",_xlfn.XLOOKUP(Y133,'RET TECH'!M:M,'RET TECH'!R:R))</f>
        <v>244943.3314788616</v>
      </c>
    </row>
    <row r="134" spans="25:33" x14ac:dyDescent="0.25">
      <c r="Y134" t="str">
        <f>IF('RET TECH'!N129=1,'RET TECH'!M129,"*")</f>
        <v>RESHOUHIOldSCENVPATH20</v>
      </c>
      <c r="Z134" t="str">
        <f>IF(Y134="","",_xlfn.XLOOKUP(Y134,'RET TECH'!M:M,'RET TECH'!K:K))</f>
        <v>RESHOUHIOldSCRET</v>
      </c>
      <c r="AA134" t="str">
        <f>IF(Y134="","",_xlfn.XLOOKUP(Y134,'RET TECH'!M:M,'RET TECH'!L:L))</f>
        <v>RESHOUHIOldSCEUE</v>
      </c>
      <c r="AB134">
        <f>IF(Y134="","",'City characteristics'!$C$20+1)</f>
        <v>2020</v>
      </c>
      <c r="AC134" s="12">
        <f>IF(Y134="","",_xlfn.XLOOKUP(Y134,'RET TECH'!M:M,'RET TECH'!T:T))</f>
        <v>30</v>
      </c>
      <c r="AD134" s="12">
        <f>IF(Y134="","",_xlfn.XLOOKUP(Y134,'RET TECH'!M:M,'RET TECH'!S:S))</f>
        <v>1</v>
      </c>
      <c r="AE134">
        <f>IF(Y134="","",_xlfn.XLOOKUP(Y134,'RET TECH'!M:M,'RET TECH'!V:V))</f>
        <v>31.536000000000001</v>
      </c>
      <c r="AF134" s="12">
        <f>IF(Y134="","",_xlfn.XLOOKUP(Y134,'RET TECH'!M:M,'RET TECH'!U:U))</f>
        <v>7.2863694504238907E-2</v>
      </c>
      <c r="AG134" s="12">
        <f>IF(Y134="","",_xlfn.XLOOKUP(Y134,'RET TECH'!M:M,'RET TECH'!R:R))</f>
        <v>332837.57666505448</v>
      </c>
    </row>
    <row r="135" spans="25:33" x14ac:dyDescent="0.25">
      <c r="Y135" t="str">
        <f>IF('RET TECH'!N130=1,'RET TECH'!M130,"*")</f>
        <v>RESHOUHIOldSCENVIECC4020</v>
      </c>
      <c r="Z135" t="str">
        <f>IF(Y135="","",_xlfn.XLOOKUP(Y135,'RET TECH'!M:M,'RET TECH'!K:K))</f>
        <v>RESHOUHIOldSCRET</v>
      </c>
      <c r="AA135" t="str">
        <f>IF(Y135="","",_xlfn.XLOOKUP(Y135,'RET TECH'!M:M,'RET TECH'!L:L))</f>
        <v>RESHOUHIOldSCEUE</v>
      </c>
      <c r="AB135">
        <f>IF(Y135="","",'City characteristics'!$C$20+1)</f>
        <v>2020</v>
      </c>
      <c r="AC135" s="12">
        <f>IF(Y135="","",_xlfn.XLOOKUP(Y135,'RET TECH'!M:M,'RET TECH'!T:T))</f>
        <v>30</v>
      </c>
      <c r="AD135" s="12">
        <f>IF(Y135="","",_xlfn.XLOOKUP(Y135,'RET TECH'!M:M,'RET TECH'!S:S))</f>
        <v>1</v>
      </c>
      <c r="AE135">
        <f>IF(Y135="","",_xlfn.XLOOKUP(Y135,'RET TECH'!M:M,'RET TECH'!V:V))</f>
        <v>31.536000000000001</v>
      </c>
      <c r="AF135" s="12">
        <f>IF(Y135="","",_xlfn.XLOOKUP(Y135,'RET TECH'!M:M,'RET TECH'!U:U))</f>
        <v>7.2863694504238907E-2</v>
      </c>
      <c r="AG135" s="12">
        <f>IF(Y135="","",_xlfn.XLOOKUP(Y135,'RET TECH'!M:M,'RET TECH'!R:R))</f>
        <v>301205.20827761572</v>
      </c>
    </row>
    <row r="136" spans="25:33" x14ac:dyDescent="0.25">
      <c r="Y136" t="str">
        <f>IF('RET TECH'!N131=1,'RET TECH'!M131,"*")</f>
        <v>RESHOUHIOldSCENVIECC20</v>
      </c>
      <c r="Z136" t="str">
        <f>IF(Y136="","",_xlfn.XLOOKUP(Y136,'RET TECH'!M:M,'RET TECH'!K:K))</f>
        <v>RESHOUHIOldSCRET</v>
      </c>
      <c r="AA136" t="str">
        <f>IF(Y136="","",_xlfn.XLOOKUP(Y136,'RET TECH'!M:M,'RET TECH'!L:L))</f>
        <v>RESHOUHIOldSCEUE</v>
      </c>
      <c r="AB136">
        <f>IF(Y136="","",'City characteristics'!$C$20+1)</f>
        <v>2020</v>
      </c>
      <c r="AC136" s="12">
        <f>IF(Y136="","",_xlfn.XLOOKUP(Y136,'RET TECH'!M:M,'RET TECH'!T:T))</f>
        <v>30</v>
      </c>
      <c r="AD136" s="12">
        <f>IF(Y136="","",_xlfn.XLOOKUP(Y136,'RET TECH'!M:M,'RET TECH'!S:S))</f>
        <v>1</v>
      </c>
      <c r="AE136">
        <f>IF(Y136="","",_xlfn.XLOOKUP(Y136,'RET TECH'!M:M,'RET TECH'!V:V))</f>
        <v>31.536000000000001</v>
      </c>
      <c r="AF136" s="12">
        <f>IF(Y136="","",_xlfn.XLOOKUP(Y136,'RET TECH'!M:M,'RET TECH'!U:U))</f>
        <v>7.2863694504238907E-2</v>
      </c>
      <c r="AG136" s="12">
        <f>IF(Y136="","",_xlfn.XLOOKUP(Y136,'RET TECH'!M:M,'RET TECH'!R:R))</f>
        <v>287040.3178383499</v>
      </c>
    </row>
    <row r="137" spans="25:33" x14ac:dyDescent="0.25">
      <c r="AC137" s="12"/>
      <c r="AD137" s="12"/>
      <c r="AF137" s="12"/>
      <c r="AG137" s="12"/>
    </row>
    <row r="138" spans="25:33" x14ac:dyDescent="0.25">
      <c r="AC138" s="12"/>
      <c r="AD138" s="12"/>
      <c r="AF138" s="12"/>
      <c r="AG138" s="12"/>
    </row>
    <row r="139" spans="25:33" x14ac:dyDescent="0.25">
      <c r="AC139" s="12"/>
      <c r="AD139" s="12"/>
      <c r="AF139" s="12"/>
      <c r="AG139" s="12"/>
    </row>
    <row r="140" spans="25:33" x14ac:dyDescent="0.25">
      <c r="AC140" s="12"/>
      <c r="AD140" s="12"/>
      <c r="AF140" s="12"/>
      <c r="AG140" s="12"/>
    </row>
    <row r="141" spans="25:33" x14ac:dyDescent="0.25">
      <c r="AC141" s="12"/>
      <c r="AD141" s="12"/>
      <c r="AF141" s="12"/>
      <c r="AG141" s="12"/>
    </row>
    <row r="142" spans="25:33" x14ac:dyDescent="0.25">
      <c r="AC142" s="12"/>
      <c r="AD142" s="12"/>
      <c r="AF142" s="12"/>
      <c r="AG142" s="12"/>
    </row>
    <row r="143" spans="25:33" x14ac:dyDescent="0.25">
      <c r="AC143" s="12"/>
      <c r="AD143" s="12"/>
      <c r="AF143" s="12"/>
      <c r="AG143" s="12"/>
    </row>
    <row r="144" spans="25:33" x14ac:dyDescent="0.25">
      <c r="AC144" s="12"/>
      <c r="AD144" s="12"/>
      <c r="AF144" s="12"/>
      <c r="AG144" s="12"/>
    </row>
    <row r="145" spans="29:33" x14ac:dyDescent="0.25">
      <c r="AC145" s="12"/>
      <c r="AD145" s="12"/>
      <c r="AF145" s="12"/>
      <c r="AG145" s="12"/>
    </row>
    <row r="146" spans="29:33" x14ac:dyDescent="0.25">
      <c r="AC146" s="12"/>
      <c r="AD146" s="12"/>
      <c r="AF146" s="12"/>
      <c r="AG146" s="12"/>
    </row>
    <row r="147" spans="29:33" x14ac:dyDescent="0.25">
      <c r="AC147" s="12"/>
      <c r="AD147" s="12"/>
      <c r="AF147" s="12"/>
      <c r="AG147" s="12"/>
    </row>
    <row r="148" spans="29:33" x14ac:dyDescent="0.25">
      <c r="AC148" s="12"/>
      <c r="AD148" s="12"/>
      <c r="AF148" s="12"/>
      <c r="AG148" s="12"/>
    </row>
    <row r="149" spans="29:33" x14ac:dyDescent="0.25">
      <c r="AC149" s="12"/>
      <c r="AD149" s="12"/>
      <c r="AF149" s="12"/>
      <c r="AG149" s="12"/>
    </row>
    <row r="150" spans="29:33" x14ac:dyDescent="0.25">
      <c r="AC150" s="12"/>
      <c r="AD150" s="12"/>
      <c r="AF150" s="12"/>
      <c r="AG150" s="12"/>
    </row>
    <row r="151" spans="29:33" x14ac:dyDescent="0.25">
      <c r="AC151" s="12"/>
      <c r="AD151" s="12"/>
      <c r="AF151" s="12"/>
      <c r="AG151" s="12"/>
    </row>
    <row r="152" spans="29:33" x14ac:dyDescent="0.25">
      <c r="AC152" s="12"/>
      <c r="AD152" s="12"/>
      <c r="AF152" s="12"/>
      <c r="AG152" s="12"/>
    </row>
    <row r="153" spans="29:33" x14ac:dyDescent="0.25">
      <c r="AC153" s="12"/>
      <c r="AD153" s="12"/>
      <c r="AF153" s="12"/>
      <c r="AG153" s="12"/>
    </row>
    <row r="154" spans="29:33" x14ac:dyDescent="0.25">
      <c r="AC154" s="12"/>
      <c r="AD154" s="12"/>
      <c r="AF154" s="12"/>
      <c r="AG154" s="12"/>
    </row>
    <row r="155" spans="29:33" x14ac:dyDescent="0.25">
      <c r="AC155" s="12"/>
      <c r="AD155" s="12"/>
      <c r="AF155" s="12"/>
      <c r="AG155" s="12"/>
    </row>
    <row r="156" spans="29:33" x14ac:dyDescent="0.25">
      <c r="AC156" s="12"/>
      <c r="AD156" s="12"/>
      <c r="AF156" s="12"/>
      <c r="AG156" s="12"/>
    </row>
    <row r="157" spans="29:33" x14ac:dyDescent="0.25">
      <c r="AC157" s="12"/>
      <c r="AD157" s="12"/>
      <c r="AF157" s="12"/>
      <c r="AG157" s="12"/>
    </row>
    <row r="158" spans="29:33" x14ac:dyDescent="0.25">
      <c r="AC158" s="12"/>
      <c r="AD158" s="12"/>
      <c r="AF158" s="12"/>
      <c r="AG158" s="12"/>
    </row>
    <row r="159" spans="29:33" x14ac:dyDescent="0.25">
      <c r="AC159" s="12"/>
      <c r="AD159" s="12"/>
      <c r="AF159" s="12"/>
      <c r="AG159" s="12"/>
    </row>
    <row r="160" spans="29:33" x14ac:dyDescent="0.25">
      <c r="AC160" s="12"/>
      <c r="AD160" s="12"/>
      <c r="AF160" s="12"/>
      <c r="AG160" s="12"/>
    </row>
    <row r="161" spans="29:33" x14ac:dyDescent="0.25">
      <c r="AC161" s="12"/>
      <c r="AD161" s="12"/>
      <c r="AF161" s="12"/>
      <c r="AG161" s="12"/>
    </row>
    <row r="162" spans="29:33" x14ac:dyDescent="0.25">
      <c r="AC162" s="12"/>
      <c r="AD162" s="12"/>
      <c r="AF162" s="12"/>
      <c r="AG162" s="12"/>
    </row>
    <row r="163" spans="29:33" x14ac:dyDescent="0.25">
      <c r="AC163" s="12"/>
      <c r="AD163" s="12"/>
      <c r="AF163" s="12"/>
      <c r="AG163" s="12"/>
    </row>
    <row r="164" spans="29:33" x14ac:dyDescent="0.25">
      <c r="AC164" s="12"/>
      <c r="AD164" s="12"/>
      <c r="AF164" s="12"/>
      <c r="AG164" s="12"/>
    </row>
    <row r="165" spans="29:33" x14ac:dyDescent="0.25">
      <c r="AC165" s="12"/>
      <c r="AD165" s="12"/>
      <c r="AF165" s="12"/>
      <c r="AG165" s="12"/>
    </row>
    <row r="166" spans="29:33" x14ac:dyDescent="0.25">
      <c r="AC166" s="12"/>
      <c r="AD166" s="12"/>
      <c r="AF166" s="12"/>
      <c r="AG166" s="12"/>
    </row>
    <row r="167" spans="29:33" x14ac:dyDescent="0.25">
      <c r="AC167" s="12"/>
      <c r="AD167" s="12"/>
      <c r="AF167" s="12"/>
      <c r="AG167" s="12"/>
    </row>
    <row r="168" spans="29:33" x14ac:dyDescent="0.25">
      <c r="AC168" s="12"/>
      <c r="AD168" s="12"/>
      <c r="AF168" s="12"/>
      <c r="AG168" s="12"/>
    </row>
    <row r="169" spans="29:33" x14ac:dyDescent="0.25">
      <c r="AC169" s="12"/>
      <c r="AD169" s="12"/>
      <c r="AF169" s="12"/>
      <c r="AG169" s="12"/>
    </row>
    <row r="170" spans="29:33" x14ac:dyDescent="0.25">
      <c r="AC170" s="12"/>
      <c r="AD170" s="12"/>
      <c r="AF170" s="12"/>
      <c r="AG170" s="12"/>
    </row>
    <row r="171" spans="29:33" x14ac:dyDescent="0.25">
      <c r="AC171" s="12"/>
      <c r="AD171" s="12"/>
      <c r="AF171" s="12"/>
      <c r="AG171" s="12"/>
    </row>
    <row r="172" spans="29:33" x14ac:dyDescent="0.25">
      <c r="AC172" s="12"/>
      <c r="AD172" s="12"/>
      <c r="AF172" s="12"/>
      <c r="AG172" s="12"/>
    </row>
    <row r="173" spans="29:33" x14ac:dyDescent="0.25">
      <c r="AC173" s="12"/>
      <c r="AD173" s="12"/>
      <c r="AF173" s="12"/>
      <c r="AG173" s="12"/>
    </row>
    <row r="174" spans="29:33" x14ac:dyDescent="0.25">
      <c r="AC174" s="12"/>
      <c r="AD174" s="12"/>
      <c r="AF174" s="12"/>
      <c r="AG174" s="12"/>
    </row>
    <row r="175" spans="29:33" x14ac:dyDescent="0.25">
      <c r="AC175" s="12"/>
      <c r="AD175" s="12"/>
      <c r="AF175" s="12"/>
      <c r="AG175" s="12"/>
    </row>
    <row r="176" spans="29:33" x14ac:dyDescent="0.25">
      <c r="AC176" s="12"/>
      <c r="AD176" s="12"/>
      <c r="AF176" s="12"/>
      <c r="AG176" s="12"/>
    </row>
    <row r="177" spans="29:33" x14ac:dyDescent="0.25">
      <c r="AC177" s="12"/>
      <c r="AD177" s="12"/>
      <c r="AF177" s="12"/>
      <c r="AG177" s="12"/>
    </row>
    <row r="178" spans="29:33" x14ac:dyDescent="0.25">
      <c r="AC178" s="12"/>
      <c r="AD178" s="12"/>
      <c r="AF178" s="12"/>
      <c r="AG178" s="12"/>
    </row>
    <row r="179" spans="29:33" x14ac:dyDescent="0.25">
      <c r="AC179" s="12"/>
      <c r="AD179" s="12"/>
      <c r="AF179" s="12"/>
      <c r="AG179" s="12"/>
    </row>
    <row r="180" spans="29:33" x14ac:dyDescent="0.25">
      <c r="AC180" s="12"/>
      <c r="AD180" s="12"/>
      <c r="AF180" s="12"/>
      <c r="AG180" s="12"/>
    </row>
    <row r="181" spans="29:33" x14ac:dyDescent="0.25">
      <c r="AC181" s="12"/>
      <c r="AD181" s="12"/>
      <c r="AF181" s="12"/>
      <c r="AG181" s="12"/>
    </row>
    <row r="182" spans="29:33" x14ac:dyDescent="0.25">
      <c r="AC182" s="12"/>
      <c r="AD182" s="12"/>
      <c r="AF182" s="12"/>
      <c r="AG182" s="12"/>
    </row>
    <row r="183" spans="29:33" x14ac:dyDescent="0.25">
      <c r="AC183" s="12"/>
      <c r="AD183" s="12"/>
      <c r="AF183" s="12"/>
      <c r="AG183" s="12"/>
    </row>
    <row r="184" spans="29:33" x14ac:dyDescent="0.25">
      <c r="AC184" s="12"/>
      <c r="AD184" s="12"/>
      <c r="AF184" s="12"/>
      <c r="AG184" s="12"/>
    </row>
    <row r="185" spans="29:33" x14ac:dyDescent="0.25">
      <c r="AC185" s="12"/>
      <c r="AD185" s="12"/>
      <c r="AF185" s="12"/>
      <c r="AG185" s="12"/>
    </row>
    <row r="186" spans="29:33" x14ac:dyDescent="0.25">
      <c r="AC186" s="12"/>
      <c r="AD186" s="12"/>
      <c r="AF186" s="12"/>
      <c r="AG186" s="12"/>
    </row>
    <row r="187" spans="29:33" x14ac:dyDescent="0.25">
      <c r="AC187" s="12"/>
      <c r="AD187" s="12"/>
      <c r="AF187" s="12"/>
      <c r="AG187" s="12"/>
    </row>
    <row r="188" spans="29:33" x14ac:dyDescent="0.25">
      <c r="AC188" s="12"/>
      <c r="AD188" s="12"/>
      <c r="AF188" s="12"/>
      <c r="AG188" s="12"/>
    </row>
    <row r="189" spans="29:33" x14ac:dyDescent="0.25">
      <c r="AC189" s="12"/>
      <c r="AD189" s="12"/>
      <c r="AF189" s="12"/>
      <c r="AG189" s="12"/>
    </row>
    <row r="190" spans="29:33" x14ac:dyDescent="0.25">
      <c r="AC190" s="12"/>
      <c r="AD190" s="12"/>
      <c r="AF190" s="12"/>
      <c r="AG190" s="12"/>
    </row>
    <row r="191" spans="29:33" x14ac:dyDescent="0.25">
      <c r="AC191" s="12"/>
      <c r="AD191" s="12"/>
      <c r="AF191" s="12"/>
      <c r="AG191" s="12"/>
    </row>
    <row r="192" spans="29:33" x14ac:dyDescent="0.25">
      <c r="AC192" s="12"/>
      <c r="AD192" s="12"/>
      <c r="AF192" s="12"/>
      <c r="AG192" s="12"/>
    </row>
    <row r="193" spans="29:33" x14ac:dyDescent="0.25">
      <c r="AC193" s="12"/>
      <c r="AD193" s="12"/>
      <c r="AF193" s="12"/>
      <c r="AG193" s="12"/>
    </row>
    <row r="194" spans="29:33" x14ac:dyDescent="0.25">
      <c r="AC194" s="12"/>
      <c r="AD194" s="12"/>
      <c r="AF194" s="12"/>
      <c r="AG194" s="12"/>
    </row>
    <row r="195" spans="29:33" x14ac:dyDescent="0.25">
      <c r="AC195" s="12"/>
      <c r="AD195" s="12"/>
      <c r="AF195" s="12"/>
      <c r="AG195" s="12"/>
    </row>
    <row r="196" spans="29:33" x14ac:dyDescent="0.25">
      <c r="AC196" s="12"/>
      <c r="AD196" s="12"/>
      <c r="AF196" s="12"/>
      <c r="AG196" s="12"/>
    </row>
    <row r="197" spans="29:33" x14ac:dyDescent="0.25">
      <c r="AC197" s="12"/>
      <c r="AD197" s="12"/>
      <c r="AF197" s="12"/>
      <c r="AG197" s="12"/>
    </row>
    <row r="198" spans="29:33" x14ac:dyDescent="0.25">
      <c r="AC198" s="12"/>
      <c r="AD198" s="12"/>
      <c r="AF198" s="12"/>
      <c r="AG198" s="12"/>
    </row>
    <row r="199" spans="29:33" x14ac:dyDescent="0.25">
      <c r="AC199" s="12"/>
      <c r="AD199" s="12"/>
      <c r="AF199" s="12"/>
      <c r="AG199" s="12"/>
    </row>
    <row r="200" spans="29:33" x14ac:dyDescent="0.25">
      <c r="AC200" s="12"/>
      <c r="AD200" s="12"/>
      <c r="AF200" s="12"/>
      <c r="AG200" s="12"/>
    </row>
    <row r="201" spans="29:33" x14ac:dyDescent="0.25">
      <c r="AC201" s="12"/>
      <c r="AD201" s="12"/>
      <c r="AF201" s="12"/>
      <c r="AG201" s="12"/>
    </row>
    <row r="202" spans="29:33" x14ac:dyDescent="0.25">
      <c r="AC202" s="12"/>
      <c r="AD202" s="12"/>
      <c r="AF202" s="12"/>
      <c r="AG202" s="12"/>
    </row>
    <row r="203" spans="29:33" x14ac:dyDescent="0.25">
      <c r="AC203" s="12"/>
      <c r="AD203" s="12"/>
      <c r="AF203" s="12"/>
      <c r="AG203" s="12"/>
    </row>
    <row r="204" spans="29:33" x14ac:dyDescent="0.25">
      <c r="AC204" s="12"/>
      <c r="AD204" s="12"/>
      <c r="AF204" s="12"/>
      <c r="AG204" s="12"/>
    </row>
    <row r="205" spans="29:33" x14ac:dyDescent="0.25">
      <c r="AC205" s="12"/>
      <c r="AD205" s="12"/>
      <c r="AF205" s="12"/>
      <c r="AG205" s="12"/>
    </row>
    <row r="206" spans="29:33" x14ac:dyDescent="0.25">
      <c r="AC206" s="12"/>
      <c r="AD206" s="12"/>
      <c r="AF206" s="12"/>
      <c r="AG206" s="12"/>
    </row>
    <row r="207" spans="29:33" x14ac:dyDescent="0.25">
      <c r="AC207" s="12"/>
      <c r="AD207" s="12"/>
      <c r="AF207" s="12"/>
      <c r="AG207" s="12"/>
    </row>
    <row r="208" spans="29:33" x14ac:dyDescent="0.25">
      <c r="AC208" s="12"/>
      <c r="AD208" s="12"/>
      <c r="AF208" s="12"/>
      <c r="AG208" s="12"/>
    </row>
    <row r="209" spans="29:33" x14ac:dyDescent="0.25">
      <c r="AC209" s="12"/>
      <c r="AD209" s="12"/>
      <c r="AF209" s="12"/>
      <c r="AG209" s="12"/>
    </row>
    <row r="210" spans="29:33" x14ac:dyDescent="0.25">
      <c r="AC210" s="12"/>
      <c r="AD210" s="12"/>
      <c r="AF210" s="12"/>
      <c r="AG210" s="12"/>
    </row>
    <row r="211" spans="29:33" x14ac:dyDescent="0.25">
      <c r="AC211" s="12"/>
      <c r="AD211" s="12"/>
      <c r="AF211" s="12"/>
      <c r="AG211" s="12"/>
    </row>
    <row r="212" spans="29:33" x14ac:dyDescent="0.25">
      <c r="AC212" s="12"/>
      <c r="AD212" s="12"/>
      <c r="AF212" s="12"/>
      <c r="AG212" s="12"/>
    </row>
    <row r="213" spans="29:33" x14ac:dyDescent="0.25">
      <c r="AC213" s="12"/>
      <c r="AD213" s="12"/>
      <c r="AF213" s="12"/>
      <c r="AG213" s="12"/>
    </row>
    <row r="214" spans="29:33" x14ac:dyDescent="0.25">
      <c r="AC214" s="12"/>
      <c r="AD214" s="12"/>
      <c r="AF214" s="12"/>
      <c r="AG214" s="12"/>
    </row>
    <row r="215" spans="29:33" x14ac:dyDescent="0.25">
      <c r="AC215" s="12"/>
      <c r="AD215" s="12"/>
      <c r="AF215" s="12"/>
      <c r="AG215" s="12"/>
    </row>
    <row r="216" spans="29:33" x14ac:dyDescent="0.25">
      <c r="AC216" s="12"/>
      <c r="AD216" s="12"/>
      <c r="AF216" s="12"/>
      <c r="AG216" s="12"/>
    </row>
    <row r="217" spans="29:33" x14ac:dyDescent="0.25">
      <c r="AC217" s="12"/>
      <c r="AD217" s="12"/>
      <c r="AF217" s="12"/>
      <c r="AG217" s="12"/>
    </row>
    <row r="218" spans="29:33" x14ac:dyDescent="0.25">
      <c r="AC218" s="12"/>
      <c r="AD218" s="12"/>
      <c r="AF218" s="12"/>
      <c r="AG218" s="12"/>
    </row>
    <row r="219" spans="29:33" x14ac:dyDescent="0.25">
      <c r="AC219" s="12"/>
      <c r="AD219" s="12"/>
      <c r="AF219" s="12"/>
      <c r="AG219" s="12"/>
    </row>
    <row r="220" spans="29:33" x14ac:dyDescent="0.25">
      <c r="AC220" s="12"/>
      <c r="AD220" s="12"/>
      <c r="AF220" s="12"/>
      <c r="AG220" s="12"/>
    </row>
    <row r="221" spans="29:33" x14ac:dyDescent="0.25">
      <c r="AC221" s="12"/>
      <c r="AD221" s="12"/>
      <c r="AF221" s="12"/>
      <c r="AG221" s="12"/>
    </row>
    <row r="222" spans="29:33" x14ac:dyDescent="0.25">
      <c r="AC222" s="12"/>
      <c r="AD222" s="12"/>
      <c r="AF222" s="12"/>
      <c r="AG222" s="12"/>
    </row>
    <row r="223" spans="29:33" x14ac:dyDescent="0.25">
      <c r="AC223" s="12"/>
      <c r="AD223" s="12"/>
      <c r="AF223" s="12"/>
      <c r="AG223" s="12"/>
    </row>
    <row r="224" spans="29:33" x14ac:dyDescent="0.25">
      <c r="AC224" s="12"/>
      <c r="AD224" s="12"/>
      <c r="AF224" s="12"/>
      <c r="AG224" s="12"/>
    </row>
    <row r="225" spans="29:33" x14ac:dyDescent="0.25">
      <c r="AC225" s="12"/>
      <c r="AD225" s="12"/>
      <c r="AF225" s="12"/>
      <c r="AG225" s="12"/>
    </row>
    <row r="226" spans="29:33" x14ac:dyDescent="0.25">
      <c r="AC226" s="12"/>
      <c r="AD226" s="12"/>
      <c r="AF226" s="12"/>
      <c r="AG226" s="12"/>
    </row>
    <row r="227" spans="29:33" x14ac:dyDescent="0.25">
      <c r="AC227" s="12"/>
      <c r="AD227" s="12"/>
      <c r="AF227" s="12"/>
      <c r="AG227" s="12"/>
    </row>
    <row r="228" spans="29:33" x14ac:dyDescent="0.25">
      <c r="AC228" s="12"/>
      <c r="AD228" s="12"/>
      <c r="AF228" s="12"/>
      <c r="AG228" s="12"/>
    </row>
    <row r="229" spans="29:33" x14ac:dyDescent="0.25">
      <c r="AC229" s="12"/>
      <c r="AD229" s="12"/>
      <c r="AF229" s="12"/>
      <c r="AG229" s="12"/>
    </row>
    <row r="230" spans="29:33" x14ac:dyDescent="0.25">
      <c r="AC230" s="12"/>
      <c r="AD230" s="12"/>
      <c r="AF230" s="12"/>
      <c r="AG230" s="12"/>
    </row>
    <row r="231" spans="29:33" x14ac:dyDescent="0.25">
      <c r="AC231" s="12"/>
      <c r="AD231" s="12"/>
      <c r="AF231" s="12"/>
      <c r="AG231" s="12"/>
    </row>
    <row r="232" spans="29:33" x14ac:dyDescent="0.25">
      <c r="AC232" s="12"/>
      <c r="AD232" s="12"/>
      <c r="AF232" s="12"/>
      <c r="AG232" s="12"/>
    </row>
    <row r="233" spans="29:33" x14ac:dyDescent="0.25">
      <c r="AC233" s="12"/>
      <c r="AD233" s="12"/>
      <c r="AF233" s="12"/>
      <c r="AG233" s="12"/>
    </row>
    <row r="234" spans="29:33" x14ac:dyDescent="0.25">
      <c r="AC234" s="12"/>
      <c r="AD234" s="12"/>
      <c r="AF234" s="12"/>
      <c r="AG234" s="12"/>
    </row>
    <row r="235" spans="29:33" x14ac:dyDescent="0.25">
      <c r="AC235" s="12"/>
      <c r="AD235" s="12"/>
      <c r="AF235" s="12"/>
      <c r="AG235" s="12"/>
    </row>
    <row r="236" spans="29:33" x14ac:dyDescent="0.25">
      <c r="AC236" s="12"/>
      <c r="AD236" s="12"/>
      <c r="AF236" s="12"/>
      <c r="AG236" s="12"/>
    </row>
    <row r="237" spans="29:33" x14ac:dyDescent="0.25">
      <c r="AC237" s="12"/>
      <c r="AD237" s="12"/>
      <c r="AF237" s="12"/>
      <c r="AG237" s="12"/>
    </row>
    <row r="238" spans="29:33" x14ac:dyDescent="0.25">
      <c r="AC238" s="12"/>
      <c r="AD238" s="12"/>
      <c r="AF238" s="12"/>
      <c r="AG238" s="12"/>
    </row>
    <row r="239" spans="29:33" x14ac:dyDescent="0.25">
      <c r="AC239" s="12"/>
      <c r="AD239" s="12"/>
      <c r="AF239" s="12"/>
      <c r="AG239" s="12"/>
    </row>
    <row r="240" spans="29:33" x14ac:dyDescent="0.25">
      <c r="AC240" s="12"/>
      <c r="AD240" s="12"/>
      <c r="AF240" s="12"/>
      <c r="AG240" s="12"/>
    </row>
    <row r="241" spans="29:33" x14ac:dyDescent="0.25">
      <c r="AC241" s="12"/>
      <c r="AD241" s="12"/>
      <c r="AF241" s="12"/>
      <c r="AG241" s="12"/>
    </row>
    <row r="242" spans="29:33" x14ac:dyDescent="0.25">
      <c r="AC242" s="12"/>
      <c r="AD242" s="12"/>
      <c r="AF242" s="12"/>
      <c r="AG242" s="12"/>
    </row>
    <row r="243" spans="29:33" x14ac:dyDescent="0.25">
      <c r="AC243" s="12"/>
      <c r="AD243" s="12"/>
      <c r="AF243" s="12"/>
      <c r="AG243" s="12"/>
    </row>
    <row r="244" spans="29:33" x14ac:dyDescent="0.25">
      <c r="AC244" s="12"/>
      <c r="AD244" s="12"/>
      <c r="AF244" s="12"/>
      <c r="AG244" s="12"/>
    </row>
    <row r="245" spans="29:33" x14ac:dyDescent="0.25">
      <c r="AC245" s="12"/>
      <c r="AD245" s="12"/>
      <c r="AF245" s="12"/>
      <c r="AG245" s="12"/>
    </row>
    <row r="246" spans="29:33" x14ac:dyDescent="0.25">
      <c r="AC246" s="12"/>
      <c r="AD246" s="12"/>
      <c r="AF246" s="12"/>
      <c r="AG246" s="12"/>
    </row>
    <row r="247" spans="29:33" x14ac:dyDescent="0.25">
      <c r="AC247" s="12"/>
      <c r="AD247" s="12"/>
      <c r="AF247" s="12"/>
      <c r="AG247" s="12"/>
    </row>
    <row r="248" spans="29:33" x14ac:dyDescent="0.25">
      <c r="AC248" s="12"/>
      <c r="AD248" s="12"/>
      <c r="AF248" s="12"/>
      <c r="AG248" s="12"/>
    </row>
    <row r="249" spans="29:33" x14ac:dyDescent="0.25">
      <c r="AC249" s="12"/>
      <c r="AD249" s="12"/>
      <c r="AF249" s="12"/>
      <c r="AG249" s="12"/>
    </row>
    <row r="250" spans="29:33" x14ac:dyDescent="0.25">
      <c r="AC250" s="12"/>
      <c r="AD250" s="12"/>
      <c r="AF250" s="12"/>
      <c r="AG250" s="12"/>
    </row>
    <row r="251" spans="29:33" x14ac:dyDescent="0.25">
      <c r="AC251" s="12"/>
      <c r="AD251" s="12"/>
      <c r="AF251" s="12"/>
      <c r="AG251" s="12"/>
    </row>
    <row r="252" spans="29:33" x14ac:dyDescent="0.25">
      <c r="AC252" s="12"/>
      <c r="AD252" s="12"/>
      <c r="AF252" s="12"/>
      <c r="AG252" s="12"/>
    </row>
    <row r="253" spans="29:33" x14ac:dyDescent="0.25">
      <c r="AC253" s="12"/>
      <c r="AD253" s="12"/>
      <c r="AF253" s="12"/>
      <c r="AG253" s="12"/>
    </row>
    <row r="254" spans="29:33" x14ac:dyDescent="0.25">
      <c r="AC254" s="12"/>
      <c r="AD254" s="12"/>
      <c r="AF254" s="12"/>
      <c r="AG254" s="12"/>
    </row>
    <row r="255" spans="29:33" x14ac:dyDescent="0.25">
      <c r="AC255" s="12"/>
      <c r="AD255" s="12"/>
      <c r="AF255" s="12"/>
      <c r="AG255" s="12"/>
    </row>
    <row r="256" spans="29:33" x14ac:dyDescent="0.25">
      <c r="AC256" s="12"/>
      <c r="AD256" s="12"/>
      <c r="AF256" s="12"/>
      <c r="AG256" s="12"/>
    </row>
    <row r="257" spans="29:33" x14ac:dyDescent="0.25">
      <c r="AC257" s="12"/>
      <c r="AD257" s="12"/>
      <c r="AF257" s="12"/>
      <c r="AG257" s="12"/>
    </row>
    <row r="258" spans="29:33" x14ac:dyDescent="0.25">
      <c r="AC258" s="12"/>
      <c r="AD258" s="12"/>
      <c r="AF258" s="12"/>
      <c r="AG258" s="12"/>
    </row>
    <row r="259" spans="29:33" x14ac:dyDescent="0.25">
      <c r="AC259" s="12"/>
      <c r="AD259" s="12"/>
      <c r="AF259" s="12"/>
      <c r="AG259" s="12"/>
    </row>
    <row r="260" spans="29:33" x14ac:dyDescent="0.25">
      <c r="AC260" s="12"/>
      <c r="AD260" s="12"/>
      <c r="AF260" s="12"/>
      <c r="AG260" s="12"/>
    </row>
    <row r="261" spans="29:33" x14ac:dyDescent="0.25">
      <c r="AC261" s="12"/>
      <c r="AD261" s="12"/>
      <c r="AF261" s="12"/>
      <c r="AG261" s="12"/>
    </row>
    <row r="262" spans="29:33" x14ac:dyDescent="0.25">
      <c r="AC262" s="12"/>
      <c r="AD262" s="12"/>
      <c r="AF262" s="12"/>
      <c r="AG262" s="12"/>
    </row>
    <row r="263" spans="29:33" x14ac:dyDescent="0.25">
      <c r="AC263" s="12"/>
      <c r="AD263" s="12"/>
      <c r="AF263" s="12"/>
      <c r="AG263" s="12"/>
    </row>
    <row r="264" spans="29:33" x14ac:dyDescent="0.25">
      <c r="AC264" s="12"/>
      <c r="AD264" s="12"/>
      <c r="AF264" s="12"/>
      <c r="AG264" s="12"/>
    </row>
    <row r="265" spans="29:33" x14ac:dyDescent="0.25">
      <c r="AC265" s="12"/>
      <c r="AD265" s="12"/>
      <c r="AF265" s="12"/>
      <c r="AG265" s="12"/>
    </row>
    <row r="266" spans="29:33" x14ac:dyDescent="0.25">
      <c r="AC266" s="12"/>
      <c r="AD266" s="12"/>
      <c r="AF266" s="12"/>
      <c r="AG266" s="12"/>
    </row>
    <row r="267" spans="29:33" x14ac:dyDescent="0.25">
      <c r="AC267" s="12"/>
      <c r="AD267" s="12"/>
      <c r="AF267" s="12"/>
      <c r="AG267" s="12"/>
    </row>
    <row r="268" spans="29:33" x14ac:dyDescent="0.25">
      <c r="AC268" s="12"/>
      <c r="AD268" s="12"/>
      <c r="AF268" s="12"/>
      <c r="AG268" s="12"/>
    </row>
    <row r="269" spans="29:33" x14ac:dyDescent="0.25">
      <c r="AC269" s="12"/>
      <c r="AD269" s="12"/>
      <c r="AF269" s="12"/>
      <c r="AG269" s="12"/>
    </row>
    <row r="270" spans="29:33" x14ac:dyDescent="0.25">
      <c r="AC270" s="12"/>
      <c r="AD270" s="12"/>
      <c r="AF270" s="12"/>
      <c r="AG270" s="12"/>
    </row>
    <row r="271" spans="29:33" x14ac:dyDescent="0.25">
      <c r="AC271" s="12"/>
      <c r="AD271" s="12"/>
      <c r="AF271" s="12"/>
      <c r="AG271" s="12"/>
    </row>
    <row r="272" spans="29:33" x14ac:dyDescent="0.25">
      <c r="AC272" s="12"/>
      <c r="AD272" s="12"/>
      <c r="AF272" s="12"/>
      <c r="AG272" s="12"/>
    </row>
    <row r="273" spans="29:33" x14ac:dyDescent="0.25">
      <c r="AC273" s="12"/>
      <c r="AD273" s="12"/>
      <c r="AF273" s="12"/>
      <c r="AG273" s="12"/>
    </row>
    <row r="274" spans="29:33" x14ac:dyDescent="0.25">
      <c r="AC274" s="12"/>
      <c r="AD274" s="12"/>
      <c r="AF274" s="12"/>
      <c r="AG274" s="12"/>
    </row>
    <row r="275" spans="29:33" x14ac:dyDescent="0.25">
      <c r="AC275" s="12"/>
      <c r="AD275" s="12"/>
      <c r="AF275" s="12"/>
      <c r="AG275" s="12"/>
    </row>
    <row r="276" spans="29:33" x14ac:dyDescent="0.25">
      <c r="AC276" s="12"/>
      <c r="AD276" s="12"/>
      <c r="AF276" s="12"/>
      <c r="AG276" s="12"/>
    </row>
    <row r="277" spans="29:33" x14ac:dyDescent="0.25">
      <c r="AC277" s="12"/>
      <c r="AD277" s="12"/>
      <c r="AF277" s="12"/>
      <c r="AG277" s="12"/>
    </row>
    <row r="278" spans="29:33" x14ac:dyDescent="0.25">
      <c r="AC278" s="12"/>
      <c r="AD278" s="12"/>
      <c r="AF278" s="12"/>
      <c r="AG278" s="12"/>
    </row>
    <row r="279" spans="29:33" x14ac:dyDescent="0.25">
      <c r="AC279" s="12"/>
      <c r="AD279" s="12"/>
      <c r="AF279" s="12"/>
      <c r="AG279" s="12"/>
    </row>
    <row r="280" spans="29:33" x14ac:dyDescent="0.25">
      <c r="AC280" s="12"/>
      <c r="AD280" s="12"/>
      <c r="AF280" s="12"/>
      <c r="AG280" s="12"/>
    </row>
    <row r="281" spans="29:33" x14ac:dyDescent="0.25">
      <c r="AC281" s="12"/>
      <c r="AD281" s="12"/>
      <c r="AF281" s="12"/>
      <c r="AG281" s="12"/>
    </row>
    <row r="282" spans="29:33" x14ac:dyDescent="0.25">
      <c r="AC282" s="12"/>
      <c r="AD282" s="12"/>
      <c r="AF282" s="12"/>
      <c r="AG282" s="12"/>
    </row>
    <row r="283" spans="29:33" x14ac:dyDescent="0.25">
      <c r="AC283" s="12"/>
      <c r="AD283" s="12"/>
      <c r="AF283" s="12"/>
      <c r="AG283" s="12"/>
    </row>
    <row r="284" spans="29:33" x14ac:dyDescent="0.25">
      <c r="AC284" s="12"/>
      <c r="AD284" s="12"/>
      <c r="AF284" s="12"/>
      <c r="AG284" s="12"/>
    </row>
    <row r="285" spans="29:33" x14ac:dyDescent="0.25">
      <c r="AC285" s="12"/>
      <c r="AD285" s="12"/>
      <c r="AF285" s="12"/>
      <c r="AG285" s="12"/>
    </row>
    <row r="286" spans="29:33" x14ac:dyDescent="0.25">
      <c r="AC286" s="12"/>
      <c r="AD286" s="12"/>
      <c r="AF286" s="12"/>
      <c r="AG286" s="12"/>
    </row>
    <row r="287" spans="29:33" x14ac:dyDescent="0.25">
      <c r="AC287" s="12"/>
      <c r="AD287" s="12"/>
      <c r="AF287" s="12"/>
      <c r="AG287" s="12"/>
    </row>
    <row r="288" spans="29:33" x14ac:dyDescent="0.25">
      <c r="AC288" s="12"/>
      <c r="AD288" s="12"/>
      <c r="AF288" s="12"/>
      <c r="AG288" s="12"/>
    </row>
    <row r="289" spans="29:33" x14ac:dyDescent="0.25">
      <c r="AC289" s="12"/>
      <c r="AD289" s="12"/>
      <c r="AF289" s="12"/>
      <c r="AG289" s="12"/>
    </row>
    <row r="290" spans="29:33" x14ac:dyDescent="0.25">
      <c r="AC290" s="12"/>
      <c r="AD290" s="12"/>
      <c r="AF290" s="12"/>
      <c r="AG290" s="12"/>
    </row>
    <row r="291" spans="29:33" x14ac:dyDescent="0.25">
      <c r="AC291" s="12"/>
      <c r="AD291" s="12"/>
      <c r="AF291" s="12"/>
      <c r="AG291" s="12"/>
    </row>
    <row r="292" spans="29:33" x14ac:dyDescent="0.25">
      <c r="AC292" s="12"/>
      <c r="AD292" s="12"/>
      <c r="AF292" s="12"/>
      <c r="AG292" s="12"/>
    </row>
    <row r="293" spans="29:33" x14ac:dyDescent="0.25">
      <c r="AC293" s="12"/>
      <c r="AD293" s="12"/>
      <c r="AF293" s="12"/>
      <c r="AG293" s="12"/>
    </row>
    <row r="294" spans="29:33" x14ac:dyDescent="0.25">
      <c r="AC294" s="12"/>
      <c r="AD294" s="12"/>
      <c r="AF294" s="12"/>
      <c r="AG294" s="12"/>
    </row>
    <row r="295" spans="29:33" x14ac:dyDescent="0.25">
      <c r="AC295" s="12"/>
      <c r="AD295" s="12"/>
      <c r="AF295" s="12"/>
      <c r="AG295" s="12"/>
    </row>
    <row r="296" spans="29:33" x14ac:dyDescent="0.25">
      <c r="AC296" s="12"/>
      <c r="AD296" s="12"/>
      <c r="AF296" s="12"/>
      <c r="AG296" s="12"/>
    </row>
    <row r="297" spans="29:33" x14ac:dyDescent="0.25">
      <c r="AC297" s="12"/>
      <c r="AD297" s="12"/>
      <c r="AF297" s="12"/>
      <c r="AG297" s="12"/>
    </row>
    <row r="298" spans="29:33" x14ac:dyDescent="0.25">
      <c r="AC298" s="12"/>
      <c r="AD298" s="12"/>
      <c r="AF298" s="12"/>
      <c r="AG298" s="12"/>
    </row>
    <row r="299" spans="29:33" x14ac:dyDescent="0.25">
      <c r="AC299" s="12"/>
      <c r="AD299" s="12"/>
      <c r="AF299" s="12"/>
      <c r="AG299" s="12"/>
    </row>
    <row r="300" spans="29:33" x14ac:dyDescent="0.25">
      <c r="AC300" s="12"/>
      <c r="AD300" s="12"/>
      <c r="AF300" s="12"/>
      <c r="AG300" s="12"/>
    </row>
    <row r="301" spans="29:33" x14ac:dyDescent="0.25">
      <c r="AC301" s="12"/>
      <c r="AD301" s="12"/>
      <c r="AF301" s="12"/>
      <c r="AG301" s="12"/>
    </row>
    <row r="302" spans="29:33" x14ac:dyDescent="0.25">
      <c r="AC302" s="12"/>
      <c r="AD302" s="12"/>
      <c r="AF302" s="12"/>
      <c r="AG302" s="12"/>
    </row>
    <row r="303" spans="29:33" x14ac:dyDescent="0.25">
      <c r="AC303" s="12"/>
      <c r="AD303" s="12"/>
      <c r="AF303" s="12"/>
      <c r="AG303" s="12"/>
    </row>
    <row r="304" spans="29:33" x14ac:dyDescent="0.25">
      <c r="AC304" s="12"/>
      <c r="AD304" s="12"/>
      <c r="AF304" s="12"/>
      <c r="AG304" s="12"/>
    </row>
    <row r="305" spans="29:33" x14ac:dyDescent="0.25">
      <c r="AC305" s="12"/>
      <c r="AD305" s="12"/>
      <c r="AF305" s="12"/>
      <c r="AG305" s="12"/>
    </row>
    <row r="306" spans="29:33" x14ac:dyDescent="0.25">
      <c r="AC306" s="12"/>
      <c r="AD306" s="12"/>
      <c r="AF306" s="12"/>
      <c r="AG306" s="12"/>
    </row>
    <row r="307" spans="29:33" x14ac:dyDescent="0.25">
      <c r="AC307" s="12"/>
      <c r="AD307" s="12"/>
      <c r="AF307" s="12"/>
      <c r="AG307" s="12"/>
    </row>
    <row r="308" spans="29:33" x14ac:dyDescent="0.25">
      <c r="AC308" s="12"/>
      <c r="AD308" s="12"/>
      <c r="AF308" s="12"/>
      <c r="AG308" s="12"/>
    </row>
    <row r="309" spans="29:33" x14ac:dyDescent="0.25">
      <c r="AC309" s="12"/>
      <c r="AD309" s="12"/>
      <c r="AF309" s="12"/>
      <c r="AG309" s="12"/>
    </row>
    <row r="310" spans="29:33" x14ac:dyDescent="0.25">
      <c r="AC310" s="12"/>
      <c r="AD310" s="12"/>
      <c r="AF310" s="12"/>
      <c r="AG310" s="12"/>
    </row>
    <row r="311" spans="29:33" x14ac:dyDescent="0.25">
      <c r="AC311" s="12"/>
      <c r="AD311" s="12"/>
      <c r="AF311" s="12"/>
      <c r="AG311" s="12"/>
    </row>
    <row r="312" spans="29:33" x14ac:dyDescent="0.25">
      <c r="AC312" s="12"/>
      <c r="AD312" s="12"/>
      <c r="AF312" s="12"/>
      <c r="AG312" s="12"/>
    </row>
    <row r="313" spans="29:33" x14ac:dyDescent="0.25">
      <c r="AC313" s="12"/>
      <c r="AD313" s="12"/>
      <c r="AF313" s="12"/>
      <c r="AG313" s="12"/>
    </row>
    <row r="314" spans="29:33" x14ac:dyDescent="0.25">
      <c r="AC314" s="12"/>
      <c r="AD314" s="12"/>
      <c r="AF314" s="12"/>
      <c r="AG314" s="12"/>
    </row>
    <row r="315" spans="29:33" x14ac:dyDescent="0.25">
      <c r="AC315" s="12"/>
      <c r="AD315" s="12"/>
      <c r="AF315" s="12"/>
      <c r="AG315" s="12"/>
    </row>
    <row r="316" spans="29:33" x14ac:dyDescent="0.25">
      <c r="AC316" s="12"/>
      <c r="AD316" s="12"/>
      <c r="AF316" s="12"/>
      <c r="AG316" s="12"/>
    </row>
    <row r="317" spans="29:33" x14ac:dyDescent="0.25">
      <c r="AC317" s="12"/>
      <c r="AD317" s="12"/>
      <c r="AF317" s="12"/>
      <c r="AG317" s="12"/>
    </row>
    <row r="318" spans="29:33" x14ac:dyDescent="0.25">
      <c r="AC318" s="12"/>
      <c r="AD318" s="12"/>
      <c r="AF318" s="12"/>
      <c r="AG318" s="12"/>
    </row>
    <row r="319" spans="29:33" x14ac:dyDescent="0.25">
      <c r="AC319" s="12"/>
      <c r="AD319" s="12"/>
      <c r="AF319" s="12"/>
      <c r="AG319" s="12"/>
    </row>
    <row r="320" spans="29:33" x14ac:dyDescent="0.25">
      <c r="AC320" s="12"/>
      <c r="AD320" s="12"/>
      <c r="AF320" s="12"/>
      <c r="AG320" s="12"/>
    </row>
    <row r="321" spans="29:33" x14ac:dyDescent="0.25">
      <c r="AC321" s="12"/>
      <c r="AD321" s="12"/>
      <c r="AF321" s="12"/>
      <c r="AG321" s="12"/>
    </row>
    <row r="322" spans="29:33" x14ac:dyDescent="0.25">
      <c r="AC322" s="12"/>
      <c r="AD322" s="12"/>
      <c r="AF322" s="12"/>
      <c r="AG322" s="12"/>
    </row>
    <row r="323" spans="29:33" x14ac:dyDescent="0.25">
      <c r="AC323" s="12"/>
      <c r="AD323" s="12"/>
      <c r="AF323" s="12"/>
      <c r="AG323" s="12"/>
    </row>
    <row r="324" spans="29:33" x14ac:dyDescent="0.25">
      <c r="AC324" s="12"/>
      <c r="AD324" s="12"/>
      <c r="AF324" s="12"/>
      <c r="AG324" s="12"/>
    </row>
    <row r="325" spans="29:33" x14ac:dyDescent="0.25">
      <c r="AC325" s="12"/>
      <c r="AD325" s="12"/>
      <c r="AF325" s="12"/>
      <c r="AG325" s="12"/>
    </row>
    <row r="326" spans="29:33" x14ac:dyDescent="0.25">
      <c r="AC326" s="12"/>
      <c r="AD326" s="12"/>
      <c r="AF326" s="12"/>
      <c r="AG326" s="12"/>
    </row>
    <row r="327" spans="29:33" x14ac:dyDescent="0.25">
      <c r="AC327" s="12"/>
      <c r="AD327" s="12"/>
      <c r="AF327" s="12"/>
      <c r="AG327" s="12"/>
    </row>
    <row r="328" spans="29:33" x14ac:dyDescent="0.25">
      <c r="AC328" s="12"/>
      <c r="AD328" s="12"/>
      <c r="AF328" s="12"/>
      <c r="AG328" s="12"/>
    </row>
    <row r="329" spans="29:33" x14ac:dyDescent="0.25">
      <c r="AC329" s="12"/>
      <c r="AD329" s="12"/>
      <c r="AF329" s="12"/>
      <c r="AG329" s="12"/>
    </row>
    <row r="330" spans="29:33" x14ac:dyDescent="0.25">
      <c r="AC330" s="12"/>
      <c r="AD330" s="12"/>
      <c r="AF330" s="12"/>
      <c r="AG330" s="12"/>
    </row>
    <row r="331" spans="29:33" x14ac:dyDescent="0.25">
      <c r="AC331" s="12"/>
      <c r="AD331" s="12"/>
      <c r="AF331" s="12"/>
      <c r="AG331" s="12"/>
    </row>
    <row r="332" spans="29:33" x14ac:dyDescent="0.25">
      <c r="AC332" s="12"/>
      <c r="AD332" s="12"/>
      <c r="AF332" s="12"/>
      <c r="AG332" s="12"/>
    </row>
    <row r="333" spans="29:33" x14ac:dyDescent="0.25">
      <c r="AC333" s="12"/>
      <c r="AD333" s="12"/>
      <c r="AF333" s="12"/>
      <c r="AG333" s="12"/>
    </row>
    <row r="334" spans="29:33" x14ac:dyDescent="0.25">
      <c r="AC334" s="12"/>
      <c r="AD334" s="12"/>
      <c r="AF334" s="12"/>
      <c r="AG334" s="12"/>
    </row>
    <row r="335" spans="29:33" x14ac:dyDescent="0.25">
      <c r="AC335" s="12"/>
      <c r="AD335" s="12"/>
      <c r="AF335" s="12"/>
      <c r="AG335" s="12"/>
    </row>
    <row r="336" spans="29:33" x14ac:dyDescent="0.25">
      <c r="AC336" s="12"/>
      <c r="AD336" s="12"/>
      <c r="AF336" s="12"/>
      <c r="AG336" s="12"/>
    </row>
    <row r="337" spans="29:33" x14ac:dyDescent="0.25">
      <c r="AC337" s="12"/>
      <c r="AD337" s="12"/>
      <c r="AF337" s="12"/>
      <c r="AG337" s="12"/>
    </row>
    <row r="338" spans="29:33" x14ac:dyDescent="0.25">
      <c r="AC338" s="12"/>
      <c r="AD338" s="12"/>
      <c r="AF338" s="12"/>
      <c r="AG338" s="12"/>
    </row>
    <row r="339" spans="29:33" x14ac:dyDescent="0.25">
      <c r="AC339" s="12"/>
      <c r="AD339" s="12"/>
      <c r="AF339" s="12"/>
      <c r="AG339" s="12"/>
    </row>
    <row r="340" spans="29:33" x14ac:dyDescent="0.25">
      <c r="AC340" s="12"/>
      <c r="AD340" s="12"/>
      <c r="AF340" s="12"/>
      <c r="AG340" s="12"/>
    </row>
    <row r="341" spans="29:33" x14ac:dyDescent="0.25">
      <c r="AC341" s="12"/>
      <c r="AD341" s="12"/>
      <c r="AF341" s="12"/>
      <c r="AG341" s="12"/>
    </row>
    <row r="342" spans="29:33" x14ac:dyDescent="0.25">
      <c r="AC342" s="12"/>
      <c r="AD342" s="12"/>
      <c r="AF342" s="12"/>
      <c r="AG342" s="12"/>
    </row>
    <row r="343" spans="29:33" x14ac:dyDescent="0.25">
      <c r="AC343" s="12"/>
      <c r="AD343" s="12"/>
      <c r="AF343" s="12"/>
      <c r="AG343" s="12"/>
    </row>
    <row r="344" spans="29:33" x14ac:dyDescent="0.25">
      <c r="AC344" s="12"/>
      <c r="AD344" s="12"/>
      <c r="AF344" s="12"/>
      <c r="AG344" s="12"/>
    </row>
    <row r="345" spans="29:33" x14ac:dyDescent="0.25">
      <c r="AC345" s="12"/>
      <c r="AD345" s="12"/>
      <c r="AF345" s="12"/>
      <c r="AG345" s="12"/>
    </row>
    <row r="346" spans="29:33" x14ac:dyDescent="0.25">
      <c r="AC346" s="12"/>
      <c r="AD346" s="12"/>
      <c r="AF346" s="12"/>
      <c r="AG346" s="12"/>
    </row>
    <row r="347" spans="29:33" x14ac:dyDescent="0.25">
      <c r="AC347" s="12"/>
      <c r="AD347" s="12"/>
      <c r="AF347" s="12"/>
      <c r="AG347" s="12"/>
    </row>
    <row r="348" spans="29:33" x14ac:dyDescent="0.25">
      <c r="AC348" s="12"/>
      <c r="AD348" s="12"/>
      <c r="AF348" s="12"/>
      <c r="AG348" s="12"/>
    </row>
    <row r="349" spans="29:33" x14ac:dyDescent="0.25">
      <c r="AC349" s="12"/>
      <c r="AD349" s="12"/>
      <c r="AF349" s="12"/>
      <c r="AG349" s="12"/>
    </row>
    <row r="350" spans="29:33" x14ac:dyDescent="0.25">
      <c r="AC350" s="12"/>
      <c r="AD350" s="12"/>
      <c r="AF350" s="12"/>
      <c r="AG350" s="12"/>
    </row>
    <row r="351" spans="29:33" x14ac:dyDescent="0.25">
      <c r="AC351" s="12"/>
      <c r="AD351" s="12"/>
      <c r="AF351" s="12"/>
      <c r="AG351" s="12"/>
    </row>
    <row r="352" spans="29:33" x14ac:dyDescent="0.25">
      <c r="AC352" s="12"/>
      <c r="AD352" s="12"/>
      <c r="AF352" s="12"/>
      <c r="AG352" s="12"/>
    </row>
    <row r="353" spans="29:33" x14ac:dyDescent="0.25">
      <c r="AC353" s="12"/>
      <c r="AD353" s="12"/>
      <c r="AF353" s="12"/>
      <c r="AG353" s="12"/>
    </row>
    <row r="354" spans="29:33" x14ac:dyDescent="0.25">
      <c r="AC354" s="12"/>
      <c r="AD354" s="12"/>
      <c r="AF354" s="12"/>
      <c r="AG354" s="12"/>
    </row>
    <row r="355" spans="29:33" x14ac:dyDescent="0.25">
      <c r="AC355" s="12"/>
      <c r="AD355" s="12"/>
      <c r="AF355" s="12"/>
      <c r="AG355" s="12"/>
    </row>
    <row r="356" spans="29:33" x14ac:dyDescent="0.25">
      <c r="AC356" s="12"/>
      <c r="AD356" s="12"/>
      <c r="AF356" s="12"/>
      <c r="AG356" s="12"/>
    </row>
    <row r="357" spans="29:33" x14ac:dyDescent="0.25">
      <c r="AC357" s="12"/>
      <c r="AD357" s="12"/>
      <c r="AF357" s="12"/>
      <c r="AG357" s="12"/>
    </row>
    <row r="358" spans="29:33" x14ac:dyDescent="0.25">
      <c r="AC358" s="12"/>
      <c r="AD358" s="12"/>
      <c r="AF358" s="12"/>
      <c r="AG358" s="12"/>
    </row>
    <row r="359" spans="29:33" x14ac:dyDescent="0.25">
      <c r="AC359" s="12"/>
      <c r="AD359" s="12"/>
      <c r="AF359" s="12"/>
      <c r="AG359" s="12"/>
    </row>
    <row r="360" spans="29:33" x14ac:dyDescent="0.25">
      <c r="AC360" s="12"/>
      <c r="AD360" s="12"/>
      <c r="AF360" s="12"/>
      <c r="AG360" s="12"/>
    </row>
    <row r="361" spans="29:33" x14ac:dyDescent="0.25">
      <c r="AC361" s="12"/>
      <c r="AD361" s="12"/>
      <c r="AF361" s="12"/>
      <c r="AG361" s="12"/>
    </row>
    <row r="362" spans="29:33" x14ac:dyDescent="0.25">
      <c r="AC362" s="12"/>
      <c r="AD362" s="12"/>
      <c r="AF362" s="12"/>
      <c r="AG362" s="12"/>
    </row>
    <row r="363" spans="29:33" x14ac:dyDescent="0.25">
      <c r="AC363" s="12"/>
      <c r="AD363" s="12"/>
      <c r="AF363" s="12"/>
      <c r="AG363" s="12"/>
    </row>
    <row r="364" spans="29:33" x14ac:dyDescent="0.25">
      <c r="AC364" s="12"/>
      <c r="AD364" s="12"/>
      <c r="AF364" s="12"/>
      <c r="AG364" s="12"/>
    </row>
    <row r="365" spans="29:33" x14ac:dyDescent="0.25">
      <c r="AC365" s="12"/>
      <c r="AD365" s="12"/>
      <c r="AF365" s="12"/>
      <c r="AG365" s="12"/>
    </row>
    <row r="366" spans="29:33" x14ac:dyDescent="0.25">
      <c r="AC366" s="12"/>
      <c r="AD366" s="12"/>
      <c r="AF366" s="12"/>
      <c r="AG366" s="12"/>
    </row>
    <row r="367" spans="29:33" x14ac:dyDescent="0.25">
      <c r="AC367" s="12"/>
      <c r="AD367" s="12"/>
      <c r="AF367" s="12"/>
      <c r="AG367" s="12"/>
    </row>
    <row r="368" spans="29:33" x14ac:dyDescent="0.25">
      <c r="AC368" s="12"/>
      <c r="AD368" s="12"/>
      <c r="AF368" s="12"/>
      <c r="AG368" s="12"/>
    </row>
    <row r="369" spans="29:33" x14ac:dyDescent="0.25">
      <c r="AC369" s="12"/>
      <c r="AD369" s="12"/>
      <c r="AF369" s="12"/>
      <c r="AG369" s="12"/>
    </row>
    <row r="370" spans="29:33" x14ac:dyDescent="0.25">
      <c r="AC370" s="12"/>
      <c r="AD370" s="12"/>
      <c r="AF370" s="12"/>
      <c r="AG370" s="12"/>
    </row>
    <row r="371" spans="29:33" x14ac:dyDescent="0.25">
      <c r="AC371" s="12"/>
      <c r="AD371" s="12"/>
      <c r="AF371" s="12"/>
      <c r="AG371" s="12"/>
    </row>
    <row r="372" spans="29:33" x14ac:dyDescent="0.25">
      <c r="AC372" s="12"/>
      <c r="AD372" s="12"/>
      <c r="AF372" s="12"/>
      <c r="AG372" s="12"/>
    </row>
    <row r="373" spans="29:33" x14ac:dyDescent="0.25">
      <c r="AC373" s="12"/>
      <c r="AD373" s="12"/>
      <c r="AF373" s="12"/>
      <c r="AG373" s="12"/>
    </row>
    <row r="374" spans="29:33" x14ac:dyDescent="0.25">
      <c r="AC374" s="12"/>
      <c r="AD374" s="12"/>
      <c r="AF374" s="12"/>
      <c r="AG374" s="12"/>
    </row>
    <row r="375" spans="29:33" x14ac:dyDescent="0.25">
      <c r="AC375" s="12"/>
      <c r="AD375" s="12"/>
      <c r="AF375" s="12"/>
      <c r="AG375" s="12"/>
    </row>
    <row r="376" spans="29:33" x14ac:dyDescent="0.25">
      <c r="AC376" s="12"/>
      <c r="AD376" s="12"/>
      <c r="AF376" s="12"/>
      <c r="AG376" s="12"/>
    </row>
    <row r="377" spans="29:33" x14ac:dyDescent="0.25">
      <c r="AC377" s="12"/>
      <c r="AD377" s="12"/>
      <c r="AF377" s="12"/>
      <c r="AG377" s="12"/>
    </row>
    <row r="378" spans="29:33" x14ac:dyDescent="0.25">
      <c r="AC378" s="12"/>
      <c r="AD378" s="12"/>
      <c r="AF378" s="12"/>
      <c r="AG378" s="12"/>
    </row>
    <row r="379" spans="29:33" x14ac:dyDescent="0.25">
      <c r="AC379" s="12"/>
      <c r="AD379" s="12"/>
      <c r="AF379" s="12"/>
      <c r="AG379" s="12"/>
    </row>
    <row r="380" spans="29:33" x14ac:dyDescent="0.25">
      <c r="AC380" s="12"/>
      <c r="AD380" s="12"/>
      <c r="AF380" s="12"/>
      <c r="AG380" s="12"/>
    </row>
    <row r="381" spans="29:33" x14ac:dyDescent="0.25">
      <c r="AC381" s="12"/>
      <c r="AD381" s="12"/>
      <c r="AF381" s="12"/>
      <c r="AG381" s="12"/>
    </row>
    <row r="382" spans="29:33" x14ac:dyDescent="0.25">
      <c r="AC382" s="12"/>
      <c r="AD382" s="12"/>
      <c r="AF382" s="12"/>
      <c r="AG382" s="12"/>
    </row>
    <row r="383" spans="29:33" x14ac:dyDescent="0.25">
      <c r="AC383" s="12"/>
      <c r="AD383" s="12"/>
      <c r="AF383" s="12"/>
      <c r="AG383" s="12"/>
    </row>
    <row r="384" spans="29:33" x14ac:dyDescent="0.25">
      <c r="AC384" s="12"/>
      <c r="AD384" s="12"/>
      <c r="AF384" s="12"/>
      <c r="AG384" s="12"/>
    </row>
    <row r="385" spans="29:33" x14ac:dyDescent="0.25">
      <c r="AC385" s="12"/>
      <c r="AD385" s="12"/>
      <c r="AF385" s="12"/>
      <c r="AG385" s="12"/>
    </row>
    <row r="386" spans="29:33" x14ac:dyDescent="0.25">
      <c r="AC386" s="12"/>
      <c r="AD386" s="12"/>
      <c r="AF386" s="12"/>
      <c r="AG386" s="12"/>
    </row>
    <row r="387" spans="29:33" x14ac:dyDescent="0.25">
      <c r="AC387" s="12"/>
      <c r="AD387" s="12"/>
      <c r="AF387" s="12"/>
      <c r="AG387" s="12"/>
    </row>
    <row r="388" spans="29:33" x14ac:dyDescent="0.25">
      <c r="AC388" s="12"/>
      <c r="AD388" s="12"/>
      <c r="AF388" s="12"/>
      <c r="AG388" s="12"/>
    </row>
    <row r="389" spans="29:33" x14ac:dyDescent="0.25">
      <c r="AC389" s="12"/>
      <c r="AD389" s="12"/>
      <c r="AF389" s="12"/>
      <c r="AG389" s="12"/>
    </row>
    <row r="390" spans="29:33" x14ac:dyDescent="0.25">
      <c r="AC390" s="12"/>
      <c r="AD390" s="12"/>
      <c r="AF390" s="12"/>
      <c r="AG390" s="12"/>
    </row>
    <row r="391" spans="29:33" x14ac:dyDescent="0.25">
      <c r="AC391" s="12"/>
      <c r="AD391" s="12"/>
      <c r="AF391" s="12"/>
      <c r="AG391" s="12"/>
    </row>
    <row r="392" spans="29:33" x14ac:dyDescent="0.25">
      <c r="AC392" s="12"/>
      <c r="AD392" s="12"/>
      <c r="AF392" s="12"/>
      <c r="AG392" s="12"/>
    </row>
    <row r="393" spans="29:33" x14ac:dyDescent="0.25">
      <c r="AC393" s="12"/>
      <c r="AD393" s="12"/>
      <c r="AF393" s="12"/>
      <c r="AG393" s="12"/>
    </row>
    <row r="394" spans="29:33" x14ac:dyDescent="0.25">
      <c r="AC394" s="12"/>
      <c r="AD394" s="12"/>
      <c r="AF394" s="12"/>
      <c r="AG394" s="12"/>
    </row>
    <row r="395" spans="29:33" x14ac:dyDescent="0.25">
      <c r="AC395" s="12"/>
      <c r="AD395" s="12"/>
      <c r="AF395" s="12"/>
      <c r="AG395" s="12"/>
    </row>
    <row r="396" spans="29:33" x14ac:dyDescent="0.25">
      <c r="AC396" s="12"/>
      <c r="AD396" s="12"/>
      <c r="AF396" s="12"/>
      <c r="AG396" s="12"/>
    </row>
    <row r="397" spans="29:33" x14ac:dyDescent="0.25">
      <c r="AC397" s="12"/>
      <c r="AD397" s="12"/>
      <c r="AF397" s="12"/>
      <c r="AG397" s="12"/>
    </row>
    <row r="398" spans="29:33" x14ac:dyDescent="0.25">
      <c r="AC398" s="12"/>
      <c r="AD398" s="12"/>
      <c r="AF398" s="12"/>
      <c r="AG398" s="12"/>
    </row>
    <row r="399" spans="29:33" x14ac:dyDescent="0.25">
      <c r="AC399" s="12"/>
      <c r="AD399" s="12"/>
      <c r="AF399" s="12"/>
      <c r="AG399" s="12"/>
    </row>
    <row r="400" spans="29:33" x14ac:dyDescent="0.25">
      <c r="AC400" s="12"/>
      <c r="AD400" s="12"/>
      <c r="AF400" s="12"/>
      <c r="AG400" s="12"/>
    </row>
    <row r="401" spans="29:33" x14ac:dyDescent="0.25">
      <c r="AC401" s="12"/>
      <c r="AD401" s="12"/>
      <c r="AF401" s="12"/>
      <c r="AG401" s="12"/>
    </row>
    <row r="402" spans="29:33" x14ac:dyDescent="0.25">
      <c r="AC402" s="12"/>
      <c r="AD402" s="12"/>
      <c r="AF402" s="12"/>
      <c r="AG402" s="12"/>
    </row>
    <row r="403" spans="29:33" x14ac:dyDescent="0.25">
      <c r="AC403" s="12"/>
      <c r="AD403" s="12"/>
      <c r="AF403" s="12"/>
      <c r="AG403" s="12"/>
    </row>
    <row r="404" spans="29:33" x14ac:dyDescent="0.25">
      <c r="AC404" s="12"/>
      <c r="AD404" s="12"/>
      <c r="AF404" s="12"/>
      <c r="AG404" s="12"/>
    </row>
    <row r="405" spans="29:33" x14ac:dyDescent="0.25">
      <c r="AC405" s="12"/>
      <c r="AD405" s="12"/>
      <c r="AF405" s="12"/>
      <c r="AG405" s="12"/>
    </row>
    <row r="406" spans="29:33" x14ac:dyDescent="0.25">
      <c r="AC406" s="12"/>
      <c r="AD406" s="12"/>
      <c r="AF406" s="12"/>
      <c r="AG406" s="12"/>
    </row>
    <row r="407" spans="29:33" x14ac:dyDescent="0.25">
      <c r="AC407" s="12"/>
      <c r="AD407" s="12"/>
      <c r="AF407" s="12"/>
      <c r="AG407" s="12"/>
    </row>
    <row r="408" spans="29:33" x14ac:dyDescent="0.25">
      <c r="AC408" s="12"/>
      <c r="AD408" s="12"/>
      <c r="AF408" s="12"/>
      <c r="AG408" s="12"/>
    </row>
    <row r="409" spans="29:33" x14ac:dyDescent="0.25">
      <c r="AC409" s="12"/>
      <c r="AD409" s="12"/>
      <c r="AF409" s="12"/>
      <c r="AG409" s="12"/>
    </row>
    <row r="410" spans="29:33" x14ac:dyDescent="0.25">
      <c r="AC410" s="12"/>
      <c r="AD410" s="12"/>
      <c r="AF410" s="12"/>
      <c r="AG410" s="12"/>
    </row>
    <row r="411" spans="29:33" x14ac:dyDescent="0.25">
      <c r="AC411" s="12"/>
      <c r="AD411" s="12"/>
      <c r="AF411" s="12"/>
      <c r="AG411" s="12"/>
    </row>
    <row r="412" spans="29:33" x14ac:dyDescent="0.25">
      <c r="AC412" s="12"/>
      <c r="AD412" s="12"/>
      <c r="AF412" s="12"/>
      <c r="AG412" s="12"/>
    </row>
    <row r="413" spans="29:33" x14ac:dyDescent="0.25">
      <c r="AC413" s="12"/>
      <c r="AD413" s="12"/>
      <c r="AF413" s="12"/>
      <c r="AG413" s="12"/>
    </row>
    <row r="414" spans="29:33" x14ac:dyDescent="0.25">
      <c r="AC414" s="12"/>
      <c r="AD414" s="12"/>
      <c r="AF414" s="12"/>
      <c r="AG414" s="12"/>
    </row>
    <row r="415" spans="29:33" x14ac:dyDescent="0.25">
      <c r="AC415" s="12"/>
      <c r="AD415" s="12"/>
      <c r="AF415" s="12"/>
      <c r="AG415" s="12"/>
    </row>
    <row r="416" spans="29:33" x14ac:dyDescent="0.25">
      <c r="AC416" s="12"/>
      <c r="AD416" s="12"/>
      <c r="AF416" s="12"/>
      <c r="AG416" s="12"/>
    </row>
    <row r="417" spans="29:33" x14ac:dyDescent="0.25">
      <c r="AC417" s="12"/>
      <c r="AD417" s="12"/>
      <c r="AF417" s="12"/>
      <c r="AG417" s="12"/>
    </row>
    <row r="418" spans="29:33" x14ac:dyDescent="0.25">
      <c r="AC418" s="12"/>
      <c r="AD418" s="12"/>
      <c r="AF418" s="12"/>
      <c r="AG418" s="12"/>
    </row>
    <row r="419" spans="29:33" x14ac:dyDescent="0.25">
      <c r="AC419" s="12"/>
      <c r="AD419" s="12"/>
      <c r="AF419" s="12"/>
      <c r="AG419" s="12"/>
    </row>
    <row r="420" spans="29:33" x14ac:dyDescent="0.25">
      <c r="AC420" s="12"/>
      <c r="AD420" s="12"/>
      <c r="AF420" s="12"/>
      <c r="AG420" s="12"/>
    </row>
    <row r="421" spans="29:33" x14ac:dyDescent="0.25">
      <c r="AC421" s="12"/>
      <c r="AD421" s="12"/>
      <c r="AF421" s="12"/>
      <c r="AG421" s="12"/>
    </row>
    <row r="422" spans="29:33" x14ac:dyDescent="0.25">
      <c r="AC422" s="12"/>
      <c r="AD422" s="12"/>
      <c r="AF422" s="12"/>
      <c r="AG422" s="12"/>
    </row>
    <row r="423" spans="29:33" x14ac:dyDescent="0.25">
      <c r="AC423" s="12"/>
      <c r="AD423" s="12"/>
      <c r="AF423" s="12"/>
      <c r="AG423" s="12"/>
    </row>
    <row r="424" spans="29:33" x14ac:dyDescent="0.25">
      <c r="AC424" s="12"/>
      <c r="AD424" s="12"/>
      <c r="AF424" s="12"/>
      <c r="AG424" s="12"/>
    </row>
    <row r="425" spans="29:33" x14ac:dyDescent="0.25">
      <c r="AC425" s="12"/>
      <c r="AD425" s="12"/>
      <c r="AF425" s="12"/>
      <c r="AG425" s="12"/>
    </row>
    <row r="426" spans="29:33" x14ac:dyDescent="0.25">
      <c r="AC426" s="12"/>
      <c r="AD426" s="12"/>
      <c r="AF426" s="12"/>
      <c r="AG426" s="12"/>
    </row>
    <row r="427" spans="29:33" x14ac:dyDescent="0.25">
      <c r="AC427" s="12"/>
      <c r="AD427" s="12"/>
      <c r="AF427" s="12"/>
      <c r="AG427" s="12"/>
    </row>
    <row r="428" spans="29:33" x14ac:dyDescent="0.25">
      <c r="AC428" s="12"/>
      <c r="AD428" s="12"/>
      <c r="AF428" s="12"/>
      <c r="AG428" s="12"/>
    </row>
    <row r="429" spans="29:33" x14ac:dyDescent="0.25">
      <c r="AC429" s="12"/>
      <c r="AD429" s="12"/>
      <c r="AF429" s="12"/>
      <c r="AG429" s="12"/>
    </row>
    <row r="430" spans="29:33" x14ac:dyDescent="0.25">
      <c r="AC430" s="12"/>
      <c r="AD430" s="12"/>
      <c r="AF430" s="12"/>
      <c r="AG430" s="12"/>
    </row>
    <row r="431" spans="29:33" x14ac:dyDescent="0.25">
      <c r="AC431" s="12"/>
      <c r="AD431" s="12"/>
      <c r="AF431" s="12"/>
      <c r="AG431" s="12"/>
    </row>
    <row r="432" spans="29:33" x14ac:dyDescent="0.25">
      <c r="AC432" s="12"/>
      <c r="AD432" s="12"/>
      <c r="AF432" s="12"/>
      <c r="AG432" s="12"/>
    </row>
    <row r="433" spans="29:33" x14ac:dyDescent="0.25">
      <c r="AC433" s="12"/>
      <c r="AD433" s="12"/>
      <c r="AF433" s="12"/>
      <c r="AG433" s="12"/>
    </row>
    <row r="434" spans="29:33" x14ac:dyDescent="0.25">
      <c r="AC434" s="12"/>
      <c r="AD434" s="12"/>
      <c r="AF434" s="12"/>
      <c r="AG434" s="12"/>
    </row>
    <row r="435" spans="29:33" x14ac:dyDescent="0.25">
      <c r="AC435" s="12"/>
      <c r="AD435" s="12"/>
      <c r="AF435" s="12"/>
      <c r="AG435" s="12"/>
    </row>
    <row r="436" spans="29:33" x14ac:dyDescent="0.25">
      <c r="AC436" s="12"/>
      <c r="AD436" s="12"/>
      <c r="AF436" s="12"/>
      <c r="AG436" s="12"/>
    </row>
    <row r="437" spans="29:33" x14ac:dyDescent="0.25">
      <c r="AC437" s="12"/>
      <c r="AD437" s="12"/>
      <c r="AF437" s="12"/>
      <c r="AG437" s="12"/>
    </row>
    <row r="438" spans="29:33" x14ac:dyDescent="0.25">
      <c r="AC438" s="12"/>
      <c r="AD438" s="12"/>
      <c r="AF438" s="12"/>
      <c r="AG438" s="12"/>
    </row>
    <row r="439" spans="29:33" x14ac:dyDescent="0.25">
      <c r="AC439" s="12"/>
      <c r="AD439" s="12"/>
      <c r="AF439" s="12"/>
      <c r="AG439" s="12"/>
    </row>
    <row r="440" spans="29:33" x14ac:dyDescent="0.25">
      <c r="AC440" s="12"/>
      <c r="AD440" s="12"/>
      <c r="AF440" s="12"/>
      <c r="AG440" s="12"/>
    </row>
    <row r="441" spans="29:33" x14ac:dyDescent="0.25">
      <c r="AC441" s="12"/>
      <c r="AD441" s="12"/>
      <c r="AF441" s="12"/>
      <c r="AG441" s="12"/>
    </row>
    <row r="442" spans="29:33" x14ac:dyDescent="0.25">
      <c r="AC442" s="12"/>
      <c r="AD442" s="12"/>
      <c r="AF442" s="12"/>
      <c r="AG442" s="12"/>
    </row>
    <row r="443" spans="29:33" x14ac:dyDescent="0.25">
      <c r="AC443" s="12"/>
      <c r="AD443" s="12"/>
      <c r="AF443" s="12"/>
      <c r="AG443" s="12"/>
    </row>
    <row r="444" spans="29:33" x14ac:dyDescent="0.25">
      <c r="AC444" s="12"/>
      <c r="AD444" s="12"/>
      <c r="AF444" s="12"/>
      <c r="AG444" s="12"/>
    </row>
    <row r="445" spans="29:33" x14ac:dyDescent="0.25">
      <c r="AC445" s="12"/>
      <c r="AD445" s="12"/>
      <c r="AF445" s="12"/>
      <c r="AG445" s="12"/>
    </row>
    <row r="446" spans="29:33" x14ac:dyDescent="0.25">
      <c r="AC446" s="12"/>
      <c r="AD446" s="12"/>
      <c r="AF446" s="12"/>
      <c r="AG446" s="12"/>
    </row>
    <row r="447" spans="29:33" x14ac:dyDescent="0.25">
      <c r="AC447" s="12"/>
      <c r="AD447" s="12"/>
      <c r="AF447" s="12"/>
      <c r="AG447" s="12"/>
    </row>
    <row r="448" spans="29:33" x14ac:dyDescent="0.25">
      <c r="AC448" s="12"/>
      <c r="AD448" s="12"/>
      <c r="AF448" s="12"/>
      <c r="AG448" s="12"/>
    </row>
    <row r="449" spans="29:33" x14ac:dyDescent="0.25">
      <c r="AC449" s="12"/>
      <c r="AD449" s="12"/>
      <c r="AF449" s="12"/>
      <c r="AG449" s="12"/>
    </row>
    <row r="450" spans="29:33" x14ac:dyDescent="0.25">
      <c r="AC450" s="12"/>
      <c r="AD450" s="12"/>
      <c r="AF450" s="12"/>
      <c r="AG450" s="12"/>
    </row>
    <row r="451" spans="29:33" x14ac:dyDescent="0.25">
      <c r="AC451" s="12"/>
      <c r="AD451" s="12"/>
      <c r="AF451" s="12"/>
      <c r="AG451" s="12"/>
    </row>
    <row r="452" spans="29:33" x14ac:dyDescent="0.25">
      <c r="AC452" s="12"/>
      <c r="AD452" s="12"/>
      <c r="AF452" s="12"/>
      <c r="AG452" s="12"/>
    </row>
    <row r="453" spans="29:33" x14ac:dyDescent="0.25">
      <c r="AC453" s="12"/>
      <c r="AD453" s="12"/>
      <c r="AF453" s="12"/>
      <c r="AG453" s="12"/>
    </row>
    <row r="454" spans="29:33" x14ac:dyDescent="0.25">
      <c r="AC454" s="12"/>
      <c r="AD454" s="12"/>
      <c r="AF454" s="12"/>
      <c r="AG454" s="12"/>
    </row>
    <row r="455" spans="29:33" x14ac:dyDescent="0.25">
      <c r="AC455" s="12"/>
      <c r="AD455" s="12"/>
      <c r="AF455" s="12"/>
      <c r="AG455" s="12"/>
    </row>
    <row r="456" spans="29:33" x14ac:dyDescent="0.25">
      <c r="AC456" s="12"/>
      <c r="AD456" s="12"/>
      <c r="AF456" s="12"/>
      <c r="AG456" s="12"/>
    </row>
    <row r="457" spans="29:33" x14ac:dyDescent="0.25">
      <c r="AC457" s="12"/>
      <c r="AD457" s="12"/>
      <c r="AF457" s="12"/>
      <c r="AG457" s="12"/>
    </row>
    <row r="458" spans="29:33" x14ac:dyDescent="0.25">
      <c r="AC458" s="12"/>
      <c r="AD458" s="12"/>
      <c r="AF458" s="12"/>
      <c r="AG458" s="12"/>
    </row>
    <row r="459" spans="29:33" x14ac:dyDescent="0.25">
      <c r="AC459" s="12"/>
      <c r="AD459" s="12"/>
      <c r="AF459" s="12"/>
      <c r="AG459" s="12"/>
    </row>
    <row r="460" spans="29:33" x14ac:dyDescent="0.25">
      <c r="AC460" s="12"/>
      <c r="AD460" s="12"/>
      <c r="AF460" s="12"/>
      <c r="AG460" s="12"/>
    </row>
    <row r="461" spans="29:33" x14ac:dyDescent="0.25">
      <c r="AC461" s="12"/>
      <c r="AD461" s="12"/>
      <c r="AF461" s="12"/>
      <c r="AG461" s="12"/>
    </row>
    <row r="462" spans="29:33" x14ac:dyDescent="0.25">
      <c r="AC462" s="12"/>
      <c r="AD462" s="12"/>
      <c r="AF462" s="12"/>
      <c r="AG462" s="12"/>
    </row>
    <row r="463" spans="29:33" x14ac:dyDescent="0.25">
      <c r="AC463" s="12"/>
      <c r="AD463" s="12"/>
      <c r="AF463" s="12"/>
      <c r="AG463" s="12"/>
    </row>
    <row r="464" spans="29:33" x14ac:dyDescent="0.25">
      <c r="AC464" s="12"/>
      <c r="AD464" s="12"/>
      <c r="AF464" s="12"/>
      <c r="AG464" s="12"/>
    </row>
    <row r="465" spans="29:33" x14ac:dyDescent="0.25">
      <c r="AC465" s="12"/>
      <c r="AD465" s="12"/>
      <c r="AF465" s="12"/>
      <c r="AG465" s="12"/>
    </row>
    <row r="466" spans="29:33" x14ac:dyDescent="0.25">
      <c r="AC466" s="12"/>
      <c r="AD466" s="12"/>
      <c r="AF466" s="12"/>
      <c r="AG466" s="12"/>
    </row>
    <row r="467" spans="29:33" x14ac:dyDescent="0.25">
      <c r="AC467" s="12"/>
      <c r="AD467" s="12"/>
      <c r="AF467" s="12"/>
      <c r="AG467" s="12"/>
    </row>
    <row r="468" spans="29:33" x14ac:dyDescent="0.25">
      <c r="AC468" s="12"/>
      <c r="AD468" s="12"/>
      <c r="AF468" s="12"/>
      <c r="AG468" s="12"/>
    </row>
    <row r="469" spans="29:33" x14ac:dyDescent="0.25">
      <c r="AC469" s="12"/>
      <c r="AD469" s="12"/>
      <c r="AF469" s="12"/>
      <c r="AG469" s="12"/>
    </row>
    <row r="470" spans="29:33" x14ac:dyDescent="0.25">
      <c r="AC470" s="12"/>
      <c r="AD470" s="12"/>
      <c r="AF470" s="12"/>
      <c r="AG470" s="12"/>
    </row>
    <row r="471" spans="29:33" x14ac:dyDescent="0.25">
      <c r="AC471" s="12"/>
      <c r="AD471" s="12"/>
      <c r="AF471" s="12"/>
      <c r="AG471" s="12"/>
    </row>
    <row r="472" spans="29:33" x14ac:dyDescent="0.25">
      <c r="AC472" s="12"/>
      <c r="AD472" s="12"/>
      <c r="AF472" s="12"/>
      <c r="AG472" s="12"/>
    </row>
    <row r="473" spans="29:33" x14ac:dyDescent="0.25">
      <c r="AC473" s="12"/>
      <c r="AD473" s="12"/>
      <c r="AF473" s="12"/>
      <c r="AG473" s="12"/>
    </row>
    <row r="474" spans="29:33" x14ac:dyDescent="0.25">
      <c r="AC474" s="12"/>
      <c r="AD474" s="12"/>
      <c r="AF474" s="12"/>
      <c r="AG474" s="12"/>
    </row>
    <row r="475" spans="29:33" x14ac:dyDescent="0.25">
      <c r="AC475" s="12"/>
      <c r="AD475" s="12"/>
      <c r="AF475" s="12"/>
      <c r="AG475" s="12"/>
    </row>
    <row r="476" spans="29:33" x14ac:dyDescent="0.25">
      <c r="AC476" s="12"/>
      <c r="AD476" s="12"/>
      <c r="AF476" s="12"/>
      <c r="AG476" s="12"/>
    </row>
    <row r="477" spans="29:33" x14ac:dyDescent="0.25">
      <c r="AC477" s="12"/>
      <c r="AD477" s="12"/>
      <c r="AF477" s="12"/>
      <c r="AG477" s="12"/>
    </row>
    <row r="478" spans="29:33" x14ac:dyDescent="0.25">
      <c r="AC478" s="12"/>
      <c r="AD478" s="12"/>
      <c r="AF478" s="12"/>
      <c r="AG478" s="12"/>
    </row>
    <row r="479" spans="29:33" x14ac:dyDescent="0.25">
      <c r="AC479" s="12"/>
      <c r="AD479" s="12"/>
      <c r="AF479" s="12"/>
      <c r="AG479" s="12"/>
    </row>
    <row r="480" spans="29:33" x14ac:dyDescent="0.25">
      <c r="AC480" s="12"/>
      <c r="AD480" s="12"/>
      <c r="AF480" s="12"/>
      <c r="AG480" s="12"/>
    </row>
    <row r="481" spans="29:33" x14ac:dyDescent="0.25">
      <c r="AC481" s="12"/>
      <c r="AD481" s="12"/>
      <c r="AF481" s="12"/>
      <c r="AG481" s="12"/>
    </row>
    <row r="482" spans="29:33" x14ac:dyDescent="0.25">
      <c r="AC482" s="12"/>
      <c r="AD482" s="12"/>
      <c r="AF482" s="12"/>
      <c r="AG482" s="12"/>
    </row>
    <row r="483" spans="29:33" x14ac:dyDescent="0.25">
      <c r="AC483" s="12"/>
      <c r="AD483" s="12"/>
      <c r="AF483" s="12"/>
      <c r="AG483" s="12"/>
    </row>
    <row r="484" spans="29:33" x14ac:dyDescent="0.25">
      <c r="AC484" s="12"/>
      <c r="AD484" s="12"/>
      <c r="AF484" s="12"/>
      <c r="AG484" s="12"/>
    </row>
    <row r="485" spans="29:33" x14ac:dyDescent="0.25">
      <c r="AC485" s="12"/>
      <c r="AD485" s="12"/>
      <c r="AF485" s="12"/>
      <c r="AG485" s="12"/>
    </row>
    <row r="486" spans="29:33" x14ac:dyDescent="0.25">
      <c r="AC486" s="12"/>
      <c r="AD486" s="12"/>
      <c r="AF486" s="12"/>
      <c r="AG486" s="12"/>
    </row>
    <row r="487" spans="29:33" x14ac:dyDescent="0.25">
      <c r="AC487" s="12"/>
      <c r="AD487" s="12"/>
      <c r="AF487" s="12"/>
      <c r="AG487" s="12"/>
    </row>
    <row r="488" spans="29:33" x14ac:dyDescent="0.25">
      <c r="AC488" s="12"/>
      <c r="AD488" s="12"/>
      <c r="AF488" s="12"/>
      <c r="AG488" s="12"/>
    </row>
    <row r="489" spans="29:33" x14ac:dyDescent="0.25">
      <c r="AC489" s="12"/>
      <c r="AD489" s="12"/>
      <c r="AF489" s="12"/>
      <c r="AG489" s="12"/>
    </row>
    <row r="490" spans="29:33" x14ac:dyDescent="0.25">
      <c r="AC490" s="12"/>
      <c r="AD490" s="12"/>
      <c r="AF490" s="12"/>
      <c r="AG490" s="12"/>
    </row>
    <row r="491" spans="29:33" x14ac:dyDescent="0.25">
      <c r="AC491" s="12"/>
      <c r="AD491" s="12"/>
      <c r="AF491" s="12"/>
      <c r="AG491" s="12"/>
    </row>
    <row r="492" spans="29:33" x14ac:dyDescent="0.25">
      <c r="AC492" s="12"/>
      <c r="AD492" s="12"/>
      <c r="AF492" s="12"/>
      <c r="AG492" s="12"/>
    </row>
    <row r="493" spans="29:33" x14ac:dyDescent="0.25">
      <c r="AC493" s="12"/>
      <c r="AD493" s="12"/>
      <c r="AF493" s="12"/>
      <c r="AG493" s="12"/>
    </row>
    <row r="494" spans="29:33" x14ac:dyDescent="0.25">
      <c r="AC494" s="12"/>
      <c r="AD494" s="12"/>
      <c r="AF494" s="12"/>
      <c r="AG494" s="12"/>
    </row>
    <row r="495" spans="29:33" x14ac:dyDescent="0.25">
      <c r="AC495" s="12"/>
      <c r="AD495" s="12"/>
      <c r="AF495" s="12"/>
      <c r="AG495" s="12"/>
    </row>
    <row r="496" spans="29:33" x14ac:dyDescent="0.25">
      <c r="AC496" s="12"/>
      <c r="AD496" s="12"/>
      <c r="AF496" s="12"/>
      <c r="AG496" s="12"/>
    </row>
    <row r="497" spans="29:33" x14ac:dyDescent="0.25">
      <c r="AC497" s="12"/>
      <c r="AD497" s="12"/>
      <c r="AF497" s="12"/>
      <c r="AG497" s="12"/>
    </row>
    <row r="498" spans="29:33" x14ac:dyDescent="0.25">
      <c r="AC498" s="12"/>
      <c r="AD498" s="12"/>
      <c r="AF498" s="12"/>
      <c r="AG498" s="12"/>
    </row>
    <row r="499" spans="29:33" x14ac:dyDescent="0.25">
      <c r="AC499" s="12"/>
      <c r="AD499" s="12"/>
      <c r="AF499" s="12"/>
      <c r="AG499" s="12"/>
    </row>
    <row r="500" spans="29:33" x14ac:dyDescent="0.25">
      <c r="AC500" s="12"/>
      <c r="AD500" s="12"/>
      <c r="AF500" s="12"/>
      <c r="AG500" s="12"/>
    </row>
    <row r="501" spans="29:33" x14ac:dyDescent="0.25">
      <c r="AC501" s="12"/>
      <c r="AD501" s="12"/>
      <c r="AF501" s="12"/>
      <c r="AG501" s="12"/>
    </row>
    <row r="502" spans="29:33" x14ac:dyDescent="0.25">
      <c r="AC502" s="12"/>
      <c r="AD502" s="12"/>
      <c r="AF502" s="12"/>
      <c r="AG502" s="12"/>
    </row>
    <row r="503" spans="29:33" x14ac:dyDescent="0.25">
      <c r="AC503" s="12"/>
      <c r="AD503" s="12"/>
      <c r="AF503" s="12"/>
      <c r="AG503" s="12"/>
    </row>
    <row r="504" spans="29:33" x14ac:dyDescent="0.25">
      <c r="AC504" s="12"/>
      <c r="AD504" s="12"/>
      <c r="AF504" s="12"/>
      <c r="AG504" s="12"/>
    </row>
    <row r="505" spans="29:33" x14ac:dyDescent="0.25">
      <c r="AC505" s="12"/>
      <c r="AD505" s="12"/>
      <c r="AF505" s="12"/>
      <c r="AG505" s="12"/>
    </row>
    <row r="506" spans="29:33" x14ac:dyDescent="0.25">
      <c r="AC506" s="12"/>
      <c r="AD506" s="12"/>
      <c r="AF506" s="12"/>
      <c r="AG506" s="12"/>
    </row>
    <row r="507" spans="29:33" x14ac:dyDescent="0.25">
      <c r="AC507" s="12"/>
      <c r="AD507" s="12"/>
      <c r="AF507" s="12"/>
      <c r="AG507" s="12"/>
    </row>
    <row r="508" spans="29:33" x14ac:dyDescent="0.25">
      <c r="AC508" s="12"/>
      <c r="AD508" s="12"/>
      <c r="AF508" s="12"/>
      <c r="AG508" s="12"/>
    </row>
    <row r="509" spans="29:33" x14ac:dyDescent="0.25">
      <c r="AC509" s="12"/>
      <c r="AD509" s="12"/>
      <c r="AF509" s="12"/>
      <c r="AG509" s="12"/>
    </row>
    <row r="510" spans="29:33" x14ac:dyDescent="0.25">
      <c r="AC510" s="12"/>
      <c r="AD510" s="12"/>
      <c r="AF510" s="12"/>
      <c r="AG510" s="12"/>
    </row>
    <row r="511" spans="29:33" x14ac:dyDescent="0.25">
      <c r="AC511" s="12"/>
      <c r="AD511" s="12"/>
      <c r="AF511" s="12"/>
      <c r="AG511" s="12"/>
    </row>
    <row r="512" spans="29:33" x14ac:dyDescent="0.25">
      <c r="AC512" s="12"/>
      <c r="AD512" s="12"/>
      <c r="AF512" s="12"/>
      <c r="AG512" s="12"/>
    </row>
    <row r="513" spans="29:33" x14ac:dyDescent="0.25">
      <c r="AC513" s="12"/>
      <c r="AD513" s="12"/>
      <c r="AF513" s="12"/>
      <c r="AG513" s="12"/>
    </row>
    <row r="514" spans="29:33" x14ac:dyDescent="0.25">
      <c r="AC514" s="12"/>
      <c r="AD514" s="12"/>
      <c r="AF514" s="12"/>
      <c r="AG514" s="12"/>
    </row>
    <row r="515" spans="29:33" x14ac:dyDescent="0.25">
      <c r="AC515" s="12"/>
      <c r="AD515" s="12"/>
      <c r="AF515" s="12"/>
      <c r="AG515" s="12"/>
    </row>
    <row r="516" spans="29:33" x14ac:dyDescent="0.25">
      <c r="AC516" s="12"/>
      <c r="AD516" s="12"/>
      <c r="AF516" s="12"/>
      <c r="AG516" s="12"/>
    </row>
    <row r="517" spans="29:33" x14ac:dyDescent="0.25">
      <c r="AC517" s="12"/>
      <c r="AD517" s="12"/>
      <c r="AF517" s="12"/>
      <c r="AG517" s="12"/>
    </row>
    <row r="518" spans="29:33" x14ac:dyDescent="0.25">
      <c r="AC518" s="12"/>
      <c r="AD518" s="12"/>
      <c r="AF518" s="12"/>
      <c r="AG518" s="12"/>
    </row>
    <row r="519" spans="29:33" x14ac:dyDescent="0.25">
      <c r="AC519" s="12"/>
      <c r="AD519" s="12"/>
      <c r="AF519" s="12"/>
      <c r="AG519" s="12"/>
    </row>
    <row r="520" spans="29:33" x14ac:dyDescent="0.25">
      <c r="AC520" s="12"/>
      <c r="AD520" s="12"/>
      <c r="AF520" s="12"/>
      <c r="AG520" s="12"/>
    </row>
    <row r="521" spans="29:33" x14ac:dyDescent="0.25">
      <c r="AC521" s="12"/>
      <c r="AD521" s="12"/>
      <c r="AF521" s="12"/>
      <c r="AG521" s="12"/>
    </row>
    <row r="522" spans="29:33" x14ac:dyDescent="0.25">
      <c r="AC522" s="12"/>
      <c r="AD522" s="12"/>
      <c r="AF522" s="12"/>
      <c r="AG522" s="12"/>
    </row>
    <row r="523" spans="29:33" x14ac:dyDescent="0.25">
      <c r="AC523" s="12"/>
      <c r="AD523" s="12"/>
      <c r="AF523" s="12"/>
      <c r="AG523" s="12"/>
    </row>
    <row r="524" spans="29:33" x14ac:dyDescent="0.25">
      <c r="AC524" s="12"/>
      <c r="AD524" s="12"/>
      <c r="AF524" s="12"/>
      <c r="AG524" s="12"/>
    </row>
    <row r="525" spans="29:33" x14ac:dyDescent="0.25">
      <c r="AC525" s="12"/>
      <c r="AD525" s="12"/>
      <c r="AF525" s="12"/>
      <c r="AG525" s="12"/>
    </row>
    <row r="526" spans="29:33" x14ac:dyDescent="0.25">
      <c r="AC526" s="12"/>
      <c r="AD526" s="12"/>
      <c r="AF526" s="12"/>
      <c r="AG526" s="12"/>
    </row>
    <row r="527" spans="29:33" x14ac:dyDescent="0.25">
      <c r="AC527" s="12"/>
      <c r="AD527" s="12"/>
      <c r="AF527" s="12"/>
      <c r="AG527" s="12"/>
    </row>
    <row r="528" spans="29:33" x14ac:dyDescent="0.25">
      <c r="AC528" s="12"/>
      <c r="AD528" s="12"/>
      <c r="AF528" s="12"/>
      <c r="AG528" s="12"/>
    </row>
    <row r="529" spans="29:33" x14ac:dyDescent="0.25">
      <c r="AC529" s="12"/>
      <c r="AD529" s="12"/>
      <c r="AF529" s="12"/>
      <c r="AG529" s="12"/>
    </row>
    <row r="530" spans="29:33" x14ac:dyDescent="0.25">
      <c r="AC530" s="12"/>
      <c r="AD530" s="12"/>
      <c r="AF530" s="12"/>
      <c r="AG530" s="12"/>
    </row>
    <row r="531" spans="29:33" x14ac:dyDescent="0.25">
      <c r="AC531" s="12"/>
      <c r="AD531" s="12"/>
      <c r="AF531" s="12"/>
      <c r="AG531" s="12"/>
    </row>
    <row r="532" spans="29:33" x14ac:dyDescent="0.25">
      <c r="AC532" s="12"/>
      <c r="AD532" s="12"/>
      <c r="AF532" s="12"/>
      <c r="AG532" s="12"/>
    </row>
    <row r="533" spans="29:33" x14ac:dyDescent="0.25">
      <c r="AC533" s="12"/>
      <c r="AD533" s="12"/>
      <c r="AF533" s="12"/>
      <c r="AG533" s="12"/>
    </row>
    <row r="534" spans="29:33" x14ac:dyDescent="0.25">
      <c r="AC534" s="12"/>
      <c r="AD534" s="12"/>
      <c r="AF534" s="12"/>
      <c r="AG534" s="12"/>
    </row>
    <row r="535" spans="29:33" x14ac:dyDescent="0.25">
      <c r="AC535" s="12"/>
      <c r="AD535" s="12"/>
      <c r="AF535" s="12"/>
      <c r="AG535" s="12"/>
    </row>
    <row r="536" spans="29:33" x14ac:dyDescent="0.25">
      <c r="AC536" s="12"/>
      <c r="AD536" s="12"/>
      <c r="AF536" s="12"/>
      <c r="AG536" s="12"/>
    </row>
    <row r="537" spans="29:33" x14ac:dyDescent="0.25">
      <c r="AC537" s="12"/>
      <c r="AD537" s="12"/>
      <c r="AF537" s="12"/>
      <c r="AG537" s="12"/>
    </row>
    <row r="538" spans="29:33" x14ac:dyDescent="0.25">
      <c r="AC538" s="12"/>
      <c r="AD538" s="12"/>
      <c r="AF538" s="12"/>
      <c r="AG538" s="12"/>
    </row>
    <row r="539" spans="29:33" x14ac:dyDescent="0.25">
      <c r="AC539" s="12"/>
      <c r="AD539" s="12"/>
      <c r="AF539" s="12"/>
      <c r="AG539" s="12"/>
    </row>
    <row r="540" spans="29:33" x14ac:dyDescent="0.25">
      <c r="AC540" s="12"/>
      <c r="AD540" s="12"/>
      <c r="AF540" s="12"/>
      <c r="AG540" s="12"/>
    </row>
    <row r="541" spans="29:33" x14ac:dyDescent="0.25">
      <c r="AC541" s="12"/>
      <c r="AD541" s="12"/>
      <c r="AF541" s="12"/>
      <c r="AG541" s="12"/>
    </row>
    <row r="542" spans="29:33" x14ac:dyDescent="0.25">
      <c r="AC542" s="12"/>
      <c r="AD542" s="12"/>
      <c r="AF542" s="12"/>
      <c r="AG542" s="12"/>
    </row>
    <row r="543" spans="29:33" x14ac:dyDescent="0.25">
      <c r="AC543" s="12"/>
      <c r="AD543" s="12"/>
      <c r="AF543" s="12"/>
      <c r="AG543" s="12"/>
    </row>
    <row r="544" spans="29:33" x14ac:dyDescent="0.25">
      <c r="AC544" s="12"/>
      <c r="AD544" s="12"/>
      <c r="AF544" s="12"/>
      <c r="AG544" s="12"/>
    </row>
    <row r="545" spans="29:33" x14ac:dyDescent="0.25">
      <c r="AC545" s="12"/>
      <c r="AD545" s="12"/>
      <c r="AF545" s="12"/>
      <c r="AG545" s="12"/>
    </row>
    <row r="546" spans="29:33" x14ac:dyDescent="0.25">
      <c r="AC546" s="12"/>
      <c r="AD546" s="12"/>
      <c r="AF546" s="12"/>
      <c r="AG546" s="12"/>
    </row>
    <row r="547" spans="29:33" x14ac:dyDescent="0.25">
      <c r="AC547" s="12"/>
      <c r="AD547" s="12"/>
      <c r="AF547" s="12"/>
      <c r="AG547" s="12"/>
    </row>
    <row r="548" spans="29:33" x14ac:dyDescent="0.25">
      <c r="AC548" s="12"/>
      <c r="AD548" s="12"/>
      <c r="AF548" s="12"/>
      <c r="AG548" s="12"/>
    </row>
    <row r="549" spans="29:33" x14ac:dyDescent="0.25">
      <c r="AC549" s="12"/>
      <c r="AD549" s="12"/>
      <c r="AF549" s="12"/>
      <c r="AG549" s="12"/>
    </row>
    <row r="550" spans="29:33" x14ac:dyDescent="0.25">
      <c r="AC550" s="12"/>
      <c r="AD550" s="12"/>
      <c r="AF550" s="12"/>
      <c r="AG550" s="12"/>
    </row>
    <row r="551" spans="29:33" x14ac:dyDescent="0.25">
      <c r="AC551" s="12"/>
      <c r="AD551" s="12"/>
      <c r="AF551" s="12"/>
      <c r="AG551" s="12"/>
    </row>
    <row r="552" spans="29:33" x14ac:dyDescent="0.25">
      <c r="AC552" s="12"/>
      <c r="AD552" s="12"/>
      <c r="AF552" s="12"/>
      <c r="AG552" s="12"/>
    </row>
    <row r="553" spans="29:33" x14ac:dyDescent="0.25">
      <c r="AC553" s="12"/>
      <c r="AD553" s="12"/>
      <c r="AF553" s="12"/>
      <c r="AG553" s="12"/>
    </row>
    <row r="554" spans="29:33" x14ac:dyDescent="0.25">
      <c r="AC554" s="12"/>
      <c r="AD554" s="12"/>
      <c r="AF554" s="12"/>
      <c r="AG554" s="12"/>
    </row>
    <row r="555" spans="29:33" x14ac:dyDescent="0.25">
      <c r="AC555" s="12"/>
      <c r="AD555" s="12"/>
      <c r="AF555" s="12"/>
      <c r="AG555" s="12"/>
    </row>
    <row r="556" spans="29:33" x14ac:dyDescent="0.25">
      <c r="AC556" s="12"/>
      <c r="AD556" s="12"/>
      <c r="AF556" s="12"/>
      <c r="AG556" s="12"/>
    </row>
    <row r="557" spans="29:33" x14ac:dyDescent="0.25">
      <c r="AC557" s="12"/>
      <c r="AD557" s="12"/>
      <c r="AF557" s="12"/>
      <c r="AG557" s="12"/>
    </row>
    <row r="558" spans="29:33" x14ac:dyDescent="0.25">
      <c r="AC558" s="12"/>
      <c r="AD558" s="12"/>
      <c r="AF558" s="12"/>
      <c r="AG558" s="12"/>
    </row>
    <row r="559" spans="29:33" x14ac:dyDescent="0.25">
      <c r="AC559" s="12"/>
      <c r="AD559" s="12"/>
      <c r="AF559" s="12"/>
      <c r="AG559" s="12"/>
    </row>
    <row r="560" spans="29:33" x14ac:dyDescent="0.25">
      <c r="AC560" s="12"/>
      <c r="AD560" s="12"/>
      <c r="AF560" s="12"/>
      <c r="AG560" s="12"/>
    </row>
    <row r="561" spans="29:33" x14ac:dyDescent="0.25">
      <c r="AC561" s="12"/>
      <c r="AD561" s="12"/>
      <c r="AF561" s="12"/>
      <c r="AG561" s="12"/>
    </row>
    <row r="562" spans="29:33" x14ac:dyDescent="0.25">
      <c r="AC562" s="12"/>
      <c r="AD562" s="12"/>
      <c r="AF562" s="12"/>
      <c r="AG562" s="12"/>
    </row>
    <row r="563" spans="29:33" x14ac:dyDescent="0.25">
      <c r="AC563" s="12"/>
      <c r="AD563" s="12"/>
      <c r="AF563" s="12"/>
      <c r="AG563" s="12"/>
    </row>
    <row r="564" spans="29:33" x14ac:dyDescent="0.25">
      <c r="AC564" s="12"/>
      <c r="AD564" s="12"/>
      <c r="AF564" s="12"/>
      <c r="AG564" s="12"/>
    </row>
    <row r="565" spans="29:33" x14ac:dyDescent="0.25">
      <c r="AC565" s="12"/>
      <c r="AD565" s="12"/>
      <c r="AF565" s="12"/>
      <c r="AG565" s="12"/>
    </row>
    <row r="566" spans="29:33" x14ac:dyDescent="0.25">
      <c r="AC566" s="12"/>
      <c r="AD566" s="12"/>
      <c r="AF566" s="12"/>
      <c r="AG566" s="12"/>
    </row>
    <row r="567" spans="29:33" x14ac:dyDescent="0.25">
      <c r="AC567" s="12"/>
      <c r="AD567" s="12"/>
      <c r="AF567" s="12"/>
      <c r="AG567" s="12"/>
    </row>
    <row r="568" spans="29:33" x14ac:dyDescent="0.25">
      <c r="AC568" s="12"/>
      <c r="AD568" s="12"/>
      <c r="AF568" s="12"/>
      <c r="AG568" s="12"/>
    </row>
    <row r="569" spans="29:33" x14ac:dyDescent="0.25">
      <c r="AC569" s="12"/>
      <c r="AD569" s="12"/>
      <c r="AF569" s="12"/>
      <c r="AG569" s="12"/>
    </row>
    <row r="570" spans="29:33" x14ac:dyDescent="0.25">
      <c r="AC570" s="12"/>
      <c r="AD570" s="12"/>
      <c r="AF570" s="12"/>
      <c r="AG570" s="12"/>
    </row>
    <row r="571" spans="29:33" x14ac:dyDescent="0.25">
      <c r="AC571" s="12"/>
      <c r="AD571" s="12"/>
      <c r="AF571" s="12"/>
      <c r="AG571" s="12"/>
    </row>
    <row r="572" spans="29:33" x14ac:dyDescent="0.25">
      <c r="AC572" s="12"/>
      <c r="AD572" s="12"/>
      <c r="AF572" s="12"/>
      <c r="AG572" s="12"/>
    </row>
    <row r="573" spans="29:33" x14ac:dyDescent="0.25">
      <c r="AC573" s="12"/>
      <c r="AD573" s="12"/>
      <c r="AF573" s="12"/>
      <c r="AG573" s="12"/>
    </row>
    <row r="574" spans="29:33" x14ac:dyDescent="0.25">
      <c r="AC574" s="12"/>
      <c r="AD574" s="12"/>
      <c r="AF574" s="12"/>
      <c r="AG574" s="12"/>
    </row>
    <row r="575" spans="29:33" x14ac:dyDescent="0.25">
      <c r="AC575" s="12"/>
      <c r="AD575" s="12"/>
      <c r="AF575" s="12"/>
      <c r="AG575" s="12"/>
    </row>
    <row r="576" spans="29:33" x14ac:dyDescent="0.25">
      <c r="AC576" s="12"/>
      <c r="AD576" s="12"/>
      <c r="AF576" s="12"/>
      <c r="AG576" s="12"/>
    </row>
    <row r="577" spans="29:33" x14ac:dyDescent="0.25">
      <c r="AC577" s="12"/>
      <c r="AD577" s="12"/>
      <c r="AF577" s="12"/>
      <c r="AG577" s="12"/>
    </row>
    <row r="578" spans="29:33" x14ac:dyDescent="0.25">
      <c r="AC578" s="12"/>
      <c r="AD578" s="12"/>
      <c r="AF578" s="12"/>
      <c r="AG578" s="12"/>
    </row>
    <row r="579" spans="29:33" x14ac:dyDescent="0.25">
      <c r="AC579" s="12"/>
      <c r="AD579" s="12"/>
      <c r="AF579" s="12"/>
      <c r="AG579" s="12"/>
    </row>
    <row r="580" spans="29:33" x14ac:dyDescent="0.25">
      <c r="AC580" s="12"/>
      <c r="AD580" s="12"/>
      <c r="AF580" s="12"/>
      <c r="AG580" s="12"/>
    </row>
    <row r="581" spans="29:33" x14ac:dyDescent="0.25">
      <c r="AC581" s="12"/>
      <c r="AD581" s="12"/>
      <c r="AF581" s="12"/>
      <c r="AG581" s="12"/>
    </row>
    <row r="582" spans="29:33" x14ac:dyDescent="0.25">
      <c r="AC582" s="12"/>
      <c r="AD582" s="12"/>
      <c r="AF582" s="12"/>
      <c r="AG582" s="12"/>
    </row>
    <row r="583" spans="29:33" x14ac:dyDescent="0.25">
      <c r="AC583" s="12"/>
      <c r="AD583" s="12"/>
      <c r="AF583" s="12"/>
      <c r="AG583" s="12"/>
    </row>
    <row r="584" spans="29:33" x14ac:dyDescent="0.25">
      <c r="AC584" s="12"/>
      <c r="AD584" s="12"/>
      <c r="AF584" s="12"/>
      <c r="AG584" s="12"/>
    </row>
    <row r="585" spans="29:33" x14ac:dyDescent="0.25">
      <c r="AC585" s="12"/>
      <c r="AD585" s="12"/>
      <c r="AF585" s="12"/>
      <c r="AG585" s="12"/>
    </row>
    <row r="586" spans="29:33" x14ac:dyDescent="0.25">
      <c r="AC586" s="12"/>
      <c r="AD586" s="12"/>
      <c r="AF586" s="12"/>
      <c r="AG586" s="12"/>
    </row>
    <row r="587" spans="29:33" x14ac:dyDescent="0.25">
      <c r="AC587" s="12"/>
      <c r="AD587" s="12"/>
      <c r="AF587" s="12"/>
      <c r="AG587" s="12"/>
    </row>
    <row r="588" spans="29:33" x14ac:dyDescent="0.25">
      <c r="AC588" s="12"/>
      <c r="AD588" s="12"/>
      <c r="AF588" s="12"/>
      <c r="AG588" s="12"/>
    </row>
    <row r="589" spans="29:33" x14ac:dyDescent="0.25">
      <c r="AC589" s="12"/>
      <c r="AD589" s="12"/>
      <c r="AF589" s="12"/>
      <c r="AG589" s="12"/>
    </row>
    <row r="590" spans="29:33" x14ac:dyDescent="0.25">
      <c r="AC590" s="12"/>
      <c r="AD590" s="12"/>
      <c r="AF590" s="12"/>
      <c r="AG590" s="12"/>
    </row>
    <row r="591" spans="29:33" x14ac:dyDescent="0.25">
      <c r="AC591" s="12"/>
      <c r="AD591" s="12"/>
      <c r="AF591" s="12"/>
      <c r="AG591" s="12"/>
    </row>
    <row r="592" spans="29:33" x14ac:dyDescent="0.25">
      <c r="AC592" s="12"/>
      <c r="AD592" s="12"/>
      <c r="AF592" s="12"/>
      <c r="AG592" s="12"/>
    </row>
    <row r="593" spans="29:33" x14ac:dyDescent="0.25">
      <c r="AC593" s="12"/>
      <c r="AD593" s="12"/>
      <c r="AF593" s="12"/>
      <c r="AG593" s="12"/>
    </row>
    <row r="594" spans="29:33" x14ac:dyDescent="0.25">
      <c r="AC594" s="12"/>
      <c r="AD594" s="12"/>
      <c r="AF594" s="12"/>
      <c r="AG594" s="12"/>
    </row>
    <row r="595" spans="29:33" x14ac:dyDescent="0.25">
      <c r="AC595" s="12"/>
      <c r="AD595" s="12"/>
      <c r="AF595" s="12"/>
      <c r="AG595" s="12"/>
    </row>
    <row r="596" spans="29:33" x14ac:dyDescent="0.25">
      <c r="AC596" s="12"/>
      <c r="AD596" s="12"/>
      <c r="AF596" s="12"/>
      <c r="AG596" s="12"/>
    </row>
    <row r="597" spans="29:33" x14ac:dyDescent="0.25">
      <c r="AC597" s="12"/>
      <c r="AD597" s="12"/>
      <c r="AF597" s="12"/>
      <c r="AG597" s="12"/>
    </row>
    <row r="598" spans="29:33" x14ac:dyDescent="0.25">
      <c r="AC598" s="12"/>
      <c r="AD598" s="12"/>
      <c r="AF598" s="12"/>
      <c r="AG598" s="12"/>
    </row>
    <row r="599" spans="29:33" x14ac:dyDescent="0.25">
      <c r="AC599" s="12"/>
      <c r="AD599" s="12"/>
      <c r="AF599" s="12"/>
      <c r="AG599" s="12"/>
    </row>
    <row r="600" spans="29:33" x14ac:dyDescent="0.25">
      <c r="AC600" s="12"/>
      <c r="AD600" s="12"/>
      <c r="AF600" s="12"/>
      <c r="AG600" s="12"/>
    </row>
    <row r="601" spans="29:33" x14ac:dyDescent="0.25">
      <c r="AC601" s="12"/>
      <c r="AD601" s="12"/>
      <c r="AF601" s="12"/>
      <c r="AG601" s="12"/>
    </row>
    <row r="602" spans="29:33" x14ac:dyDescent="0.25">
      <c r="AC602" s="12"/>
      <c r="AD602" s="12"/>
      <c r="AF602" s="12"/>
      <c r="AG602" s="12"/>
    </row>
    <row r="603" spans="29:33" x14ac:dyDescent="0.25">
      <c r="AC603" s="12"/>
      <c r="AD603" s="12"/>
      <c r="AF603" s="12"/>
      <c r="AG603" s="12"/>
    </row>
    <row r="604" spans="29:33" x14ac:dyDescent="0.25">
      <c r="AC604" s="12"/>
      <c r="AD604" s="12"/>
      <c r="AF604" s="12"/>
      <c r="AG604" s="12"/>
    </row>
    <row r="605" spans="29:33" x14ac:dyDescent="0.25">
      <c r="AC605" s="12"/>
      <c r="AD605" s="12"/>
      <c r="AF605" s="12"/>
      <c r="AG605" s="12"/>
    </row>
    <row r="606" spans="29:33" x14ac:dyDescent="0.25">
      <c r="AC606" s="12"/>
      <c r="AD606" s="12"/>
      <c r="AF606" s="12"/>
      <c r="AG606" s="12"/>
    </row>
    <row r="607" spans="29:33" x14ac:dyDescent="0.25">
      <c r="AC607" s="12"/>
      <c r="AD607" s="12"/>
      <c r="AF607" s="12"/>
      <c r="AG607" s="12"/>
    </row>
    <row r="608" spans="29:33" x14ac:dyDescent="0.25">
      <c r="AC608" s="12"/>
      <c r="AD608" s="12"/>
      <c r="AF608" s="12"/>
      <c r="AG608" s="12"/>
    </row>
    <row r="609" spans="29:33" x14ac:dyDescent="0.25">
      <c r="AC609" s="12"/>
      <c r="AD609" s="12"/>
      <c r="AF609" s="12"/>
      <c r="AG609" s="12"/>
    </row>
    <row r="610" spans="29:33" x14ac:dyDescent="0.25">
      <c r="AC610" s="12"/>
      <c r="AD610" s="12"/>
      <c r="AF610" s="12"/>
      <c r="AG610" s="12"/>
    </row>
    <row r="611" spans="29:33" x14ac:dyDescent="0.25">
      <c r="AC611" s="12"/>
      <c r="AD611" s="12"/>
      <c r="AF611" s="12"/>
      <c r="AG611" s="12"/>
    </row>
    <row r="612" spans="29:33" x14ac:dyDescent="0.25">
      <c r="AC612" s="12"/>
      <c r="AD612" s="12"/>
      <c r="AF612" s="12"/>
      <c r="AG612" s="12"/>
    </row>
    <row r="613" spans="29:33" x14ac:dyDescent="0.25">
      <c r="AC613" s="12"/>
      <c r="AD613" s="12"/>
      <c r="AF613" s="12"/>
      <c r="AG613" s="12"/>
    </row>
    <row r="614" spans="29:33" x14ac:dyDescent="0.25">
      <c r="AC614" s="12"/>
      <c r="AD614" s="12"/>
      <c r="AF614" s="12"/>
      <c r="AG614" s="12"/>
    </row>
    <row r="615" spans="29:33" x14ac:dyDescent="0.25">
      <c r="AC615" s="12"/>
      <c r="AD615" s="12"/>
      <c r="AF615" s="12"/>
      <c r="AG615" s="12"/>
    </row>
    <row r="616" spans="29:33" x14ac:dyDescent="0.25">
      <c r="AC616" s="12"/>
      <c r="AD616" s="12"/>
      <c r="AF616" s="12"/>
      <c r="AG616" s="12"/>
    </row>
    <row r="617" spans="29:33" x14ac:dyDescent="0.25">
      <c r="AC617" s="12"/>
      <c r="AD617" s="12"/>
      <c r="AF617" s="12"/>
      <c r="AG617" s="12"/>
    </row>
    <row r="618" spans="29:33" x14ac:dyDescent="0.25">
      <c r="AC618" s="12"/>
      <c r="AD618" s="12"/>
      <c r="AF618" s="12"/>
      <c r="AG618" s="12"/>
    </row>
    <row r="619" spans="29:33" x14ac:dyDescent="0.25">
      <c r="AC619" s="12"/>
      <c r="AD619" s="12"/>
      <c r="AF619" s="12"/>
      <c r="AG619" s="12"/>
    </row>
    <row r="620" spans="29:33" x14ac:dyDescent="0.25">
      <c r="AC620" s="12"/>
      <c r="AD620" s="12"/>
      <c r="AF620" s="12"/>
      <c r="AG620" s="12"/>
    </row>
    <row r="621" spans="29:33" x14ac:dyDescent="0.25">
      <c r="AC621" s="12"/>
      <c r="AD621" s="12"/>
      <c r="AF621" s="12"/>
      <c r="AG621" s="12"/>
    </row>
    <row r="622" spans="29:33" x14ac:dyDescent="0.25">
      <c r="AC622" s="12"/>
      <c r="AD622" s="12"/>
      <c r="AF622" s="12"/>
      <c r="AG622" s="12"/>
    </row>
    <row r="623" spans="29:33" x14ac:dyDescent="0.25">
      <c r="AC623" s="12"/>
      <c r="AD623" s="12"/>
      <c r="AF623" s="12"/>
      <c r="AG623" s="12"/>
    </row>
    <row r="624" spans="29:33" x14ac:dyDescent="0.25">
      <c r="AC624" s="12"/>
      <c r="AD624" s="12"/>
      <c r="AF624" s="12"/>
      <c r="AG624" s="12"/>
    </row>
    <row r="625" spans="29:33" x14ac:dyDescent="0.25">
      <c r="AC625" s="12"/>
      <c r="AD625" s="12"/>
      <c r="AF625" s="12"/>
      <c r="AG625" s="12"/>
    </row>
    <row r="626" spans="29:33" x14ac:dyDescent="0.25">
      <c r="AC626" s="12"/>
      <c r="AD626" s="12"/>
      <c r="AF626" s="12"/>
      <c r="AG626" s="12"/>
    </row>
    <row r="627" spans="29:33" x14ac:dyDescent="0.25">
      <c r="AC627" s="12"/>
      <c r="AD627" s="12"/>
      <c r="AF627" s="12"/>
      <c r="AG627" s="12"/>
    </row>
    <row r="628" spans="29:33" x14ac:dyDescent="0.25">
      <c r="AC628" s="12"/>
      <c r="AD628" s="12"/>
      <c r="AF628" s="12"/>
      <c r="AG628" s="12"/>
    </row>
    <row r="629" spans="29:33" x14ac:dyDescent="0.25">
      <c r="AC629" s="12"/>
      <c r="AD629" s="12"/>
      <c r="AF629" s="12"/>
      <c r="AG629" s="12"/>
    </row>
    <row r="630" spans="29:33" x14ac:dyDescent="0.25">
      <c r="AC630" s="12"/>
      <c r="AD630" s="12"/>
      <c r="AF630" s="12"/>
      <c r="AG630" s="12"/>
    </row>
    <row r="631" spans="29:33" x14ac:dyDescent="0.25">
      <c r="AC631" s="12"/>
      <c r="AD631" s="12"/>
      <c r="AF631" s="12"/>
      <c r="AG631" s="12"/>
    </row>
    <row r="632" spans="29:33" x14ac:dyDescent="0.25">
      <c r="AC632" s="12"/>
      <c r="AD632" s="12"/>
      <c r="AF632" s="12"/>
      <c r="AG632" s="12"/>
    </row>
    <row r="633" spans="29:33" x14ac:dyDescent="0.25">
      <c r="AC633" s="12"/>
      <c r="AD633" s="12"/>
      <c r="AF633" s="12"/>
      <c r="AG633" s="12"/>
    </row>
    <row r="634" spans="29:33" x14ac:dyDescent="0.25">
      <c r="AC634" s="12"/>
      <c r="AD634" s="12"/>
      <c r="AF634" s="12"/>
      <c r="AG634" s="12"/>
    </row>
    <row r="635" spans="29:33" x14ac:dyDescent="0.25">
      <c r="AC635" s="12"/>
      <c r="AD635" s="12"/>
      <c r="AF635" s="12"/>
      <c r="AG635" s="12"/>
    </row>
    <row r="636" spans="29:33" x14ac:dyDescent="0.25">
      <c r="AC636" s="12"/>
      <c r="AD636" s="12"/>
      <c r="AF636" s="12"/>
      <c r="AG636" s="12"/>
    </row>
    <row r="637" spans="29:33" x14ac:dyDescent="0.25">
      <c r="AC637" s="12"/>
      <c r="AD637" s="12"/>
      <c r="AF637" s="12"/>
      <c r="AG637" s="12"/>
    </row>
    <row r="638" spans="29:33" x14ac:dyDescent="0.25">
      <c r="AC638" s="12"/>
      <c r="AD638" s="12"/>
      <c r="AF638" s="12"/>
      <c r="AG638" s="12"/>
    </row>
    <row r="639" spans="29:33" x14ac:dyDescent="0.25">
      <c r="AC639" s="12"/>
      <c r="AD639" s="12"/>
      <c r="AF639" s="12"/>
      <c r="AG639" s="12"/>
    </row>
    <row r="640" spans="29:33" x14ac:dyDescent="0.25">
      <c r="AC640" s="12"/>
      <c r="AD640" s="12"/>
      <c r="AF640" s="12"/>
      <c r="AG640" s="12"/>
    </row>
    <row r="641" spans="29:33" x14ac:dyDescent="0.25">
      <c r="AC641" s="12"/>
      <c r="AD641" s="12"/>
      <c r="AF641" s="12"/>
      <c r="AG641" s="12"/>
    </row>
    <row r="642" spans="29:33" x14ac:dyDescent="0.25">
      <c r="AC642" s="12"/>
      <c r="AD642" s="12"/>
      <c r="AF642" s="12"/>
      <c r="AG642" s="12"/>
    </row>
    <row r="643" spans="29:33" x14ac:dyDescent="0.25">
      <c r="AC643" s="12"/>
      <c r="AD643" s="12"/>
      <c r="AF643" s="12"/>
      <c r="AG643" s="12"/>
    </row>
    <row r="644" spans="29:33" x14ac:dyDescent="0.25">
      <c r="AC644" s="12"/>
      <c r="AD644" s="12"/>
      <c r="AF644" s="12"/>
      <c r="AG644" s="12"/>
    </row>
    <row r="645" spans="29:33" x14ac:dyDescent="0.25">
      <c r="AC645" s="12"/>
      <c r="AD645" s="12"/>
      <c r="AF645" s="12"/>
      <c r="AG645" s="12"/>
    </row>
    <row r="646" spans="29:33" x14ac:dyDescent="0.25">
      <c r="AC646" s="12"/>
      <c r="AD646" s="12"/>
      <c r="AF646" s="12"/>
      <c r="AG646" s="12"/>
    </row>
    <row r="647" spans="29:33" x14ac:dyDescent="0.25">
      <c r="AC647" s="12"/>
      <c r="AD647" s="12"/>
      <c r="AF647" s="12"/>
      <c r="AG647" s="12"/>
    </row>
    <row r="648" spans="29:33" x14ac:dyDescent="0.25">
      <c r="AC648" s="12"/>
      <c r="AD648" s="12"/>
      <c r="AF648" s="12"/>
      <c r="AG648" s="12"/>
    </row>
    <row r="649" spans="29:33" x14ac:dyDescent="0.25">
      <c r="AC649" s="12"/>
      <c r="AD649" s="12"/>
      <c r="AF649" s="12"/>
      <c r="AG649" s="12"/>
    </row>
    <row r="650" spans="29:33" x14ac:dyDescent="0.25">
      <c r="AC650" s="12"/>
      <c r="AD650" s="12"/>
      <c r="AF650" s="12"/>
      <c r="AG650" s="12"/>
    </row>
    <row r="651" spans="29:33" x14ac:dyDescent="0.25">
      <c r="AC651" s="12"/>
      <c r="AD651" s="12"/>
      <c r="AF651" s="12"/>
      <c r="AG651" s="12"/>
    </row>
    <row r="652" spans="29:33" x14ac:dyDescent="0.25">
      <c r="AC652" s="12"/>
      <c r="AD652" s="12"/>
      <c r="AF652" s="12"/>
      <c r="AG652" s="12"/>
    </row>
    <row r="653" spans="29:33" x14ac:dyDescent="0.25">
      <c r="AC653" s="12"/>
      <c r="AD653" s="12"/>
      <c r="AF653" s="12"/>
      <c r="AG653" s="12"/>
    </row>
    <row r="654" spans="29:33" x14ac:dyDescent="0.25">
      <c r="AC654" s="12"/>
      <c r="AD654" s="12"/>
      <c r="AF654" s="12"/>
      <c r="AG654" s="12"/>
    </row>
    <row r="655" spans="29:33" x14ac:dyDescent="0.25">
      <c r="AC655" s="12"/>
      <c r="AD655" s="12"/>
      <c r="AF655" s="12"/>
      <c r="AG655" s="12"/>
    </row>
    <row r="656" spans="29:33" x14ac:dyDescent="0.25">
      <c r="AC656" s="12"/>
      <c r="AD656" s="12"/>
      <c r="AF656" s="12"/>
      <c r="AG656" s="12"/>
    </row>
    <row r="657" spans="29:33" x14ac:dyDescent="0.25">
      <c r="AC657" s="12"/>
      <c r="AD657" s="12"/>
      <c r="AF657" s="12"/>
      <c r="AG657" s="12"/>
    </row>
    <row r="658" spans="29:33" x14ac:dyDescent="0.25">
      <c r="AC658" s="12"/>
      <c r="AD658" s="12"/>
      <c r="AF658" s="12"/>
      <c r="AG658" s="12"/>
    </row>
    <row r="659" spans="29:33" x14ac:dyDescent="0.25">
      <c r="AC659" s="12"/>
      <c r="AD659" s="12"/>
      <c r="AF659" s="12"/>
      <c r="AG659" s="12"/>
    </row>
    <row r="660" spans="29:33" x14ac:dyDescent="0.25">
      <c r="AC660" s="12"/>
      <c r="AD660" s="12"/>
      <c r="AF660" s="12"/>
      <c r="AG660" s="12"/>
    </row>
    <row r="661" spans="29:33" x14ac:dyDescent="0.25">
      <c r="AC661" s="12"/>
      <c r="AD661" s="12"/>
      <c r="AF661" s="12"/>
      <c r="AG661" s="12"/>
    </row>
    <row r="662" spans="29:33" x14ac:dyDescent="0.25">
      <c r="AC662" s="12"/>
      <c r="AD662" s="12"/>
      <c r="AF662" s="12"/>
      <c r="AG662" s="12"/>
    </row>
    <row r="663" spans="29:33" x14ac:dyDescent="0.25">
      <c r="AC663" s="12"/>
      <c r="AD663" s="12"/>
      <c r="AF663" s="12"/>
      <c r="AG663" s="12"/>
    </row>
    <row r="664" spans="29:33" x14ac:dyDescent="0.25">
      <c r="AC664" s="12"/>
      <c r="AD664" s="12"/>
      <c r="AF664" s="12"/>
      <c r="AG664" s="12"/>
    </row>
    <row r="665" spans="29:33" x14ac:dyDescent="0.25">
      <c r="AC665" s="12"/>
      <c r="AD665" s="12"/>
      <c r="AF665" s="12"/>
      <c r="AG665" s="12"/>
    </row>
    <row r="666" spans="29:33" x14ac:dyDescent="0.25">
      <c r="AC666" s="12"/>
      <c r="AD666" s="12"/>
      <c r="AF666" s="12"/>
      <c r="AG666" s="12"/>
    </row>
    <row r="667" spans="29:33" x14ac:dyDescent="0.25">
      <c r="AC667" s="12"/>
      <c r="AD667" s="12"/>
      <c r="AF667" s="12"/>
      <c r="AG667" s="12"/>
    </row>
    <row r="668" spans="29:33" x14ac:dyDescent="0.25">
      <c r="AC668" s="12"/>
      <c r="AD668" s="12"/>
      <c r="AF668" s="12"/>
      <c r="AG668" s="12"/>
    </row>
    <row r="669" spans="29:33" x14ac:dyDescent="0.25">
      <c r="AC669" s="12"/>
      <c r="AD669" s="12"/>
      <c r="AF669" s="12"/>
      <c r="AG669" s="12"/>
    </row>
    <row r="670" spans="29:33" x14ac:dyDescent="0.25">
      <c r="AC670" s="12"/>
      <c r="AD670" s="12"/>
      <c r="AF670" s="12"/>
      <c r="AG670" s="12"/>
    </row>
    <row r="671" spans="29:33" x14ac:dyDescent="0.25">
      <c r="AC671" s="12"/>
      <c r="AD671" s="12"/>
      <c r="AF671" s="12"/>
      <c r="AG671" s="12"/>
    </row>
    <row r="672" spans="29:33" x14ac:dyDescent="0.25">
      <c r="AC672" s="12"/>
      <c r="AD672" s="12"/>
      <c r="AF672" s="12"/>
      <c r="AG672" s="12"/>
    </row>
    <row r="673" spans="29:33" x14ac:dyDescent="0.25">
      <c r="AC673" s="12"/>
      <c r="AD673" s="12"/>
      <c r="AF673" s="12"/>
      <c r="AG673" s="12"/>
    </row>
    <row r="674" spans="29:33" x14ac:dyDescent="0.25">
      <c r="AC674" s="12"/>
      <c r="AD674" s="12"/>
      <c r="AF674" s="12"/>
      <c r="AG674" s="12"/>
    </row>
    <row r="675" spans="29:33" x14ac:dyDescent="0.25">
      <c r="AC675" s="12"/>
      <c r="AD675" s="12"/>
      <c r="AF675" s="12"/>
      <c r="AG675" s="12"/>
    </row>
    <row r="676" spans="29:33" x14ac:dyDescent="0.25">
      <c r="AC676" s="12"/>
      <c r="AD676" s="12"/>
      <c r="AF676" s="12"/>
      <c r="AG676" s="12"/>
    </row>
    <row r="677" spans="29:33" x14ac:dyDescent="0.25">
      <c r="AC677" s="12"/>
      <c r="AD677" s="12"/>
      <c r="AF677" s="12"/>
      <c r="AG677" s="12"/>
    </row>
    <row r="678" spans="29:33" x14ac:dyDescent="0.25">
      <c r="AC678" s="12"/>
      <c r="AD678" s="12"/>
      <c r="AF678" s="12"/>
      <c r="AG678" s="12"/>
    </row>
    <row r="679" spans="29:33" x14ac:dyDescent="0.25">
      <c r="AC679" s="12"/>
      <c r="AD679" s="12"/>
      <c r="AF679" s="12"/>
      <c r="AG679" s="12"/>
    </row>
    <row r="680" spans="29:33" x14ac:dyDescent="0.25">
      <c r="AC680" s="12"/>
      <c r="AD680" s="12"/>
      <c r="AF680" s="12"/>
      <c r="AG680" s="12"/>
    </row>
    <row r="681" spans="29:33" x14ac:dyDescent="0.25">
      <c r="AC681" s="12"/>
      <c r="AD681" s="12"/>
      <c r="AF681" s="12"/>
      <c r="AG681" s="12"/>
    </row>
    <row r="682" spans="29:33" x14ac:dyDescent="0.25">
      <c r="AC682" s="12"/>
      <c r="AD682" s="12"/>
      <c r="AF682" s="12"/>
      <c r="AG682" s="12"/>
    </row>
    <row r="683" spans="29:33" x14ac:dyDescent="0.25">
      <c r="AC683" s="12"/>
      <c r="AD683" s="12"/>
      <c r="AF683" s="12"/>
      <c r="AG683" s="12"/>
    </row>
    <row r="684" spans="29:33" x14ac:dyDescent="0.25">
      <c r="AC684" s="12"/>
      <c r="AD684" s="12"/>
      <c r="AF684" s="12"/>
      <c r="AG684" s="12"/>
    </row>
    <row r="685" spans="29:33" x14ac:dyDescent="0.25">
      <c r="AC685" s="12"/>
      <c r="AD685" s="12"/>
      <c r="AF685" s="12"/>
      <c r="AG685" s="12"/>
    </row>
    <row r="686" spans="29:33" x14ac:dyDescent="0.25">
      <c r="AC686" s="12"/>
      <c r="AD686" s="12"/>
      <c r="AF686" s="12"/>
      <c r="AG686" s="12"/>
    </row>
    <row r="687" spans="29:33" x14ac:dyDescent="0.25">
      <c r="AC687" s="12"/>
      <c r="AD687" s="12"/>
      <c r="AF687" s="12"/>
      <c r="AG687" s="12"/>
    </row>
    <row r="688" spans="29:33" x14ac:dyDescent="0.25">
      <c r="AC688" s="12"/>
      <c r="AD688" s="12"/>
      <c r="AF688" s="12"/>
      <c r="AG688" s="12"/>
    </row>
    <row r="689" spans="29:33" x14ac:dyDescent="0.25">
      <c r="AC689" s="12"/>
      <c r="AD689" s="12"/>
      <c r="AF689" s="12"/>
      <c r="AG689" s="12"/>
    </row>
    <row r="690" spans="29:33" x14ac:dyDescent="0.25">
      <c r="AC690" s="12"/>
      <c r="AD690" s="12"/>
      <c r="AF690" s="12"/>
      <c r="AG690" s="12"/>
    </row>
    <row r="691" spans="29:33" x14ac:dyDescent="0.25">
      <c r="AC691" s="12"/>
      <c r="AD691" s="12"/>
      <c r="AF691" s="12"/>
      <c r="AG691" s="12"/>
    </row>
    <row r="692" spans="29:33" x14ac:dyDescent="0.25">
      <c r="AC692" s="12"/>
      <c r="AD692" s="12"/>
      <c r="AF692" s="12"/>
      <c r="AG692" s="12"/>
    </row>
    <row r="693" spans="29:33" x14ac:dyDescent="0.25">
      <c r="AC693" s="12"/>
      <c r="AD693" s="12"/>
      <c r="AF693" s="12"/>
      <c r="AG693" s="12"/>
    </row>
    <row r="694" spans="29:33" x14ac:dyDescent="0.25">
      <c r="AC694" s="12"/>
      <c r="AD694" s="12"/>
      <c r="AF694" s="12"/>
      <c r="AG694" s="12"/>
    </row>
    <row r="695" spans="29:33" x14ac:dyDescent="0.25">
      <c r="AC695" s="12"/>
      <c r="AD695" s="12"/>
      <c r="AF695" s="12"/>
      <c r="AG695" s="12"/>
    </row>
    <row r="696" spans="29:33" x14ac:dyDescent="0.25">
      <c r="AC696" s="12"/>
      <c r="AD696" s="12"/>
      <c r="AF696" s="12"/>
      <c r="AG696" s="12"/>
    </row>
    <row r="697" spans="29:33" x14ac:dyDescent="0.25">
      <c r="AC697" s="12"/>
      <c r="AD697" s="12"/>
      <c r="AF697" s="12"/>
      <c r="AG697" s="12"/>
    </row>
    <row r="698" spans="29:33" x14ac:dyDescent="0.25">
      <c r="AC698" s="12"/>
      <c r="AD698" s="12"/>
      <c r="AF698" s="12"/>
      <c r="AG698" s="12"/>
    </row>
    <row r="699" spans="29:33" x14ac:dyDescent="0.25">
      <c r="AC699" s="12"/>
      <c r="AD699" s="12"/>
      <c r="AF699" s="12"/>
      <c r="AG699" s="12"/>
    </row>
    <row r="700" spans="29:33" x14ac:dyDescent="0.25">
      <c r="AC700" s="12"/>
      <c r="AD700" s="12"/>
      <c r="AF700" s="12"/>
      <c r="AG700" s="12"/>
    </row>
    <row r="701" spans="29:33" x14ac:dyDescent="0.25">
      <c r="AC701" s="12"/>
      <c r="AD701" s="12"/>
      <c r="AF701" s="12"/>
      <c r="AG701" s="12"/>
    </row>
    <row r="702" spans="29:33" x14ac:dyDescent="0.25">
      <c r="AC702" s="12"/>
      <c r="AD702" s="12"/>
      <c r="AF702" s="12"/>
      <c r="AG702" s="12"/>
    </row>
    <row r="703" spans="29:33" x14ac:dyDescent="0.25">
      <c r="AC703" s="12"/>
      <c r="AD703" s="12"/>
      <c r="AF703" s="12"/>
      <c r="AG703" s="12"/>
    </row>
    <row r="704" spans="29:33" x14ac:dyDescent="0.25">
      <c r="AC704" s="12"/>
      <c r="AD704" s="12"/>
      <c r="AF704" s="12"/>
      <c r="AG704" s="12"/>
    </row>
    <row r="705" spans="29:33" x14ac:dyDescent="0.25">
      <c r="AC705" s="12"/>
      <c r="AD705" s="12"/>
      <c r="AF705" s="12"/>
      <c r="AG705" s="12"/>
    </row>
    <row r="706" spans="29:33" x14ac:dyDescent="0.25">
      <c r="AC706" s="12"/>
      <c r="AD706" s="12"/>
      <c r="AF706" s="12"/>
      <c r="AG706" s="12"/>
    </row>
    <row r="707" spans="29:33" x14ac:dyDescent="0.25">
      <c r="AC707" s="12"/>
      <c r="AD707" s="12"/>
      <c r="AF707" s="12"/>
      <c r="AG707" s="12"/>
    </row>
    <row r="708" spans="29:33" x14ac:dyDescent="0.25">
      <c r="AC708" s="12"/>
      <c r="AD708" s="12"/>
      <c r="AF708" s="12"/>
      <c r="AG708" s="12"/>
    </row>
    <row r="709" spans="29:33" x14ac:dyDescent="0.25">
      <c r="AC709" s="12"/>
      <c r="AD709" s="12"/>
      <c r="AF709" s="12"/>
      <c r="AG709" s="12"/>
    </row>
    <row r="710" spans="29:33" x14ac:dyDescent="0.25">
      <c r="AC710" s="12"/>
      <c r="AD710" s="12"/>
      <c r="AF710" s="12"/>
      <c r="AG710" s="12"/>
    </row>
    <row r="711" spans="29:33" x14ac:dyDescent="0.25">
      <c r="AC711" s="12"/>
      <c r="AD711" s="12"/>
      <c r="AF711" s="12"/>
      <c r="AG711" s="12"/>
    </row>
    <row r="712" spans="29:33" x14ac:dyDescent="0.25">
      <c r="AC712" s="12"/>
      <c r="AD712" s="12"/>
      <c r="AF712" s="12"/>
      <c r="AG712" s="12"/>
    </row>
    <row r="713" spans="29:33" x14ac:dyDescent="0.25">
      <c r="AC713" s="12"/>
      <c r="AD713" s="12"/>
      <c r="AF713" s="12"/>
      <c r="AG713" s="12"/>
    </row>
    <row r="714" spans="29:33" x14ac:dyDescent="0.25">
      <c r="AC714" s="12"/>
      <c r="AD714" s="12"/>
      <c r="AF714" s="12"/>
      <c r="AG714" s="12"/>
    </row>
    <row r="715" spans="29:33" x14ac:dyDescent="0.25">
      <c r="AC715" s="12"/>
      <c r="AD715" s="12"/>
      <c r="AF715" s="12"/>
      <c r="AG715" s="12"/>
    </row>
    <row r="716" spans="29:33" x14ac:dyDescent="0.25">
      <c r="AC716" s="12"/>
      <c r="AD716" s="12"/>
      <c r="AF716" s="12"/>
      <c r="AG716" s="12"/>
    </row>
    <row r="717" spans="29:33" x14ac:dyDescent="0.25">
      <c r="AC717" s="12"/>
      <c r="AD717" s="12"/>
      <c r="AF717" s="12"/>
      <c r="AG717" s="12"/>
    </row>
    <row r="718" spans="29:33" x14ac:dyDescent="0.25">
      <c r="AC718" s="12"/>
      <c r="AD718" s="12"/>
      <c r="AF718" s="12"/>
      <c r="AG718" s="12"/>
    </row>
    <row r="719" spans="29:33" x14ac:dyDescent="0.25">
      <c r="AC719" s="12"/>
      <c r="AD719" s="12"/>
      <c r="AF719" s="12"/>
      <c r="AG719" s="12"/>
    </row>
    <row r="720" spans="29:33" x14ac:dyDescent="0.25">
      <c r="AC720" s="12"/>
      <c r="AD720" s="12"/>
      <c r="AF720" s="12"/>
      <c r="AG720" s="12"/>
    </row>
    <row r="721" spans="29:33" x14ac:dyDescent="0.25">
      <c r="AC721" s="12"/>
      <c r="AD721" s="12"/>
      <c r="AF721" s="12"/>
      <c r="AG721" s="12"/>
    </row>
    <row r="722" spans="29:33" x14ac:dyDescent="0.25">
      <c r="AC722" s="12"/>
      <c r="AD722" s="12"/>
      <c r="AF722" s="12"/>
      <c r="AG722" s="12"/>
    </row>
    <row r="723" spans="29:33" x14ac:dyDescent="0.25">
      <c r="AC723" s="12"/>
      <c r="AD723" s="12"/>
      <c r="AF723" s="12"/>
      <c r="AG723" s="12"/>
    </row>
    <row r="724" spans="29:33" x14ac:dyDescent="0.25">
      <c r="AC724" s="12"/>
      <c r="AD724" s="12"/>
      <c r="AF724" s="12"/>
      <c r="AG724" s="12"/>
    </row>
    <row r="725" spans="29:33" x14ac:dyDescent="0.25">
      <c r="AC725" s="12"/>
      <c r="AD725" s="12"/>
      <c r="AF725" s="12"/>
      <c r="AG725" s="12"/>
    </row>
    <row r="726" spans="29:33" x14ac:dyDescent="0.25">
      <c r="AC726" s="12"/>
      <c r="AD726" s="12"/>
      <c r="AF726" s="12"/>
      <c r="AG726" s="12"/>
    </row>
    <row r="727" spans="29:33" x14ac:dyDescent="0.25">
      <c r="AC727" s="12"/>
      <c r="AD727" s="12"/>
      <c r="AF727" s="12"/>
      <c r="AG727" s="12"/>
    </row>
    <row r="728" spans="29:33" x14ac:dyDescent="0.25">
      <c r="AC728" s="12"/>
      <c r="AD728" s="12"/>
      <c r="AF728" s="12"/>
      <c r="AG728" s="12"/>
    </row>
    <row r="729" spans="29:33" x14ac:dyDescent="0.25">
      <c r="AC729" s="12"/>
      <c r="AD729" s="12"/>
      <c r="AF729" s="12"/>
      <c r="AG729" s="12"/>
    </row>
    <row r="730" spans="29:33" x14ac:dyDescent="0.25">
      <c r="AC730" s="12"/>
      <c r="AD730" s="12"/>
      <c r="AF730" s="12"/>
      <c r="AG730" s="12"/>
    </row>
    <row r="731" spans="29:33" x14ac:dyDescent="0.25">
      <c r="AC731" s="12"/>
      <c r="AD731" s="12"/>
      <c r="AF731" s="12"/>
      <c r="AG731" s="12"/>
    </row>
    <row r="732" spans="29:33" x14ac:dyDescent="0.25">
      <c r="AC732" s="12"/>
      <c r="AD732" s="12"/>
      <c r="AF732" s="12"/>
      <c r="AG732" s="12"/>
    </row>
    <row r="733" spans="29:33" x14ac:dyDescent="0.25">
      <c r="AC733" s="12"/>
      <c r="AD733" s="12"/>
      <c r="AF733" s="12"/>
      <c r="AG733" s="12"/>
    </row>
    <row r="734" spans="29:33" x14ac:dyDescent="0.25">
      <c r="AC734" s="12"/>
      <c r="AD734" s="12"/>
      <c r="AF734" s="12"/>
      <c r="AG734" s="12"/>
    </row>
    <row r="735" spans="29:33" x14ac:dyDescent="0.25">
      <c r="AC735" s="12"/>
      <c r="AD735" s="12"/>
      <c r="AF735" s="12"/>
      <c r="AG735" s="12"/>
    </row>
    <row r="736" spans="29:33" x14ac:dyDescent="0.25">
      <c r="AC736" s="12"/>
      <c r="AD736" s="12"/>
      <c r="AF736" s="12"/>
      <c r="AG736" s="12"/>
    </row>
    <row r="737" spans="29:33" x14ac:dyDescent="0.25">
      <c r="AC737" s="12"/>
      <c r="AD737" s="12"/>
      <c r="AF737" s="12"/>
      <c r="AG737" s="12"/>
    </row>
    <row r="738" spans="29:33" x14ac:dyDescent="0.25">
      <c r="AC738" s="12"/>
      <c r="AD738" s="12"/>
      <c r="AF738" s="12"/>
      <c r="AG738" s="12"/>
    </row>
    <row r="739" spans="29:33" x14ac:dyDescent="0.25">
      <c r="AC739" s="12"/>
      <c r="AD739" s="12"/>
      <c r="AF739" s="12"/>
      <c r="AG739" s="12"/>
    </row>
    <row r="740" spans="29:33" x14ac:dyDescent="0.25">
      <c r="AC740" s="12"/>
      <c r="AD740" s="12"/>
      <c r="AF740" s="12"/>
      <c r="AG740" s="12"/>
    </row>
    <row r="741" spans="29:33" x14ac:dyDescent="0.25">
      <c r="AC741" s="12"/>
      <c r="AD741" s="12"/>
      <c r="AF741" s="12"/>
      <c r="AG741" s="12"/>
    </row>
    <row r="742" spans="29:33" x14ac:dyDescent="0.25">
      <c r="AC742" s="12"/>
      <c r="AD742" s="12"/>
      <c r="AF742" s="12"/>
      <c r="AG742" s="12"/>
    </row>
    <row r="743" spans="29:33" x14ac:dyDescent="0.25">
      <c r="AC743" s="12"/>
      <c r="AD743" s="12"/>
      <c r="AF743" s="12"/>
      <c r="AG743" s="12"/>
    </row>
    <row r="744" spans="29:33" x14ac:dyDescent="0.25">
      <c r="AC744" s="12"/>
      <c r="AD744" s="12"/>
      <c r="AF744" s="12"/>
      <c r="AG744" s="12"/>
    </row>
    <row r="745" spans="29:33" x14ac:dyDescent="0.25">
      <c r="AC745" s="12"/>
      <c r="AD745" s="12"/>
      <c r="AF745" s="12"/>
      <c r="AG745" s="12"/>
    </row>
    <row r="746" spans="29:33" x14ac:dyDescent="0.25">
      <c r="AC746" s="12"/>
      <c r="AD746" s="12"/>
      <c r="AF746" s="12"/>
      <c r="AG746" s="12"/>
    </row>
    <row r="747" spans="29:33" x14ac:dyDescent="0.25">
      <c r="AC747" s="12"/>
      <c r="AD747" s="12"/>
      <c r="AF747" s="12"/>
      <c r="AG747" s="12"/>
    </row>
    <row r="748" spans="29:33" x14ac:dyDescent="0.25">
      <c r="AC748" s="12"/>
      <c r="AD748" s="12"/>
      <c r="AF748" s="12"/>
      <c r="AG748" s="12"/>
    </row>
    <row r="749" spans="29:33" x14ac:dyDescent="0.25">
      <c r="AC749" s="12"/>
      <c r="AD749" s="12"/>
      <c r="AF749" s="12"/>
      <c r="AG749" s="12"/>
    </row>
    <row r="750" spans="29:33" x14ac:dyDescent="0.25">
      <c r="AC750" s="12"/>
      <c r="AD750" s="12"/>
      <c r="AF750" s="12"/>
      <c r="AG750" s="12"/>
    </row>
    <row r="751" spans="29:33" x14ac:dyDescent="0.25">
      <c r="AC751" s="12"/>
      <c r="AD751" s="12"/>
      <c r="AF751" s="12"/>
      <c r="AG751" s="12"/>
    </row>
    <row r="752" spans="29:33" x14ac:dyDescent="0.25">
      <c r="AC752" s="12"/>
      <c r="AD752" s="12"/>
      <c r="AF752" s="12"/>
      <c r="AG752" s="12"/>
    </row>
    <row r="753" spans="29:33" x14ac:dyDescent="0.25">
      <c r="AC753" s="12"/>
      <c r="AD753" s="12"/>
      <c r="AF753" s="12"/>
      <c r="AG753" s="12"/>
    </row>
    <row r="754" spans="29:33" x14ac:dyDescent="0.25">
      <c r="AC754" s="12"/>
      <c r="AD754" s="12"/>
      <c r="AF754" s="12"/>
      <c r="AG754" s="12"/>
    </row>
    <row r="755" spans="29:33" x14ac:dyDescent="0.25">
      <c r="AC755" s="12"/>
      <c r="AD755" s="12"/>
      <c r="AF755" s="12"/>
      <c r="AG755" s="12"/>
    </row>
    <row r="756" spans="29:33" x14ac:dyDescent="0.25">
      <c r="AC756" s="12"/>
      <c r="AD756" s="12"/>
      <c r="AF756" s="12"/>
      <c r="AG756" s="12"/>
    </row>
    <row r="757" spans="29:33" x14ac:dyDescent="0.25">
      <c r="AC757" s="12"/>
      <c r="AD757" s="12"/>
      <c r="AF757" s="12"/>
      <c r="AG757" s="12"/>
    </row>
    <row r="758" spans="29:33" x14ac:dyDescent="0.25">
      <c r="AC758" s="12"/>
      <c r="AD758" s="12"/>
      <c r="AF758" s="12"/>
      <c r="AG758" s="12"/>
    </row>
    <row r="759" spans="29:33" x14ac:dyDescent="0.25">
      <c r="AC759" s="12"/>
      <c r="AD759" s="12"/>
      <c r="AF759" s="12"/>
      <c r="AG759" s="12"/>
    </row>
    <row r="760" spans="29:33" x14ac:dyDescent="0.25">
      <c r="AC760" s="12"/>
      <c r="AD760" s="12"/>
      <c r="AF760" s="12"/>
      <c r="AG760" s="12"/>
    </row>
    <row r="761" spans="29:33" x14ac:dyDescent="0.25">
      <c r="AC761" s="12"/>
      <c r="AD761" s="12"/>
      <c r="AF761" s="12"/>
      <c r="AG761" s="12"/>
    </row>
    <row r="762" spans="29:33" x14ac:dyDescent="0.25">
      <c r="AC762" s="12"/>
      <c r="AD762" s="12"/>
      <c r="AF762" s="12"/>
      <c r="AG762" s="12"/>
    </row>
    <row r="763" spans="29:33" x14ac:dyDescent="0.25">
      <c r="AC763" s="12"/>
      <c r="AD763" s="12"/>
      <c r="AF763" s="12"/>
      <c r="AG763" s="12"/>
    </row>
    <row r="764" spans="29:33" x14ac:dyDescent="0.25">
      <c r="AC764" s="12"/>
      <c r="AD764" s="12"/>
      <c r="AF764" s="12"/>
      <c r="AG764" s="12"/>
    </row>
    <row r="765" spans="29:33" x14ac:dyDescent="0.25">
      <c r="AC765" s="12"/>
      <c r="AD765" s="12"/>
      <c r="AF765" s="12"/>
      <c r="AG765" s="12"/>
    </row>
    <row r="766" spans="29:33" x14ac:dyDescent="0.25">
      <c r="AC766" s="12"/>
      <c r="AD766" s="12"/>
      <c r="AF766" s="12"/>
      <c r="AG766" s="12"/>
    </row>
    <row r="767" spans="29:33" x14ac:dyDescent="0.25">
      <c r="AC767" s="12"/>
      <c r="AD767" s="12"/>
      <c r="AF767" s="12"/>
      <c r="AG767" s="12"/>
    </row>
    <row r="768" spans="29:33" x14ac:dyDescent="0.25">
      <c r="AC768" s="12"/>
      <c r="AD768" s="12"/>
      <c r="AF768" s="12"/>
      <c r="AG768" s="12"/>
    </row>
    <row r="769" spans="29:33" x14ac:dyDescent="0.25">
      <c r="AC769" s="12"/>
      <c r="AD769" s="12"/>
      <c r="AF769" s="12"/>
      <c r="AG769" s="12"/>
    </row>
    <row r="770" spans="29:33" x14ac:dyDescent="0.25">
      <c r="AC770" s="12"/>
      <c r="AD770" s="12"/>
      <c r="AF770" s="12"/>
      <c r="AG770" s="12"/>
    </row>
    <row r="771" spans="29:33" x14ac:dyDescent="0.25">
      <c r="AC771" s="12"/>
      <c r="AD771" s="12"/>
      <c r="AF771" s="12"/>
      <c r="AG771" s="12"/>
    </row>
    <row r="772" spans="29:33" x14ac:dyDescent="0.25">
      <c r="AC772" s="12"/>
      <c r="AD772" s="12"/>
      <c r="AF772" s="12"/>
      <c r="AG772" s="12"/>
    </row>
    <row r="773" spans="29:33" x14ac:dyDescent="0.25">
      <c r="AC773" s="12"/>
      <c r="AD773" s="12"/>
      <c r="AF773" s="12"/>
      <c r="AG773" s="12"/>
    </row>
    <row r="774" spans="29:33" x14ac:dyDescent="0.25">
      <c r="AC774" s="12"/>
      <c r="AD774" s="12"/>
      <c r="AF774" s="12"/>
      <c r="AG774" s="12"/>
    </row>
    <row r="775" spans="29:33" x14ac:dyDescent="0.25">
      <c r="AC775" s="12"/>
      <c r="AD775" s="12"/>
      <c r="AF775" s="12"/>
      <c r="AG775" s="12"/>
    </row>
    <row r="776" spans="29:33" x14ac:dyDescent="0.25">
      <c r="AC776" s="12"/>
      <c r="AD776" s="12"/>
      <c r="AF776" s="12"/>
      <c r="AG776" s="12"/>
    </row>
    <row r="777" spans="29:33" x14ac:dyDescent="0.25">
      <c r="AC777" s="12"/>
      <c r="AD777" s="12"/>
      <c r="AF777" s="12"/>
      <c r="AG777" s="12"/>
    </row>
    <row r="778" spans="29:33" x14ac:dyDescent="0.25">
      <c r="AC778" s="12"/>
      <c r="AD778" s="12"/>
      <c r="AF778" s="12"/>
      <c r="AG778" s="12"/>
    </row>
    <row r="779" spans="29:33" x14ac:dyDescent="0.25">
      <c r="AC779" s="12"/>
      <c r="AD779" s="12"/>
      <c r="AF779" s="12"/>
      <c r="AG779" s="12"/>
    </row>
    <row r="780" spans="29:33" x14ac:dyDescent="0.25">
      <c r="AC780" s="12"/>
      <c r="AD780" s="12"/>
      <c r="AF780" s="12"/>
      <c r="AG780" s="12"/>
    </row>
    <row r="781" spans="29:33" x14ac:dyDescent="0.25">
      <c r="AC781" s="12"/>
      <c r="AD781" s="12"/>
      <c r="AF781" s="12"/>
      <c r="AG781" s="12"/>
    </row>
    <row r="782" spans="29:33" x14ac:dyDescent="0.25">
      <c r="AC782" s="12"/>
      <c r="AD782" s="12"/>
      <c r="AF782" s="12"/>
      <c r="AG782" s="12"/>
    </row>
    <row r="783" spans="29:33" x14ac:dyDescent="0.25">
      <c r="AC783" s="12"/>
      <c r="AD783" s="12"/>
      <c r="AF783" s="12"/>
      <c r="AG783" s="12"/>
    </row>
    <row r="784" spans="29:33" x14ac:dyDescent="0.25">
      <c r="AC784" s="12"/>
      <c r="AD784" s="12"/>
      <c r="AF784" s="12"/>
      <c r="AG784" s="12"/>
    </row>
    <row r="785" spans="29:33" x14ac:dyDescent="0.25">
      <c r="AC785" s="12"/>
      <c r="AD785" s="12"/>
      <c r="AF785" s="12"/>
      <c r="AG785" s="12"/>
    </row>
    <row r="786" spans="29:33" x14ac:dyDescent="0.25">
      <c r="AC786" s="12"/>
      <c r="AD786" s="12"/>
      <c r="AF786" s="12"/>
      <c r="AG786" s="12"/>
    </row>
    <row r="787" spans="29:33" x14ac:dyDescent="0.25">
      <c r="AC787" s="12"/>
      <c r="AD787" s="12"/>
      <c r="AF787" s="12"/>
      <c r="AG787" s="12"/>
    </row>
    <row r="788" spans="29:33" x14ac:dyDescent="0.25">
      <c r="AC788" s="12"/>
      <c r="AD788" s="12"/>
      <c r="AF788" s="12"/>
      <c r="AG788" s="12"/>
    </row>
    <row r="789" spans="29:33" x14ac:dyDescent="0.25">
      <c r="AC789" s="12"/>
      <c r="AD789" s="12"/>
      <c r="AF789" s="12"/>
      <c r="AG789" s="12"/>
    </row>
    <row r="790" spans="29:33" x14ac:dyDescent="0.25">
      <c r="AC790" s="12"/>
      <c r="AD790" s="12"/>
      <c r="AF790" s="12"/>
      <c r="AG790" s="12"/>
    </row>
    <row r="791" spans="29:33" x14ac:dyDescent="0.25">
      <c r="AC791" s="12"/>
      <c r="AD791" s="12"/>
      <c r="AF791" s="12"/>
      <c r="AG791" s="12"/>
    </row>
    <row r="792" spans="29:33" x14ac:dyDescent="0.25">
      <c r="AC792" s="12"/>
      <c r="AD792" s="12"/>
      <c r="AF792" s="12"/>
      <c r="AG792" s="12"/>
    </row>
    <row r="793" spans="29:33" x14ac:dyDescent="0.25">
      <c r="AC793" s="12"/>
      <c r="AD793" s="12"/>
      <c r="AF793" s="12"/>
      <c r="AG793" s="12"/>
    </row>
    <row r="794" spans="29:33" x14ac:dyDescent="0.25">
      <c r="AC794" s="12"/>
      <c r="AD794" s="12"/>
      <c r="AF794" s="12"/>
      <c r="AG794" s="12"/>
    </row>
    <row r="795" spans="29:33" x14ac:dyDescent="0.25">
      <c r="AC795" s="12"/>
      <c r="AD795" s="12"/>
      <c r="AF795" s="12"/>
      <c r="AG795" s="12"/>
    </row>
    <row r="796" spans="29:33" x14ac:dyDescent="0.25">
      <c r="AC796" s="12"/>
      <c r="AD796" s="12"/>
      <c r="AF796" s="12"/>
      <c r="AG796" s="12"/>
    </row>
    <row r="797" spans="29:33" x14ac:dyDescent="0.25">
      <c r="AC797" s="12"/>
      <c r="AD797" s="12"/>
      <c r="AF797" s="12"/>
      <c r="AG797" s="12"/>
    </row>
    <row r="798" spans="29:33" x14ac:dyDescent="0.25">
      <c r="AC798" s="12"/>
      <c r="AD798" s="12"/>
      <c r="AF798" s="12"/>
      <c r="AG798" s="12"/>
    </row>
    <row r="799" spans="29:33" x14ac:dyDescent="0.25">
      <c r="AC799" s="12"/>
      <c r="AD799" s="12"/>
      <c r="AF799" s="12"/>
      <c r="AG799" s="12"/>
    </row>
    <row r="800" spans="29:33" x14ac:dyDescent="0.25">
      <c r="AC800" s="12"/>
      <c r="AD800" s="12"/>
      <c r="AF800" s="12"/>
      <c r="AG800" s="12"/>
    </row>
    <row r="801" spans="29:33" x14ac:dyDescent="0.25">
      <c r="AC801" s="12"/>
      <c r="AD801" s="12"/>
      <c r="AF801" s="12"/>
      <c r="AG801" s="12"/>
    </row>
    <row r="802" spans="29:33" x14ac:dyDescent="0.25">
      <c r="AC802" s="12"/>
      <c r="AD802" s="12"/>
      <c r="AF802" s="12"/>
      <c r="AG802" s="12"/>
    </row>
    <row r="803" spans="29:33" x14ac:dyDescent="0.25">
      <c r="AC803" s="12"/>
      <c r="AD803" s="12"/>
      <c r="AF803" s="12"/>
      <c r="AG803" s="12"/>
    </row>
    <row r="804" spans="29:33" x14ac:dyDescent="0.25">
      <c r="AC804" s="12"/>
      <c r="AD804" s="12"/>
      <c r="AF804" s="12"/>
      <c r="AG804" s="12"/>
    </row>
    <row r="805" spans="29:33" x14ac:dyDescent="0.25">
      <c r="AC805" s="12"/>
      <c r="AD805" s="12"/>
      <c r="AF805" s="12"/>
      <c r="AG805" s="12"/>
    </row>
    <row r="806" spans="29:33" x14ac:dyDescent="0.25">
      <c r="AC806" s="12"/>
      <c r="AD806" s="12"/>
      <c r="AF806" s="12"/>
      <c r="AG806" s="12"/>
    </row>
    <row r="807" spans="29:33" x14ac:dyDescent="0.25">
      <c r="AC807" s="12"/>
      <c r="AD807" s="12"/>
      <c r="AF807" s="12"/>
      <c r="AG807" s="12"/>
    </row>
    <row r="808" spans="29:33" x14ac:dyDescent="0.25">
      <c r="AC808" s="12"/>
      <c r="AD808" s="12"/>
      <c r="AF808" s="12"/>
      <c r="AG808" s="12"/>
    </row>
    <row r="809" spans="29:33" x14ac:dyDescent="0.25">
      <c r="AC809" s="12"/>
      <c r="AD809" s="12"/>
      <c r="AF809" s="12"/>
      <c r="AG809" s="12"/>
    </row>
    <row r="810" spans="29:33" x14ac:dyDescent="0.25">
      <c r="AC810" s="12"/>
      <c r="AD810" s="12"/>
      <c r="AF810" s="12"/>
      <c r="AG810" s="12"/>
    </row>
    <row r="811" spans="29:33" x14ac:dyDescent="0.25">
      <c r="AC811" s="12"/>
      <c r="AD811" s="12"/>
      <c r="AF811" s="12"/>
      <c r="AG811" s="12"/>
    </row>
    <row r="812" spans="29:33" x14ac:dyDescent="0.25">
      <c r="AC812" s="12"/>
      <c r="AD812" s="12"/>
      <c r="AF812" s="12"/>
      <c r="AG812" s="12"/>
    </row>
    <row r="813" spans="29:33" x14ac:dyDescent="0.25">
      <c r="AC813" s="12"/>
      <c r="AD813" s="12"/>
      <c r="AF813" s="12"/>
      <c r="AG813" s="12"/>
    </row>
    <row r="814" spans="29:33" x14ac:dyDescent="0.25">
      <c r="AC814" s="12"/>
      <c r="AD814" s="12"/>
      <c r="AF814" s="12"/>
      <c r="AG814" s="12"/>
    </row>
    <row r="815" spans="29:33" x14ac:dyDescent="0.25">
      <c r="AC815" s="12"/>
      <c r="AD815" s="12"/>
      <c r="AF815" s="12"/>
      <c r="AG815" s="12"/>
    </row>
    <row r="816" spans="29:33" x14ac:dyDescent="0.25">
      <c r="AC816" s="12"/>
      <c r="AD816" s="12"/>
      <c r="AF816" s="12"/>
      <c r="AG816" s="12"/>
    </row>
    <row r="817" spans="29:33" x14ac:dyDescent="0.25">
      <c r="AC817" s="12"/>
      <c r="AD817" s="12"/>
      <c r="AF817" s="12"/>
      <c r="AG817" s="12"/>
    </row>
    <row r="818" spans="29:33" x14ac:dyDescent="0.25">
      <c r="AC818" s="12"/>
      <c r="AD818" s="12"/>
      <c r="AF818" s="12"/>
      <c r="AG818" s="12"/>
    </row>
    <row r="819" spans="29:33" x14ac:dyDescent="0.25">
      <c r="AC819" s="12"/>
      <c r="AD819" s="12"/>
      <c r="AF819" s="12"/>
      <c r="AG819" s="12"/>
    </row>
    <row r="820" spans="29:33" x14ac:dyDescent="0.25">
      <c r="AC820" s="12"/>
      <c r="AD820" s="12"/>
      <c r="AF820" s="12"/>
      <c r="AG820" s="12"/>
    </row>
    <row r="821" spans="29:33" x14ac:dyDescent="0.25">
      <c r="AC821" s="12"/>
      <c r="AD821" s="12"/>
      <c r="AF821" s="12"/>
      <c r="AG821" s="12"/>
    </row>
    <row r="822" spans="29:33" x14ac:dyDescent="0.25">
      <c r="AC822" s="12"/>
      <c r="AD822" s="12"/>
      <c r="AF822" s="12"/>
      <c r="AG822" s="12"/>
    </row>
    <row r="823" spans="29:33" x14ac:dyDescent="0.25">
      <c r="AC823" s="12"/>
      <c r="AD823" s="12"/>
      <c r="AF823" s="12"/>
      <c r="AG823" s="12"/>
    </row>
    <row r="824" spans="29:33" x14ac:dyDescent="0.25">
      <c r="AC824" s="12"/>
      <c r="AD824" s="12"/>
      <c r="AF824" s="12"/>
      <c r="AG824" s="12"/>
    </row>
    <row r="825" spans="29:33" x14ac:dyDescent="0.25">
      <c r="AC825" s="12"/>
      <c r="AD825" s="12"/>
      <c r="AF825" s="12"/>
      <c r="AG825" s="12"/>
    </row>
    <row r="826" spans="29:33" x14ac:dyDescent="0.25">
      <c r="AC826" s="12"/>
      <c r="AD826" s="12"/>
      <c r="AF826" s="12"/>
      <c r="AG826" s="12"/>
    </row>
    <row r="827" spans="29:33" x14ac:dyDescent="0.25">
      <c r="AC827" s="12"/>
      <c r="AD827" s="12"/>
      <c r="AF827" s="12"/>
      <c r="AG827" s="12"/>
    </row>
    <row r="828" spans="29:33" x14ac:dyDescent="0.25">
      <c r="AC828" s="12"/>
      <c r="AD828" s="12"/>
      <c r="AF828" s="12"/>
      <c r="AG828" s="12"/>
    </row>
    <row r="829" spans="29:33" x14ac:dyDescent="0.25">
      <c r="AC829" s="12"/>
      <c r="AD829" s="12"/>
      <c r="AF829" s="12"/>
      <c r="AG829" s="12"/>
    </row>
    <row r="830" spans="29:33" x14ac:dyDescent="0.25">
      <c r="AC830" s="12"/>
      <c r="AD830" s="12"/>
      <c r="AF830" s="12"/>
      <c r="AG830" s="12"/>
    </row>
    <row r="831" spans="29:33" x14ac:dyDescent="0.25">
      <c r="AC831" s="12"/>
      <c r="AD831" s="12"/>
      <c r="AF831" s="12"/>
      <c r="AG831" s="12"/>
    </row>
    <row r="832" spans="29:33" x14ac:dyDescent="0.25">
      <c r="AC832" s="12"/>
      <c r="AD832" s="12"/>
      <c r="AF832" s="12"/>
      <c r="AG832" s="12"/>
    </row>
    <row r="833" spans="29:33" x14ac:dyDescent="0.25">
      <c r="AC833" s="12"/>
      <c r="AD833" s="12"/>
      <c r="AF833" s="12"/>
      <c r="AG833" s="12"/>
    </row>
    <row r="834" spans="29:33" x14ac:dyDescent="0.25">
      <c r="AC834" s="12"/>
      <c r="AD834" s="12"/>
      <c r="AF834" s="12"/>
      <c r="AG834" s="12"/>
    </row>
    <row r="835" spans="29:33" x14ac:dyDescent="0.25">
      <c r="AC835" s="12"/>
      <c r="AD835" s="12"/>
      <c r="AF835" s="12"/>
      <c r="AG835" s="12"/>
    </row>
    <row r="836" spans="29:33" x14ac:dyDescent="0.25">
      <c r="AC836" s="12"/>
      <c r="AD836" s="12"/>
      <c r="AF836" s="12"/>
      <c r="AG836" s="12"/>
    </row>
    <row r="837" spans="29:33" x14ac:dyDescent="0.25">
      <c r="AC837" s="12"/>
      <c r="AD837" s="12"/>
      <c r="AF837" s="12"/>
      <c r="AG837" s="12"/>
    </row>
    <row r="838" spans="29:33" x14ac:dyDescent="0.25">
      <c r="AC838" s="12"/>
      <c r="AD838" s="12"/>
      <c r="AF838" s="12"/>
      <c r="AG838" s="12"/>
    </row>
    <row r="839" spans="29:33" x14ac:dyDescent="0.25">
      <c r="AC839" s="12"/>
      <c r="AD839" s="12"/>
      <c r="AF839" s="12"/>
      <c r="AG839" s="12"/>
    </row>
    <row r="840" spans="29:33" x14ac:dyDescent="0.25">
      <c r="AC840" s="12"/>
      <c r="AD840" s="12"/>
      <c r="AF840" s="12"/>
      <c r="AG840" s="12"/>
    </row>
    <row r="841" spans="29:33" x14ac:dyDescent="0.25">
      <c r="AC841" s="12"/>
      <c r="AD841" s="12"/>
      <c r="AF841" s="12"/>
      <c r="AG841" s="12"/>
    </row>
    <row r="842" spans="29:33" x14ac:dyDescent="0.25">
      <c r="AC842" s="12"/>
      <c r="AD842" s="12"/>
      <c r="AF842" s="12"/>
      <c r="AG842" s="12"/>
    </row>
    <row r="843" spans="29:33" x14ac:dyDescent="0.25">
      <c r="AC843" s="12"/>
      <c r="AD843" s="12"/>
      <c r="AF843" s="12"/>
      <c r="AG843" s="12"/>
    </row>
    <row r="844" spans="29:33" x14ac:dyDescent="0.25">
      <c r="AC844" s="12"/>
      <c r="AD844" s="12"/>
      <c r="AF844" s="12"/>
      <c r="AG844" s="12"/>
    </row>
    <row r="845" spans="29:33" x14ac:dyDescent="0.25">
      <c r="AC845" s="12"/>
      <c r="AD845" s="12"/>
      <c r="AF845" s="12"/>
      <c r="AG845" s="12"/>
    </row>
    <row r="846" spans="29:33" x14ac:dyDescent="0.25">
      <c r="AC846" s="12"/>
      <c r="AD846" s="12"/>
      <c r="AF846" s="12"/>
      <c r="AG846" s="12"/>
    </row>
    <row r="847" spans="29:33" x14ac:dyDescent="0.25">
      <c r="AC847" s="12"/>
      <c r="AD847" s="12"/>
      <c r="AF847" s="12"/>
      <c r="AG847" s="12"/>
    </row>
    <row r="848" spans="29:33" x14ac:dyDescent="0.25">
      <c r="AC848" s="12"/>
      <c r="AD848" s="12"/>
      <c r="AF848" s="12"/>
      <c r="AG848" s="12"/>
    </row>
    <row r="849" spans="29:33" x14ac:dyDescent="0.25">
      <c r="AC849" s="12"/>
      <c r="AD849" s="12"/>
      <c r="AF849" s="12"/>
      <c r="AG849" s="12"/>
    </row>
    <row r="850" spans="29:33" x14ac:dyDescent="0.25">
      <c r="AC850" s="12"/>
      <c r="AD850" s="12"/>
      <c r="AF850" s="12"/>
      <c r="AG850" s="12"/>
    </row>
    <row r="851" spans="29:33" x14ac:dyDescent="0.25">
      <c r="AC851" s="12"/>
      <c r="AD851" s="12"/>
      <c r="AF851" s="12"/>
      <c r="AG851" s="12"/>
    </row>
    <row r="852" spans="29:33" x14ac:dyDescent="0.25">
      <c r="AC852" s="12"/>
      <c r="AD852" s="12"/>
      <c r="AF852" s="12"/>
      <c r="AG852" s="12"/>
    </row>
    <row r="853" spans="29:33" x14ac:dyDescent="0.25">
      <c r="AC853" s="12"/>
      <c r="AD853" s="12"/>
      <c r="AF853" s="12"/>
      <c r="AG853" s="12"/>
    </row>
    <row r="854" spans="29:33" x14ac:dyDescent="0.25">
      <c r="AC854" s="12"/>
      <c r="AD854" s="12"/>
      <c r="AF854" s="12"/>
      <c r="AG854" s="12"/>
    </row>
    <row r="855" spans="29:33" x14ac:dyDescent="0.25">
      <c r="AC855" s="12"/>
      <c r="AD855" s="12"/>
      <c r="AF855" s="12"/>
      <c r="AG855" s="12"/>
    </row>
    <row r="856" spans="29:33" x14ac:dyDescent="0.25">
      <c r="AC856" s="12"/>
      <c r="AD856" s="12"/>
      <c r="AF856" s="12"/>
      <c r="AG856" s="12"/>
    </row>
    <row r="857" spans="29:33" x14ac:dyDescent="0.25">
      <c r="AC857" s="12"/>
      <c r="AD857" s="12"/>
      <c r="AF857" s="12"/>
      <c r="AG857" s="12"/>
    </row>
    <row r="858" spans="29:33" x14ac:dyDescent="0.25">
      <c r="AC858" s="12"/>
      <c r="AD858" s="12"/>
      <c r="AF858" s="12"/>
      <c r="AG858" s="12"/>
    </row>
    <row r="859" spans="29:33" x14ac:dyDescent="0.25">
      <c r="AC859" s="12"/>
      <c r="AD859" s="12"/>
      <c r="AF859" s="12"/>
      <c r="AG859" s="12"/>
    </row>
    <row r="860" spans="29:33" x14ac:dyDescent="0.25">
      <c r="AC860" s="12"/>
      <c r="AD860" s="12"/>
      <c r="AF860" s="12"/>
      <c r="AG860" s="12"/>
    </row>
    <row r="861" spans="29:33" x14ac:dyDescent="0.25">
      <c r="AC861" s="12"/>
      <c r="AD861" s="12"/>
      <c r="AF861" s="12"/>
      <c r="AG861" s="12"/>
    </row>
    <row r="862" spans="29:33" x14ac:dyDescent="0.25">
      <c r="AC862" s="12"/>
      <c r="AD862" s="12"/>
      <c r="AF862" s="12"/>
      <c r="AG862" s="12"/>
    </row>
    <row r="863" spans="29:33" x14ac:dyDescent="0.25">
      <c r="AC863" s="12"/>
      <c r="AD863" s="12"/>
      <c r="AF863" s="12"/>
      <c r="AG863" s="12"/>
    </row>
    <row r="864" spans="29:33" x14ac:dyDescent="0.25">
      <c r="AC864" s="12"/>
      <c r="AD864" s="12"/>
      <c r="AF864" s="12"/>
      <c r="AG864" s="12"/>
    </row>
    <row r="865" spans="29:33" x14ac:dyDescent="0.25">
      <c r="AC865" s="12"/>
      <c r="AD865" s="12"/>
      <c r="AF865" s="12"/>
      <c r="AG865" s="12"/>
    </row>
    <row r="866" spans="29:33" x14ac:dyDescent="0.25">
      <c r="AC866" s="12"/>
      <c r="AD866" s="12"/>
      <c r="AF866" s="12"/>
      <c r="AG866" s="12"/>
    </row>
    <row r="867" spans="29:33" x14ac:dyDescent="0.25">
      <c r="AC867" s="12"/>
      <c r="AD867" s="12"/>
      <c r="AF867" s="12"/>
      <c r="AG867" s="12"/>
    </row>
    <row r="868" spans="29:33" x14ac:dyDescent="0.25">
      <c r="AC868" s="12"/>
      <c r="AD868" s="12"/>
      <c r="AF868" s="12"/>
      <c r="AG868" s="12"/>
    </row>
    <row r="869" spans="29:33" x14ac:dyDescent="0.25">
      <c r="AC869" s="12"/>
      <c r="AD869" s="12"/>
      <c r="AF869" s="12"/>
      <c r="AG869" s="12"/>
    </row>
    <row r="870" spans="29:33" x14ac:dyDescent="0.25">
      <c r="AC870" s="12"/>
      <c r="AD870" s="12"/>
      <c r="AF870" s="12"/>
      <c r="AG870" s="12"/>
    </row>
    <row r="871" spans="29:33" x14ac:dyDescent="0.25">
      <c r="AC871" s="12"/>
      <c r="AD871" s="12"/>
      <c r="AF871" s="12"/>
      <c r="AG871" s="12"/>
    </row>
    <row r="872" spans="29:33" x14ac:dyDescent="0.25">
      <c r="AC872" s="12"/>
      <c r="AD872" s="12"/>
      <c r="AF872" s="12"/>
      <c r="AG872" s="12"/>
    </row>
    <row r="873" spans="29:33" x14ac:dyDescent="0.25">
      <c r="AC873" s="12"/>
      <c r="AD873" s="12"/>
      <c r="AF873" s="12"/>
      <c r="AG873" s="12"/>
    </row>
    <row r="874" spans="29:33" x14ac:dyDescent="0.25">
      <c r="AC874" s="12"/>
      <c r="AD874" s="12"/>
      <c r="AF874" s="12"/>
      <c r="AG874" s="12"/>
    </row>
    <row r="875" spans="29:33" x14ac:dyDescent="0.25">
      <c r="AC875" s="12"/>
      <c r="AD875" s="12"/>
      <c r="AF875" s="12"/>
      <c r="AG875" s="12"/>
    </row>
    <row r="876" spans="29:33" x14ac:dyDescent="0.25">
      <c r="AC876" s="12"/>
      <c r="AD876" s="12"/>
      <c r="AF876" s="12"/>
      <c r="AG876" s="12"/>
    </row>
    <row r="877" spans="29:33" x14ac:dyDescent="0.25">
      <c r="AC877" s="12"/>
      <c r="AD877" s="12"/>
      <c r="AF877" s="12"/>
      <c r="AG877" s="12"/>
    </row>
    <row r="878" spans="29:33" x14ac:dyDescent="0.25">
      <c r="AC878" s="12"/>
      <c r="AD878" s="12"/>
      <c r="AF878" s="12"/>
      <c r="AG878" s="12"/>
    </row>
    <row r="879" spans="29:33" x14ac:dyDescent="0.25">
      <c r="AC879" s="12"/>
      <c r="AD879" s="12"/>
      <c r="AF879" s="12"/>
      <c r="AG879" s="12"/>
    </row>
    <row r="880" spans="29:33" x14ac:dyDescent="0.25">
      <c r="AC880" s="12"/>
      <c r="AD880" s="12"/>
      <c r="AF880" s="12"/>
      <c r="AG880" s="12"/>
    </row>
    <row r="881" spans="29:33" x14ac:dyDescent="0.25">
      <c r="AC881" s="12"/>
      <c r="AD881" s="12"/>
      <c r="AF881" s="12"/>
      <c r="AG881" s="12"/>
    </row>
    <row r="882" spans="29:33" x14ac:dyDescent="0.25">
      <c r="AC882" s="12"/>
      <c r="AD882" s="12"/>
      <c r="AF882" s="12"/>
      <c r="AG882" s="12"/>
    </row>
    <row r="883" spans="29:33" x14ac:dyDescent="0.25">
      <c r="AC883" s="12"/>
      <c r="AD883" s="12"/>
      <c r="AF883" s="12"/>
      <c r="AG883" s="12"/>
    </row>
    <row r="884" spans="29:33" x14ac:dyDescent="0.25">
      <c r="AC884" s="12"/>
      <c r="AD884" s="12"/>
      <c r="AF884" s="12"/>
      <c r="AG884" s="12"/>
    </row>
    <row r="885" spans="29:33" x14ac:dyDescent="0.25">
      <c r="AC885" s="12"/>
      <c r="AD885" s="12"/>
      <c r="AF885" s="12"/>
      <c r="AG885" s="12"/>
    </row>
    <row r="886" spans="29:33" x14ac:dyDescent="0.25">
      <c r="AC886" s="12"/>
      <c r="AD886" s="12"/>
      <c r="AF886" s="12"/>
      <c r="AG886" s="12"/>
    </row>
    <row r="887" spans="29:33" x14ac:dyDescent="0.25">
      <c r="AC887" s="12"/>
      <c r="AD887" s="12"/>
      <c r="AF887" s="12"/>
      <c r="AG887" s="12"/>
    </row>
    <row r="888" spans="29:33" x14ac:dyDescent="0.25">
      <c r="AC888" s="12"/>
      <c r="AD888" s="12"/>
      <c r="AF888" s="12"/>
      <c r="AG888" s="12"/>
    </row>
    <row r="889" spans="29:33" x14ac:dyDescent="0.25">
      <c r="AC889" s="12"/>
      <c r="AD889" s="12"/>
      <c r="AF889" s="12"/>
      <c r="AG889" s="12"/>
    </row>
    <row r="890" spans="29:33" x14ac:dyDescent="0.25">
      <c r="AC890" s="12"/>
      <c r="AD890" s="12"/>
      <c r="AF890" s="12"/>
      <c r="AG890" s="12"/>
    </row>
    <row r="891" spans="29:33" x14ac:dyDescent="0.25">
      <c r="AC891" s="12"/>
      <c r="AD891" s="12"/>
      <c r="AF891" s="12"/>
      <c r="AG891" s="12"/>
    </row>
    <row r="892" spans="29:33" x14ac:dyDescent="0.25">
      <c r="AC892" s="12"/>
      <c r="AD892" s="12"/>
      <c r="AF892" s="12"/>
      <c r="AG892" s="12"/>
    </row>
    <row r="893" spans="29:33" x14ac:dyDescent="0.25">
      <c r="AC893" s="12"/>
      <c r="AD893" s="12"/>
      <c r="AF893" s="12"/>
      <c r="AG893" s="12"/>
    </row>
    <row r="894" spans="29:33" x14ac:dyDescent="0.25">
      <c r="AC894" s="12"/>
      <c r="AD894" s="12"/>
      <c r="AF894" s="12"/>
      <c r="AG894" s="12"/>
    </row>
    <row r="895" spans="29:33" x14ac:dyDescent="0.25">
      <c r="AC895" s="12"/>
      <c r="AD895" s="12"/>
      <c r="AF895" s="12"/>
      <c r="AG895" s="12"/>
    </row>
    <row r="896" spans="29:33" x14ac:dyDescent="0.25">
      <c r="AC896" s="12"/>
      <c r="AD896" s="12"/>
      <c r="AF896" s="12"/>
      <c r="AG896" s="12"/>
    </row>
    <row r="897" spans="29:33" x14ac:dyDescent="0.25">
      <c r="AC897" s="12"/>
      <c r="AD897" s="12"/>
      <c r="AF897" s="12"/>
      <c r="AG897" s="12"/>
    </row>
    <row r="898" spans="29:33" x14ac:dyDescent="0.25">
      <c r="AC898" s="12"/>
      <c r="AD898" s="12"/>
      <c r="AF898" s="12"/>
      <c r="AG898" s="12"/>
    </row>
    <row r="899" spans="29:33" x14ac:dyDescent="0.25">
      <c r="AC899" s="12"/>
      <c r="AD899" s="12"/>
      <c r="AF899" s="12"/>
      <c r="AG899" s="12"/>
    </row>
    <row r="900" spans="29:33" x14ac:dyDescent="0.25">
      <c r="AC900" s="12"/>
      <c r="AD900" s="12"/>
      <c r="AF900" s="12"/>
      <c r="AG900" s="12"/>
    </row>
    <row r="901" spans="29:33" x14ac:dyDescent="0.25">
      <c r="AC901" s="12"/>
      <c r="AD901" s="12"/>
      <c r="AF901" s="12"/>
      <c r="AG901" s="12"/>
    </row>
    <row r="902" spans="29:33" x14ac:dyDescent="0.25">
      <c r="AC902" s="12"/>
      <c r="AD902" s="12"/>
      <c r="AF902" s="12"/>
      <c r="AG902" s="12"/>
    </row>
    <row r="903" spans="29:33" x14ac:dyDescent="0.25">
      <c r="AC903" s="12"/>
      <c r="AD903" s="12"/>
      <c r="AF903" s="12"/>
      <c r="AG903" s="12"/>
    </row>
    <row r="904" spans="29:33" x14ac:dyDescent="0.25">
      <c r="AC904" s="12"/>
      <c r="AD904" s="12"/>
      <c r="AF904" s="12"/>
      <c r="AG904" s="12"/>
    </row>
    <row r="905" spans="29:33" x14ac:dyDescent="0.25">
      <c r="AC905" s="12"/>
      <c r="AD905" s="12"/>
      <c r="AF905" s="12"/>
      <c r="AG905" s="12"/>
    </row>
    <row r="906" spans="29:33" x14ac:dyDescent="0.25">
      <c r="AC906" s="12"/>
      <c r="AD906" s="12"/>
      <c r="AF906" s="12"/>
      <c r="AG906" s="12"/>
    </row>
    <row r="907" spans="29:33" x14ac:dyDescent="0.25">
      <c r="AC907" s="12"/>
      <c r="AD907" s="12"/>
      <c r="AF907" s="12"/>
      <c r="AG907" s="12"/>
    </row>
    <row r="908" spans="29:33" x14ac:dyDescent="0.25">
      <c r="AC908" s="12"/>
      <c r="AD908" s="12"/>
      <c r="AF908" s="12"/>
      <c r="AG908" s="12"/>
    </row>
    <row r="909" spans="29:33" x14ac:dyDescent="0.25">
      <c r="AC909" s="12"/>
      <c r="AD909" s="12"/>
      <c r="AF909" s="12"/>
      <c r="AG909" s="12"/>
    </row>
    <row r="910" spans="29:33" x14ac:dyDescent="0.25">
      <c r="AC910" s="12"/>
      <c r="AD910" s="12"/>
      <c r="AF910" s="12"/>
      <c r="AG910" s="12"/>
    </row>
    <row r="911" spans="29:33" x14ac:dyDescent="0.25">
      <c r="AC911" s="12"/>
      <c r="AD911" s="12"/>
      <c r="AF911" s="12"/>
      <c r="AG911" s="12"/>
    </row>
    <row r="912" spans="29:33" x14ac:dyDescent="0.25">
      <c r="AC912" s="12"/>
      <c r="AD912" s="12"/>
      <c r="AF912" s="12"/>
      <c r="AG912" s="12"/>
    </row>
    <row r="913" spans="29:33" x14ac:dyDescent="0.25">
      <c r="AC913" s="12"/>
      <c r="AD913" s="12"/>
      <c r="AF913" s="12"/>
      <c r="AG913" s="12"/>
    </row>
    <row r="914" spans="29:33" x14ac:dyDescent="0.25">
      <c r="AC914" s="12"/>
      <c r="AD914" s="12"/>
      <c r="AF914" s="12"/>
      <c r="AG914" s="12"/>
    </row>
    <row r="915" spans="29:33" x14ac:dyDescent="0.25">
      <c r="AC915" s="12"/>
      <c r="AD915" s="12"/>
      <c r="AF915" s="12"/>
      <c r="AG915" s="12"/>
    </row>
    <row r="916" spans="29:33" x14ac:dyDescent="0.25">
      <c r="AC916" s="12"/>
      <c r="AD916" s="12"/>
      <c r="AF916" s="12"/>
      <c r="AG916" s="12"/>
    </row>
    <row r="917" spans="29:33" x14ac:dyDescent="0.25">
      <c r="AC917" s="12"/>
      <c r="AD917" s="12"/>
      <c r="AF917" s="12"/>
      <c r="AG917" s="12"/>
    </row>
    <row r="918" spans="29:33" x14ac:dyDescent="0.25">
      <c r="AC918" s="12"/>
      <c r="AD918" s="12"/>
      <c r="AF918" s="12"/>
      <c r="AG918" s="12"/>
    </row>
    <row r="919" spans="29:33" x14ac:dyDescent="0.25">
      <c r="AC919" s="12"/>
      <c r="AD919" s="12"/>
      <c r="AF919" s="12"/>
      <c r="AG919" s="12"/>
    </row>
    <row r="920" spans="29:33" x14ac:dyDescent="0.25">
      <c r="AC920" s="12"/>
      <c r="AD920" s="12"/>
      <c r="AF920" s="12"/>
      <c r="AG920" s="12"/>
    </row>
    <row r="921" spans="29:33" x14ac:dyDescent="0.25">
      <c r="AC921" s="12"/>
      <c r="AD921" s="12"/>
      <c r="AF921" s="12"/>
      <c r="AG921" s="12"/>
    </row>
    <row r="922" spans="29:33" x14ac:dyDescent="0.25">
      <c r="AC922" s="12"/>
      <c r="AD922" s="12"/>
      <c r="AF922" s="12"/>
      <c r="AG922" s="12"/>
    </row>
    <row r="923" spans="29:33" x14ac:dyDescent="0.25">
      <c r="AC923" s="12"/>
      <c r="AD923" s="12"/>
      <c r="AF923" s="12"/>
      <c r="AG923" s="12"/>
    </row>
    <row r="924" spans="29:33" x14ac:dyDescent="0.25">
      <c r="AC924" s="12"/>
      <c r="AD924" s="12"/>
      <c r="AF924" s="12"/>
      <c r="AG924" s="12"/>
    </row>
    <row r="925" spans="29:33" x14ac:dyDescent="0.25">
      <c r="AC925" s="12"/>
      <c r="AD925" s="12"/>
      <c r="AF925" s="12"/>
      <c r="AG925" s="12"/>
    </row>
    <row r="926" spans="29:33" x14ac:dyDescent="0.25">
      <c r="AC926" s="12"/>
      <c r="AD926" s="12"/>
      <c r="AF926" s="12"/>
      <c r="AG926" s="12"/>
    </row>
    <row r="927" spans="29:33" x14ac:dyDescent="0.25">
      <c r="AC927" s="12"/>
      <c r="AD927" s="12"/>
      <c r="AF927" s="12"/>
      <c r="AG927" s="12"/>
    </row>
    <row r="928" spans="29:33" x14ac:dyDescent="0.25">
      <c r="AC928" s="12"/>
      <c r="AD928" s="12"/>
      <c r="AF928" s="12"/>
      <c r="AG928" s="12"/>
    </row>
    <row r="929" spans="29:33" x14ac:dyDescent="0.25">
      <c r="AC929" s="12"/>
      <c r="AD929" s="12"/>
      <c r="AF929" s="12"/>
      <c r="AG929" s="12"/>
    </row>
    <row r="930" spans="29:33" x14ac:dyDescent="0.25">
      <c r="AC930" s="12"/>
      <c r="AD930" s="12"/>
      <c r="AF930" s="12"/>
      <c r="AG930" s="12"/>
    </row>
    <row r="931" spans="29:33" x14ac:dyDescent="0.25">
      <c r="AC931" s="12"/>
      <c r="AD931" s="12"/>
      <c r="AF931" s="12"/>
      <c r="AG931" s="12"/>
    </row>
    <row r="932" spans="29:33" x14ac:dyDescent="0.25">
      <c r="AC932" s="12"/>
      <c r="AD932" s="12"/>
      <c r="AF932" s="12"/>
      <c r="AG932" s="12"/>
    </row>
    <row r="933" spans="29:33" x14ac:dyDescent="0.25">
      <c r="AC933" s="12"/>
      <c r="AD933" s="12"/>
      <c r="AF933" s="12"/>
      <c r="AG933" s="12"/>
    </row>
    <row r="934" spans="29:33" x14ac:dyDescent="0.25">
      <c r="AC934" s="12"/>
      <c r="AD934" s="12"/>
      <c r="AF934" s="12"/>
      <c r="AG934" s="12"/>
    </row>
    <row r="935" spans="29:33" x14ac:dyDescent="0.25">
      <c r="AC935" s="12"/>
      <c r="AD935" s="12"/>
      <c r="AF935" s="12"/>
      <c r="AG935" s="12"/>
    </row>
    <row r="936" spans="29:33" x14ac:dyDescent="0.25">
      <c r="AC936" s="12"/>
      <c r="AD936" s="12"/>
      <c r="AF936" s="12"/>
      <c r="AG936" s="12"/>
    </row>
    <row r="937" spans="29:33" x14ac:dyDescent="0.25">
      <c r="AC937" s="12"/>
      <c r="AD937" s="12"/>
      <c r="AF937" s="12"/>
      <c r="AG937" s="12"/>
    </row>
    <row r="938" spans="29:33" x14ac:dyDescent="0.25">
      <c r="AC938" s="12"/>
      <c r="AD938" s="12"/>
      <c r="AF938" s="12"/>
      <c r="AG938" s="12"/>
    </row>
    <row r="939" spans="29:33" x14ac:dyDescent="0.25">
      <c r="AC939" s="12"/>
      <c r="AD939" s="12"/>
      <c r="AF939" s="12"/>
      <c r="AG939" s="12"/>
    </row>
    <row r="940" spans="29:33" x14ac:dyDescent="0.25">
      <c r="AC940" s="12"/>
      <c r="AD940" s="12"/>
      <c r="AF940" s="12"/>
      <c r="AG940" s="12"/>
    </row>
    <row r="941" spans="29:33" x14ac:dyDescent="0.25">
      <c r="AC941" s="12"/>
      <c r="AD941" s="12"/>
      <c r="AF941" s="12"/>
      <c r="AG941" s="12"/>
    </row>
    <row r="942" spans="29:33" x14ac:dyDescent="0.25">
      <c r="AC942" s="12"/>
      <c r="AD942" s="12"/>
      <c r="AF942" s="12"/>
      <c r="AG942" s="12"/>
    </row>
    <row r="943" spans="29:33" x14ac:dyDescent="0.25">
      <c r="AC943" s="12"/>
      <c r="AD943" s="12"/>
      <c r="AF943" s="12"/>
      <c r="AG943" s="12"/>
    </row>
    <row r="944" spans="29:33" x14ac:dyDescent="0.25">
      <c r="AC944" s="12"/>
      <c r="AD944" s="12"/>
      <c r="AF944" s="12"/>
      <c r="AG944" s="12"/>
    </row>
    <row r="945" spans="29:33" x14ac:dyDescent="0.25">
      <c r="AC945" s="12"/>
      <c r="AD945" s="12"/>
      <c r="AF945" s="12"/>
      <c r="AG945" s="12"/>
    </row>
    <row r="946" spans="29:33" x14ac:dyDescent="0.25">
      <c r="AC946" s="12"/>
      <c r="AD946" s="12"/>
      <c r="AF946" s="12"/>
      <c r="AG946" s="12"/>
    </row>
    <row r="947" spans="29:33" x14ac:dyDescent="0.25">
      <c r="AC947" s="12"/>
      <c r="AD947" s="12"/>
      <c r="AF947" s="12"/>
      <c r="AG947" s="12"/>
    </row>
    <row r="948" spans="29:33" x14ac:dyDescent="0.25">
      <c r="AC948" s="12"/>
      <c r="AD948" s="12"/>
      <c r="AF948" s="12"/>
      <c r="AG948" s="12"/>
    </row>
    <row r="949" spans="29:33" x14ac:dyDescent="0.25">
      <c r="AC949" s="12"/>
      <c r="AD949" s="12"/>
      <c r="AF949" s="12"/>
      <c r="AG949" s="12"/>
    </row>
    <row r="950" spans="29:33" x14ac:dyDescent="0.25">
      <c r="AC950" s="12"/>
      <c r="AD950" s="12"/>
      <c r="AF950" s="12"/>
      <c r="AG950" s="12"/>
    </row>
    <row r="951" spans="29:33" x14ac:dyDescent="0.25">
      <c r="AC951" s="12"/>
      <c r="AD951" s="12"/>
      <c r="AF951" s="12"/>
      <c r="AG951" s="12"/>
    </row>
    <row r="952" spans="29:33" x14ac:dyDescent="0.25">
      <c r="AC952" s="12"/>
      <c r="AD952" s="12"/>
      <c r="AF952" s="12"/>
      <c r="AG952" s="12"/>
    </row>
    <row r="953" spans="29:33" x14ac:dyDescent="0.25">
      <c r="AC953" s="12"/>
      <c r="AD953" s="12"/>
      <c r="AF953" s="12"/>
      <c r="AG953" s="12"/>
    </row>
    <row r="954" spans="29:33" x14ac:dyDescent="0.25">
      <c r="AC954" s="12"/>
      <c r="AD954" s="12"/>
      <c r="AF954" s="12"/>
      <c r="AG954" s="12"/>
    </row>
    <row r="955" spans="29:33" x14ac:dyDescent="0.25">
      <c r="AC955" s="12"/>
      <c r="AD955" s="12"/>
      <c r="AF955" s="12"/>
      <c r="AG955" s="12"/>
    </row>
    <row r="956" spans="29:33" x14ac:dyDescent="0.25">
      <c r="AC956" s="12"/>
      <c r="AD956" s="12"/>
      <c r="AF956" s="12"/>
      <c r="AG956" s="12"/>
    </row>
    <row r="957" spans="29:33" x14ac:dyDescent="0.25">
      <c r="AC957" s="12"/>
      <c r="AD957" s="12"/>
      <c r="AF957" s="12"/>
      <c r="AG957" s="12"/>
    </row>
    <row r="958" spans="29:33" x14ac:dyDescent="0.25">
      <c r="AC958" s="12"/>
      <c r="AD958" s="12"/>
      <c r="AF958" s="12"/>
      <c r="AG958" s="12"/>
    </row>
    <row r="959" spans="29:33" x14ac:dyDescent="0.25">
      <c r="AC959" s="12"/>
      <c r="AD959" s="12"/>
      <c r="AF959" s="12"/>
      <c r="AG959" s="12"/>
    </row>
    <row r="960" spans="29:33" x14ac:dyDescent="0.25">
      <c r="AC960" s="12"/>
      <c r="AD960" s="12"/>
      <c r="AF960" s="12"/>
      <c r="AG960" s="12"/>
    </row>
    <row r="961" spans="29:33" x14ac:dyDescent="0.25">
      <c r="AC961" s="12"/>
      <c r="AD961" s="12"/>
      <c r="AF961" s="12"/>
      <c r="AG961" s="12"/>
    </row>
    <row r="962" spans="29:33" x14ac:dyDescent="0.25">
      <c r="AC962" s="12"/>
      <c r="AD962" s="12"/>
      <c r="AF962" s="12"/>
      <c r="AG962" s="12"/>
    </row>
    <row r="963" spans="29:33" x14ac:dyDescent="0.25">
      <c r="AC963" s="12"/>
      <c r="AD963" s="12"/>
      <c r="AF963" s="12"/>
      <c r="AG963" s="12"/>
    </row>
    <row r="964" spans="29:33" x14ac:dyDescent="0.25">
      <c r="AC964" s="12"/>
      <c r="AD964" s="12"/>
      <c r="AF964" s="12"/>
      <c r="AG964" s="12"/>
    </row>
    <row r="965" spans="29:33" x14ac:dyDescent="0.25">
      <c r="AC965" s="12"/>
      <c r="AD965" s="12"/>
      <c r="AF965" s="12"/>
      <c r="AG965" s="12"/>
    </row>
    <row r="966" spans="29:33" x14ac:dyDescent="0.25">
      <c r="AC966" s="12"/>
      <c r="AD966" s="12"/>
      <c r="AF966" s="12"/>
      <c r="AG966" s="12"/>
    </row>
    <row r="967" spans="29:33" x14ac:dyDescent="0.25">
      <c r="AC967" s="12"/>
      <c r="AD967" s="12"/>
      <c r="AF967" s="12"/>
      <c r="AG967" s="12"/>
    </row>
    <row r="968" spans="29:33" x14ac:dyDescent="0.25">
      <c r="AC968" s="12"/>
      <c r="AD968" s="12"/>
      <c r="AF968" s="12"/>
      <c r="AG968" s="12"/>
    </row>
    <row r="969" spans="29:33" x14ac:dyDescent="0.25">
      <c r="AC969" s="12"/>
      <c r="AD969" s="12"/>
      <c r="AF969" s="12"/>
      <c r="AG969" s="12"/>
    </row>
    <row r="970" spans="29:33" x14ac:dyDescent="0.25">
      <c r="AC970" s="12"/>
      <c r="AD970" s="12"/>
      <c r="AF970" s="12"/>
      <c r="AG970" s="12"/>
    </row>
    <row r="971" spans="29:33" x14ac:dyDescent="0.25">
      <c r="AC971" s="12"/>
      <c r="AD971" s="12"/>
      <c r="AF971" s="12"/>
      <c r="AG971" s="12"/>
    </row>
    <row r="972" spans="29:33" x14ac:dyDescent="0.25">
      <c r="AC972" s="12"/>
      <c r="AD972" s="12"/>
      <c r="AF972" s="12"/>
      <c r="AG972" s="12"/>
    </row>
    <row r="973" spans="29:33" x14ac:dyDescent="0.25">
      <c r="AC973" s="12"/>
      <c r="AD973" s="12"/>
      <c r="AF973" s="12"/>
      <c r="AG973" s="12"/>
    </row>
    <row r="974" spans="29:33" x14ac:dyDescent="0.25">
      <c r="AC974" s="12"/>
      <c r="AD974" s="12"/>
      <c r="AF974" s="12"/>
      <c r="AG974" s="12"/>
    </row>
    <row r="975" spans="29:33" x14ac:dyDescent="0.25">
      <c r="AC975" s="12"/>
      <c r="AD975" s="12"/>
      <c r="AF975" s="12"/>
      <c r="AG975" s="12"/>
    </row>
    <row r="976" spans="29:33" x14ac:dyDescent="0.25">
      <c r="AC976" s="12"/>
      <c r="AD976" s="12"/>
      <c r="AF976" s="12"/>
      <c r="AG976" s="12"/>
    </row>
    <row r="977" spans="29:33" x14ac:dyDescent="0.25">
      <c r="AC977" s="12"/>
      <c r="AD977" s="12"/>
      <c r="AF977" s="12"/>
      <c r="AG977" s="12"/>
    </row>
    <row r="978" spans="29:33" x14ac:dyDescent="0.25">
      <c r="AC978" s="12"/>
      <c r="AD978" s="12"/>
      <c r="AF978" s="12"/>
      <c r="AG978" s="12"/>
    </row>
    <row r="979" spans="29:33" x14ac:dyDescent="0.25">
      <c r="AC979" s="12"/>
      <c r="AD979" s="12"/>
      <c r="AF979" s="12"/>
      <c r="AG979" s="12"/>
    </row>
    <row r="980" spans="29:33" x14ac:dyDescent="0.25">
      <c r="AC980" s="12"/>
      <c r="AD980" s="12"/>
      <c r="AF980" s="12"/>
      <c r="AG980" s="12"/>
    </row>
    <row r="981" spans="29:33" x14ac:dyDescent="0.25">
      <c r="AC981" s="12"/>
      <c r="AD981" s="12"/>
      <c r="AF981" s="12"/>
      <c r="AG981" s="12"/>
    </row>
    <row r="982" spans="29:33" x14ac:dyDescent="0.25">
      <c r="AC982" s="12"/>
      <c r="AD982" s="12"/>
      <c r="AF982" s="12"/>
      <c r="AG982" s="12"/>
    </row>
    <row r="983" spans="29:33" x14ac:dyDescent="0.25">
      <c r="AC983" s="12"/>
      <c r="AD983" s="12"/>
      <c r="AF983" s="12"/>
      <c r="AG983" s="12"/>
    </row>
    <row r="984" spans="29:33" x14ac:dyDescent="0.25">
      <c r="AC984" s="12"/>
      <c r="AD984" s="12"/>
      <c r="AF984" s="12"/>
      <c r="AG984" s="12"/>
    </row>
    <row r="985" spans="29:33" x14ac:dyDescent="0.25">
      <c r="AC985" s="12"/>
      <c r="AD985" s="12"/>
      <c r="AF985" s="12"/>
      <c r="AG985" s="12"/>
    </row>
    <row r="986" spans="29:33" x14ac:dyDescent="0.25">
      <c r="AC986" s="12"/>
      <c r="AD986" s="12"/>
      <c r="AF986" s="12"/>
      <c r="AG986" s="12"/>
    </row>
    <row r="987" spans="29:33" x14ac:dyDescent="0.25">
      <c r="AC987" s="12"/>
      <c r="AD987" s="12"/>
      <c r="AF987" s="12"/>
      <c r="AG987" s="12"/>
    </row>
    <row r="988" spans="29:33" x14ac:dyDescent="0.25">
      <c r="AC988" s="12"/>
      <c r="AD988" s="12"/>
      <c r="AF988" s="12"/>
      <c r="AG988" s="12"/>
    </row>
    <row r="989" spans="29:33" x14ac:dyDescent="0.25">
      <c r="AC989" s="12"/>
      <c r="AD989" s="12"/>
      <c r="AF989" s="12"/>
      <c r="AG989" s="12"/>
    </row>
    <row r="990" spans="29:33" x14ac:dyDescent="0.25">
      <c r="AC990" s="12"/>
      <c r="AD990" s="12"/>
      <c r="AF990" s="12"/>
      <c r="AG990" s="12"/>
    </row>
    <row r="991" spans="29:33" x14ac:dyDescent="0.25">
      <c r="AC991" s="12"/>
      <c r="AD991" s="12"/>
      <c r="AF991" s="12"/>
      <c r="AG991" s="12"/>
    </row>
    <row r="992" spans="29:33" x14ac:dyDescent="0.25">
      <c r="AC992" s="12"/>
      <c r="AD992" s="12"/>
      <c r="AF992" s="12"/>
      <c r="AG992" s="12"/>
    </row>
    <row r="993" spans="29:33" x14ac:dyDescent="0.25">
      <c r="AC993" s="12"/>
      <c r="AD993" s="12"/>
      <c r="AF993" s="12"/>
      <c r="AG993" s="12"/>
    </row>
    <row r="994" spans="29:33" x14ac:dyDescent="0.25">
      <c r="AC994" s="12"/>
      <c r="AD994" s="12"/>
      <c r="AF994" s="12"/>
      <c r="AG994" s="12"/>
    </row>
    <row r="995" spans="29:33" x14ac:dyDescent="0.25">
      <c r="AC995" s="12"/>
      <c r="AD995" s="12"/>
      <c r="AF995" s="12"/>
      <c r="AG995" s="12"/>
    </row>
    <row r="996" spans="29:33" x14ac:dyDescent="0.25">
      <c r="AC996" s="12"/>
      <c r="AD996" s="12"/>
      <c r="AF996" s="12"/>
      <c r="AG996" s="12"/>
    </row>
    <row r="997" spans="29:33" x14ac:dyDescent="0.25">
      <c r="AC997" s="12"/>
      <c r="AD997" s="12"/>
      <c r="AF997" s="12"/>
      <c r="AG997" s="12"/>
    </row>
    <row r="998" spans="29:33" x14ac:dyDescent="0.25">
      <c r="AC998" s="12"/>
      <c r="AD998" s="12"/>
      <c r="AF998" s="12"/>
      <c r="AG998" s="12"/>
    </row>
    <row r="999" spans="29:33" x14ac:dyDescent="0.25">
      <c r="AC999" s="12"/>
      <c r="AD999" s="12"/>
      <c r="AF999" s="12"/>
      <c r="AG999" s="12"/>
    </row>
    <row r="1000" spans="29:33" x14ac:dyDescent="0.25">
      <c r="AC1000" s="12"/>
      <c r="AD1000" s="12"/>
      <c r="AF1000" s="12"/>
      <c r="AG1000" s="12"/>
    </row>
    <row r="1001" spans="29:33" x14ac:dyDescent="0.25">
      <c r="AC1001" s="12"/>
      <c r="AD1001" s="12"/>
      <c r="AF1001" s="12"/>
      <c r="AG1001" s="12"/>
    </row>
    <row r="1002" spans="29:33" x14ac:dyDescent="0.25">
      <c r="AC1002" s="12"/>
      <c r="AD1002" s="12"/>
      <c r="AF1002" s="12"/>
      <c r="AG1002" s="12"/>
    </row>
    <row r="1003" spans="29:33" x14ac:dyDescent="0.25">
      <c r="AC1003" s="12"/>
      <c r="AD1003" s="12"/>
      <c r="AF1003" s="12"/>
      <c r="AG1003" s="12"/>
    </row>
    <row r="1004" spans="29:33" x14ac:dyDescent="0.25">
      <c r="AC1004" s="12"/>
      <c r="AD1004" s="12"/>
      <c r="AF1004" s="12"/>
      <c r="AG1004" s="12"/>
    </row>
    <row r="1005" spans="29:33" x14ac:dyDescent="0.25">
      <c r="AC1005" s="12"/>
      <c r="AD1005" s="12"/>
      <c r="AF1005" s="12"/>
      <c r="AG1005" s="12"/>
    </row>
    <row r="1006" spans="29:33" x14ac:dyDescent="0.25">
      <c r="AC1006" s="12"/>
      <c r="AD1006" s="12"/>
      <c r="AF1006" s="12"/>
      <c r="AG1006" s="12"/>
    </row>
    <row r="1007" spans="29:33" x14ac:dyDescent="0.25">
      <c r="AC1007" s="12"/>
      <c r="AD1007" s="12"/>
      <c r="AF1007" s="12"/>
      <c r="AG1007" s="12"/>
    </row>
    <row r="1008" spans="29:33" x14ac:dyDescent="0.25">
      <c r="AC1008" s="12"/>
      <c r="AD1008" s="12"/>
      <c r="AF1008" s="12"/>
      <c r="AG1008" s="12"/>
    </row>
    <row r="1009" spans="29:33" x14ac:dyDescent="0.25">
      <c r="AC1009" s="12"/>
      <c r="AD1009" s="12"/>
      <c r="AF1009" s="12"/>
      <c r="AG1009" s="12"/>
    </row>
    <row r="1010" spans="29:33" x14ac:dyDescent="0.25">
      <c r="AC1010" s="12"/>
      <c r="AD1010" s="12"/>
      <c r="AF1010" s="12"/>
      <c r="AG1010" s="12"/>
    </row>
    <row r="1011" spans="29:33" x14ac:dyDescent="0.25">
      <c r="AC1011" s="12"/>
      <c r="AD1011" s="12"/>
      <c r="AF1011" s="12"/>
      <c r="AG1011" s="12"/>
    </row>
    <row r="1012" spans="29:33" x14ac:dyDescent="0.25">
      <c r="AC1012" s="12"/>
      <c r="AD1012" s="12"/>
      <c r="AF1012" s="12"/>
      <c r="AG1012" s="12"/>
    </row>
    <row r="1013" spans="29:33" x14ac:dyDescent="0.25">
      <c r="AC1013" s="12"/>
      <c r="AD1013" s="12"/>
      <c r="AF1013" s="12"/>
      <c r="AG1013" s="12"/>
    </row>
    <row r="1014" spans="29:33" x14ac:dyDescent="0.25">
      <c r="AC1014" s="12"/>
      <c r="AD1014" s="12"/>
      <c r="AF1014" s="12"/>
      <c r="AG1014" s="12"/>
    </row>
    <row r="1015" spans="29:33" x14ac:dyDescent="0.25">
      <c r="AC1015" s="12"/>
      <c r="AD1015" s="12"/>
      <c r="AF1015" s="12"/>
      <c r="AG1015" s="12"/>
    </row>
    <row r="1016" spans="29:33" x14ac:dyDescent="0.25">
      <c r="AC1016" s="12"/>
      <c r="AD1016" s="12"/>
      <c r="AF1016" s="12"/>
      <c r="AG1016" s="12"/>
    </row>
    <row r="1017" spans="29:33" x14ac:dyDescent="0.25">
      <c r="AC1017" s="12"/>
      <c r="AD1017" s="12"/>
      <c r="AF1017" s="12"/>
      <c r="AG1017" s="12"/>
    </row>
    <row r="1018" spans="29:33" x14ac:dyDescent="0.25">
      <c r="AC1018" s="12"/>
      <c r="AD1018" s="12"/>
      <c r="AF1018" s="12"/>
      <c r="AG1018" s="12"/>
    </row>
    <row r="1019" spans="29:33" x14ac:dyDescent="0.25">
      <c r="AC1019" s="12"/>
      <c r="AD1019" s="12"/>
      <c r="AF1019" s="12"/>
      <c r="AG1019" s="12"/>
    </row>
    <row r="1020" spans="29:33" x14ac:dyDescent="0.25">
      <c r="AC1020" s="12"/>
      <c r="AD1020" s="12"/>
      <c r="AF1020" s="12"/>
      <c r="AG1020" s="12"/>
    </row>
    <row r="1021" spans="29:33" x14ac:dyDescent="0.25">
      <c r="AC1021" s="12"/>
      <c r="AD1021" s="12"/>
      <c r="AF1021" s="12"/>
      <c r="AG1021" s="12"/>
    </row>
    <row r="1022" spans="29:33" x14ac:dyDescent="0.25">
      <c r="AC1022" s="12"/>
      <c r="AD1022" s="12"/>
      <c r="AF1022" s="12"/>
      <c r="AG1022" s="12"/>
    </row>
    <row r="1023" spans="29:33" x14ac:dyDescent="0.25">
      <c r="AC1023" s="12"/>
      <c r="AD1023" s="12"/>
      <c r="AF1023" s="12"/>
      <c r="AG1023" s="12"/>
    </row>
    <row r="1024" spans="29:33" x14ac:dyDescent="0.25">
      <c r="AC1024" s="12"/>
      <c r="AD1024" s="12"/>
      <c r="AF1024" s="12"/>
      <c r="AG1024" s="12"/>
    </row>
    <row r="1025" spans="29:33" x14ac:dyDescent="0.25">
      <c r="AC1025" s="12"/>
      <c r="AD1025" s="12"/>
      <c r="AF1025" s="12"/>
      <c r="AG1025" s="12"/>
    </row>
    <row r="1026" spans="29:33" x14ac:dyDescent="0.25">
      <c r="AC1026" s="12"/>
      <c r="AD1026" s="12"/>
      <c r="AF1026" s="12"/>
      <c r="AG1026" s="12"/>
    </row>
    <row r="1027" spans="29:33" x14ac:dyDescent="0.25">
      <c r="AC1027" s="12"/>
      <c r="AD1027" s="12"/>
      <c r="AF1027" s="12"/>
      <c r="AG1027" s="12"/>
    </row>
    <row r="1028" spans="29:33" x14ac:dyDescent="0.25">
      <c r="AC1028" s="12"/>
      <c r="AD1028" s="12"/>
      <c r="AF1028" s="12"/>
      <c r="AG1028" s="12"/>
    </row>
    <row r="1029" spans="29:33" x14ac:dyDescent="0.25">
      <c r="AC1029" s="12"/>
      <c r="AD1029" s="12"/>
      <c r="AF1029" s="12"/>
      <c r="AG1029" s="12"/>
    </row>
    <row r="1030" spans="29:33" x14ac:dyDescent="0.25">
      <c r="AC1030" s="12"/>
      <c r="AD1030" s="12"/>
      <c r="AF1030" s="12"/>
      <c r="AG1030" s="12"/>
    </row>
    <row r="1031" spans="29:33" x14ac:dyDescent="0.25">
      <c r="AC1031" s="12"/>
      <c r="AD1031" s="12"/>
      <c r="AF1031" s="12"/>
      <c r="AG1031" s="12"/>
    </row>
    <row r="1032" spans="29:33" x14ac:dyDescent="0.25">
      <c r="AC1032" s="12"/>
      <c r="AD1032" s="12"/>
      <c r="AF1032" s="12"/>
      <c r="AG1032" s="12"/>
    </row>
    <row r="1033" spans="29:33" x14ac:dyDescent="0.25">
      <c r="AC1033" s="12"/>
      <c r="AD1033" s="12"/>
      <c r="AF1033" s="12"/>
      <c r="AG1033" s="12"/>
    </row>
    <row r="1034" spans="29:33" x14ac:dyDescent="0.25">
      <c r="AC1034" s="12"/>
      <c r="AD1034" s="12"/>
      <c r="AF1034" s="12"/>
      <c r="AG1034" s="12"/>
    </row>
    <row r="1035" spans="29:33" x14ac:dyDescent="0.25">
      <c r="AC1035" s="12"/>
      <c r="AD1035" s="12"/>
      <c r="AF1035" s="12"/>
      <c r="AG1035" s="12"/>
    </row>
    <row r="1036" spans="29:33" x14ac:dyDescent="0.25">
      <c r="AC1036" s="12"/>
      <c r="AD1036" s="12"/>
      <c r="AF1036" s="12"/>
      <c r="AG1036" s="12"/>
    </row>
    <row r="1037" spans="29:33" x14ac:dyDescent="0.25">
      <c r="AC1037" s="12"/>
      <c r="AD1037" s="12"/>
      <c r="AF1037" s="12"/>
      <c r="AG1037" s="12"/>
    </row>
    <row r="1038" spans="29:33" x14ac:dyDescent="0.25">
      <c r="AC1038" s="12"/>
      <c r="AD1038" s="12"/>
      <c r="AF1038" s="12"/>
      <c r="AG1038" s="12"/>
    </row>
    <row r="1039" spans="29:33" x14ac:dyDescent="0.25">
      <c r="AC1039" s="12"/>
      <c r="AD1039" s="12"/>
      <c r="AF1039" s="12"/>
      <c r="AG1039" s="12"/>
    </row>
    <row r="1040" spans="29:33" x14ac:dyDescent="0.25">
      <c r="AC1040" s="12"/>
      <c r="AD1040" s="12"/>
      <c r="AF1040" s="12"/>
      <c r="AG1040" s="12"/>
    </row>
    <row r="1041" spans="29:33" x14ac:dyDescent="0.25">
      <c r="AC1041" s="12"/>
      <c r="AD1041" s="12"/>
      <c r="AF1041" s="12"/>
      <c r="AG1041" s="12"/>
    </row>
    <row r="1042" spans="29:33" x14ac:dyDescent="0.25">
      <c r="AC1042" s="12"/>
      <c r="AD1042" s="12"/>
      <c r="AF1042" s="12"/>
      <c r="AG1042" s="12"/>
    </row>
    <row r="1043" spans="29:33" x14ac:dyDescent="0.25">
      <c r="AC1043" s="12"/>
      <c r="AD1043" s="12"/>
      <c r="AF1043" s="12"/>
      <c r="AG1043" s="12"/>
    </row>
    <row r="1044" spans="29:33" x14ac:dyDescent="0.25">
      <c r="AC1044" s="12"/>
      <c r="AD1044" s="12"/>
      <c r="AF1044" s="12"/>
      <c r="AG1044" s="12"/>
    </row>
    <row r="1045" spans="29:33" x14ac:dyDescent="0.25">
      <c r="AC1045" s="12"/>
      <c r="AD1045" s="12"/>
      <c r="AF1045" s="12"/>
      <c r="AG1045" s="12"/>
    </row>
    <row r="1046" spans="29:33" x14ac:dyDescent="0.25">
      <c r="AC1046" s="12"/>
      <c r="AD1046" s="12"/>
      <c r="AF1046" s="12"/>
      <c r="AG1046" s="12"/>
    </row>
    <row r="1047" spans="29:33" x14ac:dyDescent="0.25">
      <c r="AC1047" s="12"/>
      <c r="AD1047" s="12"/>
      <c r="AF1047" s="12"/>
      <c r="AG1047" s="12"/>
    </row>
    <row r="1048" spans="29:33" x14ac:dyDescent="0.25">
      <c r="AC1048" s="12"/>
      <c r="AD1048" s="12"/>
      <c r="AF1048" s="12"/>
      <c r="AG1048" s="12"/>
    </row>
    <row r="1049" spans="29:33" x14ac:dyDescent="0.25">
      <c r="AC1049" s="12"/>
      <c r="AD1049" s="12"/>
      <c r="AF1049" s="12"/>
      <c r="AG1049" s="12"/>
    </row>
    <row r="1050" spans="29:33" x14ac:dyDescent="0.25">
      <c r="AC1050" s="12"/>
      <c r="AD1050" s="12"/>
      <c r="AF1050" s="12"/>
      <c r="AG1050" s="12"/>
    </row>
    <row r="1051" spans="29:33" x14ac:dyDescent="0.25">
      <c r="AC1051" s="12"/>
      <c r="AD1051" s="12"/>
      <c r="AF1051" s="12"/>
      <c r="AG1051" s="12"/>
    </row>
    <row r="1052" spans="29:33" x14ac:dyDescent="0.25">
      <c r="AC1052" s="12"/>
      <c r="AD1052" s="12"/>
      <c r="AF1052" s="12"/>
      <c r="AG1052" s="12"/>
    </row>
    <row r="1053" spans="29:33" x14ac:dyDescent="0.25">
      <c r="AC1053" s="12"/>
      <c r="AD1053" s="12"/>
      <c r="AF1053" s="12"/>
      <c r="AG1053" s="12"/>
    </row>
    <row r="1054" spans="29:33" x14ac:dyDescent="0.25">
      <c r="AC1054" s="12"/>
      <c r="AD1054" s="12"/>
      <c r="AF1054" s="12"/>
      <c r="AG1054" s="12"/>
    </row>
    <row r="1055" spans="29:33" x14ac:dyDescent="0.25">
      <c r="AC1055" s="12"/>
      <c r="AD1055" s="12"/>
      <c r="AF1055" s="12"/>
      <c r="AG1055" s="12"/>
    </row>
    <row r="1056" spans="29:33" x14ac:dyDescent="0.25">
      <c r="AC1056" s="12"/>
      <c r="AD1056" s="12"/>
      <c r="AF1056" s="12"/>
      <c r="AG1056" s="12"/>
    </row>
    <row r="1057" spans="29:33" x14ac:dyDescent="0.25">
      <c r="AC1057" s="12"/>
      <c r="AD1057" s="12"/>
      <c r="AF1057" s="12"/>
      <c r="AG1057" s="12"/>
    </row>
    <row r="1058" spans="29:33" x14ac:dyDescent="0.25">
      <c r="AC1058" s="12"/>
      <c r="AD1058" s="12"/>
      <c r="AF1058" s="12"/>
      <c r="AG1058" s="12"/>
    </row>
    <row r="1059" spans="29:33" x14ac:dyDescent="0.25">
      <c r="AC1059" s="12"/>
      <c r="AD1059" s="12"/>
      <c r="AF1059" s="12"/>
      <c r="AG1059" s="12"/>
    </row>
    <row r="1060" spans="29:33" x14ac:dyDescent="0.25">
      <c r="AC1060" s="12"/>
      <c r="AD1060" s="12"/>
      <c r="AF1060" s="12"/>
      <c r="AG1060" s="12"/>
    </row>
    <row r="1061" spans="29:33" x14ac:dyDescent="0.25">
      <c r="AC1061" s="12"/>
      <c r="AD1061" s="12"/>
      <c r="AF1061" s="12"/>
      <c r="AG1061" s="12"/>
    </row>
    <row r="1062" spans="29:33" x14ac:dyDescent="0.25">
      <c r="AC1062" s="12"/>
      <c r="AD1062" s="12"/>
      <c r="AF1062" s="12"/>
      <c r="AG1062" s="12"/>
    </row>
    <row r="1063" spans="29:33" x14ac:dyDescent="0.25">
      <c r="AC1063" s="12"/>
      <c r="AD1063" s="12"/>
      <c r="AF1063" s="12"/>
      <c r="AG1063" s="12"/>
    </row>
    <row r="1064" spans="29:33" x14ac:dyDescent="0.25">
      <c r="AC1064" s="12"/>
      <c r="AD1064" s="12"/>
      <c r="AF1064" s="12"/>
      <c r="AG1064" s="12"/>
    </row>
    <row r="1065" spans="29:33" x14ac:dyDescent="0.25">
      <c r="AC1065" s="12"/>
      <c r="AD1065" s="12"/>
      <c r="AF1065" s="12"/>
      <c r="AG1065" s="12"/>
    </row>
    <row r="1066" spans="29:33" x14ac:dyDescent="0.25">
      <c r="AC1066" s="12"/>
      <c r="AD1066" s="12"/>
      <c r="AF1066" s="12"/>
      <c r="AG1066" s="12"/>
    </row>
    <row r="1067" spans="29:33" x14ac:dyDescent="0.25">
      <c r="AC1067" s="12"/>
      <c r="AD1067" s="12"/>
      <c r="AF1067" s="12"/>
      <c r="AG1067" s="12"/>
    </row>
    <row r="1068" spans="29:33" x14ac:dyDescent="0.25">
      <c r="AC1068" s="12"/>
      <c r="AD1068" s="12"/>
      <c r="AF1068" s="12"/>
      <c r="AG1068" s="12"/>
    </row>
    <row r="1069" spans="29:33" x14ac:dyDescent="0.25">
      <c r="AC1069" s="12"/>
      <c r="AD1069" s="12"/>
      <c r="AF1069" s="12"/>
      <c r="AG1069" s="12"/>
    </row>
    <row r="1070" spans="29:33" x14ac:dyDescent="0.25">
      <c r="AC1070" s="12"/>
      <c r="AD1070" s="12"/>
      <c r="AF1070" s="12"/>
      <c r="AG1070" s="12"/>
    </row>
    <row r="1071" spans="29:33" x14ac:dyDescent="0.25">
      <c r="AC1071" s="12"/>
      <c r="AD1071" s="12"/>
      <c r="AF1071" s="12"/>
      <c r="AG1071" s="12"/>
    </row>
    <row r="1072" spans="29:33" x14ac:dyDescent="0.25">
      <c r="AC1072" s="12"/>
      <c r="AD1072" s="12"/>
      <c r="AF1072" s="12"/>
      <c r="AG1072" s="12"/>
    </row>
    <row r="1073" spans="29:33" x14ac:dyDescent="0.25">
      <c r="AC1073" s="12"/>
      <c r="AD1073" s="12"/>
      <c r="AF1073" s="12"/>
      <c r="AG1073" s="12"/>
    </row>
    <row r="1074" spans="29:33" x14ac:dyDescent="0.25">
      <c r="AC1074" s="12"/>
      <c r="AD1074" s="12"/>
      <c r="AF1074" s="12"/>
      <c r="AG1074" s="12"/>
    </row>
    <row r="1075" spans="29:33" x14ac:dyDescent="0.25">
      <c r="AC1075" s="12"/>
      <c r="AD1075" s="12"/>
      <c r="AF1075" s="12"/>
      <c r="AG1075" s="12"/>
    </row>
    <row r="1076" spans="29:33" x14ac:dyDescent="0.25">
      <c r="AC1076" s="12"/>
      <c r="AD1076" s="12"/>
      <c r="AF1076" s="12"/>
      <c r="AG1076" s="12"/>
    </row>
    <row r="1077" spans="29:33" x14ac:dyDescent="0.25">
      <c r="AC1077" s="12"/>
      <c r="AD1077" s="12"/>
      <c r="AF1077" s="12"/>
      <c r="AG1077" s="12"/>
    </row>
    <row r="1078" spans="29:33" x14ac:dyDescent="0.25">
      <c r="AC1078" s="12"/>
      <c r="AD1078" s="12"/>
      <c r="AF1078" s="12"/>
      <c r="AG1078" s="12"/>
    </row>
    <row r="1079" spans="29:33" x14ac:dyDescent="0.25">
      <c r="AC1079" s="12"/>
      <c r="AD1079" s="12"/>
      <c r="AF1079" s="12"/>
      <c r="AG1079" s="12"/>
    </row>
    <row r="1080" spans="29:33" x14ac:dyDescent="0.25">
      <c r="AC1080" s="12"/>
      <c r="AD1080" s="12"/>
      <c r="AF1080" s="12"/>
      <c r="AG1080" s="12"/>
    </row>
    <row r="1081" spans="29:33" x14ac:dyDescent="0.25">
      <c r="AC1081" s="12"/>
      <c r="AD1081" s="12"/>
      <c r="AF1081" s="12"/>
      <c r="AG1081" s="12"/>
    </row>
    <row r="1082" spans="29:33" x14ac:dyDescent="0.25">
      <c r="AC1082" s="12"/>
      <c r="AD1082" s="12"/>
      <c r="AF1082" s="12"/>
      <c r="AG1082" s="12"/>
    </row>
    <row r="1083" spans="29:33" x14ac:dyDescent="0.25">
      <c r="AC1083" s="12"/>
      <c r="AD1083" s="12"/>
      <c r="AF1083" s="12"/>
      <c r="AG1083" s="12"/>
    </row>
    <row r="1084" spans="29:33" x14ac:dyDescent="0.25">
      <c r="AC1084" s="12"/>
      <c r="AD1084" s="12"/>
      <c r="AF1084" s="12"/>
      <c r="AG1084" s="12"/>
    </row>
    <row r="1085" spans="29:33" x14ac:dyDescent="0.25">
      <c r="AC1085" s="12"/>
      <c r="AD1085" s="12"/>
      <c r="AF1085" s="12"/>
      <c r="AG1085" s="12"/>
    </row>
    <row r="1086" spans="29:33" x14ac:dyDescent="0.25">
      <c r="AC1086" s="12"/>
      <c r="AD1086" s="12"/>
      <c r="AF1086" s="12"/>
      <c r="AG1086" s="12"/>
    </row>
    <row r="1087" spans="29:33" x14ac:dyDescent="0.25">
      <c r="AC1087" s="12"/>
      <c r="AD1087" s="12"/>
      <c r="AF1087" s="12"/>
      <c r="AG1087" s="12"/>
    </row>
    <row r="1088" spans="29:33" x14ac:dyDescent="0.25">
      <c r="AC1088" s="12"/>
      <c r="AD1088" s="12"/>
      <c r="AF1088" s="12"/>
      <c r="AG1088" s="12"/>
    </row>
    <row r="1089" spans="29:33" x14ac:dyDescent="0.25">
      <c r="AC1089" s="12"/>
      <c r="AD1089" s="12"/>
      <c r="AF1089" s="12"/>
      <c r="AG1089" s="12"/>
    </row>
    <row r="1090" spans="29:33" x14ac:dyDescent="0.25">
      <c r="AC1090" s="12"/>
      <c r="AD1090" s="12"/>
      <c r="AF1090" s="12"/>
      <c r="AG1090" s="12"/>
    </row>
    <row r="1091" spans="29:33" x14ac:dyDescent="0.25">
      <c r="AC1091" s="12"/>
      <c r="AD1091" s="12"/>
      <c r="AF1091" s="12"/>
      <c r="AG1091" s="12"/>
    </row>
    <row r="1092" spans="29:33" x14ac:dyDescent="0.25">
      <c r="AC1092" s="12"/>
      <c r="AD1092" s="12"/>
      <c r="AF1092" s="12"/>
      <c r="AG1092" s="12"/>
    </row>
    <row r="1093" spans="29:33" x14ac:dyDescent="0.25">
      <c r="AC1093" s="12"/>
      <c r="AD1093" s="12"/>
      <c r="AF1093" s="12"/>
      <c r="AG1093" s="12"/>
    </row>
    <row r="1094" spans="29:33" x14ac:dyDescent="0.25">
      <c r="AC1094" s="12"/>
      <c r="AD1094" s="12"/>
      <c r="AF1094" s="12"/>
      <c r="AG1094" s="12"/>
    </row>
    <row r="1095" spans="29:33" x14ac:dyDescent="0.25">
      <c r="AC1095" s="12"/>
      <c r="AD1095" s="12"/>
      <c r="AF1095" s="12"/>
      <c r="AG1095" s="12"/>
    </row>
    <row r="1096" spans="29:33" x14ac:dyDescent="0.25">
      <c r="AC1096" s="12"/>
      <c r="AD1096" s="12"/>
      <c r="AF1096" s="12"/>
      <c r="AG1096" s="12"/>
    </row>
    <row r="1097" spans="29:33" x14ac:dyDescent="0.25">
      <c r="AC1097" s="12"/>
      <c r="AD1097" s="12"/>
      <c r="AF1097" s="12"/>
      <c r="AG1097" s="12"/>
    </row>
    <row r="1098" spans="29:33" x14ac:dyDescent="0.25">
      <c r="AC1098" s="12"/>
      <c r="AD1098" s="12"/>
      <c r="AF1098" s="12"/>
      <c r="AG1098" s="12"/>
    </row>
    <row r="1099" spans="29:33" x14ac:dyDescent="0.25">
      <c r="AC1099" s="12"/>
      <c r="AD1099" s="12"/>
      <c r="AF1099" s="12"/>
      <c r="AG1099" s="12"/>
    </row>
    <row r="1100" spans="29:33" x14ac:dyDescent="0.25">
      <c r="AC1100" s="12"/>
      <c r="AD1100" s="12"/>
      <c r="AF1100" s="12"/>
      <c r="AG1100" s="12"/>
    </row>
    <row r="1101" spans="29:33" x14ac:dyDescent="0.25">
      <c r="AC1101" s="12"/>
      <c r="AD1101" s="12"/>
      <c r="AF1101" s="12"/>
      <c r="AG1101" s="12"/>
    </row>
    <row r="1102" spans="29:33" x14ac:dyDescent="0.25">
      <c r="AC1102" s="12"/>
      <c r="AD1102" s="12"/>
      <c r="AF1102" s="12"/>
      <c r="AG1102" s="12"/>
    </row>
    <row r="1103" spans="29:33" x14ac:dyDescent="0.25">
      <c r="AC1103" s="12"/>
      <c r="AD1103" s="12"/>
      <c r="AF1103" s="12"/>
      <c r="AG1103" s="12"/>
    </row>
    <row r="1104" spans="29:33" x14ac:dyDescent="0.25">
      <c r="AC1104" s="12"/>
      <c r="AD1104" s="12"/>
      <c r="AF1104" s="12"/>
      <c r="AG1104" s="12"/>
    </row>
    <row r="1105" spans="29:33" x14ac:dyDescent="0.25">
      <c r="AC1105" s="12"/>
      <c r="AD1105" s="12"/>
      <c r="AF1105" s="12"/>
      <c r="AG1105" s="12"/>
    </row>
    <row r="1106" spans="29:33" x14ac:dyDescent="0.25">
      <c r="AC1106" s="12"/>
      <c r="AD1106" s="12"/>
      <c r="AF1106" s="12"/>
      <c r="AG1106" s="12"/>
    </row>
    <row r="1107" spans="29:33" x14ac:dyDescent="0.25">
      <c r="AC1107" s="12"/>
      <c r="AD1107" s="12"/>
      <c r="AF1107" s="12"/>
      <c r="AG1107" s="12"/>
    </row>
    <row r="1108" spans="29:33" x14ac:dyDescent="0.25">
      <c r="AC1108" s="12"/>
      <c r="AD1108" s="12"/>
      <c r="AF1108" s="12"/>
      <c r="AG1108" s="12"/>
    </row>
    <row r="1109" spans="29:33" x14ac:dyDescent="0.25">
      <c r="AC1109" s="12"/>
      <c r="AD1109" s="12"/>
      <c r="AF1109" s="12"/>
      <c r="AG1109" s="12"/>
    </row>
    <row r="1110" spans="29:33" x14ac:dyDescent="0.25">
      <c r="AC1110" s="12"/>
      <c r="AD1110" s="12"/>
      <c r="AF1110" s="12"/>
      <c r="AG1110" s="12"/>
    </row>
    <row r="1111" spans="29:33" x14ac:dyDescent="0.25">
      <c r="AC1111" s="12"/>
      <c r="AD1111" s="12"/>
      <c r="AF1111" s="12"/>
      <c r="AG1111" s="12"/>
    </row>
    <row r="1112" spans="29:33" x14ac:dyDescent="0.25">
      <c r="AC1112" s="12"/>
      <c r="AD1112" s="12"/>
      <c r="AF1112" s="12"/>
      <c r="AG1112" s="12"/>
    </row>
    <row r="1113" spans="29:33" x14ac:dyDescent="0.25">
      <c r="AC1113" s="12"/>
      <c r="AD1113" s="12"/>
      <c r="AF1113" s="12"/>
      <c r="AG1113" s="12"/>
    </row>
    <row r="1114" spans="29:33" x14ac:dyDescent="0.25">
      <c r="AC1114" s="12"/>
      <c r="AD1114" s="12"/>
      <c r="AF1114" s="12"/>
      <c r="AG1114" s="12"/>
    </row>
    <row r="1115" spans="29:33" x14ac:dyDescent="0.25">
      <c r="AC1115" s="12"/>
      <c r="AD1115" s="12"/>
      <c r="AF1115" s="12"/>
      <c r="AG1115" s="12"/>
    </row>
    <row r="1116" spans="29:33" x14ac:dyDescent="0.25">
      <c r="AC1116" s="12"/>
      <c r="AD1116" s="12"/>
      <c r="AF1116" s="12"/>
      <c r="AG1116" s="12"/>
    </row>
    <row r="1117" spans="29:33" x14ac:dyDescent="0.25">
      <c r="AC1117" s="12"/>
      <c r="AD1117" s="12"/>
      <c r="AF1117" s="12"/>
      <c r="AG1117" s="12"/>
    </row>
    <row r="1118" spans="29:33" x14ac:dyDescent="0.25">
      <c r="AC1118" s="12"/>
      <c r="AD1118" s="12"/>
      <c r="AF1118" s="12"/>
      <c r="AG1118" s="12"/>
    </row>
    <row r="1119" spans="29:33" x14ac:dyDescent="0.25">
      <c r="AC1119" s="12"/>
      <c r="AD1119" s="12"/>
      <c r="AF1119" s="12"/>
      <c r="AG1119" s="12"/>
    </row>
    <row r="1120" spans="29:33" x14ac:dyDescent="0.25">
      <c r="AC1120" s="12"/>
      <c r="AD1120" s="12"/>
      <c r="AF1120" s="12"/>
      <c r="AG1120" s="12"/>
    </row>
    <row r="1121" spans="29:33" x14ac:dyDescent="0.25">
      <c r="AC1121" s="12"/>
      <c r="AD1121" s="12"/>
      <c r="AF1121" s="12"/>
      <c r="AG1121" s="12"/>
    </row>
    <row r="1122" spans="29:33" x14ac:dyDescent="0.25">
      <c r="AC1122" s="12"/>
      <c r="AD1122" s="12"/>
      <c r="AF1122" s="12"/>
      <c r="AG1122" s="12"/>
    </row>
    <row r="1123" spans="29:33" x14ac:dyDescent="0.25">
      <c r="AC1123" s="12"/>
      <c r="AD1123" s="12"/>
      <c r="AF1123" s="12"/>
      <c r="AG1123" s="12"/>
    </row>
    <row r="1124" spans="29:33" x14ac:dyDescent="0.25">
      <c r="AC1124" s="12"/>
      <c r="AD1124" s="12"/>
      <c r="AF1124" s="12"/>
      <c r="AG1124" s="12"/>
    </row>
    <row r="1125" spans="29:33" x14ac:dyDescent="0.25">
      <c r="AC1125" s="12"/>
      <c r="AD1125" s="12"/>
      <c r="AF1125" s="12"/>
      <c r="AG1125" s="12"/>
    </row>
    <row r="1126" spans="29:33" x14ac:dyDescent="0.25">
      <c r="AC1126" s="12"/>
      <c r="AD1126" s="12"/>
      <c r="AF1126" s="12"/>
      <c r="AG1126" s="12"/>
    </row>
    <row r="1127" spans="29:33" x14ac:dyDescent="0.25">
      <c r="AC1127" s="12"/>
      <c r="AD1127" s="12"/>
      <c r="AF1127" s="12"/>
      <c r="AG1127" s="12"/>
    </row>
    <row r="1128" spans="29:33" x14ac:dyDescent="0.25">
      <c r="AC1128" s="12"/>
      <c r="AD1128" s="12"/>
      <c r="AF1128" s="12"/>
      <c r="AG1128" s="12"/>
    </row>
    <row r="1129" spans="29:33" x14ac:dyDescent="0.25">
      <c r="AC1129" s="12"/>
      <c r="AD1129" s="12"/>
      <c r="AF1129" s="12"/>
      <c r="AG1129" s="12"/>
    </row>
    <row r="1130" spans="29:33" x14ac:dyDescent="0.25">
      <c r="AC1130" s="12"/>
      <c r="AD1130" s="12"/>
      <c r="AF1130" s="12"/>
      <c r="AG1130" s="12"/>
    </row>
    <row r="1131" spans="29:33" x14ac:dyDescent="0.25">
      <c r="AC1131" s="12"/>
      <c r="AD1131" s="12"/>
      <c r="AF1131" s="12"/>
      <c r="AG1131" s="12"/>
    </row>
    <row r="1132" spans="29:33" x14ac:dyDescent="0.25">
      <c r="AC1132" s="12"/>
      <c r="AD1132" s="12"/>
      <c r="AF1132" s="12"/>
      <c r="AG1132" s="12"/>
    </row>
    <row r="1133" spans="29:33" x14ac:dyDescent="0.25">
      <c r="AC1133" s="12"/>
      <c r="AD1133" s="12"/>
      <c r="AF1133" s="12"/>
      <c r="AG1133" s="12"/>
    </row>
    <row r="1134" spans="29:33" x14ac:dyDescent="0.25">
      <c r="AC1134" s="12"/>
      <c r="AD1134" s="12"/>
      <c r="AF1134" s="12"/>
      <c r="AG1134" s="12"/>
    </row>
    <row r="1135" spans="29:33" x14ac:dyDescent="0.25">
      <c r="AC1135" s="12"/>
      <c r="AD1135" s="12"/>
      <c r="AF1135" s="12"/>
      <c r="AG1135" s="12"/>
    </row>
    <row r="1136" spans="29:33" x14ac:dyDescent="0.25">
      <c r="AC1136" s="12"/>
      <c r="AD1136" s="12"/>
      <c r="AF1136" s="12"/>
      <c r="AG1136" s="12"/>
    </row>
    <row r="1137" spans="29:33" x14ac:dyDescent="0.25">
      <c r="AC1137" s="12"/>
      <c r="AD1137" s="12"/>
      <c r="AF1137" s="12"/>
      <c r="AG1137" s="12"/>
    </row>
    <row r="1138" spans="29:33" x14ac:dyDescent="0.25">
      <c r="AC1138" s="12"/>
      <c r="AD1138" s="12"/>
      <c r="AF1138" s="12"/>
      <c r="AG1138" s="12"/>
    </row>
    <row r="1139" spans="29:33" x14ac:dyDescent="0.25">
      <c r="AC1139" s="12"/>
      <c r="AD1139" s="12"/>
      <c r="AF1139" s="12"/>
      <c r="AG1139" s="12"/>
    </row>
    <row r="1140" spans="29:33" x14ac:dyDescent="0.25">
      <c r="AC1140" s="12"/>
      <c r="AD1140" s="12"/>
      <c r="AF1140" s="12"/>
      <c r="AG1140" s="12"/>
    </row>
    <row r="1141" spans="29:33" x14ac:dyDescent="0.25">
      <c r="AC1141" s="12"/>
      <c r="AD1141" s="12"/>
      <c r="AF1141" s="12"/>
      <c r="AG1141" s="12"/>
    </row>
    <row r="1142" spans="29:33" x14ac:dyDescent="0.25">
      <c r="AC1142" s="12"/>
      <c r="AD1142" s="12"/>
      <c r="AF1142" s="12"/>
      <c r="AG1142" s="12"/>
    </row>
    <row r="1143" spans="29:33" x14ac:dyDescent="0.25">
      <c r="AC1143" s="12"/>
      <c r="AD1143" s="12"/>
      <c r="AF1143" s="12"/>
      <c r="AG1143" s="12"/>
    </row>
    <row r="1144" spans="29:33" x14ac:dyDescent="0.25">
      <c r="AC1144" s="12"/>
      <c r="AD1144" s="12"/>
      <c r="AF1144" s="12"/>
      <c r="AG1144" s="12"/>
    </row>
    <row r="1145" spans="29:33" x14ac:dyDescent="0.25">
      <c r="AC1145" s="12"/>
      <c r="AD1145" s="12"/>
      <c r="AF1145" s="12"/>
      <c r="AG1145" s="12"/>
    </row>
    <row r="1146" spans="29:33" x14ac:dyDescent="0.25">
      <c r="AC1146" s="12"/>
      <c r="AD1146" s="12"/>
      <c r="AF1146" s="12"/>
      <c r="AG1146" s="12"/>
    </row>
    <row r="1147" spans="29:33" x14ac:dyDescent="0.25">
      <c r="AC1147" s="12"/>
      <c r="AD1147" s="12"/>
      <c r="AF1147" s="12"/>
      <c r="AG1147" s="12"/>
    </row>
    <row r="1148" spans="29:33" x14ac:dyDescent="0.25">
      <c r="AC1148" s="12"/>
      <c r="AD1148" s="12"/>
      <c r="AF1148" s="12"/>
      <c r="AG1148" s="12"/>
    </row>
    <row r="1149" spans="29:33" x14ac:dyDescent="0.25">
      <c r="AC1149" s="12"/>
      <c r="AD1149" s="12"/>
      <c r="AF1149" s="12"/>
      <c r="AG1149" s="12"/>
    </row>
    <row r="1150" spans="29:33" x14ac:dyDescent="0.25">
      <c r="AC1150" s="12"/>
      <c r="AD1150" s="12"/>
      <c r="AF1150" s="12"/>
      <c r="AG1150" s="12"/>
    </row>
    <row r="1151" spans="29:33" x14ac:dyDescent="0.25">
      <c r="AC1151" s="12"/>
      <c r="AD1151" s="12"/>
      <c r="AF1151" s="12"/>
      <c r="AG1151" s="12"/>
    </row>
    <row r="1152" spans="29:33" x14ac:dyDescent="0.25">
      <c r="AC1152" s="12"/>
      <c r="AD1152" s="12"/>
      <c r="AF1152" s="12"/>
      <c r="AG1152" s="12"/>
    </row>
    <row r="1153" spans="29:33" x14ac:dyDescent="0.25">
      <c r="AC1153" s="12"/>
      <c r="AD1153" s="12"/>
      <c r="AF1153" s="12"/>
      <c r="AG1153" s="12"/>
    </row>
    <row r="1154" spans="29:33" x14ac:dyDescent="0.25">
      <c r="AC1154" s="12"/>
      <c r="AD1154" s="12"/>
      <c r="AF1154" s="12"/>
      <c r="AG1154" s="12"/>
    </row>
    <row r="1155" spans="29:33" x14ac:dyDescent="0.25">
      <c r="AC1155" s="12"/>
      <c r="AD1155" s="12"/>
      <c r="AF1155" s="12"/>
      <c r="AG1155" s="12"/>
    </row>
    <row r="1156" spans="29:33" x14ac:dyDescent="0.25">
      <c r="AC1156" s="12"/>
      <c r="AD1156" s="12"/>
      <c r="AF1156" s="12"/>
      <c r="AG1156" s="12"/>
    </row>
    <row r="1157" spans="29:33" x14ac:dyDescent="0.25">
      <c r="AC1157" s="12"/>
      <c r="AD1157" s="12"/>
      <c r="AF1157" s="12"/>
      <c r="AG1157" s="12"/>
    </row>
    <row r="1158" spans="29:33" x14ac:dyDescent="0.25">
      <c r="AC1158" s="12"/>
      <c r="AD1158" s="12"/>
      <c r="AF1158" s="12"/>
      <c r="AG1158" s="12"/>
    </row>
    <row r="1159" spans="29:33" x14ac:dyDescent="0.25">
      <c r="AC1159" s="12"/>
      <c r="AD1159" s="12"/>
      <c r="AF1159" s="12"/>
      <c r="AG1159" s="12"/>
    </row>
    <row r="1160" spans="29:33" x14ac:dyDescent="0.25">
      <c r="AC1160" s="12"/>
      <c r="AD1160" s="12"/>
      <c r="AF1160" s="12"/>
      <c r="AG1160" s="12"/>
    </row>
    <row r="1161" spans="29:33" x14ac:dyDescent="0.25">
      <c r="AC1161" s="12"/>
      <c r="AD1161" s="12"/>
      <c r="AF1161" s="12"/>
      <c r="AG1161" s="12"/>
    </row>
    <row r="1162" spans="29:33" x14ac:dyDescent="0.25">
      <c r="AC1162" s="12"/>
      <c r="AD1162" s="12"/>
      <c r="AF1162" s="12"/>
      <c r="AG1162" s="12"/>
    </row>
    <row r="1163" spans="29:33" x14ac:dyDescent="0.25">
      <c r="AC1163" s="12"/>
      <c r="AD1163" s="12"/>
      <c r="AF1163" s="12"/>
      <c r="AG1163" s="12"/>
    </row>
    <row r="1164" spans="29:33" x14ac:dyDescent="0.25">
      <c r="AC1164" s="12"/>
      <c r="AD1164" s="12"/>
      <c r="AF1164" s="12"/>
      <c r="AG1164" s="12"/>
    </row>
    <row r="1165" spans="29:33" x14ac:dyDescent="0.25">
      <c r="AC1165" s="12"/>
      <c r="AD1165" s="12"/>
      <c r="AF1165" s="12"/>
      <c r="AG1165" s="12"/>
    </row>
    <row r="1166" spans="29:33" x14ac:dyDescent="0.25">
      <c r="AC1166" s="12"/>
      <c r="AD1166" s="12"/>
      <c r="AF1166" s="12"/>
      <c r="AG1166" s="12"/>
    </row>
    <row r="1167" spans="29:33" x14ac:dyDescent="0.25">
      <c r="AC1167" s="12"/>
      <c r="AD1167" s="12"/>
      <c r="AF1167" s="12"/>
      <c r="AG1167" s="12"/>
    </row>
    <row r="1168" spans="29:33" x14ac:dyDescent="0.25">
      <c r="AC1168" s="12"/>
      <c r="AD1168" s="12"/>
      <c r="AF1168" s="12"/>
      <c r="AG1168" s="12"/>
    </row>
    <row r="1169" spans="29:33" x14ac:dyDescent="0.25">
      <c r="AC1169" s="12"/>
      <c r="AD1169" s="12"/>
      <c r="AF1169" s="12"/>
      <c r="AG1169" s="12"/>
    </row>
    <row r="1170" spans="29:33" x14ac:dyDescent="0.25">
      <c r="AC1170" s="12"/>
      <c r="AD1170" s="12"/>
      <c r="AF1170" s="12"/>
      <c r="AG1170" s="12"/>
    </row>
    <row r="1171" spans="29:33" x14ac:dyDescent="0.25">
      <c r="AC1171" s="12"/>
      <c r="AD1171" s="12"/>
      <c r="AF1171" s="12"/>
      <c r="AG1171" s="12"/>
    </row>
    <row r="1172" spans="29:33" x14ac:dyDescent="0.25">
      <c r="AC1172" s="12"/>
      <c r="AD1172" s="12"/>
      <c r="AF1172" s="12"/>
      <c r="AG1172" s="12"/>
    </row>
    <row r="1173" spans="29:33" x14ac:dyDescent="0.25">
      <c r="AC1173" s="12"/>
      <c r="AD1173" s="12"/>
      <c r="AF1173" s="12"/>
      <c r="AG1173" s="12"/>
    </row>
    <row r="1174" spans="29:33" x14ac:dyDescent="0.25">
      <c r="AC1174" s="12"/>
      <c r="AD1174" s="12"/>
      <c r="AF1174" s="12"/>
      <c r="AG1174" s="12"/>
    </row>
    <row r="1175" spans="29:33" x14ac:dyDescent="0.25">
      <c r="AC1175" s="12"/>
      <c r="AD1175" s="12"/>
      <c r="AF1175" s="12"/>
      <c r="AG1175" s="12"/>
    </row>
    <row r="1176" spans="29:33" x14ac:dyDescent="0.25">
      <c r="AC1176" s="12"/>
      <c r="AD1176" s="12"/>
      <c r="AF1176" s="12"/>
      <c r="AG1176" s="12"/>
    </row>
    <row r="1177" spans="29:33" x14ac:dyDescent="0.25">
      <c r="AC1177" s="12"/>
      <c r="AD1177" s="12"/>
      <c r="AF1177" s="12"/>
      <c r="AG1177" s="12"/>
    </row>
    <row r="1178" spans="29:33" x14ac:dyDescent="0.25">
      <c r="AC1178" s="12"/>
      <c r="AD1178" s="12"/>
      <c r="AF1178" s="12"/>
      <c r="AG1178" s="12"/>
    </row>
    <row r="1179" spans="29:33" x14ac:dyDescent="0.25">
      <c r="AC1179" s="12"/>
      <c r="AD1179" s="12"/>
      <c r="AF1179" s="12"/>
      <c r="AG1179" s="12"/>
    </row>
    <row r="1180" spans="29:33" x14ac:dyDescent="0.25">
      <c r="AC1180" s="12"/>
      <c r="AD1180" s="12"/>
      <c r="AF1180" s="12"/>
      <c r="AG1180" s="12"/>
    </row>
    <row r="1181" spans="29:33" x14ac:dyDescent="0.25">
      <c r="AC1181" s="12"/>
      <c r="AD1181" s="12"/>
      <c r="AF1181" s="12"/>
      <c r="AG1181" s="12"/>
    </row>
    <row r="1182" spans="29:33" x14ac:dyDescent="0.25">
      <c r="AC1182" s="12"/>
      <c r="AD1182" s="12"/>
      <c r="AF1182" s="12"/>
      <c r="AG1182" s="12"/>
    </row>
    <row r="1183" spans="29:33" x14ac:dyDescent="0.25">
      <c r="AC1183" s="12"/>
      <c r="AD1183" s="12"/>
      <c r="AF1183" s="12"/>
      <c r="AG1183" s="12"/>
    </row>
    <row r="1184" spans="29:33" x14ac:dyDescent="0.25">
      <c r="AC1184" s="12"/>
      <c r="AD1184" s="12"/>
      <c r="AF1184" s="12"/>
      <c r="AG1184" s="12"/>
    </row>
    <row r="1185" spans="29:33" x14ac:dyDescent="0.25">
      <c r="AC1185" s="12"/>
      <c r="AD1185" s="12"/>
      <c r="AF1185" s="12"/>
      <c r="AG1185" s="12"/>
    </row>
    <row r="1186" spans="29:33" x14ac:dyDescent="0.25">
      <c r="AC1186" s="12"/>
      <c r="AD1186" s="12"/>
      <c r="AF1186" s="12"/>
      <c r="AG1186" s="12"/>
    </row>
    <row r="1187" spans="29:33" x14ac:dyDescent="0.25">
      <c r="AC1187" s="12"/>
      <c r="AD1187" s="12"/>
      <c r="AF1187" s="12"/>
      <c r="AG1187" s="12"/>
    </row>
    <row r="1188" spans="29:33" x14ac:dyDescent="0.25">
      <c r="AC1188" s="12"/>
      <c r="AD1188" s="12"/>
      <c r="AF1188" s="12"/>
      <c r="AG1188" s="12"/>
    </row>
    <row r="1189" spans="29:33" x14ac:dyDescent="0.25">
      <c r="AC1189" s="12"/>
      <c r="AD1189" s="12"/>
      <c r="AF1189" s="12"/>
      <c r="AG1189" s="12"/>
    </row>
    <row r="1190" spans="29:33" x14ac:dyDescent="0.25">
      <c r="AC1190" s="12"/>
      <c r="AD1190" s="12"/>
      <c r="AF1190" s="12"/>
      <c r="AG1190" s="12"/>
    </row>
    <row r="1191" spans="29:33" x14ac:dyDescent="0.25">
      <c r="AC1191" s="12"/>
      <c r="AD1191" s="12"/>
      <c r="AF1191" s="12"/>
      <c r="AG1191" s="12"/>
    </row>
    <row r="1192" spans="29:33" x14ac:dyDescent="0.25">
      <c r="AC1192" s="12"/>
      <c r="AD1192" s="12"/>
      <c r="AF1192" s="12"/>
      <c r="AG1192" s="12"/>
    </row>
    <row r="1193" spans="29:33" x14ac:dyDescent="0.25">
      <c r="AC1193" s="12"/>
      <c r="AD1193" s="12"/>
      <c r="AF1193" s="12"/>
      <c r="AG1193" s="12"/>
    </row>
    <row r="1194" spans="29:33" x14ac:dyDescent="0.25">
      <c r="AC1194" s="12"/>
      <c r="AD1194" s="12"/>
      <c r="AF1194" s="12"/>
      <c r="AG1194" s="12"/>
    </row>
    <row r="1195" spans="29:33" x14ac:dyDescent="0.25">
      <c r="AC1195" s="12"/>
      <c r="AD1195" s="12"/>
      <c r="AF1195" s="12"/>
      <c r="AG1195" s="12"/>
    </row>
    <row r="1196" spans="29:33" x14ac:dyDescent="0.25">
      <c r="AC1196" s="12"/>
      <c r="AD1196" s="12"/>
      <c r="AF1196" s="12"/>
      <c r="AG1196" s="12"/>
    </row>
    <row r="1197" spans="29:33" x14ac:dyDescent="0.25">
      <c r="AC1197" s="12"/>
      <c r="AD1197" s="12"/>
      <c r="AF1197" s="12"/>
      <c r="AG1197" s="12"/>
    </row>
    <row r="1198" spans="29:33" x14ac:dyDescent="0.25">
      <c r="AC1198" s="12"/>
      <c r="AD1198" s="12"/>
      <c r="AF1198" s="12"/>
      <c r="AG1198" s="12"/>
    </row>
    <row r="1199" spans="29:33" x14ac:dyDescent="0.25">
      <c r="AC1199" s="12"/>
      <c r="AD1199" s="12"/>
      <c r="AF1199" s="12"/>
      <c r="AG1199" s="12"/>
    </row>
    <row r="1200" spans="29:33" x14ac:dyDescent="0.25">
      <c r="AC1200" s="12"/>
      <c r="AD1200" s="12"/>
      <c r="AF1200" s="12"/>
      <c r="AG1200" s="12"/>
    </row>
    <row r="1201" spans="29:33" x14ac:dyDescent="0.25">
      <c r="AC1201" s="12"/>
      <c r="AD1201" s="12"/>
      <c r="AF1201" s="12"/>
      <c r="AG1201" s="12"/>
    </row>
    <row r="1202" spans="29:33" x14ac:dyDescent="0.25">
      <c r="AC1202" s="12"/>
      <c r="AD1202" s="12"/>
      <c r="AF1202" s="12"/>
      <c r="AG1202" s="12"/>
    </row>
    <row r="1203" spans="29:33" x14ac:dyDescent="0.25">
      <c r="AC1203" s="12"/>
      <c r="AD1203" s="12"/>
      <c r="AF1203" s="12"/>
      <c r="AG1203" s="12"/>
    </row>
    <row r="1204" spans="29:33" x14ac:dyDescent="0.25">
      <c r="AC1204" s="12"/>
      <c r="AD1204" s="12"/>
      <c r="AF1204" s="12"/>
      <c r="AG1204" s="12"/>
    </row>
    <row r="1205" spans="29:33" x14ac:dyDescent="0.25">
      <c r="AC1205" s="12"/>
      <c r="AD1205" s="12"/>
      <c r="AF1205" s="12"/>
      <c r="AG1205" s="12"/>
    </row>
    <row r="1206" spans="29:33" x14ac:dyDescent="0.25">
      <c r="AC1206" s="12"/>
      <c r="AD1206" s="12"/>
      <c r="AF1206" s="12"/>
      <c r="AG1206" s="12"/>
    </row>
    <row r="1207" spans="29:33" x14ac:dyDescent="0.25">
      <c r="AC1207" s="12"/>
      <c r="AD1207" s="12"/>
      <c r="AF1207" s="12"/>
      <c r="AG1207" s="12"/>
    </row>
    <row r="1208" spans="29:33" x14ac:dyDescent="0.25">
      <c r="AC1208" s="12"/>
      <c r="AD1208" s="12"/>
      <c r="AF1208" s="12"/>
      <c r="AG1208" s="12"/>
    </row>
    <row r="1209" spans="29:33" x14ac:dyDescent="0.25">
      <c r="AC1209" s="12"/>
      <c r="AD1209" s="12"/>
      <c r="AF1209" s="12"/>
      <c r="AG1209" s="12"/>
    </row>
    <row r="1210" spans="29:33" x14ac:dyDescent="0.25">
      <c r="AC1210" s="12"/>
      <c r="AD1210" s="12"/>
      <c r="AF1210" s="12"/>
      <c r="AG1210" s="12"/>
    </row>
    <row r="1211" spans="29:33" x14ac:dyDescent="0.25">
      <c r="AC1211" s="12"/>
      <c r="AD1211" s="12"/>
      <c r="AF1211" s="12"/>
      <c r="AG1211" s="12"/>
    </row>
    <row r="1212" spans="29:33" x14ac:dyDescent="0.25">
      <c r="AC1212" s="12"/>
      <c r="AD1212" s="12"/>
      <c r="AF1212" s="12"/>
      <c r="AG1212" s="12"/>
    </row>
    <row r="1213" spans="29:33" x14ac:dyDescent="0.25">
      <c r="AC1213" s="12"/>
      <c r="AD1213" s="12"/>
      <c r="AF1213" s="12"/>
      <c r="AG1213" s="12"/>
    </row>
    <row r="1214" spans="29:33" x14ac:dyDescent="0.25">
      <c r="AC1214" s="12"/>
      <c r="AD1214" s="12"/>
      <c r="AF1214" s="12"/>
      <c r="AG1214" s="12"/>
    </row>
    <row r="1215" spans="29:33" x14ac:dyDescent="0.25">
      <c r="AC1215" s="12"/>
      <c r="AD1215" s="12"/>
      <c r="AF1215" s="12"/>
      <c r="AG1215" s="12"/>
    </row>
    <row r="1216" spans="29:33" x14ac:dyDescent="0.25">
      <c r="AC1216" s="12"/>
      <c r="AD1216" s="12"/>
      <c r="AF1216" s="12"/>
      <c r="AG1216" s="12"/>
    </row>
    <row r="1217" spans="29:33" x14ac:dyDescent="0.25">
      <c r="AC1217" s="12"/>
      <c r="AD1217" s="12"/>
      <c r="AF1217" s="12"/>
      <c r="AG1217" s="12"/>
    </row>
    <row r="1218" spans="29:33" x14ac:dyDescent="0.25">
      <c r="AC1218" s="12"/>
      <c r="AD1218" s="12"/>
      <c r="AF1218" s="12"/>
      <c r="AG1218" s="12"/>
    </row>
    <row r="1219" spans="29:33" x14ac:dyDescent="0.25">
      <c r="AC1219" s="12"/>
      <c r="AD1219" s="12"/>
      <c r="AF1219" s="12"/>
      <c r="AG1219" s="12"/>
    </row>
    <row r="1220" spans="29:33" x14ac:dyDescent="0.25">
      <c r="AC1220" s="12"/>
      <c r="AD1220" s="12"/>
      <c r="AF1220" s="12"/>
      <c r="AG1220" s="12"/>
    </row>
    <row r="1221" spans="29:33" x14ac:dyDescent="0.25">
      <c r="AC1221" s="12"/>
      <c r="AD1221" s="12"/>
      <c r="AF1221" s="12"/>
      <c r="AG1221" s="12"/>
    </row>
    <row r="1222" spans="29:33" x14ac:dyDescent="0.25">
      <c r="AC1222" s="12"/>
      <c r="AD1222" s="12"/>
      <c r="AF1222" s="12"/>
      <c r="AG1222" s="12"/>
    </row>
    <row r="1223" spans="29:33" x14ac:dyDescent="0.25">
      <c r="AC1223" s="12"/>
      <c r="AD1223" s="12"/>
      <c r="AF1223" s="12"/>
      <c r="AG1223" s="12"/>
    </row>
    <row r="1224" spans="29:33" x14ac:dyDescent="0.25">
      <c r="AC1224" s="12"/>
      <c r="AD1224" s="12"/>
      <c r="AF1224" s="12"/>
      <c r="AG1224" s="12"/>
    </row>
    <row r="1225" spans="29:33" x14ac:dyDescent="0.25">
      <c r="AC1225" s="12"/>
      <c r="AD1225" s="12"/>
      <c r="AF1225" s="12"/>
      <c r="AG1225" s="12"/>
    </row>
    <row r="1226" spans="29:33" x14ac:dyDescent="0.25">
      <c r="AC1226" s="12"/>
      <c r="AD1226" s="12"/>
      <c r="AF1226" s="12"/>
      <c r="AG1226" s="12"/>
    </row>
    <row r="1227" spans="29:33" x14ac:dyDescent="0.25">
      <c r="AC1227" s="12"/>
      <c r="AD1227" s="12"/>
      <c r="AF1227" s="12"/>
      <c r="AG1227" s="12"/>
    </row>
    <row r="1228" spans="29:33" x14ac:dyDescent="0.25">
      <c r="AC1228" s="12"/>
      <c r="AD1228" s="12"/>
      <c r="AF1228" s="12"/>
      <c r="AG1228" s="12"/>
    </row>
    <row r="1229" spans="29:33" x14ac:dyDescent="0.25">
      <c r="AC1229" s="12"/>
      <c r="AD1229" s="12"/>
      <c r="AF1229" s="12"/>
      <c r="AG1229" s="12"/>
    </row>
    <row r="1230" spans="29:33" x14ac:dyDescent="0.25">
      <c r="AC1230" s="12"/>
      <c r="AD1230" s="12"/>
      <c r="AF1230" s="12"/>
      <c r="AG1230" s="12"/>
    </row>
    <row r="1231" spans="29:33" x14ac:dyDescent="0.25">
      <c r="AC1231" s="12"/>
      <c r="AD1231" s="12"/>
      <c r="AF1231" s="12"/>
      <c r="AG1231" s="12"/>
    </row>
    <row r="1232" spans="29:33" x14ac:dyDescent="0.25">
      <c r="AC1232" s="12"/>
      <c r="AD1232" s="12"/>
      <c r="AF1232" s="12"/>
      <c r="AG1232" s="12"/>
    </row>
    <row r="1233" spans="29:33" x14ac:dyDescent="0.25">
      <c r="AC1233" s="12"/>
      <c r="AD1233" s="12"/>
      <c r="AF1233" s="12"/>
      <c r="AG1233" s="12"/>
    </row>
    <row r="1234" spans="29:33" x14ac:dyDescent="0.25">
      <c r="AC1234" s="12"/>
      <c r="AD1234" s="12"/>
      <c r="AF1234" s="12"/>
      <c r="AG1234" s="12"/>
    </row>
    <row r="1235" spans="29:33" x14ac:dyDescent="0.25">
      <c r="AC1235" s="12"/>
      <c r="AD1235" s="12"/>
      <c r="AF1235" s="12"/>
      <c r="AG1235" s="12"/>
    </row>
    <row r="1236" spans="29:33" x14ac:dyDescent="0.25">
      <c r="AC1236" s="12"/>
      <c r="AD1236" s="12"/>
      <c r="AF1236" s="12"/>
      <c r="AG1236" s="12"/>
    </row>
    <row r="1237" spans="29:33" x14ac:dyDescent="0.25">
      <c r="AC1237" s="12"/>
      <c r="AD1237" s="12"/>
      <c r="AF1237" s="12"/>
      <c r="AG1237" s="12"/>
    </row>
    <row r="1238" spans="29:33" x14ac:dyDescent="0.25">
      <c r="AC1238" s="12"/>
      <c r="AD1238" s="12"/>
      <c r="AF1238" s="12"/>
      <c r="AG1238" s="12"/>
    </row>
    <row r="1239" spans="29:33" x14ac:dyDescent="0.25">
      <c r="AC1239" s="12"/>
      <c r="AD1239" s="12"/>
      <c r="AF1239" s="12"/>
      <c r="AG1239" s="12"/>
    </row>
    <row r="1240" spans="29:33" x14ac:dyDescent="0.25">
      <c r="AC1240" s="12"/>
      <c r="AD1240" s="12"/>
      <c r="AF1240" s="12"/>
      <c r="AG1240" s="12"/>
    </row>
    <row r="1241" spans="29:33" x14ac:dyDescent="0.25">
      <c r="AC1241" s="12"/>
      <c r="AD1241" s="12"/>
      <c r="AF1241" s="12"/>
      <c r="AG1241" s="12"/>
    </row>
    <row r="1242" spans="29:33" x14ac:dyDescent="0.25">
      <c r="AC1242" s="12"/>
      <c r="AD1242" s="12"/>
      <c r="AF1242" s="12"/>
      <c r="AG1242" s="12"/>
    </row>
    <row r="1243" spans="29:33" x14ac:dyDescent="0.25">
      <c r="AC1243" s="12"/>
      <c r="AD1243" s="12"/>
      <c r="AF1243" s="12"/>
      <c r="AG1243" s="12"/>
    </row>
    <row r="1244" spans="29:33" x14ac:dyDescent="0.25">
      <c r="AC1244" s="12"/>
      <c r="AD1244" s="12"/>
      <c r="AF1244" s="12"/>
      <c r="AG1244" s="12"/>
    </row>
    <row r="1245" spans="29:33" x14ac:dyDescent="0.25">
      <c r="AC1245" s="12"/>
      <c r="AD1245" s="12"/>
      <c r="AF1245" s="12"/>
      <c r="AG1245" s="12"/>
    </row>
    <row r="1246" spans="29:33" x14ac:dyDescent="0.25">
      <c r="AC1246" s="12"/>
      <c r="AD1246" s="12"/>
      <c r="AF1246" s="12"/>
      <c r="AG1246" s="12"/>
    </row>
    <row r="1247" spans="29:33" x14ac:dyDescent="0.25">
      <c r="AC1247" s="12"/>
      <c r="AD1247" s="12"/>
      <c r="AF1247" s="12"/>
      <c r="AG1247" s="12"/>
    </row>
    <row r="1248" spans="29:33" x14ac:dyDescent="0.25">
      <c r="AC1248" s="12"/>
      <c r="AD1248" s="12"/>
      <c r="AF1248" s="12"/>
      <c r="AG1248" s="12"/>
    </row>
    <row r="1249" spans="29:33" x14ac:dyDescent="0.25">
      <c r="AC1249" s="12"/>
      <c r="AD1249" s="12"/>
      <c r="AF1249" s="12"/>
      <c r="AG1249" s="12"/>
    </row>
    <row r="1250" spans="29:33" x14ac:dyDescent="0.25">
      <c r="AC1250" s="12"/>
      <c r="AD1250" s="12"/>
      <c r="AF1250" s="12"/>
      <c r="AG1250" s="12"/>
    </row>
    <row r="1251" spans="29:33" x14ac:dyDescent="0.25">
      <c r="AC1251" s="12"/>
      <c r="AD1251" s="12"/>
      <c r="AF1251" s="12"/>
      <c r="AG1251" s="12"/>
    </row>
    <row r="1252" spans="29:33" x14ac:dyDescent="0.25">
      <c r="AC1252" s="12"/>
      <c r="AD1252" s="12"/>
      <c r="AF1252" s="12"/>
      <c r="AG1252" s="12"/>
    </row>
    <row r="1253" spans="29:33" x14ac:dyDescent="0.25">
      <c r="AC1253" s="12"/>
      <c r="AD1253" s="12"/>
      <c r="AF1253" s="12"/>
      <c r="AG1253" s="12"/>
    </row>
    <row r="1254" spans="29:33" x14ac:dyDescent="0.25">
      <c r="AC1254" s="12"/>
      <c r="AD1254" s="12"/>
      <c r="AF1254" s="12"/>
      <c r="AG1254" s="12"/>
    </row>
    <row r="1255" spans="29:33" x14ac:dyDescent="0.25">
      <c r="AC1255" s="12"/>
      <c r="AD1255" s="12"/>
      <c r="AF1255" s="12"/>
      <c r="AG1255" s="12"/>
    </row>
    <row r="1256" spans="29:33" x14ac:dyDescent="0.25">
      <c r="AC1256" s="12"/>
      <c r="AD1256" s="12"/>
      <c r="AF1256" s="12"/>
      <c r="AG1256" s="12"/>
    </row>
    <row r="1257" spans="29:33" x14ac:dyDescent="0.25">
      <c r="AC1257" s="12"/>
      <c r="AD1257" s="12"/>
      <c r="AF1257" s="12"/>
      <c r="AG1257" s="12"/>
    </row>
    <row r="1258" spans="29:33" x14ac:dyDescent="0.25">
      <c r="AC1258" s="12"/>
      <c r="AD1258" s="12"/>
      <c r="AF1258" s="12"/>
      <c r="AG1258" s="12"/>
    </row>
    <row r="1259" spans="29:33" x14ac:dyDescent="0.25">
      <c r="AC1259" s="12"/>
      <c r="AD1259" s="12"/>
      <c r="AF1259" s="12"/>
      <c r="AG1259" s="12"/>
    </row>
    <row r="1260" spans="29:33" x14ac:dyDescent="0.25">
      <c r="AC1260" s="12"/>
      <c r="AD1260" s="12"/>
      <c r="AF1260" s="12"/>
      <c r="AG1260" s="12"/>
    </row>
    <row r="1261" spans="29:33" x14ac:dyDescent="0.25">
      <c r="AC1261" s="12"/>
      <c r="AD1261" s="12"/>
      <c r="AF1261" s="12"/>
      <c r="AG1261" s="12"/>
    </row>
    <row r="1262" spans="29:33" x14ac:dyDescent="0.25">
      <c r="AC1262" s="12"/>
      <c r="AD1262" s="12"/>
      <c r="AF1262" s="12"/>
      <c r="AG1262" s="12"/>
    </row>
    <row r="1263" spans="29:33" x14ac:dyDescent="0.25">
      <c r="AC1263" s="12"/>
      <c r="AD1263" s="12"/>
      <c r="AF1263" s="12"/>
      <c r="AG1263" s="12"/>
    </row>
    <row r="1264" spans="29:33" x14ac:dyDescent="0.25">
      <c r="AC1264" s="12"/>
      <c r="AD1264" s="12"/>
      <c r="AF1264" s="12"/>
      <c r="AG1264" s="12"/>
    </row>
    <row r="1265" spans="29:33" x14ac:dyDescent="0.25">
      <c r="AC1265" s="12"/>
      <c r="AD1265" s="12"/>
      <c r="AF1265" s="12"/>
      <c r="AG1265" s="12"/>
    </row>
    <row r="1266" spans="29:33" x14ac:dyDescent="0.25">
      <c r="AC1266" s="12"/>
      <c r="AD1266" s="12"/>
      <c r="AF1266" s="12"/>
      <c r="AG1266" s="12"/>
    </row>
    <row r="1267" spans="29:33" x14ac:dyDescent="0.25">
      <c r="AC1267" s="12"/>
      <c r="AD1267" s="12"/>
      <c r="AF1267" s="12"/>
      <c r="AG1267" s="12"/>
    </row>
    <row r="1268" spans="29:33" x14ac:dyDescent="0.25">
      <c r="AC1268" s="12"/>
      <c r="AD1268" s="12"/>
      <c r="AF1268" s="12"/>
      <c r="AG1268" s="12"/>
    </row>
    <row r="1269" spans="29:33" x14ac:dyDescent="0.25">
      <c r="AC1269" s="12"/>
      <c r="AD1269" s="12"/>
      <c r="AF1269" s="12"/>
      <c r="AG1269" s="12"/>
    </row>
    <row r="1270" spans="29:33" x14ac:dyDescent="0.25">
      <c r="AC1270" s="12"/>
      <c r="AD1270" s="12"/>
      <c r="AF1270" s="12"/>
      <c r="AG1270" s="12"/>
    </row>
    <row r="1271" spans="29:33" x14ac:dyDescent="0.25">
      <c r="AC1271" s="12"/>
      <c r="AD1271" s="12"/>
      <c r="AF1271" s="12"/>
      <c r="AG1271" s="12"/>
    </row>
    <row r="1272" spans="29:33" x14ac:dyDescent="0.25">
      <c r="AC1272" s="12"/>
      <c r="AD1272" s="12"/>
      <c r="AF1272" s="12"/>
      <c r="AG1272" s="12"/>
    </row>
    <row r="1273" spans="29:33" x14ac:dyDescent="0.25">
      <c r="AC1273" s="12"/>
      <c r="AD1273" s="12"/>
      <c r="AF1273" s="12"/>
      <c r="AG1273" s="12"/>
    </row>
    <row r="1274" spans="29:33" x14ac:dyDescent="0.25">
      <c r="AC1274" s="12"/>
      <c r="AD1274" s="12"/>
      <c r="AF1274" s="12"/>
      <c r="AG1274" s="12"/>
    </row>
    <row r="1275" spans="29:33" x14ac:dyDescent="0.25">
      <c r="AC1275" s="12"/>
      <c r="AD1275" s="12"/>
      <c r="AF1275" s="12"/>
      <c r="AG1275" s="12"/>
    </row>
    <row r="1276" spans="29:33" x14ac:dyDescent="0.25">
      <c r="AC1276" s="12"/>
      <c r="AD1276" s="12"/>
      <c r="AF1276" s="12"/>
      <c r="AG1276" s="12"/>
    </row>
    <row r="1277" spans="29:33" x14ac:dyDescent="0.25">
      <c r="AC1277" s="12"/>
      <c r="AD1277" s="12"/>
      <c r="AF1277" s="12"/>
      <c r="AG1277" s="12"/>
    </row>
    <row r="1278" spans="29:33" x14ac:dyDescent="0.25">
      <c r="AC1278" s="12"/>
      <c r="AD1278" s="12"/>
      <c r="AF1278" s="12"/>
      <c r="AG1278" s="12"/>
    </row>
    <row r="1279" spans="29:33" x14ac:dyDescent="0.25">
      <c r="AC1279" s="12"/>
      <c r="AD1279" s="12"/>
      <c r="AF1279" s="12"/>
      <c r="AG1279" s="12"/>
    </row>
    <row r="1280" spans="29:33" x14ac:dyDescent="0.25">
      <c r="AC1280" s="12"/>
      <c r="AD1280" s="12"/>
      <c r="AF1280" s="12"/>
      <c r="AG1280" s="12"/>
    </row>
    <row r="1281" spans="29:33" x14ac:dyDescent="0.25">
      <c r="AC1281" s="12"/>
      <c r="AD1281" s="12"/>
      <c r="AF1281" s="12"/>
      <c r="AG1281" s="12"/>
    </row>
    <row r="1282" spans="29:33" x14ac:dyDescent="0.25">
      <c r="AC1282" s="12"/>
      <c r="AD1282" s="12"/>
      <c r="AF1282" s="12"/>
      <c r="AG1282" s="12"/>
    </row>
    <row r="1283" spans="29:33" x14ac:dyDescent="0.25">
      <c r="AC1283" s="12"/>
      <c r="AD1283" s="12"/>
      <c r="AF1283" s="12"/>
      <c r="AG1283" s="12"/>
    </row>
    <row r="1284" spans="29:33" x14ac:dyDescent="0.25">
      <c r="AC1284" s="12"/>
      <c r="AD1284" s="12"/>
      <c r="AF1284" s="12"/>
      <c r="AG1284" s="12"/>
    </row>
    <row r="1285" spans="29:33" x14ac:dyDescent="0.25">
      <c r="AC1285" s="12"/>
      <c r="AD1285" s="12"/>
      <c r="AF1285" s="12"/>
      <c r="AG1285" s="12"/>
    </row>
    <row r="1286" spans="29:33" x14ac:dyDescent="0.25">
      <c r="AC1286" s="12"/>
      <c r="AD1286" s="12"/>
      <c r="AF1286" s="12"/>
      <c r="AG1286" s="12"/>
    </row>
    <row r="1287" spans="29:33" x14ac:dyDescent="0.25">
      <c r="AC1287" s="12"/>
      <c r="AD1287" s="12"/>
      <c r="AF1287" s="12"/>
      <c r="AG1287" s="12"/>
    </row>
    <row r="1288" spans="29:33" x14ac:dyDescent="0.25">
      <c r="AC1288" s="12"/>
      <c r="AD1288" s="12"/>
      <c r="AF1288" s="12"/>
      <c r="AG1288" s="12"/>
    </row>
    <row r="1289" spans="29:33" x14ac:dyDescent="0.25">
      <c r="AC1289" s="12"/>
      <c r="AD1289" s="12"/>
      <c r="AF1289" s="12"/>
      <c r="AG1289" s="12"/>
    </row>
    <row r="1290" spans="29:33" x14ac:dyDescent="0.25">
      <c r="AC1290" s="12"/>
      <c r="AD1290" s="12"/>
      <c r="AF1290" s="12"/>
      <c r="AG1290" s="12"/>
    </row>
    <row r="1291" spans="29:33" x14ac:dyDescent="0.25">
      <c r="AC1291" s="12"/>
      <c r="AD1291" s="12"/>
      <c r="AF1291" s="12"/>
      <c r="AG1291" s="12"/>
    </row>
    <row r="1292" spans="29:33" x14ac:dyDescent="0.25">
      <c r="AC1292" s="12"/>
      <c r="AD1292" s="12"/>
      <c r="AF1292" s="12"/>
      <c r="AG1292" s="12"/>
    </row>
    <row r="1293" spans="29:33" x14ac:dyDescent="0.25">
      <c r="AC1293" s="12"/>
      <c r="AD1293" s="12"/>
      <c r="AF1293" s="12"/>
      <c r="AG1293" s="12"/>
    </row>
    <row r="1294" spans="29:33" x14ac:dyDescent="0.25">
      <c r="AC1294" s="12"/>
      <c r="AD1294" s="12"/>
      <c r="AF1294" s="12"/>
      <c r="AG1294" s="12"/>
    </row>
    <row r="1295" spans="29:33" x14ac:dyDescent="0.25">
      <c r="AC1295" s="12"/>
      <c r="AD1295" s="12"/>
      <c r="AF1295" s="12"/>
      <c r="AG1295" s="12"/>
    </row>
    <row r="1296" spans="29:33" x14ac:dyDescent="0.25">
      <c r="AC1296" s="12"/>
      <c r="AD1296" s="12"/>
      <c r="AF1296" s="12"/>
      <c r="AG1296" s="12"/>
    </row>
    <row r="1297" spans="29:33" x14ac:dyDescent="0.25">
      <c r="AC1297" s="12"/>
      <c r="AD1297" s="12"/>
      <c r="AF1297" s="12"/>
      <c r="AG1297" s="12"/>
    </row>
    <row r="1298" spans="29:33" x14ac:dyDescent="0.25">
      <c r="AC1298" s="12"/>
      <c r="AD1298" s="12"/>
      <c r="AF1298" s="12"/>
      <c r="AG1298" s="12"/>
    </row>
    <row r="1299" spans="29:33" x14ac:dyDescent="0.25">
      <c r="AC1299" s="12"/>
      <c r="AD1299" s="12"/>
      <c r="AF1299" s="12"/>
      <c r="AG1299" s="12"/>
    </row>
    <row r="1300" spans="29:33" x14ac:dyDescent="0.25">
      <c r="AC1300" s="12"/>
      <c r="AD1300" s="12"/>
      <c r="AF1300" s="12"/>
      <c r="AG1300" s="12"/>
    </row>
    <row r="1301" spans="29:33" x14ac:dyDescent="0.25">
      <c r="AC1301" s="12"/>
      <c r="AD1301" s="12"/>
      <c r="AF1301" s="12"/>
      <c r="AG1301" s="12"/>
    </row>
    <row r="1302" spans="29:33" x14ac:dyDescent="0.25">
      <c r="AC1302" s="12"/>
      <c r="AD1302" s="12"/>
      <c r="AF1302" s="12"/>
      <c r="AG1302" s="12"/>
    </row>
    <row r="1303" spans="29:33" x14ac:dyDescent="0.25">
      <c r="AC1303" s="12"/>
      <c r="AD1303" s="12"/>
      <c r="AF1303" s="12"/>
      <c r="AG1303" s="12"/>
    </row>
    <row r="1304" spans="29:33" x14ac:dyDescent="0.25">
      <c r="AC1304" s="12"/>
      <c r="AD1304" s="12"/>
      <c r="AF1304" s="12"/>
      <c r="AG1304" s="12"/>
    </row>
    <row r="1305" spans="29:33" x14ac:dyDescent="0.25">
      <c r="AC1305" s="12"/>
      <c r="AD1305" s="12"/>
      <c r="AF1305" s="12"/>
      <c r="AG1305" s="12"/>
    </row>
    <row r="1306" spans="29:33" x14ac:dyDescent="0.25">
      <c r="AC1306" s="12"/>
      <c r="AD1306" s="12"/>
      <c r="AF1306" s="12"/>
      <c r="AG1306" s="12"/>
    </row>
    <row r="1307" spans="29:33" x14ac:dyDescent="0.25">
      <c r="AC1307" s="12"/>
      <c r="AD1307" s="12"/>
      <c r="AF1307" s="12"/>
      <c r="AG1307" s="12"/>
    </row>
    <row r="1308" spans="29:33" x14ac:dyDescent="0.25">
      <c r="AC1308" s="12"/>
      <c r="AD1308" s="12"/>
      <c r="AF1308" s="12"/>
      <c r="AG1308" s="12"/>
    </row>
    <row r="1309" spans="29:33" x14ac:dyDescent="0.25">
      <c r="AC1309" s="12"/>
      <c r="AD1309" s="12"/>
      <c r="AF1309" s="12"/>
      <c r="AG1309" s="12"/>
    </row>
    <row r="1310" spans="29:33" x14ac:dyDescent="0.25">
      <c r="AC1310" s="12"/>
      <c r="AD1310" s="12"/>
      <c r="AF1310" s="12"/>
      <c r="AG1310" s="12"/>
    </row>
    <row r="1311" spans="29:33" x14ac:dyDescent="0.25">
      <c r="AC1311" s="12"/>
      <c r="AD1311" s="12"/>
      <c r="AF1311" s="12"/>
      <c r="AG1311" s="12"/>
    </row>
    <row r="1312" spans="29:33" x14ac:dyDescent="0.25">
      <c r="AC1312" s="12"/>
      <c r="AD1312" s="12"/>
      <c r="AF1312" s="12"/>
      <c r="AG1312" s="12"/>
    </row>
    <row r="1313" spans="29:33" x14ac:dyDescent="0.25">
      <c r="AC1313" s="12"/>
      <c r="AD1313" s="12"/>
      <c r="AF1313" s="12"/>
      <c r="AG1313" s="12"/>
    </row>
    <row r="1314" spans="29:33" x14ac:dyDescent="0.25">
      <c r="AC1314" s="12"/>
      <c r="AD1314" s="12"/>
      <c r="AF1314" s="12"/>
      <c r="AG1314" s="12"/>
    </row>
    <row r="1315" spans="29:33" x14ac:dyDescent="0.25">
      <c r="AC1315" s="12"/>
      <c r="AD1315" s="12"/>
      <c r="AF1315" s="12"/>
      <c r="AG1315" s="12"/>
    </row>
    <row r="1316" spans="29:33" x14ac:dyDescent="0.25">
      <c r="AC1316" s="12"/>
      <c r="AD1316" s="12"/>
      <c r="AF1316" s="12"/>
      <c r="AG1316" s="12"/>
    </row>
    <row r="1317" spans="29:33" x14ac:dyDescent="0.25">
      <c r="AC1317" s="12"/>
      <c r="AD1317" s="12"/>
      <c r="AF1317" s="12"/>
      <c r="AG1317" s="12"/>
    </row>
    <row r="1318" spans="29:33" x14ac:dyDescent="0.25">
      <c r="AC1318" s="12"/>
      <c r="AD1318" s="12"/>
      <c r="AF1318" s="12"/>
      <c r="AG1318" s="12"/>
    </row>
    <row r="1319" spans="29:33" x14ac:dyDescent="0.25">
      <c r="AC1319" s="12"/>
      <c r="AD1319" s="12"/>
      <c r="AF1319" s="12"/>
      <c r="AG1319" s="12"/>
    </row>
    <row r="1320" spans="29:33" x14ac:dyDescent="0.25">
      <c r="AC1320" s="12"/>
      <c r="AD1320" s="12"/>
      <c r="AF1320" s="12"/>
      <c r="AG1320" s="12"/>
    </row>
    <row r="1321" spans="29:33" x14ac:dyDescent="0.25">
      <c r="AC1321" s="12"/>
      <c r="AD1321" s="12"/>
      <c r="AF1321" s="12"/>
      <c r="AG1321" s="12"/>
    </row>
    <row r="1322" spans="29:33" x14ac:dyDescent="0.25">
      <c r="AC1322" s="12"/>
      <c r="AD1322" s="12"/>
      <c r="AF1322" s="12"/>
      <c r="AG1322" s="12"/>
    </row>
    <row r="1323" spans="29:33" x14ac:dyDescent="0.25">
      <c r="AC1323" s="12"/>
      <c r="AD1323" s="12"/>
      <c r="AF1323" s="12"/>
      <c r="AG1323" s="12"/>
    </row>
    <row r="1324" spans="29:33" x14ac:dyDescent="0.25">
      <c r="AC1324" s="12"/>
      <c r="AD1324" s="12"/>
      <c r="AF1324" s="12"/>
      <c r="AG1324" s="12"/>
    </row>
    <row r="1325" spans="29:33" x14ac:dyDescent="0.25">
      <c r="AC1325" s="12"/>
      <c r="AD1325" s="12"/>
      <c r="AF1325" s="12"/>
      <c r="AG1325" s="12"/>
    </row>
    <row r="1326" spans="29:33" x14ac:dyDescent="0.25">
      <c r="AC1326" s="12"/>
      <c r="AD1326" s="12"/>
      <c r="AF1326" s="12"/>
      <c r="AG1326" s="12"/>
    </row>
    <row r="1327" spans="29:33" x14ac:dyDescent="0.25">
      <c r="AC1327" s="12"/>
      <c r="AD1327" s="12"/>
      <c r="AF1327" s="12"/>
      <c r="AG1327" s="12"/>
    </row>
    <row r="1328" spans="29:33" x14ac:dyDescent="0.25">
      <c r="AC1328" s="12"/>
      <c r="AD1328" s="12"/>
      <c r="AF1328" s="12"/>
      <c r="AG1328" s="12"/>
    </row>
    <row r="1329" spans="29:33" x14ac:dyDescent="0.25">
      <c r="AC1329" s="12"/>
      <c r="AD1329" s="12"/>
      <c r="AF1329" s="12"/>
      <c r="AG1329" s="12"/>
    </row>
    <row r="1330" spans="29:33" x14ac:dyDescent="0.25">
      <c r="AC1330" s="12"/>
      <c r="AD1330" s="12"/>
      <c r="AF1330" s="12"/>
      <c r="AG1330" s="12"/>
    </row>
    <row r="1331" spans="29:33" x14ac:dyDescent="0.25">
      <c r="AC1331" s="12"/>
      <c r="AD1331" s="12"/>
      <c r="AF1331" s="12"/>
      <c r="AG1331" s="12"/>
    </row>
    <row r="1332" spans="29:33" x14ac:dyDescent="0.25">
      <c r="AC1332" s="12"/>
      <c r="AD1332" s="12"/>
      <c r="AF1332" s="12"/>
      <c r="AG1332" s="12"/>
    </row>
    <row r="1333" spans="29:33" x14ac:dyDescent="0.25">
      <c r="AC1333" s="12"/>
      <c r="AD1333" s="12"/>
      <c r="AF1333" s="12"/>
      <c r="AG1333" s="12"/>
    </row>
    <row r="1334" spans="29:33" x14ac:dyDescent="0.25">
      <c r="AC1334" s="12"/>
      <c r="AD1334" s="12"/>
      <c r="AF1334" s="12"/>
      <c r="AG1334" s="12"/>
    </row>
    <row r="1335" spans="29:33" x14ac:dyDescent="0.25">
      <c r="AC1335" s="12"/>
      <c r="AD1335" s="12"/>
      <c r="AF1335" s="12"/>
      <c r="AG1335" s="12"/>
    </row>
    <row r="1336" spans="29:33" x14ac:dyDescent="0.25">
      <c r="AC1336" s="12"/>
      <c r="AD1336" s="12"/>
      <c r="AF1336" s="12"/>
      <c r="AG1336" s="12"/>
    </row>
    <row r="1337" spans="29:33" x14ac:dyDescent="0.25">
      <c r="AC1337" s="12"/>
      <c r="AD1337" s="12"/>
      <c r="AF1337" s="12"/>
      <c r="AG1337" s="12"/>
    </row>
    <row r="1338" spans="29:33" x14ac:dyDescent="0.25">
      <c r="AC1338" s="12"/>
      <c r="AD1338" s="12"/>
      <c r="AF1338" s="12"/>
      <c r="AG1338" s="12"/>
    </row>
    <row r="1339" spans="29:33" x14ac:dyDescent="0.25">
      <c r="AC1339" s="12"/>
      <c r="AD1339" s="12"/>
      <c r="AF1339" s="12"/>
      <c r="AG1339" s="12"/>
    </row>
    <row r="1340" spans="29:33" x14ac:dyDescent="0.25">
      <c r="AC1340" s="12"/>
      <c r="AD1340" s="12"/>
      <c r="AF1340" s="12"/>
      <c r="AG1340" s="12"/>
    </row>
    <row r="1341" spans="29:33" x14ac:dyDescent="0.25">
      <c r="AC1341" s="12"/>
      <c r="AD1341" s="12"/>
      <c r="AF1341" s="12"/>
      <c r="AG1341" s="12"/>
    </row>
    <row r="1342" spans="29:33" x14ac:dyDescent="0.25">
      <c r="AC1342" s="12"/>
      <c r="AD1342" s="12"/>
      <c r="AF1342" s="12"/>
      <c r="AG1342" s="12"/>
    </row>
    <row r="1343" spans="29:33" x14ac:dyDescent="0.25">
      <c r="AC1343" s="12"/>
      <c r="AD1343" s="12"/>
      <c r="AF1343" s="12"/>
      <c r="AG1343" s="12"/>
    </row>
    <row r="1344" spans="29:33" x14ac:dyDescent="0.25">
      <c r="AC1344" s="12"/>
      <c r="AD1344" s="12"/>
      <c r="AF1344" s="12"/>
      <c r="AG1344" s="12"/>
    </row>
    <row r="1345" spans="29:33" x14ac:dyDescent="0.25">
      <c r="AC1345" s="12"/>
      <c r="AD1345" s="12"/>
      <c r="AF1345" s="12"/>
      <c r="AG1345" s="12"/>
    </row>
    <row r="1346" spans="29:33" x14ac:dyDescent="0.25">
      <c r="AC1346" s="12"/>
      <c r="AD1346" s="12"/>
      <c r="AF1346" s="12"/>
      <c r="AG1346" s="12"/>
    </row>
    <row r="1347" spans="29:33" x14ac:dyDescent="0.25">
      <c r="AC1347" s="12"/>
      <c r="AD1347" s="12"/>
      <c r="AF1347" s="12"/>
      <c r="AG1347" s="12"/>
    </row>
    <row r="1348" spans="29:33" x14ac:dyDescent="0.25">
      <c r="AC1348" s="12"/>
      <c r="AD1348" s="12"/>
      <c r="AF1348" s="12"/>
      <c r="AG1348" s="12"/>
    </row>
    <row r="1349" spans="29:33" x14ac:dyDescent="0.25">
      <c r="AC1349" s="12"/>
      <c r="AD1349" s="12"/>
      <c r="AF1349" s="12"/>
      <c r="AG1349" s="12"/>
    </row>
    <row r="1350" spans="29:33" x14ac:dyDescent="0.25">
      <c r="AC1350" s="12"/>
      <c r="AD1350" s="12"/>
      <c r="AF1350" s="12"/>
      <c r="AG1350" s="12"/>
    </row>
    <row r="1351" spans="29:33" x14ac:dyDescent="0.25">
      <c r="AC1351" s="12"/>
      <c r="AD1351" s="12"/>
      <c r="AF1351" s="12"/>
      <c r="AG1351" s="12"/>
    </row>
    <row r="1352" spans="29:33" x14ac:dyDescent="0.25">
      <c r="AC1352" s="12"/>
      <c r="AD1352" s="12"/>
      <c r="AF1352" s="12"/>
      <c r="AG1352" s="12"/>
    </row>
    <row r="1353" spans="29:33" x14ac:dyDescent="0.25">
      <c r="AC1353" s="12"/>
      <c r="AD1353" s="12"/>
      <c r="AF1353" s="12"/>
      <c r="AG1353" s="12"/>
    </row>
    <row r="1354" spans="29:33" x14ac:dyDescent="0.25">
      <c r="AC1354" s="12"/>
      <c r="AD1354" s="12"/>
      <c r="AF1354" s="12"/>
      <c r="AG1354" s="12"/>
    </row>
    <row r="1355" spans="29:33" x14ac:dyDescent="0.25">
      <c r="AC1355" s="12"/>
      <c r="AD1355" s="12"/>
      <c r="AF1355" s="12"/>
      <c r="AG1355" s="12"/>
    </row>
    <row r="1356" spans="29:33" x14ac:dyDescent="0.25">
      <c r="AC1356" s="12"/>
      <c r="AD1356" s="12"/>
      <c r="AF1356" s="12"/>
      <c r="AG1356" s="12"/>
    </row>
    <row r="1357" spans="29:33" x14ac:dyDescent="0.25">
      <c r="AC1357" s="12"/>
      <c r="AD1357" s="12"/>
      <c r="AF1357" s="12"/>
      <c r="AG1357" s="12"/>
    </row>
    <row r="1358" spans="29:33" x14ac:dyDescent="0.25">
      <c r="AC1358" s="12"/>
      <c r="AD1358" s="12"/>
      <c r="AF1358" s="12"/>
      <c r="AG1358" s="12"/>
    </row>
    <row r="1359" spans="29:33" x14ac:dyDescent="0.25">
      <c r="AC1359" s="12"/>
      <c r="AD1359" s="12"/>
      <c r="AF1359" s="12"/>
      <c r="AG1359" s="12"/>
    </row>
    <row r="1360" spans="29:33" x14ac:dyDescent="0.25">
      <c r="AC1360" s="12"/>
      <c r="AD1360" s="12"/>
      <c r="AF1360" s="12"/>
      <c r="AG1360" s="12"/>
    </row>
    <row r="1361" spans="29:33" x14ac:dyDescent="0.25">
      <c r="AC1361" s="12"/>
      <c r="AD1361" s="12"/>
      <c r="AF1361" s="12"/>
      <c r="AG1361" s="12"/>
    </row>
    <row r="1362" spans="29:33" x14ac:dyDescent="0.25">
      <c r="AC1362" s="12"/>
      <c r="AD1362" s="12"/>
      <c r="AF1362" s="12"/>
      <c r="AG1362" s="12"/>
    </row>
    <row r="1363" spans="29:33" x14ac:dyDescent="0.25">
      <c r="AC1363" s="12"/>
      <c r="AD1363" s="12"/>
      <c r="AF1363" s="12"/>
      <c r="AG1363" s="12"/>
    </row>
    <row r="1364" spans="29:33" x14ac:dyDescent="0.25">
      <c r="AC1364" s="12"/>
      <c r="AD1364" s="12"/>
      <c r="AF1364" s="12"/>
      <c r="AG1364" s="12"/>
    </row>
    <row r="1365" spans="29:33" x14ac:dyDescent="0.25">
      <c r="AC1365" s="12"/>
      <c r="AD1365" s="12"/>
      <c r="AF1365" s="12"/>
      <c r="AG1365" s="12"/>
    </row>
    <row r="1366" spans="29:33" x14ac:dyDescent="0.25">
      <c r="AC1366" s="12"/>
      <c r="AD1366" s="12"/>
      <c r="AF1366" s="12"/>
      <c r="AG1366" s="12"/>
    </row>
    <row r="1367" spans="29:33" x14ac:dyDescent="0.25">
      <c r="AC1367" s="12"/>
      <c r="AD1367" s="12"/>
      <c r="AF1367" s="12"/>
      <c r="AG1367" s="12"/>
    </row>
    <row r="1368" spans="29:33" x14ac:dyDescent="0.25">
      <c r="AC1368" s="12"/>
      <c r="AD1368" s="12"/>
      <c r="AF1368" s="12"/>
      <c r="AG1368" s="12"/>
    </row>
    <row r="1369" spans="29:33" x14ac:dyDescent="0.25">
      <c r="AC1369" s="12"/>
      <c r="AD1369" s="12"/>
      <c r="AF1369" s="12"/>
      <c r="AG1369" s="12"/>
    </row>
    <row r="1370" spans="29:33" x14ac:dyDescent="0.25">
      <c r="AC1370" s="12"/>
      <c r="AD1370" s="12"/>
      <c r="AF1370" s="12"/>
      <c r="AG1370" s="12"/>
    </row>
    <row r="1371" spans="29:33" x14ac:dyDescent="0.25">
      <c r="AC1371" s="12"/>
      <c r="AD1371" s="12"/>
      <c r="AF1371" s="12"/>
      <c r="AG1371" s="12"/>
    </row>
    <row r="1372" spans="29:33" x14ac:dyDescent="0.25">
      <c r="AC1372" s="12"/>
      <c r="AD1372" s="12"/>
      <c r="AF1372" s="12"/>
      <c r="AG1372" s="12"/>
    </row>
    <row r="1373" spans="29:33" x14ac:dyDescent="0.25">
      <c r="AC1373" s="12"/>
      <c r="AD1373" s="12"/>
      <c r="AF1373" s="12"/>
      <c r="AG1373" s="12"/>
    </row>
    <row r="1374" spans="29:33" x14ac:dyDescent="0.25">
      <c r="AC1374" s="12"/>
      <c r="AD1374" s="12"/>
      <c r="AF1374" s="12"/>
      <c r="AG1374" s="12"/>
    </row>
    <row r="1375" spans="29:33" x14ac:dyDescent="0.25">
      <c r="AC1375" s="12"/>
      <c r="AD1375" s="12"/>
      <c r="AF1375" s="12"/>
      <c r="AG1375" s="12"/>
    </row>
    <row r="1376" spans="29:33" x14ac:dyDescent="0.25">
      <c r="AC1376" s="12"/>
      <c r="AD1376" s="12"/>
      <c r="AF1376" s="12"/>
      <c r="AG1376" s="12"/>
    </row>
    <row r="1377" spans="29:33" x14ac:dyDescent="0.25">
      <c r="AC1377" s="12"/>
      <c r="AD1377" s="12"/>
      <c r="AF1377" s="12"/>
      <c r="AG1377" s="12"/>
    </row>
    <row r="1378" spans="29:33" x14ac:dyDescent="0.25">
      <c r="AC1378" s="12"/>
      <c r="AD1378" s="12"/>
      <c r="AF1378" s="12"/>
      <c r="AG1378" s="12"/>
    </row>
    <row r="1379" spans="29:33" x14ac:dyDescent="0.25">
      <c r="AC1379" s="12"/>
      <c r="AD1379" s="12"/>
      <c r="AF1379" s="12"/>
      <c r="AG1379" s="12"/>
    </row>
    <row r="1380" spans="29:33" x14ac:dyDescent="0.25">
      <c r="AC1380" s="12"/>
      <c r="AD1380" s="12"/>
      <c r="AF1380" s="12"/>
      <c r="AG1380" s="12"/>
    </row>
    <row r="1381" spans="29:33" x14ac:dyDescent="0.25">
      <c r="AC1381" s="12"/>
      <c r="AD1381" s="12"/>
      <c r="AF1381" s="12"/>
      <c r="AG1381" s="12"/>
    </row>
    <row r="1382" spans="29:33" x14ac:dyDescent="0.25">
      <c r="AC1382" s="12"/>
      <c r="AD1382" s="12"/>
      <c r="AF1382" s="12"/>
      <c r="AG1382" s="12"/>
    </row>
    <row r="1383" spans="29:33" x14ac:dyDescent="0.25">
      <c r="AC1383" s="12"/>
      <c r="AD1383" s="12"/>
      <c r="AF1383" s="12"/>
      <c r="AG1383" s="12"/>
    </row>
    <row r="1384" spans="29:33" x14ac:dyDescent="0.25">
      <c r="AC1384" s="12"/>
      <c r="AD1384" s="12"/>
      <c r="AF1384" s="12"/>
      <c r="AG1384" s="12"/>
    </row>
    <row r="1385" spans="29:33" x14ac:dyDescent="0.25">
      <c r="AC1385" s="12"/>
      <c r="AD1385" s="12"/>
      <c r="AF1385" s="12"/>
      <c r="AG1385" s="12"/>
    </row>
    <row r="1386" spans="29:33" x14ac:dyDescent="0.25">
      <c r="AC1386" s="12"/>
      <c r="AD1386" s="12"/>
      <c r="AF1386" s="12"/>
      <c r="AG1386" s="12"/>
    </row>
    <row r="1387" spans="29:33" x14ac:dyDescent="0.25">
      <c r="AC1387" s="12"/>
      <c r="AD1387" s="12"/>
      <c r="AF1387" s="12"/>
      <c r="AG1387" s="12"/>
    </row>
    <row r="1388" spans="29:33" x14ac:dyDescent="0.25">
      <c r="AC1388" s="12"/>
      <c r="AD1388" s="12"/>
      <c r="AF1388" s="12"/>
      <c r="AG1388" s="12"/>
    </row>
    <row r="1389" spans="29:33" x14ac:dyDescent="0.25">
      <c r="AC1389" s="12"/>
      <c r="AD1389" s="12"/>
      <c r="AF1389" s="12"/>
      <c r="AG1389" s="12"/>
    </row>
    <row r="1390" spans="29:33" x14ac:dyDescent="0.25">
      <c r="AC1390" s="12"/>
      <c r="AD1390" s="12"/>
      <c r="AF1390" s="12"/>
      <c r="AG1390" s="12"/>
    </row>
    <row r="1391" spans="29:33" x14ac:dyDescent="0.25">
      <c r="AC1391" s="12"/>
      <c r="AD1391" s="12"/>
      <c r="AF1391" s="12"/>
      <c r="AG1391" s="12"/>
    </row>
    <row r="1392" spans="29:33" x14ac:dyDescent="0.25">
      <c r="AC1392" s="12"/>
      <c r="AD1392" s="12"/>
      <c r="AF1392" s="12"/>
      <c r="AG1392" s="12"/>
    </row>
    <row r="1393" spans="29:33" x14ac:dyDescent="0.25">
      <c r="AC1393" s="12"/>
      <c r="AD1393" s="12"/>
      <c r="AF1393" s="12"/>
      <c r="AG1393" s="12"/>
    </row>
    <row r="1394" spans="29:33" x14ac:dyDescent="0.25">
      <c r="AC1394" s="12"/>
      <c r="AD1394" s="12"/>
      <c r="AF1394" s="12"/>
      <c r="AG1394" s="12"/>
    </row>
    <row r="1395" spans="29:33" x14ac:dyDescent="0.25">
      <c r="AC1395" s="12"/>
      <c r="AD1395" s="12"/>
      <c r="AF1395" s="12"/>
      <c r="AG1395" s="12"/>
    </row>
    <row r="1396" spans="29:33" x14ac:dyDescent="0.25">
      <c r="AC1396" s="12"/>
      <c r="AD1396" s="12"/>
      <c r="AF1396" s="12"/>
      <c r="AG1396" s="12"/>
    </row>
    <row r="1397" spans="29:33" x14ac:dyDescent="0.25">
      <c r="AC1397" s="12"/>
      <c r="AD1397" s="12"/>
      <c r="AF1397" s="12"/>
      <c r="AG1397" s="12"/>
    </row>
    <row r="1398" spans="29:33" x14ac:dyDescent="0.25">
      <c r="AC1398" s="12"/>
      <c r="AD1398" s="12"/>
      <c r="AF1398" s="12"/>
      <c r="AG1398" s="12"/>
    </row>
    <row r="1399" spans="29:33" x14ac:dyDescent="0.25">
      <c r="AC1399" s="12"/>
      <c r="AD1399" s="12"/>
      <c r="AF1399" s="12"/>
      <c r="AG1399" s="12"/>
    </row>
    <row r="1400" spans="29:33" x14ac:dyDescent="0.25">
      <c r="AC1400" s="12"/>
      <c r="AD1400" s="12"/>
      <c r="AF1400" s="12"/>
      <c r="AG1400" s="12"/>
    </row>
    <row r="1401" spans="29:33" x14ac:dyDescent="0.25">
      <c r="AC1401" s="12"/>
      <c r="AD1401" s="12"/>
      <c r="AF1401" s="12"/>
      <c r="AG1401" s="12"/>
    </row>
    <row r="1402" spans="29:33" x14ac:dyDescent="0.25">
      <c r="AC1402" s="12"/>
      <c r="AD1402" s="12"/>
      <c r="AF1402" s="12"/>
      <c r="AG1402" s="12"/>
    </row>
    <row r="1403" spans="29:33" x14ac:dyDescent="0.25">
      <c r="AC1403" s="12"/>
      <c r="AD1403" s="12"/>
      <c r="AF1403" s="12"/>
      <c r="AG1403" s="12"/>
    </row>
    <row r="1404" spans="29:33" x14ac:dyDescent="0.25">
      <c r="AC1404" s="12"/>
      <c r="AD1404" s="12"/>
      <c r="AF1404" s="12"/>
      <c r="AG1404" s="12"/>
    </row>
    <row r="1405" spans="29:33" x14ac:dyDescent="0.25">
      <c r="AC1405" s="12"/>
      <c r="AD1405" s="12"/>
      <c r="AF1405" s="12"/>
      <c r="AG1405" s="12"/>
    </row>
    <row r="1406" spans="29:33" x14ac:dyDescent="0.25">
      <c r="AC1406" s="12"/>
      <c r="AD1406" s="12"/>
      <c r="AF1406" s="12"/>
      <c r="AG1406" s="12"/>
    </row>
    <row r="1407" spans="29:33" x14ac:dyDescent="0.25">
      <c r="AC1407" s="12"/>
      <c r="AD1407" s="12"/>
      <c r="AF1407" s="12"/>
      <c r="AG1407" s="12"/>
    </row>
    <row r="1408" spans="29:33" x14ac:dyDescent="0.25">
      <c r="AC1408" s="12"/>
      <c r="AD1408" s="12"/>
      <c r="AF1408" s="12"/>
      <c r="AG1408" s="12"/>
    </row>
    <row r="1409" spans="29:33" x14ac:dyDescent="0.25">
      <c r="AC1409" s="12"/>
      <c r="AD1409" s="12"/>
      <c r="AF1409" s="12"/>
      <c r="AG1409" s="12"/>
    </row>
    <row r="1410" spans="29:33" x14ac:dyDescent="0.25">
      <c r="AC1410" s="12"/>
      <c r="AD1410" s="12"/>
      <c r="AF1410" s="12"/>
      <c r="AG1410" s="12"/>
    </row>
    <row r="1411" spans="29:33" x14ac:dyDescent="0.25">
      <c r="AC1411" s="12"/>
      <c r="AD1411" s="12"/>
      <c r="AF1411" s="12"/>
      <c r="AG1411" s="12"/>
    </row>
    <row r="1412" spans="29:33" x14ac:dyDescent="0.25">
      <c r="AC1412" s="12"/>
      <c r="AD1412" s="12"/>
      <c r="AF1412" s="12"/>
      <c r="AG1412" s="12"/>
    </row>
    <row r="1413" spans="29:33" x14ac:dyDescent="0.25">
      <c r="AC1413" s="12"/>
      <c r="AD1413" s="12"/>
      <c r="AF1413" s="12"/>
      <c r="AG1413" s="12"/>
    </row>
    <row r="1414" spans="29:33" x14ac:dyDescent="0.25">
      <c r="AC1414" s="12"/>
      <c r="AD1414" s="12"/>
      <c r="AF1414" s="12"/>
      <c r="AG1414" s="12"/>
    </row>
    <row r="1415" spans="29:33" x14ac:dyDescent="0.25">
      <c r="AC1415" s="12"/>
      <c r="AD1415" s="12"/>
      <c r="AF1415" s="12"/>
      <c r="AG1415" s="12"/>
    </row>
    <row r="1416" spans="29:33" x14ac:dyDescent="0.25">
      <c r="AC1416" s="12"/>
      <c r="AD1416" s="12"/>
      <c r="AF1416" s="12"/>
      <c r="AG1416" s="12"/>
    </row>
    <row r="1417" spans="29:33" x14ac:dyDescent="0.25">
      <c r="AC1417" s="12"/>
      <c r="AD1417" s="12"/>
      <c r="AF1417" s="12"/>
      <c r="AG1417" s="12"/>
    </row>
    <row r="1418" spans="29:33" x14ac:dyDescent="0.25">
      <c r="AC1418" s="12"/>
      <c r="AD1418" s="12"/>
      <c r="AF1418" s="12"/>
      <c r="AG1418" s="12"/>
    </row>
    <row r="1419" spans="29:33" x14ac:dyDescent="0.25">
      <c r="AC1419" s="12"/>
      <c r="AD1419" s="12"/>
      <c r="AF1419" s="12"/>
      <c r="AG1419" s="12"/>
    </row>
    <row r="1420" spans="29:33" x14ac:dyDescent="0.25">
      <c r="AC1420" s="12"/>
      <c r="AD1420" s="12"/>
      <c r="AF1420" s="12"/>
      <c r="AG1420" s="12"/>
    </row>
    <row r="1421" spans="29:33" x14ac:dyDescent="0.25">
      <c r="AC1421" s="12"/>
      <c r="AD1421" s="12"/>
      <c r="AF1421" s="12"/>
      <c r="AG1421" s="12"/>
    </row>
    <row r="1422" spans="29:33" x14ac:dyDescent="0.25">
      <c r="AC1422" s="12"/>
      <c r="AD1422" s="12"/>
      <c r="AF1422" s="12"/>
      <c r="AG1422" s="12"/>
    </row>
    <row r="1423" spans="29:33" x14ac:dyDescent="0.25">
      <c r="AC1423" s="12"/>
      <c r="AD1423" s="12"/>
      <c r="AF1423" s="12"/>
      <c r="AG1423" s="12"/>
    </row>
    <row r="1424" spans="29:33" x14ac:dyDescent="0.25">
      <c r="AC1424" s="12"/>
      <c r="AD1424" s="12"/>
      <c r="AF1424" s="12"/>
      <c r="AG1424" s="12"/>
    </row>
    <row r="1425" spans="29:33" x14ac:dyDescent="0.25">
      <c r="AC1425" s="12"/>
      <c r="AD1425" s="12"/>
      <c r="AF1425" s="12"/>
      <c r="AG1425" s="12"/>
    </row>
    <row r="1426" spans="29:33" x14ac:dyDescent="0.25">
      <c r="AC1426" s="12"/>
      <c r="AD1426" s="12"/>
      <c r="AF1426" s="12"/>
      <c r="AG1426" s="12"/>
    </row>
    <row r="1427" spans="29:33" x14ac:dyDescent="0.25">
      <c r="AC1427" s="12"/>
      <c r="AD1427" s="12"/>
      <c r="AF1427" s="12"/>
      <c r="AG1427" s="12"/>
    </row>
    <row r="1428" spans="29:33" x14ac:dyDescent="0.25">
      <c r="AC1428" s="12"/>
      <c r="AD1428" s="12"/>
      <c r="AF1428" s="12"/>
      <c r="AG1428" s="12"/>
    </row>
    <row r="1429" spans="29:33" x14ac:dyDescent="0.25">
      <c r="AC1429" s="12"/>
      <c r="AD1429" s="12"/>
      <c r="AF1429" s="12"/>
      <c r="AG1429" s="12"/>
    </row>
    <row r="1430" spans="29:33" x14ac:dyDescent="0.25">
      <c r="AC1430" s="12"/>
      <c r="AD1430" s="12"/>
      <c r="AF1430" s="12"/>
      <c r="AG1430" s="12"/>
    </row>
    <row r="1431" spans="29:33" x14ac:dyDescent="0.25">
      <c r="AC1431" s="12"/>
      <c r="AD1431" s="12"/>
      <c r="AF1431" s="12"/>
      <c r="AG1431" s="12"/>
    </row>
    <row r="1432" spans="29:33" x14ac:dyDescent="0.25">
      <c r="AC1432" s="12"/>
      <c r="AD1432" s="12"/>
      <c r="AF1432" s="12"/>
      <c r="AG1432" s="12"/>
    </row>
    <row r="1433" spans="29:33" x14ac:dyDescent="0.25">
      <c r="AC1433" s="12"/>
      <c r="AD1433" s="12"/>
      <c r="AF1433" s="12"/>
      <c r="AG1433" s="12"/>
    </row>
    <row r="1434" spans="29:33" x14ac:dyDescent="0.25">
      <c r="AC1434" s="12"/>
      <c r="AD1434" s="12"/>
      <c r="AF1434" s="12"/>
      <c r="AG1434" s="12"/>
    </row>
    <row r="1435" spans="29:33" x14ac:dyDescent="0.25">
      <c r="AC1435" s="12"/>
      <c r="AD1435" s="12"/>
      <c r="AF1435" s="12"/>
      <c r="AG1435" s="12"/>
    </row>
    <row r="1436" spans="29:33" x14ac:dyDescent="0.25">
      <c r="AC1436" s="12"/>
      <c r="AD1436" s="12"/>
      <c r="AF1436" s="12"/>
      <c r="AG1436" s="12"/>
    </row>
    <row r="1437" spans="29:33" x14ac:dyDescent="0.25">
      <c r="AC1437" s="12"/>
      <c r="AD1437" s="12"/>
      <c r="AF1437" s="12"/>
      <c r="AG1437" s="12"/>
    </row>
    <row r="1438" spans="29:33" x14ac:dyDescent="0.25">
      <c r="AC1438" s="12"/>
      <c r="AD1438" s="12"/>
      <c r="AF1438" s="12"/>
      <c r="AG1438" s="12"/>
    </row>
    <row r="1439" spans="29:33" x14ac:dyDescent="0.25">
      <c r="AC1439" s="12"/>
      <c r="AD1439" s="12"/>
      <c r="AF1439" s="12"/>
      <c r="AG1439" s="12"/>
    </row>
    <row r="1440" spans="29:33" x14ac:dyDescent="0.25">
      <c r="AC1440" s="12"/>
      <c r="AD1440" s="12"/>
      <c r="AF1440" s="12"/>
      <c r="AG1440" s="12"/>
    </row>
    <row r="1441" spans="29:33" x14ac:dyDescent="0.25">
      <c r="AC1441" s="12"/>
      <c r="AD1441" s="12"/>
      <c r="AF1441" s="12"/>
      <c r="AG1441" s="12"/>
    </row>
    <row r="1442" spans="29:33" x14ac:dyDescent="0.25">
      <c r="AC1442" s="12"/>
      <c r="AD1442" s="12"/>
      <c r="AF1442" s="12"/>
      <c r="AG1442" s="12"/>
    </row>
    <row r="1443" spans="29:33" x14ac:dyDescent="0.25">
      <c r="AC1443" s="12"/>
      <c r="AD1443" s="12"/>
      <c r="AF1443" s="12"/>
      <c r="AG1443" s="12"/>
    </row>
    <row r="1444" spans="29:33" x14ac:dyDescent="0.25">
      <c r="AC1444" s="12"/>
      <c r="AD1444" s="12"/>
      <c r="AF1444" s="12"/>
      <c r="AG1444" s="12"/>
    </row>
    <row r="1445" spans="29:33" x14ac:dyDescent="0.25">
      <c r="AC1445" s="12"/>
      <c r="AD1445" s="12"/>
      <c r="AF1445" s="12"/>
      <c r="AG1445" s="12"/>
    </row>
    <row r="1446" spans="29:33" x14ac:dyDescent="0.25">
      <c r="AC1446" s="12"/>
      <c r="AD1446" s="12"/>
      <c r="AF1446" s="12"/>
      <c r="AG1446" s="12"/>
    </row>
    <row r="1447" spans="29:33" x14ac:dyDescent="0.25">
      <c r="AC1447" s="12"/>
      <c r="AD1447" s="12"/>
      <c r="AF1447" s="12"/>
      <c r="AG1447" s="12"/>
    </row>
    <row r="1448" spans="29:33" x14ac:dyDescent="0.25">
      <c r="AC1448" s="12"/>
      <c r="AD1448" s="12"/>
      <c r="AF1448" s="12"/>
      <c r="AG1448" s="12"/>
    </row>
    <row r="1449" spans="29:33" x14ac:dyDescent="0.25">
      <c r="AC1449" s="12"/>
      <c r="AD1449" s="12"/>
      <c r="AF1449" s="12"/>
      <c r="AG1449" s="12"/>
    </row>
    <row r="1450" spans="29:33" x14ac:dyDescent="0.25">
      <c r="AC1450" s="12"/>
      <c r="AD1450" s="12"/>
      <c r="AF1450" s="12"/>
      <c r="AG1450" s="12"/>
    </row>
    <row r="1451" spans="29:33" x14ac:dyDescent="0.25">
      <c r="AC1451" s="12"/>
      <c r="AD1451" s="12"/>
      <c r="AF1451" s="12"/>
      <c r="AG1451" s="12"/>
    </row>
    <row r="1452" spans="29:33" x14ac:dyDescent="0.25">
      <c r="AC1452" s="12"/>
      <c r="AD1452" s="12"/>
      <c r="AF1452" s="12"/>
      <c r="AG1452" s="12"/>
    </row>
    <row r="1453" spans="29:33" x14ac:dyDescent="0.25">
      <c r="AC1453" s="12"/>
      <c r="AD1453" s="12"/>
      <c r="AF1453" s="12"/>
      <c r="AG1453" s="12"/>
    </row>
    <row r="1454" spans="29:33" x14ac:dyDescent="0.25">
      <c r="AC1454" s="12"/>
      <c r="AD1454" s="12"/>
      <c r="AF1454" s="12"/>
      <c r="AG1454" s="12"/>
    </row>
    <row r="1455" spans="29:33" x14ac:dyDescent="0.25">
      <c r="AC1455" s="12"/>
      <c r="AD1455" s="12"/>
      <c r="AF1455" s="12"/>
      <c r="AG1455" s="12"/>
    </row>
    <row r="1456" spans="29:33" x14ac:dyDescent="0.25">
      <c r="AC1456" s="12"/>
      <c r="AD1456" s="12"/>
      <c r="AF1456" s="12"/>
      <c r="AG1456" s="12"/>
    </row>
    <row r="1457" spans="29:33" x14ac:dyDescent="0.25">
      <c r="AC1457" s="12"/>
      <c r="AD1457" s="12"/>
      <c r="AF1457" s="12"/>
      <c r="AG1457" s="12"/>
    </row>
    <row r="1458" spans="29:33" x14ac:dyDescent="0.25">
      <c r="AC1458" s="12"/>
      <c r="AD1458" s="12"/>
      <c r="AF1458" s="12"/>
      <c r="AG1458" s="12"/>
    </row>
    <row r="1459" spans="29:33" x14ac:dyDescent="0.25">
      <c r="AC1459" s="12"/>
      <c r="AD1459" s="12"/>
      <c r="AF1459" s="12"/>
      <c r="AG1459" s="12"/>
    </row>
    <row r="1460" spans="29:33" x14ac:dyDescent="0.25">
      <c r="AC1460" s="12"/>
      <c r="AD1460" s="12"/>
      <c r="AF1460" s="12"/>
      <c r="AG1460" s="12"/>
    </row>
    <row r="1461" spans="29:33" x14ac:dyDescent="0.25">
      <c r="AC1461" s="12"/>
      <c r="AD1461" s="12"/>
      <c r="AF1461" s="12"/>
      <c r="AG1461" s="12"/>
    </row>
    <row r="1462" spans="29:33" x14ac:dyDescent="0.25">
      <c r="AC1462" s="12"/>
      <c r="AD1462" s="12"/>
      <c r="AF1462" s="12"/>
      <c r="AG1462" s="12"/>
    </row>
    <row r="1463" spans="29:33" x14ac:dyDescent="0.25">
      <c r="AC1463" s="12"/>
      <c r="AD1463" s="12"/>
      <c r="AF1463" s="12"/>
      <c r="AG1463" s="12"/>
    </row>
    <row r="1464" spans="29:33" x14ac:dyDescent="0.25">
      <c r="AC1464" s="12"/>
      <c r="AD1464" s="12"/>
      <c r="AF1464" s="12"/>
      <c r="AG1464" s="12"/>
    </row>
    <row r="1465" spans="29:33" x14ac:dyDescent="0.25">
      <c r="AC1465" s="12"/>
      <c r="AD1465" s="12"/>
      <c r="AF1465" s="12"/>
      <c r="AG1465" s="12"/>
    </row>
    <row r="1466" spans="29:33" x14ac:dyDescent="0.25">
      <c r="AC1466" s="12"/>
      <c r="AD1466" s="12"/>
      <c r="AF1466" s="12"/>
      <c r="AG1466" s="12"/>
    </row>
    <row r="1467" spans="29:33" x14ac:dyDescent="0.25">
      <c r="AC1467" s="12"/>
      <c r="AD1467" s="12"/>
      <c r="AF1467" s="12"/>
      <c r="AG1467" s="12"/>
    </row>
    <row r="1468" spans="29:33" x14ac:dyDescent="0.25">
      <c r="AC1468" s="12"/>
      <c r="AD1468" s="12"/>
      <c r="AF1468" s="12"/>
      <c r="AG1468" s="12"/>
    </row>
    <row r="1469" spans="29:33" x14ac:dyDescent="0.25">
      <c r="AC1469" s="12"/>
      <c r="AD1469" s="12"/>
      <c r="AF1469" s="12"/>
      <c r="AG1469" s="12"/>
    </row>
    <row r="1470" spans="29:33" x14ac:dyDescent="0.25">
      <c r="AC1470" s="12"/>
      <c r="AD1470" s="12"/>
      <c r="AF1470" s="12"/>
      <c r="AG1470" s="12"/>
    </row>
    <row r="1471" spans="29:33" x14ac:dyDescent="0.25">
      <c r="AC1471" s="12"/>
      <c r="AD1471" s="12"/>
      <c r="AF1471" s="12"/>
      <c r="AG1471" s="12"/>
    </row>
    <row r="1472" spans="29:33" x14ac:dyDescent="0.25">
      <c r="AC1472" s="12"/>
      <c r="AD1472" s="12"/>
      <c r="AF1472" s="12"/>
      <c r="AG1472" s="12"/>
    </row>
    <row r="1473" spans="29:33" x14ac:dyDescent="0.25">
      <c r="AC1473" s="12"/>
      <c r="AD1473" s="12"/>
      <c r="AF1473" s="12"/>
      <c r="AG1473" s="12"/>
    </row>
    <row r="1474" spans="29:33" x14ac:dyDescent="0.25">
      <c r="AC1474" s="12"/>
      <c r="AD1474" s="12"/>
      <c r="AF1474" s="12"/>
      <c r="AG1474" s="12"/>
    </row>
    <row r="1475" spans="29:33" x14ac:dyDescent="0.25">
      <c r="AC1475" s="12"/>
      <c r="AD1475" s="12"/>
      <c r="AF1475" s="12"/>
      <c r="AG1475" s="12"/>
    </row>
    <row r="1476" spans="29:33" x14ac:dyDescent="0.25">
      <c r="AC1476" s="12"/>
      <c r="AD1476" s="12"/>
      <c r="AF1476" s="12"/>
      <c r="AG1476" s="12"/>
    </row>
    <row r="1477" spans="29:33" x14ac:dyDescent="0.25">
      <c r="AC1477" s="12"/>
      <c r="AD1477" s="12"/>
      <c r="AF1477" s="12"/>
      <c r="AG1477" s="12"/>
    </row>
    <row r="1478" spans="29:33" x14ac:dyDescent="0.25">
      <c r="AC1478" s="12"/>
      <c r="AD1478" s="12"/>
      <c r="AF1478" s="12"/>
      <c r="AG1478" s="12"/>
    </row>
    <row r="1479" spans="29:33" x14ac:dyDescent="0.25">
      <c r="AC1479" s="12"/>
      <c r="AD1479" s="12"/>
      <c r="AF1479" s="12"/>
      <c r="AG1479" s="12"/>
    </row>
    <row r="1480" spans="29:33" x14ac:dyDescent="0.25">
      <c r="AC1480" s="12"/>
      <c r="AD1480" s="12"/>
      <c r="AF1480" s="12"/>
      <c r="AG1480" s="12"/>
    </row>
    <row r="1481" spans="29:33" x14ac:dyDescent="0.25">
      <c r="AC1481" s="12"/>
      <c r="AD1481" s="12"/>
      <c r="AF1481" s="12"/>
      <c r="AG1481" s="12"/>
    </row>
    <row r="1482" spans="29:33" x14ac:dyDescent="0.25">
      <c r="AC1482" s="12"/>
      <c r="AD1482" s="12"/>
      <c r="AF1482" s="12"/>
      <c r="AG1482" s="12"/>
    </row>
    <row r="1483" spans="29:33" x14ac:dyDescent="0.25">
      <c r="AC1483" s="12"/>
      <c r="AD1483" s="12"/>
      <c r="AF1483" s="12"/>
      <c r="AG1483" s="12"/>
    </row>
    <row r="1484" spans="29:33" x14ac:dyDescent="0.25">
      <c r="AC1484" s="12"/>
      <c r="AD1484" s="12"/>
      <c r="AF1484" s="12"/>
      <c r="AG1484" s="12"/>
    </row>
    <row r="1485" spans="29:33" x14ac:dyDescent="0.25">
      <c r="AC1485" s="12"/>
      <c r="AD1485" s="12"/>
      <c r="AF1485" s="12"/>
      <c r="AG1485" s="12"/>
    </row>
    <row r="1486" spans="29:33" x14ac:dyDescent="0.25">
      <c r="AC1486" s="12"/>
      <c r="AD1486" s="12"/>
      <c r="AF1486" s="12"/>
      <c r="AG1486" s="12"/>
    </row>
    <row r="1487" spans="29:33" x14ac:dyDescent="0.25">
      <c r="AC1487" s="12"/>
      <c r="AD1487" s="12"/>
      <c r="AF1487" s="12"/>
      <c r="AG1487" s="12"/>
    </row>
    <row r="1488" spans="29:33" x14ac:dyDescent="0.25">
      <c r="AC1488" s="12"/>
      <c r="AD1488" s="12"/>
      <c r="AF1488" s="12"/>
      <c r="AG1488" s="12"/>
    </row>
    <row r="1489" spans="29:33" x14ac:dyDescent="0.25">
      <c r="AC1489" s="12"/>
      <c r="AD1489" s="12"/>
      <c r="AF1489" s="12"/>
      <c r="AG1489" s="12"/>
    </row>
    <row r="1490" spans="29:33" x14ac:dyDescent="0.25">
      <c r="AC1490" s="12"/>
      <c r="AD1490" s="12"/>
      <c r="AF1490" s="12"/>
      <c r="AG1490" s="12"/>
    </row>
    <row r="1491" spans="29:33" x14ac:dyDescent="0.25">
      <c r="AC1491" s="12"/>
      <c r="AD1491" s="12"/>
      <c r="AF1491" s="12"/>
      <c r="AG1491" s="12"/>
    </row>
    <row r="1492" spans="29:33" x14ac:dyDescent="0.25">
      <c r="AC1492" s="12"/>
      <c r="AD1492" s="12"/>
      <c r="AF1492" s="12"/>
      <c r="AG1492" s="12"/>
    </row>
    <row r="1493" spans="29:33" x14ac:dyDescent="0.25">
      <c r="AC1493" s="12"/>
      <c r="AD1493" s="12"/>
      <c r="AF1493" s="12"/>
      <c r="AG1493" s="12"/>
    </row>
    <row r="1494" spans="29:33" x14ac:dyDescent="0.25">
      <c r="AC1494" s="12"/>
      <c r="AD1494" s="12"/>
      <c r="AF1494" s="12"/>
      <c r="AG1494" s="12"/>
    </row>
    <row r="1495" spans="29:33" x14ac:dyDescent="0.25">
      <c r="AC1495" s="12"/>
      <c r="AD1495" s="12"/>
      <c r="AF1495" s="12"/>
      <c r="AG1495" s="12"/>
    </row>
    <row r="1496" spans="29:33" x14ac:dyDescent="0.25">
      <c r="AC1496" s="12"/>
      <c r="AD1496" s="12"/>
      <c r="AF1496" s="12"/>
      <c r="AG1496" s="12"/>
    </row>
    <row r="1497" spans="29:33" x14ac:dyDescent="0.25">
      <c r="AC1497" s="12"/>
      <c r="AD1497" s="12"/>
      <c r="AF1497" s="12"/>
      <c r="AG1497" s="12"/>
    </row>
    <row r="1498" spans="29:33" x14ac:dyDescent="0.25">
      <c r="AC1498" s="12"/>
      <c r="AD1498" s="12"/>
      <c r="AF1498" s="12"/>
      <c r="AG1498" s="12"/>
    </row>
    <row r="1499" spans="29:33" x14ac:dyDescent="0.25">
      <c r="AC1499" s="12"/>
      <c r="AD1499" s="12"/>
      <c r="AF1499" s="12"/>
      <c r="AG1499" s="12"/>
    </row>
    <row r="1500" spans="29:33" x14ac:dyDescent="0.25">
      <c r="AC1500" s="12"/>
      <c r="AD1500" s="12"/>
      <c r="AF1500" s="12"/>
      <c r="AG1500" s="12"/>
    </row>
    <row r="1501" spans="29:33" x14ac:dyDescent="0.25">
      <c r="AC1501" s="12"/>
      <c r="AD1501" s="12"/>
      <c r="AF1501" s="12"/>
      <c r="AG1501" s="12"/>
    </row>
    <row r="1502" spans="29:33" x14ac:dyDescent="0.25">
      <c r="AC1502" s="12"/>
      <c r="AD1502" s="12"/>
      <c r="AF1502" s="12"/>
      <c r="AG1502" s="12"/>
    </row>
    <row r="1503" spans="29:33" x14ac:dyDescent="0.25">
      <c r="AC1503" s="12"/>
      <c r="AD1503" s="12"/>
      <c r="AF1503" s="12"/>
      <c r="AG1503" s="12"/>
    </row>
    <row r="1504" spans="29:33" x14ac:dyDescent="0.25">
      <c r="AC1504" s="12"/>
      <c r="AD1504" s="12"/>
      <c r="AF1504" s="12"/>
      <c r="AG1504" s="12"/>
    </row>
    <row r="1505" spans="29:33" x14ac:dyDescent="0.25">
      <c r="AC1505" s="12"/>
      <c r="AD1505" s="12"/>
      <c r="AF1505" s="12"/>
      <c r="AG1505" s="12"/>
    </row>
    <row r="1506" spans="29:33" x14ac:dyDescent="0.25">
      <c r="AC1506" s="12"/>
      <c r="AD1506" s="12"/>
      <c r="AF1506" s="12"/>
      <c r="AG1506" s="12"/>
    </row>
    <row r="1507" spans="29:33" x14ac:dyDescent="0.25">
      <c r="AC1507" s="12"/>
      <c r="AD1507" s="12"/>
      <c r="AF1507" s="12"/>
      <c r="AG1507" s="12"/>
    </row>
    <row r="1508" spans="29:33" x14ac:dyDescent="0.25">
      <c r="AC1508" s="12"/>
      <c r="AD1508" s="12"/>
      <c r="AF1508" s="12"/>
      <c r="AG1508" s="12"/>
    </row>
    <row r="1509" spans="29:33" x14ac:dyDescent="0.25">
      <c r="AC1509" s="12"/>
      <c r="AD1509" s="12"/>
      <c r="AF1509" s="12"/>
      <c r="AG1509" s="12"/>
    </row>
    <row r="1510" spans="29:33" x14ac:dyDescent="0.25">
      <c r="AC1510" s="12"/>
      <c r="AD1510" s="12"/>
      <c r="AF1510" s="12"/>
      <c r="AG1510" s="12"/>
    </row>
    <row r="1511" spans="29:33" x14ac:dyDescent="0.25">
      <c r="AC1511" s="12"/>
      <c r="AD1511" s="12"/>
      <c r="AF1511" s="12"/>
      <c r="AG1511" s="12"/>
    </row>
    <row r="1512" spans="29:33" x14ac:dyDescent="0.25">
      <c r="AC1512" s="12"/>
      <c r="AD1512" s="12"/>
      <c r="AF1512" s="12"/>
      <c r="AG1512" s="12"/>
    </row>
    <row r="1513" spans="29:33" x14ac:dyDescent="0.25">
      <c r="AC1513" s="12"/>
      <c r="AD1513" s="12"/>
      <c r="AF1513" s="12"/>
      <c r="AG1513" s="12"/>
    </row>
    <row r="1514" spans="29:33" x14ac:dyDescent="0.25">
      <c r="AC1514" s="12"/>
      <c r="AD1514" s="12"/>
      <c r="AF1514" s="12"/>
      <c r="AG1514" s="12"/>
    </row>
    <row r="1515" spans="29:33" x14ac:dyDescent="0.25">
      <c r="AC1515" s="12"/>
      <c r="AD1515" s="12"/>
      <c r="AF1515" s="12"/>
      <c r="AG1515" s="12"/>
    </row>
    <row r="1516" spans="29:33" x14ac:dyDescent="0.25">
      <c r="AC1516" s="12"/>
      <c r="AD1516" s="12"/>
      <c r="AF1516" s="12"/>
      <c r="AG1516" s="12"/>
    </row>
    <row r="1517" spans="29:33" x14ac:dyDescent="0.25">
      <c r="AC1517" s="12"/>
      <c r="AD1517" s="12"/>
      <c r="AF1517" s="12"/>
      <c r="AG1517" s="12"/>
    </row>
    <row r="1518" spans="29:33" x14ac:dyDescent="0.25">
      <c r="AC1518" s="12"/>
      <c r="AD1518" s="12"/>
      <c r="AF1518" s="12"/>
      <c r="AG1518" s="12"/>
    </row>
    <row r="1519" spans="29:33" x14ac:dyDescent="0.25">
      <c r="AC1519" s="12"/>
      <c r="AD1519" s="12"/>
      <c r="AF1519" s="12"/>
      <c r="AG1519" s="12"/>
    </row>
    <row r="1520" spans="29:33" x14ac:dyDescent="0.25">
      <c r="AC1520" s="12"/>
      <c r="AD1520" s="12"/>
      <c r="AF1520" s="12"/>
      <c r="AG1520" s="12"/>
    </row>
    <row r="1521" spans="29:33" x14ac:dyDescent="0.25">
      <c r="AC1521" s="12"/>
      <c r="AD1521" s="12"/>
      <c r="AF1521" s="12"/>
      <c r="AG1521" s="12"/>
    </row>
    <row r="1522" spans="29:33" x14ac:dyDescent="0.25">
      <c r="AC1522" s="12"/>
      <c r="AD1522" s="12"/>
      <c r="AF1522" s="12"/>
      <c r="AG1522" s="12"/>
    </row>
    <row r="1523" spans="29:33" x14ac:dyDescent="0.25">
      <c r="AC1523" s="12"/>
      <c r="AD1523" s="12"/>
      <c r="AF1523" s="12"/>
      <c r="AG1523" s="12"/>
    </row>
    <row r="1524" spans="29:33" x14ac:dyDescent="0.25">
      <c r="AC1524" s="12"/>
      <c r="AD1524" s="12"/>
      <c r="AF1524" s="12"/>
      <c r="AG1524" s="12"/>
    </row>
    <row r="1525" spans="29:33" x14ac:dyDescent="0.25">
      <c r="AC1525" s="12"/>
      <c r="AD1525" s="12"/>
      <c r="AF1525" s="12"/>
      <c r="AG1525" s="12"/>
    </row>
    <row r="1526" spans="29:33" x14ac:dyDescent="0.25">
      <c r="AC1526" s="12"/>
      <c r="AD1526" s="12"/>
      <c r="AF1526" s="12"/>
      <c r="AG1526" s="12"/>
    </row>
    <row r="1527" spans="29:33" x14ac:dyDescent="0.25">
      <c r="AC1527" s="12"/>
      <c r="AD1527" s="12"/>
      <c r="AF1527" s="12"/>
      <c r="AG1527" s="12"/>
    </row>
    <row r="1528" spans="29:33" x14ac:dyDescent="0.25">
      <c r="AC1528" s="12"/>
      <c r="AD1528" s="12"/>
      <c r="AF1528" s="12"/>
      <c r="AG1528" s="12"/>
    </row>
    <row r="1529" spans="29:33" x14ac:dyDescent="0.25">
      <c r="AC1529" s="12"/>
      <c r="AD1529" s="12"/>
      <c r="AF1529" s="12"/>
      <c r="AG1529" s="12"/>
    </row>
    <row r="1530" spans="29:33" x14ac:dyDescent="0.25">
      <c r="AC1530" s="12"/>
      <c r="AD1530" s="12"/>
      <c r="AF1530" s="12"/>
      <c r="AG1530" s="12"/>
    </row>
    <row r="1531" spans="29:33" x14ac:dyDescent="0.25">
      <c r="AC1531" s="12"/>
      <c r="AD1531" s="12"/>
      <c r="AF1531" s="12"/>
      <c r="AG1531" s="12"/>
    </row>
    <row r="1532" spans="29:33" x14ac:dyDescent="0.25">
      <c r="AC1532" s="12"/>
      <c r="AD1532" s="12"/>
      <c r="AF1532" s="12"/>
      <c r="AG1532" s="12"/>
    </row>
    <row r="1533" spans="29:33" x14ac:dyDescent="0.25">
      <c r="AC1533" s="12"/>
      <c r="AD1533" s="12"/>
      <c r="AF1533" s="12"/>
      <c r="AG1533" s="12"/>
    </row>
    <row r="1534" spans="29:33" x14ac:dyDescent="0.25">
      <c r="AC1534" s="12"/>
      <c r="AD1534" s="12"/>
      <c r="AF1534" s="12"/>
      <c r="AG1534" s="12"/>
    </row>
    <row r="1535" spans="29:33" x14ac:dyDescent="0.25">
      <c r="AC1535" s="12"/>
      <c r="AD1535" s="12"/>
      <c r="AF1535" s="12"/>
      <c r="AG1535" s="12"/>
    </row>
    <row r="1536" spans="29:33" x14ac:dyDescent="0.25">
      <c r="AC1536" s="12"/>
      <c r="AD1536" s="12"/>
      <c r="AF1536" s="12"/>
      <c r="AG1536" s="12"/>
    </row>
    <row r="1537" spans="29:33" x14ac:dyDescent="0.25">
      <c r="AC1537" s="12"/>
      <c r="AD1537" s="12"/>
      <c r="AF1537" s="12"/>
      <c r="AG1537" s="12"/>
    </row>
    <row r="1538" spans="29:33" x14ac:dyDescent="0.25">
      <c r="AC1538" s="12"/>
      <c r="AD1538" s="12"/>
      <c r="AF1538" s="12"/>
      <c r="AG1538" s="12"/>
    </row>
    <row r="1539" spans="29:33" x14ac:dyDescent="0.25">
      <c r="AC1539" s="12"/>
      <c r="AD1539" s="12"/>
      <c r="AF1539" s="12"/>
      <c r="AG1539" s="12"/>
    </row>
    <row r="1540" spans="29:33" x14ac:dyDescent="0.25">
      <c r="AC1540" s="12"/>
      <c r="AD1540" s="12"/>
      <c r="AF1540" s="12"/>
      <c r="AG1540" s="12"/>
    </row>
    <row r="1541" spans="29:33" x14ac:dyDescent="0.25">
      <c r="AC1541" s="12"/>
      <c r="AD1541" s="12"/>
      <c r="AF1541" s="12"/>
      <c r="AG1541" s="12"/>
    </row>
    <row r="1542" spans="29:33" x14ac:dyDescent="0.25">
      <c r="AC1542" s="12"/>
      <c r="AD1542" s="12"/>
      <c r="AF1542" s="12"/>
      <c r="AG1542" s="12"/>
    </row>
    <row r="1543" spans="29:33" x14ac:dyDescent="0.25">
      <c r="AC1543" s="12"/>
      <c r="AD1543" s="12"/>
      <c r="AF1543" s="12"/>
      <c r="AG1543" s="12"/>
    </row>
    <row r="1544" spans="29:33" x14ac:dyDescent="0.25">
      <c r="AC1544" s="12"/>
      <c r="AD1544" s="12"/>
      <c r="AF1544" s="12"/>
      <c r="AG1544" s="12"/>
    </row>
    <row r="1545" spans="29:33" x14ac:dyDescent="0.25">
      <c r="AC1545" s="12"/>
      <c r="AD1545" s="12"/>
      <c r="AF1545" s="12"/>
      <c r="AG1545" s="12"/>
    </row>
    <row r="1546" spans="29:33" x14ac:dyDescent="0.25">
      <c r="AC1546" s="12"/>
      <c r="AD1546" s="12"/>
      <c r="AF1546" s="12"/>
      <c r="AG1546" s="12"/>
    </row>
    <row r="1547" spans="29:33" x14ac:dyDescent="0.25">
      <c r="AC1547" s="12"/>
      <c r="AD1547" s="12"/>
      <c r="AF1547" s="12"/>
      <c r="AG1547" s="12"/>
    </row>
    <row r="1548" spans="29:33" x14ac:dyDescent="0.25">
      <c r="AC1548" s="12"/>
      <c r="AD1548" s="12"/>
      <c r="AF1548" s="12"/>
      <c r="AG1548" s="12"/>
    </row>
    <row r="1549" spans="29:33" x14ac:dyDescent="0.25">
      <c r="AC1549" s="12"/>
      <c r="AD1549" s="12"/>
      <c r="AF1549" s="12"/>
      <c r="AG1549" s="12"/>
    </row>
    <row r="1550" spans="29:33" x14ac:dyDescent="0.25">
      <c r="AC1550" s="12"/>
      <c r="AD1550" s="12"/>
      <c r="AF1550" s="12"/>
      <c r="AG1550" s="12"/>
    </row>
    <row r="1551" spans="29:33" x14ac:dyDescent="0.25">
      <c r="AC1551" s="12"/>
      <c r="AD1551" s="12"/>
      <c r="AF1551" s="12"/>
      <c r="AG1551" s="12"/>
    </row>
    <row r="1552" spans="29:33" x14ac:dyDescent="0.25">
      <c r="AC1552" s="12"/>
      <c r="AD1552" s="12"/>
      <c r="AF1552" s="12"/>
      <c r="AG1552" s="12"/>
    </row>
    <row r="1553" spans="29:33" x14ac:dyDescent="0.25">
      <c r="AC1553" s="12"/>
      <c r="AD1553" s="12"/>
      <c r="AF1553" s="12"/>
      <c r="AG1553" s="12"/>
    </row>
    <row r="1554" spans="29:33" x14ac:dyDescent="0.25">
      <c r="AC1554" s="12"/>
      <c r="AD1554" s="12"/>
      <c r="AF1554" s="12"/>
      <c r="AG1554" s="12"/>
    </row>
    <row r="1555" spans="29:33" x14ac:dyDescent="0.25">
      <c r="AC1555" s="12"/>
      <c r="AD1555" s="12"/>
      <c r="AF1555" s="12"/>
      <c r="AG1555" s="12"/>
    </row>
    <row r="1556" spans="29:33" x14ac:dyDescent="0.25">
      <c r="AC1556" s="12"/>
      <c r="AD1556" s="12"/>
      <c r="AF1556" s="12"/>
      <c r="AG1556" s="12"/>
    </row>
    <row r="1557" spans="29:33" x14ac:dyDescent="0.25">
      <c r="AC1557" s="12"/>
      <c r="AD1557" s="12"/>
      <c r="AF1557" s="12"/>
      <c r="AG1557" s="12"/>
    </row>
    <row r="1558" spans="29:33" x14ac:dyDescent="0.25">
      <c r="AC1558" s="12"/>
      <c r="AD1558" s="12"/>
      <c r="AF1558" s="12"/>
      <c r="AG1558" s="12"/>
    </row>
    <row r="1559" spans="29:33" x14ac:dyDescent="0.25">
      <c r="AC1559" s="12"/>
      <c r="AD1559" s="12"/>
      <c r="AF1559" s="12"/>
      <c r="AG1559" s="12"/>
    </row>
    <row r="1560" spans="29:33" x14ac:dyDescent="0.25">
      <c r="AC1560" s="12"/>
      <c r="AD1560" s="12"/>
      <c r="AF1560" s="12"/>
      <c r="AG1560" s="12"/>
    </row>
    <row r="1561" spans="29:33" x14ac:dyDescent="0.25">
      <c r="AC1561" s="12"/>
      <c r="AD1561" s="12"/>
      <c r="AF1561" s="12"/>
      <c r="AG1561" s="12"/>
    </row>
    <row r="1562" spans="29:33" x14ac:dyDescent="0.25">
      <c r="AC1562" s="12"/>
      <c r="AD1562" s="12"/>
      <c r="AF1562" s="12"/>
      <c r="AG1562" s="12"/>
    </row>
    <row r="1563" spans="29:33" x14ac:dyDescent="0.25">
      <c r="AC1563" s="12"/>
      <c r="AD1563" s="12"/>
      <c r="AF1563" s="12"/>
      <c r="AG1563" s="12"/>
    </row>
    <row r="1564" spans="29:33" x14ac:dyDescent="0.25">
      <c r="AC1564" s="12"/>
      <c r="AD1564" s="12"/>
      <c r="AF1564" s="12"/>
      <c r="AG1564" s="12"/>
    </row>
    <row r="1565" spans="29:33" x14ac:dyDescent="0.25">
      <c r="AC1565" s="12"/>
      <c r="AD1565" s="12"/>
      <c r="AF1565" s="12"/>
      <c r="AG1565" s="12"/>
    </row>
    <row r="1566" spans="29:33" x14ac:dyDescent="0.25">
      <c r="AC1566" s="12"/>
      <c r="AD1566" s="12"/>
      <c r="AF1566" s="12"/>
      <c r="AG1566" s="12"/>
    </row>
    <row r="1567" spans="29:33" x14ac:dyDescent="0.25">
      <c r="AC1567" s="12"/>
      <c r="AD1567" s="12"/>
      <c r="AF1567" s="12"/>
      <c r="AG1567" s="12"/>
    </row>
    <row r="1568" spans="29:33" x14ac:dyDescent="0.25">
      <c r="AC1568" s="12"/>
      <c r="AD1568" s="12"/>
      <c r="AF1568" s="12"/>
      <c r="AG1568" s="12"/>
    </row>
    <row r="1569" spans="29:33" x14ac:dyDescent="0.25">
      <c r="AC1569" s="12"/>
      <c r="AD1569" s="12"/>
      <c r="AF1569" s="12"/>
      <c r="AG1569" s="12"/>
    </row>
    <row r="1570" spans="29:33" x14ac:dyDescent="0.25">
      <c r="AC1570" s="12"/>
      <c r="AD1570" s="12"/>
      <c r="AF1570" s="12"/>
      <c r="AG1570" s="12"/>
    </row>
    <row r="1571" spans="29:33" x14ac:dyDescent="0.25">
      <c r="AC1571" s="12"/>
      <c r="AD1571" s="12"/>
      <c r="AF1571" s="12"/>
      <c r="AG1571" s="12"/>
    </row>
    <row r="1572" spans="29:33" x14ac:dyDescent="0.25">
      <c r="AC1572" s="12"/>
      <c r="AD1572" s="12"/>
      <c r="AF1572" s="12"/>
      <c r="AG1572" s="12"/>
    </row>
    <row r="1573" spans="29:33" x14ac:dyDescent="0.25">
      <c r="AC1573" s="12"/>
      <c r="AD1573" s="12"/>
      <c r="AF1573" s="12"/>
      <c r="AG1573" s="12"/>
    </row>
    <row r="1574" spans="29:33" x14ac:dyDescent="0.25">
      <c r="AC1574" s="12"/>
      <c r="AD1574" s="12"/>
      <c r="AF1574" s="12"/>
      <c r="AG1574" s="12"/>
    </row>
    <row r="1575" spans="29:33" x14ac:dyDescent="0.25">
      <c r="AC1575" s="12"/>
      <c r="AD1575" s="12"/>
      <c r="AF1575" s="12"/>
      <c r="AG1575" s="12"/>
    </row>
    <row r="1576" spans="29:33" x14ac:dyDescent="0.25">
      <c r="AC1576" s="12"/>
      <c r="AD1576" s="12"/>
      <c r="AF1576" s="12"/>
      <c r="AG1576" s="12"/>
    </row>
    <row r="1577" spans="29:33" x14ac:dyDescent="0.25">
      <c r="AC1577" s="12"/>
      <c r="AD1577" s="12"/>
      <c r="AF1577" s="12"/>
      <c r="AG1577" s="12"/>
    </row>
    <row r="1578" spans="29:33" x14ac:dyDescent="0.25">
      <c r="AC1578" s="12"/>
      <c r="AD1578" s="12"/>
      <c r="AF1578" s="12"/>
      <c r="AG1578" s="12"/>
    </row>
    <row r="1579" spans="29:33" x14ac:dyDescent="0.25">
      <c r="AC1579" s="12"/>
      <c r="AD1579" s="12"/>
      <c r="AF1579" s="12"/>
      <c r="AG1579" s="12"/>
    </row>
    <row r="1580" spans="29:33" x14ac:dyDescent="0.25">
      <c r="AC1580" s="12"/>
      <c r="AD1580" s="12"/>
      <c r="AF1580" s="12"/>
      <c r="AG1580" s="12"/>
    </row>
    <row r="1581" spans="29:33" x14ac:dyDescent="0.25">
      <c r="AC1581" s="12"/>
      <c r="AD1581" s="12"/>
      <c r="AF1581" s="12"/>
      <c r="AG1581" s="12"/>
    </row>
    <row r="1582" spans="29:33" x14ac:dyDescent="0.25">
      <c r="AC1582" s="12"/>
      <c r="AD1582" s="12"/>
      <c r="AF1582" s="12"/>
      <c r="AG1582" s="12"/>
    </row>
    <row r="1583" spans="29:33" x14ac:dyDescent="0.25">
      <c r="AC1583" s="12"/>
      <c r="AD1583" s="12"/>
      <c r="AF1583" s="12"/>
      <c r="AG1583" s="12"/>
    </row>
    <row r="1584" spans="29:33" x14ac:dyDescent="0.25">
      <c r="AC1584" s="12"/>
      <c r="AD1584" s="12"/>
      <c r="AF1584" s="12"/>
      <c r="AG1584" s="12"/>
    </row>
    <row r="1585" spans="29:33" x14ac:dyDescent="0.25">
      <c r="AC1585" s="12"/>
      <c r="AD1585" s="12"/>
      <c r="AF1585" s="12"/>
      <c r="AG1585" s="12"/>
    </row>
    <row r="1586" spans="29:33" x14ac:dyDescent="0.25">
      <c r="AC1586" s="12"/>
      <c r="AD1586" s="12"/>
      <c r="AF1586" s="12"/>
      <c r="AG1586" s="12"/>
    </row>
    <row r="1587" spans="29:33" x14ac:dyDescent="0.25">
      <c r="AC1587" s="12"/>
      <c r="AD1587" s="12"/>
      <c r="AF1587" s="12"/>
      <c r="AG1587" s="12"/>
    </row>
    <row r="1588" spans="29:33" x14ac:dyDescent="0.25">
      <c r="AC1588" s="12"/>
      <c r="AD1588" s="12"/>
      <c r="AF1588" s="12"/>
      <c r="AG1588" s="12"/>
    </row>
    <row r="1589" spans="29:33" x14ac:dyDescent="0.25">
      <c r="AC1589" s="12"/>
      <c r="AD1589" s="12"/>
      <c r="AF1589" s="12"/>
      <c r="AG1589" s="12"/>
    </row>
    <row r="1590" spans="29:33" x14ac:dyDescent="0.25">
      <c r="AC1590" s="12"/>
      <c r="AD1590" s="12"/>
      <c r="AF1590" s="12"/>
      <c r="AG1590" s="12"/>
    </row>
    <row r="1591" spans="29:33" x14ac:dyDescent="0.25">
      <c r="AC1591" s="12"/>
      <c r="AD1591" s="12"/>
      <c r="AF1591" s="12"/>
      <c r="AG1591" s="12"/>
    </row>
    <row r="1592" spans="29:33" x14ac:dyDescent="0.25">
      <c r="AC1592" s="12"/>
      <c r="AD1592" s="12"/>
      <c r="AF1592" s="12"/>
      <c r="AG1592" s="12"/>
    </row>
    <row r="1593" spans="29:33" x14ac:dyDescent="0.25">
      <c r="AC1593" s="12"/>
      <c r="AD1593" s="12"/>
      <c r="AF1593" s="12"/>
      <c r="AG1593" s="12"/>
    </row>
    <row r="1594" spans="29:33" x14ac:dyDescent="0.25">
      <c r="AC1594" s="12"/>
      <c r="AD1594" s="12"/>
      <c r="AF1594" s="12"/>
      <c r="AG1594" s="12"/>
    </row>
    <row r="1595" spans="29:33" x14ac:dyDescent="0.25">
      <c r="AC1595" s="12"/>
      <c r="AD1595" s="12"/>
      <c r="AF1595" s="12"/>
      <c r="AG1595" s="12"/>
    </row>
    <row r="1596" spans="29:33" x14ac:dyDescent="0.25">
      <c r="AC1596" s="12"/>
      <c r="AD1596" s="12"/>
      <c r="AF1596" s="12"/>
      <c r="AG1596" s="12"/>
    </row>
    <row r="1597" spans="29:33" x14ac:dyDescent="0.25">
      <c r="AC1597" s="12"/>
      <c r="AD1597" s="12"/>
      <c r="AF1597" s="12"/>
      <c r="AG1597" s="12"/>
    </row>
    <row r="1598" spans="29:33" x14ac:dyDescent="0.25">
      <c r="AC1598" s="12"/>
      <c r="AD1598" s="12"/>
      <c r="AF1598" s="12"/>
      <c r="AG1598" s="12"/>
    </row>
    <row r="1599" spans="29:33" x14ac:dyDescent="0.25">
      <c r="AC1599" s="12"/>
      <c r="AD1599" s="12"/>
      <c r="AF1599" s="12"/>
      <c r="AG1599" s="12"/>
    </row>
    <row r="1600" spans="29:33" x14ac:dyDescent="0.25">
      <c r="AC1600" s="12"/>
      <c r="AD1600" s="12"/>
      <c r="AF1600" s="12"/>
      <c r="AG1600" s="12"/>
    </row>
    <row r="1601" spans="29:33" x14ac:dyDescent="0.25">
      <c r="AC1601" s="12"/>
      <c r="AD1601" s="12"/>
      <c r="AF1601" s="12"/>
      <c r="AG1601" s="12"/>
    </row>
    <row r="1602" spans="29:33" x14ac:dyDescent="0.25">
      <c r="AC1602" s="12"/>
      <c r="AD1602" s="12"/>
      <c r="AF1602" s="12"/>
      <c r="AG1602" s="12"/>
    </row>
    <row r="1603" spans="29:33" x14ac:dyDescent="0.25">
      <c r="AC1603" s="12"/>
      <c r="AD1603" s="12"/>
      <c r="AF1603" s="12"/>
      <c r="AG1603" s="12"/>
    </row>
    <row r="1604" spans="29:33" x14ac:dyDescent="0.25">
      <c r="AC1604" s="12"/>
      <c r="AD1604" s="12"/>
      <c r="AF1604" s="12"/>
      <c r="AG1604" s="12"/>
    </row>
    <row r="1605" spans="29:33" x14ac:dyDescent="0.25">
      <c r="AC1605" s="12"/>
      <c r="AD1605" s="12"/>
      <c r="AF1605" s="12"/>
      <c r="AG1605" s="12"/>
    </row>
    <row r="1606" spans="29:33" x14ac:dyDescent="0.25">
      <c r="AC1606" s="12"/>
      <c r="AD1606" s="12"/>
      <c r="AF1606" s="12"/>
      <c r="AG1606" s="12"/>
    </row>
    <row r="1607" spans="29:33" x14ac:dyDescent="0.25">
      <c r="AC1607" s="12"/>
      <c r="AD1607" s="12"/>
      <c r="AF1607" s="12"/>
      <c r="AG1607" s="12"/>
    </row>
    <row r="1608" spans="29:33" x14ac:dyDescent="0.25">
      <c r="AC1608" s="12"/>
      <c r="AD1608" s="12"/>
      <c r="AF1608" s="12"/>
      <c r="AG1608" s="12"/>
    </row>
    <row r="1609" spans="29:33" x14ac:dyDescent="0.25">
      <c r="AC1609" s="12"/>
      <c r="AD1609" s="12"/>
      <c r="AF1609" s="12"/>
      <c r="AG1609" s="12"/>
    </row>
    <row r="1610" spans="29:33" x14ac:dyDescent="0.25">
      <c r="AC1610" s="12"/>
      <c r="AD1610" s="12"/>
      <c r="AF1610" s="12"/>
      <c r="AG1610" s="12"/>
    </row>
    <row r="1611" spans="29:33" x14ac:dyDescent="0.25">
      <c r="AC1611" s="12"/>
      <c r="AD1611" s="12"/>
      <c r="AF1611" s="12"/>
      <c r="AG1611" s="12"/>
    </row>
    <row r="1612" spans="29:33" x14ac:dyDescent="0.25">
      <c r="AC1612" s="12"/>
      <c r="AD1612" s="12"/>
      <c r="AF1612" s="12"/>
      <c r="AG1612" s="12"/>
    </row>
    <row r="1613" spans="29:33" x14ac:dyDescent="0.25">
      <c r="AC1613" s="12"/>
      <c r="AD1613" s="12"/>
      <c r="AF1613" s="12"/>
      <c r="AG1613" s="12"/>
    </row>
    <row r="1614" spans="29:33" x14ac:dyDescent="0.25">
      <c r="AC1614" s="12"/>
      <c r="AD1614" s="12"/>
      <c r="AF1614" s="12"/>
      <c r="AG1614" s="12"/>
    </row>
    <row r="1615" spans="29:33" x14ac:dyDescent="0.25">
      <c r="AC1615" s="12"/>
      <c r="AD1615" s="12"/>
      <c r="AF1615" s="12"/>
      <c r="AG1615" s="12"/>
    </row>
    <row r="1616" spans="29:33" x14ac:dyDescent="0.25">
      <c r="AC1616" s="12"/>
      <c r="AD1616" s="12"/>
      <c r="AF1616" s="12"/>
      <c r="AG1616" s="12"/>
    </row>
    <row r="1617" spans="29:33" x14ac:dyDescent="0.25">
      <c r="AC1617" s="12"/>
      <c r="AD1617" s="12"/>
      <c r="AF1617" s="12"/>
      <c r="AG1617" s="12"/>
    </row>
    <row r="1618" spans="29:33" x14ac:dyDescent="0.25">
      <c r="AC1618" s="12"/>
      <c r="AD1618" s="12"/>
      <c r="AF1618" s="12"/>
      <c r="AG1618" s="12"/>
    </row>
    <row r="1619" spans="29:33" x14ac:dyDescent="0.25">
      <c r="AC1619" s="12"/>
      <c r="AD1619" s="12"/>
      <c r="AF1619" s="12"/>
      <c r="AG1619" s="12"/>
    </row>
    <row r="1620" spans="29:33" x14ac:dyDescent="0.25">
      <c r="AC1620" s="12"/>
      <c r="AD1620" s="12"/>
      <c r="AF1620" s="12"/>
      <c r="AG1620" s="12"/>
    </row>
    <row r="1621" spans="29:33" x14ac:dyDescent="0.25">
      <c r="AC1621" s="12"/>
      <c r="AD1621" s="12"/>
      <c r="AF1621" s="12"/>
      <c r="AG1621" s="12"/>
    </row>
    <row r="1622" spans="29:33" x14ac:dyDescent="0.25">
      <c r="AC1622" s="12"/>
      <c r="AD1622" s="12"/>
      <c r="AF1622" s="12"/>
      <c r="AG1622" s="12"/>
    </row>
    <row r="1623" spans="29:33" x14ac:dyDescent="0.25">
      <c r="AC1623" s="12"/>
      <c r="AD1623" s="12"/>
      <c r="AF1623" s="12"/>
      <c r="AG1623" s="12"/>
    </row>
    <row r="1624" spans="29:33" x14ac:dyDescent="0.25">
      <c r="AC1624" s="12"/>
      <c r="AD1624" s="12"/>
      <c r="AF1624" s="12"/>
      <c r="AG1624" s="12"/>
    </row>
    <row r="1625" spans="29:33" x14ac:dyDescent="0.25">
      <c r="AC1625" s="12"/>
      <c r="AD1625" s="12"/>
      <c r="AF1625" s="12"/>
      <c r="AG1625" s="12"/>
    </row>
    <row r="1626" spans="29:33" x14ac:dyDescent="0.25">
      <c r="AC1626" s="12"/>
      <c r="AD1626" s="12"/>
      <c r="AF1626" s="12"/>
      <c r="AG1626" s="12"/>
    </row>
    <row r="1627" spans="29:33" x14ac:dyDescent="0.25">
      <c r="AC1627" s="12"/>
      <c r="AD1627" s="12"/>
      <c r="AF1627" s="12"/>
      <c r="AG1627" s="12"/>
    </row>
    <row r="1628" spans="29:33" x14ac:dyDescent="0.25">
      <c r="AC1628" s="12"/>
      <c r="AD1628" s="12"/>
      <c r="AF1628" s="12"/>
      <c r="AG1628" s="12"/>
    </row>
    <row r="1629" spans="29:33" x14ac:dyDescent="0.25">
      <c r="AC1629" s="12"/>
      <c r="AD1629" s="12"/>
      <c r="AF1629" s="12"/>
      <c r="AG1629" s="12"/>
    </row>
    <row r="1630" spans="29:33" x14ac:dyDescent="0.25">
      <c r="AC1630" s="12"/>
      <c r="AD1630" s="12"/>
      <c r="AF1630" s="12"/>
      <c r="AG1630" s="12"/>
    </row>
    <row r="1631" spans="29:33" x14ac:dyDescent="0.25">
      <c r="AC1631" s="12"/>
      <c r="AD1631" s="12"/>
      <c r="AF1631" s="12"/>
      <c r="AG1631" s="12"/>
    </row>
    <row r="1632" spans="29:33" x14ac:dyDescent="0.25">
      <c r="AC1632" s="12"/>
      <c r="AD1632" s="12"/>
      <c r="AF1632" s="12"/>
      <c r="AG1632" s="12"/>
    </row>
    <row r="1633" spans="29:33" x14ac:dyDescent="0.25">
      <c r="AC1633" s="12"/>
      <c r="AD1633" s="12"/>
      <c r="AF1633" s="12"/>
      <c r="AG1633" s="12"/>
    </row>
    <row r="1634" spans="29:33" x14ac:dyDescent="0.25">
      <c r="AC1634" s="12"/>
      <c r="AD1634" s="12"/>
      <c r="AF1634" s="12"/>
      <c r="AG1634" s="12"/>
    </row>
    <row r="1635" spans="29:33" x14ac:dyDescent="0.25">
      <c r="AC1635" s="12"/>
      <c r="AD1635" s="12"/>
      <c r="AF1635" s="12"/>
      <c r="AG1635" s="12"/>
    </row>
    <row r="1636" spans="29:33" x14ac:dyDescent="0.25">
      <c r="AC1636" s="12"/>
      <c r="AD1636" s="12"/>
      <c r="AF1636" s="12"/>
      <c r="AG1636" s="12"/>
    </row>
    <row r="1637" spans="29:33" x14ac:dyDescent="0.25">
      <c r="AC1637" s="12"/>
      <c r="AD1637" s="12"/>
      <c r="AF1637" s="12"/>
      <c r="AG1637" s="12"/>
    </row>
    <row r="1638" spans="29:33" x14ac:dyDescent="0.25">
      <c r="AC1638" s="12"/>
      <c r="AD1638" s="12"/>
      <c r="AF1638" s="12"/>
      <c r="AG1638" s="12"/>
    </row>
    <row r="1639" spans="29:33" x14ac:dyDescent="0.25">
      <c r="AC1639" s="12"/>
      <c r="AD1639" s="12"/>
      <c r="AF1639" s="12"/>
      <c r="AG1639" s="12"/>
    </row>
    <row r="1640" spans="29:33" x14ac:dyDescent="0.25">
      <c r="AC1640" s="12"/>
      <c r="AD1640" s="12"/>
      <c r="AF1640" s="12"/>
      <c r="AG1640" s="12"/>
    </row>
    <row r="1641" spans="29:33" x14ac:dyDescent="0.25">
      <c r="AC1641" s="12"/>
      <c r="AD1641" s="12"/>
      <c r="AF1641" s="12"/>
      <c r="AG1641" s="12"/>
    </row>
    <row r="1642" spans="29:33" x14ac:dyDescent="0.25">
      <c r="AC1642" s="12"/>
      <c r="AD1642" s="12"/>
      <c r="AF1642" s="12"/>
      <c r="AG1642" s="12"/>
    </row>
    <row r="1643" spans="29:33" x14ac:dyDescent="0.25">
      <c r="AC1643" s="12"/>
      <c r="AD1643" s="12"/>
      <c r="AF1643" s="12"/>
      <c r="AG1643" s="12"/>
    </row>
    <row r="1644" spans="29:33" x14ac:dyDescent="0.25">
      <c r="AC1644" s="12"/>
      <c r="AD1644" s="12"/>
      <c r="AF1644" s="12"/>
      <c r="AG1644" s="12"/>
    </row>
    <row r="1645" spans="29:33" x14ac:dyDescent="0.25">
      <c r="AC1645" s="12"/>
      <c r="AD1645" s="12"/>
      <c r="AF1645" s="12"/>
      <c r="AG1645" s="12"/>
    </row>
    <row r="1646" spans="29:33" x14ac:dyDescent="0.25">
      <c r="AC1646" s="12"/>
      <c r="AD1646" s="12"/>
      <c r="AF1646" s="12"/>
      <c r="AG1646" s="12"/>
    </row>
    <row r="1647" spans="29:33" x14ac:dyDescent="0.25">
      <c r="AC1647" s="12"/>
      <c r="AD1647" s="12"/>
      <c r="AF1647" s="12"/>
      <c r="AG1647" s="12"/>
    </row>
    <row r="1648" spans="29:33" x14ac:dyDescent="0.25">
      <c r="AC1648" s="12"/>
      <c r="AD1648" s="12"/>
      <c r="AF1648" s="12"/>
      <c r="AG1648" s="12"/>
    </row>
    <row r="1649" spans="29:33" x14ac:dyDescent="0.25">
      <c r="AC1649" s="12"/>
      <c r="AD1649" s="12"/>
      <c r="AF1649" s="12"/>
      <c r="AG1649" s="12"/>
    </row>
    <row r="1650" spans="29:33" x14ac:dyDescent="0.25">
      <c r="AC1650" s="12"/>
      <c r="AD1650" s="12"/>
      <c r="AF1650" s="12"/>
      <c r="AG1650" s="12"/>
    </row>
    <row r="1651" spans="29:33" x14ac:dyDescent="0.25">
      <c r="AC1651" s="12"/>
      <c r="AD1651" s="12"/>
      <c r="AF1651" s="12"/>
      <c r="AG1651" s="12"/>
    </row>
    <row r="1652" spans="29:33" x14ac:dyDescent="0.25">
      <c r="AC1652" s="12"/>
      <c r="AD1652" s="12"/>
      <c r="AF1652" s="12"/>
      <c r="AG1652" s="12"/>
    </row>
    <row r="1653" spans="29:33" x14ac:dyDescent="0.25">
      <c r="AC1653" s="12"/>
      <c r="AD1653" s="12"/>
      <c r="AF1653" s="12"/>
      <c r="AG1653" s="12"/>
    </row>
    <row r="1654" spans="29:33" x14ac:dyDescent="0.25">
      <c r="AC1654" s="12"/>
      <c r="AD1654" s="12"/>
      <c r="AF1654" s="12"/>
      <c r="AG1654" s="12"/>
    </row>
    <row r="1655" spans="29:33" x14ac:dyDescent="0.25">
      <c r="AC1655" s="12"/>
      <c r="AD1655" s="12"/>
      <c r="AF1655" s="12"/>
      <c r="AG1655" s="12"/>
    </row>
    <row r="1656" spans="29:33" x14ac:dyDescent="0.25">
      <c r="AC1656" s="12"/>
      <c r="AD1656" s="12"/>
      <c r="AF1656" s="12"/>
      <c r="AG1656" s="12"/>
    </row>
    <row r="1657" spans="29:33" x14ac:dyDescent="0.25">
      <c r="AC1657" s="12"/>
      <c r="AD1657" s="12"/>
      <c r="AF1657" s="12"/>
      <c r="AG1657" s="12"/>
    </row>
    <row r="1658" spans="29:33" x14ac:dyDescent="0.25">
      <c r="AC1658" s="12"/>
      <c r="AD1658" s="12"/>
      <c r="AF1658" s="12"/>
      <c r="AG1658" s="12"/>
    </row>
    <row r="1659" spans="29:33" x14ac:dyDescent="0.25">
      <c r="AC1659" s="12"/>
      <c r="AD1659" s="12"/>
      <c r="AF1659" s="12"/>
      <c r="AG1659" s="12"/>
    </row>
    <row r="1660" spans="29:33" x14ac:dyDescent="0.25">
      <c r="AC1660" s="12"/>
      <c r="AD1660" s="12"/>
      <c r="AF1660" s="12"/>
      <c r="AG1660" s="12"/>
    </row>
    <row r="1661" spans="29:33" x14ac:dyDescent="0.25">
      <c r="AC1661" s="12"/>
      <c r="AD1661" s="12"/>
      <c r="AF1661" s="12"/>
      <c r="AG1661" s="12"/>
    </row>
    <row r="1662" spans="29:33" x14ac:dyDescent="0.25">
      <c r="AC1662" s="12"/>
      <c r="AD1662" s="12"/>
      <c r="AF1662" s="12"/>
      <c r="AG1662" s="12"/>
    </row>
    <row r="1663" spans="29:33" x14ac:dyDescent="0.25">
      <c r="AC1663" s="12"/>
      <c r="AD1663" s="12"/>
      <c r="AF1663" s="12"/>
      <c r="AG1663" s="12"/>
    </row>
    <row r="1664" spans="29:33" x14ac:dyDescent="0.25">
      <c r="AC1664" s="12"/>
      <c r="AD1664" s="12"/>
      <c r="AF1664" s="12"/>
      <c r="AG1664" s="12"/>
    </row>
    <row r="1665" spans="29:33" x14ac:dyDescent="0.25">
      <c r="AC1665" s="12"/>
      <c r="AD1665" s="12"/>
      <c r="AF1665" s="12"/>
      <c r="AG1665" s="12"/>
    </row>
    <row r="1666" spans="29:33" x14ac:dyDescent="0.25">
      <c r="AC1666" s="12"/>
      <c r="AD1666" s="12"/>
      <c r="AF1666" s="12"/>
      <c r="AG1666" s="12"/>
    </row>
    <row r="1667" spans="29:33" x14ac:dyDescent="0.25">
      <c r="AC1667" s="12"/>
      <c r="AD1667" s="12"/>
      <c r="AF1667" s="12"/>
      <c r="AG1667" s="12"/>
    </row>
    <row r="1668" spans="29:33" x14ac:dyDescent="0.25">
      <c r="AC1668" s="12"/>
      <c r="AD1668" s="12"/>
      <c r="AF1668" s="12"/>
      <c r="AG1668" s="12"/>
    </row>
    <row r="1669" spans="29:33" x14ac:dyDescent="0.25">
      <c r="AC1669" s="12"/>
      <c r="AD1669" s="12"/>
      <c r="AF1669" s="12"/>
      <c r="AG1669" s="12"/>
    </row>
    <row r="1670" spans="29:33" x14ac:dyDescent="0.25">
      <c r="AC1670" s="12"/>
      <c r="AD1670" s="12"/>
      <c r="AF1670" s="12"/>
      <c r="AG1670" s="12"/>
    </row>
    <row r="1671" spans="29:33" x14ac:dyDescent="0.25">
      <c r="AC1671" s="12"/>
      <c r="AD1671" s="12"/>
      <c r="AF1671" s="12"/>
      <c r="AG1671" s="12"/>
    </row>
    <row r="1672" spans="29:33" x14ac:dyDescent="0.25">
      <c r="AC1672" s="12"/>
      <c r="AD1672" s="12"/>
      <c r="AF1672" s="12"/>
      <c r="AG1672" s="12"/>
    </row>
    <row r="1673" spans="29:33" x14ac:dyDescent="0.25">
      <c r="AC1673" s="12"/>
      <c r="AD1673" s="12"/>
      <c r="AF1673" s="12"/>
      <c r="AG1673" s="12"/>
    </row>
    <row r="1674" spans="29:33" x14ac:dyDescent="0.25">
      <c r="AC1674" s="12"/>
      <c r="AD1674" s="12"/>
      <c r="AF1674" s="12"/>
      <c r="AG1674" s="12"/>
    </row>
    <row r="1675" spans="29:33" x14ac:dyDescent="0.25">
      <c r="AC1675" s="12"/>
      <c r="AD1675" s="12"/>
      <c r="AF1675" s="12"/>
      <c r="AG1675" s="12"/>
    </row>
    <row r="1676" spans="29:33" x14ac:dyDescent="0.25">
      <c r="AC1676" s="12"/>
      <c r="AD1676" s="12"/>
      <c r="AF1676" s="12"/>
      <c r="AG1676" s="12"/>
    </row>
    <row r="1677" spans="29:33" x14ac:dyDescent="0.25">
      <c r="AC1677" s="12"/>
      <c r="AD1677" s="12"/>
      <c r="AF1677" s="12"/>
      <c r="AG1677" s="12"/>
    </row>
    <row r="1678" spans="29:33" x14ac:dyDescent="0.25">
      <c r="AC1678" s="12"/>
      <c r="AD1678" s="12"/>
      <c r="AF1678" s="12"/>
      <c r="AG1678" s="12"/>
    </row>
    <row r="1679" spans="29:33" x14ac:dyDescent="0.25">
      <c r="AC1679" s="12"/>
      <c r="AD1679" s="12"/>
      <c r="AF1679" s="12"/>
      <c r="AG1679" s="12"/>
    </row>
    <row r="1680" spans="29:33" x14ac:dyDescent="0.25">
      <c r="AC1680" s="12"/>
      <c r="AD1680" s="12"/>
      <c r="AF1680" s="12"/>
      <c r="AG1680" s="12"/>
    </row>
    <row r="1681" spans="29:33" x14ac:dyDescent="0.25">
      <c r="AC1681" s="12"/>
      <c r="AD1681" s="12"/>
      <c r="AF1681" s="12"/>
      <c r="AG1681" s="12"/>
    </row>
    <row r="1682" spans="29:33" x14ac:dyDescent="0.25">
      <c r="AC1682" s="12"/>
      <c r="AD1682" s="12"/>
      <c r="AF1682" s="12"/>
      <c r="AG1682" s="12"/>
    </row>
    <row r="1683" spans="29:33" x14ac:dyDescent="0.25">
      <c r="AC1683" s="12"/>
      <c r="AD1683" s="12"/>
      <c r="AF1683" s="12"/>
      <c r="AG1683" s="12"/>
    </row>
    <row r="1684" spans="29:33" x14ac:dyDescent="0.25">
      <c r="AC1684" s="12"/>
      <c r="AD1684" s="12"/>
      <c r="AF1684" s="12"/>
      <c r="AG1684" s="12"/>
    </row>
    <row r="1685" spans="29:33" x14ac:dyDescent="0.25">
      <c r="AC1685" s="12"/>
      <c r="AD1685" s="12"/>
      <c r="AF1685" s="12"/>
      <c r="AG1685" s="12"/>
    </row>
    <row r="1686" spans="29:33" x14ac:dyDescent="0.25">
      <c r="AC1686" s="12"/>
      <c r="AD1686" s="12"/>
      <c r="AF1686" s="12"/>
      <c r="AG1686" s="12"/>
    </row>
    <row r="1687" spans="29:33" x14ac:dyDescent="0.25">
      <c r="AC1687" s="12"/>
      <c r="AD1687" s="12"/>
      <c r="AF1687" s="12"/>
      <c r="AG1687" s="12"/>
    </row>
    <row r="1688" spans="29:33" x14ac:dyDescent="0.25">
      <c r="AC1688" s="12"/>
      <c r="AD1688" s="12"/>
      <c r="AF1688" s="12"/>
      <c r="AG1688" s="12"/>
    </row>
    <row r="1689" spans="29:33" x14ac:dyDescent="0.25">
      <c r="AC1689" s="12"/>
      <c r="AD1689" s="12"/>
      <c r="AF1689" s="12"/>
      <c r="AG1689" s="12"/>
    </row>
    <row r="1690" spans="29:33" x14ac:dyDescent="0.25">
      <c r="AC1690" s="12"/>
      <c r="AD1690" s="12"/>
      <c r="AF1690" s="12"/>
      <c r="AG1690" s="12"/>
    </row>
    <row r="1691" spans="29:33" x14ac:dyDescent="0.25">
      <c r="AC1691" s="12"/>
      <c r="AD1691" s="12"/>
      <c r="AF1691" s="12"/>
      <c r="AG1691" s="12"/>
    </row>
    <row r="1692" spans="29:33" x14ac:dyDescent="0.25">
      <c r="AC1692" s="12"/>
      <c r="AD1692" s="12"/>
      <c r="AF1692" s="12"/>
      <c r="AG1692" s="12"/>
    </row>
    <row r="1693" spans="29:33" x14ac:dyDescent="0.25">
      <c r="AC1693" s="12"/>
      <c r="AD1693" s="12"/>
      <c r="AF1693" s="12"/>
      <c r="AG1693" s="12"/>
    </row>
    <row r="1694" spans="29:33" x14ac:dyDescent="0.25">
      <c r="AC1694" s="12"/>
      <c r="AD1694" s="12"/>
      <c r="AF1694" s="12"/>
      <c r="AG1694" s="12"/>
    </row>
    <row r="1695" spans="29:33" x14ac:dyDescent="0.25">
      <c r="AC1695" s="12"/>
      <c r="AD1695" s="12"/>
      <c r="AF1695" s="12"/>
      <c r="AG1695" s="12"/>
    </row>
    <row r="1696" spans="29:33" x14ac:dyDescent="0.25">
      <c r="AC1696" s="12"/>
      <c r="AD1696" s="12"/>
      <c r="AF1696" s="12"/>
      <c r="AG1696" s="12"/>
    </row>
    <row r="1697" spans="29:33" x14ac:dyDescent="0.25">
      <c r="AC1697" s="12"/>
      <c r="AD1697" s="12"/>
      <c r="AF1697" s="12"/>
      <c r="AG1697" s="12"/>
    </row>
    <row r="1698" spans="29:33" x14ac:dyDescent="0.25">
      <c r="AC1698" s="12"/>
      <c r="AD1698" s="12"/>
      <c r="AF1698" s="12"/>
      <c r="AG1698" s="12"/>
    </row>
    <row r="1699" spans="29:33" x14ac:dyDescent="0.25">
      <c r="AC1699" s="12"/>
      <c r="AD1699" s="12"/>
      <c r="AF1699" s="12"/>
      <c r="AG1699" s="12"/>
    </row>
    <row r="1700" spans="29:33" x14ac:dyDescent="0.25">
      <c r="AC1700" s="12"/>
      <c r="AD1700" s="12"/>
      <c r="AF1700" s="12"/>
      <c r="AG1700" s="12"/>
    </row>
    <row r="1701" spans="29:33" x14ac:dyDescent="0.25">
      <c r="AC1701" s="12"/>
      <c r="AD1701" s="12"/>
      <c r="AF1701" s="12"/>
      <c r="AG1701" s="12"/>
    </row>
    <row r="1702" spans="29:33" x14ac:dyDescent="0.25">
      <c r="AC1702" s="12"/>
      <c r="AD1702" s="12"/>
      <c r="AF1702" s="12"/>
      <c r="AG1702" s="12"/>
    </row>
    <row r="1703" spans="29:33" x14ac:dyDescent="0.25">
      <c r="AC1703" s="12"/>
      <c r="AD1703" s="12"/>
      <c r="AF1703" s="12"/>
      <c r="AG1703" s="12"/>
    </row>
    <row r="1704" spans="29:33" x14ac:dyDescent="0.25">
      <c r="AC1704" s="12"/>
      <c r="AD1704" s="12"/>
      <c r="AF1704" s="12"/>
      <c r="AG1704" s="12"/>
    </row>
    <row r="1705" spans="29:33" x14ac:dyDescent="0.25">
      <c r="AC1705" s="12"/>
      <c r="AD1705" s="12"/>
      <c r="AF1705" s="12"/>
      <c r="AG1705" s="12"/>
    </row>
    <row r="1706" spans="29:33" x14ac:dyDescent="0.25">
      <c r="AC1706" s="12"/>
      <c r="AD1706" s="12"/>
      <c r="AF1706" s="12"/>
      <c r="AG1706" s="12"/>
    </row>
    <row r="1707" spans="29:33" x14ac:dyDescent="0.25">
      <c r="AC1707" s="12"/>
      <c r="AD1707" s="12"/>
      <c r="AF1707" s="12"/>
      <c r="AG1707" s="12"/>
    </row>
    <row r="1708" spans="29:33" x14ac:dyDescent="0.25">
      <c r="AC1708" s="12"/>
      <c r="AD1708" s="12"/>
      <c r="AF1708" s="12"/>
      <c r="AG1708" s="12"/>
    </row>
    <row r="1709" spans="29:33" x14ac:dyDescent="0.25">
      <c r="AC1709" s="12"/>
      <c r="AD1709" s="12"/>
      <c r="AF1709" s="12"/>
      <c r="AG1709" s="12"/>
    </row>
    <row r="1710" spans="29:33" x14ac:dyDescent="0.25">
      <c r="AC1710" s="12"/>
      <c r="AD1710" s="12"/>
      <c r="AF1710" s="12"/>
      <c r="AG1710" s="12"/>
    </row>
    <row r="1711" spans="29:33" x14ac:dyDescent="0.25">
      <c r="AC1711" s="12"/>
      <c r="AD1711" s="12"/>
      <c r="AF1711" s="12"/>
      <c r="AG1711" s="12"/>
    </row>
    <row r="1712" spans="29:33" x14ac:dyDescent="0.25">
      <c r="AC1712" s="12"/>
      <c r="AD1712" s="12"/>
      <c r="AF1712" s="12"/>
      <c r="AG1712" s="12"/>
    </row>
    <row r="1713" spans="29:33" x14ac:dyDescent="0.25">
      <c r="AC1713" s="12"/>
      <c r="AD1713" s="12"/>
      <c r="AF1713" s="12"/>
      <c r="AG1713" s="12"/>
    </row>
    <row r="1714" spans="29:33" x14ac:dyDescent="0.25">
      <c r="AC1714" s="12"/>
      <c r="AD1714" s="12"/>
      <c r="AF1714" s="12"/>
      <c r="AG1714" s="12"/>
    </row>
    <row r="1715" spans="29:33" x14ac:dyDescent="0.25">
      <c r="AC1715" s="12"/>
      <c r="AD1715" s="12"/>
      <c r="AF1715" s="12"/>
      <c r="AG1715" s="12"/>
    </row>
    <row r="1716" spans="29:33" x14ac:dyDescent="0.25">
      <c r="AC1716" s="12"/>
      <c r="AD1716" s="12"/>
      <c r="AF1716" s="12"/>
      <c r="AG1716" s="12"/>
    </row>
    <row r="1717" spans="29:33" x14ac:dyDescent="0.25">
      <c r="AC1717" s="12"/>
      <c r="AD1717" s="12"/>
      <c r="AF1717" s="12"/>
      <c r="AG1717" s="12"/>
    </row>
    <row r="1718" spans="29:33" x14ac:dyDescent="0.25">
      <c r="AC1718" s="12"/>
      <c r="AD1718" s="12"/>
      <c r="AF1718" s="12"/>
      <c r="AG1718" s="12"/>
    </row>
    <row r="1719" spans="29:33" x14ac:dyDescent="0.25">
      <c r="AC1719" s="12"/>
      <c r="AD1719" s="12"/>
      <c r="AF1719" s="12"/>
      <c r="AG1719" s="12"/>
    </row>
    <row r="1720" spans="29:33" x14ac:dyDescent="0.25">
      <c r="AC1720" s="12"/>
      <c r="AD1720" s="12"/>
      <c r="AF1720" s="12"/>
      <c r="AG1720" s="12"/>
    </row>
    <row r="1721" spans="29:33" x14ac:dyDescent="0.25">
      <c r="AC1721" s="12"/>
      <c r="AD1721" s="12"/>
      <c r="AF1721" s="12"/>
      <c r="AG1721" s="12"/>
    </row>
    <row r="1722" spans="29:33" x14ac:dyDescent="0.25">
      <c r="AC1722" s="12"/>
      <c r="AD1722" s="12"/>
      <c r="AF1722" s="12"/>
      <c r="AG1722" s="12"/>
    </row>
    <row r="1723" spans="29:33" x14ac:dyDescent="0.25">
      <c r="AC1723" s="12"/>
      <c r="AD1723" s="12"/>
      <c r="AF1723" s="12"/>
      <c r="AG1723" s="12"/>
    </row>
    <row r="1724" spans="29:33" x14ac:dyDescent="0.25">
      <c r="AC1724" s="12"/>
      <c r="AD1724" s="12"/>
      <c r="AF1724" s="12"/>
      <c r="AG1724" s="12"/>
    </row>
    <row r="1725" spans="29:33" x14ac:dyDescent="0.25">
      <c r="AC1725" s="12"/>
      <c r="AD1725" s="12"/>
      <c r="AF1725" s="12"/>
      <c r="AG1725" s="12"/>
    </row>
    <row r="1726" spans="29:33" x14ac:dyDescent="0.25">
      <c r="AC1726" s="12"/>
      <c r="AD1726" s="12"/>
      <c r="AF1726" s="12"/>
      <c r="AG1726" s="12"/>
    </row>
    <row r="1727" spans="29:33" x14ac:dyDescent="0.25">
      <c r="AC1727" s="12"/>
      <c r="AD1727" s="12"/>
      <c r="AF1727" s="12"/>
      <c r="AG1727" s="12"/>
    </row>
    <row r="1728" spans="29:33" x14ac:dyDescent="0.25">
      <c r="AC1728" s="12"/>
      <c r="AD1728" s="12"/>
      <c r="AF1728" s="12"/>
      <c r="AG1728" s="12"/>
    </row>
    <row r="1729" spans="29:33" x14ac:dyDescent="0.25">
      <c r="AC1729" s="12"/>
      <c r="AD1729" s="12"/>
      <c r="AF1729" s="12"/>
      <c r="AG1729" s="12"/>
    </row>
    <row r="1730" spans="29:33" x14ac:dyDescent="0.25">
      <c r="AC1730" s="12"/>
      <c r="AD1730" s="12"/>
      <c r="AF1730" s="12"/>
      <c r="AG1730" s="12"/>
    </row>
    <row r="1731" spans="29:33" x14ac:dyDescent="0.25">
      <c r="AC1731" s="12"/>
      <c r="AD1731" s="12"/>
      <c r="AF1731" s="12"/>
      <c r="AG1731" s="12"/>
    </row>
    <row r="1732" spans="29:33" x14ac:dyDescent="0.25">
      <c r="AC1732" s="12"/>
      <c r="AD1732" s="12"/>
      <c r="AF1732" s="12"/>
      <c r="AG1732" s="12"/>
    </row>
    <row r="1733" spans="29:33" x14ac:dyDescent="0.25">
      <c r="AC1733" s="12"/>
      <c r="AD1733" s="12"/>
      <c r="AF1733" s="12"/>
      <c r="AG1733" s="12"/>
    </row>
    <row r="1734" spans="29:33" x14ac:dyDescent="0.25">
      <c r="AC1734" s="12"/>
      <c r="AD1734" s="12"/>
      <c r="AF1734" s="12"/>
      <c r="AG1734" s="12"/>
    </row>
    <row r="1735" spans="29:33" x14ac:dyDescent="0.25">
      <c r="AC1735" s="12"/>
      <c r="AD1735" s="12"/>
      <c r="AF1735" s="12"/>
      <c r="AG1735" s="12"/>
    </row>
    <row r="1736" spans="29:33" x14ac:dyDescent="0.25">
      <c r="AC1736" s="12"/>
      <c r="AD1736" s="12"/>
      <c r="AF1736" s="12"/>
      <c r="AG1736" s="12"/>
    </row>
    <row r="1737" spans="29:33" x14ac:dyDescent="0.25">
      <c r="AC1737" s="12"/>
      <c r="AD1737" s="12"/>
      <c r="AF1737" s="12"/>
      <c r="AG1737" s="12"/>
    </row>
    <row r="1738" spans="29:33" x14ac:dyDescent="0.25">
      <c r="AC1738" s="12"/>
      <c r="AD1738" s="12"/>
      <c r="AF1738" s="12"/>
      <c r="AG1738" s="12"/>
    </row>
    <row r="1739" spans="29:33" x14ac:dyDescent="0.25">
      <c r="AC1739" s="12"/>
      <c r="AD1739" s="12"/>
      <c r="AF1739" s="12"/>
      <c r="AG1739" s="12"/>
    </row>
    <row r="1740" spans="29:33" x14ac:dyDescent="0.25">
      <c r="AC1740" s="12"/>
      <c r="AD1740" s="12"/>
      <c r="AF1740" s="12"/>
      <c r="AG1740" s="12"/>
    </row>
    <row r="1741" spans="29:33" x14ac:dyDescent="0.25">
      <c r="AC1741" s="12"/>
      <c r="AD1741" s="12"/>
      <c r="AF1741" s="12"/>
      <c r="AG1741" s="12"/>
    </row>
    <row r="1742" spans="29:33" x14ac:dyDescent="0.25">
      <c r="AC1742" s="12"/>
      <c r="AD1742" s="12"/>
      <c r="AF1742" s="12"/>
      <c r="AG1742" s="12"/>
    </row>
    <row r="1743" spans="29:33" x14ac:dyDescent="0.25">
      <c r="AC1743" s="12"/>
      <c r="AD1743" s="12"/>
      <c r="AF1743" s="12"/>
      <c r="AG1743" s="12"/>
    </row>
    <row r="1744" spans="29:33" x14ac:dyDescent="0.25">
      <c r="AC1744" s="12"/>
      <c r="AD1744" s="12"/>
      <c r="AF1744" s="12"/>
      <c r="AG1744" s="12"/>
    </row>
    <row r="1745" spans="29:33" x14ac:dyDescent="0.25">
      <c r="AC1745" s="12"/>
      <c r="AD1745" s="12"/>
      <c r="AF1745" s="12"/>
      <c r="AG1745" s="12"/>
    </row>
    <row r="1746" spans="29:33" x14ac:dyDescent="0.25">
      <c r="AC1746" s="12"/>
      <c r="AD1746" s="12"/>
      <c r="AF1746" s="12"/>
      <c r="AG1746" s="12"/>
    </row>
    <row r="1747" spans="29:33" x14ac:dyDescent="0.25">
      <c r="AC1747" s="12"/>
      <c r="AD1747" s="12"/>
      <c r="AF1747" s="12"/>
      <c r="AG1747" s="12"/>
    </row>
    <row r="1748" spans="29:33" x14ac:dyDescent="0.25">
      <c r="AC1748" s="12"/>
      <c r="AD1748" s="12"/>
      <c r="AF1748" s="12"/>
      <c r="AG1748" s="12"/>
    </row>
    <row r="1749" spans="29:33" x14ac:dyDescent="0.25">
      <c r="AC1749" s="12"/>
      <c r="AD1749" s="12"/>
      <c r="AF1749" s="12"/>
      <c r="AG1749" s="12"/>
    </row>
    <row r="1750" spans="29:33" x14ac:dyDescent="0.25">
      <c r="AC1750" s="12"/>
      <c r="AD1750" s="12"/>
      <c r="AF1750" s="12"/>
      <c r="AG1750" s="12"/>
    </row>
    <row r="1751" spans="29:33" x14ac:dyDescent="0.25">
      <c r="AC1751" s="12"/>
      <c r="AD1751" s="12"/>
      <c r="AF1751" s="12"/>
      <c r="AG1751" s="12"/>
    </row>
    <row r="1752" spans="29:33" x14ac:dyDescent="0.25">
      <c r="AC1752" s="12"/>
      <c r="AD1752" s="12"/>
      <c r="AF1752" s="12"/>
      <c r="AG1752" s="12"/>
    </row>
    <row r="1753" spans="29:33" x14ac:dyDescent="0.25">
      <c r="AC1753" s="12"/>
      <c r="AD1753" s="12"/>
      <c r="AF1753" s="12"/>
      <c r="AG1753" s="12"/>
    </row>
    <row r="1754" spans="29:33" x14ac:dyDescent="0.25">
      <c r="AC1754" s="12"/>
      <c r="AD1754" s="12"/>
      <c r="AF1754" s="12"/>
      <c r="AG1754" s="12"/>
    </row>
    <row r="1755" spans="29:33" x14ac:dyDescent="0.25">
      <c r="AC1755" s="12"/>
      <c r="AD1755" s="12"/>
      <c r="AF1755" s="12"/>
      <c r="AG1755" s="12"/>
    </row>
    <row r="1756" spans="29:33" x14ac:dyDescent="0.25">
      <c r="AC1756" s="12"/>
      <c r="AD1756" s="12"/>
      <c r="AF1756" s="12"/>
      <c r="AG1756" s="12"/>
    </row>
    <row r="1757" spans="29:33" x14ac:dyDescent="0.25">
      <c r="AC1757" s="12"/>
      <c r="AD1757" s="12"/>
      <c r="AF1757" s="12"/>
      <c r="AG1757" s="12"/>
    </row>
    <row r="1758" spans="29:33" x14ac:dyDescent="0.25">
      <c r="AC1758" s="12"/>
      <c r="AD1758" s="12"/>
      <c r="AF1758" s="12"/>
      <c r="AG1758" s="12"/>
    </row>
    <row r="1759" spans="29:33" x14ac:dyDescent="0.25">
      <c r="AC1759" s="12"/>
      <c r="AD1759" s="12"/>
      <c r="AF1759" s="12"/>
      <c r="AG1759" s="12"/>
    </row>
    <row r="1760" spans="29:33" x14ac:dyDescent="0.25">
      <c r="AC1760" s="12"/>
      <c r="AD1760" s="12"/>
      <c r="AF1760" s="12"/>
      <c r="AG1760" s="12"/>
    </row>
    <row r="1761" spans="29:33" x14ac:dyDescent="0.25">
      <c r="AC1761" s="12"/>
      <c r="AD1761" s="12"/>
      <c r="AF1761" s="12"/>
      <c r="AG1761" s="12"/>
    </row>
    <row r="1762" spans="29:33" x14ac:dyDescent="0.25">
      <c r="AC1762" s="12"/>
      <c r="AD1762" s="12"/>
      <c r="AF1762" s="12"/>
      <c r="AG1762" s="12"/>
    </row>
    <row r="1763" spans="29:33" x14ac:dyDescent="0.25">
      <c r="AC1763" s="12"/>
      <c r="AD1763" s="12"/>
      <c r="AF1763" s="12"/>
      <c r="AG1763" s="12"/>
    </row>
    <row r="1764" spans="29:33" x14ac:dyDescent="0.25">
      <c r="AC1764" s="12"/>
      <c r="AD1764" s="12"/>
      <c r="AF1764" s="12"/>
      <c r="AG1764" s="12"/>
    </row>
    <row r="1765" spans="29:33" x14ac:dyDescent="0.25">
      <c r="AC1765" s="12"/>
      <c r="AD1765" s="12"/>
      <c r="AF1765" s="12"/>
      <c r="AG1765" s="12"/>
    </row>
    <row r="1766" spans="29:33" x14ac:dyDescent="0.25">
      <c r="AC1766" s="12"/>
      <c r="AD1766" s="12"/>
      <c r="AF1766" s="12"/>
      <c r="AG1766" s="12"/>
    </row>
    <row r="1767" spans="29:33" x14ac:dyDescent="0.25">
      <c r="AC1767" s="12"/>
      <c r="AD1767" s="12"/>
      <c r="AF1767" s="12"/>
      <c r="AG1767" s="12"/>
    </row>
    <row r="1768" spans="29:33" x14ac:dyDescent="0.25">
      <c r="AC1768" s="12"/>
      <c r="AD1768" s="12"/>
      <c r="AF1768" s="12"/>
      <c r="AG1768" s="12"/>
    </row>
    <row r="1769" spans="29:33" x14ac:dyDescent="0.25">
      <c r="AC1769" s="12"/>
      <c r="AD1769" s="12"/>
      <c r="AF1769" s="12"/>
      <c r="AG1769" s="12"/>
    </row>
    <row r="1770" spans="29:33" x14ac:dyDescent="0.25">
      <c r="AC1770" s="12"/>
      <c r="AD1770" s="12"/>
      <c r="AF1770" s="12"/>
      <c r="AG1770" s="12"/>
    </row>
    <row r="1771" spans="29:33" x14ac:dyDescent="0.25">
      <c r="AC1771" s="12"/>
      <c r="AD1771" s="12"/>
      <c r="AF1771" s="12"/>
      <c r="AG1771" s="12"/>
    </row>
    <row r="1772" spans="29:33" x14ac:dyDescent="0.25">
      <c r="AC1772" s="12"/>
      <c r="AD1772" s="12"/>
      <c r="AF1772" s="12"/>
      <c r="AG1772" s="12"/>
    </row>
    <row r="1773" spans="29:33" x14ac:dyDescent="0.25">
      <c r="AC1773" s="12"/>
      <c r="AD1773" s="12"/>
      <c r="AF1773" s="12"/>
      <c r="AG1773" s="12"/>
    </row>
    <row r="1774" spans="29:33" x14ac:dyDescent="0.25">
      <c r="AC1774" s="12"/>
      <c r="AD1774" s="12"/>
      <c r="AF1774" s="12"/>
      <c r="AG1774" s="12"/>
    </row>
    <row r="1775" spans="29:33" x14ac:dyDescent="0.25">
      <c r="AC1775" s="12"/>
      <c r="AD1775" s="12"/>
      <c r="AF1775" s="12"/>
      <c r="AG1775" s="12"/>
    </row>
    <row r="1776" spans="29:33" x14ac:dyDescent="0.25">
      <c r="AC1776" s="12"/>
      <c r="AD1776" s="12"/>
      <c r="AF1776" s="12"/>
      <c r="AG1776" s="12"/>
    </row>
    <row r="1777" spans="29:33" x14ac:dyDescent="0.25">
      <c r="AC1777" s="12"/>
      <c r="AD1777" s="12"/>
      <c r="AF1777" s="12"/>
      <c r="AG1777" s="12"/>
    </row>
    <row r="1778" spans="29:33" x14ac:dyDescent="0.25">
      <c r="AC1778" s="12"/>
      <c r="AD1778" s="12"/>
      <c r="AF1778" s="12"/>
      <c r="AG1778" s="12"/>
    </row>
    <row r="1779" spans="29:33" x14ac:dyDescent="0.25">
      <c r="AC1779" s="12"/>
      <c r="AD1779" s="12"/>
      <c r="AF1779" s="12"/>
      <c r="AG1779" s="12"/>
    </row>
    <row r="1780" spans="29:33" x14ac:dyDescent="0.25">
      <c r="AC1780" s="12"/>
      <c r="AD1780" s="12"/>
      <c r="AF1780" s="12"/>
      <c r="AG1780" s="12"/>
    </row>
    <row r="1781" spans="29:33" x14ac:dyDescent="0.25">
      <c r="AC1781" s="12"/>
      <c r="AD1781" s="12"/>
      <c r="AF1781" s="12"/>
      <c r="AG1781" s="12"/>
    </row>
    <row r="1782" spans="29:33" x14ac:dyDescent="0.25">
      <c r="AC1782" s="12"/>
      <c r="AD1782" s="12"/>
      <c r="AF1782" s="12"/>
      <c r="AG1782" s="12"/>
    </row>
    <row r="1783" spans="29:33" x14ac:dyDescent="0.25">
      <c r="AC1783" s="12"/>
      <c r="AD1783" s="12"/>
      <c r="AF1783" s="12"/>
      <c r="AG1783" s="12"/>
    </row>
    <row r="1784" spans="29:33" x14ac:dyDescent="0.25">
      <c r="AC1784" s="12"/>
      <c r="AD1784" s="12"/>
      <c r="AF1784" s="12"/>
      <c r="AG1784" s="12"/>
    </row>
    <row r="1785" spans="29:33" x14ac:dyDescent="0.25">
      <c r="AC1785" s="12"/>
      <c r="AD1785" s="12"/>
      <c r="AF1785" s="12"/>
      <c r="AG1785" s="12"/>
    </row>
    <row r="1786" spans="29:33" x14ac:dyDescent="0.25">
      <c r="AC1786" s="12"/>
      <c r="AD1786" s="12"/>
      <c r="AF1786" s="12"/>
      <c r="AG1786" s="12"/>
    </row>
    <row r="1787" spans="29:33" x14ac:dyDescent="0.25">
      <c r="AC1787" s="12"/>
      <c r="AD1787" s="12"/>
      <c r="AF1787" s="12"/>
      <c r="AG1787" s="12"/>
    </row>
    <row r="1788" spans="29:33" x14ac:dyDescent="0.25">
      <c r="AC1788" s="12"/>
      <c r="AD1788" s="12"/>
      <c r="AF1788" s="12"/>
      <c r="AG1788" s="12"/>
    </row>
    <row r="1789" spans="29:33" x14ac:dyDescent="0.25">
      <c r="AC1789" s="12"/>
      <c r="AD1789" s="12"/>
      <c r="AF1789" s="12"/>
      <c r="AG1789" s="12"/>
    </row>
    <row r="1790" spans="29:33" x14ac:dyDescent="0.25">
      <c r="AC1790" s="12"/>
      <c r="AD1790" s="12"/>
      <c r="AF1790" s="12"/>
      <c r="AG1790" s="12"/>
    </row>
    <row r="1791" spans="29:33" x14ac:dyDescent="0.25">
      <c r="AC1791" s="12"/>
      <c r="AD1791" s="12"/>
      <c r="AF1791" s="12"/>
      <c r="AG1791" s="12"/>
    </row>
    <row r="1792" spans="29:33" x14ac:dyDescent="0.25">
      <c r="AC1792" s="12"/>
      <c r="AD1792" s="12"/>
      <c r="AF1792" s="12"/>
      <c r="AG1792" s="12"/>
    </row>
    <row r="1793" spans="29:33" x14ac:dyDescent="0.25">
      <c r="AC1793" s="12"/>
      <c r="AD1793" s="12"/>
      <c r="AF1793" s="12"/>
      <c r="AG1793" s="12"/>
    </row>
    <row r="1794" spans="29:33" x14ac:dyDescent="0.25">
      <c r="AC1794" s="12"/>
      <c r="AD1794" s="12"/>
      <c r="AF1794" s="12"/>
      <c r="AG1794" s="12"/>
    </row>
    <row r="1795" spans="29:33" x14ac:dyDescent="0.25">
      <c r="AC1795" s="12"/>
      <c r="AD1795" s="12"/>
      <c r="AF1795" s="12"/>
      <c r="AG1795" s="12"/>
    </row>
    <row r="1796" spans="29:33" x14ac:dyDescent="0.25">
      <c r="AC1796" s="12"/>
      <c r="AD1796" s="12"/>
      <c r="AF1796" s="12"/>
      <c r="AG1796" s="12"/>
    </row>
    <row r="1797" spans="29:33" x14ac:dyDescent="0.25">
      <c r="AC1797" s="12"/>
      <c r="AD1797" s="12"/>
      <c r="AF1797" s="12"/>
      <c r="AG1797" s="12"/>
    </row>
    <row r="1798" spans="29:33" x14ac:dyDescent="0.25">
      <c r="AC1798" s="12"/>
      <c r="AD1798" s="12"/>
      <c r="AF1798" s="12"/>
      <c r="AG1798" s="12"/>
    </row>
    <row r="1799" spans="29:33" x14ac:dyDescent="0.25">
      <c r="AC1799" s="12"/>
      <c r="AD1799" s="12"/>
      <c r="AF1799" s="12"/>
      <c r="AG1799" s="12"/>
    </row>
    <row r="1800" spans="29:33" x14ac:dyDescent="0.25">
      <c r="AC1800" s="12"/>
      <c r="AD1800" s="12"/>
      <c r="AF1800" s="12"/>
      <c r="AG1800" s="12"/>
    </row>
    <row r="1801" spans="29:33" x14ac:dyDescent="0.25">
      <c r="AC1801" s="12"/>
      <c r="AD1801" s="12"/>
      <c r="AF1801" s="12"/>
      <c r="AG1801" s="12"/>
    </row>
    <row r="1802" spans="29:33" x14ac:dyDescent="0.25">
      <c r="AC1802" s="12"/>
      <c r="AD1802" s="12"/>
      <c r="AF1802" s="12"/>
      <c r="AG1802" s="12"/>
    </row>
    <row r="1803" spans="29:33" x14ac:dyDescent="0.25">
      <c r="AC1803" s="12"/>
      <c r="AD1803" s="12"/>
      <c r="AF1803" s="12"/>
      <c r="AG1803" s="12"/>
    </row>
    <row r="1804" spans="29:33" x14ac:dyDescent="0.25">
      <c r="AC1804" s="12"/>
      <c r="AD1804" s="12"/>
      <c r="AF1804" s="12"/>
      <c r="AG1804" s="12"/>
    </row>
    <row r="1805" spans="29:33" x14ac:dyDescent="0.25">
      <c r="AC1805" s="12"/>
      <c r="AD1805" s="12"/>
      <c r="AF1805" s="12"/>
      <c r="AG1805" s="12"/>
    </row>
    <row r="1806" spans="29:33" x14ac:dyDescent="0.25">
      <c r="AC1806" s="12"/>
      <c r="AD1806" s="12"/>
      <c r="AF1806" s="12"/>
      <c r="AG1806" s="12"/>
    </row>
    <row r="1807" spans="29:33" x14ac:dyDescent="0.25">
      <c r="AC1807" s="12"/>
      <c r="AD1807" s="12"/>
      <c r="AF1807" s="12"/>
      <c r="AG1807" s="12"/>
    </row>
    <row r="1808" spans="29:33" x14ac:dyDescent="0.25">
      <c r="AC1808" s="12"/>
      <c r="AD1808" s="12"/>
      <c r="AF1808" s="12"/>
      <c r="AG1808" s="12"/>
    </row>
    <row r="1809" spans="29:33" x14ac:dyDescent="0.25">
      <c r="AC1809" s="12"/>
      <c r="AD1809" s="12"/>
      <c r="AF1809" s="12"/>
      <c r="AG1809" s="12"/>
    </row>
    <row r="1810" spans="29:33" x14ac:dyDescent="0.25">
      <c r="AC1810" s="12"/>
      <c r="AD1810" s="12"/>
      <c r="AF1810" s="12"/>
      <c r="AG1810" s="12"/>
    </row>
    <row r="1811" spans="29:33" x14ac:dyDescent="0.25">
      <c r="AC1811" s="12"/>
      <c r="AD1811" s="12"/>
      <c r="AF1811" s="12"/>
      <c r="AG1811" s="12"/>
    </row>
    <row r="1812" spans="29:33" x14ac:dyDescent="0.25">
      <c r="AC1812" s="12"/>
      <c r="AD1812" s="12"/>
      <c r="AF1812" s="12"/>
      <c r="AG1812" s="12"/>
    </row>
    <row r="1813" spans="29:33" x14ac:dyDescent="0.25">
      <c r="AC1813" s="12"/>
      <c r="AD1813" s="12"/>
      <c r="AF1813" s="12"/>
      <c r="AG1813" s="12"/>
    </row>
    <row r="1814" spans="29:33" x14ac:dyDescent="0.25">
      <c r="AC1814" s="12"/>
      <c r="AD1814" s="12"/>
      <c r="AF1814" s="12"/>
      <c r="AG1814" s="12"/>
    </row>
    <row r="1815" spans="29:33" x14ac:dyDescent="0.25">
      <c r="AC1815" s="12"/>
      <c r="AD1815" s="12"/>
      <c r="AF1815" s="12"/>
      <c r="AG1815" s="12"/>
    </row>
    <row r="1816" spans="29:33" x14ac:dyDescent="0.25">
      <c r="AC1816" s="12"/>
      <c r="AD1816" s="12"/>
      <c r="AF1816" s="12"/>
      <c r="AG1816" s="12"/>
    </row>
    <row r="1817" spans="29:33" x14ac:dyDescent="0.25">
      <c r="AC1817" s="12"/>
      <c r="AD1817" s="12"/>
      <c r="AF1817" s="12"/>
      <c r="AG1817" s="12"/>
    </row>
    <row r="1818" spans="29:33" x14ac:dyDescent="0.25">
      <c r="AC1818" s="12"/>
      <c r="AD1818" s="12"/>
      <c r="AF1818" s="12"/>
      <c r="AG1818" s="12"/>
    </row>
    <row r="1819" spans="29:33" x14ac:dyDescent="0.25">
      <c r="AC1819" s="12"/>
      <c r="AD1819" s="12"/>
      <c r="AF1819" s="12"/>
      <c r="AG1819" s="12"/>
    </row>
    <row r="1820" spans="29:33" x14ac:dyDescent="0.25">
      <c r="AC1820" s="12"/>
      <c r="AD1820" s="12"/>
      <c r="AF1820" s="12"/>
      <c r="AG1820" s="12"/>
    </row>
    <row r="1821" spans="29:33" x14ac:dyDescent="0.25">
      <c r="AC1821" s="12"/>
      <c r="AD1821" s="12"/>
      <c r="AF1821" s="12"/>
      <c r="AG1821" s="12"/>
    </row>
    <row r="1822" spans="29:33" x14ac:dyDescent="0.25">
      <c r="AC1822" s="12"/>
      <c r="AD1822" s="12"/>
      <c r="AF1822" s="12"/>
      <c r="AG1822" s="12"/>
    </row>
    <row r="1823" spans="29:33" x14ac:dyDescent="0.25">
      <c r="AC1823" s="12"/>
      <c r="AD1823" s="12"/>
      <c r="AF1823" s="12"/>
      <c r="AG1823" s="12"/>
    </row>
    <row r="1824" spans="29:33" x14ac:dyDescent="0.25">
      <c r="AC1824" s="12"/>
      <c r="AD1824" s="12"/>
      <c r="AF1824" s="12"/>
      <c r="AG1824" s="12"/>
    </row>
    <row r="1825" spans="29:33" x14ac:dyDescent="0.25">
      <c r="AC1825" s="12"/>
      <c r="AD1825" s="12"/>
      <c r="AF1825" s="12"/>
      <c r="AG1825" s="12"/>
    </row>
    <row r="1826" spans="29:33" x14ac:dyDescent="0.25">
      <c r="AC1826" s="12"/>
      <c r="AD1826" s="12"/>
      <c r="AF1826" s="12"/>
      <c r="AG1826" s="12"/>
    </row>
    <row r="1827" spans="29:33" x14ac:dyDescent="0.25">
      <c r="AC1827" s="12"/>
      <c r="AD1827" s="12"/>
      <c r="AF1827" s="12"/>
      <c r="AG1827" s="12"/>
    </row>
    <row r="1828" spans="29:33" x14ac:dyDescent="0.25">
      <c r="AC1828" s="12"/>
      <c r="AD1828" s="12"/>
      <c r="AF1828" s="12"/>
      <c r="AG1828" s="12"/>
    </row>
    <row r="1829" spans="29:33" x14ac:dyDescent="0.25">
      <c r="AC1829" s="12"/>
      <c r="AD1829" s="12"/>
      <c r="AF1829" s="12"/>
      <c r="AG1829" s="12"/>
    </row>
    <row r="1830" spans="29:33" x14ac:dyDescent="0.25">
      <c r="AC1830" s="12"/>
      <c r="AD1830" s="12"/>
      <c r="AF1830" s="12"/>
      <c r="AG1830" s="12"/>
    </row>
    <row r="1831" spans="29:33" x14ac:dyDescent="0.25">
      <c r="AC1831" s="12"/>
      <c r="AD1831" s="12"/>
      <c r="AF1831" s="12"/>
      <c r="AG1831" s="12"/>
    </row>
    <row r="1832" spans="29:33" x14ac:dyDescent="0.25">
      <c r="AC1832" s="12"/>
      <c r="AD1832" s="12"/>
      <c r="AF1832" s="12"/>
      <c r="AG1832" s="12"/>
    </row>
    <row r="1833" spans="29:33" x14ac:dyDescent="0.25">
      <c r="AC1833" s="12"/>
      <c r="AD1833" s="12"/>
      <c r="AF1833" s="12"/>
      <c r="AG1833" s="12"/>
    </row>
    <row r="1834" spans="29:33" x14ac:dyDescent="0.25">
      <c r="AC1834" s="12"/>
      <c r="AD1834" s="12"/>
      <c r="AF1834" s="12"/>
      <c r="AG1834" s="12"/>
    </row>
    <row r="1835" spans="29:33" x14ac:dyDescent="0.25">
      <c r="AC1835" s="12"/>
      <c r="AD1835" s="12"/>
      <c r="AF1835" s="12"/>
      <c r="AG1835" s="12"/>
    </row>
    <row r="1836" spans="29:33" x14ac:dyDescent="0.25">
      <c r="AC1836" s="12"/>
      <c r="AD1836" s="12"/>
      <c r="AF1836" s="12"/>
      <c r="AG1836" s="12"/>
    </row>
    <row r="1837" spans="29:33" x14ac:dyDescent="0.25">
      <c r="AC1837" s="12"/>
      <c r="AD1837" s="12"/>
      <c r="AF1837" s="12"/>
      <c r="AG1837" s="12"/>
    </row>
    <row r="1838" spans="29:33" x14ac:dyDescent="0.25">
      <c r="AC1838" s="12"/>
      <c r="AD1838" s="12"/>
      <c r="AF1838" s="12"/>
      <c r="AG1838" s="12"/>
    </row>
    <row r="1839" spans="29:33" x14ac:dyDescent="0.25">
      <c r="AC1839" s="12"/>
      <c r="AD1839" s="12"/>
      <c r="AF1839" s="12"/>
      <c r="AG1839" s="12"/>
    </row>
    <row r="1840" spans="29:33" x14ac:dyDescent="0.25">
      <c r="AC1840" s="12"/>
      <c r="AD1840" s="12"/>
      <c r="AF1840" s="12"/>
      <c r="AG1840" s="12"/>
    </row>
    <row r="1841" spans="29:33" x14ac:dyDescent="0.25">
      <c r="AC1841" s="12"/>
      <c r="AD1841" s="12"/>
      <c r="AF1841" s="12"/>
      <c r="AG1841" s="12"/>
    </row>
    <row r="1842" spans="29:33" x14ac:dyDescent="0.25">
      <c r="AC1842" s="12"/>
      <c r="AD1842" s="12"/>
      <c r="AF1842" s="12"/>
      <c r="AG1842" s="12"/>
    </row>
    <row r="1843" spans="29:33" x14ac:dyDescent="0.25">
      <c r="AC1843" s="12"/>
      <c r="AD1843" s="12"/>
      <c r="AF1843" s="12"/>
      <c r="AG1843" s="12"/>
    </row>
    <row r="1844" spans="29:33" x14ac:dyDescent="0.25">
      <c r="AC1844" s="12"/>
      <c r="AD1844" s="12"/>
      <c r="AF1844" s="12"/>
      <c r="AG1844" s="12"/>
    </row>
    <row r="1845" spans="29:33" x14ac:dyDescent="0.25">
      <c r="AC1845" s="12"/>
      <c r="AD1845" s="12"/>
      <c r="AF1845" s="12"/>
      <c r="AG1845" s="12"/>
    </row>
    <row r="1846" spans="29:33" x14ac:dyDescent="0.25">
      <c r="AC1846" s="12"/>
      <c r="AD1846" s="12"/>
      <c r="AF1846" s="12"/>
      <c r="AG1846" s="12"/>
    </row>
    <row r="1847" spans="29:33" x14ac:dyDescent="0.25">
      <c r="AC1847" s="12"/>
      <c r="AD1847" s="12"/>
      <c r="AF1847" s="12"/>
      <c r="AG1847" s="12"/>
    </row>
    <row r="1848" spans="29:33" x14ac:dyDescent="0.25">
      <c r="AC1848" s="12"/>
      <c r="AD1848" s="12"/>
      <c r="AF1848" s="12"/>
      <c r="AG1848" s="12"/>
    </row>
    <row r="1849" spans="29:33" x14ac:dyDescent="0.25">
      <c r="AC1849" s="12"/>
      <c r="AD1849" s="12"/>
      <c r="AF1849" s="12"/>
      <c r="AG1849" s="12"/>
    </row>
    <row r="1850" spans="29:33" x14ac:dyDescent="0.25">
      <c r="AC1850" s="12"/>
      <c r="AD1850" s="12"/>
      <c r="AF1850" s="12"/>
      <c r="AG1850" s="12"/>
    </row>
    <row r="1851" spans="29:33" x14ac:dyDescent="0.25">
      <c r="AC1851" s="12"/>
      <c r="AD1851" s="12"/>
      <c r="AF1851" s="12"/>
      <c r="AG1851" s="12"/>
    </row>
    <row r="1852" spans="29:33" x14ac:dyDescent="0.25">
      <c r="AC1852" s="12"/>
      <c r="AD1852" s="12"/>
      <c r="AF1852" s="12"/>
      <c r="AG1852" s="12"/>
    </row>
    <row r="1853" spans="29:33" x14ac:dyDescent="0.25">
      <c r="AC1853" s="12"/>
      <c r="AD1853" s="12"/>
      <c r="AF1853" s="12"/>
      <c r="AG1853" s="12"/>
    </row>
    <row r="1854" spans="29:33" x14ac:dyDescent="0.25">
      <c r="AC1854" s="12"/>
      <c r="AD1854" s="12"/>
      <c r="AF1854" s="12"/>
      <c r="AG1854" s="12"/>
    </row>
    <row r="1855" spans="29:33" x14ac:dyDescent="0.25">
      <c r="AC1855" s="12"/>
      <c r="AD1855" s="12"/>
      <c r="AF1855" s="12"/>
      <c r="AG1855" s="12"/>
    </row>
    <row r="1856" spans="29:33" x14ac:dyDescent="0.25">
      <c r="AC1856" s="12"/>
      <c r="AD1856" s="12"/>
      <c r="AF1856" s="12"/>
      <c r="AG1856" s="12"/>
    </row>
    <row r="1857" spans="29:33" x14ac:dyDescent="0.25">
      <c r="AC1857" s="12"/>
      <c r="AD1857" s="12"/>
      <c r="AF1857" s="12"/>
      <c r="AG1857" s="12"/>
    </row>
    <row r="1858" spans="29:33" x14ac:dyDescent="0.25">
      <c r="AC1858" s="12"/>
      <c r="AD1858" s="12"/>
      <c r="AF1858" s="12"/>
      <c r="AG1858" s="12"/>
    </row>
    <row r="1859" spans="29:33" x14ac:dyDescent="0.25">
      <c r="AC1859" s="12"/>
      <c r="AD1859" s="12"/>
      <c r="AF1859" s="12"/>
      <c r="AG1859" s="12"/>
    </row>
    <row r="1860" spans="29:33" x14ac:dyDescent="0.25">
      <c r="AC1860" s="12"/>
      <c r="AD1860" s="12"/>
      <c r="AF1860" s="12"/>
      <c r="AG1860" s="12"/>
    </row>
    <row r="1861" spans="29:33" x14ac:dyDescent="0.25">
      <c r="AC1861" s="12"/>
      <c r="AD1861" s="12"/>
      <c r="AF1861" s="12"/>
      <c r="AG1861" s="12"/>
    </row>
    <row r="1862" spans="29:33" x14ac:dyDescent="0.25">
      <c r="AC1862" s="12"/>
      <c r="AD1862" s="12"/>
      <c r="AF1862" s="12"/>
      <c r="AG1862" s="12"/>
    </row>
    <row r="1863" spans="29:33" x14ac:dyDescent="0.25">
      <c r="AC1863" s="12"/>
      <c r="AD1863" s="12"/>
      <c r="AF1863" s="12"/>
      <c r="AG1863" s="12"/>
    </row>
    <row r="1864" spans="29:33" x14ac:dyDescent="0.25">
      <c r="AC1864" s="12"/>
      <c r="AD1864" s="12"/>
      <c r="AF1864" s="12"/>
      <c r="AG1864" s="12"/>
    </row>
    <row r="1865" spans="29:33" x14ac:dyDescent="0.25">
      <c r="AC1865" s="12"/>
      <c r="AD1865" s="12"/>
      <c r="AF1865" s="12"/>
      <c r="AG1865" s="12"/>
    </row>
    <row r="1866" spans="29:33" x14ac:dyDescent="0.25">
      <c r="AC1866" s="12"/>
      <c r="AD1866" s="12"/>
      <c r="AF1866" s="12"/>
      <c r="AG1866" s="12"/>
    </row>
    <row r="1867" spans="29:33" x14ac:dyDescent="0.25">
      <c r="AC1867" s="12"/>
      <c r="AD1867" s="12"/>
      <c r="AF1867" s="12"/>
      <c r="AG1867" s="12"/>
    </row>
    <row r="1868" spans="29:33" x14ac:dyDescent="0.25">
      <c r="AC1868" s="12"/>
      <c r="AD1868" s="12"/>
      <c r="AF1868" s="12"/>
      <c r="AG1868" s="12"/>
    </row>
    <row r="1869" spans="29:33" x14ac:dyDescent="0.25">
      <c r="AC1869" s="12"/>
      <c r="AD1869" s="12"/>
      <c r="AF1869" s="12"/>
      <c r="AG1869" s="12"/>
    </row>
    <row r="1870" spans="29:33" x14ac:dyDescent="0.25">
      <c r="AC1870" s="12"/>
      <c r="AD1870" s="12"/>
      <c r="AF1870" s="12"/>
      <c r="AG1870" s="12"/>
    </row>
    <row r="1871" spans="29:33" x14ac:dyDescent="0.25">
      <c r="AC1871" s="12"/>
      <c r="AD1871" s="12"/>
      <c r="AF1871" s="12"/>
      <c r="AG1871" s="12"/>
    </row>
    <row r="1872" spans="29:33" x14ac:dyDescent="0.25">
      <c r="AC1872" s="12"/>
      <c r="AD1872" s="12"/>
      <c r="AF1872" s="12"/>
      <c r="AG1872" s="12"/>
    </row>
    <row r="1873" spans="29:33" x14ac:dyDescent="0.25">
      <c r="AC1873" s="12"/>
      <c r="AD1873" s="12"/>
      <c r="AF1873" s="12"/>
      <c r="AG1873" s="12"/>
    </row>
    <row r="1874" spans="29:33" x14ac:dyDescent="0.25">
      <c r="AC1874" s="12"/>
      <c r="AD1874" s="12"/>
      <c r="AF1874" s="12"/>
      <c r="AG1874" s="12"/>
    </row>
    <row r="1875" spans="29:33" x14ac:dyDescent="0.25">
      <c r="AC1875" s="12"/>
      <c r="AD1875" s="12"/>
      <c r="AF1875" s="12"/>
      <c r="AG1875" s="12"/>
    </row>
    <row r="1876" spans="29:33" x14ac:dyDescent="0.25">
      <c r="AC1876" s="12"/>
      <c r="AD1876" s="12"/>
      <c r="AF1876" s="12"/>
      <c r="AG1876" s="12"/>
    </row>
    <row r="1877" spans="29:33" x14ac:dyDescent="0.25">
      <c r="AC1877" s="12"/>
      <c r="AD1877" s="12"/>
      <c r="AF1877" s="12"/>
      <c r="AG1877" s="12"/>
    </row>
    <row r="1878" spans="29:33" x14ac:dyDescent="0.25">
      <c r="AC1878" s="12"/>
      <c r="AD1878" s="12"/>
      <c r="AF1878" s="12"/>
      <c r="AG1878" s="12"/>
    </row>
    <row r="1879" spans="29:33" x14ac:dyDescent="0.25">
      <c r="AC1879" s="12"/>
      <c r="AD1879" s="12"/>
      <c r="AF1879" s="12"/>
      <c r="AG1879" s="12"/>
    </row>
    <row r="1880" spans="29:33" x14ac:dyDescent="0.25">
      <c r="AC1880" s="12"/>
      <c r="AD1880" s="12"/>
      <c r="AF1880" s="12"/>
      <c r="AG1880" s="12"/>
    </row>
    <row r="1881" spans="29:33" x14ac:dyDescent="0.25">
      <c r="AC1881" s="12"/>
      <c r="AD1881" s="12"/>
      <c r="AF1881" s="12"/>
      <c r="AG1881" s="12"/>
    </row>
    <row r="1882" spans="29:33" x14ac:dyDescent="0.25">
      <c r="AC1882" s="12"/>
      <c r="AD1882" s="12"/>
      <c r="AF1882" s="12"/>
      <c r="AG1882" s="12"/>
    </row>
    <row r="1883" spans="29:33" x14ac:dyDescent="0.25">
      <c r="AC1883" s="12"/>
      <c r="AD1883" s="12"/>
      <c r="AF1883" s="12"/>
      <c r="AG1883" s="12"/>
    </row>
    <row r="1884" spans="29:33" x14ac:dyDescent="0.25">
      <c r="AC1884" s="12"/>
      <c r="AD1884" s="12"/>
      <c r="AF1884" s="12"/>
      <c r="AG1884" s="12"/>
    </row>
    <row r="1885" spans="29:33" x14ac:dyDescent="0.25">
      <c r="AC1885" s="12"/>
      <c r="AD1885" s="12"/>
      <c r="AF1885" s="12"/>
      <c r="AG1885" s="12"/>
    </row>
    <row r="1886" spans="29:33" x14ac:dyDescent="0.25">
      <c r="AC1886" s="12"/>
      <c r="AD1886" s="12"/>
      <c r="AF1886" s="12"/>
      <c r="AG1886" s="12"/>
    </row>
    <row r="1887" spans="29:33" x14ac:dyDescent="0.25">
      <c r="AC1887" s="12"/>
      <c r="AD1887" s="12"/>
      <c r="AF1887" s="12"/>
      <c r="AG1887" s="12"/>
    </row>
    <row r="1888" spans="29:33" x14ac:dyDescent="0.25">
      <c r="AC1888" s="12"/>
      <c r="AD1888" s="12"/>
      <c r="AF1888" s="12"/>
      <c r="AG1888" s="12"/>
    </row>
    <row r="1889" spans="29:33" x14ac:dyDescent="0.25">
      <c r="AC1889" s="12"/>
      <c r="AD1889" s="12"/>
      <c r="AF1889" s="12"/>
      <c r="AG1889" s="12"/>
    </row>
    <row r="1890" spans="29:33" x14ac:dyDescent="0.25">
      <c r="AC1890" s="12"/>
      <c r="AD1890" s="12"/>
      <c r="AF1890" s="12"/>
      <c r="AG1890" s="12"/>
    </row>
    <row r="1891" spans="29:33" x14ac:dyDescent="0.25">
      <c r="AC1891" s="12"/>
      <c r="AD1891" s="12"/>
      <c r="AF1891" s="12"/>
      <c r="AG1891" s="12"/>
    </row>
    <row r="1892" spans="29:33" x14ac:dyDescent="0.25">
      <c r="AC1892" s="12"/>
      <c r="AD1892" s="12"/>
      <c r="AF1892" s="12"/>
      <c r="AG1892" s="12"/>
    </row>
    <row r="1893" spans="29:33" x14ac:dyDescent="0.25">
      <c r="AC1893" s="12"/>
      <c r="AD1893" s="12"/>
      <c r="AF1893" s="12"/>
      <c r="AG1893" s="12"/>
    </row>
    <row r="1894" spans="29:33" x14ac:dyDescent="0.25">
      <c r="AC1894" s="12"/>
      <c r="AD1894" s="12"/>
      <c r="AF1894" s="12"/>
      <c r="AG1894" s="12"/>
    </row>
    <row r="1895" spans="29:33" x14ac:dyDescent="0.25">
      <c r="AC1895" s="12"/>
      <c r="AD1895" s="12"/>
      <c r="AF1895" s="12"/>
      <c r="AG1895" s="12"/>
    </row>
    <row r="1896" spans="29:33" x14ac:dyDescent="0.25">
      <c r="AC1896" s="12"/>
      <c r="AD1896" s="12"/>
      <c r="AF1896" s="12"/>
      <c r="AG1896" s="12"/>
    </row>
    <row r="1897" spans="29:33" x14ac:dyDescent="0.25">
      <c r="AC1897" s="12"/>
      <c r="AD1897" s="12"/>
      <c r="AF1897" s="12"/>
      <c r="AG1897" s="12"/>
    </row>
    <row r="1898" spans="29:33" x14ac:dyDescent="0.25">
      <c r="AC1898" s="12"/>
      <c r="AD1898" s="12"/>
      <c r="AF1898" s="12"/>
      <c r="AG1898" s="12"/>
    </row>
    <row r="1899" spans="29:33" x14ac:dyDescent="0.25">
      <c r="AC1899" s="12"/>
      <c r="AD1899" s="12"/>
      <c r="AF1899" s="12"/>
      <c r="AG1899" s="12"/>
    </row>
    <row r="1900" spans="29:33" x14ac:dyDescent="0.25">
      <c r="AC1900" s="12"/>
      <c r="AD1900" s="12"/>
      <c r="AF1900" s="12"/>
      <c r="AG1900" s="12"/>
    </row>
    <row r="1901" spans="29:33" x14ac:dyDescent="0.25">
      <c r="AC1901" s="12"/>
      <c r="AD1901" s="12"/>
      <c r="AF1901" s="12"/>
      <c r="AG1901" s="12"/>
    </row>
    <row r="1902" spans="29:33" x14ac:dyDescent="0.25">
      <c r="AC1902" s="12"/>
      <c r="AD1902" s="12"/>
      <c r="AF1902" s="12"/>
      <c r="AG1902" s="12"/>
    </row>
    <row r="1903" spans="29:33" x14ac:dyDescent="0.25">
      <c r="AC1903" s="12"/>
      <c r="AD1903" s="12"/>
      <c r="AF1903" s="12"/>
      <c r="AG1903" s="12"/>
    </row>
    <row r="1904" spans="29:33" x14ac:dyDescent="0.25">
      <c r="AC1904" s="12"/>
      <c r="AD1904" s="12"/>
      <c r="AF1904" s="12"/>
      <c r="AG1904" s="12"/>
    </row>
    <row r="1905" spans="29:33" x14ac:dyDescent="0.25">
      <c r="AC1905" s="12"/>
      <c r="AD1905" s="12"/>
      <c r="AF1905" s="12"/>
      <c r="AG1905" s="12"/>
    </row>
    <row r="1906" spans="29:33" x14ac:dyDescent="0.25">
      <c r="AC1906" s="12"/>
      <c r="AD1906" s="12"/>
      <c r="AF1906" s="12"/>
      <c r="AG1906" s="12"/>
    </row>
    <row r="1907" spans="29:33" x14ac:dyDescent="0.25">
      <c r="AC1907" s="12"/>
      <c r="AD1907" s="12"/>
      <c r="AF1907" s="12"/>
      <c r="AG1907" s="12"/>
    </row>
    <row r="1908" spans="29:33" x14ac:dyDescent="0.25">
      <c r="AC1908" s="12"/>
      <c r="AD1908" s="12"/>
      <c r="AF1908" s="12"/>
      <c r="AG1908" s="12"/>
    </row>
    <row r="1909" spans="29:33" x14ac:dyDescent="0.25">
      <c r="AC1909" s="12"/>
      <c r="AD1909" s="12"/>
      <c r="AF1909" s="12"/>
      <c r="AG1909" s="12"/>
    </row>
    <row r="1910" spans="29:33" x14ac:dyDescent="0.25">
      <c r="AC1910" s="12"/>
      <c r="AD1910" s="12"/>
      <c r="AF1910" s="12"/>
      <c r="AG1910" s="12"/>
    </row>
    <row r="1911" spans="29:33" x14ac:dyDescent="0.25">
      <c r="AC1911" s="12"/>
      <c r="AD1911" s="12"/>
      <c r="AF1911" s="12"/>
      <c r="AG1911" s="12"/>
    </row>
    <row r="1912" spans="29:33" x14ac:dyDescent="0.25">
      <c r="AC1912" s="12"/>
      <c r="AD1912" s="12"/>
      <c r="AF1912" s="12"/>
      <c r="AG1912" s="12"/>
    </row>
    <row r="1913" spans="29:33" x14ac:dyDescent="0.25">
      <c r="AC1913" s="12"/>
      <c r="AD1913" s="12"/>
      <c r="AF1913" s="12"/>
      <c r="AG1913" s="12"/>
    </row>
    <row r="1914" spans="29:33" x14ac:dyDescent="0.25">
      <c r="AC1914" s="12"/>
      <c r="AD1914" s="12"/>
      <c r="AF1914" s="12"/>
      <c r="AG1914" s="12"/>
    </row>
    <row r="1915" spans="29:33" x14ac:dyDescent="0.25">
      <c r="AC1915" s="12"/>
      <c r="AD1915" s="12"/>
      <c r="AF1915" s="12"/>
      <c r="AG1915" s="12"/>
    </row>
    <row r="1916" spans="29:33" x14ac:dyDescent="0.25">
      <c r="AC1916" s="12"/>
      <c r="AD1916" s="12"/>
      <c r="AF1916" s="12"/>
      <c r="AG1916" s="12"/>
    </row>
    <row r="1917" spans="29:33" x14ac:dyDescent="0.25">
      <c r="AC1917" s="12"/>
      <c r="AD1917" s="12"/>
      <c r="AF1917" s="12"/>
      <c r="AG1917" s="12"/>
    </row>
    <row r="1918" spans="29:33" x14ac:dyDescent="0.25">
      <c r="AC1918" s="12"/>
      <c r="AD1918" s="12"/>
      <c r="AF1918" s="12"/>
      <c r="AG1918" s="12"/>
    </row>
    <row r="1919" spans="29:33" x14ac:dyDescent="0.25">
      <c r="AC1919" s="12"/>
      <c r="AD1919" s="12"/>
      <c r="AF1919" s="12"/>
      <c r="AG1919" s="12"/>
    </row>
    <row r="1920" spans="29:33" x14ac:dyDescent="0.25">
      <c r="AC1920" s="12"/>
      <c r="AD1920" s="12"/>
      <c r="AF1920" s="12"/>
      <c r="AG1920" s="12"/>
    </row>
    <row r="1921" spans="29:33" x14ac:dyDescent="0.25">
      <c r="AC1921" s="12"/>
      <c r="AD1921" s="12"/>
      <c r="AF1921" s="12"/>
      <c r="AG1921" s="12"/>
    </row>
    <row r="1922" spans="29:33" x14ac:dyDescent="0.25">
      <c r="AC1922" s="12"/>
      <c r="AD1922" s="12"/>
      <c r="AF1922" s="12"/>
      <c r="AG1922" s="12"/>
    </row>
    <row r="1923" spans="29:33" x14ac:dyDescent="0.25">
      <c r="AC1923" s="12"/>
      <c r="AD1923" s="12"/>
      <c r="AF1923" s="12"/>
      <c r="AG1923" s="12"/>
    </row>
    <row r="1924" spans="29:33" x14ac:dyDescent="0.25">
      <c r="AC1924" s="12"/>
      <c r="AD1924" s="12"/>
      <c r="AF1924" s="12"/>
      <c r="AG1924" s="12"/>
    </row>
    <row r="1925" spans="29:33" x14ac:dyDescent="0.25">
      <c r="AC1925" s="12"/>
      <c r="AD1925" s="12"/>
      <c r="AF1925" s="12"/>
      <c r="AG1925" s="12"/>
    </row>
    <row r="1926" spans="29:33" x14ac:dyDescent="0.25">
      <c r="AC1926" s="12"/>
      <c r="AD1926" s="12"/>
      <c r="AF1926" s="12"/>
      <c r="AG1926" s="12"/>
    </row>
    <row r="1927" spans="29:33" x14ac:dyDescent="0.25">
      <c r="AC1927" s="12"/>
      <c r="AD1927" s="12"/>
      <c r="AF1927" s="12"/>
      <c r="AG1927" s="12"/>
    </row>
    <row r="1928" spans="29:33" x14ac:dyDescent="0.25">
      <c r="AC1928" s="12"/>
      <c r="AD1928" s="12"/>
      <c r="AF1928" s="12"/>
      <c r="AG1928" s="12"/>
    </row>
    <row r="1929" spans="29:33" x14ac:dyDescent="0.25">
      <c r="AC1929" s="12"/>
      <c r="AD1929" s="12"/>
      <c r="AF1929" s="12"/>
      <c r="AG1929" s="12"/>
    </row>
    <row r="1930" spans="29:33" x14ac:dyDescent="0.25">
      <c r="AC1930" s="12"/>
      <c r="AD1930" s="12"/>
      <c r="AF1930" s="12"/>
      <c r="AG1930" s="12"/>
    </row>
    <row r="1931" spans="29:33" x14ac:dyDescent="0.25">
      <c r="AC1931" s="12"/>
      <c r="AD1931" s="12"/>
      <c r="AF1931" s="12"/>
      <c r="AG1931" s="12"/>
    </row>
    <row r="1932" spans="29:33" x14ac:dyDescent="0.25">
      <c r="AC1932" s="12"/>
      <c r="AD1932" s="12"/>
      <c r="AF1932" s="12"/>
      <c r="AG1932" s="12"/>
    </row>
    <row r="1933" spans="29:33" x14ac:dyDescent="0.25">
      <c r="AC1933" s="12"/>
      <c r="AD1933" s="12"/>
      <c r="AF1933" s="12"/>
      <c r="AG1933" s="12"/>
    </row>
    <row r="1934" spans="29:33" x14ac:dyDescent="0.25">
      <c r="AC1934" s="12"/>
      <c r="AD1934" s="12"/>
      <c r="AF1934" s="12"/>
      <c r="AG1934" s="12"/>
    </row>
    <row r="1935" spans="29:33" x14ac:dyDescent="0.25">
      <c r="AC1935" s="12"/>
      <c r="AD1935" s="12"/>
      <c r="AF1935" s="12"/>
      <c r="AG1935" s="12"/>
    </row>
    <row r="1936" spans="29:33" x14ac:dyDescent="0.25">
      <c r="AC1936" s="12"/>
      <c r="AD1936" s="12"/>
      <c r="AF1936" s="12"/>
      <c r="AG1936" s="12"/>
    </row>
    <row r="1937" spans="29:33" x14ac:dyDescent="0.25">
      <c r="AC1937" s="12"/>
      <c r="AD1937" s="12"/>
      <c r="AF1937" s="12"/>
      <c r="AG1937" s="12"/>
    </row>
    <row r="1938" spans="29:33" x14ac:dyDescent="0.25">
      <c r="AC1938" s="12"/>
      <c r="AD1938" s="12"/>
      <c r="AF1938" s="12"/>
      <c r="AG1938" s="12"/>
    </row>
    <row r="1939" spans="29:33" x14ac:dyDescent="0.25">
      <c r="AC1939" s="12"/>
      <c r="AD1939" s="12"/>
      <c r="AF1939" s="12"/>
      <c r="AG1939" s="12"/>
    </row>
    <row r="1940" spans="29:33" x14ac:dyDescent="0.25">
      <c r="AC1940" s="12"/>
      <c r="AD1940" s="12"/>
      <c r="AF1940" s="12"/>
      <c r="AG1940" s="12"/>
    </row>
    <row r="1941" spans="29:33" x14ac:dyDescent="0.25">
      <c r="AC1941" s="12"/>
      <c r="AD1941" s="12"/>
      <c r="AF1941" s="12"/>
      <c r="AG1941" s="12"/>
    </row>
    <row r="1942" spans="29:33" x14ac:dyDescent="0.25">
      <c r="AC1942" s="12"/>
      <c r="AD1942" s="12"/>
      <c r="AF1942" s="12"/>
      <c r="AG1942" s="12"/>
    </row>
    <row r="1943" spans="29:33" x14ac:dyDescent="0.25">
      <c r="AC1943" s="12"/>
      <c r="AD1943" s="12"/>
      <c r="AF1943" s="12"/>
      <c r="AG1943" s="12"/>
    </row>
    <row r="1944" spans="29:33" x14ac:dyDescent="0.25">
      <c r="AC1944" s="12"/>
      <c r="AD1944" s="12"/>
      <c r="AF1944" s="12"/>
      <c r="AG1944" s="12"/>
    </row>
    <row r="1945" spans="29:33" x14ac:dyDescent="0.25">
      <c r="AC1945" s="12"/>
      <c r="AD1945" s="12"/>
      <c r="AF1945" s="12"/>
      <c r="AG1945" s="12"/>
    </row>
    <row r="1946" spans="29:33" x14ac:dyDescent="0.25">
      <c r="AC1946" s="12"/>
      <c r="AD1946" s="12"/>
      <c r="AF1946" s="12"/>
      <c r="AG1946" s="12"/>
    </row>
    <row r="1947" spans="29:33" x14ac:dyDescent="0.25">
      <c r="AC1947" s="12"/>
      <c r="AD1947" s="12"/>
      <c r="AF1947" s="12"/>
      <c r="AG1947" s="12"/>
    </row>
    <row r="1948" spans="29:33" x14ac:dyDescent="0.25">
      <c r="AC1948" s="12"/>
      <c r="AD1948" s="12"/>
      <c r="AF1948" s="12"/>
      <c r="AG1948" s="12"/>
    </row>
    <row r="1949" spans="29:33" x14ac:dyDescent="0.25">
      <c r="AC1949" s="12"/>
      <c r="AD1949" s="12"/>
      <c r="AF1949" s="12"/>
      <c r="AG1949" s="12"/>
    </row>
    <row r="1950" spans="29:33" x14ac:dyDescent="0.25">
      <c r="AC1950" s="12"/>
      <c r="AD1950" s="12"/>
      <c r="AF1950" s="12"/>
      <c r="AG1950" s="12"/>
    </row>
    <row r="1951" spans="29:33" x14ac:dyDescent="0.25">
      <c r="AC1951" s="12"/>
      <c r="AD1951" s="12"/>
      <c r="AF1951" s="12"/>
      <c r="AG1951" s="12"/>
    </row>
    <row r="1952" spans="29:33" x14ac:dyDescent="0.25">
      <c r="AC1952" s="12"/>
      <c r="AD1952" s="12"/>
      <c r="AF1952" s="12"/>
      <c r="AG1952" s="12"/>
    </row>
    <row r="1953" spans="29:33" x14ac:dyDescent="0.25">
      <c r="AC1953" s="12"/>
      <c r="AD1953" s="12"/>
      <c r="AF1953" s="12"/>
      <c r="AG1953" s="12"/>
    </row>
    <row r="1954" spans="29:33" x14ac:dyDescent="0.25">
      <c r="AC1954" s="12"/>
      <c r="AD1954" s="12"/>
      <c r="AF1954" s="12"/>
      <c r="AG1954" s="12"/>
    </row>
    <row r="1955" spans="29:33" x14ac:dyDescent="0.25">
      <c r="AC1955" s="12"/>
      <c r="AD1955" s="12"/>
      <c r="AF1955" s="12"/>
      <c r="AG1955" s="12"/>
    </row>
    <row r="1956" spans="29:33" x14ac:dyDescent="0.25">
      <c r="AC1956" s="12"/>
      <c r="AD1956" s="12"/>
      <c r="AF1956" s="12"/>
      <c r="AG1956" s="12"/>
    </row>
    <row r="1957" spans="29:33" x14ac:dyDescent="0.25">
      <c r="AC1957" s="12"/>
      <c r="AD1957" s="12"/>
      <c r="AF1957" s="12"/>
      <c r="AG1957" s="12"/>
    </row>
    <row r="1958" spans="29:33" x14ac:dyDescent="0.25">
      <c r="AC1958" s="12"/>
      <c r="AD1958" s="12"/>
      <c r="AF1958" s="12"/>
      <c r="AG1958" s="12"/>
    </row>
    <row r="1959" spans="29:33" x14ac:dyDescent="0.25">
      <c r="AC1959" s="12"/>
      <c r="AD1959" s="12"/>
      <c r="AF1959" s="12"/>
      <c r="AG1959" s="12"/>
    </row>
    <row r="1960" spans="29:33" x14ac:dyDescent="0.25">
      <c r="AC1960" s="12"/>
      <c r="AD1960" s="12"/>
      <c r="AF1960" s="12"/>
      <c r="AG1960" s="12"/>
    </row>
    <row r="1961" spans="29:33" x14ac:dyDescent="0.25">
      <c r="AC1961" s="12"/>
      <c r="AD1961" s="12"/>
      <c r="AF1961" s="12"/>
      <c r="AG1961" s="12"/>
    </row>
    <row r="1962" spans="29:33" x14ac:dyDescent="0.25">
      <c r="AC1962" s="12"/>
      <c r="AD1962" s="12"/>
      <c r="AF1962" s="12"/>
      <c r="AG1962" s="12"/>
    </row>
    <row r="1963" spans="29:33" x14ac:dyDescent="0.25">
      <c r="AC1963" s="12"/>
      <c r="AD1963" s="12"/>
      <c r="AF1963" s="12"/>
      <c r="AG1963" s="12"/>
    </row>
    <row r="1964" spans="29:33" x14ac:dyDescent="0.25">
      <c r="AC1964" s="12"/>
      <c r="AD1964" s="12"/>
      <c r="AF1964" s="12"/>
      <c r="AG1964" s="12"/>
    </row>
    <row r="1965" spans="29:33" x14ac:dyDescent="0.25">
      <c r="AC1965" s="12"/>
      <c r="AD1965" s="12"/>
      <c r="AF1965" s="12"/>
      <c r="AG1965" s="12"/>
    </row>
    <row r="1966" spans="29:33" x14ac:dyDescent="0.25">
      <c r="AC1966" s="12"/>
      <c r="AD1966" s="12"/>
      <c r="AF1966" s="12"/>
      <c r="AG1966" s="12"/>
    </row>
    <row r="1967" spans="29:33" x14ac:dyDescent="0.25">
      <c r="AC1967" s="12"/>
      <c r="AD1967" s="12"/>
      <c r="AF1967" s="12"/>
      <c r="AG1967" s="12"/>
    </row>
    <row r="1968" spans="29:33" x14ac:dyDescent="0.25">
      <c r="AC1968" s="12"/>
      <c r="AD1968" s="12"/>
      <c r="AF1968" s="12"/>
      <c r="AG1968" s="12"/>
    </row>
    <row r="1969" spans="29:33" x14ac:dyDescent="0.25">
      <c r="AC1969" s="12"/>
      <c r="AD1969" s="12"/>
      <c r="AF1969" s="12"/>
      <c r="AG1969" s="12"/>
    </row>
    <row r="1970" spans="29:33" x14ac:dyDescent="0.25">
      <c r="AC1970" s="12"/>
      <c r="AD1970" s="12"/>
      <c r="AF1970" s="12"/>
      <c r="AG1970" s="12"/>
    </row>
    <row r="1971" spans="29:33" x14ac:dyDescent="0.25">
      <c r="AC1971" s="12"/>
      <c r="AD1971" s="12"/>
      <c r="AF1971" s="12"/>
      <c r="AG1971" s="12"/>
    </row>
    <row r="1972" spans="29:33" x14ac:dyDescent="0.25">
      <c r="AC1972" s="12"/>
      <c r="AD1972" s="12"/>
      <c r="AF1972" s="12"/>
      <c r="AG1972" s="12"/>
    </row>
    <row r="1973" spans="29:33" x14ac:dyDescent="0.25">
      <c r="AC1973" s="12"/>
      <c r="AD1973" s="12"/>
      <c r="AF1973" s="12"/>
      <c r="AG1973" s="12"/>
    </row>
    <row r="1974" spans="29:33" x14ac:dyDescent="0.25">
      <c r="AC1974" s="12"/>
      <c r="AD1974" s="12"/>
      <c r="AF1974" s="12"/>
      <c r="AG1974" s="12"/>
    </row>
    <row r="1975" spans="29:33" x14ac:dyDescent="0.25">
      <c r="AC1975" s="12"/>
      <c r="AD1975" s="12"/>
      <c r="AF1975" s="12"/>
      <c r="AG1975" s="12"/>
    </row>
    <row r="1976" spans="29:33" x14ac:dyDescent="0.25">
      <c r="AC1976" s="12"/>
      <c r="AD1976" s="12"/>
      <c r="AF1976" s="12"/>
      <c r="AG1976" s="12"/>
    </row>
    <row r="1977" spans="29:33" x14ac:dyDescent="0.25">
      <c r="AC1977" s="12"/>
      <c r="AD1977" s="12"/>
      <c r="AF1977" s="12"/>
      <c r="AG1977" s="12"/>
    </row>
    <row r="1978" spans="29:33" x14ac:dyDescent="0.25">
      <c r="AC1978" s="12"/>
      <c r="AD1978" s="12"/>
      <c r="AF1978" s="12"/>
      <c r="AG1978" s="12"/>
    </row>
    <row r="1979" spans="29:33" x14ac:dyDescent="0.25">
      <c r="AC1979" s="12"/>
      <c r="AD1979" s="12"/>
      <c r="AF1979" s="12"/>
      <c r="AG1979" s="12"/>
    </row>
    <row r="1980" spans="29:33" x14ac:dyDescent="0.25">
      <c r="AC1980" s="12"/>
      <c r="AD1980" s="12"/>
      <c r="AF1980" s="12"/>
      <c r="AG1980" s="12"/>
    </row>
    <row r="1981" spans="29:33" x14ac:dyDescent="0.25">
      <c r="AC1981" s="12"/>
      <c r="AD1981" s="12"/>
      <c r="AF1981" s="12"/>
      <c r="AG1981" s="12"/>
    </row>
    <row r="1982" spans="29:33" x14ac:dyDescent="0.25">
      <c r="AC1982" s="12"/>
      <c r="AD1982" s="12"/>
      <c r="AF1982" s="12"/>
      <c r="AG1982" s="12"/>
    </row>
    <row r="1983" spans="29:33" x14ac:dyDescent="0.25">
      <c r="AC1983" s="12"/>
      <c r="AD1983" s="12"/>
      <c r="AF1983" s="12"/>
      <c r="AG1983" s="12"/>
    </row>
    <row r="1984" spans="29:33" x14ac:dyDescent="0.25">
      <c r="AC1984" s="12"/>
      <c r="AD1984" s="12"/>
      <c r="AF1984" s="12"/>
      <c r="AG1984" s="12"/>
    </row>
    <row r="1985" spans="29:33" x14ac:dyDescent="0.25">
      <c r="AC1985" s="12"/>
      <c r="AD1985" s="12"/>
      <c r="AF1985" s="12"/>
      <c r="AG1985" s="12"/>
    </row>
    <row r="1986" spans="29:33" x14ac:dyDescent="0.25">
      <c r="AC1986" s="12"/>
      <c r="AD1986" s="12"/>
      <c r="AF1986" s="12"/>
      <c r="AG1986" s="12"/>
    </row>
    <row r="1987" spans="29:33" x14ac:dyDescent="0.25">
      <c r="AC1987" s="12"/>
      <c r="AD1987" s="12"/>
      <c r="AF1987" s="12"/>
      <c r="AG1987" s="12"/>
    </row>
    <row r="1988" spans="29:33" x14ac:dyDescent="0.25">
      <c r="AC1988" s="12"/>
      <c r="AD1988" s="12"/>
      <c r="AF1988" s="12"/>
      <c r="AG1988" s="12"/>
    </row>
    <row r="1989" spans="29:33" x14ac:dyDescent="0.25">
      <c r="AC1989" s="12"/>
      <c r="AD1989" s="12"/>
      <c r="AF1989" s="12"/>
      <c r="AG1989" s="12"/>
    </row>
    <row r="1990" spans="29:33" x14ac:dyDescent="0.25">
      <c r="AC1990" s="12"/>
      <c r="AD1990" s="12"/>
      <c r="AF1990" s="12"/>
      <c r="AG1990" s="12"/>
    </row>
    <row r="1991" spans="29:33" x14ac:dyDescent="0.25">
      <c r="AC1991" s="12"/>
      <c r="AD1991" s="12"/>
      <c r="AF1991" s="12"/>
      <c r="AG1991" s="12"/>
    </row>
    <row r="1992" spans="29:33" x14ac:dyDescent="0.25">
      <c r="AC1992" s="12"/>
      <c r="AD1992" s="12"/>
      <c r="AF1992" s="12"/>
      <c r="AG1992" s="12"/>
    </row>
    <row r="1993" spans="29:33" x14ac:dyDescent="0.25">
      <c r="AC1993" s="12"/>
      <c r="AD1993" s="12"/>
      <c r="AF1993" s="12"/>
      <c r="AG1993" s="12"/>
    </row>
    <row r="1994" spans="29:33" x14ac:dyDescent="0.25">
      <c r="AC1994" s="12"/>
      <c r="AD1994" s="12"/>
      <c r="AF1994" s="12"/>
      <c r="AG1994" s="12"/>
    </row>
    <row r="1995" spans="29:33" x14ac:dyDescent="0.25">
      <c r="AC1995" s="12"/>
      <c r="AD1995" s="12"/>
      <c r="AF1995" s="12"/>
      <c r="AG1995" s="12"/>
    </row>
    <row r="1996" spans="29:33" x14ac:dyDescent="0.25">
      <c r="AC1996" s="12"/>
      <c r="AD1996" s="12"/>
      <c r="AF1996" s="12"/>
      <c r="AG1996" s="12"/>
    </row>
    <row r="1997" spans="29:33" x14ac:dyDescent="0.25">
      <c r="AC1997" s="12"/>
      <c r="AD1997" s="12"/>
      <c r="AF1997" s="12"/>
      <c r="AG1997" s="12"/>
    </row>
    <row r="1998" spans="29:33" x14ac:dyDescent="0.25">
      <c r="AC1998" s="12"/>
      <c r="AD1998" s="12"/>
      <c r="AF1998" s="12"/>
      <c r="AG1998" s="12"/>
    </row>
    <row r="1999" spans="29:33" x14ac:dyDescent="0.25">
      <c r="AC1999" s="12"/>
      <c r="AD1999" s="12"/>
      <c r="AF1999" s="12"/>
      <c r="AG1999" s="12"/>
    </row>
    <row r="2000" spans="29:33" x14ac:dyDescent="0.25">
      <c r="AC2000" s="12"/>
      <c r="AD2000" s="12"/>
      <c r="AF2000" s="12"/>
      <c r="AG2000" s="12"/>
    </row>
    <row r="2001" spans="29:33" x14ac:dyDescent="0.25">
      <c r="AC2001" s="12"/>
      <c r="AD2001" s="12"/>
      <c r="AF2001" s="12"/>
      <c r="AG2001" s="12"/>
    </row>
    <row r="2002" spans="29:33" x14ac:dyDescent="0.25">
      <c r="AC2002" s="12"/>
      <c r="AD2002" s="12"/>
      <c r="AF2002" s="12"/>
      <c r="AG2002" s="12"/>
    </row>
    <row r="2003" spans="29:33" x14ac:dyDescent="0.25">
      <c r="AC2003" s="12"/>
      <c r="AD2003" s="12"/>
      <c r="AF2003" s="12"/>
      <c r="AG2003" s="12"/>
    </row>
    <row r="2004" spans="29:33" x14ac:dyDescent="0.25">
      <c r="AC2004" s="12"/>
      <c r="AD2004" s="12"/>
      <c r="AF2004" s="12"/>
      <c r="AG2004" s="12"/>
    </row>
    <row r="2005" spans="29:33" x14ac:dyDescent="0.25">
      <c r="AC2005" s="12"/>
      <c r="AD2005" s="12"/>
      <c r="AF2005" s="12"/>
      <c r="AG2005" s="12"/>
    </row>
    <row r="2006" spans="29:33" x14ac:dyDescent="0.25">
      <c r="AC2006" s="12"/>
      <c r="AD2006" s="12"/>
      <c r="AF2006" s="12"/>
      <c r="AG2006" s="12"/>
    </row>
    <row r="2007" spans="29:33" x14ac:dyDescent="0.25">
      <c r="AC2007" s="12"/>
      <c r="AD2007" s="12"/>
      <c r="AF2007" s="12"/>
      <c r="AG2007" s="12"/>
    </row>
    <row r="2008" spans="29:33" x14ac:dyDescent="0.25">
      <c r="AC2008" s="12"/>
      <c r="AD2008" s="12"/>
      <c r="AF2008" s="12"/>
      <c r="AG2008" s="12"/>
    </row>
    <row r="2009" spans="29:33" x14ac:dyDescent="0.25">
      <c r="AC2009" s="12"/>
      <c r="AD2009" s="12"/>
      <c r="AF2009" s="12"/>
      <c r="AG2009" s="12"/>
    </row>
    <row r="2010" spans="29:33" x14ac:dyDescent="0.25">
      <c r="AC2010" s="12"/>
      <c r="AD2010" s="12"/>
      <c r="AF2010" s="12"/>
      <c r="AG2010" s="12"/>
    </row>
    <row r="2011" spans="29:33" x14ac:dyDescent="0.25">
      <c r="AC2011" s="12"/>
      <c r="AD2011" s="12"/>
      <c r="AF2011" s="12"/>
      <c r="AG2011" s="12"/>
    </row>
    <row r="2012" spans="29:33" x14ac:dyDescent="0.25">
      <c r="AC2012" s="12"/>
      <c r="AD2012" s="12"/>
      <c r="AF2012" s="12"/>
      <c r="AG2012" s="12"/>
    </row>
    <row r="2013" spans="29:33" x14ac:dyDescent="0.25">
      <c r="AC2013" s="12"/>
      <c r="AD2013" s="12"/>
      <c r="AF2013" s="12"/>
      <c r="AG2013" s="12"/>
    </row>
    <row r="2014" spans="29:33" x14ac:dyDescent="0.25">
      <c r="AC2014" s="12"/>
      <c r="AD2014" s="12"/>
      <c r="AF2014" s="12"/>
      <c r="AG2014" s="12"/>
    </row>
    <row r="2015" spans="29:33" x14ac:dyDescent="0.25">
      <c r="AC2015" s="12"/>
      <c r="AD2015" s="12"/>
      <c r="AF2015" s="12"/>
      <c r="AG2015" s="12"/>
    </row>
    <row r="2016" spans="29:33" x14ac:dyDescent="0.25">
      <c r="AC2016" s="12"/>
      <c r="AD2016" s="12"/>
      <c r="AF2016" s="12"/>
      <c r="AG2016" s="12"/>
    </row>
    <row r="2017" spans="29:33" x14ac:dyDescent="0.25">
      <c r="AC2017" s="12"/>
      <c r="AD2017" s="12"/>
      <c r="AF2017" s="12"/>
      <c r="AG2017" s="12"/>
    </row>
    <row r="2018" spans="29:33" x14ac:dyDescent="0.25">
      <c r="AC2018" s="12"/>
      <c r="AD2018" s="12"/>
      <c r="AF2018" s="12"/>
      <c r="AG2018" s="12"/>
    </row>
    <row r="2019" spans="29:33" x14ac:dyDescent="0.25">
      <c r="AC2019" s="12"/>
      <c r="AD2019" s="12"/>
      <c r="AF2019" s="12"/>
      <c r="AG2019" s="12"/>
    </row>
    <row r="2020" spans="29:33" x14ac:dyDescent="0.25">
      <c r="AC2020" s="12"/>
      <c r="AD2020" s="12"/>
      <c r="AF2020" s="12"/>
      <c r="AG2020" s="12"/>
    </row>
    <row r="2021" spans="29:33" x14ac:dyDescent="0.25">
      <c r="AC2021" s="12"/>
      <c r="AD2021" s="12"/>
      <c r="AF2021" s="12"/>
      <c r="AG2021" s="12"/>
    </row>
    <row r="2022" spans="29:33" x14ac:dyDescent="0.25">
      <c r="AC2022" s="12"/>
      <c r="AD2022" s="12"/>
      <c r="AF2022" s="12"/>
      <c r="AG2022" s="12"/>
    </row>
    <row r="2023" spans="29:33" x14ac:dyDescent="0.25">
      <c r="AC2023" s="12"/>
      <c r="AD2023" s="12"/>
      <c r="AF2023" s="12"/>
      <c r="AG2023" s="12"/>
    </row>
    <row r="2024" spans="29:33" x14ac:dyDescent="0.25">
      <c r="AC2024" s="12"/>
      <c r="AD2024" s="12"/>
      <c r="AF2024" s="12"/>
      <c r="AG2024" s="12"/>
    </row>
    <row r="2025" spans="29:33" x14ac:dyDescent="0.25">
      <c r="AC2025" s="12"/>
      <c r="AD2025" s="12"/>
      <c r="AF2025" s="12"/>
      <c r="AG2025" s="12"/>
    </row>
    <row r="2026" spans="29:33" x14ac:dyDescent="0.25">
      <c r="AC2026" s="12"/>
      <c r="AD2026" s="12"/>
      <c r="AF2026" s="12"/>
      <c r="AG2026" s="12"/>
    </row>
    <row r="2027" spans="29:33" x14ac:dyDescent="0.25">
      <c r="AC2027" s="12"/>
      <c r="AD2027" s="12"/>
      <c r="AF2027" s="12"/>
      <c r="AG2027" s="12"/>
    </row>
    <row r="2028" spans="29:33" x14ac:dyDescent="0.25">
      <c r="AC2028" s="12"/>
      <c r="AD2028" s="12"/>
      <c r="AF2028" s="12"/>
      <c r="AG2028" s="12"/>
    </row>
    <row r="2029" spans="29:33" x14ac:dyDescent="0.25">
      <c r="AC2029" s="12"/>
      <c r="AD2029" s="12"/>
      <c r="AF2029" s="12"/>
      <c r="AG2029" s="12"/>
    </row>
    <row r="2030" spans="29:33" x14ac:dyDescent="0.25">
      <c r="AC2030" s="12"/>
      <c r="AD2030" s="12"/>
      <c r="AF2030" s="12"/>
      <c r="AG2030" s="12"/>
    </row>
    <row r="2031" spans="29:33" x14ac:dyDescent="0.25">
      <c r="AC2031" s="12"/>
      <c r="AD2031" s="12"/>
      <c r="AF2031" s="12"/>
      <c r="AG2031" s="12"/>
    </row>
    <row r="2032" spans="29:33" x14ac:dyDescent="0.25">
      <c r="AC2032" s="12"/>
      <c r="AD2032" s="12"/>
      <c r="AF2032" s="12"/>
      <c r="AG2032" s="12"/>
    </row>
    <row r="2033" spans="29:33" x14ac:dyDescent="0.25">
      <c r="AC2033" s="12"/>
      <c r="AD2033" s="12"/>
      <c r="AF2033" s="12"/>
      <c r="AG2033" s="12"/>
    </row>
    <row r="2034" spans="29:33" x14ac:dyDescent="0.25">
      <c r="AC2034" s="12"/>
      <c r="AD2034" s="12"/>
      <c r="AF2034" s="12"/>
      <c r="AG2034" s="12"/>
    </row>
    <row r="2035" spans="29:33" x14ac:dyDescent="0.25">
      <c r="AC2035" s="12"/>
      <c r="AD2035" s="12"/>
      <c r="AF2035" s="12"/>
      <c r="AG2035" s="12"/>
    </row>
    <row r="2036" spans="29:33" x14ac:dyDescent="0.25">
      <c r="AC2036" s="12"/>
      <c r="AD2036" s="12"/>
      <c r="AF2036" s="12"/>
      <c r="AG2036" s="12"/>
    </row>
    <row r="2037" spans="29:33" x14ac:dyDescent="0.25">
      <c r="AC2037" s="12"/>
      <c r="AD2037" s="12"/>
      <c r="AF2037" s="12"/>
      <c r="AG2037" s="12"/>
    </row>
    <row r="2038" spans="29:33" x14ac:dyDescent="0.25">
      <c r="AC2038" s="12"/>
      <c r="AD2038" s="12"/>
      <c r="AF2038" s="12"/>
      <c r="AG2038" s="12"/>
    </row>
    <row r="2039" spans="29:33" x14ac:dyDescent="0.25">
      <c r="AC2039" s="12"/>
      <c r="AD2039" s="12"/>
      <c r="AF2039" s="12"/>
      <c r="AG2039" s="12"/>
    </row>
    <row r="2040" spans="29:33" x14ac:dyDescent="0.25">
      <c r="AC2040" s="12"/>
      <c r="AD2040" s="12"/>
      <c r="AF2040" s="12"/>
      <c r="AG2040" s="12"/>
    </row>
    <row r="2041" spans="29:33" x14ac:dyDescent="0.25">
      <c r="AC2041" s="12"/>
      <c r="AD2041" s="12"/>
      <c r="AF2041" s="12"/>
      <c r="AG2041" s="12"/>
    </row>
    <row r="2042" spans="29:33" x14ac:dyDescent="0.25">
      <c r="AC2042" s="12"/>
      <c r="AD2042" s="12"/>
      <c r="AF2042" s="12"/>
      <c r="AG2042" s="12"/>
    </row>
    <row r="2043" spans="29:33" x14ac:dyDescent="0.25">
      <c r="AC2043" s="12"/>
      <c r="AD2043" s="12"/>
      <c r="AF2043" s="12"/>
      <c r="AG2043" s="12"/>
    </row>
    <row r="2044" spans="29:33" x14ac:dyDescent="0.25">
      <c r="AC2044" s="12"/>
      <c r="AD2044" s="12"/>
      <c r="AF2044" s="12"/>
      <c r="AG2044" s="12"/>
    </row>
    <row r="2045" spans="29:33" x14ac:dyDescent="0.25">
      <c r="AC2045" s="12"/>
      <c r="AD2045" s="12"/>
      <c r="AF2045" s="12"/>
      <c r="AG2045" s="12"/>
    </row>
    <row r="2046" spans="29:33" x14ac:dyDescent="0.25">
      <c r="AC2046" s="12"/>
      <c r="AD2046" s="12"/>
      <c r="AF2046" s="12"/>
      <c r="AG2046" s="12"/>
    </row>
    <row r="2047" spans="29:33" x14ac:dyDescent="0.25">
      <c r="AC2047" s="12"/>
      <c r="AD2047" s="12"/>
      <c r="AF2047" s="12"/>
      <c r="AG2047" s="12"/>
    </row>
    <row r="2048" spans="29:33" x14ac:dyDescent="0.25">
      <c r="AC2048" s="12"/>
      <c r="AD2048" s="12"/>
      <c r="AF2048" s="12"/>
      <c r="AG2048" s="12"/>
    </row>
    <row r="2049" spans="29:33" x14ac:dyDescent="0.25">
      <c r="AC2049" s="12"/>
      <c r="AD2049" s="12"/>
      <c r="AF2049" s="12"/>
      <c r="AG2049" s="12"/>
    </row>
    <row r="2050" spans="29:33" x14ac:dyDescent="0.25">
      <c r="AC2050" s="12"/>
      <c r="AD2050" s="12"/>
      <c r="AF2050" s="12"/>
      <c r="AG2050" s="12"/>
    </row>
    <row r="2051" spans="29:33" x14ac:dyDescent="0.25">
      <c r="AC2051" s="12"/>
      <c r="AD2051" s="12"/>
      <c r="AF2051" s="12"/>
      <c r="AG2051" s="12"/>
    </row>
    <row r="2052" spans="29:33" x14ac:dyDescent="0.25">
      <c r="AC2052" s="12"/>
      <c r="AD2052" s="12"/>
      <c r="AF2052" s="12"/>
      <c r="AG2052" s="12"/>
    </row>
    <row r="2053" spans="29:33" x14ac:dyDescent="0.25">
      <c r="AC2053" s="12"/>
      <c r="AD2053" s="12"/>
      <c r="AF2053" s="12"/>
      <c r="AG2053" s="12"/>
    </row>
    <row r="2054" spans="29:33" x14ac:dyDescent="0.25">
      <c r="AC2054" s="12"/>
      <c r="AD2054" s="12"/>
      <c r="AF2054" s="12"/>
      <c r="AG2054" s="12"/>
    </row>
    <row r="2055" spans="29:33" x14ac:dyDescent="0.25">
      <c r="AC2055" s="12"/>
      <c r="AD2055" s="12"/>
      <c r="AF2055" s="12"/>
      <c r="AG2055" s="12"/>
    </row>
    <row r="2056" spans="29:33" x14ac:dyDescent="0.25">
      <c r="AC2056" s="12"/>
      <c r="AD2056" s="12"/>
      <c r="AF2056" s="12"/>
      <c r="AG2056" s="12"/>
    </row>
    <row r="2057" spans="29:33" x14ac:dyDescent="0.25">
      <c r="AC2057" s="12"/>
      <c r="AD2057" s="12"/>
      <c r="AF2057" s="12"/>
      <c r="AG2057" s="12"/>
    </row>
    <row r="2058" spans="29:33" x14ac:dyDescent="0.25">
      <c r="AC2058" s="12"/>
      <c r="AD2058" s="12"/>
      <c r="AF2058" s="12"/>
      <c r="AG2058" s="12"/>
    </row>
    <row r="2059" spans="29:33" x14ac:dyDescent="0.25">
      <c r="AC2059" s="12"/>
      <c r="AD2059" s="12"/>
      <c r="AF2059" s="12"/>
      <c r="AG2059" s="12"/>
    </row>
    <row r="2060" spans="29:33" x14ac:dyDescent="0.25">
      <c r="AC2060" s="12"/>
      <c r="AD2060" s="12"/>
      <c r="AF2060" s="12"/>
      <c r="AG2060" s="12"/>
    </row>
    <row r="2061" spans="29:33" x14ac:dyDescent="0.25">
      <c r="AC2061" s="12"/>
      <c r="AD2061" s="12"/>
      <c r="AF2061" s="12"/>
      <c r="AG2061" s="12"/>
    </row>
    <row r="2062" spans="29:33" x14ac:dyDescent="0.25">
      <c r="AC2062" s="12"/>
      <c r="AD2062" s="12"/>
      <c r="AF2062" s="12"/>
      <c r="AG2062" s="12"/>
    </row>
    <row r="2063" spans="29:33" x14ac:dyDescent="0.25">
      <c r="AC2063" s="12"/>
      <c r="AD2063" s="12"/>
      <c r="AF2063" s="12"/>
      <c r="AG2063" s="12"/>
    </row>
    <row r="2064" spans="29:33" x14ac:dyDescent="0.25">
      <c r="AC2064" s="12"/>
      <c r="AD2064" s="12"/>
      <c r="AF2064" s="12"/>
      <c r="AG2064" s="12"/>
    </row>
    <row r="2065" spans="29:33" x14ac:dyDescent="0.25">
      <c r="AC2065" s="12"/>
      <c r="AD2065" s="12"/>
      <c r="AF2065" s="12"/>
      <c r="AG2065" s="12"/>
    </row>
    <row r="2066" spans="29:33" x14ac:dyDescent="0.25">
      <c r="AC2066" s="12"/>
      <c r="AD2066" s="12"/>
      <c r="AF2066" s="12"/>
      <c r="AG2066" s="12"/>
    </row>
    <row r="2067" spans="29:33" x14ac:dyDescent="0.25">
      <c r="AC2067" s="12"/>
      <c r="AD2067" s="12"/>
      <c r="AF2067" s="12"/>
      <c r="AG2067" s="12"/>
    </row>
    <row r="2068" spans="29:33" x14ac:dyDescent="0.25">
      <c r="AC2068" s="12"/>
      <c r="AD2068" s="12"/>
      <c r="AF2068" s="12"/>
      <c r="AG2068" s="12"/>
    </row>
    <row r="2069" spans="29:33" x14ac:dyDescent="0.25">
      <c r="AC2069" s="12"/>
      <c r="AD2069" s="12"/>
      <c r="AF2069" s="12"/>
      <c r="AG2069" s="12"/>
    </row>
    <row r="2070" spans="29:33" x14ac:dyDescent="0.25">
      <c r="AC2070" s="12"/>
      <c r="AD2070" s="12"/>
      <c r="AF2070" s="12"/>
      <c r="AG2070" s="12"/>
    </row>
    <row r="2071" spans="29:33" x14ac:dyDescent="0.25">
      <c r="AC2071" s="12"/>
      <c r="AD2071" s="12"/>
      <c r="AF2071" s="12"/>
      <c r="AG2071" s="12"/>
    </row>
    <row r="2072" spans="29:33" x14ac:dyDescent="0.25">
      <c r="AC2072" s="12"/>
      <c r="AD2072" s="12"/>
      <c r="AF2072" s="12"/>
      <c r="AG2072" s="12"/>
    </row>
    <row r="2073" spans="29:33" x14ac:dyDescent="0.25">
      <c r="AC2073" s="12"/>
      <c r="AD2073" s="12"/>
      <c r="AF2073" s="12"/>
      <c r="AG2073" s="12"/>
    </row>
    <row r="2074" spans="29:33" x14ac:dyDescent="0.25">
      <c r="AC2074" s="12"/>
      <c r="AD2074" s="12"/>
      <c r="AF2074" s="12"/>
      <c r="AG2074" s="12"/>
    </row>
    <row r="2075" spans="29:33" x14ac:dyDescent="0.25">
      <c r="AC2075" s="12"/>
      <c r="AD2075" s="12"/>
      <c r="AF2075" s="12"/>
      <c r="AG2075" s="12"/>
    </row>
    <row r="2076" spans="29:33" x14ac:dyDescent="0.25">
      <c r="AC2076" s="12"/>
      <c r="AD2076" s="12"/>
      <c r="AF2076" s="12"/>
      <c r="AG2076" s="12"/>
    </row>
    <row r="2077" spans="29:33" x14ac:dyDescent="0.25">
      <c r="AC2077" s="12"/>
      <c r="AD2077" s="12"/>
      <c r="AF2077" s="12"/>
      <c r="AG2077" s="12"/>
    </row>
    <row r="2078" spans="29:33" x14ac:dyDescent="0.25">
      <c r="AC2078" s="12"/>
      <c r="AD2078" s="12"/>
      <c r="AF2078" s="12"/>
      <c r="AG2078" s="12"/>
    </row>
    <row r="2079" spans="29:33" x14ac:dyDescent="0.25">
      <c r="AC2079" s="12"/>
      <c r="AD2079" s="12"/>
      <c r="AF2079" s="12"/>
      <c r="AG2079" s="12"/>
    </row>
    <row r="2080" spans="29:33" x14ac:dyDescent="0.25">
      <c r="AC2080" s="12"/>
      <c r="AD2080" s="12"/>
      <c r="AF2080" s="12"/>
      <c r="AG2080" s="12"/>
    </row>
    <row r="2081" spans="29:33" x14ac:dyDescent="0.25">
      <c r="AC2081" s="12"/>
      <c r="AD2081" s="12"/>
      <c r="AF2081" s="12"/>
      <c r="AG2081" s="12"/>
    </row>
    <row r="2082" spans="29:33" x14ac:dyDescent="0.25">
      <c r="AC2082" s="12"/>
      <c r="AD2082" s="12"/>
      <c r="AF2082" s="12"/>
      <c r="AG2082" s="12"/>
    </row>
    <row r="2083" spans="29:33" x14ac:dyDescent="0.25">
      <c r="AC2083" s="12"/>
      <c r="AD2083" s="12"/>
      <c r="AF2083" s="12"/>
      <c r="AG2083" s="12"/>
    </row>
    <row r="2084" spans="29:33" x14ac:dyDescent="0.25">
      <c r="AC2084" s="12"/>
      <c r="AD2084" s="12"/>
      <c r="AF2084" s="12"/>
      <c r="AG2084" s="12"/>
    </row>
    <row r="2085" spans="29:33" x14ac:dyDescent="0.25">
      <c r="AC2085" s="12"/>
      <c r="AD2085" s="12"/>
      <c r="AF2085" s="12"/>
      <c r="AG2085" s="12"/>
    </row>
    <row r="2086" spans="29:33" x14ac:dyDescent="0.25">
      <c r="AC2086" s="12"/>
      <c r="AD2086" s="12"/>
      <c r="AF2086" s="12"/>
      <c r="AG2086" s="12"/>
    </row>
    <row r="2087" spans="29:33" x14ac:dyDescent="0.25">
      <c r="AC2087" s="12"/>
      <c r="AD2087" s="12"/>
      <c r="AF2087" s="12"/>
      <c r="AG2087" s="12"/>
    </row>
    <row r="2088" spans="29:33" x14ac:dyDescent="0.25">
      <c r="AC2088" s="12"/>
      <c r="AD2088" s="12"/>
      <c r="AF2088" s="12"/>
      <c r="AG2088" s="12"/>
    </row>
    <row r="2089" spans="29:33" x14ac:dyDescent="0.25">
      <c r="AC2089" s="12"/>
      <c r="AD2089" s="12"/>
      <c r="AF2089" s="12"/>
      <c r="AG2089" s="12"/>
    </row>
    <row r="2090" spans="29:33" x14ac:dyDescent="0.25">
      <c r="AC2090" s="12"/>
      <c r="AD2090" s="12"/>
      <c r="AF2090" s="12"/>
      <c r="AG2090" s="12"/>
    </row>
    <row r="2091" spans="29:33" x14ac:dyDescent="0.25">
      <c r="AC2091" s="12"/>
      <c r="AD2091" s="12"/>
      <c r="AF2091" s="12"/>
      <c r="AG2091" s="12"/>
    </row>
    <row r="2092" spans="29:33" x14ac:dyDescent="0.25">
      <c r="AC2092" s="12"/>
      <c r="AD2092" s="12"/>
      <c r="AF2092" s="12"/>
      <c r="AG2092" s="12"/>
    </row>
    <row r="2093" spans="29:33" x14ac:dyDescent="0.25">
      <c r="AC2093" s="12"/>
      <c r="AD2093" s="12"/>
      <c r="AF2093" s="12"/>
      <c r="AG2093" s="12"/>
    </row>
    <row r="2094" spans="29:33" x14ac:dyDescent="0.25">
      <c r="AC2094" s="12"/>
      <c r="AD2094" s="12"/>
      <c r="AF2094" s="12"/>
      <c r="AG2094" s="12"/>
    </row>
    <row r="2095" spans="29:33" x14ac:dyDescent="0.25">
      <c r="AC2095" s="12"/>
      <c r="AD2095" s="12"/>
      <c r="AF2095" s="12"/>
      <c r="AG2095" s="12"/>
    </row>
    <row r="2096" spans="29:33" x14ac:dyDescent="0.25">
      <c r="AC2096" s="12"/>
      <c r="AD2096" s="12"/>
      <c r="AF2096" s="12"/>
      <c r="AG2096" s="12"/>
    </row>
    <row r="2097" spans="29:33" x14ac:dyDescent="0.25">
      <c r="AC2097" s="12"/>
      <c r="AD2097" s="12"/>
      <c r="AF2097" s="12"/>
      <c r="AG2097" s="12"/>
    </row>
    <row r="2098" spans="29:33" x14ac:dyDescent="0.25">
      <c r="AC2098" s="12"/>
      <c r="AD2098" s="12"/>
      <c r="AF2098" s="12"/>
      <c r="AG2098" s="12"/>
    </row>
    <row r="2099" spans="29:33" x14ac:dyDescent="0.25">
      <c r="AC2099" s="12"/>
      <c r="AD2099" s="12"/>
      <c r="AF2099" s="12"/>
      <c r="AG2099" s="12"/>
    </row>
    <row r="2100" spans="29:33" x14ac:dyDescent="0.25">
      <c r="AC2100" s="12"/>
      <c r="AD2100" s="12"/>
      <c r="AF2100" s="12"/>
      <c r="AG2100" s="12"/>
    </row>
    <row r="2101" spans="29:33" x14ac:dyDescent="0.25">
      <c r="AC2101" s="12"/>
      <c r="AD2101" s="12"/>
      <c r="AF2101" s="12"/>
      <c r="AG2101" s="12"/>
    </row>
    <row r="2102" spans="29:33" x14ac:dyDescent="0.25">
      <c r="AC2102" s="12"/>
      <c r="AD2102" s="12"/>
      <c r="AF2102" s="12"/>
      <c r="AG2102" s="12"/>
    </row>
    <row r="2103" spans="29:33" x14ac:dyDescent="0.25">
      <c r="AC2103" s="12"/>
      <c r="AD2103" s="12"/>
      <c r="AF2103" s="12"/>
      <c r="AG2103" s="12"/>
    </row>
    <row r="2104" spans="29:33" x14ac:dyDescent="0.25">
      <c r="AC2104" s="12"/>
      <c r="AD2104" s="12"/>
      <c r="AF2104" s="12"/>
      <c r="AG2104" s="12"/>
    </row>
    <row r="2105" spans="29:33" x14ac:dyDescent="0.25">
      <c r="AC2105" s="12"/>
      <c r="AD2105" s="12"/>
      <c r="AF2105" s="12"/>
      <c r="AG2105" s="12"/>
    </row>
    <row r="2106" spans="29:33" x14ac:dyDescent="0.25">
      <c r="AC2106" s="12"/>
      <c r="AD2106" s="12"/>
      <c r="AF2106" s="12"/>
      <c r="AG2106" s="12"/>
    </row>
    <row r="2107" spans="29:33" x14ac:dyDescent="0.25">
      <c r="AC2107" s="12"/>
      <c r="AD2107" s="12"/>
      <c r="AF2107" s="12"/>
      <c r="AG2107" s="12"/>
    </row>
    <row r="2108" spans="29:33" x14ac:dyDescent="0.25">
      <c r="AC2108" s="12"/>
      <c r="AD2108" s="12"/>
      <c r="AF2108" s="12"/>
      <c r="AG2108" s="12"/>
    </row>
    <row r="2109" spans="29:33" x14ac:dyDescent="0.25">
      <c r="AC2109" s="12"/>
      <c r="AD2109" s="12"/>
      <c r="AF2109" s="12"/>
      <c r="AG2109" s="12"/>
    </row>
    <row r="2110" spans="29:33" x14ac:dyDescent="0.25">
      <c r="AC2110" s="12"/>
      <c r="AD2110" s="12"/>
      <c r="AF2110" s="12"/>
      <c r="AG2110" s="12"/>
    </row>
    <row r="2111" spans="29:33" x14ac:dyDescent="0.25">
      <c r="AC2111" s="12"/>
      <c r="AD2111" s="12"/>
      <c r="AF2111" s="12"/>
      <c r="AG2111" s="12"/>
    </row>
    <row r="2112" spans="29:33" x14ac:dyDescent="0.25">
      <c r="AC2112" s="12"/>
      <c r="AD2112" s="12"/>
      <c r="AF2112" s="12"/>
      <c r="AG2112" s="12"/>
    </row>
    <row r="2113" spans="29:33" x14ac:dyDescent="0.25">
      <c r="AC2113" s="12"/>
      <c r="AD2113" s="12"/>
      <c r="AF2113" s="12"/>
      <c r="AG2113" s="12"/>
    </row>
    <row r="2114" spans="29:33" x14ac:dyDescent="0.25">
      <c r="AC2114" s="12"/>
      <c r="AD2114" s="12"/>
      <c r="AF2114" s="12"/>
      <c r="AG2114" s="12"/>
    </row>
    <row r="2115" spans="29:33" x14ac:dyDescent="0.25">
      <c r="AC2115" s="12"/>
      <c r="AD2115" s="12"/>
      <c r="AF2115" s="12"/>
      <c r="AG2115" s="12"/>
    </row>
    <row r="2116" spans="29:33" x14ac:dyDescent="0.25">
      <c r="AC2116" s="12"/>
      <c r="AD2116" s="12"/>
      <c r="AF2116" s="12"/>
      <c r="AG2116" s="12"/>
    </row>
    <row r="2117" spans="29:33" x14ac:dyDescent="0.25">
      <c r="AC2117" s="12"/>
      <c r="AD2117" s="12"/>
      <c r="AF2117" s="12"/>
      <c r="AG2117" s="12"/>
    </row>
    <row r="2118" spans="29:33" x14ac:dyDescent="0.25">
      <c r="AC2118" s="12"/>
      <c r="AD2118" s="12"/>
      <c r="AF2118" s="12"/>
      <c r="AG2118" s="12"/>
    </row>
    <row r="2119" spans="29:33" x14ac:dyDescent="0.25">
      <c r="AC2119" s="12"/>
      <c r="AD2119" s="12"/>
      <c r="AF2119" s="12"/>
      <c r="AG2119" s="12"/>
    </row>
    <row r="2120" spans="29:33" x14ac:dyDescent="0.25">
      <c r="AC2120" s="12"/>
      <c r="AD2120" s="12"/>
      <c r="AF2120" s="12"/>
      <c r="AG2120" s="12"/>
    </row>
    <row r="2121" spans="29:33" x14ac:dyDescent="0.25">
      <c r="AC2121" s="12"/>
      <c r="AD2121" s="12"/>
      <c r="AF2121" s="12"/>
      <c r="AG2121" s="12"/>
    </row>
    <row r="2122" spans="29:33" x14ac:dyDescent="0.25">
      <c r="AC2122" s="12"/>
      <c r="AD2122" s="12"/>
      <c r="AF2122" s="12"/>
      <c r="AG2122" s="12"/>
    </row>
    <row r="2123" spans="29:33" x14ac:dyDescent="0.25">
      <c r="AC2123" s="12"/>
      <c r="AD2123" s="12"/>
      <c r="AF2123" s="12"/>
      <c r="AG2123" s="12"/>
    </row>
    <row r="2124" spans="29:33" x14ac:dyDescent="0.25">
      <c r="AC2124" s="12"/>
      <c r="AD2124" s="12"/>
      <c r="AF2124" s="12"/>
      <c r="AG2124" s="12"/>
    </row>
    <row r="2125" spans="29:33" x14ac:dyDescent="0.25">
      <c r="AC2125" s="12"/>
      <c r="AD2125" s="12"/>
      <c r="AF2125" s="12"/>
      <c r="AG2125" s="12"/>
    </row>
    <row r="2126" spans="29:33" x14ac:dyDescent="0.25">
      <c r="AC2126" s="12"/>
      <c r="AD2126" s="12"/>
      <c r="AF2126" s="12"/>
      <c r="AG2126" s="12"/>
    </row>
    <row r="2127" spans="29:33" x14ac:dyDescent="0.25">
      <c r="AC2127" s="12"/>
      <c r="AD2127" s="12"/>
      <c r="AF2127" s="12"/>
      <c r="AG2127" s="12"/>
    </row>
    <row r="2128" spans="29:33" x14ac:dyDescent="0.25">
      <c r="AC2128" s="12"/>
      <c r="AD2128" s="12"/>
      <c r="AF2128" s="12"/>
      <c r="AG2128" s="12"/>
    </row>
    <row r="2129" spans="29:33" x14ac:dyDescent="0.25">
      <c r="AC2129" s="12"/>
      <c r="AD2129" s="12"/>
      <c r="AF2129" s="12"/>
      <c r="AG2129" s="12"/>
    </row>
    <row r="2130" spans="29:33" x14ac:dyDescent="0.25">
      <c r="AC2130" s="12"/>
      <c r="AD2130" s="12"/>
      <c r="AF2130" s="12"/>
      <c r="AG2130" s="12"/>
    </row>
    <row r="2131" spans="29:33" x14ac:dyDescent="0.25">
      <c r="AC2131" s="12"/>
      <c r="AD2131" s="12"/>
      <c r="AF2131" s="12"/>
      <c r="AG2131" s="12"/>
    </row>
    <row r="2132" spans="29:33" x14ac:dyDescent="0.25">
      <c r="AC2132" s="12"/>
      <c r="AD2132" s="12"/>
      <c r="AF2132" s="12"/>
      <c r="AG2132" s="12"/>
    </row>
    <row r="2133" spans="29:33" x14ac:dyDescent="0.25">
      <c r="AC2133" s="12"/>
      <c r="AD2133" s="12"/>
      <c r="AF2133" s="12"/>
      <c r="AG2133" s="12"/>
    </row>
    <row r="2134" spans="29:33" x14ac:dyDescent="0.25">
      <c r="AC2134" s="12"/>
      <c r="AD2134" s="12"/>
      <c r="AF2134" s="12"/>
      <c r="AG2134" s="12"/>
    </row>
    <row r="2135" spans="29:33" x14ac:dyDescent="0.25">
      <c r="AC2135" s="12"/>
      <c r="AD2135" s="12"/>
      <c r="AF2135" s="12"/>
      <c r="AG2135" s="12"/>
    </row>
    <row r="2136" spans="29:33" x14ac:dyDescent="0.25">
      <c r="AC2136" s="12"/>
      <c r="AD2136" s="12"/>
      <c r="AF2136" s="12"/>
      <c r="AG2136" s="12"/>
    </row>
    <row r="2137" spans="29:33" x14ac:dyDescent="0.25">
      <c r="AC2137" s="12"/>
      <c r="AD2137" s="12"/>
      <c r="AF2137" s="12"/>
      <c r="AG2137" s="12"/>
    </row>
    <row r="2138" spans="29:33" x14ac:dyDescent="0.25">
      <c r="AC2138" s="12"/>
      <c r="AD2138" s="12"/>
      <c r="AF2138" s="12"/>
      <c r="AG2138" s="12"/>
    </row>
    <row r="2139" spans="29:33" x14ac:dyDescent="0.25">
      <c r="AC2139" s="12"/>
      <c r="AD2139" s="12"/>
      <c r="AF2139" s="12"/>
      <c r="AG2139" s="12"/>
    </row>
    <row r="2140" spans="29:33" x14ac:dyDescent="0.25">
      <c r="AC2140" s="12"/>
      <c r="AD2140" s="12"/>
      <c r="AF2140" s="12"/>
      <c r="AG2140" s="12"/>
    </row>
    <row r="2141" spans="29:33" x14ac:dyDescent="0.25">
      <c r="AC2141" s="12"/>
      <c r="AD2141" s="12"/>
      <c r="AF2141" s="12"/>
      <c r="AG2141" s="12"/>
    </row>
    <row r="2142" spans="29:33" x14ac:dyDescent="0.25">
      <c r="AC2142" s="12"/>
      <c r="AD2142" s="12"/>
      <c r="AF2142" s="12"/>
      <c r="AG2142" s="12"/>
    </row>
    <row r="2143" spans="29:33" x14ac:dyDescent="0.25">
      <c r="AC2143" s="12"/>
      <c r="AD2143" s="12"/>
      <c r="AF2143" s="12"/>
      <c r="AG2143" s="12"/>
    </row>
    <row r="2144" spans="29:33" x14ac:dyDescent="0.25">
      <c r="AC2144" s="12"/>
      <c r="AD2144" s="12"/>
      <c r="AF2144" s="12"/>
      <c r="AG2144" s="12"/>
    </row>
    <row r="2145" spans="29:33" x14ac:dyDescent="0.25">
      <c r="AC2145" s="12"/>
      <c r="AD2145" s="12"/>
      <c r="AF2145" s="12"/>
      <c r="AG2145" s="12"/>
    </row>
    <row r="2146" spans="29:33" x14ac:dyDescent="0.25">
      <c r="AC2146" s="12"/>
      <c r="AD2146" s="12"/>
      <c r="AF2146" s="12"/>
      <c r="AG2146" s="12"/>
    </row>
    <row r="2147" spans="29:33" x14ac:dyDescent="0.25">
      <c r="AC2147" s="12"/>
      <c r="AD2147" s="12"/>
      <c r="AF2147" s="12"/>
      <c r="AG2147" s="12"/>
    </row>
    <row r="2148" spans="29:33" x14ac:dyDescent="0.25">
      <c r="AC2148" s="12"/>
      <c r="AD2148" s="12"/>
      <c r="AF2148" s="12"/>
      <c r="AG2148" s="12"/>
    </row>
    <row r="2149" spans="29:33" x14ac:dyDescent="0.25">
      <c r="AC2149" s="12"/>
      <c r="AD2149" s="12"/>
      <c r="AF2149" s="12"/>
      <c r="AG2149" s="12"/>
    </row>
    <row r="2150" spans="29:33" x14ac:dyDescent="0.25">
      <c r="AC2150" s="12"/>
      <c r="AD2150" s="12"/>
      <c r="AF2150" s="12"/>
      <c r="AG2150" s="12"/>
    </row>
    <row r="2151" spans="29:33" x14ac:dyDescent="0.25">
      <c r="AC2151" s="12"/>
      <c r="AD2151" s="12"/>
      <c r="AF2151" s="12"/>
      <c r="AG2151" s="12"/>
    </row>
    <row r="2152" spans="29:33" x14ac:dyDescent="0.25">
      <c r="AC2152" s="12"/>
      <c r="AD2152" s="12"/>
      <c r="AF2152" s="12"/>
      <c r="AG2152" s="12"/>
    </row>
    <row r="2153" spans="29:33" x14ac:dyDescent="0.25">
      <c r="AC2153" s="12"/>
      <c r="AD2153" s="12"/>
      <c r="AF2153" s="12"/>
      <c r="AG2153" s="12"/>
    </row>
    <row r="2154" spans="29:33" x14ac:dyDescent="0.25">
      <c r="AC2154" s="12"/>
      <c r="AD2154" s="12"/>
      <c r="AF2154" s="12"/>
      <c r="AG2154" s="12"/>
    </row>
    <row r="2155" spans="29:33" x14ac:dyDescent="0.25">
      <c r="AC2155" s="12"/>
      <c r="AD2155" s="12"/>
      <c r="AF2155" s="12"/>
      <c r="AG2155" s="12"/>
    </row>
    <row r="2156" spans="29:33" x14ac:dyDescent="0.25">
      <c r="AC2156" s="12"/>
      <c r="AD2156" s="12"/>
      <c r="AF2156" s="12"/>
      <c r="AG2156" s="12"/>
    </row>
    <row r="2157" spans="29:33" x14ac:dyDescent="0.25">
      <c r="AC2157" s="12"/>
      <c r="AD2157" s="12"/>
      <c r="AF2157" s="12"/>
      <c r="AG2157" s="12"/>
    </row>
    <row r="2158" spans="29:33" x14ac:dyDescent="0.25">
      <c r="AC2158" s="12"/>
      <c r="AD2158" s="12"/>
      <c r="AF2158" s="12"/>
      <c r="AG2158" s="12"/>
    </row>
    <row r="2159" spans="29:33" x14ac:dyDescent="0.25">
      <c r="AC2159" s="12"/>
      <c r="AD2159" s="12"/>
      <c r="AF2159" s="12"/>
      <c r="AG2159" s="12"/>
    </row>
    <row r="2160" spans="29:33" x14ac:dyDescent="0.25">
      <c r="AC2160" s="12"/>
      <c r="AD2160" s="12"/>
      <c r="AF2160" s="12"/>
      <c r="AG2160" s="12"/>
    </row>
    <row r="2161" spans="29:33" x14ac:dyDescent="0.25">
      <c r="AC2161" s="12"/>
      <c r="AD2161" s="12"/>
      <c r="AF2161" s="12"/>
      <c r="AG2161" s="12"/>
    </row>
    <row r="2162" spans="29:33" x14ac:dyDescent="0.25">
      <c r="AC2162" s="12"/>
      <c r="AD2162" s="12"/>
      <c r="AF2162" s="12"/>
      <c r="AG2162" s="12"/>
    </row>
    <row r="2163" spans="29:33" x14ac:dyDescent="0.25">
      <c r="AC2163" s="12"/>
      <c r="AD2163" s="12"/>
      <c r="AF2163" s="12"/>
      <c r="AG2163" s="12"/>
    </row>
    <row r="2164" spans="29:33" x14ac:dyDescent="0.25">
      <c r="AC2164" s="12"/>
      <c r="AD2164" s="12"/>
      <c r="AF2164" s="12"/>
      <c r="AG2164" s="12"/>
    </row>
    <row r="2165" spans="29:33" x14ac:dyDescent="0.25">
      <c r="AC2165" s="12"/>
      <c r="AD2165" s="12"/>
      <c r="AF2165" s="12"/>
      <c r="AG2165" s="12"/>
    </row>
    <row r="2166" spans="29:33" x14ac:dyDescent="0.25">
      <c r="AC2166" s="12"/>
      <c r="AD2166" s="12"/>
      <c r="AF2166" s="12"/>
      <c r="AG2166" s="12"/>
    </row>
    <row r="2167" spans="29:33" x14ac:dyDescent="0.25">
      <c r="AC2167" s="12"/>
      <c r="AD2167" s="12"/>
      <c r="AF2167" s="12"/>
      <c r="AG2167" s="12"/>
    </row>
    <row r="2168" spans="29:33" x14ac:dyDescent="0.25">
      <c r="AC2168" s="12"/>
      <c r="AD2168" s="12"/>
      <c r="AF2168" s="12"/>
      <c r="AG2168" s="12"/>
    </row>
    <row r="2169" spans="29:33" x14ac:dyDescent="0.25">
      <c r="AC2169" s="12"/>
      <c r="AD2169" s="12"/>
      <c r="AF2169" s="12"/>
      <c r="AG2169" s="12"/>
    </row>
    <row r="2170" spans="29:33" x14ac:dyDescent="0.25">
      <c r="AC2170" s="12"/>
      <c r="AD2170" s="12"/>
      <c r="AF2170" s="12"/>
      <c r="AG2170" s="12"/>
    </row>
    <row r="2171" spans="29:33" x14ac:dyDescent="0.25">
      <c r="AC2171" s="12"/>
      <c r="AD2171" s="12"/>
      <c r="AF2171" s="12"/>
      <c r="AG2171" s="12"/>
    </row>
    <row r="2172" spans="29:33" x14ac:dyDescent="0.25">
      <c r="AC2172" s="12"/>
      <c r="AD2172" s="12"/>
      <c r="AF2172" s="12"/>
      <c r="AG2172" s="12"/>
    </row>
    <row r="2173" spans="29:33" x14ac:dyDescent="0.25">
      <c r="AC2173" s="12"/>
      <c r="AD2173" s="12"/>
      <c r="AF2173" s="12"/>
      <c r="AG2173" s="12"/>
    </row>
    <row r="2174" spans="29:33" x14ac:dyDescent="0.25">
      <c r="AC2174" s="12"/>
      <c r="AD2174" s="12"/>
      <c r="AF2174" s="12"/>
      <c r="AG2174" s="12"/>
    </row>
    <row r="2175" spans="29:33" x14ac:dyDescent="0.25">
      <c r="AC2175" s="12"/>
      <c r="AD2175" s="12"/>
      <c r="AF2175" s="12"/>
      <c r="AG2175" s="12"/>
    </row>
    <row r="2176" spans="29:33" x14ac:dyDescent="0.25">
      <c r="AC2176" s="12"/>
      <c r="AD2176" s="12"/>
      <c r="AF2176" s="12"/>
      <c r="AG2176" s="12"/>
    </row>
    <row r="2177" spans="29:33" x14ac:dyDescent="0.25">
      <c r="AC2177" s="12"/>
      <c r="AD2177" s="12"/>
      <c r="AF2177" s="12"/>
      <c r="AG2177" s="12"/>
    </row>
    <row r="2178" spans="29:33" x14ac:dyDescent="0.25">
      <c r="AC2178" s="12"/>
      <c r="AD2178" s="12"/>
      <c r="AF2178" s="12"/>
      <c r="AG2178" s="12"/>
    </row>
    <row r="2179" spans="29:33" x14ac:dyDescent="0.25">
      <c r="AC2179" s="12"/>
      <c r="AD2179" s="12"/>
      <c r="AF2179" s="12"/>
      <c r="AG2179" s="12"/>
    </row>
    <row r="2180" spans="29:33" x14ac:dyDescent="0.25">
      <c r="AC2180" s="12"/>
      <c r="AD2180" s="12"/>
      <c r="AF2180" s="12"/>
      <c r="AG2180" s="12"/>
    </row>
    <row r="2181" spans="29:33" x14ac:dyDescent="0.25">
      <c r="AC2181" s="12"/>
      <c r="AD2181" s="12"/>
      <c r="AF2181" s="12"/>
      <c r="AG2181" s="12"/>
    </row>
    <row r="2182" spans="29:33" x14ac:dyDescent="0.25">
      <c r="AC2182" s="12"/>
      <c r="AD2182" s="12"/>
      <c r="AF2182" s="12"/>
      <c r="AG2182" s="12"/>
    </row>
    <row r="2183" spans="29:33" x14ac:dyDescent="0.25">
      <c r="AC2183" s="12"/>
      <c r="AD2183" s="12"/>
      <c r="AF2183" s="12"/>
      <c r="AG2183" s="12"/>
    </row>
    <row r="2184" spans="29:33" x14ac:dyDescent="0.25">
      <c r="AC2184" s="12"/>
      <c r="AD2184" s="12"/>
      <c r="AF2184" s="12"/>
      <c r="AG2184" s="12"/>
    </row>
    <row r="2185" spans="29:33" x14ac:dyDescent="0.25">
      <c r="AC2185" s="12"/>
      <c r="AD2185" s="12"/>
      <c r="AF2185" s="12"/>
      <c r="AG2185" s="12"/>
    </row>
    <row r="2186" spans="29:33" x14ac:dyDescent="0.25">
      <c r="AC2186" s="12"/>
      <c r="AD2186" s="12"/>
      <c r="AF2186" s="12"/>
      <c r="AG2186" s="12"/>
    </row>
    <row r="2187" spans="29:33" x14ac:dyDescent="0.25">
      <c r="AC2187" s="12"/>
      <c r="AD2187" s="12"/>
      <c r="AF2187" s="12"/>
      <c r="AG2187" s="12"/>
    </row>
    <row r="2188" spans="29:33" x14ac:dyDescent="0.25">
      <c r="AC2188" s="12"/>
      <c r="AD2188" s="12"/>
      <c r="AF2188" s="12"/>
      <c r="AG2188" s="12"/>
    </row>
    <row r="2189" spans="29:33" x14ac:dyDescent="0.25">
      <c r="AC2189" s="12"/>
      <c r="AD2189" s="12"/>
      <c r="AF2189" s="12"/>
      <c r="AG2189" s="12"/>
    </row>
    <row r="2190" spans="29:33" x14ac:dyDescent="0.25">
      <c r="AC2190" s="12"/>
      <c r="AD2190" s="12"/>
      <c r="AF2190" s="12"/>
      <c r="AG2190" s="12"/>
    </row>
    <row r="2191" spans="29:33" x14ac:dyDescent="0.25">
      <c r="AC2191" s="12"/>
      <c r="AD2191" s="12"/>
      <c r="AF2191" s="12"/>
      <c r="AG2191" s="12"/>
    </row>
    <row r="2192" spans="29:33" x14ac:dyDescent="0.25">
      <c r="AC2192" s="12"/>
      <c r="AD2192" s="12"/>
      <c r="AF2192" s="12"/>
      <c r="AG2192" s="12"/>
    </row>
    <row r="2193" spans="29:33" x14ac:dyDescent="0.25">
      <c r="AC2193" s="12"/>
      <c r="AD2193" s="12"/>
      <c r="AF2193" s="12"/>
      <c r="AG2193" s="12"/>
    </row>
    <row r="2194" spans="29:33" x14ac:dyDescent="0.25">
      <c r="AC2194" s="12"/>
      <c r="AD2194" s="12"/>
      <c r="AF2194" s="12"/>
      <c r="AG2194" s="12"/>
    </row>
    <row r="2195" spans="29:33" x14ac:dyDescent="0.25">
      <c r="AC2195" s="12"/>
      <c r="AD2195" s="12"/>
      <c r="AF2195" s="12"/>
      <c r="AG2195" s="12"/>
    </row>
    <row r="2196" spans="29:33" x14ac:dyDescent="0.25">
      <c r="AC2196" s="12"/>
      <c r="AD2196" s="12"/>
      <c r="AF2196" s="12"/>
      <c r="AG2196" s="12"/>
    </row>
    <row r="2197" spans="29:33" x14ac:dyDescent="0.25">
      <c r="AC2197" s="12"/>
      <c r="AD2197" s="12"/>
      <c r="AF2197" s="12"/>
      <c r="AG2197" s="12"/>
    </row>
    <row r="2198" spans="29:33" x14ac:dyDescent="0.25">
      <c r="AC2198" s="12"/>
      <c r="AD2198" s="12"/>
      <c r="AF2198" s="12"/>
      <c r="AG2198" s="12"/>
    </row>
    <row r="2199" spans="29:33" x14ac:dyDescent="0.25">
      <c r="AC2199" s="12"/>
      <c r="AD2199" s="12"/>
      <c r="AF2199" s="12"/>
      <c r="AG2199" s="12"/>
    </row>
    <row r="2200" spans="29:33" x14ac:dyDescent="0.25">
      <c r="AC2200" s="12"/>
      <c r="AD2200" s="12"/>
      <c r="AF2200" s="12"/>
      <c r="AG2200" s="12"/>
    </row>
    <row r="2201" spans="29:33" x14ac:dyDescent="0.25">
      <c r="AC2201" s="12"/>
      <c r="AD2201" s="12"/>
      <c r="AF2201" s="12"/>
      <c r="AG2201" s="12"/>
    </row>
    <row r="2202" spans="29:33" x14ac:dyDescent="0.25">
      <c r="AC2202" s="12"/>
      <c r="AD2202" s="12"/>
      <c r="AF2202" s="12"/>
      <c r="AG2202" s="12"/>
    </row>
    <row r="2203" spans="29:33" x14ac:dyDescent="0.25">
      <c r="AC2203" s="12"/>
      <c r="AD2203" s="12"/>
      <c r="AF2203" s="12"/>
      <c r="AG2203" s="12"/>
    </row>
    <row r="2204" spans="29:33" x14ac:dyDescent="0.25">
      <c r="AC2204" s="12"/>
      <c r="AD2204" s="12"/>
      <c r="AF2204" s="12"/>
      <c r="AG2204" s="12"/>
    </row>
    <row r="2205" spans="29:33" x14ac:dyDescent="0.25">
      <c r="AC2205" s="12"/>
      <c r="AD2205" s="12"/>
      <c r="AF2205" s="12"/>
      <c r="AG2205" s="12"/>
    </row>
    <row r="2206" spans="29:33" x14ac:dyDescent="0.25">
      <c r="AC2206" s="12"/>
      <c r="AD2206" s="12"/>
      <c r="AF2206" s="12"/>
      <c r="AG2206" s="12"/>
    </row>
    <row r="2207" spans="29:33" x14ac:dyDescent="0.25">
      <c r="AC2207" s="12"/>
      <c r="AD2207" s="12"/>
      <c r="AF2207" s="12"/>
      <c r="AG2207" s="12"/>
    </row>
    <row r="2208" spans="29:33" x14ac:dyDescent="0.25">
      <c r="AC2208" s="12"/>
      <c r="AD2208" s="12"/>
      <c r="AF2208" s="12"/>
      <c r="AG2208" s="12"/>
    </row>
    <row r="2209" spans="29:33" x14ac:dyDescent="0.25">
      <c r="AC2209" s="12"/>
      <c r="AD2209" s="12"/>
      <c r="AF2209" s="12"/>
      <c r="AG2209" s="12"/>
    </row>
    <row r="2210" spans="29:33" x14ac:dyDescent="0.25">
      <c r="AC2210" s="12"/>
      <c r="AD2210" s="12"/>
      <c r="AF2210" s="12"/>
      <c r="AG2210" s="12"/>
    </row>
    <row r="2211" spans="29:33" x14ac:dyDescent="0.25">
      <c r="AC2211" s="12"/>
      <c r="AD2211" s="12"/>
      <c r="AF2211" s="12"/>
      <c r="AG2211" s="12"/>
    </row>
    <row r="2212" spans="29:33" x14ac:dyDescent="0.25">
      <c r="AC2212" s="12"/>
      <c r="AD2212" s="12"/>
      <c r="AF2212" s="12"/>
      <c r="AG2212" s="12"/>
    </row>
    <row r="2213" spans="29:33" x14ac:dyDescent="0.25">
      <c r="AC2213" s="12"/>
      <c r="AD2213" s="12"/>
      <c r="AF2213" s="12"/>
      <c r="AG2213" s="12"/>
    </row>
    <row r="2214" spans="29:33" x14ac:dyDescent="0.25">
      <c r="AC2214" s="12"/>
      <c r="AD2214" s="12"/>
      <c r="AF2214" s="12"/>
      <c r="AG2214" s="12"/>
    </row>
    <row r="2215" spans="29:33" x14ac:dyDescent="0.25">
      <c r="AC2215" s="12"/>
      <c r="AD2215" s="12"/>
      <c r="AF2215" s="12"/>
      <c r="AG2215" s="12"/>
    </row>
    <row r="2216" spans="29:33" x14ac:dyDescent="0.25">
      <c r="AC2216" s="12"/>
      <c r="AD2216" s="12"/>
      <c r="AF2216" s="12"/>
      <c r="AG2216" s="12"/>
    </row>
    <row r="2217" spans="29:33" x14ac:dyDescent="0.25">
      <c r="AC2217" s="12"/>
      <c r="AD2217" s="12"/>
      <c r="AF2217" s="12"/>
      <c r="AG2217" s="12"/>
    </row>
    <row r="2218" spans="29:33" x14ac:dyDescent="0.25">
      <c r="AC2218" s="12"/>
      <c r="AD2218" s="12"/>
      <c r="AF2218" s="12"/>
      <c r="AG2218" s="12"/>
    </row>
    <row r="2219" spans="29:33" x14ac:dyDescent="0.25">
      <c r="AC2219" s="12"/>
      <c r="AD2219" s="12"/>
      <c r="AF2219" s="12"/>
      <c r="AG2219" s="12"/>
    </row>
    <row r="2220" spans="29:33" x14ac:dyDescent="0.25">
      <c r="AC2220" s="12"/>
      <c r="AD2220" s="12"/>
      <c r="AF2220" s="12"/>
      <c r="AG2220" s="12"/>
    </row>
    <row r="2221" spans="29:33" x14ac:dyDescent="0.25">
      <c r="AC2221" s="12"/>
      <c r="AD2221" s="12"/>
      <c r="AF2221" s="12"/>
      <c r="AG2221" s="12"/>
    </row>
    <row r="2222" spans="29:33" x14ac:dyDescent="0.25">
      <c r="AC2222" s="12"/>
      <c r="AD2222" s="12"/>
      <c r="AF2222" s="12"/>
      <c r="AG2222" s="12"/>
    </row>
    <row r="2223" spans="29:33" x14ac:dyDescent="0.25">
      <c r="AC2223" s="12"/>
      <c r="AD2223" s="12"/>
      <c r="AF2223" s="12"/>
      <c r="AG2223" s="12"/>
    </row>
    <row r="2224" spans="29:33" x14ac:dyDescent="0.25">
      <c r="AC2224" s="12"/>
      <c r="AD2224" s="12"/>
      <c r="AF2224" s="12"/>
      <c r="AG2224" s="12"/>
    </row>
    <row r="2225" spans="29:33" x14ac:dyDescent="0.25">
      <c r="AC2225" s="12"/>
      <c r="AD2225" s="12"/>
      <c r="AF2225" s="12"/>
      <c r="AG2225" s="12"/>
    </row>
    <row r="2226" spans="29:33" x14ac:dyDescent="0.25">
      <c r="AC2226" s="12"/>
      <c r="AD2226" s="12"/>
      <c r="AF2226" s="12"/>
      <c r="AG2226" s="12"/>
    </row>
    <row r="2227" spans="29:33" x14ac:dyDescent="0.25">
      <c r="AC2227" s="12"/>
      <c r="AD2227" s="12"/>
      <c r="AF2227" s="12"/>
      <c r="AG2227" s="12"/>
    </row>
    <row r="2228" spans="29:33" x14ac:dyDescent="0.25">
      <c r="AC2228" s="12"/>
      <c r="AD2228" s="12"/>
      <c r="AF2228" s="12"/>
      <c r="AG2228" s="12"/>
    </row>
    <row r="2229" spans="29:33" x14ac:dyDescent="0.25">
      <c r="AC2229" s="12"/>
      <c r="AD2229" s="12"/>
      <c r="AF2229" s="12"/>
      <c r="AG2229" s="12"/>
    </row>
    <row r="2230" spans="29:33" x14ac:dyDescent="0.25">
      <c r="AC2230" s="12"/>
      <c r="AD2230" s="12"/>
      <c r="AF2230" s="12"/>
      <c r="AG2230" s="12"/>
    </row>
    <row r="2231" spans="29:33" x14ac:dyDescent="0.25">
      <c r="AC2231" s="12"/>
      <c r="AD2231" s="12"/>
      <c r="AF2231" s="12"/>
      <c r="AG2231" s="12"/>
    </row>
    <row r="2232" spans="29:33" x14ac:dyDescent="0.25">
      <c r="AC2232" s="12"/>
      <c r="AD2232" s="12"/>
      <c r="AF2232" s="12"/>
      <c r="AG2232" s="12"/>
    </row>
    <row r="2233" spans="29:33" x14ac:dyDescent="0.25">
      <c r="AC2233" s="12"/>
      <c r="AD2233" s="12"/>
      <c r="AF2233" s="12"/>
      <c r="AG2233" s="12"/>
    </row>
    <row r="2234" spans="29:33" x14ac:dyDescent="0.25">
      <c r="AC2234" s="12"/>
      <c r="AD2234" s="12"/>
      <c r="AF2234" s="12"/>
      <c r="AG2234" s="12"/>
    </row>
    <row r="2235" spans="29:33" x14ac:dyDescent="0.25">
      <c r="AC2235" s="12"/>
      <c r="AD2235" s="12"/>
      <c r="AF2235" s="12"/>
      <c r="AG2235" s="12"/>
    </row>
    <row r="2236" spans="29:33" x14ac:dyDescent="0.25">
      <c r="AC2236" s="12"/>
      <c r="AD2236" s="12"/>
      <c r="AF2236" s="12"/>
      <c r="AG2236" s="12"/>
    </row>
    <row r="2237" spans="29:33" x14ac:dyDescent="0.25">
      <c r="AC2237" s="12"/>
      <c r="AD2237" s="12"/>
      <c r="AF2237" s="12"/>
      <c r="AG2237" s="12"/>
    </row>
    <row r="2238" spans="29:33" x14ac:dyDescent="0.25">
      <c r="AC2238" s="12"/>
      <c r="AD2238" s="12"/>
      <c r="AF2238" s="12"/>
      <c r="AG2238" s="12"/>
    </row>
    <row r="2239" spans="29:33" x14ac:dyDescent="0.25">
      <c r="AC2239" s="12"/>
      <c r="AD2239" s="12"/>
      <c r="AF2239" s="12"/>
      <c r="AG2239" s="12"/>
    </row>
    <row r="2240" spans="29:33" x14ac:dyDescent="0.25">
      <c r="AC2240" s="12"/>
      <c r="AD2240" s="12"/>
      <c r="AF2240" s="12"/>
      <c r="AG2240" s="12"/>
    </row>
    <row r="2241" spans="29:33" x14ac:dyDescent="0.25">
      <c r="AC2241" s="12"/>
      <c r="AD2241" s="12"/>
      <c r="AF2241" s="12"/>
      <c r="AG2241" s="12"/>
    </row>
    <row r="2242" spans="29:33" x14ac:dyDescent="0.25">
      <c r="AC2242" s="12"/>
      <c r="AD2242" s="12"/>
      <c r="AF2242" s="12"/>
      <c r="AG2242" s="12"/>
    </row>
    <row r="2243" spans="29:33" x14ac:dyDescent="0.25">
      <c r="AC2243" s="12"/>
      <c r="AD2243" s="12"/>
      <c r="AF2243" s="12"/>
      <c r="AG2243" s="12"/>
    </row>
    <row r="2244" spans="29:33" x14ac:dyDescent="0.25">
      <c r="AC2244" s="12"/>
      <c r="AD2244" s="12"/>
      <c r="AF2244" s="12"/>
      <c r="AG2244" s="12"/>
    </row>
    <row r="2245" spans="29:33" x14ac:dyDescent="0.25">
      <c r="AC2245" s="12"/>
      <c r="AD2245" s="12"/>
      <c r="AF2245" s="12"/>
      <c r="AG2245" s="12"/>
    </row>
    <row r="2246" spans="29:33" x14ac:dyDescent="0.25">
      <c r="AC2246" s="12"/>
      <c r="AD2246" s="12"/>
      <c r="AF2246" s="12"/>
      <c r="AG2246" s="12"/>
    </row>
    <row r="2247" spans="29:33" x14ac:dyDescent="0.25">
      <c r="AC2247" s="12"/>
      <c r="AD2247" s="12"/>
      <c r="AF2247" s="12"/>
      <c r="AG2247" s="12"/>
    </row>
    <row r="2248" spans="29:33" x14ac:dyDescent="0.25">
      <c r="AC2248" s="12"/>
      <c r="AD2248" s="12"/>
      <c r="AF2248" s="12"/>
      <c r="AG2248" s="12"/>
    </row>
    <row r="2249" spans="29:33" x14ac:dyDescent="0.25">
      <c r="AC2249" s="12"/>
      <c r="AD2249" s="12"/>
      <c r="AF2249" s="12"/>
      <c r="AG2249" s="12"/>
    </row>
    <row r="2250" spans="29:33" x14ac:dyDescent="0.25">
      <c r="AC2250" s="12"/>
      <c r="AD2250" s="12"/>
      <c r="AF2250" s="12"/>
      <c r="AG2250" s="12"/>
    </row>
    <row r="2251" spans="29:33" x14ac:dyDescent="0.25">
      <c r="AC2251" s="12"/>
      <c r="AD2251" s="12"/>
      <c r="AF2251" s="12"/>
      <c r="AG2251" s="12"/>
    </row>
    <row r="2252" spans="29:33" x14ac:dyDescent="0.25">
      <c r="AC2252" s="12"/>
      <c r="AD2252" s="12"/>
      <c r="AF2252" s="12"/>
      <c r="AG2252" s="12"/>
    </row>
    <row r="2253" spans="29:33" x14ac:dyDescent="0.25">
      <c r="AC2253" s="12"/>
      <c r="AD2253" s="12"/>
      <c r="AF2253" s="12"/>
      <c r="AG2253" s="12"/>
    </row>
    <row r="2254" spans="29:33" x14ac:dyDescent="0.25">
      <c r="AC2254" s="12"/>
      <c r="AD2254" s="12"/>
      <c r="AF2254" s="12"/>
      <c r="AG2254" s="12"/>
    </row>
    <row r="2255" spans="29:33" x14ac:dyDescent="0.25">
      <c r="AC2255" s="12"/>
      <c r="AD2255" s="12"/>
      <c r="AF2255" s="12"/>
      <c r="AG2255" s="12"/>
    </row>
    <row r="2256" spans="29:33" x14ac:dyDescent="0.25">
      <c r="AC2256" s="12"/>
      <c r="AD2256" s="12"/>
      <c r="AF2256" s="12"/>
      <c r="AG2256" s="12"/>
    </row>
    <row r="2257" spans="29:33" x14ac:dyDescent="0.25">
      <c r="AC2257" s="12"/>
      <c r="AD2257" s="12"/>
      <c r="AF2257" s="12"/>
      <c r="AG2257" s="12"/>
    </row>
    <row r="2258" spans="29:33" x14ac:dyDescent="0.25">
      <c r="AC2258" s="12"/>
      <c r="AD2258" s="12"/>
      <c r="AF2258" s="12"/>
      <c r="AG2258" s="12"/>
    </row>
    <row r="2259" spans="29:33" x14ac:dyDescent="0.25">
      <c r="AC2259" s="12"/>
      <c r="AD2259" s="12"/>
      <c r="AF2259" s="12"/>
      <c r="AG2259" s="12"/>
    </row>
    <row r="2260" spans="29:33" x14ac:dyDescent="0.25">
      <c r="AC2260" s="12"/>
      <c r="AD2260" s="12"/>
      <c r="AF2260" s="12"/>
      <c r="AG2260" s="12"/>
    </row>
    <row r="2261" spans="29:33" x14ac:dyDescent="0.25">
      <c r="AC2261" s="12"/>
      <c r="AD2261" s="12"/>
      <c r="AF2261" s="12"/>
      <c r="AG2261" s="12"/>
    </row>
    <row r="2262" spans="29:33" x14ac:dyDescent="0.25">
      <c r="AC2262" s="12"/>
      <c r="AD2262" s="12"/>
      <c r="AF2262" s="12"/>
      <c r="AG2262" s="12"/>
    </row>
    <row r="2263" spans="29:33" x14ac:dyDescent="0.25">
      <c r="AC2263" s="12"/>
      <c r="AD2263" s="12"/>
      <c r="AF2263" s="12"/>
      <c r="AG2263" s="12"/>
    </row>
    <row r="2264" spans="29:33" x14ac:dyDescent="0.25">
      <c r="AC2264" s="12"/>
      <c r="AD2264" s="12"/>
      <c r="AF2264" s="12"/>
      <c r="AG2264" s="12"/>
    </row>
    <row r="2265" spans="29:33" x14ac:dyDescent="0.25">
      <c r="AC2265" s="12"/>
      <c r="AD2265" s="12"/>
      <c r="AF2265" s="12"/>
      <c r="AG2265" s="12"/>
    </row>
    <row r="2266" spans="29:33" x14ac:dyDescent="0.25">
      <c r="AC2266" s="12"/>
      <c r="AD2266" s="12"/>
      <c r="AF2266" s="12"/>
      <c r="AG2266" s="12"/>
    </row>
    <row r="2267" spans="29:33" x14ac:dyDescent="0.25">
      <c r="AC2267" s="12"/>
      <c r="AD2267" s="12"/>
      <c r="AF2267" s="12"/>
      <c r="AG2267" s="12"/>
    </row>
    <row r="2268" spans="29:33" x14ac:dyDescent="0.25">
      <c r="AC2268" s="12"/>
      <c r="AD2268" s="12"/>
      <c r="AF2268" s="12"/>
      <c r="AG2268" s="12"/>
    </row>
    <row r="2269" spans="29:33" x14ac:dyDescent="0.25">
      <c r="AC2269" s="12"/>
      <c r="AD2269" s="12"/>
      <c r="AF2269" s="12"/>
      <c r="AG2269" s="12"/>
    </row>
    <row r="2270" spans="29:33" x14ac:dyDescent="0.25">
      <c r="AC2270" s="12"/>
      <c r="AD2270" s="12"/>
      <c r="AF2270" s="12"/>
      <c r="AG2270" s="12"/>
    </row>
    <row r="2271" spans="29:33" x14ac:dyDescent="0.25">
      <c r="AC2271" s="12"/>
      <c r="AD2271" s="12"/>
      <c r="AF2271" s="12"/>
      <c r="AG2271" s="12"/>
    </row>
    <row r="2272" spans="29:33" x14ac:dyDescent="0.25">
      <c r="AC2272" s="12"/>
      <c r="AD2272" s="12"/>
      <c r="AF2272" s="12"/>
      <c r="AG2272" s="12"/>
    </row>
    <row r="2273" spans="29:33" x14ac:dyDescent="0.25">
      <c r="AC2273" s="12"/>
      <c r="AD2273" s="12"/>
      <c r="AF2273" s="12"/>
      <c r="AG2273" s="12"/>
    </row>
    <row r="2274" spans="29:33" x14ac:dyDescent="0.25">
      <c r="AC2274" s="12"/>
      <c r="AD2274" s="12"/>
      <c r="AF2274" s="12"/>
      <c r="AG2274" s="12"/>
    </row>
    <row r="2275" spans="29:33" x14ac:dyDescent="0.25">
      <c r="AC2275" s="12"/>
      <c r="AD2275" s="12"/>
      <c r="AF2275" s="12"/>
      <c r="AG2275" s="12"/>
    </row>
    <row r="2276" spans="29:33" x14ac:dyDescent="0.25">
      <c r="AC2276" s="12"/>
      <c r="AD2276" s="12"/>
      <c r="AF2276" s="12"/>
      <c r="AG2276" s="12"/>
    </row>
    <row r="2277" spans="29:33" x14ac:dyDescent="0.25">
      <c r="AC2277" s="12"/>
      <c r="AD2277" s="12"/>
      <c r="AF2277" s="12"/>
      <c r="AG2277" s="12"/>
    </row>
    <row r="2278" spans="29:33" x14ac:dyDescent="0.25">
      <c r="AC2278" s="12"/>
      <c r="AD2278" s="12"/>
      <c r="AF2278" s="12"/>
      <c r="AG2278" s="12"/>
    </row>
    <row r="2279" spans="29:33" x14ac:dyDescent="0.25">
      <c r="AC2279" s="12"/>
      <c r="AD2279" s="12"/>
      <c r="AF2279" s="12"/>
      <c r="AG2279" s="12"/>
    </row>
    <row r="2280" spans="29:33" x14ac:dyDescent="0.25">
      <c r="AC2280" s="12"/>
      <c r="AD2280" s="12"/>
      <c r="AF2280" s="12"/>
      <c r="AG2280" s="12"/>
    </row>
    <row r="2281" spans="29:33" x14ac:dyDescent="0.25">
      <c r="AC2281" s="12"/>
      <c r="AD2281" s="12"/>
      <c r="AF2281" s="12"/>
      <c r="AG2281" s="12"/>
    </row>
    <row r="2282" spans="29:33" x14ac:dyDescent="0.25">
      <c r="AC2282" s="12"/>
      <c r="AD2282" s="12"/>
      <c r="AF2282" s="12"/>
      <c r="AG2282" s="12"/>
    </row>
    <row r="2283" spans="29:33" x14ac:dyDescent="0.25">
      <c r="AC2283" s="12"/>
      <c r="AD2283" s="12"/>
      <c r="AF2283" s="12"/>
      <c r="AG2283" s="12"/>
    </row>
    <row r="2284" spans="29:33" x14ac:dyDescent="0.25">
      <c r="AC2284" s="12"/>
      <c r="AD2284" s="12"/>
      <c r="AF2284" s="12"/>
      <c r="AG2284" s="12"/>
    </row>
    <row r="2285" spans="29:33" x14ac:dyDescent="0.25">
      <c r="AC2285" s="12"/>
      <c r="AD2285" s="12"/>
      <c r="AF2285" s="12"/>
      <c r="AG2285" s="12"/>
    </row>
    <row r="2286" spans="29:33" x14ac:dyDescent="0.25">
      <c r="AC2286" s="12"/>
      <c r="AD2286" s="12"/>
      <c r="AF2286" s="12"/>
      <c r="AG2286" s="12"/>
    </row>
    <row r="2287" spans="29:33" x14ac:dyDescent="0.25">
      <c r="AC2287" s="12"/>
      <c r="AD2287" s="12"/>
      <c r="AF2287" s="12"/>
      <c r="AG2287" s="12"/>
    </row>
    <row r="2288" spans="29:33" x14ac:dyDescent="0.25">
      <c r="AC2288" s="12"/>
      <c r="AD2288" s="12"/>
      <c r="AF2288" s="12"/>
      <c r="AG2288" s="12"/>
    </row>
    <row r="2289" spans="29:33" x14ac:dyDescent="0.25">
      <c r="AC2289" s="12"/>
      <c r="AD2289" s="12"/>
      <c r="AF2289" s="12"/>
      <c r="AG2289" s="12"/>
    </row>
    <row r="2290" spans="29:33" x14ac:dyDescent="0.25">
      <c r="AC2290" s="12"/>
      <c r="AD2290" s="12"/>
      <c r="AF2290" s="12"/>
      <c r="AG2290" s="12"/>
    </row>
    <row r="2291" spans="29:33" x14ac:dyDescent="0.25">
      <c r="AC2291" s="12"/>
      <c r="AD2291" s="12"/>
      <c r="AF2291" s="12"/>
      <c r="AG2291" s="12"/>
    </row>
    <row r="2292" spans="29:33" x14ac:dyDescent="0.25">
      <c r="AC2292" s="12"/>
      <c r="AD2292" s="12"/>
      <c r="AF2292" s="12"/>
      <c r="AG2292" s="12"/>
    </row>
    <row r="2293" spans="29:33" x14ac:dyDescent="0.25">
      <c r="AC2293" s="12"/>
      <c r="AD2293" s="12"/>
      <c r="AF2293" s="12"/>
      <c r="AG2293" s="12"/>
    </row>
    <row r="2294" spans="29:33" x14ac:dyDescent="0.25">
      <c r="AC2294" s="12"/>
      <c r="AD2294" s="12"/>
      <c r="AF2294" s="12"/>
      <c r="AG2294" s="12"/>
    </row>
    <row r="2295" spans="29:33" x14ac:dyDescent="0.25">
      <c r="AC2295" s="12"/>
      <c r="AD2295" s="12"/>
      <c r="AF2295" s="12"/>
      <c r="AG2295" s="12"/>
    </row>
    <row r="2296" spans="29:33" x14ac:dyDescent="0.25">
      <c r="AC2296" s="12"/>
      <c r="AD2296" s="12"/>
      <c r="AF2296" s="12"/>
      <c r="AG2296" s="12"/>
    </row>
    <row r="2297" spans="29:33" x14ac:dyDescent="0.25">
      <c r="AC2297" s="12"/>
      <c r="AD2297" s="12"/>
      <c r="AF2297" s="12"/>
      <c r="AG2297" s="12"/>
    </row>
    <row r="2298" spans="29:33" x14ac:dyDescent="0.25">
      <c r="AC2298" s="12"/>
      <c r="AD2298" s="12"/>
      <c r="AF2298" s="12"/>
      <c r="AG2298" s="12"/>
    </row>
    <row r="2299" spans="29:33" x14ac:dyDescent="0.25">
      <c r="AC2299" s="12"/>
      <c r="AD2299" s="12"/>
      <c r="AF2299" s="12"/>
      <c r="AG2299" s="12"/>
    </row>
    <row r="2300" spans="29:33" x14ac:dyDescent="0.25">
      <c r="AC2300" s="12"/>
      <c r="AD2300" s="12"/>
      <c r="AF2300" s="12"/>
      <c r="AG2300" s="12"/>
    </row>
    <row r="2301" spans="29:33" x14ac:dyDescent="0.25">
      <c r="AC2301" s="12"/>
      <c r="AD2301" s="12"/>
      <c r="AF2301" s="12"/>
      <c r="AG2301" s="12"/>
    </row>
    <row r="2302" spans="29:33" x14ac:dyDescent="0.25">
      <c r="AC2302" s="12"/>
      <c r="AD2302" s="12"/>
      <c r="AF2302" s="12"/>
      <c r="AG2302" s="12"/>
    </row>
    <row r="2303" spans="29:33" x14ac:dyDescent="0.25">
      <c r="AC2303" s="12"/>
      <c r="AD2303" s="12"/>
      <c r="AF2303" s="12"/>
      <c r="AG2303" s="12"/>
    </row>
    <row r="2304" spans="29:33" x14ac:dyDescent="0.25">
      <c r="AC2304" s="12"/>
      <c r="AD2304" s="12"/>
      <c r="AF2304" s="12"/>
      <c r="AG2304" s="12"/>
    </row>
    <row r="2305" spans="29:33" x14ac:dyDescent="0.25">
      <c r="AC2305" s="12"/>
      <c r="AD2305" s="12"/>
      <c r="AF2305" s="12"/>
      <c r="AG2305" s="12"/>
    </row>
    <row r="2306" spans="29:33" x14ac:dyDescent="0.25">
      <c r="AC2306" s="12"/>
      <c r="AD2306" s="12"/>
      <c r="AF2306" s="12"/>
      <c r="AG2306" s="12"/>
    </row>
    <row r="2307" spans="29:33" x14ac:dyDescent="0.25">
      <c r="AC2307" s="12"/>
      <c r="AD2307" s="12"/>
      <c r="AF2307" s="12"/>
      <c r="AG2307" s="12"/>
    </row>
    <row r="2308" spans="29:33" x14ac:dyDescent="0.25">
      <c r="AC2308" s="12"/>
      <c r="AD2308" s="12"/>
      <c r="AF2308" s="12"/>
      <c r="AG2308" s="12"/>
    </row>
    <row r="2309" spans="29:33" x14ac:dyDescent="0.25">
      <c r="AC2309" s="12"/>
      <c r="AD2309" s="12"/>
      <c r="AF2309" s="12"/>
      <c r="AG2309" s="12"/>
    </row>
    <row r="2310" spans="29:33" x14ac:dyDescent="0.25">
      <c r="AC2310" s="12"/>
      <c r="AD2310" s="12"/>
      <c r="AF2310" s="12"/>
      <c r="AG2310" s="12"/>
    </row>
    <row r="2311" spans="29:33" x14ac:dyDescent="0.25">
      <c r="AC2311" s="12"/>
      <c r="AD2311" s="12"/>
      <c r="AF2311" s="12"/>
      <c r="AG2311" s="12"/>
    </row>
    <row r="2312" spans="29:33" x14ac:dyDescent="0.25">
      <c r="AC2312" s="12"/>
      <c r="AD2312" s="12"/>
      <c r="AF2312" s="12"/>
      <c r="AG2312" s="12"/>
    </row>
    <row r="2313" spans="29:33" x14ac:dyDescent="0.25">
      <c r="AC2313" s="12"/>
      <c r="AD2313" s="12"/>
      <c r="AF2313" s="12"/>
      <c r="AG2313" s="12"/>
    </row>
    <row r="2314" spans="29:33" x14ac:dyDescent="0.25">
      <c r="AC2314" s="12"/>
      <c r="AD2314" s="12"/>
      <c r="AF2314" s="12"/>
      <c r="AG2314" s="12"/>
    </row>
    <row r="2315" spans="29:33" x14ac:dyDescent="0.25">
      <c r="AC2315" s="12"/>
      <c r="AD2315" s="12"/>
      <c r="AF2315" s="12"/>
      <c r="AG2315" s="12"/>
    </row>
    <row r="2316" spans="29:33" x14ac:dyDescent="0.25">
      <c r="AC2316" s="12"/>
      <c r="AD2316" s="12"/>
      <c r="AF2316" s="12"/>
      <c r="AG2316" s="12"/>
    </row>
    <row r="2317" spans="29:33" x14ac:dyDescent="0.25">
      <c r="AC2317" s="12"/>
      <c r="AD2317" s="12"/>
      <c r="AF2317" s="12"/>
      <c r="AG2317" s="12"/>
    </row>
    <row r="2318" spans="29:33" x14ac:dyDescent="0.25">
      <c r="AC2318" s="12"/>
      <c r="AD2318" s="12"/>
      <c r="AF2318" s="12"/>
      <c r="AG2318" s="12"/>
    </row>
    <row r="2319" spans="29:33" x14ac:dyDescent="0.25">
      <c r="AC2319" s="12"/>
      <c r="AD2319" s="12"/>
      <c r="AF2319" s="12"/>
      <c r="AG2319" s="12"/>
    </row>
    <row r="2320" spans="29:33" x14ac:dyDescent="0.25">
      <c r="AC2320" s="12"/>
      <c r="AD2320" s="12"/>
      <c r="AF2320" s="12"/>
      <c r="AG2320" s="12"/>
    </row>
    <row r="2321" spans="29:33" x14ac:dyDescent="0.25">
      <c r="AC2321" s="12"/>
      <c r="AD2321" s="12"/>
      <c r="AF2321" s="12"/>
      <c r="AG2321" s="12"/>
    </row>
    <row r="2322" spans="29:33" x14ac:dyDescent="0.25">
      <c r="AC2322" s="12"/>
      <c r="AD2322" s="12"/>
      <c r="AF2322" s="12"/>
      <c r="AG2322" s="12"/>
    </row>
    <row r="2323" spans="29:33" x14ac:dyDescent="0.25">
      <c r="AC2323" s="12"/>
      <c r="AD2323" s="12"/>
      <c r="AF2323" s="12"/>
      <c r="AG2323" s="12"/>
    </row>
    <row r="2324" spans="29:33" x14ac:dyDescent="0.25">
      <c r="AC2324" s="12"/>
      <c r="AD2324" s="12"/>
      <c r="AF2324" s="12"/>
      <c r="AG2324" s="12"/>
    </row>
    <row r="2325" spans="29:33" x14ac:dyDescent="0.25">
      <c r="AC2325" s="12"/>
      <c r="AD2325" s="12"/>
      <c r="AF2325" s="12"/>
      <c r="AG2325" s="12"/>
    </row>
    <row r="2326" spans="29:33" x14ac:dyDescent="0.25">
      <c r="AC2326" s="12"/>
      <c r="AD2326" s="12"/>
      <c r="AF2326" s="12"/>
      <c r="AG2326" s="12"/>
    </row>
    <row r="2327" spans="29:33" x14ac:dyDescent="0.25">
      <c r="AC2327" s="12"/>
      <c r="AD2327" s="12"/>
      <c r="AF2327" s="12"/>
      <c r="AG2327" s="12"/>
    </row>
    <row r="2328" spans="29:33" x14ac:dyDescent="0.25">
      <c r="AC2328" s="12"/>
      <c r="AD2328" s="12"/>
      <c r="AF2328" s="12"/>
      <c r="AG2328" s="12"/>
    </row>
    <row r="2329" spans="29:33" x14ac:dyDescent="0.25">
      <c r="AC2329" s="12"/>
      <c r="AD2329" s="12"/>
      <c r="AF2329" s="12"/>
      <c r="AG2329" s="12"/>
    </row>
    <row r="2330" spans="29:33" x14ac:dyDescent="0.25">
      <c r="AC2330" s="12"/>
      <c r="AD2330" s="12"/>
      <c r="AF2330" s="12"/>
      <c r="AG2330" s="12"/>
    </row>
    <row r="2331" spans="29:33" x14ac:dyDescent="0.25">
      <c r="AC2331" s="12"/>
      <c r="AD2331" s="12"/>
      <c r="AF2331" s="12"/>
      <c r="AG2331" s="12"/>
    </row>
    <row r="2332" spans="29:33" x14ac:dyDescent="0.25">
      <c r="AC2332" s="12"/>
      <c r="AD2332" s="12"/>
      <c r="AF2332" s="12"/>
      <c r="AG2332" s="12"/>
    </row>
    <row r="2333" spans="29:33" x14ac:dyDescent="0.25">
      <c r="AC2333" s="12"/>
      <c r="AD2333" s="12"/>
      <c r="AF2333" s="12"/>
      <c r="AG2333" s="12"/>
    </row>
    <row r="2334" spans="29:33" x14ac:dyDescent="0.25">
      <c r="AC2334" s="12"/>
      <c r="AD2334" s="12"/>
      <c r="AF2334" s="12"/>
      <c r="AG2334" s="12"/>
    </row>
    <row r="2335" spans="29:33" x14ac:dyDescent="0.25">
      <c r="AC2335" s="12"/>
      <c r="AD2335" s="12"/>
      <c r="AF2335" s="12"/>
      <c r="AG2335" s="12"/>
    </row>
    <row r="2336" spans="29:33" x14ac:dyDescent="0.25">
      <c r="AC2336" s="12"/>
      <c r="AD2336" s="12"/>
      <c r="AF2336" s="12"/>
      <c r="AG2336" s="12"/>
    </row>
    <row r="2337" spans="29:33" x14ac:dyDescent="0.25">
      <c r="AC2337" s="12"/>
      <c r="AD2337" s="12"/>
      <c r="AF2337" s="12"/>
      <c r="AG2337" s="12"/>
    </row>
    <row r="2338" spans="29:33" x14ac:dyDescent="0.25">
      <c r="AC2338" s="12"/>
      <c r="AD2338" s="12"/>
      <c r="AF2338" s="12"/>
      <c r="AG2338" s="12"/>
    </row>
    <row r="2339" spans="29:33" x14ac:dyDescent="0.25">
      <c r="AC2339" s="12"/>
      <c r="AD2339" s="12"/>
      <c r="AF2339" s="12"/>
      <c r="AG2339" s="12"/>
    </row>
    <row r="2340" spans="29:33" x14ac:dyDescent="0.25">
      <c r="AC2340" s="12"/>
      <c r="AD2340" s="12"/>
      <c r="AF2340" s="12"/>
      <c r="AG2340" s="12"/>
    </row>
    <row r="2341" spans="29:33" x14ac:dyDescent="0.25">
      <c r="AC2341" s="12"/>
      <c r="AD2341" s="12"/>
      <c r="AF2341" s="12"/>
      <c r="AG2341" s="12"/>
    </row>
    <row r="2342" spans="29:33" x14ac:dyDescent="0.25">
      <c r="AC2342" s="12"/>
      <c r="AD2342" s="12"/>
      <c r="AF2342" s="12"/>
      <c r="AG2342" s="12"/>
    </row>
    <row r="2343" spans="29:33" x14ac:dyDescent="0.25">
      <c r="AC2343" s="12"/>
      <c r="AD2343" s="12"/>
      <c r="AF2343" s="12"/>
      <c r="AG2343" s="12"/>
    </row>
    <row r="2344" spans="29:33" x14ac:dyDescent="0.25">
      <c r="AC2344" s="12"/>
      <c r="AD2344" s="12"/>
      <c r="AF2344" s="12"/>
      <c r="AG2344" s="12"/>
    </row>
    <row r="2345" spans="29:33" x14ac:dyDescent="0.25">
      <c r="AC2345" s="12"/>
      <c r="AD2345" s="12"/>
      <c r="AF2345" s="12"/>
      <c r="AG2345" s="12"/>
    </row>
    <row r="2346" spans="29:33" x14ac:dyDescent="0.25">
      <c r="AC2346" s="12"/>
      <c r="AD2346" s="12"/>
      <c r="AF2346" s="12"/>
      <c r="AG2346" s="12"/>
    </row>
    <row r="2347" spans="29:33" x14ac:dyDescent="0.25">
      <c r="AC2347" s="12"/>
      <c r="AD2347" s="12"/>
      <c r="AF2347" s="12"/>
      <c r="AG2347" s="12"/>
    </row>
    <row r="2348" spans="29:33" x14ac:dyDescent="0.25">
      <c r="AC2348" s="12"/>
      <c r="AD2348" s="12"/>
      <c r="AF2348" s="12"/>
      <c r="AG2348" s="12"/>
    </row>
    <row r="2349" spans="29:33" x14ac:dyDescent="0.25">
      <c r="AC2349" s="12"/>
      <c r="AD2349" s="12"/>
      <c r="AF2349" s="12"/>
      <c r="AG2349" s="12"/>
    </row>
    <row r="2350" spans="29:33" x14ac:dyDescent="0.25">
      <c r="AC2350" s="12"/>
      <c r="AD2350" s="12"/>
      <c r="AF2350" s="12"/>
      <c r="AG2350" s="12"/>
    </row>
    <row r="2351" spans="29:33" x14ac:dyDescent="0.25">
      <c r="AC2351" s="12"/>
      <c r="AD2351" s="12"/>
      <c r="AF2351" s="12"/>
      <c r="AG2351" s="12"/>
    </row>
    <row r="2352" spans="29:33" x14ac:dyDescent="0.25">
      <c r="AC2352" s="12"/>
      <c r="AD2352" s="12"/>
      <c r="AF2352" s="12"/>
      <c r="AG2352" s="12"/>
    </row>
    <row r="2353" spans="29:33" x14ac:dyDescent="0.25">
      <c r="AC2353" s="12"/>
      <c r="AD2353" s="12"/>
      <c r="AF2353" s="12"/>
      <c r="AG2353" s="12"/>
    </row>
    <row r="2354" spans="29:33" x14ac:dyDescent="0.25">
      <c r="AC2354" s="12"/>
      <c r="AD2354" s="12"/>
      <c r="AF2354" s="12"/>
      <c r="AG2354" s="12"/>
    </row>
    <row r="2355" spans="29:33" x14ac:dyDescent="0.25">
      <c r="AC2355" s="12"/>
      <c r="AD2355" s="12"/>
      <c r="AF2355" s="12"/>
      <c r="AG2355" s="12"/>
    </row>
    <row r="2356" spans="29:33" x14ac:dyDescent="0.25">
      <c r="AC2356" s="12"/>
      <c r="AD2356" s="12"/>
      <c r="AF2356" s="12"/>
      <c r="AG2356" s="12"/>
    </row>
    <row r="2357" spans="29:33" x14ac:dyDescent="0.25">
      <c r="AC2357" s="12"/>
      <c r="AD2357" s="12"/>
      <c r="AF2357" s="12"/>
      <c r="AG2357" s="12"/>
    </row>
    <row r="2358" spans="29:33" x14ac:dyDescent="0.25">
      <c r="AC2358" s="12"/>
      <c r="AD2358" s="12"/>
      <c r="AF2358" s="12"/>
      <c r="AG2358" s="12"/>
    </row>
    <row r="2359" spans="29:33" x14ac:dyDescent="0.25">
      <c r="AC2359" s="12"/>
      <c r="AD2359" s="12"/>
      <c r="AF2359" s="12"/>
      <c r="AG2359" s="12"/>
    </row>
    <row r="2360" spans="29:33" x14ac:dyDescent="0.25">
      <c r="AC2360" s="12"/>
      <c r="AD2360" s="12"/>
      <c r="AF2360" s="12"/>
      <c r="AG2360" s="12"/>
    </row>
    <row r="2361" spans="29:33" x14ac:dyDescent="0.25">
      <c r="AC2361" s="12"/>
      <c r="AD2361" s="12"/>
      <c r="AF2361" s="12"/>
      <c r="AG2361" s="12"/>
    </row>
    <row r="2362" spans="29:33" x14ac:dyDescent="0.25">
      <c r="AC2362" s="12"/>
      <c r="AD2362" s="12"/>
      <c r="AF2362" s="12"/>
      <c r="AG2362" s="12"/>
    </row>
    <row r="2363" spans="29:33" x14ac:dyDescent="0.25">
      <c r="AC2363" s="12"/>
      <c r="AD2363" s="12"/>
      <c r="AF2363" s="12"/>
      <c r="AG2363" s="12"/>
    </row>
    <row r="2364" spans="29:33" x14ac:dyDescent="0.25">
      <c r="AC2364" s="12"/>
      <c r="AD2364" s="12"/>
      <c r="AF2364" s="12"/>
      <c r="AG2364" s="12"/>
    </row>
    <row r="2365" spans="29:33" x14ac:dyDescent="0.25">
      <c r="AC2365" s="12"/>
      <c r="AD2365" s="12"/>
      <c r="AF2365" s="12"/>
      <c r="AG2365" s="12"/>
    </row>
    <row r="2366" spans="29:33" x14ac:dyDescent="0.25">
      <c r="AC2366" s="12"/>
      <c r="AD2366" s="12"/>
      <c r="AF2366" s="12"/>
      <c r="AG2366" s="12"/>
    </row>
    <row r="2367" spans="29:33" x14ac:dyDescent="0.25">
      <c r="AC2367" s="12"/>
      <c r="AD2367" s="12"/>
      <c r="AF2367" s="12"/>
      <c r="AG2367" s="12"/>
    </row>
    <row r="2368" spans="29:33" x14ac:dyDescent="0.25">
      <c r="AC2368" s="12"/>
      <c r="AD2368" s="12"/>
      <c r="AF2368" s="12"/>
      <c r="AG2368" s="12"/>
    </row>
    <row r="2369" spans="29:33" x14ac:dyDescent="0.25">
      <c r="AC2369" s="12"/>
      <c r="AD2369" s="12"/>
      <c r="AF2369" s="12"/>
      <c r="AG2369" s="12"/>
    </row>
    <row r="2370" spans="29:33" x14ac:dyDescent="0.25">
      <c r="AC2370" s="12"/>
      <c r="AD2370" s="12"/>
      <c r="AF2370" s="12"/>
      <c r="AG2370" s="12"/>
    </row>
    <row r="2371" spans="29:33" x14ac:dyDescent="0.25">
      <c r="AC2371" s="12"/>
      <c r="AD2371" s="12"/>
      <c r="AF2371" s="12"/>
      <c r="AG2371" s="12"/>
    </row>
    <row r="2372" spans="29:33" x14ac:dyDescent="0.25">
      <c r="AC2372" s="12"/>
      <c r="AD2372" s="12"/>
      <c r="AF2372" s="12"/>
      <c r="AG2372" s="12"/>
    </row>
    <row r="2373" spans="29:33" x14ac:dyDescent="0.25">
      <c r="AC2373" s="12"/>
      <c r="AD2373" s="12"/>
      <c r="AF2373" s="12"/>
      <c r="AG2373" s="12"/>
    </row>
    <row r="2374" spans="29:33" x14ac:dyDescent="0.25">
      <c r="AC2374" s="12"/>
      <c r="AD2374" s="12"/>
      <c r="AF2374" s="12"/>
      <c r="AG2374" s="12"/>
    </row>
    <row r="2375" spans="29:33" x14ac:dyDescent="0.25">
      <c r="AC2375" s="12"/>
      <c r="AD2375" s="12"/>
      <c r="AF2375" s="12"/>
      <c r="AG2375" s="12"/>
    </row>
    <row r="2376" spans="29:33" x14ac:dyDescent="0.25">
      <c r="AC2376" s="12"/>
      <c r="AD2376" s="12"/>
      <c r="AF2376" s="12"/>
      <c r="AG2376" s="12"/>
    </row>
    <row r="2377" spans="29:33" x14ac:dyDescent="0.25">
      <c r="AC2377" s="12"/>
      <c r="AD2377" s="12"/>
      <c r="AF2377" s="12"/>
      <c r="AG2377" s="12"/>
    </row>
    <row r="2378" spans="29:33" x14ac:dyDescent="0.25">
      <c r="AC2378" s="12"/>
      <c r="AD2378" s="12"/>
      <c r="AF2378" s="12"/>
      <c r="AG2378" s="12"/>
    </row>
    <row r="2379" spans="29:33" x14ac:dyDescent="0.25">
      <c r="AC2379" s="12"/>
      <c r="AD2379" s="12"/>
      <c r="AF2379" s="12"/>
      <c r="AG2379" s="12"/>
    </row>
    <row r="2380" spans="29:33" x14ac:dyDescent="0.25">
      <c r="AC2380" s="12"/>
      <c r="AD2380" s="12"/>
      <c r="AF2380" s="12"/>
      <c r="AG2380" s="12"/>
    </row>
    <row r="2381" spans="29:33" x14ac:dyDescent="0.25">
      <c r="AC2381" s="12"/>
      <c r="AD2381" s="12"/>
      <c r="AF2381" s="12"/>
      <c r="AG2381" s="12"/>
    </row>
    <row r="2382" spans="29:33" x14ac:dyDescent="0.25">
      <c r="AC2382" s="12"/>
      <c r="AD2382" s="12"/>
      <c r="AF2382" s="12"/>
      <c r="AG2382" s="12"/>
    </row>
    <row r="2383" spans="29:33" x14ac:dyDescent="0.25">
      <c r="AC2383" s="12"/>
      <c r="AD2383" s="12"/>
      <c r="AF2383" s="12"/>
      <c r="AG2383" s="12"/>
    </row>
    <row r="2384" spans="29:33" x14ac:dyDescent="0.25">
      <c r="AC2384" s="12"/>
      <c r="AD2384" s="12"/>
      <c r="AF2384" s="12"/>
      <c r="AG2384" s="12"/>
    </row>
    <row r="2385" spans="29:33" x14ac:dyDescent="0.25">
      <c r="AC2385" s="12"/>
      <c r="AD2385" s="12"/>
      <c r="AF2385" s="12"/>
      <c r="AG2385" s="12"/>
    </row>
    <row r="2386" spans="29:33" x14ac:dyDescent="0.25">
      <c r="AC2386" s="12"/>
      <c r="AD2386" s="12"/>
      <c r="AF2386" s="12"/>
      <c r="AG2386" s="12"/>
    </row>
    <row r="2387" spans="29:33" x14ac:dyDescent="0.25">
      <c r="AC2387" s="12"/>
      <c r="AD2387" s="12"/>
      <c r="AF2387" s="12"/>
      <c r="AG2387" s="12"/>
    </row>
    <row r="2388" spans="29:33" x14ac:dyDescent="0.25">
      <c r="AC2388" s="12"/>
      <c r="AD2388" s="12"/>
      <c r="AF2388" s="12"/>
      <c r="AG2388" s="12"/>
    </row>
    <row r="2389" spans="29:33" x14ac:dyDescent="0.25">
      <c r="AC2389" s="12"/>
      <c r="AD2389" s="12"/>
      <c r="AF2389" s="12"/>
      <c r="AG2389" s="12"/>
    </row>
    <row r="2390" spans="29:33" x14ac:dyDescent="0.25">
      <c r="AC2390" s="12"/>
      <c r="AD2390" s="12"/>
      <c r="AF2390" s="12"/>
      <c r="AG2390" s="12"/>
    </row>
    <row r="2391" spans="29:33" x14ac:dyDescent="0.25">
      <c r="AC2391" s="12"/>
      <c r="AD2391" s="12"/>
      <c r="AF2391" s="12"/>
      <c r="AG2391" s="12"/>
    </row>
    <row r="2392" spans="29:33" x14ac:dyDescent="0.25">
      <c r="AC2392" s="12"/>
      <c r="AD2392" s="12"/>
      <c r="AF2392" s="12"/>
      <c r="AG2392" s="12"/>
    </row>
    <row r="2393" spans="29:33" x14ac:dyDescent="0.25">
      <c r="AC2393" s="12"/>
      <c r="AD2393" s="12"/>
      <c r="AF2393" s="12"/>
      <c r="AG2393" s="12"/>
    </row>
    <row r="2394" spans="29:33" x14ac:dyDescent="0.25">
      <c r="AC2394" s="12"/>
      <c r="AD2394" s="12"/>
      <c r="AF2394" s="12"/>
      <c r="AG2394" s="12"/>
    </row>
    <row r="2395" spans="29:33" x14ac:dyDescent="0.25">
      <c r="AC2395" s="12"/>
      <c r="AD2395" s="12"/>
      <c r="AF2395" s="12"/>
      <c r="AG2395" s="12"/>
    </row>
    <row r="2396" spans="29:33" x14ac:dyDescent="0.25">
      <c r="AC2396" s="12"/>
      <c r="AD2396" s="12"/>
      <c r="AF2396" s="12"/>
      <c r="AG2396" s="12"/>
    </row>
    <row r="2397" spans="29:33" x14ac:dyDescent="0.25">
      <c r="AC2397" s="12"/>
      <c r="AD2397" s="12"/>
      <c r="AF2397" s="12"/>
      <c r="AG2397" s="12"/>
    </row>
    <row r="2398" spans="29:33" x14ac:dyDescent="0.25">
      <c r="AC2398" s="12"/>
      <c r="AD2398" s="12"/>
      <c r="AF2398" s="12"/>
      <c r="AG2398" s="12"/>
    </row>
    <row r="2399" spans="29:33" x14ac:dyDescent="0.25">
      <c r="AC2399" s="12"/>
      <c r="AD2399" s="12"/>
      <c r="AF2399" s="12"/>
      <c r="AG2399" s="12"/>
    </row>
    <row r="2400" spans="29:33" x14ac:dyDescent="0.25">
      <c r="AC2400" s="12"/>
      <c r="AD2400" s="12"/>
      <c r="AF2400" s="12"/>
      <c r="AG2400" s="12"/>
    </row>
    <row r="2401" spans="29:33" x14ac:dyDescent="0.25">
      <c r="AC2401" s="12"/>
      <c r="AD2401" s="12"/>
      <c r="AF2401" s="12"/>
      <c r="AG2401" s="12"/>
    </row>
    <row r="2402" spans="29:33" x14ac:dyDescent="0.25">
      <c r="AC2402" s="12"/>
      <c r="AD2402" s="12"/>
      <c r="AF2402" s="12"/>
      <c r="AG2402" s="12"/>
    </row>
    <row r="2403" spans="29:33" x14ac:dyDescent="0.25">
      <c r="AC2403" s="12"/>
      <c r="AD2403" s="12"/>
      <c r="AF2403" s="12"/>
      <c r="AG2403" s="12"/>
    </row>
    <row r="2404" spans="29:33" x14ac:dyDescent="0.25">
      <c r="AC2404" s="12"/>
      <c r="AD2404" s="12"/>
      <c r="AF2404" s="12"/>
      <c r="AG2404" s="12"/>
    </row>
    <row r="2405" spans="29:33" x14ac:dyDescent="0.25">
      <c r="AC2405" s="12"/>
      <c r="AD2405" s="12"/>
      <c r="AF2405" s="12"/>
      <c r="AG2405" s="12"/>
    </row>
    <row r="2406" spans="29:33" x14ac:dyDescent="0.25">
      <c r="AC2406" s="12"/>
      <c r="AD2406" s="12"/>
      <c r="AF2406" s="12"/>
      <c r="AG2406" s="12"/>
    </row>
    <row r="2407" spans="29:33" x14ac:dyDescent="0.25">
      <c r="AC2407" s="12"/>
      <c r="AD2407" s="12"/>
      <c r="AF2407" s="12"/>
      <c r="AG2407" s="12"/>
    </row>
    <row r="2408" spans="29:33" x14ac:dyDescent="0.25">
      <c r="AC2408" s="12"/>
      <c r="AD2408" s="12"/>
      <c r="AF2408" s="12"/>
      <c r="AG2408" s="12"/>
    </row>
    <row r="2409" spans="29:33" x14ac:dyDescent="0.25">
      <c r="AC2409" s="12"/>
      <c r="AD2409" s="12"/>
      <c r="AF2409" s="12"/>
      <c r="AG2409" s="12"/>
    </row>
    <row r="2410" spans="29:33" x14ac:dyDescent="0.25">
      <c r="AC2410" s="12"/>
      <c r="AD2410" s="12"/>
      <c r="AF2410" s="12"/>
      <c r="AG2410" s="12"/>
    </row>
    <row r="2411" spans="29:33" x14ac:dyDescent="0.25">
      <c r="AC2411" s="12"/>
      <c r="AD2411" s="12"/>
      <c r="AF2411" s="12"/>
      <c r="AG2411" s="12"/>
    </row>
    <row r="2412" spans="29:33" x14ac:dyDescent="0.25">
      <c r="AC2412" s="12"/>
      <c r="AD2412" s="12"/>
      <c r="AF2412" s="12"/>
      <c r="AG2412" s="12"/>
    </row>
    <row r="2413" spans="29:33" x14ac:dyDescent="0.25">
      <c r="AC2413" s="12"/>
      <c r="AD2413" s="12"/>
      <c r="AF2413" s="12"/>
      <c r="AG2413" s="12"/>
    </row>
    <row r="2414" spans="29:33" x14ac:dyDescent="0.25">
      <c r="AC2414" s="12"/>
      <c r="AD2414" s="12"/>
      <c r="AF2414" s="12"/>
      <c r="AG2414" s="12"/>
    </row>
    <row r="2415" spans="29:33" x14ac:dyDescent="0.25">
      <c r="AC2415" s="12"/>
      <c r="AD2415" s="12"/>
      <c r="AF2415" s="12"/>
      <c r="AG2415" s="12"/>
    </row>
    <row r="2416" spans="29:33" x14ac:dyDescent="0.25">
      <c r="AC2416" s="12"/>
      <c r="AD2416" s="12"/>
      <c r="AF2416" s="12"/>
      <c r="AG2416" s="12"/>
    </row>
    <row r="2417" spans="29:33" x14ac:dyDescent="0.25">
      <c r="AC2417" s="12"/>
      <c r="AD2417" s="12"/>
      <c r="AF2417" s="12"/>
      <c r="AG2417" s="12"/>
    </row>
    <row r="2418" spans="29:33" x14ac:dyDescent="0.25">
      <c r="AC2418" s="12"/>
      <c r="AD2418" s="12"/>
      <c r="AF2418" s="12"/>
      <c r="AG2418" s="12"/>
    </row>
    <row r="2419" spans="29:33" x14ac:dyDescent="0.25">
      <c r="AC2419" s="12"/>
      <c r="AD2419" s="12"/>
      <c r="AF2419" s="12"/>
      <c r="AG2419" s="12"/>
    </row>
    <row r="2420" spans="29:33" x14ac:dyDescent="0.25">
      <c r="AC2420" s="12"/>
      <c r="AD2420" s="12"/>
      <c r="AF2420" s="12"/>
      <c r="AG2420" s="12"/>
    </row>
    <row r="2421" spans="29:33" x14ac:dyDescent="0.25">
      <c r="AC2421" s="12"/>
      <c r="AD2421" s="12"/>
      <c r="AF2421" s="12"/>
      <c r="AG2421" s="12"/>
    </row>
    <row r="2422" spans="29:33" x14ac:dyDescent="0.25">
      <c r="AC2422" s="12"/>
      <c r="AD2422" s="12"/>
      <c r="AF2422" s="12"/>
      <c r="AG2422" s="12"/>
    </row>
    <row r="2423" spans="29:33" x14ac:dyDescent="0.25">
      <c r="AC2423" s="12"/>
      <c r="AD2423" s="12"/>
      <c r="AF2423" s="12"/>
      <c r="AG2423" s="12"/>
    </row>
    <row r="2424" spans="29:33" x14ac:dyDescent="0.25">
      <c r="AC2424" s="12"/>
      <c r="AD2424" s="12"/>
      <c r="AF2424" s="12"/>
      <c r="AG2424" s="12"/>
    </row>
    <row r="2425" spans="29:33" x14ac:dyDescent="0.25">
      <c r="AC2425" s="12"/>
      <c r="AD2425" s="12"/>
      <c r="AF2425" s="12"/>
      <c r="AG2425" s="12"/>
    </row>
    <row r="2426" spans="29:33" x14ac:dyDescent="0.25">
      <c r="AC2426" s="12"/>
      <c r="AD2426" s="12"/>
      <c r="AF2426" s="12"/>
      <c r="AG2426" s="12"/>
    </row>
    <row r="2427" spans="29:33" x14ac:dyDescent="0.25">
      <c r="AC2427" s="12"/>
      <c r="AD2427" s="12"/>
      <c r="AF2427" s="12"/>
      <c r="AG2427" s="12"/>
    </row>
    <row r="2428" spans="29:33" x14ac:dyDescent="0.25">
      <c r="AC2428" s="12"/>
      <c r="AD2428" s="12"/>
      <c r="AF2428" s="12"/>
      <c r="AG2428" s="12"/>
    </row>
    <row r="2429" spans="29:33" x14ac:dyDescent="0.25">
      <c r="AC2429" s="12"/>
      <c r="AD2429" s="12"/>
      <c r="AF2429" s="12"/>
      <c r="AG2429" s="12"/>
    </row>
    <row r="2430" spans="29:33" x14ac:dyDescent="0.25">
      <c r="AC2430" s="12"/>
      <c r="AD2430" s="12"/>
      <c r="AF2430" s="12"/>
      <c r="AG2430" s="12"/>
    </row>
    <row r="2431" spans="29:33" x14ac:dyDescent="0.25">
      <c r="AC2431" s="12"/>
      <c r="AD2431" s="12"/>
      <c r="AF2431" s="12"/>
      <c r="AG2431" s="12"/>
    </row>
    <row r="2432" spans="29:33" x14ac:dyDescent="0.25">
      <c r="AC2432" s="12"/>
      <c r="AD2432" s="12"/>
      <c r="AF2432" s="12"/>
      <c r="AG2432" s="12"/>
    </row>
    <row r="2433" spans="29:33" x14ac:dyDescent="0.25">
      <c r="AC2433" s="12"/>
      <c r="AD2433" s="12"/>
      <c r="AF2433" s="12"/>
      <c r="AG2433" s="12"/>
    </row>
    <row r="2434" spans="29:33" x14ac:dyDescent="0.25">
      <c r="AC2434" s="12"/>
      <c r="AD2434" s="12"/>
      <c r="AF2434" s="12"/>
      <c r="AG2434" s="12"/>
    </row>
    <row r="2435" spans="29:33" x14ac:dyDescent="0.25">
      <c r="AC2435" s="12"/>
      <c r="AD2435" s="12"/>
      <c r="AF2435" s="12"/>
      <c r="AG2435" s="12"/>
    </row>
    <row r="2436" spans="29:33" x14ac:dyDescent="0.25">
      <c r="AC2436" s="12"/>
      <c r="AD2436" s="12"/>
      <c r="AF2436" s="12"/>
      <c r="AG2436" s="12"/>
    </row>
    <row r="2437" spans="29:33" x14ac:dyDescent="0.25">
      <c r="AC2437" s="12"/>
      <c r="AD2437" s="12"/>
      <c r="AF2437" s="12"/>
      <c r="AG2437" s="12"/>
    </row>
    <row r="2438" spans="29:33" x14ac:dyDescent="0.25">
      <c r="AC2438" s="12"/>
      <c r="AD2438" s="12"/>
      <c r="AF2438" s="12"/>
      <c r="AG2438" s="12"/>
    </row>
    <row r="2439" spans="29:33" x14ac:dyDescent="0.25">
      <c r="AC2439" s="12"/>
      <c r="AD2439" s="12"/>
      <c r="AF2439" s="12"/>
      <c r="AG2439" s="12"/>
    </row>
    <row r="2440" spans="29:33" x14ac:dyDescent="0.25">
      <c r="AC2440" s="12"/>
      <c r="AD2440" s="12"/>
      <c r="AF2440" s="12"/>
      <c r="AG2440" s="12"/>
    </row>
    <row r="2441" spans="29:33" x14ac:dyDescent="0.25">
      <c r="AC2441" s="12"/>
      <c r="AD2441" s="12"/>
      <c r="AF2441" s="12"/>
      <c r="AG2441" s="12"/>
    </row>
    <row r="2442" spans="29:33" x14ac:dyDescent="0.25">
      <c r="AC2442" s="12"/>
      <c r="AD2442" s="12"/>
      <c r="AF2442" s="12"/>
      <c r="AG2442" s="12"/>
    </row>
    <row r="2443" spans="29:33" x14ac:dyDescent="0.25">
      <c r="AC2443" s="12"/>
      <c r="AD2443" s="12"/>
      <c r="AF2443" s="12"/>
      <c r="AG2443" s="12"/>
    </row>
    <row r="2444" spans="29:33" x14ac:dyDescent="0.25">
      <c r="AC2444" s="12"/>
      <c r="AD2444" s="12"/>
      <c r="AF2444" s="12"/>
      <c r="AG2444" s="12"/>
    </row>
    <row r="2445" spans="29:33" x14ac:dyDescent="0.25">
      <c r="AC2445" s="12"/>
      <c r="AD2445" s="12"/>
      <c r="AF2445" s="12"/>
      <c r="AG2445" s="12"/>
    </row>
    <row r="2446" spans="29:33" x14ac:dyDescent="0.25">
      <c r="AC2446" s="12"/>
      <c r="AD2446" s="12"/>
      <c r="AF2446" s="12"/>
      <c r="AG2446" s="12"/>
    </row>
    <row r="2447" spans="29:33" x14ac:dyDescent="0.25">
      <c r="AC2447" s="12"/>
      <c r="AD2447" s="12"/>
      <c r="AF2447" s="12"/>
      <c r="AG2447" s="12"/>
    </row>
    <row r="2448" spans="29:33" x14ac:dyDescent="0.25">
      <c r="AC2448" s="12"/>
      <c r="AD2448" s="12"/>
      <c r="AF2448" s="12"/>
      <c r="AG2448" s="12"/>
    </row>
    <row r="2449" spans="29:33" x14ac:dyDescent="0.25">
      <c r="AC2449" s="12"/>
      <c r="AD2449" s="12"/>
      <c r="AF2449" s="12"/>
      <c r="AG2449" s="12"/>
    </row>
    <row r="2450" spans="29:33" x14ac:dyDescent="0.25">
      <c r="AC2450" s="12"/>
      <c r="AD2450" s="12"/>
      <c r="AF2450" s="12"/>
      <c r="AG2450" s="12"/>
    </row>
    <row r="2451" spans="29:33" x14ac:dyDescent="0.25">
      <c r="AC2451" s="12"/>
      <c r="AD2451" s="12"/>
      <c r="AF2451" s="12"/>
      <c r="AG2451" s="12"/>
    </row>
    <row r="2452" spans="29:33" x14ac:dyDescent="0.25">
      <c r="AC2452" s="12"/>
      <c r="AD2452" s="12"/>
      <c r="AF2452" s="12"/>
      <c r="AG2452" s="12"/>
    </row>
    <row r="2453" spans="29:33" x14ac:dyDescent="0.25">
      <c r="AC2453" s="12"/>
      <c r="AD2453" s="12"/>
      <c r="AF2453" s="12"/>
      <c r="AG2453" s="12"/>
    </row>
    <row r="2454" spans="29:33" x14ac:dyDescent="0.25">
      <c r="AC2454" s="12"/>
      <c r="AD2454" s="12"/>
      <c r="AF2454" s="12"/>
      <c r="AG2454" s="12"/>
    </row>
    <row r="2455" spans="29:33" x14ac:dyDescent="0.25">
      <c r="AC2455" s="12"/>
      <c r="AD2455" s="12"/>
      <c r="AF2455" s="12"/>
      <c r="AG2455" s="12"/>
    </row>
    <row r="2456" spans="29:33" x14ac:dyDescent="0.25">
      <c r="AC2456" s="12"/>
      <c r="AD2456" s="12"/>
      <c r="AF2456" s="12"/>
      <c r="AG2456" s="12"/>
    </row>
    <row r="2457" spans="29:33" x14ac:dyDescent="0.25">
      <c r="AC2457" s="12"/>
      <c r="AD2457" s="12"/>
      <c r="AF2457" s="12"/>
      <c r="AG2457" s="12"/>
    </row>
    <row r="2458" spans="29:33" x14ac:dyDescent="0.25">
      <c r="AC2458" s="12"/>
      <c r="AD2458" s="12"/>
      <c r="AF2458" s="12"/>
      <c r="AG2458" s="12"/>
    </row>
    <row r="2459" spans="29:33" x14ac:dyDescent="0.25">
      <c r="AC2459" s="12"/>
      <c r="AD2459" s="12"/>
      <c r="AF2459" s="12"/>
      <c r="AG2459" s="12"/>
    </row>
    <row r="2460" spans="29:33" x14ac:dyDescent="0.25">
      <c r="AC2460" s="12"/>
      <c r="AD2460" s="12"/>
      <c r="AF2460" s="12"/>
      <c r="AG2460" s="12"/>
    </row>
    <row r="2461" spans="29:33" x14ac:dyDescent="0.25">
      <c r="AC2461" s="12"/>
      <c r="AD2461" s="12"/>
      <c r="AF2461" s="12"/>
      <c r="AG2461" s="12"/>
    </row>
    <row r="2462" spans="29:33" x14ac:dyDescent="0.25">
      <c r="AC2462" s="12"/>
      <c r="AD2462" s="12"/>
      <c r="AF2462" s="12"/>
      <c r="AG2462" s="12"/>
    </row>
    <row r="2463" spans="29:33" x14ac:dyDescent="0.25">
      <c r="AC2463" s="12"/>
      <c r="AD2463" s="12"/>
      <c r="AF2463" s="12"/>
      <c r="AG2463" s="12"/>
    </row>
    <row r="2464" spans="29:33" x14ac:dyDescent="0.25">
      <c r="AC2464" s="12"/>
      <c r="AD2464" s="12"/>
      <c r="AF2464" s="12"/>
      <c r="AG2464" s="12"/>
    </row>
    <row r="2465" spans="29:33" x14ac:dyDescent="0.25">
      <c r="AC2465" s="12"/>
      <c r="AD2465" s="12"/>
      <c r="AF2465" s="12"/>
      <c r="AG2465" s="12"/>
    </row>
    <row r="2466" spans="29:33" x14ac:dyDescent="0.25">
      <c r="AC2466" s="12"/>
      <c r="AD2466" s="12"/>
      <c r="AF2466" s="12"/>
      <c r="AG2466" s="12"/>
    </row>
    <row r="2467" spans="29:33" x14ac:dyDescent="0.25">
      <c r="AC2467" s="12"/>
      <c r="AD2467" s="12"/>
      <c r="AF2467" s="12"/>
      <c r="AG2467" s="12"/>
    </row>
    <row r="2468" spans="29:33" x14ac:dyDescent="0.25">
      <c r="AC2468" s="12"/>
      <c r="AD2468" s="12"/>
      <c r="AF2468" s="12"/>
      <c r="AG2468" s="12"/>
    </row>
    <row r="2469" spans="29:33" x14ac:dyDescent="0.25">
      <c r="AC2469" s="12"/>
      <c r="AD2469" s="12"/>
      <c r="AF2469" s="12"/>
      <c r="AG2469" s="12"/>
    </row>
    <row r="2470" spans="29:33" x14ac:dyDescent="0.25">
      <c r="AC2470" s="12"/>
      <c r="AD2470" s="12"/>
      <c r="AF2470" s="12"/>
      <c r="AG2470" s="12"/>
    </row>
    <row r="2471" spans="29:33" x14ac:dyDescent="0.25">
      <c r="AC2471" s="12"/>
      <c r="AD2471" s="12"/>
      <c r="AF2471" s="12"/>
      <c r="AG2471" s="12"/>
    </row>
    <row r="2472" spans="29:33" x14ac:dyDescent="0.25">
      <c r="AC2472" s="12"/>
      <c r="AD2472" s="12"/>
      <c r="AF2472" s="12"/>
      <c r="AG2472" s="12"/>
    </row>
    <row r="2473" spans="29:33" x14ac:dyDescent="0.25">
      <c r="AC2473" s="12"/>
      <c r="AD2473" s="12"/>
      <c r="AF2473" s="12"/>
      <c r="AG2473" s="12"/>
    </row>
    <row r="2474" spans="29:33" x14ac:dyDescent="0.25">
      <c r="AC2474" s="12"/>
      <c r="AD2474" s="12"/>
      <c r="AF2474" s="12"/>
      <c r="AG2474" s="12"/>
    </row>
    <row r="2475" spans="29:33" x14ac:dyDescent="0.25">
      <c r="AC2475" s="12"/>
      <c r="AD2475" s="12"/>
      <c r="AF2475" s="12"/>
      <c r="AG2475" s="12"/>
    </row>
    <row r="2476" spans="29:33" x14ac:dyDescent="0.25">
      <c r="AC2476" s="12"/>
      <c r="AD2476" s="12"/>
      <c r="AF2476" s="12"/>
      <c r="AG2476" s="12"/>
    </row>
    <row r="2477" spans="29:33" x14ac:dyDescent="0.25">
      <c r="AC2477" s="12"/>
      <c r="AD2477" s="12"/>
      <c r="AF2477" s="12"/>
      <c r="AG2477" s="12"/>
    </row>
    <row r="2478" spans="29:33" x14ac:dyDescent="0.25">
      <c r="AC2478" s="12"/>
      <c r="AD2478" s="12"/>
      <c r="AF2478" s="12"/>
      <c r="AG2478" s="12"/>
    </row>
    <row r="2479" spans="29:33" x14ac:dyDescent="0.25">
      <c r="AC2479" s="12"/>
      <c r="AD2479" s="12"/>
      <c r="AF2479" s="12"/>
      <c r="AG2479" s="12"/>
    </row>
    <row r="2480" spans="29:33" x14ac:dyDescent="0.25">
      <c r="AC2480" s="12"/>
      <c r="AD2480" s="12"/>
      <c r="AF2480" s="12"/>
      <c r="AG2480" s="12"/>
    </row>
    <row r="2481" spans="29:33" x14ac:dyDescent="0.25">
      <c r="AC2481" s="12"/>
      <c r="AD2481" s="12"/>
      <c r="AF2481" s="12"/>
      <c r="AG2481" s="12"/>
    </row>
    <row r="2482" spans="29:33" x14ac:dyDescent="0.25">
      <c r="AC2482" s="12"/>
      <c r="AD2482" s="12"/>
      <c r="AF2482" s="12"/>
      <c r="AG2482" s="12"/>
    </row>
    <row r="2483" spans="29:33" x14ac:dyDescent="0.25">
      <c r="AC2483" s="12"/>
      <c r="AD2483" s="12"/>
      <c r="AF2483" s="12"/>
      <c r="AG2483" s="12"/>
    </row>
    <row r="2484" spans="29:33" x14ac:dyDescent="0.25">
      <c r="AC2484" s="12"/>
      <c r="AD2484" s="12"/>
      <c r="AF2484" s="12"/>
      <c r="AG2484" s="12"/>
    </row>
    <row r="2485" spans="29:33" x14ac:dyDescent="0.25">
      <c r="AC2485" s="12"/>
      <c r="AD2485" s="12"/>
      <c r="AF2485" s="12"/>
      <c r="AG2485" s="12"/>
    </row>
    <row r="2486" spans="29:33" x14ac:dyDescent="0.25">
      <c r="AC2486" s="12"/>
      <c r="AD2486" s="12"/>
      <c r="AF2486" s="12"/>
      <c r="AG2486" s="12"/>
    </row>
    <row r="2487" spans="29:33" x14ac:dyDescent="0.25">
      <c r="AC2487" s="12"/>
      <c r="AD2487" s="12"/>
      <c r="AF2487" s="12"/>
      <c r="AG2487" s="12"/>
    </row>
    <row r="2488" spans="29:33" x14ac:dyDescent="0.25">
      <c r="AC2488" s="12"/>
      <c r="AD2488" s="12"/>
      <c r="AF2488" s="12"/>
      <c r="AG2488" s="12"/>
    </row>
    <row r="2489" spans="29:33" x14ac:dyDescent="0.25">
      <c r="AC2489" s="12"/>
      <c r="AD2489" s="12"/>
      <c r="AF2489" s="12"/>
      <c r="AG2489" s="12"/>
    </row>
    <row r="2490" spans="29:33" x14ac:dyDescent="0.25">
      <c r="AC2490" s="12"/>
      <c r="AD2490" s="12"/>
      <c r="AF2490" s="12"/>
      <c r="AG2490" s="12"/>
    </row>
    <row r="2491" spans="29:33" x14ac:dyDescent="0.25">
      <c r="AC2491" s="12"/>
      <c r="AD2491" s="12"/>
      <c r="AF2491" s="12"/>
      <c r="AG2491" s="12"/>
    </row>
    <row r="2492" spans="29:33" x14ac:dyDescent="0.25">
      <c r="AC2492" s="12"/>
      <c r="AD2492" s="12"/>
      <c r="AF2492" s="12"/>
      <c r="AG2492" s="12"/>
    </row>
    <row r="2493" spans="29:33" x14ac:dyDescent="0.25">
      <c r="AC2493" s="12"/>
      <c r="AD2493" s="12"/>
      <c r="AF2493" s="12"/>
      <c r="AG2493" s="12"/>
    </row>
    <row r="2494" spans="29:33" x14ac:dyDescent="0.25">
      <c r="AC2494" s="12"/>
      <c r="AD2494" s="12"/>
      <c r="AF2494" s="12"/>
      <c r="AG2494" s="12"/>
    </row>
    <row r="2495" spans="29:33" x14ac:dyDescent="0.25">
      <c r="AC2495" s="12"/>
      <c r="AD2495" s="12"/>
      <c r="AF2495" s="12"/>
      <c r="AG2495" s="12"/>
    </row>
    <row r="2496" spans="29:33" x14ac:dyDescent="0.25">
      <c r="AC2496" s="12"/>
      <c r="AD2496" s="12"/>
      <c r="AF2496" s="12"/>
      <c r="AG2496" s="12"/>
    </row>
    <row r="2497" spans="29:33" x14ac:dyDescent="0.25">
      <c r="AC2497" s="12"/>
      <c r="AD2497" s="12"/>
      <c r="AF2497" s="12"/>
      <c r="AG2497" s="12"/>
    </row>
    <row r="2498" spans="29:33" x14ac:dyDescent="0.25">
      <c r="AC2498" s="12"/>
      <c r="AD2498" s="12"/>
      <c r="AF2498" s="12"/>
      <c r="AG2498" s="12"/>
    </row>
    <row r="2499" spans="29:33" x14ac:dyDescent="0.25">
      <c r="AC2499" s="12"/>
      <c r="AD2499" s="12"/>
      <c r="AF2499" s="12"/>
      <c r="AG2499" s="12"/>
    </row>
    <row r="2500" spans="29:33" x14ac:dyDescent="0.25">
      <c r="AC2500" s="12"/>
      <c r="AD2500" s="12"/>
      <c r="AF2500" s="12"/>
      <c r="AG2500" s="12"/>
    </row>
    <row r="2501" spans="29:33" x14ac:dyDescent="0.25">
      <c r="AC2501" s="12"/>
      <c r="AD2501" s="12"/>
      <c r="AF2501" s="12"/>
      <c r="AG2501" s="12"/>
    </row>
    <row r="2502" spans="29:33" x14ac:dyDescent="0.25">
      <c r="AC2502" s="12"/>
      <c r="AD2502" s="12"/>
      <c r="AF2502" s="12"/>
      <c r="AG2502" s="12"/>
    </row>
    <row r="2503" spans="29:33" x14ac:dyDescent="0.25">
      <c r="AC2503" s="12"/>
      <c r="AD2503" s="12"/>
      <c r="AF2503" s="12"/>
      <c r="AG2503" s="12"/>
    </row>
    <row r="2504" spans="29:33" x14ac:dyDescent="0.25">
      <c r="AC2504" s="12"/>
      <c r="AD2504" s="12"/>
      <c r="AF2504" s="12"/>
      <c r="AG2504" s="12"/>
    </row>
    <row r="2505" spans="29:33" x14ac:dyDescent="0.25">
      <c r="AC2505" s="12"/>
      <c r="AD2505" s="12"/>
      <c r="AF2505" s="12"/>
      <c r="AG2505" s="12"/>
    </row>
    <row r="2506" spans="29:33" x14ac:dyDescent="0.25">
      <c r="AC2506" s="12"/>
      <c r="AD2506" s="12"/>
      <c r="AF2506" s="12"/>
      <c r="AG2506" s="12"/>
    </row>
    <row r="2507" spans="29:33" x14ac:dyDescent="0.25">
      <c r="AC2507" s="12"/>
      <c r="AD2507" s="12"/>
      <c r="AF2507" s="12"/>
      <c r="AG2507" s="12"/>
    </row>
    <row r="2508" spans="29:33" x14ac:dyDescent="0.25">
      <c r="AC2508" s="12"/>
      <c r="AD2508" s="12"/>
      <c r="AF2508" s="12"/>
      <c r="AG2508" s="12"/>
    </row>
    <row r="2509" spans="29:33" x14ac:dyDescent="0.25">
      <c r="AC2509" s="12"/>
      <c r="AD2509" s="12"/>
      <c r="AF2509" s="12"/>
      <c r="AG2509" s="12"/>
    </row>
    <row r="2510" spans="29:33" x14ac:dyDescent="0.25">
      <c r="AC2510" s="12"/>
      <c r="AD2510" s="12"/>
      <c r="AF2510" s="12"/>
      <c r="AG2510" s="12"/>
    </row>
    <row r="2511" spans="29:33" x14ac:dyDescent="0.25">
      <c r="AC2511" s="12"/>
      <c r="AD2511" s="12"/>
      <c r="AF2511" s="12"/>
      <c r="AG2511" s="12"/>
    </row>
    <row r="2512" spans="29:33" x14ac:dyDescent="0.25">
      <c r="AC2512" s="12"/>
      <c r="AD2512" s="12"/>
      <c r="AF2512" s="12"/>
      <c r="AG2512" s="12"/>
    </row>
    <row r="2513" spans="29:33" x14ac:dyDescent="0.25">
      <c r="AC2513" s="12"/>
      <c r="AD2513" s="12"/>
      <c r="AF2513" s="12"/>
      <c r="AG2513" s="12"/>
    </row>
    <row r="2514" spans="29:33" x14ac:dyDescent="0.25">
      <c r="AC2514" s="12"/>
      <c r="AD2514" s="12"/>
      <c r="AF2514" s="12"/>
      <c r="AG2514" s="12"/>
    </row>
    <row r="2515" spans="29:33" x14ac:dyDescent="0.25">
      <c r="AC2515" s="12"/>
      <c r="AD2515" s="12"/>
      <c r="AF2515" s="12"/>
      <c r="AG2515" s="12"/>
    </row>
    <row r="2516" spans="29:33" x14ac:dyDescent="0.25">
      <c r="AC2516" s="12"/>
      <c r="AD2516" s="12"/>
      <c r="AF2516" s="12"/>
      <c r="AG2516" s="12"/>
    </row>
    <row r="2517" spans="29:33" x14ac:dyDescent="0.25">
      <c r="AC2517" s="12"/>
      <c r="AD2517" s="12"/>
      <c r="AF2517" s="12"/>
      <c r="AG2517" s="12"/>
    </row>
    <row r="2518" spans="29:33" x14ac:dyDescent="0.25">
      <c r="AC2518" s="12"/>
      <c r="AD2518" s="12"/>
      <c r="AF2518" s="12"/>
      <c r="AG2518" s="12"/>
    </row>
    <row r="2519" spans="29:33" x14ac:dyDescent="0.25">
      <c r="AC2519" s="12"/>
      <c r="AD2519" s="12"/>
      <c r="AF2519" s="12"/>
      <c r="AG2519" s="12"/>
    </row>
    <row r="2520" spans="29:33" x14ac:dyDescent="0.25">
      <c r="AC2520" s="12"/>
      <c r="AD2520" s="12"/>
      <c r="AF2520" s="12"/>
      <c r="AG2520" s="12"/>
    </row>
    <row r="2521" spans="29:33" x14ac:dyDescent="0.25">
      <c r="AC2521" s="12"/>
      <c r="AD2521" s="12"/>
      <c r="AF2521" s="12"/>
      <c r="AG2521" s="12"/>
    </row>
    <row r="2522" spans="29:33" x14ac:dyDescent="0.25">
      <c r="AC2522" s="12"/>
      <c r="AD2522" s="12"/>
      <c r="AF2522" s="12"/>
      <c r="AG2522" s="12"/>
    </row>
    <row r="2523" spans="29:33" x14ac:dyDescent="0.25">
      <c r="AC2523" s="12"/>
      <c r="AD2523" s="12"/>
      <c r="AF2523" s="12"/>
      <c r="AG2523" s="12"/>
    </row>
    <row r="2524" spans="29:33" x14ac:dyDescent="0.25">
      <c r="AC2524" s="12"/>
      <c r="AD2524" s="12"/>
      <c r="AF2524" s="12"/>
      <c r="AG2524" s="12"/>
    </row>
    <row r="2525" spans="29:33" x14ac:dyDescent="0.25">
      <c r="AC2525" s="12"/>
      <c r="AD2525" s="12"/>
      <c r="AF2525" s="12"/>
      <c r="AG2525" s="12"/>
    </row>
    <row r="2526" spans="29:33" x14ac:dyDescent="0.25">
      <c r="AC2526" s="12"/>
      <c r="AD2526" s="12"/>
      <c r="AF2526" s="12"/>
      <c r="AG2526" s="12"/>
    </row>
    <row r="2527" spans="29:33" x14ac:dyDescent="0.25">
      <c r="AC2527" s="12"/>
      <c r="AD2527" s="12"/>
      <c r="AF2527" s="12"/>
      <c r="AG2527" s="12"/>
    </row>
    <row r="2528" spans="29:33" x14ac:dyDescent="0.25">
      <c r="AC2528" s="12"/>
      <c r="AD2528" s="12"/>
      <c r="AF2528" s="12"/>
      <c r="AG2528" s="12"/>
    </row>
    <row r="2529" spans="29:33" x14ac:dyDescent="0.25">
      <c r="AC2529" s="12"/>
      <c r="AD2529" s="12"/>
      <c r="AF2529" s="12"/>
      <c r="AG2529" s="12"/>
    </row>
    <row r="2530" spans="29:33" x14ac:dyDescent="0.25">
      <c r="AC2530" s="12"/>
      <c r="AD2530" s="12"/>
      <c r="AF2530" s="12"/>
      <c r="AG2530" s="12"/>
    </row>
    <row r="2531" spans="29:33" x14ac:dyDescent="0.25">
      <c r="AC2531" s="12"/>
      <c r="AD2531" s="12"/>
      <c r="AF2531" s="12"/>
      <c r="AG2531" s="12"/>
    </row>
    <row r="2532" spans="29:33" x14ac:dyDescent="0.25">
      <c r="AC2532" s="12"/>
      <c r="AD2532" s="12"/>
      <c r="AF2532" s="12"/>
      <c r="AG2532" s="12"/>
    </row>
    <row r="2533" spans="29:33" x14ac:dyDescent="0.25">
      <c r="AC2533" s="12"/>
      <c r="AD2533" s="12"/>
      <c r="AF2533" s="12"/>
      <c r="AG2533" s="12"/>
    </row>
    <row r="2534" spans="29:33" x14ac:dyDescent="0.25">
      <c r="AC2534" s="12"/>
      <c r="AD2534" s="12"/>
      <c r="AF2534" s="12"/>
      <c r="AG2534" s="12"/>
    </row>
    <row r="2535" spans="29:33" x14ac:dyDescent="0.25">
      <c r="AC2535" s="12"/>
      <c r="AD2535" s="12"/>
      <c r="AF2535" s="12"/>
      <c r="AG2535" s="12"/>
    </row>
    <row r="2536" spans="29:33" x14ac:dyDescent="0.25">
      <c r="AC2536" s="12"/>
      <c r="AD2536" s="12"/>
      <c r="AF2536" s="12"/>
      <c r="AG2536" s="12"/>
    </row>
    <row r="2537" spans="29:33" x14ac:dyDescent="0.25">
      <c r="AC2537" s="12"/>
      <c r="AD2537" s="12"/>
      <c r="AF2537" s="12"/>
      <c r="AG2537" s="12"/>
    </row>
    <row r="2538" spans="29:33" x14ac:dyDescent="0.25">
      <c r="AC2538" s="12"/>
      <c r="AD2538" s="12"/>
      <c r="AF2538" s="12"/>
      <c r="AG2538" s="12"/>
    </row>
    <row r="2539" spans="29:33" x14ac:dyDescent="0.25">
      <c r="AC2539" s="12"/>
      <c r="AD2539" s="12"/>
      <c r="AF2539" s="12"/>
      <c r="AG2539" s="12"/>
    </row>
    <row r="2540" spans="29:33" x14ac:dyDescent="0.25">
      <c r="AC2540" s="12"/>
      <c r="AD2540" s="12"/>
      <c r="AF2540" s="12"/>
      <c r="AG2540" s="12"/>
    </row>
    <row r="2541" spans="29:33" x14ac:dyDescent="0.25">
      <c r="AC2541" s="12"/>
      <c r="AD2541" s="12"/>
      <c r="AF2541" s="12"/>
      <c r="AG2541" s="12"/>
    </row>
    <row r="2542" spans="29:33" x14ac:dyDescent="0.25">
      <c r="AC2542" s="12"/>
      <c r="AD2542" s="12"/>
      <c r="AF2542" s="12"/>
      <c r="AG2542" s="12"/>
    </row>
    <row r="2543" spans="29:33" x14ac:dyDescent="0.25">
      <c r="AC2543" s="12"/>
      <c r="AD2543" s="12"/>
      <c r="AF2543" s="12"/>
      <c r="AG2543" s="12"/>
    </row>
    <row r="2544" spans="29:33" x14ac:dyDescent="0.25">
      <c r="AC2544" s="12"/>
      <c r="AD2544" s="12"/>
      <c r="AF2544" s="12"/>
      <c r="AG2544" s="12"/>
    </row>
    <row r="2545" spans="29:33" x14ac:dyDescent="0.25">
      <c r="AC2545" s="12"/>
      <c r="AD2545" s="12"/>
      <c r="AF2545" s="12"/>
      <c r="AG2545" s="12"/>
    </row>
    <row r="2546" spans="29:33" x14ac:dyDescent="0.25">
      <c r="AC2546" s="12"/>
      <c r="AD2546" s="12"/>
      <c r="AF2546" s="12"/>
      <c r="AG2546" s="12"/>
    </row>
    <row r="2547" spans="29:33" x14ac:dyDescent="0.25">
      <c r="AC2547" s="12"/>
      <c r="AD2547" s="12"/>
      <c r="AF2547" s="12"/>
      <c r="AG2547" s="12"/>
    </row>
    <row r="2548" spans="29:33" x14ac:dyDescent="0.25">
      <c r="AC2548" s="12"/>
      <c r="AD2548" s="12"/>
      <c r="AF2548" s="12"/>
      <c r="AG2548" s="12"/>
    </row>
    <row r="2549" spans="29:33" x14ac:dyDescent="0.25">
      <c r="AC2549" s="12"/>
      <c r="AD2549" s="12"/>
      <c r="AF2549" s="12"/>
      <c r="AG2549" s="12"/>
    </row>
    <row r="2550" spans="29:33" x14ac:dyDescent="0.25">
      <c r="AC2550" s="12"/>
      <c r="AD2550" s="12"/>
      <c r="AF2550" s="12"/>
      <c r="AG2550" s="12"/>
    </row>
    <row r="2551" spans="29:33" x14ac:dyDescent="0.25">
      <c r="AC2551" s="12"/>
      <c r="AD2551" s="12"/>
      <c r="AF2551" s="12"/>
      <c r="AG2551" s="12"/>
    </row>
    <row r="2552" spans="29:33" x14ac:dyDescent="0.25">
      <c r="AC2552" s="12"/>
      <c r="AD2552" s="12"/>
      <c r="AF2552" s="12"/>
      <c r="AG2552" s="12"/>
    </row>
    <row r="2553" spans="29:33" x14ac:dyDescent="0.25">
      <c r="AC2553" s="12"/>
      <c r="AD2553" s="12"/>
      <c r="AF2553" s="12"/>
      <c r="AG2553" s="12"/>
    </row>
    <row r="2554" spans="29:33" x14ac:dyDescent="0.25">
      <c r="AC2554" s="12"/>
      <c r="AD2554" s="12"/>
      <c r="AF2554" s="12"/>
      <c r="AG2554" s="12"/>
    </row>
    <row r="2555" spans="29:33" x14ac:dyDescent="0.25">
      <c r="AC2555" s="12"/>
      <c r="AD2555" s="12"/>
      <c r="AF2555" s="12"/>
      <c r="AG2555" s="12"/>
    </row>
    <row r="2556" spans="29:33" x14ac:dyDescent="0.25">
      <c r="AC2556" s="12"/>
      <c r="AD2556" s="12"/>
      <c r="AF2556" s="12"/>
      <c r="AG2556" s="12"/>
    </row>
    <row r="2557" spans="29:33" x14ac:dyDescent="0.25">
      <c r="AC2557" s="12"/>
      <c r="AD2557" s="12"/>
      <c r="AF2557" s="12"/>
      <c r="AG2557" s="12"/>
    </row>
    <row r="2558" spans="29:33" x14ac:dyDescent="0.25">
      <c r="AC2558" s="12"/>
      <c r="AD2558" s="12"/>
      <c r="AF2558" s="12"/>
      <c r="AG2558" s="12"/>
    </row>
    <row r="2559" spans="29:33" x14ac:dyDescent="0.25">
      <c r="AC2559" s="12"/>
      <c r="AD2559" s="12"/>
      <c r="AF2559" s="12"/>
      <c r="AG2559" s="12"/>
    </row>
    <row r="2560" spans="29:33" x14ac:dyDescent="0.25">
      <c r="AC2560" s="12"/>
      <c r="AD2560" s="12"/>
      <c r="AF2560" s="12"/>
      <c r="AG2560" s="12"/>
    </row>
    <row r="2561" spans="29:33" x14ac:dyDescent="0.25">
      <c r="AC2561" s="12"/>
      <c r="AD2561" s="12"/>
      <c r="AF2561" s="12"/>
      <c r="AG2561" s="12"/>
    </row>
    <row r="2562" spans="29:33" x14ac:dyDescent="0.25">
      <c r="AC2562" s="12"/>
      <c r="AD2562" s="12"/>
      <c r="AF2562" s="12"/>
      <c r="AG2562" s="12"/>
    </row>
    <row r="2563" spans="29:33" x14ac:dyDescent="0.25">
      <c r="AC2563" s="12"/>
      <c r="AD2563" s="12"/>
      <c r="AF2563" s="12"/>
      <c r="AG2563" s="12"/>
    </row>
    <row r="2564" spans="29:33" x14ac:dyDescent="0.25">
      <c r="AC2564" s="12"/>
      <c r="AD2564" s="12"/>
      <c r="AF2564" s="12"/>
      <c r="AG2564" s="12"/>
    </row>
    <row r="2565" spans="29:33" x14ac:dyDescent="0.25">
      <c r="AC2565" s="12"/>
      <c r="AD2565" s="12"/>
      <c r="AF2565" s="12"/>
      <c r="AG2565" s="12"/>
    </row>
    <row r="2566" spans="29:33" x14ac:dyDescent="0.25">
      <c r="AC2566" s="12"/>
      <c r="AD2566" s="12"/>
      <c r="AF2566" s="12"/>
      <c r="AG2566" s="12"/>
    </row>
    <row r="2567" spans="29:33" x14ac:dyDescent="0.25">
      <c r="AC2567" s="12"/>
      <c r="AD2567" s="12"/>
      <c r="AF2567" s="12"/>
      <c r="AG2567" s="12"/>
    </row>
    <row r="2568" spans="29:33" x14ac:dyDescent="0.25">
      <c r="AC2568" s="12"/>
      <c r="AD2568" s="12"/>
      <c r="AF2568" s="12"/>
      <c r="AG2568" s="12"/>
    </row>
    <row r="2569" spans="29:33" x14ac:dyDescent="0.25">
      <c r="AC2569" s="12"/>
      <c r="AD2569" s="12"/>
      <c r="AF2569" s="12"/>
      <c r="AG2569" s="12"/>
    </row>
    <row r="2570" spans="29:33" x14ac:dyDescent="0.25">
      <c r="AC2570" s="12"/>
      <c r="AD2570" s="12"/>
      <c r="AF2570" s="12"/>
      <c r="AG2570" s="12"/>
    </row>
    <row r="2571" spans="29:33" x14ac:dyDescent="0.25">
      <c r="AC2571" s="12"/>
      <c r="AD2571" s="12"/>
      <c r="AF2571" s="12"/>
      <c r="AG2571" s="12"/>
    </row>
    <row r="2572" spans="29:33" x14ac:dyDescent="0.25">
      <c r="AC2572" s="12"/>
      <c r="AD2572" s="12"/>
      <c r="AF2572" s="12"/>
      <c r="AG2572" s="12"/>
    </row>
    <row r="2573" spans="29:33" x14ac:dyDescent="0.25">
      <c r="AC2573" s="12"/>
      <c r="AD2573" s="12"/>
      <c r="AF2573" s="12"/>
      <c r="AG2573" s="12"/>
    </row>
    <row r="2574" spans="29:33" x14ac:dyDescent="0.25">
      <c r="AC2574" s="12"/>
      <c r="AD2574" s="12"/>
      <c r="AF2574" s="12"/>
      <c r="AG2574" s="12"/>
    </row>
    <row r="2575" spans="29:33" x14ac:dyDescent="0.25">
      <c r="AC2575" s="12"/>
      <c r="AD2575" s="12"/>
      <c r="AF2575" s="12"/>
      <c r="AG2575" s="12"/>
    </row>
    <row r="2576" spans="29:33" x14ac:dyDescent="0.25">
      <c r="AC2576" s="12"/>
      <c r="AD2576" s="12"/>
      <c r="AF2576" s="12"/>
      <c r="AG2576" s="12"/>
    </row>
    <row r="2577" spans="29:33" x14ac:dyDescent="0.25">
      <c r="AC2577" s="12"/>
      <c r="AD2577" s="12"/>
      <c r="AF2577" s="12"/>
      <c r="AG2577" s="12"/>
    </row>
    <row r="2578" spans="29:33" x14ac:dyDescent="0.25">
      <c r="AC2578" s="12"/>
      <c r="AD2578" s="12"/>
      <c r="AF2578" s="12"/>
      <c r="AG2578" s="12"/>
    </row>
    <row r="2579" spans="29:33" x14ac:dyDescent="0.25">
      <c r="AC2579" s="12"/>
      <c r="AD2579" s="12"/>
      <c r="AF2579" s="12"/>
      <c r="AG2579" s="12"/>
    </row>
    <row r="2580" spans="29:33" x14ac:dyDescent="0.25">
      <c r="AC2580" s="12"/>
      <c r="AD2580" s="12"/>
      <c r="AF2580" s="12"/>
      <c r="AG2580" s="12"/>
    </row>
    <row r="2581" spans="29:33" x14ac:dyDescent="0.25">
      <c r="AC2581" s="12"/>
      <c r="AD2581" s="12"/>
      <c r="AF2581" s="12"/>
      <c r="AG2581" s="12"/>
    </row>
    <row r="2582" spans="29:33" x14ac:dyDescent="0.25">
      <c r="AC2582" s="12"/>
      <c r="AD2582" s="12"/>
      <c r="AF2582" s="12"/>
      <c r="AG2582" s="12"/>
    </row>
    <row r="2583" spans="29:33" x14ac:dyDescent="0.25">
      <c r="AC2583" s="12"/>
      <c r="AD2583" s="12"/>
      <c r="AF2583" s="12"/>
      <c r="AG2583" s="12"/>
    </row>
    <row r="2584" spans="29:33" x14ac:dyDescent="0.25">
      <c r="AC2584" s="12"/>
      <c r="AD2584" s="12"/>
      <c r="AF2584" s="12"/>
      <c r="AG2584" s="12"/>
    </row>
    <row r="2585" spans="29:33" x14ac:dyDescent="0.25">
      <c r="AC2585" s="12"/>
      <c r="AD2585" s="12"/>
      <c r="AF2585" s="12"/>
      <c r="AG2585" s="12"/>
    </row>
    <row r="2586" spans="29:33" x14ac:dyDescent="0.25">
      <c r="AC2586" s="12"/>
      <c r="AD2586" s="12"/>
      <c r="AF2586" s="12"/>
      <c r="AG2586" s="12"/>
    </row>
    <row r="2587" spans="29:33" x14ac:dyDescent="0.25">
      <c r="AC2587" s="12"/>
      <c r="AD2587" s="12"/>
      <c r="AF2587" s="12"/>
      <c r="AG2587" s="12"/>
    </row>
    <row r="2588" spans="29:33" x14ac:dyDescent="0.25">
      <c r="AC2588" s="12"/>
      <c r="AD2588" s="12"/>
      <c r="AF2588" s="12"/>
      <c r="AG2588" s="12"/>
    </row>
    <row r="2589" spans="29:33" x14ac:dyDescent="0.25">
      <c r="AC2589" s="12"/>
      <c r="AD2589" s="12"/>
      <c r="AF2589" s="12"/>
      <c r="AG2589" s="12"/>
    </row>
    <row r="2590" spans="29:33" x14ac:dyDescent="0.25">
      <c r="AC2590" s="12"/>
      <c r="AD2590" s="12"/>
      <c r="AF2590" s="12"/>
      <c r="AG2590" s="12"/>
    </row>
    <row r="2591" spans="29:33" x14ac:dyDescent="0.25">
      <c r="AC2591" s="12"/>
      <c r="AD2591" s="12"/>
      <c r="AF2591" s="12"/>
      <c r="AG2591" s="12"/>
    </row>
    <row r="2592" spans="29:33" x14ac:dyDescent="0.25">
      <c r="AC2592" s="12"/>
      <c r="AD2592" s="12"/>
      <c r="AF2592" s="12"/>
      <c r="AG2592" s="12"/>
    </row>
    <row r="2593" spans="29:33" x14ac:dyDescent="0.25">
      <c r="AC2593" s="12"/>
      <c r="AD2593" s="12"/>
      <c r="AF2593" s="12"/>
      <c r="AG2593" s="12"/>
    </row>
    <row r="2594" spans="29:33" x14ac:dyDescent="0.25">
      <c r="AC2594" s="12"/>
      <c r="AD2594" s="12"/>
      <c r="AF2594" s="12"/>
      <c r="AG2594" s="12"/>
    </row>
    <row r="2595" spans="29:33" x14ac:dyDescent="0.25">
      <c r="AC2595" s="12"/>
      <c r="AD2595" s="12"/>
      <c r="AF2595" s="12"/>
      <c r="AG2595" s="12"/>
    </row>
    <row r="2596" spans="29:33" x14ac:dyDescent="0.25">
      <c r="AC2596" s="12"/>
      <c r="AD2596" s="12"/>
      <c r="AF2596" s="12"/>
      <c r="AG2596" s="12"/>
    </row>
    <row r="2597" spans="29:33" x14ac:dyDescent="0.25">
      <c r="AC2597" s="12"/>
      <c r="AD2597" s="12"/>
      <c r="AF2597" s="12"/>
      <c r="AG2597" s="12"/>
    </row>
    <row r="2598" spans="29:33" x14ac:dyDescent="0.25">
      <c r="AC2598" s="12"/>
      <c r="AD2598" s="12"/>
      <c r="AF2598" s="12"/>
      <c r="AG2598" s="12"/>
    </row>
    <row r="2599" spans="29:33" x14ac:dyDescent="0.25">
      <c r="AC2599" s="12"/>
      <c r="AD2599" s="12"/>
      <c r="AF2599" s="12"/>
      <c r="AG2599" s="12"/>
    </row>
    <row r="2600" spans="29:33" x14ac:dyDescent="0.25">
      <c r="AC2600" s="12"/>
      <c r="AD2600" s="12"/>
      <c r="AF2600" s="12"/>
      <c r="AG2600" s="12"/>
    </row>
    <row r="2601" spans="29:33" x14ac:dyDescent="0.25">
      <c r="AC2601" s="12"/>
      <c r="AD2601" s="12"/>
      <c r="AF2601" s="12"/>
      <c r="AG2601" s="12"/>
    </row>
    <row r="2602" spans="29:33" x14ac:dyDescent="0.25">
      <c r="AC2602" s="12"/>
      <c r="AD2602" s="12"/>
      <c r="AF2602" s="12"/>
      <c r="AG2602" s="12"/>
    </row>
    <row r="2603" spans="29:33" x14ac:dyDescent="0.25">
      <c r="AC2603" s="12"/>
      <c r="AD2603" s="12"/>
      <c r="AF2603" s="12"/>
      <c r="AG2603" s="12"/>
    </row>
    <row r="2604" spans="29:33" x14ac:dyDescent="0.25">
      <c r="AC2604" s="12"/>
      <c r="AD2604" s="12"/>
      <c r="AF2604" s="12"/>
      <c r="AG2604" s="12"/>
    </row>
    <row r="2605" spans="29:33" x14ac:dyDescent="0.25">
      <c r="AC2605" s="12"/>
      <c r="AD2605" s="12"/>
      <c r="AF2605" s="12"/>
      <c r="AG2605" s="12"/>
    </row>
    <row r="2606" spans="29:33" x14ac:dyDescent="0.25">
      <c r="AC2606" s="12"/>
      <c r="AD2606" s="12"/>
      <c r="AF2606" s="12"/>
      <c r="AG2606" s="12"/>
    </row>
    <row r="2607" spans="29:33" x14ac:dyDescent="0.25">
      <c r="AC2607" s="12"/>
      <c r="AD2607" s="12"/>
      <c r="AF2607" s="12"/>
      <c r="AG2607" s="12"/>
    </row>
    <row r="2608" spans="29:33" x14ac:dyDescent="0.25">
      <c r="AC2608" s="12"/>
      <c r="AD2608" s="12"/>
      <c r="AF2608" s="12"/>
      <c r="AG2608" s="12"/>
    </row>
    <row r="2609" spans="29:33" x14ac:dyDescent="0.25">
      <c r="AC2609" s="12"/>
      <c r="AD2609" s="12"/>
      <c r="AF2609" s="12"/>
      <c r="AG2609" s="12"/>
    </row>
    <row r="2610" spans="29:33" x14ac:dyDescent="0.25">
      <c r="AC2610" s="12"/>
      <c r="AD2610" s="12"/>
      <c r="AF2610" s="12"/>
      <c r="AG2610" s="12"/>
    </row>
    <row r="2611" spans="29:33" x14ac:dyDescent="0.25">
      <c r="AC2611" s="12"/>
      <c r="AD2611" s="12"/>
      <c r="AF2611" s="12"/>
      <c r="AG2611" s="12"/>
    </row>
    <row r="2612" spans="29:33" x14ac:dyDescent="0.25">
      <c r="AC2612" s="12"/>
      <c r="AD2612" s="12"/>
      <c r="AF2612" s="12"/>
      <c r="AG2612" s="12"/>
    </row>
    <row r="2613" spans="29:33" x14ac:dyDescent="0.25">
      <c r="AC2613" s="12"/>
      <c r="AD2613" s="12"/>
      <c r="AF2613" s="12"/>
      <c r="AG2613" s="12"/>
    </row>
    <row r="2614" spans="29:33" x14ac:dyDescent="0.25">
      <c r="AC2614" s="12"/>
      <c r="AD2614" s="12"/>
      <c r="AF2614" s="12"/>
      <c r="AG2614" s="12"/>
    </row>
    <row r="2615" spans="29:33" x14ac:dyDescent="0.25">
      <c r="AC2615" s="12"/>
      <c r="AD2615" s="12"/>
      <c r="AF2615" s="12"/>
      <c r="AG2615" s="12"/>
    </row>
    <row r="2616" spans="29:33" x14ac:dyDescent="0.25">
      <c r="AC2616" s="12"/>
      <c r="AD2616" s="12"/>
      <c r="AF2616" s="12"/>
      <c r="AG2616" s="12"/>
    </row>
    <row r="2617" spans="29:33" x14ac:dyDescent="0.25">
      <c r="AC2617" s="12"/>
      <c r="AD2617" s="12"/>
      <c r="AF2617" s="12"/>
      <c r="AG2617" s="12"/>
    </row>
    <row r="2618" spans="29:33" x14ac:dyDescent="0.25">
      <c r="AC2618" s="12"/>
      <c r="AD2618" s="12"/>
      <c r="AF2618" s="12"/>
      <c r="AG2618" s="12"/>
    </row>
    <row r="2619" spans="29:33" x14ac:dyDescent="0.25">
      <c r="AC2619" s="12"/>
      <c r="AD2619" s="12"/>
      <c r="AF2619" s="12"/>
      <c r="AG2619" s="12"/>
    </row>
    <row r="2620" spans="29:33" x14ac:dyDescent="0.25">
      <c r="AC2620" s="12"/>
      <c r="AD2620" s="12"/>
      <c r="AF2620" s="12"/>
      <c r="AG2620" s="12"/>
    </row>
    <row r="2621" spans="29:33" x14ac:dyDescent="0.25">
      <c r="AC2621" s="12"/>
      <c r="AD2621" s="12"/>
      <c r="AF2621" s="12"/>
      <c r="AG2621" s="12"/>
    </row>
    <row r="2622" spans="29:33" x14ac:dyDescent="0.25">
      <c r="AC2622" s="12"/>
      <c r="AD2622" s="12"/>
      <c r="AF2622" s="12"/>
      <c r="AG2622" s="12"/>
    </row>
    <row r="2623" spans="29:33" x14ac:dyDescent="0.25">
      <c r="AC2623" s="12"/>
      <c r="AD2623" s="12"/>
      <c r="AF2623" s="12"/>
      <c r="AG2623" s="12"/>
    </row>
    <row r="2624" spans="29:33" x14ac:dyDescent="0.25">
      <c r="AC2624" s="12"/>
      <c r="AD2624" s="12"/>
      <c r="AF2624" s="12"/>
      <c r="AG2624" s="12"/>
    </row>
    <row r="2625" spans="29:33" x14ac:dyDescent="0.25">
      <c r="AC2625" s="12"/>
      <c r="AD2625" s="12"/>
      <c r="AF2625" s="12"/>
      <c r="AG2625" s="12"/>
    </row>
    <row r="2626" spans="29:33" x14ac:dyDescent="0.25">
      <c r="AC2626" s="12"/>
      <c r="AD2626" s="12"/>
      <c r="AF2626" s="12"/>
      <c r="AG2626" s="12"/>
    </row>
    <row r="2627" spans="29:33" x14ac:dyDescent="0.25">
      <c r="AC2627" s="12"/>
      <c r="AD2627" s="12"/>
      <c r="AF2627" s="12"/>
      <c r="AG2627" s="12"/>
    </row>
    <row r="2628" spans="29:33" x14ac:dyDescent="0.25">
      <c r="AC2628" s="12"/>
      <c r="AD2628" s="12"/>
      <c r="AF2628" s="12"/>
      <c r="AG2628" s="12"/>
    </row>
    <row r="2629" spans="29:33" x14ac:dyDescent="0.25">
      <c r="AC2629" s="12"/>
      <c r="AD2629" s="12"/>
      <c r="AF2629" s="12"/>
      <c r="AG2629" s="12"/>
    </row>
    <row r="2630" spans="29:33" x14ac:dyDescent="0.25">
      <c r="AC2630" s="12"/>
      <c r="AD2630" s="12"/>
      <c r="AF2630" s="12"/>
      <c r="AG2630" s="12"/>
    </row>
    <row r="2631" spans="29:33" x14ac:dyDescent="0.25">
      <c r="AC2631" s="12"/>
      <c r="AD2631" s="12"/>
      <c r="AF2631" s="12"/>
      <c r="AG2631" s="12"/>
    </row>
    <row r="2632" spans="29:33" x14ac:dyDescent="0.25">
      <c r="AC2632" s="12"/>
      <c r="AD2632" s="12"/>
      <c r="AF2632" s="12"/>
      <c r="AG2632" s="12"/>
    </row>
    <row r="2633" spans="29:33" x14ac:dyDescent="0.25">
      <c r="AC2633" s="12"/>
      <c r="AD2633" s="12"/>
      <c r="AF2633" s="12"/>
      <c r="AG2633" s="12"/>
    </row>
    <row r="2634" spans="29:33" x14ac:dyDescent="0.25">
      <c r="AC2634" s="12"/>
      <c r="AD2634" s="12"/>
      <c r="AF2634" s="12"/>
      <c r="AG2634" s="12"/>
    </row>
    <row r="2635" spans="29:33" x14ac:dyDescent="0.25">
      <c r="AC2635" s="12"/>
      <c r="AD2635" s="12"/>
      <c r="AF2635" s="12"/>
      <c r="AG2635" s="12"/>
    </row>
    <row r="2636" spans="29:33" x14ac:dyDescent="0.25">
      <c r="AC2636" s="12"/>
      <c r="AD2636" s="12"/>
      <c r="AF2636" s="12"/>
      <c r="AG2636" s="12"/>
    </row>
    <row r="2637" spans="29:33" x14ac:dyDescent="0.25">
      <c r="AC2637" s="12"/>
      <c r="AD2637" s="12"/>
      <c r="AF2637" s="12"/>
      <c r="AG2637" s="12"/>
    </row>
    <row r="2638" spans="29:33" x14ac:dyDescent="0.25">
      <c r="AC2638" s="12"/>
      <c r="AD2638" s="12"/>
      <c r="AF2638" s="12"/>
      <c r="AG2638" s="12"/>
    </row>
    <row r="2639" spans="29:33" x14ac:dyDescent="0.25">
      <c r="AC2639" s="12"/>
      <c r="AD2639" s="12"/>
      <c r="AF2639" s="12"/>
      <c r="AG2639" s="12"/>
    </row>
    <row r="2640" spans="29:33" x14ac:dyDescent="0.25">
      <c r="AC2640" s="12"/>
      <c r="AD2640" s="12"/>
      <c r="AF2640" s="12"/>
      <c r="AG2640" s="12"/>
    </row>
    <row r="2641" spans="29:33" x14ac:dyDescent="0.25">
      <c r="AC2641" s="12"/>
      <c r="AD2641" s="12"/>
      <c r="AF2641" s="12"/>
      <c r="AG2641" s="12"/>
    </row>
    <row r="2642" spans="29:33" x14ac:dyDescent="0.25">
      <c r="AC2642" s="12"/>
      <c r="AD2642" s="12"/>
      <c r="AF2642" s="12"/>
      <c r="AG2642" s="12"/>
    </row>
    <row r="2643" spans="29:33" x14ac:dyDescent="0.25">
      <c r="AC2643" s="12"/>
      <c r="AD2643" s="12"/>
      <c r="AF2643" s="12"/>
      <c r="AG2643" s="12"/>
    </row>
    <row r="2644" spans="29:33" x14ac:dyDescent="0.25">
      <c r="AC2644" s="12"/>
      <c r="AD2644" s="12"/>
      <c r="AF2644" s="12"/>
      <c r="AG2644" s="12"/>
    </row>
    <row r="2645" spans="29:33" x14ac:dyDescent="0.25">
      <c r="AC2645" s="12"/>
      <c r="AD2645" s="12"/>
      <c r="AF2645" s="12"/>
      <c r="AG2645" s="12"/>
    </row>
    <row r="2646" spans="29:33" x14ac:dyDescent="0.25">
      <c r="AC2646" s="12"/>
      <c r="AD2646" s="12"/>
      <c r="AF2646" s="12"/>
      <c r="AG2646" s="12"/>
    </row>
    <row r="2647" spans="29:33" x14ac:dyDescent="0.25">
      <c r="AC2647" s="12"/>
      <c r="AD2647" s="12"/>
      <c r="AF2647" s="12"/>
      <c r="AG2647" s="12"/>
    </row>
    <row r="2648" spans="29:33" x14ac:dyDescent="0.25">
      <c r="AC2648" s="12"/>
      <c r="AD2648" s="12"/>
      <c r="AF2648" s="12"/>
      <c r="AG2648" s="12"/>
    </row>
    <row r="2649" spans="29:33" x14ac:dyDescent="0.25">
      <c r="AC2649" s="12"/>
      <c r="AD2649" s="12"/>
      <c r="AF2649" s="12"/>
      <c r="AG2649" s="12"/>
    </row>
    <row r="2650" spans="29:33" x14ac:dyDescent="0.25">
      <c r="AC2650" s="12"/>
      <c r="AD2650" s="12"/>
      <c r="AF2650" s="12"/>
      <c r="AG2650" s="12"/>
    </row>
    <row r="2651" spans="29:33" x14ac:dyDescent="0.25">
      <c r="AC2651" s="12"/>
      <c r="AD2651" s="12"/>
      <c r="AF2651" s="12"/>
      <c r="AG2651" s="12"/>
    </row>
    <row r="2652" spans="29:33" x14ac:dyDescent="0.25">
      <c r="AC2652" s="12"/>
      <c r="AD2652" s="12"/>
      <c r="AF2652" s="12"/>
      <c r="AG2652" s="12"/>
    </row>
    <row r="2653" spans="29:33" x14ac:dyDescent="0.25">
      <c r="AC2653" s="12"/>
      <c r="AD2653" s="12"/>
      <c r="AF2653" s="12"/>
      <c r="AG2653" s="12"/>
    </row>
    <row r="2654" spans="29:33" x14ac:dyDescent="0.25">
      <c r="AC2654" s="12"/>
      <c r="AD2654" s="12"/>
      <c r="AF2654" s="12"/>
      <c r="AG2654" s="12"/>
    </row>
    <row r="2655" spans="29:33" x14ac:dyDescent="0.25">
      <c r="AC2655" s="12"/>
      <c r="AD2655" s="12"/>
      <c r="AF2655" s="12"/>
      <c r="AG2655" s="12"/>
    </row>
    <row r="2656" spans="29:33" x14ac:dyDescent="0.25">
      <c r="AC2656" s="12"/>
      <c r="AD2656" s="12"/>
      <c r="AF2656" s="12"/>
      <c r="AG2656" s="12"/>
    </row>
    <row r="2657" spans="29:33" x14ac:dyDescent="0.25">
      <c r="AC2657" s="12"/>
      <c r="AD2657" s="12"/>
      <c r="AF2657" s="12"/>
      <c r="AG2657" s="12"/>
    </row>
    <row r="2658" spans="29:33" x14ac:dyDescent="0.25">
      <c r="AC2658" s="12"/>
      <c r="AD2658" s="12"/>
      <c r="AF2658" s="12"/>
      <c r="AG2658" s="12"/>
    </row>
    <row r="2659" spans="29:33" x14ac:dyDescent="0.25">
      <c r="AC2659" s="12"/>
      <c r="AD2659" s="12"/>
      <c r="AF2659" s="12"/>
      <c r="AG2659" s="12"/>
    </row>
    <row r="2660" spans="29:33" x14ac:dyDescent="0.25">
      <c r="AC2660" s="12"/>
      <c r="AD2660" s="12"/>
      <c r="AF2660" s="12"/>
      <c r="AG2660" s="12"/>
    </row>
    <row r="2661" spans="29:33" x14ac:dyDescent="0.25">
      <c r="AC2661" s="12"/>
      <c r="AD2661" s="12"/>
      <c r="AF2661" s="12"/>
      <c r="AG2661" s="12"/>
    </row>
    <row r="2662" spans="29:33" x14ac:dyDescent="0.25">
      <c r="AC2662" s="12"/>
      <c r="AD2662" s="12"/>
      <c r="AF2662" s="12"/>
      <c r="AG2662" s="12"/>
    </row>
    <row r="2663" spans="29:33" x14ac:dyDescent="0.25">
      <c r="AC2663" s="12"/>
      <c r="AD2663" s="12"/>
      <c r="AF2663" s="12"/>
      <c r="AG2663" s="12"/>
    </row>
    <row r="2664" spans="29:33" x14ac:dyDescent="0.25">
      <c r="AC2664" s="12"/>
      <c r="AD2664" s="12"/>
      <c r="AF2664" s="12"/>
      <c r="AG2664" s="12"/>
    </row>
    <row r="2665" spans="29:33" x14ac:dyDescent="0.25">
      <c r="AC2665" s="12"/>
      <c r="AD2665" s="12"/>
      <c r="AF2665" s="12"/>
      <c r="AG2665" s="12"/>
    </row>
    <row r="2666" spans="29:33" x14ac:dyDescent="0.25">
      <c r="AC2666" s="12"/>
      <c r="AD2666" s="12"/>
      <c r="AF2666" s="12"/>
      <c r="AG2666" s="12"/>
    </row>
    <row r="2667" spans="29:33" x14ac:dyDescent="0.25">
      <c r="AC2667" s="12"/>
      <c r="AD2667" s="12"/>
      <c r="AF2667" s="12"/>
      <c r="AG2667" s="12"/>
    </row>
    <row r="2668" spans="29:33" x14ac:dyDescent="0.25">
      <c r="AC2668" s="12"/>
      <c r="AD2668" s="12"/>
      <c r="AF2668" s="12"/>
      <c r="AG2668" s="12"/>
    </row>
    <row r="2669" spans="29:33" x14ac:dyDescent="0.25">
      <c r="AC2669" s="12"/>
      <c r="AD2669" s="12"/>
      <c r="AF2669" s="12"/>
      <c r="AG2669" s="12"/>
    </row>
    <row r="2670" spans="29:33" x14ac:dyDescent="0.25">
      <c r="AC2670" s="12"/>
      <c r="AD2670" s="12"/>
      <c r="AF2670" s="12"/>
      <c r="AG2670" s="12"/>
    </row>
    <row r="2671" spans="29:33" x14ac:dyDescent="0.25">
      <c r="AC2671" s="12"/>
      <c r="AD2671" s="12"/>
      <c r="AF2671" s="12"/>
      <c r="AG2671" s="12"/>
    </row>
    <row r="2672" spans="29:33" x14ac:dyDescent="0.25">
      <c r="AC2672" s="12"/>
      <c r="AD2672" s="12"/>
      <c r="AF2672" s="12"/>
      <c r="AG2672" s="12"/>
    </row>
    <row r="2673" spans="29:33" x14ac:dyDescent="0.25">
      <c r="AC2673" s="12"/>
      <c r="AD2673" s="12"/>
      <c r="AF2673" s="12"/>
      <c r="AG2673" s="12"/>
    </row>
    <row r="2674" spans="29:33" x14ac:dyDescent="0.25">
      <c r="AC2674" s="12"/>
      <c r="AD2674" s="12"/>
      <c r="AF2674" s="12"/>
      <c r="AG2674" s="12"/>
    </row>
    <row r="2675" spans="29:33" x14ac:dyDescent="0.25">
      <c r="AC2675" s="12"/>
      <c r="AD2675" s="12"/>
      <c r="AF2675" s="12"/>
      <c r="AG2675" s="12"/>
    </row>
    <row r="2676" spans="29:33" x14ac:dyDescent="0.25">
      <c r="AC2676" s="12"/>
      <c r="AD2676" s="12"/>
      <c r="AF2676" s="12"/>
      <c r="AG2676" s="12"/>
    </row>
    <row r="2677" spans="29:33" x14ac:dyDescent="0.25">
      <c r="AC2677" s="12"/>
      <c r="AD2677" s="12"/>
      <c r="AF2677" s="12"/>
      <c r="AG2677" s="12"/>
    </row>
    <row r="2678" spans="29:33" x14ac:dyDescent="0.25">
      <c r="AC2678" s="12"/>
      <c r="AD2678" s="12"/>
      <c r="AF2678" s="12"/>
      <c r="AG2678" s="12"/>
    </row>
    <row r="2679" spans="29:33" x14ac:dyDescent="0.25">
      <c r="AC2679" s="12"/>
      <c r="AD2679" s="12"/>
      <c r="AF2679" s="12"/>
      <c r="AG2679" s="12"/>
    </row>
    <row r="2680" spans="29:33" x14ac:dyDescent="0.25">
      <c r="AC2680" s="12"/>
      <c r="AD2680" s="12"/>
      <c r="AF2680" s="12"/>
      <c r="AG2680" s="12"/>
    </row>
    <row r="2681" spans="29:33" x14ac:dyDescent="0.25">
      <c r="AC2681" s="12"/>
      <c r="AD2681" s="12"/>
      <c r="AF2681" s="12"/>
      <c r="AG2681" s="12"/>
    </row>
    <row r="2682" spans="29:33" x14ac:dyDescent="0.25">
      <c r="AC2682" s="12"/>
      <c r="AD2682" s="12"/>
      <c r="AF2682" s="12"/>
      <c r="AG2682" s="12"/>
    </row>
    <row r="2683" spans="29:33" x14ac:dyDescent="0.25">
      <c r="AC2683" s="12"/>
      <c r="AD2683" s="12"/>
      <c r="AF2683" s="12"/>
      <c r="AG2683" s="12"/>
    </row>
    <row r="2684" spans="29:33" x14ac:dyDescent="0.25">
      <c r="AC2684" s="12"/>
      <c r="AD2684" s="12"/>
      <c r="AF2684" s="12"/>
      <c r="AG2684" s="12"/>
    </row>
    <row r="2685" spans="29:33" x14ac:dyDescent="0.25">
      <c r="AC2685" s="12"/>
      <c r="AD2685" s="12"/>
      <c r="AF2685" s="12"/>
      <c r="AG2685" s="12"/>
    </row>
    <row r="2686" spans="29:33" x14ac:dyDescent="0.25">
      <c r="AC2686" s="12"/>
      <c r="AD2686" s="12"/>
      <c r="AF2686" s="12"/>
      <c r="AG2686" s="12"/>
    </row>
    <row r="2687" spans="29:33" x14ac:dyDescent="0.25">
      <c r="AC2687" s="12"/>
      <c r="AD2687" s="12"/>
      <c r="AF2687" s="12"/>
      <c r="AG2687" s="12"/>
    </row>
    <row r="2688" spans="29:33" x14ac:dyDescent="0.25">
      <c r="AC2688" s="12"/>
      <c r="AD2688" s="12"/>
      <c r="AF2688" s="12"/>
      <c r="AG2688" s="12"/>
    </row>
    <row r="2689" spans="29:33" x14ac:dyDescent="0.25">
      <c r="AC2689" s="12"/>
      <c r="AD2689" s="12"/>
      <c r="AF2689" s="12"/>
      <c r="AG2689" s="12"/>
    </row>
    <row r="2690" spans="29:33" x14ac:dyDescent="0.25">
      <c r="AC2690" s="12"/>
      <c r="AD2690" s="12"/>
      <c r="AF2690" s="12"/>
      <c r="AG2690" s="12"/>
    </row>
    <row r="2691" spans="29:33" x14ac:dyDescent="0.25">
      <c r="AC2691" s="12"/>
      <c r="AD2691" s="12"/>
      <c r="AF2691" s="12"/>
      <c r="AG2691" s="12"/>
    </row>
    <row r="2692" spans="29:33" x14ac:dyDescent="0.25">
      <c r="AC2692" s="12"/>
      <c r="AD2692" s="12"/>
      <c r="AF2692" s="12"/>
      <c r="AG2692" s="12"/>
    </row>
    <row r="2693" spans="29:33" x14ac:dyDescent="0.25">
      <c r="AC2693" s="12"/>
      <c r="AD2693" s="12"/>
      <c r="AF2693" s="12"/>
      <c r="AG2693" s="12"/>
    </row>
    <row r="2694" spans="29:33" x14ac:dyDescent="0.25">
      <c r="AC2694" s="12"/>
      <c r="AD2694" s="12"/>
      <c r="AF2694" s="12"/>
      <c r="AG2694" s="12"/>
    </row>
    <row r="2695" spans="29:33" x14ac:dyDescent="0.25">
      <c r="AC2695" s="12"/>
      <c r="AD2695" s="12"/>
      <c r="AF2695" s="12"/>
      <c r="AG2695" s="12"/>
    </row>
    <row r="2696" spans="29:33" x14ac:dyDescent="0.25">
      <c r="AC2696" s="12"/>
      <c r="AD2696" s="12"/>
      <c r="AF2696" s="12"/>
      <c r="AG2696" s="12"/>
    </row>
    <row r="2697" spans="29:33" x14ac:dyDescent="0.25">
      <c r="AC2697" s="12"/>
      <c r="AD2697" s="12"/>
      <c r="AF2697" s="12"/>
      <c r="AG2697" s="12"/>
    </row>
    <row r="2698" spans="29:33" x14ac:dyDescent="0.25">
      <c r="AC2698" s="12"/>
      <c r="AD2698" s="12"/>
      <c r="AF2698" s="12"/>
      <c r="AG2698" s="12"/>
    </row>
    <row r="2699" spans="29:33" x14ac:dyDescent="0.25">
      <c r="AC2699" s="12"/>
      <c r="AD2699" s="12"/>
      <c r="AF2699" s="12"/>
      <c r="AG2699" s="12"/>
    </row>
    <row r="2700" spans="29:33" x14ac:dyDescent="0.25">
      <c r="AC2700" s="12"/>
      <c r="AD2700" s="12"/>
      <c r="AF2700" s="12"/>
      <c r="AG2700" s="12"/>
    </row>
    <row r="2701" spans="29:33" x14ac:dyDescent="0.25">
      <c r="AC2701" s="12"/>
      <c r="AD2701" s="12"/>
      <c r="AF2701" s="12"/>
      <c r="AG2701" s="12"/>
    </row>
    <row r="2702" spans="29:33" x14ac:dyDescent="0.25">
      <c r="AC2702" s="12"/>
      <c r="AD2702" s="12"/>
      <c r="AF2702" s="12"/>
      <c r="AG2702" s="12"/>
    </row>
    <row r="2703" spans="29:33" x14ac:dyDescent="0.25">
      <c r="AC2703" s="12"/>
      <c r="AD2703" s="12"/>
      <c r="AF2703" s="12"/>
      <c r="AG2703" s="12"/>
    </row>
    <row r="2704" spans="29:33" x14ac:dyDescent="0.25">
      <c r="AC2704" s="12"/>
      <c r="AD2704" s="12"/>
      <c r="AF2704" s="12"/>
      <c r="AG2704" s="12"/>
    </row>
    <row r="2705" spans="29:33" x14ac:dyDescent="0.25">
      <c r="AC2705" s="12"/>
      <c r="AD2705" s="12"/>
      <c r="AF2705" s="12"/>
      <c r="AG2705" s="12"/>
    </row>
    <row r="2706" spans="29:33" x14ac:dyDescent="0.25">
      <c r="AC2706" s="12"/>
      <c r="AD2706" s="12"/>
      <c r="AF2706" s="12"/>
      <c r="AG2706" s="12"/>
    </row>
    <row r="2707" spans="29:33" x14ac:dyDescent="0.25">
      <c r="AC2707" s="12"/>
      <c r="AD2707" s="12"/>
      <c r="AF2707" s="12"/>
      <c r="AG2707" s="12"/>
    </row>
    <row r="2708" spans="29:33" x14ac:dyDescent="0.25">
      <c r="AC2708" s="12"/>
      <c r="AD2708" s="12"/>
      <c r="AF2708" s="12"/>
      <c r="AG2708" s="12"/>
    </row>
    <row r="2709" spans="29:33" x14ac:dyDescent="0.25">
      <c r="AC2709" s="12"/>
      <c r="AD2709" s="12"/>
      <c r="AF2709" s="12"/>
      <c r="AG2709" s="12"/>
    </row>
    <row r="2710" spans="29:33" x14ac:dyDescent="0.25">
      <c r="AC2710" s="12"/>
      <c r="AD2710" s="12"/>
      <c r="AF2710" s="12"/>
      <c r="AG2710" s="12"/>
    </row>
    <row r="2711" spans="29:33" x14ac:dyDescent="0.25">
      <c r="AC2711" s="12"/>
      <c r="AD2711" s="12"/>
      <c r="AF2711" s="12"/>
      <c r="AG2711" s="12"/>
    </row>
    <row r="2712" spans="29:33" x14ac:dyDescent="0.25">
      <c r="AC2712" s="12"/>
      <c r="AD2712" s="12"/>
      <c r="AF2712" s="12"/>
      <c r="AG2712" s="12"/>
    </row>
    <row r="2713" spans="29:33" x14ac:dyDescent="0.25">
      <c r="AC2713" s="12"/>
      <c r="AD2713" s="12"/>
      <c r="AF2713" s="12"/>
      <c r="AG2713" s="12"/>
    </row>
    <row r="2714" spans="29:33" x14ac:dyDescent="0.25">
      <c r="AC2714" s="12"/>
      <c r="AD2714" s="12"/>
      <c r="AF2714" s="12"/>
      <c r="AG2714" s="12"/>
    </row>
    <row r="2715" spans="29:33" x14ac:dyDescent="0.25">
      <c r="AC2715" s="12"/>
      <c r="AD2715" s="12"/>
      <c r="AF2715" s="12"/>
      <c r="AG2715" s="12"/>
    </row>
    <row r="2716" spans="29:33" x14ac:dyDescent="0.25">
      <c r="AC2716" s="12"/>
      <c r="AD2716" s="12"/>
      <c r="AF2716" s="12"/>
      <c r="AG2716" s="12"/>
    </row>
    <row r="2717" spans="29:33" x14ac:dyDescent="0.25">
      <c r="AC2717" s="12"/>
      <c r="AD2717" s="12"/>
      <c r="AF2717" s="12"/>
      <c r="AG2717" s="12"/>
    </row>
    <row r="2718" spans="29:33" x14ac:dyDescent="0.25">
      <c r="AC2718" s="12"/>
      <c r="AD2718" s="12"/>
      <c r="AF2718" s="12"/>
      <c r="AG2718" s="12"/>
    </row>
    <row r="2719" spans="29:33" x14ac:dyDescent="0.25">
      <c r="AC2719" s="12"/>
      <c r="AD2719" s="12"/>
      <c r="AF2719" s="12"/>
      <c r="AG2719" s="12"/>
    </row>
    <row r="2720" spans="29:33" x14ac:dyDescent="0.25">
      <c r="AC2720" s="12"/>
      <c r="AD2720" s="12"/>
      <c r="AF2720" s="12"/>
      <c r="AG2720" s="12"/>
    </row>
    <row r="2721" spans="29:33" x14ac:dyDescent="0.25">
      <c r="AC2721" s="12"/>
      <c r="AD2721" s="12"/>
      <c r="AF2721" s="12"/>
      <c r="AG2721" s="12"/>
    </row>
    <row r="2722" spans="29:33" x14ac:dyDescent="0.25">
      <c r="AC2722" s="12"/>
      <c r="AD2722" s="12"/>
      <c r="AF2722" s="12"/>
      <c r="AG2722" s="12"/>
    </row>
    <row r="2723" spans="29:33" x14ac:dyDescent="0.25">
      <c r="AC2723" s="12"/>
      <c r="AD2723" s="12"/>
      <c r="AF2723" s="12"/>
      <c r="AG2723" s="12"/>
    </row>
    <row r="2724" spans="29:33" x14ac:dyDescent="0.25">
      <c r="AC2724" s="12"/>
      <c r="AD2724" s="12"/>
      <c r="AF2724" s="12"/>
      <c r="AG2724" s="12"/>
    </row>
    <row r="2725" spans="29:33" x14ac:dyDescent="0.25">
      <c r="AC2725" s="12"/>
      <c r="AD2725" s="12"/>
      <c r="AF2725" s="12"/>
      <c r="AG2725" s="12"/>
    </row>
    <row r="2726" spans="29:33" x14ac:dyDescent="0.25">
      <c r="AC2726" s="12"/>
      <c r="AD2726" s="12"/>
      <c r="AF2726" s="12"/>
      <c r="AG2726" s="12"/>
    </row>
    <row r="2727" spans="29:33" x14ac:dyDescent="0.25">
      <c r="AC2727" s="12"/>
      <c r="AD2727" s="12"/>
      <c r="AF2727" s="12"/>
      <c r="AG2727" s="12"/>
    </row>
    <row r="2728" spans="29:33" x14ac:dyDescent="0.25">
      <c r="AC2728" s="12"/>
      <c r="AD2728" s="12"/>
      <c r="AF2728" s="12"/>
      <c r="AG2728" s="12"/>
    </row>
    <row r="2729" spans="29:33" x14ac:dyDescent="0.25">
      <c r="AC2729" s="12"/>
      <c r="AD2729" s="12"/>
      <c r="AF2729" s="12"/>
      <c r="AG2729" s="12"/>
    </row>
    <row r="2730" spans="29:33" x14ac:dyDescent="0.25">
      <c r="AC2730" s="12"/>
      <c r="AD2730" s="12"/>
      <c r="AF2730" s="12"/>
      <c r="AG2730" s="12"/>
    </row>
    <row r="2731" spans="29:33" x14ac:dyDescent="0.25">
      <c r="AC2731" s="12"/>
      <c r="AD2731" s="12"/>
      <c r="AF2731" s="12"/>
      <c r="AG2731" s="12"/>
    </row>
    <row r="2732" spans="29:33" x14ac:dyDescent="0.25">
      <c r="AC2732" s="12"/>
      <c r="AD2732" s="12"/>
      <c r="AF2732" s="12"/>
      <c r="AG2732" s="12"/>
    </row>
    <row r="2733" spans="29:33" x14ac:dyDescent="0.25">
      <c r="AC2733" s="12"/>
      <c r="AD2733" s="12"/>
      <c r="AF2733" s="12"/>
      <c r="AG2733" s="12"/>
    </row>
    <row r="2734" spans="29:33" x14ac:dyDescent="0.25">
      <c r="AC2734" s="12"/>
      <c r="AD2734" s="12"/>
      <c r="AF2734" s="12"/>
      <c r="AG2734" s="12"/>
    </row>
    <row r="2735" spans="29:33" x14ac:dyDescent="0.25">
      <c r="AC2735" s="12"/>
      <c r="AD2735" s="12"/>
      <c r="AF2735" s="12"/>
      <c r="AG2735" s="12"/>
    </row>
    <row r="2736" spans="29:33" x14ac:dyDescent="0.25">
      <c r="AC2736" s="12"/>
      <c r="AD2736" s="12"/>
      <c r="AF2736" s="12"/>
      <c r="AG2736" s="12"/>
    </row>
    <row r="2737" spans="29:33" x14ac:dyDescent="0.25">
      <c r="AC2737" s="12"/>
      <c r="AD2737" s="12"/>
      <c r="AF2737" s="12"/>
      <c r="AG2737" s="12"/>
    </row>
    <row r="2738" spans="29:33" x14ac:dyDescent="0.25">
      <c r="AC2738" s="12"/>
      <c r="AD2738" s="12"/>
      <c r="AF2738" s="12"/>
      <c r="AG2738" s="12"/>
    </row>
    <row r="2739" spans="29:33" x14ac:dyDescent="0.25">
      <c r="AC2739" s="12"/>
      <c r="AD2739" s="12"/>
      <c r="AF2739" s="12"/>
      <c r="AG2739" s="12"/>
    </row>
    <row r="2740" spans="29:33" x14ac:dyDescent="0.25">
      <c r="AC2740" s="12"/>
      <c r="AD2740" s="12"/>
      <c r="AF2740" s="12"/>
      <c r="AG2740" s="12"/>
    </row>
    <row r="2741" spans="29:33" x14ac:dyDescent="0.25">
      <c r="AC2741" s="12"/>
      <c r="AD2741" s="12"/>
      <c r="AF2741" s="12"/>
      <c r="AG2741" s="12"/>
    </row>
    <row r="2742" spans="29:33" x14ac:dyDescent="0.25">
      <c r="AC2742" s="12"/>
      <c r="AD2742" s="12"/>
      <c r="AF2742" s="12"/>
      <c r="AG2742" s="12"/>
    </row>
    <row r="2743" spans="29:33" x14ac:dyDescent="0.25">
      <c r="AC2743" s="12"/>
      <c r="AD2743" s="12"/>
      <c r="AF2743" s="12"/>
      <c r="AG2743" s="12"/>
    </row>
    <row r="2744" spans="29:33" x14ac:dyDescent="0.25">
      <c r="AC2744" s="12"/>
      <c r="AD2744" s="12"/>
      <c r="AF2744" s="12"/>
      <c r="AG2744" s="12"/>
    </row>
    <row r="2745" spans="29:33" x14ac:dyDescent="0.25">
      <c r="AC2745" s="12"/>
      <c r="AD2745" s="12"/>
      <c r="AF2745" s="12"/>
      <c r="AG2745" s="12"/>
    </row>
    <row r="2746" spans="29:33" x14ac:dyDescent="0.25">
      <c r="AC2746" s="12"/>
      <c r="AD2746" s="12"/>
      <c r="AF2746" s="12"/>
      <c r="AG2746" s="12"/>
    </row>
    <row r="2747" spans="29:33" x14ac:dyDescent="0.25">
      <c r="AC2747" s="12"/>
      <c r="AD2747" s="12"/>
      <c r="AF2747" s="12"/>
      <c r="AG2747" s="12"/>
    </row>
    <row r="2748" spans="29:33" x14ac:dyDescent="0.25">
      <c r="AC2748" s="12"/>
      <c r="AD2748" s="12"/>
      <c r="AF2748" s="12"/>
      <c r="AG2748" s="12"/>
    </row>
    <row r="2749" spans="29:33" x14ac:dyDescent="0.25">
      <c r="AC2749" s="12"/>
      <c r="AD2749" s="12"/>
      <c r="AF2749" s="12"/>
      <c r="AG2749" s="12"/>
    </row>
    <row r="2750" spans="29:33" x14ac:dyDescent="0.25">
      <c r="AC2750" s="12"/>
      <c r="AD2750" s="12"/>
      <c r="AF2750" s="12"/>
      <c r="AG2750" s="12"/>
    </row>
    <row r="2751" spans="29:33" x14ac:dyDescent="0.25">
      <c r="AC2751" s="12"/>
      <c r="AD2751" s="12"/>
      <c r="AF2751" s="12"/>
      <c r="AG2751" s="12"/>
    </row>
    <row r="2752" spans="29:33" x14ac:dyDescent="0.25">
      <c r="AC2752" s="12"/>
      <c r="AD2752" s="12"/>
      <c r="AF2752" s="12"/>
      <c r="AG2752" s="12"/>
    </row>
    <row r="2753" spans="29:33" x14ac:dyDescent="0.25">
      <c r="AC2753" s="12"/>
      <c r="AD2753" s="12"/>
      <c r="AF2753" s="12"/>
      <c r="AG2753" s="12"/>
    </row>
    <row r="2754" spans="29:33" x14ac:dyDescent="0.25">
      <c r="AC2754" s="12"/>
      <c r="AD2754" s="12"/>
      <c r="AF2754" s="12"/>
      <c r="AG2754" s="12"/>
    </row>
    <row r="2755" spans="29:33" x14ac:dyDescent="0.25">
      <c r="AC2755" s="12"/>
      <c r="AD2755" s="12"/>
      <c r="AF2755" s="12"/>
      <c r="AG2755" s="12"/>
    </row>
    <row r="2756" spans="29:33" x14ac:dyDescent="0.25">
      <c r="AC2756" s="12"/>
      <c r="AD2756" s="12"/>
      <c r="AF2756" s="12"/>
      <c r="AG2756" s="12"/>
    </row>
    <row r="2757" spans="29:33" x14ac:dyDescent="0.25">
      <c r="AC2757" s="12"/>
      <c r="AD2757" s="12"/>
      <c r="AF2757" s="12"/>
      <c r="AG2757" s="12"/>
    </row>
    <row r="2758" spans="29:33" x14ac:dyDescent="0.25">
      <c r="AC2758" s="12"/>
      <c r="AD2758" s="12"/>
      <c r="AF2758" s="12"/>
      <c r="AG2758" s="12"/>
    </row>
    <row r="2759" spans="29:33" x14ac:dyDescent="0.25">
      <c r="AC2759" s="12"/>
      <c r="AD2759" s="12"/>
      <c r="AF2759" s="12"/>
      <c r="AG2759" s="12"/>
    </row>
    <row r="2760" spans="29:33" x14ac:dyDescent="0.25">
      <c r="AC2760" s="12"/>
      <c r="AD2760" s="12"/>
      <c r="AF2760" s="12"/>
      <c r="AG2760" s="12"/>
    </row>
    <row r="2761" spans="29:33" x14ac:dyDescent="0.25">
      <c r="AC2761" s="12"/>
      <c r="AD2761" s="12"/>
      <c r="AF2761" s="12"/>
      <c r="AG2761" s="12"/>
    </row>
    <row r="2762" spans="29:33" x14ac:dyDescent="0.25">
      <c r="AC2762" s="12"/>
      <c r="AD2762" s="12"/>
      <c r="AF2762" s="12"/>
      <c r="AG2762" s="12"/>
    </row>
    <row r="2763" spans="29:33" x14ac:dyDescent="0.25">
      <c r="AC2763" s="12"/>
      <c r="AD2763" s="12"/>
      <c r="AF2763" s="12"/>
      <c r="AG2763" s="12"/>
    </row>
    <row r="2764" spans="29:33" x14ac:dyDescent="0.25">
      <c r="AC2764" s="12"/>
      <c r="AD2764" s="12"/>
      <c r="AF2764" s="12"/>
      <c r="AG2764" s="12"/>
    </row>
    <row r="2765" spans="29:33" x14ac:dyDescent="0.25">
      <c r="AC2765" s="12"/>
      <c r="AD2765" s="12"/>
      <c r="AF2765" s="12"/>
      <c r="AG2765" s="12"/>
    </row>
    <row r="2766" spans="29:33" x14ac:dyDescent="0.25">
      <c r="AC2766" s="12"/>
      <c r="AD2766" s="12"/>
      <c r="AF2766" s="12"/>
      <c r="AG2766" s="12"/>
    </row>
    <row r="2767" spans="29:33" x14ac:dyDescent="0.25">
      <c r="AC2767" s="12"/>
      <c r="AD2767" s="12"/>
      <c r="AF2767" s="12"/>
      <c r="AG2767" s="12"/>
    </row>
    <row r="2768" spans="29:33" x14ac:dyDescent="0.25">
      <c r="AC2768" s="12"/>
      <c r="AD2768" s="12"/>
      <c r="AF2768" s="12"/>
      <c r="AG2768" s="12"/>
    </row>
    <row r="2769" spans="29:33" x14ac:dyDescent="0.25">
      <c r="AC2769" s="12"/>
      <c r="AD2769" s="12"/>
      <c r="AF2769" s="12"/>
      <c r="AG2769" s="12"/>
    </row>
    <row r="2770" spans="29:33" x14ac:dyDescent="0.25">
      <c r="AC2770" s="12"/>
      <c r="AD2770" s="12"/>
      <c r="AF2770" s="12"/>
      <c r="AG2770" s="12"/>
    </row>
    <row r="2771" spans="29:33" x14ac:dyDescent="0.25">
      <c r="AC2771" s="12"/>
      <c r="AD2771" s="12"/>
      <c r="AF2771" s="12"/>
      <c r="AG2771" s="12"/>
    </row>
    <row r="2772" spans="29:33" x14ac:dyDescent="0.25">
      <c r="AC2772" s="12"/>
      <c r="AD2772" s="12"/>
      <c r="AF2772" s="12"/>
      <c r="AG2772" s="12"/>
    </row>
    <row r="2773" spans="29:33" x14ac:dyDescent="0.25">
      <c r="AC2773" s="12"/>
      <c r="AD2773" s="12"/>
      <c r="AF2773" s="12"/>
      <c r="AG2773" s="12"/>
    </row>
    <row r="2774" spans="29:33" x14ac:dyDescent="0.25">
      <c r="AC2774" s="12"/>
      <c r="AD2774" s="12"/>
      <c r="AF2774" s="12"/>
      <c r="AG2774" s="12"/>
    </row>
    <row r="2775" spans="29:33" x14ac:dyDescent="0.25">
      <c r="AC2775" s="12"/>
      <c r="AD2775" s="12"/>
      <c r="AF2775" s="12"/>
      <c r="AG2775" s="12"/>
    </row>
    <row r="2776" spans="29:33" x14ac:dyDescent="0.25">
      <c r="AC2776" s="12"/>
      <c r="AD2776" s="12"/>
      <c r="AF2776" s="12"/>
      <c r="AG2776" s="12"/>
    </row>
    <row r="2777" spans="29:33" x14ac:dyDescent="0.25">
      <c r="AC2777" s="12"/>
      <c r="AD2777" s="12"/>
      <c r="AF2777" s="12"/>
      <c r="AG2777" s="12"/>
    </row>
    <row r="2778" spans="29:33" x14ac:dyDescent="0.25">
      <c r="AC2778" s="12"/>
      <c r="AD2778" s="12"/>
      <c r="AF2778" s="12"/>
      <c r="AG2778" s="12"/>
    </row>
    <row r="2779" spans="29:33" x14ac:dyDescent="0.25">
      <c r="AC2779" s="12"/>
      <c r="AD2779" s="12"/>
      <c r="AF2779" s="12"/>
      <c r="AG2779" s="12"/>
    </row>
    <row r="2780" spans="29:33" x14ac:dyDescent="0.25">
      <c r="AC2780" s="12"/>
      <c r="AD2780" s="12"/>
      <c r="AF2780" s="12"/>
      <c r="AG2780" s="12"/>
    </row>
    <row r="2781" spans="29:33" x14ac:dyDescent="0.25">
      <c r="AC2781" s="12"/>
      <c r="AD2781" s="12"/>
      <c r="AF2781" s="12"/>
      <c r="AG2781" s="12"/>
    </row>
    <row r="2782" spans="29:33" x14ac:dyDescent="0.25">
      <c r="AC2782" s="12"/>
      <c r="AD2782" s="12"/>
      <c r="AF2782" s="12"/>
      <c r="AG2782" s="12"/>
    </row>
    <row r="2783" spans="29:33" x14ac:dyDescent="0.25">
      <c r="AC2783" s="12"/>
      <c r="AD2783" s="12"/>
      <c r="AF2783" s="12"/>
      <c r="AG2783" s="12"/>
    </row>
    <row r="2784" spans="29:33" x14ac:dyDescent="0.25">
      <c r="AC2784" s="12"/>
      <c r="AD2784" s="12"/>
      <c r="AF2784" s="12"/>
      <c r="AG2784" s="12"/>
    </row>
    <row r="2785" spans="29:33" x14ac:dyDescent="0.25">
      <c r="AC2785" s="12"/>
      <c r="AD2785" s="12"/>
      <c r="AF2785" s="12"/>
      <c r="AG2785" s="12"/>
    </row>
    <row r="2786" spans="29:33" x14ac:dyDescent="0.25">
      <c r="AC2786" s="12"/>
      <c r="AD2786" s="12"/>
      <c r="AF2786" s="12"/>
      <c r="AG2786" s="12"/>
    </row>
    <row r="2787" spans="29:33" x14ac:dyDescent="0.25">
      <c r="AC2787" s="12"/>
      <c r="AD2787" s="12"/>
      <c r="AF2787" s="12"/>
      <c r="AG2787" s="12"/>
    </row>
    <row r="2788" spans="29:33" x14ac:dyDescent="0.25">
      <c r="AC2788" s="12"/>
      <c r="AD2788" s="12"/>
      <c r="AF2788" s="12"/>
      <c r="AG2788" s="12"/>
    </row>
    <row r="2789" spans="29:33" x14ac:dyDescent="0.25">
      <c r="AC2789" s="12"/>
      <c r="AD2789" s="12"/>
      <c r="AF2789" s="12"/>
      <c r="AG2789" s="12"/>
    </row>
    <row r="2790" spans="29:33" x14ac:dyDescent="0.25">
      <c r="AC2790" s="12"/>
      <c r="AD2790" s="12"/>
      <c r="AF2790" s="12"/>
      <c r="AG2790" s="12"/>
    </row>
    <row r="2791" spans="29:33" x14ac:dyDescent="0.25">
      <c r="AC2791" s="12"/>
      <c r="AD2791" s="12"/>
      <c r="AF2791" s="12"/>
      <c r="AG2791" s="12"/>
    </row>
    <row r="2792" spans="29:33" x14ac:dyDescent="0.25">
      <c r="AC2792" s="12"/>
      <c r="AD2792" s="12"/>
      <c r="AF2792" s="12"/>
      <c r="AG2792" s="12"/>
    </row>
    <row r="2793" spans="29:33" x14ac:dyDescent="0.25">
      <c r="AC2793" s="12"/>
      <c r="AD2793" s="12"/>
      <c r="AF2793" s="12"/>
      <c r="AG2793" s="12"/>
    </row>
    <row r="2794" spans="29:33" x14ac:dyDescent="0.25">
      <c r="AC2794" s="12"/>
      <c r="AD2794" s="12"/>
      <c r="AF2794" s="12"/>
      <c r="AG2794" s="12"/>
    </row>
    <row r="2795" spans="29:33" x14ac:dyDescent="0.25">
      <c r="AC2795" s="12"/>
      <c r="AD2795" s="12"/>
      <c r="AF2795" s="12"/>
      <c r="AG2795" s="12"/>
    </row>
    <row r="2796" spans="29:33" x14ac:dyDescent="0.25">
      <c r="AC2796" s="12"/>
      <c r="AD2796" s="12"/>
      <c r="AF2796" s="12"/>
      <c r="AG2796" s="12"/>
    </row>
    <row r="2797" spans="29:33" x14ac:dyDescent="0.25">
      <c r="AC2797" s="12"/>
      <c r="AD2797" s="12"/>
      <c r="AF2797" s="12"/>
      <c r="AG2797" s="12"/>
    </row>
    <row r="2798" spans="29:33" x14ac:dyDescent="0.25">
      <c r="AC2798" s="12"/>
      <c r="AD2798" s="12"/>
      <c r="AF2798" s="12"/>
      <c r="AG2798" s="12"/>
    </row>
    <row r="2799" spans="29:33" x14ac:dyDescent="0.25">
      <c r="AC2799" s="12"/>
      <c r="AD2799" s="12"/>
      <c r="AF2799" s="12"/>
      <c r="AG2799" s="12"/>
    </row>
    <row r="2800" spans="29:33" x14ac:dyDescent="0.25">
      <c r="AC2800" s="12"/>
      <c r="AD2800" s="12"/>
      <c r="AF2800" s="12"/>
      <c r="AG2800" s="12"/>
    </row>
    <row r="2801" spans="29:33" x14ac:dyDescent="0.25">
      <c r="AC2801" s="12"/>
      <c r="AD2801" s="12"/>
      <c r="AF2801" s="12"/>
      <c r="AG2801" s="12"/>
    </row>
    <row r="2802" spans="29:33" x14ac:dyDescent="0.25">
      <c r="AC2802" s="12"/>
      <c r="AD2802" s="12"/>
      <c r="AF2802" s="12"/>
      <c r="AG2802" s="12"/>
    </row>
    <row r="2803" spans="29:33" x14ac:dyDescent="0.25">
      <c r="AC2803" s="12"/>
      <c r="AD2803" s="12"/>
      <c r="AF2803" s="12"/>
      <c r="AG2803" s="12"/>
    </row>
    <row r="2804" spans="29:33" x14ac:dyDescent="0.25">
      <c r="AC2804" s="12"/>
      <c r="AD2804" s="12"/>
      <c r="AF2804" s="12"/>
      <c r="AG2804" s="12"/>
    </row>
    <row r="2805" spans="29:33" x14ac:dyDescent="0.25">
      <c r="AC2805" s="12"/>
      <c r="AD2805" s="12"/>
      <c r="AF2805" s="12"/>
      <c r="AG2805" s="12"/>
    </row>
    <row r="2806" spans="29:33" x14ac:dyDescent="0.25">
      <c r="AC2806" s="12"/>
      <c r="AD2806" s="12"/>
      <c r="AF2806" s="12"/>
      <c r="AG2806" s="12"/>
    </row>
    <row r="2807" spans="29:33" x14ac:dyDescent="0.25">
      <c r="AC2807" s="12"/>
      <c r="AD2807" s="12"/>
      <c r="AF2807" s="12"/>
      <c r="AG2807" s="12"/>
    </row>
    <row r="2808" spans="29:33" x14ac:dyDescent="0.25">
      <c r="AC2808" s="12"/>
      <c r="AD2808" s="12"/>
      <c r="AF2808" s="12"/>
      <c r="AG2808" s="12"/>
    </row>
    <row r="2809" spans="29:33" x14ac:dyDescent="0.25">
      <c r="AC2809" s="12"/>
      <c r="AD2809" s="12"/>
      <c r="AF2809" s="12"/>
      <c r="AG2809" s="12"/>
    </row>
    <row r="2810" spans="29:33" x14ac:dyDescent="0.25">
      <c r="AC2810" s="12"/>
      <c r="AD2810" s="12"/>
      <c r="AF2810" s="12"/>
      <c r="AG2810" s="12"/>
    </row>
    <row r="2811" spans="29:33" x14ac:dyDescent="0.25">
      <c r="AC2811" s="12"/>
      <c r="AD2811" s="12"/>
      <c r="AF2811" s="12"/>
      <c r="AG2811" s="12"/>
    </row>
    <row r="2812" spans="29:33" x14ac:dyDescent="0.25">
      <c r="AC2812" s="12"/>
      <c r="AD2812" s="12"/>
      <c r="AF2812" s="12"/>
      <c r="AG2812" s="12"/>
    </row>
    <row r="2813" spans="29:33" x14ac:dyDescent="0.25">
      <c r="AC2813" s="12"/>
      <c r="AD2813" s="12"/>
      <c r="AF2813" s="12"/>
      <c r="AG2813" s="12"/>
    </row>
    <row r="2814" spans="29:33" x14ac:dyDescent="0.25">
      <c r="AC2814" s="12"/>
      <c r="AD2814" s="12"/>
      <c r="AF2814" s="12"/>
      <c r="AG2814" s="12"/>
    </row>
    <row r="2815" spans="29:33" x14ac:dyDescent="0.25">
      <c r="AC2815" s="12"/>
      <c r="AD2815" s="12"/>
      <c r="AF2815" s="12"/>
      <c r="AG2815" s="12"/>
    </row>
    <row r="2816" spans="29:33" x14ac:dyDescent="0.25">
      <c r="AC2816" s="12"/>
      <c r="AD2816" s="12"/>
      <c r="AF2816" s="12"/>
      <c r="AG2816" s="12"/>
    </row>
    <row r="2817" spans="29:33" x14ac:dyDescent="0.25">
      <c r="AC2817" s="12"/>
      <c r="AD2817" s="12"/>
      <c r="AF2817" s="12"/>
      <c r="AG2817" s="12"/>
    </row>
    <row r="2818" spans="29:33" x14ac:dyDescent="0.25">
      <c r="AC2818" s="12"/>
      <c r="AD2818" s="12"/>
      <c r="AF2818" s="12"/>
      <c r="AG2818" s="12"/>
    </row>
    <row r="2819" spans="29:33" x14ac:dyDescent="0.25">
      <c r="AC2819" s="12"/>
      <c r="AD2819" s="12"/>
      <c r="AF2819" s="12"/>
      <c r="AG2819" s="12"/>
    </row>
    <row r="2820" spans="29:33" x14ac:dyDescent="0.25">
      <c r="AC2820" s="12"/>
      <c r="AD2820" s="12"/>
      <c r="AF2820" s="12"/>
      <c r="AG2820" s="12"/>
    </row>
    <row r="2821" spans="29:33" x14ac:dyDescent="0.25">
      <c r="AC2821" s="12"/>
      <c r="AD2821" s="12"/>
      <c r="AF2821" s="12"/>
      <c r="AG2821" s="12"/>
    </row>
    <row r="2822" spans="29:33" x14ac:dyDescent="0.25">
      <c r="AC2822" s="12"/>
      <c r="AD2822" s="12"/>
      <c r="AF2822" s="12"/>
      <c r="AG2822" s="12"/>
    </row>
    <row r="2823" spans="29:33" x14ac:dyDescent="0.25">
      <c r="AC2823" s="12"/>
      <c r="AD2823" s="12"/>
      <c r="AF2823" s="12"/>
      <c r="AG2823" s="12"/>
    </row>
    <row r="2824" spans="29:33" x14ac:dyDescent="0.25">
      <c r="AC2824" s="12"/>
      <c r="AD2824" s="12"/>
      <c r="AF2824" s="12"/>
      <c r="AG2824" s="12"/>
    </row>
    <row r="2825" spans="29:33" x14ac:dyDescent="0.25">
      <c r="AC2825" s="12"/>
      <c r="AD2825" s="12"/>
      <c r="AF2825" s="12"/>
      <c r="AG2825" s="12"/>
    </row>
    <row r="2826" spans="29:33" x14ac:dyDescent="0.25">
      <c r="AC2826" s="12"/>
      <c r="AD2826" s="12"/>
      <c r="AF2826" s="12"/>
      <c r="AG2826" s="12"/>
    </row>
    <row r="2827" spans="29:33" x14ac:dyDescent="0.25">
      <c r="AC2827" s="12"/>
      <c r="AD2827" s="12"/>
      <c r="AF2827" s="12"/>
      <c r="AG2827" s="12"/>
    </row>
    <row r="2828" spans="29:33" x14ac:dyDescent="0.25">
      <c r="AC2828" s="12"/>
      <c r="AD2828" s="12"/>
      <c r="AF2828" s="12"/>
      <c r="AG2828" s="12"/>
    </row>
    <row r="2829" spans="29:33" x14ac:dyDescent="0.25">
      <c r="AC2829" s="12"/>
      <c r="AD2829" s="12"/>
      <c r="AF2829" s="12"/>
      <c r="AG2829" s="12"/>
    </row>
    <row r="2830" spans="29:33" x14ac:dyDescent="0.25">
      <c r="AC2830" s="12"/>
      <c r="AD2830" s="12"/>
      <c r="AF2830" s="12"/>
      <c r="AG2830" s="12"/>
    </row>
    <row r="2831" spans="29:33" x14ac:dyDescent="0.25">
      <c r="AC2831" s="12"/>
      <c r="AD2831" s="12"/>
      <c r="AF2831" s="12"/>
      <c r="AG2831" s="12"/>
    </row>
    <row r="2832" spans="29:33" x14ac:dyDescent="0.25">
      <c r="AC2832" s="12"/>
      <c r="AD2832" s="12"/>
      <c r="AF2832" s="12"/>
      <c r="AG2832" s="12"/>
    </row>
    <row r="2833" spans="29:33" x14ac:dyDescent="0.25">
      <c r="AC2833" s="12"/>
      <c r="AD2833" s="12"/>
      <c r="AF2833" s="12"/>
      <c r="AG2833" s="12"/>
    </row>
    <row r="2834" spans="29:33" x14ac:dyDescent="0.25">
      <c r="AC2834" s="12"/>
      <c r="AD2834" s="12"/>
      <c r="AF2834" s="12"/>
      <c r="AG2834" s="12"/>
    </row>
    <row r="2835" spans="29:33" x14ac:dyDescent="0.25">
      <c r="AC2835" s="12"/>
      <c r="AD2835" s="12"/>
      <c r="AF2835" s="12"/>
      <c r="AG2835" s="12"/>
    </row>
    <row r="2836" spans="29:33" x14ac:dyDescent="0.25">
      <c r="AC2836" s="12"/>
      <c r="AD2836" s="12"/>
      <c r="AF2836" s="12"/>
      <c r="AG2836" s="12"/>
    </row>
    <row r="2837" spans="29:33" x14ac:dyDescent="0.25">
      <c r="AC2837" s="12"/>
      <c r="AD2837" s="12"/>
      <c r="AF2837" s="12"/>
      <c r="AG2837" s="12"/>
    </row>
    <row r="2838" spans="29:33" x14ac:dyDescent="0.25">
      <c r="AC2838" s="12"/>
      <c r="AD2838" s="12"/>
      <c r="AF2838" s="12"/>
      <c r="AG2838" s="12"/>
    </row>
    <row r="2839" spans="29:33" x14ac:dyDescent="0.25">
      <c r="AC2839" s="12"/>
      <c r="AD2839" s="12"/>
      <c r="AF2839" s="12"/>
      <c r="AG2839" s="12"/>
    </row>
    <row r="2840" spans="29:33" x14ac:dyDescent="0.25">
      <c r="AC2840" s="12"/>
      <c r="AD2840" s="12"/>
      <c r="AF2840" s="12"/>
      <c r="AG2840" s="12"/>
    </row>
    <row r="2841" spans="29:33" x14ac:dyDescent="0.25">
      <c r="AC2841" s="12"/>
      <c r="AD2841" s="12"/>
      <c r="AF2841" s="12"/>
      <c r="AG2841" s="12"/>
    </row>
    <row r="2842" spans="29:33" x14ac:dyDescent="0.25">
      <c r="AC2842" s="12"/>
      <c r="AD2842" s="12"/>
      <c r="AF2842" s="12"/>
      <c r="AG2842" s="12"/>
    </row>
    <row r="2843" spans="29:33" x14ac:dyDescent="0.25">
      <c r="AC2843" s="12"/>
      <c r="AD2843" s="12"/>
      <c r="AF2843" s="12"/>
      <c r="AG2843" s="12"/>
    </row>
    <row r="2844" spans="29:33" x14ac:dyDescent="0.25">
      <c r="AC2844" s="12"/>
      <c r="AD2844" s="12"/>
      <c r="AF2844" s="12"/>
      <c r="AG2844" s="12"/>
    </row>
    <row r="2845" spans="29:33" x14ac:dyDescent="0.25">
      <c r="AC2845" s="12"/>
      <c r="AD2845" s="12"/>
      <c r="AF2845" s="12"/>
      <c r="AG2845" s="12"/>
    </row>
    <row r="2846" spans="29:33" x14ac:dyDescent="0.25">
      <c r="AC2846" s="12"/>
      <c r="AD2846" s="12"/>
      <c r="AF2846" s="12"/>
      <c r="AG2846" s="12"/>
    </row>
    <row r="2847" spans="29:33" x14ac:dyDescent="0.25">
      <c r="AC2847" s="12"/>
      <c r="AD2847" s="12"/>
      <c r="AF2847" s="12"/>
      <c r="AG2847" s="12"/>
    </row>
    <row r="2848" spans="29:33" x14ac:dyDescent="0.25">
      <c r="AC2848" s="12"/>
      <c r="AD2848" s="12"/>
      <c r="AF2848" s="12"/>
      <c r="AG2848" s="12"/>
    </row>
    <row r="2849" spans="29:33" x14ac:dyDescent="0.25">
      <c r="AC2849" s="12"/>
      <c r="AD2849" s="12"/>
      <c r="AF2849" s="12"/>
      <c r="AG2849" s="12"/>
    </row>
    <row r="2850" spans="29:33" x14ac:dyDescent="0.25">
      <c r="AC2850" s="12"/>
      <c r="AD2850" s="12"/>
      <c r="AF2850" s="12"/>
      <c r="AG2850" s="12"/>
    </row>
    <row r="2851" spans="29:33" x14ac:dyDescent="0.25">
      <c r="AC2851" s="12"/>
      <c r="AD2851" s="12"/>
      <c r="AF2851" s="12"/>
      <c r="AG2851" s="12"/>
    </row>
    <row r="2852" spans="29:33" x14ac:dyDescent="0.25">
      <c r="AC2852" s="12"/>
      <c r="AD2852" s="12"/>
      <c r="AF2852" s="12"/>
      <c r="AG2852" s="12"/>
    </row>
    <row r="2853" spans="29:33" x14ac:dyDescent="0.25">
      <c r="AC2853" s="12"/>
      <c r="AD2853" s="12"/>
      <c r="AF2853" s="12"/>
      <c r="AG2853" s="12"/>
    </row>
    <row r="2854" spans="29:33" x14ac:dyDescent="0.25">
      <c r="AC2854" s="12"/>
      <c r="AD2854" s="12"/>
      <c r="AF2854" s="12"/>
      <c r="AG2854" s="12"/>
    </row>
    <row r="2855" spans="29:33" x14ac:dyDescent="0.25">
      <c r="AC2855" s="12"/>
      <c r="AD2855" s="12"/>
      <c r="AF2855" s="12"/>
      <c r="AG2855" s="12"/>
    </row>
    <row r="2856" spans="29:33" x14ac:dyDescent="0.25">
      <c r="AC2856" s="12"/>
      <c r="AD2856" s="12"/>
      <c r="AF2856" s="12"/>
      <c r="AG2856" s="12"/>
    </row>
    <row r="2857" spans="29:33" x14ac:dyDescent="0.25">
      <c r="AC2857" s="12"/>
      <c r="AD2857" s="12"/>
      <c r="AF2857" s="12"/>
      <c r="AG2857" s="12"/>
    </row>
    <row r="2858" spans="29:33" x14ac:dyDescent="0.25">
      <c r="AC2858" s="12"/>
      <c r="AD2858" s="12"/>
      <c r="AF2858" s="12"/>
      <c r="AG2858" s="12"/>
    </row>
    <row r="2859" spans="29:33" x14ac:dyDescent="0.25">
      <c r="AC2859" s="12"/>
      <c r="AD2859" s="12"/>
      <c r="AF2859" s="12"/>
      <c r="AG2859" s="12"/>
    </row>
    <row r="2860" spans="29:33" x14ac:dyDescent="0.25">
      <c r="AC2860" s="12"/>
      <c r="AD2860" s="12"/>
      <c r="AF2860" s="12"/>
      <c r="AG2860" s="12"/>
    </row>
    <row r="2861" spans="29:33" x14ac:dyDescent="0.25">
      <c r="AC2861" s="12"/>
      <c r="AD2861" s="12"/>
      <c r="AF2861" s="12"/>
      <c r="AG2861" s="12"/>
    </row>
    <row r="2862" spans="29:33" x14ac:dyDescent="0.25">
      <c r="AC2862" s="12"/>
      <c r="AD2862" s="12"/>
      <c r="AF2862" s="12"/>
      <c r="AG2862" s="12"/>
    </row>
    <row r="2863" spans="29:33" x14ac:dyDescent="0.25">
      <c r="AC2863" s="12"/>
      <c r="AD2863" s="12"/>
      <c r="AF2863" s="12"/>
      <c r="AG2863" s="12"/>
    </row>
    <row r="2864" spans="29:33" x14ac:dyDescent="0.25">
      <c r="AC2864" s="12"/>
      <c r="AD2864" s="12"/>
      <c r="AF2864" s="12"/>
      <c r="AG2864" s="12"/>
    </row>
    <row r="2865" spans="29:33" x14ac:dyDescent="0.25">
      <c r="AC2865" s="12"/>
      <c r="AD2865" s="12"/>
      <c r="AF2865" s="12"/>
      <c r="AG2865" s="12"/>
    </row>
    <row r="2866" spans="29:33" x14ac:dyDescent="0.25">
      <c r="AC2866" s="12"/>
      <c r="AD2866" s="12"/>
      <c r="AF2866" s="12"/>
      <c r="AG2866" s="12"/>
    </row>
    <row r="2867" spans="29:33" x14ac:dyDescent="0.25">
      <c r="AC2867" s="12"/>
      <c r="AD2867" s="12"/>
      <c r="AF2867" s="12"/>
      <c r="AG2867" s="12"/>
    </row>
    <row r="2868" spans="29:33" x14ac:dyDescent="0.25">
      <c r="AC2868" s="12"/>
      <c r="AD2868" s="12"/>
      <c r="AF2868" s="12"/>
      <c r="AG2868" s="12"/>
    </row>
    <row r="2869" spans="29:33" x14ac:dyDescent="0.25">
      <c r="AC2869" s="12"/>
      <c r="AD2869" s="12"/>
      <c r="AF2869" s="12"/>
      <c r="AG2869" s="12"/>
    </row>
    <row r="2870" spans="29:33" x14ac:dyDescent="0.25">
      <c r="AC2870" s="12"/>
      <c r="AD2870" s="12"/>
      <c r="AF2870" s="12"/>
      <c r="AG2870" s="12"/>
    </row>
    <row r="2871" spans="29:33" x14ac:dyDescent="0.25">
      <c r="AC2871" s="12"/>
      <c r="AD2871" s="12"/>
      <c r="AF2871" s="12"/>
      <c r="AG2871" s="12"/>
    </row>
    <row r="2872" spans="29:33" x14ac:dyDescent="0.25">
      <c r="AC2872" s="12"/>
      <c r="AD2872" s="12"/>
      <c r="AF2872" s="12"/>
      <c r="AG2872" s="12"/>
    </row>
    <row r="2873" spans="29:33" x14ac:dyDescent="0.25">
      <c r="AC2873" s="12"/>
      <c r="AD2873" s="12"/>
      <c r="AF2873" s="12"/>
      <c r="AG2873" s="12"/>
    </row>
    <row r="2874" spans="29:33" x14ac:dyDescent="0.25">
      <c r="AC2874" s="12"/>
      <c r="AD2874" s="12"/>
      <c r="AF2874" s="12"/>
      <c r="AG2874" s="12"/>
    </row>
    <row r="2875" spans="29:33" x14ac:dyDescent="0.25">
      <c r="AC2875" s="12"/>
      <c r="AD2875" s="12"/>
      <c r="AF2875" s="12"/>
      <c r="AG2875" s="12"/>
    </row>
    <row r="2876" spans="29:33" x14ac:dyDescent="0.25">
      <c r="AC2876" s="12"/>
      <c r="AD2876" s="12"/>
      <c r="AF2876" s="12"/>
      <c r="AG2876" s="12"/>
    </row>
    <row r="2877" spans="29:33" x14ac:dyDescent="0.25">
      <c r="AC2877" s="12"/>
      <c r="AD2877" s="12"/>
      <c r="AF2877" s="12"/>
      <c r="AG2877" s="12"/>
    </row>
    <row r="2878" spans="29:33" x14ac:dyDescent="0.25">
      <c r="AC2878" s="12"/>
      <c r="AD2878" s="12"/>
      <c r="AF2878" s="12"/>
      <c r="AG2878" s="12"/>
    </row>
    <row r="2879" spans="29:33" x14ac:dyDescent="0.25">
      <c r="AC2879" s="12"/>
      <c r="AD2879" s="12"/>
      <c r="AF2879" s="12"/>
      <c r="AG2879" s="12"/>
    </row>
    <row r="2880" spans="29:33" x14ac:dyDescent="0.25">
      <c r="AC2880" s="12"/>
      <c r="AD2880" s="12"/>
      <c r="AF2880" s="12"/>
      <c r="AG2880" s="12"/>
    </row>
    <row r="2881" spans="29:33" x14ac:dyDescent="0.25">
      <c r="AC2881" s="12"/>
      <c r="AD2881" s="12"/>
      <c r="AF2881" s="12"/>
      <c r="AG2881" s="12"/>
    </row>
    <row r="2882" spans="29:33" x14ac:dyDescent="0.25">
      <c r="AC2882" s="12"/>
      <c r="AD2882" s="12"/>
      <c r="AF2882" s="12"/>
      <c r="AG2882" s="12"/>
    </row>
    <row r="2883" spans="29:33" x14ac:dyDescent="0.25">
      <c r="AC2883" s="12"/>
      <c r="AD2883" s="12"/>
      <c r="AF2883" s="12"/>
      <c r="AG2883" s="12"/>
    </row>
    <row r="2884" spans="29:33" x14ac:dyDescent="0.25">
      <c r="AC2884" s="12"/>
      <c r="AD2884" s="12"/>
      <c r="AF2884" s="12"/>
      <c r="AG2884" s="12"/>
    </row>
    <row r="2885" spans="29:33" x14ac:dyDescent="0.25">
      <c r="AC2885" s="12"/>
      <c r="AD2885" s="12"/>
      <c r="AF2885" s="12"/>
      <c r="AG2885" s="12"/>
    </row>
    <row r="2886" spans="29:33" x14ac:dyDescent="0.25">
      <c r="AC2886" s="12"/>
      <c r="AD2886" s="12"/>
      <c r="AF2886" s="12"/>
      <c r="AG2886" s="12"/>
    </row>
    <row r="2887" spans="29:33" x14ac:dyDescent="0.25">
      <c r="AC2887" s="12"/>
      <c r="AD2887" s="12"/>
      <c r="AF2887" s="12"/>
      <c r="AG2887" s="12"/>
    </row>
    <row r="2888" spans="29:33" x14ac:dyDescent="0.25">
      <c r="AC2888" s="12"/>
      <c r="AD2888" s="12"/>
      <c r="AF2888" s="12"/>
      <c r="AG2888" s="12"/>
    </row>
    <row r="2889" spans="29:33" x14ac:dyDescent="0.25">
      <c r="AC2889" s="12"/>
      <c r="AD2889" s="12"/>
      <c r="AF2889" s="12"/>
      <c r="AG2889" s="12"/>
    </row>
    <row r="2890" spans="29:33" x14ac:dyDescent="0.25">
      <c r="AC2890" s="12"/>
      <c r="AD2890" s="12"/>
      <c r="AF2890" s="12"/>
      <c r="AG2890" s="12"/>
    </row>
    <row r="2891" spans="29:33" x14ac:dyDescent="0.25">
      <c r="AC2891" s="12"/>
      <c r="AD2891" s="12"/>
      <c r="AF2891" s="12"/>
      <c r="AG2891" s="12"/>
    </row>
    <row r="2892" spans="29:33" x14ac:dyDescent="0.25">
      <c r="AC2892" s="12"/>
      <c r="AD2892" s="12"/>
      <c r="AF2892" s="12"/>
      <c r="AG2892" s="12"/>
    </row>
    <row r="2893" spans="29:33" x14ac:dyDescent="0.25">
      <c r="AC2893" s="12"/>
      <c r="AD2893" s="12"/>
      <c r="AF2893" s="12"/>
      <c r="AG2893" s="12"/>
    </row>
    <row r="2894" spans="29:33" x14ac:dyDescent="0.25">
      <c r="AC2894" s="12"/>
      <c r="AD2894" s="12"/>
      <c r="AF2894" s="12"/>
      <c r="AG2894" s="12"/>
    </row>
    <row r="2895" spans="29:33" x14ac:dyDescent="0.25">
      <c r="AC2895" s="12"/>
      <c r="AD2895" s="12"/>
      <c r="AF2895" s="12"/>
      <c r="AG2895" s="12"/>
    </row>
    <row r="2896" spans="29:33" x14ac:dyDescent="0.25">
      <c r="AC2896" s="12"/>
      <c r="AD2896" s="12"/>
      <c r="AF2896" s="12"/>
      <c r="AG2896" s="12"/>
    </row>
    <row r="2897" spans="29:33" x14ac:dyDescent="0.25">
      <c r="AC2897" s="12"/>
      <c r="AD2897" s="12"/>
      <c r="AF2897" s="12"/>
      <c r="AG2897" s="12"/>
    </row>
    <row r="2898" spans="29:33" x14ac:dyDescent="0.25">
      <c r="AC2898" s="12"/>
      <c r="AD2898" s="12"/>
      <c r="AF2898" s="12"/>
      <c r="AG2898" s="12"/>
    </row>
    <row r="2899" spans="29:33" x14ac:dyDescent="0.25">
      <c r="AC2899" s="12"/>
      <c r="AD2899" s="12"/>
      <c r="AF2899" s="12"/>
      <c r="AG2899" s="12"/>
    </row>
    <row r="2900" spans="29:33" x14ac:dyDescent="0.25">
      <c r="AC2900" s="12"/>
      <c r="AD2900" s="12"/>
      <c r="AF2900" s="12"/>
      <c r="AG2900" s="12"/>
    </row>
    <row r="2901" spans="29:33" x14ac:dyDescent="0.25">
      <c r="AC2901" s="12"/>
      <c r="AD2901" s="12"/>
      <c r="AF2901" s="12"/>
      <c r="AG2901" s="12"/>
    </row>
    <row r="2902" spans="29:33" x14ac:dyDescent="0.25">
      <c r="AC2902" s="12"/>
      <c r="AD2902" s="12"/>
      <c r="AF2902" s="12"/>
      <c r="AG2902" s="12"/>
    </row>
    <row r="2903" spans="29:33" x14ac:dyDescent="0.25">
      <c r="AC2903" s="12"/>
      <c r="AD2903" s="12"/>
      <c r="AF2903" s="12"/>
      <c r="AG2903" s="12"/>
    </row>
    <row r="2904" spans="29:33" x14ac:dyDescent="0.25">
      <c r="AC2904" s="12"/>
      <c r="AD2904" s="12"/>
      <c r="AF2904" s="12"/>
      <c r="AG2904" s="12"/>
    </row>
    <row r="2905" spans="29:33" x14ac:dyDescent="0.25">
      <c r="AC2905" s="12"/>
      <c r="AD2905" s="12"/>
      <c r="AF2905" s="12"/>
      <c r="AG2905" s="12"/>
    </row>
    <row r="2906" spans="29:33" x14ac:dyDescent="0.25">
      <c r="AC2906" s="12"/>
      <c r="AD2906" s="12"/>
      <c r="AF2906" s="12"/>
      <c r="AG2906" s="12"/>
    </row>
    <row r="2907" spans="29:33" x14ac:dyDescent="0.25">
      <c r="AC2907" s="12"/>
      <c r="AD2907" s="12"/>
      <c r="AF2907" s="12"/>
      <c r="AG2907" s="12"/>
    </row>
    <row r="2908" spans="29:33" x14ac:dyDescent="0.25">
      <c r="AC2908" s="12"/>
      <c r="AD2908" s="12"/>
      <c r="AF2908" s="12"/>
      <c r="AG2908" s="12"/>
    </row>
    <row r="2909" spans="29:33" x14ac:dyDescent="0.25">
      <c r="AC2909" s="12"/>
      <c r="AD2909" s="12"/>
      <c r="AF2909" s="12"/>
      <c r="AG2909" s="12"/>
    </row>
    <row r="2910" spans="29:33" x14ac:dyDescent="0.25">
      <c r="AC2910" s="12"/>
      <c r="AD2910" s="12"/>
      <c r="AF2910" s="12"/>
      <c r="AG2910" s="12"/>
    </row>
    <row r="2911" spans="29:33" x14ac:dyDescent="0.25">
      <c r="AC2911" s="12"/>
      <c r="AD2911" s="12"/>
      <c r="AF2911" s="12"/>
      <c r="AG2911" s="12"/>
    </row>
    <row r="2912" spans="29:33" x14ac:dyDescent="0.25">
      <c r="AC2912" s="12"/>
      <c r="AD2912" s="12"/>
      <c r="AF2912" s="12"/>
      <c r="AG2912" s="12"/>
    </row>
    <row r="2913" spans="29:33" x14ac:dyDescent="0.25">
      <c r="AC2913" s="12"/>
      <c r="AD2913" s="12"/>
      <c r="AF2913" s="12"/>
      <c r="AG2913" s="12"/>
    </row>
    <row r="2914" spans="29:33" x14ac:dyDescent="0.25">
      <c r="AC2914" s="12"/>
      <c r="AD2914" s="12"/>
      <c r="AF2914" s="12"/>
      <c r="AG2914" s="12"/>
    </row>
    <row r="2915" spans="29:33" x14ac:dyDescent="0.25">
      <c r="AC2915" s="12"/>
      <c r="AD2915" s="12"/>
      <c r="AF2915" s="12"/>
      <c r="AG2915" s="12"/>
    </row>
    <row r="2916" spans="29:33" x14ac:dyDescent="0.25">
      <c r="AC2916" s="12"/>
      <c r="AD2916" s="12"/>
      <c r="AF2916" s="12"/>
      <c r="AG2916" s="12"/>
    </row>
    <row r="2917" spans="29:33" x14ac:dyDescent="0.25">
      <c r="AC2917" s="12"/>
      <c r="AD2917" s="12"/>
      <c r="AF2917" s="12"/>
      <c r="AG2917" s="12"/>
    </row>
    <row r="2918" spans="29:33" x14ac:dyDescent="0.25">
      <c r="AC2918" s="12"/>
      <c r="AD2918" s="12"/>
      <c r="AF2918" s="12"/>
      <c r="AG2918" s="12"/>
    </row>
    <row r="2919" spans="29:33" x14ac:dyDescent="0.25">
      <c r="AC2919" s="12"/>
      <c r="AD2919" s="12"/>
      <c r="AF2919" s="12"/>
      <c r="AG2919" s="12"/>
    </row>
    <row r="2920" spans="29:33" x14ac:dyDescent="0.25">
      <c r="AC2920" s="12"/>
      <c r="AD2920" s="12"/>
      <c r="AF2920" s="12"/>
      <c r="AG2920" s="12"/>
    </row>
    <row r="2921" spans="29:33" x14ac:dyDescent="0.25">
      <c r="AC2921" s="12"/>
      <c r="AD2921" s="12"/>
      <c r="AF2921" s="12"/>
      <c r="AG2921" s="12"/>
    </row>
    <row r="2922" spans="29:33" x14ac:dyDescent="0.25">
      <c r="AC2922" s="12"/>
      <c r="AD2922" s="12"/>
      <c r="AF2922" s="12"/>
      <c r="AG2922" s="12"/>
    </row>
    <row r="2923" spans="29:33" x14ac:dyDescent="0.25">
      <c r="AC2923" s="12"/>
      <c r="AD2923" s="12"/>
      <c r="AF2923" s="12"/>
      <c r="AG2923" s="12"/>
    </row>
    <row r="2924" spans="29:33" x14ac:dyDescent="0.25">
      <c r="AC2924" s="12"/>
      <c r="AD2924" s="12"/>
      <c r="AF2924" s="12"/>
      <c r="AG2924" s="12"/>
    </row>
    <row r="2925" spans="29:33" x14ac:dyDescent="0.25">
      <c r="AC2925" s="12"/>
      <c r="AD2925" s="12"/>
      <c r="AF2925" s="12"/>
      <c r="AG2925" s="12"/>
    </row>
    <row r="2926" spans="29:33" x14ac:dyDescent="0.25">
      <c r="AC2926" s="12"/>
      <c r="AD2926" s="12"/>
      <c r="AF2926" s="12"/>
      <c r="AG2926" s="12"/>
    </row>
    <row r="2927" spans="29:33" x14ac:dyDescent="0.25">
      <c r="AC2927" s="12"/>
      <c r="AD2927" s="12"/>
      <c r="AF2927" s="12"/>
      <c r="AG2927" s="12"/>
    </row>
    <row r="2928" spans="29:33" x14ac:dyDescent="0.25">
      <c r="AC2928" s="12"/>
      <c r="AD2928" s="12"/>
      <c r="AF2928" s="12"/>
      <c r="AG2928" s="12"/>
    </row>
    <row r="2929" spans="29:33" x14ac:dyDescent="0.25">
      <c r="AC2929" s="12"/>
      <c r="AD2929" s="12"/>
      <c r="AF2929" s="12"/>
      <c r="AG2929" s="12"/>
    </row>
    <row r="2930" spans="29:33" x14ac:dyDescent="0.25">
      <c r="AC2930" s="12"/>
      <c r="AD2930" s="12"/>
      <c r="AF2930" s="12"/>
      <c r="AG2930" s="12"/>
    </row>
    <row r="2931" spans="29:33" x14ac:dyDescent="0.25">
      <c r="AC2931" s="12"/>
      <c r="AD2931" s="12"/>
      <c r="AF2931" s="12"/>
      <c r="AG2931" s="12"/>
    </row>
    <row r="2932" spans="29:33" x14ac:dyDescent="0.25">
      <c r="AC2932" s="12"/>
      <c r="AD2932" s="12"/>
      <c r="AF2932" s="12"/>
      <c r="AG2932" s="12"/>
    </row>
    <row r="2933" spans="29:33" x14ac:dyDescent="0.25">
      <c r="AC2933" s="12"/>
      <c r="AD2933" s="12"/>
      <c r="AF2933" s="12"/>
      <c r="AG2933" s="12"/>
    </row>
    <row r="2934" spans="29:33" x14ac:dyDescent="0.25">
      <c r="AC2934" s="12"/>
      <c r="AD2934" s="12"/>
      <c r="AF2934" s="12"/>
      <c r="AG2934" s="12"/>
    </row>
    <row r="2935" spans="29:33" x14ac:dyDescent="0.25">
      <c r="AC2935" s="12"/>
      <c r="AD2935" s="12"/>
      <c r="AF2935" s="12"/>
      <c r="AG2935" s="12"/>
    </row>
    <row r="2936" spans="29:33" x14ac:dyDescent="0.25">
      <c r="AC2936" s="12"/>
      <c r="AD2936" s="12"/>
      <c r="AF2936" s="12"/>
      <c r="AG2936" s="12"/>
    </row>
    <row r="2937" spans="29:33" x14ac:dyDescent="0.25">
      <c r="AC2937" s="12"/>
      <c r="AD2937" s="12"/>
      <c r="AF2937" s="12"/>
      <c r="AG2937" s="12"/>
    </row>
    <row r="2938" spans="29:33" x14ac:dyDescent="0.25">
      <c r="AC2938" s="12"/>
      <c r="AD2938" s="12"/>
      <c r="AF2938" s="12"/>
      <c r="AG2938" s="12"/>
    </row>
    <row r="2939" spans="29:33" x14ac:dyDescent="0.25">
      <c r="AC2939" s="12"/>
      <c r="AD2939" s="12"/>
      <c r="AF2939" s="12"/>
      <c r="AG2939" s="12"/>
    </row>
    <row r="2940" spans="29:33" x14ac:dyDescent="0.25">
      <c r="AC2940" s="12"/>
      <c r="AD2940" s="12"/>
      <c r="AF2940" s="12"/>
      <c r="AG2940" s="12"/>
    </row>
    <row r="2941" spans="29:33" x14ac:dyDescent="0.25">
      <c r="AC2941" s="12"/>
      <c r="AD2941" s="12"/>
      <c r="AF2941" s="12"/>
      <c r="AG2941" s="12"/>
    </row>
    <row r="2942" spans="29:33" x14ac:dyDescent="0.25">
      <c r="AC2942" s="12"/>
      <c r="AD2942" s="12"/>
      <c r="AF2942" s="12"/>
      <c r="AG2942" s="12"/>
    </row>
    <row r="2943" spans="29:33" x14ac:dyDescent="0.25">
      <c r="AC2943" s="12"/>
      <c r="AD2943" s="12"/>
      <c r="AF2943" s="12"/>
      <c r="AG2943" s="12"/>
    </row>
    <row r="2944" spans="29:33" x14ac:dyDescent="0.25">
      <c r="AC2944" s="12"/>
      <c r="AD2944" s="12"/>
      <c r="AF2944" s="12"/>
      <c r="AG2944" s="12"/>
    </row>
    <row r="2945" spans="29:33" x14ac:dyDescent="0.25">
      <c r="AC2945" s="12"/>
      <c r="AD2945" s="12"/>
      <c r="AF2945" s="12"/>
      <c r="AG2945" s="12"/>
    </row>
    <row r="2946" spans="29:33" x14ac:dyDescent="0.25">
      <c r="AC2946" s="12"/>
      <c r="AD2946" s="12"/>
      <c r="AF2946" s="12"/>
      <c r="AG2946" s="12"/>
    </row>
    <row r="2947" spans="29:33" x14ac:dyDescent="0.25">
      <c r="AC2947" s="12"/>
      <c r="AD2947" s="12"/>
      <c r="AF2947" s="12"/>
      <c r="AG2947" s="12"/>
    </row>
    <row r="2948" spans="29:33" x14ac:dyDescent="0.25">
      <c r="AC2948" s="12"/>
      <c r="AD2948" s="12"/>
      <c r="AF2948" s="12"/>
      <c r="AG2948" s="12"/>
    </row>
    <row r="2949" spans="29:33" x14ac:dyDescent="0.25">
      <c r="AC2949" s="12"/>
      <c r="AD2949" s="12"/>
      <c r="AF2949" s="12"/>
      <c r="AG2949" s="12"/>
    </row>
    <row r="2950" spans="29:33" x14ac:dyDescent="0.25">
      <c r="AC2950" s="12"/>
      <c r="AD2950" s="12"/>
      <c r="AF2950" s="12"/>
      <c r="AG2950" s="12"/>
    </row>
    <row r="2951" spans="29:33" x14ac:dyDescent="0.25">
      <c r="AC2951" s="12"/>
      <c r="AD2951" s="12"/>
      <c r="AF2951" s="12"/>
      <c r="AG2951" s="12"/>
    </row>
    <row r="2952" spans="29:33" x14ac:dyDescent="0.25">
      <c r="AC2952" s="12"/>
      <c r="AD2952" s="12"/>
      <c r="AF2952" s="12"/>
      <c r="AG2952" s="12"/>
    </row>
    <row r="2953" spans="29:33" x14ac:dyDescent="0.25">
      <c r="AC2953" s="12"/>
      <c r="AD2953" s="12"/>
      <c r="AF2953" s="12"/>
      <c r="AG2953" s="12"/>
    </row>
    <row r="2954" spans="29:33" x14ac:dyDescent="0.25">
      <c r="AC2954" s="12"/>
      <c r="AD2954" s="12"/>
      <c r="AF2954" s="12"/>
      <c r="AG2954" s="12"/>
    </row>
    <row r="2955" spans="29:33" x14ac:dyDescent="0.25">
      <c r="AC2955" s="12"/>
      <c r="AD2955" s="12"/>
      <c r="AF2955" s="12"/>
      <c r="AG2955" s="12"/>
    </row>
    <row r="2956" spans="29:33" x14ac:dyDescent="0.25">
      <c r="AC2956" s="12"/>
      <c r="AD2956" s="12"/>
      <c r="AF2956" s="12"/>
      <c r="AG2956" s="12"/>
    </row>
    <row r="2957" spans="29:33" x14ac:dyDescent="0.25">
      <c r="AC2957" s="12"/>
      <c r="AD2957" s="12"/>
      <c r="AF2957" s="12"/>
      <c r="AG2957" s="12"/>
    </row>
    <row r="2958" spans="29:33" x14ac:dyDescent="0.25">
      <c r="AC2958" s="12"/>
      <c r="AD2958" s="12"/>
      <c r="AF2958" s="12"/>
      <c r="AG2958" s="12"/>
    </row>
    <row r="2959" spans="29:33" x14ac:dyDescent="0.25">
      <c r="AC2959" s="12"/>
      <c r="AD2959" s="12"/>
      <c r="AF2959" s="12"/>
      <c r="AG2959" s="12"/>
    </row>
    <row r="2960" spans="29:33" x14ac:dyDescent="0.25">
      <c r="AC2960" s="12"/>
      <c r="AD2960" s="12"/>
      <c r="AF2960" s="12"/>
      <c r="AG2960" s="12"/>
    </row>
    <row r="2961" spans="29:33" x14ac:dyDescent="0.25">
      <c r="AC2961" s="12"/>
      <c r="AD2961" s="12"/>
      <c r="AF2961" s="12"/>
      <c r="AG2961" s="12"/>
    </row>
    <row r="2962" spans="29:33" x14ac:dyDescent="0.25">
      <c r="AC2962" s="12"/>
      <c r="AD2962" s="12"/>
      <c r="AF2962" s="12"/>
      <c r="AG2962" s="12"/>
    </row>
    <row r="2963" spans="29:33" x14ac:dyDescent="0.25">
      <c r="AC2963" s="12"/>
      <c r="AD2963" s="12"/>
      <c r="AF2963" s="12"/>
      <c r="AG2963" s="12"/>
    </row>
    <row r="2964" spans="29:33" x14ac:dyDescent="0.25">
      <c r="AC2964" s="12"/>
      <c r="AD2964" s="12"/>
      <c r="AF2964" s="12"/>
      <c r="AG2964" s="12"/>
    </row>
    <row r="2965" spans="29:33" x14ac:dyDescent="0.25">
      <c r="AC2965" s="12"/>
      <c r="AD2965" s="12"/>
      <c r="AF2965" s="12"/>
      <c r="AG2965" s="12"/>
    </row>
    <row r="2966" spans="29:33" x14ac:dyDescent="0.25">
      <c r="AC2966" s="12"/>
      <c r="AD2966" s="12"/>
      <c r="AF2966" s="12"/>
      <c r="AG2966" s="12"/>
    </row>
    <row r="2967" spans="29:33" x14ac:dyDescent="0.25">
      <c r="AC2967" s="12"/>
      <c r="AD2967" s="12"/>
      <c r="AF2967" s="12"/>
      <c r="AG2967" s="12"/>
    </row>
    <row r="2968" spans="29:33" x14ac:dyDescent="0.25">
      <c r="AC2968" s="12"/>
      <c r="AD2968" s="12"/>
      <c r="AF2968" s="12"/>
      <c r="AG2968" s="12"/>
    </row>
    <row r="2969" spans="29:33" x14ac:dyDescent="0.25">
      <c r="AC2969" s="12"/>
      <c r="AD2969" s="12"/>
      <c r="AF2969" s="12"/>
      <c r="AG2969" s="12"/>
    </row>
    <row r="2970" spans="29:33" x14ac:dyDescent="0.25">
      <c r="AC2970" s="12"/>
      <c r="AD2970" s="12"/>
      <c r="AF2970" s="12"/>
      <c r="AG2970" s="12"/>
    </row>
    <row r="2971" spans="29:33" x14ac:dyDescent="0.25">
      <c r="AC2971" s="12"/>
      <c r="AD2971" s="12"/>
      <c r="AF2971" s="12"/>
      <c r="AG2971" s="12"/>
    </row>
    <row r="2972" spans="29:33" x14ac:dyDescent="0.25">
      <c r="AC2972" s="12"/>
      <c r="AD2972" s="12"/>
      <c r="AF2972" s="12"/>
      <c r="AG2972" s="12"/>
    </row>
    <row r="2973" spans="29:33" x14ac:dyDescent="0.25">
      <c r="AC2973" s="12"/>
      <c r="AD2973" s="12"/>
      <c r="AF2973" s="12"/>
      <c r="AG2973" s="12"/>
    </row>
    <row r="2974" spans="29:33" x14ac:dyDescent="0.25">
      <c r="AC2974" s="12"/>
      <c r="AD2974" s="12"/>
      <c r="AF2974" s="12"/>
      <c r="AG2974" s="12"/>
    </row>
    <row r="2975" spans="29:33" x14ac:dyDescent="0.25">
      <c r="AC2975" s="12"/>
      <c r="AD2975" s="12"/>
      <c r="AF2975" s="12"/>
      <c r="AG2975" s="12"/>
    </row>
    <row r="2976" spans="29:33" x14ac:dyDescent="0.25">
      <c r="AC2976" s="12"/>
      <c r="AD2976" s="12"/>
      <c r="AF2976" s="12"/>
      <c r="AG2976" s="12"/>
    </row>
    <row r="2977" spans="29:33" x14ac:dyDescent="0.25">
      <c r="AC2977" s="12"/>
      <c r="AD2977" s="12"/>
      <c r="AF2977" s="12"/>
      <c r="AG2977" s="12"/>
    </row>
    <row r="2978" spans="29:33" x14ac:dyDescent="0.25">
      <c r="AC2978" s="12"/>
      <c r="AD2978" s="12"/>
      <c r="AF2978" s="12"/>
      <c r="AG2978" s="12"/>
    </row>
    <row r="2979" spans="29:33" x14ac:dyDescent="0.25">
      <c r="AC2979" s="12"/>
      <c r="AD2979" s="12"/>
      <c r="AF2979" s="12"/>
      <c r="AG2979" s="12"/>
    </row>
    <row r="2980" spans="29:33" x14ac:dyDescent="0.25">
      <c r="AC2980" s="12"/>
      <c r="AD2980" s="12"/>
      <c r="AF2980" s="12"/>
      <c r="AG2980" s="12"/>
    </row>
    <row r="2981" spans="29:33" x14ac:dyDescent="0.25">
      <c r="AC2981" s="12"/>
      <c r="AD2981" s="12"/>
      <c r="AF2981" s="12"/>
      <c r="AG2981" s="12"/>
    </row>
    <row r="2982" spans="29:33" x14ac:dyDescent="0.25">
      <c r="AC2982" s="12"/>
      <c r="AD2982" s="12"/>
      <c r="AF2982" s="12"/>
      <c r="AG2982" s="12"/>
    </row>
    <row r="2983" spans="29:33" x14ac:dyDescent="0.25">
      <c r="AC2983" s="12"/>
      <c r="AD2983" s="12"/>
      <c r="AF2983" s="12"/>
      <c r="AG2983" s="12"/>
    </row>
    <row r="2984" spans="29:33" x14ac:dyDescent="0.25">
      <c r="AC2984" s="12"/>
      <c r="AD2984" s="12"/>
      <c r="AF2984" s="12"/>
      <c r="AG2984" s="12"/>
    </row>
    <row r="2985" spans="29:33" x14ac:dyDescent="0.25">
      <c r="AC2985" s="12"/>
      <c r="AD2985" s="12"/>
      <c r="AF2985" s="12"/>
      <c r="AG2985" s="12"/>
    </row>
    <row r="2986" spans="29:33" x14ac:dyDescent="0.25">
      <c r="AC2986" s="12"/>
      <c r="AD2986" s="12"/>
      <c r="AF2986" s="12"/>
      <c r="AG2986" s="12"/>
    </row>
    <row r="2987" spans="29:33" x14ac:dyDescent="0.25">
      <c r="AC2987" s="12"/>
      <c r="AD2987" s="12"/>
      <c r="AF2987" s="12"/>
      <c r="AG2987" s="12"/>
    </row>
    <row r="2988" spans="29:33" x14ac:dyDescent="0.25">
      <c r="AC2988" s="12"/>
      <c r="AD2988" s="12"/>
      <c r="AF2988" s="12"/>
      <c r="AG2988" s="12"/>
    </row>
    <row r="2989" spans="29:33" x14ac:dyDescent="0.25">
      <c r="AC2989" s="12"/>
      <c r="AD2989" s="12"/>
      <c r="AF2989" s="12"/>
      <c r="AG2989" s="12"/>
    </row>
    <row r="2990" spans="29:33" x14ac:dyDescent="0.25">
      <c r="AC2990" s="12"/>
      <c r="AD2990" s="12"/>
      <c r="AF2990" s="12"/>
      <c r="AG2990" s="12"/>
    </row>
    <row r="2991" spans="29:33" x14ac:dyDescent="0.25">
      <c r="AC2991" s="12"/>
      <c r="AD2991" s="12"/>
      <c r="AF2991" s="12"/>
      <c r="AG2991" s="12"/>
    </row>
    <row r="2992" spans="29:33" x14ac:dyDescent="0.25">
      <c r="AC2992" s="12"/>
      <c r="AD2992" s="12"/>
      <c r="AF2992" s="12"/>
      <c r="AG2992" s="12"/>
    </row>
    <row r="2993" spans="29:33" x14ac:dyDescent="0.25">
      <c r="AC2993" s="12"/>
      <c r="AD2993" s="12"/>
      <c r="AF2993" s="12"/>
      <c r="AG2993" s="12"/>
    </row>
    <row r="2994" spans="29:33" x14ac:dyDescent="0.25">
      <c r="AC2994" s="12"/>
      <c r="AD2994" s="12"/>
      <c r="AF2994" s="12"/>
      <c r="AG2994" s="12"/>
    </row>
    <row r="2995" spans="29:33" x14ac:dyDescent="0.25">
      <c r="AC2995" s="12"/>
      <c r="AD2995" s="12"/>
      <c r="AF2995" s="12"/>
      <c r="AG2995" s="12"/>
    </row>
    <row r="2996" spans="29:33" x14ac:dyDescent="0.25">
      <c r="AC2996" s="12"/>
      <c r="AD2996" s="12"/>
      <c r="AF2996" s="12"/>
      <c r="AG2996" s="12"/>
    </row>
    <row r="2997" spans="29:33" x14ac:dyDescent="0.25">
      <c r="AC2997" s="12"/>
      <c r="AD2997" s="12"/>
      <c r="AF2997" s="12"/>
      <c r="AG2997" s="12"/>
    </row>
    <row r="2998" spans="29:33" x14ac:dyDescent="0.25">
      <c r="AC2998" s="12"/>
      <c r="AD2998" s="12"/>
      <c r="AF2998" s="12"/>
      <c r="AG2998" s="12"/>
    </row>
    <row r="2999" spans="29:33" x14ac:dyDescent="0.25">
      <c r="AC2999" s="12"/>
      <c r="AD2999" s="12"/>
      <c r="AF2999" s="12"/>
      <c r="AG2999" s="12"/>
    </row>
    <row r="3000" spans="29:33" x14ac:dyDescent="0.25">
      <c r="AC3000" s="12"/>
      <c r="AD3000" s="12"/>
      <c r="AF3000" s="12"/>
      <c r="AG3000" s="12"/>
    </row>
    <row r="3001" spans="29:33" x14ac:dyDescent="0.25">
      <c r="AC3001" s="12"/>
      <c r="AD3001" s="12"/>
      <c r="AF3001" s="12"/>
      <c r="AG3001" s="12"/>
    </row>
    <row r="3002" spans="29:33" x14ac:dyDescent="0.25">
      <c r="AC3002" s="12"/>
      <c r="AD3002" s="12"/>
      <c r="AF3002" s="12"/>
      <c r="AG3002" s="12"/>
    </row>
    <row r="3003" spans="29:33" x14ac:dyDescent="0.25">
      <c r="AC3003" s="12"/>
      <c r="AD3003" s="12"/>
      <c r="AF3003" s="12"/>
      <c r="AG3003" s="12"/>
    </row>
    <row r="3004" spans="29:33" x14ac:dyDescent="0.25">
      <c r="AC3004" s="12"/>
      <c r="AD3004" s="12"/>
      <c r="AF3004" s="12"/>
      <c r="AG3004" s="12"/>
    </row>
    <row r="3005" spans="29:33" x14ac:dyDescent="0.25">
      <c r="AC3005" s="12"/>
      <c r="AD3005" s="12"/>
      <c r="AF3005" s="12"/>
      <c r="AG3005" s="12"/>
    </row>
    <row r="3006" spans="29:33" x14ac:dyDescent="0.25">
      <c r="AC3006" s="12"/>
      <c r="AD3006" s="12"/>
      <c r="AF3006" s="12"/>
      <c r="AG3006" s="12"/>
    </row>
    <row r="3007" spans="29:33" x14ac:dyDescent="0.25">
      <c r="AC3007" s="12"/>
      <c r="AD3007" s="12"/>
      <c r="AF3007" s="12"/>
      <c r="AG3007" s="12"/>
    </row>
    <row r="3008" spans="29:33" x14ac:dyDescent="0.25">
      <c r="AC3008" s="12"/>
      <c r="AD3008" s="12"/>
      <c r="AF3008" s="12"/>
      <c r="AG3008" s="12"/>
    </row>
    <row r="3009" spans="29:33" x14ac:dyDescent="0.25">
      <c r="AC3009" s="12"/>
      <c r="AD3009" s="12"/>
      <c r="AF3009" s="12"/>
      <c r="AG3009" s="12"/>
    </row>
    <row r="3010" spans="29:33" x14ac:dyDescent="0.25">
      <c r="AC3010" s="12"/>
      <c r="AD3010" s="12"/>
      <c r="AF3010" s="12"/>
      <c r="AG3010" s="12"/>
    </row>
    <row r="3011" spans="29:33" x14ac:dyDescent="0.25">
      <c r="AC3011" s="12"/>
      <c r="AD3011" s="12"/>
      <c r="AF3011" s="12"/>
      <c r="AG3011" s="12"/>
    </row>
    <row r="3012" spans="29:33" x14ac:dyDescent="0.25">
      <c r="AC3012" s="12"/>
      <c r="AD3012" s="12"/>
      <c r="AF3012" s="12"/>
      <c r="AG3012" s="12"/>
    </row>
    <row r="3013" spans="29:33" x14ac:dyDescent="0.25">
      <c r="AC3013" s="12"/>
      <c r="AD3013" s="12"/>
      <c r="AF3013" s="12"/>
      <c r="AG3013" s="12"/>
    </row>
    <row r="3014" spans="29:33" x14ac:dyDescent="0.25">
      <c r="AC3014" s="12"/>
      <c r="AD3014" s="12"/>
      <c r="AF3014" s="12"/>
      <c r="AG3014" s="12"/>
    </row>
    <row r="3015" spans="29:33" x14ac:dyDescent="0.25">
      <c r="AC3015" s="12"/>
      <c r="AD3015" s="12"/>
      <c r="AF3015" s="12"/>
      <c r="AG3015" s="12"/>
    </row>
    <row r="3016" spans="29:33" x14ac:dyDescent="0.25">
      <c r="AC3016" s="12"/>
      <c r="AD3016" s="12"/>
      <c r="AF3016" s="12"/>
      <c r="AG3016" s="12"/>
    </row>
    <row r="3017" spans="29:33" x14ac:dyDescent="0.25">
      <c r="AC3017" s="12"/>
      <c r="AD3017" s="12"/>
      <c r="AF3017" s="12"/>
      <c r="AG3017" s="12"/>
    </row>
    <row r="3018" spans="29:33" x14ac:dyDescent="0.25">
      <c r="AC3018" s="12"/>
      <c r="AD3018" s="12"/>
      <c r="AF3018" s="12"/>
      <c r="AG3018" s="12"/>
    </row>
    <row r="3019" spans="29:33" x14ac:dyDescent="0.25">
      <c r="AC3019" s="12"/>
      <c r="AD3019" s="12"/>
      <c r="AF3019" s="12"/>
      <c r="AG3019" s="12"/>
    </row>
    <row r="3020" spans="29:33" x14ac:dyDescent="0.25">
      <c r="AC3020" s="12"/>
      <c r="AD3020" s="12"/>
      <c r="AF3020" s="12"/>
      <c r="AG3020" s="12"/>
    </row>
    <row r="3021" spans="29:33" x14ac:dyDescent="0.25">
      <c r="AC3021" s="12"/>
      <c r="AD3021" s="12"/>
      <c r="AF3021" s="12"/>
      <c r="AG3021" s="12"/>
    </row>
    <row r="3022" spans="29:33" x14ac:dyDescent="0.25">
      <c r="AC3022" s="12"/>
      <c r="AD3022" s="12"/>
      <c r="AF3022" s="12"/>
      <c r="AG3022" s="12"/>
    </row>
    <row r="3023" spans="29:33" x14ac:dyDescent="0.25">
      <c r="AC3023" s="12"/>
      <c r="AD3023" s="12"/>
      <c r="AF3023" s="12"/>
      <c r="AG3023" s="12"/>
    </row>
    <row r="3024" spans="29:33" x14ac:dyDescent="0.25">
      <c r="AC3024" s="12"/>
      <c r="AD3024" s="12"/>
      <c r="AF3024" s="12"/>
      <c r="AG3024" s="12"/>
    </row>
    <row r="3025" spans="29:33" x14ac:dyDescent="0.25">
      <c r="AC3025" s="12"/>
      <c r="AD3025" s="12"/>
      <c r="AF3025" s="12"/>
      <c r="AG3025" s="12"/>
    </row>
    <row r="3026" spans="29:33" x14ac:dyDescent="0.25">
      <c r="AC3026" s="12"/>
      <c r="AD3026" s="12"/>
      <c r="AF3026" s="12"/>
      <c r="AG3026" s="12"/>
    </row>
    <row r="3027" spans="29:33" x14ac:dyDescent="0.25">
      <c r="AC3027" s="12"/>
      <c r="AD3027" s="12"/>
      <c r="AF3027" s="12"/>
      <c r="AG3027" s="12"/>
    </row>
    <row r="3028" spans="29:33" x14ac:dyDescent="0.25">
      <c r="AC3028" s="12"/>
      <c r="AD3028" s="12"/>
      <c r="AF3028" s="12"/>
      <c r="AG3028" s="12"/>
    </row>
    <row r="3029" spans="29:33" x14ac:dyDescent="0.25">
      <c r="AC3029" s="12"/>
      <c r="AD3029" s="12"/>
      <c r="AF3029" s="12"/>
      <c r="AG3029" s="12"/>
    </row>
    <row r="3030" spans="29:33" x14ac:dyDescent="0.25">
      <c r="AC3030" s="12"/>
      <c r="AD3030" s="12"/>
      <c r="AF3030" s="12"/>
      <c r="AG3030" s="12"/>
    </row>
    <row r="3031" spans="29:33" x14ac:dyDescent="0.25">
      <c r="AC3031" s="12"/>
      <c r="AD3031" s="12"/>
      <c r="AF3031" s="12"/>
      <c r="AG3031" s="12"/>
    </row>
    <row r="3032" spans="29:33" x14ac:dyDescent="0.25">
      <c r="AC3032" s="12"/>
      <c r="AD3032" s="12"/>
      <c r="AF3032" s="12"/>
      <c r="AG3032" s="12"/>
    </row>
    <row r="3033" spans="29:33" x14ac:dyDescent="0.25">
      <c r="AC3033" s="12"/>
      <c r="AD3033" s="12"/>
      <c r="AF3033" s="12"/>
      <c r="AG3033" s="12"/>
    </row>
    <row r="3034" spans="29:33" x14ac:dyDescent="0.25">
      <c r="AC3034" s="12"/>
      <c r="AD3034" s="12"/>
      <c r="AF3034" s="12"/>
      <c r="AG3034" s="12"/>
    </row>
    <row r="3035" spans="29:33" x14ac:dyDescent="0.25">
      <c r="AC3035" s="12"/>
      <c r="AD3035" s="12"/>
      <c r="AF3035" s="12"/>
      <c r="AG3035" s="12"/>
    </row>
    <row r="3036" spans="29:33" x14ac:dyDescent="0.25">
      <c r="AC3036" s="12"/>
      <c r="AD3036" s="12"/>
      <c r="AF3036" s="12"/>
      <c r="AG3036" s="12"/>
    </row>
    <row r="3037" spans="29:33" x14ac:dyDescent="0.25">
      <c r="AC3037" s="12"/>
      <c r="AD3037" s="12"/>
      <c r="AF3037" s="12"/>
      <c r="AG3037" s="12"/>
    </row>
    <row r="3038" spans="29:33" x14ac:dyDescent="0.25">
      <c r="AC3038" s="12"/>
      <c r="AD3038" s="12"/>
      <c r="AF3038" s="12"/>
      <c r="AG3038" s="12"/>
    </row>
    <row r="3039" spans="29:33" x14ac:dyDescent="0.25">
      <c r="AC3039" s="12"/>
      <c r="AD3039" s="12"/>
      <c r="AF3039" s="12"/>
      <c r="AG3039" s="12"/>
    </row>
    <row r="3040" spans="29:33" x14ac:dyDescent="0.25">
      <c r="AC3040" s="12"/>
      <c r="AD3040" s="12"/>
      <c r="AF3040" s="12"/>
      <c r="AG3040" s="12"/>
    </row>
    <row r="3041" spans="29:33" x14ac:dyDescent="0.25">
      <c r="AC3041" s="12"/>
      <c r="AD3041" s="12"/>
      <c r="AF3041" s="12"/>
      <c r="AG3041" s="12"/>
    </row>
    <row r="3042" spans="29:33" x14ac:dyDescent="0.25">
      <c r="AC3042" s="12"/>
      <c r="AD3042" s="12"/>
      <c r="AF3042" s="12"/>
      <c r="AG3042" s="12"/>
    </row>
    <row r="3043" spans="29:33" x14ac:dyDescent="0.25">
      <c r="AC3043" s="12"/>
      <c r="AD3043" s="12"/>
      <c r="AF3043" s="12"/>
      <c r="AG3043" s="12"/>
    </row>
    <row r="3044" spans="29:33" x14ac:dyDescent="0.25">
      <c r="AC3044" s="12"/>
      <c r="AD3044" s="12"/>
      <c r="AF3044" s="12"/>
      <c r="AG3044" s="12"/>
    </row>
    <row r="3045" spans="29:33" x14ac:dyDescent="0.25">
      <c r="AC3045" s="12"/>
      <c r="AD3045" s="12"/>
      <c r="AF3045" s="12"/>
      <c r="AG3045" s="12"/>
    </row>
    <row r="3046" spans="29:33" x14ac:dyDescent="0.25">
      <c r="AC3046" s="12"/>
      <c r="AD3046" s="12"/>
      <c r="AF3046" s="12"/>
      <c r="AG3046" s="12"/>
    </row>
    <row r="3047" spans="29:33" x14ac:dyDescent="0.25">
      <c r="AC3047" s="12"/>
      <c r="AD3047" s="12"/>
      <c r="AF3047" s="12"/>
      <c r="AG3047" s="12"/>
    </row>
    <row r="3048" spans="29:33" x14ac:dyDescent="0.25">
      <c r="AC3048" s="12"/>
      <c r="AD3048" s="12"/>
      <c r="AF3048" s="12"/>
      <c r="AG3048" s="12"/>
    </row>
    <row r="3049" spans="29:33" x14ac:dyDescent="0.25">
      <c r="AC3049" s="12"/>
      <c r="AD3049" s="12"/>
      <c r="AF3049" s="12"/>
      <c r="AG3049" s="12"/>
    </row>
    <row r="3050" spans="29:33" x14ac:dyDescent="0.25">
      <c r="AC3050" s="12"/>
      <c r="AD3050" s="12"/>
      <c r="AF3050" s="12"/>
      <c r="AG3050" s="12"/>
    </row>
    <row r="3051" spans="29:33" x14ac:dyDescent="0.25">
      <c r="AC3051" s="12"/>
      <c r="AD3051" s="12"/>
      <c r="AF3051" s="12"/>
      <c r="AG3051" s="12"/>
    </row>
    <row r="3052" spans="29:33" x14ac:dyDescent="0.25">
      <c r="AC3052" s="12"/>
      <c r="AD3052" s="12"/>
      <c r="AF3052" s="12"/>
      <c r="AG3052" s="12"/>
    </row>
    <row r="3053" spans="29:33" x14ac:dyDescent="0.25">
      <c r="AC3053" s="12"/>
      <c r="AD3053" s="12"/>
      <c r="AF3053" s="12"/>
      <c r="AG3053" s="12"/>
    </row>
    <row r="3054" spans="29:33" x14ac:dyDescent="0.25">
      <c r="AC3054" s="12"/>
      <c r="AD3054" s="12"/>
      <c r="AF3054" s="12"/>
      <c r="AG3054" s="12"/>
    </row>
    <row r="3055" spans="29:33" x14ac:dyDescent="0.25">
      <c r="AC3055" s="12"/>
      <c r="AD3055" s="12"/>
      <c r="AF3055" s="12"/>
      <c r="AG3055" s="12"/>
    </row>
    <row r="3056" spans="29:33" x14ac:dyDescent="0.25">
      <c r="AC3056" s="12"/>
      <c r="AD3056" s="12"/>
      <c r="AF3056" s="12"/>
      <c r="AG3056" s="12"/>
    </row>
    <row r="3057" spans="29:33" x14ac:dyDescent="0.25">
      <c r="AC3057" s="12"/>
      <c r="AD3057" s="12"/>
      <c r="AF3057" s="12"/>
      <c r="AG3057" s="12"/>
    </row>
    <row r="3058" spans="29:33" x14ac:dyDescent="0.25">
      <c r="AC3058" s="12"/>
      <c r="AD3058" s="12"/>
      <c r="AF3058" s="12"/>
      <c r="AG3058" s="12"/>
    </row>
    <row r="3059" spans="29:33" x14ac:dyDescent="0.25">
      <c r="AC3059" s="12"/>
      <c r="AD3059" s="12"/>
      <c r="AF3059" s="12"/>
      <c r="AG3059" s="12"/>
    </row>
    <row r="3060" spans="29:33" x14ac:dyDescent="0.25">
      <c r="AC3060" s="12"/>
      <c r="AD3060" s="12"/>
      <c r="AF3060" s="12"/>
      <c r="AG3060" s="12"/>
    </row>
    <row r="3061" spans="29:33" x14ac:dyDescent="0.25">
      <c r="AC3061" s="12"/>
      <c r="AD3061" s="12"/>
      <c r="AF3061" s="12"/>
      <c r="AG3061" s="12"/>
    </row>
    <row r="3062" spans="29:33" x14ac:dyDescent="0.25">
      <c r="AC3062" s="12"/>
      <c r="AD3062" s="12"/>
      <c r="AF3062" s="12"/>
      <c r="AG3062" s="12"/>
    </row>
    <row r="3063" spans="29:33" x14ac:dyDescent="0.25">
      <c r="AC3063" s="12"/>
      <c r="AD3063" s="12"/>
      <c r="AF3063" s="12"/>
      <c r="AG3063" s="12"/>
    </row>
    <row r="3064" spans="29:33" x14ac:dyDescent="0.25">
      <c r="AC3064" s="12"/>
      <c r="AD3064" s="12"/>
      <c r="AF3064" s="12"/>
      <c r="AG3064" s="12"/>
    </row>
    <row r="3065" spans="29:33" x14ac:dyDescent="0.25">
      <c r="AC3065" s="12"/>
      <c r="AD3065" s="12"/>
      <c r="AF3065" s="12"/>
      <c r="AG3065" s="12"/>
    </row>
    <row r="3066" spans="29:33" x14ac:dyDescent="0.25">
      <c r="AC3066" s="12"/>
      <c r="AD3066" s="12"/>
      <c r="AF3066" s="12"/>
      <c r="AG3066" s="12"/>
    </row>
    <row r="3067" spans="29:33" x14ac:dyDescent="0.25">
      <c r="AC3067" s="12"/>
      <c r="AD3067" s="12"/>
      <c r="AF3067" s="12"/>
      <c r="AG3067" s="12"/>
    </row>
    <row r="3068" spans="29:33" x14ac:dyDescent="0.25">
      <c r="AC3068" s="12"/>
      <c r="AD3068" s="12"/>
      <c r="AF3068" s="12"/>
      <c r="AG3068" s="12"/>
    </row>
    <row r="3069" spans="29:33" x14ac:dyDescent="0.25">
      <c r="AC3069" s="12"/>
      <c r="AD3069" s="12"/>
      <c r="AF3069" s="12"/>
      <c r="AG3069" s="12"/>
    </row>
    <row r="3070" spans="29:33" x14ac:dyDescent="0.25">
      <c r="AC3070" s="12"/>
      <c r="AD3070" s="12"/>
      <c r="AF3070" s="12"/>
      <c r="AG3070" s="12"/>
    </row>
    <row r="3071" spans="29:33" x14ac:dyDescent="0.25">
      <c r="AC3071" s="12"/>
      <c r="AD3071" s="12"/>
      <c r="AF3071" s="12"/>
      <c r="AG3071" s="12"/>
    </row>
    <row r="3072" spans="29:33" x14ac:dyDescent="0.25">
      <c r="AC3072" s="12"/>
      <c r="AD3072" s="12"/>
      <c r="AF3072" s="12"/>
      <c r="AG3072" s="12"/>
    </row>
    <row r="3073" spans="29:33" x14ac:dyDescent="0.25">
      <c r="AC3073" s="12"/>
      <c r="AD3073" s="12"/>
      <c r="AF3073" s="12"/>
      <c r="AG3073" s="12"/>
    </row>
    <row r="3074" spans="29:33" x14ac:dyDescent="0.25">
      <c r="AC3074" s="12"/>
      <c r="AD3074" s="12"/>
      <c r="AF3074" s="12"/>
      <c r="AG3074" s="12"/>
    </row>
    <row r="3075" spans="29:33" x14ac:dyDescent="0.25">
      <c r="AC3075" s="12"/>
      <c r="AD3075" s="12"/>
      <c r="AF3075" s="12"/>
      <c r="AG3075" s="12"/>
    </row>
    <row r="3076" spans="29:33" x14ac:dyDescent="0.25">
      <c r="AC3076" s="12"/>
      <c r="AD3076" s="12"/>
      <c r="AF3076" s="12"/>
      <c r="AG3076" s="12"/>
    </row>
    <row r="3077" spans="29:33" x14ac:dyDescent="0.25">
      <c r="AC3077" s="12"/>
      <c r="AD3077" s="12"/>
      <c r="AF3077" s="12"/>
      <c r="AG3077" s="12"/>
    </row>
    <row r="3078" spans="29:33" x14ac:dyDescent="0.25">
      <c r="AC3078" s="12"/>
      <c r="AD3078" s="12"/>
      <c r="AF3078" s="12"/>
      <c r="AG3078" s="12"/>
    </row>
    <row r="3079" spans="29:33" x14ac:dyDescent="0.25">
      <c r="AC3079" s="12"/>
      <c r="AD3079" s="12"/>
      <c r="AF3079" s="12"/>
      <c r="AG3079" s="12"/>
    </row>
    <row r="3080" spans="29:33" x14ac:dyDescent="0.25">
      <c r="AC3080" s="12"/>
      <c r="AD3080" s="12"/>
      <c r="AF3080" s="12"/>
      <c r="AG3080" s="12"/>
    </row>
    <row r="3081" spans="29:33" x14ac:dyDescent="0.25">
      <c r="AC3081" s="12"/>
      <c r="AD3081" s="12"/>
      <c r="AF3081" s="12"/>
      <c r="AG3081" s="12"/>
    </row>
    <row r="3082" spans="29:33" x14ac:dyDescent="0.25">
      <c r="AC3082" s="12"/>
      <c r="AD3082" s="12"/>
      <c r="AF3082" s="12"/>
      <c r="AG3082" s="12"/>
    </row>
    <row r="3083" spans="29:33" x14ac:dyDescent="0.25">
      <c r="AC3083" s="12"/>
      <c r="AD3083" s="12"/>
      <c r="AF3083" s="12"/>
      <c r="AG3083" s="12"/>
    </row>
    <row r="3084" spans="29:33" x14ac:dyDescent="0.25">
      <c r="AC3084" s="12"/>
      <c r="AD3084" s="12"/>
      <c r="AF3084" s="12"/>
      <c r="AG3084" s="12"/>
    </row>
    <row r="3085" spans="29:33" x14ac:dyDescent="0.25">
      <c r="AC3085" s="12"/>
      <c r="AD3085" s="12"/>
      <c r="AF3085" s="12"/>
      <c r="AG3085" s="12"/>
    </row>
    <row r="3086" spans="29:33" x14ac:dyDescent="0.25">
      <c r="AC3086" s="12"/>
      <c r="AD3086" s="12"/>
      <c r="AF3086" s="12"/>
      <c r="AG3086" s="12"/>
    </row>
    <row r="3087" spans="29:33" x14ac:dyDescent="0.25">
      <c r="AC3087" s="12"/>
      <c r="AD3087" s="12"/>
      <c r="AF3087" s="12"/>
      <c r="AG3087" s="12"/>
    </row>
    <row r="3088" spans="29:33" x14ac:dyDescent="0.25">
      <c r="AC3088" s="12"/>
      <c r="AD3088" s="12"/>
      <c r="AF3088" s="12"/>
      <c r="AG3088" s="12"/>
    </row>
    <row r="3089" spans="29:33" x14ac:dyDescent="0.25">
      <c r="AC3089" s="12"/>
      <c r="AD3089" s="12"/>
      <c r="AF3089" s="12"/>
      <c r="AG3089" s="12"/>
    </row>
    <row r="3090" spans="29:33" x14ac:dyDescent="0.25">
      <c r="AC3090" s="12"/>
      <c r="AD3090" s="12"/>
      <c r="AF3090" s="12"/>
      <c r="AG3090" s="12"/>
    </row>
    <row r="3091" spans="29:33" x14ac:dyDescent="0.25">
      <c r="AC3091" s="12"/>
      <c r="AD3091" s="12"/>
      <c r="AF3091" s="12"/>
      <c r="AG3091" s="12"/>
    </row>
    <row r="3092" spans="29:33" x14ac:dyDescent="0.25">
      <c r="AC3092" s="12"/>
      <c r="AD3092" s="12"/>
      <c r="AF3092" s="12"/>
      <c r="AG3092" s="12"/>
    </row>
    <row r="3093" spans="29:33" x14ac:dyDescent="0.25">
      <c r="AC3093" s="12"/>
      <c r="AD3093" s="12"/>
      <c r="AF3093" s="12"/>
      <c r="AG3093" s="12"/>
    </row>
    <row r="3094" spans="29:33" x14ac:dyDescent="0.25">
      <c r="AC3094" s="12"/>
      <c r="AD3094" s="12"/>
      <c r="AF3094" s="12"/>
      <c r="AG3094" s="12"/>
    </row>
    <row r="3095" spans="29:33" x14ac:dyDescent="0.25">
      <c r="AC3095" s="12"/>
      <c r="AD3095" s="12"/>
      <c r="AF3095" s="12"/>
      <c r="AG3095" s="12"/>
    </row>
    <row r="3096" spans="29:33" x14ac:dyDescent="0.25">
      <c r="AC3096" s="12"/>
      <c r="AD3096" s="12"/>
      <c r="AF3096" s="12"/>
      <c r="AG3096" s="12"/>
    </row>
    <row r="3097" spans="29:33" x14ac:dyDescent="0.25">
      <c r="AC3097" s="12"/>
      <c r="AD3097" s="12"/>
      <c r="AF3097" s="12"/>
      <c r="AG3097" s="12"/>
    </row>
    <row r="3098" spans="29:33" x14ac:dyDescent="0.25">
      <c r="AC3098" s="12"/>
      <c r="AD3098" s="12"/>
      <c r="AF3098" s="12"/>
      <c r="AG3098" s="12"/>
    </row>
    <row r="3099" spans="29:33" x14ac:dyDescent="0.25">
      <c r="AC3099" s="12"/>
      <c r="AD3099" s="12"/>
      <c r="AF3099" s="12"/>
      <c r="AG3099" s="12"/>
    </row>
    <row r="3100" spans="29:33" x14ac:dyDescent="0.25">
      <c r="AC3100" s="12"/>
      <c r="AD3100" s="12"/>
      <c r="AF3100" s="12"/>
      <c r="AG3100" s="12"/>
    </row>
    <row r="3101" spans="29:33" x14ac:dyDescent="0.25">
      <c r="AC3101" s="12"/>
      <c r="AD3101" s="12"/>
      <c r="AF3101" s="12"/>
      <c r="AG3101" s="12"/>
    </row>
    <row r="3102" spans="29:33" x14ac:dyDescent="0.25">
      <c r="AC3102" s="12"/>
      <c r="AD3102" s="12"/>
      <c r="AF3102" s="12"/>
      <c r="AG3102" s="12"/>
    </row>
    <row r="3103" spans="29:33" x14ac:dyDescent="0.25">
      <c r="AC3103" s="12"/>
      <c r="AD3103" s="12"/>
      <c r="AF3103" s="12"/>
      <c r="AG3103" s="12"/>
    </row>
    <row r="3104" spans="29:33" x14ac:dyDescent="0.25">
      <c r="AC3104" s="12"/>
      <c r="AD3104" s="12"/>
      <c r="AF3104" s="12"/>
      <c r="AG3104" s="12"/>
    </row>
    <row r="3105" spans="29:33" x14ac:dyDescent="0.25">
      <c r="AC3105" s="12"/>
      <c r="AD3105" s="12"/>
      <c r="AF3105" s="12"/>
      <c r="AG3105" s="12"/>
    </row>
    <row r="3106" spans="29:33" x14ac:dyDescent="0.25">
      <c r="AC3106" s="12"/>
      <c r="AD3106" s="12"/>
      <c r="AF3106" s="12"/>
      <c r="AG3106" s="12"/>
    </row>
    <row r="3107" spans="29:33" x14ac:dyDescent="0.25">
      <c r="AC3107" s="12"/>
      <c r="AD3107" s="12"/>
      <c r="AF3107" s="12"/>
      <c r="AG3107" s="12"/>
    </row>
    <row r="3108" spans="29:33" x14ac:dyDescent="0.25">
      <c r="AC3108" s="12"/>
      <c r="AD3108" s="12"/>
      <c r="AF3108" s="12"/>
      <c r="AG3108" s="12"/>
    </row>
    <row r="3109" spans="29:33" x14ac:dyDescent="0.25">
      <c r="AC3109" s="12"/>
      <c r="AD3109" s="12"/>
      <c r="AF3109" s="12"/>
      <c r="AG3109" s="12"/>
    </row>
    <row r="3110" spans="29:33" x14ac:dyDescent="0.25">
      <c r="AC3110" s="12"/>
      <c r="AD3110" s="12"/>
      <c r="AF3110" s="12"/>
      <c r="AG3110" s="12"/>
    </row>
    <row r="3111" spans="29:33" x14ac:dyDescent="0.25">
      <c r="AC3111" s="12"/>
      <c r="AD3111" s="12"/>
      <c r="AF3111" s="12"/>
      <c r="AG3111" s="12"/>
    </row>
    <row r="3112" spans="29:33" x14ac:dyDescent="0.25">
      <c r="AC3112" s="12"/>
      <c r="AD3112" s="12"/>
      <c r="AF3112" s="12"/>
      <c r="AG3112" s="12"/>
    </row>
    <row r="3113" spans="29:33" x14ac:dyDescent="0.25">
      <c r="AC3113" s="12"/>
      <c r="AD3113" s="12"/>
      <c r="AF3113" s="12"/>
      <c r="AG3113" s="12"/>
    </row>
    <row r="3114" spans="29:33" x14ac:dyDescent="0.25">
      <c r="AC3114" s="12"/>
      <c r="AD3114" s="12"/>
      <c r="AF3114" s="12"/>
      <c r="AG3114" s="12"/>
    </row>
    <row r="3115" spans="29:33" x14ac:dyDescent="0.25">
      <c r="AC3115" s="12"/>
      <c r="AD3115" s="12"/>
      <c r="AF3115" s="12"/>
      <c r="AG3115" s="12"/>
    </row>
    <row r="3116" spans="29:33" x14ac:dyDescent="0.25">
      <c r="AC3116" s="12"/>
      <c r="AD3116" s="12"/>
      <c r="AF3116" s="12"/>
      <c r="AG3116" s="12"/>
    </row>
    <row r="3117" spans="29:33" x14ac:dyDescent="0.25">
      <c r="AC3117" s="12"/>
      <c r="AD3117" s="12"/>
      <c r="AF3117" s="12"/>
      <c r="AG3117" s="12"/>
    </row>
    <row r="3118" spans="29:33" x14ac:dyDescent="0.25">
      <c r="AC3118" s="12"/>
      <c r="AD3118" s="12"/>
      <c r="AF3118" s="12"/>
      <c r="AG3118" s="12"/>
    </row>
    <row r="3119" spans="29:33" x14ac:dyDescent="0.25">
      <c r="AC3119" s="12"/>
      <c r="AD3119" s="12"/>
      <c r="AF3119" s="12"/>
      <c r="AG3119" s="12"/>
    </row>
    <row r="3120" spans="29:33" x14ac:dyDescent="0.25">
      <c r="AC3120" s="12"/>
      <c r="AD3120" s="12"/>
      <c r="AF3120" s="12"/>
      <c r="AG3120" s="12"/>
    </row>
    <row r="3121" spans="29:33" x14ac:dyDescent="0.25">
      <c r="AC3121" s="12"/>
      <c r="AD3121" s="12"/>
      <c r="AF3121" s="12"/>
      <c r="AG3121" s="12"/>
    </row>
    <row r="3122" spans="29:33" x14ac:dyDescent="0.25">
      <c r="AC3122" s="12"/>
      <c r="AD3122" s="12"/>
      <c r="AF3122" s="12"/>
      <c r="AG3122" s="12"/>
    </row>
    <row r="3123" spans="29:33" x14ac:dyDescent="0.25">
      <c r="AC3123" s="12"/>
      <c r="AD3123" s="12"/>
      <c r="AF3123" s="12"/>
      <c r="AG3123" s="12"/>
    </row>
    <row r="3124" spans="29:33" x14ac:dyDescent="0.25">
      <c r="AC3124" s="12"/>
      <c r="AD3124" s="12"/>
      <c r="AF3124" s="12"/>
      <c r="AG3124" s="12"/>
    </row>
    <row r="3125" spans="29:33" x14ac:dyDescent="0.25">
      <c r="AC3125" s="12"/>
      <c r="AD3125" s="12"/>
      <c r="AF3125" s="12"/>
      <c r="AG3125" s="12"/>
    </row>
    <row r="3126" spans="29:33" x14ac:dyDescent="0.25">
      <c r="AC3126" s="12"/>
      <c r="AD3126" s="12"/>
      <c r="AF3126" s="12"/>
      <c r="AG3126" s="12"/>
    </row>
    <row r="3127" spans="29:33" x14ac:dyDescent="0.25">
      <c r="AC3127" s="12"/>
      <c r="AD3127" s="12"/>
      <c r="AF3127" s="12"/>
      <c r="AG3127" s="12"/>
    </row>
    <row r="3128" spans="29:33" x14ac:dyDescent="0.25">
      <c r="AC3128" s="12"/>
      <c r="AD3128" s="12"/>
      <c r="AF3128" s="12"/>
      <c r="AG3128" s="12"/>
    </row>
    <row r="3129" spans="29:33" x14ac:dyDescent="0.25">
      <c r="AC3129" s="12"/>
      <c r="AD3129" s="12"/>
      <c r="AF3129" s="12"/>
      <c r="AG3129" s="12"/>
    </row>
    <row r="3130" spans="29:33" x14ac:dyDescent="0.25">
      <c r="AC3130" s="12"/>
      <c r="AD3130" s="12"/>
      <c r="AF3130" s="12"/>
      <c r="AG3130" s="12"/>
    </row>
    <row r="3131" spans="29:33" x14ac:dyDescent="0.25">
      <c r="AC3131" s="12"/>
      <c r="AD3131" s="12"/>
      <c r="AF3131" s="12"/>
      <c r="AG3131" s="12"/>
    </row>
    <row r="3132" spans="29:33" x14ac:dyDescent="0.25">
      <c r="AC3132" s="12"/>
      <c r="AD3132" s="12"/>
      <c r="AF3132" s="12"/>
      <c r="AG3132" s="12"/>
    </row>
    <row r="3133" spans="29:33" x14ac:dyDescent="0.25">
      <c r="AC3133" s="12"/>
      <c r="AD3133" s="12"/>
      <c r="AF3133" s="12"/>
      <c r="AG3133" s="12"/>
    </row>
    <row r="3134" spans="29:33" x14ac:dyDescent="0.25">
      <c r="AC3134" s="12"/>
      <c r="AD3134" s="12"/>
      <c r="AF3134" s="12"/>
      <c r="AG3134" s="12"/>
    </row>
    <row r="3135" spans="29:33" x14ac:dyDescent="0.25">
      <c r="AC3135" s="12"/>
      <c r="AD3135" s="12"/>
      <c r="AF3135" s="12"/>
      <c r="AG3135" s="12"/>
    </row>
    <row r="3136" spans="29:33" x14ac:dyDescent="0.25">
      <c r="AC3136" s="12"/>
      <c r="AD3136" s="12"/>
      <c r="AF3136" s="12"/>
      <c r="AG3136" s="12"/>
    </row>
    <row r="3137" spans="29:33" x14ac:dyDescent="0.25">
      <c r="AC3137" s="12"/>
      <c r="AD3137" s="12"/>
      <c r="AF3137" s="12"/>
      <c r="AG3137" s="12"/>
    </row>
    <row r="3138" spans="29:33" x14ac:dyDescent="0.25">
      <c r="AC3138" s="12"/>
      <c r="AD3138" s="12"/>
      <c r="AF3138" s="12"/>
      <c r="AG3138" s="12"/>
    </row>
    <row r="3139" spans="29:33" x14ac:dyDescent="0.25">
      <c r="AC3139" s="12"/>
      <c r="AD3139" s="12"/>
      <c r="AF3139" s="12"/>
      <c r="AG3139" s="12"/>
    </row>
    <row r="3140" spans="29:33" x14ac:dyDescent="0.25">
      <c r="AC3140" s="12"/>
      <c r="AD3140" s="12"/>
      <c r="AF3140" s="12"/>
      <c r="AG3140" s="12"/>
    </row>
    <row r="3141" spans="29:33" x14ac:dyDescent="0.25">
      <c r="AC3141" s="12"/>
      <c r="AD3141" s="12"/>
      <c r="AF3141" s="12"/>
      <c r="AG3141" s="12"/>
    </row>
    <row r="3142" spans="29:33" x14ac:dyDescent="0.25">
      <c r="AC3142" s="12"/>
      <c r="AD3142" s="12"/>
      <c r="AF3142" s="12"/>
      <c r="AG3142" s="12"/>
    </row>
    <row r="3143" spans="29:33" x14ac:dyDescent="0.25">
      <c r="AC3143" s="12"/>
      <c r="AD3143" s="12"/>
      <c r="AF3143" s="12"/>
      <c r="AG3143" s="12"/>
    </row>
    <row r="3144" spans="29:33" x14ac:dyDescent="0.25">
      <c r="AC3144" s="12"/>
      <c r="AD3144" s="12"/>
      <c r="AF3144" s="12"/>
      <c r="AG3144" s="12"/>
    </row>
    <row r="3145" spans="29:33" x14ac:dyDescent="0.25">
      <c r="AC3145" s="12"/>
      <c r="AD3145" s="12"/>
      <c r="AF3145" s="12"/>
      <c r="AG3145" s="12"/>
    </row>
    <row r="3146" spans="29:33" x14ac:dyDescent="0.25">
      <c r="AC3146" s="12"/>
      <c r="AD3146" s="12"/>
      <c r="AF3146" s="12"/>
      <c r="AG3146" s="12"/>
    </row>
    <row r="3147" spans="29:33" x14ac:dyDescent="0.25">
      <c r="AC3147" s="12"/>
      <c r="AD3147" s="12"/>
      <c r="AF3147" s="12"/>
      <c r="AG3147" s="12"/>
    </row>
    <row r="3148" spans="29:33" x14ac:dyDescent="0.25">
      <c r="AC3148" s="12"/>
      <c r="AD3148" s="12"/>
      <c r="AF3148" s="12"/>
      <c r="AG3148" s="12"/>
    </row>
    <row r="3149" spans="29:33" x14ac:dyDescent="0.25">
      <c r="AC3149" s="12"/>
      <c r="AD3149" s="12"/>
      <c r="AF3149" s="12"/>
      <c r="AG3149" s="12"/>
    </row>
    <row r="3150" spans="29:33" x14ac:dyDescent="0.25">
      <c r="AC3150" s="12"/>
      <c r="AD3150" s="12"/>
      <c r="AF3150" s="12"/>
      <c r="AG3150" s="12"/>
    </row>
    <row r="3151" spans="29:33" x14ac:dyDescent="0.25">
      <c r="AC3151" s="12"/>
      <c r="AD3151" s="12"/>
      <c r="AF3151" s="12"/>
      <c r="AG3151" s="12"/>
    </row>
    <row r="3152" spans="29:33" x14ac:dyDescent="0.25">
      <c r="AC3152" s="12"/>
      <c r="AD3152" s="12"/>
      <c r="AF3152" s="12"/>
      <c r="AG3152" s="12"/>
    </row>
    <row r="3153" spans="29:33" x14ac:dyDescent="0.25">
      <c r="AC3153" s="12"/>
      <c r="AD3153" s="12"/>
      <c r="AF3153" s="12"/>
      <c r="AG3153" s="12"/>
    </row>
    <row r="3154" spans="29:33" x14ac:dyDescent="0.25">
      <c r="AC3154" s="12"/>
      <c r="AD3154" s="12"/>
      <c r="AF3154" s="12"/>
      <c r="AG3154" s="12"/>
    </row>
    <row r="3155" spans="29:33" x14ac:dyDescent="0.25">
      <c r="AC3155" s="12"/>
      <c r="AD3155" s="12"/>
      <c r="AF3155" s="12"/>
      <c r="AG3155" s="12"/>
    </row>
    <row r="3156" spans="29:33" x14ac:dyDescent="0.25">
      <c r="AC3156" s="12"/>
      <c r="AD3156" s="12"/>
      <c r="AF3156" s="12"/>
      <c r="AG3156" s="12"/>
    </row>
    <row r="3157" spans="29:33" x14ac:dyDescent="0.25">
      <c r="AC3157" s="12"/>
      <c r="AD3157" s="12"/>
      <c r="AF3157" s="12"/>
      <c r="AG3157" s="12"/>
    </row>
    <row r="3158" spans="29:33" x14ac:dyDescent="0.25">
      <c r="AC3158" s="12"/>
      <c r="AD3158" s="12"/>
      <c r="AF3158" s="12"/>
      <c r="AG3158" s="12"/>
    </row>
    <row r="3159" spans="29:33" x14ac:dyDescent="0.25">
      <c r="AC3159" s="12"/>
      <c r="AD3159" s="12"/>
      <c r="AF3159" s="12"/>
      <c r="AG3159" s="12"/>
    </row>
    <row r="3160" spans="29:33" x14ac:dyDescent="0.25">
      <c r="AC3160" s="12"/>
      <c r="AD3160" s="12"/>
      <c r="AF3160" s="12"/>
      <c r="AG3160" s="12"/>
    </row>
    <row r="3161" spans="29:33" x14ac:dyDescent="0.25">
      <c r="AC3161" s="12"/>
      <c r="AD3161" s="12"/>
      <c r="AF3161" s="12"/>
      <c r="AG3161" s="12"/>
    </row>
    <row r="3162" spans="29:33" x14ac:dyDescent="0.25">
      <c r="AC3162" s="12"/>
      <c r="AD3162" s="12"/>
      <c r="AF3162" s="12"/>
      <c r="AG3162" s="12"/>
    </row>
    <row r="3163" spans="29:33" x14ac:dyDescent="0.25">
      <c r="AC3163" s="12"/>
      <c r="AD3163" s="12"/>
      <c r="AF3163" s="12"/>
      <c r="AG3163" s="12"/>
    </row>
    <row r="3164" spans="29:33" x14ac:dyDescent="0.25">
      <c r="AC3164" s="12"/>
      <c r="AD3164" s="12"/>
      <c r="AF3164" s="12"/>
      <c r="AG3164" s="12"/>
    </row>
    <row r="3165" spans="29:33" x14ac:dyDescent="0.25">
      <c r="AC3165" s="12"/>
      <c r="AD3165" s="12"/>
      <c r="AF3165" s="12"/>
      <c r="AG3165" s="12"/>
    </row>
    <row r="3166" spans="29:33" x14ac:dyDescent="0.25">
      <c r="AC3166" s="12"/>
      <c r="AD3166" s="12"/>
      <c r="AF3166" s="12"/>
      <c r="AG3166" s="12"/>
    </row>
    <row r="3167" spans="29:33" x14ac:dyDescent="0.25">
      <c r="AC3167" s="12"/>
      <c r="AD3167" s="12"/>
      <c r="AF3167" s="12"/>
      <c r="AG3167" s="12"/>
    </row>
    <row r="3168" spans="29:33" x14ac:dyDescent="0.25">
      <c r="AC3168" s="12"/>
      <c r="AD3168" s="12"/>
      <c r="AF3168" s="12"/>
      <c r="AG3168" s="12"/>
    </row>
    <row r="3169" spans="29:33" x14ac:dyDescent="0.25">
      <c r="AC3169" s="12"/>
      <c r="AD3169" s="12"/>
      <c r="AF3169" s="12"/>
      <c r="AG3169" s="12"/>
    </row>
    <row r="3170" spans="29:33" x14ac:dyDescent="0.25">
      <c r="AC3170" s="12"/>
      <c r="AD3170" s="12"/>
      <c r="AF3170" s="12"/>
      <c r="AG3170" s="12"/>
    </row>
    <row r="3171" spans="29:33" x14ac:dyDescent="0.25">
      <c r="AC3171" s="12"/>
      <c r="AD3171" s="12"/>
      <c r="AF3171" s="12"/>
      <c r="AG3171" s="12"/>
    </row>
    <row r="3172" spans="29:33" x14ac:dyDescent="0.25">
      <c r="AC3172" s="12"/>
      <c r="AD3172" s="12"/>
      <c r="AF3172" s="12"/>
      <c r="AG3172" s="12"/>
    </row>
    <row r="3173" spans="29:33" x14ac:dyDescent="0.25">
      <c r="AC3173" s="12"/>
      <c r="AD3173" s="12"/>
      <c r="AF3173" s="12"/>
      <c r="AG3173" s="12"/>
    </row>
    <row r="3174" spans="29:33" x14ac:dyDescent="0.25">
      <c r="AC3174" s="12"/>
      <c r="AD3174" s="12"/>
      <c r="AF3174" s="12"/>
      <c r="AG3174" s="12"/>
    </row>
    <row r="3175" spans="29:33" x14ac:dyDescent="0.25">
      <c r="AC3175" s="12"/>
      <c r="AD3175" s="12"/>
      <c r="AF3175" s="12"/>
      <c r="AG3175" s="12"/>
    </row>
    <row r="3176" spans="29:33" x14ac:dyDescent="0.25">
      <c r="AC3176" s="12"/>
      <c r="AD3176" s="12"/>
      <c r="AF3176" s="12"/>
      <c r="AG3176" s="12"/>
    </row>
    <row r="3177" spans="29:33" x14ac:dyDescent="0.25">
      <c r="AC3177" s="12"/>
      <c r="AD3177" s="12"/>
      <c r="AF3177" s="12"/>
      <c r="AG3177" s="12"/>
    </row>
    <row r="3178" spans="29:33" x14ac:dyDescent="0.25">
      <c r="AC3178" s="12"/>
      <c r="AD3178" s="12"/>
      <c r="AF3178" s="12"/>
      <c r="AG3178" s="12"/>
    </row>
    <row r="3179" spans="29:33" x14ac:dyDescent="0.25">
      <c r="AC3179" s="12"/>
      <c r="AD3179" s="12"/>
      <c r="AF3179" s="12"/>
      <c r="AG3179" s="12"/>
    </row>
    <row r="3180" spans="29:33" x14ac:dyDescent="0.25">
      <c r="AC3180" s="12"/>
      <c r="AD3180" s="12"/>
      <c r="AF3180" s="12"/>
      <c r="AG3180" s="12"/>
    </row>
    <row r="3181" spans="29:33" x14ac:dyDescent="0.25">
      <c r="AC3181" s="12"/>
      <c r="AD3181" s="12"/>
      <c r="AF3181" s="12"/>
      <c r="AG3181" s="12"/>
    </row>
    <row r="3182" spans="29:33" x14ac:dyDescent="0.25">
      <c r="AC3182" s="12"/>
      <c r="AD3182" s="12"/>
      <c r="AF3182" s="12"/>
      <c r="AG3182" s="12"/>
    </row>
    <row r="3183" spans="29:33" x14ac:dyDescent="0.25">
      <c r="AC3183" s="12"/>
      <c r="AD3183" s="12"/>
      <c r="AF3183" s="12"/>
      <c r="AG3183" s="12"/>
    </row>
    <row r="3184" spans="29:33" x14ac:dyDescent="0.25">
      <c r="AC3184" s="12"/>
      <c r="AD3184" s="12"/>
      <c r="AF3184" s="12"/>
      <c r="AG3184" s="12"/>
    </row>
    <row r="3185" spans="29:33" x14ac:dyDescent="0.25">
      <c r="AC3185" s="12"/>
      <c r="AD3185" s="12"/>
      <c r="AF3185" s="12"/>
      <c r="AG3185" s="12"/>
    </row>
    <row r="3186" spans="29:33" x14ac:dyDescent="0.25">
      <c r="AC3186" s="12"/>
      <c r="AD3186" s="12"/>
      <c r="AF3186" s="12"/>
      <c r="AG3186" s="12"/>
    </row>
    <row r="3187" spans="29:33" x14ac:dyDescent="0.25">
      <c r="AC3187" s="12"/>
      <c r="AD3187" s="12"/>
      <c r="AF3187" s="12"/>
      <c r="AG3187" s="12"/>
    </row>
    <row r="3188" spans="29:33" x14ac:dyDescent="0.25">
      <c r="AC3188" s="12"/>
      <c r="AD3188" s="12"/>
      <c r="AF3188" s="12"/>
      <c r="AG3188" s="12"/>
    </row>
    <row r="3189" spans="29:33" x14ac:dyDescent="0.25">
      <c r="AC3189" s="12"/>
      <c r="AD3189" s="12"/>
      <c r="AF3189" s="12"/>
      <c r="AG3189" s="12"/>
    </row>
    <row r="3190" spans="29:33" x14ac:dyDescent="0.25">
      <c r="AC3190" s="12"/>
      <c r="AD3190" s="12"/>
      <c r="AF3190" s="12"/>
      <c r="AG3190" s="12"/>
    </row>
    <row r="3191" spans="29:33" x14ac:dyDescent="0.25">
      <c r="AC3191" s="12"/>
      <c r="AD3191" s="12"/>
      <c r="AF3191" s="12"/>
      <c r="AG3191" s="12"/>
    </row>
    <row r="3192" spans="29:33" x14ac:dyDescent="0.25">
      <c r="AC3192" s="12"/>
      <c r="AD3192" s="12"/>
      <c r="AF3192" s="12"/>
      <c r="AG3192" s="12"/>
    </row>
    <row r="3193" spans="29:33" x14ac:dyDescent="0.25">
      <c r="AC3193" s="12"/>
      <c r="AD3193" s="12"/>
      <c r="AF3193" s="12"/>
      <c r="AG3193" s="12"/>
    </row>
    <row r="3194" spans="29:33" x14ac:dyDescent="0.25">
      <c r="AC3194" s="12"/>
      <c r="AD3194" s="12"/>
      <c r="AF3194" s="12"/>
      <c r="AG3194" s="12"/>
    </row>
    <row r="3195" spans="29:33" x14ac:dyDescent="0.25">
      <c r="AC3195" s="12"/>
      <c r="AD3195" s="12"/>
      <c r="AF3195" s="12"/>
      <c r="AG3195" s="12"/>
    </row>
    <row r="3196" spans="29:33" x14ac:dyDescent="0.25">
      <c r="AC3196" s="12"/>
      <c r="AD3196" s="12"/>
      <c r="AF3196" s="12"/>
      <c r="AG3196" s="12"/>
    </row>
    <row r="3197" spans="29:33" x14ac:dyDescent="0.25">
      <c r="AC3197" s="12"/>
      <c r="AD3197" s="12"/>
      <c r="AF3197" s="12"/>
      <c r="AG3197" s="12"/>
    </row>
    <row r="3198" spans="29:33" x14ac:dyDescent="0.25">
      <c r="AC3198" s="12"/>
      <c r="AD3198" s="12"/>
      <c r="AF3198" s="12"/>
      <c r="AG3198" s="12"/>
    </row>
    <row r="3199" spans="29:33" x14ac:dyDescent="0.25">
      <c r="AC3199" s="12"/>
      <c r="AD3199" s="12"/>
      <c r="AF3199" s="12"/>
      <c r="AG3199" s="12"/>
    </row>
    <row r="3200" spans="29:33" x14ac:dyDescent="0.25">
      <c r="AC3200" s="12"/>
      <c r="AD3200" s="12"/>
      <c r="AF3200" s="12"/>
      <c r="AG3200" s="12"/>
    </row>
    <row r="3201" spans="29:33" x14ac:dyDescent="0.25">
      <c r="AC3201" s="12"/>
      <c r="AD3201" s="12"/>
      <c r="AF3201" s="12"/>
      <c r="AG3201" s="12"/>
    </row>
    <row r="3202" spans="29:33" x14ac:dyDescent="0.25">
      <c r="AC3202" s="12"/>
      <c r="AD3202" s="12"/>
      <c r="AF3202" s="12"/>
      <c r="AG3202" s="12"/>
    </row>
    <row r="3203" spans="29:33" x14ac:dyDescent="0.25">
      <c r="AC3203" s="12"/>
      <c r="AD3203" s="12"/>
      <c r="AF3203" s="12"/>
      <c r="AG3203" s="12"/>
    </row>
    <row r="3204" spans="29:33" x14ac:dyDescent="0.25">
      <c r="AC3204" s="12"/>
      <c r="AD3204" s="12"/>
      <c r="AF3204" s="12"/>
      <c r="AG3204" s="12"/>
    </row>
    <row r="3205" spans="29:33" x14ac:dyDescent="0.25">
      <c r="AC3205" s="12"/>
      <c r="AD3205" s="12"/>
      <c r="AF3205" s="12"/>
      <c r="AG3205" s="12"/>
    </row>
    <row r="3206" spans="29:33" x14ac:dyDescent="0.25">
      <c r="AC3206" s="12"/>
      <c r="AD3206" s="12"/>
      <c r="AF3206" s="12"/>
      <c r="AG3206" s="12"/>
    </row>
    <row r="3207" spans="29:33" x14ac:dyDescent="0.25">
      <c r="AC3207" s="12"/>
      <c r="AD3207" s="12"/>
      <c r="AF3207" s="12"/>
      <c r="AG3207" s="12"/>
    </row>
    <row r="3208" spans="29:33" x14ac:dyDescent="0.25">
      <c r="AC3208" s="12"/>
      <c r="AD3208" s="12"/>
      <c r="AF3208" s="12"/>
      <c r="AG3208" s="12"/>
    </row>
    <row r="3209" spans="29:33" x14ac:dyDescent="0.25">
      <c r="AC3209" s="12"/>
      <c r="AD3209" s="12"/>
      <c r="AF3209" s="12"/>
      <c r="AG3209" s="12"/>
    </row>
    <row r="3210" spans="29:33" x14ac:dyDescent="0.25">
      <c r="AC3210" s="12"/>
      <c r="AD3210" s="12"/>
      <c r="AF3210" s="12"/>
      <c r="AG3210" s="12"/>
    </row>
    <row r="3211" spans="29:33" x14ac:dyDescent="0.25">
      <c r="AC3211" s="12"/>
      <c r="AD3211" s="12"/>
      <c r="AF3211" s="12"/>
      <c r="AG3211" s="12"/>
    </row>
    <row r="3212" spans="29:33" x14ac:dyDescent="0.25">
      <c r="AC3212" s="12"/>
      <c r="AD3212" s="12"/>
      <c r="AF3212" s="12"/>
      <c r="AG3212" s="12"/>
    </row>
    <row r="3213" spans="29:33" x14ac:dyDescent="0.25">
      <c r="AC3213" s="12"/>
      <c r="AD3213" s="12"/>
      <c r="AF3213" s="12"/>
      <c r="AG3213" s="12"/>
    </row>
    <row r="3214" spans="29:33" x14ac:dyDescent="0.25">
      <c r="AC3214" s="12"/>
      <c r="AD3214" s="12"/>
      <c r="AF3214" s="12"/>
      <c r="AG3214" s="12"/>
    </row>
    <row r="3215" spans="29:33" x14ac:dyDescent="0.25">
      <c r="AC3215" s="12"/>
      <c r="AD3215" s="12"/>
      <c r="AF3215" s="12"/>
      <c r="AG3215" s="12"/>
    </row>
    <row r="3216" spans="29:33" x14ac:dyDescent="0.25">
      <c r="AC3216" s="12"/>
      <c r="AD3216" s="12"/>
      <c r="AF3216" s="12"/>
      <c r="AG3216" s="12"/>
    </row>
    <row r="3217" spans="29:33" x14ac:dyDescent="0.25">
      <c r="AC3217" s="12"/>
      <c r="AD3217" s="12"/>
      <c r="AF3217" s="12"/>
      <c r="AG3217" s="12"/>
    </row>
    <row r="3218" spans="29:33" x14ac:dyDescent="0.25">
      <c r="AC3218" s="12"/>
      <c r="AD3218" s="12"/>
      <c r="AF3218" s="12"/>
      <c r="AG3218" s="12"/>
    </row>
    <row r="3219" spans="29:33" x14ac:dyDescent="0.25">
      <c r="AC3219" s="12"/>
      <c r="AD3219" s="12"/>
      <c r="AF3219" s="12"/>
      <c r="AG3219" s="12"/>
    </row>
    <row r="3220" spans="29:33" x14ac:dyDescent="0.25">
      <c r="AC3220" s="12"/>
      <c r="AD3220" s="12"/>
      <c r="AF3220" s="12"/>
      <c r="AG3220" s="12"/>
    </row>
    <row r="3221" spans="29:33" x14ac:dyDescent="0.25">
      <c r="AC3221" s="12"/>
      <c r="AD3221" s="12"/>
      <c r="AF3221" s="12"/>
      <c r="AG3221" s="12"/>
    </row>
    <row r="3222" spans="29:33" x14ac:dyDescent="0.25">
      <c r="AC3222" s="12"/>
      <c r="AD3222" s="12"/>
      <c r="AF3222" s="12"/>
      <c r="AG3222" s="12"/>
    </row>
    <row r="3223" spans="29:33" x14ac:dyDescent="0.25">
      <c r="AC3223" s="12"/>
      <c r="AD3223" s="12"/>
      <c r="AF3223" s="12"/>
      <c r="AG3223" s="12"/>
    </row>
    <row r="3224" spans="29:33" x14ac:dyDescent="0.25">
      <c r="AC3224" s="12"/>
      <c r="AD3224" s="12"/>
      <c r="AF3224" s="12"/>
      <c r="AG3224" s="12"/>
    </row>
    <row r="3225" spans="29:33" x14ac:dyDescent="0.25">
      <c r="AC3225" s="12"/>
      <c r="AD3225" s="12"/>
      <c r="AF3225" s="12"/>
      <c r="AG3225" s="12"/>
    </row>
    <row r="3226" spans="29:33" x14ac:dyDescent="0.25">
      <c r="AC3226" s="12"/>
      <c r="AD3226" s="12"/>
      <c r="AF3226" s="12"/>
      <c r="AG3226" s="12"/>
    </row>
    <row r="3227" spans="29:33" x14ac:dyDescent="0.25">
      <c r="AC3227" s="12"/>
      <c r="AD3227" s="12"/>
      <c r="AF3227" s="12"/>
      <c r="AG3227" s="12"/>
    </row>
    <row r="3228" spans="29:33" x14ac:dyDescent="0.25">
      <c r="AC3228" s="12"/>
      <c r="AD3228" s="12"/>
      <c r="AF3228" s="12"/>
      <c r="AG3228" s="12"/>
    </row>
    <row r="3229" spans="29:33" x14ac:dyDescent="0.25">
      <c r="AC3229" s="12"/>
      <c r="AD3229" s="12"/>
      <c r="AF3229" s="12"/>
      <c r="AG3229" s="12"/>
    </row>
    <row r="3230" spans="29:33" x14ac:dyDescent="0.25">
      <c r="AC3230" s="12"/>
      <c r="AD3230" s="12"/>
      <c r="AF3230" s="12"/>
      <c r="AG3230" s="12"/>
    </row>
    <row r="3231" spans="29:33" x14ac:dyDescent="0.25">
      <c r="AC3231" s="12"/>
      <c r="AD3231" s="12"/>
      <c r="AF3231" s="12"/>
      <c r="AG3231" s="12"/>
    </row>
    <row r="3232" spans="29:33" x14ac:dyDescent="0.25">
      <c r="AC3232" s="12"/>
      <c r="AD3232" s="12"/>
      <c r="AF3232" s="12"/>
      <c r="AG3232" s="12"/>
    </row>
    <row r="3233" spans="29:33" x14ac:dyDescent="0.25">
      <c r="AC3233" s="12"/>
      <c r="AD3233" s="12"/>
      <c r="AF3233" s="12"/>
      <c r="AG3233" s="12"/>
    </row>
    <row r="3234" spans="29:33" x14ac:dyDescent="0.25">
      <c r="AC3234" s="12"/>
      <c r="AD3234" s="12"/>
      <c r="AF3234" s="12"/>
      <c r="AG3234" s="12"/>
    </row>
    <row r="3235" spans="29:33" x14ac:dyDescent="0.25">
      <c r="AC3235" s="12"/>
      <c r="AD3235" s="12"/>
      <c r="AF3235" s="12"/>
      <c r="AG3235" s="12"/>
    </row>
    <row r="3236" spans="29:33" x14ac:dyDescent="0.25">
      <c r="AC3236" s="12"/>
      <c r="AD3236" s="12"/>
      <c r="AF3236" s="12"/>
      <c r="AG3236" s="12"/>
    </row>
    <row r="3237" spans="29:33" x14ac:dyDescent="0.25">
      <c r="AC3237" s="12"/>
      <c r="AD3237" s="12"/>
      <c r="AF3237" s="12"/>
      <c r="AG3237" s="12"/>
    </row>
    <row r="3238" spans="29:33" x14ac:dyDescent="0.25">
      <c r="AC3238" s="12"/>
      <c r="AD3238" s="12"/>
      <c r="AF3238" s="12"/>
      <c r="AG3238" s="12"/>
    </row>
    <row r="3239" spans="29:33" x14ac:dyDescent="0.25">
      <c r="AC3239" s="12"/>
      <c r="AD3239" s="12"/>
      <c r="AF3239" s="12"/>
      <c r="AG3239" s="12"/>
    </row>
    <row r="3240" spans="29:33" x14ac:dyDescent="0.25">
      <c r="AC3240" s="12"/>
      <c r="AD3240" s="12"/>
      <c r="AF3240" s="12"/>
      <c r="AG3240" s="12"/>
    </row>
    <row r="3241" spans="29:33" x14ac:dyDescent="0.25">
      <c r="AC3241" s="12"/>
      <c r="AD3241" s="12"/>
      <c r="AF3241" s="12"/>
      <c r="AG3241" s="12"/>
    </row>
    <row r="3242" spans="29:33" x14ac:dyDescent="0.25">
      <c r="AC3242" s="12"/>
      <c r="AD3242" s="12"/>
      <c r="AF3242" s="12"/>
      <c r="AG3242" s="12"/>
    </row>
    <row r="3243" spans="29:33" x14ac:dyDescent="0.25">
      <c r="AC3243" s="12"/>
      <c r="AD3243" s="12"/>
      <c r="AF3243" s="12"/>
      <c r="AG3243" s="12"/>
    </row>
    <row r="3244" spans="29:33" x14ac:dyDescent="0.25">
      <c r="AC3244" s="12"/>
      <c r="AD3244" s="12"/>
      <c r="AF3244" s="12"/>
      <c r="AG3244" s="12"/>
    </row>
    <row r="3245" spans="29:33" x14ac:dyDescent="0.25">
      <c r="AC3245" s="12"/>
      <c r="AD3245" s="12"/>
      <c r="AF3245" s="12"/>
      <c r="AG3245" s="12"/>
    </row>
    <row r="3246" spans="29:33" x14ac:dyDescent="0.25">
      <c r="AC3246" s="12"/>
      <c r="AD3246" s="12"/>
      <c r="AF3246" s="12"/>
      <c r="AG3246" s="12"/>
    </row>
    <row r="3247" spans="29:33" x14ac:dyDescent="0.25">
      <c r="AC3247" s="12"/>
      <c r="AD3247" s="12"/>
      <c r="AF3247" s="12"/>
      <c r="AG3247" s="12"/>
    </row>
    <row r="3248" spans="29:33" x14ac:dyDescent="0.25">
      <c r="AC3248" s="12"/>
      <c r="AD3248" s="12"/>
      <c r="AF3248" s="12"/>
      <c r="AG3248" s="12"/>
    </row>
    <row r="3249" spans="29:33" x14ac:dyDescent="0.25">
      <c r="AC3249" s="12"/>
      <c r="AD3249" s="12"/>
      <c r="AF3249" s="12"/>
      <c r="AG3249" s="12"/>
    </row>
    <row r="3250" spans="29:33" x14ac:dyDescent="0.25">
      <c r="AC3250" s="12"/>
      <c r="AD3250" s="12"/>
      <c r="AF3250" s="12"/>
      <c r="AG3250" s="12"/>
    </row>
    <row r="3251" spans="29:33" x14ac:dyDescent="0.25">
      <c r="AC3251" s="12"/>
      <c r="AD3251" s="12"/>
      <c r="AF3251" s="12"/>
      <c r="AG3251" s="12"/>
    </row>
    <row r="3252" spans="29:33" x14ac:dyDescent="0.25">
      <c r="AC3252" s="12"/>
      <c r="AD3252" s="12"/>
      <c r="AF3252" s="12"/>
      <c r="AG3252" s="12"/>
    </row>
    <row r="3253" spans="29:33" x14ac:dyDescent="0.25">
      <c r="AC3253" s="12"/>
      <c r="AD3253" s="12"/>
      <c r="AF3253" s="12"/>
      <c r="AG3253" s="12"/>
    </row>
    <row r="3254" spans="29:33" x14ac:dyDescent="0.25">
      <c r="AC3254" s="12"/>
      <c r="AD3254" s="12"/>
      <c r="AF3254" s="12"/>
      <c r="AG3254" s="12"/>
    </row>
    <row r="3255" spans="29:33" x14ac:dyDescent="0.25">
      <c r="AC3255" s="12"/>
      <c r="AD3255" s="12"/>
      <c r="AF3255" s="12"/>
      <c r="AG3255" s="12"/>
    </row>
    <row r="3256" spans="29:33" x14ac:dyDescent="0.25">
      <c r="AC3256" s="12"/>
      <c r="AD3256" s="12"/>
      <c r="AF3256" s="12"/>
      <c r="AG3256" s="12"/>
    </row>
    <row r="3257" spans="29:33" x14ac:dyDescent="0.25">
      <c r="AC3257" s="12"/>
      <c r="AD3257" s="12"/>
      <c r="AF3257" s="12"/>
      <c r="AG3257" s="12"/>
    </row>
    <row r="3258" spans="29:33" x14ac:dyDescent="0.25">
      <c r="AC3258" s="12"/>
      <c r="AD3258" s="12"/>
      <c r="AF3258" s="12"/>
      <c r="AG3258" s="12"/>
    </row>
    <row r="3259" spans="29:33" x14ac:dyDescent="0.25">
      <c r="AC3259" s="12"/>
      <c r="AD3259" s="12"/>
      <c r="AF3259" s="12"/>
      <c r="AG3259" s="12"/>
    </row>
    <row r="3260" spans="29:33" x14ac:dyDescent="0.25">
      <c r="AC3260" s="12"/>
      <c r="AD3260" s="12"/>
      <c r="AF3260" s="12"/>
      <c r="AG3260" s="12"/>
    </row>
    <row r="3261" spans="29:33" x14ac:dyDescent="0.25">
      <c r="AC3261" s="12"/>
      <c r="AD3261" s="12"/>
      <c r="AF3261" s="12"/>
      <c r="AG3261" s="12"/>
    </row>
    <row r="3262" spans="29:33" x14ac:dyDescent="0.25">
      <c r="AC3262" s="12"/>
      <c r="AD3262" s="12"/>
      <c r="AF3262" s="12"/>
      <c r="AG3262" s="12"/>
    </row>
    <row r="3263" spans="29:33" x14ac:dyDescent="0.25">
      <c r="AC3263" s="12"/>
      <c r="AD3263" s="12"/>
      <c r="AF3263" s="12"/>
      <c r="AG3263" s="12"/>
    </row>
    <row r="3264" spans="29:33" x14ac:dyDescent="0.25">
      <c r="AC3264" s="12"/>
      <c r="AD3264" s="12"/>
      <c r="AF3264" s="12"/>
      <c r="AG3264" s="12"/>
    </row>
    <row r="3265" spans="29:33" x14ac:dyDescent="0.25">
      <c r="AC3265" s="12"/>
      <c r="AD3265" s="12"/>
      <c r="AF3265" s="12"/>
      <c r="AG3265" s="12"/>
    </row>
    <row r="3266" spans="29:33" x14ac:dyDescent="0.25">
      <c r="AC3266" s="12"/>
      <c r="AD3266" s="12"/>
      <c r="AF3266" s="12"/>
      <c r="AG3266" s="12"/>
    </row>
    <row r="3267" spans="29:33" x14ac:dyDescent="0.25">
      <c r="AC3267" s="12"/>
      <c r="AD3267" s="12"/>
      <c r="AF3267" s="12"/>
      <c r="AG3267" s="12"/>
    </row>
    <row r="3268" spans="29:33" x14ac:dyDescent="0.25">
      <c r="AC3268" s="12"/>
      <c r="AD3268" s="12"/>
      <c r="AF3268" s="12"/>
      <c r="AG3268" s="12"/>
    </row>
    <row r="3269" spans="29:33" x14ac:dyDescent="0.25">
      <c r="AC3269" s="12"/>
      <c r="AD3269" s="12"/>
      <c r="AF3269" s="12"/>
      <c r="AG3269" s="12"/>
    </row>
    <row r="3270" spans="29:33" x14ac:dyDescent="0.25">
      <c r="AC3270" s="12"/>
      <c r="AD3270" s="12"/>
      <c r="AF3270" s="12"/>
      <c r="AG3270" s="12"/>
    </row>
    <row r="3271" spans="29:33" x14ac:dyDescent="0.25">
      <c r="AC3271" s="12"/>
      <c r="AD3271" s="12"/>
      <c r="AF3271" s="12"/>
      <c r="AG3271" s="12"/>
    </row>
    <row r="3272" spans="29:33" x14ac:dyDescent="0.25">
      <c r="AC3272" s="12"/>
      <c r="AD3272" s="12"/>
      <c r="AF3272" s="12"/>
      <c r="AG3272" s="12"/>
    </row>
    <row r="3273" spans="29:33" x14ac:dyDescent="0.25">
      <c r="AC3273" s="12"/>
      <c r="AD3273" s="12"/>
      <c r="AF3273" s="12"/>
      <c r="AG3273" s="12"/>
    </row>
    <row r="3274" spans="29:33" x14ac:dyDescent="0.25">
      <c r="AC3274" s="12"/>
      <c r="AD3274" s="12"/>
      <c r="AF3274" s="12"/>
      <c r="AG3274" s="12"/>
    </row>
    <row r="3275" spans="29:33" x14ac:dyDescent="0.25">
      <c r="AC3275" s="12"/>
      <c r="AD3275" s="12"/>
      <c r="AF3275" s="12"/>
      <c r="AG3275" s="12"/>
    </row>
    <row r="3276" spans="29:33" x14ac:dyDescent="0.25">
      <c r="AC3276" s="12"/>
      <c r="AD3276" s="12"/>
      <c r="AF3276" s="12"/>
      <c r="AG3276" s="12"/>
    </row>
    <row r="3277" spans="29:33" x14ac:dyDescent="0.25">
      <c r="AC3277" s="12"/>
      <c r="AD3277" s="12"/>
      <c r="AF3277" s="12"/>
      <c r="AG3277" s="12"/>
    </row>
    <row r="3278" spans="29:33" x14ac:dyDescent="0.25">
      <c r="AC3278" s="12"/>
      <c r="AD3278" s="12"/>
      <c r="AF3278" s="12"/>
      <c r="AG3278" s="12"/>
    </row>
    <row r="3279" spans="29:33" x14ac:dyDescent="0.25">
      <c r="AC3279" s="12"/>
      <c r="AD3279" s="12"/>
      <c r="AF3279" s="12"/>
      <c r="AG3279" s="12"/>
    </row>
    <row r="3280" spans="29:33" x14ac:dyDescent="0.25">
      <c r="AC3280" s="12"/>
      <c r="AD3280" s="12"/>
      <c r="AF3280" s="12"/>
      <c r="AG3280" s="12"/>
    </row>
    <row r="3281" spans="29:33" x14ac:dyDescent="0.25">
      <c r="AC3281" s="12"/>
      <c r="AD3281" s="12"/>
      <c r="AF3281" s="12"/>
      <c r="AG3281" s="12"/>
    </row>
    <row r="3282" spans="29:33" x14ac:dyDescent="0.25">
      <c r="AC3282" s="12"/>
      <c r="AD3282" s="12"/>
      <c r="AF3282" s="12"/>
      <c r="AG3282" s="12"/>
    </row>
    <row r="3283" spans="29:33" x14ac:dyDescent="0.25">
      <c r="AC3283" s="12"/>
      <c r="AD3283" s="12"/>
      <c r="AF3283" s="12"/>
      <c r="AG3283" s="12"/>
    </row>
    <row r="3284" spans="29:33" x14ac:dyDescent="0.25">
      <c r="AC3284" s="12"/>
      <c r="AD3284" s="12"/>
      <c r="AF3284" s="12"/>
      <c r="AG3284" s="12"/>
    </row>
    <row r="3285" spans="29:33" x14ac:dyDescent="0.25">
      <c r="AC3285" s="12"/>
      <c r="AD3285" s="12"/>
      <c r="AF3285" s="12"/>
      <c r="AG3285" s="12"/>
    </row>
    <row r="3286" spans="29:33" x14ac:dyDescent="0.25">
      <c r="AC3286" s="12"/>
      <c r="AD3286" s="12"/>
      <c r="AF3286" s="12"/>
      <c r="AG3286" s="12"/>
    </row>
    <row r="3287" spans="29:33" x14ac:dyDescent="0.25">
      <c r="AC3287" s="12"/>
      <c r="AD3287" s="12"/>
      <c r="AF3287" s="12"/>
      <c r="AG3287" s="12"/>
    </row>
    <row r="3288" spans="29:33" x14ac:dyDescent="0.25">
      <c r="AC3288" s="12"/>
      <c r="AD3288" s="12"/>
      <c r="AF3288" s="12"/>
      <c r="AG3288" s="12"/>
    </row>
    <row r="3289" spans="29:33" x14ac:dyDescent="0.25">
      <c r="AC3289" s="12"/>
      <c r="AD3289" s="12"/>
      <c r="AF3289" s="12"/>
      <c r="AG3289" s="12"/>
    </row>
    <row r="3290" spans="29:33" x14ac:dyDescent="0.25">
      <c r="AC3290" s="12"/>
      <c r="AD3290" s="12"/>
      <c r="AF3290" s="12"/>
      <c r="AG3290" s="12"/>
    </row>
    <row r="3291" spans="29:33" x14ac:dyDescent="0.25">
      <c r="AC3291" s="12"/>
      <c r="AD3291" s="12"/>
      <c r="AF3291" s="12"/>
      <c r="AG3291" s="12"/>
    </row>
    <row r="3292" spans="29:33" x14ac:dyDescent="0.25">
      <c r="AC3292" s="12"/>
      <c r="AD3292" s="12"/>
      <c r="AF3292" s="12"/>
      <c r="AG3292" s="12"/>
    </row>
    <row r="3293" spans="29:33" x14ac:dyDescent="0.25">
      <c r="AC3293" s="12"/>
      <c r="AD3293" s="12"/>
      <c r="AF3293" s="12"/>
      <c r="AG3293" s="12"/>
    </row>
    <row r="3294" spans="29:33" x14ac:dyDescent="0.25">
      <c r="AC3294" s="12"/>
      <c r="AD3294" s="12"/>
      <c r="AF3294" s="12"/>
      <c r="AG3294" s="12"/>
    </row>
    <row r="3295" spans="29:33" x14ac:dyDescent="0.25">
      <c r="AC3295" s="12"/>
      <c r="AD3295" s="12"/>
      <c r="AF3295" s="12"/>
      <c r="AG3295" s="12"/>
    </row>
    <row r="3296" spans="29:33" x14ac:dyDescent="0.25">
      <c r="AC3296" s="12"/>
      <c r="AD3296" s="12"/>
      <c r="AF3296" s="12"/>
      <c r="AG3296" s="12"/>
    </row>
    <row r="3297" spans="29:33" x14ac:dyDescent="0.25">
      <c r="AC3297" s="12"/>
      <c r="AD3297" s="12"/>
      <c r="AF3297" s="12"/>
      <c r="AG3297" s="12"/>
    </row>
    <row r="3298" spans="29:33" x14ac:dyDescent="0.25">
      <c r="AC3298" s="12"/>
      <c r="AD3298" s="12"/>
      <c r="AF3298" s="12"/>
      <c r="AG3298" s="12"/>
    </row>
    <row r="3299" spans="29:33" x14ac:dyDescent="0.25">
      <c r="AC3299" s="12"/>
      <c r="AD3299" s="12"/>
      <c r="AF3299" s="12"/>
      <c r="AG3299" s="12"/>
    </row>
    <row r="3300" spans="29:33" x14ac:dyDescent="0.25">
      <c r="AC3300" s="12"/>
      <c r="AD3300" s="12"/>
      <c r="AF3300" s="12"/>
      <c r="AG3300" s="12"/>
    </row>
    <row r="3301" spans="29:33" x14ac:dyDescent="0.25">
      <c r="AC3301" s="12"/>
      <c r="AD3301" s="12"/>
      <c r="AF3301" s="12"/>
      <c r="AG3301" s="12"/>
    </row>
    <row r="3302" spans="29:33" x14ac:dyDescent="0.25">
      <c r="AC3302" s="12"/>
      <c r="AD3302" s="12"/>
      <c r="AF3302" s="12"/>
      <c r="AG3302" s="12"/>
    </row>
    <row r="3303" spans="29:33" x14ac:dyDescent="0.25">
      <c r="AC3303" s="12"/>
      <c r="AD3303" s="12"/>
      <c r="AF3303" s="12"/>
      <c r="AG3303" s="12"/>
    </row>
    <row r="3304" spans="29:33" x14ac:dyDescent="0.25">
      <c r="AC3304" s="12"/>
      <c r="AD3304" s="12"/>
      <c r="AF3304" s="12"/>
      <c r="AG3304" s="12"/>
    </row>
    <row r="3305" spans="29:33" x14ac:dyDescent="0.25">
      <c r="AC3305" s="12"/>
      <c r="AD3305" s="12"/>
      <c r="AF3305" s="12"/>
      <c r="AG3305" s="12"/>
    </row>
    <row r="3306" spans="29:33" x14ac:dyDescent="0.25">
      <c r="AC3306" s="12"/>
      <c r="AD3306" s="12"/>
      <c r="AF3306" s="12"/>
      <c r="AG3306" s="12"/>
    </row>
    <row r="3307" spans="29:33" x14ac:dyDescent="0.25">
      <c r="AC3307" s="12"/>
      <c r="AD3307" s="12"/>
      <c r="AF3307" s="12"/>
      <c r="AG3307" s="12"/>
    </row>
    <row r="3308" spans="29:33" x14ac:dyDescent="0.25">
      <c r="AC3308" s="12"/>
      <c r="AD3308" s="12"/>
      <c r="AF3308" s="12"/>
      <c r="AG3308" s="12"/>
    </row>
    <row r="3309" spans="29:33" x14ac:dyDescent="0.25">
      <c r="AC3309" s="12"/>
      <c r="AD3309" s="12"/>
      <c r="AF3309" s="12"/>
      <c r="AG3309" s="12"/>
    </row>
    <row r="3310" spans="29:33" x14ac:dyDescent="0.25">
      <c r="AC3310" s="12"/>
      <c r="AD3310" s="12"/>
      <c r="AF3310" s="12"/>
      <c r="AG3310" s="12"/>
    </row>
    <row r="3311" spans="29:33" x14ac:dyDescent="0.25">
      <c r="AC3311" s="12"/>
      <c r="AD3311" s="12"/>
      <c r="AF3311" s="12"/>
      <c r="AG3311" s="12"/>
    </row>
    <row r="3312" spans="29:33" x14ac:dyDescent="0.25">
      <c r="AC3312" s="12"/>
      <c r="AD3312" s="12"/>
      <c r="AF3312" s="12"/>
      <c r="AG3312" s="12"/>
    </row>
    <row r="3313" spans="29:33" x14ac:dyDescent="0.25">
      <c r="AC3313" s="12"/>
      <c r="AD3313" s="12"/>
      <c r="AF3313" s="12"/>
      <c r="AG3313" s="12"/>
    </row>
    <row r="3314" spans="29:33" x14ac:dyDescent="0.25">
      <c r="AC3314" s="12"/>
      <c r="AD3314" s="12"/>
      <c r="AF3314" s="12"/>
      <c r="AG3314" s="12"/>
    </row>
    <row r="3315" spans="29:33" x14ac:dyDescent="0.25">
      <c r="AC3315" s="12"/>
      <c r="AD3315" s="12"/>
      <c r="AF3315" s="12"/>
      <c r="AG3315" s="12"/>
    </row>
    <row r="3316" spans="29:33" x14ac:dyDescent="0.25">
      <c r="AC3316" s="12"/>
      <c r="AD3316" s="12"/>
      <c r="AF3316" s="12"/>
      <c r="AG3316" s="12"/>
    </row>
    <row r="3317" spans="29:33" x14ac:dyDescent="0.25">
      <c r="AC3317" s="12"/>
      <c r="AD3317" s="12"/>
      <c r="AF3317" s="12"/>
      <c r="AG3317" s="12"/>
    </row>
    <row r="3318" spans="29:33" x14ac:dyDescent="0.25">
      <c r="AC3318" s="12"/>
      <c r="AD3318" s="12"/>
      <c r="AF3318" s="12"/>
      <c r="AG3318" s="12"/>
    </row>
    <row r="3319" spans="29:33" x14ac:dyDescent="0.25">
      <c r="AC3319" s="12"/>
      <c r="AD3319" s="12"/>
      <c r="AF3319" s="12"/>
      <c r="AG3319" s="12"/>
    </row>
    <row r="3320" spans="29:33" x14ac:dyDescent="0.25">
      <c r="AC3320" s="12"/>
      <c r="AD3320" s="12"/>
      <c r="AF3320" s="12"/>
      <c r="AG3320" s="12"/>
    </row>
    <row r="3321" spans="29:33" x14ac:dyDescent="0.25">
      <c r="AC3321" s="12"/>
      <c r="AD3321" s="12"/>
      <c r="AF3321" s="12"/>
      <c r="AG3321" s="12"/>
    </row>
    <row r="3322" spans="29:33" x14ac:dyDescent="0.25">
      <c r="AC3322" s="12"/>
      <c r="AD3322" s="12"/>
      <c r="AF3322" s="12"/>
      <c r="AG3322" s="12"/>
    </row>
    <row r="3323" spans="29:33" x14ac:dyDescent="0.25">
      <c r="AC3323" s="12"/>
      <c r="AD3323" s="12"/>
      <c r="AF3323" s="12"/>
      <c r="AG3323" s="12"/>
    </row>
    <row r="3324" spans="29:33" x14ac:dyDescent="0.25">
      <c r="AC3324" s="12"/>
      <c r="AD3324" s="12"/>
      <c r="AF3324" s="12"/>
      <c r="AG3324" s="12"/>
    </row>
    <row r="3325" spans="29:33" x14ac:dyDescent="0.25">
      <c r="AC3325" s="12"/>
      <c r="AD3325" s="12"/>
      <c r="AF3325" s="12"/>
      <c r="AG3325" s="12"/>
    </row>
    <row r="3326" spans="29:33" x14ac:dyDescent="0.25">
      <c r="AC3326" s="12"/>
      <c r="AD3326" s="12"/>
      <c r="AF3326" s="12"/>
      <c r="AG3326" s="12"/>
    </row>
    <row r="3327" spans="29:33" x14ac:dyDescent="0.25">
      <c r="AC3327" s="12"/>
      <c r="AD3327" s="12"/>
      <c r="AF3327" s="12"/>
      <c r="AG3327" s="12"/>
    </row>
    <row r="3328" spans="29:33" x14ac:dyDescent="0.25">
      <c r="AC3328" s="12"/>
      <c r="AD3328" s="12"/>
      <c r="AF3328" s="12"/>
      <c r="AG3328" s="12"/>
    </row>
    <row r="3329" spans="29:33" x14ac:dyDescent="0.25">
      <c r="AC3329" s="12"/>
      <c r="AD3329" s="12"/>
      <c r="AF3329" s="12"/>
      <c r="AG3329" s="12"/>
    </row>
    <row r="3330" spans="29:33" x14ac:dyDescent="0.25">
      <c r="AC3330" s="12"/>
      <c r="AD3330" s="12"/>
      <c r="AF3330" s="12"/>
      <c r="AG3330" s="12"/>
    </row>
    <row r="3331" spans="29:33" x14ac:dyDescent="0.25">
      <c r="AC3331" s="12"/>
      <c r="AD3331" s="12"/>
      <c r="AF3331" s="12"/>
      <c r="AG3331" s="12"/>
    </row>
    <row r="3332" spans="29:33" x14ac:dyDescent="0.25">
      <c r="AC3332" s="12"/>
      <c r="AD3332" s="12"/>
      <c r="AF3332" s="12"/>
      <c r="AG3332" s="12"/>
    </row>
    <row r="3333" spans="29:33" x14ac:dyDescent="0.25">
      <c r="AC3333" s="12"/>
      <c r="AD3333" s="12"/>
      <c r="AF3333" s="12"/>
      <c r="AG3333" s="12"/>
    </row>
    <row r="3334" spans="29:33" x14ac:dyDescent="0.25">
      <c r="AC3334" s="12"/>
      <c r="AD3334" s="12"/>
      <c r="AF3334" s="12"/>
      <c r="AG3334" s="12"/>
    </row>
    <row r="3335" spans="29:33" x14ac:dyDescent="0.25">
      <c r="AC3335" s="12"/>
      <c r="AD3335" s="12"/>
      <c r="AF3335" s="12"/>
      <c r="AG3335" s="12"/>
    </row>
    <row r="3336" spans="29:33" x14ac:dyDescent="0.25">
      <c r="AC3336" s="12"/>
      <c r="AD3336" s="12"/>
      <c r="AF3336" s="12"/>
      <c r="AG3336" s="12"/>
    </row>
    <row r="3337" spans="29:33" x14ac:dyDescent="0.25">
      <c r="AC3337" s="12"/>
      <c r="AD3337" s="12"/>
      <c r="AF3337" s="12"/>
      <c r="AG3337" s="12"/>
    </row>
    <row r="3338" spans="29:33" x14ac:dyDescent="0.25">
      <c r="AC3338" s="12"/>
      <c r="AD3338" s="12"/>
      <c r="AF3338" s="12"/>
      <c r="AG3338" s="12"/>
    </row>
    <row r="3339" spans="29:33" x14ac:dyDescent="0.25">
      <c r="AC3339" s="12"/>
      <c r="AD3339" s="12"/>
      <c r="AF3339" s="12"/>
      <c r="AG3339" s="12"/>
    </row>
    <row r="3340" spans="29:33" x14ac:dyDescent="0.25">
      <c r="AC3340" s="12"/>
      <c r="AD3340" s="12"/>
      <c r="AF3340" s="12"/>
      <c r="AG3340" s="12"/>
    </row>
    <row r="3341" spans="29:33" x14ac:dyDescent="0.25">
      <c r="AC3341" s="12"/>
      <c r="AD3341" s="12"/>
      <c r="AF3341" s="12"/>
      <c r="AG3341" s="12"/>
    </row>
    <row r="3342" spans="29:33" x14ac:dyDescent="0.25">
      <c r="AC3342" s="12"/>
      <c r="AD3342" s="12"/>
      <c r="AF3342" s="12"/>
      <c r="AG3342" s="12"/>
    </row>
    <row r="3343" spans="29:33" x14ac:dyDescent="0.25">
      <c r="AC3343" s="12"/>
      <c r="AD3343" s="12"/>
      <c r="AF3343" s="12"/>
      <c r="AG3343" s="12"/>
    </row>
    <row r="3344" spans="29:33" x14ac:dyDescent="0.25">
      <c r="AC3344" s="12"/>
      <c r="AD3344" s="12"/>
      <c r="AF3344" s="12"/>
      <c r="AG3344" s="12"/>
    </row>
    <row r="3345" spans="29:33" x14ac:dyDescent="0.25">
      <c r="AC3345" s="12"/>
      <c r="AD3345" s="12"/>
      <c r="AF3345" s="12"/>
      <c r="AG3345" s="12"/>
    </row>
    <row r="3346" spans="29:33" x14ac:dyDescent="0.25">
      <c r="AC3346" s="12"/>
      <c r="AD3346" s="12"/>
      <c r="AF3346" s="12"/>
      <c r="AG3346" s="12"/>
    </row>
    <row r="3347" spans="29:33" x14ac:dyDescent="0.25">
      <c r="AC3347" s="12"/>
      <c r="AD3347" s="12"/>
      <c r="AF3347" s="12"/>
      <c r="AG3347" s="12"/>
    </row>
    <row r="3348" spans="29:33" x14ac:dyDescent="0.25">
      <c r="AC3348" s="12"/>
      <c r="AD3348" s="12"/>
      <c r="AF3348" s="12"/>
      <c r="AG3348" s="12"/>
    </row>
    <row r="3349" spans="29:33" x14ac:dyDescent="0.25">
      <c r="AC3349" s="12"/>
      <c r="AD3349" s="12"/>
      <c r="AF3349" s="12"/>
      <c r="AG3349" s="12"/>
    </row>
    <row r="3350" spans="29:33" x14ac:dyDescent="0.25">
      <c r="AC3350" s="12"/>
      <c r="AD3350" s="12"/>
      <c r="AF3350" s="12"/>
      <c r="AG3350" s="12"/>
    </row>
    <row r="3351" spans="29:33" x14ac:dyDescent="0.25">
      <c r="AC3351" s="12"/>
      <c r="AD3351" s="12"/>
      <c r="AF3351" s="12"/>
      <c r="AG3351" s="12"/>
    </row>
    <row r="3352" spans="29:33" x14ac:dyDescent="0.25">
      <c r="AC3352" s="12"/>
      <c r="AD3352" s="12"/>
      <c r="AF3352" s="12"/>
      <c r="AG3352" s="12"/>
    </row>
    <row r="3353" spans="29:33" x14ac:dyDescent="0.25">
      <c r="AC3353" s="12"/>
      <c r="AD3353" s="12"/>
      <c r="AF3353" s="12"/>
      <c r="AG3353" s="12"/>
    </row>
    <row r="3354" spans="29:33" x14ac:dyDescent="0.25">
      <c r="AC3354" s="12"/>
      <c r="AD3354" s="12"/>
      <c r="AF3354" s="12"/>
      <c r="AG3354" s="12"/>
    </row>
    <row r="3355" spans="29:33" x14ac:dyDescent="0.25">
      <c r="AC3355" s="12"/>
      <c r="AD3355" s="12"/>
      <c r="AF3355" s="12"/>
      <c r="AG3355" s="12"/>
    </row>
    <row r="3356" spans="29:33" x14ac:dyDescent="0.25">
      <c r="AC3356" s="12"/>
      <c r="AD3356" s="12"/>
      <c r="AF3356" s="12"/>
      <c r="AG3356" s="12"/>
    </row>
    <row r="3357" spans="29:33" x14ac:dyDescent="0.25">
      <c r="AC3357" s="12"/>
      <c r="AD3357" s="12"/>
      <c r="AF3357" s="12"/>
      <c r="AG3357" s="12"/>
    </row>
    <row r="3358" spans="29:33" x14ac:dyDescent="0.25">
      <c r="AC3358" s="12"/>
      <c r="AD3358" s="12"/>
      <c r="AF3358" s="12"/>
      <c r="AG3358" s="12"/>
    </row>
    <row r="3359" spans="29:33" x14ac:dyDescent="0.25">
      <c r="AC3359" s="12"/>
      <c r="AD3359" s="12"/>
      <c r="AF3359" s="12"/>
      <c r="AG3359" s="12"/>
    </row>
    <row r="3360" spans="29:33" x14ac:dyDescent="0.25">
      <c r="AC3360" s="12"/>
      <c r="AD3360" s="12"/>
      <c r="AF3360" s="12"/>
      <c r="AG3360" s="12"/>
    </row>
    <row r="3361" spans="29:33" x14ac:dyDescent="0.25">
      <c r="AC3361" s="12"/>
      <c r="AD3361" s="12"/>
      <c r="AF3361" s="12"/>
      <c r="AG3361" s="12"/>
    </row>
    <row r="3362" spans="29:33" x14ac:dyDescent="0.25">
      <c r="AC3362" s="12"/>
      <c r="AD3362" s="12"/>
      <c r="AF3362" s="12"/>
      <c r="AG3362" s="12"/>
    </row>
    <row r="3363" spans="29:33" x14ac:dyDescent="0.25">
      <c r="AC3363" s="12"/>
      <c r="AD3363" s="12"/>
      <c r="AF3363" s="12"/>
      <c r="AG3363" s="12"/>
    </row>
    <row r="3364" spans="29:33" x14ac:dyDescent="0.25">
      <c r="AC3364" s="12"/>
      <c r="AD3364" s="12"/>
      <c r="AF3364" s="12"/>
      <c r="AG3364" s="12"/>
    </row>
    <row r="3365" spans="29:33" x14ac:dyDescent="0.25">
      <c r="AC3365" s="12"/>
      <c r="AD3365" s="12"/>
      <c r="AF3365" s="12"/>
      <c r="AG3365" s="12"/>
    </row>
    <row r="3366" spans="29:33" x14ac:dyDescent="0.25">
      <c r="AC3366" s="12"/>
      <c r="AD3366" s="12"/>
      <c r="AF3366" s="12"/>
      <c r="AG3366" s="12"/>
    </row>
    <row r="3367" spans="29:33" x14ac:dyDescent="0.25">
      <c r="AC3367" s="12"/>
      <c r="AD3367" s="12"/>
      <c r="AF3367" s="12"/>
      <c r="AG3367" s="12"/>
    </row>
    <row r="3368" spans="29:33" x14ac:dyDescent="0.25">
      <c r="AC3368" s="12"/>
      <c r="AD3368" s="12"/>
      <c r="AF3368" s="12"/>
      <c r="AG3368" s="12"/>
    </row>
    <row r="3369" spans="29:33" x14ac:dyDescent="0.25">
      <c r="AC3369" s="12"/>
      <c r="AD3369" s="12"/>
      <c r="AF3369" s="12"/>
      <c r="AG3369" s="12"/>
    </row>
    <row r="3370" spans="29:33" x14ac:dyDescent="0.25">
      <c r="AC3370" s="12"/>
      <c r="AD3370" s="12"/>
      <c r="AF3370" s="12"/>
      <c r="AG3370" s="12"/>
    </row>
    <row r="3371" spans="29:33" x14ac:dyDescent="0.25">
      <c r="AC3371" s="12"/>
      <c r="AD3371" s="12"/>
      <c r="AF3371" s="12"/>
      <c r="AG3371" s="12"/>
    </row>
    <row r="3372" spans="29:33" x14ac:dyDescent="0.25">
      <c r="AC3372" s="12"/>
      <c r="AD3372" s="12"/>
      <c r="AF3372" s="12"/>
      <c r="AG3372" s="12"/>
    </row>
    <row r="3373" spans="29:33" x14ac:dyDescent="0.25">
      <c r="AC3373" s="12"/>
      <c r="AD3373" s="12"/>
      <c r="AF3373" s="12"/>
      <c r="AG3373" s="12"/>
    </row>
    <row r="3374" spans="29:33" x14ac:dyDescent="0.25">
      <c r="AC3374" s="12"/>
      <c r="AD3374" s="12"/>
      <c r="AF3374" s="12"/>
      <c r="AG3374" s="12"/>
    </row>
    <row r="3375" spans="29:33" x14ac:dyDescent="0.25">
      <c r="AC3375" s="12"/>
      <c r="AD3375" s="12"/>
      <c r="AF3375" s="12"/>
      <c r="AG3375" s="12"/>
    </row>
    <row r="3376" spans="29:33" x14ac:dyDescent="0.25">
      <c r="AC3376" s="12"/>
      <c r="AD3376" s="12"/>
      <c r="AF3376" s="12"/>
      <c r="AG3376" s="12"/>
    </row>
    <row r="3377" spans="29:33" x14ac:dyDescent="0.25">
      <c r="AC3377" s="12"/>
      <c r="AD3377" s="12"/>
      <c r="AF3377" s="12"/>
      <c r="AG3377" s="12"/>
    </row>
    <row r="3378" spans="29:33" x14ac:dyDescent="0.25">
      <c r="AC3378" s="12"/>
      <c r="AD3378" s="12"/>
      <c r="AF3378" s="12"/>
      <c r="AG3378" s="12"/>
    </row>
    <row r="3379" spans="29:33" x14ac:dyDescent="0.25">
      <c r="AC3379" s="12"/>
      <c r="AD3379" s="12"/>
      <c r="AF3379" s="12"/>
      <c r="AG3379" s="12"/>
    </row>
    <row r="3380" spans="29:33" x14ac:dyDescent="0.25">
      <c r="AC3380" s="12"/>
      <c r="AD3380" s="12"/>
      <c r="AF3380" s="12"/>
      <c r="AG3380" s="12"/>
    </row>
    <row r="3381" spans="29:33" x14ac:dyDescent="0.25">
      <c r="AC3381" s="12"/>
      <c r="AD3381" s="12"/>
      <c r="AF3381" s="12"/>
      <c r="AG3381" s="12"/>
    </row>
    <row r="3382" spans="29:33" x14ac:dyDescent="0.25">
      <c r="AC3382" s="12"/>
      <c r="AD3382" s="12"/>
      <c r="AF3382" s="12"/>
      <c r="AG3382" s="12"/>
    </row>
    <row r="3383" spans="29:33" x14ac:dyDescent="0.25">
      <c r="AC3383" s="12"/>
      <c r="AD3383" s="12"/>
      <c r="AF3383" s="12"/>
      <c r="AG3383" s="12"/>
    </row>
    <row r="3384" spans="29:33" x14ac:dyDescent="0.25">
      <c r="AC3384" s="12"/>
      <c r="AD3384" s="12"/>
      <c r="AF3384" s="12"/>
      <c r="AG3384" s="12"/>
    </row>
    <row r="3385" spans="29:33" x14ac:dyDescent="0.25">
      <c r="AC3385" s="12"/>
      <c r="AD3385" s="12"/>
      <c r="AF3385" s="12"/>
      <c r="AG3385" s="12"/>
    </row>
    <row r="3386" spans="29:33" x14ac:dyDescent="0.25">
      <c r="AC3386" s="12"/>
      <c r="AD3386" s="12"/>
      <c r="AF3386" s="12"/>
      <c r="AG3386" s="12"/>
    </row>
    <row r="3387" spans="29:33" x14ac:dyDescent="0.25">
      <c r="AC3387" s="12"/>
      <c r="AD3387" s="12"/>
      <c r="AF3387" s="12"/>
      <c r="AG3387" s="12"/>
    </row>
    <row r="3388" spans="29:33" x14ac:dyDescent="0.25">
      <c r="AC3388" s="12"/>
      <c r="AD3388" s="12"/>
      <c r="AF3388" s="12"/>
      <c r="AG3388" s="12"/>
    </row>
    <row r="3389" spans="29:33" x14ac:dyDescent="0.25">
      <c r="AC3389" s="12"/>
      <c r="AD3389" s="12"/>
      <c r="AF3389" s="12"/>
      <c r="AG3389" s="12"/>
    </row>
    <row r="3390" spans="29:33" x14ac:dyDescent="0.25">
      <c r="AC3390" s="12"/>
      <c r="AD3390" s="12"/>
      <c r="AF3390" s="12"/>
      <c r="AG3390" s="12"/>
    </row>
    <row r="3391" spans="29:33" x14ac:dyDescent="0.25">
      <c r="AC3391" s="12"/>
      <c r="AD3391" s="12"/>
      <c r="AF3391" s="12"/>
      <c r="AG3391" s="12"/>
    </row>
    <row r="3392" spans="29:33" x14ac:dyDescent="0.25">
      <c r="AC3392" s="12"/>
      <c r="AD3392" s="12"/>
      <c r="AF3392" s="12"/>
      <c r="AG3392" s="12"/>
    </row>
    <row r="3393" spans="29:33" x14ac:dyDescent="0.25">
      <c r="AC3393" s="12"/>
      <c r="AD3393" s="12"/>
      <c r="AF3393" s="12"/>
      <c r="AG3393" s="12"/>
    </row>
    <row r="3394" spans="29:33" x14ac:dyDescent="0.25">
      <c r="AC3394" s="12"/>
      <c r="AD3394" s="12"/>
      <c r="AF3394" s="12"/>
      <c r="AG3394" s="12"/>
    </row>
    <row r="3395" spans="29:33" x14ac:dyDescent="0.25">
      <c r="AC3395" s="12"/>
      <c r="AD3395" s="12"/>
      <c r="AF3395" s="12"/>
      <c r="AG3395" s="12"/>
    </row>
    <row r="3396" spans="29:33" x14ac:dyDescent="0.25">
      <c r="AC3396" s="12"/>
      <c r="AD3396" s="12"/>
      <c r="AF3396" s="12"/>
      <c r="AG3396" s="12"/>
    </row>
    <row r="3397" spans="29:33" x14ac:dyDescent="0.25">
      <c r="AC3397" s="12"/>
      <c r="AD3397" s="12"/>
      <c r="AF3397" s="12"/>
      <c r="AG3397" s="12"/>
    </row>
    <row r="3398" spans="29:33" x14ac:dyDescent="0.25">
      <c r="AC3398" s="12"/>
      <c r="AD3398" s="12"/>
      <c r="AF3398" s="12"/>
      <c r="AG3398" s="12"/>
    </row>
    <row r="3399" spans="29:33" x14ac:dyDescent="0.25">
      <c r="AC3399" s="12"/>
      <c r="AD3399" s="12"/>
      <c r="AF3399" s="12"/>
      <c r="AG3399" s="12"/>
    </row>
    <row r="3400" spans="29:33" x14ac:dyDescent="0.25">
      <c r="AC3400" s="12"/>
      <c r="AD3400" s="12"/>
      <c r="AF3400" s="12"/>
      <c r="AG3400" s="12"/>
    </row>
    <row r="3401" spans="29:33" x14ac:dyDescent="0.25">
      <c r="AC3401" s="12"/>
      <c r="AD3401" s="12"/>
      <c r="AF3401" s="12"/>
      <c r="AG3401" s="12"/>
    </row>
    <row r="3402" spans="29:33" x14ac:dyDescent="0.25">
      <c r="AC3402" s="12"/>
      <c r="AD3402" s="12"/>
      <c r="AF3402" s="12"/>
      <c r="AG3402" s="12"/>
    </row>
    <row r="3403" spans="29:33" x14ac:dyDescent="0.25">
      <c r="AC3403" s="12"/>
      <c r="AD3403" s="12"/>
      <c r="AF3403" s="12"/>
      <c r="AG3403" s="12"/>
    </row>
    <row r="3404" spans="29:33" x14ac:dyDescent="0.25">
      <c r="AC3404" s="12"/>
      <c r="AD3404" s="12"/>
      <c r="AF3404" s="12"/>
      <c r="AG3404" s="12"/>
    </row>
    <row r="3405" spans="29:33" x14ac:dyDescent="0.25">
      <c r="AC3405" s="12"/>
      <c r="AD3405" s="12"/>
      <c r="AF3405" s="12"/>
      <c r="AG3405" s="12"/>
    </row>
    <row r="3406" spans="29:33" x14ac:dyDescent="0.25">
      <c r="AC3406" s="12"/>
      <c r="AD3406" s="12"/>
      <c r="AF3406" s="12"/>
      <c r="AG3406" s="12"/>
    </row>
    <row r="3407" spans="29:33" x14ac:dyDescent="0.25">
      <c r="AC3407" s="12"/>
      <c r="AD3407" s="12"/>
      <c r="AF3407" s="12"/>
      <c r="AG3407" s="12"/>
    </row>
    <row r="3408" spans="29:33" x14ac:dyDescent="0.25">
      <c r="AC3408" s="12"/>
      <c r="AD3408" s="12"/>
      <c r="AF3408" s="12"/>
      <c r="AG3408" s="12"/>
    </row>
    <row r="3409" spans="29:33" x14ac:dyDescent="0.25">
      <c r="AC3409" s="12"/>
      <c r="AD3409" s="12"/>
      <c r="AF3409" s="12"/>
      <c r="AG3409" s="12"/>
    </row>
    <row r="3410" spans="29:33" x14ac:dyDescent="0.25">
      <c r="AC3410" s="12"/>
      <c r="AD3410" s="12"/>
      <c r="AF3410" s="12"/>
      <c r="AG3410" s="12"/>
    </row>
    <row r="3411" spans="29:33" x14ac:dyDescent="0.25">
      <c r="AC3411" s="12"/>
      <c r="AD3411" s="12"/>
      <c r="AF3411" s="12"/>
      <c r="AG3411" s="12"/>
    </row>
    <row r="3412" spans="29:33" x14ac:dyDescent="0.25">
      <c r="AC3412" s="12"/>
      <c r="AD3412" s="12"/>
      <c r="AF3412" s="12"/>
      <c r="AG3412" s="12"/>
    </row>
    <row r="3413" spans="29:33" x14ac:dyDescent="0.25">
      <c r="AC3413" s="12"/>
      <c r="AD3413" s="12"/>
      <c r="AF3413" s="12"/>
      <c r="AG3413" s="12"/>
    </row>
    <row r="3414" spans="29:33" x14ac:dyDescent="0.25">
      <c r="AC3414" s="12"/>
      <c r="AD3414" s="12"/>
      <c r="AF3414" s="12"/>
      <c r="AG3414" s="12"/>
    </row>
    <row r="3415" spans="29:33" x14ac:dyDescent="0.25">
      <c r="AC3415" s="12"/>
      <c r="AD3415" s="12"/>
      <c r="AF3415" s="12"/>
      <c r="AG3415" s="12"/>
    </row>
    <row r="3416" spans="29:33" x14ac:dyDescent="0.25">
      <c r="AC3416" s="12"/>
      <c r="AD3416" s="12"/>
      <c r="AF3416" s="12"/>
      <c r="AG3416" s="12"/>
    </row>
    <row r="3417" spans="29:33" x14ac:dyDescent="0.25">
      <c r="AC3417" s="12"/>
      <c r="AD3417" s="12"/>
      <c r="AF3417" s="12"/>
      <c r="AG3417" s="12"/>
    </row>
    <row r="3418" spans="29:33" x14ac:dyDescent="0.25">
      <c r="AC3418" s="12"/>
      <c r="AD3418" s="12"/>
      <c r="AF3418" s="12"/>
      <c r="AG3418" s="12"/>
    </row>
    <row r="3419" spans="29:33" x14ac:dyDescent="0.25">
      <c r="AC3419" s="12"/>
      <c r="AD3419" s="12"/>
      <c r="AF3419" s="12"/>
      <c r="AG3419" s="12"/>
    </row>
    <row r="3420" spans="29:33" x14ac:dyDescent="0.25">
      <c r="AC3420" s="12"/>
      <c r="AD3420" s="12"/>
      <c r="AF3420" s="12"/>
      <c r="AG3420" s="12"/>
    </row>
    <row r="3421" spans="29:33" x14ac:dyDescent="0.25">
      <c r="AC3421" s="12"/>
      <c r="AD3421" s="12"/>
      <c r="AF3421" s="12"/>
      <c r="AG3421" s="12"/>
    </row>
    <row r="3422" spans="29:33" x14ac:dyDescent="0.25">
      <c r="AC3422" s="12"/>
      <c r="AD3422" s="12"/>
      <c r="AF3422" s="12"/>
      <c r="AG3422" s="12"/>
    </row>
    <row r="3423" spans="29:33" x14ac:dyDescent="0.25">
      <c r="AC3423" s="12"/>
      <c r="AD3423" s="12"/>
      <c r="AF3423" s="12"/>
      <c r="AG3423" s="12"/>
    </row>
    <row r="3424" spans="29:33" x14ac:dyDescent="0.25">
      <c r="AC3424" s="12"/>
      <c r="AD3424" s="12"/>
      <c r="AF3424" s="12"/>
      <c r="AG3424" s="12"/>
    </row>
    <row r="3425" spans="29:33" x14ac:dyDescent="0.25">
      <c r="AC3425" s="12"/>
      <c r="AD3425" s="12"/>
      <c r="AF3425" s="12"/>
      <c r="AG3425" s="12"/>
    </row>
    <row r="3426" spans="29:33" x14ac:dyDescent="0.25">
      <c r="AC3426" s="12"/>
      <c r="AD3426" s="12"/>
      <c r="AF3426" s="12"/>
      <c r="AG3426" s="12"/>
    </row>
    <row r="3427" spans="29:33" x14ac:dyDescent="0.25">
      <c r="AC3427" s="12"/>
      <c r="AD3427" s="12"/>
      <c r="AF3427" s="12"/>
      <c r="AG3427" s="12"/>
    </row>
    <row r="3428" spans="29:33" x14ac:dyDescent="0.25">
      <c r="AC3428" s="12"/>
      <c r="AD3428" s="12"/>
      <c r="AF3428" s="12"/>
      <c r="AG3428" s="12"/>
    </row>
    <row r="3429" spans="29:33" x14ac:dyDescent="0.25">
      <c r="AC3429" s="12"/>
      <c r="AD3429" s="12"/>
      <c r="AF3429" s="12"/>
      <c r="AG3429" s="12"/>
    </row>
    <row r="3430" spans="29:33" x14ac:dyDescent="0.25">
      <c r="AC3430" s="12"/>
      <c r="AD3430" s="12"/>
      <c r="AF3430" s="12"/>
      <c r="AG3430" s="12"/>
    </row>
    <row r="3431" spans="29:33" x14ac:dyDescent="0.25">
      <c r="AC3431" s="12"/>
      <c r="AD3431" s="12"/>
      <c r="AF3431" s="12"/>
      <c r="AG3431" s="12"/>
    </row>
    <row r="3432" spans="29:33" x14ac:dyDescent="0.25">
      <c r="AC3432" s="12"/>
      <c r="AD3432" s="12"/>
      <c r="AF3432" s="12"/>
      <c r="AG3432" s="12"/>
    </row>
    <row r="3433" spans="29:33" x14ac:dyDescent="0.25">
      <c r="AC3433" s="12"/>
      <c r="AD3433" s="12"/>
      <c r="AF3433" s="12"/>
      <c r="AG3433" s="12"/>
    </row>
    <row r="3434" spans="29:33" x14ac:dyDescent="0.25">
      <c r="AC3434" s="12"/>
      <c r="AD3434" s="12"/>
      <c r="AF3434" s="12"/>
      <c r="AG3434" s="12"/>
    </row>
    <row r="3435" spans="29:33" x14ac:dyDescent="0.25">
      <c r="AC3435" s="12"/>
      <c r="AD3435" s="12"/>
      <c r="AF3435" s="12"/>
      <c r="AG3435" s="12"/>
    </row>
    <row r="3436" spans="29:33" x14ac:dyDescent="0.25">
      <c r="AC3436" s="12"/>
      <c r="AD3436" s="12"/>
      <c r="AF3436" s="12"/>
      <c r="AG3436" s="12"/>
    </row>
    <row r="3437" spans="29:33" x14ac:dyDescent="0.25">
      <c r="AC3437" s="12"/>
      <c r="AD3437" s="12"/>
      <c r="AF3437" s="12"/>
      <c r="AG3437" s="12"/>
    </row>
    <row r="3438" spans="29:33" x14ac:dyDescent="0.25">
      <c r="AC3438" s="12"/>
      <c r="AD3438" s="12"/>
      <c r="AF3438" s="12"/>
      <c r="AG3438" s="12"/>
    </row>
    <row r="3439" spans="29:33" x14ac:dyDescent="0.25">
      <c r="AC3439" s="12"/>
      <c r="AD3439" s="12"/>
      <c r="AF3439" s="12"/>
      <c r="AG3439" s="12"/>
    </row>
    <row r="3440" spans="29:33" x14ac:dyDescent="0.25">
      <c r="AC3440" s="12"/>
      <c r="AD3440" s="12"/>
      <c r="AF3440" s="12"/>
      <c r="AG3440" s="12"/>
    </row>
    <row r="3441" spans="29:33" x14ac:dyDescent="0.25">
      <c r="AC3441" s="12"/>
      <c r="AD3441" s="12"/>
      <c r="AF3441" s="12"/>
      <c r="AG3441" s="12"/>
    </row>
    <row r="3442" spans="29:33" x14ac:dyDescent="0.25">
      <c r="AC3442" s="12"/>
      <c r="AD3442" s="12"/>
      <c r="AF3442" s="12"/>
      <c r="AG3442" s="12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2" tint="-0.499984740745262"/>
  </sheetPr>
  <dimension ref="A1"/>
  <sheetViews>
    <sheetView workbookViewId="0">
      <selection activeCell="F33" sqref="F33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ReadMe</vt:lpstr>
      <vt:lpstr>&gt;&gt; City Data</vt:lpstr>
      <vt:lpstr>City characteristics</vt:lpstr>
      <vt:lpstr>&gt;&gt; GC_NewTech</vt:lpstr>
      <vt:lpstr>RET TECH</vt:lpstr>
      <vt:lpstr>Demand</vt:lpstr>
      <vt:lpstr>&gt;&gt; TIMES</vt:lpstr>
      <vt:lpstr>Def_Tech</vt:lpstr>
      <vt:lpstr>Def_Comm</vt:lpstr>
      <vt:lpstr>TECH RET</vt:lpstr>
      <vt:lpstr>&gt;&gt; Parameters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esmia</dc:creator>
  <cp:lastModifiedBy>Carroll, Zane</cp:lastModifiedBy>
  <dcterms:created xsi:type="dcterms:W3CDTF">2015-06-05T18:17:20Z</dcterms:created>
  <dcterms:modified xsi:type="dcterms:W3CDTF">2025-04-08T18:32:17Z</dcterms:modified>
</cp:coreProperties>
</file>
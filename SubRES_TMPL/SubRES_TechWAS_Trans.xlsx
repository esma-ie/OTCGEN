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Veda\Veda_models\COMET_Generative_NYC\SubRES_TMPL\"/>
    </mc:Choice>
  </mc:AlternateContent>
  <xr:revisionPtr revIDLastSave="0" documentId="13_ncr:1_{CC4DE9EF-947C-4580-B72E-3A5BAB8F4841}" xr6:coauthVersionLast="47" xr6:coauthVersionMax="47" xr10:uidLastSave="{00000000-0000-0000-0000-000000000000}"/>
  <bookViews>
    <workbookView xWindow="-120" yWindow="-120" windowWidth="25440" windowHeight="15270" firstSheet="3" activeTab="4" xr2:uid="{00000000-000D-0000-FFFF-FFFF00000000}"/>
  </bookViews>
  <sheets>
    <sheet name="ReadMe" sheetId="1" r:id="rId1"/>
    <sheet name="&gt;&gt; City Data" sheetId="2" r:id="rId2"/>
    <sheet name="City characteristics" sheetId="3" r:id="rId3"/>
    <sheet name="&gt;&gt; GC_NewTech" sheetId="4" r:id="rId4"/>
    <sheet name="WAS TECH" sheetId="5" r:id="rId5"/>
    <sheet name="&gt;&gt; TIMES" sheetId="6" r:id="rId6"/>
    <sheet name="Tech_availability" sheetId="7" r:id="rId7"/>
  </sheets>
  <definedNames>
    <definedName name="_Fill" localSheetId="2" hidden="1">#REF!</definedName>
    <definedName name="_Fill" hidden="1">#REF!</definedName>
    <definedName name="_Order1" hidden="1">0</definedName>
    <definedName name="_Order2" hidden="1">0</definedName>
    <definedName name="_Sort" localSheetId="2" hidden="1">#REF!</definedName>
    <definedName name="_Sort" hidden="1">#REF!</definedName>
    <definedName name="anscount" hidden="1">1</definedName>
    <definedName name="CBWorkbookPriority" hidden="1">-1587101571</definedName>
    <definedName name="sencount" hidden="1">2</definedName>
    <definedName name="wrn.com_msw." localSheetId="2" hidden="1">{"com_msw",#N/A,FALSE,"Common"}</definedName>
    <definedName name="wrn.com_msw." hidden="1">{"com_msw",#N/A,FALSE,"Common"}</definedName>
    <definedName name="wrn.msw_1." localSheetId="2" hidden="1">{"msw_1",#N/A,FALSE,"Common"}</definedName>
    <definedName name="wrn.msw_1." hidden="1">{"msw_1",#N/A,FALSE,"Common"}</definedName>
    <definedName name="wrn.msw_2." localSheetId="2" hidden="1">{"msw_2",#N/A,FALSE,"Common"}</definedName>
    <definedName name="wrn.msw_2." hidden="1">{"msw_2",#N/A,FALSE,"Common"}</definedName>
    <definedName name="wrn.NATIONAL._.GRID." localSheetId="2" hidden="1">{"NATIONAL GRID",#N/A,FALSE,"Sheet1"}</definedName>
    <definedName name="wrn.NATIONAL._.GRID." hidden="1">{"NATIONAL GRID",#N/A,FALSE,"Sheet1"}</definedName>
    <definedName name="wrn.regional._.grid." localSheetId="2" hidden="1">{"regional grid",#N/A,FALSE,"Sheet1"}</definedName>
    <definedName name="wrn.regional._.grid." hidden="1">{"regional grid",#N/A,FALSE,"Sheet1"}</definedName>
    <definedName name="wrn.res_mf_msw." localSheetId="2" hidden="1">{"res_mf_mssw",#N/A,FALSE,"Common"}</definedName>
    <definedName name="wrn.res_mf_msw." hidden="1">{"res_mf_mssw",#N/A,FALSE,"Common"}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3" i="7" l="1" a="1"/>
  <c r="C68" i="7" s="1"/>
  <c r="G68" i="7" s="1"/>
  <c r="C45" i="7" a="1"/>
  <c r="C52" i="7" s="1"/>
  <c r="G52" i="7" s="1"/>
  <c r="C5" i="7" a="1"/>
  <c r="C34" i="7" s="1"/>
  <c r="G34" i="7" s="1"/>
  <c r="C5" i="7" l="1"/>
  <c r="G5" i="7" s="1"/>
  <c r="C28" i="7"/>
  <c r="G28" i="7" s="1"/>
  <c r="C47" i="7"/>
  <c r="G47" i="7" s="1"/>
  <c r="C62" i="7"/>
  <c r="G62" i="7" s="1"/>
  <c r="C17" i="7"/>
  <c r="G17" i="7" s="1"/>
  <c r="C63" i="7"/>
  <c r="G63" i="7" s="1"/>
  <c r="C6" i="7"/>
  <c r="G6" i="7" s="1"/>
  <c r="C64" i="7"/>
  <c r="G64" i="7" s="1"/>
  <c r="C7" i="7"/>
  <c r="G7" i="7" s="1"/>
  <c r="C31" i="7"/>
  <c r="G31" i="7" s="1"/>
  <c r="C50" i="7"/>
  <c r="G50" i="7" s="1"/>
  <c r="C8" i="7"/>
  <c r="G8" i="7" s="1"/>
  <c r="C32" i="7"/>
  <c r="G32" i="7" s="1"/>
  <c r="C11" i="7"/>
  <c r="G11" i="7" s="1"/>
  <c r="C23" i="7"/>
  <c r="G23" i="7" s="1"/>
  <c r="C35" i="7"/>
  <c r="G35" i="7" s="1"/>
  <c r="C57" i="7"/>
  <c r="G57" i="7" s="1"/>
  <c r="C69" i="7"/>
  <c r="G69" i="7" s="1"/>
  <c r="C16" i="7"/>
  <c r="G16" i="7" s="1"/>
  <c r="C29" i="7"/>
  <c r="G29" i="7" s="1"/>
  <c r="C42" i="7"/>
  <c r="G42" i="7" s="1"/>
  <c r="C36" i="7"/>
  <c r="G36" i="7" s="1"/>
  <c r="C18" i="7"/>
  <c r="G18" i="7" s="1"/>
  <c r="C49" i="7"/>
  <c r="G49" i="7" s="1"/>
  <c r="C53" i="7"/>
  <c r="G53" i="7" s="1"/>
  <c r="C19" i="7"/>
  <c r="G19" i="7" s="1"/>
  <c r="C43" i="7"/>
  <c r="G43" i="7" s="1"/>
  <c r="C12" i="7"/>
  <c r="G12" i="7" s="1"/>
  <c r="C24" i="7"/>
  <c r="G24" i="7" s="1"/>
  <c r="C58" i="7"/>
  <c r="G58" i="7" s="1"/>
  <c r="C70" i="7"/>
  <c r="G70" i="7" s="1"/>
  <c r="C13" i="7"/>
  <c r="G13" i="7" s="1"/>
  <c r="C25" i="7"/>
  <c r="G25" i="7" s="1"/>
  <c r="C37" i="7"/>
  <c r="G37" i="7" s="1"/>
  <c r="C45" i="7"/>
  <c r="G45" i="7" s="1"/>
  <c r="C59" i="7"/>
  <c r="G59" i="7" s="1"/>
  <c r="C71" i="7"/>
  <c r="G71" i="7" s="1"/>
  <c r="C60" i="7"/>
  <c r="G60" i="7" s="1"/>
  <c r="C72" i="7"/>
  <c r="G72" i="7" s="1"/>
  <c r="C40" i="7"/>
  <c r="G40" i="7" s="1"/>
  <c r="C41" i="7"/>
  <c r="G41" i="7" s="1"/>
  <c r="C48" i="7"/>
  <c r="G48" i="7" s="1"/>
  <c r="C30" i="7"/>
  <c r="G30" i="7" s="1"/>
  <c r="C14" i="7"/>
  <c r="G14" i="7" s="1"/>
  <c r="C26" i="7"/>
  <c r="G26" i="7" s="1"/>
  <c r="C38" i="7"/>
  <c r="G38" i="7" s="1"/>
  <c r="C15" i="7"/>
  <c r="G15" i="7" s="1"/>
  <c r="C27" i="7"/>
  <c r="G27" i="7" s="1"/>
  <c r="C39" i="7"/>
  <c r="G39" i="7" s="1"/>
  <c r="C46" i="7"/>
  <c r="G46" i="7" s="1"/>
  <c r="C61" i="7"/>
  <c r="G61" i="7" s="1"/>
  <c r="C65" i="7"/>
  <c r="G65" i="7" s="1"/>
  <c r="C20" i="7"/>
  <c r="G20" i="7" s="1"/>
  <c r="C44" i="7"/>
  <c r="G44" i="7" s="1"/>
  <c r="C51" i="7"/>
  <c r="G51" i="7" s="1"/>
  <c r="C54" i="7"/>
  <c r="G54" i="7" s="1"/>
  <c r="C66" i="7"/>
  <c r="G66" i="7" s="1"/>
  <c r="C9" i="7"/>
  <c r="G9" i="7" s="1"/>
  <c r="C21" i="7"/>
  <c r="G21" i="7" s="1"/>
  <c r="C33" i="7"/>
  <c r="G33" i="7" s="1"/>
  <c r="C55" i="7"/>
  <c r="G55" i="7" s="1"/>
  <c r="C67" i="7"/>
  <c r="G67" i="7" s="1"/>
  <c r="C10" i="7"/>
  <c r="G10" i="7" s="1"/>
  <c r="C22" i="7"/>
  <c r="G22" i="7" s="1"/>
  <c r="C56" i="7"/>
  <c r="G56" i="7" s="1"/>
</calcChain>
</file>

<file path=xl/sharedStrings.xml><?xml version="1.0" encoding="utf-8"?>
<sst xmlns="http://schemas.openxmlformats.org/spreadsheetml/2006/main" count="1388" uniqueCount="245">
  <si>
    <t>Generic Comet (GC) TIMES Supply</t>
  </si>
  <si>
    <t>Sheet color</t>
  </si>
  <si>
    <t>Raw Data and Parameters</t>
  </si>
  <si>
    <t>City Specific Data</t>
  </si>
  <si>
    <t>Post processing for TIMES</t>
  </si>
  <si>
    <t>Table formatted for TIMES</t>
  </si>
  <si>
    <t>City Basic Data</t>
  </si>
  <si>
    <t>Calibration methodology</t>
  </si>
  <si>
    <t>GHG Inventory</t>
  </si>
  <si>
    <t>A. City Characteristics</t>
  </si>
  <si>
    <t>Data Item</t>
  </si>
  <si>
    <t>Value</t>
  </si>
  <si>
    <t>Units</t>
  </si>
  <si>
    <t>City Name</t>
  </si>
  <si>
    <t>New York</t>
  </si>
  <si>
    <t>Latitude</t>
  </si>
  <si>
    <t>Longitude</t>
  </si>
  <si>
    <t>County</t>
  </si>
  <si>
    <t>New York County</t>
  </si>
  <si>
    <t>State</t>
  </si>
  <si>
    <t>Census Division</t>
  </si>
  <si>
    <t>Middle Atlantic</t>
  </si>
  <si>
    <t>Climate Division</t>
  </si>
  <si>
    <t>Northeast</t>
  </si>
  <si>
    <t>Egrid Region</t>
  </si>
  <si>
    <t>NPCC NYC/Westchester</t>
  </si>
  <si>
    <t>Area of city (excluding water, natural and agricultural areas)</t>
  </si>
  <si>
    <t>square kilometers</t>
  </si>
  <si>
    <t>* Division and Region Map can be found in the Maps sheet.</t>
  </si>
  <si>
    <t>B. Planning Base Year and Target Years</t>
  </si>
  <si>
    <t>Year</t>
  </si>
  <si>
    <t>Base Year</t>
  </si>
  <si>
    <t>Acceptable range [2018,2021]</t>
  </si>
  <si>
    <t>End Year</t>
  </si>
  <si>
    <t>C. City Population and GDP</t>
  </si>
  <si>
    <t>Population in Base Year</t>
  </si>
  <si>
    <t>Thousand of people</t>
  </si>
  <si>
    <t>Annual population growth (Base Year - End Year)</t>
  </si>
  <si>
    <t>% people</t>
  </si>
  <si>
    <t>GDP in Base Year</t>
  </si>
  <si>
    <t>Million US$</t>
  </si>
  <si>
    <t>Annual GDP growth rate</t>
  </si>
  <si>
    <t>% US$</t>
  </si>
  <si>
    <t>Share of manufacturing GDP</t>
  </si>
  <si>
    <t>Share of State population</t>
  </si>
  <si>
    <t>Share of State GDP</t>
  </si>
  <si>
    <t>Adjustment from state manufacturing GDP</t>
  </si>
  <si>
    <t>D. Climate Data</t>
  </si>
  <si>
    <t>Heating degree days (HDD)</t>
  </si>
  <si>
    <t>F</t>
  </si>
  <si>
    <t>Cooling degree days (CDD)</t>
  </si>
  <si>
    <t>Correction from State HDD</t>
  </si>
  <si>
    <t>Correction from State CDD</t>
  </si>
  <si>
    <t>Annual precipitation</t>
  </si>
  <si>
    <t>mm / year</t>
  </si>
  <si>
    <t>Climate change scenario</t>
  </si>
  <si>
    <t>RCP4.5</t>
  </si>
  <si>
    <t>Average temperature increase in 1980-2020</t>
  </si>
  <si>
    <t>Forecasted average temperature increase in 2035-2065</t>
  </si>
  <si>
    <t>Forecasted average temperature increase in 2070-2100</t>
  </si>
  <si>
    <t>*Climate change scenario description can be found in the Lists sheet.</t>
  </si>
  <si>
    <t>E. Energy scenario</t>
  </si>
  <si>
    <t>AEO energy scenario</t>
  </si>
  <si>
    <t>lowmachighZTC</t>
  </si>
  <si>
    <t>Electricity technology scenario</t>
  </si>
  <si>
    <t>Moderate</t>
  </si>
  <si>
    <t>Transport technology scenario</t>
  </si>
  <si>
    <t>Mid</t>
  </si>
  <si>
    <t>District energy</t>
  </si>
  <si>
    <t>Yes</t>
  </si>
  <si>
    <t>* Energy scenario description can be foundin the Lists sheet.</t>
  </si>
  <si>
    <t>Sector</t>
  </si>
  <si>
    <t>Sub-sector</t>
  </si>
  <si>
    <t>Archetype</t>
  </si>
  <si>
    <t xml:space="preserve">Vintage </t>
  </si>
  <si>
    <t>End Use</t>
  </si>
  <si>
    <t>Technology</t>
  </si>
  <si>
    <t>Energy</t>
  </si>
  <si>
    <t>Input Label</t>
  </si>
  <si>
    <t>Output Label</t>
  </si>
  <si>
    <t>Demand Label</t>
  </si>
  <si>
    <t>Technology Label</t>
  </si>
  <si>
    <t>Start Year</t>
  </si>
  <si>
    <t>Included</t>
  </si>
  <si>
    <t>CAPEX (2023 USD/ t)</t>
  </si>
  <si>
    <t>CFA</t>
  </si>
  <si>
    <t>C2A</t>
  </si>
  <si>
    <t>Energy flow (TJ/ktonnes)</t>
  </si>
  <si>
    <t>CH4 (tonnes/ktonnes)</t>
  </si>
  <si>
    <t>CO2 (tonnes/ktonnes)</t>
  </si>
  <si>
    <t>N2O (tonnes/ktonnes)</t>
  </si>
  <si>
    <t>Waste</t>
  </si>
  <si>
    <t>Solid</t>
  </si>
  <si>
    <t>Paper</t>
  </si>
  <si>
    <t>Compost</t>
  </si>
  <si>
    <t>IN</t>
  </si>
  <si>
    <t>Electricity</t>
  </si>
  <si>
    <t>WASELC</t>
  </si>
  <si>
    <t>WASSOLPAPDMDTOT</t>
  </si>
  <si>
    <t>WASSOLPAPCMP20</t>
  </si>
  <si>
    <t>Diesel</t>
  </si>
  <si>
    <t>WASDSL</t>
  </si>
  <si>
    <t>Glass</t>
  </si>
  <si>
    <t>WASSOLGLADMDTOT</t>
  </si>
  <si>
    <t>WASSOLGLACMP20</t>
  </si>
  <si>
    <t>Metals</t>
  </si>
  <si>
    <t>WASSOLMETDMDTOT</t>
  </si>
  <si>
    <t>WASSOLMETCMP20</t>
  </si>
  <si>
    <t>Plastics</t>
  </si>
  <si>
    <t>WASSOLPLADMDTOT</t>
  </si>
  <si>
    <t>WASSOLPLACMP20</t>
  </si>
  <si>
    <t>Food</t>
  </si>
  <si>
    <t>WASSOLFOODMDTOT</t>
  </si>
  <si>
    <t>WASSOLFOOCMP20</t>
  </si>
  <si>
    <t>Yard trimmings</t>
  </si>
  <si>
    <t>WASSOLYARDMDTOT</t>
  </si>
  <si>
    <t>WASSOLYARCMP20</t>
  </si>
  <si>
    <t>All Other</t>
  </si>
  <si>
    <t>WASSOLAOTDMDTOT</t>
  </si>
  <si>
    <t>WASSOLAOTCMP20</t>
  </si>
  <si>
    <t>Anaerobic Digestion</t>
  </si>
  <si>
    <t>WASSOLPAPADG20</t>
  </si>
  <si>
    <t>OUT</t>
  </si>
  <si>
    <t>Biogas</t>
  </si>
  <si>
    <t>WASSOLADGBGA</t>
  </si>
  <si>
    <t>WASSOLGLAADG20</t>
  </si>
  <si>
    <t>WASSOLMETADG20</t>
  </si>
  <si>
    <t>WASSOLPLAADG20</t>
  </si>
  <si>
    <t>WASSOLFOOADG20</t>
  </si>
  <si>
    <t>WASSOLYARADG20</t>
  </si>
  <si>
    <t>WASSOLAOTADG20</t>
  </si>
  <si>
    <t>Incineration</t>
  </si>
  <si>
    <t>CELC</t>
  </si>
  <si>
    <t>WASSOLPAPINC20</t>
  </si>
  <si>
    <t>Steam</t>
  </si>
  <si>
    <t>STM</t>
  </si>
  <si>
    <t>WASSOLGLAINC20</t>
  </si>
  <si>
    <t>WASSOLMETINC20</t>
  </si>
  <si>
    <t>WASSOLPLAINC20</t>
  </si>
  <si>
    <t>WASSOLFOOINC20</t>
  </si>
  <si>
    <t>WASSOLYARINC20</t>
  </si>
  <si>
    <t>WASSOLAOTINC20</t>
  </si>
  <si>
    <t>Landfill</t>
  </si>
  <si>
    <t>WASSOLPAPDMDTOTTOLDF</t>
  </si>
  <si>
    <t>WASSOLPAPLDF20</t>
  </si>
  <si>
    <t>WASSOLLDFBGA</t>
  </si>
  <si>
    <t>WASSOLGLADMDTOTTOLDF</t>
  </si>
  <si>
    <t>WASSOLGLALDF20</t>
  </si>
  <si>
    <t>WASSOLMETDMDTOTTOLDF</t>
  </si>
  <si>
    <t>WASSOLMETLDF20</t>
  </si>
  <si>
    <t>WASSOLPLADMDTOTTOLDF</t>
  </si>
  <si>
    <t>WASSOLPLALDF20</t>
  </si>
  <si>
    <t>WASSOLFOODMDTOTTOLDF</t>
  </si>
  <si>
    <t>WASSOLFOOLDF20</t>
  </si>
  <si>
    <t>WASSOLYARDMDTOTTOLDF</t>
  </si>
  <si>
    <t>WASSOLYARLDF20</t>
  </si>
  <si>
    <t>WASSOLAOTDMDTOTTOLDF</t>
  </si>
  <si>
    <t>WASSOLAOTLDF20</t>
  </si>
  <si>
    <t>Recycle</t>
  </si>
  <si>
    <t>WASSOLPAPREC20</t>
  </si>
  <si>
    <t>WASSOLGLAREC20</t>
  </si>
  <si>
    <t>WASSOLMETREC20</t>
  </si>
  <si>
    <t>WASSOLPLAREC20</t>
  </si>
  <si>
    <t>WASSOLFOOREC20</t>
  </si>
  <si>
    <t>WASSOLYARREC20</t>
  </si>
  <si>
    <t>WASSOLAOTREC20</t>
  </si>
  <si>
    <t>Historical</t>
  </si>
  <si>
    <t>WASSOLHISDMDTOTTOLDF</t>
  </si>
  <si>
    <t>WASSOLHISLDF20</t>
  </si>
  <si>
    <t>Water</t>
  </si>
  <si>
    <t>Treatment</t>
  </si>
  <si>
    <t>Treatment Plant without De-Nitrification and without Anaerobic Digesters</t>
  </si>
  <si>
    <t>WASWATTRTDMDTOT</t>
  </si>
  <si>
    <t>WASWATTRTNOT20</t>
  </si>
  <si>
    <t>Natural gas</t>
  </si>
  <si>
    <t>WASNGA</t>
  </si>
  <si>
    <t>WASWATNOTBGA</t>
  </si>
  <si>
    <t>Treatment Plant without De-Nitrification and with Anaerobic Digesters</t>
  </si>
  <si>
    <t>WASWATTRTWAD20</t>
  </si>
  <si>
    <t>WASWATWADBGA</t>
  </si>
  <si>
    <t>Treatment Plant with De-Nitrification and without Anaerobic Digesters</t>
  </si>
  <si>
    <t>WASWATTRTWDN20</t>
  </si>
  <si>
    <t>WASWATWDNBGA</t>
  </si>
  <si>
    <t>Treatment Plant with De-Nitrification and with Anaerobic Digesters</t>
  </si>
  <si>
    <t>WASWATTRTWAN20</t>
  </si>
  <si>
    <t>WASWATWANBGA</t>
  </si>
  <si>
    <t>*</t>
  </si>
  <si>
    <t>Efficiency</t>
  </si>
  <si>
    <t>Decay</t>
  </si>
  <si>
    <t>WASSOLPAPLDFDEC</t>
  </si>
  <si>
    <t>WASSOLPAPLDFDEC20</t>
  </si>
  <si>
    <t>WASSOLGLALDFDEC</t>
  </si>
  <si>
    <t>WASSOLGLALDFDEC20</t>
  </si>
  <si>
    <t>WASSOLMETLDFDEC</t>
  </si>
  <si>
    <t>WASSOLMETLDFDEC20</t>
  </si>
  <si>
    <t>WASSOLPLALDFDEC</t>
  </si>
  <si>
    <t>WASSOLPLALDFDEC20</t>
  </si>
  <si>
    <t>WASSOLFOOLDFDEC</t>
  </si>
  <si>
    <t>WASSOLFOOLDFDEC20</t>
  </si>
  <si>
    <t>WASSOLYARLDFDEC</t>
  </si>
  <si>
    <t>WASSOLYARLDFDEC20</t>
  </si>
  <si>
    <t>WASSOLAOTLDFDEC</t>
  </si>
  <si>
    <t>WASSOLAOTLDFDEC20</t>
  </si>
  <si>
    <t>WASSOLHISLDFDEC</t>
  </si>
  <si>
    <t>WASSOLHISLDFDEC20</t>
  </si>
  <si>
    <t>CAPEX (2023 USD/ kW)</t>
  </si>
  <si>
    <t>Demand (TJ)</t>
  </si>
  <si>
    <t>Output (TJ)</t>
  </si>
  <si>
    <t>Total output (TJ)</t>
  </si>
  <si>
    <t>CH4 (tonnes/TJ)</t>
  </si>
  <si>
    <t>Heat-to-power ratio</t>
  </si>
  <si>
    <t>Venting</t>
  </si>
  <si>
    <t>WASSOLADGVEN20</t>
  </si>
  <si>
    <t>Flaring</t>
  </si>
  <si>
    <t>WASSOLADGFLA20</t>
  </si>
  <si>
    <t>Cogeneration</t>
  </si>
  <si>
    <t>WASSOLADGCOG20</t>
  </si>
  <si>
    <t>Power</t>
  </si>
  <si>
    <t>WASSOLADGPOW20</t>
  </si>
  <si>
    <t>Purification</t>
  </si>
  <si>
    <t>WASSOLADGPUR20</t>
  </si>
  <si>
    <t>RNG</t>
  </si>
  <si>
    <t>WASSOLLDFVEN20</t>
  </si>
  <si>
    <t>WASSOLLDFFLA20</t>
  </si>
  <si>
    <t>WASSOLLDFCOG20</t>
  </si>
  <si>
    <t>WASSOLLDFPOW20</t>
  </si>
  <si>
    <t>WASSOLLDFPUR20</t>
  </si>
  <si>
    <t>WASWATWADVEN20</t>
  </si>
  <si>
    <t>WASWATWADFLA20</t>
  </si>
  <si>
    <t>WASWATWADCOG20</t>
  </si>
  <si>
    <t>WASWATWADPOW20</t>
  </si>
  <si>
    <t>WASWATWADPUR20</t>
  </si>
  <si>
    <t>WASWATWANVEN20</t>
  </si>
  <si>
    <t>WASWATWANFLA20</t>
  </si>
  <si>
    <t>WASWATWANCOG20</t>
  </si>
  <si>
    <t>WASWATWANPOW20</t>
  </si>
  <si>
    <t>WASWATWANPUR20</t>
  </si>
  <si>
    <t>~TFM_AVA</t>
  </si>
  <si>
    <t>PSET_SET</t>
  </si>
  <si>
    <t>PSET_PN</t>
  </si>
  <si>
    <t>PSET_PD</t>
  </si>
  <si>
    <t>PSET_CO</t>
  </si>
  <si>
    <t>PSET_CI</t>
  </si>
  <si>
    <t>CITY</t>
  </si>
  <si>
    <t>EGRID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</si>
</sst>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43" fontId="1" fillId="0" borderId="0"/>
    <xf numFmtId="9" fontId="1" fillId="0" borderId="0"/>
    <xf numFmtId="0" fontId="4" fillId="0" borderId="0"/>
    <xf numFmtId="43" fontId="1" fillId="0" borderId="0"/>
  </cellStyleXfs>
  <cellXfs count="13">
    <xf numFmtId="0" fontId="0" fillId="0" borderId="0" xfId="0"/>
    <xf numFmtId="0" fontId="3" fillId="2" borderId="0" xfId="0" applyFont="1" applyFill="1"/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5" fillId="0" borderId="0" xfId="3" applyFont="1"/>
    <xf numFmtId="0" fontId="6" fillId="7" borderId="1" xfId="0" applyFont="1" applyFill="1" applyBorder="1"/>
    <xf numFmtId="0" fontId="4" fillId="8" borderId="2" xfId="3" applyFill="1" applyBorder="1" applyAlignment="1">
      <alignment horizontal="left" wrapText="1"/>
    </xf>
    <xf numFmtId="43" fontId="0" fillId="0" borderId="0" xfId="4" applyFont="1"/>
    <xf numFmtId="43" fontId="0" fillId="0" borderId="0" xfId="1" applyFont="1"/>
  </cellXfs>
  <cellStyles count="5">
    <cellStyle name="Comma" xfId="1" builtinId="3"/>
    <cellStyle name="Comma 2" xfId="4" xr:uid="{00000000-0005-0000-0000-000004000000}"/>
    <cellStyle name="Normal" xfId="0" builtinId="0"/>
    <cellStyle name="Normal 10" xfId="3" xr:uid="{00000000-0005-0000-0000-000003000000}"/>
    <cellStyle name="Percent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M31" sqref="M31"/>
    </sheetView>
  </sheetViews>
  <sheetFormatPr defaultColWidth="8.85546875" defaultRowHeight="15" x14ac:dyDescent="0.25"/>
  <cols>
    <col min="1" max="25" width="8.85546875" style="2" customWidth="1"/>
    <col min="26" max="16384" width="8.85546875" style="2"/>
  </cols>
  <sheetData>
    <row r="1" spans="1:3" s="1" customFormat="1" ht="23.45" customHeight="1" x14ac:dyDescent="0.35">
      <c r="A1" s="1" t="s">
        <v>0</v>
      </c>
    </row>
    <row r="2" spans="1:3" s="1" customFormat="1" ht="23.45" customHeight="1" x14ac:dyDescent="0.35"/>
    <row r="3" spans="1:3" x14ac:dyDescent="0.25">
      <c r="B3" s="3" t="s">
        <v>1</v>
      </c>
    </row>
    <row r="4" spans="1:3" x14ac:dyDescent="0.25">
      <c r="B4" s="4"/>
      <c r="C4" s="2" t="s">
        <v>2</v>
      </c>
    </row>
    <row r="6" spans="1:3" x14ac:dyDescent="0.25">
      <c r="B6" s="5"/>
      <c r="C6" s="2" t="s">
        <v>3</v>
      </c>
    </row>
    <row r="8" spans="1:3" x14ac:dyDescent="0.25">
      <c r="B8" s="6"/>
      <c r="C8" s="2" t="s">
        <v>4</v>
      </c>
    </row>
    <row r="10" spans="1:3" x14ac:dyDescent="0.25">
      <c r="B10" s="7"/>
      <c r="C10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"/>
  <sheetViews>
    <sheetView workbookViewId="0">
      <selection activeCell="M31" sqref="M31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54"/>
  <sheetViews>
    <sheetView zoomScaleNormal="100" workbookViewId="0">
      <selection activeCell="M31" sqref="M31"/>
    </sheetView>
  </sheetViews>
  <sheetFormatPr defaultColWidth="8.85546875" defaultRowHeight="15" x14ac:dyDescent="0.25"/>
  <cols>
    <col min="1" max="1" width="8.85546875" style="2" customWidth="1"/>
    <col min="2" max="2" width="47.7109375" style="2" customWidth="1"/>
    <col min="3" max="3" width="26.140625" style="2" customWidth="1"/>
    <col min="4" max="4" width="14.42578125" style="2" customWidth="1"/>
    <col min="5" max="13" width="10.85546875" style="2" customWidth="1"/>
    <col min="14" max="38" width="8.85546875" style="2" customWidth="1"/>
    <col min="39" max="16384" width="8.85546875" style="2"/>
  </cols>
  <sheetData>
    <row r="2" spans="2:4" ht="18" customHeight="1" thickBot="1" x14ac:dyDescent="0.3">
      <c r="B2" t="s">
        <v>6</v>
      </c>
    </row>
    <row r="3" spans="2:4" ht="15" customHeight="1" thickTop="1" x14ac:dyDescent="0.25"/>
    <row r="4" spans="2:4" ht="15" customHeight="1" thickBot="1" x14ac:dyDescent="0.3">
      <c r="B4" t="s">
        <v>7</v>
      </c>
      <c r="C4" t="s">
        <v>8</v>
      </c>
    </row>
    <row r="6" spans="2:4" x14ac:dyDescent="0.25">
      <c r="B6" t="s">
        <v>9</v>
      </c>
    </row>
    <row r="7" spans="2:4" ht="15" customHeight="1" thickBot="1" x14ac:dyDescent="0.3">
      <c r="B7" t="s">
        <v>10</v>
      </c>
      <c r="C7" t="s">
        <v>11</v>
      </c>
      <c r="D7" t="s">
        <v>12</v>
      </c>
    </row>
    <row r="8" spans="2:4" x14ac:dyDescent="0.25">
      <c r="B8" t="s">
        <v>13</v>
      </c>
      <c r="C8" t="s">
        <v>14</v>
      </c>
    </row>
    <row r="9" spans="2:4" x14ac:dyDescent="0.25">
      <c r="B9" t="s">
        <v>15</v>
      </c>
      <c r="C9">
        <v>40.5</v>
      </c>
    </row>
    <row r="10" spans="2:4" x14ac:dyDescent="0.25">
      <c r="B10" t="s">
        <v>16</v>
      </c>
      <c r="C10">
        <v>-75</v>
      </c>
    </row>
    <row r="11" spans="2:4" x14ac:dyDescent="0.25">
      <c r="B11" t="s">
        <v>17</v>
      </c>
      <c r="C11" t="s">
        <v>18</v>
      </c>
    </row>
    <row r="12" spans="2:4" x14ac:dyDescent="0.25">
      <c r="B12" t="s">
        <v>19</v>
      </c>
      <c r="C12" t="s">
        <v>14</v>
      </c>
    </row>
    <row r="13" spans="2:4" x14ac:dyDescent="0.25">
      <c r="B13" t="s">
        <v>20</v>
      </c>
      <c r="C13" t="s">
        <v>21</v>
      </c>
    </row>
    <row r="14" spans="2:4" x14ac:dyDescent="0.25">
      <c r="B14" t="s">
        <v>22</v>
      </c>
      <c r="C14" t="s">
        <v>23</v>
      </c>
    </row>
    <row r="15" spans="2:4" x14ac:dyDescent="0.25">
      <c r="B15" t="s">
        <v>24</v>
      </c>
      <c r="C15" t="s">
        <v>25</v>
      </c>
    </row>
    <row r="16" spans="2:4" x14ac:dyDescent="0.25">
      <c r="B16" t="s">
        <v>26</v>
      </c>
      <c r="C16">
        <v>778</v>
      </c>
      <c r="D16" t="s">
        <v>27</v>
      </c>
    </row>
    <row r="17" spans="2:4" x14ac:dyDescent="0.25">
      <c r="B17" t="s">
        <v>28</v>
      </c>
    </row>
    <row r="18" spans="2:4" x14ac:dyDescent="0.25">
      <c r="B18" t="s">
        <v>29</v>
      </c>
    </row>
    <row r="19" spans="2:4" ht="15" customHeight="1" thickBot="1" x14ac:dyDescent="0.3">
      <c r="B19" t="s">
        <v>30</v>
      </c>
      <c r="C19" t="s">
        <v>11</v>
      </c>
      <c r="D19" t="s">
        <v>12</v>
      </c>
    </row>
    <row r="20" spans="2:4" x14ac:dyDescent="0.25">
      <c r="B20" t="s">
        <v>31</v>
      </c>
      <c r="C20">
        <v>2019</v>
      </c>
      <c r="D20" t="s">
        <v>32</v>
      </c>
    </row>
    <row r="21" spans="2:4" x14ac:dyDescent="0.25">
      <c r="B21" t="s">
        <v>33</v>
      </c>
      <c r="C21">
        <v>2050</v>
      </c>
    </row>
    <row r="23" spans="2:4" x14ac:dyDescent="0.25">
      <c r="B23" t="s">
        <v>34</v>
      </c>
    </row>
    <row r="24" spans="2:4" ht="15" customHeight="1" thickBot="1" x14ac:dyDescent="0.3">
      <c r="B24" t="s">
        <v>10</v>
      </c>
      <c r="C24" t="s">
        <v>11</v>
      </c>
      <c r="D24" t="s">
        <v>12</v>
      </c>
    </row>
    <row r="25" spans="2:4" x14ac:dyDescent="0.25">
      <c r="B25" t="s">
        <v>35</v>
      </c>
      <c r="C25">
        <v>8337</v>
      </c>
      <c r="D25" t="s">
        <v>36</v>
      </c>
    </row>
    <row r="26" spans="2:4" x14ac:dyDescent="0.25">
      <c r="B26" t="s">
        <v>37</v>
      </c>
      <c r="C26">
        <v>0.5</v>
      </c>
      <c r="D26" t="s">
        <v>38</v>
      </c>
    </row>
    <row r="27" spans="2:4" x14ac:dyDescent="0.25">
      <c r="B27" t="s">
        <v>39</v>
      </c>
      <c r="C27">
        <v>1206000</v>
      </c>
      <c r="D27" t="s">
        <v>40</v>
      </c>
    </row>
    <row r="28" spans="2:4" x14ac:dyDescent="0.25">
      <c r="B28" t="s">
        <v>41</v>
      </c>
      <c r="C28">
        <v>2</v>
      </c>
      <c r="D28" t="s">
        <v>42</v>
      </c>
    </row>
    <row r="29" spans="2:4" x14ac:dyDescent="0.25">
      <c r="B29" t="s">
        <v>43</v>
      </c>
      <c r="C29">
        <v>5</v>
      </c>
      <c r="D29" t="s">
        <v>42</v>
      </c>
    </row>
    <row r="30" spans="2:4" x14ac:dyDescent="0.25">
      <c r="B30" t="s">
        <v>44</v>
      </c>
      <c r="C30">
        <v>0.42835123053999902</v>
      </c>
    </row>
    <row r="31" spans="2:4" x14ac:dyDescent="0.25">
      <c r="B31" t="s">
        <v>45</v>
      </c>
      <c r="C31">
        <v>0.67251771953144812</v>
      </c>
    </row>
    <row r="32" spans="2:4" x14ac:dyDescent="0.25">
      <c r="B32" t="s">
        <v>46</v>
      </c>
      <c r="C32">
        <v>1.063829787234043</v>
      </c>
    </row>
    <row r="34" spans="2:6" x14ac:dyDescent="0.25">
      <c r="B34" t="s">
        <v>47</v>
      </c>
    </row>
    <row r="35" spans="2:6" ht="15" customHeight="1" thickBot="1" x14ac:dyDescent="0.3">
      <c r="B35" t="s">
        <v>10</v>
      </c>
      <c r="C35">
        <v>2000</v>
      </c>
      <c r="D35">
        <v>2050</v>
      </c>
      <c r="E35">
        <v>2100</v>
      </c>
      <c r="F35" t="s">
        <v>12</v>
      </c>
    </row>
    <row r="36" spans="2:6" x14ac:dyDescent="0.25">
      <c r="B36" t="s">
        <v>48</v>
      </c>
      <c r="C36">
        <v>4473.4625000000005</v>
      </c>
      <c r="D36">
        <v>4066.4182142857139</v>
      </c>
      <c r="E36">
        <v>3763.8582142857172</v>
      </c>
      <c r="F36" t="s">
        <v>49</v>
      </c>
    </row>
    <row r="37" spans="2:6" x14ac:dyDescent="0.25">
      <c r="B37" t="s">
        <v>50</v>
      </c>
      <c r="C37">
        <v>1020.733333333334</v>
      </c>
      <c r="D37">
        <v>1224.255476190476</v>
      </c>
      <c r="E37">
        <v>1375.5354761904771</v>
      </c>
      <c r="F37" t="s">
        <v>49</v>
      </c>
    </row>
    <row r="39" spans="2:6" ht="15" customHeight="1" thickBot="1" x14ac:dyDescent="0.3">
      <c r="B39" t="s">
        <v>10</v>
      </c>
      <c r="C39" t="s">
        <v>11</v>
      </c>
      <c r="D39" t="s">
        <v>12</v>
      </c>
    </row>
    <row r="40" spans="2:6" x14ac:dyDescent="0.25">
      <c r="B40" t="s">
        <v>51</v>
      </c>
      <c r="C40">
        <v>0.72727402048447432</v>
      </c>
    </row>
    <row r="41" spans="2:6" x14ac:dyDescent="0.25">
      <c r="B41" t="s">
        <v>52</v>
      </c>
      <c r="C41">
        <v>1.558371501272265</v>
      </c>
    </row>
    <row r="42" spans="2:6" x14ac:dyDescent="0.25">
      <c r="B42" t="s">
        <v>53</v>
      </c>
      <c r="C42">
        <v>762</v>
      </c>
      <c r="D42" t="s">
        <v>54</v>
      </c>
    </row>
    <row r="43" spans="2:6" x14ac:dyDescent="0.25">
      <c r="B43" t="s">
        <v>55</v>
      </c>
      <c r="C43" t="s">
        <v>56</v>
      </c>
    </row>
    <row r="44" spans="2:6" x14ac:dyDescent="0.25">
      <c r="B44" t="s">
        <v>57</v>
      </c>
      <c r="C44">
        <v>1.461785714285714</v>
      </c>
      <c r="D44" t="s">
        <v>49</v>
      </c>
    </row>
    <row r="45" spans="2:6" x14ac:dyDescent="0.25">
      <c r="B45" t="s">
        <v>58</v>
      </c>
      <c r="C45">
        <v>3.13</v>
      </c>
      <c r="D45" t="s">
        <v>49</v>
      </c>
    </row>
    <row r="46" spans="2:6" x14ac:dyDescent="0.25">
      <c r="B46" t="s">
        <v>59</v>
      </c>
      <c r="C46">
        <v>4.37</v>
      </c>
      <c r="D46" t="s">
        <v>49</v>
      </c>
    </row>
    <row r="47" spans="2:6" x14ac:dyDescent="0.25">
      <c r="B47" t="s">
        <v>60</v>
      </c>
    </row>
    <row r="48" spans="2:6" x14ac:dyDescent="0.25">
      <c r="B48" t="s">
        <v>61</v>
      </c>
    </row>
    <row r="49" spans="2:4" ht="15" customHeight="1" thickBot="1" x14ac:dyDescent="0.3">
      <c r="B49" t="s">
        <v>10</v>
      </c>
      <c r="C49" t="s">
        <v>11</v>
      </c>
      <c r="D49" t="s">
        <v>12</v>
      </c>
    </row>
    <row r="50" spans="2:4" x14ac:dyDescent="0.25">
      <c r="B50" t="s">
        <v>62</v>
      </c>
      <c r="C50" t="s">
        <v>63</v>
      </c>
    </row>
    <row r="51" spans="2:4" x14ac:dyDescent="0.25">
      <c r="B51" t="s">
        <v>64</v>
      </c>
      <c r="C51" t="s">
        <v>65</v>
      </c>
    </row>
    <row r="52" spans="2:4" x14ac:dyDescent="0.25">
      <c r="B52" t="s">
        <v>66</v>
      </c>
      <c r="C52" t="s">
        <v>67</v>
      </c>
    </row>
    <row r="53" spans="2:4" x14ac:dyDescent="0.25">
      <c r="B53" t="s">
        <v>68</v>
      </c>
      <c r="C53" t="s">
        <v>69</v>
      </c>
    </row>
    <row r="54" spans="2:4" x14ac:dyDescent="0.25">
      <c r="B5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"/>
  <sheetViews>
    <sheetView workbookViewId="0">
      <selection activeCell="M31" sqref="M31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50"/>
  <sheetViews>
    <sheetView tabSelected="1" workbookViewId="0">
      <selection activeCell="B10" sqref="B10"/>
    </sheetView>
  </sheetViews>
  <sheetFormatPr defaultRowHeight="15" x14ac:dyDescent="0.25"/>
  <cols>
    <col min="1" max="1" width="16.42578125" customWidth="1"/>
    <col min="2" max="2" width="23.28515625" customWidth="1"/>
    <col min="3" max="3" width="24.7109375" customWidth="1"/>
    <col min="4" max="4" width="15.28515625" customWidth="1"/>
    <col min="5" max="5" width="62.7109375" bestFit="1" customWidth="1"/>
    <col min="6" max="7" width="20.42578125" customWidth="1"/>
    <col min="8" max="8" width="22.85546875" bestFit="1" customWidth="1"/>
    <col min="9" max="9" width="20.42578125" customWidth="1"/>
    <col min="10" max="10" width="29.85546875" bestFit="1" customWidth="1"/>
    <col min="11" max="11" width="25" bestFit="1" customWidth="1"/>
    <col min="12" max="13" width="25" customWidth="1"/>
    <col min="14" max="14" width="21.28515625" bestFit="1" customWidth="1"/>
    <col min="15" max="16" width="20.140625" customWidth="1"/>
    <col min="17" max="17" width="26.7109375" customWidth="1"/>
    <col min="18" max="18" width="21.7109375" style="12" bestFit="1" customWidth="1"/>
    <col min="19" max="20" width="25.140625" style="12" bestFit="1" customWidth="1"/>
  </cols>
  <sheetData>
    <row r="1" spans="1:20" x14ac:dyDescent="0.25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</row>
    <row r="2" spans="1:20" x14ac:dyDescent="0.25">
      <c r="A2" t="s">
        <v>91</v>
      </c>
      <c r="B2" t="s">
        <v>92</v>
      </c>
      <c r="C2" t="s">
        <v>93</v>
      </c>
      <c r="E2" t="s">
        <v>94</v>
      </c>
      <c r="F2" t="s">
        <v>95</v>
      </c>
      <c r="G2" t="s">
        <v>96</v>
      </c>
      <c r="H2" t="s">
        <v>97</v>
      </c>
      <c r="J2" t="s">
        <v>98</v>
      </c>
      <c r="K2" t="s">
        <v>99</v>
      </c>
      <c r="L2">
        <v>2020</v>
      </c>
      <c r="M2">
        <v>1</v>
      </c>
      <c r="N2">
        <v>56.952605330774666</v>
      </c>
      <c r="O2">
        <v>0.9</v>
      </c>
      <c r="P2">
        <v>1</v>
      </c>
      <c r="Q2">
        <v>3.7198607613593698E-3</v>
      </c>
      <c r="R2">
        <v>0.59045558551175448</v>
      </c>
      <c r="S2">
        <v>0</v>
      </c>
      <c r="T2">
        <v>1.1231422514723571E-2</v>
      </c>
    </row>
    <row r="3" spans="1:20" x14ac:dyDescent="0.25">
      <c r="A3" t="s">
        <v>91</v>
      </c>
      <c r="B3" t="s">
        <v>92</v>
      </c>
      <c r="C3" t="s">
        <v>93</v>
      </c>
      <c r="E3" t="s">
        <v>94</v>
      </c>
      <c r="F3" t="s">
        <v>95</v>
      </c>
      <c r="G3" t="s">
        <v>100</v>
      </c>
      <c r="H3" t="s">
        <v>101</v>
      </c>
      <c r="J3" t="s">
        <v>98</v>
      </c>
      <c r="K3" t="s">
        <v>99</v>
      </c>
      <c r="L3">
        <v>2020</v>
      </c>
      <c r="M3">
        <v>1</v>
      </c>
      <c r="N3">
        <v>56.952605330774666</v>
      </c>
      <c r="O3">
        <v>0.9</v>
      </c>
      <c r="P3">
        <v>1</v>
      </c>
      <c r="Q3">
        <v>5.0435778823074593E-3</v>
      </c>
      <c r="R3">
        <v>0.59045558551175448</v>
      </c>
      <c r="S3">
        <v>0</v>
      </c>
      <c r="T3">
        <v>1.1231422514723571E-2</v>
      </c>
    </row>
    <row r="4" spans="1:20" x14ac:dyDescent="0.25">
      <c r="A4" t="s">
        <v>91</v>
      </c>
      <c r="B4" t="s">
        <v>92</v>
      </c>
      <c r="C4" t="s">
        <v>102</v>
      </c>
      <c r="E4" t="s">
        <v>94</v>
      </c>
      <c r="F4" t="s">
        <v>95</v>
      </c>
      <c r="G4" t="s">
        <v>96</v>
      </c>
      <c r="H4" t="s">
        <v>97</v>
      </c>
      <c r="J4" t="s">
        <v>103</v>
      </c>
      <c r="K4" t="s">
        <v>104</v>
      </c>
      <c r="L4">
        <v>2020</v>
      </c>
      <c r="M4">
        <v>0</v>
      </c>
      <c r="N4">
        <v>56.952605330774666</v>
      </c>
      <c r="O4">
        <v>0.9</v>
      </c>
      <c r="P4">
        <v>1</v>
      </c>
      <c r="Q4">
        <v>3.292923351575841E-3</v>
      </c>
      <c r="R4">
        <v>0</v>
      </c>
      <c r="S4">
        <v>0</v>
      </c>
      <c r="T4">
        <v>0</v>
      </c>
    </row>
    <row r="5" spans="1:20" x14ac:dyDescent="0.25">
      <c r="A5" t="s">
        <v>91</v>
      </c>
      <c r="B5" t="s">
        <v>92</v>
      </c>
      <c r="C5" t="s">
        <v>102</v>
      </c>
      <c r="E5" t="s">
        <v>94</v>
      </c>
      <c r="F5" t="s">
        <v>95</v>
      </c>
      <c r="G5" t="s">
        <v>100</v>
      </c>
      <c r="H5" t="s">
        <v>101</v>
      </c>
      <c r="J5" t="s">
        <v>103</v>
      </c>
      <c r="K5" t="s">
        <v>104</v>
      </c>
      <c r="L5">
        <v>2020</v>
      </c>
      <c r="M5">
        <v>0</v>
      </c>
      <c r="N5">
        <v>56.952605330774666</v>
      </c>
      <c r="O5">
        <v>0.9</v>
      </c>
      <c r="P5">
        <v>1</v>
      </c>
      <c r="Q5">
        <v>3.8630599470705199E-3</v>
      </c>
      <c r="R5">
        <v>0</v>
      </c>
      <c r="S5">
        <v>0</v>
      </c>
      <c r="T5">
        <v>0</v>
      </c>
    </row>
    <row r="6" spans="1:20" x14ac:dyDescent="0.25">
      <c r="A6" t="s">
        <v>91</v>
      </c>
      <c r="B6" t="s">
        <v>92</v>
      </c>
      <c r="C6" t="s">
        <v>105</v>
      </c>
      <c r="E6" t="s">
        <v>94</v>
      </c>
      <c r="F6" t="s">
        <v>95</v>
      </c>
      <c r="G6" t="s">
        <v>96</v>
      </c>
      <c r="H6" t="s">
        <v>97</v>
      </c>
      <c r="J6" t="s">
        <v>106</v>
      </c>
      <c r="K6" t="s">
        <v>107</v>
      </c>
      <c r="L6">
        <v>2020</v>
      </c>
      <c r="M6">
        <v>0</v>
      </c>
      <c r="N6">
        <v>56.952605330774666</v>
      </c>
      <c r="O6">
        <v>0.9</v>
      </c>
      <c r="P6">
        <v>1</v>
      </c>
      <c r="Q6">
        <v>3.2855945273980751E-3</v>
      </c>
      <c r="R6">
        <v>0</v>
      </c>
      <c r="S6">
        <v>0</v>
      </c>
      <c r="T6">
        <v>7.6625932637074037E-3</v>
      </c>
    </row>
    <row r="7" spans="1:20" x14ac:dyDescent="0.25">
      <c r="A7" t="s">
        <v>91</v>
      </c>
      <c r="B7" t="s">
        <v>92</v>
      </c>
      <c r="C7" t="s">
        <v>105</v>
      </c>
      <c r="E7" t="s">
        <v>94</v>
      </c>
      <c r="F7" t="s">
        <v>95</v>
      </c>
      <c r="G7" t="s">
        <v>100</v>
      </c>
      <c r="H7" t="s">
        <v>101</v>
      </c>
      <c r="J7" t="s">
        <v>106</v>
      </c>
      <c r="K7" t="s">
        <v>107</v>
      </c>
      <c r="L7">
        <v>2020</v>
      </c>
      <c r="M7">
        <v>0</v>
      </c>
      <c r="N7">
        <v>56.952605330774666</v>
      </c>
      <c r="O7">
        <v>0.9</v>
      </c>
      <c r="P7">
        <v>1</v>
      </c>
      <c r="Q7">
        <v>3.860658590715015E-3</v>
      </c>
      <c r="R7">
        <v>0</v>
      </c>
      <c r="S7">
        <v>0</v>
      </c>
      <c r="T7">
        <v>7.6625932637074037E-3</v>
      </c>
    </row>
    <row r="8" spans="1:20" x14ac:dyDescent="0.25">
      <c r="A8" t="s">
        <v>91</v>
      </c>
      <c r="B8" t="s">
        <v>92</v>
      </c>
      <c r="C8" t="s">
        <v>108</v>
      </c>
      <c r="E8" t="s">
        <v>94</v>
      </c>
      <c r="F8" t="s">
        <v>95</v>
      </c>
      <c r="G8" t="s">
        <v>96</v>
      </c>
      <c r="H8" t="s">
        <v>97</v>
      </c>
      <c r="J8" t="s">
        <v>109</v>
      </c>
      <c r="K8" t="s">
        <v>110</v>
      </c>
      <c r="L8">
        <v>2020</v>
      </c>
      <c r="M8">
        <v>0</v>
      </c>
      <c r="N8">
        <v>56.952605330774666</v>
      </c>
      <c r="O8">
        <v>0.9</v>
      </c>
      <c r="P8">
        <v>1</v>
      </c>
      <c r="Q8">
        <v>3.257440742916251E-3</v>
      </c>
      <c r="R8">
        <v>0</v>
      </c>
      <c r="S8">
        <v>0</v>
      </c>
      <c r="T8">
        <v>4.8992718185738159E-2</v>
      </c>
    </row>
    <row r="9" spans="1:20" x14ac:dyDescent="0.25">
      <c r="A9" t="s">
        <v>91</v>
      </c>
      <c r="B9" t="s">
        <v>92</v>
      </c>
      <c r="C9" t="s">
        <v>108</v>
      </c>
      <c r="E9" t="s">
        <v>94</v>
      </c>
      <c r="F9" t="s">
        <v>95</v>
      </c>
      <c r="G9" t="s">
        <v>100</v>
      </c>
      <c r="H9" t="s">
        <v>101</v>
      </c>
      <c r="J9" t="s">
        <v>109</v>
      </c>
      <c r="K9" t="s">
        <v>110</v>
      </c>
      <c r="L9">
        <v>2020</v>
      </c>
      <c r="M9">
        <v>0</v>
      </c>
      <c r="N9">
        <v>56.952605330774666</v>
      </c>
      <c r="O9">
        <v>0.9</v>
      </c>
      <c r="P9">
        <v>1</v>
      </c>
      <c r="Q9">
        <v>4.1616591952464716E-3</v>
      </c>
      <c r="R9">
        <v>0</v>
      </c>
      <c r="S9">
        <v>0</v>
      </c>
      <c r="T9">
        <v>4.8992718185738159E-2</v>
      </c>
    </row>
    <row r="10" spans="1:20" x14ac:dyDescent="0.25">
      <c r="A10" t="s">
        <v>91</v>
      </c>
      <c r="B10" t="s">
        <v>92</v>
      </c>
      <c r="C10" t="s">
        <v>111</v>
      </c>
      <c r="E10" t="s">
        <v>94</v>
      </c>
      <c r="F10" t="s">
        <v>95</v>
      </c>
      <c r="G10" t="s">
        <v>96</v>
      </c>
      <c r="H10" t="s">
        <v>97</v>
      </c>
      <c r="J10" t="s">
        <v>112</v>
      </c>
      <c r="K10" t="s">
        <v>113</v>
      </c>
      <c r="L10">
        <v>2020</v>
      </c>
      <c r="M10">
        <v>1</v>
      </c>
      <c r="N10">
        <v>56.952605330774666</v>
      </c>
      <c r="O10">
        <v>0.9</v>
      </c>
      <c r="P10">
        <v>1</v>
      </c>
      <c r="Q10">
        <v>4.8784913135344254E-3</v>
      </c>
      <c r="R10">
        <v>1.9885476640467299</v>
      </c>
      <c r="S10">
        <v>0</v>
      </c>
      <c r="T10">
        <v>0.2298751941847397</v>
      </c>
    </row>
    <row r="11" spans="1:20" x14ac:dyDescent="0.25">
      <c r="A11" t="s">
        <v>91</v>
      </c>
      <c r="B11" t="s">
        <v>92</v>
      </c>
      <c r="C11" t="s">
        <v>111</v>
      </c>
      <c r="E11" t="s">
        <v>94</v>
      </c>
      <c r="F11" t="s">
        <v>95</v>
      </c>
      <c r="G11" t="s">
        <v>100</v>
      </c>
      <c r="H11" t="s">
        <v>101</v>
      </c>
      <c r="J11" t="s">
        <v>112</v>
      </c>
      <c r="K11" t="s">
        <v>113</v>
      </c>
      <c r="L11">
        <v>2020</v>
      </c>
      <c r="M11">
        <v>1</v>
      </c>
      <c r="N11">
        <v>56.952605330774666</v>
      </c>
      <c r="O11">
        <v>0.9</v>
      </c>
      <c r="P11">
        <v>1</v>
      </c>
      <c r="Q11">
        <v>6.5600031323807626E-3</v>
      </c>
      <c r="R11">
        <v>1.9885476640467299</v>
      </c>
      <c r="S11">
        <v>0</v>
      </c>
      <c r="T11">
        <v>0.2298751941847397</v>
      </c>
    </row>
    <row r="12" spans="1:20" x14ac:dyDescent="0.25">
      <c r="A12" t="s">
        <v>91</v>
      </c>
      <c r="B12" t="s">
        <v>92</v>
      </c>
      <c r="C12" t="s">
        <v>114</v>
      </c>
      <c r="E12" t="s">
        <v>94</v>
      </c>
      <c r="F12" t="s">
        <v>95</v>
      </c>
      <c r="G12" t="s">
        <v>96</v>
      </c>
      <c r="H12" t="s">
        <v>97</v>
      </c>
      <c r="J12" t="s">
        <v>115</v>
      </c>
      <c r="K12" t="s">
        <v>116</v>
      </c>
      <c r="L12">
        <v>2020</v>
      </c>
      <c r="M12">
        <v>1</v>
      </c>
      <c r="N12">
        <v>56.952605330774666</v>
      </c>
      <c r="O12">
        <v>0.9</v>
      </c>
      <c r="P12">
        <v>1</v>
      </c>
      <c r="Q12">
        <v>4.4521368008640172E-3</v>
      </c>
      <c r="R12">
        <v>1.969548000370138</v>
      </c>
      <c r="S12">
        <v>0</v>
      </c>
      <c r="T12">
        <v>0.25580030155448352</v>
      </c>
    </row>
    <row r="13" spans="1:20" x14ac:dyDescent="0.25">
      <c r="A13" t="s">
        <v>91</v>
      </c>
      <c r="B13" t="s">
        <v>92</v>
      </c>
      <c r="C13" t="s">
        <v>114</v>
      </c>
      <c r="E13" t="s">
        <v>94</v>
      </c>
      <c r="F13" t="s">
        <v>95</v>
      </c>
      <c r="G13" t="s">
        <v>100</v>
      </c>
      <c r="H13" t="s">
        <v>101</v>
      </c>
      <c r="J13" t="s">
        <v>115</v>
      </c>
      <c r="K13" t="s">
        <v>116</v>
      </c>
      <c r="L13">
        <v>2020</v>
      </c>
      <c r="M13">
        <v>1</v>
      </c>
      <c r="N13">
        <v>56.952605330774666</v>
      </c>
      <c r="O13">
        <v>0.9</v>
      </c>
      <c r="P13">
        <v>1</v>
      </c>
      <c r="Q13">
        <v>8.8196440853047561E-3</v>
      </c>
      <c r="R13">
        <v>1.969548000370138</v>
      </c>
      <c r="S13">
        <v>0</v>
      </c>
      <c r="T13">
        <v>0.25580030155448352</v>
      </c>
    </row>
    <row r="14" spans="1:20" x14ac:dyDescent="0.25">
      <c r="A14" t="s">
        <v>91</v>
      </c>
      <c r="B14" t="s">
        <v>92</v>
      </c>
      <c r="C14" t="s">
        <v>117</v>
      </c>
      <c r="E14" t="s">
        <v>94</v>
      </c>
      <c r="F14" t="s">
        <v>95</v>
      </c>
      <c r="G14" t="s">
        <v>96</v>
      </c>
      <c r="H14" t="s">
        <v>97</v>
      </c>
      <c r="J14" t="s">
        <v>118</v>
      </c>
      <c r="K14" t="s">
        <v>119</v>
      </c>
      <c r="L14">
        <v>2020</v>
      </c>
      <c r="M14">
        <v>0</v>
      </c>
      <c r="N14">
        <v>56.952605330774666</v>
      </c>
      <c r="O14">
        <v>0.9</v>
      </c>
      <c r="P14">
        <v>1</v>
      </c>
      <c r="Q14">
        <v>4.931835970136223E-3</v>
      </c>
      <c r="R14">
        <v>0</v>
      </c>
      <c r="S14">
        <v>0</v>
      </c>
      <c r="T14">
        <v>9.4419338793118063E-2</v>
      </c>
    </row>
    <row r="15" spans="1:20" x14ac:dyDescent="0.25">
      <c r="A15" t="s">
        <v>91</v>
      </c>
      <c r="B15" t="s">
        <v>92</v>
      </c>
      <c r="C15" t="s">
        <v>117</v>
      </c>
      <c r="E15" t="s">
        <v>94</v>
      </c>
      <c r="F15" t="s">
        <v>95</v>
      </c>
      <c r="G15" t="s">
        <v>100</v>
      </c>
      <c r="H15" t="s">
        <v>101</v>
      </c>
      <c r="J15" t="s">
        <v>118</v>
      </c>
      <c r="K15" t="s">
        <v>119</v>
      </c>
      <c r="L15">
        <v>2020</v>
      </c>
      <c r="M15">
        <v>0</v>
      </c>
      <c r="N15">
        <v>56.952605330774666</v>
      </c>
      <c r="O15">
        <v>0.9</v>
      </c>
      <c r="P15">
        <v>1</v>
      </c>
      <c r="Q15">
        <v>8.2128726584979102E-3</v>
      </c>
      <c r="R15">
        <v>0</v>
      </c>
      <c r="S15">
        <v>0</v>
      </c>
      <c r="T15">
        <v>9.4419338793118063E-2</v>
      </c>
    </row>
    <row r="16" spans="1:20" x14ac:dyDescent="0.25">
      <c r="A16" t="s">
        <v>91</v>
      </c>
      <c r="B16" t="s">
        <v>92</v>
      </c>
      <c r="C16" t="s">
        <v>93</v>
      </c>
      <c r="E16" t="s">
        <v>120</v>
      </c>
      <c r="F16" t="s">
        <v>95</v>
      </c>
      <c r="G16" t="s">
        <v>96</v>
      </c>
      <c r="H16" t="s">
        <v>97</v>
      </c>
      <c r="J16" t="s">
        <v>98</v>
      </c>
      <c r="K16" t="s">
        <v>121</v>
      </c>
      <c r="L16">
        <v>2020</v>
      </c>
      <c r="M16">
        <v>1</v>
      </c>
      <c r="N16">
        <v>766.13352102903661</v>
      </c>
      <c r="O16">
        <v>0.9</v>
      </c>
      <c r="P16">
        <v>1</v>
      </c>
      <c r="Q16">
        <v>0.39699330255981308</v>
      </c>
      <c r="R16">
        <v>4.0822852018575722</v>
      </c>
      <c r="S16">
        <v>0</v>
      </c>
      <c r="T16">
        <v>4.8656386951050699E-2</v>
      </c>
    </row>
    <row r="17" spans="1:20" x14ac:dyDescent="0.25">
      <c r="A17" t="s">
        <v>91</v>
      </c>
      <c r="B17" t="s">
        <v>92</v>
      </c>
      <c r="C17" t="s">
        <v>93</v>
      </c>
      <c r="E17" t="s">
        <v>120</v>
      </c>
      <c r="F17" t="s">
        <v>95</v>
      </c>
      <c r="G17" t="s">
        <v>100</v>
      </c>
      <c r="H17" t="s">
        <v>101</v>
      </c>
      <c r="J17" t="s">
        <v>98</v>
      </c>
      <c r="K17" t="s">
        <v>121</v>
      </c>
      <c r="L17">
        <v>2020</v>
      </c>
      <c r="M17">
        <v>1</v>
      </c>
      <c r="N17">
        <v>766.13352102903661</v>
      </c>
      <c r="O17">
        <v>0.9</v>
      </c>
      <c r="P17">
        <v>1</v>
      </c>
      <c r="Q17">
        <v>2.0209815325167971E-2</v>
      </c>
      <c r="R17">
        <v>4.0822852018575722</v>
      </c>
      <c r="S17">
        <v>0</v>
      </c>
      <c r="T17">
        <v>4.8656386951050699E-2</v>
      </c>
    </row>
    <row r="18" spans="1:20" x14ac:dyDescent="0.25">
      <c r="A18" t="s">
        <v>91</v>
      </c>
      <c r="B18" t="s">
        <v>92</v>
      </c>
      <c r="C18" t="s">
        <v>93</v>
      </c>
      <c r="E18" t="s">
        <v>120</v>
      </c>
      <c r="F18" t="s">
        <v>122</v>
      </c>
      <c r="G18" t="s">
        <v>123</v>
      </c>
      <c r="I18" t="s">
        <v>124</v>
      </c>
      <c r="J18" t="s">
        <v>98</v>
      </c>
      <c r="K18" t="s">
        <v>121</v>
      </c>
      <c r="L18">
        <v>2020</v>
      </c>
      <c r="M18">
        <v>1</v>
      </c>
      <c r="N18">
        <v>766.13352102903661</v>
      </c>
      <c r="O18">
        <v>0.9</v>
      </c>
      <c r="P18">
        <v>1</v>
      </c>
      <c r="Q18">
        <v>2.5551929263706841</v>
      </c>
      <c r="R18">
        <v>4.0822852018575722</v>
      </c>
      <c r="S18">
        <v>0</v>
      </c>
      <c r="T18">
        <v>4.8656386951050699E-2</v>
      </c>
    </row>
    <row r="19" spans="1:20" x14ac:dyDescent="0.25">
      <c r="A19" t="s">
        <v>91</v>
      </c>
      <c r="B19" t="s">
        <v>92</v>
      </c>
      <c r="C19" t="s">
        <v>102</v>
      </c>
      <c r="E19" t="s">
        <v>120</v>
      </c>
      <c r="F19" t="s">
        <v>95</v>
      </c>
      <c r="G19" t="s">
        <v>96</v>
      </c>
      <c r="H19" t="s">
        <v>97</v>
      </c>
      <c r="J19" t="s">
        <v>103</v>
      </c>
      <c r="K19" t="s">
        <v>125</v>
      </c>
      <c r="L19">
        <v>2020</v>
      </c>
      <c r="M19">
        <v>0</v>
      </c>
      <c r="N19">
        <v>766.13352102903661</v>
      </c>
      <c r="O19">
        <v>0.9</v>
      </c>
      <c r="P19">
        <v>1</v>
      </c>
      <c r="Q19">
        <v>0.22186353216844701</v>
      </c>
      <c r="R19">
        <v>0</v>
      </c>
      <c r="S19">
        <v>0</v>
      </c>
      <c r="T19">
        <v>0</v>
      </c>
    </row>
    <row r="20" spans="1:20" x14ac:dyDescent="0.25">
      <c r="A20" t="s">
        <v>91</v>
      </c>
      <c r="B20" t="s">
        <v>92</v>
      </c>
      <c r="C20" t="s">
        <v>102</v>
      </c>
      <c r="E20" t="s">
        <v>120</v>
      </c>
      <c r="F20" t="s">
        <v>95</v>
      </c>
      <c r="G20" t="s">
        <v>100</v>
      </c>
      <c r="H20" t="s">
        <v>101</v>
      </c>
      <c r="J20" t="s">
        <v>103</v>
      </c>
      <c r="K20" t="s">
        <v>125</v>
      </c>
      <c r="L20">
        <v>2020</v>
      </c>
      <c r="M20">
        <v>0</v>
      </c>
      <c r="N20">
        <v>766.13352102903661</v>
      </c>
      <c r="O20">
        <v>0.9</v>
      </c>
      <c r="P20">
        <v>1</v>
      </c>
      <c r="Q20">
        <v>2.5027737402127741E-3</v>
      </c>
      <c r="R20">
        <v>0</v>
      </c>
      <c r="S20">
        <v>0</v>
      </c>
      <c r="T20">
        <v>0</v>
      </c>
    </row>
    <row r="21" spans="1:20" x14ac:dyDescent="0.25">
      <c r="A21" t="s">
        <v>91</v>
      </c>
      <c r="B21" t="s">
        <v>92</v>
      </c>
      <c r="C21" t="s">
        <v>102</v>
      </c>
      <c r="E21" t="s">
        <v>120</v>
      </c>
      <c r="F21" t="s">
        <v>122</v>
      </c>
      <c r="G21" t="s">
        <v>123</v>
      </c>
      <c r="I21" t="s">
        <v>124</v>
      </c>
      <c r="J21" t="s">
        <v>103</v>
      </c>
      <c r="K21" t="s">
        <v>125</v>
      </c>
      <c r="L21">
        <v>2020</v>
      </c>
      <c r="M21">
        <v>0</v>
      </c>
      <c r="N21">
        <v>766.13352102903661</v>
      </c>
      <c r="O21">
        <v>0.9</v>
      </c>
      <c r="P21">
        <v>1</v>
      </c>
      <c r="Q21">
        <v>0</v>
      </c>
      <c r="R21">
        <v>0</v>
      </c>
      <c r="S21">
        <v>0</v>
      </c>
      <c r="T21">
        <v>0</v>
      </c>
    </row>
    <row r="22" spans="1:20" x14ac:dyDescent="0.25">
      <c r="A22" t="s">
        <v>91</v>
      </c>
      <c r="B22" t="s">
        <v>92</v>
      </c>
      <c r="C22" t="s">
        <v>105</v>
      </c>
      <c r="E22" t="s">
        <v>120</v>
      </c>
      <c r="F22" t="s">
        <v>95</v>
      </c>
      <c r="G22" t="s">
        <v>96</v>
      </c>
      <c r="H22" t="s">
        <v>97</v>
      </c>
      <c r="J22" t="s">
        <v>106</v>
      </c>
      <c r="K22" t="s">
        <v>126</v>
      </c>
      <c r="L22">
        <v>2020</v>
      </c>
      <c r="M22">
        <v>0</v>
      </c>
      <c r="N22">
        <v>766.13352102903661</v>
      </c>
      <c r="O22">
        <v>0.9</v>
      </c>
      <c r="P22">
        <v>1</v>
      </c>
      <c r="Q22">
        <v>0.2208701180293888</v>
      </c>
      <c r="R22">
        <v>0</v>
      </c>
      <c r="S22">
        <v>0</v>
      </c>
      <c r="T22">
        <v>0</v>
      </c>
    </row>
    <row r="23" spans="1:20" x14ac:dyDescent="0.25">
      <c r="A23" t="s">
        <v>91</v>
      </c>
      <c r="B23" t="s">
        <v>92</v>
      </c>
      <c r="C23" t="s">
        <v>105</v>
      </c>
      <c r="E23" t="s">
        <v>120</v>
      </c>
      <c r="F23" t="s">
        <v>95</v>
      </c>
      <c r="G23" t="s">
        <v>100</v>
      </c>
      <c r="H23" t="s">
        <v>101</v>
      </c>
      <c r="J23" t="s">
        <v>106</v>
      </c>
      <c r="K23" t="s">
        <v>126</v>
      </c>
      <c r="L23">
        <v>2020</v>
      </c>
      <c r="M23">
        <v>0</v>
      </c>
      <c r="N23">
        <v>766.13352102903661</v>
      </c>
      <c r="O23">
        <v>0.9</v>
      </c>
      <c r="P23">
        <v>1</v>
      </c>
      <c r="Q23">
        <v>2.394800759347766E-3</v>
      </c>
      <c r="R23">
        <v>0</v>
      </c>
      <c r="S23">
        <v>0</v>
      </c>
      <c r="T23">
        <v>0</v>
      </c>
    </row>
    <row r="24" spans="1:20" x14ac:dyDescent="0.25">
      <c r="A24" t="s">
        <v>91</v>
      </c>
      <c r="B24" t="s">
        <v>92</v>
      </c>
      <c r="C24" t="s">
        <v>105</v>
      </c>
      <c r="E24" t="s">
        <v>120</v>
      </c>
      <c r="F24" t="s">
        <v>122</v>
      </c>
      <c r="G24" t="s">
        <v>123</v>
      </c>
      <c r="I24" t="s">
        <v>124</v>
      </c>
      <c r="J24" t="s">
        <v>106</v>
      </c>
      <c r="K24" t="s">
        <v>126</v>
      </c>
      <c r="L24">
        <v>2020</v>
      </c>
      <c r="M24">
        <v>0</v>
      </c>
      <c r="N24">
        <v>766.13352102903661</v>
      </c>
      <c r="O24">
        <v>0.9</v>
      </c>
      <c r="P24">
        <v>1</v>
      </c>
      <c r="Q24">
        <v>0</v>
      </c>
      <c r="R24">
        <v>0</v>
      </c>
      <c r="S24">
        <v>0</v>
      </c>
      <c r="T24">
        <v>0</v>
      </c>
    </row>
    <row r="25" spans="1:20" x14ac:dyDescent="0.25">
      <c r="A25" t="s">
        <v>91</v>
      </c>
      <c r="B25" t="s">
        <v>92</v>
      </c>
      <c r="C25" t="s">
        <v>108</v>
      </c>
      <c r="E25" t="s">
        <v>120</v>
      </c>
      <c r="F25" t="s">
        <v>95</v>
      </c>
      <c r="G25" t="s">
        <v>96</v>
      </c>
      <c r="H25" t="s">
        <v>97</v>
      </c>
      <c r="J25" t="s">
        <v>109</v>
      </c>
      <c r="K25" t="s">
        <v>127</v>
      </c>
      <c r="L25">
        <v>2020</v>
      </c>
      <c r="M25">
        <v>0</v>
      </c>
      <c r="N25">
        <v>766.13352102903661</v>
      </c>
      <c r="O25">
        <v>0.9</v>
      </c>
      <c r="P25">
        <v>1</v>
      </c>
      <c r="Q25">
        <v>0.22185413198701021</v>
      </c>
      <c r="R25">
        <v>0</v>
      </c>
      <c r="S25">
        <v>0</v>
      </c>
      <c r="T25">
        <v>0</v>
      </c>
    </row>
    <row r="26" spans="1:20" x14ac:dyDescent="0.25">
      <c r="A26" t="s">
        <v>91</v>
      </c>
      <c r="B26" t="s">
        <v>92</v>
      </c>
      <c r="C26" t="s">
        <v>108</v>
      </c>
      <c r="E26" t="s">
        <v>120</v>
      </c>
      <c r="F26" t="s">
        <v>95</v>
      </c>
      <c r="G26" t="s">
        <v>100</v>
      </c>
      <c r="H26" t="s">
        <v>101</v>
      </c>
      <c r="J26" t="s">
        <v>109</v>
      </c>
      <c r="K26" t="s">
        <v>127</v>
      </c>
      <c r="L26">
        <v>2020</v>
      </c>
      <c r="M26">
        <v>0</v>
      </c>
      <c r="N26">
        <v>766.13352102903661</v>
      </c>
      <c r="O26">
        <v>0.9</v>
      </c>
      <c r="P26">
        <v>1</v>
      </c>
      <c r="Q26">
        <v>2.5017494209130229E-3</v>
      </c>
      <c r="R26">
        <v>0</v>
      </c>
      <c r="S26">
        <v>0</v>
      </c>
      <c r="T26">
        <v>0</v>
      </c>
    </row>
    <row r="27" spans="1:20" x14ac:dyDescent="0.25">
      <c r="A27" t="s">
        <v>91</v>
      </c>
      <c r="B27" t="s">
        <v>92</v>
      </c>
      <c r="C27" t="s">
        <v>108</v>
      </c>
      <c r="E27" t="s">
        <v>120</v>
      </c>
      <c r="F27" t="s">
        <v>122</v>
      </c>
      <c r="G27" t="s">
        <v>123</v>
      </c>
      <c r="I27" t="s">
        <v>124</v>
      </c>
      <c r="J27" t="s">
        <v>109</v>
      </c>
      <c r="K27" t="s">
        <v>127</v>
      </c>
      <c r="L27">
        <v>2020</v>
      </c>
      <c r="M27">
        <v>0</v>
      </c>
      <c r="N27">
        <v>766.13352102903661</v>
      </c>
      <c r="O27">
        <v>0.9</v>
      </c>
      <c r="P27">
        <v>1</v>
      </c>
      <c r="Q27">
        <v>0</v>
      </c>
      <c r="R27">
        <v>0</v>
      </c>
      <c r="S27">
        <v>0</v>
      </c>
      <c r="T27">
        <v>0</v>
      </c>
    </row>
    <row r="28" spans="1:20" x14ac:dyDescent="0.25">
      <c r="A28" t="s">
        <v>91</v>
      </c>
      <c r="B28" t="s">
        <v>92</v>
      </c>
      <c r="C28" t="s">
        <v>111</v>
      </c>
      <c r="E28" t="s">
        <v>120</v>
      </c>
      <c r="F28" t="s">
        <v>95</v>
      </c>
      <c r="G28" t="s">
        <v>96</v>
      </c>
      <c r="H28" t="s">
        <v>97</v>
      </c>
      <c r="J28" t="s">
        <v>112</v>
      </c>
      <c r="K28" t="s">
        <v>128</v>
      </c>
      <c r="L28">
        <v>2020</v>
      </c>
      <c r="M28">
        <v>1</v>
      </c>
      <c r="N28">
        <v>766.13352102903661</v>
      </c>
      <c r="O28">
        <v>0.9</v>
      </c>
      <c r="P28">
        <v>1</v>
      </c>
      <c r="Q28">
        <v>0.2405790225480274</v>
      </c>
      <c r="R28">
        <v>3.9766619462770469</v>
      </c>
      <c r="S28">
        <v>0</v>
      </c>
      <c r="T28">
        <v>0.53538242490437882</v>
      </c>
    </row>
    <row r="29" spans="1:20" x14ac:dyDescent="0.25">
      <c r="A29" t="s">
        <v>91</v>
      </c>
      <c r="B29" t="s">
        <v>92</v>
      </c>
      <c r="C29" t="s">
        <v>111</v>
      </c>
      <c r="E29" t="s">
        <v>120</v>
      </c>
      <c r="F29" t="s">
        <v>95</v>
      </c>
      <c r="G29" t="s">
        <v>100</v>
      </c>
      <c r="H29" t="s">
        <v>101</v>
      </c>
      <c r="J29" t="s">
        <v>112</v>
      </c>
      <c r="K29" t="s">
        <v>128</v>
      </c>
      <c r="L29">
        <v>2020</v>
      </c>
      <c r="M29">
        <v>1</v>
      </c>
      <c r="N29">
        <v>766.13352102903661</v>
      </c>
      <c r="O29">
        <v>0.9</v>
      </c>
      <c r="P29">
        <v>1</v>
      </c>
      <c r="Q29">
        <v>4.1551694077049256E-3</v>
      </c>
      <c r="R29">
        <v>3.9766619462770469</v>
      </c>
      <c r="S29">
        <v>0</v>
      </c>
      <c r="T29">
        <v>0.53538242490437882</v>
      </c>
    </row>
    <row r="30" spans="1:20" x14ac:dyDescent="0.25">
      <c r="A30" t="s">
        <v>91</v>
      </c>
      <c r="B30" t="s">
        <v>92</v>
      </c>
      <c r="C30" t="s">
        <v>111</v>
      </c>
      <c r="E30" t="s">
        <v>120</v>
      </c>
      <c r="F30" t="s">
        <v>122</v>
      </c>
      <c r="G30" t="s">
        <v>123</v>
      </c>
      <c r="I30" t="s">
        <v>124</v>
      </c>
      <c r="J30" t="s">
        <v>112</v>
      </c>
      <c r="K30" t="s">
        <v>128</v>
      </c>
      <c r="L30">
        <v>2020</v>
      </c>
      <c r="M30">
        <v>1</v>
      </c>
      <c r="N30">
        <v>766.13352102903661</v>
      </c>
      <c r="O30">
        <v>0.9</v>
      </c>
      <c r="P30">
        <v>1</v>
      </c>
      <c r="Q30">
        <v>4.2239471420249988</v>
      </c>
      <c r="R30">
        <v>3.9766619462770469</v>
      </c>
      <c r="S30">
        <v>0</v>
      </c>
      <c r="T30">
        <v>0.53538242490437882</v>
      </c>
    </row>
    <row r="31" spans="1:20" x14ac:dyDescent="0.25">
      <c r="A31" t="s">
        <v>91</v>
      </c>
      <c r="B31" t="s">
        <v>92</v>
      </c>
      <c r="C31" t="s">
        <v>114</v>
      </c>
      <c r="E31" t="s">
        <v>120</v>
      </c>
      <c r="F31" t="s">
        <v>95</v>
      </c>
      <c r="G31" t="s">
        <v>96</v>
      </c>
      <c r="H31" t="s">
        <v>97</v>
      </c>
      <c r="J31" t="s">
        <v>115</v>
      </c>
      <c r="K31" t="s">
        <v>129</v>
      </c>
      <c r="L31">
        <v>2020</v>
      </c>
      <c r="M31">
        <v>1</v>
      </c>
      <c r="N31">
        <v>766.13352102903661</v>
      </c>
      <c r="O31">
        <v>0.9</v>
      </c>
      <c r="P31">
        <v>1</v>
      </c>
      <c r="Q31">
        <v>0.31462940038692561</v>
      </c>
      <c r="R31">
        <v>3.1453229258281872</v>
      </c>
      <c r="S31">
        <v>0</v>
      </c>
      <c r="T31">
        <v>0.23841366678113379</v>
      </c>
    </row>
    <row r="32" spans="1:20" x14ac:dyDescent="0.25">
      <c r="A32" t="s">
        <v>91</v>
      </c>
      <c r="B32" t="s">
        <v>92</v>
      </c>
      <c r="C32" t="s">
        <v>114</v>
      </c>
      <c r="E32" t="s">
        <v>120</v>
      </c>
      <c r="F32" t="s">
        <v>95</v>
      </c>
      <c r="G32" t="s">
        <v>100</v>
      </c>
      <c r="H32" t="s">
        <v>101</v>
      </c>
      <c r="J32" t="s">
        <v>115</v>
      </c>
      <c r="K32" t="s">
        <v>129</v>
      </c>
      <c r="L32">
        <v>2020</v>
      </c>
      <c r="M32">
        <v>1</v>
      </c>
      <c r="N32">
        <v>766.13352102903661</v>
      </c>
      <c r="O32">
        <v>0.9</v>
      </c>
      <c r="P32">
        <v>1</v>
      </c>
      <c r="Q32">
        <v>1.18690739705276E-2</v>
      </c>
      <c r="R32">
        <v>3.1453229258281872</v>
      </c>
      <c r="S32">
        <v>0</v>
      </c>
      <c r="T32">
        <v>0.23841366678113379</v>
      </c>
    </row>
    <row r="33" spans="1:20" x14ac:dyDescent="0.25">
      <c r="A33" t="s">
        <v>91</v>
      </c>
      <c r="B33" t="s">
        <v>92</v>
      </c>
      <c r="C33" t="s">
        <v>114</v>
      </c>
      <c r="E33" t="s">
        <v>120</v>
      </c>
      <c r="F33" t="s">
        <v>122</v>
      </c>
      <c r="G33" t="s">
        <v>123</v>
      </c>
      <c r="I33" t="s">
        <v>124</v>
      </c>
      <c r="J33" t="s">
        <v>115</v>
      </c>
      <c r="K33" t="s">
        <v>129</v>
      </c>
      <c r="L33">
        <v>2020</v>
      </c>
      <c r="M33">
        <v>1</v>
      </c>
      <c r="N33">
        <v>766.13352102903661</v>
      </c>
      <c r="O33">
        <v>0.9</v>
      </c>
      <c r="P33">
        <v>1</v>
      </c>
      <c r="Q33">
        <v>1.20896419189</v>
      </c>
      <c r="R33">
        <v>3.1453229258281872</v>
      </c>
      <c r="S33">
        <v>0</v>
      </c>
      <c r="T33">
        <v>0.23841366678113379</v>
      </c>
    </row>
    <row r="34" spans="1:20" x14ac:dyDescent="0.25">
      <c r="A34" t="s">
        <v>91</v>
      </c>
      <c r="B34" t="s">
        <v>92</v>
      </c>
      <c r="C34" t="s">
        <v>117</v>
      </c>
      <c r="E34" t="s">
        <v>120</v>
      </c>
      <c r="F34" t="s">
        <v>95</v>
      </c>
      <c r="G34" t="s">
        <v>96</v>
      </c>
      <c r="H34" t="s">
        <v>97</v>
      </c>
      <c r="J34" t="s">
        <v>118</v>
      </c>
      <c r="K34" t="s">
        <v>130</v>
      </c>
      <c r="L34">
        <v>2020</v>
      </c>
      <c r="M34">
        <v>1</v>
      </c>
      <c r="N34">
        <v>766.13352102903661</v>
      </c>
      <c r="O34">
        <v>0.9</v>
      </c>
      <c r="P34">
        <v>1</v>
      </c>
      <c r="Q34">
        <v>0.30609765977848391</v>
      </c>
      <c r="R34">
        <v>0.1492091497838344</v>
      </c>
      <c r="S34">
        <v>0</v>
      </c>
      <c r="T34">
        <v>0.150329751095714</v>
      </c>
    </row>
    <row r="35" spans="1:20" x14ac:dyDescent="0.25">
      <c r="A35" t="s">
        <v>91</v>
      </c>
      <c r="B35" t="s">
        <v>92</v>
      </c>
      <c r="C35" t="s">
        <v>117</v>
      </c>
      <c r="E35" t="s">
        <v>120</v>
      </c>
      <c r="F35" t="s">
        <v>95</v>
      </c>
      <c r="G35" t="s">
        <v>100</v>
      </c>
      <c r="H35" t="s">
        <v>101</v>
      </c>
      <c r="J35" t="s">
        <v>118</v>
      </c>
      <c r="K35" t="s">
        <v>130</v>
      </c>
      <c r="L35">
        <v>2020</v>
      </c>
      <c r="M35">
        <v>1</v>
      </c>
      <c r="N35">
        <v>766.13352102903661</v>
      </c>
      <c r="O35">
        <v>0.9</v>
      </c>
      <c r="P35">
        <v>1</v>
      </c>
      <c r="Q35">
        <v>1.1309842654738051E-2</v>
      </c>
      <c r="R35">
        <v>0.1492091497838344</v>
      </c>
      <c r="S35">
        <v>0</v>
      </c>
      <c r="T35">
        <v>0.150329751095714</v>
      </c>
    </row>
    <row r="36" spans="1:20" x14ac:dyDescent="0.25">
      <c r="A36" t="s">
        <v>91</v>
      </c>
      <c r="B36" t="s">
        <v>92</v>
      </c>
      <c r="C36" t="s">
        <v>117</v>
      </c>
      <c r="E36" t="s">
        <v>120</v>
      </c>
      <c r="F36" t="s">
        <v>122</v>
      </c>
      <c r="G36" t="s">
        <v>123</v>
      </c>
      <c r="I36" t="s">
        <v>124</v>
      </c>
      <c r="J36" t="s">
        <v>118</v>
      </c>
      <c r="K36" t="s">
        <v>130</v>
      </c>
      <c r="L36">
        <v>2020</v>
      </c>
      <c r="M36">
        <v>1</v>
      </c>
      <c r="N36">
        <v>766.13352102903661</v>
      </c>
      <c r="O36">
        <v>0.9</v>
      </c>
      <c r="P36">
        <v>1</v>
      </c>
      <c r="Q36">
        <v>0.19326305009753111</v>
      </c>
      <c r="R36">
        <v>0.1492091497838344</v>
      </c>
      <c r="S36">
        <v>0</v>
      </c>
      <c r="T36">
        <v>0.150329751095714</v>
      </c>
    </row>
    <row r="37" spans="1:20" x14ac:dyDescent="0.25">
      <c r="A37" t="s">
        <v>91</v>
      </c>
      <c r="B37" t="s">
        <v>92</v>
      </c>
      <c r="C37" t="s">
        <v>93</v>
      </c>
      <c r="E37" t="s">
        <v>131</v>
      </c>
      <c r="F37" t="s">
        <v>122</v>
      </c>
      <c r="G37" t="s">
        <v>96</v>
      </c>
      <c r="I37" t="s">
        <v>132</v>
      </c>
      <c r="J37" t="s">
        <v>98</v>
      </c>
      <c r="K37" t="s">
        <v>133</v>
      </c>
      <c r="L37">
        <v>2020</v>
      </c>
      <c r="M37">
        <v>1</v>
      </c>
      <c r="N37">
        <v>595.25187514932907</v>
      </c>
      <c r="O37">
        <v>0.9</v>
      </c>
      <c r="P37">
        <v>1</v>
      </c>
      <c r="Q37">
        <v>2.709039977776607</v>
      </c>
      <c r="R37">
        <v>1.1449374074807429E-2</v>
      </c>
      <c r="S37">
        <v>20.60979905101815</v>
      </c>
      <c r="T37">
        <v>1.490110646343961E-2</v>
      </c>
    </row>
    <row r="38" spans="1:20" x14ac:dyDescent="0.25">
      <c r="A38" t="s">
        <v>91</v>
      </c>
      <c r="B38" t="s">
        <v>92</v>
      </c>
      <c r="C38" t="s">
        <v>93</v>
      </c>
      <c r="E38" t="s">
        <v>131</v>
      </c>
      <c r="F38" t="s">
        <v>122</v>
      </c>
      <c r="G38" t="s">
        <v>134</v>
      </c>
      <c r="I38" t="s">
        <v>135</v>
      </c>
      <c r="J38" t="s">
        <v>98</v>
      </c>
      <c r="K38" t="s">
        <v>133</v>
      </c>
      <c r="L38">
        <v>2020</v>
      </c>
      <c r="M38">
        <v>1</v>
      </c>
      <c r="N38">
        <v>595.25187514932907</v>
      </c>
      <c r="O38">
        <v>0.9</v>
      </c>
      <c r="P38">
        <v>1</v>
      </c>
      <c r="Q38">
        <v>5.418079955553214</v>
      </c>
      <c r="R38">
        <v>1.1449374074807429E-2</v>
      </c>
      <c r="S38">
        <v>20.60979905101815</v>
      </c>
      <c r="T38">
        <v>1.490110646343961E-2</v>
      </c>
    </row>
    <row r="39" spans="1:20" x14ac:dyDescent="0.25">
      <c r="A39" t="s">
        <v>91</v>
      </c>
      <c r="B39" t="s">
        <v>92</v>
      </c>
      <c r="C39" t="s">
        <v>102</v>
      </c>
      <c r="E39" t="s">
        <v>131</v>
      </c>
      <c r="F39" t="s">
        <v>122</v>
      </c>
      <c r="G39" t="s">
        <v>96</v>
      </c>
      <c r="I39" t="s">
        <v>132</v>
      </c>
      <c r="J39" t="s">
        <v>103</v>
      </c>
      <c r="K39" t="s">
        <v>136</v>
      </c>
      <c r="L39">
        <v>2020</v>
      </c>
      <c r="M39">
        <v>1</v>
      </c>
      <c r="N39">
        <v>595.25187514932907</v>
      </c>
      <c r="O39">
        <v>0.9</v>
      </c>
      <c r="P39">
        <v>1</v>
      </c>
      <c r="Q39">
        <v>0</v>
      </c>
      <c r="R39">
        <v>1.185822395988396E-2</v>
      </c>
      <c r="S39">
        <v>10.258114425571099</v>
      </c>
      <c r="T39">
        <v>1.622764127250054E-2</v>
      </c>
    </row>
    <row r="40" spans="1:20" x14ac:dyDescent="0.25">
      <c r="A40" t="s">
        <v>91</v>
      </c>
      <c r="B40" t="s">
        <v>92</v>
      </c>
      <c r="C40" t="s">
        <v>102</v>
      </c>
      <c r="E40" t="s">
        <v>131</v>
      </c>
      <c r="F40" t="s">
        <v>122</v>
      </c>
      <c r="G40" t="s">
        <v>134</v>
      </c>
      <c r="I40" t="s">
        <v>135</v>
      </c>
      <c r="J40" t="s">
        <v>103</v>
      </c>
      <c r="K40" t="s">
        <v>136</v>
      </c>
      <c r="L40">
        <v>2020</v>
      </c>
      <c r="M40">
        <v>1</v>
      </c>
      <c r="N40">
        <v>595.25187514932907</v>
      </c>
      <c r="O40">
        <v>0.9</v>
      </c>
      <c r="P40">
        <v>1</v>
      </c>
      <c r="Q40">
        <v>0</v>
      </c>
      <c r="R40">
        <v>1.185822395988396E-2</v>
      </c>
      <c r="S40">
        <v>10.258114425571099</v>
      </c>
      <c r="T40">
        <v>1.622764127250054E-2</v>
      </c>
    </row>
    <row r="41" spans="1:20" x14ac:dyDescent="0.25">
      <c r="A41" t="s">
        <v>91</v>
      </c>
      <c r="B41" t="s">
        <v>92</v>
      </c>
      <c r="C41" t="s">
        <v>105</v>
      </c>
      <c r="E41" t="s">
        <v>131</v>
      </c>
      <c r="F41" t="s">
        <v>122</v>
      </c>
      <c r="G41" t="s">
        <v>96</v>
      </c>
      <c r="I41" t="s">
        <v>132</v>
      </c>
      <c r="J41" t="s">
        <v>106</v>
      </c>
      <c r="K41" t="s">
        <v>137</v>
      </c>
      <c r="L41">
        <v>2020</v>
      </c>
      <c r="M41">
        <v>1</v>
      </c>
      <c r="N41">
        <v>595.25187514932907</v>
      </c>
      <c r="O41">
        <v>0.9</v>
      </c>
      <c r="P41">
        <v>1</v>
      </c>
      <c r="Q41">
        <v>0.25614365143008</v>
      </c>
      <c r="R41">
        <v>1.1480252117885569E-2</v>
      </c>
      <c r="S41">
        <v>12.099667057685391</v>
      </c>
      <c r="T41">
        <v>1.5001291887170771E-2</v>
      </c>
    </row>
    <row r="42" spans="1:20" x14ac:dyDescent="0.25">
      <c r="A42" t="s">
        <v>91</v>
      </c>
      <c r="B42" t="s">
        <v>92</v>
      </c>
      <c r="C42" t="s">
        <v>105</v>
      </c>
      <c r="E42" t="s">
        <v>131</v>
      </c>
      <c r="F42" t="s">
        <v>122</v>
      </c>
      <c r="G42" t="s">
        <v>134</v>
      </c>
      <c r="I42" t="s">
        <v>135</v>
      </c>
      <c r="J42" t="s">
        <v>106</v>
      </c>
      <c r="K42" t="s">
        <v>137</v>
      </c>
      <c r="L42">
        <v>2020</v>
      </c>
      <c r="M42">
        <v>1</v>
      </c>
      <c r="N42">
        <v>595.25187514932907</v>
      </c>
      <c r="O42">
        <v>0.9</v>
      </c>
      <c r="P42">
        <v>1</v>
      </c>
      <c r="Q42">
        <v>0.51228730286016011</v>
      </c>
      <c r="R42">
        <v>1.1480252117885569E-2</v>
      </c>
      <c r="S42">
        <v>12.099667057685391</v>
      </c>
      <c r="T42">
        <v>1.5001291887170771E-2</v>
      </c>
    </row>
    <row r="43" spans="1:20" x14ac:dyDescent="0.25">
      <c r="A43" t="s">
        <v>91</v>
      </c>
      <c r="B43" t="s">
        <v>92</v>
      </c>
      <c r="C43" t="s">
        <v>108</v>
      </c>
      <c r="E43" t="s">
        <v>131</v>
      </c>
      <c r="F43" t="s">
        <v>122</v>
      </c>
      <c r="G43" t="s">
        <v>96</v>
      </c>
      <c r="I43" t="s">
        <v>132</v>
      </c>
      <c r="J43" t="s">
        <v>109</v>
      </c>
      <c r="K43" t="s">
        <v>138</v>
      </c>
      <c r="L43">
        <v>2020</v>
      </c>
      <c r="M43">
        <v>1</v>
      </c>
      <c r="N43">
        <v>595.25187514932907</v>
      </c>
      <c r="O43">
        <v>0.9</v>
      </c>
      <c r="P43">
        <v>1</v>
      </c>
      <c r="Q43">
        <v>7.6697524780899533</v>
      </c>
      <c r="R43">
        <v>1.185463821232545E-2</v>
      </c>
      <c r="S43">
        <v>2402.8615470183909</v>
      </c>
      <c r="T43">
        <v>1.6216007127239689E-2</v>
      </c>
    </row>
    <row r="44" spans="1:20" x14ac:dyDescent="0.25">
      <c r="A44" t="s">
        <v>91</v>
      </c>
      <c r="B44" t="s">
        <v>92</v>
      </c>
      <c r="C44" t="s">
        <v>108</v>
      </c>
      <c r="E44" t="s">
        <v>131</v>
      </c>
      <c r="F44" t="s">
        <v>122</v>
      </c>
      <c r="G44" t="s">
        <v>134</v>
      </c>
      <c r="I44" t="s">
        <v>135</v>
      </c>
      <c r="J44" t="s">
        <v>109</v>
      </c>
      <c r="K44" t="s">
        <v>138</v>
      </c>
      <c r="L44">
        <v>2020</v>
      </c>
      <c r="M44">
        <v>1</v>
      </c>
      <c r="N44">
        <v>595.25187514932907</v>
      </c>
      <c r="O44">
        <v>0.9</v>
      </c>
      <c r="P44">
        <v>1</v>
      </c>
      <c r="Q44">
        <v>15.33950495617991</v>
      </c>
      <c r="R44">
        <v>1.185463821232545E-2</v>
      </c>
      <c r="S44">
        <v>2402.8615470183909</v>
      </c>
      <c r="T44">
        <v>1.6216007127239689E-2</v>
      </c>
    </row>
    <row r="45" spans="1:20" x14ac:dyDescent="0.25">
      <c r="A45" t="s">
        <v>91</v>
      </c>
      <c r="B45" t="s">
        <v>92</v>
      </c>
      <c r="C45" t="s">
        <v>111</v>
      </c>
      <c r="E45" t="s">
        <v>131</v>
      </c>
      <c r="F45" t="s">
        <v>122</v>
      </c>
      <c r="G45" t="s">
        <v>96</v>
      </c>
      <c r="I45" t="s">
        <v>132</v>
      </c>
      <c r="J45" t="s">
        <v>112</v>
      </c>
      <c r="K45" t="s">
        <v>139</v>
      </c>
      <c r="L45">
        <v>2020</v>
      </c>
      <c r="M45">
        <v>1</v>
      </c>
      <c r="N45">
        <v>595.25187514932907</v>
      </c>
      <c r="O45">
        <v>0.9</v>
      </c>
      <c r="P45">
        <v>1</v>
      </c>
      <c r="Q45">
        <v>1.3159444960944</v>
      </c>
      <c r="R45">
        <v>8.6599124686191544E-3</v>
      </c>
      <c r="S45">
        <v>19.656155972446101</v>
      </c>
      <c r="T45">
        <v>5.8505525701564691E-3</v>
      </c>
    </row>
    <row r="46" spans="1:20" x14ac:dyDescent="0.25">
      <c r="A46" t="s">
        <v>91</v>
      </c>
      <c r="B46" t="s">
        <v>92</v>
      </c>
      <c r="C46" t="s">
        <v>111</v>
      </c>
      <c r="E46" t="s">
        <v>131</v>
      </c>
      <c r="F46" t="s">
        <v>122</v>
      </c>
      <c r="G46" t="s">
        <v>134</v>
      </c>
      <c r="I46" t="s">
        <v>135</v>
      </c>
      <c r="J46" t="s">
        <v>112</v>
      </c>
      <c r="K46" t="s">
        <v>139</v>
      </c>
      <c r="L46">
        <v>2020</v>
      </c>
      <c r="M46">
        <v>1</v>
      </c>
      <c r="N46">
        <v>595.25187514932907</v>
      </c>
      <c r="O46">
        <v>0.9</v>
      </c>
      <c r="P46">
        <v>1</v>
      </c>
      <c r="Q46">
        <v>2.6318889921888009</v>
      </c>
      <c r="R46">
        <v>8.6599124686191544E-3</v>
      </c>
      <c r="S46">
        <v>19.656155972446101</v>
      </c>
      <c r="T46">
        <v>5.8505525701564691E-3</v>
      </c>
    </row>
    <row r="47" spans="1:20" x14ac:dyDescent="0.25">
      <c r="A47" t="s">
        <v>91</v>
      </c>
      <c r="B47" t="s">
        <v>92</v>
      </c>
      <c r="C47" t="s">
        <v>114</v>
      </c>
      <c r="E47" t="s">
        <v>131</v>
      </c>
      <c r="F47" t="s">
        <v>122</v>
      </c>
      <c r="G47" t="s">
        <v>96</v>
      </c>
      <c r="I47" t="s">
        <v>132</v>
      </c>
      <c r="J47" t="s">
        <v>115</v>
      </c>
      <c r="K47" t="s">
        <v>140</v>
      </c>
      <c r="L47">
        <v>2020</v>
      </c>
      <c r="M47">
        <v>1</v>
      </c>
      <c r="N47">
        <v>595.25187514932907</v>
      </c>
      <c r="O47">
        <v>0.9</v>
      </c>
      <c r="P47">
        <v>1</v>
      </c>
      <c r="Q47">
        <v>1.3486952514352</v>
      </c>
      <c r="R47">
        <v>9.3531683720686123E-3</v>
      </c>
      <c r="S47">
        <v>23.967659013904431</v>
      </c>
      <c r="T47">
        <v>8.0998575622333296E-3</v>
      </c>
    </row>
    <row r="48" spans="1:20" x14ac:dyDescent="0.25">
      <c r="A48" t="s">
        <v>91</v>
      </c>
      <c r="B48" t="s">
        <v>92</v>
      </c>
      <c r="C48" t="s">
        <v>114</v>
      </c>
      <c r="E48" t="s">
        <v>131</v>
      </c>
      <c r="F48" t="s">
        <v>122</v>
      </c>
      <c r="G48" t="s">
        <v>134</v>
      </c>
      <c r="I48" t="s">
        <v>135</v>
      </c>
      <c r="J48" t="s">
        <v>115</v>
      </c>
      <c r="K48" t="s">
        <v>140</v>
      </c>
      <c r="L48">
        <v>2020</v>
      </c>
      <c r="M48">
        <v>1</v>
      </c>
      <c r="N48">
        <v>595.25187514932907</v>
      </c>
      <c r="O48">
        <v>0.9</v>
      </c>
      <c r="P48">
        <v>1</v>
      </c>
      <c r="Q48">
        <v>2.6973905028703999</v>
      </c>
      <c r="R48">
        <v>9.3531683720686123E-3</v>
      </c>
      <c r="S48">
        <v>23.967659013904431</v>
      </c>
      <c r="T48">
        <v>8.0998575622333296E-3</v>
      </c>
    </row>
    <row r="49" spans="1:20" x14ac:dyDescent="0.25">
      <c r="A49" t="s">
        <v>91</v>
      </c>
      <c r="B49" t="s">
        <v>92</v>
      </c>
      <c r="C49" t="s">
        <v>117</v>
      </c>
      <c r="E49" t="s">
        <v>131</v>
      </c>
      <c r="F49" t="s">
        <v>122</v>
      </c>
      <c r="G49" t="s">
        <v>96</v>
      </c>
      <c r="I49" t="s">
        <v>132</v>
      </c>
      <c r="J49" t="s">
        <v>118</v>
      </c>
      <c r="K49" t="s">
        <v>141</v>
      </c>
      <c r="L49">
        <v>2020</v>
      </c>
      <c r="M49">
        <v>1</v>
      </c>
      <c r="N49">
        <v>595.25187514932907</v>
      </c>
      <c r="O49">
        <v>0.9</v>
      </c>
      <c r="P49">
        <v>1</v>
      </c>
      <c r="Q49">
        <v>1.4416176065790931</v>
      </c>
      <c r="R49">
        <v>1.0833831744631201E-2</v>
      </c>
      <c r="S49">
        <v>94.605251520419316</v>
      </c>
      <c r="T49">
        <v>1.290394721934102E-2</v>
      </c>
    </row>
    <row r="50" spans="1:20" x14ac:dyDescent="0.25">
      <c r="A50" t="s">
        <v>91</v>
      </c>
      <c r="B50" t="s">
        <v>92</v>
      </c>
      <c r="C50" t="s">
        <v>117</v>
      </c>
      <c r="E50" t="s">
        <v>131</v>
      </c>
      <c r="F50" t="s">
        <v>122</v>
      </c>
      <c r="G50" t="s">
        <v>134</v>
      </c>
      <c r="I50" t="s">
        <v>135</v>
      </c>
      <c r="J50" t="s">
        <v>118</v>
      </c>
      <c r="K50" t="s">
        <v>141</v>
      </c>
      <c r="L50">
        <v>2020</v>
      </c>
      <c r="M50">
        <v>1</v>
      </c>
      <c r="N50">
        <v>595.25187514932907</v>
      </c>
      <c r="O50">
        <v>0.9</v>
      </c>
      <c r="P50">
        <v>1</v>
      </c>
      <c r="Q50">
        <v>2.8832352131581871</v>
      </c>
      <c r="R50">
        <v>1.0833831744631201E-2</v>
      </c>
      <c r="S50">
        <v>94.605251520419316</v>
      </c>
      <c r="T50">
        <v>1.290394721934102E-2</v>
      </c>
    </row>
    <row r="51" spans="1:20" x14ac:dyDescent="0.25">
      <c r="A51" t="s">
        <v>91</v>
      </c>
      <c r="B51" t="s">
        <v>92</v>
      </c>
      <c r="C51" t="s">
        <v>93</v>
      </c>
      <c r="E51" t="s">
        <v>142</v>
      </c>
      <c r="F51" t="s">
        <v>95</v>
      </c>
      <c r="G51" t="s">
        <v>96</v>
      </c>
      <c r="H51" t="s">
        <v>97</v>
      </c>
      <c r="J51" t="s">
        <v>143</v>
      </c>
      <c r="K51" t="s">
        <v>144</v>
      </c>
      <c r="L51">
        <v>2020</v>
      </c>
      <c r="M51">
        <v>1</v>
      </c>
      <c r="N51">
        <v>57.235757225897018</v>
      </c>
      <c r="O51">
        <v>0.9</v>
      </c>
      <c r="P51">
        <v>1</v>
      </c>
      <c r="Q51">
        <v>1.6318800570910171E-3</v>
      </c>
      <c r="R51">
        <v>0</v>
      </c>
      <c r="S51">
        <v>0</v>
      </c>
      <c r="T51">
        <v>4.202542855613551E-5</v>
      </c>
    </row>
    <row r="52" spans="1:20" x14ac:dyDescent="0.25">
      <c r="A52" t="s">
        <v>91</v>
      </c>
      <c r="B52" t="s">
        <v>92</v>
      </c>
      <c r="C52" t="s">
        <v>93</v>
      </c>
      <c r="E52" t="s">
        <v>142</v>
      </c>
      <c r="F52" t="s">
        <v>95</v>
      </c>
      <c r="G52" t="s">
        <v>100</v>
      </c>
      <c r="H52" t="s">
        <v>101</v>
      </c>
      <c r="J52" t="s">
        <v>143</v>
      </c>
      <c r="K52" t="s">
        <v>144</v>
      </c>
      <c r="L52">
        <v>2020</v>
      </c>
      <c r="M52">
        <v>1</v>
      </c>
      <c r="N52">
        <v>57.235757225897018</v>
      </c>
      <c r="O52">
        <v>0.9</v>
      </c>
      <c r="P52">
        <v>1</v>
      </c>
      <c r="Q52">
        <v>4.2171586568799701E-4</v>
      </c>
      <c r="R52">
        <v>0</v>
      </c>
      <c r="S52">
        <v>0</v>
      </c>
      <c r="T52">
        <v>4.202542855613551E-5</v>
      </c>
    </row>
    <row r="53" spans="1:20" x14ac:dyDescent="0.25">
      <c r="A53" t="s">
        <v>91</v>
      </c>
      <c r="B53" t="s">
        <v>92</v>
      </c>
      <c r="C53" t="s">
        <v>93</v>
      </c>
      <c r="E53" t="s">
        <v>142</v>
      </c>
      <c r="F53" t="s">
        <v>122</v>
      </c>
      <c r="G53" t="s">
        <v>123</v>
      </c>
      <c r="I53" t="s">
        <v>145</v>
      </c>
      <c r="J53" t="s">
        <v>143</v>
      </c>
      <c r="K53" t="s">
        <v>144</v>
      </c>
      <c r="L53">
        <v>2020</v>
      </c>
      <c r="M53">
        <v>1</v>
      </c>
      <c r="N53">
        <v>57.235757225897018</v>
      </c>
      <c r="O53">
        <v>0.9</v>
      </c>
      <c r="P53">
        <v>1</v>
      </c>
      <c r="Q53">
        <v>7.3642392222467212E-2</v>
      </c>
      <c r="R53">
        <v>0</v>
      </c>
      <c r="S53">
        <v>0</v>
      </c>
      <c r="T53">
        <v>4.202542855613551E-5</v>
      </c>
    </row>
    <row r="54" spans="1:20" x14ac:dyDescent="0.25">
      <c r="A54" t="s">
        <v>91</v>
      </c>
      <c r="B54" t="s">
        <v>92</v>
      </c>
      <c r="C54" t="s">
        <v>102</v>
      </c>
      <c r="E54" t="s">
        <v>142</v>
      </c>
      <c r="F54" t="s">
        <v>95</v>
      </c>
      <c r="G54" t="s">
        <v>96</v>
      </c>
      <c r="H54" t="s">
        <v>97</v>
      </c>
      <c r="J54" t="s">
        <v>146</v>
      </c>
      <c r="K54" t="s">
        <v>147</v>
      </c>
      <c r="L54">
        <v>2020</v>
      </c>
      <c r="M54">
        <v>1</v>
      </c>
      <c r="N54">
        <v>57.235757225897018</v>
      </c>
      <c r="O54">
        <v>0.9</v>
      </c>
      <c r="P54">
        <v>1</v>
      </c>
      <c r="Q54">
        <v>1.141232354186306E-4</v>
      </c>
      <c r="R54">
        <v>0</v>
      </c>
      <c r="S54">
        <v>0</v>
      </c>
      <c r="T54">
        <v>4.202542855613551E-5</v>
      </c>
    </row>
    <row r="55" spans="1:20" x14ac:dyDescent="0.25">
      <c r="A55" t="s">
        <v>91</v>
      </c>
      <c r="B55" t="s">
        <v>92</v>
      </c>
      <c r="C55" t="s">
        <v>102</v>
      </c>
      <c r="E55" t="s">
        <v>142</v>
      </c>
      <c r="F55" t="s">
        <v>95</v>
      </c>
      <c r="G55" t="s">
        <v>100</v>
      </c>
      <c r="H55" t="s">
        <v>101</v>
      </c>
      <c r="J55" t="s">
        <v>146</v>
      </c>
      <c r="K55" t="s">
        <v>147</v>
      </c>
      <c r="L55">
        <v>2020</v>
      </c>
      <c r="M55">
        <v>1</v>
      </c>
      <c r="N55">
        <v>57.235757225897018</v>
      </c>
      <c r="O55">
        <v>0.9</v>
      </c>
      <c r="P55">
        <v>1</v>
      </c>
      <c r="Q55">
        <v>4.2171586568799711E-4</v>
      </c>
      <c r="R55">
        <v>0</v>
      </c>
      <c r="S55">
        <v>0</v>
      </c>
      <c r="T55">
        <v>4.202542855613551E-5</v>
      </c>
    </row>
    <row r="56" spans="1:20" x14ac:dyDescent="0.25">
      <c r="A56" t="s">
        <v>91</v>
      </c>
      <c r="B56" t="s">
        <v>92</v>
      </c>
      <c r="C56" t="s">
        <v>102</v>
      </c>
      <c r="E56" t="s">
        <v>142</v>
      </c>
      <c r="F56" t="s">
        <v>122</v>
      </c>
      <c r="G56" t="s">
        <v>123</v>
      </c>
      <c r="I56" t="s">
        <v>145</v>
      </c>
      <c r="J56" t="s">
        <v>146</v>
      </c>
      <c r="K56" t="s">
        <v>147</v>
      </c>
      <c r="L56">
        <v>2020</v>
      </c>
      <c r="M56">
        <v>1</v>
      </c>
      <c r="N56">
        <v>57.235757225897018</v>
      </c>
      <c r="O56">
        <v>0.9</v>
      </c>
      <c r="P56">
        <v>1</v>
      </c>
      <c r="Q56">
        <v>0</v>
      </c>
      <c r="R56">
        <v>0</v>
      </c>
      <c r="S56">
        <v>0</v>
      </c>
      <c r="T56">
        <v>4.202542855613551E-5</v>
      </c>
    </row>
    <row r="57" spans="1:20" x14ac:dyDescent="0.25">
      <c r="A57" t="s">
        <v>91</v>
      </c>
      <c r="B57" t="s">
        <v>92</v>
      </c>
      <c r="C57" t="s">
        <v>105</v>
      </c>
      <c r="E57" t="s">
        <v>142</v>
      </c>
      <c r="F57" t="s">
        <v>95</v>
      </c>
      <c r="G57" t="s">
        <v>96</v>
      </c>
      <c r="H57" t="s">
        <v>97</v>
      </c>
      <c r="J57" t="s">
        <v>148</v>
      </c>
      <c r="K57" t="s">
        <v>149</v>
      </c>
      <c r="L57">
        <v>2020</v>
      </c>
      <c r="M57">
        <v>1</v>
      </c>
      <c r="N57">
        <v>57.235757225897018</v>
      </c>
      <c r="O57">
        <v>0.9</v>
      </c>
      <c r="P57">
        <v>1</v>
      </c>
      <c r="Q57">
        <v>1.141232354186306E-4</v>
      </c>
      <c r="R57">
        <v>0</v>
      </c>
      <c r="S57">
        <v>0</v>
      </c>
      <c r="T57">
        <v>4.202542855613551E-5</v>
      </c>
    </row>
    <row r="58" spans="1:20" x14ac:dyDescent="0.25">
      <c r="A58" t="s">
        <v>91</v>
      </c>
      <c r="B58" t="s">
        <v>92</v>
      </c>
      <c r="C58" t="s">
        <v>105</v>
      </c>
      <c r="E58" t="s">
        <v>142</v>
      </c>
      <c r="F58" t="s">
        <v>95</v>
      </c>
      <c r="G58" t="s">
        <v>100</v>
      </c>
      <c r="H58" t="s">
        <v>101</v>
      </c>
      <c r="J58" t="s">
        <v>148</v>
      </c>
      <c r="K58" t="s">
        <v>149</v>
      </c>
      <c r="L58">
        <v>2020</v>
      </c>
      <c r="M58">
        <v>1</v>
      </c>
      <c r="N58">
        <v>57.235757225897018</v>
      </c>
      <c r="O58">
        <v>0.9</v>
      </c>
      <c r="P58">
        <v>1</v>
      </c>
      <c r="Q58">
        <v>4.2171586568799711E-4</v>
      </c>
      <c r="R58">
        <v>0</v>
      </c>
      <c r="S58">
        <v>0</v>
      </c>
      <c r="T58">
        <v>4.202542855613551E-5</v>
      </c>
    </row>
    <row r="59" spans="1:20" x14ac:dyDescent="0.25">
      <c r="A59" t="s">
        <v>91</v>
      </c>
      <c r="B59" t="s">
        <v>92</v>
      </c>
      <c r="C59" t="s">
        <v>105</v>
      </c>
      <c r="E59" t="s">
        <v>142</v>
      </c>
      <c r="F59" t="s">
        <v>122</v>
      </c>
      <c r="G59" t="s">
        <v>123</v>
      </c>
      <c r="I59" t="s">
        <v>145</v>
      </c>
      <c r="J59" t="s">
        <v>148</v>
      </c>
      <c r="K59" t="s">
        <v>149</v>
      </c>
      <c r="L59">
        <v>2020</v>
      </c>
      <c r="M59">
        <v>1</v>
      </c>
      <c r="N59">
        <v>57.235757225897018</v>
      </c>
      <c r="O59">
        <v>0.9</v>
      </c>
      <c r="P59">
        <v>1</v>
      </c>
      <c r="Q59">
        <v>0</v>
      </c>
      <c r="R59">
        <v>0</v>
      </c>
      <c r="S59">
        <v>0</v>
      </c>
      <c r="T59">
        <v>4.202542855613551E-5</v>
      </c>
    </row>
    <row r="60" spans="1:20" x14ac:dyDescent="0.25">
      <c r="A60" t="s">
        <v>91</v>
      </c>
      <c r="B60" t="s">
        <v>92</v>
      </c>
      <c r="C60" t="s">
        <v>108</v>
      </c>
      <c r="E60" t="s">
        <v>142</v>
      </c>
      <c r="F60" t="s">
        <v>95</v>
      </c>
      <c r="G60" t="s">
        <v>96</v>
      </c>
      <c r="H60" t="s">
        <v>97</v>
      </c>
      <c r="J60" t="s">
        <v>150</v>
      </c>
      <c r="K60" t="s">
        <v>151</v>
      </c>
      <c r="L60">
        <v>2020</v>
      </c>
      <c r="M60">
        <v>1</v>
      </c>
      <c r="N60">
        <v>57.235757225897018</v>
      </c>
      <c r="O60">
        <v>0.9</v>
      </c>
      <c r="P60">
        <v>1</v>
      </c>
      <c r="Q60">
        <v>1.141232354186306E-4</v>
      </c>
      <c r="R60">
        <v>0</v>
      </c>
      <c r="S60">
        <v>0</v>
      </c>
      <c r="T60">
        <v>4.202542855613551E-5</v>
      </c>
    </row>
    <row r="61" spans="1:20" x14ac:dyDescent="0.25">
      <c r="A61" t="s">
        <v>91</v>
      </c>
      <c r="B61" t="s">
        <v>92</v>
      </c>
      <c r="C61" t="s">
        <v>108</v>
      </c>
      <c r="E61" t="s">
        <v>142</v>
      </c>
      <c r="F61" t="s">
        <v>95</v>
      </c>
      <c r="G61" t="s">
        <v>100</v>
      </c>
      <c r="H61" t="s">
        <v>101</v>
      </c>
      <c r="J61" t="s">
        <v>150</v>
      </c>
      <c r="K61" t="s">
        <v>151</v>
      </c>
      <c r="L61">
        <v>2020</v>
      </c>
      <c r="M61">
        <v>1</v>
      </c>
      <c r="N61">
        <v>57.235757225897018</v>
      </c>
      <c r="O61">
        <v>0.9</v>
      </c>
      <c r="P61">
        <v>1</v>
      </c>
      <c r="Q61">
        <v>4.2171586568799711E-4</v>
      </c>
      <c r="R61">
        <v>0</v>
      </c>
      <c r="S61">
        <v>0</v>
      </c>
      <c r="T61">
        <v>4.202542855613551E-5</v>
      </c>
    </row>
    <row r="62" spans="1:20" x14ac:dyDescent="0.25">
      <c r="A62" t="s">
        <v>91</v>
      </c>
      <c r="B62" t="s">
        <v>92</v>
      </c>
      <c r="C62" t="s">
        <v>108</v>
      </c>
      <c r="E62" t="s">
        <v>142</v>
      </c>
      <c r="F62" t="s">
        <v>122</v>
      </c>
      <c r="G62" t="s">
        <v>123</v>
      </c>
      <c r="I62" t="s">
        <v>145</v>
      </c>
      <c r="J62" t="s">
        <v>150</v>
      </c>
      <c r="K62" t="s">
        <v>151</v>
      </c>
      <c r="L62">
        <v>2020</v>
      </c>
      <c r="M62">
        <v>1</v>
      </c>
      <c r="N62">
        <v>57.235757225897018</v>
      </c>
      <c r="O62">
        <v>0.9</v>
      </c>
      <c r="P62">
        <v>1</v>
      </c>
      <c r="Q62">
        <v>0</v>
      </c>
      <c r="R62">
        <v>0</v>
      </c>
      <c r="S62">
        <v>0</v>
      </c>
      <c r="T62">
        <v>4.202542855613551E-5</v>
      </c>
    </row>
    <row r="63" spans="1:20" x14ac:dyDescent="0.25">
      <c r="A63" t="s">
        <v>91</v>
      </c>
      <c r="B63" t="s">
        <v>92</v>
      </c>
      <c r="C63" t="s">
        <v>111</v>
      </c>
      <c r="E63" t="s">
        <v>142</v>
      </c>
      <c r="F63" t="s">
        <v>95</v>
      </c>
      <c r="G63" t="s">
        <v>96</v>
      </c>
      <c r="H63" t="s">
        <v>97</v>
      </c>
      <c r="J63" t="s">
        <v>152</v>
      </c>
      <c r="K63" t="s">
        <v>153</v>
      </c>
      <c r="L63">
        <v>2020</v>
      </c>
      <c r="M63">
        <v>1</v>
      </c>
      <c r="N63">
        <v>57.235757225897018</v>
      </c>
      <c r="O63">
        <v>0.9</v>
      </c>
      <c r="P63">
        <v>1</v>
      </c>
      <c r="Q63">
        <v>1.611632378751165E-3</v>
      </c>
      <c r="R63">
        <v>0</v>
      </c>
      <c r="S63">
        <v>0</v>
      </c>
      <c r="T63">
        <v>1.054414534329555E-4</v>
      </c>
    </row>
    <row r="64" spans="1:20" x14ac:dyDescent="0.25">
      <c r="A64" t="s">
        <v>91</v>
      </c>
      <c r="B64" t="s">
        <v>92</v>
      </c>
      <c r="C64" t="s">
        <v>111</v>
      </c>
      <c r="E64" t="s">
        <v>142</v>
      </c>
      <c r="F64" t="s">
        <v>95</v>
      </c>
      <c r="G64" t="s">
        <v>100</v>
      </c>
      <c r="H64" t="s">
        <v>101</v>
      </c>
      <c r="J64" t="s">
        <v>152</v>
      </c>
      <c r="K64" t="s">
        <v>153</v>
      </c>
      <c r="L64">
        <v>2020</v>
      </c>
      <c r="M64">
        <v>1</v>
      </c>
      <c r="N64">
        <v>57.235757225897018</v>
      </c>
      <c r="O64">
        <v>0.9</v>
      </c>
      <c r="P64">
        <v>1</v>
      </c>
      <c r="Q64">
        <v>4.2171586568799711E-4</v>
      </c>
      <c r="R64">
        <v>0</v>
      </c>
      <c r="S64">
        <v>0</v>
      </c>
      <c r="T64">
        <v>1.054414534329555E-4</v>
      </c>
    </row>
    <row r="65" spans="1:20" x14ac:dyDescent="0.25">
      <c r="A65" t="s">
        <v>91</v>
      </c>
      <c r="B65" t="s">
        <v>92</v>
      </c>
      <c r="C65" t="s">
        <v>111</v>
      </c>
      <c r="E65" t="s">
        <v>142</v>
      </c>
      <c r="F65" t="s">
        <v>122</v>
      </c>
      <c r="G65" t="s">
        <v>123</v>
      </c>
      <c r="I65" t="s">
        <v>145</v>
      </c>
      <c r="J65" t="s">
        <v>152</v>
      </c>
      <c r="K65" t="s">
        <v>153</v>
      </c>
      <c r="L65">
        <v>2020</v>
      </c>
      <c r="M65">
        <v>1</v>
      </c>
      <c r="N65">
        <v>57.235757225897018</v>
      </c>
      <c r="O65">
        <v>0.9</v>
      </c>
      <c r="P65">
        <v>1</v>
      </c>
      <c r="Q65">
        <v>0.2103772770523053</v>
      </c>
      <c r="R65">
        <v>0</v>
      </c>
      <c r="S65">
        <v>0</v>
      </c>
      <c r="T65">
        <v>1.054414534329555E-4</v>
      </c>
    </row>
    <row r="66" spans="1:20" x14ac:dyDescent="0.25">
      <c r="A66" t="s">
        <v>91</v>
      </c>
      <c r="B66" t="s">
        <v>92</v>
      </c>
      <c r="C66" t="s">
        <v>114</v>
      </c>
      <c r="E66" t="s">
        <v>142</v>
      </c>
      <c r="F66" t="s">
        <v>95</v>
      </c>
      <c r="G66" t="s">
        <v>96</v>
      </c>
      <c r="H66" t="s">
        <v>97</v>
      </c>
      <c r="J66" t="s">
        <v>154</v>
      </c>
      <c r="K66" t="s">
        <v>155</v>
      </c>
      <c r="L66">
        <v>2020</v>
      </c>
      <c r="M66">
        <v>1</v>
      </c>
      <c r="N66">
        <v>57.235757225897018</v>
      </c>
      <c r="O66">
        <v>0.9</v>
      </c>
      <c r="P66">
        <v>1</v>
      </c>
      <c r="Q66">
        <v>6.6457556288931517E-4</v>
      </c>
      <c r="R66">
        <v>0</v>
      </c>
      <c r="S66">
        <v>0</v>
      </c>
      <c r="T66">
        <v>1.136226233214584E-4</v>
      </c>
    </row>
    <row r="67" spans="1:20" x14ac:dyDescent="0.25">
      <c r="A67" t="s">
        <v>91</v>
      </c>
      <c r="B67" t="s">
        <v>92</v>
      </c>
      <c r="C67" t="s">
        <v>114</v>
      </c>
      <c r="E67" t="s">
        <v>142</v>
      </c>
      <c r="F67" t="s">
        <v>95</v>
      </c>
      <c r="G67" t="s">
        <v>100</v>
      </c>
      <c r="H67" t="s">
        <v>101</v>
      </c>
      <c r="J67" t="s">
        <v>154</v>
      </c>
      <c r="K67" t="s">
        <v>155</v>
      </c>
      <c r="L67">
        <v>2020</v>
      </c>
      <c r="M67">
        <v>1</v>
      </c>
      <c r="N67">
        <v>57.235757225897018</v>
      </c>
      <c r="O67">
        <v>0.9</v>
      </c>
      <c r="P67">
        <v>1</v>
      </c>
      <c r="Q67">
        <v>4.2171586568799701E-4</v>
      </c>
      <c r="R67">
        <v>0</v>
      </c>
      <c r="S67">
        <v>0</v>
      </c>
      <c r="T67">
        <v>1.136226233214584E-4</v>
      </c>
    </row>
    <row r="68" spans="1:20" x14ac:dyDescent="0.25">
      <c r="A68" t="s">
        <v>91</v>
      </c>
      <c r="B68" t="s">
        <v>92</v>
      </c>
      <c r="C68" t="s">
        <v>114</v>
      </c>
      <c r="E68" t="s">
        <v>142</v>
      </c>
      <c r="F68" t="s">
        <v>122</v>
      </c>
      <c r="G68" t="s">
        <v>123</v>
      </c>
      <c r="I68" t="s">
        <v>145</v>
      </c>
      <c r="J68" t="s">
        <v>154</v>
      </c>
      <c r="K68" t="s">
        <v>155</v>
      </c>
      <c r="L68">
        <v>2020</v>
      </c>
      <c r="M68">
        <v>1</v>
      </c>
      <c r="N68">
        <v>57.235757225897018</v>
      </c>
      <c r="O68">
        <v>0.9</v>
      </c>
      <c r="P68">
        <v>1</v>
      </c>
      <c r="Q68">
        <v>7.1053021013876533E-2</v>
      </c>
      <c r="R68">
        <v>0</v>
      </c>
      <c r="S68">
        <v>0</v>
      </c>
      <c r="T68">
        <v>1.136226233214584E-4</v>
      </c>
    </row>
    <row r="69" spans="1:20" x14ac:dyDescent="0.25">
      <c r="A69" t="s">
        <v>91</v>
      </c>
      <c r="B69" t="s">
        <v>92</v>
      </c>
      <c r="C69" t="s">
        <v>117</v>
      </c>
      <c r="E69" t="s">
        <v>142</v>
      </c>
      <c r="F69" t="s">
        <v>95</v>
      </c>
      <c r="G69" t="s">
        <v>96</v>
      </c>
      <c r="H69" t="s">
        <v>97</v>
      </c>
      <c r="J69" t="s">
        <v>156</v>
      </c>
      <c r="K69" t="s">
        <v>157</v>
      </c>
      <c r="L69">
        <v>2020</v>
      </c>
      <c r="M69">
        <v>1</v>
      </c>
      <c r="N69">
        <v>57.235757225897018</v>
      </c>
      <c r="O69">
        <v>0.9</v>
      </c>
      <c r="P69">
        <v>1</v>
      </c>
      <c r="Q69">
        <v>2.5635640501457262E-4</v>
      </c>
      <c r="R69">
        <v>0</v>
      </c>
      <c r="S69">
        <v>0</v>
      </c>
      <c r="T69">
        <v>4.9064860575250544E-4</v>
      </c>
    </row>
    <row r="70" spans="1:20" x14ac:dyDescent="0.25">
      <c r="A70" t="s">
        <v>91</v>
      </c>
      <c r="B70" t="s">
        <v>92</v>
      </c>
      <c r="C70" t="s">
        <v>117</v>
      </c>
      <c r="E70" t="s">
        <v>142</v>
      </c>
      <c r="F70" t="s">
        <v>95</v>
      </c>
      <c r="G70" t="s">
        <v>100</v>
      </c>
      <c r="H70" t="s">
        <v>101</v>
      </c>
      <c r="J70" t="s">
        <v>156</v>
      </c>
      <c r="K70" t="s">
        <v>157</v>
      </c>
      <c r="L70">
        <v>2020</v>
      </c>
      <c r="M70">
        <v>1</v>
      </c>
      <c r="N70">
        <v>57.235757225897018</v>
      </c>
      <c r="O70">
        <v>0.9</v>
      </c>
      <c r="P70">
        <v>1</v>
      </c>
      <c r="Q70">
        <v>4.2171586568799711E-4</v>
      </c>
      <c r="R70">
        <v>0</v>
      </c>
      <c r="S70">
        <v>0</v>
      </c>
      <c r="T70">
        <v>4.9064860575250544E-4</v>
      </c>
    </row>
    <row r="71" spans="1:20" x14ac:dyDescent="0.25">
      <c r="A71" t="s">
        <v>91</v>
      </c>
      <c r="B71" t="s">
        <v>92</v>
      </c>
      <c r="C71" t="s">
        <v>117</v>
      </c>
      <c r="E71" t="s">
        <v>142</v>
      </c>
      <c r="F71" t="s">
        <v>122</v>
      </c>
      <c r="G71" t="s">
        <v>123</v>
      </c>
      <c r="I71" t="s">
        <v>145</v>
      </c>
      <c r="J71" t="s">
        <v>156</v>
      </c>
      <c r="K71" t="s">
        <v>157</v>
      </c>
      <c r="L71">
        <v>2020</v>
      </c>
      <c r="M71">
        <v>1</v>
      </c>
      <c r="N71">
        <v>57.235757225897018</v>
      </c>
      <c r="O71">
        <v>0.9</v>
      </c>
      <c r="P71">
        <v>1</v>
      </c>
      <c r="Q71">
        <v>5.7069987175499687E-3</v>
      </c>
      <c r="R71">
        <v>0</v>
      </c>
      <c r="S71">
        <v>0</v>
      </c>
      <c r="T71">
        <v>4.9064860575250544E-4</v>
      </c>
    </row>
    <row r="72" spans="1:20" x14ac:dyDescent="0.25">
      <c r="A72" t="s">
        <v>91</v>
      </c>
      <c r="B72" t="s">
        <v>92</v>
      </c>
      <c r="C72" t="s">
        <v>93</v>
      </c>
      <c r="E72" t="s">
        <v>158</v>
      </c>
      <c r="F72" t="s">
        <v>95</v>
      </c>
      <c r="G72" t="s">
        <v>100</v>
      </c>
      <c r="H72" t="s">
        <v>101</v>
      </c>
      <c r="J72" t="s">
        <v>98</v>
      </c>
      <c r="K72" t="s">
        <v>159</v>
      </c>
      <c r="L72">
        <v>2020</v>
      </c>
      <c r="M72">
        <v>1</v>
      </c>
      <c r="N72">
        <v>57.235757225897018</v>
      </c>
      <c r="O72">
        <v>0.9</v>
      </c>
      <c r="P72">
        <v>1</v>
      </c>
      <c r="Q72">
        <v>4.2171586568799711E-4</v>
      </c>
      <c r="R72">
        <v>0</v>
      </c>
      <c r="S72">
        <v>0</v>
      </c>
      <c r="T72">
        <v>0</v>
      </c>
    </row>
    <row r="73" spans="1:20" x14ac:dyDescent="0.25">
      <c r="A73" t="s">
        <v>91</v>
      </c>
      <c r="B73" t="s">
        <v>92</v>
      </c>
      <c r="C73" t="s">
        <v>102</v>
      </c>
      <c r="E73" t="s">
        <v>158</v>
      </c>
      <c r="F73" t="s">
        <v>95</v>
      </c>
      <c r="G73" t="s">
        <v>100</v>
      </c>
      <c r="H73" t="s">
        <v>101</v>
      </c>
      <c r="J73" t="s">
        <v>103</v>
      </c>
      <c r="K73" t="s">
        <v>160</v>
      </c>
      <c r="L73">
        <v>2020</v>
      </c>
      <c r="M73">
        <v>1</v>
      </c>
      <c r="N73">
        <v>57.235757225897018</v>
      </c>
      <c r="O73">
        <v>0.9</v>
      </c>
      <c r="P73">
        <v>1</v>
      </c>
      <c r="Q73">
        <v>4.2171586568799711E-4</v>
      </c>
      <c r="R73">
        <v>0</v>
      </c>
      <c r="S73">
        <v>0</v>
      </c>
      <c r="T73">
        <v>0</v>
      </c>
    </row>
    <row r="74" spans="1:20" x14ac:dyDescent="0.25">
      <c r="A74" t="s">
        <v>91</v>
      </c>
      <c r="B74" t="s">
        <v>92</v>
      </c>
      <c r="C74" t="s">
        <v>105</v>
      </c>
      <c r="E74" t="s">
        <v>158</v>
      </c>
      <c r="F74" t="s">
        <v>95</v>
      </c>
      <c r="G74" t="s">
        <v>100</v>
      </c>
      <c r="H74" t="s">
        <v>101</v>
      </c>
      <c r="J74" t="s">
        <v>106</v>
      </c>
      <c r="K74" t="s">
        <v>161</v>
      </c>
      <c r="L74">
        <v>2020</v>
      </c>
      <c r="M74">
        <v>1</v>
      </c>
      <c r="N74">
        <v>57.235757225897018</v>
      </c>
      <c r="O74">
        <v>0.9</v>
      </c>
      <c r="P74">
        <v>1</v>
      </c>
      <c r="Q74">
        <v>4.2171586568799711E-4</v>
      </c>
      <c r="R74">
        <v>0</v>
      </c>
      <c r="S74">
        <v>0</v>
      </c>
      <c r="T74">
        <v>0</v>
      </c>
    </row>
    <row r="75" spans="1:20" x14ac:dyDescent="0.25">
      <c r="A75" t="s">
        <v>91</v>
      </c>
      <c r="B75" t="s">
        <v>92</v>
      </c>
      <c r="C75" t="s">
        <v>108</v>
      </c>
      <c r="E75" t="s">
        <v>158</v>
      </c>
      <c r="F75" t="s">
        <v>95</v>
      </c>
      <c r="G75" t="s">
        <v>100</v>
      </c>
      <c r="H75" t="s">
        <v>101</v>
      </c>
      <c r="J75" t="s">
        <v>109</v>
      </c>
      <c r="K75" t="s">
        <v>162</v>
      </c>
      <c r="L75">
        <v>2020</v>
      </c>
      <c r="M75">
        <v>1</v>
      </c>
      <c r="N75">
        <v>57.235757225897018</v>
      </c>
      <c r="O75">
        <v>0.9</v>
      </c>
      <c r="P75">
        <v>1</v>
      </c>
      <c r="Q75">
        <v>4.2171586568799711E-4</v>
      </c>
      <c r="R75">
        <v>0</v>
      </c>
      <c r="S75">
        <v>0</v>
      </c>
      <c r="T75">
        <v>0</v>
      </c>
    </row>
    <row r="76" spans="1:20" x14ac:dyDescent="0.25">
      <c r="A76" t="s">
        <v>91</v>
      </c>
      <c r="B76" t="s">
        <v>92</v>
      </c>
      <c r="C76" t="s">
        <v>111</v>
      </c>
      <c r="E76" t="s">
        <v>158</v>
      </c>
      <c r="F76" t="s">
        <v>95</v>
      </c>
      <c r="G76" t="s">
        <v>100</v>
      </c>
      <c r="H76" t="s">
        <v>101</v>
      </c>
      <c r="J76" t="s">
        <v>112</v>
      </c>
      <c r="K76" t="s">
        <v>163</v>
      </c>
      <c r="L76">
        <v>2020</v>
      </c>
      <c r="M76">
        <v>0</v>
      </c>
      <c r="N76">
        <v>57.235757225897018</v>
      </c>
      <c r="O76">
        <v>0.9</v>
      </c>
      <c r="P76">
        <v>1</v>
      </c>
      <c r="Q76">
        <v>4.2171586568799711E-4</v>
      </c>
      <c r="R76">
        <v>0</v>
      </c>
      <c r="S76">
        <v>0</v>
      </c>
      <c r="T76">
        <v>0</v>
      </c>
    </row>
    <row r="77" spans="1:20" x14ac:dyDescent="0.25">
      <c r="A77" t="s">
        <v>91</v>
      </c>
      <c r="B77" t="s">
        <v>92</v>
      </c>
      <c r="C77" t="s">
        <v>114</v>
      </c>
      <c r="E77" t="s">
        <v>158</v>
      </c>
      <c r="F77" t="s">
        <v>95</v>
      </c>
      <c r="G77" t="s">
        <v>100</v>
      </c>
      <c r="H77" t="s">
        <v>101</v>
      </c>
      <c r="J77" t="s">
        <v>115</v>
      </c>
      <c r="K77" t="s">
        <v>164</v>
      </c>
      <c r="L77">
        <v>2020</v>
      </c>
      <c r="M77">
        <v>0</v>
      </c>
      <c r="N77">
        <v>57.235757225897018</v>
      </c>
      <c r="O77">
        <v>0.9</v>
      </c>
      <c r="P77">
        <v>1</v>
      </c>
      <c r="Q77">
        <v>4.2171586568799711E-4</v>
      </c>
      <c r="R77">
        <v>0</v>
      </c>
      <c r="S77">
        <v>0</v>
      </c>
      <c r="T77">
        <v>0</v>
      </c>
    </row>
    <row r="78" spans="1:20" x14ac:dyDescent="0.25">
      <c r="A78" t="s">
        <v>91</v>
      </c>
      <c r="B78" t="s">
        <v>92</v>
      </c>
      <c r="C78" t="s">
        <v>117</v>
      </c>
      <c r="E78" t="s">
        <v>158</v>
      </c>
      <c r="F78" t="s">
        <v>95</v>
      </c>
      <c r="G78" t="s">
        <v>100</v>
      </c>
      <c r="H78" t="s">
        <v>101</v>
      </c>
      <c r="J78" t="s">
        <v>118</v>
      </c>
      <c r="K78" t="s">
        <v>165</v>
      </c>
      <c r="L78">
        <v>2020</v>
      </c>
      <c r="M78">
        <v>0</v>
      </c>
      <c r="N78">
        <v>57.235757225897018</v>
      </c>
      <c r="O78">
        <v>0.9</v>
      </c>
      <c r="P78">
        <v>1</v>
      </c>
      <c r="Q78">
        <v>4.2171586568799711E-4</v>
      </c>
      <c r="R78">
        <v>0</v>
      </c>
      <c r="S78">
        <v>0</v>
      </c>
      <c r="T78">
        <v>0</v>
      </c>
    </row>
    <row r="79" spans="1:20" x14ac:dyDescent="0.25">
      <c r="A79" t="s">
        <v>91</v>
      </c>
      <c r="B79" t="s">
        <v>92</v>
      </c>
      <c r="C79" t="s">
        <v>166</v>
      </c>
      <c r="E79" t="s">
        <v>142</v>
      </c>
      <c r="F79" t="s">
        <v>95</v>
      </c>
      <c r="G79" t="s">
        <v>96</v>
      </c>
      <c r="H79" t="s">
        <v>97</v>
      </c>
      <c r="J79" t="s">
        <v>167</v>
      </c>
      <c r="K79" t="s">
        <v>168</v>
      </c>
      <c r="L79">
        <v>2020</v>
      </c>
      <c r="M79">
        <v>1</v>
      </c>
      <c r="N79">
        <v>57.235757225897018</v>
      </c>
      <c r="O79">
        <v>0.9</v>
      </c>
      <c r="P79">
        <v>1</v>
      </c>
      <c r="Q79">
        <v>6.0542239213872177E-4</v>
      </c>
      <c r="R79">
        <v>0</v>
      </c>
      <c r="S79">
        <v>0</v>
      </c>
      <c r="T79">
        <v>2.2198833084169389E-4</v>
      </c>
    </row>
    <row r="80" spans="1:20" x14ac:dyDescent="0.25">
      <c r="A80" t="s">
        <v>91</v>
      </c>
      <c r="B80" t="s">
        <v>92</v>
      </c>
      <c r="C80" t="s">
        <v>166</v>
      </c>
      <c r="E80" t="s">
        <v>142</v>
      </c>
      <c r="F80" t="s">
        <v>95</v>
      </c>
      <c r="G80" t="s">
        <v>100</v>
      </c>
      <c r="H80" t="s">
        <v>101</v>
      </c>
      <c r="J80" t="s">
        <v>167</v>
      </c>
      <c r="K80" t="s">
        <v>168</v>
      </c>
      <c r="L80">
        <v>2020</v>
      </c>
      <c r="M80">
        <v>1</v>
      </c>
      <c r="N80">
        <v>57.235757225897018</v>
      </c>
      <c r="O80">
        <v>0.9</v>
      </c>
      <c r="P80">
        <v>1</v>
      </c>
      <c r="Q80">
        <v>3.5039062401273272E-4</v>
      </c>
      <c r="R80">
        <v>0</v>
      </c>
      <c r="S80">
        <v>0</v>
      </c>
      <c r="T80">
        <v>2.2198833084169389E-4</v>
      </c>
    </row>
    <row r="81" spans="1:21" x14ac:dyDescent="0.25">
      <c r="A81" t="s">
        <v>91</v>
      </c>
      <c r="B81" t="s">
        <v>92</v>
      </c>
      <c r="C81" t="s">
        <v>166</v>
      </c>
      <c r="E81" t="s">
        <v>142</v>
      </c>
      <c r="F81" t="s">
        <v>122</v>
      </c>
      <c r="G81" t="s">
        <v>123</v>
      </c>
      <c r="I81" t="s">
        <v>145</v>
      </c>
      <c r="J81" t="s">
        <v>167</v>
      </c>
      <c r="K81" t="s">
        <v>168</v>
      </c>
      <c r="L81">
        <v>2020</v>
      </c>
      <c r="M81">
        <v>1</v>
      </c>
      <c r="N81">
        <v>57.235757225897018</v>
      </c>
      <c r="O81">
        <v>0.9</v>
      </c>
      <c r="P81">
        <v>1</v>
      </c>
      <c r="Q81">
        <v>4.1947233702079263E-2</v>
      </c>
      <c r="R81">
        <v>0</v>
      </c>
      <c r="S81">
        <v>0</v>
      </c>
      <c r="T81">
        <v>2.2198833084169389E-4</v>
      </c>
    </row>
    <row r="82" spans="1:21" x14ac:dyDescent="0.25">
      <c r="A82" t="s">
        <v>91</v>
      </c>
      <c r="B82" t="s">
        <v>169</v>
      </c>
      <c r="C82" t="s">
        <v>170</v>
      </c>
      <c r="E82" t="s">
        <v>171</v>
      </c>
      <c r="F82" t="s">
        <v>95</v>
      </c>
      <c r="G82" t="s">
        <v>96</v>
      </c>
      <c r="H82" t="s">
        <v>97</v>
      </c>
      <c r="J82" t="s">
        <v>172</v>
      </c>
      <c r="K82" t="s">
        <v>173</v>
      </c>
      <c r="L82">
        <v>2020</v>
      </c>
      <c r="M82">
        <v>1</v>
      </c>
      <c r="N82">
        <v>1144.71514451794</v>
      </c>
      <c r="O82">
        <v>0.9</v>
      </c>
      <c r="P82">
        <v>1</v>
      </c>
      <c r="Q82">
        <v>2</v>
      </c>
      <c r="R82">
        <v>0</v>
      </c>
      <c r="S82">
        <v>0</v>
      </c>
      <c r="T82">
        <v>0.38551981604744878</v>
      </c>
    </row>
    <row r="83" spans="1:21" x14ac:dyDescent="0.25">
      <c r="A83" t="s">
        <v>91</v>
      </c>
      <c r="B83" t="s">
        <v>169</v>
      </c>
      <c r="C83" t="s">
        <v>170</v>
      </c>
      <c r="E83" t="s">
        <v>171</v>
      </c>
      <c r="F83" t="s">
        <v>95</v>
      </c>
      <c r="G83" t="s">
        <v>174</v>
      </c>
      <c r="H83" t="s">
        <v>175</v>
      </c>
      <c r="J83" t="s">
        <v>172</v>
      </c>
      <c r="K83" t="s">
        <v>173</v>
      </c>
      <c r="L83">
        <v>2020</v>
      </c>
      <c r="M83">
        <v>1</v>
      </c>
      <c r="N83">
        <v>1144.71514451794</v>
      </c>
      <c r="O83">
        <v>0.9</v>
      </c>
      <c r="P83">
        <v>1</v>
      </c>
      <c r="Q83">
        <v>6</v>
      </c>
      <c r="R83">
        <v>0</v>
      </c>
      <c r="S83">
        <v>0</v>
      </c>
      <c r="T83">
        <v>0.38551981604744878</v>
      </c>
    </row>
    <row r="84" spans="1:21" x14ac:dyDescent="0.25">
      <c r="A84" t="s">
        <v>91</v>
      </c>
      <c r="B84" t="s">
        <v>169</v>
      </c>
      <c r="C84" t="s">
        <v>170</v>
      </c>
      <c r="E84" t="s">
        <v>171</v>
      </c>
      <c r="F84" t="s">
        <v>122</v>
      </c>
      <c r="G84" t="s">
        <v>123</v>
      </c>
      <c r="I84" t="s">
        <v>176</v>
      </c>
      <c r="J84" t="s">
        <v>172</v>
      </c>
      <c r="K84" t="s">
        <v>173</v>
      </c>
      <c r="L84">
        <v>2020</v>
      </c>
      <c r="M84">
        <v>1</v>
      </c>
      <c r="N84">
        <v>1144.71514451794</v>
      </c>
      <c r="O84">
        <v>0.9</v>
      </c>
      <c r="P84">
        <v>1</v>
      </c>
      <c r="Q84">
        <v>0</v>
      </c>
      <c r="R84">
        <v>0</v>
      </c>
      <c r="S84">
        <v>0</v>
      </c>
      <c r="T84">
        <v>0.38551981604744878</v>
      </c>
    </row>
    <row r="85" spans="1:21" x14ac:dyDescent="0.25">
      <c r="A85" t="s">
        <v>91</v>
      </c>
      <c r="B85" t="s">
        <v>169</v>
      </c>
      <c r="C85" t="s">
        <v>170</v>
      </c>
      <c r="E85" t="s">
        <v>177</v>
      </c>
      <c r="F85" t="s">
        <v>95</v>
      </c>
      <c r="G85" t="s">
        <v>96</v>
      </c>
      <c r="H85" t="s">
        <v>97</v>
      </c>
      <c r="J85" t="s">
        <v>172</v>
      </c>
      <c r="K85" t="s">
        <v>178</v>
      </c>
      <c r="L85">
        <v>2020</v>
      </c>
      <c r="M85">
        <v>1</v>
      </c>
      <c r="N85">
        <v>1717.072716776911</v>
      </c>
      <c r="O85">
        <v>0.9</v>
      </c>
      <c r="P85">
        <v>1</v>
      </c>
      <c r="Q85">
        <v>2</v>
      </c>
      <c r="R85">
        <v>0</v>
      </c>
      <c r="S85">
        <v>0</v>
      </c>
      <c r="T85">
        <v>0.38551981604744878</v>
      </c>
    </row>
    <row r="86" spans="1:21" x14ac:dyDescent="0.25">
      <c r="A86" t="s">
        <v>91</v>
      </c>
      <c r="B86" t="s">
        <v>169</v>
      </c>
      <c r="C86" t="s">
        <v>170</v>
      </c>
      <c r="E86" t="s">
        <v>177</v>
      </c>
      <c r="F86" t="s">
        <v>95</v>
      </c>
      <c r="G86" t="s">
        <v>174</v>
      </c>
      <c r="H86" t="s">
        <v>175</v>
      </c>
      <c r="J86" t="s">
        <v>172</v>
      </c>
      <c r="K86" t="s">
        <v>178</v>
      </c>
      <c r="L86">
        <v>2020</v>
      </c>
      <c r="M86">
        <v>1</v>
      </c>
      <c r="N86">
        <v>1717.072716776911</v>
      </c>
      <c r="O86">
        <v>0.9</v>
      </c>
      <c r="P86">
        <v>1</v>
      </c>
      <c r="Q86">
        <v>6</v>
      </c>
      <c r="R86">
        <v>0</v>
      </c>
      <c r="S86">
        <v>0</v>
      </c>
      <c r="T86">
        <v>0.38551981604744878</v>
      </c>
    </row>
    <row r="87" spans="1:21" x14ac:dyDescent="0.25">
      <c r="A87" t="s">
        <v>91</v>
      </c>
      <c r="B87" t="s">
        <v>169</v>
      </c>
      <c r="C87" t="s">
        <v>170</v>
      </c>
      <c r="E87" t="s">
        <v>177</v>
      </c>
      <c r="F87" t="s">
        <v>122</v>
      </c>
      <c r="G87" t="s">
        <v>123</v>
      </c>
      <c r="I87" t="s">
        <v>179</v>
      </c>
      <c r="J87" t="s">
        <v>172</v>
      </c>
      <c r="K87" t="s">
        <v>178</v>
      </c>
      <c r="L87">
        <v>2020</v>
      </c>
      <c r="M87">
        <v>1</v>
      </c>
      <c r="N87">
        <v>1717.072716776911</v>
      </c>
      <c r="O87">
        <v>0.9</v>
      </c>
      <c r="P87">
        <v>1</v>
      </c>
      <c r="Q87">
        <v>2.7543378995433789</v>
      </c>
      <c r="R87">
        <v>0</v>
      </c>
      <c r="S87">
        <v>0</v>
      </c>
      <c r="T87">
        <v>0.38551981604744878</v>
      </c>
    </row>
    <row r="88" spans="1:21" x14ac:dyDescent="0.25">
      <c r="A88" t="s">
        <v>91</v>
      </c>
      <c r="B88" t="s">
        <v>169</v>
      </c>
      <c r="C88" t="s">
        <v>170</v>
      </c>
      <c r="E88" t="s">
        <v>180</v>
      </c>
      <c r="F88" t="s">
        <v>95</v>
      </c>
      <c r="G88" t="s">
        <v>96</v>
      </c>
      <c r="H88" t="s">
        <v>97</v>
      </c>
      <c r="J88" t="s">
        <v>172</v>
      </c>
      <c r="K88" t="s">
        <v>181</v>
      </c>
      <c r="L88">
        <v>2020</v>
      </c>
      <c r="M88">
        <v>1</v>
      </c>
      <c r="N88">
        <v>1430.893930647426</v>
      </c>
      <c r="O88">
        <v>0.9</v>
      </c>
      <c r="P88">
        <v>1</v>
      </c>
      <c r="Q88">
        <v>2</v>
      </c>
      <c r="R88">
        <v>0</v>
      </c>
      <c r="S88">
        <v>0</v>
      </c>
      <c r="T88">
        <v>6.0746945574593689E-2</v>
      </c>
    </row>
    <row r="89" spans="1:21" x14ac:dyDescent="0.25">
      <c r="A89" t="s">
        <v>91</v>
      </c>
      <c r="B89" t="s">
        <v>169</v>
      </c>
      <c r="C89" t="s">
        <v>170</v>
      </c>
      <c r="E89" t="s">
        <v>180</v>
      </c>
      <c r="F89" t="s">
        <v>95</v>
      </c>
      <c r="G89" t="s">
        <v>174</v>
      </c>
      <c r="H89" t="s">
        <v>175</v>
      </c>
      <c r="J89" t="s">
        <v>172</v>
      </c>
      <c r="K89" t="s">
        <v>181</v>
      </c>
      <c r="L89">
        <v>2020</v>
      </c>
      <c r="M89">
        <v>1</v>
      </c>
      <c r="N89">
        <v>1430.893930647426</v>
      </c>
      <c r="O89">
        <v>0.9</v>
      </c>
      <c r="P89">
        <v>1</v>
      </c>
      <c r="Q89">
        <v>6</v>
      </c>
      <c r="R89">
        <v>0</v>
      </c>
      <c r="S89">
        <v>0</v>
      </c>
      <c r="T89">
        <v>6.0746945574593689E-2</v>
      </c>
    </row>
    <row r="90" spans="1:21" x14ac:dyDescent="0.25">
      <c r="A90" t="s">
        <v>91</v>
      </c>
      <c r="B90" t="s">
        <v>169</v>
      </c>
      <c r="C90" t="s">
        <v>170</v>
      </c>
      <c r="E90" t="s">
        <v>180</v>
      </c>
      <c r="F90" t="s">
        <v>122</v>
      </c>
      <c r="G90" t="s">
        <v>123</v>
      </c>
      <c r="I90" t="s">
        <v>182</v>
      </c>
      <c r="J90" t="s">
        <v>172</v>
      </c>
      <c r="K90" t="s">
        <v>181</v>
      </c>
      <c r="L90">
        <v>2020</v>
      </c>
      <c r="M90">
        <v>1</v>
      </c>
      <c r="N90">
        <v>1430.893930647426</v>
      </c>
      <c r="O90">
        <v>0.9</v>
      </c>
      <c r="P90">
        <v>1</v>
      </c>
      <c r="Q90">
        <v>0</v>
      </c>
      <c r="R90">
        <v>0</v>
      </c>
      <c r="S90">
        <v>0</v>
      </c>
      <c r="T90">
        <v>6.0746945574593689E-2</v>
      </c>
    </row>
    <row r="91" spans="1:21" x14ac:dyDescent="0.25">
      <c r="A91" t="s">
        <v>91</v>
      </c>
      <c r="B91" t="s">
        <v>169</v>
      </c>
      <c r="C91" t="s">
        <v>170</v>
      </c>
      <c r="E91" t="s">
        <v>183</v>
      </c>
      <c r="F91" t="s">
        <v>95</v>
      </c>
      <c r="G91" t="s">
        <v>96</v>
      </c>
      <c r="H91" t="s">
        <v>97</v>
      </c>
      <c r="J91" t="s">
        <v>172</v>
      </c>
      <c r="K91" t="s">
        <v>184</v>
      </c>
      <c r="L91">
        <v>2020</v>
      </c>
      <c r="M91">
        <v>1</v>
      </c>
      <c r="N91">
        <v>2003.2515029063959</v>
      </c>
      <c r="O91">
        <v>0.9</v>
      </c>
      <c r="P91">
        <v>1</v>
      </c>
      <c r="Q91">
        <v>2</v>
      </c>
      <c r="R91">
        <v>0</v>
      </c>
      <c r="S91">
        <v>0</v>
      </c>
      <c r="T91">
        <v>6.0746945574593689E-2</v>
      </c>
    </row>
    <row r="92" spans="1:21" x14ac:dyDescent="0.25">
      <c r="A92" t="s">
        <v>91</v>
      </c>
      <c r="B92" t="s">
        <v>169</v>
      </c>
      <c r="C92" t="s">
        <v>170</v>
      </c>
      <c r="E92" t="s">
        <v>183</v>
      </c>
      <c r="F92" t="s">
        <v>95</v>
      </c>
      <c r="G92" t="s">
        <v>174</v>
      </c>
      <c r="H92" t="s">
        <v>175</v>
      </c>
      <c r="J92" t="s">
        <v>172</v>
      </c>
      <c r="K92" t="s">
        <v>184</v>
      </c>
      <c r="L92">
        <v>2020</v>
      </c>
      <c r="M92">
        <v>1</v>
      </c>
      <c r="N92">
        <v>2003.2515029063959</v>
      </c>
      <c r="O92">
        <v>0.9</v>
      </c>
      <c r="P92">
        <v>1</v>
      </c>
      <c r="Q92">
        <v>6</v>
      </c>
      <c r="R92">
        <v>0</v>
      </c>
      <c r="S92">
        <v>0</v>
      </c>
      <c r="T92">
        <v>6.0746945574593689E-2</v>
      </c>
    </row>
    <row r="93" spans="1:21" x14ac:dyDescent="0.25">
      <c r="A93" t="s">
        <v>91</v>
      </c>
      <c r="B93" t="s">
        <v>169</v>
      </c>
      <c r="C93" t="s">
        <v>170</v>
      </c>
      <c r="E93" t="s">
        <v>183</v>
      </c>
      <c r="F93" t="s">
        <v>122</v>
      </c>
      <c r="G93" t="s">
        <v>123</v>
      </c>
      <c r="I93" t="s">
        <v>185</v>
      </c>
      <c r="J93" t="s">
        <v>172</v>
      </c>
      <c r="K93" t="s">
        <v>184</v>
      </c>
      <c r="L93">
        <v>2020</v>
      </c>
      <c r="M93">
        <v>1</v>
      </c>
      <c r="N93">
        <v>2003.2515029063959</v>
      </c>
      <c r="O93">
        <v>0.9</v>
      </c>
      <c r="P93">
        <v>1</v>
      </c>
      <c r="Q93">
        <v>2.7543378995433789</v>
      </c>
      <c r="R93">
        <v>0</v>
      </c>
      <c r="S93">
        <v>0</v>
      </c>
      <c r="T93">
        <v>6.0746945574593689E-2</v>
      </c>
    </row>
    <row r="94" spans="1:21" x14ac:dyDescent="0.25">
      <c r="A94" t="s">
        <v>186</v>
      </c>
    </row>
    <row r="95" spans="1:21" x14ac:dyDescent="0.25">
      <c r="L95" t="s">
        <v>82</v>
      </c>
      <c r="M95" t="s">
        <v>83</v>
      </c>
      <c r="N95" t="s">
        <v>84</v>
      </c>
      <c r="O95" t="s">
        <v>85</v>
      </c>
      <c r="P95" t="s">
        <v>86</v>
      </c>
      <c r="Q95" t="s">
        <v>87</v>
      </c>
      <c r="R95" t="s">
        <v>88</v>
      </c>
      <c r="S95" t="s">
        <v>89</v>
      </c>
      <c r="T95" t="s">
        <v>90</v>
      </c>
      <c r="U95" t="s">
        <v>187</v>
      </c>
    </row>
    <row r="96" spans="1:21" x14ac:dyDescent="0.25">
      <c r="A96" t="s">
        <v>91</v>
      </c>
      <c r="B96" t="s">
        <v>92</v>
      </c>
      <c r="C96" t="s">
        <v>93</v>
      </c>
      <c r="E96" t="s">
        <v>142</v>
      </c>
      <c r="F96" t="s">
        <v>95</v>
      </c>
      <c r="G96" t="s">
        <v>188</v>
      </c>
      <c r="H96" t="s">
        <v>189</v>
      </c>
      <c r="K96" t="s">
        <v>190</v>
      </c>
      <c r="L96">
        <v>2020</v>
      </c>
      <c r="M96">
        <v>1</v>
      </c>
      <c r="N96">
        <v>1</v>
      </c>
      <c r="O96">
        <v>0.9</v>
      </c>
      <c r="P96">
        <v>1</v>
      </c>
      <c r="Q96">
        <v>0</v>
      </c>
      <c r="R96">
        <v>0</v>
      </c>
      <c r="S96">
        <v>0</v>
      </c>
      <c r="T96">
        <v>0</v>
      </c>
      <c r="U96">
        <v>0.9467353996318002</v>
      </c>
    </row>
    <row r="97" spans="1:21" x14ac:dyDescent="0.25">
      <c r="A97" t="s">
        <v>91</v>
      </c>
      <c r="B97" t="s">
        <v>92</v>
      </c>
      <c r="C97" t="s">
        <v>93</v>
      </c>
      <c r="E97" t="s">
        <v>142</v>
      </c>
      <c r="F97" t="s">
        <v>122</v>
      </c>
      <c r="G97" t="s">
        <v>123</v>
      </c>
      <c r="I97" t="s">
        <v>145</v>
      </c>
      <c r="K97" t="s">
        <v>190</v>
      </c>
      <c r="L97">
        <v>2020</v>
      </c>
      <c r="M97">
        <v>1</v>
      </c>
      <c r="N97">
        <v>1</v>
      </c>
      <c r="O97">
        <v>0.9</v>
      </c>
      <c r="P97">
        <v>1</v>
      </c>
      <c r="Q97">
        <v>0.1472847844449344</v>
      </c>
      <c r="R97">
        <v>0</v>
      </c>
      <c r="S97">
        <v>0</v>
      </c>
      <c r="T97">
        <v>0</v>
      </c>
      <c r="U97">
        <v>0.9467353996318002</v>
      </c>
    </row>
    <row r="98" spans="1:21" x14ac:dyDescent="0.25">
      <c r="A98" t="s">
        <v>91</v>
      </c>
      <c r="B98" t="s">
        <v>92</v>
      </c>
      <c r="C98" t="s">
        <v>102</v>
      </c>
      <c r="E98" t="s">
        <v>142</v>
      </c>
      <c r="F98" t="s">
        <v>95</v>
      </c>
      <c r="G98" t="s">
        <v>188</v>
      </c>
      <c r="H98" t="s">
        <v>191</v>
      </c>
      <c r="K98" t="s">
        <v>192</v>
      </c>
      <c r="L98">
        <v>2020</v>
      </c>
      <c r="M98">
        <v>1</v>
      </c>
      <c r="N98">
        <v>1</v>
      </c>
      <c r="O98">
        <v>0.9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 x14ac:dyDescent="0.25">
      <c r="A99" t="s">
        <v>91</v>
      </c>
      <c r="B99" t="s">
        <v>92</v>
      </c>
      <c r="C99" t="s">
        <v>102</v>
      </c>
      <c r="E99" t="s">
        <v>142</v>
      </c>
      <c r="F99" t="s">
        <v>122</v>
      </c>
      <c r="G99" t="s">
        <v>123</v>
      </c>
      <c r="I99" t="s">
        <v>145</v>
      </c>
      <c r="K99" t="s">
        <v>192</v>
      </c>
      <c r="L99">
        <v>2020</v>
      </c>
      <c r="M99">
        <v>1</v>
      </c>
      <c r="N99">
        <v>1</v>
      </c>
      <c r="O99">
        <v>0.9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 x14ac:dyDescent="0.25">
      <c r="A100" t="s">
        <v>91</v>
      </c>
      <c r="B100" t="s">
        <v>92</v>
      </c>
      <c r="C100" t="s">
        <v>105</v>
      </c>
      <c r="E100" t="s">
        <v>142</v>
      </c>
      <c r="F100" t="s">
        <v>95</v>
      </c>
      <c r="G100" t="s">
        <v>188</v>
      </c>
      <c r="H100" t="s">
        <v>193</v>
      </c>
      <c r="K100" t="s">
        <v>194</v>
      </c>
      <c r="L100">
        <v>2020</v>
      </c>
      <c r="M100">
        <v>1</v>
      </c>
      <c r="N100">
        <v>1</v>
      </c>
      <c r="O100">
        <v>0.9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25">
      <c r="A101" t="s">
        <v>91</v>
      </c>
      <c r="B101" t="s">
        <v>92</v>
      </c>
      <c r="C101" t="s">
        <v>105</v>
      </c>
      <c r="E101" t="s">
        <v>142</v>
      </c>
      <c r="F101" t="s">
        <v>122</v>
      </c>
      <c r="G101" t="s">
        <v>123</v>
      </c>
      <c r="I101" t="s">
        <v>145</v>
      </c>
      <c r="K101" t="s">
        <v>194</v>
      </c>
      <c r="L101">
        <v>2020</v>
      </c>
      <c r="M101">
        <v>1</v>
      </c>
      <c r="N101">
        <v>1</v>
      </c>
      <c r="O101">
        <v>0.9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 x14ac:dyDescent="0.25">
      <c r="A102" t="s">
        <v>91</v>
      </c>
      <c r="B102" t="s">
        <v>92</v>
      </c>
      <c r="C102" t="s">
        <v>108</v>
      </c>
      <c r="E102" t="s">
        <v>142</v>
      </c>
      <c r="F102" t="s">
        <v>95</v>
      </c>
      <c r="G102" t="s">
        <v>188</v>
      </c>
      <c r="H102" t="s">
        <v>195</v>
      </c>
      <c r="K102" t="s">
        <v>196</v>
      </c>
      <c r="L102">
        <v>2020</v>
      </c>
      <c r="M102">
        <v>1</v>
      </c>
      <c r="N102">
        <v>1</v>
      </c>
      <c r="O102">
        <v>0.9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25">
      <c r="A103" t="s">
        <v>91</v>
      </c>
      <c r="B103" t="s">
        <v>92</v>
      </c>
      <c r="C103" t="s">
        <v>108</v>
      </c>
      <c r="E103" t="s">
        <v>142</v>
      </c>
      <c r="F103" t="s">
        <v>122</v>
      </c>
      <c r="G103" t="s">
        <v>123</v>
      </c>
      <c r="I103" t="s">
        <v>145</v>
      </c>
      <c r="K103" t="s">
        <v>196</v>
      </c>
      <c r="L103">
        <v>2020</v>
      </c>
      <c r="M103">
        <v>1</v>
      </c>
      <c r="N103">
        <v>1</v>
      </c>
      <c r="O103">
        <v>0.9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25">
      <c r="A104" t="s">
        <v>91</v>
      </c>
      <c r="B104" t="s">
        <v>92</v>
      </c>
      <c r="C104" t="s">
        <v>111</v>
      </c>
      <c r="E104" t="s">
        <v>142</v>
      </c>
      <c r="F104" t="s">
        <v>95</v>
      </c>
      <c r="G104" t="s">
        <v>188</v>
      </c>
      <c r="H104" t="s">
        <v>197</v>
      </c>
      <c r="K104" t="s">
        <v>198</v>
      </c>
      <c r="L104">
        <v>2020</v>
      </c>
      <c r="M104">
        <v>1</v>
      </c>
      <c r="N104">
        <v>1</v>
      </c>
      <c r="O104">
        <v>0.9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0.90820781876036505</v>
      </c>
    </row>
    <row r="105" spans="1:21" x14ac:dyDescent="0.25">
      <c r="A105" t="s">
        <v>91</v>
      </c>
      <c r="B105" t="s">
        <v>92</v>
      </c>
      <c r="C105" t="s">
        <v>111</v>
      </c>
      <c r="E105" t="s">
        <v>142</v>
      </c>
      <c r="F105" t="s">
        <v>122</v>
      </c>
      <c r="G105" t="s">
        <v>123</v>
      </c>
      <c r="I105" t="s">
        <v>145</v>
      </c>
      <c r="K105" t="s">
        <v>198</v>
      </c>
      <c r="L105">
        <v>2020</v>
      </c>
      <c r="M105">
        <v>1</v>
      </c>
      <c r="N105">
        <v>1</v>
      </c>
      <c r="O105">
        <v>0.9</v>
      </c>
      <c r="P105">
        <v>1</v>
      </c>
      <c r="Q105">
        <v>0.42075455410461071</v>
      </c>
      <c r="R105">
        <v>0</v>
      </c>
      <c r="S105">
        <v>0</v>
      </c>
      <c r="T105">
        <v>0</v>
      </c>
      <c r="U105">
        <v>0.90820781876036505</v>
      </c>
    </row>
    <row r="106" spans="1:21" x14ac:dyDescent="0.25">
      <c r="A106" t="s">
        <v>91</v>
      </c>
      <c r="B106" t="s">
        <v>92</v>
      </c>
      <c r="C106" t="s">
        <v>114</v>
      </c>
      <c r="E106" t="s">
        <v>142</v>
      </c>
      <c r="F106" t="s">
        <v>95</v>
      </c>
      <c r="G106" t="s">
        <v>188</v>
      </c>
      <c r="H106" t="s">
        <v>199</v>
      </c>
      <c r="K106" t="s">
        <v>200</v>
      </c>
      <c r="L106">
        <v>2020</v>
      </c>
      <c r="M106">
        <v>1</v>
      </c>
      <c r="N106">
        <v>1</v>
      </c>
      <c r="O106">
        <v>0.9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0.8564052632324658</v>
      </c>
    </row>
    <row r="107" spans="1:21" x14ac:dyDescent="0.25">
      <c r="A107" t="s">
        <v>91</v>
      </c>
      <c r="B107" t="s">
        <v>92</v>
      </c>
      <c r="C107" t="s">
        <v>114</v>
      </c>
      <c r="E107" t="s">
        <v>142</v>
      </c>
      <c r="F107" t="s">
        <v>122</v>
      </c>
      <c r="G107" t="s">
        <v>123</v>
      </c>
      <c r="I107" t="s">
        <v>145</v>
      </c>
      <c r="K107" t="s">
        <v>200</v>
      </c>
      <c r="L107">
        <v>2020</v>
      </c>
      <c r="M107">
        <v>1</v>
      </c>
      <c r="N107">
        <v>1</v>
      </c>
      <c r="O107">
        <v>0.9</v>
      </c>
      <c r="P107">
        <v>1</v>
      </c>
      <c r="Q107">
        <v>0.14210604202775309</v>
      </c>
      <c r="R107">
        <v>0</v>
      </c>
      <c r="S107">
        <v>0</v>
      </c>
      <c r="T107">
        <v>0</v>
      </c>
      <c r="U107">
        <v>0.8564052632324658</v>
      </c>
    </row>
    <row r="108" spans="1:21" x14ac:dyDescent="0.25">
      <c r="A108" t="s">
        <v>91</v>
      </c>
      <c r="B108" t="s">
        <v>92</v>
      </c>
      <c r="C108" t="s">
        <v>117</v>
      </c>
      <c r="E108" t="s">
        <v>142</v>
      </c>
      <c r="F108" t="s">
        <v>95</v>
      </c>
      <c r="G108" t="s">
        <v>188</v>
      </c>
      <c r="H108" t="s">
        <v>201</v>
      </c>
      <c r="K108" t="s">
        <v>202</v>
      </c>
      <c r="L108">
        <v>2020</v>
      </c>
      <c r="M108">
        <v>1</v>
      </c>
      <c r="N108">
        <v>1</v>
      </c>
      <c r="O108">
        <v>0.9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0.97058838643855705</v>
      </c>
    </row>
    <row r="109" spans="1:21" x14ac:dyDescent="0.25">
      <c r="A109" t="s">
        <v>91</v>
      </c>
      <c r="B109" t="s">
        <v>92</v>
      </c>
      <c r="C109" t="s">
        <v>117</v>
      </c>
      <c r="E109" t="s">
        <v>142</v>
      </c>
      <c r="F109" t="s">
        <v>122</v>
      </c>
      <c r="G109" t="s">
        <v>123</v>
      </c>
      <c r="I109" t="s">
        <v>145</v>
      </c>
      <c r="K109" t="s">
        <v>202</v>
      </c>
      <c r="L109">
        <v>2020</v>
      </c>
      <c r="M109">
        <v>1</v>
      </c>
      <c r="N109">
        <v>1</v>
      </c>
      <c r="O109">
        <v>0.9</v>
      </c>
      <c r="P109">
        <v>1</v>
      </c>
      <c r="Q109">
        <v>1.1413997435099941E-2</v>
      </c>
      <c r="R109">
        <v>0</v>
      </c>
      <c r="S109">
        <v>0</v>
      </c>
      <c r="T109">
        <v>0</v>
      </c>
      <c r="U109">
        <v>0.97058838643855705</v>
      </c>
    </row>
    <row r="110" spans="1:21" x14ac:dyDescent="0.25">
      <c r="A110" t="s">
        <v>91</v>
      </c>
      <c r="B110" t="s">
        <v>92</v>
      </c>
      <c r="C110" t="s">
        <v>166</v>
      </c>
      <c r="E110" t="s">
        <v>142</v>
      </c>
      <c r="F110" t="s">
        <v>95</v>
      </c>
      <c r="G110" t="s">
        <v>188</v>
      </c>
      <c r="H110" t="s">
        <v>203</v>
      </c>
      <c r="K110" t="s">
        <v>204</v>
      </c>
      <c r="L110">
        <v>2020</v>
      </c>
      <c r="M110">
        <v>1</v>
      </c>
      <c r="N110">
        <v>1</v>
      </c>
      <c r="O110">
        <v>0.9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0.91618285690388657</v>
      </c>
    </row>
    <row r="111" spans="1:21" x14ac:dyDescent="0.25">
      <c r="A111" t="s">
        <v>91</v>
      </c>
      <c r="B111" t="s">
        <v>92</v>
      </c>
      <c r="C111" t="s">
        <v>166</v>
      </c>
      <c r="E111" t="s">
        <v>142</v>
      </c>
      <c r="F111" t="s">
        <v>122</v>
      </c>
      <c r="G111" t="s">
        <v>123</v>
      </c>
      <c r="I111" t="s">
        <v>145</v>
      </c>
      <c r="K111" t="s">
        <v>204</v>
      </c>
      <c r="L111">
        <v>2020</v>
      </c>
      <c r="M111">
        <v>1</v>
      </c>
      <c r="N111">
        <v>1</v>
      </c>
      <c r="O111">
        <v>0.9</v>
      </c>
      <c r="P111">
        <v>1</v>
      </c>
      <c r="Q111">
        <v>8.3894467404158526E-2</v>
      </c>
      <c r="R111">
        <v>0</v>
      </c>
      <c r="S111">
        <v>0</v>
      </c>
      <c r="T111">
        <v>0</v>
      </c>
      <c r="U111">
        <v>0.91618285690388657</v>
      </c>
    </row>
    <row r="112" spans="1:21" x14ac:dyDescent="0.25">
      <c r="A112" t="s">
        <v>186</v>
      </c>
    </row>
    <row r="113" spans="1:23" x14ac:dyDescent="0.25">
      <c r="L113" t="s">
        <v>82</v>
      </c>
      <c r="M113" t="s">
        <v>83</v>
      </c>
      <c r="N113" t="s">
        <v>205</v>
      </c>
      <c r="O113" t="s">
        <v>206</v>
      </c>
      <c r="P113" t="s">
        <v>207</v>
      </c>
      <c r="Q113" t="s">
        <v>208</v>
      </c>
      <c r="R113" t="s">
        <v>85</v>
      </c>
      <c r="S113" t="s">
        <v>86</v>
      </c>
      <c r="T113" t="s">
        <v>209</v>
      </c>
      <c r="U113" t="s">
        <v>89</v>
      </c>
      <c r="V113" t="s">
        <v>90</v>
      </c>
      <c r="W113" t="s">
        <v>210</v>
      </c>
    </row>
    <row r="114" spans="1:23" x14ac:dyDescent="0.25">
      <c r="A114" t="s">
        <v>91</v>
      </c>
      <c r="B114" t="s">
        <v>92</v>
      </c>
      <c r="C114" t="s">
        <v>120</v>
      </c>
      <c r="E114" t="s">
        <v>211</v>
      </c>
      <c r="F114" t="s">
        <v>95</v>
      </c>
      <c r="G114" t="s">
        <v>123</v>
      </c>
      <c r="H114" t="s">
        <v>124</v>
      </c>
      <c r="K114" t="s">
        <v>212</v>
      </c>
      <c r="L114">
        <v>2020</v>
      </c>
      <c r="M114">
        <v>1</v>
      </c>
      <c r="N114">
        <v>11.447151445179401</v>
      </c>
      <c r="O114">
        <v>1</v>
      </c>
      <c r="Q114">
        <v>0</v>
      </c>
      <c r="R114">
        <v>0.9</v>
      </c>
      <c r="S114">
        <v>31.536000000000001</v>
      </c>
      <c r="T114">
        <v>17.42705570291777</v>
      </c>
      <c r="U114">
        <v>0</v>
      </c>
      <c r="V114">
        <v>0</v>
      </c>
    </row>
    <row r="115" spans="1:23" x14ac:dyDescent="0.25">
      <c r="A115" t="s">
        <v>91</v>
      </c>
      <c r="B115" t="s">
        <v>92</v>
      </c>
      <c r="C115" t="s">
        <v>120</v>
      </c>
      <c r="E115" t="s">
        <v>213</v>
      </c>
      <c r="F115" t="s">
        <v>95</v>
      </c>
      <c r="G115" t="s">
        <v>123</v>
      </c>
      <c r="H115" t="s">
        <v>124</v>
      </c>
      <c r="K115" t="s">
        <v>214</v>
      </c>
      <c r="L115">
        <v>2020</v>
      </c>
      <c r="M115">
        <v>1</v>
      </c>
      <c r="N115">
        <v>114.47151445179399</v>
      </c>
      <c r="O115">
        <v>1</v>
      </c>
      <c r="Q115">
        <v>0</v>
      </c>
      <c r="R115">
        <v>0.9</v>
      </c>
      <c r="S115">
        <v>31.536000000000001</v>
      </c>
      <c r="T115">
        <v>0.1742705570291779</v>
      </c>
      <c r="U115">
        <v>0</v>
      </c>
      <c r="V115">
        <v>0</v>
      </c>
    </row>
    <row r="116" spans="1:23" x14ac:dyDescent="0.25">
      <c r="A116" t="s">
        <v>91</v>
      </c>
      <c r="B116" t="s">
        <v>92</v>
      </c>
      <c r="C116" t="s">
        <v>120</v>
      </c>
      <c r="E116" t="s">
        <v>215</v>
      </c>
      <c r="F116" t="s">
        <v>95</v>
      </c>
      <c r="G116" t="s">
        <v>123</v>
      </c>
      <c r="H116" t="s">
        <v>124</v>
      </c>
      <c r="K116" t="s">
        <v>216</v>
      </c>
      <c r="L116">
        <v>2020</v>
      </c>
      <c r="M116">
        <v>1</v>
      </c>
      <c r="N116">
        <v>2861.7878612948512</v>
      </c>
      <c r="O116">
        <v>1</v>
      </c>
      <c r="Q116">
        <v>0.8</v>
      </c>
      <c r="R116">
        <v>0.9</v>
      </c>
      <c r="S116">
        <v>31.536000000000001</v>
      </c>
      <c r="T116">
        <v>7.624336870026531E-2</v>
      </c>
      <c r="U116">
        <v>0</v>
      </c>
      <c r="V116">
        <v>0</v>
      </c>
      <c r="W116">
        <v>1.285714285714286</v>
      </c>
    </row>
    <row r="117" spans="1:23" x14ac:dyDescent="0.25">
      <c r="A117" t="s">
        <v>91</v>
      </c>
      <c r="B117" t="s">
        <v>92</v>
      </c>
      <c r="C117" t="s">
        <v>120</v>
      </c>
      <c r="E117" t="s">
        <v>215</v>
      </c>
      <c r="F117" t="s">
        <v>122</v>
      </c>
      <c r="G117" t="s">
        <v>96</v>
      </c>
      <c r="I117" t="s">
        <v>132</v>
      </c>
      <c r="K117" t="s">
        <v>216</v>
      </c>
      <c r="L117">
        <v>2020</v>
      </c>
      <c r="M117">
        <v>1</v>
      </c>
      <c r="N117">
        <v>2861.7878612948512</v>
      </c>
      <c r="O117">
        <v>1</v>
      </c>
      <c r="P117">
        <v>0.35</v>
      </c>
      <c r="Q117">
        <v>0.8</v>
      </c>
      <c r="R117">
        <v>0.9</v>
      </c>
      <c r="S117">
        <v>31.536000000000001</v>
      </c>
      <c r="T117">
        <v>7.624336870026531E-2</v>
      </c>
      <c r="U117">
        <v>0</v>
      </c>
      <c r="V117">
        <v>0</v>
      </c>
      <c r="W117">
        <v>1.285714285714286</v>
      </c>
    </row>
    <row r="118" spans="1:23" x14ac:dyDescent="0.25">
      <c r="A118" t="s">
        <v>91</v>
      </c>
      <c r="B118" t="s">
        <v>92</v>
      </c>
      <c r="C118" t="s">
        <v>120</v>
      </c>
      <c r="E118" t="s">
        <v>215</v>
      </c>
      <c r="F118" t="s">
        <v>122</v>
      </c>
      <c r="G118" t="s">
        <v>134</v>
      </c>
      <c r="I118" t="s">
        <v>135</v>
      </c>
      <c r="K118" t="s">
        <v>216</v>
      </c>
      <c r="L118">
        <v>2020</v>
      </c>
      <c r="M118">
        <v>1</v>
      </c>
      <c r="N118">
        <v>2861.7878612948512</v>
      </c>
      <c r="O118">
        <v>1</v>
      </c>
      <c r="P118">
        <v>0.45</v>
      </c>
      <c r="Q118">
        <v>0.8</v>
      </c>
      <c r="R118">
        <v>0.9</v>
      </c>
      <c r="S118">
        <v>31.536000000000001</v>
      </c>
      <c r="T118">
        <v>7.624336870026531E-2</v>
      </c>
      <c r="U118">
        <v>0</v>
      </c>
      <c r="V118">
        <v>0</v>
      </c>
      <c r="W118">
        <v>1.285714285714286</v>
      </c>
    </row>
    <row r="119" spans="1:23" x14ac:dyDescent="0.25">
      <c r="A119" t="s">
        <v>91</v>
      </c>
      <c r="B119" t="s">
        <v>92</v>
      </c>
      <c r="C119" t="s">
        <v>120</v>
      </c>
      <c r="E119" t="s">
        <v>217</v>
      </c>
      <c r="F119" t="s">
        <v>95</v>
      </c>
      <c r="G119" t="s">
        <v>123</v>
      </c>
      <c r="H119" t="s">
        <v>124</v>
      </c>
      <c r="K119" t="s">
        <v>218</v>
      </c>
      <c r="L119">
        <v>2020</v>
      </c>
      <c r="M119">
        <v>1</v>
      </c>
      <c r="N119">
        <v>2289.4302890358808</v>
      </c>
      <c r="O119">
        <v>1</v>
      </c>
      <c r="Q119">
        <v>0.35</v>
      </c>
      <c r="R119">
        <v>0.9</v>
      </c>
      <c r="S119">
        <v>31.536000000000001</v>
      </c>
      <c r="T119">
        <v>0.1742705570291779</v>
      </c>
      <c r="U119">
        <v>0</v>
      </c>
      <c r="V119">
        <v>0</v>
      </c>
    </row>
    <row r="120" spans="1:23" x14ac:dyDescent="0.25">
      <c r="A120" t="s">
        <v>91</v>
      </c>
      <c r="B120" t="s">
        <v>92</v>
      </c>
      <c r="C120" t="s">
        <v>120</v>
      </c>
      <c r="E120" t="s">
        <v>217</v>
      </c>
      <c r="F120" t="s">
        <v>122</v>
      </c>
      <c r="G120" t="s">
        <v>96</v>
      </c>
      <c r="I120" t="s">
        <v>132</v>
      </c>
      <c r="K120" t="s">
        <v>218</v>
      </c>
      <c r="L120">
        <v>2020</v>
      </c>
      <c r="M120">
        <v>1</v>
      </c>
      <c r="N120">
        <v>2289.4302890358808</v>
      </c>
      <c r="O120">
        <v>1</v>
      </c>
      <c r="P120">
        <v>0.35</v>
      </c>
      <c r="Q120">
        <v>0.35</v>
      </c>
      <c r="R120">
        <v>0.9</v>
      </c>
      <c r="S120">
        <v>31.536000000000001</v>
      </c>
      <c r="T120">
        <v>0.1742705570291779</v>
      </c>
      <c r="U120">
        <v>0</v>
      </c>
      <c r="V120">
        <v>0</v>
      </c>
    </row>
    <row r="121" spans="1:23" x14ac:dyDescent="0.25">
      <c r="A121" t="s">
        <v>91</v>
      </c>
      <c r="B121" t="s">
        <v>92</v>
      </c>
      <c r="C121" t="s">
        <v>120</v>
      </c>
      <c r="E121" t="s">
        <v>219</v>
      </c>
      <c r="F121" t="s">
        <v>95</v>
      </c>
      <c r="G121" t="s">
        <v>123</v>
      </c>
      <c r="H121" t="s">
        <v>124</v>
      </c>
      <c r="K121" t="s">
        <v>220</v>
      </c>
      <c r="L121">
        <v>2020</v>
      </c>
      <c r="M121">
        <v>1</v>
      </c>
      <c r="N121">
        <v>114.47151445179399</v>
      </c>
      <c r="O121">
        <v>1</v>
      </c>
      <c r="Q121">
        <v>0.9</v>
      </c>
      <c r="R121">
        <v>0.9</v>
      </c>
      <c r="S121">
        <v>31.536000000000001</v>
      </c>
      <c r="T121">
        <v>0.1742705570291779</v>
      </c>
      <c r="U121">
        <v>0</v>
      </c>
      <c r="V121">
        <v>0</v>
      </c>
    </row>
    <row r="122" spans="1:23" x14ac:dyDescent="0.25">
      <c r="A122" t="s">
        <v>91</v>
      </c>
      <c r="B122" t="s">
        <v>92</v>
      </c>
      <c r="C122" t="s">
        <v>120</v>
      </c>
      <c r="E122" t="s">
        <v>219</v>
      </c>
      <c r="F122" t="s">
        <v>122</v>
      </c>
      <c r="G122" t="s">
        <v>221</v>
      </c>
      <c r="I122" t="s">
        <v>221</v>
      </c>
      <c r="K122" t="s">
        <v>220</v>
      </c>
      <c r="L122">
        <v>2020</v>
      </c>
      <c r="M122">
        <v>1</v>
      </c>
      <c r="N122">
        <v>114.47151445179399</v>
      </c>
      <c r="O122">
        <v>1</v>
      </c>
      <c r="P122">
        <v>0.9</v>
      </c>
      <c r="Q122">
        <v>0.9</v>
      </c>
      <c r="R122">
        <v>0.9</v>
      </c>
      <c r="S122">
        <v>31.536000000000001</v>
      </c>
      <c r="T122">
        <v>0.1742705570291779</v>
      </c>
      <c r="U122">
        <v>0</v>
      </c>
      <c r="V122">
        <v>0</v>
      </c>
    </row>
    <row r="123" spans="1:23" x14ac:dyDescent="0.25">
      <c r="A123" t="s">
        <v>91</v>
      </c>
      <c r="B123" t="s">
        <v>92</v>
      </c>
      <c r="C123" t="s">
        <v>142</v>
      </c>
      <c r="E123" t="s">
        <v>211</v>
      </c>
      <c r="F123" t="s">
        <v>95</v>
      </c>
      <c r="G123" t="s">
        <v>123</v>
      </c>
      <c r="H123" t="s">
        <v>145</v>
      </c>
      <c r="K123" t="s">
        <v>222</v>
      </c>
      <c r="L123">
        <v>2020</v>
      </c>
      <c r="M123">
        <v>1</v>
      </c>
      <c r="N123">
        <v>11.447151445179401</v>
      </c>
      <c r="O123">
        <v>1</v>
      </c>
      <c r="Q123">
        <v>0</v>
      </c>
      <c r="R123">
        <v>0.9</v>
      </c>
      <c r="S123">
        <v>31.536000000000001</v>
      </c>
      <c r="T123">
        <v>17.42705570291777</v>
      </c>
      <c r="U123">
        <v>0</v>
      </c>
      <c r="V123">
        <v>0</v>
      </c>
    </row>
    <row r="124" spans="1:23" x14ac:dyDescent="0.25">
      <c r="A124" t="s">
        <v>91</v>
      </c>
      <c r="B124" t="s">
        <v>92</v>
      </c>
      <c r="C124" t="s">
        <v>142</v>
      </c>
      <c r="E124" t="s">
        <v>213</v>
      </c>
      <c r="F124" t="s">
        <v>95</v>
      </c>
      <c r="G124" t="s">
        <v>123</v>
      </c>
      <c r="H124" t="s">
        <v>145</v>
      </c>
      <c r="K124" t="s">
        <v>223</v>
      </c>
      <c r="L124">
        <v>2020</v>
      </c>
      <c r="M124">
        <v>1</v>
      </c>
      <c r="N124">
        <v>114.47151445179399</v>
      </c>
      <c r="O124">
        <v>1</v>
      </c>
      <c r="Q124">
        <v>0</v>
      </c>
      <c r="R124">
        <v>0.9</v>
      </c>
      <c r="S124">
        <v>31.536000000000001</v>
      </c>
      <c r="T124">
        <v>0.1742705570291779</v>
      </c>
      <c r="U124">
        <v>0</v>
      </c>
      <c r="V124">
        <v>0</v>
      </c>
    </row>
    <row r="125" spans="1:23" x14ac:dyDescent="0.25">
      <c r="A125" t="s">
        <v>91</v>
      </c>
      <c r="B125" t="s">
        <v>92</v>
      </c>
      <c r="C125" t="s">
        <v>142</v>
      </c>
      <c r="E125" t="s">
        <v>215</v>
      </c>
      <c r="F125" t="s">
        <v>95</v>
      </c>
      <c r="G125" t="s">
        <v>123</v>
      </c>
      <c r="H125" t="s">
        <v>145</v>
      </c>
      <c r="K125" t="s">
        <v>224</v>
      </c>
      <c r="L125">
        <v>2020</v>
      </c>
      <c r="M125">
        <v>1</v>
      </c>
      <c r="N125">
        <v>2861.7878612948512</v>
      </c>
      <c r="O125">
        <v>1</v>
      </c>
      <c r="Q125">
        <v>0.8</v>
      </c>
      <c r="R125">
        <v>0.9</v>
      </c>
      <c r="S125">
        <v>31.536000000000001</v>
      </c>
      <c r="T125">
        <v>7.624336870026531E-2</v>
      </c>
      <c r="U125">
        <v>0</v>
      </c>
      <c r="V125">
        <v>0</v>
      </c>
      <c r="W125">
        <v>1.285714285714286</v>
      </c>
    </row>
    <row r="126" spans="1:23" x14ac:dyDescent="0.25">
      <c r="A126" t="s">
        <v>91</v>
      </c>
      <c r="B126" t="s">
        <v>92</v>
      </c>
      <c r="C126" t="s">
        <v>142</v>
      </c>
      <c r="E126" t="s">
        <v>215</v>
      </c>
      <c r="F126" t="s">
        <v>122</v>
      </c>
      <c r="G126" t="s">
        <v>96</v>
      </c>
      <c r="I126" t="s">
        <v>132</v>
      </c>
      <c r="K126" t="s">
        <v>224</v>
      </c>
      <c r="L126">
        <v>2020</v>
      </c>
      <c r="M126">
        <v>1</v>
      </c>
      <c r="N126">
        <v>2861.7878612948512</v>
      </c>
      <c r="O126">
        <v>1</v>
      </c>
      <c r="P126">
        <v>0.35</v>
      </c>
      <c r="Q126">
        <v>0.8</v>
      </c>
      <c r="R126">
        <v>0.9</v>
      </c>
      <c r="S126">
        <v>31.536000000000001</v>
      </c>
      <c r="T126">
        <v>7.624336870026531E-2</v>
      </c>
      <c r="U126">
        <v>0</v>
      </c>
      <c r="V126">
        <v>0</v>
      </c>
      <c r="W126">
        <v>1.285714285714286</v>
      </c>
    </row>
    <row r="127" spans="1:23" x14ac:dyDescent="0.25">
      <c r="A127" t="s">
        <v>91</v>
      </c>
      <c r="B127" t="s">
        <v>92</v>
      </c>
      <c r="C127" t="s">
        <v>142</v>
      </c>
      <c r="E127" t="s">
        <v>215</v>
      </c>
      <c r="F127" t="s">
        <v>122</v>
      </c>
      <c r="G127" t="s">
        <v>134</v>
      </c>
      <c r="I127" t="s">
        <v>135</v>
      </c>
      <c r="K127" t="s">
        <v>224</v>
      </c>
      <c r="L127">
        <v>2020</v>
      </c>
      <c r="M127">
        <v>1</v>
      </c>
      <c r="N127">
        <v>2861.7878612948512</v>
      </c>
      <c r="O127">
        <v>1</v>
      </c>
      <c r="P127">
        <v>0.45</v>
      </c>
      <c r="Q127">
        <v>0.8</v>
      </c>
      <c r="R127">
        <v>0.9</v>
      </c>
      <c r="S127">
        <v>31.536000000000001</v>
      </c>
      <c r="T127">
        <v>7.624336870026531E-2</v>
      </c>
      <c r="U127">
        <v>0</v>
      </c>
      <c r="V127">
        <v>0</v>
      </c>
      <c r="W127">
        <v>1.285714285714286</v>
      </c>
    </row>
    <row r="128" spans="1:23" x14ac:dyDescent="0.25">
      <c r="A128" t="s">
        <v>91</v>
      </c>
      <c r="B128" t="s">
        <v>92</v>
      </c>
      <c r="C128" t="s">
        <v>142</v>
      </c>
      <c r="E128" t="s">
        <v>217</v>
      </c>
      <c r="F128" t="s">
        <v>95</v>
      </c>
      <c r="G128" t="s">
        <v>123</v>
      </c>
      <c r="H128" t="s">
        <v>145</v>
      </c>
      <c r="K128" t="s">
        <v>225</v>
      </c>
      <c r="L128">
        <v>2020</v>
      </c>
      <c r="M128">
        <v>1</v>
      </c>
      <c r="N128">
        <v>2289.4302890358808</v>
      </c>
      <c r="O128">
        <v>1</v>
      </c>
      <c r="Q128">
        <v>0.35</v>
      </c>
      <c r="R128">
        <v>0.9</v>
      </c>
      <c r="S128">
        <v>31.536000000000001</v>
      </c>
      <c r="T128">
        <v>0.1742705570291779</v>
      </c>
      <c r="U128">
        <v>0</v>
      </c>
      <c r="V128">
        <v>0</v>
      </c>
    </row>
    <row r="129" spans="1:23" x14ac:dyDescent="0.25">
      <c r="A129" t="s">
        <v>91</v>
      </c>
      <c r="B129" t="s">
        <v>92</v>
      </c>
      <c r="C129" t="s">
        <v>142</v>
      </c>
      <c r="E129" t="s">
        <v>217</v>
      </c>
      <c r="F129" t="s">
        <v>122</v>
      </c>
      <c r="G129" t="s">
        <v>96</v>
      </c>
      <c r="I129" t="s">
        <v>132</v>
      </c>
      <c r="K129" t="s">
        <v>225</v>
      </c>
      <c r="L129">
        <v>2020</v>
      </c>
      <c r="M129">
        <v>1</v>
      </c>
      <c r="N129">
        <v>2289.4302890358808</v>
      </c>
      <c r="O129">
        <v>1</v>
      </c>
      <c r="P129">
        <v>0.35</v>
      </c>
      <c r="Q129">
        <v>0.35</v>
      </c>
      <c r="R129">
        <v>0.9</v>
      </c>
      <c r="S129">
        <v>31.536000000000001</v>
      </c>
      <c r="T129">
        <v>0.1742705570291779</v>
      </c>
      <c r="U129">
        <v>0</v>
      </c>
      <c r="V129">
        <v>0</v>
      </c>
    </row>
    <row r="130" spans="1:23" x14ac:dyDescent="0.25">
      <c r="A130" t="s">
        <v>91</v>
      </c>
      <c r="B130" t="s">
        <v>92</v>
      </c>
      <c r="C130" t="s">
        <v>142</v>
      </c>
      <c r="E130" t="s">
        <v>219</v>
      </c>
      <c r="F130" t="s">
        <v>95</v>
      </c>
      <c r="G130" t="s">
        <v>123</v>
      </c>
      <c r="H130" t="s">
        <v>145</v>
      </c>
      <c r="K130" t="s">
        <v>226</v>
      </c>
      <c r="L130">
        <v>2020</v>
      </c>
      <c r="M130">
        <v>1</v>
      </c>
      <c r="N130">
        <v>114.47151445179399</v>
      </c>
      <c r="O130">
        <v>1</v>
      </c>
      <c r="Q130">
        <v>0.9</v>
      </c>
      <c r="R130">
        <v>0.9</v>
      </c>
      <c r="S130">
        <v>31.536000000000001</v>
      </c>
      <c r="T130">
        <v>0.1742705570291779</v>
      </c>
      <c r="U130">
        <v>0</v>
      </c>
      <c r="V130">
        <v>0</v>
      </c>
    </row>
    <row r="131" spans="1:23" x14ac:dyDescent="0.25">
      <c r="A131" t="s">
        <v>91</v>
      </c>
      <c r="B131" t="s">
        <v>92</v>
      </c>
      <c r="C131" t="s">
        <v>142</v>
      </c>
      <c r="E131" t="s">
        <v>219</v>
      </c>
      <c r="F131" t="s">
        <v>122</v>
      </c>
      <c r="G131" t="s">
        <v>221</v>
      </c>
      <c r="I131" t="s">
        <v>221</v>
      </c>
      <c r="K131" t="s">
        <v>226</v>
      </c>
      <c r="L131">
        <v>2020</v>
      </c>
      <c r="M131">
        <v>1</v>
      </c>
      <c r="N131">
        <v>114.47151445179399</v>
      </c>
      <c r="O131">
        <v>1</v>
      </c>
      <c r="P131">
        <v>0.9</v>
      </c>
      <c r="Q131">
        <v>0.9</v>
      </c>
      <c r="R131">
        <v>0.9</v>
      </c>
      <c r="S131">
        <v>31.536000000000001</v>
      </c>
      <c r="T131">
        <v>0.1742705570291779</v>
      </c>
      <c r="U131">
        <v>0</v>
      </c>
      <c r="V131">
        <v>0</v>
      </c>
    </row>
    <row r="132" spans="1:23" x14ac:dyDescent="0.25">
      <c r="A132" t="s">
        <v>91</v>
      </c>
      <c r="B132" t="s">
        <v>169</v>
      </c>
      <c r="C132" t="s">
        <v>177</v>
      </c>
      <c r="E132" t="s">
        <v>211</v>
      </c>
      <c r="F132" t="s">
        <v>95</v>
      </c>
      <c r="G132" t="s">
        <v>123</v>
      </c>
      <c r="H132" t="s">
        <v>179</v>
      </c>
      <c r="K132" t="s">
        <v>227</v>
      </c>
      <c r="L132">
        <v>2020</v>
      </c>
      <c r="M132">
        <v>1</v>
      </c>
      <c r="N132">
        <v>11.447151445179401</v>
      </c>
      <c r="O132">
        <v>1</v>
      </c>
      <c r="Q132">
        <v>0</v>
      </c>
      <c r="R132">
        <v>0.9</v>
      </c>
      <c r="S132">
        <v>31.536000000000001</v>
      </c>
      <c r="T132">
        <v>17.42705570291777</v>
      </c>
      <c r="U132">
        <v>0</v>
      </c>
      <c r="V132">
        <v>0</v>
      </c>
    </row>
    <row r="133" spans="1:23" x14ac:dyDescent="0.25">
      <c r="A133" t="s">
        <v>91</v>
      </c>
      <c r="B133" t="s">
        <v>169</v>
      </c>
      <c r="C133" t="s">
        <v>177</v>
      </c>
      <c r="E133" t="s">
        <v>213</v>
      </c>
      <c r="F133" t="s">
        <v>95</v>
      </c>
      <c r="G133" t="s">
        <v>123</v>
      </c>
      <c r="H133" t="s">
        <v>179</v>
      </c>
      <c r="K133" t="s">
        <v>228</v>
      </c>
      <c r="L133">
        <v>2020</v>
      </c>
      <c r="M133">
        <v>1</v>
      </c>
      <c r="N133">
        <v>114.47151445179399</v>
      </c>
      <c r="O133">
        <v>1</v>
      </c>
      <c r="Q133">
        <v>0</v>
      </c>
      <c r="R133">
        <v>0.9</v>
      </c>
      <c r="S133">
        <v>31.536000000000001</v>
      </c>
      <c r="T133">
        <v>0.1742705570291779</v>
      </c>
      <c r="U133">
        <v>0</v>
      </c>
      <c r="V133">
        <v>0</v>
      </c>
    </row>
    <row r="134" spans="1:23" x14ac:dyDescent="0.25">
      <c r="A134" t="s">
        <v>91</v>
      </c>
      <c r="B134" t="s">
        <v>169</v>
      </c>
      <c r="C134" t="s">
        <v>177</v>
      </c>
      <c r="E134" t="s">
        <v>215</v>
      </c>
      <c r="F134" t="s">
        <v>95</v>
      </c>
      <c r="G134" t="s">
        <v>123</v>
      </c>
      <c r="H134" t="s">
        <v>179</v>
      </c>
      <c r="K134" t="s">
        <v>229</v>
      </c>
      <c r="L134">
        <v>2020</v>
      </c>
      <c r="M134">
        <v>1</v>
      </c>
      <c r="N134">
        <v>2861.7878612948512</v>
      </c>
      <c r="O134">
        <v>1</v>
      </c>
      <c r="Q134">
        <v>0.8</v>
      </c>
      <c r="R134">
        <v>0.9</v>
      </c>
      <c r="S134">
        <v>31.536000000000001</v>
      </c>
      <c r="T134">
        <v>0.2178381962864723</v>
      </c>
      <c r="U134">
        <v>0</v>
      </c>
      <c r="V134">
        <v>0</v>
      </c>
      <c r="W134">
        <v>1.285714285714286</v>
      </c>
    </row>
    <row r="135" spans="1:23" x14ac:dyDescent="0.25">
      <c r="A135" t="s">
        <v>91</v>
      </c>
      <c r="B135" t="s">
        <v>169</v>
      </c>
      <c r="C135" t="s">
        <v>177</v>
      </c>
      <c r="E135" t="s">
        <v>215</v>
      </c>
      <c r="F135" t="s">
        <v>122</v>
      </c>
      <c r="G135" t="s">
        <v>96</v>
      </c>
      <c r="I135" t="s">
        <v>132</v>
      </c>
      <c r="K135" t="s">
        <v>229</v>
      </c>
      <c r="L135">
        <v>2020</v>
      </c>
      <c r="M135">
        <v>1</v>
      </c>
      <c r="N135">
        <v>2861.7878612948512</v>
      </c>
      <c r="O135">
        <v>1</v>
      </c>
      <c r="P135">
        <v>0.35</v>
      </c>
      <c r="Q135">
        <v>0.8</v>
      </c>
      <c r="R135">
        <v>0.9</v>
      </c>
      <c r="S135">
        <v>31.536000000000001</v>
      </c>
      <c r="T135">
        <v>0.2178381962864723</v>
      </c>
      <c r="U135">
        <v>0</v>
      </c>
      <c r="V135">
        <v>0</v>
      </c>
      <c r="W135">
        <v>1.285714285714286</v>
      </c>
    </row>
    <row r="136" spans="1:23" x14ac:dyDescent="0.25">
      <c r="A136" t="s">
        <v>91</v>
      </c>
      <c r="B136" t="s">
        <v>169</v>
      </c>
      <c r="C136" t="s">
        <v>177</v>
      </c>
      <c r="E136" t="s">
        <v>215</v>
      </c>
      <c r="F136" t="s">
        <v>122</v>
      </c>
      <c r="G136" t="s">
        <v>134</v>
      </c>
      <c r="I136" t="s">
        <v>135</v>
      </c>
      <c r="K136" t="s">
        <v>229</v>
      </c>
      <c r="L136">
        <v>2020</v>
      </c>
      <c r="M136">
        <v>1</v>
      </c>
      <c r="N136">
        <v>2861.7878612948512</v>
      </c>
      <c r="O136">
        <v>1</v>
      </c>
      <c r="P136">
        <v>0.45</v>
      </c>
      <c r="Q136">
        <v>0.8</v>
      </c>
      <c r="R136">
        <v>0.9</v>
      </c>
      <c r="S136">
        <v>31.536000000000001</v>
      </c>
      <c r="T136">
        <v>0.2178381962864723</v>
      </c>
      <c r="U136">
        <v>0</v>
      </c>
      <c r="V136">
        <v>0</v>
      </c>
      <c r="W136">
        <v>1.285714285714286</v>
      </c>
    </row>
    <row r="137" spans="1:23" x14ac:dyDescent="0.25">
      <c r="A137" t="s">
        <v>91</v>
      </c>
      <c r="B137" t="s">
        <v>169</v>
      </c>
      <c r="C137" t="s">
        <v>177</v>
      </c>
      <c r="E137" t="s">
        <v>217</v>
      </c>
      <c r="F137" t="s">
        <v>95</v>
      </c>
      <c r="G137" t="s">
        <v>123</v>
      </c>
      <c r="H137" t="s">
        <v>179</v>
      </c>
      <c r="K137" t="s">
        <v>230</v>
      </c>
      <c r="L137">
        <v>2020</v>
      </c>
      <c r="M137">
        <v>1</v>
      </c>
      <c r="N137">
        <v>2289.4302890358808</v>
      </c>
      <c r="O137">
        <v>1</v>
      </c>
      <c r="Q137">
        <v>0.35</v>
      </c>
      <c r="R137">
        <v>0.9</v>
      </c>
      <c r="S137">
        <v>31.536000000000001</v>
      </c>
      <c r="T137">
        <v>0.49791587722622249</v>
      </c>
      <c r="U137">
        <v>0</v>
      </c>
      <c r="V137">
        <v>0</v>
      </c>
    </row>
    <row r="138" spans="1:23" x14ac:dyDescent="0.25">
      <c r="A138" t="s">
        <v>91</v>
      </c>
      <c r="B138" t="s">
        <v>169</v>
      </c>
      <c r="C138" t="s">
        <v>177</v>
      </c>
      <c r="E138" t="s">
        <v>217</v>
      </c>
      <c r="F138" t="s">
        <v>122</v>
      </c>
      <c r="G138" t="s">
        <v>96</v>
      </c>
      <c r="I138" t="s">
        <v>132</v>
      </c>
      <c r="K138" t="s">
        <v>230</v>
      </c>
      <c r="L138">
        <v>2020</v>
      </c>
      <c r="M138">
        <v>1</v>
      </c>
      <c r="N138">
        <v>2289.4302890358808</v>
      </c>
      <c r="O138">
        <v>1</v>
      </c>
      <c r="P138">
        <v>0.35</v>
      </c>
      <c r="Q138">
        <v>0.35</v>
      </c>
      <c r="R138">
        <v>0.9</v>
      </c>
      <c r="S138">
        <v>31.536000000000001</v>
      </c>
      <c r="T138">
        <v>0.49791587722622249</v>
      </c>
      <c r="U138">
        <v>0</v>
      </c>
      <c r="V138">
        <v>0</v>
      </c>
    </row>
    <row r="139" spans="1:23" x14ac:dyDescent="0.25">
      <c r="A139" t="s">
        <v>91</v>
      </c>
      <c r="B139" t="s">
        <v>169</v>
      </c>
      <c r="C139" t="s">
        <v>177</v>
      </c>
      <c r="E139" t="s">
        <v>219</v>
      </c>
      <c r="F139" t="s">
        <v>95</v>
      </c>
      <c r="G139" t="s">
        <v>123</v>
      </c>
      <c r="H139" t="s">
        <v>179</v>
      </c>
      <c r="K139" t="s">
        <v>231</v>
      </c>
      <c r="L139">
        <v>2020</v>
      </c>
      <c r="M139">
        <v>1</v>
      </c>
      <c r="N139">
        <v>114.47151445179399</v>
      </c>
      <c r="O139">
        <v>1</v>
      </c>
      <c r="Q139">
        <v>0.9</v>
      </c>
      <c r="R139">
        <v>0.9</v>
      </c>
      <c r="S139">
        <v>31.536000000000001</v>
      </c>
      <c r="T139">
        <v>0.1742705570291779</v>
      </c>
      <c r="U139">
        <v>0</v>
      </c>
      <c r="V139">
        <v>0</v>
      </c>
    </row>
    <row r="140" spans="1:23" x14ac:dyDescent="0.25">
      <c r="A140" t="s">
        <v>91</v>
      </c>
      <c r="B140" t="s">
        <v>169</v>
      </c>
      <c r="C140" t="s">
        <v>177</v>
      </c>
      <c r="E140" t="s">
        <v>219</v>
      </c>
      <c r="F140" t="s">
        <v>122</v>
      </c>
      <c r="G140" t="s">
        <v>221</v>
      </c>
      <c r="I140" t="s">
        <v>221</v>
      </c>
      <c r="K140" t="s">
        <v>231</v>
      </c>
      <c r="L140">
        <v>2020</v>
      </c>
      <c r="M140">
        <v>1</v>
      </c>
      <c r="N140">
        <v>114.47151445179399</v>
      </c>
      <c r="O140">
        <v>1</v>
      </c>
      <c r="P140">
        <v>0.9</v>
      </c>
      <c r="Q140">
        <v>0.9</v>
      </c>
      <c r="R140">
        <v>0.9</v>
      </c>
      <c r="S140">
        <v>31.536000000000001</v>
      </c>
      <c r="T140">
        <v>0.1742705570291779</v>
      </c>
      <c r="U140">
        <v>0</v>
      </c>
      <c r="V140">
        <v>0</v>
      </c>
    </row>
    <row r="141" spans="1:23" x14ac:dyDescent="0.25">
      <c r="A141" t="s">
        <v>91</v>
      </c>
      <c r="B141" t="s">
        <v>169</v>
      </c>
      <c r="C141" t="s">
        <v>183</v>
      </c>
      <c r="E141" t="s">
        <v>211</v>
      </c>
      <c r="F141" t="s">
        <v>95</v>
      </c>
      <c r="G141" t="s">
        <v>123</v>
      </c>
      <c r="H141" t="s">
        <v>185</v>
      </c>
      <c r="K141" t="s">
        <v>232</v>
      </c>
      <c r="L141">
        <v>2020</v>
      </c>
      <c r="M141">
        <v>1</v>
      </c>
      <c r="N141">
        <v>11.447151445179401</v>
      </c>
      <c r="O141">
        <v>1</v>
      </c>
      <c r="Q141">
        <v>0</v>
      </c>
      <c r="R141">
        <v>0.9</v>
      </c>
      <c r="S141">
        <v>31.536000000000001</v>
      </c>
      <c r="T141">
        <v>17.42705570291777</v>
      </c>
      <c r="U141">
        <v>0</v>
      </c>
      <c r="V141">
        <v>0</v>
      </c>
    </row>
    <row r="142" spans="1:23" x14ac:dyDescent="0.25">
      <c r="A142" t="s">
        <v>91</v>
      </c>
      <c r="B142" t="s">
        <v>169</v>
      </c>
      <c r="C142" t="s">
        <v>183</v>
      </c>
      <c r="E142" t="s">
        <v>213</v>
      </c>
      <c r="F142" t="s">
        <v>95</v>
      </c>
      <c r="G142" t="s">
        <v>123</v>
      </c>
      <c r="H142" t="s">
        <v>185</v>
      </c>
      <c r="K142" t="s">
        <v>233</v>
      </c>
      <c r="L142">
        <v>2020</v>
      </c>
      <c r="M142">
        <v>1</v>
      </c>
      <c r="N142">
        <v>114.47151445179399</v>
      </c>
      <c r="O142">
        <v>1</v>
      </c>
      <c r="Q142">
        <v>0</v>
      </c>
      <c r="R142">
        <v>0.9</v>
      </c>
      <c r="S142">
        <v>31.536000000000001</v>
      </c>
      <c r="T142">
        <v>0.1742705570291779</v>
      </c>
      <c r="U142">
        <v>0</v>
      </c>
      <c r="V142">
        <v>0</v>
      </c>
    </row>
    <row r="143" spans="1:23" x14ac:dyDescent="0.25">
      <c r="A143" t="s">
        <v>91</v>
      </c>
      <c r="B143" t="s">
        <v>169</v>
      </c>
      <c r="C143" t="s">
        <v>183</v>
      </c>
      <c r="E143" t="s">
        <v>215</v>
      </c>
      <c r="F143" t="s">
        <v>95</v>
      </c>
      <c r="G143" t="s">
        <v>123</v>
      </c>
      <c r="H143" t="s">
        <v>185</v>
      </c>
      <c r="K143" t="s">
        <v>234</v>
      </c>
      <c r="L143">
        <v>2020</v>
      </c>
      <c r="M143">
        <v>1</v>
      </c>
      <c r="N143">
        <v>2861.7878612948512</v>
      </c>
      <c r="O143">
        <v>1</v>
      </c>
      <c r="Q143">
        <v>0.8</v>
      </c>
      <c r="R143">
        <v>0.9</v>
      </c>
      <c r="S143">
        <v>31.536000000000001</v>
      </c>
      <c r="T143">
        <v>0.2178381962864723</v>
      </c>
      <c r="U143">
        <v>0</v>
      </c>
      <c r="V143">
        <v>0</v>
      </c>
      <c r="W143">
        <v>1.285714285714286</v>
      </c>
    </row>
    <row r="144" spans="1:23" x14ac:dyDescent="0.25">
      <c r="A144" t="s">
        <v>91</v>
      </c>
      <c r="B144" t="s">
        <v>169</v>
      </c>
      <c r="C144" t="s">
        <v>183</v>
      </c>
      <c r="E144" t="s">
        <v>215</v>
      </c>
      <c r="F144" t="s">
        <v>122</v>
      </c>
      <c r="G144" t="s">
        <v>96</v>
      </c>
      <c r="I144" t="s">
        <v>132</v>
      </c>
      <c r="K144" t="s">
        <v>234</v>
      </c>
      <c r="L144">
        <v>2020</v>
      </c>
      <c r="M144">
        <v>1</v>
      </c>
      <c r="N144">
        <v>2861.7878612948512</v>
      </c>
      <c r="O144">
        <v>1</v>
      </c>
      <c r="P144">
        <v>0.35</v>
      </c>
      <c r="Q144">
        <v>0.8</v>
      </c>
      <c r="R144">
        <v>0.9</v>
      </c>
      <c r="S144">
        <v>31.536000000000001</v>
      </c>
      <c r="T144">
        <v>0.2178381962864723</v>
      </c>
      <c r="U144">
        <v>0</v>
      </c>
      <c r="V144">
        <v>0</v>
      </c>
      <c r="W144">
        <v>1.285714285714286</v>
      </c>
    </row>
    <row r="145" spans="1:23" x14ac:dyDescent="0.25">
      <c r="A145" t="s">
        <v>91</v>
      </c>
      <c r="B145" t="s">
        <v>169</v>
      </c>
      <c r="C145" t="s">
        <v>183</v>
      </c>
      <c r="E145" t="s">
        <v>215</v>
      </c>
      <c r="F145" t="s">
        <v>122</v>
      </c>
      <c r="G145" t="s">
        <v>134</v>
      </c>
      <c r="I145" t="s">
        <v>135</v>
      </c>
      <c r="K145" t="s">
        <v>234</v>
      </c>
      <c r="L145">
        <v>2020</v>
      </c>
      <c r="M145">
        <v>1</v>
      </c>
      <c r="N145">
        <v>2861.7878612948512</v>
      </c>
      <c r="O145">
        <v>1</v>
      </c>
      <c r="P145">
        <v>0.45</v>
      </c>
      <c r="Q145">
        <v>0.8</v>
      </c>
      <c r="R145">
        <v>0.9</v>
      </c>
      <c r="S145">
        <v>31.536000000000001</v>
      </c>
      <c r="T145">
        <v>0.2178381962864723</v>
      </c>
      <c r="U145">
        <v>0</v>
      </c>
      <c r="V145">
        <v>0</v>
      </c>
      <c r="W145">
        <v>1.285714285714286</v>
      </c>
    </row>
    <row r="146" spans="1:23" x14ac:dyDescent="0.25">
      <c r="A146" t="s">
        <v>91</v>
      </c>
      <c r="B146" t="s">
        <v>169</v>
      </c>
      <c r="C146" t="s">
        <v>183</v>
      </c>
      <c r="E146" t="s">
        <v>217</v>
      </c>
      <c r="F146" t="s">
        <v>95</v>
      </c>
      <c r="G146" t="s">
        <v>123</v>
      </c>
      <c r="H146" t="s">
        <v>185</v>
      </c>
      <c r="K146" t="s">
        <v>235</v>
      </c>
      <c r="L146">
        <v>2020</v>
      </c>
      <c r="M146">
        <v>1</v>
      </c>
      <c r="N146">
        <v>2289.4302890358808</v>
      </c>
      <c r="O146">
        <v>1</v>
      </c>
      <c r="Q146">
        <v>0.35</v>
      </c>
      <c r="R146">
        <v>0.9</v>
      </c>
      <c r="S146">
        <v>31.536000000000001</v>
      </c>
      <c r="T146">
        <v>0.49791587722622249</v>
      </c>
      <c r="U146">
        <v>0</v>
      </c>
      <c r="V146">
        <v>0</v>
      </c>
    </row>
    <row r="147" spans="1:23" x14ac:dyDescent="0.25">
      <c r="A147" t="s">
        <v>91</v>
      </c>
      <c r="B147" t="s">
        <v>169</v>
      </c>
      <c r="C147" t="s">
        <v>183</v>
      </c>
      <c r="E147" t="s">
        <v>217</v>
      </c>
      <c r="F147" t="s">
        <v>122</v>
      </c>
      <c r="G147" t="s">
        <v>96</v>
      </c>
      <c r="I147" t="s">
        <v>132</v>
      </c>
      <c r="K147" t="s">
        <v>235</v>
      </c>
      <c r="L147">
        <v>2020</v>
      </c>
      <c r="M147">
        <v>1</v>
      </c>
      <c r="N147">
        <v>2289.4302890358808</v>
      </c>
      <c r="O147">
        <v>1</v>
      </c>
      <c r="P147">
        <v>0.35</v>
      </c>
      <c r="Q147">
        <v>0.35</v>
      </c>
      <c r="R147">
        <v>0.9</v>
      </c>
      <c r="S147">
        <v>31.536000000000001</v>
      </c>
      <c r="T147">
        <v>0.49791587722622249</v>
      </c>
      <c r="U147">
        <v>0</v>
      </c>
      <c r="V147">
        <v>0</v>
      </c>
    </row>
    <row r="148" spans="1:23" x14ac:dyDescent="0.25">
      <c r="A148" t="s">
        <v>91</v>
      </c>
      <c r="B148" t="s">
        <v>169</v>
      </c>
      <c r="C148" t="s">
        <v>183</v>
      </c>
      <c r="E148" t="s">
        <v>219</v>
      </c>
      <c r="F148" t="s">
        <v>95</v>
      </c>
      <c r="G148" t="s">
        <v>123</v>
      </c>
      <c r="H148" t="s">
        <v>185</v>
      </c>
      <c r="K148" t="s">
        <v>236</v>
      </c>
      <c r="L148">
        <v>2020</v>
      </c>
      <c r="M148">
        <v>1</v>
      </c>
      <c r="N148">
        <v>114.47151445179399</v>
      </c>
      <c r="O148">
        <v>1</v>
      </c>
      <c r="Q148">
        <v>0.9</v>
      </c>
      <c r="R148">
        <v>0.9</v>
      </c>
      <c r="S148">
        <v>31.536000000000001</v>
      </c>
      <c r="T148">
        <v>0.1742705570291779</v>
      </c>
      <c r="U148">
        <v>0</v>
      </c>
      <c r="V148">
        <v>0</v>
      </c>
    </row>
    <row r="149" spans="1:23" x14ac:dyDescent="0.25">
      <c r="A149" t="s">
        <v>91</v>
      </c>
      <c r="B149" t="s">
        <v>169</v>
      </c>
      <c r="C149" t="s">
        <v>183</v>
      </c>
      <c r="E149" t="s">
        <v>219</v>
      </c>
      <c r="F149" t="s">
        <v>122</v>
      </c>
      <c r="G149" t="s">
        <v>221</v>
      </c>
      <c r="I149" t="s">
        <v>221</v>
      </c>
      <c r="K149" t="s">
        <v>236</v>
      </c>
      <c r="L149">
        <v>2020</v>
      </c>
      <c r="M149">
        <v>1</v>
      </c>
      <c r="N149">
        <v>114.47151445179399</v>
      </c>
      <c r="O149">
        <v>1</v>
      </c>
      <c r="P149">
        <v>0.9</v>
      </c>
      <c r="Q149">
        <v>0.9</v>
      </c>
      <c r="R149">
        <v>0.9</v>
      </c>
      <c r="S149">
        <v>31.536000000000001</v>
      </c>
      <c r="T149">
        <v>0.1742705570291779</v>
      </c>
      <c r="U149">
        <v>0</v>
      </c>
      <c r="V149">
        <v>0</v>
      </c>
    </row>
    <row r="150" spans="1:23" x14ac:dyDescent="0.25">
      <c r="A150" t="s">
        <v>186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</sheetPr>
  <dimension ref="A1"/>
  <sheetViews>
    <sheetView workbookViewId="0">
      <selection activeCell="M31" sqref="M31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528"/>
  <sheetViews>
    <sheetView zoomScale="70" zoomScaleNormal="70" workbookViewId="0">
      <selection activeCell="J26" sqref="J26"/>
    </sheetView>
  </sheetViews>
  <sheetFormatPr defaultRowHeight="15" x14ac:dyDescent="0.25"/>
  <cols>
    <col min="2" max="2" width="20.5703125" customWidth="1"/>
    <col min="3" max="3" width="25.7109375" bestFit="1" customWidth="1"/>
    <col min="4" max="6" width="20.5703125" customWidth="1"/>
    <col min="7" max="7" width="10.7109375" bestFit="1" customWidth="1"/>
    <col min="8" max="8" width="5.85546875" bestFit="1" customWidth="1"/>
  </cols>
  <sheetData>
    <row r="2" spans="2:8" x14ac:dyDescent="0.25">
      <c r="B2" s="8" t="s">
        <v>237</v>
      </c>
    </row>
    <row r="3" spans="2:8" x14ac:dyDescent="0.25">
      <c r="B3" s="9" t="s">
        <v>238</v>
      </c>
      <c r="C3" s="9" t="s">
        <v>239</v>
      </c>
      <c r="D3" s="9" t="s">
        <v>240</v>
      </c>
      <c r="E3" s="9" t="s">
        <v>241</v>
      </c>
      <c r="F3" s="9" t="s">
        <v>242</v>
      </c>
      <c r="G3" s="9" t="s">
        <v>243</v>
      </c>
      <c r="H3" s="9" t="s">
        <v>244</v>
      </c>
    </row>
    <row r="4" spans="2:8" ht="15" customHeight="1" thickBot="1" x14ac:dyDescent="0.3">
      <c r="B4" s="10" t="s">
        <v>186</v>
      </c>
      <c r="C4" s="10"/>
      <c r="D4" s="10"/>
      <c r="E4" s="10"/>
      <c r="F4" s="10"/>
      <c r="G4" s="10"/>
      <c r="H4" s="10"/>
    </row>
    <row r="5" spans="2:8" x14ac:dyDescent="0.25">
      <c r="C5" t="str">
        <f t="array" ref="C5:C44">_xlfn.UNIQUE('WAS TECH'!K2:K93)</f>
        <v>WASSOLPAPCMP20</v>
      </c>
      <c r="G5" s="11">
        <f>_xlfn.XLOOKUP(C5,'WAS TECH'!K:K,'WAS TECH'!M:M)</f>
        <v>1</v>
      </c>
      <c r="H5" s="11">
        <v>0</v>
      </c>
    </row>
    <row r="6" spans="2:8" x14ac:dyDescent="0.25">
      <c r="C6" t="str">
        <v>WASSOLGLACMP20</v>
      </c>
      <c r="G6" s="11">
        <f>_xlfn.XLOOKUP(C6,'WAS TECH'!K:K,'WAS TECH'!M:M)</f>
        <v>0</v>
      </c>
      <c r="H6" s="11">
        <v>0</v>
      </c>
    </row>
    <row r="7" spans="2:8" x14ac:dyDescent="0.25">
      <c r="C7" t="str">
        <v>WASSOLMETCMP20</v>
      </c>
      <c r="G7" s="11">
        <f>_xlfn.XLOOKUP(C7,'WAS TECH'!K:K,'WAS TECH'!M:M)</f>
        <v>0</v>
      </c>
      <c r="H7" s="11">
        <v>0</v>
      </c>
    </row>
    <row r="8" spans="2:8" x14ac:dyDescent="0.25">
      <c r="C8" t="str">
        <v>WASSOLPLACMP20</v>
      </c>
      <c r="G8" s="11">
        <f>_xlfn.XLOOKUP(C8,'WAS TECH'!K:K,'WAS TECH'!M:M)</f>
        <v>0</v>
      </c>
      <c r="H8" s="11">
        <v>0</v>
      </c>
    </row>
    <row r="9" spans="2:8" x14ac:dyDescent="0.25">
      <c r="C9" t="str">
        <v>WASSOLFOOCMP20</v>
      </c>
      <c r="G9" s="11">
        <f>_xlfn.XLOOKUP(C9,'WAS TECH'!K:K,'WAS TECH'!M:M)</f>
        <v>1</v>
      </c>
      <c r="H9" s="11">
        <v>0</v>
      </c>
    </row>
    <row r="10" spans="2:8" x14ac:dyDescent="0.25">
      <c r="C10" t="str">
        <v>WASSOLYARCMP20</v>
      </c>
      <c r="G10" s="11">
        <f>_xlfn.XLOOKUP(C10,'WAS TECH'!K:K,'WAS TECH'!M:M)</f>
        <v>1</v>
      </c>
      <c r="H10" s="11">
        <v>0</v>
      </c>
    </row>
    <row r="11" spans="2:8" x14ac:dyDescent="0.25">
      <c r="C11" t="str">
        <v>WASSOLAOTCMP20</v>
      </c>
      <c r="G11" s="11">
        <f>_xlfn.XLOOKUP(C11,'WAS TECH'!K:K,'WAS TECH'!M:M)</f>
        <v>0</v>
      </c>
      <c r="H11" s="11">
        <v>0</v>
      </c>
    </row>
    <row r="12" spans="2:8" x14ac:dyDescent="0.25">
      <c r="C12" t="str">
        <v>WASSOLPAPADG20</v>
      </c>
      <c r="G12" s="11">
        <f>_xlfn.XLOOKUP(C12,'WAS TECH'!K:K,'WAS TECH'!M:M)</f>
        <v>1</v>
      </c>
      <c r="H12" s="11">
        <v>0</v>
      </c>
    </row>
    <row r="13" spans="2:8" x14ac:dyDescent="0.25">
      <c r="C13" t="str">
        <v>WASSOLGLAADG20</v>
      </c>
      <c r="G13" s="11">
        <f>_xlfn.XLOOKUP(C13,'WAS TECH'!K:K,'WAS TECH'!M:M)</f>
        <v>0</v>
      </c>
      <c r="H13" s="11">
        <v>0</v>
      </c>
    </row>
    <row r="14" spans="2:8" x14ac:dyDescent="0.25">
      <c r="C14" t="str">
        <v>WASSOLMETADG20</v>
      </c>
      <c r="G14" s="11">
        <f>_xlfn.XLOOKUP(C14,'WAS TECH'!K:K,'WAS TECH'!M:M)</f>
        <v>0</v>
      </c>
      <c r="H14" s="11">
        <v>0</v>
      </c>
    </row>
    <row r="15" spans="2:8" x14ac:dyDescent="0.25">
      <c r="C15" t="str">
        <v>WASSOLPLAADG20</v>
      </c>
      <c r="G15" s="11">
        <f>_xlfn.XLOOKUP(C15,'WAS TECH'!K:K,'WAS TECH'!M:M)</f>
        <v>0</v>
      </c>
      <c r="H15" s="11">
        <v>0</v>
      </c>
    </row>
    <row r="16" spans="2:8" x14ac:dyDescent="0.25">
      <c r="C16" t="str">
        <v>WASSOLFOOADG20</v>
      </c>
      <c r="G16" s="11">
        <f>_xlfn.XLOOKUP(C16,'WAS TECH'!K:K,'WAS TECH'!M:M)</f>
        <v>1</v>
      </c>
      <c r="H16" s="11">
        <v>0</v>
      </c>
    </row>
    <row r="17" spans="3:8" x14ac:dyDescent="0.25">
      <c r="C17" t="str">
        <v>WASSOLYARADG20</v>
      </c>
      <c r="G17" s="11">
        <f>_xlfn.XLOOKUP(C17,'WAS TECH'!K:K,'WAS TECH'!M:M)</f>
        <v>1</v>
      </c>
      <c r="H17" s="11">
        <v>0</v>
      </c>
    </row>
    <row r="18" spans="3:8" x14ac:dyDescent="0.25">
      <c r="C18" t="str">
        <v>WASSOLAOTADG20</v>
      </c>
      <c r="G18" s="11">
        <f>_xlfn.XLOOKUP(C18,'WAS TECH'!K:K,'WAS TECH'!M:M)</f>
        <v>1</v>
      </c>
      <c r="H18" s="11">
        <v>0</v>
      </c>
    </row>
    <row r="19" spans="3:8" x14ac:dyDescent="0.25">
      <c r="C19" t="str">
        <v>WASSOLPAPINC20</v>
      </c>
      <c r="G19" s="11">
        <f>_xlfn.XLOOKUP(C19,'WAS TECH'!K:K,'WAS TECH'!M:M)</f>
        <v>1</v>
      </c>
      <c r="H19" s="11">
        <v>0</v>
      </c>
    </row>
    <row r="20" spans="3:8" x14ac:dyDescent="0.25">
      <c r="C20" t="str">
        <v>WASSOLGLAINC20</v>
      </c>
      <c r="G20" s="11">
        <f>_xlfn.XLOOKUP(C20,'WAS TECH'!K:K,'WAS TECH'!M:M)</f>
        <v>1</v>
      </c>
      <c r="H20" s="11">
        <v>0</v>
      </c>
    </row>
    <row r="21" spans="3:8" x14ac:dyDescent="0.25">
      <c r="C21" t="str">
        <v>WASSOLMETINC20</v>
      </c>
      <c r="G21" s="11">
        <f>_xlfn.XLOOKUP(C21,'WAS TECH'!K:K,'WAS TECH'!M:M)</f>
        <v>1</v>
      </c>
      <c r="H21" s="11">
        <v>0</v>
      </c>
    </row>
    <row r="22" spans="3:8" x14ac:dyDescent="0.25">
      <c r="C22" t="str">
        <v>WASSOLPLAINC20</v>
      </c>
      <c r="G22" s="11">
        <f>_xlfn.XLOOKUP(C22,'WAS TECH'!K:K,'WAS TECH'!M:M)</f>
        <v>1</v>
      </c>
      <c r="H22" s="11">
        <v>0</v>
      </c>
    </row>
    <row r="23" spans="3:8" x14ac:dyDescent="0.25">
      <c r="C23" t="str">
        <v>WASSOLFOOINC20</v>
      </c>
      <c r="G23" s="11">
        <f>_xlfn.XLOOKUP(C23,'WAS TECH'!K:K,'WAS TECH'!M:M)</f>
        <v>1</v>
      </c>
      <c r="H23" s="11">
        <v>0</v>
      </c>
    </row>
    <row r="24" spans="3:8" x14ac:dyDescent="0.25">
      <c r="C24" t="str">
        <v>WASSOLYARINC20</v>
      </c>
      <c r="G24" s="11">
        <f>_xlfn.XLOOKUP(C24,'WAS TECH'!K:K,'WAS TECH'!M:M)</f>
        <v>1</v>
      </c>
      <c r="H24" s="11">
        <v>0</v>
      </c>
    </row>
    <row r="25" spans="3:8" x14ac:dyDescent="0.25">
      <c r="C25" t="str">
        <v>WASSOLAOTINC20</v>
      </c>
      <c r="G25" s="11">
        <f>_xlfn.XLOOKUP(C25,'WAS TECH'!K:K,'WAS TECH'!M:M)</f>
        <v>1</v>
      </c>
      <c r="H25" s="11">
        <v>0</v>
      </c>
    </row>
    <row r="26" spans="3:8" x14ac:dyDescent="0.25">
      <c r="C26" t="str">
        <v>WASSOLPAPLDF20</v>
      </c>
      <c r="G26" s="11">
        <f>_xlfn.XLOOKUP(C26,'WAS TECH'!K:K,'WAS TECH'!M:M)</f>
        <v>1</v>
      </c>
      <c r="H26" s="11">
        <v>0</v>
      </c>
    </row>
    <row r="27" spans="3:8" x14ac:dyDescent="0.25">
      <c r="C27" t="str">
        <v>WASSOLGLALDF20</v>
      </c>
      <c r="G27" s="11">
        <f>_xlfn.XLOOKUP(C27,'WAS TECH'!K:K,'WAS TECH'!M:M)</f>
        <v>1</v>
      </c>
      <c r="H27" s="11">
        <v>0</v>
      </c>
    </row>
    <row r="28" spans="3:8" x14ac:dyDescent="0.25">
      <c r="C28" t="str">
        <v>WASSOLMETLDF20</v>
      </c>
      <c r="G28" s="11">
        <f>_xlfn.XLOOKUP(C28,'WAS TECH'!K:K,'WAS TECH'!M:M)</f>
        <v>1</v>
      </c>
      <c r="H28" s="11">
        <v>0</v>
      </c>
    </row>
    <row r="29" spans="3:8" x14ac:dyDescent="0.25">
      <c r="C29" t="str">
        <v>WASSOLPLALDF20</v>
      </c>
      <c r="G29" s="11">
        <f>_xlfn.XLOOKUP(C29,'WAS TECH'!K:K,'WAS TECH'!M:M)</f>
        <v>1</v>
      </c>
      <c r="H29" s="11">
        <v>0</v>
      </c>
    </row>
    <row r="30" spans="3:8" x14ac:dyDescent="0.25">
      <c r="C30" t="str">
        <v>WASSOLFOOLDF20</v>
      </c>
      <c r="G30" s="11">
        <f>_xlfn.XLOOKUP(C30,'WAS TECH'!K:K,'WAS TECH'!M:M)</f>
        <v>1</v>
      </c>
      <c r="H30" s="11">
        <v>0</v>
      </c>
    </row>
    <row r="31" spans="3:8" x14ac:dyDescent="0.25">
      <c r="C31" t="str">
        <v>WASSOLYARLDF20</v>
      </c>
      <c r="G31" s="11">
        <f>_xlfn.XLOOKUP(C31,'WAS TECH'!K:K,'WAS TECH'!M:M)</f>
        <v>1</v>
      </c>
      <c r="H31" s="11">
        <v>0</v>
      </c>
    </row>
    <row r="32" spans="3:8" x14ac:dyDescent="0.25">
      <c r="C32" t="str">
        <v>WASSOLAOTLDF20</v>
      </c>
      <c r="G32" s="11">
        <f>_xlfn.XLOOKUP(C32,'WAS TECH'!K:K,'WAS TECH'!M:M)</f>
        <v>1</v>
      </c>
      <c r="H32" s="11">
        <v>0</v>
      </c>
    </row>
    <row r="33" spans="3:8" x14ac:dyDescent="0.25">
      <c r="C33" t="str">
        <v>WASSOLPAPREC20</v>
      </c>
      <c r="G33" s="11">
        <f>_xlfn.XLOOKUP(C33,'WAS TECH'!K:K,'WAS TECH'!M:M)</f>
        <v>1</v>
      </c>
      <c r="H33" s="11">
        <v>0</v>
      </c>
    </row>
    <row r="34" spans="3:8" x14ac:dyDescent="0.25">
      <c r="C34" t="str">
        <v>WASSOLGLAREC20</v>
      </c>
      <c r="G34" s="11">
        <f>_xlfn.XLOOKUP(C34,'WAS TECH'!K:K,'WAS TECH'!M:M)</f>
        <v>1</v>
      </c>
      <c r="H34" s="11">
        <v>0</v>
      </c>
    </row>
    <row r="35" spans="3:8" x14ac:dyDescent="0.25">
      <c r="C35" t="str">
        <v>WASSOLMETREC20</v>
      </c>
      <c r="G35" s="11">
        <f>_xlfn.XLOOKUP(C35,'WAS TECH'!K:K,'WAS TECH'!M:M)</f>
        <v>1</v>
      </c>
      <c r="H35" s="11">
        <v>0</v>
      </c>
    </row>
    <row r="36" spans="3:8" x14ac:dyDescent="0.25">
      <c r="C36" t="str">
        <v>WASSOLPLAREC20</v>
      </c>
      <c r="G36" s="11">
        <f>_xlfn.XLOOKUP(C36,'WAS TECH'!K:K,'WAS TECH'!M:M)</f>
        <v>1</v>
      </c>
      <c r="H36" s="11">
        <v>0</v>
      </c>
    </row>
    <row r="37" spans="3:8" x14ac:dyDescent="0.25">
      <c r="C37" t="str">
        <v>WASSOLFOOREC20</v>
      </c>
      <c r="G37" s="11">
        <f>_xlfn.XLOOKUP(C37,'WAS TECH'!K:K,'WAS TECH'!M:M)</f>
        <v>0</v>
      </c>
      <c r="H37" s="11">
        <v>0</v>
      </c>
    </row>
    <row r="38" spans="3:8" x14ac:dyDescent="0.25">
      <c r="C38" t="str">
        <v>WASSOLYARREC20</v>
      </c>
      <c r="G38" s="11">
        <f>_xlfn.XLOOKUP(C38,'WAS TECH'!K:K,'WAS TECH'!M:M)</f>
        <v>0</v>
      </c>
      <c r="H38" s="11">
        <v>0</v>
      </c>
    </row>
    <row r="39" spans="3:8" x14ac:dyDescent="0.25">
      <c r="C39" t="str">
        <v>WASSOLAOTREC20</v>
      </c>
      <c r="G39" s="11">
        <f>_xlfn.XLOOKUP(C39,'WAS TECH'!K:K,'WAS TECH'!M:M)</f>
        <v>0</v>
      </c>
      <c r="H39" s="11">
        <v>0</v>
      </c>
    </row>
    <row r="40" spans="3:8" x14ac:dyDescent="0.25">
      <c r="C40" t="str">
        <v>WASSOLHISLDF20</v>
      </c>
      <c r="G40" s="11">
        <f>_xlfn.XLOOKUP(C40,'WAS TECH'!K:K,'WAS TECH'!M:M)</f>
        <v>1</v>
      </c>
      <c r="H40" s="11">
        <v>0</v>
      </c>
    </row>
    <row r="41" spans="3:8" x14ac:dyDescent="0.25">
      <c r="C41" t="str">
        <v>WASWATTRTNOT20</v>
      </c>
      <c r="G41" s="11">
        <f>_xlfn.XLOOKUP(C41,'WAS TECH'!K:K,'WAS TECH'!M:M)</f>
        <v>1</v>
      </c>
      <c r="H41" s="11">
        <v>0</v>
      </c>
    </row>
    <row r="42" spans="3:8" x14ac:dyDescent="0.25">
      <c r="C42" t="str">
        <v>WASWATTRTWAD20</v>
      </c>
      <c r="G42" s="11">
        <f>_xlfn.XLOOKUP(C42,'WAS TECH'!K:K,'WAS TECH'!M:M)</f>
        <v>1</v>
      </c>
      <c r="H42" s="11">
        <v>0</v>
      </c>
    </row>
    <row r="43" spans="3:8" x14ac:dyDescent="0.25">
      <c r="C43" t="str">
        <v>WASWATTRTWDN20</v>
      </c>
      <c r="G43" s="11">
        <f>_xlfn.XLOOKUP(C43,'WAS TECH'!K:K,'WAS TECH'!M:M)</f>
        <v>1</v>
      </c>
      <c r="H43" s="11">
        <v>0</v>
      </c>
    </row>
    <row r="44" spans="3:8" x14ac:dyDescent="0.25">
      <c r="C44" t="str">
        <v>WASWATTRTWAN20</v>
      </c>
      <c r="G44" s="11">
        <f>_xlfn.XLOOKUP(C44,'WAS TECH'!K:K,'WAS TECH'!M:M)</f>
        <v>1</v>
      </c>
      <c r="H44" s="11">
        <v>0</v>
      </c>
    </row>
    <row r="45" spans="3:8" x14ac:dyDescent="0.25">
      <c r="C45" t="str">
        <f t="array" ref="C45:C52">_xlfn.UNIQUE('WAS TECH'!K96:K110)</f>
        <v>WASSOLPAPLDFDEC20</v>
      </c>
      <c r="G45" s="11">
        <f>_xlfn.XLOOKUP(C45,'WAS TECH'!K:K,'WAS TECH'!M:M)</f>
        <v>1</v>
      </c>
      <c r="H45" s="11">
        <v>0</v>
      </c>
    </row>
    <row r="46" spans="3:8" x14ac:dyDescent="0.25">
      <c r="C46" t="str">
        <v>WASSOLGLALDFDEC20</v>
      </c>
      <c r="G46" s="11">
        <f>_xlfn.XLOOKUP(C46,'WAS TECH'!K:K,'WAS TECH'!M:M)</f>
        <v>1</v>
      </c>
      <c r="H46" s="11">
        <v>0</v>
      </c>
    </row>
    <row r="47" spans="3:8" x14ac:dyDescent="0.25">
      <c r="C47" t="str">
        <v>WASSOLMETLDFDEC20</v>
      </c>
      <c r="G47" s="11">
        <f>_xlfn.XLOOKUP(C47,'WAS TECH'!K:K,'WAS TECH'!M:M)</f>
        <v>1</v>
      </c>
      <c r="H47" s="11">
        <v>0</v>
      </c>
    </row>
    <row r="48" spans="3:8" x14ac:dyDescent="0.25">
      <c r="C48" t="str">
        <v>WASSOLPLALDFDEC20</v>
      </c>
      <c r="G48" s="11">
        <f>_xlfn.XLOOKUP(C48,'WAS TECH'!K:K,'WAS TECH'!M:M)</f>
        <v>1</v>
      </c>
      <c r="H48" s="11">
        <v>0</v>
      </c>
    </row>
    <row r="49" spans="3:8" x14ac:dyDescent="0.25">
      <c r="C49" t="str">
        <v>WASSOLFOOLDFDEC20</v>
      </c>
      <c r="G49" s="11">
        <f>_xlfn.XLOOKUP(C49,'WAS TECH'!K:K,'WAS TECH'!M:M)</f>
        <v>1</v>
      </c>
      <c r="H49" s="11">
        <v>0</v>
      </c>
    </row>
    <row r="50" spans="3:8" x14ac:dyDescent="0.25">
      <c r="C50" t="str">
        <v>WASSOLYARLDFDEC20</v>
      </c>
      <c r="G50" s="11">
        <f>_xlfn.XLOOKUP(C50,'WAS TECH'!K:K,'WAS TECH'!M:M)</f>
        <v>1</v>
      </c>
      <c r="H50" s="11">
        <v>0</v>
      </c>
    </row>
    <row r="51" spans="3:8" x14ac:dyDescent="0.25">
      <c r="C51" t="str">
        <v>WASSOLAOTLDFDEC20</v>
      </c>
      <c r="G51" s="11">
        <f>_xlfn.XLOOKUP(C51,'WAS TECH'!K:K,'WAS TECH'!M:M)</f>
        <v>1</v>
      </c>
      <c r="H51" s="11">
        <v>0</v>
      </c>
    </row>
    <row r="52" spans="3:8" x14ac:dyDescent="0.25">
      <c r="C52" t="str">
        <v>WASSOLHISLDFDEC20</v>
      </c>
      <c r="G52" s="11">
        <f>_xlfn.XLOOKUP(C52,'WAS TECH'!K:K,'WAS TECH'!M:M)</f>
        <v>1</v>
      </c>
      <c r="H52" s="11">
        <v>0</v>
      </c>
    </row>
    <row r="53" spans="3:8" x14ac:dyDescent="0.25">
      <c r="C53" t="str">
        <f t="array" ref="C53:C72">_xlfn.UNIQUE('WAS TECH'!K114:K149)</f>
        <v>WASSOLADGVEN20</v>
      </c>
      <c r="G53" s="11">
        <f>_xlfn.XLOOKUP(C53,'WAS TECH'!K:K,'WAS TECH'!M:M)</f>
        <v>1</v>
      </c>
      <c r="H53" s="11">
        <v>0</v>
      </c>
    </row>
    <row r="54" spans="3:8" x14ac:dyDescent="0.25">
      <c r="C54" t="str">
        <v>WASSOLADGFLA20</v>
      </c>
      <c r="G54" s="11">
        <f>_xlfn.XLOOKUP(C54,'WAS TECH'!K:K,'WAS TECH'!M:M)</f>
        <v>1</v>
      </c>
      <c r="H54" s="11">
        <v>0</v>
      </c>
    </row>
    <row r="55" spans="3:8" x14ac:dyDescent="0.25">
      <c r="C55" t="str">
        <v>WASSOLADGCOG20</v>
      </c>
      <c r="G55" s="11">
        <f>_xlfn.XLOOKUP(C55,'WAS TECH'!K:K,'WAS TECH'!M:M)</f>
        <v>1</v>
      </c>
      <c r="H55" s="11">
        <v>0</v>
      </c>
    </row>
    <row r="56" spans="3:8" x14ac:dyDescent="0.25">
      <c r="C56" t="str">
        <v>WASSOLADGPOW20</v>
      </c>
      <c r="G56" s="11">
        <f>_xlfn.XLOOKUP(C56,'WAS TECH'!K:K,'WAS TECH'!M:M)</f>
        <v>1</v>
      </c>
      <c r="H56" s="11">
        <v>0</v>
      </c>
    </row>
    <row r="57" spans="3:8" x14ac:dyDescent="0.25">
      <c r="C57" t="str">
        <v>WASSOLADGPUR20</v>
      </c>
      <c r="G57" s="11">
        <f>_xlfn.XLOOKUP(C57,'WAS TECH'!K:K,'WAS TECH'!M:M)</f>
        <v>1</v>
      </c>
      <c r="H57" s="11">
        <v>0</v>
      </c>
    </row>
    <row r="58" spans="3:8" x14ac:dyDescent="0.25">
      <c r="C58" t="str">
        <v>WASSOLLDFVEN20</v>
      </c>
      <c r="G58" s="11">
        <f>_xlfn.XLOOKUP(C58,'WAS TECH'!K:K,'WAS TECH'!M:M)</f>
        <v>1</v>
      </c>
      <c r="H58" s="11">
        <v>0</v>
      </c>
    </row>
    <row r="59" spans="3:8" x14ac:dyDescent="0.25">
      <c r="C59" t="str">
        <v>WASSOLLDFFLA20</v>
      </c>
      <c r="G59" s="11">
        <f>_xlfn.XLOOKUP(C59,'WAS TECH'!K:K,'WAS TECH'!M:M)</f>
        <v>1</v>
      </c>
      <c r="H59" s="11">
        <v>0</v>
      </c>
    </row>
    <row r="60" spans="3:8" x14ac:dyDescent="0.25">
      <c r="C60" t="str">
        <v>WASSOLLDFCOG20</v>
      </c>
      <c r="G60" s="11">
        <f>_xlfn.XLOOKUP(C60,'WAS TECH'!K:K,'WAS TECH'!M:M)</f>
        <v>1</v>
      </c>
      <c r="H60" s="11">
        <v>0</v>
      </c>
    </row>
    <row r="61" spans="3:8" x14ac:dyDescent="0.25">
      <c r="C61" t="str">
        <v>WASSOLLDFPOW20</v>
      </c>
      <c r="G61" s="11">
        <f>_xlfn.XLOOKUP(C61,'WAS TECH'!K:K,'WAS TECH'!M:M)</f>
        <v>1</v>
      </c>
      <c r="H61" s="11">
        <v>0</v>
      </c>
    </row>
    <row r="62" spans="3:8" x14ac:dyDescent="0.25">
      <c r="C62" t="str">
        <v>WASSOLLDFPUR20</v>
      </c>
      <c r="G62" s="11">
        <f>_xlfn.XLOOKUP(C62,'WAS TECH'!K:K,'WAS TECH'!M:M)</f>
        <v>1</v>
      </c>
      <c r="H62" s="11">
        <v>0</v>
      </c>
    </row>
    <row r="63" spans="3:8" x14ac:dyDescent="0.25">
      <c r="C63" t="str">
        <v>WASWATWADVEN20</v>
      </c>
      <c r="G63" s="11">
        <f>_xlfn.XLOOKUP(C63,'WAS TECH'!K:K,'WAS TECH'!M:M)</f>
        <v>1</v>
      </c>
      <c r="H63" s="11">
        <v>0</v>
      </c>
    </row>
    <row r="64" spans="3:8" x14ac:dyDescent="0.25">
      <c r="C64" t="str">
        <v>WASWATWADFLA20</v>
      </c>
      <c r="G64" s="11">
        <f>_xlfn.XLOOKUP(C64,'WAS TECH'!K:K,'WAS TECH'!M:M)</f>
        <v>1</v>
      </c>
      <c r="H64" s="11">
        <v>0</v>
      </c>
    </row>
    <row r="65" spans="3:8" x14ac:dyDescent="0.25">
      <c r="C65" t="str">
        <v>WASWATWADCOG20</v>
      </c>
      <c r="G65" s="11">
        <f>_xlfn.XLOOKUP(C65,'WAS TECH'!K:K,'WAS TECH'!M:M)</f>
        <v>1</v>
      </c>
      <c r="H65" s="11">
        <v>0</v>
      </c>
    </row>
    <row r="66" spans="3:8" x14ac:dyDescent="0.25">
      <c r="C66" t="str">
        <v>WASWATWADPOW20</v>
      </c>
      <c r="G66" s="11">
        <f>_xlfn.XLOOKUP(C66,'WAS TECH'!K:K,'WAS TECH'!M:M)</f>
        <v>1</v>
      </c>
      <c r="H66" s="11">
        <v>0</v>
      </c>
    </row>
    <row r="67" spans="3:8" x14ac:dyDescent="0.25">
      <c r="C67" t="str">
        <v>WASWATWADPUR20</v>
      </c>
      <c r="G67" s="11">
        <f>_xlfn.XLOOKUP(C67,'WAS TECH'!K:K,'WAS TECH'!M:M)</f>
        <v>1</v>
      </c>
      <c r="H67" s="11">
        <v>0</v>
      </c>
    </row>
    <row r="68" spans="3:8" x14ac:dyDescent="0.25">
      <c r="C68" t="str">
        <v>WASWATWANVEN20</v>
      </c>
      <c r="G68" s="11">
        <f>_xlfn.XLOOKUP(C68,'WAS TECH'!K:K,'WAS TECH'!M:M)</f>
        <v>1</v>
      </c>
      <c r="H68" s="11">
        <v>0</v>
      </c>
    </row>
    <row r="69" spans="3:8" x14ac:dyDescent="0.25">
      <c r="C69" t="str">
        <v>WASWATWANFLA20</v>
      </c>
      <c r="G69" s="11">
        <f>_xlfn.XLOOKUP(C69,'WAS TECH'!K:K,'WAS TECH'!M:M)</f>
        <v>1</v>
      </c>
      <c r="H69" s="11">
        <v>0</v>
      </c>
    </row>
    <row r="70" spans="3:8" x14ac:dyDescent="0.25">
      <c r="C70" t="str">
        <v>WASWATWANCOG20</v>
      </c>
      <c r="G70" s="11">
        <f>_xlfn.XLOOKUP(C70,'WAS TECH'!K:K,'WAS TECH'!M:M)</f>
        <v>1</v>
      </c>
      <c r="H70" s="11">
        <v>0</v>
      </c>
    </row>
    <row r="71" spans="3:8" x14ac:dyDescent="0.25">
      <c r="C71" t="str">
        <v>WASWATWANPOW20</v>
      </c>
      <c r="G71" s="11">
        <f>_xlfn.XLOOKUP(C71,'WAS TECH'!K:K,'WAS TECH'!M:M)</f>
        <v>1</v>
      </c>
      <c r="H71" s="11">
        <v>0</v>
      </c>
    </row>
    <row r="72" spans="3:8" x14ac:dyDescent="0.25">
      <c r="C72" t="str">
        <v>WASWATWANPUR20</v>
      </c>
      <c r="G72" s="11">
        <f>_xlfn.XLOOKUP(C72,'WAS TECH'!K:K,'WAS TECH'!M:M)</f>
        <v>1</v>
      </c>
      <c r="H72" s="11">
        <v>0</v>
      </c>
    </row>
    <row r="73" spans="3:8" x14ac:dyDescent="0.25">
      <c r="G73" s="11"/>
      <c r="H73" s="11"/>
    </row>
    <row r="74" spans="3:8" x14ac:dyDescent="0.25">
      <c r="G74" s="11"/>
      <c r="H74" s="11"/>
    </row>
    <row r="75" spans="3:8" x14ac:dyDescent="0.25">
      <c r="G75" s="11"/>
      <c r="H75" s="11"/>
    </row>
    <row r="76" spans="3:8" x14ac:dyDescent="0.25">
      <c r="G76" s="11"/>
      <c r="H76" s="11"/>
    </row>
    <row r="77" spans="3:8" x14ac:dyDescent="0.25">
      <c r="G77" s="11"/>
      <c r="H77" s="11"/>
    </row>
    <row r="78" spans="3:8" x14ac:dyDescent="0.25">
      <c r="G78" s="11"/>
      <c r="H78" s="11"/>
    </row>
    <row r="79" spans="3:8" x14ac:dyDescent="0.25">
      <c r="G79" s="11"/>
      <c r="H79" s="11"/>
    </row>
    <row r="80" spans="3:8" x14ac:dyDescent="0.25">
      <c r="G80" s="11"/>
      <c r="H80" s="11"/>
    </row>
    <row r="81" spans="7:8" x14ac:dyDescent="0.25">
      <c r="G81" s="11"/>
      <c r="H81" s="11"/>
    </row>
    <row r="82" spans="7:8" x14ac:dyDescent="0.25">
      <c r="G82" s="11"/>
      <c r="H82" s="11"/>
    </row>
    <row r="83" spans="7:8" x14ac:dyDescent="0.25">
      <c r="G83" s="11"/>
      <c r="H83" s="11"/>
    </row>
    <row r="84" spans="7:8" x14ac:dyDescent="0.25">
      <c r="G84" s="11"/>
      <c r="H84" s="11"/>
    </row>
    <row r="85" spans="7:8" x14ac:dyDescent="0.25">
      <c r="G85" s="11"/>
      <c r="H85" s="11"/>
    </row>
    <row r="86" spans="7:8" x14ac:dyDescent="0.25">
      <c r="G86" s="11"/>
      <c r="H86" s="11"/>
    </row>
    <row r="87" spans="7:8" x14ac:dyDescent="0.25">
      <c r="G87" s="11"/>
      <c r="H87" s="11"/>
    </row>
    <row r="88" spans="7:8" x14ac:dyDescent="0.25">
      <c r="G88" s="11"/>
      <c r="H88" s="11"/>
    </row>
    <row r="89" spans="7:8" x14ac:dyDescent="0.25">
      <c r="G89" s="11"/>
      <c r="H89" s="11"/>
    </row>
    <row r="90" spans="7:8" x14ac:dyDescent="0.25">
      <c r="G90" s="11"/>
      <c r="H90" s="11"/>
    </row>
    <row r="91" spans="7:8" x14ac:dyDescent="0.25">
      <c r="G91" s="11"/>
      <c r="H91" s="11"/>
    </row>
    <row r="92" spans="7:8" x14ac:dyDescent="0.25">
      <c r="G92" s="11"/>
      <c r="H92" s="11"/>
    </row>
    <row r="93" spans="7:8" x14ac:dyDescent="0.25">
      <c r="G93" s="11"/>
      <c r="H93" s="11"/>
    </row>
    <row r="94" spans="7:8" x14ac:dyDescent="0.25">
      <c r="G94" s="11"/>
      <c r="H94" s="11"/>
    </row>
    <row r="95" spans="7:8" x14ac:dyDescent="0.25">
      <c r="G95" s="11"/>
      <c r="H95" s="11"/>
    </row>
    <row r="96" spans="7:8" x14ac:dyDescent="0.25">
      <c r="G96" s="11"/>
      <c r="H96" s="11"/>
    </row>
    <row r="97" spans="7:8" x14ac:dyDescent="0.25">
      <c r="G97" s="11"/>
      <c r="H97" s="11"/>
    </row>
    <row r="98" spans="7:8" x14ac:dyDescent="0.25">
      <c r="G98" s="11"/>
      <c r="H98" s="11"/>
    </row>
    <row r="99" spans="7:8" x14ac:dyDescent="0.25">
      <c r="G99" s="11"/>
      <c r="H99" s="11"/>
    </row>
    <row r="100" spans="7:8" x14ac:dyDescent="0.25">
      <c r="G100" s="11"/>
      <c r="H100" s="11"/>
    </row>
    <row r="101" spans="7:8" x14ac:dyDescent="0.25">
      <c r="G101" s="11"/>
      <c r="H101" s="11"/>
    </row>
    <row r="102" spans="7:8" x14ac:dyDescent="0.25">
      <c r="G102" s="11"/>
      <c r="H102" s="11"/>
    </row>
    <row r="103" spans="7:8" x14ac:dyDescent="0.25">
      <c r="G103" s="11"/>
      <c r="H103" s="11"/>
    </row>
    <row r="104" spans="7:8" x14ac:dyDescent="0.25">
      <c r="G104" s="11"/>
      <c r="H104" s="11"/>
    </row>
    <row r="105" spans="7:8" x14ac:dyDescent="0.25">
      <c r="G105" s="11"/>
      <c r="H105" s="11"/>
    </row>
    <row r="106" spans="7:8" x14ac:dyDescent="0.25">
      <c r="G106" s="11"/>
      <c r="H106" s="11"/>
    </row>
    <row r="107" spans="7:8" x14ac:dyDescent="0.25">
      <c r="G107" s="11"/>
      <c r="H107" s="11"/>
    </row>
    <row r="108" spans="7:8" x14ac:dyDescent="0.25">
      <c r="G108" s="11"/>
      <c r="H108" s="11"/>
    </row>
    <row r="109" spans="7:8" x14ac:dyDescent="0.25">
      <c r="G109" s="11"/>
      <c r="H109" s="11"/>
    </row>
    <row r="110" spans="7:8" x14ac:dyDescent="0.25">
      <c r="G110" s="11"/>
      <c r="H110" s="11"/>
    </row>
    <row r="111" spans="7:8" x14ac:dyDescent="0.25">
      <c r="G111" s="11"/>
      <c r="H111" s="11"/>
    </row>
    <row r="112" spans="7:8" x14ac:dyDescent="0.25">
      <c r="G112" s="11"/>
      <c r="H112" s="11"/>
    </row>
    <row r="113" spans="7:8" x14ac:dyDescent="0.25">
      <c r="G113" s="11"/>
      <c r="H113" s="11"/>
    </row>
    <row r="114" spans="7:8" x14ac:dyDescent="0.25">
      <c r="G114" s="11"/>
      <c r="H114" s="11"/>
    </row>
    <row r="115" spans="7:8" x14ac:dyDescent="0.25">
      <c r="G115" s="11"/>
      <c r="H115" s="11"/>
    </row>
    <row r="116" spans="7:8" x14ac:dyDescent="0.25">
      <c r="G116" s="11"/>
      <c r="H116" s="11"/>
    </row>
    <row r="117" spans="7:8" x14ac:dyDescent="0.25">
      <c r="G117" s="11"/>
      <c r="H117" s="11"/>
    </row>
    <row r="118" spans="7:8" x14ac:dyDescent="0.25">
      <c r="G118" s="11"/>
      <c r="H118" s="11"/>
    </row>
    <row r="119" spans="7:8" x14ac:dyDescent="0.25">
      <c r="G119" s="11"/>
      <c r="H119" s="11"/>
    </row>
    <row r="120" spans="7:8" x14ac:dyDescent="0.25">
      <c r="G120" s="11"/>
      <c r="H120" s="11"/>
    </row>
    <row r="121" spans="7:8" x14ac:dyDescent="0.25">
      <c r="G121" s="11"/>
      <c r="H121" s="11"/>
    </row>
    <row r="122" spans="7:8" x14ac:dyDescent="0.25">
      <c r="G122" s="11"/>
      <c r="H122" s="11"/>
    </row>
    <row r="123" spans="7:8" x14ac:dyDescent="0.25">
      <c r="G123" s="11"/>
      <c r="H123" s="11"/>
    </row>
    <row r="124" spans="7:8" x14ac:dyDescent="0.25">
      <c r="G124" s="11"/>
      <c r="H124" s="11"/>
    </row>
    <row r="125" spans="7:8" x14ac:dyDescent="0.25">
      <c r="G125" s="11"/>
      <c r="H125" s="11"/>
    </row>
    <row r="126" spans="7:8" x14ac:dyDescent="0.25">
      <c r="G126" s="11"/>
      <c r="H126" s="11"/>
    </row>
    <row r="127" spans="7:8" x14ac:dyDescent="0.25">
      <c r="G127" s="11"/>
      <c r="H127" s="11"/>
    </row>
    <row r="128" spans="7:8" x14ac:dyDescent="0.25">
      <c r="G128" s="11"/>
      <c r="H128" s="11"/>
    </row>
    <row r="129" spans="7:8" x14ac:dyDescent="0.25">
      <c r="G129" s="11"/>
      <c r="H129" s="11"/>
    </row>
    <row r="130" spans="7:8" x14ac:dyDescent="0.25">
      <c r="G130" s="11"/>
      <c r="H130" s="11"/>
    </row>
    <row r="131" spans="7:8" x14ac:dyDescent="0.25">
      <c r="G131" s="11"/>
      <c r="H131" s="11"/>
    </row>
    <row r="132" spans="7:8" x14ac:dyDescent="0.25">
      <c r="G132" s="11"/>
      <c r="H132" s="11"/>
    </row>
    <row r="133" spans="7:8" x14ac:dyDescent="0.25">
      <c r="G133" s="11"/>
      <c r="H133" s="11"/>
    </row>
    <row r="134" spans="7:8" x14ac:dyDescent="0.25">
      <c r="G134" s="11"/>
      <c r="H134" s="11"/>
    </row>
    <row r="135" spans="7:8" x14ac:dyDescent="0.25">
      <c r="G135" s="11"/>
      <c r="H135" s="11"/>
    </row>
    <row r="136" spans="7:8" x14ac:dyDescent="0.25">
      <c r="G136" s="11"/>
      <c r="H136" s="11"/>
    </row>
    <row r="137" spans="7:8" x14ac:dyDescent="0.25">
      <c r="G137" s="11"/>
      <c r="H137" s="11"/>
    </row>
    <row r="138" spans="7:8" x14ac:dyDescent="0.25">
      <c r="G138" s="11"/>
      <c r="H138" s="11"/>
    </row>
    <row r="139" spans="7:8" x14ac:dyDescent="0.25">
      <c r="G139" s="11"/>
      <c r="H139" s="11"/>
    </row>
    <row r="140" spans="7:8" x14ac:dyDescent="0.25">
      <c r="G140" s="11"/>
      <c r="H140" s="11"/>
    </row>
    <row r="141" spans="7:8" x14ac:dyDescent="0.25">
      <c r="G141" s="11"/>
      <c r="H141" s="11"/>
    </row>
    <row r="142" spans="7:8" x14ac:dyDescent="0.25">
      <c r="G142" s="11"/>
      <c r="H142" s="11"/>
    </row>
    <row r="143" spans="7:8" x14ac:dyDescent="0.25">
      <c r="G143" s="11"/>
      <c r="H143" s="11"/>
    </row>
    <row r="144" spans="7:8" x14ac:dyDescent="0.25">
      <c r="G144" s="11"/>
      <c r="H144" s="11"/>
    </row>
    <row r="145" spans="7:8" x14ac:dyDescent="0.25">
      <c r="G145" s="11"/>
      <c r="H145" s="11"/>
    </row>
    <row r="146" spans="7:8" x14ac:dyDescent="0.25">
      <c r="G146" s="11"/>
      <c r="H146" s="11"/>
    </row>
    <row r="147" spans="7:8" x14ac:dyDescent="0.25">
      <c r="G147" s="11"/>
      <c r="H147" s="11"/>
    </row>
    <row r="148" spans="7:8" x14ac:dyDescent="0.25">
      <c r="G148" s="11"/>
      <c r="H148" s="11"/>
    </row>
    <row r="149" spans="7:8" x14ac:dyDescent="0.25">
      <c r="G149" s="11"/>
      <c r="H149" s="11"/>
    </row>
    <row r="150" spans="7:8" x14ac:dyDescent="0.25">
      <c r="G150" s="11"/>
      <c r="H150" s="11"/>
    </row>
    <row r="151" spans="7:8" x14ac:dyDescent="0.25">
      <c r="G151" s="11"/>
      <c r="H151" s="11"/>
    </row>
    <row r="152" spans="7:8" x14ac:dyDescent="0.25">
      <c r="G152" s="11"/>
      <c r="H152" s="11"/>
    </row>
    <row r="153" spans="7:8" x14ac:dyDescent="0.25">
      <c r="G153" s="11"/>
      <c r="H153" s="11"/>
    </row>
    <row r="154" spans="7:8" x14ac:dyDescent="0.25">
      <c r="G154" s="11"/>
      <c r="H154" s="11"/>
    </row>
    <row r="155" spans="7:8" x14ac:dyDescent="0.25">
      <c r="G155" s="11"/>
      <c r="H155" s="11"/>
    </row>
    <row r="156" spans="7:8" x14ac:dyDescent="0.25">
      <c r="G156" s="11"/>
      <c r="H156" s="11"/>
    </row>
    <row r="157" spans="7:8" x14ac:dyDescent="0.25">
      <c r="G157" s="11"/>
      <c r="H157" s="11"/>
    </row>
    <row r="158" spans="7:8" x14ac:dyDescent="0.25">
      <c r="G158" s="11"/>
      <c r="H158" s="11"/>
    </row>
    <row r="159" spans="7:8" x14ac:dyDescent="0.25">
      <c r="G159" s="11"/>
      <c r="H159" s="11"/>
    </row>
    <row r="160" spans="7:8" x14ac:dyDescent="0.25">
      <c r="G160" s="11"/>
      <c r="H160" s="11"/>
    </row>
    <row r="161" spans="7:8" x14ac:dyDescent="0.25">
      <c r="G161" s="11"/>
      <c r="H161" s="11"/>
    </row>
    <row r="162" spans="7:8" x14ac:dyDescent="0.25">
      <c r="G162" s="11"/>
      <c r="H162" s="11"/>
    </row>
    <row r="163" spans="7:8" x14ac:dyDescent="0.25">
      <c r="G163" s="11"/>
      <c r="H163" s="11"/>
    </row>
    <row r="164" spans="7:8" x14ac:dyDescent="0.25">
      <c r="G164" s="11"/>
      <c r="H164" s="11"/>
    </row>
    <row r="165" spans="7:8" x14ac:dyDescent="0.25">
      <c r="G165" s="11"/>
      <c r="H165" s="11"/>
    </row>
    <row r="166" spans="7:8" x14ac:dyDescent="0.25">
      <c r="G166" s="11"/>
      <c r="H166" s="11"/>
    </row>
    <row r="167" spans="7:8" x14ac:dyDescent="0.25">
      <c r="G167" s="11"/>
      <c r="H167" s="11"/>
    </row>
    <row r="168" spans="7:8" x14ac:dyDescent="0.25">
      <c r="G168" s="11"/>
      <c r="H168" s="11"/>
    </row>
    <row r="169" spans="7:8" x14ac:dyDescent="0.25">
      <c r="G169" s="11"/>
      <c r="H169" s="11"/>
    </row>
    <row r="170" spans="7:8" x14ac:dyDescent="0.25">
      <c r="G170" s="11"/>
      <c r="H170" s="11"/>
    </row>
    <row r="171" spans="7:8" x14ac:dyDescent="0.25">
      <c r="G171" s="11"/>
      <c r="H171" s="11"/>
    </row>
    <row r="172" spans="7:8" x14ac:dyDescent="0.25">
      <c r="G172" s="11"/>
      <c r="H172" s="11"/>
    </row>
    <row r="173" spans="7:8" x14ac:dyDescent="0.25">
      <c r="G173" s="11"/>
      <c r="H173" s="11"/>
    </row>
    <row r="174" spans="7:8" x14ac:dyDescent="0.25">
      <c r="G174" s="11"/>
      <c r="H174" s="11"/>
    </row>
    <row r="175" spans="7:8" x14ac:dyDescent="0.25">
      <c r="G175" s="11"/>
      <c r="H175" s="11"/>
    </row>
    <row r="176" spans="7:8" x14ac:dyDescent="0.25">
      <c r="G176" s="11"/>
      <c r="H176" s="11"/>
    </row>
    <row r="177" spans="7:8" x14ac:dyDescent="0.25">
      <c r="G177" s="11"/>
      <c r="H177" s="11"/>
    </row>
    <row r="178" spans="7:8" x14ac:dyDescent="0.25">
      <c r="G178" s="11"/>
      <c r="H178" s="11"/>
    </row>
    <row r="179" spans="7:8" x14ac:dyDescent="0.25">
      <c r="G179" s="11"/>
      <c r="H179" s="11"/>
    </row>
    <row r="180" spans="7:8" x14ac:dyDescent="0.25">
      <c r="G180" s="11"/>
      <c r="H180" s="11"/>
    </row>
    <row r="181" spans="7:8" x14ac:dyDescent="0.25">
      <c r="G181" s="11"/>
      <c r="H181" s="11"/>
    </row>
    <row r="182" spans="7:8" x14ac:dyDescent="0.25">
      <c r="G182" s="11"/>
      <c r="H182" s="11"/>
    </row>
    <row r="183" spans="7:8" x14ac:dyDescent="0.25">
      <c r="G183" s="11"/>
      <c r="H183" s="11"/>
    </row>
    <row r="184" spans="7:8" x14ac:dyDescent="0.25">
      <c r="G184" s="11"/>
      <c r="H184" s="11"/>
    </row>
    <row r="185" spans="7:8" x14ac:dyDescent="0.25">
      <c r="G185" s="11"/>
      <c r="H185" s="11"/>
    </row>
    <row r="186" spans="7:8" x14ac:dyDescent="0.25">
      <c r="G186" s="11"/>
      <c r="H186" s="11"/>
    </row>
    <row r="187" spans="7:8" x14ac:dyDescent="0.25">
      <c r="G187" s="11"/>
      <c r="H187" s="11"/>
    </row>
    <row r="188" spans="7:8" x14ac:dyDescent="0.25">
      <c r="G188" s="11"/>
      <c r="H188" s="11"/>
    </row>
    <row r="189" spans="7:8" x14ac:dyDescent="0.25">
      <c r="G189" s="11"/>
      <c r="H189" s="11"/>
    </row>
    <row r="190" spans="7:8" x14ac:dyDescent="0.25">
      <c r="G190" s="11"/>
      <c r="H190" s="11"/>
    </row>
    <row r="191" spans="7:8" x14ac:dyDescent="0.25">
      <c r="G191" s="11"/>
      <c r="H191" s="11"/>
    </row>
    <row r="192" spans="7:8" x14ac:dyDescent="0.25">
      <c r="G192" s="11"/>
      <c r="H192" s="11"/>
    </row>
    <row r="193" spans="7:8" x14ac:dyDescent="0.25">
      <c r="G193" s="11"/>
      <c r="H193" s="11"/>
    </row>
    <row r="194" spans="7:8" x14ac:dyDescent="0.25">
      <c r="G194" s="11"/>
      <c r="H194" s="11"/>
    </row>
    <row r="195" spans="7:8" x14ac:dyDescent="0.25">
      <c r="G195" s="11"/>
      <c r="H195" s="11"/>
    </row>
    <row r="196" spans="7:8" x14ac:dyDescent="0.25">
      <c r="G196" s="11"/>
      <c r="H196" s="11"/>
    </row>
    <row r="197" spans="7:8" x14ac:dyDescent="0.25">
      <c r="G197" s="11"/>
      <c r="H197" s="11"/>
    </row>
    <row r="198" spans="7:8" x14ac:dyDescent="0.25">
      <c r="G198" s="11"/>
      <c r="H198" s="11"/>
    </row>
    <row r="199" spans="7:8" x14ac:dyDescent="0.25">
      <c r="G199" s="11"/>
      <c r="H199" s="11"/>
    </row>
    <row r="200" spans="7:8" x14ac:dyDescent="0.25">
      <c r="G200" s="11"/>
      <c r="H200" s="11"/>
    </row>
    <row r="201" spans="7:8" x14ac:dyDescent="0.25">
      <c r="G201" s="11"/>
      <c r="H201" s="11"/>
    </row>
    <row r="202" spans="7:8" x14ac:dyDescent="0.25">
      <c r="G202" s="11"/>
      <c r="H202" s="11"/>
    </row>
    <row r="203" spans="7:8" x14ac:dyDescent="0.25">
      <c r="G203" s="11"/>
      <c r="H203" s="11"/>
    </row>
    <row r="204" spans="7:8" x14ac:dyDescent="0.25">
      <c r="G204" s="11"/>
      <c r="H204" s="11"/>
    </row>
    <row r="205" spans="7:8" x14ac:dyDescent="0.25">
      <c r="G205" s="11"/>
      <c r="H205" s="11"/>
    </row>
    <row r="206" spans="7:8" x14ac:dyDescent="0.25">
      <c r="G206" s="11"/>
      <c r="H206" s="11"/>
    </row>
    <row r="207" spans="7:8" x14ac:dyDescent="0.25">
      <c r="G207" s="11"/>
      <c r="H207" s="11"/>
    </row>
    <row r="208" spans="7:8" x14ac:dyDescent="0.25">
      <c r="G208" s="11"/>
      <c r="H208" s="11"/>
    </row>
    <row r="209" spans="7:8" x14ac:dyDescent="0.25">
      <c r="G209" s="11"/>
      <c r="H209" s="11"/>
    </row>
    <row r="210" spans="7:8" x14ac:dyDescent="0.25">
      <c r="G210" s="11"/>
      <c r="H210" s="11"/>
    </row>
    <row r="211" spans="7:8" x14ac:dyDescent="0.25">
      <c r="G211" s="11"/>
      <c r="H211" s="11"/>
    </row>
    <row r="212" spans="7:8" x14ac:dyDescent="0.25">
      <c r="G212" s="11"/>
      <c r="H212" s="11"/>
    </row>
    <row r="213" spans="7:8" x14ac:dyDescent="0.25">
      <c r="G213" s="11"/>
      <c r="H213" s="11"/>
    </row>
    <row r="214" spans="7:8" x14ac:dyDescent="0.25">
      <c r="G214" s="11"/>
      <c r="H214" s="11"/>
    </row>
    <row r="215" spans="7:8" x14ac:dyDescent="0.25">
      <c r="G215" s="11"/>
      <c r="H215" s="11"/>
    </row>
    <row r="216" spans="7:8" x14ac:dyDescent="0.25">
      <c r="G216" s="11"/>
      <c r="H216" s="11"/>
    </row>
    <row r="217" spans="7:8" x14ac:dyDescent="0.25">
      <c r="G217" s="11"/>
      <c r="H217" s="11"/>
    </row>
    <row r="218" spans="7:8" x14ac:dyDescent="0.25">
      <c r="G218" s="11"/>
      <c r="H218" s="11"/>
    </row>
    <row r="219" spans="7:8" x14ac:dyDescent="0.25">
      <c r="G219" s="11"/>
      <c r="H219" s="11"/>
    </row>
    <row r="220" spans="7:8" x14ac:dyDescent="0.25">
      <c r="G220" s="11"/>
      <c r="H220" s="11"/>
    </row>
    <row r="221" spans="7:8" x14ac:dyDescent="0.25">
      <c r="G221" s="11"/>
      <c r="H221" s="11"/>
    </row>
    <row r="222" spans="7:8" x14ac:dyDescent="0.25">
      <c r="G222" s="11"/>
      <c r="H222" s="11"/>
    </row>
    <row r="223" spans="7:8" x14ac:dyDescent="0.25">
      <c r="G223" s="11"/>
      <c r="H223" s="11"/>
    </row>
    <row r="224" spans="7:8" x14ac:dyDescent="0.25">
      <c r="G224" s="11"/>
      <c r="H224" s="11"/>
    </row>
    <row r="225" spans="7:8" x14ac:dyDescent="0.25">
      <c r="G225" s="11"/>
      <c r="H225" s="11"/>
    </row>
    <row r="226" spans="7:8" x14ac:dyDescent="0.25">
      <c r="G226" s="11"/>
      <c r="H226" s="11"/>
    </row>
    <row r="227" spans="7:8" x14ac:dyDescent="0.25">
      <c r="G227" s="11"/>
      <c r="H227" s="11"/>
    </row>
    <row r="228" spans="7:8" x14ac:dyDescent="0.25">
      <c r="G228" s="11"/>
      <c r="H228" s="11"/>
    </row>
    <row r="229" spans="7:8" x14ac:dyDescent="0.25">
      <c r="G229" s="11"/>
      <c r="H229" s="11"/>
    </row>
    <row r="230" spans="7:8" x14ac:dyDescent="0.25">
      <c r="G230" s="11"/>
      <c r="H230" s="11"/>
    </row>
    <row r="231" spans="7:8" x14ac:dyDescent="0.25">
      <c r="G231" s="11"/>
      <c r="H231" s="11"/>
    </row>
    <row r="232" spans="7:8" x14ac:dyDescent="0.25">
      <c r="G232" s="11"/>
      <c r="H232" s="11"/>
    </row>
    <row r="233" spans="7:8" x14ac:dyDescent="0.25">
      <c r="G233" s="11"/>
      <c r="H233" s="11"/>
    </row>
    <row r="234" spans="7:8" x14ac:dyDescent="0.25">
      <c r="G234" s="11"/>
      <c r="H234" s="11"/>
    </row>
    <row r="235" spans="7:8" x14ac:dyDescent="0.25">
      <c r="G235" s="11"/>
      <c r="H235" s="11"/>
    </row>
    <row r="236" spans="7:8" x14ac:dyDescent="0.25">
      <c r="G236" s="11"/>
      <c r="H236" s="11"/>
    </row>
    <row r="237" spans="7:8" x14ac:dyDescent="0.25">
      <c r="G237" s="11"/>
      <c r="H237" s="11"/>
    </row>
    <row r="238" spans="7:8" x14ac:dyDescent="0.25">
      <c r="G238" s="11"/>
      <c r="H238" s="11"/>
    </row>
    <row r="239" spans="7:8" x14ac:dyDescent="0.25">
      <c r="G239" s="11"/>
      <c r="H239" s="11"/>
    </row>
    <row r="240" spans="7:8" x14ac:dyDescent="0.25">
      <c r="G240" s="11"/>
      <c r="H240" s="11"/>
    </row>
    <row r="241" spans="7:8" x14ac:dyDescent="0.25">
      <c r="G241" s="11"/>
      <c r="H241" s="11"/>
    </row>
    <row r="242" spans="7:8" x14ac:dyDescent="0.25">
      <c r="G242" s="11"/>
      <c r="H242" s="11"/>
    </row>
    <row r="243" spans="7:8" x14ac:dyDescent="0.25">
      <c r="G243" s="11"/>
      <c r="H243" s="11"/>
    </row>
    <row r="244" spans="7:8" x14ac:dyDescent="0.25">
      <c r="G244" s="11"/>
      <c r="H244" s="11"/>
    </row>
    <row r="245" spans="7:8" x14ac:dyDescent="0.25">
      <c r="G245" s="11"/>
      <c r="H245" s="11"/>
    </row>
    <row r="246" spans="7:8" x14ac:dyDescent="0.25">
      <c r="G246" s="11"/>
      <c r="H246" s="11"/>
    </row>
    <row r="247" spans="7:8" x14ac:dyDescent="0.25">
      <c r="G247" s="11"/>
      <c r="H247" s="11"/>
    </row>
    <row r="248" spans="7:8" x14ac:dyDescent="0.25">
      <c r="G248" s="11"/>
      <c r="H248" s="11"/>
    </row>
    <row r="249" spans="7:8" x14ac:dyDescent="0.25">
      <c r="G249" s="11"/>
      <c r="H249" s="11"/>
    </row>
    <row r="250" spans="7:8" x14ac:dyDescent="0.25">
      <c r="G250" s="11"/>
      <c r="H250" s="11"/>
    </row>
    <row r="251" spans="7:8" x14ac:dyDescent="0.25">
      <c r="G251" s="11"/>
      <c r="H251" s="11"/>
    </row>
    <row r="252" spans="7:8" x14ac:dyDescent="0.25">
      <c r="G252" s="11"/>
      <c r="H252" s="11"/>
    </row>
    <row r="253" spans="7:8" x14ac:dyDescent="0.25">
      <c r="G253" s="11"/>
      <c r="H253" s="11"/>
    </row>
    <row r="254" spans="7:8" x14ac:dyDescent="0.25">
      <c r="G254" s="11"/>
      <c r="H254" s="11"/>
    </row>
    <row r="255" spans="7:8" x14ac:dyDescent="0.25">
      <c r="G255" s="11"/>
      <c r="H255" s="11"/>
    </row>
    <row r="256" spans="7:8" x14ac:dyDescent="0.25">
      <c r="G256" s="11"/>
      <c r="H256" s="11"/>
    </row>
    <row r="257" spans="7:8" x14ac:dyDescent="0.25">
      <c r="G257" s="11"/>
      <c r="H257" s="11"/>
    </row>
    <row r="258" spans="7:8" x14ac:dyDescent="0.25">
      <c r="G258" s="11"/>
      <c r="H258" s="11"/>
    </row>
    <row r="259" spans="7:8" x14ac:dyDescent="0.25">
      <c r="G259" s="11"/>
      <c r="H259" s="11"/>
    </row>
    <row r="260" spans="7:8" x14ac:dyDescent="0.25">
      <c r="G260" s="11"/>
      <c r="H260" s="11"/>
    </row>
    <row r="261" spans="7:8" x14ac:dyDescent="0.25">
      <c r="G261" s="11"/>
      <c r="H261" s="11"/>
    </row>
    <row r="262" spans="7:8" x14ac:dyDescent="0.25">
      <c r="G262" s="11"/>
      <c r="H262" s="11"/>
    </row>
    <row r="263" spans="7:8" x14ac:dyDescent="0.25">
      <c r="G263" s="11"/>
      <c r="H263" s="11"/>
    </row>
    <row r="264" spans="7:8" x14ac:dyDescent="0.25">
      <c r="G264" s="11"/>
      <c r="H264" s="11"/>
    </row>
    <row r="265" spans="7:8" x14ac:dyDescent="0.25">
      <c r="G265" s="11"/>
      <c r="H265" s="11"/>
    </row>
    <row r="266" spans="7:8" x14ac:dyDescent="0.25">
      <c r="G266" s="11"/>
      <c r="H266" s="11"/>
    </row>
    <row r="267" spans="7:8" x14ac:dyDescent="0.25">
      <c r="G267" s="11"/>
      <c r="H267" s="11"/>
    </row>
    <row r="268" spans="7:8" x14ac:dyDescent="0.25">
      <c r="G268" s="11"/>
      <c r="H268" s="11"/>
    </row>
    <row r="269" spans="7:8" x14ac:dyDescent="0.25">
      <c r="G269" s="11"/>
      <c r="H269" s="11"/>
    </row>
    <row r="270" spans="7:8" x14ac:dyDescent="0.25">
      <c r="G270" s="11"/>
      <c r="H270" s="11"/>
    </row>
    <row r="271" spans="7:8" x14ac:dyDescent="0.25">
      <c r="G271" s="11"/>
      <c r="H271" s="11"/>
    </row>
    <row r="272" spans="7:8" x14ac:dyDescent="0.25">
      <c r="G272" s="11"/>
      <c r="H272" s="11"/>
    </row>
    <row r="273" spans="7:8" x14ac:dyDescent="0.25">
      <c r="G273" s="11"/>
      <c r="H273" s="11"/>
    </row>
    <row r="274" spans="7:8" x14ac:dyDescent="0.25">
      <c r="G274" s="11"/>
      <c r="H274" s="11"/>
    </row>
    <row r="275" spans="7:8" x14ac:dyDescent="0.25">
      <c r="G275" s="11"/>
      <c r="H275" s="11"/>
    </row>
    <row r="276" spans="7:8" x14ac:dyDescent="0.25">
      <c r="G276" s="11"/>
      <c r="H276" s="11"/>
    </row>
    <row r="277" spans="7:8" x14ac:dyDescent="0.25">
      <c r="G277" s="11"/>
      <c r="H277" s="11"/>
    </row>
    <row r="278" spans="7:8" x14ac:dyDescent="0.25">
      <c r="G278" s="11"/>
      <c r="H278" s="11"/>
    </row>
    <row r="279" spans="7:8" x14ac:dyDescent="0.25">
      <c r="G279" s="11"/>
      <c r="H279" s="11"/>
    </row>
    <row r="280" spans="7:8" x14ac:dyDescent="0.25">
      <c r="G280" s="11"/>
      <c r="H280" s="11"/>
    </row>
    <row r="281" spans="7:8" x14ac:dyDescent="0.25">
      <c r="G281" s="11"/>
      <c r="H281" s="11"/>
    </row>
    <row r="282" spans="7:8" x14ac:dyDescent="0.25">
      <c r="G282" s="11"/>
      <c r="H282" s="11"/>
    </row>
    <row r="283" spans="7:8" x14ac:dyDescent="0.25">
      <c r="G283" s="11"/>
      <c r="H283" s="11"/>
    </row>
    <row r="284" spans="7:8" x14ac:dyDescent="0.25">
      <c r="G284" s="11"/>
      <c r="H284" s="11"/>
    </row>
    <row r="285" spans="7:8" x14ac:dyDescent="0.25">
      <c r="G285" s="11"/>
      <c r="H285" s="11"/>
    </row>
    <row r="286" spans="7:8" x14ac:dyDescent="0.25">
      <c r="G286" s="11"/>
      <c r="H286" s="11"/>
    </row>
    <row r="287" spans="7:8" x14ac:dyDescent="0.25">
      <c r="G287" s="11"/>
      <c r="H287" s="11"/>
    </row>
    <row r="288" spans="7:8" x14ac:dyDescent="0.25">
      <c r="G288" s="11"/>
      <c r="H288" s="11"/>
    </row>
    <row r="289" spans="7:8" x14ac:dyDescent="0.25">
      <c r="G289" s="11"/>
      <c r="H289" s="11"/>
    </row>
    <row r="290" spans="7:8" x14ac:dyDescent="0.25">
      <c r="G290" s="11"/>
      <c r="H290" s="11"/>
    </row>
    <row r="291" spans="7:8" x14ac:dyDescent="0.25">
      <c r="G291" s="11"/>
      <c r="H291" s="11"/>
    </row>
    <row r="292" spans="7:8" x14ac:dyDescent="0.25">
      <c r="G292" s="11"/>
      <c r="H292" s="11"/>
    </row>
    <row r="293" spans="7:8" x14ac:dyDescent="0.25">
      <c r="G293" s="11"/>
      <c r="H293" s="11"/>
    </row>
    <row r="294" spans="7:8" x14ac:dyDescent="0.25">
      <c r="G294" s="11"/>
      <c r="H294" s="11"/>
    </row>
    <row r="295" spans="7:8" x14ac:dyDescent="0.25">
      <c r="G295" s="11"/>
      <c r="H295" s="11"/>
    </row>
    <row r="296" spans="7:8" x14ac:dyDescent="0.25">
      <c r="G296" s="11"/>
      <c r="H296" s="11"/>
    </row>
    <row r="297" spans="7:8" x14ac:dyDescent="0.25">
      <c r="G297" s="11"/>
      <c r="H297" s="11"/>
    </row>
    <row r="298" spans="7:8" x14ac:dyDescent="0.25">
      <c r="G298" s="11"/>
      <c r="H298" s="11"/>
    </row>
    <row r="299" spans="7:8" x14ac:dyDescent="0.25">
      <c r="G299" s="11"/>
      <c r="H299" s="11"/>
    </row>
    <row r="300" spans="7:8" x14ac:dyDescent="0.25">
      <c r="G300" s="11"/>
      <c r="H300" s="11"/>
    </row>
    <row r="301" spans="7:8" x14ac:dyDescent="0.25">
      <c r="G301" s="11"/>
      <c r="H301" s="11"/>
    </row>
    <row r="302" spans="7:8" x14ac:dyDescent="0.25">
      <c r="G302" s="11"/>
      <c r="H302" s="11"/>
    </row>
    <row r="303" spans="7:8" x14ac:dyDescent="0.25">
      <c r="G303" s="11"/>
      <c r="H303" s="11"/>
    </row>
    <row r="304" spans="7:8" x14ac:dyDescent="0.25">
      <c r="G304" s="11"/>
      <c r="H304" s="11"/>
    </row>
    <row r="305" spans="7:8" x14ac:dyDescent="0.25">
      <c r="G305" s="11"/>
      <c r="H305" s="11"/>
    </row>
    <row r="306" spans="7:8" x14ac:dyDescent="0.25">
      <c r="G306" s="11"/>
      <c r="H306" s="11"/>
    </row>
    <row r="307" spans="7:8" x14ac:dyDescent="0.25">
      <c r="G307" s="11"/>
      <c r="H307" s="11"/>
    </row>
    <row r="308" spans="7:8" x14ac:dyDescent="0.25">
      <c r="G308" s="11"/>
      <c r="H308" s="11"/>
    </row>
    <row r="309" spans="7:8" x14ac:dyDescent="0.25">
      <c r="G309" s="11"/>
      <c r="H309" s="11"/>
    </row>
    <row r="310" spans="7:8" x14ac:dyDescent="0.25">
      <c r="G310" s="11"/>
      <c r="H310" s="11"/>
    </row>
    <row r="311" spans="7:8" x14ac:dyDescent="0.25">
      <c r="G311" s="11"/>
      <c r="H311" s="11"/>
    </row>
    <row r="312" spans="7:8" x14ac:dyDescent="0.25">
      <c r="G312" s="11"/>
      <c r="H312" s="11"/>
    </row>
    <row r="313" spans="7:8" x14ac:dyDescent="0.25">
      <c r="G313" s="11"/>
      <c r="H313" s="11"/>
    </row>
    <row r="314" spans="7:8" x14ac:dyDescent="0.25">
      <c r="G314" s="11"/>
      <c r="H314" s="11"/>
    </row>
    <row r="315" spans="7:8" x14ac:dyDescent="0.25">
      <c r="G315" s="11"/>
      <c r="H315" s="11"/>
    </row>
    <row r="316" spans="7:8" x14ac:dyDescent="0.25">
      <c r="G316" s="11"/>
      <c r="H316" s="11"/>
    </row>
    <row r="317" spans="7:8" x14ac:dyDescent="0.25">
      <c r="G317" s="11"/>
      <c r="H317" s="11"/>
    </row>
    <row r="318" spans="7:8" x14ac:dyDescent="0.25">
      <c r="G318" s="11"/>
      <c r="H318" s="11"/>
    </row>
    <row r="319" spans="7:8" x14ac:dyDescent="0.25">
      <c r="G319" s="11"/>
      <c r="H319" s="11"/>
    </row>
    <row r="320" spans="7:8" x14ac:dyDescent="0.25">
      <c r="G320" s="11"/>
      <c r="H320" s="11"/>
    </row>
    <row r="321" spans="7:8" x14ac:dyDescent="0.25">
      <c r="G321" s="11"/>
      <c r="H321" s="11"/>
    </row>
    <row r="322" spans="7:8" x14ac:dyDescent="0.25">
      <c r="G322" s="11"/>
      <c r="H322" s="11"/>
    </row>
    <row r="323" spans="7:8" x14ac:dyDescent="0.25">
      <c r="G323" s="11"/>
      <c r="H323" s="11"/>
    </row>
    <row r="324" spans="7:8" x14ac:dyDescent="0.25">
      <c r="G324" s="11"/>
      <c r="H324" s="11"/>
    </row>
    <row r="325" spans="7:8" x14ac:dyDescent="0.25">
      <c r="G325" s="11"/>
      <c r="H325" s="11"/>
    </row>
    <row r="326" spans="7:8" x14ac:dyDescent="0.25">
      <c r="G326" s="11"/>
      <c r="H326" s="11"/>
    </row>
    <row r="327" spans="7:8" x14ac:dyDescent="0.25">
      <c r="G327" s="11"/>
      <c r="H327" s="11"/>
    </row>
    <row r="328" spans="7:8" x14ac:dyDescent="0.25">
      <c r="G328" s="11"/>
      <c r="H328" s="11"/>
    </row>
    <row r="329" spans="7:8" x14ac:dyDescent="0.25">
      <c r="G329" s="11"/>
      <c r="H329" s="11"/>
    </row>
    <row r="330" spans="7:8" x14ac:dyDescent="0.25">
      <c r="G330" s="11"/>
      <c r="H330" s="11"/>
    </row>
    <row r="331" spans="7:8" x14ac:dyDescent="0.25">
      <c r="G331" s="11"/>
      <c r="H331" s="11"/>
    </row>
    <row r="332" spans="7:8" x14ac:dyDescent="0.25">
      <c r="G332" s="11"/>
      <c r="H332" s="11"/>
    </row>
    <row r="333" spans="7:8" x14ac:dyDescent="0.25">
      <c r="G333" s="11"/>
      <c r="H333" s="11"/>
    </row>
    <row r="334" spans="7:8" x14ac:dyDescent="0.25">
      <c r="G334" s="11"/>
      <c r="H334" s="11"/>
    </row>
    <row r="335" spans="7:8" x14ac:dyDescent="0.25">
      <c r="G335" s="11"/>
      <c r="H335" s="11"/>
    </row>
    <row r="336" spans="7:8" x14ac:dyDescent="0.25">
      <c r="G336" s="11"/>
      <c r="H336" s="11"/>
    </row>
    <row r="337" spans="7:8" x14ac:dyDescent="0.25">
      <c r="G337" s="11"/>
      <c r="H337" s="11"/>
    </row>
    <row r="338" spans="7:8" x14ac:dyDescent="0.25">
      <c r="G338" s="11"/>
      <c r="H338" s="11"/>
    </row>
    <row r="339" spans="7:8" x14ac:dyDescent="0.25">
      <c r="G339" s="11"/>
      <c r="H339" s="11"/>
    </row>
    <row r="340" spans="7:8" x14ac:dyDescent="0.25">
      <c r="G340" s="11"/>
      <c r="H340" s="11"/>
    </row>
    <row r="341" spans="7:8" x14ac:dyDescent="0.25">
      <c r="G341" s="11"/>
      <c r="H341" s="11"/>
    </row>
    <row r="342" spans="7:8" x14ac:dyDescent="0.25">
      <c r="G342" s="11"/>
      <c r="H342" s="11"/>
    </row>
    <row r="343" spans="7:8" x14ac:dyDescent="0.25">
      <c r="G343" s="11"/>
      <c r="H343" s="11"/>
    </row>
    <row r="344" spans="7:8" x14ac:dyDescent="0.25">
      <c r="G344" s="11"/>
      <c r="H344" s="11"/>
    </row>
    <row r="345" spans="7:8" x14ac:dyDescent="0.25">
      <c r="G345" s="11"/>
      <c r="H345" s="11"/>
    </row>
    <row r="346" spans="7:8" x14ac:dyDescent="0.25">
      <c r="G346" s="11"/>
      <c r="H346" s="11"/>
    </row>
    <row r="347" spans="7:8" x14ac:dyDescent="0.25">
      <c r="G347" s="11"/>
      <c r="H347" s="11"/>
    </row>
    <row r="348" spans="7:8" x14ac:dyDescent="0.25">
      <c r="G348" s="11"/>
      <c r="H348" s="11"/>
    </row>
    <row r="349" spans="7:8" x14ac:dyDescent="0.25">
      <c r="G349" s="11"/>
      <c r="H349" s="11"/>
    </row>
    <row r="350" spans="7:8" x14ac:dyDescent="0.25">
      <c r="G350" s="11"/>
      <c r="H350" s="11"/>
    </row>
    <row r="351" spans="7:8" x14ac:dyDescent="0.25">
      <c r="G351" s="11"/>
      <c r="H351" s="11"/>
    </row>
    <row r="352" spans="7:8" x14ac:dyDescent="0.25">
      <c r="G352" s="11"/>
      <c r="H352" s="11"/>
    </row>
    <row r="353" spans="7:8" x14ac:dyDescent="0.25">
      <c r="G353" s="11"/>
      <c r="H353" s="11"/>
    </row>
    <row r="354" spans="7:8" x14ac:dyDescent="0.25">
      <c r="G354" s="11"/>
      <c r="H354" s="11"/>
    </row>
    <row r="355" spans="7:8" x14ac:dyDescent="0.25">
      <c r="G355" s="11"/>
      <c r="H355" s="11"/>
    </row>
    <row r="356" spans="7:8" x14ac:dyDescent="0.25">
      <c r="G356" s="11"/>
      <c r="H356" s="11"/>
    </row>
    <row r="357" spans="7:8" x14ac:dyDescent="0.25">
      <c r="G357" s="11"/>
      <c r="H357" s="11"/>
    </row>
    <row r="358" spans="7:8" x14ac:dyDescent="0.25">
      <c r="G358" s="11"/>
      <c r="H358" s="11"/>
    </row>
    <row r="359" spans="7:8" x14ac:dyDescent="0.25">
      <c r="G359" s="11"/>
      <c r="H359" s="11"/>
    </row>
    <row r="360" spans="7:8" x14ac:dyDescent="0.25">
      <c r="G360" s="11"/>
      <c r="H360" s="11"/>
    </row>
    <row r="361" spans="7:8" x14ac:dyDescent="0.25">
      <c r="G361" s="11"/>
      <c r="H361" s="11"/>
    </row>
    <row r="362" spans="7:8" x14ac:dyDescent="0.25">
      <c r="G362" s="11"/>
      <c r="H362" s="11"/>
    </row>
    <row r="363" spans="7:8" x14ac:dyDescent="0.25">
      <c r="G363" s="11"/>
      <c r="H363" s="11"/>
    </row>
    <row r="364" spans="7:8" x14ac:dyDescent="0.25">
      <c r="G364" s="11"/>
      <c r="H364" s="11"/>
    </row>
    <row r="365" spans="7:8" x14ac:dyDescent="0.25">
      <c r="G365" s="11"/>
      <c r="H365" s="11"/>
    </row>
    <row r="366" spans="7:8" x14ac:dyDescent="0.25">
      <c r="G366" s="11"/>
      <c r="H366" s="11"/>
    </row>
    <row r="367" spans="7:8" x14ac:dyDescent="0.25">
      <c r="G367" s="11"/>
      <c r="H367" s="11"/>
    </row>
    <row r="368" spans="7:8" x14ac:dyDescent="0.25">
      <c r="G368" s="11"/>
      <c r="H368" s="11"/>
    </row>
    <row r="369" spans="7:8" x14ac:dyDescent="0.25">
      <c r="G369" s="11"/>
      <c r="H369" s="11"/>
    </row>
    <row r="370" spans="7:8" x14ac:dyDescent="0.25">
      <c r="G370" s="11"/>
      <c r="H370" s="11"/>
    </row>
    <row r="371" spans="7:8" x14ac:dyDescent="0.25">
      <c r="G371" s="11"/>
      <c r="H371" s="11"/>
    </row>
    <row r="372" spans="7:8" x14ac:dyDescent="0.25">
      <c r="G372" s="11"/>
      <c r="H372" s="11"/>
    </row>
    <row r="373" spans="7:8" x14ac:dyDescent="0.25">
      <c r="G373" s="11"/>
      <c r="H373" s="11"/>
    </row>
    <row r="374" spans="7:8" x14ac:dyDescent="0.25">
      <c r="G374" s="11"/>
      <c r="H374" s="11"/>
    </row>
    <row r="375" spans="7:8" x14ac:dyDescent="0.25">
      <c r="G375" s="11"/>
      <c r="H375" s="11"/>
    </row>
    <row r="376" spans="7:8" x14ac:dyDescent="0.25">
      <c r="G376" s="11"/>
      <c r="H376" s="11"/>
    </row>
    <row r="377" spans="7:8" x14ac:dyDescent="0.25">
      <c r="G377" s="11"/>
      <c r="H377" s="11"/>
    </row>
    <row r="378" spans="7:8" x14ac:dyDescent="0.25">
      <c r="G378" s="11"/>
      <c r="H378" s="11"/>
    </row>
    <row r="379" spans="7:8" x14ac:dyDescent="0.25">
      <c r="G379" s="11"/>
      <c r="H379" s="11"/>
    </row>
    <row r="380" spans="7:8" x14ac:dyDescent="0.25">
      <c r="G380" s="11"/>
      <c r="H380" s="11"/>
    </row>
    <row r="381" spans="7:8" x14ac:dyDescent="0.25">
      <c r="G381" s="11"/>
      <c r="H381" s="11"/>
    </row>
    <row r="382" spans="7:8" x14ac:dyDescent="0.25">
      <c r="G382" s="11"/>
      <c r="H382" s="11"/>
    </row>
    <row r="383" spans="7:8" x14ac:dyDescent="0.25">
      <c r="G383" s="11"/>
      <c r="H383" s="11"/>
    </row>
    <row r="384" spans="7:8" x14ac:dyDescent="0.25">
      <c r="G384" s="11"/>
      <c r="H384" s="11"/>
    </row>
    <row r="385" spans="7:8" x14ac:dyDescent="0.25">
      <c r="G385" s="11"/>
      <c r="H385" s="11"/>
    </row>
    <row r="386" spans="7:8" x14ac:dyDescent="0.25">
      <c r="G386" s="11"/>
      <c r="H386" s="11"/>
    </row>
    <row r="387" spans="7:8" x14ac:dyDescent="0.25">
      <c r="G387" s="11"/>
      <c r="H387" s="11"/>
    </row>
    <row r="388" spans="7:8" x14ac:dyDescent="0.25">
      <c r="G388" s="11"/>
      <c r="H388" s="11"/>
    </row>
    <row r="389" spans="7:8" x14ac:dyDescent="0.25">
      <c r="G389" s="11"/>
      <c r="H389" s="11"/>
    </row>
    <row r="390" spans="7:8" x14ac:dyDescent="0.25">
      <c r="G390" s="11"/>
      <c r="H390" s="11"/>
    </row>
    <row r="391" spans="7:8" x14ac:dyDescent="0.25">
      <c r="G391" s="11"/>
      <c r="H391" s="11"/>
    </row>
    <row r="392" spans="7:8" x14ac:dyDescent="0.25">
      <c r="G392" s="11"/>
      <c r="H392" s="11"/>
    </row>
    <row r="393" spans="7:8" x14ac:dyDescent="0.25">
      <c r="G393" s="11"/>
      <c r="H393" s="11"/>
    </row>
    <row r="394" spans="7:8" x14ac:dyDescent="0.25">
      <c r="G394" s="11"/>
      <c r="H394" s="11"/>
    </row>
    <row r="395" spans="7:8" x14ac:dyDescent="0.25">
      <c r="G395" s="11"/>
      <c r="H395" s="11"/>
    </row>
    <row r="396" spans="7:8" x14ac:dyDescent="0.25">
      <c r="G396" s="11"/>
      <c r="H396" s="11"/>
    </row>
    <row r="397" spans="7:8" x14ac:dyDescent="0.25">
      <c r="G397" s="11"/>
      <c r="H397" s="11"/>
    </row>
    <row r="398" spans="7:8" x14ac:dyDescent="0.25">
      <c r="G398" s="11"/>
      <c r="H398" s="11"/>
    </row>
    <row r="399" spans="7:8" x14ac:dyDescent="0.25">
      <c r="G399" s="11"/>
      <c r="H399" s="11"/>
    </row>
    <row r="400" spans="7:8" x14ac:dyDescent="0.25">
      <c r="G400" s="11"/>
      <c r="H400" s="11"/>
    </row>
    <row r="401" spans="7:8" x14ac:dyDescent="0.25">
      <c r="G401" s="11"/>
      <c r="H401" s="11"/>
    </row>
    <row r="402" spans="7:8" x14ac:dyDescent="0.25">
      <c r="G402" s="11"/>
      <c r="H402" s="11"/>
    </row>
    <row r="403" spans="7:8" x14ac:dyDescent="0.25">
      <c r="G403" s="11"/>
      <c r="H403" s="11"/>
    </row>
    <row r="404" spans="7:8" x14ac:dyDescent="0.25">
      <c r="G404" s="11"/>
      <c r="H404" s="11"/>
    </row>
    <row r="405" spans="7:8" x14ac:dyDescent="0.25">
      <c r="G405" s="11"/>
      <c r="H405" s="11"/>
    </row>
    <row r="406" spans="7:8" x14ac:dyDescent="0.25">
      <c r="G406" s="11"/>
      <c r="H406" s="11"/>
    </row>
    <row r="407" spans="7:8" x14ac:dyDescent="0.25">
      <c r="G407" s="11"/>
      <c r="H407" s="11"/>
    </row>
    <row r="408" spans="7:8" x14ac:dyDescent="0.25">
      <c r="G408" s="11"/>
      <c r="H408" s="11"/>
    </row>
    <row r="409" spans="7:8" x14ac:dyDescent="0.25">
      <c r="G409" s="11"/>
      <c r="H409" s="11"/>
    </row>
    <row r="410" spans="7:8" x14ac:dyDescent="0.25">
      <c r="G410" s="11"/>
      <c r="H410" s="11"/>
    </row>
    <row r="411" spans="7:8" x14ac:dyDescent="0.25">
      <c r="G411" s="11"/>
      <c r="H411" s="11"/>
    </row>
    <row r="412" spans="7:8" x14ac:dyDescent="0.25">
      <c r="G412" s="11"/>
      <c r="H412" s="11"/>
    </row>
    <row r="413" spans="7:8" x14ac:dyDescent="0.25">
      <c r="G413" s="11"/>
      <c r="H413" s="11"/>
    </row>
    <row r="414" spans="7:8" x14ac:dyDescent="0.25">
      <c r="G414" s="11"/>
      <c r="H414" s="11"/>
    </row>
    <row r="415" spans="7:8" x14ac:dyDescent="0.25">
      <c r="G415" s="11"/>
      <c r="H415" s="11"/>
    </row>
    <row r="416" spans="7:8" x14ac:dyDescent="0.25">
      <c r="G416" s="11"/>
      <c r="H416" s="11"/>
    </row>
    <row r="417" spans="7:8" x14ac:dyDescent="0.25">
      <c r="G417" s="11"/>
      <c r="H417" s="11"/>
    </row>
    <row r="418" spans="7:8" x14ac:dyDescent="0.25">
      <c r="G418" s="11"/>
      <c r="H418" s="11"/>
    </row>
    <row r="419" spans="7:8" x14ac:dyDescent="0.25">
      <c r="G419" s="11"/>
      <c r="H419" s="11"/>
    </row>
    <row r="420" spans="7:8" x14ac:dyDescent="0.25">
      <c r="G420" s="11"/>
      <c r="H420" s="11"/>
    </row>
    <row r="421" spans="7:8" x14ac:dyDescent="0.25">
      <c r="G421" s="11"/>
      <c r="H421" s="11"/>
    </row>
    <row r="422" spans="7:8" x14ac:dyDescent="0.25">
      <c r="G422" s="11"/>
      <c r="H422" s="11"/>
    </row>
    <row r="423" spans="7:8" x14ac:dyDescent="0.25">
      <c r="G423" s="11"/>
      <c r="H423" s="11"/>
    </row>
    <row r="424" spans="7:8" x14ac:dyDescent="0.25">
      <c r="G424" s="11"/>
      <c r="H424" s="11"/>
    </row>
    <row r="425" spans="7:8" x14ac:dyDescent="0.25">
      <c r="G425" s="11"/>
      <c r="H425" s="11"/>
    </row>
    <row r="426" spans="7:8" x14ac:dyDescent="0.25">
      <c r="G426" s="11"/>
      <c r="H426" s="11"/>
    </row>
    <row r="427" spans="7:8" x14ac:dyDescent="0.25">
      <c r="G427" s="11"/>
      <c r="H427" s="11"/>
    </row>
    <row r="428" spans="7:8" x14ac:dyDescent="0.25">
      <c r="G428" s="11"/>
      <c r="H428" s="11"/>
    </row>
    <row r="429" spans="7:8" x14ac:dyDescent="0.25">
      <c r="G429" s="11"/>
      <c r="H429" s="11"/>
    </row>
    <row r="430" spans="7:8" x14ac:dyDescent="0.25">
      <c r="G430" s="11"/>
      <c r="H430" s="11"/>
    </row>
    <row r="431" spans="7:8" x14ac:dyDescent="0.25">
      <c r="G431" s="11"/>
      <c r="H431" s="11"/>
    </row>
    <row r="432" spans="7:8" x14ac:dyDescent="0.25">
      <c r="G432" s="11"/>
      <c r="H432" s="11"/>
    </row>
    <row r="433" spans="7:8" x14ac:dyDescent="0.25">
      <c r="G433" s="11"/>
      <c r="H433" s="11"/>
    </row>
    <row r="434" spans="7:8" x14ac:dyDescent="0.25">
      <c r="G434" s="11"/>
      <c r="H434" s="11"/>
    </row>
    <row r="435" spans="7:8" x14ac:dyDescent="0.25">
      <c r="G435" s="11"/>
      <c r="H435" s="11"/>
    </row>
    <row r="436" spans="7:8" x14ac:dyDescent="0.25">
      <c r="G436" s="11"/>
      <c r="H436" s="11"/>
    </row>
    <row r="437" spans="7:8" x14ac:dyDescent="0.25">
      <c r="G437" s="11"/>
      <c r="H437" s="11"/>
    </row>
    <row r="438" spans="7:8" x14ac:dyDescent="0.25">
      <c r="G438" s="11"/>
      <c r="H438" s="11"/>
    </row>
    <row r="439" spans="7:8" x14ac:dyDescent="0.25">
      <c r="G439" s="11"/>
      <c r="H439" s="11"/>
    </row>
    <row r="440" spans="7:8" x14ac:dyDescent="0.25">
      <c r="G440" s="11"/>
      <c r="H440" s="11"/>
    </row>
    <row r="441" spans="7:8" x14ac:dyDescent="0.25">
      <c r="G441" s="11"/>
      <c r="H441" s="11"/>
    </row>
    <row r="442" spans="7:8" x14ac:dyDescent="0.25">
      <c r="G442" s="11"/>
      <c r="H442" s="11"/>
    </row>
    <row r="443" spans="7:8" x14ac:dyDescent="0.25">
      <c r="G443" s="11"/>
      <c r="H443" s="11"/>
    </row>
    <row r="444" spans="7:8" x14ac:dyDescent="0.25">
      <c r="G444" s="11"/>
      <c r="H444" s="11"/>
    </row>
    <row r="445" spans="7:8" x14ac:dyDescent="0.25">
      <c r="G445" s="11"/>
      <c r="H445" s="11"/>
    </row>
    <row r="446" spans="7:8" x14ac:dyDescent="0.25">
      <c r="G446" s="11"/>
      <c r="H446" s="11"/>
    </row>
    <row r="447" spans="7:8" x14ac:dyDescent="0.25">
      <c r="G447" s="11"/>
      <c r="H447" s="11"/>
    </row>
    <row r="448" spans="7:8" x14ac:dyDescent="0.25">
      <c r="G448" s="11"/>
      <c r="H448" s="11"/>
    </row>
    <row r="449" spans="7:8" x14ac:dyDescent="0.25">
      <c r="G449" s="11"/>
      <c r="H449" s="11"/>
    </row>
    <row r="450" spans="7:8" x14ac:dyDescent="0.25">
      <c r="G450" s="11"/>
      <c r="H450" s="11"/>
    </row>
    <row r="451" spans="7:8" x14ac:dyDescent="0.25">
      <c r="G451" s="11"/>
      <c r="H451" s="11"/>
    </row>
    <row r="452" spans="7:8" x14ac:dyDescent="0.25">
      <c r="G452" s="11"/>
      <c r="H452" s="11"/>
    </row>
    <row r="453" spans="7:8" x14ac:dyDescent="0.25">
      <c r="G453" s="11"/>
      <c r="H453" s="11"/>
    </row>
    <row r="454" spans="7:8" x14ac:dyDescent="0.25">
      <c r="G454" s="11"/>
      <c r="H454" s="11"/>
    </row>
    <row r="455" spans="7:8" x14ac:dyDescent="0.25">
      <c r="G455" s="11"/>
      <c r="H455" s="11"/>
    </row>
    <row r="456" spans="7:8" x14ac:dyDescent="0.25">
      <c r="G456" s="11"/>
      <c r="H456" s="11"/>
    </row>
    <row r="457" spans="7:8" x14ac:dyDescent="0.25">
      <c r="G457" s="11"/>
      <c r="H457" s="11"/>
    </row>
    <row r="458" spans="7:8" x14ac:dyDescent="0.25">
      <c r="G458" s="11"/>
      <c r="H458" s="11"/>
    </row>
    <row r="459" spans="7:8" x14ac:dyDescent="0.25">
      <c r="G459" s="11"/>
      <c r="H459" s="11"/>
    </row>
    <row r="460" spans="7:8" x14ac:dyDescent="0.25">
      <c r="G460" s="11"/>
      <c r="H460" s="11"/>
    </row>
    <row r="461" spans="7:8" x14ac:dyDescent="0.25">
      <c r="G461" s="11"/>
      <c r="H461" s="11"/>
    </row>
    <row r="462" spans="7:8" x14ac:dyDescent="0.25">
      <c r="G462" s="11"/>
      <c r="H462" s="11"/>
    </row>
    <row r="463" spans="7:8" x14ac:dyDescent="0.25">
      <c r="G463" s="11"/>
      <c r="H463" s="11"/>
    </row>
    <row r="464" spans="7:8" x14ac:dyDescent="0.25">
      <c r="G464" s="11"/>
      <c r="H464" s="11"/>
    </row>
    <row r="465" spans="7:8" x14ac:dyDescent="0.25">
      <c r="G465" s="11"/>
      <c r="H465" s="11"/>
    </row>
    <row r="466" spans="7:8" x14ac:dyDescent="0.25">
      <c r="G466" s="11"/>
      <c r="H466" s="11"/>
    </row>
    <row r="467" spans="7:8" x14ac:dyDescent="0.25">
      <c r="G467" s="11"/>
      <c r="H467" s="11"/>
    </row>
    <row r="468" spans="7:8" x14ac:dyDescent="0.25">
      <c r="G468" s="11"/>
      <c r="H468" s="11"/>
    </row>
    <row r="469" spans="7:8" x14ac:dyDescent="0.25">
      <c r="G469" s="11"/>
      <c r="H469" s="11"/>
    </row>
    <row r="470" spans="7:8" x14ac:dyDescent="0.25">
      <c r="G470" s="11"/>
      <c r="H470" s="11"/>
    </row>
    <row r="471" spans="7:8" x14ac:dyDescent="0.25">
      <c r="G471" s="11"/>
      <c r="H471" s="11"/>
    </row>
    <row r="472" spans="7:8" x14ac:dyDescent="0.25">
      <c r="G472" s="11"/>
      <c r="H472" s="11"/>
    </row>
    <row r="473" spans="7:8" x14ac:dyDescent="0.25">
      <c r="G473" s="11"/>
      <c r="H473" s="11"/>
    </row>
    <row r="474" spans="7:8" x14ac:dyDescent="0.25">
      <c r="G474" s="11"/>
      <c r="H474" s="11"/>
    </row>
    <row r="475" spans="7:8" x14ac:dyDescent="0.25">
      <c r="G475" s="11"/>
      <c r="H475" s="11"/>
    </row>
    <row r="476" spans="7:8" x14ac:dyDescent="0.25">
      <c r="G476" s="11"/>
      <c r="H476" s="11"/>
    </row>
    <row r="477" spans="7:8" x14ac:dyDescent="0.25">
      <c r="G477" s="11"/>
      <c r="H477" s="11"/>
    </row>
    <row r="478" spans="7:8" x14ac:dyDescent="0.25">
      <c r="G478" s="11"/>
      <c r="H478" s="11"/>
    </row>
    <row r="479" spans="7:8" x14ac:dyDescent="0.25">
      <c r="G479" s="11"/>
      <c r="H479" s="11"/>
    </row>
    <row r="480" spans="7:8" x14ac:dyDescent="0.25">
      <c r="G480" s="11"/>
      <c r="H480" s="11"/>
    </row>
    <row r="481" spans="7:8" x14ac:dyDescent="0.25">
      <c r="G481" s="11"/>
      <c r="H481" s="11"/>
    </row>
    <row r="482" spans="7:8" x14ac:dyDescent="0.25">
      <c r="G482" s="11"/>
      <c r="H482" s="11"/>
    </row>
    <row r="483" spans="7:8" x14ac:dyDescent="0.25">
      <c r="G483" s="11"/>
      <c r="H483" s="11"/>
    </row>
    <row r="484" spans="7:8" x14ac:dyDescent="0.25">
      <c r="G484" s="11"/>
      <c r="H484" s="11"/>
    </row>
    <row r="485" spans="7:8" x14ac:dyDescent="0.25">
      <c r="G485" s="11"/>
      <c r="H485" s="11"/>
    </row>
    <row r="486" spans="7:8" x14ac:dyDescent="0.25">
      <c r="G486" s="11"/>
      <c r="H486" s="11"/>
    </row>
    <row r="487" spans="7:8" x14ac:dyDescent="0.25">
      <c r="G487" s="11"/>
      <c r="H487" s="11"/>
    </row>
    <row r="488" spans="7:8" x14ac:dyDescent="0.25">
      <c r="G488" s="11"/>
      <c r="H488" s="11"/>
    </row>
    <row r="489" spans="7:8" x14ac:dyDescent="0.25">
      <c r="G489" s="11"/>
      <c r="H489" s="11"/>
    </row>
    <row r="490" spans="7:8" x14ac:dyDescent="0.25">
      <c r="G490" s="11"/>
      <c r="H490" s="11"/>
    </row>
    <row r="491" spans="7:8" x14ac:dyDescent="0.25">
      <c r="G491" s="11"/>
      <c r="H491" s="11"/>
    </row>
    <row r="492" spans="7:8" x14ac:dyDescent="0.25">
      <c r="G492" s="11"/>
      <c r="H492" s="11"/>
    </row>
    <row r="493" spans="7:8" x14ac:dyDescent="0.25">
      <c r="G493" s="11"/>
      <c r="H493" s="11"/>
    </row>
    <row r="494" spans="7:8" x14ac:dyDescent="0.25">
      <c r="G494" s="11"/>
      <c r="H494" s="11"/>
    </row>
    <row r="495" spans="7:8" x14ac:dyDescent="0.25">
      <c r="G495" s="11"/>
      <c r="H495" s="11"/>
    </row>
    <row r="496" spans="7:8" x14ac:dyDescent="0.25">
      <c r="G496" s="11"/>
      <c r="H496" s="11"/>
    </row>
    <row r="497" spans="7:8" x14ac:dyDescent="0.25">
      <c r="G497" s="11"/>
      <c r="H497" s="11"/>
    </row>
    <row r="498" spans="7:8" x14ac:dyDescent="0.25">
      <c r="G498" s="11"/>
      <c r="H498" s="11"/>
    </row>
    <row r="499" spans="7:8" x14ac:dyDescent="0.25">
      <c r="G499" s="11"/>
      <c r="H499" s="11"/>
    </row>
    <row r="500" spans="7:8" x14ac:dyDescent="0.25">
      <c r="G500" s="11"/>
      <c r="H500" s="11"/>
    </row>
    <row r="501" spans="7:8" x14ac:dyDescent="0.25">
      <c r="G501" s="11"/>
      <c r="H501" s="11"/>
    </row>
    <row r="502" spans="7:8" x14ac:dyDescent="0.25">
      <c r="G502" s="11"/>
      <c r="H502" s="11"/>
    </row>
    <row r="503" spans="7:8" x14ac:dyDescent="0.25">
      <c r="G503" s="11"/>
      <c r="H503" s="11"/>
    </row>
    <row r="504" spans="7:8" x14ac:dyDescent="0.25">
      <c r="G504" s="11"/>
      <c r="H504" s="11"/>
    </row>
    <row r="505" spans="7:8" x14ac:dyDescent="0.25">
      <c r="G505" s="11"/>
      <c r="H505" s="11"/>
    </row>
    <row r="506" spans="7:8" x14ac:dyDescent="0.25">
      <c r="G506" s="11"/>
      <c r="H506" s="11"/>
    </row>
    <row r="507" spans="7:8" x14ac:dyDescent="0.25">
      <c r="G507" s="11"/>
      <c r="H507" s="11"/>
    </row>
    <row r="508" spans="7:8" x14ac:dyDescent="0.25">
      <c r="G508" s="11"/>
      <c r="H508" s="11"/>
    </row>
    <row r="509" spans="7:8" x14ac:dyDescent="0.25">
      <c r="G509" s="11"/>
      <c r="H509" s="11"/>
    </row>
    <row r="510" spans="7:8" x14ac:dyDescent="0.25">
      <c r="G510" s="11"/>
      <c r="H510" s="11"/>
    </row>
    <row r="511" spans="7:8" x14ac:dyDescent="0.25">
      <c r="G511" s="11"/>
      <c r="H511" s="11"/>
    </row>
    <row r="512" spans="7:8" x14ac:dyDescent="0.25">
      <c r="G512" s="11"/>
      <c r="H512" s="11"/>
    </row>
    <row r="513" spans="7:8" x14ac:dyDescent="0.25">
      <c r="G513" s="11"/>
      <c r="H513" s="11"/>
    </row>
    <row r="514" spans="7:8" x14ac:dyDescent="0.25">
      <c r="G514" s="11"/>
      <c r="H514" s="11"/>
    </row>
    <row r="515" spans="7:8" x14ac:dyDescent="0.25">
      <c r="G515" s="11"/>
      <c r="H515" s="11"/>
    </row>
    <row r="516" spans="7:8" x14ac:dyDescent="0.25">
      <c r="G516" s="11"/>
      <c r="H516" s="11"/>
    </row>
    <row r="517" spans="7:8" x14ac:dyDescent="0.25">
      <c r="G517" s="11"/>
      <c r="H517" s="11"/>
    </row>
    <row r="518" spans="7:8" x14ac:dyDescent="0.25">
      <c r="G518" s="11"/>
      <c r="H518" s="11"/>
    </row>
    <row r="519" spans="7:8" x14ac:dyDescent="0.25">
      <c r="G519" s="11"/>
      <c r="H519" s="11"/>
    </row>
    <row r="520" spans="7:8" x14ac:dyDescent="0.25">
      <c r="G520" s="11"/>
      <c r="H520" s="11"/>
    </row>
    <row r="521" spans="7:8" x14ac:dyDescent="0.25">
      <c r="G521" s="11"/>
      <c r="H521" s="11"/>
    </row>
    <row r="522" spans="7:8" x14ac:dyDescent="0.25">
      <c r="G522" s="11"/>
      <c r="H522" s="11"/>
    </row>
    <row r="523" spans="7:8" x14ac:dyDescent="0.25">
      <c r="G523" s="11"/>
      <c r="H523" s="11"/>
    </row>
    <row r="524" spans="7:8" x14ac:dyDescent="0.25">
      <c r="G524" s="11"/>
      <c r="H524" s="11"/>
    </row>
    <row r="525" spans="7:8" x14ac:dyDescent="0.25">
      <c r="G525" s="11"/>
      <c r="H525" s="11"/>
    </row>
    <row r="526" spans="7:8" x14ac:dyDescent="0.25">
      <c r="G526" s="11"/>
      <c r="H526" s="11"/>
    </row>
    <row r="527" spans="7:8" x14ac:dyDescent="0.25">
      <c r="G527" s="11"/>
      <c r="H527" s="11"/>
    </row>
    <row r="528" spans="7:8" x14ac:dyDescent="0.25">
      <c r="G528" s="11"/>
      <c r="H528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&gt;&gt; City Data</vt:lpstr>
      <vt:lpstr>City characteristics</vt:lpstr>
      <vt:lpstr>&gt;&gt; GC_NewTech</vt:lpstr>
      <vt:lpstr>WAS TECH</vt:lpstr>
      <vt:lpstr>&gt;&gt; TIMES</vt:lpstr>
      <vt:lpstr>Tech_availability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esmia</dc:creator>
  <cp:lastModifiedBy>Carroll, Zane</cp:lastModifiedBy>
  <dcterms:created xsi:type="dcterms:W3CDTF">2015-06-05T18:17:20Z</dcterms:created>
  <dcterms:modified xsi:type="dcterms:W3CDTF">2025-04-08T18:32:44Z</dcterms:modified>
</cp:coreProperties>
</file>
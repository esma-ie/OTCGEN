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9" activeTab="12" autoFilterDateGrouping="1"/>
  </bookViews>
  <sheets>
    <sheet name="ReadMe" sheetId="1" state="visible" r:id="rId1"/>
    <sheet name="&gt;&gt; City Data" sheetId="2" state="visible" r:id="rId2"/>
    <sheet name="City characteristics" sheetId="3" state="visible" r:id="rId3"/>
    <sheet name="&gt;&gt; GC_Resid" sheetId="4" state="visible" r:id="rId4"/>
    <sheet name="COM RESID" sheetId="5" state="visible" r:id="rId5"/>
    <sheet name="Demand" sheetId="6" state="visible" r:id="rId6"/>
    <sheet name="BDG Intensity" sheetId="7" state="visible" r:id="rId7"/>
    <sheet name="&gt;&gt; TIMES" sheetId="8" state="visible" r:id="rId8"/>
    <sheet name="Def_Tech" sheetId="9" state="visible" r:id="rId9"/>
    <sheet name="Def_Comm" sheetId="10" state="visible" r:id="rId10"/>
    <sheet name="DemandSplit" sheetId="11" state="visible" r:id="rId11"/>
    <sheet name="BuildingEff" sheetId="12" state="visible" r:id="rId12"/>
    <sheet name="ResidCOM" sheetId="13" state="visible" r:id="rId13"/>
    <sheet name="ResidCOM_add" sheetId="14" state="visible" r:id="rId14"/>
    <sheet name="&gt;&gt; Parameters" sheetId="15" state="visible" r:id="rId15"/>
  </sheets>
  <definedNames>
    <definedName name="_Fill" hidden="1">#REF!</definedName>
    <definedName name="_Order1" hidden="1">0</definedName>
    <definedName name="_Order2" hidden="1">0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hidden="1">{"com_msw",#N/A,FALSE,"Common"}</definedName>
    <definedName name="wrn.msw_1." hidden="1">{"msw_1",#N/A,FALSE,"Common"}</definedName>
    <definedName name="wrn.msw_2." hidden="1">{"msw_2",#N/A,FALSE,"Common"}</definedName>
    <definedName name="wrn.NATIONAL._.GRID." hidden="1">{"NATIONAL GRID",#N/A,FALSE,"Sheet1"}</definedName>
    <definedName name="wrn.regional._.grid." hidden="1">{"regional grid",#N/A,FALSE,"Sheet1"}</definedName>
    <definedName name="wrn.res_mf_msw." hidden="1">{"res_mf_mssw",#N/A,FALSE,"Common"}</definedName>
    <definedName name="_Fill" localSheetId="2" hidden="1">#REF!</definedName>
    <definedName name="_Sort" localSheetId="2" hidden="1">#REF!</definedName>
    <definedName name="wrn.com_msw." localSheetId="2" hidden="1">{"com_msw",#N/A,FALSE,"Common"}</definedName>
    <definedName name="wrn.msw_1." localSheetId="2" hidden="1">{"msw_1",#N/A,FALSE,"Common"}</definedName>
    <definedName name="wrn.msw_2." localSheetId="2" hidden="1">{"msw_2",#N/A,FALSE,"Common"}</definedName>
    <definedName name="wrn.NATIONAL._.GRID." localSheetId="2" hidden="1">{"NATIONAL GRID",#N/A,FALSE,"Sheet1"}</definedName>
    <definedName name="wrn.regional._.grid." localSheetId="2" hidden="1">{"regional grid",#N/A,FALSE,"Sheet1"}</definedName>
    <definedName name="wrn.res_mf_msw." localSheetId="2" hidden="1">{"res_mf_mssw",#N/A,FALSE,"Common"}</definedName>
    <definedName name="_xlnm._FilterDatabase" localSheetId="4" hidden="1">'COM RESID'!$A$1:$W$337</definedName>
    <definedName name="_Fill" localSheetId="5" hidden="1">#REF!</definedName>
    <definedName name="_Sort" localSheetId="5" hidden="1">#REF!</definedName>
    <definedName name="wrn.com_msw." localSheetId="5" hidden="1">{"com_msw",#N/A,FALSE,"Common"}</definedName>
    <definedName name="wrn.msw_1." localSheetId="5" hidden="1">{"msw_1",#N/A,FALSE,"Common"}</definedName>
    <definedName name="wrn.msw_2." localSheetId="5" hidden="1">{"msw_2",#N/A,FALSE,"Common"}</definedName>
    <definedName name="wrn.NATIONAL._.GRID." localSheetId="5" hidden="1">{"NATIONAL GRID",#N/A,FALSE,"Sheet1"}</definedName>
    <definedName name="wrn.regional._.grid." localSheetId="5" hidden="1">{"regional grid",#N/A,FALSE,"Sheet1"}</definedName>
    <definedName name="wrn.res_mf_msw." localSheetId="5" hidden="1">{"res_mf_mssw",#N/A,FALSE,"Common"}</definedName>
    <definedName name="_Fill" localSheetId="6" hidden="1">#REF!</definedName>
    <definedName name="_Sort" localSheetId="6" hidden="1">#REF!</definedName>
    <definedName name="wrn.com_msw." localSheetId="6" hidden="1">{"com_msw",#N/A,FALSE,"Common"}</definedName>
    <definedName name="wrn.msw_1." localSheetId="6" hidden="1">{"msw_1",#N/A,FALSE,"Common"}</definedName>
    <definedName name="wrn.msw_2." localSheetId="6" hidden="1">{"msw_2",#N/A,FALSE,"Common"}</definedName>
    <definedName name="wrn.NATIONAL._.GRID." localSheetId="6" hidden="1">{"NATIONAL GRID",#N/A,FALSE,"Sheet1"}</definedName>
    <definedName name="wrn.regional._.grid." localSheetId="6" hidden="1">{"regional grid",#N/A,FALSE,"Sheet1"}</definedName>
    <definedName name="wrn.res_mf_msw." localSheetId="6" hidden="1">{"res_mf_mssw",#N/A,FALSE,"Common"}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\-yy;@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0070C0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theme="0"/>
      <sz val="11"/>
      <scheme val="minor"/>
    </font>
    <font>
      <name val="Calibri"/>
      <family val="2"/>
      <b val="1"/>
      <color theme="4"/>
      <sz val="12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color theme="6"/>
      <sz val="11"/>
      <u val="single"/>
    </font>
    <font>
      <name val="Calibri"/>
      <family val="2"/>
      <color theme="4"/>
      <sz val="10"/>
      <u val="single"/>
      <scheme val="minor"/>
    </font>
    <font>
      <name val="Calibri"/>
      <family val="2"/>
      <color rgb="FF9C6500"/>
      <sz val="11"/>
      <scheme val="minor"/>
    </font>
    <font>
      <name val="Calibri Light"/>
      <family val="2"/>
      <b val="1"/>
      <color theme="3"/>
      <sz val="18"/>
      <scheme val="major"/>
    </font>
    <font>
      <name val="Geneva"/>
      <sz val="10"/>
    </font>
    <font>
      <name val="Verdana"/>
      <family val="2"/>
      <sz val="10"/>
    </font>
    <font>
      <name val="Verdana"/>
      <family val="2"/>
      <color indexed="12"/>
      <sz val="10"/>
      <u val="single"/>
    </font>
    <font>
      <name val="Calibri"/>
      <family val="2"/>
      <b val="1"/>
      <color indexed="30"/>
      <sz val="12"/>
    </font>
    <font>
      <name val="Calibri"/>
      <family val="2"/>
      <color indexed="8"/>
      <sz val="9"/>
    </font>
    <font>
      <name val="Calibri"/>
      <family val="2"/>
      <b val="1"/>
      <color indexed="8"/>
      <sz val="9"/>
    </font>
    <font>
      <name val="Calibri"/>
      <family val="2"/>
      <color theme="1"/>
      <sz val="12"/>
      <scheme val="minor"/>
    </font>
    <font>
      <name val="Courier"/>
      <family val="3"/>
      <sz val="10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"/>
      </bottom>
      <diagonal/>
    </border>
    <border>
      <left/>
      <right/>
      <top/>
      <bottom style="dashed">
        <color theme="0" tint="-0.24994659260841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 style="dashed">
        <color theme="0" tint="-0.249946592608417"/>
      </bottom>
      <diagonal/>
    </border>
    <border>
      <left/>
      <right/>
      <top style="thin">
        <color theme="4"/>
      </top>
      <bottom style="thin">
        <color theme="0" tint="-0.249946592608417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</borders>
  <cellStyleXfs count="51">
    <xf numFmtId="0" fontId="1" fillId="0" borderId="0"/>
    <xf numFmtId="0" fontId="6" fillId="0" borderId="0"/>
    <xf numFmtId="0" fontId="8" fillId="0" borderId="0" applyAlignment="1">
      <alignment horizontal="left"/>
    </xf>
    <xf numFmtId="0" fontId="9" fillId="0" borderId="4" applyAlignment="1">
      <alignment horizontal="left" wrapText="1"/>
    </xf>
    <xf numFmtId="0" fontId="9" fillId="0" borderId="3" applyAlignment="1">
      <alignment wrapText="1"/>
    </xf>
    <xf numFmtId="0" fontId="10" fillId="0" borderId="5" applyAlignment="1">
      <alignment wrapText="1"/>
    </xf>
    <xf numFmtId="0" fontId="9" fillId="0" borderId="6" applyAlignment="1">
      <alignment wrapText="1"/>
    </xf>
    <xf numFmtId="0" fontId="10" fillId="0" borderId="7" applyAlignment="1">
      <alignment vertical="top" wrapText="1"/>
    </xf>
    <xf numFmtId="0" fontId="7" fillId="10" borderId="0"/>
    <xf numFmtId="0" fontId="7" fillId="11" borderId="0"/>
    <xf numFmtId="0" fontId="7" fillId="12" borderId="0"/>
    <xf numFmtId="0" fontId="7" fillId="13" borderId="0"/>
    <xf numFmtId="0" fontId="7" fillId="14" borderId="0"/>
    <xf numFmtId="0" fontId="7" fillId="15" borderId="0"/>
    <xf numFmtId="0" fontId="11" fillId="0" borderId="0" applyAlignment="1" applyProtection="1">
      <alignment vertical="top"/>
      <protection locked="0" hidden="0"/>
    </xf>
    <xf numFmtId="0" fontId="10" fillId="0" borderId="0"/>
    <xf numFmtId="0" fontId="10" fillId="0" borderId="0" applyAlignment="1">
      <alignment vertical="top" wrapText="1"/>
    </xf>
    <xf numFmtId="0" fontId="12" fillId="0" borderId="0" applyAlignment="1" applyProtection="1">
      <alignment vertical="top"/>
      <protection locked="0" hidden="0"/>
    </xf>
    <xf numFmtId="0" fontId="13" fillId="9" borderId="0"/>
    <xf numFmtId="0" fontId="6" fillId="0" borderId="0"/>
    <xf numFmtId="0" fontId="10" fillId="0" borderId="8" applyAlignment="1">
      <alignment wrapText="1"/>
    </xf>
    <xf numFmtId="0" fontId="9" fillId="0" borderId="9" applyAlignment="1">
      <alignment wrapText="1"/>
    </xf>
    <xf numFmtId="0" fontId="14" fillId="0" borderId="0"/>
    <xf numFmtId="0" fontId="15" fillId="0" borderId="0"/>
    <xf numFmtId="43" fontId="15" fillId="0" borderId="0"/>
    <xf numFmtId="0" fontId="16" fillId="0" borderId="0"/>
    <xf numFmtId="43" fontId="16" fillId="0" borderId="0"/>
    <xf numFmtId="0" fontId="17" fillId="0" borderId="0" applyAlignment="1" applyProtection="1">
      <alignment vertical="top"/>
      <protection locked="0" hidden="0"/>
    </xf>
    <xf numFmtId="9" fontId="1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165" fontId="6" fillId="0" borderId="0"/>
    <xf numFmtId="43" fontId="6" fillId="0" borderId="0"/>
    <xf numFmtId="9" fontId="6" fillId="0" borderId="0"/>
    <xf numFmtId="0" fontId="6" fillId="0" borderId="0"/>
    <xf numFmtId="0" fontId="6" fillId="0" borderId="0"/>
    <xf numFmtId="0" fontId="18" fillId="0" borderId="0" applyAlignment="1">
      <alignment horizontal="left"/>
    </xf>
    <xf numFmtId="0" fontId="19" fillId="0" borderId="0"/>
    <xf numFmtId="0" fontId="20" fillId="0" borderId="10" applyAlignment="1">
      <alignment wrapText="1"/>
    </xf>
    <xf numFmtId="0" fontId="20" fillId="0" borderId="11" applyAlignment="1">
      <alignment wrapText="1"/>
    </xf>
    <xf numFmtId="0" fontId="19" fillId="0" borderId="12" applyAlignment="1">
      <alignment wrapText="1"/>
    </xf>
    <xf numFmtId="0" fontId="21" fillId="0" borderId="0"/>
    <xf numFmtId="0" fontId="6" fillId="0" borderId="0"/>
    <xf numFmtId="0" fontId="1" fillId="0" borderId="0"/>
    <xf numFmtId="0" fontId="1" fillId="0" borderId="0"/>
    <xf numFmtId="9" fontId="6" fillId="0" borderId="0"/>
    <xf numFmtId="43" fontId="6" fillId="0" borderId="0"/>
    <xf numFmtId="0" fontId="22" fillId="0" borderId="0"/>
  </cellStyleXfs>
  <cellXfs count="16">
    <xf numFmtId="0" fontId="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7" borderId="1" pivotButton="0" quotePrefix="0" xfId="0"/>
    <xf numFmtId="0" fontId="6" fillId="8" borderId="2" applyAlignment="1" pivotButton="0" quotePrefix="0" xfId="1">
      <alignment horizontal="left" wrapText="1"/>
    </xf>
    <xf numFmtId="2" fontId="0" fillId="0" borderId="0" pivotButton="0" quotePrefix="0" xfId="0"/>
    <xf numFmtId="1" fontId="0" fillId="0" borderId="0" pivotButton="0" quotePrefix="0" xfId="0"/>
    <xf numFmtId="164" fontId="5" fillId="7" borderId="1" pivotButton="0" quotePrefix="0" xfId="0"/>
    <xf numFmtId="164" fontId="6" fillId="8" borderId="2" applyAlignment="1" pivotButton="0" quotePrefix="0" xfId="1">
      <alignment horizontal="left" wrapText="1"/>
    </xf>
  </cellXfs>
  <cellStyles count="51">
    <cellStyle name="Normal" xfId="0" builtinId="0"/>
    <cellStyle name="Normal 10" xfId="1"/>
    <cellStyle name="Table title" xfId="2"/>
    <cellStyle name="Header: top rows" xfId="3"/>
    <cellStyle name="Header: bottom row" xfId="4"/>
    <cellStyle name="Body: normal cell" xfId="5"/>
    <cellStyle name="Parent row" xfId="6"/>
    <cellStyle name="Footnotes: top row" xfId="7"/>
    <cellStyle name="60% - Accent1 2" xfId="8"/>
    <cellStyle name="60% - Accent2 2" xfId="9"/>
    <cellStyle name="60% - Accent3 2" xfId="10"/>
    <cellStyle name="60% - Accent4 2" xfId="11"/>
    <cellStyle name="60% - Accent5 2" xfId="12"/>
    <cellStyle name="60% - Accent6 2" xfId="13"/>
    <cellStyle name="Followed Hyperlink 2" xfId="14"/>
    <cellStyle name="Font: Calibri, 9pt regular" xfId="15"/>
    <cellStyle name="Footnotes: all except top row" xfId="16"/>
    <cellStyle name="Hyperlink 2" xfId="17"/>
    <cellStyle name="Neutral 2" xfId="18"/>
    <cellStyle name="Normal 2" xfId="19"/>
    <cellStyle name="Section Break" xfId="20"/>
    <cellStyle name="Section Break: parent row" xfId="21"/>
    <cellStyle name="Title 2" xfId="22"/>
    <cellStyle name="Normal 3" xfId="23"/>
    <cellStyle name="Comma 2" xfId="24"/>
    <cellStyle name="Normal 4" xfId="25"/>
    <cellStyle name="Comma 3" xfId="26"/>
    <cellStyle name="Hyperlink 3" xfId="27"/>
    <cellStyle name="Percent 2" xfId="28"/>
    <cellStyle name="Normal 153" xfId="29"/>
    <cellStyle name="Normal 10 3" xfId="30"/>
    <cellStyle name="Normal 3 2" xfId="31"/>
    <cellStyle name="Normal 128" xfId="32"/>
    <cellStyle name="Normal 2 2 2 3" xfId="33"/>
    <cellStyle name="Normal 8" xfId="34"/>
    <cellStyle name="Comma 4" xfId="35"/>
    <cellStyle name="Percent 3" xfId="36"/>
    <cellStyle name="Normal 4 2" xfId="37"/>
    <cellStyle name="Normal 10 2" xfId="38"/>
    <cellStyle name="Table title 2" xfId="39"/>
    <cellStyle name="Font: Calibri, 9pt regular 2" xfId="40"/>
    <cellStyle name="Header: bottom row 2" xfId="41"/>
    <cellStyle name="Parent row 2" xfId="42"/>
    <cellStyle name="Body: normal cell 2" xfId="43"/>
    <cellStyle name="Normal 5" xfId="44"/>
    <cellStyle name="Normal 6" xfId="45"/>
    <cellStyle name="Normal 9" xfId="46"/>
    <cellStyle name="Normal 10 2 2 3" xfId="47"/>
    <cellStyle name="Percent 10" xfId="48"/>
    <cellStyle name="Comma 10" xfId="49"/>
    <cellStyle name="Normal 2 3" xfId="50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"/>
        </horizontal>
      </border>
    </dxf>
  </dxfs>
  <tableStyles count="1" defaultTableStyle="TableStyleMedium2" defaultPivotStyle="PivotStyleLight16">
    <tableStyle name="Table Style 1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C6" sqref="C6"/>
    </sheetView>
  </sheetViews>
  <sheetFormatPr baseColWidth="8" defaultColWidth="8.85546875" defaultRowHeight="15"/>
  <cols>
    <col width="8.85546875" customWidth="1" style="2" min="1" max="31"/>
    <col width="8.85546875" customWidth="1" style="2" min="32" max="16384"/>
  </cols>
  <sheetData>
    <row r="1" ht="23.45" customFormat="1" customHeight="1" s="1">
      <c r="A1" s="1" t="inlineStr">
        <is>
          <t>Generic Comet (GC) TIMES Supply</t>
        </is>
      </c>
    </row>
    <row r="2" ht="23.45" customFormat="1" customHeight="1" s="1"/>
    <row r="3">
      <c r="B3" s="3" t="inlineStr">
        <is>
          <t>Sheet color</t>
        </is>
      </c>
    </row>
    <row r="4">
      <c r="B4" s="4" t="n"/>
      <c r="C4" s="2" t="inlineStr">
        <is>
          <t>Raw Data and Parameters</t>
        </is>
      </c>
    </row>
    <row r="6">
      <c r="B6" s="5" t="n"/>
      <c r="C6" s="2" t="inlineStr">
        <is>
          <t>City Specific Data</t>
        </is>
      </c>
    </row>
    <row r="8">
      <c r="B8" s="6" t="n"/>
      <c r="C8" s="2" t="inlineStr">
        <is>
          <t>Post processing for TIMES</t>
        </is>
      </c>
    </row>
    <row r="10">
      <c r="B10" s="7" t="n"/>
      <c r="C10" s="2" t="inlineStr">
        <is>
          <t>Table formatted for TIMES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A1"/>
  <sheetViews>
    <sheetView workbookViewId="0">
      <selection activeCell="C6" sqref="C6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zoomScaleNormal="100" workbookViewId="0">
      <selection activeCell="G30" sqref="G30"/>
    </sheetView>
  </sheetViews>
  <sheetFormatPr baseColWidth="8" defaultColWidth="8.85546875" defaultRowHeight="15"/>
  <cols>
    <col width="8.85546875" customWidth="1" style="2" min="1" max="1"/>
    <col width="47.7109375" customWidth="1" style="2" min="2" max="2"/>
    <col width="26.140625" customWidth="1" style="2" min="3" max="3"/>
    <col width="14.42578125" customWidth="1" style="2" min="4" max="4"/>
    <col width="10.85546875" customWidth="1" style="2" min="5" max="13"/>
    <col width="8.85546875" customWidth="1" style="2" min="14" max="44"/>
    <col width="8.85546875" customWidth="1" style="2" min="45" max="16384"/>
  </cols>
  <sheetData>
    <row r="1"/>
    <row r="2" ht="18" customHeight="1" thickBot="1">
      <c r="B2" t="inlineStr">
        <is>
          <t>City Basic Data</t>
        </is>
      </c>
    </row>
    <row r="3" ht="15" customHeight="1" thickTop="1"/>
    <row r="4" ht="15" customHeight="1" thickBot="1">
      <c r="B4" t="inlineStr">
        <is>
          <t>Calibration methodology</t>
        </is>
      </c>
      <c r="C4" t="inlineStr">
        <is>
          <t>GHG Inventory</t>
        </is>
      </c>
    </row>
    <row r="5"/>
    <row r="6">
      <c r="B6" t="inlineStr">
        <is>
          <t>A. City Characteristics</t>
        </is>
      </c>
    </row>
    <row r="7" ht="15" customHeight="1" thickBot="1">
      <c r="B7" t="inlineStr">
        <is>
          <t>Data Item</t>
        </is>
      </c>
      <c r="C7" t="inlineStr">
        <is>
          <t>Value</t>
        </is>
      </c>
      <c r="D7" t="inlineStr">
        <is>
          <t>Units</t>
        </is>
      </c>
    </row>
    <row r="8">
      <c r="B8" t="inlineStr">
        <is>
          <t>City Name</t>
        </is>
      </c>
      <c r="C8" t="inlineStr">
        <is>
          <t>New York</t>
        </is>
      </c>
    </row>
    <row r="9">
      <c r="B9" t="inlineStr">
        <is>
          <t>Latitude</t>
        </is>
      </c>
      <c r="C9" t="n">
        <v>40.5</v>
      </c>
    </row>
    <row r="10">
      <c r="B10" t="inlineStr">
        <is>
          <t>Longitude</t>
        </is>
      </c>
      <c r="C10" t="n">
        <v>-75</v>
      </c>
    </row>
    <row r="11">
      <c r="B11" t="inlineStr">
        <is>
          <t>County</t>
        </is>
      </c>
      <c r="C11" t="inlineStr">
        <is>
          <t>New York County</t>
        </is>
      </c>
    </row>
    <row r="12">
      <c r="B12" t="inlineStr">
        <is>
          <t>State</t>
        </is>
      </c>
      <c r="C12" t="inlineStr">
        <is>
          <t>New York</t>
        </is>
      </c>
    </row>
    <row r="13">
      <c r="B13" t="inlineStr">
        <is>
          <t>Census Division</t>
        </is>
      </c>
      <c r="C13" t="inlineStr">
        <is>
          <t>Middle Atlantic</t>
        </is>
      </c>
    </row>
    <row r="14">
      <c r="B14" t="inlineStr">
        <is>
          <t>Climate Division</t>
        </is>
      </c>
      <c r="C14" t="inlineStr">
        <is>
          <t>Northeast</t>
        </is>
      </c>
    </row>
    <row r="15">
      <c r="B15" t="inlineStr">
        <is>
          <t>Egrid Region</t>
        </is>
      </c>
      <c r="C15" t="inlineStr">
        <is>
          <t>NPCC NYC/Westchester</t>
        </is>
      </c>
    </row>
    <row r="16">
      <c r="B16" t="inlineStr">
        <is>
          <t>Area of city (excluding water, natural and agricultural areas)</t>
        </is>
      </c>
      <c r="C16" t="n">
        <v>778</v>
      </c>
      <c r="D16" t="inlineStr">
        <is>
          <t>square kilometers</t>
        </is>
      </c>
    </row>
    <row r="17">
      <c r="B17" t="inlineStr">
        <is>
          <t>* Division and Region Map can be found in the Maps sheet.</t>
        </is>
      </c>
    </row>
    <row r="18">
      <c r="B18" t="inlineStr">
        <is>
          <t>B. Planning Base Year and Target Years</t>
        </is>
      </c>
    </row>
    <row r="19" ht="15" customHeight="1" thickBot="1">
      <c r="B19" t="inlineStr">
        <is>
          <t>Year</t>
        </is>
      </c>
      <c r="C19" t="inlineStr">
        <is>
          <t>Value</t>
        </is>
      </c>
      <c r="D19" t="inlineStr">
        <is>
          <t>Units</t>
        </is>
      </c>
    </row>
    <row r="20">
      <c r="B20" t="inlineStr">
        <is>
          <t>Base Year</t>
        </is>
      </c>
      <c r="C20" t="n">
        <v>2019</v>
      </c>
      <c r="D20" t="inlineStr">
        <is>
          <t>Acceptable range [2018,2021]</t>
        </is>
      </c>
    </row>
    <row r="21">
      <c r="B21" t="inlineStr">
        <is>
          <t>End Year</t>
        </is>
      </c>
      <c r="C21" t="n">
        <v>2050</v>
      </c>
    </row>
    <row r="22"/>
    <row r="23">
      <c r="B23" t="inlineStr">
        <is>
          <t>C. City Population and GDP</t>
        </is>
      </c>
    </row>
    <row r="24" ht="15" customHeight="1" thickBot="1">
      <c r="B24" t="inlineStr">
        <is>
          <t>Data Item</t>
        </is>
      </c>
      <c r="C24" t="inlineStr">
        <is>
          <t>Value</t>
        </is>
      </c>
      <c r="D24" t="inlineStr">
        <is>
          <t>Units</t>
        </is>
      </c>
    </row>
    <row r="25">
      <c r="B25" t="inlineStr">
        <is>
          <t>Population in Base Year</t>
        </is>
      </c>
      <c r="C25" t="n">
        <v>8337</v>
      </c>
      <c r="D25" t="inlineStr">
        <is>
          <t>Thousand of people</t>
        </is>
      </c>
    </row>
    <row r="26">
      <c r="B26" t="inlineStr">
        <is>
          <t>Annual population growth (Base Year - End Year)</t>
        </is>
      </c>
      <c r="C26" t="n">
        <v>0.5</v>
      </c>
      <c r="D26" t="inlineStr">
        <is>
          <t>% people</t>
        </is>
      </c>
    </row>
    <row r="27">
      <c r="B27" t="inlineStr">
        <is>
          <t>GDP in Base Year</t>
        </is>
      </c>
      <c r="C27" t="n">
        <v>1206000</v>
      </c>
      <c r="D27" t="inlineStr">
        <is>
          <t>Million US$</t>
        </is>
      </c>
    </row>
    <row r="28">
      <c r="B28" t="inlineStr">
        <is>
          <t>Annual GDP growth rate</t>
        </is>
      </c>
      <c r="C28" t="n">
        <v>2</v>
      </c>
      <c r="D28" t="inlineStr">
        <is>
          <t>% US$</t>
        </is>
      </c>
    </row>
    <row r="29">
      <c r="B29" t="inlineStr">
        <is>
          <t>Share of manufacturing GDP</t>
        </is>
      </c>
      <c r="C29" t="n">
        <v>5</v>
      </c>
      <c r="D29" t="inlineStr">
        <is>
          <t>% US$</t>
        </is>
      </c>
    </row>
    <row r="30">
      <c r="B30" t="inlineStr">
        <is>
          <t>Share of State population</t>
        </is>
      </c>
      <c r="C30" t="n">
        <v>0.428351230539999</v>
      </c>
    </row>
    <row r="31">
      <c r="B31" t="inlineStr">
        <is>
          <t>Share of State GDP</t>
        </is>
      </c>
      <c r="C31" t="n">
        <v>0.6725177195314481</v>
      </c>
    </row>
    <row r="32">
      <c r="B32" t="inlineStr">
        <is>
          <t>Adjustment from state manufacturing GDP</t>
        </is>
      </c>
      <c r="C32" t="n">
        <v>1.063829787234043</v>
      </c>
    </row>
    <row r="33"/>
    <row r="34">
      <c r="B34" t="inlineStr">
        <is>
          <t>D. Climate Data</t>
        </is>
      </c>
    </row>
    <row r="35" ht="15" customHeight="1" thickBot="1">
      <c r="B35" t="inlineStr">
        <is>
          <t>Data Item</t>
        </is>
      </c>
      <c r="C35" t="n">
        <v>2000</v>
      </c>
      <c r="D35" t="n">
        <v>2050</v>
      </c>
      <c r="E35" t="n">
        <v>2100</v>
      </c>
      <c r="F35" t="inlineStr">
        <is>
          <t>Units</t>
        </is>
      </c>
    </row>
    <row r="36">
      <c r="B36" t="inlineStr">
        <is>
          <t>Heating degree days (HDD)</t>
        </is>
      </c>
      <c r="C36" t="n">
        <v>4473.462500000001</v>
      </c>
      <c r="D36" t="n">
        <v>4066.418214285714</v>
      </c>
      <c r="E36" t="n">
        <v>3763.858214285717</v>
      </c>
      <c r="F36" t="inlineStr">
        <is>
          <t>F</t>
        </is>
      </c>
    </row>
    <row r="37">
      <c r="B37" t="inlineStr">
        <is>
          <t>Cooling degree days (CDD)</t>
        </is>
      </c>
      <c r="C37" t="n">
        <v>1020.733333333334</v>
      </c>
      <c r="D37" t="n">
        <v>1224.255476190476</v>
      </c>
      <c r="E37" t="n">
        <v>1375.535476190477</v>
      </c>
      <c r="F37" t="inlineStr">
        <is>
          <t>F</t>
        </is>
      </c>
    </row>
    <row r="38"/>
    <row r="39" ht="15" customHeight="1" thickBot="1">
      <c r="B39" t="inlineStr">
        <is>
          <t>Data Item</t>
        </is>
      </c>
      <c r="C39" t="inlineStr">
        <is>
          <t>Value</t>
        </is>
      </c>
      <c r="D39" t="inlineStr">
        <is>
          <t>Units</t>
        </is>
      </c>
    </row>
    <row r="40">
      <c r="B40" t="inlineStr">
        <is>
          <t>Correction from State HDD</t>
        </is>
      </c>
      <c r="C40" t="n">
        <v>0.7272740204844743</v>
      </c>
    </row>
    <row r="41">
      <c r="B41" t="inlineStr">
        <is>
          <t>Correction from State CDD</t>
        </is>
      </c>
      <c r="C41" t="n">
        <v>1.558371501272265</v>
      </c>
    </row>
    <row r="42">
      <c r="B42" t="inlineStr">
        <is>
          <t>Annual precipitation</t>
        </is>
      </c>
      <c r="C42" t="n">
        <v>762</v>
      </c>
      <c r="D42" t="inlineStr">
        <is>
          <t>mm / year</t>
        </is>
      </c>
    </row>
    <row r="43">
      <c r="B43" t="inlineStr">
        <is>
          <t>Climate change scenario</t>
        </is>
      </c>
      <c r="C43" t="inlineStr">
        <is>
          <t>RCP4.5</t>
        </is>
      </c>
    </row>
    <row r="44">
      <c r="B44" t="inlineStr">
        <is>
          <t>Average temperature increase in 1980-2020</t>
        </is>
      </c>
      <c r="C44" t="n">
        <v>1.461785714285714</v>
      </c>
      <c r="D44" t="inlineStr">
        <is>
          <t>F</t>
        </is>
      </c>
    </row>
    <row r="45">
      <c r="B45" t="inlineStr">
        <is>
          <t>Forecasted average temperature increase in 2035-2065</t>
        </is>
      </c>
      <c r="C45" t="n">
        <v>3.13</v>
      </c>
      <c r="D45" t="inlineStr">
        <is>
          <t>F</t>
        </is>
      </c>
    </row>
    <row r="46">
      <c r="B46" t="inlineStr">
        <is>
          <t>Forecasted average temperature increase in 2070-2100</t>
        </is>
      </c>
      <c r="C46" t="n">
        <v>4.37</v>
      </c>
      <c r="D46" t="inlineStr">
        <is>
          <t>F</t>
        </is>
      </c>
    </row>
    <row r="47">
      <c r="B47" t="inlineStr">
        <is>
          <t>*Climate change scenario description can be found in the Lists sheet.</t>
        </is>
      </c>
    </row>
    <row r="48">
      <c r="B48" t="inlineStr">
        <is>
          <t>E. Energy scenario</t>
        </is>
      </c>
    </row>
    <row r="49" ht="15" customHeight="1" thickBot="1">
      <c r="B49" t="inlineStr">
        <is>
          <t>Data Item</t>
        </is>
      </c>
      <c r="C49" t="inlineStr">
        <is>
          <t>Value</t>
        </is>
      </c>
      <c r="D49" t="inlineStr">
        <is>
          <t>Units</t>
        </is>
      </c>
    </row>
    <row r="50">
      <c r="B50" t="inlineStr">
        <is>
          <t>AEO energy scenario</t>
        </is>
      </c>
      <c r="C50" t="inlineStr">
        <is>
          <t>lowmachighZTC</t>
        </is>
      </c>
    </row>
    <row r="51">
      <c r="B51" t="inlineStr">
        <is>
          <t>Electricity technology scenario</t>
        </is>
      </c>
      <c r="C51" t="inlineStr">
        <is>
          <t>Moderate</t>
        </is>
      </c>
    </row>
    <row r="52">
      <c r="B52" t="inlineStr">
        <is>
          <t>Transport technology scenario</t>
        </is>
      </c>
      <c r="C52" t="inlineStr">
        <is>
          <t>Mid</t>
        </is>
      </c>
    </row>
    <row r="53">
      <c r="B53" t="inlineStr">
        <is>
          <t>District energy</t>
        </is>
      </c>
      <c r="C53" t="inlineStr">
        <is>
          <t>Yes</t>
        </is>
      </c>
    </row>
    <row r="54">
      <c r="B54" t="inlineStr">
        <is>
          <t>* Energy scenario description can be foundin the Lists sheet.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A1"/>
  <sheetViews>
    <sheetView workbookViewId="0">
      <selection activeCell="C6" sqref="C6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53"/>
  <sheetViews>
    <sheetView topLeftCell="H1" zoomScale="85" zoomScaleNormal="85" workbookViewId="0">
      <selection activeCell="S1" sqref="S1"/>
    </sheetView>
  </sheetViews>
  <sheetFormatPr baseColWidth="8" defaultRowHeight="15"/>
  <cols>
    <col width="11.85546875" bestFit="1" customWidth="1" min="1" max="1"/>
    <col width="13.42578125" bestFit="1" customWidth="1" min="2" max="2"/>
    <col width="10.140625" bestFit="1" customWidth="1" min="3" max="3"/>
    <col width="8.7109375" bestFit="1" customWidth="1" min="4" max="4"/>
    <col width="14.42578125" bestFit="1" customWidth="1" min="5" max="5"/>
    <col width="29" bestFit="1" customWidth="1" min="6" max="6"/>
    <col width="15.7109375" bestFit="1" customWidth="1" min="7" max="7"/>
    <col width="11.5703125" bestFit="1" customWidth="1" min="8" max="8"/>
    <col width="19.5703125" bestFit="1" customWidth="1" min="9" max="9"/>
    <col width="25.28515625" bestFit="1" customWidth="1" min="10" max="10"/>
    <col width="15.42578125" bestFit="1" customWidth="1" style="8" min="11" max="11"/>
    <col width="17.28515625" bestFit="1" customWidth="1" style="8" min="12" max="12"/>
    <col width="23.7109375" bestFit="1" customWidth="1" style="8" min="13" max="13"/>
    <col width="20.28515625" bestFit="1" customWidth="1" style="8" min="14" max="14"/>
    <col width="23.7109375" bestFit="1" customWidth="1" style="8" min="15" max="15"/>
    <col width="21.42578125" bestFit="1" customWidth="1" style="8" min="16" max="16"/>
    <col width="13.140625" bestFit="1" customWidth="1" style="8" min="17" max="17"/>
    <col width="12.28515625" bestFit="1" customWidth="1" style="8" min="18" max="18"/>
    <col width="19.42578125" bestFit="1" customWidth="1" style="8" min="19" max="19"/>
    <col width="20.28515625" bestFit="1" customWidth="1" style="8" min="20" max="20"/>
    <col width="20" bestFit="1" customWidth="1" style="8" min="21" max="21"/>
    <col width="12.28515625" bestFit="1" customWidth="1" style="8" min="22" max="22"/>
    <col width="7.140625" bestFit="1" customWidth="1" style="8" min="23" max="23"/>
    <col width="11.85546875" bestFit="1" customWidth="1" min="24" max="24"/>
  </cols>
  <sheetData>
    <row r="1">
      <c r="A1" t="inlineStr">
        <is>
          <t>Sector</t>
        </is>
      </c>
      <c r="B1" t="inlineStr">
        <is>
          <t>Sub-sector</t>
        </is>
      </c>
      <c r="C1" t="inlineStr">
        <is>
          <t>Archetype</t>
        </is>
      </c>
      <c r="D1" t="inlineStr">
        <is>
          <t xml:space="preserve">Vintage </t>
        </is>
      </c>
      <c r="E1" t="inlineStr">
        <is>
          <t>End Use</t>
        </is>
      </c>
      <c r="F1" t="inlineStr">
        <is>
          <t>Technology</t>
        </is>
      </c>
      <c r="G1" t="inlineStr">
        <is>
          <t>Energy</t>
        </is>
      </c>
      <c r="H1" t="inlineStr">
        <is>
          <t>Input Label</t>
        </is>
      </c>
      <c r="I1" t="inlineStr">
        <is>
          <t>Output Label</t>
        </is>
      </c>
      <c r="J1" t="inlineStr">
        <is>
          <t>Technology Label</t>
        </is>
      </c>
      <c r="K1" t="inlineStr">
        <is>
          <t>DEMAND (Mm2)</t>
        </is>
      </c>
      <c r="L1" t="inlineStr">
        <is>
          <t>FINAL ENERGY (TJ)</t>
        </is>
      </c>
      <c r="M1" t="inlineStr">
        <is>
          <t>FINAL ENERGY SHARE (%)</t>
        </is>
      </c>
      <c r="N1" t="inlineStr">
        <is>
          <t>FINAL ENERGY EQ (TJ)</t>
        </is>
      </c>
      <c r="O1" t="inlineStr">
        <is>
          <t>USEFUL ENERGY (TJ,Mlm)</t>
        </is>
      </c>
      <c r="P1" t="inlineStr">
        <is>
          <t>RESID (MW,Mlma, Tja)</t>
        </is>
      </c>
      <c r="Q1" t="inlineStr">
        <is>
          <t>Capacity Unit</t>
        </is>
      </c>
      <c r="R1" t="inlineStr">
        <is>
          <t>EFF</t>
        </is>
      </c>
      <c r="S1" t="inlineStr">
        <is>
          <t>Residual life (Yr)</t>
        </is>
      </c>
      <c r="T1" t="inlineStr">
        <is>
          <t>Fixed O&amp;M ($/kW/yr)</t>
        </is>
      </c>
      <c r="U1" t="inlineStr">
        <is>
          <t>Variable O&amp;M ($/GJ)</t>
        </is>
      </c>
      <c r="V1" t="inlineStr">
        <is>
          <t>CFA</t>
        </is>
      </c>
      <c r="W1" t="inlineStr">
        <is>
          <t>C2A</t>
        </is>
      </c>
    </row>
    <row r="2">
      <c r="A2" t="inlineStr">
        <is>
          <t>Commercial</t>
        </is>
      </c>
      <c r="B2" t="inlineStr">
        <is>
          <t>Hotel</t>
        </is>
      </c>
      <c r="D2" t="inlineStr">
        <is>
          <t>Old</t>
        </is>
      </c>
      <c r="E2" t="inlineStr">
        <is>
          <t>Space heating</t>
        </is>
      </c>
      <c r="F2" t="inlineStr">
        <is>
          <t>Electric furnace</t>
        </is>
      </c>
      <c r="G2" t="inlineStr">
        <is>
          <t>Electricity</t>
        </is>
      </c>
      <c r="H2" t="inlineStr">
        <is>
          <t>COMELC</t>
        </is>
      </c>
      <c r="I2" t="inlineStr">
        <is>
          <t>COMHOTOldSHEUE</t>
        </is>
      </c>
      <c r="J2" t="inlineStr">
        <is>
          <t>COMHOTOldSHFURELC19</t>
        </is>
      </c>
      <c r="K2" t="n">
        <v>11.97870118205155</v>
      </c>
      <c r="L2" t="n">
        <v>105.2394144605435</v>
      </c>
      <c r="M2" t="n">
        <v>0.7921917373101232</v>
      </c>
      <c r="N2" t="n">
        <v>83.36979457499807</v>
      </c>
      <c r="O2" t="n">
        <v>81.7023986834981</v>
      </c>
      <c r="P2" t="n">
        <v>37.36254845915747</v>
      </c>
      <c r="Q2" t="inlineStr">
        <is>
          <t>MW</t>
        </is>
      </c>
      <c r="R2" t="n">
        <v>0.98</v>
      </c>
      <c r="S2" t="n">
        <v>15</v>
      </c>
      <c r="T2" t="n">
        <v>1</v>
      </c>
      <c r="V2" t="n">
        <v>0.06934125678446156</v>
      </c>
      <c r="W2" t="n">
        <v>31.536</v>
      </c>
    </row>
    <row r="3">
      <c r="A3" t="inlineStr">
        <is>
          <t>Commercial</t>
        </is>
      </c>
      <c r="B3" t="inlineStr">
        <is>
          <t>Hotel</t>
        </is>
      </c>
      <c r="D3" t="inlineStr">
        <is>
          <t>Old</t>
        </is>
      </c>
      <c r="E3" t="inlineStr">
        <is>
          <t>Space heating</t>
        </is>
      </c>
      <c r="F3" t="inlineStr">
        <is>
          <t>Electric boiler</t>
        </is>
      </c>
      <c r="G3" t="inlineStr">
        <is>
          <t>Electricity</t>
        </is>
      </c>
      <c r="H3" t="inlineStr">
        <is>
          <t>COMELC</t>
        </is>
      </c>
      <c r="I3" t="inlineStr">
        <is>
          <t>COMHOTOldSHEUE</t>
        </is>
      </c>
      <c r="J3" t="inlineStr">
        <is>
          <t>COMHOTOldSHBOIELC19</t>
        </is>
      </c>
      <c r="K3" t="n">
        <v>11.97870118205155</v>
      </c>
      <c r="L3" t="n">
        <v>105.2394144605435</v>
      </c>
      <c r="M3" t="n">
        <v>0.06680631612849766</v>
      </c>
      <c r="N3" t="n">
        <v>7.030657591629058</v>
      </c>
      <c r="O3" t="n">
        <v>6.58842922911559</v>
      </c>
      <c r="P3" t="n">
        <v>3.526995574478221</v>
      </c>
      <c r="Q3" t="inlineStr">
        <is>
          <t>MW</t>
        </is>
      </c>
      <c r="R3" t="n">
        <v>0.9370999999999999</v>
      </c>
      <c r="S3" t="n">
        <v>7.5</v>
      </c>
      <c r="T3" t="n">
        <v>1</v>
      </c>
      <c r="V3" t="n">
        <v>0.05923390487551628</v>
      </c>
      <c r="W3" t="n">
        <v>31.536</v>
      </c>
    </row>
    <row r="4">
      <c r="A4" t="inlineStr">
        <is>
          <t>Commercial</t>
        </is>
      </c>
      <c r="B4" t="inlineStr">
        <is>
          <t>Hotel</t>
        </is>
      </c>
      <c r="D4" t="inlineStr">
        <is>
          <t>Old</t>
        </is>
      </c>
      <c r="E4" t="inlineStr">
        <is>
          <t>Space heating</t>
        </is>
      </c>
      <c r="F4" t="inlineStr">
        <is>
          <t>Electric air heat pump</t>
        </is>
      </c>
      <c r="G4" t="inlineStr">
        <is>
          <t>Electricity</t>
        </is>
      </c>
      <c r="H4" t="inlineStr">
        <is>
          <t>COMELC</t>
        </is>
      </c>
      <c r="I4" t="inlineStr">
        <is>
          <t>COMHOTOldSHEUE</t>
        </is>
      </c>
      <c r="J4" t="inlineStr">
        <is>
          <t>COMHOTOldSHAHPELC19</t>
        </is>
      </c>
      <c r="K4" t="n">
        <v>11.97870118205155</v>
      </c>
      <c r="L4" t="n">
        <v>105.2394144605435</v>
      </c>
      <c r="M4" t="n">
        <v>0.1410019465613792</v>
      </c>
      <c r="N4" t="n">
        <v>14.8389622939164</v>
      </c>
      <c r="O4" t="n">
        <v>46.00078311114083</v>
      </c>
      <c r="P4" t="n">
        <v>14.67450594805663</v>
      </c>
      <c r="Q4" t="inlineStr">
        <is>
          <t>MW</t>
        </is>
      </c>
      <c r="R4" t="n">
        <v>3.1</v>
      </c>
      <c r="S4" t="n">
        <v>10.5</v>
      </c>
      <c r="T4" t="n">
        <v>14.33104807576899</v>
      </c>
      <c r="V4" t="n">
        <v>0.09940200158750299</v>
      </c>
      <c r="W4" t="n">
        <v>31.536</v>
      </c>
    </row>
    <row r="5">
      <c r="A5" t="inlineStr">
        <is>
          <t>Commercial</t>
        </is>
      </c>
      <c r="B5" t="inlineStr">
        <is>
          <t>Hotel</t>
        </is>
      </c>
      <c r="D5" t="inlineStr">
        <is>
          <t>Old</t>
        </is>
      </c>
      <c r="E5" t="inlineStr">
        <is>
          <t>Space heating</t>
        </is>
      </c>
      <c r="F5" t="inlineStr">
        <is>
          <t>Electric ground heat pump</t>
        </is>
      </c>
      <c r="G5" t="inlineStr">
        <is>
          <t>Electricity</t>
        </is>
      </c>
      <c r="H5" t="inlineStr">
        <is>
          <t>COMELC</t>
        </is>
      </c>
      <c r="I5" t="inlineStr">
        <is>
          <t>COMHOTOldSHEUE</t>
        </is>
      </c>
      <c r="J5" t="inlineStr">
        <is>
          <t>COMHOTOldSHGHPELC19</t>
        </is>
      </c>
      <c r="K5" t="n">
        <v>11.97870118205155</v>
      </c>
      <c r="L5" t="n">
        <v>105.2394144605435</v>
      </c>
      <c r="M5" t="n">
        <v>0</v>
      </c>
      <c r="N5" t="n">
        <v>0</v>
      </c>
      <c r="O5" t="n">
        <v>0</v>
      </c>
      <c r="P5" t="n">
        <v>0</v>
      </c>
      <c r="Q5" t="inlineStr">
        <is>
          <t>MW</t>
        </is>
      </c>
      <c r="R5" t="n">
        <v>3.4</v>
      </c>
      <c r="S5" t="n">
        <v>7.2</v>
      </c>
      <c r="T5" t="n">
        <v>13.00195893970977</v>
      </c>
      <c r="V5" t="n">
        <v>0.1090215501282291</v>
      </c>
      <c r="W5" t="n">
        <v>31.536</v>
      </c>
    </row>
    <row r="6">
      <c r="A6" t="inlineStr">
        <is>
          <t>Commercial</t>
        </is>
      </c>
      <c r="B6" t="inlineStr">
        <is>
          <t>Hotel</t>
        </is>
      </c>
      <c r="D6" t="inlineStr">
        <is>
          <t>Old</t>
        </is>
      </c>
      <c r="E6" t="inlineStr">
        <is>
          <t>Space heating</t>
        </is>
      </c>
      <c r="F6" t="inlineStr">
        <is>
          <t>Natural gas furnace</t>
        </is>
      </c>
      <c r="G6" t="inlineStr">
        <is>
          <t>Natural gas</t>
        </is>
      </c>
      <c r="H6" t="inlineStr">
        <is>
          <t>COMNGA</t>
        </is>
      </c>
      <c r="I6" t="inlineStr">
        <is>
          <t>COMHOTOldSHEUE</t>
        </is>
      </c>
      <c r="J6" t="inlineStr">
        <is>
          <t>COMHOTOldSHFURNGA19</t>
        </is>
      </c>
      <c r="K6" t="n">
        <v>11.97870118205155</v>
      </c>
      <c r="L6" t="n">
        <v>1635.305472469759</v>
      </c>
      <c r="M6" t="n">
        <v>0.2440729034128053</v>
      </c>
      <c r="N6" t="n">
        <v>399.1337546325433</v>
      </c>
      <c r="O6" t="n">
        <v>283.584532666422</v>
      </c>
      <c r="P6" t="n">
        <v>59.96842956240202</v>
      </c>
      <c r="Q6" t="inlineStr">
        <is>
          <t>MW</t>
        </is>
      </c>
      <c r="R6" t="n">
        <v>0.7105</v>
      </c>
      <c r="S6" t="n">
        <v>11.5</v>
      </c>
      <c r="T6" t="n">
        <v>2.023541839846751</v>
      </c>
      <c r="V6" t="n">
        <v>0.1499523433627357</v>
      </c>
      <c r="W6" t="n">
        <v>31.536</v>
      </c>
      <c r="Y6" t="n">
        <v>23</v>
      </c>
    </row>
    <row r="7">
      <c r="A7" t="inlineStr">
        <is>
          <t>Commercial</t>
        </is>
      </c>
      <c r="B7" t="inlineStr">
        <is>
          <t>Hotel</t>
        </is>
      </c>
      <c r="D7" t="inlineStr">
        <is>
          <t>Old</t>
        </is>
      </c>
      <c r="E7" t="inlineStr">
        <is>
          <t>Space heating</t>
        </is>
      </c>
      <c r="F7" t="inlineStr">
        <is>
          <t>Natural gas boiler</t>
        </is>
      </c>
      <c r="G7" t="inlineStr">
        <is>
          <t>Natural gas</t>
        </is>
      </c>
      <c r="H7" t="inlineStr">
        <is>
          <t>COMNGA</t>
        </is>
      </c>
      <c r="I7" t="inlineStr">
        <is>
          <t>COMHOTOldSHEUE</t>
        </is>
      </c>
      <c r="J7" t="inlineStr">
        <is>
          <t>COMHOTOldSHBOINGA19</t>
        </is>
      </c>
      <c r="K7" t="n">
        <v>11.97870118205155</v>
      </c>
      <c r="L7" t="n">
        <v>1635.305472469759</v>
      </c>
      <c r="M7" t="n">
        <v>0.7341094832838765</v>
      </c>
      <c r="N7" t="n">
        <v>1200.49325540607</v>
      </c>
      <c r="O7" t="n">
        <v>912.3748741086132</v>
      </c>
      <c r="P7" t="n">
        <v>157.4991315422826</v>
      </c>
      <c r="Q7" t="inlineStr">
        <is>
          <t>MW</t>
        </is>
      </c>
      <c r="R7" t="n">
        <v>0.76</v>
      </c>
      <c r="S7" t="n">
        <v>12.5</v>
      </c>
      <c r="T7" t="n">
        <v>11.35759354439353</v>
      </c>
      <c r="V7" t="n">
        <v>0.1836912825225997</v>
      </c>
      <c r="W7" t="n">
        <v>31.536</v>
      </c>
    </row>
    <row r="8">
      <c r="A8" t="inlineStr">
        <is>
          <t>Commercial</t>
        </is>
      </c>
      <c r="B8" t="inlineStr">
        <is>
          <t>Hotel</t>
        </is>
      </c>
      <c r="D8" t="inlineStr">
        <is>
          <t>Old</t>
        </is>
      </c>
      <c r="E8" t="inlineStr">
        <is>
          <t>Space heating</t>
        </is>
      </c>
      <c r="F8" t="inlineStr">
        <is>
          <t>Natural gas heat pump</t>
        </is>
      </c>
      <c r="G8" t="inlineStr">
        <is>
          <t>Natural gas</t>
        </is>
      </c>
      <c r="H8" t="inlineStr">
        <is>
          <t>COMNGA</t>
        </is>
      </c>
      <c r="I8" t="inlineStr">
        <is>
          <t>COMHOTOldSHEUE</t>
        </is>
      </c>
      <c r="J8" t="inlineStr">
        <is>
          <t>COMHOTOldSHAHPNGA19</t>
        </is>
      </c>
      <c r="K8" t="n">
        <v>11.97870118205155</v>
      </c>
      <c r="L8" t="n">
        <v>1635.305472469759</v>
      </c>
      <c r="M8" t="n">
        <v>0.02181761330331825</v>
      </c>
      <c r="N8" t="n">
        <v>35.67846243114534</v>
      </c>
      <c r="O8" t="n">
        <v>46.38200116048895</v>
      </c>
      <c r="P8" t="n">
        <v>5.123457997452058</v>
      </c>
      <c r="Q8" t="inlineStr">
        <is>
          <t>MW</t>
        </is>
      </c>
      <c r="R8" t="n">
        <v>1.3</v>
      </c>
      <c r="S8" t="n">
        <v>7.5</v>
      </c>
      <c r="T8" t="n">
        <v>12</v>
      </c>
      <c r="V8" t="n">
        <v>0.2870646366811744</v>
      </c>
      <c r="W8" t="n">
        <v>31.536</v>
      </c>
    </row>
    <row r="9">
      <c r="A9" t="inlineStr">
        <is>
          <t>Commercial</t>
        </is>
      </c>
      <c r="B9" t="inlineStr">
        <is>
          <t>Hotel</t>
        </is>
      </c>
      <c r="D9" t="inlineStr">
        <is>
          <t>Old</t>
        </is>
      </c>
      <c r="E9" t="inlineStr">
        <is>
          <t>Space heating</t>
        </is>
      </c>
      <c r="F9" t="inlineStr">
        <is>
          <t>Fuel oil boiler</t>
        </is>
      </c>
      <c r="G9" t="inlineStr">
        <is>
          <t>Fuel oil</t>
        </is>
      </c>
      <c r="H9" t="inlineStr">
        <is>
          <t>COMFOI</t>
        </is>
      </c>
      <c r="I9" t="inlineStr">
        <is>
          <t>COMHOTOldSHEUE</t>
        </is>
      </c>
      <c r="J9" t="inlineStr">
        <is>
          <t>COMHOTOldSHBOIFOI19</t>
        </is>
      </c>
      <c r="K9" t="n">
        <v>11.97870118205155</v>
      </c>
      <c r="L9" t="n">
        <v>136.2464316064804</v>
      </c>
      <c r="M9" t="n">
        <v>0.9628387279383094</v>
      </c>
      <c r="N9" t="n">
        <v>131.1833408941175</v>
      </c>
      <c r="O9" t="n">
        <v>103.6348393063528</v>
      </c>
      <c r="P9" t="n">
        <v>21.24585528316159</v>
      </c>
      <c r="Q9" t="inlineStr">
        <is>
          <t>MW</t>
        </is>
      </c>
      <c r="R9" t="n">
        <v>0.79</v>
      </c>
      <c r="S9" t="n">
        <v>12.5</v>
      </c>
      <c r="T9" t="n">
        <v>14</v>
      </c>
      <c r="V9" t="n">
        <v>0.1546767194295928</v>
      </c>
      <c r="W9" t="n">
        <v>31.536</v>
      </c>
    </row>
    <row r="10">
      <c r="A10" t="inlineStr">
        <is>
          <t>Commercial</t>
        </is>
      </c>
      <c r="B10" t="inlineStr">
        <is>
          <t>Hotel</t>
        </is>
      </c>
      <c r="D10" t="inlineStr">
        <is>
          <t>Old</t>
        </is>
      </c>
      <c r="E10" t="inlineStr">
        <is>
          <t>Space heating</t>
        </is>
      </c>
      <c r="F10" t="inlineStr">
        <is>
          <t>Fuel oil furnace</t>
        </is>
      </c>
      <c r="G10" t="inlineStr">
        <is>
          <t>Fuel oil</t>
        </is>
      </c>
      <c r="H10" t="inlineStr">
        <is>
          <t>COMFOI</t>
        </is>
      </c>
      <c r="I10" t="inlineStr">
        <is>
          <t>COMHOTOldSHEUE</t>
        </is>
      </c>
      <c r="J10" t="inlineStr">
        <is>
          <t>COMHOTOldSHFURFOI19</t>
        </is>
      </c>
      <c r="K10" t="n">
        <v>11.97870118205155</v>
      </c>
      <c r="L10" t="n">
        <v>136.2464316064804</v>
      </c>
      <c r="M10" t="n">
        <v>0.03716127206169059</v>
      </c>
      <c r="N10" t="n">
        <v>5.063090712362938</v>
      </c>
      <c r="O10" t="n">
        <v>3.850480486752014</v>
      </c>
      <c r="P10" t="n">
        <v>0.8199950681787076</v>
      </c>
      <c r="Q10" t="inlineStr">
        <is>
          <t>MW</t>
        </is>
      </c>
      <c r="R10" t="n">
        <v>0.7605</v>
      </c>
      <c r="S10" t="n">
        <v>11.5</v>
      </c>
      <c r="T10" t="n">
        <v>4</v>
      </c>
      <c r="V10" t="n">
        <v>0.1489008166154498</v>
      </c>
      <c r="W10" t="n">
        <v>31.536</v>
      </c>
    </row>
    <row r="11">
      <c r="A11" t="inlineStr">
        <is>
          <t>Commercial</t>
        </is>
      </c>
      <c r="B11" t="inlineStr">
        <is>
          <t>Hotel</t>
        </is>
      </c>
      <c r="D11" t="inlineStr">
        <is>
          <t>Old</t>
        </is>
      </c>
      <c r="E11" t="inlineStr">
        <is>
          <t>Space heating</t>
        </is>
      </c>
      <c r="F11" t="inlineStr">
        <is>
          <t>Propane furnace</t>
        </is>
      </c>
      <c r="G11" t="inlineStr">
        <is>
          <t>LPG</t>
        </is>
      </c>
      <c r="H11" t="inlineStr">
        <is>
          <t>COMLPG</t>
        </is>
      </c>
      <c r="I11" t="inlineStr">
        <is>
          <t>COMHOTOldSHEUE</t>
        </is>
      </c>
      <c r="J11" t="inlineStr">
        <is>
          <t>COMHOTOldSHFURPRO19</t>
        </is>
      </c>
      <c r="K11" t="n">
        <v>11.97870118205155</v>
      </c>
      <c r="L11" t="n">
        <v>0</v>
      </c>
      <c r="M11" t="n">
        <v>0.3203265438035573</v>
      </c>
      <c r="N11" t="n">
        <v>0</v>
      </c>
      <c r="O11" t="n">
        <v>0</v>
      </c>
      <c r="P11" t="n">
        <v>0</v>
      </c>
      <c r="Q11" t="inlineStr">
        <is>
          <t>MW</t>
        </is>
      </c>
      <c r="R11" t="n">
        <v>0.7105</v>
      </c>
      <c r="S11" t="n">
        <v>11.5</v>
      </c>
      <c r="T11" t="n">
        <v>2.023541839846751</v>
      </c>
      <c r="V11" t="n">
        <v>0.1499523433627357</v>
      </c>
      <c r="W11" t="n">
        <v>31.536</v>
      </c>
    </row>
    <row r="12">
      <c r="A12" t="inlineStr">
        <is>
          <t>Commercial</t>
        </is>
      </c>
      <c r="B12" t="inlineStr">
        <is>
          <t>Hotel</t>
        </is>
      </c>
      <c r="D12" t="inlineStr">
        <is>
          <t>Old</t>
        </is>
      </c>
      <c r="E12" t="inlineStr">
        <is>
          <t>Space heating</t>
        </is>
      </c>
      <c r="F12" t="inlineStr">
        <is>
          <t>Propane boiler</t>
        </is>
      </c>
      <c r="G12" t="inlineStr">
        <is>
          <t>LPG</t>
        </is>
      </c>
      <c r="H12" t="inlineStr">
        <is>
          <t>COMLPG</t>
        </is>
      </c>
      <c r="I12" t="inlineStr">
        <is>
          <t>COMHOTOldSHEUE</t>
        </is>
      </c>
      <c r="J12" t="inlineStr">
        <is>
          <t>COMHOTOldSHBOIPRO19</t>
        </is>
      </c>
      <c r="K12" t="n">
        <v>11.97870118205155</v>
      </c>
      <c r="L12" t="n">
        <v>0</v>
      </c>
      <c r="M12" t="n">
        <v>0.302682216480814</v>
      </c>
      <c r="N12" t="n">
        <v>0</v>
      </c>
      <c r="O12" t="n">
        <v>0</v>
      </c>
      <c r="P12" t="n">
        <v>0</v>
      </c>
      <c r="Q12" t="inlineStr">
        <is>
          <t>MW</t>
        </is>
      </c>
      <c r="R12" t="n">
        <v>0.76</v>
      </c>
      <c r="S12" t="n">
        <v>12.5</v>
      </c>
      <c r="T12" t="n">
        <v>11.35759354439353</v>
      </c>
      <c r="V12" t="n">
        <v>0.1836912825225997</v>
      </c>
      <c r="W12" t="n">
        <v>31.536</v>
      </c>
    </row>
    <row r="13">
      <c r="A13" t="inlineStr">
        <is>
          <t>Commercial</t>
        </is>
      </c>
      <c r="B13" t="inlineStr">
        <is>
          <t>Hotel</t>
        </is>
      </c>
      <c r="D13" t="inlineStr">
        <is>
          <t>Old</t>
        </is>
      </c>
      <c r="E13" t="inlineStr">
        <is>
          <t>Space heating</t>
        </is>
      </c>
      <c r="F13" t="inlineStr">
        <is>
          <t>Propane heat pump</t>
        </is>
      </c>
      <c r="G13" t="inlineStr">
        <is>
          <t>LPG</t>
        </is>
      </c>
      <c r="H13" t="inlineStr">
        <is>
          <t>COMLPG</t>
        </is>
      </c>
      <c r="I13" t="inlineStr">
        <is>
          <t>COMHOTOldSHEUE</t>
        </is>
      </c>
      <c r="J13" t="inlineStr">
        <is>
          <t>COMHOTOldSHAHPPRO19</t>
        </is>
      </c>
      <c r="K13" t="n">
        <v>11.97870118205155</v>
      </c>
      <c r="L13" t="n">
        <v>0</v>
      </c>
      <c r="M13" t="n">
        <v>0.3769912397156288</v>
      </c>
      <c r="N13" t="n">
        <v>0</v>
      </c>
      <c r="O13" t="n">
        <v>0</v>
      </c>
      <c r="P13" t="n">
        <v>0</v>
      </c>
      <c r="Q13" t="inlineStr">
        <is>
          <t>MW</t>
        </is>
      </c>
      <c r="R13" t="n">
        <v>1.3</v>
      </c>
      <c r="S13" t="n">
        <v>7.5</v>
      </c>
      <c r="T13" t="n">
        <v>12</v>
      </c>
      <c r="V13" t="n">
        <v>0.2870646366811744</v>
      </c>
      <c r="W13" t="n">
        <v>31.536</v>
      </c>
    </row>
    <row r="14">
      <c r="A14" t="inlineStr">
        <is>
          <t>Commercial</t>
        </is>
      </c>
      <c r="B14" t="inlineStr">
        <is>
          <t>Hotel</t>
        </is>
      </c>
      <c r="D14" t="inlineStr">
        <is>
          <t>Old</t>
        </is>
      </c>
      <c r="E14" t="inlineStr">
        <is>
          <t>Space heating</t>
        </is>
      </c>
      <c r="F14" t="inlineStr">
        <is>
          <t>District steam heating system</t>
        </is>
      </c>
      <c r="G14" t="inlineStr">
        <is>
          <t>Steam / Cooling</t>
        </is>
      </c>
      <c r="H14" t="inlineStr">
        <is>
          <t>COMSTM</t>
        </is>
      </c>
      <c r="I14" t="inlineStr">
        <is>
          <t>COMHOTOldSHEUE</t>
        </is>
      </c>
      <c r="J14" t="inlineStr">
        <is>
          <t>COMHOTOldSHDHESTM19</t>
        </is>
      </c>
      <c r="K14" t="n">
        <v>11.97870118205155</v>
      </c>
      <c r="L14" t="n">
        <v>68.80996788838479</v>
      </c>
      <c r="M14" t="n">
        <v>1</v>
      </c>
      <c r="N14" t="n">
        <v>68.80996788838479</v>
      </c>
      <c r="O14" t="n">
        <v>64.48182090820538</v>
      </c>
      <c r="P14" t="n">
        <v>4.991336298617207</v>
      </c>
      <c r="Q14" t="inlineStr">
        <is>
          <t>MW</t>
        </is>
      </c>
      <c r="R14" t="n">
        <v>0.9370999999999999</v>
      </c>
      <c r="S14" t="n">
        <v>12.5</v>
      </c>
      <c r="T14" t="n">
        <v>1</v>
      </c>
      <c r="V14" t="n">
        <v>0.4096508440635461</v>
      </c>
      <c r="W14" t="n">
        <v>31.536</v>
      </c>
    </row>
    <row r="15">
      <c r="A15" t="inlineStr">
        <is>
          <t>Commercial</t>
        </is>
      </c>
      <c r="B15" t="inlineStr">
        <is>
          <t>Hotel</t>
        </is>
      </c>
      <c r="D15" t="inlineStr">
        <is>
          <t>Old</t>
        </is>
      </c>
      <c r="E15" t="inlineStr">
        <is>
          <t>Space cooling</t>
        </is>
      </c>
      <c r="F15" t="inlineStr">
        <is>
          <t>Res type central AC electric</t>
        </is>
      </c>
      <c r="G15" t="inlineStr">
        <is>
          <t>Electricity</t>
        </is>
      </c>
      <c r="H15" t="inlineStr">
        <is>
          <t>COMELC</t>
        </is>
      </c>
      <c r="I15" t="inlineStr">
        <is>
          <t>COMHOTOldSCEUE</t>
        </is>
      </c>
      <c r="J15" t="inlineStr">
        <is>
          <t>COMHOTOldSCRESELC19</t>
        </is>
      </c>
      <c r="K15" t="n">
        <v>11.97870118205155</v>
      </c>
      <c r="L15" t="n">
        <v>393.1530394149719</v>
      </c>
      <c r="M15" t="n">
        <v>0.01585617367960433</v>
      </c>
      <c r="N15" t="n">
        <v>6.233902875628123</v>
      </c>
      <c r="O15" t="n">
        <v>20.82839765010569</v>
      </c>
      <c r="P15" t="n">
        <v>3.282635977688209</v>
      </c>
      <c r="Q15" t="inlineStr">
        <is>
          <t>MW</t>
        </is>
      </c>
      <c r="R15" t="n">
        <v>3.341148886283705</v>
      </c>
      <c r="S15" t="n">
        <v>9</v>
      </c>
      <c r="T15" t="n">
        <v>8</v>
      </c>
      <c r="V15" t="n">
        <v>0.2011993292369608</v>
      </c>
      <c r="W15" t="n">
        <v>31.536</v>
      </c>
    </row>
    <row r="16">
      <c r="A16" t="inlineStr">
        <is>
          <t>Commercial</t>
        </is>
      </c>
      <c r="B16" t="inlineStr">
        <is>
          <t>Hotel</t>
        </is>
      </c>
      <c r="D16" t="inlineStr">
        <is>
          <t>Old</t>
        </is>
      </c>
      <c r="E16" t="inlineStr">
        <is>
          <t>Space cooling</t>
        </is>
      </c>
      <c r="F16" t="inlineStr">
        <is>
          <t>Room AC electric</t>
        </is>
      </c>
      <c r="G16" t="inlineStr">
        <is>
          <t>Electricity</t>
        </is>
      </c>
      <c r="H16" t="inlineStr">
        <is>
          <t>COMELC</t>
        </is>
      </c>
      <c r="I16" t="inlineStr">
        <is>
          <t>COMHOTOldSCEUE</t>
        </is>
      </c>
      <c r="J16" t="inlineStr">
        <is>
          <t>COMHOTOldSCRACELC19</t>
        </is>
      </c>
      <c r="K16" t="n">
        <v>11.97870118205155</v>
      </c>
      <c r="L16" t="n">
        <v>393.1530394149719</v>
      </c>
      <c r="M16" t="n">
        <v>0.5719281169195477</v>
      </c>
      <c r="N16" t="n">
        <v>224.8552774938016</v>
      </c>
      <c r="O16" t="n">
        <v>573.341416821827</v>
      </c>
      <c r="P16" t="n">
        <v>57.71884586901427</v>
      </c>
      <c r="Q16" t="inlineStr">
        <is>
          <t>MW</t>
        </is>
      </c>
      <c r="R16" t="n">
        <v>2.549824150058616</v>
      </c>
      <c r="S16" t="n">
        <v>5</v>
      </c>
      <c r="T16" t="n">
        <v>0</v>
      </c>
      <c r="V16" t="n">
        <v>0.3149844178165909</v>
      </c>
      <c r="W16" t="n">
        <v>31.536</v>
      </c>
    </row>
    <row r="17">
      <c r="A17" t="inlineStr">
        <is>
          <t>Commercial</t>
        </is>
      </c>
      <c r="B17" t="inlineStr">
        <is>
          <t>Hotel</t>
        </is>
      </c>
      <c r="D17" t="inlineStr">
        <is>
          <t>Old</t>
        </is>
      </c>
      <c r="E17" t="inlineStr">
        <is>
          <t>Space cooling</t>
        </is>
      </c>
      <c r="F17" t="inlineStr">
        <is>
          <t>Central AC electric</t>
        </is>
      </c>
      <c r="G17" t="inlineStr">
        <is>
          <t>Electricity</t>
        </is>
      </c>
      <c r="H17" t="inlineStr">
        <is>
          <t>COMELC</t>
        </is>
      </c>
      <c r="I17" t="inlineStr">
        <is>
          <t>COMHOTOldSCEUE</t>
        </is>
      </c>
      <c r="J17" t="inlineStr">
        <is>
          <t>COMHOTOldSCCACELC19</t>
        </is>
      </c>
      <c r="K17" t="n">
        <v>11.97870118205155</v>
      </c>
      <c r="L17" t="n">
        <v>393.1530394149719</v>
      </c>
      <c r="M17" t="n">
        <v>0.2758148828265409</v>
      </c>
      <c r="N17" t="n">
        <v>108.4374594991389</v>
      </c>
      <c r="O17" t="n">
        <v>331.6299286379701</v>
      </c>
      <c r="P17" t="n">
        <v>76.852524632852</v>
      </c>
      <c r="Q17" t="inlineStr">
        <is>
          <t>MW</t>
        </is>
      </c>
      <c r="R17" t="n">
        <v>3.058259850145268</v>
      </c>
      <c r="S17" t="n">
        <v>9</v>
      </c>
      <c r="T17" t="n">
        <v>8</v>
      </c>
      <c r="V17" t="n">
        <v>0.1368324086025602</v>
      </c>
      <c r="W17" t="n">
        <v>31.536</v>
      </c>
    </row>
    <row r="18">
      <c r="A18" t="inlineStr">
        <is>
          <t>Commercial</t>
        </is>
      </c>
      <c r="B18" t="inlineStr">
        <is>
          <t>Hotel</t>
        </is>
      </c>
      <c r="D18" t="inlineStr">
        <is>
          <t>Old</t>
        </is>
      </c>
      <c r="E18" t="inlineStr">
        <is>
          <t>Space cooling</t>
        </is>
      </c>
      <c r="F18" t="inlineStr">
        <is>
          <t>Rooftop Air HP electric</t>
        </is>
      </c>
      <c r="G18" t="inlineStr">
        <is>
          <t>Electricity</t>
        </is>
      </c>
      <c r="H18" t="inlineStr">
        <is>
          <t>COMELC</t>
        </is>
      </c>
      <c r="I18" t="inlineStr">
        <is>
          <t>COMHOTOldSCEUE</t>
        </is>
      </c>
      <c r="J18" t="inlineStr">
        <is>
          <t>COMHOTOldSCAHPELC19</t>
        </is>
      </c>
      <c r="K18" t="n">
        <v>11.97870118205155</v>
      </c>
      <c r="L18" t="n">
        <v>393.1530394149719</v>
      </c>
      <c r="M18" t="n">
        <v>0.1237210840896426</v>
      </c>
      <c r="N18" t="n">
        <v>48.64132024955831</v>
      </c>
      <c r="O18" t="n">
        <v>132.5803863777527</v>
      </c>
      <c r="P18" t="n">
        <v>13.2756699379505</v>
      </c>
      <c r="Q18" t="inlineStr">
        <is>
          <t>MW</t>
        </is>
      </c>
      <c r="R18" t="n">
        <v>2.72567409144197</v>
      </c>
      <c r="S18" t="n">
        <v>10.5</v>
      </c>
      <c r="T18" t="n">
        <v>14</v>
      </c>
      <c r="V18" t="n">
        <v>0.3166767848865867</v>
      </c>
      <c r="W18" t="n">
        <v>31.536</v>
      </c>
    </row>
    <row r="19">
      <c r="A19" t="inlineStr">
        <is>
          <t>Commercial</t>
        </is>
      </c>
      <c r="B19" t="inlineStr">
        <is>
          <t>Hotel</t>
        </is>
      </c>
      <c r="D19" t="inlineStr">
        <is>
          <t>Old</t>
        </is>
      </c>
      <c r="E19" t="inlineStr">
        <is>
          <t>Space cooling</t>
        </is>
      </c>
      <c r="F19" t="inlineStr">
        <is>
          <t>Rooftop Air AC electric</t>
        </is>
      </c>
      <c r="G19" t="inlineStr">
        <is>
          <t>Electricity</t>
        </is>
      </c>
      <c r="H19" t="inlineStr">
        <is>
          <t>COMELC</t>
        </is>
      </c>
      <c r="I19" t="inlineStr">
        <is>
          <t>COMHOTOldSCEUE</t>
        </is>
      </c>
      <c r="J19" t="inlineStr">
        <is>
          <t>COMHOTOldSCAACELC19</t>
        </is>
      </c>
      <c r="K19" t="n">
        <v>11.97870118205155</v>
      </c>
      <c r="L19" t="n">
        <v>393.1530394149719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MW</t>
        </is>
      </c>
      <c r="R19" t="n">
        <v>2.696365767878077</v>
      </c>
      <c r="S19" t="n">
        <v>10.5</v>
      </c>
      <c r="T19" t="n">
        <v>14</v>
      </c>
      <c r="V19" t="n">
        <v>0.2095667041053263</v>
      </c>
      <c r="W19" t="n">
        <v>31.536</v>
      </c>
    </row>
    <row r="20">
      <c r="A20" t="inlineStr">
        <is>
          <t>Commercial</t>
        </is>
      </c>
      <c r="B20" t="inlineStr">
        <is>
          <t>Hotel</t>
        </is>
      </c>
      <c r="D20" t="inlineStr">
        <is>
          <t>Old</t>
        </is>
      </c>
      <c r="E20" t="inlineStr">
        <is>
          <t>Space cooling</t>
        </is>
      </c>
      <c r="F20" t="inlineStr">
        <is>
          <t>Res type central AC gas</t>
        </is>
      </c>
      <c r="G20" t="inlineStr">
        <is>
          <t>Electricity</t>
        </is>
      </c>
      <c r="H20" t="inlineStr">
        <is>
          <t>COMELC</t>
        </is>
      </c>
      <c r="I20" t="inlineStr">
        <is>
          <t>COMHOTOldSCEUE</t>
        </is>
      </c>
      <c r="J20" t="inlineStr">
        <is>
          <t>COMHOTOldSCRESNGA19</t>
        </is>
      </c>
      <c r="K20" t="n">
        <v>11.97870118205155</v>
      </c>
      <c r="L20" t="n">
        <v>393.1530394149719</v>
      </c>
      <c r="M20" t="n">
        <v>0.01267974248466443</v>
      </c>
      <c r="N20" t="n">
        <v>4.985079296844967</v>
      </c>
      <c r="O20" t="n">
        <v>2.99104757810698</v>
      </c>
      <c r="P20" t="n">
        <v>0.6980090180589935</v>
      </c>
      <c r="Q20" t="inlineStr">
        <is>
          <t>MW</t>
        </is>
      </c>
      <c r="R20" t="n">
        <v>0.6</v>
      </c>
      <c r="S20" t="n">
        <v>7.5</v>
      </c>
      <c r="T20" t="n">
        <v>12</v>
      </c>
      <c r="V20" t="n">
        <v>0.1358800446146946</v>
      </c>
      <c r="W20" t="n">
        <v>31.536</v>
      </c>
    </row>
    <row r="21">
      <c r="A21" t="inlineStr">
        <is>
          <t>Commercial</t>
        </is>
      </c>
      <c r="B21" t="inlineStr">
        <is>
          <t>Hotel</t>
        </is>
      </c>
      <c r="D21" t="inlineStr">
        <is>
          <t>Old</t>
        </is>
      </c>
      <c r="E21" t="inlineStr">
        <is>
          <t>Space cooling</t>
        </is>
      </c>
      <c r="F21" t="inlineStr">
        <is>
          <t>Absorption chiller</t>
        </is>
      </c>
      <c r="G21" t="inlineStr">
        <is>
          <t>Electricity</t>
        </is>
      </c>
      <c r="H21" t="inlineStr">
        <is>
          <t>COMELC</t>
        </is>
      </c>
      <c r="I21" t="inlineStr">
        <is>
          <t>COMHOTOldSCEUE</t>
        </is>
      </c>
      <c r="J21" t="inlineStr">
        <is>
          <t>COMHOTOldSCACHSTM19</t>
        </is>
      </c>
      <c r="K21" t="n">
        <v>11.97870118205155</v>
      </c>
      <c r="L21" t="n">
        <v>393.1530394149719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MW</t>
        </is>
      </c>
      <c r="R21" t="n">
        <v>1</v>
      </c>
      <c r="S21" t="n">
        <v>11.5</v>
      </c>
      <c r="T21" t="n">
        <v>10</v>
      </c>
      <c r="V21" t="n">
        <v>0</v>
      </c>
      <c r="W21" t="n">
        <v>31.536</v>
      </c>
    </row>
    <row r="22">
      <c r="A22" t="inlineStr">
        <is>
          <t>Commercial</t>
        </is>
      </c>
      <c r="B22" t="inlineStr">
        <is>
          <t>Hotel</t>
        </is>
      </c>
      <c r="D22" t="inlineStr">
        <is>
          <t>Old</t>
        </is>
      </c>
      <c r="E22" t="inlineStr">
        <is>
          <t>Space cooling</t>
        </is>
      </c>
      <c r="F22" t="inlineStr">
        <is>
          <t>District chilled water</t>
        </is>
      </c>
      <c r="G22" t="inlineStr">
        <is>
          <t>Electricity</t>
        </is>
      </c>
      <c r="H22" t="inlineStr">
        <is>
          <t>COMELC</t>
        </is>
      </c>
      <c r="I22" t="inlineStr">
        <is>
          <t>COMHOTOldSCEUE</t>
        </is>
      </c>
      <c r="J22" t="inlineStr">
        <is>
          <t>COMHOTOldSCDCOCHI19</t>
        </is>
      </c>
      <c r="K22" t="n">
        <v>11.97870118205155</v>
      </c>
      <c r="L22" t="n">
        <v>393.1530394149719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MW</t>
        </is>
      </c>
      <c r="R22" t="n">
        <v>1</v>
      </c>
      <c r="S22" t="n">
        <v>12.5</v>
      </c>
      <c r="T22" t="n">
        <v>1</v>
      </c>
      <c r="V22" t="n">
        <v>0</v>
      </c>
      <c r="W22" t="n">
        <v>31.536</v>
      </c>
    </row>
    <row r="23">
      <c r="A23" t="inlineStr">
        <is>
          <t>Commercial</t>
        </is>
      </c>
      <c r="B23" t="inlineStr">
        <is>
          <t>Hotel</t>
        </is>
      </c>
      <c r="D23" t="inlineStr">
        <is>
          <t>Old</t>
        </is>
      </c>
      <c r="E23" t="inlineStr">
        <is>
          <t>Ventilation</t>
        </is>
      </c>
      <c r="F23" t="inlineStr">
        <is>
          <t>Electricity</t>
        </is>
      </c>
      <c r="G23" t="inlineStr">
        <is>
          <t>Electricity</t>
        </is>
      </c>
      <c r="H23" t="inlineStr">
        <is>
          <t>COMELC</t>
        </is>
      </c>
      <c r="I23" t="inlineStr">
        <is>
          <t>COMHOTOldVTEUE</t>
        </is>
      </c>
      <c r="J23" t="inlineStr">
        <is>
          <t>COMHOTOldVTELC19</t>
        </is>
      </c>
      <c r="K23" t="n">
        <v>11.97870118205155</v>
      </c>
      <c r="L23" t="n">
        <v>1270.722771772442</v>
      </c>
      <c r="M23" t="n">
        <v>1</v>
      </c>
      <c r="N23" t="n">
        <v>1270.722771772442</v>
      </c>
      <c r="O23" t="n">
        <v>1270.722771772442</v>
      </c>
      <c r="P23" t="n">
        <v>91.57807900440201</v>
      </c>
      <c r="Q23" t="inlineStr">
        <is>
          <t>MW</t>
        </is>
      </c>
      <c r="R23" t="n">
        <v>1</v>
      </c>
      <c r="S23" t="n">
        <v>10</v>
      </c>
      <c r="T23" t="n">
        <v>97</v>
      </c>
      <c r="V23" t="n">
        <v>0.44</v>
      </c>
      <c r="W23" t="n">
        <v>31.536</v>
      </c>
    </row>
    <row r="24">
      <c r="A24" t="inlineStr">
        <is>
          <t>Commercial</t>
        </is>
      </c>
      <c r="B24" t="inlineStr">
        <is>
          <t>Hotel</t>
        </is>
      </c>
      <c r="D24" t="inlineStr">
        <is>
          <t>Old</t>
        </is>
      </c>
      <c r="E24" t="inlineStr">
        <is>
          <t>Water heating</t>
        </is>
      </c>
      <c r="F24" t="inlineStr">
        <is>
          <t>Fuel oil</t>
        </is>
      </c>
      <c r="G24" t="inlineStr">
        <is>
          <t>Fuel oil</t>
        </is>
      </c>
      <c r="H24" t="inlineStr">
        <is>
          <t>COMFOI</t>
        </is>
      </c>
      <c r="I24" t="inlineStr">
        <is>
          <t>COMHOTOldWHEUE</t>
        </is>
      </c>
      <c r="J24" t="inlineStr">
        <is>
          <t>COMHOTOldWHFOI19</t>
        </is>
      </c>
      <c r="K24" t="n">
        <v>11.97870118205155</v>
      </c>
      <c r="L24" t="n">
        <v>226.6521805173256</v>
      </c>
      <c r="M24" t="n">
        <v>1</v>
      </c>
      <c r="N24" t="n">
        <v>226.6521805173256</v>
      </c>
      <c r="O24" t="n">
        <v>176.788700803514</v>
      </c>
      <c r="P24" t="n">
        <v>12.74075665354415</v>
      </c>
      <c r="Q24" t="inlineStr">
        <is>
          <t>MW</t>
        </is>
      </c>
      <c r="R24" t="n">
        <v>0.78</v>
      </c>
      <c r="S24" t="n">
        <v>6.5</v>
      </c>
      <c r="T24" t="n">
        <v>6</v>
      </c>
      <c r="V24" t="n">
        <v>0.44</v>
      </c>
      <c r="W24" t="n">
        <v>31.536</v>
      </c>
    </row>
    <row r="25">
      <c r="A25" t="inlineStr">
        <is>
          <t>Commercial</t>
        </is>
      </c>
      <c r="B25" t="inlineStr">
        <is>
          <t>Hotel</t>
        </is>
      </c>
      <c r="D25" t="inlineStr">
        <is>
          <t>Old</t>
        </is>
      </c>
      <c r="E25" t="inlineStr">
        <is>
          <t>Water heating</t>
        </is>
      </c>
      <c r="F25" t="inlineStr">
        <is>
          <t>Natural gas</t>
        </is>
      </c>
      <c r="G25" t="inlineStr">
        <is>
          <t>Natural gas</t>
        </is>
      </c>
      <c r="H25" t="inlineStr">
        <is>
          <t>COMNGA</t>
        </is>
      </c>
      <c r="I25" t="inlineStr">
        <is>
          <t>COMHOTOldWHEUE</t>
        </is>
      </c>
      <c r="J25" t="inlineStr">
        <is>
          <t>COMHOTOldWHNGA19</t>
        </is>
      </c>
      <c r="K25" t="n">
        <v>11.97870118205155</v>
      </c>
      <c r="L25" t="n">
        <v>1577.485129550908</v>
      </c>
      <c r="M25" t="n">
        <v>1</v>
      </c>
      <c r="N25" t="n">
        <v>1577.485129550908</v>
      </c>
      <c r="O25" t="n">
        <v>1214.663549754199</v>
      </c>
      <c r="P25" t="n">
        <v>87.53801930219717</v>
      </c>
      <c r="Q25" t="inlineStr">
        <is>
          <t>MW</t>
        </is>
      </c>
      <c r="R25" t="n">
        <v>0.77</v>
      </c>
      <c r="S25" t="n">
        <v>5</v>
      </c>
      <c r="T25" t="n">
        <v>7</v>
      </c>
      <c r="V25" t="n">
        <v>0.44</v>
      </c>
      <c r="W25" t="n">
        <v>31.536</v>
      </c>
    </row>
    <row r="26">
      <c r="A26" t="inlineStr">
        <is>
          <t>Commercial</t>
        </is>
      </c>
      <c r="B26" t="inlineStr">
        <is>
          <t>Hotel</t>
        </is>
      </c>
      <c r="D26" t="inlineStr">
        <is>
          <t>Old</t>
        </is>
      </c>
      <c r="E26" t="inlineStr">
        <is>
          <t>Water heating</t>
        </is>
      </c>
      <c r="F26" t="inlineStr">
        <is>
          <t>Steam / Cooling</t>
        </is>
      </c>
      <c r="G26" t="inlineStr">
        <is>
          <t>Steam / Cooling</t>
        </is>
      </c>
      <c r="H26" t="inlineStr">
        <is>
          <t>COMSTM</t>
        </is>
      </c>
      <c r="I26" t="inlineStr">
        <is>
          <t>COMHOTOldWHEUE</t>
        </is>
      </c>
      <c r="J26" t="inlineStr">
        <is>
          <t>COMHOTOldWHSTM19</t>
        </is>
      </c>
      <c r="K26" t="n">
        <v>11.97870118205155</v>
      </c>
      <c r="L26" t="n">
        <v>55.45734743523266</v>
      </c>
      <c r="M26" t="n">
        <v>1</v>
      </c>
      <c r="N26" t="n">
        <v>55.45734743523266</v>
      </c>
      <c r="O26" t="n">
        <v>54.05704941249302</v>
      </c>
      <c r="P26" t="n">
        <v>3.895767709377813</v>
      </c>
      <c r="Q26" t="inlineStr">
        <is>
          <t>MW</t>
        </is>
      </c>
      <c r="R26" t="n">
        <v>0.9747499999999999</v>
      </c>
      <c r="S26" t="n">
        <v>12.5</v>
      </c>
      <c r="T26" t="n">
        <v>1</v>
      </c>
      <c r="V26" t="n">
        <v>0.44</v>
      </c>
      <c r="W26" t="n">
        <v>31.536</v>
      </c>
    </row>
    <row r="27">
      <c r="A27" t="inlineStr">
        <is>
          <t>Commercial</t>
        </is>
      </c>
      <c r="B27" t="inlineStr">
        <is>
          <t>Hotel</t>
        </is>
      </c>
      <c r="D27" t="inlineStr">
        <is>
          <t>Old</t>
        </is>
      </c>
      <c r="E27" t="inlineStr">
        <is>
          <t>Water heating</t>
        </is>
      </c>
      <c r="F27" t="inlineStr">
        <is>
          <t>Electricity</t>
        </is>
      </c>
      <c r="G27" t="inlineStr">
        <is>
          <t>Electricity</t>
        </is>
      </c>
      <c r="H27" t="inlineStr">
        <is>
          <t>COMELC</t>
        </is>
      </c>
      <c r="I27" t="inlineStr">
        <is>
          <t>COMHOTOldWHEUE</t>
        </is>
      </c>
      <c r="J27" t="inlineStr">
        <is>
          <t>COMHOTOldWHELC19</t>
        </is>
      </c>
      <c r="K27" t="n">
        <v>11.97870118205155</v>
      </c>
      <c r="L27" t="n">
        <v>113.5890034266563</v>
      </c>
      <c r="M27" t="n">
        <v>1</v>
      </c>
      <c r="N27" t="n">
        <v>113.5890034266563</v>
      </c>
      <c r="O27" t="n">
        <v>110.7208810901332</v>
      </c>
      <c r="P27" t="n">
        <v>7.979400244607407</v>
      </c>
      <c r="Q27" t="inlineStr">
        <is>
          <t>MW</t>
        </is>
      </c>
      <c r="R27" t="n">
        <v>0.9747499999999999</v>
      </c>
      <c r="S27" t="n">
        <v>7.5</v>
      </c>
      <c r="T27" t="n">
        <v>2</v>
      </c>
      <c r="V27" t="n">
        <v>0.44</v>
      </c>
      <c r="W27" t="n">
        <v>31.536</v>
      </c>
    </row>
    <row r="28">
      <c r="A28" t="inlineStr">
        <is>
          <t>Commercial</t>
        </is>
      </c>
      <c r="B28" t="inlineStr">
        <is>
          <t>Hotel</t>
        </is>
      </c>
      <c r="D28" t="inlineStr">
        <is>
          <t>Old</t>
        </is>
      </c>
      <c r="E28" t="inlineStr">
        <is>
          <t>Lighting</t>
        </is>
      </c>
      <c r="F28" t="inlineStr">
        <is>
          <t>Fluorescent</t>
        </is>
      </c>
      <c r="G28" t="inlineStr">
        <is>
          <t>Electricity</t>
        </is>
      </c>
      <c r="H28" t="inlineStr">
        <is>
          <t>COMELC</t>
        </is>
      </c>
      <c r="I28" t="inlineStr">
        <is>
          <t>COMHOTOldLTEUE</t>
        </is>
      </c>
      <c r="J28" t="inlineStr">
        <is>
          <t>COMHOTOldLTFLUELC19</t>
        </is>
      </c>
      <c r="K28" t="n">
        <v>11.97870118205155</v>
      </c>
      <c r="L28" t="n">
        <v>477.6463435327546</v>
      </c>
      <c r="M28" t="n">
        <v>0.2561510185022938</v>
      </c>
      <c r="N28" t="n">
        <v>122.3495973798116</v>
      </c>
      <c r="O28" t="n">
        <v>291.4535488142876</v>
      </c>
      <c r="P28" t="n">
        <v>505.9608751347939</v>
      </c>
      <c r="Q28" t="inlineStr">
        <is>
          <t>Mlma</t>
        </is>
      </c>
      <c r="R28" t="n">
        <v>2.382137375650891</v>
      </c>
      <c r="S28" t="n">
        <v>5</v>
      </c>
      <c r="T28" t="n">
        <v>1</v>
      </c>
      <c r="V28" t="n">
        <v>0.5760396962248137</v>
      </c>
      <c r="W28" t="n">
        <v>1</v>
      </c>
    </row>
    <row r="29">
      <c r="A29" t="inlineStr">
        <is>
          <t>Commercial</t>
        </is>
      </c>
      <c r="B29" t="inlineStr">
        <is>
          <t>Hotel</t>
        </is>
      </c>
      <c r="D29" t="inlineStr">
        <is>
          <t>Old</t>
        </is>
      </c>
      <c r="E29" t="inlineStr">
        <is>
          <t>Lighting</t>
        </is>
      </c>
      <c r="F29" t="inlineStr">
        <is>
          <t>Compact fluorescent</t>
        </is>
      </c>
      <c r="G29" t="inlineStr">
        <is>
          <t>Electricity</t>
        </is>
      </c>
      <c r="H29" t="inlineStr">
        <is>
          <t>COMELC</t>
        </is>
      </c>
      <c r="I29" t="inlineStr">
        <is>
          <t>COMHOTOldLTEUE</t>
        </is>
      </c>
      <c r="J29" t="inlineStr">
        <is>
          <t>COMHOTOldLTCFLELC19</t>
        </is>
      </c>
      <c r="K29" t="n">
        <v>11.97870118205155</v>
      </c>
      <c r="L29" t="n">
        <v>477.6463435327546</v>
      </c>
      <c r="M29" t="n">
        <v>0.1839083861435645</v>
      </c>
      <c r="N29" t="n">
        <v>87.84316818648351</v>
      </c>
      <c r="O29" t="n">
        <v>120.7915689445261</v>
      </c>
      <c r="P29" t="n">
        <v>305.4039419304467</v>
      </c>
      <c r="Q29" t="inlineStr">
        <is>
          <t>Mlma</t>
        </is>
      </c>
      <c r="R29" t="n">
        <v>1.375082108697354</v>
      </c>
      <c r="S29" t="n">
        <v>5</v>
      </c>
      <c r="T29" t="n">
        <v>5</v>
      </c>
      <c r="V29" t="n">
        <v>0.3955141121657015</v>
      </c>
      <c r="W29" t="n">
        <v>1</v>
      </c>
    </row>
    <row r="30">
      <c r="A30" t="inlineStr">
        <is>
          <t>Commercial</t>
        </is>
      </c>
      <c r="B30" t="inlineStr">
        <is>
          <t>Hotel</t>
        </is>
      </c>
      <c r="D30" t="inlineStr">
        <is>
          <t>Old</t>
        </is>
      </c>
      <c r="E30" t="inlineStr">
        <is>
          <t>Lighting</t>
        </is>
      </c>
      <c r="F30" t="inlineStr">
        <is>
          <t>Incandescent</t>
        </is>
      </c>
      <c r="G30" t="inlineStr">
        <is>
          <t>Electricity</t>
        </is>
      </c>
      <c r="H30" t="inlineStr">
        <is>
          <t>COMELC</t>
        </is>
      </c>
      <c r="I30" t="inlineStr">
        <is>
          <t>COMHOTOldLTEUE</t>
        </is>
      </c>
      <c r="J30" t="inlineStr">
        <is>
          <t>COMHOTOldLTINCELC19</t>
        </is>
      </c>
      <c r="K30" t="n">
        <v>11.97870118205155</v>
      </c>
      <c r="L30" t="n">
        <v>477.6463435327546</v>
      </c>
      <c r="M30" t="n">
        <v>0.1146277558053765</v>
      </c>
      <c r="N30" t="n">
        <v>54.75152842780358</v>
      </c>
      <c r="O30" t="n">
        <v>18.31821098902854</v>
      </c>
      <c r="P30" t="n">
        <v>63.77358123857533</v>
      </c>
      <c r="Q30" t="inlineStr">
        <is>
          <t>Mlma</t>
        </is>
      </c>
      <c r="R30" t="n">
        <v>0.3345698561307432</v>
      </c>
      <c r="S30" t="n">
        <v>0.5</v>
      </c>
      <c r="T30" t="n">
        <v>1</v>
      </c>
      <c r="V30" t="n">
        <v>0.2872382361671141</v>
      </c>
      <c r="W30" t="n">
        <v>1</v>
      </c>
    </row>
    <row r="31">
      <c r="A31" t="inlineStr">
        <is>
          <t>Commercial</t>
        </is>
      </c>
      <c r="B31" t="inlineStr">
        <is>
          <t>Hotel</t>
        </is>
      </c>
      <c r="D31" t="inlineStr">
        <is>
          <t>Old</t>
        </is>
      </c>
      <c r="E31" t="inlineStr">
        <is>
          <t>Lighting</t>
        </is>
      </c>
      <c r="F31" t="inlineStr">
        <is>
          <t>Halogen</t>
        </is>
      </c>
      <c r="G31" t="inlineStr">
        <is>
          <t>Electricity</t>
        </is>
      </c>
      <c r="H31" t="inlineStr">
        <is>
          <t>COMELC</t>
        </is>
      </c>
      <c r="I31" t="inlineStr">
        <is>
          <t>COMHOTOldLTEUE</t>
        </is>
      </c>
      <c r="J31" t="inlineStr">
        <is>
          <t>COMHOTOldLTHALELC19</t>
        </is>
      </c>
      <c r="K31" t="n">
        <v>11.97870118205155</v>
      </c>
      <c r="L31" t="n">
        <v>477.6463435327546</v>
      </c>
      <c r="M31" t="n">
        <v>0.03490036506460095</v>
      </c>
      <c r="N31" t="n">
        <v>16.67003176106493</v>
      </c>
      <c r="O31" t="n">
        <v>7.529341672792456</v>
      </c>
      <c r="P31" t="n">
        <v>33.31350184318912</v>
      </c>
      <c r="Q31" t="inlineStr">
        <is>
          <t>Mlma</t>
        </is>
      </c>
      <c r="R31" t="n">
        <v>0.4516693057765032</v>
      </c>
      <c r="S31" t="n">
        <v>5</v>
      </c>
      <c r="T31" t="n">
        <v>37</v>
      </c>
      <c r="V31" t="n">
        <v>0.2260147164424209</v>
      </c>
      <c r="W31" t="n">
        <v>1</v>
      </c>
    </row>
    <row r="32">
      <c r="A32" t="inlineStr">
        <is>
          <t>Commercial</t>
        </is>
      </c>
      <c r="B32" t="inlineStr">
        <is>
          <t>Hotel</t>
        </is>
      </c>
      <c r="D32" t="inlineStr">
        <is>
          <t>Old</t>
        </is>
      </c>
      <c r="E32" t="inlineStr">
        <is>
          <t>Lighting</t>
        </is>
      </c>
      <c r="F32" t="inlineStr">
        <is>
          <t>HID</t>
        </is>
      </c>
      <c r="G32" t="inlineStr">
        <is>
          <t>Electricity</t>
        </is>
      </c>
      <c r="H32" t="inlineStr">
        <is>
          <t>COMELC</t>
        </is>
      </c>
      <c r="I32" t="inlineStr">
        <is>
          <t>COMHOTOldLTEUE</t>
        </is>
      </c>
      <c r="J32" t="inlineStr">
        <is>
          <t>COMHOTOldLTHIDELC19</t>
        </is>
      </c>
      <c r="K32" t="n">
        <v>11.97870118205155</v>
      </c>
      <c r="L32" t="n">
        <v>477.6463435327546</v>
      </c>
      <c r="M32" t="n">
        <v>0.02088076468574228</v>
      </c>
      <c r="N32" t="n">
        <v>9.973620902312669</v>
      </c>
      <c r="O32" t="n">
        <v>18.87514925300603</v>
      </c>
      <c r="P32" t="n">
        <v>29.52288426557936</v>
      </c>
      <c r="Q32" t="inlineStr">
        <is>
          <t>Mlma</t>
        </is>
      </c>
      <c r="R32" t="n">
        <v>1.892507188500546</v>
      </c>
      <c r="S32" t="n">
        <v>0.5</v>
      </c>
      <c r="T32" t="n">
        <v>1</v>
      </c>
      <c r="V32" t="n">
        <v>0.6393396079871675</v>
      </c>
      <c r="W32" t="n">
        <v>1</v>
      </c>
    </row>
    <row r="33">
      <c r="A33" t="inlineStr">
        <is>
          <t>Commercial</t>
        </is>
      </c>
      <c r="B33" t="inlineStr">
        <is>
          <t>Hotel</t>
        </is>
      </c>
      <c r="D33" t="inlineStr">
        <is>
          <t>Old</t>
        </is>
      </c>
      <c r="E33" t="inlineStr">
        <is>
          <t>Lighting</t>
        </is>
      </c>
      <c r="F33" t="inlineStr">
        <is>
          <t>LED</t>
        </is>
      </c>
      <c r="G33" t="inlineStr">
        <is>
          <t>Electricity</t>
        </is>
      </c>
      <c r="H33" t="inlineStr">
        <is>
          <t>COMELC</t>
        </is>
      </c>
      <c r="I33" t="inlineStr">
        <is>
          <t>COMHOTOldLTEUE</t>
        </is>
      </c>
      <c r="J33" t="inlineStr">
        <is>
          <t>COMHOTOldLTLEDELC19</t>
        </is>
      </c>
      <c r="K33" t="n">
        <v>11.97870118205155</v>
      </c>
      <c r="L33" t="n">
        <v>477.6463435327546</v>
      </c>
      <c r="M33" t="n">
        <v>0.3895317097984224</v>
      </c>
      <c r="N33" t="n">
        <v>186.0583968752785</v>
      </c>
      <c r="O33" t="n">
        <v>352.1168535673521</v>
      </c>
      <c r="P33" t="n">
        <v>942.3928948045733</v>
      </c>
      <c r="Q33" t="inlineStr">
        <is>
          <t>Mlma</t>
        </is>
      </c>
      <c r="R33" t="n">
        <v>1.892507188500546</v>
      </c>
      <c r="S33" t="n">
        <v>5</v>
      </c>
      <c r="T33" t="n">
        <v>2</v>
      </c>
      <c r="V33" t="n">
        <v>0.3736412440167767</v>
      </c>
      <c r="W33" t="n">
        <v>1</v>
      </c>
    </row>
    <row r="34">
      <c r="A34" t="inlineStr">
        <is>
          <t>Commercial</t>
        </is>
      </c>
      <c r="B34" t="inlineStr">
        <is>
          <t>Hotel</t>
        </is>
      </c>
      <c r="D34" t="inlineStr">
        <is>
          <t>Old</t>
        </is>
      </c>
      <c r="E34" t="inlineStr">
        <is>
          <t>Lighting</t>
        </is>
      </c>
      <c r="F34" t="inlineStr">
        <is>
          <t>Other lighting</t>
        </is>
      </c>
      <c r="G34" t="inlineStr">
        <is>
          <t>Electricity</t>
        </is>
      </c>
      <c r="H34" t="inlineStr">
        <is>
          <t>COMELC</t>
        </is>
      </c>
      <c r="I34" t="inlineStr">
        <is>
          <t>COMHOTOldLTEUE</t>
        </is>
      </c>
      <c r="J34" t="inlineStr">
        <is>
          <t>COMHOTOldLTOTHELC19</t>
        </is>
      </c>
      <c r="K34" t="n">
        <v>11.97870118205155</v>
      </c>
      <c r="L34" t="n">
        <v>477.6463435327546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Mlma</t>
        </is>
      </c>
      <c r="R34" t="n">
        <v>0.9635611856565404</v>
      </c>
      <c r="S34" t="n">
        <v>0.5</v>
      </c>
      <c r="T34" t="n">
        <v>1</v>
      </c>
      <c r="V34" t="n">
        <v>0</v>
      </c>
      <c r="W34" t="n">
        <v>1</v>
      </c>
    </row>
    <row r="35">
      <c r="A35" t="inlineStr">
        <is>
          <t>Commercial</t>
        </is>
      </c>
      <c r="B35" t="inlineStr">
        <is>
          <t>Hotel</t>
        </is>
      </c>
      <c r="D35" t="inlineStr">
        <is>
          <t>Old</t>
        </is>
      </c>
      <c r="E35" t="inlineStr">
        <is>
          <t>Cooking</t>
        </is>
      </c>
      <c r="F35" t="inlineStr">
        <is>
          <t>Fuel oil</t>
        </is>
      </c>
      <c r="G35" t="inlineStr">
        <is>
          <t>Fuel oil</t>
        </is>
      </c>
      <c r="H35" t="inlineStr">
        <is>
          <t>COMFOI</t>
        </is>
      </c>
      <c r="I35" t="inlineStr">
        <is>
          <t>COMHOTOldCKEUE</t>
        </is>
      </c>
      <c r="J35" t="inlineStr">
        <is>
          <t>COMHOTOldCKFOI19</t>
        </is>
      </c>
      <c r="K35" t="n">
        <v>11.97870118205155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inlineStr">
        <is>
          <t>MW</t>
        </is>
      </c>
      <c r="R35" t="n">
        <v>0.45</v>
      </c>
      <c r="S35" t="n">
        <v>6</v>
      </c>
      <c r="T35" t="n">
        <v>8</v>
      </c>
      <c r="V35" t="n">
        <v>0.44</v>
      </c>
      <c r="W35" t="n">
        <v>31.536</v>
      </c>
    </row>
    <row r="36">
      <c r="A36" t="inlineStr">
        <is>
          <t>Commercial</t>
        </is>
      </c>
      <c r="B36" t="inlineStr">
        <is>
          <t>Hotel</t>
        </is>
      </c>
      <c r="D36" t="inlineStr">
        <is>
          <t>Old</t>
        </is>
      </c>
      <c r="E36" t="inlineStr">
        <is>
          <t>Cooking</t>
        </is>
      </c>
      <c r="F36" t="inlineStr">
        <is>
          <t>Natural gas</t>
        </is>
      </c>
      <c r="G36" t="inlineStr">
        <is>
          <t>Natural gas</t>
        </is>
      </c>
      <c r="H36" t="inlineStr">
        <is>
          <t>COMNGA</t>
        </is>
      </c>
      <c r="I36" t="inlineStr">
        <is>
          <t>COMHOTOldCKEUE</t>
        </is>
      </c>
      <c r="J36" t="inlineStr">
        <is>
          <t>COMHOTOldCKNGA19</t>
        </is>
      </c>
      <c r="K36" t="n">
        <v>11.97870118205155</v>
      </c>
      <c r="L36" t="n">
        <v>2326.660364647823</v>
      </c>
      <c r="M36" t="n">
        <v>1</v>
      </c>
      <c r="N36" t="n">
        <v>2326.660364647823</v>
      </c>
      <c r="O36" t="n">
        <v>1046.99716409152</v>
      </c>
      <c r="P36" t="n">
        <v>75.4546870021217</v>
      </c>
      <c r="Q36" t="inlineStr">
        <is>
          <t>MW</t>
        </is>
      </c>
      <c r="R36" t="n">
        <v>0.45</v>
      </c>
      <c r="S36" t="n">
        <v>6</v>
      </c>
      <c r="T36" t="n">
        <v>8</v>
      </c>
      <c r="V36" t="n">
        <v>0.44</v>
      </c>
      <c r="W36" t="n">
        <v>31.536</v>
      </c>
    </row>
    <row r="37">
      <c r="A37" t="inlineStr">
        <is>
          <t>Commercial</t>
        </is>
      </c>
      <c r="B37" t="inlineStr">
        <is>
          <t>Hotel</t>
        </is>
      </c>
      <c r="D37" t="inlineStr">
        <is>
          <t>Old</t>
        </is>
      </c>
      <c r="E37" t="inlineStr">
        <is>
          <t>Cooking</t>
        </is>
      </c>
      <c r="F37" t="inlineStr">
        <is>
          <t>Steam / Cooling</t>
        </is>
      </c>
      <c r="G37" t="inlineStr">
        <is>
          <t>Steam / Cooling</t>
        </is>
      </c>
      <c r="H37" t="inlineStr">
        <is>
          <t>COMSTM</t>
        </is>
      </c>
      <c r="I37" t="inlineStr">
        <is>
          <t>COMHOTOldCKEUE</t>
        </is>
      </c>
      <c r="J37" t="inlineStr">
        <is>
          <t>COMHOTOldCKSTM19</t>
        </is>
      </c>
      <c r="K37" t="n">
        <v>11.97870118205155</v>
      </c>
      <c r="L37" t="n">
        <v>1.791541027850889</v>
      </c>
      <c r="M37" t="n">
        <v>1</v>
      </c>
      <c r="N37" t="n">
        <v>1.791541027850889</v>
      </c>
      <c r="O37" t="n">
        <v>1.254078719495622</v>
      </c>
      <c r="P37" t="n">
        <v>0.09037858028743648</v>
      </c>
      <c r="Q37" t="inlineStr">
        <is>
          <t>MW</t>
        </is>
      </c>
      <c r="R37" t="n">
        <v>0.7</v>
      </c>
      <c r="S37" t="n">
        <v>6</v>
      </c>
      <c r="T37" t="n">
        <v>8</v>
      </c>
      <c r="V37" t="n">
        <v>0.44</v>
      </c>
      <c r="W37" t="n">
        <v>31.536</v>
      </c>
    </row>
    <row r="38">
      <c r="A38" t="inlineStr">
        <is>
          <t>Commercial</t>
        </is>
      </c>
      <c r="B38" t="inlineStr">
        <is>
          <t>Hotel</t>
        </is>
      </c>
      <c r="D38" t="inlineStr">
        <is>
          <t>Old</t>
        </is>
      </c>
      <c r="E38" t="inlineStr">
        <is>
          <t>Cooking</t>
        </is>
      </c>
      <c r="F38" t="inlineStr">
        <is>
          <t>Electricity</t>
        </is>
      </c>
      <c r="G38" t="inlineStr">
        <is>
          <t>Electricity</t>
        </is>
      </c>
      <c r="H38" t="inlineStr">
        <is>
          <t>COMELC</t>
        </is>
      </c>
      <c r="I38" t="inlineStr">
        <is>
          <t>COMHOTOldCKEUE</t>
        </is>
      </c>
      <c r="J38" t="inlineStr">
        <is>
          <t>COMHOTOldCKELC19</t>
        </is>
      </c>
      <c r="K38" t="n">
        <v>11.97870118205155</v>
      </c>
      <c r="L38" t="n">
        <v>228.2483362996168</v>
      </c>
      <c r="M38" t="n">
        <v>1</v>
      </c>
      <c r="N38" t="n">
        <v>228.2483362996168</v>
      </c>
      <c r="O38" t="n">
        <v>159.7738354097318</v>
      </c>
      <c r="P38" t="n">
        <v>11.5145342847519</v>
      </c>
      <c r="Q38" t="inlineStr">
        <is>
          <t>MW</t>
        </is>
      </c>
      <c r="R38" t="n">
        <v>0.7</v>
      </c>
      <c r="S38" t="n">
        <v>6</v>
      </c>
      <c r="T38" t="n">
        <v>8</v>
      </c>
      <c r="V38" t="n">
        <v>0.44</v>
      </c>
      <c r="W38" t="n">
        <v>31.536</v>
      </c>
    </row>
    <row r="39">
      <c r="A39" t="inlineStr">
        <is>
          <t>Commercial</t>
        </is>
      </c>
      <c r="B39" t="inlineStr">
        <is>
          <t>Hotel</t>
        </is>
      </c>
      <c r="D39" t="inlineStr">
        <is>
          <t>Old</t>
        </is>
      </c>
      <c r="E39" t="inlineStr">
        <is>
          <t>Refrigeration</t>
        </is>
      </c>
      <c r="F39" t="inlineStr">
        <is>
          <t>Electricity</t>
        </is>
      </c>
      <c r="G39" t="inlineStr">
        <is>
          <t>Electricity</t>
        </is>
      </c>
      <c r="H39" t="inlineStr">
        <is>
          <t>COMELC</t>
        </is>
      </c>
      <c r="I39" t="inlineStr">
        <is>
          <t>COMHOTOldREEUE</t>
        </is>
      </c>
      <c r="J39" t="inlineStr">
        <is>
          <t>COMHOTOldREELC19</t>
        </is>
      </c>
      <c r="K39" t="n">
        <v>11.97870118205155</v>
      </c>
      <c r="L39" t="n">
        <v>360.5108806143388</v>
      </c>
      <c r="M39" t="n">
        <v>1</v>
      </c>
      <c r="N39" t="n">
        <v>360.5108806143388</v>
      </c>
      <c r="O39" t="n">
        <v>360.5108806143388</v>
      </c>
      <c r="P39" t="n">
        <v>25.98119325491925</v>
      </c>
      <c r="Q39" t="inlineStr">
        <is>
          <t>MW</t>
        </is>
      </c>
      <c r="R39" t="n">
        <v>1</v>
      </c>
      <c r="S39" t="n">
        <v>5</v>
      </c>
      <c r="T39" t="n">
        <v>500</v>
      </c>
      <c r="V39" t="n">
        <v>0.44</v>
      </c>
      <c r="W39" t="n">
        <v>31.536</v>
      </c>
    </row>
    <row r="40">
      <c r="A40" t="inlineStr">
        <is>
          <t>Commercial</t>
        </is>
      </c>
      <c r="B40" t="inlineStr">
        <is>
          <t>Hotel</t>
        </is>
      </c>
      <c r="D40" t="inlineStr">
        <is>
          <t>Old</t>
        </is>
      </c>
      <c r="E40" t="inlineStr">
        <is>
          <t>Other end use</t>
        </is>
      </c>
      <c r="F40" t="inlineStr">
        <is>
          <t>Fuel oil</t>
        </is>
      </c>
      <c r="G40" t="inlineStr">
        <is>
          <t>Fuel oil</t>
        </is>
      </c>
      <c r="H40" t="inlineStr">
        <is>
          <t>COMFOI</t>
        </is>
      </c>
      <c r="I40" t="inlineStr">
        <is>
          <t>COMHOTOldOEEUE</t>
        </is>
      </c>
      <c r="J40" t="inlineStr">
        <is>
          <t>COMHOTOldOEFOI19</t>
        </is>
      </c>
      <c r="K40" t="n">
        <v>11.97870118205155</v>
      </c>
      <c r="L40" t="n">
        <v>173.3441263129309</v>
      </c>
      <c r="M40" t="n">
        <v>1</v>
      </c>
      <c r="N40" t="n">
        <v>173.3441263129309</v>
      </c>
      <c r="O40" t="n">
        <v>173.3441263129309</v>
      </c>
      <c r="P40" t="n">
        <v>393.9639234384792</v>
      </c>
      <c r="Q40" t="inlineStr">
        <is>
          <t>TJa</t>
        </is>
      </c>
      <c r="R40" t="n">
        <v>1</v>
      </c>
      <c r="S40" t="n">
        <v>12.5</v>
      </c>
      <c r="T40" t="n">
        <v>10</v>
      </c>
      <c r="V40" t="n">
        <v>0.44</v>
      </c>
      <c r="W40" t="n">
        <v>1</v>
      </c>
    </row>
    <row r="41">
      <c r="A41" t="inlineStr">
        <is>
          <t>Commercial</t>
        </is>
      </c>
      <c r="B41" t="inlineStr">
        <is>
          <t>Hotel</t>
        </is>
      </c>
      <c r="D41" t="inlineStr">
        <is>
          <t>Old</t>
        </is>
      </c>
      <c r="E41" t="inlineStr">
        <is>
          <t>Other end use</t>
        </is>
      </c>
      <c r="F41" t="inlineStr">
        <is>
          <t>Natural gas</t>
        </is>
      </c>
      <c r="G41" t="inlineStr">
        <is>
          <t>Natural gas</t>
        </is>
      </c>
      <c r="H41" t="inlineStr">
        <is>
          <t>COMNGA</t>
        </is>
      </c>
      <c r="I41" t="inlineStr">
        <is>
          <t>COMHOTOldOEEUE</t>
        </is>
      </c>
      <c r="J41" t="inlineStr">
        <is>
          <t>COMHOTOldOENGA19</t>
        </is>
      </c>
      <c r="K41" t="n">
        <v>11.97870118205155</v>
      </c>
      <c r="L41" t="n">
        <v>1000.955807435619</v>
      </c>
      <c r="M41" t="n">
        <v>1</v>
      </c>
      <c r="N41" t="n">
        <v>1000.955807435619</v>
      </c>
      <c r="O41" t="n">
        <v>1000.955807435619</v>
      </c>
      <c r="P41" t="n">
        <v>2274.899562353679</v>
      </c>
      <c r="Q41" t="inlineStr">
        <is>
          <t>TJa</t>
        </is>
      </c>
      <c r="R41" t="n">
        <v>1</v>
      </c>
      <c r="S41" t="n">
        <v>12.5</v>
      </c>
      <c r="T41" t="n">
        <v>10</v>
      </c>
      <c r="V41" t="n">
        <v>0.44</v>
      </c>
      <c r="W41" t="n">
        <v>1</v>
      </c>
    </row>
    <row r="42">
      <c r="A42" t="inlineStr">
        <is>
          <t>Commercial</t>
        </is>
      </c>
      <c r="B42" t="inlineStr">
        <is>
          <t>Hotel</t>
        </is>
      </c>
      <c r="D42" t="inlineStr">
        <is>
          <t>Old</t>
        </is>
      </c>
      <c r="E42" t="inlineStr">
        <is>
          <t>Other end use</t>
        </is>
      </c>
      <c r="F42" t="inlineStr">
        <is>
          <t>Steam / Cooling</t>
        </is>
      </c>
      <c r="G42" t="inlineStr">
        <is>
          <t>Steam / Cooling</t>
        </is>
      </c>
      <c r="H42" t="inlineStr">
        <is>
          <t>COMSTM</t>
        </is>
      </c>
      <c r="I42" t="inlineStr">
        <is>
          <t>COMHOTOldOEEUE</t>
        </is>
      </c>
      <c r="J42" t="inlineStr">
        <is>
          <t>COMHOTOldOESTM19</t>
        </is>
      </c>
      <c r="K42" t="n">
        <v>11.97870118205155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inlineStr">
        <is>
          <t>TJa</t>
        </is>
      </c>
      <c r="R42" t="n">
        <v>1</v>
      </c>
      <c r="S42" t="n">
        <v>12.5</v>
      </c>
      <c r="T42" t="n">
        <v>10</v>
      </c>
      <c r="V42" t="n">
        <v>0.44</v>
      </c>
      <c r="W42" t="n">
        <v>1</v>
      </c>
    </row>
    <row r="43">
      <c r="A43" t="inlineStr">
        <is>
          <t>Commercial</t>
        </is>
      </c>
      <c r="B43" t="inlineStr">
        <is>
          <t>Hotel</t>
        </is>
      </c>
      <c r="D43" t="inlineStr">
        <is>
          <t>Old</t>
        </is>
      </c>
      <c r="E43" t="inlineStr">
        <is>
          <t>Other end use</t>
        </is>
      </c>
      <c r="F43" t="inlineStr">
        <is>
          <t>Electricity</t>
        </is>
      </c>
      <c r="G43" t="inlineStr">
        <is>
          <t>Electricity</t>
        </is>
      </c>
      <c r="H43" t="inlineStr">
        <is>
          <t>COMELC</t>
        </is>
      </c>
      <c r="I43" t="inlineStr">
        <is>
          <t>COMHOTOldOEEUE</t>
        </is>
      </c>
      <c r="J43" t="inlineStr">
        <is>
          <t>COMHOTOldOEELC19</t>
        </is>
      </c>
      <c r="K43" t="n">
        <v>11.97870118205155</v>
      </c>
      <c r="L43" t="n">
        <v>1250.751147434904</v>
      </c>
      <c r="M43" t="n">
        <v>1</v>
      </c>
      <c r="N43" t="n">
        <v>1250.751147434904</v>
      </c>
      <c r="O43" t="n">
        <v>1250.751147434904</v>
      </c>
      <c r="P43" t="n">
        <v>2842.616244170236</v>
      </c>
      <c r="Q43" t="inlineStr">
        <is>
          <t>TJa</t>
        </is>
      </c>
      <c r="R43" t="n">
        <v>1</v>
      </c>
      <c r="S43" t="n">
        <v>12.5</v>
      </c>
      <c r="T43" t="n">
        <v>10</v>
      </c>
      <c r="V43" t="n">
        <v>0.44</v>
      </c>
      <c r="W43" t="n">
        <v>1</v>
      </c>
    </row>
    <row r="44">
      <c r="A44" t="inlineStr">
        <is>
          <t>Commercial</t>
        </is>
      </c>
      <c r="B44" t="inlineStr">
        <is>
          <t>Retail</t>
        </is>
      </c>
      <c r="D44" t="inlineStr">
        <is>
          <t>Old</t>
        </is>
      </c>
      <c r="E44" t="inlineStr">
        <is>
          <t>Space heating</t>
        </is>
      </c>
      <c r="F44" t="inlineStr">
        <is>
          <t>Electric furnace</t>
        </is>
      </c>
      <c r="G44" t="inlineStr">
        <is>
          <t>Electricity</t>
        </is>
      </c>
      <c r="H44" t="inlineStr">
        <is>
          <t>COMELC</t>
        </is>
      </c>
      <c r="I44" t="inlineStr">
        <is>
          <t>COMRETOldSHEUE</t>
        </is>
      </c>
      <c r="J44" t="inlineStr">
        <is>
          <t>COMRETOldSHFURELC19</t>
        </is>
      </c>
      <c r="K44" t="n">
        <v>23.08105645370456</v>
      </c>
      <c r="L44" t="n">
        <v>530.9942991912013</v>
      </c>
      <c r="M44" t="n">
        <v>0.9462519415706577</v>
      </c>
      <c r="N44" t="n">
        <v>502.454386572625</v>
      </c>
      <c r="O44" t="n">
        <v>492.4052988411725</v>
      </c>
      <c r="P44" t="n">
        <v>81.34300506555141</v>
      </c>
      <c r="Q44" t="inlineStr">
        <is>
          <t>MW</t>
        </is>
      </c>
      <c r="R44" t="n">
        <v>0.98</v>
      </c>
      <c r="S44" t="n">
        <v>7.5</v>
      </c>
      <c r="T44" t="n">
        <v>1</v>
      </c>
      <c r="V44" t="n">
        <v>0.1919534394552328</v>
      </c>
      <c r="W44" t="n">
        <v>31.536</v>
      </c>
    </row>
    <row r="45">
      <c r="A45" t="inlineStr">
        <is>
          <t>Commercial</t>
        </is>
      </c>
      <c r="B45" t="inlineStr">
        <is>
          <t>Retail</t>
        </is>
      </c>
      <c r="D45" t="inlineStr">
        <is>
          <t>Old</t>
        </is>
      </c>
      <c r="E45" t="inlineStr">
        <is>
          <t>Space heating</t>
        </is>
      </c>
      <c r="F45" t="inlineStr">
        <is>
          <t>Electric boiler</t>
        </is>
      </c>
      <c r="G45" t="inlineStr">
        <is>
          <t>Electricity</t>
        </is>
      </c>
      <c r="H45" t="inlineStr">
        <is>
          <t>COMELC</t>
        </is>
      </c>
      <c r="I45" t="inlineStr">
        <is>
          <t>COMRETOldSHEUE</t>
        </is>
      </c>
      <c r="J45" t="inlineStr">
        <is>
          <t>COMRETOldSHBOIELC19</t>
        </is>
      </c>
      <c r="K45" t="n">
        <v>23.08105645370456</v>
      </c>
      <c r="L45" t="n">
        <v>530.9942991912013</v>
      </c>
      <c r="M45" t="n">
        <v>0.00936715854220161</v>
      </c>
      <c r="N45" t="n">
        <v>4.973907785529219</v>
      </c>
      <c r="O45" t="n">
        <v>4.661048985819431</v>
      </c>
      <c r="P45" t="n">
        <v>1.97352251127177</v>
      </c>
      <c r="Q45" t="inlineStr">
        <is>
          <t>MW</t>
        </is>
      </c>
      <c r="R45" t="n">
        <v>0.9370999999999999</v>
      </c>
      <c r="S45" t="n">
        <v>7.5</v>
      </c>
      <c r="T45" t="n">
        <v>1</v>
      </c>
      <c r="V45" t="n">
        <v>0.07489192189210235</v>
      </c>
      <c r="W45" t="n">
        <v>31.536</v>
      </c>
    </row>
    <row r="46">
      <c r="A46" t="inlineStr">
        <is>
          <t>Commercial</t>
        </is>
      </c>
      <c r="B46" t="inlineStr">
        <is>
          <t>Retail</t>
        </is>
      </c>
      <c r="D46" t="inlineStr">
        <is>
          <t>Old</t>
        </is>
      </c>
      <c r="E46" t="inlineStr">
        <is>
          <t>Space heating</t>
        </is>
      </c>
      <c r="F46" t="inlineStr">
        <is>
          <t>Electric air heat pump</t>
        </is>
      </c>
      <c r="G46" t="inlineStr">
        <is>
          <t>Electricity</t>
        </is>
      </c>
      <c r="H46" t="inlineStr">
        <is>
          <t>COMELC</t>
        </is>
      </c>
      <c r="I46" t="inlineStr">
        <is>
          <t>COMRETOldSHEUE</t>
        </is>
      </c>
      <c r="J46" t="inlineStr">
        <is>
          <t>COMRETOldSHAHPELC19</t>
        </is>
      </c>
      <c r="K46" t="n">
        <v>23.08105645370456</v>
      </c>
      <c r="L46" t="n">
        <v>530.9942991912013</v>
      </c>
      <c r="M46" t="n">
        <v>0.04438089988714071</v>
      </c>
      <c r="N46" t="n">
        <v>23.56600483304715</v>
      </c>
      <c r="O46" t="n">
        <v>73.05461498244615</v>
      </c>
      <c r="P46" t="n">
        <v>7.836291610605257</v>
      </c>
      <c r="Q46" t="inlineStr">
        <is>
          <t>MW</t>
        </is>
      </c>
      <c r="R46" t="n">
        <v>3.1</v>
      </c>
      <c r="S46" t="n">
        <v>10.5</v>
      </c>
      <c r="T46" t="n">
        <v>14.33104807576899</v>
      </c>
      <c r="V46" t="n">
        <v>0.2956177181324235</v>
      </c>
      <c r="W46" t="n">
        <v>31.536</v>
      </c>
    </row>
    <row r="47">
      <c r="A47" t="inlineStr">
        <is>
          <t>Commercial</t>
        </is>
      </c>
      <c r="B47" t="inlineStr">
        <is>
          <t>Retail</t>
        </is>
      </c>
      <c r="D47" t="inlineStr">
        <is>
          <t>Old</t>
        </is>
      </c>
      <c r="E47" t="inlineStr">
        <is>
          <t>Space heating</t>
        </is>
      </c>
      <c r="F47" t="inlineStr">
        <is>
          <t>Electric ground heat pump</t>
        </is>
      </c>
      <c r="G47" t="inlineStr">
        <is>
          <t>Electricity</t>
        </is>
      </c>
      <c r="H47" t="inlineStr">
        <is>
          <t>COMELC</t>
        </is>
      </c>
      <c r="I47" t="inlineStr">
        <is>
          <t>COMRETOldSHEUE</t>
        </is>
      </c>
      <c r="J47" t="inlineStr">
        <is>
          <t>COMRETOldSHGHPELC19</t>
        </is>
      </c>
      <c r="K47" t="n">
        <v>23.08105645370456</v>
      </c>
      <c r="L47" t="n">
        <v>530.9942991912013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MW</t>
        </is>
      </c>
      <c r="R47" t="n">
        <v>3.4</v>
      </c>
      <c r="S47" t="n">
        <v>7.2</v>
      </c>
      <c r="T47" t="n">
        <v>13.00195893970977</v>
      </c>
      <c r="V47" t="n">
        <v>0.3242258844033032</v>
      </c>
      <c r="W47" t="n">
        <v>31.536</v>
      </c>
    </row>
    <row r="48">
      <c r="A48" t="inlineStr">
        <is>
          <t>Commercial</t>
        </is>
      </c>
      <c r="B48" t="inlineStr">
        <is>
          <t>Retail</t>
        </is>
      </c>
      <c r="D48" t="inlineStr">
        <is>
          <t>Old</t>
        </is>
      </c>
      <c r="E48" t="inlineStr">
        <is>
          <t>Space heating</t>
        </is>
      </c>
      <c r="F48" t="inlineStr">
        <is>
          <t>Natural gas furnace</t>
        </is>
      </c>
      <c r="G48" t="inlineStr">
        <is>
          <t>Natural gas</t>
        </is>
      </c>
      <c r="H48" t="inlineStr">
        <is>
          <t>COMNGA</t>
        </is>
      </c>
      <c r="I48" t="inlineStr">
        <is>
          <t>COMRETOldSHEUE</t>
        </is>
      </c>
      <c r="J48" t="inlineStr">
        <is>
          <t>COMRETOldSHFURNGA19</t>
        </is>
      </c>
      <c r="K48" t="n">
        <v>23.08105645370456</v>
      </c>
      <c r="L48" t="n">
        <v>5114.455090172735</v>
      </c>
      <c r="M48" t="n">
        <v>0.9736287499354161</v>
      </c>
      <c r="N48" t="n">
        <v>4979.580516045707</v>
      </c>
      <c r="O48" t="n">
        <v>3537.991956650475</v>
      </c>
      <c r="P48" t="n">
        <v>421.9036567601335</v>
      </c>
      <c r="Q48" t="inlineStr">
        <is>
          <t>MW</t>
        </is>
      </c>
      <c r="R48" t="n">
        <v>0.7105</v>
      </c>
      <c r="S48" t="n">
        <v>11.5</v>
      </c>
      <c r="T48" t="n">
        <v>2.023541839846751</v>
      </c>
      <c r="V48" t="n">
        <v>0.2659113927742088</v>
      </c>
      <c r="W48" t="n">
        <v>31.536</v>
      </c>
    </row>
    <row r="49">
      <c r="A49" t="inlineStr">
        <is>
          <t>Commercial</t>
        </is>
      </c>
      <c r="B49" t="inlineStr">
        <is>
          <t>Retail</t>
        </is>
      </c>
      <c r="D49" t="inlineStr">
        <is>
          <t>Old</t>
        </is>
      </c>
      <c r="E49" t="inlineStr">
        <is>
          <t>Space heating</t>
        </is>
      </c>
      <c r="F49" t="inlineStr">
        <is>
          <t>Natural gas boiler</t>
        </is>
      </c>
      <c r="G49" t="inlineStr">
        <is>
          <t>Natural gas</t>
        </is>
      </c>
      <c r="H49" t="inlineStr">
        <is>
          <t>COMNGA</t>
        </is>
      </c>
      <c r="I49" t="inlineStr">
        <is>
          <t>COMRETOldSHEUE</t>
        </is>
      </c>
      <c r="J49" t="inlineStr">
        <is>
          <t>COMRETOldSHBOINGA19</t>
        </is>
      </c>
      <c r="K49" t="n">
        <v>23.08105645370456</v>
      </c>
      <c r="L49" t="n">
        <v>5114.455090172735</v>
      </c>
      <c r="M49" t="n">
        <v>0.01400493715462596</v>
      </c>
      <c r="N49" t="n">
        <v>71.62762211802601</v>
      </c>
      <c r="O49" t="n">
        <v>54.43699280969977</v>
      </c>
      <c r="P49" t="n">
        <v>24.67925255710879</v>
      </c>
      <c r="Q49" t="inlineStr">
        <is>
          <t>MW</t>
        </is>
      </c>
      <c r="R49" t="n">
        <v>0.76</v>
      </c>
      <c r="S49" t="n">
        <v>12.5</v>
      </c>
      <c r="T49" t="n">
        <v>11.35759354439353</v>
      </c>
      <c r="V49" t="n">
        <v>0.069944813532047</v>
      </c>
      <c r="W49" t="n">
        <v>31.536</v>
      </c>
    </row>
    <row r="50">
      <c r="A50" t="inlineStr">
        <is>
          <t>Commercial</t>
        </is>
      </c>
      <c r="B50" t="inlineStr">
        <is>
          <t>Retail</t>
        </is>
      </c>
      <c r="D50" t="inlineStr">
        <is>
          <t>Old</t>
        </is>
      </c>
      <c r="E50" t="inlineStr">
        <is>
          <t>Space heating</t>
        </is>
      </c>
      <c r="F50" t="inlineStr">
        <is>
          <t>Natural gas heat pump</t>
        </is>
      </c>
      <c r="G50" t="inlineStr">
        <is>
          <t>Natural gas</t>
        </is>
      </c>
      <c r="H50" t="inlineStr">
        <is>
          <t>COMNGA</t>
        </is>
      </c>
      <c r="I50" t="inlineStr">
        <is>
          <t>COMRETOldSHEUE</t>
        </is>
      </c>
      <c r="J50" t="inlineStr">
        <is>
          <t>COMRETOldSHAHPNGA19</t>
        </is>
      </c>
      <c r="K50" t="n">
        <v>23.08105645370456</v>
      </c>
      <c r="L50" t="n">
        <v>5114.455090172735</v>
      </c>
      <c r="M50" t="n">
        <v>0.01236631290995801</v>
      </c>
      <c r="N50" t="n">
        <v>63.24695200900356</v>
      </c>
      <c r="O50" t="n">
        <v>82.22103761170463</v>
      </c>
      <c r="P50" t="n">
        <v>7.18343289032829</v>
      </c>
      <c r="Q50" t="inlineStr">
        <is>
          <t>MW</t>
        </is>
      </c>
      <c r="R50" t="n">
        <v>1.3</v>
      </c>
      <c r="S50" t="n">
        <v>7.5</v>
      </c>
      <c r="T50" t="n">
        <v>12</v>
      </c>
      <c r="V50" t="n">
        <v>0.3629479162903805</v>
      </c>
      <c r="W50" t="n">
        <v>31.536</v>
      </c>
    </row>
    <row r="51">
      <c r="A51" t="inlineStr">
        <is>
          <t>Commercial</t>
        </is>
      </c>
      <c r="B51" t="inlineStr">
        <is>
          <t>Retail</t>
        </is>
      </c>
      <c r="D51" t="inlineStr">
        <is>
          <t>Old</t>
        </is>
      </c>
      <c r="E51" t="inlineStr">
        <is>
          <t>Space heating</t>
        </is>
      </c>
      <c r="F51" t="inlineStr">
        <is>
          <t>Fuel oil boiler</t>
        </is>
      </c>
      <c r="G51" t="inlineStr">
        <is>
          <t>Fuel oil</t>
        </is>
      </c>
      <c r="H51" t="inlineStr">
        <is>
          <t>COMFOI</t>
        </is>
      </c>
      <c r="I51" t="inlineStr">
        <is>
          <t>COMRETOldSHEUE</t>
        </is>
      </c>
      <c r="J51" t="inlineStr">
        <is>
          <t>COMRETOldSHBOIFOI19</t>
        </is>
      </c>
      <c r="K51" t="n">
        <v>23.08105645370456</v>
      </c>
      <c r="L51" t="n">
        <v>575.2840652563581</v>
      </c>
      <c r="M51" t="n">
        <v>0.9001514863131204</v>
      </c>
      <c r="N51" t="n">
        <v>517.8428063927648</v>
      </c>
      <c r="O51" t="n">
        <v>409.0958170502842</v>
      </c>
      <c r="P51" t="n">
        <v>65.38766148101215</v>
      </c>
      <c r="Q51" t="inlineStr">
        <is>
          <t>MW</t>
        </is>
      </c>
      <c r="R51" t="n">
        <v>0.79</v>
      </c>
      <c r="S51" t="n">
        <v>12.5</v>
      </c>
      <c r="T51" t="n">
        <v>14</v>
      </c>
      <c r="V51" t="n">
        <v>0.1983913014515705</v>
      </c>
      <c r="W51" t="n">
        <v>31.536</v>
      </c>
    </row>
    <row r="52">
      <c r="A52" t="inlineStr">
        <is>
          <t>Commercial</t>
        </is>
      </c>
      <c r="B52" t="inlineStr">
        <is>
          <t>Retail</t>
        </is>
      </c>
      <c r="D52" t="inlineStr">
        <is>
          <t>Old</t>
        </is>
      </c>
      <c r="E52" t="inlineStr">
        <is>
          <t>Space heating</t>
        </is>
      </c>
      <c r="F52" t="inlineStr">
        <is>
          <t>Fuel oil furnace</t>
        </is>
      </c>
      <c r="G52" t="inlineStr">
        <is>
          <t>Fuel oil</t>
        </is>
      </c>
      <c r="H52" t="inlineStr">
        <is>
          <t>COMFOI</t>
        </is>
      </c>
      <c r="I52" t="inlineStr">
        <is>
          <t>COMRETOldSHEUE</t>
        </is>
      </c>
      <c r="J52" t="inlineStr">
        <is>
          <t>COMRETOldSHFURFOI19</t>
        </is>
      </c>
      <c r="K52" t="n">
        <v>23.08105645370456</v>
      </c>
      <c r="L52" t="n">
        <v>575.2840652563581</v>
      </c>
      <c r="M52" t="n">
        <v>0.09984851368687964</v>
      </c>
      <c r="N52" t="n">
        <v>57.44125886359323</v>
      </c>
      <c r="O52" t="n">
        <v>43.68407736576265</v>
      </c>
      <c r="P52" t="n">
        <v>7.253068968514494</v>
      </c>
      <c r="Q52" t="inlineStr">
        <is>
          <t>MW</t>
        </is>
      </c>
      <c r="R52" t="n">
        <v>0.7605</v>
      </c>
      <c r="S52" t="n">
        <v>11.5</v>
      </c>
      <c r="T52" t="n">
        <v>4</v>
      </c>
      <c r="V52" t="n">
        <v>0.1909830186758473</v>
      </c>
      <c r="W52" t="n">
        <v>31.536</v>
      </c>
    </row>
    <row r="53">
      <c r="A53" t="inlineStr">
        <is>
          <t>Commercial</t>
        </is>
      </c>
      <c r="B53" t="inlineStr">
        <is>
          <t>Retail</t>
        </is>
      </c>
      <c r="D53" t="inlineStr">
        <is>
          <t>Old</t>
        </is>
      </c>
      <c r="E53" t="inlineStr">
        <is>
          <t>Space heating</t>
        </is>
      </c>
      <c r="F53" t="inlineStr">
        <is>
          <t>Propane furnace</t>
        </is>
      </c>
      <c r="G53" t="inlineStr">
        <is>
          <t>LPG</t>
        </is>
      </c>
      <c r="H53" t="inlineStr">
        <is>
          <t>COMLPG</t>
        </is>
      </c>
      <c r="I53" t="inlineStr">
        <is>
          <t>COMRETOldSHEUE</t>
        </is>
      </c>
      <c r="J53" t="inlineStr">
        <is>
          <t>COMRETOldSHFURPRO19</t>
        </is>
      </c>
      <c r="K53" t="n">
        <v>23.08105645370456</v>
      </c>
      <c r="L53" t="n">
        <v>0</v>
      </c>
      <c r="M53" t="n">
        <v>0.2728726252756272</v>
      </c>
      <c r="N53" t="n">
        <v>0</v>
      </c>
      <c r="O53" t="n">
        <v>0</v>
      </c>
      <c r="P53" t="n">
        <v>0</v>
      </c>
      <c r="Q53" t="inlineStr">
        <is>
          <t>MW</t>
        </is>
      </c>
      <c r="R53" t="n">
        <v>0.7105</v>
      </c>
      <c r="S53" t="n">
        <v>11.5</v>
      </c>
      <c r="T53" t="n">
        <v>2.023541839846751</v>
      </c>
      <c r="V53" t="n">
        <v>0.2659113927742088</v>
      </c>
      <c r="W53" t="n">
        <v>31.536</v>
      </c>
    </row>
    <row r="54">
      <c r="A54" t="inlineStr">
        <is>
          <t>Commercial</t>
        </is>
      </c>
      <c r="B54" t="inlineStr">
        <is>
          <t>Retail</t>
        </is>
      </c>
      <c r="D54" t="inlineStr">
        <is>
          <t>Old</t>
        </is>
      </c>
      <c r="E54" t="inlineStr">
        <is>
          <t>Space heating</t>
        </is>
      </c>
      <c r="F54" t="inlineStr">
        <is>
          <t>Propane boiler</t>
        </is>
      </c>
      <c r="G54" t="inlineStr">
        <is>
          <t>LPG</t>
        </is>
      </c>
      <c r="H54" t="inlineStr">
        <is>
          <t>COMLPG</t>
        </is>
      </c>
      <c r="I54" t="inlineStr">
        <is>
          <t>COMRETOldSHEUE</t>
        </is>
      </c>
      <c r="J54" t="inlineStr">
        <is>
          <t>COMRETOldSHBOIPRO19</t>
        </is>
      </c>
      <c r="K54" t="n">
        <v>23.08105645370456</v>
      </c>
      <c r="L54" t="n">
        <v>0</v>
      </c>
      <c r="M54" t="n">
        <v>0.0120827051493011</v>
      </c>
      <c r="N54" t="n">
        <v>0</v>
      </c>
      <c r="O54" t="n">
        <v>0</v>
      </c>
      <c r="P54" t="n">
        <v>0</v>
      </c>
      <c r="Q54" t="inlineStr">
        <is>
          <t>MW</t>
        </is>
      </c>
      <c r="R54" t="n">
        <v>0.76</v>
      </c>
      <c r="S54" t="n">
        <v>12.5</v>
      </c>
      <c r="T54" t="n">
        <v>11.35759354439353</v>
      </c>
      <c r="V54" t="n">
        <v>0.069944813532047</v>
      </c>
      <c r="W54" t="n">
        <v>31.536</v>
      </c>
    </row>
    <row r="55">
      <c r="A55" t="inlineStr">
        <is>
          <t>Commercial</t>
        </is>
      </c>
      <c r="B55" t="inlineStr">
        <is>
          <t>Retail</t>
        </is>
      </c>
      <c r="D55" t="inlineStr">
        <is>
          <t>Old</t>
        </is>
      </c>
      <c r="E55" t="inlineStr">
        <is>
          <t>Space heating</t>
        </is>
      </c>
      <c r="F55" t="inlineStr">
        <is>
          <t>Propane heat pump</t>
        </is>
      </c>
      <c r="G55" t="inlineStr">
        <is>
          <t>LPG</t>
        </is>
      </c>
      <c r="H55" t="inlineStr">
        <is>
          <t>COMLPG</t>
        </is>
      </c>
      <c r="I55" t="inlineStr">
        <is>
          <t>COMRETOldSHEUE</t>
        </is>
      </c>
      <c r="J55" t="inlineStr">
        <is>
          <t>COMRETOldSHAHPPRO19</t>
        </is>
      </c>
      <c r="K55" t="n">
        <v>23.08105645370456</v>
      </c>
      <c r="L55" t="n">
        <v>0</v>
      </c>
      <c r="M55" t="n">
        <v>0.7150446695750717</v>
      </c>
      <c r="N55" t="n">
        <v>0</v>
      </c>
      <c r="O55" t="n">
        <v>0</v>
      </c>
      <c r="P55" t="n">
        <v>0</v>
      </c>
      <c r="Q55" t="inlineStr">
        <is>
          <t>MW</t>
        </is>
      </c>
      <c r="R55" t="n">
        <v>1.3</v>
      </c>
      <c r="S55" t="n">
        <v>7.5</v>
      </c>
      <c r="T55" t="n">
        <v>12</v>
      </c>
      <c r="V55" t="n">
        <v>0.3629479162903805</v>
      </c>
      <c r="W55" t="n">
        <v>31.536</v>
      </c>
    </row>
    <row r="56">
      <c r="A56" t="inlineStr">
        <is>
          <t>Commercial</t>
        </is>
      </c>
      <c r="B56" t="inlineStr">
        <is>
          <t>Retail</t>
        </is>
      </c>
      <c r="D56" t="inlineStr">
        <is>
          <t>Old</t>
        </is>
      </c>
      <c r="E56" t="inlineStr">
        <is>
          <t>Space heating</t>
        </is>
      </c>
      <c r="F56" t="inlineStr">
        <is>
          <t>District steam heating system</t>
        </is>
      </c>
      <c r="G56" t="inlineStr">
        <is>
          <t>Steam / Cooling</t>
        </is>
      </c>
      <c r="H56" t="inlineStr">
        <is>
          <t>COMSTM</t>
        </is>
      </c>
      <c r="I56" t="inlineStr">
        <is>
          <t>COMRETOldSHEUE</t>
        </is>
      </c>
      <c r="J56" t="inlineStr">
        <is>
          <t>COMRETOldSHDHESTM19</t>
        </is>
      </c>
      <c r="K56" t="n">
        <v>23.08105645370456</v>
      </c>
      <c r="L56" t="n">
        <v>167.1662808824643</v>
      </c>
      <c r="M56" t="n">
        <v>1</v>
      </c>
      <c r="N56" t="n">
        <v>167.1662808824643</v>
      </c>
      <c r="O56" t="n">
        <v>156.6515218149572</v>
      </c>
      <c r="P56" t="n">
        <v>12.79649230407362</v>
      </c>
      <c r="Q56" t="inlineStr">
        <is>
          <t>MW</t>
        </is>
      </c>
      <c r="R56" t="n">
        <v>0.9370999999999999</v>
      </c>
      <c r="S56" t="n">
        <v>12.5</v>
      </c>
      <c r="T56" t="n">
        <v>1</v>
      </c>
      <c r="V56" t="n">
        <v>0.3881835000292339</v>
      </c>
      <c r="W56" t="n">
        <v>31.536</v>
      </c>
    </row>
    <row r="57">
      <c r="A57" t="inlineStr">
        <is>
          <t>Commercial</t>
        </is>
      </c>
      <c r="B57" t="inlineStr">
        <is>
          <t>Retail</t>
        </is>
      </c>
      <c r="D57" t="inlineStr">
        <is>
          <t>Old</t>
        </is>
      </c>
      <c r="E57" t="inlineStr">
        <is>
          <t>Space cooling</t>
        </is>
      </c>
      <c r="F57" t="inlineStr">
        <is>
          <t>Res type central AC electric</t>
        </is>
      </c>
      <c r="G57" t="inlineStr">
        <is>
          <t>Electricity</t>
        </is>
      </c>
      <c r="H57" t="inlineStr">
        <is>
          <t>COMELC</t>
        </is>
      </c>
      <c r="I57" t="inlineStr">
        <is>
          <t>COMRETOldSCEUE</t>
        </is>
      </c>
      <c r="J57" t="inlineStr">
        <is>
          <t>COMRETOldSCRESELC19</t>
        </is>
      </c>
      <c r="K57" t="n">
        <v>23.08105645370456</v>
      </c>
      <c r="L57" t="n">
        <v>372.2624873110673</v>
      </c>
      <c r="M57" t="n">
        <v>0.00695376630245092</v>
      </c>
      <c r="N57" t="n">
        <v>2.588626339930263</v>
      </c>
      <c r="O57" t="n">
        <v>8.648986012662661</v>
      </c>
      <c r="P57" t="n">
        <v>3.231774402525217</v>
      </c>
      <c r="Q57" t="inlineStr">
        <is>
          <t>MW</t>
        </is>
      </c>
      <c r="R57" t="n">
        <v>3.341148886283705</v>
      </c>
      <c r="S57" t="n">
        <v>9</v>
      </c>
      <c r="T57" t="n">
        <v>8</v>
      </c>
      <c r="V57" t="n">
        <v>0.0848628379251118</v>
      </c>
      <c r="W57" t="n">
        <v>31.536</v>
      </c>
    </row>
    <row r="58">
      <c r="A58" t="inlineStr">
        <is>
          <t>Commercial</t>
        </is>
      </c>
      <c r="B58" t="inlineStr">
        <is>
          <t>Retail</t>
        </is>
      </c>
      <c r="D58" t="inlineStr">
        <is>
          <t>Old</t>
        </is>
      </c>
      <c r="E58" t="inlineStr">
        <is>
          <t>Space cooling</t>
        </is>
      </c>
      <c r="F58" t="inlineStr">
        <is>
          <t>Room AC electric</t>
        </is>
      </c>
      <c r="G58" t="inlineStr">
        <is>
          <t>Electricity</t>
        </is>
      </c>
      <c r="H58" t="inlineStr">
        <is>
          <t>COMELC</t>
        </is>
      </c>
      <c r="I58" t="inlineStr">
        <is>
          <t>COMRETOldSCEUE</t>
        </is>
      </c>
      <c r="J58" t="inlineStr">
        <is>
          <t>COMRETOldSCRACELC19</t>
        </is>
      </c>
      <c r="K58" t="n">
        <v>23.08105645370456</v>
      </c>
      <c r="L58" t="n">
        <v>372.2624873110673</v>
      </c>
      <c r="M58" t="n">
        <v>0.8990449184217706</v>
      </c>
      <c r="N58" t="n">
        <v>334.6806975360639</v>
      </c>
      <c r="O58" t="n">
        <v>853.376925135919</v>
      </c>
      <c r="P58" t="n">
        <v>161.5390517361481</v>
      </c>
      <c r="Q58" t="inlineStr">
        <is>
          <t>MW</t>
        </is>
      </c>
      <c r="R58" t="n">
        <v>2.549824150058616</v>
      </c>
      <c r="S58" t="n">
        <v>5</v>
      </c>
      <c r="T58" t="n">
        <v>0</v>
      </c>
      <c r="V58" t="n">
        <v>0.1675161794561237</v>
      </c>
      <c r="W58" t="n">
        <v>31.536</v>
      </c>
    </row>
    <row r="59">
      <c r="A59" t="inlineStr">
        <is>
          <t>Commercial</t>
        </is>
      </c>
      <c r="B59" t="inlineStr">
        <is>
          <t>Retail</t>
        </is>
      </c>
      <c r="D59" t="inlineStr">
        <is>
          <t>Old</t>
        </is>
      </c>
      <c r="E59" t="inlineStr">
        <is>
          <t>Space cooling</t>
        </is>
      </c>
      <c r="F59" t="inlineStr">
        <is>
          <t>Central AC electric</t>
        </is>
      </c>
      <c r="G59" t="inlineStr">
        <is>
          <t>Electricity</t>
        </is>
      </c>
      <c r="H59" t="inlineStr">
        <is>
          <t>COMELC</t>
        </is>
      </c>
      <c r="I59" t="inlineStr">
        <is>
          <t>COMRETOldSCEUE</t>
        </is>
      </c>
      <c r="J59" t="inlineStr">
        <is>
          <t>COMRETOldSCCACELC19</t>
        </is>
      </c>
      <c r="K59" t="n">
        <v>23.08105645370456</v>
      </c>
      <c r="L59" t="n">
        <v>372.2624873110673</v>
      </c>
      <c r="M59" t="n">
        <v>0.08585910608495052</v>
      </c>
      <c r="N59" t="n">
        <v>31.96212438948848</v>
      </c>
      <c r="O59" t="n">
        <v>97.74848174572143</v>
      </c>
      <c r="P59" t="n">
        <v>15.69681264501628</v>
      </c>
      <c r="Q59" t="inlineStr">
        <is>
          <t>MW</t>
        </is>
      </c>
      <c r="R59" t="n">
        <v>3.058259850145268</v>
      </c>
      <c r="S59" t="n">
        <v>9</v>
      </c>
      <c r="T59" t="n">
        <v>8</v>
      </c>
      <c r="V59" t="n">
        <v>0.1974658227108132</v>
      </c>
      <c r="W59" t="n">
        <v>31.536</v>
      </c>
    </row>
    <row r="60">
      <c r="A60" t="inlineStr">
        <is>
          <t>Commercial</t>
        </is>
      </c>
      <c r="B60" t="inlineStr">
        <is>
          <t>Retail</t>
        </is>
      </c>
      <c r="D60" t="inlineStr">
        <is>
          <t>Old</t>
        </is>
      </c>
      <c r="E60" t="inlineStr">
        <is>
          <t>Space cooling</t>
        </is>
      </c>
      <c r="F60" t="inlineStr">
        <is>
          <t>Rooftop Air HP electric</t>
        </is>
      </c>
      <c r="G60" t="inlineStr">
        <is>
          <t>Electricity</t>
        </is>
      </c>
      <c r="H60" t="inlineStr">
        <is>
          <t>COMELC</t>
        </is>
      </c>
      <c r="I60" t="inlineStr">
        <is>
          <t>COMRETOldSCEUE</t>
        </is>
      </c>
      <c r="J60" t="inlineStr">
        <is>
          <t>COMRETOldSCAHPELC19</t>
        </is>
      </c>
      <c r="K60" t="n">
        <v>23.08105645370456</v>
      </c>
      <c r="L60" t="n">
        <v>372.2624873110673</v>
      </c>
      <c r="M60" t="n">
        <v>0.008023071101599461</v>
      </c>
      <c r="N60" t="n">
        <v>2.986688404154961</v>
      </c>
      <c r="O60" t="n">
        <v>8.14073920241534</v>
      </c>
      <c r="P60" t="n">
        <v>1.427184235034351</v>
      </c>
      <c r="Q60" t="inlineStr">
        <is>
          <t>MW</t>
        </is>
      </c>
      <c r="R60" t="n">
        <v>2.72567409144197</v>
      </c>
      <c r="S60" t="n">
        <v>10.5</v>
      </c>
      <c r="T60" t="n">
        <v>14</v>
      </c>
      <c r="V60" t="n">
        <v>0.1808744381880416</v>
      </c>
      <c r="W60" t="n">
        <v>31.536</v>
      </c>
    </row>
    <row r="61">
      <c r="A61" t="inlineStr">
        <is>
          <t>Commercial</t>
        </is>
      </c>
      <c r="B61" t="inlineStr">
        <is>
          <t>Retail</t>
        </is>
      </c>
      <c r="D61" t="inlineStr">
        <is>
          <t>Old</t>
        </is>
      </c>
      <c r="E61" t="inlineStr">
        <is>
          <t>Space cooling</t>
        </is>
      </c>
      <c r="F61" t="inlineStr">
        <is>
          <t>Rooftop Air AC electric</t>
        </is>
      </c>
      <c r="G61" t="inlineStr">
        <is>
          <t>Electricity</t>
        </is>
      </c>
      <c r="H61" t="inlineStr">
        <is>
          <t>COMELC</t>
        </is>
      </c>
      <c r="I61" t="inlineStr">
        <is>
          <t>COMRETOldSCEUE</t>
        </is>
      </c>
      <c r="J61" t="inlineStr">
        <is>
          <t>COMRETOldSCAACELC19</t>
        </is>
      </c>
      <c r="K61" t="n">
        <v>23.08105645370456</v>
      </c>
      <c r="L61" t="n">
        <v>372.2624873110673</v>
      </c>
      <c r="M61" t="n">
        <v>2.315077959847775e-05</v>
      </c>
      <c r="N61" t="n">
        <v>0.008618166796519638</v>
      </c>
      <c r="O61" t="n">
        <v>0.02323772993199903</v>
      </c>
      <c r="P61" t="n">
        <v>0.0049896370002925</v>
      </c>
      <c r="Q61" t="inlineStr">
        <is>
          <t>MW</t>
        </is>
      </c>
      <c r="R61" t="n">
        <v>2.696365767878077</v>
      </c>
      <c r="S61" t="n">
        <v>10.5</v>
      </c>
      <c r="T61" t="n">
        <v>14</v>
      </c>
      <c r="V61" t="n">
        <v>0.1476787955266872</v>
      </c>
      <c r="W61" t="n">
        <v>31.536</v>
      </c>
    </row>
    <row r="62">
      <c r="A62" t="inlineStr">
        <is>
          <t>Commercial</t>
        </is>
      </c>
      <c r="B62" t="inlineStr">
        <is>
          <t>Retail</t>
        </is>
      </c>
      <c r="D62" t="inlineStr">
        <is>
          <t>Old</t>
        </is>
      </c>
      <c r="E62" t="inlineStr">
        <is>
          <t>Space cooling</t>
        </is>
      </c>
      <c r="F62" t="inlineStr">
        <is>
          <t>Res type central AC gas</t>
        </is>
      </c>
      <c r="G62" t="inlineStr">
        <is>
          <t>Electricity</t>
        </is>
      </c>
      <c r="H62" t="inlineStr">
        <is>
          <t>COMELC</t>
        </is>
      </c>
      <c r="I62" t="inlineStr">
        <is>
          <t>COMRETOldSCEUE</t>
        </is>
      </c>
      <c r="J62" t="inlineStr">
        <is>
          <t>COMRETOldSCRESNGA19</t>
        </is>
      </c>
      <c r="K62" t="n">
        <v>23.08105645370456</v>
      </c>
      <c r="L62" t="n">
        <v>372.2624873110673</v>
      </c>
      <c r="M62" t="n">
        <v>9.598730962968755e-05</v>
      </c>
      <c r="N62" t="n">
        <v>0.03573247463304505</v>
      </c>
      <c r="O62" t="n">
        <v>0.02143948477982703</v>
      </c>
      <c r="P62" t="n">
        <v>0.006999968536919713</v>
      </c>
      <c r="Q62" t="inlineStr">
        <is>
          <t>MW</t>
        </is>
      </c>
      <c r="R62" t="n">
        <v>0.6</v>
      </c>
      <c r="S62" t="n">
        <v>7.5</v>
      </c>
      <c r="T62" t="n">
        <v>12</v>
      </c>
      <c r="V62" t="n">
        <v>0.09712066547467106</v>
      </c>
      <c r="W62" t="n">
        <v>31.536</v>
      </c>
    </row>
    <row r="63">
      <c r="A63" t="inlineStr">
        <is>
          <t>Commercial</t>
        </is>
      </c>
      <c r="B63" t="inlineStr">
        <is>
          <t>Retail</t>
        </is>
      </c>
      <c r="D63" t="inlineStr">
        <is>
          <t>Old</t>
        </is>
      </c>
      <c r="E63" t="inlineStr">
        <is>
          <t>Space cooling</t>
        </is>
      </c>
      <c r="F63" t="inlineStr">
        <is>
          <t>Absorption chiller</t>
        </is>
      </c>
      <c r="G63" t="inlineStr">
        <is>
          <t>Electricity</t>
        </is>
      </c>
      <c r="H63" t="inlineStr">
        <is>
          <t>COMELC</t>
        </is>
      </c>
      <c r="I63" t="inlineStr">
        <is>
          <t>COMRETOldSCEUE</t>
        </is>
      </c>
      <c r="J63" t="inlineStr">
        <is>
          <t>COMRETOldSCACHSTM19</t>
        </is>
      </c>
      <c r="K63" t="n">
        <v>23.08105645370456</v>
      </c>
      <c r="L63" t="n">
        <v>372.2624873110673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MW</t>
        </is>
      </c>
      <c r="R63" t="n">
        <v>1</v>
      </c>
      <c r="S63" t="n">
        <v>11.5</v>
      </c>
      <c r="T63" t="n">
        <v>10</v>
      </c>
      <c r="V63" t="n">
        <v>0.09950683752137184</v>
      </c>
      <c r="W63" t="n">
        <v>31.536</v>
      </c>
    </row>
    <row r="64">
      <c r="A64" t="inlineStr">
        <is>
          <t>Commercial</t>
        </is>
      </c>
      <c r="B64" t="inlineStr">
        <is>
          <t>Retail</t>
        </is>
      </c>
      <c r="D64" t="inlineStr">
        <is>
          <t>Old</t>
        </is>
      </c>
      <c r="E64" t="inlineStr">
        <is>
          <t>Space cooling</t>
        </is>
      </c>
      <c r="F64" t="inlineStr">
        <is>
          <t>District chilled water</t>
        </is>
      </c>
      <c r="G64" t="inlineStr">
        <is>
          <t>Electricity</t>
        </is>
      </c>
      <c r="H64" t="inlineStr">
        <is>
          <t>COMELC</t>
        </is>
      </c>
      <c r="I64" t="inlineStr">
        <is>
          <t>COMRETOldSCEUE</t>
        </is>
      </c>
      <c r="J64" t="inlineStr">
        <is>
          <t>COMRETOldSCDCOCHI19</t>
        </is>
      </c>
      <c r="K64" t="n">
        <v>23.08105645370456</v>
      </c>
      <c r="L64" t="n">
        <v>372.2624873110673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MW</t>
        </is>
      </c>
      <c r="R64" t="n">
        <v>1</v>
      </c>
      <c r="S64" t="n">
        <v>12.5</v>
      </c>
      <c r="T64" t="n">
        <v>1</v>
      </c>
      <c r="V64" t="n">
        <v>0</v>
      </c>
      <c r="W64" t="n">
        <v>31.536</v>
      </c>
    </row>
    <row r="65">
      <c r="A65" t="inlineStr">
        <is>
          <t>Commercial</t>
        </is>
      </c>
      <c r="B65" t="inlineStr">
        <is>
          <t>Retail</t>
        </is>
      </c>
      <c r="D65" t="inlineStr">
        <is>
          <t>Old</t>
        </is>
      </c>
      <c r="E65" t="inlineStr">
        <is>
          <t>Ventilation</t>
        </is>
      </c>
      <c r="F65" t="inlineStr">
        <is>
          <t>Electricity</t>
        </is>
      </c>
      <c r="G65" t="inlineStr">
        <is>
          <t>Electricity</t>
        </is>
      </c>
      <c r="H65" t="inlineStr">
        <is>
          <t>COMELC</t>
        </is>
      </c>
      <c r="I65" t="inlineStr">
        <is>
          <t>COMRETOldVTEUE</t>
        </is>
      </c>
      <c r="J65" t="inlineStr">
        <is>
          <t>COMRETOldVTELC19</t>
        </is>
      </c>
      <c r="K65" t="n">
        <v>23.08105645370456</v>
      </c>
      <c r="L65" t="n">
        <v>1119.584385378985</v>
      </c>
      <c r="M65" t="n">
        <v>1</v>
      </c>
      <c r="N65" t="n">
        <v>1119.584385378985</v>
      </c>
      <c r="O65" t="n">
        <v>1119.584385378985</v>
      </c>
      <c r="P65" t="n">
        <v>80.68588174690574</v>
      </c>
      <c r="Q65" t="inlineStr">
        <is>
          <t>MW</t>
        </is>
      </c>
      <c r="R65" t="n">
        <v>1</v>
      </c>
      <c r="S65" t="n">
        <v>10</v>
      </c>
      <c r="T65" t="n">
        <v>97</v>
      </c>
      <c r="V65" t="n">
        <v>0.44</v>
      </c>
      <c r="W65" t="n">
        <v>31.536</v>
      </c>
    </row>
    <row r="66">
      <c r="A66" t="inlineStr">
        <is>
          <t>Commercial</t>
        </is>
      </c>
      <c r="B66" t="inlineStr">
        <is>
          <t>Retail</t>
        </is>
      </c>
      <c r="D66" t="inlineStr">
        <is>
          <t>Old</t>
        </is>
      </c>
      <c r="E66" t="inlineStr">
        <is>
          <t>Water heating</t>
        </is>
      </c>
      <c r="F66" t="inlineStr">
        <is>
          <t>Fuel oil</t>
        </is>
      </c>
      <c r="G66" t="inlineStr">
        <is>
          <t>Fuel oil</t>
        </is>
      </c>
      <c r="H66" t="inlineStr">
        <is>
          <t>COMFOI</t>
        </is>
      </c>
      <c r="I66" t="inlineStr">
        <is>
          <t>COMRETOldWHEUE</t>
        </is>
      </c>
      <c r="J66" t="inlineStr">
        <is>
          <t>COMRETOldWHFOI19</t>
        </is>
      </c>
      <c r="K66" t="n">
        <v>23.08105645370456</v>
      </c>
      <c r="L66" t="n">
        <v>8.87470216993643</v>
      </c>
      <c r="M66" t="n">
        <v>1</v>
      </c>
      <c r="N66" t="n">
        <v>8.87470216993643</v>
      </c>
      <c r="O66" t="n">
        <v>6.922267692550416</v>
      </c>
      <c r="P66" t="n">
        <v>0.4988719740606995</v>
      </c>
      <c r="Q66" t="inlineStr">
        <is>
          <t>MW</t>
        </is>
      </c>
      <c r="R66" t="n">
        <v>0.78</v>
      </c>
      <c r="S66" t="n">
        <v>6.5</v>
      </c>
      <c r="T66" t="n">
        <v>6</v>
      </c>
      <c r="V66" t="n">
        <v>0.44</v>
      </c>
      <c r="W66" t="n">
        <v>31.536</v>
      </c>
    </row>
    <row r="67">
      <c r="A67" t="inlineStr">
        <is>
          <t>Commercial</t>
        </is>
      </c>
      <c r="B67" t="inlineStr">
        <is>
          <t>Retail</t>
        </is>
      </c>
      <c r="D67" t="inlineStr">
        <is>
          <t>Old</t>
        </is>
      </c>
      <c r="E67" t="inlineStr">
        <is>
          <t>Water heating</t>
        </is>
      </c>
      <c r="F67" t="inlineStr">
        <is>
          <t>Natural gas</t>
        </is>
      </c>
      <c r="G67" t="inlineStr">
        <is>
          <t>Natural gas</t>
        </is>
      </c>
      <c r="H67" t="inlineStr">
        <is>
          <t>COMNGA</t>
        </is>
      </c>
      <c r="I67" t="inlineStr">
        <is>
          <t>COMRETOldWHEUE</t>
        </is>
      </c>
      <c r="J67" t="inlineStr">
        <is>
          <t>COMRETOldWHNGA19</t>
        </is>
      </c>
      <c r="K67" t="n">
        <v>23.08105645370456</v>
      </c>
      <c r="L67" t="n">
        <v>876.8585384576824</v>
      </c>
      <c r="M67" t="n">
        <v>1</v>
      </c>
      <c r="N67" t="n">
        <v>876.8585384576824</v>
      </c>
      <c r="O67" t="n">
        <v>675.1810746124154</v>
      </c>
      <c r="P67" t="n">
        <v>48.65875324394166</v>
      </c>
      <c r="Q67" t="inlineStr">
        <is>
          <t>MW</t>
        </is>
      </c>
      <c r="R67" t="n">
        <v>0.77</v>
      </c>
      <c r="S67" t="n">
        <v>5</v>
      </c>
      <c r="T67" t="n">
        <v>7</v>
      </c>
      <c r="V67" t="n">
        <v>0.44</v>
      </c>
      <c r="W67" t="n">
        <v>31.536</v>
      </c>
    </row>
    <row r="68">
      <c r="A68" t="inlineStr">
        <is>
          <t>Commercial</t>
        </is>
      </c>
      <c r="B68" t="inlineStr">
        <is>
          <t>Retail</t>
        </is>
      </c>
      <c r="D68" t="inlineStr">
        <is>
          <t>Old</t>
        </is>
      </c>
      <c r="E68" t="inlineStr">
        <is>
          <t>Water heating</t>
        </is>
      </c>
      <c r="F68" t="inlineStr">
        <is>
          <t>Steam / Cooling</t>
        </is>
      </c>
      <c r="G68" t="inlineStr">
        <is>
          <t>Steam / Cooling</t>
        </is>
      </c>
      <c r="H68" t="inlineStr">
        <is>
          <t>COMSTM</t>
        </is>
      </c>
      <c r="I68" t="inlineStr">
        <is>
          <t>COMRETOldWHEUE</t>
        </is>
      </c>
      <c r="J68" t="inlineStr">
        <is>
          <t>COMRETOldWHSTM19</t>
        </is>
      </c>
      <c r="K68" t="n">
        <v>23.08105645370456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inlineStr">
        <is>
          <t>MW</t>
        </is>
      </c>
      <c r="R68" t="n">
        <v>0.9747499999999999</v>
      </c>
      <c r="S68" t="n">
        <v>12.5</v>
      </c>
      <c r="T68" t="n">
        <v>1</v>
      </c>
      <c r="V68" t="n">
        <v>0.44</v>
      </c>
      <c r="W68" t="n">
        <v>31.536</v>
      </c>
    </row>
    <row r="69">
      <c r="A69" t="inlineStr">
        <is>
          <t>Commercial</t>
        </is>
      </c>
      <c r="B69" t="inlineStr">
        <is>
          <t>Retail</t>
        </is>
      </c>
      <c r="D69" t="inlineStr">
        <is>
          <t>Old</t>
        </is>
      </c>
      <c r="E69" t="inlineStr">
        <is>
          <t>Water heating</t>
        </is>
      </c>
      <c r="F69" t="inlineStr">
        <is>
          <t>Electricity</t>
        </is>
      </c>
      <c r="G69" t="inlineStr">
        <is>
          <t>Electricity</t>
        </is>
      </c>
      <c r="H69" t="inlineStr">
        <is>
          <t>COMELC</t>
        </is>
      </c>
      <c r="I69" t="inlineStr">
        <is>
          <t>COMRETOldWHEUE</t>
        </is>
      </c>
      <c r="J69" t="inlineStr">
        <is>
          <t>COMRETOldWHELC19</t>
        </is>
      </c>
      <c r="K69" t="n">
        <v>23.08105645370456</v>
      </c>
      <c r="L69" t="n">
        <v>201.6628157059319</v>
      </c>
      <c r="M69" t="n">
        <v>1</v>
      </c>
      <c r="N69" t="n">
        <v>201.6628157059319</v>
      </c>
      <c r="O69" t="n">
        <v>196.5708296093571</v>
      </c>
      <c r="P69" t="n">
        <v>14.16640935679261</v>
      </c>
      <c r="Q69" t="inlineStr">
        <is>
          <t>MW</t>
        </is>
      </c>
      <c r="R69" t="n">
        <v>0.9747499999999999</v>
      </c>
      <c r="S69" t="n">
        <v>7.5</v>
      </c>
      <c r="T69" t="n">
        <v>2</v>
      </c>
      <c r="V69" t="n">
        <v>0.44</v>
      </c>
      <c r="W69" t="n">
        <v>31.536</v>
      </c>
    </row>
    <row r="70">
      <c r="A70" t="inlineStr">
        <is>
          <t>Commercial</t>
        </is>
      </c>
      <c r="B70" t="inlineStr">
        <is>
          <t>Retail</t>
        </is>
      </c>
      <c r="D70" t="inlineStr">
        <is>
          <t>Old</t>
        </is>
      </c>
      <c r="E70" t="inlineStr">
        <is>
          <t>Lighting</t>
        </is>
      </c>
      <c r="F70" t="inlineStr">
        <is>
          <t>Fluorescent</t>
        </is>
      </c>
      <c r="G70" t="inlineStr">
        <is>
          <t>Electricity</t>
        </is>
      </c>
      <c r="H70" t="inlineStr">
        <is>
          <t>COMELC</t>
        </is>
      </c>
      <c r="I70" t="inlineStr">
        <is>
          <t>COMRETOldLTEUE</t>
        </is>
      </c>
      <c r="J70" t="inlineStr">
        <is>
          <t>COMRETOldLTFLUELC19</t>
        </is>
      </c>
      <c r="K70" t="n">
        <v>23.08105645370456</v>
      </c>
      <c r="L70" t="n">
        <v>1534.203033915297</v>
      </c>
      <c r="M70" t="n">
        <v>0.2739076107246076</v>
      </c>
      <c r="N70" t="n">
        <v>420.229887386183</v>
      </c>
      <c r="O70" t="n">
        <v>1001.045321108192</v>
      </c>
      <c r="P70" t="n">
        <v>2234.762368476483</v>
      </c>
      <c r="Q70" t="inlineStr">
        <is>
          <t>Mlma</t>
        </is>
      </c>
      <c r="R70" t="n">
        <v>2.382137375650891</v>
      </c>
      <c r="S70" t="n">
        <v>5</v>
      </c>
      <c r="T70" t="n">
        <v>1</v>
      </c>
      <c r="V70" t="n">
        <v>0.4479426247859363</v>
      </c>
      <c r="W70" t="n">
        <v>1</v>
      </c>
    </row>
    <row r="71">
      <c r="A71" t="inlineStr">
        <is>
          <t>Commercial</t>
        </is>
      </c>
      <c r="B71" t="inlineStr">
        <is>
          <t>Retail</t>
        </is>
      </c>
      <c r="D71" t="inlineStr">
        <is>
          <t>Old</t>
        </is>
      </c>
      <c r="E71" t="inlineStr">
        <is>
          <t>Lighting</t>
        </is>
      </c>
      <c r="F71" t="inlineStr">
        <is>
          <t>Compact fluorescent</t>
        </is>
      </c>
      <c r="G71" t="inlineStr">
        <is>
          <t>Electricity</t>
        </is>
      </c>
      <c r="H71" t="inlineStr">
        <is>
          <t>COMELC</t>
        </is>
      </c>
      <c r="I71" t="inlineStr">
        <is>
          <t>COMRETOldLTEUE</t>
        </is>
      </c>
      <c r="J71" t="inlineStr">
        <is>
          <t>COMRETOldLTCFLELC19</t>
        </is>
      </c>
      <c r="K71" t="n">
        <v>23.08105645370456</v>
      </c>
      <c r="L71" t="n">
        <v>1534.203033915297</v>
      </c>
      <c r="M71" t="n">
        <v>0.1752116853789984</v>
      </c>
      <c r="N71" t="n">
        <v>268.8102992858718</v>
      </c>
      <c r="O71" t="n">
        <v>369.6362331815835</v>
      </c>
      <c r="P71" t="n">
        <v>818.4683510320216</v>
      </c>
      <c r="Q71" t="inlineStr">
        <is>
          <t>Mlma</t>
        </is>
      </c>
      <c r="R71" t="n">
        <v>1.375082108697354</v>
      </c>
      <c r="S71" t="n">
        <v>5</v>
      </c>
      <c r="T71" t="n">
        <v>5</v>
      </c>
      <c r="V71" t="n">
        <v>0.4516194581201612</v>
      </c>
      <c r="W71" t="n">
        <v>1</v>
      </c>
    </row>
    <row r="72">
      <c r="A72" t="inlineStr">
        <is>
          <t>Commercial</t>
        </is>
      </c>
      <c r="B72" t="inlineStr">
        <is>
          <t>Retail</t>
        </is>
      </c>
      <c r="D72" t="inlineStr">
        <is>
          <t>Old</t>
        </is>
      </c>
      <c r="E72" t="inlineStr">
        <is>
          <t>Lighting</t>
        </is>
      </c>
      <c r="F72" t="inlineStr">
        <is>
          <t>Incandescent</t>
        </is>
      </c>
      <c r="G72" t="inlineStr">
        <is>
          <t>Electricity</t>
        </is>
      </c>
      <c r="H72" t="inlineStr">
        <is>
          <t>COMELC</t>
        </is>
      </c>
      <c r="I72" t="inlineStr">
        <is>
          <t>COMRETOldLTEUE</t>
        </is>
      </c>
      <c r="J72" t="inlineStr">
        <is>
          <t>COMRETOldLTINCELC19</t>
        </is>
      </c>
      <c r="K72" t="n">
        <v>23.08105645370456</v>
      </c>
      <c r="L72" t="n">
        <v>1534.203033915297</v>
      </c>
      <c r="M72" t="n">
        <v>0.04052460308081227</v>
      </c>
      <c r="N72" t="n">
        <v>62.17296899479535</v>
      </c>
      <c r="O72" t="n">
        <v>20.80120129180984</v>
      </c>
      <c r="P72" t="n">
        <v>192.7079573804019</v>
      </c>
      <c r="Q72" t="inlineStr">
        <is>
          <t>Mlma</t>
        </is>
      </c>
      <c r="R72" t="n">
        <v>0.3345698561307432</v>
      </c>
      <c r="S72" t="n">
        <v>0.5</v>
      </c>
      <c r="T72" t="n">
        <v>1</v>
      </c>
      <c r="V72" t="n">
        <v>0.1079415794478516</v>
      </c>
      <c r="W72" t="n">
        <v>1</v>
      </c>
    </row>
    <row r="73">
      <c r="A73" t="inlineStr">
        <is>
          <t>Commercial</t>
        </is>
      </c>
      <c r="B73" t="inlineStr">
        <is>
          <t>Retail</t>
        </is>
      </c>
      <c r="D73" t="inlineStr">
        <is>
          <t>Old</t>
        </is>
      </c>
      <c r="E73" t="inlineStr">
        <is>
          <t>Lighting</t>
        </is>
      </c>
      <c r="F73" t="inlineStr">
        <is>
          <t>Halogen</t>
        </is>
      </c>
      <c r="G73" t="inlineStr">
        <is>
          <t>Electricity</t>
        </is>
      </c>
      <c r="H73" t="inlineStr">
        <is>
          <t>COMELC</t>
        </is>
      </c>
      <c r="I73" t="inlineStr">
        <is>
          <t>COMRETOldLTEUE</t>
        </is>
      </c>
      <c r="J73" t="inlineStr">
        <is>
          <t>COMRETOldLTHALELC19</t>
        </is>
      </c>
      <c r="K73" t="n">
        <v>23.08105645370456</v>
      </c>
      <c r="L73" t="n">
        <v>1534.203033915297</v>
      </c>
      <c r="M73" t="n">
        <v>0.04315475502179365</v>
      </c>
      <c r="N73" t="n">
        <v>66.2081560823072</v>
      </c>
      <c r="O73" t="n">
        <v>29.90419189443806</v>
      </c>
      <c r="P73" t="n">
        <v>202.6731937542689</v>
      </c>
      <c r="Q73" t="inlineStr">
        <is>
          <t>Mlma</t>
        </is>
      </c>
      <c r="R73" t="n">
        <v>0.4516693057765032</v>
      </c>
      <c r="S73" t="n">
        <v>5</v>
      </c>
      <c r="T73" t="n">
        <v>37</v>
      </c>
      <c r="V73" t="n">
        <v>0.1475488264654052</v>
      </c>
      <c r="W73" t="n">
        <v>1</v>
      </c>
    </row>
    <row r="74">
      <c r="A74" t="inlineStr">
        <is>
          <t>Commercial</t>
        </is>
      </c>
      <c r="B74" t="inlineStr">
        <is>
          <t>Retail</t>
        </is>
      </c>
      <c r="D74" t="inlineStr">
        <is>
          <t>Old</t>
        </is>
      </c>
      <c r="E74" t="inlineStr">
        <is>
          <t>Lighting</t>
        </is>
      </c>
      <c r="F74" t="inlineStr">
        <is>
          <t>HID</t>
        </is>
      </c>
      <c r="G74" t="inlineStr">
        <is>
          <t>Electricity</t>
        </is>
      </c>
      <c r="H74" t="inlineStr">
        <is>
          <t>COMELC</t>
        </is>
      </c>
      <c r="I74" t="inlineStr">
        <is>
          <t>COMRETOldLTEUE</t>
        </is>
      </c>
      <c r="J74" t="inlineStr">
        <is>
          <t>COMRETOldLTHIDELC19</t>
        </is>
      </c>
      <c r="K74" t="n">
        <v>23.08105645370456</v>
      </c>
      <c r="L74" t="n">
        <v>1534.203033915297</v>
      </c>
      <c r="M74" t="n">
        <v>0.08197046293687708</v>
      </c>
      <c r="N74" t="n">
        <v>125.7593329291982</v>
      </c>
      <c r="O74" t="n">
        <v>238.000441589541</v>
      </c>
      <c r="P74" t="n">
        <v>360.5647295154663</v>
      </c>
      <c r="Q74" t="inlineStr">
        <is>
          <t>Mlma</t>
        </is>
      </c>
      <c r="R74" t="n">
        <v>1.892507188500546</v>
      </c>
      <c r="S74" t="n">
        <v>0.5</v>
      </c>
      <c r="T74" t="n">
        <v>1</v>
      </c>
      <c r="V74" t="n">
        <v>0.6600768797030437</v>
      </c>
      <c r="W74" t="n">
        <v>1</v>
      </c>
    </row>
    <row r="75">
      <c r="A75" t="inlineStr">
        <is>
          <t>Commercial</t>
        </is>
      </c>
      <c r="B75" t="inlineStr">
        <is>
          <t>Retail</t>
        </is>
      </c>
      <c r="D75" t="inlineStr">
        <is>
          <t>Old</t>
        </is>
      </c>
      <c r="E75" t="inlineStr">
        <is>
          <t>Lighting</t>
        </is>
      </c>
      <c r="F75" t="inlineStr">
        <is>
          <t>LED</t>
        </is>
      </c>
      <c r="G75" t="inlineStr">
        <is>
          <t>Electricity</t>
        </is>
      </c>
      <c r="H75" t="inlineStr">
        <is>
          <t>COMELC</t>
        </is>
      </c>
      <c r="I75" t="inlineStr">
        <is>
          <t>COMRETOldLTEUE</t>
        </is>
      </c>
      <c r="J75" t="inlineStr">
        <is>
          <t>COMRETOldLTLEDELC19</t>
        </is>
      </c>
      <c r="K75" t="n">
        <v>23.08105645370456</v>
      </c>
      <c r="L75" t="n">
        <v>1534.203033915297</v>
      </c>
      <c r="M75" t="n">
        <v>0.3852308828569104</v>
      </c>
      <c r="N75" t="n">
        <v>591.0223892369402</v>
      </c>
      <c r="O75" t="n">
        <v>1118.514120195677</v>
      </c>
      <c r="P75" t="n">
        <v>2810.232920966099</v>
      </c>
      <c r="Q75" t="inlineStr">
        <is>
          <t>Mlma</t>
        </is>
      </c>
      <c r="R75" t="n">
        <v>1.892507188500546</v>
      </c>
      <c r="S75" t="n">
        <v>5</v>
      </c>
      <c r="T75" t="n">
        <v>2</v>
      </c>
      <c r="V75" t="n">
        <v>0.3980147381559943</v>
      </c>
      <c r="W75" t="n">
        <v>1</v>
      </c>
    </row>
    <row r="76">
      <c r="A76" t="inlineStr">
        <is>
          <t>Commercial</t>
        </is>
      </c>
      <c r="B76" t="inlineStr">
        <is>
          <t>Retail</t>
        </is>
      </c>
      <c r="D76" t="inlineStr">
        <is>
          <t>Old</t>
        </is>
      </c>
      <c r="E76" t="inlineStr">
        <is>
          <t>Lighting</t>
        </is>
      </c>
      <c r="F76" t="inlineStr">
        <is>
          <t>Other lighting</t>
        </is>
      </c>
      <c r="G76" t="inlineStr">
        <is>
          <t>Electricity</t>
        </is>
      </c>
      <c r="H76" t="inlineStr">
        <is>
          <t>COMELC</t>
        </is>
      </c>
      <c r="I76" t="inlineStr">
        <is>
          <t>COMRETOldLTEUE</t>
        </is>
      </c>
      <c r="J76" t="inlineStr">
        <is>
          <t>COMRETOldLTOTHELC19</t>
        </is>
      </c>
      <c r="K76" t="n">
        <v>23.08105645370456</v>
      </c>
      <c r="L76" t="n">
        <v>1534.203033915297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Mlma</t>
        </is>
      </c>
      <c r="R76" t="n">
        <v>0.9635611856565404</v>
      </c>
      <c r="S76" t="n">
        <v>0.5</v>
      </c>
      <c r="T76" t="n">
        <v>1</v>
      </c>
      <c r="V76" t="n">
        <v>0</v>
      </c>
      <c r="W76" t="n">
        <v>1</v>
      </c>
    </row>
    <row r="77">
      <c r="A77" t="inlineStr">
        <is>
          <t>Commercial</t>
        </is>
      </c>
      <c r="B77" t="inlineStr">
        <is>
          <t>Retail</t>
        </is>
      </c>
      <c r="D77" t="inlineStr">
        <is>
          <t>Old</t>
        </is>
      </c>
      <c r="E77" t="inlineStr">
        <is>
          <t>Cooking</t>
        </is>
      </c>
      <c r="F77" t="inlineStr">
        <is>
          <t>Fuel oil</t>
        </is>
      </c>
      <c r="G77" t="inlineStr">
        <is>
          <t>Fuel oil</t>
        </is>
      </c>
      <c r="H77" t="inlineStr">
        <is>
          <t>COMFOI</t>
        </is>
      </c>
      <c r="I77" t="inlineStr">
        <is>
          <t>COMRETOldCKEUE</t>
        </is>
      </c>
      <c r="J77" t="inlineStr">
        <is>
          <t>COMRETOldCKFOI19</t>
        </is>
      </c>
      <c r="K77" t="n">
        <v>23.08105645370456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inlineStr">
        <is>
          <t>MW</t>
        </is>
      </c>
      <c r="R77" t="n">
        <v>0.45</v>
      </c>
      <c r="S77" t="n">
        <v>6</v>
      </c>
      <c r="T77" t="n">
        <v>8</v>
      </c>
      <c r="V77" t="n">
        <v>0.44</v>
      </c>
      <c r="W77" t="n">
        <v>31.536</v>
      </c>
    </row>
    <row r="78">
      <c r="A78" t="inlineStr">
        <is>
          <t>Commercial</t>
        </is>
      </c>
      <c r="B78" t="inlineStr">
        <is>
          <t>Retail</t>
        </is>
      </c>
      <c r="D78" t="inlineStr">
        <is>
          <t>Old</t>
        </is>
      </c>
      <c r="E78" t="inlineStr">
        <is>
          <t>Cooking</t>
        </is>
      </c>
      <c r="F78" t="inlineStr">
        <is>
          <t>Natural gas</t>
        </is>
      </c>
      <c r="G78" t="inlineStr">
        <is>
          <t>Natural gas</t>
        </is>
      </c>
      <c r="H78" t="inlineStr">
        <is>
          <t>COMNGA</t>
        </is>
      </c>
      <c r="I78" t="inlineStr">
        <is>
          <t>COMRETOldCKEUE</t>
        </is>
      </c>
      <c r="J78" t="inlineStr">
        <is>
          <t>COMRETOldCKNGA19</t>
        </is>
      </c>
      <c r="K78" t="n">
        <v>23.08105645370456</v>
      </c>
      <c r="L78" t="n">
        <v>2473.704393913181</v>
      </c>
      <c r="M78" t="n">
        <v>1</v>
      </c>
      <c r="N78" t="n">
        <v>2473.704393913181</v>
      </c>
      <c r="O78" t="n">
        <v>1113.166977260931</v>
      </c>
      <c r="P78" t="n">
        <v>80.22339384577303</v>
      </c>
      <c r="Q78" t="inlineStr">
        <is>
          <t>MW</t>
        </is>
      </c>
      <c r="R78" t="n">
        <v>0.45</v>
      </c>
      <c r="S78" t="n">
        <v>6</v>
      </c>
      <c r="T78" t="n">
        <v>8</v>
      </c>
      <c r="V78" t="n">
        <v>0.44</v>
      </c>
      <c r="W78" t="n">
        <v>31.536</v>
      </c>
    </row>
    <row r="79">
      <c r="A79" t="inlineStr">
        <is>
          <t>Commercial</t>
        </is>
      </c>
      <c r="B79" t="inlineStr">
        <is>
          <t>Retail</t>
        </is>
      </c>
      <c r="D79" t="inlineStr">
        <is>
          <t>Old</t>
        </is>
      </c>
      <c r="E79" t="inlineStr">
        <is>
          <t>Cooking</t>
        </is>
      </c>
      <c r="F79" t="inlineStr">
        <is>
          <t>Steam / Cooling</t>
        </is>
      </c>
      <c r="G79" t="inlineStr">
        <is>
          <t>Steam / Cooling</t>
        </is>
      </c>
      <c r="H79" t="inlineStr">
        <is>
          <t>COMSTM</t>
        </is>
      </c>
      <c r="I79" t="inlineStr">
        <is>
          <t>COMRETOldCKEUE</t>
        </is>
      </c>
      <c r="J79" t="inlineStr">
        <is>
          <t>COMRETOldCKSTM19</t>
        </is>
      </c>
      <c r="K79" t="n">
        <v>23.08105645370456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MW</t>
        </is>
      </c>
      <c r="R79" t="n">
        <v>0.7</v>
      </c>
      <c r="S79" t="n">
        <v>6</v>
      </c>
      <c r="T79" t="n">
        <v>8</v>
      </c>
      <c r="V79" t="n">
        <v>0.44</v>
      </c>
      <c r="W79" t="n">
        <v>31.536</v>
      </c>
    </row>
    <row r="80">
      <c r="A80" t="inlineStr">
        <is>
          <t>Commercial</t>
        </is>
      </c>
      <c r="B80" t="inlineStr">
        <is>
          <t>Retail</t>
        </is>
      </c>
      <c r="D80" t="inlineStr">
        <is>
          <t>Old</t>
        </is>
      </c>
      <c r="E80" t="inlineStr">
        <is>
          <t>Cooking</t>
        </is>
      </c>
      <c r="F80" t="inlineStr">
        <is>
          <t>Electricity</t>
        </is>
      </c>
      <c r="G80" t="inlineStr">
        <is>
          <t>Electricity</t>
        </is>
      </c>
      <c r="H80" t="inlineStr">
        <is>
          <t>COMELC</t>
        </is>
      </c>
      <c r="I80" t="inlineStr">
        <is>
          <t>COMRETOldCKEUE</t>
        </is>
      </c>
      <c r="J80" t="inlineStr">
        <is>
          <t>COMRETOldCKELC19</t>
        </is>
      </c>
      <c r="K80" t="n">
        <v>23.08105645370456</v>
      </c>
      <c r="L80" t="n">
        <v>132.2855652638684</v>
      </c>
      <c r="M80" t="n">
        <v>1</v>
      </c>
      <c r="N80" t="n">
        <v>132.2855652638684</v>
      </c>
      <c r="O80" t="n">
        <v>92.59989568470787</v>
      </c>
      <c r="P80" t="n">
        <v>6.673462340637244</v>
      </c>
      <c r="Q80" t="inlineStr">
        <is>
          <t>MW</t>
        </is>
      </c>
      <c r="R80" t="n">
        <v>0.7</v>
      </c>
      <c r="S80" t="n">
        <v>6</v>
      </c>
      <c r="T80" t="n">
        <v>8</v>
      </c>
      <c r="V80" t="n">
        <v>0.44</v>
      </c>
      <c r="W80" t="n">
        <v>31.536</v>
      </c>
    </row>
    <row r="81">
      <c r="A81" t="inlineStr">
        <is>
          <t>Commercial</t>
        </is>
      </c>
      <c r="B81" t="inlineStr">
        <is>
          <t>Retail</t>
        </is>
      </c>
      <c r="D81" t="inlineStr">
        <is>
          <t>Old</t>
        </is>
      </c>
      <c r="E81" t="inlineStr">
        <is>
          <t>Refrigeration</t>
        </is>
      </c>
      <c r="F81" t="inlineStr">
        <is>
          <t>Electricity</t>
        </is>
      </c>
      <c r="G81" t="inlineStr">
        <is>
          <t>Electricity</t>
        </is>
      </c>
      <c r="H81" t="inlineStr">
        <is>
          <t>COMELC</t>
        </is>
      </c>
      <c r="I81" t="inlineStr">
        <is>
          <t>COMRETOldREEUE</t>
        </is>
      </c>
      <c r="J81" t="inlineStr">
        <is>
          <t>COMRETOldREELC19</t>
        </is>
      </c>
      <c r="K81" t="n">
        <v>23.08105645370456</v>
      </c>
      <c r="L81" t="n">
        <v>646.0657422959848</v>
      </c>
      <c r="M81" t="n">
        <v>1</v>
      </c>
      <c r="N81" t="n">
        <v>646.0657422959848</v>
      </c>
      <c r="O81" t="n">
        <v>646.0657422959848</v>
      </c>
      <c r="P81" t="n">
        <v>46.56047794555031</v>
      </c>
      <c r="Q81" t="inlineStr">
        <is>
          <t>MW</t>
        </is>
      </c>
      <c r="R81" t="n">
        <v>1</v>
      </c>
      <c r="S81" t="n">
        <v>5</v>
      </c>
      <c r="T81" t="n">
        <v>500</v>
      </c>
      <c r="V81" t="n">
        <v>0.44</v>
      </c>
      <c r="W81" t="n">
        <v>31.536</v>
      </c>
    </row>
    <row r="82">
      <c r="A82" t="inlineStr">
        <is>
          <t>Commercial</t>
        </is>
      </c>
      <c r="B82" t="inlineStr">
        <is>
          <t>Retail</t>
        </is>
      </c>
      <c r="D82" t="inlineStr">
        <is>
          <t>Old</t>
        </is>
      </c>
      <c r="E82" t="inlineStr">
        <is>
          <t>Other end use</t>
        </is>
      </c>
      <c r="F82" t="inlineStr">
        <is>
          <t>Fuel oil</t>
        </is>
      </c>
      <c r="G82" t="inlineStr">
        <is>
          <t>Fuel oil</t>
        </is>
      </c>
      <c r="H82" t="inlineStr">
        <is>
          <t>COMFOI</t>
        </is>
      </c>
      <c r="I82" t="inlineStr">
        <is>
          <t>COMRETOldOEEUE</t>
        </is>
      </c>
      <c r="J82" t="inlineStr">
        <is>
          <t>COMRETOldOEFOI19</t>
        </is>
      </c>
      <c r="K82" t="n">
        <v>23.08105645370456</v>
      </c>
      <c r="L82" t="n">
        <v>126.9511603424039</v>
      </c>
      <c r="M82" t="n">
        <v>1</v>
      </c>
      <c r="N82" t="n">
        <v>126.9511603424039</v>
      </c>
      <c r="O82" t="n">
        <v>126.9511603424039</v>
      </c>
      <c r="P82" t="n">
        <v>288.5253644145542</v>
      </c>
      <c r="Q82" t="inlineStr">
        <is>
          <t>TJa</t>
        </is>
      </c>
      <c r="R82" t="n">
        <v>1</v>
      </c>
      <c r="S82" t="n">
        <v>12.5</v>
      </c>
      <c r="T82" t="n">
        <v>10</v>
      </c>
      <c r="V82" t="n">
        <v>0.44</v>
      </c>
      <c r="W82" t="n">
        <v>1</v>
      </c>
    </row>
    <row r="83">
      <c r="A83" t="inlineStr">
        <is>
          <t>Commercial</t>
        </is>
      </c>
      <c r="B83" t="inlineStr">
        <is>
          <t>Retail</t>
        </is>
      </c>
      <c r="D83" t="inlineStr">
        <is>
          <t>Old</t>
        </is>
      </c>
      <c r="E83" t="inlineStr">
        <is>
          <t>Other end use</t>
        </is>
      </c>
      <c r="F83" t="inlineStr">
        <is>
          <t>Natural gas</t>
        </is>
      </c>
      <c r="G83" t="inlineStr">
        <is>
          <t>Natural gas</t>
        </is>
      </c>
      <c r="H83" t="inlineStr">
        <is>
          <t>COMNGA</t>
        </is>
      </c>
      <c r="I83" t="inlineStr">
        <is>
          <t>COMRETOldOEEUE</t>
        </is>
      </c>
      <c r="J83" t="inlineStr">
        <is>
          <t>COMRETOldOENGA19</t>
        </is>
      </c>
      <c r="K83" t="n">
        <v>23.08105645370456</v>
      </c>
      <c r="L83" t="n">
        <v>304.8651537984054</v>
      </c>
      <c r="M83" t="n">
        <v>1</v>
      </c>
      <c r="N83" t="n">
        <v>304.8651537984054</v>
      </c>
      <c r="O83" t="n">
        <v>304.8651537984054</v>
      </c>
      <c r="P83" t="n">
        <v>692.8753495418305</v>
      </c>
      <c r="Q83" t="inlineStr">
        <is>
          <t>TJa</t>
        </is>
      </c>
      <c r="R83" t="n">
        <v>1</v>
      </c>
      <c r="S83" t="n">
        <v>12.5</v>
      </c>
      <c r="T83" t="n">
        <v>10</v>
      </c>
      <c r="V83" t="n">
        <v>0.44</v>
      </c>
      <c r="W83" t="n">
        <v>1</v>
      </c>
    </row>
    <row r="84">
      <c r="A84" t="inlineStr">
        <is>
          <t>Commercial</t>
        </is>
      </c>
      <c r="B84" t="inlineStr">
        <is>
          <t>Retail</t>
        </is>
      </c>
      <c r="D84" t="inlineStr">
        <is>
          <t>Old</t>
        </is>
      </c>
      <c r="E84" t="inlineStr">
        <is>
          <t>Other end use</t>
        </is>
      </c>
      <c r="F84" t="inlineStr">
        <is>
          <t>Steam / Cooling</t>
        </is>
      </c>
      <c r="G84" t="inlineStr">
        <is>
          <t>Steam / Cooling</t>
        </is>
      </c>
      <c r="H84" t="inlineStr">
        <is>
          <t>COMSTM</t>
        </is>
      </c>
      <c r="I84" t="inlineStr">
        <is>
          <t>COMRETOldOEEUE</t>
        </is>
      </c>
      <c r="J84" t="inlineStr">
        <is>
          <t>COMRETOldOESTM19</t>
        </is>
      </c>
      <c r="K84" t="n">
        <v>23.08105645370456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inlineStr">
        <is>
          <t>TJa</t>
        </is>
      </c>
      <c r="R84" t="n">
        <v>1</v>
      </c>
      <c r="S84" t="n">
        <v>12.5</v>
      </c>
      <c r="T84" t="n">
        <v>10</v>
      </c>
      <c r="V84" t="n">
        <v>0.44</v>
      </c>
      <c r="W84" t="n">
        <v>1</v>
      </c>
    </row>
    <row r="85">
      <c r="A85" t="inlineStr">
        <is>
          <t>Commercial</t>
        </is>
      </c>
      <c r="B85" t="inlineStr">
        <is>
          <t>Retail</t>
        </is>
      </c>
      <c r="D85" t="inlineStr">
        <is>
          <t>Old</t>
        </is>
      </c>
      <c r="E85" t="inlineStr">
        <is>
          <t>Other end use</t>
        </is>
      </c>
      <c r="F85" t="inlineStr">
        <is>
          <t>Electricity</t>
        </is>
      </c>
      <c r="G85" t="inlineStr">
        <is>
          <t>Electricity</t>
        </is>
      </c>
      <c r="H85" t="inlineStr">
        <is>
          <t>COMELC</t>
        </is>
      </c>
      <c r="I85" t="inlineStr">
        <is>
          <t>COMRETOldOEEUE</t>
        </is>
      </c>
      <c r="J85" t="inlineStr">
        <is>
          <t>COMRETOldOEELC19</t>
        </is>
      </c>
      <c r="K85" t="n">
        <v>23.08105645370456</v>
      </c>
      <c r="L85" t="n">
        <v>1032.364981403361</v>
      </c>
      <c r="M85" t="n">
        <v>1</v>
      </c>
      <c r="N85" t="n">
        <v>1032.364981403361</v>
      </c>
      <c r="O85" t="n">
        <v>1032.364981403361</v>
      </c>
      <c r="P85" t="n">
        <v>2346.284048644001</v>
      </c>
      <c r="Q85" t="inlineStr">
        <is>
          <t>TJa</t>
        </is>
      </c>
      <c r="R85" t="n">
        <v>1</v>
      </c>
      <c r="S85" t="n">
        <v>12.5</v>
      </c>
      <c r="T85" t="n">
        <v>10</v>
      </c>
      <c r="V85" t="n">
        <v>0.44</v>
      </c>
      <c r="W85" t="n">
        <v>1</v>
      </c>
    </row>
    <row r="86">
      <c r="A86" t="inlineStr">
        <is>
          <t>Commercial</t>
        </is>
      </c>
      <c r="B86" t="inlineStr">
        <is>
          <t>Office</t>
        </is>
      </c>
      <c r="D86" t="inlineStr">
        <is>
          <t>Old</t>
        </is>
      </c>
      <c r="E86" t="inlineStr">
        <is>
          <t>Space heating</t>
        </is>
      </c>
      <c r="F86" t="inlineStr">
        <is>
          <t>Electric furnace</t>
        </is>
      </c>
      <c r="G86" t="inlineStr">
        <is>
          <t>Electricity</t>
        </is>
      </c>
      <c r="H86" t="inlineStr">
        <is>
          <t>COMELC</t>
        </is>
      </c>
      <c r="I86" t="inlineStr">
        <is>
          <t>COMOFFOldSHEUE</t>
        </is>
      </c>
      <c r="J86" t="inlineStr">
        <is>
          <t>COMOFFOldSHFURELC19</t>
        </is>
      </c>
      <c r="K86" t="n">
        <v>73.16481896464444</v>
      </c>
      <c r="L86" t="n">
        <v>667.5140110143885</v>
      </c>
      <c r="M86" t="n">
        <v>0.7691973624903636</v>
      </c>
      <c r="N86" t="n">
        <v>513.4500166976312</v>
      </c>
      <c r="O86" t="n">
        <v>503.1810163636786</v>
      </c>
      <c r="P86" t="n">
        <v>204.8512964942544</v>
      </c>
      <c r="Q86" t="inlineStr">
        <is>
          <t>MW</t>
        </is>
      </c>
      <c r="R86" t="n">
        <v>0.98</v>
      </c>
      <c r="S86" t="n">
        <v>7.5</v>
      </c>
      <c r="T86" t="n">
        <v>1</v>
      </c>
      <c r="V86" t="n">
        <v>0.07788950146829564</v>
      </c>
      <c r="W86" t="n">
        <v>31.536</v>
      </c>
    </row>
    <row r="87">
      <c r="A87" t="inlineStr">
        <is>
          <t>Commercial</t>
        </is>
      </c>
      <c r="B87" t="inlineStr">
        <is>
          <t>Office</t>
        </is>
      </c>
      <c r="D87" t="inlineStr">
        <is>
          <t>Old</t>
        </is>
      </c>
      <c r="E87" t="inlineStr">
        <is>
          <t>Space heating</t>
        </is>
      </c>
      <c r="F87" t="inlineStr">
        <is>
          <t>Electric boiler</t>
        </is>
      </c>
      <c r="G87" t="inlineStr">
        <is>
          <t>Electricity</t>
        </is>
      </c>
      <c r="H87" t="inlineStr">
        <is>
          <t>COMELC</t>
        </is>
      </c>
      <c r="I87" t="inlineStr">
        <is>
          <t>COMOFFOldSHEUE</t>
        </is>
      </c>
      <c r="J87" t="inlineStr">
        <is>
          <t>COMOFFOldSHBOIELC19</t>
        </is>
      </c>
      <c r="K87" t="n">
        <v>73.16481896464444</v>
      </c>
      <c r="L87" t="n">
        <v>667.5140110143885</v>
      </c>
      <c r="M87" t="n">
        <v>0.06216376667542013</v>
      </c>
      <c r="N87" t="n">
        <v>41.49518523327227</v>
      </c>
      <c r="O87" t="n">
        <v>38.88513808209945</v>
      </c>
      <c r="P87" t="n">
        <v>14.72170526019197</v>
      </c>
      <c r="Q87" t="inlineStr">
        <is>
          <t>MW</t>
        </is>
      </c>
      <c r="R87" t="n">
        <v>0.9370999999999999</v>
      </c>
      <c r="S87" t="n">
        <v>7.5</v>
      </c>
      <c r="T87" t="n">
        <v>1</v>
      </c>
      <c r="V87" t="n">
        <v>0.08375657697600566</v>
      </c>
      <c r="W87" t="n">
        <v>31.536</v>
      </c>
    </row>
    <row r="88">
      <c r="A88" t="inlineStr">
        <is>
          <t>Commercial</t>
        </is>
      </c>
      <c r="B88" t="inlineStr">
        <is>
          <t>Office</t>
        </is>
      </c>
      <c r="D88" t="inlineStr">
        <is>
          <t>Old</t>
        </is>
      </c>
      <c r="E88" t="inlineStr">
        <is>
          <t>Space heating</t>
        </is>
      </c>
      <c r="F88" t="inlineStr">
        <is>
          <t>Electric air heat pump</t>
        </is>
      </c>
      <c r="G88" t="inlineStr">
        <is>
          <t>Electricity</t>
        </is>
      </c>
      <c r="H88" t="inlineStr">
        <is>
          <t>COMELC</t>
        </is>
      </c>
      <c r="I88" t="inlineStr">
        <is>
          <t>COMOFFOldSHEUE</t>
        </is>
      </c>
      <c r="J88" t="inlineStr">
        <is>
          <t>COMOFFOldSHAHPELC19</t>
        </is>
      </c>
      <c r="K88" t="n">
        <v>73.16481896464444</v>
      </c>
      <c r="L88" t="n">
        <v>667.5140110143885</v>
      </c>
      <c r="M88" t="n">
        <v>0.1686388708342163</v>
      </c>
      <c r="N88" t="n">
        <v>112.5688090834851</v>
      </c>
      <c r="O88" t="n">
        <v>348.9633081588038</v>
      </c>
      <c r="P88" t="n">
        <v>39.10596535310879</v>
      </c>
      <c r="Q88" t="inlineStr">
        <is>
          <t>MW</t>
        </is>
      </c>
      <c r="R88" t="n">
        <v>3.1</v>
      </c>
      <c r="S88" t="n">
        <v>10.5</v>
      </c>
      <c r="T88" t="n">
        <v>14.33104807576899</v>
      </c>
      <c r="V88" t="n">
        <v>0.2829633231596553</v>
      </c>
      <c r="W88" t="n">
        <v>31.536</v>
      </c>
    </row>
    <row r="89">
      <c r="A89" t="inlineStr">
        <is>
          <t>Commercial</t>
        </is>
      </c>
      <c r="B89" t="inlineStr">
        <is>
          <t>Office</t>
        </is>
      </c>
      <c r="D89" t="inlineStr">
        <is>
          <t>Old</t>
        </is>
      </c>
      <c r="E89" t="inlineStr">
        <is>
          <t>Space heating</t>
        </is>
      </c>
      <c r="F89" t="inlineStr">
        <is>
          <t>Electric ground heat pump</t>
        </is>
      </c>
      <c r="G89" t="inlineStr">
        <is>
          <t>Electricity</t>
        </is>
      </c>
      <c r="H89" t="inlineStr">
        <is>
          <t>COMELC</t>
        </is>
      </c>
      <c r="I89" t="inlineStr">
        <is>
          <t>COMOFFOldSHEUE</t>
        </is>
      </c>
      <c r="J89" t="inlineStr">
        <is>
          <t>COMOFFOldSHGHPELC19</t>
        </is>
      </c>
      <c r="K89" t="n">
        <v>73.16481896464444</v>
      </c>
      <c r="L89" t="n">
        <v>667.5140110143885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MW</t>
        </is>
      </c>
      <c r="R89" t="n">
        <v>3.4</v>
      </c>
      <c r="S89" t="n">
        <v>7.2</v>
      </c>
      <c r="T89" t="n">
        <v>13.00195893970977</v>
      </c>
      <c r="V89" t="n">
        <v>0.3103468705622026</v>
      </c>
      <c r="W89" t="n">
        <v>31.536</v>
      </c>
    </row>
    <row r="90">
      <c r="A90" t="inlineStr">
        <is>
          <t>Commercial</t>
        </is>
      </c>
      <c r="B90" t="inlineStr">
        <is>
          <t>Office</t>
        </is>
      </c>
      <c r="D90" t="inlineStr">
        <is>
          <t>Old</t>
        </is>
      </c>
      <c r="E90" t="inlineStr">
        <is>
          <t>Space heating</t>
        </is>
      </c>
      <c r="F90" t="inlineStr">
        <is>
          <t>Natural gas furnace</t>
        </is>
      </c>
      <c r="G90" t="inlineStr">
        <is>
          <t>Natural gas</t>
        </is>
      </c>
      <c r="H90" t="inlineStr">
        <is>
          <t>COMNGA</t>
        </is>
      </c>
      <c r="I90" t="inlineStr">
        <is>
          <t>COMOFFOldSHEUE</t>
        </is>
      </c>
      <c r="J90" t="inlineStr">
        <is>
          <t>COMOFFOldSHFURNGA19</t>
        </is>
      </c>
      <c r="K90" t="n">
        <v>73.16481896464444</v>
      </c>
      <c r="L90" t="n">
        <v>25870.19629449778</v>
      </c>
      <c r="M90" t="n">
        <v>0.2374641214504069</v>
      </c>
      <c r="N90" t="n">
        <v>6143.243434822488</v>
      </c>
      <c r="O90" t="n">
        <v>4364.774460441377</v>
      </c>
      <c r="P90" t="n">
        <v>642.3202267207691</v>
      </c>
      <c r="Q90" t="inlineStr">
        <is>
          <t>MW</t>
        </is>
      </c>
      <c r="R90" t="n">
        <v>0.7105</v>
      </c>
      <c r="S90" t="n">
        <v>11.5</v>
      </c>
      <c r="T90" t="n">
        <v>2.023541839846751</v>
      </c>
      <c r="V90" t="n">
        <v>0.2154783306501923</v>
      </c>
      <c r="W90" t="n">
        <v>31.536</v>
      </c>
    </row>
    <row r="91">
      <c r="A91" t="inlineStr">
        <is>
          <t>Commercial</t>
        </is>
      </c>
      <c r="B91" t="inlineStr">
        <is>
          <t>Office</t>
        </is>
      </c>
      <c r="D91" t="inlineStr">
        <is>
          <t>Old</t>
        </is>
      </c>
      <c r="E91" t="inlineStr">
        <is>
          <t>Space heating</t>
        </is>
      </c>
      <c r="F91" t="inlineStr">
        <is>
          <t>Natural gas boiler</t>
        </is>
      </c>
      <c r="G91" t="inlineStr">
        <is>
          <t>Natural gas</t>
        </is>
      </c>
      <c r="H91" t="inlineStr">
        <is>
          <t>COMNGA</t>
        </is>
      </c>
      <c r="I91" t="inlineStr">
        <is>
          <t>COMOFFOldSHEUE</t>
        </is>
      </c>
      <c r="J91" t="inlineStr">
        <is>
          <t>COMOFFOldSHBOINGA19</t>
        </is>
      </c>
      <c r="K91" t="n">
        <v>73.16481896464444</v>
      </c>
      <c r="L91" t="n">
        <v>25870.19629449778</v>
      </c>
      <c r="M91" t="n">
        <v>0.725129701342676</v>
      </c>
      <c r="N91" t="n">
        <v>18759.24771270558</v>
      </c>
      <c r="O91" t="n">
        <v>14257.02826165624</v>
      </c>
      <c r="P91" t="n">
        <v>2181.227114142663</v>
      </c>
      <c r="Q91" t="inlineStr">
        <is>
          <t>MW</t>
        </is>
      </c>
      <c r="R91" t="n">
        <v>0.76</v>
      </c>
      <c r="S91" t="n">
        <v>12.5</v>
      </c>
      <c r="T91" t="n">
        <v>11.35759354439353</v>
      </c>
      <c r="V91" t="n">
        <v>0.2072628739815873</v>
      </c>
      <c r="W91" t="n">
        <v>31.536</v>
      </c>
    </row>
    <row r="92">
      <c r="A92" t="inlineStr">
        <is>
          <t>Commercial</t>
        </is>
      </c>
      <c r="B92" t="inlineStr">
        <is>
          <t>Office</t>
        </is>
      </c>
      <c r="D92" t="inlineStr">
        <is>
          <t>Old</t>
        </is>
      </c>
      <c r="E92" t="inlineStr">
        <is>
          <t>Space heating</t>
        </is>
      </c>
      <c r="F92" t="inlineStr">
        <is>
          <t>Natural gas heat pump</t>
        </is>
      </c>
      <c r="G92" t="inlineStr">
        <is>
          <t>Natural gas</t>
        </is>
      </c>
      <c r="H92" t="inlineStr">
        <is>
          <t>COMNGA</t>
        </is>
      </c>
      <c r="I92" t="inlineStr">
        <is>
          <t>COMOFFOldSHEUE</t>
        </is>
      </c>
      <c r="J92" t="inlineStr">
        <is>
          <t>COMOFFOldSHAHPNGA19</t>
        </is>
      </c>
      <c r="K92" t="n">
        <v>73.16481896464444</v>
      </c>
      <c r="L92" t="n">
        <v>25870.19629449778</v>
      </c>
      <c r="M92" t="n">
        <v>0.03740617720691713</v>
      </c>
      <c r="N92" t="n">
        <v>967.705146969715</v>
      </c>
      <c r="O92" t="n">
        <v>1258.016691060629</v>
      </c>
      <c r="P92" t="n">
        <v>56.45086558801601</v>
      </c>
      <c r="Q92" t="inlineStr">
        <is>
          <t>MW</t>
        </is>
      </c>
      <c r="R92" t="n">
        <v>1.3</v>
      </c>
      <c r="S92" t="n">
        <v>7.5</v>
      </c>
      <c r="T92" t="n">
        <v>12</v>
      </c>
      <c r="V92" t="n">
        <v>0.7066578549347342</v>
      </c>
      <c r="W92" t="n">
        <v>31.536</v>
      </c>
    </row>
    <row r="93">
      <c r="A93" t="inlineStr">
        <is>
          <t>Commercial</t>
        </is>
      </c>
      <c r="B93" t="inlineStr">
        <is>
          <t>Office</t>
        </is>
      </c>
      <c r="D93" t="inlineStr">
        <is>
          <t>Old</t>
        </is>
      </c>
      <c r="E93" t="inlineStr">
        <is>
          <t>Space heating</t>
        </is>
      </c>
      <c r="F93" t="inlineStr">
        <is>
          <t>Fuel oil boiler</t>
        </is>
      </c>
      <c r="G93" t="inlineStr">
        <is>
          <t>Fuel oil</t>
        </is>
      </c>
      <c r="H93" t="inlineStr">
        <is>
          <t>COMFOI</t>
        </is>
      </c>
      <c r="I93" t="inlineStr">
        <is>
          <t>COMOFFOldSHEUE</t>
        </is>
      </c>
      <c r="J93" t="inlineStr">
        <is>
          <t>COMOFFOldSHBOIFOI19</t>
        </is>
      </c>
      <c r="K93" t="n">
        <v>73.16481896464444</v>
      </c>
      <c r="L93" t="n">
        <v>1607.097955901425</v>
      </c>
      <c r="M93" t="n">
        <v>0.9704251153864496</v>
      </c>
      <c r="N93" t="n">
        <v>1559.568219292968</v>
      </c>
      <c r="O93" t="n">
        <v>1232.058893241445</v>
      </c>
      <c r="P93" t="n">
        <v>244.1566977121288</v>
      </c>
      <c r="Q93" t="inlineStr">
        <is>
          <t>MW</t>
        </is>
      </c>
      <c r="R93" t="n">
        <v>0.79</v>
      </c>
      <c r="S93" t="n">
        <v>12.5</v>
      </c>
      <c r="T93" t="n">
        <v>14</v>
      </c>
      <c r="V93" t="n">
        <v>0.1600133503709846</v>
      </c>
      <c r="W93" t="n">
        <v>31.536</v>
      </c>
    </row>
    <row r="94">
      <c r="A94" t="inlineStr">
        <is>
          <t>Commercial</t>
        </is>
      </c>
      <c r="B94" t="inlineStr">
        <is>
          <t>Office</t>
        </is>
      </c>
      <c r="D94" t="inlineStr">
        <is>
          <t>Old</t>
        </is>
      </c>
      <c r="E94" t="inlineStr">
        <is>
          <t>Space heating</t>
        </is>
      </c>
      <c r="F94" t="inlineStr">
        <is>
          <t>Fuel oil furnace</t>
        </is>
      </c>
      <c r="G94" t="inlineStr">
        <is>
          <t>Fuel oil</t>
        </is>
      </c>
      <c r="H94" t="inlineStr">
        <is>
          <t>COMFOI</t>
        </is>
      </c>
      <c r="I94" t="inlineStr">
        <is>
          <t>COMOFFOldSHEUE</t>
        </is>
      </c>
      <c r="J94" t="inlineStr">
        <is>
          <t>COMOFFOldSHFURFOI19</t>
        </is>
      </c>
      <c r="K94" t="n">
        <v>73.16481896464444</v>
      </c>
      <c r="L94" t="n">
        <v>1607.097955901425</v>
      </c>
      <c r="M94" t="n">
        <v>0.02957488461355039</v>
      </c>
      <c r="N94" t="n">
        <v>47.52973660845734</v>
      </c>
      <c r="O94" t="n">
        <v>36.14636469073181</v>
      </c>
      <c r="P94" t="n">
        <v>7.440972052321784</v>
      </c>
      <c r="Q94" t="inlineStr">
        <is>
          <t>MW</t>
        </is>
      </c>
      <c r="R94" t="n">
        <v>0.7605</v>
      </c>
      <c r="S94" t="n">
        <v>11.5</v>
      </c>
      <c r="T94" t="n">
        <v>4</v>
      </c>
      <c r="V94" t="n">
        <v>0.1540381683001693</v>
      </c>
      <c r="W94" t="n">
        <v>31.536</v>
      </c>
    </row>
    <row r="95">
      <c r="A95" t="inlineStr">
        <is>
          <t>Commercial</t>
        </is>
      </c>
      <c r="B95" t="inlineStr">
        <is>
          <t>Office</t>
        </is>
      </c>
      <c r="D95" t="inlineStr">
        <is>
          <t>Old</t>
        </is>
      </c>
      <c r="E95" t="inlineStr">
        <is>
          <t>Space heating</t>
        </is>
      </c>
      <c r="F95" t="inlineStr">
        <is>
          <t>Propane furnace</t>
        </is>
      </c>
      <c r="G95" t="inlineStr">
        <is>
          <t>LPG</t>
        </is>
      </c>
      <c r="H95" t="inlineStr">
        <is>
          <t>COMLPG</t>
        </is>
      </c>
      <c r="I95" t="inlineStr">
        <is>
          <t>COMOFFOldSHEUE</t>
        </is>
      </c>
      <c r="J95" t="inlineStr">
        <is>
          <t>COMOFFOldSHFURPRO19</t>
        </is>
      </c>
      <c r="K95" t="n">
        <v>73.16481896464444</v>
      </c>
      <c r="L95" t="n">
        <v>0</v>
      </c>
      <c r="M95" t="n">
        <v>0.06286238608544054</v>
      </c>
      <c r="N95" t="n">
        <v>0</v>
      </c>
      <c r="O95" t="n">
        <v>0</v>
      </c>
      <c r="P95" t="n">
        <v>0</v>
      </c>
      <c r="Q95" t="inlineStr">
        <is>
          <t>MW</t>
        </is>
      </c>
      <c r="R95" t="n">
        <v>0.7105</v>
      </c>
      <c r="S95" t="n">
        <v>11.5</v>
      </c>
      <c r="T95" t="n">
        <v>2.023541839846751</v>
      </c>
      <c r="V95" t="n">
        <v>0.2154783306501923</v>
      </c>
      <c r="W95" t="n">
        <v>31.536</v>
      </c>
    </row>
    <row r="96">
      <c r="A96" t="inlineStr">
        <is>
          <t>Commercial</t>
        </is>
      </c>
      <c r="B96" t="inlineStr">
        <is>
          <t>Office</t>
        </is>
      </c>
      <c r="D96" t="inlineStr">
        <is>
          <t>Old</t>
        </is>
      </c>
      <c r="E96" t="inlineStr">
        <is>
          <t>Space heating</t>
        </is>
      </c>
      <c r="F96" t="inlineStr">
        <is>
          <t>Propane boiler</t>
        </is>
      </c>
      <c r="G96" t="inlineStr">
        <is>
          <t>LPG</t>
        </is>
      </c>
      <c r="H96" t="inlineStr">
        <is>
          <t>COMLPG</t>
        </is>
      </c>
      <c r="I96" t="inlineStr">
        <is>
          <t>COMOFFOldSHEUE</t>
        </is>
      </c>
      <c r="J96" t="inlineStr">
        <is>
          <t>COMOFFOldSHBOIPRO19</t>
        </is>
      </c>
      <c r="K96" t="n">
        <v>73.16481896464444</v>
      </c>
      <c r="L96" t="n">
        <v>0</v>
      </c>
      <c r="M96" t="n">
        <v>0.01433859526036814</v>
      </c>
      <c r="N96" t="n">
        <v>0</v>
      </c>
      <c r="O96" t="n">
        <v>0</v>
      </c>
      <c r="P96" t="n">
        <v>0</v>
      </c>
      <c r="Q96" t="inlineStr">
        <is>
          <t>MW</t>
        </is>
      </c>
      <c r="R96" t="n">
        <v>0.76</v>
      </c>
      <c r="S96" t="n">
        <v>12.5</v>
      </c>
      <c r="T96" t="n">
        <v>11.35759354439353</v>
      </c>
      <c r="V96" t="n">
        <v>0.2072628739815873</v>
      </c>
      <c r="W96" t="n">
        <v>31.536</v>
      </c>
    </row>
    <row r="97">
      <c r="A97" t="inlineStr">
        <is>
          <t>Commercial</t>
        </is>
      </c>
      <c r="B97" t="inlineStr">
        <is>
          <t>Office</t>
        </is>
      </c>
      <c r="D97" t="inlineStr">
        <is>
          <t>Old</t>
        </is>
      </c>
      <c r="E97" t="inlineStr">
        <is>
          <t>Space heating</t>
        </is>
      </c>
      <c r="F97" t="inlineStr">
        <is>
          <t>Propane heat pump</t>
        </is>
      </c>
      <c r="G97" t="inlineStr">
        <is>
          <t>LPG</t>
        </is>
      </c>
      <c r="H97" t="inlineStr">
        <is>
          <t>COMLPG</t>
        </is>
      </c>
      <c r="I97" t="inlineStr">
        <is>
          <t>COMOFFOldSHEUE</t>
        </is>
      </c>
      <c r="J97" t="inlineStr">
        <is>
          <t>COMOFFOldSHAHPPRO19</t>
        </is>
      </c>
      <c r="K97" t="n">
        <v>73.16481896464444</v>
      </c>
      <c r="L97" t="n">
        <v>0</v>
      </c>
      <c r="M97" t="n">
        <v>0.9227990186541913</v>
      </c>
      <c r="N97" t="n">
        <v>0</v>
      </c>
      <c r="O97" t="n">
        <v>0</v>
      </c>
      <c r="P97" t="n">
        <v>0</v>
      </c>
      <c r="Q97" t="inlineStr">
        <is>
          <t>MW</t>
        </is>
      </c>
      <c r="R97" t="n">
        <v>1.3</v>
      </c>
      <c r="S97" t="n">
        <v>7.5</v>
      </c>
      <c r="T97" t="n">
        <v>12</v>
      </c>
      <c r="V97" t="n">
        <v>0.7066578549347342</v>
      </c>
      <c r="W97" t="n">
        <v>31.536</v>
      </c>
    </row>
    <row r="98">
      <c r="A98" t="inlineStr">
        <is>
          <t>Commercial</t>
        </is>
      </c>
      <c r="B98" t="inlineStr">
        <is>
          <t>Office</t>
        </is>
      </c>
      <c r="D98" t="inlineStr">
        <is>
          <t>Old</t>
        </is>
      </c>
      <c r="E98" t="inlineStr">
        <is>
          <t>Space heating</t>
        </is>
      </c>
      <c r="F98" t="inlineStr">
        <is>
          <t>District steam heating system</t>
        </is>
      </c>
      <c r="G98" t="inlineStr">
        <is>
          <t>Steam / Cooling</t>
        </is>
      </c>
      <c r="H98" t="inlineStr">
        <is>
          <t>COMSTM</t>
        </is>
      </c>
      <c r="I98" t="inlineStr">
        <is>
          <t>COMOFFOldSHEUE</t>
        </is>
      </c>
      <c r="J98" t="inlineStr">
        <is>
          <t>COMOFFOldSHDHESTM19</t>
        </is>
      </c>
      <c r="K98" t="n">
        <v>73.16481896464444</v>
      </c>
      <c r="L98" t="n">
        <v>493.9485125882903</v>
      </c>
      <c r="M98" t="n">
        <v>1</v>
      </c>
      <c r="N98" t="n">
        <v>493.9485125882903</v>
      </c>
      <c r="O98" t="n">
        <v>462.8791511464868</v>
      </c>
      <c r="P98" t="n">
        <v>46.5861640293014</v>
      </c>
      <c r="Q98" t="inlineStr">
        <is>
          <t>MW</t>
        </is>
      </c>
      <c r="R98" t="n">
        <v>0.9370999999999999</v>
      </c>
      <c r="S98" t="n">
        <v>12.5</v>
      </c>
      <c r="T98" t="n">
        <v>1</v>
      </c>
      <c r="V98" t="n">
        <v>0.3150678297368441</v>
      </c>
      <c r="W98" t="n">
        <v>31.536</v>
      </c>
    </row>
    <row r="99">
      <c r="A99" t="inlineStr">
        <is>
          <t>Commercial</t>
        </is>
      </c>
      <c r="B99" t="inlineStr">
        <is>
          <t>Office</t>
        </is>
      </c>
      <c r="D99" t="inlineStr">
        <is>
          <t>Old</t>
        </is>
      </c>
      <c r="E99" t="inlineStr">
        <is>
          <t>Space cooling</t>
        </is>
      </c>
      <c r="F99" t="inlineStr">
        <is>
          <t>Res type central AC electric</t>
        </is>
      </c>
      <c r="G99" t="inlineStr">
        <is>
          <t>Electricity</t>
        </is>
      </c>
      <c r="H99" t="inlineStr">
        <is>
          <t>COMELC</t>
        </is>
      </c>
      <c r="I99" t="inlineStr">
        <is>
          <t>COMOFFOldSCEUE</t>
        </is>
      </c>
      <c r="J99" t="inlineStr">
        <is>
          <t>COMOFFOldSCRESELC19</t>
        </is>
      </c>
      <c r="K99" t="n">
        <v>73.16481896464444</v>
      </c>
      <c r="L99" t="n">
        <v>1262.296320729658</v>
      </c>
      <c r="M99" t="n">
        <v>0.01877535675106486</v>
      </c>
      <c r="N99" t="n">
        <v>23.70006374725592</v>
      </c>
      <c r="O99" t="n">
        <v>79.18544159399694</v>
      </c>
      <c r="P99" t="n">
        <v>12.26408426776154</v>
      </c>
      <c r="Q99" t="inlineStr">
        <is>
          <t>MW</t>
        </is>
      </c>
      <c r="R99" t="n">
        <v>3.341148886283705</v>
      </c>
      <c r="S99" t="n">
        <v>9</v>
      </c>
      <c r="T99" t="n">
        <v>8</v>
      </c>
      <c r="V99" t="n">
        <v>0.2047404295556496</v>
      </c>
      <c r="W99" t="n">
        <v>31.536</v>
      </c>
    </row>
    <row r="100">
      <c r="A100" t="inlineStr">
        <is>
          <t>Commercial</t>
        </is>
      </c>
      <c r="B100" t="inlineStr">
        <is>
          <t>Office</t>
        </is>
      </c>
      <c r="D100" t="inlineStr">
        <is>
          <t>Old</t>
        </is>
      </c>
      <c r="E100" t="inlineStr">
        <is>
          <t>Space cooling</t>
        </is>
      </c>
      <c r="F100" t="inlineStr">
        <is>
          <t>Room AC electric</t>
        </is>
      </c>
      <c r="G100" t="inlineStr">
        <is>
          <t>Electricity</t>
        </is>
      </c>
      <c r="H100" t="inlineStr">
        <is>
          <t>COMELC</t>
        </is>
      </c>
      <c r="I100" t="inlineStr">
        <is>
          <t>COMOFFOldSCEUE</t>
        </is>
      </c>
      <c r="J100" t="inlineStr">
        <is>
          <t>COMOFFOldSCRACELC19</t>
        </is>
      </c>
      <c r="K100" t="n">
        <v>73.16481896464444</v>
      </c>
      <c r="L100" t="n">
        <v>1262.296320729658</v>
      </c>
      <c r="M100" t="n">
        <v>0.3135453649066502</v>
      </c>
      <c r="N100" t="n">
        <v>395.7871605035028</v>
      </c>
      <c r="O100" t="n">
        <v>1009.187660134957</v>
      </c>
      <c r="P100" t="n">
        <v>186.6568344851106</v>
      </c>
      <c r="Q100" t="inlineStr">
        <is>
          <t>MW</t>
        </is>
      </c>
      <c r="R100" t="n">
        <v>2.549824150058616</v>
      </c>
      <c r="S100" t="n">
        <v>5</v>
      </c>
      <c r="T100" t="n">
        <v>0</v>
      </c>
      <c r="V100" t="n">
        <v>0.171443659503474</v>
      </c>
      <c r="W100" t="n">
        <v>31.536</v>
      </c>
    </row>
    <row r="101">
      <c r="A101" t="inlineStr">
        <is>
          <t>Commercial</t>
        </is>
      </c>
      <c r="B101" t="inlineStr">
        <is>
          <t>Office</t>
        </is>
      </c>
      <c r="D101" t="inlineStr">
        <is>
          <t>Old</t>
        </is>
      </c>
      <c r="E101" t="inlineStr">
        <is>
          <t>Space cooling</t>
        </is>
      </c>
      <c r="F101" t="inlineStr">
        <is>
          <t>Central AC electric</t>
        </is>
      </c>
      <c r="G101" t="inlineStr">
        <is>
          <t>Electricity</t>
        </is>
      </c>
      <c r="H101" t="inlineStr">
        <is>
          <t>COMELC</t>
        </is>
      </c>
      <c r="I101" t="inlineStr">
        <is>
          <t>COMOFFOldSCEUE</t>
        </is>
      </c>
      <c r="J101" t="inlineStr">
        <is>
          <t>COMOFFOldSCCACELC19</t>
        </is>
      </c>
      <c r="K101" t="n">
        <v>73.16481896464444</v>
      </c>
      <c r="L101" t="n">
        <v>1262.296320729658</v>
      </c>
      <c r="M101" t="n">
        <v>0.5479420744214286</v>
      </c>
      <c r="N101" t="n">
        <v>691.665264515146</v>
      </c>
      <c r="O101" t="n">
        <v>2115.292108206777</v>
      </c>
      <c r="P101" t="n">
        <v>338.5147080454232</v>
      </c>
      <c r="Q101" t="inlineStr">
        <is>
          <t>MW</t>
        </is>
      </c>
      <c r="R101" t="n">
        <v>3.058259850145268</v>
      </c>
      <c r="S101" t="n">
        <v>9</v>
      </c>
      <c r="T101" t="n">
        <v>8</v>
      </c>
      <c r="V101" t="n">
        <v>0.1981464058782797</v>
      </c>
      <c r="W101" t="n">
        <v>31.536</v>
      </c>
    </row>
    <row r="102">
      <c r="A102" t="inlineStr">
        <is>
          <t>Commercial</t>
        </is>
      </c>
      <c r="B102" t="inlineStr">
        <is>
          <t>Office</t>
        </is>
      </c>
      <c r="D102" t="inlineStr">
        <is>
          <t>Old</t>
        </is>
      </c>
      <c r="E102" t="inlineStr">
        <is>
          <t>Space cooling</t>
        </is>
      </c>
      <c r="F102" t="inlineStr">
        <is>
          <t>Rooftop Air HP electric</t>
        </is>
      </c>
      <c r="G102" t="inlineStr">
        <is>
          <t>Electricity</t>
        </is>
      </c>
      <c r="H102" t="inlineStr">
        <is>
          <t>COMELC</t>
        </is>
      </c>
      <c r="I102" t="inlineStr">
        <is>
          <t>COMOFFOldSCEUE</t>
        </is>
      </c>
      <c r="J102" t="inlineStr">
        <is>
          <t>COMOFFOldSCAHPELC19</t>
        </is>
      </c>
      <c r="K102" t="n">
        <v>73.16481896464444</v>
      </c>
      <c r="L102" t="n">
        <v>1262.296320729658</v>
      </c>
      <c r="M102" t="n">
        <v>0.04642155376046802</v>
      </c>
      <c r="N102" t="n">
        <v>58.59775651439282</v>
      </c>
      <c r="O102" t="n">
        <v>159.7183867479054</v>
      </c>
      <c r="P102" t="n">
        <v>40.68990961216</v>
      </c>
      <c r="Q102" t="inlineStr">
        <is>
          <t>MW</t>
        </is>
      </c>
      <c r="R102" t="n">
        <v>2.72567409144197</v>
      </c>
      <c r="S102" t="n">
        <v>10.5</v>
      </c>
      <c r="T102" t="n">
        <v>14</v>
      </c>
      <c r="V102" t="n">
        <v>0.1244691096154462</v>
      </c>
      <c r="W102" t="n">
        <v>31.536</v>
      </c>
    </row>
    <row r="103">
      <c r="A103" t="inlineStr">
        <is>
          <t>Commercial</t>
        </is>
      </c>
      <c r="B103" t="inlineStr">
        <is>
          <t>Office</t>
        </is>
      </c>
      <c r="D103" t="inlineStr">
        <is>
          <t>Old</t>
        </is>
      </c>
      <c r="E103" t="inlineStr">
        <is>
          <t>Space cooling</t>
        </is>
      </c>
      <c r="F103" t="inlineStr">
        <is>
          <t>Rooftop Air AC electric</t>
        </is>
      </c>
      <c r="G103" t="inlineStr">
        <is>
          <t>Electricity</t>
        </is>
      </c>
      <c r="H103" t="inlineStr">
        <is>
          <t>COMELC</t>
        </is>
      </c>
      <c r="I103" t="inlineStr">
        <is>
          <t>COMOFFOldSCEUE</t>
        </is>
      </c>
      <c r="J103" t="inlineStr">
        <is>
          <t>COMOFFOldSCAACELC19</t>
        </is>
      </c>
      <c r="K103" t="n">
        <v>73.16481896464444</v>
      </c>
      <c r="L103" t="n">
        <v>1262.296320729658</v>
      </c>
      <c r="M103" t="n">
        <v>0.001650287494239581</v>
      </c>
      <c r="N103" t="n">
        <v>2.08315183212479</v>
      </c>
      <c r="O103" t="n">
        <v>5.616939289433784</v>
      </c>
      <c r="P103" t="n">
        <v>0.9007724090121528</v>
      </c>
      <c r="Q103" t="inlineStr">
        <is>
          <t>MW</t>
        </is>
      </c>
      <c r="R103" t="n">
        <v>2.696365767878077</v>
      </c>
      <c r="S103" t="n">
        <v>10.5</v>
      </c>
      <c r="T103" t="n">
        <v>14</v>
      </c>
      <c r="V103" t="n">
        <v>0.1977324956574872</v>
      </c>
      <c r="W103" t="n">
        <v>31.536</v>
      </c>
    </row>
    <row r="104">
      <c r="A104" t="inlineStr">
        <is>
          <t>Commercial</t>
        </is>
      </c>
      <c r="B104" t="inlineStr">
        <is>
          <t>Office</t>
        </is>
      </c>
      <c r="D104" t="inlineStr">
        <is>
          <t>Old</t>
        </is>
      </c>
      <c r="E104" t="inlineStr">
        <is>
          <t>Space cooling</t>
        </is>
      </c>
      <c r="F104" t="inlineStr">
        <is>
          <t>Res type central AC gas</t>
        </is>
      </c>
      <c r="G104" t="inlineStr">
        <is>
          <t>Electricity</t>
        </is>
      </c>
      <c r="H104" t="inlineStr">
        <is>
          <t>COMELC</t>
        </is>
      </c>
      <c r="I104" t="inlineStr">
        <is>
          <t>COMOFFOldSCEUE</t>
        </is>
      </c>
      <c r="J104" t="inlineStr">
        <is>
          <t>COMOFFOldSCRESNGA19</t>
        </is>
      </c>
      <c r="K104" t="n">
        <v>73.16481896464444</v>
      </c>
      <c r="L104" t="n">
        <v>1262.296320729658</v>
      </c>
      <c r="M104" t="n">
        <v>0.001619274405237545</v>
      </c>
      <c r="N104" t="n">
        <v>2.04400412398306</v>
      </c>
      <c r="O104" t="n">
        <v>1.226402474389836</v>
      </c>
      <c r="P104" t="n">
        <v>2.113264020788452</v>
      </c>
      <c r="Q104" t="inlineStr">
        <is>
          <t>MW</t>
        </is>
      </c>
      <c r="R104" t="n">
        <v>0.6</v>
      </c>
      <c r="S104" t="n">
        <v>7.5</v>
      </c>
      <c r="T104" t="n">
        <v>12</v>
      </c>
      <c r="V104" t="n">
        <v>0.01840232312135164</v>
      </c>
      <c r="W104" t="n">
        <v>31.536</v>
      </c>
    </row>
    <row r="105">
      <c r="A105" t="inlineStr">
        <is>
          <t>Commercial</t>
        </is>
      </c>
      <c r="B105" t="inlineStr">
        <is>
          <t>Office</t>
        </is>
      </c>
      <c r="D105" t="inlineStr">
        <is>
          <t>Old</t>
        </is>
      </c>
      <c r="E105" t="inlineStr">
        <is>
          <t>Space cooling</t>
        </is>
      </c>
      <c r="F105" t="inlineStr">
        <is>
          <t>Absorption chiller</t>
        </is>
      </c>
      <c r="G105" t="inlineStr">
        <is>
          <t>Electricity</t>
        </is>
      </c>
      <c r="H105" t="inlineStr">
        <is>
          <t>COMELC</t>
        </is>
      </c>
      <c r="I105" t="inlineStr">
        <is>
          <t>COMOFFOldSCEUE</t>
        </is>
      </c>
      <c r="J105" t="inlineStr">
        <is>
          <t>COMOFFOldSCACHSTM19</t>
        </is>
      </c>
      <c r="K105" t="n">
        <v>73.16481896464444</v>
      </c>
      <c r="L105" t="n">
        <v>1262.296320729658</v>
      </c>
      <c r="M105" t="n">
        <v>0.07004608826091148</v>
      </c>
      <c r="N105" t="n">
        <v>88.41891949325348</v>
      </c>
      <c r="O105" t="n">
        <v>88.41891949325348</v>
      </c>
      <c r="P105" t="n">
        <v>12.4372271933178</v>
      </c>
      <c r="Q105" t="inlineStr">
        <is>
          <t>MW</t>
        </is>
      </c>
      <c r="R105" t="n">
        <v>1</v>
      </c>
      <c r="S105" t="n">
        <v>11.5</v>
      </c>
      <c r="T105" t="n">
        <v>10</v>
      </c>
      <c r="V105" t="n">
        <v>0.2254317221178267</v>
      </c>
      <c r="W105" t="n">
        <v>31.536</v>
      </c>
    </row>
    <row r="106">
      <c r="A106" t="inlineStr">
        <is>
          <t>Commercial</t>
        </is>
      </c>
      <c r="B106" t="inlineStr">
        <is>
          <t>Office</t>
        </is>
      </c>
      <c r="D106" t="inlineStr">
        <is>
          <t>Old</t>
        </is>
      </c>
      <c r="E106" t="inlineStr">
        <is>
          <t>Space cooling</t>
        </is>
      </c>
      <c r="F106" t="inlineStr">
        <is>
          <t>District chilled water</t>
        </is>
      </c>
      <c r="G106" t="inlineStr">
        <is>
          <t>Electricity</t>
        </is>
      </c>
      <c r="H106" t="inlineStr">
        <is>
          <t>COMELC</t>
        </is>
      </c>
      <c r="I106" t="inlineStr">
        <is>
          <t>COMOFFOldSCEUE</t>
        </is>
      </c>
      <c r="J106" t="inlineStr">
        <is>
          <t>COMOFFOldSCDCOCHI19</t>
        </is>
      </c>
      <c r="K106" t="n">
        <v>73.16481896464444</v>
      </c>
      <c r="L106" t="n">
        <v>1262.296320729658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MW</t>
        </is>
      </c>
      <c r="R106" t="n">
        <v>1</v>
      </c>
      <c r="S106" t="n">
        <v>12.5</v>
      </c>
      <c r="T106" t="n">
        <v>1</v>
      </c>
      <c r="V106" t="n">
        <v>0</v>
      </c>
      <c r="W106" t="n">
        <v>31.536</v>
      </c>
    </row>
    <row r="107">
      <c r="A107" t="inlineStr">
        <is>
          <t>Commercial</t>
        </is>
      </c>
      <c r="B107" t="inlineStr">
        <is>
          <t>Office</t>
        </is>
      </c>
      <c r="D107" t="inlineStr">
        <is>
          <t>Old</t>
        </is>
      </c>
      <c r="E107" t="inlineStr">
        <is>
          <t>Ventilation</t>
        </is>
      </c>
      <c r="F107" t="inlineStr">
        <is>
          <t>Electricity</t>
        </is>
      </c>
      <c r="G107" t="inlineStr">
        <is>
          <t>Electricity</t>
        </is>
      </c>
      <c r="H107" t="inlineStr">
        <is>
          <t>COMELC</t>
        </is>
      </c>
      <c r="I107" t="inlineStr">
        <is>
          <t>COMOFFOldVTEUE</t>
        </is>
      </c>
      <c r="J107" t="inlineStr">
        <is>
          <t>COMOFFOldVTELC19</t>
        </is>
      </c>
      <c r="K107" t="n">
        <v>73.16481896464444</v>
      </c>
      <c r="L107" t="n">
        <v>7433.530147718569</v>
      </c>
      <c r="M107" t="n">
        <v>1</v>
      </c>
      <c r="N107" t="n">
        <v>7433.530147718569</v>
      </c>
      <c r="O107" t="n">
        <v>7433.530147718569</v>
      </c>
      <c r="P107" t="n">
        <v>535.717487929997</v>
      </c>
      <c r="Q107" t="inlineStr">
        <is>
          <t>MW</t>
        </is>
      </c>
      <c r="R107" t="n">
        <v>1</v>
      </c>
      <c r="S107" t="n">
        <v>10</v>
      </c>
      <c r="T107" t="n">
        <v>97</v>
      </c>
      <c r="V107" t="n">
        <v>0.44</v>
      </c>
      <c r="W107" t="n">
        <v>31.536</v>
      </c>
    </row>
    <row r="108">
      <c r="A108" t="inlineStr">
        <is>
          <t>Commercial</t>
        </is>
      </c>
      <c r="B108" t="inlineStr">
        <is>
          <t>Office</t>
        </is>
      </c>
      <c r="D108" t="inlineStr">
        <is>
          <t>Old</t>
        </is>
      </c>
      <c r="E108" t="inlineStr">
        <is>
          <t>Water heating</t>
        </is>
      </c>
      <c r="F108" t="inlineStr">
        <is>
          <t>Fuel oil</t>
        </is>
      </c>
      <c r="G108" t="inlineStr">
        <is>
          <t>Fuel oil</t>
        </is>
      </c>
      <c r="H108" t="inlineStr">
        <is>
          <t>COMFOI</t>
        </is>
      </c>
      <c r="I108" t="inlineStr">
        <is>
          <t>COMOFFOldWHEUE</t>
        </is>
      </c>
      <c r="J108" t="inlineStr">
        <is>
          <t>COMOFFOldWHFOI19</t>
        </is>
      </c>
      <c r="K108" t="n">
        <v>73.16481896464444</v>
      </c>
      <c r="L108" t="n">
        <v>61.49367270352434</v>
      </c>
      <c r="M108" t="n">
        <v>1</v>
      </c>
      <c r="N108" t="n">
        <v>61.49367270352434</v>
      </c>
      <c r="O108" t="n">
        <v>47.96506470874898</v>
      </c>
      <c r="P108" t="n">
        <v>3.456732328186905</v>
      </c>
      <c r="Q108" t="inlineStr">
        <is>
          <t>MW</t>
        </is>
      </c>
      <c r="R108" t="n">
        <v>0.78</v>
      </c>
      <c r="S108" t="n">
        <v>6.5</v>
      </c>
      <c r="T108" t="n">
        <v>6</v>
      </c>
      <c r="V108" t="n">
        <v>0.44</v>
      </c>
      <c r="W108" t="n">
        <v>31.536</v>
      </c>
    </row>
    <row r="109">
      <c r="A109" t="inlineStr">
        <is>
          <t>Commercial</t>
        </is>
      </c>
      <c r="B109" t="inlineStr">
        <is>
          <t>Office</t>
        </is>
      </c>
      <c r="D109" t="inlineStr">
        <is>
          <t>Old</t>
        </is>
      </c>
      <c r="E109" t="inlineStr">
        <is>
          <t>Water heating</t>
        </is>
      </c>
      <c r="F109" t="inlineStr">
        <is>
          <t>Natural gas</t>
        </is>
      </c>
      <c r="G109" t="inlineStr">
        <is>
          <t>Natural gas</t>
        </is>
      </c>
      <c r="H109" t="inlineStr">
        <is>
          <t>COMNGA</t>
        </is>
      </c>
      <c r="I109" t="inlineStr">
        <is>
          <t>COMOFFOldWHEUE</t>
        </is>
      </c>
      <c r="J109" t="inlineStr">
        <is>
          <t>COMOFFOldWHNGA19</t>
        </is>
      </c>
      <c r="K109" t="n">
        <v>73.16481896464444</v>
      </c>
      <c r="L109" t="n">
        <v>577.3457099156522</v>
      </c>
      <c r="M109" t="n">
        <v>1</v>
      </c>
      <c r="N109" t="n">
        <v>577.3457099156522</v>
      </c>
      <c r="O109" t="n">
        <v>444.5561966350522</v>
      </c>
      <c r="P109" t="n">
        <v>32.03814663725239</v>
      </c>
      <c r="Q109" t="inlineStr">
        <is>
          <t>MW</t>
        </is>
      </c>
      <c r="R109" t="n">
        <v>0.77</v>
      </c>
      <c r="S109" t="n">
        <v>5</v>
      </c>
      <c r="T109" t="n">
        <v>7</v>
      </c>
      <c r="V109" t="n">
        <v>0.44</v>
      </c>
      <c r="W109" t="n">
        <v>31.536</v>
      </c>
    </row>
    <row r="110">
      <c r="A110" t="inlineStr">
        <is>
          <t>Commercial</t>
        </is>
      </c>
      <c r="B110" t="inlineStr">
        <is>
          <t>Office</t>
        </is>
      </c>
      <c r="D110" t="inlineStr">
        <is>
          <t>Old</t>
        </is>
      </c>
      <c r="E110" t="inlineStr">
        <is>
          <t>Water heating</t>
        </is>
      </c>
      <c r="F110" t="inlineStr">
        <is>
          <t>Steam / Cooling</t>
        </is>
      </c>
      <c r="G110" t="inlineStr">
        <is>
          <t>Steam / Cooling</t>
        </is>
      </c>
      <c r="H110" t="inlineStr">
        <is>
          <t>COMSTM</t>
        </is>
      </c>
      <c r="I110" t="inlineStr">
        <is>
          <t>COMOFFOldWHEUE</t>
        </is>
      </c>
      <c r="J110" t="inlineStr">
        <is>
          <t>COMOFFOldWHSTM19</t>
        </is>
      </c>
      <c r="K110" t="n">
        <v>73.16481896464444</v>
      </c>
      <c r="L110" t="n">
        <v>23.52500148735869</v>
      </c>
      <c r="M110" t="n">
        <v>1</v>
      </c>
      <c r="N110" t="n">
        <v>23.52500148735869</v>
      </c>
      <c r="O110" t="n">
        <v>22.93099519980288</v>
      </c>
      <c r="P110" t="n">
        <v>1.652584290378303</v>
      </c>
      <c r="Q110" t="inlineStr">
        <is>
          <t>MW</t>
        </is>
      </c>
      <c r="R110" t="n">
        <v>0.9747499999999999</v>
      </c>
      <c r="S110" t="n">
        <v>12.5</v>
      </c>
      <c r="T110" t="n">
        <v>1</v>
      </c>
      <c r="V110" t="n">
        <v>0.44</v>
      </c>
      <c r="W110" t="n">
        <v>31.536</v>
      </c>
    </row>
    <row r="111">
      <c r="A111" t="inlineStr">
        <is>
          <t>Commercial</t>
        </is>
      </c>
      <c r="B111" t="inlineStr">
        <is>
          <t>Office</t>
        </is>
      </c>
      <c r="D111" t="inlineStr">
        <is>
          <t>Old</t>
        </is>
      </c>
      <c r="E111" t="inlineStr">
        <is>
          <t>Water heating</t>
        </is>
      </c>
      <c r="F111" t="inlineStr">
        <is>
          <t>Electricity</t>
        </is>
      </c>
      <c r="G111" t="inlineStr">
        <is>
          <t>Electricity</t>
        </is>
      </c>
      <c r="H111" t="inlineStr">
        <is>
          <t>COMELC</t>
        </is>
      </c>
      <c r="I111" t="inlineStr">
        <is>
          <t>COMOFFOldWHEUE</t>
        </is>
      </c>
      <c r="J111" t="inlineStr">
        <is>
          <t>COMOFFOldWHELC19</t>
        </is>
      </c>
      <c r="K111" t="n">
        <v>73.16481896464444</v>
      </c>
      <c r="L111" t="n">
        <v>168.7824881161987</v>
      </c>
      <c r="M111" t="n">
        <v>1</v>
      </c>
      <c r="N111" t="n">
        <v>168.7824881161987</v>
      </c>
      <c r="O111" t="n">
        <v>164.5207302912647</v>
      </c>
      <c r="P111" t="n">
        <v>11.85663212398419</v>
      </c>
      <c r="Q111" t="inlineStr">
        <is>
          <t>MW</t>
        </is>
      </c>
      <c r="R111" t="n">
        <v>0.9747499999999999</v>
      </c>
      <c r="S111" t="n">
        <v>7.5</v>
      </c>
      <c r="T111" t="n">
        <v>2</v>
      </c>
      <c r="V111" t="n">
        <v>0.44</v>
      </c>
      <c r="W111" t="n">
        <v>31.536</v>
      </c>
    </row>
    <row r="112">
      <c r="A112" t="inlineStr">
        <is>
          <t>Commercial</t>
        </is>
      </c>
      <c r="B112" t="inlineStr">
        <is>
          <t>Office</t>
        </is>
      </c>
      <c r="D112" t="inlineStr">
        <is>
          <t>Old</t>
        </is>
      </c>
      <c r="E112" t="inlineStr">
        <is>
          <t>Lighting</t>
        </is>
      </c>
      <c r="F112" t="inlineStr">
        <is>
          <t>Fluorescent</t>
        </is>
      </c>
      <c r="G112" t="inlineStr">
        <is>
          <t>Electricity</t>
        </is>
      </c>
      <c r="H112" t="inlineStr">
        <is>
          <t>COMELC</t>
        </is>
      </c>
      <c r="I112" t="inlineStr">
        <is>
          <t>COMOFFOldLTEUE</t>
        </is>
      </c>
      <c r="J112" t="inlineStr">
        <is>
          <t>COMOFFOldLTFLUELC19</t>
        </is>
      </c>
      <c r="K112" t="n">
        <v>73.16481896464444</v>
      </c>
      <c r="L112" t="n">
        <v>3276.10154951925</v>
      </c>
      <c r="M112" t="n">
        <v>0.4590748843792514</v>
      </c>
      <c r="N112" t="n">
        <v>1503.975940060236</v>
      </c>
      <c r="O112" t="n">
        <v>3582.677298897173</v>
      </c>
      <c r="P112" t="n">
        <v>7254.375253379235</v>
      </c>
      <c r="Q112" t="inlineStr">
        <is>
          <t>Mlma</t>
        </is>
      </c>
      <c r="R112" t="n">
        <v>2.382137375650891</v>
      </c>
      <c r="S112" t="n">
        <v>5</v>
      </c>
      <c r="T112" t="n">
        <v>1</v>
      </c>
      <c r="V112" t="n">
        <v>0.4938643472059554</v>
      </c>
      <c r="W112" t="n">
        <v>1</v>
      </c>
    </row>
    <row r="113">
      <c r="A113" t="inlineStr">
        <is>
          <t>Commercial</t>
        </is>
      </c>
      <c r="B113" t="inlineStr">
        <is>
          <t>Office</t>
        </is>
      </c>
      <c r="D113" t="inlineStr">
        <is>
          <t>Old</t>
        </is>
      </c>
      <c r="E113" t="inlineStr">
        <is>
          <t>Lighting</t>
        </is>
      </c>
      <c r="F113" t="inlineStr">
        <is>
          <t>Compact fluorescent</t>
        </is>
      </c>
      <c r="G113" t="inlineStr">
        <is>
          <t>Electricity</t>
        </is>
      </c>
      <c r="H113" t="inlineStr">
        <is>
          <t>COMELC</t>
        </is>
      </c>
      <c r="I113" t="inlineStr">
        <is>
          <t>COMOFFOldLTEUE</t>
        </is>
      </c>
      <c r="J113" t="inlineStr">
        <is>
          <t>COMOFFOldLTCFLELC19</t>
        </is>
      </c>
      <c r="K113" t="n">
        <v>73.16481896464444</v>
      </c>
      <c r="L113" t="n">
        <v>3276.10154951925</v>
      </c>
      <c r="M113" t="n">
        <v>0.141909119708363</v>
      </c>
      <c r="N113" t="n">
        <v>464.9086869674807</v>
      </c>
      <c r="O113" t="n">
        <v>639.2876176269615</v>
      </c>
      <c r="P113" t="n">
        <v>1534.422519401304</v>
      </c>
      <c r="Q113" t="inlineStr">
        <is>
          <t>Mlma</t>
        </is>
      </c>
      <c r="R113" t="n">
        <v>1.375082108697354</v>
      </c>
      <c r="S113" t="n">
        <v>5</v>
      </c>
      <c r="T113" t="n">
        <v>5</v>
      </c>
      <c r="V113" t="n">
        <v>0.4166307581802153</v>
      </c>
      <c r="W113" t="n">
        <v>1</v>
      </c>
    </row>
    <row r="114">
      <c r="A114" t="inlineStr">
        <is>
          <t>Commercial</t>
        </is>
      </c>
      <c r="B114" t="inlineStr">
        <is>
          <t>Office</t>
        </is>
      </c>
      <c r="D114" t="inlineStr">
        <is>
          <t>Old</t>
        </is>
      </c>
      <c r="E114" t="inlineStr">
        <is>
          <t>Lighting</t>
        </is>
      </c>
      <c r="F114" t="inlineStr">
        <is>
          <t>Incandescent</t>
        </is>
      </c>
      <c r="G114" t="inlineStr">
        <is>
          <t>Electricity</t>
        </is>
      </c>
      <c r="H114" t="inlineStr">
        <is>
          <t>COMELC</t>
        </is>
      </c>
      <c r="I114" t="inlineStr">
        <is>
          <t>COMOFFOldLTEUE</t>
        </is>
      </c>
      <c r="J114" t="inlineStr">
        <is>
          <t>COMOFFOldLTINCELC19</t>
        </is>
      </c>
      <c r="K114" t="n">
        <v>73.16481896464444</v>
      </c>
      <c r="L114" t="n">
        <v>3276.10154951925</v>
      </c>
      <c r="M114" t="n">
        <v>0.04895543543773359</v>
      </c>
      <c r="N114" t="n">
        <v>160.3829778949486</v>
      </c>
      <c r="O114" t="n">
        <v>53.65930984013313</v>
      </c>
      <c r="P114" t="n">
        <v>355.7675421981995</v>
      </c>
      <c r="Q114" t="inlineStr">
        <is>
          <t>Mlma</t>
        </is>
      </c>
      <c r="R114" t="n">
        <v>0.3345698561307432</v>
      </c>
      <c r="S114" t="n">
        <v>0.5</v>
      </c>
      <c r="T114" t="n">
        <v>1</v>
      </c>
      <c r="V114" t="n">
        <v>0.1508268840619511</v>
      </c>
      <c r="W114" t="n">
        <v>1</v>
      </c>
    </row>
    <row r="115">
      <c r="A115" t="inlineStr">
        <is>
          <t>Commercial</t>
        </is>
      </c>
      <c r="B115" t="inlineStr">
        <is>
          <t>Office</t>
        </is>
      </c>
      <c r="D115" t="inlineStr">
        <is>
          <t>Old</t>
        </is>
      </c>
      <c r="E115" t="inlineStr">
        <is>
          <t>Lighting</t>
        </is>
      </c>
      <c r="F115" t="inlineStr">
        <is>
          <t>Halogen</t>
        </is>
      </c>
      <c r="G115" t="inlineStr">
        <is>
          <t>Electricity</t>
        </is>
      </c>
      <c r="H115" t="inlineStr">
        <is>
          <t>COMELC</t>
        </is>
      </c>
      <c r="I115" t="inlineStr">
        <is>
          <t>COMOFFOldLTEUE</t>
        </is>
      </c>
      <c r="J115" t="inlineStr">
        <is>
          <t>COMOFFOldLTHALELC19</t>
        </is>
      </c>
      <c r="K115" t="n">
        <v>73.16481896464444</v>
      </c>
      <c r="L115" t="n">
        <v>3276.10154951925</v>
      </c>
      <c r="M115" t="n">
        <v>0.002739798783385019</v>
      </c>
      <c r="N115" t="n">
        <v>8.975859039618618</v>
      </c>
      <c r="O115" t="n">
        <v>4.054120021172292</v>
      </c>
      <c r="P115" t="n">
        <v>215.2406486784274</v>
      </c>
      <c r="Q115" t="inlineStr">
        <is>
          <t>Mlma</t>
        </is>
      </c>
      <c r="R115" t="n">
        <v>0.4516693057765032</v>
      </c>
      <c r="S115" t="n">
        <v>5</v>
      </c>
      <c r="T115" t="n">
        <v>37</v>
      </c>
      <c r="V115" t="n">
        <v>0.01883528992346239</v>
      </c>
      <c r="W115" t="n">
        <v>1</v>
      </c>
    </row>
    <row r="116">
      <c r="A116" t="inlineStr">
        <is>
          <t>Commercial</t>
        </is>
      </c>
      <c r="B116" t="inlineStr">
        <is>
          <t>Office</t>
        </is>
      </c>
      <c r="D116" t="inlineStr">
        <is>
          <t>Old</t>
        </is>
      </c>
      <c r="E116" t="inlineStr">
        <is>
          <t>Lighting</t>
        </is>
      </c>
      <c r="F116" t="inlineStr">
        <is>
          <t>HID</t>
        </is>
      </c>
      <c r="G116" t="inlineStr">
        <is>
          <t>Electricity</t>
        </is>
      </c>
      <c r="H116" t="inlineStr">
        <is>
          <t>COMELC</t>
        </is>
      </c>
      <c r="I116" t="inlineStr">
        <is>
          <t>COMOFFOldLTEUE</t>
        </is>
      </c>
      <c r="J116" t="inlineStr">
        <is>
          <t>COMOFFOldLTHIDELC19</t>
        </is>
      </c>
      <c r="K116" t="n">
        <v>73.16481896464444</v>
      </c>
      <c r="L116" t="n">
        <v>3276.10154951925</v>
      </c>
      <c r="M116" t="n">
        <v>0.02772668745964896</v>
      </c>
      <c r="N116" t="n">
        <v>90.8354437495919</v>
      </c>
      <c r="O116" t="n">
        <v>171.9067302667397</v>
      </c>
      <c r="P116" t="n">
        <v>295.1719140029307</v>
      </c>
      <c r="Q116" t="inlineStr">
        <is>
          <t>Mlma</t>
        </is>
      </c>
      <c r="R116" t="n">
        <v>1.892507188500546</v>
      </c>
      <c r="S116" t="n">
        <v>0.5</v>
      </c>
      <c r="T116" t="n">
        <v>1</v>
      </c>
      <c r="V116" t="n">
        <v>0.5823952825844833</v>
      </c>
      <c r="W116" t="n">
        <v>1</v>
      </c>
    </row>
    <row r="117">
      <c r="A117" t="inlineStr">
        <is>
          <t>Commercial</t>
        </is>
      </c>
      <c r="B117" t="inlineStr">
        <is>
          <t>Office</t>
        </is>
      </c>
      <c r="D117" t="inlineStr">
        <is>
          <t>Old</t>
        </is>
      </c>
      <c r="E117" t="inlineStr">
        <is>
          <t>Lighting</t>
        </is>
      </c>
      <c r="F117" t="inlineStr">
        <is>
          <t>LED</t>
        </is>
      </c>
      <c r="G117" t="inlineStr">
        <is>
          <t>Electricity</t>
        </is>
      </c>
      <c r="H117" t="inlineStr">
        <is>
          <t>COMELC</t>
        </is>
      </c>
      <c r="I117" t="inlineStr">
        <is>
          <t>COMOFFOldLTEUE</t>
        </is>
      </c>
      <c r="J117" t="inlineStr">
        <is>
          <t>COMOFFOldLTLEDELC19</t>
        </is>
      </c>
      <c r="K117" t="n">
        <v>73.16481896464444</v>
      </c>
      <c r="L117" t="n">
        <v>3276.10154951925</v>
      </c>
      <c r="M117" t="n">
        <v>0.3195940742316189</v>
      </c>
      <c r="N117" t="n">
        <v>1047.022641807377</v>
      </c>
      <c r="O117" t="n">
        <v>1981.497876143293</v>
      </c>
      <c r="P117" t="n">
        <v>5727.248728990825</v>
      </c>
      <c r="Q117" t="inlineStr">
        <is>
          <t>Mlma</t>
        </is>
      </c>
      <c r="R117" t="n">
        <v>1.892507188500546</v>
      </c>
      <c r="S117" t="n">
        <v>5</v>
      </c>
      <c r="T117" t="n">
        <v>2</v>
      </c>
      <c r="V117" t="n">
        <v>0.3459772693497886</v>
      </c>
      <c r="W117" t="n">
        <v>1</v>
      </c>
    </row>
    <row r="118">
      <c r="A118" t="inlineStr">
        <is>
          <t>Commercial</t>
        </is>
      </c>
      <c r="B118" t="inlineStr">
        <is>
          <t>Office</t>
        </is>
      </c>
      <c r="D118" t="inlineStr">
        <is>
          <t>Old</t>
        </is>
      </c>
      <c r="E118" t="inlineStr">
        <is>
          <t>Lighting</t>
        </is>
      </c>
      <c r="F118" t="inlineStr">
        <is>
          <t>Other lighting</t>
        </is>
      </c>
      <c r="G118" t="inlineStr">
        <is>
          <t>Electricity</t>
        </is>
      </c>
      <c r="H118" t="inlineStr">
        <is>
          <t>COMELC</t>
        </is>
      </c>
      <c r="I118" t="inlineStr">
        <is>
          <t>COMOFFOldLTEUE</t>
        </is>
      </c>
      <c r="J118" t="inlineStr">
        <is>
          <t>COMOFFOldLTOTHELC19</t>
        </is>
      </c>
      <c r="K118" t="n">
        <v>73.16481896464444</v>
      </c>
      <c r="L118" t="n">
        <v>3276.10154951925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Mlma</t>
        </is>
      </c>
      <c r="R118" t="n">
        <v>0.9635611856565404</v>
      </c>
      <c r="S118" t="n">
        <v>0.5</v>
      </c>
      <c r="T118" t="n">
        <v>1</v>
      </c>
      <c r="V118" t="n">
        <v>0</v>
      </c>
      <c r="W118" t="n">
        <v>1</v>
      </c>
    </row>
    <row r="119">
      <c r="A119" t="inlineStr">
        <is>
          <t>Commercial</t>
        </is>
      </c>
      <c r="B119" t="inlineStr">
        <is>
          <t>Office</t>
        </is>
      </c>
      <c r="D119" t="inlineStr">
        <is>
          <t>Old</t>
        </is>
      </c>
      <c r="E119" t="inlineStr">
        <is>
          <t>Cooking</t>
        </is>
      </c>
      <c r="F119" t="inlineStr">
        <is>
          <t>Fuel oil</t>
        </is>
      </c>
      <c r="G119" t="inlineStr">
        <is>
          <t>Fuel oil</t>
        </is>
      </c>
      <c r="H119" t="inlineStr">
        <is>
          <t>COMFOI</t>
        </is>
      </c>
      <c r="I119" t="inlineStr">
        <is>
          <t>COMOFFOldCKEUE</t>
        </is>
      </c>
      <c r="J119" t="inlineStr">
        <is>
          <t>COMOFFOldCKFOI19</t>
        </is>
      </c>
      <c r="K119" t="n">
        <v>73.16481896464444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inlineStr">
        <is>
          <t>MW</t>
        </is>
      </c>
      <c r="R119" t="n">
        <v>0.45</v>
      </c>
      <c r="S119" t="n">
        <v>6</v>
      </c>
      <c r="T119" t="n">
        <v>8</v>
      </c>
      <c r="V119" t="n">
        <v>0.44</v>
      </c>
      <c r="W119" t="n">
        <v>31.536</v>
      </c>
    </row>
    <row r="120">
      <c r="A120" t="inlineStr">
        <is>
          <t>Commercial</t>
        </is>
      </c>
      <c r="B120" t="inlineStr">
        <is>
          <t>Office</t>
        </is>
      </c>
      <c r="D120" t="inlineStr">
        <is>
          <t>Old</t>
        </is>
      </c>
      <c r="E120" t="inlineStr">
        <is>
          <t>Cooking</t>
        </is>
      </c>
      <c r="F120" t="inlineStr">
        <is>
          <t>Natural gas</t>
        </is>
      </c>
      <c r="G120" t="inlineStr">
        <is>
          <t>Natural gas</t>
        </is>
      </c>
      <c r="H120" t="inlineStr">
        <is>
          <t>COMNGA</t>
        </is>
      </c>
      <c r="I120" t="inlineStr">
        <is>
          <t>COMOFFOldCKEUE</t>
        </is>
      </c>
      <c r="J120" t="inlineStr">
        <is>
          <t>COMOFFOldCKNGA19</t>
        </is>
      </c>
      <c r="K120" t="n">
        <v>73.16481896464444</v>
      </c>
      <c r="L120" t="n">
        <v>4226.161510731642</v>
      </c>
      <c r="M120" t="n">
        <v>1</v>
      </c>
      <c r="N120" t="n">
        <v>4226.161510731642</v>
      </c>
      <c r="O120" t="n">
        <v>1901.772679829239</v>
      </c>
      <c r="P120" t="n">
        <v>137.0564001767993</v>
      </c>
      <c r="Q120" t="inlineStr">
        <is>
          <t>MW</t>
        </is>
      </c>
      <c r="R120" t="n">
        <v>0.45</v>
      </c>
      <c r="S120" t="n">
        <v>6</v>
      </c>
      <c r="T120" t="n">
        <v>8</v>
      </c>
      <c r="V120" t="n">
        <v>0.44</v>
      </c>
      <c r="W120" t="n">
        <v>31.536</v>
      </c>
    </row>
    <row r="121">
      <c r="A121" t="inlineStr">
        <is>
          <t>Commercial</t>
        </is>
      </c>
      <c r="B121" t="inlineStr">
        <is>
          <t>Office</t>
        </is>
      </c>
      <c r="D121" t="inlineStr">
        <is>
          <t>Old</t>
        </is>
      </c>
      <c r="E121" t="inlineStr">
        <is>
          <t>Cooking</t>
        </is>
      </c>
      <c r="F121" t="inlineStr">
        <is>
          <t>Steam / Cooling</t>
        </is>
      </c>
      <c r="G121" t="inlineStr">
        <is>
          <t>Steam / Cooling</t>
        </is>
      </c>
      <c r="H121" t="inlineStr">
        <is>
          <t>COMSTM</t>
        </is>
      </c>
      <c r="I121" t="inlineStr">
        <is>
          <t>COMOFFOldCKEUE</t>
        </is>
      </c>
      <c r="J121" t="inlineStr">
        <is>
          <t>COMOFFOldCKSTM19</t>
        </is>
      </c>
      <c r="K121" t="n">
        <v>73.16481896464444</v>
      </c>
      <c r="L121" t="n">
        <v>1.158662188418472</v>
      </c>
      <c r="M121" t="n">
        <v>1</v>
      </c>
      <c r="N121" t="n">
        <v>1.158662188418472</v>
      </c>
      <c r="O121" t="n">
        <v>0.8110635318929302</v>
      </c>
      <c r="P121" t="n">
        <v>0.05845149064077781</v>
      </c>
      <c r="Q121" t="inlineStr">
        <is>
          <t>MW</t>
        </is>
      </c>
      <c r="R121" t="n">
        <v>0.7</v>
      </c>
      <c r="S121" t="n">
        <v>6</v>
      </c>
      <c r="T121" t="n">
        <v>8</v>
      </c>
      <c r="V121" t="n">
        <v>0.44</v>
      </c>
      <c r="W121" t="n">
        <v>31.536</v>
      </c>
    </row>
    <row r="122">
      <c r="A122" t="inlineStr">
        <is>
          <t>Commercial</t>
        </is>
      </c>
      <c r="B122" t="inlineStr">
        <is>
          <t>Office</t>
        </is>
      </c>
      <c r="D122" t="inlineStr">
        <is>
          <t>Old</t>
        </is>
      </c>
      <c r="E122" t="inlineStr">
        <is>
          <t>Cooking</t>
        </is>
      </c>
      <c r="F122" t="inlineStr">
        <is>
          <t>Electricity</t>
        </is>
      </c>
      <c r="G122" t="inlineStr">
        <is>
          <t>Electricity</t>
        </is>
      </c>
      <c r="H122" t="inlineStr">
        <is>
          <t>COMELC</t>
        </is>
      </c>
      <c r="I122" t="inlineStr">
        <is>
          <t>COMOFFOldCKEUE</t>
        </is>
      </c>
      <c r="J122" t="inlineStr">
        <is>
          <t>COMOFFOldCKELC19</t>
        </is>
      </c>
      <c r="K122" t="n">
        <v>73.16481896464444</v>
      </c>
      <c r="L122" t="n">
        <v>99.20640034031058</v>
      </c>
      <c r="M122" t="n">
        <v>1</v>
      </c>
      <c r="N122" t="n">
        <v>99.20640034031058</v>
      </c>
      <c r="O122" t="n">
        <v>69.44448023821739</v>
      </c>
      <c r="P122" t="n">
        <v>5.004704597214828</v>
      </c>
      <c r="Q122" t="inlineStr">
        <is>
          <t>MW</t>
        </is>
      </c>
      <c r="R122" t="n">
        <v>0.7</v>
      </c>
      <c r="S122" t="n">
        <v>6</v>
      </c>
      <c r="T122" t="n">
        <v>8</v>
      </c>
      <c r="V122" t="n">
        <v>0.44</v>
      </c>
      <c r="W122" t="n">
        <v>31.536</v>
      </c>
    </row>
    <row r="123">
      <c r="A123" t="inlineStr">
        <is>
          <t>Commercial</t>
        </is>
      </c>
      <c r="B123" t="inlineStr">
        <is>
          <t>Office</t>
        </is>
      </c>
      <c r="D123" t="inlineStr">
        <is>
          <t>Old</t>
        </is>
      </c>
      <c r="E123" t="inlineStr">
        <is>
          <t>Refrigeration</t>
        </is>
      </c>
      <c r="F123" t="inlineStr">
        <is>
          <t>Electricity</t>
        </is>
      </c>
      <c r="G123" t="inlineStr">
        <is>
          <t>Electricity</t>
        </is>
      </c>
      <c r="H123" t="inlineStr">
        <is>
          <t>COMELC</t>
        </is>
      </c>
      <c r="I123" t="inlineStr">
        <is>
          <t>COMOFFOldREEUE</t>
        </is>
      </c>
      <c r="J123" t="inlineStr">
        <is>
          <t>COMOFFOldREELC19</t>
        </is>
      </c>
      <c r="K123" t="n">
        <v>73.16481896464444</v>
      </c>
      <c r="L123" t="n">
        <v>327.8851831842811</v>
      </c>
      <c r="M123" t="n">
        <v>1</v>
      </c>
      <c r="N123" t="n">
        <v>327.8851831842811</v>
      </c>
      <c r="O123" t="n">
        <v>327.8851831842811</v>
      </c>
      <c r="P123" t="n">
        <v>23.62993398484568</v>
      </c>
      <c r="Q123" t="inlineStr">
        <is>
          <t>MW</t>
        </is>
      </c>
      <c r="R123" t="n">
        <v>1</v>
      </c>
      <c r="S123" t="n">
        <v>5</v>
      </c>
      <c r="T123" t="n">
        <v>500</v>
      </c>
      <c r="V123" t="n">
        <v>0.44</v>
      </c>
      <c r="W123" t="n">
        <v>31.536</v>
      </c>
    </row>
    <row r="124">
      <c r="A124" t="inlineStr">
        <is>
          <t>Commercial</t>
        </is>
      </c>
      <c r="B124" t="inlineStr">
        <is>
          <t>Office</t>
        </is>
      </c>
      <c r="D124" t="inlineStr">
        <is>
          <t>Old</t>
        </is>
      </c>
      <c r="E124" t="inlineStr">
        <is>
          <t>Other end use</t>
        </is>
      </c>
      <c r="F124" t="inlineStr">
        <is>
          <t>Fuel oil</t>
        </is>
      </c>
      <c r="G124" t="inlineStr">
        <is>
          <t>Fuel oil</t>
        </is>
      </c>
      <c r="H124" t="inlineStr">
        <is>
          <t>COMFOI</t>
        </is>
      </c>
      <c r="I124" t="inlineStr">
        <is>
          <t>COMOFFOldOEEUE</t>
        </is>
      </c>
      <c r="J124" t="inlineStr">
        <is>
          <t>COMOFFOldOEFOI19</t>
        </is>
      </c>
      <c r="K124" t="n">
        <v>73.16481896464444</v>
      </c>
      <c r="L124" t="n">
        <v>894.4310458551639</v>
      </c>
      <c r="M124" t="n">
        <v>1</v>
      </c>
      <c r="N124" t="n">
        <v>894.4310458551639</v>
      </c>
      <c r="O124" t="n">
        <v>894.4310458551639</v>
      </c>
      <c r="P124" t="n">
        <v>2032.797831489009</v>
      </c>
      <c r="Q124" t="inlineStr">
        <is>
          <t>TJa</t>
        </is>
      </c>
      <c r="R124" t="n">
        <v>1</v>
      </c>
      <c r="S124" t="n">
        <v>12.5</v>
      </c>
      <c r="T124" t="n">
        <v>10</v>
      </c>
      <c r="V124" t="n">
        <v>0.44</v>
      </c>
      <c r="W124" t="n">
        <v>1</v>
      </c>
    </row>
    <row r="125">
      <c r="A125" t="inlineStr">
        <is>
          <t>Commercial</t>
        </is>
      </c>
      <c r="B125" t="inlineStr">
        <is>
          <t>Office</t>
        </is>
      </c>
      <c r="D125" t="inlineStr">
        <is>
          <t>Old</t>
        </is>
      </c>
      <c r="E125" t="inlineStr">
        <is>
          <t>Other end use</t>
        </is>
      </c>
      <c r="F125" t="inlineStr">
        <is>
          <t>Natural gas</t>
        </is>
      </c>
      <c r="G125" t="inlineStr">
        <is>
          <t>Natural gas</t>
        </is>
      </c>
      <c r="H125" t="inlineStr">
        <is>
          <t>COMNGA</t>
        </is>
      </c>
      <c r="I125" t="inlineStr">
        <is>
          <t>COMOFFOldOEEUE</t>
        </is>
      </c>
      <c r="J125" t="inlineStr">
        <is>
          <t>COMOFFOldOENGA19</t>
        </is>
      </c>
      <c r="K125" t="n">
        <v>73.16481896464444</v>
      </c>
      <c r="L125" t="n">
        <v>836.9868751262403</v>
      </c>
      <c r="M125" t="n">
        <v>1</v>
      </c>
      <c r="N125" t="n">
        <v>836.9868751262403</v>
      </c>
      <c r="O125" t="n">
        <v>836.9868751262403</v>
      </c>
      <c r="P125" t="n">
        <v>1902.242898014182</v>
      </c>
      <c r="Q125" t="inlineStr">
        <is>
          <t>TJa</t>
        </is>
      </c>
      <c r="R125" t="n">
        <v>1</v>
      </c>
      <c r="S125" t="n">
        <v>12.5</v>
      </c>
      <c r="T125" t="n">
        <v>10</v>
      </c>
      <c r="V125" t="n">
        <v>0.44</v>
      </c>
      <c r="W125" t="n">
        <v>1</v>
      </c>
    </row>
    <row r="126">
      <c r="A126" t="inlineStr">
        <is>
          <t>Commercial</t>
        </is>
      </c>
      <c r="B126" t="inlineStr">
        <is>
          <t>Office</t>
        </is>
      </c>
      <c r="D126" t="inlineStr">
        <is>
          <t>Old</t>
        </is>
      </c>
      <c r="E126" t="inlineStr">
        <is>
          <t>Other end use</t>
        </is>
      </c>
      <c r="F126" t="inlineStr">
        <is>
          <t>Steam / Cooling</t>
        </is>
      </c>
      <c r="G126" t="inlineStr">
        <is>
          <t>Steam / Cooling</t>
        </is>
      </c>
      <c r="H126" t="inlineStr">
        <is>
          <t>COMSTM</t>
        </is>
      </c>
      <c r="I126" t="inlineStr">
        <is>
          <t>COMOFFOldOEEUE</t>
        </is>
      </c>
      <c r="J126" t="inlineStr">
        <is>
          <t>COMOFFOldOESTM19</t>
        </is>
      </c>
      <c r="K126" t="n">
        <v>73.16481896464444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inlineStr">
        <is>
          <t>TJa</t>
        </is>
      </c>
      <c r="R126" t="n">
        <v>1</v>
      </c>
      <c r="S126" t="n">
        <v>12.5</v>
      </c>
      <c r="T126" t="n">
        <v>10</v>
      </c>
      <c r="V126" t="n">
        <v>0.44</v>
      </c>
      <c r="W126" t="n">
        <v>1</v>
      </c>
    </row>
    <row r="127">
      <c r="A127" t="inlineStr">
        <is>
          <t>Commercial</t>
        </is>
      </c>
      <c r="B127" t="inlineStr">
        <is>
          <t>Office</t>
        </is>
      </c>
      <c r="D127" t="inlineStr">
        <is>
          <t>Old</t>
        </is>
      </c>
      <c r="E127" t="inlineStr">
        <is>
          <t>Other end use</t>
        </is>
      </c>
      <c r="F127" t="inlineStr">
        <is>
          <t>Electricity</t>
        </is>
      </c>
      <c r="G127" t="inlineStr">
        <is>
          <t>Electricity</t>
        </is>
      </c>
      <c r="H127" t="inlineStr">
        <is>
          <t>COMELC</t>
        </is>
      </c>
      <c r="I127" t="inlineStr">
        <is>
          <t>COMOFFOldOEEUE</t>
        </is>
      </c>
      <c r="J127" t="inlineStr">
        <is>
          <t>COMOFFOldOEELC19</t>
        </is>
      </c>
      <c r="K127" t="n">
        <v>73.16481896464444</v>
      </c>
      <c r="L127" t="n">
        <v>6838.314812083918</v>
      </c>
      <c r="M127" t="n">
        <v>1</v>
      </c>
      <c r="N127" t="n">
        <v>6838.314812083918</v>
      </c>
      <c r="O127" t="n">
        <v>6838.314812083918</v>
      </c>
      <c r="P127" t="n">
        <v>15541.624572918</v>
      </c>
      <c r="Q127" t="inlineStr">
        <is>
          <t>TJa</t>
        </is>
      </c>
      <c r="R127" t="n">
        <v>1</v>
      </c>
      <c r="S127" t="n">
        <v>12.5</v>
      </c>
      <c r="T127" t="n">
        <v>10</v>
      </c>
      <c r="V127" t="n">
        <v>0.44</v>
      </c>
      <c r="W127" t="n">
        <v>1</v>
      </c>
    </row>
    <row r="128">
      <c r="A128" t="inlineStr">
        <is>
          <t>Commercial</t>
        </is>
      </c>
      <c r="B128" t="inlineStr">
        <is>
          <t>Hospital</t>
        </is>
      </c>
      <c r="D128" t="inlineStr">
        <is>
          <t>Old</t>
        </is>
      </c>
      <c r="E128" t="inlineStr">
        <is>
          <t>Space heating</t>
        </is>
      </c>
      <c r="F128" t="inlineStr">
        <is>
          <t>Electric furnace</t>
        </is>
      </c>
      <c r="G128" t="inlineStr">
        <is>
          <t>Electricity</t>
        </is>
      </c>
      <c r="H128" t="inlineStr">
        <is>
          <t>COMELC</t>
        </is>
      </c>
      <c r="I128" t="inlineStr">
        <is>
          <t>COMHOPOldSHEUE</t>
        </is>
      </c>
      <c r="J128" t="inlineStr">
        <is>
          <t>COMHOPOldSHFURELC19</t>
        </is>
      </c>
      <c r="K128" t="n">
        <v>44.38225928366647</v>
      </c>
      <c r="L128" t="n">
        <v>491.3302283219933</v>
      </c>
      <c r="M128" t="n">
        <v>0.963724061014823</v>
      </c>
      <c r="N128" t="n">
        <v>473.5067629378116</v>
      </c>
      <c r="O128" t="n">
        <v>464.0366276790554</v>
      </c>
      <c r="P128" t="n">
        <v>35.66784983522949</v>
      </c>
      <c r="Q128" t="inlineStr">
        <is>
          <t>MW</t>
        </is>
      </c>
      <c r="R128" t="n">
        <v>0.98</v>
      </c>
      <c r="S128" t="n">
        <v>7.5</v>
      </c>
      <c r="T128" t="n">
        <v>1</v>
      </c>
      <c r="V128" t="n">
        <v>0.4125425279215121</v>
      </c>
      <c r="W128" t="n">
        <v>31.536</v>
      </c>
    </row>
    <row r="129">
      <c r="A129" t="inlineStr">
        <is>
          <t>Commercial</t>
        </is>
      </c>
      <c r="B129" t="inlineStr">
        <is>
          <t>Hospital</t>
        </is>
      </c>
      <c r="D129" t="inlineStr">
        <is>
          <t>Old</t>
        </is>
      </c>
      <c r="E129" t="inlineStr">
        <is>
          <t>Space heating</t>
        </is>
      </c>
      <c r="F129" t="inlineStr">
        <is>
          <t>Electric boiler</t>
        </is>
      </c>
      <c r="G129" t="inlineStr">
        <is>
          <t>Electricity</t>
        </is>
      </c>
      <c r="H129" t="inlineStr">
        <is>
          <t>COMELC</t>
        </is>
      </c>
      <c r="I129" t="inlineStr">
        <is>
          <t>COMHOPOldSHEUE</t>
        </is>
      </c>
      <c r="J129" t="inlineStr">
        <is>
          <t>COMHOPOldSHBOIELC19</t>
        </is>
      </c>
      <c r="K129" t="n">
        <v>44.38225928366647</v>
      </c>
      <c r="L129" t="n">
        <v>491.3302283219933</v>
      </c>
      <c r="M129" t="n">
        <v>0.0193895878291619</v>
      </c>
      <c r="N129" t="n">
        <v>9.526690615171459</v>
      </c>
      <c r="O129" t="n">
        <v>8.927461775477173</v>
      </c>
      <c r="P129" t="n">
        <v>3.724854081583596</v>
      </c>
      <c r="Q129" t="inlineStr">
        <is>
          <t>MW</t>
        </is>
      </c>
      <c r="R129" t="n">
        <v>0.9370999999999999</v>
      </c>
      <c r="S129" t="n">
        <v>7.5</v>
      </c>
      <c r="T129" t="n">
        <v>1</v>
      </c>
      <c r="V129" t="n">
        <v>0.07599974378675205</v>
      </c>
      <c r="W129" t="n">
        <v>31.536</v>
      </c>
    </row>
    <row r="130">
      <c r="A130" t="inlineStr">
        <is>
          <t>Commercial</t>
        </is>
      </c>
      <c r="B130" t="inlineStr">
        <is>
          <t>Hospital</t>
        </is>
      </c>
      <c r="D130" t="inlineStr">
        <is>
          <t>Old</t>
        </is>
      </c>
      <c r="E130" t="inlineStr">
        <is>
          <t>Space heating</t>
        </is>
      </c>
      <c r="F130" t="inlineStr">
        <is>
          <t>Electric air heat pump</t>
        </is>
      </c>
      <c r="G130" t="inlineStr">
        <is>
          <t>Electricity</t>
        </is>
      </c>
      <c r="H130" t="inlineStr">
        <is>
          <t>COMELC</t>
        </is>
      </c>
      <c r="I130" t="inlineStr">
        <is>
          <t>COMHOPOldSHEUE</t>
        </is>
      </c>
      <c r="J130" t="inlineStr">
        <is>
          <t>COMHOPOldSHAHPELC19</t>
        </is>
      </c>
      <c r="K130" t="n">
        <v>44.38225928366647</v>
      </c>
      <c r="L130" t="n">
        <v>491.3302283219933</v>
      </c>
      <c r="M130" t="n">
        <v>0.01688635115601509</v>
      </c>
      <c r="N130" t="n">
        <v>8.296774769010248</v>
      </c>
      <c r="O130" t="n">
        <v>25.72000178393177</v>
      </c>
      <c r="P130" t="n">
        <v>12.26035212672244</v>
      </c>
      <c r="Q130" t="inlineStr">
        <is>
          <t>MW</t>
        </is>
      </c>
      <c r="R130" t="n">
        <v>3.1</v>
      </c>
      <c r="S130" t="n">
        <v>10.5</v>
      </c>
      <c r="T130" t="n">
        <v>14.33104807576899</v>
      </c>
      <c r="V130" t="n">
        <v>0.066521409659427</v>
      </c>
      <c r="W130" t="n">
        <v>31.536</v>
      </c>
    </row>
    <row r="131">
      <c r="A131" t="inlineStr">
        <is>
          <t>Commercial</t>
        </is>
      </c>
      <c r="B131" t="inlineStr">
        <is>
          <t>Hospital</t>
        </is>
      </c>
      <c r="D131" t="inlineStr">
        <is>
          <t>Old</t>
        </is>
      </c>
      <c r="E131" t="inlineStr">
        <is>
          <t>Space heating</t>
        </is>
      </c>
      <c r="F131" t="inlineStr">
        <is>
          <t>Electric ground heat pump</t>
        </is>
      </c>
      <c r="G131" t="inlineStr">
        <is>
          <t>Electricity</t>
        </is>
      </c>
      <c r="H131" t="inlineStr">
        <is>
          <t>COMELC</t>
        </is>
      </c>
      <c r="I131" t="inlineStr">
        <is>
          <t>COMHOPOldSHEUE</t>
        </is>
      </c>
      <c r="J131" t="inlineStr">
        <is>
          <t>COMHOPOldSHGHPELC19</t>
        </is>
      </c>
      <c r="K131" t="n">
        <v>44.38225928366647</v>
      </c>
      <c r="L131" t="n">
        <v>491.3302283219933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MW</t>
        </is>
      </c>
      <c r="R131" t="n">
        <v>3.4</v>
      </c>
      <c r="S131" t="n">
        <v>7.2</v>
      </c>
      <c r="T131" t="n">
        <v>13.00195893970977</v>
      </c>
      <c r="V131" t="n">
        <v>0.07295896543291992</v>
      </c>
      <c r="W131" t="n">
        <v>31.536</v>
      </c>
    </row>
    <row r="132">
      <c r="A132" t="inlineStr">
        <is>
          <t>Commercial</t>
        </is>
      </c>
      <c r="B132" t="inlineStr">
        <is>
          <t>Hospital</t>
        </is>
      </c>
      <c r="D132" t="inlineStr">
        <is>
          <t>Old</t>
        </is>
      </c>
      <c r="E132" t="inlineStr">
        <is>
          <t>Space heating</t>
        </is>
      </c>
      <c r="F132" t="inlineStr">
        <is>
          <t>Natural gas furnace</t>
        </is>
      </c>
      <c r="G132" t="inlineStr">
        <is>
          <t>Natural gas</t>
        </is>
      </c>
      <c r="H132" t="inlineStr">
        <is>
          <t>COMNGA</t>
        </is>
      </c>
      <c r="I132" t="inlineStr">
        <is>
          <t>COMHOPOldSHEUE</t>
        </is>
      </c>
      <c r="J132" t="inlineStr">
        <is>
          <t>COMHOPOldSHFURNGA19</t>
        </is>
      </c>
      <c r="K132" t="n">
        <v>44.38225928366647</v>
      </c>
      <c r="L132" t="n">
        <v>25197.16904034952</v>
      </c>
      <c r="M132" t="n">
        <v>0.1577108835531313</v>
      </c>
      <c r="N132" t="n">
        <v>3973.86779239113</v>
      </c>
      <c r="O132" t="n">
        <v>2823.433066493898</v>
      </c>
      <c r="P132" t="n">
        <v>438.560604546042</v>
      </c>
      <c r="Q132" t="inlineStr">
        <is>
          <t>MW</t>
        </is>
      </c>
      <c r="R132" t="n">
        <v>0.7105</v>
      </c>
      <c r="S132" t="n">
        <v>11.5</v>
      </c>
      <c r="T132" t="n">
        <v>2.023541839846751</v>
      </c>
      <c r="V132" t="n">
        <v>0.2041461870732276</v>
      </c>
      <c r="W132" t="n">
        <v>31.536</v>
      </c>
    </row>
    <row r="133">
      <c r="A133" t="inlineStr">
        <is>
          <t>Commercial</t>
        </is>
      </c>
      <c r="B133" t="inlineStr">
        <is>
          <t>Hospital</t>
        </is>
      </c>
      <c r="D133" t="inlineStr">
        <is>
          <t>Old</t>
        </is>
      </c>
      <c r="E133" t="inlineStr">
        <is>
          <t>Space heating</t>
        </is>
      </c>
      <c r="F133" t="inlineStr">
        <is>
          <t>Natural gas boiler</t>
        </is>
      </c>
      <c r="G133" t="inlineStr">
        <is>
          <t>Natural gas</t>
        </is>
      </c>
      <c r="H133" t="inlineStr">
        <is>
          <t>COMNGA</t>
        </is>
      </c>
      <c r="I133" t="inlineStr">
        <is>
          <t>COMHOPOldSHEUE</t>
        </is>
      </c>
      <c r="J133" t="inlineStr">
        <is>
          <t>COMHOPOldSHBOINGA19</t>
        </is>
      </c>
      <c r="K133" t="n">
        <v>44.38225928366647</v>
      </c>
      <c r="L133" t="n">
        <v>25197.16904034952</v>
      </c>
      <c r="M133" t="n">
        <v>0.8346941744762331</v>
      </c>
      <c r="N133" t="n">
        <v>21031.93021127264</v>
      </c>
      <c r="O133" t="n">
        <v>15984.26696056721</v>
      </c>
      <c r="P133" t="n">
        <v>2155.237567382761</v>
      </c>
      <c r="Q133" t="inlineStr">
        <is>
          <t>MW</t>
        </is>
      </c>
      <c r="R133" t="n">
        <v>0.76</v>
      </c>
      <c r="S133" t="n">
        <v>12.5</v>
      </c>
      <c r="T133" t="n">
        <v>11.35759354439353</v>
      </c>
      <c r="V133" t="n">
        <v>0.235174900439424</v>
      </c>
      <c r="W133" t="n">
        <v>31.536</v>
      </c>
    </row>
    <row r="134">
      <c r="A134" t="inlineStr">
        <is>
          <t>Commercial</t>
        </is>
      </c>
      <c r="B134" t="inlineStr">
        <is>
          <t>Hospital</t>
        </is>
      </c>
      <c r="D134" t="inlineStr">
        <is>
          <t>Old</t>
        </is>
      </c>
      <c r="E134" t="inlineStr">
        <is>
          <t>Space heating</t>
        </is>
      </c>
      <c r="F134" t="inlineStr">
        <is>
          <t>Natural gas heat pump</t>
        </is>
      </c>
      <c r="G134" t="inlineStr">
        <is>
          <t>Natural gas</t>
        </is>
      </c>
      <c r="H134" t="inlineStr">
        <is>
          <t>COMNGA</t>
        </is>
      </c>
      <c r="I134" t="inlineStr">
        <is>
          <t>COMHOPOldSHEUE</t>
        </is>
      </c>
      <c r="J134" t="inlineStr">
        <is>
          <t>COMHOPOldSHAHPNGA19</t>
        </is>
      </c>
      <c r="K134" t="n">
        <v>44.38225928366647</v>
      </c>
      <c r="L134" t="n">
        <v>25197.16904034952</v>
      </c>
      <c r="M134" t="n">
        <v>0.00759494197063568</v>
      </c>
      <c r="N134" t="n">
        <v>191.3710366857526</v>
      </c>
      <c r="O134" t="n">
        <v>248.7823476914783</v>
      </c>
      <c r="P134" t="n">
        <v>21.41862045024651</v>
      </c>
      <c r="Q134" t="inlineStr">
        <is>
          <t>MW</t>
        </is>
      </c>
      <c r="R134" t="n">
        <v>1.3</v>
      </c>
      <c r="S134" t="n">
        <v>7.5</v>
      </c>
      <c r="T134" t="n">
        <v>12</v>
      </c>
      <c r="V134" t="n">
        <v>0.3683167416339637</v>
      </c>
      <c r="W134" t="n">
        <v>31.536</v>
      </c>
    </row>
    <row r="135">
      <c r="A135" t="inlineStr">
        <is>
          <t>Commercial</t>
        </is>
      </c>
      <c r="B135" t="inlineStr">
        <is>
          <t>Hospital</t>
        </is>
      </c>
      <c r="D135" t="inlineStr">
        <is>
          <t>Old</t>
        </is>
      </c>
      <c r="E135" t="inlineStr">
        <is>
          <t>Space heating</t>
        </is>
      </c>
      <c r="F135" t="inlineStr">
        <is>
          <t>Fuel oil boiler</t>
        </is>
      </c>
      <c r="G135" t="inlineStr">
        <is>
          <t>Fuel oil</t>
        </is>
      </c>
      <c r="H135" t="inlineStr">
        <is>
          <t>COMFOI</t>
        </is>
      </c>
      <c r="I135" t="inlineStr">
        <is>
          <t>COMHOPOldSHEUE</t>
        </is>
      </c>
      <c r="J135" t="inlineStr">
        <is>
          <t>COMHOPOldSHBOIFOI19</t>
        </is>
      </c>
      <c r="K135" t="n">
        <v>44.38225928366647</v>
      </c>
      <c r="L135" t="n">
        <v>1044.115828039038</v>
      </c>
      <c r="M135" t="n">
        <v>0.9943207904385687</v>
      </c>
      <c r="N135" t="n">
        <v>1038.186075445197</v>
      </c>
      <c r="O135" t="n">
        <v>820.1669996017057</v>
      </c>
      <c r="P135" t="n">
        <v>86.30766502047393</v>
      </c>
      <c r="Q135" t="inlineStr">
        <is>
          <t>MW</t>
        </is>
      </c>
      <c r="R135" t="n">
        <v>0.79</v>
      </c>
      <c r="S135" t="n">
        <v>12.5</v>
      </c>
      <c r="T135" t="n">
        <v>14</v>
      </c>
      <c r="V135" t="n">
        <v>0.3013327372852568</v>
      </c>
      <c r="W135" t="n">
        <v>31.536</v>
      </c>
    </row>
    <row r="136">
      <c r="A136" t="inlineStr">
        <is>
          <t>Commercial</t>
        </is>
      </c>
      <c r="B136" t="inlineStr">
        <is>
          <t>Hospital</t>
        </is>
      </c>
      <c r="D136" t="inlineStr">
        <is>
          <t>Old</t>
        </is>
      </c>
      <c r="E136" t="inlineStr">
        <is>
          <t>Space heating</t>
        </is>
      </c>
      <c r="F136" t="inlineStr">
        <is>
          <t>Fuel oil furnace</t>
        </is>
      </c>
      <c r="G136" t="inlineStr">
        <is>
          <t>Fuel oil</t>
        </is>
      </c>
      <c r="H136" t="inlineStr">
        <is>
          <t>COMFOI</t>
        </is>
      </c>
      <c r="I136" t="inlineStr">
        <is>
          <t>COMHOPOldSHEUE</t>
        </is>
      </c>
      <c r="J136" t="inlineStr">
        <is>
          <t>COMHOPOldSHFURFOI19</t>
        </is>
      </c>
      <c r="K136" t="n">
        <v>44.38225928366647</v>
      </c>
      <c r="L136" t="n">
        <v>1044.115828039038</v>
      </c>
      <c r="M136" t="n">
        <v>0.005679209561431283</v>
      </c>
      <c r="N136" t="n">
        <v>5.929752593841047</v>
      </c>
      <c r="O136" t="n">
        <v>4.509576847616116</v>
      </c>
      <c r="P136" t="n">
        <v>0.4929589334975965</v>
      </c>
      <c r="Q136" t="inlineStr">
        <is>
          <t>MW</t>
        </is>
      </c>
      <c r="R136" t="n">
        <v>0.7605</v>
      </c>
      <c r="S136" t="n">
        <v>11.5</v>
      </c>
      <c r="T136" t="n">
        <v>4</v>
      </c>
      <c r="V136" t="n">
        <v>0.2900804388676428</v>
      </c>
      <c r="W136" t="n">
        <v>31.536</v>
      </c>
    </row>
    <row r="137">
      <c r="A137" t="inlineStr">
        <is>
          <t>Commercial</t>
        </is>
      </c>
      <c r="B137" t="inlineStr">
        <is>
          <t>Hospital</t>
        </is>
      </c>
      <c r="D137" t="inlineStr">
        <is>
          <t>Old</t>
        </is>
      </c>
      <c r="E137" t="inlineStr">
        <is>
          <t>Space heating</t>
        </is>
      </c>
      <c r="F137" t="inlineStr">
        <is>
          <t>Propane furnace</t>
        </is>
      </c>
      <c r="G137" t="inlineStr">
        <is>
          <t>LPG</t>
        </is>
      </c>
      <c r="H137" t="inlineStr">
        <is>
          <t>COMLPG</t>
        </is>
      </c>
      <c r="I137" t="inlineStr">
        <is>
          <t>COMHOPOldSHEUE</t>
        </is>
      </c>
      <c r="J137" t="inlineStr">
        <is>
          <t>COMHOPOldSHFURPRO19</t>
        </is>
      </c>
      <c r="K137" t="n">
        <v>44.38225928366647</v>
      </c>
      <c r="L137" t="n">
        <v>0</v>
      </c>
      <c r="M137" t="n">
        <v>0.02079153081885391</v>
      </c>
      <c r="N137" t="n">
        <v>0</v>
      </c>
      <c r="O137" t="n">
        <v>0</v>
      </c>
      <c r="P137" t="n">
        <v>0</v>
      </c>
      <c r="Q137" t="inlineStr">
        <is>
          <t>MW</t>
        </is>
      </c>
      <c r="R137" t="n">
        <v>0.7105</v>
      </c>
      <c r="S137" t="n">
        <v>11.5</v>
      </c>
      <c r="T137" t="n">
        <v>2.023541839846751</v>
      </c>
      <c r="V137" t="n">
        <v>0.2041461870732276</v>
      </c>
      <c r="W137" t="n">
        <v>31.536</v>
      </c>
    </row>
    <row r="138">
      <c r="A138" t="inlineStr">
        <is>
          <t>Commercial</t>
        </is>
      </c>
      <c r="B138" t="inlineStr">
        <is>
          <t>Hospital</t>
        </is>
      </c>
      <c r="D138" t="inlineStr">
        <is>
          <t>Old</t>
        </is>
      </c>
      <c r="E138" t="inlineStr">
        <is>
          <t>Space heating</t>
        </is>
      </c>
      <c r="F138" t="inlineStr">
        <is>
          <t>Propane boiler</t>
        </is>
      </c>
      <c r="G138" t="inlineStr">
        <is>
          <t>LPG</t>
        </is>
      </c>
      <c r="H138" t="inlineStr">
        <is>
          <t>COMLPG</t>
        </is>
      </c>
      <c r="I138" t="inlineStr">
        <is>
          <t>COMHOPOldSHEUE</t>
        </is>
      </c>
      <c r="J138" t="inlineStr">
        <is>
          <t>COMHOPOldSHBOIPRO19</t>
        </is>
      </c>
      <c r="K138" t="n">
        <v>44.38225928366647</v>
      </c>
      <c r="L138" t="n">
        <v>0</v>
      </c>
      <c r="M138" t="n">
        <v>0.2542088112576527</v>
      </c>
      <c r="N138" t="n">
        <v>0</v>
      </c>
      <c r="O138" t="n">
        <v>0</v>
      </c>
      <c r="P138" t="n">
        <v>0</v>
      </c>
      <c r="Q138" t="inlineStr">
        <is>
          <t>MW</t>
        </is>
      </c>
      <c r="R138" t="n">
        <v>0.76</v>
      </c>
      <c r="S138" t="n">
        <v>12.5</v>
      </c>
      <c r="T138" t="n">
        <v>11.35759354439353</v>
      </c>
      <c r="V138" t="n">
        <v>0.235174900439424</v>
      </c>
      <c r="W138" t="n">
        <v>31.536</v>
      </c>
    </row>
    <row r="139">
      <c r="A139" t="inlineStr">
        <is>
          <t>Commercial</t>
        </is>
      </c>
      <c r="B139" t="inlineStr">
        <is>
          <t>Hospital</t>
        </is>
      </c>
      <c r="D139" t="inlineStr">
        <is>
          <t>Old</t>
        </is>
      </c>
      <c r="E139" t="inlineStr">
        <is>
          <t>Space heating</t>
        </is>
      </c>
      <c r="F139" t="inlineStr">
        <is>
          <t>Propane heat pump</t>
        </is>
      </c>
      <c r="G139" t="inlineStr">
        <is>
          <t>LPG</t>
        </is>
      </c>
      <c r="H139" t="inlineStr">
        <is>
          <t>COMLPG</t>
        </is>
      </c>
      <c r="I139" t="inlineStr">
        <is>
          <t>COMHOPOldSHEUE</t>
        </is>
      </c>
      <c r="J139" t="inlineStr">
        <is>
          <t>COMHOPOldSHAHPPRO19</t>
        </is>
      </c>
      <c r="K139" t="n">
        <v>44.38225928366647</v>
      </c>
      <c r="L139" t="n">
        <v>0</v>
      </c>
      <c r="M139" t="n">
        <v>0.7249996579234934</v>
      </c>
      <c r="N139" t="n">
        <v>0</v>
      </c>
      <c r="O139" t="n">
        <v>0</v>
      </c>
      <c r="P139" t="n">
        <v>0</v>
      </c>
      <c r="Q139" t="inlineStr">
        <is>
          <t>MW</t>
        </is>
      </c>
      <c r="R139" t="n">
        <v>1.3</v>
      </c>
      <c r="S139" t="n">
        <v>7.5</v>
      </c>
      <c r="T139" t="n">
        <v>12</v>
      </c>
      <c r="V139" t="n">
        <v>0.3683167416339637</v>
      </c>
      <c r="W139" t="n">
        <v>31.536</v>
      </c>
    </row>
    <row r="140">
      <c r="A140" t="inlineStr">
        <is>
          <t>Commercial</t>
        </is>
      </c>
      <c r="B140" t="inlineStr">
        <is>
          <t>Hospital</t>
        </is>
      </c>
      <c r="D140" t="inlineStr">
        <is>
          <t>Old</t>
        </is>
      </c>
      <c r="E140" t="inlineStr">
        <is>
          <t>Space heating</t>
        </is>
      </c>
      <c r="F140" t="inlineStr">
        <is>
          <t>District steam heating system</t>
        </is>
      </c>
      <c r="G140" t="inlineStr">
        <is>
          <t>Steam / Cooling</t>
        </is>
      </c>
      <c r="H140" t="inlineStr">
        <is>
          <t>COMSTM</t>
        </is>
      </c>
      <c r="I140" t="inlineStr">
        <is>
          <t>COMHOPOldSHEUE</t>
        </is>
      </c>
      <c r="J140" t="inlineStr">
        <is>
          <t>COMHOPOldSHDHESTM19</t>
        </is>
      </c>
      <c r="K140" t="n">
        <v>44.38225928366647</v>
      </c>
      <c r="L140" t="n">
        <v>626.8249355364646</v>
      </c>
      <c r="M140" t="n">
        <v>1</v>
      </c>
      <c r="N140" t="n">
        <v>626.8249355364646</v>
      </c>
      <c r="O140" t="n">
        <v>587.397647091221</v>
      </c>
      <c r="P140" t="n">
        <v>83.23360246751183</v>
      </c>
      <c r="Q140" t="inlineStr">
        <is>
          <t>MW</t>
        </is>
      </c>
      <c r="R140" t="n">
        <v>0.9370999999999999</v>
      </c>
      <c r="S140" t="n">
        <v>12.5</v>
      </c>
      <c r="T140" t="n">
        <v>1</v>
      </c>
      <c r="V140" t="n">
        <v>0.2237829031644482</v>
      </c>
      <c r="W140" t="n">
        <v>31.536</v>
      </c>
    </row>
    <row r="141">
      <c r="A141" t="inlineStr">
        <is>
          <t>Commercial</t>
        </is>
      </c>
      <c r="B141" t="inlineStr">
        <is>
          <t>Hospital</t>
        </is>
      </c>
      <c r="D141" t="inlineStr">
        <is>
          <t>Old</t>
        </is>
      </c>
      <c r="E141" t="inlineStr">
        <is>
          <t>Space cooling</t>
        </is>
      </c>
      <c r="F141" t="inlineStr">
        <is>
          <t>Res type central AC electric</t>
        </is>
      </c>
      <c r="G141" t="inlineStr">
        <is>
          <t>Electricity</t>
        </is>
      </c>
      <c r="H141" t="inlineStr">
        <is>
          <t>COMELC</t>
        </is>
      </c>
      <c r="I141" t="inlineStr">
        <is>
          <t>COMHOPOldSCEUE</t>
        </is>
      </c>
      <c r="J141" t="inlineStr">
        <is>
          <t>COMHOPOldSCRESELC19</t>
        </is>
      </c>
      <c r="K141" t="n">
        <v>44.38225928366647</v>
      </c>
      <c r="L141" t="n">
        <v>2318.274567081524</v>
      </c>
      <c r="M141" t="n">
        <v>0.01144562696496182</v>
      </c>
      <c r="N141" t="n">
        <v>26.53410589717349</v>
      </c>
      <c r="O141" t="n">
        <v>88.65439836687507</v>
      </c>
      <c r="P141" t="n">
        <v>22.86316693053822</v>
      </c>
      <c r="Q141" t="inlineStr">
        <is>
          <t>MW</t>
        </is>
      </c>
      <c r="R141" t="n">
        <v>3.341148886283705</v>
      </c>
      <c r="S141" t="n">
        <v>9</v>
      </c>
      <c r="T141" t="n">
        <v>8</v>
      </c>
      <c r="V141" t="n">
        <v>0.1229581422031471</v>
      </c>
      <c r="W141" t="n">
        <v>31.536</v>
      </c>
    </row>
    <row r="142">
      <c r="A142" t="inlineStr">
        <is>
          <t>Commercial</t>
        </is>
      </c>
      <c r="B142" t="inlineStr">
        <is>
          <t>Hospital</t>
        </is>
      </c>
      <c r="D142" t="inlineStr">
        <is>
          <t>Old</t>
        </is>
      </c>
      <c r="E142" t="inlineStr">
        <is>
          <t>Space cooling</t>
        </is>
      </c>
      <c r="F142" t="inlineStr">
        <is>
          <t>Room AC electric</t>
        </is>
      </c>
      <c r="G142" t="inlineStr">
        <is>
          <t>Electricity</t>
        </is>
      </c>
      <c r="H142" t="inlineStr">
        <is>
          <t>COMELC</t>
        </is>
      </c>
      <c r="I142" t="inlineStr">
        <is>
          <t>COMHOPOldSCEUE</t>
        </is>
      </c>
      <c r="J142" t="inlineStr">
        <is>
          <t>COMHOPOldSCRACELC19</t>
        </is>
      </c>
      <c r="K142" t="n">
        <v>44.38225928366647</v>
      </c>
      <c r="L142" t="n">
        <v>2318.274567081524</v>
      </c>
      <c r="M142" t="n">
        <v>0.0806785649206344</v>
      </c>
      <c r="N142" t="n">
        <v>187.0350651641424</v>
      </c>
      <c r="O142" t="n">
        <v>476.9065260633172</v>
      </c>
      <c r="P142" t="n">
        <v>170.5519826742285</v>
      </c>
      <c r="Q142" t="inlineStr">
        <is>
          <t>MW</t>
        </is>
      </c>
      <c r="R142" t="n">
        <v>2.549824150058616</v>
      </c>
      <c r="S142" t="n">
        <v>5</v>
      </c>
      <c r="T142" t="n">
        <v>0</v>
      </c>
      <c r="V142" t="n">
        <v>0.08866860707244491</v>
      </c>
      <c r="W142" t="n">
        <v>31.536</v>
      </c>
    </row>
    <row r="143">
      <c r="A143" t="inlineStr">
        <is>
          <t>Commercial</t>
        </is>
      </c>
      <c r="B143" t="inlineStr">
        <is>
          <t>Hospital</t>
        </is>
      </c>
      <c r="D143" t="inlineStr">
        <is>
          <t>Old</t>
        </is>
      </c>
      <c r="E143" t="inlineStr">
        <is>
          <t>Space cooling</t>
        </is>
      </c>
      <c r="F143" t="inlineStr">
        <is>
          <t>Central AC electric</t>
        </is>
      </c>
      <c r="G143" t="inlineStr">
        <is>
          <t>Electricity</t>
        </is>
      </c>
      <c r="H143" t="inlineStr">
        <is>
          <t>COMELC</t>
        </is>
      </c>
      <c r="I143" t="inlineStr">
        <is>
          <t>COMHOPOldSCEUE</t>
        </is>
      </c>
      <c r="J143" t="inlineStr">
        <is>
          <t>COMHOPOldSCCACELC19</t>
        </is>
      </c>
      <c r="K143" t="n">
        <v>44.38225928366647</v>
      </c>
      <c r="L143" t="n">
        <v>2318.274567081524</v>
      </c>
      <c r="M143" t="n">
        <v>0.6646672105884349</v>
      </c>
      <c r="N143" t="n">
        <v>1540.881089880188</v>
      </c>
      <c r="O143" t="n">
        <v>4712.414771028662</v>
      </c>
      <c r="P143" t="n">
        <v>649.8599003162956</v>
      </c>
      <c r="Q143" t="inlineStr">
        <is>
          <t>MW</t>
        </is>
      </c>
      <c r="R143" t="n">
        <v>3.058259850145268</v>
      </c>
      <c r="S143" t="n">
        <v>9</v>
      </c>
      <c r="T143" t="n">
        <v>8</v>
      </c>
      <c r="V143" t="n">
        <v>0.2299413951496454</v>
      </c>
      <c r="W143" t="n">
        <v>31.536</v>
      </c>
    </row>
    <row r="144">
      <c r="A144" t="inlineStr">
        <is>
          <t>Commercial</t>
        </is>
      </c>
      <c r="B144" t="inlineStr">
        <is>
          <t>Hospital</t>
        </is>
      </c>
      <c r="D144" t="inlineStr">
        <is>
          <t>Old</t>
        </is>
      </c>
      <c r="E144" t="inlineStr">
        <is>
          <t>Space cooling</t>
        </is>
      </c>
      <c r="F144" t="inlineStr">
        <is>
          <t>Rooftop Air HP electric</t>
        </is>
      </c>
      <c r="G144" t="inlineStr">
        <is>
          <t>Electricity</t>
        </is>
      </c>
      <c r="H144" t="inlineStr">
        <is>
          <t>COMELC</t>
        </is>
      </c>
      <c r="I144" t="inlineStr">
        <is>
          <t>COMHOPOldSCEUE</t>
        </is>
      </c>
      <c r="J144" t="inlineStr">
        <is>
          <t>COMHOPOldSCAHPELC19</t>
        </is>
      </c>
      <c r="K144" t="n">
        <v>44.38225928366647</v>
      </c>
      <c r="L144" t="n">
        <v>2318.274567081524</v>
      </c>
      <c r="M144" t="n">
        <v>0.02795207528357276</v>
      </c>
      <c r="N144" t="n">
        <v>64.80058522705481</v>
      </c>
      <c r="O144" t="n">
        <v>176.6252762636605</v>
      </c>
      <c r="P144" t="n">
        <v>32.42112676340344</v>
      </c>
      <c r="Q144" t="inlineStr">
        <is>
          <t>MW</t>
        </is>
      </c>
      <c r="R144" t="n">
        <v>2.72567409144197</v>
      </c>
      <c r="S144" t="n">
        <v>10.5</v>
      </c>
      <c r="T144" t="n">
        <v>14</v>
      </c>
      <c r="V144" t="n">
        <v>0.1727500345767651</v>
      </c>
      <c r="W144" t="n">
        <v>31.536</v>
      </c>
    </row>
    <row r="145">
      <c r="A145" t="inlineStr">
        <is>
          <t>Commercial</t>
        </is>
      </c>
      <c r="B145" t="inlineStr">
        <is>
          <t>Hospital</t>
        </is>
      </c>
      <c r="D145" t="inlineStr">
        <is>
          <t>Old</t>
        </is>
      </c>
      <c r="E145" t="inlineStr">
        <is>
          <t>Space cooling</t>
        </is>
      </c>
      <c r="F145" t="inlineStr">
        <is>
          <t>Rooftop Air AC electric</t>
        </is>
      </c>
      <c r="G145" t="inlineStr">
        <is>
          <t>Electricity</t>
        </is>
      </c>
      <c r="H145" t="inlineStr">
        <is>
          <t>COMELC</t>
        </is>
      </c>
      <c r="I145" t="inlineStr">
        <is>
          <t>COMHOPOldSCEUE</t>
        </is>
      </c>
      <c r="J145" t="inlineStr">
        <is>
          <t>COMHOPOldSCAACELC19</t>
        </is>
      </c>
      <c r="K145" t="n">
        <v>44.38225928366647</v>
      </c>
      <c r="L145" t="n">
        <v>2318.274567081524</v>
      </c>
      <c r="M145" t="n">
        <v>8.120975836734203e-05</v>
      </c>
      <c r="N145" t="n">
        <v>0.188266517421845</v>
      </c>
      <c r="O145" t="n">
        <v>0.5076353928138846</v>
      </c>
      <c r="P145" t="n">
        <v>0.07140562872231294</v>
      </c>
      <c r="Q145" t="inlineStr">
        <is>
          <t>MW</t>
        </is>
      </c>
      <c r="R145" t="n">
        <v>2.696365767878077</v>
      </c>
      <c r="S145" t="n">
        <v>10.5</v>
      </c>
      <c r="T145" t="n">
        <v>14</v>
      </c>
      <c r="V145" t="n">
        <v>0.2254305857641007</v>
      </c>
      <c r="W145" t="n">
        <v>31.536</v>
      </c>
    </row>
    <row r="146">
      <c r="A146" t="inlineStr">
        <is>
          <t>Commercial</t>
        </is>
      </c>
      <c r="B146" t="inlineStr">
        <is>
          <t>Hospital</t>
        </is>
      </c>
      <c r="D146" t="inlineStr">
        <is>
          <t>Old</t>
        </is>
      </c>
      <c r="E146" t="inlineStr">
        <is>
          <t>Space cooling</t>
        </is>
      </c>
      <c r="F146" t="inlineStr">
        <is>
          <t>Res type central AC gas</t>
        </is>
      </c>
      <c r="G146" t="inlineStr">
        <is>
          <t>Electricity</t>
        </is>
      </c>
      <c r="H146" t="inlineStr">
        <is>
          <t>COMELC</t>
        </is>
      </c>
      <c r="I146" t="inlineStr">
        <is>
          <t>COMHOPOldSCEUE</t>
        </is>
      </c>
      <c r="J146" t="inlineStr">
        <is>
          <t>COMHOPOldSCRESNGA19</t>
        </is>
      </c>
      <c r="K146" t="n">
        <v>44.38225928366647</v>
      </c>
      <c r="L146" t="n">
        <v>2318.274567081524</v>
      </c>
      <c r="M146" t="n">
        <v>0.2148598993665153</v>
      </c>
      <c r="N146" t="n">
        <v>498.104240187088</v>
      </c>
      <c r="O146" t="n">
        <v>298.8625441122528</v>
      </c>
      <c r="P146" t="n">
        <v>16.83310060723588</v>
      </c>
      <c r="Q146" t="inlineStr">
        <is>
          <t>MW</t>
        </is>
      </c>
      <c r="R146" t="n">
        <v>0.6</v>
      </c>
      <c r="S146" t="n">
        <v>7.5</v>
      </c>
      <c r="T146" t="n">
        <v>12</v>
      </c>
      <c r="V146" t="n">
        <v>0.5629901066155617</v>
      </c>
      <c r="W146" t="n">
        <v>31.536</v>
      </c>
    </row>
    <row r="147">
      <c r="A147" t="inlineStr">
        <is>
          <t>Commercial</t>
        </is>
      </c>
      <c r="B147" t="inlineStr">
        <is>
          <t>Hospital</t>
        </is>
      </c>
      <c r="D147" t="inlineStr">
        <is>
          <t>Old</t>
        </is>
      </c>
      <c r="E147" t="inlineStr">
        <is>
          <t>Space cooling</t>
        </is>
      </c>
      <c r="F147" t="inlineStr">
        <is>
          <t>Absorption chiller</t>
        </is>
      </c>
      <c r="G147" t="inlineStr">
        <is>
          <t>Electricity</t>
        </is>
      </c>
      <c r="H147" t="inlineStr">
        <is>
          <t>COMELC</t>
        </is>
      </c>
      <c r="I147" t="inlineStr">
        <is>
          <t>COMHOPOldSCEUE</t>
        </is>
      </c>
      <c r="J147" t="inlineStr">
        <is>
          <t>COMHOPOldSCACHSTM19</t>
        </is>
      </c>
      <c r="K147" t="n">
        <v>44.38225928366647</v>
      </c>
      <c r="L147" t="n">
        <v>2318.274567081524</v>
      </c>
      <c r="M147" t="n">
        <v>0.0003154131175150613</v>
      </c>
      <c r="N147" t="n">
        <v>0.7312142084590626</v>
      </c>
      <c r="O147" t="n">
        <v>0.7312142084590626</v>
      </c>
      <c r="P147" t="n">
        <v>1.719998579937847</v>
      </c>
      <c r="Q147" t="inlineStr">
        <is>
          <t>MW</t>
        </is>
      </c>
      <c r="R147" t="n">
        <v>1</v>
      </c>
      <c r="S147" t="n">
        <v>11.5</v>
      </c>
      <c r="T147" t="n">
        <v>10</v>
      </c>
      <c r="V147" t="n">
        <v>0.01348062185414584</v>
      </c>
      <c r="W147" t="n">
        <v>31.536</v>
      </c>
    </row>
    <row r="148">
      <c r="A148" t="inlineStr">
        <is>
          <t>Commercial</t>
        </is>
      </c>
      <c r="B148" t="inlineStr">
        <is>
          <t>Hospital</t>
        </is>
      </c>
      <c r="D148" t="inlineStr">
        <is>
          <t>Old</t>
        </is>
      </c>
      <c r="E148" t="inlineStr">
        <is>
          <t>Space cooling</t>
        </is>
      </c>
      <c r="F148" t="inlineStr">
        <is>
          <t>District chilled water</t>
        </is>
      </c>
      <c r="G148" t="inlineStr">
        <is>
          <t>Electricity</t>
        </is>
      </c>
      <c r="H148" t="inlineStr">
        <is>
          <t>COMELC</t>
        </is>
      </c>
      <c r="I148" t="inlineStr">
        <is>
          <t>COMHOPOldSCEUE</t>
        </is>
      </c>
      <c r="J148" t="inlineStr">
        <is>
          <t>COMHOPOldSCDCOCHI19</t>
        </is>
      </c>
      <c r="K148" t="n">
        <v>44.38225928366647</v>
      </c>
      <c r="L148" t="n">
        <v>2318.274567081524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MW</t>
        </is>
      </c>
      <c r="R148" t="n">
        <v>1</v>
      </c>
      <c r="S148" t="n">
        <v>12.5</v>
      </c>
      <c r="T148" t="n">
        <v>1</v>
      </c>
      <c r="V148" t="n">
        <v>0</v>
      </c>
      <c r="W148" t="n">
        <v>31.536</v>
      </c>
    </row>
    <row r="149">
      <c r="A149" t="inlineStr">
        <is>
          <t>Commercial</t>
        </is>
      </c>
      <c r="B149" t="inlineStr">
        <is>
          <t>Hospital</t>
        </is>
      </c>
      <c r="D149" t="inlineStr">
        <is>
          <t>Old</t>
        </is>
      </c>
      <c r="E149" t="inlineStr">
        <is>
          <t>Ventilation</t>
        </is>
      </c>
      <c r="F149" t="inlineStr">
        <is>
          <t>Electricity</t>
        </is>
      </c>
      <c r="G149" t="inlineStr">
        <is>
          <t>Electricity</t>
        </is>
      </c>
      <c r="H149" t="inlineStr">
        <is>
          <t>COMELC</t>
        </is>
      </c>
      <c r="I149" t="inlineStr">
        <is>
          <t>COMHOPOldVTEUE</t>
        </is>
      </c>
      <c r="J149" t="inlineStr">
        <is>
          <t>COMHOPOldVTELC19</t>
        </is>
      </c>
      <c r="K149" t="n">
        <v>44.38225928366647</v>
      </c>
      <c r="L149" t="n">
        <v>7887.670672816889</v>
      </c>
      <c r="M149" t="n">
        <v>1</v>
      </c>
      <c r="N149" t="n">
        <v>7887.670672816889</v>
      </c>
      <c r="O149" t="n">
        <v>7887.670672816889</v>
      </c>
      <c r="P149" t="n">
        <v>568.4463551624183</v>
      </c>
      <c r="Q149" t="inlineStr">
        <is>
          <t>MW</t>
        </is>
      </c>
      <c r="R149" t="n">
        <v>1</v>
      </c>
      <c r="S149" t="n">
        <v>10</v>
      </c>
      <c r="T149" t="n">
        <v>97</v>
      </c>
      <c r="V149" t="n">
        <v>0.44</v>
      </c>
      <c r="W149" t="n">
        <v>31.536</v>
      </c>
    </row>
    <row r="150">
      <c r="A150" t="inlineStr">
        <is>
          <t>Commercial</t>
        </is>
      </c>
      <c r="B150" t="inlineStr">
        <is>
          <t>Hospital</t>
        </is>
      </c>
      <c r="D150" t="inlineStr">
        <is>
          <t>Old</t>
        </is>
      </c>
      <c r="E150" t="inlineStr">
        <is>
          <t>Water heating</t>
        </is>
      </c>
      <c r="F150" t="inlineStr">
        <is>
          <t>Fuel oil</t>
        </is>
      </c>
      <c r="G150" t="inlineStr">
        <is>
          <t>Fuel oil</t>
        </is>
      </c>
      <c r="H150" t="inlineStr">
        <is>
          <t>COMFOI</t>
        </is>
      </c>
      <c r="I150" t="inlineStr">
        <is>
          <t>COMHOPOldWHEUE</t>
        </is>
      </c>
      <c r="J150" t="inlineStr">
        <is>
          <t>COMHOPOldWHFOI19</t>
        </is>
      </c>
      <c r="K150" t="n">
        <v>44.38225928366647</v>
      </c>
      <c r="L150" t="n">
        <v>197.1583118308118</v>
      </c>
      <c r="M150" t="n">
        <v>1</v>
      </c>
      <c r="N150" t="n">
        <v>197.1583118308118</v>
      </c>
      <c r="O150" t="n">
        <v>153.7834832280332</v>
      </c>
      <c r="P150" t="n">
        <v>11.08282332659019</v>
      </c>
      <c r="Q150" t="inlineStr">
        <is>
          <t>MW</t>
        </is>
      </c>
      <c r="R150" t="n">
        <v>0.78</v>
      </c>
      <c r="S150" t="n">
        <v>6.5</v>
      </c>
      <c r="T150" t="n">
        <v>6</v>
      </c>
      <c r="V150" t="n">
        <v>0.44</v>
      </c>
      <c r="W150" t="n">
        <v>31.536</v>
      </c>
    </row>
    <row r="151">
      <c r="A151" t="inlineStr">
        <is>
          <t>Commercial</t>
        </is>
      </c>
      <c r="B151" t="inlineStr">
        <is>
          <t>Hospital</t>
        </is>
      </c>
      <c r="D151" t="inlineStr">
        <is>
          <t>Old</t>
        </is>
      </c>
      <c r="E151" t="inlineStr">
        <is>
          <t>Water heating</t>
        </is>
      </c>
      <c r="F151" t="inlineStr">
        <is>
          <t>Natural gas</t>
        </is>
      </c>
      <c r="G151" t="inlineStr">
        <is>
          <t>Natural gas</t>
        </is>
      </c>
      <c r="H151" t="inlineStr">
        <is>
          <t>COMNGA</t>
        </is>
      </c>
      <c r="I151" t="inlineStr">
        <is>
          <t>COMHOPOldWHEUE</t>
        </is>
      </c>
      <c r="J151" t="inlineStr">
        <is>
          <t>COMHOPOldWHNGA19</t>
        </is>
      </c>
      <c r="K151" t="n">
        <v>44.38225928366647</v>
      </c>
      <c r="L151" t="n">
        <v>3336.50228334229</v>
      </c>
      <c r="M151" t="n">
        <v>1</v>
      </c>
      <c r="N151" t="n">
        <v>3336.50228334229</v>
      </c>
      <c r="O151" t="n">
        <v>2569.106758173563</v>
      </c>
      <c r="P151" t="n">
        <v>185.1496383767443</v>
      </c>
      <c r="Q151" t="inlineStr">
        <is>
          <t>MW</t>
        </is>
      </c>
      <c r="R151" t="n">
        <v>0.77</v>
      </c>
      <c r="S151" t="n">
        <v>5</v>
      </c>
      <c r="T151" t="n">
        <v>7</v>
      </c>
      <c r="V151" t="n">
        <v>0.44</v>
      </c>
      <c r="W151" t="n">
        <v>31.536</v>
      </c>
    </row>
    <row r="152">
      <c r="A152" t="inlineStr">
        <is>
          <t>Commercial</t>
        </is>
      </c>
      <c r="B152" t="inlineStr">
        <is>
          <t>Hospital</t>
        </is>
      </c>
      <c r="D152" t="inlineStr">
        <is>
          <t>Old</t>
        </is>
      </c>
      <c r="E152" t="inlineStr">
        <is>
          <t>Water heating</t>
        </is>
      </c>
      <c r="F152" t="inlineStr">
        <is>
          <t>Steam / Cooling</t>
        </is>
      </c>
      <c r="G152" t="inlineStr">
        <is>
          <t>Steam / Cooling</t>
        </is>
      </c>
      <c r="H152" t="inlineStr">
        <is>
          <t>COMSTM</t>
        </is>
      </c>
      <c r="I152" t="inlineStr">
        <is>
          <t>COMHOPOldWHEUE</t>
        </is>
      </c>
      <c r="J152" t="inlineStr">
        <is>
          <t>COMHOPOldWHSTM19</t>
        </is>
      </c>
      <c r="K152" t="n">
        <v>44.38225928366647</v>
      </c>
      <c r="L152" t="n">
        <v>118.8634326953729</v>
      </c>
      <c r="M152" t="n">
        <v>1</v>
      </c>
      <c r="N152" t="n">
        <v>118.8634326953729</v>
      </c>
      <c r="O152" t="n">
        <v>115.8621310198147</v>
      </c>
      <c r="P152" t="n">
        <v>8.349918348713645</v>
      </c>
      <c r="Q152" t="inlineStr">
        <is>
          <t>MW</t>
        </is>
      </c>
      <c r="R152" t="n">
        <v>0.9747499999999999</v>
      </c>
      <c r="S152" t="n">
        <v>12.5</v>
      </c>
      <c r="T152" t="n">
        <v>1</v>
      </c>
      <c r="V152" t="n">
        <v>0.44</v>
      </c>
      <c r="W152" t="n">
        <v>31.536</v>
      </c>
    </row>
    <row r="153">
      <c r="A153" t="inlineStr">
        <is>
          <t>Commercial</t>
        </is>
      </c>
      <c r="B153" t="inlineStr">
        <is>
          <t>Hospital</t>
        </is>
      </c>
      <c r="D153" t="inlineStr">
        <is>
          <t>Old</t>
        </is>
      </c>
      <c r="E153" t="inlineStr">
        <is>
          <t>Water heating</t>
        </is>
      </c>
      <c r="F153" t="inlineStr">
        <is>
          <t>Electricity</t>
        </is>
      </c>
      <c r="G153" t="inlineStr">
        <is>
          <t>Electricity</t>
        </is>
      </c>
      <c r="H153" t="inlineStr">
        <is>
          <t>COMELC</t>
        </is>
      </c>
      <c r="I153" t="inlineStr">
        <is>
          <t>COMHOPOldWHEUE</t>
        </is>
      </c>
      <c r="J153" t="inlineStr">
        <is>
          <t>COMHOPOldWHELC19</t>
        </is>
      </c>
      <c r="K153" t="n">
        <v>44.38225928366647</v>
      </c>
      <c r="L153" t="n">
        <v>332.9581427811914</v>
      </c>
      <c r="M153" t="n">
        <v>1</v>
      </c>
      <c r="N153" t="n">
        <v>332.9581427811914</v>
      </c>
      <c r="O153" t="n">
        <v>324.5509496759663</v>
      </c>
      <c r="P153" t="n">
        <v>23.38964341445032</v>
      </c>
      <c r="Q153" t="inlineStr">
        <is>
          <t>MW</t>
        </is>
      </c>
      <c r="R153" t="n">
        <v>0.9747499999999999</v>
      </c>
      <c r="S153" t="n">
        <v>7.5</v>
      </c>
      <c r="T153" t="n">
        <v>2</v>
      </c>
      <c r="V153" t="n">
        <v>0.44</v>
      </c>
      <c r="W153" t="n">
        <v>31.536</v>
      </c>
    </row>
    <row r="154">
      <c r="A154" t="inlineStr">
        <is>
          <t>Commercial</t>
        </is>
      </c>
      <c r="B154" t="inlineStr">
        <is>
          <t>Hospital</t>
        </is>
      </c>
      <c r="D154" t="inlineStr">
        <is>
          <t>Old</t>
        </is>
      </c>
      <c r="E154" t="inlineStr">
        <is>
          <t>Lighting</t>
        </is>
      </c>
      <c r="F154" t="inlineStr">
        <is>
          <t>Fluorescent</t>
        </is>
      </c>
      <c r="G154" t="inlineStr">
        <is>
          <t>Electricity</t>
        </is>
      </c>
      <c r="H154" t="inlineStr">
        <is>
          <t>COMELC</t>
        </is>
      </c>
      <c r="I154" t="inlineStr">
        <is>
          <t>COMHOPOldLTEUE</t>
        </is>
      </c>
      <c r="J154" t="inlineStr">
        <is>
          <t>COMHOPOldLTFLUELC19</t>
        </is>
      </c>
      <c r="K154" t="n">
        <v>44.38225928366647</v>
      </c>
      <c r="L154" t="n">
        <v>3796.734279483517</v>
      </c>
      <c r="M154" t="n">
        <v>0.4656341777961178</v>
      </c>
      <c r="N154" t="n">
        <v>1767.889244537643</v>
      </c>
      <c r="O154" t="n">
        <v>4211.355045424339</v>
      </c>
      <c r="P154" t="n">
        <v>8672.38602214696</v>
      </c>
      <c r="Q154" t="inlineStr">
        <is>
          <t>Mlma</t>
        </is>
      </c>
      <c r="R154" t="n">
        <v>2.382137375650891</v>
      </c>
      <c r="S154" t="n">
        <v>5</v>
      </c>
      <c r="T154" t="n">
        <v>1</v>
      </c>
      <c r="V154" t="n">
        <v>0.4856051188991889</v>
      </c>
      <c r="W154" t="n">
        <v>1</v>
      </c>
    </row>
    <row r="155">
      <c r="A155" t="inlineStr">
        <is>
          <t>Commercial</t>
        </is>
      </c>
      <c r="B155" t="inlineStr">
        <is>
          <t>Hospital</t>
        </is>
      </c>
      <c r="D155" t="inlineStr">
        <is>
          <t>Old</t>
        </is>
      </c>
      <c r="E155" t="inlineStr">
        <is>
          <t>Lighting</t>
        </is>
      </c>
      <c r="F155" t="inlineStr">
        <is>
          <t>Compact fluorescent</t>
        </is>
      </c>
      <c r="G155" t="inlineStr">
        <is>
          <t>Electricity</t>
        </is>
      </c>
      <c r="H155" t="inlineStr">
        <is>
          <t>COMELC</t>
        </is>
      </c>
      <c r="I155" t="inlineStr">
        <is>
          <t>COMHOPOldLTEUE</t>
        </is>
      </c>
      <c r="J155" t="inlineStr">
        <is>
          <t>COMHOPOldLTCFLELC19</t>
        </is>
      </c>
      <c r="K155" t="n">
        <v>44.38225928366647</v>
      </c>
      <c r="L155" t="n">
        <v>3796.734279483517</v>
      </c>
      <c r="M155" t="n">
        <v>0.1321824598348814</v>
      </c>
      <c r="N155" t="n">
        <v>501.8616764015475</v>
      </c>
      <c r="O155" t="n">
        <v>690.1010122606291</v>
      </c>
      <c r="P155" t="n">
        <v>1936.280709571034</v>
      </c>
      <c r="Q155" t="inlineStr">
        <is>
          <t>Mlma</t>
        </is>
      </c>
      <c r="R155" t="n">
        <v>1.375082108697354</v>
      </c>
      <c r="S155" t="n">
        <v>5</v>
      </c>
      <c r="T155" t="n">
        <v>5</v>
      </c>
      <c r="V155" t="n">
        <v>0.3564054575607041</v>
      </c>
      <c r="W155" t="n">
        <v>1</v>
      </c>
    </row>
    <row r="156">
      <c r="A156" t="inlineStr">
        <is>
          <t>Commercial</t>
        </is>
      </c>
      <c r="B156" t="inlineStr">
        <is>
          <t>Hospital</t>
        </is>
      </c>
      <c r="D156" t="inlineStr">
        <is>
          <t>Old</t>
        </is>
      </c>
      <c r="E156" t="inlineStr">
        <is>
          <t>Lighting</t>
        </is>
      </c>
      <c r="F156" t="inlineStr">
        <is>
          <t>Incandescent</t>
        </is>
      </c>
      <c r="G156" t="inlineStr">
        <is>
          <t>Electricity</t>
        </is>
      </c>
      <c r="H156" t="inlineStr">
        <is>
          <t>COMELC</t>
        </is>
      </c>
      <c r="I156" t="inlineStr">
        <is>
          <t>COMHOPOldLTEUE</t>
        </is>
      </c>
      <c r="J156" t="inlineStr">
        <is>
          <t>COMHOPOldLTINCELC19</t>
        </is>
      </c>
      <c r="K156" t="n">
        <v>44.38225928366647</v>
      </c>
      <c r="L156" t="n">
        <v>3796.734279483517</v>
      </c>
      <c r="M156" t="n">
        <v>0.06052657944008475</v>
      </c>
      <c r="N156" t="n">
        <v>229.803338980052</v>
      </c>
      <c r="O156" t="n">
        <v>76.88527006092042</v>
      </c>
      <c r="P156" t="n">
        <v>384.407364202669</v>
      </c>
      <c r="Q156" t="inlineStr">
        <is>
          <t>Mlma</t>
        </is>
      </c>
      <c r="R156" t="n">
        <v>0.3345698561307432</v>
      </c>
      <c r="S156" t="n">
        <v>0.5</v>
      </c>
      <c r="T156" t="n">
        <v>1</v>
      </c>
      <c r="V156" t="n">
        <v>0.2000098781156144</v>
      </c>
      <c r="W156" t="n">
        <v>1</v>
      </c>
    </row>
    <row r="157">
      <c r="A157" t="inlineStr">
        <is>
          <t>Commercial</t>
        </is>
      </c>
      <c r="B157" t="inlineStr">
        <is>
          <t>Hospital</t>
        </is>
      </c>
      <c r="D157" t="inlineStr">
        <is>
          <t>Old</t>
        </is>
      </c>
      <c r="E157" t="inlineStr">
        <is>
          <t>Lighting</t>
        </is>
      </c>
      <c r="F157" t="inlineStr">
        <is>
          <t>Halogen</t>
        </is>
      </c>
      <c r="G157" t="inlineStr">
        <is>
          <t>Electricity</t>
        </is>
      </c>
      <c r="H157" t="inlineStr">
        <is>
          <t>COMELC</t>
        </is>
      </c>
      <c r="I157" t="inlineStr">
        <is>
          <t>COMHOPOldLTEUE</t>
        </is>
      </c>
      <c r="J157" t="inlineStr">
        <is>
          <t>COMHOPOldLTHALELC19</t>
        </is>
      </c>
      <c r="K157" t="n">
        <v>44.38225928366647</v>
      </c>
      <c r="L157" t="n">
        <v>3796.734279483517</v>
      </c>
      <c r="M157" t="n">
        <v>0.02012457047661564</v>
      </c>
      <c r="N157" t="n">
        <v>76.40764658844856</v>
      </c>
      <c r="O157" t="n">
        <v>34.51098869062096</v>
      </c>
      <c r="P157" t="n">
        <v>271.2083883138748</v>
      </c>
      <c r="Q157" t="inlineStr">
        <is>
          <t>Mlma</t>
        </is>
      </c>
      <c r="R157" t="n">
        <v>0.4516693057765032</v>
      </c>
      <c r="S157" t="n">
        <v>5</v>
      </c>
      <c r="T157" t="n">
        <v>37</v>
      </c>
      <c r="V157" t="n">
        <v>0.1272489722946206</v>
      </c>
      <c r="W157" t="n">
        <v>1</v>
      </c>
    </row>
    <row r="158">
      <c r="A158" t="inlineStr">
        <is>
          <t>Commercial</t>
        </is>
      </c>
      <c r="B158" t="inlineStr">
        <is>
          <t>Hospital</t>
        </is>
      </c>
      <c r="D158" t="inlineStr">
        <is>
          <t>Old</t>
        </is>
      </c>
      <c r="E158" t="inlineStr">
        <is>
          <t>Lighting</t>
        </is>
      </c>
      <c r="F158" t="inlineStr">
        <is>
          <t>HID</t>
        </is>
      </c>
      <c r="G158" t="inlineStr">
        <is>
          <t>Electricity</t>
        </is>
      </c>
      <c r="H158" t="inlineStr">
        <is>
          <t>COMELC</t>
        </is>
      </c>
      <c r="I158" t="inlineStr">
        <is>
          <t>COMHOPOldLTEUE</t>
        </is>
      </c>
      <c r="J158" t="inlineStr">
        <is>
          <t>COMHOPOldLTHIDELC19</t>
        </is>
      </c>
      <c r="K158" t="n">
        <v>44.38225928366647</v>
      </c>
      <c r="L158" t="n">
        <v>3796.734279483517</v>
      </c>
      <c r="M158" t="n">
        <v>0.007353713640047096</v>
      </c>
      <c r="N158" t="n">
        <v>27.92009665867232</v>
      </c>
      <c r="O158" t="n">
        <v>52.83898363016743</v>
      </c>
      <c r="P158" t="n">
        <v>365.1574304922913</v>
      </c>
      <c r="Q158" t="inlineStr">
        <is>
          <t>Mlma</t>
        </is>
      </c>
      <c r="R158" t="n">
        <v>1.892507188500546</v>
      </c>
      <c r="S158" t="n">
        <v>0.5</v>
      </c>
      <c r="T158" t="n">
        <v>1</v>
      </c>
      <c r="V158" t="n">
        <v>0.144701926396327</v>
      </c>
      <c r="W158" t="n">
        <v>1</v>
      </c>
    </row>
    <row r="159">
      <c r="A159" t="inlineStr">
        <is>
          <t>Commercial</t>
        </is>
      </c>
      <c r="B159" t="inlineStr">
        <is>
          <t>Hospital</t>
        </is>
      </c>
      <c r="D159" t="inlineStr">
        <is>
          <t>Old</t>
        </is>
      </c>
      <c r="E159" t="inlineStr">
        <is>
          <t>Lighting</t>
        </is>
      </c>
      <c r="F159" t="inlineStr">
        <is>
          <t>LED</t>
        </is>
      </c>
      <c r="G159" t="inlineStr">
        <is>
          <t>Electricity</t>
        </is>
      </c>
      <c r="H159" t="inlineStr">
        <is>
          <t>COMELC</t>
        </is>
      </c>
      <c r="I159" t="inlineStr">
        <is>
          <t>COMHOPOldLTEUE</t>
        </is>
      </c>
      <c r="J159" t="inlineStr">
        <is>
          <t>COMHOPOldLTLEDELC19</t>
        </is>
      </c>
      <c r="K159" t="n">
        <v>44.38225928366647</v>
      </c>
      <c r="L159" t="n">
        <v>3796.734279483517</v>
      </c>
      <c r="M159" t="n">
        <v>0.3141784988122522</v>
      </c>
      <c r="N159" t="n">
        <v>1192.85227631715</v>
      </c>
      <c r="O159" t="n">
        <v>2257.481507749445</v>
      </c>
      <c r="P159" t="n">
        <v>5412.309593475873</v>
      </c>
      <c r="Q159" t="inlineStr">
        <is>
          <t>Mlma</t>
        </is>
      </c>
      <c r="R159" t="n">
        <v>1.892507188500546</v>
      </c>
      <c r="S159" t="n">
        <v>5</v>
      </c>
      <c r="T159" t="n">
        <v>2</v>
      </c>
      <c r="V159" t="n">
        <v>0.4171013259239026</v>
      </c>
      <c r="W159" t="n">
        <v>1</v>
      </c>
    </row>
    <row r="160">
      <c r="A160" t="inlineStr">
        <is>
          <t>Commercial</t>
        </is>
      </c>
      <c r="B160" t="inlineStr">
        <is>
          <t>Hospital</t>
        </is>
      </c>
      <c r="D160" t="inlineStr">
        <is>
          <t>Old</t>
        </is>
      </c>
      <c r="E160" t="inlineStr">
        <is>
          <t>Lighting</t>
        </is>
      </c>
      <c r="F160" t="inlineStr">
        <is>
          <t>Other lighting</t>
        </is>
      </c>
      <c r="G160" t="inlineStr">
        <is>
          <t>Electricity</t>
        </is>
      </c>
      <c r="H160" t="inlineStr">
        <is>
          <t>COMELC</t>
        </is>
      </c>
      <c r="I160" t="inlineStr">
        <is>
          <t>COMHOPOldLTEUE</t>
        </is>
      </c>
      <c r="J160" t="inlineStr">
        <is>
          <t>COMHOPOldLTOTHELC19</t>
        </is>
      </c>
      <c r="K160" t="n">
        <v>44.38225928366647</v>
      </c>
      <c r="L160" t="n">
        <v>3796.734279483517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Mlma</t>
        </is>
      </c>
      <c r="R160" t="n">
        <v>0.9635611856565404</v>
      </c>
      <c r="S160" t="n">
        <v>0.5</v>
      </c>
      <c r="T160" t="n">
        <v>1</v>
      </c>
      <c r="V160" t="n">
        <v>0</v>
      </c>
      <c r="W160" t="n">
        <v>1</v>
      </c>
    </row>
    <row r="161">
      <c r="A161" t="inlineStr">
        <is>
          <t>Commercial</t>
        </is>
      </c>
      <c r="B161" t="inlineStr">
        <is>
          <t>Hospital</t>
        </is>
      </c>
      <c r="D161" t="inlineStr">
        <is>
          <t>Old</t>
        </is>
      </c>
      <c r="E161" t="inlineStr">
        <is>
          <t>Cooking</t>
        </is>
      </c>
      <c r="F161" t="inlineStr">
        <is>
          <t>Fuel oil</t>
        </is>
      </c>
      <c r="G161" t="inlineStr">
        <is>
          <t>Fuel oil</t>
        </is>
      </c>
      <c r="H161" t="inlineStr">
        <is>
          <t>COMFOI</t>
        </is>
      </c>
      <c r="I161" t="inlineStr">
        <is>
          <t>COMHOPOldCKEUE</t>
        </is>
      </c>
      <c r="J161" t="inlineStr">
        <is>
          <t>COMHOPOldCKFOI19</t>
        </is>
      </c>
      <c r="K161" t="n">
        <v>44.38225928366647</v>
      </c>
      <c r="L161" t="n">
        <v>3.665040374745974</v>
      </c>
      <c r="M161" t="n">
        <v>1</v>
      </c>
      <c r="N161" t="n">
        <v>3.665040374745974</v>
      </c>
      <c r="O161" t="n">
        <v>1.649268168635688</v>
      </c>
      <c r="P161" t="n">
        <v>0.1188589785292774</v>
      </c>
      <c r="Q161" t="inlineStr">
        <is>
          <t>MW</t>
        </is>
      </c>
      <c r="R161" t="n">
        <v>0.45</v>
      </c>
      <c r="S161" t="n">
        <v>6</v>
      </c>
      <c r="T161" t="n">
        <v>8</v>
      </c>
      <c r="V161" t="n">
        <v>0.44</v>
      </c>
      <c r="W161" t="n">
        <v>31.536</v>
      </c>
    </row>
    <row r="162">
      <c r="A162" t="inlineStr">
        <is>
          <t>Commercial</t>
        </is>
      </c>
      <c r="B162" t="inlineStr">
        <is>
          <t>Hospital</t>
        </is>
      </c>
      <c r="D162" t="inlineStr">
        <is>
          <t>Old</t>
        </is>
      </c>
      <c r="E162" t="inlineStr">
        <is>
          <t>Cooking</t>
        </is>
      </c>
      <c r="F162" t="inlineStr">
        <is>
          <t>Natural gas</t>
        </is>
      </c>
      <c r="G162" t="inlineStr">
        <is>
          <t>Natural gas</t>
        </is>
      </c>
      <c r="H162" t="inlineStr">
        <is>
          <t>COMNGA</t>
        </is>
      </c>
      <c r="I162" t="inlineStr">
        <is>
          <t>COMHOPOldCKEUE</t>
        </is>
      </c>
      <c r="J162" t="inlineStr">
        <is>
          <t>COMHOPOldCKNGA19</t>
        </is>
      </c>
      <c r="K162" t="n">
        <v>44.38225928366647</v>
      </c>
      <c r="L162" t="n">
        <v>7365.337538335343</v>
      </c>
      <c r="M162" t="n">
        <v>1</v>
      </c>
      <c r="N162" t="n">
        <v>7365.337538335343</v>
      </c>
      <c r="O162" t="n">
        <v>3314.401892250904</v>
      </c>
      <c r="P162" t="n">
        <v>238.8613512587998</v>
      </c>
      <c r="Q162" t="inlineStr">
        <is>
          <t>MW</t>
        </is>
      </c>
      <c r="R162" t="n">
        <v>0.45</v>
      </c>
      <c r="S162" t="n">
        <v>6</v>
      </c>
      <c r="T162" t="n">
        <v>8</v>
      </c>
      <c r="V162" t="n">
        <v>0.44</v>
      </c>
      <c r="W162" t="n">
        <v>31.536</v>
      </c>
    </row>
    <row r="163">
      <c r="A163" t="inlineStr">
        <is>
          <t>Commercial</t>
        </is>
      </c>
      <c r="B163" t="inlineStr">
        <is>
          <t>Hospital</t>
        </is>
      </c>
      <c r="D163" t="inlineStr">
        <is>
          <t>Old</t>
        </is>
      </c>
      <c r="E163" t="inlineStr">
        <is>
          <t>Cooking</t>
        </is>
      </c>
      <c r="F163" t="inlineStr">
        <is>
          <t>Steam / Cooling</t>
        </is>
      </c>
      <c r="G163" t="inlineStr">
        <is>
          <t>Steam / Cooling</t>
        </is>
      </c>
      <c r="H163" t="inlineStr">
        <is>
          <t>COMSTM</t>
        </is>
      </c>
      <c r="I163" t="inlineStr">
        <is>
          <t>COMHOPOldCKEUE</t>
        </is>
      </c>
      <c r="J163" t="inlineStr">
        <is>
          <t>COMHOPOldCKSTM19</t>
        </is>
      </c>
      <c r="K163" t="n">
        <v>44.38225928366647</v>
      </c>
      <c r="L163" t="n">
        <v>3.448164557511248</v>
      </c>
      <c r="M163" t="n">
        <v>1</v>
      </c>
      <c r="N163" t="n">
        <v>3.448164557511248</v>
      </c>
      <c r="O163" t="n">
        <v>2.413715190257873</v>
      </c>
      <c r="P163" t="n">
        <v>0.1739509240707498</v>
      </c>
      <c r="Q163" t="inlineStr">
        <is>
          <t>MW</t>
        </is>
      </c>
      <c r="R163" t="n">
        <v>0.7</v>
      </c>
      <c r="S163" t="n">
        <v>6</v>
      </c>
      <c r="T163" t="n">
        <v>8</v>
      </c>
      <c r="V163" t="n">
        <v>0.44</v>
      </c>
      <c r="W163" t="n">
        <v>31.536</v>
      </c>
    </row>
    <row r="164">
      <c r="A164" t="inlineStr">
        <is>
          <t>Commercial</t>
        </is>
      </c>
      <c r="B164" t="inlineStr">
        <is>
          <t>Hospital</t>
        </is>
      </c>
      <c r="D164" t="inlineStr">
        <is>
          <t>Old</t>
        </is>
      </c>
      <c r="E164" t="inlineStr">
        <is>
          <t>Cooking</t>
        </is>
      </c>
      <c r="F164" t="inlineStr">
        <is>
          <t>Electricity</t>
        </is>
      </c>
      <c r="G164" t="inlineStr">
        <is>
          <t>Electricity</t>
        </is>
      </c>
      <c r="H164" t="inlineStr">
        <is>
          <t>COMELC</t>
        </is>
      </c>
      <c r="I164" t="inlineStr">
        <is>
          <t>COMHOPOldCKEUE</t>
        </is>
      </c>
      <c r="J164" t="inlineStr">
        <is>
          <t>COMHOPOldCKELC19</t>
        </is>
      </c>
      <c r="K164" t="n">
        <v>44.38225928366647</v>
      </c>
      <c r="L164" t="n">
        <v>635.9992193018769</v>
      </c>
      <c r="M164" t="n">
        <v>1</v>
      </c>
      <c r="N164" t="n">
        <v>635.9992193018769</v>
      </c>
      <c r="O164" t="n">
        <v>445.1994535113138</v>
      </c>
      <c r="P164" t="n">
        <v>32.08450468665781</v>
      </c>
      <c r="Q164" t="inlineStr">
        <is>
          <t>MW</t>
        </is>
      </c>
      <c r="R164" t="n">
        <v>0.7</v>
      </c>
      <c r="S164" t="n">
        <v>6</v>
      </c>
      <c r="T164" t="n">
        <v>8</v>
      </c>
      <c r="V164" t="n">
        <v>0.44</v>
      </c>
      <c r="W164" t="n">
        <v>31.536</v>
      </c>
    </row>
    <row r="165">
      <c r="A165" t="inlineStr">
        <is>
          <t>Commercial</t>
        </is>
      </c>
      <c r="B165" t="inlineStr">
        <is>
          <t>Hospital</t>
        </is>
      </c>
      <c r="D165" t="inlineStr">
        <is>
          <t>Old</t>
        </is>
      </c>
      <c r="E165" t="inlineStr">
        <is>
          <t>Refrigeration</t>
        </is>
      </c>
      <c r="F165" t="inlineStr">
        <is>
          <t>Electricity</t>
        </is>
      </c>
      <c r="G165" t="inlineStr">
        <is>
          <t>Electricity</t>
        </is>
      </c>
      <c r="H165" t="inlineStr">
        <is>
          <t>COMELC</t>
        </is>
      </c>
      <c r="I165" t="inlineStr">
        <is>
          <t>COMHOPOldREEUE</t>
        </is>
      </c>
      <c r="J165" t="inlineStr">
        <is>
          <t>COMHOPOldREELC19</t>
        </is>
      </c>
      <c r="K165" t="n">
        <v>44.38225928366647</v>
      </c>
      <c r="L165" t="n">
        <v>975.0414382094277</v>
      </c>
      <c r="M165" t="n">
        <v>1</v>
      </c>
      <c r="N165" t="n">
        <v>975.0414382094277</v>
      </c>
      <c r="O165" t="n">
        <v>975.0414382094277</v>
      </c>
      <c r="P165" t="n">
        <v>70.26900268448092</v>
      </c>
      <c r="Q165" t="inlineStr">
        <is>
          <t>MW</t>
        </is>
      </c>
      <c r="R165" t="n">
        <v>1</v>
      </c>
      <c r="S165" t="n">
        <v>5</v>
      </c>
      <c r="T165" t="n">
        <v>500</v>
      </c>
      <c r="V165" t="n">
        <v>0.44</v>
      </c>
      <c r="W165" t="n">
        <v>31.536</v>
      </c>
    </row>
    <row r="166">
      <c r="A166" t="inlineStr">
        <is>
          <t>Commercial</t>
        </is>
      </c>
      <c r="B166" t="inlineStr">
        <is>
          <t>Hospital</t>
        </is>
      </c>
      <c r="D166" t="inlineStr">
        <is>
          <t>Old</t>
        </is>
      </c>
      <c r="E166" t="inlineStr">
        <is>
          <t>Other end use</t>
        </is>
      </c>
      <c r="F166" t="inlineStr">
        <is>
          <t>Fuel oil</t>
        </is>
      </c>
      <c r="G166" t="inlineStr">
        <is>
          <t>Fuel oil</t>
        </is>
      </c>
      <c r="H166" t="inlineStr">
        <is>
          <t>COMFOI</t>
        </is>
      </c>
      <c r="I166" t="inlineStr">
        <is>
          <t>COMHOPOldOEEUE</t>
        </is>
      </c>
      <c r="J166" t="inlineStr">
        <is>
          <t>COMHOPOldOEFOI19</t>
        </is>
      </c>
      <c r="K166" t="n">
        <v>44.38225928366647</v>
      </c>
      <c r="L166" t="n">
        <v>1965.94881887335</v>
      </c>
      <c r="M166" t="n">
        <v>1</v>
      </c>
      <c r="N166" t="n">
        <v>1965.94881887335</v>
      </c>
      <c r="O166" t="n">
        <v>1965.94881887335</v>
      </c>
      <c r="P166" t="n">
        <v>4468.065497439431</v>
      </c>
      <c r="Q166" t="inlineStr">
        <is>
          <t>TJa</t>
        </is>
      </c>
      <c r="R166" t="n">
        <v>1</v>
      </c>
      <c r="S166" t="n">
        <v>12.5</v>
      </c>
      <c r="T166" t="n">
        <v>10</v>
      </c>
      <c r="V166" t="n">
        <v>0.44</v>
      </c>
      <c r="W166" t="n">
        <v>1</v>
      </c>
    </row>
    <row r="167">
      <c r="A167" t="inlineStr">
        <is>
          <t>Commercial</t>
        </is>
      </c>
      <c r="B167" t="inlineStr">
        <is>
          <t>Hospital</t>
        </is>
      </c>
      <c r="D167" t="inlineStr">
        <is>
          <t>Old</t>
        </is>
      </c>
      <c r="E167" t="inlineStr">
        <is>
          <t>Other end use</t>
        </is>
      </c>
      <c r="F167" t="inlineStr">
        <is>
          <t>Natural gas</t>
        </is>
      </c>
      <c r="G167" t="inlineStr">
        <is>
          <t>Natural gas</t>
        </is>
      </c>
      <c r="H167" t="inlineStr">
        <is>
          <t>COMNGA</t>
        </is>
      </c>
      <c r="I167" t="inlineStr">
        <is>
          <t>COMHOPOldOEEUE</t>
        </is>
      </c>
      <c r="J167" t="inlineStr">
        <is>
          <t>COMHOPOldOENGA19</t>
        </is>
      </c>
      <c r="K167" t="n">
        <v>44.38225928366647</v>
      </c>
      <c r="L167" t="n">
        <v>2994.919611280187</v>
      </c>
      <c r="M167" t="n">
        <v>1</v>
      </c>
      <c r="N167" t="n">
        <v>2994.919611280187</v>
      </c>
      <c r="O167" t="n">
        <v>2994.919611280187</v>
      </c>
      <c r="P167" t="n">
        <v>6806.635480182244</v>
      </c>
      <c r="Q167" t="inlineStr">
        <is>
          <t>TJa</t>
        </is>
      </c>
      <c r="R167" t="n">
        <v>1</v>
      </c>
      <c r="S167" t="n">
        <v>12.5</v>
      </c>
      <c r="T167" t="n">
        <v>10</v>
      </c>
      <c r="V167" t="n">
        <v>0.44</v>
      </c>
      <c r="W167" t="n">
        <v>1</v>
      </c>
    </row>
    <row r="168">
      <c r="A168" t="inlineStr">
        <is>
          <t>Commercial</t>
        </is>
      </c>
      <c r="B168" t="inlineStr">
        <is>
          <t>Hospital</t>
        </is>
      </c>
      <c r="D168" t="inlineStr">
        <is>
          <t>Old</t>
        </is>
      </c>
      <c r="E168" t="inlineStr">
        <is>
          <t>Other end use</t>
        </is>
      </c>
      <c r="F168" t="inlineStr">
        <is>
          <t>Steam / Cooling</t>
        </is>
      </c>
      <c r="G168" t="inlineStr">
        <is>
          <t>Steam / Cooling</t>
        </is>
      </c>
      <c r="H168" t="inlineStr">
        <is>
          <t>COMSTM</t>
        </is>
      </c>
      <c r="I168" t="inlineStr">
        <is>
          <t>COMHOPOldOEEUE</t>
        </is>
      </c>
      <c r="J168" t="inlineStr">
        <is>
          <t>COMHOPOldOESTM19</t>
        </is>
      </c>
      <c r="K168" t="n">
        <v>44.38225928366647</v>
      </c>
      <c r="L168" t="n">
        <v>0.2887307835774374</v>
      </c>
      <c r="M168" t="n">
        <v>1</v>
      </c>
      <c r="N168" t="n">
        <v>0.2887307835774374</v>
      </c>
      <c r="O168" t="n">
        <v>0.2887307835774374</v>
      </c>
      <c r="P168" t="n">
        <v>0.6562063263123578</v>
      </c>
      <c r="Q168" t="inlineStr">
        <is>
          <t>TJa</t>
        </is>
      </c>
      <c r="R168" t="n">
        <v>1</v>
      </c>
      <c r="S168" t="n">
        <v>12.5</v>
      </c>
      <c r="T168" t="n">
        <v>10</v>
      </c>
      <c r="V168" t="n">
        <v>0.44</v>
      </c>
      <c r="W168" t="n">
        <v>1</v>
      </c>
    </row>
    <row r="169">
      <c r="A169" t="inlineStr">
        <is>
          <t>Commercial</t>
        </is>
      </c>
      <c r="B169" t="inlineStr">
        <is>
          <t>Hospital</t>
        </is>
      </c>
      <c r="D169" t="inlineStr">
        <is>
          <t>Old</t>
        </is>
      </c>
      <c r="E169" t="inlineStr">
        <is>
          <t>Other end use</t>
        </is>
      </c>
      <c r="F169" t="inlineStr">
        <is>
          <t>Electricity</t>
        </is>
      </c>
      <c r="G169" t="inlineStr">
        <is>
          <t>Electricity</t>
        </is>
      </c>
      <c r="H169" t="inlineStr">
        <is>
          <t>COMELC</t>
        </is>
      </c>
      <c r="I169" t="inlineStr">
        <is>
          <t>COMHOPOldOEEUE</t>
        </is>
      </c>
      <c r="J169" t="inlineStr">
        <is>
          <t>COMHOPOldOEELC19</t>
        </is>
      </c>
      <c r="K169" t="n">
        <v>44.38225928366647</v>
      </c>
      <c r="L169" t="n">
        <v>8709.713022554843</v>
      </c>
      <c r="M169" t="n">
        <v>1</v>
      </c>
      <c r="N169" t="n">
        <v>8709.713022554843</v>
      </c>
      <c r="O169" t="n">
        <v>8709.713022554843</v>
      </c>
      <c r="P169" t="n">
        <v>19794.80232398828</v>
      </c>
      <c r="Q169" t="inlineStr">
        <is>
          <t>TJa</t>
        </is>
      </c>
      <c r="R169" t="n">
        <v>1</v>
      </c>
      <c r="S169" t="n">
        <v>12.5</v>
      </c>
      <c r="T169" t="n">
        <v>10</v>
      </c>
      <c r="V169" t="n">
        <v>0.44</v>
      </c>
      <c r="W169" t="n">
        <v>1</v>
      </c>
    </row>
    <row r="170">
      <c r="A170" t="inlineStr">
        <is>
          <t>Commercial</t>
        </is>
      </c>
      <c r="B170" t="inlineStr">
        <is>
          <t>Educationnal</t>
        </is>
      </c>
      <c r="D170" t="inlineStr">
        <is>
          <t>Old</t>
        </is>
      </c>
      <c r="E170" t="inlineStr">
        <is>
          <t>Space heating</t>
        </is>
      </c>
      <c r="F170" t="inlineStr">
        <is>
          <t>Electric furnace</t>
        </is>
      </c>
      <c r="G170" t="inlineStr">
        <is>
          <t>Electricity</t>
        </is>
      </c>
      <c r="H170" t="inlineStr">
        <is>
          <t>COMELC</t>
        </is>
      </c>
      <c r="I170" t="inlineStr">
        <is>
          <t>COMEDUOldSHEUE</t>
        </is>
      </c>
      <c r="J170" t="inlineStr">
        <is>
          <t>COMEDUOldSHFURELC19</t>
        </is>
      </c>
      <c r="K170" t="n">
        <v>48.56549627588934</v>
      </c>
      <c r="L170" t="n">
        <v>425.9595495662142</v>
      </c>
      <c r="M170" t="n">
        <v>0.540640516887235</v>
      </c>
      <c r="N170" t="n">
        <v>230.2909910505318</v>
      </c>
      <c r="O170" t="n">
        <v>225.6851712295212</v>
      </c>
      <c r="P170" t="n">
        <v>54.09741785946287</v>
      </c>
      <c r="Q170" t="inlineStr">
        <is>
          <t>MW</t>
        </is>
      </c>
      <c r="R170" t="n">
        <v>0.98</v>
      </c>
      <c r="S170" t="n">
        <v>7.5</v>
      </c>
      <c r="T170" t="n">
        <v>1</v>
      </c>
      <c r="V170" t="n">
        <v>0.1322878266038457</v>
      </c>
      <c r="W170" t="n">
        <v>31.536</v>
      </c>
    </row>
    <row r="171">
      <c r="A171" t="inlineStr">
        <is>
          <t>Commercial</t>
        </is>
      </c>
      <c r="B171" t="inlineStr">
        <is>
          <t>Educationnal</t>
        </is>
      </c>
      <c r="D171" t="inlineStr">
        <is>
          <t>Old</t>
        </is>
      </c>
      <c r="E171" t="inlineStr">
        <is>
          <t>Space heating</t>
        </is>
      </c>
      <c r="F171" t="inlineStr">
        <is>
          <t>Electric boiler</t>
        </is>
      </c>
      <c r="G171" t="inlineStr">
        <is>
          <t>Electricity</t>
        </is>
      </c>
      <c r="H171" t="inlineStr">
        <is>
          <t>COMELC</t>
        </is>
      </c>
      <c r="I171" t="inlineStr">
        <is>
          <t>COMEDUOldSHEUE</t>
        </is>
      </c>
      <c r="J171" t="inlineStr">
        <is>
          <t>COMEDUOldSHBOIELC19</t>
        </is>
      </c>
      <c r="K171" t="n">
        <v>48.56549627588934</v>
      </c>
      <c r="L171" t="n">
        <v>425.9595495662142</v>
      </c>
      <c r="M171" t="n">
        <v>0.05551803510668842</v>
      </c>
      <c r="N171" t="n">
        <v>23.64843722684626</v>
      </c>
      <c r="O171" t="n">
        <v>22.16095052527763</v>
      </c>
      <c r="P171" t="n">
        <v>13.14235237016573</v>
      </c>
      <c r="Q171" t="inlineStr">
        <is>
          <t>MW</t>
        </is>
      </c>
      <c r="R171" t="n">
        <v>0.9370999999999999</v>
      </c>
      <c r="S171" t="n">
        <v>7.5</v>
      </c>
      <c r="T171" t="n">
        <v>1</v>
      </c>
      <c r="V171" t="n">
        <v>0.05346981358636259</v>
      </c>
      <c r="W171" t="n">
        <v>31.536</v>
      </c>
    </row>
    <row r="172">
      <c r="A172" t="inlineStr">
        <is>
          <t>Commercial</t>
        </is>
      </c>
      <c r="B172" t="inlineStr">
        <is>
          <t>Educationnal</t>
        </is>
      </c>
      <c r="D172" t="inlineStr">
        <is>
          <t>Old</t>
        </is>
      </c>
      <c r="E172" t="inlineStr">
        <is>
          <t>Space heating</t>
        </is>
      </c>
      <c r="F172" t="inlineStr">
        <is>
          <t>Electric air heat pump</t>
        </is>
      </c>
      <c r="G172" t="inlineStr">
        <is>
          <t>Electricity</t>
        </is>
      </c>
      <c r="H172" t="inlineStr">
        <is>
          <t>COMELC</t>
        </is>
      </c>
      <c r="I172" t="inlineStr">
        <is>
          <t>COMEDUOldSHEUE</t>
        </is>
      </c>
      <c r="J172" t="inlineStr">
        <is>
          <t>COMEDUOldSHAHPELC19</t>
        </is>
      </c>
      <c r="K172" t="n">
        <v>48.56549627588934</v>
      </c>
      <c r="L172" t="n">
        <v>425.9595495662142</v>
      </c>
      <c r="M172" t="n">
        <v>0.4038414480060765</v>
      </c>
      <c r="N172" t="n">
        <v>172.020121288836</v>
      </c>
      <c r="O172" t="n">
        <v>533.2623759953917</v>
      </c>
      <c r="P172" t="n">
        <v>44.46670141168028</v>
      </c>
      <c r="Q172" t="inlineStr">
        <is>
          <t>MW</t>
        </is>
      </c>
      <c r="R172" t="n">
        <v>3.1</v>
      </c>
      <c r="S172" t="n">
        <v>10.5</v>
      </c>
      <c r="T172" t="n">
        <v>14.33104807576899</v>
      </c>
      <c r="V172" t="n">
        <v>0.380276442343443</v>
      </c>
      <c r="W172" t="n">
        <v>31.536</v>
      </c>
    </row>
    <row r="173">
      <c r="A173" t="inlineStr">
        <is>
          <t>Commercial</t>
        </is>
      </c>
      <c r="B173" t="inlineStr">
        <is>
          <t>Educationnal</t>
        </is>
      </c>
      <c r="D173" t="inlineStr">
        <is>
          <t>Old</t>
        </is>
      </c>
      <c r="E173" t="inlineStr">
        <is>
          <t>Space heating</t>
        </is>
      </c>
      <c r="F173" t="inlineStr">
        <is>
          <t>Electric ground heat pump</t>
        </is>
      </c>
      <c r="G173" t="inlineStr">
        <is>
          <t>Electricity</t>
        </is>
      </c>
      <c r="H173" t="inlineStr">
        <is>
          <t>COMELC</t>
        </is>
      </c>
      <c r="I173" t="inlineStr">
        <is>
          <t>COMEDUOldSHEUE</t>
        </is>
      </c>
      <c r="J173" t="inlineStr">
        <is>
          <t>COMEDUOldSHGHPELC19</t>
        </is>
      </c>
      <c r="K173" t="n">
        <v>48.56549627588934</v>
      </c>
      <c r="L173" t="n">
        <v>425.9595495662142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MW</t>
        </is>
      </c>
      <c r="R173" t="n">
        <v>3.4</v>
      </c>
      <c r="S173" t="n">
        <v>7.2</v>
      </c>
      <c r="T173" t="n">
        <v>13.00195893970977</v>
      </c>
      <c r="V173" t="n">
        <v>0.4170773883766793</v>
      </c>
      <c r="W173" t="n">
        <v>31.536</v>
      </c>
    </row>
    <row r="174">
      <c r="A174" t="inlineStr">
        <is>
          <t>Commercial</t>
        </is>
      </c>
      <c r="B174" t="inlineStr">
        <is>
          <t>Educationnal</t>
        </is>
      </c>
      <c r="D174" t="inlineStr">
        <is>
          <t>Old</t>
        </is>
      </c>
      <c r="E174" t="inlineStr">
        <is>
          <t>Space heating</t>
        </is>
      </c>
      <c r="F174" t="inlineStr">
        <is>
          <t>Natural gas furnace</t>
        </is>
      </c>
      <c r="G174" t="inlineStr">
        <is>
          <t>Natural gas</t>
        </is>
      </c>
      <c r="H174" t="inlineStr">
        <is>
          <t>COMNGA</t>
        </is>
      </c>
      <c r="I174" t="inlineStr">
        <is>
          <t>COMEDUOldSHEUE</t>
        </is>
      </c>
      <c r="J174" t="inlineStr">
        <is>
          <t>COMEDUOldSHFURNGA19</t>
        </is>
      </c>
      <c r="K174" t="n">
        <v>48.56549627588934</v>
      </c>
      <c r="L174" t="n">
        <v>15095.37172991895</v>
      </c>
      <c r="M174" t="n">
        <v>0.2543154254032124</v>
      </c>
      <c r="N174" t="n">
        <v>3838.985883113963</v>
      </c>
      <c r="O174" t="n">
        <v>2727.599469952471</v>
      </c>
      <c r="P174" t="n">
        <v>393.7531437503481</v>
      </c>
      <c r="Q174" t="inlineStr">
        <is>
          <t>MW</t>
        </is>
      </c>
      <c r="R174" t="n">
        <v>0.7105</v>
      </c>
      <c r="S174" t="n">
        <v>11.5</v>
      </c>
      <c r="T174" t="n">
        <v>2.023541839846751</v>
      </c>
      <c r="V174" t="n">
        <v>0.2196594825463992</v>
      </c>
      <c r="W174" t="n">
        <v>31.536</v>
      </c>
    </row>
    <row r="175">
      <c r="A175" t="inlineStr">
        <is>
          <t>Commercial</t>
        </is>
      </c>
      <c r="B175" t="inlineStr">
        <is>
          <t>Educationnal</t>
        </is>
      </c>
      <c r="D175" t="inlineStr">
        <is>
          <t>Old</t>
        </is>
      </c>
      <c r="E175" t="inlineStr">
        <is>
          <t>Space heating</t>
        </is>
      </c>
      <c r="F175" t="inlineStr">
        <is>
          <t>Natural gas boiler</t>
        </is>
      </c>
      <c r="G175" t="inlineStr">
        <is>
          <t>Natural gas</t>
        </is>
      </c>
      <c r="H175" t="inlineStr">
        <is>
          <t>COMNGA</t>
        </is>
      </c>
      <c r="I175" t="inlineStr">
        <is>
          <t>COMEDUOldSHEUE</t>
        </is>
      </c>
      <c r="J175" t="inlineStr">
        <is>
          <t>COMEDUOldSHBOINGA19</t>
        </is>
      </c>
      <c r="K175" t="n">
        <v>48.56549627588934</v>
      </c>
      <c r="L175" t="n">
        <v>15095.37172991895</v>
      </c>
      <c r="M175" t="n">
        <v>0.7383391785532385</v>
      </c>
      <c r="N175" t="n">
        <v>11145.50436302413</v>
      </c>
      <c r="O175" t="n">
        <v>8470.583315898342</v>
      </c>
      <c r="P175" t="n">
        <v>1190.306913094598</v>
      </c>
      <c r="Q175" t="inlineStr">
        <is>
          <t>MW</t>
        </is>
      </c>
      <c r="R175" t="n">
        <v>0.76</v>
      </c>
      <c r="S175" t="n">
        <v>12.5</v>
      </c>
      <c r="T175" t="n">
        <v>11.35759354439353</v>
      </c>
      <c r="V175" t="n">
        <v>0.2256564521077739</v>
      </c>
      <c r="W175" t="n">
        <v>31.536</v>
      </c>
    </row>
    <row r="176">
      <c r="A176" t="inlineStr">
        <is>
          <t>Commercial</t>
        </is>
      </c>
      <c r="B176" t="inlineStr">
        <is>
          <t>Educationnal</t>
        </is>
      </c>
      <c r="D176" t="inlineStr">
        <is>
          <t>Old</t>
        </is>
      </c>
      <c r="E176" t="inlineStr">
        <is>
          <t>Space heating</t>
        </is>
      </c>
      <c r="F176" t="inlineStr">
        <is>
          <t>Natural gas heat pump</t>
        </is>
      </c>
      <c r="G176" t="inlineStr">
        <is>
          <t>Natural gas</t>
        </is>
      </c>
      <c r="H176" t="inlineStr">
        <is>
          <t>COMNGA</t>
        </is>
      </c>
      <c r="I176" t="inlineStr">
        <is>
          <t>COMEDUOldSHEUE</t>
        </is>
      </c>
      <c r="J176" t="inlineStr">
        <is>
          <t>COMEDUOldSHAHPNGA19</t>
        </is>
      </c>
      <c r="K176" t="n">
        <v>48.56549627588934</v>
      </c>
      <c r="L176" t="n">
        <v>15095.37172991895</v>
      </c>
      <c r="M176" t="n">
        <v>0.007345396043549192</v>
      </c>
      <c r="N176" t="n">
        <v>110.8814837808509</v>
      </c>
      <c r="O176" t="n">
        <v>144.1459289151062</v>
      </c>
      <c r="P176" t="n">
        <v>15.08440605799229</v>
      </c>
      <c r="Q176" t="inlineStr">
        <is>
          <t>MW</t>
        </is>
      </c>
      <c r="R176" t="n">
        <v>1.3</v>
      </c>
      <c r="S176" t="n">
        <v>7.5</v>
      </c>
      <c r="T176" t="n">
        <v>12</v>
      </c>
      <c r="V176" t="n">
        <v>0.3030173944954718</v>
      </c>
      <c r="W176" t="n">
        <v>31.536</v>
      </c>
    </row>
    <row r="177">
      <c r="A177" t="inlineStr">
        <is>
          <t>Commercial</t>
        </is>
      </c>
      <c r="B177" t="inlineStr">
        <is>
          <t>Educationnal</t>
        </is>
      </c>
      <c r="D177" t="inlineStr">
        <is>
          <t>Old</t>
        </is>
      </c>
      <c r="E177" t="inlineStr">
        <is>
          <t>Space heating</t>
        </is>
      </c>
      <c r="F177" t="inlineStr">
        <is>
          <t>Fuel oil boiler</t>
        </is>
      </c>
      <c r="G177" t="inlineStr">
        <is>
          <t>Fuel oil</t>
        </is>
      </c>
      <c r="H177" t="inlineStr">
        <is>
          <t>COMFOI</t>
        </is>
      </c>
      <c r="I177" t="inlineStr">
        <is>
          <t>COMEDUOldSHEUE</t>
        </is>
      </c>
      <c r="J177" t="inlineStr">
        <is>
          <t>COMEDUOldSHBOIFOI19</t>
        </is>
      </c>
      <c r="K177" t="n">
        <v>48.56549627588934</v>
      </c>
      <c r="L177" t="n">
        <v>1287.130623974119</v>
      </c>
      <c r="M177" t="n">
        <v>0.9997321675819295</v>
      </c>
      <c r="N177" t="n">
        <v>1286.785888666727</v>
      </c>
      <c r="O177" t="n">
        <v>1016.560852046715</v>
      </c>
      <c r="P177" t="n">
        <v>179.5066005672304</v>
      </c>
      <c r="Q177" t="inlineStr">
        <is>
          <t>MW</t>
        </is>
      </c>
      <c r="R177" t="n">
        <v>0.79</v>
      </c>
      <c r="S177" t="n">
        <v>12.5</v>
      </c>
      <c r="T177" t="n">
        <v>14</v>
      </c>
      <c r="V177" t="n">
        <v>0.1795751969865136</v>
      </c>
      <c r="W177" t="n">
        <v>31.536</v>
      </c>
    </row>
    <row r="178">
      <c r="A178" t="inlineStr">
        <is>
          <t>Commercial</t>
        </is>
      </c>
      <c r="B178" t="inlineStr">
        <is>
          <t>Educationnal</t>
        </is>
      </c>
      <c r="D178" t="inlineStr">
        <is>
          <t>Old</t>
        </is>
      </c>
      <c r="E178" t="inlineStr">
        <is>
          <t>Space heating</t>
        </is>
      </c>
      <c r="F178" t="inlineStr">
        <is>
          <t>Fuel oil furnace</t>
        </is>
      </c>
      <c r="G178" t="inlineStr">
        <is>
          <t>Fuel oil</t>
        </is>
      </c>
      <c r="H178" t="inlineStr">
        <is>
          <t>COMFOI</t>
        </is>
      </c>
      <c r="I178" t="inlineStr">
        <is>
          <t>COMEDUOldSHEUE</t>
        </is>
      </c>
      <c r="J178" t="inlineStr">
        <is>
          <t>COMEDUOldSHFURFOI19</t>
        </is>
      </c>
      <c r="K178" t="n">
        <v>48.56549627588934</v>
      </c>
      <c r="L178" t="n">
        <v>1287.130623974119</v>
      </c>
      <c r="M178" t="n">
        <v>0.0002678324180703715</v>
      </c>
      <c r="N178" t="n">
        <v>0.3447353073914144</v>
      </c>
      <c r="O178" t="n">
        <v>0.2621712012711706</v>
      </c>
      <c r="P178" t="n">
        <v>0.04809056710238705</v>
      </c>
      <c r="Q178" t="inlineStr">
        <is>
          <t>MW</t>
        </is>
      </c>
      <c r="R178" t="n">
        <v>0.7605</v>
      </c>
      <c r="S178" t="n">
        <v>11.5</v>
      </c>
      <c r="T178" t="n">
        <v>4</v>
      </c>
      <c r="V178" t="n">
        <v>0.1728695408965109</v>
      </c>
      <c r="W178" t="n">
        <v>31.536</v>
      </c>
    </row>
    <row r="179">
      <c r="A179" t="inlineStr">
        <is>
          <t>Commercial</t>
        </is>
      </c>
      <c r="B179" t="inlineStr">
        <is>
          <t>Educationnal</t>
        </is>
      </c>
      <c r="D179" t="inlineStr">
        <is>
          <t>Old</t>
        </is>
      </c>
      <c r="E179" t="inlineStr">
        <is>
          <t>Space heating</t>
        </is>
      </c>
      <c r="F179" t="inlineStr">
        <is>
          <t>Propane furnace</t>
        </is>
      </c>
      <c r="G179" t="inlineStr">
        <is>
          <t>LPG</t>
        </is>
      </c>
      <c r="H179" t="inlineStr">
        <is>
          <t>COMLPG</t>
        </is>
      </c>
      <c r="I179" t="inlineStr">
        <is>
          <t>COMEDUOldSHEUE</t>
        </is>
      </c>
      <c r="J179" t="inlineStr">
        <is>
          <t>COMEDUOldSHFURPRO19</t>
        </is>
      </c>
      <c r="K179" t="n">
        <v>48.56549627588934</v>
      </c>
      <c r="L179" t="n">
        <v>0</v>
      </c>
      <c r="M179" t="n">
        <v>0.2522934839908713</v>
      </c>
      <c r="N179" t="n">
        <v>0</v>
      </c>
      <c r="O179" t="n">
        <v>0</v>
      </c>
      <c r="P179" t="n">
        <v>0</v>
      </c>
      <c r="Q179" t="inlineStr">
        <is>
          <t>MW</t>
        </is>
      </c>
      <c r="R179" t="n">
        <v>0.7105</v>
      </c>
      <c r="S179" t="n">
        <v>11.5</v>
      </c>
      <c r="T179" t="n">
        <v>2.023541839846751</v>
      </c>
      <c r="V179" t="n">
        <v>0.2196594825463992</v>
      </c>
      <c r="W179" t="n">
        <v>31.536</v>
      </c>
    </row>
    <row r="180">
      <c r="A180" t="inlineStr">
        <is>
          <t>Commercial</t>
        </is>
      </c>
      <c r="B180" t="inlineStr">
        <is>
          <t>Educationnal</t>
        </is>
      </c>
      <c r="D180" t="inlineStr">
        <is>
          <t>Old</t>
        </is>
      </c>
      <c r="E180" t="inlineStr">
        <is>
          <t>Space heating</t>
        </is>
      </c>
      <c r="F180" t="inlineStr">
        <is>
          <t>Propane boiler</t>
        </is>
      </c>
      <c r="G180" t="inlineStr">
        <is>
          <t>LPG</t>
        </is>
      </c>
      <c r="H180" t="inlineStr">
        <is>
          <t>COMLPG</t>
        </is>
      </c>
      <c r="I180" t="inlineStr">
        <is>
          <t>COMEDUOldSHEUE</t>
        </is>
      </c>
      <c r="J180" t="inlineStr">
        <is>
          <t>COMEDUOldSHBOIPRO19</t>
        </is>
      </c>
      <c r="K180" t="n">
        <v>48.56549627588934</v>
      </c>
      <c r="L180" t="n">
        <v>0</v>
      </c>
      <c r="M180" t="n">
        <v>0.4323197837377576</v>
      </c>
      <c r="N180" t="n">
        <v>0</v>
      </c>
      <c r="O180" t="n">
        <v>0</v>
      </c>
      <c r="P180" t="n">
        <v>0</v>
      </c>
      <c r="Q180" t="inlineStr">
        <is>
          <t>MW</t>
        </is>
      </c>
      <c r="R180" t="n">
        <v>0.76</v>
      </c>
      <c r="S180" t="n">
        <v>12.5</v>
      </c>
      <c r="T180" t="n">
        <v>11.35759354439353</v>
      </c>
      <c r="V180" t="n">
        <v>0.2256564521077739</v>
      </c>
      <c r="W180" t="n">
        <v>31.536</v>
      </c>
    </row>
    <row r="181">
      <c r="A181" t="inlineStr">
        <is>
          <t>Commercial</t>
        </is>
      </c>
      <c r="B181" t="inlineStr">
        <is>
          <t>Educationnal</t>
        </is>
      </c>
      <c r="D181" t="inlineStr">
        <is>
          <t>Old</t>
        </is>
      </c>
      <c r="E181" t="inlineStr">
        <is>
          <t>Space heating</t>
        </is>
      </c>
      <c r="F181" t="inlineStr">
        <is>
          <t>Propane heat pump</t>
        </is>
      </c>
      <c r="G181" t="inlineStr">
        <is>
          <t>LPG</t>
        </is>
      </c>
      <c r="H181" t="inlineStr">
        <is>
          <t>COMLPG</t>
        </is>
      </c>
      <c r="I181" t="inlineStr">
        <is>
          <t>COMEDUOldSHEUE</t>
        </is>
      </c>
      <c r="J181" t="inlineStr">
        <is>
          <t>COMEDUOldSHAHPPRO19</t>
        </is>
      </c>
      <c r="K181" t="n">
        <v>48.56549627588934</v>
      </c>
      <c r="L181" t="n">
        <v>0</v>
      </c>
      <c r="M181" t="n">
        <v>0.315386732271371</v>
      </c>
      <c r="N181" t="n">
        <v>0</v>
      </c>
      <c r="O181" t="n">
        <v>0</v>
      </c>
      <c r="P181" t="n">
        <v>0</v>
      </c>
      <c r="Q181" t="inlineStr">
        <is>
          <t>MW</t>
        </is>
      </c>
      <c r="R181" t="n">
        <v>1.3</v>
      </c>
      <c r="S181" t="n">
        <v>7.5</v>
      </c>
      <c r="T181" t="n">
        <v>12</v>
      </c>
      <c r="V181" t="n">
        <v>0.3030173944954718</v>
      </c>
      <c r="W181" t="n">
        <v>31.536</v>
      </c>
    </row>
    <row r="182">
      <c r="A182" t="inlineStr">
        <is>
          <t>Commercial</t>
        </is>
      </c>
      <c r="B182" t="inlineStr">
        <is>
          <t>Educationnal</t>
        </is>
      </c>
      <c r="D182" t="inlineStr">
        <is>
          <t>Old</t>
        </is>
      </c>
      <c r="E182" t="inlineStr">
        <is>
          <t>Space heating</t>
        </is>
      </c>
      <c r="F182" t="inlineStr">
        <is>
          <t>District steam heating system</t>
        </is>
      </c>
      <c r="G182" t="inlineStr">
        <is>
          <t>Steam / Cooling</t>
        </is>
      </c>
      <c r="H182" t="inlineStr">
        <is>
          <t>COMSTM</t>
        </is>
      </c>
      <c r="I182" t="inlineStr">
        <is>
          <t>COMEDUOldSHEUE</t>
        </is>
      </c>
      <c r="J182" t="inlineStr">
        <is>
          <t>COMEDUOldSHDHESTM19</t>
        </is>
      </c>
      <c r="K182" t="n">
        <v>48.56549627588934</v>
      </c>
      <c r="L182" t="n">
        <v>262.4815804185183</v>
      </c>
      <c r="M182" t="n">
        <v>1</v>
      </c>
      <c r="N182" t="n">
        <v>262.4815804185183</v>
      </c>
      <c r="O182" t="n">
        <v>245.9714890101935</v>
      </c>
      <c r="P182" t="n">
        <v>23.89025391135275</v>
      </c>
      <c r="Q182" t="inlineStr">
        <is>
          <t>MW</t>
        </is>
      </c>
      <c r="R182" t="n">
        <v>0.9370999999999999</v>
      </c>
      <c r="S182" t="n">
        <v>12.5</v>
      </c>
      <c r="T182" t="n">
        <v>1</v>
      </c>
      <c r="V182" t="n">
        <v>0.3264806133660899</v>
      </c>
      <c r="W182" t="n">
        <v>31.536</v>
      </c>
    </row>
    <row r="183">
      <c r="A183" t="inlineStr">
        <is>
          <t>Commercial</t>
        </is>
      </c>
      <c r="B183" t="inlineStr">
        <is>
          <t>Educationnal</t>
        </is>
      </c>
      <c r="D183" t="inlineStr">
        <is>
          <t>Old</t>
        </is>
      </c>
      <c r="E183" t="inlineStr">
        <is>
          <t>Space cooling</t>
        </is>
      </c>
      <c r="F183" t="inlineStr">
        <is>
          <t>Res type central AC electric</t>
        </is>
      </c>
      <c r="G183" t="inlineStr">
        <is>
          <t>Electricity</t>
        </is>
      </c>
      <c r="H183" t="inlineStr">
        <is>
          <t>COMELC</t>
        </is>
      </c>
      <c r="I183" t="inlineStr">
        <is>
          <t>COMEDUOldSCEUE</t>
        </is>
      </c>
      <c r="J183" t="inlineStr">
        <is>
          <t>COMEDUOldSCRESELC19</t>
        </is>
      </c>
      <c r="K183" t="n">
        <v>48.56549627588934</v>
      </c>
      <c r="L183" t="n">
        <v>1597.680812831681</v>
      </c>
      <c r="M183" t="n">
        <v>0.01049789243627265</v>
      </c>
      <c r="N183" t="n">
        <v>16.77228132060365</v>
      </c>
      <c r="O183" t="n">
        <v>56.03868905477186</v>
      </c>
      <c r="P183" t="n">
        <v>21.19818241928189</v>
      </c>
      <c r="Q183" t="inlineStr">
        <is>
          <t>MW</t>
        </is>
      </c>
      <c r="R183" t="n">
        <v>3.341148886283705</v>
      </c>
      <c r="S183" t="n">
        <v>9</v>
      </c>
      <c r="T183" t="n">
        <v>8</v>
      </c>
      <c r="V183" t="n">
        <v>0.08382677051374662</v>
      </c>
      <c r="W183" t="n">
        <v>31.536</v>
      </c>
    </row>
    <row r="184">
      <c r="A184" t="inlineStr">
        <is>
          <t>Commercial</t>
        </is>
      </c>
      <c r="B184" t="inlineStr">
        <is>
          <t>Educationnal</t>
        </is>
      </c>
      <c r="D184" t="inlineStr">
        <is>
          <t>Old</t>
        </is>
      </c>
      <c r="E184" t="inlineStr">
        <is>
          <t>Space cooling</t>
        </is>
      </c>
      <c r="F184" t="inlineStr">
        <is>
          <t>Room AC electric</t>
        </is>
      </c>
      <c r="G184" t="inlineStr">
        <is>
          <t>Electricity</t>
        </is>
      </c>
      <c r="H184" t="inlineStr">
        <is>
          <t>COMELC</t>
        </is>
      </c>
      <c r="I184" t="inlineStr">
        <is>
          <t>COMEDUOldSCEUE</t>
        </is>
      </c>
      <c r="J184" t="inlineStr">
        <is>
          <t>COMEDUOldSCRACELC19</t>
        </is>
      </c>
      <c r="K184" t="n">
        <v>48.56549627588934</v>
      </c>
      <c r="L184" t="n">
        <v>1597.680812831681</v>
      </c>
      <c r="M184" t="n">
        <v>0.2583419422167689</v>
      </c>
      <c r="N184" t="n">
        <v>412.7479642294024</v>
      </c>
      <c r="O184" t="n">
        <v>1052.43472707966</v>
      </c>
      <c r="P184" t="n">
        <v>269.0764631009187</v>
      </c>
      <c r="Q184" t="inlineStr">
        <is>
          <t>MW</t>
        </is>
      </c>
      <c r="R184" t="n">
        <v>2.549824150058616</v>
      </c>
      <c r="S184" t="n">
        <v>5</v>
      </c>
      <c r="T184" t="n">
        <v>0</v>
      </c>
      <c r="V184" t="n">
        <v>0.124026032926074</v>
      </c>
      <c r="W184" t="n">
        <v>31.536</v>
      </c>
    </row>
    <row r="185">
      <c r="A185" t="inlineStr">
        <is>
          <t>Commercial</t>
        </is>
      </c>
      <c r="B185" t="inlineStr">
        <is>
          <t>Educationnal</t>
        </is>
      </c>
      <c r="D185" t="inlineStr">
        <is>
          <t>Old</t>
        </is>
      </c>
      <c r="E185" t="inlineStr">
        <is>
          <t>Space cooling</t>
        </is>
      </c>
      <c r="F185" t="inlineStr">
        <is>
          <t>Central AC electric</t>
        </is>
      </c>
      <c r="G185" t="inlineStr">
        <is>
          <t>Electricity</t>
        </is>
      </c>
      <c r="H185" t="inlineStr">
        <is>
          <t>COMELC</t>
        </is>
      </c>
      <c r="I185" t="inlineStr">
        <is>
          <t>COMEDUOldSCEUE</t>
        </is>
      </c>
      <c r="J185" t="inlineStr">
        <is>
          <t>COMEDUOldSCCACELC19</t>
        </is>
      </c>
      <c r="K185" t="n">
        <v>48.56549627588934</v>
      </c>
      <c r="L185" t="n">
        <v>1597.680812831681</v>
      </c>
      <c r="M185" t="n">
        <v>0.6294356287076172</v>
      </c>
      <c r="N185" t="n">
        <v>1005.637226898806</v>
      </c>
      <c r="O185" t="n">
        <v>3075.499954836044</v>
      </c>
      <c r="P185" t="n">
        <v>289.0562832718264</v>
      </c>
      <c r="Q185" t="inlineStr">
        <is>
          <t>MW</t>
        </is>
      </c>
      <c r="R185" t="n">
        <v>3.058259850145268</v>
      </c>
      <c r="S185" t="n">
        <v>9</v>
      </c>
      <c r="T185" t="n">
        <v>8</v>
      </c>
      <c r="V185" t="n">
        <v>0.3373857254028897</v>
      </c>
      <c r="W185" t="n">
        <v>31.536</v>
      </c>
    </row>
    <row r="186">
      <c r="A186" t="inlineStr">
        <is>
          <t>Commercial</t>
        </is>
      </c>
      <c r="B186" t="inlineStr">
        <is>
          <t>Educationnal</t>
        </is>
      </c>
      <c r="D186" t="inlineStr">
        <is>
          <t>Old</t>
        </is>
      </c>
      <c r="E186" t="inlineStr">
        <is>
          <t>Space cooling</t>
        </is>
      </c>
      <c r="F186" t="inlineStr">
        <is>
          <t>Rooftop Air HP electric</t>
        </is>
      </c>
      <c r="G186" t="inlineStr">
        <is>
          <t>Electricity</t>
        </is>
      </c>
      <c r="H186" t="inlineStr">
        <is>
          <t>COMELC</t>
        </is>
      </c>
      <c r="I186" t="inlineStr">
        <is>
          <t>COMEDUOldSCEUE</t>
        </is>
      </c>
      <c r="J186" t="inlineStr">
        <is>
          <t>COMEDUOldSCAHPELC19</t>
        </is>
      </c>
      <c r="K186" t="n">
        <v>48.56549627588934</v>
      </c>
      <c r="L186" t="n">
        <v>1597.680812831681</v>
      </c>
      <c r="M186" t="n">
        <v>0.07675907580833723</v>
      </c>
      <c r="N186" t="n">
        <v>122.6365026296728</v>
      </c>
      <c r="O186" t="n">
        <v>334.2671378827542</v>
      </c>
      <c r="P186" t="n">
        <v>51.34342540779114</v>
      </c>
      <c r="Q186" t="inlineStr">
        <is>
          <t>MW</t>
        </is>
      </c>
      <c r="R186" t="n">
        <v>2.72567409144197</v>
      </c>
      <c r="S186" t="n">
        <v>10.5</v>
      </c>
      <c r="T186" t="n">
        <v>14</v>
      </c>
      <c r="V186" t="n">
        <v>0.2064439862569445</v>
      </c>
      <c r="W186" t="n">
        <v>31.536</v>
      </c>
    </row>
    <row r="187">
      <c r="A187" t="inlineStr">
        <is>
          <t>Commercial</t>
        </is>
      </c>
      <c r="B187" t="inlineStr">
        <is>
          <t>Educationnal</t>
        </is>
      </c>
      <c r="D187" t="inlineStr">
        <is>
          <t>Old</t>
        </is>
      </c>
      <c r="E187" t="inlineStr">
        <is>
          <t>Space cooling</t>
        </is>
      </c>
      <c r="F187" t="inlineStr">
        <is>
          <t>Rooftop Air AC electric</t>
        </is>
      </c>
      <c r="G187" t="inlineStr">
        <is>
          <t>Electricity</t>
        </is>
      </c>
      <c r="H187" t="inlineStr">
        <is>
          <t>COMELC</t>
        </is>
      </c>
      <c r="I187" t="inlineStr">
        <is>
          <t>COMEDUOldSCEUE</t>
        </is>
      </c>
      <c r="J187" t="inlineStr">
        <is>
          <t>COMEDUOldSCAACELC19</t>
        </is>
      </c>
      <c r="K187" t="n">
        <v>48.56549627588934</v>
      </c>
      <c r="L187" t="n">
        <v>1597.680812831681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MW</t>
        </is>
      </c>
      <c r="R187" t="n">
        <v>2.696365767878077</v>
      </c>
      <c r="S187" t="n">
        <v>10.5</v>
      </c>
      <c r="T187" t="n">
        <v>14</v>
      </c>
      <c r="V187" t="n">
        <v>0.1646910579127087</v>
      </c>
      <c r="W187" t="n">
        <v>31.536</v>
      </c>
    </row>
    <row r="188">
      <c r="A188" t="inlineStr">
        <is>
          <t>Commercial</t>
        </is>
      </c>
      <c r="B188" t="inlineStr">
        <is>
          <t>Educationnal</t>
        </is>
      </c>
      <c r="D188" t="inlineStr">
        <is>
          <t>Old</t>
        </is>
      </c>
      <c r="E188" t="inlineStr">
        <is>
          <t>Space cooling</t>
        </is>
      </c>
      <c r="F188" t="inlineStr">
        <is>
          <t>Res type central AC gas</t>
        </is>
      </c>
      <c r="G188" t="inlineStr">
        <is>
          <t>Electricity</t>
        </is>
      </c>
      <c r="H188" t="inlineStr">
        <is>
          <t>COMELC</t>
        </is>
      </c>
      <c r="I188" t="inlineStr">
        <is>
          <t>COMEDUOldSCEUE</t>
        </is>
      </c>
      <c r="J188" t="inlineStr">
        <is>
          <t>COMEDUOldSCRESNGA19</t>
        </is>
      </c>
      <c r="K188" t="n">
        <v>48.56549627588934</v>
      </c>
      <c r="L188" t="n">
        <v>1597.680812831681</v>
      </c>
      <c r="M188" t="n">
        <v>0.01662925737935306</v>
      </c>
      <c r="N188" t="n">
        <v>26.56824544663203</v>
      </c>
      <c r="O188" t="n">
        <v>15.94094726797922</v>
      </c>
      <c r="P188" t="n">
        <v>4.667066519941227</v>
      </c>
      <c r="Q188" t="inlineStr">
        <is>
          <t>MW</t>
        </is>
      </c>
      <c r="R188" t="n">
        <v>0.6</v>
      </c>
      <c r="S188" t="n">
        <v>7.5</v>
      </c>
      <c r="T188" t="n">
        <v>12</v>
      </c>
      <c r="V188" t="n">
        <v>0.1083087459182277</v>
      </c>
      <c r="W188" t="n">
        <v>31.536</v>
      </c>
    </row>
    <row r="189">
      <c r="A189" t="inlineStr">
        <is>
          <t>Commercial</t>
        </is>
      </c>
      <c r="B189" t="inlineStr">
        <is>
          <t>Educationnal</t>
        </is>
      </c>
      <c r="D189" t="inlineStr">
        <is>
          <t>Old</t>
        </is>
      </c>
      <c r="E189" t="inlineStr">
        <is>
          <t>Space cooling</t>
        </is>
      </c>
      <c r="F189" t="inlineStr">
        <is>
          <t>Absorption chiller</t>
        </is>
      </c>
      <c r="G189" t="inlineStr">
        <is>
          <t>Electricity</t>
        </is>
      </c>
      <c r="H189" t="inlineStr">
        <is>
          <t>COMELC</t>
        </is>
      </c>
      <c r="I189" t="inlineStr">
        <is>
          <t>COMEDUOldSCEUE</t>
        </is>
      </c>
      <c r="J189" t="inlineStr">
        <is>
          <t>COMEDUOldSCACHSTM19</t>
        </is>
      </c>
      <c r="K189" t="n">
        <v>48.56549627588934</v>
      </c>
      <c r="L189" t="n">
        <v>1597.680812831681</v>
      </c>
      <c r="M189" t="n">
        <v>0.00833620345165088</v>
      </c>
      <c r="N189" t="n">
        <v>13.31859230656384</v>
      </c>
      <c r="O189" t="n">
        <v>13.31859230656384</v>
      </c>
      <c r="P189" t="n">
        <v>7.095379392937094</v>
      </c>
      <c r="Q189" t="inlineStr">
        <is>
          <t>MW</t>
        </is>
      </c>
      <c r="R189" t="n">
        <v>1</v>
      </c>
      <c r="S189" t="n">
        <v>11.5</v>
      </c>
      <c r="T189" t="n">
        <v>10</v>
      </c>
      <c r="V189" t="n">
        <v>0.05952180541298521</v>
      </c>
      <c r="W189" t="n">
        <v>31.536</v>
      </c>
    </row>
    <row r="190">
      <c r="A190" t="inlineStr">
        <is>
          <t>Commercial</t>
        </is>
      </c>
      <c r="B190" t="inlineStr">
        <is>
          <t>Educationnal</t>
        </is>
      </c>
      <c r="D190" t="inlineStr">
        <is>
          <t>Old</t>
        </is>
      </c>
      <c r="E190" t="inlineStr">
        <is>
          <t>Space cooling</t>
        </is>
      </c>
      <c r="F190" t="inlineStr">
        <is>
          <t>District chilled water</t>
        </is>
      </c>
      <c r="G190" t="inlineStr">
        <is>
          <t>Electricity</t>
        </is>
      </c>
      <c r="H190" t="inlineStr">
        <is>
          <t>COMELC</t>
        </is>
      </c>
      <c r="I190" t="inlineStr">
        <is>
          <t>COMEDUOldSCEUE</t>
        </is>
      </c>
      <c r="J190" t="inlineStr">
        <is>
          <t>COMEDUOldSCDCOCHI19</t>
        </is>
      </c>
      <c r="K190" t="n">
        <v>48.56549627588934</v>
      </c>
      <c r="L190" t="n">
        <v>1597.680812831681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MW</t>
        </is>
      </c>
      <c r="R190" t="n">
        <v>1</v>
      </c>
      <c r="S190" t="n">
        <v>12.5</v>
      </c>
      <c r="T190" t="n">
        <v>1</v>
      </c>
      <c r="V190" t="n">
        <v>0</v>
      </c>
      <c r="W190" t="n">
        <v>31.536</v>
      </c>
    </row>
    <row r="191">
      <c r="A191" t="inlineStr">
        <is>
          <t>Commercial</t>
        </is>
      </c>
      <c r="B191" t="inlineStr">
        <is>
          <t>Educationnal</t>
        </is>
      </c>
      <c r="D191" t="inlineStr">
        <is>
          <t>Old</t>
        </is>
      </c>
      <c r="E191" t="inlineStr">
        <is>
          <t>Ventilation</t>
        </is>
      </c>
      <c r="F191" t="inlineStr">
        <is>
          <t>Electricity</t>
        </is>
      </c>
      <c r="G191" t="inlineStr">
        <is>
          <t>Electricity</t>
        </is>
      </c>
      <c r="H191" t="inlineStr">
        <is>
          <t>COMELC</t>
        </is>
      </c>
      <c r="I191" t="inlineStr">
        <is>
          <t>COMEDUOldVTEUE</t>
        </is>
      </c>
      <c r="J191" t="inlineStr">
        <is>
          <t>COMEDUOldVTELC19</t>
        </is>
      </c>
      <c r="K191" t="n">
        <v>48.56549627588934</v>
      </c>
      <c r="L191" t="n">
        <v>2633.368502163089</v>
      </c>
      <c r="M191" t="n">
        <v>1</v>
      </c>
      <c r="N191" t="n">
        <v>2633.368502163089</v>
      </c>
      <c r="O191" t="n">
        <v>2633.368502163089</v>
      </c>
      <c r="P191" t="n">
        <v>189.7808350458848</v>
      </c>
      <c r="Q191" t="inlineStr">
        <is>
          <t>MW</t>
        </is>
      </c>
      <c r="R191" t="n">
        <v>1</v>
      </c>
      <c r="S191" t="n">
        <v>10</v>
      </c>
      <c r="T191" t="n">
        <v>97</v>
      </c>
      <c r="V191" t="n">
        <v>0.44</v>
      </c>
      <c r="W191" t="n">
        <v>31.536</v>
      </c>
    </row>
    <row r="192">
      <c r="A192" t="inlineStr">
        <is>
          <t>Commercial</t>
        </is>
      </c>
      <c r="B192" t="inlineStr">
        <is>
          <t>Educationnal</t>
        </is>
      </c>
      <c r="D192" t="inlineStr">
        <is>
          <t>Old</t>
        </is>
      </c>
      <c r="E192" t="inlineStr">
        <is>
          <t>Water heating</t>
        </is>
      </c>
      <c r="F192" t="inlineStr">
        <is>
          <t>Fuel oil</t>
        </is>
      </c>
      <c r="G192" t="inlineStr">
        <is>
          <t>Fuel oil</t>
        </is>
      </c>
      <c r="H192" t="inlineStr">
        <is>
          <t>COMFOI</t>
        </is>
      </c>
      <c r="I192" t="inlineStr">
        <is>
          <t>COMEDUOldWHEUE</t>
        </is>
      </c>
      <c r="J192" t="inlineStr">
        <is>
          <t>COMEDUOldWHFOI19</t>
        </is>
      </c>
      <c r="K192" t="n">
        <v>48.56549627588934</v>
      </c>
      <c r="L192" t="n">
        <v>95.84562026446915</v>
      </c>
      <c r="M192" t="n">
        <v>1</v>
      </c>
      <c r="N192" t="n">
        <v>95.84562026446915</v>
      </c>
      <c r="O192" t="n">
        <v>74.75958380628593</v>
      </c>
      <c r="P192" t="n">
        <v>5.387751934750324</v>
      </c>
      <c r="Q192" t="inlineStr">
        <is>
          <t>MW</t>
        </is>
      </c>
      <c r="R192" t="n">
        <v>0.78</v>
      </c>
      <c r="S192" t="n">
        <v>6.5</v>
      </c>
      <c r="T192" t="n">
        <v>6</v>
      </c>
      <c r="V192" t="n">
        <v>0.44</v>
      </c>
      <c r="W192" t="n">
        <v>31.536</v>
      </c>
    </row>
    <row r="193">
      <c r="A193" t="inlineStr">
        <is>
          <t>Commercial</t>
        </is>
      </c>
      <c r="B193" t="inlineStr">
        <is>
          <t>Educationnal</t>
        </is>
      </c>
      <c r="D193" t="inlineStr">
        <is>
          <t>Old</t>
        </is>
      </c>
      <c r="E193" t="inlineStr">
        <is>
          <t>Water heating</t>
        </is>
      </c>
      <c r="F193" t="inlineStr">
        <is>
          <t>Natural gas</t>
        </is>
      </c>
      <c r="G193" t="inlineStr">
        <is>
          <t>Natural gas</t>
        </is>
      </c>
      <c r="H193" t="inlineStr">
        <is>
          <t>COMNGA</t>
        </is>
      </c>
      <c r="I193" t="inlineStr">
        <is>
          <t>COMEDUOldWHEUE</t>
        </is>
      </c>
      <c r="J193" t="inlineStr">
        <is>
          <t>COMEDUOldWHNGA19</t>
        </is>
      </c>
      <c r="K193" t="n">
        <v>48.56549627588934</v>
      </c>
      <c r="L193" t="n">
        <v>1319.870131634641</v>
      </c>
      <c r="M193" t="n">
        <v>1</v>
      </c>
      <c r="N193" t="n">
        <v>1319.870131634641</v>
      </c>
      <c r="O193" t="n">
        <v>1016.300001358674</v>
      </c>
      <c r="P193" t="n">
        <v>73.24241280950731</v>
      </c>
      <c r="Q193" t="inlineStr">
        <is>
          <t>MW</t>
        </is>
      </c>
      <c r="R193" t="n">
        <v>0.77</v>
      </c>
      <c r="S193" t="n">
        <v>5</v>
      </c>
      <c r="T193" t="n">
        <v>7</v>
      </c>
      <c r="V193" t="n">
        <v>0.44</v>
      </c>
      <c r="W193" t="n">
        <v>31.536</v>
      </c>
    </row>
    <row r="194">
      <c r="A194" t="inlineStr">
        <is>
          <t>Commercial</t>
        </is>
      </c>
      <c r="B194" t="inlineStr">
        <is>
          <t>Educationnal</t>
        </is>
      </c>
      <c r="D194" t="inlineStr">
        <is>
          <t>Old</t>
        </is>
      </c>
      <c r="E194" t="inlineStr">
        <is>
          <t>Water heating</t>
        </is>
      </c>
      <c r="F194" t="inlineStr">
        <is>
          <t>Steam / Cooling</t>
        </is>
      </c>
      <c r="G194" t="inlineStr">
        <is>
          <t>Steam / Cooling</t>
        </is>
      </c>
      <c r="H194" t="inlineStr">
        <is>
          <t>COMSTM</t>
        </is>
      </c>
      <c r="I194" t="inlineStr">
        <is>
          <t>COMEDUOldWHEUE</t>
        </is>
      </c>
      <c r="J194" t="inlineStr">
        <is>
          <t>COMEDUOldWHSTM19</t>
        </is>
      </c>
      <c r="K194" t="n">
        <v>48.56549627588934</v>
      </c>
      <c r="L194" t="n">
        <v>43.15951758848279</v>
      </c>
      <c r="M194" t="n">
        <v>1</v>
      </c>
      <c r="N194" t="n">
        <v>43.15951758848279</v>
      </c>
      <c r="O194" t="n">
        <v>42.06973976937359</v>
      </c>
      <c r="P194" t="n">
        <v>3.031869765677147</v>
      </c>
      <c r="Q194" t="inlineStr">
        <is>
          <t>MW</t>
        </is>
      </c>
      <c r="R194" t="n">
        <v>0.9747499999999999</v>
      </c>
      <c r="S194" t="n">
        <v>12.5</v>
      </c>
      <c r="T194" t="n">
        <v>1</v>
      </c>
      <c r="V194" t="n">
        <v>0.44</v>
      </c>
      <c r="W194" t="n">
        <v>31.536</v>
      </c>
    </row>
    <row r="195">
      <c r="A195" t="inlineStr">
        <is>
          <t>Commercial</t>
        </is>
      </c>
      <c r="B195" t="inlineStr">
        <is>
          <t>Educationnal</t>
        </is>
      </c>
      <c r="D195" t="inlineStr">
        <is>
          <t>Old</t>
        </is>
      </c>
      <c r="E195" t="inlineStr">
        <is>
          <t>Water heating</t>
        </is>
      </c>
      <c r="F195" t="inlineStr">
        <is>
          <t>Electricity</t>
        </is>
      </c>
      <c r="G195" t="inlineStr">
        <is>
          <t>Electricity</t>
        </is>
      </c>
      <c r="H195" t="inlineStr">
        <is>
          <t>COMELC</t>
        </is>
      </c>
      <c r="I195" t="inlineStr">
        <is>
          <t>COMEDUOldWHEUE</t>
        </is>
      </c>
      <c r="J195" t="inlineStr">
        <is>
          <t>COMEDUOldWHELC19</t>
        </is>
      </c>
      <c r="K195" t="n">
        <v>48.56549627588934</v>
      </c>
      <c r="L195" t="n">
        <v>81.08344876542802</v>
      </c>
      <c r="M195" t="n">
        <v>1</v>
      </c>
      <c r="N195" t="n">
        <v>81.08344876542802</v>
      </c>
      <c r="O195" t="n">
        <v>79.03609168410095</v>
      </c>
      <c r="P195" t="n">
        <v>5.69595006025588</v>
      </c>
      <c r="Q195" t="inlineStr">
        <is>
          <t>MW</t>
        </is>
      </c>
      <c r="R195" t="n">
        <v>0.9747499999999999</v>
      </c>
      <c r="S195" t="n">
        <v>7.5</v>
      </c>
      <c r="T195" t="n">
        <v>2</v>
      </c>
      <c r="V195" t="n">
        <v>0.44</v>
      </c>
      <c r="W195" t="n">
        <v>31.536</v>
      </c>
    </row>
    <row r="196">
      <c r="A196" t="inlineStr">
        <is>
          <t>Commercial</t>
        </is>
      </c>
      <c r="B196" t="inlineStr">
        <is>
          <t>Educationnal</t>
        </is>
      </c>
      <c r="D196" t="inlineStr">
        <is>
          <t>Old</t>
        </is>
      </c>
      <c r="E196" t="inlineStr">
        <is>
          <t>Lighting</t>
        </is>
      </c>
      <c r="F196" t="inlineStr">
        <is>
          <t>Fluorescent</t>
        </is>
      </c>
      <c r="G196" t="inlineStr">
        <is>
          <t>Electricity</t>
        </is>
      </c>
      <c r="H196" t="inlineStr">
        <is>
          <t>COMELC</t>
        </is>
      </c>
      <c r="I196" t="inlineStr">
        <is>
          <t>COMEDUOldLTEUE</t>
        </is>
      </c>
      <c r="J196" t="inlineStr">
        <is>
          <t>COMEDUOldLTFLUELC19</t>
        </is>
      </c>
      <c r="K196" t="n">
        <v>48.56549627588934</v>
      </c>
      <c r="L196" t="n">
        <v>2363.964524733596</v>
      </c>
      <c r="M196" t="n">
        <v>0.4932360300575833</v>
      </c>
      <c r="N196" t="n">
        <v>1165.99247737656</v>
      </c>
      <c r="O196" t="n">
        <v>2777.554260086481</v>
      </c>
      <c r="P196" t="n">
        <v>6011.110903001341</v>
      </c>
      <c r="Q196" t="inlineStr">
        <is>
          <t>Mlma</t>
        </is>
      </c>
      <c r="R196" t="n">
        <v>2.382137375650891</v>
      </c>
      <c r="S196" t="n">
        <v>5</v>
      </c>
      <c r="T196" t="n">
        <v>1</v>
      </c>
      <c r="V196" t="n">
        <v>0.4620700407805903</v>
      </c>
      <c r="W196" t="n">
        <v>1</v>
      </c>
    </row>
    <row r="197">
      <c r="A197" t="inlineStr">
        <is>
          <t>Commercial</t>
        </is>
      </c>
      <c r="B197" t="inlineStr">
        <is>
          <t>Educationnal</t>
        </is>
      </c>
      <c r="D197" t="inlineStr">
        <is>
          <t>Old</t>
        </is>
      </c>
      <c r="E197" t="inlineStr">
        <is>
          <t>Lighting</t>
        </is>
      </c>
      <c r="F197" t="inlineStr">
        <is>
          <t>Compact fluorescent</t>
        </is>
      </c>
      <c r="G197" t="inlineStr">
        <is>
          <t>Electricity</t>
        </is>
      </c>
      <c r="H197" t="inlineStr">
        <is>
          <t>COMELC</t>
        </is>
      </c>
      <c r="I197" t="inlineStr">
        <is>
          <t>COMEDUOldLTEUE</t>
        </is>
      </c>
      <c r="J197" t="inlineStr">
        <is>
          <t>COMEDUOldLTCFLELC19</t>
        </is>
      </c>
      <c r="K197" t="n">
        <v>48.56549627588934</v>
      </c>
      <c r="L197" t="n">
        <v>2363.964524733596</v>
      </c>
      <c r="M197" t="n">
        <v>0.09340677700140676</v>
      </c>
      <c r="N197" t="n">
        <v>220.8103072010275</v>
      </c>
      <c r="O197" t="n">
        <v>303.6323028480994</v>
      </c>
      <c r="P197" t="n">
        <v>773.7731961677175</v>
      </c>
      <c r="Q197" t="inlineStr">
        <is>
          <t>Mlma</t>
        </is>
      </c>
      <c r="R197" t="n">
        <v>1.375082108697354</v>
      </c>
      <c r="S197" t="n">
        <v>5</v>
      </c>
      <c r="T197" t="n">
        <v>5</v>
      </c>
      <c r="V197" t="n">
        <v>0.3924047826312741</v>
      </c>
      <c r="W197" t="n">
        <v>1</v>
      </c>
    </row>
    <row r="198">
      <c r="A198" t="inlineStr">
        <is>
          <t>Commercial</t>
        </is>
      </c>
      <c r="B198" t="inlineStr">
        <is>
          <t>Educationnal</t>
        </is>
      </c>
      <c r="D198" t="inlineStr">
        <is>
          <t>Old</t>
        </is>
      </c>
      <c r="E198" t="inlineStr">
        <is>
          <t>Lighting</t>
        </is>
      </c>
      <c r="F198" t="inlineStr">
        <is>
          <t>Incandescent</t>
        </is>
      </c>
      <c r="G198" t="inlineStr">
        <is>
          <t>Electricity</t>
        </is>
      </c>
      <c r="H198" t="inlineStr">
        <is>
          <t>COMELC</t>
        </is>
      </c>
      <c r="I198" t="inlineStr">
        <is>
          <t>COMEDUOldLTEUE</t>
        </is>
      </c>
      <c r="J198" t="inlineStr">
        <is>
          <t>COMEDUOldLTINCELC19</t>
        </is>
      </c>
      <c r="K198" t="n">
        <v>48.56549627588934</v>
      </c>
      <c r="L198" t="n">
        <v>2363.964524733596</v>
      </c>
      <c r="M198" t="n">
        <v>0.08376129482256182</v>
      </c>
      <c r="N198" t="n">
        <v>198.0087295062879</v>
      </c>
      <c r="O198" t="n">
        <v>66.24775214355</v>
      </c>
      <c r="P198" t="n">
        <v>183.3710817721601</v>
      </c>
      <c r="Q198" t="inlineStr">
        <is>
          <t>Mlma</t>
        </is>
      </c>
      <c r="R198" t="n">
        <v>0.3345698561307432</v>
      </c>
      <c r="S198" t="n">
        <v>0.5</v>
      </c>
      <c r="T198" t="n">
        <v>1</v>
      </c>
      <c r="V198" t="n">
        <v>0.3612769881887009</v>
      </c>
      <c r="W198" t="n">
        <v>1</v>
      </c>
    </row>
    <row r="199">
      <c r="A199" t="inlineStr">
        <is>
          <t>Commercial</t>
        </is>
      </c>
      <c r="B199" t="inlineStr">
        <is>
          <t>Educationnal</t>
        </is>
      </c>
      <c r="D199" t="inlineStr">
        <is>
          <t>Old</t>
        </is>
      </c>
      <c r="E199" t="inlineStr">
        <is>
          <t>Lighting</t>
        </is>
      </c>
      <c r="F199" t="inlineStr">
        <is>
          <t>Halogen</t>
        </is>
      </c>
      <c r="G199" t="inlineStr">
        <is>
          <t>Electricity</t>
        </is>
      </c>
      <c r="H199" t="inlineStr">
        <is>
          <t>COMELC</t>
        </is>
      </c>
      <c r="I199" t="inlineStr">
        <is>
          <t>COMEDUOldLTEUE</t>
        </is>
      </c>
      <c r="J199" t="inlineStr">
        <is>
          <t>COMEDUOldLTHALELC19</t>
        </is>
      </c>
      <c r="K199" t="n">
        <v>48.56549627588934</v>
      </c>
      <c r="L199" t="n">
        <v>2363.964524733596</v>
      </c>
      <c r="M199" t="n">
        <v>0.04417566732700894</v>
      </c>
      <c r="N199" t="n">
        <v>104.4297104174821</v>
      </c>
      <c r="O199" t="n">
        <v>47.16769480670541</v>
      </c>
      <c r="P199" t="n">
        <v>191.1825322798756</v>
      </c>
      <c r="Q199" t="inlineStr">
        <is>
          <t>Mlma</t>
        </is>
      </c>
      <c r="R199" t="n">
        <v>0.4516693057765032</v>
      </c>
      <c r="S199" t="n">
        <v>5</v>
      </c>
      <c r="T199" t="n">
        <v>37</v>
      </c>
      <c r="V199" t="n">
        <v>0.2467155039962321</v>
      </c>
      <c r="W199" t="n">
        <v>1</v>
      </c>
    </row>
    <row r="200">
      <c r="A200" t="inlineStr">
        <is>
          <t>Commercial</t>
        </is>
      </c>
      <c r="B200" t="inlineStr">
        <is>
          <t>Educationnal</t>
        </is>
      </c>
      <c r="D200" t="inlineStr">
        <is>
          <t>Old</t>
        </is>
      </c>
      <c r="E200" t="inlineStr">
        <is>
          <t>Lighting</t>
        </is>
      </c>
      <c r="F200" t="inlineStr">
        <is>
          <t>HID</t>
        </is>
      </c>
      <c r="G200" t="inlineStr">
        <is>
          <t>Electricity</t>
        </is>
      </c>
      <c r="H200" t="inlineStr">
        <is>
          <t>COMELC</t>
        </is>
      </c>
      <c r="I200" t="inlineStr">
        <is>
          <t>COMEDUOldLTEUE</t>
        </is>
      </c>
      <c r="J200" t="inlineStr">
        <is>
          <t>COMEDUOldLTHIDELC19</t>
        </is>
      </c>
      <c r="K200" t="n">
        <v>48.56549627588934</v>
      </c>
      <c r="L200" t="n">
        <v>2363.964524733596</v>
      </c>
      <c r="M200" t="n">
        <v>0.03305071033221867</v>
      </c>
      <c r="N200" t="n">
        <v>78.13070674261105</v>
      </c>
      <c r="O200" t="n">
        <v>147.8629241530195</v>
      </c>
      <c r="P200" t="n">
        <v>260.7457832414494</v>
      </c>
      <c r="Q200" t="inlineStr">
        <is>
          <t>Mlma</t>
        </is>
      </c>
      <c r="R200" t="n">
        <v>1.892507188500546</v>
      </c>
      <c r="S200" t="n">
        <v>0.5</v>
      </c>
      <c r="T200" t="n">
        <v>1</v>
      </c>
      <c r="V200" t="n">
        <v>0.5670769525584202</v>
      </c>
      <c r="W200" t="n">
        <v>1</v>
      </c>
    </row>
    <row r="201">
      <c r="A201" t="inlineStr">
        <is>
          <t>Commercial</t>
        </is>
      </c>
      <c r="B201" t="inlineStr">
        <is>
          <t>Educationnal</t>
        </is>
      </c>
      <c r="D201" t="inlineStr">
        <is>
          <t>Old</t>
        </is>
      </c>
      <c r="E201" t="inlineStr">
        <is>
          <t>Lighting</t>
        </is>
      </c>
      <c r="F201" t="inlineStr">
        <is>
          <t>LED</t>
        </is>
      </c>
      <c r="G201" t="inlineStr">
        <is>
          <t>Electricity</t>
        </is>
      </c>
      <c r="H201" t="inlineStr">
        <is>
          <t>COMELC</t>
        </is>
      </c>
      <c r="I201" t="inlineStr">
        <is>
          <t>COMEDUOldLTEUE</t>
        </is>
      </c>
      <c r="J201" t="inlineStr">
        <is>
          <t>COMEDUOldLTLEDELC19</t>
        </is>
      </c>
      <c r="K201" t="n">
        <v>48.56549627588934</v>
      </c>
      <c r="L201" t="n">
        <v>2363.964524733596</v>
      </c>
      <c r="M201" t="n">
        <v>0.2523695204592214</v>
      </c>
      <c r="N201" t="n">
        <v>596.5925934896287</v>
      </c>
      <c r="O201" t="n">
        <v>1129.055771785306</v>
      </c>
      <c r="P201" t="n">
        <v>2982.564281039856</v>
      </c>
      <c r="Q201" t="inlineStr">
        <is>
          <t>Mlma</t>
        </is>
      </c>
      <c r="R201" t="n">
        <v>1.892507188500546</v>
      </c>
      <c r="S201" t="n">
        <v>5</v>
      </c>
      <c r="T201" t="n">
        <v>2</v>
      </c>
      <c r="V201" t="n">
        <v>0.3785520328808023</v>
      </c>
      <c r="W201" t="n">
        <v>1</v>
      </c>
    </row>
    <row r="202">
      <c r="A202" t="inlineStr">
        <is>
          <t>Commercial</t>
        </is>
      </c>
      <c r="B202" t="inlineStr">
        <is>
          <t>Educationnal</t>
        </is>
      </c>
      <c r="D202" t="inlineStr">
        <is>
          <t>Old</t>
        </is>
      </c>
      <c r="E202" t="inlineStr">
        <is>
          <t>Lighting</t>
        </is>
      </c>
      <c r="F202" t="inlineStr">
        <is>
          <t>Other lighting</t>
        </is>
      </c>
      <c r="G202" t="inlineStr">
        <is>
          <t>Electricity</t>
        </is>
      </c>
      <c r="H202" t="inlineStr">
        <is>
          <t>COMELC</t>
        </is>
      </c>
      <c r="I202" t="inlineStr">
        <is>
          <t>COMEDUOldLTEUE</t>
        </is>
      </c>
      <c r="J202" t="inlineStr">
        <is>
          <t>COMEDUOldLTOTHELC19</t>
        </is>
      </c>
      <c r="K202" t="n">
        <v>48.56549627588934</v>
      </c>
      <c r="L202" t="n">
        <v>2363.964524733596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Mlma</t>
        </is>
      </c>
      <c r="R202" t="n">
        <v>0.9635611856565404</v>
      </c>
      <c r="S202" t="n">
        <v>0.5</v>
      </c>
      <c r="T202" t="n">
        <v>1</v>
      </c>
      <c r="V202" t="n">
        <v>0</v>
      </c>
      <c r="W202" t="n">
        <v>1</v>
      </c>
    </row>
    <row r="203">
      <c r="A203" t="inlineStr">
        <is>
          <t>Commercial</t>
        </is>
      </c>
      <c r="B203" t="inlineStr">
        <is>
          <t>Educationnal</t>
        </is>
      </c>
      <c r="D203" t="inlineStr">
        <is>
          <t>Old</t>
        </is>
      </c>
      <c r="E203" t="inlineStr">
        <is>
          <t>Cooking</t>
        </is>
      </c>
      <c r="F203" t="inlineStr">
        <is>
          <t>Fuel oil</t>
        </is>
      </c>
      <c r="G203" t="inlineStr">
        <is>
          <t>Fuel oil</t>
        </is>
      </c>
      <c r="H203" t="inlineStr">
        <is>
          <t>COMFOI</t>
        </is>
      </c>
      <c r="I203" t="inlineStr">
        <is>
          <t>COMEDUOldCKEUE</t>
        </is>
      </c>
      <c r="J203" t="inlineStr">
        <is>
          <t>COMEDUOldCKFOI19</t>
        </is>
      </c>
      <c r="K203" t="n">
        <v>48.56549627588934</v>
      </c>
      <c r="L203" t="n">
        <v>0.008933261180272328</v>
      </c>
      <c r="M203" t="n">
        <v>1</v>
      </c>
      <c r="N203" t="n">
        <v>0.008933261180272328</v>
      </c>
      <c r="O203" t="n">
        <v>0.004019967531122548</v>
      </c>
      <c r="P203" t="n">
        <v>0.0002897098504395084</v>
      </c>
      <c r="Q203" t="inlineStr">
        <is>
          <t>MW</t>
        </is>
      </c>
      <c r="R203" t="n">
        <v>0.45</v>
      </c>
      <c r="S203" t="n">
        <v>6</v>
      </c>
      <c r="T203" t="n">
        <v>8</v>
      </c>
      <c r="V203" t="n">
        <v>0.44</v>
      </c>
      <c r="W203" t="n">
        <v>31.536</v>
      </c>
    </row>
    <row r="204">
      <c r="A204" t="inlineStr">
        <is>
          <t>Commercial</t>
        </is>
      </c>
      <c r="B204" t="inlineStr">
        <is>
          <t>Educationnal</t>
        </is>
      </c>
      <c r="D204" t="inlineStr">
        <is>
          <t>Old</t>
        </is>
      </c>
      <c r="E204" t="inlineStr">
        <is>
          <t>Cooking</t>
        </is>
      </c>
      <c r="F204" t="inlineStr">
        <is>
          <t>Natural gas</t>
        </is>
      </c>
      <c r="G204" t="inlineStr">
        <is>
          <t>Natural gas</t>
        </is>
      </c>
      <c r="H204" t="inlineStr">
        <is>
          <t>COMNGA</t>
        </is>
      </c>
      <c r="I204" t="inlineStr">
        <is>
          <t>COMEDUOldCKEUE</t>
        </is>
      </c>
      <c r="J204" t="inlineStr">
        <is>
          <t>COMEDUOldCKNGA19</t>
        </is>
      </c>
      <c r="K204" t="n">
        <v>48.56549627588934</v>
      </c>
      <c r="L204" t="n">
        <v>1747.447376541086</v>
      </c>
      <c r="M204" t="n">
        <v>1</v>
      </c>
      <c r="N204" t="n">
        <v>1747.447376541086</v>
      </c>
      <c r="O204" t="n">
        <v>786.3513194434886</v>
      </c>
      <c r="P204" t="n">
        <v>56.67053810389055</v>
      </c>
      <c r="Q204" t="inlineStr">
        <is>
          <t>MW</t>
        </is>
      </c>
      <c r="R204" t="n">
        <v>0.45</v>
      </c>
      <c r="S204" t="n">
        <v>6</v>
      </c>
      <c r="T204" t="n">
        <v>8</v>
      </c>
      <c r="V204" t="n">
        <v>0.44</v>
      </c>
      <c r="W204" t="n">
        <v>31.536</v>
      </c>
    </row>
    <row r="205">
      <c r="A205" t="inlineStr">
        <is>
          <t>Commercial</t>
        </is>
      </c>
      <c r="B205" t="inlineStr">
        <is>
          <t>Educationnal</t>
        </is>
      </c>
      <c r="D205" t="inlineStr">
        <is>
          <t>Old</t>
        </is>
      </c>
      <c r="E205" t="inlineStr">
        <is>
          <t>Cooking</t>
        </is>
      </c>
      <c r="F205" t="inlineStr">
        <is>
          <t>Steam / Cooling</t>
        </is>
      </c>
      <c r="G205" t="inlineStr">
        <is>
          <t>Steam / Cooling</t>
        </is>
      </c>
      <c r="H205" t="inlineStr">
        <is>
          <t>COMSTM</t>
        </is>
      </c>
      <c r="I205" t="inlineStr">
        <is>
          <t>COMEDUOldCKEUE</t>
        </is>
      </c>
      <c r="J205" t="inlineStr">
        <is>
          <t>COMEDUOldCKSTM19</t>
        </is>
      </c>
      <c r="K205" t="n">
        <v>48.56549627588934</v>
      </c>
      <c r="L205" t="n">
        <v>1.112641386451434</v>
      </c>
      <c r="M205" t="n">
        <v>1</v>
      </c>
      <c r="N205" t="n">
        <v>1.112641386451434</v>
      </c>
      <c r="O205" t="n">
        <v>0.7788489705160034</v>
      </c>
      <c r="P205" t="n">
        <v>0.05612986100416288</v>
      </c>
      <c r="Q205" t="inlineStr">
        <is>
          <t>MW</t>
        </is>
      </c>
      <c r="R205" t="n">
        <v>0.7</v>
      </c>
      <c r="S205" t="n">
        <v>6</v>
      </c>
      <c r="T205" t="n">
        <v>8</v>
      </c>
      <c r="V205" t="n">
        <v>0.44</v>
      </c>
      <c r="W205" t="n">
        <v>31.536</v>
      </c>
    </row>
    <row r="206">
      <c r="A206" t="inlineStr">
        <is>
          <t>Commercial</t>
        </is>
      </c>
      <c r="B206" t="inlineStr">
        <is>
          <t>Educationnal</t>
        </is>
      </c>
      <c r="D206" t="inlineStr">
        <is>
          <t>Old</t>
        </is>
      </c>
      <c r="E206" t="inlineStr">
        <is>
          <t>Cooking</t>
        </is>
      </c>
      <c r="F206" t="inlineStr">
        <is>
          <t>Electricity</t>
        </is>
      </c>
      <c r="G206" t="inlineStr">
        <is>
          <t>Electricity</t>
        </is>
      </c>
      <c r="H206" t="inlineStr">
        <is>
          <t>COMELC</t>
        </is>
      </c>
      <c r="I206" t="inlineStr">
        <is>
          <t>COMEDUOldCKEUE</t>
        </is>
      </c>
      <c r="J206" t="inlineStr">
        <is>
          <t>COMEDUOldCKELC19</t>
        </is>
      </c>
      <c r="K206" t="n">
        <v>48.56549627588934</v>
      </c>
      <c r="L206" t="n">
        <v>271.412793917087</v>
      </c>
      <c r="M206" t="n">
        <v>1</v>
      </c>
      <c r="N206" t="n">
        <v>271.412793917087</v>
      </c>
      <c r="O206" t="n">
        <v>189.9889557419609</v>
      </c>
      <c r="P206" t="n">
        <v>13.6920687858869</v>
      </c>
      <c r="Q206" t="inlineStr">
        <is>
          <t>MW</t>
        </is>
      </c>
      <c r="R206" t="n">
        <v>0.7</v>
      </c>
      <c r="S206" t="n">
        <v>6</v>
      </c>
      <c r="T206" t="n">
        <v>8</v>
      </c>
      <c r="V206" t="n">
        <v>0.44</v>
      </c>
      <c r="W206" t="n">
        <v>31.536</v>
      </c>
    </row>
    <row r="207">
      <c r="A207" t="inlineStr">
        <is>
          <t>Commercial</t>
        </is>
      </c>
      <c r="B207" t="inlineStr">
        <is>
          <t>Educationnal</t>
        </is>
      </c>
      <c r="D207" t="inlineStr">
        <is>
          <t>Old</t>
        </is>
      </c>
      <c r="E207" t="inlineStr">
        <is>
          <t>Refrigeration</t>
        </is>
      </c>
      <c r="F207" t="inlineStr">
        <is>
          <t>Electricity</t>
        </is>
      </c>
      <c r="G207" t="inlineStr">
        <is>
          <t>Electricity</t>
        </is>
      </c>
      <c r="H207" t="inlineStr">
        <is>
          <t>COMELC</t>
        </is>
      </c>
      <c r="I207" t="inlineStr">
        <is>
          <t>COMEDUOldREEUE</t>
        </is>
      </c>
      <c r="J207" t="inlineStr">
        <is>
          <t>COMEDUOldREELC19</t>
        </is>
      </c>
      <c r="K207" t="n">
        <v>48.56549627588934</v>
      </c>
      <c r="L207" t="n">
        <v>571.4202600571124</v>
      </c>
      <c r="M207" t="n">
        <v>1</v>
      </c>
      <c r="N207" t="n">
        <v>571.4202600571124</v>
      </c>
      <c r="O207" t="n">
        <v>571.4202600571124</v>
      </c>
      <c r="P207" t="n">
        <v>41.18094904936295</v>
      </c>
      <c r="Q207" t="inlineStr">
        <is>
          <t>MW</t>
        </is>
      </c>
      <c r="R207" t="n">
        <v>1</v>
      </c>
      <c r="S207" t="n">
        <v>5</v>
      </c>
      <c r="T207" t="n">
        <v>500</v>
      </c>
      <c r="V207" t="n">
        <v>0.44</v>
      </c>
      <c r="W207" t="n">
        <v>31.536</v>
      </c>
    </row>
    <row r="208">
      <c r="A208" t="inlineStr">
        <is>
          <t>Commercial</t>
        </is>
      </c>
      <c r="B208" t="inlineStr">
        <is>
          <t>Educationnal</t>
        </is>
      </c>
      <c r="D208" t="inlineStr">
        <is>
          <t>Old</t>
        </is>
      </c>
      <c r="E208" t="inlineStr">
        <is>
          <t>Other end use</t>
        </is>
      </c>
      <c r="F208" t="inlineStr">
        <is>
          <t>Fuel oil</t>
        </is>
      </c>
      <c r="G208" t="inlineStr">
        <is>
          <t>Fuel oil</t>
        </is>
      </c>
      <c r="H208" t="inlineStr">
        <is>
          <t>COMFOI</t>
        </is>
      </c>
      <c r="I208" t="inlineStr">
        <is>
          <t>COMEDUOldOEEUE</t>
        </is>
      </c>
      <c r="J208" t="inlineStr">
        <is>
          <t>COMEDUOldOEFOI19</t>
        </is>
      </c>
      <c r="K208" t="n">
        <v>48.56549627588934</v>
      </c>
      <c r="L208" t="n">
        <v>143.4055613275611</v>
      </c>
      <c r="M208" t="n">
        <v>1</v>
      </c>
      <c r="N208" t="n">
        <v>143.4055613275611</v>
      </c>
      <c r="O208" t="n">
        <v>143.4055613275611</v>
      </c>
      <c r="P208" t="n">
        <v>325.9217302899115</v>
      </c>
      <c r="Q208" t="inlineStr">
        <is>
          <t>TJa</t>
        </is>
      </c>
      <c r="R208" t="n">
        <v>1</v>
      </c>
      <c r="S208" t="n">
        <v>12.5</v>
      </c>
      <c r="T208" t="n">
        <v>10</v>
      </c>
      <c r="V208" t="n">
        <v>0.44</v>
      </c>
      <c r="W208" t="n">
        <v>1</v>
      </c>
    </row>
    <row r="209">
      <c r="A209" t="inlineStr">
        <is>
          <t>Commercial</t>
        </is>
      </c>
      <c r="B209" t="inlineStr">
        <is>
          <t>Educationnal</t>
        </is>
      </c>
      <c r="D209" t="inlineStr">
        <is>
          <t>Old</t>
        </is>
      </c>
      <c r="E209" t="inlineStr">
        <is>
          <t>Other end use</t>
        </is>
      </c>
      <c r="F209" t="inlineStr">
        <is>
          <t>Natural gas</t>
        </is>
      </c>
      <c r="G209" t="inlineStr">
        <is>
          <t>Natural gas</t>
        </is>
      </c>
      <c r="H209" t="inlineStr">
        <is>
          <t>COMNGA</t>
        </is>
      </c>
      <c r="I209" t="inlineStr">
        <is>
          <t>COMEDUOldOEEUE</t>
        </is>
      </c>
      <c r="J209" t="inlineStr">
        <is>
          <t>COMEDUOldOENGA19</t>
        </is>
      </c>
      <c r="K209" t="n">
        <v>48.56549627588934</v>
      </c>
      <c r="L209" t="n">
        <v>669.3799146103164</v>
      </c>
      <c r="M209" t="n">
        <v>1</v>
      </c>
      <c r="N209" t="n">
        <v>669.3799146103164</v>
      </c>
      <c r="O209" t="n">
        <v>669.3799146103164</v>
      </c>
      <c r="P209" t="n">
        <v>1521.317987750719</v>
      </c>
      <c r="Q209" t="inlineStr">
        <is>
          <t>TJa</t>
        </is>
      </c>
      <c r="R209" t="n">
        <v>1</v>
      </c>
      <c r="S209" t="n">
        <v>12.5</v>
      </c>
      <c r="T209" t="n">
        <v>10</v>
      </c>
      <c r="V209" t="n">
        <v>0.44</v>
      </c>
      <c r="W209" t="n">
        <v>1</v>
      </c>
    </row>
    <row r="210">
      <c r="A210" t="inlineStr">
        <is>
          <t>Commercial</t>
        </is>
      </c>
      <c r="B210" t="inlineStr">
        <is>
          <t>Educationnal</t>
        </is>
      </c>
      <c r="D210" t="inlineStr">
        <is>
          <t>Old</t>
        </is>
      </c>
      <c r="E210" t="inlineStr">
        <is>
          <t>Other end use</t>
        </is>
      </c>
      <c r="F210" t="inlineStr">
        <is>
          <t>Steam / Cooling</t>
        </is>
      </c>
      <c r="G210" t="inlineStr">
        <is>
          <t>Steam / Cooling</t>
        </is>
      </c>
      <c r="H210" t="inlineStr">
        <is>
          <t>COMSTM</t>
        </is>
      </c>
      <c r="I210" t="inlineStr">
        <is>
          <t>COMEDUOldOEEUE</t>
        </is>
      </c>
      <c r="J210" t="inlineStr">
        <is>
          <t>COMEDUOldOESTM19</t>
        </is>
      </c>
      <c r="K210" t="n">
        <v>48.56549627588934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inlineStr">
        <is>
          <t>TJa</t>
        </is>
      </c>
      <c r="R210" t="n">
        <v>1</v>
      </c>
      <c r="S210" t="n">
        <v>12.5</v>
      </c>
      <c r="T210" t="n">
        <v>10</v>
      </c>
      <c r="V210" t="n">
        <v>0.44</v>
      </c>
      <c r="W210" t="n">
        <v>1</v>
      </c>
    </row>
    <row r="211">
      <c r="A211" t="inlineStr">
        <is>
          <t>Commercial</t>
        </is>
      </c>
      <c r="B211" t="inlineStr">
        <is>
          <t>Educationnal</t>
        </is>
      </c>
      <c r="D211" t="inlineStr">
        <is>
          <t>Old</t>
        </is>
      </c>
      <c r="E211" t="inlineStr">
        <is>
          <t>Other end use</t>
        </is>
      </c>
      <c r="F211" t="inlineStr">
        <is>
          <t>Electricity</t>
        </is>
      </c>
      <c r="G211" t="inlineStr">
        <is>
          <t>Electricity</t>
        </is>
      </c>
      <c r="H211" t="inlineStr">
        <is>
          <t>COMELC</t>
        </is>
      </c>
      <c r="I211" t="inlineStr">
        <is>
          <t>COMEDUOldOEEUE</t>
        </is>
      </c>
      <c r="J211" t="inlineStr">
        <is>
          <t>COMEDUOldOEELC19</t>
        </is>
      </c>
      <c r="K211" t="n">
        <v>48.56549627588934</v>
      </c>
      <c r="L211" t="n">
        <v>4147.262738832504</v>
      </c>
      <c r="M211" t="n">
        <v>1</v>
      </c>
      <c r="N211" t="n">
        <v>4147.262738832504</v>
      </c>
      <c r="O211" t="n">
        <v>4147.262738832504</v>
      </c>
      <c r="P211" t="n">
        <v>9425.597133710235</v>
      </c>
      <c r="Q211" t="inlineStr">
        <is>
          <t>TJa</t>
        </is>
      </c>
      <c r="R211" t="n">
        <v>1</v>
      </c>
      <c r="S211" t="n">
        <v>12.5</v>
      </c>
      <c r="T211" t="n">
        <v>10</v>
      </c>
      <c r="V211" t="n">
        <v>0.44</v>
      </c>
      <c r="W211" t="n">
        <v>1</v>
      </c>
    </row>
    <row r="212">
      <c r="A212" t="inlineStr">
        <is>
          <t>Commercial</t>
        </is>
      </c>
      <c r="B212" t="inlineStr">
        <is>
          <t>Warehouse</t>
        </is>
      </c>
      <c r="D212" t="inlineStr">
        <is>
          <t>Old</t>
        </is>
      </c>
      <c r="E212" t="inlineStr">
        <is>
          <t>Space heating</t>
        </is>
      </c>
      <c r="F212" t="inlineStr">
        <is>
          <t>Electric furnace</t>
        </is>
      </c>
      <c r="G212" t="inlineStr">
        <is>
          <t>Electricity</t>
        </is>
      </c>
      <c r="H212" t="inlineStr">
        <is>
          <t>COMELC</t>
        </is>
      </c>
      <c r="I212" t="inlineStr">
        <is>
          <t>COMWAROldSHEUE</t>
        </is>
      </c>
      <c r="J212" t="inlineStr">
        <is>
          <t>COMWAROldSHFURELC19</t>
        </is>
      </c>
      <c r="K212" t="n">
        <v>32.7335865238675</v>
      </c>
      <c r="L212" t="n">
        <v>261.5722619763462</v>
      </c>
      <c r="M212" t="n">
        <v>0.8237909905040379</v>
      </c>
      <c r="N212" t="n">
        <v>215.4808727818759</v>
      </c>
      <c r="O212" t="n">
        <v>211.1712553262384</v>
      </c>
      <c r="P212" t="n">
        <v>50.81950402777385</v>
      </c>
      <c r="Q212" t="inlineStr">
        <is>
          <t>MW</t>
        </is>
      </c>
      <c r="R212" t="n">
        <v>0.98</v>
      </c>
      <c r="S212" t="n">
        <v>7.5</v>
      </c>
      <c r="T212" t="n">
        <v>1</v>
      </c>
      <c r="V212" t="n">
        <v>0.1317643040295289</v>
      </c>
      <c r="W212" t="n">
        <v>31.536</v>
      </c>
    </row>
    <row r="213">
      <c r="A213" t="inlineStr">
        <is>
          <t>Commercial</t>
        </is>
      </c>
      <c r="B213" t="inlineStr">
        <is>
          <t>Warehouse</t>
        </is>
      </c>
      <c r="D213" t="inlineStr">
        <is>
          <t>Old</t>
        </is>
      </c>
      <c r="E213" t="inlineStr">
        <is>
          <t>Space heating</t>
        </is>
      </c>
      <c r="F213" t="inlineStr">
        <is>
          <t>Electric boiler</t>
        </is>
      </c>
      <c r="G213" t="inlineStr">
        <is>
          <t>Electricity</t>
        </is>
      </c>
      <c r="H213" t="inlineStr">
        <is>
          <t>COMELC</t>
        </is>
      </c>
      <c r="I213" t="inlineStr">
        <is>
          <t>COMWAROldSHEUE</t>
        </is>
      </c>
      <c r="J213" t="inlineStr">
        <is>
          <t>COMWAROldSHBOIELC19</t>
        </is>
      </c>
      <c r="K213" t="n">
        <v>32.7335865238675</v>
      </c>
      <c r="L213" t="n">
        <v>261.5722619763462</v>
      </c>
      <c r="M213" t="n">
        <v>0.05496303537672963</v>
      </c>
      <c r="N213" t="n">
        <v>14.37680548857711</v>
      </c>
      <c r="O213" t="n">
        <v>13.4725044233456</v>
      </c>
      <c r="P213" t="n">
        <v>1.741382325263571</v>
      </c>
      <c r="Q213" t="inlineStr">
        <is>
          <t>MW</t>
        </is>
      </c>
      <c r="R213" t="n">
        <v>0.9370999999999999</v>
      </c>
      <c r="S213" t="n">
        <v>7.5</v>
      </c>
      <c r="T213" t="n">
        <v>1</v>
      </c>
      <c r="V213" t="n">
        <v>0.2453282697123826</v>
      </c>
      <c r="W213" t="n">
        <v>31.536</v>
      </c>
    </row>
    <row r="214">
      <c r="A214" t="inlineStr">
        <is>
          <t>Commercial</t>
        </is>
      </c>
      <c r="B214" t="inlineStr">
        <is>
          <t>Warehouse</t>
        </is>
      </c>
      <c r="D214" t="inlineStr">
        <is>
          <t>Old</t>
        </is>
      </c>
      <c r="E214" t="inlineStr">
        <is>
          <t>Space heating</t>
        </is>
      </c>
      <c r="F214" t="inlineStr">
        <is>
          <t>Electric air heat pump</t>
        </is>
      </c>
      <c r="G214" t="inlineStr">
        <is>
          <t>Electricity</t>
        </is>
      </c>
      <c r="H214" t="inlineStr">
        <is>
          <t>COMELC</t>
        </is>
      </c>
      <c r="I214" t="inlineStr">
        <is>
          <t>COMWAROldSHEUE</t>
        </is>
      </c>
      <c r="J214" t="inlineStr">
        <is>
          <t>COMWAROldSHAHPELC19</t>
        </is>
      </c>
      <c r="K214" t="n">
        <v>32.7335865238675</v>
      </c>
      <c r="L214" t="n">
        <v>261.5722619763462</v>
      </c>
      <c r="M214" t="n">
        <v>0.1212459741192325</v>
      </c>
      <c r="N214" t="n">
        <v>31.71458370589316</v>
      </c>
      <c r="O214" t="n">
        <v>98.31520948826881</v>
      </c>
      <c r="P214" t="n">
        <v>11.07005583769574</v>
      </c>
      <c r="Q214" t="inlineStr">
        <is>
          <t>MW</t>
        </is>
      </c>
      <c r="R214" t="n">
        <v>3.1</v>
      </c>
      <c r="S214" t="n">
        <v>10.5</v>
      </c>
      <c r="T214" t="n">
        <v>14.33104807576899</v>
      </c>
      <c r="V214" t="n">
        <v>0.2816205164112496</v>
      </c>
      <c r="W214" t="n">
        <v>31.536</v>
      </c>
    </row>
    <row r="215">
      <c r="A215" t="inlineStr">
        <is>
          <t>Commercial</t>
        </is>
      </c>
      <c r="B215" t="inlineStr">
        <is>
          <t>Warehouse</t>
        </is>
      </c>
      <c r="D215" t="inlineStr">
        <is>
          <t>Old</t>
        </is>
      </c>
      <c r="E215" t="inlineStr">
        <is>
          <t>Space heating</t>
        </is>
      </c>
      <c r="F215" t="inlineStr">
        <is>
          <t>Electric ground heat pump</t>
        </is>
      </c>
      <c r="G215" t="inlineStr">
        <is>
          <t>Electricity</t>
        </is>
      </c>
      <c r="H215" t="inlineStr">
        <is>
          <t>COMELC</t>
        </is>
      </c>
      <c r="I215" t="inlineStr">
        <is>
          <t>COMWAROldSHEUE</t>
        </is>
      </c>
      <c r="J215" t="inlineStr">
        <is>
          <t>COMWAROldSHGHPELC19</t>
        </is>
      </c>
      <c r="K215" t="n">
        <v>32.7335865238675</v>
      </c>
      <c r="L215" t="n">
        <v>261.5722619763462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MW</t>
        </is>
      </c>
      <c r="R215" t="n">
        <v>3.4</v>
      </c>
      <c r="S215" t="n">
        <v>7.2</v>
      </c>
      <c r="T215" t="n">
        <v>13.00195893970977</v>
      </c>
      <c r="V215" t="n">
        <v>0.3088741147736285</v>
      </c>
      <c r="W215" t="n">
        <v>31.536</v>
      </c>
    </row>
    <row r="216">
      <c r="A216" t="inlineStr">
        <is>
          <t>Commercial</t>
        </is>
      </c>
      <c r="B216" t="inlineStr">
        <is>
          <t>Warehouse</t>
        </is>
      </c>
      <c r="D216" t="inlineStr">
        <is>
          <t>Old</t>
        </is>
      </c>
      <c r="E216" t="inlineStr">
        <is>
          <t>Space heating</t>
        </is>
      </c>
      <c r="F216" t="inlineStr">
        <is>
          <t>Natural gas furnace</t>
        </is>
      </c>
      <c r="G216" t="inlineStr">
        <is>
          <t>Natural gas</t>
        </is>
      </c>
      <c r="H216" t="inlineStr">
        <is>
          <t>COMNGA</t>
        </is>
      </c>
      <c r="I216" t="inlineStr">
        <is>
          <t>COMWAROldSHEUE</t>
        </is>
      </c>
      <c r="J216" t="inlineStr">
        <is>
          <t>COMWAROldSHFURNGA19</t>
        </is>
      </c>
      <c r="K216" t="n">
        <v>32.7335865238675</v>
      </c>
      <c r="L216" t="n">
        <v>5171.285928407802</v>
      </c>
      <c r="M216" t="n">
        <v>0.7988431187837143</v>
      </c>
      <c r="N216" t="n">
        <v>4131.046179171624</v>
      </c>
      <c r="O216" t="n">
        <v>2935.108310301439</v>
      </c>
      <c r="P216" t="n">
        <v>393.9442043276634</v>
      </c>
      <c r="Q216" t="inlineStr">
        <is>
          <t>MW</t>
        </is>
      </c>
      <c r="R216" t="n">
        <v>0.7105</v>
      </c>
      <c r="S216" t="n">
        <v>11.5</v>
      </c>
      <c r="T216" t="n">
        <v>2.023541839846751</v>
      </c>
      <c r="V216" t="n">
        <v>0.2362559797733817</v>
      </c>
      <c r="W216" t="n">
        <v>31.536</v>
      </c>
    </row>
    <row r="217">
      <c r="A217" t="inlineStr">
        <is>
          <t>Commercial</t>
        </is>
      </c>
      <c r="B217" t="inlineStr">
        <is>
          <t>Warehouse</t>
        </is>
      </c>
      <c r="D217" t="inlineStr">
        <is>
          <t>Old</t>
        </is>
      </c>
      <c r="E217" t="inlineStr">
        <is>
          <t>Space heating</t>
        </is>
      </c>
      <c r="F217" t="inlineStr">
        <is>
          <t>Natural gas boiler</t>
        </is>
      </c>
      <c r="G217" t="inlineStr">
        <is>
          <t>Natural gas</t>
        </is>
      </c>
      <c r="H217" t="inlineStr">
        <is>
          <t>COMNGA</t>
        </is>
      </c>
      <c r="I217" t="inlineStr">
        <is>
          <t>COMWAROldSHEUE</t>
        </is>
      </c>
      <c r="J217" t="inlineStr">
        <is>
          <t>COMWAROldSHBOINGA19</t>
        </is>
      </c>
      <c r="K217" t="n">
        <v>32.7335865238675</v>
      </c>
      <c r="L217" t="n">
        <v>5171.285928407802</v>
      </c>
      <c r="M217" t="n">
        <v>0.1712306383820571</v>
      </c>
      <c r="N217" t="n">
        <v>885.4825907774167</v>
      </c>
      <c r="O217" t="n">
        <v>672.9667689908367</v>
      </c>
      <c r="P217" t="n">
        <v>82.00289033742369</v>
      </c>
      <c r="Q217" t="inlineStr">
        <is>
          <t>MW</t>
        </is>
      </c>
      <c r="R217" t="n">
        <v>0.76</v>
      </c>
      <c r="S217" t="n">
        <v>12.5</v>
      </c>
      <c r="T217" t="n">
        <v>11.35759354439353</v>
      </c>
      <c r="V217" t="n">
        <v>0.2602302939430272</v>
      </c>
      <c r="W217" t="n">
        <v>31.536</v>
      </c>
    </row>
    <row r="218">
      <c r="A218" t="inlineStr">
        <is>
          <t>Commercial</t>
        </is>
      </c>
      <c r="B218" t="inlineStr">
        <is>
          <t>Warehouse</t>
        </is>
      </c>
      <c r="D218" t="inlineStr">
        <is>
          <t>Old</t>
        </is>
      </c>
      <c r="E218" t="inlineStr">
        <is>
          <t>Space heating</t>
        </is>
      </c>
      <c r="F218" t="inlineStr">
        <is>
          <t>Natural gas heat pump</t>
        </is>
      </c>
      <c r="G218" t="inlineStr">
        <is>
          <t>Natural gas</t>
        </is>
      </c>
      <c r="H218" t="inlineStr">
        <is>
          <t>COMNGA</t>
        </is>
      </c>
      <c r="I218" t="inlineStr">
        <is>
          <t>COMWAROldSHEUE</t>
        </is>
      </c>
      <c r="J218" t="inlineStr">
        <is>
          <t>COMWAROldSHAHPNGA19</t>
        </is>
      </c>
      <c r="K218" t="n">
        <v>32.7335865238675</v>
      </c>
      <c r="L218" t="n">
        <v>5171.285928407802</v>
      </c>
      <c r="M218" t="n">
        <v>0.02992624283422862</v>
      </c>
      <c r="N218" t="n">
        <v>154.7571584587613</v>
      </c>
      <c r="O218" t="n">
        <v>201.1843059963897</v>
      </c>
      <c r="P218" t="n">
        <v>7.526110511348222</v>
      </c>
      <c r="Q218" t="inlineStr">
        <is>
          <t>MW</t>
        </is>
      </c>
      <c r="R218" t="n">
        <v>1.3</v>
      </c>
      <c r="S218" t="n">
        <v>7.5</v>
      </c>
      <c r="T218" t="n">
        <v>12</v>
      </c>
      <c r="V218" t="n">
        <v>0.8476506535380036</v>
      </c>
      <c r="W218" t="n">
        <v>31.536</v>
      </c>
    </row>
    <row r="219">
      <c r="A219" t="inlineStr">
        <is>
          <t>Commercial</t>
        </is>
      </c>
      <c r="B219" t="inlineStr">
        <is>
          <t>Warehouse</t>
        </is>
      </c>
      <c r="D219" t="inlineStr">
        <is>
          <t>Old</t>
        </is>
      </c>
      <c r="E219" t="inlineStr">
        <is>
          <t>Space heating</t>
        </is>
      </c>
      <c r="F219" t="inlineStr">
        <is>
          <t>Fuel oil boiler</t>
        </is>
      </c>
      <c r="G219" t="inlineStr">
        <is>
          <t>Fuel oil</t>
        </is>
      </c>
      <c r="H219" t="inlineStr">
        <is>
          <t>COMFOI</t>
        </is>
      </c>
      <c r="I219" t="inlineStr">
        <is>
          <t>COMWAROldSHEUE</t>
        </is>
      </c>
      <c r="J219" t="inlineStr">
        <is>
          <t>COMWAROldSHBOIFOI19</t>
        </is>
      </c>
      <c r="K219" t="n">
        <v>32.7335865238675</v>
      </c>
      <c r="L219" t="n">
        <v>365.8030538285404</v>
      </c>
      <c r="M219" t="n">
        <v>0.8093159775903975</v>
      </c>
      <c r="N219" t="n">
        <v>296.050256114798</v>
      </c>
      <c r="O219" t="n">
        <v>233.8797023306904</v>
      </c>
      <c r="P219" t="n">
        <v>23.45191726355638</v>
      </c>
      <c r="Q219" t="inlineStr">
        <is>
          <t>MW</t>
        </is>
      </c>
      <c r="R219" t="n">
        <v>0.79</v>
      </c>
      <c r="S219" t="n">
        <v>12.5</v>
      </c>
      <c r="T219" t="n">
        <v>14</v>
      </c>
      <c r="V219" t="n">
        <v>0.3162332796413051</v>
      </c>
      <c r="W219" t="n">
        <v>31.536</v>
      </c>
    </row>
    <row r="220">
      <c r="A220" t="inlineStr">
        <is>
          <t>Commercial</t>
        </is>
      </c>
      <c r="B220" t="inlineStr">
        <is>
          <t>Warehouse</t>
        </is>
      </c>
      <c r="D220" t="inlineStr">
        <is>
          <t>Old</t>
        </is>
      </c>
      <c r="E220" t="inlineStr">
        <is>
          <t>Space heating</t>
        </is>
      </c>
      <c r="F220" t="inlineStr">
        <is>
          <t>Fuel oil furnace</t>
        </is>
      </c>
      <c r="G220" t="inlineStr">
        <is>
          <t>Fuel oil</t>
        </is>
      </c>
      <c r="H220" t="inlineStr">
        <is>
          <t>COMFOI</t>
        </is>
      </c>
      <c r="I220" t="inlineStr">
        <is>
          <t>COMWAROldSHEUE</t>
        </is>
      </c>
      <c r="J220" t="inlineStr">
        <is>
          <t>COMWAROldSHFURFOI19</t>
        </is>
      </c>
      <c r="K220" t="n">
        <v>32.7335865238675</v>
      </c>
      <c r="L220" t="n">
        <v>365.8030538285404</v>
      </c>
      <c r="M220" t="n">
        <v>0.1906840224096026</v>
      </c>
      <c r="N220" t="n">
        <v>69.75279771374245</v>
      </c>
      <c r="O220" t="n">
        <v>53.04700266130114</v>
      </c>
      <c r="P220" t="n">
        <v>5.525537664963047</v>
      </c>
      <c r="Q220" t="inlineStr">
        <is>
          <t>MW</t>
        </is>
      </c>
      <c r="R220" t="n">
        <v>0.7605</v>
      </c>
      <c r="S220" t="n">
        <v>11.5</v>
      </c>
      <c r="T220" t="n">
        <v>4</v>
      </c>
      <c r="V220" t="n">
        <v>0.3044245685660917</v>
      </c>
      <c r="W220" t="n">
        <v>31.536</v>
      </c>
    </row>
    <row r="221">
      <c r="A221" t="inlineStr">
        <is>
          <t>Commercial</t>
        </is>
      </c>
      <c r="B221" t="inlineStr">
        <is>
          <t>Warehouse</t>
        </is>
      </c>
      <c r="D221" t="inlineStr">
        <is>
          <t>Old</t>
        </is>
      </c>
      <c r="E221" t="inlineStr">
        <is>
          <t>Space heating</t>
        </is>
      </c>
      <c r="F221" t="inlineStr">
        <is>
          <t>Propane furnace</t>
        </is>
      </c>
      <c r="G221" t="inlineStr">
        <is>
          <t>LPG</t>
        </is>
      </c>
      <c r="H221" t="inlineStr">
        <is>
          <t>COMLPG</t>
        </is>
      </c>
      <c r="I221" t="inlineStr">
        <is>
          <t>COMWAROldSHEUE</t>
        </is>
      </c>
      <c r="J221" t="inlineStr">
        <is>
          <t>COMWAROldSHFURPRO19</t>
        </is>
      </c>
      <c r="K221" t="n">
        <v>32.7335865238675</v>
      </c>
      <c r="L221" t="n">
        <v>0</v>
      </c>
      <c r="M221" t="n">
        <v>0.4040025966046304</v>
      </c>
      <c r="N221" t="n">
        <v>0</v>
      </c>
      <c r="O221" t="n">
        <v>0</v>
      </c>
      <c r="P221" t="n">
        <v>0</v>
      </c>
      <c r="Q221" t="inlineStr">
        <is>
          <t>MW</t>
        </is>
      </c>
      <c r="R221" t="n">
        <v>0.7105</v>
      </c>
      <c r="S221" t="n">
        <v>11.5</v>
      </c>
      <c r="T221" t="n">
        <v>2.023541839846751</v>
      </c>
      <c r="V221" t="n">
        <v>0.2362559797733817</v>
      </c>
      <c r="W221" t="n">
        <v>31.536</v>
      </c>
    </row>
    <row r="222">
      <c r="A222" t="inlineStr">
        <is>
          <t>Commercial</t>
        </is>
      </c>
      <c r="B222" t="inlineStr">
        <is>
          <t>Warehouse</t>
        </is>
      </c>
      <c r="D222" t="inlineStr">
        <is>
          <t>Old</t>
        </is>
      </c>
      <c r="E222" t="inlineStr">
        <is>
          <t>Space heating</t>
        </is>
      </c>
      <c r="F222" t="inlineStr">
        <is>
          <t>Propane boiler</t>
        </is>
      </c>
      <c r="G222" t="inlineStr">
        <is>
          <t>LPG</t>
        </is>
      </c>
      <c r="H222" t="inlineStr">
        <is>
          <t>COMLPG</t>
        </is>
      </c>
      <c r="I222" t="inlineStr">
        <is>
          <t>COMWAROldSHEUE</t>
        </is>
      </c>
      <c r="J222" t="inlineStr">
        <is>
          <t>COMWAROldSHBOIPRO19</t>
        </is>
      </c>
      <c r="K222" t="n">
        <v>32.7335865238675</v>
      </c>
      <c r="L222" t="n">
        <v>0</v>
      </c>
      <c r="M222" t="n">
        <v>0.02245059937654296</v>
      </c>
      <c r="N222" t="n">
        <v>0</v>
      </c>
      <c r="O222" t="n">
        <v>0</v>
      </c>
      <c r="P222" t="n">
        <v>0</v>
      </c>
      <c r="Q222" t="inlineStr">
        <is>
          <t>MW</t>
        </is>
      </c>
      <c r="R222" t="n">
        <v>0.76</v>
      </c>
      <c r="S222" t="n">
        <v>12.5</v>
      </c>
      <c r="T222" t="n">
        <v>11.35759354439353</v>
      </c>
      <c r="V222" t="n">
        <v>0.2602302939430272</v>
      </c>
      <c r="W222" t="n">
        <v>31.536</v>
      </c>
    </row>
    <row r="223">
      <c r="A223" t="inlineStr">
        <is>
          <t>Commercial</t>
        </is>
      </c>
      <c r="B223" t="inlineStr">
        <is>
          <t>Warehouse</t>
        </is>
      </c>
      <c r="D223" t="inlineStr">
        <is>
          <t>Old</t>
        </is>
      </c>
      <c r="E223" t="inlineStr">
        <is>
          <t>Space heating</t>
        </is>
      </c>
      <c r="F223" t="inlineStr">
        <is>
          <t>Propane heat pump</t>
        </is>
      </c>
      <c r="G223" t="inlineStr">
        <is>
          <t>LPG</t>
        </is>
      </c>
      <c r="H223" t="inlineStr">
        <is>
          <t>COMLPG</t>
        </is>
      </c>
      <c r="I223" t="inlineStr">
        <is>
          <t>COMWAROldSHEUE</t>
        </is>
      </c>
      <c r="J223" t="inlineStr">
        <is>
          <t>COMWAROldSHAHPPRO19</t>
        </is>
      </c>
      <c r="K223" t="n">
        <v>32.7335865238675</v>
      </c>
      <c r="L223" t="n">
        <v>0</v>
      </c>
      <c r="M223" t="n">
        <v>0.5735468040188265</v>
      </c>
      <c r="N223" t="n">
        <v>0</v>
      </c>
      <c r="O223" t="n">
        <v>0</v>
      </c>
      <c r="P223" t="n">
        <v>0</v>
      </c>
      <c r="Q223" t="inlineStr">
        <is>
          <t>MW</t>
        </is>
      </c>
      <c r="R223" t="n">
        <v>1.3</v>
      </c>
      <c r="S223" t="n">
        <v>7.5</v>
      </c>
      <c r="T223" t="n">
        <v>12</v>
      </c>
      <c r="V223" t="n">
        <v>0.8476506535380036</v>
      </c>
      <c r="W223" t="n">
        <v>31.536</v>
      </c>
    </row>
    <row r="224">
      <c r="A224" t="inlineStr">
        <is>
          <t>Commercial</t>
        </is>
      </c>
      <c r="B224" t="inlineStr">
        <is>
          <t>Warehouse</t>
        </is>
      </c>
      <c r="D224" t="inlineStr">
        <is>
          <t>Old</t>
        </is>
      </c>
      <c r="E224" t="inlineStr">
        <is>
          <t>Space heating</t>
        </is>
      </c>
      <c r="F224" t="inlineStr">
        <is>
          <t>District steam heating system</t>
        </is>
      </c>
      <c r="G224" t="inlineStr">
        <is>
          <t>Steam / Cooling</t>
        </is>
      </c>
      <c r="H224" t="inlineStr">
        <is>
          <t>COMSTM</t>
        </is>
      </c>
      <c r="I224" t="inlineStr">
        <is>
          <t>COMWAROldSHEUE</t>
        </is>
      </c>
      <c r="J224" t="inlineStr">
        <is>
          <t>COMWAROldSHDHESTM19</t>
        </is>
      </c>
      <c r="K224" t="n">
        <v>32.7335865238675</v>
      </c>
      <c r="L224" t="n">
        <v>111.0902487105624</v>
      </c>
      <c r="M224" t="n">
        <v>1</v>
      </c>
      <c r="N224" t="n">
        <v>111.0902487105624</v>
      </c>
      <c r="O224" t="n">
        <v>104.1026720666681</v>
      </c>
      <c r="P224" t="n">
        <v>5.176024532039912</v>
      </c>
      <c r="Q224" t="inlineStr">
        <is>
          <t>MW</t>
        </is>
      </c>
      <c r="R224" t="n">
        <v>0.9370999999999999</v>
      </c>
      <c r="S224" t="n">
        <v>12.5</v>
      </c>
      <c r="T224" t="n">
        <v>1</v>
      </c>
      <c r="V224" t="n">
        <v>0.637762447947117</v>
      </c>
      <c r="W224" t="n">
        <v>31.536</v>
      </c>
    </row>
    <row r="225">
      <c r="A225" t="inlineStr">
        <is>
          <t>Commercial</t>
        </is>
      </c>
      <c r="B225" t="inlineStr">
        <is>
          <t>Warehouse</t>
        </is>
      </c>
      <c r="D225" t="inlineStr">
        <is>
          <t>Old</t>
        </is>
      </c>
      <c r="E225" t="inlineStr">
        <is>
          <t>Space cooling</t>
        </is>
      </c>
      <c r="F225" t="inlineStr">
        <is>
          <t>Res type central AC electric</t>
        </is>
      </c>
      <c r="G225" t="inlineStr">
        <is>
          <t>Electricity</t>
        </is>
      </c>
      <c r="H225" t="inlineStr">
        <is>
          <t>COMELC</t>
        </is>
      </c>
      <c r="I225" t="inlineStr">
        <is>
          <t>COMWAROldSCEUE</t>
        </is>
      </c>
      <c r="J225" t="inlineStr">
        <is>
          <t>COMWAROldSCRESELC19</t>
        </is>
      </c>
      <c r="K225" t="n">
        <v>32.7335865238675</v>
      </c>
      <c r="L225" t="n">
        <v>334.300439006392</v>
      </c>
      <c r="M225" t="n">
        <v>0.02607938396691166</v>
      </c>
      <c r="N225" t="n">
        <v>8.718349509154828</v>
      </c>
      <c r="O225" t="n">
        <v>29.12930375274474</v>
      </c>
      <c r="P225" t="n">
        <v>7.692002926297737</v>
      </c>
      <c r="Q225" t="inlineStr">
        <is>
          <t>MW</t>
        </is>
      </c>
      <c r="R225" t="n">
        <v>3.341148886283705</v>
      </c>
      <c r="S225" t="n">
        <v>9</v>
      </c>
      <c r="T225" t="n">
        <v>8</v>
      </c>
      <c r="V225" t="n">
        <v>0.1200836988079528</v>
      </c>
      <c r="W225" t="n">
        <v>31.536</v>
      </c>
    </row>
    <row r="226">
      <c r="A226" t="inlineStr">
        <is>
          <t>Commercial</t>
        </is>
      </c>
      <c r="B226" t="inlineStr">
        <is>
          <t>Warehouse</t>
        </is>
      </c>
      <c r="D226" t="inlineStr">
        <is>
          <t>Old</t>
        </is>
      </c>
      <c r="E226" t="inlineStr">
        <is>
          <t>Space cooling</t>
        </is>
      </c>
      <c r="F226" t="inlineStr">
        <is>
          <t>Room AC electric</t>
        </is>
      </c>
      <c r="G226" t="inlineStr">
        <is>
          <t>Electricity</t>
        </is>
      </c>
      <c r="H226" t="inlineStr">
        <is>
          <t>COMELC</t>
        </is>
      </c>
      <c r="I226" t="inlineStr">
        <is>
          <t>COMWAROldSCEUE</t>
        </is>
      </c>
      <c r="J226" t="inlineStr">
        <is>
          <t>COMWAROldSCRACELC19</t>
        </is>
      </c>
      <c r="K226" t="n">
        <v>32.7335865238675</v>
      </c>
      <c r="L226" t="n">
        <v>334.300439006392</v>
      </c>
      <c r="M226" t="n">
        <v>0.7501323832381424</v>
      </c>
      <c r="N226" t="n">
        <v>250.7695850294221</v>
      </c>
      <c r="O226" t="n">
        <v>639.4183440081981</v>
      </c>
      <c r="P226" t="n">
        <v>111.1535375357788</v>
      </c>
      <c r="Q226" t="inlineStr">
        <is>
          <t>MW</t>
        </is>
      </c>
      <c r="R226" t="n">
        <v>2.549824150058616</v>
      </c>
      <c r="S226" t="n">
        <v>5</v>
      </c>
      <c r="T226" t="n">
        <v>0</v>
      </c>
      <c r="V226" t="n">
        <v>0.1824127520239892</v>
      </c>
      <c r="W226" t="n">
        <v>31.536</v>
      </c>
    </row>
    <row r="227">
      <c r="A227" t="inlineStr">
        <is>
          <t>Commercial</t>
        </is>
      </c>
      <c r="B227" t="inlineStr">
        <is>
          <t>Warehouse</t>
        </is>
      </c>
      <c r="D227" t="inlineStr">
        <is>
          <t>Old</t>
        </is>
      </c>
      <c r="E227" t="inlineStr">
        <is>
          <t>Space cooling</t>
        </is>
      </c>
      <c r="F227" t="inlineStr">
        <is>
          <t>Central AC electric</t>
        </is>
      </c>
      <c r="G227" t="inlineStr">
        <is>
          <t>Electricity</t>
        </is>
      </c>
      <c r="H227" t="inlineStr">
        <is>
          <t>COMELC</t>
        </is>
      </c>
      <c r="I227" t="inlineStr">
        <is>
          <t>COMWAROldSCEUE</t>
        </is>
      </c>
      <c r="J227" t="inlineStr">
        <is>
          <t>COMWAROldSCCACELC19</t>
        </is>
      </c>
      <c r="K227" t="n">
        <v>32.7335865238675</v>
      </c>
      <c r="L227" t="n">
        <v>334.300439006392</v>
      </c>
      <c r="M227" t="n">
        <v>0.08090540910681253</v>
      </c>
      <c r="N227" t="n">
        <v>27.04671378239918</v>
      </c>
      <c r="O227" t="n">
        <v>82.71587883908205</v>
      </c>
      <c r="P227" t="n">
        <v>11.76754957317709</v>
      </c>
      <c r="Q227" t="inlineStr">
        <is>
          <t>MW</t>
        </is>
      </c>
      <c r="R227" t="n">
        <v>3.058259850145268</v>
      </c>
      <c r="S227" t="n">
        <v>9</v>
      </c>
      <c r="T227" t="n">
        <v>8</v>
      </c>
      <c r="V227" t="n">
        <v>0.2228929052247381</v>
      </c>
      <c r="W227" t="n">
        <v>31.536</v>
      </c>
    </row>
    <row r="228">
      <c r="A228" t="inlineStr">
        <is>
          <t>Commercial</t>
        </is>
      </c>
      <c r="B228" t="inlineStr">
        <is>
          <t>Warehouse</t>
        </is>
      </c>
      <c r="D228" t="inlineStr">
        <is>
          <t>Old</t>
        </is>
      </c>
      <c r="E228" t="inlineStr">
        <is>
          <t>Space cooling</t>
        </is>
      </c>
      <c r="F228" t="inlineStr">
        <is>
          <t>Rooftop Air HP electric</t>
        </is>
      </c>
      <c r="G228" t="inlineStr">
        <is>
          <t>Electricity</t>
        </is>
      </c>
      <c r="H228" t="inlineStr">
        <is>
          <t>COMELC</t>
        </is>
      </c>
      <c r="I228" t="inlineStr">
        <is>
          <t>COMWAROldSCEUE</t>
        </is>
      </c>
      <c r="J228" t="inlineStr">
        <is>
          <t>COMWAROldSCAHPELC19</t>
        </is>
      </c>
      <c r="K228" t="n">
        <v>32.7335865238675</v>
      </c>
      <c r="L228" t="n">
        <v>334.300439006392</v>
      </c>
      <c r="M228" t="n">
        <v>0.1241774939109369</v>
      </c>
      <c r="N228" t="n">
        <v>41.51259072913977</v>
      </c>
      <c r="O228" t="n">
        <v>113.1497930190504</v>
      </c>
      <c r="P228" t="n">
        <v>9.205084632670102</v>
      </c>
      <c r="Q228" t="inlineStr">
        <is>
          <t>MW</t>
        </is>
      </c>
      <c r="R228" t="n">
        <v>2.72567409144197</v>
      </c>
      <c r="S228" t="n">
        <v>10.5</v>
      </c>
      <c r="T228" t="n">
        <v>14</v>
      </c>
      <c r="V228" t="n">
        <v>0.3897798382978424</v>
      </c>
      <c r="W228" t="n">
        <v>31.536</v>
      </c>
    </row>
    <row r="229">
      <c r="A229" t="inlineStr">
        <is>
          <t>Commercial</t>
        </is>
      </c>
      <c r="B229" t="inlineStr">
        <is>
          <t>Warehouse</t>
        </is>
      </c>
      <c r="D229" t="inlineStr">
        <is>
          <t>Old</t>
        </is>
      </c>
      <c r="E229" t="inlineStr">
        <is>
          <t>Space cooling</t>
        </is>
      </c>
      <c r="F229" t="inlineStr">
        <is>
          <t>Rooftop Air AC electric</t>
        </is>
      </c>
      <c r="G229" t="inlineStr">
        <is>
          <t>Electricity</t>
        </is>
      </c>
      <c r="H229" t="inlineStr">
        <is>
          <t>COMELC</t>
        </is>
      </c>
      <c r="I229" t="inlineStr">
        <is>
          <t>COMWAROldSCEUE</t>
        </is>
      </c>
      <c r="J229" t="inlineStr">
        <is>
          <t>COMWAROldSCAACELC19</t>
        </is>
      </c>
      <c r="K229" t="n">
        <v>32.7335865238675</v>
      </c>
      <c r="L229" t="n">
        <v>334.300439006392</v>
      </c>
      <c r="M229" t="n">
        <v>0.0006279977042108489</v>
      </c>
      <c r="N229" t="n">
        <v>0.2099399082126931</v>
      </c>
      <c r="O229" t="n">
        <v>0.5660747818161713</v>
      </c>
      <c r="P229" t="n">
        <v>0.09104445170611954</v>
      </c>
      <c r="Q229" t="inlineStr">
        <is>
          <t>MW</t>
        </is>
      </c>
      <c r="R229" t="n">
        <v>2.696365767878077</v>
      </c>
      <c r="S229" t="n">
        <v>10.5</v>
      </c>
      <c r="T229" t="n">
        <v>14</v>
      </c>
      <c r="V229" t="n">
        <v>0.1971576877258431</v>
      </c>
      <c r="W229" t="n">
        <v>31.536</v>
      </c>
    </row>
    <row r="230">
      <c r="A230" t="inlineStr">
        <is>
          <t>Commercial</t>
        </is>
      </c>
      <c r="B230" t="inlineStr">
        <is>
          <t>Warehouse</t>
        </is>
      </c>
      <c r="D230" t="inlineStr">
        <is>
          <t>Old</t>
        </is>
      </c>
      <c r="E230" t="inlineStr">
        <is>
          <t>Space cooling</t>
        </is>
      </c>
      <c r="F230" t="inlineStr">
        <is>
          <t>Res type central AC gas</t>
        </is>
      </c>
      <c r="G230" t="inlineStr">
        <is>
          <t>Electricity</t>
        </is>
      </c>
      <c r="H230" t="inlineStr">
        <is>
          <t>COMELC</t>
        </is>
      </c>
      <c r="I230" t="inlineStr">
        <is>
          <t>COMWAROldSCEUE</t>
        </is>
      </c>
      <c r="J230" t="inlineStr">
        <is>
          <t>COMWAROldSCRESNGA19</t>
        </is>
      </c>
      <c r="K230" t="n">
        <v>32.7335865238675</v>
      </c>
      <c r="L230" t="n">
        <v>334.300439006392</v>
      </c>
      <c r="M230" t="n">
        <v>0.01807733207298619</v>
      </c>
      <c r="N230" t="n">
        <v>6.043260048063615</v>
      </c>
      <c r="O230" t="n">
        <v>3.625956028838169</v>
      </c>
      <c r="P230" t="n">
        <v>0.8867653241004881</v>
      </c>
      <c r="Q230" t="inlineStr">
        <is>
          <t>MW</t>
        </is>
      </c>
      <c r="R230" t="n">
        <v>0.6</v>
      </c>
      <c r="S230" t="n">
        <v>7.5</v>
      </c>
      <c r="T230" t="n">
        <v>12</v>
      </c>
      <c r="V230" t="n">
        <v>0.1296603602913392</v>
      </c>
      <c r="W230" t="n">
        <v>31.536</v>
      </c>
    </row>
    <row r="231">
      <c r="A231" t="inlineStr">
        <is>
          <t>Commercial</t>
        </is>
      </c>
      <c r="B231" t="inlineStr">
        <is>
          <t>Warehouse</t>
        </is>
      </c>
      <c r="D231" t="inlineStr">
        <is>
          <t>Old</t>
        </is>
      </c>
      <c r="E231" t="inlineStr">
        <is>
          <t>Space cooling</t>
        </is>
      </c>
      <c r="F231" t="inlineStr">
        <is>
          <t>Absorption chiller</t>
        </is>
      </c>
      <c r="G231" t="inlineStr">
        <is>
          <t>Electricity</t>
        </is>
      </c>
      <c r="H231" t="inlineStr">
        <is>
          <t>COMELC</t>
        </is>
      </c>
      <c r="I231" t="inlineStr">
        <is>
          <t>COMWAROldSCEUE</t>
        </is>
      </c>
      <c r="J231" t="inlineStr">
        <is>
          <t>COMWAROldSCACHSTM19</t>
        </is>
      </c>
      <c r="K231" t="n">
        <v>32.7335865238675</v>
      </c>
      <c r="L231" t="n">
        <v>334.300439006392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MW</t>
        </is>
      </c>
      <c r="R231" t="n">
        <v>1</v>
      </c>
      <c r="S231" t="n">
        <v>11.5</v>
      </c>
      <c r="T231" t="n">
        <v>10</v>
      </c>
      <c r="V231" t="n">
        <v>0.1328460049302037</v>
      </c>
      <c r="W231" t="n">
        <v>31.536</v>
      </c>
    </row>
    <row r="232">
      <c r="A232" t="inlineStr">
        <is>
          <t>Commercial</t>
        </is>
      </c>
      <c r="B232" t="inlineStr">
        <is>
          <t>Warehouse</t>
        </is>
      </c>
      <c r="D232" t="inlineStr">
        <is>
          <t>Old</t>
        </is>
      </c>
      <c r="E232" t="inlineStr">
        <is>
          <t>Space cooling</t>
        </is>
      </c>
      <c r="F232" t="inlineStr">
        <is>
          <t>District chilled water</t>
        </is>
      </c>
      <c r="G232" t="inlineStr">
        <is>
          <t>Electricity</t>
        </is>
      </c>
      <c r="H232" t="inlineStr">
        <is>
          <t>COMELC</t>
        </is>
      </c>
      <c r="I232" t="inlineStr">
        <is>
          <t>COMWAROldSCEUE</t>
        </is>
      </c>
      <c r="J232" t="inlineStr">
        <is>
          <t>COMWAROldSCDCOCHI19</t>
        </is>
      </c>
      <c r="K232" t="n">
        <v>32.7335865238675</v>
      </c>
      <c r="L232" t="n">
        <v>334.300439006392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MW</t>
        </is>
      </c>
      <c r="R232" t="n">
        <v>1</v>
      </c>
      <c r="S232" t="n">
        <v>12.5</v>
      </c>
      <c r="T232" t="n">
        <v>1</v>
      </c>
      <c r="V232" t="n">
        <v>0</v>
      </c>
      <c r="W232" t="n">
        <v>31.536</v>
      </c>
    </row>
    <row r="233">
      <c r="A233" t="inlineStr">
        <is>
          <t>Commercial</t>
        </is>
      </c>
      <c r="B233" t="inlineStr">
        <is>
          <t>Warehouse</t>
        </is>
      </c>
      <c r="D233" t="inlineStr">
        <is>
          <t>Old</t>
        </is>
      </c>
      <c r="E233" t="inlineStr">
        <is>
          <t>Ventilation</t>
        </is>
      </c>
      <c r="F233" t="inlineStr">
        <is>
          <t>Electricity</t>
        </is>
      </c>
      <c r="G233" t="inlineStr">
        <is>
          <t>Electricity</t>
        </is>
      </c>
      <c r="H233" t="inlineStr">
        <is>
          <t>COMELC</t>
        </is>
      </c>
      <c r="I233" t="inlineStr">
        <is>
          <t>COMWAROldVTEUE</t>
        </is>
      </c>
      <c r="J233" t="inlineStr">
        <is>
          <t>COMWAROldVTELC19</t>
        </is>
      </c>
      <c r="K233" t="n">
        <v>32.7335865238675</v>
      </c>
      <c r="L233" t="n">
        <v>370.5698649567115</v>
      </c>
      <c r="M233" t="n">
        <v>1</v>
      </c>
      <c r="N233" t="n">
        <v>370.5698649567115</v>
      </c>
      <c r="O233" t="n">
        <v>370.5698649567115</v>
      </c>
      <c r="P233" t="n">
        <v>26.70612121188422</v>
      </c>
      <c r="Q233" t="inlineStr">
        <is>
          <t>MW</t>
        </is>
      </c>
      <c r="R233" t="n">
        <v>1</v>
      </c>
      <c r="S233" t="n">
        <v>10</v>
      </c>
      <c r="T233" t="n">
        <v>97</v>
      </c>
      <c r="V233" t="n">
        <v>0.44</v>
      </c>
      <c r="W233" t="n">
        <v>31.536</v>
      </c>
    </row>
    <row r="234">
      <c r="A234" t="inlineStr">
        <is>
          <t>Commercial</t>
        </is>
      </c>
      <c r="B234" t="inlineStr">
        <is>
          <t>Warehouse</t>
        </is>
      </c>
      <c r="D234" t="inlineStr">
        <is>
          <t>Old</t>
        </is>
      </c>
      <c r="E234" t="inlineStr">
        <is>
          <t>Water heating</t>
        </is>
      </c>
      <c r="F234" t="inlineStr">
        <is>
          <t>Fuel oil</t>
        </is>
      </c>
      <c r="G234" t="inlineStr">
        <is>
          <t>Fuel oil</t>
        </is>
      </c>
      <c r="H234" t="inlineStr">
        <is>
          <t>COMFOI</t>
        </is>
      </c>
      <c r="I234" t="inlineStr">
        <is>
          <t>COMWAROldWHEUE</t>
        </is>
      </c>
      <c r="J234" t="inlineStr">
        <is>
          <t>COMWAROldWHFOI19</t>
        </is>
      </c>
      <c r="K234" t="n">
        <v>32.7335865238675</v>
      </c>
      <c r="L234" t="n">
        <v>15.30707553305153</v>
      </c>
      <c r="M234" t="n">
        <v>1</v>
      </c>
      <c r="N234" t="n">
        <v>15.30707553305153</v>
      </c>
      <c r="O234" t="n">
        <v>11.93951891578019</v>
      </c>
      <c r="P234" t="n">
        <v>0.8604537754673012</v>
      </c>
      <c r="Q234" t="inlineStr">
        <is>
          <t>MW</t>
        </is>
      </c>
      <c r="R234" t="n">
        <v>0.78</v>
      </c>
      <c r="S234" t="n">
        <v>6.5</v>
      </c>
      <c r="T234" t="n">
        <v>6</v>
      </c>
      <c r="V234" t="n">
        <v>0.44</v>
      </c>
      <c r="W234" t="n">
        <v>31.536</v>
      </c>
    </row>
    <row r="235">
      <c r="A235" t="inlineStr">
        <is>
          <t>Commercial</t>
        </is>
      </c>
      <c r="B235" t="inlineStr">
        <is>
          <t>Warehouse</t>
        </is>
      </c>
      <c r="D235" t="inlineStr">
        <is>
          <t>Old</t>
        </is>
      </c>
      <c r="E235" t="inlineStr">
        <is>
          <t>Water heating</t>
        </is>
      </c>
      <c r="F235" t="inlineStr">
        <is>
          <t>Natural gas</t>
        </is>
      </c>
      <c r="G235" t="inlineStr">
        <is>
          <t>Natural gas</t>
        </is>
      </c>
      <c r="H235" t="inlineStr">
        <is>
          <t>COMNGA</t>
        </is>
      </c>
      <c r="I235" t="inlineStr">
        <is>
          <t>COMWAROldWHEUE</t>
        </is>
      </c>
      <c r="J235" t="inlineStr">
        <is>
          <t>COMWAROldWHNGA19</t>
        </is>
      </c>
      <c r="K235" t="n">
        <v>32.7335865238675</v>
      </c>
      <c r="L235" t="n">
        <v>30.31048762299249</v>
      </c>
      <c r="M235" t="n">
        <v>1</v>
      </c>
      <c r="N235" t="n">
        <v>30.31048762299249</v>
      </c>
      <c r="O235" t="n">
        <v>23.33907546970422</v>
      </c>
      <c r="P235" t="n">
        <v>1.681993700540235</v>
      </c>
      <c r="Q235" t="inlineStr">
        <is>
          <t>MW</t>
        </is>
      </c>
      <c r="R235" t="n">
        <v>0.77</v>
      </c>
      <c r="S235" t="n">
        <v>5</v>
      </c>
      <c r="T235" t="n">
        <v>7</v>
      </c>
      <c r="V235" t="n">
        <v>0.44</v>
      </c>
      <c r="W235" t="n">
        <v>31.536</v>
      </c>
    </row>
    <row r="236">
      <c r="A236" t="inlineStr">
        <is>
          <t>Commercial</t>
        </is>
      </c>
      <c r="B236" t="inlineStr">
        <is>
          <t>Warehouse</t>
        </is>
      </c>
      <c r="D236" t="inlineStr">
        <is>
          <t>Old</t>
        </is>
      </c>
      <c r="E236" t="inlineStr">
        <is>
          <t>Water heating</t>
        </is>
      </c>
      <c r="F236" t="inlineStr">
        <is>
          <t>Steam / Cooling</t>
        </is>
      </c>
      <c r="G236" t="inlineStr">
        <is>
          <t>Steam / Cooling</t>
        </is>
      </c>
      <c r="H236" t="inlineStr">
        <is>
          <t>COMSTM</t>
        </is>
      </c>
      <c r="I236" t="inlineStr">
        <is>
          <t>COMWAROldWHEUE</t>
        </is>
      </c>
      <c r="J236" t="inlineStr">
        <is>
          <t>COMWAROldWHSTM19</t>
        </is>
      </c>
      <c r="K236" t="n">
        <v>32.7335865238675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inlineStr">
        <is>
          <t>MW</t>
        </is>
      </c>
      <c r="R236" t="n">
        <v>0.9747499999999999</v>
      </c>
      <c r="S236" t="n">
        <v>12.5</v>
      </c>
      <c r="T236" t="n">
        <v>1</v>
      </c>
      <c r="V236" t="n">
        <v>0.44</v>
      </c>
      <c r="W236" t="n">
        <v>31.536</v>
      </c>
    </row>
    <row r="237">
      <c r="A237" t="inlineStr">
        <is>
          <t>Commercial</t>
        </is>
      </c>
      <c r="B237" t="inlineStr">
        <is>
          <t>Warehouse</t>
        </is>
      </c>
      <c r="D237" t="inlineStr">
        <is>
          <t>Old</t>
        </is>
      </c>
      <c r="E237" t="inlineStr">
        <is>
          <t>Water heating</t>
        </is>
      </c>
      <c r="F237" t="inlineStr">
        <is>
          <t>Electricity</t>
        </is>
      </c>
      <c r="G237" t="inlineStr">
        <is>
          <t>Electricity</t>
        </is>
      </c>
      <c r="H237" t="inlineStr">
        <is>
          <t>COMELC</t>
        </is>
      </c>
      <c r="I237" t="inlineStr">
        <is>
          <t>COMWAROldWHEUE</t>
        </is>
      </c>
      <c r="J237" t="inlineStr">
        <is>
          <t>COMWAROldWHELC19</t>
        </is>
      </c>
      <c r="K237" t="n">
        <v>32.7335865238675</v>
      </c>
      <c r="L237" t="n">
        <v>48.23117658478787</v>
      </c>
      <c r="M237" t="n">
        <v>1</v>
      </c>
      <c r="N237" t="n">
        <v>48.23117658478787</v>
      </c>
      <c r="O237" t="n">
        <v>47.01333937602197</v>
      </c>
      <c r="P237" t="n">
        <v>3.388143663808604</v>
      </c>
      <c r="Q237" t="inlineStr">
        <is>
          <t>MW</t>
        </is>
      </c>
      <c r="R237" t="n">
        <v>0.9747499999999999</v>
      </c>
      <c r="S237" t="n">
        <v>7.5</v>
      </c>
      <c r="T237" t="n">
        <v>2</v>
      </c>
      <c r="V237" t="n">
        <v>0.44</v>
      </c>
      <c r="W237" t="n">
        <v>31.536</v>
      </c>
    </row>
    <row r="238">
      <c r="A238" t="inlineStr">
        <is>
          <t>Commercial</t>
        </is>
      </c>
      <c r="B238" t="inlineStr">
        <is>
          <t>Warehouse</t>
        </is>
      </c>
      <c r="D238" t="inlineStr">
        <is>
          <t>Old</t>
        </is>
      </c>
      <c r="E238" t="inlineStr">
        <is>
          <t>Lighting</t>
        </is>
      </c>
      <c r="F238" t="inlineStr">
        <is>
          <t>Fluorescent</t>
        </is>
      </c>
      <c r="G238" t="inlineStr">
        <is>
          <t>Electricity</t>
        </is>
      </c>
      <c r="H238" t="inlineStr">
        <is>
          <t>COMELC</t>
        </is>
      </c>
      <c r="I238" t="inlineStr">
        <is>
          <t>COMWAROldLTEUE</t>
        </is>
      </c>
      <c r="J238" t="inlineStr">
        <is>
          <t>COMWAROldLTFLUELC19</t>
        </is>
      </c>
      <c r="K238" t="n">
        <v>32.7335865238675</v>
      </c>
      <c r="L238" t="n">
        <v>1116.267094970827</v>
      </c>
      <c r="M238" t="n">
        <v>0.4809696053463755</v>
      </c>
      <c r="N238" t="n">
        <v>536.8905441292636</v>
      </c>
      <c r="O238" t="n">
        <v>1278.947031803863</v>
      </c>
      <c r="P238" t="n">
        <v>2862.80698932325</v>
      </c>
      <c r="Q238" t="inlineStr">
        <is>
          <t>Mlma</t>
        </is>
      </c>
      <c r="R238" t="n">
        <v>2.382137375650891</v>
      </c>
      <c r="S238" t="n">
        <v>5</v>
      </c>
      <c r="T238" t="n">
        <v>1</v>
      </c>
      <c r="V238" t="n">
        <v>0.4467458115666396</v>
      </c>
      <c r="W238" t="n">
        <v>1</v>
      </c>
    </row>
    <row r="239">
      <c r="A239" t="inlineStr">
        <is>
          <t>Commercial</t>
        </is>
      </c>
      <c r="B239" t="inlineStr">
        <is>
          <t>Warehouse</t>
        </is>
      </c>
      <c r="D239" t="inlineStr">
        <is>
          <t>Old</t>
        </is>
      </c>
      <c r="E239" t="inlineStr">
        <is>
          <t>Lighting</t>
        </is>
      </c>
      <c r="F239" t="inlineStr">
        <is>
          <t>Compact fluorescent</t>
        </is>
      </c>
      <c r="G239" t="inlineStr">
        <is>
          <t>Electricity</t>
        </is>
      </c>
      <c r="H239" t="inlineStr">
        <is>
          <t>COMELC</t>
        </is>
      </c>
      <c r="I239" t="inlineStr">
        <is>
          <t>COMWAROldLTEUE</t>
        </is>
      </c>
      <c r="J239" t="inlineStr">
        <is>
          <t>COMWAROldLTCFLELC19</t>
        </is>
      </c>
      <c r="K239" t="n">
        <v>32.7335865238675</v>
      </c>
      <c r="L239" t="n">
        <v>1116.267094970827</v>
      </c>
      <c r="M239" t="n">
        <v>0.05654903765767925</v>
      </c>
      <c r="N239" t="n">
        <v>63.12382998953351</v>
      </c>
      <c r="O239" t="n">
        <v>86.80044925106102</v>
      </c>
      <c r="P239" t="n">
        <v>282.5789109534676</v>
      </c>
      <c r="Q239" t="inlineStr">
        <is>
          <t>Mlma</t>
        </is>
      </c>
      <c r="R239" t="n">
        <v>1.375082108697354</v>
      </c>
      <c r="S239" t="n">
        <v>5</v>
      </c>
      <c r="T239" t="n">
        <v>5</v>
      </c>
      <c r="V239" t="n">
        <v>0.3071724247155673</v>
      </c>
      <c r="W239" t="n">
        <v>1</v>
      </c>
    </row>
    <row r="240">
      <c r="A240" t="inlineStr">
        <is>
          <t>Commercial</t>
        </is>
      </c>
      <c r="B240" t="inlineStr">
        <is>
          <t>Warehouse</t>
        </is>
      </c>
      <c r="D240" t="inlineStr">
        <is>
          <t>Old</t>
        </is>
      </c>
      <c r="E240" t="inlineStr">
        <is>
          <t>Lighting</t>
        </is>
      </c>
      <c r="F240" t="inlineStr">
        <is>
          <t>Incandescent</t>
        </is>
      </c>
      <c r="G240" t="inlineStr">
        <is>
          <t>Electricity</t>
        </is>
      </c>
      <c r="H240" t="inlineStr">
        <is>
          <t>COMELC</t>
        </is>
      </c>
      <c r="I240" t="inlineStr">
        <is>
          <t>COMWAROldLTEUE</t>
        </is>
      </c>
      <c r="J240" t="inlineStr">
        <is>
          <t>COMWAROldLTINCELC19</t>
        </is>
      </c>
      <c r="K240" t="n">
        <v>32.7335865238675</v>
      </c>
      <c r="L240" t="n">
        <v>1116.267094970827</v>
      </c>
      <c r="M240" t="n">
        <v>0.05410270051685693</v>
      </c>
      <c r="N240" t="n">
        <v>60.39306433602854</v>
      </c>
      <c r="O240" t="n">
        <v>20.20569884619979</v>
      </c>
      <c r="P240" t="n">
        <v>85.88166652450542</v>
      </c>
      <c r="Q240" t="inlineStr">
        <is>
          <t>Mlma</t>
        </is>
      </c>
      <c r="R240" t="n">
        <v>0.3345698561307432</v>
      </c>
      <c r="S240" t="n">
        <v>0.5</v>
      </c>
      <c r="T240" t="n">
        <v>1</v>
      </c>
      <c r="V240" t="n">
        <v>0.2352737163109697</v>
      </c>
      <c r="W240" t="n">
        <v>1</v>
      </c>
    </row>
    <row r="241">
      <c r="A241" t="inlineStr">
        <is>
          <t>Commercial</t>
        </is>
      </c>
      <c r="B241" t="inlineStr">
        <is>
          <t>Warehouse</t>
        </is>
      </c>
      <c r="D241" t="inlineStr">
        <is>
          <t>Old</t>
        </is>
      </c>
      <c r="E241" t="inlineStr">
        <is>
          <t>Lighting</t>
        </is>
      </c>
      <c r="F241" t="inlineStr">
        <is>
          <t>Halogen</t>
        </is>
      </c>
      <c r="G241" t="inlineStr">
        <is>
          <t>Electricity</t>
        </is>
      </c>
      <c r="H241" t="inlineStr">
        <is>
          <t>COMELC</t>
        </is>
      </c>
      <c r="I241" t="inlineStr">
        <is>
          <t>COMWAROldLTEUE</t>
        </is>
      </c>
      <c r="J241" t="inlineStr">
        <is>
          <t>COMWAROldLTHALELC19</t>
        </is>
      </c>
      <c r="K241" t="n">
        <v>32.7335865238675</v>
      </c>
      <c r="L241" t="n">
        <v>1116.267094970827</v>
      </c>
      <c r="M241" t="n">
        <v>0.01444583317597845</v>
      </c>
      <c r="N241" t="n">
        <v>16.12540823378266</v>
      </c>
      <c r="O241" t="n">
        <v>7.283351942315321</v>
      </c>
      <c r="P241" t="n">
        <v>102.6746771192977</v>
      </c>
      <c r="Q241" t="inlineStr">
        <is>
          <t>Mlma</t>
        </is>
      </c>
      <c r="R241" t="n">
        <v>0.4516693057765032</v>
      </c>
      <c r="S241" t="n">
        <v>5</v>
      </c>
      <c r="T241" t="n">
        <v>37</v>
      </c>
      <c r="V241" t="n">
        <v>0.07093620497927441</v>
      </c>
      <c r="W241" t="n">
        <v>1</v>
      </c>
    </row>
    <row r="242">
      <c r="A242" t="inlineStr">
        <is>
          <t>Commercial</t>
        </is>
      </c>
      <c r="B242" t="inlineStr">
        <is>
          <t>Warehouse</t>
        </is>
      </c>
      <c r="D242" t="inlineStr">
        <is>
          <t>Old</t>
        </is>
      </c>
      <c r="E242" t="inlineStr">
        <is>
          <t>Lighting</t>
        </is>
      </c>
      <c r="F242" t="inlineStr">
        <is>
          <t>HID</t>
        </is>
      </c>
      <c r="G242" t="inlineStr">
        <is>
          <t>Electricity</t>
        </is>
      </c>
      <c r="H242" t="inlineStr">
        <is>
          <t>COMELC</t>
        </is>
      </c>
      <c r="I242" t="inlineStr">
        <is>
          <t>COMWAROldLTEUE</t>
        </is>
      </c>
      <c r="J242" t="inlineStr">
        <is>
          <t>COMWAROldLTHIDELC19</t>
        </is>
      </c>
      <c r="K242" t="n">
        <v>32.7335865238675</v>
      </c>
      <c r="L242" t="n">
        <v>1116.267094970827</v>
      </c>
      <c r="M242" t="n">
        <v>0.09137776404462143</v>
      </c>
      <c r="N242" t="n">
        <v>102.0019912150192</v>
      </c>
      <c r="O242" t="n">
        <v>193.0395016157935</v>
      </c>
      <c r="P242" t="n">
        <v>253.1843086795662</v>
      </c>
      <c r="Q242" t="inlineStr">
        <is>
          <t>Mlma</t>
        </is>
      </c>
      <c r="R242" t="n">
        <v>1.892507188500546</v>
      </c>
      <c r="S242" t="n">
        <v>0.5</v>
      </c>
      <c r="T242" t="n">
        <v>1</v>
      </c>
      <c r="V242" t="n">
        <v>0.7624465458485703</v>
      </c>
      <c r="W242" t="n">
        <v>1</v>
      </c>
    </row>
    <row r="243">
      <c r="A243" t="inlineStr">
        <is>
          <t>Commercial</t>
        </is>
      </c>
      <c r="B243" t="inlineStr">
        <is>
          <t>Warehouse</t>
        </is>
      </c>
      <c r="D243" t="inlineStr">
        <is>
          <t>Old</t>
        </is>
      </c>
      <c r="E243" t="inlineStr">
        <is>
          <t>Lighting</t>
        </is>
      </c>
      <c r="F243" t="inlineStr">
        <is>
          <t>LED</t>
        </is>
      </c>
      <c r="G243" t="inlineStr">
        <is>
          <t>Electricity</t>
        </is>
      </c>
      <c r="H243" t="inlineStr">
        <is>
          <t>COMELC</t>
        </is>
      </c>
      <c r="I243" t="inlineStr">
        <is>
          <t>COMWAROldLTEUE</t>
        </is>
      </c>
      <c r="J243" t="inlineStr">
        <is>
          <t>COMWAROldLTLEDELC19</t>
        </is>
      </c>
      <c r="K243" t="n">
        <v>32.7335865238675</v>
      </c>
      <c r="L243" t="n">
        <v>1116.267094970827</v>
      </c>
      <c r="M243" t="n">
        <v>0.302555059258488</v>
      </c>
      <c r="N243" t="n">
        <v>337.7322570671988</v>
      </c>
      <c r="O243" t="n">
        <v>639.160724288188</v>
      </c>
      <c r="P243" t="n">
        <v>1853.479564437349</v>
      </c>
      <c r="Q243" t="inlineStr">
        <is>
          <t>Mlma</t>
        </is>
      </c>
      <c r="R243" t="n">
        <v>1.892507188500546</v>
      </c>
      <c r="S243" t="n">
        <v>5</v>
      </c>
      <c r="T243" t="n">
        <v>2</v>
      </c>
      <c r="V243" t="n">
        <v>0.3448436856557491</v>
      </c>
      <c r="W243" t="n">
        <v>1</v>
      </c>
    </row>
    <row r="244">
      <c r="A244" t="inlineStr">
        <is>
          <t>Commercial</t>
        </is>
      </c>
      <c r="B244" t="inlineStr">
        <is>
          <t>Warehouse</t>
        </is>
      </c>
      <c r="D244" t="inlineStr">
        <is>
          <t>Old</t>
        </is>
      </c>
      <c r="E244" t="inlineStr">
        <is>
          <t>Lighting</t>
        </is>
      </c>
      <c r="F244" t="inlineStr">
        <is>
          <t>Other lighting</t>
        </is>
      </c>
      <c r="G244" t="inlineStr">
        <is>
          <t>Electricity</t>
        </is>
      </c>
      <c r="H244" t="inlineStr">
        <is>
          <t>COMELC</t>
        </is>
      </c>
      <c r="I244" t="inlineStr">
        <is>
          <t>COMWAROldLTEUE</t>
        </is>
      </c>
      <c r="J244" t="inlineStr">
        <is>
          <t>COMWAROldLTOTHELC19</t>
        </is>
      </c>
      <c r="K244" t="n">
        <v>32.7335865238675</v>
      </c>
      <c r="L244" t="n">
        <v>1116.267094970827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Mlma</t>
        </is>
      </c>
      <c r="R244" t="n">
        <v>0.9635611856565404</v>
      </c>
      <c r="S244" t="n">
        <v>0.5</v>
      </c>
      <c r="T244" t="n">
        <v>1</v>
      </c>
      <c r="V244" t="n">
        <v>0</v>
      </c>
      <c r="W244" t="n">
        <v>1</v>
      </c>
    </row>
    <row r="245">
      <c r="A245" t="inlineStr">
        <is>
          <t>Commercial</t>
        </is>
      </c>
      <c r="B245" t="inlineStr">
        <is>
          <t>Warehouse</t>
        </is>
      </c>
      <c r="D245" t="inlineStr">
        <is>
          <t>Old</t>
        </is>
      </c>
      <c r="E245" t="inlineStr">
        <is>
          <t>Cooking</t>
        </is>
      </c>
      <c r="F245" t="inlineStr">
        <is>
          <t>Fuel oil</t>
        </is>
      </c>
      <c r="G245" t="inlineStr">
        <is>
          <t>Fuel oil</t>
        </is>
      </c>
      <c r="H245" t="inlineStr">
        <is>
          <t>COMFOI</t>
        </is>
      </c>
      <c r="I245" t="inlineStr">
        <is>
          <t>COMWAROldCKEUE</t>
        </is>
      </c>
      <c r="J245" t="inlineStr">
        <is>
          <t>COMWAROldCKFOI19</t>
        </is>
      </c>
      <c r="K245" t="n">
        <v>32.7335865238675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inlineStr">
        <is>
          <t>MW</t>
        </is>
      </c>
      <c r="R245" t="n">
        <v>0.45</v>
      </c>
      <c r="S245" t="n">
        <v>6</v>
      </c>
      <c r="T245" t="n">
        <v>8</v>
      </c>
      <c r="V245" t="n">
        <v>0.44</v>
      </c>
      <c r="W245" t="n">
        <v>31.536</v>
      </c>
    </row>
    <row r="246">
      <c r="A246" t="inlineStr">
        <is>
          <t>Commercial</t>
        </is>
      </c>
      <c r="B246" t="inlineStr">
        <is>
          <t>Warehouse</t>
        </is>
      </c>
      <c r="D246" t="inlineStr">
        <is>
          <t>Old</t>
        </is>
      </c>
      <c r="E246" t="inlineStr">
        <is>
          <t>Cooking</t>
        </is>
      </c>
      <c r="F246" t="inlineStr">
        <is>
          <t>Natural gas</t>
        </is>
      </c>
      <c r="G246" t="inlineStr">
        <is>
          <t>Natural gas</t>
        </is>
      </c>
      <c r="H246" t="inlineStr">
        <is>
          <t>COMNGA</t>
        </is>
      </c>
      <c r="I246" t="inlineStr">
        <is>
          <t>COMWAROldCKEUE</t>
        </is>
      </c>
      <c r="J246" t="inlineStr">
        <is>
          <t>COMWAROldCKNGA19</t>
        </is>
      </c>
      <c r="K246" t="n">
        <v>32.7335865238675</v>
      </c>
      <c r="L246" t="n">
        <v>45.4583600851895</v>
      </c>
      <c r="M246" t="n">
        <v>1</v>
      </c>
      <c r="N246" t="n">
        <v>45.4583600851895</v>
      </c>
      <c r="O246" t="n">
        <v>20.45626203833528</v>
      </c>
      <c r="P246" t="n">
        <v>1.474235940911345</v>
      </c>
      <c r="Q246" t="inlineStr">
        <is>
          <t>MW</t>
        </is>
      </c>
      <c r="R246" t="n">
        <v>0.45</v>
      </c>
      <c r="S246" t="n">
        <v>6</v>
      </c>
      <c r="T246" t="n">
        <v>8</v>
      </c>
      <c r="V246" t="n">
        <v>0.44</v>
      </c>
      <c r="W246" t="n">
        <v>31.536</v>
      </c>
    </row>
    <row r="247">
      <c r="A247" t="inlineStr">
        <is>
          <t>Commercial</t>
        </is>
      </c>
      <c r="B247" t="inlineStr">
        <is>
          <t>Warehouse</t>
        </is>
      </c>
      <c r="D247" t="inlineStr">
        <is>
          <t>Old</t>
        </is>
      </c>
      <c r="E247" t="inlineStr">
        <is>
          <t>Cooking</t>
        </is>
      </c>
      <c r="F247" t="inlineStr">
        <is>
          <t>Steam / Cooling</t>
        </is>
      </c>
      <c r="G247" t="inlineStr">
        <is>
          <t>Steam / Cooling</t>
        </is>
      </c>
      <c r="H247" t="inlineStr">
        <is>
          <t>COMSTM</t>
        </is>
      </c>
      <c r="I247" t="inlineStr">
        <is>
          <t>COMWAROldCKEUE</t>
        </is>
      </c>
      <c r="J247" t="inlineStr">
        <is>
          <t>COMWAROldCKSTM19</t>
        </is>
      </c>
      <c r="K247" t="n">
        <v>32.7335865238675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inlineStr">
        <is>
          <t>MW</t>
        </is>
      </c>
      <c r="R247" t="n">
        <v>0.7</v>
      </c>
      <c r="S247" t="n">
        <v>6</v>
      </c>
      <c r="T247" t="n">
        <v>8</v>
      </c>
      <c r="V247" t="n">
        <v>0.44</v>
      </c>
      <c r="W247" t="n">
        <v>31.536</v>
      </c>
    </row>
    <row r="248">
      <c r="A248" t="inlineStr">
        <is>
          <t>Commercial</t>
        </is>
      </c>
      <c r="B248" t="inlineStr">
        <is>
          <t>Warehouse</t>
        </is>
      </c>
      <c r="D248" t="inlineStr">
        <is>
          <t>Old</t>
        </is>
      </c>
      <c r="E248" t="inlineStr">
        <is>
          <t>Cooking</t>
        </is>
      </c>
      <c r="F248" t="inlineStr">
        <is>
          <t>Electricity</t>
        </is>
      </c>
      <c r="G248" t="inlineStr">
        <is>
          <t>Electricity</t>
        </is>
      </c>
      <c r="H248" t="inlineStr">
        <is>
          <t>COMELC</t>
        </is>
      </c>
      <c r="I248" t="inlineStr">
        <is>
          <t>COMWAROldCKEUE</t>
        </is>
      </c>
      <c r="J248" t="inlineStr">
        <is>
          <t>COMWAROldCKELC19</t>
        </is>
      </c>
      <c r="K248" t="n">
        <v>32.7335865238675</v>
      </c>
      <c r="L248" t="n">
        <v>1.624793526081081</v>
      </c>
      <c r="M248" t="n">
        <v>1</v>
      </c>
      <c r="N248" t="n">
        <v>1.624793526081081</v>
      </c>
      <c r="O248" t="n">
        <v>1.137355468256756</v>
      </c>
      <c r="P248" t="n">
        <v>0.08196660297731571</v>
      </c>
      <c r="Q248" t="inlineStr">
        <is>
          <t>MW</t>
        </is>
      </c>
      <c r="R248" t="n">
        <v>0.7</v>
      </c>
      <c r="S248" t="n">
        <v>6</v>
      </c>
      <c r="T248" t="n">
        <v>8</v>
      </c>
      <c r="V248" t="n">
        <v>0.44</v>
      </c>
      <c r="W248" t="n">
        <v>31.536</v>
      </c>
    </row>
    <row r="249">
      <c r="A249" t="inlineStr">
        <is>
          <t>Commercial</t>
        </is>
      </c>
      <c r="B249" t="inlineStr">
        <is>
          <t>Warehouse</t>
        </is>
      </c>
      <c r="D249" t="inlineStr">
        <is>
          <t>Old</t>
        </is>
      </c>
      <c r="E249" t="inlineStr">
        <is>
          <t>Refrigeration</t>
        </is>
      </c>
      <c r="F249" t="inlineStr">
        <is>
          <t>Electricity</t>
        </is>
      </c>
      <c r="G249" t="inlineStr">
        <is>
          <t>Electricity</t>
        </is>
      </c>
      <c r="H249" t="inlineStr">
        <is>
          <t>COMELC</t>
        </is>
      </c>
      <c r="I249" t="inlineStr">
        <is>
          <t>COMWAROldREEUE</t>
        </is>
      </c>
      <c r="J249" t="inlineStr">
        <is>
          <t>COMWAROldREELC19</t>
        </is>
      </c>
      <c r="K249" t="n">
        <v>32.7335865238675</v>
      </c>
      <c r="L249" t="n">
        <v>429.1871545319278</v>
      </c>
      <c r="M249" t="n">
        <v>1</v>
      </c>
      <c r="N249" t="n">
        <v>429.1871545319278</v>
      </c>
      <c r="O249" t="n">
        <v>429.1871545319278</v>
      </c>
      <c r="P249" t="n">
        <v>30.93053498252558</v>
      </c>
      <c r="Q249" t="inlineStr">
        <is>
          <t>MW</t>
        </is>
      </c>
      <c r="R249" t="n">
        <v>1</v>
      </c>
      <c r="S249" t="n">
        <v>5</v>
      </c>
      <c r="T249" t="n">
        <v>500</v>
      </c>
      <c r="V249" t="n">
        <v>0.44</v>
      </c>
      <c r="W249" t="n">
        <v>31.536</v>
      </c>
    </row>
    <row r="250">
      <c r="A250" t="inlineStr">
        <is>
          <t>Commercial</t>
        </is>
      </c>
      <c r="B250" t="inlineStr">
        <is>
          <t>Warehouse</t>
        </is>
      </c>
      <c r="D250" t="inlineStr">
        <is>
          <t>Old</t>
        </is>
      </c>
      <c r="E250" t="inlineStr">
        <is>
          <t>Other end use</t>
        </is>
      </c>
      <c r="F250" t="inlineStr">
        <is>
          <t>Fuel oil</t>
        </is>
      </c>
      <c r="G250" t="inlineStr">
        <is>
          <t>Fuel oil</t>
        </is>
      </c>
      <c r="H250" t="inlineStr">
        <is>
          <t>COMFOI</t>
        </is>
      </c>
      <c r="I250" t="inlineStr">
        <is>
          <t>COMWAROldOEEUE</t>
        </is>
      </c>
      <c r="J250" t="inlineStr">
        <is>
          <t>COMWAROldOEFOI19</t>
        </is>
      </c>
      <c r="K250" t="n">
        <v>32.7335865238675</v>
      </c>
      <c r="L250" t="n">
        <v>91.45753392164153</v>
      </c>
      <c r="M250" t="n">
        <v>1</v>
      </c>
      <c r="N250" t="n">
        <v>91.45753392164153</v>
      </c>
      <c r="O250" t="n">
        <v>91.45753392164153</v>
      </c>
      <c r="P250" t="n">
        <v>207.8580316400944</v>
      </c>
      <c r="Q250" t="inlineStr">
        <is>
          <t>TJa</t>
        </is>
      </c>
      <c r="R250" t="n">
        <v>1</v>
      </c>
      <c r="S250" t="n">
        <v>12.5</v>
      </c>
      <c r="T250" t="n">
        <v>10</v>
      </c>
      <c r="V250" t="n">
        <v>0.44</v>
      </c>
      <c r="W250" t="n">
        <v>1</v>
      </c>
    </row>
    <row r="251">
      <c r="A251" t="inlineStr">
        <is>
          <t>Commercial</t>
        </is>
      </c>
      <c r="B251" t="inlineStr">
        <is>
          <t>Warehouse</t>
        </is>
      </c>
      <c r="D251" t="inlineStr">
        <is>
          <t>Old</t>
        </is>
      </c>
      <c r="E251" t="inlineStr">
        <is>
          <t>Other end use</t>
        </is>
      </c>
      <c r="F251" t="inlineStr">
        <is>
          <t>Natural gas</t>
        </is>
      </c>
      <c r="G251" t="inlineStr">
        <is>
          <t>Natural gas</t>
        </is>
      </c>
      <c r="H251" t="inlineStr">
        <is>
          <t>COMNGA</t>
        </is>
      </c>
      <c r="I251" t="inlineStr">
        <is>
          <t>COMWAROldOEEUE</t>
        </is>
      </c>
      <c r="J251" t="inlineStr">
        <is>
          <t>COMWAROldOENGA19</t>
        </is>
      </c>
      <c r="K251" t="n">
        <v>32.7335865238675</v>
      </c>
      <c r="L251" t="n">
        <v>386.3479754191224</v>
      </c>
      <c r="M251" t="n">
        <v>1</v>
      </c>
      <c r="N251" t="n">
        <v>386.3479754191224</v>
      </c>
      <c r="O251" t="n">
        <v>386.3479754191224</v>
      </c>
      <c r="P251" t="n">
        <v>878.0635804980054</v>
      </c>
      <c r="Q251" t="inlineStr">
        <is>
          <t>TJa</t>
        </is>
      </c>
      <c r="R251" t="n">
        <v>1</v>
      </c>
      <c r="S251" t="n">
        <v>12.5</v>
      </c>
      <c r="T251" t="n">
        <v>10</v>
      </c>
      <c r="V251" t="n">
        <v>0.44</v>
      </c>
      <c r="W251" t="n">
        <v>1</v>
      </c>
    </row>
    <row r="252">
      <c r="A252" t="inlineStr">
        <is>
          <t>Commercial</t>
        </is>
      </c>
      <c r="B252" t="inlineStr">
        <is>
          <t>Warehouse</t>
        </is>
      </c>
      <c r="D252" t="inlineStr">
        <is>
          <t>Old</t>
        </is>
      </c>
      <c r="E252" t="inlineStr">
        <is>
          <t>Other end use</t>
        </is>
      </c>
      <c r="F252" t="inlineStr">
        <is>
          <t>Steam / Cooling</t>
        </is>
      </c>
      <c r="G252" t="inlineStr">
        <is>
          <t>Steam / Cooling</t>
        </is>
      </c>
      <c r="H252" t="inlineStr">
        <is>
          <t>COMSTM</t>
        </is>
      </c>
      <c r="I252" t="inlineStr">
        <is>
          <t>COMWAROldOEEUE</t>
        </is>
      </c>
      <c r="J252" t="inlineStr">
        <is>
          <t>COMWAROldOESTM19</t>
        </is>
      </c>
      <c r="K252" t="n">
        <v>32.7335865238675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inlineStr">
        <is>
          <t>TJa</t>
        </is>
      </c>
      <c r="R252" t="n">
        <v>1</v>
      </c>
      <c r="S252" t="n">
        <v>12.5</v>
      </c>
      <c r="T252" t="n">
        <v>10</v>
      </c>
      <c r="V252" t="n">
        <v>0.44</v>
      </c>
      <c r="W252" t="n">
        <v>1</v>
      </c>
    </row>
    <row r="253">
      <c r="A253" t="inlineStr">
        <is>
          <t>Commercial</t>
        </is>
      </c>
      <c r="B253" t="inlineStr">
        <is>
          <t>Warehouse</t>
        </is>
      </c>
      <c r="D253" t="inlineStr">
        <is>
          <t>Old</t>
        </is>
      </c>
      <c r="E253" t="inlineStr">
        <is>
          <t>Other end use</t>
        </is>
      </c>
      <c r="F253" t="inlineStr">
        <is>
          <t>Electricity</t>
        </is>
      </c>
      <c r="G253" t="inlineStr">
        <is>
          <t>Electricity</t>
        </is>
      </c>
      <c r="H253" t="inlineStr">
        <is>
          <t>COMELC</t>
        </is>
      </c>
      <c r="I253" t="inlineStr">
        <is>
          <t>COMWAROldOEEUE</t>
        </is>
      </c>
      <c r="J253" t="inlineStr">
        <is>
          <t>COMWAROldOEELC19</t>
        </is>
      </c>
      <c r="K253" t="n">
        <v>32.7335865238675</v>
      </c>
      <c r="L253" t="n">
        <v>1139.404035475064</v>
      </c>
      <c r="M253" t="n">
        <v>1</v>
      </c>
      <c r="N253" t="n">
        <v>1139.404035475064</v>
      </c>
      <c r="O253" t="n">
        <v>1139.404035475064</v>
      </c>
      <c r="P253" t="n">
        <v>2589.55462607969</v>
      </c>
      <c r="Q253" t="inlineStr">
        <is>
          <t>TJa</t>
        </is>
      </c>
      <c r="R253" t="n">
        <v>1</v>
      </c>
      <c r="S253" t="n">
        <v>12.5</v>
      </c>
      <c r="T253" t="n">
        <v>10</v>
      </c>
      <c r="V253" t="n">
        <v>0.44</v>
      </c>
      <c r="W253" t="n">
        <v>1</v>
      </c>
    </row>
    <row r="254">
      <c r="A254" t="inlineStr">
        <is>
          <t>Commercial</t>
        </is>
      </c>
      <c r="B254" t="inlineStr">
        <is>
          <t>Municipal</t>
        </is>
      </c>
      <c r="D254" t="inlineStr">
        <is>
          <t>Old</t>
        </is>
      </c>
      <c r="E254" t="inlineStr">
        <is>
          <t>Space heating</t>
        </is>
      </c>
      <c r="F254" t="inlineStr">
        <is>
          <t>Electric furnace</t>
        </is>
      </c>
      <c r="G254" t="inlineStr">
        <is>
          <t>Electricity</t>
        </is>
      </c>
      <c r="H254" t="inlineStr">
        <is>
          <t>COMELC</t>
        </is>
      </c>
      <c r="I254" t="inlineStr">
        <is>
          <t>COMMUNOldSHEUE</t>
        </is>
      </c>
      <c r="J254" t="inlineStr">
        <is>
          <t>COMMUNOldSHFURELC19</t>
        </is>
      </c>
      <c r="K254" t="n">
        <v>16.8413328459163</v>
      </c>
      <c r="L254" t="n">
        <v>542.1670173985773</v>
      </c>
      <c r="M254" t="n">
        <v>0.8623710900321674</v>
      </c>
      <c r="N254" t="n">
        <v>467.5491617735001</v>
      </c>
      <c r="O254" t="n">
        <v>458.1981785380301</v>
      </c>
      <c r="P254" t="n">
        <v>69.29121631944085</v>
      </c>
      <c r="Q254" t="inlineStr">
        <is>
          <t>MW</t>
        </is>
      </c>
      <c r="R254" t="n">
        <v>0.98</v>
      </c>
      <c r="S254" t="n">
        <v>7.5</v>
      </c>
      <c r="T254" t="n">
        <v>1</v>
      </c>
      <c r="V254" t="n">
        <v>0.2096855806629028</v>
      </c>
      <c r="W254" t="n">
        <v>31.536</v>
      </c>
    </row>
    <row r="255">
      <c r="A255" t="inlineStr">
        <is>
          <t>Commercial</t>
        </is>
      </c>
      <c r="B255" t="inlineStr">
        <is>
          <t>Municipal</t>
        </is>
      </c>
      <c r="D255" t="inlineStr">
        <is>
          <t>Old</t>
        </is>
      </c>
      <c r="E255" t="inlineStr">
        <is>
          <t>Space heating</t>
        </is>
      </c>
      <c r="F255" t="inlineStr">
        <is>
          <t>Electric boiler</t>
        </is>
      </c>
      <c r="G255" t="inlineStr">
        <is>
          <t>Electricity</t>
        </is>
      </c>
      <c r="H255" t="inlineStr">
        <is>
          <t>COMELC</t>
        </is>
      </c>
      <c r="I255" t="inlineStr">
        <is>
          <t>COMMUNOldSHEUE</t>
        </is>
      </c>
      <c r="J255" t="inlineStr">
        <is>
          <t>COMMUNOldSHBOIELC19</t>
        </is>
      </c>
      <c r="K255" t="n">
        <v>16.8413328459163</v>
      </c>
      <c r="L255" t="n">
        <v>542.1670173985773</v>
      </c>
      <c r="M255" t="n">
        <v>0.06273525209773752</v>
      </c>
      <c r="N255" t="n">
        <v>34.01298451557819</v>
      </c>
      <c r="O255" t="n">
        <v>31.87356778954832</v>
      </c>
      <c r="P255" t="n">
        <v>15.54106596745028</v>
      </c>
      <c r="Q255" t="inlineStr">
        <is>
          <t>MW</t>
        </is>
      </c>
      <c r="R255" t="n">
        <v>0.9370999999999999</v>
      </c>
      <c r="S255" t="n">
        <v>7.5</v>
      </c>
      <c r="T255" t="n">
        <v>1</v>
      </c>
      <c r="V255" t="n">
        <v>0.06503441955036086</v>
      </c>
      <c r="W255" t="n">
        <v>31.536</v>
      </c>
    </row>
    <row r="256">
      <c r="A256" t="inlineStr">
        <is>
          <t>Commercial</t>
        </is>
      </c>
      <c r="B256" t="inlineStr">
        <is>
          <t>Municipal</t>
        </is>
      </c>
      <c r="D256" t="inlineStr">
        <is>
          <t>Old</t>
        </is>
      </c>
      <c r="E256" t="inlineStr">
        <is>
          <t>Space heating</t>
        </is>
      </c>
      <c r="F256" t="inlineStr">
        <is>
          <t>Electric air heat pump</t>
        </is>
      </c>
      <c r="G256" t="inlineStr">
        <is>
          <t>Electricity</t>
        </is>
      </c>
      <c r="H256" t="inlineStr">
        <is>
          <t>COMELC</t>
        </is>
      </c>
      <c r="I256" t="inlineStr">
        <is>
          <t>COMMUNOldSHEUE</t>
        </is>
      </c>
      <c r="J256" t="inlineStr">
        <is>
          <t>COMMUNOldSHAHPELC19</t>
        </is>
      </c>
      <c r="K256" t="n">
        <v>16.8413328459163</v>
      </c>
      <c r="L256" t="n">
        <v>542.1670173985773</v>
      </c>
      <c r="M256" t="n">
        <v>0.07489365787009511</v>
      </c>
      <c r="N256" t="n">
        <v>40.60487110949895</v>
      </c>
      <c r="O256" t="n">
        <v>125.8751004394468</v>
      </c>
      <c r="P256" t="n">
        <v>15.54871381308135</v>
      </c>
      <c r="Q256" t="inlineStr">
        <is>
          <t>MW</t>
        </is>
      </c>
      <c r="R256" t="n">
        <v>3.1</v>
      </c>
      <c r="S256" t="n">
        <v>10.5</v>
      </c>
      <c r="T256" t="n">
        <v>14.33104807576899</v>
      </c>
      <c r="V256" t="n">
        <v>0.2567076157458277</v>
      </c>
      <c r="W256" t="n">
        <v>31.536</v>
      </c>
    </row>
    <row r="257">
      <c r="A257" t="inlineStr">
        <is>
          <t>Commercial</t>
        </is>
      </c>
      <c r="B257" t="inlineStr">
        <is>
          <t>Municipal</t>
        </is>
      </c>
      <c r="D257" t="inlineStr">
        <is>
          <t>Old</t>
        </is>
      </c>
      <c r="E257" t="inlineStr">
        <is>
          <t>Space heating</t>
        </is>
      </c>
      <c r="F257" t="inlineStr">
        <is>
          <t>Electric ground heat pump</t>
        </is>
      </c>
      <c r="G257" t="inlineStr">
        <is>
          <t>Electricity</t>
        </is>
      </c>
      <c r="H257" t="inlineStr">
        <is>
          <t>COMELC</t>
        </is>
      </c>
      <c r="I257" t="inlineStr">
        <is>
          <t>COMMUNOldSHEUE</t>
        </is>
      </c>
      <c r="J257" t="inlineStr">
        <is>
          <t>COMMUNOldSHGHPELC19</t>
        </is>
      </c>
      <c r="K257" t="n">
        <v>16.8413328459163</v>
      </c>
      <c r="L257" t="n">
        <v>542.1670173985773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MW</t>
        </is>
      </c>
      <c r="R257" t="n">
        <v>3.4</v>
      </c>
      <c r="S257" t="n">
        <v>7.2</v>
      </c>
      <c r="T257" t="n">
        <v>13.00195893970977</v>
      </c>
      <c r="V257" t="n">
        <v>0.2815502882373594</v>
      </c>
      <c r="W257" t="n">
        <v>31.536</v>
      </c>
    </row>
    <row r="258">
      <c r="A258" t="inlineStr">
        <is>
          <t>Commercial</t>
        </is>
      </c>
      <c r="B258" t="inlineStr">
        <is>
          <t>Municipal</t>
        </is>
      </c>
      <c r="D258" t="inlineStr">
        <is>
          <t>Old</t>
        </is>
      </c>
      <c r="E258" t="inlineStr">
        <is>
          <t>Space heating</t>
        </is>
      </c>
      <c r="F258" t="inlineStr">
        <is>
          <t>Natural gas furnace</t>
        </is>
      </c>
      <c r="G258" t="inlineStr">
        <is>
          <t>Natural gas</t>
        </is>
      </c>
      <c r="H258" t="inlineStr">
        <is>
          <t>COMNGA</t>
        </is>
      </c>
      <c r="I258" t="inlineStr">
        <is>
          <t>COMMUNOldSHEUE</t>
        </is>
      </c>
      <c r="J258" t="inlineStr">
        <is>
          <t>COMMUNOldSHFURNGA19</t>
        </is>
      </c>
      <c r="K258" t="n">
        <v>16.8413328459163</v>
      </c>
      <c r="L258" t="n">
        <v>10204.90341706753</v>
      </c>
      <c r="M258" t="n">
        <v>0.5122845487672718</v>
      </c>
      <c r="N258" t="n">
        <v>5227.814342226033</v>
      </c>
      <c r="O258" t="n">
        <v>3714.362090151596</v>
      </c>
      <c r="P258" t="n">
        <v>366.7781241498706</v>
      </c>
      <c r="Q258" t="inlineStr">
        <is>
          <t>MW</t>
        </is>
      </c>
      <c r="R258" t="n">
        <v>0.7105</v>
      </c>
      <c r="S258" t="n">
        <v>11.5</v>
      </c>
      <c r="T258" t="n">
        <v>2.023541839846751</v>
      </c>
      <c r="V258" t="n">
        <v>0.321125065744</v>
      </c>
      <c r="W258" t="n">
        <v>31.536</v>
      </c>
    </row>
    <row r="259">
      <c r="A259" t="inlineStr">
        <is>
          <t>Commercial</t>
        </is>
      </c>
      <c r="B259" t="inlineStr">
        <is>
          <t>Municipal</t>
        </is>
      </c>
      <c r="D259" t="inlineStr">
        <is>
          <t>Old</t>
        </is>
      </c>
      <c r="E259" t="inlineStr">
        <is>
          <t>Space heating</t>
        </is>
      </c>
      <c r="F259" t="inlineStr">
        <is>
          <t>Natural gas boiler</t>
        </is>
      </c>
      <c r="G259" t="inlineStr">
        <is>
          <t>Natural gas</t>
        </is>
      </c>
      <c r="H259" t="inlineStr">
        <is>
          <t>COMNGA</t>
        </is>
      </c>
      <c r="I259" t="inlineStr">
        <is>
          <t>COMMUNOldSHEUE</t>
        </is>
      </c>
      <c r="J259" t="inlineStr">
        <is>
          <t>COMMUNOldSHBOINGA19</t>
        </is>
      </c>
      <c r="K259" t="n">
        <v>16.8413328459163</v>
      </c>
      <c r="L259" t="n">
        <v>10204.90341706753</v>
      </c>
      <c r="M259" t="n">
        <v>0.4739289234983655</v>
      </c>
      <c r="N259" t="n">
        <v>4836.398890855608</v>
      </c>
      <c r="O259" t="n">
        <v>3675.663157050262</v>
      </c>
      <c r="P259" t="n">
        <v>734.6806585970326</v>
      </c>
      <c r="Q259" t="inlineStr">
        <is>
          <t>MW</t>
        </is>
      </c>
      <c r="R259" t="n">
        <v>0.76</v>
      </c>
      <c r="S259" t="n">
        <v>12.5</v>
      </c>
      <c r="T259" t="n">
        <v>11.35759354439353</v>
      </c>
      <c r="V259" t="n">
        <v>0.1586464986502124</v>
      </c>
      <c r="W259" t="n">
        <v>31.536</v>
      </c>
    </row>
    <row r="260">
      <c r="A260" t="inlineStr">
        <is>
          <t>Commercial</t>
        </is>
      </c>
      <c r="B260" t="inlineStr">
        <is>
          <t>Municipal</t>
        </is>
      </c>
      <c r="D260" t="inlineStr">
        <is>
          <t>Old</t>
        </is>
      </c>
      <c r="E260" t="inlineStr">
        <is>
          <t>Space heating</t>
        </is>
      </c>
      <c r="F260" t="inlineStr">
        <is>
          <t>Natural gas heat pump</t>
        </is>
      </c>
      <c r="G260" t="inlineStr">
        <is>
          <t>Natural gas</t>
        </is>
      </c>
      <c r="H260" t="inlineStr">
        <is>
          <t>COMNGA</t>
        </is>
      </c>
      <c r="I260" t="inlineStr">
        <is>
          <t>COMMUNOldSHEUE</t>
        </is>
      </c>
      <c r="J260" t="inlineStr">
        <is>
          <t>COMMUNOldSHAHPNGA19</t>
        </is>
      </c>
      <c r="K260" t="n">
        <v>16.8413328459163</v>
      </c>
      <c r="L260" t="n">
        <v>10204.90341706753</v>
      </c>
      <c r="M260" t="n">
        <v>0.01378652773436265</v>
      </c>
      <c r="N260" t="n">
        <v>140.6901839858937</v>
      </c>
      <c r="O260" t="n">
        <v>182.8972391816619</v>
      </c>
      <c r="P260" t="n">
        <v>18.40127614657551</v>
      </c>
      <c r="Q260" t="inlineStr">
        <is>
          <t>MW</t>
        </is>
      </c>
      <c r="R260" t="n">
        <v>1.3</v>
      </c>
      <c r="S260" t="n">
        <v>7.5</v>
      </c>
      <c r="T260" t="n">
        <v>12</v>
      </c>
      <c r="V260" t="n">
        <v>0.3151756086185714</v>
      </c>
      <c r="W260" t="n">
        <v>31.536</v>
      </c>
    </row>
    <row r="261">
      <c r="A261" t="inlineStr">
        <is>
          <t>Commercial</t>
        </is>
      </c>
      <c r="B261" t="inlineStr">
        <is>
          <t>Municipal</t>
        </is>
      </c>
      <c r="D261" t="inlineStr">
        <is>
          <t>Old</t>
        </is>
      </c>
      <c r="E261" t="inlineStr">
        <is>
          <t>Space heating</t>
        </is>
      </c>
      <c r="F261" t="inlineStr">
        <is>
          <t>Fuel oil boiler</t>
        </is>
      </c>
      <c r="G261" t="inlineStr">
        <is>
          <t>Fuel oil</t>
        </is>
      </c>
      <c r="H261" t="inlineStr">
        <is>
          <t>COMFOI</t>
        </is>
      </c>
      <c r="I261" t="inlineStr">
        <is>
          <t>COMMUNOldSHEUE</t>
        </is>
      </c>
      <c r="J261" t="inlineStr">
        <is>
          <t>COMMUNOldSHBOIFOI19</t>
        </is>
      </c>
      <c r="K261" t="n">
        <v>16.8413328459163</v>
      </c>
      <c r="L261" t="n">
        <v>2676.062154525077</v>
      </c>
      <c r="M261" t="n">
        <v>0.9928323595134653</v>
      </c>
      <c r="N261" t="n">
        <v>2656.88110308182</v>
      </c>
      <c r="O261" t="n">
        <v>2098.936071434638</v>
      </c>
      <c r="P261" t="n">
        <v>402.1595115597214</v>
      </c>
      <c r="Q261" t="inlineStr">
        <is>
          <t>MW</t>
        </is>
      </c>
      <c r="R261" t="n">
        <v>0.79</v>
      </c>
      <c r="S261" t="n">
        <v>12.5</v>
      </c>
      <c r="T261" t="n">
        <v>14</v>
      </c>
      <c r="V261" t="n">
        <v>0.1654985753147569</v>
      </c>
      <c r="W261" t="n">
        <v>31.536</v>
      </c>
    </row>
    <row r="262">
      <c r="A262" t="inlineStr">
        <is>
          <t>Commercial</t>
        </is>
      </c>
      <c r="B262" t="inlineStr">
        <is>
          <t>Municipal</t>
        </is>
      </c>
      <c r="D262" t="inlineStr">
        <is>
          <t>Old</t>
        </is>
      </c>
      <c r="E262" t="inlineStr">
        <is>
          <t>Space heating</t>
        </is>
      </c>
      <c r="F262" t="inlineStr">
        <is>
          <t>Fuel oil furnace</t>
        </is>
      </c>
      <c r="G262" t="inlineStr">
        <is>
          <t>Fuel oil</t>
        </is>
      </c>
      <c r="H262" t="inlineStr">
        <is>
          <t>COMFOI</t>
        </is>
      </c>
      <c r="I262" t="inlineStr">
        <is>
          <t>COMMUNOldSHEUE</t>
        </is>
      </c>
      <c r="J262" t="inlineStr">
        <is>
          <t>COMMUNOldSHFURFOI19</t>
        </is>
      </c>
      <c r="K262" t="n">
        <v>16.8413328459163</v>
      </c>
      <c r="L262" t="n">
        <v>2676.062154525077</v>
      </c>
      <c r="M262" t="n">
        <v>0.007167640486534757</v>
      </c>
      <c r="N262" t="n">
        <v>19.18105144325737</v>
      </c>
      <c r="O262" t="n">
        <v>14.58718962259723</v>
      </c>
      <c r="P262" t="n">
        <v>2.903344929765464</v>
      </c>
      <c r="Q262" t="inlineStr">
        <is>
          <t>MW</t>
        </is>
      </c>
      <c r="R262" t="n">
        <v>0.7605</v>
      </c>
      <c r="S262" t="n">
        <v>11.5</v>
      </c>
      <c r="T262" t="n">
        <v>4</v>
      </c>
      <c r="V262" t="n">
        <v>0.1593185652238894</v>
      </c>
      <c r="W262" t="n">
        <v>31.536</v>
      </c>
    </row>
    <row r="263">
      <c r="A263" t="inlineStr">
        <is>
          <t>Commercial</t>
        </is>
      </c>
      <c r="B263" t="inlineStr">
        <is>
          <t>Municipal</t>
        </is>
      </c>
      <c r="D263" t="inlineStr">
        <is>
          <t>Old</t>
        </is>
      </c>
      <c r="E263" t="inlineStr">
        <is>
          <t>Space heating</t>
        </is>
      </c>
      <c r="F263" t="inlineStr">
        <is>
          <t>Propane furnace</t>
        </is>
      </c>
      <c r="G263" t="inlineStr">
        <is>
          <t>LPG</t>
        </is>
      </c>
      <c r="H263" t="inlineStr">
        <is>
          <t>COMLPG</t>
        </is>
      </c>
      <c r="I263" t="inlineStr">
        <is>
          <t>COMMUNOldSHEUE</t>
        </is>
      </c>
      <c r="J263" t="inlineStr">
        <is>
          <t>COMMUNOldSHFURPRO19</t>
        </is>
      </c>
      <c r="K263" t="n">
        <v>16.8413328459163</v>
      </c>
      <c r="L263" t="n">
        <v>0</v>
      </c>
      <c r="M263" t="n">
        <v>0.4319054429372911</v>
      </c>
      <c r="N263" t="n">
        <v>0</v>
      </c>
      <c r="O263" t="n">
        <v>0</v>
      </c>
      <c r="P263" t="n">
        <v>0</v>
      </c>
      <c r="Q263" t="inlineStr">
        <is>
          <t>MW</t>
        </is>
      </c>
      <c r="R263" t="n">
        <v>0.7105</v>
      </c>
      <c r="S263" t="n">
        <v>11.5</v>
      </c>
      <c r="T263" t="n">
        <v>2.023541839846751</v>
      </c>
      <c r="V263" t="n">
        <v>0.321125065744</v>
      </c>
      <c r="W263" t="n">
        <v>31.536</v>
      </c>
    </row>
    <row r="264">
      <c r="A264" t="inlineStr">
        <is>
          <t>Commercial</t>
        </is>
      </c>
      <c r="B264" t="inlineStr">
        <is>
          <t>Municipal</t>
        </is>
      </c>
      <c r="D264" t="inlineStr">
        <is>
          <t>Old</t>
        </is>
      </c>
      <c r="E264" t="inlineStr">
        <is>
          <t>Space heating</t>
        </is>
      </c>
      <c r="F264" t="inlineStr">
        <is>
          <t>Propane boiler</t>
        </is>
      </c>
      <c r="G264" t="inlineStr">
        <is>
          <t>LPG</t>
        </is>
      </c>
      <c r="H264" t="inlineStr">
        <is>
          <t>COMLPG</t>
        </is>
      </c>
      <c r="I264" t="inlineStr">
        <is>
          <t>COMMUNOldSHEUE</t>
        </is>
      </c>
      <c r="J264" t="inlineStr">
        <is>
          <t>COMMUNOldSHBOIPRO19</t>
        </is>
      </c>
      <c r="K264" t="n">
        <v>16.8413328459163</v>
      </c>
      <c r="L264" t="n">
        <v>0</v>
      </c>
      <c r="M264" t="n">
        <v>0.07831311448189841</v>
      </c>
      <c r="N264" t="n">
        <v>0</v>
      </c>
      <c r="O264" t="n">
        <v>0</v>
      </c>
      <c r="P264" t="n">
        <v>0</v>
      </c>
      <c r="Q264" t="inlineStr">
        <is>
          <t>MW</t>
        </is>
      </c>
      <c r="R264" t="n">
        <v>0.76</v>
      </c>
      <c r="S264" t="n">
        <v>12.5</v>
      </c>
      <c r="T264" t="n">
        <v>11.35759354439353</v>
      </c>
      <c r="V264" t="n">
        <v>0.1586464986502124</v>
      </c>
      <c r="W264" t="n">
        <v>31.536</v>
      </c>
    </row>
    <row r="265">
      <c r="A265" t="inlineStr">
        <is>
          <t>Commercial</t>
        </is>
      </c>
      <c r="B265" t="inlineStr">
        <is>
          <t>Municipal</t>
        </is>
      </c>
      <c r="D265" t="inlineStr">
        <is>
          <t>Old</t>
        </is>
      </c>
      <c r="E265" t="inlineStr">
        <is>
          <t>Space heating</t>
        </is>
      </c>
      <c r="F265" t="inlineStr">
        <is>
          <t>Propane heat pump</t>
        </is>
      </c>
      <c r="G265" t="inlineStr">
        <is>
          <t>LPG</t>
        </is>
      </c>
      <c r="H265" t="inlineStr">
        <is>
          <t>COMLPG</t>
        </is>
      </c>
      <c r="I265" t="inlineStr">
        <is>
          <t>COMMUNOldSHEUE</t>
        </is>
      </c>
      <c r="J265" t="inlineStr">
        <is>
          <t>COMMUNOldSHAHPPRO19</t>
        </is>
      </c>
      <c r="K265" t="n">
        <v>16.8413328459163</v>
      </c>
      <c r="L265" t="n">
        <v>0</v>
      </c>
      <c r="M265" t="n">
        <v>0.4897814425808105</v>
      </c>
      <c r="N265" t="n">
        <v>0</v>
      </c>
      <c r="O265" t="n">
        <v>0</v>
      </c>
      <c r="P265" t="n">
        <v>0</v>
      </c>
      <c r="Q265" t="inlineStr">
        <is>
          <t>MW</t>
        </is>
      </c>
      <c r="R265" t="n">
        <v>1.3</v>
      </c>
      <c r="S265" t="n">
        <v>7.5</v>
      </c>
      <c r="T265" t="n">
        <v>12</v>
      </c>
      <c r="V265" t="n">
        <v>0.3151756086185714</v>
      </c>
      <c r="W265" t="n">
        <v>31.536</v>
      </c>
    </row>
    <row r="266">
      <c r="A266" t="inlineStr">
        <is>
          <t>Commercial</t>
        </is>
      </c>
      <c r="B266" t="inlineStr">
        <is>
          <t>Municipal</t>
        </is>
      </c>
      <c r="D266" t="inlineStr">
        <is>
          <t>Old</t>
        </is>
      </c>
      <c r="E266" t="inlineStr">
        <is>
          <t>Space heating</t>
        </is>
      </c>
      <c r="F266" t="inlineStr">
        <is>
          <t>District steam heating system</t>
        </is>
      </c>
      <c r="G266" t="inlineStr">
        <is>
          <t>Steam / Cooling</t>
        </is>
      </c>
      <c r="H266" t="inlineStr">
        <is>
          <t>COMSTM</t>
        </is>
      </c>
      <c r="I266" t="inlineStr">
        <is>
          <t>COMMUNOldSHEUE</t>
        </is>
      </c>
      <c r="J266" t="inlineStr">
        <is>
          <t>COMMUNOldSHDHESTM19</t>
        </is>
      </c>
      <c r="K266" t="n">
        <v>16.8413328459163</v>
      </c>
      <c r="L266" t="n">
        <v>460.8036468552305</v>
      </c>
      <c r="M266" t="n">
        <v>1</v>
      </c>
      <c r="N266" t="n">
        <v>460.8036468552305</v>
      </c>
      <c r="O266" t="n">
        <v>431.8190974680364</v>
      </c>
      <c r="P266" t="n">
        <v>58.6045999212696</v>
      </c>
      <c r="Q266" t="inlineStr">
        <is>
          <t>MW</t>
        </is>
      </c>
      <c r="R266" t="n">
        <v>0.9370999999999999</v>
      </c>
      <c r="S266" t="n">
        <v>12.5</v>
      </c>
      <c r="T266" t="n">
        <v>1</v>
      </c>
      <c r="V266" t="n">
        <v>0.2336487882132744</v>
      </c>
      <c r="W266" t="n">
        <v>31.536</v>
      </c>
    </row>
    <row r="267">
      <c r="A267" t="inlineStr">
        <is>
          <t>Commercial</t>
        </is>
      </c>
      <c r="B267" t="inlineStr">
        <is>
          <t>Municipal</t>
        </is>
      </c>
      <c r="D267" t="inlineStr">
        <is>
          <t>Old</t>
        </is>
      </c>
      <c r="E267" t="inlineStr">
        <is>
          <t>Space cooling</t>
        </is>
      </c>
      <c r="F267" t="inlineStr">
        <is>
          <t>Res type central AC electric</t>
        </is>
      </c>
      <c r="G267" t="inlineStr">
        <is>
          <t>Electricity</t>
        </is>
      </c>
      <c r="H267" t="inlineStr">
        <is>
          <t>COMELC</t>
        </is>
      </c>
      <c r="I267" t="inlineStr">
        <is>
          <t>COMMUNOldSCEUE</t>
        </is>
      </c>
      <c r="J267" t="inlineStr">
        <is>
          <t>COMMUNOldSCRESELC19</t>
        </is>
      </c>
      <c r="K267" t="n">
        <v>16.8413328459163</v>
      </c>
      <c r="L267" t="n">
        <v>3009.699280918201</v>
      </c>
      <c r="M267" t="n">
        <v>0.01416603023636518</v>
      </c>
      <c r="N267" t="n">
        <v>42.63549101585376</v>
      </c>
      <c r="O267" t="n">
        <v>142.4515233237787</v>
      </c>
      <c r="P267" t="n">
        <v>38.75711752800265</v>
      </c>
      <c r="Q267" t="inlineStr">
        <is>
          <t>MW</t>
        </is>
      </c>
      <c r="R267" t="n">
        <v>3.341148886283705</v>
      </c>
      <c r="S267" t="n">
        <v>9</v>
      </c>
      <c r="T267" t="n">
        <v>8</v>
      </c>
      <c r="V267" t="n">
        <v>0.116549125953542</v>
      </c>
      <c r="W267" t="n">
        <v>31.536</v>
      </c>
    </row>
    <row r="268">
      <c r="A268" t="inlineStr">
        <is>
          <t>Commercial</t>
        </is>
      </c>
      <c r="B268" t="inlineStr">
        <is>
          <t>Municipal</t>
        </is>
      </c>
      <c r="D268" t="inlineStr">
        <is>
          <t>Old</t>
        </is>
      </c>
      <c r="E268" t="inlineStr">
        <is>
          <t>Space cooling</t>
        </is>
      </c>
      <c r="F268" t="inlineStr">
        <is>
          <t>Room AC electric</t>
        </is>
      </c>
      <c r="G268" t="inlineStr">
        <is>
          <t>Electricity</t>
        </is>
      </c>
      <c r="H268" t="inlineStr">
        <is>
          <t>COMELC</t>
        </is>
      </c>
      <c r="I268" t="inlineStr">
        <is>
          <t>COMMUNOldSCEUE</t>
        </is>
      </c>
      <c r="J268" t="inlineStr">
        <is>
          <t>COMMUNOldSCRACELC19</t>
        </is>
      </c>
      <c r="K268" t="n">
        <v>16.8413328459163</v>
      </c>
      <c r="L268" t="n">
        <v>3009.699280918201</v>
      </c>
      <c r="M268" t="n">
        <v>0.2798036155352613</v>
      </c>
      <c r="N268" t="n">
        <v>842.1247404747887</v>
      </c>
      <c r="O268" t="n">
        <v>2147.270000624461</v>
      </c>
      <c r="P268" t="n">
        <v>411.243240837421</v>
      </c>
      <c r="Q268" t="inlineStr">
        <is>
          <t>MW</t>
        </is>
      </c>
      <c r="R268" t="n">
        <v>2.549824150058616</v>
      </c>
      <c r="S268" t="n">
        <v>5</v>
      </c>
      <c r="T268" t="n">
        <v>0</v>
      </c>
      <c r="V268" t="n">
        <v>0.1655698581553049</v>
      </c>
      <c r="W268" t="n">
        <v>31.536</v>
      </c>
    </row>
    <row r="269">
      <c r="A269" t="inlineStr">
        <is>
          <t>Commercial</t>
        </is>
      </c>
      <c r="B269" t="inlineStr">
        <is>
          <t>Municipal</t>
        </is>
      </c>
      <c r="D269" t="inlineStr">
        <is>
          <t>Old</t>
        </is>
      </c>
      <c r="E269" t="inlineStr">
        <is>
          <t>Space cooling</t>
        </is>
      </c>
      <c r="F269" t="inlineStr">
        <is>
          <t>Central AC electric</t>
        </is>
      </c>
      <c r="G269" t="inlineStr">
        <is>
          <t>Electricity</t>
        </is>
      </c>
      <c r="H269" t="inlineStr">
        <is>
          <t>COMELC</t>
        </is>
      </c>
      <c r="I269" t="inlineStr">
        <is>
          <t>COMMUNOldSCEUE</t>
        </is>
      </c>
      <c r="J269" t="inlineStr">
        <is>
          <t>COMMUNOldSCCACELC19</t>
        </is>
      </c>
      <c r="K269" t="n">
        <v>16.8413328459163</v>
      </c>
      <c r="L269" t="n">
        <v>3009.699280918201</v>
      </c>
      <c r="M269" t="n">
        <v>0.6602856027473194</v>
      </c>
      <c r="N269" t="n">
        <v>1987.261103789248</v>
      </c>
      <c r="O269" t="n">
        <v>6077.560845474024</v>
      </c>
      <c r="P269" t="n">
        <v>777.7474764747856</v>
      </c>
      <c r="Q269" t="inlineStr">
        <is>
          <t>MW</t>
        </is>
      </c>
      <c r="R269" t="n">
        <v>3.058259850145268</v>
      </c>
      <c r="S269" t="n">
        <v>9</v>
      </c>
      <c r="T269" t="n">
        <v>8</v>
      </c>
      <c r="V269" t="n">
        <v>0.2477901838424051</v>
      </c>
      <c r="W269" t="n">
        <v>31.536</v>
      </c>
    </row>
    <row r="270">
      <c r="A270" t="inlineStr">
        <is>
          <t>Commercial</t>
        </is>
      </c>
      <c r="B270" t="inlineStr">
        <is>
          <t>Municipal</t>
        </is>
      </c>
      <c r="D270" t="inlineStr">
        <is>
          <t>Old</t>
        </is>
      </c>
      <c r="E270" t="inlineStr">
        <is>
          <t>Space cooling</t>
        </is>
      </c>
      <c r="F270" t="inlineStr">
        <is>
          <t>Rooftop Air HP electric</t>
        </is>
      </c>
      <c r="G270" t="inlineStr">
        <is>
          <t>Electricity</t>
        </is>
      </c>
      <c r="H270" t="inlineStr">
        <is>
          <t>COMELC</t>
        </is>
      </c>
      <c r="I270" t="inlineStr">
        <is>
          <t>COMMUNOldSCEUE</t>
        </is>
      </c>
      <c r="J270" t="inlineStr">
        <is>
          <t>COMMUNOldSCAHPELC19</t>
        </is>
      </c>
      <c r="K270" t="n">
        <v>16.8413328459163</v>
      </c>
      <c r="L270" t="n">
        <v>3009.699280918201</v>
      </c>
      <c r="M270" t="n">
        <v>0.03627782605382725</v>
      </c>
      <c r="N270" t="n">
        <v>109.1853469874794</v>
      </c>
      <c r="O270" t="n">
        <v>297.6036714488742</v>
      </c>
      <c r="P270" t="n">
        <v>50.04246250674624</v>
      </c>
      <c r="Q270" t="inlineStr">
        <is>
          <t>MW</t>
        </is>
      </c>
      <c r="R270" t="n">
        <v>2.72567409144197</v>
      </c>
      <c r="S270" t="n">
        <v>10.5</v>
      </c>
      <c r="T270" t="n">
        <v>14</v>
      </c>
      <c r="V270" t="n">
        <v>0.1885788596829387</v>
      </c>
      <c r="W270" t="n">
        <v>31.536</v>
      </c>
    </row>
    <row r="271">
      <c r="A271" t="inlineStr">
        <is>
          <t>Commercial</t>
        </is>
      </c>
      <c r="B271" t="inlineStr">
        <is>
          <t>Municipal</t>
        </is>
      </c>
      <c r="D271" t="inlineStr">
        <is>
          <t>Old</t>
        </is>
      </c>
      <c r="E271" t="inlineStr">
        <is>
          <t>Space cooling</t>
        </is>
      </c>
      <c r="F271" t="inlineStr">
        <is>
          <t>Rooftop Air AC electric</t>
        </is>
      </c>
      <c r="G271" t="inlineStr">
        <is>
          <t>Electricity</t>
        </is>
      </c>
      <c r="H271" t="inlineStr">
        <is>
          <t>COMELC</t>
        </is>
      </c>
      <c r="I271" t="inlineStr">
        <is>
          <t>COMMUNOldSCEUE</t>
        </is>
      </c>
      <c r="J271" t="inlineStr">
        <is>
          <t>COMMUNOldSCAACELC19</t>
        </is>
      </c>
      <c r="K271" t="n">
        <v>16.8413328459163</v>
      </c>
      <c r="L271" t="n">
        <v>3009.699280918201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MW</t>
        </is>
      </c>
      <c r="R271" t="n">
        <v>2.696365767878077</v>
      </c>
      <c r="S271" t="n">
        <v>10.5</v>
      </c>
      <c r="T271" t="n">
        <v>14</v>
      </c>
      <c r="V271" t="n">
        <v>0.1159432860673217</v>
      </c>
      <c r="W271" t="n">
        <v>31.536</v>
      </c>
    </row>
    <row r="272">
      <c r="A272" t="inlineStr">
        <is>
          <t>Commercial</t>
        </is>
      </c>
      <c r="B272" t="inlineStr">
        <is>
          <t>Municipal</t>
        </is>
      </c>
      <c r="D272" t="inlineStr">
        <is>
          <t>Old</t>
        </is>
      </c>
      <c r="E272" t="inlineStr">
        <is>
          <t>Space cooling</t>
        </is>
      </c>
      <c r="F272" t="inlineStr">
        <is>
          <t>Res type central AC gas</t>
        </is>
      </c>
      <c r="G272" t="inlineStr">
        <is>
          <t>Electricity</t>
        </is>
      </c>
      <c r="H272" t="inlineStr">
        <is>
          <t>COMELC</t>
        </is>
      </c>
      <c r="I272" t="inlineStr">
        <is>
          <t>COMMUNOldSCEUE</t>
        </is>
      </c>
      <c r="J272" t="inlineStr">
        <is>
          <t>COMMUNOldSCRESNGA19</t>
        </is>
      </c>
      <c r="K272" t="n">
        <v>16.8413328459163</v>
      </c>
      <c r="L272" t="n">
        <v>3009.699280918201</v>
      </c>
      <c r="M272" t="n">
        <v>0.009466925427227197</v>
      </c>
      <c r="N272" t="n">
        <v>28.49259865083193</v>
      </c>
      <c r="O272" t="n">
        <v>17.09555919049916</v>
      </c>
      <c r="P272" t="n">
        <v>31.83865635480661</v>
      </c>
      <c r="Q272" t="inlineStr">
        <is>
          <t>MW</t>
        </is>
      </c>
      <c r="R272" t="n">
        <v>0.6</v>
      </c>
      <c r="S272" t="n">
        <v>7.5</v>
      </c>
      <c r="T272" t="n">
        <v>12</v>
      </c>
      <c r="V272" t="n">
        <v>0.01702636630565674</v>
      </c>
      <c r="W272" t="n">
        <v>31.536</v>
      </c>
    </row>
    <row r="273">
      <c r="A273" t="inlineStr">
        <is>
          <t>Commercial</t>
        </is>
      </c>
      <c r="B273" t="inlineStr">
        <is>
          <t>Municipal</t>
        </is>
      </c>
      <c r="D273" t="inlineStr">
        <is>
          <t>Old</t>
        </is>
      </c>
      <c r="E273" t="inlineStr">
        <is>
          <t>Space cooling</t>
        </is>
      </c>
      <c r="F273" t="inlineStr">
        <is>
          <t>Absorption chiller</t>
        </is>
      </c>
      <c r="G273" t="inlineStr">
        <is>
          <t>Electricity</t>
        </is>
      </c>
      <c r="H273" t="inlineStr">
        <is>
          <t>COMELC</t>
        </is>
      </c>
      <c r="I273" t="inlineStr">
        <is>
          <t>COMMUNOldSCEUE</t>
        </is>
      </c>
      <c r="J273" t="inlineStr">
        <is>
          <t>COMMUNOldSCACHSTM19</t>
        </is>
      </c>
      <c r="K273" t="n">
        <v>16.8413328459163</v>
      </c>
      <c r="L273" t="n">
        <v>3009.699280918201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MW</t>
        </is>
      </c>
      <c r="R273" t="n">
        <v>1</v>
      </c>
      <c r="S273" t="n">
        <v>11.5</v>
      </c>
      <c r="T273" t="n">
        <v>10</v>
      </c>
      <c r="V273" t="n">
        <v>0</v>
      </c>
      <c r="W273" t="n">
        <v>31.536</v>
      </c>
    </row>
    <row r="274">
      <c r="A274" t="inlineStr">
        <is>
          <t>Commercial</t>
        </is>
      </c>
      <c r="B274" t="inlineStr">
        <is>
          <t>Municipal</t>
        </is>
      </c>
      <c r="D274" t="inlineStr">
        <is>
          <t>Old</t>
        </is>
      </c>
      <c r="E274" t="inlineStr">
        <is>
          <t>Space cooling</t>
        </is>
      </c>
      <c r="F274" t="inlineStr">
        <is>
          <t>District chilled water</t>
        </is>
      </c>
      <c r="G274" t="inlineStr">
        <is>
          <t>Electricity</t>
        </is>
      </c>
      <c r="H274" t="inlineStr">
        <is>
          <t>COMELC</t>
        </is>
      </c>
      <c r="I274" t="inlineStr">
        <is>
          <t>COMMUNOldSCEUE</t>
        </is>
      </c>
      <c r="J274" t="inlineStr">
        <is>
          <t>COMMUNOldSCDCOCHI19</t>
        </is>
      </c>
      <c r="K274" t="n">
        <v>16.8413328459163</v>
      </c>
      <c r="L274" t="n">
        <v>3009.699280918201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MW</t>
        </is>
      </c>
      <c r="R274" t="n">
        <v>1</v>
      </c>
      <c r="S274" t="n">
        <v>12.5</v>
      </c>
      <c r="T274" t="n">
        <v>1</v>
      </c>
      <c r="V274" t="n">
        <v>0</v>
      </c>
      <c r="W274" t="n">
        <v>31.536</v>
      </c>
    </row>
    <row r="275">
      <c r="A275" t="inlineStr">
        <is>
          <t>Commercial</t>
        </is>
      </c>
      <c r="B275" t="inlineStr">
        <is>
          <t>Municipal</t>
        </is>
      </c>
      <c r="D275" t="inlineStr">
        <is>
          <t>Old</t>
        </is>
      </c>
      <c r="E275" t="inlineStr">
        <is>
          <t>Ventilation</t>
        </is>
      </c>
      <c r="F275" t="inlineStr">
        <is>
          <t>Electricity</t>
        </is>
      </c>
      <c r="G275" t="inlineStr">
        <is>
          <t>Electricity</t>
        </is>
      </c>
      <c r="H275" t="inlineStr">
        <is>
          <t>COMELC</t>
        </is>
      </c>
      <c r="I275" t="inlineStr">
        <is>
          <t>COMMUNOldVTEUE</t>
        </is>
      </c>
      <c r="J275" t="inlineStr">
        <is>
          <t>COMMUNOldVTELC19</t>
        </is>
      </c>
      <c r="K275" t="n">
        <v>16.8413328459163</v>
      </c>
      <c r="L275" t="n">
        <v>1616.399023132287</v>
      </c>
      <c r="M275" t="n">
        <v>1</v>
      </c>
      <c r="N275" t="n">
        <v>1616.399023132287</v>
      </c>
      <c r="O275" t="n">
        <v>1616.399023132287</v>
      </c>
      <c r="P275" t="n">
        <v>116.4901745142843</v>
      </c>
      <c r="Q275" t="inlineStr">
        <is>
          <t>MW</t>
        </is>
      </c>
      <c r="R275" t="n">
        <v>1</v>
      </c>
      <c r="S275" t="n">
        <v>10</v>
      </c>
      <c r="T275" t="n">
        <v>97</v>
      </c>
      <c r="V275" t="n">
        <v>0.44</v>
      </c>
      <c r="W275" t="n">
        <v>31.536</v>
      </c>
    </row>
    <row r="276">
      <c r="A276" t="inlineStr">
        <is>
          <t>Commercial</t>
        </is>
      </c>
      <c r="B276" t="inlineStr">
        <is>
          <t>Municipal</t>
        </is>
      </c>
      <c r="D276" t="inlineStr">
        <is>
          <t>Old</t>
        </is>
      </c>
      <c r="E276" t="inlineStr">
        <is>
          <t>Water heating</t>
        </is>
      </c>
      <c r="F276" t="inlineStr">
        <is>
          <t>Fuel oil</t>
        </is>
      </c>
      <c r="G276" t="inlineStr">
        <is>
          <t>Fuel oil</t>
        </is>
      </c>
      <c r="H276" t="inlineStr">
        <is>
          <t>COMFOI</t>
        </is>
      </c>
      <c r="I276" t="inlineStr">
        <is>
          <t>COMMUNOldWHEUE</t>
        </is>
      </c>
      <c r="J276" t="inlineStr">
        <is>
          <t>COMMUNOldWHFOI19</t>
        </is>
      </c>
      <c r="K276" t="n">
        <v>16.8413328459163</v>
      </c>
      <c r="L276" t="n">
        <v>0.839333506472742</v>
      </c>
      <c r="M276" t="n">
        <v>1</v>
      </c>
      <c r="N276" t="n">
        <v>0.839333506472742</v>
      </c>
      <c r="O276" t="n">
        <v>0.6546801350487388</v>
      </c>
      <c r="P276" t="n">
        <v>0.04718129749613276</v>
      </c>
      <c r="Q276" t="inlineStr">
        <is>
          <t>MW</t>
        </is>
      </c>
      <c r="R276" t="n">
        <v>0.78</v>
      </c>
      <c r="S276" t="n">
        <v>6.5</v>
      </c>
      <c r="T276" t="n">
        <v>6</v>
      </c>
      <c r="V276" t="n">
        <v>0.44</v>
      </c>
      <c r="W276" t="n">
        <v>31.536</v>
      </c>
    </row>
    <row r="277">
      <c r="A277" t="inlineStr">
        <is>
          <t>Commercial</t>
        </is>
      </c>
      <c r="B277" t="inlineStr">
        <is>
          <t>Municipal</t>
        </is>
      </c>
      <c r="D277" t="inlineStr">
        <is>
          <t>Old</t>
        </is>
      </c>
      <c r="E277" t="inlineStr">
        <is>
          <t>Water heating</t>
        </is>
      </c>
      <c r="F277" t="inlineStr">
        <is>
          <t>Natural gas</t>
        </is>
      </c>
      <c r="G277" t="inlineStr">
        <is>
          <t>Natural gas</t>
        </is>
      </c>
      <c r="H277" t="inlineStr">
        <is>
          <t>COMNGA</t>
        </is>
      </c>
      <c r="I277" t="inlineStr">
        <is>
          <t>COMMUNOldWHEUE</t>
        </is>
      </c>
      <c r="J277" t="inlineStr">
        <is>
          <t>COMMUNOldWHNGA19</t>
        </is>
      </c>
      <c r="K277" t="n">
        <v>16.8413328459163</v>
      </c>
      <c r="L277" t="n">
        <v>363.0609802365701</v>
      </c>
      <c r="M277" t="n">
        <v>1</v>
      </c>
      <c r="N277" t="n">
        <v>363.0609802365701</v>
      </c>
      <c r="O277" t="n">
        <v>279.556954782159</v>
      </c>
      <c r="P277" t="n">
        <v>20.14702928126578</v>
      </c>
      <c r="Q277" t="inlineStr">
        <is>
          <t>MW</t>
        </is>
      </c>
      <c r="R277" t="n">
        <v>0.77</v>
      </c>
      <c r="S277" t="n">
        <v>5</v>
      </c>
      <c r="T277" t="n">
        <v>7</v>
      </c>
      <c r="V277" t="n">
        <v>0.44</v>
      </c>
      <c r="W277" t="n">
        <v>31.536</v>
      </c>
    </row>
    <row r="278">
      <c r="A278" t="inlineStr">
        <is>
          <t>Commercial</t>
        </is>
      </c>
      <c r="B278" t="inlineStr">
        <is>
          <t>Municipal</t>
        </is>
      </c>
      <c r="D278" t="inlineStr">
        <is>
          <t>Old</t>
        </is>
      </c>
      <c r="E278" t="inlineStr">
        <is>
          <t>Water heating</t>
        </is>
      </c>
      <c r="F278" t="inlineStr">
        <is>
          <t>Steam / Cooling</t>
        </is>
      </c>
      <c r="G278" t="inlineStr">
        <is>
          <t>Steam / Cooling</t>
        </is>
      </c>
      <c r="H278" t="inlineStr">
        <is>
          <t>COMSTM</t>
        </is>
      </c>
      <c r="I278" t="inlineStr">
        <is>
          <t>COMMUNOldWHEUE</t>
        </is>
      </c>
      <c r="J278" t="inlineStr">
        <is>
          <t>COMMUNOldWHSTM19</t>
        </is>
      </c>
      <c r="K278" t="n">
        <v>16.8413328459163</v>
      </c>
      <c r="L278" t="n">
        <v>11.13976094766926</v>
      </c>
      <c r="M278" t="n">
        <v>1</v>
      </c>
      <c r="N278" t="n">
        <v>11.13976094766926</v>
      </c>
      <c r="O278" t="n">
        <v>10.85848198374061</v>
      </c>
      <c r="P278" t="n">
        <v>0.7825459203724322</v>
      </c>
      <c r="Q278" t="inlineStr">
        <is>
          <t>MW</t>
        </is>
      </c>
      <c r="R278" t="n">
        <v>0.9747499999999999</v>
      </c>
      <c r="S278" t="n">
        <v>12.5</v>
      </c>
      <c r="T278" t="n">
        <v>1</v>
      </c>
      <c r="V278" t="n">
        <v>0.44</v>
      </c>
      <c r="W278" t="n">
        <v>31.536</v>
      </c>
    </row>
    <row r="279">
      <c r="A279" t="inlineStr">
        <is>
          <t>Commercial</t>
        </is>
      </c>
      <c r="B279" t="inlineStr">
        <is>
          <t>Municipal</t>
        </is>
      </c>
      <c r="D279" t="inlineStr">
        <is>
          <t>Old</t>
        </is>
      </c>
      <c r="E279" t="inlineStr">
        <is>
          <t>Water heating</t>
        </is>
      </c>
      <c r="F279" t="inlineStr">
        <is>
          <t>Electricity</t>
        </is>
      </c>
      <c r="G279" t="inlineStr">
        <is>
          <t>Electricity</t>
        </is>
      </c>
      <c r="H279" t="inlineStr">
        <is>
          <t>COMELC</t>
        </is>
      </c>
      <c r="I279" t="inlineStr">
        <is>
          <t>COMMUNOldWHEUE</t>
        </is>
      </c>
      <c r="J279" t="inlineStr">
        <is>
          <t>COMMUNOldWHELC19</t>
        </is>
      </c>
      <c r="K279" t="n">
        <v>16.8413328459163</v>
      </c>
      <c r="L279" t="n">
        <v>175.1386224414746</v>
      </c>
      <c r="M279" t="n">
        <v>1</v>
      </c>
      <c r="N279" t="n">
        <v>175.1386224414746</v>
      </c>
      <c r="O279" t="n">
        <v>170.7163722248273</v>
      </c>
      <c r="P279" t="n">
        <v>12.303137844255</v>
      </c>
      <c r="Q279" t="inlineStr">
        <is>
          <t>MW</t>
        </is>
      </c>
      <c r="R279" t="n">
        <v>0.9747499999999999</v>
      </c>
      <c r="S279" t="n">
        <v>7.5</v>
      </c>
      <c r="T279" t="n">
        <v>2</v>
      </c>
      <c r="V279" t="n">
        <v>0.44</v>
      </c>
      <c r="W279" t="n">
        <v>31.536</v>
      </c>
    </row>
    <row r="280">
      <c r="A280" t="inlineStr">
        <is>
          <t>Commercial</t>
        </is>
      </c>
      <c r="B280" t="inlineStr">
        <is>
          <t>Municipal</t>
        </is>
      </c>
      <c r="D280" t="inlineStr">
        <is>
          <t>Old</t>
        </is>
      </c>
      <c r="E280" t="inlineStr">
        <is>
          <t>Lighting</t>
        </is>
      </c>
      <c r="F280" t="inlineStr">
        <is>
          <t>Fluorescent</t>
        </is>
      </c>
      <c r="G280" t="inlineStr">
        <is>
          <t>Electricity</t>
        </is>
      </c>
      <c r="H280" t="inlineStr">
        <is>
          <t>COMELC</t>
        </is>
      </c>
      <c r="I280" t="inlineStr">
        <is>
          <t>COMMUNOldLTEUE</t>
        </is>
      </c>
      <c r="J280" t="inlineStr">
        <is>
          <t>COMMUNOldLTFLUELC19</t>
        </is>
      </c>
      <c r="K280" t="n">
        <v>16.8413328459163</v>
      </c>
      <c r="L280" t="n">
        <v>1807.312098692172</v>
      </c>
      <c r="M280" t="n">
        <v>0.428225736496967</v>
      </c>
      <c r="N280" t="n">
        <v>773.9375545423346</v>
      </c>
      <c r="O280" t="n">
        <v>1843.625575095146</v>
      </c>
      <c r="P280" t="n">
        <v>3440.699425523042</v>
      </c>
      <c r="Q280" t="inlineStr">
        <is>
          <t>Mlma</t>
        </is>
      </c>
      <c r="R280" t="n">
        <v>2.382137375650891</v>
      </c>
      <c r="S280" t="n">
        <v>5</v>
      </c>
      <c r="T280" t="n">
        <v>1</v>
      </c>
      <c r="V280" t="n">
        <v>0.5358287217474351</v>
      </c>
      <c r="W280" t="n">
        <v>1</v>
      </c>
    </row>
    <row r="281">
      <c r="A281" t="inlineStr">
        <is>
          <t>Commercial</t>
        </is>
      </c>
      <c r="B281" t="inlineStr">
        <is>
          <t>Municipal</t>
        </is>
      </c>
      <c r="D281" t="inlineStr">
        <is>
          <t>Old</t>
        </is>
      </c>
      <c r="E281" t="inlineStr">
        <is>
          <t>Lighting</t>
        </is>
      </c>
      <c r="F281" t="inlineStr">
        <is>
          <t>Compact fluorescent</t>
        </is>
      </c>
      <c r="G281" t="inlineStr">
        <is>
          <t>Electricity</t>
        </is>
      </c>
      <c r="H281" t="inlineStr">
        <is>
          <t>COMELC</t>
        </is>
      </c>
      <c r="I281" t="inlineStr">
        <is>
          <t>COMMUNOldLTEUE</t>
        </is>
      </c>
      <c r="J281" t="inlineStr">
        <is>
          <t>COMMUNOldLTCFLELC19</t>
        </is>
      </c>
      <c r="K281" t="n">
        <v>16.8413328459163</v>
      </c>
      <c r="L281" t="n">
        <v>1807.312098692172</v>
      </c>
      <c r="M281" t="n">
        <v>0.07330183823196973</v>
      </c>
      <c r="N281" t="n">
        <v>132.4792990930153</v>
      </c>
      <c r="O281" t="n">
        <v>182.169913955571</v>
      </c>
      <c r="P281" t="n">
        <v>856.3464799533207</v>
      </c>
      <c r="Q281" t="inlineStr">
        <is>
          <t>Mlma</t>
        </is>
      </c>
      <c r="R281" t="n">
        <v>1.375082108697354</v>
      </c>
      <c r="S281" t="n">
        <v>5</v>
      </c>
      <c r="T281" t="n">
        <v>5</v>
      </c>
      <c r="V281" t="n">
        <v>0.212729214424401</v>
      </c>
      <c r="W281" t="n">
        <v>1</v>
      </c>
    </row>
    <row r="282">
      <c r="A282" t="inlineStr">
        <is>
          <t>Commercial</t>
        </is>
      </c>
      <c r="B282" t="inlineStr">
        <is>
          <t>Municipal</t>
        </is>
      </c>
      <c r="D282" t="inlineStr">
        <is>
          <t>Old</t>
        </is>
      </c>
      <c r="E282" t="inlineStr">
        <is>
          <t>Lighting</t>
        </is>
      </c>
      <c r="F282" t="inlineStr">
        <is>
          <t>Incandescent</t>
        </is>
      </c>
      <c r="G282" t="inlineStr">
        <is>
          <t>Electricity</t>
        </is>
      </c>
      <c r="H282" t="inlineStr">
        <is>
          <t>COMELC</t>
        </is>
      </c>
      <c r="I282" t="inlineStr">
        <is>
          <t>COMMUNOldLTEUE</t>
        </is>
      </c>
      <c r="J282" t="inlineStr">
        <is>
          <t>COMMUNOldLTINCELC19</t>
        </is>
      </c>
      <c r="K282" t="n">
        <v>16.8413328459163</v>
      </c>
      <c r="L282" t="n">
        <v>1807.312098692172</v>
      </c>
      <c r="M282" t="n">
        <v>0.03547738389009175</v>
      </c>
      <c r="N282" t="n">
        <v>64.11870513450958</v>
      </c>
      <c r="O282" t="n">
        <v>21.45218595214241</v>
      </c>
      <c r="P282" t="n">
        <v>392.2774411599769</v>
      </c>
      <c r="Q282" t="inlineStr">
        <is>
          <t>Mlma</t>
        </is>
      </c>
      <c r="R282" t="n">
        <v>0.3345698561307432</v>
      </c>
      <c r="S282" t="n">
        <v>0.5</v>
      </c>
      <c r="T282" t="n">
        <v>1</v>
      </c>
      <c r="V282" t="n">
        <v>0.05468625952261648</v>
      </c>
      <c r="W282" t="n">
        <v>1</v>
      </c>
    </row>
    <row r="283">
      <c r="A283" t="inlineStr">
        <is>
          <t>Commercial</t>
        </is>
      </c>
      <c r="B283" t="inlineStr">
        <is>
          <t>Municipal</t>
        </is>
      </c>
      <c r="D283" t="inlineStr">
        <is>
          <t>Old</t>
        </is>
      </c>
      <c r="E283" t="inlineStr">
        <is>
          <t>Lighting</t>
        </is>
      </c>
      <c r="F283" t="inlineStr">
        <is>
          <t>Halogen</t>
        </is>
      </c>
      <c r="G283" t="inlineStr">
        <is>
          <t>Electricity</t>
        </is>
      </c>
      <c r="H283" t="inlineStr">
        <is>
          <t>COMELC</t>
        </is>
      </c>
      <c r="I283" t="inlineStr">
        <is>
          <t>COMMUNOldLTEUE</t>
        </is>
      </c>
      <c r="J283" t="inlineStr">
        <is>
          <t>COMMUNOldLTHALELC19</t>
        </is>
      </c>
      <c r="K283" t="n">
        <v>16.8413328459163</v>
      </c>
      <c r="L283" t="n">
        <v>1807.312098692172</v>
      </c>
      <c r="M283" t="n">
        <v>0.07386642672236293</v>
      </c>
      <c r="N283" t="n">
        <v>133.4996867024853</v>
      </c>
      <c r="O283" t="n">
        <v>60.29771081429221</v>
      </c>
      <c r="P283" t="n">
        <v>235.2365286811317</v>
      </c>
      <c r="Q283" t="inlineStr">
        <is>
          <t>Mlma</t>
        </is>
      </c>
      <c r="R283" t="n">
        <v>0.4516693057765032</v>
      </c>
      <c r="S283" t="n">
        <v>5</v>
      </c>
      <c r="T283" t="n">
        <v>37</v>
      </c>
      <c r="V283" t="n">
        <v>0.2563280080366561</v>
      </c>
      <c r="W283" t="n">
        <v>1</v>
      </c>
    </row>
    <row r="284">
      <c r="A284" t="inlineStr">
        <is>
          <t>Commercial</t>
        </is>
      </c>
      <c r="B284" t="inlineStr">
        <is>
          <t>Municipal</t>
        </is>
      </c>
      <c r="D284" t="inlineStr">
        <is>
          <t>Old</t>
        </is>
      </c>
      <c r="E284" t="inlineStr">
        <is>
          <t>Lighting</t>
        </is>
      </c>
      <c r="F284" t="inlineStr">
        <is>
          <t>HID</t>
        </is>
      </c>
      <c r="G284" t="inlineStr">
        <is>
          <t>Electricity</t>
        </is>
      </c>
      <c r="H284" t="inlineStr">
        <is>
          <t>COMELC</t>
        </is>
      </c>
      <c r="I284" t="inlineStr">
        <is>
          <t>COMMUNOldLTEUE</t>
        </is>
      </c>
      <c r="J284" t="inlineStr">
        <is>
          <t>COMMUNOldLTHIDELC19</t>
        </is>
      </c>
      <c r="K284" t="n">
        <v>16.8413328459163</v>
      </c>
      <c r="L284" t="n">
        <v>1807.312098692172</v>
      </c>
      <c r="M284" t="n">
        <v>0.05578959769544489</v>
      </c>
      <c r="N284" t="n">
        <v>100.8292148961465</v>
      </c>
      <c r="O284" t="n">
        <v>190.8200140018235</v>
      </c>
      <c r="P284" t="n">
        <v>467.726233243502</v>
      </c>
      <c r="Q284" t="inlineStr">
        <is>
          <t>Mlma</t>
        </is>
      </c>
      <c r="R284" t="n">
        <v>1.892507188500546</v>
      </c>
      <c r="S284" t="n">
        <v>0.5</v>
      </c>
      <c r="T284" t="n">
        <v>1</v>
      </c>
      <c r="V284" t="n">
        <v>0.4079737257381522</v>
      </c>
      <c r="W284" t="n">
        <v>1</v>
      </c>
    </row>
    <row r="285">
      <c r="A285" t="inlineStr">
        <is>
          <t>Commercial</t>
        </is>
      </c>
      <c r="B285" t="inlineStr">
        <is>
          <t>Municipal</t>
        </is>
      </c>
      <c r="D285" t="inlineStr">
        <is>
          <t>Old</t>
        </is>
      </c>
      <c r="E285" t="inlineStr">
        <is>
          <t>Lighting</t>
        </is>
      </c>
      <c r="F285" t="inlineStr">
        <is>
          <t>LED</t>
        </is>
      </c>
      <c r="G285" t="inlineStr">
        <is>
          <t>Electricity</t>
        </is>
      </c>
      <c r="H285" t="inlineStr">
        <is>
          <t>COMELC</t>
        </is>
      </c>
      <c r="I285" t="inlineStr">
        <is>
          <t>COMMUNOldLTEUE</t>
        </is>
      </c>
      <c r="J285" t="inlineStr">
        <is>
          <t>COMMUNOldLTLEDELC19</t>
        </is>
      </c>
      <c r="K285" t="n">
        <v>16.8413328459163</v>
      </c>
      <c r="L285" t="n">
        <v>1807.312098692172</v>
      </c>
      <c r="M285" t="n">
        <v>0.3333390169631641</v>
      </c>
      <c r="N285" t="n">
        <v>602.4476383236816</v>
      </c>
      <c r="O285" t="n">
        <v>1140.136486222744</v>
      </c>
      <c r="P285" t="n">
        <v>2894.177439172172</v>
      </c>
      <c r="Q285" t="inlineStr">
        <is>
          <t>Mlma</t>
        </is>
      </c>
      <c r="R285" t="n">
        <v>1.892507188500546</v>
      </c>
      <c r="S285" t="n">
        <v>5</v>
      </c>
      <c r="T285" t="n">
        <v>2</v>
      </c>
      <c r="V285" t="n">
        <v>0.3939414601161635</v>
      </c>
      <c r="W285" t="n">
        <v>1</v>
      </c>
    </row>
    <row r="286">
      <c r="A286" t="inlineStr">
        <is>
          <t>Commercial</t>
        </is>
      </c>
      <c r="B286" t="inlineStr">
        <is>
          <t>Municipal</t>
        </is>
      </c>
      <c r="D286" t="inlineStr">
        <is>
          <t>Old</t>
        </is>
      </c>
      <c r="E286" t="inlineStr">
        <is>
          <t>Lighting</t>
        </is>
      </c>
      <c r="F286" t="inlineStr">
        <is>
          <t>Other lighting</t>
        </is>
      </c>
      <c r="G286" t="inlineStr">
        <is>
          <t>Electricity</t>
        </is>
      </c>
      <c r="H286" t="inlineStr">
        <is>
          <t>COMELC</t>
        </is>
      </c>
      <c r="I286" t="inlineStr">
        <is>
          <t>COMMUNOldLTEUE</t>
        </is>
      </c>
      <c r="J286" t="inlineStr">
        <is>
          <t>COMMUNOldLTOTHELC19</t>
        </is>
      </c>
      <c r="K286" t="n">
        <v>16.8413328459163</v>
      </c>
      <c r="L286" t="n">
        <v>1807.312098692172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Mlma</t>
        </is>
      </c>
      <c r="R286" t="n">
        <v>0.9635611856565404</v>
      </c>
      <c r="S286" t="n">
        <v>0.5</v>
      </c>
      <c r="T286" t="n">
        <v>1</v>
      </c>
      <c r="V286" t="n">
        <v>0</v>
      </c>
      <c r="W286" t="n">
        <v>1</v>
      </c>
    </row>
    <row r="287">
      <c r="A287" t="inlineStr">
        <is>
          <t>Commercial</t>
        </is>
      </c>
      <c r="B287" t="inlineStr">
        <is>
          <t>Municipal</t>
        </is>
      </c>
      <c r="D287" t="inlineStr">
        <is>
          <t>Old</t>
        </is>
      </c>
      <c r="E287" t="inlineStr">
        <is>
          <t>Cooking</t>
        </is>
      </c>
      <c r="F287" t="inlineStr">
        <is>
          <t>Fuel oil</t>
        </is>
      </c>
      <c r="G287" t="inlineStr">
        <is>
          <t>Fuel oil</t>
        </is>
      </c>
      <c r="H287" t="inlineStr">
        <is>
          <t>COMFOI</t>
        </is>
      </c>
      <c r="I287" t="inlineStr">
        <is>
          <t>COMMUNOldCKEUE</t>
        </is>
      </c>
      <c r="J287" t="inlineStr">
        <is>
          <t>COMMUNOldCKFOI19</t>
        </is>
      </c>
      <c r="K287" t="n">
        <v>16.8413328459163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inlineStr">
        <is>
          <t>MW</t>
        </is>
      </c>
      <c r="R287" t="n">
        <v>0.45</v>
      </c>
      <c r="S287" t="n">
        <v>6</v>
      </c>
      <c r="T287" t="n">
        <v>8</v>
      </c>
      <c r="V287" t="n">
        <v>0.44</v>
      </c>
      <c r="W287" t="n">
        <v>31.536</v>
      </c>
    </row>
    <row r="288">
      <c r="A288" t="inlineStr">
        <is>
          <t>Commercial</t>
        </is>
      </c>
      <c r="B288" t="inlineStr">
        <is>
          <t>Municipal</t>
        </is>
      </c>
      <c r="D288" t="inlineStr">
        <is>
          <t>Old</t>
        </is>
      </c>
      <c r="E288" t="inlineStr">
        <is>
          <t>Cooking</t>
        </is>
      </c>
      <c r="F288" t="inlineStr">
        <is>
          <t>Natural gas</t>
        </is>
      </c>
      <c r="G288" t="inlineStr">
        <is>
          <t>Natural gas</t>
        </is>
      </c>
      <c r="H288" t="inlineStr">
        <is>
          <t>COMNGA</t>
        </is>
      </c>
      <c r="I288" t="inlineStr">
        <is>
          <t>COMMUNOldCKEUE</t>
        </is>
      </c>
      <c r="J288" t="inlineStr">
        <is>
          <t>COMMUNOldCKNGA19</t>
        </is>
      </c>
      <c r="K288" t="n">
        <v>16.8413328459163</v>
      </c>
      <c r="L288" t="n">
        <v>1277.280767417669</v>
      </c>
      <c r="M288" t="n">
        <v>1</v>
      </c>
      <c r="N288" t="n">
        <v>1277.280767417669</v>
      </c>
      <c r="O288" t="n">
        <v>574.7763453379508</v>
      </c>
      <c r="P288" t="n">
        <v>41.42281442694286</v>
      </c>
      <c r="Q288" t="inlineStr">
        <is>
          <t>MW</t>
        </is>
      </c>
      <c r="R288" t="n">
        <v>0.45</v>
      </c>
      <c r="S288" t="n">
        <v>6</v>
      </c>
      <c r="T288" t="n">
        <v>8</v>
      </c>
      <c r="V288" t="n">
        <v>0.44</v>
      </c>
      <c r="W288" t="n">
        <v>31.536</v>
      </c>
    </row>
    <row r="289">
      <c r="A289" t="inlineStr">
        <is>
          <t>Commercial</t>
        </is>
      </c>
      <c r="B289" t="inlineStr">
        <is>
          <t>Municipal</t>
        </is>
      </c>
      <c r="D289" t="inlineStr">
        <is>
          <t>Old</t>
        </is>
      </c>
      <c r="E289" t="inlineStr">
        <is>
          <t>Cooking</t>
        </is>
      </c>
      <c r="F289" t="inlineStr">
        <is>
          <t>Steam / Cooling</t>
        </is>
      </c>
      <c r="G289" t="inlineStr">
        <is>
          <t>Steam / Cooling</t>
        </is>
      </c>
      <c r="H289" t="inlineStr">
        <is>
          <t>COMSTM</t>
        </is>
      </c>
      <c r="I289" t="inlineStr">
        <is>
          <t>COMMUNOldCKEUE</t>
        </is>
      </c>
      <c r="J289" t="inlineStr">
        <is>
          <t>COMMUNOldCKSTM19</t>
        </is>
      </c>
      <c r="K289" t="n">
        <v>16.8413328459163</v>
      </c>
      <c r="L289" t="n">
        <v>0.7930912397894083</v>
      </c>
      <c r="M289" t="n">
        <v>1</v>
      </c>
      <c r="N289" t="n">
        <v>0.7930912397894083</v>
      </c>
      <c r="O289" t="n">
        <v>0.5551638678525858</v>
      </c>
      <c r="P289" t="n">
        <v>0.04000938810569925</v>
      </c>
      <c r="Q289" t="inlineStr">
        <is>
          <t>MW</t>
        </is>
      </c>
      <c r="R289" t="n">
        <v>0.7</v>
      </c>
      <c r="S289" t="n">
        <v>6</v>
      </c>
      <c r="T289" t="n">
        <v>8</v>
      </c>
      <c r="V289" t="n">
        <v>0.44</v>
      </c>
      <c r="W289" t="n">
        <v>31.536</v>
      </c>
    </row>
    <row r="290">
      <c r="A290" t="inlineStr">
        <is>
          <t>Commercial</t>
        </is>
      </c>
      <c r="B290" t="inlineStr">
        <is>
          <t>Municipal</t>
        </is>
      </c>
      <c r="D290" t="inlineStr">
        <is>
          <t>Old</t>
        </is>
      </c>
      <c r="E290" t="inlineStr">
        <is>
          <t>Cooking</t>
        </is>
      </c>
      <c r="F290" t="inlineStr">
        <is>
          <t>Electricity</t>
        </is>
      </c>
      <c r="G290" t="inlineStr">
        <is>
          <t>Electricity</t>
        </is>
      </c>
      <c r="H290" t="inlineStr">
        <is>
          <t>COMELC</t>
        </is>
      </c>
      <c r="I290" t="inlineStr">
        <is>
          <t>COMMUNOldCKEUE</t>
        </is>
      </c>
      <c r="J290" t="inlineStr">
        <is>
          <t>COMMUNOldCKELC19</t>
        </is>
      </c>
      <c r="K290" t="n">
        <v>16.8413328459163</v>
      </c>
      <c r="L290" t="n">
        <v>266.1213285615897</v>
      </c>
      <c r="M290" t="n">
        <v>1</v>
      </c>
      <c r="N290" t="n">
        <v>266.1213285615897</v>
      </c>
      <c r="O290" t="n">
        <v>186.2849299931128</v>
      </c>
      <c r="P290" t="n">
        <v>13.42512813589035</v>
      </c>
      <c r="Q290" t="inlineStr">
        <is>
          <t>MW</t>
        </is>
      </c>
      <c r="R290" t="n">
        <v>0.7</v>
      </c>
      <c r="S290" t="n">
        <v>6</v>
      </c>
      <c r="T290" t="n">
        <v>8</v>
      </c>
      <c r="V290" t="n">
        <v>0.44</v>
      </c>
      <c r="W290" t="n">
        <v>31.536</v>
      </c>
    </row>
    <row r="291">
      <c r="A291" t="inlineStr">
        <is>
          <t>Commercial</t>
        </is>
      </c>
      <c r="B291" t="inlineStr">
        <is>
          <t>Municipal</t>
        </is>
      </c>
      <c r="D291" t="inlineStr">
        <is>
          <t>Old</t>
        </is>
      </c>
      <c r="E291" t="inlineStr">
        <is>
          <t>Refrigeration</t>
        </is>
      </c>
      <c r="F291" t="inlineStr">
        <is>
          <t>Electricity</t>
        </is>
      </c>
      <c r="G291" t="inlineStr">
        <is>
          <t>Electricity</t>
        </is>
      </c>
      <c r="H291" t="inlineStr">
        <is>
          <t>COMELC</t>
        </is>
      </c>
      <c r="I291" t="inlineStr">
        <is>
          <t>COMMUNOldREEUE</t>
        </is>
      </c>
      <c r="J291" t="inlineStr">
        <is>
          <t>COMMUNOldREELC19</t>
        </is>
      </c>
      <c r="K291" t="n">
        <v>16.8413328459163</v>
      </c>
      <c r="L291" t="n">
        <v>535.9466441879705</v>
      </c>
      <c r="M291" t="n">
        <v>1</v>
      </c>
      <c r="N291" t="n">
        <v>535.9466441879705</v>
      </c>
      <c r="O291" t="n">
        <v>535.9466441879705</v>
      </c>
      <c r="P291" t="n">
        <v>38.62444682181191</v>
      </c>
      <c r="Q291" t="inlineStr">
        <is>
          <t>MW</t>
        </is>
      </c>
      <c r="R291" t="n">
        <v>1</v>
      </c>
      <c r="S291" t="n">
        <v>5</v>
      </c>
      <c r="T291" t="n">
        <v>500</v>
      </c>
      <c r="V291" t="n">
        <v>0.44</v>
      </c>
      <c r="W291" t="n">
        <v>31.536</v>
      </c>
    </row>
    <row r="292">
      <c r="A292" t="inlineStr">
        <is>
          <t>Commercial</t>
        </is>
      </c>
      <c r="B292" t="inlineStr">
        <is>
          <t>Municipal</t>
        </is>
      </c>
      <c r="D292" t="inlineStr">
        <is>
          <t>Old</t>
        </is>
      </c>
      <c r="E292" t="inlineStr">
        <is>
          <t>Other end use</t>
        </is>
      </c>
      <c r="F292" t="inlineStr">
        <is>
          <t>Fuel oil</t>
        </is>
      </c>
      <c r="G292" t="inlineStr">
        <is>
          <t>Fuel oil</t>
        </is>
      </c>
      <c r="H292" t="inlineStr">
        <is>
          <t>COMFOI</t>
        </is>
      </c>
      <c r="I292" t="inlineStr">
        <is>
          <t>COMMUNOldOEEUE</t>
        </is>
      </c>
      <c r="J292" t="inlineStr">
        <is>
          <t>COMMUNOldOEFOI19</t>
        </is>
      </c>
      <c r="K292" t="n">
        <v>16.8413328459163</v>
      </c>
      <c r="L292" t="n">
        <v>601.4371399969687</v>
      </c>
      <c r="M292" t="n">
        <v>1</v>
      </c>
      <c r="N292" t="n">
        <v>601.4371399969687</v>
      </c>
      <c r="O292" t="n">
        <v>601.4371399969687</v>
      </c>
      <c r="P292" t="n">
        <v>1366.902590902201</v>
      </c>
      <c r="Q292" t="inlineStr">
        <is>
          <t>TJa</t>
        </is>
      </c>
      <c r="R292" t="n">
        <v>1</v>
      </c>
      <c r="S292" t="n">
        <v>12.5</v>
      </c>
      <c r="T292" t="n">
        <v>10</v>
      </c>
      <c r="V292" t="n">
        <v>0.44</v>
      </c>
      <c r="W292" t="n">
        <v>1</v>
      </c>
    </row>
    <row r="293">
      <c r="A293" t="inlineStr">
        <is>
          <t>Commercial</t>
        </is>
      </c>
      <c r="B293" t="inlineStr">
        <is>
          <t>Municipal</t>
        </is>
      </c>
      <c r="D293" t="inlineStr">
        <is>
          <t>Old</t>
        </is>
      </c>
      <c r="E293" t="inlineStr">
        <is>
          <t>Other end use</t>
        </is>
      </c>
      <c r="F293" t="inlineStr">
        <is>
          <t>Natural gas</t>
        </is>
      </c>
      <c r="G293" t="inlineStr">
        <is>
          <t>Natural gas</t>
        </is>
      </c>
      <c r="H293" t="inlineStr">
        <is>
          <t>COMNGA</t>
        </is>
      </c>
      <c r="I293" t="inlineStr">
        <is>
          <t>COMMUNOldOEEUE</t>
        </is>
      </c>
      <c r="J293" t="inlineStr">
        <is>
          <t>COMMUNOldOENGA19</t>
        </is>
      </c>
      <c r="K293" t="n">
        <v>16.8413328459163</v>
      </c>
      <c r="L293" t="n">
        <v>1578.336552063166</v>
      </c>
      <c r="M293" t="n">
        <v>1</v>
      </c>
      <c r="N293" t="n">
        <v>1578.336552063166</v>
      </c>
      <c r="O293" t="n">
        <v>1578.336552063166</v>
      </c>
      <c r="P293" t="n">
        <v>3587.128527416286</v>
      </c>
      <c r="Q293" t="inlineStr">
        <is>
          <t>TJa</t>
        </is>
      </c>
      <c r="R293" t="n">
        <v>1</v>
      </c>
      <c r="S293" t="n">
        <v>12.5</v>
      </c>
      <c r="T293" t="n">
        <v>10</v>
      </c>
      <c r="V293" t="n">
        <v>0.44</v>
      </c>
      <c r="W293" t="n">
        <v>1</v>
      </c>
    </row>
    <row r="294">
      <c r="A294" t="inlineStr">
        <is>
          <t>Commercial</t>
        </is>
      </c>
      <c r="B294" t="inlineStr">
        <is>
          <t>Municipal</t>
        </is>
      </c>
      <c r="D294" t="inlineStr">
        <is>
          <t>Old</t>
        </is>
      </c>
      <c r="E294" t="inlineStr">
        <is>
          <t>Other end use</t>
        </is>
      </c>
      <c r="F294" t="inlineStr">
        <is>
          <t>Steam / Cooling</t>
        </is>
      </c>
      <c r="G294" t="inlineStr">
        <is>
          <t>Steam / Cooling</t>
        </is>
      </c>
      <c r="H294" t="inlineStr">
        <is>
          <t>COMSTM</t>
        </is>
      </c>
      <c r="I294" t="inlineStr">
        <is>
          <t>COMMUNOldOEEUE</t>
        </is>
      </c>
      <c r="J294" t="inlineStr">
        <is>
          <t>COMMUNOldOESTM19</t>
        </is>
      </c>
      <c r="K294" t="n">
        <v>16.8413328459163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inlineStr">
        <is>
          <t>TJa</t>
        </is>
      </c>
      <c r="R294" t="n">
        <v>1</v>
      </c>
      <c r="S294" t="n">
        <v>12.5</v>
      </c>
      <c r="T294" t="n">
        <v>10</v>
      </c>
      <c r="V294" t="n">
        <v>0.44</v>
      </c>
      <c r="W294" t="n">
        <v>1</v>
      </c>
    </row>
    <row r="295">
      <c r="A295" t="inlineStr">
        <is>
          <t>Commercial</t>
        </is>
      </c>
      <c r="B295" t="inlineStr">
        <is>
          <t>Municipal</t>
        </is>
      </c>
      <c r="D295" t="inlineStr">
        <is>
          <t>Old</t>
        </is>
      </c>
      <c r="E295" t="inlineStr">
        <is>
          <t>Other end use</t>
        </is>
      </c>
      <c r="F295" t="inlineStr">
        <is>
          <t>Electricity</t>
        </is>
      </c>
      <c r="G295" t="inlineStr">
        <is>
          <t>Electricity</t>
        </is>
      </c>
      <c r="H295" t="inlineStr">
        <is>
          <t>COMELC</t>
        </is>
      </c>
      <c r="I295" t="inlineStr">
        <is>
          <t>COMMUNOldOEEUE</t>
        </is>
      </c>
      <c r="J295" t="inlineStr">
        <is>
          <t>COMMUNOldOEELC19</t>
        </is>
      </c>
      <c r="K295" t="n">
        <v>16.8413328459163</v>
      </c>
      <c r="L295" t="n">
        <v>3396.862616069972</v>
      </c>
      <c r="M295" t="n">
        <v>1</v>
      </c>
      <c r="N295" t="n">
        <v>3396.862616069972</v>
      </c>
      <c r="O295" t="n">
        <v>3396.862616069972</v>
      </c>
      <c r="P295" t="n">
        <v>7720.142309249937</v>
      </c>
      <c r="Q295" t="inlineStr">
        <is>
          <t>TJa</t>
        </is>
      </c>
      <c r="R295" t="n">
        <v>1</v>
      </c>
      <c r="S295" t="n">
        <v>12.5</v>
      </c>
      <c r="T295" t="n">
        <v>10</v>
      </c>
      <c r="V295" t="n">
        <v>0.44</v>
      </c>
      <c r="W295" t="n">
        <v>1</v>
      </c>
    </row>
    <row r="296">
      <c r="A296" t="inlineStr">
        <is>
          <t>Commercial</t>
        </is>
      </c>
      <c r="B296" t="inlineStr">
        <is>
          <t>Other</t>
        </is>
      </c>
      <c r="D296" t="inlineStr">
        <is>
          <t>Old</t>
        </is>
      </c>
      <c r="E296" t="inlineStr">
        <is>
          <t>Space heating</t>
        </is>
      </c>
      <c r="F296" t="inlineStr">
        <is>
          <t>Electric furnace</t>
        </is>
      </c>
      <c r="G296" t="inlineStr">
        <is>
          <t>Electricity</t>
        </is>
      </c>
      <c r="H296" t="inlineStr">
        <is>
          <t>COMELC</t>
        </is>
      </c>
      <c r="I296" t="inlineStr">
        <is>
          <t>COMOTHOldSHEUE</t>
        </is>
      </c>
      <c r="J296" t="inlineStr">
        <is>
          <t>COMOTHOldSHFURELC19</t>
        </is>
      </c>
      <c r="K296" t="n">
        <v>8.760280445707766</v>
      </c>
      <c r="L296" t="n">
        <v>313.6329646797914</v>
      </c>
      <c r="M296" t="n">
        <v>0.5159272486565979</v>
      </c>
      <c r="N296" t="n">
        <v>161.8117925552567</v>
      </c>
      <c r="O296" t="n">
        <v>158.5755567041516</v>
      </c>
      <c r="P296" t="n">
        <v>119.6728538311831</v>
      </c>
      <c r="Q296" t="inlineStr">
        <is>
          <t>MW</t>
        </is>
      </c>
      <c r="R296" t="n">
        <v>0.98</v>
      </c>
      <c r="S296" t="n">
        <v>7.5</v>
      </c>
      <c r="T296" t="n">
        <v>1</v>
      </c>
      <c r="V296" t="n">
        <v>0.04201786583857723</v>
      </c>
      <c r="W296" t="n">
        <v>31.536</v>
      </c>
    </row>
    <row r="297">
      <c r="A297" t="inlineStr">
        <is>
          <t>Commercial</t>
        </is>
      </c>
      <c r="B297" t="inlineStr">
        <is>
          <t>Other</t>
        </is>
      </c>
      <c r="D297" t="inlineStr">
        <is>
          <t>Old</t>
        </is>
      </c>
      <c r="E297" t="inlineStr">
        <is>
          <t>Space heating</t>
        </is>
      </c>
      <c r="F297" t="inlineStr">
        <is>
          <t>Electric boiler</t>
        </is>
      </c>
      <c r="G297" t="inlineStr">
        <is>
          <t>Electricity</t>
        </is>
      </c>
      <c r="H297" t="inlineStr">
        <is>
          <t>COMELC</t>
        </is>
      </c>
      <c r="I297" t="inlineStr">
        <is>
          <t>COMOTHOldSHEUE</t>
        </is>
      </c>
      <c r="J297" t="inlineStr">
        <is>
          <t>COMOTHOldSHBOIELC19</t>
        </is>
      </c>
      <c r="K297" t="n">
        <v>8.760280445707766</v>
      </c>
      <c r="L297" t="n">
        <v>313.6329646797914</v>
      </c>
      <c r="M297" t="n">
        <v>0.2311338326624371</v>
      </c>
      <c r="N297" t="n">
        <v>72.49118917572295</v>
      </c>
      <c r="O297" t="n">
        <v>67.93149337656997</v>
      </c>
      <c r="P297" t="n">
        <v>27.81626132192512</v>
      </c>
      <c r="Q297" t="inlineStr">
        <is>
          <t>MW</t>
        </is>
      </c>
      <c r="R297" t="n">
        <v>0.9370999999999999</v>
      </c>
      <c r="S297" t="n">
        <v>7.5</v>
      </c>
      <c r="T297" t="n">
        <v>1</v>
      </c>
      <c r="V297" t="n">
        <v>0.07744008079258417</v>
      </c>
      <c r="W297" t="n">
        <v>31.536</v>
      </c>
    </row>
    <row r="298">
      <c r="A298" t="inlineStr">
        <is>
          <t>Commercial</t>
        </is>
      </c>
      <c r="B298" t="inlineStr">
        <is>
          <t>Other</t>
        </is>
      </c>
      <c r="D298" t="inlineStr">
        <is>
          <t>Old</t>
        </is>
      </c>
      <c r="E298" t="inlineStr">
        <is>
          <t>Space heating</t>
        </is>
      </c>
      <c r="F298" t="inlineStr">
        <is>
          <t>Electric air heat pump</t>
        </is>
      </c>
      <c r="G298" t="inlineStr">
        <is>
          <t>Electricity</t>
        </is>
      </c>
      <c r="H298" t="inlineStr">
        <is>
          <t>COMELC</t>
        </is>
      </c>
      <c r="I298" t="inlineStr">
        <is>
          <t>COMOTHOldSHEUE</t>
        </is>
      </c>
      <c r="J298" t="inlineStr">
        <is>
          <t>COMOTHOldSHAHPELC19</t>
        </is>
      </c>
      <c r="K298" t="n">
        <v>8.760280445707766</v>
      </c>
      <c r="L298" t="n">
        <v>313.6329646797914</v>
      </c>
      <c r="M298" t="n">
        <v>0.2529389186809649</v>
      </c>
      <c r="N298" t="n">
        <v>79.32998294881168</v>
      </c>
      <c r="O298" t="n">
        <v>245.9229471413162</v>
      </c>
      <c r="P298" t="n">
        <v>46.63391790853027</v>
      </c>
      <c r="Q298" t="inlineStr">
        <is>
          <t>MW</t>
        </is>
      </c>
      <c r="R298" t="n">
        <v>3.1</v>
      </c>
      <c r="S298" t="n">
        <v>10.5</v>
      </c>
      <c r="T298" t="n">
        <v>14.33104807576899</v>
      </c>
      <c r="V298" t="n">
        <v>0.1672208951686436</v>
      </c>
      <c r="W298" t="n">
        <v>31.536</v>
      </c>
    </row>
    <row r="299">
      <c r="A299" t="inlineStr">
        <is>
          <t>Commercial</t>
        </is>
      </c>
      <c r="B299" t="inlineStr">
        <is>
          <t>Other</t>
        </is>
      </c>
      <c r="D299" t="inlineStr">
        <is>
          <t>Old</t>
        </is>
      </c>
      <c r="E299" t="inlineStr">
        <is>
          <t>Space heating</t>
        </is>
      </c>
      <c r="F299" t="inlineStr">
        <is>
          <t>Electric ground heat pump</t>
        </is>
      </c>
      <c r="G299" t="inlineStr">
        <is>
          <t>Electricity</t>
        </is>
      </c>
      <c r="H299" t="inlineStr">
        <is>
          <t>COMELC</t>
        </is>
      </c>
      <c r="I299" t="inlineStr">
        <is>
          <t>COMOTHOldSHEUE</t>
        </is>
      </c>
      <c r="J299" t="inlineStr">
        <is>
          <t>COMOTHOldSHGHPELC19</t>
        </is>
      </c>
      <c r="K299" t="n">
        <v>8.760280445707766</v>
      </c>
      <c r="L299" t="n">
        <v>313.6329646797914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MW</t>
        </is>
      </c>
      <c r="R299" t="n">
        <v>3.4</v>
      </c>
      <c r="S299" t="n">
        <v>7.2</v>
      </c>
      <c r="T299" t="n">
        <v>13.00195893970977</v>
      </c>
      <c r="V299" t="n">
        <v>0.1834035624430284</v>
      </c>
      <c r="W299" t="n">
        <v>31.536</v>
      </c>
    </row>
    <row r="300">
      <c r="A300" t="inlineStr">
        <is>
          <t>Commercial</t>
        </is>
      </c>
      <c r="B300" t="inlineStr">
        <is>
          <t>Other</t>
        </is>
      </c>
      <c r="D300" t="inlineStr">
        <is>
          <t>Old</t>
        </is>
      </c>
      <c r="E300" t="inlineStr">
        <is>
          <t>Space heating</t>
        </is>
      </c>
      <c r="F300" t="inlineStr">
        <is>
          <t>Natural gas furnace</t>
        </is>
      </c>
      <c r="G300" t="inlineStr">
        <is>
          <t>Natural gas</t>
        </is>
      </c>
      <c r="H300" t="inlineStr">
        <is>
          <t>COMNGA</t>
        </is>
      </c>
      <c r="I300" t="inlineStr">
        <is>
          <t>COMOTHOldSHEUE</t>
        </is>
      </c>
      <c r="J300" t="inlineStr">
        <is>
          <t>COMOTHOldSHFURNGA19</t>
        </is>
      </c>
      <c r="K300" t="n">
        <v>8.760280445707766</v>
      </c>
      <c r="L300" t="n">
        <v>5002.757241008369</v>
      </c>
      <c r="M300" t="n">
        <v>0.4928112423153823</v>
      </c>
      <c r="N300" t="n">
        <v>2465.415010943609</v>
      </c>
      <c r="O300" t="n">
        <v>1751.677365275434</v>
      </c>
      <c r="P300" t="n">
        <v>299.5171473852759</v>
      </c>
      <c r="Q300" t="inlineStr">
        <is>
          <t>MW</t>
        </is>
      </c>
      <c r="R300" t="n">
        <v>0.7105</v>
      </c>
      <c r="S300" t="n">
        <v>11.5</v>
      </c>
      <c r="T300" t="n">
        <v>2.023541839846751</v>
      </c>
      <c r="V300" t="n">
        <v>0.1854495656106914</v>
      </c>
      <c r="W300" t="n">
        <v>31.536</v>
      </c>
    </row>
    <row r="301">
      <c r="A301" t="inlineStr">
        <is>
          <t>Commercial</t>
        </is>
      </c>
      <c r="B301" t="inlineStr">
        <is>
          <t>Other</t>
        </is>
      </c>
      <c r="D301" t="inlineStr">
        <is>
          <t>Old</t>
        </is>
      </c>
      <c r="E301" t="inlineStr">
        <is>
          <t>Space heating</t>
        </is>
      </c>
      <c r="F301" t="inlineStr">
        <is>
          <t>Natural gas boiler</t>
        </is>
      </c>
      <c r="G301" t="inlineStr">
        <is>
          <t>Natural gas</t>
        </is>
      </c>
      <c r="H301" t="inlineStr">
        <is>
          <t>COMNGA</t>
        </is>
      </c>
      <c r="I301" t="inlineStr">
        <is>
          <t>COMOTHOldSHEUE</t>
        </is>
      </c>
      <c r="J301" t="inlineStr">
        <is>
          <t>COMOTHOldSHBOINGA19</t>
        </is>
      </c>
      <c r="K301" t="n">
        <v>8.760280445707766</v>
      </c>
      <c r="L301" t="n">
        <v>5002.757241008369</v>
      </c>
      <c r="M301" t="n">
        <v>0.4729406575948398</v>
      </c>
      <c r="N301" t="n">
        <v>2366.007299349845</v>
      </c>
      <c r="O301" t="n">
        <v>1798.165547505882</v>
      </c>
      <c r="P301" t="n">
        <v>512.5505418414438</v>
      </c>
      <c r="Q301" t="inlineStr">
        <is>
          <t>MW</t>
        </is>
      </c>
      <c r="R301" t="n">
        <v>0.76</v>
      </c>
      <c r="S301" t="n">
        <v>12.5</v>
      </c>
      <c r="T301" t="n">
        <v>11.35759354439353</v>
      </c>
      <c r="V301" t="n">
        <v>0.1112465031427525</v>
      </c>
      <c r="W301" t="n">
        <v>31.536</v>
      </c>
    </row>
    <row r="302">
      <c r="A302" t="inlineStr">
        <is>
          <t>Commercial</t>
        </is>
      </c>
      <c r="B302" t="inlineStr">
        <is>
          <t>Other</t>
        </is>
      </c>
      <c r="D302" t="inlineStr">
        <is>
          <t>Old</t>
        </is>
      </c>
      <c r="E302" t="inlineStr">
        <is>
          <t>Space heating</t>
        </is>
      </c>
      <c r="F302" t="inlineStr">
        <is>
          <t>Natural gas heat pump</t>
        </is>
      </c>
      <c r="G302" t="inlineStr">
        <is>
          <t>Natural gas</t>
        </is>
      </c>
      <c r="H302" t="inlineStr">
        <is>
          <t>COMNGA</t>
        </is>
      </c>
      <c r="I302" t="inlineStr">
        <is>
          <t>COMOTHOldSHEUE</t>
        </is>
      </c>
      <c r="J302" t="inlineStr">
        <is>
          <t>COMOTHOldSHAHPNGA19</t>
        </is>
      </c>
      <c r="K302" t="n">
        <v>8.760280445707766</v>
      </c>
      <c r="L302" t="n">
        <v>5002.757241008369</v>
      </c>
      <c r="M302" t="n">
        <v>0.03424810008977786</v>
      </c>
      <c r="N302" t="n">
        <v>171.3349307149155</v>
      </c>
      <c r="O302" t="n">
        <v>222.7354099293902</v>
      </c>
      <c r="P302" t="n">
        <v>18.81947610979842</v>
      </c>
      <c r="Q302" t="inlineStr">
        <is>
          <t>MW</t>
        </is>
      </c>
      <c r="R302" t="n">
        <v>1.3</v>
      </c>
      <c r="S302" t="n">
        <v>7.5</v>
      </c>
      <c r="T302" t="n">
        <v>12</v>
      </c>
      <c r="V302" t="n">
        <v>0.3752970313877219</v>
      </c>
      <c r="W302" t="n">
        <v>31.536</v>
      </c>
    </row>
    <row r="303">
      <c r="A303" t="inlineStr">
        <is>
          <t>Commercial</t>
        </is>
      </c>
      <c r="B303" t="inlineStr">
        <is>
          <t>Other</t>
        </is>
      </c>
      <c r="D303" t="inlineStr">
        <is>
          <t>Old</t>
        </is>
      </c>
      <c r="E303" t="inlineStr">
        <is>
          <t>Space heating</t>
        </is>
      </c>
      <c r="F303" t="inlineStr">
        <is>
          <t>Fuel oil boiler</t>
        </is>
      </c>
      <c r="G303" t="inlineStr">
        <is>
          <t>Fuel oil</t>
        </is>
      </c>
      <c r="H303" t="inlineStr">
        <is>
          <t>COMFOI</t>
        </is>
      </c>
      <c r="I303" t="inlineStr">
        <is>
          <t>COMOTHOldSHEUE</t>
        </is>
      </c>
      <c r="J303" t="inlineStr">
        <is>
          <t>COMOTHOldSHBOIFOI19</t>
        </is>
      </c>
      <c r="K303" t="n">
        <v>8.760280445707766</v>
      </c>
      <c r="L303" t="n">
        <v>165.2756078991547</v>
      </c>
      <c r="M303" t="n">
        <v>0.7881947319410686</v>
      </c>
      <c r="N303" t="n">
        <v>130.2693634644714</v>
      </c>
      <c r="O303" t="n">
        <v>102.9127971369324</v>
      </c>
      <c r="P303" t="n">
        <v>154.6673142378845</v>
      </c>
      <c r="Q303" t="inlineStr">
        <is>
          <t>MW</t>
        </is>
      </c>
      <c r="R303" t="n">
        <v>0.79</v>
      </c>
      <c r="S303" t="n">
        <v>12.5</v>
      </c>
      <c r="T303" t="n">
        <v>14</v>
      </c>
      <c r="V303" t="n">
        <v>0.02109911461099233</v>
      </c>
      <c r="W303" t="n">
        <v>31.536</v>
      </c>
    </row>
    <row r="304">
      <c r="A304" t="inlineStr">
        <is>
          <t>Commercial</t>
        </is>
      </c>
      <c r="B304" t="inlineStr">
        <is>
          <t>Other</t>
        </is>
      </c>
      <c r="D304" t="inlineStr">
        <is>
          <t>Old</t>
        </is>
      </c>
      <c r="E304" t="inlineStr">
        <is>
          <t>Space heating</t>
        </is>
      </c>
      <c r="F304" t="inlineStr">
        <is>
          <t>Fuel oil furnace</t>
        </is>
      </c>
      <c r="G304" t="inlineStr">
        <is>
          <t>Fuel oil</t>
        </is>
      </c>
      <c r="H304" t="inlineStr">
        <is>
          <t>COMFOI</t>
        </is>
      </c>
      <c r="I304" t="inlineStr">
        <is>
          <t>COMOTHOldSHEUE</t>
        </is>
      </c>
      <c r="J304" t="inlineStr">
        <is>
          <t>COMOTHOldSHFURFOI19</t>
        </is>
      </c>
      <c r="K304" t="n">
        <v>8.760280445707766</v>
      </c>
      <c r="L304" t="n">
        <v>165.2756078991547</v>
      </c>
      <c r="M304" t="n">
        <v>0.2118052680589314</v>
      </c>
      <c r="N304" t="n">
        <v>35.00624443468331</v>
      </c>
      <c r="O304" t="n">
        <v>26.62224889257666</v>
      </c>
      <c r="P304" t="n">
        <v>41.5625106646354</v>
      </c>
      <c r="Q304" t="inlineStr">
        <is>
          <t>MW</t>
        </is>
      </c>
      <c r="R304" t="n">
        <v>0.7605</v>
      </c>
      <c r="S304" t="n">
        <v>11.5</v>
      </c>
      <c r="T304" t="n">
        <v>4</v>
      </c>
      <c r="V304" t="n">
        <v>0.02031123628058186</v>
      </c>
      <c r="W304" t="n">
        <v>31.536</v>
      </c>
    </row>
    <row r="305">
      <c r="A305" t="inlineStr">
        <is>
          <t>Commercial</t>
        </is>
      </c>
      <c r="B305" t="inlineStr">
        <is>
          <t>Other</t>
        </is>
      </c>
      <c r="D305" t="inlineStr">
        <is>
          <t>Old</t>
        </is>
      </c>
      <c r="E305" t="inlineStr">
        <is>
          <t>Space heating</t>
        </is>
      </c>
      <c r="F305" t="inlineStr">
        <is>
          <t>Propane furnace</t>
        </is>
      </c>
      <c r="G305" t="inlineStr">
        <is>
          <t>LPG</t>
        </is>
      </c>
      <c r="H305" t="inlineStr">
        <is>
          <t>COMLPG</t>
        </is>
      </c>
      <c r="I305" t="inlineStr">
        <is>
          <t>COMOTHOldSHEUE</t>
        </is>
      </c>
      <c r="J305" t="inlineStr">
        <is>
          <t>COMOTHOldSHFURPRO19</t>
        </is>
      </c>
      <c r="K305" t="n">
        <v>8.760280445707766</v>
      </c>
      <c r="L305" t="n">
        <v>0</v>
      </c>
      <c r="M305" t="n">
        <v>0.631478944965133</v>
      </c>
      <c r="N305" t="n">
        <v>0</v>
      </c>
      <c r="O305" t="n">
        <v>0</v>
      </c>
      <c r="P305" t="n">
        <v>0</v>
      </c>
      <c r="Q305" t="inlineStr">
        <is>
          <t>MW</t>
        </is>
      </c>
      <c r="R305" t="n">
        <v>0.7105</v>
      </c>
      <c r="S305" t="n">
        <v>11.5</v>
      </c>
      <c r="T305" t="n">
        <v>2.023541839846751</v>
      </c>
      <c r="V305" t="n">
        <v>0.1854495656106914</v>
      </c>
      <c r="W305" t="n">
        <v>31.536</v>
      </c>
    </row>
    <row r="306">
      <c r="A306" t="inlineStr">
        <is>
          <t>Commercial</t>
        </is>
      </c>
      <c r="B306" t="inlineStr">
        <is>
          <t>Other</t>
        </is>
      </c>
      <c r="D306" t="inlineStr">
        <is>
          <t>Old</t>
        </is>
      </c>
      <c r="E306" t="inlineStr">
        <is>
          <t>Space heating</t>
        </is>
      </c>
      <c r="F306" t="inlineStr">
        <is>
          <t>Propane boiler</t>
        </is>
      </c>
      <c r="G306" t="inlineStr">
        <is>
          <t>LPG</t>
        </is>
      </c>
      <c r="H306" t="inlineStr">
        <is>
          <t>COMLPG</t>
        </is>
      </c>
      <c r="I306" t="inlineStr">
        <is>
          <t>COMOTHOldSHEUE</t>
        </is>
      </c>
      <c r="J306" t="inlineStr">
        <is>
          <t>COMOTHOldSHBOIPRO19</t>
        </is>
      </c>
      <c r="K306" t="n">
        <v>8.760280445707766</v>
      </c>
      <c r="L306" t="n">
        <v>0</v>
      </c>
      <c r="M306" t="n">
        <v>0.02455728450013959</v>
      </c>
      <c r="N306" t="n">
        <v>0</v>
      </c>
      <c r="O306" t="n">
        <v>0</v>
      </c>
      <c r="P306" t="n">
        <v>0</v>
      </c>
      <c r="Q306" t="inlineStr">
        <is>
          <t>MW</t>
        </is>
      </c>
      <c r="R306" t="n">
        <v>0.76</v>
      </c>
      <c r="S306" t="n">
        <v>12.5</v>
      </c>
      <c r="T306" t="n">
        <v>11.35759354439353</v>
      </c>
      <c r="V306" t="n">
        <v>0.1112465031427525</v>
      </c>
      <c r="W306" t="n">
        <v>31.536</v>
      </c>
    </row>
    <row r="307">
      <c r="A307" t="inlineStr">
        <is>
          <t>Commercial</t>
        </is>
      </c>
      <c r="B307" t="inlineStr">
        <is>
          <t>Other</t>
        </is>
      </c>
      <c r="D307" t="inlineStr">
        <is>
          <t>Old</t>
        </is>
      </c>
      <c r="E307" t="inlineStr">
        <is>
          <t>Space heating</t>
        </is>
      </c>
      <c r="F307" t="inlineStr">
        <is>
          <t>Propane heat pump</t>
        </is>
      </c>
      <c r="G307" t="inlineStr">
        <is>
          <t>LPG</t>
        </is>
      </c>
      <c r="H307" t="inlineStr">
        <is>
          <t>COMLPG</t>
        </is>
      </c>
      <c r="I307" t="inlineStr">
        <is>
          <t>COMOTHOldSHEUE</t>
        </is>
      </c>
      <c r="J307" t="inlineStr">
        <is>
          <t>COMOTHOldSHAHPPRO19</t>
        </is>
      </c>
      <c r="K307" t="n">
        <v>8.760280445707766</v>
      </c>
      <c r="L307" t="n">
        <v>0</v>
      </c>
      <c r="M307" t="n">
        <v>0.3439637705347274</v>
      </c>
      <c r="N307" t="n">
        <v>0</v>
      </c>
      <c r="O307" t="n">
        <v>0</v>
      </c>
      <c r="P307" t="n">
        <v>0</v>
      </c>
      <c r="Q307" t="inlineStr">
        <is>
          <t>MW</t>
        </is>
      </c>
      <c r="R307" t="n">
        <v>1.3</v>
      </c>
      <c r="S307" t="n">
        <v>7.5</v>
      </c>
      <c r="T307" t="n">
        <v>12</v>
      </c>
      <c r="V307" t="n">
        <v>0.3752970313877219</v>
      </c>
      <c r="W307" t="n">
        <v>31.536</v>
      </c>
    </row>
    <row r="308">
      <c r="A308" t="inlineStr">
        <is>
          <t>Commercial</t>
        </is>
      </c>
      <c r="B308" t="inlineStr">
        <is>
          <t>Other</t>
        </is>
      </c>
      <c r="D308" t="inlineStr">
        <is>
          <t>Old</t>
        </is>
      </c>
      <c r="E308" t="inlineStr">
        <is>
          <t>Space heating</t>
        </is>
      </c>
      <c r="F308" t="inlineStr">
        <is>
          <t>District steam heating system</t>
        </is>
      </c>
      <c r="G308" t="inlineStr">
        <is>
          <t>Steam / Cooling</t>
        </is>
      </c>
      <c r="H308" t="inlineStr">
        <is>
          <t>COMSTM</t>
        </is>
      </c>
      <c r="I308" t="inlineStr">
        <is>
          <t>COMOTHOldSHEUE</t>
        </is>
      </c>
      <c r="J308" t="inlineStr">
        <is>
          <t>COMOTHOldSHDHESTM19</t>
        </is>
      </c>
      <c r="K308" t="n">
        <v>8.760280445707766</v>
      </c>
      <c r="L308" t="n">
        <v>121.2240398850029</v>
      </c>
      <c r="M308" t="n">
        <v>1</v>
      </c>
      <c r="N308" t="n">
        <v>121.2240398850029</v>
      </c>
      <c r="O308" t="n">
        <v>113.5990477762362</v>
      </c>
      <c r="P308" t="n">
        <v>5.95552771017608</v>
      </c>
      <c r="Q308" t="inlineStr">
        <is>
          <t>MW</t>
        </is>
      </c>
      <c r="R308" t="n">
        <v>0.9370999999999999</v>
      </c>
      <c r="S308" t="n">
        <v>12.5</v>
      </c>
      <c r="T308" t="n">
        <v>1</v>
      </c>
      <c r="V308" t="n">
        <v>0.6048502080484288</v>
      </c>
      <c r="W308" t="n">
        <v>31.536</v>
      </c>
    </row>
    <row r="309">
      <c r="A309" t="inlineStr">
        <is>
          <t>Commercial</t>
        </is>
      </c>
      <c r="B309" t="inlineStr">
        <is>
          <t>Other</t>
        </is>
      </c>
      <c r="D309" t="inlineStr">
        <is>
          <t>Old</t>
        </is>
      </c>
      <c r="E309" t="inlineStr">
        <is>
          <t>Space cooling</t>
        </is>
      </c>
      <c r="F309" t="inlineStr">
        <is>
          <t>Res type central AC electric</t>
        </is>
      </c>
      <c r="G309" t="inlineStr">
        <is>
          <t>Electricity</t>
        </is>
      </c>
      <c r="H309" t="inlineStr">
        <is>
          <t>COMELC</t>
        </is>
      </c>
      <c r="I309" t="inlineStr">
        <is>
          <t>COMOTHOldSCEUE</t>
        </is>
      </c>
      <c r="J309" t="inlineStr">
        <is>
          <t>COMOTHOldSCRESELC19</t>
        </is>
      </c>
      <c r="K309" t="n">
        <v>8.760280445707766</v>
      </c>
      <c r="L309" t="n">
        <v>197.8814095229944</v>
      </c>
      <c r="M309" t="n">
        <v>0.02628174314741627</v>
      </c>
      <c r="N309" t="n">
        <v>5.200668378732031</v>
      </c>
      <c r="O309" t="n">
        <v>17.37620736153141</v>
      </c>
      <c r="P309" t="n">
        <v>3.480641391072754</v>
      </c>
      <c r="Q309" t="inlineStr">
        <is>
          <t>MW</t>
        </is>
      </c>
      <c r="R309" t="n">
        <v>3.341148886283705</v>
      </c>
      <c r="S309" t="n">
        <v>9</v>
      </c>
      <c r="T309" t="n">
        <v>8</v>
      </c>
      <c r="V309" t="n">
        <v>0.1583029847068214</v>
      </c>
      <c r="W309" t="n">
        <v>31.536</v>
      </c>
    </row>
    <row r="310">
      <c r="A310" t="inlineStr">
        <is>
          <t>Commercial</t>
        </is>
      </c>
      <c r="B310" t="inlineStr">
        <is>
          <t>Other</t>
        </is>
      </c>
      <c r="D310" t="inlineStr">
        <is>
          <t>Old</t>
        </is>
      </c>
      <c r="E310" t="inlineStr">
        <is>
          <t>Space cooling</t>
        </is>
      </c>
      <c r="F310" t="inlineStr">
        <is>
          <t>Room AC electric</t>
        </is>
      </c>
      <c r="G310" t="inlineStr">
        <is>
          <t>Electricity</t>
        </is>
      </c>
      <c r="H310" t="inlineStr">
        <is>
          <t>COMELC</t>
        </is>
      </c>
      <c r="I310" t="inlineStr">
        <is>
          <t>COMOTHOldSCEUE</t>
        </is>
      </c>
      <c r="J310" t="inlineStr">
        <is>
          <t>COMOTHOldSCRACELC19</t>
        </is>
      </c>
      <c r="K310" t="n">
        <v>8.760280445707766</v>
      </c>
      <c r="L310" t="n">
        <v>197.8814095229944</v>
      </c>
      <c r="M310" t="n">
        <v>0.5406346370512943</v>
      </c>
      <c r="N310" t="n">
        <v>106.9815440166626</v>
      </c>
      <c r="O310" t="n">
        <v>272.7841245442452</v>
      </c>
      <c r="P310" t="n">
        <v>31.44810696390939</v>
      </c>
      <c r="Q310" t="inlineStr">
        <is>
          <t>MW</t>
        </is>
      </c>
      <c r="R310" t="n">
        <v>2.549824150058616</v>
      </c>
      <c r="S310" t="n">
        <v>5</v>
      </c>
      <c r="T310" t="n">
        <v>0</v>
      </c>
      <c r="V310" t="n">
        <v>0.2750540074064939</v>
      </c>
      <c r="W310" t="n">
        <v>31.536</v>
      </c>
    </row>
    <row r="311">
      <c r="A311" t="inlineStr">
        <is>
          <t>Commercial</t>
        </is>
      </c>
      <c r="B311" t="inlineStr">
        <is>
          <t>Other</t>
        </is>
      </c>
      <c r="D311" t="inlineStr">
        <is>
          <t>Old</t>
        </is>
      </c>
      <c r="E311" t="inlineStr">
        <is>
          <t>Space cooling</t>
        </is>
      </c>
      <c r="F311" t="inlineStr">
        <is>
          <t>Central AC electric</t>
        </is>
      </c>
      <c r="G311" t="inlineStr">
        <is>
          <t>Electricity</t>
        </is>
      </c>
      <c r="H311" t="inlineStr">
        <is>
          <t>COMELC</t>
        </is>
      </c>
      <c r="I311" t="inlineStr">
        <is>
          <t>COMOTHOldSCEUE</t>
        </is>
      </c>
      <c r="J311" t="inlineStr">
        <is>
          <t>COMOTHOldSCCACELC19</t>
        </is>
      </c>
      <c r="K311" t="n">
        <v>8.760280445707766</v>
      </c>
      <c r="L311" t="n">
        <v>197.8814095229944</v>
      </c>
      <c r="M311" t="n">
        <v>0.3072330269622805</v>
      </c>
      <c r="N311" t="n">
        <v>60.79570442731221</v>
      </c>
      <c r="O311" t="n">
        <v>185.9290619113478</v>
      </c>
      <c r="P311" t="n">
        <v>37.89963375907711</v>
      </c>
      <c r="Q311" t="inlineStr">
        <is>
          <t>MW</t>
        </is>
      </c>
      <c r="R311" t="n">
        <v>3.058259850145268</v>
      </c>
      <c r="S311" t="n">
        <v>9</v>
      </c>
      <c r="T311" t="n">
        <v>8</v>
      </c>
      <c r="V311" t="n">
        <v>0.1555627665012269</v>
      </c>
      <c r="W311" t="n">
        <v>31.536</v>
      </c>
    </row>
    <row r="312">
      <c r="A312" t="inlineStr">
        <is>
          <t>Commercial</t>
        </is>
      </c>
      <c r="B312" t="inlineStr">
        <is>
          <t>Other</t>
        </is>
      </c>
      <c r="D312" t="inlineStr">
        <is>
          <t>Old</t>
        </is>
      </c>
      <c r="E312" t="inlineStr">
        <is>
          <t>Space cooling</t>
        </is>
      </c>
      <c r="F312" t="inlineStr">
        <is>
          <t>Rooftop Air HP electric</t>
        </is>
      </c>
      <c r="G312" t="inlineStr">
        <is>
          <t>Electricity</t>
        </is>
      </c>
      <c r="H312" t="inlineStr">
        <is>
          <t>COMELC</t>
        </is>
      </c>
      <c r="I312" t="inlineStr">
        <is>
          <t>COMOTHOldSCEUE</t>
        </is>
      </c>
      <c r="J312" t="inlineStr">
        <is>
          <t>COMOTHOldSCAHPELC19</t>
        </is>
      </c>
      <c r="K312" t="n">
        <v>8.760280445707766</v>
      </c>
      <c r="L312" t="n">
        <v>197.8814095229944</v>
      </c>
      <c r="M312" t="n">
        <v>0.09528584119399575</v>
      </c>
      <c r="N312" t="n">
        <v>18.85529656305208</v>
      </c>
      <c r="O312" t="n">
        <v>51.39339332836588</v>
      </c>
      <c r="P312" t="n">
        <v>2.823358414983416</v>
      </c>
      <c r="Q312" t="inlineStr">
        <is>
          <t>MW</t>
        </is>
      </c>
      <c r="R312" t="n">
        <v>2.72567409144197</v>
      </c>
      <c r="S312" t="n">
        <v>10.5</v>
      </c>
      <c r="T312" t="n">
        <v>14</v>
      </c>
      <c r="V312" t="n">
        <v>0.5772110983620368</v>
      </c>
      <c r="W312" t="n">
        <v>31.536</v>
      </c>
    </row>
    <row r="313">
      <c r="A313" t="inlineStr">
        <is>
          <t>Commercial</t>
        </is>
      </c>
      <c r="B313" t="inlineStr">
        <is>
          <t>Other</t>
        </is>
      </c>
      <c r="D313" t="inlineStr">
        <is>
          <t>Old</t>
        </is>
      </c>
      <c r="E313" t="inlineStr">
        <is>
          <t>Space cooling</t>
        </is>
      </c>
      <c r="F313" t="inlineStr">
        <is>
          <t>Rooftop Air AC electric</t>
        </is>
      </c>
      <c r="G313" t="inlineStr">
        <is>
          <t>Electricity</t>
        </is>
      </c>
      <c r="H313" t="inlineStr">
        <is>
          <t>COMELC</t>
        </is>
      </c>
      <c r="I313" t="inlineStr">
        <is>
          <t>COMOTHOldSCEUE</t>
        </is>
      </c>
      <c r="J313" t="inlineStr">
        <is>
          <t>COMOTHOldSCAACELC19</t>
        </is>
      </c>
      <c r="K313" t="n">
        <v>8.760280445707766</v>
      </c>
      <c r="L313" t="n">
        <v>197.8814095229944</v>
      </c>
      <c r="M313" t="n">
        <v>0.002411339717296651</v>
      </c>
      <c r="N313" t="n">
        <v>0.4771593020974402</v>
      </c>
      <c r="O313" t="n">
        <v>1.286596008000132</v>
      </c>
      <c r="P313" t="n">
        <v>0.2091388825218077</v>
      </c>
      <c r="Q313" t="inlineStr">
        <is>
          <t>MW</t>
        </is>
      </c>
      <c r="R313" t="n">
        <v>2.696365767878077</v>
      </c>
      <c r="S313" t="n">
        <v>10.5</v>
      </c>
      <c r="T313" t="n">
        <v>14</v>
      </c>
      <c r="V313" t="n">
        <v>0.195074637909916</v>
      </c>
      <c r="W313" t="n">
        <v>31.536</v>
      </c>
    </row>
    <row r="314">
      <c r="A314" t="inlineStr">
        <is>
          <t>Commercial</t>
        </is>
      </c>
      <c r="B314" t="inlineStr">
        <is>
          <t>Other</t>
        </is>
      </c>
      <c r="D314" t="inlineStr">
        <is>
          <t>Old</t>
        </is>
      </c>
      <c r="E314" t="inlineStr">
        <is>
          <t>Space cooling</t>
        </is>
      </c>
      <c r="F314" t="inlineStr">
        <is>
          <t>Res type central AC gas</t>
        </is>
      </c>
      <c r="G314" t="inlineStr">
        <is>
          <t>Electricity</t>
        </is>
      </c>
      <c r="H314" t="inlineStr">
        <is>
          <t>COMELC</t>
        </is>
      </c>
      <c r="I314" t="inlineStr">
        <is>
          <t>COMOTHOldSCEUE</t>
        </is>
      </c>
      <c r="J314" t="inlineStr">
        <is>
          <t>COMOTHOldSCRESNGA19</t>
        </is>
      </c>
      <c r="K314" t="n">
        <v>8.760280445707766</v>
      </c>
      <c r="L314" t="n">
        <v>197.8814095229944</v>
      </c>
      <c r="M314" t="n">
        <v>0.01272108424500082</v>
      </c>
      <c r="N314" t="n">
        <v>2.51726608106152</v>
      </c>
      <c r="O314" t="n">
        <v>1.510359648636912</v>
      </c>
      <c r="P314" t="n">
        <v>0.2852338249245234</v>
      </c>
      <c r="Q314" t="inlineStr">
        <is>
          <t>MW</t>
        </is>
      </c>
      <c r="R314" t="n">
        <v>0.6</v>
      </c>
      <c r="S314" t="n">
        <v>7.5</v>
      </c>
      <c r="T314" t="n">
        <v>12</v>
      </c>
      <c r="V314" t="n">
        <v>0.1679085230919629</v>
      </c>
      <c r="W314" t="n">
        <v>31.536</v>
      </c>
    </row>
    <row r="315">
      <c r="A315" t="inlineStr">
        <is>
          <t>Commercial</t>
        </is>
      </c>
      <c r="B315" t="inlineStr">
        <is>
          <t>Other</t>
        </is>
      </c>
      <c r="D315" t="inlineStr">
        <is>
          <t>Old</t>
        </is>
      </c>
      <c r="E315" t="inlineStr">
        <is>
          <t>Space cooling</t>
        </is>
      </c>
      <c r="F315" t="inlineStr">
        <is>
          <t>Absorption chiller</t>
        </is>
      </c>
      <c r="G315" t="inlineStr">
        <is>
          <t>Electricity</t>
        </is>
      </c>
      <c r="H315" t="inlineStr">
        <is>
          <t>COMELC</t>
        </is>
      </c>
      <c r="I315" t="inlineStr">
        <is>
          <t>COMOTHOldSCEUE</t>
        </is>
      </c>
      <c r="J315" t="inlineStr">
        <is>
          <t>COMOTHOldSCACHSTM19</t>
        </is>
      </c>
      <c r="K315" t="n">
        <v>8.760280445707766</v>
      </c>
      <c r="L315" t="n">
        <v>197.8814095229944</v>
      </c>
      <c r="M315" t="n">
        <v>0.01543232768271626</v>
      </c>
      <c r="N315" t="n">
        <v>3.053770754076619</v>
      </c>
      <c r="O315" t="n">
        <v>3.053770754076619</v>
      </c>
      <c r="P315" t="n">
        <v>0.5196743259583925</v>
      </c>
      <c r="Q315" t="inlineStr">
        <is>
          <t>MW</t>
        </is>
      </c>
      <c r="R315" t="n">
        <v>1</v>
      </c>
      <c r="S315" t="n">
        <v>11.5</v>
      </c>
      <c r="T315" t="n">
        <v>10</v>
      </c>
      <c r="V315" t="n">
        <v>0.1863367700516853</v>
      </c>
      <c r="W315" t="n">
        <v>31.536</v>
      </c>
    </row>
    <row r="316">
      <c r="A316" t="inlineStr">
        <is>
          <t>Commercial</t>
        </is>
      </c>
      <c r="B316" t="inlineStr">
        <is>
          <t>Other</t>
        </is>
      </c>
      <c r="D316" t="inlineStr">
        <is>
          <t>Old</t>
        </is>
      </c>
      <c r="E316" t="inlineStr">
        <is>
          <t>Space cooling</t>
        </is>
      </c>
      <c r="F316" t="inlineStr">
        <is>
          <t>District chilled water</t>
        </is>
      </c>
      <c r="G316" t="inlineStr">
        <is>
          <t>Electricity</t>
        </is>
      </c>
      <c r="H316" t="inlineStr">
        <is>
          <t>COMELC</t>
        </is>
      </c>
      <c r="I316" t="inlineStr">
        <is>
          <t>COMOTHOldSCEUE</t>
        </is>
      </c>
      <c r="J316" t="inlineStr">
        <is>
          <t>COMOTHOldSCDCOCHI19</t>
        </is>
      </c>
      <c r="K316" t="n">
        <v>8.760280445707766</v>
      </c>
      <c r="L316" t="n">
        <v>197.8814095229944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MW</t>
        </is>
      </c>
      <c r="R316" t="n">
        <v>1</v>
      </c>
      <c r="S316" t="n">
        <v>12.5</v>
      </c>
      <c r="T316" t="n">
        <v>1</v>
      </c>
      <c r="V316" t="n">
        <v>0</v>
      </c>
      <c r="W316" t="n">
        <v>31.536</v>
      </c>
    </row>
    <row r="317">
      <c r="A317" t="inlineStr">
        <is>
          <t>Commercial</t>
        </is>
      </c>
      <c r="B317" t="inlineStr">
        <is>
          <t>Other</t>
        </is>
      </c>
      <c r="D317" t="inlineStr">
        <is>
          <t>Old</t>
        </is>
      </c>
      <c r="E317" t="inlineStr">
        <is>
          <t>Ventilation</t>
        </is>
      </c>
      <c r="F317" t="inlineStr">
        <is>
          <t>Electricity</t>
        </is>
      </c>
      <c r="G317" t="inlineStr">
        <is>
          <t>Electricity</t>
        </is>
      </c>
      <c r="H317" t="inlineStr">
        <is>
          <t>COMELC</t>
        </is>
      </c>
      <c r="I317" t="inlineStr">
        <is>
          <t>COMOTHOldVTEUE</t>
        </is>
      </c>
      <c r="J317" t="inlineStr">
        <is>
          <t>COMOTHOldVTELC19</t>
        </is>
      </c>
      <c r="K317" t="n">
        <v>8.760280445707766</v>
      </c>
      <c r="L317" t="n">
        <v>448.8461592296574</v>
      </c>
      <c r="M317" t="n">
        <v>1</v>
      </c>
      <c r="N317" t="n">
        <v>448.8461592296574</v>
      </c>
      <c r="O317" t="n">
        <v>448.8461592296574</v>
      </c>
      <c r="P317" t="n">
        <v>32.34731441337299</v>
      </c>
      <c r="Q317" t="inlineStr">
        <is>
          <t>MW</t>
        </is>
      </c>
      <c r="R317" t="n">
        <v>1</v>
      </c>
      <c r="S317" t="n">
        <v>10</v>
      </c>
      <c r="T317" t="n">
        <v>97</v>
      </c>
      <c r="V317" t="n">
        <v>0.44</v>
      </c>
      <c r="W317" t="n">
        <v>31.536</v>
      </c>
    </row>
    <row r="318">
      <c r="A318" t="inlineStr">
        <is>
          <t>Commercial</t>
        </is>
      </c>
      <c r="B318" t="inlineStr">
        <is>
          <t>Other</t>
        </is>
      </c>
      <c r="D318" t="inlineStr">
        <is>
          <t>Old</t>
        </is>
      </c>
      <c r="E318" t="inlineStr">
        <is>
          <t>Water heating</t>
        </is>
      </c>
      <c r="F318" t="inlineStr">
        <is>
          <t>Fuel oil</t>
        </is>
      </c>
      <c r="G318" t="inlineStr">
        <is>
          <t>Fuel oil</t>
        </is>
      </c>
      <c r="H318" t="inlineStr">
        <is>
          <t>COMFOI</t>
        </is>
      </c>
      <c r="I318" t="inlineStr">
        <is>
          <t>COMOTHOldWHEUE</t>
        </is>
      </c>
      <c r="J318" t="inlineStr">
        <is>
          <t>COMOTHOldWHFOI19</t>
        </is>
      </c>
      <c r="K318" t="n">
        <v>8.760280445707766</v>
      </c>
      <c r="L318" t="n">
        <v>3.770706390795462</v>
      </c>
      <c r="M318" t="n">
        <v>1</v>
      </c>
      <c r="N318" t="n">
        <v>3.770706390795462</v>
      </c>
      <c r="O318" t="n">
        <v>2.94115098482046</v>
      </c>
      <c r="P318" t="n">
        <v>0.2119620134579572</v>
      </c>
      <c r="Q318" t="inlineStr">
        <is>
          <t>MW</t>
        </is>
      </c>
      <c r="R318" t="n">
        <v>0.78</v>
      </c>
      <c r="S318" t="n">
        <v>6.5</v>
      </c>
      <c r="T318" t="n">
        <v>6</v>
      </c>
      <c r="V318" t="n">
        <v>0.44</v>
      </c>
      <c r="W318" t="n">
        <v>31.536</v>
      </c>
    </row>
    <row r="319">
      <c r="A319" t="inlineStr">
        <is>
          <t>Commercial</t>
        </is>
      </c>
      <c r="B319" t="inlineStr">
        <is>
          <t>Other</t>
        </is>
      </c>
      <c r="D319" t="inlineStr">
        <is>
          <t>Old</t>
        </is>
      </c>
      <c r="E319" t="inlineStr">
        <is>
          <t>Water heating</t>
        </is>
      </c>
      <c r="F319" t="inlineStr">
        <is>
          <t>Natural gas</t>
        </is>
      </c>
      <c r="G319" t="inlineStr">
        <is>
          <t>Natural gas</t>
        </is>
      </c>
      <c r="H319" t="inlineStr">
        <is>
          <t>COMNGA</t>
        </is>
      </c>
      <c r="I319" t="inlineStr">
        <is>
          <t>COMOTHOldWHEUE</t>
        </is>
      </c>
      <c r="J319" t="inlineStr">
        <is>
          <t>COMOTHOldWHNGA19</t>
        </is>
      </c>
      <c r="K319" t="n">
        <v>8.760280445707766</v>
      </c>
      <c r="L319" t="n">
        <v>45.07033521647504</v>
      </c>
      <c r="M319" t="n">
        <v>1</v>
      </c>
      <c r="N319" t="n">
        <v>45.07033521647504</v>
      </c>
      <c r="O319" t="n">
        <v>34.70415811668578</v>
      </c>
      <c r="P319" t="n">
        <v>2.501049170117685</v>
      </c>
      <c r="Q319" t="inlineStr">
        <is>
          <t>MW</t>
        </is>
      </c>
      <c r="R319" t="n">
        <v>0.77</v>
      </c>
      <c r="S319" t="n">
        <v>5</v>
      </c>
      <c r="T319" t="n">
        <v>7</v>
      </c>
      <c r="V319" t="n">
        <v>0.44</v>
      </c>
      <c r="W319" t="n">
        <v>31.536</v>
      </c>
    </row>
    <row r="320">
      <c r="A320" t="inlineStr">
        <is>
          <t>Commercial</t>
        </is>
      </c>
      <c r="B320" t="inlineStr">
        <is>
          <t>Other</t>
        </is>
      </c>
      <c r="D320" t="inlineStr">
        <is>
          <t>Old</t>
        </is>
      </c>
      <c r="E320" t="inlineStr">
        <is>
          <t>Water heating</t>
        </is>
      </c>
      <c r="F320" t="inlineStr">
        <is>
          <t>Steam / Cooling</t>
        </is>
      </c>
      <c r="G320" t="inlineStr">
        <is>
          <t>Steam / Cooling</t>
        </is>
      </c>
      <c r="H320" t="inlineStr">
        <is>
          <t>COMSTM</t>
        </is>
      </c>
      <c r="I320" t="inlineStr">
        <is>
          <t>COMOTHOldWHEUE</t>
        </is>
      </c>
      <c r="J320" t="inlineStr">
        <is>
          <t>COMOTHOldWHSTM19</t>
        </is>
      </c>
      <c r="K320" t="n">
        <v>8.760280445707766</v>
      </c>
      <c r="L320" t="n">
        <v>0.8423141139176591</v>
      </c>
      <c r="M320" t="n">
        <v>1</v>
      </c>
      <c r="N320" t="n">
        <v>0.8423141139176591</v>
      </c>
      <c r="O320" t="n">
        <v>0.8210456825412381</v>
      </c>
      <c r="P320" t="n">
        <v>0.05917088136943335</v>
      </c>
      <c r="Q320" t="inlineStr">
        <is>
          <t>MW</t>
        </is>
      </c>
      <c r="R320" t="n">
        <v>0.9747499999999999</v>
      </c>
      <c r="S320" t="n">
        <v>12.5</v>
      </c>
      <c r="T320" t="n">
        <v>1</v>
      </c>
      <c r="V320" t="n">
        <v>0.44</v>
      </c>
      <c r="W320" t="n">
        <v>31.536</v>
      </c>
    </row>
    <row r="321">
      <c r="A321" t="inlineStr">
        <is>
          <t>Commercial</t>
        </is>
      </c>
      <c r="B321" t="inlineStr">
        <is>
          <t>Other</t>
        </is>
      </c>
      <c r="D321" t="inlineStr">
        <is>
          <t>Old</t>
        </is>
      </c>
      <c r="E321" t="inlineStr">
        <is>
          <t>Water heating</t>
        </is>
      </c>
      <c r="F321" t="inlineStr">
        <is>
          <t>Electricity</t>
        </is>
      </c>
      <c r="G321" t="inlineStr">
        <is>
          <t>Electricity</t>
        </is>
      </c>
      <c r="H321" t="inlineStr">
        <is>
          <t>COMELC</t>
        </is>
      </c>
      <c r="I321" t="inlineStr">
        <is>
          <t>COMOTHOldWHEUE</t>
        </is>
      </c>
      <c r="J321" t="inlineStr">
        <is>
          <t>COMOTHOldWHELC19</t>
        </is>
      </c>
      <c r="K321" t="n">
        <v>8.760280445707766</v>
      </c>
      <c r="L321" t="n">
        <v>2.126861505032398</v>
      </c>
      <c r="M321" t="n">
        <v>1</v>
      </c>
      <c r="N321" t="n">
        <v>2.126861505032398</v>
      </c>
      <c r="O321" t="n">
        <v>2.07315825203033</v>
      </c>
      <c r="P321" t="n">
        <v>0.1494077657302427</v>
      </c>
      <c r="Q321" t="inlineStr">
        <is>
          <t>MW</t>
        </is>
      </c>
      <c r="R321" t="n">
        <v>0.9747499999999999</v>
      </c>
      <c r="S321" t="n">
        <v>7.5</v>
      </c>
      <c r="T321" t="n">
        <v>2</v>
      </c>
      <c r="V321" t="n">
        <v>0.44</v>
      </c>
      <c r="W321" t="n">
        <v>31.536</v>
      </c>
    </row>
    <row r="322">
      <c r="A322" t="inlineStr">
        <is>
          <t>Commercial</t>
        </is>
      </c>
      <c r="B322" t="inlineStr">
        <is>
          <t>Other</t>
        </is>
      </c>
      <c r="D322" t="inlineStr">
        <is>
          <t>Old</t>
        </is>
      </c>
      <c r="E322" t="inlineStr">
        <is>
          <t>Lighting</t>
        </is>
      </c>
      <c r="F322" t="inlineStr">
        <is>
          <t>Fluorescent</t>
        </is>
      </c>
      <c r="G322" t="inlineStr">
        <is>
          <t>Electricity</t>
        </is>
      </c>
      <c r="H322" t="inlineStr">
        <is>
          <t>COMELC</t>
        </is>
      </c>
      <c r="I322" t="inlineStr">
        <is>
          <t>COMOTHOldLTEUE</t>
        </is>
      </c>
      <c r="J322" t="inlineStr">
        <is>
          <t>COMOTHOldLTFLUELC19</t>
        </is>
      </c>
      <c r="K322" t="n">
        <v>8.760280445707766</v>
      </c>
      <c r="L322" t="n">
        <v>587.7537041142455</v>
      </c>
      <c r="M322" t="n">
        <v>0.4310270863251521</v>
      </c>
      <c r="N322" t="n">
        <v>253.3377665611788</v>
      </c>
      <c r="O322" t="n">
        <v>603.4853623893046</v>
      </c>
      <c r="P322" t="n">
        <v>1434.809526428087</v>
      </c>
      <c r="Q322" t="inlineStr">
        <is>
          <t>Mlma</t>
        </is>
      </c>
      <c r="R322" t="n">
        <v>2.382137375650891</v>
      </c>
      <c r="S322" t="n">
        <v>5</v>
      </c>
      <c r="T322" t="n">
        <v>1</v>
      </c>
      <c r="V322" t="n">
        <v>0.420603119280691</v>
      </c>
      <c r="W322" t="n">
        <v>1</v>
      </c>
    </row>
    <row r="323">
      <c r="A323" t="inlineStr">
        <is>
          <t>Commercial</t>
        </is>
      </c>
      <c r="B323" t="inlineStr">
        <is>
          <t>Other</t>
        </is>
      </c>
      <c r="D323" t="inlineStr">
        <is>
          <t>Old</t>
        </is>
      </c>
      <c r="E323" t="inlineStr">
        <is>
          <t>Lighting</t>
        </is>
      </c>
      <c r="F323" t="inlineStr">
        <is>
          <t>Compact fluorescent</t>
        </is>
      </c>
      <c r="G323" t="inlineStr">
        <is>
          <t>Electricity</t>
        </is>
      </c>
      <c r="H323" t="inlineStr">
        <is>
          <t>COMELC</t>
        </is>
      </c>
      <c r="I323" t="inlineStr">
        <is>
          <t>COMOTHOldLTEUE</t>
        </is>
      </c>
      <c r="J323" t="inlineStr">
        <is>
          <t>COMOTHOldLTCFLELC19</t>
        </is>
      </c>
      <c r="K323" t="n">
        <v>8.760280445707766</v>
      </c>
      <c r="L323" t="n">
        <v>587.7537041142455</v>
      </c>
      <c r="M323" t="n">
        <v>0.2499975192092251</v>
      </c>
      <c r="N323" t="n">
        <v>146.9369679345943</v>
      </c>
      <c r="O323" t="n">
        <v>202.0503957130974</v>
      </c>
      <c r="P323" t="n">
        <v>332.703188441452</v>
      </c>
      <c r="Q323" t="inlineStr">
        <is>
          <t>Mlma</t>
        </is>
      </c>
      <c r="R323" t="n">
        <v>1.375082108697354</v>
      </c>
      <c r="S323" t="n">
        <v>5</v>
      </c>
      <c r="T323" t="n">
        <v>5</v>
      </c>
      <c r="V323" t="n">
        <v>0.6072992466937345</v>
      </c>
      <c r="W323" t="n">
        <v>1</v>
      </c>
    </row>
    <row r="324">
      <c r="A324" t="inlineStr">
        <is>
          <t>Commercial</t>
        </is>
      </c>
      <c r="B324" t="inlineStr">
        <is>
          <t>Other</t>
        </is>
      </c>
      <c r="D324" t="inlineStr">
        <is>
          <t>Old</t>
        </is>
      </c>
      <c r="E324" t="inlineStr">
        <is>
          <t>Lighting</t>
        </is>
      </c>
      <c r="F324" t="inlineStr">
        <is>
          <t>Incandescent</t>
        </is>
      </c>
      <c r="G324" t="inlineStr">
        <is>
          <t>Electricity</t>
        </is>
      </c>
      <c r="H324" t="inlineStr">
        <is>
          <t>COMELC</t>
        </is>
      </c>
      <c r="I324" t="inlineStr">
        <is>
          <t>COMOTHOldLTEUE</t>
        </is>
      </c>
      <c r="J324" t="inlineStr">
        <is>
          <t>COMOTHOldLTINCELC19</t>
        </is>
      </c>
      <c r="K324" t="n">
        <v>8.760280445707766</v>
      </c>
      <c r="L324" t="n">
        <v>587.7537041142455</v>
      </c>
      <c r="M324" t="n">
        <v>0.0124423235076943</v>
      </c>
      <c r="N324" t="n">
        <v>7.313021729435074</v>
      </c>
      <c r="O324" t="n">
        <v>2.446716627898092</v>
      </c>
      <c r="P324" t="n">
        <v>97.22099874644124</v>
      </c>
      <c r="Q324" t="inlineStr">
        <is>
          <t>Mlma</t>
        </is>
      </c>
      <c r="R324" t="n">
        <v>0.3345698561307432</v>
      </c>
      <c r="S324" t="n">
        <v>0.5</v>
      </c>
      <c r="T324" t="n">
        <v>1</v>
      </c>
      <c r="V324" t="n">
        <v>0.02516654487657846</v>
      </c>
      <c r="W324" t="n">
        <v>1</v>
      </c>
    </row>
    <row r="325">
      <c r="A325" t="inlineStr">
        <is>
          <t>Commercial</t>
        </is>
      </c>
      <c r="B325" t="inlineStr">
        <is>
          <t>Other</t>
        </is>
      </c>
      <c r="D325" t="inlineStr">
        <is>
          <t>Old</t>
        </is>
      </c>
      <c r="E325" t="inlineStr">
        <is>
          <t>Lighting</t>
        </is>
      </c>
      <c r="F325" t="inlineStr">
        <is>
          <t>Halogen</t>
        </is>
      </c>
      <c r="G325" t="inlineStr">
        <is>
          <t>Electricity</t>
        </is>
      </c>
      <c r="H325" t="inlineStr">
        <is>
          <t>COMELC</t>
        </is>
      </c>
      <c r="I325" t="inlineStr">
        <is>
          <t>COMOTHOldLTEUE</t>
        </is>
      </c>
      <c r="J325" t="inlineStr">
        <is>
          <t>COMOTHOldLTHALELC19</t>
        </is>
      </c>
      <c r="K325" t="n">
        <v>8.760280445707766</v>
      </c>
      <c r="L325" t="n">
        <v>587.7537041142455</v>
      </c>
      <c r="M325" t="n">
        <v>0.08985724050848624</v>
      </c>
      <c r="N325" t="n">
        <v>52.81392595034742</v>
      </c>
      <c r="O325" t="n">
        <v>23.85442926932507</v>
      </c>
      <c r="P325" t="n">
        <v>88.09665937452422</v>
      </c>
      <c r="Q325" t="inlineStr">
        <is>
          <t>Mlma</t>
        </is>
      </c>
      <c r="R325" t="n">
        <v>0.4516693057765032</v>
      </c>
      <c r="S325" t="n">
        <v>5</v>
      </c>
      <c r="T325" t="n">
        <v>37</v>
      </c>
      <c r="V325" t="n">
        <v>0.2707756393793893</v>
      </c>
      <c r="W325" t="n">
        <v>1</v>
      </c>
    </row>
    <row r="326">
      <c r="A326" t="inlineStr">
        <is>
          <t>Commercial</t>
        </is>
      </c>
      <c r="B326" t="inlineStr">
        <is>
          <t>Other</t>
        </is>
      </c>
      <c r="D326" t="inlineStr">
        <is>
          <t>Old</t>
        </is>
      </c>
      <c r="E326" t="inlineStr">
        <is>
          <t>Lighting</t>
        </is>
      </c>
      <c r="F326" t="inlineStr">
        <is>
          <t>HID</t>
        </is>
      </c>
      <c r="G326" t="inlineStr">
        <is>
          <t>Electricity</t>
        </is>
      </c>
      <c r="H326" t="inlineStr">
        <is>
          <t>COMELC</t>
        </is>
      </c>
      <c r="I326" t="inlineStr">
        <is>
          <t>COMOTHOldLTEUE</t>
        </is>
      </c>
      <c r="J326" t="inlineStr">
        <is>
          <t>COMOTHOldLTHIDELC19</t>
        </is>
      </c>
      <c r="K326" t="n">
        <v>8.760280445707766</v>
      </c>
      <c r="L326" t="n">
        <v>587.7537041142455</v>
      </c>
      <c r="M326" t="n">
        <v>0.05545140707082704</v>
      </c>
      <c r="N326" t="n">
        <v>32.59176990422546</v>
      </c>
      <c r="O326" t="n">
        <v>61.68015882970242</v>
      </c>
      <c r="P326" t="n">
        <v>155.9511565647737</v>
      </c>
      <c r="Q326" t="inlineStr">
        <is>
          <t>Mlma</t>
        </is>
      </c>
      <c r="R326" t="n">
        <v>1.892507188500546</v>
      </c>
      <c r="S326" t="n">
        <v>0.5</v>
      </c>
      <c r="T326" t="n">
        <v>1</v>
      </c>
      <c r="V326" t="n">
        <v>0.3955094671201352</v>
      </c>
      <c r="W326" t="n">
        <v>1</v>
      </c>
    </row>
    <row r="327">
      <c r="A327" t="inlineStr">
        <is>
          <t>Commercial</t>
        </is>
      </c>
      <c r="B327" t="inlineStr">
        <is>
          <t>Other</t>
        </is>
      </c>
      <c r="D327" t="inlineStr">
        <is>
          <t>Old</t>
        </is>
      </c>
      <c r="E327" t="inlineStr">
        <is>
          <t>Lighting</t>
        </is>
      </c>
      <c r="F327" t="inlineStr">
        <is>
          <t>LED</t>
        </is>
      </c>
      <c r="G327" t="inlineStr">
        <is>
          <t>Electricity</t>
        </is>
      </c>
      <c r="H327" t="inlineStr">
        <is>
          <t>COMELC</t>
        </is>
      </c>
      <c r="I327" t="inlineStr">
        <is>
          <t>COMOTHOldLTEUE</t>
        </is>
      </c>
      <c r="J327" t="inlineStr">
        <is>
          <t>COMOTHOldLTLEDELC19</t>
        </is>
      </c>
      <c r="K327" t="n">
        <v>8.760280445707766</v>
      </c>
      <c r="L327" t="n">
        <v>587.7537041142455</v>
      </c>
      <c r="M327" t="n">
        <v>0.1612244233786155</v>
      </c>
      <c r="N327" t="n">
        <v>94.76025203446459</v>
      </c>
      <c r="O327" t="n">
        <v>179.3344581593477</v>
      </c>
      <c r="P327" t="n">
        <v>717.2770858852616</v>
      </c>
      <c r="Q327" t="inlineStr">
        <is>
          <t>Mlma</t>
        </is>
      </c>
      <c r="R327" t="n">
        <v>1.892507188500546</v>
      </c>
      <c r="S327" t="n">
        <v>5</v>
      </c>
      <c r="T327" t="n">
        <v>2</v>
      </c>
      <c r="V327" t="n">
        <v>0.2500211726936928</v>
      </c>
      <c r="W327" t="n">
        <v>1</v>
      </c>
    </row>
    <row r="328">
      <c r="A328" t="inlineStr">
        <is>
          <t>Commercial</t>
        </is>
      </c>
      <c r="B328" t="inlineStr">
        <is>
          <t>Other</t>
        </is>
      </c>
      <c r="D328" t="inlineStr">
        <is>
          <t>Old</t>
        </is>
      </c>
      <c r="E328" t="inlineStr">
        <is>
          <t>Lighting</t>
        </is>
      </c>
      <c r="F328" t="inlineStr">
        <is>
          <t>Other lighting</t>
        </is>
      </c>
      <c r="G328" t="inlineStr">
        <is>
          <t>Electricity</t>
        </is>
      </c>
      <c r="H328" t="inlineStr">
        <is>
          <t>COMELC</t>
        </is>
      </c>
      <c r="I328" t="inlineStr">
        <is>
          <t>COMOTHOldLTEUE</t>
        </is>
      </c>
      <c r="J328" t="inlineStr">
        <is>
          <t>COMOTHOldLTOTHELC19</t>
        </is>
      </c>
      <c r="K328" t="n">
        <v>8.760280445707766</v>
      </c>
      <c r="L328" t="n">
        <v>587.7537041142455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Mlma</t>
        </is>
      </c>
      <c r="R328" t="n">
        <v>0.9635611856565404</v>
      </c>
      <c r="S328" t="n">
        <v>0.5</v>
      </c>
      <c r="T328" t="n">
        <v>1</v>
      </c>
      <c r="V328" t="n">
        <v>0</v>
      </c>
      <c r="W328" t="n">
        <v>1</v>
      </c>
    </row>
    <row r="329">
      <c r="A329" t="inlineStr">
        <is>
          <t>Commercial</t>
        </is>
      </c>
      <c r="B329" t="inlineStr">
        <is>
          <t>Other</t>
        </is>
      </c>
      <c r="D329" t="inlineStr">
        <is>
          <t>Old</t>
        </is>
      </c>
      <c r="E329" t="inlineStr">
        <is>
          <t>Cooking</t>
        </is>
      </c>
      <c r="F329" t="inlineStr">
        <is>
          <t>Fuel oil</t>
        </is>
      </c>
      <c r="G329" t="inlineStr">
        <is>
          <t>Fuel oil</t>
        </is>
      </c>
      <c r="H329" t="inlineStr">
        <is>
          <t>COMFOI</t>
        </is>
      </c>
      <c r="I329" t="inlineStr">
        <is>
          <t>COMOTHOldCKEUE</t>
        </is>
      </c>
      <c r="J329" t="inlineStr">
        <is>
          <t>COMOTHOldCKFOI19</t>
        </is>
      </c>
      <c r="K329" t="n">
        <v>8.760280445707766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inlineStr">
        <is>
          <t>MW</t>
        </is>
      </c>
      <c r="R329" t="n">
        <v>0.45</v>
      </c>
      <c r="S329" t="n">
        <v>6</v>
      </c>
      <c r="T329" t="n">
        <v>8</v>
      </c>
      <c r="V329" t="n">
        <v>0.44</v>
      </c>
      <c r="W329" t="n">
        <v>31.536</v>
      </c>
    </row>
    <row r="330">
      <c r="A330" t="inlineStr">
        <is>
          <t>Commercial</t>
        </is>
      </c>
      <c r="B330" t="inlineStr">
        <is>
          <t>Other</t>
        </is>
      </c>
      <c r="D330" t="inlineStr">
        <is>
          <t>Old</t>
        </is>
      </c>
      <c r="E330" t="inlineStr">
        <is>
          <t>Cooking</t>
        </is>
      </c>
      <c r="F330" t="inlineStr">
        <is>
          <t>Natural gas</t>
        </is>
      </c>
      <c r="G330" t="inlineStr">
        <is>
          <t>Natural gas</t>
        </is>
      </c>
      <c r="H330" t="inlineStr">
        <is>
          <t>COMNGA</t>
        </is>
      </c>
      <c r="I330" t="inlineStr">
        <is>
          <t>COMOTHOldCKEUE</t>
        </is>
      </c>
      <c r="J330" t="inlineStr">
        <is>
          <t>COMOTHOldCKNGA19</t>
        </is>
      </c>
      <c r="K330" t="n">
        <v>8.760280445707766</v>
      </c>
      <c r="L330" t="n">
        <v>249.952910162413</v>
      </c>
      <c r="M330" t="n">
        <v>1</v>
      </c>
      <c r="N330" t="n">
        <v>249.952910162413</v>
      </c>
      <c r="O330" t="n">
        <v>112.4788095730859</v>
      </c>
      <c r="P330" t="n">
        <v>8.106090123054594</v>
      </c>
      <c r="Q330" t="inlineStr">
        <is>
          <t>MW</t>
        </is>
      </c>
      <c r="R330" t="n">
        <v>0.45</v>
      </c>
      <c r="S330" t="n">
        <v>6</v>
      </c>
      <c r="T330" t="n">
        <v>8</v>
      </c>
      <c r="V330" t="n">
        <v>0.44</v>
      </c>
      <c r="W330" t="n">
        <v>31.536</v>
      </c>
    </row>
    <row r="331">
      <c r="A331" t="inlineStr">
        <is>
          <t>Commercial</t>
        </is>
      </c>
      <c r="B331" t="inlineStr">
        <is>
          <t>Other</t>
        </is>
      </c>
      <c r="D331" t="inlineStr">
        <is>
          <t>Old</t>
        </is>
      </c>
      <c r="E331" t="inlineStr">
        <is>
          <t>Cooking</t>
        </is>
      </c>
      <c r="F331" t="inlineStr">
        <is>
          <t>Steam / Cooling</t>
        </is>
      </c>
      <c r="G331" t="inlineStr">
        <is>
          <t>Steam / Cooling</t>
        </is>
      </c>
      <c r="H331" t="inlineStr">
        <is>
          <t>COMSTM</t>
        </is>
      </c>
      <c r="I331" t="inlineStr">
        <is>
          <t>COMOTHOldCKEUE</t>
        </is>
      </c>
      <c r="J331" t="inlineStr">
        <is>
          <t>COMOTHOldCKSTM19</t>
        </is>
      </c>
      <c r="K331" t="n">
        <v>8.760280445707766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inlineStr">
        <is>
          <t>MW</t>
        </is>
      </c>
      <c r="R331" t="n">
        <v>0.7</v>
      </c>
      <c r="S331" t="n">
        <v>6</v>
      </c>
      <c r="T331" t="n">
        <v>8</v>
      </c>
      <c r="V331" t="n">
        <v>0.44</v>
      </c>
      <c r="W331" t="n">
        <v>31.536</v>
      </c>
    </row>
    <row r="332">
      <c r="A332" t="inlineStr">
        <is>
          <t>Commercial</t>
        </is>
      </c>
      <c r="B332" t="inlineStr">
        <is>
          <t>Other</t>
        </is>
      </c>
      <c r="D332" t="inlineStr">
        <is>
          <t>Old</t>
        </is>
      </c>
      <c r="E332" t="inlineStr">
        <is>
          <t>Cooking</t>
        </is>
      </c>
      <c r="F332" t="inlineStr">
        <is>
          <t>Electricity</t>
        </is>
      </c>
      <c r="G332" t="inlineStr">
        <is>
          <t>Electricity</t>
        </is>
      </c>
      <c r="H332" t="inlineStr">
        <is>
          <t>COMELC</t>
        </is>
      </c>
      <c r="I332" t="inlineStr">
        <is>
          <t>COMOTHOldCKEUE</t>
        </is>
      </c>
      <c r="J332" t="inlineStr">
        <is>
          <t>COMOTHOldCKELC19</t>
        </is>
      </c>
      <c r="K332" t="n">
        <v>8.760280445707766</v>
      </c>
      <c r="L332" t="n">
        <v>26.49383475237982</v>
      </c>
      <c r="M332" t="n">
        <v>1</v>
      </c>
      <c r="N332" t="n">
        <v>26.49383475237982</v>
      </c>
      <c r="O332" t="n">
        <v>18.54568432666587</v>
      </c>
      <c r="P332" t="n">
        <v>1.336544982261678</v>
      </c>
      <c r="Q332" t="inlineStr">
        <is>
          <t>MW</t>
        </is>
      </c>
      <c r="R332" t="n">
        <v>0.7</v>
      </c>
      <c r="S332" t="n">
        <v>6</v>
      </c>
      <c r="T332" t="n">
        <v>8</v>
      </c>
      <c r="V332" t="n">
        <v>0.44</v>
      </c>
      <c r="W332" t="n">
        <v>31.536</v>
      </c>
    </row>
    <row r="333">
      <c r="A333" t="inlineStr">
        <is>
          <t>Commercial</t>
        </is>
      </c>
      <c r="B333" t="inlineStr">
        <is>
          <t>Other</t>
        </is>
      </c>
      <c r="D333" t="inlineStr">
        <is>
          <t>Old</t>
        </is>
      </c>
      <c r="E333" t="inlineStr">
        <is>
          <t>Refrigeration</t>
        </is>
      </c>
      <c r="F333" t="inlineStr">
        <is>
          <t>Electricity</t>
        </is>
      </c>
      <c r="G333" t="inlineStr">
        <is>
          <t>Electricity</t>
        </is>
      </c>
      <c r="H333" t="inlineStr">
        <is>
          <t>COMELC</t>
        </is>
      </c>
      <c r="I333" t="inlineStr">
        <is>
          <t>COMOTHOldREEUE</t>
        </is>
      </c>
      <c r="J333" t="inlineStr">
        <is>
          <t>COMOTHOldREELC19</t>
        </is>
      </c>
      <c r="K333" t="n">
        <v>8.760280445707766</v>
      </c>
      <c r="L333" t="n">
        <v>96.22003708568541</v>
      </c>
      <c r="M333" t="n">
        <v>1</v>
      </c>
      <c r="N333" t="n">
        <v>96.22003708568541</v>
      </c>
      <c r="O333" t="n">
        <v>96.22003708568541</v>
      </c>
      <c r="P333" t="n">
        <v>6.934357637857269</v>
      </c>
      <c r="Q333" t="inlineStr">
        <is>
          <t>MW</t>
        </is>
      </c>
      <c r="R333" t="n">
        <v>1</v>
      </c>
      <c r="S333" t="n">
        <v>5</v>
      </c>
      <c r="T333" t="n">
        <v>500</v>
      </c>
      <c r="V333" t="n">
        <v>0.44</v>
      </c>
      <c r="W333" t="n">
        <v>31.536</v>
      </c>
    </row>
    <row r="334">
      <c r="A334" t="inlineStr">
        <is>
          <t>Commercial</t>
        </is>
      </c>
      <c r="B334" t="inlineStr">
        <is>
          <t>Other</t>
        </is>
      </c>
      <c r="D334" t="inlineStr">
        <is>
          <t>Old</t>
        </is>
      </c>
      <c r="E334" t="inlineStr">
        <is>
          <t>Other end use</t>
        </is>
      </c>
      <c r="F334" t="inlineStr">
        <is>
          <t>Fuel oil</t>
        </is>
      </c>
      <c r="G334" t="inlineStr">
        <is>
          <t>Fuel oil</t>
        </is>
      </c>
      <c r="H334" t="inlineStr">
        <is>
          <t>COMFOI</t>
        </is>
      </c>
      <c r="I334" t="inlineStr">
        <is>
          <t>COMOTHOldOEEUE</t>
        </is>
      </c>
      <c r="J334" t="inlineStr">
        <is>
          <t>COMOTHOldOEFOI19</t>
        </is>
      </c>
      <c r="K334" t="n">
        <v>8.760280445707766</v>
      </c>
      <c r="L334" t="n">
        <v>410.2722088950609</v>
      </c>
      <c r="M334" t="n">
        <v>1</v>
      </c>
      <c r="N334" t="n">
        <v>410.2722088950609</v>
      </c>
      <c r="O334" t="n">
        <v>410.2722088950609</v>
      </c>
      <c r="P334" t="n">
        <v>932.4368383978657</v>
      </c>
      <c r="Q334" t="inlineStr">
        <is>
          <t>TJa</t>
        </is>
      </c>
      <c r="R334" t="n">
        <v>1</v>
      </c>
      <c r="S334" t="n">
        <v>12.5</v>
      </c>
      <c r="T334" t="n">
        <v>10</v>
      </c>
      <c r="V334" t="n">
        <v>0.44</v>
      </c>
      <c r="W334" t="n">
        <v>1</v>
      </c>
    </row>
    <row r="335">
      <c r="A335" t="inlineStr">
        <is>
          <t>Commercial</t>
        </is>
      </c>
      <c r="B335" t="inlineStr">
        <is>
          <t>Other</t>
        </is>
      </c>
      <c r="D335" t="inlineStr">
        <is>
          <t>Old</t>
        </is>
      </c>
      <c r="E335" t="inlineStr">
        <is>
          <t>Other end use</t>
        </is>
      </c>
      <c r="F335" t="inlineStr">
        <is>
          <t>Natural gas</t>
        </is>
      </c>
      <c r="G335" t="inlineStr">
        <is>
          <t>Natural gas</t>
        </is>
      </c>
      <c r="H335" t="inlineStr">
        <is>
          <t>COMNGA</t>
        </is>
      </c>
      <c r="I335" t="inlineStr">
        <is>
          <t>COMOTHOldOEEUE</t>
        </is>
      </c>
      <c r="J335" t="inlineStr">
        <is>
          <t>COMOTHOldOENGA19</t>
        </is>
      </c>
      <c r="K335" t="n">
        <v>8.760280445707766</v>
      </c>
      <c r="L335" t="n">
        <v>1846.762954547614</v>
      </c>
      <c r="M335" t="n">
        <v>1</v>
      </c>
      <c r="N335" t="n">
        <v>1846.762954547614</v>
      </c>
      <c r="O335" t="n">
        <v>1846.762954547614</v>
      </c>
      <c r="P335" t="n">
        <v>4197.188533062759</v>
      </c>
      <c r="Q335" t="inlineStr">
        <is>
          <t>TJa</t>
        </is>
      </c>
      <c r="R335" t="n">
        <v>1</v>
      </c>
      <c r="S335" t="n">
        <v>12.5</v>
      </c>
      <c r="T335" t="n">
        <v>10</v>
      </c>
      <c r="V335" t="n">
        <v>0.44</v>
      </c>
      <c r="W335" t="n">
        <v>1</v>
      </c>
    </row>
    <row r="336">
      <c r="A336" t="inlineStr">
        <is>
          <t>Commercial</t>
        </is>
      </c>
      <c r="B336" t="inlineStr">
        <is>
          <t>Other</t>
        </is>
      </c>
      <c r="D336" t="inlineStr">
        <is>
          <t>Old</t>
        </is>
      </c>
      <c r="E336" t="inlineStr">
        <is>
          <t>Other end use</t>
        </is>
      </c>
      <c r="F336" t="inlineStr">
        <is>
          <t>Steam / Cooling</t>
        </is>
      </c>
      <c r="G336" t="inlineStr">
        <is>
          <t>Steam / Cooling</t>
        </is>
      </c>
      <c r="H336" t="inlineStr">
        <is>
          <t>COMSTM</t>
        </is>
      </c>
      <c r="I336" t="inlineStr">
        <is>
          <t>COMOTHOldOEEUE</t>
        </is>
      </c>
      <c r="J336" t="inlineStr">
        <is>
          <t>COMOTHOldOESTM19</t>
        </is>
      </c>
      <c r="K336" t="n">
        <v>8.760280445707766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inlineStr">
        <is>
          <t>TJa</t>
        </is>
      </c>
      <c r="R336" t="n">
        <v>1</v>
      </c>
      <c r="S336" t="n">
        <v>12.5</v>
      </c>
      <c r="T336" t="n">
        <v>10</v>
      </c>
      <c r="V336" t="n">
        <v>0.44</v>
      </c>
      <c r="W336" t="n">
        <v>1</v>
      </c>
    </row>
    <row r="337">
      <c r="A337" t="inlineStr">
        <is>
          <t>Commercial</t>
        </is>
      </c>
      <c r="B337" t="inlineStr">
        <is>
          <t>Other</t>
        </is>
      </c>
      <c r="D337" t="inlineStr">
        <is>
          <t>Old</t>
        </is>
      </c>
      <c r="E337" t="inlineStr">
        <is>
          <t>Other end use</t>
        </is>
      </c>
      <c r="F337" t="inlineStr">
        <is>
          <t>Electricity</t>
        </is>
      </c>
      <c r="G337" t="inlineStr">
        <is>
          <t>Electricity</t>
        </is>
      </c>
      <c r="H337" t="inlineStr">
        <is>
          <t>COMELC</t>
        </is>
      </c>
      <c r="I337" t="inlineStr">
        <is>
          <t>COMOTHOldOEEUE</t>
        </is>
      </c>
      <c r="J337" t="inlineStr">
        <is>
          <t>COMOTHOldOEELC19</t>
        </is>
      </c>
      <c r="K337" t="n">
        <v>8.760280445707766</v>
      </c>
      <c r="L337" t="n">
        <v>2864.276139544985</v>
      </c>
      <c r="M337" t="n">
        <v>1</v>
      </c>
      <c r="N337" t="n">
        <v>2864.276139544985</v>
      </c>
      <c r="O337" t="n">
        <v>2864.276139544985</v>
      </c>
      <c r="P337" t="n">
        <v>6509.718498965874</v>
      </c>
      <c r="Q337" t="inlineStr">
        <is>
          <t>TJa</t>
        </is>
      </c>
      <c r="R337" t="n">
        <v>1</v>
      </c>
      <c r="S337" t="n">
        <v>12.5</v>
      </c>
      <c r="T337" t="n">
        <v>10</v>
      </c>
      <c r="V337" t="n">
        <v>0.44</v>
      </c>
      <c r="W337" t="n">
        <v>1</v>
      </c>
    </row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</sheetData>
  <autoFilter ref="A1:W337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71"/>
  <sheetViews>
    <sheetView zoomScale="70" zoomScaleNormal="70" workbookViewId="0">
      <selection activeCell="A1" sqref="A1:W337"/>
    </sheetView>
  </sheetViews>
  <sheetFormatPr baseColWidth="8" defaultRowHeight="15"/>
  <cols>
    <col width="12.140625" customWidth="1" min="1" max="1"/>
    <col width="23.28515625" customWidth="1" min="2" max="2"/>
    <col width="24.7109375" customWidth="1" min="3" max="3"/>
    <col width="23" customWidth="1" min="5" max="5"/>
    <col width="23.7109375" customWidth="1" min="6" max="6"/>
    <col width="21.140625" customWidth="1" min="7" max="7"/>
    <col width="20.140625" bestFit="1" customWidth="1" min="8" max="8"/>
    <col width="17.28515625" bestFit="1" customWidth="1" min="9" max="9"/>
    <col width="17.7109375" bestFit="1" customWidth="1" min="10" max="10"/>
    <col width="17.28515625" bestFit="1" customWidth="1" min="11" max="11"/>
    <col width="17.7109375" bestFit="1" customWidth="1" min="12" max="15"/>
    <col width="17.28515625" bestFit="1" customWidth="1" min="16" max="16"/>
    <col width="17.7109375" bestFit="1" customWidth="1" min="17" max="21"/>
    <col width="17.28515625" bestFit="1" customWidth="1" min="22" max="22"/>
    <col width="17.7109375" bestFit="1" customWidth="1" min="23" max="24"/>
  </cols>
  <sheetData>
    <row r="1">
      <c r="A1" t="inlineStr">
        <is>
          <t>Sector</t>
        </is>
      </c>
      <c r="B1" t="inlineStr">
        <is>
          <t>Sub-sector</t>
        </is>
      </c>
      <c r="C1" t="inlineStr">
        <is>
          <t>Archetype</t>
        </is>
      </c>
      <c r="D1" t="inlineStr">
        <is>
          <t xml:space="preserve">Vintage </t>
        </is>
      </c>
      <c r="E1" t="inlineStr">
        <is>
          <t>Demand Label</t>
        </is>
      </c>
      <c r="F1" t="inlineStr">
        <is>
          <t>Unit</t>
        </is>
      </c>
      <c r="G1" t="n">
        <v>2019</v>
      </c>
      <c r="H1" t="n">
        <v>2020</v>
      </c>
      <c r="I1" t="n">
        <v>2025</v>
      </c>
      <c r="J1" t="n">
        <v>2030</v>
      </c>
      <c r="K1" t="n">
        <v>2035</v>
      </c>
      <c r="L1" t="n">
        <v>2040</v>
      </c>
      <c r="M1" t="n">
        <v>2045</v>
      </c>
      <c r="N1" t="n">
        <v>2050</v>
      </c>
      <c r="O1" t="n">
        <v>2055</v>
      </c>
      <c r="P1" t="n">
        <v>2060</v>
      </c>
      <c r="Q1" t="n">
        <v>2065</v>
      </c>
      <c r="R1" t="n">
        <v>2070</v>
      </c>
      <c r="S1" t="n">
        <v>2075</v>
      </c>
      <c r="T1" t="n">
        <v>2080</v>
      </c>
      <c r="U1" t="n">
        <v>2085</v>
      </c>
      <c r="V1" t="n">
        <v>2090</v>
      </c>
      <c r="W1" t="n">
        <v>2095</v>
      </c>
      <c r="X1" t="n">
        <v>2100</v>
      </c>
    </row>
    <row r="2">
      <c r="A2" t="inlineStr">
        <is>
          <t>Commercial</t>
        </is>
      </c>
      <c r="B2" t="inlineStr">
        <is>
          <t>Hotel</t>
        </is>
      </c>
      <c r="D2" t="inlineStr">
        <is>
          <t>Old</t>
        </is>
      </c>
      <c r="E2" t="inlineStr">
        <is>
          <t>COMHOTOldDMD</t>
        </is>
      </c>
      <c r="F2" t="inlineStr">
        <is>
          <t>Mm2</t>
        </is>
      </c>
      <c r="G2" t="n">
        <v>11.97870118205155</v>
      </c>
      <c r="H2" t="n">
        <v>11.97870118205155</v>
      </c>
      <c r="I2" t="n">
        <v>11.97870118205155</v>
      </c>
      <c r="J2" t="n">
        <v>11.97870118205155</v>
      </c>
      <c r="K2" t="n">
        <v>11.97870118205155</v>
      </c>
      <c r="L2" t="n">
        <v>11.97870118205155</v>
      </c>
      <c r="M2" t="n">
        <v>11.97870118205155</v>
      </c>
      <c r="N2" t="n">
        <v>11.97870118205155</v>
      </c>
      <c r="O2" t="n">
        <v>11.97870118205155</v>
      </c>
      <c r="P2" t="n">
        <v>11.97870118205155</v>
      </c>
      <c r="Q2" t="n">
        <v>11.97870118205155</v>
      </c>
      <c r="R2" t="n">
        <v>11.97870118205155</v>
      </c>
      <c r="S2" t="n">
        <v>11.97870118205155</v>
      </c>
      <c r="T2" t="n">
        <v>11.97870118205155</v>
      </c>
      <c r="U2" t="n">
        <v>11.97870118205155</v>
      </c>
      <c r="V2" t="n">
        <v>11.97870118205155</v>
      </c>
      <c r="W2" t="n">
        <v>11.97870118205155</v>
      </c>
      <c r="X2" t="n">
        <v>11.97870118205155</v>
      </c>
    </row>
    <row r="3">
      <c r="A3" t="inlineStr">
        <is>
          <t>Commercial</t>
        </is>
      </c>
      <c r="B3" t="inlineStr">
        <is>
          <t>Retail</t>
        </is>
      </c>
      <c r="D3" t="inlineStr">
        <is>
          <t>Old</t>
        </is>
      </c>
      <c r="E3" t="inlineStr">
        <is>
          <t>COMRETOldDMD</t>
        </is>
      </c>
      <c r="F3" t="inlineStr">
        <is>
          <t>Mm2</t>
        </is>
      </c>
      <c r="G3" t="n">
        <v>23.08105645370456</v>
      </c>
      <c r="H3" t="n">
        <v>23.08105645370456</v>
      </c>
      <c r="I3" t="n">
        <v>23.08105645370456</v>
      </c>
      <c r="J3" t="n">
        <v>23.08105645370456</v>
      </c>
      <c r="K3" t="n">
        <v>23.08105645370456</v>
      </c>
      <c r="L3" t="n">
        <v>23.08105645370456</v>
      </c>
      <c r="M3" t="n">
        <v>23.08105645370456</v>
      </c>
      <c r="N3" t="n">
        <v>23.08105645370456</v>
      </c>
      <c r="O3" t="n">
        <v>23.08105645370456</v>
      </c>
      <c r="P3" t="n">
        <v>23.08105645370456</v>
      </c>
      <c r="Q3" t="n">
        <v>23.08105645370456</v>
      </c>
      <c r="R3" t="n">
        <v>23.08105645370456</v>
      </c>
      <c r="S3" t="n">
        <v>23.08105645370456</v>
      </c>
      <c r="T3" t="n">
        <v>23.08105645370456</v>
      </c>
      <c r="U3" t="n">
        <v>23.08105645370456</v>
      </c>
      <c r="V3" t="n">
        <v>23.08105645370456</v>
      </c>
      <c r="W3" t="n">
        <v>23.08105645370456</v>
      </c>
      <c r="X3" t="n">
        <v>23.08105645370456</v>
      </c>
    </row>
    <row r="4">
      <c r="A4" t="inlineStr">
        <is>
          <t>Commercial</t>
        </is>
      </c>
      <c r="B4" t="inlineStr">
        <is>
          <t>Office</t>
        </is>
      </c>
      <c r="D4" t="inlineStr">
        <is>
          <t>Old</t>
        </is>
      </c>
      <c r="E4" t="inlineStr">
        <is>
          <t>COMOFFOldDMD</t>
        </is>
      </c>
      <c r="F4" t="inlineStr">
        <is>
          <t>Mm2</t>
        </is>
      </c>
      <c r="G4" t="n">
        <v>73.16481896464444</v>
      </c>
      <c r="H4" t="n">
        <v>73.16481896464444</v>
      </c>
      <c r="I4" t="n">
        <v>73.16481896464444</v>
      </c>
      <c r="J4" t="n">
        <v>73.16481896464444</v>
      </c>
      <c r="K4" t="n">
        <v>73.16481896464444</v>
      </c>
      <c r="L4" t="n">
        <v>73.16481896464444</v>
      </c>
      <c r="M4" t="n">
        <v>73.16481896464444</v>
      </c>
      <c r="N4" t="n">
        <v>73.16481896464444</v>
      </c>
      <c r="O4" t="n">
        <v>73.16481896464444</v>
      </c>
      <c r="P4" t="n">
        <v>73.16481896464444</v>
      </c>
      <c r="Q4" t="n">
        <v>73.16481896464444</v>
      </c>
      <c r="R4" t="n">
        <v>73.16481896464444</v>
      </c>
      <c r="S4" t="n">
        <v>73.16481896464444</v>
      </c>
      <c r="T4" t="n">
        <v>73.16481896464444</v>
      </c>
      <c r="U4" t="n">
        <v>73.16481896464444</v>
      </c>
      <c r="V4" t="n">
        <v>73.16481896464444</v>
      </c>
      <c r="W4" t="n">
        <v>73.16481896464444</v>
      </c>
      <c r="X4" t="n">
        <v>73.16481896464444</v>
      </c>
    </row>
    <row r="5">
      <c r="A5" t="inlineStr">
        <is>
          <t>Commercial</t>
        </is>
      </c>
      <c r="B5" t="inlineStr">
        <is>
          <t>Hospital</t>
        </is>
      </c>
      <c r="D5" t="inlineStr">
        <is>
          <t>Old</t>
        </is>
      </c>
      <c r="E5" t="inlineStr">
        <is>
          <t>COMHOPOldDMD</t>
        </is>
      </c>
      <c r="F5" t="inlineStr">
        <is>
          <t>Mm2</t>
        </is>
      </c>
      <c r="G5" t="n">
        <v>44.38225928366647</v>
      </c>
      <c r="H5" t="n">
        <v>44.38225928366647</v>
      </c>
      <c r="I5" t="n">
        <v>44.38225928366647</v>
      </c>
      <c r="J5" t="n">
        <v>44.38225928366647</v>
      </c>
      <c r="K5" t="n">
        <v>44.38225928366647</v>
      </c>
      <c r="L5" t="n">
        <v>44.38225928366647</v>
      </c>
      <c r="M5" t="n">
        <v>44.38225928366647</v>
      </c>
      <c r="N5" t="n">
        <v>44.38225928366647</v>
      </c>
      <c r="O5" t="n">
        <v>44.38225928366647</v>
      </c>
      <c r="P5" t="n">
        <v>44.38225928366647</v>
      </c>
      <c r="Q5" t="n">
        <v>44.38225928366647</v>
      </c>
      <c r="R5" t="n">
        <v>44.38225928366647</v>
      </c>
      <c r="S5" t="n">
        <v>44.38225928366647</v>
      </c>
      <c r="T5" t="n">
        <v>44.38225928366647</v>
      </c>
      <c r="U5" t="n">
        <v>44.38225928366647</v>
      </c>
      <c r="V5" t="n">
        <v>44.38225928366647</v>
      </c>
      <c r="W5" t="n">
        <v>44.38225928366647</v>
      </c>
      <c r="X5" t="n">
        <v>44.38225928366647</v>
      </c>
    </row>
    <row r="6">
      <c r="A6" t="inlineStr">
        <is>
          <t>Commercial</t>
        </is>
      </c>
      <c r="B6" t="inlineStr">
        <is>
          <t>Educationnal</t>
        </is>
      </c>
      <c r="D6" t="inlineStr">
        <is>
          <t>Old</t>
        </is>
      </c>
      <c r="E6" t="inlineStr">
        <is>
          <t>COMEDUOldDMD</t>
        </is>
      </c>
      <c r="F6" t="inlineStr">
        <is>
          <t>Mm2</t>
        </is>
      </c>
      <c r="G6" t="n">
        <v>48.56549627588934</v>
      </c>
      <c r="H6" t="n">
        <v>48.56549627588934</v>
      </c>
      <c r="I6" t="n">
        <v>48.56549627588934</v>
      </c>
      <c r="J6" t="n">
        <v>48.56549627588934</v>
      </c>
      <c r="K6" t="n">
        <v>48.56549627588934</v>
      </c>
      <c r="L6" t="n">
        <v>48.56549627588934</v>
      </c>
      <c r="M6" t="n">
        <v>48.56549627588934</v>
      </c>
      <c r="N6" t="n">
        <v>48.56549627588934</v>
      </c>
      <c r="O6" t="n">
        <v>48.56549627588934</v>
      </c>
      <c r="P6" t="n">
        <v>48.56549627588934</v>
      </c>
      <c r="Q6" t="n">
        <v>48.56549627588934</v>
      </c>
      <c r="R6" t="n">
        <v>48.56549627588934</v>
      </c>
      <c r="S6" t="n">
        <v>48.56549627588934</v>
      </c>
      <c r="T6" t="n">
        <v>48.56549627588934</v>
      </c>
      <c r="U6" t="n">
        <v>48.56549627588934</v>
      </c>
      <c r="V6" t="n">
        <v>48.56549627588934</v>
      </c>
      <c r="W6" t="n">
        <v>48.56549627588934</v>
      </c>
      <c r="X6" t="n">
        <v>48.56549627588934</v>
      </c>
    </row>
    <row r="7">
      <c r="A7" t="inlineStr">
        <is>
          <t>Commercial</t>
        </is>
      </c>
      <c r="B7" t="inlineStr">
        <is>
          <t>Warehouse</t>
        </is>
      </c>
      <c r="D7" t="inlineStr">
        <is>
          <t>Old</t>
        </is>
      </c>
      <c r="E7" t="inlineStr">
        <is>
          <t>COMWAROldDMD</t>
        </is>
      </c>
      <c r="F7" t="inlineStr">
        <is>
          <t>Mm2</t>
        </is>
      </c>
      <c r="G7" t="n">
        <v>32.7335865238675</v>
      </c>
      <c r="H7" t="n">
        <v>32.7335865238675</v>
      </c>
      <c r="I7" t="n">
        <v>32.7335865238675</v>
      </c>
      <c r="J7" t="n">
        <v>32.7335865238675</v>
      </c>
      <c r="K7" t="n">
        <v>32.7335865238675</v>
      </c>
      <c r="L7" t="n">
        <v>32.7335865238675</v>
      </c>
      <c r="M7" t="n">
        <v>32.7335865238675</v>
      </c>
      <c r="N7" t="n">
        <v>32.7335865238675</v>
      </c>
      <c r="O7" t="n">
        <v>32.7335865238675</v>
      </c>
      <c r="P7" t="n">
        <v>32.7335865238675</v>
      </c>
      <c r="Q7" t="n">
        <v>32.7335865238675</v>
      </c>
      <c r="R7" t="n">
        <v>32.7335865238675</v>
      </c>
      <c r="S7" t="n">
        <v>32.7335865238675</v>
      </c>
      <c r="T7" t="n">
        <v>32.7335865238675</v>
      </c>
      <c r="U7" t="n">
        <v>32.7335865238675</v>
      </c>
      <c r="V7" t="n">
        <v>32.7335865238675</v>
      </c>
      <c r="W7" t="n">
        <v>32.7335865238675</v>
      </c>
      <c r="X7" t="n">
        <v>32.7335865238675</v>
      </c>
    </row>
    <row r="8">
      <c r="A8" t="inlineStr">
        <is>
          <t>Commercial</t>
        </is>
      </c>
      <c r="B8" t="inlineStr">
        <is>
          <t>Municipal</t>
        </is>
      </c>
      <c r="D8" t="inlineStr">
        <is>
          <t>Old</t>
        </is>
      </c>
      <c r="E8" t="inlineStr">
        <is>
          <t>COMMUNOldDMD</t>
        </is>
      </c>
      <c r="F8" t="inlineStr">
        <is>
          <t>Mm2</t>
        </is>
      </c>
      <c r="G8" t="n">
        <v>16.8413328459163</v>
      </c>
      <c r="H8" t="n">
        <v>16.8413328459163</v>
      </c>
      <c r="I8" t="n">
        <v>16.8413328459163</v>
      </c>
      <c r="J8" t="n">
        <v>16.8413328459163</v>
      </c>
      <c r="K8" t="n">
        <v>16.8413328459163</v>
      </c>
      <c r="L8" t="n">
        <v>16.8413328459163</v>
      </c>
      <c r="M8" t="n">
        <v>16.8413328459163</v>
      </c>
      <c r="N8" t="n">
        <v>16.8413328459163</v>
      </c>
      <c r="O8" t="n">
        <v>16.8413328459163</v>
      </c>
      <c r="P8" t="n">
        <v>16.8413328459163</v>
      </c>
      <c r="Q8" t="n">
        <v>16.8413328459163</v>
      </c>
      <c r="R8" t="n">
        <v>16.8413328459163</v>
      </c>
      <c r="S8" t="n">
        <v>16.8413328459163</v>
      </c>
      <c r="T8" t="n">
        <v>16.8413328459163</v>
      </c>
      <c r="U8" t="n">
        <v>16.8413328459163</v>
      </c>
      <c r="V8" t="n">
        <v>16.8413328459163</v>
      </c>
      <c r="W8" t="n">
        <v>16.8413328459163</v>
      </c>
      <c r="X8" t="n">
        <v>16.8413328459163</v>
      </c>
    </row>
    <row r="9">
      <c r="A9" t="inlineStr">
        <is>
          <t>Commercial</t>
        </is>
      </c>
      <c r="B9" t="inlineStr">
        <is>
          <t>Other</t>
        </is>
      </c>
      <c r="D9" t="inlineStr">
        <is>
          <t>Old</t>
        </is>
      </c>
      <c r="E9" t="inlineStr">
        <is>
          <t>COMOTHOldDMD</t>
        </is>
      </c>
      <c r="F9" t="inlineStr">
        <is>
          <t>Mm2</t>
        </is>
      </c>
      <c r="G9" t="n">
        <v>8.760280445707766</v>
      </c>
      <c r="H9" t="n">
        <v>8.760280445707766</v>
      </c>
      <c r="I9" t="n">
        <v>8.760280445707766</v>
      </c>
      <c r="J9" t="n">
        <v>8.760280445707766</v>
      </c>
      <c r="K9" t="n">
        <v>8.760280445707766</v>
      </c>
      <c r="L9" t="n">
        <v>8.760280445707766</v>
      </c>
      <c r="M9" t="n">
        <v>8.760280445707766</v>
      </c>
      <c r="N9" t="n">
        <v>8.760280445707766</v>
      </c>
      <c r="O9" t="n">
        <v>8.760280445707766</v>
      </c>
      <c r="P9" t="n">
        <v>8.760280445707766</v>
      </c>
      <c r="Q9" t="n">
        <v>8.760280445707766</v>
      </c>
      <c r="R9" t="n">
        <v>8.760280445707766</v>
      </c>
      <c r="S9" t="n">
        <v>8.760280445707766</v>
      </c>
      <c r="T9" t="n">
        <v>8.760280445707766</v>
      </c>
      <c r="U9" t="n">
        <v>8.760280445707766</v>
      </c>
      <c r="V9" t="n">
        <v>8.760280445707766</v>
      </c>
      <c r="W9" t="n">
        <v>8.760280445707766</v>
      </c>
      <c r="X9" t="n">
        <v>8.760280445707766</v>
      </c>
    </row>
    <row r="10">
      <c r="A10" t="inlineStr">
        <is>
          <t>Commercial</t>
        </is>
      </c>
      <c r="B10" t="inlineStr">
        <is>
          <t>Hotel</t>
        </is>
      </c>
      <c r="D10" t="inlineStr">
        <is>
          <t>New</t>
        </is>
      </c>
      <c r="E10" t="inlineStr">
        <is>
          <t>COMHOTNewDMD</t>
        </is>
      </c>
      <c r="F10" t="inlineStr">
        <is>
          <t>Mm2</t>
        </is>
      </c>
      <c r="G10" t="n">
        <v>0</v>
      </c>
      <c r="H10" t="n">
        <v>0.239574023641031</v>
      </c>
      <c r="I10" t="n">
        <v>1.437444141846186</v>
      </c>
      <c r="J10" t="n">
        <v>2.635314260051341</v>
      </c>
      <c r="K10" t="n">
        <v>3.833184378256496</v>
      </c>
      <c r="L10" t="n">
        <v>5.031054496461651</v>
      </c>
      <c r="M10" t="n">
        <v>6.228924614666806</v>
      </c>
      <c r="N10" t="n">
        <v>7.426794732871961</v>
      </c>
      <c r="O10" t="n">
        <v>8.624664851077117</v>
      </c>
      <c r="P10" t="n">
        <v>9.822534969282273</v>
      </c>
      <c r="Q10" t="n">
        <v>11.02040508748743</v>
      </c>
      <c r="R10" t="n">
        <v>12.21827520569258</v>
      </c>
      <c r="S10" t="n">
        <v>13.41614532389774</v>
      </c>
      <c r="T10" t="n">
        <v>14.6140154421029</v>
      </c>
      <c r="U10" t="n">
        <v>15.81188556030805</v>
      </c>
      <c r="V10" t="n">
        <v>17.00975567851321</v>
      </c>
      <c r="W10" t="n">
        <v>18.20762579671836</v>
      </c>
      <c r="X10" t="n">
        <v>19.40549591492352</v>
      </c>
    </row>
    <row r="11">
      <c r="A11" t="inlineStr">
        <is>
          <t>Commercial</t>
        </is>
      </c>
      <c r="B11" t="inlineStr">
        <is>
          <t>Retail</t>
        </is>
      </c>
      <c r="D11" t="inlineStr">
        <is>
          <t>New</t>
        </is>
      </c>
      <c r="E11" t="inlineStr">
        <is>
          <t>COMRETNewDMD</t>
        </is>
      </c>
      <c r="F11" t="inlineStr">
        <is>
          <t>Mm2</t>
        </is>
      </c>
      <c r="G11" t="n">
        <v>0</v>
      </c>
      <c r="H11" t="n">
        <v>0.4616211290740913</v>
      </c>
      <c r="I11" t="n">
        <v>2.769726774444547</v>
      </c>
      <c r="J11" t="n">
        <v>5.077832419815003</v>
      </c>
      <c r="K11" t="n">
        <v>7.385938065185459</v>
      </c>
      <c r="L11" t="n">
        <v>9.694043710555915</v>
      </c>
      <c r="M11" t="n">
        <v>12.00214935592637</v>
      </c>
      <c r="N11" t="n">
        <v>14.31025500129683</v>
      </c>
      <c r="O11" t="n">
        <v>16.61836064666728</v>
      </c>
      <c r="P11" t="n">
        <v>18.92646629203774</v>
      </c>
      <c r="Q11" t="n">
        <v>21.2345719374082</v>
      </c>
      <c r="R11" t="n">
        <v>23.54267758277865</v>
      </c>
      <c r="S11" t="n">
        <v>25.85078322814911</v>
      </c>
      <c r="T11" t="n">
        <v>28.15888887351957</v>
      </c>
      <c r="U11" t="n">
        <v>30.46699451889003</v>
      </c>
      <c r="V11" t="n">
        <v>32.77510016426048</v>
      </c>
      <c r="W11" t="n">
        <v>35.08320580963093</v>
      </c>
      <c r="X11" t="n">
        <v>37.39131145500139</v>
      </c>
    </row>
    <row r="12">
      <c r="A12" t="inlineStr">
        <is>
          <t>Commercial</t>
        </is>
      </c>
      <c r="B12" t="inlineStr">
        <is>
          <t>Office</t>
        </is>
      </c>
      <c r="D12" t="inlineStr">
        <is>
          <t>New</t>
        </is>
      </c>
      <c r="E12" t="inlineStr">
        <is>
          <t>COMOFFNewDMD</t>
        </is>
      </c>
      <c r="F12" t="inlineStr">
        <is>
          <t>Mm2</t>
        </is>
      </c>
      <c r="G12" t="n">
        <v>0</v>
      </c>
      <c r="H12" t="n">
        <v>1.463296379292889</v>
      </c>
      <c r="I12" t="n">
        <v>8.779778275757332</v>
      </c>
      <c r="J12" t="n">
        <v>16.09626017222178</v>
      </c>
      <c r="K12" t="n">
        <v>23.41274206868622</v>
      </c>
      <c r="L12" t="n">
        <v>30.72922396515067</v>
      </c>
      <c r="M12" t="n">
        <v>38.04570586161511</v>
      </c>
      <c r="N12" t="n">
        <v>45.36218775807956</v>
      </c>
      <c r="O12" t="n">
        <v>52.678669654544</v>
      </c>
      <c r="P12" t="n">
        <v>59.99515155100845</v>
      </c>
      <c r="Q12" t="n">
        <v>67.31163344747289</v>
      </c>
      <c r="R12" t="n">
        <v>74.62811534393732</v>
      </c>
      <c r="S12" t="n">
        <v>81.94459724040176</v>
      </c>
      <c r="T12" t="n">
        <v>89.2610791368662</v>
      </c>
      <c r="U12" t="n">
        <v>96.57756103333064</v>
      </c>
      <c r="V12" t="n">
        <v>103.8940429297951</v>
      </c>
      <c r="W12" t="n">
        <v>111.2105248262595</v>
      </c>
      <c r="X12" t="n">
        <v>118.527006722724</v>
      </c>
    </row>
    <row r="13">
      <c r="A13" t="inlineStr">
        <is>
          <t>Commercial</t>
        </is>
      </c>
      <c r="B13" t="inlineStr">
        <is>
          <t>Hospital</t>
        </is>
      </c>
      <c r="D13" t="inlineStr">
        <is>
          <t>New</t>
        </is>
      </c>
      <c r="E13" t="inlineStr">
        <is>
          <t>COMHOPNewDMD</t>
        </is>
      </c>
      <c r="F13" t="inlineStr">
        <is>
          <t>Mm2</t>
        </is>
      </c>
      <c r="G13" t="n">
        <v>0</v>
      </c>
      <c r="H13" t="n">
        <v>0.8876451856733294</v>
      </c>
      <c r="I13" t="n">
        <v>5.325871114039976</v>
      </c>
      <c r="J13" t="n">
        <v>9.764097042406622</v>
      </c>
      <c r="K13" t="n">
        <v>14.20232297077327</v>
      </c>
      <c r="L13" t="n">
        <v>18.64054889913992</v>
      </c>
      <c r="M13" t="n">
        <v>23.07877482750656</v>
      </c>
      <c r="N13" t="n">
        <v>27.51700075587321</v>
      </c>
      <c r="O13" t="n">
        <v>31.95522668423986</v>
      </c>
      <c r="P13" t="n">
        <v>36.39345261260651</v>
      </c>
      <c r="Q13" t="n">
        <v>40.83167854097316</v>
      </c>
      <c r="R13" t="n">
        <v>45.26990446933981</v>
      </c>
      <c r="S13" t="n">
        <v>49.70813039770646</v>
      </c>
      <c r="T13" t="n">
        <v>54.1463563260731</v>
      </c>
      <c r="U13" t="n">
        <v>58.58458225443975</v>
      </c>
      <c r="V13" t="n">
        <v>63.0228081828064</v>
      </c>
      <c r="W13" t="n">
        <v>67.46103411117305</v>
      </c>
      <c r="X13" t="n">
        <v>71.8992600395397</v>
      </c>
    </row>
    <row r="14">
      <c r="A14" t="inlineStr">
        <is>
          <t>Commercial</t>
        </is>
      </c>
      <c r="B14" t="inlineStr">
        <is>
          <t>Educationnal</t>
        </is>
      </c>
      <c r="D14" t="inlineStr">
        <is>
          <t>New</t>
        </is>
      </c>
      <c r="E14" t="inlineStr">
        <is>
          <t>COMEDUNewDMD</t>
        </is>
      </c>
      <c r="F14" t="inlineStr">
        <is>
          <t>Mm2</t>
        </is>
      </c>
      <c r="G14" t="n">
        <v>0</v>
      </c>
      <c r="H14" t="n">
        <v>0.9713099255177867</v>
      </c>
      <c r="I14" t="n">
        <v>5.827859553106721</v>
      </c>
      <c r="J14" t="n">
        <v>10.68440918069565</v>
      </c>
      <c r="K14" t="n">
        <v>15.54095880828459</v>
      </c>
      <c r="L14" t="n">
        <v>20.39750843587352</v>
      </c>
      <c r="M14" t="n">
        <v>25.25405806346246</v>
      </c>
      <c r="N14" t="n">
        <v>30.11060769105139</v>
      </c>
      <c r="O14" t="n">
        <v>34.96715731864033</v>
      </c>
      <c r="P14" t="n">
        <v>39.82370694622926</v>
      </c>
      <c r="Q14" t="n">
        <v>44.68025657381819</v>
      </c>
      <c r="R14" t="n">
        <v>49.53680620140712</v>
      </c>
      <c r="S14" t="n">
        <v>54.39335582899606</v>
      </c>
      <c r="T14" t="n">
        <v>59.24990545658499</v>
      </c>
      <c r="U14" t="n">
        <v>64.10645508417393</v>
      </c>
      <c r="V14" t="n">
        <v>68.96300471176286</v>
      </c>
      <c r="W14" t="n">
        <v>73.8195543393518</v>
      </c>
      <c r="X14" t="n">
        <v>78.67610396694073</v>
      </c>
    </row>
    <row r="15">
      <c r="A15" t="inlineStr">
        <is>
          <t>Commercial</t>
        </is>
      </c>
      <c r="B15" t="inlineStr">
        <is>
          <t>Warehouse</t>
        </is>
      </c>
      <c r="D15" t="inlineStr">
        <is>
          <t>New</t>
        </is>
      </c>
      <c r="E15" t="inlineStr">
        <is>
          <t>COMWARNewDMD</t>
        </is>
      </c>
      <c r="F15" t="inlineStr">
        <is>
          <t>Mm2</t>
        </is>
      </c>
      <c r="G15" t="n">
        <v>0</v>
      </c>
      <c r="H15" t="n">
        <v>0.6546717304773501</v>
      </c>
      <c r="I15" t="n">
        <v>3.928030382864101</v>
      </c>
      <c r="J15" t="n">
        <v>7.201389035250851</v>
      </c>
      <c r="K15" t="n">
        <v>10.4747476876376</v>
      </c>
      <c r="L15" t="n">
        <v>13.74810634002435</v>
      </c>
      <c r="M15" t="n">
        <v>17.0214649924111</v>
      </c>
      <c r="N15" t="n">
        <v>20.29482364479785</v>
      </c>
      <c r="O15" t="n">
        <v>23.5681822971846</v>
      </c>
      <c r="P15" t="n">
        <v>26.84154094957135</v>
      </c>
      <c r="Q15" t="n">
        <v>30.1148996019581</v>
      </c>
      <c r="R15" t="n">
        <v>33.38825825434485</v>
      </c>
      <c r="S15" t="n">
        <v>36.6616169067316</v>
      </c>
      <c r="T15" t="n">
        <v>39.93497555911835</v>
      </c>
      <c r="U15" t="n">
        <v>43.2083342115051</v>
      </c>
      <c r="V15" t="n">
        <v>46.48169286389184</v>
      </c>
      <c r="W15" t="n">
        <v>49.75505151627859</v>
      </c>
      <c r="X15" t="n">
        <v>53.02841016866534</v>
      </c>
    </row>
    <row r="16">
      <c r="A16" t="inlineStr">
        <is>
          <t>Commercial</t>
        </is>
      </c>
      <c r="B16" t="inlineStr">
        <is>
          <t>Municipal</t>
        </is>
      </c>
      <c r="D16" t="inlineStr">
        <is>
          <t>New</t>
        </is>
      </c>
      <c r="E16" t="inlineStr">
        <is>
          <t>COMMUNNewDMD</t>
        </is>
      </c>
      <c r="F16" t="inlineStr">
        <is>
          <t>Mm2</t>
        </is>
      </c>
      <c r="G16" t="n">
        <v>0</v>
      </c>
      <c r="H16" t="n">
        <v>0.336826656918326</v>
      </c>
      <c r="I16" t="n">
        <v>2.020959941509956</v>
      </c>
      <c r="J16" t="n">
        <v>3.705093226101586</v>
      </c>
      <c r="K16" t="n">
        <v>5.389226510693216</v>
      </c>
      <c r="L16" t="n">
        <v>7.073359795284847</v>
      </c>
      <c r="M16" t="n">
        <v>8.757493079876477</v>
      </c>
      <c r="N16" t="n">
        <v>10.44162636446811</v>
      </c>
      <c r="O16" t="n">
        <v>12.12575964905974</v>
      </c>
      <c r="P16" t="n">
        <v>13.80989293365137</v>
      </c>
      <c r="Q16" t="n">
        <v>15.494026218243</v>
      </c>
      <c r="R16" t="n">
        <v>17.17815950283462</v>
      </c>
      <c r="S16" t="n">
        <v>18.86229278742626</v>
      </c>
      <c r="T16" t="n">
        <v>20.54642607201789</v>
      </c>
      <c r="U16" t="n">
        <v>22.23055935660952</v>
      </c>
      <c r="V16" t="n">
        <v>23.91469264120115</v>
      </c>
      <c r="W16" t="n">
        <v>25.59882592579278</v>
      </c>
      <c r="X16" t="n">
        <v>27.28295921038441</v>
      </c>
    </row>
    <row r="17">
      <c r="A17" t="inlineStr">
        <is>
          <t>Commercial</t>
        </is>
      </c>
      <c r="B17" t="inlineStr">
        <is>
          <t>Other</t>
        </is>
      </c>
      <c r="D17" t="inlineStr">
        <is>
          <t>New</t>
        </is>
      </c>
      <c r="E17" t="inlineStr">
        <is>
          <t>COMOTHNewDMD</t>
        </is>
      </c>
      <c r="F17" t="inlineStr">
        <is>
          <t>Mm2</t>
        </is>
      </c>
      <c r="G17" t="n">
        <v>0</v>
      </c>
      <c r="H17" t="n">
        <v>0.1752056089141553</v>
      </c>
      <c r="I17" t="n">
        <v>1.051233653484932</v>
      </c>
      <c r="J17" t="n">
        <v>1.927261698055709</v>
      </c>
      <c r="K17" t="n">
        <v>2.803289742626485</v>
      </c>
      <c r="L17" t="n">
        <v>3.679317787197262</v>
      </c>
      <c r="M17" t="n">
        <v>4.555345831768038</v>
      </c>
      <c r="N17" t="n">
        <v>5.431373876338816</v>
      </c>
      <c r="O17" t="n">
        <v>6.307401920909593</v>
      </c>
      <c r="P17" t="n">
        <v>7.18342996548037</v>
      </c>
      <c r="Q17" t="n">
        <v>8.059458010051147</v>
      </c>
      <c r="R17" t="n">
        <v>8.935486054621924</v>
      </c>
      <c r="S17" t="n">
        <v>9.811514099192701</v>
      </c>
      <c r="T17" t="n">
        <v>10.68754214376348</v>
      </c>
      <c r="U17" t="n">
        <v>11.56357018833426</v>
      </c>
      <c r="V17" t="n">
        <v>12.43959823290503</v>
      </c>
      <c r="W17" t="n">
        <v>13.31562627747581</v>
      </c>
      <c r="X17" t="n">
        <v>14.19165432204659</v>
      </c>
    </row>
    <row r="18">
      <c r="A18" t="inlineStr">
        <is>
          <t>Residential</t>
        </is>
      </c>
      <c r="B18" t="inlineStr">
        <is>
          <t>Apartment</t>
        </is>
      </c>
      <c r="C18" t="inlineStr">
        <is>
          <t>Low Income</t>
        </is>
      </c>
      <c r="D18" t="inlineStr">
        <is>
          <t>Old</t>
        </is>
      </c>
      <c r="E18" t="inlineStr">
        <is>
          <t>RESAPALOOldDMD</t>
        </is>
      </c>
      <c r="F18" t="inlineStr">
        <is>
          <t>Mm2</t>
        </is>
      </c>
      <c r="G18" t="n">
        <v>51.80787747749153</v>
      </c>
      <c r="H18" t="n">
        <v>51.80787747749153</v>
      </c>
      <c r="I18" t="n">
        <v>51.80787747749153</v>
      </c>
      <c r="J18" t="n">
        <v>51.80787747749153</v>
      </c>
      <c r="K18" t="n">
        <v>51.80787747749153</v>
      </c>
      <c r="L18" t="n">
        <v>51.80787747749153</v>
      </c>
      <c r="M18" t="n">
        <v>51.80787747749153</v>
      </c>
      <c r="N18" t="n">
        <v>51.80787747749153</v>
      </c>
      <c r="O18" t="n">
        <v>51.80787747749153</v>
      </c>
      <c r="P18" t="n">
        <v>51.80787747749153</v>
      </c>
      <c r="Q18" t="n">
        <v>51.80787747749153</v>
      </c>
      <c r="R18" t="n">
        <v>51.80787747749153</v>
      </c>
      <c r="S18" t="n">
        <v>51.80787747749153</v>
      </c>
      <c r="T18" t="n">
        <v>51.80787747749153</v>
      </c>
      <c r="U18" t="n">
        <v>51.80787747749153</v>
      </c>
      <c r="V18" t="n">
        <v>51.80787747749153</v>
      </c>
      <c r="W18" t="n">
        <v>51.80787747749153</v>
      </c>
      <c r="X18" t="n">
        <v>51.80787747749153</v>
      </c>
    </row>
    <row r="19">
      <c r="A19" t="inlineStr">
        <is>
          <t>Residential</t>
        </is>
      </c>
      <c r="B19" t="inlineStr">
        <is>
          <t>House</t>
        </is>
      </c>
      <c r="C19" t="inlineStr">
        <is>
          <t>Low Income</t>
        </is>
      </c>
      <c r="D19" t="inlineStr">
        <is>
          <t>Old</t>
        </is>
      </c>
      <c r="E19" t="inlineStr">
        <is>
          <t>RESHOULOOldDMD</t>
        </is>
      </c>
      <c r="F19" t="inlineStr">
        <is>
          <t>Mm2</t>
        </is>
      </c>
      <c r="G19" t="n">
        <v>14.95679801498832</v>
      </c>
      <c r="H19" t="n">
        <v>14.95679801498832</v>
      </c>
      <c r="I19" t="n">
        <v>14.95679801498832</v>
      </c>
      <c r="J19" t="n">
        <v>14.95679801498832</v>
      </c>
      <c r="K19" t="n">
        <v>14.95679801498832</v>
      </c>
      <c r="L19" t="n">
        <v>14.95679801498832</v>
      </c>
      <c r="M19" t="n">
        <v>14.95679801498832</v>
      </c>
      <c r="N19" t="n">
        <v>14.95679801498832</v>
      </c>
      <c r="O19" t="n">
        <v>14.95679801498832</v>
      </c>
      <c r="P19" t="n">
        <v>14.95679801498832</v>
      </c>
      <c r="Q19" t="n">
        <v>14.95679801498832</v>
      </c>
      <c r="R19" t="n">
        <v>14.95679801498832</v>
      </c>
      <c r="S19" t="n">
        <v>14.95679801498832</v>
      </c>
      <c r="T19" t="n">
        <v>14.95679801498832</v>
      </c>
      <c r="U19" t="n">
        <v>14.95679801498832</v>
      </c>
      <c r="V19" t="n">
        <v>14.95679801498832</v>
      </c>
      <c r="W19" t="n">
        <v>14.95679801498832</v>
      </c>
      <c r="X19" t="n">
        <v>14.95679801498832</v>
      </c>
    </row>
    <row r="20">
      <c r="A20" t="inlineStr">
        <is>
          <t>Residential</t>
        </is>
      </c>
      <c r="B20" t="inlineStr">
        <is>
          <t>Apartment</t>
        </is>
      </c>
      <c r="C20" t="inlineStr">
        <is>
          <t>Lower-Middle Income</t>
        </is>
      </c>
      <c r="D20" t="inlineStr">
        <is>
          <t>Old</t>
        </is>
      </c>
      <c r="E20" t="inlineStr">
        <is>
          <t>RESAPALMOldDMD</t>
        </is>
      </c>
      <c r="F20" t="inlineStr">
        <is>
          <t>Mm2</t>
        </is>
      </c>
      <c r="G20" t="n">
        <v>57.1219763358414</v>
      </c>
      <c r="H20" t="n">
        <v>57.1219763358414</v>
      </c>
      <c r="I20" t="n">
        <v>57.1219763358414</v>
      </c>
      <c r="J20" t="n">
        <v>57.1219763358414</v>
      </c>
      <c r="K20" t="n">
        <v>57.1219763358414</v>
      </c>
      <c r="L20" t="n">
        <v>57.1219763358414</v>
      </c>
      <c r="M20" t="n">
        <v>57.1219763358414</v>
      </c>
      <c r="N20" t="n">
        <v>57.1219763358414</v>
      </c>
      <c r="O20" t="n">
        <v>57.1219763358414</v>
      </c>
      <c r="P20" t="n">
        <v>57.1219763358414</v>
      </c>
      <c r="Q20" t="n">
        <v>57.1219763358414</v>
      </c>
      <c r="R20" t="n">
        <v>57.1219763358414</v>
      </c>
      <c r="S20" t="n">
        <v>57.1219763358414</v>
      </c>
      <c r="T20" t="n">
        <v>57.1219763358414</v>
      </c>
      <c r="U20" t="n">
        <v>57.1219763358414</v>
      </c>
      <c r="V20" t="n">
        <v>57.1219763358414</v>
      </c>
      <c r="W20" t="n">
        <v>57.1219763358414</v>
      </c>
      <c r="X20" t="n">
        <v>57.1219763358414</v>
      </c>
    </row>
    <row r="21">
      <c r="A21" t="inlineStr">
        <is>
          <t>Residential</t>
        </is>
      </c>
      <c r="B21" t="inlineStr">
        <is>
          <t>House</t>
        </is>
      </c>
      <c r="C21" t="inlineStr">
        <is>
          <t>Lower-Middle Income</t>
        </is>
      </c>
      <c r="D21" t="inlineStr">
        <is>
          <t>Old</t>
        </is>
      </c>
      <c r="E21" t="inlineStr">
        <is>
          <t>RESHOULMOldDMD</t>
        </is>
      </c>
      <c r="F21" t="inlineStr">
        <is>
          <t>Mm2</t>
        </is>
      </c>
      <c r="G21" t="n">
        <v>38.29925857753953</v>
      </c>
      <c r="H21" t="n">
        <v>38.29925857753953</v>
      </c>
      <c r="I21" t="n">
        <v>38.29925857753953</v>
      </c>
      <c r="J21" t="n">
        <v>38.29925857753953</v>
      </c>
      <c r="K21" t="n">
        <v>38.29925857753953</v>
      </c>
      <c r="L21" t="n">
        <v>38.29925857753953</v>
      </c>
      <c r="M21" t="n">
        <v>38.29925857753953</v>
      </c>
      <c r="N21" t="n">
        <v>38.29925857753953</v>
      </c>
      <c r="O21" t="n">
        <v>38.29925857753953</v>
      </c>
      <c r="P21" t="n">
        <v>38.29925857753953</v>
      </c>
      <c r="Q21" t="n">
        <v>38.29925857753953</v>
      </c>
      <c r="R21" t="n">
        <v>38.29925857753953</v>
      </c>
      <c r="S21" t="n">
        <v>38.29925857753953</v>
      </c>
      <c r="T21" t="n">
        <v>38.29925857753953</v>
      </c>
      <c r="U21" t="n">
        <v>38.29925857753953</v>
      </c>
      <c r="V21" t="n">
        <v>38.29925857753953</v>
      </c>
      <c r="W21" t="n">
        <v>38.29925857753953</v>
      </c>
      <c r="X21" t="n">
        <v>38.29925857753953</v>
      </c>
    </row>
    <row r="22">
      <c r="A22" t="inlineStr">
        <is>
          <t>Residential</t>
        </is>
      </c>
      <c r="B22" t="inlineStr">
        <is>
          <t>Apartment</t>
        </is>
      </c>
      <c r="C22" t="inlineStr">
        <is>
          <t>Upper-Middle Income</t>
        </is>
      </c>
      <c r="D22" t="inlineStr">
        <is>
          <t>Old</t>
        </is>
      </c>
      <c r="E22" t="inlineStr">
        <is>
          <t>RESAPAUMOldDMD</t>
        </is>
      </c>
      <c r="F22" t="inlineStr">
        <is>
          <t>Mm2</t>
        </is>
      </c>
      <c r="G22" t="n">
        <v>15.495887810194</v>
      </c>
      <c r="H22" t="n">
        <v>15.495887810194</v>
      </c>
      <c r="I22" t="n">
        <v>15.495887810194</v>
      </c>
      <c r="J22" t="n">
        <v>15.495887810194</v>
      </c>
      <c r="K22" t="n">
        <v>15.495887810194</v>
      </c>
      <c r="L22" t="n">
        <v>15.495887810194</v>
      </c>
      <c r="M22" t="n">
        <v>15.495887810194</v>
      </c>
      <c r="N22" t="n">
        <v>15.495887810194</v>
      </c>
      <c r="O22" t="n">
        <v>15.495887810194</v>
      </c>
      <c r="P22" t="n">
        <v>15.495887810194</v>
      </c>
      <c r="Q22" t="n">
        <v>15.495887810194</v>
      </c>
      <c r="R22" t="n">
        <v>15.495887810194</v>
      </c>
      <c r="S22" t="n">
        <v>15.495887810194</v>
      </c>
      <c r="T22" t="n">
        <v>15.495887810194</v>
      </c>
      <c r="U22" t="n">
        <v>15.495887810194</v>
      </c>
      <c r="V22" t="n">
        <v>15.495887810194</v>
      </c>
      <c r="W22" t="n">
        <v>15.495887810194</v>
      </c>
      <c r="X22" t="n">
        <v>15.495887810194</v>
      </c>
    </row>
    <row r="23">
      <c r="A23" t="inlineStr">
        <is>
          <t>Residential</t>
        </is>
      </c>
      <c r="B23" t="inlineStr">
        <is>
          <t>House</t>
        </is>
      </c>
      <c r="C23" t="inlineStr">
        <is>
          <t>Upper-Middle Income</t>
        </is>
      </c>
      <c r="D23" t="inlineStr">
        <is>
          <t>Old</t>
        </is>
      </c>
      <c r="E23" t="inlineStr">
        <is>
          <t>RESHOUUMOldDMD</t>
        </is>
      </c>
      <c r="F23" t="inlineStr">
        <is>
          <t>Mm2</t>
        </is>
      </c>
      <c r="G23" t="n">
        <v>19.1872144296702</v>
      </c>
      <c r="H23" t="n">
        <v>19.1872144296702</v>
      </c>
      <c r="I23" t="n">
        <v>19.1872144296702</v>
      </c>
      <c r="J23" t="n">
        <v>19.1872144296702</v>
      </c>
      <c r="K23" t="n">
        <v>19.1872144296702</v>
      </c>
      <c r="L23" t="n">
        <v>19.1872144296702</v>
      </c>
      <c r="M23" t="n">
        <v>19.1872144296702</v>
      </c>
      <c r="N23" t="n">
        <v>19.1872144296702</v>
      </c>
      <c r="O23" t="n">
        <v>19.1872144296702</v>
      </c>
      <c r="P23" t="n">
        <v>19.1872144296702</v>
      </c>
      <c r="Q23" t="n">
        <v>19.1872144296702</v>
      </c>
      <c r="R23" t="n">
        <v>19.1872144296702</v>
      </c>
      <c r="S23" t="n">
        <v>19.1872144296702</v>
      </c>
      <c r="T23" t="n">
        <v>19.1872144296702</v>
      </c>
      <c r="U23" t="n">
        <v>19.1872144296702</v>
      </c>
      <c r="V23" t="n">
        <v>19.1872144296702</v>
      </c>
      <c r="W23" t="n">
        <v>19.1872144296702</v>
      </c>
      <c r="X23" t="n">
        <v>19.1872144296702</v>
      </c>
    </row>
    <row r="24">
      <c r="A24" t="inlineStr">
        <is>
          <t>Residential</t>
        </is>
      </c>
      <c r="B24" t="inlineStr">
        <is>
          <t>Apartment</t>
        </is>
      </c>
      <c r="C24" t="inlineStr">
        <is>
          <t>High Income</t>
        </is>
      </c>
      <c r="D24" t="inlineStr">
        <is>
          <t>Old</t>
        </is>
      </c>
      <c r="E24" t="inlineStr">
        <is>
          <t>RESAPAHIOldDMD</t>
        </is>
      </c>
      <c r="F24" t="inlineStr">
        <is>
          <t>Mm2</t>
        </is>
      </c>
      <c r="G24" t="n">
        <v>66.39871738085496</v>
      </c>
      <c r="H24" t="n">
        <v>66.39871738085496</v>
      </c>
      <c r="I24" t="n">
        <v>66.39871738085496</v>
      </c>
      <c r="J24" t="n">
        <v>66.39871738085496</v>
      </c>
      <c r="K24" t="n">
        <v>66.39871738085496</v>
      </c>
      <c r="L24" t="n">
        <v>66.39871738085496</v>
      </c>
      <c r="M24" t="n">
        <v>66.39871738085496</v>
      </c>
      <c r="N24" t="n">
        <v>66.39871738085496</v>
      </c>
      <c r="O24" t="n">
        <v>66.39871738085496</v>
      </c>
      <c r="P24" t="n">
        <v>66.39871738085496</v>
      </c>
      <c r="Q24" t="n">
        <v>66.39871738085496</v>
      </c>
      <c r="R24" t="n">
        <v>66.39871738085496</v>
      </c>
      <c r="S24" t="n">
        <v>66.39871738085496</v>
      </c>
      <c r="T24" t="n">
        <v>66.39871738085496</v>
      </c>
      <c r="U24" t="n">
        <v>66.39871738085496</v>
      </c>
      <c r="V24" t="n">
        <v>66.39871738085496</v>
      </c>
      <c r="W24" t="n">
        <v>66.39871738085496</v>
      </c>
      <c r="X24" t="n">
        <v>66.39871738085496</v>
      </c>
    </row>
    <row r="25">
      <c r="A25" t="inlineStr">
        <is>
          <t>Residential</t>
        </is>
      </c>
      <c r="B25" t="inlineStr">
        <is>
          <t>House</t>
        </is>
      </c>
      <c r="C25" t="inlineStr">
        <is>
          <t>High Income</t>
        </is>
      </c>
      <c r="D25" t="inlineStr">
        <is>
          <t>Old</t>
        </is>
      </c>
      <c r="E25" t="inlineStr">
        <is>
          <t>RESHOUHIOldDMD</t>
        </is>
      </c>
      <c r="F25" t="inlineStr">
        <is>
          <t>Mm2</t>
        </is>
      </c>
      <c r="G25" t="n">
        <v>96.5520508464414</v>
      </c>
      <c r="H25" t="n">
        <v>96.5520508464414</v>
      </c>
      <c r="I25" t="n">
        <v>96.5520508464414</v>
      </c>
      <c r="J25" t="n">
        <v>96.5520508464414</v>
      </c>
      <c r="K25" t="n">
        <v>96.5520508464414</v>
      </c>
      <c r="L25" t="n">
        <v>96.5520508464414</v>
      </c>
      <c r="M25" t="n">
        <v>96.5520508464414</v>
      </c>
      <c r="N25" t="n">
        <v>96.5520508464414</v>
      </c>
      <c r="O25" t="n">
        <v>96.5520508464414</v>
      </c>
      <c r="P25" t="n">
        <v>96.5520508464414</v>
      </c>
      <c r="Q25" t="n">
        <v>96.5520508464414</v>
      </c>
      <c r="R25" t="n">
        <v>96.5520508464414</v>
      </c>
      <c r="S25" t="n">
        <v>96.5520508464414</v>
      </c>
      <c r="T25" t="n">
        <v>96.5520508464414</v>
      </c>
      <c r="U25" t="n">
        <v>96.5520508464414</v>
      </c>
      <c r="V25" t="n">
        <v>96.5520508464414</v>
      </c>
      <c r="W25" t="n">
        <v>96.5520508464414</v>
      </c>
      <c r="X25" t="n">
        <v>96.5520508464414</v>
      </c>
    </row>
    <row r="26">
      <c r="A26" t="inlineStr">
        <is>
          <t>Residential</t>
        </is>
      </c>
      <c r="B26" t="inlineStr">
        <is>
          <t>Apartment</t>
        </is>
      </c>
      <c r="C26" t="inlineStr">
        <is>
          <t>Low Income</t>
        </is>
      </c>
      <c r="D26" t="inlineStr">
        <is>
          <t>New</t>
        </is>
      </c>
      <c r="E26" t="inlineStr">
        <is>
          <t>RESAPALONewDMD</t>
        </is>
      </c>
      <c r="F26" t="inlineStr">
        <is>
          <t>Mm2</t>
        </is>
      </c>
      <c r="G26" t="n">
        <v>0</v>
      </c>
      <c r="H26" t="n">
        <v>0.2590393873874576</v>
      </c>
      <c r="I26" t="n">
        <v>1.554236324324746</v>
      </c>
      <c r="J26" t="n">
        <v>2.849433261262034</v>
      </c>
      <c r="K26" t="n">
        <v>4.144630198199322</v>
      </c>
      <c r="L26" t="n">
        <v>5.439827135136611</v>
      </c>
      <c r="M26" t="n">
        <v>6.735024072073899</v>
      </c>
      <c r="N26" t="n">
        <v>8.030221009011187</v>
      </c>
      <c r="O26" t="n">
        <v>9.325417945948475</v>
      </c>
      <c r="P26" t="n">
        <v>10.62061488288576</v>
      </c>
      <c r="Q26" t="n">
        <v>11.91581181982305</v>
      </c>
      <c r="R26" t="n">
        <v>13.21100875676034</v>
      </c>
      <c r="S26" t="n">
        <v>14.50620569369763</v>
      </c>
      <c r="T26" t="n">
        <v>15.80140263063491</v>
      </c>
      <c r="U26" t="n">
        <v>17.0965995675722</v>
      </c>
      <c r="V26" t="n">
        <v>18.39179650450949</v>
      </c>
      <c r="W26" t="n">
        <v>19.68699344144678</v>
      </c>
      <c r="X26" t="n">
        <v>20.98219037838406</v>
      </c>
    </row>
    <row r="27">
      <c r="A27" t="inlineStr">
        <is>
          <t>Residential</t>
        </is>
      </c>
      <c r="B27" t="inlineStr">
        <is>
          <t>House</t>
        </is>
      </c>
      <c r="C27" t="inlineStr">
        <is>
          <t>Low Income</t>
        </is>
      </c>
      <c r="D27" t="inlineStr">
        <is>
          <t>New</t>
        </is>
      </c>
      <c r="E27" t="inlineStr">
        <is>
          <t>RESHOULONewDMD</t>
        </is>
      </c>
      <c r="F27" t="inlineStr">
        <is>
          <t>Mm2</t>
        </is>
      </c>
      <c r="G27" t="n">
        <v>0</v>
      </c>
      <c r="H27" t="n">
        <v>0.07478399007494159</v>
      </c>
      <c r="I27" t="n">
        <v>0.4487039404496495</v>
      </c>
      <c r="J27" t="n">
        <v>0.8226238908243575</v>
      </c>
      <c r="K27" t="n">
        <v>1.196543841199065</v>
      </c>
      <c r="L27" t="n">
        <v>1.570463791573773</v>
      </c>
      <c r="M27" t="n">
        <v>1.944383741948481</v>
      </c>
      <c r="N27" t="n">
        <v>2.318303692323189</v>
      </c>
      <c r="O27" t="n">
        <v>2.692223642697897</v>
      </c>
      <c r="P27" t="n">
        <v>3.066143593072605</v>
      </c>
      <c r="Q27" t="n">
        <v>3.440063543447312</v>
      </c>
      <c r="R27" t="n">
        <v>3.81398349382202</v>
      </c>
      <c r="S27" t="n">
        <v>4.187903444196728</v>
      </c>
      <c r="T27" t="n">
        <v>4.561823394571435</v>
      </c>
      <c r="U27" t="n">
        <v>4.935743344946143</v>
      </c>
      <c r="V27" t="n">
        <v>5.309663295320851</v>
      </c>
      <c r="W27" t="n">
        <v>5.683583245695559</v>
      </c>
      <c r="X27" t="n">
        <v>6.057503196070266</v>
      </c>
    </row>
    <row r="28">
      <c r="A28" t="inlineStr">
        <is>
          <t>Residential</t>
        </is>
      </c>
      <c r="B28" t="inlineStr">
        <is>
          <t>Apartment</t>
        </is>
      </c>
      <c r="C28" t="inlineStr">
        <is>
          <t>Lower-Middle Income</t>
        </is>
      </c>
      <c r="D28" t="inlineStr">
        <is>
          <t>New</t>
        </is>
      </c>
      <c r="E28" t="inlineStr">
        <is>
          <t>RESAPALMNewDMD</t>
        </is>
      </c>
      <c r="F28" t="inlineStr">
        <is>
          <t>Mm2</t>
        </is>
      </c>
      <c r="G28" t="n">
        <v>0</v>
      </c>
      <c r="H28" t="n">
        <v>0.285609881679207</v>
      </c>
      <c r="I28" t="n">
        <v>1.713659290075242</v>
      </c>
      <c r="J28" t="n">
        <v>3.141708698471277</v>
      </c>
      <c r="K28" t="n">
        <v>4.569758106867313</v>
      </c>
      <c r="L28" t="n">
        <v>5.997807515263347</v>
      </c>
      <c r="M28" t="n">
        <v>7.425856923659382</v>
      </c>
      <c r="N28" t="n">
        <v>8.853906332055418</v>
      </c>
      <c r="O28" t="n">
        <v>10.28195574045145</v>
      </c>
      <c r="P28" t="n">
        <v>11.71000514884749</v>
      </c>
      <c r="Q28" t="n">
        <v>13.13805455724352</v>
      </c>
      <c r="R28" t="n">
        <v>14.56610396563956</v>
      </c>
      <c r="S28" t="n">
        <v>15.99415337403559</v>
      </c>
      <c r="T28" t="n">
        <v>17.42220278243163</v>
      </c>
      <c r="U28" t="n">
        <v>18.85025219082766</v>
      </c>
      <c r="V28" t="n">
        <v>20.2783015992237</v>
      </c>
      <c r="W28" t="n">
        <v>21.70635100761973</v>
      </c>
      <c r="X28" t="n">
        <v>23.13440041601577</v>
      </c>
    </row>
    <row r="29">
      <c r="A29" t="inlineStr">
        <is>
          <t>Residential</t>
        </is>
      </c>
      <c r="B29" t="inlineStr">
        <is>
          <t>House</t>
        </is>
      </c>
      <c r="C29" t="inlineStr">
        <is>
          <t>Lower-Middle Income</t>
        </is>
      </c>
      <c r="D29" t="inlineStr">
        <is>
          <t>New</t>
        </is>
      </c>
      <c r="E29" t="inlineStr">
        <is>
          <t>RESHOULMNewDMD</t>
        </is>
      </c>
      <c r="F29" t="inlineStr">
        <is>
          <t>Mm2</t>
        </is>
      </c>
      <c r="G29" t="n">
        <v>0</v>
      </c>
      <c r="H29" t="n">
        <v>0.1914962928876977</v>
      </c>
      <c r="I29" t="n">
        <v>1.148977757326186</v>
      </c>
      <c r="J29" t="n">
        <v>2.106459221764674</v>
      </c>
      <c r="K29" t="n">
        <v>3.063940686203162</v>
      </c>
      <c r="L29" t="n">
        <v>4.021422150641651</v>
      </c>
      <c r="M29" t="n">
        <v>4.978903615080139</v>
      </c>
      <c r="N29" t="n">
        <v>5.936385079518627</v>
      </c>
      <c r="O29" t="n">
        <v>6.893866543957115</v>
      </c>
      <c r="P29" t="n">
        <v>7.851348008395603</v>
      </c>
      <c r="Q29" t="n">
        <v>8.808829472834091</v>
      </c>
      <c r="R29" t="n">
        <v>9.76631093727258</v>
      </c>
      <c r="S29" t="n">
        <v>10.72379240171107</v>
      </c>
      <c r="T29" t="n">
        <v>11.68127386614956</v>
      </c>
      <c r="U29" t="n">
        <v>12.63875533058805</v>
      </c>
      <c r="V29" t="n">
        <v>13.59623679502654</v>
      </c>
      <c r="W29" t="n">
        <v>14.55371825946503</v>
      </c>
      <c r="X29" t="n">
        <v>15.51119972390351</v>
      </c>
    </row>
    <row r="30">
      <c r="A30" t="inlineStr">
        <is>
          <t>Residential</t>
        </is>
      </c>
      <c r="B30" t="inlineStr">
        <is>
          <t>Apartment</t>
        </is>
      </c>
      <c r="C30" t="inlineStr">
        <is>
          <t>Upper-Middle Income</t>
        </is>
      </c>
      <c r="D30" t="inlineStr">
        <is>
          <t>New</t>
        </is>
      </c>
      <c r="E30" t="inlineStr">
        <is>
          <t>RESAPAUMNewDMD</t>
        </is>
      </c>
      <c r="F30" t="inlineStr">
        <is>
          <t>Mm2</t>
        </is>
      </c>
      <c r="G30" t="n">
        <v>0</v>
      </c>
      <c r="H30" t="n">
        <v>0.07747943905096999</v>
      </c>
      <c r="I30" t="n">
        <v>0.4648766343058199</v>
      </c>
      <c r="J30" t="n">
        <v>0.8522738295606699</v>
      </c>
      <c r="K30" t="n">
        <v>1.23967102481552</v>
      </c>
      <c r="L30" t="n">
        <v>1.62706822007037</v>
      </c>
      <c r="M30" t="n">
        <v>2.01446541532522</v>
      </c>
      <c r="N30" t="n">
        <v>2.40186261058007</v>
      </c>
      <c r="O30" t="n">
        <v>2.78925980583492</v>
      </c>
      <c r="P30" t="n">
        <v>3.17665700108977</v>
      </c>
      <c r="Q30" t="n">
        <v>3.56405419634462</v>
      </c>
      <c r="R30" t="n">
        <v>3.95145139159947</v>
      </c>
      <c r="S30" t="n">
        <v>4.33884858685432</v>
      </c>
      <c r="T30" t="n">
        <v>4.72624578210917</v>
      </c>
      <c r="U30" t="n">
        <v>5.11364297736402</v>
      </c>
      <c r="V30" t="n">
        <v>5.501040172618869</v>
      </c>
      <c r="W30" t="n">
        <v>5.888437367873719</v>
      </c>
      <c r="X30" t="n">
        <v>6.275834563128568</v>
      </c>
    </row>
    <row r="31">
      <c r="A31" t="inlineStr">
        <is>
          <t>Residential</t>
        </is>
      </c>
      <c r="B31" t="inlineStr">
        <is>
          <t>House</t>
        </is>
      </c>
      <c r="C31" t="inlineStr">
        <is>
          <t>Upper-Middle Income</t>
        </is>
      </c>
      <c r="D31" t="inlineStr">
        <is>
          <t>New</t>
        </is>
      </c>
      <c r="E31" t="inlineStr">
        <is>
          <t>RESHOUUMNewDMD</t>
        </is>
      </c>
      <c r="F31" t="inlineStr">
        <is>
          <t>Mm2</t>
        </is>
      </c>
      <c r="G31" t="n">
        <v>0</v>
      </c>
      <c r="H31" t="n">
        <v>0.09593607214835101</v>
      </c>
      <c r="I31" t="n">
        <v>0.575616432890106</v>
      </c>
      <c r="J31" t="n">
        <v>1.055296793631861</v>
      </c>
      <c r="K31" t="n">
        <v>1.534977154373616</v>
      </c>
      <c r="L31" t="n">
        <v>2.014657515115371</v>
      </c>
      <c r="M31" t="n">
        <v>2.494337875857126</v>
      </c>
      <c r="N31" t="n">
        <v>2.974018236598881</v>
      </c>
      <c r="O31" t="n">
        <v>3.453698597340636</v>
      </c>
      <c r="P31" t="n">
        <v>3.933378958082391</v>
      </c>
      <c r="Q31" t="n">
        <v>4.413059318824145</v>
      </c>
      <c r="R31" t="n">
        <v>4.8927396795659</v>
      </c>
      <c r="S31" t="n">
        <v>5.372420040307655</v>
      </c>
      <c r="T31" t="n">
        <v>5.85210040104941</v>
      </c>
      <c r="U31" t="n">
        <v>6.331780761791165</v>
      </c>
      <c r="V31" t="n">
        <v>6.811461122532919</v>
      </c>
      <c r="W31" t="n">
        <v>7.291141483274674</v>
      </c>
      <c r="X31" t="n">
        <v>7.770821844016429</v>
      </c>
    </row>
    <row r="32">
      <c r="A32" t="inlineStr">
        <is>
          <t>Residential</t>
        </is>
      </c>
      <c r="B32" t="inlineStr">
        <is>
          <t>Apartment</t>
        </is>
      </c>
      <c r="C32" t="inlineStr">
        <is>
          <t>High Income</t>
        </is>
      </c>
      <c r="D32" t="inlineStr">
        <is>
          <t>New</t>
        </is>
      </c>
      <c r="E32" t="inlineStr">
        <is>
          <t>RESAPAHINewDMD</t>
        </is>
      </c>
      <c r="F32" t="inlineStr">
        <is>
          <t>Mm2</t>
        </is>
      </c>
      <c r="G32" t="n">
        <v>0</v>
      </c>
      <c r="H32" t="n">
        <v>0.3319935869042748</v>
      </c>
      <c r="I32" t="n">
        <v>1.991961521425649</v>
      </c>
      <c r="J32" t="n">
        <v>3.651929455947023</v>
      </c>
      <c r="K32" t="n">
        <v>5.311897390468397</v>
      </c>
      <c r="L32" t="n">
        <v>6.971865324989771</v>
      </c>
      <c r="M32" t="n">
        <v>8.631833259511145</v>
      </c>
      <c r="N32" t="n">
        <v>10.29180119403252</v>
      </c>
      <c r="O32" t="n">
        <v>11.95176912855389</v>
      </c>
      <c r="P32" t="n">
        <v>13.61173706307527</v>
      </c>
      <c r="Q32" t="n">
        <v>15.27170499759664</v>
      </c>
      <c r="R32" t="n">
        <v>16.93167293211802</v>
      </c>
      <c r="S32" t="n">
        <v>18.59164086663939</v>
      </c>
      <c r="T32" t="n">
        <v>20.25160880116076</v>
      </c>
      <c r="U32" t="n">
        <v>21.91157673568214</v>
      </c>
      <c r="V32" t="n">
        <v>23.57154467020352</v>
      </c>
      <c r="W32" t="n">
        <v>25.23151260472489</v>
      </c>
      <c r="X32" t="n">
        <v>26.89148053924627</v>
      </c>
    </row>
    <row r="33">
      <c r="A33" t="inlineStr">
        <is>
          <t>Residential</t>
        </is>
      </c>
      <c r="B33" t="inlineStr">
        <is>
          <t>House</t>
        </is>
      </c>
      <c r="C33" t="inlineStr">
        <is>
          <t>High Income</t>
        </is>
      </c>
      <c r="D33" t="inlineStr">
        <is>
          <t>New</t>
        </is>
      </c>
      <c r="E33" t="inlineStr">
        <is>
          <t>RESHOUHINewDMD</t>
        </is>
      </c>
      <c r="F33" t="inlineStr">
        <is>
          <t>Mm2</t>
        </is>
      </c>
      <c r="G33" t="n">
        <v>0</v>
      </c>
      <c r="H33" t="n">
        <v>0.482760254232207</v>
      </c>
      <c r="I33" t="n">
        <v>2.896561525393242</v>
      </c>
      <c r="J33" t="n">
        <v>5.310362796554278</v>
      </c>
      <c r="K33" t="n">
        <v>7.724164067715313</v>
      </c>
      <c r="L33" t="n">
        <v>10.13796533887635</v>
      </c>
      <c r="M33" t="n">
        <v>12.55176661003738</v>
      </c>
      <c r="N33" t="n">
        <v>14.96556788119842</v>
      </c>
      <c r="O33" t="n">
        <v>17.37936915235945</v>
      </c>
      <c r="P33" t="n">
        <v>19.79317042352049</v>
      </c>
      <c r="Q33" t="n">
        <v>22.20697169468152</v>
      </c>
      <c r="R33" t="n">
        <v>24.62077296584255</v>
      </c>
      <c r="S33" t="n">
        <v>27.03457423700359</v>
      </c>
      <c r="T33" t="n">
        <v>29.44837550816462</v>
      </c>
      <c r="U33" t="n">
        <v>31.86217677932566</v>
      </c>
      <c r="V33" t="n">
        <v>34.27597805048669</v>
      </c>
      <c r="W33" t="n">
        <v>36.68977932164773</v>
      </c>
      <c r="X33" t="n">
        <v>39.10358059280876</v>
      </c>
    </row>
    <row r="34">
      <c r="A34" t="inlineStr">
        <is>
          <t>Industrial</t>
        </is>
      </c>
      <c r="B34" t="inlineStr">
        <is>
          <t>All Industries</t>
        </is>
      </c>
      <c r="E34" t="inlineStr">
        <is>
          <t>INDAINDMD</t>
        </is>
      </c>
      <c r="F34" t="inlineStr">
        <is>
          <t>TJ</t>
        </is>
      </c>
      <c r="G34" t="n">
        <v>66716.4608309404</v>
      </c>
      <c r="H34" t="n">
        <v>68050.7900475592</v>
      </c>
      <c r="I34" t="n">
        <v>74855.86905231513</v>
      </c>
      <c r="J34" t="n">
        <v>82341.45595754666</v>
      </c>
      <c r="K34" t="n">
        <v>90575.60155330133</v>
      </c>
      <c r="L34" t="n">
        <v>99633.16170863147</v>
      </c>
      <c r="M34" t="n">
        <v>109596.4778794946</v>
      </c>
      <c r="N34" t="n">
        <v>120556.1256674441</v>
      </c>
      <c r="O34" t="n">
        <v>132611.7382341885</v>
      </c>
      <c r="P34" t="n">
        <v>145872.9120576074</v>
      </c>
      <c r="Q34" t="n">
        <v>160460.2032633681</v>
      </c>
      <c r="R34" t="n">
        <v>176506.223589705</v>
      </c>
      <c r="S34" t="n">
        <v>194156.8459486755</v>
      </c>
      <c r="T34" t="n">
        <v>213572.530543543</v>
      </c>
      <c r="U34" t="n">
        <v>234929.7835978974</v>
      </c>
      <c r="V34" t="n">
        <v>258422.7619576871</v>
      </c>
      <c r="W34" t="n">
        <v>284265.0381534559</v>
      </c>
      <c r="X34" t="n">
        <v>312691.5419688015</v>
      </c>
    </row>
    <row r="35">
      <c r="A35" t="inlineStr">
        <is>
          <t>Transportation</t>
        </is>
      </c>
      <c r="B35" t="inlineStr">
        <is>
          <t>Passenger</t>
        </is>
      </c>
      <c r="C35" t="inlineStr">
        <is>
          <t>Passenger Car</t>
        </is>
      </c>
      <c r="E35" t="inlineStr">
        <is>
          <t>TRAPASCARDMD</t>
        </is>
      </c>
      <c r="F35" t="inlineStr">
        <is>
          <t>M Vkm</t>
        </is>
      </c>
      <c r="G35" t="n">
        <v>68921.25089037117</v>
      </c>
      <c r="H35" t="n">
        <v>69265.85714482302</v>
      </c>
      <c r="I35" t="n">
        <v>70997.5035734436</v>
      </c>
      <c r="J35" t="n">
        <v>72772.44116277968</v>
      </c>
      <c r="K35" t="n">
        <v>74591.75219184917</v>
      </c>
      <c r="L35" t="n">
        <v>76456.54599664539</v>
      </c>
      <c r="M35" t="n">
        <v>78367.95964656152</v>
      </c>
      <c r="N35" t="n">
        <v>80327.15863772554</v>
      </c>
      <c r="O35" t="n">
        <v>82335.33760366868</v>
      </c>
      <c r="P35" t="n">
        <v>84393.72104376039</v>
      </c>
      <c r="Q35" t="n">
        <v>86503.5640698544</v>
      </c>
      <c r="R35" t="n">
        <v>88666.15317160076</v>
      </c>
      <c r="S35" t="n">
        <v>90882.80700089077</v>
      </c>
      <c r="T35" t="n">
        <v>93154.87717591303</v>
      </c>
      <c r="U35" t="n">
        <v>95483.74910531085</v>
      </c>
      <c r="V35" t="n">
        <v>97870.84283294361</v>
      </c>
      <c r="W35" t="n">
        <v>100317.6139037672</v>
      </c>
      <c r="X35" t="n">
        <v>102825.5542513614</v>
      </c>
    </row>
    <row r="36">
      <c r="A36" t="inlineStr">
        <is>
          <t>Transportation</t>
        </is>
      </c>
      <c r="B36" t="inlineStr">
        <is>
          <t>Passenger</t>
        </is>
      </c>
      <c r="C36" t="inlineStr">
        <is>
          <t>Passenger Truck</t>
        </is>
      </c>
      <c r="E36" t="inlineStr">
        <is>
          <t>TRAPASLDTDMD</t>
        </is>
      </c>
      <c r="F36" t="inlineStr">
        <is>
          <t>M Vkm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Transportation</t>
        </is>
      </c>
      <c r="B37" t="inlineStr">
        <is>
          <t>Passenger</t>
        </is>
      </c>
      <c r="C37" t="inlineStr">
        <is>
          <t>Motorcycle</t>
        </is>
      </c>
      <c r="E37" t="inlineStr">
        <is>
          <t>TRAPASMOTDMD</t>
        </is>
      </c>
      <c r="F37" t="inlineStr">
        <is>
          <t>M Vkm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Transportation</t>
        </is>
      </c>
      <c r="B38" t="inlineStr">
        <is>
          <t>Freight</t>
        </is>
      </c>
      <c r="C38" t="inlineStr">
        <is>
          <t>Light Commercial Truck</t>
        </is>
      </c>
      <c r="E38" t="inlineStr">
        <is>
          <t>TRAFRECLTDMD</t>
        </is>
      </c>
      <c r="F38" t="inlineStr">
        <is>
          <t>M Vkm</t>
        </is>
      </c>
      <c r="G38" t="n">
        <v>1578.517884793075</v>
      </c>
      <c r="H38" t="n">
        <v>1586.41047421704</v>
      </c>
      <c r="I38" t="n">
        <v>1626.070736072466</v>
      </c>
      <c r="J38" t="n">
        <v>1666.722504474278</v>
      </c>
      <c r="K38" t="n">
        <v>1708.390567086135</v>
      </c>
      <c r="L38" t="n">
        <v>1751.100331263288</v>
      </c>
      <c r="M38" t="n">
        <v>1794.87783954487</v>
      </c>
      <c r="N38" t="n">
        <v>1839.749785533491</v>
      </c>
      <c r="O38" t="n">
        <v>1885.743530171829</v>
      </c>
      <c r="P38" t="n">
        <v>1932.887118426124</v>
      </c>
      <c r="Q38" t="n">
        <v>1981.209296386777</v>
      </c>
      <c r="R38" t="n">
        <v>2030.739528796446</v>
      </c>
      <c r="S38" t="n">
        <v>2081.508017016357</v>
      </c>
      <c r="T38" t="n">
        <v>2133.545717441766</v>
      </c>
      <c r="U38" t="n">
        <v>2186.88436037781</v>
      </c>
      <c r="V38" t="n">
        <v>2241.556469387255</v>
      </c>
      <c r="W38" t="n">
        <v>2297.595381121936</v>
      </c>
      <c r="X38" t="n">
        <v>2355.035265649984</v>
      </c>
    </row>
    <row r="39">
      <c r="A39" t="inlineStr">
        <is>
          <t>Transportation</t>
        </is>
      </c>
      <c r="B39" t="inlineStr">
        <is>
          <t>Freight</t>
        </is>
      </c>
      <c r="C39" t="inlineStr">
        <is>
          <t>Refuse Truck</t>
        </is>
      </c>
      <c r="E39" t="inlineStr">
        <is>
          <t>TRAFRERFTDMD</t>
        </is>
      </c>
      <c r="F39" t="inlineStr">
        <is>
          <t>M Vkm</t>
        </is>
      </c>
      <c r="G39" t="n">
        <v>70.02630827394273</v>
      </c>
      <c r="H39" t="n">
        <v>70.37643981531244</v>
      </c>
      <c r="I39" t="n">
        <v>72.13585081069525</v>
      </c>
      <c r="J39" t="n">
        <v>73.93924708096262</v>
      </c>
      <c r="K39" t="n">
        <v>75.78772825798667</v>
      </c>
      <c r="L39" t="n">
        <v>77.68242146443633</v>
      </c>
      <c r="M39" t="n">
        <v>79.62448200104723</v>
      </c>
      <c r="N39" t="n">
        <v>81.6150940510734</v>
      </c>
      <c r="O39" t="n">
        <v>83.65547140235023</v>
      </c>
      <c r="P39" t="n">
        <v>85.74685818740898</v>
      </c>
      <c r="Q39" t="n">
        <v>87.89052964209419</v>
      </c>
      <c r="R39" t="n">
        <v>90.08779288314653</v>
      </c>
      <c r="S39" t="n">
        <v>92.33998770522518</v>
      </c>
      <c r="T39" t="n">
        <v>94.6484873978558</v>
      </c>
      <c r="U39" t="n">
        <v>97.01469958280219</v>
      </c>
      <c r="V39" t="n">
        <v>99.44006707237224</v>
      </c>
      <c r="W39" t="n">
        <v>101.9260687491815</v>
      </c>
      <c r="X39" t="n">
        <v>104.4742204679111</v>
      </c>
    </row>
    <row r="40">
      <c r="A40" t="inlineStr">
        <is>
          <t>Transportation</t>
        </is>
      </c>
      <c r="B40" t="inlineStr">
        <is>
          <t>Freight</t>
        </is>
      </c>
      <c r="C40" t="inlineStr">
        <is>
          <t>Single Unit Long-haul Truck</t>
        </is>
      </c>
      <c r="E40" t="inlineStr">
        <is>
          <t>TRAFRESLHDMD</t>
        </is>
      </c>
      <c r="F40" t="inlineStr">
        <is>
          <t>M Vkm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Transportation</t>
        </is>
      </c>
      <c r="B41" t="inlineStr">
        <is>
          <t>Freight</t>
        </is>
      </c>
      <c r="C41" t="inlineStr">
        <is>
          <t>Single Unit Short-haul Truck</t>
        </is>
      </c>
      <c r="E41" t="inlineStr">
        <is>
          <t>TRAFRESSHDMD</t>
        </is>
      </c>
      <c r="F41" t="inlineStr">
        <is>
          <t>M Vkm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Transportation</t>
        </is>
      </c>
      <c r="B42" t="inlineStr">
        <is>
          <t>Freight</t>
        </is>
      </c>
      <c r="C42" t="inlineStr">
        <is>
          <t>Combination Long-haul Truck</t>
        </is>
      </c>
      <c r="E42" t="inlineStr">
        <is>
          <t>TRAFRECLHDMD</t>
        </is>
      </c>
      <c r="F42" t="inlineStr">
        <is>
          <t>M Vkm</t>
        </is>
      </c>
      <c r="G42" t="n">
        <v>1367.620150584674</v>
      </c>
      <c r="H42" t="n">
        <v>1374.458251337598</v>
      </c>
      <c r="I42" t="n">
        <v>1408.819707621037</v>
      </c>
      <c r="J42" t="n">
        <v>1444.040200311563</v>
      </c>
      <c r="K42" t="n">
        <v>1480.141205319352</v>
      </c>
      <c r="L42" t="n">
        <v>1517.144735452336</v>
      </c>
      <c r="M42" t="n">
        <v>1555.073353838644</v>
      </c>
      <c r="N42" t="n">
        <v>1593.95018768461</v>
      </c>
      <c r="O42" t="n">
        <v>1633.798942376725</v>
      </c>
      <c r="P42" t="n">
        <v>1674.643915936143</v>
      </c>
      <c r="Q42" t="n">
        <v>1716.510013834547</v>
      </c>
      <c r="R42" t="n">
        <v>1759.42276418041</v>
      </c>
      <c r="S42" t="n">
        <v>1803.40833328492</v>
      </c>
      <c r="T42" t="n">
        <v>1848.493541617043</v>
      </c>
      <c r="U42" t="n">
        <v>1894.705880157469</v>
      </c>
      <c r="V42" t="n">
        <v>1942.073527161406</v>
      </c>
      <c r="W42" t="n">
        <v>1990.625365340441</v>
      </c>
      <c r="X42" t="n">
        <v>2040.390999473952</v>
      </c>
    </row>
    <row r="43">
      <c r="A43" t="inlineStr">
        <is>
          <t>Transportation</t>
        </is>
      </c>
      <c r="B43" t="inlineStr">
        <is>
          <t>Freight</t>
        </is>
      </c>
      <c r="C43" t="inlineStr">
        <is>
          <t>Combination Short-haul Truck</t>
        </is>
      </c>
      <c r="E43" t="inlineStr">
        <is>
          <t>TRAFRECSHDMD</t>
        </is>
      </c>
      <c r="F43" t="inlineStr">
        <is>
          <t>M Vkm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Transportation</t>
        </is>
      </c>
      <c r="B44" t="inlineStr">
        <is>
          <t>Passenger</t>
        </is>
      </c>
      <c r="C44" t="inlineStr">
        <is>
          <t>Transit Bus</t>
        </is>
      </c>
      <c r="E44" t="inlineStr">
        <is>
          <t>TRAPASTBUDMD</t>
        </is>
      </c>
      <c r="F44" t="inlineStr">
        <is>
          <t>M Vkm</t>
        </is>
      </c>
      <c r="G44" t="n">
        <v>498.2041853533404</v>
      </c>
      <c r="H44" t="n">
        <v>500.695206280107</v>
      </c>
      <c r="I44" t="n">
        <v>513.2125864371096</v>
      </c>
      <c r="J44" t="n">
        <v>526.0429010980373</v>
      </c>
      <c r="K44" t="n">
        <v>539.1939736254882</v>
      </c>
      <c r="L44" t="n">
        <v>552.6738229661254</v>
      </c>
      <c r="M44" t="n">
        <v>566.4906685402784</v>
      </c>
      <c r="N44" t="n">
        <v>580.6529352537854</v>
      </c>
      <c r="O44" t="n">
        <v>595.1692586351299</v>
      </c>
      <c r="P44" t="n">
        <v>610.0484901010082</v>
      </c>
      <c r="Q44" t="n">
        <v>625.2997023535333</v>
      </c>
      <c r="R44" t="n">
        <v>640.9321949123716</v>
      </c>
      <c r="S44" t="n">
        <v>656.9554997851809</v>
      </c>
      <c r="T44" t="n">
        <v>673.3793872798103</v>
      </c>
      <c r="U44" t="n">
        <v>690.2138719618055</v>
      </c>
      <c r="V44" t="n">
        <v>707.4692187608506</v>
      </c>
      <c r="W44" t="n">
        <v>725.1559492298718</v>
      </c>
      <c r="X44" t="n">
        <v>743.2848479606185</v>
      </c>
    </row>
    <row r="45">
      <c r="A45" t="inlineStr">
        <is>
          <t>Transportation</t>
        </is>
      </c>
      <c r="B45" t="inlineStr">
        <is>
          <t>Passenger</t>
        </is>
      </c>
      <c r="C45" t="inlineStr">
        <is>
          <t>School Bus</t>
        </is>
      </c>
      <c r="E45" t="inlineStr">
        <is>
          <t>TRAPASSBUDMD</t>
        </is>
      </c>
      <c r="F45" t="inlineStr">
        <is>
          <t>M Vkm</t>
        </is>
      </c>
      <c r="G45" t="n">
        <v>86.05321734271968</v>
      </c>
      <c r="H45" t="n">
        <v>86.48348342943326</v>
      </c>
      <c r="I45" t="n">
        <v>88.64557051516908</v>
      </c>
      <c r="J45" t="n">
        <v>90.86170977804831</v>
      </c>
      <c r="K45" t="n">
        <v>93.1332525224995</v>
      </c>
      <c r="L45" t="n">
        <v>95.46158383556198</v>
      </c>
      <c r="M45" t="n">
        <v>97.84812343145103</v>
      </c>
      <c r="N45" t="n">
        <v>100.2943265172373</v>
      </c>
      <c r="O45" t="n">
        <v>102.8016846801682</v>
      </c>
      <c r="P45" t="n">
        <v>105.3717267971724</v>
      </c>
      <c r="Q45" t="n">
        <v>108.0060199671017</v>
      </c>
      <c r="R45" t="n">
        <v>110.7061704662793</v>
      </c>
      <c r="S45" t="n">
        <v>113.4738247279362</v>
      </c>
      <c r="T45" t="n">
        <v>116.3106703461346</v>
      </c>
      <c r="U45" t="n">
        <v>119.218437104788</v>
      </c>
      <c r="V45" t="n">
        <v>122.1988980324077</v>
      </c>
      <c r="W45" t="n">
        <v>125.2538704832179</v>
      </c>
      <c r="X45" t="n">
        <v>128.3852172452983</v>
      </c>
    </row>
    <row r="46">
      <c r="A46" t="inlineStr">
        <is>
          <t>Transportation</t>
        </is>
      </c>
      <c r="B46" t="inlineStr">
        <is>
          <t>Passenger</t>
        </is>
      </c>
      <c r="C46" t="inlineStr">
        <is>
          <t>Other Buses</t>
        </is>
      </c>
      <c r="E46" t="inlineStr">
        <is>
          <t>TRAPASOBUDMD</t>
        </is>
      </c>
      <c r="F46" t="inlineStr">
        <is>
          <t>M Vkm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Transportation</t>
        </is>
      </c>
      <c r="B47" t="inlineStr">
        <is>
          <t>Passenger</t>
        </is>
      </c>
      <c r="C47" t="inlineStr">
        <is>
          <t>Rail</t>
        </is>
      </c>
      <c r="E47" t="inlineStr">
        <is>
          <t>TRAPASRAIDMD</t>
        </is>
      </c>
      <c r="F47" t="inlineStr">
        <is>
          <t>M Vkm</t>
        </is>
      </c>
      <c r="G47" t="n">
        <v>364.1076787683694</v>
      </c>
      <c r="H47" t="n">
        <v>365.9282171622112</v>
      </c>
      <c r="I47" t="n">
        <v>375.0764225912664</v>
      </c>
      <c r="J47" t="n">
        <v>384.453333156048</v>
      </c>
      <c r="K47" t="n">
        <v>394.0646664849492</v>
      </c>
      <c r="L47" t="n">
        <v>403.9162831470729</v>
      </c>
      <c r="M47" t="n">
        <v>414.0141902257496</v>
      </c>
      <c r="N47" t="n">
        <v>424.3645449813934</v>
      </c>
      <c r="O47" t="n">
        <v>434.9736586059282</v>
      </c>
      <c r="P47" t="n">
        <v>445.8480000710763</v>
      </c>
      <c r="Q47" t="n">
        <v>456.9942000728532</v>
      </c>
      <c r="R47" t="n">
        <v>468.4190550746745</v>
      </c>
      <c r="S47" t="n">
        <v>480.1295314515414</v>
      </c>
      <c r="T47" t="n">
        <v>492.1327697378298</v>
      </c>
      <c r="U47" t="n">
        <v>504.4360889812755</v>
      </c>
      <c r="V47" t="n">
        <v>517.0469912058073</v>
      </c>
      <c r="W47" t="n">
        <v>529.9731659859525</v>
      </c>
      <c r="X47" t="n">
        <v>543.2224951356013</v>
      </c>
    </row>
    <row r="48">
      <c r="A48" t="inlineStr">
        <is>
          <t>Transportation</t>
        </is>
      </c>
      <c r="B48" t="inlineStr">
        <is>
          <t>Passenger</t>
        </is>
      </c>
      <c r="C48" t="inlineStr">
        <is>
          <t>Tram</t>
        </is>
      </c>
      <c r="E48" t="inlineStr">
        <is>
          <t>TRAPASTRMDMD</t>
        </is>
      </c>
      <c r="F48" t="inlineStr">
        <is>
          <t>M Vkm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Transportation</t>
        </is>
      </c>
      <c r="B49" t="inlineStr">
        <is>
          <t>Passenger</t>
        </is>
      </c>
      <c r="C49" t="inlineStr">
        <is>
          <t>Subway</t>
        </is>
      </c>
      <c r="E49" t="inlineStr">
        <is>
          <t>TRAPASSUBDMD</t>
        </is>
      </c>
      <c r="F49" t="inlineStr">
        <is>
          <t>M Vkm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Transportation</t>
        </is>
      </c>
      <c r="B50" t="inlineStr">
        <is>
          <t>Passenger</t>
        </is>
      </c>
      <c r="C50" t="inlineStr">
        <is>
          <t>Bicycle</t>
        </is>
      </c>
      <c r="E50" t="inlineStr">
        <is>
          <t>TRAPASBICDMD</t>
        </is>
      </c>
      <c r="F50" t="inlineStr">
        <is>
          <t>M Vkm</t>
        </is>
      </c>
      <c r="G50" t="n">
        <v>783.7164107199296</v>
      </c>
      <c r="H50" t="n">
        <v>787.6349927735292</v>
      </c>
      <c r="I50" t="n">
        <v>807.3258675928674</v>
      </c>
      <c r="J50" t="n">
        <v>827.509014282689</v>
      </c>
      <c r="K50" t="n">
        <v>848.1967396397562</v>
      </c>
      <c r="L50" t="n">
        <v>869.40165813075</v>
      </c>
      <c r="M50" t="n">
        <v>891.1366995840186</v>
      </c>
      <c r="N50" t="n">
        <v>913.4151170736191</v>
      </c>
      <c r="O50" t="n">
        <v>936.2504950004594</v>
      </c>
      <c r="P50" t="n">
        <v>959.6567573754708</v>
      </c>
      <c r="Q50" t="n">
        <v>983.6481763098575</v>
      </c>
      <c r="R50" t="n">
        <v>1008.239380717604</v>
      </c>
      <c r="S50" t="n">
        <v>1033.445365235544</v>
      </c>
      <c r="T50" t="n">
        <v>1059.281499366432</v>
      </c>
      <c r="U50" t="n">
        <v>1085.763536850593</v>
      </c>
      <c r="V50" t="n">
        <v>1112.907625271858</v>
      </c>
      <c r="W50" t="n">
        <v>1140.730315903654</v>
      </c>
      <c r="X50" t="n">
        <v>1169.248573801245</v>
      </c>
    </row>
    <row r="51">
      <c r="A51" t="inlineStr">
        <is>
          <t>Transportation</t>
        </is>
      </c>
      <c r="B51" t="inlineStr">
        <is>
          <t>Passenger</t>
        </is>
      </c>
      <c r="C51" t="inlineStr">
        <is>
          <t>Walk</t>
        </is>
      </c>
      <c r="E51" t="inlineStr">
        <is>
          <t>TRAPASWALDMD</t>
        </is>
      </c>
      <c r="F51" t="inlineStr">
        <is>
          <t>M Vkm</t>
        </is>
      </c>
      <c r="G51" t="n">
        <v>4185.061682717194</v>
      </c>
      <c r="H51" t="n">
        <v>4205.98699113078</v>
      </c>
      <c r="I51" t="n">
        <v>4311.136665909049</v>
      </c>
      <c r="J51" t="n">
        <v>4418.915082556775</v>
      </c>
      <c r="K51" t="n">
        <v>4529.387959620693</v>
      </c>
      <c r="L51" t="n">
        <v>4642.622658611211</v>
      </c>
      <c r="M51" t="n">
        <v>4758.68822507649</v>
      </c>
      <c r="N51" t="n">
        <v>4877.655430703402</v>
      </c>
      <c r="O51" t="n">
        <v>4999.596816470987</v>
      </c>
      <c r="P51" t="n">
        <v>5124.586736882761</v>
      </c>
      <c r="Q51" t="n">
        <v>5252.70140530483</v>
      </c>
      <c r="R51" t="n">
        <v>5384.01894043745</v>
      </c>
      <c r="S51" t="n">
        <v>5518.619413948385</v>
      </c>
      <c r="T51" t="n">
        <v>5656.584899297094</v>
      </c>
      <c r="U51" t="n">
        <v>5797.999521779521</v>
      </c>
      <c r="V51" t="n">
        <v>5942.949509824009</v>
      </c>
      <c r="W51" t="n">
        <v>6091.523247569608</v>
      </c>
      <c r="X51" t="n">
        <v>6243.811328758849</v>
      </c>
    </row>
    <row r="52">
      <c r="A52" t="inlineStr">
        <is>
          <t>Transportation</t>
        </is>
      </c>
      <c r="B52" t="inlineStr">
        <is>
          <t>Other</t>
        </is>
      </c>
      <c r="C52" t="inlineStr">
        <is>
          <t>Off-Road</t>
        </is>
      </c>
      <c r="E52" t="inlineStr">
        <is>
          <t>TRAOTHOFRDMD</t>
        </is>
      </c>
      <c r="F52" t="inlineStr">
        <is>
          <t>M Vkm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Transportation</t>
        </is>
      </c>
      <c r="B53" t="inlineStr">
        <is>
          <t>Other</t>
        </is>
      </c>
      <c r="C53" t="inlineStr">
        <is>
          <t>Waterborne</t>
        </is>
      </c>
      <c r="E53" t="inlineStr">
        <is>
          <t>TRAOTHWATDMD</t>
        </is>
      </c>
      <c r="F53" t="inlineStr">
        <is>
          <t>M Vkm</t>
        </is>
      </c>
      <c r="G53" t="n">
        <v>1.605430432772551</v>
      </c>
      <c r="H53" t="n">
        <v>1.613457584936414</v>
      </c>
      <c r="I53" t="n">
        <v>1.653794024559824</v>
      </c>
      <c r="J53" t="n">
        <v>1.69513887517382</v>
      </c>
      <c r="K53" t="n">
        <v>1.737517347053165</v>
      </c>
      <c r="L53" t="n">
        <v>1.780955280729494</v>
      </c>
      <c r="M53" t="n">
        <v>1.825479162747731</v>
      </c>
      <c r="N53" t="n">
        <v>1.871116141816424</v>
      </c>
      <c r="O53" t="n">
        <v>1.917894045361834</v>
      </c>
      <c r="P53" t="n">
        <v>1.96584139649588</v>
      </c>
      <c r="Q53" t="n">
        <v>2.014987431408277</v>
      </c>
      <c r="R53" t="n">
        <v>2.065362117193484</v>
      </c>
      <c r="S53" t="n">
        <v>2.116996170123321</v>
      </c>
      <c r="T53" t="n">
        <v>2.169921074376404</v>
      </c>
      <c r="U53" t="n">
        <v>2.224169101235814</v>
      </c>
      <c r="V53" t="n">
        <v>2.279773328766709</v>
      </c>
      <c r="W53" t="n">
        <v>2.336767661985876</v>
      </c>
      <c r="X53" t="n">
        <v>2.395186853535523</v>
      </c>
    </row>
    <row r="54">
      <c r="A54" t="inlineStr">
        <is>
          <t>Transportation</t>
        </is>
      </c>
      <c r="B54" t="inlineStr">
        <is>
          <t>Other</t>
        </is>
      </c>
      <c r="C54" t="inlineStr">
        <is>
          <t>Aviation</t>
        </is>
      </c>
      <c r="E54" t="inlineStr">
        <is>
          <t>TRAOTHAIRDMD</t>
        </is>
      </c>
      <c r="F54" t="inlineStr">
        <is>
          <t>M Vkm</t>
        </is>
      </c>
      <c r="G54" t="n">
        <v>0.1257155698946095</v>
      </c>
      <c r="H54" t="n">
        <v>0.1263441477440825</v>
      </c>
      <c r="I54" t="n">
        <v>0.1295027514376846</v>
      </c>
      <c r="J54" t="n">
        <v>0.1327403202236267</v>
      </c>
      <c r="K54" t="n">
        <v>0.1360588282292173</v>
      </c>
      <c r="L54" t="n">
        <v>0.1394602989349477</v>
      </c>
      <c r="M54" t="n">
        <v>0.1429468064083214</v>
      </c>
      <c r="N54" t="n">
        <v>0.1465204765685294</v>
      </c>
      <c r="O54" t="n">
        <v>0.1501834884827427</v>
      </c>
      <c r="P54" t="n">
        <v>0.1539380756948112</v>
      </c>
      <c r="Q54" t="n">
        <v>0.1577865275871815</v>
      </c>
      <c r="R54" t="n">
        <v>0.161731190776861</v>
      </c>
      <c r="S54" t="n">
        <v>0.1657744705462825</v>
      </c>
      <c r="T54" t="n">
        <v>0.1699188323099395</v>
      </c>
      <c r="U54" t="n">
        <v>0.174166803117688</v>
      </c>
      <c r="V54" t="n">
        <v>0.1785209731956302</v>
      </c>
      <c r="W54" t="n">
        <v>0.1829839975255209</v>
      </c>
      <c r="X54" t="n">
        <v>0.1875585974636589</v>
      </c>
    </row>
    <row r="55">
      <c r="A55" t="inlineStr">
        <is>
          <t>Waste</t>
        </is>
      </c>
      <c r="B55" t="inlineStr">
        <is>
          <t>Solid</t>
        </is>
      </c>
      <c r="C55" t="inlineStr">
        <is>
          <t>Paper</t>
        </is>
      </c>
      <c r="E55" t="inlineStr">
        <is>
          <t>WASSOLPAPDMD</t>
        </is>
      </c>
      <c r="F55" t="inlineStr">
        <is>
          <t>k tonnes</t>
        </is>
      </c>
      <c r="G55" t="n">
        <v>3375.074084029913</v>
      </c>
      <c r="H55" t="n">
        <v>3391.949454450062</v>
      </c>
      <c r="I55" t="n">
        <v>3476.748190811313</v>
      </c>
      <c r="J55" t="n">
        <v>3563.666895581595</v>
      </c>
      <c r="K55" t="n">
        <v>3652.758567971135</v>
      </c>
      <c r="L55" t="n">
        <v>3744.077532170413</v>
      </c>
      <c r="M55" t="n">
        <v>3837.679470474673</v>
      </c>
      <c r="N55" t="n">
        <v>3933.62145723654</v>
      </c>
      <c r="O55" t="n">
        <v>4031.961993667453</v>
      </c>
      <c r="P55" t="n">
        <v>4132.761043509139</v>
      </c>
      <c r="Q55" t="n">
        <v>4236.080069596867</v>
      </c>
      <c r="R55" t="n">
        <v>4341.982071336789</v>
      </c>
      <c r="S55" t="n">
        <v>4450.531623120209</v>
      </c>
      <c r="T55" t="n">
        <v>4561.794913698213</v>
      </c>
      <c r="U55" t="n">
        <v>4675.839786540669</v>
      </c>
      <c r="V55" t="n">
        <v>4792.735781204185</v>
      </c>
      <c r="W55" t="n">
        <v>4912.554175734289</v>
      </c>
      <c r="X55" t="n">
        <v>5035.368030127645</v>
      </c>
    </row>
    <row r="56">
      <c r="A56" t="inlineStr">
        <is>
          <t>Waste</t>
        </is>
      </c>
      <c r="B56" t="inlineStr">
        <is>
          <t>Solid</t>
        </is>
      </c>
      <c r="C56" t="inlineStr">
        <is>
          <t>Glass</t>
        </is>
      </c>
      <c r="E56" t="inlineStr">
        <is>
          <t>WASSOLGLADMD</t>
        </is>
      </c>
      <c r="F56" t="inlineStr">
        <is>
          <t>k tonnes</t>
        </is>
      </c>
      <c r="G56" t="n">
        <v>405.0088900835895</v>
      </c>
      <c r="H56" t="n">
        <v>407.0339345340074</v>
      </c>
      <c r="I56" t="n">
        <v>417.2097828973576</v>
      </c>
      <c r="J56" t="n">
        <v>427.6400274697914</v>
      </c>
      <c r="K56" t="n">
        <v>438.3310281565362</v>
      </c>
      <c r="L56" t="n">
        <v>449.2893038604496</v>
      </c>
      <c r="M56" t="n">
        <v>460.5215364569608</v>
      </c>
      <c r="N56" t="n">
        <v>472.0345748683848</v>
      </c>
      <c r="O56" t="n">
        <v>483.8354392400943</v>
      </c>
      <c r="P56" t="n">
        <v>495.9313252210966</v>
      </c>
      <c r="Q56" t="n">
        <v>508.329608351624</v>
      </c>
      <c r="R56" t="n">
        <v>521.0378485604145</v>
      </c>
      <c r="S56" t="n">
        <v>534.0637947744249</v>
      </c>
      <c r="T56" t="n">
        <v>547.4153896437855</v>
      </c>
      <c r="U56" t="n">
        <v>561.1007743848801</v>
      </c>
      <c r="V56" t="n">
        <v>575.128293744502</v>
      </c>
      <c r="W56" t="n">
        <v>589.5065010881145</v>
      </c>
      <c r="X56" t="n">
        <v>604.2441636153173</v>
      </c>
    </row>
    <row r="57">
      <c r="A57" t="inlineStr">
        <is>
          <t>Waste</t>
        </is>
      </c>
      <c r="B57" t="inlineStr">
        <is>
          <t>Solid</t>
        </is>
      </c>
      <c r="C57" t="inlineStr">
        <is>
          <t>Metals</t>
        </is>
      </c>
      <c r="E57" t="inlineStr">
        <is>
          <t>WASSOLMETDMD</t>
        </is>
      </c>
      <c r="F57" t="inlineStr">
        <is>
          <t>k tonnes</t>
        </is>
      </c>
      <c r="G57" t="n">
        <v>540.011853444786</v>
      </c>
      <c r="H57" t="n">
        <v>542.7119127120098</v>
      </c>
      <c r="I57" t="n">
        <v>556.27971052981</v>
      </c>
      <c r="J57" t="n">
        <v>570.1867032930552</v>
      </c>
      <c r="K57" t="n">
        <v>584.4413708753815</v>
      </c>
      <c r="L57" t="n">
        <v>599.052405147266</v>
      </c>
      <c r="M57" t="n">
        <v>614.0287152759475</v>
      </c>
      <c r="N57" t="n">
        <v>629.3794331578462</v>
      </c>
      <c r="O57" t="n">
        <v>645.1139189867922</v>
      </c>
      <c r="P57" t="n">
        <v>661.241766961462</v>
      </c>
      <c r="Q57" t="n">
        <v>677.7728111354985</v>
      </c>
      <c r="R57" t="n">
        <v>694.7171314138859</v>
      </c>
      <c r="S57" t="n">
        <v>712.0850596992329</v>
      </c>
      <c r="T57" t="n">
        <v>729.8871861917137</v>
      </c>
      <c r="U57" t="n">
        <v>748.1343658465065</v>
      </c>
      <c r="V57" t="n">
        <v>766.8377249926691</v>
      </c>
      <c r="W57" t="n">
        <v>786.0086681174857</v>
      </c>
      <c r="X57" t="n">
        <v>805.6588848204228</v>
      </c>
    </row>
    <row r="58">
      <c r="A58" t="inlineStr">
        <is>
          <t>Waste</t>
        </is>
      </c>
      <c r="B58" t="inlineStr">
        <is>
          <t>Solid</t>
        </is>
      </c>
      <c r="C58" t="inlineStr">
        <is>
          <t>Plastics</t>
        </is>
      </c>
      <c r="E58" t="inlineStr">
        <is>
          <t>WASSOLPLADMD</t>
        </is>
      </c>
      <c r="F58" t="inlineStr">
        <is>
          <t>k tonnes</t>
        </is>
      </c>
      <c r="G58" t="n">
        <v>1350.029633611965</v>
      </c>
      <c r="H58" t="n">
        <v>1356.779781780025</v>
      </c>
      <c r="I58" t="n">
        <v>1390.699276324525</v>
      </c>
      <c r="J58" t="n">
        <v>1425.466758232638</v>
      </c>
      <c r="K58" t="n">
        <v>1461.103427188454</v>
      </c>
      <c r="L58" t="n">
        <v>1497.631012868165</v>
      </c>
      <c r="M58" t="n">
        <v>1535.071788189869</v>
      </c>
      <c r="N58" t="n">
        <v>1573.448582894616</v>
      </c>
      <c r="O58" t="n">
        <v>1612.784797466981</v>
      </c>
      <c r="P58" t="n">
        <v>1653.104417403655</v>
      </c>
      <c r="Q58" t="n">
        <v>1694.432027838747</v>
      </c>
      <c r="R58" t="n">
        <v>1736.792828534715</v>
      </c>
      <c r="S58" t="n">
        <v>1780.212649248083</v>
      </c>
      <c r="T58" t="n">
        <v>1824.717965479285</v>
      </c>
      <c r="U58" t="n">
        <v>1870.335914616267</v>
      </c>
      <c r="V58" t="n">
        <v>1917.094312481673</v>
      </c>
      <c r="W58" t="n">
        <v>1965.021670293715</v>
      </c>
      <c r="X58" t="n">
        <v>2014.147212051058</v>
      </c>
    </row>
    <row r="59">
      <c r="A59" t="inlineStr">
        <is>
          <t>Waste</t>
        </is>
      </c>
      <c r="B59" t="inlineStr">
        <is>
          <t>Solid</t>
        </is>
      </c>
      <c r="C59" t="inlineStr">
        <is>
          <t>Food</t>
        </is>
      </c>
      <c r="E59" t="inlineStr">
        <is>
          <t>WASSOLFOODMD</t>
        </is>
      </c>
      <c r="F59" t="inlineStr">
        <is>
          <t>k tonnes</t>
        </is>
      </c>
      <c r="G59" t="n">
        <v>1485.032596973161</v>
      </c>
      <c r="H59" t="n">
        <v>1492.457759958027</v>
      </c>
      <c r="I59" t="n">
        <v>1529.769203956977</v>
      </c>
      <c r="J59" t="n">
        <v>1568.013434055902</v>
      </c>
      <c r="K59" t="n">
        <v>1607.213769907299</v>
      </c>
      <c r="L59" t="n">
        <v>1647.394114154981</v>
      </c>
      <c r="M59" t="n">
        <v>1688.578967008856</v>
      </c>
      <c r="N59" t="n">
        <v>1730.793441184077</v>
      </c>
      <c r="O59" t="n">
        <v>1774.063277213679</v>
      </c>
      <c r="P59" t="n">
        <v>1818.414859144021</v>
      </c>
      <c r="Q59" t="n">
        <v>1863.875230622621</v>
      </c>
      <c r="R59" t="n">
        <v>1910.472111388186</v>
      </c>
      <c r="S59" t="n">
        <v>1958.233914172891</v>
      </c>
      <c r="T59" t="n">
        <v>2007.189762027213</v>
      </c>
      <c r="U59" t="n">
        <v>2057.369506077893</v>
      </c>
      <c r="V59" t="n">
        <v>2108.80374372984</v>
      </c>
      <c r="W59" t="n">
        <v>2161.523837323086</v>
      </c>
      <c r="X59" t="n">
        <v>2215.561933256163</v>
      </c>
    </row>
    <row r="60">
      <c r="A60" t="inlineStr">
        <is>
          <t>Waste</t>
        </is>
      </c>
      <c r="B60" t="inlineStr">
        <is>
          <t>Solid</t>
        </is>
      </c>
      <c r="C60" t="inlineStr">
        <is>
          <t>Yard trimmings</t>
        </is>
      </c>
      <c r="E60" t="inlineStr">
        <is>
          <t>WASSOLYARDMD</t>
        </is>
      </c>
      <c r="F60" t="inlineStr">
        <is>
          <t>k tonnes</t>
        </is>
      </c>
      <c r="G60" t="n">
        <v>1080.023706889572</v>
      </c>
      <c r="H60" t="n">
        <v>1085.42382542402</v>
      </c>
      <c r="I60" t="n">
        <v>1112.55942105962</v>
      </c>
      <c r="J60" t="n">
        <v>1140.37340658611</v>
      </c>
      <c r="K60" t="n">
        <v>1168.882741750763</v>
      </c>
      <c r="L60" t="n">
        <v>1198.104810294532</v>
      </c>
      <c r="M60" t="n">
        <v>1228.057430551895</v>
      </c>
      <c r="N60" t="n">
        <v>1258.758866315692</v>
      </c>
      <c r="O60" t="n">
        <v>1290.227837973584</v>
      </c>
      <c r="P60" t="n">
        <v>1322.483533922924</v>
      </c>
      <c r="Q60" t="n">
        <v>1355.545622270997</v>
      </c>
      <c r="R60" t="n">
        <v>1389.434262827772</v>
      </c>
      <c r="S60" t="n">
        <v>1424.170119398466</v>
      </c>
      <c r="T60" t="n">
        <v>1459.774372383427</v>
      </c>
      <c r="U60" t="n">
        <v>1496.268731693013</v>
      </c>
      <c r="V60" t="n">
        <v>1533.675449985338</v>
      </c>
      <c r="W60" t="n">
        <v>1572.017336234971</v>
      </c>
      <c r="X60" t="n">
        <v>1611.317769640846</v>
      </c>
    </row>
    <row r="61">
      <c r="A61" t="inlineStr">
        <is>
          <t>Waste</t>
        </is>
      </c>
      <c r="B61" t="inlineStr">
        <is>
          <t>Solid</t>
        </is>
      </c>
      <c r="C61" t="inlineStr">
        <is>
          <t>All other</t>
        </is>
      </c>
      <c r="E61" t="inlineStr">
        <is>
          <t>WASSOLAOTDMD</t>
        </is>
      </c>
      <c r="F61" t="inlineStr">
        <is>
          <t>k tonnes</t>
        </is>
      </c>
      <c r="G61" t="n">
        <v>5265.115571086663</v>
      </c>
      <c r="H61" t="n">
        <v>5291.441148942096</v>
      </c>
      <c r="I61" t="n">
        <v>5423.727177665648</v>
      </c>
      <c r="J61" t="n">
        <v>5559.320357107289</v>
      </c>
      <c r="K61" t="n">
        <v>5698.303366034971</v>
      </c>
      <c r="L61" t="n">
        <v>5840.760950185845</v>
      </c>
      <c r="M61" t="n">
        <v>5986.779973940491</v>
      </c>
      <c r="N61" t="n">
        <v>6136.449473289003</v>
      </c>
      <c r="O61" t="n">
        <v>6289.860710121227</v>
      </c>
      <c r="P61" t="n">
        <v>6447.107227874258</v>
      </c>
      <c r="Q61" t="n">
        <v>6608.284908571113</v>
      </c>
      <c r="R61" t="n">
        <v>6773.49203128539</v>
      </c>
      <c r="S61" t="n">
        <v>6942.829332067524</v>
      </c>
      <c r="T61" t="n">
        <v>7116.400065369211</v>
      </c>
      <c r="U61" t="n">
        <v>7294.310067003441</v>
      </c>
      <c r="V61" t="n">
        <v>7476.667818678527</v>
      </c>
      <c r="W61" t="n">
        <v>7663.584514145489</v>
      </c>
      <c r="X61" t="n">
        <v>7855.174126999126</v>
      </c>
    </row>
    <row r="62">
      <c r="A62" t="inlineStr">
        <is>
          <t>Waste</t>
        </is>
      </c>
      <c r="B62" t="inlineStr">
        <is>
          <t>Solid</t>
        </is>
      </c>
      <c r="C62" t="inlineStr">
        <is>
          <t>Historical</t>
        </is>
      </c>
      <c r="E62" t="inlineStr">
        <is>
          <t>WASSOLHISDMD</t>
        </is>
      </c>
      <c r="F62" t="inlineStr">
        <is>
          <t>k tonnes</t>
        </is>
      </c>
      <c r="G62" t="n">
        <v>206463.0681189782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Waste</t>
        </is>
      </c>
      <c r="B63" t="inlineStr">
        <is>
          <t>Water</t>
        </is>
      </c>
      <c r="C63" t="inlineStr">
        <is>
          <t>Fresh Water</t>
        </is>
      </c>
      <c r="E63" t="inlineStr">
        <is>
          <t>WASWATFWADMD</t>
        </is>
      </c>
      <c r="F63" t="inlineStr">
        <is>
          <t>Mm3</t>
        </is>
      </c>
      <c r="G63" t="n">
        <v>1957.944983934773</v>
      </c>
      <c r="H63" t="n">
        <v>1967.734708854446</v>
      </c>
      <c r="I63" t="n">
        <v>2016.928076575807</v>
      </c>
      <c r="J63" t="n">
        <v>2067.351278490202</v>
      </c>
      <c r="K63" t="n">
        <v>2119.035060452457</v>
      </c>
      <c r="L63" t="n">
        <v>2172.010936963768</v>
      </c>
      <c r="M63" t="n">
        <v>2226.311210387862</v>
      </c>
      <c r="N63" t="n">
        <v>2281.968990647558</v>
      </c>
      <c r="O63" t="n">
        <v>2339.018215413747</v>
      </c>
      <c r="P63" t="n">
        <v>2397.493670799091</v>
      </c>
      <c r="Q63" t="n">
        <v>2457.431012569068</v>
      </c>
      <c r="R63" t="n">
        <v>2518.866787883294</v>
      </c>
      <c r="S63" t="n">
        <v>2581.838457580376</v>
      </c>
      <c r="T63" t="n">
        <v>2646.384419019885</v>
      </c>
      <c r="U63" t="n">
        <v>2712.544029495382</v>
      </c>
      <c r="V63" t="n">
        <v>2780.357630232766</v>
      </c>
      <c r="W63" t="n">
        <v>2849.866570988585</v>
      </c>
      <c r="X63" t="n">
        <v>2921.113235263299</v>
      </c>
    </row>
    <row r="64">
      <c r="A64" t="inlineStr">
        <is>
          <t>Waste</t>
        </is>
      </c>
      <c r="B64" t="inlineStr">
        <is>
          <t>Water</t>
        </is>
      </c>
      <c r="C64" t="inlineStr">
        <is>
          <t>Annual Precipitation</t>
        </is>
      </c>
      <c r="E64" t="inlineStr">
        <is>
          <t>WASWATAPRDMD</t>
        </is>
      </c>
      <c r="F64" t="inlineStr">
        <is>
          <t>Mm3</t>
        </is>
      </c>
      <c r="G64" t="n">
        <v>118.5672</v>
      </c>
      <c r="H64" t="n">
        <v>118.5672</v>
      </c>
      <c r="I64" t="n">
        <v>118.5672</v>
      </c>
      <c r="J64" t="n">
        <v>118.5672</v>
      </c>
      <c r="K64" t="n">
        <v>118.5672</v>
      </c>
      <c r="L64" t="n">
        <v>118.5672</v>
      </c>
      <c r="M64" t="n">
        <v>118.5672</v>
      </c>
      <c r="N64" t="n">
        <v>118.5672</v>
      </c>
      <c r="O64" t="n">
        <v>118.5672</v>
      </c>
      <c r="P64" t="n">
        <v>118.5672</v>
      </c>
      <c r="Q64" t="n">
        <v>118.5672</v>
      </c>
      <c r="R64" t="n">
        <v>118.5672</v>
      </c>
      <c r="S64" t="n">
        <v>118.5672</v>
      </c>
      <c r="T64" t="n">
        <v>118.5672</v>
      </c>
      <c r="U64" t="n">
        <v>118.5672</v>
      </c>
      <c r="V64" t="n">
        <v>118.5672</v>
      </c>
      <c r="W64" t="n">
        <v>118.5672</v>
      </c>
      <c r="X64" t="n">
        <v>118.5672</v>
      </c>
    </row>
    <row r="65">
      <c r="A65" t="inlineStr">
        <is>
          <t>Electricity</t>
        </is>
      </c>
      <c r="B65" t="inlineStr">
        <is>
          <t>Miscellanous EGRID electricity demand</t>
        </is>
      </c>
      <c r="E65" t="inlineStr">
        <is>
          <t>ELCMISEGRIDDMD</t>
        </is>
      </c>
      <c r="F65" t="inlineStr">
        <is>
          <t>TJ</t>
        </is>
      </c>
      <c r="G65" t="n">
        <v>-43034.14100750544</v>
      </c>
      <c r="H65" t="n">
        <v>-43034.14100750544</v>
      </c>
      <c r="I65" t="n">
        <v>-43034.14100750544</v>
      </c>
      <c r="J65" t="n">
        <v>-43034.14100750544</v>
      </c>
      <c r="K65" t="n">
        <v>-43034.14100750544</v>
      </c>
      <c r="L65" t="n">
        <v>-43034.14100750544</v>
      </c>
      <c r="M65" t="n">
        <v>-43034.14100750544</v>
      </c>
      <c r="N65" t="n">
        <v>-43034.14100750544</v>
      </c>
      <c r="O65" t="n">
        <v>-43034.14100750544</v>
      </c>
      <c r="P65" t="n">
        <v>-43034.14100750544</v>
      </c>
      <c r="Q65" t="n">
        <v>-43034.14100750544</v>
      </c>
      <c r="R65" t="n">
        <v>-43034.14100750544</v>
      </c>
      <c r="S65" t="n">
        <v>-43034.14100750544</v>
      </c>
      <c r="T65" t="n">
        <v>-43034.14100750544</v>
      </c>
      <c r="U65" t="n">
        <v>-43034.14100750544</v>
      </c>
      <c r="V65" t="n">
        <v>-43034.14100750544</v>
      </c>
      <c r="W65" t="n">
        <v>-43034.14100750544</v>
      </c>
      <c r="X65" t="n">
        <v>-43034.14100750544</v>
      </c>
    </row>
    <row r="66">
      <c r="A66" t="inlineStr">
        <is>
          <t>Waste</t>
        </is>
      </c>
      <c r="B66" t="inlineStr">
        <is>
          <t>Water</t>
        </is>
      </c>
      <c r="C66" t="inlineStr">
        <is>
          <t>Treatment</t>
        </is>
      </c>
      <c r="E66" t="inlineStr">
        <is>
          <t>WASWATTRTDMD</t>
        </is>
      </c>
      <c r="F66" t="inlineStr">
        <is>
          <t>Mm3</t>
        </is>
      </c>
      <c r="G66" t="n">
        <v>1718.825872023252</v>
      </c>
      <c r="H66" t="n">
        <v>1727.420001383368</v>
      </c>
      <c r="I66" t="n">
        <v>1770.605501417952</v>
      </c>
      <c r="J66" t="n">
        <v>1814.870638953401</v>
      </c>
      <c r="K66" t="n">
        <v>1860.242404927236</v>
      </c>
      <c r="L66" t="n">
        <v>1906.748465050417</v>
      </c>
      <c r="M66" t="n">
        <v>1954.417176676677</v>
      </c>
      <c r="N66" t="n">
        <v>2003.277606093594</v>
      </c>
      <c r="O66" t="n">
        <v>2053.359546245933</v>
      </c>
      <c r="P66" t="n">
        <v>2104.693534902081</v>
      </c>
      <c r="Q66" t="n">
        <v>2157.310873274633</v>
      </c>
      <c r="R66" t="n">
        <v>2211.243645106499</v>
      </c>
      <c r="S66" t="n">
        <v>2266.524736234161</v>
      </c>
      <c r="T66" t="n">
        <v>2323.187854640015</v>
      </c>
      <c r="U66" t="n">
        <v>2381.267551006015</v>
      </c>
      <c r="V66" t="n">
        <v>2440.799239781165</v>
      </c>
      <c r="W66" t="n">
        <v>2501.819220775694</v>
      </c>
      <c r="X66" t="n">
        <v>2564.364701295086</v>
      </c>
    </row>
    <row r="67"/>
    <row r="68"/>
    <row r="69"/>
    <row r="70"/>
    <row r="7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89"/>
  <sheetViews>
    <sheetView zoomScale="70" zoomScaleNormal="70" workbookViewId="0">
      <pane xSplit="8" ySplit="1" topLeftCell="I2" activePane="bottomRight" state="frozen"/>
      <selection activeCell="C6" sqref="C6"/>
      <selection pane="topRight" activeCell="C6" sqref="C6"/>
      <selection pane="bottomLeft" activeCell="C6" sqref="C6"/>
      <selection pane="bottomRight" activeCell="H23" sqref="H23"/>
    </sheetView>
  </sheetViews>
  <sheetFormatPr baseColWidth="8" defaultRowHeight="15"/>
  <cols>
    <col width="12.140625" customWidth="1" min="1" max="1"/>
    <col width="16.85546875" customWidth="1" min="2" max="2"/>
    <col width="19.5703125" customWidth="1" min="3" max="3"/>
    <col width="20.42578125" bestFit="1" customWidth="1" min="5" max="5"/>
    <col width="26.5703125" customWidth="1" min="6" max="6"/>
    <col width="9.7109375" bestFit="1" customWidth="1" min="7" max="7"/>
    <col width="19.28515625" customWidth="1" min="8" max="8"/>
    <col width="24.28515625" customWidth="1" min="9" max="9"/>
    <col width="20.140625" bestFit="1" customWidth="1" min="10" max="10"/>
    <col width="17.28515625" bestFit="1" customWidth="1" min="11" max="11"/>
    <col width="17.7109375" bestFit="1" customWidth="1" min="12" max="12"/>
    <col width="17.28515625" bestFit="1" customWidth="1" min="13" max="13"/>
    <col width="17.7109375" bestFit="1" customWidth="1" min="14" max="17"/>
    <col width="17.28515625" bestFit="1" customWidth="1" min="18" max="18"/>
    <col width="17.7109375" bestFit="1" customWidth="1" min="19" max="23"/>
    <col width="17.28515625" bestFit="1" customWidth="1" min="24" max="24"/>
    <col width="17.7109375" bestFit="1" customWidth="1" min="25" max="26"/>
  </cols>
  <sheetData>
    <row r="1">
      <c r="A1" t="inlineStr">
        <is>
          <t>Sector</t>
        </is>
      </c>
      <c r="B1" t="inlineStr">
        <is>
          <t>Sub-sector</t>
        </is>
      </c>
      <c r="C1" t="inlineStr">
        <is>
          <t>Archetype</t>
        </is>
      </c>
      <c r="D1" t="inlineStr">
        <is>
          <t xml:space="preserve">Vintage </t>
        </is>
      </c>
      <c r="E1" t="inlineStr">
        <is>
          <t>End Use</t>
        </is>
      </c>
      <c r="F1" t="inlineStr">
        <is>
          <t>Technology Label</t>
        </is>
      </c>
      <c r="G1" t="inlineStr">
        <is>
          <t>Input Unit</t>
        </is>
      </c>
      <c r="H1" t="inlineStr">
        <is>
          <t>Efficiency Unit</t>
        </is>
      </c>
      <c r="I1" t="n">
        <v>2019</v>
      </c>
      <c r="J1" t="n">
        <v>2020</v>
      </c>
      <c r="K1" t="n">
        <v>2025</v>
      </c>
      <c r="L1" t="n">
        <v>2030</v>
      </c>
      <c r="M1" t="n">
        <v>2035</v>
      </c>
      <c r="N1" t="n">
        <v>2040</v>
      </c>
      <c r="O1" t="n">
        <v>2045</v>
      </c>
      <c r="P1" t="n">
        <v>2050</v>
      </c>
      <c r="Q1" t="n">
        <v>2055</v>
      </c>
      <c r="R1" t="n">
        <v>2060</v>
      </c>
      <c r="S1" t="n">
        <v>2065</v>
      </c>
      <c r="T1" t="n">
        <v>2070</v>
      </c>
      <c r="U1" t="n">
        <v>2075</v>
      </c>
      <c r="V1" t="n">
        <v>2080</v>
      </c>
      <c r="W1" t="n">
        <v>2085</v>
      </c>
      <c r="X1" t="n">
        <v>2090</v>
      </c>
      <c r="Y1" t="n">
        <v>2095</v>
      </c>
      <c r="Z1" t="n">
        <v>2100</v>
      </c>
    </row>
    <row r="2">
      <c r="A2" t="inlineStr">
        <is>
          <t>Commercial</t>
        </is>
      </c>
      <c r="B2" t="inlineStr">
        <is>
          <t>Hotel</t>
        </is>
      </c>
      <c r="D2" t="inlineStr">
        <is>
          <t>Old</t>
        </is>
      </c>
      <c r="E2" t="inlineStr">
        <is>
          <t>Space heating</t>
        </is>
      </c>
      <c r="F2" t="inlineStr">
        <is>
          <t>COMHOTOldSH</t>
        </is>
      </c>
      <c r="G2" t="inlineStr">
        <is>
          <t>TJ</t>
        </is>
      </c>
      <c r="H2" t="inlineStr">
        <is>
          <t>TJ / Mm2</t>
        </is>
      </c>
      <c r="I2" t="n">
        <v>129.2794716326136</v>
      </c>
      <c r="J2" t="n">
        <v>128.900011865525</v>
      </c>
      <c r="K2" t="n">
        <v>127.002713030082</v>
      </c>
      <c r="L2" t="n">
        <v>125.105414194639</v>
      </c>
      <c r="M2" t="n">
        <v>123.208115359196</v>
      </c>
      <c r="N2" t="n">
        <v>121.310816523753</v>
      </c>
      <c r="O2" t="n">
        <v>119.41351768831</v>
      </c>
      <c r="P2" t="n">
        <v>117.516218852867</v>
      </c>
      <c r="Q2" t="n">
        <v>116.6418447648498</v>
      </c>
      <c r="R2" t="n">
        <v>115.7674706768327</v>
      </c>
      <c r="S2" t="n">
        <v>114.8930965888156</v>
      </c>
      <c r="T2" t="n">
        <v>114.0187225007984</v>
      </c>
      <c r="U2" t="n">
        <v>113.1443484127813</v>
      </c>
      <c r="V2" t="n">
        <v>112.2699743247642</v>
      </c>
      <c r="W2" t="n">
        <v>111.395600236747</v>
      </c>
      <c r="X2" t="n">
        <v>110.5212261487299</v>
      </c>
      <c r="Y2" t="n">
        <v>109.6468520607128</v>
      </c>
      <c r="Z2" t="n">
        <v>108.7724779726957</v>
      </c>
    </row>
    <row r="3">
      <c r="A3" t="inlineStr">
        <is>
          <t>Commercial</t>
        </is>
      </c>
      <c r="B3" t="inlineStr">
        <is>
          <t>Retail</t>
        </is>
      </c>
      <c r="D3" t="inlineStr">
        <is>
          <t>Old</t>
        </is>
      </c>
      <c r="E3" t="inlineStr">
        <is>
          <t>Space heating</t>
        </is>
      </c>
      <c r="F3" t="inlineStr">
        <is>
          <t>COMRETOldSH</t>
        </is>
      </c>
      <c r="G3" t="inlineStr">
        <is>
          <t>TJ</t>
        </is>
      </c>
      <c r="H3" t="inlineStr">
        <is>
          <t>TJ / Mm2</t>
        </is>
      </c>
      <c r="I3" t="n">
        <v>210.3110997474819</v>
      </c>
      <c r="J3" t="n">
        <v>209.693796784231</v>
      </c>
      <c r="K3" t="n">
        <v>206.6072819679763</v>
      </c>
      <c r="L3" t="n">
        <v>203.5207671517216</v>
      </c>
      <c r="M3" t="n">
        <v>200.4342523354669</v>
      </c>
      <c r="N3" t="n">
        <v>197.3477375192123</v>
      </c>
      <c r="O3" t="n">
        <v>194.2612227029576</v>
      </c>
      <c r="P3" t="n">
        <v>191.1747078867029</v>
      </c>
      <c r="Q3" t="n">
        <v>189.7522811570813</v>
      </c>
      <c r="R3" t="n">
        <v>188.3298544274598</v>
      </c>
      <c r="S3" t="n">
        <v>186.9074276978382</v>
      </c>
      <c r="T3" t="n">
        <v>185.4850009682166</v>
      </c>
      <c r="U3" t="n">
        <v>184.062574238595</v>
      </c>
      <c r="V3" t="n">
        <v>182.6401475089735</v>
      </c>
      <c r="W3" t="n">
        <v>181.2177207793519</v>
      </c>
      <c r="X3" t="n">
        <v>179.7952940497303</v>
      </c>
      <c r="Y3" t="n">
        <v>178.3728673201087</v>
      </c>
      <c r="Z3" t="n">
        <v>176.9504405904871</v>
      </c>
    </row>
    <row r="4">
      <c r="A4" t="inlineStr">
        <is>
          <t>Commercial</t>
        </is>
      </c>
      <c r="B4" t="inlineStr">
        <is>
          <t>Office</t>
        </is>
      </c>
      <c r="D4" t="inlineStr">
        <is>
          <t>Old</t>
        </is>
      </c>
      <c r="E4" t="inlineStr">
        <is>
          <t>Space heating</t>
        </is>
      </c>
      <c r="F4" t="inlineStr">
        <is>
          <t>COMOFFOldSH</t>
        </is>
      </c>
      <c r="G4" t="inlineStr">
        <is>
          <t>TJ</t>
        </is>
      </c>
      <c r="H4" t="inlineStr">
        <is>
          <t>TJ / Mm2</t>
        </is>
      </c>
      <c r="I4" t="n">
        <v>307.5512740039054</v>
      </c>
      <c r="J4" t="n">
        <v>306.6485526876165</v>
      </c>
      <c r="K4" t="n">
        <v>302.134946106172</v>
      </c>
      <c r="L4" t="n">
        <v>297.6213395247276</v>
      </c>
      <c r="M4" t="n">
        <v>293.1077329432832</v>
      </c>
      <c r="N4" t="n">
        <v>288.5941263618387</v>
      </c>
      <c r="O4" t="n">
        <v>284.0805197803942</v>
      </c>
      <c r="P4" t="n">
        <v>279.5669131989498</v>
      </c>
      <c r="Q4" t="n">
        <v>277.4868082810563</v>
      </c>
      <c r="R4" t="n">
        <v>275.4067033631628</v>
      </c>
      <c r="S4" t="n">
        <v>273.3265984452694</v>
      </c>
      <c r="T4" t="n">
        <v>271.2464935273759</v>
      </c>
      <c r="U4" t="n">
        <v>269.1663886094824</v>
      </c>
      <c r="V4" t="n">
        <v>267.0862836915889</v>
      </c>
      <c r="W4" t="n">
        <v>265.0061787736954</v>
      </c>
      <c r="X4" t="n">
        <v>262.926073855802</v>
      </c>
      <c r="Y4" t="n">
        <v>260.8459689379085</v>
      </c>
      <c r="Z4" t="n">
        <v>258.765864020015</v>
      </c>
    </row>
    <row r="5">
      <c r="A5" t="inlineStr">
        <is>
          <t>Commercial</t>
        </is>
      </c>
      <c r="B5" t="inlineStr">
        <is>
          <t>Hospital</t>
        </is>
      </c>
      <c r="D5" t="inlineStr">
        <is>
          <t>Old</t>
        </is>
      </c>
      <c r="E5" t="inlineStr">
        <is>
          <t>Space heating</t>
        </is>
      </c>
      <c r="F5" t="inlineStr">
        <is>
          <t>COMHOPOldSH</t>
        </is>
      </c>
      <c r="G5" t="inlineStr">
        <is>
          <t>TJ</t>
        </is>
      </c>
      <c r="H5" t="inlineStr">
        <is>
          <t>TJ / Mm2</t>
        </is>
      </c>
      <c r="I5" t="n">
        <v>472.4239150494968</v>
      </c>
      <c r="J5" t="n">
        <v>471.037261263649</v>
      </c>
      <c r="K5" t="n">
        <v>464.10399233441</v>
      </c>
      <c r="L5" t="n">
        <v>457.1707234051709</v>
      </c>
      <c r="M5" t="n">
        <v>450.2374544759319</v>
      </c>
      <c r="N5" t="n">
        <v>443.3041855466928</v>
      </c>
      <c r="O5" t="n">
        <v>436.3709166174538</v>
      </c>
      <c r="P5" t="n">
        <v>429.4376476882147</v>
      </c>
      <c r="Q5" t="n">
        <v>426.2424363784659</v>
      </c>
      <c r="R5" t="n">
        <v>423.047225068717</v>
      </c>
      <c r="S5" t="n">
        <v>419.8520137589681</v>
      </c>
      <c r="T5" t="n">
        <v>416.6568024492192</v>
      </c>
      <c r="U5" t="n">
        <v>413.4615911394704</v>
      </c>
      <c r="V5" t="n">
        <v>410.2663798297215</v>
      </c>
      <c r="W5" t="n">
        <v>407.0711685199727</v>
      </c>
      <c r="X5" t="n">
        <v>403.8759572102238</v>
      </c>
      <c r="Y5" t="n">
        <v>400.6807459004749</v>
      </c>
      <c r="Z5" t="n">
        <v>397.485534590726</v>
      </c>
    </row>
    <row r="6">
      <c r="A6" t="inlineStr">
        <is>
          <t>Commercial</t>
        </is>
      </c>
      <c r="B6" t="inlineStr">
        <is>
          <t>Educationnal</t>
        </is>
      </c>
      <c r="D6" t="inlineStr">
        <is>
          <t>Old</t>
        </is>
      </c>
      <c r="E6" t="inlineStr">
        <is>
          <t>Space heating</t>
        </is>
      </c>
      <c r="F6" t="inlineStr">
        <is>
          <t>COMEDUOldSH</t>
        </is>
      </c>
      <c r="G6" t="inlineStr">
        <is>
          <t>TJ</t>
        </is>
      </c>
      <c r="H6" t="inlineStr">
        <is>
          <t>TJ / Mm2</t>
        </is>
      </c>
      <c r="I6" t="n">
        <v>275.6325529699153</v>
      </c>
      <c r="J6" t="n">
        <v>274.8235191532453</v>
      </c>
      <c r="K6" t="n">
        <v>270.7783500698959</v>
      </c>
      <c r="L6" t="n">
        <v>266.7331809865464</v>
      </c>
      <c r="M6" t="n">
        <v>262.6880119031969</v>
      </c>
      <c r="N6" t="n">
        <v>258.6428428198474</v>
      </c>
      <c r="O6" t="n">
        <v>254.5976737364979</v>
      </c>
      <c r="P6" t="n">
        <v>250.5525046531484</v>
      </c>
      <c r="Q6" t="n">
        <v>248.6882801240152</v>
      </c>
      <c r="R6" t="n">
        <v>246.824055594882</v>
      </c>
      <c r="S6" t="n">
        <v>244.9598310657487</v>
      </c>
      <c r="T6" t="n">
        <v>243.0956065366155</v>
      </c>
      <c r="U6" t="n">
        <v>241.2313820074822</v>
      </c>
      <c r="V6" t="n">
        <v>239.367157478349</v>
      </c>
      <c r="W6" t="n">
        <v>237.5029329492158</v>
      </c>
      <c r="X6" t="n">
        <v>235.6387084200825</v>
      </c>
      <c r="Y6" t="n">
        <v>233.7744838909493</v>
      </c>
      <c r="Z6" t="n">
        <v>231.9102593618161</v>
      </c>
    </row>
    <row r="7">
      <c r="A7" t="inlineStr">
        <is>
          <t>Commercial</t>
        </is>
      </c>
      <c r="B7" t="inlineStr">
        <is>
          <t>Warehouse</t>
        </is>
      </c>
      <c r="D7" t="inlineStr">
        <is>
          <t>Old</t>
        </is>
      </c>
      <c r="E7" t="inlineStr">
        <is>
          <t>Space heating</t>
        </is>
      </c>
      <c r="F7" t="inlineStr">
        <is>
          <t>COMWAROldSH</t>
        </is>
      </c>
      <c r="G7" t="inlineStr">
        <is>
          <t>TJ</t>
        </is>
      </c>
      <c r="H7" t="inlineStr">
        <is>
          <t>TJ / Mm2</t>
        </is>
      </c>
      <c r="I7" t="n">
        <v>138.1836887408313</v>
      </c>
      <c r="J7" t="n">
        <v>137.7780934078457</v>
      </c>
      <c r="K7" t="n">
        <v>135.7501167429174</v>
      </c>
      <c r="L7" t="n">
        <v>133.7221400779891</v>
      </c>
      <c r="M7" t="n">
        <v>131.6941634130608</v>
      </c>
      <c r="N7" t="n">
        <v>129.6661867481325</v>
      </c>
      <c r="O7" t="n">
        <v>127.6382100832042</v>
      </c>
      <c r="P7" t="n">
        <v>125.6102334182759</v>
      </c>
      <c r="Q7" t="n">
        <v>124.6756361825681</v>
      </c>
      <c r="R7" t="n">
        <v>123.7410389468603</v>
      </c>
      <c r="S7" t="n">
        <v>122.8064417111525</v>
      </c>
      <c r="T7" t="n">
        <v>121.8718444754447</v>
      </c>
      <c r="U7" t="n">
        <v>120.9372472397368</v>
      </c>
      <c r="V7" t="n">
        <v>120.002650004029</v>
      </c>
      <c r="W7" t="n">
        <v>119.0680527683212</v>
      </c>
      <c r="X7" t="n">
        <v>118.1334555326134</v>
      </c>
      <c r="Y7" t="n">
        <v>117.1988582969056</v>
      </c>
      <c r="Z7" t="n">
        <v>116.2642610611978</v>
      </c>
    </row>
    <row r="8">
      <c r="A8" t="inlineStr">
        <is>
          <t>Commercial</t>
        </is>
      </c>
      <c r="B8" t="inlineStr">
        <is>
          <t>Municipal</t>
        </is>
      </c>
      <c r="D8" t="inlineStr">
        <is>
          <t>Old</t>
        </is>
      </c>
      <c r="E8" t="inlineStr">
        <is>
          <t>Space heating</t>
        </is>
      </c>
      <c r="F8" t="inlineStr">
        <is>
          <t>COMMUNOldSH</t>
        </is>
      </c>
      <c r="G8" t="inlineStr">
        <is>
          <t>TJ</t>
        </is>
      </c>
      <c r="H8" t="inlineStr">
        <is>
          <t>TJ / Mm2</t>
        </is>
      </c>
      <c r="I8" t="n">
        <v>637.3730505705583</v>
      </c>
      <c r="J8" t="n">
        <v>635.5022397893589</v>
      </c>
      <c r="K8" t="n">
        <v>626.1481858833619</v>
      </c>
      <c r="L8" t="n">
        <v>616.7941319773648</v>
      </c>
      <c r="M8" t="n">
        <v>607.4400780713678</v>
      </c>
      <c r="N8" t="n">
        <v>598.0860241653708</v>
      </c>
      <c r="O8" t="n">
        <v>588.7319702593737</v>
      </c>
      <c r="P8" t="n">
        <v>579.3779163533767</v>
      </c>
      <c r="Q8" t="n">
        <v>575.0670812858954</v>
      </c>
      <c r="R8" t="n">
        <v>570.756246218414</v>
      </c>
      <c r="S8" t="n">
        <v>566.4454111509327</v>
      </c>
      <c r="T8" t="n">
        <v>562.1345760834514</v>
      </c>
      <c r="U8" t="n">
        <v>557.8237410159701</v>
      </c>
      <c r="V8" t="n">
        <v>553.5129059484888</v>
      </c>
      <c r="W8" t="n">
        <v>549.2020708810074</v>
      </c>
      <c r="X8" t="n">
        <v>544.8912358135261</v>
      </c>
      <c r="Y8" t="n">
        <v>540.5804007460448</v>
      </c>
      <c r="Z8" t="n">
        <v>536.2695656785635</v>
      </c>
    </row>
    <row r="9">
      <c r="A9" t="inlineStr">
        <is>
          <t>Commercial</t>
        </is>
      </c>
      <c r="B9" t="inlineStr">
        <is>
          <t>Other</t>
        </is>
      </c>
      <c r="D9" t="inlineStr">
        <is>
          <t>Old</t>
        </is>
      </c>
      <c r="E9" t="inlineStr">
        <is>
          <t>Space heating</t>
        </is>
      </c>
      <c r="F9" t="inlineStr">
        <is>
          <t>COMOTHOldSH</t>
        </is>
      </c>
      <c r="G9" t="inlineStr">
        <is>
          <t>TJ</t>
        </is>
      </c>
      <c r="H9" t="inlineStr">
        <is>
          <t>TJ / Mm2</t>
        </is>
      </c>
      <c r="I9" t="n">
        <v>512.3286225314309</v>
      </c>
      <c r="J9" t="n">
        <v>510.8248408611974</v>
      </c>
      <c r="K9" t="n">
        <v>503.3059325100297</v>
      </c>
      <c r="L9" t="n">
        <v>495.787024158862</v>
      </c>
      <c r="M9" t="n">
        <v>488.2681158076942</v>
      </c>
      <c r="N9" t="n">
        <v>480.7492074565265</v>
      </c>
      <c r="O9" t="n">
        <v>473.2302991053588</v>
      </c>
      <c r="P9" t="n">
        <v>465.7113907541911</v>
      </c>
      <c r="Q9" t="n">
        <v>462.2462863069512</v>
      </c>
      <c r="R9" t="n">
        <v>458.7811818597113</v>
      </c>
      <c r="S9" t="n">
        <v>455.3160774124714</v>
      </c>
      <c r="T9" t="n">
        <v>451.8509729652316</v>
      </c>
      <c r="U9" t="n">
        <v>448.3858685179916</v>
      </c>
      <c r="V9" t="n">
        <v>444.9207640707518</v>
      </c>
      <c r="W9" t="n">
        <v>441.4556596235119</v>
      </c>
      <c r="X9" t="n">
        <v>437.990555176272</v>
      </c>
      <c r="Y9" t="n">
        <v>434.5254507290321</v>
      </c>
      <c r="Z9" t="n">
        <v>431.0603462817922</v>
      </c>
    </row>
    <row r="10">
      <c r="A10" t="inlineStr">
        <is>
          <t>Commercial</t>
        </is>
      </c>
      <c r="B10" t="inlineStr">
        <is>
          <t>Hotel</t>
        </is>
      </c>
      <c r="D10" t="inlineStr">
        <is>
          <t>Old</t>
        </is>
      </c>
      <c r="E10" t="inlineStr">
        <is>
          <t>Space cooling</t>
        </is>
      </c>
      <c r="F10" t="inlineStr">
        <is>
          <t>COMHOTOldSC</t>
        </is>
      </c>
      <c r="G10" t="inlineStr">
        <is>
          <t>TJ</t>
        </is>
      </c>
      <c r="H10" t="inlineStr">
        <is>
          <t>TJ / Mm2</t>
        </is>
      </c>
      <c r="I10" t="n">
        <v>88.60486299266587</v>
      </c>
      <c r="J10" t="n">
        <v>89.17475850054964</v>
      </c>
      <c r="K10" t="n">
        <v>92.02423603996851</v>
      </c>
      <c r="L10" t="n">
        <v>94.87371357938738</v>
      </c>
      <c r="M10" t="n">
        <v>97.72319111880626</v>
      </c>
      <c r="N10" t="n">
        <v>100.5726686582251</v>
      </c>
      <c r="O10" t="n">
        <v>103.422146197644</v>
      </c>
      <c r="P10" t="n">
        <v>106.2716237370629</v>
      </c>
      <c r="Q10" t="n">
        <v>107.5848113479502</v>
      </c>
      <c r="R10" t="n">
        <v>108.8979989588375</v>
      </c>
      <c r="S10" t="n">
        <v>110.2111865697249</v>
      </c>
      <c r="T10" t="n">
        <v>111.5243741806122</v>
      </c>
      <c r="U10" t="n">
        <v>112.8375617914995</v>
      </c>
      <c r="V10" t="n">
        <v>114.1507494023869</v>
      </c>
      <c r="W10" t="n">
        <v>115.4639370132742</v>
      </c>
      <c r="X10" t="n">
        <v>116.7771246241615</v>
      </c>
      <c r="Y10" t="n">
        <v>118.0903122350489</v>
      </c>
      <c r="Z10" t="n">
        <v>119.4034998459362</v>
      </c>
    </row>
    <row r="11">
      <c r="A11" t="inlineStr">
        <is>
          <t>Commercial</t>
        </is>
      </c>
      <c r="B11" t="inlineStr">
        <is>
          <t>Retail</t>
        </is>
      </c>
      <c r="D11" t="inlineStr">
        <is>
          <t>Old</t>
        </is>
      </c>
      <c r="E11" t="inlineStr">
        <is>
          <t>Space cooling</t>
        </is>
      </c>
      <c r="F11" t="inlineStr">
        <is>
          <t>COMRETOldSC</t>
        </is>
      </c>
      <c r="G11" t="inlineStr">
        <is>
          <t>TJ</t>
        </is>
      </c>
      <c r="H11" t="inlineStr">
        <is>
          <t>TJ / Mm2</t>
        </is>
      </c>
      <c r="I11" t="n">
        <v>41.9374135344689</v>
      </c>
      <c r="J11" t="n">
        <v>42.20714978571208</v>
      </c>
      <c r="K11" t="n">
        <v>43.55583104192802</v>
      </c>
      <c r="L11" t="n">
        <v>44.90451229814397</v>
      </c>
      <c r="M11" t="n">
        <v>46.25319355435991</v>
      </c>
      <c r="N11" t="n">
        <v>47.60187481057585</v>
      </c>
      <c r="O11" t="n">
        <v>48.9505560667918</v>
      </c>
      <c r="P11" t="n">
        <v>50.29923732300774</v>
      </c>
      <c r="Q11" t="n">
        <v>50.92077986622776</v>
      </c>
      <c r="R11" t="n">
        <v>51.54232240944778</v>
      </c>
      <c r="S11" t="n">
        <v>52.16386495266781</v>
      </c>
      <c r="T11" t="n">
        <v>52.78540749588783</v>
      </c>
      <c r="U11" t="n">
        <v>53.40695003910785</v>
      </c>
      <c r="V11" t="n">
        <v>54.02849258232788</v>
      </c>
      <c r="W11" t="n">
        <v>54.6500351255479</v>
      </c>
      <c r="X11" t="n">
        <v>55.27157766876793</v>
      </c>
      <c r="Y11" t="n">
        <v>55.89312021198795</v>
      </c>
      <c r="Z11" t="n">
        <v>56.51466275520797</v>
      </c>
    </row>
    <row r="12">
      <c r="A12" t="inlineStr">
        <is>
          <t>Commercial</t>
        </is>
      </c>
      <c r="B12" t="inlineStr">
        <is>
          <t>Office</t>
        </is>
      </c>
      <c r="D12" t="inlineStr">
        <is>
          <t>Old</t>
        </is>
      </c>
      <c r="E12" t="inlineStr">
        <is>
          <t>Space cooling</t>
        </is>
      </c>
      <c r="F12" t="inlineStr">
        <is>
          <t>COMOFFOldSC</t>
        </is>
      </c>
      <c r="G12" t="inlineStr">
        <is>
          <t>TJ</t>
        </is>
      </c>
      <c r="H12" t="inlineStr">
        <is>
          <t>TJ / Mm2</t>
        </is>
      </c>
      <c r="I12" t="n">
        <v>47.27197998825147</v>
      </c>
      <c r="J12" t="n">
        <v>47.57602751040955</v>
      </c>
      <c r="K12" t="n">
        <v>49.09626512119995</v>
      </c>
      <c r="L12" t="n">
        <v>50.61650273199035</v>
      </c>
      <c r="M12" t="n">
        <v>52.13674034278075</v>
      </c>
      <c r="N12" t="n">
        <v>53.65697795357114</v>
      </c>
      <c r="O12" t="n">
        <v>55.17721556436155</v>
      </c>
      <c r="P12" t="n">
        <v>56.69745317515194</v>
      </c>
      <c r="Q12" t="n">
        <v>57.39805781880253</v>
      </c>
      <c r="R12" t="n">
        <v>58.09866246245311</v>
      </c>
      <c r="S12" t="n">
        <v>58.79926710610371</v>
      </c>
      <c r="T12" t="n">
        <v>59.49987174975429</v>
      </c>
      <c r="U12" t="n">
        <v>60.20047639340488</v>
      </c>
      <c r="V12" t="n">
        <v>60.90108103705546</v>
      </c>
      <c r="W12" t="n">
        <v>61.60168568070605</v>
      </c>
      <c r="X12" t="n">
        <v>62.30229032435664</v>
      </c>
      <c r="Y12" t="n">
        <v>63.00289496800723</v>
      </c>
      <c r="Z12" t="n">
        <v>63.70349961165781</v>
      </c>
    </row>
    <row r="13">
      <c r="A13" t="inlineStr">
        <is>
          <t>Commercial</t>
        </is>
      </c>
      <c r="B13" t="inlineStr">
        <is>
          <t>Hospital</t>
        </is>
      </c>
      <c r="D13" t="inlineStr">
        <is>
          <t>Old</t>
        </is>
      </c>
      <c r="E13" t="inlineStr">
        <is>
          <t>Space cooling</t>
        </is>
      </c>
      <c r="F13" t="inlineStr">
        <is>
          <t>COMHOPOldSC</t>
        </is>
      </c>
      <c r="G13" t="inlineStr">
        <is>
          <t>TJ</t>
        </is>
      </c>
      <c r="H13" t="inlineStr">
        <is>
          <t>TJ / Mm2</t>
        </is>
      </c>
      <c r="I13" t="n">
        <v>129.662222210348</v>
      </c>
      <c r="J13" t="n">
        <v>130.496193569076</v>
      </c>
      <c r="K13" t="n">
        <v>134.6660503627162</v>
      </c>
      <c r="L13" t="n">
        <v>138.8359071563564</v>
      </c>
      <c r="M13" t="n">
        <v>143.0057639499965</v>
      </c>
      <c r="N13" t="n">
        <v>147.1756207436367</v>
      </c>
      <c r="O13" t="n">
        <v>151.3454775372769</v>
      </c>
      <c r="P13" t="n">
        <v>155.5153343309171</v>
      </c>
      <c r="Q13" t="n">
        <v>157.437021448935</v>
      </c>
      <c r="R13" t="n">
        <v>159.3587085669529</v>
      </c>
      <c r="S13" t="n">
        <v>161.2803956849709</v>
      </c>
      <c r="T13" t="n">
        <v>163.2020828029888</v>
      </c>
      <c r="U13" t="n">
        <v>165.1237699210067</v>
      </c>
      <c r="V13" t="n">
        <v>167.0454570390246</v>
      </c>
      <c r="W13" t="n">
        <v>168.9671441570426</v>
      </c>
      <c r="X13" t="n">
        <v>170.8888312750605</v>
      </c>
      <c r="Y13" t="n">
        <v>172.8105183930784</v>
      </c>
      <c r="Z13" t="n">
        <v>174.7322055110963</v>
      </c>
    </row>
    <row r="14">
      <c r="A14" t="inlineStr">
        <is>
          <t>Commercial</t>
        </is>
      </c>
      <c r="B14" t="inlineStr">
        <is>
          <t>Educationnal</t>
        </is>
      </c>
      <c r="D14" t="inlineStr">
        <is>
          <t>Old</t>
        </is>
      </c>
      <c r="E14" t="inlineStr">
        <is>
          <t>Space cooling</t>
        </is>
      </c>
      <c r="F14" t="inlineStr">
        <is>
          <t>COMEDUOldSC</t>
        </is>
      </c>
      <c r="G14" t="inlineStr">
        <is>
          <t>TJ</t>
        </is>
      </c>
      <c r="H14" t="inlineStr">
        <is>
          <t>TJ / Mm2</t>
        </is>
      </c>
      <c r="I14" t="n">
        <v>93.63643732979642</v>
      </c>
      <c r="J14" t="n">
        <v>94.23869530081669</v>
      </c>
      <c r="K14" t="n">
        <v>97.24998515591801</v>
      </c>
      <c r="L14" t="n">
        <v>100.2612750110193</v>
      </c>
      <c r="M14" t="n">
        <v>103.2725648661207</v>
      </c>
      <c r="N14" t="n">
        <v>106.283854721222</v>
      </c>
      <c r="O14" t="n">
        <v>109.2951445763233</v>
      </c>
      <c r="P14" t="n">
        <v>112.3064344314246</v>
      </c>
      <c r="Q14" t="n">
        <v>113.6941935822886</v>
      </c>
      <c r="R14" t="n">
        <v>115.0819527331525</v>
      </c>
      <c r="S14" t="n">
        <v>116.4697118840164</v>
      </c>
      <c r="T14" t="n">
        <v>117.8574710348803</v>
      </c>
      <c r="U14" t="n">
        <v>119.2452301857443</v>
      </c>
      <c r="V14" t="n">
        <v>120.6329893366082</v>
      </c>
      <c r="W14" t="n">
        <v>122.0207484874721</v>
      </c>
      <c r="X14" t="n">
        <v>123.4085076383361</v>
      </c>
      <c r="Y14" t="n">
        <v>124.7962667892</v>
      </c>
      <c r="Z14" t="n">
        <v>126.1840259400639</v>
      </c>
    </row>
    <row r="15">
      <c r="A15" t="inlineStr">
        <is>
          <t>Commercial</t>
        </is>
      </c>
      <c r="B15" t="inlineStr">
        <is>
          <t>Warehouse</t>
        </is>
      </c>
      <c r="D15" t="inlineStr">
        <is>
          <t>Old</t>
        </is>
      </c>
      <c r="E15" t="inlineStr">
        <is>
          <t>Space cooling</t>
        </is>
      </c>
      <c r="F15" t="inlineStr">
        <is>
          <t>COMWAROldSC</t>
        </is>
      </c>
      <c r="G15" t="inlineStr">
        <is>
          <t>TJ</t>
        </is>
      </c>
      <c r="H15" t="inlineStr">
        <is>
          <t>TJ / Mm2</t>
        </is>
      </c>
      <c r="I15" t="n">
        <v>26.53559975153933</v>
      </c>
      <c r="J15" t="n">
        <v>26.70627344355391</v>
      </c>
      <c r="K15" t="n">
        <v>27.55964190362679</v>
      </c>
      <c r="L15" t="n">
        <v>28.41301036369968</v>
      </c>
      <c r="M15" t="n">
        <v>29.26637882377256</v>
      </c>
      <c r="N15" t="n">
        <v>30.11974728384545</v>
      </c>
      <c r="O15" t="n">
        <v>30.97311574391833</v>
      </c>
      <c r="P15" t="n">
        <v>31.82648420399122</v>
      </c>
      <c r="Q15" t="n">
        <v>32.2197608218228</v>
      </c>
      <c r="R15" t="n">
        <v>32.61303743965438</v>
      </c>
      <c r="S15" t="n">
        <v>33.00631405748597</v>
      </c>
      <c r="T15" t="n">
        <v>33.39959067531755</v>
      </c>
      <c r="U15" t="n">
        <v>33.79286729314913</v>
      </c>
      <c r="V15" t="n">
        <v>34.18614391098072</v>
      </c>
      <c r="W15" t="n">
        <v>34.5794205288123</v>
      </c>
      <c r="X15" t="n">
        <v>34.97269714664388</v>
      </c>
      <c r="Y15" t="n">
        <v>35.36597376447546</v>
      </c>
      <c r="Z15" t="n">
        <v>35.75925038230704</v>
      </c>
    </row>
    <row r="16">
      <c r="A16" t="inlineStr">
        <is>
          <t>Commercial</t>
        </is>
      </c>
      <c r="B16" t="inlineStr">
        <is>
          <t>Municipal</t>
        </is>
      </c>
      <c r="D16" t="inlineStr">
        <is>
          <t>Old</t>
        </is>
      </c>
      <c r="E16" t="inlineStr">
        <is>
          <t>Space cooling</t>
        </is>
      </c>
      <c r="F16" t="inlineStr">
        <is>
          <t>COMMUNOldSC</t>
        </is>
      </c>
      <c r="G16" t="inlineStr">
        <is>
          <t>TJ</t>
        </is>
      </c>
      <c r="H16" t="inlineStr">
        <is>
          <t>TJ / Mm2</t>
        </is>
      </c>
      <c r="I16" t="n">
        <v>515.5163002533288</v>
      </c>
      <c r="J16" t="n">
        <v>518.8320372663137</v>
      </c>
      <c r="K16" t="n">
        <v>535.410722331238</v>
      </c>
      <c r="L16" t="n">
        <v>551.9894073961624</v>
      </c>
      <c r="M16" t="n">
        <v>568.5680924610867</v>
      </c>
      <c r="N16" t="n">
        <v>585.146777526011</v>
      </c>
      <c r="O16" t="n">
        <v>601.7254625909353</v>
      </c>
      <c r="P16" t="n">
        <v>618.3041476558597</v>
      </c>
      <c r="Q16" t="n">
        <v>625.9444689185784</v>
      </c>
      <c r="R16" t="n">
        <v>633.5847901812971</v>
      </c>
      <c r="S16" t="n">
        <v>641.2251114440159</v>
      </c>
      <c r="T16" t="n">
        <v>648.8654327067346</v>
      </c>
      <c r="U16" t="n">
        <v>656.5057539694533</v>
      </c>
      <c r="V16" t="n">
        <v>664.1460752321721</v>
      </c>
      <c r="W16" t="n">
        <v>671.7863964948908</v>
      </c>
      <c r="X16" t="n">
        <v>679.4267177576096</v>
      </c>
      <c r="Y16" t="n">
        <v>687.0670390203283</v>
      </c>
      <c r="Z16" t="n">
        <v>694.707360283047</v>
      </c>
    </row>
    <row r="17">
      <c r="A17" t="inlineStr">
        <is>
          <t>Commercial</t>
        </is>
      </c>
      <c r="B17" t="inlineStr">
        <is>
          <t>Other</t>
        </is>
      </c>
      <c r="D17" t="inlineStr">
        <is>
          <t>Old</t>
        </is>
      </c>
      <c r="E17" t="inlineStr">
        <is>
          <t>Space cooling</t>
        </is>
      </c>
      <c r="F17" t="inlineStr">
        <is>
          <t>COMOTHOldSC</t>
        </is>
      </c>
      <c r="G17" t="inlineStr">
        <is>
          <t>TJ</t>
        </is>
      </c>
      <c r="H17" t="inlineStr">
        <is>
          <t>TJ / Mm2</t>
        </is>
      </c>
      <c r="I17" t="n">
        <v>60.88087212065441</v>
      </c>
      <c r="J17" t="n">
        <v>61.27245035198105</v>
      </c>
      <c r="K17" t="n">
        <v>63.23034150861426</v>
      </c>
      <c r="L17" t="n">
        <v>65.18823266524747</v>
      </c>
      <c r="M17" t="n">
        <v>67.14612382188068</v>
      </c>
      <c r="N17" t="n">
        <v>69.10401497851387</v>
      </c>
      <c r="O17" t="n">
        <v>71.06190613514708</v>
      </c>
      <c r="P17" t="n">
        <v>73.01979729178029</v>
      </c>
      <c r="Q17" t="n">
        <v>73.92209547619797</v>
      </c>
      <c r="R17" t="n">
        <v>74.82439366061564</v>
      </c>
      <c r="S17" t="n">
        <v>75.72669184503332</v>
      </c>
      <c r="T17" t="n">
        <v>76.62899002945099</v>
      </c>
      <c r="U17" t="n">
        <v>77.53128821386866</v>
      </c>
      <c r="V17" t="n">
        <v>78.43358639828635</v>
      </c>
      <c r="W17" t="n">
        <v>79.33588458270403</v>
      </c>
      <c r="X17" t="n">
        <v>80.2381827671217</v>
      </c>
      <c r="Y17" t="n">
        <v>81.14048095153937</v>
      </c>
      <c r="Z17" t="n">
        <v>82.04277913595705</v>
      </c>
    </row>
    <row r="18">
      <c r="A18" t="inlineStr">
        <is>
          <t>Commercial</t>
        </is>
      </c>
      <c r="B18" t="inlineStr">
        <is>
          <t>Hotel</t>
        </is>
      </c>
      <c r="D18" t="inlineStr">
        <is>
          <t>Old</t>
        </is>
      </c>
      <c r="E18" t="inlineStr">
        <is>
          <t>Ventilation</t>
        </is>
      </c>
      <c r="F18" t="inlineStr">
        <is>
          <t>COMHOTOldVT</t>
        </is>
      </c>
      <c r="G18" t="inlineStr">
        <is>
          <t>TJ</t>
        </is>
      </c>
      <c r="H18" t="inlineStr">
        <is>
          <t>TJ / Mm2</t>
        </is>
      </c>
      <c r="I18" t="n">
        <v>106.0818491470884</v>
      </c>
      <c r="J18" t="n">
        <v>106.0818491470884</v>
      </c>
      <c r="K18" t="n">
        <v>106.0818491470884</v>
      </c>
      <c r="L18" t="n">
        <v>106.0818491470884</v>
      </c>
      <c r="M18" t="n">
        <v>106.0818491470884</v>
      </c>
      <c r="N18" t="n">
        <v>106.0818491470884</v>
      </c>
      <c r="O18" t="n">
        <v>106.0818491470884</v>
      </c>
      <c r="P18" t="n">
        <v>106.0818491470884</v>
      </c>
      <c r="Q18" t="n">
        <v>106.0818491470884</v>
      </c>
      <c r="R18" t="n">
        <v>106.0818491470884</v>
      </c>
      <c r="S18" t="n">
        <v>106.0818491470884</v>
      </c>
      <c r="T18" t="n">
        <v>106.0818491470884</v>
      </c>
      <c r="U18" t="n">
        <v>106.0818491470884</v>
      </c>
      <c r="V18" t="n">
        <v>106.0818491470884</v>
      </c>
      <c r="W18" t="n">
        <v>106.0818491470884</v>
      </c>
      <c r="X18" t="n">
        <v>106.0818491470884</v>
      </c>
      <c r="Y18" t="n">
        <v>106.0818491470884</v>
      </c>
      <c r="Z18" t="n">
        <v>106.0818491470884</v>
      </c>
    </row>
    <row r="19">
      <c r="A19" t="inlineStr">
        <is>
          <t>Commercial</t>
        </is>
      </c>
      <c r="B19" t="inlineStr">
        <is>
          <t>Retail</t>
        </is>
      </c>
      <c r="D19" t="inlineStr">
        <is>
          <t>Old</t>
        </is>
      </c>
      <c r="E19" t="inlineStr">
        <is>
          <t>Ventilation</t>
        </is>
      </c>
      <c r="F19" t="inlineStr">
        <is>
          <t>COMRETOldVT</t>
        </is>
      </c>
      <c r="G19" t="inlineStr">
        <is>
          <t>TJ</t>
        </is>
      </c>
      <c r="H19" t="inlineStr">
        <is>
          <t>TJ / Mm2</t>
        </is>
      </c>
      <c r="I19" t="n">
        <v>48.5066351977701</v>
      </c>
      <c r="J19" t="n">
        <v>48.5066351977701</v>
      </c>
      <c r="K19" t="n">
        <v>48.5066351977701</v>
      </c>
      <c r="L19" t="n">
        <v>48.5066351977701</v>
      </c>
      <c r="M19" t="n">
        <v>48.5066351977701</v>
      </c>
      <c r="N19" t="n">
        <v>48.5066351977701</v>
      </c>
      <c r="O19" t="n">
        <v>48.5066351977701</v>
      </c>
      <c r="P19" t="n">
        <v>48.5066351977701</v>
      </c>
      <c r="Q19" t="n">
        <v>48.5066351977701</v>
      </c>
      <c r="R19" t="n">
        <v>48.5066351977701</v>
      </c>
      <c r="S19" t="n">
        <v>48.5066351977701</v>
      </c>
      <c r="T19" t="n">
        <v>48.5066351977701</v>
      </c>
      <c r="U19" t="n">
        <v>48.5066351977701</v>
      </c>
      <c r="V19" t="n">
        <v>48.5066351977701</v>
      </c>
      <c r="W19" t="n">
        <v>48.5066351977701</v>
      </c>
      <c r="X19" t="n">
        <v>48.5066351977701</v>
      </c>
      <c r="Y19" t="n">
        <v>48.5066351977701</v>
      </c>
      <c r="Z19" t="n">
        <v>48.5066351977701</v>
      </c>
    </row>
    <row r="20">
      <c r="A20" t="inlineStr">
        <is>
          <t>Commercial</t>
        </is>
      </c>
      <c r="B20" t="inlineStr">
        <is>
          <t>Office</t>
        </is>
      </c>
      <c r="D20" t="inlineStr">
        <is>
          <t>Old</t>
        </is>
      </c>
      <c r="E20" t="inlineStr">
        <is>
          <t>Ventilation</t>
        </is>
      </c>
      <c r="F20" t="inlineStr">
        <is>
          <t>COMOFFOldVT</t>
        </is>
      </c>
      <c r="G20" t="inlineStr">
        <is>
          <t>TJ</t>
        </is>
      </c>
      <c r="H20" t="inlineStr">
        <is>
          <t>TJ / Mm2</t>
        </is>
      </c>
      <c r="I20" t="n">
        <v>101.5997887087056</v>
      </c>
      <c r="J20" t="n">
        <v>101.5997887087056</v>
      </c>
      <c r="K20" t="n">
        <v>101.5997887087056</v>
      </c>
      <c r="L20" t="n">
        <v>101.5997887087056</v>
      </c>
      <c r="M20" t="n">
        <v>101.5997887087056</v>
      </c>
      <c r="N20" t="n">
        <v>101.5997887087056</v>
      </c>
      <c r="O20" t="n">
        <v>101.5997887087056</v>
      </c>
      <c r="P20" t="n">
        <v>101.5997887087056</v>
      </c>
      <c r="Q20" t="n">
        <v>101.5997887087056</v>
      </c>
      <c r="R20" t="n">
        <v>101.5997887087056</v>
      </c>
      <c r="S20" t="n">
        <v>101.5997887087056</v>
      </c>
      <c r="T20" t="n">
        <v>101.5997887087056</v>
      </c>
      <c r="U20" t="n">
        <v>101.5997887087056</v>
      </c>
      <c r="V20" t="n">
        <v>101.5997887087056</v>
      </c>
      <c r="W20" t="n">
        <v>101.5997887087056</v>
      </c>
      <c r="X20" t="n">
        <v>101.5997887087056</v>
      </c>
      <c r="Y20" t="n">
        <v>101.5997887087056</v>
      </c>
      <c r="Z20" t="n">
        <v>101.5997887087056</v>
      </c>
    </row>
    <row r="21">
      <c r="A21" t="inlineStr">
        <is>
          <t>Commercial</t>
        </is>
      </c>
      <c r="B21" t="inlineStr">
        <is>
          <t>Hospital</t>
        </is>
      </c>
      <c r="D21" t="inlineStr">
        <is>
          <t>Old</t>
        </is>
      </c>
      <c r="E21" t="inlineStr">
        <is>
          <t>Ventilation</t>
        </is>
      </c>
      <c r="F21" t="inlineStr">
        <is>
          <t>COMHOPOldVT</t>
        </is>
      </c>
      <c r="G21" t="inlineStr">
        <is>
          <t>TJ</t>
        </is>
      </c>
      <c r="H21" t="inlineStr">
        <is>
          <t>TJ / Mm2</t>
        </is>
      </c>
      <c r="I21" t="n">
        <v>177.7212516921081</v>
      </c>
      <c r="J21" t="n">
        <v>177.7212516921081</v>
      </c>
      <c r="K21" t="n">
        <v>177.7212516921081</v>
      </c>
      <c r="L21" t="n">
        <v>177.7212516921081</v>
      </c>
      <c r="M21" t="n">
        <v>177.7212516921081</v>
      </c>
      <c r="N21" t="n">
        <v>177.7212516921081</v>
      </c>
      <c r="O21" t="n">
        <v>177.7212516921081</v>
      </c>
      <c r="P21" t="n">
        <v>177.7212516921081</v>
      </c>
      <c r="Q21" t="n">
        <v>177.7212516921081</v>
      </c>
      <c r="R21" t="n">
        <v>177.7212516921081</v>
      </c>
      <c r="S21" t="n">
        <v>177.7212516921081</v>
      </c>
      <c r="T21" t="n">
        <v>177.7212516921081</v>
      </c>
      <c r="U21" t="n">
        <v>177.7212516921081</v>
      </c>
      <c r="V21" t="n">
        <v>177.7212516921081</v>
      </c>
      <c r="W21" t="n">
        <v>177.7212516921081</v>
      </c>
      <c r="X21" t="n">
        <v>177.7212516921081</v>
      </c>
      <c r="Y21" t="n">
        <v>177.7212516921081</v>
      </c>
      <c r="Z21" t="n">
        <v>177.7212516921081</v>
      </c>
    </row>
    <row r="22">
      <c r="A22" t="inlineStr">
        <is>
          <t>Commercial</t>
        </is>
      </c>
      <c r="B22" t="inlineStr">
        <is>
          <t>Educationnal</t>
        </is>
      </c>
      <c r="D22" t="inlineStr">
        <is>
          <t>Old</t>
        </is>
      </c>
      <c r="E22" t="inlineStr">
        <is>
          <t>Ventilation</t>
        </is>
      </c>
      <c r="F22" t="inlineStr">
        <is>
          <t>COMEDUOldVT</t>
        </is>
      </c>
      <c r="G22" t="inlineStr">
        <is>
          <t>TJ</t>
        </is>
      </c>
      <c r="H22" t="inlineStr">
        <is>
          <t>TJ / Mm2</t>
        </is>
      </c>
      <c r="I22" t="n">
        <v>54.22303289569065</v>
      </c>
      <c r="J22" t="n">
        <v>54.22303289569065</v>
      </c>
      <c r="K22" t="n">
        <v>54.22303289569065</v>
      </c>
      <c r="L22" t="n">
        <v>54.22303289569065</v>
      </c>
      <c r="M22" t="n">
        <v>54.22303289569065</v>
      </c>
      <c r="N22" t="n">
        <v>54.22303289569065</v>
      </c>
      <c r="O22" t="n">
        <v>54.22303289569065</v>
      </c>
      <c r="P22" t="n">
        <v>54.22303289569065</v>
      </c>
      <c r="Q22" t="n">
        <v>54.22303289569065</v>
      </c>
      <c r="R22" t="n">
        <v>54.22303289569065</v>
      </c>
      <c r="S22" t="n">
        <v>54.22303289569065</v>
      </c>
      <c r="T22" t="n">
        <v>54.22303289569065</v>
      </c>
      <c r="U22" t="n">
        <v>54.22303289569065</v>
      </c>
      <c r="V22" t="n">
        <v>54.22303289569065</v>
      </c>
      <c r="W22" t="n">
        <v>54.22303289569065</v>
      </c>
      <c r="X22" t="n">
        <v>54.22303289569065</v>
      </c>
      <c r="Y22" t="n">
        <v>54.22303289569065</v>
      </c>
      <c r="Z22" t="n">
        <v>54.22303289569065</v>
      </c>
    </row>
    <row r="23">
      <c r="A23" t="inlineStr">
        <is>
          <t>Commercial</t>
        </is>
      </c>
      <c r="B23" t="inlineStr">
        <is>
          <t>Warehouse</t>
        </is>
      </c>
      <c r="D23" t="inlineStr">
        <is>
          <t>Old</t>
        </is>
      </c>
      <c r="E23" t="inlineStr">
        <is>
          <t>Ventilation</t>
        </is>
      </c>
      <c r="F23" t="inlineStr">
        <is>
          <t>COMWAROldVT</t>
        </is>
      </c>
      <c r="G23" t="inlineStr">
        <is>
          <t>TJ</t>
        </is>
      </c>
      <c r="H23" t="inlineStr">
        <is>
          <t>TJ / Mm2</t>
        </is>
      </c>
      <c r="I23" t="n">
        <v>11.32078407254618</v>
      </c>
      <c r="J23" t="n">
        <v>11.32078407254618</v>
      </c>
      <c r="K23" t="n">
        <v>11.32078407254618</v>
      </c>
      <c r="L23" t="n">
        <v>11.32078407254618</v>
      </c>
      <c r="M23" t="n">
        <v>11.32078407254618</v>
      </c>
      <c r="N23" t="n">
        <v>11.32078407254618</v>
      </c>
      <c r="O23" t="n">
        <v>11.32078407254618</v>
      </c>
      <c r="P23" t="n">
        <v>11.32078407254618</v>
      </c>
      <c r="Q23" t="n">
        <v>11.32078407254618</v>
      </c>
      <c r="R23" t="n">
        <v>11.32078407254618</v>
      </c>
      <c r="S23" t="n">
        <v>11.32078407254618</v>
      </c>
      <c r="T23" t="n">
        <v>11.32078407254618</v>
      </c>
      <c r="U23" t="n">
        <v>11.32078407254618</v>
      </c>
      <c r="V23" t="n">
        <v>11.32078407254618</v>
      </c>
      <c r="W23" t="n">
        <v>11.32078407254618</v>
      </c>
      <c r="X23" t="n">
        <v>11.32078407254618</v>
      </c>
      <c r="Y23" t="n">
        <v>11.32078407254618</v>
      </c>
      <c r="Z23" t="n">
        <v>11.32078407254618</v>
      </c>
    </row>
    <row r="24">
      <c r="A24" t="inlineStr">
        <is>
          <t>Commercial</t>
        </is>
      </c>
      <c r="B24" t="inlineStr">
        <is>
          <t>Municipal</t>
        </is>
      </c>
      <c r="D24" t="inlineStr">
        <is>
          <t>Old</t>
        </is>
      </c>
      <c r="E24" t="inlineStr">
        <is>
          <t>Ventilation</t>
        </is>
      </c>
      <c r="F24" t="inlineStr">
        <is>
          <t>COMMUNOldVT</t>
        </is>
      </c>
      <c r="G24" t="inlineStr">
        <is>
          <t>TJ</t>
        </is>
      </c>
      <c r="H24" t="inlineStr">
        <is>
          <t>TJ / Mm2</t>
        </is>
      </c>
      <c r="I24" t="n">
        <v>95.97809377208718</v>
      </c>
      <c r="J24" t="n">
        <v>95.97809377208718</v>
      </c>
      <c r="K24" t="n">
        <v>95.97809377208718</v>
      </c>
      <c r="L24" t="n">
        <v>95.97809377208718</v>
      </c>
      <c r="M24" t="n">
        <v>95.97809377208718</v>
      </c>
      <c r="N24" t="n">
        <v>95.97809377208718</v>
      </c>
      <c r="O24" t="n">
        <v>95.97809377208718</v>
      </c>
      <c r="P24" t="n">
        <v>95.97809377208718</v>
      </c>
      <c r="Q24" t="n">
        <v>95.97809377208718</v>
      </c>
      <c r="R24" t="n">
        <v>95.97809377208718</v>
      </c>
      <c r="S24" t="n">
        <v>95.97809377208718</v>
      </c>
      <c r="T24" t="n">
        <v>95.97809377208718</v>
      </c>
      <c r="U24" t="n">
        <v>95.97809377208718</v>
      </c>
      <c r="V24" t="n">
        <v>95.97809377208718</v>
      </c>
      <c r="W24" t="n">
        <v>95.97809377208718</v>
      </c>
      <c r="X24" t="n">
        <v>95.97809377208718</v>
      </c>
      <c r="Y24" t="n">
        <v>95.97809377208718</v>
      </c>
      <c r="Z24" t="n">
        <v>95.97809377208718</v>
      </c>
    </row>
    <row r="25">
      <c r="A25" t="inlineStr">
        <is>
          <t>Commercial</t>
        </is>
      </c>
      <c r="B25" t="inlineStr">
        <is>
          <t>Other</t>
        </is>
      </c>
      <c r="D25" t="inlineStr">
        <is>
          <t>Old</t>
        </is>
      </c>
      <c r="E25" t="inlineStr">
        <is>
          <t>Ventilation</t>
        </is>
      </c>
      <c r="F25" t="inlineStr">
        <is>
          <t>COMOTHOldVT</t>
        </is>
      </c>
      <c r="G25" t="inlineStr">
        <is>
          <t>TJ</t>
        </is>
      </c>
      <c r="H25" t="inlineStr">
        <is>
          <t>TJ / Mm2</t>
        </is>
      </c>
      <c r="I25" t="n">
        <v>51.23650572734535</v>
      </c>
      <c r="J25" t="n">
        <v>51.23650572734535</v>
      </c>
      <c r="K25" t="n">
        <v>51.23650572734535</v>
      </c>
      <c r="L25" t="n">
        <v>51.23650572734535</v>
      </c>
      <c r="M25" t="n">
        <v>51.23650572734535</v>
      </c>
      <c r="N25" t="n">
        <v>51.23650572734535</v>
      </c>
      <c r="O25" t="n">
        <v>51.23650572734535</v>
      </c>
      <c r="P25" t="n">
        <v>51.23650572734535</v>
      </c>
      <c r="Q25" t="n">
        <v>51.23650572734535</v>
      </c>
      <c r="R25" t="n">
        <v>51.23650572734535</v>
      </c>
      <c r="S25" t="n">
        <v>51.23650572734535</v>
      </c>
      <c r="T25" t="n">
        <v>51.23650572734535</v>
      </c>
      <c r="U25" t="n">
        <v>51.23650572734535</v>
      </c>
      <c r="V25" t="n">
        <v>51.23650572734535</v>
      </c>
      <c r="W25" t="n">
        <v>51.23650572734535</v>
      </c>
      <c r="X25" t="n">
        <v>51.23650572734535</v>
      </c>
      <c r="Y25" t="n">
        <v>51.23650572734535</v>
      </c>
      <c r="Z25" t="n">
        <v>51.23650572734535</v>
      </c>
    </row>
    <row r="26">
      <c r="A26" t="inlineStr">
        <is>
          <t>Commercial</t>
        </is>
      </c>
      <c r="B26" t="inlineStr">
        <is>
          <t>Hotel</t>
        </is>
      </c>
      <c r="D26" t="inlineStr">
        <is>
          <t>Old</t>
        </is>
      </c>
      <c r="E26" t="inlineStr">
        <is>
          <t>Water heating</t>
        </is>
      </c>
      <c r="F26" t="inlineStr">
        <is>
          <t>COMHOTOldWH</t>
        </is>
      </c>
      <c r="G26" t="inlineStr">
        <is>
          <t>TJ</t>
        </is>
      </c>
      <c r="H26" t="inlineStr">
        <is>
          <t>TJ / Mm2</t>
        </is>
      </c>
      <c r="I26" t="n">
        <v>129.9164373005763</v>
      </c>
      <c r="J26" t="n">
        <v>129.9164373005763</v>
      </c>
      <c r="K26" t="n">
        <v>129.9164373005763</v>
      </c>
      <c r="L26" t="n">
        <v>129.9164373005763</v>
      </c>
      <c r="M26" t="n">
        <v>129.9164373005763</v>
      </c>
      <c r="N26" t="n">
        <v>129.9164373005763</v>
      </c>
      <c r="O26" t="n">
        <v>129.9164373005763</v>
      </c>
      <c r="P26" t="n">
        <v>129.9164373005763</v>
      </c>
      <c r="Q26" t="n">
        <v>129.9164373005763</v>
      </c>
      <c r="R26" t="n">
        <v>129.9164373005763</v>
      </c>
      <c r="S26" t="n">
        <v>129.9164373005763</v>
      </c>
      <c r="T26" t="n">
        <v>129.9164373005763</v>
      </c>
      <c r="U26" t="n">
        <v>129.9164373005763</v>
      </c>
      <c r="V26" t="n">
        <v>129.9164373005763</v>
      </c>
      <c r="W26" t="n">
        <v>129.9164373005763</v>
      </c>
      <c r="X26" t="n">
        <v>129.9164373005763</v>
      </c>
      <c r="Y26" t="n">
        <v>129.9164373005763</v>
      </c>
      <c r="Z26" t="n">
        <v>129.9164373005763</v>
      </c>
    </row>
    <row r="27">
      <c r="A27" t="inlineStr">
        <is>
          <t>Commercial</t>
        </is>
      </c>
      <c r="B27" t="inlineStr">
        <is>
          <t>Retail</t>
        </is>
      </c>
      <c r="D27" t="inlineStr">
        <is>
          <t>Old</t>
        </is>
      </c>
      <c r="E27" t="inlineStr">
        <is>
          <t>Water heating</t>
        </is>
      </c>
      <c r="F27" t="inlineStr">
        <is>
          <t>COMRETOldWH</t>
        </is>
      </c>
      <c r="G27" t="inlineStr">
        <is>
          <t>TJ</t>
        </is>
      </c>
      <c r="H27" t="inlineStr">
        <is>
          <t>TJ / Mm2</t>
        </is>
      </c>
      <c r="I27" t="n">
        <v>38.0690621192642</v>
      </c>
      <c r="J27" t="n">
        <v>38.0690621192642</v>
      </c>
      <c r="K27" t="n">
        <v>38.0690621192642</v>
      </c>
      <c r="L27" t="n">
        <v>38.0690621192642</v>
      </c>
      <c r="M27" t="n">
        <v>38.0690621192642</v>
      </c>
      <c r="N27" t="n">
        <v>38.0690621192642</v>
      </c>
      <c r="O27" t="n">
        <v>38.0690621192642</v>
      </c>
      <c r="P27" t="n">
        <v>38.0690621192642</v>
      </c>
      <c r="Q27" t="n">
        <v>38.0690621192642</v>
      </c>
      <c r="R27" t="n">
        <v>38.0690621192642</v>
      </c>
      <c r="S27" t="n">
        <v>38.0690621192642</v>
      </c>
      <c r="T27" t="n">
        <v>38.0690621192642</v>
      </c>
      <c r="U27" t="n">
        <v>38.0690621192642</v>
      </c>
      <c r="V27" t="n">
        <v>38.0690621192642</v>
      </c>
      <c r="W27" t="n">
        <v>38.0690621192642</v>
      </c>
      <c r="X27" t="n">
        <v>38.0690621192642</v>
      </c>
      <c r="Y27" t="n">
        <v>38.0690621192642</v>
      </c>
      <c r="Z27" t="n">
        <v>38.0690621192642</v>
      </c>
    </row>
    <row r="28">
      <c r="A28" t="inlineStr">
        <is>
          <t>Commercial</t>
        </is>
      </c>
      <c r="B28" t="inlineStr">
        <is>
          <t>Office</t>
        </is>
      </c>
      <c r="D28" t="inlineStr">
        <is>
          <t>Old</t>
        </is>
      </c>
      <c r="E28" t="inlineStr">
        <is>
          <t>Water heating</t>
        </is>
      </c>
      <c r="F28" t="inlineStr">
        <is>
          <t>COMOFFOldWH</t>
        </is>
      </c>
      <c r="G28" t="inlineStr">
        <is>
          <t>TJ</t>
        </is>
      </c>
      <c r="H28" t="inlineStr">
        <is>
          <t>TJ / Mm2</t>
        </is>
      </c>
      <c r="I28" t="n">
        <v>9.293715155141069</v>
      </c>
      <c r="J28" t="n">
        <v>9.293715155141069</v>
      </c>
      <c r="K28" t="n">
        <v>9.293715155141069</v>
      </c>
      <c r="L28" t="n">
        <v>9.293715155141069</v>
      </c>
      <c r="M28" t="n">
        <v>9.293715155141069</v>
      </c>
      <c r="N28" t="n">
        <v>9.293715155141069</v>
      </c>
      <c r="O28" t="n">
        <v>9.293715155141069</v>
      </c>
      <c r="P28" t="n">
        <v>9.293715155141069</v>
      </c>
      <c r="Q28" t="n">
        <v>9.293715155141069</v>
      </c>
      <c r="R28" t="n">
        <v>9.293715155141069</v>
      </c>
      <c r="S28" t="n">
        <v>9.293715155141069</v>
      </c>
      <c r="T28" t="n">
        <v>9.293715155141069</v>
      </c>
      <c r="U28" t="n">
        <v>9.293715155141069</v>
      </c>
      <c r="V28" t="n">
        <v>9.293715155141069</v>
      </c>
      <c r="W28" t="n">
        <v>9.293715155141069</v>
      </c>
      <c r="X28" t="n">
        <v>9.293715155141069</v>
      </c>
      <c r="Y28" t="n">
        <v>9.293715155141069</v>
      </c>
      <c r="Z28" t="n">
        <v>9.293715155141069</v>
      </c>
    </row>
    <row r="29">
      <c r="A29" t="inlineStr">
        <is>
          <t>Commercial</t>
        </is>
      </c>
      <c r="B29" t="inlineStr">
        <is>
          <t>Hospital</t>
        </is>
      </c>
      <c r="D29" t="inlineStr">
        <is>
          <t>Old</t>
        </is>
      </c>
      <c r="E29" t="inlineStr">
        <is>
          <t>Water heating</t>
        </is>
      </c>
      <c r="F29" t="inlineStr">
        <is>
          <t>COMHOPOldWH</t>
        </is>
      </c>
      <c r="G29" t="inlineStr">
        <is>
          <t>TJ</t>
        </is>
      </c>
      <c r="H29" t="inlineStr">
        <is>
          <t>TJ / Mm2</t>
        </is>
      </c>
      <c r="I29" t="n">
        <v>71.27404898158338</v>
      </c>
      <c r="J29" t="n">
        <v>71.27404898158338</v>
      </c>
      <c r="K29" t="n">
        <v>71.27404898158338</v>
      </c>
      <c r="L29" t="n">
        <v>71.27404898158338</v>
      </c>
      <c r="M29" t="n">
        <v>71.27404898158338</v>
      </c>
      <c r="N29" t="n">
        <v>71.27404898158338</v>
      </c>
      <c r="O29" t="n">
        <v>71.27404898158338</v>
      </c>
      <c r="P29" t="n">
        <v>71.27404898158338</v>
      </c>
      <c r="Q29" t="n">
        <v>71.27404898158338</v>
      </c>
      <c r="R29" t="n">
        <v>71.27404898158338</v>
      </c>
      <c r="S29" t="n">
        <v>71.27404898158338</v>
      </c>
      <c r="T29" t="n">
        <v>71.27404898158338</v>
      </c>
      <c r="U29" t="n">
        <v>71.27404898158338</v>
      </c>
      <c r="V29" t="n">
        <v>71.27404898158338</v>
      </c>
      <c r="W29" t="n">
        <v>71.27404898158338</v>
      </c>
      <c r="X29" t="n">
        <v>71.27404898158338</v>
      </c>
      <c r="Y29" t="n">
        <v>71.27404898158338</v>
      </c>
      <c r="Z29" t="n">
        <v>71.27404898158338</v>
      </c>
    </row>
    <row r="30">
      <c r="A30" t="inlineStr">
        <is>
          <t>Commercial</t>
        </is>
      </c>
      <c r="B30" t="inlineStr">
        <is>
          <t>Educationnal</t>
        </is>
      </c>
      <c r="D30" t="inlineStr">
        <is>
          <t>Old</t>
        </is>
      </c>
      <c r="E30" t="inlineStr">
        <is>
          <t>Water heating</t>
        </is>
      </c>
      <c r="F30" t="inlineStr">
        <is>
          <t>COMEDUOldWH</t>
        </is>
      </c>
      <c r="G30" t="inlineStr">
        <is>
          <t>TJ</t>
        </is>
      </c>
      <c r="H30" t="inlineStr">
        <is>
          <t>TJ / Mm2</t>
        </is>
      </c>
      <c r="I30" t="n">
        <v>24.95939524085995</v>
      </c>
      <c r="J30" t="n">
        <v>24.95939524085995</v>
      </c>
      <c r="K30" t="n">
        <v>24.95939524085995</v>
      </c>
      <c r="L30" t="n">
        <v>24.95939524085995</v>
      </c>
      <c r="M30" t="n">
        <v>24.95939524085995</v>
      </c>
      <c r="N30" t="n">
        <v>24.95939524085995</v>
      </c>
      <c r="O30" t="n">
        <v>24.95939524085995</v>
      </c>
      <c r="P30" t="n">
        <v>24.95939524085995</v>
      </c>
      <c r="Q30" t="n">
        <v>24.95939524085995</v>
      </c>
      <c r="R30" t="n">
        <v>24.95939524085995</v>
      </c>
      <c r="S30" t="n">
        <v>24.95939524085995</v>
      </c>
      <c r="T30" t="n">
        <v>24.95939524085995</v>
      </c>
      <c r="U30" t="n">
        <v>24.95939524085995</v>
      </c>
      <c r="V30" t="n">
        <v>24.95939524085995</v>
      </c>
      <c r="W30" t="n">
        <v>24.95939524085995</v>
      </c>
      <c r="X30" t="n">
        <v>24.95939524085995</v>
      </c>
      <c r="Y30" t="n">
        <v>24.95939524085995</v>
      </c>
      <c r="Z30" t="n">
        <v>24.95939524085995</v>
      </c>
    </row>
    <row r="31">
      <c r="A31" t="inlineStr">
        <is>
          <t>Commercial</t>
        </is>
      </c>
      <c r="B31" t="inlineStr">
        <is>
          <t>Warehouse</t>
        </is>
      </c>
      <c r="D31" t="inlineStr">
        <is>
          <t>Old</t>
        </is>
      </c>
      <c r="E31" t="inlineStr">
        <is>
          <t>Water heating</t>
        </is>
      </c>
      <c r="F31" t="inlineStr">
        <is>
          <t>COMWAROldWH</t>
        </is>
      </c>
      <c r="G31" t="inlineStr">
        <is>
          <t>TJ</t>
        </is>
      </c>
      <c r="H31" t="inlineStr">
        <is>
          <t>TJ / Mm2</t>
        </is>
      </c>
      <c r="I31" t="n">
        <v>2.513990750799755</v>
      </c>
      <c r="J31" t="n">
        <v>2.513990750799755</v>
      </c>
      <c r="K31" t="n">
        <v>2.513990750799755</v>
      </c>
      <c r="L31" t="n">
        <v>2.513990750799755</v>
      </c>
      <c r="M31" t="n">
        <v>2.513990750799755</v>
      </c>
      <c r="N31" t="n">
        <v>2.513990750799755</v>
      </c>
      <c r="O31" t="n">
        <v>2.513990750799755</v>
      </c>
      <c r="P31" t="n">
        <v>2.513990750799755</v>
      </c>
      <c r="Q31" t="n">
        <v>2.513990750799755</v>
      </c>
      <c r="R31" t="n">
        <v>2.513990750799755</v>
      </c>
      <c r="S31" t="n">
        <v>2.513990750799755</v>
      </c>
      <c r="T31" t="n">
        <v>2.513990750799755</v>
      </c>
      <c r="U31" t="n">
        <v>2.513990750799755</v>
      </c>
      <c r="V31" t="n">
        <v>2.513990750799755</v>
      </c>
      <c r="W31" t="n">
        <v>2.513990750799755</v>
      </c>
      <c r="X31" t="n">
        <v>2.513990750799755</v>
      </c>
      <c r="Y31" t="n">
        <v>2.513990750799755</v>
      </c>
      <c r="Z31" t="n">
        <v>2.513990750799755</v>
      </c>
    </row>
    <row r="32">
      <c r="A32" t="inlineStr">
        <is>
          <t>Commercial</t>
        </is>
      </c>
      <c r="B32" t="inlineStr">
        <is>
          <t>Municipal</t>
        </is>
      </c>
      <c r="D32" t="inlineStr">
        <is>
          <t>Old</t>
        </is>
      </c>
      <c r="E32" t="inlineStr">
        <is>
          <t>Water heating</t>
        </is>
      </c>
      <c r="F32" t="inlineStr">
        <is>
          <t>COMMUNOldWH</t>
        </is>
      </c>
      <c r="G32" t="inlineStr">
        <is>
          <t>TJ</t>
        </is>
      </c>
      <c r="H32" t="inlineStr">
        <is>
          <t>TJ / Mm2</t>
        </is>
      </c>
      <c r="I32" t="n">
        <v>27.41983032760676</v>
      </c>
      <c r="J32" t="n">
        <v>27.41983032760676</v>
      </c>
      <c r="K32" t="n">
        <v>27.41983032760676</v>
      </c>
      <c r="L32" t="n">
        <v>27.41983032760676</v>
      </c>
      <c r="M32" t="n">
        <v>27.41983032760676</v>
      </c>
      <c r="N32" t="n">
        <v>27.41983032760676</v>
      </c>
      <c r="O32" t="n">
        <v>27.41983032760676</v>
      </c>
      <c r="P32" t="n">
        <v>27.41983032760676</v>
      </c>
      <c r="Q32" t="n">
        <v>27.41983032760676</v>
      </c>
      <c r="R32" t="n">
        <v>27.41983032760676</v>
      </c>
      <c r="S32" t="n">
        <v>27.41983032760676</v>
      </c>
      <c r="T32" t="n">
        <v>27.41983032760676</v>
      </c>
      <c r="U32" t="n">
        <v>27.41983032760676</v>
      </c>
      <c r="V32" t="n">
        <v>27.41983032760676</v>
      </c>
      <c r="W32" t="n">
        <v>27.41983032760676</v>
      </c>
      <c r="X32" t="n">
        <v>27.41983032760676</v>
      </c>
      <c r="Y32" t="n">
        <v>27.41983032760676</v>
      </c>
      <c r="Z32" t="n">
        <v>27.41983032760676</v>
      </c>
    </row>
    <row r="33">
      <c r="A33" t="inlineStr">
        <is>
          <t>Commercial</t>
        </is>
      </c>
      <c r="B33" t="inlineStr">
        <is>
          <t>Other</t>
        </is>
      </c>
      <c r="D33" t="inlineStr">
        <is>
          <t>Old</t>
        </is>
      </c>
      <c r="E33" t="inlineStr">
        <is>
          <t>Water heating</t>
        </is>
      </c>
      <c r="F33" t="inlineStr">
        <is>
          <t>COMOTHOldWH</t>
        </is>
      </c>
      <c r="G33" t="inlineStr">
        <is>
          <t>TJ</t>
        </is>
      </c>
      <c r="H33" t="inlineStr">
        <is>
          <t>TJ / Mm2</t>
        </is>
      </c>
      <c r="I33" t="n">
        <v>4.627650140577494</v>
      </c>
      <c r="J33" t="n">
        <v>4.627650140577494</v>
      </c>
      <c r="K33" t="n">
        <v>4.627650140577494</v>
      </c>
      <c r="L33" t="n">
        <v>4.627650140577494</v>
      </c>
      <c r="M33" t="n">
        <v>4.627650140577494</v>
      </c>
      <c r="N33" t="n">
        <v>4.627650140577494</v>
      </c>
      <c r="O33" t="n">
        <v>4.627650140577494</v>
      </c>
      <c r="P33" t="n">
        <v>4.627650140577494</v>
      </c>
      <c r="Q33" t="n">
        <v>4.627650140577494</v>
      </c>
      <c r="R33" t="n">
        <v>4.627650140577494</v>
      </c>
      <c r="S33" t="n">
        <v>4.627650140577494</v>
      </c>
      <c r="T33" t="n">
        <v>4.627650140577494</v>
      </c>
      <c r="U33" t="n">
        <v>4.627650140577494</v>
      </c>
      <c r="V33" t="n">
        <v>4.627650140577494</v>
      </c>
      <c r="W33" t="n">
        <v>4.627650140577494</v>
      </c>
      <c r="X33" t="n">
        <v>4.627650140577494</v>
      </c>
      <c r="Y33" t="n">
        <v>4.627650140577494</v>
      </c>
      <c r="Z33" t="n">
        <v>4.627650140577494</v>
      </c>
    </row>
    <row r="34">
      <c r="A34" t="inlineStr">
        <is>
          <t>Commercial</t>
        </is>
      </c>
      <c r="B34" t="inlineStr">
        <is>
          <t>Hotel</t>
        </is>
      </c>
      <c r="D34" t="inlineStr">
        <is>
          <t>Old</t>
        </is>
      </c>
      <c r="E34" t="inlineStr">
        <is>
          <t>Lighting</t>
        </is>
      </c>
      <c r="F34" t="inlineStr">
        <is>
          <t>COMHOTOldLT</t>
        </is>
      </c>
      <c r="G34" t="inlineStr">
        <is>
          <t>Mlm</t>
        </is>
      </c>
      <c r="H34" t="inlineStr">
        <is>
          <t>Mlm / Mm2</t>
        </is>
      </c>
      <c r="I34" t="n">
        <v>67.54360601742832</v>
      </c>
      <c r="J34" t="n">
        <v>67.54360601742832</v>
      </c>
      <c r="K34" t="n">
        <v>67.54360601742832</v>
      </c>
      <c r="L34" t="n">
        <v>67.54360601742832</v>
      </c>
      <c r="M34" t="n">
        <v>67.54360601742832</v>
      </c>
      <c r="N34" t="n">
        <v>67.54360601742832</v>
      </c>
      <c r="O34" t="n">
        <v>67.54360601742832</v>
      </c>
      <c r="P34" t="n">
        <v>67.54360601742832</v>
      </c>
      <c r="Q34" t="n">
        <v>67.54360601742832</v>
      </c>
      <c r="R34" t="n">
        <v>67.54360601742832</v>
      </c>
      <c r="S34" t="n">
        <v>67.54360601742832</v>
      </c>
      <c r="T34" t="n">
        <v>67.54360601742832</v>
      </c>
      <c r="U34" t="n">
        <v>67.54360601742832</v>
      </c>
      <c r="V34" t="n">
        <v>67.54360601742832</v>
      </c>
      <c r="W34" t="n">
        <v>67.54360601742832</v>
      </c>
      <c r="X34" t="n">
        <v>67.54360601742832</v>
      </c>
      <c r="Y34" t="n">
        <v>67.54360601742832</v>
      </c>
      <c r="Z34" t="n">
        <v>67.54360601742832</v>
      </c>
    </row>
    <row r="35">
      <c r="A35" t="inlineStr">
        <is>
          <t>Commercial</t>
        </is>
      </c>
      <c r="B35" t="inlineStr">
        <is>
          <t>Retail</t>
        </is>
      </c>
      <c r="D35" t="inlineStr">
        <is>
          <t>Old</t>
        </is>
      </c>
      <c r="E35" t="inlineStr">
        <is>
          <t>Lighting</t>
        </is>
      </c>
      <c r="F35" t="inlineStr">
        <is>
          <t>COMRETOldLT</t>
        </is>
      </c>
      <c r="G35" t="inlineStr">
        <is>
          <t>Mlm</t>
        </is>
      </c>
      <c r="H35" t="inlineStr">
        <is>
          <t>Mlm / Mm2</t>
        </is>
      </c>
      <c r="I35" t="n">
        <v>120.354175071366</v>
      </c>
      <c r="J35" t="n">
        <v>120.354175071366</v>
      </c>
      <c r="K35" t="n">
        <v>120.354175071366</v>
      </c>
      <c r="L35" t="n">
        <v>120.354175071366</v>
      </c>
      <c r="M35" t="n">
        <v>120.354175071366</v>
      </c>
      <c r="N35" t="n">
        <v>120.354175071366</v>
      </c>
      <c r="O35" t="n">
        <v>120.354175071366</v>
      </c>
      <c r="P35" t="n">
        <v>120.354175071366</v>
      </c>
      <c r="Q35" t="n">
        <v>120.354175071366</v>
      </c>
      <c r="R35" t="n">
        <v>120.354175071366</v>
      </c>
      <c r="S35" t="n">
        <v>120.354175071366</v>
      </c>
      <c r="T35" t="n">
        <v>120.354175071366</v>
      </c>
      <c r="U35" t="n">
        <v>120.354175071366</v>
      </c>
      <c r="V35" t="n">
        <v>120.354175071366</v>
      </c>
      <c r="W35" t="n">
        <v>120.354175071366</v>
      </c>
      <c r="X35" t="n">
        <v>120.354175071366</v>
      </c>
      <c r="Y35" t="n">
        <v>120.354175071366</v>
      </c>
      <c r="Z35" t="n">
        <v>120.354175071366</v>
      </c>
    </row>
    <row r="36">
      <c r="A36" t="inlineStr">
        <is>
          <t>Commercial</t>
        </is>
      </c>
      <c r="B36" t="inlineStr">
        <is>
          <t>Office</t>
        </is>
      </c>
      <c r="D36" t="inlineStr">
        <is>
          <t>Old</t>
        </is>
      </c>
      <c r="E36" t="inlineStr">
        <is>
          <t>Lighting</t>
        </is>
      </c>
      <c r="F36" t="inlineStr">
        <is>
          <t>COMOFFOldLT</t>
        </is>
      </c>
      <c r="G36" t="inlineStr">
        <is>
          <t>Mlm</t>
        </is>
      </c>
      <c r="H36" t="inlineStr">
        <is>
          <t>Mlm / Mm2</t>
        </is>
      </c>
      <c r="I36" t="n">
        <v>87.92590542599638</v>
      </c>
      <c r="J36" t="n">
        <v>87.92590542599638</v>
      </c>
      <c r="K36" t="n">
        <v>87.92590542599638</v>
      </c>
      <c r="L36" t="n">
        <v>87.92590542599638</v>
      </c>
      <c r="M36" t="n">
        <v>87.92590542599638</v>
      </c>
      <c r="N36" t="n">
        <v>87.92590542599638</v>
      </c>
      <c r="O36" t="n">
        <v>87.92590542599638</v>
      </c>
      <c r="P36" t="n">
        <v>87.92590542599638</v>
      </c>
      <c r="Q36" t="n">
        <v>87.92590542599638</v>
      </c>
      <c r="R36" t="n">
        <v>87.92590542599638</v>
      </c>
      <c r="S36" t="n">
        <v>87.92590542599638</v>
      </c>
      <c r="T36" t="n">
        <v>87.92590542599638</v>
      </c>
      <c r="U36" t="n">
        <v>87.92590542599638</v>
      </c>
      <c r="V36" t="n">
        <v>87.92590542599638</v>
      </c>
      <c r="W36" t="n">
        <v>87.92590542599638</v>
      </c>
      <c r="X36" t="n">
        <v>87.92590542599638</v>
      </c>
      <c r="Y36" t="n">
        <v>87.92590542599638</v>
      </c>
      <c r="Z36" t="n">
        <v>87.92590542599638</v>
      </c>
    </row>
    <row r="37">
      <c r="A37" t="inlineStr">
        <is>
          <t>Commercial</t>
        </is>
      </c>
      <c r="B37" t="inlineStr">
        <is>
          <t>Hospital</t>
        </is>
      </c>
      <c r="D37" t="inlineStr">
        <is>
          <t>Old</t>
        </is>
      </c>
      <c r="E37" t="inlineStr">
        <is>
          <t>Lighting</t>
        </is>
      </c>
      <c r="F37" t="inlineStr">
        <is>
          <t>COMHOPOldLT</t>
        </is>
      </c>
      <c r="G37" t="inlineStr">
        <is>
          <t>Mlm</t>
        </is>
      </c>
      <c r="H37" t="inlineStr">
        <is>
          <t>Mlm / Mm2</t>
        </is>
      </c>
      <c r="I37" t="n">
        <v>165.0022537386057</v>
      </c>
      <c r="J37" t="n">
        <v>165.0022537386057</v>
      </c>
      <c r="K37" t="n">
        <v>165.0022537386057</v>
      </c>
      <c r="L37" t="n">
        <v>165.0022537386057</v>
      </c>
      <c r="M37" t="n">
        <v>165.0022537386057</v>
      </c>
      <c r="N37" t="n">
        <v>165.0022537386057</v>
      </c>
      <c r="O37" t="n">
        <v>165.0022537386057</v>
      </c>
      <c r="P37" t="n">
        <v>165.0022537386057</v>
      </c>
      <c r="Q37" t="n">
        <v>165.0022537386057</v>
      </c>
      <c r="R37" t="n">
        <v>165.0022537386057</v>
      </c>
      <c r="S37" t="n">
        <v>165.0022537386057</v>
      </c>
      <c r="T37" t="n">
        <v>165.0022537386057</v>
      </c>
      <c r="U37" t="n">
        <v>165.0022537386057</v>
      </c>
      <c r="V37" t="n">
        <v>165.0022537386057</v>
      </c>
      <c r="W37" t="n">
        <v>165.0022537386057</v>
      </c>
      <c r="X37" t="n">
        <v>165.0022537386057</v>
      </c>
      <c r="Y37" t="n">
        <v>165.0022537386057</v>
      </c>
      <c r="Z37" t="n">
        <v>165.0022537386057</v>
      </c>
    </row>
    <row r="38">
      <c r="A38" t="inlineStr">
        <is>
          <t>Commercial</t>
        </is>
      </c>
      <c r="B38" t="inlineStr">
        <is>
          <t>Educationnal</t>
        </is>
      </c>
      <c r="D38" t="inlineStr">
        <is>
          <t>Old</t>
        </is>
      </c>
      <c r="E38" t="inlineStr">
        <is>
          <t>Lighting</t>
        </is>
      </c>
      <c r="F38" t="inlineStr">
        <is>
          <t>COMEDUOldLT</t>
        </is>
      </c>
      <c r="G38" t="inlineStr">
        <is>
          <t>Mlm</t>
        </is>
      </c>
      <c r="H38" t="inlineStr">
        <is>
          <t>Mlm / Mm2</t>
        </is>
      </c>
      <c r="I38" t="n">
        <v>92.07196566923741</v>
      </c>
      <c r="J38" t="n">
        <v>92.07196566923741</v>
      </c>
      <c r="K38" t="n">
        <v>92.07196566923741</v>
      </c>
      <c r="L38" t="n">
        <v>92.07196566923741</v>
      </c>
      <c r="M38" t="n">
        <v>92.07196566923741</v>
      </c>
      <c r="N38" t="n">
        <v>92.07196566923741</v>
      </c>
      <c r="O38" t="n">
        <v>92.07196566923741</v>
      </c>
      <c r="P38" t="n">
        <v>92.07196566923741</v>
      </c>
      <c r="Q38" t="n">
        <v>92.07196566923741</v>
      </c>
      <c r="R38" t="n">
        <v>92.07196566923741</v>
      </c>
      <c r="S38" t="n">
        <v>92.07196566923741</v>
      </c>
      <c r="T38" t="n">
        <v>92.07196566923741</v>
      </c>
      <c r="U38" t="n">
        <v>92.07196566923741</v>
      </c>
      <c r="V38" t="n">
        <v>92.07196566923741</v>
      </c>
      <c r="W38" t="n">
        <v>92.07196566923741</v>
      </c>
      <c r="X38" t="n">
        <v>92.07196566923741</v>
      </c>
      <c r="Y38" t="n">
        <v>92.07196566923741</v>
      </c>
      <c r="Z38" t="n">
        <v>92.07196566923741</v>
      </c>
    </row>
    <row r="39">
      <c r="A39" t="inlineStr">
        <is>
          <t>Commercial</t>
        </is>
      </c>
      <c r="B39" t="inlineStr">
        <is>
          <t>Warehouse</t>
        </is>
      </c>
      <c r="D39" t="inlineStr">
        <is>
          <t>Old</t>
        </is>
      </c>
      <c r="E39" t="inlineStr">
        <is>
          <t>Lighting</t>
        </is>
      </c>
      <c r="F39" t="inlineStr">
        <is>
          <t>COMWAROldLT</t>
        </is>
      </c>
      <c r="G39" t="inlineStr">
        <is>
          <t>Mlm</t>
        </is>
      </c>
      <c r="H39" t="inlineStr">
        <is>
          <t>Mlm / Mm2</t>
        </is>
      </c>
      <c r="I39" t="n">
        <v>67.98634045568934</v>
      </c>
      <c r="J39" t="n">
        <v>67.98634045568934</v>
      </c>
      <c r="K39" t="n">
        <v>67.98634045568934</v>
      </c>
      <c r="L39" t="n">
        <v>67.98634045568934</v>
      </c>
      <c r="M39" t="n">
        <v>67.98634045568934</v>
      </c>
      <c r="N39" t="n">
        <v>67.98634045568934</v>
      </c>
      <c r="O39" t="n">
        <v>67.98634045568934</v>
      </c>
      <c r="P39" t="n">
        <v>67.98634045568934</v>
      </c>
      <c r="Q39" t="n">
        <v>67.98634045568934</v>
      </c>
      <c r="R39" t="n">
        <v>67.98634045568934</v>
      </c>
      <c r="S39" t="n">
        <v>67.98634045568934</v>
      </c>
      <c r="T39" t="n">
        <v>67.98634045568934</v>
      </c>
      <c r="U39" t="n">
        <v>67.98634045568934</v>
      </c>
      <c r="V39" t="n">
        <v>67.98634045568934</v>
      </c>
      <c r="W39" t="n">
        <v>67.98634045568934</v>
      </c>
      <c r="X39" t="n">
        <v>67.98634045568934</v>
      </c>
      <c r="Y39" t="n">
        <v>67.98634045568934</v>
      </c>
      <c r="Z39" t="n">
        <v>67.98634045568934</v>
      </c>
    </row>
    <row r="40">
      <c r="A40" t="inlineStr">
        <is>
          <t>Commercial</t>
        </is>
      </c>
      <c r="B40" t="inlineStr">
        <is>
          <t>Municipal</t>
        </is>
      </c>
      <c r="D40" t="inlineStr">
        <is>
          <t>Old</t>
        </is>
      </c>
      <c r="E40" t="inlineStr">
        <is>
          <t>Lighting</t>
        </is>
      </c>
      <c r="F40" t="inlineStr">
        <is>
          <t>COMMUNOldLT</t>
        </is>
      </c>
      <c r="G40" t="inlineStr">
        <is>
          <t>Mlm</t>
        </is>
      </c>
      <c r="H40" t="inlineStr">
        <is>
          <t>Mlm / Mm2</t>
        </is>
      </c>
      <c r="I40" t="n">
        <v>204.1704132031028</v>
      </c>
      <c r="J40" t="n">
        <v>204.1704132031028</v>
      </c>
      <c r="K40" t="n">
        <v>204.1704132031028</v>
      </c>
      <c r="L40" t="n">
        <v>204.1704132031028</v>
      </c>
      <c r="M40" t="n">
        <v>204.1704132031028</v>
      </c>
      <c r="N40" t="n">
        <v>204.1704132031028</v>
      </c>
      <c r="O40" t="n">
        <v>204.1704132031028</v>
      </c>
      <c r="P40" t="n">
        <v>204.1704132031028</v>
      </c>
      <c r="Q40" t="n">
        <v>204.1704132031028</v>
      </c>
      <c r="R40" t="n">
        <v>204.1704132031028</v>
      </c>
      <c r="S40" t="n">
        <v>204.1704132031028</v>
      </c>
      <c r="T40" t="n">
        <v>204.1704132031028</v>
      </c>
      <c r="U40" t="n">
        <v>204.1704132031028</v>
      </c>
      <c r="V40" t="n">
        <v>204.1704132031028</v>
      </c>
      <c r="W40" t="n">
        <v>204.1704132031028</v>
      </c>
      <c r="X40" t="n">
        <v>204.1704132031028</v>
      </c>
      <c r="Y40" t="n">
        <v>204.1704132031028</v>
      </c>
      <c r="Z40" t="n">
        <v>204.1704132031028</v>
      </c>
    </row>
    <row r="41">
      <c r="A41" t="inlineStr">
        <is>
          <t>Commercial</t>
        </is>
      </c>
      <c r="B41" t="inlineStr">
        <is>
          <t>Other</t>
        </is>
      </c>
      <c r="D41" t="inlineStr">
        <is>
          <t>Old</t>
        </is>
      </c>
      <c r="E41" t="inlineStr">
        <is>
          <t>Lighting</t>
        </is>
      </c>
      <c r="F41" t="inlineStr">
        <is>
          <t>COMOTHOldLT</t>
        </is>
      </c>
      <c r="G41" t="inlineStr">
        <is>
          <t>Mlm</t>
        </is>
      </c>
      <c r="H41" t="inlineStr">
        <is>
          <t>Mlm / Mm2</t>
        </is>
      </c>
      <c r="I41" t="n">
        <v>122.4677140917715</v>
      </c>
      <c r="J41" t="n">
        <v>122.4677140917715</v>
      </c>
      <c r="K41" t="n">
        <v>122.4677140917715</v>
      </c>
      <c r="L41" t="n">
        <v>122.4677140917715</v>
      </c>
      <c r="M41" t="n">
        <v>122.4677140917715</v>
      </c>
      <c r="N41" t="n">
        <v>122.4677140917715</v>
      </c>
      <c r="O41" t="n">
        <v>122.4677140917715</v>
      </c>
      <c r="P41" t="n">
        <v>122.4677140917715</v>
      </c>
      <c r="Q41" t="n">
        <v>122.4677140917715</v>
      </c>
      <c r="R41" t="n">
        <v>122.4677140917715</v>
      </c>
      <c r="S41" t="n">
        <v>122.4677140917715</v>
      </c>
      <c r="T41" t="n">
        <v>122.4677140917715</v>
      </c>
      <c r="U41" t="n">
        <v>122.4677140917715</v>
      </c>
      <c r="V41" t="n">
        <v>122.4677140917715</v>
      </c>
      <c r="W41" t="n">
        <v>122.4677140917715</v>
      </c>
      <c r="X41" t="n">
        <v>122.4677140917715</v>
      </c>
      <c r="Y41" t="n">
        <v>122.4677140917715</v>
      </c>
      <c r="Z41" t="n">
        <v>122.4677140917715</v>
      </c>
    </row>
    <row r="42">
      <c r="A42" t="inlineStr">
        <is>
          <t>Commercial</t>
        </is>
      </c>
      <c r="B42" t="inlineStr">
        <is>
          <t>Hotel</t>
        </is>
      </c>
      <c r="D42" t="inlineStr">
        <is>
          <t>Old</t>
        </is>
      </c>
      <c r="E42" t="inlineStr">
        <is>
          <t>Cooking</t>
        </is>
      </c>
      <c r="F42" t="inlineStr">
        <is>
          <t>COMHOTOldCK</t>
        </is>
      </c>
      <c r="G42" t="inlineStr">
        <is>
          <t>TJ</t>
        </is>
      </c>
      <c r="H42" t="inlineStr">
        <is>
          <t>TJ / Mm2</t>
        </is>
      </c>
      <c r="I42" t="n">
        <v>100.8477513430929</v>
      </c>
      <c r="J42" t="n">
        <v>100.8477513430929</v>
      </c>
      <c r="K42" t="n">
        <v>100.8477513430929</v>
      </c>
      <c r="L42" t="n">
        <v>100.8477513430929</v>
      </c>
      <c r="M42" t="n">
        <v>100.8477513430929</v>
      </c>
      <c r="N42" t="n">
        <v>100.8477513430929</v>
      </c>
      <c r="O42" t="n">
        <v>100.8477513430929</v>
      </c>
      <c r="P42" t="n">
        <v>100.8477513430929</v>
      </c>
      <c r="Q42" t="n">
        <v>100.8477513430929</v>
      </c>
      <c r="R42" t="n">
        <v>100.8477513430929</v>
      </c>
      <c r="S42" t="n">
        <v>100.8477513430929</v>
      </c>
      <c r="T42" t="n">
        <v>100.8477513430929</v>
      </c>
      <c r="U42" t="n">
        <v>100.8477513430929</v>
      </c>
      <c r="V42" t="n">
        <v>100.8477513430929</v>
      </c>
      <c r="W42" t="n">
        <v>100.8477513430929</v>
      </c>
      <c r="X42" t="n">
        <v>100.8477513430929</v>
      </c>
      <c r="Y42" t="n">
        <v>100.8477513430929</v>
      </c>
      <c r="Z42" t="n">
        <v>100.8477513430929</v>
      </c>
    </row>
    <row r="43">
      <c r="A43" t="inlineStr">
        <is>
          <t>Commercial</t>
        </is>
      </c>
      <c r="B43" t="inlineStr">
        <is>
          <t>Retail</t>
        </is>
      </c>
      <c r="D43" t="inlineStr">
        <is>
          <t>Old</t>
        </is>
      </c>
      <c r="E43" t="inlineStr">
        <is>
          <t>Cooking</t>
        </is>
      </c>
      <c r="F43" t="inlineStr">
        <is>
          <t>COMRETOldCK</t>
        </is>
      </c>
      <c r="G43" t="inlineStr">
        <is>
          <t>TJ</t>
        </is>
      </c>
      <c r="H43" t="inlineStr">
        <is>
          <t>TJ / Mm2</t>
        </is>
      </c>
      <c r="I43" t="n">
        <v>52.24054086796841</v>
      </c>
      <c r="J43" t="n">
        <v>52.24054086796841</v>
      </c>
      <c r="K43" t="n">
        <v>52.24054086796841</v>
      </c>
      <c r="L43" t="n">
        <v>52.24054086796841</v>
      </c>
      <c r="M43" t="n">
        <v>52.24054086796841</v>
      </c>
      <c r="N43" t="n">
        <v>52.24054086796841</v>
      </c>
      <c r="O43" t="n">
        <v>52.24054086796841</v>
      </c>
      <c r="P43" t="n">
        <v>52.24054086796841</v>
      </c>
      <c r="Q43" t="n">
        <v>52.24054086796841</v>
      </c>
      <c r="R43" t="n">
        <v>52.24054086796841</v>
      </c>
      <c r="S43" t="n">
        <v>52.24054086796841</v>
      </c>
      <c r="T43" t="n">
        <v>52.24054086796841</v>
      </c>
      <c r="U43" t="n">
        <v>52.24054086796841</v>
      </c>
      <c r="V43" t="n">
        <v>52.24054086796841</v>
      </c>
      <c r="W43" t="n">
        <v>52.24054086796841</v>
      </c>
      <c r="X43" t="n">
        <v>52.24054086796841</v>
      </c>
      <c r="Y43" t="n">
        <v>52.24054086796841</v>
      </c>
      <c r="Z43" t="n">
        <v>52.24054086796841</v>
      </c>
    </row>
    <row r="44">
      <c r="A44" t="inlineStr">
        <is>
          <t>Commercial</t>
        </is>
      </c>
      <c r="B44" t="inlineStr">
        <is>
          <t>Office</t>
        </is>
      </c>
      <c r="D44" t="inlineStr">
        <is>
          <t>Old</t>
        </is>
      </c>
      <c r="E44" t="inlineStr">
        <is>
          <t>Cooking</t>
        </is>
      </c>
      <c r="F44" t="inlineStr">
        <is>
          <t>COMOFFOldCK</t>
        </is>
      </c>
      <c r="G44" t="inlineStr">
        <is>
          <t>TJ</t>
        </is>
      </c>
      <c r="H44" t="inlineStr">
        <is>
          <t>TJ / Mm2</t>
        </is>
      </c>
      <c r="I44" t="n">
        <v>26.95323041190461</v>
      </c>
      <c r="J44" t="n">
        <v>26.95323041190461</v>
      </c>
      <c r="K44" t="n">
        <v>26.95323041190461</v>
      </c>
      <c r="L44" t="n">
        <v>26.95323041190461</v>
      </c>
      <c r="M44" t="n">
        <v>26.95323041190461</v>
      </c>
      <c r="N44" t="n">
        <v>26.95323041190461</v>
      </c>
      <c r="O44" t="n">
        <v>26.95323041190461</v>
      </c>
      <c r="P44" t="n">
        <v>26.95323041190461</v>
      </c>
      <c r="Q44" t="n">
        <v>26.95323041190461</v>
      </c>
      <c r="R44" t="n">
        <v>26.95323041190461</v>
      </c>
      <c r="S44" t="n">
        <v>26.95323041190461</v>
      </c>
      <c r="T44" t="n">
        <v>26.95323041190461</v>
      </c>
      <c r="U44" t="n">
        <v>26.95323041190461</v>
      </c>
      <c r="V44" t="n">
        <v>26.95323041190461</v>
      </c>
      <c r="W44" t="n">
        <v>26.95323041190461</v>
      </c>
      <c r="X44" t="n">
        <v>26.95323041190461</v>
      </c>
      <c r="Y44" t="n">
        <v>26.95323041190461</v>
      </c>
      <c r="Z44" t="n">
        <v>26.95323041190461</v>
      </c>
    </row>
    <row r="45">
      <c r="A45" t="inlineStr">
        <is>
          <t>Commercial</t>
        </is>
      </c>
      <c r="B45" t="inlineStr">
        <is>
          <t>Hospital</t>
        </is>
      </c>
      <c r="D45" t="inlineStr">
        <is>
          <t>Old</t>
        </is>
      </c>
      <c r="E45" t="inlineStr">
        <is>
          <t>Cooking</t>
        </is>
      </c>
      <c r="F45" t="inlineStr">
        <is>
          <t>COMHOPOldCK</t>
        </is>
      </c>
      <c r="G45" t="inlineStr">
        <is>
          <t>TJ</t>
        </is>
      </c>
      <c r="H45" t="inlineStr">
        <is>
          <t>TJ / Mm2</t>
        </is>
      </c>
      <c r="I45" t="n">
        <v>84.80109822859363</v>
      </c>
      <c r="J45" t="n">
        <v>84.80109822859363</v>
      </c>
      <c r="K45" t="n">
        <v>84.80109822859363</v>
      </c>
      <c r="L45" t="n">
        <v>84.80109822859363</v>
      </c>
      <c r="M45" t="n">
        <v>84.80109822859363</v>
      </c>
      <c r="N45" t="n">
        <v>84.80109822859363</v>
      </c>
      <c r="O45" t="n">
        <v>84.80109822859363</v>
      </c>
      <c r="P45" t="n">
        <v>84.80109822859363</v>
      </c>
      <c r="Q45" t="n">
        <v>84.80109822859363</v>
      </c>
      <c r="R45" t="n">
        <v>84.80109822859363</v>
      </c>
      <c r="S45" t="n">
        <v>84.80109822859363</v>
      </c>
      <c r="T45" t="n">
        <v>84.80109822859363</v>
      </c>
      <c r="U45" t="n">
        <v>84.80109822859363</v>
      </c>
      <c r="V45" t="n">
        <v>84.80109822859363</v>
      </c>
      <c r="W45" t="n">
        <v>84.80109822859363</v>
      </c>
      <c r="X45" t="n">
        <v>84.80109822859363</v>
      </c>
      <c r="Y45" t="n">
        <v>84.80109822859363</v>
      </c>
      <c r="Z45" t="n">
        <v>84.80109822859363</v>
      </c>
    </row>
    <row r="46">
      <c r="A46" t="inlineStr">
        <is>
          <t>Commercial</t>
        </is>
      </c>
      <c r="B46" t="inlineStr">
        <is>
          <t>Educationnal</t>
        </is>
      </c>
      <c r="D46" t="inlineStr">
        <is>
          <t>Old</t>
        </is>
      </c>
      <c r="E46" t="inlineStr">
        <is>
          <t>Cooking</t>
        </is>
      </c>
      <c r="F46" t="inlineStr">
        <is>
          <t>COMEDUOldCK</t>
        </is>
      </c>
      <c r="G46" t="inlineStr">
        <is>
          <t>TJ</t>
        </is>
      </c>
      <c r="H46" t="inlineStr">
        <is>
          <t>TJ / Mm2</t>
        </is>
      </c>
      <c r="I46" t="n">
        <v>20.11969853191011</v>
      </c>
      <c r="J46" t="n">
        <v>20.11969853191011</v>
      </c>
      <c r="K46" t="n">
        <v>20.11969853191011</v>
      </c>
      <c r="L46" t="n">
        <v>20.11969853191011</v>
      </c>
      <c r="M46" t="n">
        <v>20.11969853191011</v>
      </c>
      <c r="N46" t="n">
        <v>20.11969853191011</v>
      </c>
      <c r="O46" t="n">
        <v>20.11969853191011</v>
      </c>
      <c r="P46" t="n">
        <v>20.11969853191011</v>
      </c>
      <c r="Q46" t="n">
        <v>20.11969853191011</v>
      </c>
      <c r="R46" t="n">
        <v>20.11969853191011</v>
      </c>
      <c r="S46" t="n">
        <v>20.11969853191011</v>
      </c>
      <c r="T46" t="n">
        <v>20.11969853191011</v>
      </c>
      <c r="U46" t="n">
        <v>20.11969853191011</v>
      </c>
      <c r="V46" t="n">
        <v>20.11969853191011</v>
      </c>
      <c r="W46" t="n">
        <v>20.11969853191011</v>
      </c>
      <c r="X46" t="n">
        <v>20.11969853191011</v>
      </c>
      <c r="Y46" t="n">
        <v>20.11969853191011</v>
      </c>
      <c r="Z46" t="n">
        <v>20.11969853191011</v>
      </c>
      <c r="AA46" t="n">
        <v>1.236880454277102</v>
      </c>
    </row>
    <row r="47">
      <c r="A47" t="inlineStr">
        <is>
          <t>Commercial</t>
        </is>
      </c>
      <c r="B47" t="inlineStr">
        <is>
          <t>Warehouse</t>
        </is>
      </c>
      <c r="D47" t="inlineStr">
        <is>
          <t>Old</t>
        </is>
      </c>
      <c r="E47" t="inlineStr">
        <is>
          <t>Cooking</t>
        </is>
      </c>
      <c r="F47" t="inlineStr">
        <is>
          <t>COMWAROldCK</t>
        </is>
      </c>
      <c r="G47" t="inlineStr">
        <is>
          <t>TJ</t>
        </is>
      </c>
      <c r="H47" t="inlineStr">
        <is>
          <t>TJ / Mm2</t>
        </is>
      </c>
      <c r="I47" t="n">
        <v>0.6596777133128133</v>
      </c>
      <c r="J47" t="n">
        <v>0.6596777133128133</v>
      </c>
      <c r="K47" t="n">
        <v>0.6596777133128133</v>
      </c>
      <c r="L47" t="n">
        <v>0.6596777133128133</v>
      </c>
      <c r="M47" t="n">
        <v>0.6596777133128133</v>
      </c>
      <c r="N47" t="n">
        <v>0.6596777133128133</v>
      </c>
      <c r="O47" t="n">
        <v>0.6596777133128133</v>
      </c>
      <c r="P47" t="n">
        <v>0.6596777133128133</v>
      </c>
      <c r="Q47" t="n">
        <v>0.6596777133128133</v>
      </c>
      <c r="R47" t="n">
        <v>0.6596777133128133</v>
      </c>
      <c r="S47" t="n">
        <v>0.6596777133128133</v>
      </c>
      <c r="T47" t="n">
        <v>0.6596777133128133</v>
      </c>
      <c r="U47" t="n">
        <v>0.6596777133128133</v>
      </c>
      <c r="V47" t="n">
        <v>0.6596777133128133</v>
      </c>
      <c r="W47" t="n">
        <v>0.6596777133128133</v>
      </c>
      <c r="X47" t="n">
        <v>0.6596777133128133</v>
      </c>
      <c r="Y47" t="n">
        <v>0.6596777133128133</v>
      </c>
      <c r="Z47" t="n">
        <v>0.6596777133128133</v>
      </c>
    </row>
    <row r="48">
      <c r="A48" t="inlineStr">
        <is>
          <t>Commercial</t>
        </is>
      </c>
      <c r="B48" t="inlineStr">
        <is>
          <t>Municipal</t>
        </is>
      </c>
      <c r="D48" t="inlineStr">
        <is>
          <t>Old</t>
        </is>
      </c>
      <c r="E48" t="inlineStr">
        <is>
          <t>Cooking</t>
        </is>
      </c>
      <c r="F48" t="inlineStr">
        <is>
          <t>COMMUNOldCK</t>
        </is>
      </c>
      <c r="G48" t="inlineStr">
        <is>
          <t>TJ</t>
        </is>
      </c>
      <c r="H48" t="inlineStr">
        <is>
          <t>TJ / Mm2</t>
        </is>
      </c>
      <c r="I48" t="n">
        <v>45.2230501093382</v>
      </c>
      <c r="J48" t="n">
        <v>45.2230501093382</v>
      </c>
      <c r="K48" t="n">
        <v>45.2230501093382</v>
      </c>
      <c r="L48" t="n">
        <v>45.2230501093382</v>
      </c>
      <c r="M48" t="n">
        <v>45.2230501093382</v>
      </c>
      <c r="N48" t="n">
        <v>45.2230501093382</v>
      </c>
      <c r="O48" t="n">
        <v>45.2230501093382</v>
      </c>
      <c r="P48" t="n">
        <v>45.2230501093382</v>
      </c>
      <c r="Q48" t="n">
        <v>45.2230501093382</v>
      </c>
      <c r="R48" t="n">
        <v>45.2230501093382</v>
      </c>
      <c r="S48" t="n">
        <v>45.2230501093382</v>
      </c>
      <c r="T48" t="n">
        <v>45.2230501093382</v>
      </c>
      <c r="U48" t="n">
        <v>45.2230501093382</v>
      </c>
      <c r="V48" t="n">
        <v>45.2230501093382</v>
      </c>
      <c r="W48" t="n">
        <v>45.2230501093382</v>
      </c>
      <c r="X48" t="n">
        <v>45.2230501093382</v>
      </c>
      <c r="Y48" t="n">
        <v>45.2230501093382</v>
      </c>
      <c r="Z48" t="n">
        <v>45.2230501093382</v>
      </c>
    </row>
    <row r="49">
      <c r="A49" t="inlineStr">
        <is>
          <t>Commercial</t>
        </is>
      </c>
      <c r="B49" t="inlineStr">
        <is>
          <t>Other</t>
        </is>
      </c>
      <c r="D49" t="inlineStr">
        <is>
          <t>Old</t>
        </is>
      </c>
      <c r="E49" t="inlineStr">
        <is>
          <t>Cooking</t>
        </is>
      </c>
      <c r="F49" t="inlineStr">
        <is>
          <t>COMOTHOldCK</t>
        </is>
      </c>
      <c r="G49" t="inlineStr">
        <is>
          <t>TJ</t>
        </is>
      </c>
      <c r="H49" t="inlineStr">
        <is>
          <t>TJ / Mm2</t>
        </is>
      </c>
      <c r="I49" t="n">
        <v>14.95665517922422</v>
      </c>
      <c r="J49" t="n">
        <v>14.95665517922422</v>
      </c>
      <c r="K49" t="n">
        <v>14.95665517922422</v>
      </c>
      <c r="L49" t="n">
        <v>14.95665517922422</v>
      </c>
      <c r="M49" t="n">
        <v>14.95665517922422</v>
      </c>
      <c r="N49" t="n">
        <v>14.95665517922422</v>
      </c>
      <c r="O49" t="n">
        <v>14.95665517922422</v>
      </c>
      <c r="P49" t="n">
        <v>14.95665517922422</v>
      </c>
      <c r="Q49" t="n">
        <v>14.95665517922422</v>
      </c>
      <c r="R49" t="n">
        <v>14.95665517922422</v>
      </c>
      <c r="S49" t="n">
        <v>14.95665517922422</v>
      </c>
      <c r="T49" t="n">
        <v>14.95665517922422</v>
      </c>
      <c r="U49" t="n">
        <v>14.95665517922422</v>
      </c>
      <c r="V49" t="n">
        <v>14.95665517922422</v>
      </c>
      <c r="W49" t="n">
        <v>14.95665517922422</v>
      </c>
      <c r="X49" t="n">
        <v>14.95665517922422</v>
      </c>
      <c r="Y49" t="n">
        <v>14.95665517922422</v>
      </c>
      <c r="Z49" t="n">
        <v>14.95665517922422</v>
      </c>
    </row>
    <row r="50">
      <c r="A50" t="inlineStr">
        <is>
          <t>Commercial</t>
        </is>
      </c>
      <c r="B50" t="inlineStr">
        <is>
          <t>Hotel</t>
        </is>
      </c>
      <c r="D50" t="inlineStr">
        <is>
          <t>Old</t>
        </is>
      </c>
      <c r="E50" t="inlineStr">
        <is>
          <t>Refrigeration</t>
        </is>
      </c>
      <c r="F50" t="inlineStr">
        <is>
          <t>COMHOTOldRE</t>
        </is>
      </c>
      <c r="G50" t="inlineStr">
        <is>
          <t>TJ</t>
        </is>
      </c>
      <c r="H50" t="inlineStr">
        <is>
          <t>TJ / Mm2</t>
        </is>
      </c>
      <c r="I50" t="n">
        <v>30.09599080362027</v>
      </c>
      <c r="J50" t="n">
        <v>30.09599080362027</v>
      </c>
      <c r="K50" t="n">
        <v>30.09599080362027</v>
      </c>
      <c r="L50" t="n">
        <v>30.09599080362027</v>
      </c>
      <c r="M50" t="n">
        <v>30.09599080362027</v>
      </c>
      <c r="N50" t="n">
        <v>30.09599080362027</v>
      </c>
      <c r="O50" t="n">
        <v>30.09599080362027</v>
      </c>
      <c r="P50" t="n">
        <v>30.09599080362027</v>
      </c>
      <c r="Q50" t="n">
        <v>30.09599080362027</v>
      </c>
      <c r="R50" t="n">
        <v>30.09599080362027</v>
      </c>
      <c r="S50" t="n">
        <v>30.09599080362027</v>
      </c>
      <c r="T50" t="n">
        <v>30.09599080362027</v>
      </c>
      <c r="U50" t="n">
        <v>30.09599080362027</v>
      </c>
      <c r="V50" t="n">
        <v>30.09599080362027</v>
      </c>
      <c r="W50" t="n">
        <v>30.09599080362027</v>
      </c>
      <c r="X50" t="n">
        <v>30.09599080362027</v>
      </c>
      <c r="Y50" t="n">
        <v>30.09599080362027</v>
      </c>
      <c r="Z50" t="n">
        <v>30.09599080362027</v>
      </c>
    </row>
    <row r="51">
      <c r="A51" t="inlineStr">
        <is>
          <t>Commercial</t>
        </is>
      </c>
      <c r="B51" t="inlineStr">
        <is>
          <t>Retail</t>
        </is>
      </c>
      <c r="D51" t="inlineStr">
        <is>
          <t>Old</t>
        </is>
      </c>
      <c r="E51" t="inlineStr">
        <is>
          <t>Refrigeration</t>
        </is>
      </c>
      <c r="F51" t="inlineStr">
        <is>
          <t>COMRETOldRE</t>
        </is>
      </c>
      <c r="G51" t="inlineStr">
        <is>
          <t>TJ</t>
        </is>
      </c>
      <c r="H51" t="inlineStr">
        <is>
          <t>TJ / Mm2</t>
        </is>
      </c>
      <c r="I51" t="n">
        <v>27.99116858415247</v>
      </c>
      <c r="J51" t="n">
        <v>27.99116858415247</v>
      </c>
      <c r="K51" t="n">
        <v>27.99116858415247</v>
      </c>
      <c r="L51" t="n">
        <v>27.99116858415247</v>
      </c>
      <c r="M51" t="n">
        <v>27.99116858415247</v>
      </c>
      <c r="N51" t="n">
        <v>27.99116858415247</v>
      </c>
      <c r="O51" t="n">
        <v>27.99116858415247</v>
      </c>
      <c r="P51" t="n">
        <v>27.99116858415247</v>
      </c>
      <c r="Q51" t="n">
        <v>27.99116858415247</v>
      </c>
      <c r="R51" t="n">
        <v>27.99116858415247</v>
      </c>
      <c r="S51" t="n">
        <v>27.99116858415247</v>
      </c>
      <c r="T51" t="n">
        <v>27.99116858415247</v>
      </c>
      <c r="U51" t="n">
        <v>27.99116858415247</v>
      </c>
      <c r="V51" t="n">
        <v>27.99116858415247</v>
      </c>
      <c r="W51" t="n">
        <v>27.99116858415247</v>
      </c>
      <c r="X51" t="n">
        <v>27.99116858415247</v>
      </c>
      <c r="Y51" t="n">
        <v>27.99116858415247</v>
      </c>
      <c r="Z51" t="n">
        <v>27.99116858415247</v>
      </c>
    </row>
    <row r="52">
      <c r="A52" t="inlineStr">
        <is>
          <t>Commercial</t>
        </is>
      </c>
      <c r="B52" t="inlineStr">
        <is>
          <t>Office</t>
        </is>
      </c>
      <c r="D52" t="inlineStr">
        <is>
          <t>Old</t>
        </is>
      </c>
      <c r="E52" t="inlineStr">
        <is>
          <t>Refrigeration</t>
        </is>
      </c>
      <c r="F52" t="inlineStr">
        <is>
          <t>COMOFFOldRE</t>
        </is>
      </c>
      <c r="G52" t="inlineStr">
        <is>
          <t>TJ</t>
        </is>
      </c>
      <c r="H52" t="inlineStr">
        <is>
          <t>TJ / Mm2</t>
        </is>
      </c>
      <c r="I52" t="n">
        <v>4.481459638992964</v>
      </c>
      <c r="J52" t="n">
        <v>4.481459638992964</v>
      </c>
      <c r="K52" t="n">
        <v>4.481459638992964</v>
      </c>
      <c r="L52" t="n">
        <v>4.481459638992964</v>
      </c>
      <c r="M52" t="n">
        <v>4.481459638992964</v>
      </c>
      <c r="N52" t="n">
        <v>4.481459638992964</v>
      </c>
      <c r="O52" t="n">
        <v>4.481459638992964</v>
      </c>
      <c r="P52" t="n">
        <v>4.481459638992964</v>
      </c>
      <c r="Q52" t="n">
        <v>4.481459638992964</v>
      </c>
      <c r="R52" t="n">
        <v>4.481459638992964</v>
      </c>
      <c r="S52" t="n">
        <v>4.481459638992964</v>
      </c>
      <c r="T52" t="n">
        <v>4.481459638992964</v>
      </c>
      <c r="U52" t="n">
        <v>4.481459638992964</v>
      </c>
      <c r="V52" t="n">
        <v>4.481459638992964</v>
      </c>
      <c r="W52" t="n">
        <v>4.481459638992964</v>
      </c>
      <c r="X52" t="n">
        <v>4.481459638992964</v>
      </c>
      <c r="Y52" t="n">
        <v>4.481459638992964</v>
      </c>
      <c r="Z52" t="n">
        <v>4.481459638992964</v>
      </c>
    </row>
    <row r="53">
      <c r="A53" t="inlineStr">
        <is>
          <t>Commercial</t>
        </is>
      </c>
      <c r="B53" t="inlineStr">
        <is>
          <t>Hospital</t>
        </is>
      </c>
      <c r="D53" t="inlineStr">
        <is>
          <t>Old</t>
        </is>
      </c>
      <c r="E53" t="inlineStr">
        <is>
          <t>Refrigeration</t>
        </is>
      </c>
      <c r="F53" t="inlineStr">
        <is>
          <t>COMHOPOldRE</t>
        </is>
      </c>
      <c r="G53" t="inlineStr">
        <is>
          <t>TJ</t>
        </is>
      </c>
      <c r="H53" t="inlineStr">
        <is>
          <t>TJ / Mm2</t>
        </is>
      </c>
      <c r="I53" t="n">
        <v>21.96917087923601</v>
      </c>
      <c r="J53" t="n">
        <v>21.96917087923601</v>
      </c>
      <c r="K53" t="n">
        <v>21.96917087923601</v>
      </c>
      <c r="L53" t="n">
        <v>21.96917087923601</v>
      </c>
      <c r="M53" t="n">
        <v>21.96917087923601</v>
      </c>
      <c r="N53" t="n">
        <v>21.96917087923601</v>
      </c>
      <c r="O53" t="n">
        <v>21.96917087923601</v>
      </c>
      <c r="P53" t="n">
        <v>21.96917087923601</v>
      </c>
      <c r="Q53" t="n">
        <v>21.96917087923601</v>
      </c>
      <c r="R53" t="n">
        <v>21.96917087923601</v>
      </c>
      <c r="S53" t="n">
        <v>21.96917087923601</v>
      </c>
      <c r="T53" t="n">
        <v>21.96917087923601</v>
      </c>
      <c r="U53" t="n">
        <v>21.96917087923601</v>
      </c>
      <c r="V53" t="n">
        <v>21.96917087923601</v>
      </c>
      <c r="W53" t="n">
        <v>21.96917087923601</v>
      </c>
      <c r="X53" t="n">
        <v>21.96917087923601</v>
      </c>
      <c r="Y53" t="n">
        <v>21.96917087923601</v>
      </c>
      <c r="Z53" t="n">
        <v>21.96917087923601</v>
      </c>
    </row>
    <row r="54">
      <c r="A54" t="inlineStr">
        <is>
          <t>Commercial</t>
        </is>
      </c>
      <c r="B54" t="inlineStr">
        <is>
          <t>Educationnal</t>
        </is>
      </c>
      <c r="D54" t="inlineStr">
        <is>
          <t>Old</t>
        </is>
      </c>
      <c r="E54" t="inlineStr">
        <is>
          <t>Refrigeration</t>
        </is>
      </c>
      <c r="F54" t="inlineStr">
        <is>
          <t>COMEDUOldRE</t>
        </is>
      </c>
      <c r="G54" t="inlineStr">
        <is>
          <t>TJ</t>
        </is>
      </c>
      <c r="H54" t="inlineStr">
        <is>
          <t>TJ / Mm2</t>
        </is>
      </c>
      <c r="I54" t="n">
        <v>11.76597180868916</v>
      </c>
      <c r="J54" t="n">
        <v>11.76597180868916</v>
      </c>
      <c r="K54" t="n">
        <v>11.76597180868916</v>
      </c>
      <c r="L54" t="n">
        <v>11.76597180868916</v>
      </c>
      <c r="M54" t="n">
        <v>11.76597180868916</v>
      </c>
      <c r="N54" t="n">
        <v>11.76597180868916</v>
      </c>
      <c r="O54" t="n">
        <v>11.76597180868916</v>
      </c>
      <c r="P54" t="n">
        <v>11.76597180868916</v>
      </c>
      <c r="Q54" t="n">
        <v>11.76597180868916</v>
      </c>
      <c r="R54" t="n">
        <v>11.76597180868916</v>
      </c>
      <c r="S54" t="n">
        <v>11.76597180868916</v>
      </c>
      <c r="T54" t="n">
        <v>11.76597180868916</v>
      </c>
      <c r="U54" t="n">
        <v>11.76597180868916</v>
      </c>
      <c r="V54" t="n">
        <v>11.76597180868916</v>
      </c>
      <c r="W54" t="n">
        <v>11.76597180868916</v>
      </c>
      <c r="X54" t="n">
        <v>11.76597180868916</v>
      </c>
      <c r="Y54" t="n">
        <v>11.76597180868916</v>
      </c>
      <c r="Z54" t="n">
        <v>11.76597180868916</v>
      </c>
    </row>
    <row r="55">
      <c r="A55" t="inlineStr">
        <is>
          <t>Commercial</t>
        </is>
      </c>
      <c r="B55" t="inlineStr">
        <is>
          <t>Warehouse</t>
        </is>
      </c>
      <c r="D55" t="inlineStr">
        <is>
          <t>Old</t>
        </is>
      </c>
      <c r="E55" t="inlineStr">
        <is>
          <t>Refrigeration</t>
        </is>
      </c>
      <c r="F55" t="inlineStr">
        <is>
          <t>COMWAROldRE</t>
        </is>
      </c>
      <c r="G55" t="inlineStr">
        <is>
          <t>TJ</t>
        </is>
      </c>
      <c r="H55" t="inlineStr">
        <is>
          <t>TJ / Mm2</t>
        </is>
      </c>
      <c r="I55" t="n">
        <v>13.11152244863203</v>
      </c>
      <c r="J55" t="n">
        <v>13.11152244863203</v>
      </c>
      <c r="K55" t="n">
        <v>13.11152244863203</v>
      </c>
      <c r="L55" t="n">
        <v>13.11152244863203</v>
      </c>
      <c r="M55" t="n">
        <v>13.11152244863203</v>
      </c>
      <c r="N55" t="n">
        <v>13.11152244863203</v>
      </c>
      <c r="O55" t="n">
        <v>13.11152244863203</v>
      </c>
      <c r="P55" t="n">
        <v>13.11152244863203</v>
      </c>
      <c r="Q55" t="n">
        <v>13.11152244863203</v>
      </c>
      <c r="R55" t="n">
        <v>13.11152244863203</v>
      </c>
      <c r="S55" t="n">
        <v>13.11152244863203</v>
      </c>
      <c r="T55" t="n">
        <v>13.11152244863203</v>
      </c>
      <c r="U55" t="n">
        <v>13.11152244863203</v>
      </c>
      <c r="V55" t="n">
        <v>13.11152244863203</v>
      </c>
      <c r="W55" t="n">
        <v>13.11152244863203</v>
      </c>
      <c r="X55" t="n">
        <v>13.11152244863203</v>
      </c>
      <c r="Y55" t="n">
        <v>13.11152244863203</v>
      </c>
      <c r="Z55" t="n">
        <v>13.11152244863203</v>
      </c>
    </row>
    <row r="56">
      <c r="A56" t="inlineStr">
        <is>
          <t>Commercial</t>
        </is>
      </c>
      <c r="B56" t="inlineStr">
        <is>
          <t>Municipal</t>
        </is>
      </c>
      <c r="D56" t="inlineStr">
        <is>
          <t>Old</t>
        </is>
      </c>
      <c r="E56" t="inlineStr">
        <is>
          <t>Refrigeration</t>
        </is>
      </c>
      <c r="F56" t="inlineStr">
        <is>
          <t>COMMUNOldRE</t>
        </is>
      </c>
      <c r="G56" t="inlineStr">
        <is>
          <t>TJ</t>
        </is>
      </c>
      <c r="H56" t="inlineStr">
        <is>
          <t>TJ / Mm2</t>
        </is>
      </c>
      <c r="I56" t="n">
        <v>31.82329148716559</v>
      </c>
      <c r="J56" t="n">
        <v>31.82329148716559</v>
      </c>
      <c r="K56" t="n">
        <v>31.82329148716559</v>
      </c>
      <c r="L56" t="n">
        <v>31.82329148716559</v>
      </c>
      <c r="M56" t="n">
        <v>31.82329148716559</v>
      </c>
      <c r="N56" t="n">
        <v>31.82329148716559</v>
      </c>
      <c r="O56" t="n">
        <v>31.82329148716559</v>
      </c>
      <c r="P56" t="n">
        <v>31.82329148716559</v>
      </c>
      <c r="Q56" t="n">
        <v>31.82329148716559</v>
      </c>
      <c r="R56" t="n">
        <v>31.82329148716559</v>
      </c>
      <c r="S56" t="n">
        <v>31.82329148716559</v>
      </c>
      <c r="T56" t="n">
        <v>31.82329148716559</v>
      </c>
      <c r="U56" t="n">
        <v>31.82329148716559</v>
      </c>
      <c r="V56" t="n">
        <v>31.82329148716559</v>
      </c>
      <c r="W56" t="n">
        <v>31.82329148716559</v>
      </c>
      <c r="X56" t="n">
        <v>31.82329148716559</v>
      </c>
      <c r="Y56" t="n">
        <v>31.82329148716559</v>
      </c>
      <c r="Z56" t="n">
        <v>31.82329148716559</v>
      </c>
    </row>
    <row r="57">
      <c r="A57" t="inlineStr">
        <is>
          <t>Commercial</t>
        </is>
      </c>
      <c r="B57" t="inlineStr">
        <is>
          <t>Other</t>
        </is>
      </c>
      <c r="D57" t="inlineStr">
        <is>
          <t>Old</t>
        </is>
      </c>
      <c r="E57" t="inlineStr">
        <is>
          <t>Refrigeration</t>
        </is>
      </c>
      <c r="F57" t="inlineStr">
        <is>
          <t>COMOTHOldRE</t>
        </is>
      </c>
      <c r="G57" t="inlineStr">
        <is>
          <t>TJ</t>
        </is>
      </c>
      <c r="H57" t="inlineStr">
        <is>
          <t>TJ / Mm2</t>
        </is>
      </c>
      <c r="I57" t="n">
        <v>10.9836708632804</v>
      </c>
      <c r="J57" t="n">
        <v>10.9836708632804</v>
      </c>
      <c r="K57" t="n">
        <v>10.9836708632804</v>
      </c>
      <c r="L57" t="n">
        <v>10.9836708632804</v>
      </c>
      <c r="M57" t="n">
        <v>10.9836708632804</v>
      </c>
      <c r="N57" t="n">
        <v>10.9836708632804</v>
      </c>
      <c r="O57" t="n">
        <v>10.9836708632804</v>
      </c>
      <c r="P57" t="n">
        <v>10.9836708632804</v>
      </c>
      <c r="Q57" t="n">
        <v>10.9836708632804</v>
      </c>
      <c r="R57" t="n">
        <v>10.9836708632804</v>
      </c>
      <c r="S57" t="n">
        <v>10.9836708632804</v>
      </c>
      <c r="T57" t="n">
        <v>10.9836708632804</v>
      </c>
      <c r="U57" t="n">
        <v>10.9836708632804</v>
      </c>
      <c r="V57" t="n">
        <v>10.9836708632804</v>
      </c>
      <c r="W57" t="n">
        <v>10.9836708632804</v>
      </c>
      <c r="X57" t="n">
        <v>10.9836708632804</v>
      </c>
      <c r="Y57" t="n">
        <v>10.9836708632804</v>
      </c>
      <c r="Z57" t="n">
        <v>10.9836708632804</v>
      </c>
    </row>
    <row r="58">
      <c r="A58" t="inlineStr">
        <is>
          <t>Commercial</t>
        </is>
      </c>
      <c r="B58" t="inlineStr">
        <is>
          <t>Hotel</t>
        </is>
      </c>
      <c r="D58" t="inlineStr">
        <is>
          <t>Old</t>
        </is>
      </c>
      <c r="E58" t="inlineStr">
        <is>
          <t>Other end use</t>
        </is>
      </c>
      <c r="F58" t="inlineStr">
        <is>
          <t>COMHOTOldOE</t>
        </is>
      </c>
      <c r="G58" t="inlineStr">
        <is>
          <t>TJ</t>
        </is>
      </c>
      <c r="H58" t="inlineStr">
        <is>
          <t>TJ / Mm2</t>
        </is>
      </c>
      <c r="I58" t="n">
        <v>202.4469134280653</v>
      </c>
      <c r="J58" t="n">
        <v>202.4469134280653</v>
      </c>
      <c r="K58" t="n">
        <v>202.4469134280653</v>
      </c>
      <c r="L58" t="n">
        <v>202.4469134280653</v>
      </c>
      <c r="M58" t="n">
        <v>202.4469134280653</v>
      </c>
      <c r="N58" t="n">
        <v>202.4469134280653</v>
      </c>
      <c r="O58" t="n">
        <v>202.4469134280653</v>
      </c>
      <c r="P58" t="n">
        <v>202.4469134280653</v>
      </c>
      <c r="Q58" t="n">
        <v>202.4469134280653</v>
      </c>
      <c r="R58" t="n">
        <v>202.4469134280653</v>
      </c>
      <c r="S58" t="n">
        <v>202.4469134280653</v>
      </c>
      <c r="T58" t="n">
        <v>202.4469134280653</v>
      </c>
      <c r="U58" t="n">
        <v>202.4469134280653</v>
      </c>
      <c r="V58" t="n">
        <v>202.4469134280653</v>
      </c>
      <c r="W58" t="n">
        <v>202.4469134280653</v>
      </c>
      <c r="X58" t="n">
        <v>202.4469134280653</v>
      </c>
      <c r="Y58" t="n">
        <v>202.4469134280653</v>
      </c>
      <c r="Z58" t="n">
        <v>202.4469134280653</v>
      </c>
    </row>
    <row r="59">
      <c r="A59" t="inlineStr">
        <is>
          <t>Commercial</t>
        </is>
      </c>
      <c r="B59" t="inlineStr">
        <is>
          <t>Retail</t>
        </is>
      </c>
      <c r="D59" t="inlineStr">
        <is>
          <t>Old</t>
        </is>
      </c>
      <c r="E59" t="inlineStr">
        <is>
          <t>Other end use</t>
        </is>
      </c>
      <c r="F59" t="inlineStr">
        <is>
          <t>COMRETOldOE</t>
        </is>
      </c>
      <c r="G59" t="inlineStr">
        <is>
          <t>TJ</t>
        </is>
      </c>
      <c r="H59" t="inlineStr">
        <is>
          <t>TJ / Mm2</t>
        </is>
      </c>
      <c r="I59" t="n">
        <v>63.43649383991544</v>
      </c>
      <c r="J59" t="n">
        <v>63.43649383991544</v>
      </c>
      <c r="K59" t="n">
        <v>63.43649383991544</v>
      </c>
      <c r="L59" t="n">
        <v>63.43649383991544</v>
      </c>
      <c r="M59" t="n">
        <v>63.43649383991544</v>
      </c>
      <c r="N59" t="n">
        <v>63.43649383991544</v>
      </c>
      <c r="O59" t="n">
        <v>63.43649383991544</v>
      </c>
      <c r="P59" t="n">
        <v>63.43649383991544</v>
      </c>
      <c r="Q59" t="n">
        <v>63.43649383991544</v>
      </c>
      <c r="R59" t="n">
        <v>63.43649383991544</v>
      </c>
      <c r="S59" t="n">
        <v>63.43649383991544</v>
      </c>
      <c r="T59" t="n">
        <v>63.43649383991544</v>
      </c>
      <c r="U59" t="n">
        <v>63.43649383991544</v>
      </c>
      <c r="V59" t="n">
        <v>63.43649383991544</v>
      </c>
      <c r="W59" t="n">
        <v>63.43649383991544</v>
      </c>
      <c r="X59" t="n">
        <v>63.43649383991544</v>
      </c>
      <c r="Y59" t="n">
        <v>63.43649383991544</v>
      </c>
      <c r="Z59" t="n">
        <v>63.43649383991544</v>
      </c>
    </row>
    <row r="60">
      <c r="A60" t="inlineStr">
        <is>
          <t>Commercial</t>
        </is>
      </c>
      <c r="B60" t="inlineStr">
        <is>
          <t>Office</t>
        </is>
      </c>
      <c r="D60" t="inlineStr">
        <is>
          <t>Old</t>
        </is>
      </c>
      <c r="E60" t="inlineStr">
        <is>
          <t>Other end use</t>
        </is>
      </c>
      <c r="F60" t="inlineStr">
        <is>
          <t>COMOFFOldOE</t>
        </is>
      </c>
      <c r="G60" t="inlineStr">
        <is>
          <t>TJ</t>
        </is>
      </c>
      <c r="H60" t="inlineStr">
        <is>
          <t>TJ / Mm2</t>
        </is>
      </c>
      <c r="I60" t="n">
        <v>117.1291455966903</v>
      </c>
      <c r="J60" t="n">
        <v>117.1291455966903</v>
      </c>
      <c r="K60" t="n">
        <v>117.1291455966903</v>
      </c>
      <c r="L60" t="n">
        <v>117.1291455966903</v>
      </c>
      <c r="M60" t="n">
        <v>117.1291455966903</v>
      </c>
      <c r="N60" t="n">
        <v>117.1291455966903</v>
      </c>
      <c r="O60" t="n">
        <v>117.1291455966903</v>
      </c>
      <c r="P60" t="n">
        <v>117.1291455966903</v>
      </c>
      <c r="Q60" t="n">
        <v>117.1291455966903</v>
      </c>
      <c r="R60" t="n">
        <v>117.1291455966903</v>
      </c>
      <c r="S60" t="n">
        <v>117.1291455966903</v>
      </c>
      <c r="T60" t="n">
        <v>117.1291455966903</v>
      </c>
      <c r="U60" t="n">
        <v>117.1291455966903</v>
      </c>
      <c r="V60" t="n">
        <v>117.1291455966903</v>
      </c>
      <c r="W60" t="n">
        <v>117.1291455966903</v>
      </c>
      <c r="X60" t="n">
        <v>117.1291455966903</v>
      </c>
      <c r="Y60" t="n">
        <v>117.1291455966903</v>
      </c>
      <c r="Z60" t="n">
        <v>117.1291455966903</v>
      </c>
    </row>
    <row r="61">
      <c r="A61" t="inlineStr">
        <is>
          <t>Commercial</t>
        </is>
      </c>
      <c r="B61" t="inlineStr">
        <is>
          <t>Hospital</t>
        </is>
      </c>
      <c r="D61" t="inlineStr">
        <is>
          <t>Old</t>
        </is>
      </c>
      <c r="E61" t="inlineStr">
        <is>
          <t>Other end use</t>
        </is>
      </c>
      <c r="F61" t="inlineStr">
        <is>
          <t>COMHOPOldOE</t>
        </is>
      </c>
      <c r="G61" t="inlineStr">
        <is>
          <t>TJ</t>
        </is>
      </c>
      <c r="H61" t="inlineStr">
        <is>
          <t>TJ / Mm2</t>
        </is>
      </c>
      <c r="I61" t="n">
        <v>308.0255580527217</v>
      </c>
      <c r="J61" t="n">
        <v>308.0255580527217</v>
      </c>
      <c r="K61" t="n">
        <v>308.0255580527217</v>
      </c>
      <c r="L61" t="n">
        <v>308.0255580527217</v>
      </c>
      <c r="M61" t="n">
        <v>308.0255580527217</v>
      </c>
      <c r="N61" t="n">
        <v>308.0255580527217</v>
      </c>
      <c r="O61" t="n">
        <v>308.0255580527217</v>
      </c>
      <c r="P61" t="n">
        <v>308.0255580527217</v>
      </c>
      <c r="Q61" t="n">
        <v>308.0255580527217</v>
      </c>
      <c r="R61" t="n">
        <v>308.0255580527217</v>
      </c>
      <c r="S61" t="n">
        <v>308.0255580527217</v>
      </c>
      <c r="T61" t="n">
        <v>308.0255580527217</v>
      </c>
      <c r="U61" t="n">
        <v>308.0255580527217</v>
      </c>
      <c r="V61" t="n">
        <v>308.0255580527217</v>
      </c>
      <c r="W61" t="n">
        <v>308.0255580527217</v>
      </c>
      <c r="X61" t="n">
        <v>308.0255580527217</v>
      </c>
      <c r="Y61" t="n">
        <v>308.0255580527217</v>
      </c>
      <c r="Z61" t="n">
        <v>308.0255580527217</v>
      </c>
    </row>
    <row r="62">
      <c r="A62" t="inlineStr">
        <is>
          <t>Commercial</t>
        </is>
      </c>
      <c r="B62" t="inlineStr">
        <is>
          <t>Educationnal</t>
        </is>
      </c>
      <c r="D62" t="inlineStr">
        <is>
          <t>Old</t>
        </is>
      </c>
      <c r="E62" t="inlineStr">
        <is>
          <t>Other end use</t>
        </is>
      </c>
      <c r="F62" t="inlineStr">
        <is>
          <t>COMEDUOldOE</t>
        </is>
      </c>
      <c r="G62" t="inlineStr">
        <is>
          <t>TJ</t>
        </is>
      </c>
      <c r="H62" t="inlineStr">
        <is>
          <t>TJ / Mm2</t>
        </is>
      </c>
      <c r="I62" t="n">
        <v>102.1311135501117</v>
      </c>
      <c r="J62" t="n">
        <v>102.1311135501117</v>
      </c>
      <c r="K62" t="n">
        <v>102.1311135501117</v>
      </c>
      <c r="L62" t="n">
        <v>102.1311135501117</v>
      </c>
      <c r="M62" t="n">
        <v>102.1311135501117</v>
      </c>
      <c r="N62" t="n">
        <v>102.1311135501117</v>
      </c>
      <c r="O62" t="n">
        <v>102.1311135501117</v>
      </c>
      <c r="P62" t="n">
        <v>102.1311135501117</v>
      </c>
      <c r="Q62" t="n">
        <v>102.1311135501117</v>
      </c>
      <c r="R62" t="n">
        <v>102.1311135501117</v>
      </c>
      <c r="S62" t="n">
        <v>102.1311135501117</v>
      </c>
      <c r="T62" t="n">
        <v>102.1311135501117</v>
      </c>
      <c r="U62" t="n">
        <v>102.1311135501117</v>
      </c>
      <c r="V62" t="n">
        <v>102.1311135501117</v>
      </c>
      <c r="W62" t="n">
        <v>102.1311135501117</v>
      </c>
      <c r="X62" t="n">
        <v>102.1311135501117</v>
      </c>
      <c r="Y62" t="n">
        <v>102.1311135501117</v>
      </c>
      <c r="Z62" t="n">
        <v>102.1311135501117</v>
      </c>
    </row>
    <row r="63">
      <c r="A63" t="inlineStr">
        <is>
          <t>Commercial</t>
        </is>
      </c>
      <c r="B63" t="inlineStr">
        <is>
          <t>Warehouse</t>
        </is>
      </c>
      <c r="D63" t="inlineStr">
        <is>
          <t>Old</t>
        </is>
      </c>
      <c r="E63" t="inlineStr">
        <is>
          <t>Other end use</t>
        </is>
      </c>
      <c r="F63" t="inlineStr">
        <is>
          <t>COMWAROldOE</t>
        </is>
      </c>
      <c r="G63" t="inlineStr">
        <is>
          <t>TJ</t>
        </is>
      </c>
      <c r="H63" t="inlineStr">
        <is>
          <t>TJ / Mm2</t>
        </is>
      </c>
      <c r="I63" t="n">
        <v>49.40520476229054</v>
      </c>
      <c r="J63" t="n">
        <v>49.40520476229054</v>
      </c>
      <c r="K63" t="n">
        <v>49.40520476229054</v>
      </c>
      <c r="L63" t="n">
        <v>49.40520476229054</v>
      </c>
      <c r="M63" t="n">
        <v>49.40520476229054</v>
      </c>
      <c r="N63" t="n">
        <v>49.40520476229054</v>
      </c>
      <c r="O63" t="n">
        <v>49.40520476229054</v>
      </c>
      <c r="P63" t="n">
        <v>49.40520476229054</v>
      </c>
      <c r="Q63" t="n">
        <v>49.40520476229054</v>
      </c>
      <c r="R63" t="n">
        <v>49.40520476229054</v>
      </c>
      <c r="S63" t="n">
        <v>49.40520476229054</v>
      </c>
      <c r="T63" t="n">
        <v>49.40520476229054</v>
      </c>
      <c r="U63" t="n">
        <v>49.40520476229054</v>
      </c>
      <c r="V63" t="n">
        <v>49.40520476229054</v>
      </c>
      <c r="W63" t="n">
        <v>49.40520476229054</v>
      </c>
      <c r="X63" t="n">
        <v>49.40520476229054</v>
      </c>
      <c r="Y63" t="n">
        <v>49.40520476229054</v>
      </c>
      <c r="Z63" t="n">
        <v>49.40520476229054</v>
      </c>
    </row>
    <row r="64">
      <c r="A64" t="inlineStr">
        <is>
          <t>Commercial</t>
        </is>
      </c>
      <c r="B64" t="inlineStr">
        <is>
          <t>Municipal</t>
        </is>
      </c>
      <c r="D64" t="inlineStr">
        <is>
          <t>Old</t>
        </is>
      </c>
      <c r="E64" t="inlineStr">
        <is>
          <t>Other end use</t>
        </is>
      </c>
      <c r="F64" t="inlineStr">
        <is>
          <t>COMMUNOldOE</t>
        </is>
      </c>
      <c r="G64" t="inlineStr">
        <is>
          <t>TJ</t>
        </is>
      </c>
      <c r="H64" t="inlineStr">
        <is>
          <t>TJ / Mm2</t>
        </is>
      </c>
      <c r="I64" t="n">
        <v>331.1279670766874</v>
      </c>
      <c r="J64" t="n">
        <v>331.1279670766874</v>
      </c>
      <c r="K64" t="n">
        <v>331.1279670766874</v>
      </c>
      <c r="L64" t="n">
        <v>331.1279670766874</v>
      </c>
      <c r="M64" t="n">
        <v>331.1279670766874</v>
      </c>
      <c r="N64" t="n">
        <v>331.1279670766874</v>
      </c>
      <c r="O64" t="n">
        <v>331.1279670766874</v>
      </c>
      <c r="P64" t="n">
        <v>331.1279670766874</v>
      </c>
      <c r="Q64" t="n">
        <v>331.1279670766874</v>
      </c>
      <c r="R64" t="n">
        <v>331.1279670766874</v>
      </c>
      <c r="S64" t="n">
        <v>331.1279670766874</v>
      </c>
      <c r="T64" t="n">
        <v>331.1279670766874</v>
      </c>
      <c r="U64" t="n">
        <v>331.1279670766874</v>
      </c>
      <c r="V64" t="n">
        <v>331.1279670766874</v>
      </c>
      <c r="W64" t="n">
        <v>331.1279670766874</v>
      </c>
      <c r="X64" t="n">
        <v>331.1279670766874</v>
      </c>
      <c r="Y64" t="n">
        <v>331.1279670766874</v>
      </c>
      <c r="Z64" t="n">
        <v>331.1279670766874</v>
      </c>
    </row>
    <row r="65">
      <c r="A65" t="inlineStr">
        <is>
          <t>Commercial</t>
        </is>
      </c>
      <c r="B65" t="inlineStr">
        <is>
          <t>Other</t>
        </is>
      </c>
      <c r="D65" t="inlineStr">
        <is>
          <t>Old</t>
        </is>
      </c>
      <c r="E65" t="inlineStr">
        <is>
          <t>Other end use</t>
        </is>
      </c>
      <c r="F65" t="inlineStr">
        <is>
          <t>COMOTHOldOE</t>
        </is>
      </c>
      <c r="G65" t="inlineStr">
        <is>
          <t>TJ</t>
        </is>
      </c>
      <c r="H65" t="inlineStr">
        <is>
          <t>TJ / Mm2</t>
        </is>
      </c>
      <c r="I65" t="n">
        <v>584.6058621898259</v>
      </c>
      <c r="J65" t="n">
        <v>584.6058621898259</v>
      </c>
      <c r="K65" t="n">
        <v>584.6058621898259</v>
      </c>
      <c r="L65" t="n">
        <v>584.6058621898259</v>
      </c>
      <c r="M65" t="n">
        <v>584.6058621898259</v>
      </c>
      <c r="N65" t="n">
        <v>584.6058621898259</v>
      </c>
      <c r="O65" t="n">
        <v>584.6058621898259</v>
      </c>
      <c r="P65" t="n">
        <v>584.6058621898259</v>
      </c>
      <c r="Q65" t="n">
        <v>584.6058621898259</v>
      </c>
      <c r="R65" t="n">
        <v>584.6058621898259</v>
      </c>
      <c r="S65" t="n">
        <v>584.6058621898259</v>
      </c>
      <c r="T65" t="n">
        <v>584.6058621898259</v>
      </c>
      <c r="U65" t="n">
        <v>584.6058621898259</v>
      </c>
      <c r="V65" t="n">
        <v>584.6058621898259</v>
      </c>
      <c r="W65" t="n">
        <v>584.6058621898259</v>
      </c>
      <c r="X65" t="n">
        <v>584.6058621898259</v>
      </c>
      <c r="Y65" t="n">
        <v>584.6058621898259</v>
      </c>
      <c r="Z65" t="n">
        <v>584.6058621898259</v>
      </c>
    </row>
    <row r="66">
      <c r="A66" t="inlineStr">
        <is>
          <t>Commercial</t>
        </is>
      </c>
      <c r="B66" t="inlineStr">
        <is>
          <t>Hotel</t>
        </is>
      </c>
      <c r="D66" t="inlineStr">
        <is>
          <t>New</t>
        </is>
      </c>
      <c r="E66" t="inlineStr">
        <is>
          <t>Space heating</t>
        </is>
      </c>
      <c r="F66" t="inlineStr">
        <is>
          <t>COMHOTNewSH</t>
        </is>
      </c>
      <c r="G66" t="inlineStr">
        <is>
          <t>TJ</t>
        </is>
      </c>
      <c r="H66" t="inlineStr">
        <is>
          <t>TJ / Mm2</t>
        </is>
      </c>
      <c r="I66" t="n">
        <v>129.2794716326136</v>
      </c>
      <c r="J66" t="n">
        <v>128.900011865525</v>
      </c>
      <c r="K66" t="n">
        <v>127.002713030082</v>
      </c>
      <c r="L66" t="n">
        <v>125.105414194639</v>
      </c>
      <c r="M66" t="n">
        <v>123.208115359196</v>
      </c>
      <c r="N66" t="n">
        <v>121.310816523753</v>
      </c>
      <c r="O66" t="n">
        <v>119.41351768831</v>
      </c>
      <c r="P66" t="n">
        <v>117.516218852867</v>
      </c>
      <c r="Q66" t="n">
        <v>116.6418447648498</v>
      </c>
      <c r="R66" t="n">
        <v>115.7674706768327</v>
      </c>
      <c r="S66" t="n">
        <v>114.8930965888156</v>
      </c>
      <c r="T66" t="n">
        <v>114.0187225007984</v>
      </c>
      <c r="U66" t="n">
        <v>113.1443484127813</v>
      </c>
      <c r="V66" t="n">
        <v>112.2699743247642</v>
      </c>
      <c r="W66" t="n">
        <v>111.395600236747</v>
      </c>
      <c r="X66" t="n">
        <v>110.5212261487299</v>
      </c>
      <c r="Y66" t="n">
        <v>109.6468520607128</v>
      </c>
      <c r="Z66" t="n">
        <v>108.7724779726957</v>
      </c>
    </row>
    <row r="67">
      <c r="A67" t="inlineStr">
        <is>
          <t>Commercial</t>
        </is>
      </c>
      <c r="B67" t="inlineStr">
        <is>
          <t>Retail</t>
        </is>
      </c>
      <c r="D67" t="inlineStr">
        <is>
          <t>New</t>
        </is>
      </c>
      <c r="E67" t="inlineStr">
        <is>
          <t>Space heating</t>
        </is>
      </c>
      <c r="F67" t="inlineStr">
        <is>
          <t>COMRETNewSH</t>
        </is>
      </c>
      <c r="G67" t="inlineStr">
        <is>
          <t>TJ</t>
        </is>
      </c>
      <c r="H67" t="inlineStr">
        <is>
          <t>TJ / Mm2</t>
        </is>
      </c>
      <c r="I67" t="n">
        <v>210.3110997474819</v>
      </c>
      <c r="J67" t="n">
        <v>209.693796784231</v>
      </c>
      <c r="K67" t="n">
        <v>206.6072819679763</v>
      </c>
      <c r="L67" t="n">
        <v>203.5207671517216</v>
      </c>
      <c r="M67" t="n">
        <v>200.4342523354669</v>
      </c>
      <c r="N67" t="n">
        <v>197.3477375192123</v>
      </c>
      <c r="O67" t="n">
        <v>194.2612227029576</v>
      </c>
      <c r="P67" t="n">
        <v>191.1747078867029</v>
      </c>
      <c r="Q67" t="n">
        <v>189.7522811570813</v>
      </c>
      <c r="R67" t="n">
        <v>188.3298544274598</v>
      </c>
      <c r="S67" t="n">
        <v>186.9074276978382</v>
      </c>
      <c r="T67" t="n">
        <v>185.4850009682166</v>
      </c>
      <c r="U67" t="n">
        <v>184.062574238595</v>
      </c>
      <c r="V67" t="n">
        <v>182.6401475089735</v>
      </c>
      <c r="W67" t="n">
        <v>181.2177207793519</v>
      </c>
      <c r="X67" t="n">
        <v>179.7952940497303</v>
      </c>
      <c r="Y67" t="n">
        <v>178.3728673201087</v>
      </c>
      <c r="Z67" t="n">
        <v>176.9504405904871</v>
      </c>
    </row>
    <row r="68">
      <c r="A68" t="inlineStr">
        <is>
          <t>Commercial</t>
        </is>
      </c>
      <c r="B68" t="inlineStr">
        <is>
          <t>Office</t>
        </is>
      </c>
      <c r="D68" t="inlineStr">
        <is>
          <t>New</t>
        </is>
      </c>
      <c r="E68" t="inlineStr">
        <is>
          <t>Space heating</t>
        </is>
      </c>
      <c r="F68" t="inlineStr">
        <is>
          <t>COMOFFNewSH</t>
        </is>
      </c>
      <c r="G68" t="inlineStr">
        <is>
          <t>TJ</t>
        </is>
      </c>
      <c r="H68" t="inlineStr">
        <is>
          <t>TJ / Mm2</t>
        </is>
      </c>
      <c r="I68" t="n">
        <v>307.5512740039054</v>
      </c>
      <c r="J68" t="n">
        <v>306.6485526876165</v>
      </c>
      <c r="K68" t="n">
        <v>302.134946106172</v>
      </c>
      <c r="L68" t="n">
        <v>297.6213395247276</v>
      </c>
      <c r="M68" t="n">
        <v>293.1077329432832</v>
      </c>
      <c r="N68" t="n">
        <v>288.5941263618387</v>
      </c>
      <c r="O68" t="n">
        <v>284.0805197803942</v>
      </c>
      <c r="P68" t="n">
        <v>279.5669131989498</v>
      </c>
      <c r="Q68" t="n">
        <v>277.4868082810563</v>
      </c>
      <c r="R68" t="n">
        <v>275.4067033631628</v>
      </c>
      <c r="S68" t="n">
        <v>273.3265984452694</v>
      </c>
      <c r="T68" t="n">
        <v>271.2464935273759</v>
      </c>
      <c r="U68" t="n">
        <v>269.1663886094824</v>
      </c>
      <c r="V68" t="n">
        <v>267.0862836915889</v>
      </c>
      <c r="W68" t="n">
        <v>265.0061787736954</v>
      </c>
      <c r="X68" t="n">
        <v>262.926073855802</v>
      </c>
      <c r="Y68" t="n">
        <v>260.8459689379085</v>
      </c>
      <c r="Z68" t="n">
        <v>258.765864020015</v>
      </c>
    </row>
    <row r="69">
      <c r="A69" t="inlineStr">
        <is>
          <t>Commercial</t>
        </is>
      </c>
      <c r="B69" t="inlineStr">
        <is>
          <t>Hospital</t>
        </is>
      </c>
      <c r="D69" t="inlineStr">
        <is>
          <t>New</t>
        </is>
      </c>
      <c r="E69" t="inlineStr">
        <is>
          <t>Space heating</t>
        </is>
      </c>
      <c r="F69" t="inlineStr">
        <is>
          <t>COMHOPNewSH</t>
        </is>
      </c>
      <c r="G69" t="inlineStr">
        <is>
          <t>TJ</t>
        </is>
      </c>
      <c r="H69" t="inlineStr">
        <is>
          <t>TJ / Mm2</t>
        </is>
      </c>
      <c r="I69" t="n">
        <v>472.4239150494968</v>
      </c>
      <c r="J69" t="n">
        <v>471.037261263649</v>
      </c>
      <c r="K69" t="n">
        <v>464.10399233441</v>
      </c>
      <c r="L69" t="n">
        <v>457.1707234051709</v>
      </c>
      <c r="M69" t="n">
        <v>450.2374544759319</v>
      </c>
      <c r="N69" t="n">
        <v>443.3041855466928</v>
      </c>
      <c r="O69" t="n">
        <v>436.3709166174538</v>
      </c>
      <c r="P69" t="n">
        <v>429.4376476882147</v>
      </c>
      <c r="Q69" t="n">
        <v>426.2424363784659</v>
      </c>
      <c r="R69" t="n">
        <v>423.047225068717</v>
      </c>
      <c r="S69" t="n">
        <v>419.8520137589681</v>
      </c>
      <c r="T69" t="n">
        <v>416.6568024492192</v>
      </c>
      <c r="U69" t="n">
        <v>413.4615911394704</v>
      </c>
      <c r="V69" t="n">
        <v>410.2663798297215</v>
      </c>
      <c r="W69" t="n">
        <v>407.0711685199727</v>
      </c>
      <c r="X69" t="n">
        <v>403.8759572102238</v>
      </c>
      <c r="Y69" t="n">
        <v>400.6807459004749</v>
      </c>
      <c r="Z69" t="n">
        <v>397.485534590726</v>
      </c>
    </row>
    <row r="70">
      <c r="A70" t="inlineStr">
        <is>
          <t>Commercial</t>
        </is>
      </c>
      <c r="B70" t="inlineStr">
        <is>
          <t>Educationnal</t>
        </is>
      </c>
      <c r="D70" t="inlineStr">
        <is>
          <t>New</t>
        </is>
      </c>
      <c r="E70" t="inlineStr">
        <is>
          <t>Space heating</t>
        </is>
      </c>
      <c r="F70" t="inlineStr">
        <is>
          <t>COMEDUNewSH</t>
        </is>
      </c>
      <c r="G70" t="inlineStr">
        <is>
          <t>TJ</t>
        </is>
      </c>
      <c r="H70" t="inlineStr">
        <is>
          <t>TJ / Mm2</t>
        </is>
      </c>
      <c r="I70" t="n">
        <v>275.6325529699153</v>
      </c>
      <c r="J70" t="n">
        <v>274.8235191532453</v>
      </c>
      <c r="K70" t="n">
        <v>270.7783500698959</v>
      </c>
      <c r="L70" t="n">
        <v>266.7331809865464</v>
      </c>
      <c r="M70" t="n">
        <v>262.6880119031969</v>
      </c>
      <c r="N70" t="n">
        <v>258.6428428198474</v>
      </c>
      <c r="O70" t="n">
        <v>254.5976737364979</v>
      </c>
      <c r="P70" t="n">
        <v>250.5525046531484</v>
      </c>
      <c r="Q70" t="n">
        <v>248.6882801240152</v>
      </c>
      <c r="R70" t="n">
        <v>246.824055594882</v>
      </c>
      <c r="S70" t="n">
        <v>244.9598310657487</v>
      </c>
      <c r="T70" t="n">
        <v>243.0956065366155</v>
      </c>
      <c r="U70" t="n">
        <v>241.2313820074822</v>
      </c>
      <c r="V70" t="n">
        <v>239.367157478349</v>
      </c>
      <c r="W70" t="n">
        <v>237.5029329492158</v>
      </c>
      <c r="X70" t="n">
        <v>235.6387084200825</v>
      </c>
      <c r="Y70" t="n">
        <v>233.7744838909493</v>
      </c>
      <c r="Z70" t="n">
        <v>231.9102593618161</v>
      </c>
    </row>
    <row r="71">
      <c r="A71" t="inlineStr">
        <is>
          <t>Commercial</t>
        </is>
      </c>
      <c r="B71" t="inlineStr">
        <is>
          <t>Warehouse</t>
        </is>
      </c>
      <c r="D71" t="inlineStr">
        <is>
          <t>New</t>
        </is>
      </c>
      <c r="E71" t="inlineStr">
        <is>
          <t>Space heating</t>
        </is>
      </c>
      <c r="F71" t="inlineStr">
        <is>
          <t>COMWARNewSH</t>
        </is>
      </c>
      <c r="G71" t="inlineStr">
        <is>
          <t>TJ</t>
        </is>
      </c>
      <c r="H71" t="inlineStr">
        <is>
          <t>TJ / Mm2</t>
        </is>
      </c>
      <c r="I71" t="n">
        <v>138.1836887408313</v>
      </c>
      <c r="J71" t="n">
        <v>137.7780934078457</v>
      </c>
      <c r="K71" t="n">
        <v>135.7501167429174</v>
      </c>
      <c r="L71" t="n">
        <v>133.7221400779891</v>
      </c>
      <c r="M71" t="n">
        <v>131.6941634130608</v>
      </c>
      <c r="N71" t="n">
        <v>129.6661867481325</v>
      </c>
      <c r="O71" t="n">
        <v>127.6382100832042</v>
      </c>
      <c r="P71" t="n">
        <v>125.6102334182759</v>
      </c>
      <c r="Q71" t="n">
        <v>124.6756361825681</v>
      </c>
      <c r="R71" t="n">
        <v>123.7410389468603</v>
      </c>
      <c r="S71" t="n">
        <v>122.8064417111525</v>
      </c>
      <c r="T71" t="n">
        <v>121.8718444754447</v>
      </c>
      <c r="U71" t="n">
        <v>120.9372472397368</v>
      </c>
      <c r="V71" t="n">
        <v>120.002650004029</v>
      </c>
      <c r="W71" t="n">
        <v>119.0680527683212</v>
      </c>
      <c r="X71" t="n">
        <v>118.1334555326134</v>
      </c>
      <c r="Y71" t="n">
        <v>117.1988582969056</v>
      </c>
      <c r="Z71" t="n">
        <v>116.2642610611978</v>
      </c>
    </row>
    <row r="72">
      <c r="A72" t="inlineStr">
        <is>
          <t>Commercial</t>
        </is>
      </c>
      <c r="B72" t="inlineStr">
        <is>
          <t>Municipal</t>
        </is>
      </c>
      <c r="D72" t="inlineStr">
        <is>
          <t>New</t>
        </is>
      </c>
      <c r="E72" t="inlineStr">
        <is>
          <t>Space heating</t>
        </is>
      </c>
      <c r="F72" t="inlineStr">
        <is>
          <t>COMMUNNewSH</t>
        </is>
      </c>
      <c r="G72" t="inlineStr">
        <is>
          <t>TJ</t>
        </is>
      </c>
      <c r="H72" t="inlineStr">
        <is>
          <t>TJ / Mm2</t>
        </is>
      </c>
      <c r="I72" t="n">
        <v>637.3730505705583</v>
      </c>
      <c r="J72" t="n">
        <v>635.5022397893589</v>
      </c>
      <c r="K72" t="n">
        <v>626.1481858833619</v>
      </c>
      <c r="L72" t="n">
        <v>616.7941319773648</v>
      </c>
      <c r="M72" t="n">
        <v>607.4400780713678</v>
      </c>
      <c r="N72" t="n">
        <v>598.0860241653708</v>
      </c>
      <c r="O72" t="n">
        <v>588.7319702593737</v>
      </c>
      <c r="P72" t="n">
        <v>579.3779163533767</v>
      </c>
      <c r="Q72" t="n">
        <v>575.0670812858954</v>
      </c>
      <c r="R72" t="n">
        <v>570.756246218414</v>
      </c>
      <c r="S72" t="n">
        <v>566.4454111509327</v>
      </c>
      <c r="T72" t="n">
        <v>562.1345760834514</v>
      </c>
      <c r="U72" t="n">
        <v>557.8237410159701</v>
      </c>
      <c r="V72" t="n">
        <v>553.5129059484888</v>
      </c>
      <c r="W72" t="n">
        <v>549.2020708810074</v>
      </c>
      <c r="X72" t="n">
        <v>544.8912358135261</v>
      </c>
      <c r="Y72" t="n">
        <v>540.5804007460448</v>
      </c>
      <c r="Z72" t="n">
        <v>536.2695656785635</v>
      </c>
    </row>
    <row r="73">
      <c r="A73" t="inlineStr">
        <is>
          <t>Commercial</t>
        </is>
      </c>
      <c r="B73" t="inlineStr">
        <is>
          <t>Other</t>
        </is>
      </c>
      <c r="D73" t="inlineStr">
        <is>
          <t>New</t>
        </is>
      </c>
      <c r="E73" t="inlineStr">
        <is>
          <t>Space heating</t>
        </is>
      </c>
      <c r="F73" t="inlineStr">
        <is>
          <t>COMOTHNewSH</t>
        </is>
      </c>
      <c r="G73" t="inlineStr">
        <is>
          <t>TJ</t>
        </is>
      </c>
      <c r="H73" t="inlineStr">
        <is>
          <t>TJ / Mm2</t>
        </is>
      </c>
      <c r="I73" t="n">
        <v>512.3286225314309</v>
      </c>
      <c r="J73" t="n">
        <v>510.8248408611974</v>
      </c>
      <c r="K73" t="n">
        <v>503.3059325100297</v>
      </c>
      <c r="L73" t="n">
        <v>495.787024158862</v>
      </c>
      <c r="M73" t="n">
        <v>488.2681158076942</v>
      </c>
      <c r="N73" t="n">
        <v>480.7492074565265</v>
      </c>
      <c r="O73" t="n">
        <v>473.2302991053588</v>
      </c>
      <c r="P73" t="n">
        <v>465.7113907541911</v>
      </c>
      <c r="Q73" t="n">
        <v>462.2462863069512</v>
      </c>
      <c r="R73" t="n">
        <v>458.7811818597113</v>
      </c>
      <c r="S73" t="n">
        <v>455.3160774124714</v>
      </c>
      <c r="T73" t="n">
        <v>451.8509729652316</v>
      </c>
      <c r="U73" t="n">
        <v>448.3858685179916</v>
      </c>
      <c r="V73" t="n">
        <v>444.9207640707518</v>
      </c>
      <c r="W73" t="n">
        <v>441.4556596235119</v>
      </c>
      <c r="X73" t="n">
        <v>437.990555176272</v>
      </c>
      <c r="Y73" t="n">
        <v>434.5254507290321</v>
      </c>
      <c r="Z73" t="n">
        <v>431.0603462817922</v>
      </c>
    </row>
    <row r="74">
      <c r="A74" t="inlineStr">
        <is>
          <t>Commercial</t>
        </is>
      </c>
      <c r="B74" t="inlineStr">
        <is>
          <t>Hotel</t>
        </is>
      </c>
      <c r="D74" t="inlineStr">
        <is>
          <t>New</t>
        </is>
      </c>
      <c r="E74" t="inlineStr">
        <is>
          <t>Space cooling</t>
        </is>
      </c>
      <c r="F74" t="inlineStr">
        <is>
          <t>COMHOTNewSC</t>
        </is>
      </c>
      <c r="G74" t="inlineStr">
        <is>
          <t>TJ</t>
        </is>
      </c>
      <c r="H74" t="inlineStr">
        <is>
          <t>TJ / Mm2</t>
        </is>
      </c>
      <c r="I74" t="n">
        <v>88.60486299266587</v>
      </c>
      <c r="J74" t="n">
        <v>89.17475850054964</v>
      </c>
      <c r="K74" t="n">
        <v>92.02423603996851</v>
      </c>
      <c r="L74" t="n">
        <v>94.87371357938738</v>
      </c>
      <c r="M74" t="n">
        <v>97.72319111880626</v>
      </c>
      <c r="N74" t="n">
        <v>100.5726686582251</v>
      </c>
      <c r="O74" t="n">
        <v>103.422146197644</v>
      </c>
      <c r="P74" t="n">
        <v>106.2716237370629</v>
      </c>
      <c r="Q74" t="n">
        <v>107.5848113479502</v>
      </c>
      <c r="R74" t="n">
        <v>108.8979989588375</v>
      </c>
      <c r="S74" t="n">
        <v>110.2111865697249</v>
      </c>
      <c r="T74" t="n">
        <v>111.5243741806122</v>
      </c>
      <c r="U74" t="n">
        <v>112.8375617914995</v>
      </c>
      <c r="V74" t="n">
        <v>114.1507494023869</v>
      </c>
      <c r="W74" t="n">
        <v>115.4639370132742</v>
      </c>
      <c r="X74" t="n">
        <v>116.7771246241615</v>
      </c>
      <c r="Y74" t="n">
        <v>118.0903122350489</v>
      </c>
      <c r="Z74" t="n">
        <v>119.4034998459362</v>
      </c>
    </row>
    <row r="75">
      <c r="A75" t="inlineStr">
        <is>
          <t>Commercial</t>
        </is>
      </c>
      <c r="B75" t="inlineStr">
        <is>
          <t>Retail</t>
        </is>
      </c>
      <c r="D75" t="inlineStr">
        <is>
          <t>New</t>
        </is>
      </c>
      <c r="E75" t="inlineStr">
        <is>
          <t>Space cooling</t>
        </is>
      </c>
      <c r="F75" t="inlineStr">
        <is>
          <t>COMRETNewSC</t>
        </is>
      </c>
      <c r="G75" t="inlineStr">
        <is>
          <t>TJ</t>
        </is>
      </c>
      <c r="H75" t="inlineStr">
        <is>
          <t>TJ / Mm2</t>
        </is>
      </c>
      <c r="I75" t="n">
        <v>41.9374135344689</v>
      </c>
      <c r="J75" t="n">
        <v>42.20714978571208</v>
      </c>
      <c r="K75" t="n">
        <v>43.55583104192802</v>
      </c>
      <c r="L75" t="n">
        <v>44.90451229814397</v>
      </c>
      <c r="M75" t="n">
        <v>46.25319355435991</v>
      </c>
      <c r="N75" t="n">
        <v>47.60187481057585</v>
      </c>
      <c r="O75" t="n">
        <v>48.9505560667918</v>
      </c>
      <c r="P75" t="n">
        <v>50.29923732300774</v>
      </c>
      <c r="Q75" t="n">
        <v>50.92077986622776</v>
      </c>
      <c r="R75" t="n">
        <v>51.54232240944778</v>
      </c>
      <c r="S75" t="n">
        <v>52.16386495266781</v>
      </c>
      <c r="T75" t="n">
        <v>52.78540749588783</v>
      </c>
      <c r="U75" t="n">
        <v>53.40695003910785</v>
      </c>
      <c r="V75" t="n">
        <v>54.02849258232788</v>
      </c>
      <c r="W75" t="n">
        <v>54.6500351255479</v>
      </c>
      <c r="X75" t="n">
        <v>55.27157766876793</v>
      </c>
      <c r="Y75" t="n">
        <v>55.89312021198795</v>
      </c>
      <c r="Z75" t="n">
        <v>56.51466275520797</v>
      </c>
    </row>
    <row r="76">
      <c r="A76" t="inlineStr">
        <is>
          <t>Commercial</t>
        </is>
      </c>
      <c r="B76" t="inlineStr">
        <is>
          <t>Office</t>
        </is>
      </c>
      <c r="D76" t="inlineStr">
        <is>
          <t>New</t>
        </is>
      </c>
      <c r="E76" t="inlineStr">
        <is>
          <t>Space cooling</t>
        </is>
      </c>
      <c r="F76" t="inlineStr">
        <is>
          <t>COMOFFNewSC</t>
        </is>
      </c>
      <c r="G76" t="inlineStr">
        <is>
          <t>TJ</t>
        </is>
      </c>
      <c r="H76" t="inlineStr">
        <is>
          <t>TJ / Mm2</t>
        </is>
      </c>
      <c r="I76" t="n">
        <v>47.27197998825147</v>
      </c>
      <c r="J76" t="n">
        <v>47.57602751040955</v>
      </c>
      <c r="K76" t="n">
        <v>49.09626512119995</v>
      </c>
      <c r="L76" t="n">
        <v>50.61650273199035</v>
      </c>
      <c r="M76" t="n">
        <v>52.13674034278075</v>
      </c>
      <c r="N76" t="n">
        <v>53.65697795357114</v>
      </c>
      <c r="O76" t="n">
        <v>55.17721556436155</v>
      </c>
      <c r="P76" t="n">
        <v>56.69745317515194</v>
      </c>
      <c r="Q76" t="n">
        <v>57.39805781880253</v>
      </c>
      <c r="R76" t="n">
        <v>58.09866246245311</v>
      </c>
      <c r="S76" t="n">
        <v>58.79926710610371</v>
      </c>
      <c r="T76" t="n">
        <v>59.49987174975429</v>
      </c>
      <c r="U76" t="n">
        <v>60.20047639340488</v>
      </c>
      <c r="V76" t="n">
        <v>60.90108103705546</v>
      </c>
      <c r="W76" t="n">
        <v>61.60168568070605</v>
      </c>
      <c r="X76" t="n">
        <v>62.30229032435664</v>
      </c>
      <c r="Y76" t="n">
        <v>63.00289496800723</v>
      </c>
      <c r="Z76" t="n">
        <v>63.70349961165781</v>
      </c>
    </row>
    <row r="77">
      <c r="A77" t="inlineStr">
        <is>
          <t>Commercial</t>
        </is>
      </c>
      <c r="B77" t="inlineStr">
        <is>
          <t>Hospital</t>
        </is>
      </c>
      <c r="D77" t="inlineStr">
        <is>
          <t>New</t>
        </is>
      </c>
      <c r="E77" t="inlineStr">
        <is>
          <t>Space cooling</t>
        </is>
      </c>
      <c r="F77" t="inlineStr">
        <is>
          <t>COMHOPNewSC</t>
        </is>
      </c>
      <c r="G77" t="inlineStr">
        <is>
          <t>TJ</t>
        </is>
      </c>
      <c r="H77" t="inlineStr">
        <is>
          <t>TJ / Mm2</t>
        </is>
      </c>
      <c r="I77" t="n">
        <v>129.662222210348</v>
      </c>
      <c r="J77" t="n">
        <v>130.496193569076</v>
      </c>
      <c r="K77" t="n">
        <v>134.6660503627162</v>
      </c>
      <c r="L77" t="n">
        <v>138.8359071563564</v>
      </c>
      <c r="M77" t="n">
        <v>143.0057639499965</v>
      </c>
      <c r="N77" t="n">
        <v>147.1756207436367</v>
      </c>
      <c r="O77" t="n">
        <v>151.3454775372769</v>
      </c>
      <c r="P77" t="n">
        <v>155.5153343309171</v>
      </c>
      <c r="Q77" t="n">
        <v>157.437021448935</v>
      </c>
      <c r="R77" t="n">
        <v>159.3587085669529</v>
      </c>
      <c r="S77" t="n">
        <v>161.2803956849709</v>
      </c>
      <c r="T77" t="n">
        <v>163.2020828029888</v>
      </c>
      <c r="U77" t="n">
        <v>165.1237699210067</v>
      </c>
      <c r="V77" t="n">
        <v>167.0454570390246</v>
      </c>
      <c r="W77" t="n">
        <v>168.9671441570426</v>
      </c>
      <c r="X77" t="n">
        <v>170.8888312750605</v>
      </c>
      <c r="Y77" t="n">
        <v>172.8105183930784</v>
      </c>
      <c r="Z77" t="n">
        <v>174.7322055110963</v>
      </c>
    </row>
    <row r="78">
      <c r="A78" t="inlineStr">
        <is>
          <t>Commercial</t>
        </is>
      </c>
      <c r="B78" t="inlineStr">
        <is>
          <t>Educationnal</t>
        </is>
      </c>
      <c r="D78" t="inlineStr">
        <is>
          <t>New</t>
        </is>
      </c>
      <c r="E78" t="inlineStr">
        <is>
          <t>Space cooling</t>
        </is>
      </c>
      <c r="F78" t="inlineStr">
        <is>
          <t>COMEDUNewSC</t>
        </is>
      </c>
      <c r="G78" t="inlineStr">
        <is>
          <t>TJ</t>
        </is>
      </c>
      <c r="H78" t="inlineStr">
        <is>
          <t>TJ / Mm2</t>
        </is>
      </c>
      <c r="I78" t="n">
        <v>93.63643732979642</v>
      </c>
      <c r="J78" t="n">
        <v>94.23869530081669</v>
      </c>
      <c r="K78" t="n">
        <v>97.24998515591801</v>
      </c>
      <c r="L78" t="n">
        <v>100.2612750110193</v>
      </c>
      <c r="M78" t="n">
        <v>103.2725648661207</v>
      </c>
      <c r="N78" t="n">
        <v>106.283854721222</v>
      </c>
      <c r="O78" t="n">
        <v>109.2951445763233</v>
      </c>
      <c r="P78" t="n">
        <v>112.3064344314246</v>
      </c>
      <c r="Q78" t="n">
        <v>113.6941935822886</v>
      </c>
      <c r="R78" t="n">
        <v>115.0819527331525</v>
      </c>
      <c r="S78" t="n">
        <v>116.4697118840164</v>
      </c>
      <c r="T78" t="n">
        <v>117.8574710348803</v>
      </c>
      <c r="U78" t="n">
        <v>119.2452301857443</v>
      </c>
      <c r="V78" t="n">
        <v>120.6329893366082</v>
      </c>
      <c r="W78" t="n">
        <v>122.0207484874721</v>
      </c>
      <c r="X78" t="n">
        <v>123.4085076383361</v>
      </c>
      <c r="Y78" t="n">
        <v>124.7962667892</v>
      </c>
      <c r="Z78" t="n">
        <v>126.1840259400639</v>
      </c>
    </row>
    <row r="79">
      <c r="A79" t="inlineStr">
        <is>
          <t>Commercial</t>
        </is>
      </c>
      <c r="B79" t="inlineStr">
        <is>
          <t>Warehouse</t>
        </is>
      </c>
      <c r="D79" t="inlineStr">
        <is>
          <t>New</t>
        </is>
      </c>
      <c r="E79" t="inlineStr">
        <is>
          <t>Space cooling</t>
        </is>
      </c>
      <c r="F79" t="inlineStr">
        <is>
          <t>COMWARNewSC</t>
        </is>
      </c>
      <c r="G79" t="inlineStr">
        <is>
          <t>TJ</t>
        </is>
      </c>
      <c r="H79" t="inlineStr">
        <is>
          <t>TJ / Mm2</t>
        </is>
      </c>
      <c r="I79" t="n">
        <v>26.53559975153933</v>
      </c>
      <c r="J79" t="n">
        <v>26.70627344355391</v>
      </c>
      <c r="K79" t="n">
        <v>27.55964190362679</v>
      </c>
      <c r="L79" t="n">
        <v>28.41301036369968</v>
      </c>
      <c r="M79" t="n">
        <v>29.26637882377256</v>
      </c>
      <c r="N79" t="n">
        <v>30.11974728384545</v>
      </c>
      <c r="O79" t="n">
        <v>30.97311574391833</v>
      </c>
      <c r="P79" t="n">
        <v>31.82648420399122</v>
      </c>
      <c r="Q79" t="n">
        <v>32.2197608218228</v>
      </c>
      <c r="R79" t="n">
        <v>32.61303743965438</v>
      </c>
      <c r="S79" t="n">
        <v>33.00631405748597</v>
      </c>
      <c r="T79" t="n">
        <v>33.39959067531755</v>
      </c>
      <c r="U79" t="n">
        <v>33.79286729314913</v>
      </c>
      <c r="V79" t="n">
        <v>34.18614391098072</v>
      </c>
      <c r="W79" t="n">
        <v>34.5794205288123</v>
      </c>
      <c r="X79" t="n">
        <v>34.97269714664388</v>
      </c>
      <c r="Y79" t="n">
        <v>35.36597376447546</v>
      </c>
      <c r="Z79" t="n">
        <v>35.75925038230704</v>
      </c>
    </row>
    <row r="80">
      <c r="A80" t="inlineStr">
        <is>
          <t>Commercial</t>
        </is>
      </c>
      <c r="B80" t="inlineStr">
        <is>
          <t>Municipal</t>
        </is>
      </c>
      <c r="D80" t="inlineStr">
        <is>
          <t>New</t>
        </is>
      </c>
      <c r="E80" t="inlineStr">
        <is>
          <t>Space cooling</t>
        </is>
      </c>
      <c r="F80" t="inlineStr">
        <is>
          <t>COMMUNNewSC</t>
        </is>
      </c>
      <c r="G80" t="inlineStr">
        <is>
          <t>TJ</t>
        </is>
      </c>
      <c r="H80" t="inlineStr">
        <is>
          <t>TJ / Mm2</t>
        </is>
      </c>
      <c r="I80" t="n">
        <v>515.5163002533288</v>
      </c>
      <c r="J80" t="n">
        <v>518.8320372663137</v>
      </c>
      <c r="K80" t="n">
        <v>535.410722331238</v>
      </c>
      <c r="L80" t="n">
        <v>551.9894073961624</v>
      </c>
      <c r="M80" t="n">
        <v>568.5680924610867</v>
      </c>
      <c r="N80" t="n">
        <v>585.146777526011</v>
      </c>
      <c r="O80" t="n">
        <v>601.7254625909353</v>
      </c>
      <c r="P80" t="n">
        <v>618.3041476558597</v>
      </c>
      <c r="Q80" t="n">
        <v>625.9444689185784</v>
      </c>
      <c r="R80" t="n">
        <v>633.5847901812971</v>
      </c>
      <c r="S80" t="n">
        <v>641.2251114440159</v>
      </c>
      <c r="T80" t="n">
        <v>648.8654327067346</v>
      </c>
      <c r="U80" t="n">
        <v>656.5057539694533</v>
      </c>
      <c r="V80" t="n">
        <v>664.1460752321721</v>
      </c>
      <c r="W80" t="n">
        <v>671.7863964948908</v>
      </c>
      <c r="X80" t="n">
        <v>679.4267177576096</v>
      </c>
      <c r="Y80" t="n">
        <v>687.0670390203283</v>
      </c>
      <c r="Z80" t="n">
        <v>694.707360283047</v>
      </c>
    </row>
    <row r="81">
      <c r="A81" t="inlineStr">
        <is>
          <t>Commercial</t>
        </is>
      </c>
      <c r="B81" t="inlineStr">
        <is>
          <t>Other</t>
        </is>
      </c>
      <c r="D81" t="inlineStr">
        <is>
          <t>New</t>
        </is>
      </c>
      <c r="E81" t="inlineStr">
        <is>
          <t>Space cooling</t>
        </is>
      </c>
      <c r="F81" t="inlineStr">
        <is>
          <t>COMOTHNewSC</t>
        </is>
      </c>
      <c r="G81" t="inlineStr">
        <is>
          <t>TJ</t>
        </is>
      </c>
      <c r="H81" t="inlineStr">
        <is>
          <t>TJ / Mm2</t>
        </is>
      </c>
      <c r="I81" t="n">
        <v>60.88087212065441</v>
      </c>
      <c r="J81" t="n">
        <v>61.27245035198105</v>
      </c>
      <c r="K81" t="n">
        <v>63.23034150861426</v>
      </c>
      <c r="L81" t="n">
        <v>65.18823266524747</v>
      </c>
      <c r="M81" t="n">
        <v>67.14612382188068</v>
      </c>
      <c r="N81" t="n">
        <v>69.10401497851387</v>
      </c>
      <c r="O81" t="n">
        <v>71.06190613514708</v>
      </c>
      <c r="P81" t="n">
        <v>73.01979729178029</v>
      </c>
      <c r="Q81" t="n">
        <v>73.92209547619797</v>
      </c>
      <c r="R81" t="n">
        <v>74.82439366061564</v>
      </c>
      <c r="S81" t="n">
        <v>75.72669184503332</v>
      </c>
      <c r="T81" t="n">
        <v>76.62899002945099</v>
      </c>
      <c r="U81" t="n">
        <v>77.53128821386866</v>
      </c>
      <c r="V81" t="n">
        <v>78.43358639828635</v>
      </c>
      <c r="W81" t="n">
        <v>79.33588458270403</v>
      </c>
      <c r="X81" t="n">
        <v>80.2381827671217</v>
      </c>
      <c r="Y81" t="n">
        <v>81.14048095153937</v>
      </c>
      <c r="Z81" t="n">
        <v>82.04277913595705</v>
      </c>
    </row>
    <row r="82">
      <c r="A82" t="inlineStr">
        <is>
          <t>Commercial</t>
        </is>
      </c>
      <c r="B82" t="inlineStr">
        <is>
          <t>Hotel</t>
        </is>
      </c>
      <c r="D82" t="inlineStr">
        <is>
          <t>New</t>
        </is>
      </c>
      <c r="E82" t="inlineStr">
        <is>
          <t>Ventilation</t>
        </is>
      </c>
      <c r="F82" t="inlineStr">
        <is>
          <t>COMHOTNewVT</t>
        </is>
      </c>
      <c r="G82" t="inlineStr">
        <is>
          <t>TJ</t>
        </is>
      </c>
      <c r="H82" t="inlineStr">
        <is>
          <t>TJ / Mm2</t>
        </is>
      </c>
      <c r="I82" t="n">
        <v>106.0818491470884</v>
      </c>
      <c r="J82" t="n">
        <v>106.0818491470884</v>
      </c>
      <c r="K82" t="n">
        <v>106.0818491470884</v>
      </c>
      <c r="L82" t="n">
        <v>106.0818491470884</v>
      </c>
      <c r="M82" t="n">
        <v>106.0818491470884</v>
      </c>
      <c r="N82" t="n">
        <v>106.0818491470884</v>
      </c>
      <c r="O82" t="n">
        <v>106.0818491470884</v>
      </c>
      <c r="P82" t="n">
        <v>106.0818491470884</v>
      </c>
      <c r="Q82" t="n">
        <v>106.0818491470884</v>
      </c>
      <c r="R82" t="n">
        <v>106.0818491470884</v>
      </c>
      <c r="S82" t="n">
        <v>106.0818491470884</v>
      </c>
      <c r="T82" t="n">
        <v>106.0818491470884</v>
      </c>
      <c r="U82" t="n">
        <v>106.0818491470884</v>
      </c>
      <c r="V82" t="n">
        <v>106.0818491470884</v>
      </c>
      <c r="W82" t="n">
        <v>106.0818491470884</v>
      </c>
      <c r="X82" t="n">
        <v>106.0818491470884</v>
      </c>
      <c r="Y82" t="n">
        <v>106.0818491470884</v>
      </c>
      <c r="Z82" t="n">
        <v>106.0818491470884</v>
      </c>
    </row>
    <row r="83">
      <c r="A83" t="inlineStr">
        <is>
          <t>Commercial</t>
        </is>
      </c>
      <c r="B83" t="inlineStr">
        <is>
          <t>Retail</t>
        </is>
      </c>
      <c r="D83" t="inlineStr">
        <is>
          <t>New</t>
        </is>
      </c>
      <c r="E83" t="inlineStr">
        <is>
          <t>Ventilation</t>
        </is>
      </c>
      <c r="F83" t="inlineStr">
        <is>
          <t>COMRETNewVT</t>
        </is>
      </c>
      <c r="G83" t="inlineStr">
        <is>
          <t>TJ</t>
        </is>
      </c>
      <c r="H83" t="inlineStr">
        <is>
          <t>TJ / Mm2</t>
        </is>
      </c>
      <c r="I83" t="n">
        <v>48.5066351977701</v>
      </c>
      <c r="J83" t="n">
        <v>48.5066351977701</v>
      </c>
      <c r="K83" t="n">
        <v>48.5066351977701</v>
      </c>
      <c r="L83" t="n">
        <v>48.5066351977701</v>
      </c>
      <c r="M83" t="n">
        <v>48.5066351977701</v>
      </c>
      <c r="N83" t="n">
        <v>48.5066351977701</v>
      </c>
      <c r="O83" t="n">
        <v>48.5066351977701</v>
      </c>
      <c r="P83" t="n">
        <v>48.5066351977701</v>
      </c>
      <c r="Q83" t="n">
        <v>48.5066351977701</v>
      </c>
      <c r="R83" t="n">
        <v>48.5066351977701</v>
      </c>
      <c r="S83" t="n">
        <v>48.5066351977701</v>
      </c>
      <c r="T83" t="n">
        <v>48.5066351977701</v>
      </c>
      <c r="U83" t="n">
        <v>48.5066351977701</v>
      </c>
      <c r="V83" t="n">
        <v>48.5066351977701</v>
      </c>
      <c r="W83" t="n">
        <v>48.5066351977701</v>
      </c>
      <c r="X83" t="n">
        <v>48.5066351977701</v>
      </c>
      <c r="Y83" t="n">
        <v>48.5066351977701</v>
      </c>
      <c r="Z83" t="n">
        <v>48.5066351977701</v>
      </c>
    </row>
    <row r="84">
      <c r="A84" t="inlineStr">
        <is>
          <t>Commercial</t>
        </is>
      </c>
      <c r="B84" t="inlineStr">
        <is>
          <t>Office</t>
        </is>
      </c>
      <c r="D84" t="inlineStr">
        <is>
          <t>New</t>
        </is>
      </c>
      <c r="E84" t="inlineStr">
        <is>
          <t>Ventilation</t>
        </is>
      </c>
      <c r="F84" t="inlineStr">
        <is>
          <t>COMOFFNewVT</t>
        </is>
      </c>
      <c r="G84" t="inlineStr">
        <is>
          <t>TJ</t>
        </is>
      </c>
      <c r="H84" t="inlineStr">
        <is>
          <t>TJ / Mm2</t>
        </is>
      </c>
      <c r="I84" t="n">
        <v>101.5997887087056</v>
      </c>
      <c r="J84" t="n">
        <v>101.5997887087056</v>
      </c>
      <c r="K84" t="n">
        <v>101.5997887087056</v>
      </c>
      <c r="L84" t="n">
        <v>101.5997887087056</v>
      </c>
      <c r="M84" t="n">
        <v>101.5997887087056</v>
      </c>
      <c r="N84" t="n">
        <v>101.5997887087056</v>
      </c>
      <c r="O84" t="n">
        <v>101.5997887087056</v>
      </c>
      <c r="P84" t="n">
        <v>101.5997887087056</v>
      </c>
      <c r="Q84" t="n">
        <v>101.5997887087056</v>
      </c>
      <c r="R84" t="n">
        <v>101.5997887087056</v>
      </c>
      <c r="S84" t="n">
        <v>101.5997887087056</v>
      </c>
      <c r="T84" t="n">
        <v>101.5997887087056</v>
      </c>
      <c r="U84" t="n">
        <v>101.5997887087056</v>
      </c>
      <c r="V84" t="n">
        <v>101.5997887087056</v>
      </c>
      <c r="W84" t="n">
        <v>101.5997887087056</v>
      </c>
      <c r="X84" t="n">
        <v>101.5997887087056</v>
      </c>
      <c r="Y84" t="n">
        <v>101.5997887087056</v>
      </c>
      <c r="Z84" t="n">
        <v>101.5997887087056</v>
      </c>
    </row>
    <row r="85">
      <c r="A85" t="inlineStr">
        <is>
          <t>Commercial</t>
        </is>
      </c>
      <c r="B85" t="inlineStr">
        <is>
          <t>Hospital</t>
        </is>
      </c>
      <c r="D85" t="inlineStr">
        <is>
          <t>New</t>
        </is>
      </c>
      <c r="E85" t="inlineStr">
        <is>
          <t>Ventilation</t>
        </is>
      </c>
      <c r="F85" t="inlineStr">
        <is>
          <t>COMHOPNewVT</t>
        </is>
      </c>
      <c r="G85" t="inlineStr">
        <is>
          <t>TJ</t>
        </is>
      </c>
      <c r="H85" t="inlineStr">
        <is>
          <t>TJ / Mm2</t>
        </is>
      </c>
      <c r="I85" t="n">
        <v>177.7212516921081</v>
      </c>
      <c r="J85" t="n">
        <v>177.7212516921081</v>
      </c>
      <c r="K85" t="n">
        <v>177.7212516921081</v>
      </c>
      <c r="L85" t="n">
        <v>177.7212516921081</v>
      </c>
      <c r="M85" t="n">
        <v>177.7212516921081</v>
      </c>
      <c r="N85" t="n">
        <v>177.7212516921081</v>
      </c>
      <c r="O85" t="n">
        <v>177.7212516921081</v>
      </c>
      <c r="P85" t="n">
        <v>177.7212516921081</v>
      </c>
      <c r="Q85" t="n">
        <v>177.7212516921081</v>
      </c>
      <c r="R85" t="n">
        <v>177.7212516921081</v>
      </c>
      <c r="S85" t="n">
        <v>177.7212516921081</v>
      </c>
      <c r="T85" t="n">
        <v>177.7212516921081</v>
      </c>
      <c r="U85" t="n">
        <v>177.7212516921081</v>
      </c>
      <c r="V85" t="n">
        <v>177.7212516921081</v>
      </c>
      <c r="W85" t="n">
        <v>177.7212516921081</v>
      </c>
      <c r="X85" t="n">
        <v>177.7212516921081</v>
      </c>
      <c r="Y85" t="n">
        <v>177.7212516921081</v>
      </c>
      <c r="Z85" t="n">
        <v>177.7212516921081</v>
      </c>
    </row>
    <row r="86">
      <c r="A86" t="inlineStr">
        <is>
          <t>Commercial</t>
        </is>
      </c>
      <c r="B86" t="inlineStr">
        <is>
          <t>Educationnal</t>
        </is>
      </c>
      <c r="D86" t="inlineStr">
        <is>
          <t>New</t>
        </is>
      </c>
      <c r="E86" t="inlineStr">
        <is>
          <t>Ventilation</t>
        </is>
      </c>
      <c r="F86" t="inlineStr">
        <is>
          <t>COMEDUNewVT</t>
        </is>
      </c>
      <c r="G86" t="inlineStr">
        <is>
          <t>TJ</t>
        </is>
      </c>
      <c r="H86" t="inlineStr">
        <is>
          <t>TJ / Mm2</t>
        </is>
      </c>
      <c r="I86" t="n">
        <v>54.22303289569065</v>
      </c>
      <c r="J86" t="n">
        <v>54.22303289569065</v>
      </c>
      <c r="K86" t="n">
        <v>54.22303289569065</v>
      </c>
      <c r="L86" t="n">
        <v>54.22303289569065</v>
      </c>
      <c r="M86" t="n">
        <v>54.22303289569065</v>
      </c>
      <c r="N86" t="n">
        <v>54.22303289569065</v>
      </c>
      <c r="O86" t="n">
        <v>54.22303289569065</v>
      </c>
      <c r="P86" t="n">
        <v>54.22303289569065</v>
      </c>
      <c r="Q86" t="n">
        <v>54.22303289569065</v>
      </c>
      <c r="R86" t="n">
        <v>54.22303289569065</v>
      </c>
      <c r="S86" t="n">
        <v>54.22303289569065</v>
      </c>
      <c r="T86" t="n">
        <v>54.22303289569065</v>
      </c>
      <c r="U86" t="n">
        <v>54.22303289569065</v>
      </c>
      <c r="V86" t="n">
        <v>54.22303289569065</v>
      </c>
      <c r="W86" t="n">
        <v>54.22303289569065</v>
      </c>
      <c r="X86" t="n">
        <v>54.22303289569065</v>
      </c>
      <c r="Y86" t="n">
        <v>54.22303289569065</v>
      </c>
      <c r="Z86" t="n">
        <v>54.22303289569065</v>
      </c>
    </row>
    <row r="87">
      <c r="A87" t="inlineStr">
        <is>
          <t>Commercial</t>
        </is>
      </c>
      <c r="B87" t="inlineStr">
        <is>
          <t>Warehouse</t>
        </is>
      </c>
      <c r="D87" t="inlineStr">
        <is>
          <t>New</t>
        </is>
      </c>
      <c r="E87" t="inlineStr">
        <is>
          <t>Ventilation</t>
        </is>
      </c>
      <c r="F87" t="inlineStr">
        <is>
          <t>COMWARNewVT</t>
        </is>
      </c>
      <c r="G87" t="inlineStr">
        <is>
          <t>TJ</t>
        </is>
      </c>
      <c r="H87" t="inlineStr">
        <is>
          <t>TJ / Mm2</t>
        </is>
      </c>
      <c r="I87" t="n">
        <v>11.32078407254618</v>
      </c>
      <c r="J87" t="n">
        <v>11.32078407254618</v>
      </c>
      <c r="K87" t="n">
        <v>11.32078407254618</v>
      </c>
      <c r="L87" t="n">
        <v>11.32078407254618</v>
      </c>
      <c r="M87" t="n">
        <v>11.32078407254618</v>
      </c>
      <c r="N87" t="n">
        <v>11.32078407254618</v>
      </c>
      <c r="O87" t="n">
        <v>11.32078407254618</v>
      </c>
      <c r="P87" t="n">
        <v>11.32078407254618</v>
      </c>
      <c r="Q87" t="n">
        <v>11.32078407254618</v>
      </c>
      <c r="R87" t="n">
        <v>11.32078407254618</v>
      </c>
      <c r="S87" t="n">
        <v>11.32078407254618</v>
      </c>
      <c r="T87" t="n">
        <v>11.32078407254618</v>
      </c>
      <c r="U87" t="n">
        <v>11.32078407254618</v>
      </c>
      <c r="V87" t="n">
        <v>11.32078407254618</v>
      </c>
      <c r="W87" t="n">
        <v>11.32078407254618</v>
      </c>
      <c r="X87" t="n">
        <v>11.32078407254618</v>
      </c>
      <c r="Y87" t="n">
        <v>11.32078407254618</v>
      </c>
      <c r="Z87" t="n">
        <v>11.32078407254618</v>
      </c>
    </row>
    <row r="88">
      <c r="A88" t="inlineStr">
        <is>
          <t>Commercial</t>
        </is>
      </c>
      <c r="B88" t="inlineStr">
        <is>
          <t>Municipal</t>
        </is>
      </c>
      <c r="D88" t="inlineStr">
        <is>
          <t>New</t>
        </is>
      </c>
      <c r="E88" t="inlineStr">
        <is>
          <t>Ventilation</t>
        </is>
      </c>
      <c r="F88" t="inlineStr">
        <is>
          <t>COMMUNNewVT</t>
        </is>
      </c>
      <c r="G88" t="inlineStr">
        <is>
          <t>TJ</t>
        </is>
      </c>
      <c r="H88" t="inlineStr">
        <is>
          <t>TJ / Mm2</t>
        </is>
      </c>
      <c r="I88" t="n">
        <v>95.97809377208718</v>
      </c>
      <c r="J88" t="n">
        <v>95.97809377208718</v>
      </c>
      <c r="K88" t="n">
        <v>95.97809377208718</v>
      </c>
      <c r="L88" t="n">
        <v>95.97809377208718</v>
      </c>
      <c r="M88" t="n">
        <v>95.97809377208718</v>
      </c>
      <c r="N88" t="n">
        <v>95.97809377208718</v>
      </c>
      <c r="O88" t="n">
        <v>95.97809377208718</v>
      </c>
      <c r="P88" t="n">
        <v>95.97809377208718</v>
      </c>
      <c r="Q88" t="n">
        <v>95.97809377208718</v>
      </c>
      <c r="R88" t="n">
        <v>95.97809377208718</v>
      </c>
      <c r="S88" t="n">
        <v>95.97809377208718</v>
      </c>
      <c r="T88" t="n">
        <v>95.97809377208718</v>
      </c>
      <c r="U88" t="n">
        <v>95.97809377208718</v>
      </c>
      <c r="V88" t="n">
        <v>95.97809377208718</v>
      </c>
      <c r="W88" t="n">
        <v>95.97809377208718</v>
      </c>
      <c r="X88" t="n">
        <v>95.97809377208718</v>
      </c>
      <c r="Y88" t="n">
        <v>95.97809377208718</v>
      </c>
      <c r="Z88" t="n">
        <v>95.97809377208718</v>
      </c>
    </row>
    <row r="89">
      <c r="A89" t="inlineStr">
        <is>
          <t>Commercial</t>
        </is>
      </c>
      <c r="B89" t="inlineStr">
        <is>
          <t>Other</t>
        </is>
      </c>
      <c r="D89" t="inlineStr">
        <is>
          <t>New</t>
        </is>
      </c>
      <c r="E89" t="inlineStr">
        <is>
          <t>Ventilation</t>
        </is>
      </c>
      <c r="F89" t="inlineStr">
        <is>
          <t>COMOTHNewVT</t>
        </is>
      </c>
      <c r="G89" t="inlineStr">
        <is>
          <t>TJ</t>
        </is>
      </c>
      <c r="H89" t="inlineStr">
        <is>
          <t>TJ / Mm2</t>
        </is>
      </c>
      <c r="I89" t="n">
        <v>51.23650572734535</v>
      </c>
      <c r="J89" t="n">
        <v>51.23650572734535</v>
      </c>
      <c r="K89" t="n">
        <v>51.23650572734535</v>
      </c>
      <c r="L89" t="n">
        <v>51.23650572734535</v>
      </c>
      <c r="M89" t="n">
        <v>51.23650572734535</v>
      </c>
      <c r="N89" t="n">
        <v>51.23650572734535</v>
      </c>
      <c r="O89" t="n">
        <v>51.23650572734535</v>
      </c>
      <c r="P89" t="n">
        <v>51.23650572734535</v>
      </c>
      <c r="Q89" t="n">
        <v>51.23650572734535</v>
      </c>
      <c r="R89" t="n">
        <v>51.23650572734535</v>
      </c>
      <c r="S89" t="n">
        <v>51.23650572734535</v>
      </c>
      <c r="T89" t="n">
        <v>51.23650572734535</v>
      </c>
      <c r="U89" t="n">
        <v>51.23650572734535</v>
      </c>
      <c r="V89" t="n">
        <v>51.23650572734535</v>
      </c>
      <c r="W89" t="n">
        <v>51.23650572734535</v>
      </c>
      <c r="X89" t="n">
        <v>51.23650572734535</v>
      </c>
      <c r="Y89" t="n">
        <v>51.23650572734535</v>
      </c>
      <c r="Z89" t="n">
        <v>51.23650572734535</v>
      </c>
    </row>
    <row r="90">
      <c r="A90" t="inlineStr">
        <is>
          <t>Commercial</t>
        </is>
      </c>
      <c r="B90" t="inlineStr">
        <is>
          <t>Hotel</t>
        </is>
      </c>
      <c r="D90" t="inlineStr">
        <is>
          <t>New</t>
        </is>
      </c>
      <c r="E90" t="inlineStr">
        <is>
          <t>Water heating</t>
        </is>
      </c>
      <c r="F90" t="inlineStr">
        <is>
          <t>COMHOTNewWH</t>
        </is>
      </c>
      <c r="G90" t="inlineStr">
        <is>
          <t>TJ</t>
        </is>
      </c>
      <c r="H90" t="inlineStr">
        <is>
          <t>TJ / Mm2</t>
        </is>
      </c>
      <c r="I90" t="n">
        <v>129.9164373005763</v>
      </c>
      <c r="J90" t="n">
        <v>129.9164373005763</v>
      </c>
      <c r="K90" t="n">
        <v>129.9164373005763</v>
      </c>
      <c r="L90" t="n">
        <v>129.9164373005763</v>
      </c>
      <c r="M90" t="n">
        <v>129.9164373005763</v>
      </c>
      <c r="N90" t="n">
        <v>129.9164373005763</v>
      </c>
      <c r="O90" t="n">
        <v>129.9164373005763</v>
      </c>
      <c r="P90" t="n">
        <v>129.9164373005763</v>
      </c>
      <c r="Q90" t="n">
        <v>129.9164373005763</v>
      </c>
      <c r="R90" t="n">
        <v>129.9164373005763</v>
      </c>
      <c r="S90" t="n">
        <v>129.9164373005763</v>
      </c>
      <c r="T90" t="n">
        <v>129.9164373005763</v>
      </c>
      <c r="U90" t="n">
        <v>129.9164373005763</v>
      </c>
      <c r="V90" t="n">
        <v>129.9164373005763</v>
      </c>
      <c r="W90" t="n">
        <v>129.9164373005763</v>
      </c>
      <c r="X90" t="n">
        <v>129.9164373005763</v>
      </c>
      <c r="Y90" t="n">
        <v>129.9164373005763</v>
      </c>
      <c r="Z90" t="n">
        <v>129.9164373005763</v>
      </c>
    </row>
    <row r="91">
      <c r="A91" t="inlineStr">
        <is>
          <t>Commercial</t>
        </is>
      </c>
      <c r="B91" t="inlineStr">
        <is>
          <t>Retail</t>
        </is>
      </c>
      <c r="D91" t="inlineStr">
        <is>
          <t>New</t>
        </is>
      </c>
      <c r="E91" t="inlineStr">
        <is>
          <t>Water heating</t>
        </is>
      </c>
      <c r="F91" t="inlineStr">
        <is>
          <t>COMRETNewWH</t>
        </is>
      </c>
      <c r="G91" t="inlineStr">
        <is>
          <t>TJ</t>
        </is>
      </c>
      <c r="H91" t="inlineStr">
        <is>
          <t>TJ / Mm2</t>
        </is>
      </c>
      <c r="I91" t="n">
        <v>38.0690621192642</v>
      </c>
      <c r="J91" t="n">
        <v>38.0690621192642</v>
      </c>
      <c r="K91" t="n">
        <v>38.0690621192642</v>
      </c>
      <c r="L91" t="n">
        <v>38.0690621192642</v>
      </c>
      <c r="M91" t="n">
        <v>38.0690621192642</v>
      </c>
      <c r="N91" t="n">
        <v>38.0690621192642</v>
      </c>
      <c r="O91" t="n">
        <v>38.0690621192642</v>
      </c>
      <c r="P91" t="n">
        <v>38.0690621192642</v>
      </c>
      <c r="Q91" t="n">
        <v>38.0690621192642</v>
      </c>
      <c r="R91" t="n">
        <v>38.0690621192642</v>
      </c>
      <c r="S91" t="n">
        <v>38.0690621192642</v>
      </c>
      <c r="T91" t="n">
        <v>38.0690621192642</v>
      </c>
      <c r="U91" t="n">
        <v>38.0690621192642</v>
      </c>
      <c r="V91" t="n">
        <v>38.0690621192642</v>
      </c>
      <c r="W91" t="n">
        <v>38.0690621192642</v>
      </c>
      <c r="X91" t="n">
        <v>38.0690621192642</v>
      </c>
      <c r="Y91" t="n">
        <v>38.0690621192642</v>
      </c>
      <c r="Z91" t="n">
        <v>38.0690621192642</v>
      </c>
    </row>
    <row r="92">
      <c r="A92" t="inlineStr">
        <is>
          <t>Commercial</t>
        </is>
      </c>
      <c r="B92" t="inlineStr">
        <is>
          <t>Office</t>
        </is>
      </c>
      <c r="D92" t="inlineStr">
        <is>
          <t>New</t>
        </is>
      </c>
      <c r="E92" t="inlineStr">
        <is>
          <t>Water heating</t>
        </is>
      </c>
      <c r="F92" t="inlineStr">
        <is>
          <t>COMOFFNewWH</t>
        </is>
      </c>
      <c r="G92" t="inlineStr">
        <is>
          <t>TJ</t>
        </is>
      </c>
      <c r="H92" t="inlineStr">
        <is>
          <t>TJ / Mm2</t>
        </is>
      </c>
      <c r="I92" t="n">
        <v>9.293715155141069</v>
      </c>
      <c r="J92" t="n">
        <v>9.293715155141069</v>
      </c>
      <c r="K92" t="n">
        <v>9.293715155141069</v>
      </c>
      <c r="L92" t="n">
        <v>9.293715155141069</v>
      </c>
      <c r="M92" t="n">
        <v>9.293715155141069</v>
      </c>
      <c r="N92" t="n">
        <v>9.293715155141069</v>
      </c>
      <c r="O92" t="n">
        <v>9.293715155141069</v>
      </c>
      <c r="P92" t="n">
        <v>9.293715155141069</v>
      </c>
      <c r="Q92" t="n">
        <v>9.293715155141069</v>
      </c>
      <c r="R92" t="n">
        <v>9.293715155141069</v>
      </c>
      <c r="S92" t="n">
        <v>9.293715155141069</v>
      </c>
      <c r="T92" t="n">
        <v>9.293715155141069</v>
      </c>
      <c r="U92" t="n">
        <v>9.293715155141069</v>
      </c>
      <c r="V92" t="n">
        <v>9.293715155141069</v>
      </c>
      <c r="W92" t="n">
        <v>9.293715155141069</v>
      </c>
      <c r="X92" t="n">
        <v>9.293715155141069</v>
      </c>
      <c r="Y92" t="n">
        <v>9.293715155141069</v>
      </c>
      <c r="Z92" t="n">
        <v>9.293715155141069</v>
      </c>
    </row>
    <row r="93">
      <c r="A93" t="inlineStr">
        <is>
          <t>Commercial</t>
        </is>
      </c>
      <c r="B93" t="inlineStr">
        <is>
          <t>Hospital</t>
        </is>
      </c>
      <c r="D93" t="inlineStr">
        <is>
          <t>New</t>
        </is>
      </c>
      <c r="E93" t="inlineStr">
        <is>
          <t>Water heating</t>
        </is>
      </c>
      <c r="F93" t="inlineStr">
        <is>
          <t>COMHOPNewWH</t>
        </is>
      </c>
      <c r="G93" t="inlineStr">
        <is>
          <t>TJ</t>
        </is>
      </c>
      <c r="H93" t="inlineStr">
        <is>
          <t>TJ / Mm2</t>
        </is>
      </c>
      <c r="I93" t="n">
        <v>71.27404898158338</v>
      </c>
      <c r="J93" t="n">
        <v>71.27404898158338</v>
      </c>
      <c r="K93" t="n">
        <v>71.27404898158338</v>
      </c>
      <c r="L93" t="n">
        <v>71.27404898158338</v>
      </c>
      <c r="M93" t="n">
        <v>71.27404898158338</v>
      </c>
      <c r="N93" t="n">
        <v>71.27404898158338</v>
      </c>
      <c r="O93" t="n">
        <v>71.27404898158338</v>
      </c>
      <c r="P93" t="n">
        <v>71.27404898158338</v>
      </c>
      <c r="Q93" t="n">
        <v>71.27404898158338</v>
      </c>
      <c r="R93" t="n">
        <v>71.27404898158338</v>
      </c>
      <c r="S93" t="n">
        <v>71.27404898158338</v>
      </c>
      <c r="T93" t="n">
        <v>71.27404898158338</v>
      </c>
      <c r="U93" t="n">
        <v>71.27404898158338</v>
      </c>
      <c r="V93" t="n">
        <v>71.27404898158338</v>
      </c>
      <c r="W93" t="n">
        <v>71.27404898158338</v>
      </c>
      <c r="X93" t="n">
        <v>71.27404898158338</v>
      </c>
      <c r="Y93" t="n">
        <v>71.27404898158338</v>
      </c>
      <c r="Z93" t="n">
        <v>71.27404898158338</v>
      </c>
    </row>
    <row r="94">
      <c r="A94" t="inlineStr">
        <is>
          <t>Commercial</t>
        </is>
      </c>
      <c r="B94" t="inlineStr">
        <is>
          <t>Educationnal</t>
        </is>
      </c>
      <c r="D94" t="inlineStr">
        <is>
          <t>New</t>
        </is>
      </c>
      <c r="E94" t="inlineStr">
        <is>
          <t>Water heating</t>
        </is>
      </c>
      <c r="F94" t="inlineStr">
        <is>
          <t>COMEDUNewWH</t>
        </is>
      </c>
      <c r="G94" t="inlineStr">
        <is>
          <t>TJ</t>
        </is>
      </c>
      <c r="H94" t="inlineStr">
        <is>
          <t>TJ / Mm2</t>
        </is>
      </c>
      <c r="I94" t="n">
        <v>24.95939524085995</v>
      </c>
      <c r="J94" t="n">
        <v>24.95939524085995</v>
      </c>
      <c r="K94" t="n">
        <v>24.95939524085995</v>
      </c>
      <c r="L94" t="n">
        <v>24.95939524085995</v>
      </c>
      <c r="M94" t="n">
        <v>24.95939524085995</v>
      </c>
      <c r="N94" t="n">
        <v>24.95939524085995</v>
      </c>
      <c r="O94" t="n">
        <v>24.95939524085995</v>
      </c>
      <c r="P94" t="n">
        <v>24.95939524085995</v>
      </c>
      <c r="Q94" t="n">
        <v>24.95939524085995</v>
      </c>
      <c r="R94" t="n">
        <v>24.95939524085995</v>
      </c>
      <c r="S94" t="n">
        <v>24.95939524085995</v>
      </c>
      <c r="T94" t="n">
        <v>24.95939524085995</v>
      </c>
      <c r="U94" t="n">
        <v>24.95939524085995</v>
      </c>
      <c r="V94" t="n">
        <v>24.95939524085995</v>
      </c>
      <c r="W94" t="n">
        <v>24.95939524085995</v>
      </c>
      <c r="X94" t="n">
        <v>24.95939524085995</v>
      </c>
      <c r="Y94" t="n">
        <v>24.95939524085995</v>
      </c>
      <c r="Z94" t="n">
        <v>24.95939524085995</v>
      </c>
    </row>
    <row r="95">
      <c r="A95" t="inlineStr">
        <is>
          <t>Commercial</t>
        </is>
      </c>
      <c r="B95" t="inlineStr">
        <is>
          <t>Warehouse</t>
        </is>
      </c>
      <c r="D95" t="inlineStr">
        <is>
          <t>New</t>
        </is>
      </c>
      <c r="E95" t="inlineStr">
        <is>
          <t>Water heating</t>
        </is>
      </c>
      <c r="F95" t="inlineStr">
        <is>
          <t>COMWARNewWH</t>
        </is>
      </c>
      <c r="G95" t="inlineStr">
        <is>
          <t>TJ</t>
        </is>
      </c>
      <c r="H95" t="inlineStr">
        <is>
          <t>TJ / Mm2</t>
        </is>
      </c>
      <c r="I95" t="n">
        <v>2.513990750799755</v>
      </c>
      <c r="J95" t="n">
        <v>2.513990750799755</v>
      </c>
      <c r="K95" t="n">
        <v>2.513990750799755</v>
      </c>
      <c r="L95" t="n">
        <v>2.513990750799755</v>
      </c>
      <c r="M95" t="n">
        <v>2.513990750799755</v>
      </c>
      <c r="N95" t="n">
        <v>2.513990750799755</v>
      </c>
      <c r="O95" t="n">
        <v>2.513990750799755</v>
      </c>
      <c r="P95" t="n">
        <v>2.513990750799755</v>
      </c>
      <c r="Q95" t="n">
        <v>2.513990750799755</v>
      </c>
      <c r="R95" t="n">
        <v>2.513990750799755</v>
      </c>
      <c r="S95" t="n">
        <v>2.513990750799755</v>
      </c>
      <c r="T95" t="n">
        <v>2.513990750799755</v>
      </c>
      <c r="U95" t="n">
        <v>2.513990750799755</v>
      </c>
      <c r="V95" t="n">
        <v>2.513990750799755</v>
      </c>
      <c r="W95" t="n">
        <v>2.513990750799755</v>
      </c>
      <c r="X95" t="n">
        <v>2.513990750799755</v>
      </c>
      <c r="Y95" t="n">
        <v>2.513990750799755</v>
      </c>
      <c r="Z95" t="n">
        <v>2.513990750799755</v>
      </c>
    </row>
    <row r="96">
      <c r="A96" t="inlineStr">
        <is>
          <t>Commercial</t>
        </is>
      </c>
      <c r="B96" t="inlineStr">
        <is>
          <t>Municipal</t>
        </is>
      </c>
      <c r="D96" t="inlineStr">
        <is>
          <t>New</t>
        </is>
      </c>
      <c r="E96" t="inlineStr">
        <is>
          <t>Water heating</t>
        </is>
      </c>
      <c r="F96" t="inlineStr">
        <is>
          <t>COMMUNNewWH</t>
        </is>
      </c>
      <c r="G96" t="inlineStr">
        <is>
          <t>TJ</t>
        </is>
      </c>
      <c r="H96" t="inlineStr">
        <is>
          <t>TJ / Mm2</t>
        </is>
      </c>
      <c r="I96" t="n">
        <v>27.41983032760676</v>
      </c>
      <c r="J96" t="n">
        <v>27.41983032760676</v>
      </c>
      <c r="K96" t="n">
        <v>27.41983032760676</v>
      </c>
      <c r="L96" t="n">
        <v>27.41983032760676</v>
      </c>
      <c r="M96" t="n">
        <v>27.41983032760676</v>
      </c>
      <c r="N96" t="n">
        <v>27.41983032760676</v>
      </c>
      <c r="O96" t="n">
        <v>27.41983032760676</v>
      </c>
      <c r="P96" t="n">
        <v>27.41983032760676</v>
      </c>
      <c r="Q96" t="n">
        <v>27.41983032760676</v>
      </c>
      <c r="R96" t="n">
        <v>27.41983032760676</v>
      </c>
      <c r="S96" t="n">
        <v>27.41983032760676</v>
      </c>
      <c r="T96" t="n">
        <v>27.41983032760676</v>
      </c>
      <c r="U96" t="n">
        <v>27.41983032760676</v>
      </c>
      <c r="V96" t="n">
        <v>27.41983032760676</v>
      </c>
      <c r="W96" t="n">
        <v>27.41983032760676</v>
      </c>
      <c r="X96" t="n">
        <v>27.41983032760676</v>
      </c>
      <c r="Y96" t="n">
        <v>27.41983032760676</v>
      </c>
      <c r="Z96" t="n">
        <v>27.41983032760676</v>
      </c>
    </row>
    <row r="97">
      <c r="A97" t="inlineStr">
        <is>
          <t>Commercial</t>
        </is>
      </c>
      <c r="B97" t="inlineStr">
        <is>
          <t>Other</t>
        </is>
      </c>
      <c r="D97" t="inlineStr">
        <is>
          <t>New</t>
        </is>
      </c>
      <c r="E97" t="inlineStr">
        <is>
          <t>Water heating</t>
        </is>
      </c>
      <c r="F97" t="inlineStr">
        <is>
          <t>COMOTHNewWH</t>
        </is>
      </c>
      <c r="G97" t="inlineStr">
        <is>
          <t>TJ</t>
        </is>
      </c>
      <c r="H97" t="inlineStr">
        <is>
          <t>TJ / Mm2</t>
        </is>
      </c>
      <c r="I97" t="n">
        <v>4.627650140577494</v>
      </c>
      <c r="J97" t="n">
        <v>4.627650140577494</v>
      </c>
      <c r="K97" t="n">
        <v>4.627650140577494</v>
      </c>
      <c r="L97" t="n">
        <v>4.627650140577494</v>
      </c>
      <c r="M97" t="n">
        <v>4.627650140577494</v>
      </c>
      <c r="N97" t="n">
        <v>4.627650140577494</v>
      </c>
      <c r="O97" t="n">
        <v>4.627650140577494</v>
      </c>
      <c r="P97" t="n">
        <v>4.627650140577494</v>
      </c>
      <c r="Q97" t="n">
        <v>4.627650140577494</v>
      </c>
      <c r="R97" t="n">
        <v>4.627650140577494</v>
      </c>
      <c r="S97" t="n">
        <v>4.627650140577494</v>
      </c>
      <c r="T97" t="n">
        <v>4.627650140577494</v>
      </c>
      <c r="U97" t="n">
        <v>4.627650140577494</v>
      </c>
      <c r="V97" t="n">
        <v>4.627650140577494</v>
      </c>
      <c r="W97" t="n">
        <v>4.627650140577494</v>
      </c>
      <c r="X97" t="n">
        <v>4.627650140577494</v>
      </c>
      <c r="Y97" t="n">
        <v>4.627650140577494</v>
      </c>
      <c r="Z97" t="n">
        <v>4.627650140577494</v>
      </c>
    </row>
    <row r="98">
      <c r="A98" t="inlineStr">
        <is>
          <t>Commercial</t>
        </is>
      </c>
      <c r="B98" t="inlineStr">
        <is>
          <t>Hotel</t>
        </is>
      </c>
      <c r="D98" t="inlineStr">
        <is>
          <t>New</t>
        </is>
      </c>
      <c r="E98" t="inlineStr">
        <is>
          <t>Lighting</t>
        </is>
      </c>
      <c r="F98" t="inlineStr">
        <is>
          <t>COMHOTNewLT</t>
        </is>
      </c>
      <c r="G98" t="inlineStr">
        <is>
          <t>Mlm</t>
        </is>
      </c>
      <c r="H98" t="inlineStr">
        <is>
          <t>Mlm / Mm2</t>
        </is>
      </c>
      <c r="I98" t="n">
        <v>67.54360601742832</v>
      </c>
      <c r="J98" t="n">
        <v>67.54360601742832</v>
      </c>
      <c r="K98" t="n">
        <v>67.54360601742832</v>
      </c>
      <c r="L98" t="n">
        <v>67.54360601742832</v>
      </c>
      <c r="M98" t="n">
        <v>67.54360601742832</v>
      </c>
      <c r="N98" t="n">
        <v>67.54360601742832</v>
      </c>
      <c r="O98" t="n">
        <v>67.54360601742832</v>
      </c>
      <c r="P98" t="n">
        <v>67.54360601742832</v>
      </c>
      <c r="Q98" t="n">
        <v>67.54360601742832</v>
      </c>
      <c r="R98" t="n">
        <v>67.54360601742832</v>
      </c>
      <c r="S98" t="n">
        <v>67.54360601742832</v>
      </c>
      <c r="T98" t="n">
        <v>67.54360601742832</v>
      </c>
      <c r="U98" t="n">
        <v>67.54360601742832</v>
      </c>
      <c r="V98" t="n">
        <v>67.54360601742832</v>
      </c>
      <c r="W98" t="n">
        <v>67.54360601742832</v>
      </c>
      <c r="X98" t="n">
        <v>67.54360601742832</v>
      </c>
      <c r="Y98" t="n">
        <v>67.54360601742832</v>
      </c>
      <c r="Z98" t="n">
        <v>67.54360601742832</v>
      </c>
    </row>
    <row r="99">
      <c r="A99" t="inlineStr">
        <is>
          <t>Commercial</t>
        </is>
      </c>
      <c r="B99" t="inlineStr">
        <is>
          <t>Retail</t>
        </is>
      </c>
      <c r="D99" t="inlineStr">
        <is>
          <t>New</t>
        </is>
      </c>
      <c r="E99" t="inlineStr">
        <is>
          <t>Lighting</t>
        </is>
      </c>
      <c r="F99" t="inlineStr">
        <is>
          <t>COMRETNewLT</t>
        </is>
      </c>
      <c r="G99" t="inlineStr">
        <is>
          <t>Mlm</t>
        </is>
      </c>
      <c r="H99" t="inlineStr">
        <is>
          <t>Mlm / Mm2</t>
        </is>
      </c>
      <c r="I99" t="n">
        <v>120.354175071366</v>
      </c>
      <c r="J99" t="n">
        <v>120.354175071366</v>
      </c>
      <c r="K99" t="n">
        <v>120.354175071366</v>
      </c>
      <c r="L99" t="n">
        <v>120.354175071366</v>
      </c>
      <c r="M99" t="n">
        <v>120.354175071366</v>
      </c>
      <c r="N99" t="n">
        <v>120.354175071366</v>
      </c>
      <c r="O99" t="n">
        <v>120.354175071366</v>
      </c>
      <c r="P99" t="n">
        <v>120.354175071366</v>
      </c>
      <c r="Q99" t="n">
        <v>120.354175071366</v>
      </c>
      <c r="R99" t="n">
        <v>120.354175071366</v>
      </c>
      <c r="S99" t="n">
        <v>120.354175071366</v>
      </c>
      <c r="T99" t="n">
        <v>120.354175071366</v>
      </c>
      <c r="U99" t="n">
        <v>120.354175071366</v>
      </c>
      <c r="V99" t="n">
        <v>120.354175071366</v>
      </c>
      <c r="W99" t="n">
        <v>120.354175071366</v>
      </c>
      <c r="X99" t="n">
        <v>120.354175071366</v>
      </c>
      <c r="Y99" t="n">
        <v>120.354175071366</v>
      </c>
      <c r="Z99" t="n">
        <v>120.354175071366</v>
      </c>
    </row>
    <row r="100">
      <c r="A100" t="inlineStr">
        <is>
          <t>Commercial</t>
        </is>
      </c>
      <c r="B100" t="inlineStr">
        <is>
          <t>Office</t>
        </is>
      </c>
      <c r="D100" t="inlineStr">
        <is>
          <t>New</t>
        </is>
      </c>
      <c r="E100" t="inlineStr">
        <is>
          <t>Lighting</t>
        </is>
      </c>
      <c r="F100" t="inlineStr">
        <is>
          <t>COMOFFNewLT</t>
        </is>
      </c>
      <c r="G100" t="inlineStr">
        <is>
          <t>Mlm</t>
        </is>
      </c>
      <c r="H100" t="inlineStr">
        <is>
          <t>Mlm / Mm2</t>
        </is>
      </c>
      <c r="I100" t="n">
        <v>87.92590542599638</v>
      </c>
      <c r="J100" t="n">
        <v>87.92590542599638</v>
      </c>
      <c r="K100" t="n">
        <v>87.92590542599638</v>
      </c>
      <c r="L100" t="n">
        <v>87.92590542599638</v>
      </c>
      <c r="M100" t="n">
        <v>87.92590542599638</v>
      </c>
      <c r="N100" t="n">
        <v>87.92590542599638</v>
      </c>
      <c r="O100" t="n">
        <v>87.92590542599638</v>
      </c>
      <c r="P100" t="n">
        <v>87.92590542599638</v>
      </c>
      <c r="Q100" t="n">
        <v>87.92590542599638</v>
      </c>
      <c r="R100" t="n">
        <v>87.92590542599638</v>
      </c>
      <c r="S100" t="n">
        <v>87.92590542599638</v>
      </c>
      <c r="T100" t="n">
        <v>87.92590542599638</v>
      </c>
      <c r="U100" t="n">
        <v>87.92590542599638</v>
      </c>
      <c r="V100" t="n">
        <v>87.92590542599638</v>
      </c>
      <c r="W100" t="n">
        <v>87.92590542599638</v>
      </c>
      <c r="X100" t="n">
        <v>87.92590542599638</v>
      </c>
      <c r="Y100" t="n">
        <v>87.92590542599638</v>
      </c>
      <c r="Z100" t="n">
        <v>87.92590542599638</v>
      </c>
    </row>
    <row r="101">
      <c r="A101" t="inlineStr">
        <is>
          <t>Commercial</t>
        </is>
      </c>
      <c r="B101" t="inlineStr">
        <is>
          <t>Hospital</t>
        </is>
      </c>
      <c r="D101" t="inlineStr">
        <is>
          <t>New</t>
        </is>
      </c>
      <c r="E101" t="inlineStr">
        <is>
          <t>Lighting</t>
        </is>
      </c>
      <c r="F101" t="inlineStr">
        <is>
          <t>COMHOPNewLT</t>
        </is>
      </c>
      <c r="G101" t="inlineStr">
        <is>
          <t>Mlm</t>
        </is>
      </c>
      <c r="H101" t="inlineStr">
        <is>
          <t>Mlm / Mm2</t>
        </is>
      </c>
      <c r="I101" t="n">
        <v>165.0022537386057</v>
      </c>
      <c r="J101" t="n">
        <v>165.0022537386057</v>
      </c>
      <c r="K101" t="n">
        <v>165.0022537386057</v>
      </c>
      <c r="L101" t="n">
        <v>165.0022537386057</v>
      </c>
      <c r="M101" t="n">
        <v>165.0022537386057</v>
      </c>
      <c r="N101" t="n">
        <v>165.0022537386057</v>
      </c>
      <c r="O101" t="n">
        <v>165.0022537386057</v>
      </c>
      <c r="P101" t="n">
        <v>165.0022537386057</v>
      </c>
      <c r="Q101" t="n">
        <v>165.0022537386057</v>
      </c>
      <c r="R101" t="n">
        <v>165.0022537386057</v>
      </c>
      <c r="S101" t="n">
        <v>165.0022537386057</v>
      </c>
      <c r="T101" t="n">
        <v>165.0022537386057</v>
      </c>
      <c r="U101" t="n">
        <v>165.0022537386057</v>
      </c>
      <c r="V101" t="n">
        <v>165.0022537386057</v>
      </c>
      <c r="W101" t="n">
        <v>165.0022537386057</v>
      </c>
      <c r="X101" t="n">
        <v>165.0022537386057</v>
      </c>
      <c r="Y101" t="n">
        <v>165.0022537386057</v>
      </c>
      <c r="Z101" t="n">
        <v>165.0022537386057</v>
      </c>
    </row>
    <row r="102">
      <c r="A102" t="inlineStr">
        <is>
          <t>Commercial</t>
        </is>
      </c>
      <c r="B102" t="inlineStr">
        <is>
          <t>Educationnal</t>
        </is>
      </c>
      <c r="D102" t="inlineStr">
        <is>
          <t>New</t>
        </is>
      </c>
      <c r="E102" t="inlineStr">
        <is>
          <t>Lighting</t>
        </is>
      </c>
      <c r="F102" t="inlineStr">
        <is>
          <t>COMEDUNewLT</t>
        </is>
      </c>
      <c r="G102" t="inlineStr">
        <is>
          <t>Mlm</t>
        </is>
      </c>
      <c r="H102" t="inlineStr">
        <is>
          <t>Mlm / Mm2</t>
        </is>
      </c>
      <c r="I102" t="n">
        <v>92.07196566923741</v>
      </c>
      <c r="J102" t="n">
        <v>92.07196566923741</v>
      </c>
      <c r="K102" t="n">
        <v>92.07196566923741</v>
      </c>
      <c r="L102" t="n">
        <v>92.07196566923741</v>
      </c>
      <c r="M102" t="n">
        <v>92.07196566923741</v>
      </c>
      <c r="N102" t="n">
        <v>92.07196566923741</v>
      </c>
      <c r="O102" t="n">
        <v>92.07196566923741</v>
      </c>
      <c r="P102" t="n">
        <v>92.07196566923741</v>
      </c>
      <c r="Q102" t="n">
        <v>92.07196566923741</v>
      </c>
      <c r="R102" t="n">
        <v>92.07196566923741</v>
      </c>
      <c r="S102" t="n">
        <v>92.07196566923741</v>
      </c>
      <c r="T102" t="n">
        <v>92.07196566923741</v>
      </c>
      <c r="U102" t="n">
        <v>92.07196566923741</v>
      </c>
      <c r="V102" t="n">
        <v>92.07196566923741</v>
      </c>
      <c r="W102" t="n">
        <v>92.07196566923741</v>
      </c>
      <c r="X102" t="n">
        <v>92.07196566923741</v>
      </c>
      <c r="Y102" t="n">
        <v>92.07196566923741</v>
      </c>
      <c r="Z102" t="n">
        <v>92.07196566923741</v>
      </c>
    </row>
    <row r="103">
      <c r="A103" t="inlineStr">
        <is>
          <t>Commercial</t>
        </is>
      </c>
      <c r="B103" t="inlineStr">
        <is>
          <t>Warehouse</t>
        </is>
      </c>
      <c r="D103" t="inlineStr">
        <is>
          <t>New</t>
        </is>
      </c>
      <c r="E103" t="inlineStr">
        <is>
          <t>Lighting</t>
        </is>
      </c>
      <c r="F103" t="inlineStr">
        <is>
          <t>COMWARNewLT</t>
        </is>
      </c>
      <c r="G103" t="inlineStr">
        <is>
          <t>Mlm</t>
        </is>
      </c>
      <c r="H103" t="inlineStr">
        <is>
          <t>Mlm / Mm2</t>
        </is>
      </c>
      <c r="I103" t="n">
        <v>67.98634045568934</v>
      </c>
      <c r="J103" t="n">
        <v>67.98634045568934</v>
      </c>
      <c r="K103" t="n">
        <v>67.98634045568934</v>
      </c>
      <c r="L103" t="n">
        <v>67.98634045568934</v>
      </c>
      <c r="M103" t="n">
        <v>67.98634045568934</v>
      </c>
      <c r="N103" t="n">
        <v>67.98634045568934</v>
      </c>
      <c r="O103" t="n">
        <v>67.98634045568934</v>
      </c>
      <c r="P103" t="n">
        <v>67.98634045568934</v>
      </c>
      <c r="Q103" t="n">
        <v>67.98634045568934</v>
      </c>
      <c r="R103" t="n">
        <v>67.98634045568934</v>
      </c>
      <c r="S103" t="n">
        <v>67.98634045568934</v>
      </c>
      <c r="T103" t="n">
        <v>67.98634045568934</v>
      </c>
      <c r="U103" t="n">
        <v>67.98634045568934</v>
      </c>
      <c r="V103" t="n">
        <v>67.98634045568934</v>
      </c>
      <c r="W103" t="n">
        <v>67.98634045568934</v>
      </c>
      <c r="X103" t="n">
        <v>67.98634045568934</v>
      </c>
      <c r="Y103" t="n">
        <v>67.98634045568934</v>
      </c>
      <c r="Z103" t="n">
        <v>67.98634045568934</v>
      </c>
    </row>
    <row r="104">
      <c r="A104" t="inlineStr">
        <is>
          <t>Commercial</t>
        </is>
      </c>
      <c r="B104" t="inlineStr">
        <is>
          <t>Municipal</t>
        </is>
      </c>
      <c r="D104" t="inlineStr">
        <is>
          <t>New</t>
        </is>
      </c>
      <c r="E104" t="inlineStr">
        <is>
          <t>Lighting</t>
        </is>
      </c>
      <c r="F104" t="inlineStr">
        <is>
          <t>COMMUNNewLT</t>
        </is>
      </c>
      <c r="G104" t="inlineStr">
        <is>
          <t>Mlm</t>
        </is>
      </c>
      <c r="H104" t="inlineStr">
        <is>
          <t>Mlm / Mm2</t>
        </is>
      </c>
      <c r="I104" t="n">
        <v>204.1704132031028</v>
      </c>
      <c r="J104" t="n">
        <v>204.1704132031028</v>
      </c>
      <c r="K104" t="n">
        <v>204.1704132031028</v>
      </c>
      <c r="L104" t="n">
        <v>204.1704132031028</v>
      </c>
      <c r="M104" t="n">
        <v>204.1704132031028</v>
      </c>
      <c r="N104" t="n">
        <v>204.1704132031028</v>
      </c>
      <c r="O104" t="n">
        <v>204.1704132031028</v>
      </c>
      <c r="P104" t="n">
        <v>204.1704132031028</v>
      </c>
      <c r="Q104" t="n">
        <v>204.1704132031028</v>
      </c>
      <c r="R104" t="n">
        <v>204.1704132031028</v>
      </c>
      <c r="S104" t="n">
        <v>204.1704132031028</v>
      </c>
      <c r="T104" t="n">
        <v>204.1704132031028</v>
      </c>
      <c r="U104" t="n">
        <v>204.1704132031028</v>
      </c>
      <c r="V104" t="n">
        <v>204.1704132031028</v>
      </c>
      <c r="W104" t="n">
        <v>204.1704132031028</v>
      </c>
      <c r="X104" t="n">
        <v>204.1704132031028</v>
      </c>
      <c r="Y104" t="n">
        <v>204.1704132031028</v>
      </c>
      <c r="Z104" t="n">
        <v>204.1704132031028</v>
      </c>
    </row>
    <row r="105">
      <c r="A105" t="inlineStr">
        <is>
          <t>Commercial</t>
        </is>
      </c>
      <c r="B105" t="inlineStr">
        <is>
          <t>Other</t>
        </is>
      </c>
      <c r="D105" t="inlineStr">
        <is>
          <t>New</t>
        </is>
      </c>
      <c r="E105" t="inlineStr">
        <is>
          <t>Lighting</t>
        </is>
      </c>
      <c r="F105" t="inlineStr">
        <is>
          <t>COMOTHNewLT</t>
        </is>
      </c>
      <c r="G105" t="inlineStr">
        <is>
          <t>Mlm</t>
        </is>
      </c>
      <c r="H105" t="inlineStr">
        <is>
          <t>Mlm / Mm2</t>
        </is>
      </c>
      <c r="I105" t="n">
        <v>122.4677140917715</v>
      </c>
      <c r="J105" t="n">
        <v>122.4677140917715</v>
      </c>
      <c r="K105" t="n">
        <v>122.4677140917715</v>
      </c>
      <c r="L105" t="n">
        <v>122.4677140917715</v>
      </c>
      <c r="M105" t="n">
        <v>122.4677140917715</v>
      </c>
      <c r="N105" t="n">
        <v>122.4677140917715</v>
      </c>
      <c r="O105" t="n">
        <v>122.4677140917715</v>
      </c>
      <c r="P105" t="n">
        <v>122.4677140917715</v>
      </c>
      <c r="Q105" t="n">
        <v>122.4677140917715</v>
      </c>
      <c r="R105" t="n">
        <v>122.4677140917715</v>
      </c>
      <c r="S105" t="n">
        <v>122.4677140917715</v>
      </c>
      <c r="T105" t="n">
        <v>122.4677140917715</v>
      </c>
      <c r="U105" t="n">
        <v>122.4677140917715</v>
      </c>
      <c r="V105" t="n">
        <v>122.4677140917715</v>
      </c>
      <c r="W105" t="n">
        <v>122.4677140917715</v>
      </c>
      <c r="X105" t="n">
        <v>122.4677140917715</v>
      </c>
      <c r="Y105" t="n">
        <v>122.4677140917715</v>
      </c>
      <c r="Z105" t="n">
        <v>122.4677140917715</v>
      </c>
    </row>
    <row r="106">
      <c r="A106" t="inlineStr">
        <is>
          <t>Commercial</t>
        </is>
      </c>
      <c r="B106" t="inlineStr">
        <is>
          <t>Hotel</t>
        </is>
      </c>
      <c r="D106" t="inlineStr">
        <is>
          <t>New</t>
        </is>
      </c>
      <c r="E106" t="inlineStr">
        <is>
          <t>Cooking</t>
        </is>
      </c>
      <c r="F106" t="inlineStr">
        <is>
          <t>COMHOTNewCK</t>
        </is>
      </c>
      <c r="G106" t="inlineStr">
        <is>
          <t>TJ</t>
        </is>
      </c>
      <c r="H106" t="inlineStr">
        <is>
          <t>TJ / Mm2</t>
        </is>
      </c>
      <c r="I106" t="n">
        <v>100.8477513430929</v>
      </c>
      <c r="J106" t="n">
        <v>100.8477513430929</v>
      </c>
      <c r="K106" t="n">
        <v>100.8477513430929</v>
      </c>
      <c r="L106" t="n">
        <v>100.8477513430929</v>
      </c>
      <c r="M106" t="n">
        <v>100.8477513430929</v>
      </c>
      <c r="N106" t="n">
        <v>100.8477513430929</v>
      </c>
      <c r="O106" t="n">
        <v>100.8477513430929</v>
      </c>
      <c r="P106" t="n">
        <v>100.8477513430929</v>
      </c>
      <c r="Q106" t="n">
        <v>100.8477513430929</v>
      </c>
      <c r="R106" t="n">
        <v>100.8477513430929</v>
      </c>
      <c r="S106" t="n">
        <v>100.8477513430929</v>
      </c>
      <c r="T106" t="n">
        <v>100.8477513430929</v>
      </c>
      <c r="U106" t="n">
        <v>100.8477513430929</v>
      </c>
      <c r="V106" t="n">
        <v>100.8477513430929</v>
      </c>
      <c r="W106" t="n">
        <v>100.8477513430929</v>
      </c>
      <c r="X106" t="n">
        <v>100.8477513430929</v>
      </c>
      <c r="Y106" t="n">
        <v>100.8477513430929</v>
      </c>
      <c r="Z106" t="n">
        <v>100.8477513430929</v>
      </c>
    </row>
    <row r="107">
      <c r="A107" t="inlineStr">
        <is>
          <t>Commercial</t>
        </is>
      </c>
      <c r="B107" t="inlineStr">
        <is>
          <t>Retail</t>
        </is>
      </c>
      <c r="D107" t="inlineStr">
        <is>
          <t>New</t>
        </is>
      </c>
      <c r="E107" t="inlineStr">
        <is>
          <t>Cooking</t>
        </is>
      </c>
      <c r="F107" t="inlineStr">
        <is>
          <t>COMRETNewCK</t>
        </is>
      </c>
      <c r="G107" t="inlineStr">
        <is>
          <t>TJ</t>
        </is>
      </c>
      <c r="H107" t="inlineStr">
        <is>
          <t>TJ / Mm2</t>
        </is>
      </c>
      <c r="I107" t="n">
        <v>52.24054086796841</v>
      </c>
      <c r="J107" t="n">
        <v>52.24054086796841</v>
      </c>
      <c r="K107" t="n">
        <v>52.24054086796841</v>
      </c>
      <c r="L107" t="n">
        <v>52.24054086796841</v>
      </c>
      <c r="M107" t="n">
        <v>52.24054086796841</v>
      </c>
      <c r="N107" t="n">
        <v>52.24054086796841</v>
      </c>
      <c r="O107" t="n">
        <v>52.24054086796841</v>
      </c>
      <c r="P107" t="n">
        <v>52.24054086796841</v>
      </c>
      <c r="Q107" t="n">
        <v>52.24054086796841</v>
      </c>
      <c r="R107" t="n">
        <v>52.24054086796841</v>
      </c>
      <c r="S107" t="n">
        <v>52.24054086796841</v>
      </c>
      <c r="T107" t="n">
        <v>52.24054086796841</v>
      </c>
      <c r="U107" t="n">
        <v>52.24054086796841</v>
      </c>
      <c r="V107" t="n">
        <v>52.24054086796841</v>
      </c>
      <c r="W107" t="n">
        <v>52.24054086796841</v>
      </c>
      <c r="X107" t="n">
        <v>52.24054086796841</v>
      </c>
      <c r="Y107" t="n">
        <v>52.24054086796841</v>
      </c>
      <c r="Z107" t="n">
        <v>52.24054086796841</v>
      </c>
    </row>
    <row r="108">
      <c r="A108" t="inlineStr">
        <is>
          <t>Commercial</t>
        </is>
      </c>
      <c r="B108" t="inlineStr">
        <is>
          <t>Office</t>
        </is>
      </c>
      <c r="D108" t="inlineStr">
        <is>
          <t>New</t>
        </is>
      </c>
      <c r="E108" t="inlineStr">
        <is>
          <t>Cooking</t>
        </is>
      </c>
      <c r="F108" t="inlineStr">
        <is>
          <t>COMOFFNewCK</t>
        </is>
      </c>
      <c r="G108" t="inlineStr">
        <is>
          <t>TJ</t>
        </is>
      </c>
      <c r="H108" t="inlineStr">
        <is>
          <t>TJ / Mm2</t>
        </is>
      </c>
      <c r="I108" t="n">
        <v>26.95323041190461</v>
      </c>
      <c r="J108" t="n">
        <v>26.95323041190461</v>
      </c>
      <c r="K108" t="n">
        <v>26.95323041190461</v>
      </c>
      <c r="L108" t="n">
        <v>26.95323041190461</v>
      </c>
      <c r="M108" t="n">
        <v>26.95323041190461</v>
      </c>
      <c r="N108" t="n">
        <v>26.95323041190461</v>
      </c>
      <c r="O108" t="n">
        <v>26.95323041190461</v>
      </c>
      <c r="P108" t="n">
        <v>26.95323041190461</v>
      </c>
      <c r="Q108" t="n">
        <v>26.95323041190461</v>
      </c>
      <c r="R108" t="n">
        <v>26.95323041190461</v>
      </c>
      <c r="S108" t="n">
        <v>26.95323041190461</v>
      </c>
      <c r="T108" t="n">
        <v>26.95323041190461</v>
      </c>
      <c r="U108" t="n">
        <v>26.95323041190461</v>
      </c>
      <c r="V108" t="n">
        <v>26.95323041190461</v>
      </c>
      <c r="W108" t="n">
        <v>26.95323041190461</v>
      </c>
      <c r="X108" t="n">
        <v>26.95323041190461</v>
      </c>
      <c r="Y108" t="n">
        <v>26.95323041190461</v>
      </c>
      <c r="Z108" t="n">
        <v>26.95323041190461</v>
      </c>
    </row>
    <row r="109">
      <c r="A109" t="inlineStr">
        <is>
          <t>Commercial</t>
        </is>
      </c>
      <c r="B109" t="inlineStr">
        <is>
          <t>Hospital</t>
        </is>
      </c>
      <c r="D109" t="inlineStr">
        <is>
          <t>New</t>
        </is>
      </c>
      <c r="E109" t="inlineStr">
        <is>
          <t>Cooking</t>
        </is>
      </c>
      <c r="F109" t="inlineStr">
        <is>
          <t>COMHOPNewCK</t>
        </is>
      </c>
      <c r="G109" t="inlineStr">
        <is>
          <t>TJ</t>
        </is>
      </c>
      <c r="H109" t="inlineStr">
        <is>
          <t>TJ / Mm2</t>
        </is>
      </c>
      <c r="I109" t="n">
        <v>84.80109822859363</v>
      </c>
      <c r="J109" t="n">
        <v>84.80109822859363</v>
      </c>
      <c r="K109" t="n">
        <v>84.80109822859363</v>
      </c>
      <c r="L109" t="n">
        <v>84.80109822859363</v>
      </c>
      <c r="M109" t="n">
        <v>84.80109822859363</v>
      </c>
      <c r="N109" t="n">
        <v>84.80109822859363</v>
      </c>
      <c r="O109" t="n">
        <v>84.80109822859363</v>
      </c>
      <c r="P109" t="n">
        <v>84.80109822859363</v>
      </c>
      <c r="Q109" t="n">
        <v>84.80109822859363</v>
      </c>
      <c r="R109" t="n">
        <v>84.80109822859363</v>
      </c>
      <c r="S109" t="n">
        <v>84.80109822859363</v>
      </c>
      <c r="T109" t="n">
        <v>84.80109822859363</v>
      </c>
      <c r="U109" t="n">
        <v>84.80109822859363</v>
      </c>
      <c r="V109" t="n">
        <v>84.80109822859363</v>
      </c>
      <c r="W109" t="n">
        <v>84.80109822859363</v>
      </c>
      <c r="X109" t="n">
        <v>84.80109822859363</v>
      </c>
      <c r="Y109" t="n">
        <v>84.80109822859363</v>
      </c>
      <c r="Z109" t="n">
        <v>84.80109822859363</v>
      </c>
    </row>
    <row r="110">
      <c r="A110" t="inlineStr">
        <is>
          <t>Commercial</t>
        </is>
      </c>
      <c r="B110" t="inlineStr">
        <is>
          <t>Educationnal</t>
        </is>
      </c>
      <c r="D110" t="inlineStr">
        <is>
          <t>New</t>
        </is>
      </c>
      <c r="E110" t="inlineStr">
        <is>
          <t>Cooking</t>
        </is>
      </c>
      <c r="F110" t="inlineStr">
        <is>
          <t>COMEDUNewCK</t>
        </is>
      </c>
      <c r="G110" t="inlineStr">
        <is>
          <t>TJ</t>
        </is>
      </c>
      <c r="H110" t="inlineStr">
        <is>
          <t>TJ / Mm2</t>
        </is>
      </c>
      <c r="I110" t="n">
        <v>20.11969853191011</v>
      </c>
      <c r="J110" t="n">
        <v>20.11969853191011</v>
      </c>
      <c r="K110" t="n">
        <v>20.11969853191011</v>
      </c>
      <c r="L110" t="n">
        <v>20.11969853191011</v>
      </c>
      <c r="M110" t="n">
        <v>20.11969853191011</v>
      </c>
      <c r="N110" t="n">
        <v>20.11969853191011</v>
      </c>
      <c r="O110" t="n">
        <v>20.11969853191011</v>
      </c>
      <c r="P110" t="n">
        <v>20.11969853191011</v>
      </c>
      <c r="Q110" t="n">
        <v>20.11969853191011</v>
      </c>
      <c r="R110" t="n">
        <v>20.11969853191011</v>
      </c>
      <c r="S110" t="n">
        <v>20.11969853191011</v>
      </c>
      <c r="T110" t="n">
        <v>20.11969853191011</v>
      </c>
      <c r="U110" t="n">
        <v>20.11969853191011</v>
      </c>
      <c r="V110" t="n">
        <v>20.11969853191011</v>
      </c>
      <c r="W110" t="n">
        <v>20.11969853191011</v>
      </c>
      <c r="X110" t="n">
        <v>20.11969853191011</v>
      </c>
      <c r="Y110" t="n">
        <v>20.11969853191011</v>
      </c>
      <c r="Z110" t="n">
        <v>20.11969853191011</v>
      </c>
    </row>
    <row r="111">
      <c r="A111" t="inlineStr">
        <is>
          <t>Commercial</t>
        </is>
      </c>
      <c r="B111" t="inlineStr">
        <is>
          <t>Warehouse</t>
        </is>
      </c>
      <c r="D111" t="inlineStr">
        <is>
          <t>New</t>
        </is>
      </c>
      <c r="E111" t="inlineStr">
        <is>
          <t>Cooking</t>
        </is>
      </c>
      <c r="F111" t="inlineStr">
        <is>
          <t>COMWARNewCK</t>
        </is>
      </c>
      <c r="G111" t="inlineStr">
        <is>
          <t>TJ</t>
        </is>
      </c>
      <c r="H111" t="inlineStr">
        <is>
          <t>TJ / Mm2</t>
        </is>
      </c>
      <c r="I111" t="n">
        <v>0.6596777133128133</v>
      </c>
      <c r="J111" t="n">
        <v>0.6596777133128133</v>
      </c>
      <c r="K111" t="n">
        <v>0.6596777133128133</v>
      </c>
      <c r="L111" t="n">
        <v>0.6596777133128133</v>
      </c>
      <c r="M111" t="n">
        <v>0.6596777133128133</v>
      </c>
      <c r="N111" t="n">
        <v>0.6596777133128133</v>
      </c>
      <c r="O111" t="n">
        <v>0.6596777133128133</v>
      </c>
      <c r="P111" t="n">
        <v>0.6596777133128133</v>
      </c>
      <c r="Q111" t="n">
        <v>0.6596777133128133</v>
      </c>
      <c r="R111" t="n">
        <v>0.6596777133128133</v>
      </c>
      <c r="S111" t="n">
        <v>0.6596777133128133</v>
      </c>
      <c r="T111" t="n">
        <v>0.6596777133128133</v>
      </c>
      <c r="U111" t="n">
        <v>0.6596777133128133</v>
      </c>
      <c r="V111" t="n">
        <v>0.6596777133128133</v>
      </c>
      <c r="W111" t="n">
        <v>0.6596777133128133</v>
      </c>
      <c r="X111" t="n">
        <v>0.6596777133128133</v>
      </c>
      <c r="Y111" t="n">
        <v>0.6596777133128133</v>
      </c>
      <c r="Z111" t="n">
        <v>0.6596777133128133</v>
      </c>
    </row>
    <row r="112">
      <c r="A112" t="inlineStr">
        <is>
          <t>Commercial</t>
        </is>
      </c>
      <c r="B112" t="inlineStr">
        <is>
          <t>Municipal</t>
        </is>
      </c>
      <c r="D112" t="inlineStr">
        <is>
          <t>New</t>
        </is>
      </c>
      <c r="E112" t="inlineStr">
        <is>
          <t>Cooking</t>
        </is>
      </c>
      <c r="F112" t="inlineStr">
        <is>
          <t>COMMUNNewCK</t>
        </is>
      </c>
      <c r="G112" t="inlineStr">
        <is>
          <t>TJ</t>
        </is>
      </c>
      <c r="H112" t="inlineStr">
        <is>
          <t>TJ / Mm2</t>
        </is>
      </c>
      <c r="I112" t="n">
        <v>45.2230501093382</v>
      </c>
      <c r="J112" t="n">
        <v>45.2230501093382</v>
      </c>
      <c r="K112" t="n">
        <v>45.2230501093382</v>
      </c>
      <c r="L112" t="n">
        <v>45.2230501093382</v>
      </c>
      <c r="M112" t="n">
        <v>45.2230501093382</v>
      </c>
      <c r="N112" t="n">
        <v>45.2230501093382</v>
      </c>
      <c r="O112" t="n">
        <v>45.2230501093382</v>
      </c>
      <c r="P112" t="n">
        <v>45.2230501093382</v>
      </c>
      <c r="Q112" t="n">
        <v>45.2230501093382</v>
      </c>
      <c r="R112" t="n">
        <v>45.2230501093382</v>
      </c>
      <c r="S112" t="n">
        <v>45.2230501093382</v>
      </c>
      <c r="T112" t="n">
        <v>45.2230501093382</v>
      </c>
      <c r="U112" t="n">
        <v>45.2230501093382</v>
      </c>
      <c r="V112" t="n">
        <v>45.2230501093382</v>
      </c>
      <c r="W112" t="n">
        <v>45.2230501093382</v>
      </c>
      <c r="X112" t="n">
        <v>45.2230501093382</v>
      </c>
      <c r="Y112" t="n">
        <v>45.2230501093382</v>
      </c>
      <c r="Z112" t="n">
        <v>45.2230501093382</v>
      </c>
    </row>
    <row r="113">
      <c r="A113" t="inlineStr">
        <is>
          <t>Commercial</t>
        </is>
      </c>
      <c r="B113" t="inlineStr">
        <is>
          <t>Other</t>
        </is>
      </c>
      <c r="D113" t="inlineStr">
        <is>
          <t>New</t>
        </is>
      </c>
      <c r="E113" t="inlineStr">
        <is>
          <t>Cooking</t>
        </is>
      </c>
      <c r="F113" t="inlineStr">
        <is>
          <t>COMOTHNewCK</t>
        </is>
      </c>
      <c r="G113" t="inlineStr">
        <is>
          <t>TJ</t>
        </is>
      </c>
      <c r="H113" t="inlineStr">
        <is>
          <t>TJ / Mm2</t>
        </is>
      </c>
      <c r="I113" t="n">
        <v>14.95665517922422</v>
      </c>
      <c r="J113" t="n">
        <v>14.95665517922422</v>
      </c>
      <c r="K113" t="n">
        <v>14.95665517922422</v>
      </c>
      <c r="L113" t="n">
        <v>14.95665517922422</v>
      </c>
      <c r="M113" t="n">
        <v>14.95665517922422</v>
      </c>
      <c r="N113" t="n">
        <v>14.95665517922422</v>
      </c>
      <c r="O113" t="n">
        <v>14.95665517922422</v>
      </c>
      <c r="P113" t="n">
        <v>14.95665517922422</v>
      </c>
      <c r="Q113" t="n">
        <v>14.95665517922422</v>
      </c>
      <c r="R113" t="n">
        <v>14.95665517922422</v>
      </c>
      <c r="S113" t="n">
        <v>14.95665517922422</v>
      </c>
      <c r="T113" t="n">
        <v>14.95665517922422</v>
      </c>
      <c r="U113" t="n">
        <v>14.95665517922422</v>
      </c>
      <c r="V113" t="n">
        <v>14.95665517922422</v>
      </c>
      <c r="W113" t="n">
        <v>14.95665517922422</v>
      </c>
      <c r="X113" t="n">
        <v>14.95665517922422</v>
      </c>
      <c r="Y113" t="n">
        <v>14.95665517922422</v>
      </c>
      <c r="Z113" t="n">
        <v>14.95665517922422</v>
      </c>
    </row>
    <row r="114">
      <c r="A114" t="inlineStr">
        <is>
          <t>Commercial</t>
        </is>
      </c>
      <c r="B114" t="inlineStr">
        <is>
          <t>Hotel</t>
        </is>
      </c>
      <c r="D114" t="inlineStr">
        <is>
          <t>New</t>
        </is>
      </c>
      <c r="E114" t="inlineStr">
        <is>
          <t>Refrigeration</t>
        </is>
      </c>
      <c r="F114" t="inlineStr">
        <is>
          <t>COMHOTNewRE</t>
        </is>
      </c>
      <c r="G114" t="inlineStr">
        <is>
          <t>TJ</t>
        </is>
      </c>
      <c r="H114" t="inlineStr">
        <is>
          <t>TJ / Mm2</t>
        </is>
      </c>
      <c r="I114" t="n">
        <v>30.09599080362027</v>
      </c>
      <c r="J114" t="n">
        <v>30.09599080362027</v>
      </c>
      <c r="K114" t="n">
        <v>30.09599080362027</v>
      </c>
      <c r="L114" t="n">
        <v>30.09599080362027</v>
      </c>
      <c r="M114" t="n">
        <v>30.09599080362027</v>
      </c>
      <c r="N114" t="n">
        <v>30.09599080362027</v>
      </c>
      <c r="O114" t="n">
        <v>30.09599080362027</v>
      </c>
      <c r="P114" t="n">
        <v>30.09599080362027</v>
      </c>
      <c r="Q114" t="n">
        <v>30.09599080362027</v>
      </c>
      <c r="R114" t="n">
        <v>30.09599080362027</v>
      </c>
      <c r="S114" t="n">
        <v>30.09599080362027</v>
      </c>
      <c r="T114" t="n">
        <v>30.09599080362027</v>
      </c>
      <c r="U114" t="n">
        <v>30.09599080362027</v>
      </c>
      <c r="V114" t="n">
        <v>30.09599080362027</v>
      </c>
      <c r="W114" t="n">
        <v>30.09599080362027</v>
      </c>
      <c r="X114" t="n">
        <v>30.09599080362027</v>
      </c>
      <c r="Y114" t="n">
        <v>30.09599080362027</v>
      </c>
      <c r="Z114" t="n">
        <v>30.09599080362027</v>
      </c>
    </row>
    <row r="115">
      <c r="A115" t="inlineStr">
        <is>
          <t>Commercial</t>
        </is>
      </c>
      <c r="B115" t="inlineStr">
        <is>
          <t>Retail</t>
        </is>
      </c>
      <c r="D115" t="inlineStr">
        <is>
          <t>New</t>
        </is>
      </c>
      <c r="E115" t="inlineStr">
        <is>
          <t>Refrigeration</t>
        </is>
      </c>
      <c r="F115" t="inlineStr">
        <is>
          <t>COMRETNewRE</t>
        </is>
      </c>
      <c r="G115" t="inlineStr">
        <is>
          <t>TJ</t>
        </is>
      </c>
      <c r="H115" t="inlineStr">
        <is>
          <t>TJ / Mm2</t>
        </is>
      </c>
      <c r="I115" t="n">
        <v>27.99116858415247</v>
      </c>
      <c r="J115" t="n">
        <v>27.99116858415247</v>
      </c>
      <c r="K115" t="n">
        <v>27.99116858415247</v>
      </c>
      <c r="L115" t="n">
        <v>27.99116858415247</v>
      </c>
      <c r="M115" t="n">
        <v>27.99116858415247</v>
      </c>
      <c r="N115" t="n">
        <v>27.99116858415247</v>
      </c>
      <c r="O115" t="n">
        <v>27.99116858415247</v>
      </c>
      <c r="P115" t="n">
        <v>27.99116858415247</v>
      </c>
      <c r="Q115" t="n">
        <v>27.99116858415247</v>
      </c>
      <c r="R115" t="n">
        <v>27.99116858415247</v>
      </c>
      <c r="S115" t="n">
        <v>27.99116858415247</v>
      </c>
      <c r="T115" t="n">
        <v>27.99116858415247</v>
      </c>
      <c r="U115" t="n">
        <v>27.99116858415247</v>
      </c>
      <c r="V115" t="n">
        <v>27.99116858415247</v>
      </c>
      <c r="W115" t="n">
        <v>27.99116858415247</v>
      </c>
      <c r="X115" t="n">
        <v>27.99116858415247</v>
      </c>
      <c r="Y115" t="n">
        <v>27.99116858415247</v>
      </c>
      <c r="Z115" t="n">
        <v>27.99116858415247</v>
      </c>
    </row>
    <row r="116">
      <c r="A116" t="inlineStr">
        <is>
          <t>Commercial</t>
        </is>
      </c>
      <c r="B116" t="inlineStr">
        <is>
          <t>Office</t>
        </is>
      </c>
      <c r="D116" t="inlineStr">
        <is>
          <t>New</t>
        </is>
      </c>
      <c r="E116" t="inlineStr">
        <is>
          <t>Refrigeration</t>
        </is>
      </c>
      <c r="F116" t="inlineStr">
        <is>
          <t>COMOFFNewRE</t>
        </is>
      </c>
      <c r="G116" t="inlineStr">
        <is>
          <t>TJ</t>
        </is>
      </c>
      <c r="H116" t="inlineStr">
        <is>
          <t>TJ / Mm2</t>
        </is>
      </c>
      <c r="I116" t="n">
        <v>4.481459638992964</v>
      </c>
      <c r="J116" t="n">
        <v>4.481459638992964</v>
      </c>
      <c r="K116" t="n">
        <v>4.481459638992964</v>
      </c>
      <c r="L116" t="n">
        <v>4.481459638992964</v>
      </c>
      <c r="M116" t="n">
        <v>4.481459638992964</v>
      </c>
      <c r="N116" t="n">
        <v>4.481459638992964</v>
      </c>
      <c r="O116" t="n">
        <v>4.481459638992964</v>
      </c>
      <c r="P116" t="n">
        <v>4.481459638992964</v>
      </c>
      <c r="Q116" t="n">
        <v>4.481459638992964</v>
      </c>
      <c r="R116" t="n">
        <v>4.481459638992964</v>
      </c>
      <c r="S116" t="n">
        <v>4.481459638992964</v>
      </c>
      <c r="T116" t="n">
        <v>4.481459638992964</v>
      </c>
      <c r="U116" t="n">
        <v>4.481459638992964</v>
      </c>
      <c r="V116" t="n">
        <v>4.481459638992964</v>
      </c>
      <c r="W116" t="n">
        <v>4.481459638992964</v>
      </c>
      <c r="X116" t="n">
        <v>4.481459638992964</v>
      </c>
      <c r="Y116" t="n">
        <v>4.481459638992964</v>
      </c>
      <c r="Z116" t="n">
        <v>4.481459638992964</v>
      </c>
    </row>
    <row r="117">
      <c r="A117" t="inlineStr">
        <is>
          <t>Commercial</t>
        </is>
      </c>
      <c r="B117" t="inlineStr">
        <is>
          <t>Hospital</t>
        </is>
      </c>
      <c r="D117" t="inlineStr">
        <is>
          <t>New</t>
        </is>
      </c>
      <c r="E117" t="inlineStr">
        <is>
          <t>Refrigeration</t>
        </is>
      </c>
      <c r="F117" t="inlineStr">
        <is>
          <t>COMHOPNewRE</t>
        </is>
      </c>
      <c r="G117" t="inlineStr">
        <is>
          <t>TJ</t>
        </is>
      </c>
      <c r="H117" t="inlineStr">
        <is>
          <t>TJ / Mm2</t>
        </is>
      </c>
      <c r="I117" t="n">
        <v>21.96917087923601</v>
      </c>
      <c r="J117" t="n">
        <v>21.96917087923601</v>
      </c>
      <c r="K117" t="n">
        <v>21.96917087923601</v>
      </c>
      <c r="L117" t="n">
        <v>21.96917087923601</v>
      </c>
      <c r="M117" t="n">
        <v>21.96917087923601</v>
      </c>
      <c r="N117" t="n">
        <v>21.96917087923601</v>
      </c>
      <c r="O117" t="n">
        <v>21.96917087923601</v>
      </c>
      <c r="P117" t="n">
        <v>21.96917087923601</v>
      </c>
      <c r="Q117" t="n">
        <v>21.96917087923601</v>
      </c>
      <c r="R117" t="n">
        <v>21.96917087923601</v>
      </c>
      <c r="S117" t="n">
        <v>21.96917087923601</v>
      </c>
      <c r="T117" t="n">
        <v>21.96917087923601</v>
      </c>
      <c r="U117" t="n">
        <v>21.96917087923601</v>
      </c>
      <c r="V117" t="n">
        <v>21.96917087923601</v>
      </c>
      <c r="W117" t="n">
        <v>21.96917087923601</v>
      </c>
      <c r="X117" t="n">
        <v>21.96917087923601</v>
      </c>
      <c r="Y117" t="n">
        <v>21.96917087923601</v>
      </c>
      <c r="Z117" t="n">
        <v>21.96917087923601</v>
      </c>
    </row>
    <row r="118">
      <c r="A118" t="inlineStr">
        <is>
          <t>Commercial</t>
        </is>
      </c>
      <c r="B118" t="inlineStr">
        <is>
          <t>Educationnal</t>
        </is>
      </c>
      <c r="D118" t="inlineStr">
        <is>
          <t>New</t>
        </is>
      </c>
      <c r="E118" t="inlineStr">
        <is>
          <t>Refrigeration</t>
        </is>
      </c>
      <c r="F118" t="inlineStr">
        <is>
          <t>COMEDUNewRE</t>
        </is>
      </c>
      <c r="G118" t="inlineStr">
        <is>
          <t>TJ</t>
        </is>
      </c>
      <c r="H118" t="inlineStr">
        <is>
          <t>TJ / Mm2</t>
        </is>
      </c>
      <c r="I118" t="n">
        <v>11.76597180868916</v>
      </c>
      <c r="J118" t="n">
        <v>11.76597180868916</v>
      </c>
      <c r="K118" t="n">
        <v>11.76597180868916</v>
      </c>
      <c r="L118" t="n">
        <v>11.76597180868916</v>
      </c>
      <c r="M118" t="n">
        <v>11.76597180868916</v>
      </c>
      <c r="N118" t="n">
        <v>11.76597180868916</v>
      </c>
      <c r="O118" t="n">
        <v>11.76597180868916</v>
      </c>
      <c r="P118" t="n">
        <v>11.76597180868916</v>
      </c>
      <c r="Q118" t="n">
        <v>11.76597180868916</v>
      </c>
      <c r="R118" t="n">
        <v>11.76597180868916</v>
      </c>
      <c r="S118" t="n">
        <v>11.76597180868916</v>
      </c>
      <c r="T118" t="n">
        <v>11.76597180868916</v>
      </c>
      <c r="U118" t="n">
        <v>11.76597180868916</v>
      </c>
      <c r="V118" t="n">
        <v>11.76597180868916</v>
      </c>
      <c r="W118" t="n">
        <v>11.76597180868916</v>
      </c>
      <c r="X118" t="n">
        <v>11.76597180868916</v>
      </c>
      <c r="Y118" t="n">
        <v>11.76597180868916</v>
      </c>
      <c r="Z118" t="n">
        <v>11.76597180868916</v>
      </c>
    </row>
    <row r="119">
      <c r="A119" t="inlineStr">
        <is>
          <t>Commercial</t>
        </is>
      </c>
      <c r="B119" t="inlineStr">
        <is>
          <t>Warehouse</t>
        </is>
      </c>
      <c r="D119" t="inlineStr">
        <is>
          <t>New</t>
        </is>
      </c>
      <c r="E119" t="inlineStr">
        <is>
          <t>Refrigeration</t>
        </is>
      </c>
      <c r="F119" t="inlineStr">
        <is>
          <t>COMWARNewRE</t>
        </is>
      </c>
      <c r="G119" t="inlineStr">
        <is>
          <t>TJ</t>
        </is>
      </c>
      <c r="H119" t="inlineStr">
        <is>
          <t>TJ / Mm2</t>
        </is>
      </c>
      <c r="I119" t="n">
        <v>13.11152244863203</v>
      </c>
      <c r="J119" t="n">
        <v>13.11152244863203</v>
      </c>
      <c r="K119" t="n">
        <v>13.11152244863203</v>
      </c>
      <c r="L119" t="n">
        <v>13.11152244863203</v>
      </c>
      <c r="M119" t="n">
        <v>13.11152244863203</v>
      </c>
      <c r="N119" t="n">
        <v>13.11152244863203</v>
      </c>
      <c r="O119" t="n">
        <v>13.11152244863203</v>
      </c>
      <c r="P119" t="n">
        <v>13.11152244863203</v>
      </c>
      <c r="Q119" t="n">
        <v>13.11152244863203</v>
      </c>
      <c r="R119" t="n">
        <v>13.11152244863203</v>
      </c>
      <c r="S119" t="n">
        <v>13.11152244863203</v>
      </c>
      <c r="T119" t="n">
        <v>13.11152244863203</v>
      </c>
      <c r="U119" t="n">
        <v>13.11152244863203</v>
      </c>
      <c r="V119" t="n">
        <v>13.11152244863203</v>
      </c>
      <c r="W119" t="n">
        <v>13.11152244863203</v>
      </c>
      <c r="X119" t="n">
        <v>13.11152244863203</v>
      </c>
      <c r="Y119" t="n">
        <v>13.11152244863203</v>
      </c>
      <c r="Z119" t="n">
        <v>13.11152244863203</v>
      </c>
    </row>
    <row r="120">
      <c r="A120" t="inlineStr">
        <is>
          <t>Commercial</t>
        </is>
      </c>
      <c r="B120" t="inlineStr">
        <is>
          <t>Municipal</t>
        </is>
      </c>
      <c r="D120" t="inlineStr">
        <is>
          <t>New</t>
        </is>
      </c>
      <c r="E120" t="inlineStr">
        <is>
          <t>Refrigeration</t>
        </is>
      </c>
      <c r="F120" t="inlineStr">
        <is>
          <t>COMMUNNewRE</t>
        </is>
      </c>
      <c r="G120" t="inlineStr">
        <is>
          <t>TJ</t>
        </is>
      </c>
      <c r="H120" t="inlineStr">
        <is>
          <t>TJ / Mm2</t>
        </is>
      </c>
      <c r="I120" t="n">
        <v>31.82329148716559</v>
      </c>
      <c r="J120" t="n">
        <v>31.82329148716559</v>
      </c>
      <c r="K120" t="n">
        <v>31.82329148716559</v>
      </c>
      <c r="L120" t="n">
        <v>31.82329148716559</v>
      </c>
      <c r="M120" t="n">
        <v>31.82329148716559</v>
      </c>
      <c r="N120" t="n">
        <v>31.82329148716559</v>
      </c>
      <c r="O120" t="n">
        <v>31.82329148716559</v>
      </c>
      <c r="P120" t="n">
        <v>31.82329148716559</v>
      </c>
      <c r="Q120" t="n">
        <v>31.82329148716559</v>
      </c>
      <c r="R120" t="n">
        <v>31.82329148716559</v>
      </c>
      <c r="S120" t="n">
        <v>31.82329148716559</v>
      </c>
      <c r="T120" t="n">
        <v>31.82329148716559</v>
      </c>
      <c r="U120" t="n">
        <v>31.82329148716559</v>
      </c>
      <c r="V120" t="n">
        <v>31.82329148716559</v>
      </c>
      <c r="W120" t="n">
        <v>31.82329148716559</v>
      </c>
      <c r="X120" t="n">
        <v>31.82329148716559</v>
      </c>
      <c r="Y120" t="n">
        <v>31.82329148716559</v>
      </c>
      <c r="Z120" t="n">
        <v>31.82329148716559</v>
      </c>
    </row>
    <row r="121">
      <c r="A121" t="inlineStr">
        <is>
          <t>Commercial</t>
        </is>
      </c>
      <c r="B121" t="inlineStr">
        <is>
          <t>Other</t>
        </is>
      </c>
      <c r="D121" t="inlineStr">
        <is>
          <t>New</t>
        </is>
      </c>
      <c r="E121" t="inlineStr">
        <is>
          <t>Refrigeration</t>
        </is>
      </c>
      <c r="F121" t="inlineStr">
        <is>
          <t>COMOTHNewRE</t>
        </is>
      </c>
      <c r="G121" t="inlineStr">
        <is>
          <t>TJ</t>
        </is>
      </c>
      <c r="H121" t="inlineStr">
        <is>
          <t>TJ / Mm2</t>
        </is>
      </c>
      <c r="I121" t="n">
        <v>10.9836708632804</v>
      </c>
      <c r="J121" t="n">
        <v>10.9836708632804</v>
      </c>
      <c r="K121" t="n">
        <v>10.9836708632804</v>
      </c>
      <c r="L121" t="n">
        <v>10.9836708632804</v>
      </c>
      <c r="M121" t="n">
        <v>10.9836708632804</v>
      </c>
      <c r="N121" t="n">
        <v>10.9836708632804</v>
      </c>
      <c r="O121" t="n">
        <v>10.9836708632804</v>
      </c>
      <c r="P121" t="n">
        <v>10.9836708632804</v>
      </c>
      <c r="Q121" t="n">
        <v>10.9836708632804</v>
      </c>
      <c r="R121" t="n">
        <v>10.9836708632804</v>
      </c>
      <c r="S121" t="n">
        <v>10.9836708632804</v>
      </c>
      <c r="T121" t="n">
        <v>10.9836708632804</v>
      </c>
      <c r="U121" t="n">
        <v>10.9836708632804</v>
      </c>
      <c r="V121" t="n">
        <v>10.9836708632804</v>
      </c>
      <c r="W121" t="n">
        <v>10.9836708632804</v>
      </c>
      <c r="X121" t="n">
        <v>10.9836708632804</v>
      </c>
      <c r="Y121" t="n">
        <v>10.9836708632804</v>
      </c>
      <c r="Z121" t="n">
        <v>10.9836708632804</v>
      </c>
    </row>
    <row r="122">
      <c r="A122" t="inlineStr">
        <is>
          <t>Commercial</t>
        </is>
      </c>
      <c r="B122" t="inlineStr">
        <is>
          <t>Hotel</t>
        </is>
      </c>
      <c r="D122" t="inlineStr">
        <is>
          <t>New</t>
        </is>
      </c>
      <c r="E122" t="inlineStr">
        <is>
          <t>Other end use</t>
        </is>
      </c>
      <c r="F122" t="inlineStr">
        <is>
          <t>COMHOTNewOE</t>
        </is>
      </c>
      <c r="G122" t="inlineStr">
        <is>
          <t>TJ</t>
        </is>
      </c>
      <c r="H122" t="inlineStr">
        <is>
          <t>TJ / Mm2</t>
        </is>
      </c>
      <c r="I122" t="n">
        <v>202.4469134280653</v>
      </c>
      <c r="J122" t="n">
        <v>202.4469134280653</v>
      </c>
      <c r="K122" t="n">
        <v>202.4469134280653</v>
      </c>
      <c r="L122" t="n">
        <v>202.4469134280653</v>
      </c>
      <c r="M122" t="n">
        <v>202.4469134280653</v>
      </c>
      <c r="N122" t="n">
        <v>202.4469134280653</v>
      </c>
      <c r="O122" t="n">
        <v>202.4469134280653</v>
      </c>
      <c r="P122" t="n">
        <v>202.4469134280653</v>
      </c>
      <c r="Q122" t="n">
        <v>202.4469134280653</v>
      </c>
      <c r="R122" t="n">
        <v>202.4469134280653</v>
      </c>
      <c r="S122" t="n">
        <v>202.4469134280653</v>
      </c>
      <c r="T122" t="n">
        <v>202.4469134280653</v>
      </c>
      <c r="U122" t="n">
        <v>202.4469134280653</v>
      </c>
      <c r="V122" t="n">
        <v>202.4469134280653</v>
      </c>
      <c r="W122" t="n">
        <v>202.4469134280653</v>
      </c>
      <c r="X122" t="n">
        <v>202.4469134280653</v>
      </c>
      <c r="Y122" t="n">
        <v>202.4469134280653</v>
      </c>
      <c r="Z122" t="n">
        <v>202.4469134280653</v>
      </c>
    </row>
    <row r="123">
      <c r="A123" t="inlineStr">
        <is>
          <t>Commercial</t>
        </is>
      </c>
      <c r="B123" t="inlineStr">
        <is>
          <t>Retail</t>
        </is>
      </c>
      <c r="D123" t="inlineStr">
        <is>
          <t>New</t>
        </is>
      </c>
      <c r="E123" t="inlineStr">
        <is>
          <t>Other end use</t>
        </is>
      </c>
      <c r="F123" t="inlineStr">
        <is>
          <t>COMRETNewOE</t>
        </is>
      </c>
      <c r="G123" t="inlineStr">
        <is>
          <t>TJ</t>
        </is>
      </c>
      <c r="H123" t="inlineStr">
        <is>
          <t>TJ / Mm2</t>
        </is>
      </c>
      <c r="I123" t="n">
        <v>63.43649383991544</v>
      </c>
      <c r="J123" t="n">
        <v>63.43649383991544</v>
      </c>
      <c r="K123" t="n">
        <v>63.43649383991544</v>
      </c>
      <c r="L123" t="n">
        <v>63.43649383991544</v>
      </c>
      <c r="M123" t="n">
        <v>63.43649383991544</v>
      </c>
      <c r="N123" t="n">
        <v>63.43649383991544</v>
      </c>
      <c r="O123" t="n">
        <v>63.43649383991544</v>
      </c>
      <c r="P123" t="n">
        <v>63.43649383991544</v>
      </c>
      <c r="Q123" t="n">
        <v>63.43649383991544</v>
      </c>
      <c r="R123" t="n">
        <v>63.43649383991544</v>
      </c>
      <c r="S123" t="n">
        <v>63.43649383991544</v>
      </c>
      <c r="T123" t="n">
        <v>63.43649383991544</v>
      </c>
      <c r="U123" t="n">
        <v>63.43649383991544</v>
      </c>
      <c r="V123" t="n">
        <v>63.43649383991544</v>
      </c>
      <c r="W123" t="n">
        <v>63.43649383991544</v>
      </c>
      <c r="X123" t="n">
        <v>63.43649383991544</v>
      </c>
      <c r="Y123" t="n">
        <v>63.43649383991544</v>
      </c>
      <c r="Z123" t="n">
        <v>63.43649383991544</v>
      </c>
    </row>
    <row r="124">
      <c r="A124" t="inlineStr">
        <is>
          <t>Commercial</t>
        </is>
      </c>
      <c r="B124" t="inlineStr">
        <is>
          <t>Office</t>
        </is>
      </c>
      <c r="D124" t="inlineStr">
        <is>
          <t>New</t>
        </is>
      </c>
      <c r="E124" t="inlineStr">
        <is>
          <t>Other end use</t>
        </is>
      </c>
      <c r="F124" t="inlineStr">
        <is>
          <t>COMOFFNewOE</t>
        </is>
      </c>
      <c r="G124" t="inlineStr">
        <is>
          <t>TJ</t>
        </is>
      </c>
      <c r="H124" t="inlineStr">
        <is>
          <t>TJ / Mm2</t>
        </is>
      </c>
      <c r="I124" t="n">
        <v>117.1291455966903</v>
      </c>
      <c r="J124" t="n">
        <v>117.1291455966903</v>
      </c>
      <c r="K124" t="n">
        <v>117.1291455966903</v>
      </c>
      <c r="L124" t="n">
        <v>117.1291455966903</v>
      </c>
      <c r="M124" t="n">
        <v>117.1291455966903</v>
      </c>
      <c r="N124" t="n">
        <v>117.1291455966903</v>
      </c>
      <c r="O124" t="n">
        <v>117.1291455966903</v>
      </c>
      <c r="P124" t="n">
        <v>117.1291455966903</v>
      </c>
      <c r="Q124" t="n">
        <v>117.1291455966903</v>
      </c>
      <c r="R124" t="n">
        <v>117.1291455966903</v>
      </c>
      <c r="S124" t="n">
        <v>117.1291455966903</v>
      </c>
      <c r="T124" t="n">
        <v>117.1291455966903</v>
      </c>
      <c r="U124" t="n">
        <v>117.1291455966903</v>
      </c>
      <c r="V124" t="n">
        <v>117.1291455966903</v>
      </c>
      <c r="W124" t="n">
        <v>117.1291455966903</v>
      </c>
      <c r="X124" t="n">
        <v>117.1291455966903</v>
      </c>
      <c r="Y124" t="n">
        <v>117.1291455966903</v>
      </c>
      <c r="Z124" t="n">
        <v>117.1291455966903</v>
      </c>
    </row>
    <row r="125">
      <c r="A125" t="inlineStr">
        <is>
          <t>Commercial</t>
        </is>
      </c>
      <c r="B125" t="inlineStr">
        <is>
          <t>Hospital</t>
        </is>
      </c>
      <c r="D125" t="inlineStr">
        <is>
          <t>New</t>
        </is>
      </c>
      <c r="E125" t="inlineStr">
        <is>
          <t>Other end use</t>
        </is>
      </c>
      <c r="F125" t="inlineStr">
        <is>
          <t>COMHOPNewOE</t>
        </is>
      </c>
      <c r="G125" t="inlineStr">
        <is>
          <t>TJ</t>
        </is>
      </c>
      <c r="H125" t="inlineStr">
        <is>
          <t>TJ / Mm2</t>
        </is>
      </c>
      <c r="I125" t="n">
        <v>308.0255580527217</v>
      </c>
      <c r="J125" t="n">
        <v>308.0255580527217</v>
      </c>
      <c r="K125" t="n">
        <v>308.0255580527217</v>
      </c>
      <c r="L125" t="n">
        <v>308.0255580527217</v>
      </c>
      <c r="M125" t="n">
        <v>308.0255580527217</v>
      </c>
      <c r="N125" t="n">
        <v>308.0255580527217</v>
      </c>
      <c r="O125" t="n">
        <v>308.0255580527217</v>
      </c>
      <c r="P125" t="n">
        <v>308.0255580527217</v>
      </c>
      <c r="Q125" t="n">
        <v>308.0255580527217</v>
      </c>
      <c r="R125" t="n">
        <v>308.0255580527217</v>
      </c>
      <c r="S125" t="n">
        <v>308.0255580527217</v>
      </c>
      <c r="T125" t="n">
        <v>308.0255580527217</v>
      </c>
      <c r="U125" t="n">
        <v>308.0255580527217</v>
      </c>
      <c r="V125" t="n">
        <v>308.0255580527217</v>
      </c>
      <c r="W125" t="n">
        <v>308.0255580527217</v>
      </c>
      <c r="X125" t="n">
        <v>308.0255580527217</v>
      </c>
      <c r="Y125" t="n">
        <v>308.0255580527217</v>
      </c>
      <c r="Z125" t="n">
        <v>308.0255580527217</v>
      </c>
    </row>
    <row r="126">
      <c r="A126" t="inlineStr">
        <is>
          <t>Commercial</t>
        </is>
      </c>
      <c r="B126" t="inlineStr">
        <is>
          <t>Educationnal</t>
        </is>
      </c>
      <c r="D126" t="inlineStr">
        <is>
          <t>New</t>
        </is>
      </c>
      <c r="E126" t="inlineStr">
        <is>
          <t>Other end use</t>
        </is>
      </c>
      <c r="F126" t="inlineStr">
        <is>
          <t>COMEDUNewOE</t>
        </is>
      </c>
      <c r="G126" t="inlineStr">
        <is>
          <t>TJ</t>
        </is>
      </c>
      <c r="H126" t="inlineStr">
        <is>
          <t>TJ / Mm2</t>
        </is>
      </c>
      <c r="I126" t="n">
        <v>102.1311135501117</v>
      </c>
      <c r="J126" t="n">
        <v>102.1311135501117</v>
      </c>
      <c r="K126" t="n">
        <v>102.1311135501117</v>
      </c>
      <c r="L126" t="n">
        <v>102.1311135501117</v>
      </c>
      <c r="M126" t="n">
        <v>102.1311135501117</v>
      </c>
      <c r="N126" t="n">
        <v>102.1311135501117</v>
      </c>
      <c r="O126" t="n">
        <v>102.1311135501117</v>
      </c>
      <c r="P126" t="n">
        <v>102.1311135501117</v>
      </c>
      <c r="Q126" t="n">
        <v>102.1311135501117</v>
      </c>
      <c r="R126" t="n">
        <v>102.1311135501117</v>
      </c>
      <c r="S126" t="n">
        <v>102.1311135501117</v>
      </c>
      <c r="T126" t="n">
        <v>102.1311135501117</v>
      </c>
      <c r="U126" t="n">
        <v>102.1311135501117</v>
      </c>
      <c r="V126" t="n">
        <v>102.1311135501117</v>
      </c>
      <c r="W126" t="n">
        <v>102.1311135501117</v>
      </c>
      <c r="X126" t="n">
        <v>102.1311135501117</v>
      </c>
      <c r="Y126" t="n">
        <v>102.1311135501117</v>
      </c>
      <c r="Z126" t="n">
        <v>102.1311135501117</v>
      </c>
    </row>
    <row r="127">
      <c r="A127" t="inlineStr">
        <is>
          <t>Commercial</t>
        </is>
      </c>
      <c r="B127" t="inlineStr">
        <is>
          <t>Warehouse</t>
        </is>
      </c>
      <c r="D127" t="inlineStr">
        <is>
          <t>New</t>
        </is>
      </c>
      <c r="E127" t="inlineStr">
        <is>
          <t>Other end use</t>
        </is>
      </c>
      <c r="F127" t="inlineStr">
        <is>
          <t>COMWARNewOE</t>
        </is>
      </c>
      <c r="G127" t="inlineStr">
        <is>
          <t>TJ</t>
        </is>
      </c>
      <c r="H127" t="inlineStr">
        <is>
          <t>TJ / Mm2</t>
        </is>
      </c>
      <c r="I127" t="n">
        <v>49.40520476229054</v>
      </c>
      <c r="J127" t="n">
        <v>49.40520476229054</v>
      </c>
      <c r="K127" t="n">
        <v>49.40520476229054</v>
      </c>
      <c r="L127" t="n">
        <v>49.40520476229054</v>
      </c>
      <c r="M127" t="n">
        <v>49.40520476229054</v>
      </c>
      <c r="N127" t="n">
        <v>49.40520476229054</v>
      </c>
      <c r="O127" t="n">
        <v>49.40520476229054</v>
      </c>
      <c r="P127" t="n">
        <v>49.40520476229054</v>
      </c>
      <c r="Q127" t="n">
        <v>49.40520476229054</v>
      </c>
      <c r="R127" t="n">
        <v>49.40520476229054</v>
      </c>
      <c r="S127" t="n">
        <v>49.40520476229054</v>
      </c>
      <c r="T127" t="n">
        <v>49.40520476229054</v>
      </c>
      <c r="U127" t="n">
        <v>49.40520476229054</v>
      </c>
      <c r="V127" t="n">
        <v>49.40520476229054</v>
      </c>
      <c r="W127" t="n">
        <v>49.40520476229054</v>
      </c>
      <c r="X127" t="n">
        <v>49.40520476229054</v>
      </c>
      <c r="Y127" t="n">
        <v>49.40520476229054</v>
      </c>
      <c r="Z127" t="n">
        <v>49.40520476229054</v>
      </c>
    </row>
    <row r="128">
      <c r="A128" t="inlineStr">
        <is>
          <t>Commercial</t>
        </is>
      </c>
      <c r="B128" t="inlineStr">
        <is>
          <t>Municipal</t>
        </is>
      </c>
      <c r="D128" t="inlineStr">
        <is>
          <t>New</t>
        </is>
      </c>
      <c r="E128" t="inlineStr">
        <is>
          <t>Other end use</t>
        </is>
      </c>
      <c r="F128" t="inlineStr">
        <is>
          <t>COMMUNNewOE</t>
        </is>
      </c>
      <c r="G128" t="inlineStr">
        <is>
          <t>TJ</t>
        </is>
      </c>
      <c r="H128" t="inlineStr">
        <is>
          <t>TJ / Mm2</t>
        </is>
      </c>
      <c r="I128" t="n">
        <v>331.1279670766874</v>
      </c>
      <c r="J128" t="n">
        <v>331.1279670766874</v>
      </c>
      <c r="K128" t="n">
        <v>331.1279670766874</v>
      </c>
      <c r="L128" t="n">
        <v>331.1279670766874</v>
      </c>
      <c r="M128" t="n">
        <v>331.1279670766874</v>
      </c>
      <c r="N128" t="n">
        <v>331.1279670766874</v>
      </c>
      <c r="O128" t="n">
        <v>331.1279670766874</v>
      </c>
      <c r="P128" t="n">
        <v>331.1279670766874</v>
      </c>
      <c r="Q128" t="n">
        <v>331.1279670766874</v>
      </c>
      <c r="R128" t="n">
        <v>331.1279670766874</v>
      </c>
      <c r="S128" t="n">
        <v>331.1279670766874</v>
      </c>
      <c r="T128" t="n">
        <v>331.1279670766874</v>
      </c>
      <c r="U128" t="n">
        <v>331.1279670766874</v>
      </c>
      <c r="V128" t="n">
        <v>331.1279670766874</v>
      </c>
      <c r="W128" t="n">
        <v>331.1279670766874</v>
      </c>
      <c r="X128" t="n">
        <v>331.1279670766874</v>
      </c>
      <c r="Y128" t="n">
        <v>331.1279670766874</v>
      </c>
      <c r="Z128" t="n">
        <v>331.1279670766874</v>
      </c>
    </row>
    <row r="129">
      <c r="A129" t="inlineStr">
        <is>
          <t>Commercial</t>
        </is>
      </c>
      <c r="B129" t="inlineStr">
        <is>
          <t>Other</t>
        </is>
      </c>
      <c r="D129" t="inlineStr">
        <is>
          <t>New</t>
        </is>
      </c>
      <c r="E129" t="inlineStr">
        <is>
          <t>Other end use</t>
        </is>
      </c>
      <c r="F129" t="inlineStr">
        <is>
          <t>COMOTHNewOE</t>
        </is>
      </c>
      <c r="G129" t="inlineStr">
        <is>
          <t>TJ</t>
        </is>
      </c>
      <c r="H129" t="inlineStr">
        <is>
          <t>TJ / Mm2</t>
        </is>
      </c>
      <c r="I129" t="n">
        <v>584.6058621898259</v>
      </c>
      <c r="J129" t="n">
        <v>584.6058621898259</v>
      </c>
      <c r="K129" t="n">
        <v>584.6058621898259</v>
      </c>
      <c r="L129" t="n">
        <v>584.6058621898259</v>
      </c>
      <c r="M129" t="n">
        <v>584.6058621898259</v>
      </c>
      <c r="N129" t="n">
        <v>584.6058621898259</v>
      </c>
      <c r="O129" t="n">
        <v>584.6058621898259</v>
      </c>
      <c r="P129" t="n">
        <v>584.6058621898259</v>
      </c>
      <c r="Q129" t="n">
        <v>584.6058621898259</v>
      </c>
      <c r="R129" t="n">
        <v>584.6058621898259</v>
      </c>
      <c r="S129" t="n">
        <v>584.6058621898259</v>
      </c>
      <c r="T129" t="n">
        <v>584.6058621898259</v>
      </c>
      <c r="U129" t="n">
        <v>584.6058621898259</v>
      </c>
      <c r="V129" t="n">
        <v>584.6058621898259</v>
      </c>
      <c r="W129" t="n">
        <v>584.6058621898259</v>
      </c>
      <c r="X129" t="n">
        <v>584.6058621898259</v>
      </c>
      <c r="Y129" t="n">
        <v>584.6058621898259</v>
      </c>
      <c r="Z129" t="n">
        <v>584.6058621898259</v>
      </c>
    </row>
    <row r="130">
      <c r="A130" t="inlineStr">
        <is>
          <t>Residential</t>
        </is>
      </c>
      <c r="B130" t="inlineStr">
        <is>
          <t>Apartment</t>
        </is>
      </c>
      <c r="C130" t="inlineStr">
        <is>
          <t>Low Income</t>
        </is>
      </c>
      <c r="D130" t="inlineStr">
        <is>
          <t>Old</t>
        </is>
      </c>
      <c r="E130" t="inlineStr">
        <is>
          <t>Space heating</t>
        </is>
      </c>
      <c r="F130" t="inlineStr">
        <is>
          <t>RESAPALOOldSH</t>
        </is>
      </c>
      <c r="G130" t="inlineStr">
        <is>
          <t>TJ</t>
        </is>
      </c>
      <c r="H130" t="inlineStr">
        <is>
          <t>TJ / Mm2</t>
        </is>
      </c>
      <c r="I130" t="n">
        <v>250.95541034782</v>
      </c>
      <c r="J130" t="n">
        <v>250.95541034782</v>
      </c>
      <c r="K130" t="n">
        <v>246.5358000094907</v>
      </c>
      <c r="L130" t="n">
        <v>242.8527913942163</v>
      </c>
      <c r="M130" t="n">
        <v>239.1697827789418</v>
      </c>
      <c r="N130" t="n">
        <v>235.4867741636674</v>
      </c>
      <c r="O130" t="n">
        <v>231.803765548393</v>
      </c>
      <c r="P130" t="n">
        <v>228.1207569331185</v>
      </c>
      <c r="Q130" t="n">
        <v>226.423434803899</v>
      </c>
      <c r="R130" t="n">
        <v>224.7261126746795</v>
      </c>
      <c r="S130" t="n">
        <v>223.02879054546</v>
      </c>
      <c r="T130" t="n">
        <v>221.3314684162405</v>
      </c>
      <c r="U130" t="n">
        <v>219.634146287021</v>
      </c>
      <c r="V130" t="n">
        <v>217.9368241578015</v>
      </c>
      <c r="W130" t="n">
        <v>216.239502028582</v>
      </c>
      <c r="X130" t="n">
        <v>214.5421798993625</v>
      </c>
      <c r="Y130" t="n">
        <v>212.844857770143</v>
      </c>
      <c r="Z130" t="n">
        <v>211.1475356409235</v>
      </c>
    </row>
    <row r="131">
      <c r="A131" t="inlineStr">
        <is>
          <t>Residential</t>
        </is>
      </c>
      <c r="B131" t="inlineStr">
        <is>
          <t>House</t>
        </is>
      </c>
      <c r="C131" t="inlineStr">
        <is>
          <t>Low Income</t>
        </is>
      </c>
      <c r="D131" t="inlineStr">
        <is>
          <t>Old</t>
        </is>
      </c>
      <c r="E131" t="inlineStr">
        <is>
          <t>Space heating</t>
        </is>
      </c>
      <c r="F131" t="inlineStr">
        <is>
          <t>RESHOULOOldSH</t>
        </is>
      </c>
      <c r="G131" t="inlineStr">
        <is>
          <t>TJ</t>
        </is>
      </c>
      <c r="H131" t="inlineStr">
        <is>
          <t>TJ / Mm2</t>
        </is>
      </c>
      <c r="I131" t="n">
        <v>477.3361603595534</v>
      </c>
      <c r="J131" t="n">
        <v>477.3361603595534</v>
      </c>
      <c r="K131" t="n">
        <v>468.9297274149136</v>
      </c>
      <c r="L131" t="n">
        <v>461.9243666277138</v>
      </c>
      <c r="M131" t="n">
        <v>454.919005840514</v>
      </c>
      <c r="N131" t="n">
        <v>447.9136450533142</v>
      </c>
      <c r="O131" t="n">
        <v>440.9082842661144</v>
      </c>
      <c r="P131" t="n">
        <v>433.9029234789146</v>
      </c>
      <c r="Q131" t="n">
        <v>430.6744884874872</v>
      </c>
      <c r="R131" t="n">
        <v>427.4460534960597</v>
      </c>
      <c r="S131" t="n">
        <v>424.2176185046322</v>
      </c>
      <c r="T131" t="n">
        <v>420.9891835132048</v>
      </c>
      <c r="U131" t="n">
        <v>417.7607485217773</v>
      </c>
      <c r="V131" t="n">
        <v>414.5323135303499</v>
      </c>
      <c r="W131" t="n">
        <v>411.3038785389224</v>
      </c>
      <c r="X131" t="n">
        <v>408.075443547495</v>
      </c>
      <c r="Y131" t="n">
        <v>404.8470085560675</v>
      </c>
      <c r="Z131" t="n">
        <v>401.61857356464</v>
      </c>
    </row>
    <row r="132">
      <c r="A132" t="inlineStr">
        <is>
          <t>Residential</t>
        </is>
      </c>
      <c r="B132" t="inlineStr">
        <is>
          <t>Apartment</t>
        </is>
      </c>
      <c r="C132" t="inlineStr">
        <is>
          <t>Lower-Middle Income</t>
        </is>
      </c>
      <c r="D132" t="inlineStr">
        <is>
          <t>Old</t>
        </is>
      </c>
      <c r="E132" t="inlineStr">
        <is>
          <t>Space heating</t>
        </is>
      </c>
      <c r="F132" t="inlineStr">
        <is>
          <t>RESAPALMOldSH</t>
        </is>
      </c>
      <c r="G132" t="inlineStr">
        <is>
          <t>TJ</t>
        </is>
      </c>
      <c r="H132" t="inlineStr">
        <is>
          <t>TJ / Mm2</t>
        </is>
      </c>
      <c r="I132" t="n">
        <v>279.9220849892483</v>
      </c>
      <c r="J132" t="n">
        <v>279.9220849892483</v>
      </c>
      <c r="K132" t="n">
        <v>274.992338549311</v>
      </c>
      <c r="L132" t="n">
        <v>270.8842165160299</v>
      </c>
      <c r="M132" t="n">
        <v>266.7760944827488</v>
      </c>
      <c r="N132" t="n">
        <v>262.6679724494676</v>
      </c>
      <c r="O132" t="n">
        <v>258.5598504161865</v>
      </c>
      <c r="P132" t="n">
        <v>254.4517283829054</v>
      </c>
      <c r="Q132" t="n">
        <v>252.5584918567392</v>
      </c>
      <c r="R132" t="n">
        <v>250.665255330573</v>
      </c>
      <c r="S132" t="n">
        <v>248.7720188044069</v>
      </c>
      <c r="T132" t="n">
        <v>246.8787822782407</v>
      </c>
      <c r="U132" t="n">
        <v>244.9855457520745</v>
      </c>
      <c r="V132" t="n">
        <v>243.0923092259084</v>
      </c>
      <c r="W132" t="n">
        <v>241.1990726997422</v>
      </c>
      <c r="X132" t="n">
        <v>239.305836173576</v>
      </c>
      <c r="Y132" t="n">
        <v>237.4125996474098</v>
      </c>
      <c r="Z132" t="n">
        <v>235.5193631212437</v>
      </c>
    </row>
    <row r="133">
      <c r="A133" t="inlineStr">
        <is>
          <t>Residential</t>
        </is>
      </c>
      <c r="B133" t="inlineStr">
        <is>
          <t>House</t>
        </is>
      </c>
      <c r="C133" t="inlineStr">
        <is>
          <t>Lower-Middle Income</t>
        </is>
      </c>
      <c r="D133" t="inlineStr">
        <is>
          <t>Old</t>
        </is>
      </c>
      <c r="E133" t="inlineStr">
        <is>
          <t>Space heating</t>
        </is>
      </c>
      <c r="F133" t="inlineStr">
        <is>
          <t>RESHOULMOldSH</t>
        </is>
      </c>
      <c r="G133" t="inlineStr">
        <is>
          <t>TJ</t>
        </is>
      </c>
      <c r="H133" t="inlineStr">
        <is>
          <t>TJ / Mm2</t>
        </is>
      </c>
      <c r="I133" t="n">
        <v>462.5108141623416</v>
      </c>
      <c r="J133" t="n">
        <v>462.5108141623416</v>
      </c>
      <c r="K133" t="n">
        <v>454.3654724339928</v>
      </c>
      <c r="L133" t="n">
        <v>447.5776876603688</v>
      </c>
      <c r="M133" t="n">
        <v>440.7899028867448</v>
      </c>
      <c r="N133" t="n">
        <v>434.0021181131208</v>
      </c>
      <c r="O133" t="n">
        <v>427.2143333394968</v>
      </c>
      <c r="P133" t="n">
        <v>420.4265485658727</v>
      </c>
      <c r="Q133" t="n">
        <v>417.2983839298004</v>
      </c>
      <c r="R133" t="n">
        <v>414.1702192937281</v>
      </c>
      <c r="S133" t="n">
        <v>411.0420546576557</v>
      </c>
      <c r="T133" t="n">
        <v>407.9138900215834</v>
      </c>
      <c r="U133" t="n">
        <v>404.7857253855111</v>
      </c>
      <c r="V133" t="n">
        <v>401.6575607494388</v>
      </c>
      <c r="W133" t="n">
        <v>398.5293961133665</v>
      </c>
      <c r="X133" t="n">
        <v>395.4012314772941</v>
      </c>
      <c r="Y133" t="n">
        <v>392.2730668412218</v>
      </c>
      <c r="Z133" t="n">
        <v>389.1449022051495</v>
      </c>
    </row>
    <row r="134">
      <c r="A134" t="inlineStr">
        <is>
          <t>Residential</t>
        </is>
      </c>
      <c r="B134" t="inlineStr">
        <is>
          <t>Apartment</t>
        </is>
      </c>
      <c r="C134" t="inlineStr">
        <is>
          <t>Upper-Middle Income</t>
        </is>
      </c>
      <c r="D134" t="inlineStr">
        <is>
          <t>Old</t>
        </is>
      </c>
      <c r="E134" t="inlineStr">
        <is>
          <t>Space heating</t>
        </is>
      </c>
      <c r="F134" t="inlineStr">
        <is>
          <t>RESAPAUMOldSH</t>
        </is>
      </c>
      <c r="G134" t="inlineStr">
        <is>
          <t>TJ</t>
        </is>
      </c>
      <c r="H134" t="inlineStr">
        <is>
          <t>TJ / Mm2</t>
        </is>
      </c>
      <c r="I134" t="n">
        <v>261.1929035210704</v>
      </c>
      <c r="J134" t="n">
        <v>261.1929035210704</v>
      </c>
      <c r="K134" t="n">
        <v>256.592999278719</v>
      </c>
      <c r="L134" t="n">
        <v>252.7597457434262</v>
      </c>
      <c r="M134" t="n">
        <v>248.9264922081333</v>
      </c>
      <c r="N134" t="n">
        <v>245.0932386728405</v>
      </c>
      <c r="O134" t="n">
        <v>241.2599851375476</v>
      </c>
      <c r="P134" t="n">
        <v>237.4267316022548</v>
      </c>
      <c r="Q134" t="n">
        <v>235.660168791248</v>
      </c>
      <c r="R134" t="n">
        <v>233.8936059802412</v>
      </c>
      <c r="S134" t="n">
        <v>232.1270431692344</v>
      </c>
      <c r="T134" t="n">
        <v>230.3604803582276</v>
      </c>
      <c r="U134" t="n">
        <v>228.5939175472209</v>
      </c>
      <c r="V134" t="n">
        <v>226.8273547362141</v>
      </c>
      <c r="W134" t="n">
        <v>225.0607919252073</v>
      </c>
      <c r="X134" t="n">
        <v>223.2942291142005</v>
      </c>
      <c r="Y134" t="n">
        <v>221.5276663031937</v>
      </c>
      <c r="Z134" t="n">
        <v>219.7611034921869</v>
      </c>
    </row>
    <row r="135">
      <c r="A135" t="inlineStr">
        <is>
          <t>Residential</t>
        </is>
      </c>
      <c r="B135" t="inlineStr">
        <is>
          <t>House</t>
        </is>
      </c>
      <c r="C135" t="inlineStr">
        <is>
          <t>Upper-Middle Income</t>
        </is>
      </c>
      <c r="D135" t="inlineStr">
        <is>
          <t>Old</t>
        </is>
      </c>
      <c r="E135" t="inlineStr">
        <is>
          <t>Space heating</t>
        </is>
      </c>
      <c r="F135" t="inlineStr">
        <is>
          <t>RESHOUUMOldSH</t>
        </is>
      </c>
      <c r="G135" t="inlineStr">
        <is>
          <t>TJ</t>
        </is>
      </c>
      <c r="H135" t="inlineStr">
        <is>
          <t>TJ / Mm2</t>
        </is>
      </c>
      <c r="I135" t="n">
        <v>525.4518495819837</v>
      </c>
      <c r="J135" t="n">
        <v>525.4518495819837</v>
      </c>
      <c r="K135" t="n">
        <v>516.198044599305</v>
      </c>
      <c r="L135" t="n">
        <v>508.486540447073</v>
      </c>
      <c r="M135" t="n">
        <v>500.7750362948408</v>
      </c>
      <c r="N135" t="n">
        <v>493.0635321426087</v>
      </c>
      <c r="O135" t="n">
        <v>485.3520279903765</v>
      </c>
      <c r="P135" t="n">
        <v>477.6405238381444</v>
      </c>
      <c r="Q135" t="n">
        <v>474.0866612180928</v>
      </c>
      <c r="R135" t="n">
        <v>470.5327985980413</v>
      </c>
      <c r="S135" t="n">
        <v>466.9789359779897</v>
      </c>
      <c r="T135" t="n">
        <v>463.4250733579382</v>
      </c>
      <c r="U135" t="n">
        <v>459.8712107378866</v>
      </c>
      <c r="V135" t="n">
        <v>456.3173481178351</v>
      </c>
      <c r="W135" t="n">
        <v>452.7634854977835</v>
      </c>
      <c r="X135" t="n">
        <v>449.2096228777319</v>
      </c>
      <c r="Y135" t="n">
        <v>445.6557602576804</v>
      </c>
      <c r="Z135" t="n">
        <v>442.1018976376288</v>
      </c>
    </row>
    <row r="136">
      <c r="A136" t="inlineStr">
        <is>
          <t>Residential</t>
        </is>
      </c>
      <c r="B136" t="inlineStr">
        <is>
          <t>Apartment</t>
        </is>
      </c>
      <c r="C136" t="inlineStr">
        <is>
          <t>High Income</t>
        </is>
      </c>
      <c r="D136" t="inlineStr">
        <is>
          <t>Old</t>
        </is>
      </c>
      <c r="E136" t="inlineStr">
        <is>
          <t>Space heating</t>
        </is>
      </c>
      <c r="F136" t="inlineStr">
        <is>
          <t>RESAPAHIOldSH</t>
        </is>
      </c>
      <c r="G136" t="inlineStr">
        <is>
          <t>TJ</t>
        </is>
      </c>
      <c r="H136" t="inlineStr">
        <is>
          <t>TJ / Mm2</t>
        </is>
      </c>
      <c r="I136" t="n">
        <v>242.8752163118943</v>
      </c>
      <c r="J136" t="n">
        <v>242.8752163118943</v>
      </c>
      <c r="K136" t="n">
        <v>238.5979073849886</v>
      </c>
      <c r="L136" t="n">
        <v>235.0334832792338</v>
      </c>
      <c r="M136" t="n">
        <v>231.4690591734791</v>
      </c>
      <c r="N136" t="n">
        <v>227.9046350677243</v>
      </c>
      <c r="O136" t="n">
        <v>224.3402109619695</v>
      </c>
      <c r="P136" t="n">
        <v>220.7757868562148</v>
      </c>
      <c r="Q136" t="n">
        <v>219.1331146431958</v>
      </c>
      <c r="R136" t="n">
        <v>217.4904424301767</v>
      </c>
      <c r="S136" t="n">
        <v>215.8477702171577</v>
      </c>
      <c r="T136" t="n">
        <v>214.2050980041387</v>
      </c>
      <c r="U136" t="n">
        <v>212.5624257911197</v>
      </c>
      <c r="V136" t="n">
        <v>210.9197535781007</v>
      </c>
      <c r="W136" t="n">
        <v>209.2770813650816</v>
      </c>
      <c r="X136" t="n">
        <v>207.6344091520626</v>
      </c>
      <c r="Y136" t="n">
        <v>205.9917369390436</v>
      </c>
      <c r="Z136" t="n">
        <v>204.3490647260246</v>
      </c>
    </row>
    <row r="137">
      <c r="A137" t="inlineStr">
        <is>
          <t>Residential</t>
        </is>
      </c>
      <c r="B137" t="inlineStr">
        <is>
          <t>House</t>
        </is>
      </c>
      <c r="C137" t="inlineStr">
        <is>
          <t>High Income</t>
        </is>
      </c>
      <c r="D137" t="inlineStr">
        <is>
          <t>Old</t>
        </is>
      </c>
      <c r="E137" t="inlineStr">
        <is>
          <t>Space heating</t>
        </is>
      </c>
      <c r="F137" t="inlineStr">
        <is>
          <t>RESHOUHIOldSH</t>
        </is>
      </c>
      <c r="G137" t="inlineStr">
        <is>
          <t>TJ</t>
        </is>
      </c>
      <c r="H137" t="inlineStr">
        <is>
          <t>TJ / Mm2</t>
        </is>
      </c>
      <c r="I137" t="n">
        <v>460.6475307097601</v>
      </c>
      <c r="J137" t="n">
        <v>460.6475307097601</v>
      </c>
      <c r="K137" t="n">
        <v>452.5350035232411</v>
      </c>
      <c r="L137" t="n">
        <v>445.7745642011419</v>
      </c>
      <c r="M137" t="n">
        <v>439.0141248790427</v>
      </c>
      <c r="N137" t="n">
        <v>432.2536855569435</v>
      </c>
      <c r="O137" t="n">
        <v>425.4932462348443</v>
      </c>
      <c r="P137" t="n">
        <v>418.732806912745</v>
      </c>
      <c r="Q137" t="n">
        <v>415.617244484502</v>
      </c>
      <c r="R137" t="n">
        <v>412.5016820562589</v>
      </c>
      <c r="S137" t="n">
        <v>409.3861196280158</v>
      </c>
      <c r="T137" t="n">
        <v>406.2705571997727</v>
      </c>
      <c r="U137" t="n">
        <v>403.1549947715297</v>
      </c>
      <c r="V137" t="n">
        <v>400.0394323432866</v>
      </c>
      <c r="W137" t="n">
        <v>396.9238699150435</v>
      </c>
      <c r="X137" t="n">
        <v>393.8083074868004</v>
      </c>
      <c r="Y137" t="n">
        <v>390.6927450585574</v>
      </c>
      <c r="Z137" t="n">
        <v>387.5771826303143</v>
      </c>
    </row>
    <row r="138">
      <c r="A138" t="inlineStr">
        <is>
          <t>Residential</t>
        </is>
      </c>
      <c r="B138" t="inlineStr">
        <is>
          <t>Apartment</t>
        </is>
      </c>
      <c r="C138" t="inlineStr">
        <is>
          <t>Low Income</t>
        </is>
      </c>
      <c r="D138" t="inlineStr">
        <is>
          <t>Old</t>
        </is>
      </c>
      <c r="E138" t="inlineStr">
        <is>
          <t>Space cooling</t>
        </is>
      </c>
      <c r="F138" t="inlineStr">
        <is>
          <t>RESAPALOOldSC</t>
        </is>
      </c>
      <c r="G138" t="inlineStr">
        <is>
          <t>TJ</t>
        </is>
      </c>
      <c r="H138" t="inlineStr">
        <is>
          <t>TJ / Mm2</t>
        </is>
      </c>
      <c r="I138" t="n">
        <v>69.11562315055905</v>
      </c>
      <c r="J138" t="n">
        <v>69.11562315055905</v>
      </c>
      <c r="K138" t="n">
        <v>71.78288193259802</v>
      </c>
      <c r="L138" t="n">
        <v>74.00559758429716</v>
      </c>
      <c r="M138" t="n">
        <v>76.22831323599631</v>
      </c>
      <c r="N138" t="n">
        <v>78.45102888769546</v>
      </c>
      <c r="O138" t="n">
        <v>80.6737445393946</v>
      </c>
      <c r="P138" t="n">
        <v>82.89646019109375</v>
      </c>
      <c r="Q138" t="n">
        <v>83.92080329117377</v>
      </c>
      <c r="R138" t="n">
        <v>84.94514639125377</v>
      </c>
      <c r="S138" t="n">
        <v>85.96948949133377</v>
      </c>
      <c r="T138" t="n">
        <v>86.99383259141379</v>
      </c>
      <c r="U138" t="n">
        <v>88.01817569149381</v>
      </c>
      <c r="V138" t="n">
        <v>89.04251879157381</v>
      </c>
      <c r="W138" t="n">
        <v>90.06686189165382</v>
      </c>
      <c r="X138" t="n">
        <v>91.09120499173383</v>
      </c>
      <c r="Y138" t="n">
        <v>92.11554809181385</v>
      </c>
      <c r="Z138" t="n">
        <v>93.13989119189385</v>
      </c>
    </row>
    <row r="139">
      <c r="A139" t="inlineStr">
        <is>
          <t>Residential</t>
        </is>
      </c>
      <c r="B139" t="inlineStr">
        <is>
          <t>House</t>
        </is>
      </c>
      <c r="C139" t="inlineStr">
        <is>
          <t>Low Income</t>
        </is>
      </c>
      <c r="D139" t="inlineStr">
        <is>
          <t>Old</t>
        </is>
      </c>
      <c r="E139" t="inlineStr">
        <is>
          <t>Space cooling</t>
        </is>
      </c>
      <c r="F139" t="inlineStr">
        <is>
          <t>RESHOULOOldSC</t>
        </is>
      </c>
      <c r="G139" t="inlineStr">
        <is>
          <t>TJ</t>
        </is>
      </c>
      <c r="H139" t="inlineStr">
        <is>
          <t>TJ / Mm2</t>
        </is>
      </c>
      <c r="I139" t="n">
        <v>87.18541454684379</v>
      </c>
      <c r="J139" t="n">
        <v>87.18541454684379</v>
      </c>
      <c r="K139" t="n">
        <v>90.55000929424565</v>
      </c>
      <c r="L139" t="n">
        <v>93.35383825041387</v>
      </c>
      <c r="M139" t="n">
        <v>96.15766720658209</v>
      </c>
      <c r="N139" t="n">
        <v>98.96149616275032</v>
      </c>
      <c r="O139" t="n">
        <v>101.7653251189185</v>
      </c>
      <c r="P139" t="n">
        <v>104.5691540750868</v>
      </c>
      <c r="Q139" t="n">
        <v>105.8613044420758</v>
      </c>
      <c r="R139" t="n">
        <v>107.1534548090649</v>
      </c>
      <c r="S139" t="n">
        <v>108.445605176054</v>
      </c>
      <c r="T139" t="n">
        <v>109.7377555430431</v>
      </c>
      <c r="U139" t="n">
        <v>111.0299059100322</v>
      </c>
      <c r="V139" t="n">
        <v>112.3220562770213</v>
      </c>
      <c r="W139" t="n">
        <v>113.6142066440104</v>
      </c>
      <c r="X139" t="n">
        <v>114.9063570109995</v>
      </c>
      <c r="Y139" t="n">
        <v>116.1985073779886</v>
      </c>
      <c r="Z139" t="n">
        <v>117.4906577449777</v>
      </c>
    </row>
    <row r="140">
      <c r="A140" t="inlineStr">
        <is>
          <t>Residential</t>
        </is>
      </c>
      <c r="B140" t="inlineStr">
        <is>
          <t>Apartment</t>
        </is>
      </c>
      <c r="C140" t="inlineStr">
        <is>
          <t>Lower-Middle Income</t>
        </is>
      </c>
      <c r="D140" t="inlineStr">
        <is>
          <t>Old</t>
        </is>
      </c>
      <c r="E140" t="inlineStr">
        <is>
          <t>Space cooling</t>
        </is>
      </c>
      <c r="F140" t="inlineStr">
        <is>
          <t>RESAPALMOldSC</t>
        </is>
      </c>
      <c r="G140" t="inlineStr">
        <is>
          <t>TJ</t>
        </is>
      </c>
      <c r="H140" t="inlineStr">
        <is>
          <t>TJ / Mm2</t>
        </is>
      </c>
      <c r="I140" t="n">
        <v>76.15856203287635</v>
      </c>
      <c r="J140" t="n">
        <v>76.15856203287635</v>
      </c>
      <c r="K140" t="n">
        <v>79.0976166800022</v>
      </c>
      <c r="L140" t="n">
        <v>81.5468288859404</v>
      </c>
      <c r="M140" t="n">
        <v>83.99604109187861</v>
      </c>
      <c r="N140" t="n">
        <v>86.44525329781682</v>
      </c>
      <c r="O140" t="n">
        <v>88.89446550375503</v>
      </c>
      <c r="P140" t="n">
        <v>91.34367770969324</v>
      </c>
      <c r="Q140" t="n">
        <v>92.47240221472234</v>
      </c>
      <c r="R140" t="n">
        <v>93.60112671975143</v>
      </c>
      <c r="S140" t="n">
        <v>94.72985122478053</v>
      </c>
      <c r="T140" t="n">
        <v>95.85857572980963</v>
      </c>
      <c r="U140" t="n">
        <v>96.98730023483873</v>
      </c>
      <c r="V140" t="n">
        <v>98.11602473986781</v>
      </c>
      <c r="W140" t="n">
        <v>99.24474924489691</v>
      </c>
      <c r="X140" t="n">
        <v>100.373473749926</v>
      </c>
      <c r="Y140" t="n">
        <v>101.5021982549551</v>
      </c>
      <c r="Z140" t="n">
        <v>102.6309227599842</v>
      </c>
    </row>
    <row r="141">
      <c r="A141" t="inlineStr">
        <is>
          <t>Residential</t>
        </is>
      </c>
      <c r="B141" t="inlineStr">
        <is>
          <t>House</t>
        </is>
      </c>
      <c r="C141" t="inlineStr">
        <is>
          <t>Lower-Middle Income</t>
        </is>
      </c>
      <c r="D141" t="inlineStr">
        <is>
          <t>Old</t>
        </is>
      </c>
      <c r="E141" t="inlineStr">
        <is>
          <t>Space cooling</t>
        </is>
      </c>
      <c r="F141" t="inlineStr">
        <is>
          <t>RESHOULMOldSC</t>
        </is>
      </c>
      <c r="G141" t="inlineStr">
        <is>
          <t>TJ</t>
        </is>
      </c>
      <c r="H141" t="inlineStr">
        <is>
          <t>TJ / Mm2</t>
        </is>
      </c>
      <c r="I141" t="n">
        <v>82.71267133217131</v>
      </c>
      <c r="J141" t="n">
        <v>82.71267133217131</v>
      </c>
      <c r="K141" t="n">
        <v>85.90465729627171</v>
      </c>
      <c r="L141" t="n">
        <v>88.56464559968872</v>
      </c>
      <c r="M141" t="n">
        <v>91.22463390310571</v>
      </c>
      <c r="N141" t="n">
        <v>93.88462220652272</v>
      </c>
      <c r="O141" t="n">
        <v>96.54461050993973</v>
      </c>
      <c r="P141" t="n">
        <v>99.20459881335672</v>
      </c>
      <c r="Q141" t="n">
        <v>100.4304599183594</v>
      </c>
      <c r="R141" t="n">
        <v>101.6563210233622</v>
      </c>
      <c r="S141" t="n">
        <v>102.8821821283649</v>
      </c>
      <c r="T141" t="n">
        <v>104.1080432333676</v>
      </c>
      <c r="U141" t="n">
        <v>105.3339043383703</v>
      </c>
      <c r="V141" t="n">
        <v>106.559765443373</v>
      </c>
      <c r="W141" t="n">
        <v>107.7856265483757</v>
      </c>
      <c r="X141" t="n">
        <v>109.0114876533784</v>
      </c>
      <c r="Y141" t="n">
        <v>110.2373487583811</v>
      </c>
      <c r="Z141" t="n">
        <v>111.4632098633838</v>
      </c>
    </row>
    <row r="142">
      <c r="A142" t="inlineStr">
        <is>
          <t>Residential</t>
        </is>
      </c>
      <c r="B142" t="inlineStr">
        <is>
          <t>Apartment</t>
        </is>
      </c>
      <c r="C142" t="inlineStr">
        <is>
          <t>Upper-Middle Income</t>
        </is>
      </c>
      <c r="D142" t="inlineStr">
        <is>
          <t>Old</t>
        </is>
      </c>
      <c r="E142" t="inlineStr">
        <is>
          <t>Space cooling</t>
        </is>
      </c>
      <c r="F142" t="inlineStr">
        <is>
          <t>RESAPAUMOldSC</t>
        </is>
      </c>
      <c r="G142" t="inlineStr">
        <is>
          <t>TJ</t>
        </is>
      </c>
      <c r="H142" t="inlineStr">
        <is>
          <t>TJ / Mm2</t>
        </is>
      </c>
      <c r="I142" t="n">
        <v>86.63327659915691</v>
      </c>
      <c r="J142" t="n">
        <v>86.63327659915691</v>
      </c>
      <c r="K142" t="n">
        <v>89.97656364906965</v>
      </c>
      <c r="L142" t="n">
        <v>92.7626361906636</v>
      </c>
      <c r="M142" t="n">
        <v>95.54870873225754</v>
      </c>
      <c r="N142" t="n">
        <v>98.33478127385149</v>
      </c>
      <c r="O142" t="n">
        <v>101.1208538154454</v>
      </c>
      <c r="P142" t="n">
        <v>103.9069263570394</v>
      </c>
      <c r="Q142" t="n">
        <v>105.1908936436883</v>
      </c>
      <c r="R142" t="n">
        <v>106.4748609303371</v>
      </c>
      <c r="S142" t="n">
        <v>107.758828216986</v>
      </c>
      <c r="T142" t="n">
        <v>109.0427955036349</v>
      </c>
      <c r="U142" t="n">
        <v>110.3267627902837</v>
      </c>
      <c r="V142" t="n">
        <v>111.6107300769326</v>
      </c>
      <c r="W142" t="n">
        <v>112.8946973635815</v>
      </c>
      <c r="X142" t="n">
        <v>114.1786646502304</v>
      </c>
      <c r="Y142" t="n">
        <v>115.4626319368792</v>
      </c>
      <c r="Z142" t="n">
        <v>116.7465992235281</v>
      </c>
    </row>
    <row r="143">
      <c r="A143" t="inlineStr">
        <is>
          <t>Residential</t>
        </is>
      </c>
      <c r="B143" t="inlineStr">
        <is>
          <t>House</t>
        </is>
      </c>
      <c r="C143" t="inlineStr">
        <is>
          <t>Upper-Middle Income</t>
        </is>
      </c>
      <c r="D143" t="inlineStr">
        <is>
          <t>Old</t>
        </is>
      </c>
      <c r="E143" t="inlineStr">
        <is>
          <t>Space cooling</t>
        </is>
      </c>
      <c r="F143" t="inlineStr">
        <is>
          <t>RESHOUUMOldSC</t>
        </is>
      </c>
      <c r="G143" t="inlineStr">
        <is>
          <t>TJ</t>
        </is>
      </c>
      <c r="H143" t="inlineStr">
        <is>
          <t>TJ / Mm2</t>
        </is>
      </c>
      <c r="I143" t="n">
        <v>93.59626666317821</v>
      </c>
      <c r="J143" t="n">
        <v>93.59626666317821</v>
      </c>
      <c r="K143" t="n">
        <v>97.2082642527768</v>
      </c>
      <c r="L143" t="n">
        <v>100.218262244109</v>
      </c>
      <c r="M143" t="n">
        <v>103.2282602354411</v>
      </c>
      <c r="N143" t="n">
        <v>106.2382582267733</v>
      </c>
      <c r="O143" t="n">
        <v>109.2482562181055</v>
      </c>
      <c r="P143" t="n">
        <v>112.2582542094376</v>
      </c>
      <c r="Q143" t="n">
        <v>113.6454180022146</v>
      </c>
      <c r="R143" t="n">
        <v>115.0325817949916</v>
      </c>
      <c r="S143" t="n">
        <v>116.4197455877686</v>
      </c>
      <c r="T143" t="n">
        <v>117.8069093805456</v>
      </c>
      <c r="U143" t="n">
        <v>119.1940731733226</v>
      </c>
      <c r="V143" t="n">
        <v>120.5812369660996</v>
      </c>
      <c r="W143" t="n">
        <v>121.9684007588766</v>
      </c>
      <c r="X143" t="n">
        <v>123.3555645516536</v>
      </c>
      <c r="Y143" t="n">
        <v>124.7427283444306</v>
      </c>
      <c r="Z143" t="n">
        <v>126.1298921372076</v>
      </c>
    </row>
    <row r="144">
      <c r="A144" t="inlineStr">
        <is>
          <t>Residential</t>
        </is>
      </c>
      <c r="B144" t="inlineStr">
        <is>
          <t>Apartment</t>
        </is>
      </c>
      <c r="C144" t="inlineStr">
        <is>
          <t>High Income</t>
        </is>
      </c>
      <c r="D144" t="inlineStr">
        <is>
          <t>Old</t>
        </is>
      </c>
      <c r="E144" t="inlineStr">
        <is>
          <t>Space cooling</t>
        </is>
      </c>
      <c r="F144" t="inlineStr">
        <is>
          <t>RESAPAHIOldSC</t>
        </is>
      </c>
      <c r="G144" t="inlineStr">
        <is>
          <t>TJ</t>
        </is>
      </c>
      <c r="H144" t="inlineStr">
        <is>
          <t>TJ / Mm2</t>
        </is>
      </c>
      <c r="I144" t="n">
        <v>82.40658266246619</v>
      </c>
      <c r="J144" t="n">
        <v>82.40658266246619</v>
      </c>
      <c r="K144" t="n">
        <v>85.58675628002122</v>
      </c>
      <c r="L144" t="n">
        <v>88.23690096131709</v>
      </c>
      <c r="M144" t="n">
        <v>90.88704564261295</v>
      </c>
      <c r="N144" t="n">
        <v>93.5371903239088</v>
      </c>
      <c r="O144" t="n">
        <v>96.18733500520467</v>
      </c>
      <c r="P144" t="n">
        <v>98.83747968650053</v>
      </c>
      <c r="Q144" t="n">
        <v>100.0588043379124</v>
      </c>
      <c r="R144" t="n">
        <v>101.2801289893243</v>
      </c>
      <c r="S144" t="n">
        <v>102.5014536407361</v>
      </c>
      <c r="T144" t="n">
        <v>103.722778292148</v>
      </c>
      <c r="U144" t="n">
        <v>104.9441029435598</v>
      </c>
      <c r="V144" t="n">
        <v>106.1654275949717</v>
      </c>
      <c r="W144" t="n">
        <v>107.3867522463836</v>
      </c>
      <c r="X144" t="n">
        <v>108.6080768977954</v>
      </c>
      <c r="Y144" t="n">
        <v>109.8294015492073</v>
      </c>
      <c r="Z144" t="n">
        <v>111.0507262006192</v>
      </c>
    </row>
    <row r="145">
      <c r="A145" t="inlineStr">
        <is>
          <t>Residential</t>
        </is>
      </c>
      <c r="B145" t="inlineStr">
        <is>
          <t>House</t>
        </is>
      </c>
      <c r="C145" t="inlineStr">
        <is>
          <t>High Income</t>
        </is>
      </c>
      <c r="D145" t="inlineStr">
        <is>
          <t>Old</t>
        </is>
      </c>
      <c r="E145" t="inlineStr">
        <is>
          <t>Space cooling</t>
        </is>
      </c>
      <c r="F145" t="inlineStr">
        <is>
          <t>RESHOUHIOldSC</t>
        </is>
      </c>
      <c r="G145" t="inlineStr">
        <is>
          <t>TJ</t>
        </is>
      </c>
      <c r="H145" t="inlineStr">
        <is>
          <t>TJ / Mm2</t>
        </is>
      </c>
      <c r="I145" t="n">
        <v>98.98498096251132</v>
      </c>
      <c r="J145" t="n">
        <v>98.98498096251132</v>
      </c>
      <c r="K145" t="n">
        <v>102.8049358110278</v>
      </c>
      <c r="L145" t="n">
        <v>105.9882315181249</v>
      </c>
      <c r="M145" t="n">
        <v>109.1715272252221</v>
      </c>
      <c r="N145" t="n">
        <v>112.3548229323192</v>
      </c>
      <c r="O145" t="n">
        <v>115.5381186394163</v>
      </c>
      <c r="P145" t="n">
        <v>118.7214143465134</v>
      </c>
      <c r="Q145" t="n">
        <v>120.1884427496231</v>
      </c>
      <c r="R145" t="n">
        <v>121.6554711527329</v>
      </c>
      <c r="S145" t="n">
        <v>123.1224995558426</v>
      </c>
      <c r="T145" t="n">
        <v>124.5895279589523</v>
      </c>
      <c r="U145" t="n">
        <v>126.0565563620621</v>
      </c>
      <c r="V145" t="n">
        <v>127.5235847651718</v>
      </c>
      <c r="W145" t="n">
        <v>128.9906131682816</v>
      </c>
      <c r="X145" t="n">
        <v>130.4576415713913</v>
      </c>
      <c r="Y145" t="n">
        <v>131.9246699745011</v>
      </c>
      <c r="Z145" t="n">
        <v>133.3916983776108</v>
      </c>
    </row>
    <row r="146">
      <c r="A146" t="inlineStr">
        <is>
          <t>Residential</t>
        </is>
      </c>
      <c r="B146" t="inlineStr">
        <is>
          <t>Apartment</t>
        </is>
      </c>
      <c r="C146" t="inlineStr">
        <is>
          <t>Low Income</t>
        </is>
      </c>
      <c r="D146" t="inlineStr">
        <is>
          <t>Old</t>
        </is>
      </c>
      <c r="E146" t="inlineStr">
        <is>
          <t>Water heating</t>
        </is>
      </c>
      <c r="F146" t="inlineStr">
        <is>
          <t>RESAPALOOldWH</t>
        </is>
      </c>
      <c r="G146" t="inlineStr">
        <is>
          <t>TJ</t>
        </is>
      </c>
      <c r="H146" t="inlineStr">
        <is>
          <t>TJ / Mm2</t>
        </is>
      </c>
      <c r="I146" t="n">
        <v>166.2656998642067</v>
      </c>
      <c r="J146" t="n">
        <v>166.2656998642067</v>
      </c>
      <c r="K146" t="n">
        <v>166.2656998642067</v>
      </c>
      <c r="L146" t="n">
        <v>166.2656998642067</v>
      </c>
      <c r="M146" t="n">
        <v>166.2656998642067</v>
      </c>
      <c r="N146" t="n">
        <v>166.2656998642067</v>
      </c>
      <c r="O146" t="n">
        <v>166.2656998642067</v>
      </c>
      <c r="P146" t="n">
        <v>166.2656998642067</v>
      </c>
      <c r="Q146" t="n">
        <v>166.2656998642067</v>
      </c>
      <c r="R146" t="n">
        <v>166.2656998642067</v>
      </c>
      <c r="S146" t="n">
        <v>166.2656998642067</v>
      </c>
      <c r="T146" t="n">
        <v>166.2656998642067</v>
      </c>
      <c r="U146" t="n">
        <v>166.2656998642067</v>
      </c>
      <c r="V146" t="n">
        <v>166.2656998642067</v>
      </c>
      <c r="W146" t="n">
        <v>166.2656998642067</v>
      </c>
      <c r="X146" t="n">
        <v>166.2656998642067</v>
      </c>
      <c r="Y146" t="n">
        <v>166.2656998642067</v>
      </c>
      <c r="Z146" t="n">
        <v>166.2656998642067</v>
      </c>
    </row>
    <row r="147">
      <c r="A147" t="inlineStr">
        <is>
          <t>Residential</t>
        </is>
      </c>
      <c r="B147" t="inlineStr">
        <is>
          <t>House</t>
        </is>
      </c>
      <c r="C147" t="inlineStr">
        <is>
          <t>Low Income</t>
        </is>
      </c>
      <c r="D147" t="inlineStr">
        <is>
          <t>Old</t>
        </is>
      </c>
      <c r="E147" t="inlineStr">
        <is>
          <t>Water heating</t>
        </is>
      </c>
      <c r="F147" t="inlineStr">
        <is>
          <t>RESHOULOOldWH</t>
        </is>
      </c>
      <c r="G147" t="inlineStr">
        <is>
          <t>TJ</t>
        </is>
      </c>
      <c r="H147" t="inlineStr">
        <is>
          <t>TJ / Mm2</t>
        </is>
      </c>
      <c r="I147" t="n">
        <v>98.81676866892069</v>
      </c>
      <c r="J147" t="n">
        <v>98.81676866892069</v>
      </c>
      <c r="K147" t="n">
        <v>98.81676866892069</v>
      </c>
      <c r="L147" t="n">
        <v>98.81676866892069</v>
      </c>
      <c r="M147" t="n">
        <v>98.81676866892069</v>
      </c>
      <c r="N147" t="n">
        <v>98.81676866892069</v>
      </c>
      <c r="O147" t="n">
        <v>98.81676866892069</v>
      </c>
      <c r="P147" t="n">
        <v>98.81676866892069</v>
      </c>
      <c r="Q147" t="n">
        <v>98.81676866892069</v>
      </c>
      <c r="R147" t="n">
        <v>98.81676866892069</v>
      </c>
      <c r="S147" t="n">
        <v>98.81676866892069</v>
      </c>
      <c r="T147" t="n">
        <v>98.81676866892069</v>
      </c>
      <c r="U147" t="n">
        <v>98.81676866892069</v>
      </c>
      <c r="V147" t="n">
        <v>98.81676866892069</v>
      </c>
      <c r="W147" t="n">
        <v>98.81676866892069</v>
      </c>
      <c r="X147" t="n">
        <v>98.81676866892069</v>
      </c>
      <c r="Y147" t="n">
        <v>98.81676866892069</v>
      </c>
      <c r="Z147" t="n">
        <v>98.81676866892069</v>
      </c>
    </row>
    <row r="148">
      <c r="A148" t="inlineStr">
        <is>
          <t>Residential</t>
        </is>
      </c>
      <c r="B148" t="inlineStr">
        <is>
          <t>Apartment</t>
        </is>
      </c>
      <c r="C148" t="inlineStr">
        <is>
          <t>Lower-Middle Income</t>
        </is>
      </c>
      <c r="D148" t="inlineStr">
        <is>
          <t>Old</t>
        </is>
      </c>
      <c r="E148" t="inlineStr">
        <is>
          <t>Water heating</t>
        </is>
      </c>
      <c r="F148" t="inlineStr">
        <is>
          <t>RESAPALMOldWH</t>
        </is>
      </c>
      <c r="G148" t="inlineStr">
        <is>
          <t>TJ</t>
        </is>
      </c>
      <c r="H148" t="inlineStr">
        <is>
          <t>TJ / Mm2</t>
        </is>
      </c>
      <c r="I148" t="n">
        <v>138.9956235561362</v>
      </c>
      <c r="J148" t="n">
        <v>138.9956235561362</v>
      </c>
      <c r="K148" t="n">
        <v>138.9956235561362</v>
      </c>
      <c r="L148" t="n">
        <v>138.9956235561362</v>
      </c>
      <c r="M148" t="n">
        <v>138.9956235561362</v>
      </c>
      <c r="N148" t="n">
        <v>138.9956235561362</v>
      </c>
      <c r="O148" t="n">
        <v>138.9956235561362</v>
      </c>
      <c r="P148" t="n">
        <v>138.9956235561362</v>
      </c>
      <c r="Q148" t="n">
        <v>138.9956235561362</v>
      </c>
      <c r="R148" t="n">
        <v>138.9956235561362</v>
      </c>
      <c r="S148" t="n">
        <v>138.9956235561362</v>
      </c>
      <c r="T148" t="n">
        <v>138.9956235561362</v>
      </c>
      <c r="U148" t="n">
        <v>138.9956235561362</v>
      </c>
      <c r="V148" t="n">
        <v>138.9956235561362</v>
      </c>
      <c r="W148" t="n">
        <v>138.9956235561362</v>
      </c>
      <c r="X148" t="n">
        <v>138.9956235561362</v>
      </c>
      <c r="Y148" t="n">
        <v>138.9956235561362</v>
      </c>
      <c r="Z148" t="n">
        <v>138.9956235561362</v>
      </c>
    </row>
    <row r="149">
      <c r="A149" t="inlineStr">
        <is>
          <t>Residential</t>
        </is>
      </c>
      <c r="B149" t="inlineStr">
        <is>
          <t>House</t>
        </is>
      </c>
      <c r="C149" t="inlineStr">
        <is>
          <t>Lower-Middle Income</t>
        </is>
      </c>
      <c r="D149" t="inlineStr">
        <is>
          <t>Old</t>
        </is>
      </c>
      <c r="E149" t="inlineStr">
        <is>
          <t>Water heating</t>
        </is>
      </c>
      <c r="F149" t="inlineStr">
        <is>
          <t>RESHOULMOldWH</t>
        </is>
      </c>
      <c r="G149" t="inlineStr">
        <is>
          <t>TJ</t>
        </is>
      </c>
      <c r="H149" t="inlineStr">
        <is>
          <t>TJ / Mm2</t>
        </is>
      </c>
      <c r="I149" t="n">
        <v>93.67327891899139</v>
      </c>
      <c r="J149" t="n">
        <v>93.67327891899139</v>
      </c>
      <c r="K149" t="n">
        <v>93.67327891899139</v>
      </c>
      <c r="L149" t="n">
        <v>93.67327891899139</v>
      </c>
      <c r="M149" t="n">
        <v>93.67327891899139</v>
      </c>
      <c r="N149" t="n">
        <v>93.67327891899139</v>
      </c>
      <c r="O149" t="n">
        <v>93.67327891899139</v>
      </c>
      <c r="P149" t="n">
        <v>93.67327891899139</v>
      </c>
      <c r="Q149" t="n">
        <v>93.67327891899139</v>
      </c>
      <c r="R149" t="n">
        <v>93.67327891899139</v>
      </c>
      <c r="S149" t="n">
        <v>93.67327891899139</v>
      </c>
      <c r="T149" t="n">
        <v>93.67327891899139</v>
      </c>
      <c r="U149" t="n">
        <v>93.67327891899139</v>
      </c>
      <c r="V149" t="n">
        <v>93.67327891899139</v>
      </c>
      <c r="W149" t="n">
        <v>93.67327891899139</v>
      </c>
      <c r="X149" t="n">
        <v>93.67327891899139</v>
      </c>
      <c r="Y149" t="n">
        <v>93.67327891899139</v>
      </c>
      <c r="Z149" t="n">
        <v>93.67327891899139</v>
      </c>
    </row>
    <row r="150">
      <c r="A150" t="inlineStr">
        <is>
          <t>Residential</t>
        </is>
      </c>
      <c r="B150" t="inlineStr">
        <is>
          <t>Apartment</t>
        </is>
      </c>
      <c r="C150" t="inlineStr">
        <is>
          <t>Upper-Middle Income</t>
        </is>
      </c>
      <c r="D150" t="inlineStr">
        <is>
          <t>Old</t>
        </is>
      </c>
      <c r="E150" t="inlineStr">
        <is>
          <t>Water heating</t>
        </is>
      </c>
      <c r="F150" t="inlineStr">
        <is>
          <t>RESAPAUMOldWH</t>
        </is>
      </c>
      <c r="G150" t="inlineStr">
        <is>
          <t>TJ</t>
        </is>
      </c>
      <c r="H150" t="inlineStr">
        <is>
          <t>TJ / Mm2</t>
        </is>
      </c>
      <c r="I150" t="n">
        <v>140.9559136754352</v>
      </c>
      <c r="J150" t="n">
        <v>140.9559136754352</v>
      </c>
      <c r="K150" t="n">
        <v>140.9559136754352</v>
      </c>
      <c r="L150" t="n">
        <v>140.9559136754352</v>
      </c>
      <c r="M150" t="n">
        <v>140.9559136754352</v>
      </c>
      <c r="N150" t="n">
        <v>140.9559136754352</v>
      </c>
      <c r="O150" t="n">
        <v>140.9559136754352</v>
      </c>
      <c r="P150" t="n">
        <v>140.9559136754352</v>
      </c>
      <c r="Q150" t="n">
        <v>140.9559136754352</v>
      </c>
      <c r="R150" t="n">
        <v>140.9559136754352</v>
      </c>
      <c r="S150" t="n">
        <v>140.9559136754352</v>
      </c>
      <c r="T150" t="n">
        <v>140.9559136754352</v>
      </c>
      <c r="U150" t="n">
        <v>140.9559136754352</v>
      </c>
      <c r="V150" t="n">
        <v>140.9559136754352</v>
      </c>
      <c r="W150" t="n">
        <v>140.9559136754352</v>
      </c>
      <c r="X150" t="n">
        <v>140.9559136754352</v>
      </c>
      <c r="Y150" t="n">
        <v>140.9559136754352</v>
      </c>
      <c r="Z150" t="n">
        <v>140.9559136754352</v>
      </c>
    </row>
    <row r="151">
      <c r="A151" t="inlineStr">
        <is>
          <t>Residential</t>
        </is>
      </c>
      <c r="B151" t="inlineStr">
        <is>
          <t>House</t>
        </is>
      </c>
      <c r="C151" t="inlineStr">
        <is>
          <t>Upper-Middle Income</t>
        </is>
      </c>
      <c r="D151" t="inlineStr">
        <is>
          <t>Old</t>
        </is>
      </c>
      <c r="E151" t="inlineStr">
        <is>
          <t>Water heating</t>
        </is>
      </c>
      <c r="F151" t="inlineStr">
        <is>
          <t>RESHOUUMOldWH</t>
        </is>
      </c>
      <c r="G151" t="inlineStr">
        <is>
          <t>TJ</t>
        </is>
      </c>
      <c r="H151" t="inlineStr">
        <is>
          <t>TJ / Mm2</t>
        </is>
      </c>
      <c r="I151" t="n">
        <v>111.6990514318365</v>
      </c>
      <c r="J151" t="n">
        <v>111.6990514318365</v>
      </c>
      <c r="K151" t="n">
        <v>111.6990514318365</v>
      </c>
      <c r="L151" t="n">
        <v>111.6990514318365</v>
      </c>
      <c r="M151" t="n">
        <v>111.6990514318365</v>
      </c>
      <c r="N151" t="n">
        <v>111.6990514318365</v>
      </c>
      <c r="O151" t="n">
        <v>111.6990514318365</v>
      </c>
      <c r="P151" t="n">
        <v>111.6990514318365</v>
      </c>
      <c r="Q151" t="n">
        <v>111.6990514318365</v>
      </c>
      <c r="R151" t="n">
        <v>111.6990514318365</v>
      </c>
      <c r="S151" t="n">
        <v>111.6990514318365</v>
      </c>
      <c r="T151" t="n">
        <v>111.6990514318365</v>
      </c>
      <c r="U151" t="n">
        <v>111.6990514318365</v>
      </c>
      <c r="V151" t="n">
        <v>111.6990514318365</v>
      </c>
      <c r="W151" t="n">
        <v>111.6990514318365</v>
      </c>
      <c r="X151" t="n">
        <v>111.6990514318365</v>
      </c>
      <c r="Y151" t="n">
        <v>111.6990514318365</v>
      </c>
      <c r="Z151" t="n">
        <v>111.6990514318365</v>
      </c>
    </row>
    <row r="152">
      <c r="A152" t="inlineStr">
        <is>
          <t>Residential</t>
        </is>
      </c>
      <c r="B152" t="inlineStr">
        <is>
          <t>Apartment</t>
        </is>
      </c>
      <c r="C152" t="inlineStr">
        <is>
          <t>High Income</t>
        </is>
      </c>
      <c r="D152" t="inlineStr">
        <is>
          <t>Old</t>
        </is>
      </c>
      <c r="E152" t="inlineStr">
        <is>
          <t>Water heating</t>
        </is>
      </c>
      <c r="F152" t="inlineStr">
        <is>
          <t>RESAPAHIOldWH</t>
        </is>
      </c>
      <c r="G152" t="inlineStr">
        <is>
          <t>TJ</t>
        </is>
      </c>
      <c r="H152" t="inlineStr">
        <is>
          <t>TJ / Mm2</t>
        </is>
      </c>
      <c r="I152" t="n">
        <v>133.3346341653006</v>
      </c>
      <c r="J152" t="n">
        <v>133.3346341653006</v>
      </c>
      <c r="K152" t="n">
        <v>133.3346341653006</v>
      </c>
      <c r="L152" t="n">
        <v>133.3346341653006</v>
      </c>
      <c r="M152" t="n">
        <v>133.3346341653006</v>
      </c>
      <c r="N152" t="n">
        <v>133.3346341653006</v>
      </c>
      <c r="O152" t="n">
        <v>133.3346341653006</v>
      </c>
      <c r="P152" t="n">
        <v>133.3346341653006</v>
      </c>
      <c r="Q152" t="n">
        <v>133.3346341653006</v>
      </c>
      <c r="R152" t="n">
        <v>133.3346341653006</v>
      </c>
      <c r="S152" t="n">
        <v>133.3346341653006</v>
      </c>
      <c r="T152" t="n">
        <v>133.3346341653006</v>
      </c>
      <c r="U152" t="n">
        <v>133.3346341653006</v>
      </c>
      <c r="V152" t="n">
        <v>133.3346341653006</v>
      </c>
      <c r="W152" t="n">
        <v>133.3346341653006</v>
      </c>
      <c r="X152" t="n">
        <v>133.3346341653006</v>
      </c>
      <c r="Y152" t="n">
        <v>133.3346341653006</v>
      </c>
      <c r="Z152" t="n">
        <v>133.3346341653006</v>
      </c>
    </row>
    <row r="153" ht="17.25" customHeight="1">
      <c r="A153" t="inlineStr">
        <is>
          <t>Residential</t>
        </is>
      </c>
      <c r="B153" t="inlineStr">
        <is>
          <t>House</t>
        </is>
      </c>
      <c r="C153" t="inlineStr">
        <is>
          <t>High Income</t>
        </is>
      </c>
      <c r="D153" t="inlineStr">
        <is>
          <t>Old</t>
        </is>
      </c>
      <c r="E153" t="inlineStr">
        <is>
          <t>Water heating</t>
        </is>
      </c>
      <c r="F153" t="inlineStr">
        <is>
          <t>RESHOUHIOldWH</t>
        </is>
      </c>
      <c r="G153" t="inlineStr">
        <is>
          <t>TJ</t>
        </is>
      </c>
      <c r="H153" t="inlineStr">
        <is>
          <t>TJ / Mm2</t>
        </is>
      </c>
      <c r="I153" t="n">
        <v>95.74188126804731</v>
      </c>
      <c r="J153" t="n">
        <v>95.74188126804731</v>
      </c>
      <c r="K153" t="n">
        <v>95.74188126804731</v>
      </c>
      <c r="L153" t="n">
        <v>95.74188126804731</v>
      </c>
      <c r="M153" t="n">
        <v>95.74188126804731</v>
      </c>
      <c r="N153" t="n">
        <v>95.74188126804731</v>
      </c>
      <c r="O153" t="n">
        <v>95.74188126804731</v>
      </c>
      <c r="P153" t="n">
        <v>95.74188126804731</v>
      </c>
      <c r="Q153" t="n">
        <v>95.74188126804731</v>
      </c>
      <c r="R153" t="n">
        <v>95.74188126804731</v>
      </c>
      <c r="S153" t="n">
        <v>95.74188126804731</v>
      </c>
      <c r="T153" t="n">
        <v>95.74188126804731</v>
      </c>
      <c r="U153" t="n">
        <v>95.74188126804731</v>
      </c>
      <c r="V153" t="n">
        <v>95.74188126804731</v>
      </c>
      <c r="W153" t="n">
        <v>95.74188126804731</v>
      </c>
      <c r="X153" t="n">
        <v>95.74188126804731</v>
      </c>
      <c r="Y153" t="n">
        <v>95.74188126804731</v>
      </c>
      <c r="Z153" t="n">
        <v>95.74188126804731</v>
      </c>
    </row>
    <row r="154">
      <c r="A154" t="inlineStr">
        <is>
          <t>Residential</t>
        </is>
      </c>
      <c r="B154" t="inlineStr">
        <is>
          <t>Apartment</t>
        </is>
      </c>
      <c r="C154" t="inlineStr">
        <is>
          <t>Low Income</t>
        </is>
      </c>
      <c r="D154" t="inlineStr">
        <is>
          <t>Old</t>
        </is>
      </c>
      <c r="E154" t="inlineStr">
        <is>
          <t>Refrigeration</t>
        </is>
      </c>
      <c r="F154" t="inlineStr">
        <is>
          <t>RESAPALOOldRE</t>
        </is>
      </c>
      <c r="G154" t="inlineStr">
        <is>
          <t>TJ</t>
        </is>
      </c>
      <c r="H154" t="inlineStr">
        <is>
          <t>TJ / Mm2</t>
        </is>
      </c>
      <c r="I154" t="n">
        <v>15.09144417568619</v>
      </c>
      <c r="J154" t="n">
        <v>15.09144417568619</v>
      </c>
      <c r="K154" t="n">
        <v>15.09144417568619</v>
      </c>
      <c r="L154" t="n">
        <v>15.09144417568619</v>
      </c>
      <c r="M154" t="n">
        <v>15.09144417568619</v>
      </c>
      <c r="N154" t="n">
        <v>15.09144417568619</v>
      </c>
      <c r="O154" t="n">
        <v>15.09144417568619</v>
      </c>
      <c r="P154" t="n">
        <v>15.09144417568619</v>
      </c>
      <c r="Q154" t="n">
        <v>15.09144417568619</v>
      </c>
      <c r="R154" t="n">
        <v>15.09144417568619</v>
      </c>
      <c r="S154" t="n">
        <v>15.09144417568619</v>
      </c>
      <c r="T154" t="n">
        <v>15.09144417568619</v>
      </c>
      <c r="U154" t="n">
        <v>15.09144417568619</v>
      </c>
      <c r="V154" t="n">
        <v>15.09144417568619</v>
      </c>
      <c r="W154" t="n">
        <v>15.09144417568619</v>
      </c>
      <c r="X154" t="n">
        <v>15.09144417568619</v>
      </c>
      <c r="Y154" t="n">
        <v>15.09144417568619</v>
      </c>
      <c r="Z154" t="n">
        <v>15.09144417568619</v>
      </c>
    </row>
    <row r="155">
      <c r="A155" t="inlineStr">
        <is>
          <t>Residential</t>
        </is>
      </c>
      <c r="B155" t="inlineStr">
        <is>
          <t>House</t>
        </is>
      </c>
      <c r="C155" t="inlineStr">
        <is>
          <t>Low Income</t>
        </is>
      </c>
      <c r="D155" t="inlineStr">
        <is>
          <t>Old</t>
        </is>
      </c>
      <c r="E155" t="inlineStr">
        <is>
          <t>Refrigeration</t>
        </is>
      </c>
      <c r="F155" t="inlineStr">
        <is>
          <t>RESHOULOOldRE</t>
        </is>
      </c>
      <c r="G155" t="inlineStr">
        <is>
          <t>TJ</t>
        </is>
      </c>
      <c r="H155" t="inlineStr">
        <is>
          <t>TJ / Mm2</t>
        </is>
      </c>
      <c r="I155" t="n">
        <v>16.47851118489944</v>
      </c>
      <c r="J155" t="n">
        <v>16.47851118489944</v>
      </c>
      <c r="K155" t="n">
        <v>16.47851118489944</v>
      </c>
      <c r="L155" t="n">
        <v>16.47851118489944</v>
      </c>
      <c r="M155" t="n">
        <v>16.47851118489944</v>
      </c>
      <c r="N155" t="n">
        <v>16.47851118489944</v>
      </c>
      <c r="O155" t="n">
        <v>16.47851118489944</v>
      </c>
      <c r="P155" t="n">
        <v>16.47851118489944</v>
      </c>
      <c r="Q155" t="n">
        <v>16.47851118489944</v>
      </c>
      <c r="R155" t="n">
        <v>16.47851118489944</v>
      </c>
      <c r="S155" t="n">
        <v>16.47851118489944</v>
      </c>
      <c r="T155" t="n">
        <v>16.47851118489944</v>
      </c>
      <c r="U155" t="n">
        <v>16.47851118489944</v>
      </c>
      <c r="V155" t="n">
        <v>16.47851118489944</v>
      </c>
      <c r="W155" t="n">
        <v>16.47851118489944</v>
      </c>
      <c r="X155" t="n">
        <v>16.47851118489944</v>
      </c>
      <c r="Y155" t="n">
        <v>16.47851118489944</v>
      </c>
      <c r="Z155" t="n">
        <v>16.47851118489944</v>
      </c>
    </row>
    <row r="156">
      <c r="A156" t="inlineStr">
        <is>
          <t>Residential</t>
        </is>
      </c>
      <c r="B156" t="inlineStr">
        <is>
          <t>Apartment</t>
        </is>
      </c>
      <c r="C156" t="inlineStr">
        <is>
          <t>Lower-Middle Income</t>
        </is>
      </c>
      <c r="D156" t="inlineStr">
        <is>
          <t>Old</t>
        </is>
      </c>
      <c r="E156" t="inlineStr">
        <is>
          <t>Refrigeration</t>
        </is>
      </c>
      <c r="F156" t="inlineStr">
        <is>
          <t>RESAPALMOldRE</t>
        </is>
      </c>
      <c r="G156" t="inlineStr">
        <is>
          <t>TJ</t>
        </is>
      </c>
      <c r="H156" t="inlineStr">
        <is>
          <t>TJ / Mm2</t>
        </is>
      </c>
      <c r="I156" t="n">
        <v>14.74530578233876</v>
      </c>
      <c r="J156" t="n">
        <v>14.74530578233876</v>
      </c>
      <c r="K156" t="n">
        <v>14.74530578233876</v>
      </c>
      <c r="L156" t="n">
        <v>14.74530578233876</v>
      </c>
      <c r="M156" t="n">
        <v>14.74530578233876</v>
      </c>
      <c r="N156" t="n">
        <v>14.74530578233876</v>
      </c>
      <c r="O156" t="n">
        <v>14.74530578233876</v>
      </c>
      <c r="P156" t="n">
        <v>14.74530578233876</v>
      </c>
      <c r="Q156" t="n">
        <v>14.74530578233876</v>
      </c>
      <c r="R156" t="n">
        <v>14.74530578233876</v>
      </c>
      <c r="S156" t="n">
        <v>14.74530578233876</v>
      </c>
      <c r="T156" t="n">
        <v>14.74530578233876</v>
      </c>
      <c r="U156" t="n">
        <v>14.74530578233876</v>
      </c>
      <c r="V156" t="n">
        <v>14.74530578233876</v>
      </c>
      <c r="W156" t="n">
        <v>14.74530578233876</v>
      </c>
      <c r="X156" t="n">
        <v>14.74530578233876</v>
      </c>
      <c r="Y156" t="n">
        <v>14.74530578233876</v>
      </c>
      <c r="Z156" t="n">
        <v>14.74530578233876</v>
      </c>
    </row>
    <row r="157">
      <c r="A157" t="inlineStr">
        <is>
          <t>Residential</t>
        </is>
      </c>
      <c r="B157" t="inlineStr">
        <is>
          <t>House</t>
        </is>
      </c>
      <c r="C157" t="inlineStr">
        <is>
          <t>Lower-Middle Income</t>
        </is>
      </c>
      <c r="D157" t="inlineStr">
        <is>
          <t>Old</t>
        </is>
      </c>
      <c r="E157" t="inlineStr">
        <is>
          <t>Refrigeration</t>
        </is>
      </c>
      <c r="F157" t="inlineStr">
        <is>
          <t>RESHOULMOldRE</t>
        </is>
      </c>
      <c r="G157" t="inlineStr">
        <is>
          <t>TJ</t>
        </is>
      </c>
      <c r="H157" t="inlineStr">
        <is>
          <t>TJ / Mm2</t>
        </is>
      </c>
      <c r="I157" t="n">
        <v>17.01291626666819</v>
      </c>
      <c r="J157" t="n">
        <v>17.01291626666819</v>
      </c>
      <c r="K157" t="n">
        <v>17.01291626666819</v>
      </c>
      <c r="L157" t="n">
        <v>17.01291626666819</v>
      </c>
      <c r="M157" t="n">
        <v>17.01291626666819</v>
      </c>
      <c r="N157" t="n">
        <v>17.01291626666819</v>
      </c>
      <c r="O157" t="n">
        <v>17.01291626666819</v>
      </c>
      <c r="P157" t="n">
        <v>17.01291626666819</v>
      </c>
      <c r="Q157" t="n">
        <v>17.01291626666819</v>
      </c>
      <c r="R157" t="n">
        <v>17.01291626666819</v>
      </c>
      <c r="S157" t="n">
        <v>17.01291626666819</v>
      </c>
      <c r="T157" t="n">
        <v>17.01291626666819</v>
      </c>
      <c r="U157" t="n">
        <v>17.01291626666819</v>
      </c>
      <c r="V157" t="n">
        <v>17.01291626666819</v>
      </c>
      <c r="W157" t="n">
        <v>17.01291626666819</v>
      </c>
      <c r="X157" t="n">
        <v>17.01291626666819</v>
      </c>
      <c r="Y157" t="n">
        <v>17.01291626666819</v>
      </c>
      <c r="Z157" t="n">
        <v>17.01291626666819</v>
      </c>
    </row>
    <row r="158">
      <c r="A158" t="inlineStr">
        <is>
          <t>Residential</t>
        </is>
      </c>
      <c r="B158" t="inlineStr">
        <is>
          <t>Apartment</t>
        </is>
      </c>
      <c r="C158" t="inlineStr">
        <is>
          <t>Upper-Middle Income</t>
        </is>
      </c>
      <c r="D158" t="inlineStr">
        <is>
          <t>Old</t>
        </is>
      </c>
      <c r="E158" t="inlineStr">
        <is>
          <t>Refrigeration</t>
        </is>
      </c>
      <c r="F158" t="inlineStr">
        <is>
          <t>RESAPAUMOldRE</t>
        </is>
      </c>
      <c r="G158" t="inlineStr">
        <is>
          <t>TJ</t>
        </is>
      </c>
      <c r="H158" t="inlineStr">
        <is>
          <t>TJ / Mm2</t>
        </is>
      </c>
      <c r="I158" t="n">
        <v>14.22780925288393</v>
      </c>
      <c r="J158" t="n">
        <v>14.22780925288393</v>
      </c>
      <c r="K158" t="n">
        <v>14.22780925288393</v>
      </c>
      <c r="L158" t="n">
        <v>14.22780925288393</v>
      </c>
      <c r="M158" t="n">
        <v>14.22780925288393</v>
      </c>
      <c r="N158" t="n">
        <v>14.22780925288393</v>
      </c>
      <c r="O158" t="n">
        <v>14.22780925288393</v>
      </c>
      <c r="P158" t="n">
        <v>14.22780925288393</v>
      </c>
      <c r="Q158" t="n">
        <v>14.22780925288393</v>
      </c>
      <c r="R158" t="n">
        <v>14.22780925288393</v>
      </c>
      <c r="S158" t="n">
        <v>14.22780925288393</v>
      </c>
      <c r="T158" t="n">
        <v>14.22780925288393</v>
      </c>
      <c r="U158" t="n">
        <v>14.22780925288393</v>
      </c>
      <c r="V158" t="n">
        <v>14.22780925288393</v>
      </c>
      <c r="W158" t="n">
        <v>14.22780925288393</v>
      </c>
      <c r="X158" t="n">
        <v>14.22780925288393</v>
      </c>
      <c r="Y158" t="n">
        <v>14.22780925288393</v>
      </c>
      <c r="Z158" t="n">
        <v>14.22780925288393</v>
      </c>
    </row>
    <row r="159">
      <c r="A159" t="inlineStr">
        <is>
          <t>Residential</t>
        </is>
      </c>
      <c r="B159" t="inlineStr">
        <is>
          <t>House</t>
        </is>
      </c>
      <c r="C159" t="inlineStr">
        <is>
          <t>Upper-Middle Income</t>
        </is>
      </c>
      <c r="D159" t="inlineStr">
        <is>
          <t>Old</t>
        </is>
      </c>
      <c r="E159" t="inlineStr">
        <is>
          <t>Refrigeration</t>
        </is>
      </c>
      <c r="F159" t="inlineStr">
        <is>
          <t>RESHOUUMOldRE</t>
        </is>
      </c>
      <c r="G159" t="inlineStr">
        <is>
          <t>TJ</t>
        </is>
      </c>
      <c r="H159" t="inlineStr">
        <is>
          <t>TJ / Mm2</t>
        </is>
      </c>
      <c r="I159" t="n">
        <v>18.97361082346216</v>
      </c>
      <c r="J159" t="n">
        <v>18.97361082346216</v>
      </c>
      <c r="K159" t="n">
        <v>18.97361082346216</v>
      </c>
      <c r="L159" t="n">
        <v>18.97361082346216</v>
      </c>
      <c r="M159" t="n">
        <v>18.97361082346216</v>
      </c>
      <c r="N159" t="n">
        <v>18.97361082346216</v>
      </c>
      <c r="O159" t="n">
        <v>18.97361082346216</v>
      </c>
      <c r="P159" t="n">
        <v>18.97361082346216</v>
      </c>
      <c r="Q159" t="n">
        <v>18.97361082346216</v>
      </c>
      <c r="R159" t="n">
        <v>18.97361082346216</v>
      </c>
      <c r="S159" t="n">
        <v>18.97361082346216</v>
      </c>
      <c r="T159" t="n">
        <v>18.97361082346216</v>
      </c>
      <c r="U159" t="n">
        <v>18.97361082346216</v>
      </c>
      <c r="V159" t="n">
        <v>18.97361082346216</v>
      </c>
      <c r="W159" t="n">
        <v>18.97361082346216</v>
      </c>
      <c r="X159" t="n">
        <v>18.97361082346216</v>
      </c>
      <c r="Y159" t="n">
        <v>18.97361082346216</v>
      </c>
      <c r="Z159" t="n">
        <v>18.97361082346216</v>
      </c>
    </row>
    <row r="160">
      <c r="A160" t="inlineStr">
        <is>
          <t>Residential</t>
        </is>
      </c>
      <c r="B160" t="inlineStr">
        <is>
          <t>Apartment</t>
        </is>
      </c>
      <c r="C160" t="inlineStr">
        <is>
          <t>High Income</t>
        </is>
      </c>
      <c r="D160" t="inlineStr">
        <is>
          <t>Old</t>
        </is>
      </c>
      <c r="E160" t="inlineStr">
        <is>
          <t>Refrigeration</t>
        </is>
      </c>
      <c r="F160" t="inlineStr">
        <is>
          <t>RESAPAHIOldRE</t>
        </is>
      </c>
      <c r="G160" t="inlineStr">
        <is>
          <t>TJ</t>
        </is>
      </c>
      <c r="H160" t="inlineStr">
        <is>
          <t>TJ / Mm2</t>
        </is>
      </c>
      <c r="I160" t="n">
        <v>15.3429970980982</v>
      </c>
      <c r="J160" t="n">
        <v>15.3429970980982</v>
      </c>
      <c r="K160" t="n">
        <v>15.3429970980982</v>
      </c>
      <c r="L160" t="n">
        <v>15.3429970980982</v>
      </c>
      <c r="M160" t="n">
        <v>15.3429970980982</v>
      </c>
      <c r="N160" t="n">
        <v>15.3429970980982</v>
      </c>
      <c r="O160" t="n">
        <v>15.3429970980982</v>
      </c>
      <c r="P160" t="n">
        <v>15.3429970980982</v>
      </c>
      <c r="Q160" t="n">
        <v>15.3429970980982</v>
      </c>
      <c r="R160" t="n">
        <v>15.3429970980982</v>
      </c>
      <c r="S160" t="n">
        <v>15.3429970980982</v>
      </c>
      <c r="T160" t="n">
        <v>15.3429970980982</v>
      </c>
      <c r="U160" t="n">
        <v>15.3429970980982</v>
      </c>
      <c r="V160" t="n">
        <v>15.3429970980982</v>
      </c>
      <c r="W160" t="n">
        <v>15.3429970980982</v>
      </c>
      <c r="X160" t="n">
        <v>15.3429970980982</v>
      </c>
      <c r="Y160" t="n">
        <v>15.3429970980982</v>
      </c>
      <c r="Z160" t="n">
        <v>15.3429970980982</v>
      </c>
    </row>
    <row r="161">
      <c r="A161" t="inlineStr">
        <is>
          <t>Residential</t>
        </is>
      </c>
      <c r="B161" t="inlineStr">
        <is>
          <t>House</t>
        </is>
      </c>
      <c r="C161" t="inlineStr">
        <is>
          <t>High Income</t>
        </is>
      </c>
      <c r="D161" t="inlineStr">
        <is>
          <t>Old</t>
        </is>
      </c>
      <c r="E161" t="inlineStr">
        <is>
          <t>Refrigeration</t>
        </is>
      </c>
      <c r="F161" t="inlineStr">
        <is>
          <t>RESHOUHIOldRE</t>
        </is>
      </c>
      <c r="G161" t="inlineStr">
        <is>
          <t>TJ</t>
        </is>
      </c>
      <c r="H161" t="inlineStr">
        <is>
          <t>TJ / Mm2</t>
        </is>
      </c>
      <c r="I161" t="n">
        <v>16.33196583174718</v>
      </c>
      <c r="J161" t="n">
        <v>16.33196583174718</v>
      </c>
      <c r="K161" t="n">
        <v>16.33196583174718</v>
      </c>
      <c r="L161" t="n">
        <v>16.33196583174718</v>
      </c>
      <c r="M161" t="n">
        <v>16.33196583174718</v>
      </c>
      <c r="N161" t="n">
        <v>16.33196583174718</v>
      </c>
      <c r="O161" t="n">
        <v>16.33196583174718</v>
      </c>
      <c r="P161" t="n">
        <v>16.33196583174718</v>
      </c>
      <c r="Q161" t="n">
        <v>16.33196583174718</v>
      </c>
      <c r="R161" t="n">
        <v>16.33196583174718</v>
      </c>
      <c r="S161" t="n">
        <v>16.33196583174718</v>
      </c>
      <c r="T161" t="n">
        <v>16.33196583174718</v>
      </c>
      <c r="U161" t="n">
        <v>16.33196583174718</v>
      </c>
      <c r="V161" t="n">
        <v>16.33196583174718</v>
      </c>
      <c r="W161" t="n">
        <v>16.33196583174718</v>
      </c>
      <c r="X161" t="n">
        <v>16.33196583174718</v>
      </c>
      <c r="Y161" t="n">
        <v>16.33196583174718</v>
      </c>
      <c r="Z161" t="n">
        <v>16.33196583174718</v>
      </c>
    </row>
    <row r="162">
      <c r="A162" t="inlineStr">
        <is>
          <t>Residential</t>
        </is>
      </c>
      <c r="B162" t="inlineStr">
        <is>
          <t>Apartment</t>
        </is>
      </c>
      <c r="C162" t="inlineStr">
        <is>
          <t>Low Income</t>
        </is>
      </c>
      <c r="D162" t="inlineStr">
        <is>
          <t>Old</t>
        </is>
      </c>
      <c r="E162" t="inlineStr">
        <is>
          <t>Freezing</t>
        </is>
      </c>
      <c r="F162" t="inlineStr">
        <is>
          <t>RESAPALOOldFR</t>
        </is>
      </c>
      <c r="G162" t="inlineStr">
        <is>
          <t>TJ</t>
        </is>
      </c>
      <c r="H162" t="inlineStr">
        <is>
          <t>TJ / Mm2</t>
        </is>
      </c>
      <c r="I162" t="n">
        <v>1.631350109857994</v>
      </c>
      <c r="J162" t="n">
        <v>1.631350109857994</v>
      </c>
      <c r="K162" t="n">
        <v>1.631350109857994</v>
      </c>
      <c r="L162" t="n">
        <v>1.631350109857994</v>
      </c>
      <c r="M162" t="n">
        <v>1.631350109857994</v>
      </c>
      <c r="N162" t="n">
        <v>1.631350109857994</v>
      </c>
      <c r="O162" t="n">
        <v>1.631350109857994</v>
      </c>
      <c r="P162" t="n">
        <v>1.631350109857994</v>
      </c>
      <c r="Q162" t="n">
        <v>1.631350109857994</v>
      </c>
      <c r="R162" t="n">
        <v>1.631350109857994</v>
      </c>
      <c r="S162" t="n">
        <v>1.631350109857994</v>
      </c>
      <c r="T162" t="n">
        <v>1.631350109857994</v>
      </c>
      <c r="U162" t="n">
        <v>1.631350109857994</v>
      </c>
      <c r="V162" t="n">
        <v>1.631350109857994</v>
      </c>
      <c r="W162" t="n">
        <v>1.631350109857994</v>
      </c>
      <c r="X162" t="n">
        <v>1.631350109857994</v>
      </c>
      <c r="Y162" t="n">
        <v>1.631350109857994</v>
      </c>
      <c r="Z162" t="n">
        <v>1.631350109857994</v>
      </c>
    </row>
    <row r="163">
      <c r="A163" t="inlineStr">
        <is>
          <t>Residential</t>
        </is>
      </c>
      <c r="B163" t="inlineStr">
        <is>
          <t>House</t>
        </is>
      </c>
      <c r="C163" t="inlineStr">
        <is>
          <t>Low Income</t>
        </is>
      </c>
      <c r="D163" t="inlineStr">
        <is>
          <t>Old</t>
        </is>
      </c>
      <c r="E163" t="inlineStr">
        <is>
          <t>Freezing</t>
        </is>
      </c>
      <c r="F163" t="inlineStr">
        <is>
          <t>RESHOULOOldFR</t>
        </is>
      </c>
      <c r="G163" t="inlineStr">
        <is>
          <t>TJ</t>
        </is>
      </c>
      <c r="H163" t="inlineStr">
        <is>
          <t>TJ / Mm2</t>
        </is>
      </c>
      <c r="I163" t="n">
        <v>3.819812576332748</v>
      </c>
      <c r="J163" t="n">
        <v>3.819812576332748</v>
      </c>
      <c r="K163" t="n">
        <v>3.819812576332748</v>
      </c>
      <c r="L163" t="n">
        <v>3.819812576332748</v>
      </c>
      <c r="M163" t="n">
        <v>3.819812576332748</v>
      </c>
      <c r="N163" t="n">
        <v>3.819812576332748</v>
      </c>
      <c r="O163" t="n">
        <v>3.819812576332748</v>
      </c>
      <c r="P163" t="n">
        <v>3.819812576332748</v>
      </c>
      <c r="Q163" t="n">
        <v>3.819812576332748</v>
      </c>
      <c r="R163" t="n">
        <v>3.819812576332748</v>
      </c>
      <c r="S163" t="n">
        <v>3.819812576332748</v>
      </c>
      <c r="T163" t="n">
        <v>3.819812576332748</v>
      </c>
      <c r="U163" t="n">
        <v>3.819812576332748</v>
      </c>
      <c r="V163" t="n">
        <v>3.819812576332748</v>
      </c>
      <c r="W163" t="n">
        <v>3.819812576332748</v>
      </c>
      <c r="X163" t="n">
        <v>3.819812576332748</v>
      </c>
      <c r="Y163" t="n">
        <v>3.819812576332748</v>
      </c>
      <c r="Z163" t="n">
        <v>3.819812576332748</v>
      </c>
    </row>
    <row r="164">
      <c r="A164" t="inlineStr">
        <is>
          <t>Residential</t>
        </is>
      </c>
      <c r="B164" t="inlineStr">
        <is>
          <t>Apartment</t>
        </is>
      </c>
      <c r="C164" t="inlineStr">
        <is>
          <t>Lower-Middle Income</t>
        </is>
      </c>
      <c r="D164" t="inlineStr">
        <is>
          <t>Old</t>
        </is>
      </c>
      <c r="E164" t="inlineStr">
        <is>
          <t>Freezing</t>
        </is>
      </c>
      <c r="F164" t="inlineStr">
        <is>
          <t>RESAPALMOldFR</t>
        </is>
      </c>
      <c r="G164" t="inlineStr">
        <is>
          <t>TJ</t>
        </is>
      </c>
      <c r="H164" t="inlineStr">
        <is>
          <t>TJ / Mm2</t>
        </is>
      </c>
      <c r="I164" t="n">
        <v>1.764112321829806</v>
      </c>
      <c r="J164" t="n">
        <v>1.764112321829806</v>
      </c>
      <c r="K164" t="n">
        <v>1.764112321829806</v>
      </c>
      <c r="L164" t="n">
        <v>1.764112321829806</v>
      </c>
      <c r="M164" t="n">
        <v>1.764112321829806</v>
      </c>
      <c r="N164" t="n">
        <v>1.764112321829806</v>
      </c>
      <c r="O164" t="n">
        <v>1.764112321829806</v>
      </c>
      <c r="P164" t="n">
        <v>1.764112321829806</v>
      </c>
      <c r="Q164" t="n">
        <v>1.764112321829806</v>
      </c>
      <c r="R164" t="n">
        <v>1.764112321829806</v>
      </c>
      <c r="S164" t="n">
        <v>1.764112321829806</v>
      </c>
      <c r="T164" t="n">
        <v>1.764112321829806</v>
      </c>
      <c r="U164" t="n">
        <v>1.764112321829806</v>
      </c>
      <c r="V164" t="n">
        <v>1.764112321829806</v>
      </c>
      <c r="W164" t="n">
        <v>1.764112321829806</v>
      </c>
      <c r="X164" t="n">
        <v>1.764112321829806</v>
      </c>
      <c r="Y164" t="n">
        <v>1.764112321829806</v>
      </c>
      <c r="Z164" t="n">
        <v>1.764112321829806</v>
      </c>
    </row>
    <row r="165">
      <c r="A165" t="inlineStr">
        <is>
          <t>Residential</t>
        </is>
      </c>
      <c r="B165" t="inlineStr">
        <is>
          <t>House</t>
        </is>
      </c>
      <c r="C165" t="inlineStr">
        <is>
          <t>Lower-Middle Income</t>
        </is>
      </c>
      <c r="D165" t="inlineStr">
        <is>
          <t>Old</t>
        </is>
      </c>
      <c r="E165" t="inlineStr">
        <is>
          <t>Freezing</t>
        </is>
      </c>
      <c r="F165" t="inlineStr">
        <is>
          <t>RESHOULMOldFR</t>
        </is>
      </c>
      <c r="G165" t="inlineStr">
        <is>
          <t>TJ</t>
        </is>
      </c>
      <c r="H165" t="inlineStr">
        <is>
          <t>TJ / Mm2</t>
        </is>
      </c>
      <c r="I165" t="n">
        <v>2.589789742763163</v>
      </c>
      <c r="J165" t="n">
        <v>2.589789742763163</v>
      </c>
      <c r="K165" t="n">
        <v>2.589789742763163</v>
      </c>
      <c r="L165" t="n">
        <v>2.589789742763163</v>
      </c>
      <c r="M165" t="n">
        <v>2.589789742763163</v>
      </c>
      <c r="N165" t="n">
        <v>2.589789742763163</v>
      </c>
      <c r="O165" t="n">
        <v>2.589789742763163</v>
      </c>
      <c r="P165" t="n">
        <v>2.589789742763163</v>
      </c>
      <c r="Q165" t="n">
        <v>2.589789742763163</v>
      </c>
      <c r="R165" t="n">
        <v>2.589789742763163</v>
      </c>
      <c r="S165" t="n">
        <v>2.589789742763163</v>
      </c>
      <c r="T165" t="n">
        <v>2.589789742763163</v>
      </c>
      <c r="U165" t="n">
        <v>2.589789742763163</v>
      </c>
      <c r="V165" t="n">
        <v>2.589789742763163</v>
      </c>
      <c r="W165" t="n">
        <v>2.589789742763163</v>
      </c>
      <c r="X165" t="n">
        <v>2.589789742763163</v>
      </c>
      <c r="Y165" t="n">
        <v>2.589789742763163</v>
      </c>
      <c r="Z165" t="n">
        <v>2.589789742763163</v>
      </c>
    </row>
    <row r="166">
      <c r="A166" t="inlineStr">
        <is>
          <t>Residential</t>
        </is>
      </c>
      <c r="B166" t="inlineStr">
        <is>
          <t>Apartment</t>
        </is>
      </c>
      <c r="C166" t="inlineStr">
        <is>
          <t>Upper-Middle Income</t>
        </is>
      </c>
      <c r="D166" t="inlineStr">
        <is>
          <t>Old</t>
        </is>
      </c>
      <c r="E166" t="inlineStr">
        <is>
          <t>Freezing</t>
        </is>
      </c>
      <c r="F166" t="inlineStr">
        <is>
          <t>RESAPAUMOldFR</t>
        </is>
      </c>
      <c r="G166" t="inlineStr">
        <is>
          <t>TJ</t>
        </is>
      </c>
      <c r="H166" t="inlineStr">
        <is>
          <t>TJ / Mm2</t>
        </is>
      </c>
      <c r="I166" t="n">
        <v>0.7853250420594371</v>
      </c>
      <c r="J166" t="n">
        <v>0.7853250420594371</v>
      </c>
      <c r="K166" t="n">
        <v>0.7853250420594371</v>
      </c>
      <c r="L166" t="n">
        <v>0.7853250420594371</v>
      </c>
      <c r="M166" t="n">
        <v>0.7853250420594371</v>
      </c>
      <c r="N166" t="n">
        <v>0.7853250420594371</v>
      </c>
      <c r="O166" t="n">
        <v>0.7853250420594371</v>
      </c>
      <c r="P166" t="n">
        <v>0.7853250420594371</v>
      </c>
      <c r="Q166" t="n">
        <v>0.7853250420594371</v>
      </c>
      <c r="R166" t="n">
        <v>0.7853250420594371</v>
      </c>
      <c r="S166" t="n">
        <v>0.7853250420594371</v>
      </c>
      <c r="T166" t="n">
        <v>0.7853250420594371</v>
      </c>
      <c r="U166" t="n">
        <v>0.7853250420594371</v>
      </c>
      <c r="V166" t="n">
        <v>0.7853250420594371</v>
      </c>
      <c r="W166" t="n">
        <v>0.7853250420594371</v>
      </c>
      <c r="X166" t="n">
        <v>0.7853250420594371</v>
      </c>
      <c r="Y166" t="n">
        <v>0.7853250420594371</v>
      </c>
      <c r="Z166" t="n">
        <v>0.7853250420594371</v>
      </c>
    </row>
    <row r="167">
      <c r="A167" t="inlineStr">
        <is>
          <t>Residential</t>
        </is>
      </c>
      <c r="B167" t="inlineStr">
        <is>
          <t>House</t>
        </is>
      </c>
      <c r="C167" t="inlineStr">
        <is>
          <t>Upper-Middle Income</t>
        </is>
      </c>
      <c r="D167" t="inlineStr">
        <is>
          <t>Old</t>
        </is>
      </c>
      <c r="E167" t="inlineStr">
        <is>
          <t>Freezing</t>
        </is>
      </c>
      <c r="F167" t="inlineStr">
        <is>
          <t>RESHOUUMOldFR</t>
        </is>
      </c>
      <c r="G167" t="inlineStr">
        <is>
          <t>TJ</t>
        </is>
      </c>
      <c r="H167" t="inlineStr">
        <is>
          <t>TJ / Mm2</t>
        </is>
      </c>
      <c r="I167" t="n">
        <v>3.129891070273735</v>
      </c>
      <c r="J167" t="n">
        <v>3.129891070273735</v>
      </c>
      <c r="K167" t="n">
        <v>3.129891070273735</v>
      </c>
      <c r="L167" t="n">
        <v>3.129891070273735</v>
      </c>
      <c r="M167" t="n">
        <v>3.129891070273735</v>
      </c>
      <c r="N167" t="n">
        <v>3.129891070273735</v>
      </c>
      <c r="O167" t="n">
        <v>3.129891070273735</v>
      </c>
      <c r="P167" t="n">
        <v>3.129891070273735</v>
      </c>
      <c r="Q167" t="n">
        <v>3.129891070273735</v>
      </c>
      <c r="R167" t="n">
        <v>3.129891070273735</v>
      </c>
      <c r="S167" t="n">
        <v>3.129891070273735</v>
      </c>
      <c r="T167" t="n">
        <v>3.129891070273735</v>
      </c>
      <c r="U167" t="n">
        <v>3.129891070273735</v>
      </c>
      <c r="V167" t="n">
        <v>3.129891070273735</v>
      </c>
      <c r="W167" t="n">
        <v>3.129891070273735</v>
      </c>
      <c r="X167" t="n">
        <v>3.129891070273735</v>
      </c>
      <c r="Y167" t="n">
        <v>3.129891070273735</v>
      </c>
      <c r="Z167" t="n">
        <v>3.129891070273735</v>
      </c>
    </row>
    <row r="168">
      <c r="A168" t="inlineStr">
        <is>
          <t>Residential</t>
        </is>
      </c>
      <c r="B168" t="inlineStr">
        <is>
          <t>Apartment</t>
        </is>
      </c>
      <c r="C168" t="inlineStr">
        <is>
          <t>High Income</t>
        </is>
      </c>
      <c r="D168" t="inlineStr">
        <is>
          <t>Old</t>
        </is>
      </c>
      <c r="E168" t="inlineStr">
        <is>
          <t>Freezing</t>
        </is>
      </c>
      <c r="F168" t="inlineStr">
        <is>
          <t>RESAPAHIOldFR</t>
        </is>
      </c>
      <c r="G168" t="inlineStr">
        <is>
          <t>TJ</t>
        </is>
      </c>
      <c r="H168" t="inlineStr">
        <is>
          <t>TJ / Mm2</t>
        </is>
      </c>
      <c r="I168" t="n">
        <v>0.7544676264875434</v>
      </c>
      <c r="J168" t="n">
        <v>0.7544676264875434</v>
      </c>
      <c r="K168" t="n">
        <v>0.7544676264875434</v>
      </c>
      <c r="L168" t="n">
        <v>0.7544676264875434</v>
      </c>
      <c r="M168" t="n">
        <v>0.7544676264875434</v>
      </c>
      <c r="N168" t="n">
        <v>0.7544676264875434</v>
      </c>
      <c r="O168" t="n">
        <v>0.7544676264875434</v>
      </c>
      <c r="P168" t="n">
        <v>0.7544676264875434</v>
      </c>
      <c r="Q168" t="n">
        <v>0.7544676264875434</v>
      </c>
      <c r="R168" t="n">
        <v>0.7544676264875434</v>
      </c>
      <c r="S168" t="n">
        <v>0.7544676264875434</v>
      </c>
      <c r="T168" t="n">
        <v>0.7544676264875434</v>
      </c>
      <c r="U168" t="n">
        <v>0.7544676264875434</v>
      </c>
      <c r="V168" t="n">
        <v>0.7544676264875434</v>
      </c>
      <c r="W168" t="n">
        <v>0.7544676264875434</v>
      </c>
      <c r="X168" t="n">
        <v>0.7544676264875434</v>
      </c>
      <c r="Y168" t="n">
        <v>0.7544676264875434</v>
      </c>
      <c r="Z168" t="n">
        <v>0.7544676264875434</v>
      </c>
    </row>
    <row r="169">
      <c r="A169" t="inlineStr">
        <is>
          <t>Residential</t>
        </is>
      </c>
      <c r="B169" t="inlineStr">
        <is>
          <t>House</t>
        </is>
      </c>
      <c r="C169" t="inlineStr">
        <is>
          <t>High Income</t>
        </is>
      </c>
      <c r="D169" t="inlineStr">
        <is>
          <t>Old</t>
        </is>
      </c>
      <c r="E169" t="inlineStr">
        <is>
          <t>Freezing</t>
        </is>
      </c>
      <c r="F169" t="inlineStr">
        <is>
          <t>RESHOUHIOldFR</t>
        </is>
      </c>
      <c r="G169" t="inlineStr">
        <is>
          <t>TJ</t>
        </is>
      </c>
      <c r="H169" t="inlineStr">
        <is>
          <t>TJ / Mm2</t>
        </is>
      </c>
      <c r="I169" t="n">
        <v>2.390416581147838</v>
      </c>
      <c r="J169" t="n">
        <v>2.390416581147838</v>
      </c>
      <c r="K169" t="n">
        <v>2.390416581147838</v>
      </c>
      <c r="L169" t="n">
        <v>2.390416581147838</v>
      </c>
      <c r="M169" t="n">
        <v>2.390416581147838</v>
      </c>
      <c r="N169" t="n">
        <v>2.390416581147838</v>
      </c>
      <c r="O169" t="n">
        <v>2.390416581147838</v>
      </c>
      <c r="P169" t="n">
        <v>2.390416581147838</v>
      </c>
      <c r="Q169" t="n">
        <v>2.390416581147838</v>
      </c>
      <c r="R169" t="n">
        <v>2.390416581147838</v>
      </c>
      <c r="S169" t="n">
        <v>2.390416581147838</v>
      </c>
      <c r="T169" t="n">
        <v>2.390416581147838</v>
      </c>
      <c r="U169" t="n">
        <v>2.390416581147838</v>
      </c>
      <c r="V169" t="n">
        <v>2.390416581147838</v>
      </c>
      <c r="W169" t="n">
        <v>2.390416581147838</v>
      </c>
      <c r="X169" t="n">
        <v>2.390416581147838</v>
      </c>
      <c r="Y169" t="n">
        <v>2.390416581147838</v>
      </c>
      <c r="Z169" t="n">
        <v>2.390416581147838</v>
      </c>
    </row>
    <row r="170">
      <c r="A170" t="inlineStr">
        <is>
          <t>Residential</t>
        </is>
      </c>
      <c r="B170" t="inlineStr">
        <is>
          <t>Apartment</t>
        </is>
      </c>
      <c r="C170" t="inlineStr">
        <is>
          <t>Low Income</t>
        </is>
      </c>
      <c r="D170" t="inlineStr">
        <is>
          <t>Old</t>
        </is>
      </c>
      <c r="E170" t="inlineStr">
        <is>
          <t>Cooking</t>
        </is>
      </c>
      <c r="F170" t="inlineStr">
        <is>
          <t>RESAPALOOldCK</t>
        </is>
      </c>
      <c r="G170" t="inlineStr">
        <is>
          <t>TJ</t>
        </is>
      </c>
      <c r="H170" t="inlineStr">
        <is>
          <t>TJ / Mm2</t>
        </is>
      </c>
      <c r="I170" t="n">
        <v>15.69807656412491</v>
      </c>
      <c r="J170" t="n">
        <v>15.69807656412491</v>
      </c>
      <c r="K170" t="n">
        <v>15.69807656412491</v>
      </c>
      <c r="L170" t="n">
        <v>15.69807656412491</v>
      </c>
      <c r="M170" t="n">
        <v>15.69807656412491</v>
      </c>
      <c r="N170" t="n">
        <v>15.69807656412491</v>
      </c>
      <c r="O170" t="n">
        <v>15.69807656412491</v>
      </c>
      <c r="P170" t="n">
        <v>15.69807656412491</v>
      </c>
      <c r="Q170" t="n">
        <v>15.69807656412491</v>
      </c>
      <c r="R170" t="n">
        <v>15.69807656412491</v>
      </c>
      <c r="S170" t="n">
        <v>15.69807656412491</v>
      </c>
      <c r="T170" t="n">
        <v>15.69807656412491</v>
      </c>
      <c r="U170" t="n">
        <v>15.69807656412491</v>
      </c>
      <c r="V170" t="n">
        <v>15.69807656412491</v>
      </c>
      <c r="W170" t="n">
        <v>15.69807656412491</v>
      </c>
      <c r="X170" t="n">
        <v>15.69807656412491</v>
      </c>
      <c r="Y170" t="n">
        <v>15.69807656412491</v>
      </c>
      <c r="Z170" t="n">
        <v>15.69807656412491</v>
      </c>
    </row>
    <row r="171">
      <c r="A171" t="inlineStr">
        <is>
          <t>Residential</t>
        </is>
      </c>
      <c r="B171" t="inlineStr">
        <is>
          <t>House</t>
        </is>
      </c>
      <c r="C171" t="inlineStr">
        <is>
          <t>Low Income</t>
        </is>
      </c>
      <c r="D171" t="inlineStr">
        <is>
          <t>Old</t>
        </is>
      </c>
      <c r="E171" t="inlineStr">
        <is>
          <t>Cooking</t>
        </is>
      </c>
      <c r="F171" t="inlineStr">
        <is>
          <t>RESHOULOOldCK</t>
        </is>
      </c>
      <c r="G171" t="inlineStr">
        <is>
          <t>TJ</t>
        </is>
      </c>
      <c r="H171" t="inlineStr">
        <is>
          <t>TJ / Mm2</t>
        </is>
      </c>
      <c r="I171" t="n">
        <v>7.700710368883917</v>
      </c>
      <c r="J171" t="n">
        <v>7.700710368883917</v>
      </c>
      <c r="K171" t="n">
        <v>7.700710368883917</v>
      </c>
      <c r="L171" t="n">
        <v>7.700710368883917</v>
      </c>
      <c r="M171" t="n">
        <v>7.700710368883917</v>
      </c>
      <c r="N171" t="n">
        <v>7.700710368883917</v>
      </c>
      <c r="O171" t="n">
        <v>7.700710368883917</v>
      </c>
      <c r="P171" t="n">
        <v>7.700710368883917</v>
      </c>
      <c r="Q171" t="n">
        <v>7.700710368883917</v>
      </c>
      <c r="R171" t="n">
        <v>7.700710368883917</v>
      </c>
      <c r="S171" t="n">
        <v>7.700710368883917</v>
      </c>
      <c r="T171" t="n">
        <v>7.700710368883917</v>
      </c>
      <c r="U171" t="n">
        <v>7.700710368883917</v>
      </c>
      <c r="V171" t="n">
        <v>7.700710368883917</v>
      </c>
      <c r="W171" t="n">
        <v>7.700710368883917</v>
      </c>
      <c r="X171" t="n">
        <v>7.700710368883917</v>
      </c>
      <c r="Y171" t="n">
        <v>7.700710368883917</v>
      </c>
      <c r="Z171" t="n">
        <v>7.700710368883917</v>
      </c>
    </row>
    <row r="172">
      <c r="A172" t="inlineStr">
        <is>
          <t>Residential</t>
        </is>
      </c>
      <c r="B172" t="inlineStr">
        <is>
          <t>Apartment</t>
        </is>
      </c>
      <c r="C172" t="inlineStr">
        <is>
          <t>Lower-Middle Income</t>
        </is>
      </c>
      <c r="D172" t="inlineStr">
        <is>
          <t>Old</t>
        </is>
      </c>
      <c r="E172" t="inlineStr">
        <is>
          <t>Cooking</t>
        </is>
      </c>
      <c r="F172" t="inlineStr">
        <is>
          <t>RESAPALMOldCK</t>
        </is>
      </c>
      <c r="G172" t="inlineStr">
        <is>
          <t>TJ</t>
        </is>
      </c>
      <c r="H172" t="inlineStr">
        <is>
          <t>TJ / Mm2</t>
        </is>
      </c>
      <c r="I172" t="n">
        <v>17.31697416888775</v>
      </c>
      <c r="J172" t="n">
        <v>17.31697416888775</v>
      </c>
      <c r="K172" t="n">
        <v>17.31697416888775</v>
      </c>
      <c r="L172" t="n">
        <v>17.31697416888775</v>
      </c>
      <c r="M172" t="n">
        <v>17.31697416888775</v>
      </c>
      <c r="N172" t="n">
        <v>17.31697416888775</v>
      </c>
      <c r="O172" t="n">
        <v>17.31697416888775</v>
      </c>
      <c r="P172" t="n">
        <v>17.31697416888775</v>
      </c>
      <c r="Q172" t="n">
        <v>17.31697416888775</v>
      </c>
      <c r="R172" t="n">
        <v>17.31697416888775</v>
      </c>
      <c r="S172" t="n">
        <v>17.31697416888775</v>
      </c>
      <c r="T172" t="n">
        <v>17.31697416888775</v>
      </c>
      <c r="U172" t="n">
        <v>17.31697416888775</v>
      </c>
      <c r="V172" t="n">
        <v>17.31697416888775</v>
      </c>
      <c r="W172" t="n">
        <v>17.31697416888775</v>
      </c>
      <c r="X172" t="n">
        <v>17.31697416888775</v>
      </c>
      <c r="Y172" t="n">
        <v>17.31697416888775</v>
      </c>
      <c r="Z172" t="n">
        <v>17.31697416888775</v>
      </c>
    </row>
    <row r="173">
      <c r="A173" t="inlineStr">
        <is>
          <t>Residential</t>
        </is>
      </c>
      <c r="B173" t="inlineStr">
        <is>
          <t>House</t>
        </is>
      </c>
      <c r="C173" t="inlineStr">
        <is>
          <t>Lower-Middle Income</t>
        </is>
      </c>
      <c r="D173" t="inlineStr">
        <is>
          <t>Old</t>
        </is>
      </c>
      <c r="E173" t="inlineStr">
        <is>
          <t>Cooking</t>
        </is>
      </c>
      <c r="F173" t="inlineStr">
        <is>
          <t>RESHOULMOldCK</t>
        </is>
      </c>
      <c r="G173" t="inlineStr">
        <is>
          <t>TJ</t>
        </is>
      </c>
      <c r="H173" t="inlineStr">
        <is>
          <t>TJ / Mm2</t>
        </is>
      </c>
      <c r="I173" t="n">
        <v>9.124026078639854</v>
      </c>
      <c r="J173" t="n">
        <v>9.124026078639854</v>
      </c>
      <c r="K173" t="n">
        <v>9.124026078639854</v>
      </c>
      <c r="L173" t="n">
        <v>9.124026078639854</v>
      </c>
      <c r="M173" t="n">
        <v>9.124026078639854</v>
      </c>
      <c r="N173" t="n">
        <v>9.124026078639854</v>
      </c>
      <c r="O173" t="n">
        <v>9.124026078639854</v>
      </c>
      <c r="P173" t="n">
        <v>9.124026078639854</v>
      </c>
      <c r="Q173" t="n">
        <v>9.124026078639854</v>
      </c>
      <c r="R173" t="n">
        <v>9.124026078639854</v>
      </c>
      <c r="S173" t="n">
        <v>9.124026078639854</v>
      </c>
      <c r="T173" t="n">
        <v>9.124026078639854</v>
      </c>
      <c r="U173" t="n">
        <v>9.124026078639854</v>
      </c>
      <c r="V173" t="n">
        <v>9.124026078639854</v>
      </c>
      <c r="W173" t="n">
        <v>9.124026078639854</v>
      </c>
      <c r="X173" t="n">
        <v>9.124026078639854</v>
      </c>
      <c r="Y173" t="n">
        <v>9.124026078639854</v>
      </c>
      <c r="Z173" t="n">
        <v>9.124026078639854</v>
      </c>
    </row>
    <row r="174">
      <c r="A174" t="inlineStr">
        <is>
          <t>Residential</t>
        </is>
      </c>
      <c r="B174" t="inlineStr">
        <is>
          <t>Apartment</t>
        </is>
      </c>
      <c r="C174" t="inlineStr">
        <is>
          <t>Upper-Middle Income</t>
        </is>
      </c>
      <c r="D174" t="inlineStr">
        <is>
          <t>Old</t>
        </is>
      </c>
      <c r="E174" t="inlineStr">
        <is>
          <t>Cooking</t>
        </is>
      </c>
      <c r="F174" t="inlineStr">
        <is>
          <t>RESAPAUMOldCK</t>
        </is>
      </c>
      <c r="G174" t="inlineStr">
        <is>
          <t>TJ</t>
        </is>
      </c>
      <c r="H174" t="inlineStr">
        <is>
          <t>TJ / Mm2</t>
        </is>
      </c>
      <c r="I174" t="n">
        <v>18.22894537427072</v>
      </c>
      <c r="J174" t="n">
        <v>18.22894537427072</v>
      </c>
      <c r="K174" t="n">
        <v>18.22894537427072</v>
      </c>
      <c r="L174" t="n">
        <v>18.22894537427072</v>
      </c>
      <c r="M174" t="n">
        <v>18.22894537427072</v>
      </c>
      <c r="N174" t="n">
        <v>18.22894537427072</v>
      </c>
      <c r="O174" t="n">
        <v>18.22894537427072</v>
      </c>
      <c r="P174" t="n">
        <v>18.22894537427072</v>
      </c>
      <c r="Q174" t="n">
        <v>18.22894537427072</v>
      </c>
      <c r="R174" t="n">
        <v>18.22894537427072</v>
      </c>
      <c r="S174" t="n">
        <v>18.22894537427072</v>
      </c>
      <c r="T174" t="n">
        <v>18.22894537427072</v>
      </c>
      <c r="U174" t="n">
        <v>18.22894537427072</v>
      </c>
      <c r="V174" t="n">
        <v>18.22894537427072</v>
      </c>
      <c r="W174" t="n">
        <v>18.22894537427072</v>
      </c>
      <c r="X174" t="n">
        <v>18.22894537427072</v>
      </c>
      <c r="Y174" t="n">
        <v>18.22894537427072</v>
      </c>
      <c r="Z174" t="n">
        <v>18.22894537427072</v>
      </c>
    </row>
    <row r="175">
      <c r="A175" t="inlineStr">
        <is>
          <t>Residential</t>
        </is>
      </c>
      <c r="B175" t="inlineStr">
        <is>
          <t>House</t>
        </is>
      </c>
      <c r="C175" t="inlineStr">
        <is>
          <t>Upper-Middle Income</t>
        </is>
      </c>
      <c r="D175" t="inlineStr">
        <is>
          <t>Old</t>
        </is>
      </c>
      <c r="E175" t="inlineStr">
        <is>
          <t>Cooking</t>
        </is>
      </c>
      <c r="F175" t="inlineStr">
        <is>
          <t>RESHOUUMOldCK</t>
        </is>
      </c>
      <c r="G175" t="inlineStr">
        <is>
          <t>TJ</t>
        </is>
      </c>
      <c r="H175" t="inlineStr">
        <is>
          <t>TJ / Mm2</t>
        </is>
      </c>
      <c r="I175" t="n">
        <v>10.468872162878</v>
      </c>
      <c r="J175" t="n">
        <v>10.468872162878</v>
      </c>
      <c r="K175" t="n">
        <v>10.468872162878</v>
      </c>
      <c r="L175" t="n">
        <v>10.468872162878</v>
      </c>
      <c r="M175" t="n">
        <v>10.468872162878</v>
      </c>
      <c r="N175" t="n">
        <v>10.468872162878</v>
      </c>
      <c r="O175" t="n">
        <v>10.468872162878</v>
      </c>
      <c r="P175" t="n">
        <v>10.468872162878</v>
      </c>
      <c r="Q175" t="n">
        <v>10.468872162878</v>
      </c>
      <c r="R175" t="n">
        <v>10.468872162878</v>
      </c>
      <c r="S175" t="n">
        <v>10.468872162878</v>
      </c>
      <c r="T175" t="n">
        <v>10.468872162878</v>
      </c>
      <c r="U175" t="n">
        <v>10.468872162878</v>
      </c>
      <c r="V175" t="n">
        <v>10.468872162878</v>
      </c>
      <c r="W175" t="n">
        <v>10.468872162878</v>
      </c>
      <c r="X175" t="n">
        <v>10.468872162878</v>
      </c>
      <c r="Y175" t="n">
        <v>10.468872162878</v>
      </c>
      <c r="Z175" t="n">
        <v>10.468872162878</v>
      </c>
    </row>
    <row r="176">
      <c r="A176" t="inlineStr">
        <is>
          <t>Residential</t>
        </is>
      </c>
      <c r="B176" t="inlineStr">
        <is>
          <t>Apartment</t>
        </is>
      </c>
      <c r="C176" t="inlineStr">
        <is>
          <t>High Income</t>
        </is>
      </c>
      <c r="D176" t="inlineStr">
        <is>
          <t>Old</t>
        </is>
      </c>
      <c r="E176" t="inlineStr">
        <is>
          <t>Cooking</t>
        </is>
      </c>
      <c r="F176" t="inlineStr">
        <is>
          <t>RESAPAHIOldCK</t>
        </is>
      </c>
      <c r="G176" t="inlineStr">
        <is>
          <t>TJ</t>
        </is>
      </c>
      <c r="H176" t="inlineStr">
        <is>
          <t>TJ / Mm2</t>
        </is>
      </c>
      <c r="I176" t="n">
        <v>30.09016923551895</v>
      </c>
      <c r="J176" t="n">
        <v>30.09016923551895</v>
      </c>
      <c r="K176" t="n">
        <v>30.09016923551895</v>
      </c>
      <c r="L176" t="n">
        <v>30.09016923551895</v>
      </c>
      <c r="M176" t="n">
        <v>30.09016923551895</v>
      </c>
      <c r="N176" t="n">
        <v>30.09016923551895</v>
      </c>
      <c r="O176" t="n">
        <v>30.09016923551895</v>
      </c>
      <c r="P176" t="n">
        <v>30.09016923551895</v>
      </c>
      <c r="Q176" t="n">
        <v>30.09016923551895</v>
      </c>
      <c r="R176" t="n">
        <v>30.09016923551895</v>
      </c>
      <c r="S176" t="n">
        <v>30.09016923551895</v>
      </c>
      <c r="T176" t="n">
        <v>30.09016923551895</v>
      </c>
      <c r="U176" t="n">
        <v>30.09016923551895</v>
      </c>
      <c r="V176" t="n">
        <v>30.09016923551895</v>
      </c>
      <c r="W176" t="n">
        <v>30.09016923551895</v>
      </c>
      <c r="X176" t="n">
        <v>30.09016923551895</v>
      </c>
      <c r="Y176" t="n">
        <v>30.09016923551895</v>
      </c>
      <c r="Z176" t="n">
        <v>30.09016923551895</v>
      </c>
    </row>
    <row r="177">
      <c r="A177" t="inlineStr">
        <is>
          <t>Residential</t>
        </is>
      </c>
      <c r="B177" t="inlineStr">
        <is>
          <t>House</t>
        </is>
      </c>
      <c r="C177" t="inlineStr">
        <is>
          <t>High Income</t>
        </is>
      </c>
      <c r="D177" t="inlineStr">
        <is>
          <t>Old</t>
        </is>
      </c>
      <c r="E177" t="inlineStr">
        <is>
          <t>Cooking</t>
        </is>
      </c>
      <c r="F177" t="inlineStr">
        <is>
          <t>RESHOUHIOldCK</t>
        </is>
      </c>
      <c r="G177" t="inlineStr">
        <is>
          <t>TJ</t>
        </is>
      </c>
      <c r="H177" t="inlineStr">
        <is>
          <t>TJ / Mm2</t>
        </is>
      </c>
      <c r="I177" t="n">
        <v>11.51519706006451</v>
      </c>
      <c r="J177" t="n">
        <v>11.51519706006451</v>
      </c>
      <c r="K177" t="n">
        <v>11.51519706006451</v>
      </c>
      <c r="L177" t="n">
        <v>11.51519706006451</v>
      </c>
      <c r="M177" t="n">
        <v>11.51519706006451</v>
      </c>
      <c r="N177" t="n">
        <v>11.51519706006451</v>
      </c>
      <c r="O177" t="n">
        <v>11.51519706006451</v>
      </c>
      <c r="P177" t="n">
        <v>11.51519706006451</v>
      </c>
      <c r="Q177" t="n">
        <v>11.51519706006451</v>
      </c>
      <c r="R177" t="n">
        <v>11.51519706006451</v>
      </c>
      <c r="S177" t="n">
        <v>11.51519706006451</v>
      </c>
      <c r="T177" t="n">
        <v>11.51519706006451</v>
      </c>
      <c r="U177" t="n">
        <v>11.51519706006451</v>
      </c>
      <c r="V177" t="n">
        <v>11.51519706006451</v>
      </c>
      <c r="W177" t="n">
        <v>11.51519706006451</v>
      </c>
      <c r="X177" t="n">
        <v>11.51519706006451</v>
      </c>
      <c r="Y177" t="n">
        <v>11.51519706006451</v>
      </c>
      <c r="Z177" t="n">
        <v>11.51519706006451</v>
      </c>
    </row>
    <row r="178">
      <c r="A178" t="inlineStr">
        <is>
          <t>Residential</t>
        </is>
      </c>
      <c r="B178" t="inlineStr">
        <is>
          <t>Apartment</t>
        </is>
      </c>
      <c r="C178" t="inlineStr">
        <is>
          <t>Low Income</t>
        </is>
      </c>
      <c r="D178" t="inlineStr">
        <is>
          <t>Old</t>
        </is>
      </c>
      <c r="E178" t="inlineStr">
        <is>
          <t>Clothes washing</t>
        </is>
      </c>
      <c r="F178" t="inlineStr">
        <is>
          <t>RESAPALOOldCW</t>
        </is>
      </c>
      <c r="G178" t="inlineStr">
        <is>
          <t>TJ</t>
        </is>
      </c>
      <c r="H178" t="inlineStr">
        <is>
          <t>TJ / Mm2</t>
        </is>
      </c>
      <c r="I178" t="n">
        <v>0.4279597437797997</v>
      </c>
      <c r="J178" t="n">
        <v>0.4279597437797997</v>
      </c>
      <c r="K178" t="n">
        <v>0.4279597437797997</v>
      </c>
      <c r="L178" t="n">
        <v>0.4279597437797997</v>
      </c>
      <c r="M178" t="n">
        <v>0.4279597437797997</v>
      </c>
      <c r="N178" t="n">
        <v>0.4279597437797997</v>
      </c>
      <c r="O178" t="n">
        <v>0.4279597437797997</v>
      </c>
      <c r="P178" t="n">
        <v>0.4279597437797997</v>
      </c>
      <c r="Q178" t="n">
        <v>0.4279597437797997</v>
      </c>
      <c r="R178" t="n">
        <v>0.4279597437797997</v>
      </c>
      <c r="S178" t="n">
        <v>0.4279597437797997</v>
      </c>
      <c r="T178" t="n">
        <v>0.4279597437797997</v>
      </c>
      <c r="U178" t="n">
        <v>0.4279597437797997</v>
      </c>
      <c r="V178" t="n">
        <v>0.4279597437797997</v>
      </c>
      <c r="W178" t="n">
        <v>0.4279597437797997</v>
      </c>
      <c r="X178" t="n">
        <v>0.4279597437797997</v>
      </c>
      <c r="Y178" t="n">
        <v>0.4279597437797997</v>
      </c>
      <c r="Z178" t="n">
        <v>0.4279597437797997</v>
      </c>
    </row>
    <row r="179">
      <c r="A179" t="inlineStr">
        <is>
          <t>Residential</t>
        </is>
      </c>
      <c r="B179" t="inlineStr">
        <is>
          <t>House</t>
        </is>
      </c>
      <c r="C179" t="inlineStr">
        <is>
          <t>Low Income</t>
        </is>
      </c>
      <c r="D179" t="inlineStr">
        <is>
          <t>Old</t>
        </is>
      </c>
      <c r="E179" t="inlineStr">
        <is>
          <t>Clothes washing</t>
        </is>
      </c>
      <c r="F179" t="inlineStr">
        <is>
          <t>RESHOULOOldCW</t>
        </is>
      </c>
      <c r="G179" t="inlineStr">
        <is>
          <t>TJ</t>
        </is>
      </c>
      <c r="H179" t="inlineStr">
        <is>
          <t>TJ / Mm2</t>
        </is>
      </c>
      <c r="I179" t="n">
        <v>1.109681349454257</v>
      </c>
      <c r="J179" t="n">
        <v>1.109681349454257</v>
      </c>
      <c r="K179" t="n">
        <v>1.109681349454257</v>
      </c>
      <c r="L179" t="n">
        <v>1.109681349454257</v>
      </c>
      <c r="M179" t="n">
        <v>1.109681349454257</v>
      </c>
      <c r="N179" t="n">
        <v>1.109681349454257</v>
      </c>
      <c r="O179" t="n">
        <v>1.109681349454257</v>
      </c>
      <c r="P179" t="n">
        <v>1.109681349454257</v>
      </c>
      <c r="Q179" t="n">
        <v>1.109681349454257</v>
      </c>
      <c r="R179" t="n">
        <v>1.109681349454257</v>
      </c>
      <c r="S179" t="n">
        <v>1.109681349454257</v>
      </c>
      <c r="T179" t="n">
        <v>1.109681349454257</v>
      </c>
      <c r="U179" t="n">
        <v>1.109681349454257</v>
      </c>
      <c r="V179" t="n">
        <v>1.109681349454257</v>
      </c>
      <c r="W179" t="n">
        <v>1.109681349454257</v>
      </c>
      <c r="X179" t="n">
        <v>1.109681349454257</v>
      </c>
      <c r="Y179" t="n">
        <v>1.109681349454257</v>
      </c>
      <c r="Z179" t="n">
        <v>1.109681349454257</v>
      </c>
    </row>
    <row r="180">
      <c r="A180" t="inlineStr">
        <is>
          <t>Residential</t>
        </is>
      </c>
      <c r="B180" t="inlineStr">
        <is>
          <t>Apartment</t>
        </is>
      </c>
      <c r="C180" t="inlineStr">
        <is>
          <t>Lower-Middle Income</t>
        </is>
      </c>
      <c r="D180" t="inlineStr">
        <is>
          <t>Old</t>
        </is>
      </c>
      <c r="E180" t="inlineStr">
        <is>
          <t>Clothes washing</t>
        </is>
      </c>
      <c r="F180" t="inlineStr">
        <is>
          <t>RESAPALMOldCW</t>
        </is>
      </c>
      <c r="G180" t="inlineStr">
        <is>
          <t>TJ</t>
        </is>
      </c>
      <c r="H180" t="inlineStr">
        <is>
          <t>TJ / Mm2</t>
        </is>
      </c>
      <c r="I180" t="n">
        <v>0.3028829559580305</v>
      </c>
      <c r="J180" t="n">
        <v>0.3028829559580305</v>
      </c>
      <c r="K180" t="n">
        <v>0.3028829559580305</v>
      </c>
      <c r="L180" t="n">
        <v>0.3028829559580305</v>
      </c>
      <c r="M180" t="n">
        <v>0.3028829559580305</v>
      </c>
      <c r="N180" t="n">
        <v>0.3028829559580305</v>
      </c>
      <c r="O180" t="n">
        <v>0.3028829559580305</v>
      </c>
      <c r="P180" t="n">
        <v>0.3028829559580305</v>
      </c>
      <c r="Q180" t="n">
        <v>0.3028829559580305</v>
      </c>
      <c r="R180" t="n">
        <v>0.3028829559580305</v>
      </c>
      <c r="S180" t="n">
        <v>0.3028829559580305</v>
      </c>
      <c r="T180" t="n">
        <v>0.3028829559580305</v>
      </c>
      <c r="U180" t="n">
        <v>0.3028829559580305</v>
      </c>
      <c r="V180" t="n">
        <v>0.3028829559580305</v>
      </c>
      <c r="W180" t="n">
        <v>0.3028829559580305</v>
      </c>
      <c r="X180" t="n">
        <v>0.3028829559580305</v>
      </c>
      <c r="Y180" t="n">
        <v>0.3028829559580305</v>
      </c>
      <c r="Z180" t="n">
        <v>0.3028829559580305</v>
      </c>
    </row>
    <row r="181">
      <c r="A181" t="inlineStr">
        <is>
          <t>Residential</t>
        </is>
      </c>
      <c r="B181" t="inlineStr">
        <is>
          <t>House</t>
        </is>
      </c>
      <c r="C181" t="inlineStr">
        <is>
          <t>Lower-Middle Income</t>
        </is>
      </c>
      <c r="D181" t="inlineStr">
        <is>
          <t>Old</t>
        </is>
      </c>
      <c r="E181" t="inlineStr">
        <is>
          <t>Clothes washing</t>
        </is>
      </c>
      <c r="F181" t="inlineStr">
        <is>
          <t>RESHOULMOldCW</t>
        </is>
      </c>
      <c r="G181" t="inlineStr">
        <is>
          <t>TJ</t>
        </is>
      </c>
      <c r="H181" t="inlineStr">
        <is>
          <t>TJ / Mm2</t>
        </is>
      </c>
      <c r="I181" t="n">
        <v>1.187143590188986</v>
      </c>
      <c r="J181" t="n">
        <v>1.187143590188986</v>
      </c>
      <c r="K181" t="n">
        <v>1.187143590188986</v>
      </c>
      <c r="L181" t="n">
        <v>1.187143590188986</v>
      </c>
      <c r="M181" t="n">
        <v>1.187143590188986</v>
      </c>
      <c r="N181" t="n">
        <v>1.187143590188986</v>
      </c>
      <c r="O181" t="n">
        <v>1.187143590188986</v>
      </c>
      <c r="P181" t="n">
        <v>1.187143590188986</v>
      </c>
      <c r="Q181" t="n">
        <v>1.187143590188986</v>
      </c>
      <c r="R181" t="n">
        <v>1.187143590188986</v>
      </c>
      <c r="S181" t="n">
        <v>1.187143590188986</v>
      </c>
      <c r="T181" t="n">
        <v>1.187143590188986</v>
      </c>
      <c r="U181" t="n">
        <v>1.187143590188986</v>
      </c>
      <c r="V181" t="n">
        <v>1.187143590188986</v>
      </c>
      <c r="W181" t="n">
        <v>1.187143590188986</v>
      </c>
      <c r="X181" t="n">
        <v>1.187143590188986</v>
      </c>
      <c r="Y181" t="n">
        <v>1.187143590188986</v>
      </c>
      <c r="Z181" t="n">
        <v>1.187143590188986</v>
      </c>
    </row>
    <row r="182">
      <c r="A182" t="inlineStr">
        <is>
          <t>Residential</t>
        </is>
      </c>
      <c r="B182" t="inlineStr">
        <is>
          <t>Apartment</t>
        </is>
      </c>
      <c r="C182" t="inlineStr">
        <is>
          <t>Upper-Middle Income</t>
        </is>
      </c>
      <c r="D182" t="inlineStr">
        <is>
          <t>Old</t>
        </is>
      </c>
      <c r="E182" t="inlineStr">
        <is>
          <t>Clothes washing</t>
        </is>
      </c>
      <c r="F182" t="inlineStr">
        <is>
          <t>RESAPAUMOldCW</t>
        </is>
      </c>
      <c r="G182" t="inlineStr">
        <is>
          <t>TJ</t>
        </is>
      </c>
      <c r="H182" t="inlineStr">
        <is>
          <t>TJ / Mm2</t>
        </is>
      </c>
      <c r="I182" t="n">
        <v>0.3271175146297138</v>
      </c>
      <c r="J182" t="n">
        <v>0.3271175146297138</v>
      </c>
      <c r="K182" t="n">
        <v>0.3271175146297138</v>
      </c>
      <c r="L182" t="n">
        <v>0.3271175146297138</v>
      </c>
      <c r="M182" t="n">
        <v>0.3271175146297138</v>
      </c>
      <c r="N182" t="n">
        <v>0.3271175146297138</v>
      </c>
      <c r="O182" t="n">
        <v>0.3271175146297138</v>
      </c>
      <c r="P182" t="n">
        <v>0.3271175146297138</v>
      </c>
      <c r="Q182" t="n">
        <v>0.3271175146297138</v>
      </c>
      <c r="R182" t="n">
        <v>0.3271175146297138</v>
      </c>
      <c r="S182" t="n">
        <v>0.3271175146297138</v>
      </c>
      <c r="T182" t="n">
        <v>0.3271175146297138</v>
      </c>
      <c r="U182" t="n">
        <v>0.3271175146297138</v>
      </c>
      <c r="V182" t="n">
        <v>0.3271175146297138</v>
      </c>
      <c r="W182" t="n">
        <v>0.3271175146297138</v>
      </c>
      <c r="X182" t="n">
        <v>0.3271175146297138</v>
      </c>
      <c r="Y182" t="n">
        <v>0.3271175146297138</v>
      </c>
      <c r="Z182" t="n">
        <v>0.3271175146297138</v>
      </c>
    </row>
    <row r="183">
      <c r="A183" t="inlineStr">
        <is>
          <t>Residential</t>
        </is>
      </c>
      <c r="B183" t="inlineStr">
        <is>
          <t>House</t>
        </is>
      </c>
      <c r="C183" t="inlineStr">
        <is>
          <t>Upper-Middle Income</t>
        </is>
      </c>
      <c r="D183" t="inlineStr">
        <is>
          <t>Old</t>
        </is>
      </c>
      <c r="E183" t="inlineStr">
        <is>
          <t>Clothes washing</t>
        </is>
      </c>
      <c r="F183" t="inlineStr">
        <is>
          <t>RESHOUUMOldCW</t>
        </is>
      </c>
      <c r="G183" t="inlineStr">
        <is>
          <t>TJ</t>
        </is>
      </c>
      <c r="H183" t="inlineStr">
        <is>
          <t>TJ / Mm2</t>
        </is>
      </c>
      <c r="I183" t="n">
        <v>1.263841094462333</v>
      </c>
      <c r="J183" t="n">
        <v>1.263841094462333</v>
      </c>
      <c r="K183" t="n">
        <v>1.263841094462333</v>
      </c>
      <c r="L183" t="n">
        <v>1.263841094462333</v>
      </c>
      <c r="M183" t="n">
        <v>1.263841094462333</v>
      </c>
      <c r="N183" t="n">
        <v>1.263841094462333</v>
      </c>
      <c r="O183" t="n">
        <v>1.263841094462333</v>
      </c>
      <c r="P183" t="n">
        <v>1.263841094462333</v>
      </c>
      <c r="Q183" t="n">
        <v>1.263841094462333</v>
      </c>
      <c r="R183" t="n">
        <v>1.263841094462333</v>
      </c>
      <c r="S183" t="n">
        <v>1.263841094462333</v>
      </c>
      <c r="T183" t="n">
        <v>1.263841094462333</v>
      </c>
      <c r="U183" t="n">
        <v>1.263841094462333</v>
      </c>
      <c r="V183" t="n">
        <v>1.263841094462333</v>
      </c>
      <c r="W183" t="n">
        <v>1.263841094462333</v>
      </c>
      <c r="X183" t="n">
        <v>1.263841094462333</v>
      </c>
      <c r="Y183" t="n">
        <v>1.263841094462333</v>
      </c>
      <c r="Z183" t="n">
        <v>1.263841094462333</v>
      </c>
    </row>
    <row r="184">
      <c r="A184" t="inlineStr">
        <is>
          <t>Residential</t>
        </is>
      </c>
      <c r="B184" t="inlineStr">
        <is>
          <t>Apartment</t>
        </is>
      </c>
      <c r="C184" t="inlineStr">
        <is>
          <t>High Income</t>
        </is>
      </c>
      <c r="D184" t="inlineStr">
        <is>
          <t>Old</t>
        </is>
      </c>
      <c r="E184" t="inlineStr">
        <is>
          <t>Clothes washing</t>
        </is>
      </c>
      <c r="F184" t="inlineStr">
        <is>
          <t>RESAPAHIOldCW</t>
        </is>
      </c>
      <c r="G184" t="inlineStr">
        <is>
          <t>TJ</t>
        </is>
      </c>
      <c r="H184" t="inlineStr">
        <is>
          <t>TJ / Mm2</t>
        </is>
      </c>
      <c r="I184" t="n">
        <v>0.504896132475911</v>
      </c>
      <c r="J184" t="n">
        <v>0.504896132475911</v>
      </c>
      <c r="K184" t="n">
        <v>0.504896132475911</v>
      </c>
      <c r="L184" t="n">
        <v>0.504896132475911</v>
      </c>
      <c r="M184" t="n">
        <v>0.504896132475911</v>
      </c>
      <c r="N184" t="n">
        <v>0.504896132475911</v>
      </c>
      <c r="O184" t="n">
        <v>0.504896132475911</v>
      </c>
      <c r="P184" t="n">
        <v>0.504896132475911</v>
      </c>
      <c r="Q184" t="n">
        <v>0.504896132475911</v>
      </c>
      <c r="R184" t="n">
        <v>0.504896132475911</v>
      </c>
      <c r="S184" t="n">
        <v>0.504896132475911</v>
      </c>
      <c r="T184" t="n">
        <v>0.504896132475911</v>
      </c>
      <c r="U184" t="n">
        <v>0.504896132475911</v>
      </c>
      <c r="V184" t="n">
        <v>0.504896132475911</v>
      </c>
      <c r="W184" t="n">
        <v>0.504896132475911</v>
      </c>
      <c r="X184" t="n">
        <v>0.504896132475911</v>
      </c>
      <c r="Y184" t="n">
        <v>0.504896132475911</v>
      </c>
      <c r="Z184" t="n">
        <v>0.504896132475911</v>
      </c>
    </row>
    <row r="185">
      <c r="A185" t="inlineStr">
        <is>
          <t>Residential</t>
        </is>
      </c>
      <c r="B185" t="inlineStr">
        <is>
          <t>House</t>
        </is>
      </c>
      <c r="C185" t="inlineStr">
        <is>
          <t>High Income</t>
        </is>
      </c>
      <c r="D185" t="inlineStr">
        <is>
          <t>Old</t>
        </is>
      </c>
      <c r="E185" t="inlineStr">
        <is>
          <t>Clothes washing</t>
        </is>
      </c>
      <c r="F185" t="inlineStr">
        <is>
          <t>RESHOUHIOldCW</t>
        </is>
      </c>
      <c r="G185" t="inlineStr">
        <is>
          <t>TJ</t>
        </is>
      </c>
      <c r="H185" t="inlineStr">
        <is>
          <t>TJ / Mm2</t>
        </is>
      </c>
      <c r="I185" t="n">
        <v>1.14973399644159</v>
      </c>
      <c r="J185" t="n">
        <v>1.14973399644159</v>
      </c>
      <c r="K185" t="n">
        <v>1.14973399644159</v>
      </c>
      <c r="L185" t="n">
        <v>1.14973399644159</v>
      </c>
      <c r="M185" t="n">
        <v>1.14973399644159</v>
      </c>
      <c r="N185" t="n">
        <v>1.14973399644159</v>
      </c>
      <c r="O185" t="n">
        <v>1.14973399644159</v>
      </c>
      <c r="P185" t="n">
        <v>1.14973399644159</v>
      </c>
      <c r="Q185" t="n">
        <v>1.14973399644159</v>
      </c>
      <c r="R185" t="n">
        <v>1.14973399644159</v>
      </c>
      <c r="S185" t="n">
        <v>1.14973399644159</v>
      </c>
      <c r="T185" t="n">
        <v>1.14973399644159</v>
      </c>
      <c r="U185" t="n">
        <v>1.14973399644159</v>
      </c>
      <c r="V185" t="n">
        <v>1.14973399644159</v>
      </c>
      <c r="W185" t="n">
        <v>1.14973399644159</v>
      </c>
      <c r="X185" t="n">
        <v>1.14973399644159</v>
      </c>
      <c r="Y185" t="n">
        <v>1.14973399644159</v>
      </c>
      <c r="Z185" t="n">
        <v>1.14973399644159</v>
      </c>
    </row>
    <row r="186">
      <c r="A186" t="inlineStr">
        <is>
          <t>Residential</t>
        </is>
      </c>
      <c r="B186" t="inlineStr">
        <is>
          <t>Apartment</t>
        </is>
      </c>
      <c r="C186" t="inlineStr">
        <is>
          <t>Low Income</t>
        </is>
      </c>
      <c r="D186" t="inlineStr">
        <is>
          <t>Old</t>
        </is>
      </c>
      <c r="E186" t="inlineStr">
        <is>
          <t>Clothes drying</t>
        </is>
      </c>
      <c r="F186" t="inlineStr">
        <is>
          <t>RESAPALOOldCD</t>
        </is>
      </c>
      <c r="G186" t="inlineStr">
        <is>
          <t>TJ</t>
        </is>
      </c>
      <c r="H186" t="inlineStr">
        <is>
          <t>TJ / Mm2</t>
        </is>
      </c>
      <c r="I186" t="n">
        <v>3.525123140065237</v>
      </c>
      <c r="J186" t="n">
        <v>3.525123140065237</v>
      </c>
      <c r="K186" t="n">
        <v>3.525123140065237</v>
      </c>
      <c r="L186" t="n">
        <v>3.525123140065237</v>
      </c>
      <c r="M186" t="n">
        <v>3.525123140065237</v>
      </c>
      <c r="N186" t="n">
        <v>3.525123140065237</v>
      </c>
      <c r="O186" t="n">
        <v>3.525123140065237</v>
      </c>
      <c r="P186" t="n">
        <v>3.525123140065237</v>
      </c>
      <c r="Q186" t="n">
        <v>3.525123140065237</v>
      </c>
      <c r="R186" t="n">
        <v>3.525123140065237</v>
      </c>
      <c r="S186" t="n">
        <v>3.525123140065237</v>
      </c>
      <c r="T186" t="n">
        <v>3.525123140065237</v>
      </c>
      <c r="U186" t="n">
        <v>3.525123140065237</v>
      </c>
      <c r="V186" t="n">
        <v>3.525123140065237</v>
      </c>
      <c r="W186" t="n">
        <v>3.525123140065237</v>
      </c>
      <c r="X186" t="n">
        <v>3.525123140065237</v>
      </c>
      <c r="Y186" t="n">
        <v>3.525123140065237</v>
      </c>
      <c r="Z186" t="n">
        <v>3.525123140065237</v>
      </c>
    </row>
    <row r="187">
      <c r="A187" t="inlineStr">
        <is>
          <t>Residential</t>
        </is>
      </c>
      <c r="B187" t="inlineStr">
        <is>
          <t>House</t>
        </is>
      </c>
      <c r="C187" t="inlineStr">
        <is>
          <t>Low Income</t>
        </is>
      </c>
      <c r="D187" t="inlineStr">
        <is>
          <t>Old</t>
        </is>
      </c>
      <c r="E187" t="inlineStr">
        <is>
          <t>Clothes drying</t>
        </is>
      </c>
      <c r="F187" t="inlineStr">
        <is>
          <t>RESHOULOOldCD</t>
        </is>
      </c>
      <c r="G187" t="inlineStr">
        <is>
          <t>TJ</t>
        </is>
      </c>
      <c r="H187" t="inlineStr">
        <is>
          <t>TJ / Mm2</t>
        </is>
      </c>
      <c r="I187" t="n">
        <v>11.29066962572993</v>
      </c>
      <c r="J187" t="n">
        <v>11.29066962572993</v>
      </c>
      <c r="K187" t="n">
        <v>11.29066962572993</v>
      </c>
      <c r="L187" t="n">
        <v>11.29066962572993</v>
      </c>
      <c r="M187" t="n">
        <v>11.29066962572993</v>
      </c>
      <c r="N187" t="n">
        <v>11.29066962572993</v>
      </c>
      <c r="O187" t="n">
        <v>11.29066962572993</v>
      </c>
      <c r="P187" t="n">
        <v>11.29066962572993</v>
      </c>
      <c r="Q187" t="n">
        <v>11.29066962572993</v>
      </c>
      <c r="R187" t="n">
        <v>11.29066962572993</v>
      </c>
      <c r="S187" t="n">
        <v>11.29066962572993</v>
      </c>
      <c r="T187" t="n">
        <v>11.29066962572993</v>
      </c>
      <c r="U187" t="n">
        <v>11.29066962572993</v>
      </c>
      <c r="V187" t="n">
        <v>11.29066962572993</v>
      </c>
      <c r="W187" t="n">
        <v>11.29066962572993</v>
      </c>
      <c r="X187" t="n">
        <v>11.29066962572993</v>
      </c>
      <c r="Y187" t="n">
        <v>11.29066962572993</v>
      </c>
      <c r="Z187" t="n">
        <v>11.29066962572993</v>
      </c>
    </row>
    <row r="188">
      <c r="A188" t="inlineStr">
        <is>
          <t>Residential</t>
        </is>
      </c>
      <c r="B188" t="inlineStr">
        <is>
          <t>Apartment</t>
        </is>
      </c>
      <c r="C188" t="inlineStr">
        <is>
          <t>Lower-Middle Income</t>
        </is>
      </c>
      <c r="D188" t="inlineStr">
        <is>
          <t>Old</t>
        </is>
      </c>
      <c r="E188" t="inlineStr">
        <is>
          <t>Clothes drying</t>
        </is>
      </c>
      <c r="F188" t="inlineStr">
        <is>
          <t>RESAPALMOldCD</t>
        </is>
      </c>
      <c r="G188" t="inlineStr">
        <is>
          <t>TJ</t>
        </is>
      </c>
      <c r="H188" t="inlineStr">
        <is>
          <t>TJ / Mm2</t>
        </is>
      </c>
      <c r="I188" t="n">
        <v>3.024111060889215</v>
      </c>
      <c r="J188" t="n">
        <v>3.024111060889215</v>
      </c>
      <c r="K188" t="n">
        <v>3.024111060889215</v>
      </c>
      <c r="L188" t="n">
        <v>3.024111060889215</v>
      </c>
      <c r="M188" t="n">
        <v>3.024111060889215</v>
      </c>
      <c r="N188" t="n">
        <v>3.024111060889215</v>
      </c>
      <c r="O188" t="n">
        <v>3.024111060889215</v>
      </c>
      <c r="P188" t="n">
        <v>3.024111060889215</v>
      </c>
      <c r="Q188" t="n">
        <v>3.024111060889215</v>
      </c>
      <c r="R188" t="n">
        <v>3.024111060889215</v>
      </c>
      <c r="S188" t="n">
        <v>3.024111060889215</v>
      </c>
      <c r="T188" t="n">
        <v>3.024111060889215</v>
      </c>
      <c r="U188" t="n">
        <v>3.024111060889215</v>
      </c>
      <c r="V188" t="n">
        <v>3.024111060889215</v>
      </c>
      <c r="W188" t="n">
        <v>3.024111060889215</v>
      </c>
      <c r="X188" t="n">
        <v>3.024111060889215</v>
      </c>
      <c r="Y188" t="n">
        <v>3.024111060889215</v>
      </c>
      <c r="Z188" t="n">
        <v>3.024111060889215</v>
      </c>
    </row>
    <row r="189">
      <c r="A189" t="inlineStr">
        <is>
          <t>Residential</t>
        </is>
      </c>
      <c r="B189" t="inlineStr">
        <is>
          <t>House</t>
        </is>
      </c>
      <c r="C189" t="inlineStr">
        <is>
          <t>Lower-Middle Income</t>
        </is>
      </c>
      <c r="D189" t="inlineStr">
        <is>
          <t>Old</t>
        </is>
      </c>
      <c r="E189" t="inlineStr">
        <is>
          <t>Clothes drying</t>
        </is>
      </c>
      <c r="F189" t="inlineStr">
        <is>
          <t>RESHOULMOldCD</t>
        </is>
      </c>
      <c r="G189" t="inlineStr">
        <is>
          <t>TJ</t>
        </is>
      </c>
      <c r="H189" t="inlineStr">
        <is>
          <t>TJ / Mm2</t>
        </is>
      </c>
      <c r="I189" t="n">
        <v>11.32545923212538</v>
      </c>
      <c r="J189" t="n">
        <v>11.32545923212538</v>
      </c>
      <c r="K189" t="n">
        <v>11.32545923212538</v>
      </c>
      <c r="L189" t="n">
        <v>11.32545923212538</v>
      </c>
      <c r="M189" t="n">
        <v>11.32545923212538</v>
      </c>
      <c r="N189" t="n">
        <v>11.32545923212538</v>
      </c>
      <c r="O189" t="n">
        <v>11.32545923212538</v>
      </c>
      <c r="P189" t="n">
        <v>11.32545923212538</v>
      </c>
      <c r="Q189" t="n">
        <v>11.32545923212538</v>
      </c>
      <c r="R189" t="n">
        <v>11.32545923212538</v>
      </c>
      <c r="S189" t="n">
        <v>11.32545923212538</v>
      </c>
      <c r="T189" t="n">
        <v>11.32545923212538</v>
      </c>
      <c r="U189" t="n">
        <v>11.32545923212538</v>
      </c>
      <c r="V189" t="n">
        <v>11.32545923212538</v>
      </c>
      <c r="W189" t="n">
        <v>11.32545923212538</v>
      </c>
      <c r="X189" t="n">
        <v>11.32545923212538</v>
      </c>
      <c r="Y189" t="n">
        <v>11.32545923212538</v>
      </c>
      <c r="Z189" t="n">
        <v>11.32545923212538</v>
      </c>
    </row>
    <row r="190">
      <c r="A190" t="inlineStr">
        <is>
          <t>Residential</t>
        </is>
      </c>
      <c r="B190" t="inlineStr">
        <is>
          <t>Apartment</t>
        </is>
      </c>
      <c r="C190" t="inlineStr">
        <is>
          <t>Upper-Middle Income</t>
        </is>
      </c>
      <c r="D190" t="inlineStr">
        <is>
          <t>Old</t>
        </is>
      </c>
      <c r="E190" t="inlineStr">
        <is>
          <t>Clothes drying</t>
        </is>
      </c>
      <c r="F190" t="inlineStr">
        <is>
          <t>RESAPAUMOldCD</t>
        </is>
      </c>
      <c r="G190" t="inlineStr">
        <is>
          <t>TJ</t>
        </is>
      </c>
      <c r="H190" t="inlineStr">
        <is>
          <t>TJ / Mm2</t>
        </is>
      </c>
      <c r="I190" t="n">
        <v>6.629283676515826</v>
      </c>
      <c r="J190" t="n">
        <v>6.629283676515826</v>
      </c>
      <c r="K190" t="n">
        <v>6.629283676515826</v>
      </c>
      <c r="L190" t="n">
        <v>6.629283676515826</v>
      </c>
      <c r="M190" t="n">
        <v>6.629283676515826</v>
      </c>
      <c r="N190" t="n">
        <v>6.629283676515826</v>
      </c>
      <c r="O190" t="n">
        <v>6.629283676515826</v>
      </c>
      <c r="P190" t="n">
        <v>6.629283676515826</v>
      </c>
      <c r="Q190" t="n">
        <v>6.629283676515826</v>
      </c>
      <c r="R190" t="n">
        <v>6.629283676515826</v>
      </c>
      <c r="S190" t="n">
        <v>6.629283676515826</v>
      </c>
      <c r="T190" t="n">
        <v>6.629283676515826</v>
      </c>
      <c r="U190" t="n">
        <v>6.629283676515826</v>
      </c>
      <c r="V190" t="n">
        <v>6.629283676515826</v>
      </c>
      <c r="W190" t="n">
        <v>6.629283676515826</v>
      </c>
      <c r="X190" t="n">
        <v>6.629283676515826</v>
      </c>
      <c r="Y190" t="n">
        <v>6.629283676515826</v>
      </c>
      <c r="Z190" t="n">
        <v>6.629283676515826</v>
      </c>
    </row>
    <row r="191">
      <c r="A191" t="inlineStr">
        <is>
          <t>Residential</t>
        </is>
      </c>
      <c r="B191" t="inlineStr">
        <is>
          <t>House</t>
        </is>
      </c>
      <c r="C191" t="inlineStr">
        <is>
          <t>Upper-Middle Income</t>
        </is>
      </c>
      <c r="D191" t="inlineStr">
        <is>
          <t>Old</t>
        </is>
      </c>
      <c r="E191" t="inlineStr">
        <is>
          <t>Clothes drying</t>
        </is>
      </c>
      <c r="F191" t="inlineStr">
        <is>
          <t>RESHOUUMOldCD</t>
        </is>
      </c>
      <c r="G191" t="inlineStr">
        <is>
          <t>TJ</t>
        </is>
      </c>
      <c r="H191" t="inlineStr">
        <is>
          <t>TJ / Mm2</t>
        </is>
      </c>
      <c r="I191" t="n">
        <v>14.74397863470048</v>
      </c>
      <c r="J191" t="n">
        <v>14.74397863470048</v>
      </c>
      <c r="K191" t="n">
        <v>14.74397863470048</v>
      </c>
      <c r="L191" t="n">
        <v>14.74397863470048</v>
      </c>
      <c r="M191" t="n">
        <v>14.74397863470048</v>
      </c>
      <c r="N191" t="n">
        <v>14.74397863470048</v>
      </c>
      <c r="O191" t="n">
        <v>14.74397863470048</v>
      </c>
      <c r="P191" t="n">
        <v>14.74397863470048</v>
      </c>
      <c r="Q191" t="n">
        <v>14.74397863470048</v>
      </c>
      <c r="R191" t="n">
        <v>14.74397863470048</v>
      </c>
      <c r="S191" t="n">
        <v>14.74397863470048</v>
      </c>
      <c r="T191" t="n">
        <v>14.74397863470048</v>
      </c>
      <c r="U191" t="n">
        <v>14.74397863470048</v>
      </c>
      <c r="V191" t="n">
        <v>14.74397863470048</v>
      </c>
      <c r="W191" t="n">
        <v>14.74397863470048</v>
      </c>
      <c r="X191" t="n">
        <v>14.74397863470048</v>
      </c>
      <c r="Y191" t="n">
        <v>14.74397863470048</v>
      </c>
      <c r="Z191" t="n">
        <v>14.74397863470048</v>
      </c>
    </row>
    <row r="192">
      <c r="A192" t="inlineStr">
        <is>
          <t>Residential</t>
        </is>
      </c>
      <c r="B192" t="inlineStr">
        <is>
          <t>Apartment</t>
        </is>
      </c>
      <c r="C192" t="inlineStr">
        <is>
          <t>High Income</t>
        </is>
      </c>
      <c r="D192" t="inlineStr">
        <is>
          <t>Old</t>
        </is>
      </c>
      <c r="E192" t="inlineStr">
        <is>
          <t>Clothes drying</t>
        </is>
      </c>
      <c r="F192" t="inlineStr">
        <is>
          <t>RESAPAHIOldCD</t>
        </is>
      </c>
      <c r="G192" t="inlineStr">
        <is>
          <t>TJ</t>
        </is>
      </c>
      <c r="H192" t="inlineStr">
        <is>
          <t>TJ / Mm2</t>
        </is>
      </c>
      <c r="I192" t="n">
        <v>6.455286868236706</v>
      </c>
      <c r="J192" t="n">
        <v>6.455286868236706</v>
      </c>
      <c r="K192" t="n">
        <v>6.455286868236706</v>
      </c>
      <c r="L192" t="n">
        <v>6.455286868236706</v>
      </c>
      <c r="M192" t="n">
        <v>6.455286868236706</v>
      </c>
      <c r="N192" t="n">
        <v>6.455286868236706</v>
      </c>
      <c r="O192" t="n">
        <v>6.455286868236706</v>
      </c>
      <c r="P192" t="n">
        <v>6.455286868236706</v>
      </c>
      <c r="Q192" t="n">
        <v>6.455286868236706</v>
      </c>
      <c r="R192" t="n">
        <v>6.455286868236706</v>
      </c>
      <c r="S192" t="n">
        <v>6.455286868236706</v>
      </c>
      <c r="T192" t="n">
        <v>6.455286868236706</v>
      </c>
      <c r="U192" t="n">
        <v>6.455286868236706</v>
      </c>
      <c r="V192" t="n">
        <v>6.455286868236706</v>
      </c>
      <c r="W192" t="n">
        <v>6.455286868236706</v>
      </c>
      <c r="X192" t="n">
        <v>6.455286868236706</v>
      </c>
      <c r="Y192" t="n">
        <v>6.455286868236706</v>
      </c>
      <c r="Z192" t="n">
        <v>6.455286868236706</v>
      </c>
    </row>
    <row r="193">
      <c r="A193" t="inlineStr">
        <is>
          <t>Residential</t>
        </is>
      </c>
      <c r="B193" t="inlineStr">
        <is>
          <t>House</t>
        </is>
      </c>
      <c r="C193" t="inlineStr">
        <is>
          <t>High Income</t>
        </is>
      </c>
      <c r="D193" t="inlineStr">
        <is>
          <t>Old</t>
        </is>
      </c>
      <c r="E193" t="inlineStr">
        <is>
          <t>Clothes drying</t>
        </is>
      </c>
      <c r="F193" t="inlineStr">
        <is>
          <t>RESHOUHIOldCD</t>
        </is>
      </c>
      <c r="G193" t="inlineStr">
        <is>
          <t>TJ</t>
        </is>
      </c>
      <c r="H193" t="inlineStr">
        <is>
          <t>TJ / Mm2</t>
        </is>
      </c>
      <c r="I193" t="n">
        <v>14.61529714919033</v>
      </c>
      <c r="J193" t="n">
        <v>14.61529714919033</v>
      </c>
      <c r="K193" t="n">
        <v>14.61529714919033</v>
      </c>
      <c r="L193" t="n">
        <v>14.61529714919033</v>
      </c>
      <c r="M193" t="n">
        <v>14.61529714919033</v>
      </c>
      <c r="N193" t="n">
        <v>14.61529714919033</v>
      </c>
      <c r="O193" t="n">
        <v>14.61529714919033</v>
      </c>
      <c r="P193" t="n">
        <v>14.61529714919033</v>
      </c>
      <c r="Q193" t="n">
        <v>14.61529714919033</v>
      </c>
      <c r="R193" t="n">
        <v>14.61529714919033</v>
      </c>
      <c r="S193" t="n">
        <v>14.61529714919033</v>
      </c>
      <c r="T193" t="n">
        <v>14.61529714919033</v>
      </c>
      <c r="U193" t="n">
        <v>14.61529714919033</v>
      </c>
      <c r="V193" t="n">
        <v>14.61529714919033</v>
      </c>
      <c r="W193" t="n">
        <v>14.61529714919033</v>
      </c>
      <c r="X193" t="n">
        <v>14.61529714919033</v>
      </c>
      <c r="Y193" t="n">
        <v>14.61529714919033</v>
      </c>
      <c r="Z193" t="n">
        <v>14.61529714919033</v>
      </c>
    </row>
    <row r="194">
      <c r="A194" t="inlineStr">
        <is>
          <t>Residential</t>
        </is>
      </c>
      <c r="B194" t="inlineStr">
        <is>
          <t>Apartment</t>
        </is>
      </c>
      <c r="C194" t="inlineStr">
        <is>
          <t>Low Income</t>
        </is>
      </c>
      <c r="D194" t="inlineStr">
        <is>
          <t>Old</t>
        </is>
      </c>
      <c r="E194" t="inlineStr">
        <is>
          <t>Lighting</t>
        </is>
      </c>
      <c r="F194" t="inlineStr">
        <is>
          <t>RESAPALOOldLT</t>
        </is>
      </c>
      <c r="G194" t="inlineStr">
        <is>
          <t>Mlm</t>
        </is>
      </c>
      <c r="H194" t="inlineStr">
        <is>
          <t>Mlm / Mm2</t>
        </is>
      </c>
      <c r="I194" t="n">
        <v>10.86598551121561</v>
      </c>
      <c r="J194" t="n">
        <v>10.86598551121561</v>
      </c>
      <c r="K194" t="n">
        <v>10.86598551121561</v>
      </c>
      <c r="L194" t="n">
        <v>10.86598551121561</v>
      </c>
      <c r="M194" t="n">
        <v>10.86598551121561</v>
      </c>
      <c r="N194" t="n">
        <v>10.86598551121561</v>
      </c>
      <c r="O194" t="n">
        <v>10.86598551121561</v>
      </c>
      <c r="P194" t="n">
        <v>10.86598551121561</v>
      </c>
      <c r="Q194" t="n">
        <v>10.86598551121561</v>
      </c>
      <c r="R194" t="n">
        <v>10.86598551121561</v>
      </c>
      <c r="S194" t="n">
        <v>10.86598551121561</v>
      </c>
      <c r="T194" t="n">
        <v>10.86598551121561</v>
      </c>
      <c r="U194" t="n">
        <v>10.86598551121561</v>
      </c>
      <c r="V194" t="n">
        <v>10.86598551121561</v>
      </c>
      <c r="W194" t="n">
        <v>10.86598551121561</v>
      </c>
      <c r="X194" t="n">
        <v>10.86598551121561</v>
      </c>
      <c r="Y194" t="n">
        <v>10.86598551121561</v>
      </c>
      <c r="Z194" t="n">
        <v>10.86598551121561</v>
      </c>
    </row>
    <row r="195">
      <c r="A195" t="inlineStr">
        <is>
          <t>Residential</t>
        </is>
      </c>
      <c r="B195" t="inlineStr">
        <is>
          <t>House</t>
        </is>
      </c>
      <c r="C195" t="inlineStr">
        <is>
          <t>Low Income</t>
        </is>
      </c>
      <c r="D195" t="inlineStr">
        <is>
          <t>Old</t>
        </is>
      </c>
      <c r="E195" t="inlineStr">
        <is>
          <t>Lighting</t>
        </is>
      </c>
      <c r="F195" t="inlineStr">
        <is>
          <t>RESHOULOOldLT</t>
        </is>
      </c>
      <c r="G195" t="inlineStr">
        <is>
          <t>Mlm</t>
        </is>
      </c>
      <c r="H195" t="inlineStr">
        <is>
          <t>Mlm / Mm2</t>
        </is>
      </c>
      <c r="I195" t="n">
        <v>17.0631361415996</v>
      </c>
      <c r="J195" t="n">
        <v>17.0631361415996</v>
      </c>
      <c r="K195" t="n">
        <v>17.0631361415996</v>
      </c>
      <c r="L195" t="n">
        <v>17.0631361415996</v>
      </c>
      <c r="M195" t="n">
        <v>17.0631361415996</v>
      </c>
      <c r="N195" t="n">
        <v>17.0631361415996</v>
      </c>
      <c r="O195" t="n">
        <v>17.0631361415996</v>
      </c>
      <c r="P195" t="n">
        <v>17.0631361415996</v>
      </c>
      <c r="Q195" t="n">
        <v>17.0631361415996</v>
      </c>
      <c r="R195" t="n">
        <v>17.0631361415996</v>
      </c>
      <c r="S195" t="n">
        <v>17.0631361415996</v>
      </c>
      <c r="T195" t="n">
        <v>17.0631361415996</v>
      </c>
      <c r="U195" t="n">
        <v>17.0631361415996</v>
      </c>
      <c r="V195" t="n">
        <v>17.0631361415996</v>
      </c>
      <c r="W195" t="n">
        <v>17.0631361415996</v>
      </c>
      <c r="X195" t="n">
        <v>17.0631361415996</v>
      </c>
      <c r="Y195" t="n">
        <v>17.0631361415996</v>
      </c>
      <c r="Z195" t="n">
        <v>17.0631361415996</v>
      </c>
    </row>
    <row r="196">
      <c r="A196" t="inlineStr">
        <is>
          <t>Residential</t>
        </is>
      </c>
      <c r="B196" t="inlineStr">
        <is>
          <t>Apartment</t>
        </is>
      </c>
      <c r="C196" t="inlineStr">
        <is>
          <t>Lower-Middle Income</t>
        </is>
      </c>
      <c r="D196" t="inlineStr">
        <is>
          <t>Old</t>
        </is>
      </c>
      <c r="E196" t="inlineStr">
        <is>
          <t>Lighting</t>
        </is>
      </c>
      <c r="F196" t="inlineStr">
        <is>
          <t>RESAPALMOldLT</t>
        </is>
      </c>
      <c r="G196" t="inlineStr">
        <is>
          <t>Mlm</t>
        </is>
      </c>
      <c r="H196" t="inlineStr">
        <is>
          <t>Mlm / Mm2</t>
        </is>
      </c>
      <c r="I196" t="n">
        <v>15.3555993277728</v>
      </c>
      <c r="J196" t="n">
        <v>15.3555993277728</v>
      </c>
      <c r="K196" t="n">
        <v>15.3555993277728</v>
      </c>
      <c r="L196" t="n">
        <v>15.3555993277728</v>
      </c>
      <c r="M196" t="n">
        <v>15.3555993277728</v>
      </c>
      <c r="N196" t="n">
        <v>15.3555993277728</v>
      </c>
      <c r="O196" t="n">
        <v>15.3555993277728</v>
      </c>
      <c r="P196" t="n">
        <v>15.3555993277728</v>
      </c>
      <c r="Q196" t="n">
        <v>15.3555993277728</v>
      </c>
      <c r="R196" t="n">
        <v>15.3555993277728</v>
      </c>
      <c r="S196" t="n">
        <v>15.3555993277728</v>
      </c>
      <c r="T196" t="n">
        <v>15.3555993277728</v>
      </c>
      <c r="U196" t="n">
        <v>15.3555993277728</v>
      </c>
      <c r="V196" t="n">
        <v>15.3555993277728</v>
      </c>
      <c r="W196" t="n">
        <v>15.3555993277728</v>
      </c>
      <c r="X196" t="n">
        <v>15.3555993277728</v>
      </c>
      <c r="Y196" t="n">
        <v>15.3555993277728</v>
      </c>
      <c r="Z196" t="n">
        <v>15.3555993277728</v>
      </c>
    </row>
    <row r="197">
      <c r="A197" t="inlineStr">
        <is>
          <t>Residential</t>
        </is>
      </c>
      <c r="B197" t="inlineStr">
        <is>
          <t>House</t>
        </is>
      </c>
      <c r="C197" t="inlineStr">
        <is>
          <t>Lower-Middle Income</t>
        </is>
      </c>
      <c r="D197" t="inlineStr">
        <is>
          <t>Old</t>
        </is>
      </c>
      <c r="E197" t="inlineStr">
        <is>
          <t>Lighting</t>
        </is>
      </c>
      <c r="F197" t="inlineStr">
        <is>
          <t>RESHOULMOldLT</t>
        </is>
      </c>
      <c r="G197" t="inlineStr">
        <is>
          <t>Mlm</t>
        </is>
      </c>
      <c r="H197" t="inlineStr">
        <is>
          <t>Mlm / Mm2</t>
        </is>
      </c>
      <c r="I197" t="n">
        <v>15.88774644710559</v>
      </c>
      <c r="J197" t="n">
        <v>15.88774644710559</v>
      </c>
      <c r="K197" t="n">
        <v>15.88774644710559</v>
      </c>
      <c r="L197" t="n">
        <v>15.88774644710559</v>
      </c>
      <c r="M197" t="n">
        <v>15.88774644710559</v>
      </c>
      <c r="N197" t="n">
        <v>15.88774644710559</v>
      </c>
      <c r="O197" t="n">
        <v>15.88774644710559</v>
      </c>
      <c r="P197" t="n">
        <v>15.88774644710559</v>
      </c>
      <c r="Q197" t="n">
        <v>15.88774644710559</v>
      </c>
      <c r="R197" t="n">
        <v>15.88774644710559</v>
      </c>
      <c r="S197" t="n">
        <v>15.88774644710559</v>
      </c>
      <c r="T197" t="n">
        <v>15.88774644710559</v>
      </c>
      <c r="U197" t="n">
        <v>15.88774644710559</v>
      </c>
      <c r="V197" t="n">
        <v>15.88774644710559</v>
      </c>
      <c r="W197" t="n">
        <v>15.88774644710559</v>
      </c>
      <c r="X197" t="n">
        <v>15.88774644710559</v>
      </c>
      <c r="Y197" t="n">
        <v>15.88774644710559</v>
      </c>
      <c r="Z197" t="n">
        <v>15.88774644710559</v>
      </c>
    </row>
    <row r="198">
      <c r="A198" t="inlineStr">
        <is>
          <t>Residential</t>
        </is>
      </c>
      <c r="B198" t="inlineStr">
        <is>
          <t>Apartment</t>
        </is>
      </c>
      <c r="C198" t="inlineStr">
        <is>
          <t>Upper-Middle Income</t>
        </is>
      </c>
      <c r="D198" t="inlineStr">
        <is>
          <t>Old</t>
        </is>
      </c>
      <c r="E198" t="inlineStr">
        <is>
          <t>Lighting</t>
        </is>
      </c>
      <c r="F198" t="inlineStr">
        <is>
          <t>RESAPAUMOldLT</t>
        </is>
      </c>
      <c r="G198" t="inlineStr">
        <is>
          <t>Mlm</t>
        </is>
      </c>
      <c r="H198" t="inlineStr">
        <is>
          <t>Mlm / Mm2</t>
        </is>
      </c>
      <c r="I198" t="n">
        <v>14.82567842712889</v>
      </c>
      <c r="J198" t="n">
        <v>14.82567842712889</v>
      </c>
      <c r="K198" t="n">
        <v>14.82567842712889</v>
      </c>
      <c r="L198" t="n">
        <v>14.82567842712889</v>
      </c>
      <c r="M198" t="n">
        <v>14.82567842712889</v>
      </c>
      <c r="N198" t="n">
        <v>14.82567842712889</v>
      </c>
      <c r="O198" t="n">
        <v>14.82567842712889</v>
      </c>
      <c r="P198" t="n">
        <v>14.82567842712889</v>
      </c>
      <c r="Q198" t="n">
        <v>14.82567842712889</v>
      </c>
      <c r="R198" t="n">
        <v>14.82567842712889</v>
      </c>
      <c r="S198" t="n">
        <v>14.82567842712889</v>
      </c>
      <c r="T198" t="n">
        <v>14.82567842712889</v>
      </c>
      <c r="U198" t="n">
        <v>14.82567842712889</v>
      </c>
      <c r="V198" t="n">
        <v>14.82567842712889</v>
      </c>
      <c r="W198" t="n">
        <v>14.82567842712889</v>
      </c>
      <c r="X198" t="n">
        <v>14.82567842712889</v>
      </c>
      <c r="Y198" t="n">
        <v>14.82567842712889</v>
      </c>
      <c r="Z198" t="n">
        <v>14.82567842712889</v>
      </c>
    </row>
    <row r="199">
      <c r="A199" t="inlineStr">
        <is>
          <t>Residential</t>
        </is>
      </c>
      <c r="B199" t="inlineStr">
        <is>
          <t>House</t>
        </is>
      </c>
      <c r="C199" t="inlineStr">
        <is>
          <t>Upper-Middle Income</t>
        </is>
      </c>
      <c r="D199" t="inlineStr">
        <is>
          <t>Old</t>
        </is>
      </c>
      <c r="E199" t="inlineStr">
        <is>
          <t>Lighting</t>
        </is>
      </c>
      <c r="F199" t="inlineStr">
        <is>
          <t>RESHOUUMOldLT</t>
        </is>
      </c>
      <c r="G199" t="inlineStr">
        <is>
          <t>Mlm</t>
        </is>
      </c>
      <c r="H199" t="inlineStr">
        <is>
          <t>Mlm / Mm2</t>
        </is>
      </c>
      <c r="I199" t="n">
        <v>19.1985169071623</v>
      </c>
      <c r="J199" t="n">
        <v>19.1985169071623</v>
      </c>
      <c r="K199" t="n">
        <v>19.1985169071623</v>
      </c>
      <c r="L199" t="n">
        <v>19.1985169071623</v>
      </c>
      <c r="M199" t="n">
        <v>19.1985169071623</v>
      </c>
      <c r="N199" t="n">
        <v>19.1985169071623</v>
      </c>
      <c r="O199" t="n">
        <v>19.1985169071623</v>
      </c>
      <c r="P199" t="n">
        <v>19.1985169071623</v>
      </c>
      <c r="Q199" t="n">
        <v>19.1985169071623</v>
      </c>
      <c r="R199" t="n">
        <v>19.1985169071623</v>
      </c>
      <c r="S199" t="n">
        <v>19.1985169071623</v>
      </c>
      <c r="T199" t="n">
        <v>19.1985169071623</v>
      </c>
      <c r="U199" t="n">
        <v>19.1985169071623</v>
      </c>
      <c r="V199" t="n">
        <v>19.1985169071623</v>
      </c>
      <c r="W199" t="n">
        <v>19.1985169071623</v>
      </c>
      <c r="X199" t="n">
        <v>19.1985169071623</v>
      </c>
      <c r="Y199" t="n">
        <v>19.1985169071623</v>
      </c>
      <c r="Z199" t="n">
        <v>19.1985169071623</v>
      </c>
    </row>
    <row r="200">
      <c r="A200" t="inlineStr">
        <is>
          <t>Residential</t>
        </is>
      </c>
      <c r="B200" t="inlineStr">
        <is>
          <t>Apartment</t>
        </is>
      </c>
      <c r="C200" t="inlineStr">
        <is>
          <t>High Income</t>
        </is>
      </c>
      <c r="D200" t="inlineStr">
        <is>
          <t>Old</t>
        </is>
      </c>
      <c r="E200" t="inlineStr">
        <is>
          <t>Lighting</t>
        </is>
      </c>
      <c r="F200" t="inlineStr">
        <is>
          <t>RESAPAHIOldLT</t>
        </is>
      </c>
      <c r="G200" t="inlineStr">
        <is>
          <t>Mlm</t>
        </is>
      </c>
      <c r="H200" t="inlineStr">
        <is>
          <t>Mlm / Mm2</t>
        </is>
      </c>
      <c r="I200" t="n">
        <v>17.87304607869206</v>
      </c>
      <c r="J200" t="n">
        <v>17.87304607869206</v>
      </c>
      <c r="K200" t="n">
        <v>17.87304607869206</v>
      </c>
      <c r="L200" t="n">
        <v>17.87304607869206</v>
      </c>
      <c r="M200" t="n">
        <v>17.87304607869206</v>
      </c>
      <c r="N200" t="n">
        <v>17.87304607869206</v>
      </c>
      <c r="O200" t="n">
        <v>17.87304607869206</v>
      </c>
      <c r="P200" t="n">
        <v>17.87304607869206</v>
      </c>
      <c r="Q200" t="n">
        <v>17.87304607869206</v>
      </c>
      <c r="R200" t="n">
        <v>17.87304607869206</v>
      </c>
      <c r="S200" t="n">
        <v>17.87304607869206</v>
      </c>
      <c r="T200" t="n">
        <v>17.87304607869206</v>
      </c>
      <c r="U200" t="n">
        <v>17.87304607869206</v>
      </c>
      <c r="V200" t="n">
        <v>17.87304607869206</v>
      </c>
      <c r="W200" t="n">
        <v>17.87304607869206</v>
      </c>
      <c r="X200" t="n">
        <v>17.87304607869206</v>
      </c>
      <c r="Y200" t="n">
        <v>17.87304607869206</v>
      </c>
      <c r="Z200" t="n">
        <v>17.87304607869206</v>
      </c>
    </row>
    <row r="201">
      <c r="A201" t="inlineStr">
        <is>
          <t>Residential</t>
        </is>
      </c>
      <c r="B201" t="inlineStr">
        <is>
          <t>House</t>
        </is>
      </c>
      <c r="C201" t="inlineStr">
        <is>
          <t>High Income</t>
        </is>
      </c>
      <c r="D201" t="inlineStr">
        <is>
          <t>Old</t>
        </is>
      </c>
      <c r="E201" t="inlineStr">
        <is>
          <t>Lighting</t>
        </is>
      </c>
      <c r="F201" t="inlineStr">
        <is>
          <t>RESHOUHIOldLT</t>
        </is>
      </c>
      <c r="G201" t="inlineStr">
        <is>
          <t>Mlm</t>
        </is>
      </c>
      <c r="H201" t="inlineStr">
        <is>
          <t>Mlm / Mm2</t>
        </is>
      </c>
      <c r="I201" t="n">
        <v>17.76277194032763</v>
      </c>
      <c r="J201" t="n">
        <v>17.76277194032763</v>
      </c>
      <c r="K201" t="n">
        <v>17.76277194032763</v>
      </c>
      <c r="L201" t="n">
        <v>17.76277194032763</v>
      </c>
      <c r="M201" t="n">
        <v>17.76277194032763</v>
      </c>
      <c r="N201" t="n">
        <v>17.76277194032763</v>
      </c>
      <c r="O201" t="n">
        <v>17.76277194032763</v>
      </c>
      <c r="P201" t="n">
        <v>17.76277194032763</v>
      </c>
      <c r="Q201" t="n">
        <v>17.76277194032763</v>
      </c>
      <c r="R201" t="n">
        <v>17.76277194032763</v>
      </c>
      <c r="S201" t="n">
        <v>17.76277194032763</v>
      </c>
      <c r="T201" t="n">
        <v>17.76277194032763</v>
      </c>
      <c r="U201" t="n">
        <v>17.76277194032763</v>
      </c>
      <c r="V201" t="n">
        <v>17.76277194032763</v>
      </c>
      <c r="W201" t="n">
        <v>17.76277194032763</v>
      </c>
      <c r="X201" t="n">
        <v>17.76277194032763</v>
      </c>
      <c r="Y201" t="n">
        <v>17.76277194032763</v>
      </c>
      <c r="Z201" t="n">
        <v>17.76277194032763</v>
      </c>
    </row>
    <row r="202">
      <c r="A202" t="inlineStr">
        <is>
          <t>Residential</t>
        </is>
      </c>
      <c r="B202" t="inlineStr">
        <is>
          <t>Apartment</t>
        </is>
      </c>
      <c r="C202" t="inlineStr">
        <is>
          <t>Low Income</t>
        </is>
      </c>
      <c r="D202" t="inlineStr">
        <is>
          <t>Old</t>
        </is>
      </c>
      <c r="E202" t="inlineStr">
        <is>
          <t>Other end use</t>
        </is>
      </c>
      <c r="F202" t="inlineStr">
        <is>
          <t>RESAPALOOldOE</t>
        </is>
      </c>
      <c r="G202" t="inlineStr">
        <is>
          <t>TJ</t>
        </is>
      </c>
      <c r="H202" t="inlineStr">
        <is>
          <t>TJ / Mm2</t>
        </is>
      </c>
      <c r="I202" t="n">
        <v>78.82302998119677</v>
      </c>
      <c r="J202" t="n">
        <v>78.82302998119677</v>
      </c>
      <c r="K202" t="n">
        <v>78.82302998119677</v>
      </c>
      <c r="L202" t="n">
        <v>78.82302998119677</v>
      </c>
      <c r="M202" t="n">
        <v>78.82302998119677</v>
      </c>
      <c r="N202" t="n">
        <v>78.82302998119677</v>
      </c>
      <c r="O202" t="n">
        <v>78.82302998119677</v>
      </c>
      <c r="P202" t="n">
        <v>78.82302998119677</v>
      </c>
      <c r="Q202" t="n">
        <v>78.82302998119677</v>
      </c>
      <c r="R202" t="n">
        <v>78.82302998119677</v>
      </c>
      <c r="S202" t="n">
        <v>78.82302998119677</v>
      </c>
      <c r="T202" t="n">
        <v>78.82302998119677</v>
      </c>
      <c r="U202" t="n">
        <v>78.82302998119677</v>
      </c>
      <c r="V202" t="n">
        <v>78.82302998119677</v>
      </c>
      <c r="W202" t="n">
        <v>78.82302998119677</v>
      </c>
      <c r="X202" t="n">
        <v>78.82302998119677</v>
      </c>
      <c r="Y202" t="n">
        <v>78.82302998119677</v>
      </c>
      <c r="Z202" t="n">
        <v>78.82302998119677</v>
      </c>
    </row>
    <row r="203">
      <c r="A203" t="inlineStr">
        <is>
          <t>Residential</t>
        </is>
      </c>
      <c r="B203" t="inlineStr">
        <is>
          <t>House</t>
        </is>
      </c>
      <c r="C203" t="inlineStr">
        <is>
          <t>Low Income</t>
        </is>
      </c>
      <c r="D203" t="inlineStr">
        <is>
          <t>Old</t>
        </is>
      </c>
      <c r="E203" t="inlineStr">
        <is>
          <t>Other end use</t>
        </is>
      </c>
      <c r="F203" t="inlineStr">
        <is>
          <t>RESHOULOOldOE</t>
        </is>
      </c>
      <c r="G203" t="inlineStr">
        <is>
          <t>TJ</t>
        </is>
      </c>
      <c r="H203" t="inlineStr">
        <is>
          <t>TJ / Mm2</t>
        </is>
      </c>
      <c r="I203" t="n">
        <v>103.9623004552225</v>
      </c>
      <c r="J203" t="n">
        <v>103.9623004552225</v>
      </c>
      <c r="K203" t="n">
        <v>103.9623004552225</v>
      </c>
      <c r="L203" t="n">
        <v>103.9623004552225</v>
      </c>
      <c r="M203" t="n">
        <v>103.9623004552225</v>
      </c>
      <c r="N203" t="n">
        <v>103.9623004552225</v>
      </c>
      <c r="O203" t="n">
        <v>103.9623004552225</v>
      </c>
      <c r="P203" t="n">
        <v>103.9623004552225</v>
      </c>
      <c r="Q203" t="n">
        <v>103.9623004552225</v>
      </c>
      <c r="R203" t="n">
        <v>103.9623004552225</v>
      </c>
      <c r="S203" t="n">
        <v>103.9623004552225</v>
      </c>
      <c r="T203" t="n">
        <v>103.9623004552225</v>
      </c>
      <c r="U203" t="n">
        <v>103.9623004552225</v>
      </c>
      <c r="V203" t="n">
        <v>103.9623004552225</v>
      </c>
      <c r="W203" t="n">
        <v>103.9623004552225</v>
      </c>
      <c r="X203" t="n">
        <v>103.9623004552225</v>
      </c>
      <c r="Y203" t="n">
        <v>103.9623004552225</v>
      </c>
      <c r="Z203" t="n">
        <v>103.9623004552225</v>
      </c>
    </row>
    <row r="204">
      <c r="A204" t="inlineStr">
        <is>
          <t>Residential</t>
        </is>
      </c>
      <c r="B204" t="inlineStr">
        <is>
          <t>Apartment</t>
        </is>
      </c>
      <c r="C204" t="inlineStr">
        <is>
          <t>Lower-Middle Income</t>
        </is>
      </c>
      <c r="D204" t="inlineStr">
        <is>
          <t>Old</t>
        </is>
      </c>
      <c r="E204" t="inlineStr">
        <is>
          <t>Other end use</t>
        </is>
      </c>
      <c r="F204" t="inlineStr">
        <is>
          <t>RESAPALMOldOE</t>
        </is>
      </c>
      <c r="G204" t="inlineStr">
        <is>
          <t>TJ</t>
        </is>
      </c>
      <c r="H204" t="inlineStr">
        <is>
          <t>TJ / Mm2</t>
        </is>
      </c>
      <c r="I204" t="n">
        <v>126.4093280505847</v>
      </c>
      <c r="J204" t="n">
        <v>126.4093280505847</v>
      </c>
      <c r="K204" t="n">
        <v>126.4093280505847</v>
      </c>
      <c r="L204" t="n">
        <v>126.4093280505847</v>
      </c>
      <c r="M204" t="n">
        <v>126.4093280505847</v>
      </c>
      <c r="N204" t="n">
        <v>126.4093280505847</v>
      </c>
      <c r="O204" t="n">
        <v>126.4093280505847</v>
      </c>
      <c r="P204" t="n">
        <v>126.4093280505847</v>
      </c>
      <c r="Q204" t="n">
        <v>126.4093280505847</v>
      </c>
      <c r="R204" t="n">
        <v>126.4093280505847</v>
      </c>
      <c r="S204" t="n">
        <v>126.4093280505847</v>
      </c>
      <c r="T204" t="n">
        <v>126.4093280505847</v>
      </c>
      <c r="U204" t="n">
        <v>126.4093280505847</v>
      </c>
      <c r="V204" t="n">
        <v>126.4093280505847</v>
      </c>
      <c r="W204" t="n">
        <v>126.4093280505847</v>
      </c>
      <c r="X204" t="n">
        <v>126.4093280505847</v>
      </c>
      <c r="Y204" t="n">
        <v>126.4093280505847</v>
      </c>
      <c r="Z204" t="n">
        <v>126.4093280505847</v>
      </c>
    </row>
    <row r="205">
      <c r="A205" t="inlineStr">
        <is>
          <t>Residential</t>
        </is>
      </c>
      <c r="B205" t="inlineStr">
        <is>
          <t>House</t>
        </is>
      </c>
      <c r="C205" t="inlineStr">
        <is>
          <t>Lower-Middle Income</t>
        </is>
      </c>
      <c r="D205" t="inlineStr">
        <is>
          <t>Old</t>
        </is>
      </c>
      <c r="E205" t="inlineStr">
        <is>
          <t>Other end use</t>
        </is>
      </c>
      <c r="F205" t="inlineStr">
        <is>
          <t>RESHOULMOldOE</t>
        </is>
      </c>
      <c r="G205" t="inlineStr">
        <is>
          <t>TJ</t>
        </is>
      </c>
      <c r="H205" t="inlineStr">
        <is>
          <t>TJ / Mm2</t>
        </is>
      </c>
      <c r="I205" t="n">
        <v>80.4749887086827</v>
      </c>
      <c r="J205" t="n">
        <v>80.4749887086827</v>
      </c>
      <c r="K205" t="n">
        <v>80.4749887086827</v>
      </c>
      <c r="L205" t="n">
        <v>80.4749887086827</v>
      </c>
      <c r="M205" t="n">
        <v>80.4749887086827</v>
      </c>
      <c r="N205" t="n">
        <v>80.4749887086827</v>
      </c>
      <c r="O205" t="n">
        <v>80.4749887086827</v>
      </c>
      <c r="P205" t="n">
        <v>80.4749887086827</v>
      </c>
      <c r="Q205" t="n">
        <v>80.4749887086827</v>
      </c>
      <c r="R205" t="n">
        <v>80.4749887086827</v>
      </c>
      <c r="S205" t="n">
        <v>80.4749887086827</v>
      </c>
      <c r="T205" t="n">
        <v>80.4749887086827</v>
      </c>
      <c r="U205" t="n">
        <v>80.4749887086827</v>
      </c>
      <c r="V205" t="n">
        <v>80.4749887086827</v>
      </c>
      <c r="W205" t="n">
        <v>80.4749887086827</v>
      </c>
      <c r="X205" t="n">
        <v>80.4749887086827</v>
      </c>
      <c r="Y205" t="n">
        <v>80.4749887086827</v>
      </c>
      <c r="Z205" t="n">
        <v>80.4749887086827</v>
      </c>
    </row>
    <row r="206">
      <c r="A206" t="inlineStr">
        <is>
          <t>Residential</t>
        </is>
      </c>
      <c r="B206" t="inlineStr">
        <is>
          <t>Apartment</t>
        </is>
      </c>
      <c r="C206" t="inlineStr">
        <is>
          <t>Upper-Middle Income</t>
        </is>
      </c>
      <c r="D206" t="inlineStr">
        <is>
          <t>Old</t>
        </is>
      </c>
      <c r="E206" t="inlineStr">
        <is>
          <t>Other end use</t>
        </is>
      </c>
      <c r="F206" t="inlineStr">
        <is>
          <t>RESAPAUMOldOE</t>
        </is>
      </c>
      <c r="G206" t="inlineStr">
        <is>
          <t>TJ</t>
        </is>
      </c>
      <c r="H206" t="inlineStr">
        <is>
          <t>TJ / Mm2</t>
        </is>
      </c>
      <c r="I206" t="n">
        <v>46.13861802567762</v>
      </c>
      <c r="J206" t="n">
        <v>46.13861802567762</v>
      </c>
      <c r="K206" t="n">
        <v>46.13861802567762</v>
      </c>
      <c r="L206" t="n">
        <v>46.13861802567762</v>
      </c>
      <c r="M206" t="n">
        <v>46.13861802567762</v>
      </c>
      <c r="N206" t="n">
        <v>46.13861802567762</v>
      </c>
      <c r="O206" t="n">
        <v>46.13861802567762</v>
      </c>
      <c r="P206" t="n">
        <v>46.13861802567762</v>
      </c>
      <c r="Q206" t="n">
        <v>46.13861802567762</v>
      </c>
      <c r="R206" t="n">
        <v>46.13861802567762</v>
      </c>
      <c r="S206" t="n">
        <v>46.13861802567762</v>
      </c>
      <c r="T206" t="n">
        <v>46.13861802567762</v>
      </c>
      <c r="U206" t="n">
        <v>46.13861802567762</v>
      </c>
      <c r="V206" t="n">
        <v>46.13861802567762</v>
      </c>
      <c r="W206" t="n">
        <v>46.13861802567762</v>
      </c>
      <c r="X206" t="n">
        <v>46.13861802567762</v>
      </c>
      <c r="Y206" t="n">
        <v>46.13861802567762</v>
      </c>
      <c r="Z206" t="n">
        <v>46.13861802567762</v>
      </c>
    </row>
    <row r="207">
      <c r="A207" t="inlineStr">
        <is>
          <t>Residential</t>
        </is>
      </c>
      <c r="B207" t="inlineStr">
        <is>
          <t>House</t>
        </is>
      </c>
      <c r="C207" t="inlineStr">
        <is>
          <t>Upper-Middle Income</t>
        </is>
      </c>
      <c r="D207" t="inlineStr">
        <is>
          <t>Old</t>
        </is>
      </c>
      <c r="E207" t="inlineStr">
        <is>
          <t>Other end use</t>
        </is>
      </c>
      <c r="F207" t="inlineStr">
        <is>
          <t>RESHOUUMOldOE</t>
        </is>
      </c>
      <c r="G207" t="inlineStr">
        <is>
          <t>TJ</t>
        </is>
      </c>
      <c r="H207" t="inlineStr">
        <is>
          <t>TJ / Mm2</t>
        </is>
      </c>
      <c r="I207" t="n">
        <v>98.31962735591561</v>
      </c>
      <c r="J207" t="n">
        <v>98.31962735591561</v>
      </c>
      <c r="K207" t="n">
        <v>98.31962735591561</v>
      </c>
      <c r="L207" t="n">
        <v>98.31962735591561</v>
      </c>
      <c r="M207" t="n">
        <v>98.31962735591561</v>
      </c>
      <c r="N207" t="n">
        <v>98.31962735591561</v>
      </c>
      <c r="O207" t="n">
        <v>98.31962735591561</v>
      </c>
      <c r="P207" t="n">
        <v>98.31962735591561</v>
      </c>
      <c r="Q207" t="n">
        <v>98.31962735591561</v>
      </c>
      <c r="R207" t="n">
        <v>98.31962735591561</v>
      </c>
      <c r="S207" t="n">
        <v>98.31962735591561</v>
      </c>
      <c r="T207" t="n">
        <v>98.31962735591561</v>
      </c>
      <c r="U207" t="n">
        <v>98.31962735591561</v>
      </c>
      <c r="V207" t="n">
        <v>98.31962735591561</v>
      </c>
      <c r="W207" t="n">
        <v>98.31962735591561</v>
      </c>
      <c r="X207" t="n">
        <v>98.31962735591561</v>
      </c>
      <c r="Y207" t="n">
        <v>98.31962735591561</v>
      </c>
      <c r="Z207" t="n">
        <v>98.31962735591561</v>
      </c>
    </row>
    <row r="208">
      <c r="A208" t="inlineStr">
        <is>
          <t>Residential</t>
        </is>
      </c>
      <c r="B208" t="inlineStr">
        <is>
          <t>Apartment</t>
        </is>
      </c>
      <c r="C208" t="inlineStr">
        <is>
          <t>High Income</t>
        </is>
      </c>
      <c r="D208" t="inlineStr">
        <is>
          <t>Old</t>
        </is>
      </c>
      <c r="E208" t="inlineStr">
        <is>
          <t>Other end use</t>
        </is>
      </c>
      <c r="F208" t="inlineStr">
        <is>
          <t>RESAPAHIOldOE</t>
        </is>
      </c>
      <c r="G208" t="inlineStr">
        <is>
          <t>TJ</t>
        </is>
      </c>
      <c r="H208" t="inlineStr">
        <is>
          <t>TJ / Mm2</t>
        </is>
      </c>
      <c r="I208" t="n">
        <v>81.43537111275353</v>
      </c>
      <c r="J208" t="n">
        <v>81.43537111275353</v>
      </c>
      <c r="K208" t="n">
        <v>81.43537111275353</v>
      </c>
      <c r="L208" t="n">
        <v>81.43537111275353</v>
      </c>
      <c r="M208" t="n">
        <v>81.43537111275353</v>
      </c>
      <c r="N208" t="n">
        <v>81.43537111275353</v>
      </c>
      <c r="O208" t="n">
        <v>81.43537111275353</v>
      </c>
      <c r="P208" t="n">
        <v>81.43537111275353</v>
      </c>
      <c r="Q208" t="n">
        <v>81.43537111275353</v>
      </c>
      <c r="R208" t="n">
        <v>81.43537111275353</v>
      </c>
      <c r="S208" t="n">
        <v>81.43537111275353</v>
      </c>
      <c r="T208" t="n">
        <v>81.43537111275353</v>
      </c>
      <c r="U208" t="n">
        <v>81.43537111275353</v>
      </c>
      <c r="V208" t="n">
        <v>81.43537111275353</v>
      </c>
      <c r="W208" t="n">
        <v>81.43537111275353</v>
      </c>
      <c r="X208" t="n">
        <v>81.43537111275353</v>
      </c>
      <c r="Y208" t="n">
        <v>81.43537111275353</v>
      </c>
      <c r="Z208" t="n">
        <v>81.43537111275353</v>
      </c>
    </row>
    <row r="209">
      <c r="A209" t="inlineStr">
        <is>
          <t>Residential</t>
        </is>
      </c>
      <c r="B209" t="inlineStr">
        <is>
          <t>House</t>
        </is>
      </c>
      <c r="C209" t="inlineStr">
        <is>
          <t>High Income</t>
        </is>
      </c>
      <c r="D209" t="inlineStr">
        <is>
          <t>Old</t>
        </is>
      </c>
      <c r="E209" t="inlineStr">
        <is>
          <t>Other end use</t>
        </is>
      </c>
      <c r="F209" t="inlineStr">
        <is>
          <t>RESHOUHIOldOE</t>
        </is>
      </c>
      <c r="G209" t="inlineStr">
        <is>
          <t>TJ</t>
        </is>
      </c>
      <c r="H209" t="inlineStr">
        <is>
          <t>TJ / Mm2</t>
        </is>
      </c>
      <c r="I209" t="n">
        <v>100.7341963244552</v>
      </c>
      <c r="J209" t="n">
        <v>100.7341963244552</v>
      </c>
      <c r="K209" t="n">
        <v>100.7341963244552</v>
      </c>
      <c r="L209" t="n">
        <v>100.7341963244552</v>
      </c>
      <c r="M209" t="n">
        <v>100.7341963244552</v>
      </c>
      <c r="N209" t="n">
        <v>100.7341963244552</v>
      </c>
      <c r="O209" t="n">
        <v>100.7341963244552</v>
      </c>
      <c r="P209" t="n">
        <v>100.7341963244552</v>
      </c>
      <c r="Q209" t="n">
        <v>100.7341963244552</v>
      </c>
      <c r="R209" t="n">
        <v>100.7341963244552</v>
      </c>
      <c r="S209" t="n">
        <v>100.7341963244552</v>
      </c>
      <c r="T209" t="n">
        <v>100.7341963244552</v>
      </c>
      <c r="U209" t="n">
        <v>100.7341963244552</v>
      </c>
      <c r="V209" t="n">
        <v>100.7341963244552</v>
      </c>
      <c r="W209" t="n">
        <v>100.7341963244552</v>
      </c>
      <c r="X209" t="n">
        <v>100.7341963244552</v>
      </c>
      <c r="Y209" t="n">
        <v>100.7341963244552</v>
      </c>
      <c r="Z209" t="n">
        <v>100.7341963244552</v>
      </c>
    </row>
    <row r="210">
      <c r="A210" t="inlineStr">
        <is>
          <t>Residential</t>
        </is>
      </c>
      <c r="B210" t="inlineStr">
        <is>
          <t>Apartment</t>
        </is>
      </c>
      <c r="C210" t="inlineStr">
        <is>
          <t>Low Income</t>
        </is>
      </c>
      <c r="D210" t="inlineStr">
        <is>
          <t>New</t>
        </is>
      </c>
      <c r="E210" t="inlineStr">
        <is>
          <t>Space heating</t>
        </is>
      </c>
      <c r="F210" t="inlineStr">
        <is>
          <t>RESAPALONewSH</t>
        </is>
      </c>
      <c r="G210" t="inlineStr">
        <is>
          <t>TJ</t>
        </is>
      </c>
      <c r="H210" t="inlineStr">
        <is>
          <t>TJ / Mm2</t>
        </is>
      </c>
      <c r="I210" t="n">
        <v>250.95541034782</v>
      </c>
      <c r="J210" t="n">
        <v>250.95541034782</v>
      </c>
      <c r="K210" t="n">
        <v>246.5358000094907</v>
      </c>
      <c r="L210" t="n">
        <v>242.8527913942163</v>
      </c>
      <c r="M210" t="n">
        <v>239.1697827789418</v>
      </c>
      <c r="N210" t="n">
        <v>235.4867741636674</v>
      </c>
      <c r="O210" t="n">
        <v>231.803765548393</v>
      </c>
      <c r="P210" t="n">
        <v>228.1207569331185</v>
      </c>
      <c r="Q210" t="n">
        <v>226.423434803899</v>
      </c>
      <c r="R210" t="n">
        <v>224.7261126746795</v>
      </c>
      <c r="S210" t="n">
        <v>223.02879054546</v>
      </c>
      <c r="T210" t="n">
        <v>221.3314684162405</v>
      </c>
      <c r="U210" t="n">
        <v>219.634146287021</v>
      </c>
      <c r="V210" t="n">
        <v>217.9368241578015</v>
      </c>
      <c r="W210" t="n">
        <v>216.239502028582</v>
      </c>
      <c r="X210" t="n">
        <v>214.5421798993625</v>
      </c>
      <c r="Y210" t="n">
        <v>212.844857770143</v>
      </c>
      <c r="Z210" t="n">
        <v>211.1475356409235</v>
      </c>
    </row>
    <row r="211">
      <c r="A211" t="inlineStr">
        <is>
          <t>Residential</t>
        </is>
      </c>
      <c r="B211" t="inlineStr">
        <is>
          <t>House</t>
        </is>
      </c>
      <c r="C211" t="inlineStr">
        <is>
          <t>Low Income</t>
        </is>
      </c>
      <c r="D211" t="inlineStr">
        <is>
          <t>New</t>
        </is>
      </c>
      <c r="E211" t="inlineStr">
        <is>
          <t>Space heating</t>
        </is>
      </c>
      <c r="F211" t="inlineStr">
        <is>
          <t>RESHOULONewSH</t>
        </is>
      </c>
      <c r="G211" t="inlineStr">
        <is>
          <t>TJ</t>
        </is>
      </c>
      <c r="H211" t="inlineStr">
        <is>
          <t>TJ / Mm2</t>
        </is>
      </c>
      <c r="I211" t="n">
        <v>477.3361603595534</v>
      </c>
      <c r="J211" t="n">
        <v>477.3361603595534</v>
      </c>
      <c r="K211" t="n">
        <v>468.9297274149136</v>
      </c>
      <c r="L211" t="n">
        <v>461.9243666277138</v>
      </c>
      <c r="M211" t="n">
        <v>454.919005840514</v>
      </c>
      <c r="N211" t="n">
        <v>447.9136450533142</v>
      </c>
      <c r="O211" t="n">
        <v>440.9082842661144</v>
      </c>
      <c r="P211" t="n">
        <v>433.9029234789146</v>
      </c>
      <c r="Q211" t="n">
        <v>430.6744884874872</v>
      </c>
      <c r="R211" t="n">
        <v>427.4460534960597</v>
      </c>
      <c r="S211" t="n">
        <v>424.2176185046322</v>
      </c>
      <c r="T211" t="n">
        <v>420.9891835132048</v>
      </c>
      <c r="U211" t="n">
        <v>417.7607485217773</v>
      </c>
      <c r="V211" t="n">
        <v>414.5323135303499</v>
      </c>
      <c r="W211" t="n">
        <v>411.3038785389224</v>
      </c>
      <c r="X211" t="n">
        <v>408.075443547495</v>
      </c>
      <c r="Y211" t="n">
        <v>404.8470085560675</v>
      </c>
      <c r="Z211" t="n">
        <v>401.61857356464</v>
      </c>
    </row>
    <row r="212">
      <c r="A212" t="inlineStr">
        <is>
          <t>Residential</t>
        </is>
      </c>
      <c r="B212" t="inlineStr">
        <is>
          <t>Apartment</t>
        </is>
      </c>
      <c r="C212" t="inlineStr">
        <is>
          <t>Lower-Middle Income</t>
        </is>
      </c>
      <c r="D212" t="inlineStr">
        <is>
          <t>New</t>
        </is>
      </c>
      <c r="E212" t="inlineStr">
        <is>
          <t>Space heating</t>
        </is>
      </c>
      <c r="F212" t="inlineStr">
        <is>
          <t>RESAPALMNewSH</t>
        </is>
      </c>
      <c r="G212" t="inlineStr">
        <is>
          <t>TJ</t>
        </is>
      </c>
      <c r="H212" t="inlineStr">
        <is>
          <t>TJ / Mm2</t>
        </is>
      </c>
      <c r="I212" t="n">
        <v>279.9220849892483</v>
      </c>
      <c r="J212" t="n">
        <v>279.9220849892483</v>
      </c>
      <c r="K212" t="n">
        <v>274.992338549311</v>
      </c>
      <c r="L212" t="n">
        <v>270.8842165160299</v>
      </c>
      <c r="M212" t="n">
        <v>266.7760944827488</v>
      </c>
      <c r="N212" t="n">
        <v>262.6679724494676</v>
      </c>
      <c r="O212" t="n">
        <v>258.5598504161865</v>
      </c>
      <c r="P212" t="n">
        <v>254.4517283829054</v>
      </c>
      <c r="Q212" t="n">
        <v>252.5584918567392</v>
      </c>
      <c r="R212" t="n">
        <v>250.665255330573</v>
      </c>
      <c r="S212" t="n">
        <v>248.7720188044069</v>
      </c>
      <c r="T212" t="n">
        <v>246.8787822782407</v>
      </c>
      <c r="U212" t="n">
        <v>244.9855457520745</v>
      </c>
      <c r="V212" t="n">
        <v>243.0923092259084</v>
      </c>
      <c r="W212" t="n">
        <v>241.1990726997422</v>
      </c>
      <c r="X212" t="n">
        <v>239.305836173576</v>
      </c>
      <c r="Y212" t="n">
        <v>237.4125996474098</v>
      </c>
      <c r="Z212" t="n">
        <v>235.5193631212437</v>
      </c>
    </row>
    <row r="213">
      <c r="A213" t="inlineStr">
        <is>
          <t>Residential</t>
        </is>
      </c>
      <c r="B213" t="inlineStr">
        <is>
          <t>House</t>
        </is>
      </c>
      <c r="C213" t="inlineStr">
        <is>
          <t>Lower-Middle Income</t>
        </is>
      </c>
      <c r="D213" t="inlineStr">
        <is>
          <t>New</t>
        </is>
      </c>
      <c r="E213" t="inlineStr">
        <is>
          <t>Space heating</t>
        </is>
      </c>
      <c r="F213" t="inlineStr">
        <is>
          <t>RESHOULMNewSH</t>
        </is>
      </c>
      <c r="G213" t="inlineStr">
        <is>
          <t>TJ</t>
        </is>
      </c>
      <c r="H213" t="inlineStr">
        <is>
          <t>TJ / Mm2</t>
        </is>
      </c>
      <c r="I213" t="n">
        <v>462.5108141623416</v>
      </c>
      <c r="J213" t="n">
        <v>462.5108141623416</v>
      </c>
      <c r="K213" t="n">
        <v>454.3654724339928</v>
      </c>
      <c r="L213" t="n">
        <v>447.5776876603688</v>
      </c>
      <c r="M213" t="n">
        <v>440.7899028867448</v>
      </c>
      <c r="N213" t="n">
        <v>434.0021181131208</v>
      </c>
      <c r="O213" t="n">
        <v>427.2143333394968</v>
      </c>
      <c r="P213" t="n">
        <v>420.4265485658727</v>
      </c>
      <c r="Q213" t="n">
        <v>417.2983839298004</v>
      </c>
      <c r="R213" t="n">
        <v>414.1702192937281</v>
      </c>
      <c r="S213" t="n">
        <v>411.0420546576557</v>
      </c>
      <c r="T213" t="n">
        <v>407.9138900215834</v>
      </c>
      <c r="U213" t="n">
        <v>404.7857253855111</v>
      </c>
      <c r="V213" t="n">
        <v>401.6575607494388</v>
      </c>
      <c r="W213" t="n">
        <v>398.5293961133665</v>
      </c>
      <c r="X213" t="n">
        <v>395.4012314772941</v>
      </c>
      <c r="Y213" t="n">
        <v>392.2730668412218</v>
      </c>
      <c r="Z213" t="n">
        <v>389.1449022051495</v>
      </c>
    </row>
    <row r="214">
      <c r="A214" t="inlineStr">
        <is>
          <t>Residential</t>
        </is>
      </c>
      <c r="B214" t="inlineStr">
        <is>
          <t>Apartment</t>
        </is>
      </c>
      <c r="C214" t="inlineStr">
        <is>
          <t>Upper-Middle Income</t>
        </is>
      </c>
      <c r="D214" t="inlineStr">
        <is>
          <t>New</t>
        </is>
      </c>
      <c r="E214" t="inlineStr">
        <is>
          <t>Space heating</t>
        </is>
      </c>
      <c r="F214" t="inlineStr">
        <is>
          <t>RESAPAUMNewSH</t>
        </is>
      </c>
      <c r="G214" t="inlineStr">
        <is>
          <t>TJ</t>
        </is>
      </c>
      <c r="H214" t="inlineStr">
        <is>
          <t>TJ / Mm2</t>
        </is>
      </c>
      <c r="I214" t="n">
        <v>261.1929035210704</v>
      </c>
      <c r="J214" t="n">
        <v>261.1929035210704</v>
      </c>
      <c r="K214" t="n">
        <v>256.592999278719</v>
      </c>
      <c r="L214" t="n">
        <v>252.7597457434262</v>
      </c>
      <c r="M214" t="n">
        <v>248.9264922081333</v>
      </c>
      <c r="N214" t="n">
        <v>245.0932386728405</v>
      </c>
      <c r="O214" t="n">
        <v>241.2599851375476</v>
      </c>
      <c r="P214" t="n">
        <v>237.4267316022548</v>
      </c>
      <c r="Q214" t="n">
        <v>235.660168791248</v>
      </c>
      <c r="R214" t="n">
        <v>233.8936059802412</v>
      </c>
      <c r="S214" t="n">
        <v>232.1270431692344</v>
      </c>
      <c r="T214" t="n">
        <v>230.3604803582276</v>
      </c>
      <c r="U214" t="n">
        <v>228.5939175472209</v>
      </c>
      <c r="V214" t="n">
        <v>226.8273547362141</v>
      </c>
      <c r="W214" t="n">
        <v>225.0607919252073</v>
      </c>
      <c r="X214" t="n">
        <v>223.2942291142005</v>
      </c>
      <c r="Y214" t="n">
        <v>221.5276663031937</v>
      </c>
      <c r="Z214" t="n">
        <v>219.7611034921869</v>
      </c>
    </row>
    <row r="215">
      <c r="A215" t="inlineStr">
        <is>
          <t>Residential</t>
        </is>
      </c>
      <c r="B215" t="inlineStr">
        <is>
          <t>House</t>
        </is>
      </c>
      <c r="C215" t="inlineStr">
        <is>
          <t>Upper-Middle Income</t>
        </is>
      </c>
      <c r="D215" t="inlineStr">
        <is>
          <t>New</t>
        </is>
      </c>
      <c r="E215" t="inlineStr">
        <is>
          <t>Space heating</t>
        </is>
      </c>
      <c r="F215" t="inlineStr">
        <is>
          <t>RESHOUUMNewSH</t>
        </is>
      </c>
      <c r="G215" t="inlineStr">
        <is>
          <t>TJ</t>
        </is>
      </c>
      <c r="H215" t="inlineStr">
        <is>
          <t>TJ / Mm2</t>
        </is>
      </c>
      <c r="I215" t="n">
        <v>525.4518495819837</v>
      </c>
      <c r="J215" t="n">
        <v>525.4518495819837</v>
      </c>
      <c r="K215" t="n">
        <v>516.198044599305</v>
      </c>
      <c r="L215" t="n">
        <v>508.486540447073</v>
      </c>
      <c r="M215" t="n">
        <v>500.7750362948408</v>
      </c>
      <c r="N215" t="n">
        <v>493.0635321426087</v>
      </c>
      <c r="O215" t="n">
        <v>485.3520279903765</v>
      </c>
      <c r="P215" t="n">
        <v>477.6405238381444</v>
      </c>
      <c r="Q215" t="n">
        <v>474.0866612180928</v>
      </c>
      <c r="R215" t="n">
        <v>470.5327985980413</v>
      </c>
      <c r="S215" t="n">
        <v>466.9789359779897</v>
      </c>
      <c r="T215" t="n">
        <v>463.4250733579382</v>
      </c>
      <c r="U215" t="n">
        <v>459.8712107378866</v>
      </c>
      <c r="V215" t="n">
        <v>456.3173481178351</v>
      </c>
      <c r="W215" t="n">
        <v>452.7634854977835</v>
      </c>
      <c r="X215" t="n">
        <v>449.2096228777319</v>
      </c>
      <c r="Y215" t="n">
        <v>445.6557602576804</v>
      </c>
      <c r="Z215" t="n">
        <v>442.1018976376288</v>
      </c>
    </row>
    <row r="216">
      <c r="A216" t="inlineStr">
        <is>
          <t>Residential</t>
        </is>
      </c>
      <c r="B216" t="inlineStr">
        <is>
          <t>Apartment</t>
        </is>
      </c>
      <c r="C216" t="inlineStr">
        <is>
          <t>High Income</t>
        </is>
      </c>
      <c r="D216" t="inlineStr">
        <is>
          <t>New</t>
        </is>
      </c>
      <c r="E216" t="inlineStr">
        <is>
          <t>Space heating</t>
        </is>
      </c>
      <c r="F216" t="inlineStr">
        <is>
          <t>RESAPAHINewSH</t>
        </is>
      </c>
      <c r="G216" t="inlineStr">
        <is>
          <t>TJ</t>
        </is>
      </c>
      <c r="H216" t="inlineStr">
        <is>
          <t>TJ / Mm2</t>
        </is>
      </c>
      <c r="I216" t="n">
        <v>242.8752163118943</v>
      </c>
      <c r="J216" t="n">
        <v>242.8752163118943</v>
      </c>
      <c r="K216" t="n">
        <v>238.5979073849886</v>
      </c>
      <c r="L216" t="n">
        <v>235.0334832792338</v>
      </c>
      <c r="M216" t="n">
        <v>231.4690591734791</v>
      </c>
      <c r="N216" t="n">
        <v>227.9046350677243</v>
      </c>
      <c r="O216" t="n">
        <v>224.3402109619695</v>
      </c>
      <c r="P216" t="n">
        <v>220.7757868562148</v>
      </c>
      <c r="Q216" t="n">
        <v>219.1331146431958</v>
      </c>
      <c r="R216" t="n">
        <v>217.4904424301767</v>
      </c>
      <c r="S216" t="n">
        <v>215.8477702171577</v>
      </c>
      <c r="T216" t="n">
        <v>214.2050980041387</v>
      </c>
      <c r="U216" t="n">
        <v>212.5624257911197</v>
      </c>
      <c r="V216" t="n">
        <v>210.9197535781007</v>
      </c>
      <c r="W216" t="n">
        <v>209.2770813650816</v>
      </c>
      <c r="X216" t="n">
        <v>207.6344091520626</v>
      </c>
      <c r="Y216" t="n">
        <v>205.9917369390436</v>
      </c>
      <c r="Z216" t="n">
        <v>204.3490647260246</v>
      </c>
    </row>
    <row r="217">
      <c r="A217" t="inlineStr">
        <is>
          <t>Residential</t>
        </is>
      </c>
      <c r="B217" t="inlineStr">
        <is>
          <t>House</t>
        </is>
      </c>
      <c r="C217" t="inlineStr">
        <is>
          <t>High Income</t>
        </is>
      </c>
      <c r="D217" t="inlineStr">
        <is>
          <t>New</t>
        </is>
      </c>
      <c r="E217" t="inlineStr">
        <is>
          <t>Space heating</t>
        </is>
      </c>
      <c r="F217" t="inlineStr">
        <is>
          <t>RESHOUHINewSH</t>
        </is>
      </c>
      <c r="G217" t="inlineStr">
        <is>
          <t>TJ</t>
        </is>
      </c>
      <c r="H217" t="inlineStr">
        <is>
          <t>TJ / Mm2</t>
        </is>
      </c>
      <c r="I217" t="n">
        <v>460.6475307097601</v>
      </c>
      <c r="J217" t="n">
        <v>460.6475307097601</v>
      </c>
      <c r="K217" t="n">
        <v>452.5350035232411</v>
      </c>
      <c r="L217" t="n">
        <v>445.7745642011419</v>
      </c>
      <c r="M217" t="n">
        <v>439.0141248790427</v>
      </c>
      <c r="N217" t="n">
        <v>432.2536855569435</v>
      </c>
      <c r="O217" t="n">
        <v>425.4932462348443</v>
      </c>
      <c r="P217" t="n">
        <v>418.732806912745</v>
      </c>
      <c r="Q217" t="n">
        <v>415.617244484502</v>
      </c>
      <c r="R217" t="n">
        <v>412.5016820562589</v>
      </c>
      <c r="S217" t="n">
        <v>409.3861196280158</v>
      </c>
      <c r="T217" t="n">
        <v>406.2705571997727</v>
      </c>
      <c r="U217" t="n">
        <v>403.1549947715297</v>
      </c>
      <c r="V217" t="n">
        <v>400.0394323432866</v>
      </c>
      <c r="W217" t="n">
        <v>396.9238699150435</v>
      </c>
      <c r="X217" t="n">
        <v>393.8083074868004</v>
      </c>
      <c r="Y217" t="n">
        <v>390.6927450585574</v>
      </c>
      <c r="Z217" t="n">
        <v>387.5771826303143</v>
      </c>
    </row>
    <row r="218">
      <c r="A218" t="inlineStr">
        <is>
          <t>Residential</t>
        </is>
      </c>
      <c r="B218" t="inlineStr">
        <is>
          <t>Apartment</t>
        </is>
      </c>
      <c r="C218" t="inlineStr">
        <is>
          <t>Low Income</t>
        </is>
      </c>
      <c r="D218" t="inlineStr">
        <is>
          <t>New</t>
        </is>
      </c>
      <c r="E218" t="inlineStr">
        <is>
          <t>Space cooling</t>
        </is>
      </c>
      <c r="F218" t="inlineStr">
        <is>
          <t>RESAPALONewSC</t>
        </is>
      </c>
      <c r="G218" t="inlineStr">
        <is>
          <t>TJ</t>
        </is>
      </c>
      <c r="H218" t="inlineStr">
        <is>
          <t>TJ / Mm2</t>
        </is>
      </c>
      <c r="I218" t="n">
        <v>69.11562315055905</v>
      </c>
      <c r="J218" t="n">
        <v>69.11562315055905</v>
      </c>
      <c r="K218" t="n">
        <v>71.78288193259802</v>
      </c>
      <c r="L218" t="n">
        <v>74.00559758429716</v>
      </c>
      <c r="M218" t="n">
        <v>76.22831323599631</v>
      </c>
      <c r="N218" t="n">
        <v>78.45102888769546</v>
      </c>
      <c r="O218" t="n">
        <v>80.6737445393946</v>
      </c>
      <c r="P218" t="n">
        <v>82.89646019109375</v>
      </c>
      <c r="Q218" t="n">
        <v>83.92080329117377</v>
      </c>
      <c r="R218" t="n">
        <v>84.94514639125377</v>
      </c>
      <c r="S218" t="n">
        <v>85.96948949133377</v>
      </c>
      <c r="T218" t="n">
        <v>86.99383259141379</v>
      </c>
      <c r="U218" t="n">
        <v>88.01817569149381</v>
      </c>
      <c r="V218" t="n">
        <v>89.04251879157381</v>
      </c>
      <c r="W218" t="n">
        <v>90.06686189165382</v>
      </c>
      <c r="X218" t="n">
        <v>91.09120499173383</v>
      </c>
      <c r="Y218" t="n">
        <v>92.11554809181385</v>
      </c>
      <c r="Z218" t="n">
        <v>93.13989119189385</v>
      </c>
    </row>
    <row r="219">
      <c r="A219" t="inlineStr">
        <is>
          <t>Residential</t>
        </is>
      </c>
      <c r="B219" t="inlineStr">
        <is>
          <t>House</t>
        </is>
      </c>
      <c r="C219" t="inlineStr">
        <is>
          <t>Low Income</t>
        </is>
      </c>
      <c r="D219" t="inlineStr">
        <is>
          <t>New</t>
        </is>
      </c>
      <c r="E219" t="inlineStr">
        <is>
          <t>Space cooling</t>
        </is>
      </c>
      <c r="F219" t="inlineStr">
        <is>
          <t>RESHOULONewSC</t>
        </is>
      </c>
      <c r="G219" t="inlineStr">
        <is>
          <t>TJ</t>
        </is>
      </c>
      <c r="H219" t="inlineStr">
        <is>
          <t>TJ / Mm2</t>
        </is>
      </c>
      <c r="I219" t="n">
        <v>87.18541454684379</v>
      </c>
      <c r="J219" t="n">
        <v>87.18541454684379</v>
      </c>
      <c r="K219" t="n">
        <v>90.55000929424565</v>
      </c>
      <c r="L219" t="n">
        <v>93.35383825041387</v>
      </c>
      <c r="M219" t="n">
        <v>96.15766720658209</v>
      </c>
      <c r="N219" t="n">
        <v>98.96149616275032</v>
      </c>
      <c r="O219" t="n">
        <v>101.7653251189185</v>
      </c>
      <c r="P219" t="n">
        <v>104.5691540750868</v>
      </c>
      <c r="Q219" t="n">
        <v>105.8613044420758</v>
      </c>
      <c r="R219" t="n">
        <v>107.1534548090649</v>
      </c>
      <c r="S219" t="n">
        <v>108.445605176054</v>
      </c>
      <c r="T219" t="n">
        <v>109.7377555430431</v>
      </c>
      <c r="U219" t="n">
        <v>111.0299059100322</v>
      </c>
      <c r="V219" t="n">
        <v>112.3220562770213</v>
      </c>
      <c r="W219" t="n">
        <v>113.6142066440104</v>
      </c>
      <c r="X219" t="n">
        <v>114.9063570109995</v>
      </c>
      <c r="Y219" t="n">
        <v>116.1985073779886</v>
      </c>
      <c r="Z219" t="n">
        <v>117.4906577449777</v>
      </c>
    </row>
    <row r="220">
      <c r="A220" t="inlineStr">
        <is>
          <t>Residential</t>
        </is>
      </c>
      <c r="B220" t="inlineStr">
        <is>
          <t>Apartment</t>
        </is>
      </c>
      <c r="C220" t="inlineStr">
        <is>
          <t>Lower-Middle Income</t>
        </is>
      </c>
      <c r="D220" t="inlineStr">
        <is>
          <t>New</t>
        </is>
      </c>
      <c r="E220" t="inlineStr">
        <is>
          <t>Space cooling</t>
        </is>
      </c>
      <c r="F220" t="inlineStr">
        <is>
          <t>RESAPALMNewSC</t>
        </is>
      </c>
      <c r="G220" t="inlineStr">
        <is>
          <t>TJ</t>
        </is>
      </c>
      <c r="H220" t="inlineStr">
        <is>
          <t>TJ / Mm2</t>
        </is>
      </c>
      <c r="I220" t="n">
        <v>76.15856203287635</v>
      </c>
      <c r="J220" t="n">
        <v>76.15856203287635</v>
      </c>
      <c r="K220" t="n">
        <v>79.0976166800022</v>
      </c>
      <c r="L220" t="n">
        <v>81.5468288859404</v>
      </c>
      <c r="M220" t="n">
        <v>83.99604109187861</v>
      </c>
      <c r="N220" t="n">
        <v>86.44525329781682</v>
      </c>
      <c r="O220" t="n">
        <v>88.89446550375503</v>
      </c>
      <c r="P220" t="n">
        <v>91.34367770969324</v>
      </c>
      <c r="Q220" t="n">
        <v>92.47240221472234</v>
      </c>
      <c r="R220" t="n">
        <v>93.60112671975143</v>
      </c>
      <c r="S220" t="n">
        <v>94.72985122478053</v>
      </c>
      <c r="T220" t="n">
        <v>95.85857572980963</v>
      </c>
      <c r="U220" t="n">
        <v>96.98730023483873</v>
      </c>
      <c r="V220" t="n">
        <v>98.11602473986781</v>
      </c>
      <c r="W220" t="n">
        <v>99.24474924489691</v>
      </c>
      <c r="X220" t="n">
        <v>100.373473749926</v>
      </c>
      <c r="Y220" t="n">
        <v>101.5021982549551</v>
      </c>
      <c r="Z220" t="n">
        <v>102.6309227599842</v>
      </c>
    </row>
    <row r="221">
      <c r="A221" t="inlineStr">
        <is>
          <t>Residential</t>
        </is>
      </c>
      <c r="B221" t="inlineStr">
        <is>
          <t>House</t>
        </is>
      </c>
      <c r="C221" t="inlineStr">
        <is>
          <t>Lower-Middle Income</t>
        </is>
      </c>
      <c r="D221" t="inlineStr">
        <is>
          <t>New</t>
        </is>
      </c>
      <c r="E221" t="inlineStr">
        <is>
          <t>Space cooling</t>
        </is>
      </c>
      <c r="F221" t="inlineStr">
        <is>
          <t>RESHOULMNewSC</t>
        </is>
      </c>
      <c r="G221" t="inlineStr">
        <is>
          <t>TJ</t>
        </is>
      </c>
      <c r="H221" t="inlineStr">
        <is>
          <t>TJ / Mm2</t>
        </is>
      </c>
      <c r="I221" t="n">
        <v>82.71267133217131</v>
      </c>
      <c r="J221" t="n">
        <v>82.71267133217131</v>
      </c>
      <c r="K221" t="n">
        <v>85.90465729627171</v>
      </c>
      <c r="L221" t="n">
        <v>88.56464559968872</v>
      </c>
      <c r="M221" t="n">
        <v>91.22463390310571</v>
      </c>
      <c r="N221" t="n">
        <v>93.88462220652272</v>
      </c>
      <c r="O221" t="n">
        <v>96.54461050993973</v>
      </c>
      <c r="P221" t="n">
        <v>99.20459881335672</v>
      </c>
      <c r="Q221" t="n">
        <v>100.4304599183594</v>
      </c>
      <c r="R221" t="n">
        <v>101.6563210233622</v>
      </c>
      <c r="S221" t="n">
        <v>102.8821821283649</v>
      </c>
      <c r="T221" t="n">
        <v>104.1080432333676</v>
      </c>
      <c r="U221" t="n">
        <v>105.3339043383703</v>
      </c>
      <c r="V221" t="n">
        <v>106.559765443373</v>
      </c>
      <c r="W221" t="n">
        <v>107.7856265483757</v>
      </c>
      <c r="X221" t="n">
        <v>109.0114876533784</v>
      </c>
      <c r="Y221" t="n">
        <v>110.2373487583811</v>
      </c>
      <c r="Z221" t="n">
        <v>111.4632098633838</v>
      </c>
    </row>
    <row r="222">
      <c r="A222" t="inlineStr">
        <is>
          <t>Residential</t>
        </is>
      </c>
      <c r="B222" t="inlineStr">
        <is>
          <t>Apartment</t>
        </is>
      </c>
      <c r="C222" t="inlineStr">
        <is>
          <t>Upper-Middle Income</t>
        </is>
      </c>
      <c r="D222" t="inlineStr">
        <is>
          <t>New</t>
        </is>
      </c>
      <c r="E222" t="inlineStr">
        <is>
          <t>Space cooling</t>
        </is>
      </c>
      <c r="F222" t="inlineStr">
        <is>
          <t>RESAPAUMNewSC</t>
        </is>
      </c>
      <c r="G222" t="inlineStr">
        <is>
          <t>TJ</t>
        </is>
      </c>
      <c r="H222" t="inlineStr">
        <is>
          <t>TJ / Mm2</t>
        </is>
      </c>
      <c r="I222" t="n">
        <v>86.63327659915691</v>
      </c>
      <c r="J222" t="n">
        <v>86.63327659915691</v>
      </c>
      <c r="K222" t="n">
        <v>89.97656364906965</v>
      </c>
      <c r="L222" t="n">
        <v>92.7626361906636</v>
      </c>
      <c r="M222" t="n">
        <v>95.54870873225754</v>
      </c>
      <c r="N222" t="n">
        <v>98.33478127385149</v>
      </c>
      <c r="O222" t="n">
        <v>101.1208538154454</v>
      </c>
      <c r="P222" t="n">
        <v>103.9069263570394</v>
      </c>
      <c r="Q222" t="n">
        <v>105.1908936436883</v>
      </c>
      <c r="R222" t="n">
        <v>106.4748609303371</v>
      </c>
      <c r="S222" t="n">
        <v>107.758828216986</v>
      </c>
      <c r="T222" t="n">
        <v>109.0427955036349</v>
      </c>
      <c r="U222" t="n">
        <v>110.3267627902837</v>
      </c>
      <c r="V222" t="n">
        <v>111.6107300769326</v>
      </c>
      <c r="W222" t="n">
        <v>112.8946973635815</v>
      </c>
      <c r="X222" t="n">
        <v>114.1786646502304</v>
      </c>
      <c r="Y222" t="n">
        <v>115.4626319368792</v>
      </c>
      <c r="Z222" t="n">
        <v>116.7465992235281</v>
      </c>
    </row>
    <row r="223">
      <c r="A223" t="inlineStr">
        <is>
          <t>Residential</t>
        </is>
      </c>
      <c r="B223" t="inlineStr">
        <is>
          <t>House</t>
        </is>
      </c>
      <c r="C223" t="inlineStr">
        <is>
          <t>Upper-Middle Income</t>
        </is>
      </c>
      <c r="D223" t="inlineStr">
        <is>
          <t>New</t>
        </is>
      </c>
      <c r="E223" t="inlineStr">
        <is>
          <t>Space cooling</t>
        </is>
      </c>
      <c r="F223" t="inlineStr">
        <is>
          <t>RESHOUUMNewSC</t>
        </is>
      </c>
      <c r="G223" t="inlineStr">
        <is>
          <t>TJ</t>
        </is>
      </c>
      <c r="H223" t="inlineStr">
        <is>
          <t>TJ / Mm2</t>
        </is>
      </c>
      <c r="I223" t="n">
        <v>93.59626666317821</v>
      </c>
      <c r="J223" t="n">
        <v>93.59626666317821</v>
      </c>
      <c r="K223" t="n">
        <v>97.2082642527768</v>
      </c>
      <c r="L223" t="n">
        <v>100.218262244109</v>
      </c>
      <c r="M223" t="n">
        <v>103.2282602354411</v>
      </c>
      <c r="N223" t="n">
        <v>106.2382582267733</v>
      </c>
      <c r="O223" t="n">
        <v>109.2482562181055</v>
      </c>
      <c r="P223" t="n">
        <v>112.2582542094376</v>
      </c>
      <c r="Q223" t="n">
        <v>113.6454180022146</v>
      </c>
      <c r="R223" t="n">
        <v>115.0325817949916</v>
      </c>
      <c r="S223" t="n">
        <v>116.4197455877686</v>
      </c>
      <c r="T223" t="n">
        <v>117.8069093805456</v>
      </c>
      <c r="U223" t="n">
        <v>119.1940731733226</v>
      </c>
      <c r="V223" t="n">
        <v>120.5812369660996</v>
      </c>
      <c r="W223" t="n">
        <v>121.9684007588766</v>
      </c>
      <c r="X223" t="n">
        <v>123.3555645516536</v>
      </c>
      <c r="Y223" t="n">
        <v>124.7427283444306</v>
      </c>
      <c r="Z223" t="n">
        <v>126.1298921372076</v>
      </c>
    </row>
    <row r="224">
      <c r="A224" t="inlineStr">
        <is>
          <t>Residential</t>
        </is>
      </c>
      <c r="B224" t="inlineStr">
        <is>
          <t>Apartment</t>
        </is>
      </c>
      <c r="C224" t="inlineStr">
        <is>
          <t>High Income</t>
        </is>
      </c>
      <c r="D224" t="inlineStr">
        <is>
          <t>New</t>
        </is>
      </c>
      <c r="E224" t="inlineStr">
        <is>
          <t>Space cooling</t>
        </is>
      </c>
      <c r="F224" t="inlineStr">
        <is>
          <t>RESAPAHINewSC</t>
        </is>
      </c>
      <c r="G224" t="inlineStr">
        <is>
          <t>TJ</t>
        </is>
      </c>
      <c r="H224" t="inlineStr">
        <is>
          <t>TJ / Mm2</t>
        </is>
      </c>
      <c r="I224" t="n">
        <v>82.40658266246619</v>
      </c>
      <c r="J224" t="n">
        <v>82.40658266246619</v>
      </c>
      <c r="K224" t="n">
        <v>85.58675628002122</v>
      </c>
      <c r="L224" t="n">
        <v>88.23690096131709</v>
      </c>
      <c r="M224" t="n">
        <v>90.88704564261295</v>
      </c>
      <c r="N224" t="n">
        <v>93.5371903239088</v>
      </c>
      <c r="O224" t="n">
        <v>96.18733500520467</v>
      </c>
      <c r="P224" t="n">
        <v>98.83747968650053</v>
      </c>
      <c r="Q224" t="n">
        <v>100.0588043379124</v>
      </c>
      <c r="R224" t="n">
        <v>101.2801289893243</v>
      </c>
      <c r="S224" t="n">
        <v>102.5014536407361</v>
      </c>
      <c r="T224" t="n">
        <v>103.722778292148</v>
      </c>
      <c r="U224" t="n">
        <v>104.9441029435598</v>
      </c>
      <c r="V224" t="n">
        <v>106.1654275949717</v>
      </c>
      <c r="W224" t="n">
        <v>107.3867522463836</v>
      </c>
      <c r="X224" t="n">
        <v>108.6080768977954</v>
      </c>
      <c r="Y224" t="n">
        <v>109.8294015492073</v>
      </c>
      <c r="Z224" t="n">
        <v>111.0507262006192</v>
      </c>
    </row>
    <row r="225">
      <c r="A225" t="inlineStr">
        <is>
          <t>Residential</t>
        </is>
      </c>
      <c r="B225" t="inlineStr">
        <is>
          <t>House</t>
        </is>
      </c>
      <c r="C225" t="inlineStr">
        <is>
          <t>High Income</t>
        </is>
      </c>
      <c r="D225" t="inlineStr">
        <is>
          <t>New</t>
        </is>
      </c>
      <c r="E225" t="inlineStr">
        <is>
          <t>Space cooling</t>
        </is>
      </c>
      <c r="F225" t="inlineStr">
        <is>
          <t>RESHOUHINewSC</t>
        </is>
      </c>
      <c r="G225" t="inlineStr">
        <is>
          <t>TJ</t>
        </is>
      </c>
      <c r="H225" t="inlineStr">
        <is>
          <t>TJ / Mm2</t>
        </is>
      </c>
      <c r="I225" t="n">
        <v>98.98498096251132</v>
      </c>
      <c r="J225" t="n">
        <v>98.98498096251132</v>
      </c>
      <c r="K225" t="n">
        <v>102.8049358110278</v>
      </c>
      <c r="L225" t="n">
        <v>105.9882315181249</v>
      </c>
      <c r="M225" t="n">
        <v>109.1715272252221</v>
      </c>
      <c r="N225" t="n">
        <v>112.3548229323192</v>
      </c>
      <c r="O225" t="n">
        <v>115.5381186394163</v>
      </c>
      <c r="P225" t="n">
        <v>118.7214143465134</v>
      </c>
      <c r="Q225" t="n">
        <v>120.1884427496231</v>
      </c>
      <c r="R225" t="n">
        <v>121.6554711527329</v>
      </c>
      <c r="S225" t="n">
        <v>123.1224995558426</v>
      </c>
      <c r="T225" t="n">
        <v>124.5895279589523</v>
      </c>
      <c r="U225" t="n">
        <v>126.0565563620621</v>
      </c>
      <c r="V225" t="n">
        <v>127.5235847651718</v>
      </c>
      <c r="W225" t="n">
        <v>128.9906131682816</v>
      </c>
      <c r="X225" t="n">
        <v>130.4576415713913</v>
      </c>
      <c r="Y225" t="n">
        <v>131.9246699745011</v>
      </c>
      <c r="Z225" t="n">
        <v>133.3916983776108</v>
      </c>
    </row>
    <row r="226">
      <c r="A226" t="inlineStr">
        <is>
          <t>Residential</t>
        </is>
      </c>
      <c r="B226" t="inlineStr">
        <is>
          <t>Apartment</t>
        </is>
      </c>
      <c r="C226" t="inlineStr">
        <is>
          <t>Low Income</t>
        </is>
      </c>
      <c r="D226" t="inlineStr">
        <is>
          <t>New</t>
        </is>
      </c>
      <c r="E226" t="inlineStr">
        <is>
          <t>Water heating</t>
        </is>
      </c>
      <c r="F226" t="inlineStr">
        <is>
          <t>RESAPALONewWH</t>
        </is>
      </c>
      <c r="G226" t="inlineStr">
        <is>
          <t>TJ</t>
        </is>
      </c>
      <c r="H226" t="inlineStr">
        <is>
          <t>TJ / Mm2</t>
        </is>
      </c>
      <c r="I226" t="n">
        <v>166.2656998642067</v>
      </c>
      <c r="J226" t="n">
        <v>166.2656998642067</v>
      </c>
      <c r="K226" t="n">
        <v>166.2656998642067</v>
      </c>
      <c r="L226" t="n">
        <v>166.2656998642067</v>
      </c>
      <c r="M226" t="n">
        <v>166.2656998642067</v>
      </c>
      <c r="N226" t="n">
        <v>166.2656998642067</v>
      </c>
      <c r="O226" t="n">
        <v>166.2656998642067</v>
      </c>
      <c r="P226" t="n">
        <v>166.2656998642067</v>
      </c>
      <c r="Q226" t="n">
        <v>166.2656998642067</v>
      </c>
      <c r="R226" t="n">
        <v>166.2656998642067</v>
      </c>
      <c r="S226" t="n">
        <v>166.2656998642067</v>
      </c>
      <c r="T226" t="n">
        <v>166.2656998642067</v>
      </c>
      <c r="U226" t="n">
        <v>166.2656998642067</v>
      </c>
      <c r="V226" t="n">
        <v>166.2656998642067</v>
      </c>
      <c r="W226" t="n">
        <v>166.2656998642067</v>
      </c>
      <c r="X226" t="n">
        <v>166.2656998642067</v>
      </c>
      <c r="Y226" t="n">
        <v>166.2656998642067</v>
      </c>
      <c r="Z226" t="n">
        <v>166.2656998642067</v>
      </c>
    </row>
    <row r="227">
      <c r="A227" t="inlineStr">
        <is>
          <t>Residential</t>
        </is>
      </c>
      <c r="B227" t="inlineStr">
        <is>
          <t>House</t>
        </is>
      </c>
      <c r="C227" t="inlineStr">
        <is>
          <t>Low Income</t>
        </is>
      </c>
      <c r="D227" t="inlineStr">
        <is>
          <t>New</t>
        </is>
      </c>
      <c r="E227" t="inlineStr">
        <is>
          <t>Water heating</t>
        </is>
      </c>
      <c r="F227" t="inlineStr">
        <is>
          <t>RESHOULONewWH</t>
        </is>
      </c>
      <c r="G227" t="inlineStr">
        <is>
          <t>TJ</t>
        </is>
      </c>
      <c r="H227" t="inlineStr">
        <is>
          <t>TJ / Mm2</t>
        </is>
      </c>
      <c r="I227" t="n">
        <v>98.81676866892069</v>
      </c>
      <c r="J227" t="n">
        <v>98.81676866892069</v>
      </c>
      <c r="K227" t="n">
        <v>98.81676866892069</v>
      </c>
      <c r="L227" t="n">
        <v>98.81676866892069</v>
      </c>
      <c r="M227" t="n">
        <v>98.81676866892069</v>
      </c>
      <c r="N227" t="n">
        <v>98.81676866892069</v>
      </c>
      <c r="O227" t="n">
        <v>98.81676866892069</v>
      </c>
      <c r="P227" t="n">
        <v>98.81676866892069</v>
      </c>
      <c r="Q227" t="n">
        <v>98.81676866892069</v>
      </c>
      <c r="R227" t="n">
        <v>98.81676866892069</v>
      </c>
      <c r="S227" t="n">
        <v>98.81676866892069</v>
      </c>
      <c r="T227" t="n">
        <v>98.81676866892069</v>
      </c>
      <c r="U227" t="n">
        <v>98.81676866892069</v>
      </c>
      <c r="V227" t="n">
        <v>98.81676866892069</v>
      </c>
      <c r="W227" t="n">
        <v>98.81676866892069</v>
      </c>
      <c r="X227" t="n">
        <v>98.81676866892069</v>
      </c>
      <c r="Y227" t="n">
        <v>98.81676866892069</v>
      </c>
      <c r="Z227" t="n">
        <v>98.81676866892069</v>
      </c>
    </row>
    <row r="228">
      <c r="A228" t="inlineStr">
        <is>
          <t>Residential</t>
        </is>
      </c>
      <c r="B228" t="inlineStr">
        <is>
          <t>Apartment</t>
        </is>
      </c>
      <c r="C228" t="inlineStr">
        <is>
          <t>Lower-Middle Income</t>
        </is>
      </c>
      <c r="D228" t="inlineStr">
        <is>
          <t>New</t>
        </is>
      </c>
      <c r="E228" t="inlineStr">
        <is>
          <t>Water heating</t>
        </is>
      </c>
      <c r="F228" t="inlineStr">
        <is>
          <t>RESAPALMNewWH</t>
        </is>
      </c>
      <c r="G228" t="inlineStr">
        <is>
          <t>TJ</t>
        </is>
      </c>
      <c r="H228" t="inlineStr">
        <is>
          <t>TJ / Mm2</t>
        </is>
      </c>
      <c r="I228" t="n">
        <v>138.9956235561362</v>
      </c>
      <c r="J228" t="n">
        <v>138.9956235561362</v>
      </c>
      <c r="K228" t="n">
        <v>138.9956235561362</v>
      </c>
      <c r="L228" t="n">
        <v>138.9956235561362</v>
      </c>
      <c r="M228" t="n">
        <v>138.9956235561362</v>
      </c>
      <c r="N228" t="n">
        <v>138.9956235561362</v>
      </c>
      <c r="O228" t="n">
        <v>138.9956235561362</v>
      </c>
      <c r="P228" t="n">
        <v>138.9956235561362</v>
      </c>
      <c r="Q228" t="n">
        <v>138.9956235561362</v>
      </c>
      <c r="R228" t="n">
        <v>138.9956235561362</v>
      </c>
      <c r="S228" t="n">
        <v>138.9956235561362</v>
      </c>
      <c r="T228" t="n">
        <v>138.9956235561362</v>
      </c>
      <c r="U228" t="n">
        <v>138.9956235561362</v>
      </c>
      <c r="V228" t="n">
        <v>138.9956235561362</v>
      </c>
      <c r="W228" t="n">
        <v>138.9956235561362</v>
      </c>
      <c r="X228" t="n">
        <v>138.9956235561362</v>
      </c>
      <c r="Y228" t="n">
        <v>138.9956235561362</v>
      </c>
      <c r="Z228" t="n">
        <v>138.9956235561362</v>
      </c>
    </row>
    <row r="229">
      <c r="A229" t="inlineStr">
        <is>
          <t>Residential</t>
        </is>
      </c>
      <c r="B229" t="inlineStr">
        <is>
          <t>House</t>
        </is>
      </c>
      <c r="C229" t="inlineStr">
        <is>
          <t>Lower-Middle Income</t>
        </is>
      </c>
      <c r="D229" t="inlineStr">
        <is>
          <t>New</t>
        </is>
      </c>
      <c r="E229" t="inlineStr">
        <is>
          <t>Water heating</t>
        </is>
      </c>
      <c r="F229" t="inlineStr">
        <is>
          <t>RESHOULMNewWH</t>
        </is>
      </c>
      <c r="G229" t="inlineStr">
        <is>
          <t>TJ</t>
        </is>
      </c>
      <c r="H229" t="inlineStr">
        <is>
          <t>TJ / Mm2</t>
        </is>
      </c>
      <c r="I229" t="n">
        <v>93.67327891899139</v>
      </c>
      <c r="J229" t="n">
        <v>93.67327891899139</v>
      </c>
      <c r="K229" t="n">
        <v>93.67327891899139</v>
      </c>
      <c r="L229" t="n">
        <v>93.67327891899139</v>
      </c>
      <c r="M229" t="n">
        <v>93.67327891899139</v>
      </c>
      <c r="N229" t="n">
        <v>93.67327891899139</v>
      </c>
      <c r="O229" t="n">
        <v>93.67327891899139</v>
      </c>
      <c r="P229" t="n">
        <v>93.67327891899139</v>
      </c>
      <c r="Q229" t="n">
        <v>93.67327891899139</v>
      </c>
      <c r="R229" t="n">
        <v>93.67327891899139</v>
      </c>
      <c r="S229" t="n">
        <v>93.67327891899139</v>
      </c>
      <c r="T229" t="n">
        <v>93.67327891899139</v>
      </c>
      <c r="U229" t="n">
        <v>93.67327891899139</v>
      </c>
      <c r="V229" t="n">
        <v>93.67327891899139</v>
      </c>
      <c r="W229" t="n">
        <v>93.67327891899139</v>
      </c>
      <c r="X229" t="n">
        <v>93.67327891899139</v>
      </c>
      <c r="Y229" t="n">
        <v>93.67327891899139</v>
      </c>
      <c r="Z229" t="n">
        <v>93.67327891899139</v>
      </c>
    </row>
    <row r="230">
      <c r="A230" t="inlineStr">
        <is>
          <t>Residential</t>
        </is>
      </c>
      <c r="B230" t="inlineStr">
        <is>
          <t>Apartment</t>
        </is>
      </c>
      <c r="C230" t="inlineStr">
        <is>
          <t>Upper-Middle Income</t>
        </is>
      </c>
      <c r="D230" t="inlineStr">
        <is>
          <t>New</t>
        </is>
      </c>
      <c r="E230" t="inlineStr">
        <is>
          <t>Water heating</t>
        </is>
      </c>
      <c r="F230" t="inlineStr">
        <is>
          <t>RESAPAUMNewWH</t>
        </is>
      </c>
      <c r="G230" t="inlineStr">
        <is>
          <t>TJ</t>
        </is>
      </c>
      <c r="H230" t="inlineStr">
        <is>
          <t>TJ / Mm2</t>
        </is>
      </c>
      <c r="I230" t="n">
        <v>140.9559136754352</v>
      </c>
      <c r="J230" t="n">
        <v>140.9559136754352</v>
      </c>
      <c r="K230" t="n">
        <v>140.9559136754352</v>
      </c>
      <c r="L230" t="n">
        <v>140.9559136754352</v>
      </c>
      <c r="M230" t="n">
        <v>140.9559136754352</v>
      </c>
      <c r="N230" t="n">
        <v>140.9559136754352</v>
      </c>
      <c r="O230" t="n">
        <v>140.9559136754352</v>
      </c>
      <c r="P230" t="n">
        <v>140.9559136754352</v>
      </c>
      <c r="Q230" t="n">
        <v>140.9559136754352</v>
      </c>
      <c r="R230" t="n">
        <v>140.9559136754352</v>
      </c>
      <c r="S230" t="n">
        <v>140.9559136754352</v>
      </c>
      <c r="T230" t="n">
        <v>140.9559136754352</v>
      </c>
      <c r="U230" t="n">
        <v>140.9559136754352</v>
      </c>
      <c r="V230" t="n">
        <v>140.9559136754352</v>
      </c>
      <c r="W230" t="n">
        <v>140.9559136754352</v>
      </c>
      <c r="X230" t="n">
        <v>140.9559136754352</v>
      </c>
      <c r="Y230" t="n">
        <v>140.9559136754352</v>
      </c>
      <c r="Z230" t="n">
        <v>140.9559136754352</v>
      </c>
    </row>
    <row r="231">
      <c r="A231" t="inlineStr">
        <is>
          <t>Residential</t>
        </is>
      </c>
      <c r="B231" t="inlineStr">
        <is>
          <t>House</t>
        </is>
      </c>
      <c r="C231" t="inlineStr">
        <is>
          <t>Upper-Middle Income</t>
        </is>
      </c>
      <c r="D231" t="inlineStr">
        <is>
          <t>New</t>
        </is>
      </c>
      <c r="E231" t="inlineStr">
        <is>
          <t>Water heating</t>
        </is>
      </c>
      <c r="F231" t="inlineStr">
        <is>
          <t>RESHOUUMNewWH</t>
        </is>
      </c>
      <c r="G231" t="inlineStr">
        <is>
          <t>TJ</t>
        </is>
      </c>
      <c r="H231" t="inlineStr">
        <is>
          <t>TJ / Mm2</t>
        </is>
      </c>
      <c r="I231" t="n">
        <v>111.6990514318365</v>
      </c>
      <c r="J231" t="n">
        <v>111.6990514318365</v>
      </c>
      <c r="K231" t="n">
        <v>111.6990514318365</v>
      </c>
      <c r="L231" t="n">
        <v>111.6990514318365</v>
      </c>
      <c r="M231" t="n">
        <v>111.6990514318365</v>
      </c>
      <c r="N231" t="n">
        <v>111.6990514318365</v>
      </c>
      <c r="O231" t="n">
        <v>111.6990514318365</v>
      </c>
      <c r="P231" t="n">
        <v>111.6990514318365</v>
      </c>
      <c r="Q231" t="n">
        <v>111.6990514318365</v>
      </c>
      <c r="R231" t="n">
        <v>111.6990514318365</v>
      </c>
      <c r="S231" t="n">
        <v>111.6990514318365</v>
      </c>
      <c r="T231" t="n">
        <v>111.6990514318365</v>
      </c>
      <c r="U231" t="n">
        <v>111.6990514318365</v>
      </c>
      <c r="V231" t="n">
        <v>111.6990514318365</v>
      </c>
      <c r="W231" t="n">
        <v>111.6990514318365</v>
      </c>
      <c r="X231" t="n">
        <v>111.6990514318365</v>
      </c>
      <c r="Y231" t="n">
        <v>111.6990514318365</v>
      </c>
      <c r="Z231" t="n">
        <v>111.6990514318365</v>
      </c>
    </row>
    <row r="232">
      <c r="A232" t="inlineStr">
        <is>
          <t>Residential</t>
        </is>
      </c>
      <c r="B232" t="inlineStr">
        <is>
          <t>Apartment</t>
        </is>
      </c>
      <c r="C232" t="inlineStr">
        <is>
          <t>High Income</t>
        </is>
      </c>
      <c r="D232" t="inlineStr">
        <is>
          <t>New</t>
        </is>
      </c>
      <c r="E232" t="inlineStr">
        <is>
          <t>Water heating</t>
        </is>
      </c>
      <c r="F232" t="inlineStr">
        <is>
          <t>RESAPAHINewWH</t>
        </is>
      </c>
      <c r="G232" t="inlineStr">
        <is>
          <t>TJ</t>
        </is>
      </c>
      <c r="H232" t="inlineStr">
        <is>
          <t>TJ / Mm2</t>
        </is>
      </c>
      <c r="I232" t="n">
        <v>133.3346341653006</v>
      </c>
      <c r="J232" t="n">
        <v>133.3346341653006</v>
      </c>
      <c r="K232" t="n">
        <v>133.3346341653006</v>
      </c>
      <c r="L232" t="n">
        <v>133.3346341653006</v>
      </c>
      <c r="M232" t="n">
        <v>133.3346341653006</v>
      </c>
      <c r="N232" t="n">
        <v>133.3346341653006</v>
      </c>
      <c r="O232" t="n">
        <v>133.3346341653006</v>
      </c>
      <c r="P232" t="n">
        <v>133.3346341653006</v>
      </c>
      <c r="Q232" t="n">
        <v>133.3346341653006</v>
      </c>
      <c r="R232" t="n">
        <v>133.3346341653006</v>
      </c>
      <c r="S232" t="n">
        <v>133.3346341653006</v>
      </c>
      <c r="T232" t="n">
        <v>133.3346341653006</v>
      </c>
      <c r="U232" t="n">
        <v>133.3346341653006</v>
      </c>
      <c r="V232" t="n">
        <v>133.3346341653006</v>
      </c>
      <c r="W232" t="n">
        <v>133.3346341653006</v>
      </c>
      <c r="X232" t="n">
        <v>133.3346341653006</v>
      </c>
      <c r="Y232" t="n">
        <v>133.3346341653006</v>
      </c>
      <c r="Z232" t="n">
        <v>133.3346341653006</v>
      </c>
    </row>
    <row r="233">
      <c r="A233" t="inlineStr">
        <is>
          <t>Residential</t>
        </is>
      </c>
      <c r="B233" t="inlineStr">
        <is>
          <t>House</t>
        </is>
      </c>
      <c r="C233" t="inlineStr">
        <is>
          <t>High Income</t>
        </is>
      </c>
      <c r="D233" t="inlineStr">
        <is>
          <t>New</t>
        </is>
      </c>
      <c r="E233" t="inlineStr">
        <is>
          <t>Water heating</t>
        </is>
      </c>
      <c r="F233" t="inlineStr">
        <is>
          <t>RESHOUHINewWH</t>
        </is>
      </c>
      <c r="G233" t="inlineStr">
        <is>
          <t>TJ</t>
        </is>
      </c>
      <c r="H233" t="inlineStr">
        <is>
          <t>TJ / Mm2</t>
        </is>
      </c>
      <c r="I233" t="n">
        <v>95.74188126804731</v>
      </c>
      <c r="J233" t="n">
        <v>95.74188126804731</v>
      </c>
      <c r="K233" t="n">
        <v>95.74188126804731</v>
      </c>
      <c r="L233" t="n">
        <v>95.74188126804731</v>
      </c>
      <c r="M233" t="n">
        <v>95.74188126804731</v>
      </c>
      <c r="N233" t="n">
        <v>95.74188126804731</v>
      </c>
      <c r="O233" t="n">
        <v>95.74188126804731</v>
      </c>
      <c r="P233" t="n">
        <v>95.74188126804731</v>
      </c>
      <c r="Q233" t="n">
        <v>95.74188126804731</v>
      </c>
      <c r="R233" t="n">
        <v>95.74188126804731</v>
      </c>
      <c r="S233" t="n">
        <v>95.74188126804731</v>
      </c>
      <c r="T233" t="n">
        <v>95.74188126804731</v>
      </c>
      <c r="U233" t="n">
        <v>95.74188126804731</v>
      </c>
      <c r="V233" t="n">
        <v>95.74188126804731</v>
      </c>
      <c r="W233" t="n">
        <v>95.74188126804731</v>
      </c>
      <c r="X233" t="n">
        <v>95.74188126804731</v>
      </c>
      <c r="Y233" t="n">
        <v>95.74188126804731</v>
      </c>
      <c r="Z233" t="n">
        <v>95.74188126804731</v>
      </c>
    </row>
    <row r="234">
      <c r="A234" t="inlineStr">
        <is>
          <t>Residential</t>
        </is>
      </c>
      <c r="B234" t="inlineStr">
        <is>
          <t>Apartment</t>
        </is>
      </c>
      <c r="C234" t="inlineStr">
        <is>
          <t>Low Income</t>
        </is>
      </c>
      <c r="D234" t="inlineStr">
        <is>
          <t>New</t>
        </is>
      </c>
      <c r="E234" t="inlineStr">
        <is>
          <t>Refrigeration</t>
        </is>
      </c>
      <c r="F234" t="inlineStr">
        <is>
          <t>RESAPALONewRE</t>
        </is>
      </c>
      <c r="G234" t="inlineStr">
        <is>
          <t>TJ</t>
        </is>
      </c>
      <c r="H234" t="inlineStr">
        <is>
          <t>TJ / Mm2</t>
        </is>
      </c>
      <c r="I234" t="n">
        <v>15.09144417568619</v>
      </c>
      <c r="J234" t="n">
        <v>15.09144417568619</v>
      </c>
      <c r="K234" t="n">
        <v>15.09144417568619</v>
      </c>
      <c r="L234" t="n">
        <v>15.09144417568619</v>
      </c>
      <c r="M234" t="n">
        <v>15.09144417568619</v>
      </c>
      <c r="N234" t="n">
        <v>15.09144417568619</v>
      </c>
      <c r="O234" t="n">
        <v>15.09144417568619</v>
      </c>
      <c r="P234" t="n">
        <v>15.09144417568619</v>
      </c>
      <c r="Q234" t="n">
        <v>15.09144417568619</v>
      </c>
      <c r="R234" t="n">
        <v>15.09144417568619</v>
      </c>
      <c r="S234" t="n">
        <v>15.09144417568619</v>
      </c>
      <c r="T234" t="n">
        <v>15.09144417568619</v>
      </c>
      <c r="U234" t="n">
        <v>15.09144417568619</v>
      </c>
      <c r="V234" t="n">
        <v>15.09144417568619</v>
      </c>
      <c r="W234" t="n">
        <v>15.09144417568619</v>
      </c>
      <c r="X234" t="n">
        <v>15.09144417568619</v>
      </c>
      <c r="Y234" t="n">
        <v>15.09144417568619</v>
      </c>
      <c r="Z234" t="n">
        <v>15.09144417568619</v>
      </c>
    </row>
    <row r="235">
      <c r="A235" t="inlineStr">
        <is>
          <t>Residential</t>
        </is>
      </c>
      <c r="B235" t="inlineStr">
        <is>
          <t>House</t>
        </is>
      </c>
      <c r="C235" t="inlineStr">
        <is>
          <t>Low Income</t>
        </is>
      </c>
      <c r="D235" t="inlineStr">
        <is>
          <t>New</t>
        </is>
      </c>
      <c r="E235" t="inlineStr">
        <is>
          <t>Refrigeration</t>
        </is>
      </c>
      <c r="F235" t="inlineStr">
        <is>
          <t>RESHOULONewRE</t>
        </is>
      </c>
      <c r="G235" t="inlineStr">
        <is>
          <t>TJ</t>
        </is>
      </c>
      <c r="H235" t="inlineStr">
        <is>
          <t>TJ / Mm2</t>
        </is>
      </c>
      <c r="I235" t="n">
        <v>16.47851118489944</v>
      </c>
      <c r="J235" t="n">
        <v>16.47851118489944</v>
      </c>
      <c r="K235" t="n">
        <v>16.47851118489944</v>
      </c>
      <c r="L235" t="n">
        <v>16.47851118489944</v>
      </c>
      <c r="M235" t="n">
        <v>16.47851118489944</v>
      </c>
      <c r="N235" t="n">
        <v>16.47851118489944</v>
      </c>
      <c r="O235" t="n">
        <v>16.47851118489944</v>
      </c>
      <c r="P235" t="n">
        <v>16.47851118489944</v>
      </c>
      <c r="Q235" t="n">
        <v>16.47851118489944</v>
      </c>
      <c r="R235" t="n">
        <v>16.47851118489944</v>
      </c>
      <c r="S235" t="n">
        <v>16.47851118489944</v>
      </c>
      <c r="T235" t="n">
        <v>16.47851118489944</v>
      </c>
      <c r="U235" t="n">
        <v>16.47851118489944</v>
      </c>
      <c r="V235" t="n">
        <v>16.47851118489944</v>
      </c>
      <c r="W235" t="n">
        <v>16.47851118489944</v>
      </c>
      <c r="X235" t="n">
        <v>16.47851118489944</v>
      </c>
      <c r="Y235" t="n">
        <v>16.47851118489944</v>
      </c>
      <c r="Z235" t="n">
        <v>16.47851118489944</v>
      </c>
    </row>
    <row r="236">
      <c r="A236" t="inlineStr">
        <is>
          <t>Residential</t>
        </is>
      </c>
      <c r="B236" t="inlineStr">
        <is>
          <t>Apartment</t>
        </is>
      </c>
      <c r="C236" t="inlineStr">
        <is>
          <t>Lower-Middle Income</t>
        </is>
      </c>
      <c r="D236" t="inlineStr">
        <is>
          <t>New</t>
        </is>
      </c>
      <c r="E236" t="inlineStr">
        <is>
          <t>Refrigeration</t>
        </is>
      </c>
      <c r="F236" t="inlineStr">
        <is>
          <t>RESAPALMNewRE</t>
        </is>
      </c>
      <c r="G236" t="inlineStr">
        <is>
          <t>TJ</t>
        </is>
      </c>
      <c r="H236" t="inlineStr">
        <is>
          <t>TJ / Mm2</t>
        </is>
      </c>
      <c r="I236" t="n">
        <v>14.74530578233876</v>
      </c>
      <c r="J236" t="n">
        <v>14.74530578233876</v>
      </c>
      <c r="K236" t="n">
        <v>14.74530578233876</v>
      </c>
      <c r="L236" t="n">
        <v>14.74530578233876</v>
      </c>
      <c r="M236" t="n">
        <v>14.74530578233876</v>
      </c>
      <c r="N236" t="n">
        <v>14.74530578233876</v>
      </c>
      <c r="O236" t="n">
        <v>14.74530578233876</v>
      </c>
      <c r="P236" t="n">
        <v>14.74530578233876</v>
      </c>
      <c r="Q236" t="n">
        <v>14.74530578233876</v>
      </c>
      <c r="R236" t="n">
        <v>14.74530578233876</v>
      </c>
      <c r="S236" t="n">
        <v>14.74530578233876</v>
      </c>
      <c r="T236" t="n">
        <v>14.74530578233876</v>
      </c>
      <c r="U236" t="n">
        <v>14.74530578233876</v>
      </c>
      <c r="V236" t="n">
        <v>14.74530578233876</v>
      </c>
      <c r="W236" t="n">
        <v>14.74530578233876</v>
      </c>
      <c r="X236" t="n">
        <v>14.74530578233876</v>
      </c>
      <c r="Y236" t="n">
        <v>14.74530578233876</v>
      </c>
      <c r="Z236" t="n">
        <v>14.74530578233876</v>
      </c>
    </row>
    <row r="237">
      <c r="A237" t="inlineStr">
        <is>
          <t>Residential</t>
        </is>
      </c>
      <c r="B237" t="inlineStr">
        <is>
          <t>House</t>
        </is>
      </c>
      <c r="C237" t="inlineStr">
        <is>
          <t>Lower-Middle Income</t>
        </is>
      </c>
      <c r="D237" t="inlineStr">
        <is>
          <t>New</t>
        </is>
      </c>
      <c r="E237" t="inlineStr">
        <is>
          <t>Refrigeration</t>
        </is>
      </c>
      <c r="F237" t="inlineStr">
        <is>
          <t>RESHOULMNewRE</t>
        </is>
      </c>
      <c r="G237" t="inlineStr">
        <is>
          <t>TJ</t>
        </is>
      </c>
      <c r="H237" t="inlineStr">
        <is>
          <t>TJ / Mm2</t>
        </is>
      </c>
      <c r="I237" t="n">
        <v>17.01291626666819</v>
      </c>
      <c r="J237" t="n">
        <v>17.01291626666819</v>
      </c>
      <c r="K237" t="n">
        <v>17.01291626666819</v>
      </c>
      <c r="L237" t="n">
        <v>17.01291626666819</v>
      </c>
      <c r="M237" t="n">
        <v>17.01291626666819</v>
      </c>
      <c r="N237" t="n">
        <v>17.01291626666819</v>
      </c>
      <c r="O237" t="n">
        <v>17.01291626666819</v>
      </c>
      <c r="P237" t="n">
        <v>17.01291626666819</v>
      </c>
      <c r="Q237" t="n">
        <v>17.01291626666819</v>
      </c>
      <c r="R237" t="n">
        <v>17.01291626666819</v>
      </c>
      <c r="S237" t="n">
        <v>17.01291626666819</v>
      </c>
      <c r="T237" t="n">
        <v>17.01291626666819</v>
      </c>
      <c r="U237" t="n">
        <v>17.01291626666819</v>
      </c>
      <c r="V237" t="n">
        <v>17.01291626666819</v>
      </c>
      <c r="W237" t="n">
        <v>17.01291626666819</v>
      </c>
      <c r="X237" t="n">
        <v>17.01291626666819</v>
      </c>
      <c r="Y237" t="n">
        <v>17.01291626666819</v>
      </c>
      <c r="Z237" t="n">
        <v>17.01291626666819</v>
      </c>
    </row>
    <row r="238">
      <c r="A238" t="inlineStr">
        <is>
          <t>Residential</t>
        </is>
      </c>
      <c r="B238" t="inlineStr">
        <is>
          <t>Apartment</t>
        </is>
      </c>
      <c r="C238" t="inlineStr">
        <is>
          <t>Upper-Middle Income</t>
        </is>
      </c>
      <c r="D238" t="inlineStr">
        <is>
          <t>New</t>
        </is>
      </c>
      <c r="E238" t="inlineStr">
        <is>
          <t>Refrigeration</t>
        </is>
      </c>
      <c r="F238" t="inlineStr">
        <is>
          <t>RESAPAUMNewRE</t>
        </is>
      </c>
      <c r="G238" t="inlineStr">
        <is>
          <t>TJ</t>
        </is>
      </c>
      <c r="H238" t="inlineStr">
        <is>
          <t>TJ / Mm2</t>
        </is>
      </c>
      <c r="I238" t="n">
        <v>14.22780925288393</v>
      </c>
      <c r="J238" t="n">
        <v>14.22780925288393</v>
      </c>
      <c r="K238" t="n">
        <v>14.22780925288393</v>
      </c>
      <c r="L238" t="n">
        <v>14.22780925288393</v>
      </c>
      <c r="M238" t="n">
        <v>14.22780925288393</v>
      </c>
      <c r="N238" t="n">
        <v>14.22780925288393</v>
      </c>
      <c r="O238" t="n">
        <v>14.22780925288393</v>
      </c>
      <c r="P238" t="n">
        <v>14.22780925288393</v>
      </c>
      <c r="Q238" t="n">
        <v>14.22780925288393</v>
      </c>
      <c r="R238" t="n">
        <v>14.22780925288393</v>
      </c>
      <c r="S238" t="n">
        <v>14.22780925288393</v>
      </c>
      <c r="T238" t="n">
        <v>14.22780925288393</v>
      </c>
      <c r="U238" t="n">
        <v>14.22780925288393</v>
      </c>
      <c r="V238" t="n">
        <v>14.22780925288393</v>
      </c>
      <c r="W238" t="n">
        <v>14.22780925288393</v>
      </c>
      <c r="X238" t="n">
        <v>14.22780925288393</v>
      </c>
      <c r="Y238" t="n">
        <v>14.22780925288393</v>
      </c>
      <c r="Z238" t="n">
        <v>14.22780925288393</v>
      </c>
    </row>
    <row r="239">
      <c r="A239" t="inlineStr">
        <is>
          <t>Residential</t>
        </is>
      </c>
      <c r="B239" t="inlineStr">
        <is>
          <t>House</t>
        </is>
      </c>
      <c r="C239" t="inlineStr">
        <is>
          <t>Upper-Middle Income</t>
        </is>
      </c>
      <c r="D239" t="inlineStr">
        <is>
          <t>New</t>
        </is>
      </c>
      <c r="E239" t="inlineStr">
        <is>
          <t>Refrigeration</t>
        </is>
      </c>
      <c r="F239" t="inlineStr">
        <is>
          <t>RESHOUUMNewRE</t>
        </is>
      </c>
      <c r="G239" t="inlineStr">
        <is>
          <t>TJ</t>
        </is>
      </c>
      <c r="H239" t="inlineStr">
        <is>
          <t>TJ / Mm2</t>
        </is>
      </c>
      <c r="I239" t="n">
        <v>18.97361082346216</v>
      </c>
      <c r="J239" t="n">
        <v>18.97361082346216</v>
      </c>
      <c r="K239" t="n">
        <v>18.97361082346216</v>
      </c>
      <c r="L239" t="n">
        <v>18.97361082346216</v>
      </c>
      <c r="M239" t="n">
        <v>18.97361082346216</v>
      </c>
      <c r="N239" t="n">
        <v>18.97361082346216</v>
      </c>
      <c r="O239" t="n">
        <v>18.97361082346216</v>
      </c>
      <c r="P239" t="n">
        <v>18.97361082346216</v>
      </c>
      <c r="Q239" t="n">
        <v>18.97361082346216</v>
      </c>
      <c r="R239" t="n">
        <v>18.97361082346216</v>
      </c>
      <c r="S239" t="n">
        <v>18.97361082346216</v>
      </c>
      <c r="T239" t="n">
        <v>18.97361082346216</v>
      </c>
      <c r="U239" t="n">
        <v>18.97361082346216</v>
      </c>
      <c r="V239" t="n">
        <v>18.97361082346216</v>
      </c>
      <c r="W239" t="n">
        <v>18.97361082346216</v>
      </c>
      <c r="X239" t="n">
        <v>18.97361082346216</v>
      </c>
      <c r="Y239" t="n">
        <v>18.97361082346216</v>
      </c>
      <c r="Z239" t="n">
        <v>18.97361082346216</v>
      </c>
    </row>
    <row r="240">
      <c r="A240" t="inlineStr">
        <is>
          <t>Residential</t>
        </is>
      </c>
      <c r="B240" t="inlineStr">
        <is>
          <t>Apartment</t>
        </is>
      </c>
      <c r="C240" t="inlineStr">
        <is>
          <t>High Income</t>
        </is>
      </c>
      <c r="D240" t="inlineStr">
        <is>
          <t>New</t>
        </is>
      </c>
      <c r="E240" t="inlineStr">
        <is>
          <t>Refrigeration</t>
        </is>
      </c>
      <c r="F240" t="inlineStr">
        <is>
          <t>RESAPAHINewRE</t>
        </is>
      </c>
      <c r="G240" t="inlineStr">
        <is>
          <t>TJ</t>
        </is>
      </c>
      <c r="H240" t="inlineStr">
        <is>
          <t>TJ / Mm2</t>
        </is>
      </c>
      <c r="I240" t="n">
        <v>15.3429970980982</v>
      </c>
      <c r="J240" t="n">
        <v>15.3429970980982</v>
      </c>
      <c r="K240" t="n">
        <v>15.3429970980982</v>
      </c>
      <c r="L240" t="n">
        <v>15.3429970980982</v>
      </c>
      <c r="M240" t="n">
        <v>15.3429970980982</v>
      </c>
      <c r="N240" t="n">
        <v>15.3429970980982</v>
      </c>
      <c r="O240" t="n">
        <v>15.3429970980982</v>
      </c>
      <c r="P240" t="n">
        <v>15.3429970980982</v>
      </c>
      <c r="Q240" t="n">
        <v>15.3429970980982</v>
      </c>
      <c r="R240" t="n">
        <v>15.3429970980982</v>
      </c>
      <c r="S240" t="n">
        <v>15.3429970980982</v>
      </c>
      <c r="T240" t="n">
        <v>15.3429970980982</v>
      </c>
      <c r="U240" t="n">
        <v>15.3429970980982</v>
      </c>
      <c r="V240" t="n">
        <v>15.3429970980982</v>
      </c>
      <c r="W240" t="n">
        <v>15.3429970980982</v>
      </c>
      <c r="X240" t="n">
        <v>15.3429970980982</v>
      </c>
      <c r="Y240" t="n">
        <v>15.3429970980982</v>
      </c>
      <c r="Z240" t="n">
        <v>15.3429970980982</v>
      </c>
    </row>
    <row r="241">
      <c r="A241" t="inlineStr">
        <is>
          <t>Residential</t>
        </is>
      </c>
      <c r="B241" t="inlineStr">
        <is>
          <t>House</t>
        </is>
      </c>
      <c r="C241" t="inlineStr">
        <is>
          <t>High Income</t>
        </is>
      </c>
      <c r="D241" t="inlineStr">
        <is>
          <t>New</t>
        </is>
      </c>
      <c r="E241" t="inlineStr">
        <is>
          <t>Refrigeration</t>
        </is>
      </c>
      <c r="F241" t="inlineStr">
        <is>
          <t>RESHOUHINewRE</t>
        </is>
      </c>
      <c r="G241" t="inlineStr">
        <is>
          <t>TJ</t>
        </is>
      </c>
      <c r="H241" t="inlineStr">
        <is>
          <t>TJ / Mm2</t>
        </is>
      </c>
      <c r="I241" t="n">
        <v>16.33196583174718</v>
      </c>
      <c r="J241" t="n">
        <v>16.33196583174718</v>
      </c>
      <c r="K241" t="n">
        <v>16.33196583174718</v>
      </c>
      <c r="L241" t="n">
        <v>16.33196583174718</v>
      </c>
      <c r="M241" t="n">
        <v>16.33196583174718</v>
      </c>
      <c r="N241" t="n">
        <v>16.33196583174718</v>
      </c>
      <c r="O241" t="n">
        <v>16.33196583174718</v>
      </c>
      <c r="P241" t="n">
        <v>16.33196583174718</v>
      </c>
      <c r="Q241" t="n">
        <v>16.33196583174718</v>
      </c>
      <c r="R241" t="n">
        <v>16.33196583174718</v>
      </c>
      <c r="S241" t="n">
        <v>16.33196583174718</v>
      </c>
      <c r="T241" t="n">
        <v>16.33196583174718</v>
      </c>
      <c r="U241" t="n">
        <v>16.33196583174718</v>
      </c>
      <c r="V241" t="n">
        <v>16.33196583174718</v>
      </c>
      <c r="W241" t="n">
        <v>16.33196583174718</v>
      </c>
      <c r="X241" t="n">
        <v>16.33196583174718</v>
      </c>
      <c r="Y241" t="n">
        <v>16.33196583174718</v>
      </c>
      <c r="Z241" t="n">
        <v>16.33196583174718</v>
      </c>
    </row>
    <row r="242">
      <c r="A242" t="inlineStr">
        <is>
          <t>Residential</t>
        </is>
      </c>
      <c r="B242" t="inlineStr">
        <is>
          <t>Apartment</t>
        </is>
      </c>
      <c r="C242" t="inlineStr">
        <is>
          <t>Low Income</t>
        </is>
      </c>
      <c r="D242" t="inlineStr">
        <is>
          <t>New</t>
        </is>
      </c>
      <c r="E242" t="inlineStr">
        <is>
          <t>Freezing</t>
        </is>
      </c>
      <c r="F242" t="inlineStr">
        <is>
          <t>RESAPALONewFR</t>
        </is>
      </c>
      <c r="G242" t="inlineStr">
        <is>
          <t>TJ</t>
        </is>
      </c>
      <c r="H242" t="inlineStr">
        <is>
          <t>TJ / Mm2</t>
        </is>
      </c>
      <c r="I242" t="n">
        <v>1.631350109857994</v>
      </c>
      <c r="J242" t="n">
        <v>1.631350109857994</v>
      </c>
      <c r="K242" t="n">
        <v>1.631350109857994</v>
      </c>
      <c r="L242" t="n">
        <v>1.631350109857994</v>
      </c>
      <c r="M242" t="n">
        <v>1.631350109857994</v>
      </c>
      <c r="N242" t="n">
        <v>1.631350109857994</v>
      </c>
      <c r="O242" t="n">
        <v>1.631350109857994</v>
      </c>
      <c r="P242" t="n">
        <v>1.631350109857994</v>
      </c>
      <c r="Q242" t="n">
        <v>1.631350109857994</v>
      </c>
      <c r="R242" t="n">
        <v>1.631350109857994</v>
      </c>
      <c r="S242" t="n">
        <v>1.631350109857994</v>
      </c>
      <c r="T242" t="n">
        <v>1.631350109857994</v>
      </c>
      <c r="U242" t="n">
        <v>1.631350109857994</v>
      </c>
      <c r="V242" t="n">
        <v>1.631350109857994</v>
      </c>
      <c r="W242" t="n">
        <v>1.631350109857994</v>
      </c>
      <c r="X242" t="n">
        <v>1.631350109857994</v>
      </c>
      <c r="Y242" t="n">
        <v>1.631350109857994</v>
      </c>
      <c r="Z242" t="n">
        <v>1.631350109857994</v>
      </c>
    </row>
    <row r="243">
      <c r="A243" t="inlineStr">
        <is>
          <t>Residential</t>
        </is>
      </c>
      <c r="B243" t="inlineStr">
        <is>
          <t>House</t>
        </is>
      </c>
      <c r="C243" t="inlineStr">
        <is>
          <t>Low Income</t>
        </is>
      </c>
      <c r="D243" t="inlineStr">
        <is>
          <t>New</t>
        </is>
      </c>
      <c r="E243" t="inlineStr">
        <is>
          <t>Freezing</t>
        </is>
      </c>
      <c r="F243" t="inlineStr">
        <is>
          <t>RESHOULONewFR</t>
        </is>
      </c>
      <c r="G243" t="inlineStr">
        <is>
          <t>TJ</t>
        </is>
      </c>
      <c r="H243" t="inlineStr">
        <is>
          <t>TJ / Mm2</t>
        </is>
      </c>
      <c r="I243" t="n">
        <v>3.819812576332748</v>
      </c>
      <c r="J243" t="n">
        <v>3.819812576332748</v>
      </c>
      <c r="K243" t="n">
        <v>3.819812576332748</v>
      </c>
      <c r="L243" t="n">
        <v>3.819812576332748</v>
      </c>
      <c r="M243" t="n">
        <v>3.819812576332748</v>
      </c>
      <c r="N243" t="n">
        <v>3.819812576332748</v>
      </c>
      <c r="O243" t="n">
        <v>3.819812576332748</v>
      </c>
      <c r="P243" t="n">
        <v>3.819812576332748</v>
      </c>
      <c r="Q243" t="n">
        <v>3.819812576332748</v>
      </c>
      <c r="R243" t="n">
        <v>3.819812576332748</v>
      </c>
      <c r="S243" t="n">
        <v>3.819812576332748</v>
      </c>
      <c r="T243" t="n">
        <v>3.819812576332748</v>
      </c>
      <c r="U243" t="n">
        <v>3.819812576332748</v>
      </c>
      <c r="V243" t="n">
        <v>3.819812576332748</v>
      </c>
      <c r="W243" t="n">
        <v>3.819812576332748</v>
      </c>
      <c r="X243" t="n">
        <v>3.819812576332748</v>
      </c>
      <c r="Y243" t="n">
        <v>3.819812576332748</v>
      </c>
      <c r="Z243" t="n">
        <v>3.819812576332748</v>
      </c>
    </row>
    <row r="244">
      <c r="A244" t="inlineStr">
        <is>
          <t>Residential</t>
        </is>
      </c>
      <c r="B244" t="inlineStr">
        <is>
          <t>Apartment</t>
        </is>
      </c>
      <c r="C244" t="inlineStr">
        <is>
          <t>Lower-Middle Income</t>
        </is>
      </c>
      <c r="D244" t="inlineStr">
        <is>
          <t>New</t>
        </is>
      </c>
      <c r="E244" t="inlineStr">
        <is>
          <t>Freezing</t>
        </is>
      </c>
      <c r="F244" t="inlineStr">
        <is>
          <t>RESAPALMNewFR</t>
        </is>
      </c>
      <c r="G244" t="inlineStr">
        <is>
          <t>TJ</t>
        </is>
      </c>
      <c r="H244" t="inlineStr">
        <is>
          <t>TJ / Mm2</t>
        </is>
      </c>
      <c r="I244" t="n">
        <v>1.764112321829806</v>
      </c>
      <c r="J244" t="n">
        <v>1.764112321829806</v>
      </c>
      <c r="K244" t="n">
        <v>1.764112321829806</v>
      </c>
      <c r="L244" t="n">
        <v>1.764112321829806</v>
      </c>
      <c r="M244" t="n">
        <v>1.764112321829806</v>
      </c>
      <c r="N244" t="n">
        <v>1.764112321829806</v>
      </c>
      <c r="O244" t="n">
        <v>1.764112321829806</v>
      </c>
      <c r="P244" t="n">
        <v>1.764112321829806</v>
      </c>
      <c r="Q244" t="n">
        <v>1.764112321829806</v>
      </c>
      <c r="R244" t="n">
        <v>1.764112321829806</v>
      </c>
      <c r="S244" t="n">
        <v>1.764112321829806</v>
      </c>
      <c r="T244" t="n">
        <v>1.764112321829806</v>
      </c>
      <c r="U244" t="n">
        <v>1.764112321829806</v>
      </c>
      <c r="V244" t="n">
        <v>1.764112321829806</v>
      </c>
      <c r="W244" t="n">
        <v>1.764112321829806</v>
      </c>
      <c r="X244" t="n">
        <v>1.764112321829806</v>
      </c>
      <c r="Y244" t="n">
        <v>1.764112321829806</v>
      </c>
      <c r="Z244" t="n">
        <v>1.764112321829806</v>
      </c>
    </row>
    <row r="245">
      <c r="A245" t="inlineStr">
        <is>
          <t>Residential</t>
        </is>
      </c>
      <c r="B245" t="inlineStr">
        <is>
          <t>House</t>
        </is>
      </c>
      <c r="C245" t="inlineStr">
        <is>
          <t>Lower-Middle Income</t>
        </is>
      </c>
      <c r="D245" t="inlineStr">
        <is>
          <t>New</t>
        </is>
      </c>
      <c r="E245" t="inlineStr">
        <is>
          <t>Freezing</t>
        </is>
      </c>
      <c r="F245" t="inlineStr">
        <is>
          <t>RESHOULMNewFR</t>
        </is>
      </c>
      <c r="G245" t="inlineStr">
        <is>
          <t>TJ</t>
        </is>
      </c>
      <c r="H245" t="inlineStr">
        <is>
          <t>TJ / Mm2</t>
        </is>
      </c>
      <c r="I245" t="n">
        <v>2.589789742763163</v>
      </c>
      <c r="J245" t="n">
        <v>2.589789742763163</v>
      </c>
      <c r="K245" t="n">
        <v>2.589789742763163</v>
      </c>
      <c r="L245" t="n">
        <v>2.589789742763163</v>
      </c>
      <c r="M245" t="n">
        <v>2.589789742763163</v>
      </c>
      <c r="N245" t="n">
        <v>2.589789742763163</v>
      </c>
      <c r="O245" t="n">
        <v>2.589789742763163</v>
      </c>
      <c r="P245" t="n">
        <v>2.589789742763163</v>
      </c>
      <c r="Q245" t="n">
        <v>2.589789742763163</v>
      </c>
      <c r="R245" t="n">
        <v>2.589789742763163</v>
      </c>
      <c r="S245" t="n">
        <v>2.589789742763163</v>
      </c>
      <c r="T245" t="n">
        <v>2.589789742763163</v>
      </c>
      <c r="U245" t="n">
        <v>2.589789742763163</v>
      </c>
      <c r="V245" t="n">
        <v>2.589789742763163</v>
      </c>
      <c r="W245" t="n">
        <v>2.589789742763163</v>
      </c>
      <c r="X245" t="n">
        <v>2.589789742763163</v>
      </c>
      <c r="Y245" t="n">
        <v>2.589789742763163</v>
      </c>
      <c r="Z245" t="n">
        <v>2.589789742763163</v>
      </c>
    </row>
    <row r="246">
      <c r="A246" t="inlineStr">
        <is>
          <t>Residential</t>
        </is>
      </c>
      <c r="B246" t="inlineStr">
        <is>
          <t>Apartment</t>
        </is>
      </c>
      <c r="C246" t="inlineStr">
        <is>
          <t>Upper-Middle Income</t>
        </is>
      </c>
      <c r="D246" t="inlineStr">
        <is>
          <t>New</t>
        </is>
      </c>
      <c r="E246" t="inlineStr">
        <is>
          <t>Freezing</t>
        </is>
      </c>
      <c r="F246" t="inlineStr">
        <is>
          <t>RESAPAUMNewFR</t>
        </is>
      </c>
      <c r="G246" t="inlineStr">
        <is>
          <t>TJ</t>
        </is>
      </c>
      <c r="H246" t="inlineStr">
        <is>
          <t>TJ / Mm2</t>
        </is>
      </c>
      <c r="I246" t="n">
        <v>0.7853250420594371</v>
      </c>
      <c r="J246" t="n">
        <v>0.7853250420594371</v>
      </c>
      <c r="K246" t="n">
        <v>0.7853250420594371</v>
      </c>
      <c r="L246" t="n">
        <v>0.7853250420594371</v>
      </c>
      <c r="M246" t="n">
        <v>0.7853250420594371</v>
      </c>
      <c r="N246" t="n">
        <v>0.7853250420594371</v>
      </c>
      <c r="O246" t="n">
        <v>0.7853250420594371</v>
      </c>
      <c r="P246" t="n">
        <v>0.7853250420594371</v>
      </c>
      <c r="Q246" t="n">
        <v>0.7853250420594371</v>
      </c>
      <c r="R246" t="n">
        <v>0.7853250420594371</v>
      </c>
      <c r="S246" t="n">
        <v>0.7853250420594371</v>
      </c>
      <c r="T246" t="n">
        <v>0.7853250420594371</v>
      </c>
      <c r="U246" t="n">
        <v>0.7853250420594371</v>
      </c>
      <c r="V246" t="n">
        <v>0.7853250420594371</v>
      </c>
      <c r="W246" t="n">
        <v>0.7853250420594371</v>
      </c>
      <c r="X246" t="n">
        <v>0.7853250420594371</v>
      </c>
      <c r="Y246" t="n">
        <v>0.7853250420594371</v>
      </c>
      <c r="Z246" t="n">
        <v>0.7853250420594371</v>
      </c>
    </row>
    <row r="247">
      <c r="A247" t="inlineStr">
        <is>
          <t>Residential</t>
        </is>
      </c>
      <c r="B247" t="inlineStr">
        <is>
          <t>House</t>
        </is>
      </c>
      <c r="C247" t="inlineStr">
        <is>
          <t>Upper-Middle Income</t>
        </is>
      </c>
      <c r="D247" t="inlineStr">
        <is>
          <t>New</t>
        </is>
      </c>
      <c r="E247" t="inlineStr">
        <is>
          <t>Freezing</t>
        </is>
      </c>
      <c r="F247" t="inlineStr">
        <is>
          <t>RESHOUUMNewFR</t>
        </is>
      </c>
      <c r="G247" t="inlineStr">
        <is>
          <t>TJ</t>
        </is>
      </c>
      <c r="H247" t="inlineStr">
        <is>
          <t>TJ / Mm2</t>
        </is>
      </c>
      <c r="I247" t="n">
        <v>3.129891070273735</v>
      </c>
      <c r="J247" t="n">
        <v>3.129891070273735</v>
      </c>
      <c r="K247" t="n">
        <v>3.129891070273735</v>
      </c>
      <c r="L247" t="n">
        <v>3.129891070273735</v>
      </c>
      <c r="M247" t="n">
        <v>3.129891070273735</v>
      </c>
      <c r="N247" t="n">
        <v>3.129891070273735</v>
      </c>
      <c r="O247" t="n">
        <v>3.129891070273735</v>
      </c>
      <c r="P247" t="n">
        <v>3.129891070273735</v>
      </c>
      <c r="Q247" t="n">
        <v>3.129891070273735</v>
      </c>
      <c r="R247" t="n">
        <v>3.129891070273735</v>
      </c>
      <c r="S247" t="n">
        <v>3.129891070273735</v>
      </c>
      <c r="T247" t="n">
        <v>3.129891070273735</v>
      </c>
      <c r="U247" t="n">
        <v>3.129891070273735</v>
      </c>
      <c r="V247" t="n">
        <v>3.129891070273735</v>
      </c>
      <c r="W247" t="n">
        <v>3.129891070273735</v>
      </c>
      <c r="X247" t="n">
        <v>3.129891070273735</v>
      </c>
      <c r="Y247" t="n">
        <v>3.129891070273735</v>
      </c>
      <c r="Z247" t="n">
        <v>3.129891070273735</v>
      </c>
    </row>
    <row r="248">
      <c r="A248" t="inlineStr">
        <is>
          <t>Residential</t>
        </is>
      </c>
      <c r="B248" t="inlineStr">
        <is>
          <t>Apartment</t>
        </is>
      </c>
      <c r="C248" t="inlineStr">
        <is>
          <t>High Income</t>
        </is>
      </c>
      <c r="D248" t="inlineStr">
        <is>
          <t>New</t>
        </is>
      </c>
      <c r="E248" t="inlineStr">
        <is>
          <t>Freezing</t>
        </is>
      </c>
      <c r="F248" t="inlineStr">
        <is>
          <t>RESAPAHINewFR</t>
        </is>
      </c>
      <c r="G248" t="inlineStr">
        <is>
          <t>TJ</t>
        </is>
      </c>
      <c r="H248" t="inlineStr">
        <is>
          <t>TJ / Mm2</t>
        </is>
      </c>
      <c r="I248" t="n">
        <v>0.7544676264875434</v>
      </c>
      <c r="J248" t="n">
        <v>0.7544676264875434</v>
      </c>
      <c r="K248" t="n">
        <v>0.7544676264875434</v>
      </c>
      <c r="L248" t="n">
        <v>0.7544676264875434</v>
      </c>
      <c r="M248" t="n">
        <v>0.7544676264875434</v>
      </c>
      <c r="N248" t="n">
        <v>0.7544676264875434</v>
      </c>
      <c r="O248" t="n">
        <v>0.7544676264875434</v>
      </c>
      <c r="P248" t="n">
        <v>0.7544676264875434</v>
      </c>
      <c r="Q248" t="n">
        <v>0.7544676264875434</v>
      </c>
      <c r="R248" t="n">
        <v>0.7544676264875434</v>
      </c>
      <c r="S248" t="n">
        <v>0.7544676264875434</v>
      </c>
      <c r="T248" t="n">
        <v>0.7544676264875434</v>
      </c>
      <c r="U248" t="n">
        <v>0.7544676264875434</v>
      </c>
      <c r="V248" t="n">
        <v>0.7544676264875434</v>
      </c>
      <c r="W248" t="n">
        <v>0.7544676264875434</v>
      </c>
      <c r="X248" t="n">
        <v>0.7544676264875434</v>
      </c>
      <c r="Y248" t="n">
        <v>0.7544676264875434</v>
      </c>
      <c r="Z248" t="n">
        <v>0.7544676264875434</v>
      </c>
    </row>
    <row r="249">
      <c r="A249" t="inlineStr">
        <is>
          <t>Residential</t>
        </is>
      </c>
      <c r="B249" t="inlineStr">
        <is>
          <t>House</t>
        </is>
      </c>
      <c r="C249" t="inlineStr">
        <is>
          <t>High Income</t>
        </is>
      </c>
      <c r="D249" t="inlineStr">
        <is>
          <t>New</t>
        </is>
      </c>
      <c r="E249" t="inlineStr">
        <is>
          <t>Freezing</t>
        </is>
      </c>
      <c r="F249" t="inlineStr">
        <is>
          <t>RESHOUHINewFR</t>
        </is>
      </c>
      <c r="G249" t="inlineStr">
        <is>
          <t>TJ</t>
        </is>
      </c>
      <c r="H249" t="inlineStr">
        <is>
          <t>TJ / Mm2</t>
        </is>
      </c>
      <c r="I249" t="n">
        <v>2.390416581147838</v>
      </c>
      <c r="J249" t="n">
        <v>2.390416581147838</v>
      </c>
      <c r="K249" t="n">
        <v>2.390416581147838</v>
      </c>
      <c r="L249" t="n">
        <v>2.390416581147838</v>
      </c>
      <c r="M249" t="n">
        <v>2.390416581147838</v>
      </c>
      <c r="N249" t="n">
        <v>2.390416581147838</v>
      </c>
      <c r="O249" t="n">
        <v>2.390416581147838</v>
      </c>
      <c r="P249" t="n">
        <v>2.390416581147838</v>
      </c>
      <c r="Q249" t="n">
        <v>2.390416581147838</v>
      </c>
      <c r="R249" t="n">
        <v>2.390416581147838</v>
      </c>
      <c r="S249" t="n">
        <v>2.390416581147838</v>
      </c>
      <c r="T249" t="n">
        <v>2.390416581147838</v>
      </c>
      <c r="U249" t="n">
        <v>2.390416581147838</v>
      </c>
      <c r="V249" t="n">
        <v>2.390416581147838</v>
      </c>
      <c r="W249" t="n">
        <v>2.390416581147838</v>
      </c>
      <c r="X249" t="n">
        <v>2.390416581147838</v>
      </c>
      <c r="Y249" t="n">
        <v>2.390416581147838</v>
      </c>
      <c r="Z249" t="n">
        <v>2.390416581147838</v>
      </c>
    </row>
    <row r="250">
      <c r="A250" t="inlineStr">
        <is>
          <t>Residential</t>
        </is>
      </c>
      <c r="B250" t="inlineStr">
        <is>
          <t>Apartment</t>
        </is>
      </c>
      <c r="C250" t="inlineStr">
        <is>
          <t>Low Income</t>
        </is>
      </c>
      <c r="D250" t="inlineStr">
        <is>
          <t>New</t>
        </is>
      </c>
      <c r="E250" t="inlineStr">
        <is>
          <t>Cooking</t>
        </is>
      </c>
      <c r="F250" t="inlineStr">
        <is>
          <t>RESAPALONewCK</t>
        </is>
      </c>
      <c r="G250" t="inlineStr">
        <is>
          <t>TJ</t>
        </is>
      </c>
      <c r="H250" t="inlineStr">
        <is>
          <t>TJ / Mm2</t>
        </is>
      </c>
      <c r="I250" t="n">
        <v>15.69807656412491</v>
      </c>
      <c r="J250" t="n">
        <v>15.69807656412491</v>
      </c>
      <c r="K250" t="n">
        <v>15.69807656412491</v>
      </c>
      <c r="L250" t="n">
        <v>15.69807656412491</v>
      </c>
      <c r="M250" t="n">
        <v>15.69807656412491</v>
      </c>
      <c r="N250" t="n">
        <v>15.69807656412491</v>
      </c>
      <c r="O250" t="n">
        <v>15.69807656412491</v>
      </c>
      <c r="P250" t="n">
        <v>15.69807656412491</v>
      </c>
      <c r="Q250" t="n">
        <v>15.69807656412491</v>
      </c>
      <c r="R250" t="n">
        <v>15.69807656412491</v>
      </c>
      <c r="S250" t="n">
        <v>15.69807656412491</v>
      </c>
      <c r="T250" t="n">
        <v>15.69807656412491</v>
      </c>
      <c r="U250" t="n">
        <v>15.69807656412491</v>
      </c>
      <c r="V250" t="n">
        <v>15.69807656412491</v>
      </c>
      <c r="W250" t="n">
        <v>15.69807656412491</v>
      </c>
      <c r="X250" t="n">
        <v>15.69807656412491</v>
      </c>
      <c r="Y250" t="n">
        <v>15.69807656412491</v>
      </c>
      <c r="Z250" t="n">
        <v>15.69807656412491</v>
      </c>
    </row>
    <row r="251">
      <c r="A251" t="inlineStr">
        <is>
          <t>Residential</t>
        </is>
      </c>
      <c r="B251" t="inlineStr">
        <is>
          <t>House</t>
        </is>
      </c>
      <c r="C251" t="inlineStr">
        <is>
          <t>Low Income</t>
        </is>
      </c>
      <c r="D251" t="inlineStr">
        <is>
          <t>New</t>
        </is>
      </c>
      <c r="E251" t="inlineStr">
        <is>
          <t>Cooking</t>
        </is>
      </c>
      <c r="F251" t="inlineStr">
        <is>
          <t>RESHOULONewCK</t>
        </is>
      </c>
      <c r="G251" t="inlineStr">
        <is>
          <t>TJ</t>
        </is>
      </c>
      <c r="H251" t="inlineStr">
        <is>
          <t>TJ / Mm2</t>
        </is>
      </c>
      <c r="I251" t="n">
        <v>7.700710368883917</v>
      </c>
      <c r="J251" t="n">
        <v>7.700710368883917</v>
      </c>
      <c r="K251" t="n">
        <v>7.700710368883917</v>
      </c>
      <c r="L251" t="n">
        <v>7.700710368883917</v>
      </c>
      <c r="M251" t="n">
        <v>7.700710368883917</v>
      </c>
      <c r="N251" t="n">
        <v>7.700710368883917</v>
      </c>
      <c r="O251" t="n">
        <v>7.700710368883917</v>
      </c>
      <c r="P251" t="n">
        <v>7.700710368883917</v>
      </c>
      <c r="Q251" t="n">
        <v>7.700710368883917</v>
      </c>
      <c r="R251" t="n">
        <v>7.700710368883917</v>
      </c>
      <c r="S251" t="n">
        <v>7.700710368883917</v>
      </c>
      <c r="T251" t="n">
        <v>7.700710368883917</v>
      </c>
      <c r="U251" t="n">
        <v>7.700710368883917</v>
      </c>
      <c r="V251" t="n">
        <v>7.700710368883917</v>
      </c>
      <c r="W251" t="n">
        <v>7.700710368883917</v>
      </c>
      <c r="X251" t="n">
        <v>7.700710368883917</v>
      </c>
      <c r="Y251" t="n">
        <v>7.700710368883917</v>
      </c>
      <c r="Z251" t="n">
        <v>7.700710368883917</v>
      </c>
    </row>
    <row r="252">
      <c r="A252" t="inlineStr">
        <is>
          <t>Residential</t>
        </is>
      </c>
      <c r="B252" t="inlineStr">
        <is>
          <t>Apartment</t>
        </is>
      </c>
      <c r="C252" t="inlineStr">
        <is>
          <t>Lower-Middle Income</t>
        </is>
      </c>
      <c r="D252" t="inlineStr">
        <is>
          <t>New</t>
        </is>
      </c>
      <c r="E252" t="inlineStr">
        <is>
          <t>Cooking</t>
        </is>
      </c>
      <c r="F252" t="inlineStr">
        <is>
          <t>RESAPALMNewCK</t>
        </is>
      </c>
      <c r="G252" t="inlineStr">
        <is>
          <t>TJ</t>
        </is>
      </c>
      <c r="H252" t="inlineStr">
        <is>
          <t>TJ / Mm2</t>
        </is>
      </c>
      <c r="I252" t="n">
        <v>17.31697416888775</v>
      </c>
      <c r="J252" t="n">
        <v>17.31697416888775</v>
      </c>
      <c r="K252" t="n">
        <v>17.31697416888775</v>
      </c>
      <c r="L252" t="n">
        <v>17.31697416888775</v>
      </c>
      <c r="M252" t="n">
        <v>17.31697416888775</v>
      </c>
      <c r="N252" t="n">
        <v>17.31697416888775</v>
      </c>
      <c r="O252" t="n">
        <v>17.31697416888775</v>
      </c>
      <c r="P252" t="n">
        <v>17.31697416888775</v>
      </c>
      <c r="Q252" t="n">
        <v>17.31697416888775</v>
      </c>
      <c r="R252" t="n">
        <v>17.31697416888775</v>
      </c>
      <c r="S252" t="n">
        <v>17.31697416888775</v>
      </c>
      <c r="T252" t="n">
        <v>17.31697416888775</v>
      </c>
      <c r="U252" t="n">
        <v>17.31697416888775</v>
      </c>
      <c r="V252" t="n">
        <v>17.31697416888775</v>
      </c>
      <c r="W252" t="n">
        <v>17.31697416888775</v>
      </c>
      <c r="X252" t="n">
        <v>17.31697416888775</v>
      </c>
      <c r="Y252" t="n">
        <v>17.31697416888775</v>
      </c>
      <c r="Z252" t="n">
        <v>17.31697416888775</v>
      </c>
    </row>
    <row r="253">
      <c r="A253" t="inlineStr">
        <is>
          <t>Residential</t>
        </is>
      </c>
      <c r="B253" t="inlineStr">
        <is>
          <t>House</t>
        </is>
      </c>
      <c r="C253" t="inlineStr">
        <is>
          <t>Lower-Middle Income</t>
        </is>
      </c>
      <c r="D253" t="inlineStr">
        <is>
          <t>New</t>
        </is>
      </c>
      <c r="E253" t="inlineStr">
        <is>
          <t>Cooking</t>
        </is>
      </c>
      <c r="F253" t="inlineStr">
        <is>
          <t>RESHOULMNewCK</t>
        </is>
      </c>
      <c r="G253" t="inlineStr">
        <is>
          <t>TJ</t>
        </is>
      </c>
      <c r="H253" t="inlineStr">
        <is>
          <t>TJ / Mm2</t>
        </is>
      </c>
      <c r="I253" t="n">
        <v>9.124026078639854</v>
      </c>
      <c r="J253" t="n">
        <v>9.124026078639854</v>
      </c>
      <c r="K253" t="n">
        <v>9.124026078639854</v>
      </c>
      <c r="L253" t="n">
        <v>9.124026078639854</v>
      </c>
      <c r="M253" t="n">
        <v>9.124026078639854</v>
      </c>
      <c r="N253" t="n">
        <v>9.124026078639854</v>
      </c>
      <c r="O253" t="n">
        <v>9.124026078639854</v>
      </c>
      <c r="P253" t="n">
        <v>9.124026078639854</v>
      </c>
      <c r="Q253" t="n">
        <v>9.124026078639854</v>
      </c>
      <c r="R253" t="n">
        <v>9.124026078639854</v>
      </c>
      <c r="S253" t="n">
        <v>9.124026078639854</v>
      </c>
      <c r="T253" t="n">
        <v>9.124026078639854</v>
      </c>
      <c r="U253" t="n">
        <v>9.124026078639854</v>
      </c>
      <c r="V253" t="n">
        <v>9.124026078639854</v>
      </c>
      <c r="W253" t="n">
        <v>9.124026078639854</v>
      </c>
      <c r="X253" t="n">
        <v>9.124026078639854</v>
      </c>
      <c r="Y253" t="n">
        <v>9.124026078639854</v>
      </c>
      <c r="Z253" t="n">
        <v>9.124026078639854</v>
      </c>
    </row>
    <row r="254">
      <c r="A254" t="inlineStr">
        <is>
          <t>Residential</t>
        </is>
      </c>
      <c r="B254" t="inlineStr">
        <is>
          <t>Apartment</t>
        </is>
      </c>
      <c r="C254" t="inlineStr">
        <is>
          <t>Upper-Middle Income</t>
        </is>
      </c>
      <c r="D254" t="inlineStr">
        <is>
          <t>New</t>
        </is>
      </c>
      <c r="E254" t="inlineStr">
        <is>
          <t>Cooking</t>
        </is>
      </c>
      <c r="F254" t="inlineStr">
        <is>
          <t>RESAPAUMNewCK</t>
        </is>
      </c>
      <c r="G254" t="inlineStr">
        <is>
          <t>TJ</t>
        </is>
      </c>
      <c r="H254" t="inlineStr">
        <is>
          <t>TJ / Mm2</t>
        </is>
      </c>
      <c r="I254" t="n">
        <v>18.22894537427072</v>
      </c>
      <c r="J254" t="n">
        <v>18.22894537427072</v>
      </c>
      <c r="K254" t="n">
        <v>18.22894537427072</v>
      </c>
      <c r="L254" t="n">
        <v>18.22894537427072</v>
      </c>
      <c r="M254" t="n">
        <v>18.22894537427072</v>
      </c>
      <c r="N254" t="n">
        <v>18.22894537427072</v>
      </c>
      <c r="O254" t="n">
        <v>18.22894537427072</v>
      </c>
      <c r="P254" t="n">
        <v>18.22894537427072</v>
      </c>
      <c r="Q254" t="n">
        <v>18.22894537427072</v>
      </c>
      <c r="R254" t="n">
        <v>18.22894537427072</v>
      </c>
      <c r="S254" t="n">
        <v>18.22894537427072</v>
      </c>
      <c r="T254" t="n">
        <v>18.22894537427072</v>
      </c>
      <c r="U254" t="n">
        <v>18.22894537427072</v>
      </c>
      <c r="V254" t="n">
        <v>18.22894537427072</v>
      </c>
      <c r="W254" t="n">
        <v>18.22894537427072</v>
      </c>
      <c r="X254" t="n">
        <v>18.22894537427072</v>
      </c>
      <c r="Y254" t="n">
        <v>18.22894537427072</v>
      </c>
      <c r="Z254" t="n">
        <v>18.22894537427072</v>
      </c>
    </row>
    <row r="255">
      <c r="A255" t="inlineStr">
        <is>
          <t>Residential</t>
        </is>
      </c>
      <c r="B255" t="inlineStr">
        <is>
          <t>House</t>
        </is>
      </c>
      <c r="C255" t="inlineStr">
        <is>
          <t>Upper-Middle Income</t>
        </is>
      </c>
      <c r="D255" t="inlineStr">
        <is>
          <t>New</t>
        </is>
      </c>
      <c r="E255" t="inlineStr">
        <is>
          <t>Cooking</t>
        </is>
      </c>
      <c r="F255" t="inlineStr">
        <is>
          <t>RESHOUUMNewCK</t>
        </is>
      </c>
      <c r="G255" t="inlineStr">
        <is>
          <t>TJ</t>
        </is>
      </c>
      <c r="H255" t="inlineStr">
        <is>
          <t>TJ / Mm2</t>
        </is>
      </c>
      <c r="I255" t="n">
        <v>10.468872162878</v>
      </c>
      <c r="J255" t="n">
        <v>10.468872162878</v>
      </c>
      <c r="K255" t="n">
        <v>10.468872162878</v>
      </c>
      <c r="L255" t="n">
        <v>10.468872162878</v>
      </c>
      <c r="M255" t="n">
        <v>10.468872162878</v>
      </c>
      <c r="N255" t="n">
        <v>10.468872162878</v>
      </c>
      <c r="O255" t="n">
        <v>10.468872162878</v>
      </c>
      <c r="P255" t="n">
        <v>10.468872162878</v>
      </c>
      <c r="Q255" t="n">
        <v>10.468872162878</v>
      </c>
      <c r="R255" t="n">
        <v>10.468872162878</v>
      </c>
      <c r="S255" t="n">
        <v>10.468872162878</v>
      </c>
      <c r="T255" t="n">
        <v>10.468872162878</v>
      </c>
      <c r="U255" t="n">
        <v>10.468872162878</v>
      </c>
      <c r="V255" t="n">
        <v>10.468872162878</v>
      </c>
      <c r="W255" t="n">
        <v>10.468872162878</v>
      </c>
      <c r="X255" t="n">
        <v>10.468872162878</v>
      </c>
      <c r="Y255" t="n">
        <v>10.468872162878</v>
      </c>
      <c r="Z255" t="n">
        <v>10.468872162878</v>
      </c>
    </row>
    <row r="256">
      <c r="A256" t="inlineStr">
        <is>
          <t>Residential</t>
        </is>
      </c>
      <c r="B256" t="inlineStr">
        <is>
          <t>Apartment</t>
        </is>
      </c>
      <c r="C256" t="inlineStr">
        <is>
          <t>High Income</t>
        </is>
      </c>
      <c r="D256" t="inlineStr">
        <is>
          <t>New</t>
        </is>
      </c>
      <c r="E256" t="inlineStr">
        <is>
          <t>Cooking</t>
        </is>
      </c>
      <c r="F256" t="inlineStr">
        <is>
          <t>RESAPAHINewCK</t>
        </is>
      </c>
      <c r="G256" t="inlineStr">
        <is>
          <t>TJ</t>
        </is>
      </c>
      <c r="H256" t="inlineStr">
        <is>
          <t>TJ / Mm2</t>
        </is>
      </c>
      <c r="I256" t="n">
        <v>30.09016923551895</v>
      </c>
      <c r="J256" t="n">
        <v>30.09016923551895</v>
      </c>
      <c r="K256" t="n">
        <v>30.09016923551895</v>
      </c>
      <c r="L256" t="n">
        <v>30.09016923551895</v>
      </c>
      <c r="M256" t="n">
        <v>30.09016923551895</v>
      </c>
      <c r="N256" t="n">
        <v>30.09016923551895</v>
      </c>
      <c r="O256" t="n">
        <v>30.09016923551895</v>
      </c>
      <c r="P256" t="n">
        <v>30.09016923551895</v>
      </c>
      <c r="Q256" t="n">
        <v>30.09016923551895</v>
      </c>
      <c r="R256" t="n">
        <v>30.09016923551895</v>
      </c>
      <c r="S256" t="n">
        <v>30.09016923551895</v>
      </c>
      <c r="T256" t="n">
        <v>30.09016923551895</v>
      </c>
      <c r="U256" t="n">
        <v>30.09016923551895</v>
      </c>
      <c r="V256" t="n">
        <v>30.09016923551895</v>
      </c>
      <c r="W256" t="n">
        <v>30.09016923551895</v>
      </c>
      <c r="X256" t="n">
        <v>30.09016923551895</v>
      </c>
      <c r="Y256" t="n">
        <v>30.09016923551895</v>
      </c>
      <c r="Z256" t="n">
        <v>30.09016923551895</v>
      </c>
    </row>
    <row r="257">
      <c r="A257" t="inlineStr">
        <is>
          <t>Residential</t>
        </is>
      </c>
      <c r="B257" t="inlineStr">
        <is>
          <t>House</t>
        </is>
      </c>
      <c r="C257" t="inlineStr">
        <is>
          <t>High Income</t>
        </is>
      </c>
      <c r="D257" t="inlineStr">
        <is>
          <t>New</t>
        </is>
      </c>
      <c r="E257" t="inlineStr">
        <is>
          <t>Cooking</t>
        </is>
      </c>
      <c r="F257" t="inlineStr">
        <is>
          <t>RESHOUHINewCK</t>
        </is>
      </c>
      <c r="G257" t="inlineStr">
        <is>
          <t>TJ</t>
        </is>
      </c>
      <c r="H257" t="inlineStr">
        <is>
          <t>TJ / Mm2</t>
        </is>
      </c>
      <c r="I257" t="n">
        <v>11.51519706006451</v>
      </c>
      <c r="J257" t="n">
        <v>11.51519706006451</v>
      </c>
      <c r="K257" t="n">
        <v>11.51519706006451</v>
      </c>
      <c r="L257" t="n">
        <v>11.51519706006451</v>
      </c>
      <c r="M257" t="n">
        <v>11.51519706006451</v>
      </c>
      <c r="N257" t="n">
        <v>11.51519706006451</v>
      </c>
      <c r="O257" t="n">
        <v>11.51519706006451</v>
      </c>
      <c r="P257" t="n">
        <v>11.51519706006451</v>
      </c>
      <c r="Q257" t="n">
        <v>11.51519706006451</v>
      </c>
      <c r="R257" t="n">
        <v>11.51519706006451</v>
      </c>
      <c r="S257" t="n">
        <v>11.51519706006451</v>
      </c>
      <c r="T257" t="n">
        <v>11.51519706006451</v>
      </c>
      <c r="U257" t="n">
        <v>11.51519706006451</v>
      </c>
      <c r="V257" t="n">
        <v>11.51519706006451</v>
      </c>
      <c r="W257" t="n">
        <v>11.51519706006451</v>
      </c>
      <c r="X257" t="n">
        <v>11.51519706006451</v>
      </c>
      <c r="Y257" t="n">
        <v>11.51519706006451</v>
      </c>
      <c r="Z257" t="n">
        <v>11.51519706006451</v>
      </c>
    </row>
    <row r="258">
      <c r="A258" t="inlineStr">
        <is>
          <t>Residential</t>
        </is>
      </c>
      <c r="B258" t="inlineStr">
        <is>
          <t>Apartment</t>
        </is>
      </c>
      <c r="C258" t="inlineStr">
        <is>
          <t>Low Income</t>
        </is>
      </c>
      <c r="D258" t="inlineStr">
        <is>
          <t>New</t>
        </is>
      </c>
      <c r="E258" t="inlineStr">
        <is>
          <t>Clothes washing</t>
        </is>
      </c>
      <c r="F258" t="inlineStr">
        <is>
          <t>RESAPALONewCW</t>
        </is>
      </c>
      <c r="G258" t="inlineStr">
        <is>
          <t>TJ</t>
        </is>
      </c>
      <c r="H258" t="inlineStr">
        <is>
          <t>TJ / Mm2</t>
        </is>
      </c>
      <c r="I258" t="n">
        <v>0.4279597437797997</v>
      </c>
      <c r="J258" t="n">
        <v>0.4279597437797997</v>
      </c>
      <c r="K258" t="n">
        <v>0.4279597437797997</v>
      </c>
      <c r="L258" t="n">
        <v>0.4279597437797997</v>
      </c>
      <c r="M258" t="n">
        <v>0.4279597437797997</v>
      </c>
      <c r="N258" t="n">
        <v>0.4279597437797997</v>
      </c>
      <c r="O258" t="n">
        <v>0.4279597437797997</v>
      </c>
      <c r="P258" t="n">
        <v>0.4279597437797997</v>
      </c>
      <c r="Q258" t="n">
        <v>0.4279597437797997</v>
      </c>
      <c r="R258" t="n">
        <v>0.4279597437797997</v>
      </c>
      <c r="S258" t="n">
        <v>0.4279597437797997</v>
      </c>
      <c r="T258" t="n">
        <v>0.4279597437797997</v>
      </c>
      <c r="U258" t="n">
        <v>0.4279597437797997</v>
      </c>
      <c r="V258" t="n">
        <v>0.4279597437797997</v>
      </c>
      <c r="W258" t="n">
        <v>0.4279597437797997</v>
      </c>
      <c r="X258" t="n">
        <v>0.4279597437797997</v>
      </c>
      <c r="Y258" t="n">
        <v>0.4279597437797997</v>
      </c>
      <c r="Z258" t="n">
        <v>0.4279597437797997</v>
      </c>
    </row>
    <row r="259">
      <c r="A259" t="inlineStr">
        <is>
          <t>Residential</t>
        </is>
      </c>
      <c r="B259" t="inlineStr">
        <is>
          <t>House</t>
        </is>
      </c>
      <c r="C259" t="inlineStr">
        <is>
          <t>Low Income</t>
        </is>
      </c>
      <c r="D259" t="inlineStr">
        <is>
          <t>New</t>
        </is>
      </c>
      <c r="E259" t="inlineStr">
        <is>
          <t>Clothes washing</t>
        </is>
      </c>
      <c r="F259" t="inlineStr">
        <is>
          <t>RESHOULONewCW</t>
        </is>
      </c>
      <c r="G259" t="inlineStr">
        <is>
          <t>TJ</t>
        </is>
      </c>
      <c r="H259" t="inlineStr">
        <is>
          <t>TJ / Mm2</t>
        </is>
      </c>
      <c r="I259" t="n">
        <v>1.109681349454257</v>
      </c>
      <c r="J259" t="n">
        <v>1.109681349454257</v>
      </c>
      <c r="K259" t="n">
        <v>1.109681349454257</v>
      </c>
      <c r="L259" t="n">
        <v>1.109681349454257</v>
      </c>
      <c r="M259" t="n">
        <v>1.109681349454257</v>
      </c>
      <c r="N259" t="n">
        <v>1.109681349454257</v>
      </c>
      <c r="O259" t="n">
        <v>1.109681349454257</v>
      </c>
      <c r="P259" t="n">
        <v>1.109681349454257</v>
      </c>
      <c r="Q259" t="n">
        <v>1.109681349454257</v>
      </c>
      <c r="R259" t="n">
        <v>1.109681349454257</v>
      </c>
      <c r="S259" t="n">
        <v>1.109681349454257</v>
      </c>
      <c r="T259" t="n">
        <v>1.109681349454257</v>
      </c>
      <c r="U259" t="n">
        <v>1.109681349454257</v>
      </c>
      <c r="V259" t="n">
        <v>1.109681349454257</v>
      </c>
      <c r="W259" t="n">
        <v>1.109681349454257</v>
      </c>
      <c r="X259" t="n">
        <v>1.109681349454257</v>
      </c>
      <c r="Y259" t="n">
        <v>1.109681349454257</v>
      </c>
      <c r="Z259" t="n">
        <v>1.109681349454257</v>
      </c>
    </row>
    <row r="260">
      <c r="A260" t="inlineStr">
        <is>
          <t>Residential</t>
        </is>
      </c>
      <c r="B260" t="inlineStr">
        <is>
          <t>Apartment</t>
        </is>
      </c>
      <c r="C260" t="inlineStr">
        <is>
          <t>Lower-Middle Income</t>
        </is>
      </c>
      <c r="D260" t="inlineStr">
        <is>
          <t>New</t>
        </is>
      </c>
      <c r="E260" t="inlineStr">
        <is>
          <t>Clothes washing</t>
        </is>
      </c>
      <c r="F260" t="inlineStr">
        <is>
          <t>RESAPALMNewCW</t>
        </is>
      </c>
      <c r="G260" t="inlineStr">
        <is>
          <t>TJ</t>
        </is>
      </c>
      <c r="H260" t="inlineStr">
        <is>
          <t>TJ / Mm2</t>
        </is>
      </c>
      <c r="I260" t="n">
        <v>0.3028829559580305</v>
      </c>
      <c r="J260" t="n">
        <v>0.3028829559580305</v>
      </c>
      <c r="K260" t="n">
        <v>0.3028829559580305</v>
      </c>
      <c r="L260" t="n">
        <v>0.3028829559580305</v>
      </c>
      <c r="M260" t="n">
        <v>0.3028829559580305</v>
      </c>
      <c r="N260" t="n">
        <v>0.3028829559580305</v>
      </c>
      <c r="O260" t="n">
        <v>0.3028829559580305</v>
      </c>
      <c r="P260" t="n">
        <v>0.3028829559580305</v>
      </c>
      <c r="Q260" t="n">
        <v>0.3028829559580305</v>
      </c>
      <c r="R260" t="n">
        <v>0.3028829559580305</v>
      </c>
      <c r="S260" t="n">
        <v>0.3028829559580305</v>
      </c>
      <c r="T260" t="n">
        <v>0.3028829559580305</v>
      </c>
      <c r="U260" t="n">
        <v>0.3028829559580305</v>
      </c>
      <c r="V260" t="n">
        <v>0.3028829559580305</v>
      </c>
      <c r="W260" t="n">
        <v>0.3028829559580305</v>
      </c>
      <c r="X260" t="n">
        <v>0.3028829559580305</v>
      </c>
      <c r="Y260" t="n">
        <v>0.3028829559580305</v>
      </c>
      <c r="Z260" t="n">
        <v>0.3028829559580305</v>
      </c>
    </row>
    <row r="261">
      <c r="A261" t="inlineStr">
        <is>
          <t>Residential</t>
        </is>
      </c>
      <c r="B261" t="inlineStr">
        <is>
          <t>House</t>
        </is>
      </c>
      <c r="C261" t="inlineStr">
        <is>
          <t>Lower-Middle Income</t>
        </is>
      </c>
      <c r="D261" t="inlineStr">
        <is>
          <t>New</t>
        </is>
      </c>
      <c r="E261" t="inlineStr">
        <is>
          <t>Clothes washing</t>
        </is>
      </c>
      <c r="F261" t="inlineStr">
        <is>
          <t>RESHOULMNewCW</t>
        </is>
      </c>
      <c r="G261" t="inlineStr">
        <is>
          <t>TJ</t>
        </is>
      </c>
      <c r="H261" t="inlineStr">
        <is>
          <t>TJ / Mm2</t>
        </is>
      </c>
      <c r="I261" t="n">
        <v>1.187143590188986</v>
      </c>
      <c r="J261" t="n">
        <v>1.187143590188986</v>
      </c>
      <c r="K261" t="n">
        <v>1.187143590188986</v>
      </c>
      <c r="L261" t="n">
        <v>1.187143590188986</v>
      </c>
      <c r="M261" t="n">
        <v>1.187143590188986</v>
      </c>
      <c r="N261" t="n">
        <v>1.187143590188986</v>
      </c>
      <c r="O261" t="n">
        <v>1.187143590188986</v>
      </c>
      <c r="P261" t="n">
        <v>1.187143590188986</v>
      </c>
      <c r="Q261" t="n">
        <v>1.187143590188986</v>
      </c>
      <c r="R261" t="n">
        <v>1.187143590188986</v>
      </c>
      <c r="S261" t="n">
        <v>1.187143590188986</v>
      </c>
      <c r="T261" t="n">
        <v>1.187143590188986</v>
      </c>
      <c r="U261" t="n">
        <v>1.187143590188986</v>
      </c>
      <c r="V261" t="n">
        <v>1.187143590188986</v>
      </c>
      <c r="W261" t="n">
        <v>1.187143590188986</v>
      </c>
      <c r="X261" t="n">
        <v>1.187143590188986</v>
      </c>
      <c r="Y261" t="n">
        <v>1.187143590188986</v>
      </c>
      <c r="Z261" t="n">
        <v>1.187143590188986</v>
      </c>
    </row>
    <row r="262">
      <c r="A262" t="inlineStr">
        <is>
          <t>Residential</t>
        </is>
      </c>
      <c r="B262" t="inlineStr">
        <is>
          <t>Apartment</t>
        </is>
      </c>
      <c r="C262" t="inlineStr">
        <is>
          <t>Upper-Middle Income</t>
        </is>
      </c>
      <c r="D262" t="inlineStr">
        <is>
          <t>New</t>
        </is>
      </c>
      <c r="E262" t="inlineStr">
        <is>
          <t>Clothes washing</t>
        </is>
      </c>
      <c r="F262" t="inlineStr">
        <is>
          <t>RESAPAUMNewCW</t>
        </is>
      </c>
      <c r="G262" t="inlineStr">
        <is>
          <t>TJ</t>
        </is>
      </c>
      <c r="H262" t="inlineStr">
        <is>
          <t>TJ / Mm2</t>
        </is>
      </c>
      <c r="I262" t="n">
        <v>0.3271175146297138</v>
      </c>
      <c r="J262" t="n">
        <v>0.3271175146297138</v>
      </c>
      <c r="K262" t="n">
        <v>0.3271175146297138</v>
      </c>
      <c r="L262" t="n">
        <v>0.3271175146297138</v>
      </c>
      <c r="M262" t="n">
        <v>0.3271175146297138</v>
      </c>
      <c r="N262" t="n">
        <v>0.3271175146297138</v>
      </c>
      <c r="O262" t="n">
        <v>0.3271175146297138</v>
      </c>
      <c r="P262" t="n">
        <v>0.3271175146297138</v>
      </c>
      <c r="Q262" t="n">
        <v>0.3271175146297138</v>
      </c>
      <c r="R262" t="n">
        <v>0.3271175146297138</v>
      </c>
      <c r="S262" t="n">
        <v>0.3271175146297138</v>
      </c>
      <c r="T262" t="n">
        <v>0.3271175146297138</v>
      </c>
      <c r="U262" t="n">
        <v>0.3271175146297138</v>
      </c>
      <c r="V262" t="n">
        <v>0.3271175146297138</v>
      </c>
      <c r="W262" t="n">
        <v>0.3271175146297138</v>
      </c>
      <c r="X262" t="n">
        <v>0.3271175146297138</v>
      </c>
      <c r="Y262" t="n">
        <v>0.3271175146297138</v>
      </c>
      <c r="Z262" t="n">
        <v>0.3271175146297138</v>
      </c>
    </row>
    <row r="263">
      <c r="A263" t="inlineStr">
        <is>
          <t>Residential</t>
        </is>
      </c>
      <c r="B263" t="inlineStr">
        <is>
          <t>House</t>
        </is>
      </c>
      <c r="C263" t="inlineStr">
        <is>
          <t>Upper-Middle Income</t>
        </is>
      </c>
      <c r="D263" t="inlineStr">
        <is>
          <t>New</t>
        </is>
      </c>
      <c r="E263" t="inlineStr">
        <is>
          <t>Clothes washing</t>
        </is>
      </c>
      <c r="F263" t="inlineStr">
        <is>
          <t>RESHOUUMNewCW</t>
        </is>
      </c>
      <c r="G263" t="inlineStr">
        <is>
          <t>TJ</t>
        </is>
      </c>
      <c r="H263" t="inlineStr">
        <is>
          <t>TJ / Mm2</t>
        </is>
      </c>
      <c r="I263" t="n">
        <v>1.263841094462333</v>
      </c>
      <c r="J263" t="n">
        <v>1.263841094462333</v>
      </c>
      <c r="K263" t="n">
        <v>1.263841094462333</v>
      </c>
      <c r="L263" t="n">
        <v>1.263841094462333</v>
      </c>
      <c r="M263" t="n">
        <v>1.263841094462333</v>
      </c>
      <c r="N263" t="n">
        <v>1.263841094462333</v>
      </c>
      <c r="O263" t="n">
        <v>1.263841094462333</v>
      </c>
      <c r="P263" t="n">
        <v>1.263841094462333</v>
      </c>
      <c r="Q263" t="n">
        <v>1.263841094462333</v>
      </c>
      <c r="R263" t="n">
        <v>1.263841094462333</v>
      </c>
      <c r="S263" t="n">
        <v>1.263841094462333</v>
      </c>
      <c r="T263" t="n">
        <v>1.263841094462333</v>
      </c>
      <c r="U263" t="n">
        <v>1.263841094462333</v>
      </c>
      <c r="V263" t="n">
        <v>1.263841094462333</v>
      </c>
      <c r="W263" t="n">
        <v>1.263841094462333</v>
      </c>
      <c r="X263" t="n">
        <v>1.263841094462333</v>
      </c>
      <c r="Y263" t="n">
        <v>1.263841094462333</v>
      </c>
      <c r="Z263" t="n">
        <v>1.263841094462333</v>
      </c>
    </row>
    <row r="264">
      <c r="A264" t="inlineStr">
        <is>
          <t>Residential</t>
        </is>
      </c>
      <c r="B264" t="inlineStr">
        <is>
          <t>Apartment</t>
        </is>
      </c>
      <c r="C264" t="inlineStr">
        <is>
          <t>High Income</t>
        </is>
      </c>
      <c r="D264" t="inlineStr">
        <is>
          <t>New</t>
        </is>
      </c>
      <c r="E264" t="inlineStr">
        <is>
          <t>Clothes washing</t>
        </is>
      </c>
      <c r="F264" t="inlineStr">
        <is>
          <t>RESAPAHINewCW</t>
        </is>
      </c>
      <c r="G264" t="inlineStr">
        <is>
          <t>TJ</t>
        </is>
      </c>
      <c r="H264" t="inlineStr">
        <is>
          <t>TJ / Mm2</t>
        </is>
      </c>
      <c r="I264" t="n">
        <v>0.504896132475911</v>
      </c>
      <c r="J264" t="n">
        <v>0.504896132475911</v>
      </c>
      <c r="K264" t="n">
        <v>0.504896132475911</v>
      </c>
      <c r="L264" t="n">
        <v>0.504896132475911</v>
      </c>
      <c r="M264" t="n">
        <v>0.504896132475911</v>
      </c>
      <c r="N264" t="n">
        <v>0.504896132475911</v>
      </c>
      <c r="O264" t="n">
        <v>0.504896132475911</v>
      </c>
      <c r="P264" t="n">
        <v>0.504896132475911</v>
      </c>
      <c r="Q264" t="n">
        <v>0.504896132475911</v>
      </c>
      <c r="R264" t="n">
        <v>0.504896132475911</v>
      </c>
      <c r="S264" t="n">
        <v>0.504896132475911</v>
      </c>
      <c r="T264" t="n">
        <v>0.504896132475911</v>
      </c>
      <c r="U264" t="n">
        <v>0.504896132475911</v>
      </c>
      <c r="V264" t="n">
        <v>0.504896132475911</v>
      </c>
      <c r="W264" t="n">
        <v>0.504896132475911</v>
      </c>
      <c r="X264" t="n">
        <v>0.504896132475911</v>
      </c>
      <c r="Y264" t="n">
        <v>0.504896132475911</v>
      </c>
      <c r="Z264" t="n">
        <v>0.504896132475911</v>
      </c>
    </row>
    <row r="265">
      <c r="A265" t="inlineStr">
        <is>
          <t>Residential</t>
        </is>
      </c>
      <c r="B265" t="inlineStr">
        <is>
          <t>House</t>
        </is>
      </c>
      <c r="C265" t="inlineStr">
        <is>
          <t>High Income</t>
        </is>
      </c>
      <c r="D265" t="inlineStr">
        <is>
          <t>New</t>
        </is>
      </c>
      <c r="E265" t="inlineStr">
        <is>
          <t>Clothes washing</t>
        </is>
      </c>
      <c r="F265" t="inlineStr">
        <is>
          <t>RESHOUHINewCW</t>
        </is>
      </c>
      <c r="G265" t="inlineStr">
        <is>
          <t>TJ</t>
        </is>
      </c>
      <c r="H265" t="inlineStr">
        <is>
          <t>TJ / Mm2</t>
        </is>
      </c>
      <c r="I265" t="n">
        <v>1.14973399644159</v>
      </c>
      <c r="J265" t="n">
        <v>1.14973399644159</v>
      </c>
      <c r="K265" t="n">
        <v>1.14973399644159</v>
      </c>
      <c r="L265" t="n">
        <v>1.14973399644159</v>
      </c>
      <c r="M265" t="n">
        <v>1.14973399644159</v>
      </c>
      <c r="N265" t="n">
        <v>1.14973399644159</v>
      </c>
      <c r="O265" t="n">
        <v>1.14973399644159</v>
      </c>
      <c r="P265" t="n">
        <v>1.14973399644159</v>
      </c>
      <c r="Q265" t="n">
        <v>1.14973399644159</v>
      </c>
      <c r="R265" t="n">
        <v>1.14973399644159</v>
      </c>
      <c r="S265" t="n">
        <v>1.14973399644159</v>
      </c>
      <c r="T265" t="n">
        <v>1.14973399644159</v>
      </c>
      <c r="U265" t="n">
        <v>1.14973399644159</v>
      </c>
      <c r="V265" t="n">
        <v>1.14973399644159</v>
      </c>
      <c r="W265" t="n">
        <v>1.14973399644159</v>
      </c>
      <c r="X265" t="n">
        <v>1.14973399644159</v>
      </c>
      <c r="Y265" t="n">
        <v>1.14973399644159</v>
      </c>
      <c r="Z265" t="n">
        <v>1.14973399644159</v>
      </c>
    </row>
    <row r="266">
      <c r="A266" t="inlineStr">
        <is>
          <t>Residential</t>
        </is>
      </c>
      <c r="B266" t="inlineStr">
        <is>
          <t>Apartment</t>
        </is>
      </c>
      <c r="C266" t="inlineStr">
        <is>
          <t>Low Income</t>
        </is>
      </c>
      <c r="D266" t="inlineStr">
        <is>
          <t>New</t>
        </is>
      </c>
      <c r="E266" t="inlineStr">
        <is>
          <t>Clothes drying</t>
        </is>
      </c>
      <c r="F266" t="inlineStr">
        <is>
          <t>RESAPALONewCD</t>
        </is>
      </c>
      <c r="G266" t="inlineStr">
        <is>
          <t>TJ</t>
        </is>
      </c>
      <c r="H266" t="inlineStr">
        <is>
          <t>TJ / Mm2</t>
        </is>
      </c>
      <c r="I266" t="n">
        <v>3.525123140065237</v>
      </c>
      <c r="J266" t="n">
        <v>3.525123140065237</v>
      </c>
      <c r="K266" t="n">
        <v>3.525123140065237</v>
      </c>
      <c r="L266" t="n">
        <v>3.525123140065237</v>
      </c>
      <c r="M266" t="n">
        <v>3.525123140065237</v>
      </c>
      <c r="N266" t="n">
        <v>3.525123140065237</v>
      </c>
      <c r="O266" t="n">
        <v>3.525123140065237</v>
      </c>
      <c r="P266" t="n">
        <v>3.525123140065237</v>
      </c>
      <c r="Q266" t="n">
        <v>3.525123140065237</v>
      </c>
      <c r="R266" t="n">
        <v>3.525123140065237</v>
      </c>
      <c r="S266" t="n">
        <v>3.525123140065237</v>
      </c>
      <c r="T266" t="n">
        <v>3.525123140065237</v>
      </c>
      <c r="U266" t="n">
        <v>3.525123140065237</v>
      </c>
      <c r="V266" t="n">
        <v>3.525123140065237</v>
      </c>
      <c r="W266" t="n">
        <v>3.525123140065237</v>
      </c>
      <c r="X266" t="n">
        <v>3.525123140065237</v>
      </c>
      <c r="Y266" t="n">
        <v>3.525123140065237</v>
      </c>
      <c r="Z266" t="n">
        <v>3.525123140065237</v>
      </c>
    </row>
    <row r="267">
      <c r="A267" t="inlineStr">
        <is>
          <t>Residential</t>
        </is>
      </c>
      <c r="B267" t="inlineStr">
        <is>
          <t>House</t>
        </is>
      </c>
      <c r="C267" t="inlineStr">
        <is>
          <t>Low Income</t>
        </is>
      </c>
      <c r="D267" t="inlineStr">
        <is>
          <t>New</t>
        </is>
      </c>
      <c r="E267" t="inlineStr">
        <is>
          <t>Clothes drying</t>
        </is>
      </c>
      <c r="F267" t="inlineStr">
        <is>
          <t>RESHOULONewCD</t>
        </is>
      </c>
      <c r="G267" t="inlineStr">
        <is>
          <t>TJ</t>
        </is>
      </c>
      <c r="H267" t="inlineStr">
        <is>
          <t>TJ / Mm2</t>
        </is>
      </c>
      <c r="I267" t="n">
        <v>11.29066962572993</v>
      </c>
      <c r="J267" t="n">
        <v>11.29066962572993</v>
      </c>
      <c r="K267" t="n">
        <v>11.29066962572993</v>
      </c>
      <c r="L267" t="n">
        <v>11.29066962572993</v>
      </c>
      <c r="M267" t="n">
        <v>11.29066962572993</v>
      </c>
      <c r="N267" t="n">
        <v>11.29066962572993</v>
      </c>
      <c r="O267" t="n">
        <v>11.29066962572993</v>
      </c>
      <c r="P267" t="n">
        <v>11.29066962572993</v>
      </c>
      <c r="Q267" t="n">
        <v>11.29066962572993</v>
      </c>
      <c r="R267" t="n">
        <v>11.29066962572993</v>
      </c>
      <c r="S267" t="n">
        <v>11.29066962572993</v>
      </c>
      <c r="T267" t="n">
        <v>11.29066962572993</v>
      </c>
      <c r="U267" t="n">
        <v>11.29066962572993</v>
      </c>
      <c r="V267" t="n">
        <v>11.29066962572993</v>
      </c>
      <c r="W267" t="n">
        <v>11.29066962572993</v>
      </c>
      <c r="X267" t="n">
        <v>11.29066962572993</v>
      </c>
      <c r="Y267" t="n">
        <v>11.29066962572993</v>
      </c>
      <c r="Z267" t="n">
        <v>11.29066962572993</v>
      </c>
    </row>
    <row r="268">
      <c r="A268" t="inlineStr">
        <is>
          <t>Residential</t>
        </is>
      </c>
      <c r="B268" t="inlineStr">
        <is>
          <t>Apartment</t>
        </is>
      </c>
      <c r="C268" t="inlineStr">
        <is>
          <t>Lower-Middle Income</t>
        </is>
      </c>
      <c r="D268" t="inlineStr">
        <is>
          <t>New</t>
        </is>
      </c>
      <c r="E268" t="inlineStr">
        <is>
          <t>Clothes drying</t>
        </is>
      </c>
      <c r="F268" t="inlineStr">
        <is>
          <t>RESAPALMNewCD</t>
        </is>
      </c>
      <c r="G268" t="inlineStr">
        <is>
          <t>TJ</t>
        </is>
      </c>
      <c r="H268" t="inlineStr">
        <is>
          <t>TJ / Mm2</t>
        </is>
      </c>
      <c r="I268" t="n">
        <v>3.024111060889215</v>
      </c>
      <c r="J268" t="n">
        <v>3.024111060889215</v>
      </c>
      <c r="K268" t="n">
        <v>3.024111060889215</v>
      </c>
      <c r="L268" t="n">
        <v>3.024111060889215</v>
      </c>
      <c r="M268" t="n">
        <v>3.024111060889215</v>
      </c>
      <c r="N268" t="n">
        <v>3.024111060889215</v>
      </c>
      <c r="O268" t="n">
        <v>3.024111060889215</v>
      </c>
      <c r="P268" t="n">
        <v>3.024111060889215</v>
      </c>
      <c r="Q268" t="n">
        <v>3.024111060889215</v>
      </c>
      <c r="R268" t="n">
        <v>3.024111060889215</v>
      </c>
      <c r="S268" t="n">
        <v>3.024111060889215</v>
      </c>
      <c r="T268" t="n">
        <v>3.024111060889215</v>
      </c>
      <c r="U268" t="n">
        <v>3.024111060889215</v>
      </c>
      <c r="V268" t="n">
        <v>3.024111060889215</v>
      </c>
      <c r="W268" t="n">
        <v>3.024111060889215</v>
      </c>
      <c r="X268" t="n">
        <v>3.024111060889215</v>
      </c>
      <c r="Y268" t="n">
        <v>3.024111060889215</v>
      </c>
      <c r="Z268" t="n">
        <v>3.024111060889215</v>
      </c>
    </row>
    <row r="269">
      <c r="A269" t="inlineStr">
        <is>
          <t>Residential</t>
        </is>
      </c>
      <c r="B269" t="inlineStr">
        <is>
          <t>House</t>
        </is>
      </c>
      <c r="C269" t="inlineStr">
        <is>
          <t>Lower-Middle Income</t>
        </is>
      </c>
      <c r="D269" t="inlineStr">
        <is>
          <t>New</t>
        </is>
      </c>
      <c r="E269" t="inlineStr">
        <is>
          <t>Clothes drying</t>
        </is>
      </c>
      <c r="F269" t="inlineStr">
        <is>
          <t>RESHOULMNewCD</t>
        </is>
      </c>
      <c r="G269" t="inlineStr">
        <is>
          <t>TJ</t>
        </is>
      </c>
      <c r="H269" t="inlineStr">
        <is>
          <t>TJ / Mm2</t>
        </is>
      </c>
      <c r="I269" t="n">
        <v>11.32545923212538</v>
      </c>
      <c r="J269" t="n">
        <v>11.32545923212538</v>
      </c>
      <c r="K269" t="n">
        <v>11.32545923212538</v>
      </c>
      <c r="L269" t="n">
        <v>11.32545923212538</v>
      </c>
      <c r="M269" t="n">
        <v>11.32545923212538</v>
      </c>
      <c r="N269" t="n">
        <v>11.32545923212538</v>
      </c>
      <c r="O269" t="n">
        <v>11.32545923212538</v>
      </c>
      <c r="P269" t="n">
        <v>11.32545923212538</v>
      </c>
      <c r="Q269" t="n">
        <v>11.32545923212538</v>
      </c>
      <c r="R269" t="n">
        <v>11.32545923212538</v>
      </c>
      <c r="S269" t="n">
        <v>11.32545923212538</v>
      </c>
      <c r="T269" t="n">
        <v>11.32545923212538</v>
      </c>
      <c r="U269" t="n">
        <v>11.32545923212538</v>
      </c>
      <c r="V269" t="n">
        <v>11.32545923212538</v>
      </c>
      <c r="W269" t="n">
        <v>11.32545923212538</v>
      </c>
      <c r="X269" t="n">
        <v>11.32545923212538</v>
      </c>
      <c r="Y269" t="n">
        <v>11.32545923212538</v>
      </c>
      <c r="Z269" t="n">
        <v>11.32545923212538</v>
      </c>
    </row>
    <row r="270">
      <c r="A270" t="inlineStr">
        <is>
          <t>Residential</t>
        </is>
      </c>
      <c r="B270" t="inlineStr">
        <is>
          <t>Apartment</t>
        </is>
      </c>
      <c r="C270" t="inlineStr">
        <is>
          <t>Upper-Middle Income</t>
        </is>
      </c>
      <c r="D270" t="inlineStr">
        <is>
          <t>New</t>
        </is>
      </c>
      <c r="E270" t="inlineStr">
        <is>
          <t>Clothes drying</t>
        </is>
      </c>
      <c r="F270" t="inlineStr">
        <is>
          <t>RESAPAUMNewCD</t>
        </is>
      </c>
      <c r="G270" t="inlineStr">
        <is>
          <t>TJ</t>
        </is>
      </c>
      <c r="H270" t="inlineStr">
        <is>
          <t>TJ / Mm2</t>
        </is>
      </c>
      <c r="I270" t="n">
        <v>6.629283676515826</v>
      </c>
      <c r="J270" t="n">
        <v>6.629283676515826</v>
      </c>
      <c r="K270" t="n">
        <v>6.629283676515826</v>
      </c>
      <c r="L270" t="n">
        <v>6.629283676515826</v>
      </c>
      <c r="M270" t="n">
        <v>6.629283676515826</v>
      </c>
      <c r="N270" t="n">
        <v>6.629283676515826</v>
      </c>
      <c r="O270" t="n">
        <v>6.629283676515826</v>
      </c>
      <c r="P270" t="n">
        <v>6.629283676515826</v>
      </c>
      <c r="Q270" t="n">
        <v>6.629283676515826</v>
      </c>
      <c r="R270" t="n">
        <v>6.629283676515826</v>
      </c>
      <c r="S270" t="n">
        <v>6.629283676515826</v>
      </c>
      <c r="T270" t="n">
        <v>6.629283676515826</v>
      </c>
      <c r="U270" t="n">
        <v>6.629283676515826</v>
      </c>
      <c r="V270" t="n">
        <v>6.629283676515826</v>
      </c>
      <c r="W270" t="n">
        <v>6.629283676515826</v>
      </c>
      <c r="X270" t="n">
        <v>6.629283676515826</v>
      </c>
      <c r="Y270" t="n">
        <v>6.629283676515826</v>
      </c>
      <c r="Z270" t="n">
        <v>6.629283676515826</v>
      </c>
    </row>
    <row r="271">
      <c r="A271" t="inlineStr">
        <is>
          <t>Residential</t>
        </is>
      </c>
      <c r="B271" t="inlineStr">
        <is>
          <t>House</t>
        </is>
      </c>
      <c r="C271" t="inlineStr">
        <is>
          <t>Upper-Middle Income</t>
        </is>
      </c>
      <c r="D271" t="inlineStr">
        <is>
          <t>New</t>
        </is>
      </c>
      <c r="E271" t="inlineStr">
        <is>
          <t>Clothes drying</t>
        </is>
      </c>
      <c r="F271" t="inlineStr">
        <is>
          <t>RESHOUUMNewCD</t>
        </is>
      </c>
      <c r="G271" t="inlineStr">
        <is>
          <t>TJ</t>
        </is>
      </c>
      <c r="H271" t="inlineStr">
        <is>
          <t>TJ / Mm2</t>
        </is>
      </c>
      <c r="I271" t="n">
        <v>14.74397863470048</v>
      </c>
      <c r="J271" t="n">
        <v>14.74397863470048</v>
      </c>
      <c r="K271" t="n">
        <v>14.74397863470048</v>
      </c>
      <c r="L271" t="n">
        <v>14.74397863470048</v>
      </c>
      <c r="M271" t="n">
        <v>14.74397863470048</v>
      </c>
      <c r="N271" t="n">
        <v>14.74397863470048</v>
      </c>
      <c r="O271" t="n">
        <v>14.74397863470048</v>
      </c>
      <c r="P271" t="n">
        <v>14.74397863470048</v>
      </c>
      <c r="Q271" t="n">
        <v>14.74397863470048</v>
      </c>
      <c r="R271" t="n">
        <v>14.74397863470048</v>
      </c>
      <c r="S271" t="n">
        <v>14.74397863470048</v>
      </c>
      <c r="T271" t="n">
        <v>14.74397863470048</v>
      </c>
      <c r="U271" t="n">
        <v>14.74397863470048</v>
      </c>
      <c r="V271" t="n">
        <v>14.74397863470048</v>
      </c>
      <c r="W271" t="n">
        <v>14.74397863470048</v>
      </c>
      <c r="X271" t="n">
        <v>14.74397863470048</v>
      </c>
      <c r="Y271" t="n">
        <v>14.74397863470048</v>
      </c>
      <c r="Z271" t="n">
        <v>14.74397863470048</v>
      </c>
    </row>
    <row r="272">
      <c r="A272" t="inlineStr">
        <is>
          <t>Residential</t>
        </is>
      </c>
      <c r="B272" t="inlineStr">
        <is>
          <t>Apartment</t>
        </is>
      </c>
      <c r="C272" t="inlineStr">
        <is>
          <t>High Income</t>
        </is>
      </c>
      <c r="D272" t="inlineStr">
        <is>
          <t>New</t>
        </is>
      </c>
      <c r="E272" t="inlineStr">
        <is>
          <t>Clothes drying</t>
        </is>
      </c>
      <c r="F272" t="inlineStr">
        <is>
          <t>RESAPAHINewCD</t>
        </is>
      </c>
      <c r="G272" t="inlineStr">
        <is>
          <t>TJ</t>
        </is>
      </c>
      <c r="H272" t="inlineStr">
        <is>
          <t>TJ / Mm2</t>
        </is>
      </c>
      <c r="I272" t="n">
        <v>6.455286868236706</v>
      </c>
      <c r="J272" t="n">
        <v>6.455286868236706</v>
      </c>
      <c r="K272" t="n">
        <v>6.455286868236706</v>
      </c>
      <c r="L272" t="n">
        <v>6.455286868236706</v>
      </c>
      <c r="M272" t="n">
        <v>6.455286868236706</v>
      </c>
      <c r="N272" t="n">
        <v>6.455286868236706</v>
      </c>
      <c r="O272" t="n">
        <v>6.455286868236706</v>
      </c>
      <c r="P272" t="n">
        <v>6.455286868236706</v>
      </c>
      <c r="Q272" t="n">
        <v>6.455286868236706</v>
      </c>
      <c r="R272" t="n">
        <v>6.455286868236706</v>
      </c>
      <c r="S272" t="n">
        <v>6.455286868236706</v>
      </c>
      <c r="T272" t="n">
        <v>6.455286868236706</v>
      </c>
      <c r="U272" t="n">
        <v>6.455286868236706</v>
      </c>
      <c r="V272" t="n">
        <v>6.455286868236706</v>
      </c>
      <c r="W272" t="n">
        <v>6.455286868236706</v>
      </c>
      <c r="X272" t="n">
        <v>6.455286868236706</v>
      </c>
      <c r="Y272" t="n">
        <v>6.455286868236706</v>
      </c>
      <c r="Z272" t="n">
        <v>6.455286868236706</v>
      </c>
    </row>
    <row r="273">
      <c r="A273" t="inlineStr">
        <is>
          <t>Residential</t>
        </is>
      </c>
      <c r="B273" t="inlineStr">
        <is>
          <t>House</t>
        </is>
      </c>
      <c r="C273" t="inlineStr">
        <is>
          <t>High Income</t>
        </is>
      </c>
      <c r="D273" t="inlineStr">
        <is>
          <t>New</t>
        </is>
      </c>
      <c r="E273" t="inlineStr">
        <is>
          <t>Clothes drying</t>
        </is>
      </c>
      <c r="F273" t="inlineStr">
        <is>
          <t>RESHOUHINewCD</t>
        </is>
      </c>
      <c r="G273" t="inlineStr">
        <is>
          <t>TJ</t>
        </is>
      </c>
      <c r="H273" t="inlineStr">
        <is>
          <t>TJ / Mm2</t>
        </is>
      </c>
      <c r="I273" t="n">
        <v>14.61529714919033</v>
      </c>
      <c r="J273" t="n">
        <v>14.61529714919033</v>
      </c>
      <c r="K273" t="n">
        <v>14.61529714919033</v>
      </c>
      <c r="L273" t="n">
        <v>14.61529714919033</v>
      </c>
      <c r="M273" t="n">
        <v>14.61529714919033</v>
      </c>
      <c r="N273" t="n">
        <v>14.61529714919033</v>
      </c>
      <c r="O273" t="n">
        <v>14.61529714919033</v>
      </c>
      <c r="P273" t="n">
        <v>14.61529714919033</v>
      </c>
      <c r="Q273" t="n">
        <v>14.61529714919033</v>
      </c>
      <c r="R273" t="n">
        <v>14.61529714919033</v>
      </c>
      <c r="S273" t="n">
        <v>14.61529714919033</v>
      </c>
      <c r="T273" t="n">
        <v>14.61529714919033</v>
      </c>
      <c r="U273" t="n">
        <v>14.61529714919033</v>
      </c>
      <c r="V273" t="n">
        <v>14.61529714919033</v>
      </c>
      <c r="W273" t="n">
        <v>14.61529714919033</v>
      </c>
      <c r="X273" t="n">
        <v>14.61529714919033</v>
      </c>
      <c r="Y273" t="n">
        <v>14.61529714919033</v>
      </c>
      <c r="Z273" t="n">
        <v>14.61529714919033</v>
      </c>
    </row>
    <row r="274">
      <c r="A274" t="inlineStr">
        <is>
          <t>Residential</t>
        </is>
      </c>
      <c r="B274" t="inlineStr">
        <is>
          <t>Apartment</t>
        </is>
      </c>
      <c r="C274" t="inlineStr">
        <is>
          <t>Low Income</t>
        </is>
      </c>
      <c r="D274" t="inlineStr">
        <is>
          <t>New</t>
        </is>
      </c>
      <c r="E274" t="inlineStr">
        <is>
          <t>Lighting</t>
        </is>
      </c>
      <c r="F274" t="inlineStr">
        <is>
          <t>RESAPALONewLT</t>
        </is>
      </c>
      <c r="G274" t="inlineStr">
        <is>
          <t>Mlm</t>
        </is>
      </c>
      <c r="H274" t="inlineStr">
        <is>
          <t>Mlm / Mm2</t>
        </is>
      </c>
      <c r="I274" t="n">
        <v>10.86598551121561</v>
      </c>
      <c r="J274" t="n">
        <v>10.86598551121561</v>
      </c>
      <c r="K274" t="n">
        <v>10.86598551121561</v>
      </c>
      <c r="L274" t="n">
        <v>10.86598551121561</v>
      </c>
      <c r="M274" t="n">
        <v>10.86598551121561</v>
      </c>
      <c r="N274" t="n">
        <v>10.86598551121561</v>
      </c>
      <c r="O274" t="n">
        <v>10.86598551121561</v>
      </c>
      <c r="P274" t="n">
        <v>10.86598551121561</v>
      </c>
      <c r="Q274" t="n">
        <v>10.86598551121561</v>
      </c>
      <c r="R274" t="n">
        <v>10.86598551121561</v>
      </c>
      <c r="S274" t="n">
        <v>10.86598551121561</v>
      </c>
      <c r="T274" t="n">
        <v>10.86598551121561</v>
      </c>
      <c r="U274" t="n">
        <v>10.86598551121561</v>
      </c>
      <c r="V274" t="n">
        <v>10.86598551121561</v>
      </c>
      <c r="W274" t="n">
        <v>10.86598551121561</v>
      </c>
      <c r="X274" t="n">
        <v>10.86598551121561</v>
      </c>
      <c r="Y274" t="n">
        <v>10.86598551121561</v>
      </c>
      <c r="Z274" t="n">
        <v>10.86598551121561</v>
      </c>
    </row>
    <row r="275">
      <c r="A275" t="inlineStr">
        <is>
          <t>Residential</t>
        </is>
      </c>
      <c r="B275" t="inlineStr">
        <is>
          <t>House</t>
        </is>
      </c>
      <c r="C275" t="inlineStr">
        <is>
          <t>Low Income</t>
        </is>
      </c>
      <c r="D275" t="inlineStr">
        <is>
          <t>New</t>
        </is>
      </c>
      <c r="E275" t="inlineStr">
        <is>
          <t>Lighting</t>
        </is>
      </c>
      <c r="F275" t="inlineStr">
        <is>
          <t>RESHOULONewLT</t>
        </is>
      </c>
      <c r="G275" t="inlineStr">
        <is>
          <t>Mlm</t>
        </is>
      </c>
      <c r="H275" t="inlineStr">
        <is>
          <t>Mlm / Mm2</t>
        </is>
      </c>
      <c r="I275" t="n">
        <v>17.0631361415996</v>
      </c>
      <c r="J275" t="n">
        <v>17.0631361415996</v>
      </c>
      <c r="K275" t="n">
        <v>17.0631361415996</v>
      </c>
      <c r="L275" t="n">
        <v>17.0631361415996</v>
      </c>
      <c r="M275" t="n">
        <v>17.0631361415996</v>
      </c>
      <c r="N275" t="n">
        <v>17.0631361415996</v>
      </c>
      <c r="O275" t="n">
        <v>17.0631361415996</v>
      </c>
      <c r="P275" t="n">
        <v>17.0631361415996</v>
      </c>
      <c r="Q275" t="n">
        <v>17.0631361415996</v>
      </c>
      <c r="R275" t="n">
        <v>17.0631361415996</v>
      </c>
      <c r="S275" t="n">
        <v>17.0631361415996</v>
      </c>
      <c r="T275" t="n">
        <v>17.0631361415996</v>
      </c>
      <c r="U275" t="n">
        <v>17.0631361415996</v>
      </c>
      <c r="V275" t="n">
        <v>17.0631361415996</v>
      </c>
      <c r="W275" t="n">
        <v>17.0631361415996</v>
      </c>
      <c r="X275" t="n">
        <v>17.0631361415996</v>
      </c>
      <c r="Y275" t="n">
        <v>17.0631361415996</v>
      </c>
      <c r="Z275" t="n">
        <v>17.0631361415996</v>
      </c>
    </row>
    <row r="276">
      <c r="A276" t="inlineStr">
        <is>
          <t>Residential</t>
        </is>
      </c>
      <c r="B276" t="inlineStr">
        <is>
          <t>Apartment</t>
        </is>
      </c>
      <c r="C276" t="inlineStr">
        <is>
          <t>Lower-Middle Income</t>
        </is>
      </c>
      <c r="D276" t="inlineStr">
        <is>
          <t>New</t>
        </is>
      </c>
      <c r="E276" t="inlineStr">
        <is>
          <t>Lighting</t>
        </is>
      </c>
      <c r="F276" t="inlineStr">
        <is>
          <t>RESAPALMNewLT</t>
        </is>
      </c>
      <c r="G276" t="inlineStr">
        <is>
          <t>Mlm</t>
        </is>
      </c>
      <c r="H276" t="inlineStr">
        <is>
          <t>Mlm / Mm2</t>
        </is>
      </c>
      <c r="I276" t="n">
        <v>15.3555993277728</v>
      </c>
      <c r="J276" t="n">
        <v>15.3555993277728</v>
      </c>
      <c r="K276" t="n">
        <v>15.3555993277728</v>
      </c>
      <c r="L276" t="n">
        <v>15.3555993277728</v>
      </c>
      <c r="M276" t="n">
        <v>15.3555993277728</v>
      </c>
      <c r="N276" t="n">
        <v>15.3555993277728</v>
      </c>
      <c r="O276" t="n">
        <v>15.3555993277728</v>
      </c>
      <c r="P276" t="n">
        <v>15.3555993277728</v>
      </c>
      <c r="Q276" t="n">
        <v>15.3555993277728</v>
      </c>
      <c r="R276" t="n">
        <v>15.3555993277728</v>
      </c>
      <c r="S276" t="n">
        <v>15.3555993277728</v>
      </c>
      <c r="T276" t="n">
        <v>15.3555993277728</v>
      </c>
      <c r="U276" t="n">
        <v>15.3555993277728</v>
      </c>
      <c r="V276" t="n">
        <v>15.3555993277728</v>
      </c>
      <c r="W276" t="n">
        <v>15.3555993277728</v>
      </c>
      <c r="X276" t="n">
        <v>15.3555993277728</v>
      </c>
      <c r="Y276" t="n">
        <v>15.3555993277728</v>
      </c>
      <c r="Z276" t="n">
        <v>15.3555993277728</v>
      </c>
    </row>
    <row r="277">
      <c r="A277" t="inlineStr">
        <is>
          <t>Residential</t>
        </is>
      </c>
      <c r="B277" t="inlineStr">
        <is>
          <t>House</t>
        </is>
      </c>
      <c r="C277" t="inlineStr">
        <is>
          <t>Lower-Middle Income</t>
        </is>
      </c>
      <c r="D277" t="inlineStr">
        <is>
          <t>New</t>
        </is>
      </c>
      <c r="E277" t="inlineStr">
        <is>
          <t>Lighting</t>
        </is>
      </c>
      <c r="F277" t="inlineStr">
        <is>
          <t>RESHOULMNewLT</t>
        </is>
      </c>
      <c r="G277" t="inlineStr">
        <is>
          <t>Mlm</t>
        </is>
      </c>
      <c r="H277" t="inlineStr">
        <is>
          <t>Mlm / Mm2</t>
        </is>
      </c>
      <c r="I277" t="n">
        <v>15.88774644710559</v>
      </c>
      <c r="J277" t="n">
        <v>15.88774644710559</v>
      </c>
      <c r="K277" t="n">
        <v>15.88774644710559</v>
      </c>
      <c r="L277" t="n">
        <v>15.88774644710559</v>
      </c>
      <c r="M277" t="n">
        <v>15.88774644710559</v>
      </c>
      <c r="N277" t="n">
        <v>15.88774644710559</v>
      </c>
      <c r="O277" t="n">
        <v>15.88774644710559</v>
      </c>
      <c r="P277" t="n">
        <v>15.88774644710559</v>
      </c>
      <c r="Q277" t="n">
        <v>15.88774644710559</v>
      </c>
      <c r="R277" t="n">
        <v>15.88774644710559</v>
      </c>
      <c r="S277" t="n">
        <v>15.88774644710559</v>
      </c>
      <c r="T277" t="n">
        <v>15.88774644710559</v>
      </c>
      <c r="U277" t="n">
        <v>15.88774644710559</v>
      </c>
      <c r="V277" t="n">
        <v>15.88774644710559</v>
      </c>
      <c r="W277" t="n">
        <v>15.88774644710559</v>
      </c>
      <c r="X277" t="n">
        <v>15.88774644710559</v>
      </c>
      <c r="Y277" t="n">
        <v>15.88774644710559</v>
      </c>
      <c r="Z277" t="n">
        <v>15.88774644710559</v>
      </c>
    </row>
    <row r="278">
      <c r="A278" t="inlineStr">
        <is>
          <t>Residential</t>
        </is>
      </c>
      <c r="B278" t="inlineStr">
        <is>
          <t>Apartment</t>
        </is>
      </c>
      <c r="C278" t="inlineStr">
        <is>
          <t>Upper-Middle Income</t>
        </is>
      </c>
      <c r="D278" t="inlineStr">
        <is>
          <t>New</t>
        </is>
      </c>
      <c r="E278" t="inlineStr">
        <is>
          <t>Lighting</t>
        </is>
      </c>
      <c r="F278" t="inlineStr">
        <is>
          <t>RESAPAUMNewLT</t>
        </is>
      </c>
      <c r="G278" t="inlineStr">
        <is>
          <t>Mlm</t>
        </is>
      </c>
      <c r="H278" t="inlineStr">
        <is>
          <t>Mlm / Mm2</t>
        </is>
      </c>
      <c r="I278" t="n">
        <v>14.82567842712889</v>
      </c>
      <c r="J278" t="n">
        <v>14.82567842712889</v>
      </c>
      <c r="K278" t="n">
        <v>14.82567842712889</v>
      </c>
      <c r="L278" t="n">
        <v>14.82567842712889</v>
      </c>
      <c r="M278" t="n">
        <v>14.82567842712889</v>
      </c>
      <c r="N278" t="n">
        <v>14.82567842712889</v>
      </c>
      <c r="O278" t="n">
        <v>14.82567842712889</v>
      </c>
      <c r="P278" t="n">
        <v>14.82567842712889</v>
      </c>
      <c r="Q278" t="n">
        <v>14.82567842712889</v>
      </c>
      <c r="R278" t="n">
        <v>14.82567842712889</v>
      </c>
      <c r="S278" t="n">
        <v>14.82567842712889</v>
      </c>
      <c r="T278" t="n">
        <v>14.82567842712889</v>
      </c>
      <c r="U278" t="n">
        <v>14.82567842712889</v>
      </c>
      <c r="V278" t="n">
        <v>14.82567842712889</v>
      </c>
      <c r="W278" t="n">
        <v>14.82567842712889</v>
      </c>
      <c r="X278" t="n">
        <v>14.82567842712889</v>
      </c>
      <c r="Y278" t="n">
        <v>14.82567842712889</v>
      </c>
      <c r="Z278" t="n">
        <v>14.82567842712889</v>
      </c>
    </row>
    <row r="279">
      <c r="A279" t="inlineStr">
        <is>
          <t>Residential</t>
        </is>
      </c>
      <c r="B279" t="inlineStr">
        <is>
          <t>House</t>
        </is>
      </c>
      <c r="C279" t="inlineStr">
        <is>
          <t>Upper-Middle Income</t>
        </is>
      </c>
      <c r="D279" t="inlineStr">
        <is>
          <t>New</t>
        </is>
      </c>
      <c r="E279" t="inlineStr">
        <is>
          <t>Lighting</t>
        </is>
      </c>
      <c r="F279" t="inlineStr">
        <is>
          <t>RESHOUUMNewLT</t>
        </is>
      </c>
      <c r="G279" t="inlineStr">
        <is>
          <t>Mlm</t>
        </is>
      </c>
      <c r="H279" t="inlineStr">
        <is>
          <t>Mlm / Mm2</t>
        </is>
      </c>
      <c r="I279" t="n">
        <v>19.1985169071623</v>
      </c>
      <c r="J279" t="n">
        <v>19.1985169071623</v>
      </c>
      <c r="K279" t="n">
        <v>19.1985169071623</v>
      </c>
      <c r="L279" t="n">
        <v>19.1985169071623</v>
      </c>
      <c r="M279" t="n">
        <v>19.1985169071623</v>
      </c>
      <c r="N279" t="n">
        <v>19.1985169071623</v>
      </c>
      <c r="O279" t="n">
        <v>19.1985169071623</v>
      </c>
      <c r="P279" t="n">
        <v>19.1985169071623</v>
      </c>
      <c r="Q279" t="n">
        <v>19.1985169071623</v>
      </c>
      <c r="R279" t="n">
        <v>19.1985169071623</v>
      </c>
      <c r="S279" t="n">
        <v>19.1985169071623</v>
      </c>
      <c r="T279" t="n">
        <v>19.1985169071623</v>
      </c>
      <c r="U279" t="n">
        <v>19.1985169071623</v>
      </c>
      <c r="V279" t="n">
        <v>19.1985169071623</v>
      </c>
      <c r="W279" t="n">
        <v>19.1985169071623</v>
      </c>
      <c r="X279" t="n">
        <v>19.1985169071623</v>
      </c>
      <c r="Y279" t="n">
        <v>19.1985169071623</v>
      </c>
      <c r="Z279" t="n">
        <v>19.1985169071623</v>
      </c>
    </row>
    <row r="280">
      <c r="A280" t="inlineStr">
        <is>
          <t>Residential</t>
        </is>
      </c>
      <c r="B280" t="inlineStr">
        <is>
          <t>Apartment</t>
        </is>
      </c>
      <c r="C280" t="inlineStr">
        <is>
          <t>High Income</t>
        </is>
      </c>
      <c r="D280" t="inlineStr">
        <is>
          <t>New</t>
        </is>
      </c>
      <c r="E280" t="inlineStr">
        <is>
          <t>Lighting</t>
        </is>
      </c>
      <c r="F280" t="inlineStr">
        <is>
          <t>RESAPAHINewLT</t>
        </is>
      </c>
      <c r="G280" t="inlineStr">
        <is>
          <t>Mlm</t>
        </is>
      </c>
      <c r="H280" t="inlineStr">
        <is>
          <t>Mlm / Mm2</t>
        </is>
      </c>
      <c r="I280" t="n">
        <v>17.87304607869206</v>
      </c>
      <c r="J280" t="n">
        <v>17.87304607869206</v>
      </c>
      <c r="K280" t="n">
        <v>17.87304607869206</v>
      </c>
      <c r="L280" t="n">
        <v>17.87304607869206</v>
      </c>
      <c r="M280" t="n">
        <v>17.87304607869206</v>
      </c>
      <c r="N280" t="n">
        <v>17.87304607869206</v>
      </c>
      <c r="O280" t="n">
        <v>17.87304607869206</v>
      </c>
      <c r="P280" t="n">
        <v>17.87304607869206</v>
      </c>
      <c r="Q280" t="n">
        <v>17.87304607869206</v>
      </c>
      <c r="R280" t="n">
        <v>17.87304607869206</v>
      </c>
      <c r="S280" t="n">
        <v>17.87304607869206</v>
      </c>
      <c r="T280" t="n">
        <v>17.87304607869206</v>
      </c>
      <c r="U280" t="n">
        <v>17.87304607869206</v>
      </c>
      <c r="V280" t="n">
        <v>17.87304607869206</v>
      </c>
      <c r="W280" t="n">
        <v>17.87304607869206</v>
      </c>
      <c r="X280" t="n">
        <v>17.87304607869206</v>
      </c>
      <c r="Y280" t="n">
        <v>17.87304607869206</v>
      </c>
      <c r="Z280" t="n">
        <v>17.87304607869206</v>
      </c>
    </row>
    <row r="281">
      <c r="A281" t="inlineStr">
        <is>
          <t>Residential</t>
        </is>
      </c>
      <c r="B281" t="inlineStr">
        <is>
          <t>House</t>
        </is>
      </c>
      <c r="C281" t="inlineStr">
        <is>
          <t>High Income</t>
        </is>
      </c>
      <c r="D281" t="inlineStr">
        <is>
          <t>New</t>
        </is>
      </c>
      <c r="E281" t="inlineStr">
        <is>
          <t>Lighting</t>
        </is>
      </c>
      <c r="F281" t="inlineStr">
        <is>
          <t>RESHOUHINewLT</t>
        </is>
      </c>
      <c r="G281" t="inlineStr">
        <is>
          <t>Mlm</t>
        </is>
      </c>
      <c r="H281" t="inlineStr">
        <is>
          <t>Mlm / Mm2</t>
        </is>
      </c>
      <c r="I281" t="n">
        <v>17.76277194032763</v>
      </c>
      <c r="J281" t="n">
        <v>17.76277194032763</v>
      </c>
      <c r="K281" t="n">
        <v>17.76277194032763</v>
      </c>
      <c r="L281" t="n">
        <v>17.76277194032763</v>
      </c>
      <c r="M281" t="n">
        <v>17.76277194032763</v>
      </c>
      <c r="N281" t="n">
        <v>17.76277194032763</v>
      </c>
      <c r="O281" t="n">
        <v>17.76277194032763</v>
      </c>
      <c r="P281" t="n">
        <v>17.76277194032763</v>
      </c>
      <c r="Q281" t="n">
        <v>17.76277194032763</v>
      </c>
      <c r="R281" t="n">
        <v>17.76277194032763</v>
      </c>
      <c r="S281" t="n">
        <v>17.76277194032763</v>
      </c>
      <c r="T281" t="n">
        <v>17.76277194032763</v>
      </c>
      <c r="U281" t="n">
        <v>17.76277194032763</v>
      </c>
      <c r="V281" t="n">
        <v>17.76277194032763</v>
      </c>
      <c r="W281" t="n">
        <v>17.76277194032763</v>
      </c>
      <c r="X281" t="n">
        <v>17.76277194032763</v>
      </c>
      <c r="Y281" t="n">
        <v>17.76277194032763</v>
      </c>
      <c r="Z281" t="n">
        <v>17.76277194032763</v>
      </c>
    </row>
    <row r="282">
      <c r="A282" t="inlineStr">
        <is>
          <t>Residential</t>
        </is>
      </c>
      <c r="B282" t="inlineStr">
        <is>
          <t>Apartment</t>
        </is>
      </c>
      <c r="C282" t="inlineStr">
        <is>
          <t>Low Income</t>
        </is>
      </c>
      <c r="D282" t="inlineStr">
        <is>
          <t>New</t>
        </is>
      </c>
      <c r="E282" t="inlineStr">
        <is>
          <t>Other end use</t>
        </is>
      </c>
      <c r="F282" t="inlineStr">
        <is>
          <t>RESAPALONewOE</t>
        </is>
      </c>
      <c r="G282" t="inlineStr">
        <is>
          <t>TJ</t>
        </is>
      </c>
      <c r="H282" t="inlineStr">
        <is>
          <t>TJ / Mm2</t>
        </is>
      </c>
      <c r="I282" t="n">
        <v>78.82302998119677</v>
      </c>
      <c r="J282" t="n">
        <v>78.82302998119677</v>
      </c>
      <c r="K282" t="n">
        <v>78.82302998119677</v>
      </c>
      <c r="L282" t="n">
        <v>78.82302998119677</v>
      </c>
      <c r="M282" t="n">
        <v>78.82302998119677</v>
      </c>
      <c r="N282" t="n">
        <v>78.82302998119677</v>
      </c>
      <c r="O282" t="n">
        <v>78.82302998119677</v>
      </c>
      <c r="P282" t="n">
        <v>78.82302998119677</v>
      </c>
      <c r="Q282" t="n">
        <v>78.82302998119677</v>
      </c>
      <c r="R282" t="n">
        <v>78.82302998119677</v>
      </c>
      <c r="S282" t="n">
        <v>78.82302998119677</v>
      </c>
      <c r="T282" t="n">
        <v>78.82302998119677</v>
      </c>
      <c r="U282" t="n">
        <v>78.82302998119677</v>
      </c>
      <c r="V282" t="n">
        <v>78.82302998119677</v>
      </c>
      <c r="W282" t="n">
        <v>78.82302998119677</v>
      </c>
      <c r="X282" t="n">
        <v>78.82302998119677</v>
      </c>
      <c r="Y282" t="n">
        <v>78.82302998119677</v>
      </c>
      <c r="Z282" t="n">
        <v>78.82302998119677</v>
      </c>
    </row>
    <row r="283">
      <c r="A283" t="inlineStr">
        <is>
          <t>Residential</t>
        </is>
      </c>
      <c r="B283" t="inlineStr">
        <is>
          <t>House</t>
        </is>
      </c>
      <c r="C283" t="inlineStr">
        <is>
          <t>Low Income</t>
        </is>
      </c>
      <c r="D283" t="inlineStr">
        <is>
          <t>New</t>
        </is>
      </c>
      <c r="E283" t="inlineStr">
        <is>
          <t>Other end use</t>
        </is>
      </c>
      <c r="F283" t="inlineStr">
        <is>
          <t>RESHOULONewOE</t>
        </is>
      </c>
      <c r="G283" t="inlineStr">
        <is>
          <t>TJ</t>
        </is>
      </c>
      <c r="H283" t="inlineStr">
        <is>
          <t>TJ / Mm2</t>
        </is>
      </c>
      <c r="I283" t="n">
        <v>103.9623004552225</v>
      </c>
      <c r="J283" t="n">
        <v>103.9623004552225</v>
      </c>
      <c r="K283" t="n">
        <v>103.9623004552225</v>
      </c>
      <c r="L283" t="n">
        <v>103.9623004552225</v>
      </c>
      <c r="M283" t="n">
        <v>103.9623004552225</v>
      </c>
      <c r="N283" t="n">
        <v>103.9623004552225</v>
      </c>
      <c r="O283" t="n">
        <v>103.9623004552225</v>
      </c>
      <c r="P283" t="n">
        <v>103.9623004552225</v>
      </c>
      <c r="Q283" t="n">
        <v>103.9623004552225</v>
      </c>
      <c r="R283" t="n">
        <v>103.9623004552225</v>
      </c>
      <c r="S283" t="n">
        <v>103.9623004552225</v>
      </c>
      <c r="T283" t="n">
        <v>103.9623004552225</v>
      </c>
      <c r="U283" t="n">
        <v>103.9623004552225</v>
      </c>
      <c r="V283" t="n">
        <v>103.9623004552225</v>
      </c>
      <c r="W283" t="n">
        <v>103.9623004552225</v>
      </c>
      <c r="X283" t="n">
        <v>103.9623004552225</v>
      </c>
      <c r="Y283" t="n">
        <v>103.9623004552225</v>
      </c>
      <c r="Z283" t="n">
        <v>103.9623004552225</v>
      </c>
    </row>
    <row r="284">
      <c r="A284" t="inlineStr">
        <is>
          <t>Residential</t>
        </is>
      </c>
      <c r="B284" t="inlineStr">
        <is>
          <t>Apartment</t>
        </is>
      </c>
      <c r="C284" t="inlineStr">
        <is>
          <t>Lower-Middle Income</t>
        </is>
      </c>
      <c r="D284" t="inlineStr">
        <is>
          <t>New</t>
        </is>
      </c>
      <c r="E284" t="inlineStr">
        <is>
          <t>Other end use</t>
        </is>
      </c>
      <c r="F284" t="inlineStr">
        <is>
          <t>RESAPALMNewOE</t>
        </is>
      </c>
      <c r="G284" t="inlineStr">
        <is>
          <t>TJ</t>
        </is>
      </c>
      <c r="H284" t="inlineStr">
        <is>
          <t>TJ / Mm2</t>
        </is>
      </c>
      <c r="I284" t="n">
        <v>126.4093280505847</v>
      </c>
      <c r="J284" t="n">
        <v>126.4093280505847</v>
      </c>
      <c r="K284" t="n">
        <v>126.4093280505847</v>
      </c>
      <c r="L284" t="n">
        <v>126.4093280505847</v>
      </c>
      <c r="M284" t="n">
        <v>126.4093280505847</v>
      </c>
      <c r="N284" t="n">
        <v>126.4093280505847</v>
      </c>
      <c r="O284" t="n">
        <v>126.4093280505847</v>
      </c>
      <c r="P284" t="n">
        <v>126.4093280505847</v>
      </c>
      <c r="Q284" t="n">
        <v>126.4093280505847</v>
      </c>
      <c r="R284" t="n">
        <v>126.4093280505847</v>
      </c>
      <c r="S284" t="n">
        <v>126.4093280505847</v>
      </c>
      <c r="T284" t="n">
        <v>126.4093280505847</v>
      </c>
      <c r="U284" t="n">
        <v>126.4093280505847</v>
      </c>
      <c r="V284" t="n">
        <v>126.4093280505847</v>
      </c>
      <c r="W284" t="n">
        <v>126.4093280505847</v>
      </c>
      <c r="X284" t="n">
        <v>126.4093280505847</v>
      </c>
      <c r="Y284" t="n">
        <v>126.4093280505847</v>
      </c>
      <c r="Z284" t="n">
        <v>126.4093280505847</v>
      </c>
    </row>
    <row r="285">
      <c r="A285" t="inlineStr">
        <is>
          <t>Residential</t>
        </is>
      </c>
      <c r="B285" t="inlineStr">
        <is>
          <t>House</t>
        </is>
      </c>
      <c r="C285" t="inlineStr">
        <is>
          <t>Lower-Middle Income</t>
        </is>
      </c>
      <c r="D285" t="inlineStr">
        <is>
          <t>New</t>
        </is>
      </c>
      <c r="E285" t="inlineStr">
        <is>
          <t>Other end use</t>
        </is>
      </c>
      <c r="F285" t="inlineStr">
        <is>
          <t>RESHOULMNewOE</t>
        </is>
      </c>
      <c r="G285" t="inlineStr">
        <is>
          <t>TJ</t>
        </is>
      </c>
      <c r="H285" t="inlineStr">
        <is>
          <t>TJ / Mm2</t>
        </is>
      </c>
      <c r="I285" t="n">
        <v>80.4749887086827</v>
      </c>
      <c r="J285" t="n">
        <v>80.4749887086827</v>
      </c>
      <c r="K285" t="n">
        <v>80.4749887086827</v>
      </c>
      <c r="L285" t="n">
        <v>80.4749887086827</v>
      </c>
      <c r="M285" t="n">
        <v>80.4749887086827</v>
      </c>
      <c r="N285" t="n">
        <v>80.4749887086827</v>
      </c>
      <c r="O285" t="n">
        <v>80.4749887086827</v>
      </c>
      <c r="P285" t="n">
        <v>80.4749887086827</v>
      </c>
      <c r="Q285" t="n">
        <v>80.4749887086827</v>
      </c>
      <c r="R285" t="n">
        <v>80.4749887086827</v>
      </c>
      <c r="S285" t="n">
        <v>80.4749887086827</v>
      </c>
      <c r="T285" t="n">
        <v>80.4749887086827</v>
      </c>
      <c r="U285" t="n">
        <v>80.4749887086827</v>
      </c>
      <c r="V285" t="n">
        <v>80.4749887086827</v>
      </c>
      <c r="W285" t="n">
        <v>80.4749887086827</v>
      </c>
      <c r="X285" t="n">
        <v>80.4749887086827</v>
      </c>
      <c r="Y285" t="n">
        <v>80.4749887086827</v>
      </c>
      <c r="Z285" t="n">
        <v>80.4749887086827</v>
      </c>
    </row>
    <row r="286">
      <c r="A286" t="inlineStr">
        <is>
          <t>Residential</t>
        </is>
      </c>
      <c r="B286" t="inlineStr">
        <is>
          <t>Apartment</t>
        </is>
      </c>
      <c r="C286" t="inlineStr">
        <is>
          <t>Upper-Middle Income</t>
        </is>
      </c>
      <c r="D286" t="inlineStr">
        <is>
          <t>New</t>
        </is>
      </c>
      <c r="E286" t="inlineStr">
        <is>
          <t>Other end use</t>
        </is>
      </c>
      <c r="F286" t="inlineStr">
        <is>
          <t>RESAPAUMNewOE</t>
        </is>
      </c>
      <c r="G286" t="inlineStr">
        <is>
          <t>TJ</t>
        </is>
      </c>
      <c r="H286" t="inlineStr">
        <is>
          <t>TJ / Mm2</t>
        </is>
      </c>
      <c r="I286" t="n">
        <v>46.13861802567762</v>
      </c>
      <c r="J286" t="n">
        <v>46.13861802567762</v>
      </c>
      <c r="K286" t="n">
        <v>46.13861802567762</v>
      </c>
      <c r="L286" t="n">
        <v>46.13861802567762</v>
      </c>
      <c r="M286" t="n">
        <v>46.13861802567762</v>
      </c>
      <c r="N286" t="n">
        <v>46.13861802567762</v>
      </c>
      <c r="O286" t="n">
        <v>46.13861802567762</v>
      </c>
      <c r="P286" t="n">
        <v>46.13861802567762</v>
      </c>
      <c r="Q286" t="n">
        <v>46.13861802567762</v>
      </c>
      <c r="R286" t="n">
        <v>46.13861802567762</v>
      </c>
      <c r="S286" t="n">
        <v>46.13861802567762</v>
      </c>
      <c r="T286" t="n">
        <v>46.13861802567762</v>
      </c>
      <c r="U286" t="n">
        <v>46.13861802567762</v>
      </c>
      <c r="V286" t="n">
        <v>46.13861802567762</v>
      </c>
      <c r="W286" t="n">
        <v>46.13861802567762</v>
      </c>
      <c r="X286" t="n">
        <v>46.13861802567762</v>
      </c>
      <c r="Y286" t="n">
        <v>46.13861802567762</v>
      </c>
      <c r="Z286" t="n">
        <v>46.13861802567762</v>
      </c>
    </row>
    <row r="287">
      <c r="A287" t="inlineStr">
        <is>
          <t>Residential</t>
        </is>
      </c>
      <c r="B287" t="inlineStr">
        <is>
          <t>House</t>
        </is>
      </c>
      <c r="C287" t="inlineStr">
        <is>
          <t>Upper-Middle Income</t>
        </is>
      </c>
      <c r="D287" t="inlineStr">
        <is>
          <t>New</t>
        </is>
      </c>
      <c r="E287" t="inlineStr">
        <is>
          <t>Other end use</t>
        </is>
      </c>
      <c r="F287" t="inlineStr">
        <is>
          <t>RESHOUUMNewOE</t>
        </is>
      </c>
      <c r="G287" t="inlineStr">
        <is>
          <t>TJ</t>
        </is>
      </c>
      <c r="H287" t="inlineStr">
        <is>
          <t>TJ / Mm2</t>
        </is>
      </c>
      <c r="I287" t="n">
        <v>98.31962735591561</v>
      </c>
      <c r="J287" t="n">
        <v>98.31962735591561</v>
      </c>
      <c r="K287" t="n">
        <v>98.31962735591561</v>
      </c>
      <c r="L287" t="n">
        <v>98.31962735591561</v>
      </c>
      <c r="M287" t="n">
        <v>98.31962735591561</v>
      </c>
      <c r="N287" t="n">
        <v>98.31962735591561</v>
      </c>
      <c r="O287" t="n">
        <v>98.31962735591561</v>
      </c>
      <c r="P287" t="n">
        <v>98.31962735591561</v>
      </c>
      <c r="Q287" t="n">
        <v>98.31962735591561</v>
      </c>
      <c r="R287" t="n">
        <v>98.31962735591561</v>
      </c>
      <c r="S287" t="n">
        <v>98.31962735591561</v>
      </c>
      <c r="T287" t="n">
        <v>98.31962735591561</v>
      </c>
      <c r="U287" t="n">
        <v>98.31962735591561</v>
      </c>
      <c r="V287" t="n">
        <v>98.31962735591561</v>
      </c>
      <c r="W287" t="n">
        <v>98.31962735591561</v>
      </c>
      <c r="X287" t="n">
        <v>98.31962735591561</v>
      </c>
      <c r="Y287" t="n">
        <v>98.31962735591561</v>
      </c>
      <c r="Z287" t="n">
        <v>98.31962735591561</v>
      </c>
    </row>
    <row r="288">
      <c r="A288" t="inlineStr">
        <is>
          <t>Residential</t>
        </is>
      </c>
      <c r="B288" t="inlineStr">
        <is>
          <t>Apartment</t>
        </is>
      </c>
      <c r="C288" t="inlineStr">
        <is>
          <t>High Income</t>
        </is>
      </c>
      <c r="D288" t="inlineStr">
        <is>
          <t>New</t>
        </is>
      </c>
      <c r="E288" t="inlineStr">
        <is>
          <t>Other end use</t>
        </is>
      </c>
      <c r="F288" t="inlineStr">
        <is>
          <t>RESAPAHINewOE</t>
        </is>
      </c>
      <c r="G288" t="inlineStr">
        <is>
          <t>TJ</t>
        </is>
      </c>
      <c r="H288" t="inlineStr">
        <is>
          <t>TJ / Mm2</t>
        </is>
      </c>
      <c r="I288" t="n">
        <v>81.43537111275353</v>
      </c>
      <c r="J288" t="n">
        <v>81.43537111275353</v>
      </c>
      <c r="K288" t="n">
        <v>81.43537111275353</v>
      </c>
      <c r="L288" t="n">
        <v>81.43537111275353</v>
      </c>
      <c r="M288" t="n">
        <v>81.43537111275353</v>
      </c>
      <c r="N288" t="n">
        <v>81.43537111275353</v>
      </c>
      <c r="O288" t="n">
        <v>81.43537111275353</v>
      </c>
      <c r="P288" t="n">
        <v>81.43537111275353</v>
      </c>
      <c r="Q288" t="n">
        <v>81.43537111275353</v>
      </c>
      <c r="R288" t="n">
        <v>81.43537111275353</v>
      </c>
      <c r="S288" t="n">
        <v>81.43537111275353</v>
      </c>
      <c r="T288" t="n">
        <v>81.43537111275353</v>
      </c>
      <c r="U288" t="n">
        <v>81.43537111275353</v>
      </c>
      <c r="V288" t="n">
        <v>81.43537111275353</v>
      </c>
      <c r="W288" t="n">
        <v>81.43537111275353</v>
      </c>
      <c r="X288" t="n">
        <v>81.43537111275353</v>
      </c>
      <c r="Y288" t="n">
        <v>81.43537111275353</v>
      </c>
      <c r="Z288" t="n">
        <v>81.43537111275353</v>
      </c>
    </row>
    <row r="289">
      <c r="A289" t="inlineStr">
        <is>
          <t>Residential</t>
        </is>
      </c>
      <c r="B289" t="inlineStr">
        <is>
          <t>House</t>
        </is>
      </c>
      <c r="C289" t="inlineStr">
        <is>
          <t>High Income</t>
        </is>
      </c>
      <c r="D289" t="inlineStr">
        <is>
          <t>New</t>
        </is>
      </c>
      <c r="E289" t="inlineStr">
        <is>
          <t>Other end use</t>
        </is>
      </c>
      <c r="F289" t="inlineStr">
        <is>
          <t>RESHOUHINewOE</t>
        </is>
      </c>
      <c r="G289" t="inlineStr">
        <is>
          <t>TJ</t>
        </is>
      </c>
      <c r="H289" t="inlineStr">
        <is>
          <t>TJ / Mm2</t>
        </is>
      </c>
      <c r="I289" t="n">
        <v>100.7341963244552</v>
      </c>
      <c r="J289" t="n">
        <v>100.7341963244552</v>
      </c>
      <c r="K289" t="n">
        <v>100.7341963244552</v>
      </c>
      <c r="L289" t="n">
        <v>100.7341963244552</v>
      </c>
      <c r="M289" t="n">
        <v>100.7341963244552</v>
      </c>
      <c r="N289" t="n">
        <v>100.7341963244552</v>
      </c>
      <c r="O289" t="n">
        <v>100.7341963244552</v>
      </c>
      <c r="P289" t="n">
        <v>100.7341963244552</v>
      </c>
      <c r="Q289" t="n">
        <v>100.7341963244552</v>
      </c>
      <c r="R289" t="n">
        <v>100.7341963244552</v>
      </c>
      <c r="S289" t="n">
        <v>100.7341963244552</v>
      </c>
      <c r="T289" t="n">
        <v>100.7341963244552</v>
      </c>
      <c r="U289" t="n">
        <v>100.7341963244552</v>
      </c>
      <c r="V289" t="n">
        <v>100.7341963244552</v>
      </c>
      <c r="W289" t="n">
        <v>100.7341963244552</v>
      </c>
      <c r="X289" t="n">
        <v>100.7341963244552</v>
      </c>
      <c r="Y289" t="n">
        <v>100.7341963244552</v>
      </c>
      <c r="Z289" t="n">
        <v>100.7341963244552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8"/>
    <outlinePr summaryBelow="1" summaryRight="1"/>
    <pageSetUpPr/>
  </sheetPr>
  <dimension ref="A1:A1"/>
  <sheetViews>
    <sheetView workbookViewId="0">
      <selection activeCell="C6" sqref="C6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486"/>
  <sheetViews>
    <sheetView zoomScale="85" zoomScaleNormal="85" workbookViewId="0">
      <selection activeCell="C12" sqref="C12"/>
    </sheetView>
  </sheetViews>
  <sheetFormatPr baseColWidth="8" defaultRowHeight="15"/>
  <cols>
    <col width="22.42578125" bestFit="1" customWidth="1" min="2" max="2"/>
    <col width="10.5703125" bestFit="1" customWidth="1" min="3" max="3"/>
    <col width="24.140625" bestFit="1" customWidth="1" min="4" max="4"/>
    <col width="75.7109375" bestFit="1" customWidth="1" min="5" max="5"/>
    <col width="10.42578125" bestFit="1" customWidth="1" min="6" max="6"/>
    <col width="11.85546875" bestFit="1" customWidth="1" min="7" max="7"/>
    <col width="22.5703125" bestFit="1" customWidth="1" min="8" max="8"/>
    <col width="17.28515625" bestFit="1" customWidth="1" min="9" max="9"/>
    <col width="15" bestFit="1" customWidth="1" min="10" max="10"/>
  </cols>
  <sheetData>
    <row r="2">
      <c r="B2" s="9" t="inlineStr">
        <is>
          <t>~FI_Process</t>
        </is>
      </c>
    </row>
    <row r="3">
      <c r="B3" s="10" t="inlineStr">
        <is>
          <t>Sets</t>
        </is>
      </c>
      <c r="C3" s="10" t="inlineStr">
        <is>
          <t>Region</t>
        </is>
      </c>
      <c r="D3" s="10" t="inlineStr">
        <is>
          <t>TechName</t>
        </is>
      </c>
      <c r="E3" s="10" t="inlineStr">
        <is>
          <t>TechDesc</t>
        </is>
      </c>
      <c r="F3" s="10" t="inlineStr">
        <is>
          <t>Tact</t>
        </is>
      </c>
      <c r="G3" s="10" t="inlineStr">
        <is>
          <t>Tcap</t>
        </is>
      </c>
      <c r="H3" s="10" t="inlineStr">
        <is>
          <t>Tslvl</t>
        </is>
      </c>
      <c r="I3" s="10" t="inlineStr">
        <is>
          <t>PrimaryCG</t>
        </is>
      </c>
      <c r="J3" s="10" t="inlineStr">
        <is>
          <t>Vintage</t>
        </is>
      </c>
    </row>
    <row r="4" ht="27.6" customHeight="1" thickBot="1">
      <c r="B4" s="11" t="inlineStr">
        <is>
          <t>*Process Set Membership</t>
        </is>
      </c>
      <c r="C4" s="11" t="inlineStr">
        <is>
          <t>Region</t>
        </is>
      </c>
      <c r="D4" s="11" t="inlineStr">
        <is>
          <t>Technology Name</t>
        </is>
      </c>
      <c r="E4" s="11" t="inlineStr">
        <is>
          <t>Technology Description</t>
        </is>
      </c>
      <c r="F4" s="11" t="inlineStr">
        <is>
          <t>Activity Unit</t>
        </is>
      </c>
      <c r="G4" s="11" t="inlineStr">
        <is>
          <t>Capacity Unit</t>
        </is>
      </c>
      <c r="H4" s="11" t="inlineStr">
        <is>
          <t>TimeSlice level of Process Activity</t>
        </is>
      </c>
      <c r="I4" s="11" t="inlineStr">
        <is>
          <t>Primary Commodity Group</t>
        </is>
      </c>
      <c r="J4" s="11" t="inlineStr">
        <is>
          <t>Vintage Tracking</t>
        </is>
      </c>
    </row>
    <row r="5">
      <c r="B5" t="inlineStr">
        <is>
          <t>PRE</t>
        </is>
      </c>
      <c r="C5" t="inlineStr">
        <is>
          <t>CITY</t>
        </is>
      </c>
      <c r="D5">
        <f>LEFT(Demand!E2,LEN(Demand!E2)-3)</f>
        <v/>
      </c>
      <c r="E5">
        <f>Demand!A2&amp;" "&amp;Demand!B2&amp;" "&amp;Demand!C2&amp;" "&amp;Demand!D2&amp;" "&amp;"demand agg"</f>
        <v/>
      </c>
      <c r="F5" t="inlineStr">
        <is>
          <t>Mm2</t>
        </is>
      </c>
      <c r="G5" t="inlineStr">
        <is>
          <t>Mm2</t>
        </is>
      </c>
    </row>
    <row r="6">
      <c r="C6" t="inlineStr">
        <is>
          <t>CITY</t>
        </is>
      </c>
      <c r="D6">
        <f>LEFT(Demand!E3,LEN(Demand!E3)-3)</f>
        <v/>
      </c>
      <c r="E6">
        <f>Demand!A3&amp;" "&amp;Demand!B3&amp;" "&amp;Demand!C3&amp;" "&amp;Demand!D3&amp;" "&amp;"demand agg"</f>
        <v/>
      </c>
      <c r="F6" t="inlineStr">
        <is>
          <t>Mm2</t>
        </is>
      </c>
      <c r="G6" t="inlineStr">
        <is>
          <t>Mm2</t>
        </is>
      </c>
    </row>
    <row r="7">
      <c r="C7" t="inlineStr">
        <is>
          <t>CITY</t>
        </is>
      </c>
      <c r="D7">
        <f>LEFT(Demand!E4,LEN(Demand!E4)-3)</f>
        <v/>
      </c>
      <c r="E7">
        <f>Demand!A4&amp;" "&amp;Demand!B4&amp;" "&amp;Demand!C4&amp;" "&amp;Demand!D4&amp;" "&amp;"demand agg"</f>
        <v/>
      </c>
      <c r="F7" t="inlineStr">
        <is>
          <t>Mm2</t>
        </is>
      </c>
      <c r="G7" t="inlineStr">
        <is>
          <t>Mm2</t>
        </is>
      </c>
    </row>
    <row r="8">
      <c r="C8" t="inlineStr">
        <is>
          <t>CITY</t>
        </is>
      </c>
      <c r="D8">
        <f>LEFT(Demand!E5,LEN(Demand!E5)-3)</f>
        <v/>
      </c>
      <c r="E8">
        <f>Demand!A5&amp;" "&amp;Demand!B5&amp;" "&amp;Demand!C5&amp;" "&amp;Demand!D5&amp;" "&amp;"demand agg"</f>
        <v/>
      </c>
      <c r="F8" t="inlineStr">
        <is>
          <t>Mm2</t>
        </is>
      </c>
      <c r="G8" t="inlineStr">
        <is>
          <t>Mm2</t>
        </is>
      </c>
    </row>
    <row r="9">
      <c r="C9" t="inlineStr">
        <is>
          <t>CITY</t>
        </is>
      </c>
      <c r="D9">
        <f>LEFT(Demand!E6,LEN(Demand!E6)-3)</f>
        <v/>
      </c>
      <c r="E9">
        <f>Demand!A6&amp;" "&amp;Demand!B6&amp;" "&amp;Demand!C6&amp;" "&amp;Demand!D6&amp;" "&amp;"demand agg"</f>
        <v/>
      </c>
      <c r="F9" t="inlineStr">
        <is>
          <t>Mm2</t>
        </is>
      </c>
      <c r="G9" t="inlineStr">
        <is>
          <t>Mm2</t>
        </is>
      </c>
    </row>
    <row r="10">
      <c r="C10" t="inlineStr">
        <is>
          <t>CITY</t>
        </is>
      </c>
      <c r="D10">
        <f>LEFT(Demand!E7,LEN(Demand!E7)-3)</f>
        <v/>
      </c>
      <c r="E10">
        <f>Demand!A7&amp;" "&amp;Demand!B7&amp;" "&amp;Demand!C7&amp;" "&amp;Demand!D7&amp;" "&amp;"demand agg"</f>
        <v/>
      </c>
      <c r="F10" t="inlineStr">
        <is>
          <t>Mm2</t>
        </is>
      </c>
      <c r="G10" t="inlineStr">
        <is>
          <t>Mm2</t>
        </is>
      </c>
    </row>
    <row r="11">
      <c r="C11" t="inlineStr">
        <is>
          <t>CITY</t>
        </is>
      </c>
      <c r="D11">
        <f>LEFT(Demand!E8,LEN(Demand!E8)-3)</f>
        <v/>
      </c>
      <c r="E11">
        <f>Demand!A8&amp;" "&amp;Demand!B8&amp;" "&amp;Demand!C8&amp;" "&amp;Demand!D8&amp;" "&amp;"demand agg"</f>
        <v/>
      </c>
      <c r="F11" t="inlineStr">
        <is>
          <t>Mm2</t>
        </is>
      </c>
      <c r="G11" t="inlineStr">
        <is>
          <t>Mm2</t>
        </is>
      </c>
    </row>
    <row r="12">
      <c r="C12" t="inlineStr">
        <is>
          <t>CITY</t>
        </is>
      </c>
      <c r="D12">
        <f>LEFT(Demand!E9,LEN(Demand!E9)-3)</f>
        <v/>
      </c>
      <c r="E12">
        <f>Demand!A9&amp;" "&amp;Demand!B9&amp;" "&amp;Demand!C9&amp;" "&amp;Demand!D9&amp;" "&amp;"demand agg"</f>
        <v/>
      </c>
      <c r="F12" t="inlineStr">
        <is>
          <t>Mm2</t>
        </is>
      </c>
      <c r="G12" t="inlineStr">
        <is>
          <t>Mm2</t>
        </is>
      </c>
    </row>
    <row r="13">
      <c r="C13" t="inlineStr">
        <is>
          <t>CITY</t>
        </is>
      </c>
      <c r="D13">
        <f>LEFT(Demand!E10,LEN(Demand!E10)-3)</f>
        <v/>
      </c>
      <c r="E13">
        <f>Demand!A10&amp;" "&amp;Demand!B10&amp;" "&amp;Demand!C10&amp;" "&amp;Demand!D10&amp;" "&amp;"demand agg"</f>
        <v/>
      </c>
      <c r="F13" t="inlineStr">
        <is>
          <t>Mm2</t>
        </is>
      </c>
      <c r="G13" t="inlineStr">
        <is>
          <t>Mm2</t>
        </is>
      </c>
    </row>
    <row r="14">
      <c r="C14" t="inlineStr">
        <is>
          <t>CITY</t>
        </is>
      </c>
      <c r="D14">
        <f>LEFT(Demand!E11,LEN(Demand!E11)-3)</f>
        <v/>
      </c>
      <c r="E14">
        <f>Demand!A11&amp;" "&amp;Demand!B11&amp;" "&amp;Demand!C11&amp;" "&amp;Demand!D11&amp;" "&amp;"demand agg"</f>
        <v/>
      </c>
      <c r="F14" t="inlineStr">
        <is>
          <t>Mm2</t>
        </is>
      </c>
      <c r="G14" t="inlineStr">
        <is>
          <t>Mm2</t>
        </is>
      </c>
    </row>
    <row r="15">
      <c r="C15" t="inlineStr">
        <is>
          <t>CITY</t>
        </is>
      </c>
      <c r="D15">
        <f>LEFT(Demand!E12,LEN(Demand!E12)-3)</f>
        <v/>
      </c>
      <c r="E15">
        <f>Demand!A12&amp;" "&amp;Demand!B12&amp;" "&amp;Demand!C12&amp;" "&amp;Demand!D12&amp;" "&amp;"demand agg"</f>
        <v/>
      </c>
      <c r="F15" t="inlineStr">
        <is>
          <t>Mm2</t>
        </is>
      </c>
      <c r="G15" t="inlineStr">
        <is>
          <t>Mm2</t>
        </is>
      </c>
    </row>
    <row r="16">
      <c r="C16" t="inlineStr">
        <is>
          <t>CITY</t>
        </is>
      </c>
      <c r="D16">
        <f>LEFT(Demand!E13,LEN(Demand!E13)-3)</f>
        <v/>
      </c>
      <c r="E16">
        <f>Demand!A13&amp;" "&amp;Demand!B13&amp;" "&amp;Demand!C13&amp;" "&amp;Demand!D13&amp;" "&amp;"demand agg"</f>
        <v/>
      </c>
      <c r="F16" t="inlineStr">
        <is>
          <t>Mm2</t>
        </is>
      </c>
      <c r="G16" t="inlineStr">
        <is>
          <t>Mm2</t>
        </is>
      </c>
    </row>
    <row r="17">
      <c r="C17" t="inlineStr">
        <is>
          <t>CITY</t>
        </is>
      </c>
      <c r="D17">
        <f>LEFT(Demand!E14,LEN(Demand!E14)-3)</f>
        <v/>
      </c>
      <c r="E17">
        <f>Demand!A14&amp;" "&amp;Demand!B14&amp;" "&amp;Demand!C14&amp;" "&amp;Demand!D14&amp;" "&amp;"demand agg"</f>
        <v/>
      </c>
      <c r="F17" t="inlineStr">
        <is>
          <t>Mm2</t>
        </is>
      </c>
      <c r="G17" t="inlineStr">
        <is>
          <t>Mm2</t>
        </is>
      </c>
    </row>
    <row r="18">
      <c r="C18" t="inlineStr">
        <is>
          <t>CITY</t>
        </is>
      </c>
      <c r="D18">
        <f>LEFT(Demand!E15,LEN(Demand!E15)-3)</f>
        <v/>
      </c>
      <c r="E18">
        <f>Demand!A15&amp;" "&amp;Demand!B15&amp;" "&amp;Demand!C15&amp;" "&amp;Demand!D15&amp;" "&amp;"demand agg"</f>
        <v/>
      </c>
      <c r="F18" t="inlineStr">
        <is>
          <t>Mm2</t>
        </is>
      </c>
      <c r="G18" t="inlineStr">
        <is>
          <t>Mm2</t>
        </is>
      </c>
    </row>
    <row r="19">
      <c r="C19" t="inlineStr">
        <is>
          <t>CITY</t>
        </is>
      </c>
      <c r="D19">
        <f>LEFT(Demand!E16,LEN(Demand!E16)-3)</f>
        <v/>
      </c>
      <c r="E19">
        <f>Demand!A16&amp;" "&amp;Demand!B16&amp;" "&amp;Demand!C16&amp;" "&amp;Demand!D16&amp;" "&amp;"demand agg"</f>
        <v/>
      </c>
      <c r="F19" t="inlineStr">
        <is>
          <t>Mm2</t>
        </is>
      </c>
      <c r="G19" t="inlineStr">
        <is>
          <t>Mm2</t>
        </is>
      </c>
    </row>
    <row r="20">
      <c r="C20" t="inlineStr">
        <is>
          <t>CITY</t>
        </is>
      </c>
      <c r="D20">
        <f>LEFT(Demand!E17,LEN(Demand!E17)-3)</f>
        <v/>
      </c>
      <c r="E20">
        <f>Demand!A17&amp;" "&amp;Demand!B17&amp;" "&amp;Demand!C17&amp;" "&amp;Demand!D17&amp;" "&amp;"demand agg"</f>
        <v/>
      </c>
      <c r="F20" t="inlineStr">
        <is>
          <t>Mm2</t>
        </is>
      </c>
      <c r="G20" t="inlineStr">
        <is>
          <t>Mm2</t>
        </is>
      </c>
    </row>
    <row r="21">
      <c r="B21" t="inlineStr">
        <is>
          <t>*</t>
        </is>
      </c>
    </row>
    <row r="22">
      <c r="B22" t="inlineStr">
        <is>
          <t>PRE</t>
        </is>
      </c>
      <c r="C22" t="inlineStr">
        <is>
          <t>CITY</t>
        </is>
      </c>
      <c r="D22">
        <f>'BDG Intensity'!F2</f>
        <v/>
      </c>
      <c r="E22">
        <f>'BDG Intensity'!A2&amp;" "&amp;'BDG Intensity'!B2&amp;" "&amp;'BDG Intensity'!C2&amp;" "&amp;'BDG Intensity'!D2&amp;" "&amp;'BDG Intensity'!E2&amp;" "&amp;"Building Efficiency"</f>
        <v/>
      </c>
      <c r="F22" t="inlineStr">
        <is>
          <t>Mm2</t>
        </is>
      </c>
      <c r="G22" t="inlineStr">
        <is>
          <t>Mm2</t>
        </is>
      </c>
    </row>
    <row r="23">
      <c r="C23" t="inlineStr">
        <is>
          <t>CITY</t>
        </is>
      </c>
      <c r="D23">
        <f>'BDG Intensity'!F3</f>
        <v/>
      </c>
      <c r="E23">
        <f>'BDG Intensity'!A3&amp;" "&amp;'BDG Intensity'!B3&amp;" "&amp;'BDG Intensity'!C3&amp;" "&amp;'BDG Intensity'!D3&amp;" "&amp;'BDG Intensity'!E3&amp;" "&amp;"Building Efficiency"</f>
        <v/>
      </c>
      <c r="F23" t="inlineStr">
        <is>
          <t>Mm2</t>
        </is>
      </c>
      <c r="G23" t="inlineStr">
        <is>
          <t>Mm2</t>
        </is>
      </c>
    </row>
    <row r="24">
      <c r="C24" t="inlineStr">
        <is>
          <t>CITY</t>
        </is>
      </c>
      <c r="D24">
        <f>'BDG Intensity'!F4</f>
        <v/>
      </c>
      <c r="E24">
        <f>'BDG Intensity'!A4&amp;" "&amp;'BDG Intensity'!B4&amp;" "&amp;'BDG Intensity'!C4&amp;" "&amp;'BDG Intensity'!D4&amp;" "&amp;'BDG Intensity'!E4&amp;" "&amp;"Building Efficiency"</f>
        <v/>
      </c>
      <c r="F24" t="inlineStr">
        <is>
          <t>Mm2</t>
        </is>
      </c>
      <c r="G24" t="inlineStr">
        <is>
          <t>Mm2</t>
        </is>
      </c>
    </row>
    <row r="25">
      <c r="C25" t="inlineStr">
        <is>
          <t>CITY</t>
        </is>
      </c>
      <c r="D25">
        <f>'BDG Intensity'!F5</f>
        <v/>
      </c>
      <c r="E25">
        <f>'BDG Intensity'!A5&amp;" "&amp;'BDG Intensity'!B5&amp;" "&amp;'BDG Intensity'!C5&amp;" "&amp;'BDG Intensity'!D5&amp;" "&amp;'BDG Intensity'!E5&amp;" "&amp;"Building Efficiency"</f>
        <v/>
      </c>
      <c r="F25" t="inlineStr">
        <is>
          <t>Mm2</t>
        </is>
      </c>
      <c r="G25" t="inlineStr">
        <is>
          <t>Mm2</t>
        </is>
      </c>
    </row>
    <row r="26">
      <c r="C26" t="inlineStr">
        <is>
          <t>CITY</t>
        </is>
      </c>
      <c r="D26">
        <f>'BDG Intensity'!F6</f>
        <v/>
      </c>
      <c r="E26">
        <f>'BDG Intensity'!A6&amp;" "&amp;'BDG Intensity'!B6&amp;" "&amp;'BDG Intensity'!C6&amp;" "&amp;'BDG Intensity'!D6&amp;" "&amp;'BDG Intensity'!E6&amp;" "&amp;"Building Efficiency"</f>
        <v/>
      </c>
      <c r="F26" t="inlineStr">
        <is>
          <t>Mm2</t>
        </is>
      </c>
      <c r="G26" t="inlineStr">
        <is>
          <t>Mm2</t>
        </is>
      </c>
    </row>
    <row r="27">
      <c r="C27" t="inlineStr">
        <is>
          <t>CITY</t>
        </is>
      </c>
      <c r="D27">
        <f>'BDG Intensity'!F7</f>
        <v/>
      </c>
      <c r="E27">
        <f>'BDG Intensity'!A7&amp;" "&amp;'BDG Intensity'!B7&amp;" "&amp;'BDG Intensity'!C7&amp;" "&amp;'BDG Intensity'!D7&amp;" "&amp;'BDG Intensity'!E7&amp;" "&amp;"Building Efficiency"</f>
        <v/>
      </c>
      <c r="F27" t="inlineStr">
        <is>
          <t>Mm2</t>
        </is>
      </c>
      <c r="G27" t="inlineStr">
        <is>
          <t>Mm2</t>
        </is>
      </c>
    </row>
    <row r="28">
      <c r="C28" t="inlineStr">
        <is>
          <t>CITY</t>
        </is>
      </c>
      <c r="D28">
        <f>'BDG Intensity'!F8</f>
        <v/>
      </c>
      <c r="E28">
        <f>'BDG Intensity'!A8&amp;" "&amp;'BDG Intensity'!B8&amp;" "&amp;'BDG Intensity'!C8&amp;" "&amp;'BDG Intensity'!D8&amp;" "&amp;'BDG Intensity'!E8&amp;" "&amp;"Building Efficiency"</f>
        <v/>
      </c>
      <c r="F28" t="inlineStr">
        <is>
          <t>Mm2</t>
        </is>
      </c>
      <c r="G28" t="inlineStr">
        <is>
          <t>Mm2</t>
        </is>
      </c>
    </row>
    <row r="29">
      <c r="C29" t="inlineStr">
        <is>
          <t>CITY</t>
        </is>
      </c>
      <c r="D29">
        <f>'BDG Intensity'!F9</f>
        <v/>
      </c>
      <c r="E29">
        <f>'BDG Intensity'!A9&amp;" "&amp;'BDG Intensity'!B9&amp;" "&amp;'BDG Intensity'!C9&amp;" "&amp;'BDG Intensity'!D9&amp;" "&amp;'BDG Intensity'!E9&amp;" "&amp;"Building Efficiency"</f>
        <v/>
      </c>
      <c r="F29" t="inlineStr">
        <is>
          <t>Mm2</t>
        </is>
      </c>
      <c r="G29" t="inlineStr">
        <is>
          <t>Mm2</t>
        </is>
      </c>
    </row>
    <row r="30">
      <c r="C30" t="inlineStr">
        <is>
          <t>CITY</t>
        </is>
      </c>
      <c r="D30">
        <f>'BDG Intensity'!F10</f>
        <v/>
      </c>
      <c r="E30">
        <f>'BDG Intensity'!A10&amp;" "&amp;'BDG Intensity'!B10&amp;" "&amp;'BDG Intensity'!C10&amp;" "&amp;'BDG Intensity'!D10&amp;" "&amp;'BDG Intensity'!E10&amp;" "&amp;"Building Efficiency"</f>
        <v/>
      </c>
      <c r="F30" t="inlineStr">
        <is>
          <t>Mm2</t>
        </is>
      </c>
      <c r="G30" t="inlineStr">
        <is>
          <t>Mm2</t>
        </is>
      </c>
    </row>
    <row r="31">
      <c r="C31" t="inlineStr">
        <is>
          <t>CITY</t>
        </is>
      </c>
      <c r="D31">
        <f>'BDG Intensity'!F11</f>
        <v/>
      </c>
      <c r="E31">
        <f>'BDG Intensity'!A11&amp;" "&amp;'BDG Intensity'!B11&amp;" "&amp;'BDG Intensity'!C11&amp;" "&amp;'BDG Intensity'!D11&amp;" "&amp;'BDG Intensity'!E11&amp;" "&amp;"Building Efficiency"</f>
        <v/>
      </c>
      <c r="F31" t="inlineStr">
        <is>
          <t>Mm2</t>
        </is>
      </c>
      <c r="G31" t="inlineStr">
        <is>
          <t>Mm2</t>
        </is>
      </c>
    </row>
    <row r="32">
      <c r="C32" t="inlineStr">
        <is>
          <t>CITY</t>
        </is>
      </c>
      <c r="D32">
        <f>'BDG Intensity'!F12</f>
        <v/>
      </c>
      <c r="E32">
        <f>'BDG Intensity'!A12&amp;" "&amp;'BDG Intensity'!B12&amp;" "&amp;'BDG Intensity'!C12&amp;" "&amp;'BDG Intensity'!D12&amp;" "&amp;'BDG Intensity'!E12&amp;" "&amp;"Building Efficiency"</f>
        <v/>
      </c>
      <c r="F32" t="inlineStr">
        <is>
          <t>Mm2</t>
        </is>
      </c>
      <c r="G32" t="inlineStr">
        <is>
          <t>Mm2</t>
        </is>
      </c>
    </row>
    <row r="33">
      <c r="C33" t="inlineStr">
        <is>
          <t>CITY</t>
        </is>
      </c>
      <c r="D33">
        <f>'BDG Intensity'!F13</f>
        <v/>
      </c>
      <c r="E33">
        <f>'BDG Intensity'!A13&amp;" "&amp;'BDG Intensity'!B13&amp;" "&amp;'BDG Intensity'!C13&amp;" "&amp;'BDG Intensity'!D13&amp;" "&amp;'BDG Intensity'!E13&amp;" "&amp;"Building Efficiency"</f>
        <v/>
      </c>
      <c r="F33" t="inlineStr">
        <is>
          <t>Mm2</t>
        </is>
      </c>
      <c r="G33" t="inlineStr">
        <is>
          <t>Mm2</t>
        </is>
      </c>
    </row>
    <row r="34">
      <c r="C34" t="inlineStr">
        <is>
          <t>CITY</t>
        </is>
      </c>
      <c r="D34">
        <f>'BDG Intensity'!F14</f>
        <v/>
      </c>
      <c r="E34">
        <f>'BDG Intensity'!A14&amp;" "&amp;'BDG Intensity'!B14&amp;" "&amp;'BDG Intensity'!C14&amp;" "&amp;'BDG Intensity'!D14&amp;" "&amp;'BDG Intensity'!E14&amp;" "&amp;"Building Efficiency"</f>
        <v/>
      </c>
      <c r="F34" t="inlineStr">
        <is>
          <t>Mm2</t>
        </is>
      </c>
      <c r="G34" t="inlineStr">
        <is>
          <t>Mm2</t>
        </is>
      </c>
    </row>
    <row r="35">
      <c r="C35" t="inlineStr">
        <is>
          <t>CITY</t>
        </is>
      </c>
      <c r="D35">
        <f>'BDG Intensity'!F15</f>
        <v/>
      </c>
      <c r="E35">
        <f>'BDG Intensity'!A15&amp;" "&amp;'BDG Intensity'!B15&amp;" "&amp;'BDG Intensity'!C15&amp;" "&amp;'BDG Intensity'!D15&amp;" "&amp;'BDG Intensity'!E15&amp;" "&amp;"Building Efficiency"</f>
        <v/>
      </c>
      <c r="F35" t="inlineStr">
        <is>
          <t>Mm2</t>
        </is>
      </c>
      <c r="G35" t="inlineStr">
        <is>
          <t>Mm2</t>
        </is>
      </c>
    </row>
    <row r="36">
      <c r="C36" t="inlineStr">
        <is>
          <t>CITY</t>
        </is>
      </c>
      <c r="D36">
        <f>'BDG Intensity'!F16</f>
        <v/>
      </c>
      <c r="E36">
        <f>'BDG Intensity'!A16&amp;" "&amp;'BDG Intensity'!B16&amp;" "&amp;'BDG Intensity'!C16&amp;" "&amp;'BDG Intensity'!D16&amp;" "&amp;'BDG Intensity'!E16&amp;" "&amp;"Building Efficiency"</f>
        <v/>
      </c>
      <c r="F36" t="inlineStr">
        <is>
          <t>Mm2</t>
        </is>
      </c>
      <c r="G36" t="inlineStr">
        <is>
          <t>Mm2</t>
        </is>
      </c>
    </row>
    <row r="37">
      <c r="C37" t="inlineStr">
        <is>
          <t>CITY</t>
        </is>
      </c>
      <c r="D37">
        <f>'BDG Intensity'!F17</f>
        <v/>
      </c>
      <c r="E37">
        <f>'BDG Intensity'!A17&amp;" "&amp;'BDG Intensity'!B17&amp;" "&amp;'BDG Intensity'!C17&amp;" "&amp;'BDG Intensity'!D17&amp;" "&amp;'BDG Intensity'!E17&amp;" "&amp;"Building Efficiency"</f>
        <v/>
      </c>
      <c r="F37" t="inlineStr">
        <is>
          <t>Mm2</t>
        </is>
      </c>
      <c r="G37" t="inlineStr">
        <is>
          <t>Mm2</t>
        </is>
      </c>
    </row>
    <row r="38">
      <c r="C38" t="inlineStr">
        <is>
          <t>CITY</t>
        </is>
      </c>
      <c r="D38">
        <f>'BDG Intensity'!F18</f>
        <v/>
      </c>
      <c r="E38">
        <f>'BDG Intensity'!A18&amp;" "&amp;'BDG Intensity'!B18&amp;" "&amp;'BDG Intensity'!C18&amp;" "&amp;'BDG Intensity'!D18&amp;" "&amp;'BDG Intensity'!E18&amp;" "&amp;"Building Efficiency"</f>
        <v/>
      </c>
      <c r="F38" t="inlineStr">
        <is>
          <t>Mm2</t>
        </is>
      </c>
      <c r="G38" t="inlineStr">
        <is>
          <t>Mm2</t>
        </is>
      </c>
    </row>
    <row r="39">
      <c r="C39" t="inlineStr">
        <is>
          <t>CITY</t>
        </is>
      </c>
      <c r="D39">
        <f>'BDG Intensity'!F19</f>
        <v/>
      </c>
      <c r="E39">
        <f>'BDG Intensity'!A19&amp;" "&amp;'BDG Intensity'!B19&amp;" "&amp;'BDG Intensity'!C19&amp;" "&amp;'BDG Intensity'!D19&amp;" "&amp;'BDG Intensity'!E19&amp;" "&amp;"Building Efficiency"</f>
        <v/>
      </c>
      <c r="F39" t="inlineStr">
        <is>
          <t>Mm2</t>
        </is>
      </c>
      <c r="G39" t="inlineStr">
        <is>
          <t>Mm2</t>
        </is>
      </c>
    </row>
    <row r="40">
      <c r="C40" t="inlineStr">
        <is>
          <t>CITY</t>
        </is>
      </c>
      <c r="D40">
        <f>'BDG Intensity'!F20</f>
        <v/>
      </c>
      <c r="E40">
        <f>'BDG Intensity'!A20&amp;" "&amp;'BDG Intensity'!B20&amp;" "&amp;'BDG Intensity'!C20&amp;" "&amp;'BDG Intensity'!D20&amp;" "&amp;'BDG Intensity'!E20&amp;" "&amp;"Building Efficiency"</f>
        <v/>
      </c>
      <c r="F40" t="inlineStr">
        <is>
          <t>Mm2</t>
        </is>
      </c>
      <c r="G40" t="inlineStr">
        <is>
          <t>Mm2</t>
        </is>
      </c>
    </row>
    <row r="41">
      <c r="C41" t="inlineStr">
        <is>
          <t>CITY</t>
        </is>
      </c>
      <c r="D41">
        <f>'BDG Intensity'!F21</f>
        <v/>
      </c>
      <c r="E41">
        <f>'BDG Intensity'!A21&amp;" "&amp;'BDG Intensity'!B21&amp;" "&amp;'BDG Intensity'!C21&amp;" "&amp;'BDG Intensity'!D21&amp;" "&amp;'BDG Intensity'!E21&amp;" "&amp;"Building Efficiency"</f>
        <v/>
      </c>
      <c r="F41" t="inlineStr">
        <is>
          <t>Mm2</t>
        </is>
      </c>
      <c r="G41" t="inlineStr">
        <is>
          <t>Mm2</t>
        </is>
      </c>
    </row>
    <row r="42">
      <c r="C42" t="inlineStr">
        <is>
          <t>CITY</t>
        </is>
      </c>
      <c r="D42">
        <f>'BDG Intensity'!F22</f>
        <v/>
      </c>
      <c r="E42">
        <f>'BDG Intensity'!A22&amp;" "&amp;'BDG Intensity'!B22&amp;" "&amp;'BDG Intensity'!C22&amp;" "&amp;'BDG Intensity'!D22&amp;" "&amp;'BDG Intensity'!E22&amp;" "&amp;"Building Efficiency"</f>
        <v/>
      </c>
      <c r="F42" t="inlineStr">
        <is>
          <t>Mm2</t>
        </is>
      </c>
      <c r="G42" t="inlineStr">
        <is>
          <t>Mm2</t>
        </is>
      </c>
    </row>
    <row r="43">
      <c r="C43" t="inlineStr">
        <is>
          <t>CITY</t>
        </is>
      </c>
      <c r="D43">
        <f>'BDG Intensity'!F23</f>
        <v/>
      </c>
      <c r="E43">
        <f>'BDG Intensity'!A23&amp;" "&amp;'BDG Intensity'!B23&amp;" "&amp;'BDG Intensity'!C23&amp;" "&amp;'BDG Intensity'!D23&amp;" "&amp;'BDG Intensity'!E23&amp;" "&amp;"Building Efficiency"</f>
        <v/>
      </c>
      <c r="F43" t="inlineStr">
        <is>
          <t>Mm2</t>
        </is>
      </c>
      <c r="G43" t="inlineStr">
        <is>
          <t>Mm2</t>
        </is>
      </c>
    </row>
    <row r="44">
      <c r="C44" t="inlineStr">
        <is>
          <t>CITY</t>
        </is>
      </c>
      <c r="D44">
        <f>'BDG Intensity'!F24</f>
        <v/>
      </c>
      <c r="E44">
        <f>'BDG Intensity'!A24&amp;" "&amp;'BDG Intensity'!B24&amp;" "&amp;'BDG Intensity'!C24&amp;" "&amp;'BDG Intensity'!D24&amp;" "&amp;'BDG Intensity'!E24&amp;" "&amp;"Building Efficiency"</f>
        <v/>
      </c>
      <c r="F44" t="inlineStr">
        <is>
          <t>Mm2</t>
        </is>
      </c>
      <c r="G44" t="inlineStr">
        <is>
          <t>Mm2</t>
        </is>
      </c>
    </row>
    <row r="45">
      <c r="C45" t="inlineStr">
        <is>
          <t>CITY</t>
        </is>
      </c>
      <c r="D45">
        <f>'BDG Intensity'!F25</f>
        <v/>
      </c>
      <c r="E45">
        <f>'BDG Intensity'!A25&amp;" "&amp;'BDG Intensity'!B25&amp;" "&amp;'BDG Intensity'!C25&amp;" "&amp;'BDG Intensity'!D25&amp;" "&amp;'BDG Intensity'!E25&amp;" "&amp;"Building Efficiency"</f>
        <v/>
      </c>
      <c r="F45" t="inlineStr">
        <is>
          <t>Mm2</t>
        </is>
      </c>
      <c r="G45" t="inlineStr">
        <is>
          <t>Mm2</t>
        </is>
      </c>
    </row>
    <row r="46">
      <c r="C46" t="inlineStr">
        <is>
          <t>CITY</t>
        </is>
      </c>
      <c r="D46">
        <f>'BDG Intensity'!F26</f>
        <v/>
      </c>
      <c r="E46">
        <f>'BDG Intensity'!A26&amp;" "&amp;'BDG Intensity'!B26&amp;" "&amp;'BDG Intensity'!C26&amp;" "&amp;'BDG Intensity'!D26&amp;" "&amp;'BDG Intensity'!E26&amp;" "&amp;"Building Efficiency"</f>
        <v/>
      </c>
      <c r="F46" t="inlineStr">
        <is>
          <t>Mm2</t>
        </is>
      </c>
      <c r="G46" t="inlineStr">
        <is>
          <t>Mm2</t>
        </is>
      </c>
    </row>
    <row r="47">
      <c r="C47" t="inlineStr">
        <is>
          <t>CITY</t>
        </is>
      </c>
      <c r="D47">
        <f>'BDG Intensity'!F27</f>
        <v/>
      </c>
      <c r="E47">
        <f>'BDG Intensity'!A27&amp;" "&amp;'BDG Intensity'!B27&amp;" "&amp;'BDG Intensity'!C27&amp;" "&amp;'BDG Intensity'!D27&amp;" "&amp;'BDG Intensity'!E27&amp;" "&amp;"Building Efficiency"</f>
        <v/>
      </c>
      <c r="F47" t="inlineStr">
        <is>
          <t>Mm2</t>
        </is>
      </c>
      <c r="G47" t="inlineStr">
        <is>
          <t>Mm2</t>
        </is>
      </c>
    </row>
    <row r="48">
      <c r="C48" t="inlineStr">
        <is>
          <t>CITY</t>
        </is>
      </c>
      <c r="D48">
        <f>'BDG Intensity'!F28</f>
        <v/>
      </c>
      <c r="E48">
        <f>'BDG Intensity'!A28&amp;" "&amp;'BDG Intensity'!B28&amp;" "&amp;'BDG Intensity'!C28&amp;" "&amp;'BDG Intensity'!D28&amp;" "&amp;'BDG Intensity'!E28&amp;" "&amp;"Building Efficiency"</f>
        <v/>
      </c>
      <c r="F48" t="inlineStr">
        <is>
          <t>Mm2</t>
        </is>
      </c>
      <c r="G48" t="inlineStr">
        <is>
          <t>Mm2</t>
        </is>
      </c>
    </row>
    <row r="49">
      <c r="C49" t="inlineStr">
        <is>
          <t>CITY</t>
        </is>
      </c>
      <c r="D49">
        <f>'BDG Intensity'!F29</f>
        <v/>
      </c>
      <c r="E49">
        <f>'BDG Intensity'!A29&amp;" "&amp;'BDG Intensity'!B29&amp;" "&amp;'BDG Intensity'!C29&amp;" "&amp;'BDG Intensity'!D29&amp;" "&amp;'BDG Intensity'!E29&amp;" "&amp;"Building Efficiency"</f>
        <v/>
      </c>
      <c r="F49" t="inlineStr">
        <is>
          <t>Mm2</t>
        </is>
      </c>
      <c r="G49" t="inlineStr">
        <is>
          <t>Mm2</t>
        </is>
      </c>
    </row>
    <row r="50">
      <c r="C50" t="inlineStr">
        <is>
          <t>CITY</t>
        </is>
      </c>
      <c r="D50">
        <f>'BDG Intensity'!F30</f>
        <v/>
      </c>
      <c r="E50">
        <f>'BDG Intensity'!A30&amp;" "&amp;'BDG Intensity'!B30&amp;" "&amp;'BDG Intensity'!C30&amp;" "&amp;'BDG Intensity'!D30&amp;" "&amp;'BDG Intensity'!E30&amp;" "&amp;"Building Efficiency"</f>
        <v/>
      </c>
      <c r="F50" t="inlineStr">
        <is>
          <t>Mm2</t>
        </is>
      </c>
      <c r="G50" t="inlineStr">
        <is>
          <t>Mm2</t>
        </is>
      </c>
    </row>
    <row r="51">
      <c r="C51" t="inlineStr">
        <is>
          <t>CITY</t>
        </is>
      </c>
      <c r="D51">
        <f>'BDG Intensity'!F31</f>
        <v/>
      </c>
      <c r="E51">
        <f>'BDG Intensity'!A31&amp;" "&amp;'BDG Intensity'!B31&amp;" "&amp;'BDG Intensity'!C31&amp;" "&amp;'BDG Intensity'!D31&amp;" "&amp;'BDG Intensity'!E31&amp;" "&amp;"Building Efficiency"</f>
        <v/>
      </c>
      <c r="F51" t="inlineStr">
        <is>
          <t>Mm2</t>
        </is>
      </c>
      <c r="G51" t="inlineStr">
        <is>
          <t>Mm2</t>
        </is>
      </c>
    </row>
    <row r="52">
      <c r="C52" t="inlineStr">
        <is>
          <t>CITY</t>
        </is>
      </c>
      <c r="D52">
        <f>'BDG Intensity'!F32</f>
        <v/>
      </c>
      <c r="E52">
        <f>'BDG Intensity'!A32&amp;" "&amp;'BDG Intensity'!B32&amp;" "&amp;'BDG Intensity'!C32&amp;" "&amp;'BDG Intensity'!D32&amp;" "&amp;'BDG Intensity'!E32&amp;" "&amp;"Building Efficiency"</f>
        <v/>
      </c>
      <c r="F52" t="inlineStr">
        <is>
          <t>Mm2</t>
        </is>
      </c>
      <c r="G52" t="inlineStr">
        <is>
          <t>Mm2</t>
        </is>
      </c>
    </row>
    <row r="53">
      <c r="C53" t="inlineStr">
        <is>
          <t>CITY</t>
        </is>
      </c>
      <c r="D53">
        <f>'BDG Intensity'!F33</f>
        <v/>
      </c>
      <c r="E53">
        <f>'BDG Intensity'!A33&amp;" "&amp;'BDG Intensity'!B33&amp;" "&amp;'BDG Intensity'!C33&amp;" "&amp;'BDG Intensity'!D33&amp;" "&amp;'BDG Intensity'!E33&amp;" "&amp;"Building Efficiency"</f>
        <v/>
      </c>
      <c r="F53" t="inlineStr">
        <is>
          <t>Mm2</t>
        </is>
      </c>
      <c r="G53" t="inlineStr">
        <is>
          <t>Mm2</t>
        </is>
      </c>
    </row>
    <row r="54">
      <c r="C54" t="inlineStr">
        <is>
          <t>CITY</t>
        </is>
      </c>
      <c r="D54">
        <f>'BDG Intensity'!F34</f>
        <v/>
      </c>
      <c r="E54">
        <f>'BDG Intensity'!A34&amp;" "&amp;'BDG Intensity'!B34&amp;" "&amp;'BDG Intensity'!C34&amp;" "&amp;'BDG Intensity'!D34&amp;" "&amp;'BDG Intensity'!E34&amp;" "&amp;"Building Efficiency"</f>
        <v/>
      </c>
      <c r="F54" t="inlineStr">
        <is>
          <t>Mm2</t>
        </is>
      </c>
      <c r="G54" t="inlineStr">
        <is>
          <t>Mm2</t>
        </is>
      </c>
    </row>
    <row r="55">
      <c r="C55" t="inlineStr">
        <is>
          <t>CITY</t>
        </is>
      </c>
      <c r="D55">
        <f>'BDG Intensity'!F35</f>
        <v/>
      </c>
      <c r="E55">
        <f>'BDG Intensity'!A35&amp;" "&amp;'BDG Intensity'!B35&amp;" "&amp;'BDG Intensity'!C35&amp;" "&amp;'BDG Intensity'!D35&amp;" "&amp;'BDG Intensity'!E35&amp;" "&amp;"Building Efficiency"</f>
        <v/>
      </c>
      <c r="F55" t="inlineStr">
        <is>
          <t>Mm2</t>
        </is>
      </c>
      <c r="G55" t="inlineStr">
        <is>
          <t>Mm2</t>
        </is>
      </c>
    </row>
    <row r="56">
      <c r="C56" t="inlineStr">
        <is>
          <t>CITY</t>
        </is>
      </c>
      <c r="D56">
        <f>'BDG Intensity'!F36</f>
        <v/>
      </c>
      <c r="E56">
        <f>'BDG Intensity'!A36&amp;" "&amp;'BDG Intensity'!B36&amp;" "&amp;'BDG Intensity'!C36&amp;" "&amp;'BDG Intensity'!D36&amp;" "&amp;'BDG Intensity'!E36&amp;" "&amp;"Building Efficiency"</f>
        <v/>
      </c>
      <c r="F56" t="inlineStr">
        <is>
          <t>Mm2</t>
        </is>
      </c>
      <c r="G56" t="inlineStr">
        <is>
          <t>Mm2</t>
        </is>
      </c>
    </row>
    <row r="57">
      <c r="C57" t="inlineStr">
        <is>
          <t>CITY</t>
        </is>
      </c>
      <c r="D57">
        <f>'BDG Intensity'!F37</f>
        <v/>
      </c>
      <c r="E57">
        <f>'BDG Intensity'!A37&amp;" "&amp;'BDG Intensity'!B37&amp;" "&amp;'BDG Intensity'!C37&amp;" "&amp;'BDG Intensity'!D37&amp;" "&amp;'BDG Intensity'!E37&amp;" "&amp;"Building Efficiency"</f>
        <v/>
      </c>
      <c r="F57" t="inlineStr">
        <is>
          <t>Mm2</t>
        </is>
      </c>
      <c r="G57" t="inlineStr">
        <is>
          <t>Mm2</t>
        </is>
      </c>
    </row>
    <row r="58">
      <c r="C58" t="inlineStr">
        <is>
          <t>CITY</t>
        </is>
      </c>
      <c r="D58">
        <f>'BDG Intensity'!F38</f>
        <v/>
      </c>
      <c r="E58">
        <f>'BDG Intensity'!A38&amp;" "&amp;'BDG Intensity'!B38&amp;" "&amp;'BDG Intensity'!C38&amp;" "&amp;'BDG Intensity'!D38&amp;" "&amp;'BDG Intensity'!E38&amp;" "&amp;"Building Efficiency"</f>
        <v/>
      </c>
      <c r="F58" t="inlineStr">
        <is>
          <t>Mm2</t>
        </is>
      </c>
      <c r="G58" t="inlineStr">
        <is>
          <t>Mm2</t>
        </is>
      </c>
    </row>
    <row r="59">
      <c r="C59" t="inlineStr">
        <is>
          <t>CITY</t>
        </is>
      </c>
      <c r="D59">
        <f>'BDG Intensity'!F39</f>
        <v/>
      </c>
      <c r="E59">
        <f>'BDG Intensity'!A39&amp;" "&amp;'BDG Intensity'!B39&amp;" "&amp;'BDG Intensity'!C39&amp;" "&amp;'BDG Intensity'!D39&amp;" "&amp;'BDG Intensity'!E39&amp;" "&amp;"Building Efficiency"</f>
        <v/>
      </c>
      <c r="F59" t="inlineStr">
        <is>
          <t>Mm2</t>
        </is>
      </c>
      <c r="G59" t="inlineStr">
        <is>
          <t>Mm2</t>
        </is>
      </c>
    </row>
    <row r="60">
      <c r="C60" t="inlineStr">
        <is>
          <t>CITY</t>
        </is>
      </c>
      <c r="D60">
        <f>'BDG Intensity'!F40</f>
        <v/>
      </c>
      <c r="E60">
        <f>'BDG Intensity'!A40&amp;" "&amp;'BDG Intensity'!B40&amp;" "&amp;'BDG Intensity'!C40&amp;" "&amp;'BDG Intensity'!D40&amp;" "&amp;'BDG Intensity'!E40&amp;" "&amp;"Building Efficiency"</f>
        <v/>
      </c>
      <c r="F60" t="inlineStr">
        <is>
          <t>Mm2</t>
        </is>
      </c>
      <c r="G60" t="inlineStr">
        <is>
          <t>Mm2</t>
        </is>
      </c>
    </row>
    <row r="61">
      <c r="C61" t="inlineStr">
        <is>
          <t>CITY</t>
        </is>
      </c>
      <c r="D61">
        <f>'BDG Intensity'!F41</f>
        <v/>
      </c>
      <c r="E61">
        <f>'BDG Intensity'!A41&amp;" "&amp;'BDG Intensity'!B41&amp;" "&amp;'BDG Intensity'!C41&amp;" "&amp;'BDG Intensity'!D41&amp;" "&amp;'BDG Intensity'!E41&amp;" "&amp;"Building Efficiency"</f>
        <v/>
      </c>
      <c r="F61" t="inlineStr">
        <is>
          <t>Mm2</t>
        </is>
      </c>
      <c r="G61" t="inlineStr">
        <is>
          <t>Mm2</t>
        </is>
      </c>
    </row>
    <row r="62">
      <c r="C62" t="inlineStr">
        <is>
          <t>CITY</t>
        </is>
      </c>
      <c r="D62">
        <f>'BDG Intensity'!F42</f>
        <v/>
      </c>
      <c r="E62">
        <f>'BDG Intensity'!A42&amp;" "&amp;'BDG Intensity'!B42&amp;" "&amp;'BDG Intensity'!C42&amp;" "&amp;'BDG Intensity'!D42&amp;" "&amp;'BDG Intensity'!E42&amp;" "&amp;"Building Efficiency"</f>
        <v/>
      </c>
      <c r="F62" t="inlineStr">
        <is>
          <t>Mm2</t>
        </is>
      </c>
      <c r="G62" t="inlineStr">
        <is>
          <t>Mm2</t>
        </is>
      </c>
    </row>
    <row r="63">
      <c r="C63" t="inlineStr">
        <is>
          <t>CITY</t>
        </is>
      </c>
      <c r="D63">
        <f>'BDG Intensity'!F43</f>
        <v/>
      </c>
      <c r="E63">
        <f>'BDG Intensity'!A43&amp;" "&amp;'BDG Intensity'!B43&amp;" "&amp;'BDG Intensity'!C43&amp;" "&amp;'BDG Intensity'!D43&amp;" "&amp;'BDG Intensity'!E43&amp;" "&amp;"Building Efficiency"</f>
        <v/>
      </c>
      <c r="F63" t="inlineStr">
        <is>
          <t>Mm2</t>
        </is>
      </c>
      <c r="G63" t="inlineStr">
        <is>
          <t>Mm2</t>
        </is>
      </c>
    </row>
    <row r="64">
      <c r="C64" t="inlineStr">
        <is>
          <t>CITY</t>
        </is>
      </c>
      <c r="D64">
        <f>'BDG Intensity'!F44</f>
        <v/>
      </c>
      <c r="E64">
        <f>'BDG Intensity'!A44&amp;" "&amp;'BDG Intensity'!B44&amp;" "&amp;'BDG Intensity'!C44&amp;" "&amp;'BDG Intensity'!D44&amp;" "&amp;'BDG Intensity'!E44&amp;" "&amp;"Building Efficiency"</f>
        <v/>
      </c>
      <c r="F64" t="inlineStr">
        <is>
          <t>Mm2</t>
        </is>
      </c>
      <c r="G64" t="inlineStr">
        <is>
          <t>Mm2</t>
        </is>
      </c>
    </row>
    <row r="65">
      <c r="C65" t="inlineStr">
        <is>
          <t>CITY</t>
        </is>
      </c>
      <c r="D65">
        <f>'BDG Intensity'!F45</f>
        <v/>
      </c>
      <c r="E65">
        <f>'BDG Intensity'!A45&amp;" "&amp;'BDG Intensity'!B45&amp;" "&amp;'BDG Intensity'!C45&amp;" "&amp;'BDG Intensity'!D45&amp;" "&amp;'BDG Intensity'!E45&amp;" "&amp;"Building Efficiency"</f>
        <v/>
      </c>
      <c r="F65" t="inlineStr">
        <is>
          <t>Mm2</t>
        </is>
      </c>
      <c r="G65" t="inlineStr">
        <is>
          <t>Mm2</t>
        </is>
      </c>
    </row>
    <row r="66">
      <c r="C66" t="inlineStr">
        <is>
          <t>CITY</t>
        </is>
      </c>
      <c r="D66">
        <f>'BDG Intensity'!F46</f>
        <v/>
      </c>
      <c r="E66">
        <f>'BDG Intensity'!A46&amp;" "&amp;'BDG Intensity'!B46&amp;" "&amp;'BDG Intensity'!C46&amp;" "&amp;'BDG Intensity'!D46&amp;" "&amp;'BDG Intensity'!E46&amp;" "&amp;"Building Efficiency"</f>
        <v/>
      </c>
      <c r="F66" t="inlineStr">
        <is>
          <t>Mm2</t>
        </is>
      </c>
      <c r="G66" t="inlineStr">
        <is>
          <t>Mm2</t>
        </is>
      </c>
    </row>
    <row r="67">
      <c r="C67" t="inlineStr">
        <is>
          <t>CITY</t>
        </is>
      </c>
      <c r="D67">
        <f>'BDG Intensity'!F47</f>
        <v/>
      </c>
      <c r="E67">
        <f>'BDG Intensity'!A47&amp;" "&amp;'BDG Intensity'!B47&amp;" "&amp;'BDG Intensity'!C47&amp;" "&amp;'BDG Intensity'!D47&amp;" "&amp;'BDG Intensity'!E47&amp;" "&amp;"Building Efficiency"</f>
        <v/>
      </c>
      <c r="F67" t="inlineStr">
        <is>
          <t>Mm2</t>
        </is>
      </c>
      <c r="G67" t="inlineStr">
        <is>
          <t>Mm2</t>
        </is>
      </c>
    </row>
    <row r="68">
      <c r="C68" t="inlineStr">
        <is>
          <t>CITY</t>
        </is>
      </c>
      <c r="D68">
        <f>'BDG Intensity'!F48</f>
        <v/>
      </c>
      <c r="E68">
        <f>'BDG Intensity'!A48&amp;" "&amp;'BDG Intensity'!B48&amp;" "&amp;'BDG Intensity'!C48&amp;" "&amp;'BDG Intensity'!D48&amp;" "&amp;'BDG Intensity'!E48&amp;" "&amp;"Building Efficiency"</f>
        <v/>
      </c>
      <c r="F68" t="inlineStr">
        <is>
          <t>Mm2</t>
        </is>
      </c>
      <c r="G68" t="inlineStr">
        <is>
          <t>Mm2</t>
        </is>
      </c>
    </row>
    <row r="69">
      <c r="C69" t="inlineStr">
        <is>
          <t>CITY</t>
        </is>
      </c>
      <c r="D69">
        <f>'BDG Intensity'!F49</f>
        <v/>
      </c>
      <c r="E69">
        <f>'BDG Intensity'!A49&amp;" "&amp;'BDG Intensity'!B49&amp;" "&amp;'BDG Intensity'!C49&amp;" "&amp;'BDG Intensity'!D49&amp;" "&amp;'BDG Intensity'!E49&amp;" "&amp;"Building Efficiency"</f>
        <v/>
      </c>
      <c r="F69" t="inlineStr">
        <is>
          <t>Mm2</t>
        </is>
      </c>
      <c r="G69" t="inlineStr">
        <is>
          <t>Mm2</t>
        </is>
      </c>
    </row>
    <row r="70">
      <c r="C70" t="inlineStr">
        <is>
          <t>CITY</t>
        </is>
      </c>
      <c r="D70">
        <f>'BDG Intensity'!F50</f>
        <v/>
      </c>
      <c r="E70">
        <f>'BDG Intensity'!A50&amp;" "&amp;'BDG Intensity'!B50&amp;" "&amp;'BDG Intensity'!C50&amp;" "&amp;'BDG Intensity'!D50&amp;" "&amp;'BDG Intensity'!E50&amp;" "&amp;"Building Efficiency"</f>
        <v/>
      </c>
      <c r="F70" t="inlineStr">
        <is>
          <t>Mm2</t>
        </is>
      </c>
      <c r="G70" t="inlineStr">
        <is>
          <t>Mm2</t>
        </is>
      </c>
    </row>
    <row r="71">
      <c r="C71" t="inlineStr">
        <is>
          <t>CITY</t>
        </is>
      </c>
      <c r="D71">
        <f>'BDG Intensity'!F51</f>
        <v/>
      </c>
      <c r="E71">
        <f>'BDG Intensity'!A51&amp;" "&amp;'BDG Intensity'!B51&amp;" "&amp;'BDG Intensity'!C51&amp;" "&amp;'BDG Intensity'!D51&amp;" "&amp;'BDG Intensity'!E51&amp;" "&amp;"Building Efficiency"</f>
        <v/>
      </c>
      <c r="F71" t="inlineStr">
        <is>
          <t>Mm2</t>
        </is>
      </c>
      <c r="G71" t="inlineStr">
        <is>
          <t>Mm2</t>
        </is>
      </c>
    </row>
    <row r="72">
      <c r="C72" t="inlineStr">
        <is>
          <t>CITY</t>
        </is>
      </c>
      <c r="D72">
        <f>'BDG Intensity'!F52</f>
        <v/>
      </c>
      <c r="E72">
        <f>'BDG Intensity'!A52&amp;" "&amp;'BDG Intensity'!B52&amp;" "&amp;'BDG Intensity'!C52&amp;" "&amp;'BDG Intensity'!D52&amp;" "&amp;'BDG Intensity'!E52&amp;" "&amp;"Building Efficiency"</f>
        <v/>
      </c>
      <c r="F72" t="inlineStr">
        <is>
          <t>Mm2</t>
        </is>
      </c>
      <c r="G72" t="inlineStr">
        <is>
          <t>Mm2</t>
        </is>
      </c>
    </row>
    <row r="73">
      <c r="C73" t="inlineStr">
        <is>
          <t>CITY</t>
        </is>
      </c>
      <c r="D73">
        <f>'BDG Intensity'!F53</f>
        <v/>
      </c>
      <c r="E73">
        <f>'BDG Intensity'!A53&amp;" "&amp;'BDG Intensity'!B53&amp;" "&amp;'BDG Intensity'!C53&amp;" "&amp;'BDG Intensity'!D53&amp;" "&amp;'BDG Intensity'!E53&amp;" "&amp;"Building Efficiency"</f>
        <v/>
      </c>
      <c r="F73" t="inlineStr">
        <is>
          <t>Mm2</t>
        </is>
      </c>
      <c r="G73" t="inlineStr">
        <is>
          <t>Mm2</t>
        </is>
      </c>
    </row>
    <row r="74">
      <c r="C74" t="inlineStr">
        <is>
          <t>CITY</t>
        </is>
      </c>
      <c r="D74">
        <f>'BDG Intensity'!F54</f>
        <v/>
      </c>
      <c r="E74">
        <f>'BDG Intensity'!A54&amp;" "&amp;'BDG Intensity'!B54&amp;" "&amp;'BDG Intensity'!C54&amp;" "&amp;'BDG Intensity'!D54&amp;" "&amp;'BDG Intensity'!E54&amp;" "&amp;"Building Efficiency"</f>
        <v/>
      </c>
      <c r="F74" t="inlineStr">
        <is>
          <t>Mm2</t>
        </is>
      </c>
      <c r="G74" t="inlineStr">
        <is>
          <t>Mm2</t>
        </is>
      </c>
    </row>
    <row r="75">
      <c r="C75" t="inlineStr">
        <is>
          <t>CITY</t>
        </is>
      </c>
      <c r="D75">
        <f>'BDG Intensity'!F55</f>
        <v/>
      </c>
      <c r="E75">
        <f>'BDG Intensity'!A55&amp;" "&amp;'BDG Intensity'!B55&amp;" "&amp;'BDG Intensity'!C55&amp;" "&amp;'BDG Intensity'!D55&amp;" "&amp;'BDG Intensity'!E55&amp;" "&amp;"Building Efficiency"</f>
        <v/>
      </c>
      <c r="F75" t="inlineStr">
        <is>
          <t>Mm2</t>
        </is>
      </c>
      <c r="G75" t="inlineStr">
        <is>
          <t>Mm2</t>
        </is>
      </c>
    </row>
    <row r="76">
      <c r="C76" t="inlineStr">
        <is>
          <t>CITY</t>
        </is>
      </c>
      <c r="D76">
        <f>'BDG Intensity'!F56</f>
        <v/>
      </c>
      <c r="E76">
        <f>'BDG Intensity'!A56&amp;" "&amp;'BDG Intensity'!B56&amp;" "&amp;'BDG Intensity'!C56&amp;" "&amp;'BDG Intensity'!D56&amp;" "&amp;'BDG Intensity'!E56&amp;" "&amp;"Building Efficiency"</f>
        <v/>
      </c>
      <c r="F76" t="inlineStr">
        <is>
          <t>Mm2</t>
        </is>
      </c>
      <c r="G76" t="inlineStr">
        <is>
          <t>Mm2</t>
        </is>
      </c>
    </row>
    <row r="77">
      <c r="C77" t="inlineStr">
        <is>
          <t>CITY</t>
        </is>
      </c>
      <c r="D77">
        <f>'BDG Intensity'!F57</f>
        <v/>
      </c>
      <c r="E77">
        <f>'BDG Intensity'!A57&amp;" "&amp;'BDG Intensity'!B57&amp;" "&amp;'BDG Intensity'!C57&amp;" "&amp;'BDG Intensity'!D57&amp;" "&amp;'BDG Intensity'!E57&amp;" "&amp;"Building Efficiency"</f>
        <v/>
      </c>
      <c r="F77" t="inlineStr">
        <is>
          <t>Mm2</t>
        </is>
      </c>
      <c r="G77" t="inlineStr">
        <is>
          <t>Mm2</t>
        </is>
      </c>
    </row>
    <row r="78">
      <c r="C78" t="inlineStr">
        <is>
          <t>CITY</t>
        </is>
      </c>
      <c r="D78">
        <f>'BDG Intensity'!F58</f>
        <v/>
      </c>
      <c r="E78">
        <f>'BDG Intensity'!A58&amp;" "&amp;'BDG Intensity'!B58&amp;" "&amp;'BDG Intensity'!C58&amp;" "&amp;'BDG Intensity'!D58&amp;" "&amp;'BDG Intensity'!E58&amp;" "&amp;"Building Efficiency"</f>
        <v/>
      </c>
      <c r="F78" t="inlineStr">
        <is>
          <t>Mm2</t>
        </is>
      </c>
      <c r="G78" t="inlineStr">
        <is>
          <t>Mm2</t>
        </is>
      </c>
    </row>
    <row r="79">
      <c r="C79" t="inlineStr">
        <is>
          <t>CITY</t>
        </is>
      </c>
      <c r="D79">
        <f>'BDG Intensity'!F59</f>
        <v/>
      </c>
      <c r="E79">
        <f>'BDG Intensity'!A59&amp;" "&amp;'BDG Intensity'!B59&amp;" "&amp;'BDG Intensity'!C59&amp;" "&amp;'BDG Intensity'!D59&amp;" "&amp;'BDG Intensity'!E59&amp;" "&amp;"Building Efficiency"</f>
        <v/>
      </c>
      <c r="F79" t="inlineStr">
        <is>
          <t>Mm2</t>
        </is>
      </c>
      <c r="G79" t="inlineStr">
        <is>
          <t>Mm2</t>
        </is>
      </c>
    </row>
    <row r="80">
      <c r="C80" t="inlineStr">
        <is>
          <t>CITY</t>
        </is>
      </c>
      <c r="D80">
        <f>'BDG Intensity'!F60</f>
        <v/>
      </c>
      <c r="E80">
        <f>'BDG Intensity'!A60&amp;" "&amp;'BDG Intensity'!B60&amp;" "&amp;'BDG Intensity'!C60&amp;" "&amp;'BDG Intensity'!D60&amp;" "&amp;'BDG Intensity'!E60&amp;" "&amp;"Building Efficiency"</f>
        <v/>
      </c>
      <c r="F80" t="inlineStr">
        <is>
          <t>Mm2</t>
        </is>
      </c>
      <c r="G80" t="inlineStr">
        <is>
          <t>Mm2</t>
        </is>
      </c>
    </row>
    <row r="81">
      <c r="C81" t="inlineStr">
        <is>
          <t>CITY</t>
        </is>
      </c>
      <c r="D81">
        <f>'BDG Intensity'!F61</f>
        <v/>
      </c>
      <c r="E81">
        <f>'BDG Intensity'!A61&amp;" "&amp;'BDG Intensity'!B61&amp;" "&amp;'BDG Intensity'!C61&amp;" "&amp;'BDG Intensity'!D61&amp;" "&amp;'BDG Intensity'!E61&amp;" "&amp;"Building Efficiency"</f>
        <v/>
      </c>
      <c r="F81" t="inlineStr">
        <is>
          <t>Mm2</t>
        </is>
      </c>
      <c r="G81" t="inlineStr">
        <is>
          <t>Mm2</t>
        </is>
      </c>
    </row>
    <row r="82">
      <c r="C82" t="inlineStr">
        <is>
          <t>CITY</t>
        </is>
      </c>
      <c r="D82">
        <f>'BDG Intensity'!F62</f>
        <v/>
      </c>
      <c r="E82">
        <f>'BDG Intensity'!A62&amp;" "&amp;'BDG Intensity'!B62&amp;" "&amp;'BDG Intensity'!C62&amp;" "&amp;'BDG Intensity'!D62&amp;" "&amp;'BDG Intensity'!E62&amp;" "&amp;"Building Efficiency"</f>
        <v/>
      </c>
      <c r="F82" t="inlineStr">
        <is>
          <t>Mm2</t>
        </is>
      </c>
      <c r="G82" t="inlineStr">
        <is>
          <t>Mm2</t>
        </is>
      </c>
    </row>
    <row r="83">
      <c r="C83" t="inlineStr">
        <is>
          <t>CITY</t>
        </is>
      </c>
      <c r="D83">
        <f>'BDG Intensity'!F63</f>
        <v/>
      </c>
      <c r="E83">
        <f>'BDG Intensity'!A63&amp;" "&amp;'BDG Intensity'!B63&amp;" "&amp;'BDG Intensity'!C63&amp;" "&amp;'BDG Intensity'!D63&amp;" "&amp;'BDG Intensity'!E63&amp;" "&amp;"Building Efficiency"</f>
        <v/>
      </c>
      <c r="F83" t="inlineStr">
        <is>
          <t>Mm2</t>
        </is>
      </c>
      <c r="G83" t="inlineStr">
        <is>
          <t>Mm2</t>
        </is>
      </c>
    </row>
    <row r="84">
      <c r="C84" t="inlineStr">
        <is>
          <t>CITY</t>
        </is>
      </c>
      <c r="D84">
        <f>'BDG Intensity'!F64</f>
        <v/>
      </c>
      <c r="E84">
        <f>'BDG Intensity'!A64&amp;" "&amp;'BDG Intensity'!B64&amp;" "&amp;'BDG Intensity'!C64&amp;" "&amp;'BDG Intensity'!D64&amp;" "&amp;'BDG Intensity'!E64&amp;" "&amp;"Building Efficiency"</f>
        <v/>
      </c>
      <c r="F84" t="inlineStr">
        <is>
          <t>Mm2</t>
        </is>
      </c>
      <c r="G84" t="inlineStr">
        <is>
          <t>Mm2</t>
        </is>
      </c>
    </row>
    <row r="85">
      <c r="C85" t="inlineStr">
        <is>
          <t>CITY</t>
        </is>
      </c>
      <c r="D85">
        <f>'BDG Intensity'!F65</f>
        <v/>
      </c>
      <c r="E85">
        <f>'BDG Intensity'!A65&amp;" "&amp;'BDG Intensity'!B65&amp;" "&amp;'BDG Intensity'!C65&amp;" "&amp;'BDG Intensity'!D65&amp;" "&amp;'BDG Intensity'!E65&amp;" "&amp;"Building Efficiency"</f>
        <v/>
      </c>
      <c r="F85" t="inlineStr">
        <is>
          <t>Mm2</t>
        </is>
      </c>
      <c r="G85" t="inlineStr">
        <is>
          <t>Mm2</t>
        </is>
      </c>
    </row>
    <row r="86">
      <c r="C86" t="inlineStr">
        <is>
          <t>CITY</t>
        </is>
      </c>
      <c r="D86">
        <f>'BDG Intensity'!F66</f>
        <v/>
      </c>
      <c r="E86">
        <f>'BDG Intensity'!A66&amp;" "&amp;'BDG Intensity'!B66&amp;" "&amp;'BDG Intensity'!C66&amp;" "&amp;'BDG Intensity'!D66&amp;" "&amp;'BDG Intensity'!E66&amp;" "&amp;"Building Efficiency"</f>
        <v/>
      </c>
      <c r="F86" t="inlineStr">
        <is>
          <t>Mm2</t>
        </is>
      </c>
      <c r="G86" t="inlineStr">
        <is>
          <t>Mm2</t>
        </is>
      </c>
    </row>
    <row r="87">
      <c r="C87" t="inlineStr">
        <is>
          <t>CITY</t>
        </is>
      </c>
      <c r="D87">
        <f>'BDG Intensity'!F67</f>
        <v/>
      </c>
      <c r="E87">
        <f>'BDG Intensity'!A67&amp;" "&amp;'BDG Intensity'!B67&amp;" "&amp;'BDG Intensity'!C67&amp;" "&amp;'BDG Intensity'!D67&amp;" "&amp;'BDG Intensity'!E67&amp;" "&amp;"Building Efficiency"</f>
        <v/>
      </c>
      <c r="F87" t="inlineStr">
        <is>
          <t>Mm2</t>
        </is>
      </c>
      <c r="G87" t="inlineStr">
        <is>
          <t>Mm2</t>
        </is>
      </c>
    </row>
    <row r="88">
      <c r="C88" t="inlineStr">
        <is>
          <t>CITY</t>
        </is>
      </c>
      <c r="D88">
        <f>'BDG Intensity'!F68</f>
        <v/>
      </c>
      <c r="E88">
        <f>'BDG Intensity'!A68&amp;" "&amp;'BDG Intensity'!B68&amp;" "&amp;'BDG Intensity'!C68&amp;" "&amp;'BDG Intensity'!D68&amp;" "&amp;'BDG Intensity'!E68&amp;" "&amp;"Building Efficiency"</f>
        <v/>
      </c>
      <c r="F88" t="inlineStr">
        <is>
          <t>Mm2</t>
        </is>
      </c>
      <c r="G88" t="inlineStr">
        <is>
          <t>Mm2</t>
        </is>
      </c>
    </row>
    <row r="89">
      <c r="C89" t="inlineStr">
        <is>
          <t>CITY</t>
        </is>
      </c>
      <c r="D89">
        <f>'BDG Intensity'!F69</f>
        <v/>
      </c>
      <c r="E89">
        <f>'BDG Intensity'!A69&amp;" "&amp;'BDG Intensity'!B69&amp;" "&amp;'BDG Intensity'!C69&amp;" "&amp;'BDG Intensity'!D69&amp;" "&amp;'BDG Intensity'!E69&amp;" "&amp;"Building Efficiency"</f>
        <v/>
      </c>
      <c r="F89" t="inlineStr">
        <is>
          <t>Mm2</t>
        </is>
      </c>
      <c r="G89" t="inlineStr">
        <is>
          <t>Mm2</t>
        </is>
      </c>
    </row>
    <row r="90">
      <c r="C90" t="inlineStr">
        <is>
          <t>CITY</t>
        </is>
      </c>
      <c r="D90">
        <f>'BDG Intensity'!F70</f>
        <v/>
      </c>
      <c r="E90">
        <f>'BDG Intensity'!A70&amp;" "&amp;'BDG Intensity'!B70&amp;" "&amp;'BDG Intensity'!C70&amp;" "&amp;'BDG Intensity'!D70&amp;" "&amp;'BDG Intensity'!E70&amp;" "&amp;"Building Efficiency"</f>
        <v/>
      </c>
      <c r="F90" t="inlineStr">
        <is>
          <t>Mm2</t>
        </is>
      </c>
      <c r="G90" t="inlineStr">
        <is>
          <t>Mm2</t>
        </is>
      </c>
    </row>
    <row r="91">
      <c r="C91" t="inlineStr">
        <is>
          <t>CITY</t>
        </is>
      </c>
      <c r="D91">
        <f>'BDG Intensity'!F71</f>
        <v/>
      </c>
      <c r="E91">
        <f>'BDG Intensity'!A71&amp;" "&amp;'BDG Intensity'!B71&amp;" "&amp;'BDG Intensity'!C71&amp;" "&amp;'BDG Intensity'!D71&amp;" "&amp;'BDG Intensity'!E71&amp;" "&amp;"Building Efficiency"</f>
        <v/>
      </c>
      <c r="F91" t="inlineStr">
        <is>
          <t>Mm2</t>
        </is>
      </c>
      <c r="G91" t="inlineStr">
        <is>
          <t>Mm2</t>
        </is>
      </c>
    </row>
    <row r="92">
      <c r="C92" t="inlineStr">
        <is>
          <t>CITY</t>
        </is>
      </c>
      <c r="D92">
        <f>'BDG Intensity'!F72</f>
        <v/>
      </c>
      <c r="E92">
        <f>'BDG Intensity'!A72&amp;" "&amp;'BDG Intensity'!B72&amp;" "&amp;'BDG Intensity'!C72&amp;" "&amp;'BDG Intensity'!D72&amp;" "&amp;'BDG Intensity'!E72&amp;" "&amp;"Building Efficiency"</f>
        <v/>
      </c>
      <c r="F92" t="inlineStr">
        <is>
          <t>Mm2</t>
        </is>
      </c>
      <c r="G92" t="inlineStr">
        <is>
          <t>Mm2</t>
        </is>
      </c>
    </row>
    <row r="93">
      <c r="C93" t="inlineStr">
        <is>
          <t>CITY</t>
        </is>
      </c>
      <c r="D93">
        <f>'BDG Intensity'!F73</f>
        <v/>
      </c>
      <c r="E93">
        <f>'BDG Intensity'!A73&amp;" "&amp;'BDG Intensity'!B73&amp;" "&amp;'BDG Intensity'!C73&amp;" "&amp;'BDG Intensity'!D73&amp;" "&amp;'BDG Intensity'!E73&amp;" "&amp;"Building Efficiency"</f>
        <v/>
      </c>
      <c r="F93" t="inlineStr">
        <is>
          <t>Mm2</t>
        </is>
      </c>
      <c r="G93" t="inlineStr">
        <is>
          <t>Mm2</t>
        </is>
      </c>
    </row>
    <row r="94">
      <c r="C94" t="inlineStr">
        <is>
          <t>CITY</t>
        </is>
      </c>
      <c r="D94">
        <f>'BDG Intensity'!F74</f>
        <v/>
      </c>
      <c r="E94">
        <f>'BDG Intensity'!A74&amp;" "&amp;'BDG Intensity'!B74&amp;" "&amp;'BDG Intensity'!C74&amp;" "&amp;'BDG Intensity'!D74&amp;" "&amp;'BDG Intensity'!E74&amp;" "&amp;"Building Efficiency"</f>
        <v/>
      </c>
      <c r="F94" t="inlineStr">
        <is>
          <t>Mm2</t>
        </is>
      </c>
      <c r="G94" t="inlineStr">
        <is>
          <t>Mm2</t>
        </is>
      </c>
    </row>
    <row r="95">
      <c r="C95" t="inlineStr">
        <is>
          <t>CITY</t>
        </is>
      </c>
      <c r="D95">
        <f>'BDG Intensity'!F75</f>
        <v/>
      </c>
      <c r="E95">
        <f>'BDG Intensity'!A75&amp;" "&amp;'BDG Intensity'!B75&amp;" "&amp;'BDG Intensity'!C75&amp;" "&amp;'BDG Intensity'!D75&amp;" "&amp;'BDG Intensity'!E75&amp;" "&amp;"Building Efficiency"</f>
        <v/>
      </c>
      <c r="F95" t="inlineStr">
        <is>
          <t>Mm2</t>
        </is>
      </c>
      <c r="G95" t="inlineStr">
        <is>
          <t>Mm2</t>
        </is>
      </c>
    </row>
    <row r="96">
      <c r="C96" t="inlineStr">
        <is>
          <t>CITY</t>
        </is>
      </c>
      <c r="D96">
        <f>'BDG Intensity'!F76</f>
        <v/>
      </c>
      <c r="E96">
        <f>'BDG Intensity'!A76&amp;" "&amp;'BDG Intensity'!B76&amp;" "&amp;'BDG Intensity'!C76&amp;" "&amp;'BDG Intensity'!D76&amp;" "&amp;'BDG Intensity'!E76&amp;" "&amp;"Building Efficiency"</f>
        <v/>
      </c>
      <c r="F96" t="inlineStr">
        <is>
          <t>Mm2</t>
        </is>
      </c>
      <c r="G96" t="inlineStr">
        <is>
          <t>Mm2</t>
        </is>
      </c>
    </row>
    <row r="97">
      <c r="C97" t="inlineStr">
        <is>
          <t>CITY</t>
        </is>
      </c>
      <c r="D97">
        <f>'BDG Intensity'!F77</f>
        <v/>
      </c>
      <c r="E97">
        <f>'BDG Intensity'!A77&amp;" "&amp;'BDG Intensity'!B77&amp;" "&amp;'BDG Intensity'!C77&amp;" "&amp;'BDG Intensity'!D77&amp;" "&amp;'BDG Intensity'!E77&amp;" "&amp;"Building Efficiency"</f>
        <v/>
      </c>
      <c r="F97" t="inlineStr">
        <is>
          <t>Mm2</t>
        </is>
      </c>
      <c r="G97" t="inlineStr">
        <is>
          <t>Mm2</t>
        </is>
      </c>
    </row>
    <row r="98">
      <c r="C98" t="inlineStr">
        <is>
          <t>CITY</t>
        </is>
      </c>
      <c r="D98">
        <f>'BDG Intensity'!F78</f>
        <v/>
      </c>
      <c r="E98">
        <f>'BDG Intensity'!A78&amp;" "&amp;'BDG Intensity'!B78&amp;" "&amp;'BDG Intensity'!C78&amp;" "&amp;'BDG Intensity'!D78&amp;" "&amp;'BDG Intensity'!E78&amp;" "&amp;"Building Efficiency"</f>
        <v/>
      </c>
      <c r="F98" t="inlineStr">
        <is>
          <t>Mm2</t>
        </is>
      </c>
      <c r="G98" t="inlineStr">
        <is>
          <t>Mm2</t>
        </is>
      </c>
    </row>
    <row r="99">
      <c r="C99" t="inlineStr">
        <is>
          <t>CITY</t>
        </is>
      </c>
      <c r="D99">
        <f>'BDG Intensity'!F79</f>
        <v/>
      </c>
      <c r="E99">
        <f>'BDG Intensity'!A79&amp;" "&amp;'BDG Intensity'!B79&amp;" "&amp;'BDG Intensity'!C79&amp;" "&amp;'BDG Intensity'!D79&amp;" "&amp;'BDG Intensity'!E79&amp;" "&amp;"Building Efficiency"</f>
        <v/>
      </c>
      <c r="F99" t="inlineStr">
        <is>
          <t>Mm2</t>
        </is>
      </c>
      <c r="G99" t="inlineStr">
        <is>
          <t>Mm2</t>
        </is>
      </c>
    </row>
    <row r="100">
      <c r="C100" t="inlineStr">
        <is>
          <t>CITY</t>
        </is>
      </c>
      <c r="D100">
        <f>'BDG Intensity'!F80</f>
        <v/>
      </c>
      <c r="E100">
        <f>'BDG Intensity'!A80&amp;" "&amp;'BDG Intensity'!B80&amp;" "&amp;'BDG Intensity'!C80&amp;" "&amp;'BDG Intensity'!D80&amp;" "&amp;'BDG Intensity'!E80&amp;" "&amp;"Building Efficiency"</f>
        <v/>
      </c>
      <c r="F100" t="inlineStr">
        <is>
          <t>Mm2</t>
        </is>
      </c>
      <c r="G100" t="inlineStr">
        <is>
          <t>Mm2</t>
        </is>
      </c>
    </row>
    <row r="101">
      <c r="C101" t="inlineStr">
        <is>
          <t>CITY</t>
        </is>
      </c>
      <c r="D101">
        <f>'BDG Intensity'!F81</f>
        <v/>
      </c>
      <c r="E101">
        <f>'BDG Intensity'!A81&amp;" "&amp;'BDG Intensity'!B81&amp;" "&amp;'BDG Intensity'!C81&amp;" "&amp;'BDG Intensity'!D81&amp;" "&amp;'BDG Intensity'!E81&amp;" "&amp;"Building Efficiency"</f>
        <v/>
      </c>
      <c r="F101" t="inlineStr">
        <is>
          <t>Mm2</t>
        </is>
      </c>
      <c r="G101" t="inlineStr">
        <is>
          <t>Mm2</t>
        </is>
      </c>
    </row>
    <row r="102">
      <c r="C102" t="inlineStr">
        <is>
          <t>CITY</t>
        </is>
      </c>
      <c r="D102">
        <f>'BDG Intensity'!F82</f>
        <v/>
      </c>
      <c r="E102">
        <f>'BDG Intensity'!A82&amp;" "&amp;'BDG Intensity'!B82&amp;" "&amp;'BDG Intensity'!C82&amp;" "&amp;'BDG Intensity'!D82&amp;" "&amp;'BDG Intensity'!E82&amp;" "&amp;"Building Efficiency"</f>
        <v/>
      </c>
      <c r="F102" t="inlineStr">
        <is>
          <t>Mm2</t>
        </is>
      </c>
      <c r="G102" t="inlineStr">
        <is>
          <t>Mm2</t>
        </is>
      </c>
    </row>
    <row r="103">
      <c r="C103" t="inlineStr">
        <is>
          <t>CITY</t>
        </is>
      </c>
      <c r="D103">
        <f>'BDG Intensity'!F83</f>
        <v/>
      </c>
      <c r="E103">
        <f>'BDG Intensity'!A83&amp;" "&amp;'BDG Intensity'!B83&amp;" "&amp;'BDG Intensity'!C83&amp;" "&amp;'BDG Intensity'!D83&amp;" "&amp;'BDG Intensity'!E83&amp;" "&amp;"Building Efficiency"</f>
        <v/>
      </c>
      <c r="F103" t="inlineStr">
        <is>
          <t>Mm2</t>
        </is>
      </c>
      <c r="G103" t="inlineStr">
        <is>
          <t>Mm2</t>
        </is>
      </c>
    </row>
    <row r="104">
      <c r="C104" t="inlineStr">
        <is>
          <t>CITY</t>
        </is>
      </c>
      <c r="D104">
        <f>'BDG Intensity'!F84</f>
        <v/>
      </c>
      <c r="E104">
        <f>'BDG Intensity'!A84&amp;" "&amp;'BDG Intensity'!B84&amp;" "&amp;'BDG Intensity'!C84&amp;" "&amp;'BDG Intensity'!D84&amp;" "&amp;'BDG Intensity'!E84&amp;" "&amp;"Building Efficiency"</f>
        <v/>
      </c>
      <c r="F104" t="inlineStr">
        <is>
          <t>Mm2</t>
        </is>
      </c>
      <c r="G104" t="inlineStr">
        <is>
          <t>Mm2</t>
        </is>
      </c>
    </row>
    <row r="105">
      <c r="C105" t="inlineStr">
        <is>
          <t>CITY</t>
        </is>
      </c>
      <c r="D105">
        <f>'BDG Intensity'!F85</f>
        <v/>
      </c>
      <c r="E105">
        <f>'BDG Intensity'!A85&amp;" "&amp;'BDG Intensity'!B85&amp;" "&amp;'BDG Intensity'!C85&amp;" "&amp;'BDG Intensity'!D85&amp;" "&amp;'BDG Intensity'!E85&amp;" "&amp;"Building Efficiency"</f>
        <v/>
      </c>
      <c r="F105" t="inlineStr">
        <is>
          <t>Mm2</t>
        </is>
      </c>
      <c r="G105" t="inlineStr">
        <is>
          <t>Mm2</t>
        </is>
      </c>
    </row>
    <row r="106">
      <c r="C106" t="inlineStr">
        <is>
          <t>CITY</t>
        </is>
      </c>
      <c r="D106">
        <f>'BDG Intensity'!F86</f>
        <v/>
      </c>
      <c r="E106">
        <f>'BDG Intensity'!A86&amp;" "&amp;'BDG Intensity'!B86&amp;" "&amp;'BDG Intensity'!C86&amp;" "&amp;'BDG Intensity'!D86&amp;" "&amp;'BDG Intensity'!E86&amp;" "&amp;"Building Efficiency"</f>
        <v/>
      </c>
      <c r="F106" t="inlineStr">
        <is>
          <t>Mm2</t>
        </is>
      </c>
      <c r="G106" t="inlineStr">
        <is>
          <t>Mm2</t>
        </is>
      </c>
    </row>
    <row r="107">
      <c r="C107" t="inlineStr">
        <is>
          <t>CITY</t>
        </is>
      </c>
      <c r="D107">
        <f>'BDG Intensity'!F87</f>
        <v/>
      </c>
      <c r="E107">
        <f>'BDG Intensity'!A87&amp;" "&amp;'BDG Intensity'!B87&amp;" "&amp;'BDG Intensity'!C87&amp;" "&amp;'BDG Intensity'!D87&amp;" "&amp;'BDG Intensity'!E87&amp;" "&amp;"Building Efficiency"</f>
        <v/>
      </c>
      <c r="F107" t="inlineStr">
        <is>
          <t>Mm2</t>
        </is>
      </c>
      <c r="G107" t="inlineStr">
        <is>
          <t>Mm2</t>
        </is>
      </c>
    </row>
    <row r="108">
      <c r="C108" t="inlineStr">
        <is>
          <t>CITY</t>
        </is>
      </c>
      <c r="D108">
        <f>'BDG Intensity'!F88</f>
        <v/>
      </c>
      <c r="E108">
        <f>'BDG Intensity'!A88&amp;" "&amp;'BDG Intensity'!B88&amp;" "&amp;'BDG Intensity'!C88&amp;" "&amp;'BDG Intensity'!D88&amp;" "&amp;'BDG Intensity'!E88&amp;" "&amp;"Building Efficiency"</f>
        <v/>
      </c>
      <c r="F108" t="inlineStr">
        <is>
          <t>Mm2</t>
        </is>
      </c>
      <c r="G108" t="inlineStr">
        <is>
          <t>Mm2</t>
        </is>
      </c>
    </row>
    <row r="109">
      <c r="C109" t="inlineStr">
        <is>
          <t>CITY</t>
        </is>
      </c>
      <c r="D109">
        <f>'BDG Intensity'!F89</f>
        <v/>
      </c>
      <c r="E109">
        <f>'BDG Intensity'!A89&amp;" "&amp;'BDG Intensity'!B89&amp;" "&amp;'BDG Intensity'!C89&amp;" "&amp;'BDG Intensity'!D89&amp;" "&amp;'BDG Intensity'!E89&amp;" "&amp;"Building Efficiency"</f>
        <v/>
      </c>
      <c r="F109" t="inlineStr">
        <is>
          <t>Mm2</t>
        </is>
      </c>
      <c r="G109" t="inlineStr">
        <is>
          <t>Mm2</t>
        </is>
      </c>
    </row>
    <row r="110">
      <c r="C110" t="inlineStr">
        <is>
          <t>CITY</t>
        </is>
      </c>
      <c r="D110">
        <f>'BDG Intensity'!F90</f>
        <v/>
      </c>
      <c r="E110">
        <f>'BDG Intensity'!A90&amp;" "&amp;'BDG Intensity'!B90&amp;" "&amp;'BDG Intensity'!C90&amp;" "&amp;'BDG Intensity'!D90&amp;" "&amp;'BDG Intensity'!E90&amp;" "&amp;"Building Efficiency"</f>
        <v/>
      </c>
      <c r="F110" t="inlineStr">
        <is>
          <t>Mm2</t>
        </is>
      </c>
      <c r="G110" t="inlineStr">
        <is>
          <t>Mm2</t>
        </is>
      </c>
    </row>
    <row r="111">
      <c r="C111" t="inlineStr">
        <is>
          <t>CITY</t>
        </is>
      </c>
      <c r="D111">
        <f>'BDG Intensity'!F91</f>
        <v/>
      </c>
      <c r="E111">
        <f>'BDG Intensity'!A91&amp;" "&amp;'BDG Intensity'!B91&amp;" "&amp;'BDG Intensity'!C91&amp;" "&amp;'BDG Intensity'!D91&amp;" "&amp;'BDG Intensity'!E91&amp;" "&amp;"Building Efficiency"</f>
        <v/>
      </c>
      <c r="F111" t="inlineStr">
        <is>
          <t>Mm2</t>
        </is>
      </c>
      <c r="G111" t="inlineStr">
        <is>
          <t>Mm2</t>
        </is>
      </c>
    </row>
    <row r="112">
      <c r="C112" t="inlineStr">
        <is>
          <t>CITY</t>
        </is>
      </c>
      <c r="D112">
        <f>'BDG Intensity'!F92</f>
        <v/>
      </c>
      <c r="E112">
        <f>'BDG Intensity'!A92&amp;" "&amp;'BDG Intensity'!B92&amp;" "&amp;'BDG Intensity'!C92&amp;" "&amp;'BDG Intensity'!D92&amp;" "&amp;'BDG Intensity'!E92&amp;" "&amp;"Building Efficiency"</f>
        <v/>
      </c>
      <c r="F112" t="inlineStr">
        <is>
          <t>Mm2</t>
        </is>
      </c>
      <c r="G112" t="inlineStr">
        <is>
          <t>Mm2</t>
        </is>
      </c>
    </row>
    <row r="113">
      <c r="C113" t="inlineStr">
        <is>
          <t>CITY</t>
        </is>
      </c>
      <c r="D113">
        <f>'BDG Intensity'!F93</f>
        <v/>
      </c>
      <c r="E113">
        <f>'BDG Intensity'!A93&amp;" "&amp;'BDG Intensity'!B93&amp;" "&amp;'BDG Intensity'!C93&amp;" "&amp;'BDG Intensity'!D93&amp;" "&amp;'BDG Intensity'!E93&amp;" "&amp;"Building Efficiency"</f>
        <v/>
      </c>
      <c r="F113" t="inlineStr">
        <is>
          <t>Mm2</t>
        </is>
      </c>
      <c r="G113" t="inlineStr">
        <is>
          <t>Mm2</t>
        </is>
      </c>
    </row>
    <row r="114">
      <c r="C114" t="inlineStr">
        <is>
          <t>CITY</t>
        </is>
      </c>
      <c r="D114">
        <f>'BDG Intensity'!F94</f>
        <v/>
      </c>
      <c r="E114">
        <f>'BDG Intensity'!A94&amp;" "&amp;'BDG Intensity'!B94&amp;" "&amp;'BDG Intensity'!C94&amp;" "&amp;'BDG Intensity'!D94&amp;" "&amp;'BDG Intensity'!E94&amp;" "&amp;"Building Efficiency"</f>
        <v/>
      </c>
      <c r="F114" t="inlineStr">
        <is>
          <t>Mm2</t>
        </is>
      </c>
      <c r="G114" t="inlineStr">
        <is>
          <t>Mm2</t>
        </is>
      </c>
    </row>
    <row r="115">
      <c r="C115" t="inlineStr">
        <is>
          <t>CITY</t>
        </is>
      </c>
      <c r="D115">
        <f>'BDG Intensity'!F95</f>
        <v/>
      </c>
      <c r="E115">
        <f>'BDG Intensity'!A95&amp;" "&amp;'BDG Intensity'!B95&amp;" "&amp;'BDG Intensity'!C95&amp;" "&amp;'BDG Intensity'!D95&amp;" "&amp;'BDG Intensity'!E95&amp;" "&amp;"Building Efficiency"</f>
        <v/>
      </c>
      <c r="F115" t="inlineStr">
        <is>
          <t>Mm2</t>
        </is>
      </c>
      <c r="G115" t="inlineStr">
        <is>
          <t>Mm2</t>
        </is>
      </c>
    </row>
    <row r="116">
      <c r="C116" t="inlineStr">
        <is>
          <t>CITY</t>
        </is>
      </c>
      <c r="D116">
        <f>'BDG Intensity'!F96</f>
        <v/>
      </c>
      <c r="E116">
        <f>'BDG Intensity'!A96&amp;" "&amp;'BDG Intensity'!B96&amp;" "&amp;'BDG Intensity'!C96&amp;" "&amp;'BDG Intensity'!D96&amp;" "&amp;'BDG Intensity'!E96&amp;" "&amp;"Building Efficiency"</f>
        <v/>
      </c>
      <c r="F116" t="inlineStr">
        <is>
          <t>Mm2</t>
        </is>
      </c>
      <c r="G116" t="inlineStr">
        <is>
          <t>Mm2</t>
        </is>
      </c>
    </row>
    <row r="117">
      <c r="C117" t="inlineStr">
        <is>
          <t>CITY</t>
        </is>
      </c>
      <c r="D117">
        <f>'BDG Intensity'!F97</f>
        <v/>
      </c>
      <c r="E117">
        <f>'BDG Intensity'!A97&amp;" "&amp;'BDG Intensity'!B97&amp;" "&amp;'BDG Intensity'!C97&amp;" "&amp;'BDG Intensity'!D97&amp;" "&amp;'BDG Intensity'!E97&amp;" "&amp;"Building Efficiency"</f>
        <v/>
      </c>
      <c r="F117" t="inlineStr">
        <is>
          <t>Mm2</t>
        </is>
      </c>
      <c r="G117" t="inlineStr">
        <is>
          <t>Mm2</t>
        </is>
      </c>
    </row>
    <row r="118">
      <c r="C118" t="inlineStr">
        <is>
          <t>CITY</t>
        </is>
      </c>
      <c r="D118">
        <f>'BDG Intensity'!F98</f>
        <v/>
      </c>
      <c r="E118">
        <f>'BDG Intensity'!A98&amp;" "&amp;'BDG Intensity'!B98&amp;" "&amp;'BDG Intensity'!C98&amp;" "&amp;'BDG Intensity'!D98&amp;" "&amp;'BDG Intensity'!E98&amp;" "&amp;"Building Efficiency"</f>
        <v/>
      </c>
      <c r="F118" t="inlineStr">
        <is>
          <t>Mm2</t>
        </is>
      </c>
      <c r="G118" t="inlineStr">
        <is>
          <t>Mm2</t>
        </is>
      </c>
    </row>
    <row r="119">
      <c r="C119" t="inlineStr">
        <is>
          <t>CITY</t>
        </is>
      </c>
      <c r="D119">
        <f>'BDG Intensity'!F99</f>
        <v/>
      </c>
      <c r="E119">
        <f>'BDG Intensity'!A99&amp;" "&amp;'BDG Intensity'!B99&amp;" "&amp;'BDG Intensity'!C99&amp;" "&amp;'BDG Intensity'!D99&amp;" "&amp;'BDG Intensity'!E99&amp;" "&amp;"Building Efficiency"</f>
        <v/>
      </c>
      <c r="F119" t="inlineStr">
        <is>
          <t>Mm2</t>
        </is>
      </c>
      <c r="G119" t="inlineStr">
        <is>
          <t>Mm2</t>
        </is>
      </c>
    </row>
    <row r="120">
      <c r="C120" t="inlineStr">
        <is>
          <t>CITY</t>
        </is>
      </c>
      <c r="D120">
        <f>'BDG Intensity'!F100</f>
        <v/>
      </c>
      <c r="E120">
        <f>'BDG Intensity'!A100&amp;" "&amp;'BDG Intensity'!B100&amp;" "&amp;'BDG Intensity'!C100&amp;" "&amp;'BDG Intensity'!D100&amp;" "&amp;'BDG Intensity'!E100&amp;" "&amp;"Building Efficiency"</f>
        <v/>
      </c>
      <c r="F120" t="inlineStr">
        <is>
          <t>Mm2</t>
        </is>
      </c>
      <c r="G120" t="inlineStr">
        <is>
          <t>Mm2</t>
        </is>
      </c>
    </row>
    <row r="121">
      <c r="C121" t="inlineStr">
        <is>
          <t>CITY</t>
        </is>
      </c>
      <c r="D121">
        <f>'BDG Intensity'!F101</f>
        <v/>
      </c>
      <c r="E121">
        <f>'BDG Intensity'!A101&amp;" "&amp;'BDG Intensity'!B101&amp;" "&amp;'BDG Intensity'!C101&amp;" "&amp;'BDG Intensity'!D101&amp;" "&amp;'BDG Intensity'!E101&amp;" "&amp;"Building Efficiency"</f>
        <v/>
      </c>
      <c r="F121" t="inlineStr">
        <is>
          <t>Mm2</t>
        </is>
      </c>
      <c r="G121" t="inlineStr">
        <is>
          <t>Mm2</t>
        </is>
      </c>
    </row>
    <row r="122">
      <c r="C122" t="inlineStr">
        <is>
          <t>CITY</t>
        </is>
      </c>
      <c r="D122">
        <f>'BDG Intensity'!F102</f>
        <v/>
      </c>
      <c r="E122">
        <f>'BDG Intensity'!A102&amp;" "&amp;'BDG Intensity'!B102&amp;" "&amp;'BDG Intensity'!C102&amp;" "&amp;'BDG Intensity'!D102&amp;" "&amp;'BDG Intensity'!E102&amp;" "&amp;"Building Efficiency"</f>
        <v/>
      </c>
      <c r="F122" t="inlineStr">
        <is>
          <t>Mm2</t>
        </is>
      </c>
      <c r="G122" t="inlineStr">
        <is>
          <t>Mm2</t>
        </is>
      </c>
    </row>
    <row r="123">
      <c r="C123" t="inlineStr">
        <is>
          <t>CITY</t>
        </is>
      </c>
      <c r="D123">
        <f>'BDG Intensity'!F103</f>
        <v/>
      </c>
      <c r="E123">
        <f>'BDG Intensity'!A103&amp;" "&amp;'BDG Intensity'!B103&amp;" "&amp;'BDG Intensity'!C103&amp;" "&amp;'BDG Intensity'!D103&amp;" "&amp;'BDG Intensity'!E103&amp;" "&amp;"Building Efficiency"</f>
        <v/>
      </c>
      <c r="F123" t="inlineStr">
        <is>
          <t>Mm2</t>
        </is>
      </c>
      <c r="G123" t="inlineStr">
        <is>
          <t>Mm2</t>
        </is>
      </c>
    </row>
    <row r="124">
      <c r="C124" t="inlineStr">
        <is>
          <t>CITY</t>
        </is>
      </c>
      <c r="D124">
        <f>'BDG Intensity'!F104</f>
        <v/>
      </c>
      <c r="E124">
        <f>'BDG Intensity'!A104&amp;" "&amp;'BDG Intensity'!B104&amp;" "&amp;'BDG Intensity'!C104&amp;" "&amp;'BDG Intensity'!D104&amp;" "&amp;'BDG Intensity'!E104&amp;" "&amp;"Building Efficiency"</f>
        <v/>
      </c>
      <c r="F124" t="inlineStr">
        <is>
          <t>Mm2</t>
        </is>
      </c>
      <c r="G124" t="inlineStr">
        <is>
          <t>Mm2</t>
        </is>
      </c>
    </row>
    <row r="125">
      <c r="C125" t="inlineStr">
        <is>
          <t>CITY</t>
        </is>
      </c>
      <c r="D125">
        <f>'BDG Intensity'!F105</f>
        <v/>
      </c>
      <c r="E125">
        <f>'BDG Intensity'!A105&amp;" "&amp;'BDG Intensity'!B105&amp;" "&amp;'BDG Intensity'!C105&amp;" "&amp;'BDG Intensity'!D105&amp;" "&amp;'BDG Intensity'!E105&amp;" "&amp;"Building Efficiency"</f>
        <v/>
      </c>
      <c r="F125" t="inlineStr">
        <is>
          <t>Mm2</t>
        </is>
      </c>
      <c r="G125" t="inlineStr">
        <is>
          <t>Mm2</t>
        </is>
      </c>
    </row>
    <row r="126">
      <c r="C126" t="inlineStr">
        <is>
          <t>CITY</t>
        </is>
      </c>
      <c r="D126">
        <f>'BDG Intensity'!F106</f>
        <v/>
      </c>
      <c r="E126">
        <f>'BDG Intensity'!A106&amp;" "&amp;'BDG Intensity'!B106&amp;" "&amp;'BDG Intensity'!C106&amp;" "&amp;'BDG Intensity'!D106&amp;" "&amp;'BDG Intensity'!E106&amp;" "&amp;"Building Efficiency"</f>
        <v/>
      </c>
      <c r="F126" t="inlineStr">
        <is>
          <t>Mm2</t>
        </is>
      </c>
      <c r="G126" t="inlineStr">
        <is>
          <t>Mm2</t>
        </is>
      </c>
    </row>
    <row r="127">
      <c r="C127" t="inlineStr">
        <is>
          <t>CITY</t>
        </is>
      </c>
      <c r="D127">
        <f>'BDG Intensity'!F107</f>
        <v/>
      </c>
      <c r="E127">
        <f>'BDG Intensity'!A107&amp;" "&amp;'BDG Intensity'!B107&amp;" "&amp;'BDG Intensity'!C107&amp;" "&amp;'BDG Intensity'!D107&amp;" "&amp;'BDG Intensity'!E107&amp;" "&amp;"Building Efficiency"</f>
        <v/>
      </c>
      <c r="F127" t="inlineStr">
        <is>
          <t>Mm2</t>
        </is>
      </c>
      <c r="G127" t="inlineStr">
        <is>
          <t>Mm2</t>
        </is>
      </c>
    </row>
    <row r="128">
      <c r="C128" t="inlineStr">
        <is>
          <t>CITY</t>
        </is>
      </c>
      <c r="D128">
        <f>'BDG Intensity'!F108</f>
        <v/>
      </c>
      <c r="E128">
        <f>'BDG Intensity'!A108&amp;" "&amp;'BDG Intensity'!B108&amp;" "&amp;'BDG Intensity'!C108&amp;" "&amp;'BDG Intensity'!D108&amp;" "&amp;'BDG Intensity'!E108&amp;" "&amp;"Building Efficiency"</f>
        <v/>
      </c>
      <c r="F128" t="inlineStr">
        <is>
          <t>Mm2</t>
        </is>
      </c>
      <c r="G128" t="inlineStr">
        <is>
          <t>Mm2</t>
        </is>
      </c>
    </row>
    <row r="129">
      <c r="C129" t="inlineStr">
        <is>
          <t>CITY</t>
        </is>
      </c>
      <c r="D129">
        <f>'BDG Intensity'!F109</f>
        <v/>
      </c>
      <c r="E129">
        <f>'BDG Intensity'!A109&amp;" "&amp;'BDG Intensity'!B109&amp;" "&amp;'BDG Intensity'!C109&amp;" "&amp;'BDG Intensity'!D109&amp;" "&amp;'BDG Intensity'!E109&amp;" "&amp;"Building Efficiency"</f>
        <v/>
      </c>
      <c r="F129" t="inlineStr">
        <is>
          <t>Mm2</t>
        </is>
      </c>
      <c r="G129" t="inlineStr">
        <is>
          <t>Mm2</t>
        </is>
      </c>
    </row>
    <row r="130">
      <c r="C130" t="inlineStr">
        <is>
          <t>CITY</t>
        </is>
      </c>
      <c r="D130">
        <f>'BDG Intensity'!F110</f>
        <v/>
      </c>
      <c r="E130">
        <f>'BDG Intensity'!A110&amp;" "&amp;'BDG Intensity'!B110&amp;" "&amp;'BDG Intensity'!C110&amp;" "&amp;'BDG Intensity'!D110&amp;" "&amp;'BDG Intensity'!E110&amp;" "&amp;"Building Efficiency"</f>
        <v/>
      </c>
      <c r="F130" t="inlineStr">
        <is>
          <t>Mm2</t>
        </is>
      </c>
      <c r="G130" t="inlineStr">
        <is>
          <t>Mm2</t>
        </is>
      </c>
    </row>
    <row r="131">
      <c r="C131" t="inlineStr">
        <is>
          <t>CITY</t>
        </is>
      </c>
      <c r="D131">
        <f>'BDG Intensity'!F111</f>
        <v/>
      </c>
      <c r="E131">
        <f>'BDG Intensity'!A111&amp;" "&amp;'BDG Intensity'!B111&amp;" "&amp;'BDG Intensity'!C111&amp;" "&amp;'BDG Intensity'!D111&amp;" "&amp;'BDG Intensity'!E111&amp;" "&amp;"Building Efficiency"</f>
        <v/>
      </c>
      <c r="F131" t="inlineStr">
        <is>
          <t>Mm2</t>
        </is>
      </c>
      <c r="G131" t="inlineStr">
        <is>
          <t>Mm2</t>
        </is>
      </c>
    </row>
    <row r="132">
      <c r="C132" t="inlineStr">
        <is>
          <t>CITY</t>
        </is>
      </c>
      <c r="D132">
        <f>'BDG Intensity'!F112</f>
        <v/>
      </c>
      <c r="E132">
        <f>'BDG Intensity'!A112&amp;" "&amp;'BDG Intensity'!B112&amp;" "&amp;'BDG Intensity'!C112&amp;" "&amp;'BDG Intensity'!D112&amp;" "&amp;'BDG Intensity'!E112&amp;" "&amp;"Building Efficiency"</f>
        <v/>
      </c>
      <c r="F132" t="inlineStr">
        <is>
          <t>Mm2</t>
        </is>
      </c>
      <c r="G132" t="inlineStr">
        <is>
          <t>Mm2</t>
        </is>
      </c>
    </row>
    <row r="133">
      <c r="C133" t="inlineStr">
        <is>
          <t>CITY</t>
        </is>
      </c>
      <c r="D133">
        <f>'BDG Intensity'!F113</f>
        <v/>
      </c>
      <c r="E133">
        <f>'BDG Intensity'!A113&amp;" "&amp;'BDG Intensity'!B113&amp;" "&amp;'BDG Intensity'!C113&amp;" "&amp;'BDG Intensity'!D113&amp;" "&amp;'BDG Intensity'!E113&amp;" "&amp;"Building Efficiency"</f>
        <v/>
      </c>
      <c r="F133" t="inlineStr">
        <is>
          <t>Mm2</t>
        </is>
      </c>
      <c r="G133" t="inlineStr">
        <is>
          <t>Mm2</t>
        </is>
      </c>
    </row>
    <row r="134">
      <c r="C134" t="inlineStr">
        <is>
          <t>CITY</t>
        </is>
      </c>
      <c r="D134">
        <f>'BDG Intensity'!F114</f>
        <v/>
      </c>
      <c r="E134">
        <f>'BDG Intensity'!A114&amp;" "&amp;'BDG Intensity'!B114&amp;" "&amp;'BDG Intensity'!C114&amp;" "&amp;'BDG Intensity'!D114&amp;" "&amp;'BDG Intensity'!E114&amp;" "&amp;"Building Efficiency"</f>
        <v/>
      </c>
      <c r="F134" t="inlineStr">
        <is>
          <t>Mm2</t>
        </is>
      </c>
      <c r="G134" t="inlineStr">
        <is>
          <t>Mm2</t>
        </is>
      </c>
    </row>
    <row r="135">
      <c r="C135" t="inlineStr">
        <is>
          <t>CITY</t>
        </is>
      </c>
      <c r="D135">
        <f>'BDG Intensity'!F115</f>
        <v/>
      </c>
      <c r="E135">
        <f>'BDG Intensity'!A115&amp;" "&amp;'BDG Intensity'!B115&amp;" "&amp;'BDG Intensity'!C115&amp;" "&amp;'BDG Intensity'!D115&amp;" "&amp;'BDG Intensity'!E115&amp;" "&amp;"Building Efficiency"</f>
        <v/>
      </c>
      <c r="F135" t="inlineStr">
        <is>
          <t>Mm2</t>
        </is>
      </c>
      <c r="G135" t="inlineStr">
        <is>
          <t>Mm2</t>
        </is>
      </c>
    </row>
    <row r="136">
      <c r="C136" t="inlineStr">
        <is>
          <t>CITY</t>
        </is>
      </c>
      <c r="D136">
        <f>'BDG Intensity'!F116</f>
        <v/>
      </c>
      <c r="E136">
        <f>'BDG Intensity'!A116&amp;" "&amp;'BDG Intensity'!B116&amp;" "&amp;'BDG Intensity'!C116&amp;" "&amp;'BDG Intensity'!D116&amp;" "&amp;'BDG Intensity'!E116&amp;" "&amp;"Building Efficiency"</f>
        <v/>
      </c>
      <c r="F136" t="inlineStr">
        <is>
          <t>Mm2</t>
        </is>
      </c>
      <c r="G136" t="inlineStr">
        <is>
          <t>Mm2</t>
        </is>
      </c>
    </row>
    <row r="137">
      <c r="C137" t="inlineStr">
        <is>
          <t>CITY</t>
        </is>
      </c>
      <c r="D137">
        <f>'BDG Intensity'!F117</f>
        <v/>
      </c>
      <c r="E137">
        <f>'BDG Intensity'!A117&amp;" "&amp;'BDG Intensity'!B117&amp;" "&amp;'BDG Intensity'!C117&amp;" "&amp;'BDG Intensity'!D117&amp;" "&amp;'BDG Intensity'!E117&amp;" "&amp;"Building Efficiency"</f>
        <v/>
      </c>
      <c r="F137" t="inlineStr">
        <is>
          <t>Mm2</t>
        </is>
      </c>
      <c r="G137" t="inlineStr">
        <is>
          <t>Mm2</t>
        </is>
      </c>
    </row>
    <row r="138">
      <c r="C138" t="inlineStr">
        <is>
          <t>CITY</t>
        </is>
      </c>
      <c r="D138">
        <f>'BDG Intensity'!F118</f>
        <v/>
      </c>
      <c r="E138">
        <f>'BDG Intensity'!A118&amp;" "&amp;'BDG Intensity'!B118&amp;" "&amp;'BDG Intensity'!C118&amp;" "&amp;'BDG Intensity'!D118&amp;" "&amp;'BDG Intensity'!E118&amp;" "&amp;"Building Efficiency"</f>
        <v/>
      </c>
      <c r="F138" t="inlineStr">
        <is>
          <t>Mm2</t>
        </is>
      </c>
      <c r="G138" t="inlineStr">
        <is>
          <t>Mm2</t>
        </is>
      </c>
    </row>
    <row r="139">
      <c r="C139" t="inlineStr">
        <is>
          <t>CITY</t>
        </is>
      </c>
      <c r="D139">
        <f>'BDG Intensity'!F119</f>
        <v/>
      </c>
      <c r="E139">
        <f>'BDG Intensity'!A119&amp;" "&amp;'BDG Intensity'!B119&amp;" "&amp;'BDG Intensity'!C119&amp;" "&amp;'BDG Intensity'!D119&amp;" "&amp;'BDG Intensity'!E119&amp;" "&amp;"Building Efficiency"</f>
        <v/>
      </c>
      <c r="F139" t="inlineStr">
        <is>
          <t>Mm2</t>
        </is>
      </c>
      <c r="G139" t="inlineStr">
        <is>
          <t>Mm2</t>
        </is>
      </c>
    </row>
    <row r="140">
      <c r="C140" t="inlineStr">
        <is>
          <t>CITY</t>
        </is>
      </c>
      <c r="D140">
        <f>'BDG Intensity'!F120</f>
        <v/>
      </c>
      <c r="E140">
        <f>'BDG Intensity'!A120&amp;" "&amp;'BDG Intensity'!B120&amp;" "&amp;'BDG Intensity'!C120&amp;" "&amp;'BDG Intensity'!D120&amp;" "&amp;'BDG Intensity'!E120&amp;" "&amp;"Building Efficiency"</f>
        <v/>
      </c>
      <c r="F140" t="inlineStr">
        <is>
          <t>Mm2</t>
        </is>
      </c>
      <c r="G140" t="inlineStr">
        <is>
          <t>Mm2</t>
        </is>
      </c>
    </row>
    <row r="141">
      <c r="C141" t="inlineStr">
        <is>
          <t>CITY</t>
        </is>
      </c>
      <c r="D141">
        <f>'BDG Intensity'!F121</f>
        <v/>
      </c>
      <c r="E141">
        <f>'BDG Intensity'!A121&amp;" "&amp;'BDG Intensity'!B121&amp;" "&amp;'BDG Intensity'!C121&amp;" "&amp;'BDG Intensity'!D121&amp;" "&amp;'BDG Intensity'!E121&amp;" "&amp;"Building Efficiency"</f>
        <v/>
      </c>
      <c r="F141" t="inlineStr">
        <is>
          <t>Mm2</t>
        </is>
      </c>
      <c r="G141" t="inlineStr">
        <is>
          <t>Mm2</t>
        </is>
      </c>
    </row>
    <row r="142">
      <c r="C142" t="inlineStr">
        <is>
          <t>CITY</t>
        </is>
      </c>
      <c r="D142">
        <f>'BDG Intensity'!F122</f>
        <v/>
      </c>
      <c r="E142">
        <f>'BDG Intensity'!A122&amp;" "&amp;'BDG Intensity'!B122&amp;" "&amp;'BDG Intensity'!C122&amp;" "&amp;'BDG Intensity'!D122&amp;" "&amp;'BDG Intensity'!E122&amp;" "&amp;"Building Efficiency"</f>
        <v/>
      </c>
      <c r="F142" t="inlineStr">
        <is>
          <t>Mm2</t>
        </is>
      </c>
      <c r="G142" t="inlineStr">
        <is>
          <t>Mm2</t>
        </is>
      </c>
    </row>
    <row r="143">
      <c r="C143" t="inlineStr">
        <is>
          <t>CITY</t>
        </is>
      </c>
      <c r="D143">
        <f>'BDG Intensity'!F123</f>
        <v/>
      </c>
      <c r="E143">
        <f>'BDG Intensity'!A123&amp;" "&amp;'BDG Intensity'!B123&amp;" "&amp;'BDG Intensity'!C123&amp;" "&amp;'BDG Intensity'!D123&amp;" "&amp;'BDG Intensity'!E123&amp;" "&amp;"Building Efficiency"</f>
        <v/>
      </c>
      <c r="F143" t="inlineStr">
        <is>
          <t>Mm2</t>
        </is>
      </c>
      <c r="G143" t="inlineStr">
        <is>
          <t>Mm2</t>
        </is>
      </c>
    </row>
    <row r="144">
      <c r="C144" t="inlineStr">
        <is>
          <t>CITY</t>
        </is>
      </c>
      <c r="D144">
        <f>'BDG Intensity'!F124</f>
        <v/>
      </c>
      <c r="E144">
        <f>'BDG Intensity'!A124&amp;" "&amp;'BDG Intensity'!B124&amp;" "&amp;'BDG Intensity'!C124&amp;" "&amp;'BDG Intensity'!D124&amp;" "&amp;'BDG Intensity'!E124&amp;" "&amp;"Building Efficiency"</f>
        <v/>
      </c>
      <c r="F144" t="inlineStr">
        <is>
          <t>Mm2</t>
        </is>
      </c>
      <c r="G144" t="inlineStr">
        <is>
          <t>Mm2</t>
        </is>
      </c>
    </row>
    <row r="145">
      <c r="C145" t="inlineStr">
        <is>
          <t>CITY</t>
        </is>
      </c>
      <c r="D145">
        <f>'BDG Intensity'!F125</f>
        <v/>
      </c>
      <c r="E145">
        <f>'BDG Intensity'!A125&amp;" "&amp;'BDG Intensity'!B125&amp;" "&amp;'BDG Intensity'!C125&amp;" "&amp;'BDG Intensity'!D125&amp;" "&amp;'BDG Intensity'!E125&amp;" "&amp;"Building Efficiency"</f>
        <v/>
      </c>
      <c r="F145" t="inlineStr">
        <is>
          <t>Mm2</t>
        </is>
      </c>
      <c r="G145" t="inlineStr">
        <is>
          <t>Mm2</t>
        </is>
      </c>
    </row>
    <row r="146">
      <c r="C146" t="inlineStr">
        <is>
          <t>CITY</t>
        </is>
      </c>
      <c r="D146">
        <f>'BDG Intensity'!F126</f>
        <v/>
      </c>
      <c r="E146">
        <f>'BDG Intensity'!A126&amp;" "&amp;'BDG Intensity'!B126&amp;" "&amp;'BDG Intensity'!C126&amp;" "&amp;'BDG Intensity'!D126&amp;" "&amp;'BDG Intensity'!E126&amp;" "&amp;"Building Efficiency"</f>
        <v/>
      </c>
      <c r="F146" t="inlineStr">
        <is>
          <t>Mm2</t>
        </is>
      </c>
      <c r="G146" t="inlineStr">
        <is>
          <t>Mm2</t>
        </is>
      </c>
    </row>
    <row r="147">
      <c r="C147" t="inlineStr">
        <is>
          <t>CITY</t>
        </is>
      </c>
      <c r="D147">
        <f>'BDG Intensity'!F127</f>
        <v/>
      </c>
      <c r="E147">
        <f>'BDG Intensity'!A127&amp;" "&amp;'BDG Intensity'!B127&amp;" "&amp;'BDG Intensity'!C127&amp;" "&amp;'BDG Intensity'!D127&amp;" "&amp;'BDG Intensity'!E127&amp;" "&amp;"Building Efficiency"</f>
        <v/>
      </c>
      <c r="F147" t="inlineStr">
        <is>
          <t>Mm2</t>
        </is>
      </c>
      <c r="G147" t="inlineStr">
        <is>
          <t>Mm2</t>
        </is>
      </c>
    </row>
    <row r="148">
      <c r="C148" t="inlineStr">
        <is>
          <t>CITY</t>
        </is>
      </c>
      <c r="D148">
        <f>'BDG Intensity'!F128</f>
        <v/>
      </c>
      <c r="E148">
        <f>'BDG Intensity'!A128&amp;" "&amp;'BDG Intensity'!B128&amp;" "&amp;'BDG Intensity'!C128&amp;" "&amp;'BDG Intensity'!D128&amp;" "&amp;'BDG Intensity'!E128&amp;" "&amp;"Building Efficiency"</f>
        <v/>
      </c>
      <c r="F148" t="inlineStr">
        <is>
          <t>Mm2</t>
        </is>
      </c>
      <c r="G148" t="inlineStr">
        <is>
          <t>Mm2</t>
        </is>
      </c>
    </row>
    <row r="149">
      <c r="C149" t="inlineStr">
        <is>
          <t>CITY</t>
        </is>
      </c>
      <c r="D149">
        <f>'BDG Intensity'!F129</f>
        <v/>
      </c>
      <c r="E149">
        <f>'BDG Intensity'!A129&amp;" "&amp;'BDG Intensity'!B129&amp;" "&amp;'BDG Intensity'!C129&amp;" "&amp;'BDG Intensity'!D129&amp;" "&amp;'BDG Intensity'!E129&amp;" "&amp;"Building Efficiency"</f>
        <v/>
      </c>
      <c r="F149" t="inlineStr">
        <is>
          <t>Mm2</t>
        </is>
      </c>
      <c r="G149" t="inlineStr">
        <is>
          <t>Mm2</t>
        </is>
      </c>
    </row>
    <row r="150">
      <c r="B150" t="inlineStr">
        <is>
          <t>*</t>
        </is>
      </c>
    </row>
    <row r="151">
      <c r="B151">
        <f>IF(_xlfn.XLOOKUP(D151,'COM RESID'!J:J,'COM RESID'!P:P)=0,"*","PRE")</f>
        <v/>
      </c>
      <c r="C151" t="inlineStr">
        <is>
          <t>CITY</t>
        </is>
      </c>
      <c r="D151">
        <f>'COM RESID'!J2</f>
        <v/>
      </c>
      <c r="E151">
        <f>'COM RESID'!A2&amp;" "&amp;'COM RESID'!B2&amp;" "&amp;'COM RESID'!C2&amp;" "&amp;'COM RESID'!D2&amp;" "&amp;'COM RESID'!E2&amp;" "&amp;'COM RESID'!F2</f>
        <v/>
      </c>
      <c r="F151">
        <f>IF(G151="MW","TJ",LEFT(G151,LEN(G151)-1))</f>
        <v/>
      </c>
      <c r="G151">
        <f>'COM RESID'!Q2</f>
        <v/>
      </c>
    </row>
    <row r="152">
      <c r="B152">
        <f>IF(_xlfn.XLOOKUP(D152,'COM RESID'!J:J,'COM RESID'!P:P)=0,"*","PRE")</f>
        <v/>
      </c>
      <c r="C152" t="inlineStr">
        <is>
          <t>CITY</t>
        </is>
      </c>
      <c r="D152">
        <f>'COM RESID'!J3</f>
        <v/>
      </c>
      <c r="E152">
        <f>'COM RESID'!A3&amp;" "&amp;'COM RESID'!B3&amp;" "&amp;'COM RESID'!C3&amp;" "&amp;'COM RESID'!D3&amp;" "&amp;'COM RESID'!E3&amp;" "&amp;'COM RESID'!F3</f>
        <v/>
      </c>
      <c r="F152">
        <f>IF(G152="MW","TJ",LEFT(G152,LEN(G152)-1))</f>
        <v/>
      </c>
      <c r="G152">
        <f>'COM RESID'!Q3</f>
        <v/>
      </c>
    </row>
    <row r="153">
      <c r="B153">
        <f>IF(_xlfn.XLOOKUP(D153,'COM RESID'!J:J,'COM RESID'!P:P)=0,"*","PRE")</f>
        <v/>
      </c>
      <c r="C153" t="inlineStr">
        <is>
          <t>CITY</t>
        </is>
      </c>
      <c r="D153">
        <f>'COM RESID'!J4</f>
        <v/>
      </c>
      <c r="E153">
        <f>'COM RESID'!A4&amp;" "&amp;'COM RESID'!B4&amp;" "&amp;'COM RESID'!C4&amp;" "&amp;'COM RESID'!D4&amp;" "&amp;'COM RESID'!E4&amp;" "&amp;'COM RESID'!F4</f>
        <v/>
      </c>
      <c r="F153">
        <f>IF(G153="MW","TJ",LEFT(G153,LEN(G153)-1))</f>
        <v/>
      </c>
      <c r="G153">
        <f>'COM RESID'!Q4</f>
        <v/>
      </c>
    </row>
    <row r="154">
      <c r="B154">
        <f>IF(_xlfn.XLOOKUP(D154,'COM RESID'!J:J,'COM RESID'!P:P)=0,"*","PRE")</f>
        <v/>
      </c>
      <c r="C154" t="inlineStr">
        <is>
          <t>CITY</t>
        </is>
      </c>
      <c r="D154">
        <f>'COM RESID'!J5</f>
        <v/>
      </c>
      <c r="E154">
        <f>'COM RESID'!A5&amp;" "&amp;'COM RESID'!B5&amp;" "&amp;'COM RESID'!C5&amp;" "&amp;'COM RESID'!D5&amp;" "&amp;'COM RESID'!E5&amp;" "&amp;'COM RESID'!F5</f>
        <v/>
      </c>
      <c r="F154">
        <f>IF(G154="MW","TJ",LEFT(G154,LEN(G154)-1))</f>
        <v/>
      </c>
      <c r="G154">
        <f>'COM RESID'!Q5</f>
        <v/>
      </c>
    </row>
    <row r="155">
      <c r="B155">
        <f>IF(_xlfn.XLOOKUP(D155,'COM RESID'!J:J,'COM RESID'!P:P)=0,"*","PRE")</f>
        <v/>
      </c>
      <c r="C155" t="inlineStr">
        <is>
          <t>CITY</t>
        </is>
      </c>
      <c r="D155">
        <f>'COM RESID'!J6</f>
        <v/>
      </c>
      <c r="E155">
        <f>'COM RESID'!A6&amp;" "&amp;'COM RESID'!B6&amp;" "&amp;'COM RESID'!C6&amp;" "&amp;'COM RESID'!D6&amp;" "&amp;'COM RESID'!E6&amp;" "&amp;'COM RESID'!F6</f>
        <v/>
      </c>
      <c r="F155">
        <f>IF(G155="MW","TJ",LEFT(G155,LEN(G155)-1))</f>
        <v/>
      </c>
      <c r="G155">
        <f>'COM RESID'!Q6</f>
        <v/>
      </c>
    </row>
    <row r="156">
      <c r="B156">
        <f>IF(_xlfn.XLOOKUP(D156,'COM RESID'!J:J,'COM RESID'!P:P)=0,"*","PRE")</f>
        <v/>
      </c>
      <c r="C156" t="inlineStr">
        <is>
          <t>CITY</t>
        </is>
      </c>
      <c r="D156">
        <f>'COM RESID'!J7</f>
        <v/>
      </c>
      <c r="E156">
        <f>'COM RESID'!A7&amp;" "&amp;'COM RESID'!B7&amp;" "&amp;'COM RESID'!C7&amp;" "&amp;'COM RESID'!D7&amp;" "&amp;'COM RESID'!E7&amp;" "&amp;'COM RESID'!F7</f>
        <v/>
      </c>
      <c r="F156">
        <f>IF(G156="MW","TJ",LEFT(G156,LEN(G156)-1))</f>
        <v/>
      </c>
      <c r="G156">
        <f>'COM RESID'!Q7</f>
        <v/>
      </c>
    </row>
    <row r="157">
      <c r="B157">
        <f>IF(_xlfn.XLOOKUP(D157,'COM RESID'!J:J,'COM RESID'!P:P)=0,"*","PRE")</f>
        <v/>
      </c>
      <c r="C157" t="inlineStr">
        <is>
          <t>CITY</t>
        </is>
      </c>
      <c r="D157">
        <f>'COM RESID'!J8</f>
        <v/>
      </c>
      <c r="E157">
        <f>'COM RESID'!A8&amp;" "&amp;'COM RESID'!B8&amp;" "&amp;'COM RESID'!C8&amp;" "&amp;'COM RESID'!D8&amp;" "&amp;'COM RESID'!E8&amp;" "&amp;'COM RESID'!F8</f>
        <v/>
      </c>
      <c r="F157">
        <f>IF(G157="MW","TJ",LEFT(G157,LEN(G157)-1))</f>
        <v/>
      </c>
      <c r="G157">
        <f>'COM RESID'!Q8</f>
        <v/>
      </c>
    </row>
    <row r="158">
      <c r="B158">
        <f>IF(_xlfn.XLOOKUP(D158,'COM RESID'!J:J,'COM RESID'!P:P)=0,"*","PRE")</f>
        <v/>
      </c>
      <c r="C158" t="inlineStr">
        <is>
          <t>CITY</t>
        </is>
      </c>
      <c r="D158">
        <f>'COM RESID'!J9</f>
        <v/>
      </c>
      <c r="E158">
        <f>'COM RESID'!A9&amp;" "&amp;'COM RESID'!B9&amp;" "&amp;'COM RESID'!C9&amp;" "&amp;'COM RESID'!D9&amp;" "&amp;'COM RESID'!E9&amp;" "&amp;'COM RESID'!F9</f>
        <v/>
      </c>
      <c r="F158">
        <f>IF(G158="MW","TJ",LEFT(G158,LEN(G158)-1))</f>
        <v/>
      </c>
      <c r="G158">
        <f>'COM RESID'!Q9</f>
        <v/>
      </c>
    </row>
    <row r="159">
      <c r="B159">
        <f>IF(_xlfn.XLOOKUP(D159,'COM RESID'!J:J,'COM RESID'!P:P)=0,"*","PRE")</f>
        <v/>
      </c>
      <c r="C159" t="inlineStr">
        <is>
          <t>CITY</t>
        </is>
      </c>
      <c r="D159">
        <f>'COM RESID'!J10</f>
        <v/>
      </c>
      <c r="E159">
        <f>'COM RESID'!A10&amp;" "&amp;'COM RESID'!B10&amp;" "&amp;'COM RESID'!C10&amp;" "&amp;'COM RESID'!D10&amp;" "&amp;'COM RESID'!E10&amp;" "&amp;'COM RESID'!F10</f>
        <v/>
      </c>
      <c r="F159">
        <f>IF(G159="MW","TJ",LEFT(G159,LEN(G159)-1))</f>
        <v/>
      </c>
      <c r="G159">
        <f>'COM RESID'!Q10</f>
        <v/>
      </c>
    </row>
    <row r="160">
      <c r="B160">
        <f>IF(_xlfn.XLOOKUP(D160,'COM RESID'!J:J,'COM RESID'!P:P)=0,"*","PRE")</f>
        <v/>
      </c>
      <c r="C160" t="inlineStr">
        <is>
          <t>CITY</t>
        </is>
      </c>
      <c r="D160">
        <f>'COM RESID'!J11</f>
        <v/>
      </c>
      <c r="E160">
        <f>'COM RESID'!A11&amp;" "&amp;'COM RESID'!B11&amp;" "&amp;'COM RESID'!C11&amp;" "&amp;'COM RESID'!D11&amp;" "&amp;'COM RESID'!E11&amp;" "&amp;'COM RESID'!F11</f>
        <v/>
      </c>
      <c r="F160">
        <f>IF(G160="MW","TJ",LEFT(G160,LEN(G160)-1))</f>
        <v/>
      </c>
      <c r="G160">
        <f>'COM RESID'!Q11</f>
        <v/>
      </c>
    </row>
    <row r="161">
      <c r="B161">
        <f>IF(_xlfn.XLOOKUP(D161,'COM RESID'!J:J,'COM RESID'!P:P)=0,"*","PRE")</f>
        <v/>
      </c>
      <c r="C161" t="inlineStr">
        <is>
          <t>CITY</t>
        </is>
      </c>
      <c r="D161">
        <f>'COM RESID'!J12</f>
        <v/>
      </c>
      <c r="E161">
        <f>'COM RESID'!A12&amp;" "&amp;'COM RESID'!B12&amp;" "&amp;'COM RESID'!C12&amp;" "&amp;'COM RESID'!D12&amp;" "&amp;'COM RESID'!E12&amp;" "&amp;'COM RESID'!F12</f>
        <v/>
      </c>
      <c r="F161">
        <f>IF(G161="MW","TJ",LEFT(G161,LEN(G161)-1))</f>
        <v/>
      </c>
      <c r="G161">
        <f>'COM RESID'!Q12</f>
        <v/>
      </c>
    </row>
    <row r="162">
      <c r="B162">
        <f>IF(_xlfn.XLOOKUP(D162,'COM RESID'!J:J,'COM RESID'!P:P)=0,"*","PRE")</f>
        <v/>
      </c>
      <c r="C162" t="inlineStr">
        <is>
          <t>CITY</t>
        </is>
      </c>
      <c r="D162">
        <f>'COM RESID'!J13</f>
        <v/>
      </c>
      <c r="E162">
        <f>'COM RESID'!A13&amp;" "&amp;'COM RESID'!B13&amp;" "&amp;'COM RESID'!C13&amp;" "&amp;'COM RESID'!D13&amp;" "&amp;'COM RESID'!E13&amp;" "&amp;'COM RESID'!F13</f>
        <v/>
      </c>
      <c r="F162">
        <f>IF(G162="MW","TJ",LEFT(G162,LEN(G162)-1))</f>
        <v/>
      </c>
      <c r="G162">
        <f>'COM RESID'!Q13</f>
        <v/>
      </c>
    </row>
    <row r="163">
      <c r="B163">
        <f>IF(_xlfn.XLOOKUP(D163,'COM RESID'!J:J,'COM RESID'!P:P)=0,"*","PRE")</f>
        <v/>
      </c>
      <c r="C163" t="inlineStr">
        <is>
          <t>CITY</t>
        </is>
      </c>
      <c r="D163">
        <f>'COM RESID'!J14</f>
        <v/>
      </c>
      <c r="E163">
        <f>'COM RESID'!A14&amp;" "&amp;'COM RESID'!B14&amp;" "&amp;'COM RESID'!C14&amp;" "&amp;'COM RESID'!D14&amp;" "&amp;'COM RESID'!E14&amp;" "&amp;'COM RESID'!F14</f>
        <v/>
      </c>
      <c r="F163">
        <f>IF(G163="MW","TJ",LEFT(G163,LEN(G163)-1))</f>
        <v/>
      </c>
      <c r="G163">
        <f>'COM RESID'!Q14</f>
        <v/>
      </c>
    </row>
    <row r="164">
      <c r="B164">
        <f>IF(_xlfn.XLOOKUP(D164,'COM RESID'!J:J,'COM RESID'!P:P)=0,"*","PRE")</f>
        <v/>
      </c>
      <c r="C164" t="inlineStr">
        <is>
          <t>CITY</t>
        </is>
      </c>
      <c r="D164">
        <f>'COM RESID'!J15</f>
        <v/>
      </c>
      <c r="E164">
        <f>'COM RESID'!A15&amp;" "&amp;'COM RESID'!B15&amp;" "&amp;'COM RESID'!C15&amp;" "&amp;'COM RESID'!D15&amp;" "&amp;'COM RESID'!E15&amp;" "&amp;'COM RESID'!F15</f>
        <v/>
      </c>
      <c r="F164">
        <f>IF(G164="MW","TJ",LEFT(G164,LEN(G164)-1))</f>
        <v/>
      </c>
      <c r="G164">
        <f>'COM RESID'!Q15</f>
        <v/>
      </c>
    </row>
    <row r="165">
      <c r="B165">
        <f>IF(_xlfn.XLOOKUP(D165,'COM RESID'!J:J,'COM RESID'!P:P)=0,"*","PRE")</f>
        <v/>
      </c>
      <c r="C165" t="inlineStr">
        <is>
          <t>CITY</t>
        </is>
      </c>
      <c r="D165">
        <f>'COM RESID'!J16</f>
        <v/>
      </c>
      <c r="E165">
        <f>'COM RESID'!A16&amp;" "&amp;'COM RESID'!B16&amp;" "&amp;'COM RESID'!C16&amp;" "&amp;'COM RESID'!D16&amp;" "&amp;'COM RESID'!E16&amp;" "&amp;'COM RESID'!F16</f>
        <v/>
      </c>
      <c r="F165">
        <f>IF(G165="MW","TJ",LEFT(G165,LEN(G165)-1))</f>
        <v/>
      </c>
      <c r="G165">
        <f>'COM RESID'!Q16</f>
        <v/>
      </c>
    </row>
    <row r="166">
      <c r="B166">
        <f>IF(_xlfn.XLOOKUP(D166,'COM RESID'!J:J,'COM RESID'!P:P)=0,"*","PRE")</f>
        <v/>
      </c>
      <c r="C166" t="inlineStr">
        <is>
          <t>CITY</t>
        </is>
      </c>
      <c r="D166">
        <f>'COM RESID'!J17</f>
        <v/>
      </c>
      <c r="E166">
        <f>'COM RESID'!A17&amp;" "&amp;'COM RESID'!B17&amp;" "&amp;'COM RESID'!C17&amp;" "&amp;'COM RESID'!D17&amp;" "&amp;'COM RESID'!E17&amp;" "&amp;'COM RESID'!F17</f>
        <v/>
      </c>
      <c r="F166">
        <f>IF(G166="MW","TJ",LEFT(G166,LEN(G166)-1))</f>
        <v/>
      </c>
      <c r="G166">
        <f>'COM RESID'!Q17</f>
        <v/>
      </c>
    </row>
    <row r="167">
      <c r="B167">
        <f>IF(_xlfn.XLOOKUP(D167,'COM RESID'!J:J,'COM RESID'!P:P)=0,"*","PRE")</f>
        <v/>
      </c>
      <c r="C167" t="inlineStr">
        <is>
          <t>CITY</t>
        </is>
      </c>
      <c r="D167">
        <f>'COM RESID'!J18</f>
        <v/>
      </c>
      <c r="E167">
        <f>'COM RESID'!A18&amp;" "&amp;'COM RESID'!B18&amp;" "&amp;'COM RESID'!C18&amp;" "&amp;'COM RESID'!D18&amp;" "&amp;'COM RESID'!E18&amp;" "&amp;'COM RESID'!F18</f>
        <v/>
      </c>
      <c r="F167">
        <f>IF(G167="MW","TJ",LEFT(G167,LEN(G167)-1))</f>
        <v/>
      </c>
      <c r="G167">
        <f>'COM RESID'!Q18</f>
        <v/>
      </c>
    </row>
    <row r="168">
      <c r="B168">
        <f>IF(_xlfn.XLOOKUP(D168,'COM RESID'!J:J,'COM RESID'!P:P)=0,"*","PRE")</f>
        <v/>
      </c>
      <c r="C168" t="inlineStr">
        <is>
          <t>CITY</t>
        </is>
      </c>
      <c r="D168">
        <f>'COM RESID'!J19</f>
        <v/>
      </c>
      <c r="E168">
        <f>'COM RESID'!A19&amp;" "&amp;'COM RESID'!B19&amp;" "&amp;'COM RESID'!C19&amp;" "&amp;'COM RESID'!D19&amp;" "&amp;'COM RESID'!E19&amp;" "&amp;'COM RESID'!F19</f>
        <v/>
      </c>
      <c r="F168">
        <f>IF(G168="MW","TJ",LEFT(G168,LEN(G168)-1))</f>
        <v/>
      </c>
      <c r="G168">
        <f>'COM RESID'!Q19</f>
        <v/>
      </c>
    </row>
    <row r="169">
      <c r="B169">
        <f>IF(_xlfn.XLOOKUP(D169,'COM RESID'!J:J,'COM RESID'!P:P)=0,"*","PRE")</f>
        <v/>
      </c>
      <c r="C169" t="inlineStr">
        <is>
          <t>CITY</t>
        </is>
      </c>
      <c r="D169">
        <f>'COM RESID'!J20</f>
        <v/>
      </c>
      <c r="E169">
        <f>'COM RESID'!A20&amp;" "&amp;'COM RESID'!B20&amp;" "&amp;'COM RESID'!C20&amp;" "&amp;'COM RESID'!D20&amp;" "&amp;'COM RESID'!E20&amp;" "&amp;'COM RESID'!F20</f>
        <v/>
      </c>
      <c r="F169">
        <f>IF(G169="MW","TJ",LEFT(G169,LEN(G169)-1))</f>
        <v/>
      </c>
      <c r="G169">
        <f>'COM RESID'!Q20</f>
        <v/>
      </c>
    </row>
    <row r="170">
      <c r="B170">
        <f>IF(_xlfn.XLOOKUP(D170,'COM RESID'!J:J,'COM RESID'!P:P)=0,"*","PRE")</f>
        <v/>
      </c>
      <c r="C170" t="inlineStr">
        <is>
          <t>CITY</t>
        </is>
      </c>
      <c r="D170">
        <f>'COM RESID'!J21</f>
        <v/>
      </c>
      <c r="E170">
        <f>'COM RESID'!A21&amp;" "&amp;'COM RESID'!B21&amp;" "&amp;'COM RESID'!C21&amp;" "&amp;'COM RESID'!D21&amp;" "&amp;'COM RESID'!E21&amp;" "&amp;'COM RESID'!F21</f>
        <v/>
      </c>
      <c r="F170">
        <f>IF(G170="MW","TJ",LEFT(G170,LEN(G170)-1))</f>
        <v/>
      </c>
      <c r="G170">
        <f>'COM RESID'!Q21</f>
        <v/>
      </c>
    </row>
    <row r="171">
      <c r="B171">
        <f>IF(_xlfn.XLOOKUP(D171,'COM RESID'!J:J,'COM RESID'!P:P)=0,"*","PRE")</f>
        <v/>
      </c>
      <c r="C171" t="inlineStr">
        <is>
          <t>CITY</t>
        </is>
      </c>
      <c r="D171">
        <f>'COM RESID'!J22</f>
        <v/>
      </c>
      <c r="E171">
        <f>'COM RESID'!A22&amp;" "&amp;'COM RESID'!B22&amp;" "&amp;'COM RESID'!C22&amp;" "&amp;'COM RESID'!D22&amp;" "&amp;'COM RESID'!E22&amp;" "&amp;'COM RESID'!F22</f>
        <v/>
      </c>
      <c r="F171">
        <f>IF(G171="MW","TJ",LEFT(G171,LEN(G171)-1))</f>
        <v/>
      </c>
      <c r="G171">
        <f>'COM RESID'!Q22</f>
        <v/>
      </c>
    </row>
    <row r="172">
      <c r="B172">
        <f>IF(_xlfn.XLOOKUP(D172,'COM RESID'!J:J,'COM RESID'!P:P)=0,"*","PRE")</f>
        <v/>
      </c>
      <c r="C172" t="inlineStr">
        <is>
          <t>CITY</t>
        </is>
      </c>
      <c r="D172">
        <f>'COM RESID'!J23</f>
        <v/>
      </c>
      <c r="E172">
        <f>'COM RESID'!A23&amp;" "&amp;'COM RESID'!B23&amp;" "&amp;'COM RESID'!C23&amp;" "&amp;'COM RESID'!D23&amp;" "&amp;'COM RESID'!E23&amp;" "&amp;'COM RESID'!F23</f>
        <v/>
      </c>
      <c r="F172">
        <f>IF(G172="MW","TJ",LEFT(G172,LEN(G172)-1))</f>
        <v/>
      </c>
      <c r="G172">
        <f>'COM RESID'!Q23</f>
        <v/>
      </c>
    </row>
    <row r="173">
      <c r="B173">
        <f>IF(_xlfn.XLOOKUP(D173,'COM RESID'!J:J,'COM RESID'!P:P)=0,"*","PRE")</f>
        <v/>
      </c>
      <c r="C173" t="inlineStr">
        <is>
          <t>CITY</t>
        </is>
      </c>
      <c r="D173">
        <f>'COM RESID'!J24</f>
        <v/>
      </c>
      <c r="E173">
        <f>'COM RESID'!A24&amp;" "&amp;'COM RESID'!B24&amp;" "&amp;'COM RESID'!C24&amp;" "&amp;'COM RESID'!D24&amp;" "&amp;'COM RESID'!E24&amp;" "&amp;'COM RESID'!F24</f>
        <v/>
      </c>
      <c r="F173">
        <f>IF(G173="MW","TJ",LEFT(G173,LEN(G173)-1))</f>
        <v/>
      </c>
      <c r="G173">
        <f>'COM RESID'!Q24</f>
        <v/>
      </c>
    </row>
    <row r="174">
      <c r="B174">
        <f>IF(_xlfn.XLOOKUP(D174,'COM RESID'!J:J,'COM RESID'!P:P)=0,"*","PRE")</f>
        <v/>
      </c>
      <c r="C174" t="inlineStr">
        <is>
          <t>CITY</t>
        </is>
      </c>
      <c r="D174">
        <f>'COM RESID'!J25</f>
        <v/>
      </c>
      <c r="E174">
        <f>'COM RESID'!A25&amp;" "&amp;'COM RESID'!B25&amp;" "&amp;'COM RESID'!C25&amp;" "&amp;'COM RESID'!D25&amp;" "&amp;'COM RESID'!E25&amp;" "&amp;'COM RESID'!F25</f>
        <v/>
      </c>
      <c r="F174">
        <f>IF(G174="MW","TJ",LEFT(G174,LEN(G174)-1))</f>
        <v/>
      </c>
      <c r="G174">
        <f>'COM RESID'!Q25</f>
        <v/>
      </c>
    </row>
    <row r="175">
      <c r="B175">
        <f>IF(_xlfn.XLOOKUP(D175,'COM RESID'!J:J,'COM RESID'!P:P)=0,"*","PRE")</f>
        <v/>
      </c>
      <c r="C175" t="inlineStr">
        <is>
          <t>CITY</t>
        </is>
      </c>
      <c r="D175">
        <f>'COM RESID'!J26</f>
        <v/>
      </c>
      <c r="E175">
        <f>'COM RESID'!A26&amp;" "&amp;'COM RESID'!B26&amp;" "&amp;'COM RESID'!C26&amp;" "&amp;'COM RESID'!D26&amp;" "&amp;'COM RESID'!E26&amp;" "&amp;'COM RESID'!F26</f>
        <v/>
      </c>
      <c r="F175">
        <f>IF(G175="MW","TJ",LEFT(G175,LEN(G175)-1))</f>
        <v/>
      </c>
      <c r="G175">
        <f>'COM RESID'!Q26</f>
        <v/>
      </c>
    </row>
    <row r="176">
      <c r="B176">
        <f>IF(_xlfn.XLOOKUP(D176,'COM RESID'!J:J,'COM RESID'!P:P)=0,"*","PRE")</f>
        <v/>
      </c>
      <c r="C176" t="inlineStr">
        <is>
          <t>CITY</t>
        </is>
      </c>
      <c r="D176">
        <f>'COM RESID'!J27</f>
        <v/>
      </c>
      <c r="E176">
        <f>'COM RESID'!A27&amp;" "&amp;'COM RESID'!B27&amp;" "&amp;'COM RESID'!C27&amp;" "&amp;'COM RESID'!D27&amp;" "&amp;'COM RESID'!E27&amp;" "&amp;'COM RESID'!F27</f>
        <v/>
      </c>
      <c r="F176">
        <f>IF(G176="MW","TJ",LEFT(G176,LEN(G176)-1))</f>
        <v/>
      </c>
      <c r="G176">
        <f>'COM RESID'!Q27</f>
        <v/>
      </c>
    </row>
    <row r="177">
      <c r="B177">
        <f>IF(_xlfn.XLOOKUP(D177,'COM RESID'!J:J,'COM RESID'!P:P)=0,"*","PRE")</f>
        <v/>
      </c>
      <c r="C177" t="inlineStr">
        <is>
          <t>CITY</t>
        </is>
      </c>
      <c r="D177">
        <f>'COM RESID'!J28</f>
        <v/>
      </c>
      <c r="E177">
        <f>'COM RESID'!A28&amp;" "&amp;'COM RESID'!B28&amp;" "&amp;'COM RESID'!C28&amp;" "&amp;'COM RESID'!D28&amp;" "&amp;'COM RESID'!E28&amp;" "&amp;'COM RESID'!F28</f>
        <v/>
      </c>
      <c r="F177">
        <f>IF(G177="MW","TJ",LEFT(G177,LEN(G177)-1))</f>
        <v/>
      </c>
      <c r="G177">
        <f>'COM RESID'!Q28</f>
        <v/>
      </c>
    </row>
    <row r="178">
      <c r="B178">
        <f>IF(_xlfn.XLOOKUP(D178,'COM RESID'!J:J,'COM RESID'!P:P)=0,"*","PRE")</f>
        <v/>
      </c>
      <c r="C178" t="inlineStr">
        <is>
          <t>CITY</t>
        </is>
      </c>
      <c r="D178">
        <f>'COM RESID'!J29</f>
        <v/>
      </c>
      <c r="E178">
        <f>'COM RESID'!A29&amp;" "&amp;'COM RESID'!B29&amp;" "&amp;'COM RESID'!C29&amp;" "&amp;'COM RESID'!D29&amp;" "&amp;'COM RESID'!E29&amp;" "&amp;'COM RESID'!F29</f>
        <v/>
      </c>
      <c r="F178">
        <f>IF(G178="MW","TJ",LEFT(G178,LEN(G178)-1))</f>
        <v/>
      </c>
      <c r="G178">
        <f>'COM RESID'!Q29</f>
        <v/>
      </c>
    </row>
    <row r="179">
      <c r="B179">
        <f>IF(_xlfn.XLOOKUP(D179,'COM RESID'!J:J,'COM RESID'!P:P)=0,"*","PRE")</f>
        <v/>
      </c>
      <c r="C179" t="inlineStr">
        <is>
          <t>CITY</t>
        </is>
      </c>
      <c r="D179">
        <f>'COM RESID'!J30</f>
        <v/>
      </c>
      <c r="E179">
        <f>'COM RESID'!A30&amp;" "&amp;'COM RESID'!B30&amp;" "&amp;'COM RESID'!C30&amp;" "&amp;'COM RESID'!D30&amp;" "&amp;'COM RESID'!E30&amp;" "&amp;'COM RESID'!F30</f>
        <v/>
      </c>
      <c r="F179">
        <f>IF(G179="MW","TJ",LEFT(G179,LEN(G179)-1))</f>
        <v/>
      </c>
      <c r="G179">
        <f>'COM RESID'!Q30</f>
        <v/>
      </c>
    </row>
    <row r="180">
      <c r="B180">
        <f>IF(_xlfn.XLOOKUP(D180,'COM RESID'!J:J,'COM RESID'!P:P)=0,"*","PRE")</f>
        <v/>
      </c>
      <c r="C180" t="inlineStr">
        <is>
          <t>CITY</t>
        </is>
      </c>
      <c r="D180">
        <f>'COM RESID'!J31</f>
        <v/>
      </c>
      <c r="E180">
        <f>'COM RESID'!A31&amp;" "&amp;'COM RESID'!B31&amp;" "&amp;'COM RESID'!C31&amp;" "&amp;'COM RESID'!D31&amp;" "&amp;'COM RESID'!E31&amp;" "&amp;'COM RESID'!F31</f>
        <v/>
      </c>
      <c r="F180">
        <f>IF(G180="MW","TJ",LEFT(G180,LEN(G180)-1))</f>
        <v/>
      </c>
      <c r="G180">
        <f>'COM RESID'!Q31</f>
        <v/>
      </c>
    </row>
    <row r="181">
      <c r="B181">
        <f>IF(_xlfn.XLOOKUP(D181,'COM RESID'!J:J,'COM RESID'!P:P)=0,"*","PRE")</f>
        <v/>
      </c>
      <c r="C181" t="inlineStr">
        <is>
          <t>CITY</t>
        </is>
      </c>
      <c r="D181">
        <f>'COM RESID'!J32</f>
        <v/>
      </c>
      <c r="E181">
        <f>'COM RESID'!A32&amp;" "&amp;'COM RESID'!B32&amp;" "&amp;'COM RESID'!C32&amp;" "&amp;'COM RESID'!D32&amp;" "&amp;'COM RESID'!E32&amp;" "&amp;'COM RESID'!F32</f>
        <v/>
      </c>
      <c r="F181">
        <f>IF(G181="MW","TJ",LEFT(G181,LEN(G181)-1))</f>
        <v/>
      </c>
      <c r="G181">
        <f>'COM RESID'!Q32</f>
        <v/>
      </c>
    </row>
    <row r="182">
      <c r="B182">
        <f>IF(_xlfn.XLOOKUP(D182,'COM RESID'!J:J,'COM RESID'!P:P)=0,"*","PRE")</f>
        <v/>
      </c>
      <c r="C182" t="inlineStr">
        <is>
          <t>CITY</t>
        </is>
      </c>
      <c r="D182">
        <f>'COM RESID'!J33</f>
        <v/>
      </c>
      <c r="E182">
        <f>'COM RESID'!A33&amp;" "&amp;'COM RESID'!B33&amp;" "&amp;'COM RESID'!C33&amp;" "&amp;'COM RESID'!D33&amp;" "&amp;'COM RESID'!E33&amp;" "&amp;'COM RESID'!F33</f>
        <v/>
      </c>
      <c r="F182">
        <f>IF(G182="MW","TJ",LEFT(G182,LEN(G182)-1))</f>
        <v/>
      </c>
      <c r="G182">
        <f>'COM RESID'!Q33</f>
        <v/>
      </c>
    </row>
    <row r="183">
      <c r="B183">
        <f>IF(_xlfn.XLOOKUP(D183,'COM RESID'!J:J,'COM RESID'!P:P)=0,"*","PRE")</f>
        <v/>
      </c>
      <c r="C183" t="inlineStr">
        <is>
          <t>CITY</t>
        </is>
      </c>
      <c r="D183">
        <f>'COM RESID'!J34</f>
        <v/>
      </c>
      <c r="E183">
        <f>'COM RESID'!A34&amp;" "&amp;'COM RESID'!B34&amp;" "&amp;'COM RESID'!C34&amp;" "&amp;'COM RESID'!D34&amp;" "&amp;'COM RESID'!E34&amp;" "&amp;'COM RESID'!F34</f>
        <v/>
      </c>
      <c r="F183">
        <f>IF(G183="MW","TJ",LEFT(G183,LEN(G183)-1))</f>
        <v/>
      </c>
      <c r="G183">
        <f>'COM RESID'!Q34</f>
        <v/>
      </c>
    </row>
    <row r="184">
      <c r="B184">
        <f>IF(_xlfn.XLOOKUP(D184,'COM RESID'!J:J,'COM RESID'!P:P)=0,"*","PRE")</f>
        <v/>
      </c>
      <c r="C184" t="inlineStr">
        <is>
          <t>CITY</t>
        </is>
      </c>
      <c r="D184">
        <f>'COM RESID'!J35</f>
        <v/>
      </c>
      <c r="E184">
        <f>'COM RESID'!A35&amp;" "&amp;'COM RESID'!B35&amp;" "&amp;'COM RESID'!C35&amp;" "&amp;'COM RESID'!D35&amp;" "&amp;'COM RESID'!E35&amp;" "&amp;'COM RESID'!F35</f>
        <v/>
      </c>
      <c r="F184">
        <f>IF(G184="MW","TJ",LEFT(G184,LEN(G184)-1))</f>
        <v/>
      </c>
      <c r="G184">
        <f>'COM RESID'!Q35</f>
        <v/>
      </c>
    </row>
    <row r="185">
      <c r="B185">
        <f>IF(_xlfn.XLOOKUP(D185,'COM RESID'!J:J,'COM RESID'!P:P)=0,"*","PRE")</f>
        <v/>
      </c>
      <c r="C185" t="inlineStr">
        <is>
          <t>CITY</t>
        </is>
      </c>
      <c r="D185">
        <f>'COM RESID'!J36</f>
        <v/>
      </c>
      <c r="E185">
        <f>'COM RESID'!A36&amp;" "&amp;'COM RESID'!B36&amp;" "&amp;'COM RESID'!C36&amp;" "&amp;'COM RESID'!D36&amp;" "&amp;'COM RESID'!E36&amp;" "&amp;'COM RESID'!F36</f>
        <v/>
      </c>
      <c r="F185">
        <f>IF(G185="MW","TJ",LEFT(G185,LEN(G185)-1))</f>
        <v/>
      </c>
      <c r="G185">
        <f>'COM RESID'!Q36</f>
        <v/>
      </c>
    </row>
    <row r="186">
      <c r="B186">
        <f>IF(_xlfn.XLOOKUP(D186,'COM RESID'!J:J,'COM RESID'!P:P)=0,"*","PRE")</f>
        <v/>
      </c>
      <c r="C186" t="inlineStr">
        <is>
          <t>CITY</t>
        </is>
      </c>
      <c r="D186">
        <f>'COM RESID'!J37</f>
        <v/>
      </c>
      <c r="E186">
        <f>'COM RESID'!A37&amp;" "&amp;'COM RESID'!B37&amp;" "&amp;'COM RESID'!C37&amp;" "&amp;'COM RESID'!D37&amp;" "&amp;'COM RESID'!E37&amp;" "&amp;'COM RESID'!F37</f>
        <v/>
      </c>
      <c r="F186">
        <f>IF(G186="MW","TJ",LEFT(G186,LEN(G186)-1))</f>
        <v/>
      </c>
      <c r="G186">
        <f>'COM RESID'!Q37</f>
        <v/>
      </c>
    </row>
    <row r="187">
      <c r="B187">
        <f>IF(_xlfn.XLOOKUP(D187,'COM RESID'!J:J,'COM RESID'!P:P)=0,"*","PRE")</f>
        <v/>
      </c>
      <c r="C187" t="inlineStr">
        <is>
          <t>CITY</t>
        </is>
      </c>
      <c r="D187">
        <f>'COM RESID'!J38</f>
        <v/>
      </c>
      <c r="E187">
        <f>'COM RESID'!A38&amp;" "&amp;'COM RESID'!B38&amp;" "&amp;'COM RESID'!C38&amp;" "&amp;'COM RESID'!D38&amp;" "&amp;'COM RESID'!E38&amp;" "&amp;'COM RESID'!F38</f>
        <v/>
      </c>
      <c r="F187">
        <f>IF(G187="MW","TJ",LEFT(G187,LEN(G187)-1))</f>
        <v/>
      </c>
      <c r="G187">
        <f>'COM RESID'!Q38</f>
        <v/>
      </c>
    </row>
    <row r="188">
      <c r="B188">
        <f>IF(_xlfn.XLOOKUP(D188,'COM RESID'!J:J,'COM RESID'!P:P)=0,"*","PRE")</f>
        <v/>
      </c>
      <c r="C188" t="inlineStr">
        <is>
          <t>CITY</t>
        </is>
      </c>
      <c r="D188">
        <f>'COM RESID'!J39</f>
        <v/>
      </c>
      <c r="E188">
        <f>'COM RESID'!A39&amp;" "&amp;'COM RESID'!B39&amp;" "&amp;'COM RESID'!C39&amp;" "&amp;'COM RESID'!D39&amp;" "&amp;'COM RESID'!E39&amp;" "&amp;'COM RESID'!F39</f>
        <v/>
      </c>
      <c r="F188">
        <f>IF(G188="MW","TJ",LEFT(G188,LEN(G188)-1))</f>
        <v/>
      </c>
      <c r="G188">
        <f>'COM RESID'!Q39</f>
        <v/>
      </c>
    </row>
    <row r="189">
      <c r="B189">
        <f>IF(_xlfn.XLOOKUP(D189,'COM RESID'!J:J,'COM RESID'!P:P)=0,"*","PRE")</f>
        <v/>
      </c>
      <c r="C189" t="inlineStr">
        <is>
          <t>CITY</t>
        </is>
      </c>
      <c r="D189">
        <f>'COM RESID'!J40</f>
        <v/>
      </c>
      <c r="E189">
        <f>'COM RESID'!A40&amp;" "&amp;'COM RESID'!B40&amp;" "&amp;'COM RESID'!C40&amp;" "&amp;'COM RESID'!D40&amp;" "&amp;'COM RESID'!E40&amp;" "&amp;'COM RESID'!F40</f>
        <v/>
      </c>
      <c r="F189">
        <f>IF(G189="MW","TJ",LEFT(G189,LEN(G189)-1))</f>
        <v/>
      </c>
      <c r="G189">
        <f>'COM RESID'!Q40</f>
        <v/>
      </c>
    </row>
    <row r="190">
      <c r="B190">
        <f>IF(_xlfn.XLOOKUP(D190,'COM RESID'!J:J,'COM RESID'!P:P)=0,"*","PRE")</f>
        <v/>
      </c>
      <c r="C190" t="inlineStr">
        <is>
          <t>CITY</t>
        </is>
      </c>
      <c r="D190">
        <f>'COM RESID'!J41</f>
        <v/>
      </c>
      <c r="E190">
        <f>'COM RESID'!A41&amp;" "&amp;'COM RESID'!B41&amp;" "&amp;'COM RESID'!C41&amp;" "&amp;'COM RESID'!D41&amp;" "&amp;'COM RESID'!E41&amp;" "&amp;'COM RESID'!F41</f>
        <v/>
      </c>
      <c r="F190">
        <f>IF(G190="MW","TJ",LEFT(G190,LEN(G190)-1))</f>
        <v/>
      </c>
      <c r="G190">
        <f>'COM RESID'!Q41</f>
        <v/>
      </c>
    </row>
    <row r="191">
      <c r="B191">
        <f>IF(_xlfn.XLOOKUP(D191,'COM RESID'!J:J,'COM RESID'!P:P)=0,"*","PRE")</f>
        <v/>
      </c>
      <c r="C191" t="inlineStr">
        <is>
          <t>CITY</t>
        </is>
      </c>
      <c r="D191">
        <f>'COM RESID'!J42</f>
        <v/>
      </c>
      <c r="E191">
        <f>'COM RESID'!A42&amp;" "&amp;'COM RESID'!B42&amp;" "&amp;'COM RESID'!C42&amp;" "&amp;'COM RESID'!D42&amp;" "&amp;'COM RESID'!E42&amp;" "&amp;'COM RESID'!F42</f>
        <v/>
      </c>
      <c r="F191">
        <f>IF(G191="MW","TJ",LEFT(G191,LEN(G191)-1))</f>
        <v/>
      </c>
      <c r="G191">
        <f>'COM RESID'!Q42</f>
        <v/>
      </c>
    </row>
    <row r="192">
      <c r="B192">
        <f>IF(_xlfn.XLOOKUP(D192,'COM RESID'!J:J,'COM RESID'!P:P)=0,"*","PRE")</f>
        <v/>
      </c>
      <c r="C192" t="inlineStr">
        <is>
          <t>CITY</t>
        </is>
      </c>
      <c r="D192">
        <f>'COM RESID'!J43</f>
        <v/>
      </c>
      <c r="E192">
        <f>'COM RESID'!A43&amp;" "&amp;'COM RESID'!B43&amp;" "&amp;'COM RESID'!C43&amp;" "&amp;'COM RESID'!D43&amp;" "&amp;'COM RESID'!E43&amp;" "&amp;'COM RESID'!F43</f>
        <v/>
      </c>
      <c r="F192">
        <f>IF(G192="MW","TJ",LEFT(G192,LEN(G192)-1))</f>
        <v/>
      </c>
      <c r="G192">
        <f>'COM RESID'!Q43</f>
        <v/>
      </c>
    </row>
    <row r="193">
      <c r="B193">
        <f>IF(_xlfn.XLOOKUP(D193,'COM RESID'!J:J,'COM RESID'!P:P)=0,"*","PRE")</f>
        <v/>
      </c>
      <c r="C193" t="inlineStr">
        <is>
          <t>CITY</t>
        </is>
      </c>
      <c r="D193">
        <f>'COM RESID'!J44</f>
        <v/>
      </c>
      <c r="E193">
        <f>'COM RESID'!A44&amp;" "&amp;'COM RESID'!B44&amp;" "&amp;'COM RESID'!C44&amp;" "&amp;'COM RESID'!D44&amp;" "&amp;'COM RESID'!E44&amp;" "&amp;'COM RESID'!F44</f>
        <v/>
      </c>
      <c r="F193">
        <f>IF(G193="MW","TJ",LEFT(G193,LEN(G193)-1))</f>
        <v/>
      </c>
      <c r="G193">
        <f>'COM RESID'!Q44</f>
        <v/>
      </c>
    </row>
    <row r="194">
      <c r="B194">
        <f>IF(_xlfn.XLOOKUP(D194,'COM RESID'!J:J,'COM RESID'!P:P)=0,"*","PRE")</f>
        <v/>
      </c>
      <c r="C194" t="inlineStr">
        <is>
          <t>CITY</t>
        </is>
      </c>
      <c r="D194">
        <f>'COM RESID'!J45</f>
        <v/>
      </c>
      <c r="E194">
        <f>'COM RESID'!A45&amp;" "&amp;'COM RESID'!B45&amp;" "&amp;'COM RESID'!C45&amp;" "&amp;'COM RESID'!D45&amp;" "&amp;'COM RESID'!E45&amp;" "&amp;'COM RESID'!F45</f>
        <v/>
      </c>
      <c r="F194">
        <f>IF(G194="MW","TJ",LEFT(G194,LEN(G194)-1))</f>
        <v/>
      </c>
      <c r="G194">
        <f>'COM RESID'!Q45</f>
        <v/>
      </c>
    </row>
    <row r="195">
      <c r="B195">
        <f>IF(_xlfn.XLOOKUP(D195,'COM RESID'!J:J,'COM RESID'!P:P)=0,"*","PRE")</f>
        <v/>
      </c>
      <c r="C195" t="inlineStr">
        <is>
          <t>CITY</t>
        </is>
      </c>
      <c r="D195">
        <f>'COM RESID'!J46</f>
        <v/>
      </c>
      <c r="E195">
        <f>'COM RESID'!A46&amp;" "&amp;'COM RESID'!B46&amp;" "&amp;'COM RESID'!C46&amp;" "&amp;'COM RESID'!D46&amp;" "&amp;'COM RESID'!E46&amp;" "&amp;'COM RESID'!F46</f>
        <v/>
      </c>
      <c r="F195">
        <f>IF(G195="MW","TJ",LEFT(G195,LEN(G195)-1))</f>
        <v/>
      </c>
      <c r="G195">
        <f>'COM RESID'!Q46</f>
        <v/>
      </c>
    </row>
    <row r="196">
      <c r="B196">
        <f>IF(_xlfn.XLOOKUP(D196,'COM RESID'!J:J,'COM RESID'!P:P)=0,"*","PRE")</f>
        <v/>
      </c>
      <c r="C196" t="inlineStr">
        <is>
          <t>CITY</t>
        </is>
      </c>
      <c r="D196">
        <f>'COM RESID'!J47</f>
        <v/>
      </c>
      <c r="E196">
        <f>'COM RESID'!A47&amp;" "&amp;'COM RESID'!B47&amp;" "&amp;'COM RESID'!C47&amp;" "&amp;'COM RESID'!D47&amp;" "&amp;'COM RESID'!E47&amp;" "&amp;'COM RESID'!F47</f>
        <v/>
      </c>
      <c r="F196">
        <f>IF(G196="MW","TJ",LEFT(G196,LEN(G196)-1))</f>
        <v/>
      </c>
      <c r="G196">
        <f>'COM RESID'!Q47</f>
        <v/>
      </c>
    </row>
    <row r="197">
      <c r="B197">
        <f>IF(_xlfn.XLOOKUP(D197,'COM RESID'!J:J,'COM RESID'!P:P)=0,"*","PRE")</f>
        <v/>
      </c>
      <c r="C197" t="inlineStr">
        <is>
          <t>CITY</t>
        </is>
      </c>
      <c r="D197">
        <f>'COM RESID'!J48</f>
        <v/>
      </c>
      <c r="E197">
        <f>'COM RESID'!A48&amp;" "&amp;'COM RESID'!B48&amp;" "&amp;'COM RESID'!C48&amp;" "&amp;'COM RESID'!D48&amp;" "&amp;'COM RESID'!E48&amp;" "&amp;'COM RESID'!F48</f>
        <v/>
      </c>
      <c r="F197">
        <f>IF(G197="MW","TJ",LEFT(G197,LEN(G197)-1))</f>
        <v/>
      </c>
      <c r="G197">
        <f>'COM RESID'!Q48</f>
        <v/>
      </c>
    </row>
    <row r="198">
      <c r="B198">
        <f>IF(_xlfn.XLOOKUP(D198,'COM RESID'!J:J,'COM RESID'!P:P)=0,"*","PRE")</f>
        <v/>
      </c>
      <c r="C198" t="inlineStr">
        <is>
          <t>CITY</t>
        </is>
      </c>
      <c r="D198">
        <f>'COM RESID'!J49</f>
        <v/>
      </c>
      <c r="E198">
        <f>'COM RESID'!A49&amp;" "&amp;'COM RESID'!B49&amp;" "&amp;'COM RESID'!C49&amp;" "&amp;'COM RESID'!D49&amp;" "&amp;'COM RESID'!E49&amp;" "&amp;'COM RESID'!F49</f>
        <v/>
      </c>
      <c r="F198">
        <f>IF(G198="MW","TJ",LEFT(G198,LEN(G198)-1))</f>
        <v/>
      </c>
      <c r="G198">
        <f>'COM RESID'!Q49</f>
        <v/>
      </c>
    </row>
    <row r="199">
      <c r="B199">
        <f>IF(_xlfn.XLOOKUP(D199,'COM RESID'!J:J,'COM RESID'!P:P)=0,"*","PRE")</f>
        <v/>
      </c>
      <c r="C199" t="inlineStr">
        <is>
          <t>CITY</t>
        </is>
      </c>
      <c r="D199">
        <f>'COM RESID'!J50</f>
        <v/>
      </c>
      <c r="E199">
        <f>'COM RESID'!A50&amp;" "&amp;'COM RESID'!B50&amp;" "&amp;'COM RESID'!C50&amp;" "&amp;'COM RESID'!D50&amp;" "&amp;'COM RESID'!E50&amp;" "&amp;'COM RESID'!F50</f>
        <v/>
      </c>
      <c r="F199">
        <f>IF(G199="MW","TJ",LEFT(G199,LEN(G199)-1))</f>
        <v/>
      </c>
      <c r="G199">
        <f>'COM RESID'!Q50</f>
        <v/>
      </c>
    </row>
    <row r="200">
      <c r="B200">
        <f>IF(_xlfn.XLOOKUP(D200,'COM RESID'!J:J,'COM RESID'!P:P)=0,"*","PRE")</f>
        <v/>
      </c>
      <c r="C200" t="inlineStr">
        <is>
          <t>CITY</t>
        </is>
      </c>
      <c r="D200">
        <f>'COM RESID'!J51</f>
        <v/>
      </c>
      <c r="E200">
        <f>'COM RESID'!A51&amp;" "&amp;'COM RESID'!B51&amp;" "&amp;'COM RESID'!C51&amp;" "&amp;'COM RESID'!D51&amp;" "&amp;'COM RESID'!E51&amp;" "&amp;'COM RESID'!F51</f>
        <v/>
      </c>
      <c r="F200">
        <f>IF(G200="MW","TJ",LEFT(G200,LEN(G200)-1))</f>
        <v/>
      </c>
      <c r="G200">
        <f>'COM RESID'!Q51</f>
        <v/>
      </c>
    </row>
    <row r="201">
      <c r="B201">
        <f>IF(_xlfn.XLOOKUP(D201,'COM RESID'!J:J,'COM RESID'!P:P)=0,"*","PRE")</f>
        <v/>
      </c>
      <c r="C201" t="inlineStr">
        <is>
          <t>CITY</t>
        </is>
      </c>
      <c r="D201">
        <f>'COM RESID'!J52</f>
        <v/>
      </c>
      <c r="E201">
        <f>'COM RESID'!A52&amp;" "&amp;'COM RESID'!B52&amp;" "&amp;'COM RESID'!C52&amp;" "&amp;'COM RESID'!D52&amp;" "&amp;'COM RESID'!E52&amp;" "&amp;'COM RESID'!F52</f>
        <v/>
      </c>
      <c r="F201">
        <f>IF(G201="MW","TJ",LEFT(G201,LEN(G201)-1))</f>
        <v/>
      </c>
      <c r="G201">
        <f>'COM RESID'!Q52</f>
        <v/>
      </c>
    </row>
    <row r="202">
      <c r="B202">
        <f>IF(_xlfn.XLOOKUP(D202,'COM RESID'!J:J,'COM RESID'!P:P)=0,"*","PRE")</f>
        <v/>
      </c>
      <c r="C202" t="inlineStr">
        <is>
          <t>CITY</t>
        </is>
      </c>
      <c r="D202">
        <f>'COM RESID'!J53</f>
        <v/>
      </c>
      <c r="E202">
        <f>'COM RESID'!A53&amp;" "&amp;'COM RESID'!B53&amp;" "&amp;'COM RESID'!C53&amp;" "&amp;'COM RESID'!D53&amp;" "&amp;'COM RESID'!E53&amp;" "&amp;'COM RESID'!F53</f>
        <v/>
      </c>
      <c r="F202">
        <f>IF(G202="MW","TJ",LEFT(G202,LEN(G202)-1))</f>
        <v/>
      </c>
      <c r="G202">
        <f>'COM RESID'!Q53</f>
        <v/>
      </c>
    </row>
    <row r="203">
      <c r="B203">
        <f>IF(_xlfn.XLOOKUP(D203,'COM RESID'!J:J,'COM RESID'!P:P)=0,"*","PRE")</f>
        <v/>
      </c>
      <c r="C203" t="inlineStr">
        <is>
          <t>CITY</t>
        </is>
      </c>
      <c r="D203">
        <f>'COM RESID'!J54</f>
        <v/>
      </c>
      <c r="E203">
        <f>'COM RESID'!A54&amp;" "&amp;'COM RESID'!B54&amp;" "&amp;'COM RESID'!C54&amp;" "&amp;'COM RESID'!D54&amp;" "&amp;'COM RESID'!E54&amp;" "&amp;'COM RESID'!F54</f>
        <v/>
      </c>
      <c r="F203">
        <f>IF(G203="MW","TJ",LEFT(G203,LEN(G203)-1))</f>
        <v/>
      </c>
      <c r="G203">
        <f>'COM RESID'!Q54</f>
        <v/>
      </c>
    </row>
    <row r="204">
      <c r="B204">
        <f>IF(_xlfn.XLOOKUP(D204,'COM RESID'!J:J,'COM RESID'!P:P)=0,"*","PRE")</f>
        <v/>
      </c>
      <c r="C204" t="inlineStr">
        <is>
          <t>CITY</t>
        </is>
      </c>
      <c r="D204">
        <f>'COM RESID'!J55</f>
        <v/>
      </c>
      <c r="E204">
        <f>'COM RESID'!A55&amp;" "&amp;'COM RESID'!B55&amp;" "&amp;'COM RESID'!C55&amp;" "&amp;'COM RESID'!D55&amp;" "&amp;'COM RESID'!E55&amp;" "&amp;'COM RESID'!F55</f>
        <v/>
      </c>
      <c r="F204">
        <f>IF(G204="MW","TJ",LEFT(G204,LEN(G204)-1))</f>
        <v/>
      </c>
      <c r="G204">
        <f>'COM RESID'!Q55</f>
        <v/>
      </c>
    </row>
    <row r="205">
      <c r="B205">
        <f>IF(_xlfn.XLOOKUP(D205,'COM RESID'!J:J,'COM RESID'!P:P)=0,"*","PRE")</f>
        <v/>
      </c>
      <c r="C205" t="inlineStr">
        <is>
          <t>CITY</t>
        </is>
      </c>
      <c r="D205">
        <f>'COM RESID'!J56</f>
        <v/>
      </c>
      <c r="E205">
        <f>'COM RESID'!A56&amp;" "&amp;'COM RESID'!B56&amp;" "&amp;'COM RESID'!C56&amp;" "&amp;'COM RESID'!D56&amp;" "&amp;'COM RESID'!E56&amp;" "&amp;'COM RESID'!F56</f>
        <v/>
      </c>
      <c r="F205">
        <f>IF(G205="MW","TJ",LEFT(G205,LEN(G205)-1))</f>
        <v/>
      </c>
      <c r="G205">
        <f>'COM RESID'!Q56</f>
        <v/>
      </c>
    </row>
    <row r="206">
      <c r="B206">
        <f>IF(_xlfn.XLOOKUP(D206,'COM RESID'!J:J,'COM RESID'!P:P)=0,"*","PRE")</f>
        <v/>
      </c>
      <c r="C206" t="inlineStr">
        <is>
          <t>CITY</t>
        </is>
      </c>
      <c r="D206">
        <f>'COM RESID'!J57</f>
        <v/>
      </c>
      <c r="E206">
        <f>'COM RESID'!A57&amp;" "&amp;'COM RESID'!B57&amp;" "&amp;'COM RESID'!C57&amp;" "&amp;'COM RESID'!D57&amp;" "&amp;'COM RESID'!E57&amp;" "&amp;'COM RESID'!F57</f>
        <v/>
      </c>
      <c r="F206">
        <f>IF(G206="MW","TJ",LEFT(G206,LEN(G206)-1))</f>
        <v/>
      </c>
      <c r="G206">
        <f>'COM RESID'!Q57</f>
        <v/>
      </c>
    </row>
    <row r="207">
      <c r="B207">
        <f>IF(_xlfn.XLOOKUP(D207,'COM RESID'!J:J,'COM RESID'!P:P)=0,"*","PRE")</f>
        <v/>
      </c>
      <c r="C207" t="inlineStr">
        <is>
          <t>CITY</t>
        </is>
      </c>
      <c r="D207">
        <f>'COM RESID'!J58</f>
        <v/>
      </c>
      <c r="E207">
        <f>'COM RESID'!A58&amp;" "&amp;'COM RESID'!B58&amp;" "&amp;'COM RESID'!C58&amp;" "&amp;'COM RESID'!D58&amp;" "&amp;'COM RESID'!E58&amp;" "&amp;'COM RESID'!F58</f>
        <v/>
      </c>
      <c r="F207">
        <f>IF(G207="MW","TJ",LEFT(G207,LEN(G207)-1))</f>
        <v/>
      </c>
      <c r="G207">
        <f>'COM RESID'!Q58</f>
        <v/>
      </c>
    </row>
    <row r="208">
      <c r="B208">
        <f>IF(_xlfn.XLOOKUP(D208,'COM RESID'!J:J,'COM RESID'!P:P)=0,"*","PRE")</f>
        <v/>
      </c>
      <c r="C208" t="inlineStr">
        <is>
          <t>CITY</t>
        </is>
      </c>
      <c r="D208">
        <f>'COM RESID'!J59</f>
        <v/>
      </c>
      <c r="E208">
        <f>'COM RESID'!A59&amp;" "&amp;'COM RESID'!B59&amp;" "&amp;'COM RESID'!C59&amp;" "&amp;'COM RESID'!D59&amp;" "&amp;'COM RESID'!E59&amp;" "&amp;'COM RESID'!F59</f>
        <v/>
      </c>
      <c r="F208">
        <f>IF(G208="MW","TJ",LEFT(G208,LEN(G208)-1))</f>
        <v/>
      </c>
      <c r="G208">
        <f>'COM RESID'!Q59</f>
        <v/>
      </c>
    </row>
    <row r="209">
      <c r="B209">
        <f>IF(_xlfn.XLOOKUP(D209,'COM RESID'!J:J,'COM RESID'!P:P)=0,"*","PRE")</f>
        <v/>
      </c>
      <c r="C209" t="inlineStr">
        <is>
          <t>CITY</t>
        </is>
      </c>
      <c r="D209">
        <f>'COM RESID'!J60</f>
        <v/>
      </c>
      <c r="E209">
        <f>'COM RESID'!A60&amp;" "&amp;'COM RESID'!B60&amp;" "&amp;'COM RESID'!C60&amp;" "&amp;'COM RESID'!D60&amp;" "&amp;'COM RESID'!E60&amp;" "&amp;'COM RESID'!F60</f>
        <v/>
      </c>
      <c r="F209">
        <f>IF(G209="MW","TJ",LEFT(G209,LEN(G209)-1))</f>
        <v/>
      </c>
      <c r="G209">
        <f>'COM RESID'!Q60</f>
        <v/>
      </c>
    </row>
    <row r="210">
      <c r="B210">
        <f>IF(_xlfn.XLOOKUP(D210,'COM RESID'!J:J,'COM RESID'!P:P)=0,"*","PRE")</f>
        <v/>
      </c>
      <c r="C210" t="inlineStr">
        <is>
          <t>CITY</t>
        </is>
      </c>
      <c r="D210">
        <f>'COM RESID'!J61</f>
        <v/>
      </c>
      <c r="E210">
        <f>'COM RESID'!A61&amp;" "&amp;'COM RESID'!B61&amp;" "&amp;'COM RESID'!C61&amp;" "&amp;'COM RESID'!D61&amp;" "&amp;'COM RESID'!E61&amp;" "&amp;'COM RESID'!F61</f>
        <v/>
      </c>
      <c r="F210">
        <f>IF(G210="MW","TJ",LEFT(G210,LEN(G210)-1))</f>
        <v/>
      </c>
      <c r="G210">
        <f>'COM RESID'!Q61</f>
        <v/>
      </c>
    </row>
    <row r="211">
      <c r="B211">
        <f>IF(_xlfn.XLOOKUP(D211,'COM RESID'!J:J,'COM RESID'!P:P)=0,"*","PRE")</f>
        <v/>
      </c>
      <c r="C211" t="inlineStr">
        <is>
          <t>CITY</t>
        </is>
      </c>
      <c r="D211">
        <f>'COM RESID'!J62</f>
        <v/>
      </c>
      <c r="E211">
        <f>'COM RESID'!A62&amp;" "&amp;'COM RESID'!B62&amp;" "&amp;'COM RESID'!C62&amp;" "&amp;'COM RESID'!D62&amp;" "&amp;'COM RESID'!E62&amp;" "&amp;'COM RESID'!F62</f>
        <v/>
      </c>
      <c r="F211">
        <f>IF(G211="MW","TJ",LEFT(G211,LEN(G211)-1))</f>
        <v/>
      </c>
      <c r="G211">
        <f>'COM RESID'!Q62</f>
        <v/>
      </c>
    </row>
    <row r="212">
      <c r="B212">
        <f>IF(_xlfn.XLOOKUP(D212,'COM RESID'!J:J,'COM RESID'!P:P)=0,"*","PRE")</f>
        <v/>
      </c>
      <c r="C212" t="inlineStr">
        <is>
          <t>CITY</t>
        </is>
      </c>
      <c r="D212">
        <f>'COM RESID'!J63</f>
        <v/>
      </c>
      <c r="E212">
        <f>'COM RESID'!A63&amp;" "&amp;'COM RESID'!B63&amp;" "&amp;'COM RESID'!C63&amp;" "&amp;'COM RESID'!D63&amp;" "&amp;'COM RESID'!E63&amp;" "&amp;'COM RESID'!F63</f>
        <v/>
      </c>
      <c r="F212">
        <f>IF(G212="MW","TJ",LEFT(G212,LEN(G212)-1))</f>
        <v/>
      </c>
      <c r="G212">
        <f>'COM RESID'!Q63</f>
        <v/>
      </c>
    </row>
    <row r="213">
      <c r="B213">
        <f>IF(_xlfn.XLOOKUP(D213,'COM RESID'!J:J,'COM RESID'!P:P)=0,"*","PRE")</f>
        <v/>
      </c>
      <c r="C213" t="inlineStr">
        <is>
          <t>CITY</t>
        </is>
      </c>
      <c r="D213">
        <f>'COM RESID'!J64</f>
        <v/>
      </c>
      <c r="E213">
        <f>'COM RESID'!A64&amp;" "&amp;'COM RESID'!B64&amp;" "&amp;'COM RESID'!C64&amp;" "&amp;'COM RESID'!D64&amp;" "&amp;'COM RESID'!E64&amp;" "&amp;'COM RESID'!F64</f>
        <v/>
      </c>
      <c r="F213">
        <f>IF(G213="MW","TJ",LEFT(G213,LEN(G213)-1))</f>
        <v/>
      </c>
      <c r="G213">
        <f>'COM RESID'!Q64</f>
        <v/>
      </c>
    </row>
    <row r="214">
      <c r="B214">
        <f>IF(_xlfn.XLOOKUP(D214,'COM RESID'!J:J,'COM RESID'!P:P)=0,"*","PRE")</f>
        <v/>
      </c>
      <c r="C214" t="inlineStr">
        <is>
          <t>CITY</t>
        </is>
      </c>
      <c r="D214">
        <f>'COM RESID'!J65</f>
        <v/>
      </c>
      <c r="E214">
        <f>'COM RESID'!A65&amp;" "&amp;'COM RESID'!B65&amp;" "&amp;'COM RESID'!C65&amp;" "&amp;'COM RESID'!D65&amp;" "&amp;'COM RESID'!E65&amp;" "&amp;'COM RESID'!F65</f>
        <v/>
      </c>
      <c r="F214">
        <f>IF(G214="MW","TJ",LEFT(G214,LEN(G214)-1))</f>
        <v/>
      </c>
      <c r="G214">
        <f>'COM RESID'!Q65</f>
        <v/>
      </c>
    </row>
    <row r="215">
      <c r="B215">
        <f>IF(_xlfn.XLOOKUP(D215,'COM RESID'!J:J,'COM RESID'!P:P)=0,"*","PRE")</f>
        <v/>
      </c>
      <c r="C215" t="inlineStr">
        <is>
          <t>CITY</t>
        </is>
      </c>
      <c r="D215">
        <f>'COM RESID'!J66</f>
        <v/>
      </c>
      <c r="E215">
        <f>'COM RESID'!A66&amp;" "&amp;'COM RESID'!B66&amp;" "&amp;'COM RESID'!C66&amp;" "&amp;'COM RESID'!D66&amp;" "&amp;'COM RESID'!E66&amp;" "&amp;'COM RESID'!F66</f>
        <v/>
      </c>
      <c r="F215">
        <f>IF(G215="MW","TJ",LEFT(G215,LEN(G215)-1))</f>
        <v/>
      </c>
      <c r="G215">
        <f>'COM RESID'!Q66</f>
        <v/>
      </c>
    </row>
    <row r="216">
      <c r="B216">
        <f>IF(_xlfn.XLOOKUP(D216,'COM RESID'!J:J,'COM RESID'!P:P)=0,"*","PRE")</f>
        <v/>
      </c>
      <c r="C216" t="inlineStr">
        <is>
          <t>CITY</t>
        </is>
      </c>
      <c r="D216">
        <f>'COM RESID'!J67</f>
        <v/>
      </c>
      <c r="E216">
        <f>'COM RESID'!A67&amp;" "&amp;'COM RESID'!B67&amp;" "&amp;'COM RESID'!C67&amp;" "&amp;'COM RESID'!D67&amp;" "&amp;'COM RESID'!E67&amp;" "&amp;'COM RESID'!F67</f>
        <v/>
      </c>
      <c r="F216">
        <f>IF(G216="MW","TJ",LEFT(G216,LEN(G216)-1))</f>
        <v/>
      </c>
      <c r="G216">
        <f>'COM RESID'!Q67</f>
        <v/>
      </c>
    </row>
    <row r="217">
      <c r="B217">
        <f>IF(_xlfn.XLOOKUP(D217,'COM RESID'!J:J,'COM RESID'!P:P)=0,"*","PRE")</f>
        <v/>
      </c>
      <c r="C217" t="inlineStr">
        <is>
          <t>CITY</t>
        </is>
      </c>
      <c r="D217">
        <f>'COM RESID'!J68</f>
        <v/>
      </c>
      <c r="E217">
        <f>'COM RESID'!A68&amp;" "&amp;'COM RESID'!B68&amp;" "&amp;'COM RESID'!C68&amp;" "&amp;'COM RESID'!D68&amp;" "&amp;'COM RESID'!E68&amp;" "&amp;'COM RESID'!F68</f>
        <v/>
      </c>
      <c r="F217">
        <f>IF(G217="MW","TJ",LEFT(G217,LEN(G217)-1))</f>
        <v/>
      </c>
      <c r="G217">
        <f>'COM RESID'!Q68</f>
        <v/>
      </c>
    </row>
    <row r="218">
      <c r="B218">
        <f>IF(_xlfn.XLOOKUP(D218,'COM RESID'!J:J,'COM RESID'!P:P)=0,"*","PRE")</f>
        <v/>
      </c>
      <c r="C218" t="inlineStr">
        <is>
          <t>CITY</t>
        </is>
      </c>
      <c r="D218">
        <f>'COM RESID'!J69</f>
        <v/>
      </c>
      <c r="E218">
        <f>'COM RESID'!A69&amp;" "&amp;'COM RESID'!B69&amp;" "&amp;'COM RESID'!C69&amp;" "&amp;'COM RESID'!D69&amp;" "&amp;'COM RESID'!E69&amp;" "&amp;'COM RESID'!F69</f>
        <v/>
      </c>
      <c r="F218">
        <f>IF(G218="MW","TJ",LEFT(G218,LEN(G218)-1))</f>
        <v/>
      </c>
      <c r="G218">
        <f>'COM RESID'!Q69</f>
        <v/>
      </c>
    </row>
    <row r="219">
      <c r="B219">
        <f>IF(_xlfn.XLOOKUP(D219,'COM RESID'!J:J,'COM RESID'!P:P)=0,"*","PRE")</f>
        <v/>
      </c>
      <c r="C219" t="inlineStr">
        <is>
          <t>CITY</t>
        </is>
      </c>
      <c r="D219">
        <f>'COM RESID'!J70</f>
        <v/>
      </c>
      <c r="E219">
        <f>'COM RESID'!A70&amp;" "&amp;'COM RESID'!B70&amp;" "&amp;'COM RESID'!C70&amp;" "&amp;'COM RESID'!D70&amp;" "&amp;'COM RESID'!E70&amp;" "&amp;'COM RESID'!F70</f>
        <v/>
      </c>
      <c r="F219">
        <f>IF(G219="MW","TJ",LEFT(G219,LEN(G219)-1))</f>
        <v/>
      </c>
      <c r="G219">
        <f>'COM RESID'!Q70</f>
        <v/>
      </c>
    </row>
    <row r="220">
      <c r="B220">
        <f>IF(_xlfn.XLOOKUP(D220,'COM RESID'!J:J,'COM RESID'!P:P)=0,"*","PRE")</f>
        <v/>
      </c>
      <c r="C220" t="inlineStr">
        <is>
          <t>CITY</t>
        </is>
      </c>
      <c r="D220">
        <f>'COM RESID'!J71</f>
        <v/>
      </c>
      <c r="E220">
        <f>'COM RESID'!A71&amp;" "&amp;'COM RESID'!B71&amp;" "&amp;'COM RESID'!C71&amp;" "&amp;'COM RESID'!D71&amp;" "&amp;'COM RESID'!E71&amp;" "&amp;'COM RESID'!F71</f>
        <v/>
      </c>
      <c r="F220">
        <f>IF(G220="MW","TJ",LEFT(G220,LEN(G220)-1))</f>
        <v/>
      </c>
      <c r="G220">
        <f>'COM RESID'!Q71</f>
        <v/>
      </c>
    </row>
    <row r="221">
      <c r="B221">
        <f>IF(_xlfn.XLOOKUP(D221,'COM RESID'!J:J,'COM RESID'!P:P)=0,"*","PRE")</f>
        <v/>
      </c>
      <c r="C221" t="inlineStr">
        <is>
          <t>CITY</t>
        </is>
      </c>
      <c r="D221">
        <f>'COM RESID'!J72</f>
        <v/>
      </c>
      <c r="E221">
        <f>'COM RESID'!A72&amp;" "&amp;'COM RESID'!B72&amp;" "&amp;'COM RESID'!C72&amp;" "&amp;'COM RESID'!D72&amp;" "&amp;'COM RESID'!E72&amp;" "&amp;'COM RESID'!F72</f>
        <v/>
      </c>
      <c r="F221">
        <f>IF(G221="MW","TJ",LEFT(G221,LEN(G221)-1))</f>
        <v/>
      </c>
      <c r="G221">
        <f>'COM RESID'!Q72</f>
        <v/>
      </c>
    </row>
    <row r="222">
      <c r="B222">
        <f>IF(_xlfn.XLOOKUP(D222,'COM RESID'!J:J,'COM RESID'!P:P)=0,"*","PRE")</f>
        <v/>
      </c>
      <c r="C222" t="inlineStr">
        <is>
          <t>CITY</t>
        </is>
      </c>
      <c r="D222">
        <f>'COM RESID'!J73</f>
        <v/>
      </c>
      <c r="E222">
        <f>'COM RESID'!A73&amp;" "&amp;'COM RESID'!B73&amp;" "&amp;'COM RESID'!C73&amp;" "&amp;'COM RESID'!D73&amp;" "&amp;'COM RESID'!E73&amp;" "&amp;'COM RESID'!F73</f>
        <v/>
      </c>
      <c r="F222">
        <f>IF(G222="MW","TJ",LEFT(G222,LEN(G222)-1))</f>
        <v/>
      </c>
      <c r="G222">
        <f>'COM RESID'!Q73</f>
        <v/>
      </c>
    </row>
    <row r="223">
      <c r="B223">
        <f>IF(_xlfn.XLOOKUP(D223,'COM RESID'!J:J,'COM RESID'!P:P)=0,"*","PRE")</f>
        <v/>
      </c>
      <c r="C223" t="inlineStr">
        <is>
          <t>CITY</t>
        </is>
      </c>
      <c r="D223">
        <f>'COM RESID'!J74</f>
        <v/>
      </c>
      <c r="E223">
        <f>'COM RESID'!A74&amp;" "&amp;'COM RESID'!B74&amp;" "&amp;'COM RESID'!C74&amp;" "&amp;'COM RESID'!D74&amp;" "&amp;'COM RESID'!E74&amp;" "&amp;'COM RESID'!F74</f>
        <v/>
      </c>
      <c r="F223">
        <f>IF(G223="MW","TJ",LEFT(G223,LEN(G223)-1))</f>
        <v/>
      </c>
      <c r="G223">
        <f>'COM RESID'!Q74</f>
        <v/>
      </c>
    </row>
    <row r="224">
      <c r="B224">
        <f>IF(_xlfn.XLOOKUP(D224,'COM RESID'!J:J,'COM RESID'!P:P)=0,"*","PRE")</f>
        <v/>
      </c>
      <c r="C224" t="inlineStr">
        <is>
          <t>CITY</t>
        </is>
      </c>
      <c r="D224">
        <f>'COM RESID'!J75</f>
        <v/>
      </c>
      <c r="E224">
        <f>'COM RESID'!A75&amp;" "&amp;'COM RESID'!B75&amp;" "&amp;'COM RESID'!C75&amp;" "&amp;'COM RESID'!D75&amp;" "&amp;'COM RESID'!E75&amp;" "&amp;'COM RESID'!F75</f>
        <v/>
      </c>
      <c r="F224">
        <f>IF(G224="MW","TJ",LEFT(G224,LEN(G224)-1))</f>
        <v/>
      </c>
      <c r="G224">
        <f>'COM RESID'!Q75</f>
        <v/>
      </c>
    </row>
    <row r="225">
      <c r="B225">
        <f>IF(_xlfn.XLOOKUP(D225,'COM RESID'!J:J,'COM RESID'!P:P)=0,"*","PRE")</f>
        <v/>
      </c>
      <c r="C225" t="inlineStr">
        <is>
          <t>CITY</t>
        </is>
      </c>
      <c r="D225">
        <f>'COM RESID'!J76</f>
        <v/>
      </c>
      <c r="E225">
        <f>'COM RESID'!A76&amp;" "&amp;'COM RESID'!B76&amp;" "&amp;'COM RESID'!C76&amp;" "&amp;'COM RESID'!D76&amp;" "&amp;'COM RESID'!E76&amp;" "&amp;'COM RESID'!F76</f>
        <v/>
      </c>
      <c r="F225">
        <f>IF(G225="MW","TJ",LEFT(G225,LEN(G225)-1))</f>
        <v/>
      </c>
      <c r="G225">
        <f>'COM RESID'!Q76</f>
        <v/>
      </c>
    </row>
    <row r="226">
      <c r="B226">
        <f>IF(_xlfn.XLOOKUP(D226,'COM RESID'!J:J,'COM RESID'!P:P)=0,"*","PRE")</f>
        <v/>
      </c>
      <c r="C226" t="inlineStr">
        <is>
          <t>CITY</t>
        </is>
      </c>
      <c r="D226">
        <f>'COM RESID'!J77</f>
        <v/>
      </c>
      <c r="E226">
        <f>'COM RESID'!A77&amp;" "&amp;'COM RESID'!B77&amp;" "&amp;'COM RESID'!C77&amp;" "&amp;'COM RESID'!D77&amp;" "&amp;'COM RESID'!E77&amp;" "&amp;'COM RESID'!F77</f>
        <v/>
      </c>
      <c r="F226">
        <f>IF(G226="MW","TJ",LEFT(G226,LEN(G226)-1))</f>
        <v/>
      </c>
      <c r="G226">
        <f>'COM RESID'!Q77</f>
        <v/>
      </c>
    </row>
    <row r="227">
      <c r="B227">
        <f>IF(_xlfn.XLOOKUP(D227,'COM RESID'!J:J,'COM RESID'!P:P)=0,"*","PRE")</f>
        <v/>
      </c>
      <c r="C227" t="inlineStr">
        <is>
          <t>CITY</t>
        </is>
      </c>
      <c r="D227">
        <f>'COM RESID'!J78</f>
        <v/>
      </c>
      <c r="E227">
        <f>'COM RESID'!A78&amp;" "&amp;'COM RESID'!B78&amp;" "&amp;'COM RESID'!C78&amp;" "&amp;'COM RESID'!D78&amp;" "&amp;'COM RESID'!E78&amp;" "&amp;'COM RESID'!F78</f>
        <v/>
      </c>
      <c r="F227">
        <f>IF(G227="MW","TJ",LEFT(G227,LEN(G227)-1))</f>
        <v/>
      </c>
      <c r="G227">
        <f>'COM RESID'!Q78</f>
        <v/>
      </c>
    </row>
    <row r="228">
      <c r="B228">
        <f>IF(_xlfn.XLOOKUP(D228,'COM RESID'!J:J,'COM RESID'!P:P)=0,"*","PRE")</f>
        <v/>
      </c>
      <c r="C228" t="inlineStr">
        <is>
          <t>CITY</t>
        </is>
      </c>
      <c r="D228">
        <f>'COM RESID'!J79</f>
        <v/>
      </c>
      <c r="E228">
        <f>'COM RESID'!A79&amp;" "&amp;'COM RESID'!B79&amp;" "&amp;'COM RESID'!C79&amp;" "&amp;'COM RESID'!D79&amp;" "&amp;'COM RESID'!E79&amp;" "&amp;'COM RESID'!F79</f>
        <v/>
      </c>
      <c r="F228">
        <f>IF(G228="MW","TJ",LEFT(G228,LEN(G228)-1))</f>
        <v/>
      </c>
      <c r="G228">
        <f>'COM RESID'!Q79</f>
        <v/>
      </c>
    </row>
    <row r="229">
      <c r="B229">
        <f>IF(_xlfn.XLOOKUP(D229,'COM RESID'!J:J,'COM RESID'!P:P)=0,"*","PRE")</f>
        <v/>
      </c>
      <c r="C229" t="inlineStr">
        <is>
          <t>CITY</t>
        </is>
      </c>
      <c r="D229">
        <f>'COM RESID'!J80</f>
        <v/>
      </c>
      <c r="E229">
        <f>'COM RESID'!A80&amp;" "&amp;'COM RESID'!B80&amp;" "&amp;'COM RESID'!C80&amp;" "&amp;'COM RESID'!D80&amp;" "&amp;'COM RESID'!E80&amp;" "&amp;'COM RESID'!F80</f>
        <v/>
      </c>
      <c r="F229">
        <f>IF(G229="MW","TJ",LEFT(G229,LEN(G229)-1))</f>
        <v/>
      </c>
      <c r="G229">
        <f>'COM RESID'!Q80</f>
        <v/>
      </c>
    </row>
    <row r="230">
      <c r="B230">
        <f>IF(_xlfn.XLOOKUP(D230,'COM RESID'!J:J,'COM RESID'!P:P)=0,"*","PRE")</f>
        <v/>
      </c>
      <c r="C230" t="inlineStr">
        <is>
          <t>CITY</t>
        </is>
      </c>
      <c r="D230">
        <f>'COM RESID'!J81</f>
        <v/>
      </c>
      <c r="E230">
        <f>'COM RESID'!A81&amp;" "&amp;'COM RESID'!B81&amp;" "&amp;'COM RESID'!C81&amp;" "&amp;'COM RESID'!D81&amp;" "&amp;'COM RESID'!E81&amp;" "&amp;'COM RESID'!F81</f>
        <v/>
      </c>
      <c r="F230">
        <f>IF(G230="MW","TJ",LEFT(G230,LEN(G230)-1))</f>
        <v/>
      </c>
      <c r="G230">
        <f>'COM RESID'!Q81</f>
        <v/>
      </c>
    </row>
    <row r="231">
      <c r="B231">
        <f>IF(_xlfn.XLOOKUP(D231,'COM RESID'!J:J,'COM RESID'!P:P)=0,"*","PRE")</f>
        <v/>
      </c>
      <c r="C231" t="inlineStr">
        <is>
          <t>CITY</t>
        </is>
      </c>
      <c r="D231">
        <f>'COM RESID'!J82</f>
        <v/>
      </c>
      <c r="E231">
        <f>'COM RESID'!A82&amp;" "&amp;'COM RESID'!B82&amp;" "&amp;'COM RESID'!C82&amp;" "&amp;'COM RESID'!D82&amp;" "&amp;'COM RESID'!E82&amp;" "&amp;'COM RESID'!F82</f>
        <v/>
      </c>
      <c r="F231">
        <f>IF(G231="MW","TJ",LEFT(G231,LEN(G231)-1))</f>
        <v/>
      </c>
      <c r="G231">
        <f>'COM RESID'!Q82</f>
        <v/>
      </c>
    </row>
    <row r="232">
      <c r="B232">
        <f>IF(_xlfn.XLOOKUP(D232,'COM RESID'!J:J,'COM RESID'!P:P)=0,"*","PRE")</f>
        <v/>
      </c>
      <c r="C232" t="inlineStr">
        <is>
          <t>CITY</t>
        </is>
      </c>
      <c r="D232">
        <f>'COM RESID'!J83</f>
        <v/>
      </c>
      <c r="E232">
        <f>'COM RESID'!A83&amp;" "&amp;'COM RESID'!B83&amp;" "&amp;'COM RESID'!C83&amp;" "&amp;'COM RESID'!D83&amp;" "&amp;'COM RESID'!E83&amp;" "&amp;'COM RESID'!F83</f>
        <v/>
      </c>
      <c r="F232">
        <f>IF(G232="MW","TJ",LEFT(G232,LEN(G232)-1))</f>
        <v/>
      </c>
      <c r="G232">
        <f>'COM RESID'!Q83</f>
        <v/>
      </c>
    </row>
    <row r="233">
      <c r="B233">
        <f>IF(_xlfn.XLOOKUP(D233,'COM RESID'!J:J,'COM RESID'!P:P)=0,"*","PRE")</f>
        <v/>
      </c>
      <c r="C233" t="inlineStr">
        <is>
          <t>CITY</t>
        </is>
      </c>
      <c r="D233">
        <f>'COM RESID'!J84</f>
        <v/>
      </c>
      <c r="E233">
        <f>'COM RESID'!A84&amp;" "&amp;'COM RESID'!B84&amp;" "&amp;'COM RESID'!C84&amp;" "&amp;'COM RESID'!D84&amp;" "&amp;'COM RESID'!E84&amp;" "&amp;'COM RESID'!F84</f>
        <v/>
      </c>
      <c r="F233">
        <f>IF(G233="MW","TJ",LEFT(G233,LEN(G233)-1))</f>
        <v/>
      </c>
      <c r="G233">
        <f>'COM RESID'!Q84</f>
        <v/>
      </c>
    </row>
    <row r="234">
      <c r="B234">
        <f>IF(_xlfn.XLOOKUP(D234,'COM RESID'!J:J,'COM RESID'!P:P)=0,"*","PRE")</f>
        <v/>
      </c>
      <c r="C234" t="inlineStr">
        <is>
          <t>CITY</t>
        </is>
      </c>
      <c r="D234">
        <f>'COM RESID'!J85</f>
        <v/>
      </c>
      <c r="E234">
        <f>'COM RESID'!A85&amp;" "&amp;'COM RESID'!B85&amp;" "&amp;'COM RESID'!C85&amp;" "&amp;'COM RESID'!D85&amp;" "&amp;'COM RESID'!E85&amp;" "&amp;'COM RESID'!F85</f>
        <v/>
      </c>
      <c r="F234">
        <f>IF(G234="MW","TJ",LEFT(G234,LEN(G234)-1))</f>
        <v/>
      </c>
      <c r="G234">
        <f>'COM RESID'!Q85</f>
        <v/>
      </c>
    </row>
    <row r="235">
      <c r="B235">
        <f>IF(_xlfn.XLOOKUP(D235,'COM RESID'!J:J,'COM RESID'!P:P)=0,"*","PRE")</f>
        <v/>
      </c>
      <c r="C235" t="inlineStr">
        <is>
          <t>CITY</t>
        </is>
      </c>
      <c r="D235">
        <f>'COM RESID'!J86</f>
        <v/>
      </c>
      <c r="E235">
        <f>'COM RESID'!A86&amp;" "&amp;'COM RESID'!B86&amp;" "&amp;'COM RESID'!C86&amp;" "&amp;'COM RESID'!D86&amp;" "&amp;'COM RESID'!E86&amp;" "&amp;'COM RESID'!F86</f>
        <v/>
      </c>
      <c r="F235">
        <f>IF(G235="MW","TJ",LEFT(G235,LEN(G235)-1))</f>
        <v/>
      </c>
      <c r="G235">
        <f>'COM RESID'!Q86</f>
        <v/>
      </c>
    </row>
    <row r="236">
      <c r="B236">
        <f>IF(_xlfn.XLOOKUP(D236,'COM RESID'!J:J,'COM RESID'!P:P)=0,"*","PRE")</f>
        <v/>
      </c>
      <c r="C236" t="inlineStr">
        <is>
          <t>CITY</t>
        </is>
      </c>
      <c r="D236">
        <f>'COM RESID'!J87</f>
        <v/>
      </c>
      <c r="E236">
        <f>'COM RESID'!A87&amp;" "&amp;'COM RESID'!B87&amp;" "&amp;'COM RESID'!C87&amp;" "&amp;'COM RESID'!D87&amp;" "&amp;'COM RESID'!E87&amp;" "&amp;'COM RESID'!F87</f>
        <v/>
      </c>
      <c r="F236">
        <f>IF(G236="MW","TJ",LEFT(G236,LEN(G236)-1))</f>
        <v/>
      </c>
      <c r="G236">
        <f>'COM RESID'!Q87</f>
        <v/>
      </c>
    </row>
    <row r="237">
      <c r="B237">
        <f>IF(_xlfn.XLOOKUP(D237,'COM RESID'!J:J,'COM RESID'!P:P)=0,"*","PRE")</f>
        <v/>
      </c>
      <c r="C237" t="inlineStr">
        <is>
          <t>CITY</t>
        </is>
      </c>
      <c r="D237">
        <f>'COM RESID'!J88</f>
        <v/>
      </c>
      <c r="E237">
        <f>'COM RESID'!A88&amp;" "&amp;'COM RESID'!B88&amp;" "&amp;'COM RESID'!C88&amp;" "&amp;'COM RESID'!D88&amp;" "&amp;'COM RESID'!E88&amp;" "&amp;'COM RESID'!F88</f>
        <v/>
      </c>
      <c r="F237">
        <f>IF(G237="MW","TJ",LEFT(G237,LEN(G237)-1))</f>
        <v/>
      </c>
      <c r="G237">
        <f>'COM RESID'!Q88</f>
        <v/>
      </c>
    </row>
    <row r="238">
      <c r="B238">
        <f>IF(_xlfn.XLOOKUP(D238,'COM RESID'!J:J,'COM RESID'!P:P)=0,"*","PRE")</f>
        <v/>
      </c>
      <c r="C238" t="inlineStr">
        <is>
          <t>CITY</t>
        </is>
      </c>
      <c r="D238">
        <f>'COM RESID'!J89</f>
        <v/>
      </c>
      <c r="E238">
        <f>'COM RESID'!A89&amp;" "&amp;'COM RESID'!B89&amp;" "&amp;'COM RESID'!C89&amp;" "&amp;'COM RESID'!D89&amp;" "&amp;'COM RESID'!E89&amp;" "&amp;'COM RESID'!F89</f>
        <v/>
      </c>
      <c r="F238">
        <f>IF(G238="MW","TJ",LEFT(G238,LEN(G238)-1))</f>
        <v/>
      </c>
      <c r="G238">
        <f>'COM RESID'!Q89</f>
        <v/>
      </c>
    </row>
    <row r="239">
      <c r="B239">
        <f>IF(_xlfn.XLOOKUP(D239,'COM RESID'!J:J,'COM RESID'!P:P)=0,"*","PRE")</f>
        <v/>
      </c>
      <c r="C239" t="inlineStr">
        <is>
          <t>CITY</t>
        </is>
      </c>
      <c r="D239">
        <f>'COM RESID'!J90</f>
        <v/>
      </c>
      <c r="E239">
        <f>'COM RESID'!A90&amp;" "&amp;'COM RESID'!B90&amp;" "&amp;'COM RESID'!C90&amp;" "&amp;'COM RESID'!D90&amp;" "&amp;'COM RESID'!E90&amp;" "&amp;'COM RESID'!F90</f>
        <v/>
      </c>
      <c r="F239">
        <f>IF(G239="MW","TJ",LEFT(G239,LEN(G239)-1))</f>
        <v/>
      </c>
      <c r="G239">
        <f>'COM RESID'!Q90</f>
        <v/>
      </c>
    </row>
    <row r="240">
      <c r="B240">
        <f>IF(_xlfn.XLOOKUP(D240,'COM RESID'!J:J,'COM RESID'!P:P)=0,"*","PRE")</f>
        <v/>
      </c>
      <c r="C240" t="inlineStr">
        <is>
          <t>CITY</t>
        </is>
      </c>
      <c r="D240">
        <f>'COM RESID'!J91</f>
        <v/>
      </c>
      <c r="E240">
        <f>'COM RESID'!A91&amp;" "&amp;'COM RESID'!B91&amp;" "&amp;'COM RESID'!C91&amp;" "&amp;'COM RESID'!D91&amp;" "&amp;'COM RESID'!E91&amp;" "&amp;'COM RESID'!F91</f>
        <v/>
      </c>
      <c r="F240">
        <f>IF(G240="MW","TJ",LEFT(G240,LEN(G240)-1))</f>
        <v/>
      </c>
      <c r="G240">
        <f>'COM RESID'!Q91</f>
        <v/>
      </c>
    </row>
    <row r="241">
      <c r="B241">
        <f>IF(_xlfn.XLOOKUP(D241,'COM RESID'!J:J,'COM RESID'!P:P)=0,"*","PRE")</f>
        <v/>
      </c>
      <c r="C241" t="inlineStr">
        <is>
          <t>CITY</t>
        </is>
      </c>
      <c r="D241">
        <f>'COM RESID'!J92</f>
        <v/>
      </c>
      <c r="E241">
        <f>'COM RESID'!A92&amp;" "&amp;'COM RESID'!B92&amp;" "&amp;'COM RESID'!C92&amp;" "&amp;'COM RESID'!D92&amp;" "&amp;'COM RESID'!E92&amp;" "&amp;'COM RESID'!F92</f>
        <v/>
      </c>
      <c r="F241">
        <f>IF(G241="MW","TJ",LEFT(G241,LEN(G241)-1))</f>
        <v/>
      </c>
      <c r="G241">
        <f>'COM RESID'!Q92</f>
        <v/>
      </c>
    </row>
    <row r="242">
      <c r="B242">
        <f>IF(_xlfn.XLOOKUP(D242,'COM RESID'!J:J,'COM RESID'!P:P)=0,"*","PRE")</f>
        <v/>
      </c>
      <c r="C242" t="inlineStr">
        <is>
          <t>CITY</t>
        </is>
      </c>
      <c r="D242">
        <f>'COM RESID'!J93</f>
        <v/>
      </c>
      <c r="E242">
        <f>'COM RESID'!A93&amp;" "&amp;'COM RESID'!B93&amp;" "&amp;'COM RESID'!C93&amp;" "&amp;'COM RESID'!D93&amp;" "&amp;'COM RESID'!E93&amp;" "&amp;'COM RESID'!F93</f>
        <v/>
      </c>
      <c r="F242">
        <f>IF(G242="MW","TJ",LEFT(G242,LEN(G242)-1))</f>
        <v/>
      </c>
      <c r="G242">
        <f>'COM RESID'!Q93</f>
        <v/>
      </c>
    </row>
    <row r="243">
      <c r="B243">
        <f>IF(_xlfn.XLOOKUP(D243,'COM RESID'!J:J,'COM RESID'!P:P)=0,"*","PRE")</f>
        <v/>
      </c>
      <c r="C243" t="inlineStr">
        <is>
          <t>CITY</t>
        </is>
      </c>
      <c r="D243">
        <f>'COM RESID'!J94</f>
        <v/>
      </c>
      <c r="E243">
        <f>'COM RESID'!A94&amp;" "&amp;'COM RESID'!B94&amp;" "&amp;'COM RESID'!C94&amp;" "&amp;'COM RESID'!D94&amp;" "&amp;'COM RESID'!E94&amp;" "&amp;'COM RESID'!F94</f>
        <v/>
      </c>
      <c r="F243">
        <f>IF(G243="MW","TJ",LEFT(G243,LEN(G243)-1))</f>
        <v/>
      </c>
      <c r="G243">
        <f>'COM RESID'!Q94</f>
        <v/>
      </c>
    </row>
    <row r="244">
      <c r="B244">
        <f>IF(_xlfn.XLOOKUP(D244,'COM RESID'!J:J,'COM RESID'!P:P)=0,"*","PRE")</f>
        <v/>
      </c>
      <c r="C244" t="inlineStr">
        <is>
          <t>CITY</t>
        </is>
      </c>
      <c r="D244">
        <f>'COM RESID'!J95</f>
        <v/>
      </c>
      <c r="E244">
        <f>'COM RESID'!A95&amp;" "&amp;'COM RESID'!B95&amp;" "&amp;'COM RESID'!C95&amp;" "&amp;'COM RESID'!D95&amp;" "&amp;'COM RESID'!E95&amp;" "&amp;'COM RESID'!F95</f>
        <v/>
      </c>
      <c r="F244">
        <f>IF(G244="MW","TJ",LEFT(G244,LEN(G244)-1))</f>
        <v/>
      </c>
      <c r="G244">
        <f>'COM RESID'!Q95</f>
        <v/>
      </c>
    </row>
    <row r="245">
      <c r="B245">
        <f>IF(_xlfn.XLOOKUP(D245,'COM RESID'!J:J,'COM RESID'!P:P)=0,"*","PRE")</f>
        <v/>
      </c>
      <c r="C245" t="inlineStr">
        <is>
          <t>CITY</t>
        </is>
      </c>
      <c r="D245">
        <f>'COM RESID'!J96</f>
        <v/>
      </c>
      <c r="E245">
        <f>'COM RESID'!A96&amp;" "&amp;'COM RESID'!B96&amp;" "&amp;'COM RESID'!C96&amp;" "&amp;'COM RESID'!D96&amp;" "&amp;'COM RESID'!E96&amp;" "&amp;'COM RESID'!F96</f>
        <v/>
      </c>
      <c r="F245">
        <f>IF(G245="MW","TJ",LEFT(G245,LEN(G245)-1))</f>
        <v/>
      </c>
      <c r="G245">
        <f>'COM RESID'!Q96</f>
        <v/>
      </c>
    </row>
    <row r="246">
      <c r="B246">
        <f>IF(_xlfn.XLOOKUP(D246,'COM RESID'!J:J,'COM RESID'!P:P)=0,"*","PRE")</f>
        <v/>
      </c>
      <c r="C246" t="inlineStr">
        <is>
          <t>CITY</t>
        </is>
      </c>
      <c r="D246">
        <f>'COM RESID'!J97</f>
        <v/>
      </c>
      <c r="E246">
        <f>'COM RESID'!A97&amp;" "&amp;'COM RESID'!B97&amp;" "&amp;'COM RESID'!C97&amp;" "&amp;'COM RESID'!D97&amp;" "&amp;'COM RESID'!E97&amp;" "&amp;'COM RESID'!F97</f>
        <v/>
      </c>
      <c r="F246">
        <f>IF(G246="MW","TJ",LEFT(G246,LEN(G246)-1))</f>
        <v/>
      </c>
      <c r="G246">
        <f>'COM RESID'!Q97</f>
        <v/>
      </c>
    </row>
    <row r="247">
      <c r="B247">
        <f>IF(_xlfn.XLOOKUP(D247,'COM RESID'!J:J,'COM RESID'!P:P)=0,"*","PRE")</f>
        <v/>
      </c>
      <c r="C247" t="inlineStr">
        <is>
          <t>CITY</t>
        </is>
      </c>
      <c r="D247">
        <f>'COM RESID'!J98</f>
        <v/>
      </c>
      <c r="E247">
        <f>'COM RESID'!A98&amp;" "&amp;'COM RESID'!B98&amp;" "&amp;'COM RESID'!C98&amp;" "&amp;'COM RESID'!D98&amp;" "&amp;'COM RESID'!E98&amp;" "&amp;'COM RESID'!F98</f>
        <v/>
      </c>
      <c r="F247">
        <f>IF(G247="MW","TJ",LEFT(G247,LEN(G247)-1))</f>
        <v/>
      </c>
      <c r="G247">
        <f>'COM RESID'!Q98</f>
        <v/>
      </c>
    </row>
    <row r="248">
      <c r="B248">
        <f>IF(_xlfn.XLOOKUP(D248,'COM RESID'!J:J,'COM RESID'!P:P)=0,"*","PRE")</f>
        <v/>
      </c>
      <c r="C248" t="inlineStr">
        <is>
          <t>CITY</t>
        </is>
      </c>
      <c r="D248">
        <f>'COM RESID'!J99</f>
        <v/>
      </c>
      <c r="E248">
        <f>'COM RESID'!A99&amp;" "&amp;'COM RESID'!B99&amp;" "&amp;'COM RESID'!C99&amp;" "&amp;'COM RESID'!D99&amp;" "&amp;'COM RESID'!E99&amp;" "&amp;'COM RESID'!F99</f>
        <v/>
      </c>
      <c r="F248">
        <f>IF(G248="MW","TJ",LEFT(G248,LEN(G248)-1))</f>
        <v/>
      </c>
      <c r="G248">
        <f>'COM RESID'!Q99</f>
        <v/>
      </c>
    </row>
    <row r="249">
      <c r="B249">
        <f>IF(_xlfn.XLOOKUP(D249,'COM RESID'!J:J,'COM RESID'!P:P)=0,"*","PRE")</f>
        <v/>
      </c>
      <c r="C249" t="inlineStr">
        <is>
          <t>CITY</t>
        </is>
      </c>
      <c r="D249">
        <f>'COM RESID'!J100</f>
        <v/>
      </c>
      <c r="E249">
        <f>'COM RESID'!A100&amp;" "&amp;'COM RESID'!B100&amp;" "&amp;'COM RESID'!C100&amp;" "&amp;'COM RESID'!D100&amp;" "&amp;'COM RESID'!E100&amp;" "&amp;'COM RESID'!F100</f>
        <v/>
      </c>
      <c r="F249">
        <f>IF(G249="MW","TJ",LEFT(G249,LEN(G249)-1))</f>
        <v/>
      </c>
      <c r="G249">
        <f>'COM RESID'!Q100</f>
        <v/>
      </c>
    </row>
    <row r="250">
      <c r="B250">
        <f>IF(_xlfn.XLOOKUP(D250,'COM RESID'!J:J,'COM RESID'!P:P)=0,"*","PRE")</f>
        <v/>
      </c>
      <c r="C250" t="inlineStr">
        <is>
          <t>CITY</t>
        </is>
      </c>
      <c r="D250">
        <f>'COM RESID'!J101</f>
        <v/>
      </c>
      <c r="E250">
        <f>'COM RESID'!A101&amp;" "&amp;'COM RESID'!B101&amp;" "&amp;'COM RESID'!C101&amp;" "&amp;'COM RESID'!D101&amp;" "&amp;'COM RESID'!E101&amp;" "&amp;'COM RESID'!F101</f>
        <v/>
      </c>
      <c r="F250">
        <f>IF(G250="MW","TJ",LEFT(G250,LEN(G250)-1))</f>
        <v/>
      </c>
      <c r="G250">
        <f>'COM RESID'!Q101</f>
        <v/>
      </c>
    </row>
    <row r="251">
      <c r="B251">
        <f>IF(_xlfn.XLOOKUP(D251,'COM RESID'!J:J,'COM RESID'!P:P)=0,"*","PRE")</f>
        <v/>
      </c>
      <c r="C251" t="inlineStr">
        <is>
          <t>CITY</t>
        </is>
      </c>
      <c r="D251">
        <f>'COM RESID'!J102</f>
        <v/>
      </c>
      <c r="E251">
        <f>'COM RESID'!A102&amp;" "&amp;'COM RESID'!B102&amp;" "&amp;'COM RESID'!C102&amp;" "&amp;'COM RESID'!D102&amp;" "&amp;'COM RESID'!E102&amp;" "&amp;'COM RESID'!F102</f>
        <v/>
      </c>
      <c r="F251">
        <f>IF(G251="MW","TJ",LEFT(G251,LEN(G251)-1))</f>
        <v/>
      </c>
      <c r="G251">
        <f>'COM RESID'!Q102</f>
        <v/>
      </c>
    </row>
    <row r="252">
      <c r="B252">
        <f>IF(_xlfn.XLOOKUP(D252,'COM RESID'!J:J,'COM RESID'!P:P)=0,"*","PRE")</f>
        <v/>
      </c>
      <c r="C252" t="inlineStr">
        <is>
          <t>CITY</t>
        </is>
      </c>
      <c r="D252">
        <f>'COM RESID'!J103</f>
        <v/>
      </c>
      <c r="E252">
        <f>'COM RESID'!A103&amp;" "&amp;'COM RESID'!B103&amp;" "&amp;'COM RESID'!C103&amp;" "&amp;'COM RESID'!D103&amp;" "&amp;'COM RESID'!E103&amp;" "&amp;'COM RESID'!F103</f>
        <v/>
      </c>
      <c r="F252">
        <f>IF(G252="MW","TJ",LEFT(G252,LEN(G252)-1))</f>
        <v/>
      </c>
      <c r="G252">
        <f>'COM RESID'!Q103</f>
        <v/>
      </c>
    </row>
    <row r="253">
      <c r="B253">
        <f>IF(_xlfn.XLOOKUP(D253,'COM RESID'!J:J,'COM RESID'!P:P)=0,"*","PRE")</f>
        <v/>
      </c>
      <c r="C253" t="inlineStr">
        <is>
          <t>CITY</t>
        </is>
      </c>
      <c r="D253">
        <f>'COM RESID'!J104</f>
        <v/>
      </c>
      <c r="E253">
        <f>'COM RESID'!A104&amp;" "&amp;'COM RESID'!B104&amp;" "&amp;'COM RESID'!C104&amp;" "&amp;'COM RESID'!D104&amp;" "&amp;'COM RESID'!E104&amp;" "&amp;'COM RESID'!F104</f>
        <v/>
      </c>
      <c r="F253">
        <f>IF(G253="MW","TJ",LEFT(G253,LEN(G253)-1))</f>
        <v/>
      </c>
      <c r="G253">
        <f>'COM RESID'!Q104</f>
        <v/>
      </c>
    </row>
    <row r="254">
      <c r="B254">
        <f>IF(_xlfn.XLOOKUP(D254,'COM RESID'!J:J,'COM RESID'!P:P)=0,"*","PRE")</f>
        <v/>
      </c>
      <c r="C254" t="inlineStr">
        <is>
          <t>CITY</t>
        </is>
      </c>
      <c r="D254">
        <f>'COM RESID'!J105</f>
        <v/>
      </c>
      <c r="E254">
        <f>'COM RESID'!A105&amp;" "&amp;'COM RESID'!B105&amp;" "&amp;'COM RESID'!C105&amp;" "&amp;'COM RESID'!D105&amp;" "&amp;'COM RESID'!E105&amp;" "&amp;'COM RESID'!F105</f>
        <v/>
      </c>
      <c r="F254">
        <f>IF(G254="MW","TJ",LEFT(G254,LEN(G254)-1))</f>
        <v/>
      </c>
      <c r="G254">
        <f>'COM RESID'!Q105</f>
        <v/>
      </c>
    </row>
    <row r="255">
      <c r="B255">
        <f>IF(_xlfn.XLOOKUP(D255,'COM RESID'!J:J,'COM RESID'!P:P)=0,"*","PRE")</f>
        <v/>
      </c>
      <c r="C255" t="inlineStr">
        <is>
          <t>CITY</t>
        </is>
      </c>
      <c r="D255">
        <f>'COM RESID'!J106</f>
        <v/>
      </c>
      <c r="E255">
        <f>'COM RESID'!A106&amp;" "&amp;'COM RESID'!B106&amp;" "&amp;'COM RESID'!C106&amp;" "&amp;'COM RESID'!D106&amp;" "&amp;'COM RESID'!E106&amp;" "&amp;'COM RESID'!F106</f>
        <v/>
      </c>
      <c r="F255">
        <f>IF(G255="MW","TJ",LEFT(G255,LEN(G255)-1))</f>
        <v/>
      </c>
      <c r="G255">
        <f>'COM RESID'!Q106</f>
        <v/>
      </c>
    </row>
    <row r="256">
      <c r="B256">
        <f>IF(_xlfn.XLOOKUP(D256,'COM RESID'!J:J,'COM RESID'!P:P)=0,"*","PRE")</f>
        <v/>
      </c>
      <c r="C256" t="inlineStr">
        <is>
          <t>CITY</t>
        </is>
      </c>
      <c r="D256">
        <f>'COM RESID'!J107</f>
        <v/>
      </c>
      <c r="E256">
        <f>'COM RESID'!A107&amp;" "&amp;'COM RESID'!B107&amp;" "&amp;'COM RESID'!C107&amp;" "&amp;'COM RESID'!D107&amp;" "&amp;'COM RESID'!E107&amp;" "&amp;'COM RESID'!F107</f>
        <v/>
      </c>
      <c r="F256">
        <f>IF(G256="MW","TJ",LEFT(G256,LEN(G256)-1))</f>
        <v/>
      </c>
      <c r="G256">
        <f>'COM RESID'!Q107</f>
        <v/>
      </c>
    </row>
    <row r="257">
      <c r="B257">
        <f>IF(_xlfn.XLOOKUP(D257,'COM RESID'!J:J,'COM RESID'!P:P)=0,"*","PRE")</f>
        <v/>
      </c>
      <c r="C257" t="inlineStr">
        <is>
          <t>CITY</t>
        </is>
      </c>
      <c r="D257">
        <f>'COM RESID'!J108</f>
        <v/>
      </c>
      <c r="E257">
        <f>'COM RESID'!A108&amp;" "&amp;'COM RESID'!B108&amp;" "&amp;'COM RESID'!C108&amp;" "&amp;'COM RESID'!D108&amp;" "&amp;'COM RESID'!E108&amp;" "&amp;'COM RESID'!F108</f>
        <v/>
      </c>
      <c r="F257">
        <f>IF(G257="MW","TJ",LEFT(G257,LEN(G257)-1))</f>
        <v/>
      </c>
      <c r="G257">
        <f>'COM RESID'!Q108</f>
        <v/>
      </c>
    </row>
    <row r="258">
      <c r="B258">
        <f>IF(_xlfn.XLOOKUP(D258,'COM RESID'!J:J,'COM RESID'!P:P)=0,"*","PRE")</f>
        <v/>
      </c>
      <c r="C258" t="inlineStr">
        <is>
          <t>CITY</t>
        </is>
      </c>
      <c r="D258">
        <f>'COM RESID'!J109</f>
        <v/>
      </c>
      <c r="E258">
        <f>'COM RESID'!A109&amp;" "&amp;'COM RESID'!B109&amp;" "&amp;'COM RESID'!C109&amp;" "&amp;'COM RESID'!D109&amp;" "&amp;'COM RESID'!E109&amp;" "&amp;'COM RESID'!F109</f>
        <v/>
      </c>
      <c r="F258">
        <f>IF(G258="MW","TJ",LEFT(G258,LEN(G258)-1))</f>
        <v/>
      </c>
      <c r="G258">
        <f>'COM RESID'!Q109</f>
        <v/>
      </c>
    </row>
    <row r="259">
      <c r="B259">
        <f>IF(_xlfn.XLOOKUP(D259,'COM RESID'!J:J,'COM RESID'!P:P)=0,"*","PRE")</f>
        <v/>
      </c>
      <c r="C259" t="inlineStr">
        <is>
          <t>CITY</t>
        </is>
      </c>
      <c r="D259">
        <f>'COM RESID'!J110</f>
        <v/>
      </c>
      <c r="E259">
        <f>'COM RESID'!A110&amp;" "&amp;'COM RESID'!B110&amp;" "&amp;'COM RESID'!C110&amp;" "&amp;'COM RESID'!D110&amp;" "&amp;'COM RESID'!E110&amp;" "&amp;'COM RESID'!F110</f>
        <v/>
      </c>
      <c r="F259">
        <f>IF(G259="MW","TJ",LEFT(G259,LEN(G259)-1))</f>
        <v/>
      </c>
      <c r="G259">
        <f>'COM RESID'!Q110</f>
        <v/>
      </c>
    </row>
    <row r="260">
      <c r="B260">
        <f>IF(_xlfn.XLOOKUP(D260,'COM RESID'!J:J,'COM RESID'!P:P)=0,"*","PRE")</f>
        <v/>
      </c>
      <c r="C260" t="inlineStr">
        <is>
          <t>CITY</t>
        </is>
      </c>
      <c r="D260">
        <f>'COM RESID'!J111</f>
        <v/>
      </c>
      <c r="E260">
        <f>'COM RESID'!A111&amp;" "&amp;'COM RESID'!B111&amp;" "&amp;'COM RESID'!C111&amp;" "&amp;'COM RESID'!D111&amp;" "&amp;'COM RESID'!E111&amp;" "&amp;'COM RESID'!F111</f>
        <v/>
      </c>
      <c r="F260">
        <f>IF(G260="MW","TJ",LEFT(G260,LEN(G260)-1))</f>
        <v/>
      </c>
      <c r="G260">
        <f>'COM RESID'!Q111</f>
        <v/>
      </c>
    </row>
    <row r="261">
      <c r="B261">
        <f>IF(_xlfn.XLOOKUP(D261,'COM RESID'!J:J,'COM RESID'!P:P)=0,"*","PRE")</f>
        <v/>
      </c>
      <c r="C261" t="inlineStr">
        <is>
          <t>CITY</t>
        </is>
      </c>
      <c r="D261">
        <f>'COM RESID'!J112</f>
        <v/>
      </c>
      <c r="E261">
        <f>'COM RESID'!A112&amp;" "&amp;'COM RESID'!B112&amp;" "&amp;'COM RESID'!C112&amp;" "&amp;'COM RESID'!D112&amp;" "&amp;'COM RESID'!E112&amp;" "&amp;'COM RESID'!F112</f>
        <v/>
      </c>
      <c r="F261">
        <f>IF(G261="MW","TJ",LEFT(G261,LEN(G261)-1))</f>
        <v/>
      </c>
      <c r="G261">
        <f>'COM RESID'!Q112</f>
        <v/>
      </c>
    </row>
    <row r="262">
      <c r="B262">
        <f>IF(_xlfn.XLOOKUP(D262,'COM RESID'!J:J,'COM RESID'!P:P)=0,"*","PRE")</f>
        <v/>
      </c>
      <c r="C262" t="inlineStr">
        <is>
          <t>CITY</t>
        </is>
      </c>
      <c r="D262">
        <f>'COM RESID'!J113</f>
        <v/>
      </c>
      <c r="E262">
        <f>'COM RESID'!A113&amp;" "&amp;'COM RESID'!B113&amp;" "&amp;'COM RESID'!C113&amp;" "&amp;'COM RESID'!D113&amp;" "&amp;'COM RESID'!E113&amp;" "&amp;'COM RESID'!F113</f>
        <v/>
      </c>
      <c r="F262">
        <f>IF(G262="MW","TJ",LEFT(G262,LEN(G262)-1))</f>
        <v/>
      </c>
      <c r="G262">
        <f>'COM RESID'!Q113</f>
        <v/>
      </c>
    </row>
    <row r="263">
      <c r="B263">
        <f>IF(_xlfn.XLOOKUP(D263,'COM RESID'!J:J,'COM RESID'!P:P)=0,"*","PRE")</f>
        <v/>
      </c>
      <c r="C263" t="inlineStr">
        <is>
          <t>CITY</t>
        </is>
      </c>
      <c r="D263">
        <f>'COM RESID'!J114</f>
        <v/>
      </c>
      <c r="E263">
        <f>'COM RESID'!A114&amp;" "&amp;'COM RESID'!B114&amp;" "&amp;'COM RESID'!C114&amp;" "&amp;'COM RESID'!D114&amp;" "&amp;'COM RESID'!E114&amp;" "&amp;'COM RESID'!F114</f>
        <v/>
      </c>
      <c r="F263">
        <f>IF(G263="MW","TJ",LEFT(G263,LEN(G263)-1))</f>
        <v/>
      </c>
      <c r="G263">
        <f>'COM RESID'!Q114</f>
        <v/>
      </c>
    </row>
    <row r="264">
      <c r="B264">
        <f>IF(_xlfn.XLOOKUP(D264,'COM RESID'!J:J,'COM RESID'!P:P)=0,"*","PRE")</f>
        <v/>
      </c>
      <c r="C264" t="inlineStr">
        <is>
          <t>CITY</t>
        </is>
      </c>
      <c r="D264">
        <f>'COM RESID'!J115</f>
        <v/>
      </c>
      <c r="E264">
        <f>'COM RESID'!A115&amp;" "&amp;'COM RESID'!B115&amp;" "&amp;'COM RESID'!C115&amp;" "&amp;'COM RESID'!D115&amp;" "&amp;'COM RESID'!E115&amp;" "&amp;'COM RESID'!F115</f>
        <v/>
      </c>
      <c r="F264">
        <f>IF(G264="MW","TJ",LEFT(G264,LEN(G264)-1))</f>
        <v/>
      </c>
      <c r="G264">
        <f>'COM RESID'!Q115</f>
        <v/>
      </c>
    </row>
    <row r="265">
      <c r="B265">
        <f>IF(_xlfn.XLOOKUP(D265,'COM RESID'!J:J,'COM RESID'!P:P)=0,"*","PRE")</f>
        <v/>
      </c>
      <c r="C265" t="inlineStr">
        <is>
          <t>CITY</t>
        </is>
      </c>
      <c r="D265">
        <f>'COM RESID'!J116</f>
        <v/>
      </c>
      <c r="E265">
        <f>'COM RESID'!A116&amp;" "&amp;'COM RESID'!B116&amp;" "&amp;'COM RESID'!C116&amp;" "&amp;'COM RESID'!D116&amp;" "&amp;'COM RESID'!E116&amp;" "&amp;'COM RESID'!F116</f>
        <v/>
      </c>
      <c r="F265">
        <f>IF(G265="MW","TJ",LEFT(G265,LEN(G265)-1))</f>
        <v/>
      </c>
      <c r="G265">
        <f>'COM RESID'!Q116</f>
        <v/>
      </c>
    </row>
    <row r="266">
      <c r="B266">
        <f>IF(_xlfn.XLOOKUP(D266,'COM RESID'!J:J,'COM RESID'!P:P)=0,"*","PRE")</f>
        <v/>
      </c>
      <c r="C266" t="inlineStr">
        <is>
          <t>CITY</t>
        </is>
      </c>
      <c r="D266">
        <f>'COM RESID'!J117</f>
        <v/>
      </c>
      <c r="E266">
        <f>'COM RESID'!A117&amp;" "&amp;'COM RESID'!B117&amp;" "&amp;'COM RESID'!C117&amp;" "&amp;'COM RESID'!D117&amp;" "&amp;'COM RESID'!E117&amp;" "&amp;'COM RESID'!F117</f>
        <v/>
      </c>
      <c r="F266">
        <f>IF(G266="MW","TJ",LEFT(G266,LEN(G266)-1))</f>
        <v/>
      </c>
      <c r="G266">
        <f>'COM RESID'!Q117</f>
        <v/>
      </c>
    </row>
    <row r="267">
      <c r="B267">
        <f>IF(_xlfn.XLOOKUP(D267,'COM RESID'!J:J,'COM RESID'!P:P)=0,"*","PRE")</f>
        <v/>
      </c>
      <c r="C267" t="inlineStr">
        <is>
          <t>CITY</t>
        </is>
      </c>
      <c r="D267">
        <f>'COM RESID'!J118</f>
        <v/>
      </c>
      <c r="E267">
        <f>'COM RESID'!A118&amp;" "&amp;'COM RESID'!B118&amp;" "&amp;'COM RESID'!C118&amp;" "&amp;'COM RESID'!D118&amp;" "&amp;'COM RESID'!E118&amp;" "&amp;'COM RESID'!F118</f>
        <v/>
      </c>
      <c r="F267">
        <f>IF(G267="MW","TJ",LEFT(G267,LEN(G267)-1))</f>
        <v/>
      </c>
      <c r="G267">
        <f>'COM RESID'!Q118</f>
        <v/>
      </c>
    </row>
    <row r="268">
      <c r="B268">
        <f>IF(_xlfn.XLOOKUP(D268,'COM RESID'!J:J,'COM RESID'!P:P)=0,"*","PRE")</f>
        <v/>
      </c>
      <c r="C268" t="inlineStr">
        <is>
          <t>CITY</t>
        </is>
      </c>
      <c r="D268">
        <f>'COM RESID'!J119</f>
        <v/>
      </c>
      <c r="E268">
        <f>'COM RESID'!A119&amp;" "&amp;'COM RESID'!B119&amp;" "&amp;'COM RESID'!C119&amp;" "&amp;'COM RESID'!D119&amp;" "&amp;'COM RESID'!E119&amp;" "&amp;'COM RESID'!F119</f>
        <v/>
      </c>
      <c r="F268">
        <f>IF(G268="MW","TJ",LEFT(G268,LEN(G268)-1))</f>
        <v/>
      </c>
      <c r="G268">
        <f>'COM RESID'!Q119</f>
        <v/>
      </c>
    </row>
    <row r="269">
      <c r="B269">
        <f>IF(_xlfn.XLOOKUP(D269,'COM RESID'!J:J,'COM RESID'!P:P)=0,"*","PRE")</f>
        <v/>
      </c>
      <c r="C269" t="inlineStr">
        <is>
          <t>CITY</t>
        </is>
      </c>
      <c r="D269">
        <f>'COM RESID'!J120</f>
        <v/>
      </c>
      <c r="E269">
        <f>'COM RESID'!A120&amp;" "&amp;'COM RESID'!B120&amp;" "&amp;'COM RESID'!C120&amp;" "&amp;'COM RESID'!D120&amp;" "&amp;'COM RESID'!E120&amp;" "&amp;'COM RESID'!F120</f>
        <v/>
      </c>
      <c r="F269">
        <f>IF(G269="MW","TJ",LEFT(G269,LEN(G269)-1))</f>
        <v/>
      </c>
      <c r="G269">
        <f>'COM RESID'!Q120</f>
        <v/>
      </c>
    </row>
    <row r="270">
      <c r="B270">
        <f>IF(_xlfn.XLOOKUP(D270,'COM RESID'!J:J,'COM RESID'!P:P)=0,"*","PRE")</f>
        <v/>
      </c>
      <c r="C270" t="inlineStr">
        <is>
          <t>CITY</t>
        </is>
      </c>
      <c r="D270">
        <f>'COM RESID'!J121</f>
        <v/>
      </c>
      <c r="E270">
        <f>'COM RESID'!A121&amp;" "&amp;'COM RESID'!B121&amp;" "&amp;'COM RESID'!C121&amp;" "&amp;'COM RESID'!D121&amp;" "&amp;'COM RESID'!E121&amp;" "&amp;'COM RESID'!F121</f>
        <v/>
      </c>
      <c r="F270">
        <f>IF(G270="MW","TJ",LEFT(G270,LEN(G270)-1))</f>
        <v/>
      </c>
      <c r="G270">
        <f>'COM RESID'!Q121</f>
        <v/>
      </c>
    </row>
    <row r="271">
      <c r="B271">
        <f>IF(_xlfn.XLOOKUP(D271,'COM RESID'!J:J,'COM RESID'!P:P)=0,"*","PRE")</f>
        <v/>
      </c>
      <c r="C271" t="inlineStr">
        <is>
          <t>CITY</t>
        </is>
      </c>
      <c r="D271">
        <f>'COM RESID'!J122</f>
        <v/>
      </c>
      <c r="E271">
        <f>'COM RESID'!A122&amp;" "&amp;'COM RESID'!B122&amp;" "&amp;'COM RESID'!C122&amp;" "&amp;'COM RESID'!D122&amp;" "&amp;'COM RESID'!E122&amp;" "&amp;'COM RESID'!F122</f>
        <v/>
      </c>
      <c r="F271">
        <f>IF(G271="MW","TJ",LEFT(G271,LEN(G271)-1))</f>
        <v/>
      </c>
      <c r="G271">
        <f>'COM RESID'!Q122</f>
        <v/>
      </c>
    </row>
    <row r="272">
      <c r="B272">
        <f>IF(_xlfn.XLOOKUP(D272,'COM RESID'!J:J,'COM RESID'!P:P)=0,"*","PRE")</f>
        <v/>
      </c>
      <c r="C272" t="inlineStr">
        <is>
          <t>CITY</t>
        </is>
      </c>
      <c r="D272">
        <f>'COM RESID'!J123</f>
        <v/>
      </c>
      <c r="E272">
        <f>'COM RESID'!A123&amp;" "&amp;'COM RESID'!B123&amp;" "&amp;'COM RESID'!C123&amp;" "&amp;'COM RESID'!D123&amp;" "&amp;'COM RESID'!E123&amp;" "&amp;'COM RESID'!F123</f>
        <v/>
      </c>
      <c r="F272">
        <f>IF(G272="MW","TJ",LEFT(G272,LEN(G272)-1))</f>
        <v/>
      </c>
      <c r="G272">
        <f>'COM RESID'!Q123</f>
        <v/>
      </c>
    </row>
    <row r="273">
      <c r="B273">
        <f>IF(_xlfn.XLOOKUP(D273,'COM RESID'!J:J,'COM RESID'!P:P)=0,"*","PRE")</f>
        <v/>
      </c>
      <c r="C273" t="inlineStr">
        <is>
          <t>CITY</t>
        </is>
      </c>
      <c r="D273">
        <f>'COM RESID'!J124</f>
        <v/>
      </c>
      <c r="E273">
        <f>'COM RESID'!A124&amp;" "&amp;'COM RESID'!B124&amp;" "&amp;'COM RESID'!C124&amp;" "&amp;'COM RESID'!D124&amp;" "&amp;'COM RESID'!E124&amp;" "&amp;'COM RESID'!F124</f>
        <v/>
      </c>
      <c r="F273">
        <f>IF(G273="MW","TJ",LEFT(G273,LEN(G273)-1))</f>
        <v/>
      </c>
      <c r="G273">
        <f>'COM RESID'!Q124</f>
        <v/>
      </c>
    </row>
    <row r="274">
      <c r="B274">
        <f>IF(_xlfn.XLOOKUP(D274,'COM RESID'!J:J,'COM RESID'!P:P)=0,"*","PRE")</f>
        <v/>
      </c>
      <c r="C274" t="inlineStr">
        <is>
          <t>CITY</t>
        </is>
      </c>
      <c r="D274">
        <f>'COM RESID'!J125</f>
        <v/>
      </c>
      <c r="E274">
        <f>'COM RESID'!A125&amp;" "&amp;'COM RESID'!B125&amp;" "&amp;'COM RESID'!C125&amp;" "&amp;'COM RESID'!D125&amp;" "&amp;'COM RESID'!E125&amp;" "&amp;'COM RESID'!F125</f>
        <v/>
      </c>
      <c r="F274">
        <f>IF(G274="MW","TJ",LEFT(G274,LEN(G274)-1))</f>
        <v/>
      </c>
      <c r="G274">
        <f>'COM RESID'!Q125</f>
        <v/>
      </c>
    </row>
    <row r="275">
      <c r="B275">
        <f>IF(_xlfn.XLOOKUP(D275,'COM RESID'!J:J,'COM RESID'!P:P)=0,"*","PRE")</f>
        <v/>
      </c>
      <c r="C275" t="inlineStr">
        <is>
          <t>CITY</t>
        </is>
      </c>
      <c r="D275">
        <f>'COM RESID'!J126</f>
        <v/>
      </c>
      <c r="E275">
        <f>'COM RESID'!A126&amp;" "&amp;'COM RESID'!B126&amp;" "&amp;'COM RESID'!C126&amp;" "&amp;'COM RESID'!D126&amp;" "&amp;'COM RESID'!E126&amp;" "&amp;'COM RESID'!F126</f>
        <v/>
      </c>
      <c r="F275">
        <f>IF(G275="MW","TJ",LEFT(G275,LEN(G275)-1))</f>
        <v/>
      </c>
      <c r="G275">
        <f>'COM RESID'!Q126</f>
        <v/>
      </c>
    </row>
    <row r="276">
      <c r="B276">
        <f>IF(_xlfn.XLOOKUP(D276,'COM RESID'!J:J,'COM RESID'!P:P)=0,"*","PRE")</f>
        <v/>
      </c>
      <c r="C276" t="inlineStr">
        <is>
          <t>CITY</t>
        </is>
      </c>
      <c r="D276">
        <f>'COM RESID'!J127</f>
        <v/>
      </c>
      <c r="E276">
        <f>'COM RESID'!A127&amp;" "&amp;'COM RESID'!B127&amp;" "&amp;'COM RESID'!C127&amp;" "&amp;'COM RESID'!D127&amp;" "&amp;'COM RESID'!E127&amp;" "&amp;'COM RESID'!F127</f>
        <v/>
      </c>
      <c r="F276">
        <f>IF(G276="MW","TJ",LEFT(G276,LEN(G276)-1))</f>
        <v/>
      </c>
      <c r="G276">
        <f>'COM RESID'!Q127</f>
        <v/>
      </c>
    </row>
    <row r="277">
      <c r="B277">
        <f>IF(_xlfn.XLOOKUP(D277,'COM RESID'!J:J,'COM RESID'!P:P)=0,"*","PRE")</f>
        <v/>
      </c>
      <c r="C277" t="inlineStr">
        <is>
          <t>CITY</t>
        </is>
      </c>
      <c r="D277">
        <f>'COM RESID'!J128</f>
        <v/>
      </c>
      <c r="E277">
        <f>'COM RESID'!A128&amp;" "&amp;'COM RESID'!B128&amp;" "&amp;'COM RESID'!C128&amp;" "&amp;'COM RESID'!D128&amp;" "&amp;'COM RESID'!E128&amp;" "&amp;'COM RESID'!F128</f>
        <v/>
      </c>
      <c r="F277">
        <f>IF(G277="MW","TJ",LEFT(G277,LEN(G277)-1))</f>
        <v/>
      </c>
      <c r="G277">
        <f>'COM RESID'!Q128</f>
        <v/>
      </c>
    </row>
    <row r="278">
      <c r="B278">
        <f>IF(_xlfn.XLOOKUP(D278,'COM RESID'!J:J,'COM RESID'!P:P)=0,"*","PRE")</f>
        <v/>
      </c>
      <c r="C278" t="inlineStr">
        <is>
          <t>CITY</t>
        </is>
      </c>
      <c r="D278">
        <f>'COM RESID'!J129</f>
        <v/>
      </c>
      <c r="E278">
        <f>'COM RESID'!A129&amp;" "&amp;'COM RESID'!B129&amp;" "&amp;'COM RESID'!C129&amp;" "&amp;'COM RESID'!D129&amp;" "&amp;'COM RESID'!E129&amp;" "&amp;'COM RESID'!F129</f>
        <v/>
      </c>
      <c r="F278">
        <f>IF(G278="MW","TJ",LEFT(G278,LEN(G278)-1))</f>
        <v/>
      </c>
      <c r="G278">
        <f>'COM RESID'!Q129</f>
        <v/>
      </c>
    </row>
    <row r="279">
      <c r="B279">
        <f>IF(_xlfn.XLOOKUP(D279,'COM RESID'!J:J,'COM RESID'!P:P)=0,"*","PRE")</f>
        <v/>
      </c>
      <c r="C279" t="inlineStr">
        <is>
          <t>CITY</t>
        </is>
      </c>
      <c r="D279">
        <f>'COM RESID'!J130</f>
        <v/>
      </c>
      <c r="E279">
        <f>'COM RESID'!A130&amp;" "&amp;'COM RESID'!B130&amp;" "&amp;'COM RESID'!C130&amp;" "&amp;'COM RESID'!D130&amp;" "&amp;'COM RESID'!E130&amp;" "&amp;'COM RESID'!F130</f>
        <v/>
      </c>
      <c r="F279">
        <f>IF(G279="MW","TJ",LEFT(G279,LEN(G279)-1))</f>
        <v/>
      </c>
      <c r="G279">
        <f>'COM RESID'!Q130</f>
        <v/>
      </c>
    </row>
    <row r="280">
      <c r="B280">
        <f>IF(_xlfn.XLOOKUP(D280,'COM RESID'!J:J,'COM RESID'!P:P)=0,"*","PRE")</f>
        <v/>
      </c>
      <c r="C280" t="inlineStr">
        <is>
          <t>CITY</t>
        </is>
      </c>
      <c r="D280">
        <f>'COM RESID'!J131</f>
        <v/>
      </c>
      <c r="E280">
        <f>'COM RESID'!A131&amp;" "&amp;'COM RESID'!B131&amp;" "&amp;'COM RESID'!C131&amp;" "&amp;'COM RESID'!D131&amp;" "&amp;'COM RESID'!E131&amp;" "&amp;'COM RESID'!F131</f>
        <v/>
      </c>
      <c r="F280">
        <f>IF(G280="MW","TJ",LEFT(G280,LEN(G280)-1))</f>
        <v/>
      </c>
      <c r="G280">
        <f>'COM RESID'!Q131</f>
        <v/>
      </c>
    </row>
    <row r="281">
      <c r="B281">
        <f>IF(_xlfn.XLOOKUP(D281,'COM RESID'!J:J,'COM RESID'!P:P)=0,"*","PRE")</f>
        <v/>
      </c>
      <c r="C281" t="inlineStr">
        <is>
          <t>CITY</t>
        </is>
      </c>
      <c r="D281">
        <f>'COM RESID'!J132</f>
        <v/>
      </c>
      <c r="E281">
        <f>'COM RESID'!A132&amp;" "&amp;'COM RESID'!B132&amp;" "&amp;'COM RESID'!C132&amp;" "&amp;'COM RESID'!D132&amp;" "&amp;'COM RESID'!E132&amp;" "&amp;'COM RESID'!F132</f>
        <v/>
      </c>
      <c r="F281">
        <f>IF(G281="MW","TJ",LEFT(G281,LEN(G281)-1))</f>
        <v/>
      </c>
      <c r="G281">
        <f>'COM RESID'!Q132</f>
        <v/>
      </c>
    </row>
    <row r="282">
      <c r="B282">
        <f>IF(_xlfn.XLOOKUP(D282,'COM RESID'!J:J,'COM RESID'!P:P)=0,"*","PRE")</f>
        <v/>
      </c>
      <c r="C282" t="inlineStr">
        <is>
          <t>CITY</t>
        </is>
      </c>
      <c r="D282">
        <f>'COM RESID'!J133</f>
        <v/>
      </c>
      <c r="E282">
        <f>'COM RESID'!A133&amp;" "&amp;'COM RESID'!B133&amp;" "&amp;'COM RESID'!C133&amp;" "&amp;'COM RESID'!D133&amp;" "&amp;'COM RESID'!E133&amp;" "&amp;'COM RESID'!F133</f>
        <v/>
      </c>
      <c r="F282">
        <f>IF(G282="MW","TJ",LEFT(G282,LEN(G282)-1))</f>
        <v/>
      </c>
      <c r="G282">
        <f>'COM RESID'!Q133</f>
        <v/>
      </c>
    </row>
    <row r="283">
      <c r="B283">
        <f>IF(_xlfn.XLOOKUP(D283,'COM RESID'!J:J,'COM RESID'!P:P)=0,"*","PRE")</f>
        <v/>
      </c>
      <c r="C283" t="inlineStr">
        <is>
          <t>CITY</t>
        </is>
      </c>
      <c r="D283">
        <f>'COM RESID'!J134</f>
        <v/>
      </c>
      <c r="E283">
        <f>'COM RESID'!A134&amp;" "&amp;'COM RESID'!B134&amp;" "&amp;'COM RESID'!C134&amp;" "&amp;'COM RESID'!D134&amp;" "&amp;'COM RESID'!E134&amp;" "&amp;'COM RESID'!F134</f>
        <v/>
      </c>
      <c r="F283">
        <f>IF(G283="MW","TJ",LEFT(G283,LEN(G283)-1))</f>
        <v/>
      </c>
      <c r="G283">
        <f>'COM RESID'!Q134</f>
        <v/>
      </c>
    </row>
    <row r="284">
      <c r="B284">
        <f>IF(_xlfn.XLOOKUP(D284,'COM RESID'!J:J,'COM RESID'!P:P)=0,"*","PRE")</f>
        <v/>
      </c>
      <c r="C284" t="inlineStr">
        <is>
          <t>CITY</t>
        </is>
      </c>
      <c r="D284">
        <f>'COM RESID'!J135</f>
        <v/>
      </c>
      <c r="E284">
        <f>'COM RESID'!A135&amp;" "&amp;'COM RESID'!B135&amp;" "&amp;'COM RESID'!C135&amp;" "&amp;'COM RESID'!D135&amp;" "&amp;'COM RESID'!E135&amp;" "&amp;'COM RESID'!F135</f>
        <v/>
      </c>
      <c r="F284">
        <f>IF(G284="MW","TJ",LEFT(G284,LEN(G284)-1))</f>
        <v/>
      </c>
      <c r="G284">
        <f>'COM RESID'!Q135</f>
        <v/>
      </c>
    </row>
    <row r="285">
      <c r="B285">
        <f>IF(_xlfn.XLOOKUP(D285,'COM RESID'!J:J,'COM RESID'!P:P)=0,"*","PRE")</f>
        <v/>
      </c>
      <c r="C285" t="inlineStr">
        <is>
          <t>CITY</t>
        </is>
      </c>
      <c r="D285">
        <f>'COM RESID'!J136</f>
        <v/>
      </c>
      <c r="E285">
        <f>'COM RESID'!A136&amp;" "&amp;'COM RESID'!B136&amp;" "&amp;'COM RESID'!C136&amp;" "&amp;'COM RESID'!D136&amp;" "&amp;'COM RESID'!E136&amp;" "&amp;'COM RESID'!F136</f>
        <v/>
      </c>
      <c r="F285">
        <f>IF(G285="MW","TJ",LEFT(G285,LEN(G285)-1))</f>
        <v/>
      </c>
      <c r="G285">
        <f>'COM RESID'!Q136</f>
        <v/>
      </c>
    </row>
    <row r="286">
      <c r="B286">
        <f>IF(_xlfn.XLOOKUP(D286,'COM RESID'!J:J,'COM RESID'!P:P)=0,"*","PRE")</f>
        <v/>
      </c>
      <c r="C286" t="inlineStr">
        <is>
          <t>CITY</t>
        </is>
      </c>
      <c r="D286">
        <f>'COM RESID'!J137</f>
        <v/>
      </c>
      <c r="E286">
        <f>'COM RESID'!A137&amp;" "&amp;'COM RESID'!B137&amp;" "&amp;'COM RESID'!C137&amp;" "&amp;'COM RESID'!D137&amp;" "&amp;'COM RESID'!E137&amp;" "&amp;'COM RESID'!F137</f>
        <v/>
      </c>
      <c r="F286">
        <f>IF(G286="MW","TJ",LEFT(G286,LEN(G286)-1))</f>
        <v/>
      </c>
      <c r="G286">
        <f>'COM RESID'!Q137</f>
        <v/>
      </c>
    </row>
    <row r="287">
      <c r="B287">
        <f>IF(_xlfn.XLOOKUP(D287,'COM RESID'!J:J,'COM RESID'!P:P)=0,"*","PRE")</f>
        <v/>
      </c>
      <c r="C287" t="inlineStr">
        <is>
          <t>CITY</t>
        </is>
      </c>
      <c r="D287">
        <f>'COM RESID'!J138</f>
        <v/>
      </c>
      <c r="E287">
        <f>'COM RESID'!A138&amp;" "&amp;'COM RESID'!B138&amp;" "&amp;'COM RESID'!C138&amp;" "&amp;'COM RESID'!D138&amp;" "&amp;'COM RESID'!E138&amp;" "&amp;'COM RESID'!F138</f>
        <v/>
      </c>
      <c r="F287">
        <f>IF(G287="MW","TJ",LEFT(G287,LEN(G287)-1))</f>
        <v/>
      </c>
      <c r="G287">
        <f>'COM RESID'!Q138</f>
        <v/>
      </c>
    </row>
    <row r="288">
      <c r="B288">
        <f>IF(_xlfn.XLOOKUP(D288,'COM RESID'!J:J,'COM RESID'!P:P)=0,"*","PRE")</f>
        <v/>
      </c>
      <c r="C288" t="inlineStr">
        <is>
          <t>CITY</t>
        </is>
      </c>
      <c r="D288">
        <f>'COM RESID'!J139</f>
        <v/>
      </c>
      <c r="E288">
        <f>'COM RESID'!A139&amp;" "&amp;'COM RESID'!B139&amp;" "&amp;'COM RESID'!C139&amp;" "&amp;'COM RESID'!D139&amp;" "&amp;'COM RESID'!E139&amp;" "&amp;'COM RESID'!F139</f>
        <v/>
      </c>
      <c r="F288">
        <f>IF(G288="MW","TJ",LEFT(G288,LEN(G288)-1))</f>
        <v/>
      </c>
      <c r="G288">
        <f>'COM RESID'!Q139</f>
        <v/>
      </c>
    </row>
    <row r="289">
      <c r="B289">
        <f>IF(_xlfn.XLOOKUP(D289,'COM RESID'!J:J,'COM RESID'!P:P)=0,"*","PRE")</f>
        <v/>
      </c>
      <c r="C289" t="inlineStr">
        <is>
          <t>CITY</t>
        </is>
      </c>
      <c r="D289">
        <f>'COM RESID'!J140</f>
        <v/>
      </c>
      <c r="E289">
        <f>'COM RESID'!A140&amp;" "&amp;'COM RESID'!B140&amp;" "&amp;'COM RESID'!C140&amp;" "&amp;'COM RESID'!D140&amp;" "&amp;'COM RESID'!E140&amp;" "&amp;'COM RESID'!F140</f>
        <v/>
      </c>
      <c r="F289">
        <f>IF(G289="MW","TJ",LEFT(G289,LEN(G289)-1))</f>
        <v/>
      </c>
      <c r="G289">
        <f>'COM RESID'!Q140</f>
        <v/>
      </c>
    </row>
    <row r="290">
      <c r="B290">
        <f>IF(_xlfn.XLOOKUP(D290,'COM RESID'!J:J,'COM RESID'!P:P)=0,"*","PRE")</f>
        <v/>
      </c>
      <c r="C290" t="inlineStr">
        <is>
          <t>CITY</t>
        </is>
      </c>
      <c r="D290">
        <f>'COM RESID'!J141</f>
        <v/>
      </c>
      <c r="E290">
        <f>'COM RESID'!A141&amp;" "&amp;'COM RESID'!B141&amp;" "&amp;'COM RESID'!C141&amp;" "&amp;'COM RESID'!D141&amp;" "&amp;'COM RESID'!E141&amp;" "&amp;'COM RESID'!F141</f>
        <v/>
      </c>
      <c r="F290">
        <f>IF(G290="MW","TJ",LEFT(G290,LEN(G290)-1))</f>
        <v/>
      </c>
      <c r="G290">
        <f>'COM RESID'!Q141</f>
        <v/>
      </c>
    </row>
    <row r="291">
      <c r="B291">
        <f>IF(_xlfn.XLOOKUP(D291,'COM RESID'!J:J,'COM RESID'!P:P)=0,"*","PRE")</f>
        <v/>
      </c>
      <c r="C291" t="inlineStr">
        <is>
          <t>CITY</t>
        </is>
      </c>
      <c r="D291">
        <f>'COM RESID'!J142</f>
        <v/>
      </c>
      <c r="E291">
        <f>'COM RESID'!A142&amp;" "&amp;'COM RESID'!B142&amp;" "&amp;'COM RESID'!C142&amp;" "&amp;'COM RESID'!D142&amp;" "&amp;'COM RESID'!E142&amp;" "&amp;'COM RESID'!F142</f>
        <v/>
      </c>
      <c r="F291">
        <f>IF(G291="MW","TJ",LEFT(G291,LEN(G291)-1))</f>
        <v/>
      </c>
      <c r="G291">
        <f>'COM RESID'!Q142</f>
        <v/>
      </c>
    </row>
    <row r="292">
      <c r="B292">
        <f>IF(_xlfn.XLOOKUP(D292,'COM RESID'!J:J,'COM RESID'!P:P)=0,"*","PRE")</f>
        <v/>
      </c>
      <c r="C292" t="inlineStr">
        <is>
          <t>CITY</t>
        </is>
      </c>
      <c r="D292">
        <f>'COM RESID'!J143</f>
        <v/>
      </c>
      <c r="E292">
        <f>'COM RESID'!A143&amp;" "&amp;'COM RESID'!B143&amp;" "&amp;'COM RESID'!C143&amp;" "&amp;'COM RESID'!D143&amp;" "&amp;'COM RESID'!E143&amp;" "&amp;'COM RESID'!F143</f>
        <v/>
      </c>
      <c r="F292">
        <f>IF(G292="MW","TJ",LEFT(G292,LEN(G292)-1))</f>
        <v/>
      </c>
      <c r="G292">
        <f>'COM RESID'!Q143</f>
        <v/>
      </c>
    </row>
    <row r="293">
      <c r="B293">
        <f>IF(_xlfn.XLOOKUP(D293,'COM RESID'!J:J,'COM RESID'!P:P)=0,"*","PRE")</f>
        <v/>
      </c>
      <c r="C293" t="inlineStr">
        <is>
          <t>CITY</t>
        </is>
      </c>
      <c r="D293">
        <f>'COM RESID'!J144</f>
        <v/>
      </c>
      <c r="E293">
        <f>'COM RESID'!A144&amp;" "&amp;'COM RESID'!B144&amp;" "&amp;'COM RESID'!C144&amp;" "&amp;'COM RESID'!D144&amp;" "&amp;'COM RESID'!E144&amp;" "&amp;'COM RESID'!F144</f>
        <v/>
      </c>
      <c r="F293">
        <f>IF(G293="MW","TJ",LEFT(G293,LEN(G293)-1))</f>
        <v/>
      </c>
      <c r="G293">
        <f>'COM RESID'!Q144</f>
        <v/>
      </c>
    </row>
    <row r="294">
      <c r="B294">
        <f>IF(_xlfn.XLOOKUP(D294,'COM RESID'!J:J,'COM RESID'!P:P)=0,"*","PRE")</f>
        <v/>
      </c>
      <c r="C294" t="inlineStr">
        <is>
          <t>CITY</t>
        </is>
      </c>
      <c r="D294">
        <f>'COM RESID'!J145</f>
        <v/>
      </c>
      <c r="E294">
        <f>'COM RESID'!A145&amp;" "&amp;'COM RESID'!B145&amp;" "&amp;'COM RESID'!C145&amp;" "&amp;'COM RESID'!D145&amp;" "&amp;'COM RESID'!E145&amp;" "&amp;'COM RESID'!F145</f>
        <v/>
      </c>
      <c r="F294">
        <f>IF(G294="MW","TJ",LEFT(G294,LEN(G294)-1))</f>
        <v/>
      </c>
      <c r="G294">
        <f>'COM RESID'!Q145</f>
        <v/>
      </c>
    </row>
    <row r="295">
      <c r="B295">
        <f>IF(_xlfn.XLOOKUP(D295,'COM RESID'!J:J,'COM RESID'!P:P)=0,"*","PRE")</f>
        <v/>
      </c>
      <c r="C295" t="inlineStr">
        <is>
          <t>CITY</t>
        </is>
      </c>
      <c r="D295">
        <f>'COM RESID'!J146</f>
        <v/>
      </c>
      <c r="E295">
        <f>'COM RESID'!A146&amp;" "&amp;'COM RESID'!B146&amp;" "&amp;'COM RESID'!C146&amp;" "&amp;'COM RESID'!D146&amp;" "&amp;'COM RESID'!E146&amp;" "&amp;'COM RESID'!F146</f>
        <v/>
      </c>
      <c r="F295">
        <f>IF(G295="MW","TJ",LEFT(G295,LEN(G295)-1))</f>
        <v/>
      </c>
      <c r="G295">
        <f>'COM RESID'!Q146</f>
        <v/>
      </c>
    </row>
    <row r="296">
      <c r="B296">
        <f>IF(_xlfn.XLOOKUP(D296,'COM RESID'!J:J,'COM RESID'!P:P)=0,"*","PRE")</f>
        <v/>
      </c>
      <c r="C296" t="inlineStr">
        <is>
          <t>CITY</t>
        </is>
      </c>
      <c r="D296">
        <f>'COM RESID'!J147</f>
        <v/>
      </c>
      <c r="E296">
        <f>'COM RESID'!A147&amp;" "&amp;'COM RESID'!B147&amp;" "&amp;'COM RESID'!C147&amp;" "&amp;'COM RESID'!D147&amp;" "&amp;'COM RESID'!E147&amp;" "&amp;'COM RESID'!F147</f>
        <v/>
      </c>
      <c r="F296">
        <f>IF(G296="MW","TJ",LEFT(G296,LEN(G296)-1))</f>
        <v/>
      </c>
      <c r="G296">
        <f>'COM RESID'!Q147</f>
        <v/>
      </c>
    </row>
    <row r="297">
      <c r="B297">
        <f>IF(_xlfn.XLOOKUP(D297,'COM RESID'!J:J,'COM RESID'!P:P)=0,"*","PRE")</f>
        <v/>
      </c>
      <c r="C297" t="inlineStr">
        <is>
          <t>CITY</t>
        </is>
      </c>
      <c r="D297">
        <f>'COM RESID'!J148</f>
        <v/>
      </c>
      <c r="E297">
        <f>'COM RESID'!A148&amp;" "&amp;'COM RESID'!B148&amp;" "&amp;'COM RESID'!C148&amp;" "&amp;'COM RESID'!D148&amp;" "&amp;'COM RESID'!E148&amp;" "&amp;'COM RESID'!F148</f>
        <v/>
      </c>
      <c r="F297">
        <f>IF(G297="MW","TJ",LEFT(G297,LEN(G297)-1))</f>
        <v/>
      </c>
      <c r="G297">
        <f>'COM RESID'!Q148</f>
        <v/>
      </c>
    </row>
    <row r="298">
      <c r="B298">
        <f>IF(_xlfn.XLOOKUP(D298,'COM RESID'!J:J,'COM RESID'!P:P)=0,"*","PRE")</f>
        <v/>
      </c>
      <c r="C298" t="inlineStr">
        <is>
          <t>CITY</t>
        </is>
      </c>
      <c r="D298">
        <f>'COM RESID'!J149</f>
        <v/>
      </c>
      <c r="E298">
        <f>'COM RESID'!A149&amp;" "&amp;'COM RESID'!B149&amp;" "&amp;'COM RESID'!C149&amp;" "&amp;'COM RESID'!D149&amp;" "&amp;'COM RESID'!E149&amp;" "&amp;'COM RESID'!F149</f>
        <v/>
      </c>
      <c r="F298">
        <f>IF(G298="MW","TJ",LEFT(G298,LEN(G298)-1))</f>
        <v/>
      </c>
      <c r="G298">
        <f>'COM RESID'!Q149</f>
        <v/>
      </c>
    </row>
    <row r="299">
      <c r="B299">
        <f>IF(_xlfn.XLOOKUP(D299,'COM RESID'!J:J,'COM RESID'!P:P)=0,"*","PRE")</f>
        <v/>
      </c>
      <c r="C299" t="inlineStr">
        <is>
          <t>CITY</t>
        </is>
      </c>
      <c r="D299">
        <f>'COM RESID'!J150</f>
        <v/>
      </c>
      <c r="E299">
        <f>'COM RESID'!A150&amp;" "&amp;'COM RESID'!B150&amp;" "&amp;'COM RESID'!C150&amp;" "&amp;'COM RESID'!D150&amp;" "&amp;'COM RESID'!E150&amp;" "&amp;'COM RESID'!F150</f>
        <v/>
      </c>
      <c r="F299">
        <f>IF(G299="MW","TJ",LEFT(G299,LEN(G299)-1))</f>
        <v/>
      </c>
      <c r="G299">
        <f>'COM RESID'!Q150</f>
        <v/>
      </c>
    </row>
    <row r="300">
      <c r="B300">
        <f>IF(_xlfn.XLOOKUP(D300,'COM RESID'!J:J,'COM RESID'!P:P)=0,"*","PRE")</f>
        <v/>
      </c>
      <c r="C300" t="inlineStr">
        <is>
          <t>CITY</t>
        </is>
      </c>
      <c r="D300">
        <f>'COM RESID'!J151</f>
        <v/>
      </c>
      <c r="E300">
        <f>'COM RESID'!A151&amp;" "&amp;'COM RESID'!B151&amp;" "&amp;'COM RESID'!C151&amp;" "&amp;'COM RESID'!D151&amp;" "&amp;'COM RESID'!E151&amp;" "&amp;'COM RESID'!F151</f>
        <v/>
      </c>
      <c r="F300">
        <f>IF(G300="MW","TJ",LEFT(G300,LEN(G300)-1))</f>
        <v/>
      </c>
      <c r="G300">
        <f>'COM RESID'!Q151</f>
        <v/>
      </c>
    </row>
    <row r="301">
      <c r="B301">
        <f>IF(_xlfn.XLOOKUP(D301,'COM RESID'!J:J,'COM RESID'!P:P)=0,"*","PRE")</f>
        <v/>
      </c>
      <c r="C301" t="inlineStr">
        <is>
          <t>CITY</t>
        </is>
      </c>
      <c r="D301">
        <f>'COM RESID'!J152</f>
        <v/>
      </c>
      <c r="E301">
        <f>'COM RESID'!A152&amp;" "&amp;'COM RESID'!B152&amp;" "&amp;'COM RESID'!C152&amp;" "&amp;'COM RESID'!D152&amp;" "&amp;'COM RESID'!E152&amp;" "&amp;'COM RESID'!F152</f>
        <v/>
      </c>
      <c r="F301">
        <f>IF(G301="MW","TJ",LEFT(G301,LEN(G301)-1))</f>
        <v/>
      </c>
      <c r="G301">
        <f>'COM RESID'!Q152</f>
        <v/>
      </c>
    </row>
    <row r="302">
      <c r="B302">
        <f>IF(_xlfn.XLOOKUP(D302,'COM RESID'!J:J,'COM RESID'!P:P)=0,"*","PRE")</f>
        <v/>
      </c>
      <c r="C302" t="inlineStr">
        <is>
          <t>CITY</t>
        </is>
      </c>
      <c r="D302">
        <f>'COM RESID'!J153</f>
        <v/>
      </c>
      <c r="E302">
        <f>'COM RESID'!A153&amp;" "&amp;'COM RESID'!B153&amp;" "&amp;'COM RESID'!C153&amp;" "&amp;'COM RESID'!D153&amp;" "&amp;'COM RESID'!E153&amp;" "&amp;'COM RESID'!F153</f>
        <v/>
      </c>
      <c r="F302">
        <f>IF(G302="MW","TJ",LEFT(G302,LEN(G302)-1))</f>
        <v/>
      </c>
      <c r="G302">
        <f>'COM RESID'!Q153</f>
        <v/>
      </c>
    </row>
    <row r="303">
      <c r="B303">
        <f>IF(_xlfn.XLOOKUP(D303,'COM RESID'!J:J,'COM RESID'!P:P)=0,"*","PRE")</f>
        <v/>
      </c>
      <c r="C303" t="inlineStr">
        <is>
          <t>CITY</t>
        </is>
      </c>
      <c r="D303">
        <f>'COM RESID'!J154</f>
        <v/>
      </c>
      <c r="E303">
        <f>'COM RESID'!A154&amp;" "&amp;'COM RESID'!B154&amp;" "&amp;'COM RESID'!C154&amp;" "&amp;'COM RESID'!D154&amp;" "&amp;'COM RESID'!E154&amp;" "&amp;'COM RESID'!F154</f>
        <v/>
      </c>
      <c r="F303">
        <f>IF(G303="MW","TJ",LEFT(G303,LEN(G303)-1))</f>
        <v/>
      </c>
      <c r="G303">
        <f>'COM RESID'!Q154</f>
        <v/>
      </c>
    </row>
    <row r="304">
      <c r="B304">
        <f>IF(_xlfn.XLOOKUP(D304,'COM RESID'!J:J,'COM RESID'!P:P)=0,"*","PRE")</f>
        <v/>
      </c>
      <c r="C304" t="inlineStr">
        <is>
          <t>CITY</t>
        </is>
      </c>
      <c r="D304">
        <f>'COM RESID'!J155</f>
        <v/>
      </c>
      <c r="E304">
        <f>'COM RESID'!A155&amp;" "&amp;'COM RESID'!B155&amp;" "&amp;'COM RESID'!C155&amp;" "&amp;'COM RESID'!D155&amp;" "&amp;'COM RESID'!E155&amp;" "&amp;'COM RESID'!F155</f>
        <v/>
      </c>
      <c r="F304">
        <f>IF(G304="MW","TJ",LEFT(G304,LEN(G304)-1))</f>
        <v/>
      </c>
      <c r="G304">
        <f>'COM RESID'!Q155</f>
        <v/>
      </c>
    </row>
    <row r="305">
      <c r="B305">
        <f>IF(_xlfn.XLOOKUP(D305,'COM RESID'!J:J,'COM RESID'!P:P)=0,"*","PRE")</f>
        <v/>
      </c>
      <c r="C305" t="inlineStr">
        <is>
          <t>CITY</t>
        </is>
      </c>
      <c r="D305">
        <f>'COM RESID'!J156</f>
        <v/>
      </c>
      <c r="E305">
        <f>'COM RESID'!A156&amp;" "&amp;'COM RESID'!B156&amp;" "&amp;'COM RESID'!C156&amp;" "&amp;'COM RESID'!D156&amp;" "&amp;'COM RESID'!E156&amp;" "&amp;'COM RESID'!F156</f>
        <v/>
      </c>
      <c r="F305">
        <f>IF(G305="MW","TJ",LEFT(G305,LEN(G305)-1))</f>
        <v/>
      </c>
      <c r="G305">
        <f>'COM RESID'!Q156</f>
        <v/>
      </c>
    </row>
    <row r="306">
      <c r="B306">
        <f>IF(_xlfn.XLOOKUP(D306,'COM RESID'!J:J,'COM RESID'!P:P)=0,"*","PRE")</f>
        <v/>
      </c>
      <c r="C306" t="inlineStr">
        <is>
          <t>CITY</t>
        </is>
      </c>
      <c r="D306">
        <f>'COM RESID'!J157</f>
        <v/>
      </c>
      <c r="E306">
        <f>'COM RESID'!A157&amp;" "&amp;'COM RESID'!B157&amp;" "&amp;'COM RESID'!C157&amp;" "&amp;'COM RESID'!D157&amp;" "&amp;'COM RESID'!E157&amp;" "&amp;'COM RESID'!F157</f>
        <v/>
      </c>
      <c r="F306">
        <f>IF(G306="MW","TJ",LEFT(G306,LEN(G306)-1))</f>
        <v/>
      </c>
      <c r="G306">
        <f>'COM RESID'!Q157</f>
        <v/>
      </c>
    </row>
    <row r="307">
      <c r="B307">
        <f>IF(_xlfn.XLOOKUP(D307,'COM RESID'!J:J,'COM RESID'!P:P)=0,"*","PRE")</f>
        <v/>
      </c>
      <c r="C307" t="inlineStr">
        <is>
          <t>CITY</t>
        </is>
      </c>
      <c r="D307">
        <f>'COM RESID'!J158</f>
        <v/>
      </c>
      <c r="E307">
        <f>'COM RESID'!A158&amp;" "&amp;'COM RESID'!B158&amp;" "&amp;'COM RESID'!C158&amp;" "&amp;'COM RESID'!D158&amp;" "&amp;'COM RESID'!E158&amp;" "&amp;'COM RESID'!F158</f>
        <v/>
      </c>
      <c r="F307">
        <f>IF(G307="MW","TJ",LEFT(G307,LEN(G307)-1))</f>
        <v/>
      </c>
      <c r="G307">
        <f>'COM RESID'!Q158</f>
        <v/>
      </c>
    </row>
    <row r="308">
      <c r="B308">
        <f>IF(_xlfn.XLOOKUP(D308,'COM RESID'!J:J,'COM RESID'!P:P)=0,"*","PRE")</f>
        <v/>
      </c>
      <c r="C308" t="inlineStr">
        <is>
          <t>CITY</t>
        </is>
      </c>
      <c r="D308">
        <f>'COM RESID'!J159</f>
        <v/>
      </c>
      <c r="E308">
        <f>'COM RESID'!A159&amp;" "&amp;'COM RESID'!B159&amp;" "&amp;'COM RESID'!C159&amp;" "&amp;'COM RESID'!D159&amp;" "&amp;'COM RESID'!E159&amp;" "&amp;'COM RESID'!F159</f>
        <v/>
      </c>
      <c r="F308">
        <f>IF(G308="MW","TJ",LEFT(G308,LEN(G308)-1))</f>
        <v/>
      </c>
      <c r="G308">
        <f>'COM RESID'!Q159</f>
        <v/>
      </c>
    </row>
    <row r="309">
      <c r="B309">
        <f>IF(_xlfn.XLOOKUP(D309,'COM RESID'!J:J,'COM RESID'!P:P)=0,"*","PRE")</f>
        <v/>
      </c>
      <c r="C309" t="inlineStr">
        <is>
          <t>CITY</t>
        </is>
      </c>
      <c r="D309">
        <f>'COM RESID'!J160</f>
        <v/>
      </c>
      <c r="E309">
        <f>'COM RESID'!A160&amp;" "&amp;'COM RESID'!B160&amp;" "&amp;'COM RESID'!C160&amp;" "&amp;'COM RESID'!D160&amp;" "&amp;'COM RESID'!E160&amp;" "&amp;'COM RESID'!F160</f>
        <v/>
      </c>
      <c r="F309">
        <f>IF(G309="MW","TJ",LEFT(G309,LEN(G309)-1))</f>
        <v/>
      </c>
      <c r="G309">
        <f>'COM RESID'!Q160</f>
        <v/>
      </c>
    </row>
    <row r="310">
      <c r="B310">
        <f>IF(_xlfn.XLOOKUP(D310,'COM RESID'!J:J,'COM RESID'!P:P)=0,"*","PRE")</f>
        <v/>
      </c>
      <c r="C310" t="inlineStr">
        <is>
          <t>CITY</t>
        </is>
      </c>
      <c r="D310">
        <f>'COM RESID'!J161</f>
        <v/>
      </c>
      <c r="E310">
        <f>'COM RESID'!A161&amp;" "&amp;'COM RESID'!B161&amp;" "&amp;'COM RESID'!C161&amp;" "&amp;'COM RESID'!D161&amp;" "&amp;'COM RESID'!E161&amp;" "&amp;'COM RESID'!F161</f>
        <v/>
      </c>
      <c r="F310">
        <f>IF(G310="MW","TJ",LEFT(G310,LEN(G310)-1))</f>
        <v/>
      </c>
      <c r="G310">
        <f>'COM RESID'!Q161</f>
        <v/>
      </c>
    </row>
    <row r="311">
      <c r="B311">
        <f>IF(_xlfn.XLOOKUP(D311,'COM RESID'!J:J,'COM RESID'!P:P)=0,"*","PRE")</f>
        <v/>
      </c>
      <c r="C311" t="inlineStr">
        <is>
          <t>CITY</t>
        </is>
      </c>
      <c r="D311">
        <f>'COM RESID'!J162</f>
        <v/>
      </c>
      <c r="E311">
        <f>'COM RESID'!A162&amp;" "&amp;'COM RESID'!B162&amp;" "&amp;'COM RESID'!C162&amp;" "&amp;'COM RESID'!D162&amp;" "&amp;'COM RESID'!E162&amp;" "&amp;'COM RESID'!F162</f>
        <v/>
      </c>
      <c r="F311">
        <f>IF(G311="MW","TJ",LEFT(G311,LEN(G311)-1))</f>
        <v/>
      </c>
      <c r="G311">
        <f>'COM RESID'!Q162</f>
        <v/>
      </c>
    </row>
    <row r="312">
      <c r="B312">
        <f>IF(_xlfn.XLOOKUP(D312,'COM RESID'!J:J,'COM RESID'!P:P)=0,"*","PRE")</f>
        <v/>
      </c>
      <c r="C312" t="inlineStr">
        <is>
          <t>CITY</t>
        </is>
      </c>
      <c r="D312">
        <f>'COM RESID'!J163</f>
        <v/>
      </c>
      <c r="E312">
        <f>'COM RESID'!A163&amp;" "&amp;'COM RESID'!B163&amp;" "&amp;'COM RESID'!C163&amp;" "&amp;'COM RESID'!D163&amp;" "&amp;'COM RESID'!E163&amp;" "&amp;'COM RESID'!F163</f>
        <v/>
      </c>
      <c r="F312">
        <f>IF(G312="MW","TJ",LEFT(G312,LEN(G312)-1))</f>
        <v/>
      </c>
      <c r="G312">
        <f>'COM RESID'!Q163</f>
        <v/>
      </c>
    </row>
    <row r="313">
      <c r="B313">
        <f>IF(_xlfn.XLOOKUP(D313,'COM RESID'!J:J,'COM RESID'!P:P)=0,"*","PRE")</f>
        <v/>
      </c>
      <c r="C313" t="inlineStr">
        <is>
          <t>CITY</t>
        </is>
      </c>
      <c r="D313">
        <f>'COM RESID'!J164</f>
        <v/>
      </c>
      <c r="E313">
        <f>'COM RESID'!A164&amp;" "&amp;'COM RESID'!B164&amp;" "&amp;'COM RESID'!C164&amp;" "&amp;'COM RESID'!D164&amp;" "&amp;'COM RESID'!E164&amp;" "&amp;'COM RESID'!F164</f>
        <v/>
      </c>
      <c r="F313">
        <f>IF(G313="MW","TJ",LEFT(G313,LEN(G313)-1))</f>
        <v/>
      </c>
      <c r="G313">
        <f>'COM RESID'!Q164</f>
        <v/>
      </c>
    </row>
    <row r="314">
      <c r="B314">
        <f>IF(_xlfn.XLOOKUP(D314,'COM RESID'!J:J,'COM RESID'!P:P)=0,"*","PRE")</f>
        <v/>
      </c>
      <c r="C314" t="inlineStr">
        <is>
          <t>CITY</t>
        </is>
      </c>
      <c r="D314">
        <f>'COM RESID'!J165</f>
        <v/>
      </c>
      <c r="E314">
        <f>'COM RESID'!A165&amp;" "&amp;'COM RESID'!B165&amp;" "&amp;'COM RESID'!C165&amp;" "&amp;'COM RESID'!D165&amp;" "&amp;'COM RESID'!E165&amp;" "&amp;'COM RESID'!F165</f>
        <v/>
      </c>
      <c r="F314">
        <f>IF(G314="MW","TJ",LEFT(G314,LEN(G314)-1))</f>
        <v/>
      </c>
      <c r="G314">
        <f>'COM RESID'!Q165</f>
        <v/>
      </c>
    </row>
    <row r="315">
      <c r="B315">
        <f>IF(_xlfn.XLOOKUP(D315,'COM RESID'!J:J,'COM RESID'!P:P)=0,"*","PRE")</f>
        <v/>
      </c>
      <c r="C315" t="inlineStr">
        <is>
          <t>CITY</t>
        </is>
      </c>
      <c r="D315">
        <f>'COM RESID'!J166</f>
        <v/>
      </c>
      <c r="E315">
        <f>'COM RESID'!A166&amp;" "&amp;'COM RESID'!B166&amp;" "&amp;'COM RESID'!C166&amp;" "&amp;'COM RESID'!D166&amp;" "&amp;'COM RESID'!E166&amp;" "&amp;'COM RESID'!F166</f>
        <v/>
      </c>
      <c r="F315">
        <f>IF(G315="MW","TJ",LEFT(G315,LEN(G315)-1))</f>
        <v/>
      </c>
      <c r="G315">
        <f>'COM RESID'!Q166</f>
        <v/>
      </c>
    </row>
    <row r="316">
      <c r="B316">
        <f>IF(_xlfn.XLOOKUP(D316,'COM RESID'!J:J,'COM RESID'!P:P)=0,"*","PRE")</f>
        <v/>
      </c>
      <c r="C316" t="inlineStr">
        <is>
          <t>CITY</t>
        </is>
      </c>
      <c r="D316">
        <f>'COM RESID'!J167</f>
        <v/>
      </c>
      <c r="E316">
        <f>'COM RESID'!A167&amp;" "&amp;'COM RESID'!B167&amp;" "&amp;'COM RESID'!C167&amp;" "&amp;'COM RESID'!D167&amp;" "&amp;'COM RESID'!E167&amp;" "&amp;'COM RESID'!F167</f>
        <v/>
      </c>
      <c r="F316">
        <f>IF(G316="MW","TJ",LEFT(G316,LEN(G316)-1))</f>
        <v/>
      </c>
      <c r="G316">
        <f>'COM RESID'!Q167</f>
        <v/>
      </c>
    </row>
    <row r="317">
      <c r="B317">
        <f>IF(_xlfn.XLOOKUP(D317,'COM RESID'!J:J,'COM RESID'!P:P)=0,"*","PRE")</f>
        <v/>
      </c>
      <c r="C317" t="inlineStr">
        <is>
          <t>CITY</t>
        </is>
      </c>
      <c r="D317">
        <f>'COM RESID'!J168</f>
        <v/>
      </c>
      <c r="E317">
        <f>'COM RESID'!A168&amp;" "&amp;'COM RESID'!B168&amp;" "&amp;'COM RESID'!C168&amp;" "&amp;'COM RESID'!D168&amp;" "&amp;'COM RESID'!E168&amp;" "&amp;'COM RESID'!F168</f>
        <v/>
      </c>
      <c r="F317">
        <f>IF(G317="MW","TJ",LEFT(G317,LEN(G317)-1))</f>
        <v/>
      </c>
      <c r="G317">
        <f>'COM RESID'!Q168</f>
        <v/>
      </c>
    </row>
    <row r="318">
      <c r="B318">
        <f>IF(_xlfn.XLOOKUP(D318,'COM RESID'!J:J,'COM RESID'!P:P)=0,"*","PRE")</f>
        <v/>
      </c>
      <c r="C318" t="inlineStr">
        <is>
          <t>CITY</t>
        </is>
      </c>
      <c r="D318">
        <f>'COM RESID'!J169</f>
        <v/>
      </c>
      <c r="E318">
        <f>'COM RESID'!A169&amp;" "&amp;'COM RESID'!B169&amp;" "&amp;'COM RESID'!C169&amp;" "&amp;'COM RESID'!D169&amp;" "&amp;'COM RESID'!E169&amp;" "&amp;'COM RESID'!F169</f>
        <v/>
      </c>
      <c r="F318">
        <f>IF(G318="MW","TJ",LEFT(G318,LEN(G318)-1))</f>
        <v/>
      </c>
      <c r="G318">
        <f>'COM RESID'!Q169</f>
        <v/>
      </c>
    </row>
    <row r="319">
      <c r="B319">
        <f>IF(_xlfn.XLOOKUP(D319,'COM RESID'!J:J,'COM RESID'!P:P)=0,"*","PRE")</f>
        <v/>
      </c>
      <c r="C319" t="inlineStr">
        <is>
          <t>CITY</t>
        </is>
      </c>
      <c r="D319">
        <f>'COM RESID'!J170</f>
        <v/>
      </c>
      <c r="E319">
        <f>'COM RESID'!A170&amp;" "&amp;'COM RESID'!B170&amp;" "&amp;'COM RESID'!C170&amp;" "&amp;'COM RESID'!D170&amp;" "&amp;'COM RESID'!E170&amp;" "&amp;'COM RESID'!F170</f>
        <v/>
      </c>
      <c r="F319">
        <f>IF(G319="MW","TJ",LEFT(G319,LEN(G319)-1))</f>
        <v/>
      </c>
      <c r="G319">
        <f>'COM RESID'!Q170</f>
        <v/>
      </c>
    </row>
    <row r="320">
      <c r="B320">
        <f>IF(_xlfn.XLOOKUP(D320,'COM RESID'!J:J,'COM RESID'!P:P)=0,"*","PRE")</f>
        <v/>
      </c>
      <c r="C320" t="inlineStr">
        <is>
          <t>CITY</t>
        </is>
      </c>
      <c r="D320">
        <f>'COM RESID'!J171</f>
        <v/>
      </c>
      <c r="E320">
        <f>'COM RESID'!A171&amp;" "&amp;'COM RESID'!B171&amp;" "&amp;'COM RESID'!C171&amp;" "&amp;'COM RESID'!D171&amp;" "&amp;'COM RESID'!E171&amp;" "&amp;'COM RESID'!F171</f>
        <v/>
      </c>
      <c r="F320">
        <f>IF(G320="MW","TJ",LEFT(G320,LEN(G320)-1))</f>
        <v/>
      </c>
      <c r="G320">
        <f>'COM RESID'!Q171</f>
        <v/>
      </c>
    </row>
    <row r="321">
      <c r="B321">
        <f>IF(_xlfn.XLOOKUP(D321,'COM RESID'!J:J,'COM RESID'!P:P)=0,"*","PRE")</f>
        <v/>
      </c>
      <c r="C321" t="inlineStr">
        <is>
          <t>CITY</t>
        </is>
      </c>
      <c r="D321">
        <f>'COM RESID'!J172</f>
        <v/>
      </c>
      <c r="E321">
        <f>'COM RESID'!A172&amp;" "&amp;'COM RESID'!B172&amp;" "&amp;'COM RESID'!C172&amp;" "&amp;'COM RESID'!D172&amp;" "&amp;'COM RESID'!E172&amp;" "&amp;'COM RESID'!F172</f>
        <v/>
      </c>
      <c r="F321">
        <f>IF(G321="MW","TJ",LEFT(G321,LEN(G321)-1))</f>
        <v/>
      </c>
      <c r="G321">
        <f>'COM RESID'!Q172</f>
        <v/>
      </c>
    </row>
    <row r="322">
      <c r="B322">
        <f>IF(_xlfn.XLOOKUP(D322,'COM RESID'!J:J,'COM RESID'!P:P)=0,"*","PRE")</f>
        <v/>
      </c>
      <c r="C322" t="inlineStr">
        <is>
          <t>CITY</t>
        </is>
      </c>
      <c r="D322">
        <f>'COM RESID'!J173</f>
        <v/>
      </c>
      <c r="E322">
        <f>'COM RESID'!A173&amp;" "&amp;'COM RESID'!B173&amp;" "&amp;'COM RESID'!C173&amp;" "&amp;'COM RESID'!D173&amp;" "&amp;'COM RESID'!E173&amp;" "&amp;'COM RESID'!F173</f>
        <v/>
      </c>
      <c r="F322">
        <f>IF(G322="MW","TJ",LEFT(G322,LEN(G322)-1))</f>
        <v/>
      </c>
      <c r="G322">
        <f>'COM RESID'!Q173</f>
        <v/>
      </c>
    </row>
    <row r="323">
      <c r="B323">
        <f>IF(_xlfn.XLOOKUP(D323,'COM RESID'!J:J,'COM RESID'!P:P)=0,"*","PRE")</f>
        <v/>
      </c>
      <c r="C323" t="inlineStr">
        <is>
          <t>CITY</t>
        </is>
      </c>
      <c r="D323">
        <f>'COM RESID'!J174</f>
        <v/>
      </c>
      <c r="E323">
        <f>'COM RESID'!A174&amp;" "&amp;'COM RESID'!B174&amp;" "&amp;'COM RESID'!C174&amp;" "&amp;'COM RESID'!D174&amp;" "&amp;'COM RESID'!E174&amp;" "&amp;'COM RESID'!F174</f>
        <v/>
      </c>
      <c r="F323">
        <f>IF(G323="MW","TJ",LEFT(G323,LEN(G323)-1))</f>
        <v/>
      </c>
      <c r="G323">
        <f>'COM RESID'!Q174</f>
        <v/>
      </c>
    </row>
    <row r="324">
      <c r="B324">
        <f>IF(_xlfn.XLOOKUP(D324,'COM RESID'!J:J,'COM RESID'!P:P)=0,"*","PRE")</f>
        <v/>
      </c>
      <c r="C324" t="inlineStr">
        <is>
          <t>CITY</t>
        </is>
      </c>
      <c r="D324">
        <f>'COM RESID'!J175</f>
        <v/>
      </c>
      <c r="E324">
        <f>'COM RESID'!A175&amp;" "&amp;'COM RESID'!B175&amp;" "&amp;'COM RESID'!C175&amp;" "&amp;'COM RESID'!D175&amp;" "&amp;'COM RESID'!E175&amp;" "&amp;'COM RESID'!F175</f>
        <v/>
      </c>
      <c r="F324">
        <f>IF(G324="MW","TJ",LEFT(G324,LEN(G324)-1))</f>
        <v/>
      </c>
      <c r="G324">
        <f>'COM RESID'!Q175</f>
        <v/>
      </c>
    </row>
    <row r="325">
      <c r="B325">
        <f>IF(_xlfn.XLOOKUP(D325,'COM RESID'!J:J,'COM RESID'!P:P)=0,"*","PRE")</f>
        <v/>
      </c>
      <c r="C325" t="inlineStr">
        <is>
          <t>CITY</t>
        </is>
      </c>
      <c r="D325">
        <f>'COM RESID'!J176</f>
        <v/>
      </c>
      <c r="E325">
        <f>'COM RESID'!A176&amp;" "&amp;'COM RESID'!B176&amp;" "&amp;'COM RESID'!C176&amp;" "&amp;'COM RESID'!D176&amp;" "&amp;'COM RESID'!E176&amp;" "&amp;'COM RESID'!F176</f>
        <v/>
      </c>
      <c r="F325">
        <f>IF(G325="MW","TJ",LEFT(G325,LEN(G325)-1))</f>
        <v/>
      </c>
      <c r="G325">
        <f>'COM RESID'!Q176</f>
        <v/>
      </c>
    </row>
    <row r="326">
      <c r="B326">
        <f>IF(_xlfn.XLOOKUP(D326,'COM RESID'!J:J,'COM RESID'!P:P)=0,"*","PRE")</f>
        <v/>
      </c>
      <c r="C326" t="inlineStr">
        <is>
          <t>CITY</t>
        </is>
      </c>
      <c r="D326">
        <f>'COM RESID'!J177</f>
        <v/>
      </c>
      <c r="E326">
        <f>'COM RESID'!A177&amp;" "&amp;'COM RESID'!B177&amp;" "&amp;'COM RESID'!C177&amp;" "&amp;'COM RESID'!D177&amp;" "&amp;'COM RESID'!E177&amp;" "&amp;'COM RESID'!F177</f>
        <v/>
      </c>
      <c r="F326">
        <f>IF(G326="MW","TJ",LEFT(G326,LEN(G326)-1))</f>
        <v/>
      </c>
      <c r="G326">
        <f>'COM RESID'!Q177</f>
        <v/>
      </c>
    </row>
    <row r="327">
      <c r="B327">
        <f>IF(_xlfn.XLOOKUP(D327,'COM RESID'!J:J,'COM RESID'!P:P)=0,"*","PRE")</f>
        <v/>
      </c>
      <c r="C327" t="inlineStr">
        <is>
          <t>CITY</t>
        </is>
      </c>
      <c r="D327">
        <f>'COM RESID'!J178</f>
        <v/>
      </c>
      <c r="E327">
        <f>'COM RESID'!A178&amp;" "&amp;'COM RESID'!B178&amp;" "&amp;'COM RESID'!C178&amp;" "&amp;'COM RESID'!D178&amp;" "&amp;'COM RESID'!E178&amp;" "&amp;'COM RESID'!F178</f>
        <v/>
      </c>
      <c r="F327">
        <f>IF(G327="MW","TJ",LEFT(G327,LEN(G327)-1))</f>
        <v/>
      </c>
      <c r="G327">
        <f>'COM RESID'!Q178</f>
        <v/>
      </c>
    </row>
    <row r="328">
      <c r="B328">
        <f>IF(_xlfn.XLOOKUP(D328,'COM RESID'!J:J,'COM RESID'!P:P)=0,"*","PRE")</f>
        <v/>
      </c>
      <c r="C328" t="inlineStr">
        <is>
          <t>CITY</t>
        </is>
      </c>
      <c r="D328">
        <f>'COM RESID'!J179</f>
        <v/>
      </c>
      <c r="E328">
        <f>'COM RESID'!A179&amp;" "&amp;'COM RESID'!B179&amp;" "&amp;'COM RESID'!C179&amp;" "&amp;'COM RESID'!D179&amp;" "&amp;'COM RESID'!E179&amp;" "&amp;'COM RESID'!F179</f>
        <v/>
      </c>
      <c r="F328">
        <f>IF(G328="MW","TJ",LEFT(G328,LEN(G328)-1))</f>
        <v/>
      </c>
      <c r="G328">
        <f>'COM RESID'!Q179</f>
        <v/>
      </c>
    </row>
    <row r="329">
      <c r="B329">
        <f>IF(_xlfn.XLOOKUP(D329,'COM RESID'!J:J,'COM RESID'!P:P)=0,"*","PRE")</f>
        <v/>
      </c>
      <c r="C329" t="inlineStr">
        <is>
          <t>CITY</t>
        </is>
      </c>
      <c r="D329">
        <f>'COM RESID'!J180</f>
        <v/>
      </c>
      <c r="E329">
        <f>'COM RESID'!A180&amp;" "&amp;'COM RESID'!B180&amp;" "&amp;'COM RESID'!C180&amp;" "&amp;'COM RESID'!D180&amp;" "&amp;'COM RESID'!E180&amp;" "&amp;'COM RESID'!F180</f>
        <v/>
      </c>
      <c r="F329">
        <f>IF(G329="MW","TJ",LEFT(G329,LEN(G329)-1))</f>
        <v/>
      </c>
      <c r="G329">
        <f>'COM RESID'!Q180</f>
        <v/>
      </c>
    </row>
    <row r="330">
      <c r="B330">
        <f>IF(_xlfn.XLOOKUP(D330,'COM RESID'!J:J,'COM RESID'!P:P)=0,"*","PRE")</f>
        <v/>
      </c>
      <c r="C330" t="inlineStr">
        <is>
          <t>CITY</t>
        </is>
      </c>
      <c r="D330">
        <f>'COM RESID'!J181</f>
        <v/>
      </c>
      <c r="E330">
        <f>'COM RESID'!A181&amp;" "&amp;'COM RESID'!B181&amp;" "&amp;'COM RESID'!C181&amp;" "&amp;'COM RESID'!D181&amp;" "&amp;'COM RESID'!E181&amp;" "&amp;'COM RESID'!F181</f>
        <v/>
      </c>
      <c r="F330">
        <f>IF(G330="MW","TJ",LEFT(G330,LEN(G330)-1))</f>
        <v/>
      </c>
      <c r="G330">
        <f>'COM RESID'!Q181</f>
        <v/>
      </c>
    </row>
    <row r="331">
      <c r="B331">
        <f>IF(_xlfn.XLOOKUP(D331,'COM RESID'!J:J,'COM RESID'!P:P)=0,"*","PRE")</f>
        <v/>
      </c>
      <c r="C331" t="inlineStr">
        <is>
          <t>CITY</t>
        </is>
      </c>
      <c r="D331">
        <f>'COM RESID'!J182</f>
        <v/>
      </c>
      <c r="E331">
        <f>'COM RESID'!A182&amp;" "&amp;'COM RESID'!B182&amp;" "&amp;'COM RESID'!C182&amp;" "&amp;'COM RESID'!D182&amp;" "&amp;'COM RESID'!E182&amp;" "&amp;'COM RESID'!F182</f>
        <v/>
      </c>
      <c r="F331">
        <f>IF(G331="MW","TJ",LEFT(G331,LEN(G331)-1))</f>
        <v/>
      </c>
      <c r="G331">
        <f>'COM RESID'!Q182</f>
        <v/>
      </c>
    </row>
    <row r="332">
      <c r="B332">
        <f>IF(_xlfn.XLOOKUP(D332,'COM RESID'!J:J,'COM RESID'!P:P)=0,"*","PRE")</f>
        <v/>
      </c>
      <c r="C332" t="inlineStr">
        <is>
          <t>CITY</t>
        </is>
      </c>
      <c r="D332">
        <f>'COM RESID'!J183</f>
        <v/>
      </c>
      <c r="E332">
        <f>'COM RESID'!A183&amp;" "&amp;'COM RESID'!B183&amp;" "&amp;'COM RESID'!C183&amp;" "&amp;'COM RESID'!D183&amp;" "&amp;'COM RESID'!E183&amp;" "&amp;'COM RESID'!F183</f>
        <v/>
      </c>
      <c r="F332">
        <f>IF(G332="MW","TJ",LEFT(G332,LEN(G332)-1))</f>
        <v/>
      </c>
      <c r="G332">
        <f>'COM RESID'!Q183</f>
        <v/>
      </c>
    </row>
    <row r="333">
      <c r="B333">
        <f>IF(_xlfn.XLOOKUP(D333,'COM RESID'!J:J,'COM RESID'!P:P)=0,"*","PRE")</f>
        <v/>
      </c>
      <c r="C333" t="inlineStr">
        <is>
          <t>CITY</t>
        </is>
      </c>
      <c r="D333">
        <f>'COM RESID'!J184</f>
        <v/>
      </c>
      <c r="E333">
        <f>'COM RESID'!A184&amp;" "&amp;'COM RESID'!B184&amp;" "&amp;'COM RESID'!C184&amp;" "&amp;'COM RESID'!D184&amp;" "&amp;'COM RESID'!E184&amp;" "&amp;'COM RESID'!F184</f>
        <v/>
      </c>
      <c r="F333">
        <f>IF(G333="MW","TJ",LEFT(G333,LEN(G333)-1))</f>
        <v/>
      </c>
      <c r="G333">
        <f>'COM RESID'!Q184</f>
        <v/>
      </c>
    </row>
    <row r="334">
      <c r="B334">
        <f>IF(_xlfn.XLOOKUP(D334,'COM RESID'!J:J,'COM RESID'!P:P)=0,"*","PRE")</f>
        <v/>
      </c>
      <c r="C334" t="inlineStr">
        <is>
          <t>CITY</t>
        </is>
      </c>
      <c r="D334">
        <f>'COM RESID'!J185</f>
        <v/>
      </c>
      <c r="E334">
        <f>'COM RESID'!A185&amp;" "&amp;'COM RESID'!B185&amp;" "&amp;'COM RESID'!C185&amp;" "&amp;'COM RESID'!D185&amp;" "&amp;'COM RESID'!E185&amp;" "&amp;'COM RESID'!F185</f>
        <v/>
      </c>
      <c r="F334">
        <f>IF(G334="MW","TJ",LEFT(G334,LEN(G334)-1))</f>
        <v/>
      </c>
      <c r="G334">
        <f>'COM RESID'!Q185</f>
        <v/>
      </c>
    </row>
    <row r="335">
      <c r="B335">
        <f>IF(_xlfn.XLOOKUP(D335,'COM RESID'!J:J,'COM RESID'!P:P)=0,"*","PRE")</f>
        <v/>
      </c>
      <c r="C335" t="inlineStr">
        <is>
          <t>CITY</t>
        </is>
      </c>
      <c r="D335">
        <f>'COM RESID'!J186</f>
        <v/>
      </c>
      <c r="E335">
        <f>'COM RESID'!A186&amp;" "&amp;'COM RESID'!B186&amp;" "&amp;'COM RESID'!C186&amp;" "&amp;'COM RESID'!D186&amp;" "&amp;'COM RESID'!E186&amp;" "&amp;'COM RESID'!F186</f>
        <v/>
      </c>
      <c r="F335">
        <f>IF(G335="MW","TJ",LEFT(G335,LEN(G335)-1))</f>
        <v/>
      </c>
      <c r="G335">
        <f>'COM RESID'!Q186</f>
        <v/>
      </c>
    </row>
    <row r="336">
      <c r="B336">
        <f>IF(_xlfn.XLOOKUP(D336,'COM RESID'!J:J,'COM RESID'!P:P)=0,"*","PRE")</f>
        <v/>
      </c>
      <c r="C336" t="inlineStr">
        <is>
          <t>CITY</t>
        </is>
      </c>
      <c r="D336">
        <f>'COM RESID'!J187</f>
        <v/>
      </c>
      <c r="E336">
        <f>'COM RESID'!A187&amp;" "&amp;'COM RESID'!B187&amp;" "&amp;'COM RESID'!C187&amp;" "&amp;'COM RESID'!D187&amp;" "&amp;'COM RESID'!E187&amp;" "&amp;'COM RESID'!F187</f>
        <v/>
      </c>
      <c r="F336">
        <f>IF(G336="MW","TJ",LEFT(G336,LEN(G336)-1))</f>
        <v/>
      </c>
      <c r="G336">
        <f>'COM RESID'!Q187</f>
        <v/>
      </c>
    </row>
    <row r="337">
      <c r="B337">
        <f>IF(_xlfn.XLOOKUP(D337,'COM RESID'!J:J,'COM RESID'!P:P)=0,"*","PRE")</f>
        <v/>
      </c>
      <c r="C337" t="inlineStr">
        <is>
          <t>CITY</t>
        </is>
      </c>
      <c r="D337">
        <f>'COM RESID'!J188</f>
        <v/>
      </c>
      <c r="E337">
        <f>'COM RESID'!A188&amp;" "&amp;'COM RESID'!B188&amp;" "&amp;'COM RESID'!C188&amp;" "&amp;'COM RESID'!D188&amp;" "&amp;'COM RESID'!E188&amp;" "&amp;'COM RESID'!F188</f>
        <v/>
      </c>
      <c r="F337">
        <f>IF(G337="MW","TJ",LEFT(G337,LEN(G337)-1))</f>
        <v/>
      </c>
      <c r="G337">
        <f>'COM RESID'!Q188</f>
        <v/>
      </c>
    </row>
    <row r="338">
      <c r="B338">
        <f>IF(_xlfn.XLOOKUP(D338,'COM RESID'!J:J,'COM RESID'!P:P)=0,"*","PRE")</f>
        <v/>
      </c>
      <c r="C338" t="inlineStr">
        <is>
          <t>CITY</t>
        </is>
      </c>
      <c r="D338">
        <f>'COM RESID'!J189</f>
        <v/>
      </c>
      <c r="E338">
        <f>'COM RESID'!A189&amp;" "&amp;'COM RESID'!B189&amp;" "&amp;'COM RESID'!C189&amp;" "&amp;'COM RESID'!D189&amp;" "&amp;'COM RESID'!E189&amp;" "&amp;'COM RESID'!F189</f>
        <v/>
      </c>
      <c r="F338">
        <f>IF(G338="MW","TJ",LEFT(G338,LEN(G338)-1))</f>
        <v/>
      </c>
      <c r="G338">
        <f>'COM RESID'!Q189</f>
        <v/>
      </c>
    </row>
    <row r="339">
      <c r="B339">
        <f>IF(_xlfn.XLOOKUP(D339,'COM RESID'!J:J,'COM RESID'!P:P)=0,"*","PRE")</f>
        <v/>
      </c>
      <c r="C339" t="inlineStr">
        <is>
          <t>CITY</t>
        </is>
      </c>
      <c r="D339">
        <f>'COM RESID'!J190</f>
        <v/>
      </c>
      <c r="E339">
        <f>'COM RESID'!A190&amp;" "&amp;'COM RESID'!B190&amp;" "&amp;'COM RESID'!C190&amp;" "&amp;'COM RESID'!D190&amp;" "&amp;'COM RESID'!E190&amp;" "&amp;'COM RESID'!F190</f>
        <v/>
      </c>
      <c r="F339">
        <f>IF(G339="MW","TJ",LEFT(G339,LEN(G339)-1))</f>
        <v/>
      </c>
      <c r="G339">
        <f>'COM RESID'!Q190</f>
        <v/>
      </c>
    </row>
    <row r="340">
      <c r="B340">
        <f>IF(_xlfn.XLOOKUP(D340,'COM RESID'!J:J,'COM RESID'!P:P)=0,"*","PRE")</f>
        <v/>
      </c>
      <c r="C340" t="inlineStr">
        <is>
          <t>CITY</t>
        </is>
      </c>
      <c r="D340">
        <f>'COM RESID'!J191</f>
        <v/>
      </c>
      <c r="E340">
        <f>'COM RESID'!A191&amp;" "&amp;'COM RESID'!B191&amp;" "&amp;'COM RESID'!C191&amp;" "&amp;'COM RESID'!D191&amp;" "&amp;'COM RESID'!E191&amp;" "&amp;'COM RESID'!F191</f>
        <v/>
      </c>
      <c r="F340">
        <f>IF(G340="MW","TJ",LEFT(G340,LEN(G340)-1))</f>
        <v/>
      </c>
      <c r="G340">
        <f>'COM RESID'!Q191</f>
        <v/>
      </c>
    </row>
    <row r="341">
      <c r="B341">
        <f>IF(_xlfn.XLOOKUP(D341,'COM RESID'!J:J,'COM RESID'!P:P)=0,"*","PRE")</f>
        <v/>
      </c>
      <c r="C341" t="inlineStr">
        <is>
          <t>CITY</t>
        </is>
      </c>
      <c r="D341">
        <f>'COM RESID'!J192</f>
        <v/>
      </c>
      <c r="E341">
        <f>'COM RESID'!A192&amp;" "&amp;'COM RESID'!B192&amp;" "&amp;'COM RESID'!C192&amp;" "&amp;'COM RESID'!D192&amp;" "&amp;'COM RESID'!E192&amp;" "&amp;'COM RESID'!F192</f>
        <v/>
      </c>
      <c r="F341">
        <f>IF(G341="MW","TJ",LEFT(G341,LEN(G341)-1))</f>
        <v/>
      </c>
      <c r="G341">
        <f>'COM RESID'!Q192</f>
        <v/>
      </c>
    </row>
    <row r="342">
      <c r="B342">
        <f>IF(_xlfn.XLOOKUP(D342,'COM RESID'!J:J,'COM RESID'!P:P)=0,"*","PRE")</f>
        <v/>
      </c>
      <c r="C342" t="inlineStr">
        <is>
          <t>CITY</t>
        </is>
      </c>
      <c r="D342">
        <f>'COM RESID'!J193</f>
        <v/>
      </c>
      <c r="E342">
        <f>'COM RESID'!A193&amp;" "&amp;'COM RESID'!B193&amp;" "&amp;'COM RESID'!C193&amp;" "&amp;'COM RESID'!D193&amp;" "&amp;'COM RESID'!E193&amp;" "&amp;'COM RESID'!F193</f>
        <v/>
      </c>
      <c r="F342">
        <f>IF(G342="MW","TJ",LEFT(G342,LEN(G342)-1))</f>
        <v/>
      </c>
      <c r="G342">
        <f>'COM RESID'!Q193</f>
        <v/>
      </c>
    </row>
    <row r="343">
      <c r="B343">
        <f>IF(_xlfn.XLOOKUP(D343,'COM RESID'!J:J,'COM RESID'!P:P)=0,"*","PRE")</f>
        <v/>
      </c>
      <c r="C343" t="inlineStr">
        <is>
          <t>CITY</t>
        </is>
      </c>
      <c r="D343">
        <f>'COM RESID'!J194</f>
        <v/>
      </c>
      <c r="E343">
        <f>'COM RESID'!A194&amp;" "&amp;'COM RESID'!B194&amp;" "&amp;'COM RESID'!C194&amp;" "&amp;'COM RESID'!D194&amp;" "&amp;'COM RESID'!E194&amp;" "&amp;'COM RESID'!F194</f>
        <v/>
      </c>
      <c r="F343">
        <f>IF(G343="MW","TJ",LEFT(G343,LEN(G343)-1))</f>
        <v/>
      </c>
      <c r="G343">
        <f>'COM RESID'!Q194</f>
        <v/>
      </c>
    </row>
    <row r="344">
      <c r="B344">
        <f>IF(_xlfn.XLOOKUP(D344,'COM RESID'!J:J,'COM RESID'!P:P)=0,"*","PRE")</f>
        <v/>
      </c>
      <c r="C344" t="inlineStr">
        <is>
          <t>CITY</t>
        </is>
      </c>
      <c r="D344">
        <f>'COM RESID'!J195</f>
        <v/>
      </c>
      <c r="E344">
        <f>'COM RESID'!A195&amp;" "&amp;'COM RESID'!B195&amp;" "&amp;'COM RESID'!C195&amp;" "&amp;'COM RESID'!D195&amp;" "&amp;'COM RESID'!E195&amp;" "&amp;'COM RESID'!F195</f>
        <v/>
      </c>
      <c r="F344">
        <f>IF(G344="MW","TJ",LEFT(G344,LEN(G344)-1))</f>
        <v/>
      </c>
      <c r="G344">
        <f>'COM RESID'!Q195</f>
        <v/>
      </c>
    </row>
    <row r="345">
      <c r="B345">
        <f>IF(_xlfn.XLOOKUP(D345,'COM RESID'!J:J,'COM RESID'!P:P)=0,"*","PRE")</f>
        <v/>
      </c>
      <c r="C345" t="inlineStr">
        <is>
          <t>CITY</t>
        </is>
      </c>
      <c r="D345">
        <f>'COM RESID'!J196</f>
        <v/>
      </c>
      <c r="E345">
        <f>'COM RESID'!A196&amp;" "&amp;'COM RESID'!B196&amp;" "&amp;'COM RESID'!C196&amp;" "&amp;'COM RESID'!D196&amp;" "&amp;'COM RESID'!E196&amp;" "&amp;'COM RESID'!F196</f>
        <v/>
      </c>
      <c r="F345">
        <f>IF(G345="MW","TJ",LEFT(G345,LEN(G345)-1))</f>
        <v/>
      </c>
      <c r="G345">
        <f>'COM RESID'!Q196</f>
        <v/>
      </c>
    </row>
    <row r="346">
      <c r="B346">
        <f>IF(_xlfn.XLOOKUP(D346,'COM RESID'!J:J,'COM RESID'!P:P)=0,"*","PRE")</f>
        <v/>
      </c>
      <c r="C346" t="inlineStr">
        <is>
          <t>CITY</t>
        </is>
      </c>
      <c r="D346">
        <f>'COM RESID'!J197</f>
        <v/>
      </c>
      <c r="E346">
        <f>'COM RESID'!A197&amp;" "&amp;'COM RESID'!B197&amp;" "&amp;'COM RESID'!C197&amp;" "&amp;'COM RESID'!D197&amp;" "&amp;'COM RESID'!E197&amp;" "&amp;'COM RESID'!F197</f>
        <v/>
      </c>
      <c r="F346">
        <f>IF(G346="MW","TJ",LEFT(G346,LEN(G346)-1))</f>
        <v/>
      </c>
      <c r="G346">
        <f>'COM RESID'!Q197</f>
        <v/>
      </c>
    </row>
    <row r="347">
      <c r="B347">
        <f>IF(_xlfn.XLOOKUP(D347,'COM RESID'!J:J,'COM RESID'!P:P)=0,"*","PRE")</f>
        <v/>
      </c>
      <c r="C347" t="inlineStr">
        <is>
          <t>CITY</t>
        </is>
      </c>
      <c r="D347">
        <f>'COM RESID'!J198</f>
        <v/>
      </c>
      <c r="E347">
        <f>'COM RESID'!A198&amp;" "&amp;'COM RESID'!B198&amp;" "&amp;'COM RESID'!C198&amp;" "&amp;'COM RESID'!D198&amp;" "&amp;'COM RESID'!E198&amp;" "&amp;'COM RESID'!F198</f>
        <v/>
      </c>
      <c r="F347">
        <f>IF(G347="MW","TJ",LEFT(G347,LEN(G347)-1))</f>
        <v/>
      </c>
      <c r="G347">
        <f>'COM RESID'!Q198</f>
        <v/>
      </c>
    </row>
    <row r="348">
      <c r="B348">
        <f>IF(_xlfn.XLOOKUP(D348,'COM RESID'!J:J,'COM RESID'!P:P)=0,"*","PRE")</f>
        <v/>
      </c>
      <c r="C348" t="inlineStr">
        <is>
          <t>CITY</t>
        </is>
      </c>
      <c r="D348">
        <f>'COM RESID'!J199</f>
        <v/>
      </c>
      <c r="E348">
        <f>'COM RESID'!A199&amp;" "&amp;'COM RESID'!B199&amp;" "&amp;'COM RESID'!C199&amp;" "&amp;'COM RESID'!D199&amp;" "&amp;'COM RESID'!E199&amp;" "&amp;'COM RESID'!F199</f>
        <v/>
      </c>
      <c r="F348">
        <f>IF(G348="MW","TJ",LEFT(G348,LEN(G348)-1))</f>
        <v/>
      </c>
      <c r="G348">
        <f>'COM RESID'!Q199</f>
        <v/>
      </c>
    </row>
    <row r="349">
      <c r="B349">
        <f>IF(_xlfn.XLOOKUP(D349,'COM RESID'!J:J,'COM RESID'!P:P)=0,"*","PRE")</f>
        <v/>
      </c>
      <c r="C349" t="inlineStr">
        <is>
          <t>CITY</t>
        </is>
      </c>
      <c r="D349">
        <f>'COM RESID'!J200</f>
        <v/>
      </c>
      <c r="E349">
        <f>'COM RESID'!A200&amp;" "&amp;'COM RESID'!B200&amp;" "&amp;'COM RESID'!C200&amp;" "&amp;'COM RESID'!D200&amp;" "&amp;'COM RESID'!E200&amp;" "&amp;'COM RESID'!F200</f>
        <v/>
      </c>
      <c r="F349">
        <f>IF(G349="MW","TJ",LEFT(G349,LEN(G349)-1))</f>
        <v/>
      </c>
      <c r="G349">
        <f>'COM RESID'!Q200</f>
        <v/>
      </c>
    </row>
    <row r="350">
      <c r="B350">
        <f>IF(_xlfn.XLOOKUP(D350,'COM RESID'!J:J,'COM RESID'!P:P)=0,"*","PRE")</f>
        <v/>
      </c>
      <c r="C350" t="inlineStr">
        <is>
          <t>CITY</t>
        </is>
      </c>
      <c r="D350">
        <f>'COM RESID'!J201</f>
        <v/>
      </c>
      <c r="E350">
        <f>'COM RESID'!A201&amp;" "&amp;'COM RESID'!B201&amp;" "&amp;'COM RESID'!C201&amp;" "&amp;'COM RESID'!D201&amp;" "&amp;'COM RESID'!E201&amp;" "&amp;'COM RESID'!F201</f>
        <v/>
      </c>
      <c r="F350">
        <f>IF(G350="MW","TJ",LEFT(G350,LEN(G350)-1))</f>
        <v/>
      </c>
      <c r="G350">
        <f>'COM RESID'!Q201</f>
        <v/>
      </c>
    </row>
    <row r="351">
      <c r="B351">
        <f>IF(_xlfn.XLOOKUP(D351,'COM RESID'!J:J,'COM RESID'!P:P)=0,"*","PRE")</f>
        <v/>
      </c>
      <c r="C351" t="inlineStr">
        <is>
          <t>CITY</t>
        </is>
      </c>
      <c r="D351">
        <f>'COM RESID'!J202</f>
        <v/>
      </c>
      <c r="E351">
        <f>'COM RESID'!A202&amp;" "&amp;'COM RESID'!B202&amp;" "&amp;'COM RESID'!C202&amp;" "&amp;'COM RESID'!D202&amp;" "&amp;'COM RESID'!E202&amp;" "&amp;'COM RESID'!F202</f>
        <v/>
      </c>
      <c r="F351">
        <f>IF(G351="MW","TJ",LEFT(G351,LEN(G351)-1))</f>
        <v/>
      </c>
      <c r="G351">
        <f>'COM RESID'!Q202</f>
        <v/>
      </c>
    </row>
    <row r="352">
      <c r="B352">
        <f>IF(_xlfn.XLOOKUP(D352,'COM RESID'!J:J,'COM RESID'!P:P)=0,"*","PRE")</f>
        <v/>
      </c>
      <c r="C352" t="inlineStr">
        <is>
          <t>CITY</t>
        </is>
      </c>
      <c r="D352">
        <f>'COM RESID'!J203</f>
        <v/>
      </c>
      <c r="E352">
        <f>'COM RESID'!A203&amp;" "&amp;'COM RESID'!B203&amp;" "&amp;'COM RESID'!C203&amp;" "&amp;'COM RESID'!D203&amp;" "&amp;'COM RESID'!E203&amp;" "&amp;'COM RESID'!F203</f>
        <v/>
      </c>
      <c r="F352">
        <f>IF(G352="MW","TJ",LEFT(G352,LEN(G352)-1))</f>
        <v/>
      </c>
      <c r="G352">
        <f>'COM RESID'!Q203</f>
        <v/>
      </c>
    </row>
    <row r="353">
      <c r="B353">
        <f>IF(_xlfn.XLOOKUP(D353,'COM RESID'!J:J,'COM RESID'!P:P)=0,"*","PRE")</f>
        <v/>
      </c>
      <c r="C353" t="inlineStr">
        <is>
          <t>CITY</t>
        </is>
      </c>
      <c r="D353">
        <f>'COM RESID'!J204</f>
        <v/>
      </c>
      <c r="E353">
        <f>'COM RESID'!A204&amp;" "&amp;'COM RESID'!B204&amp;" "&amp;'COM RESID'!C204&amp;" "&amp;'COM RESID'!D204&amp;" "&amp;'COM RESID'!E204&amp;" "&amp;'COM RESID'!F204</f>
        <v/>
      </c>
      <c r="F353">
        <f>IF(G353="MW","TJ",LEFT(G353,LEN(G353)-1))</f>
        <v/>
      </c>
      <c r="G353">
        <f>'COM RESID'!Q204</f>
        <v/>
      </c>
    </row>
    <row r="354">
      <c r="B354">
        <f>IF(_xlfn.XLOOKUP(D354,'COM RESID'!J:J,'COM RESID'!P:P)=0,"*","PRE")</f>
        <v/>
      </c>
      <c r="C354" t="inlineStr">
        <is>
          <t>CITY</t>
        </is>
      </c>
      <c r="D354">
        <f>'COM RESID'!J205</f>
        <v/>
      </c>
      <c r="E354">
        <f>'COM RESID'!A205&amp;" "&amp;'COM RESID'!B205&amp;" "&amp;'COM RESID'!C205&amp;" "&amp;'COM RESID'!D205&amp;" "&amp;'COM RESID'!E205&amp;" "&amp;'COM RESID'!F205</f>
        <v/>
      </c>
      <c r="F354">
        <f>IF(G354="MW","TJ",LEFT(G354,LEN(G354)-1))</f>
        <v/>
      </c>
      <c r="G354">
        <f>'COM RESID'!Q205</f>
        <v/>
      </c>
    </row>
    <row r="355">
      <c r="B355">
        <f>IF(_xlfn.XLOOKUP(D355,'COM RESID'!J:J,'COM RESID'!P:P)=0,"*","PRE")</f>
        <v/>
      </c>
      <c r="C355" t="inlineStr">
        <is>
          <t>CITY</t>
        </is>
      </c>
      <c r="D355">
        <f>'COM RESID'!J206</f>
        <v/>
      </c>
      <c r="E355">
        <f>'COM RESID'!A206&amp;" "&amp;'COM RESID'!B206&amp;" "&amp;'COM RESID'!C206&amp;" "&amp;'COM RESID'!D206&amp;" "&amp;'COM RESID'!E206&amp;" "&amp;'COM RESID'!F206</f>
        <v/>
      </c>
      <c r="F355">
        <f>IF(G355="MW","TJ",LEFT(G355,LEN(G355)-1))</f>
        <v/>
      </c>
      <c r="G355">
        <f>'COM RESID'!Q206</f>
        <v/>
      </c>
    </row>
    <row r="356">
      <c r="B356">
        <f>IF(_xlfn.XLOOKUP(D356,'COM RESID'!J:J,'COM RESID'!P:P)=0,"*","PRE")</f>
        <v/>
      </c>
      <c r="C356" t="inlineStr">
        <is>
          <t>CITY</t>
        </is>
      </c>
      <c r="D356">
        <f>'COM RESID'!J207</f>
        <v/>
      </c>
      <c r="E356">
        <f>'COM RESID'!A207&amp;" "&amp;'COM RESID'!B207&amp;" "&amp;'COM RESID'!C207&amp;" "&amp;'COM RESID'!D207&amp;" "&amp;'COM RESID'!E207&amp;" "&amp;'COM RESID'!F207</f>
        <v/>
      </c>
      <c r="F356">
        <f>IF(G356="MW","TJ",LEFT(G356,LEN(G356)-1))</f>
        <v/>
      </c>
      <c r="G356">
        <f>'COM RESID'!Q207</f>
        <v/>
      </c>
    </row>
    <row r="357">
      <c r="B357">
        <f>IF(_xlfn.XLOOKUP(D357,'COM RESID'!J:J,'COM RESID'!P:P)=0,"*","PRE")</f>
        <v/>
      </c>
      <c r="C357" t="inlineStr">
        <is>
          <t>CITY</t>
        </is>
      </c>
      <c r="D357">
        <f>'COM RESID'!J208</f>
        <v/>
      </c>
      <c r="E357">
        <f>'COM RESID'!A208&amp;" "&amp;'COM RESID'!B208&amp;" "&amp;'COM RESID'!C208&amp;" "&amp;'COM RESID'!D208&amp;" "&amp;'COM RESID'!E208&amp;" "&amp;'COM RESID'!F208</f>
        <v/>
      </c>
      <c r="F357">
        <f>IF(G357="MW","TJ",LEFT(G357,LEN(G357)-1))</f>
        <v/>
      </c>
      <c r="G357">
        <f>'COM RESID'!Q208</f>
        <v/>
      </c>
    </row>
    <row r="358">
      <c r="B358">
        <f>IF(_xlfn.XLOOKUP(D358,'COM RESID'!J:J,'COM RESID'!P:P)=0,"*","PRE")</f>
        <v/>
      </c>
      <c r="C358" t="inlineStr">
        <is>
          <t>CITY</t>
        </is>
      </c>
      <c r="D358">
        <f>'COM RESID'!J209</f>
        <v/>
      </c>
      <c r="E358">
        <f>'COM RESID'!A209&amp;" "&amp;'COM RESID'!B209&amp;" "&amp;'COM RESID'!C209&amp;" "&amp;'COM RESID'!D209&amp;" "&amp;'COM RESID'!E209&amp;" "&amp;'COM RESID'!F209</f>
        <v/>
      </c>
      <c r="F358">
        <f>IF(G358="MW","TJ",LEFT(G358,LEN(G358)-1))</f>
        <v/>
      </c>
      <c r="G358">
        <f>'COM RESID'!Q209</f>
        <v/>
      </c>
    </row>
    <row r="359">
      <c r="B359">
        <f>IF(_xlfn.XLOOKUP(D359,'COM RESID'!J:J,'COM RESID'!P:P)=0,"*","PRE")</f>
        <v/>
      </c>
      <c r="C359" t="inlineStr">
        <is>
          <t>CITY</t>
        </is>
      </c>
      <c r="D359">
        <f>'COM RESID'!J210</f>
        <v/>
      </c>
      <c r="E359">
        <f>'COM RESID'!A210&amp;" "&amp;'COM RESID'!B210&amp;" "&amp;'COM RESID'!C210&amp;" "&amp;'COM RESID'!D210&amp;" "&amp;'COM RESID'!E210&amp;" "&amp;'COM RESID'!F210</f>
        <v/>
      </c>
      <c r="F359">
        <f>IF(G359="MW","TJ",LEFT(G359,LEN(G359)-1))</f>
        <v/>
      </c>
      <c r="G359">
        <f>'COM RESID'!Q210</f>
        <v/>
      </c>
    </row>
    <row r="360">
      <c r="B360">
        <f>IF(_xlfn.XLOOKUP(D360,'COM RESID'!J:J,'COM RESID'!P:P)=0,"*","PRE")</f>
        <v/>
      </c>
      <c r="C360" t="inlineStr">
        <is>
          <t>CITY</t>
        </is>
      </c>
      <c r="D360">
        <f>'COM RESID'!J211</f>
        <v/>
      </c>
      <c r="E360">
        <f>'COM RESID'!A211&amp;" "&amp;'COM RESID'!B211&amp;" "&amp;'COM RESID'!C211&amp;" "&amp;'COM RESID'!D211&amp;" "&amp;'COM RESID'!E211&amp;" "&amp;'COM RESID'!F211</f>
        <v/>
      </c>
      <c r="F360">
        <f>IF(G360="MW","TJ",LEFT(G360,LEN(G360)-1))</f>
        <v/>
      </c>
      <c r="G360">
        <f>'COM RESID'!Q211</f>
        <v/>
      </c>
    </row>
    <row r="361">
      <c r="B361">
        <f>IF(_xlfn.XLOOKUP(D361,'COM RESID'!J:J,'COM RESID'!P:P)=0,"*","PRE")</f>
        <v/>
      </c>
      <c r="C361" t="inlineStr">
        <is>
          <t>CITY</t>
        </is>
      </c>
      <c r="D361">
        <f>'COM RESID'!J212</f>
        <v/>
      </c>
      <c r="E361">
        <f>'COM RESID'!A212&amp;" "&amp;'COM RESID'!B212&amp;" "&amp;'COM RESID'!C212&amp;" "&amp;'COM RESID'!D212&amp;" "&amp;'COM RESID'!E212&amp;" "&amp;'COM RESID'!F212</f>
        <v/>
      </c>
      <c r="F361">
        <f>IF(G361="MW","TJ",LEFT(G361,LEN(G361)-1))</f>
        <v/>
      </c>
      <c r="G361">
        <f>'COM RESID'!Q212</f>
        <v/>
      </c>
    </row>
    <row r="362">
      <c r="B362">
        <f>IF(_xlfn.XLOOKUP(D362,'COM RESID'!J:J,'COM RESID'!P:P)=0,"*","PRE")</f>
        <v/>
      </c>
      <c r="C362" t="inlineStr">
        <is>
          <t>CITY</t>
        </is>
      </c>
      <c r="D362">
        <f>'COM RESID'!J213</f>
        <v/>
      </c>
      <c r="E362">
        <f>'COM RESID'!A213&amp;" "&amp;'COM RESID'!B213&amp;" "&amp;'COM RESID'!C213&amp;" "&amp;'COM RESID'!D213&amp;" "&amp;'COM RESID'!E213&amp;" "&amp;'COM RESID'!F213</f>
        <v/>
      </c>
      <c r="F362">
        <f>IF(G362="MW","TJ",LEFT(G362,LEN(G362)-1))</f>
        <v/>
      </c>
      <c r="G362">
        <f>'COM RESID'!Q213</f>
        <v/>
      </c>
    </row>
    <row r="363">
      <c r="B363">
        <f>IF(_xlfn.XLOOKUP(D363,'COM RESID'!J:J,'COM RESID'!P:P)=0,"*","PRE")</f>
        <v/>
      </c>
      <c r="C363" t="inlineStr">
        <is>
          <t>CITY</t>
        </is>
      </c>
      <c r="D363">
        <f>'COM RESID'!J214</f>
        <v/>
      </c>
      <c r="E363">
        <f>'COM RESID'!A214&amp;" "&amp;'COM RESID'!B214&amp;" "&amp;'COM RESID'!C214&amp;" "&amp;'COM RESID'!D214&amp;" "&amp;'COM RESID'!E214&amp;" "&amp;'COM RESID'!F214</f>
        <v/>
      </c>
      <c r="F363">
        <f>IF(G363="MW","TJ",LEFT(G363,LEN(G363)-1))</f>
        <v/>
      </c>
      <c r="G363">
        <f>'COM RESID'!Q214</f>
        <v/>
      </c>
    </row>
    <row r="364">
      <c r="B364">
        <f>IF(_xlfn.XLOOKUP(D364,'COM RESID'!J:J,'COM RESID'!P:P)=0,"*","PRE")</f>
        <v/>
      </c>
      <c r="C364" t="inlineStr">
        <is>
          <t>CITY</t>
        </is>
      </c>
      <c r="D364">
        <f>'COM RESID'!J215</f>
        <v/>
      </c>
      <c r="E364">
        <f>'COM RESID'!A215&amp;" "&amp;'COM RESID'!B215&amp;" "&amp;'COM RESID'!C215&amp;" "&amp;'COM RESID'!D215&amp;" "&amp;'COM RESID'!E215&amp;" "&amp;'COM RESID'!F215</f>
        <v/>
      </c>
      <c r="F364">
        <f>IF(G364="MW","TJ",LEFT(G364,LEN(G364)-1))</f>
        <v/>
      </c>
      <c r="G364">
        <f>'COM RESID'!Q215</f>
        <v/>
      </c>
    </row>
    <row r="365">
      <c r="B365">
        <f>IF(_xlfn.XLOOKUP(D365,'COM RESID'!J:J,'COM RESID'!P:P)=0,"*","PRE")</f>
        <v/>
      </c>
      <c r="C365" t="inlineStr">
        <is>
          <t>CITY</t>
        </is>
      </c>
      <c r="D365">
        <f>'COM RESID'!J216</f>
        <v/>
      </c>
      <c r="E365">
        <f>'COM RESID'!A216&amp;" "&amp;'COM RESID'!B216&amp;" "&amp;'COM RESID'!C216&amp;" "&amp;'COM RESID'!D216&amp;" "&amp;'COM RESID'!E216&amp;" "&amp;'COM RESID'!F216</f>
        <v/>
      </c>
      <c r="F365">
        <f>IF(G365="MW","TJ",LEFT(G365,LEN(G365)-1))</f>
        <v/>
      </c>
      <c r="G365">
        <f>'COM RESID'!Q216</f>
        <v/>
      </c>
    </row>
    <row r="366">
      <c r="B366">
        <f>IF(_xlfn.XLOOKUP(D366,'COM RESID'!J:J,'COM RESID'!P:P)=0,"*","PRE")</f>
        <v/>
      </c>
      <c r="C366" t="inlineStr">
        <is>
          <t>CITY</t>
        </is>
      </c>
      <c r="D366">
        <f>'COM RESID'!J217</f>
        <v/>
      </c>
      <c r="E366">
        <f>'COM RESID'!A217&amp;" "&amp;'COM RESID'!B217&amp;" "&amp;'COM RESID'!C217&amp;" "&amp;'COM RESID'!D217&amp;" "&amp;'COM RESID'!E217&amp;" "&amp;'COM RESID'!F217</f>
        <v/>
      </c>
      <c r="F366">
        <f>IF(G366="MW","TJ",LEFT(G366,LEN(G366)-1))</f>
        <v/>
      </c>
      <c r="G366">
        <f>'COM RESID'!Q217</f>
        <v/>
      </c>
    </row>
    <row r="367">
      <c r="B367">
        <f>IF(_xlfn.XLOOKUP(D367,'COM RESID'!J:J,'COM RESID'!P:P)=0,"*","PRE")</f>
        <v/>
      </c>
      <c r="C367" t="inlineStr">
        <is>
          <t>CITY</t>
        </is>
      </c>
      <c r="D367">
        <f>'COM RESID'!J218</f>
        <v/>
      </c>
      <c r="E367">
        <f>'COM RESID'!A218&amp;" "&amp;'COM RESID'!B218&amp;" "&amp;'COM RESID'!C218&amp;" "&amp;'COM RESID'!D218&amp;" "&amp;'COM RESID'!E218&amp;" "&amp;'COM RESID'!F218</f>
        <v/>
      </c>
      <c r="F367">
        <f>IF(G367="MW","TJ",LEFT(G367,LEN(G367)-1))</f>
        <v/>
      </c>
      <c r="G367">
        <f>'COM RESID'!Q218</f>
        <v/>
      </c>
    </row>
    <row r="368">
      <c r="B368">
        <f>IF(_xlfn.XLOOKUP(D368,'COM RESID'!J:J,'COM RESID'!P:P)=0,"*","PRE")</f>
        <v/>
      </c>
      <c r="C368" t="inlineStr">
        <is>
          <t>CITY</t>
        </is>
      </c>
      <c r="D368">
        <f>'COM RESID'!J219</f>
        <v/>
      </c>
      <c r="E368">
        <f>'COM RESID'!A219&amp;" "&amp;'COM RESID'!B219&amp;" "&amp;'COM RESID'!C219&amp;" "&amp;'COM RESID'!D219&amp;" "&amp;'COM RESID'!E219&amp;" "&amp;'COM RESID'!F219</f>
        <v/>
      </c>
      <c r="F368">
        <f>IF(G368="MW","TJ",LEFT(G368,LEN(G368)-1))</f>
        <v/>
      </c>
      <c r="G368">
        <f>'COM RESID'!Q219</f>
        <v/>
      </c>
    </row>
    <row r="369">
      <c r="B369">
        <f>IF(_xlfn.XLOOKUP(D369,'COM RESID'!J:J,'COM RESID'!P:P)=0,"*","PRE")</f>
        <v/>
      </c>
      <c r="C369" t="inlineStr">
        <is>
          <t>CITY</t>
        </is>
      </c>
      <c r="D369">
        <f>'COM RESID'!J220</f>
        <v/>
      </c>
      <c r="E369">
        <f>'COM RESID'!A220&amp;" "&amp;'COM RESID'!B220&amp;" "&amp;'COM RESID'!C220&amp;" "&amp;'COM RESID'!D220&amp;" "&amp;'COM RESID'!E220&amp;" "&amp;'COM RESID'!F220</f>
        <v/>
      </c>
      <c r="F369">
        <f>IF(G369="MW","TJ",LEFT(G369,LEN(G369)-1))</f>
        <v/>
      </c>
      <c r="G369">
        <f>'COM RESID'!Q220</f>
        <v/>
      </c>
    </row>
    <row r="370">
      <c r="B370">
        <f>IF(_xlfn.XLOOKUP(D370,'COM RESID'!J:J,'COM RESID'!P:P)=0,"*","PRE")</f>
        <v/>
      </c>
      <c r="C370" t="inlineStr">
        <is>
          <t>CITY</t>
        </is>
      </c>
      <c r="D370">
        <f>'COM RESID'!J221</f>
        <v/>
      </c>
      <c r="E370">
        <f>'COM RESID'!A221&amp;" "&amp;'COM RESID'!B221&amp;" "&amp;'COM RESID'!C221&amp;" "&amp;'COM RESID'!D221&amp;" "&amp;'COM RESID'!E221&amp;" "&amp;'COM RESID'!F221</f>
        <v/>
      </c>
      <c r="F370">
        <f>IF(G370="MW","TJ",LEFT(G370,LEN(G370)-1))</f>
        <v/>
      </c>
      <c r="G370">
        <f>'COM RESID'!Q221</f>
        <v/>
      </c>
    </row>
    <row r="371">
      <c r="B371">
        <f>IF(_xlfn.XLOOKUP(D371,'COM RESID'!J:J,'COM RESID'!P:P)=0,"*","PRE")</f>
        <v/>
      </c>
      <c r="C371" t="inlineStr">
        <is>
          <t>CITY</t>
        </is>
      </c>
      <c r="D371">
        <f>'COM RESID'!J222</f>
        <v/>
      </c>
      <c r="E371">
        <f>'COM RESID'!A222&amp;" "&amp;'COM RESID'!B222&amp;" "&amp;'COM RESID'!C222&amp;" "&amp;'COM RESID'!D222&amp;" "&amp;'COM RESID'!E222&amp;" "&amp;'COM RESID'!F222</f>
        <v/>
      </c>
      <c r="F371">
        <f>IF(G371="MW","TJ",LEFT(G371,LEN(G371)-1))</f>
        <v/>
      </c>
      <c r="G371">
        <f>'COM RESID'!Q222</f>
        <v/>
      </c>
    </row>
    <row r="372">
      <c r="B372">
        <f>IF(_xlfn.XLOOKUP(D372,'COM RESID'!J:J,'COM RESID'!P:P)=0,"*","PRE")</f>
        <v/>
      </c>
      <c r="C372" t="inlineStr">
        <is>
          <t>CITY</t>
        </is>
      </c>
      <c r="D372">
        <f>'COM RESID'!J223</f>
        <v/>
      </c>
      <c r="E372">
        <f>'COM RESID'!A223&amp;" "&amp;'COM RESID'!B223&amp;" "&amp;'COM RESID'!C223&amp;" "&amp;'COM RESID'!D223&amp;" "&amp;'COM RESID'!E223&amp;" "&amp;'COM RESID'!F223</f>
        <v/>
      </c>
      <c r="F372">
        <f>IF(G372="MW","TJ",LEFT(G372,LEN(G372)-1))</f>
        <v/>
      </c>
      <c r="G372">
        <f>'COM RESID'!Q223</f>
        <v/>
      </c>
    </row>
    <row r="373">
      <c r="B373">
        <f>IF(_xlfn.XLOOKUP(D373,'COM RESID'!J:J,'COM RESID'!P:P)=0,"*","PRE")</f>
        <v/>
      </c>
      <c r="C373" t="inlineStr">
        <is>
          <t>CITY</t>
        </is>
      </c>
      <c r="D373">
        <f>'COM RESID'!J224</f>
        <v/>
      </c>
      <c r="E373">
        <f>'COM RESID'!A224&amp;" "&amp;'COM RESID'!B224&amp;" "&amp;'COM RESID'!C224&amp;" "&amp;'COM RESID'!D224&amp;" "&amp;'COM RESID'!E224&amp;" "&amp;'COM RESID'!F224</f>
        <v/>
      </c>
      <c r="F373">
        <f>IF(G373="MW","TJ",LEFT(G373,LEN(G373)-1))</f>
        <v/>
      </c>
      <c r="G373">
        <f>'COM RESID'!Q224</f>
        <v/>
      </c>
    </row>
    <row r="374">
      <c r="B374">
        <f>IF(_xlfn.XLOOKUP(D374,'COM RESID'!J:J,'COM RESID'!P:P)=0,"*","PRE")</f>
        <v/>
      </c>
      <c r="C374" t="inlineStr">
        <is>
          <t>CITY</t>
        </is>
      </c>
      <c r="D374">
        <f>'COM RESID'!J225</f>
        <v/>
      </c>
      <c r="E374">
        <f>'COM RESID'!A225&amp;" "&amp;'COM RESID'!B225&amp;" "&amp;'COM RESID'!C225&amp;" "&amp;'COM RESID'!D225&amp;" "&amp;'COM RESID'!E225&amp;" "&amp;'COM RESID'!F225</f>
        <v/>
      </c>
      <c r="F374">
        <f>IF(G374="MW","TJ",LEFT(G374,LEN(G374)-1))</f>
        <v/>
      </c>
      <c r="G374">
        <f>'COM RESID'!Q225</f>
        <v/>
      </c>
    </row>
    <row r="375">
      <c r="B375">
        <f>IF(_xlfn.XLOOKUP(D375,'COM RESID'!J:J,'COM RESID'!P:P)=0,"*","PRE")</f>
        <v/>
      </c>
      <c r="C375" t="inlineStr">
        <is>
          <t>CITY</t>
        </is>
      </c>
      <c r="D375">
        <f>'COM RESID'!J226</f>
        <v/>
      </c>
      <c r="E375">
        <f>'COM RESID'!A226&amp;" "&amp;'COM RESID'!B226&amp;" "&amp;'COM RESID'!C226&amp;" "&amp;'COM RESID'!D226&amp;" "&amp;'COM RESID'!E226&amp;" "&amp;'COM RESID'!F226</f>
        <v/>
      </c>
      <c r="F375">
        <f>IF(G375="MW","TJ",LEFT(G375,LEN(G375)-1))</f>
        <v/>
      </c>
      <c r="G375">
        <f>'COM RESID'!Q226</f>
        <v/>
      </c>
    </row>
    <row r="376">
      <c r="B376">
        <f>IF(_xlfn.XLOOKUP(D376,'COM RESID'!J:J,'COM RESID'!P:P)=0,"*","PRE")</f>
        <v/>
      </c>
      <c r="C376" t="inlineStr">
        <is>
          <t>CITY</t>
        </is>
      </c>
      <c r="D376">
        <f>'COM RESID'!J227</f>
        <v/>
      </c>
      <c r="E376">
        <f>'COM RESID'!A227&amp;" "&amp;'COM RESID'!B227&amp;" "&amp;'COM RESID'!C227&amp;" "&amp;'COM RESID'!D227&amp;" "&amp;'COM RESID'!E227&amp;" "&amp;'COM RESID'!F227</f>
        <v/>
      </c>
      <c r="F376">
        <f>IF(G376="MW","TJ",LEFT(G376,LEN(G376)-1))</f>
        <v/>
      </c>
      <c r="G376">
        <f>'COM RESID'!Q227</f>
        <v/>
      </c>
    </row>
    <row r="377">
      <c r="B377">
        <f>IF(_xlfn.XLOOKUP(D377,'COM RESID'!J:J,'COM RESID'!P:P)=0,"*","PRE")</f>
        <v/>
      </c>
      <c r="C377" t="inlineStr">
        <is>
          <t>CITY</t>
        </is>
      </c>
      <c r="D377">
        <f>'COM RESID'!J228</f>
        <v/>
      </c>
      <c r="E377">
        <f>'COM RESID'!A228&amp;" "&amp;'COM RESID'!B228&amp;" "&amp;'COM RESID'!C228&amp;" "&amp;'COM RESID'!D228&amp;" "&amp;'COM RESID'!E228&amp;" "&amp;'COM RESID'!F228</f>
        <v/>
      </c>
      <c r="F377">
        <f>IF(G377="MW","TJ",LEFT(G377,LEN(G377)-1))</f>
        <v/>
      </c>
      <c r="G377">
        <f>'COM RESID'!Q228</f>
        <v/>
      </c>
    </row>
    <row r="378">
      <c r="B378">
        <f>IF(_xlfn.XLOOKUP(D378,'COM RESID'!J:J,'COM RESID'!P:P)=0,"*","PRE")</f>
        <v/>
      </c>
      <c r="C378" t="inlineStr">
        <is>
          <t>CITY</t>
        </is>
      </c>
      <c r="D378">
        <f>'COM RESID'!J229</f>
        <v/>
      </c>
      <c r="E378">
        <f>'COM RESID'!A229&amp;" "&amp;'COM RESID'!B229&amp;" "&amp;'COM RESID'!C229&amp;" "&amp;'COM RESID'!D229&amp;" "&amp;'COM RESID'!E229&amp;" "&amp;'COM RESID'!F229</f>
        <v/>
      </c>
      <c r="F378">
        <f>IF(G378="MW","TJ",LEFT(G378,LEN(G378)-1))</f>
        <v/>
      </c>
      <c r="G378">
        <f>'COM RESID'!Q229</f>
        <v/>
      </c>
    </row>
    <row r="379">
      <c r="B379">
        <f>IF(_xlfn.XLOOKUP(D379,'COM RESID'!J:J,'COM RESID'!P:P)=0,"*","PRE")</f>
        <v/>
      </c>
      <c r="C379" t="inlineStr">
        <is>
          <t>CITY</t>
        </is>
      </c>
      <c r="D379">
        <f>'COM RESID'!J230</f>
        <v/>
      </c>
      <c r="E379">
        <f>'COM RESID'!A230&amp;" "&amp;'COM RESID'!B230&amp;" "&amp;'COM RESID'!C230&amp;" "&amp;'COM RESID'!D230&amp;" "&amp;'COM RESID'!E230&amp;" "&amp;'COM RESID'!F230</f>
        <v/>
      </c>
      <c r="F379">
        <f>IF(G379="MW","TJ",LEFT(G379,LEN(G379)-1))</f>
        <v/>
      </c>
      <c r="G379">
        <f>'COM RESID'!Q230</f>
        <v/>
      </c>
    </row>
    <row r="380">
      <c r="B380">
        <f>IF(_xlfn.XLOOKUP(D380,'COM RESID'!J:J,'COM RESID'!P:P)=0,"*","PRE")</f>
        <v/>
      </c>
      <c r="C380" t="inlineStr">
        <is>
          <t>CITY</t>
        </is>
      </c>
      <c r="D380">
        <f>'COM RESID'!J231</f>
        <v/>
      </c>
      <c r="E380">
        <f>'COM RESID'!A231&amp;" "&amp;'COM RESID'!B231&amp;" "&amp;'COM RESID'!C231&amp;" "&amp;'COM RESID'!D231&amp;" "&amp;'COM RESID'!E231&amp;" "&amp;'COM RESID'!F231</f>
        <v/>
      </c>
      <c r="F380">
        <f>IF(G380="MW","TJ",LEFT(G380,LEN(G380)-1))</f>
        <v/>
      </c>
      <c r="G380">
        <f>'COM RESID'!Q231</f>
        <v/>
      </c>
    </row>
    <row r="381">
      <c r="B381">
        <f>IF(_xlfn.XLOOKUP(D381,'COM RESID'!J:J,'COM RESID'!P:P)=0,"*","PRE")</f>
        <v/>
      </c>
      <c r="C381" t="inlineStr">
        <is>
          <t>CITY</t>
        </is>
      </c>
      <c r="D381">
        <f>'COM RESID'!J232</f>
        <v/>
      </c>
      <c r="E381">
        <f>'COM RESID'!A232&amp;" "&amp;'COM RESID'!B232&amp;" "&amp;'COM RESID'!C232&amp;" "&amp;'COM RESID'!D232&amp;" "&amp;'COM RESID'!E232&amp;" "&amp;'COM RESID'!F232</f>
        <v/>
      </c>
      <c r="F381">
        <f>IF(G381="MW","TJ",LEFT(G381,LEN(G381)-1))</f>
        <v/>
      </c>
      <c r="G381">
        <f>'COM RESID'!Q232</f>
        <v/>
      </c>
    </row>
    <row r="382">
      <c r="B382">
        <f>IF(_xlfn.XLOOKUP(D382,'COM RESID'!J:J,'COM RESID'!P:P)=0,"*","PRE")</f>
        <v/>
      </c>
      <c r="C382" t="inlineStr">
        <is>
          <t>CITY</t>
        </is>
      </c>
      <c r="D382">
        <f>'COM RESID'!J233</f>
        <v/>
      </c>
      <c r="E382">
        <f>'COM RESID'!A233&amp;" "&amp;'COM RESID'!B233&amp;" "&amp;'COM RESID'!C233&amp;" "&amp;'COM RESID'!D233&amp;" "&amp;'COM RESID'!E233&amp;" "&amp;'COM RESID'!F233</f>
        <v/>
      </c>
      <c r="F382">
        <f>IF(G382="MW","TJ",LEFT(G382,LEN(G382)-1))</f>
        <v/>
      </c>
      <c r="G382">
        <f>'COM RESID'!Q233</f>
        <v/>
      </c>
    </row>
    <row r="383">
      <c r="B383">
        <f>IF(_xlfn.XLOOKUP(D383,'COM RESID'!J:J,'COM RESID'!P:P)=0,"*","PRE")</f>
        <v/>
      </c>
      <c r="C383" t="inlineStr">
        <is>
          <t>CITY</t>
        </is>
      </c>
      <c r="D383">
        <f>'COM RESID'!J234</f>
        <v/>
      </c>
      <c r="E383">
        <f>'COM RESID'!A234&amp;" "&amp;'COM RESID'!B234&amp;" "&amp;'COM RESID'!C234&amp;" "&amp;'COM RESID'!D234&amp;" "&amp;'COM RESID'!E234&amp;" "&amp;'COM RESID'!F234</f>
        <v/>
      </c>
      <c r="F383">
        <f>IF(G383="MW","TJ",LEFT(G383,LEN(G383)-1))</f>
        <v/>
      </c>
      <c r="G383">
        <f>'COM RESID'!Q234</f>
        <v/>
      </c>
    </row>
    <row r="384">
      <c r="B384">
        <f>IF(_xlfn.XLOOKUP(D384,'COM RESID'!J:J,'COM RESID'!P:P)=0,"*","PRE")</f>
        <v/>
      </c>
      <c r="C384" t="inlineStr">
        <is>
          <t>CITY</t>
        </is>
      </c>
      <c r="D384">
        <f>'COM RESID'!J235</f>
        <v/>
      </c>
      <c r="E384">
        <f>'COM RESID'!A235&amp;" "&amp;'COM RESID'!B235&amp;" "&amp;'COM RESID'!C235&amp;" "&amp;'COM RESID'!D235&amp;" "&amp;'COM RESID'!E235&amp;" "&amp;'COM RESID'!F235</f>
        <v/>
      </c>
      <c r="F384">
        <f>IF(G384="MW","TJ",LEFT(G384,LEN(G384)-1))</f>
        <v/>
      </c>
      <c r="G384">
        <f>'COM RESID'!Q235</f>
        <v/>
      </c>
    </row>
    <row r="385">
      <c r="B385">
        <f>IF(_xlfn.XLOOKUP(D385,'COM RESID'!J:J,'COM RESID'!P:P)=0,"*","PRE")</f>
        <v/>
      </c>
      <c r="C385" t="inlineStr">
        <is>
          <t>CITY</t>
        </is>
      </c>
      <c r="D385">
        <f>'COM RESID'!J236</f>
        <v/>
      </c>
      <c r="E385">
        <f>'COM RESID'!A236&amp;" "&amp;'COM RESID'!B236&amp;" "&amp;'COM RESID'!C236&amp;" "&amp;'COM RESID'!D236&amp;" "&amp;'COM RESID'!E236&amp;" "&amp;'COM RESID'!F236</f>
        <v/>
      </c>
      <c r="F385">
        <f>IF(G385="MW","TJ",LEFT(G385,LEN(G385)-1))</f>
        <v/>
      </c>
      <c r="G385">
        <f>'COM RESID'!Q236</f>
        <v/>
      </c>
    </row>
    <row r="386">
      <c r="B386">
        <f>IF(_xlfn.XLOOKUP(D386,'COM RESID'!J:J,'COM RESID'!P:P)=0,"*","PRE")</f>
        <v/>
      </c>
      <c r="C386" t="inlineStr">
        <is>
          <t>CITY</t>
        </is>
      </c>
      <c r="D386">
        <f>'COM RESID'!J237</f>
        <v/>
      </c>
      <c r="E386">
        <f>'COM RESID'!A237&amp;" "&amp;'COM RESID'!B237&amp;" "&amp;'COM RESID'!C237&amp;" "&amp;'COM RESID'!D237&amp;" "&amp;'COM RESID'!E237&amp;" "&amp;'COM RESID'!F237</f>
        <v/>
      </c>
      <c r="F386">
        <f>IF(G386="MW","TJ",LEFT(G386,LEN(G386)-1))</f>
        <v/>
      </c>
      <c r="G386">
        <f>'COM RESID'!Q237</f>
        <v/>
      </c>
    </row>
    <row r="387">
      <c r="B387">
        <f>IF(_xlfn.XLOOKUP(D387,'COM RESID'!J:J,'COM RESID'!P:P)=0,"*","PRE")</f>
        <v/>
      </c>
      <c r="C387" t="inlineStr">
        <is>
          <t>CITY</t>
        </is>
      </c>
      <c r="D387">
        <f>'COM RESID'!J238</f>
        <v/>
      </c>
      <c r="E387">
        <f>'COM RESID'!A238&amp;" "&amp;'COM RESID'!B238&amp;" "&amp;'COM RESID'!C238&amp;" "&amp;'COM RESID'!D238&amp;" "&amp;'COM RESID'!E238&amp;" "&amp;'COM RESID'!F238</f>
        <v/>
      </c>
      <c r="F387">
        <f>IF(G387="MW","TJ",LEFT(G387,LEN(G387)-1))</f>
        <v/>
      </c>
      <c r="G387">
        <f>'COM RESID'!Q238</f>
        <v/>
      </c>
    </row>
    <row r="388">
      <c r="B388">
        <f>IF(_xlfn.XLOOKUP(D388,'COM RESID'!J:J,'COM RESID'!P:P)=0,"*","PRE")</f>
        <v/>
      </c>
      <c r="C388" t="inlineStr">
        <is>
          <t>CITY</t>
        </is>
      </c>
      <c r="D388">
        <f>'COM RESID'!J239</f>
        <v/>
      </c>
      <c r="E388">
        <f>'COM RESID'!A239&amp;" "&amp;'COM RESID'!B239&amp;" "&amp;'COM RESID'!C239&amp;" "&amp;'COM RESID'!D239&amp;" "&amp;'COM RESID'!E239&amp;" "&amp;'COM RESID'!F239</f>
        <v/>
      </c>
      <c r="F388">
        <f>IF(G388="MW","TJ",LEFT(G388,LEN(G388)-1))</f>
        <v/>
      </c>
      <c r="G388">
        <f>'COM RESID'!Q239</f>
        <v/>
      </c>
    </row>
    <row r="389">
      <c r="B389">
        <f>IF(_xlfn.XLOOKUP(D389,'COM RESID'!J:J,'COM RESID'!P:P)=0,"*","PRE")</f>
        <v/>
      </c>
      <c r="C389" t="inlineStr">
        <is>
          <t>CITY</t>
        </is>
      </c>
      <c r="D389">
        <f>'COM RESID'!J240</f>
        <v/>
      </c>
      <c r="E389">
        <f>'COM RESID'!A240&amp;" "&amp;'COM RESID'!B240&amp;" "&amp;'COM RESID'!C240&amp;" "&amp;'COM RESID'!D240&amp;" "&amp;'COM RESID'!E240&amp;" "&amp;'COM RESID'!F240</f>
        <v/>
      </c>
      <c r="F389">
        <f>IF(G389="MW","TJ",LEFT(G389,LEN(G389)-1))</f>
        <v/>
      </c>
      <c r="G389">
        <f>'COM RESID'!Q240</f>
        <v/>
      </c>
    </row>
    <row r="390">
      <c r="B390">
        <f>IF(_xlfn.XLOOKUP(D390,'COM RESID'!J:J,'COM RESID'!P:P)=0,"*","PRE")</f>
        <v/>
      </c>
      <c r="C390" t="inlineStr">
        <is>
          <t>CITY</t>
        </is>
      </c>
      <c r="D390">
        <f>'COM RESID'!J241</f>
        <v/>
      </c>
      <c r="E390">
        <f>'COM RESID'!A241&amp;" "&amp;'COM RESID'!B241&amp;" "&amp;'COM RESID'!C241&amp;" "&amp;'COM RESID'!D241&amp;" "&amp;'COM RESID'!E241&amp;" "&amp;'COM RESID'!F241</f>
        <v/>
      </c>
      <c r="F390">
        <f>IF(G390="MW","TJ",LEFT(G390,LEN(G390)-1))</f>
        <v/>
      </c>
      <c r="G390">
        <f>'COM RESID'!Q241</f>
        <v/>
      </c>
    </row>
    <row r="391">
      <c r="B391">
        <f>IF(_xlfn.XLOOKUP(D391,'COM RESID'!J:J,'COM RESID'!P:P)=0,"*","PRE")</f>
        <v/>
      </c>
      <c r="C391" t="inlineStr">
        <is>
          <t>CITY</t>
        </is>
      </c>
      <c r="D391">
        <f>'COM RESID'!J242</f>
        <v/>
      </c>
      <c r="E391">
        <f>'COM RESID'!A242&amp;" "&amp;'COM RESID'!B242&amp;" "&amp;'COM RESID'!C242&amp;" "&amp;'COM RESID'!D242&amp;" "&amp;'COM RESID'!E242&amp;" "&amp;'COM RESID'!F242</f>
        <v/>
      </c>
      <c r="F391">
        <f>IF(G391="MW","TJ",LEFT(G391,LEN(G391)-1))</f>
        <v/>
      </c>
      <c r="G391">
        <f>'COM RESID'!Q242</f>
        <v/>
      </c>
    </row>
    <row r="392">
      <c r="B392">
        <f>IF(_xlfn.XLOOKUP(D392,'COM RESID'!J:J,'COM RESID'!P:P)=0,"*","PRE")</f>
        <v/>
      </c>
      <c r="C392" t="inlineStr">
        <is>
          <t>CITY</t>
        </is>
      </c>
      <c r="D392">
        <f>'COM RESID'!J243</f>
        <v/>
      </c>
      <c r="E392">
        <f>'COM RESID'!A243&amp;" "&amp;'COM RESID'!B243&amp;" "&amp;'COM RESID'!C243&amp;" "&amp;'COM RESID'!D243&amp;" "&amp;'COM RESID'!E243&amp;" "&amp;'COM RESID'!F243</f>
        <v/>
      </c>
      <c r="F392">
        <f>IF(G392="MW","TJ",LEFT(G392,LEN(G392)-1))</f>
        <v/>
      </c>
      <c r="G392">
        <f>'COM RESID'!Q243</f>
        <v/>
      </c>
    </row>
    <row r="393">
      <c r="B393">
        <f>IF(_xlfn.XLOOKUP(D393,'COM RESID'!J:J,'COM RESID'!P:P)=0,"*","PRE")</f>
        <v/>
      </c>
      <c r="C393" t="inlineStr">
        <is>
          <t>CITY</t>
        </is>
      </c>
      <c r="D393">
        <f>'COM RESID'!J244</f>
        <v/>
      </c>
      <c r="E393">
        <f>'COM RESID'!A244&amp;" "&amp;'COM RESID'!B244&amp;" "&amp;'COM RESID'!C244&amp;" "&amp;'COM RESID'!D244&amp;" "&amp;'COM RESID'!E244&amp;" "&amp;'COM RESID'!F244</f>
        <v/>
      </c>
      <c r="F393">
        <f>IF(G393="MW","TJ",LEFT(G393,LEN(G393)-1))</f>
        <v/>
      </c>
      <c r="G393">
        <f>'COM RESID'!Q244</f>
        <v/>
      </c>
    </row>
    <row r="394">
      <c r="B394">
        <f>IF(_xlfn.XLOOKUP(D394,'COM RESID'!J:J,'COM RESID'!P:P)=0,"*","PRE")</f>
        <v/>
      </c>
      <c r="C394" t="inlineStr">
        <is>
          <t>CITY</t>
        </is>
      </c>
      <c r="D394">
        <f>'COM RESID'!J245</f>
        <v/>
      </c>
      <c r="E394">
        <f>'COM RESID'!A245&amp;" "&amp;'COM RESID'!B245&amp;" "&amp;'COM RESID'!C245&amp;" "&amp;'COM RESID'!D245&amp;" "&amp;'COM RESID'!E245&amp;" "&amp;'COM RESID'!F245</f>
        <v/>
      </c>
      <c r="F394">
        <f>IF(G394="MW","TJ",LEFT(G394,LEN(G394)-1))</f>
        <v/>
      </c>
      <c r="G394">
        <f>'COM RESID'!Q245</f>
        <v/>
      </c>
    </row>
    <row r="395">
      <c r="B395">
        <f>IF(_xlfn.XLOOKUP(D395,'COM RESID'!J:J,'COM RESID'!P:P)=0,"*","PRE")</f>
        <v/>
      </c>
      <c r="C395" t="inlineStr">
        <is>
          <t>CITY</t>
        </is>
      </c>
      <c r="D395">
        <f>'COM RESID'!J246</f>
        <v/>
      </c>
      <c r="E395">
        <f>'COM RESID'!A246&amp;" "&amp;'COM RESID'!B246&amp;" "&amp;'COM RESID'!C246&amp;" "&amp;'COM RESID'!D246&amp;" "&amp;'COM RESID'!E246&amp;" "&amp;'COM RESID'!F246</f>
        <v/>
      </c>
      <c r="F395">
        <f>IF(G395="MW","TJ",LEFT(G395,LEN(G395)-1))</f>
        <v/>
      </c>
      <c r="G395">
        <f>'COM RESID'!Q246</f>
        <v/>
      </c>
    </row>
    <row r="396">
      <c r="B396">
        <f>IF(_xlfn.XLOOKUP(D396,'COM RESID'!J:J,'COM RESID'!P:P)=0,"*","PRE")</f>
        <v/>
      </c>
      <c r="C396" t="inlineStr">
        <is>
          <t>CITY</t>
        </is>
      </c>
      <c r="D396">
        <f>'COM RESID'!J247</f>
        <v/>
      </c>
      <c r="E396">
        <f>'COM RESID'!A247&amp;" "&amp;'COM RESID'!B247&amp;" "&amp;'COM RESID'!C247&amp;" "&amp;'COM RESID'!D247&amp;" "&amp;'COM RESID'!E247&amp;" "&amp;'COM RESID'!F247</f>
        <v/>
      </c>
      <c r="F396">
        <f>IF(G396="MW","TJ",LEFT(G396,LEN(G396)-1))</f>
        <v/>
      </c>
      <c r="G396">
        <f>'COM RESID'!Q247</f>
        <v/>
      </c>
    </row>
    <row r="397">
      <c r="B397">
        <f>IF(_xlfn.XLOOKUP(D397,'COM RESID'!J:J,'COM RESID'!P:P)=0,"*","PRE")</f>
        <v/>
      </c>
      <c r="C397" t="inlineStr">
        <is>
          <t>CITY</t>
        </is>
      </c>
      <c r="D397">
        <f>'COM RESID'!J248</f>
        <v/>
      </c>
      <c r="E397">
        <f>'COM RESID'!A248&amp;" "&amp;'COM RESID'!B248&amp;" "&amp;'COM RESID'!C248&amp;" "&amp;'COM RESID'!D248&amp;" "&amp;'COM RESID'!E248&amp;" "&amp;'COM RESID'!F248</f>
        <v/>
      </c>
      <c r="F397">
        <f>IF(G397="MW","TJ",LEFT(G397,LEN(G397)-1))</f>
        <v/>
      </c>
      <c r="G397">
        <f>'COM RESID'!Q248</f>
        <v/>
      </c>
    </row>
    <row r="398">
      <c r="B398">
        <f>IF(_xlfn.XLOOKUP(D398,'COM RESID'!J:J,'COM RESID'!P:P)=0,"*","PRE")</f>
        <v/>
      </c>
      <c r="C398" t="inlineStr">
        <is>
          <t>CITY</t>
        </is>
      </c>
      <c r="D398">
        <f>'COM RESID'!J249</f>
        <v/>
      </c>
      <c r="E398">
        <f>'COM RESID'!A249&amp;" "&amp;'COM RESID'!B249&amp;" "&amp;'COM RESID'!C249&amp;" "&amp;'COM RESID'!D249&amp;" "&amp;'COM RESID'!E249&amp;" "&amp;'COM RESID'!F249</f>
        <v/>
      </c>
      <c r="F398">
        <f>IF(G398="MW","TJ",LEFT(G398,LEN(G398)-1))</f>
        <v/>
      </c>
      <c r="G398">
        <f>'COM RESID'!Q249</f>
        <v/>
      </c>
    </row>
    <row r="399">
      <c r="B399">
        <f>IF(_xlfn.XLOOKUP(D399,'COM RESID'!J:J,'COM RESID'!P:P)=0,"*","PRE")</f>
        <v/>
      </c>
      <c r="C399" t="inlineStr">
        <is>
          <t>CITY</t>
        </is>
      </c>
      <c r="D399">
        <f>'COM RESID'!J250</f>
        <v/>
      </c>
      <c r="E399">
        <f>'COM RESID'!A250&amp;" "&amp;'COM RESID'!B250&amp;" "&amp;'COM RESID'!C250&amp;" "&amp;'COM RESID'!D250&amp;" "&amp;'COM RESID'!E250&amp;" "&amp;'COM RESID'!F250</f>
        <v/>
      </c>
      <c r="F399">
        <f>IF(G399="MW","TJ",LEFT(G399,LEN(G399)-1))</f>
        <v/>
      </c>
      <c r="G399">
        <f>'COM RESID'!Q250</f>
        <v/>
      </c>
    </row>
    <row r="400">
      <c r="B400">
        <f>IF(_xlfn.XLOOKUP(D400,'COM RESID'!J:J,'COM RESID'!P:P)=0,"*","PRE")</f>
        <v/>
      </c>
      <c r="C400" t="inlineStr">
        <is>
          <t>CITY</t>
        </is>
      </c>
      <c r="D400">
        <f>'COM RESID'!J251</f>
        <v/>
      </c>
      <c r="E400">
        <f>'COM RESID'!A251&amp;" "&amp;'COM RESID'!B251&amp;" "&amp;'COM RESID'!C251&amp;" "&amp;'COM RESID'!D251&amp;" "&amp;'COM RESID'!E251&amp;" "&amp;'COM RESID'!F251</f>
        <v/>
      </c>
      <c r="F400">
        <f>IF(G400="MW","TJ",LEFT(G400,LEN(G400)-1))</f>
        <v/>
      </c>
      <c r="G400">
        <f>'COM RESID'!Q251</f>
        <v/>
      </c>
    </row>
    <row r="401">
      <c r="B401">
        <f>IF(_xlfn.XLOOKUP(D401,'COM RESID'!J:J,'COM RESID'!P:P)=0,"*","PRE")</f>
        <v/>
      </c>
      <c r="C401" t="inlineStr">
        <is>
          <t>CITY</t>
        </is>
      </c>
      <c r="D401">
        <f>'COM RESID'!J252</f>
        <v/>
      </c>
      <c r="E401">
        <f>'COM RESID'!A252&amp;" "&amp;'COM RESID'!B252&amp;" "&amp;'COM RESID'!C252&amp;" "&amp;'COM RESID'!D252&amp;" "&amp;'COM RESID'!E252&amp;" "&amp;'COM RESID'!F252</f>
        <v/>
      </c>
      <c r="F401">
        <f>IF(G401="MW","TJ",LEFT(G401,LEN(G401)-1))</f>
        <v/>
      </c>
      <c r="G401">
        <f>'COM RESID'!Q252</f>
        <v/>
      </c>
    </row>
    <row r="402">
      <c r="B402">
        <f>IF(_xlfn.XLOOKUP(D402,'COM RESID'!J:J,'COM RESID'!P:P)=0,"*","PRE")</f>
        <v/>
      </c>
      <c r="C402" t="inlineStr">
        <is>
          <t>CITY</t>
        </is>
      </c>
      <c r="D402">
        <f>'COM RESID'!J253</f>
        <v/>
      </c>
      <c r="E402">
        <f>'COM RESID'!A253&amp;" "&amp;'COM RESID'!B253&amp;" "&amp;'COM RESID'!C253&amp;" "&amp;'COM RESID'!D253&amp;" "&amp;'COM RESID'!E253&amp;" "&amp;'COM RESID'!F253</f>
        <v/>
      </c>
      <c r="F402">
        <f>IF(G402="MW","TJ",LEFT(G402,LEN(G402)-1))</f>
        <v/>
      </c>
      <c r="G402">
        <f>'COM RESID'!Q253</f>
        <v/>
      </c>
    </row>
    <row r="403">
      <c r="B403">
        <f>IF(_xlfn.XLOOKUP(D403,'COM RESID'!J:J,'COM RESID'!P:P)=0,"*","PRE")</f>
        <v/>
      </c>
      <c r="C403" t="inlineStr">
        <is>
          <t>CITY</t>
        </is>
      </c>
      <c r="D403">
        <f>'COM RESID'!J254</f>
        <v/>
      </c>
      <c r="E403">
        <f>'COM RESID'!A254&amp;" "&amp;'COM RESID'!B254&amp;" "&amp;'COM RESID'!C254&amp;" "&amp;'COM RESID'!D254&amp;" "&amp;'COM RESID'!E254&amp;" "&amp;'COM RESID'!F254</f>
        <v/>
      </c>
      <c r="F403">
        <f>IF(G403="MW","TJ",LEFT(G403,LEN(G403)-1))</f>
        <v/>
      </c>
      <c r="G403">
        <f>'COM RESID'!Q254</f>
        <v/>
      </c>
    </row>
    <row r="404">
      <c r="B404">
        <f>IF(_xlfn.XLOOKUP(D404,'COM RESID'!J:J,'COM RESID'!P:P)=0,"*","PRE")</f>
        <v/>
      </c>
      <c r="C404" t="inlineStr">
        <is>
          <t>CITY</t>
        </is>
      </c>
      <c r="D404">
        <f>'COM RESID'!J255</f>
        <v/>
      </c>
      <c r="E404">
        <f>'COM RESID'!A255&amp;" "&amp;'COM RESID'!B255&amp;" "&amp;'COM RESID'!C255&amp;" "&amp;'COM RESID'!D255&amp;" "&amp;'COM RESID'!E255&amp;" "&amp;'COM RESID'!F255</f>
        <v/>
      </c>
      <c r="F404">
        <f>IF(G404="MW","TJ",LEFT(G404,LEN(G404)-1))</f>
        <v/>
      </c>
      <c r="G404">
        <f>'COM RESID'!Q255</f>
        <v/>
      </c>
    </row>
    <row r="405">
      <c r="B405">
        <f>IF(_xlfn.XLOOKUP(D405,'COM RESID'!J:J,'COM RESID'!P:P)=0,"*","PRE")</f>
        <v/>
      </c>
      <c r="C405" t="inlineStr">
        <is>
          <t>CITY</t>
        </is>
      </c>
      <c r="D405">
        <f>'COM RESID'!J256</f>
        <v/>
      </c>
      <c r="E405">
        <f>'COM RESID'!A256&amp;" "&amp;'COM RESID'!B256&amp;" "&amp;'COM RESID'!C256&amp;" "&amp;'COM RESID'!D256&amp;" "&amp;'COM RESID'!E256&amp;" "&amp;'COM RESID'!F256</f>
        <v/>
      </c>
      <c r="F405">
        <f>IF(G405="MW","TJ",LEFT(G405,LEN(G405)-1))</f>
        <v/>
      </c>
      <c r="G405">
        <f>'COM RESID'!Q256</f>
        <v/>
      </c>
    </row>
    <row r="406">
      <c r="B406">
        <f>IF(_xlfn.XLOOKUP(D406,'COM RESID'!J:J,'COM RESID'!P:P)=0,"*","PRE")</f>
        <v/>
      </c>
      <c r="C406" t="inlineStr">
        <is>
          <t>CITY</t>
        </is>
      </c>
      <c r="D406">
        <f>'COM RESID'!J257</f>
        <v/>
      </c>
      <c r="E406">
        <f>'COM RESID'!A257&amp;" "&amp;'COM RESID'!B257&amp;" "&amp;'COM RESID'!C257&amp;" "&amp;'COM RESID'!D257&amp;" "&amp;'COM RESID'!E257&amp;" "&amp;'COM RESID'!F257</f>
        <v/>
      </c>
      <c r="F406">
        <f>IF(G406="MW","TJ",LEFT(G406,LEN(G406)-1))</f>
        <v/>
      </c>
      <c r="G406">
        <f>'COM RESID'!Q257</f>
        <v/>
      </c>
    </row>
    <row r="407">
      <c r="B407">
        <f>IF(_xlfn.XLOOKUP(D407,'COM RESID'!J:J,'COM RESID'!P:P)=0,"*","PRE")</f>
        <v/>
      </c>
      <c r="C407" t="inlineStr">
        <is>
          <t>CITY</t>
        </is>
      </c>
      <c r="D407">
        <f>'COM RESID'!J258</f>
        <v/>
      </c>
      <c r="E407">
        <f>'COM RESID'!A258&amp;" "&amp;'COM RESID'!B258&amp;" "&amp;'COM RESID'!C258&amp;" "&amp;'COM RESID'!D258&amp;" "&amp;'COM RESID'!E258&amp;" "&amp;'COM RESID'!F258</f>
        <v/>
      </c>
      <c r="F407">
        <f>IF(G407="MW","TJ",LEFT(G407,LEN(G407)-1))</f>
        <v/>
      </c>
      <c r="G407">
        <f>'COM RESID'!Q258</f>
        <v/>
      </c>
    </row>
    <row r="408">
      <c r="B408">
        <f>IF(_xlfn.XLOOKUP(D408,'COM RESID'!J:J,'COM RESID'!P:P)=0,"*","PRE")</f>
        <v/>
      </c>
      <c r="C408" t="inlineStr">
        <is>
          <t>CITY</t>
        </is>
      </c>
      <c r="D408">
        <f>'COM RESID'!J259</f>
        <v/>
      </c>
      <c r="E408">
        <f>'COM RESID'!A259&amp;" "&amp;'COM RESID'!B259&amp;" "&amp;'COM RESID'!C259&amp;" "&amp;'COM RESID'!D259&amp;" "&amp;'COM RESID'!E259&amp;" "&amp;'COM RESID'!F259</f>
        <v/>
      </c>
      <c r="F408">
        <f>IF(G408="MW","TJ",LEFT(G408,LEN(G408)-1))</f>
        <v/>
      </c>
      <c r="G408">
        <f>'COM RESID'!Q259</f>
        <v/>
      </c>
    </row>
    <row r="409">
      <c r="B409">
        <f>IF(_xlfn.XLOOKUP(D409,'COM RESID'!J:J,'COM RESID'!P:P)=0,"*","PRE")</f>
        <v/>
      </c>
      <c r="C409" t="inlineStr">
        <is>
          <t>CITY</t>
        </is>
      </c>
      <c r="D409">
        <f>'COM RESID'!J260</f>
        <v/>
      </c>
      <c r="E409">
        <f>'COM RESID'!A260&amp;" "&amp;'COM RESID'!B260&amp;" "&amp;'COM RESID'!C260&amp;" "&amp;'COM RESID'!D260&amp;" "&amp;'COM RESID'!E260&amp;" "&amp;'COM RESID'!F260</f>
        <v/>
      </c>
      <c r="F409">
        <f>IF(G409="MW","TJ",LEFT(G409,LEN(G409)-1))</f>
        <v/>
      </c>
      <c r="G409">
        <f>'COM RESID'!Q260</f>
        <v/>
      </c>
    </row>
    <row r="410">
      <c r="B410">
        <f>IF(_xlfn.XLOOKUP(D410,'COM RESID'!J:J,'COM RESID'!P:P)=0,"*","PRE")</f>
        <v/>
      </c>
      <c r="C410" t="inlineStr">
        <is>
          <t>CITY</t>
        </is>
      </c>
      <c r="D410">
        <f>'COM RESID'!J261</f>
        <v/>
      </c>
      <c r="E410">
        <f>'COM RESID'!A261&amp;" "&amp;'COM RESID'!B261&amp;" "&amp;'COM RESID'!C261&amp;" "&amp;'COM RESID'!D261&amp;" "&amp;'COM RESID'!E261&amp;" "&amp;'COM RESID'!F261</f>
        <v/>
      </c>
      <c r="F410">
        <f>IF(G410="MW","TJ",LEFT(G410,LEN(G410)-1))</f>
        <v/>
      </c>
      <c r="G410">
        <f>'COM RESID'!Q261</f>
        <v/>
      </c>
    </row>
    <row r="411">
      <c r="B411">
        <f>IF(_xlfn.XLOOKUP(D411,'COM RESID'!J:J,'COM RESID'!P:P)=0,"*","PRE")</f>
        <v/>
      </c>
      <c r="C411" t="inlineStr">
        <is>
          <t>CITY</t>
        </is>
      </c>
      <c r="D411">
        <f>'COM RESID'!J262</f>
        <v/>
      </c>
      <c r="E411">
        <f>'COM RESID'!A262&amp;" "&amp;'COM RESID'!B262&amp;" "&amp;'COM RESID'!C262&amp;" "&amp;'COM RESID'!D262&amp;" "&amp;'COM RESID'!E262&amp;" "&amp;'COM RESID'!F262</f>
        <v/>
      </c>
      <c r="F411">
        <f>IF(G411="MW","TJ",LEFT(G411,LEN(G411)-1))</f>
        <v/>
      </c>
      <c r="G411">
        <f>'COM RESID'!Q262</f>
        <v/>
      </c>
    </row>
    <row r="412">
      <c r="B412">
        <f>IF(_xlfn.XLOOKUP(D412,'COM RESID'!J:J,'COM RESID'!P:P)=0,"*","PRE")</f>
        <v/>
      </c>
      <c r="C412" t="inlineStr">
        <is>
          <t>CITY</t>
        </is>
      </c>
      <c r="D412">
        <f>'COM RESID'!J263</f>
        <v/>
      </c>
      <c r="E412">
        <f>'COM RESID'!A263&amp;" "&amp;'COM RESID'!B263&amp;" "&amp;'COM RESID'!C263&amp;" "&amp;'COM RESID'!D263&amp;" "&amp;'COM RESID'!E263&amp;" "&amp;'COM RESID'!F263</f>
        <v/>
      </c>
      <c r="F412">
        <f>IF(G412="MW","TJ",LEFT(G412,LEN(G412)-1))</f>
        <v/>
      </c>
      <c r="G412">
        <f>'COM RESID'!Q263</f>
        <v/>
      </c>
    </row>
    <row r="413">
      <c r="B413">
        <f>IF(_xlfn.XLOOKUP(D413,'COM RESID'!J:J,'COM RESID'!P:P)=0,"*","PRE")</f>
        <v/>
      </c>
      <c r="C413" t="inlineStr">
        <is>
          <t>CITY</t>
        </is>
      </c>
      <c r="D413">
        <f>'COM RESID'!J264</f>
        <v/>
      </c>
      <c r="E413">
        <f>'COM RESID'!A264&amp;" "&amp;'COM RESID'!B264&amp;" "&amp;'COM RESID'!C264&amp;" "&amp;'COM RESID'!D264&amp;" "&amp;'COM RESID'!E264&amp;" "&amp;'COM RESID'!F264</f>
        <v/>
      </c>
      <c r="F413">
        <f>IF(G413="MW","TJ",LEFT(G413,LEN(G413)-1))</f>
        <v/>
      </c>
      <c r="G413">
        <f>'COM RESID'!Q264</f>
        <v/>
      </c>
    </row>
    <row r="414">
      <c r="B414">
        <f>IF(_xlfn.XLOOKUP(D414,'COM RESID'!J:J,'COM RESID'!P:P)=0,"*","PRE")</f>
        <v/>
      </c>
      <c r="C414" t="inlineStr">
        <is>
          <t>CITY</t>
        </is>
      </c>
      <c r="D414">
        <f>'COM RESID'!J265</f>
        <v/>
      </c>
      <c r="E414">
        <f>'COM RESID'!A265&amp;" "&amp;'COM RESID'!B265&amp;" "&amp;'COM RESID'!C265&amp;" "&amp;'COM RESID'!D265&amp;" "&amp;'COM RESID'!E265&amp;" "&amp;'COM RESID'!F265</f>
        <v/>
      </c>
      <c r="F414">
        <f>IF(G414="MW","TJ",LEFT(G414,LEN(G414)-1))</f>
        <v/>
      </c>
      <c r="G414">
        <f>'COM RESID'!Q265</f>
        <v/>
      </c>
    </row>
    <row r="415">
      <c r="B415">
        <f>IF(_xlfn.XLOOKUP(D415,'COM RESID'!J:J,'COM RESID'!P:P)=0,"*","PRE")</f>
        <v/>
      </c>
      <c r="C415" t="inlineStr">
        <is>
          <t>CITY</t>
        </is>
      </c>
      <c r="D415">
        <f>'COM RESID'!J266</f>
        <v/>
      </c>
      <c r="E415">
        <f>'COM RESID'!A266&amp;" "&amp;'COM RESID'!B266&amp;" "&amp;'COM RESID'!C266&amp;" "&amp;'COM RESID'!D266&amp;" "&amp;'COM RESID'!E266&amp;" "&amp;'COM RESID'!F266</f>
        <v/>
      </c>
      <c r="F415">
        <f>IF(G415="MW","TJ",LEFT(G415,LEN(G415)-1))</f>
        <v/>
      </c>
      <c r="G415">
        <f>'COM RESID'!Q266</f>
        <v/>
      </c>
    </row>
    <row r="416">
      <c r="B416">
        <f>IF(_xlfn.XLOOKUP(D416,'COM RESID'!J:J,'COM RESID'!P:P)=0,"*","PRE")</f>
        <v/>
      </c>
      <c r="C416" t="inlineStr">
        <is>
          <t>CITY</t>
        </is>
      </c>
      <c r="D416">
        <f>'COM RESID'!J267</f>
        <v/>
      </c>
      <c r="E416">
        <f>'COM RESID'!A267&amp;" "&amp;'COM RESID'!B267&amp;" "&amp;'COM RESID'!C267&amp;" "&amp;'COM RESID'!D267&amp;" "&amp;'COM RESID'!E267&amp;" "&amp;'COM RESID'!F267</f>
        <v/>
      </c>
      <c r="F416">
        <f>IF(G416="MW","TJ",LEFT(G416,LEN(G416)-1))</f>
        <v/>
      </c>
      <c r="G416">
        <f>'COM RESID'!Q267</f>
        <v/>
      </c>
    </row>
    <row r="417">
      <c r="B417">
        <f>IF(_xlfn.XLOOKUP(D417,'COM RESID'!J:J,'COM RESID'!P:P)=0,"*","PRE")</f>
        <v/>
      </c>
      <c r="C417" t="inlineStr">
        <is>
          <t>CITY</t>
        </is>
      </c>
      <c r="D417">
        <f>'COM RESID'!J268</f>
        <v/>
      </c>
      <c r="E417">
        <f>'COM RESID'!A268&amp;" "&amp;'COM RESID'!B268&amp;" "&amp;'COM RESID'!C268&amp;" "&amp;'COM RESID'!D268&amp;" "&amp;'COM RESID'!E268&amp;" "&amp;'COM RESID'!F268</f>
        <v/>
      </c>
      <c r="F417">
        <f>IF(G417="MW","TJ",LEFT(G417,LEN(G417)-1))</f>
        <v/>
      </c>
      <c r="G417">
        <f>'COM RESID'!Q268</f>
        <v/>
      </c>
    </row>
    <row r="418">
      <c r="B418">
        <f>IF(_xlfn.XLOOKUP(D418,'COM RESID'!J:J,'COM RESID'!P:P)=0,"*","PRE")</f>
        <v/>
      </c>
      <c r="C418" t="inlineStr">
        <is>
          <t>CITY</t>
        </is>
      </c>
      <c r="D418">
        <f>'COM RESID'!J269</f>
        <v/>
      </c>
      <c r="E418">
        <f>'COM RESID'!A269&amp;" "&amp;'COM RESID'!B269&amp;" "&amp;'COM RESID'!C269&amp;" "&amp;'COM RESID'!D269&amp;" "&amp;'COM RESID'!E269&amp;" "&amp;'COM RESID'!F269</f>
        <v/>
      </c>
      <c r="F418">
        <f>IF(G418="MW","TJ",LEFT(G418,LEN(G418)-1))</f>
        <v/>
      </c>
      <c r="G418">
        <f>'COM RESID'!Q269</f>
        <v/>
      </c>
    </row>
    <row r="419">
      <c r="B419">
        <f>IF(_xlfn.XLOOKUP(D419,'COM RESID'!J:J,'COM RESID'!P:P)=0,"*","PRE")</f>
        <v/>
      </c>
      <c r="C419" t="inlineStr">
        <is>
          <t>CITY</t>
        </is>
      </c>
      <c r="D419">
        <f>'COM RESID'!J270</f>
        <v/>
      </c>
      <c r="E419">
        <f>'COM RESID'!A270&amp;" "&amp;'COM RESID'!B270&amp;" "&amp;'COM RESID'!C270&amp;" "&amp;'COM RESID'!D270&amp;" "&amp;'COM RESID'!E270&amp;" "&amp;'COM RESID'!F270</f>
        <v/>
      </c>
      <c r="F419">
        <f>IF(G419="MW","TJ",LEFT(G419,LEN(G419)-1))</f>
        <v/>
      </c>
      <c r="G419">
        <f>'COM RESID'!Q270</f>
        <v/>
      </c>
    </row>
    <row r="420">
      <c r="B420">
        <f>IF(_xlfn.XLOOKUP(D420,'COM RESID'!J:J,'COM RESID'!P:P)=0,"*","PRE")</f>
        <v/>
      </c>
      <c r="C420" t="inlineStr">
        <is>
          <t>CITY</t>
        </is>
      </c>
      <c r="D420">
        <f>'COM RESID'!J271</f>
        <v/>
      </c>
      <c r="E420">
        <f>'COM RESID'!A271&amp;" "&amp;'COM RESID'!B271&amp;" "&amp;'COM RESID'!C271&amp;" "&amp;'COM RESID'!D271&amp;" "&amp;'COM RESID'!E271&amp;" "&amp;'COM RESID'!F271</f>
        <v/>
      </c>
      <c r="F420">
        <f>IF(G420="MW","TJ",LEFT(G420,LEN(G420)-1))</f>
        <v/>
      </c>
      <c r="G420">
        <f>'COM RESID'!Q271</f>
        <v/>
      </c>
    </row>
    <row r="421">
      <c r="B421">
        <f>IF(_xlfn.XLOOKUP(D421,'COM RESID'!J:J,'COM RESID'!P:P)=0,"*","PRE")</f>
        <v/>
      </c>
      <c r="C421" t="inlineStr">
        <is>
          <t>CITY</t>
        </is>
      </c>
      <c r="D421">
        <f>'COM RESID'!J272</f>
        <v/>
      </c>
      <c r="E421">
        <f>'COM RESID'!A272&amp;" "&amp;'COM RESID'!B272&amp;" "&amp;'COM RESID'!C272&amp;" "&amp;'COM RESID'!D272&amp;" "&amp;'COM RESID'!E272&amp;" "&amp;'COM RESID'!F272</f>
        <v/>
      </c>
      <c r="F421">
        <f>IF(G421="MW","TJ",LEFT(G421,LEN(G421)-1))</f>
        <v/>
      </c>
      <c r="G421">
        <f>'COM RESID'!Q272</f>
        <v/>
      </c>
    </row>
    <row r="422">
      <c r="B422">
        <f>IF(_xlfn.XLOOKUP(D422,'COM RESID'!J:J,'COM RESID'!P:P)=0,"*","PRE")</f>
        <v/>
      </c>
      <c r="C422" t="inlineStr">
        <is>
          <t>CITY</t>
        </is>
      </c>
      <c r="D422">
        <f>'COM RESID'!J273</f>
        <v/>
      </c>
      <c r="E422">
        <f>'COM RESID'!A273&amp;" "&amp;'COM RESID'!B273&amp;" "&amp;'COM RESID'!C273&amp;" "&amp;'COM RESID'!D273&amp;" "&amp;'COM RESID'!E273&amp;" "&amp;'COM RESID'!F273</f>
        <v/>
      </c>
      <c r="F422">
        <f>IF(G422="MW","TJ",LEFT(G422,LEN(G422)-1))</f>
        <v/>
      </c>
      <c r="G422">
        <f>'COM RESID'!Q273</f>
        <v/>
      </c>
    </row>
    <row r="423">
      <c r="B423">
        <f>IF(_xlfn.XLOOKUP(D423,'COM RESID'!J:J,'COM RESID'!P:P)=0,"*","PRE")</f>
        <v/>
      </c>
      <c r="C423" t="inlineStr">
        <is>
          <t>CITY</t>
        </is>
      </c>
      <c r="D423">
        <f>'COM RESID'!J274</f>
        <v/>
      </c>
      <c r="E423">
        <f>'COM RESID'!A274&amp;" "&amp;'COM RESID'!B274&amp;" "&amp;'COM RESID'!C274&amp;" "&amp;'COM RESID'!D274&amp;" "&amp;'COM RESID'!E274&amp;" "&amp;'COM RESID'!F274</f>
        <v/>
      </c>
      <c r="F423">
        <f>IF(G423="MW","TJ",LEFT(G423,LEN(G423)-1))</f>
        <v/>
      </c>
      <c r="G423">
        <f>'COM RESID'!Q274</f>
        <v/>
      </c>
    </row>
    <row r="424">
      <c r="B424">
        <f>IF(_xlfn.XLOOKUP(D424,'COM RESID'!J:J,'COM RESID'!P:P)=0,"*","PRE")</f>
        <v/>
      </c>
      <c r="C424" t="inlineStr">
        <is>
          <t>CITY</t>
        </is>
      </c>
      <c r="D424">
        <f>'COM RESID'!J275</f>
        <v/>
      </c>
      <c r="E424">
        <f>'COM RESID'!A275&amp;" "&amp;'COM RESID'!B275&amp;" "&amp;'COM RESID'!C275&amp;" "&amp;'COM RESID'!D275&amp;" "&amp;'COM RESID'!E275&amp;" "&amp;'COM RESID'!F275</f>
        <v/>
      </c>
      <c r="F424">
        <f>IF(G424="MW","TJ",LEFT(G424,LEN(G424)-1))</f>
        <v/>
      </c>
      <c r="G424">
        <f>'COM RESID'!Q275</f>
        <v/>
      </c>
    </row>
    <row r="425">
      <c r="B425">
        <f>IF(_xlfn.XLOOKUP(D425,'COM RESID'!J:J,'COM RESID'!P:P)=0,"*","PRE")</f>
        <v/>
      </c>
      <c r="C425" t="inlineStr">
        <is>
          <t>CITY</t>
        </is>
      </c>
      <c r="D425">
        <f>'COM RESID'!J276</f>
        <v/>
      </c>
      <c r="E425">
        <f>'COM RESID'!A276&amp;" "&amp;'COM RESID'!B276&amp;" "&amp;'COM RESID'!C276&amp;" "&amp;'COM RESID'!D276&amp;" "&amp;'COM RESID'!E276&amp;" "&amp;'COM RESID'!F276</f>
        <v/>
      </c>
      <c r="F425">
        <f>IF(G425="MW","TJ",LEFT(G425,LEN(G425)-1))</f>
        <v/>
      </c>
      <c r="G425">
        <f>'COM RESID'!Q276</f>
        <v/>
      </c>
    </row>
    <row r="426">
      <c r="B426">
        <f>IF(_xlfn.XLOOKUP(D426,'COM RESID'!J:J,'COM RESID'!P:P)=0,"*","PRE")</f>
        <v/>
      </c>
      <c r="C426" t="inlineStr">
        <is>
          <t>CITY</t>
        </is>
      </c>
      <c r="D426">
        <f>'COM RESID'!J277</f>
        <v/>
      </c>
      <c r="E426">
        <f>'COM RESID'!A277&amp;" "&amp;'COM RESID'!B277&amp;" "&amp;'COM RESID'!C277&amp;" "&amp;'COM RESID'!D277&amp;" "&amp;'COM RESID'!E277&amp;" "&amp;'COM RESID'!F277</f>
        <v/>
      </c>
      <c r="F426">
        <f>IF(G426="MW","TJ",LEFT(G426,LEN(G426)-1))</f>
        <v/>
      </c>
      <c r="G426">
        <f>'COM RESID'!Q277</f>
        <v/>
      </c>
    </row>
    <row r="427">
      <c r="B427">
        <f>IF(_xlfn.XLOOKUP(D427,'COM RESID'!J:J,'COM RESID'!P:P)=0,"*","PRE")</f>
        <v/>
      </c>
      <c r="C427" t="inlineStr">
        <is>
          <t>CITY</t>
        </is>
      </c>
      <c r="D427">
        <f>'COM RESID'!J278</f>
        <v/>
      </c>
      <c r="E427">
        <f>'COM RESID'!A278&amp;" "&amp;'COM RESID'!B278&amp;" "&amp;'COM RESID'!C278&amp;" "&amp;'COM RESID'!D278&amp;" "&amp;'COM RESID'!E278&amp;" "&amp;'COM RESID'!F278</f>
        <v/>
      </c>
      <c r="F427">
        <f>IF(G427="MW","TJ",LEFT(G427,LEN(G427)-1))</f>
        <v/>
      </c>
      <c r="G427">
        <f>'COM RESID'!Q278</f>
        <v/>
      </c>
    </row>
    <row r="428">
      <c r="B428">
        <f>IF(_xlfn.XLOOKUP(D428,'COM RESID'!J:J,'COM RESID'!P:P)=0,"*","PRE")</f>
        <v/>
      </c>
      <c r="C428" t="inlineStr">
        <is>
          <t>CITY</t>
        </is>
      </c>
      <c r="D428">
        <f>'COM RESID'!J279</f>
        <v/>
      </c>
      <c r="E428">
        <f>'COM RESID'!A279&amp;" "&amp;'COM RESID'!B279&amp;" "&amp;'COM RESID'!C279&amp;" "&amp;'COM RESID'!D279&amp;" "&amp;'COM RESID'!E279&amp;" "&amp;'COM RESID'!F279</f>
        <v/>
      </c>
      <c r="F428">
        <f>IF(G428="MW","TJ",LEFT(G428,LEN(G428)-1))</f>
        <v/>
      </c>
      <c r="G428">
        <f>'COM RESID'!Q279</f>
        <v/>
      </c>
    </row>
    <row r="429">
      <c r="B429">
        <f>IF(_xlfn.XLOOKUP(D429,'COM RESID'!J:J,'COM RESID'!P:P)=0,"*","PRE")</f>
        <v/>
      </c>
      <c r="C429" t="inlineStr">
        <is>
          <t>CITY</t>
        </is>
      </c>
      <c r="D429">
        <f>'COM RESID'!J280</f>
        <v/>
      </c>
      <c r="E429">
        <f>'COM RESID'!A280&amp;" "&amp;'COM RESID'!B280&amp;" "&amp;'COM RESID'!C280&amp;" "&amp;'COM RESID'!D280&amp;" "&amp;'COM RESID'!E280&amp;" "&amp;'COM RESID'!F280</f>
        <v/>
      </c>
      <c r="F429">
        <f>IF(G429="MW","TJ",LEFT(G429,LEN(G429)-1))</f>
        <v/>
      </c>
      <c r="G429">
        <f>'COM RESID'!Q280</f>
        <v/>
      </c>
    </row>
    <row r="430">
      <c r="B430">
        <f>IF(_xlfn.XLOOKUP(D430,'COM RESID'!J:J,'COM RESID'!P:P)=0,"*","PRE")</f>
        <v/>
      </c>
      <c r="C430" t="inlineStr">
        <is>
          <t>CITY</t>
        </is>
      </c>
      <c r="D430">
        <f>'COM RESID'!J281</f>
        <v/>
      </c>
      <c r="E430">
        <f>'COM RESID'!A281&amp;" "&amp;'COM RESID'!B281&amp;" "&amp;'COM RESID'!C281&amp;" "&amp;'COM RESID'!D281&amp;" "&amp;'COM RESID'!E281&amp;" "&amp;'COM RESID'!F281</f>
        <v/>
      </c>
      <c r="F430">
        <f>IF(G430="MW","TJ",LEFT(G430,LEN(G430)-1))</f>
        <v/>
      </c>
      <c r="G430">
        <f>'COM RESID'!Q281</f>
        <v/>
      </c>
    </row>
    <row r="431">
      <c r="B431">
        <f>IF(_xlfn.XLOOKUP(D431,'COM RESID'!J:J,'COM RESID'!P:P)=0,"*","PRE")</f>
        <v/>
      </c>
      <c r="C431" t="inlineStr">
        <is>
          <t>CITY</t>
        </is>
      </c>
      <c r="D431">
        <f>'COM RESID'!J282</f>
        <v/>
      </c>
      <c r="E431">
        <f>'COM RESID'!A282&amp;" "&amp;'COM RESID'!B282&amp;" "&amp;'COM RESID'!C282&amp;" "&amp;'COM RESID'!D282&amp;" "&amp;'COM RESID'!E282&amp;" "&amp;'COM RESID'!F282</f>
        <v/>
      </c>
      <c r="F431">
        <f>IF(G431="MW","TJ",LEFT(G431,LEN(G431)-1))</f>
        <v/>
      </c>
      <c r="G431">
        <f>'COM RESID'!Q282</f>
        <v/>
      </c>
    </row>
    <row r="432">
      <c r="B432">
        <f>IF(_xlfn.XLOOKUP(D432,'COM RESID'!J:J,'COM RESID'!P:P)=0,"*","PRE")</f>
        <v/>
      </c>
      <c r="C432" t="inlineStr">
        <is>
          <t>CITY</t>
        </is>
      </c>
      <c r="D432">
        <f>'COM RESID'!J283</f>
        <v/>
      </c>
      <c r="E432">
        <f>'COM RESID'!A283&amp;" "&amp;'COM RESID'!B283&amp;" "&amp;'COM RESID'!C283&amp;" "&amp;'COM RESID'!D283&amp;" "&amp;'COM RESID'!E283&amp;" "&amp;'COM RESID'!F283</f>
        <v/>
      </c>
      <c r="F432">
        <f>IF(G432="MW","TJ",LEFT(G432,LEN(G432)-1))</f>
        <v/>
      </c>
      <c r="G432">
        <f>'COM RESID'!Q283</f>
        <v/>
      </c>
    </row>
    <row r="433">
      <c r="B433">
        <f>IF(_xlfn.XLOOKUP(D433,'COM RESID'!J:J,'COM RESID'!P:P)=0,"*","PRE")</f>
        <v/>
      </c>
      <c r="C433" t="inlineStr">
        <is>
          <t>CITY</t>
        </is>
      </c>
      <c r="D433">
        <f>'COM RESID'!J284</f>
        <v/>
      </c>
      <c r="E433">
        <f>'COM RESID'!A284&amp;" "&amp;'COM RESID'!B284&amp;" "&amp;'COM RESID'!C284&amp;" "&amp;'COM RESID'!D284&amp;" "&amp;'COM RESID'!E284&amp;" "&amp;'COM RESID'!F284</f>
        <v/>
      </c>
      <c r="F433">
        <f>IF(G433="MW","TJ",LEFT(G433,LEN(G433)-1))</f>
        <v/>
      </c>
      <c r="G433">
        <f>'COM RESID'!Q284</f>
        <v/>
      </c>
    </row>
    <row r="434">
      <c r="B434">
        <f>IF(_xlfn.XLOOKUP(D434,'COM RESID'!J:J,'COM RESID'!P:P)=0,"*","PRE")</f>
        <v/>
      </c>
      <c r="C434" t="inlineStr">
        <is>
          <t>CITY</t>
        </is>
      </c>
      <c r="D434">
        <f>'COM RESID'!J285</f>
        <v/>
      </c>
      <c r="E434">
        <f>'COM RESID'!A285&amp;" "&amp;'COM RESID'!B285&amp;" "&amp;'COM RESID'!C285&amp;" "&amp;'COM RESID'!D285&amp;" "&amp;'COM RESID'!E285&amp;" "&amp;'COM RESID'!F285</f>
        <v/>
      </c>
      <c r="F434">
        <f>IF(G434="MW","TJ",LEFT(G434,LEN(G434)-1))</f>
        <v/>
      </c>
      <c r="G434">
        <f>'COM RESID'!Q285</f>
        <v/>
      </c>
    </row>
    <row r="435">
      <c r="B435">
        <f>IF(_xlfn.XLOOKUP(D435,'COM RESID'!J:J,'COM RESID'!P:P)=0,"*","PRE")</f>
        <v/>
      </c>
      <c r="C435" t="inlineStr">
        <is>
          <t>CITY</t>
        </is>
      </c>
      <c r="D435">
        <f>'COM RESID'!J286</f>
        <v/>
      </c>
      <c r="E435">
        <f>'COM RESID'!A286&amp;" "&amp;'COM RESID'!B286&amp;" "&amp;'COM RESID'!C286&amp;" "&amp;'COM RESID'!D286&amp;" "&amp;'COM RESID'!E286&amp;" "&amp;'COM RESID'!F286</f>
        <v/>
      </c>
      <c r="F435">
        <f>IF(G435="MW","TJ",LEFT(G435,LEN(G435)-1))</f>
        <v/>
      </c>
      <c r="G435">
        <f>'COM RESID'!Q286</f>
        <v/>
      </c>
    </row>
    <row r="436">
      <c r="B436">
        <f>IF(_xlfn.XLOOKUP(D436,'COM RESID'!J:J,'COM RESID'!P:P)=0,"*","PRE")</f>
        <v/>
      </c>
      <c r="C436" t="inlineStr">
        <is>
          <t>CITY</t>
        </is>
      </c>
      <c r="D436">
        <f>'COM RESID'!J287</f>
        <v/>
      </c>
      <c r="E436">
        <f>'COM RESID'!A287&amp;" "&amp;'COM RESID'!B287&amp;" "&amp;'COM RESID'!C287&amp;" "&amp;'COM RESID'!D287&amp;" "&amp;'COM RESID'!E287&amp;" "&amp;'COM RESID'!F287</f>
        <v/>
      </c>
      <c r="F436">
        <f>IF(G436="MW","TJ",LEFT(G436,LEN(G436)-1))</f>
        <v/>
      </c>
      <c r="G436">
        <f>'COM RESID'!Q287</f>
        <v/>
      </c>
    </row>
    <row r="437">
      <c r="B437">
        <f>IF(_xlfn.XLOOKUP(D437,'COM RESID'!J:J,'COM RESID'!P:P)=0,"*","PRE")</f>
        <v/>
      </c>
      <c r="C437" t="inlineStr">
        <is>
          <t>CITY</t>
        </is>
      </c>
      <c r="D437">
        <f>'COM RESID'!J288</f>
        <v/>
      </c>
      <c r="E437">
        <f>'COM RESID'!A288&amp;" "&amp;'COM RESID'!B288&amp;" "&amp;'COM RESID'!C288&amp;" "&amp;'COM RESID'!D288&amp;" "&amp;'COM RESID'!E288&amp;" "&amp;'COM RESID'!F288</f>
        <v/>
      </c>
      <c r="F437">
        <f>IF(G437="MW","TJ",LEFT(G437,LEN(G437)-1))</f>
        <v/>
      </c>
      <c r="G437">
        <f>'COM RESID'!Q288</f>
        <v/>
      </c>
    </row>
    <row r="438">
      <c r="B438">
        <f>IF(_xlfn.XLOOKUP(D438,'COM RESID'!J:J,'COM RESID'!P:P)=0,"*","PRE")</f>
        <v/>
      </c>
      <c r="C438" t="inlineStr">
        <is>
          <t>CITY</t>
        </is>
      </c>
      <c r="D438">
        <f>'COM RESID'!J289</f>
        <v/>
      </c>
      <c r="E438">
        <f>'COM RESID'!A289&amp;" "&amp;'COM RESID'!B289&amp;" "&amp;'COM RESID'!C289&amp;" "&amp;'COM RESID'!D289&amp;" "&amp;'COM RESID'!E289&amp;" "&amp;'COM RESID'!F289</f>
        <v/>
      </c>
      <c r="F438">
        <f>IF(G438="MW","TJ",LEFT(G438,LEN(G438)-1))</f>
        <v/>
      </c>
      <c r="G438">
        <f>'COM RESID'!Q289</f>
        <v/>
      </c>
    </row>
    <row r="439">
      <c r="B439">
        <f>IF(_xlfn.XLOOKUP(D439,'COM RESID'!J:J,'COM RESID'!P:P)=0,"*","PRE")</f>
        <v/>
      </c>
      <c r="C439" t="inlineStr">
        <is>
          <t>CITY</t>
        </is>
      </c>
      <c r="D439">
        <f>'COM RESID'!J290</f>
        <v/>
      </c>
      <c r="E439">
        <f>'COM RESID'!A290&amp;" "&amp;'COM RESID'!B290&amp;" "&amp;'COM RESID'!C290&amp;" "&amp;'COM RESID'!D290&amp;" "&amp;'COM RESID'!E290&amp;" "&amp;'COM RESID'!F290</f>
        <v/>
      </c>
      <c r="F439">
        <f>IF(G439="MW","TJ",LEFT(G439,LEN(G439)-1))</f>
        <v/>
      </c>
      <c r="G439">
        <f>'COM RESID'!Q290</f>
        <v/>
      </c>
    </row>
    <row r="440">
      <c r="B440">
        <f>IF(_xlfn.XLOOKUP(D440,'COM RESID'!J:J,'COM RESID'!P:P)=0,"*","PRE")</f>
        <v/>
      </c>
      <c r="C440" t="inlineStr">
        <is>
          <t>CITY</t>
        </is>
      </c>
      <c r="D440">
        <f>'COM RESID'!J291</f>
        <v/>
      </c>
      <c r="E440">
        <f>'COM RESID'!A291&amp;" "&amp;'COM RESID'!B291&amp;" "&amp;'COM RESID'!C291&amp;" "&amp;'COM RESID'!D291&amp;" "&amp;'COM RESID'!E291&amp;" "&amp;'COM RESID'!F291</f>
        <v/>
      </c>
      <c r="F440">
        <f>IF(G440="MW","TJ",LEFT(G440,LEN(G440)-1))</f>
        <v/>
      </c>
      <c r="G440">
        <f>'COM RESID'!Q291</f>
        <v/>
      </c>
    </row>
    <row r="441">
      <c r="B441">
        <f>IF(_xlfn.XLOOKUP(D441,'COM RESID'!J:J,'COM RESID'!P:P)=0,"*","PRE")</f>
        <v/>
      </c>
      <c r="C441" t="inlineStr">
        <is>
          <t>CITY</t>
        </is>
      </c>
      <c r="D441">
        <f>'COM RESID'!J292</f>
        <v/>
      </c>
      <c r="E441">
        <f>'COM RESID'!A292&amp;" "&amp;'COM RESID'!B292&amp;" "&amp;'COM RESID'!C292&amp;" "&amp;'COM RESID'!D292&amp;" "&amp;'COM RESID'!E292&amp;" "&amp;'COM RESID'!F292</f>
        <v/>
      </c>
      <c r="F441">
        <f>IF(G441="MW","TJ",LEFT(G441,LEN(G441)-1))</f>
        <v/>
      </c>
      <c r="G441">
        <f>'COM RESID'!Q292</f>
        <v/>
      </c>
    </row>
    <row r="442">
      <c r="B442">
        <f>IF(_xlfn.XLOOKUP(D442,'COM RESID'!J:J,'COM RESID'!P:P)=0,"*","PRE")</f>
        <v/>
      </c>
      <c r="C442" t="inlineStr">
        <is>
          <t>CITY</t>
        </is>
      </c>
      <c r="D442">
        <f>'COM RESID'!J293</f>
        <v/>
      </c>
      <c r="E442">
        <f>'COM RESID'!A293&amp;" "&amp;'COM RESID'!B293&amp;" "&amp;'COM RESID'!C293&amp;" "&amp;'COM RESID'!D293&amp;" "&amp;'COM RESID'!E293&amp;" "&amp;'COM RESID'!F293</f>
        <v/>
      </c>
      <c r="F442">
        <f>IF(G442="MW","TJ",LEFT(G442,LEN(G442)-1))</f>
        <v/>
      </c>
      <c r="G442">
        <f>'COM RESID'!Q293</f>
        <v/>
      </c>
    </row>
    <row r="443">
      <c r="B443">
        <f>IF(_xlfn.XLOOKUP(D443,'COM RESID'!J:J,'COM RESID'!P:P)=0,"*","PRE")</f>
        <v/>
      </c>
      <c r="C443" t="inlineStr">
        <is>
          <t>CITY</t>
        </is>
      </c>
      <c r="D443">
        <f>'COM RESID'!J294</f>
        <v/>
      </c>
      <c r="E443">
        <f>'COM RESID'!A294&amp;" "&amp;'COM RESID'!B294&amp;" "&amp;'COM RESID'!C294&amp;" "&amp;'COM RESID'!D294&amp;" "&amp;'COM RESID'!E294&amp;" "&amp;'COM RESID'!F294</f>
        <v/>
      </c>
      <c r="F443">
        <f>IF(G443="MW","TJ",LEFT(G443,LEN(G443)-1))</f>
        <v/>
      </c>
      <c r="G443">
        <f>'COM RESID'!Q294</f>
        <v/>
      </c>
    </row>
    <row r="444">
      <c r="B444">
        <f>IF(_xlfn.XLOOKUP(D444,'COM RESID'!J:J,'COM RESID'!P:P)=0,"*","PRE")</f>
        <v/>
      </c>
      <c r="C444" t="inlineStr">
        <is>
          <t>CITY</t>
        </is>
      </c>
      <c r="D444">
        <f>'COM RESID'!J295</f>
        <v/>
      </c>
      <c r="E444">
        <f>'COM RESID'!A295&amp;" "&amp;'COM RESID'!B295&amp;" "&amp;'COM RESID'!C295&amp;" "&amp;'COM RESID'!D295&amp;" "&amp;'COM RESID'!E295&amp;" "&amp;'COM RESID'!F295</f>
        <v/>
      </c>
      <c r="F444">
        <f>IF(G444="MW","TJ",LEFT(G444,LEN(G444)-1))</f>
        <v/>
      </c>
      <c r="G444">
        <f>'COM RESID'!Q295</f>
        <v/>
      </c>
    </row>
    <row r="445">
      <c r="B445">
        <f>IF(_xlfn.XLOOKUP(D445,'COM RESID'!J:J,'COM RESID'!P:P)=0,"*","PRE")</f>
        <v/>
      </c>
      <c r="C445" t="inlineStr">
        <is>
          <t>CITY</t>
        </is>
      </c>
      <c r="D445">
        <f>'COM RESID'!J296</f>
        <v/>
      </c>
      <c r="E445">
        <f>'COM RESID'!A296&amp;" "&amp;'COM RESID'!B296&amp;" "&amp;'COM RESID'!C296&amp;" "&amp;'COM RESID'!D296&amp;" "&amp;'COM RESID'!E296&amp;" "&amp;'COM RESID'!F296</f>
        <v/>
      </c>
      <c r="F445">
        <f>IF(G445="MW","TJ",LEFT(G445,LEN(G445)-1))</f>
        <v/>
      </c>
      <c r="G445">
        <f>'COM RESID'!Q296</f>
        <v/>
      </c>
    </row>
    <row r="446">
      <c r="B446">
        <f>IF(_xlfn.XLOOKUP(D446,'COM RESID'!J:J,'COM RESID'!P:P)=0,"*","PRE")</f>
        <v/>
      </c>
      <c r="C446" t="inlineStr">
        <is>
          <t>CITY</t>
        </is>
      </c>
      <c r="D446">
        <f>'COM RESID'!J297</f>
        <v/>
      </c>
      <c r="E446">
        <f>'COM RESID'!A297&amp;" "&amp;'COM RESID'!B297&amp;" "&amp;'COM RESID'!C297&amp;" "&amp;'COM RESID'!D297&amp;" "&amp;'COM RESID'!E297&amp;" "&amp;'COM RESID'!F297</f>
        <v/>
      </c>
      <c r="F446">
        <f>IF(G446="MW","TJ",LEFT(G446,LEN(G446)-1))</f>
        <v/>
      </c>
      <c r="G446">
        <f>'COM RESID'!Q297</f>
        <v/>
      </c>
    </row>
    <row r="447">
      <c r="B447">
        <f>IF(_xlfn.XLOOKUP(D447,'COM RESID'!J:J,'COM RESID'!P:P)=0,"*","PRE")</f>
        <v/>
      </c>
      <c r="C447" t="inlineStr">
        <is>
          <t>CITY</t>
        </is>
      </c>
      <c r="D447">
        <f>'COM RESID'!J298</f>
        <v/>
      </c>
      <c r="E447">
        <f>'COM RESID'!A298&amp;" "&amp;'COM RESID'!B298&amp;" "&amp;'COM RESID'!C298&amp;" "&amp;'COM RESID'!D298&amp;" "&amp;'COM RESID'!E298&amp;" "&amp;'COM RESID'!F298</f>
        <v/>
      </c>
      <c r="F447">
        <f>IF(G447="MW","TJ",LEFT(G447,LEN(G447)-1))</f>
        <v/>
      </c>
      <c r="G447">
        <f>'COM RESID'!Q298</f>
        <v/>
      </c>
    </row>
    <row r="448">
      <c r="B448">
        <f>IF(_xlfn.XLOOKUP(D448,'COM RESID'!J:J,'COM RESID'!P:P)=0,"*","PRE")</f>
        <v/>
      </c>
      <c r="C448" t="inlineStr">
        <is>
          <t>CITY</t>
        </is>
      </c>
      <c r="D448">
        <f>'COM RESID'!J299</f>
        <v/>
      </c>
      <c r="E448">
        <f>'COM RESID'!A299&amp;" "&amp;'COM RESID'!B299&amp;" "&amp;'COM RESID'!C299&amp;" "&amp;'COM RESID'!D299&amp;" "&amp;'COM RESID'!E299&amp;" "&amp;'COM RESID'!F299</f>
        <v/>
      </c>
      <c r="F448">
        <f>IF(G448="MW","TJ",LEFT(G448,LEN(G448)-1))</f>
        <v/>
      </c>
      <c r="G448">
        <f>'COM RESID'!Q299</f>
        <v/>
      </c>
    </row>
    <row r="449">
      <c r="B449">
        <f>IF(_xlfn.XLOOKUP(D449,'COM RESID'!J:J,'COM RESID'!P:P)=0,"*","PRE")</f>
        <v/>
      </c>
      <c r="C449" t="inlineStr">
        <is>
          <t>CITY</t>
        </is>
      </c>
      <c r="D449">
        <f>'COM RESID'!J300</f>
        <v/>
      </c>
      <c r="E449">
        <f>'COM RESID'!A300&amp;" "&amp;'COM RESID'!B300&amp;" "&amp;'COM RESID'!C300&amp;" "&amp;'COM RESID'!D300&amp;" "&amp;'COM RESID'!E300&amp;" "&amp;'COM RESID'!F300</f>
        <v/>
      </c>
      <c r="F449">
        <f>IF(G449="MW","TJ",LEFT(G449,LEN(G449)-1))</f>
        <v/>
      </c>
      <c r="G449">
        <f>'COM RESID'!Q300</f>
        <v/>
      </c>
    </row>
    <row r="450">
      <c r="B450">
        <f>IF(_xlfn.XLOOKUP(D450,'COM RESID'!J:J,'COM RESID'!P:P)=0,"*","PRE")</f>
        <v/>
      </c>
      <c r="C450" t="inlineStr">
        <is>
          <t>CITY</t>
        </is>
      </c>
      <c r="D450">
        <f>'COM RESID'!J301</f>
        <v/>
      </c>
      <c r="E450">
        <f>'COM RESID'!A301&amp;" "&amp;'COM RESID'!B301&amp;" "&amp;'COM RESID'!C301&amp;" "&amp;'COM RESID'!D301&amp;" "&amp;'COM RESID'!E301&amp;" "&amp;'COM RESID'!F301</f>
        <v/>
      </c>
      <c r="F450">
        <f>IF(G450="MW","TJ",LEFT(G450,LEN(G450)-1))</f>
        <v/>
      </c>
      <c r="G450">
        <f>'COM RESID'!Q301</f>
        <v/>
      </c>
    </row>
    <row r="451">
      <c r="B451">
        <f>IF(_xlfn.XLOOKUP(D451,'COM RESID'!J:J,'COM RESID'!P:P)=0,"*","PRE")</f>
        <v/>
      </c>
      <c r="C451" t="inlineStr">
        <is>
          <t>CITY</t>
        </is>
      </c>
      <c r="D451">
        <f>'COM RESID'!J302</f>
        <v/>
      </c>
      <c r="E451">
        <f>'COM RESID'!A302&amp;" "&amp;'COM RESID'!B302&amp;" "&amp;'COM RESID'!C302&amp;" "&amp;'COM RESID'!D302&amp;" "&amp;'COM RESID'!E302&amp;" "&amp;'COM RESID'!F302</f>
        <v/>
      </c>
      <c r="F451">
        <f>IF(G451="MW","TJ",LEFT(G451,LEN(G451)-1))</f>
        <v/>
      </c>
      <c r="G451">
        <f>'COM RESID'!Q302</f>
        <v/>
      </c>
    </row>
    <row r="452">
      <c r="B452">
        <f>IF(_xlfn.XLOOKUP(D452,'COM RESID'!J:J,'COM RESID'!P:P)=0,"*","PRE")</f>
        <v/>
      </c>
      <c r="C452" t="inlineStr">
        <is>
          <t>CITY</t>
        </is>
      </c>
      <c r="D452">
        <f>'COM RESID'!J303</f>
        <v/>
      </c>
      <c r="E452">
        <f>'COM RESID'!A303&amp;" "&amp;'COM RESID'!B303&amp;" "&amp;'COM RESID'!C303&amp;" "&amp;'COM RESID'!D303&amp;" "&amp;'COM RESID'!E303&amp;" "&amp;'COM RESID'!F303</f>
        <v/>
      </c>
      <c r="F452">
        <f>IF(G452="MW","TJ",LEFT(G452,LEN(G452)-1))</f>
        <v/>
      </c>
      <c r="G452">
        <f>'COM RESID'!Q303</f>
        <v/>
      </c>
    </row>
    <row r="453">
      <c r="B453">
        <f>IF(_xlfn.XLOOKUP(D453,'COM RESID'!J:J,'COM RESID'!P:P)=0,"*","PRE")</f>
        <v/>
      </c>
      <c r="C453" t="inlineStr">
        <is>
          <t>CITY</t>
        </is>
      </c>
      <c r="D453">
        <f>'COM RESID'!J304</f>
        <v/>
      </c>
      <c r="E453">
        <f>'COM RESID'!A304&amp;" "&amp;'COM RESID'!B304&amp;" "&amp;'COM RESID'!C304&amp;" "&amp;'COM RESID'!D304&amp;" "&amp;'COM RESID'!E304&amp;" "&amp;'COM RESID'!F304</f>
        <v/>
      </c>
      <c r="F453">
        <f>IF(G453="MW","TJ",LEFT(G453,LEN(G453)-1))</f>
        <v/>
      </c>
      <c r="G453">
        <f>'COM RESID'!Q304</f>
        <v/>
      </c>
    </row>
    <row r="454">
      <c r="B454">
        <f>IF(_xlfn.XLOOKUP(D454,'COM RESID'!J:J,'COM RESID'!P:P)=0,"*","PRE")</f>
        <v/>
      </c>
      <c r="C454" t="inlineStr">
        <is>
          <t>CITY</t>
        </is>
      </c>
      <c r="D454">
        <f>'COM RESID'!J305</f>
        <v/>
      </c>
      <c r="E454">
        <f>'COM RESID'!A305&amp;" "&amp;'COM RESID'!B305&amp;" "&amp;'COM RESID'!C305&amp;" "&amp;'COM RESID'!D305&amp;" "&amp;'COM RESID'!E305&amp;" "&amp;'COM RESID'!F305</f>
        <v/>
      </c>
      <c r="F454">
        <f>IF(G454="MW","TJ",LEFT(G454,LEN(G454)-1))</f>
        <v/>
      </c>
      <c r="G454">
        <f>'COM RESID'!Q305</f>
        <v/>
      </c>
    </row>
    <row r="455">
      <c r="B455">
        <f>IF(_xlfn.XLOOKUP(D455,'COM RESID'!J:J,'COM RESID'!P:P)=0,"*","PRE")</f>
        <v/>
      </c>
      <c r="C455" t="inlineStr">
        <is>
          <t>CITY</t>
        </is>
      </c>
      <c r="D455">
        <f>'COM RESID'!J306</f>
        <v/>
      </c>
      <c r="E455">
        <f>'COM RESID'!A306&amp;" "&amp;'COM RESID'!B306&amp;" "&amp;'COM RESID'!C306&amp;" "&amp;'COM RESID'!D306&amp;" "&amp;'COM RESID'!E306&amp;" "&amp;'COM RESID'!F306</f>
        <v/>
      </c>
      <c r="F455">
        <f>IF(G455="MW","TJ",LEFT(G455,LEN(G455)-1))</f>
        <v/>
      </c>
      <c r="G455">
        <f>'COM RESID'!Q306</f>
        <v/>
      </c>
    </row>
    <row r="456">
      <c r="B456">
        <f>IF(_xlfn.XLOOKUP(D456,'COM RESID'!J:J,'COM RESID'!P:P)=0,"*","PRE")</f>
        <v/>
      </c>
      <c r="C456" t="inlineStr">
        <is>
          <t>CITY</t>
        </is>
      </c>
      <c r="D456">
        <f>'COM RESID'!J307</f>
        <v/>
      </c>
      <c r="E456">
        <f>'COM RESID'!A307&amp;" "&amp;'COM RESID'!B307&amp;" "&amp;'COM RESID'!C307&amp;" "&amp;'COM RESID'!D307&amp;" "&amp;'COM RESID'!E307&amp;" "&amp;'COM RESID'!F307</f>
        <v/>
      </c>
      <c r="F456">
        <f>IF(G456="MW","TJ",LEFT(G456,LEN(G456)-1))</f>
        <v/>
      </c>
      <c r="G456">
        <f>'COM RESID'!Q307</f>
        <v/>
      </c>
    </row>
    <row r="457">
      <c r="B457">
        <f>IF(_xlfn.XLOOKUP(D457,'COM RESID'!J:J,'COM RESID'!P:P)=0,"*","PRE")</f>
        <v/>
      </c>
      <c r="C457" t="inlineStr">
        <is>
          <t>CITY</t>
        </is>
      </c>
      <c r="D457">
        <f>'COM RESID'!J308</f>
        <v/>
      </c>
      <c r="E457">
        <f>'COM RESID'!A308&amp;" "&amp;'COM RESID'!B308&amp;" "&amp;'COM RESID'!C308&amp;" "&amp;'COM RESID'!D308&amp;" "&amp;'COM RESID'!E308&amp;" "&amp;'COM RESID'!F308</f>
        <v/>
      </c>
      <c r="F457">
        <f>IF(G457="MW","TJ",LEFT(G457,LEN(G457)-1))</f>
        <v/>
      </c>
      <c r="G457">
        <f>'COM RESID'!Q308</f>
        <v/>
      </c>
    </row>
    <row r="458">
      <c r="B458">
        <f>IF(_xlfn.XLOOKUP(D458,'COM RESID'!J:J,'COM RESID'!P:P)=0,"*","PRE")</f>
        <v/>
      </c>
      <c r="C458" t="inlineStr">
        <is>
          <t>CITY</t>
        </is>
      </c>
      <c r="D458">
        <f>'COM RESID'!J309</f>
        <v/>
      </c>
      <c r="E458">
        <f>'COM RESID'!A309&amp;" "&amp;'COM RESID'!B309&amp;" "&amp;'COM RESID'!C309&amp;" "&amp;'COM RESID'!D309&amp;" "&amp;'COM RESID'!E309&amp;" "&amp;'COM RESID'!F309</f>
        <v/>
      </c>
      <c r="F458">
        <f>IF(G458="MW","TJ",LEFT(G458,LEN(G458)-1))</f>
        <v/>
      </c>
      <c r="G458">
        <f>'COM RESID'!Q309</f>
        <v/>
      </c>
    </row>
    <row r="459">
      <c r="B459">
        <f>IF(_xlfn.XLOOKUP(D459,'COM RESID'!J:J,'COM RESID'!P:P)=0,"*","PRE")</f>
        <v/>
      </c>
      <c r="C459" t="inlineStr">
        <is>
          <t>CITY</t>
        </is>
      </c>
      <c r="D459">
        <f>'COM RESID'!J310</f>
        <v/>
      </c>
      <c r="E459">
        <f>'COM RESID'!A310&amp;" "&amp;'COM RESID'!B310&amp;" "&amp;'COM RESID'!C310&amp;" "&amp;'COM RESID'!D310&amp;" "&amp;'COM RESID'!E310&amp;" "&amp;'COM RESID'!F310</f>
        <v/>
      </c>
      <c r="F459">
        <f>IF(G459="MW","TJ",LEFT(G459,LEN(G459)-1))</f>
        <v/>
      </c>
      <c r="G459">
        <f>'COM RESID'!Q310</f>
        <v/>
      </c>
    </row>
    <row r="460">
      <c r="B460">
        <f>IF(_xlfn.XLOOKUP(D460,'COM RESID'!J:J,'COM RESID'!P:P)=0,"*","PRE")</f>
        <v/>
      </c>
      <c r="C460" t="inlineStr">
        <is>
          <t>CITY</t>
        </is>
      </c>
      <c r="D460">
        <f>'COM RESID'!J311</f>
        <v/>
      </c>
      <c r="E460">
        <f>'COM RESID'!A311&amp;" "&amp;'COM RESID'!B311&amp;" "&amp;'COM RESID'!C311&amp;" "&amp;'COM RESID'!D311&amp;" "&amp;'COM RESID'!E311&amp;" "&amp;'COM RESID'!F311</f>
        <v/>
      </c>
      <c r="F460">
        <f>IF(G460="MW","TJ",LEFT(G460,LEN(G460)-1))</f>
        <v/>
      </c>
      <c r="G460">
        <f>'COM RESID'!Q311</f>
        <v/>
      </c>
    </row>
    <row r="461">
      <c r="B461">
        <f>IF(_xlfn.XLOOKUP(D461,'COM RESID'!J:J,'COM RESID'!P:P)=0,"*","PRE")</f>
        <v/>
      </c>
      <c r="C461" t="inlineStr">
        <is>
          <t>CITY</t>
        </is>
      </c>
      <c r="D461">
        <f>'COM RESID'!J312</f>
        <v/>
      </c>
      <c r="E461">
        <f>'COM RESID'!A312&amp;" "&amp;'COM RESID'!B312&amp;" "&amp;'COM RESID'!C312&amp;" "&amp;'COM RESID'!D312&amp;" "&amp;'COM RESID'!E312&amp;" "&amp;'COM RESID'!F312</f>
        <v/>
      </c>
      <c r="F461">
        <f>IF(G461="MW","TJ",LEFT(G461,LEN(G461)-1))</f>
        <v/>
      </c>
      <c r="G461">
        <f>'COM RESID'!Q312</f>
        <v/>
      </c>
    </row>
    <row r="462">
      <c r="B462">
        <f>IF(_xlfn.XLOOKUP(D462,'COM RESID'!J:J,'COM RESID'!P:P)=0,"*","PRE")</f>
        <v/>
      </c>
      <c r="C462" t="inlineStr">
        <is>
          <t>CITY</t>
        </is>
      </c>
      <c r="D462">
        <f>'COM RESID'!J313</f>
        <v/>
      </c>
      <c r="E462">
        <f>'COM RESID'!A313&amp;" "&amp;'COM RESID'!B313&amp;" "&amp;'COM RESID'!C313&amp;" "&amp;'COM RESID'!D313&amp;" "&amp;'COM RESID'!E313&amp;" "&amp;'COM RESID'!F313</f>
        <v/>
      </c>
      <c r="F462">
        <f>IF(G462="MW","TJ",LEFT(G462,LEN(G462)-1))</f>
        <v/>
      </c>
      <c r="G462">
        <f>'COM RESID'!Q313</f>
        <v/>
      </c>
    </row>
    <row r="463">
      <c r="B463">
        <f>IF(_xlfn.XLOOKUP(D463,'COM RESID'!J:J,'COM RESID'!P:P)=0,"*","PRE")</f>
        <v/>
      </c>
      <c r="C463" t="inlineStr">
        <is>
          <t>CITY</t>
        </is>
      </c>
      <c r="D463">
        <f>'COM RESID'!J314</f>
        <v/>
      </c>
      <c r="E463">
        <f>'COM RESID'!A314&amp;" "&amp;'COM RESID'!B314&amp;" "&amp;'COM RESID'!C314&amp;" "&amp;'COM RESID'!D314&amp;" "&amp;'COM RESID'!E314&amp;" "&amp;'COM RESID'!F314</f>
        <v/>
      </c>
      <c r="F463">
        <f>IF(G463="MW","TJ",LEFT(G463,LEN(G463)-1))</f>
        <v/>
      </c>
      <c r="G463">
        <f>'COM RESID'!Q314</f>
        <v/>
      </c>
    </row>
    <row r="464">
      <c r="B464">
        <f>IF(_xlfn.XLOOKUP(D464,'COM RESID'!J:J,'COM RESID'!P:P)=0,"*","PRE")</f>
        <v/>
      </c>
      <c r="C464" t="inlineStr">
        <is>
          <t>CITY</t>
        </is>
      </c>
      <c r="D464">
        <f>'COM RESID'!J315</f>
        <v/>
      </c>
      <c r="E464">
        <f>'COM RESID'!A315&amp;" "&amp;'COM RESID'!B315&amp;" "&amp;'COM RESID'!C315&amp;" "&amp;'COM RESID'!D315&amp;" "&amp;'COM RESID'!E315&amp;" "&amp;'COM RESID'!F315</f>
        <v/>
      </c>
      <c r="F464">
        <f>IF(G464="MW","TJ",LEFT(G464,LEN(G464)-1))</f>
        <v/>
      </c>
      <c r="G464">
        <f>'COM RESID'!Q315</f>
        <v/>
      </c>
    </row>
    <row r="465">
      <c r="B465">
        <f>IF(_xlfn.XLOOKUP(D465,'COM RESID'!J:J,'COM RESID'!P:P)=0,"*","PRE")</f>
        <v/>
      </c>
      <c r="C465" t="inlineStr">
        <is>
          <t>CITY</t>
        </is>
      </c>
      <c r="D465">
        <f>'COM RESID'!J316</f>
        <v/>
      </c>
      <c r="E465">
        <f>'COM RESID'!A316&amp;" "&amp;'COM RESID'!B316&amp;" "&amp;'COM RESID'!C316&amp;" "&amp;'COM RESID'!D316&amp;" "&amp;'COM RESID'!E316&amp;" "&amp;'COM RESID'!F316</f>
        <v/>
      </c>
      <c r="F465">
        <f>IF(G465="MW","TJ",LEFT(G465,LEN(G465)-1))</f>
        <v/>
      </c>
      <c r="G465">
        <f>'COM RESID'!Q316</f>
        <v/>
      </c>
    </row>
    <row r="466">
      <c r="B466">
        <f>IF(_xlfn.XLOOKUP(D466,'COM RESID'!J:J,'COM RESID'!P:P)=0,"*","PRE")</f>
        <v/>
      </c>
      <c r="C466" t="inlineStr">
        <is>
          <t>CITY</t>
        </is>
      </c>
      <c r="D466">
        <f>'COM RESID'!J317</f>
        <v/>
      </c>
      <c r="E466">
        <f>'COM RESID'!A317&amp;" "&amp;'COM RESID'!B317&amp;" "&amp;'COM RESID'!C317&amp;" "&amp;'COM RESID'!D317&amp;" "&amp;'COM RESID'!E317&amp;" "&amp;'COM RESID'!F317</f>
        <v/>
      </c>
      <c r="F466">
        <f>IF(G466="MW","TJ",LEFT(G466,LEN(G466)-1))</f>
        <v/>
      </c>
      <c r="G466">
        <f>'COM RESID'!Q317</f>
        <v/>
      </c>
    </row>
    <row r="467">
      <c r="B467">
        <f>IF(_xlfn.XLOOKUP(D467,'COM RESID'!J:J,'COM RESID'!P:P)=0,"*","PRE")</f>
        <v/>
      </c>
      <c r="C467" t="inlineStr">
        <is>
          <t>CITY</t>
        </is>
      </c>
      <c r="D467">
        <f>'COM RESID'!J318</f>
        <v/>
      </c>
      <c r="E467">
        <f>'COM RESID'!A318&amp;" "&amp;'COM RESID'!B318&amp;" "&amp;'COM RESID'!C318&amp;" "&amp;'COM RESID'!D318&amp;" "&amp;'COM RESID'!E318&amp;" "&amp;'COM RESID'!F318</f>
        <v/>
      </c>
      <c r="F467">
        <f>IF(G467="MW","TJ",LEFT(G467,LEN(G467)-1))</f>
        <v/>
      </c>
      <c r="G467">
        <f>'COM RESID'!Q318</f>
        <v/>
      </c>
    </row>
    <row r="468">
      <c r="B468">
        <f>IF(_xlfn.XLOOKUP(D468,'COM RESID'!J:J,'COM RESID'!P:P)=0,"*","PRE")</f>
        <v/>
      </c>
      <c r="C468" t="inlineStr">
        <is>
          <t>CITY</t>
        </is>
      </c>
      <c r="D468">
        <f>'COM RESID'!J319</f>
        <v/>
      </c>
      <c r="E468">
        <f>'COM RESID'!A319&amp;" "&amp;'COM RESID'!B319&amp;" "&amp;'COM RESID'!C319&amp;" "&amp;'COM RESID'!D319&amp;" "&amp;'COM RESID'!E319&amp;" "&amp;'COM RESID'!F319</f>
        <v/>
      </c>
      <c r="F468">
        <f>IF(G468="MW","TJ",LEFT(G468,LEN(G468)-1))</f>
        <v/>
      </c>
      <c r="G468">
        <f>'COM RESID'!Q319</f>
        <v/>
      </c>
    </row>
    <row r="469">
      <c r="B469">
        <f>IF(_xlfn.XLOOKUP(D469,'COM RESID'!J:J,'COM RESID'!P:P)=0,"*","PRE")</f>
        <v/>
      </c>
      <c r="C469" t="inlineStr">
        <is>
          <t>CITY</t>
        </is>
      </c>
      <c r="D469">
        <f>'COM RESID'!J320</f>
        <v/>
      </c>
      <c r="E469">
        <f>'COM RESID'!A320&amp;" "&amp;'COM RESID'!B320&amp;" "&amp;'COM RESID'!C320&amp;" "&amp;'COM RESID'!D320&amp;" "&amp;'COM RESID'!E320&amp;" "&amp;'COM RESID'!F320</f>
        <v/>
      </c>
      <c r="F469">
        <f>IF(G469="MW","TJ",LEFT(G469,LEN(G469)-1))</f>
        <v/>
      </c>
      <c r="G469">
        <f>'COM RESID'!Q320</f>
        <v/>
      </c>
    </row>
    <row r="470">
      <c r="B470">
        <f>IF(_xlfn.XLOOKUP(D470,'COM RESID'!J:J,'COM RESID'!P:P)=0,"*","PRE")</f>
        <v/>
      </c>
      <c r="C470" t="inlineStr">
        <is>
          <t>CITY</t>
        </is>
      </c>
      <c r="D470">
        <f>'COM RESID'!J321</f>
        <v/>
      </c>
      <c r="E470">
        <f>'COM RESID'!A321&amp;" "&amp;'COM RESID'!B321&amp;" "&amp;'COM RESID'!C321&amp;" "&amp;'COM RESID'!D321&amp;" "&amp;'COM RESID'!E321&amp;" "&amp;'COM RESID'!F321</f>
        <v/>
      </c>
      <c r="F470">
        <f>IF(G470="MW","TJ",LEFT(G470,LEN(G470)-1))</f>
        <v/>
      </c>
      <c r="G470">
        <f>'COM RESID'!Q321</f>
        <v/>
      </c>
    </row>
    <row r="471">
      <c r="B471">
        <f>IF(_xlfn.XLOOKUP(D471,'COM RESID'!J:J,'COM RESID'!P:P)=0,"*","PRE")</f>
        <v/>
      </c>
      <c r="C471" t="inlineStr">
        <is>
          <t>CITY</t>
        </is>
      </c>
      <c r="D471">
        <f>'COM RESID'!J322</f>
        <v/>
      </c>
      <c r="E471">
        <f>'COM RESID'!A322&amp;" "&amp;'COM RESID'!B322&amp;" "&amp;'COM RESID'!C322&amp;" "&amp;'COM RESID'!D322&amp;" "&amp;'COM RESID'!E322&amp;" "&amp;'COM RESID'!F322</f>
        <v/>
      </c>
      <c r="F471">
        <f>IF(G471="MW","TJ",LEFT(G471,LEN(G471)-1))</f>
        <v/>
      </c>
      <c r="G471">
        <f>'COM RESID'!Q322</f>
        <v/>
      </c>
    </row>
    <row r="472">
      <c r="B472">
        <f>IF(_xlfn.XLOOKUP(D472,'COM RESID'!J:J,'COM RESID'!P:P)=0,"*","PRE")</f>
        <v/>
      </c>
      <c r="C472" t="inlineStr">
        <is>
          <t>CITY</t>
        </is>
      </c>
      <c r="D472">
        <f>'COM RESID'!J323</f>
        <v/>
      </c>
      <c r="E472">
        <f>'COM RESID'!A323&amp;" "&amp;'COM RESID'!B323&amp;" "&amp;'COM RESID'!C323&amp;" "&amp;'COM RESID'!D323&amp;" "&amp;'COM RESID'!E323&amp;" "&amp;'COM RESID'!F323</f>
        <v/>
      </c>
      <c r="F472">
        <f>IF(G472="MW","TJ",LEFT(G472,LEN(G472)-1))</f>
        <v/>
      </c>
      <c r="G472">
        <f>'COM RESID'!Q323</f>
        <v/>
      </c>
    </row>
    <row r="473">
      <c r="B473">
        <f>IF(_xlfn.XLOOKUP(D473,'COM RESID'!J:J,'COM RESID'!P:P)=0,"*","PRE")</f>
        <v/>
      </c>
      <c r="C473" t="inlineStr">
        <is>
          <t>CITY</t>
        </is>
      </c>
      <c r="D473">
        <f>'COM RESID'!J324</f>
        <v/>
      </c>
      <c r="E473">
        <f>'COM RESID'!A324&amp;" "&amp;'COM RESID'!B324&amp;" "&amp;'COM RESID'!C324&amp;" "&amp;'COM RESID'!D324&amp;" "&amp;'COM RESID'!E324&amp;" "&amp;'COM RESID'!F324</f>
        <v/>
      </c>
      <c r="F473">
        <f>IF(G473="MW","TJ",LEFT(G473,LEN(G473)-1))</f>
        <v/>
      </c>
      <c r="G473">
        <f>'COM RESID'!Q324</f>
        <v/>
      </c>
    </row>
    <row r="474">
      <c r="B474">
        <f>IF(_xlfn.XLOOKUP(D474,'COM RESID'!J:J,'COM RESID'!P:P)=0,"*","PRE")</f>
        <v/>
      </c>
      <c r="C474" t="inlineStr">
        <is>
          <t>CITY</t>
        </is>
      </c>
      <c r="D474">
        <f>'COM RESID'!J325</f>
        <v/>
      </c>
      <c r="E474">
        <f>'COM RESID'!A325&amp;" "&amp;'COM RESID'!B325&amp;" "&amp;'COM RESID'!C325&amp;" "&amp;'COM RESID'!D325&amp;" "&amp;'COM RESID'!E325&amp;" "&amp;'COM RESID'!F325</f>
        <v/>
      </c>
      <c r="F474">
        <f>IF(G474="MW","TJ",LEFT(G474,LEN(G474)-1))</f>
        <v/>
      </c>
      <c r="G474">
        <f>'COM RESID'!Q325</f>
        <v/>
      </c>
    </row>
    <row r="475">
      <c r="B475">
        <f>IF(_xlfn.XLOOKUP(D475,'COM RESID'!J:J,'COM RESID'!P:P)=0,"*","PRE")</f>
        <v/>
      </c>
      <c r="C475" t="inlineStr">
        <is>
          <t>CITY</t>
        </is>
      </c>
      <c r="D475">
        <f>'COM RESID'!J326</f>
        <v/>
      </c>
      <c r="E475">
        <f>'COM RESID'!A326&amp;" "&amp;'COM RESID'!B326&amp;" "&amp;'COM RESID'!C326&amp;" "&amp;'COM RESID'!D326&amp;" "&amp;'COM RESID'!E326&amp;" "&amp;'COM RESID'!F326</f>
        <v/>
      </c>
      <c r="F475">
        <f>IF(G475="MW","TJ",LEFT(G475,LEN(G475)-1))</f>
        <v/>
      </c>
      <c r="G475">
        <f>'COM RESID'!Q326</f>
        <v/>
      </c>
    </row>
    <row r="476">
      <c r="B476">
        <f>IF(_xlfn.XLOOKUP(D476,'COM RESID'!J:J,'COM RESID'!P:P)=0,"*","PRE")</f>
        <v/>
      </c>
      <c r="C476" t="inlineStr">
        <is>
          <t>CITY</t>
        </is>
      </c>
      <c r="D476">
        <f>'COM RESID'!J327</f>
        <v/>
      </c>
      <c r="E476">
        <f>'COM RESID'!A327&amp;" "&amp;'COM RESID'!B327&amp;" "&amp;'COM RESID'!C327&amp;" "&amp;'COM RESID'!D327&amp;" "&amp;'COM RESID'!E327&amp;" "&amp;'COM RESID'!F327</f>
        <v/>
      </c>
      <c r="F476">
        <f>IF(G476="MW","TJ",LEFT(G476,LEN(G476)-1))</f>
        <v/>
      </c>
      <c r="G476">
        <f>'COM RESID'!Q327</f>
        <v/>
      </c>
    </row>
    <row r="477">
      <c r="B477">
        <f>IF(_xlfn.XLOOKUP(D477,'COM RESID'!J:J,'COM RESID'!P:P)=0,"*","PRE")</f>
        <v/>
      </c>
      <c r="C477" t="inlineStr">
        <is>
          <t>CITY</t>
        </is>
      </c>
      <c r="D477">
        <f>'COM RESID'!J328</f>
        <v/>
      </c>
      <c r="E477">
        <f>'COM RESID'!A328&amp;" "&amp;'COM RESID'!B328&amp;" "&amp;'COM RESID'!C328&amp;" "&amp;'COM RESID'!D328&amp;" "&amp;'COM RESID'!E328&amp;" "&amp;'COM RESID'!F328</f>
        <v/>
      </c>
      <c r="F477">
        <f>IF(G477="MW","TJ",LEFT(G477,LEN(G477)-1))</f>
        <v/>
      </c>
      <c r="G477">
        <f>'COM RESID'!Q328</f>
        <v/>
      </c>
    </row>
    <row r="478">
      <c r="B478">
        <f>IF(_xlfn.XLOOKUP(D478,'COM RESID'!J:J,'COM RESID'!P:P)=0,"*","PRE")</f>
        <v/>
      </c>
      <c r="C478" t="inlineStr">
        <is>
          <t>CITY</t>
        </is>
      </c>
      <c r="D478">
        <f>'COM RESID'!J329</f>
        <v/>
      </c>
      <c r="E478">
        <f>'COM RESID'!A329&amp;" "&amp;'COM RESID'!B329&amp;" "&amp;'COM RESID'!C329&amp;" "&amp;'COM RESID'!D329&amp;" "&amp;'COM RESID'!E329&amp;" "&amp;'COM RESID'!F329</f>
        <v/>
      </c>
      <c r="F478">
        <f>IF(G478="MW","TJ",LEFT(G478,LEN(G478)-1))</f>
        <v/>
      </c>
      <c r="G478">
        <f>'COM RESID'!Q329</f>
        <v/>
      </c>
    </row>
    <row r="479">
      <c r="B479">
        <f>IF(_xlfn.XLOOKUP(D479,'COM RESID'!J:J,'COM RESID'!P:P)=0,"*","PRE")</f>
        <v/>
      </c>
      <c r="C479" t="inlineStr">
        <is>
          <t>CITY</t>
        </is>
      </c>
      <c r="D479">
        <f>'COM RESID'!J330</f>
        <v/>
      </c>
      <c r="E479">
        <f>'COM RESID'!A330&amp;" "&amp;'COM RESID'!B330&amp;" "&amp;'COM RESID'!C330&amp;" "&amp;'COM RESID'!D330&amp;" "&amp;'COM RESID'!E330&amp;" "&amp;'COM RESID'!F330</f>
        <v/>
      </c>
      <c r="F479">
        <f>IF(G479="MW","TJ",LEFT(G479,LEN(G479)-1))</f>
        <v/>
      </c>
      <c r="G479">
        <f>'COM RESID'!Q330</f>
        <v/>
      </c>
    </row>
    <row r="480">
      <c r="B480">
        <f>IF(_xlfn.XLOOKUP(D480,'COM RESID'!J:J,'COM RESID'!P:P)=0,"*","PRE")</f>
        <v/>
      </c>
      <c r="C480" t="inlineStr">
        <is>
          <t>CITY</t>
        </is>
      </c>
      <c r="D480">
        <f>'COM RESID'!J331</f>
        <v/>
      </c>
      <c r="E480">
        <f>'COM RESID'!A331&amp;" "&amp;'COM RESID'!B331&amp;" "&amp;'COM RESID'!C331&amp;" "&amp;'COM RESID'!D331&amp;" "&amp;'COM RESID'!E331&amp;" "&amp;'COM RESID'!F331</f>
        <v/>
      </c>
      <c r="F480">
        <f>IF(G480="MW","TJ",LEFT(G480,LEN(G480)-1))</f>
        <v/>
      </c>
      <c r="G480">
        <f>'COM RESID'!Q331</f>
        <v/>
      </c>
    </row>
    <row r="481">
      <c r="B481">
        <f>IF(_xlfn.XLOOKUP(D481,'COM RESID'!J:J,'COM RESID'!P:P)=0,"*","PRE")</f>
        <v/>
      </c>
      <c r="C481" t="inlineStr">
        <is>
          <t>CITY</t>
        </is>
      </c>
      <c r="D481">
        <f>'COM RESID'!J332</f>
        <v/>
      </c>
      <c r="E481">
        <f>'COM RESID'!A332&amp;" "&amp;'COM RESID'!B332&amp;" "&amp;'COM RESID'!C332&amp;" "&amp;'COM RESID'!D332&amp;" "&amp;'COM RESID'!E332&amp;" "&amp;'COM RESID'!F332</f>
        <v/>
      </c>
      <c r="F481">
        <f>IF(G481="MW","TJ",LEFT(G481,LEN(G481)-1))</f>
        <v/>
      </c>
      <c r="G481">
        <f>'COM RESID'!Q332</f>
        <v/>
      </c>
    </row>
    <row r="482">
      <c r="B482">
        <f>IF(_xlfn.XLOOKUP(D482,'COM RESID'!J:J,'COM RESID'!P:P)=0,"*","PRE")</f>
        <v/>
      </c>
      <c r="C482" t="inlineStr">
        <is>
          <t>CITY</t>
        </is>
      </c>
      <c r="D482">
        <f>'COM RESID'!J333</f>
        <v/>
      </c>
      <c r="E482">
        <f>'COM RESID'!A333&amp;" "&amp;'COM RESID'!B333&amp;" "&amp;'COM RESID'!C333&amp;" "&amp;'COM RESID'!D333&amp;" "&amp;'COM RESID'!E333&amp;" "&amp;'COM RESID'!F333</f>
        <v/>
      </c>
      <c r="F482">
        <f>IF(G482="MW","TJ",LEFT(G482,LEN(G482)-1))</f>
        <v/>
      </c>
      <c r="G482">
        <f>'COM RESID'!Q333</f>
        <v/>
      </c>
    </row>
    <row r="483">
      <c r="B483">
        <f>IF(_xlfn.XLOOKUP(D483,'COM RESID'!J:J,'COM RESID'!P:P)=0,"*","PRE")</f>
        <v/>
      </c>
      <c r="C483" t="inlineStr">
        <is>
          <t>CITY</t>
        </is>
      </c>
      <c r="D483">
        <f>'COM RESID'!J334</f>
        <v/>
      </c>
      <c r="E483">
        <f>'COM RESID'!A334&amp;" "&amp;'COM RESID'!B334&amp;" "&amp;'COM RESID'!C334&amp;" "&amp;'COM RESID'!D334&amp;" "&amp;'COM RESID'!E334&amp;" "&amp;'COM RESID'!F334</f>
        <v/>
      </c>
      <c r="F483">
        <f>IF(G483="MW","TJ",LEFT(G483,LEN(G483)-1))</f>
        <v/>
      </c>
      <c r="G483">
        <f>'COM RESID'!Q334</f>
        <v/>
      </c>
    </row>
    <row r="484">
      <c r="B484">
        <f>IF(_xlfn.XLOOKUP(D484,'COM RESID'!J:J,'COM RESID'!P:P)=0,"*","PRE")</f>
        <v/>
      </c>
      <c r="C484" t="inlineStr">
        <is>
          <t>CITY</t>
        </is>
      </c>
      <c r="D484">
        <f>'COM RESID'!J335</f>
        <v/>
      </c>
      <c r="E484">
        <f>'COM RESID'!A335&amp;" "&amp;'COM RESID'!B335&amp;" "&amp;'COM RESID'!C335&amp;" "&amp;'COM RESID'!D335&amp;" "&amp;'COM RESID'!E335&amp;" "&amp;'COM RESID'!F335</f>
        <v/>
      </c>
      <c r="F484">
        <f>IF(G484="MW","TJ",LEFT(G484,LEN(G484)-1))</f>
        <v/>
      </c>
      <c r="G484">
        <f>'COM RESID'!Q335</f>
        <v/>
      </c>
    </row>
    <row r="485">
      <c r="B485">
        <f>IF(_xlfn.XLOOKUP(D485,'COM RESID'!J:J,'COM RESID'!P:P)=0,"*","PRE")</f>
        <v/>
      </c>
      <c r="C485" t="inlineStr">
        <is>
          <t>CITY</t>
        </is>
      </c>
      <c r="D485">
        <f>'COM RESID'!J336</f>
        <v/>
      </c>
      <c r="E485">
        <f>'COM RESID'!A336&amp;" "&amp;'COM RESID'!B336&amp;" "&amp;'COM RESID'!C336&amp;" "&amp;'COM RESID'!D336&amp;" "&amp;'COM RESID'!E336&amp;" "&amp;'COM RESID'!F336</f>
        <v/>
      </c>
      <c r="F485">
        <f>IF(G485="MW","TJ",LEFT(G485,LEN(G485)-1))</f>
        <v/>
      </c>
      <c r="G485">
        <f>'COM RESID'!Q336</f>
        <v/>
      </c>
    </row>
    <row r="486">
      <c r="B486">
        <f>IF(_xlfn.XLOOKUP(D486,'COM RESID'!J:J,'COM RESID'!P:P)=0,"*","PRE")</f>
        <v/>
      </c>
      <c r="C486" t="inlineStr">
        <is>
          <t>CITY</t>
        </is>
      </c>
      <c r="D486">
        <f>'COM RESID'!J337</f>
        <v/>
      </c>
      <c r="E486">
        <f>'COM RESID'!A337&amp;" "&amp;'COM RESID'!B337&amp;" "&amp;'COM RESID'!C337&amp;" "&amp;'COM RESID'!D337&amp;" "&amp;'COM RESID'!E337&amp;" "&amp;'COM RESID'!F337</f>
        <v/>
      </c>
      <c r="F486">
        <f>IF(G486="MW","TJ",LEFT(G486,LEN(G486)-1))</f>
        <v/>
      </c>
      <c r="G486">
        <f>'COM RESID'!Q337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278"/>
  <sheetViews>
    <sheetView topLeftCell="A248" workbookViewId="0">
      <selection activeCell="C151" sqref="C151"/>
    </sheetView>
  </sheetViews>
  <sheetFormatPr baseColWidth="8" defaultRowHeight="15"/>
  <cols>
    <col width="12.5703125" customWidth="1" min="2" max="2"/>
    <col width="21.28515625" bestFit="1" customWidth="1" min="3" max="3"/>
    <col width="70.28515625" bestFit="1" customWidth="1" min="4" max="4"/>
    <col width="4.5703125" bestFit="1" customWidth="1" min="5" max="5"/>
    <col width="15.7109375" customWidth="1" min="6" max="6"/>
    <col width="8.5703125" bestFit="1" customWidth="1" min="7" max="7"/>
    <col width="10.140625" customWidth="1" min="8" max="8"/>
    <col width="8.140625" bestFit="1" customWidth="1" min="9" max="9"/>
  </cols>
  <sheetData>
    <row r="2">
      <c r="B2" s="9" t="inlineStr">
        <is>
          <t>~FI_Comm</t>
        </is>
      </c>
    </row>
    <row r="3">
      <c r="B3" s="10" t="inlineStr">
        <is>
          <t>Csets</t>
        </is>
      </c>
      <c r="C3" s="10" t="inlineStr">
        <is>
          <t>CommName</t>
        </is>
      </c>
      <c r="D3" s="10" t="inlineStr">
        <is>
          <t>CommDesc</t>
        </is>
      </c>
      <c r="E3" s="10" t="inlineStr">
        <is>
          <t>Unit</t>
        </is>
      </c>
      <c r="F3" s="10" t="inlineStr">
        <is>
          <t>LimType</t>
        </is>
      </c>
      <c r="G3" s="10" t="inlineStr">
        <is>
          <t>CTSLvl</t>
        </is>
      </c>
      <c r="H3" s="10" t="inlineStr">
        <is>
          <t>PeakTS</t>
        </is>
      </c>
      <c r="I3" s="10" t="inlineStr">
        <is>
          <t>Ctype</t>
        </is>
      </c>
    </row>
    <row r="4" ht="40.9" customHeight="1" thickBot="1">
      <c r="B4" s="11" t="inlineStr">
        <is>
          <t>*Commodity Set Membership</t>
        </is>
      </c>
      <c r="C4" s="11" t="inlineStr">
        <is>
          <t>Commodity Name</t>
        </is>
      </c>
      <c r="D4" s="11" t="inlineStr">
        <is>
          <t>Commodity Description</t>
        </is>
      </c>
      <c r="E4" s="11" t="inlineStr">
        <is>
          <t>Unit</t>
        </is>
      </c>
      <c r="F4" s="11" t="inlineStr">
        <is>
          <t>Sense of the Balance EQN.</t>
        </is>
      </c>
      <c r="G4" s="11" t="inlineStr">
        <is>
          <t>Timeslice Level</t>
        </is>
      </c>
      <c r="H4" s="11" t="inlineStr">
        <is>
          <t>Peak Monitoring</t>
        </is>
      </c>
      <c r="I4" s="11" t="inlineStr">
        <is>
          <t>Electricity Indicator</t>
        </is>
      </c>
    </row>
    <row r="5">
      <c r="B5" t="inlineStr">
        <is>
          <t>DEM</t>
        </is>
      </c>
      <c r="C5">
        <f>Demand!E2</f>
        <v/>
      </c>
      <c r="D5">
        <f>Demand!A2&amp;" "&amp;Demand!B2&amp;" "&amp;Demand!C2&amp;" "&amp;Demand!D2&amp;" "&amp;"demand"</f>
        <v/>
      </c>
      <c r="E5" t="inlineStr">
        <is>
          <t>Mm2</t>
        </is>
      </c>
    </row>
    <row r="6">
      <c r="B6" t="inlineStr">
        <is>
          <t>DEM</t>
        </is>
      </c>
      <c r="C6">
        <f>Demand!E3</f>
        <v/>
      </c>
      <c r="D6">
        <f>Demand!A3&amp;" "&amp;Demand!B3&amp;" "&amp;Demand!C3&amp;" "&amp;Demand!D3&amp;" "&amp;"demand"</f>
        <v/>
      </c>
      <c r="E6" t="inlineStr">
        <is>
          <t>Mm2</t>
        </is>
      </c>
    </row>
    <row r="7">
      <c r="B7" t="inlineStr">
        <is>
          <t>DEM</t>
        </is>
      </c>
      <c r="C7">
        <f>Demand!E4</f>
        <v/>
      </c>
      <c r="D7">
        <f>Demand!A4&amp;" "&amp;Demand!B4&amp;" "&amp;Demand!C4&amp;" "&amp;Demand!D4&amp;" "&amp;"demand"</f>
        <v/>
      </c>
      <c r="E7" t="inlineStr">
        <is>
          <t>Mm2</t>
        </is>
      </c>
    </row>
    <row r="8">
      <c r="B8" t="inlineStr">
        <is>
          <t>DEM</t>
        </is>
      </c>
      <c r="C8">
        <f>Demand!E5</f>
        <v/>
      </c>
      <c r="D8">
        <f>Demand!A5&amp;" "&amp;Demand!B5&amp;" "&amp;Demand!C5&amp;" "&amp;Demand!D5&amp;" "&amp;"demand"</f>
        <v/>
      </c>
      <c r="E8" t="inlineStr">
        <is>
          <t>Mm2</t>
        </is>
      </c>
    </row>
    <row r="9">
      <c r="B9" t="inlineStr">
        <is>
          <t>DEM</t>
        </is>
      </c>
      <c r="C9">
        <f>Demand!E6</f>
        <v/>
      </c>
      <c r="D9">
        <f>Demand!A6&amp;" "&amp;Demand!B6&amp;" "&amp;Demand!C6&amp;" "&amp;Demand!D6&amp;" "&amp;"demand"</f>
        <v/>
      </c>
      <c r="E9" t="inlineStr">
        <is>
          <t>Mm2</t>
        </is>
      </c>
    </row>
    <row r="10">
      <c r="B10" t="inlineStr">
        <is>
          <t>DEM</t>
        </is>
      </c>
      <c r="C10">
        <f>Demand!E7</f>
        <v/>
      </c>
      <c r="D10">
        <f>Demand!A7&amp;" "&amp;Demand!B7&amp;" "&amp;Demand!C7&amp;" "&amp;Demand!D7&amp;" "&amp;"demand"</f>
        <v/>
      </c>
      <c r="E10" t="inlineStr">
        <is>
          <t>Mm2</t>
        </is>
      </c>
    </row>
    <row r="11">
      <c r="B11" t="inlineStr">
        <is>
          <t>DEM</t>
        </is>
      </c>
      <c r="C11">
        <f>Demand!E8</f>
        <v/>
      </c>
      <c r="D11">
        <f>Demand!A8&amp;" "&amp;Demand!B8&amp;" "&amp;Demand!C8&amp;" "&amp;Demand!D8&amp;" "&amp;"demand"</f>
        <v/>
      </c>
      <c r="E11" t="inlineStr">
        <is>
          <t>Mm2</t>
        </is>
      </c>
    </row>
    <row r="12">
      <c r="B12" t="inlineStr">
        <is>
          <t>DEM</t>
        </is>
      </c>
      <c r="C12">
        <f>Demand!E9</f>
        <v/>
      </c>
      <c r="D12">
        <f>Demand!A9&amp;" "&amp;Demand!B9&amp;" "&amp;Demand!C9&amp;" "&amp;Demand!D9&amp;" "&amp;"demand"</f>
        <v/>
      </c>
      <c r="E12" t="inlineStr">
        <is>
          <t>Mm2</t>
        </is>
      </c>
    </row>
    <row r="13">
      <c r="B13" t="inlineStr">
        <is>
          <t>DEM</t>
        </is>
      </c>
      <c r="C13">
        <f>Demand!E10</f>
        <v/>
      </c>
      <c r="D13">
        <f>Demand!A10&amp;" "&amp;Demand!B10&amp;" "&amp;Demand!C10&amp;" "&amp;Demand!D10&amp;" "&amp;"demand"</f>
        <v/>
      </c>
      <c r="E13" t="inlineStr">
        <is>
          <t>Mm2</t>
        </is>
      </c>
    </row>
    <row r="14">
      <c r="B14" t="inlineStr">
        <is>
          <t>DEM</t>
        </is>
      </c>
      <c r="C14">
        <f>Demand!E11</f>
        <v/>
      </c>
      <c r="D14">
        <f>Demand!A11&amp;" "&amp;Demand!B11&amp;" "&amp;Demand!C11&amp;" "&amp;Demand!D11&amp;" "&amp;"demand"</f>
        <v/>
      </c>
      <c r="E14" t="inlineStr">
        <is>
          <t>Mm2</t>
        </is>
      </c>
    </row>
    <row r="15">
      <c r="B15" t="inlineStr">
        <is>
          <t>DEM</t>
        </is>
      </c>
      <c r="C15">
        <f>Demand!E12</f>
        <v/>
      </c>
      <c r="D15">
        <f>Demand!A12&amp;" "&amp;Demand!B12&amp;" "&amp;Demand!C12&amp;" "&amp;Demand!D12&amp;" "&amp;"demand"</f>
        <v/>
      </c>
      <c r="E15" t="inlineStr">
        <is>
          <t>Mm2</t>
        </is>
      </c>
    </row>
    <row r="16">
      <c r="B16" t="inlineStr">
        <is>
          <t>DEM</t>
        </is>
      </c>
      <c r="C16">
        <f>Demand!E13</f>
        <v/>
      </c>
      <c r="D16">
        <f>Demand!A13&amp;" "&amp;Demand!B13&amp;" "&amp;Demand!C13&amp;" "&amp;Demand!D13&amp;" "&amp;"demand"</f>
        <v/>
      </c>
      <c r="E16" t="inlineStr">
        <is>
          <t>Mm2</t>
        </is>
      </c>
    </row>
    <row r="17">
      <c r="B17" t="inlineStr">
        <is>
          <t>DEM</t>
        </is>
      </c>
      <c r="C17">
        <f>Demand!E14</f>
        <v/>
      </c>
      <c r="D17">
        <f>Demand!A14&amp;" "&amp;Demand!B14&amp;" "&amp;Demand!C14&amp;" "&amp;Demand!D14&amp;" "&amp;"demand"</f>
        <v/>
      </c>
      <c r="E17" t="inlineStr">
        <is>
          <t>Mm2</t>
        </is>
      </c>
    </row>
    <row r="18">
      <c r="B18" t="inlineStr">
        <is>
          <t>DEM</t>
        </is>
      </c>
      <c r="C18">
        <f>Demand!E15</f>
        <v/>
      </c>
      <c r="D18">
        <f>Demand!A15&amp;" "&amp;Demand!B15&amp;" "&amp;Demand!C15&amp;" "&amp;Demand!D15&amp;" "&amp;"demand"</f>
        <v/>
      </c>
      <c r="E18" t="inlineStr">
        <is>
          <t>Mm2</t>
        </is>
      </c>
    </row>
    <row r="19">
      <c r="B19" t="inlineStr">
        <is>
          <t>DEM</t>
        </is>
      </c>
      <c r="C19">
        <f>Demand!E16</f>
        <v/>
      </c>
      <c r="D19">
        <f>Demand!A16&amp;" "&amp;Demand!B16&amp;" "&amp;Demand!C16&amp;" "&amp;Demand!D16&amp;" "&amp;"demand"</f>
        <v/>
      </c>
      <c r="E19" t="inlineStr">
        <is>
          <t>Mm2</t>
        </is>
      </c>
    </row>
    <row r="20">
      <c r="B20" t="inlineStr">
        <is>
          <t>DEM</t>
        </is>
      </c>
      <c r="C20">
        <f>Demand!E17</f>
        <v/>
      </c>
      <c r="D20">
        <f>Demand!A17&amp;" "&amp;Demand!B17&amp;" "&amp;Demand!C17&amp;" "&amp;Demand!D17&amp;" "&amp;"demand"</f>
        <v/>
      </c>
      <c r="E20" t="inlineStr">
        <is>
          <t>Mm2</t>
        </is>
      </c>
    </row>
    <row r="21">
      <c r="B21" t="inlineStr">
        <is>
          <t>*</t>
        </is>
      </c>
    </row>
    <row r="22">
      <c r="B22" t="inlineStr">
        <is>
          <t>MAT</t>
        </is>
      </c>
      <c r="C22">
        <f>'BDG Intensity'!F2&amp;"DMD"</f>
        <v/>
      </c>
      <c r="D22">
        <f>'BDG Intensity'!A2&amp;" "&amp;'BDG Intensity'!B2&amp;" "&amp;'BDG Intensity'!C2&amp;" "&amp;'BDG Intensity'!D2&amp;" "&amp;'BDG Intensity'!E2&amp;" "&amp;"demand"</f>
        <v/>
      </c>
      <c r="E22" t="inlineStr">
        <is>
          <t>Mm2</t>
        </is>
      </c>
    </row>
    <row r="23">
      <c r="B23" t="inlineStr">
        <is>
          <t>MAT</t>
        </is>
      </c>
      <c r="C23">
        <f>'BDG Intensity'!F3&amp;"DMD"</f>
        <v/>
      </c>
      <c r="D23">
        <f>'BDG Intensity'!A3&amp;" "&amp;'BDG Intensity'!B3&amp;" "&amp;'BDG Intensity'!C3&amp;" "&amp;'BDG Intensity'!D3&amp;" "&amp;'BDG Intensity'!E3&amp;" "&amp;"demand"</f>
        <v/>
      </c>
      <c r="E23" t="inlineStr">
        <is>
          <t>Mm2</t>
        </is>
      </c>
    </row>
    <row r="24">
      <c r="B24" t="inlineStr">
        <is>
          <t>MAT</t>
        </is>
      </c>
      <c r="C24">
        <f>'BDG Intensity'!F4&amp;"DMD"</f>
        <v/>
      </c>
      <c r="D24">
        <f>'BDG Intensity'!A4&amp;" "&amp;'BDG Intensity'!B4&amp;" "&amp;'BDG Intensity'!C4&amp;" "&amp;'BDG Intensity'!D4&amp;" "&amp;'BDG Intensity'!E4&amp;" "&amp;"demand"</f>
        <v/>
      </c>
      <c r="E24" t="inlineStr">
        <is>
          <t>Mm2</t>
        </is>
      </c>
    </row>
    <row r="25">
      <c r="B25" t="inlineStr">
        <is>
          <t>MAT</t>
        </is>
      </c>
      <c r="C25">
        <f>'BDG Intensity'!F5&amp;"DMD"</f>
        <v/>
      </c>
      <c r="D25">
        <f>'BDG Intensity'!A5&amp;" "&amp;'BDG Intensity'!B5&amp;" "&amp;'BDG Intensity'!C5&amp;" "&amp;'BDG Intensity'!D5&amp;" "&amp;'BDG Intensity'!E5&amp;" "&amp;"demand"</f>
        <v/>
      </c>
      <c r="E25" t="inlineStr">
        <is>
          <t>Mm2</t>
        </is>
      </c>
    </row>
    <row r="26">
      <c r="B26" t="inlineStr">
        <is>
          <t>MAT</t>
        </is>
      </c>
      <c r="C26">
        <f>'BDG Intensity'!F6&amp;"DMD"</f>
        <v/>
      </c>
      <c r="D26">
        <f>'BDG Intensity'!A6&amp;" "&amp;'BDG Intensity'!B6&amp;" "&amp;'BDG Intensity'!C6&amp;" "&amp;'BDG Intensity'!D6&amp;" "&amp;'BDG Intensity'!E6&amp;" "&amp;"demand"</f>
        <v/>
      </c>
      <c r="E26" t="inlineStr">
        <is>
          <t>Mm2</t>
        </is>
      </c>
    </row>
    <row r="27">
      <c r="B27" t="inlineStr">
        <is>
          <t>MAT</t>
        </is>
      </c>
      <c r="C27">
        <f>'BDG Intensity'!F7&amp;"DMD"</f>
        <v/>
      </c>
      <c r="D27">
        <f>'BDG Intensity'!A7&amp;" "&amp;'BDG Intensity'!B7&amp;" "&amp;'BDG Intensity'!C7&amp;" "&amp;'BDG Intensity'!D7&amp;" "&amp;'BDG Intensity'!E7&amp;" "&amp;"demand"</f>
        <v/>
      </c>
      <c r="E27" t="inlineStr">
        <is>
          <t>Mm2</t>
        </is>
      </c>
    </row>
    <row r="28">
      <c r="B28" t="inlineStr">
        <is>
          <t>MAT</t>
        </is>
      </c>
      <c r="C28">
        <f>'BDG Intensity'!F8&amp;"DMD"</f>
        <v/>
      </c>
      <c r="D28">
        <f>'BDG Intensity'!A8&amp;" "&amp;'BDG Intensity'!B8&amp;" "&amp;'BDG Intensity'!C8&amp;" "&amp;'BDG Intensity'!D8&amp;" "&amp;'BDG Intensity'!E8&amp;" "&amp;"demand"</f>
        <v/>
      </c>
      <c r="E28" t="inlineStr">
        <is>
          <t>Mm2</t>
        </is>
      </c>
    </row>
    <row r="29">
      <c r="B29" t="inlineStr">
        <is>
          <t>MAT</t>
        </is>
      </c>
      <c r="C29">
        <f>'BDG Intensity'!F9&amp;"DMD"</f>
        <v/>
      </c>
      <c r="D29">
        <f>'BDG Intensity'!A9&amp;" "&amp;'BDG Intensity'!B9&amp;" "&amp;'BDG Intensity'!C9&amp;" "&amp;'BDG Intensity'!D9&amp;" "&amp;'BDG Intensity'!E9&amp;" "&amp;"demand"</f>
        <v/>
      </c>
      <c r="E29" t="inlineStr">
        <is>
          <t>Mm2</t>
        </is>
      </c>
    </row>
    <row r="30">
      <c r="B30" t="inlineStr">
        <is>
          <t>MAT</t>
        </is>
      </c>
      <c r="C30">
        <f>'BDG Intensity'!F10&amp;"DMD"</f>
        <v/>
      </c>
      <c r="D30">
        <f>'BDG Intensity'!A10&amp;" "&amp;'BDG Intensity'!B10&amp;" "&amp;'BDG Intensity'!C10&amp;" "&amp;'BDG Intensity'!D10&amp;" "&amp;'BDG Intensity'!E10&amp;" "&amp;"demand"</f>
        <v/>
      </c>
      <c r="E30" t="inlineStr">
        <is>
          <t>Mm2</t>
        </is>
      </c>
    </row>
    <row r="31">
      <c r="B31" t="inlineStr">
        <is>
          <t>MAT</t>
        </is>
      </c>
      <c r="C31">
        <f>'BDG Intensity'!F11&amp;"DMD"</f>
        <v/>
      </c>
      <c r="D31">
        <f>'BDG Intensity'!A11&amp;" "&amp;'BDG Intensity'!B11&amp;" "&amp;'BDG Intensity'!C11&amp;" "&amp;'BDG Intensity'!D11&amp;" "&amp;'BDG Intensity'!E11&amp;" "&amp;"demand"</f>
        <v/>
      </c>
      <c r="E31" t="inlineStr">
        <is>
          <t>Mm2</t>
        </is>
      </c>
    </row>
    <row r="32">
      <c r="B32" t="inlineStr">
        <is>
          <t>MAT</t>
        </is>
      </c>
      <c r="C32">
        <f>'BDG Intensity'!F12&amp;"DMD"</f>
        <v/>
      </c>
      <c r="D32">
        <f>'BDG Intensity'!A12&amp;" "&amp;'BDG Intensity'!B12&amp;" "&amp;'BDG Intensity'!C12&amp;" "&amp;'BDG Intensity'!D12&amp;" "&amp;'BDG Intensity'!E12&amp;" "&amp;"demand"</f>
        <v/>
      </c>
      <c r="E32" t="inlineStr">
        <is>
          <t>Mm2</t>
        </is>
      </c>
    </row>
    <row r="33">
      <c r="B33" t="inlineStr">
        <is>
          <t>MAT</t>
        </is>
      </c>
      <c r="C33">
        <f>'BDG Intensity'!F13&amp;"DMD"</f>
        <v/>
      </c>
      <c r="D33">
        <f>'BDG Intensity'!A13&amp;" "&amp;'BDG Intensity'!B13&amp;" "&amp;'BDG Intensity'!C13&amp;" "&amp;'BDG Intensity'!D13&amp;" "&amp;'BDG Intensity'!E13&amp;" "&amp;"demand"</f>
        <v/>
      </c>
      <c r="E33" t="inlineStr">
        <is>
          <t>Mm2</t>
        </is>
      </c>
    </row>
    <row r="34">
      <c r="B34" t="inlineStr">
        <is>
          <t>MAT</t>
        </is>
      </c>
      <c r="C34">
        <f>'BDG Intensity'!F14&amp;"DMD"</f>
        <v/>
      </c>
      <c r="D34">
        <f>'BDG Intensity'!A14&amp;" "&amp;'BDG Intensity'!B14&amp;" "&amp;'BDG Intensity'!C14&amp;" "&amp;'BDG Intensity'!D14&amp;" "&amp;'BDG Intensity'!E14&amp;" "&amp;"demand"</f>
        <v/>
      </c>
      <c r="E34" t="inlineStr">
        <is>
          <t>Mm2</t>
        </is>
      </c>
    </row>
    <row r="35">
      <c r="B35" t="inlineStr">
        <is>
          <t>MAT</t>
        </is>
      </c>
      <c r="C35">
        <f>'BDG Intensity'!F15&amp;"DMD"</f>
        <v/>
      </c>
      <c r="D35">
        <f>'BDG Intensity'!A15&amp;" "&amp;'BDG Intensity'!B15&amp;" "&amp;'BDG Intensity'!C15&amp;" "&amp;'BDG Intensity'!D15&amp;" "&amp;'BDG Intensity'!E15&amp;" "&amp;"demand"</f>
        <v/>
      </c>
      <c r="E35" t="inlineStr">
        <is>
          <t>Mm2</t>
        </is>
      </c>
    </row>
    <row r="36">
      <c r="B36" t="inlineStr">
        <is>
          <t>MAT</t>
        </is>
      </c>
      <c r="C36">
        <f>'BDG Intensity'!F16&amp;"DMD"</f>
        <v/>
      </c>
      <c r="D36">
        <f>'BDG Intensity'!A16&amp;" "&amp;'BDG Intensity'!B16&amp;" "&amp;'BDG Intensity'!C16&amp;" "&amp;'BDG Intensity'!D16&amp;" "&amp;'BDG Intensity'!E16&amp;" "&amp;"demand"</f>
        <v/>
      </c>
      <c r="E36" t="inlineStr">
        <is>
          <t>Mm2</t>
        </is>
      </c>
    </row>
    <row r="37">
      <c r="B37" t="inlineStr">
        <is>
          <t>MAT</t>
        </is>
      </c>
      <c r="C37">
        <f>'BDG Intensity'!F17&amp;"DMD"</f>
        <v/>
      </c>
      <c r="D37">
        <f>'BDG Intensity'!A17&amp;" "&amp;'BDG Intensity'!B17&amp;" "&amp;'BDG Intensity'!C17&amp;" "&amp;'BDG Intensity'!D17&amp;" "&amp;'BDG Intensity'!E17&amp;" "&amp;"demand"</f>
        <v/>
      </c>
      <c r="E37" t="inlineStr">
        <is>
          <t>Mm2</t>
        </is>
      </c>
    </row>
    <row r="38">
      <c r="B38" t="inlineStr">
        <is>
          <t>MAT</t>
        </is>
      </c>
      <c r="C38">
        <f>'BDG Intensity'!F18&amp;"DMD"</f>
        <v/>
      </c>
      <c r="D38">
        <f>'BDG Intensity'!A18&amp;" "&amp;'BDG Intensity'!B18&amp;" "&amp;'BDG Intensity'!C18&amp;" "&amp;'BDG Intensity'!D18&amp;" "&amp;'BDG Intensity'!E18&amp;" "&amp;"demand"</f>
        <v/>
      </c>
      <c r="E38" t="inlineStr">
        <is>
          <t>Mm2</t>
        </is>
      </c>
    </row>
    <row r="39">
      <c r="B39" t="inlineStr">
        <is>
          <t>MAT</t>
        </is>
      </c>
      <c r="C39">
        <f>'BDG Intensity'!F19&amp;"DMD"</f>
        <v/>
      </c>
      <c r="D39">
        <f>'BDG Intensity'!A19&amp;" "&amp;'BDG Intensity'!B19&amp;" "&amp;'BDG Intensity'!C19&amp;" "&amp;'BDG Intensity'!D19&amp;" "&amp;'BDG Intensity'!E19&amp;" "&amp;"demand"</f>
        <v/>
      </c>
      <c r="E39" t="inlineStr">
        <is>
          <t>Mm2</t>
        </is>
      </c>
    </row>
    <row r="40">
      <c r="B40" t="inlineStr">
        <is>
          <t>MAT</t>
        </is>
      </c>
      <c r="C40">
        <f>'BDG Intensity'!F20&amp;"DMD"</f>
        <v/>
      </c>
      <c r="D40">
        <f>'BDG Intensity'!A20&amp;" "&amp;'BDG Intensity'!B20&amp;" "&amp;'BDG Intensity'!C20&amp;" "&amp;'BDG Intensity'!D20&amp;" "&amp;'BDG Intensity'!E20&amp;" "&amp;"demand"</f>
        <v/>
      </c>
      <c r="E40" t="inlineStr">
        <is>
          <t>Mm2</t>
        </is>
      </c>
    </row>
    <row r="41">
      <c r="B41" t="inlineStr">
        <is>
          <t>MAT</t>
        </is>
      </c>
      <c r="C41">
        <f>'BDG Intensity'!F21&amp;"DMD"</f>
        <v/>
      </c>
      <c r="D41">
        <f>'BDG Intensity'!A21&amp;" "&amp;'BDG Intensity'!B21&amp;" "&amp;'BDG Intensity'!C21&amp;" "&amp;'BDG Intensity'!D21&amp;" "&amp;'BDG Intensity'!E21&amp;" "&amp;"demand"</f>
        <v/>
      </c>
      <c r="E41" t="inlineStr">
        <is>
          <t>Mm2</t>
        </is>
      </c>
    </row>
    <row r="42">
      <c r="B42" t="inlineStr">
        <is>
          <t>MAT</t>
        </is>
      </c>
      <c r="C42">
        <f>'BDG Intensity'!F22&amp;"DMD"</f>
        <v/>
      </c>
      <c r="D42">
        <f>'BDG Intensity'!A22&amp;" "&amp;'BDG Intensity'!B22&amp;" "&amp;'BDG Intensity'!C22&amp;" "&amp;'BDG Intensity'!D22&amp;" "&amp;'BDG Intensity'!E22&amp;" "&amp;"demand"</f>
        <v/>
      </c>
      <c r="E42" t="inlineStr">
        <is>
          <t>Mm2</t>
        </is>
      </c>
    </row>
    <row r="43">
      <c r="B43" t="inlineStr">
        <is>
          <t>MAT</t>
        </is>
      </c>
      <c r="C43">
        <f>'BDG Intensity'!F23&amp;"DMD"</f>
        <v/>
      </c>
      <c r="D43">
        <f>'BDG Intensity'!A23&amp;" "&amp;'BDG Intensity'!B23&amp;" "&amp;'BDG Intensity'!C23&amp;" "&amp;'BDG Intensity'!D23&amp;" "&amp;'BDG Intensity'!E23&amp;" "&amp;"demand"</f>
        <v/>
      </c>
      <c r="E43" t="inlineStr">
        <is>
          <t>Mm2</t>
        </is>
      </c>
    </row>
    <row r="44">
      <c r="B44" t="inlineStr">
        <is>
          <t>MAT</t>
        </is>
      </c>
      <c r="C44">
        <f>'BDG Intensity'!F24&amp;"DMD"</f>
        <v/>
      </c>
      <c r="D44">
        <f>'BDG Intensity'!A24&amp;" "&amp;'BDG Intensity'!B24&amp;" "&amp;'BDG Intensity'!C24&amp;" "&amp;'BDG Intensity'!D24&amp;" "&amp;'BDG Intensity'!E24&amp;" "&amp;"demand"</f>
        <v/>
      </c>
      <c r="E44" t="inlineStr">
        <is>
          <t>Mm2</t>
        </is>
      </c>
    </row>
    <row r="45">
      <c r="B45" t="inlineStr">
        <is>
          <t>MAT</t>
        </is>
      </c>
      <c r="C45">
        <f>'BDG Intensity'!F25&amp;"DMD"</f>
        <v/>
      </c>
      <c r="D45">
        <f>'BDG Intensity'!A25&amp;" "&amp;'BDG Intensity'!B25&amp;" "&amp;'BDG Intensity'!C25&amp;" "&amp;'BDG Intensity'!D25&amp;" "&amp;'BDG Intensity'!E25&amp;" "&amp;"demand"</f>
        <v/>
      </c>
      <c r="E45" t="inlineStr">
        <is>
          <t>Mm2</t>
        </is>
      </c>
    </row>
    <row r="46">
      <c r="B46" t="inlineStr">
        <is>
          <t>MAT</t>
        </is>
      </c>
      <c r="C46">
        <f>'BDG Intensity'!F26&amp;"DMD"</f>
        <v/>
      </c>
      <c r="D46">
        <f>'BDG Intensity'!A26&amp;" "&amp;'BDG Intensity'!B26&amp;" "&amp;'BDG Intensity'!C26&amp;" "&amp;'BDG Intensity'!D26&amp;" "&amp;'BDG Intensity'!E26&amp;" "&amp;"demand"</f>
        <v/>
      </c>
      <c r="E46" t="inlineStr">
        <is>
          <t>Mm2</t>
        </is>
      </c>
    </row>
    <row r="47">
      <c r="B47" t="inlineStr">
        <is>
          <t>MAT</t>
        </is>
      </c>
      <c r="C47">
        <f>'BDG Intensity'!F27&amp;"DMD"</f>
        <v/>
      </c>
      <c r="D47">
        <f>'BDG Intensity'!A27&amp;" "&amp;'BDG Intensity'!B27&amp;" "&amp;'BDG Intensity'!C27&amp;" "&amp;'BDG Intensity'!D27&amp;" "&amp;'BDG Intensity'!E27&amp;" "&amp;"demand"</f>
        <v/>
      </c>
      <c r="E47" t="inlineStr">
        <is>
          <t>Mm2</t>
        </is>
      </c>
    </row>
    <row r="48">
      <c r="B48" t="inlineStr">
        <is>
          <t>MAT</t>
        </is>
      </c>
      <c r="C48">
        <f>'BDG Intensity'!F28&amp;"DMD"</f>
        <v/>
      </c>
      <c r="D48">
        <f>'BDG Intensity'!A28&amp;" "&amp;'BDG Intensity'!B28&amp;" "&amp;'BDG Intensity'!C28&amp;" "&amp;'BDG Intensity'!D28&amp;" "&amp;'BDG Intensity'!E28&amp;" "&amp;"demand"</f>
        <v/>
      </c>
      <c r="E48" t="inlineStr">
        <is>
          <t>Mm2</t>
        </is>
      </c>
    </row>
    <row r="49">
      <c r="B49" t="inlineStr">
        <is>
          <t>MAT</t>
        </is>
      </c>
      <c r="C49">
        <f>'BDG Intensity'!F29&amp;"DMD"</f>
        <v/>
      </c>
      <c r="D49">
        <f>'BDG Intensity'!A29&amp;" "&amp;'BDG Intensity'!B29&amp;" "&amp;'BDG Intensity'!C29&amp;" "&amp;'BDG Intensity'!D29&amp;" "&amp;'BDG Intensity'!E29&amp;" "&amp;"demand"</f>
        <v/>
      </c>
      <c r="E49" t="inlineStr">
        <is>
          <t>Mm2</t>
        </is>
      </c>
    </row>
    <row r="50">
      <c r="B50" t="inlineStr">
        <is>
          <t>MAT</t>
        </is>
      </c>
      <c r="C50">
        <f>'BDG Intensity'!F30&amp;"DMD"</f>
        <v/>
      </c>
      <c r="D50">
        <f>'BDG Intensity'!A30&amp;" "&amp;'BDG Intensity'!B30&amp;" "&amp;'BDG Intensity'!C30&amp;" "&amp;'BDG Intensity'!D30&amp;" "&amp;'BDG Intensity'!E30&amp;" "&amp;"demand"</f>
        <v/>
      </c>
      <c r="E50" t="inlineStr">
        <is>
          <t>Mm2</t>
        </is>
      </c>
    </row>
    <row r="51">
      <c r="B51" t="inlineStr">
        <is>
          <t>MAT</t>
        </is>
      </c>
      <c r="C51">
        <f>'BDG Intensity'!F31&amp;"DMD"</f>
        <v/>
      </c>
      <c r="D51">
        <f>'BDG Intensity'!A31&amp;" "&amp;'BDG Intensity'!B31&amp;" "&amp;'BDG Intensity'!C31&amp;" "&amp;'BDG Intensity'!D31&amp;" "&amp;'BDG Intensity'!E31&amp;" "&amp;"demand"</f>
        <v/>
      </c>
      <c r="E51" t="inlineStr">
        <is>
          <t>Mm2</t>
        </is>
      </c>
    </row>
    <row r="52">
      <c r="B52" t="inlineStr">
        <is>
          <t>MAT</t>
        </is>
      </c>
      <c r="C52">
        <f>'BDG Intensity'!F32&amp;"DMD"</f>
        <v/>
      </c>
      <c r="D52">
        <f>'BDG Intensity'!A32&amp;" "&amp;'BDG Intensity'!B32&amp;" "&amp;'BDG Intensity'!C32&amp;" "&amp;'BDG Intensity'!D32&amp;" "&amp;'BDG Intensity'!E32&amp;" "&amp;"demand"</f>
        <v/>
      </c>
      <c r="E52" t="inlineStr">
        <is>
          <t>Mm2</t>
        </is>
      </c>
    </row>
    <row r="53">
      <c r="B53" t="inlineStr">
        <is>
          <t>MAT</t>
        </is>
      </c>
      <c r="C53">
        <f>'BDG Intensity'!F33&amp;"DMD"</f>
        <v/>
      </c>
      <c r="D53">
        <f>'BDG Intensity'!A33&amp;" "&amp;'BDG Intensity'!B33&amp;" "&amp;'BDG Intensity'!C33&amp;" "&amp;'BDG Intensity'!D33&amp;" "&amp;'BDG Intensity'!E33&amp;" "&amp;"demand"</f>
        <v/>
      </c>
      <c r="E53" t="inlineStr">
        <is>
          <t>Mm2</t>
        </is>
      </c>
    </row>
    <row r="54">
      <c r="B54" t="inlineStr">
        <is>
          <t>MAT</t>
        </is>
      </c>
      <c r="C54">
        <f>'BDG Intensity'!F34&amp;"DMD"</f>
        <v/>
      </c>
      <c r="D54">
        <f>'BDG Intensity'!A34&amp;" "&amp;'BDG Intensity'!B34&amp;" "&amp;'BDG Intensity'!C34&amp;" "&amp;'BDG Intensity'!D34&amp;" "&amp;'BDG Intensity'!E34&amp;" "&amp;"demand"</f>
        <v/>
      </c>
      <c r="E54" t="inlineStr">
        <is>
          <t>Mm2</t>
        </is>
      </c>
    </row>
    <row r="55">
      <c r="B55" t="inlineStr">
        <is>
          <t>MAT</t>
        </is>
      </c>
      <c r="C55">
        <f>'BDG Intensity'!F35&amp;"DMD"</f>
        <v/>
      </c>
      <c r="D55">
        <f>'BDG Intensity'!A35&amp;" "&amp;'BDG Intensity'!B35&amp;" "&amp;'BDG Intensity'!C35&amp;" "&amp;'BDG Intensity'!D35&amp;" "&amp;'BDG Intensity'!E35&amp;" "&amp;"demand"</f>
        <v/>
      </c>
      <c r="E55" t="inlineStr">
        <is>
          <t>Mm2</t>
        </is>
      </c>
    </row>
    <row r="56">
      <c r="B56" t="inlineStr">
        <is>
          <t>MAT</t>
        </is>
      </c>
      <c r="C56">
        <f>'BDG Intensity'!F36&amp;"DMD"</f>
        <v/>
      </c>
      <c r="D56">
        <f>'BDG Intensity'!A36&amp;" "&amp;'BDG Intensity'!B36&amp;" "&amp;'BDG Intensity'!C36&amp;" "&amp;'BDG Intensity'!D36&amp;" "&amp;'BDG Intensity'!E36&amp;" "&amp;"demand"</f>
        <v/>
      </c>
      <c r="E56" t="inlineStr">
        <is>
          <t>Mm2</t>
        </is>
      </c>
    </row>
    <row r="57">
      <c r="B57" t="inlineStr">
        <is>
          <t>MAT</t>
        </is>
      </c>
      <c r="C57">
        <f>'BDG Intensity'!F37&amp;"DMD"</f>
        <v/>
      </c>
      <c r="D57">
        <f>'BDG Intensity'!A37&amp;" "&amp;'BDG Intensity'!B37&amp;" "&amp;'BDG Intensity'!C37&amp;" "&amp;'BDG Intensity'!D37&amp;" "&amp;'BDG Intensity'!E37&amp;" "&amp;"demand"</f>
        <v/>
      </c>
      <c r="E57" t="inlineStr">
        <is>
          <t>Mm2</t>
        </is>
      </c>
    </row>
    <row r="58">
      <c r="B58" t="inlineStr">
        <is>
          <t>MAT</t>
        </is>
      </c>
      <c r="C58">
        <f>'BDG Intensity'!F38&amp;"DMD"</f>
        <v/>
      </c>
      <c r="D58">
        <f>'BDG Intensity'!A38&amp;" "&amp;'BDG Intensity'!B38&amp;" "&amp;'BDG Intensity'!C38&amp;" "&amp;'BDG Intensity'!D38&amp;" "&amp;'BDG Intensity'!E38&amp;" "&amp;"demand"</f>
        <v/>
      </c>
      <c r="E58" t="inlineStr">
        <is>
          <t>Mm2</t>
        </is>
      </c>
    </row>
    <row r="59">
      <c r="B59" t="inlineStr">
        <is>
          <t>MAT</t>
        </is>
      </c>
      <c r="C59">
        <f>'BDG Intensity'!F39&amp;"DMD"</f>
        <v/>
      </c>
      <c r="D59">
        <f>'BDG Intensity'!A39&amp;" "&amp;'BDG Intensity'!B39&amp;" "&amp;'BDG Intensity'!C39&amp;" "&amp;'BDG Intensity'!D39&amp;" "&amp;'BDG Intensity'!E39&amp;" "&amp;"demand"</f>
        <v/>
      </c>
      <c r="E59" t="inlineStr">
        <is>
          <t>Mm2</t>
        </is>
      </c>
    </row>
    <row r="60">
      <c r="B60" t="inlineStr">
        <is>
          <t>MAT</t>
        </is>
      </c>
      <c r="C60">
        <f>'BDG Intensity'!F40&amp;"DMD"</f>
        <v/>
      </c>
      <c r="D60">
        <f>'BDG Intensity'!A40&amp;" "&amp;'BDG Intensity'!B40&amp;" "&amp;'BDG Intensity'!C40&amp;" "&amp;'BDG Intensity'!D40&amp;" "&amp;'BDG Intensity'!E40&amp;" "&amp;"demand"</f>
        <v/>
      </c>
      <c r="E60" t="inlineStr">
        <is>
          <t>Mm2</t>
        </is>
      </c>
    </row>
    <row r="61">
      <c r="B61" t="inlineStr">
        <is>
          <t>MAT</t>
        </is>
      </c>
      <c r="C61">
        <f>'BDG Intensity'!F41&amp;"DMD"</f>
        <v/>
      </c>
      <c r="D61">
        <f>'BDG Intensity'!A41&amp;" "&amp;'BDG Intensity'!B41&amp;" "&amp;'BDG Intensity'!C41&amp;" "&amp;'BDG Intensity'!D41&amp;" "&amp;'BDG Intensity'!E41&amp;" "&amp;"demand"</f>
        <v/>
      </c>
      <c r="E61" t="inlineStr">
        <is>
          <t>Mm2</t>
        </is>
      </c>
    </row>
    <row r="62">
      <c r="B62" t="inlineStr">
        <is>
          <t>MAT</t>
        </is>
      </c>
      <c r="C62">
        <f>'BDG Intensity'!F42&amp;"DMD"</f>
        <v/>
      </c>
      <c r="D62">
        <f>'BDG Intensity'!A42&amp;" "&amp;'BDG Intensity'!B42&amp;" "&amp;'BDG Intensity'!C42&amp;" "&amp;'BDG Intensity'!D42&amp;" "&amp;'BDG Intensity'!E42&amp;" "&amp;"demand"</f>
        <v/>
      </c>
      <c r="E62" t="inlineStr">
        <is>
          <t>Mm2</t>
        </is>
      </c>
    </row>
    <row r="63">
      <c r="B63" t="inlineStr">
        <is>
          <t>MAT</t>
        </is>
      </c>
      <c r="C63">
        <f>'BDG Intensity'!F43&amp;"DMD"</f>
        <v/>
      </c>
      <c r="D63">
        <f>'BDG Intensity'!A43&amp;" "&amp;'BDG Intensity'!B43&amp;" "&amp;'BDG Intensity'!C43&amp;" "&amp;'BDG Intensity'!D43&amp;" "&amp;'BDG Intensity'!E43&amp;" "&amp;"demand"</f>
        <v/>
      </c>
      <c r="E63" t="inlineStr">
        <is>
          <t>Mm2</t>
        </is>
      </c>
    </row>
    <row r="64">
      <c r="B64" t="inlineStr">
        <is>
          <t>MAT</t>
        </is>
      </c>
      <c r="C64">
        <f>'BDG Intensity'!F44&amp;"DMD"</f>
        <v/>
      </c>
      <c r="D64">
        <f>'BDG Intensity'!A44&amp;" "&amp;'BDG Intensity'!B44&amp;" "&amp;'BDG Intensity'!C44&amp;" "&amp;'BDG Intensity'!D44&amp;" "&amp;'BDG Intensity'!E44&amp;" "&amp;"demand"</f>
        <v/>
      </c>
      <c r="E64" t="inlineStr">
        <is>
          <t>Mm2</t>
        </is>
      </c>
    </row>
    <row r="65">
      <c r="B65" t="inlineStr">
        <is>
          <t>MAT</t>
        </is>
      </c>
      <c r="C65">
        <f>'BDG Intensity'!F45&amp;"DMD"</f>
        <v/>
      </c>
      <c r="D65">
        <f>'BDG Intensity'!A45&amp;" "&amp;'BDG Intensity'!B45&amp;" "&amp;'BDG Intensity'!C45&amp;" "&amp;'BDG Intensity'!D45&amp;" "&amp;'BDG Intensity'!E45&amp;" "&amp;"demand"</f>
        <v/>
      </c>
      <c r="E65" t="inlineStr">
        <is>
          <t>Mm2</t>
        </is>
      </c>
    </row>
    <row r="66">
      <c r="B66" t="inlineStr">
        <is>
          <t>MAT</t>
        </is>
      </c>
      <c r="C66">
        <f>'BDG Intensity'!F46&amp;"DMD"</f>
        <v/>
      </c>
      <c r="D66">
        <f>'BDG Intensity'!A46&amp;" "&amp;'BDG Intensity'!B46&amp;" "&amp;'BDG Intensity'!C46&amp;" "&amp;'BDG Intensity'!D46&amp;" "&amp;'BDG Intensity'!E46&amp;" "&amp;"demand"</f>
        <v/>
      </c>
      <c r="E66" t="inlineStr">
        <is>
          <t>Mm2</t>
        </is>
      </c>
    </row>
    <row r="67">
      <c r="B67" t="inlineStr">
        <is>
          <t>MAT</t>
        </is>
      </c>
      <c r="C67">
        <f>'BDG Intensity'!F47&amp;"DMD"</f>
        <v/>
      </c>
      <c r="D67">
        <f>'BDG Intensity'!A47&amp;" "&amp;'BDG Intensity'!B47&amp;" "&amp;'BDG Intensity'!C47&amp;" "&amp;'BDG Intensity'!D47&amp;" "&amp;'BDG Intensity'!E47&amp;" "&amp;"demand"</f>
        <v/>
      </c>
      <c r="E67" t="inlineStr">
        <is>
          <t>Mm2</t>
        </is>
      </c>
    </row>
    <row r="68">
      <c r="B68" t="inlineStr">
        <is>
          <t>MAT</t>
        </is>
      </c>
      <c r="C68">
        <f>'BDG Intensity'!F48&amp;"DMD"</f>
        <v/>
      </c>
      <c r="D68">
        <f>'BDG Intensity'!A48&amp;" "&amp;'BDG Intensity'!B48&amp;" "&amp;'BDG Intensity'!C48&amp;" "&amp;'BDG Intensity'!D48&amp;" "&amp;'BDG Intensity'!E48&amp;" "&amp;"demand"</f>
        <v/>
      </c>
      <c r="E68" t="inlineStr">
        <is>
          <t>Mm2</t>
        </is>
      </c>
    </row>
    <row r="69">
      <c r="B69" t="inlineStr">
        <is>
          <t>MAT</t>
        </is>
      </c>
      <c r="C69">
        <f>'BDG Intensity'!F49&amp;"DMD"</f>
        <v/>
      </c>
      <c r="D69">
        <f>'BDG Intensity'!A49&amp;" "&amp;'BDG Intensity'!B49&amp;" "&amp;'BDG Intensity'!C49&amp;" "&amp;'BDG Intensity'!D49&amp;" "&amp;'BDG Intensity'!E49&amp;" "&amp;"demand"</f>
        <v/>
      </c>
      <c r="E69" t="inlineStr">
        <is>
          <t>Mm2</t>
        </is>
      </c>
    </row>
    <row r="70">
      <c r="B70" t="inlineStr">
        <is>
          <t>MAT</t>
        </is>
      </c>
      <c r="C70">
        <f>'BDG Intensity'!F50&amp;"DMD"</f>
        <v/>
      </c>
      <c r="D70">
        <f>'BDG Intensity'!A50&amp;" "&amp;'BDG Intensity'!B50&amp;" "&amp;'BDG Intensity'!C50&amp;" "&amp;'BDG Intensity'!D50&amp;" "&amp;'BDG Intensity'!E50&amp;" "&amp;"demand"</f>
        <v/>
      </c>
      <c r="E70" t="inlineStr">
        <is>
          <t>Mm2</t>
        </is>
      </c>
    </row>
    <row r="71">
      <c r="B71" t="inlineStr">
        <is>
          <t>MAT</t>
        </is>
      </c>
      <c r="C71">
        <f>'BDG Intensity'!F51&amp;"DMD"</f>
        <v/>
      </c>
      <c r="D71">
        <f>'BDG Intensity'!A51&amp;" "&amp;'BDG Intensity'!B51&amp;" "&amp;'BDG Intensity'!C51&amp;" "&amp;'BDG Intensity'!D51&amp;" "&amp;'BDG Intensity'!E51&amp;" "&amp;"demand"</f>
        <v/>
      </c>
      <c r="E71" t="inlineStr">
        <is>
          <t>Mm2</t>
        </is>
      </c>
    </row>
    <row r="72">
      <c r="B72" t="inlineStr">
        <is>
          <t>MAT</t>
        </is>
      </c>
      <c r="C72">
        <f>'BDG Intensity'!F52&amp;"DMD"</f>
        <v/>
      </c>
      <c r="D72">
        <f>'BDG Intensity'!A52&amp;" "&amp;'BDG Intensity'!B52&amp;" "&amp;'BDG Intensity'!C52&amp;" "&amp;'BDG Intensity'!D52&amp;" "&amp;'BDG Intensity'!E52&amp;" "&amp;"demand"</f>
        <v/>
      </c>
      <c r="E72" t="inlineStr">
        <is>
          <t>Mm2</t>
        </is>
      </c>
    </row>
    <row r="73">
      <c r="B73" t="inlineStr">
        <is>
          <t>MAT</t>
        </is>
      </c>
      <c r="C73">
        <f>'BDG Intensity'!F53&amp;"DMD"</f>
        <v/>
      </c>
      <c r="D73">
        <f>'BDG Intensity'!A53&amp;" "&amp;'BDG Intensity'!B53&amp;" "&amp;'BDG Intensity'!C53&amp;" "&amp;'BDG Intensity'!D53&amp;" "&amp;'BDG Intensity'!E53&amp;" "&amp;"demand"</f>
        <v/>
      </c>
      <c r="E73" t="inlineStr">
        <is>
          <t>Mm2</t>
        </is>
      </c>
    </row>
    <row r="74">
      <c r="B74" t="inlineStr">
        <is>
          <t>MAT</t>
        </is>
      </c>
      <c r="C74">
        <f>'BDG Intensity'!F54&amp;"DMD"</f>
        <v/>
      </c>
      <c r="D74">
        <f>'BDG Intensity'!A54&amp;" "&amp;'BDG Intensity'!B54&amp;" "&amp;'BDG Intensity'!C54&amp;" "&amp;'BDG Intensity'!D54&amp;" "&amp;'BDG Intensity'!E54&amp;" "&amp;"demand"</f>
        <v/>
      </c>
      <c r="E74" t="inlineStr">
        <is>
          <t>Mm2</t>
        </is>
      </c>
    </row>
    <row r="75">
      <c r="B75" t="inlineStr">
        <is>
          <t>MAT</t>
        </is>
      </c>
      <c r="C75">
        <f>'BDG Intensity'!F55&amp;"DMD"</f>
        <v/>
      </c>
      <c r="D75">
        <f>'BDG Intensity'!A55&amp;" "&amp;'BDG Intensity'!B55&amp;" "&amp;'BDG Intensity'!C55&amp;" "&amp;'BDG Intensity'!D55&amp;" "&amp;'BDG Intensity'!E55&amp;" "&amp;"demand"</f>
        <v/>
      </c>
      <c r="E75" t="inlineStr">
        <is>
          <t>Mm2</t>
        </is>
      </c>
    </row>
    <row r="76">
      <c r="B76" t="inlineStr">
        <is>
          <t>MAT</t>
        </is>
      </c>
      <c r="C76">
        <f>'BDG Intensity'!F56&amp;"DMD"</f>
        <v/>
      </c>
      <c r="D76">
        <f>'BDG Intensity'!A56&amp;" "&amp;'BDG Intensity'!B56&amp;" "&amp;'BDG Intensity'!C56&amp;" "&amp;'BDG Intensity'!D56&amp;" "&amp;'BDG Intensity'!E56&amp;" "&amp;"demand"</f>
        <v/>
      </c>
      <c r="E76" t="inlineStr">
        <is>
          <t>Mm2</t>
        </is>
      </c>
    </row>
    <row r="77">
      <c r="B77" t="inlineStr">
        <is>
          <t>MAT</t>
        </is>
      </c>
      <c r="C77">
        <f>'BDG Intensity'!F57&amp;"DMD"</f>
        <v/>
      </c>
      <c r="D77">
        <f>'BDG Intensity'!A57&amp;" "&amp;'BDG Intensity'!B57&amp;" "&amp;'BDG Intensity'!C57&amp;" "&amp;'BDG Intensity'!D57&amp;" "&amp;'BDG Intensity'!E57&amp;" "&amp;"demand"</f>
        <v/>
      </c>
      <c r="E77" t="inlineStr">
        <is>
          <t>Mm2</t>
        </is>
      </c>
    </row>
    <row r="78">
      <c r="B78" t="inlineStr">
        <is>
          <t>MAT</t>
        </is>
      </c>
      <c r="C78">
        <f>'BDG Intensity'!F58&amp;"DMD"</f>
        <v/>
      </c>
      <c r="D78">
        <f>'BDG Intensity'!A58&amp;" "&amp;'BDG Intensity'!B58&amp;" "&amp;'BDG Intensity'!C58&amp;" "&amp;'BDG Intensity'!D58&amp;" "&amp;'BDG Intensity'!E58&amp;" "&amp;"demand"</f>
        <v/>
      </c>
      <c r="E78" t="inlineStr">
        <is>
          <t>Mm2</t>
        </is>
      </c>
    </row>
    <row r="79">
      <c r="B79" t="inlineStr">
        <is>
          <t>MAT</t>
        </is>
      </c>
      <c r="C79">
        <f>'BDG Intensity'!F59&amp;"DMD"</f>
        <v/>
      </c>
      <c r="D79">
        <f>'BDG Intensity'!A59&amp;" "&amp;'BDG Intensity'!B59&amp;" "&amp;'BDG Intensity'!C59&amp;" "&amp;'BDG Intensity'!D59&amp;" "&amp;'BDG Intensity'!E59&amp;" "&amp;"demand"</f>
        <v/>
      </c>
      <c r="E79" t="inlineStr">
        <is>
          <t>Mm2</t>
        </is>
      </c>
    </row>
    <row r="80">
      <c r="B80" t="inlineStr">
        <is>
          <t>MAT</t>
        </is>
      </c>
      <c r="C80">
        <f>'BDG Intensity'!F60&amp;"DMD"</f>
        <v/>
      </c>
      <c r="D80">
        <f>'BDG Intensity'!A60&amp;" "&amp;'BDG Intensity'!B60&amp;" "&amp;'BDG Intensity'!C60&amp;" "&amp;'BDG Intensity'!D60&amp;" "&amp;'BDG Intensity'!E60&amp;" "&amp;"demand"</f>
        <v/>
      </c>
      <c r="E80" t="inlineStr">
        <is>
          <t>Mm2</t>
        </is>
      </c>
    </row>
    <row r="81">
      <c r="B81" t="inlineStr">
        <is>
          <t>MAT</t>
        </is>
      </c>
      <c r="C81">
        <f>'BDG Intensity'!F61&amp;"DMD"</f>
        <v/>
      </c>
      <c r="D81">
        <f>'BDG Intensity'!A61&amp;" "&amp;'BDG Intensity'!B61&amp;" "&amp;'BDG Intensity'!C61&amp;" "&amp;'BDG Intensity'!D61&amp;" "&amp;'BDG Intensity'!E61&amp;" "&amp;"demand"</f>
        <v/>
      </c>
      <c r="E81" t="inlineStr">
        <is>
          <t>Mm2</t>
        </is>
      </c>
    </row>
    <row r="82">
      <c r="B82" t="inlineStr">
        <is>
          <t>MAT</t>
        </is>
      </c>
      <c r="C82">
        <f>'BDG Intensity'!F62&amp;"DMD"</f>
        <v/>
      </c>
      <c r="D82">
        <f>'BDG Intensity'!A62&amp;" "&amp;'BDG Intensity'!B62&amp;" "&amp;'BDG Intensity'!C62&amp;" "&amp;'BDG Intensity'!D62&amp;" "&amp;'BDG Intensity'!E62&amp;" "&amp;"demand"</f>
        <v/>
      </c>
      <c r="E82" t="inlineStr">
        <is>
          <t>Mm2</t>
        </is>
      </c>
    </row>
    <row r="83">
      <c r="B83" t="inlineStr">
        <is>
          <t>MAT</t>
        </is>
      </c>
      <c r="C83">
        <f>'BDG Intensity'!F63&amp;"DMD"</f>
        <v/>
      </c>
      <c r="D83">
        <f>'BDG Intensity'!A63&amp;" "&amp;'BDG Intensity'!B63&amp;" "&amp;'BDG Intensity'!C63&amp;" "&amp;'BDG Intensity'!D63&amp;" "&amp;'BDG Intensity'!E63&amp;" "&amp;"demand"</f>
        <v/>
      </c>
      <c r="E83" t="inlineStr">
        <is>
          <t>Mm2</t>
        </is>
      </c>
    </row>
    <row r="84">
      <c r="B84" t="inlineStr">
        <is>
          <t>MAT</t>
        </is>
      </c>
      <c r="C84">
        <f>'BDG Intensity'!F64&amp;"DMD"</f>
        <v/>
      </c>
      <c r="D84">
        <f>'BDG Intensity'!A64&amp;" "&amp;'BDG Intensity'!B64&amp;" "&amp;'BDG Intensity'!C64&amp;" "&amp;'BDG Intensity'!D64&amp;" "&amp;'BDG Intensity'!E64&amp;" "&amp;"demand"</f>
        <v/>
      </c>
      <c r="E84" t="inlineStr">
        <is>
          <t>Mm2</t>
        </is>
      </c>
    </row>
    <row r="85">
      <c r="B85" t="inlineStr">
        <is>
          <t>MAT</t>
        </is>
      </c>
      <c r="C85">
        <f>'BDG Intensity'!F65&amp;"DMD"</f>
        <v/>
      </c>
      <c r="D85">
        <f>'BDG Intensity'!A65&amp;" "&amp;'BDG Intensity'!B65&amp;" "&amp;'BDG Intensity'!C65&amp;" "&amp;'BDG Intensity'!D65&amp;" "&amp;'BDG Intensity'!E65&amp;" "&amp;"demand"</f>
        <v/>
      </c>
      <c r="E85" t="inlineStr">
        <is>
          <t>Mm2</t>
        </is>
      </c>
    </row>
    <row r="86">
      <c r="B86" t="inlineStr">
        <is>
          <t>MAT</t>
        </is>
      </c>
      <c r="C86">
        <f>'BDG Intensity'!F66&amp;"DMD"</f>
        <v/>
      </c>
      <c r="D86">
        <f>'BDG Intensity'!A66&amp;" "&amp;'BDG Intensity'!B66&amp;" "&amp;'BDG Intensity'!C66&amp;" "&amp;'BDG Intensity'!D66&amp;" "&amp;'BDG Intensity'!E66&amp;" "&amp;"demand"</f>
        <v/>
      </c>
      <c r="E86" t="inlineStr">
        <is>
          <t>Mm2</t>
        </is>
      </c>
    </row>
    <row r="87">
      <c r="B87" t="inlineStr">
        <is>
          <t>MAT</t>
        </is>
      </c>
      <c r="C87">
        <f>'BDG Intensity'!F67&amp;"DMD"</f>
        <v/>
      </c>
      <c r="D87">
        <f>'BDG Intensity'!A67&amp;" "&amp;'BDG Intensity'!B67&amp;" "&amp;'BDG Intensity'!C67&amp;" "&amp;'BDG Intensity'!D67&amp;" "&amp;'BDG Intensity'!E67&amp;" "&amp;"demand"</f>
        <v/>
      </c>
      <c r="E87" t="inlineStr">
        <is>
          <t>Mm2</t>
        </is>
      </c>
    </row>
    <row r="88">
      <c r="B88" t="inlineStr">
        <is>
          <t>MAT</t>
        </is>
      </c>
      <c r="C88">
        <f>'BDG Intensity'!F68&amp;"DMD"</f>
        <v/>
      </c>
      <c r="D88">
        <f>'BDG Intensity'!A68&amp;" "&amp;'BDG Intensity'!B68&amp;" "&amp;'BDG Intensity'!C68&amp;" "&amp;'BDG Intensity'!D68&amp;" "&amp;'BDG Intensity'!E68&amp;" "&amp;"demand"</f>
        <v/>
      </c>
      <c r="E88" t="inlineStr">
        <is>
          <t>Mm2</t>
        </is>
      </c>
    </row>
    <row r="89">
      <c r="B89" t="inlineStr">
        <is>
          <t>MAT</t>
        </is>
      </c>
      <c r="C89">
        <f>'BDG Intensity'!F69&amp;"DMD"</f>
        <v/>
      </c>
      <c r="D89">
        <f>'BDG Intensity'!A69&amp;" "&amp;'BDG Intensity'!B69&amp;" "&amp;'BDG Intensity'!C69&amp;" "&amp;'BDG Intensity'!D69&amp;" "&amp;'BDG Intensity'!E69&amp;" "&amp;"demand"</f>
        <v/>
      </c>
      <c r="E89" t="inlineStr">
        <is>
          <t>Mm2</t>
        </is>
      </c>
    </row>
    <row r="90">
      <c r="B90" t="inlineStr">
        <is>
          <t>MAT</t>
        </is>
      </c>
      <c r="C90">
        <f>'BDG Intensity'!F70&amp;"DMD"</f>
        <v/>
      </c>
      <c r="D90">
        <f>'BDG Intensity'!A70&amp;" "&amp;'BDG Intensity'!B70&amp;" "&amp;'BDG Intensity'!C70&amp;" "&amp;'BDG Intensity'!D70&amp;" "&amp;'BDG Intensity'!E70&amp;" "&amp;"demand"</f>
        <v/>
      </c>
      <c r="E90" t="inlineStr">
        <is>
          <t>Mm2</t>
        </is>
      </c>
    </row>
    <row r="91">
      <c r="B91" t="inlineStr">
        <is>
          <t>MAT</t>
        </is>
      </c>
      <c r="C91">
        <f>'BDG Intensity'!F71&amp;"DMD"</f>
        <v/>
      </c>
      <c r="D91">
        <f>'BDG Intensity'!A71&amp;" "&amp;'BDG Intensity'!B71&amp;" "&amp;'BDG Intensity'!C71&amp;" "&amp;'BDG Intensity'!D71&amp;" "&amp;'BDG Intensity'!E71&amp;" "&amp;"demand"</f>
        <v/>
      </c>
      <c r="E91" t="inlineStr">
        <is>
          <t>Mm2</t>
        </is>
      </c>
    </row>
    <row r="92">
      <c r="B92" t="inlineStr">
        <is>
          <t>MAT</t>
        </is>
      </c>
      <c r="C92">
        <f>'BDG Intensity'!F72&amp;"DMD"</f>
        <v/>
      </c>
      <c r="D92">
        <f>'BDG Intensity'!A72&amp;" "&amp;'BDG Intensity'!B72&amp;" "&amp;'BDG Intensity'!C72&amp;" "&amp;'BDG Intensity'!D72&amp;" "&amp;'BDG Intensity'!E72&amp;" "&amp;"demand"</f>
        <v/>
      </c>
      <c r="E92" t="inlineStr">
        <is>
          <t>Mm2</t>
        </is>
      </c>
    </row>
    <row r="93">
      <c r="B93" t="inlineStr">
        <is>
          <t>MAT</t>
        </is>
      </c>
      <c r="C93">
        <f>'BDG Intensity'!F73&amp;"DMD"</f>
        <v/>
      </c>
      <c r="D93">
        <f>'BDG Intensity'!A73&amp;" "&amp;'BDG Intensity'!B73&amp;" "&amp;'BDG Intensity'!C73&amp;" "&amp;'BDG Intensity'!D73&amp;" "&amp;'BDG Intensity'!E73&amp;" "&amp;"demand"</f>
        <v/>
      </c>
      <c r="E93" t="inlineStr">
        <is>
          <t>Mm2</t>
        </is>
      </c>
    </row>
    <row r="94">
      <c r="B94" t="inlineStr">
        <is>
          <t>MAT</t>
        </is>
      </c>
      <c r="C94">
        <f>'BDG Intensity'!F74&amp;"DMD"</f>
        <v/>
      </c>
      <c r="D94">
        <f>'BDG Intensity'!A74&amp;" "&amp;'BDG Intensity'!B74&amp;" "&amp;'BDG Intensity'!C74&amp;" "&amp;'BDG Intensity'!D74&amp;" "&amp;'BDG Intensity'!E74&amp;" "&amp;"demand"</f>
        <v/>
      </c>
      <c r="E94" t="inlineStr">
        <is>
          <t>Mm2</t>
        </is>
      </c>
    </row>
    <row r="95">
      <c r="B95" t="inlineStr">
        <is>
          <t>MAT</t>
        </is>
      </c>
      <c r="C95">
        <f>'BDG Intensity'!F75&amp;"DMD"</f>
        <v/>
      </c>
      <c r="D95">
        <f>'BDG Intensity'!A75&amp;" "&amp;'BDG Intensity'!B75&amp;" "&amp;'BDG Intensity'!C75&amp;" "&amp;'BDG Intensity'!D75&amp;" "&amp;'BDG Intensity'!E75&amp;" "&amp;"demand"</f>
        <v/>
      </c>
      <c r="E95" t="inlineStr">
        <is>
          <t>Mm2</t>
        </is>
      </c>
    </row>
    <row r="96">
      <c r="B96" t="inlineStr">
        <is>
          <t>MAT</t>
        </is>
      </c>
      <c r="C96">
        <f>'BDG Intensity'!F76&amp;"DMD"</f>
        <v/>
      </c>
      <c r="D96">
        <f>'BDG Intensity'!A76&amp;" "&amp;'BDG Intensity'!B76&amp;" "&amp;'BDG Intensity'!C76&amp;" "&amp;'BDG Intensity'!D76&amp;" "&amp;'BDG Intensity'!E76&amp;" "&amp;"demand"</f>
        <v/>
      </c>
      <c r="E96" t="inlineStr">
        <is>
          <t>Mm2</t>
        </is>
      </c>
    </row>
    <row r="97">
      <c r="B97" t="inlineStr">
        <is>
          <t>MAT</t>
        </is>
      </c>
      <c r="C97">
        <f>'BDG Intensity'!F77&amp;"DMD"</f>
        <v/>
      </c>
      <c r="D97">
        <f>'BDG Intensity'!A77&amp;" "&amp;'BDG Intensity'!B77&amp;" "&amp;'BDG Intensity'!C77&amp;" "&amp;'BDG Intensity'!D77&amp;" "&amp;'BDG Intensity'!E77&amp;" "&amp;"demand"</f>
        <v/>
      </c>
      <c r="E97" t="inlineStr">
        <is>
          <t>Mm2</t>
        </is>
      </c>
    </row>
    <row r="98">
      <c r="B98" t="inlineStr">
        <is>
          <t>MAT</t>
        </is>
      </c>
      <c r="C98">
        <f>'BDG Intensity'!F78&amp;"DMD"</f>
        <v/>
      </c>
      <c r="D98">
        <f>'BDG Intensity'!A78&amp;" "&amp;'BDG Intensity'!B78&amp;" "&amp;'BDG Intensity'!C78&amp;" "&amp;'BDG Intensity'!D78&amp;" "&amp;'BDG Intensity'!E78&amp;" "&amp;"demand"</f>
        <v/>
      </c>
      <c r="E98" t="inlineStr">
        <is>
          <t>Mm2</t>
        </is>
      </c>
    </row>
    <row r="99">
      <c r="B99" t="inlineStr">
        <is>
          <t>MAT</t>
        </is>
      </c>
      <c r="C99">
        <f>'BDG Intensity'!F79&amp;"DMD"</f>
        <v/>
      </c>
      <c r="D99">
        <f>'BDG Intensity'!A79&amp;" "&amp;'BDG Intensity'!B79&amp;" "&amp;'BDG Intensity'!C79&amp;" "&amp;'BDG Intensity'!D79&amp;" "&amp;'BDG Intensity'!E79&amp;" "&amp;"demand"</f>
        <v/>
      </c>
      <c r="E99" t="inlineStr">
        <is>
          <t>Mm2</t>
        </is>
      </c>
    </row>
    <row r="100">
      <c r="B100" t="inlineStr">
        <is>
          <t>MAT</t>
        </is>
      </c>
      <c r="C100">
        <f>'BDG Intensity'!F80&amp;"DMD"</f>
        <v/>
      </c>
      <c r="D100">
        <f>'BDG Intensity'!A80&amp;" "&amp;'BDG Intensity'!B80&amp;" "&amp;'BDG Intensity'!C80&amp;" "&amp;'BDG Intensity'!D80&amp;" "&amp;'BDG Intensity'!E80&amp;" "&amp;"demand"</f>
        <v/>
      </c>
      <c r="E100" t="inlineStr">
        <is>
          <t>Mm2</t>
        </is>
      </c>
    </row>
    <row r="101">
      <c r="B101" t="inlineStr">
        <is>
          <t>MAT</t>
        </is>
      </c>
      <c r="C101">
        <f>'BDG Intensity'!F81&amp;"DMD"</f>
        <v/>
      </c>
      <c r="D101">
        <f>'BDG Intensity'!A81&amp;" "&amp;'BDG Intensity'!B81&amp;" "&amp;'BDG Intensity'!C81&amp;" "&amp;'BDG Intensity'!D81&amp;" "&amp;'BDG Intensity'!E81&amp;" "&amp;"demand"</f>
        <v/>
      </c>
      <c r="E101" t="inlineStr">
        <is>
          <t>Mm2</t>
        </is>
      </c>
    </row>
    <row r="102">
      <c r="B102" t="inlineStr">
        <is>
          <t>MAT</t>
        </is>
      </c>
      <c r="C102">
        <f>'BDG Intensity'!F82&amp;"DMD"</f>
        <v/>
      </c>
      <c r="D102">
        <f>'BDG Intensity'!A82&amp;" "&amp;'BDG Intensity'!B82&amp;" "&amp;'BDG Intensity'!C82&amp;" "&amp;'BDG Intensity'!D82&amp;" "&amp;'BDG Intensity'!E82&amp;" "&amp;"demand"</f>
        <v/>
      </c>
      <c r="E102" t="inlineStr">
        <is>
          <t>Mm2</t>
        </is>
      </c>
    </row>
    <row r="103">
      <c r="B103" t="inlineStr">
        <is>
          <t>MAT</t>
        </is>
      </c>
      <c r="C103">
        <f>'BDG Intensity'!F83&amp;"DMD"</f>
        <v/>
      </c>
      <c r="D103">
        <f>'BDG Intensity'!A83&amp;" "&amp;'BDG Intensity'!B83&amp;" "&amp;'BDG Intensity'!C83&amp;" "&amp;'BDG Intensity'!D83&amp;" "&amp;'BDG Intensity'!E83&amp;" "&amp;"demand"</f>
        <v/>
      </c>
      <c r="E103" t="inlineStr">
        <is>
          <t>Mm2</t>
        </is>
      </c>
    </row>
    <row r="104">
      <c r="B104" t="inlineStr">
        <is>
          <t>MAT</t>
        </is>
      </c>
      <c r="C104">
        <f>'BDG Intensity'!F84&amp;"DMD"</f>
        <v/>
      </c>
      <c r="D104">
        <f>'BDG Intensity'!A84&amp;" "&amp;'BDG Intensity'!B84&amp;" "&amp;'BDG Intensity'!C84&amp;" "&amp;'BDG Intensity'!D84&amp;" "&amp;'BDG Intensity'!E84&amp;" "&amp;"demand"</f>
        <v/>
      </c>
      <c r="E104" t="inlineStr">
        <is>
          <t>Mm2</t>
        </is>
      </c>
    </row>
    <row r="105">
      <c r="B105" t="inlineStr">
        <is>
          <t>MAT</t>
        </is>
      </c>
      <c r="C105">
        <f>'BDG Intensity'!F85&amp;"DMD"</f>
        <v/>
      </c>
      <c r="D105">
        <f>'BDG Intensity'!A85&amp;" "&amp;'BDG Intensity'!B85&amp;" "&amp;'BDG Intensity'!C85&amp;" "&amp;'BDG Intensity'!D85&amp;" "&amp;'BDG Intensity'!E85&amp;" "&amp;"demand"</f>
        <v/>
      </c>
      <c r="E105" t="inlineStr">
        <is>
          <t>Mm2</t>
        </is>
      </c>
    </row>
    <row r="106">
      <c r="B106" t="inlineStr">
        <is>
          <t>MAT</t>
        </is>
      </c>
      <c r="C106">
        <f>'BDG Intensity'!F86&amp;"DMD"</f>
        <v/>
      </c>
      <c r="D106">
        <f>'BDG Intensity'!A86&amp;" "&amp;'BDG Intensity'!B86&amp;" "&amp;'BDG Intensity'!C86&amp;" "&amp;'BDG Intensity'!D86&amp;" "&amp;'BDG Intensity'!E86&amp;" "&amp;"demand"</f>
        <v/>
      </c>
      <c r="E106" t="inlineStr">
        <is>
          <t>Mm2</t>
        </is>
      </c>
    </row>
    <row r="107">
      <c r="B107" t="inlineStr">
        <is>
          <t>MAT</t>
        </is>
      </c>
      <c r="C107">
        <f>'BDG Intensity'!F87&amp;"DMD"</f>
        <v/>
      </c>
      <c r="D107">
        <f>'BDG Intensity'!A87&amp;" "&amp;'BDG Intensity'!B87&amp;" "&amp;'BDG Intensity'!C87&amp;" "&amp;'BDG Intensity'!D87&amp;" "&amp;'BDG Intensity'!E87&amp;" "&amp;"demand"</f>
        <v/>
      </c>
      <c r="E107" t="inlineStr">
        <is>
          <t>Mm2</t>
        </is>
      </c>
    </row>
    <row r="108">
      <c r="B108" t="inlineStr">
        <is>
          <t>MAT</t>
        </is>
      </c>
      <c r="C108">
        <f>'BDG Intensity'!F88&amp;"DMD"</f>
        <v/>
      </c>
      <c r="D108">
        <f>'BDG Intensity'!A88&amp;" "&amp;'BDG Intensity'!B88&amp;" "&amp;'BDG Intensity'!C88&amp;" "&amp;'BDG Intensity'!D88&amp;" "&amp;'BDG Intensity'!E88&amp;" "&amp;"demand"</f>
        <v/>
      </c>
      <c r="E108" t="inlineStr">
        <is>
          <t>Mm2</t>
        </is>
      </c>
    </row>
    <row r="109">
      <c r="B109" t="inlineStr">
        <is>
          <t>MAT</t>
        </is>
      </c>
      <c r="C109">
        <f>'BDG Intensity'!F89&amp;"DMD"</f>
        <v/>
      </c>
      <c r="D109">
        <f>'BDG Intensity'!A89&amp;" "&amp;'BDG Intensity'!B89&amp;" "&amp;'BDG Intensity'!C89&amp;" "&amp;'BDG Intensity'!D89&amp;" "&amp;'BDG Intensity'!E89&amp;" "&amp;"demand"</f>
        <v/>
      </c>
      <c r="E109" t="inlineStr">
        <is>
          <t>Mm2</t>
        </is>
      </c>
    </row>
    <row r="110">
      <c r="B110" t="inlineStr">
        <is>
          <t>MAT</t>
        </is>
      </c>
      <c r="C110">
        <f>'BDG Intensity'!F90&amp;"DMD"</f>
        <v/>
      </c>
      <c r="D110">
        <f>'BDG Intensity'!A90&amp;" "&amp;'BDG Intensity'!B90&amp;" "&amp;'BDG Intensity'!C90&amp;" "&amp;'BDG Intensity'!D90&amp;" "&amp;'BDG Intensity'!E90&amp;" "&amp;"demand"</f>
        <v/>
      </c>
      <c r="E110" t="inlineStr">
        <is>
          <t>Mm2</t>
        </is>
      </c>
    </row>
    <row r="111">
      <c r="B111" t="inlineStr">
        <is>
          <t>MAT</t>
        </is>
      </c>
      <c r="C111">
        <f>'BDG Intensity'!F91&amp;"DMD"</f>
        <v/>
      </c>
      <c r="D111">
        <f>'BDG Intensity'!A91&amp;" "&amp;'BDG Intensity'!B91&amp;" "&amp;'BDG Intensity'!C91&amp;" "&amp;'BDG Intensity'!D91&amp;" "&amp;'BDG Intensity'!E91&amp;" "&amp;"demand"</f>
        <v/>
      </c>
      <c r="E111" t="inlineStr">
        <is>
          <t>Mm2</t>
        </is>
      </c>
    </row>
    <row r="112">
      <c r="B112" t="inlineStr">
        <is>
          <t>MAT</t>
        </is>
      </c>
      <c r="C112">
        <f>'BDG Intensity'!F92&amp;"DMD"</f>
        <v/>
      </c>
      <c r="D112">
        <f>'BDG Intensity'!A92&amp;" "&amp;'BDG Intensity'!B92&amp;" "&amp;'BDG Intensity'!C92&amp;" "&amp;'BDG Intensity'!D92&amp;" "&amp;'BDG Intensity'!E92&amp;" "&amp;"demand"</f>
        <v/>
      </c>
      <c r="E112" t="inlineStr">
        <is>
          <t>Mm2</t>
        </is>
      </c>
    </row>
    <row r="113">
      <c r="B113" t="inlineStr">
        <is>
          <t>MAT</t>
        </is>
      </c>
      <c r="C113">
        <f>'BDG Intensity'!F93&amp;"DMD"</f>
        <v/>
      </c>
      <c r="D113">
        <f>'BDG Intensity'!A93&amp;" "&amp;'BDG Intensity'!B93&amp;" "&amp;'BDG Intensity'!C93&amp;" "&amp;'BDG Intensity'!D93&amp;" "&amp;'BDG Intensity'!E93&amp;" "&amp;"demand"</f>
        <v/>
      </c>
      <c r="E113" t="inlineStr">
        <is>
          <t>Mm2</t>
        </is>
      </c>
    </row>
    <row r="114">
      <c r="B114" t="inlineStr">
        <is>
          <t>MAT</t>
        </is>
      </c>
      <c r="C114">
        <f>'BDG Intensity'!F94&amp;"DMD"</f>
        <v/>
      </c>
      <c r="D114">
        <f>'BDG Intensity'!A94&amp;" "&amp;'BDG Intensity'!B94&amp;" "&amp;'BDG Intensity'!C94&amp;" "&amp;'BDG Intensity'!D94&amp;" "&amp;'BDG Intensity'!E94&amp;" "&amp;"demand"</f>
        <v/>
      </c>
      <c r="E114" t="inlineStr">
        <is>
          <t>Mm2</t>
        </is>
      </c>
    </row>
    <row r="115">
      <c r="B115" t="inlineStr">
        <is>
          <t>MAT</t>
        </is>
      </c>
      <c r="C115">
        <f>'BDG Intensity'!F95&amp;"DMD"</f>
        <v/>
      </c>
      <c r="D115">
        <f>'BDG Intensity'!A95&amp;" "&amp;'BDG Intensity'!B95&amp;" "&amp;'BDG Intensity'!C95&amp;" "&amp;'BDG Intensity'!D95&amp;" "&amp;'BDG Intensity'!E95&amp;" "&amp;"demand"</f>
        <v/>
      </c>
      <c r="E115" t="inlineStr">
        <is>
          <t>Mm2</t>
        </is>
      </c>
    </row>
    <row r="116">
      <c r="B116" t="inlineStr">
        <is>
          <t>MAT</t>
        </is>
      </c>
      <c r="C116">
        <f>'BDG Intensity'!F96&amp;"DMD"</f>
        <v/>
      </c>
      <c r="D116">
        <f>'BDG Intensity'!A96&amp;" "&amp;'BDG Intensity'!B96&amp;" "&amp;'BDG Intensity'!C96&amp;" "&amp;'BDG Intensity'!D96&amp;" "&amp;'BDG Intensity'!E96&amp;" "&amp;"demand"</f>
        <v/>
      </c>
      <c r="E116" t="inlineStr">
        <is>
          <t>Mm2</t>
        </is>
      </c>
    </row>
    <row r="117">
      <c r="B117" t="inlineStr">
        <is>
          <t>MAT</t>
        </is>
      </c>
      <c r="C117">
        <f>'BDG Intensity'!F97&amp;"DMD"</f>
        <v/>
      </c>
      <c r="D117">
        <f>'BDG Intensity'!A97&amp;" "&amp;'BDG Intensity'!B97&amp;" "&amp;'BDG Intensity'!C97&amp;" "&amp;'BDG Intensity'!D97&amp;" "&amp;'BDG Intensity'!E97&amp;" "&amp;"demand"</f>
        <v/>
      </c>
      <c r="E117" t="inlineStr">
        <is>
          <t>Mm2</t>
        </is>
      </c>
    </row>
    <row r="118">
      <c r="B118" t="inlineStr">
        <is>
          <t>MAT</t>
        </is>
      </c>
      <c r="C118">
        <f>'BDG Intensity'!F98&amp;"DMD"</f>
        <v/>
      </c>
      <c r="D118">
        <f>'BDG Intensity'!A98&amp;" "&amp;'BDG Intensity'!B98&amp;" "&amp;'BDG Intensity'!C98&amp;" "&amp;'BDG Intensity'!D98&amp;" "&amp;'BDG Intensity'!E98&amp;" "&amp;"demand"</f>
        <v/>
      </c>
      <c r="E118" t="inlineStr">
        <is>
          <t>Mm2</t>
        </is>
      </c>
    </row>
    <row r="119">
      <c r="B119" t="inlineStr">
        <is>
          <t>MAT</t>
        </is>
      </c>
      <c r="C119">
        <f>'BDG Intensity'!F99&amp;"DMD"</f>
        <v/>
      </c>
      <c r="D119">
        <f>'BDG Intensity'!A99&amp;" "&amp;'BDG Intensity'!B99&amp;" "&amp;'BDG Intensity'!C99&amp;" "&amp;'BDG Intensity'!D99&amp;" "&amp;'BDG Intensity'!E99&amp;" "&amp;"demand"</f>
        <v/>
      </c>
      <c r="E119" t="inlineStr">
        <is>
          <t>Mm2</t>
        </is>
      </c>
    </row>
    <row r="120">
      <c r="B120" t="inlineStr">
        <is>
          <t>MAT</t>
        </is>
      </c>
      <c r="C120">
        <f>'BDG Intensity'!F100&amp;"DMD"</f>
        <v/>
      </c>
      <c r="D120">
        <f>'BDG Intensity'!A100&amp;" "&amp;'BDG Intensity'!B100&amp;" "&amp;'BDG Intensity'!C100&amp;" "&amp;'BDG Intensity'!D100&amp;" "&amp;'BDG Intensity'!E100&amp;" "&amp;"demand"</f>
        <v/>
      </c>
      <c r="E120" t="inlineStr">
        <is>
          <t>Mm2</t>
        </is>
      </c>
    </row>
    <row r="121">
      <c r="B121" t="inlineStr">
        <is>
          <t>MAT</t>
        </is>
      </c>
      <c r="C121">
        <f>'BDG Intensity'!F101&amp;"DMD"</f>
        <v/>
      </c>
      <c r="D121">
        <f>'BDG Intensity'!A101&amp;" "&amp;'BDG Intensity'!B101&amp;" "&amp;'BDG Intensity'!C101&amp;" "&amp;'BDG Intensity'!D101&amp;" "&amp;'BDG Intensity'!E101&amp;" "&amp;"demand"</f>
        <v/>
      </c>
      <c r="E121" t="inlineStr">
        <is>
          <t>Mm2</t>
        </is>
      </c>
    </row>
    <row r="122">
      <c r="B122" t="inlineStr">
        <is>
          <t>MAT</t>
        </is>
      </c>
      <c r="C122">
        <f>'BDG Intensity'!F102&amp;"DMD"</f>
        <v/>
      </c>
      <c r="D122">
        <f>'BDG Intensity'!A102&amp;" "&amp;'BDG Intensity'!B102&amp;" "&amp;'BDG Intensity'!C102&amp;" "&amp;'BDG Intensity'!D102&amp;" "&amp;'BDG Intensity'!E102&amp;" "&amp;"demand"</f>
        <v/>
      </c>
      <c r="E122" t="inlineStr">
        <is>
          <t>Mm2</t>
        </is>
      </c>
    </row>
    <row r="123">
      <c r="B123" t="inlineStr">
        <is>
          <t>MAT</t>
        </is>
      </c>
      <c r="C123">
        <f>'BDG Intensity'!F103&amp;"DMD"</f>
        <v/>
      </c>
      <c r="D123">
        <f>'BDG Intensity'!A103&amp;" "&amp;'BDG Intensity'!B103&amp;" "&amp;'BDG Intensity'!C103&amp;" "&amp;'BDG Intensity'!D103&amp;" "&amp;'BDG Intensity'!E103&amp;" "&amp;"demand"</f>
        <v/>
      </c>
      <c r="E123" t="inlineStr">
        <is>
          <t>Mm2</t>
        </is>
      </c>
    </row>
    <row r="124">
      <c r="B124" t="inlineStr">
        <is>
          <t>MAT</t>
        </is>
      </c>
      <c r="C124">
        <f>'BDG Intensity'!F104&amp;"DMD"</f>
        <v/>
      </c>
      <c r="D124">
        <f>'BDG Intensity'!A104&amp;" "&amp;'BDG Intensity'!B104&amp;" "&amp;'BDG Intensity'!C104&amp;" "&amp;'BDG Intensity'!D104&amp;" "&amp;'BDG Intensity'!E104&amp;" "&amp;"demand"</f>
        <v/>
      </c>
      <c r="E124" t="inlineStr">
        <is>
          <t>Mm2</t>
        </is>
      </c>
    </row>
    <row r="125">
      <c r="B125" t="inlineStr">
        <is>
          <t>MAT</t>
        </is>
      </c>
      <c r="C125">
        <f>'BDG Intensity'!F105&amp;"DMD"</f>
        <v/>
      </c>
      <c r="D125">
        <f>'BDG Intensity'!A105&amp;" "&amp;'BDG Intensity'!B105&amp;" "&amp;'BDG Intensity'!C105&amp;" "&amp;'BDG Intensity'!D105&amp;" "&amp;'BDG Intensity'!E105&amp;" "&amp;"demand"</f>
        <v/>
      </c>
      <c r="E125" t="inlineStr">
        <is>
          <t>Mm2</t>
        </is>
      </c>
    </row>
    <row r="126">
      <c r="B126" t="inlineStr">
        <is>
          <t>MAT</t>
        </is>
      </c>
      <c r="C126">
        <f>'BDG Intensity'!F106&amp;"DMD"</f>
        <v/>
      </c>
      <c r="D126">
        <f>'BDG Intensity'!A106&amp;" "&amp;'BDG Intensity'!B106&amp;" "&amp;'BDG Intensity'!C106&amp;" "&amp;'BDG Intensity'!D106&amp;" "&amp;'BDG Intensity'!E106&amp;" "&amp;"demand"</f>
        <v/>
      </c>
      <c r="E126" t="inlineStr">
        <is>
          <t>Mm2</t>
        </is>
      </c>
    </row>
    <row r="127">
      <c r="B127" t="inlineStr">
        <is>
          <t>MAT</t>
        </is>
      </c>
      <c r="C127">
        <f>'BDG Intensity'!F107&amp;"DMD"</f>
        <v/>
      </c>
      <c r="D127">
        <f>'BDG Intensity'!A107&amp;" "&amp;'BDG Intensity'!B107&amp;" "&amp;'BDG Intensity'!C107&amp;" "&amp;'BDG Intensity'!D107&amp;" "&amp;'BDG Intensity'!E107&amp;" "&amp;"demand"</f>
        <v/>
      </c>
      <c r="E127" t="inlineStr">
        <is>
          <t>Mm2</t>
        </is>
      </c>
    </row>
    <row r="128">
      <c r="B128" t="inlineStr">
        <is>
          <t>MAT</t>
        </is>
      </c>
      <c r="C128">
        <f>'BDG Intensity'!F108&amp;"DMD"</f>
        <v/>
      </c>
      <c r="D128">
        <f>'BDG Intensity'!A108&amp;" "&amp;'BDG Intensity'!B108&amp;" "&amp;'BDG Intensity'!C108&amp;" "&amp;'BDG Intensity'!D108&amp;" "&amp;'BDG Intensity'!E108&amp;" "&amp;"demand"</f>
        <v/>
      </c>
      <c r="E128" t="inlineStr">
        <is>
          <t>Mm2</t>
        </is>
      </c>
    </row>
    <row r="129">
      <c r="B129" t="inlineStr">
        <is>
          <t>MAT</t>
        </is>
      </c>
      <c r="C129">
        <f>'BDG Intensity'!F109&amp;"DMD"</f>
        <v/>
      </c>
      <c r="D129">
        <f>'BDG Intensity'!A109&amp;" "&amp;'BDG Intensity'!B109&amp;" "&amp;'BDG Intensity'!C109&amp;" "&amp;'BDG Intensity'!D109&amp;" "&amp;'BDG Intensity'!E109&amp;" "&amp;"demand"</f>
        <v/>
      </c>
      <c r="E129" t="inlineStr">
        <is>
          <t>Mm2</t>
        </is>
      </c>
    </row>
    <row r="130">
      <c r="B130" t="inlineStr">
        <is>
          <t>MAT</t>
        </is>
      </c>
      <c r="C130">
        <f>'BDG Intensity'!F110&amp;"DMD"</f>
        <v/>
      </c>
      <c r="D130">
        <f>'BDG Intensity'!A110&amp;" "&amp;'BDG Intensity'!B110&amp;" "&amp;'BDG Intensity'!C110&amp;" "&amp;'BDG Intensity'!D110&amp;" "&amp;'BDG Intensity'!E110&amp;" "&amp;"demand"</f>
        <v/>
      </c>
      <c r="E130" t="inlineStr">
        <is>
          <t>Mm2</t>
        </is>
      </c>
    </row>
    <row r="131">
      <c r="B131" t="inlineStr">
        <is>
          <t>MAT</t>
        </is>
      </c>
      <c r="C131">
        <f>'BDG Intensity'!F111&amp;"DMD"</f>
        <v/>
      </c>
      <c r="D131">
        <f>'BDG Intensity'!A111&amp;" "&amp;'BDG Intensity'!B111&amp;" "&amp;'BDG Intensity'!C111&amp;" "&amp;'BDG Intensity'!D111&amp;" "&amp;'BDG Intensity'!E111&amp;" "&amp;"demand"</f>
        <v/>
      </c>
      <c r="E131" t="inlineStr">
        <is>
          <t>Mm2</t>
        </is>
      </c>
    </row>
    <row r="132">
      <c r="B132" t="inlineStr">
        <is>
          <t>MAT</t>
        </is>
      </c>
      <c r="C132">
        <f>'BDG Intensity'!F112&amp;"DMD"</f>
        <v/>
      </c>
      <c r="D132">
        <f>'BDG Intensity'!A112&amp;" "&amp;'BDG Intensity'!B112&amp;" "&amp;'BDG Intensity'!C112&amp;" "&amp;'BDG Intensity'!D112&amp;" "&amp;'BDG Intensity'!E112&amp;" "&amp;"demand"</f>
        <v/>
      </c>
      <c r="E132" t="inlineStr">
        <is>
          <t>Mm2</t>
        </is>
      </c>
    </row>
    <row r="133">
      <c r="B133" t="inlineStr">
        <is>
          <t>MAT</t>
        </is>
      </c>
      <c r="C133">
        <f>'BDG Intensity'!F113&amp;"DMD"</f>
        <v/>
      </c>
      <c r="D133">
        <f>'BDG Intensity'!A113&amp;" "&amp;'BDG Intensity'!B113&amp;" "&amp;'BDG Intensity'!C113&amp;" "&amp;'BDG Intensity'!D113&amp;" "&amp;'BDG Intensity'!E113&amp;" "&amp;"demand"</f>
        <v/>
      </c>
      <c r="E133" t="inlineStr">
        <is>
          <t>Mm2</t>
        </is>
      </c>
    </row>
    <row r="134">
      <c r="B134" t="inlineStr">
        <is>
          <t>MAT</t>
        </is>
      </c>
      <c r="C134">
        <f>'BDG Intensity'!F114&amp;"DMD"</f>
        <v/>
      </c>
      <c r="D134">
        <f>'BDG Intensity'!A114&amp;" "&amp;'BDG Intensity'!B114&amp;" "&amp;'BDG Intensity'!C114&amp;" "&amp;'BDG Intensity'!D114&amp;" "&amp;'BDG Intensity'!E114&amp;" "&amp;"demand"</f>
        <v/>
      </c>
      <c r="E134" t="inlineStr">
        <is>
          <t>Mm2</t>
        </is>
      </c>
    </row>
    <row r="135">
      <c r="B135" t="inlineStr">
        <is>
          <t>MAT</t>
        </is>
      </c>
      <c r="C135">
        <f>'BDG Intensity'!F115&amp;"DMD"</f>
        <v/>
      </c>
      <c r="D135">
        <f>'BDG Intensity'!A115&amp;" "&amp;'BDG Intensity'!B115&amp;" "&amp;'BDG Intensity'!C115&amp;" "&amp;'BDG Intensity'!D115&amp;" "&amp;'BDG Intensity'!E115&amp;" "&amp;"demand"</f>
        <v/>
      </c>
      <c r="E135" t="inlineStr">
        <is>
          <t>Mm2</t>
        </is>
      </c>
    </row>
    <row r="136">
      <c r="B136" t="inlineStr">
        <is>
          <t>MAT</t>
        </is>
      </c>
      <c r="C136">
        <f>'BDG Intensity'!F116&amp;"DMD"</f>
        <v/>
      </c>
      <c r="D136">
        <f>'BDG Intensity'!A116&amp;" "&amp;'BDG Intensity'!B116&amp;" "&amp;'BDG Intensity'!C116&amp;" "&amp;'BDG Intensity'!D116&amp;" "&amp;'BDG Intensity'!E116&amp;" "&amp;"demand"</f>
        <v/>
      </c>
      <c r="E136" t="inlineStr">
        <is>
          <t>Mm2</t>
        </is>
      </c>
    </row>
    <row r="137">
      <c r="B137" t="inlineStr">
        <is>
          <t>MAT</t>
        </is>
      </c>
      <c r="C137">
        <f>'BDG Intensity'!F117&amp;"DMD"</f>
        <v/>
      </c>
      <c r="D137">
        <f>'BDG Intensity'!A117&amp;" "&amp;'BDG Intensity'!B117&amp;" "&amp;'BDG Intensity'!C117&amp;" "&amp;'BDG Intensity'!D117&amp;" "&amp;'BDG Intensity'!E117&amp;" "&amp;"demand"</f>
        <v/>
      </c>
      <c r="E137" t="inlineStr">
        <is>
          <t>Mm2</t>
        </is>
      </c>
    </row>
    <row r="138">
      <c r="B138" t="inlineStr">
        <is>
          <t>MAT</t>
        </is>
      </c>
      <c r="C138">
        <f>'BDG Intensity'!F118&amp;"DMD"</f>
        <v/>
      </c>
      <c r="D138">
        <f>'BDG Intensity'!A118&amp;" "&amp;'BDG Intensity'!B118&amp;" "&amp;'BDG Intensity'!C118&amp;" "&amp;'BDG Intensity'!D118&amp;" "&amp;'BDG Intensity'!E118&amp;" "&amp;"demand"</f>
        <v/>
      </c>
      <c r="E138" t="inlineStr">
        <is>
          <t>Mm2</t>
        </is>
      </c>
    </row>
    <row r="139">
      <c r="B139" t="inlineStr">
        <is>
          <t>MAT</t>
        </is>
      </c>
      <c r="C139">
        <f>'BDG Intensity'!F119&amp;"DMD"</f>
        <v/>
      </c>
      <c r="D139">
        <f>'BDG Intensity'!A119&amp;" "&amp;'BDG Intensity'!B119&amp;" "&amp;'BDG Intensity'!C119&amp;" "&amp;'BDG Intensity'!D119&amp;" "&amp;'BDG Intensity'!E119&amp;" "&amp;"demand"</f>
        <v/>
      </c>
      <c r="E139" t="inlineStr">
        <is>
          <t>Mm2</t>
        </is>
      </c>
    </row>
    <row r="140">
      <c r="B140" t="inlineStr">
        <is>
          <t>MAT</t>
        </is>
      </c>
      <c r="C140">
        <f>'BDG Intensity'!F120&amp;"DMD"</f>
        <v/>
      </c>
      <c r="D140">
        <f>'BDG Intensity'!A120&amp;" "&amp;'BDG Intensity'!B120&amp;" "&amp;'BDG Intensity'!C120&amp;" "&amp;'BDG Intensity'!D120&amp;" "&amp;'BDG Intensity'!E120&amp;" "&amp;"demand"</f>
        <v/>
      </c>
      <c r="E140" t="inlineStr">
        <is>
          <t>Mm2</t>
        </is>
      </c>
    </row>
    <row r="141">
      <c r="B141" t="inlineStr">
        <is>
          <t>MAT</t>
        </is>
      </c>
      <c r="C141">
        <f>'BDG Intensity'!F121&amp;"DMD"</f>
        <v/>
      </c>
      <c r="D141">
        <f>'BDG Intensity'!A121&amp;" "&amp;'BDG Intensity'!B121&amp;" "&amp;'BDG Intensity'!C121&amp;" "&amp;'BDG Intensity'!D121&amp;" "&amp;'BDG Intensity'!E121&amp;" "&amp;"demand"</f>
        <v/>
      </c>
      <c r="E141" t="inlineStr">
        <is>
          <t>Mm2</t>
        </is>
      </c>
    </row>
    <row r="142">
      <c r="B142" t="inlineStr">
        <is>
          <t>MAT</t>
        </is>
      </c>
      <c r="C142">
        <f>'BDG Intensity'!F122&amp;"DMD"</f>
        <v/>
      </c>
      <c r="D142">
        <f>'BDG Intensity'!A122&amp;" "&amp;'BDG Intensity'!B122&amp;" "&amp;'BDG Intensity'!C122&amp;" "&amp;'BDG Intensity'!D122&amp;" "&amp;'BDG Intensity'!E122&amp;" "&amp;"demand"</f>
        <v/>
      </c>
      <c r="E142" t="inlineStr">
        <is>
          <t>Mm2</t>
        </is>
      </c>
    </row>
    <row r="143">
      <c r="B143" t="inlineStr">
        <is>
          <t>MAT</t>
        </is>
      </c>
      <c r="C143">
        <f>'BDG Intensity'!F123&amp;"DMD"</f>
        <v/>
      </c>
      <c r="D143">
        <f>'BDG Intensity'!A123&amp;" "&amp;'BDG Intensity'!B123&amp;" "&amp;'BDG Intensity'!C123&amp;" "&amp;'BDG Intensity'!D123&amp;" "&amp;'BDG Intensity'!E123&amp;" "&amp;"demand"</f>
        <v/>
      </c>
      <c r="E143" t="inlineStr">
        <is>
          <t>Mm2</t>
        </is>
      </c>
    </row>
    <row r="144">
      <c r="B144" t="inlineStr">
        <is>
          <t>MAT</t>
        </is>
      </c>
      <c r="C144">
        <f>'BDG Intensity'!F124&amp;"DMD"</f>
        <v/>
      </c>
      <c r="D144">
        <f>'BDG Intensity'!A124&amp;" "&amp;'BDG Intensity'!B124&amp;" "&amp;'BDG Intensity'!C124&amp;" "&amp;'BDG Intensity'!D124&amp;" "&amp;'BDG Intensity'!E124&amp;" "&amp;"demand"</f>
        <v/>
      </c>
      <c r="E144" t="inlineStr">
        <is>
          <t>Mm2</t>
        </is>
      </c>
    </row>
    <row r="145">
      <c r="B145" t="inlineStr">
        <is>
          <t>MAT</t>
        </is>
      </c>
      <c r="C145">
        <f>'BDG Intensity'!F125&amp;"DMD"</f>
        <v/>
      </c>
      <c r="D145">
        <f>'BDG Intensity'!A125&amp;" "&amp;'BDG Intensity'!B125&amp;" "&amp;'BDG Intensity'!C125&amp;" "&amp;'BDG Intensity'!D125&amp;" "&amp;'BDG Intensity'!E125&amp;" "&amp;"demand"</f>
        <v/>
      </c>
      <c r="E145" t="inlineStr">
        <is>
          <t>Mm2</t>
        </is>
      </c>
    </row>
    <row r="146">
      <c r="B146" t="inlineStr">
        <is>
          <t>MAT</t>
        </is>
      </c>
      <c r="C146">
        <f>'BDG Intensity'!F126&amp;"DMD"</f>
        <v/>
      </c>
      <c r="D146">
        <f>'BDG Intensity'!A126&amp;" "&amp;'BDG Intensity'!B126&amp;" "&amp;'BDG Intensity'!C126&amp;" "&amp;'BDG Intensity'!D126&amp;" "&amp;'BDG Intensity'!E126&amp;" "&amp;"demand"</f>
        <v/>
      </c>
      <c r="E146" t="inlineStr">
        <is>
          <t>Mm2</t>
        </is>
      </c>
    </row>
    <row r="147">
      <c r="B147" t="inlineStr">
        <is>
          <t>MAT</t>
        </is>
      </c>
      <c r="C147">
        <f>'BDG Intensity'!F127&amp;"DMD"</f>
        <v/>
      </c>
      <c r="D147">
        <f>'BDG Intensity'!A127&amp;" "&amp;'BDG Intensity'!B127&amp;" "&amp;'BDG Intensity'!C127&amp;" "&amp;'BDG Intensity'!D127&amp;" "&amp;'BDG Intensity'!E127&amp;" "&amp;"demand"</f>
        <v/>
      </c>
      <c r="E147" t="inlineStr">
        <is>
          <t>Mm2</t>
        </is>
      </c>
    </row>
    <row r="148">
      <c r="B148" t="inlineStr">
        <is>
          <t>MAT</t>
        </is>
      </c>
      <c r="C148">
        <f>'BDG Intensity'!F128&amp;"DMD"</f>
        <v/>
      </c>
      <c r="D148">
        <f>'BDG Intensity'!A128&amp;" "&amp;'BDG Intensity'!B128&amp;" "&amp;'BDG Intensity'!C128&amp;" "&amp;'BDG Intensity'!D128&amp;" "&amp;'BDG Intensity'!E128&amp;" "&amp;"demand"</f>
        <v/>
      </c>
      <c r="E148" t="inlineStr">
        <is>
          <t>Mm2</t>
        </is>
      </c>
    </row>
    <row r="149">
      <c r="B149" t="inlineStr">
        <is>
          <t>MAT</t>
        </is>
      </c>
      <c r="C149">
        <f>'BDG Intensity'!F129&amp;"DMD"</f>
        <v/>
      </c>
      <c r="D149">
        <f>'BDG Intensity'!A129&amp;" "&amp;'BDG Intensity'!B129&amp;" "&amp;'BDG Intensity'!C129&amp;" "&amp;'BDG Intensity'!D129&amp;" "&amp;'BDG Intensity'!E129&amp;" "&amp;"demand"</f>
        <v/>
      </c>
      <c r="E149" t="inlineStr">
        <is>
          <t>Mm2</t>
        </is>
      </c>
    </row>
    <row r="150">
      <c r="B150" t="inlineStr">
        <is>
          <t>*</t>
        </is>
      </c>
    </row>
    <row r="151">
      <c r="B151" t="inlineStr">
        <is>
          <t>NRG</t>
        </is>
      </c>
      <c r="C151">
        <f>'BDG Intensity'!F2&amp;"EUE"</f>
        <v/>
      </c>
      <c r="D151">
        <f>'BDG Intensity'!A2&amp;" "&amp;'BDG Intensity'!B2&amp;" "&amp;'BDG Intensity'!C2&amp;" "&amp;'BDG Intensity'!D2&amp;" "&amp;'BDG Intensity'!E2&amp;" "&amp;"EUE"</f>
        <v/>
      </c>
      <c r="E151">
        <f>'BDG Intensity'!G2</f>
        <v/>
      </c>
    </row>
    <row r="152">
      <c r="B152" t="inlineStr">
        <is>
          <t>NRG</t>
        </is>
      </c>
      <c r="C152">
        <f>'BDG Intensity'!F3&amp;"EUE"</f>
        <v/>
      </c>
      <c r="D152">
        <f>'BDG Intensity'!A3&amp;" "&amp;'BDG Intensity'!B3&amp;" "&amp;'BDG Intensity'!C3&amp;" "&amp;'BDG Intensity'!D3&amp;" "&amp;'BDG Intensity'!E3&amp;" "&amp;"EUE"</f>
        <v/>
      </c>
      <c r="E152">
        <f>'BDG Intensity'!G3</f>
        <v/>
      </c>
    </row>
    <row r="153">
      <c r="B153" t="inlineStr">
        <is>
          <t>NRG</t>
        </is>
      </c>
      <c r="C153">
        <f>'BDG Intensity'!F4&amp;"EUE"</f>
        <v/>
      </c>
      <c r="D153">
        <f>'BDG Intensity'!A4&amp;" "&amp;'BDG Intensity'!B4&amp;" "&amp;'BDG Intensity'!C4&amp;" "&amp;'BDG Intensity'!D4&amp;" "&amp;'BDG Intensity'!E4&amp;" "&amp;"EUE"</f>
        <v/>
      </c>
      <c r="E153">
        <f>'BDG Intensity'!G4</f>
        <v/>
      </c>
    </row>
    <row r="154">
      <c r="B154" t="inlineStr">
        <is>
          <t>NRG</t>
        </is>
      </c>
      <c r="C154">
        <f>'BDG Intensity'!F5&amp;"EUE"</f>
        <v/>
      </c>
      <c r="D154">
        <f>'BDG Intensity'!A5&amp;" "&amp;'BDG Intensity'!B5&amp;" "&amp;'BDG Intensity'!C5&amp;" "&amp;'BDG Intensity'!D5&amp;" "&amp;'BDG Intensity'!E5&amp;" "&amp;"EUE"</f>
        <v/>
      </c>
      <c r="E154">
        <f>'BDG Intensity'!G5</f>
        <v/>
      </c>
    </row>
    <row r="155">
      <c r="B155" t="inlineStr">
        <is>
          <t>NRG</t>
        </is>
      </c>
      <c r="C155">
        <f>'BDG Intensity'!F6&amp;"EUE"</f>
        <v/>
      </c>
      <c r="D155">
        <f>'BDG Intensity'!A6&amp;" "&amp;'BDG Intensity'!B6&amp;" "&amp;'BDG Intensity'!C6&amp;" "&amp;'BDG Intensity'!D6&amp;" "&amp;'BDG Intensity'!E6&amp;" "&amp;"EUE"</f>
        <v/>
      </c>
      <c r="E155">
        <f>'BDG Intensity'!G6</f>
        <v/>
      </c>
    </row>
    <row r="156">
      <c r="B156" t="inlineStr">
        <is>
          <t>NRG</t>
        </is>
      </c>
      <c r="C156">
        <f>'BDG Intensity'!F7&amp;"EUE"</f>
        <v/>
      </c>
      <c r="D156">
        <f>'BDG Intensity'!A7&amp;" "&amp;'BDG Intensity'!B7&amp;" "&amp;'BDG Intensity'!C7&amp;" "&amp;'BDG Intensity'!D7&amp;" "&amp;'BDG Intensity'!E7&amp;" "&amp;"EUE"</f>
        <v/>
      </c>
      <c r="E156">
        <f>'BDG Intensity'!G7</f>
        <v/>
      </c>
    </row>
    <row r="157">
      <c r="B157" t="inlineStr">
        <is>
          <t>NRG</t>
        </is>
      </c>
      <c r="C157">
        <f>'BDG Intensity'!F8&amp;"EUE"</f>
        <v/>
      </c>
      <c r="D157">
        <f>'BDG Intensity'!A8&amp;" "&amp;'BDG Intensity'!B8&amp;" "&amp;'BDG Intensity'!C8&amp;" "&amp;'BDG Intensity'!D8&amp;" "&amp;'BDG Intensity'!E8&amp;" "&amp;"EUE"</f>
        <v/>
      </c>
      <c r="E157">
        <f>'BDG Intensity'!G8</f>
        <v/>
      </c>
    </row>
    <row r="158">
      <c r="B158" t="inlineStr">
        <is>
          <t>NRG</t>
        </is>
      </c>
      <c r="C158">
        <f>'BDG Intensity'!F9&amp;"EUE"</f>
        <v/>
      </c>
      <c r="D158">
        <f>'BDG Intensity'!A9&amp;" "&amp;'BDG Intensity'!B9&amp;" "&amp;'BDG Intensity'!C9&amp;" "&amp;'BDG Intensity'!D9&amp;" "&amp;'BDG Intensity'!E9&amp;" "&amp;"EUE"</f>
        <v/>
      </c>
      <c r="E158">
        <f>'BDG Intensity'!G9</f>
        <v/>
      </c>
    </row>
    <row r="159">
      <c r="B159" t="inlineStr">
        <is>
          <t>NRG</t>
        </is>
      </c>
      <c r="C159">
        <f>'BDG Intensity'!F10&amp;"EUE"</f>
        <v/>
      </c>
      <c r="D159">
        <f>'BDG Intensity'!A10&amp;" "&amp;'BDG Intensity'!B10&amp;" "&amp;'BDG Intensity'!C10&amp;" "&amp;'BDG Intensity'!D10&amp;" "&amp;'BDG Intensity'!E10&amp;" "&amp;"EUE"</f>
        <v/>
      </c>
      <c r="E159">
        <f>'BDG Intensity'!G10</f>
        <v/>
      </c>
    </row>
    <row r="160">
      <c r="B160" t="inlineStr">
        <is>
          <t>NRG</t>
        </is>
      </c>
      <c r="C160">
        <f>'BDG Intensity'!F11&amp;"EUE"</f>
        <v/>
      </c>
      <c r="D160">
        <f>'BDG Intensity'!A11&amp;" "&amp;'BDG Intensity'!B11&amp;" "&amp;'BDG Intensity'!C11&amp;" "&amp;'BDG Intensity'!D11&amp;" "&amp;'BDG Intensity'!E11&amp;" "&amp;"EUE"</f>
        <v/>
      </c>
      <c r="E160">
        <f>'BDG Intensity'!G11</f>
        <v/>
      </c>
    </row>
    <row r="161">
      <c r="B161" t="inlineStr">
        <is>
          <t>NRG</t>
        </is>
      </c>
      <c r="C161">
        <f>'BDG Intensity'!F12&amp;"EUE"</f>
        <v/>
      </c>
      <c r="D161">
        <f>'BDG Intensity'!A12&amp;" "&amp;'BDG Intensity'!B12&amp;" "&amp;'BDG Intensity'!C12&amp;" "&amp;'BDG Intensity'!D12&amp;" "&amp;'BDG Intensity'!E12&amp;" "&amp;"EUE"</f>
        <v/>
      </c>
      <c r="E161">
        <f>'BDG Intensity'!G12</f>
        <v/>
      </c>
    </row>
    <row r="162">
      <c r="B162" t="inlineStr">
        <is>
          <t>NRG</t>
        </is>
      </c>
      <c r="C162">
        <f>'BDG Intensity'!F13&amp;"EUE"</f>
        <v/>
      </c>
      <c r="D162">
        <f>'BDG Intensity'!A13&amp;" "&amp;'BDG Intensity'!B13&amp;" "&amp;'BDG Intensity'!C13&amp;" "&amp;'BDG Intensity'!D13&amp;" "&amp;'BDG Intensity'!E13&amp;" "&amp;"EUE"</f>
        <v/>
      </c>
      <c r="E162">
        <f>'BDG Intensity'!G13</f>
        <v/>
      </c>
    </row>
    <row r="163">
      <c r="B163" t="inlineStr">
        <is>
          <t>NRG</t>
        </is>
      </c>
      <c r="C163">
        <f>'BDG Intensity'!F14&amp;"EUE"</f>
        <v/>
      </c>
      <c r="D163">
        <f>'BDG Intensity'!A14&amp;" "&amp;'BDG Intensity'!B14&amp;" "&amp;'BDG Intensity'!C14&amp;" "&amp;'BDG Intensity'!D14&amp;" "&amp;'BDG Intensity'!E14&amp;" "&amp;"EUE"</f>
        <v/>
      </c>
      <c r="E163">
        <f>'BDG Intensity'!G14</f>
        <v/>
      </c>
    </row>
    <row r="164">
      <c r="B164" t="inlineStr">
        <is>
          <t>NRG</t>
        </is>
      </c>
      <c r="C164">
        <f>'BDG Intensity'!F15&amp;"EUE"</f>
        <v/>
      </c>
      <c r="D164">
        <f>'BDG Intensity'!A15&amp;" "&amp;'BDG Intensity'!B15&amp;" "&amp;'BDG Intensity'!C15&amp;" "&amp;'BDG Intensity'!D15&amp;" "&amp;'BDG Intensity'!E15&amp;" "&amp;"EUE"</f>
        <v/>
      </c>
      <c r="E164">
        <f>'BDG Intensity'!G15</f>
        <v/>
      </c>
    </row>
    <row r="165">
      <c r="B165" t="inlineStr">
        <is>
          <t>NRG</t>
        </is>
      </c>
      <c r="C165">
        <f>'BDG Intensity'!F16&amp;"EUE"</f>
        <v/>
      </c>
      <c r="D165">
        <f>'BDG Intensity'!A16&amp;" "&amp;'BDG Intensity'!B16&amp;" "&amp;'BDG Intensity'!C16&amp;" "&amp;'BDG Intensity'!D16&amp;" "&amp;'BDG Intensity'!E16&amp;" "&amp;"EUE"</f>
        <v/>
      </c>
      <c r="E165">
        <f>'BDG Intensity'!G16</f>
        <v/>
      </c>
    </row>
    <row r="166">
      <c r="B166" t="inlineStr">
        <is>
          <t>NRG</t>
        </is>
      </c>
      <c r="C166">
        <f>'BDG Intensity'!F17&amp;"EUE"</f>
        <v/>
      </c>
      <c r="D166">
        <f>'BDG Intensity'!A17&amp;" "&amp;'BDG Intensity'!B17&amp;" "&amp;'BDG Intensity'!C17&amp;" "&amp;'BDG Intensity'!D17&amp;" "&amp;'BDG Intensity'!E17&amp;" "&amp;"EUE"</f>
        <v/>
      </c>
      <c r="E166">
        <f>'BDG Intensity'!G17</f>
        <v/>
      </c>
    </row>
    <row r="167">
      <c r="B167" t="inlineStr">
        <is>
          <t>NRG</t>
        </is>
      </c>
      <c r="C167">
        <f>'BDG Intensity'!F18&amp;"EUE"</f>
        <v/>
      </c>
      <c r="D167">
        <f>'BDG Intensity'!A18&amp;" "&amp;'BDG Intensity'!B18&amp;" "&amp;'BDG Intensity'!C18&amp;" "&amp;'BDG Intensity'!D18&amp;" "&amp;'BDG Intensity'!E18&amp;" "&amp;"EUE"</f>
        <v/>
      </c>
      <c r="E167">
        <f>'BDG Intensity'!G18</f>
        <v/>
      </c>
    </row>
    <row r="168">
      <c r="B168" t="inlineStr">
        <is>
          <t>NRG</t>
        </is>
      </c>
      <c r="C168">
        <f>'BDG Intensity'!F19&amp;"EUE"</f>
        <v/>
      </c>
      <c r="D168">
        <f>'BDG Intensity'!A19&amp;" "&amp;'BDG Intensity'!B19&amp;" "&amp;'BDG Intensity'!C19&amp;" "&amp;'BDG Intensity'!D19&amp;" "&amp;'BDG Intensity'!E19&amp;" "&amp;"EUE"</f>
        <v/>
      </c>
      <c r="E168">
        <f>'BDG Intensity'!G19</f>
        <v/>
      </c>
    </row>
    <row r="169">
      <c r="B169" t="inlineStr">
        <is>
          <t>NRG</t>
        </is>
      </c>
      <c r="C169">
        <f>'BDG Intensity'!F20&amp;"EUE"</f>
        <v/>
      </c>
      <c r="D169">
        <f>'BDG Intensity'!A20&amp;" "&amp;'BDG Intensity'!B20&amp;" "&amp;'BDG Intensity'!C20&amp;" "&amp;'BDG Intensity'!D20&amp;" "&amp;'BDG Intensity'!E20&amp;" "&amp;"EUE"</f>
        <v/>
      </c>
      <c r="E169">
        <f>'BDG Intensity'!G20</f>
        <v/>
      </c>
    </row>
    <row r="170">
      <c r="B170" t="inlineStr">
        <is>
          <t>NRG</t>
        </is>
      </c>
      <c r="C170">
        <f>'BDG Intensity'!F21&amp;"EUE"</f>
        <v/>
      </c>
      <c r="D170">
        <f>'BDG Intensity'!A21&amp;" "&amp;'BDG Intensity'!B21&amp;" "&amp;'BDG Intensity'!C21&amp;" "&amp;'BDG Intensity'!D21&amp;" "&amp;'BDG Intensity'!E21&amp;" "&amp;"EUE"</f>
        <v/>
      </c>
      <c r="E170">
        <f>'BDG Intensity'!G21</f>
        <v/>
      </c>
    </row>
    <row r="171">
      <c r="B171" t="inlineStr">
        <is>
          <t>NRG</t>
        </is>
      </c>
      <c r="C171">
        <f>'BDG Intensity'!F22&amp;"EUE"</f>
        <v/>
      </c>
      <c r="D171">
        <f>'BDG Intensity'!A22&amp;" "&amp;'BDG Intensity'!B22&amp;" "&amp;'BDG Intensity'!C22&amp;" "&amp;'BDG Intensity'!D22&amp;" "&amp;'BDG Intensity'!E22&amp;" "&amp;"EUE"</f>
        <v/>
      </c>
      <c r="E171">
        <f>'BDG Intensity'!G22</f>
        <v/>
      </c>
    </row>
    <row r="172">
      <c r="B172" t="inlineStr">
        <is>
          <t>NRG</t>
        </is>
      </c>
      <c r="C172">
        <f>'BDG Intensity'!F23&amp;"EUE"</f>
        <v/>
      </c>
      <c r="D172">
        <f>'BDG Intensity'!A23&amp;" "&amp;'BDG Intensity'!B23&amp;" "&amp;'BDG Intensity'!C23&amp;" "&amp;'BDG Intensity'!D23&amp;" "&amp;'BDG Intensity'!E23&amp;" "&amp;"EUE"</f>
        <v/>
      </c>
      <c r="E172">
        <f>'BDG Intensity'!G23</f>
        <v/>
      </c>
    </row>
    <row r="173">
      <c r="B173" t="inlineStr">
        <is>
          <t>NRG</t>
        </is>
      </c>
      <c r="C173">
        <f>'BDG Intensity'!F24&amp;"EUE"</f>
        <v/>
      </c>
      <c r="D173">
        <f>'BDG Intensity'!A24&amp;" "&amp;'BDG Intensity'!B24&amp;" "&amp;'BDG Intensity'!C24&amp;" "&amp;'BDG Intensity'!D24&amp;" "&amp;'BDG Intensity'!E24&amp;" "&amp;"EUE"</f>
        <v/>
      </c>
      <c r="E173">
        <f>'BDG Intensity'!G24</f>
        <v/>
      </c>
    </row>
    <row r="174">
      <c r="B174" t="inlineStr">
        <is>
          <t>NRG</t>
        </is>
      </c>
      <c r="C174">
        <f>'BDG Intensity'!F25&amp;"EUE"</f>
        <v/>
      </c>
      <c r="D174">
        <f>'BDG Intensity'!A25&amp;" "&amp;'BDG Intensity'!B25&amp;" "&amp;'BDG Intensity'!C25&amp;" "&amp;'BDG Intensity'!D25&amp;" "&amp;'BDG Intensity'!E25&amp;" "&amp;"EUE"</f>
        <v/>
      </c>
      <c r="E174">
        <f>'BDG Intensity'!G25</f>
        <v/>
      </c>
    </row>
    <row r="175">
      <c r="B175" t="inlineStr">
        <is>
          <t>NRG</t>
        </is>
      </c>
      <c r="C175">
        <f>'BDG Intensity'!F26&amp;"EUE"</f>
        <v/>
      </c>
      <c r="D175">
        <f>'BDG Intensity'!A26&amp;" "&amp;'BDG Intensity'!B26&amp;" "&amp;'BDG Intensity'!C26&amp;" "&amp;'BDG Intensity'!D26&amp;" "&amp;'BDG Intensity'!E26&amp;" "&amp;"EUE"</f>
        <v/>
      </c>
      <c r="E175">
        <f>'BDG Intensity'!G26</f>
        <v/>
      </c>
    </row>
    <row r="176">
      <c r="B176" t="inlineStr">
        <is>
          <t>NRG</t>
        </is>
      </c>
      <c r="C176">
        <f>'BDG Intensity'!F27&amp;"EUE"</f>
        <v/>
      </c>
      <c r="D176">
        <f>'BDG Intensity'!A27&amp;" "&amp;'BDG Intensity'!B27&amp;" "&amp;'BDG Intensity'!C27&amp;" "&amp;'BDG Intensity'!D27&amp;" "&amp;'BDG Intensity'!E27&amp;" "&amp;"EUE"</f>
        <v/>
      </c>
      <c r="E176">
        <f>'BDG Intensity'!G27</f>
        <v/>
      </c>
    </row>
    <row r="177">
      <c r="B177" t="inlineStr">
        <is>
          <t>NRG</t>
        </is>
      </c>
      <c r="C177">
        <f>'BDG Intensity'!F28&amp;"EUE"</f>
        <v/>
      </c>
      <c r="D177">
        <f>'BDG Intensity'!A28&amp;" "&amp;'BDG Intensity'!B28&amp;" "&amp;'BDG Intensity'!C28&amp;" "&amp;'BDG Intensity'!D28&amp;" "&amp;'BDG Intensity'!E28&amp;" "&amp;"EUE"</f>
        <v/>
      </c>
      <c r="E177">
        <f>'BDG Intensity'!G28</f>
        <v/>
      </c>
    </row>
    <row r="178">
      <c r="B178" t="inlineStr">
        <is>
          <t>NRG</t>
        </is>
      </c>
      <c r="C178">
        <f>'BDG Intensity'!F29&amp;"EUE"</f>
        <v/>
      </c>
      <c r="D178">
        <f>'BDG Intensity'!A29&amp;" "&amp;'BDG Intensity'!B29&amp;" "&amp;'BDG Intensity'!C29&amp;" "&amp;'BDG Intensity'!D29&amp;" "&amp;'BDG Intensity'!E29&amp;" "&amp;"EUE"</f>
        <v/>
      </c>
      <c r="E178">
        <f>'BDG Intensity'!G29</f>
        <v/>
      </c>
    </row>
    <row r="179">
      <c r="B179" t="inlineStr">
        <is>
          <t>NRG</t>
        </is>
      </c>
      <c r="C179">
        <f>'BDG Intensity'!F30&amp;"EUE"</f>
        <v/>
      </c>
      <c r="D179">
        <f>'BDG Intensity'!A30&amp;" "&amp;'BDG Intensity'!B30&amp;" "&amp;'BDG Intensity'!C30&amp;" "&amp;'BDG Intensity'!D30&amp;" "&amp;'BDG Intensity'!E30&amp;" "&amp;"EUE"</f>
        <v/>
      </c>
      <c r="E179">
        <f>'BDG Intensity'!G30</f>
        <v/>
      </c>
    </row>
    <row r="180">
      <c r="B180" t="inlineStr">
        <is>
          <t>NRG</t>
        </is>
      </c>
      <c r="C180">
        <f>'BDG Intensity'!F31&amp;"EUE"</f>
        <v/>
      </c>
      <c r="D180">
        <f>'BDG Intensity'!A31&amp;" "&amp;'BDG Intensity'!B31&amp;" "&amp;'BDG Intensity'!C31&amp;" "&amp;'BDG Intensity'!D31&amp;" "&amp;'BDG Intensity'!E31&amp;" "&amp;"EUE"</f>
        <v/>
      </c>
      <c r="E180">
        <f>'BDG Intensity'!G31</f>
        <v/>
      </c>
    </row>
    <row r="181">
      <c r="B181" t="inlineStr">
        <is>
          <t>NRG</t>
        </is>
      </c>
      <c r="C181">
        <f>'BDG Intensity'!F32&amp;"EUE"</f>
        <v/>
      </c>
      <c r="D181">
        <f>'BDG Intensity'!A32&amp;" "&amp;'BDG Intensity'!B32&amp;" "&amp;'BDG Intensity'!C32&amp;" "&amp;'BDG Intensity'!D32&amp;" "&amp;'BDG Intensity'!E32&amp;" "&amp;"EUE"</f>
        <v/>
      </c>
      <c r="E181">
        <f>'BDG Intensity'!G32</f>
        <v/>
      </c>
    </row>
    <row r="182">
      <c r="B182" t="inlineStr">
        <is>
          <t>NRG</t>
        </is>
      </c>
      <c r="C182">
        <f>'BDG Intensity'!F33&amp;"EUE"</f>
        <v/>
      </c>
      <c r="D182">
        <f>'BDG Intensity'!A33&amp;" "&amp;'BDG Intensity'!B33&amp;" "&amp;'BDG Intensity'!C33&amp;" "&amp;'BDG Intensity'!D33&amp;" "&amp;'BDG Intensity'!E33&amp;" "&amp;"EUE"</f>
        <v/>
      </c>
      <c r="E182">
        <f>'BDG Intensity'!G33</f>
        <v/>
      </c>
    </row>
    <row r="183">
      <c r="B183" t="inlineStr">
        <is>
          <t>NRG</t>
        </is>
      </c>
      <c r="C183">
        <f>'BDG Intensity'!F34&amp;"EUE"</f>
        <v/>
      </c>
      <c r="D183">
        <f>'BDG Intensity'!A34&amp;" "&amp;'BDG Intensity'!B34&amp;" "&amp;'BDG Intensity'!C34&amp;" "&amp;'BDG Intensity'!D34&amp;" "&amp;'BDG Intensity'!E34&amp;" "&amp;"EUE"</f>
        <v/>
      </c>
      <c r="E183">
        <f>'BDG Intensity'!G34</f>
        <v/>
      </c>
    </row>
    <row r="184">
      <c r="B184" t="inlineStr">
        <is>
          <t>NRG</t>
        </is>
      </c>
      <c r="C184">
        <f>'BDG Intensity'!F35&amp;"EUE"</f>
        <v/>
      </c>
      <c r="D184">
        <f>'BDG Intensity'!A35&amp;" "&amp;'BDG Intensity'!B35&amp;" "&amp;'BDG Intensity'!C35&amp;" "&amp;'BDG Intensity'!D35&amp;" "&amp;'BDG Intensity'!E35&amp;" "&amp;"EUE"</f>
        <v/>
      </c>
      <c r="E184">
        <f>'BDG Intensity'!G35</f>
        <v/>
      </c>
    </row>
    <row r="185">
      <c r="B185" t="inlineStr">
        <is>
          <t>NRG</t>
        </is>
      </c>
      <c r="C185">
        <f>'BDG Intensity'!F36&amp;"EUE"</f>
        <v/>
      </c>
      <c r="D185">
        <f>'BDG Intensity'!A36&amp;" "&amp;'BDG Intensity'!B36&amp;" "&amp;'BDG Intensity'!C36&amp;" "&amp;'BDG Intensity'!D36&amp;" "&amp;'BDG Intensity'!E36&amp;" "&amp;"EUE"</f>
        <v/>
      </c>
      <c r="E185">
        <f>'BDG Intensity'!G36</f>
        <v/>
      </c>
    </row>
    <row r="186">
      <c r="B186" t="inlineStr">
        <is>
          <t>NRG</t>
        </is>
      </c>
      <c r="C186">
        <f>'BDG Intensity'!F37&amp;"EUE"</f>
        <v/>
      </c>
      <c r="D186">
        <f>'BDG Intensity'!A37&amp;" "&amp;'BDG Intensity'!B37&amp;" "&amp;'BDG Intensity'!C37&amp;" "&amp;'BDG Intensity'!D37&amp;" "&amp;'BDG Intensity'!E37&amp;" "&amp;"EUE"</f>
        <v/>
      </c>
      <c r="E186">
        <f>'BDG Intensity'!G37</f>
        <v/>
      </c>
    </row>
    <row r="187">
      <c r="B187" t="inlineStr">
        <is>
          <t>NRG</t>
        </is>
      </c>
      <c r="C187">
        <f>'BDG Intensity'!F38&amp;"EUE"</f>
        <v/>
      </c>
      <c r="D187">
        <f>'BDG Intensity'!A38&amp;" "&amp;'BDG Intensity'!B38&amp;" "&amp;'BDG Intensity'!C38&amp;" "&amp;'BDG Intensity'!D38&amp;" "&amp;'BDG Intensity'!E38&amp;" "&amp;"EUE"</f>
        <v/>
      </c>
      <c r="E187">
        <f>'BDG Intensity'!G38</f>
        <v/>
      </c>
    </row>
    <row r="188">
      <c r="B188" t="inlineStr">
        <is>
          <t>NRG</t>
        </is>
      </c>
      <c r="C188">
        <f>'BDG Intensity'!F39&amp;"EUE"</f>
        <v/>
      </c>
      <c r="D188">
        <f>'BDG Intensity'!A39&amp;" "&amp;'BDG Intensity'!B39&amp;" "&amp;'BDG Intensity'!C39&amp;" "&amp;'BDG Intensity'!D39&amp;" "&amp;'BDG Intensity'!E39&amp;" "&amp;"EUE"</f>
        <v/>
      </c>
      <c r="E188">
        <f>'BDG Intensity'!G39</f>
        <v/>
      </c>
    </row>
    <row r="189">
      <c r="B189" t="inlineStr">
        <is>
          <t>NRG</t>
        </is>
      </c>
      <c r="C189">
        <f>'BDG Intensity'!F40&amp;"EUE"</f>
        <v/>
      </c>
      <c r="D189">
        <f>'BDG Intensity'!A40&amp;" "&amp;'BDG Intensity'!B40&amp;" "&amp;'BDG Intensity'!C40&amp;" "&amp;'BDG Intensity'!D40&amp;" "&amp;'BDG Intensity'!E40&amp;" "&amp;"EUE"</f>
        <v/>
      </c>
      <c r="E189">
        <f>'BDG Intensity'!G40</f>
        <v/>
      </c>
    </row>
    <row r="190">
      <c r="B190" t="inlineStr">
        <is>
          <t>NRG</t>
        </is>
      </c>
      <c r="C190">
        <f>'BDG Intensity'!F41&amp;"EUE"</f>
        <v/>
      </c>
      <c r="D190">
        <f>'BDG Intensity'!A41&amp;" "&amp;'BDG Intensity'!B41&amp;" "&amp;'BDG Intensity'!C41&amp;" "&amp;'BDG Intensity'!D41&amp;" "&amp;'BDG Intensity'!E41&amp;" "&amp;"EUE"</f>
        <v/>
      </c>
      <c r="E190">
        <f>'BDG Intensity'!G41</f>
        <v/>
      </c>
    </row>
    <row r="191">
      <c r="B191" t="inlineStr">
        <is>
          <t>NRG</t>
        </is>
      </c>
      <c r="C191">
        <f>'BDG Intensity'!F42&amp;"EUE"</f>
        <v/>
      </c>
      <c r="D191">
        <f>'BDG Intensity'!A42&amp;" "&amp;'BDG Intensity'!B42&amp;" "&amp;'BDG Intensity'!C42&amp;" "&amp;'BDG Intensity'!D42&amp;" "&amp;'BDG Intensity'!E42&amp;" "&amp;"EUE"</f>
        <v/>
      </c>
      <c r="E191">
        <f>'BDG Intensity'!G42</f>
        <v/>
      </c>
    </row>
    <row r="192">
      <c r="B192" t="inlineStr">
        <is>
          <t>NRG</t>
        </is>
      </c>
      <c r="C192">
        <f>'BDG Intensity'!F43&amp;"EUE"</f>
        <v/>
      </c>
      <c r="D192">
        <f>'BDG Intensity'!A43&amp;" "&amp;'BDG Intensity'!B43&amp;" "&amp;'BDG Intensity'!C43&amp;" "&amp;'BDG Intensity'!D43&amp;" "&amp;'BDG Intensity'!E43&amp;" "&amp;"EUE"</f>
        <v/>
      </c>
      <c r="E192">
        <f>'BDG Intensity'!G43</f>
        <v/>
      </c>
    </row>
    <row r="193">
      <c r="B193" t="inlineStr">
        <is>
          <t>NRG</t>
        </is>
      </c>
      <c r="C193">
        <f>'BDG Intensity'!F44&amp;"EUE"</f>
        <v/>
      </c>
      <c r="D193">
        <f>'BDG Intensity'!A44&amp;" "&amp;'BDG Intensity'!B44&amp;" "&amp;'BDG Intensity'!C44&amp;" "&amp;'BDG Intensity'!D44&amp;" "&amp;'BDG Intensity'!E44&amp;" "&amp;"EUE"</f>
        <v/>
      </c>
      <c r="E193">
        <f>'BDG Intensity'!G44</f>
        <v/>
      </c>
    </row>
    <row r="194">
      <c r="B194" t="inlineStr">
        <is>
          <t>NRG</t>
        </is>
      </c>
      <c r="C194">
        <f>'BDG Intensity'!F45&amp;"EUE"</f>
        <v/>
      </c>
      <c r="D194">
        <f>'BDG Intensity'!A45&amp;" "&amp;'BDG Intensity'!B45&amp;" "&amp;'BDG Intensity'!C45&amp;" "&amp;'BDG Intensity'!D45&amp;" "&amp;'BDG Intensity'!E45&amp;" "&amp;"EUE"</f>
        <v/>
      </c>
      <c r="E194">
        <f>'BDG Intensity'!G45</f>
        <v/>
      </c>
    </row>
    <row r="195">
      <c r="B195" t="inlineStr">
        <is>
          <t>NRG</t>
        </is>
      </c>
      <c r="C195">
        <f>'BDG Intensity'!F46&amp;"EUE"</f>
        <v/>
      </c>
      <c r="D195">
        <f>'BDG Intensity'!A46&amp;" "&amp;'BDG Intensity'!B46&amp;" "&amp;'BDG Intensity'!C46&amp;" "&amp;'BDG Intensity'!D46&amp;" "&amp;'BDG Intensity'!E46&amp;" "&amp;"EUE"</f>
        <v/>
      </c>
      <c r="E195">
        <f>'BDG Intensity'!G46</f>
        <v/>
      </c>
    </row>
    <row r="196">
      <c r="B196" t="inlineStr">
        <is>
          <t>NRG</t>
        </is>
      </c>
      <c r="C196">
        <f>'BDG Intensity'!F47&amp;"EUE"</f>
        <v/>
      </c>
      <c r="D196">
        <f>'BDG Intensity'!A47&amp;" "&amp;'BDG Intensity'!B47&amp;" "&amp;'BDG Intensity'!C47&amp;" "&amp;'BDG Intensity'!D47&amp;" "&amp;'BDG Intensity'!E47&amp;" "&amp;"EUE"</f>
        <v/>
      </c>
      <c r="E196">
        <f>'BDG Intensity'!G47</f>
        <v/>
      </c>
    </row>
    <row r="197">
      <c r="B197" t="inlineStr">
        <is>
          <t>NRG</t>
        </is>
      </c>
      <c r="C197">
        <f>'BDG Intensity'!F48&amp;"EUE"</f>
        <v/>
      </c>
      <c r="D197">
        <f>'BDG Intensity'!A48&amp;" "&amp;'BDG Intensity'!B48&amp;" "&amp;'BDG Intensity'!C48&amp;" "&amp;'BDG Intensity'!D48&amp;" "&amp;'BDG Intensity'!E48&amp;" "&amp;"EUE"</f>
        <v/>
      </c>
      <c r="E197">
        <f>'BDG Intensity'!G48</f>
        <v/>
      </c>
    </row>
    <row r="198">
      <c r="B198" t="inlineStr">
        <is>
          <t>NRG</t>
        </is>
      </c>
      <c r="C198">
        <f>'BDG Intensity'!F49&amp;"EUE"</f>
        <v/>
      </c>
      <c r="D198">
        <f>'BDG Intensity'!A49&amp;" "&amp;'BDG Intensity'!B49&amp;" "&amp;'BDG Intensity'!C49&amp;" "&amp;'BDG Intensity'!D49&amp;" "&amp;'BDG Intensity'!E49&amp;" "&amp;"EUE"</f>
        <v/>
      </c>
      <c r="E198">
        <f>'BDG Intensity'!G49</f>
        <v/>
      </c>
    </row>
    <row r="199">
      <c r="B199" t="inlineStr">
        <is>
          <t>NRG</t>
        </is>
      </c>
      <c r="C199">
        <f>'BDG Intensity'!F50&amp;"EUE"</f>
        <v/>
      </c>
      <c r="D199">
        <f>'BDG Intensity'!A50&amp;" "&amp;'BDG Intensity'!B50&amp;" "&amp;'BDG Intensity'!C50&amp;" "&amp;'BDG Intensity'!D50&amp;" "&amp;'BDG Intensity'!E50&amp;" "&amp;"EUE"</f>
        <v/>
      </c>
      <c r="E199">
        <f>'BDG Intensity'!G50</f>
        <v/>
      </c>
    </row>
    <row r="200">
      <c r="B200" t="inlineStr">
        <is>
          <t>NRG</t>
        </is>
      </c>
      <c r="C200">
        <f>'BDG Intensity'!F51&amp;"EUE"</f>
        <v/>
      </c>
      <c r="D200">
        <f>'BDG Intensity'!A51&amp;" "&amp;'BDG Intensity'!B51&amp;" "&amp;'BDG Intensity'!C51&amp;" "&amp;'BDG Intensity'!D51&amp;" "&amp;'BDG Intensity'!E51&amp;" "&amp;"EUE"</f>
        <v/>
      </c>
      <c r="E200">
        <f>'BDG Intensity'!G51</f>
        <v/>
      </c>
    </row>
    <row r="201">
      <c r="B201" t="inlineStr">
        <is>
          <t>NRG</t>
        </is>
      </c>
      <c r="C201">
        <f>'BDG Intensity'!F52&amp;"EUE"</f>
        <v/>
      </c>
      <c r="D201">
        <f>'BDG Intensity'!A52&amp;" "&amp;'BDG Intensity'!B52&amp;" "&amp;'BDG Intensity'!C52&amp;" "&amp;'BDG Intensity'!D52&amp;" "&amp;'BDG Intensity'!E52&amp;" "&amp;"EUE"</f>
        <v/>
      </c>
      <c r="E201">
        <f>'BDG Intensity'!G52</f>
        <v/>
      </c>
    </row>
    <row r="202">
      <c r="B202" t="inlineStr">
        <is>
          <t>NRG</t>
        </is>
      </c>
      <c r="C202">
        <f>'BDG Intensity'!F53&amp;"EUE"</f>
        <v/>
      </c>
      <c r="D202">
        <f>'BDG Intensity'!A53&amp;" "&amp;'BDG Intensity'!B53&amp;" "&amp;'BDG Intensity'!C53&amp;" "&amp;'BDG Intensity'!D53&amp;" "&amp;'BDG Intensity'!E53&amp;" "&amp;"EUE"</f>
        <v/>
      </c>
      <c r="E202">
        <f>'BDG Intensity'!G53</f>
        <v/>
      </c>
    </row>
    <row r="203">
      <c r="B203" t="inlineStr">
        <is>
          <t>NRG</t>
        </is>
      </c>
      <c r="C203">
        <f>'BDG Intensity'!F54&amp;"EUE"</f>
        <v/>
      </c>
      <c r="D203">
        <f>'BDG Intensity'!A54&amp;" "&amp;'BDG Intensity'!B54&amp;" "&amp;'BDG Intensity'!C54&amp;" "&amp;'BDG Intensity'!D54&amp;" "&amp;'BDG Intensity'!E54&amp;" "&amp;"EUE"</f>
        <v/>
      </c>
      <c r="E203">
        <f>'BDG Intensity'!G54</f>
        <v/>
      </c>
    </row>
    <row r="204">
      <c r="B204" t="inlineStr">
        <is>
          <t>NRG</t>
        </is>
      </c>
      <c r="C204">
        <f>'BDG Intensity'!F55&amp;"EUE"</f>
        <v/>
      </c>
      <c r="D204">
        <f>'BDG Intensity'!A55&amp;" "&amp;'BDG Intensity'!B55&amp;" "&amp;'BDG Intensity'!C55&amp;" "&amp;'BDG Intensity'!D55&amp;" "&amp;'BDG Intensity'!E55&amp;" "&amp;"EUE"</f>
        <v/>
      </c>
      <c r="E204">
        <f>'BDG Intensity'!G55</f>
        <v/>
      </c>
    </row>
    <row r="205">
      <c r="B205" t="inlineStr">
        <is>
          <t>NRG</t>
        </is>
      </c>
      <c r="C205">
        <f>'BDG Intensity'!F56&amp;"EUE"</f>
        <v/>
      </c>
      <c r="D205">
        <f>'BDG Intensity'!A56&amp;" "&amp;'BDG Intensity'!B56&amp;" "&amp;'BDG Intensity'!C56&amp;" "&amp;'BDG Intensity'!D56&amp;" "&amp;'BDG Intensity'!E56&amp;" "&amp;"EUE"</f>
        <v/>
      </c>
      <c r="E205">
        <f>'BDG Intensity'!G56</f>
        <v/>
      </c>
    </row>
    <row r="206">
      <c r="B206" t="inlineStr">
        <is>
          <t>NRG</t>
        </is>
      </c>
      <c r="C206">
        <f>'BDG Intensity'!F57&amp;"EUE"</f>
        <v/>
      </c>
      <c r="D206">
        <f>'BDG Intensity'!A57&amp;" "&amp;'BDG Intensity'!B57&amp;" "&amp;'BDG Intensity'!C57&amp;" "&amp;'BDG Intensity'!D57&amp;" "&amp;'BDG Intensity'!E57&amp;" "&amp;"EUE"</f>
        <v/>
      </c>
      <c r="E206">
        <f>'BDG Intensity'!G57</f>
        <v/>
      </c>
    </row>
    <row r="207">
      <c r="B207" t="inlineStr">
        <is>
          <t>NRG</t>
        </is>
      </c>
      <c r="C207">
        <f>'BDG Intensity'!F58&amp;"EUE"</f>
        <v/>
      </c>
      <c r="D207">
        <f>'BDG Intensity'!A58&amp;" "&amp;'BDG Intensity'!B58&amp;" "&amp;'BDG Intensity'!C58&amp;" "&amp;'BDG Intensity'!D58&amp;" "&amp;'BDG Intensity'!E58&amp;" "&amp;"EUE"</f>
        <v/>
      </c>
      <c r="E207">
        <f>'BDG Intensity'!G58</f>
        <v/>
      </c>
    </row>
    <row r="208">
      <c r="B208" t="inlineStr">
        <is>
          <t>NRG</t>
        </is>
      </c>
      <c r="C208">
        <f>'BDG Intensity'!F59&amp;"EUE"</f>
        <v/>
      </c>
      <c r="D208">
        <f>'BDG Intensity'!A59&amp;" "&amp;'BDG Intensity'!B59&amp;" "&amp;'BDG Intensity'!C59&amp;" "&amp;'BDG Intensity'!D59&amp;" "&amp;'BDG Intensity'!E59&amp;" "&amp;"EUE"</f>
        <v/>
      </c>
      <c r="E208">
        <f>'BDG Intensity'!G59</f>
        <v/>
      </c>
    </row>
    <row r="209">
      <c r="B209" t="inlineStr">
        <is>
          <t>NRG</t>
        </is>
      </c>
      <c r="C209">
        <f>'BDG Intensity'!F60&amp;"EUE"</f>
        <v/>
      </c>
      <c r="D209">
        <f>'BDG Intensity'!A60&amp;" "&amp;'BDG Intensity'!B60&amp;" "&amp;'BDG Intensity'!C60&amp;" "&amp;'BDG Intensity'!D60&amp;" "&amp;'BDG Intensity'!E60&amp;" "&amp;"EUE"</f>
        <v/>
      </c>
      <c r="E209">
        <f>'BDG Intensity'!G60</f>
        <v/>
      </c>
    </row>
    <row r="210">
      <c r="B210" t="inlineStr">
        <is>
          <t>NRG</t>
        </is>
      </c>
      <c r="C210">
        <f>'BDG Intensity'!F61&amp;"EUE"</f>
        <v/>
      </c>
      <c r="D210">
        <f>'BDG Intensity'!A61&amp;" "&amp;'BDG Intensity'!B61&amp;" "&amp;'BDG Intensity'!C61&amp;" "&amp;'BDG Intensity'!D61&amp;" "&amp;'BDG Intensity'!E61&amp;" "&amp;"EUE"</f>
        <v/>
      </c>
      <c r="E210">
        <f>'BDG Intensity'!G61</f>
        <v/>
      </c>
    </row>
    <row r="211">
      <c r="B211" t="inlineStr">
        <is>
          <t>NRG</t>
        </is>
      </c>
      <c r="C211">
        <f>'BDG Intensity'!F62&amp;"EUE"</f>
        <v/>
      </c>
      <c r="D211">
        <f>'BDG Intensity'!A62&amp;" "&amp;'BDG Intensity'!B62&amp;" "&amp;'BDG Intensity'!C62&amp;" "&amp;'BDG Intensity'!D62&amp;" "&amp;'BDG Intensity'!E62&amp;" "&amp;"EUE"</f>
        <v/>
      </c>
      <c r="E211">
        <f>'BDG Intensity'!G62</f>
        <v/>
      </c>
    </row>
    <row r="212">
      <c r="B212" t="inlineStr">
        <is>
          <t>NRG</t>
        </is>
      </c>
      <c r="C212">
        <f>'BDG Intensity'!F63&amp;"EUE"</f>
        <v/>
      </c>
      <c r="D212">
        <f>'BDG Intensity'!A63&amp;" "&amp;'BDG Intensity'!B63&amp;" "&amp;'BDG Intensity'!C63&amp;" "&amp;'BDG Intensity'!D63&amp;" "&amp;'BDG Intensity'!E63&amp;" "&amp;"EUE"</f>
        <v/>
      </c>
      <c r="E212">
        <f>'BDG Intensity'!G63</f>
        <v/>
      </c>
    </row>
    <row r="213">
      <c r="B213" t="inlineStr">
        <is>
          <t>NRG</t>
        </is>
      </c>
      <c r="C213">
        <f>'BDG Intensity'!F64&amp;"EUE"</f>
        <v/>
      </c>
      <c r="D213">
        <f>'BDG Intensity'!A64&amp;" "&amp;'BDG Intensity'!B64&amp;" "&amp;'BDG Intensity'!C64&amp;" "&amp;'BDG Intensity'!D64&amp;" "&amp;'BDG Intensity'!E64&amp;" "&amp;"EUE"</f>
        <v/>
      </c>
      <c r="E213">
        <f>'BDG Intensity'!G64</f>
        <v/>
      </c>
    </row>
    <row r="214">
      <c r="B214" t="inlineStr">
        <is>
          <t>NRG</t>
        </is>
      </c>
      <c r="C214">
        <f>'BDG Intensity'!F65&amp;"EUE"</f>
        <v/>
      </c>
      <c r="D214">
        <f>'BDG Intensity'!A65&amp;" "&amp;'BDG Intensity'!B65&amp;" "&amp;'BDG Intensity'!C65&amp;" "&amp;'BDG Intensity'!D65&amp;" "&amp;'BDG Intensity'!E65&amp;" "&amp;"EUE"</f>
        <v/>
      </c>
      <c r="E214">
        <f>'BDG Intensity'!G65</f>
        <v/>
      </c>
    </row>
    <row r="215">
      <c r="B215" t="inlineStr">
        <is>
          <t>NRG</t>
        </is>
      </c>
      <c r="C215">
        <f>'BDG Intensity'!F66&amp;"EUE"</f>
        <v/>
      </c>
      <c r="D215">
        <f>'BDG Intensity'!A66&amp;" "&amp;'BDG Intensity'!B66&amp;" "&amp;'BDG Intensity'!C66&amp;" "&amp;'BDG Intensity'!D66&amp;" "&amp;'BDG Intensity'!E66&amp;" "&amp;"EUE"</f>
        <v/>
      </c>
      <c r="E215">
        <f>'BDG Intensity'!G66</f>
        <v/>
      </c>
    </row>
    <row r="216">
      <c r="B216" t="inlineStr">
        <is>
          <t>NRG</t>
        </is>
      </c>
      <c r="C216">
        <f>'BDG Intensity'!F67&amp;"EUE"</f>
        <v/>
      </c>
      <c r="D216">
        <f>'BDG Intensity'!A67&amp;" "&amp;'BDG Intensity'!B67&amp;" "&amp;'BDG Intensity'!C67&amp;" "&amp;'BDG Intensity'!D67&amp;" "&amp;'BDG Intensity'!E67&amp;" "&amp;"EUE"</f>
        <v/>
      </c>
      <c r="E216">
        <f>'BDG Intensity'!G67</f>
        <v/>
      </c>
    </row>
    <row r="217">
      <c r="B217" t="inlineStr">
        <is>
          <t>NRG</t>
        </is>
      </c>
      <c r="C217">
        <f>'BDG Intensity'!F68&amp;"EUE"</f>
        <v/>
      </c>
      <c r="D217">
        <f>'BDG Intensity'!A68&amp;" "&amp;'BDG Intensity'!B68&amp;" "&amp;'BDG Intensity'!C68&amp;" "&amp;'BDG Intensity'!D68&amp;" "&amp;'BDG Intensity'!E68&amp;" "&amp;"EUE"</f>
        <v/>
      </c>
      <c r="E217">
        <f>'BDG Intensity'!G68</f>
        <v/>
      </c>
    </row>
    <row r="218">
      <c r="B218" t="inlineStr">
        <is>
          <t>NRG</t>
        </is>
      </c>
      <c r="C218">
        <f>'BDG Intensity'!F69&amp;"EUE"</f>
        <v/>
      </c>
      <c r="D218">
        <f>'BDG Intensity'!A69&amp;" "&amp;'BDG Intensity'!B69&amp;" "&amp;'BDG Intensity'!C69&amp;" "&amp;'BDG Intensity'!D69&amp;" "&amp;'BDG Intensity'!E69&amp;" "&amp;"EUE"</f>
        <v/>
      </c>
      <c r="E218">
        <f>'BDG Intensity'!G69</f>
        <v/>
      </c>
    </row>
    <row r="219">
      <c r="B219" t="inlineStr">
        <is>
          <t>NRG</t>
        </is>
      </c>
      <c r="C219">
        <f>'BDG Intensity'!F70&amp;"EUE"</f>
        <v/>
      </c>
      <c r="D219">
        <f>'BDG Intensity'!A70&amp;" "&amp;'BDG Intensity'!B70&amp;" "&amp;'BDG Intensity'!C70&amp;" "&amp;'BDG Intensity'!D70&amp;" "&amp;'BDG Intensity'!E70&amp;" "&amp;"EUE"</f>
        <v/>
      </c>
      <c r="E219">
        <f>'BDG Intensity'!G70</f>
        <v/>
      </c>
    </row>
    <row r="220">
      <c r="B220" t="inlineStr">
        <is>
          <t>NRG</t>
        </is>
      </c>
      <c r="C220">
        <f>'BDG Intensity'!F71&amp;"EUE"</f>
        <v/>
      </c>
      <c r="D220">
        <f>'BDG Intensity'!A71&amp;" "&amp;'BDG Intensity'!B71&amp;" "&amp;'BDG Intensity'!C71&amp;" "&amp;'BDG Intensity'!D71&amp;" "&amp;'BDG Intensity'!E71&amp;" "&amp;"EUE"</f>
        <v/>
      </c>
      <c r="E220">
        <f>'BDG Intensity'!G71</f>
        <v/>
      </c>
    </row>
    <row r="221">
      <c r="B221" t="inlineStr">
        <is>
          <t>NRG</t>
        </is>
      </c>
      <c r="C221">
        <f>'BDG Intensity'!F72&amp;"EUE"</f>
        <v/>
      </c>
      <c r="D221">
        <f>'BDG Intensity'!A72&amp;" "&amp;'BDG Intensity'!B72&amp;" "&amp;'BDG Intensity'!C72&amp;" "&amp;'BDG Intensity'!D72&amp;" "&amp;'BDG Intensity'!E72&amp;" "&amp;"EUE"</f>
        <v/>
      </c>
      <c r="E221">
        <f>'BDG Intensity'!G72</f>
        <v/>
      </c>
    </row>
    <row r="222">
      <c r="B222" t="inlineStr">
        <is>
          <t>NRG</t>
        </is>
      </c>
      <c r="C222">
        <f>'BDG Intensity'!F73&amp;"EUE"</f>
        <v/>
      </c>
      <c r="D222">
        <f>'BDG Intensity'!A73&amp;" "&amp;'BDG Intensity'!B73&amp;" "&amp;'BDG Intensity'!C73&amp;" "&amp;'BDG Intensity'!D73&amp;" "&amp;'BDG Intensity'!E73&amp;" "&amp;"EUE"</f>
        <v/>
      </c>
      <c r="E222">
        <f>'BDG Intensity'!G73</f>
        <v/>
      </c>
    </row>
    <row r="223">
      <c r="B223" t="inlineStr">
        <is>
          <t>NRG</t>
        </is>
      </c>
      <c r="C223">
        <f>'BDG Intensity'!F74&amp;"EUE"</f>
        <v/>
      </c>
      <c r="D223">
        <f>'BDG Intensity'!A74&amp;" "&amp;'BDG Intensity'!B74&amp;" "&amp;'BDG Intensity'!C74&amp;" "&amp;'BDG Intensity'!D74&amp;" "&amp;'BDG Intensity'!E74&amp;" "&amp;"EUE"</f>
        <v/>
      </c>
      <c r="E223">
        <f>'BDG Intensity'!G74</f>
        <v/>
      </c>
    </row>
    <row r="224">
      <c r="B224" t="inlineStr">
        <is>
          <t>NRG</t>
        </is>
      </c>
      <c r="C224">
        <f>'BDG Intensity'!F75&amp;"EUE"</f>
        <v/>
      </c>
      <c r="D224">
        <f>'BDG Intensity'!A75&amp;" "&amp;'BDG Intensity'!B75&amp;" "&amp;'BDG Intensity'!C75&amp;" "&amp;'BDG Intensity'!D75&amp;" "&amp;'BDG Intensity'!E75&amp;" "&amp;"EUE"</f>
        <v/>
      </c>
      <c r="E224">
        <f>'BDG Intensity'!G75</f>
        <v/>
      </c>
    </row>
    <row r="225">
      <c r="B225" t="inlineStr">
        <is>
          <t>NRG</t>
        </is>
      </c>
      <c r="C225">
        <f>'BDG Intensity'!F76&amp;"EUE"</f>
        <v/>
      </c>
      <c r="D225">
        <f>'BDG Intensity'!A76&amp;" "&amp;'BDG Intensity'!B76&amp;" "&amp;'BDG Intensity'!C76&amp;" "&amp;'BDG Intensity'!D76&amp;" "&amp;'BDG Intensity'!E76&amp;" "&amp;"EUE"</f>
        <v/>
      </c>
      <c r="E225">
        <f>'BDG Intensity'!G76</f>
        <v/>
      </c>
    </row>
    <row r="226">
      <c r="B226" t="inlineStr">
        <is>
          <t>NRG</t>
        </is>
      </c>
      <c r="C226">
        <f>'BDG Intensity'!F77&amp;"EUE"</f>
        <v/>
      </c>
      <c r="D226">
        <f>'BDG Intensity'!A77&amp;" "&amp;'BDG Intensity'!B77&amp;" "&amp;'BDG Intensity'!C77&amp;" "&amp;'BDG Intensity'!D77&amp;" "&amp;'BDG Intensity'!E77&amp;" "&amp;"EUE"</f>
        <v/>
      </c>
      <c r="E226">
        <f>'BDG Intensity'!G77</f>
        <v/>
      </c>
    </row>
    <row r="227">
      <c r="B227" t="inlineStr">
        <is>
          <t>NRG</t>
        </is>
      </c>
      <c r="C227">
        <f>'BDG Intensity'!F78&amp;"EUE"</f>
        <v/>
      </c>
      <c r="D227">
        <f>'BDG Intensity'!A78&amp;" "&amp;'BDG Intensity'!B78&amp;" "&amp;'BDG Intensity'!C78&amp;" "&amp;'BDG Intensity'!D78&amp;" "&amp;'BDG Intensity'!E78&amp;" "&amp;"EUE"</f>
        <v/>
      </c>
      <c r="E227">
        <f>'BDG Intensity'!G78</f>
        <v/>
      </c>
    </row>
    <row r="228">
      <c r="B228" t="inlineStr">
        <is>
          <t>NRG</t>
        </is>
      </c>
      <c r="C228">
        <f>'BDG Intensity'!F79&amp;"EUE"</f>
        <v/>
      </c>
      <c r="D228">
        <f>'BDG Intensity'!A79&amp;" "&amp;'BDG Intensity'!B79&amp;" "&amp;'BDG Intensity'!C79&amp;" "&amp;'BDG Intensity'!D79&amp;" "&amp;'BDG Intensity'!E79&amp;" "&amp;"EUE"</f>
        <v/>
      </c>
      <c r="E228">
        <f>'BDG Intensity'!G79</f>
        <v/>
      </c>
    </row>
    <row r="229">
      <c r="B229" t="inlineStr">
        <is>
          <t>NRG</t>
        </is>
      </c>
      <c r="C229">
        <f>'BDG Intensity'!F80&amp;"EUE"</f>
        <v/>
      </c>
      <c r="D229">
        <f>'BDG Intensity'!A80&amp;" "&amp;'BDG Intensity'!B80&amp;" "&amp;'BDG Intensity'!C80&amp;" "&amp;'BDG Intensity'!D80&amp;" "&amp;'BDG Intensity'!E80&amp;" "&amp;"EUE"</f>
        <v/>
      </c>
      <c r="E229">
        <f>'BDG Intensity'!G80</f>
        <v/>
      </c>
    </row>
    <row r="230">
      <c r="B230" t="inlineStr">
        <is>
          <t>NRG</t>
        </is>
      </c>
      <c r="C230">
        <f>'BDG Intensity'!F81&amp;"EUE"</f>
        <v/>
      </c>
      <c r="D230">
        <f>'BDG Intensity'!A81&amp;" "&amp;'BDG Intensity'!B81&amp;" "&amp;'BDG Intensity'!C81&amp;" "&amp;'BDG Intensity'!D81&amp;" "&amp;'BDG Intensity'!E81&amp;" "&amp;"EUE"</f>
        <v/>
      </c>
      <c r="E230">
        <f>'BDG Intensity'!G81</f>
        <v/>
      </c>
    </row>
    <row r="231">
      <c r="B231" t="inlineStr">
        <is>
          <t>NRG</t>
        </is>
      </c>
      <c r="C231">
        <f>'BDG Intensity'!F82&amp;"EUE"</f>
        <v/>
      </c>
      <c r="D231">
        <f>'BDG Intensity'!A82&amp;" "&amp;'BDG Intensity'!B82&amp;" "&amp;'BDG Intensity'!C82&amp;" "&amp;'BDG Intensity'!D82&amp;" "&amp;'BDG Intensity'!E82&amp;" "&amp;"EUE"</f>
        <v/>
      </c>
      <c r="E231">
        <f>'BDG Intensity'!G82</f>
        <v/>
      </c>
    </row>
    <row r="232">
      <c r="B232" t="inlineStr">
        <is>
          <t>NRG</t>
        </is>
      </c>
      <c r="C232">
        <f>'BDG Intensity'!F83&amp;"EUE"</f>
        <v/>
      </c>
      <c r="D232">
        <f>'BDG Intensity'!A83&amp;" "&amp;'BDG Intensity'!B83&amp;" "&amp;'BDG Intensity'!C83&amp;" "&amp;'BDG Intensity'!D83&amp;" "&amp;'BDG Intensity'!E83&amp;" "&amp;"EUE"</f>
        <v/>
      </c>
      <c r="E232">
        <f>'BDG Intensity'!G83</f>
        <v/>
      </c>
    </row>
    <row r="233">
      <c r="B233" t="inlineStr">
        <is>
          <t>NRG</t>
        </is>
      </c>
      <c r="C233">
        <f>'BDG Intensity'!F84&amp;"EUE"</f>
        <v/>
      </c>
      <c r="D233">
        <f>'BDG Intensity'!A84&amp;" "&amp;'BDG Intensity'!B84&amp;" "&amp;'BDG Intensity'!C84&amp;" "&amp;'BDG Intensity'!D84&amp;" "&amp;'BDG Intensity'!E84&amp;" "&amp;"EUE"</f>
        <v/>
      </c>
      <c r="E233">
        <f>'BDG Intensity'!G84</f>
        <v/>
      </c>
    </row>
    <row r="234">
      <c r="B234" t="inlineStr">
        <is>
          <t>NRG</t>
        </is>
      </c>
      <c r="C234">
        <f>'BDG Intensity'!F85&amp;"EUE"</f>
        <v/>
      </c>
      <c r="D234">
        <f>'BDG Intensity'!A85&amp;" "&amp;'BDG Intensity'!B85&amp;" "&amp;'BDG Intensity'!C85&amp;" "&amp;'BDG Intensity'!D85&amp;" "&amp;'BDG Intensity'!E85&amp;" "&amp;"EUE"</f>
        <v/>
      </c>
      <c r="E234">
        <f>'BDG Intensity'!G85</f>
        <v/>
      </c>
    </row>
    <row r="235">
      <c r="B235" t="inlineStr">
        <is>
          <t>NRG</t>
        </is>
      </c>
      <c r="C235">
        <f>'BDG Intensity'!F86&amp;"EUE"</f>
        <v/>
      </c>
      <c r="D235">
        <f>'BDG Intensity'!A86&amp;" "&amp;'BDG Intensity'!B86&amp;" "&amp;'BDG Intensity'!C86&amp;" "&amp;'BDG Intensity'!D86&amp;" "&amp;'BDG Intensity'!E86&amp;" "&amp;"EUE"</f>
        <v/>
      </c>
      <c r="E235">
        <f>'BDG Intensity'!G86</f>
        <v/>
      </c>
    </row>
    <row r="236">
      <c r="B236" t="inlineStr">
        <is>
          <t>NRG</t>
        </is>
      </c>
      <c r="C236">
        <f>'BDG Intensity'!F87&amp;"EUE"</f>
        <v/>
      </c>
      <c r="D236">
        <f>'BDG Intensity'!A87&amp;" "&amp;'BDG Intensity'!B87&amp;" "&amp;'BDG Intensity'!C87&amp;" "&amp;'BDG Intensity'!D87&amp;" "&amp;'BDG Intensity'!E87&amp;" "&amp;"EUE"</f>
        <v/>
      </c>
      <c r="E236">
        <f>'BDG Intensity'!G87</f>
        <v/>
      </c>
    </row>
    <row r="237">
      <c r="B237" t="inlineStr">
        <is>
          <t>NRG</t>
        </is>
      </c>
      <c r="C237">
        <f>'BDG Intensity'!F88&amp;"EUE"</f>
        <v/>
      </c>
      <c r="D237">
        <f>'BDG Intensity'!A88&amp;" "&amp;'BDG Intensity'!B88&amp;" "&amp;'BDG Intensity'!C88&amp;" "&amp;'BDG Intensity'!D88&amp;" "&amp;'BDG Intensity'!E88&amp;" "&amp;"EUE"</f>
        <v/>
      </c>
      <c r="E237">
        <f>'BDG Intensity'!G88</f>
        <v/>
      </c>
    </row>
    <row r="238">
      <c r="B238" t="inlineStr">
        <is>
          <t>NRG</t>
        </is>
      </c>
      <c r="C238">
        <f>'BDG Intensity'!F89&amp;"EUE"</f>
        <v/>
      </c>
      <c r="D238">
        <f>'BDG Intensity'!A89&amp;" "&amp;'BDG Intensity'!B89&amp;" "&amp;'BDG Intensity'!C89&amp;" "&amp;'BDG Intensity'!D89&amp;" "&amp;'BDG Intensity'!E89&amp;" "&amp;"EUE"</f>
        <v/>
      </c>
      <c r="E238">
        <f>'BDG Intensity'!G89</f>
        <v/>
      </c>
    </row>
    <row r="239">
      <c r="B239" t="inlineStr">
        <is>
          <t>NRG</t>
        </is>
      </c>
      <c r="C239">
        <f>'BDG Intensity'!F90&amp;"EUE"</f>
        <v/>
      </c>
      <c r="D239">
        <f>'BDG Intensity'!A90&amp;" "&amp;'BDG Intensity'!B90&amp;" "&amp;'BDG Intensity'!C90&amp;" "&amp;'BDG Intensity'!D90&amp;" "&amp;'BDG Intensity'!E90&amp;" "&amp;"EUE"</f>
        <v/>
      </c>
      <c r="E239">
        <f>'BDG Intensity'!G90</f>
        <v/>
      </c>
    </row>
    <row r="240">
      <c r="B240" t="inlineStr">
        <is>
          <t>NRG</t>
        </is>
      </c>
      <c r="C240">
        <f>'BDG Intensity'!F91&amp;"EUE"</f>
        <v/>
      </c>
      <c r="D240">
        <f>'BDG Intensity'!A91&amp;" "&amp;'BDG Intensity'!B91&amp;" "&amp;'BDG Intensity'!C91&amp;" "&amp;'BDG Intensity'!D91&amp;" "&amp;'BDG Intensity'!E91&amp;" "&amp;"EUE"</f>
        <v/>
      </c>
      <c r="E240">
        <f>'BDG Intensity'!G91</f>
        <v/>
      </c>
    </row>
    <row r="241">
      <c r="B241" t="inlineStr">
        <is>
          <t>NRG</t>
        </is>
      </c>
      <c r="C241">
        <f>'BDG Intensity'!F92&amp;"EUE"</f>
        <v/>
      </c>
      <c r="D241">
        <f>'BDG Intensity'!A92&amp;" "&amp;'BDG Intensity'!B92&amp;" "&amp;'BDG Intensity'!C92&amp;" "&amp;'BDG Intensity'!D92&amp;" "&amp;'BDG Intensity'!E92&amp;" "&amp;"EUE"</f>
        <v/>
      </c>
      <c r="E241">
        <f>'BDG Intensity'!G92</f>
        <v/>
      </c>
    </row>
    <row r="242">
      <c r="B242" t="inlineStr">
        <is>
          <t>NRG</t>
        </is>
      </c>
      <c r="C242">
        <f>'BDG Intensity'!F93&amp;"EUE"</f>
        <v/>
      </c>
      <c r="D242">
        <f>'BDG Intensity'!A93&amp;" "&amp;'BDG Intensity'!B93&amp;" "&amp;'BDG Intensity'!C93&amp;" "&amp;'BDG Intensity'!D93&amp;" "&amp;'BDG Intensity'!E93&amp;" "&amp;"EUE"</f>
        <v/>
      </c>
      <c r="E242">
        <f>'BDG Intensity'!G93</f>
        <v/>
      </c>
    </row>
    <row r="243">
      <c r="B243" t="inlineStr">
        <is>
          <t>NRG</t>
        </is>
      </c>
      <c r="C243">
        <f>'BDG Intensity'!F94&amp;"EUE"</f>
        <v/>
      </c>
      <c r="D243">
        <f>'BDG Intensity'!A94&amp;" "&amp;'BDG Intensity'!B94&amp;" "&amp;'BDG Intensity'!C94&amp;" "&amp;'BDG Intensity'!D94&amp;" "&amp;'BDG Intensity'!E94&amp;" "&amp;"EUE"</f>
        <v/>
      </c>
      <c r="E243">
        <f>'BDG Intensity'!G94</f>
        <v/>
      </c>
    </row>
    <row r="244">
      <c r="B244" t="inlineStr">
        <is>
          <t>NRG</t>
        </is>
      </c>
      <c r="C244">
        <f>'BDG Intensity'!F95&amp;"EUE"</f>
        <v/>
      </c>
      <c r="D244">
        <f>'BDG Intensity'!A95&amp;" "&amp;'BDG Intensity'!B95&amp;" "&amp;'BDG Intensity'!C95&amp;" "&amp;'BDG Intensity'!D95&amp;" "&amp;'BDG Intensity'!E95&amp;" "&amp;"EUE"</f>
        <v/>
      </c>
      <c r="E244">
        <f>'BDG Intensity'!G95</f>
        <v/>
      </c>
    </row>
    <row r="245">
      <c r="B245" t="inlineStr">
        <is>
          <t>NRG</t>
        </is>
      </c>
      <c r="C245">
        <f>'BDG Intensity'!F96&amp;"EUE"</f>
        <v/>
      </c>
      <c r="D245">
        <f>'BDG Intensity'!A96&amp;" "&amp;'BDG Intensity'!B96&amp;" "&amp;'BDG Intensity'!C96&amp;" "&amp;'BDG Intensity'!D96&amp;" "&amp;'BDG Intensity'!E96&amp;" "&amp;"EUE"</f>
        <v/>
      </c>
      <c r="E245">
        <f>'BDG Intensity'!G96</f>
        <v/>
      </c>
    </row>
    <row r="246">
      <c r="B246" t="inlineStr">
        <is>
          <t>NRG</t>
        </is>
      </c>
      <c r="C246">
        <f>'BDG Intensity'!F97&amp;"EUE"</f>
        <v/>
      </c>
      <c r="D246">
        <f>'BDG Intensity'!A97&amp;" "&amp;'BDG Intensity'!B97&amp;" "&amp;'BDG Intensity'!C97&amp;" "&amp;'BDG Intensity'!D97&amp;" "&amp;'BDG Intensity'!E97&amp;" "&amp;"EUE"</f>
        <v/>
      </c>
      <c r="E246">
        <f>'BDG Intensity'!G97</f>
        <v/>
      </c>
    </row>
    <row r="247">
      <c r="B247" t="inlineStr">
        <is>
          <t>NRG</t>
        </is>
      </c>
      <c r="C247">
        <f>'BDG Intensity'!F98&amp;"EUE"</f>
        <v/>
      </c>
      <c r="D247">
        <f>'BDG Intensity'!A98&amp;" "&amp;'BDG Intensity'!B98&amp;" "&amp;'BDG Intensity'!C98&amp;" "&amp;'BDG Intensity'!D98&amp;" "&amp;'BDG Intensity'!E98&amp;" "&amp;"EUE"</f>
        <v/>
      </c>
      <c r="E247">
        <f>'BDG Intensity'!G98</f>
        <v/>
      </c>
    </row>
    <row r="248">
      <c r="B248" t="inlineStr">
        <is>
          <t>NRG</t>
        </is>
      </c>
      <c r="C248">
        <f>'BDG Intensity'!F99&amp;"EUE"</f>
        <v/>
      </c>
      <c r="D248">
        <f>'BDG Intensity'!A99&amp;" "&amp;'BDG Intensity'!B99&amp;" "&amp;'BDG Intensity'!C99&amp;" "&amp;'BDG Intensity'!D99&amp;" "&amp;'BDG Intensity'!E99&amp;" "&amp;"EUE"</f>
        <v/>
      </c>
      <c r="E248">
        <f>'BDG Intensity'!G99</f>
        <v/>
      </c>
    </row>
    <row r="249">
      <c r="B249" t="inlineStr">
        <is>
          <t>NRG</t>
        </is>
      </c>
      <c r="C249">
        <f>'BDG Intensity'!F100&amp;"EUE"</f>
        <v/>
      </c>
      <c r="D249">
        <f>'BDG Intensity'!A100&amp;" "&amp;'BDG Intensity'!B100&amp;" "&amp;'BDG Intensity'!C100&amp;" "&amp;'BDG Intensity'!D100&amp;" "&amp;'BDG Intensity'!E100&amp;" "&amp;"EUE"</f>
        <v/>
      </c>
      <c r="E249">
        <f>'BDG Intensity'!G100</f>
        <v/>
      </c>
    </row>
    <row r="250">
      <c r="B250" t="inlineStr">
        <is>
          <t>NRG</t>
        </is>
      </c>
      <c r="C250">
        <f>'BDG Intensity'!F101&amp;"EUE"</f>
        <v/>
      </c>
      <c r="D250">
        <f>'BDG Intensity'!A101&amp;" "&amp;'BDG Intensity'!B101&amp;" "&amp;'BDG Intensity'!C101&amp;" "&amp;'BDG Intensity'!D101&amp;" "&amp;'BDG Intensity'!E101&amp;" "&amp;"EUE"</f>
        <v/>
      </c>
      <c r="E250">
        <f>'BDG Intensity'!G101</f>
        <v/>
      </c>
    </row>
    <row r="251">
      <c r="B251" t="inlineStr">
        <is>
          <t>NRG</t>
        </is>
      </c>
      <c r="C251">
        <f>'BDG Intensity'!F102&amp;"EUE"</f>
        <v/>
      </c>
      <c r="D251">
        <f>'BDG Intensity'!A102&amp;" "&amp;'BDG Intensity'!B102&amp;" "&amp;'BDG Intensity'!C102&amp;" "&amp;'BDG Intensity'!D102&amp;" "&amp;'BDG Intensity'!E102&amp;" "&amp;"EUE"</f>
        <v/>
      </c>
      <c r="E251">
        <f>'BDG Intensity'!G102</f>
        <v/>
      </c>
    </row>
    <row r="252">
      <c r="B252" t="inlineStr">
        <is>
          <t>NRG</t>
        </is>
      </c>
      <c r="C252">
        <f>'BDG Intensity'!F103&amp;"EUE"</f>
        <v/>
      </c>
      <c r="D252">
        <f>'BDG Intensity'!A103&amp;" "&amp;'BDG Intensity'!B103&amp;" "&amp;'BDG Intensity'!C103&amp;" "&amp;'BDG Intensity'!D103&amp;" "&amp;'BDG Intensity'!E103&amp;" "&amp;"EUE"</f>
        <v/>
      </c>
      <c r="E252">
        <f>'BDG Intensity'!G103</f>
        <v/>
      </c>
    </row>
    <row r="253">
      <c r="B253" t="inlineStr">
        <is>
          <t>NRG</t>
        </is>
      </c>
      <c r="C253">
        <f>'BDG Intensity'!F104&amp;"EUE"</f>
        <v/>
      </c>
      <c r="D253">
        <f>'BDG Intensity'!A104&amp;" "&amp;'BDG Intensity'!B104&amp;" "&amp;'BDG Intensity'!C104&amp;" "&amp;'BDG Intensity'!D104&amp;" "&amp;'BDG Intensity'!E104&amp;" "&amp;"EUE"</f>
        <v/>
      </c>
      <c r="E253">
        <f>'BDG Intensity'!G104</f>
        <v/>
      </c>
    </row>
    <row r="254">
      <c r="B254" t="inlineStr">
        <is>
          <t>NRG</t>
        </is>
      </c>
      <c r="C254">
        <f>'BDG Intensity'!F105&amp;"EUE"</f>
        <v/>
      </c>
      <c r="D254">
        <f>'BDG Intensity'!A105&amp;" "&amp;'BDG Intensity'!B105&amp;" "&amp;'BDG Intensity'!C105&amp;" "&amp;'BDG Intensity'!D105&amp;" "&amp;'BDG Intensity'!E105&amp;" "&amp;"EUE"</f>
        <v/>
      </c>
      <c r="E254">
        <f>'BDG Intensity'!G105</f>
        <v/>
      </c>
    </row>
    <row r="255">
      <c r="B255" t="inlineStr">
        <is>
          <t>NRG</t>
        </is>
      </c>
      <c r="C255">
        <f>'BDG Intensity'!F106&amp;"EUE"</f>
        <v/>
      </c>
      <c r="D255">
        <f>'BDG Intensity'!A106&amp;" "&amp;'BDG Intensity'!B106&amp;" "&amp;'BDG Intensity'!C106&amp;" "&amp;'BDG Intensity'!D106&amp;" "&amp;'BDG Intensity'!E106&amp;" "&amp;"EUE"</f>
        <v/>
      </c>
      <c r="E255">
        <f>'BDG Intensity'!G106</f>
        <v/>
      </c>
    </row>
    <row r="256">
      <c r="B256" t="inlineStr">
        <is>
          <t>NRG</t>
        </is>
      </c>
      <c r="C256">
        <f>'BDG Intensity'!F107&amp;"EUE"</f>
        <v/>
      </c>
      <c r="D256">
        <f>'BDG Intensity'!A107&amp;" "&amp;'BDG Intensity'!B107&amp;" "&amp;'BDG Intensity'!C107&amp;" "&amp;'BDG Intensity'!D107&amp;" "&amp;'BDG Intensity'!E107&amp;" "&amp;"EUE"</f>
        <v/>
      </c>
      <c r="E256">
        <f>'BDG Intensity'!G107</f>
        <v/>
      </c>
    </row>
    <row r="257">
      <c r="B257" t="inlineStr">
        <is>
          <t>NRG</t>
        </is>
      </c>
      <c r="C257">
        <f>'BDG Intensity'!F108&amp;"EUE"</f>
        <v/>
      </c>
      <c r="D257">
        <f>'BDG Intensity'!A108&amp;" "&amp;'BDG Intensity'!B108&amp;" "&amp;'BDG Intensity'!C108&amp;" "&amp;'BDG Intensity'!D108&amp;" "&amp;'BDG Intensity'!E108&amp;" "&amp;"EUE"</f>
        <v/>
      </c>
      <c r="E257">
        <f>'BDG Intensity'!G108</f>
        <v/>
      </c>
    </row>
    <row r="258">
      <c r="B258" t="inlineStr">
        <is>
          <t>NRG</t>
        </is>
      </c>
      <c r="C258">
        <f>'BDG Intensity'!F109&amp;"EUE"</f>
        <v/>
      </c>
      <c r="D258">
        <f>'BDG Intensity'!A109&amp;" "&amp;'BDG Intensity'!B109&amp;" "&amp;'BDG Intensity'!C109&amp;" "&amp;'BDG Intensity'!D109&amp;" "&amp;'BDG Intensity'!E109&amp;" "&amp;"EUE"</f>
        <v/>
      </c>
      <c r="E258">
        <f>'BDG Intensity'!G109</f>
        <v/>
      </c>
    </row>
    <row r="259">
      <c r="B259" t="inlineStr">
        <is>
          <t>NRG</t>
        </is>
      </c>
      <c r="C259">
        <f>'BDG Intensity'!F110&amp;"EUE"</f>
        <v/>
      </c>
      <c r="D259">
        <f>'BDG Intensity'!A110&amp;" "&amp;'BDG Intensity'!B110&amp;" "&amp;'BDG Intensity'!C110&amp;" "&amp;'BDG Intensity'!D110&amp;" "&amp;'BDG Intensity'!E110&amp;" "&amp;"EUE"</f>
        <v/>
      </c>
      <c r="E259">
        <f>'BDG Intensity'!G110</f>
        <v/>
      </c>
    </row>
    <row r="260">
      <c r="B260" t="inlineStr">
        <is>
          <t>NRG</t>
        </is>
      </c>
      <c r="C260">
        <f>'BDG Intensity'!F111&amp;"EUE"</f>
        <v/>
      </c>
      <c r="D260">
        <f>'BDG Intensity'!A111&amp;" "&amp;'BDG Intensity'!B111&amp;" "&amp;'BDG Intensity'!C111&amp;" "&amp;'BDG Intensity'!D111&amp;" "&amp;'BDG Intensity'!E111&amp;" "&amp;"EUE"</f>
        <v/>
      </c>
      <c r="E260">
        <f>'BDG Intensity'!G111</f>
        <v/>
      </c>
    </row>
    <row r="261">
      <c r="B261" t="inlineStr">
        <is>
          <t>NRG</t>
        </is>
      </c>
      <c r="C261">
        <f>'BDG Intensity'!F112&amp;"EUE"</f>
        <v/>
      </c>
      <c r="D261">
        <f>'BDG Intensity'!A112&amp;" "&amp;'BDG Intensity'!B112&amp;" "&amp;'BDG Intensity'!C112&amp;" "&amp;'BDG Intensity'!D112&amp;" "&amp;'BDG Intensity'!E112&amp;" "&amp;"EUE"</f>
        <v/>
      </c>
      <c r="E261">
        <f>'BDG Intensity'!G112</f>
        <v/>
      </c>
    </row>
    <row r="262">
      <c r="B262" t="inlineStr">
        <is>
          <t>NRG</t>
        </is>
      </c>
      <c r="C262">
        <f>'BDG Intensity'!F113&amp;"EUE"</f>
        <v/>
      </c>
      <c r="D262">
        <f>'BDG Intensity'!A113&amp;" "&amp;'BDG Intensity'!B113&amp;" "&amp;'BDG Intensity'!C113&amp;" "&amp;'BDG Intensity'!D113&amp;" "&amp;'BDG Intensity'!E113&amp;" "&amp;"EUE"</f>
        <v/>
      </c>
      <c r="E262">
        <f>'BDG Intensity'!G113</f>
        <v/>
      </c>
    </row>
    <row r="263">
      <c r="B263" t="inlineStr">
        <is>
          <t>NRG</t>
        </is>
      </c>
      <c r="C263">
        <f>'BDG Intensity'!F114&amp;"EUE"</f>
        <v/>
      </c>
      <c r="D263">
        <f>'BDG Intensity'!A114&amp;" "&amp;'BDG Intensity'!B114&amp;" "&amp;'BDG Intensity'!C114&amp;" "&amp;'BDG Intensity'!D114&amp;" "&amp;'BDG Intensity'!E114&amp;" "&amp;"EUE"</f>
        <v/>
      </c>
      <c r="E263">
        <f>'BDG Intensity'!G114</f>
        <v/>
      </c>
    </row>
    <row r="264">
      <c r="B264" t="inlineStr">
        <is>
          <t>NRG</t>
        </is>
      </c>
      <c r="C264">
        <f>'BDG Intensity'!F115&amp;"EUE"</f>
        <v/>
      </c>
      <c r="D264">
        <f>'BDG Intensity'!A115&amp;" "&amp;'BDG Intensity'!B115&amp;" "&amp;'BDG Intensity'!C115&amp;" "&amp;'BDG Intensity'!D115&amp;" "&amp;'BDG Intensity'!E115&amp;" "&amp;"EUE"</f>
        <v/>
      </c>
      <c r="E264">
        <f>'BDG Intensity'!G115</f>
        <v/>
      </c>
    </row>
    <row r="265">
      <c r="B265" t="inlineStr">
        <is>
          <t>NRG</t>
        </is>
      </c>
      <c r="C265">
        <f>'BDG Intensity'!F116&amp;"EUE"</f>
        <v/>
      </c>
      <c r="D265">
        <f>'BDG Intensity'!A116&amp;" "&amp;'BDG Intensity'!B116&amp;" "&amp;'BDG Intensity'!C116&amp;" "&amp;'BDG Intensity'!D116&amp;" "&amp;'BDG Intensity'!E116&amp;" "&amp;"EUE"</f>
        <v/>
      </c>
      <c r="E265">
        <f>'BDG Intensity'!G116</f>
        <v/>
      </c>
    </row>
    <row r="266">
      <c r="B266" t="inlineStr">
        <is>
          <t>NRG</t>
        </is>
      </c>
      <c r="C266">
        <f>'BDG Intensity'!F117&amp;"EUE"</f>
        <v/>
      </c>
      <c r="D266">
        <f>'BDG Intensity'!A117&amp;" "&amp;'BDG Intensity'!B117&amp;" "&amp;'BDG Intensity'!C117&amp;" "&amp;'BDG Intensity'!D117&amp;" "&amp;'BDG Intensity'!E117&amp;" "&amp;"EUE"</f>
        <v/>
      </c>
      <c r="E266">
        <f>'BDG Intensity'!G117</f>
        <v/>
      </c>
    </row>
    <row r="267">
      <c r="B267" t="inlineStr">
        <is>
          <t>NRG</t>
        </is>
      </c>
      <c r="C267">
        <f>'BDG Intensity'!F118&amp;"EUE"</f>
        <v/>
      </c>
      <c r="D267">
        <f>'BDG Intensity'!A118&amp;" "&amp;'BDG Intensity'!B118&amp;" "&amp;'BDG Intensity'!C118&amp;" "&amp;'BDG Intensity'!D118&amp;" "&amp;'BDG Intensity'!E118&amp;" "&amp;"EUE"</f>
        <v/>
      </c>
      <c r="E267">
        <f>'BDG Intensity'!G118</f>
        <v/>
      </c>
    </row>
    <row r="268">
      <c r="B268" t="inlineStr">
        <is>
          <t>NRG</t>
        </is>
      </c>
      <c r="C268">
        <f>'BDG Intensity'!F119&amp;"EUE"</f>
        <v/>
      </c>
      <c r="D268">
        <f>'BDG Intensity'!A119&amp;" "&amp;'BDG Intensity'!B119&amp;" "&amp;'BDG Intensity'!C119&amp;" "&amp;'BDG Intensity'!D119&amp;" "&amp;'BDG Intensity'!E119&amp;" "&amp;"EUE"</f>
        <v/>
      </c>
      <c r="E268">
        <f>'BDG Intensity'!G119</f>
        <v/>
      </c>
    </row>
    <row r="269">
      <c r="B269" t="inlineStr">
        <is>
          <t>NRG</t>
        </is>
      </c>
      <c r="C269">
        <f>'BDG Intensity'!F120&amp;"EUE"</f>
        <v/>
      </c>
      <c r="D269">
        <f>'BDG Intensity'!A120&amp;" "&amp;'BDG Intensity'!B120&amp;" "&amp;'BDG Intensity'!C120&amp;" "&amp;'BDG Intensity'!D120&amp;" "&amp;'BDG Intensity'!E120&amp;" "&amp;"EUE"</f>
        <v/>
      </c>
      <c r="E269">
        <f>'BDG Intensity'!G120</f>
        <v/>
      </c>
    </row>
    <row r="270">
      <c r="B270" t="inlineStr">
        <is>
          <t>NRG</t>
        </is>
      </c>
      <c r="C270">
        <f>'BDG Intensity'!F121&amp;"EUE"</f>
        <v/>
      </c>
      <c r="D270">
        <f>'BDG Intensity'!A121&amp;" "&amp;'BDG Intensity'!B121&amp;" "&amp;'BDG Intensity'!C121&amp;" "&amp;'BDG Intensity'!D121&amp;" "&amp;'BDG Intensity'!E121&amp;" "&amp;"EUE"</f>
        <v/>
      </c>
      <c r="E270">
        <f>'BDG Intensity'!G121</f>
        <v/>
      </c>
    </row>
    <row r="271">
      <c r="B271" t="inlineStr">
        <is>
          <t>NRG</t>
        </is>
      </c>
      <c r="C271">
        <f>'BDG Intensity'!F122&amp;"EUE"</f>
        <v/>
      </c>
      <c r="D271">
        <f>'BDG Intensity'!A122&amp;" "&amp;'BDG Intensity'!B122&amp;" "&amp;'BDG Intensity'!C122&amp;" "&amp;'BDG Intensity'!D122&amp;" "&amp;'BDG Intensity'!E122&amp;" "&amp;"EUE"</f>
        <v/>
      </c>
      <c r="E271">
        <f>'BDG Intensity'!G122</f>
        <v/>
      </c>
    </row>
    <row r="272">
      <c r="B272" t="inlineStr">
        <is>
          <t>NRG</t>
        </is>
      </c>
      <c r="C272">
        <f>'BDG Intensity'!F123&amp;"EUE"</f>
        <v/>
      </c>
      <c r="D272">
        <f>'BDG Intensity'!A123&amp;" "&amp;'BDG Intensity'!B123&amp;" "&amp;'BDG Intensity'!C123&amp;" "&amp;'BDG Intensity'!D123&amp;" "&amp;'BDG Intensity'!E123&amp;" "&amp;"EUE"</f>
        <v/>
      </c>
      <c r="E272">
        <f>'BDG Intensity'!G123</f>
        <v/>
      </c>
    </row>
    <row r="273">
      <c r="B273" t="inlineStr">
        <is>
          <t>NRG</t>
        </is>
      </c>
      <c r="C273">
        <f>'BDG Intensity'!F124&amp;"EUE"</f>
        <v/>
      </c>
      <c r="D273">
        <f>'BDG Intensity'!A124&amp;" "&amp;'BDG Intensity'!B124&amp;" "&amp;'BDG Intensity'!C124&amp;" "&amp;'BDG Intensity'!D124&amp;" "&amp;'BDG Intensity'!E124&amp;" "&amp;"EUE"</f>
        <v/>
      </c>
      <c r="E273">
        <f>'BDG Intensity'!G124</f>
        <v/>
      </c>
    </row>
    <row r="274">
      <c r="B274" t="inlineStr">
        <is>
          <t>NRG</t>
        </is>
      </c>
      <c r="C274">
        <f>'BDG Intensity'!F125&amp;"EUE"</f>
        <v/>
      </c>
      <c r="D274">
        <f>'BDG Intensity'!A125&amp;" "&amp;'BDG Intensity'!B125&amp;" "&amp;'BDG Intensity'!C125&amp;" "&amp;'BDG Intensity'!D125&amp;" "&amp;'BDG Intensity'!E125&amp;" "&amp;"EUE"</f>
        <v/>
      </c>
      <c r="E274">
        <f>'BDG Intensity'!G125</f>
        <v/>
      </c>
    </row>
    <row r="275">
      <c r="B275" t="inlineStr">
        <is>
          <t>NRG</t>
        </is>
      </c>
      <c r="C275">
        <f>'BDG Intensity'!F126&amp;"EUE"</f>
        <v/>
      </c>
      <c r="D275">
        <f>'BDG Intensity'!A126&amp;" "&amp;'BDG Intensity'!B126&amp;" "&amp;'BDG Intensity'!C126&amp;" "&amp;'BDG Intensity'!D126&amp;" "&amp;'BDG Intensity'!E126&amp;" "&amp;"EUE"</f>
        <v/>
      </c>
      <c r="E275">
        <f>'BDG Intensity'!G126</f>
        <v/>
      </c>
    </row>
    <row r="276">
      <c r="B276" t="inlineStr">
        <is>
          <t>NRG</t>
        </is>
      </c>
      <c r="C276">
        <f>'BDG Intensity'!F127&amp;"EUE"</f>
        <v/>
      </c>
      <c r="D276">
        <f>'BDG Intensity'!A127&amp;" "&amp;'BDG Intensity'!B127&amp;" "&amp;'BDG Intensity'!C127&amp;" "&amp;'BDG Intensity'!D127&amp;" "&amp;'BDG Intensity'!E127&amp;" "&amp;"EUE"</f>
        <v/>
      </c>
      <c r="E276">
        <f>'BDG Intensity'!G127</f>
        <v/>
      </c>
    </row>
    <row r="277">
      <c r="B277" t="inlineStr">
        <is>
          <t>NRG</t>
        </is>
      </c>
      <c r="C277">
        <f>'BDG Intensity'!F128&amp;"EUE"</f>
        <v/>
      </c>
      <c r="D277">
        <f>'BDG Intensity'!A128&amp;" "&amp;'BDG Intensity'!B128&amp;" "&amp;'BDG Intensity'!C128&amp;" "&amp;'BDG Intensity'!D128&amp;" "&amp;'BDG Intensity'!E128&amp;" "&amp;"EUE"</f>
        <v/>
      </c>
      <c r="E277">
        <f>'BDG Intensity'!G128</f>
        <v/>
      </c>
    </row>
    <row r="278">
      <c r="B278" t="inlineStr">
        <is>
          <t>NRG</t>
        </is>
      </c>
      <c r="C278">
        <f>'BDG Intensity'!F129&amp;"EUE"</f>
        <v/>
      </c>
      <c r="D278">
        <f>'BDG Intensity'!A129&amp;" "&amp;'BDG Intensity'!B129&amp;" "&amp;'BDG Intensity'!C129&amp;" "&amp;'BDG Intensity'!D129&amp;" "&amp;'BDG Intensity'!E129&amp;" "&amp;"EUE"</f>
        <v/>
      </c>
      <c r="E278">
        <f>'BDG Intensity'!G129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M123"/>
  <sheetViews>
    <sheetView workbookViewId="0">
      <selection activeCell="F5" sqref="F5"/>
    </sheetView>
  </sheetViews>
  <sheetFormatPr baseColWidth="8" defaultRowHeight="15"/>
  <cols>
    <col width="23" bestFit="1" customWidth="1" min="2" max="2"/>
    <col width="20" bestFit="1" customWidth="1" min="3" max="3"/>
    <col width="20.42578125" bestFit="1" customWidth="1" min="4" max="4"/>
    <col width="14.7109375" customWidth="1" min="5" max="5"/>
    <col width="16.7109375" bestFit="1" customWidth="1" min="6" max="6"/>
    <col width="14.7109375" bestFit="1" customWidth="1" min="9" max="9"/>
    <col width="16.85546875" bestFit="1" customWidth="1" min="10" max="10"/>
    <col width="19.7109375" bestFit="1" customWidth="1" min="11" max="11"/>
    <col width="19" bestFit="1" customWidth="1" min="12" max="12"/>
    <col width="8.28515625" bestFit="1" customWidth="1" min="13" max="13"/>
  </cols>
  <sheetData>
    <row r="3">
      <c r="D3" s="9" t="inlineStr">
        <is>
          <t>~FI_T</t>
        </is>
      </c>
      <c r="E3" s="9" t="n"/>
      <c r="K3" s="9" t="inlineStr">
        <is>
          <t>~FI_T</t>
        </is>
      </c>
      <c r="L3" s="9" t="n"/>
    </row>
    <row r="4">
      <c r="B4" s="10" t="inlineStr">
        <is>
          <t>TechName</t>
        </is>
      </c>
      <c r="C4" s="10" t="inlineStr">
        <is>
          <t>Comm-IN</t>
        </is>
      </c>
      <c r="D4" s="10" t="inlineStr">
        <is>
          <t>Comm-OUT</t>
        </is>
      </c>
      <c r="E4" s="10" t="inlineStr">
        <is>
          <t>Attribute</t>
        </is>
      </c>
      <c r="F4" s="10" t="inlineStr">
        <is>
          <t>CITY</t>
        </is>
      </c>
      <c r="I4" s="10" t="inlineStr">
        <is>
          <t>TechName</t>
        </is>
      </c>
      <c r="J4" s="10" t="inlineStr">
        <is>
          <t>Comm-IN</t>
        </is>
      </c>
      <c r="K4" s="10" t="inlineStr">
        <is>
          <t>Comm-OUT</t>
        </is>
      </c>
      <c r="L4" s="10" t="inlineStr">
        <is>
          <t>Attribute</t>
        </is>
      </c>
      <c r="M4" s="10" t="inlineStr">
        <is>
          <t>CITY</t>
        </is>
      </c>
    </row>
    <row r="5" ht="27.6" customHeight="1" thickBot="1">
      <c r="B5" s="11" t="inlineStr">
        <is>
          <t>*</t>
        </is>
      </c>
      <c r="C5" s="11" t="n"/>
      <c r="D5" s="11" t="n"/>
      <c r="E5" s="11" t="n"/>
      <c r="F5" s="11" t="inlineStr">
        <is>
          <t>MM2 In / MM2 Out</t>
        </is>
      </c>
      <c r="I5" s="11" t="inlineStr">
        <is>
          <t>*</t>
        </is>
      </c>
      <c r="J5" s="11" t="n"/>
      <c r="K5" s="11" t="n"/>
      <c r="L5" s="11" t="n"/>
      <c r="M5" s="11" t="inlineStr">
        <is>
          <t>MM2 In / MM2 Out</t>
        </is>
      </c>
    </row>
    <row r="6">
      <c r="B6">
        <f>Def_Tech!D5</f>
        <v/>
      </c>
      <c r="C6">
        <f>Def_Comm!C22</f>
        <v/>
      </c>
      <c r="D6">
        <f>Def_Comm!C5</f>
        <v/>
      </c>
      <c r="E6" t="inlineStr">
        <is>
          <t>Input</t>
        </is>
      </c>
      <c r="F6" s="12" t="n">
        <v>1</v>
      </c>
      <c r="I6">
        <f>Def_Tech!D13</f>
        <v/>
      </c>
      <c r="J6">
        <f>Def_Comm!C86</f>
        <v/>
      </c>
      <c r="K6">
        <f>Def_Comm!C13</f>
        <v/>
      </c>
      <c r="L6" t="inlineStr">
        <is>
          <t>Input</t>
        </is>
      </c>
      <c r="M6" s="12" t="n">
        <v>1</v>
      </c>
    </row>
    <row r="7">
      <c r="B7">
        <f>Def_Tech!D6</f>
        <v/>
      </c>
      <c r="C7">
        <f>Def_Comm!C23</f>
        <v/>
      </c>
      <c r="D7">
        <f>Def_Comm!C6</f>
        <v/>
      </c>
      <c r="E7" t="inlineStr">
        <is>
          <t>Input</t>
        </is>
      </c>
      <c r="F7" s="12" t="n">
        <v>1</v>
      </c>
      <c r="I7">
        <f>Def_Tech!D14</f>
        <v/>
      </c>
      <c r="J7">
        <f>Def_Comm!C87</f>
        <v/>
      </c>
      <c r="K7">
        <f>Def_Comm!C14</f>
        <v/>
      </c>
      <c r="L7" t="inlineStr">
        <is>
          <t>Input</t>
        </is>
      </c>
      <c r="M7" s="12" t="n">
        <v>1</v>
      </c>
    </row>
    <row r="8">
      <c r="B8">
        <f>Def_Tech!D7</f>
        <v/>
      </c>
      <c r="C8">
        <f>Def_Comm!C24</f>
        <v/>
      </c>
      <c r="D8">
        <f>Def_Comm!C7</f>
        <v/>
      </c>
      <c r="E8" t="inlineStr">
        <is>
          <t>Input</t>
        </is>
      </c>
      <c r="F8" s="12" t="n">
        <v>1</v>
      </c>
      <c r="I8">
        <f>Def_Tech!D15</f>
        <v/>
      </c>
      <c r="J8">
        <f>Def_Comm!C88</f>
        <v/>
      </c>
      <c r="K8">
        <f>Def_Comm!C15</f>
        <v/>
      </c>
      <c r="L8" t="inlineStr">
        <is>
          <t>Input</t>
        </is>
      </c>
      <c r="M8" s="12" t="n">
        <v>1</v>
      </c>
    </row>
    <row r="9">
      <c r="B9">
        <f>Def_Tech!D8</f>
        <v/>
      </c>
      <c r="C9">
        <f>Def_Comm!C25</f>
        <v/>
      </c>
      <c r="D9">
        <f>Def_Comm!C8</f>
        <v/>
      </c>
      <c r="E9" t="inlineStr">
        <is>
          <t>Input</t>
        </is>
      </c>
      <c r="F9" s="12" t="n">
        <v>1</v>
      </c>
      <c r="I9">
        <f>Def_Tech!D16</f>
        <v/>
      </c>
      <c r="J9">
        <f>Def_Comm!C89</f>
        <v/>
      </c>
      <c r="K9">
        <f>Def_Comm!C16</f>
        <v/>
      </c>
      <c r="L9" t="inlineStr">
        <is>
          <t>Input</t>
        </is>
      </c>
      <c r="M9" s="12" t="n">
        <v>1</v>
      </c>
    </row>
    <row r="10">
      <c r="B10">
        <f>Def_Tech!D9</f>
        <v/>
      </c>
      <c r="C10">
        <f>Def_Comm!C26</f>
        <v/>
      </c>
      <c r="D10">
        <f>Def_Comm!C9</f>
        <v/>
      </c>
      <c r="E10" t="inlineStr">
        <is>
          <t>Input</t>
        </is>
      </c>
      <c r="F10" s="12" t="n">
        <v>1</v>
      </c>
      <c r="I10">
        <f>Def_Tech!D17</f>
        <v/>
      </c>
      <c r="J10">
        <f>Def_Comm!C90</f>
        <v/>
      </c>
      <c r="K10">
        <f>Def_Comm!C17</f>
        <v/>
      </c>
      <c r="L10" t="inlineStr">
        <is>
          <t>Input</t>
        </is>
      </c>
      <c r="M10" s="12" t="n">
        <v>1</v>
      </c>
    </row>
    <row r="11">
      <c r="B11">
        <f>Def_Tech!D10</f>
        <v/>
      </c>
      <c r="C11">
        <f>Def_Comm!C27</f>
        <v/>
      </c>
      <c r="D11">
        <f>Def_Comm!C10</f>
        <v/>
      </c>
      <c r="E11" t="inlineStr">
        <is>
          <t>Input</t>
        </is>
      </c>
      <c r="F11" s="12" t="n">
        <v>1</v>
      </c>
      <c r="I11">
        <f>Def_Tech!D18</f>
        <v/>
      </c>
      <c r="J11">
        <f>Def_Comm!C91</f>
        <v/>
      </c>
      <c r="K11">
        <f>Def_Comm!C18</f>
        <v/>
      </c>
      <c r="L11" t="inlineStr">
        <is>
          <t>Input</t>
        </is>
      </c>
      <c r="M11" s="12" t="n">
        <v>1</v>
      </c>
    </row>
    <row r="12">
      <c r="B12">
        <f>Def_Tech!D11</f>
        <v/>
      </c>
      <c r="C12">
        <f>Def_Comm!C28</f>
        <v/>
      </c>
      <c r="D12">
        <f>Def_Comm!C11</f>
        <v/>
      </c>
      <c r="E12" t="inlineStr">
        <is>
          <t>Input</t>
        </is>
      </c>
      <c r="F12" s="12" t="n">
        <v>1</v>
      </c>
      <c r="I12">
        <f>Def_Tech!D19</f>
        <v/>
      </c>
      <c r="J12">
        <f>Def_Comm!C92</f>
        <v/>
      </c>
      <c r="K12">
        <f>Def_Comm!C19</f>
        <v/>
      </c>
      <c r="L12" t="inlineStr">
        <is>
          <t>Input</t>
        </is>
      </c>
      <c r="M12" s="12" t="n">
        <v>1</v>
      </c>
    </row>
    <row r="13">
      <c r="B13">
        <f>Def_Tech!D12</f>
        <v/>
      </c>
      <c r="C13">
        <f>Def_Comm!C29</f>
        <v/>
      </c>
      <c r="D13">
        <f>Def_Comm!C12</f>
        <v/>
      </c>
      <c r="E13" t="inlineStr">
        <is>
          <t>Input</t>
        </is>
      </c>
      <c r="F13" s="12" t="n">
        <v>1</v>
      </c>
      <c r="I13">
        <f>Def_Tech!D20</f>
        <v/>
      </c>
      <c r="J13">
        <f>Def_Comm!C93</f>
        <v/>
      </c>
      <c r="K13">
        <f>Def_Comm!C20</f>
        <v/>
      </c>
      <c r="L13" t="inlineStr">
        <is>
          <t>Input</t>
        </is>
      </c>
      <c r="M13" s="12" t="n">
        <v>1</v>
      </c>
    </row>
    <row r="14">
      <c r="B14">
        <f>B6</f>
        <v/>
      </c>
      <c r="C14">
        <f>Def_Comm!C30</f>
        <v/>
      </c>
      <c r="D14">
        <f>D6</f>
        <v/>
      </c>
      <c r="E14" t="inlineStr">
        <is>
          <t>Input</t>
        </is>
      </c>
      <c r="F14" s="12" t="n">
        <v>1</v>
      </c>
      <c r="I14">
        <f>I6</f>
        <v/>
      </c>
      <c r="J14">
        <f>Def_Comm!C94</f>
        <v/>
      </c>
      <c r="K14">
        <f>K6</f>
        <v/>
      </c>
      <c r="L14" t="inlineStr">
        <is>
          <t>Input</t>
        </is>
      </c>
      <c r="M14" s="12" t="n">
        <v>1</v>
      </c>
    </row>
    <row r="15">
      <c r="B15">
        <f>B7</f>
        <v/>
      </c>
      <c r="C15">
        <f>Def_Comm!C31</f>
        <v/>
      </c>
      <c r="D15">
        <f>D7</f>
        <v/>
      </c>
      <c r="E15" t="inlineStr">
        <is>
          <t>Input</t>
        </is>
      </c>
      <c r="F15" s="12" t="n">
        <v>1</v>
      </c>
      <c r="I15">
        <f>I7</f>
        <v/>
      </c>
      <c r="J15">
        <f>Def_Comm!C95</f>
        <v/>
      </c>
      <c r="K15">
        <f>K7</f>
        <v/>
      </c>
      <c r="L15" t="inlineStr">
        <is>
          <t>Input</t>
        </is>
      </c>
      <c r="M15" s="12" t="n">
        <v>1</v>
      </c>
    </row>
    <row r="16">
      <c r="B16">
        <f>B8</f>
        <v/>
      </c>
      <c r="C16">
        <f>Def_Comm!C32</f>
        <v/>
      </c>
      <c r="D16">
        <f>D8</f>
        <v/>
      </c>
      <c r="E16" t="inlineStr">
        <is>
          <t>Input</t>
        </is>
      </c>
      <c r="F16" s="12" t="n">
        <v>1</v>
      </c>
      <c r="I16">
        <f>I8</f>
        <v/>
      </c>
      <c r="J16">
        <f>Def_Comm!C96</f>
        <v/>
      </c>
      <c r="K16">
        <f>K8</f>
        <v/>
      </c>
      <c r="L16" t="inlineStr">
        <is>
          <t>Input</t>
        </is>
      </c>
      <c r="M16" s="12" t="n">
        <v>1</v>
      </c>
    </row>
    <row r="17">
      <c r="B17">
        <f>B9</f>
        <v/>
      </c>
      <c r="C17">
        <f>Def_Comm!C33</f>
        <v/>
      </c>
      <c r="D17">
        <f>D9</f>
        <v/>
      </c>
      <c r="E17" t="inlineStr">
        <is>
          <t>Input</t>
        </is>
      </c>
      <c r="F17" s="12" t="n">
        <v>1</v>
      </c>
      <c r="I17">
        <f>I9</f>
        <v/>
      </c>
      <c r="J17">
        <f>Def_Comm!C97</f>
        <v/>
      </c>
      <c r="K17">
        <f>K9</f>
        <v/>
      </c>
      <c r="L17" t="inlineStr">
        <is>
          <t>Input</t>
        </is>
      </c>
      <c r="M17" s="12" t="n">
        <v>1</v>
      </c>
    </row>
    <row r="18">
      <c r="B18">
        <f>B10</f>
        <v/>
      </c>
      <c r="C18">
        <f>Def_Comm!C34</f>
        <v/>
      </c>
      <c r="D18">
        <f>D10</f>
        <v/>
      </c>
      <c r="E18" t="inlineStr">
        <is>
          <t>Input</t>
        </is>
      </c>
      <c r="F18" s="12" t="n">
        <v>1</v>
      </c>
      <c r="I18">
        <f>I10</f>
        <v/>
      </c>
      <c r="J18">
        <f>Def_Comm!C98</f>
        <v/>
      </c>
      <c r="K18">
        <f>K10</f>
        <v/>
      </c>
      <c r="L18" t="inlineStr">
        <is>
          <t>Input</t>
        </is>
      </c>
      <c r="M18" s="12" t="n">
        <v>1</v>
      </c>
    </row>
    <row r="19">
      <c r="B19">
        <f>B11</f>
        <v/>
      </c>
      <c r="C19">
        <f>Def_Comm!C35</f>
        <v/>
      </c>
      <c r="D19">
        <f>D11</f>
        <v/>
      </c>
      <c r="E19" t="inlineStr">
        <is>
          <t>Input</t>
        </is>
      </c>
      <c r="F19" s="12" t="n">
        <v>1</v>
      </c>
      <c r="I19">
        <f>I11</f>
        <v/>
      </c>
      <c r="J19">
        <f>Def_Comm!C99</f>
        <v/>
      </c>
      <c r="K19">
        <f>K11</f>
        <v/>
      </c>
      <c r="L19" t="inlineStr">
        <is>
          <t>Input</t>
        </is>
      </c>
      <c r="M19" s="12" t="n">
        <v>1</v>
      </c>
    </row>
    <row r="20">
      <c r="B20">
        <f>B12</f>
        <v/>
      </c>
      <c r="C20">
        <f>Def_Comm!C36</f>
        <v/>
      </c>
      <c r="D20">
        <f>D12</f>
        <v/>
      </c>
      <c r="E20" t="inlineStr">
        <is>
          <t>Input</t>
        </is>
      </c>
      <c r="F20" s="12" t="n">
        <v>1</v>
      </c>
      <c r="I20">
        <f>I12</f>
        <v/>
      </c>
      <c r="J20">
        <f>Def_Comm!C100</f>
        <v/>
      </c>
      <c r="K20">
        <f>K12</f>
        <v/>
      </c>
      <c r="L20" t="inlineStr">
        <is>
          <t>Input</t>
        </is>
      </c>
      <c r="M20" s="12" t="n">
        <v>1</v>
      </c>
    </row>
    <row r="21">
      <c r="B21">
        <f>B13</f>
        <v/>
      </c>
      <c r="C21">
        <f>Def_Comm!C37</f>
        <v/>
      </c>
      <c r="D21">
        <f>D13</f>
        <v/>
      </c>
      <c r="E21" t="inlineStr">
        <is>
          <t>Input</t>
        </is>
      </c>
      <c r="F21" s="12" t="n">
        <v>1</v>
      </c>
      <c r="I21">
        <f>I13</f>
        <v/>
      </c>
      <c r="J21">
        <f>Def_Comm!C101</f>
        <v/>
      </c>
      <c r="K21">
        <f>K13</f>
        <v/>
      </c>
      <c r="L21" t="inlineStr">
        <is>
          <t>Input</t>
        </is>
      </c>
      <c r="M21" s="12" t="n">
        <v>1</v>
      </c>
    </row>
    <row r="22">
      <c r="B22">
        <f>B14</f>
        <v/>
      </c>
      <c r="C22">
        <f>Def_Comm!C38</f>
        <v/>
      </c>
      <c r="D22">
        <f>D14</f>
        <v/>
      </c>
      <c r="E22" t="inlineStr">
        <is>
          <t>Input</t>
        </is>
      </c>
      <c r="F22" s="12" t="n">
        <v>1</v>
      </c>
      <c r="I22">
        <f>I14</f>
        <v/>
      </c>
      <c r="J22">
        <f>Def_Comm!C102</f>
        <v/>
      </c>
      <c r="K22">
        <f>K14</f>
        <v/>
      </c>
      <c r="L22" t="inlineStr">
        <is>
          <t>Input</t>
        </is>
      </c>
      <c r="M22" s="12" t="n">
        <v>1</v>
      </c>
    </row>
    <row r="23">
      <c r="B23">
        <f>B15</f>
        <v/>
      </c>
      <c r="C23">
        <f>Def_Comm!C39</f>
        <v/>
      </c>
      <c r="D23">
        <f>D15</f>
        <v/>
      </c>
      <c r="E23" t="inlineStr">
        <is>
          <t>Input</t>
        </is>
      </c>
      <c r="F23" s="12" t="n">
        <v>1</v>
      </c>
      <c r="I23">
        <f>I15</f>
        <v/>
      </c>
      <c r="J23">
        <f>Def_Comm!C103</f>
        <v/>
      </c>
      <c r="K23">
        <f>K15</f>
        <v/>
      </c>
      <c r="L23" t="inlineStr">
        <is>
          <t>Input</t>
        </is>
      </c>
      <c r="M23" s="12" t="n">
        <v>1</v>
      </c>
    </row>
    <row r="24">
      <c r="B24">
        <f>B16</f>
        <v/>
      </c>
      <c r="C24">
        <f>Def_Comm!C40</f>
        <v/>
      </c>
      <c r="D24">
        <f>D16</f>
        <v/>
      </c>
      <c r="E24" t="inlineStr">
        <is>
          <t>Input</t>
        </is>
      </c>
      <c r="F24" s="12" t="n">
        <v>1</v>
      </c>
      <c r="I24">
        <f>I16</f>
        <v/>
      </c>
      <c r="J24">
        <f>Def_Comm!C104</f>
        <v/>
      </c>
      <c r="K24">
        <f>K16</f>
        <v/>
      </c>
      <c r="L24" t="inlineStr">
        <is>
          <t>Input</t>
        </is>
      </c>
      <c r="M24" s="12" t="n">
        <v>1</v>
      </c>
    </row>
    <row r="25">
      <c r="B25">
        <f>B17</f>
        <v/>
      </c>
      <c r="C25">
        <f>Def_Comm!C41</f>
        <v/>
      </c>
      <c r="D25">
        <f>D17</f>
        <v/>
      </c>
      <c r="E25" t="inlineStr">
        <is>
          <t>Input</t>
        </is>
      </c>
      <c r="F25" s="12" t="n">
        <v>1</v>
      </c>
      <c r="I25">
        <f>I17</f>
        <v/>
      </c>
      <c r="J25">
        <f>Def_Comm!C105</f>
        <v/>
      </c>
      <c r="K25">
        <f>K17</f>
        <v/>
      </c>
      <c r="L25" t="inlineStr">
        <is>
          <t>Input</t>
        </is>
      </c>
      <c r="M25" s="12" t="n">
        <v>1</v>
      </c>
    </row>
    <row r="26">
      <c r="B26">
        <f>B18</f>
        <v/>
      </c>
      <c r="C26">
        <f>Def_Comm!C42</f>
        <v/>
      </c>
      <c r="D26">
        <f>D18</f>
        <v/>
      </c>
      <c r="E26" t="inlineStr">
        <is>
          <t>Input</t>
        </is>
      </c>
      <c r="F26" s="12" t="n">
        <v>1</v>
      </c>
      <c r="I26">
        <f>I18</f>
        <v/>
      </c>
      <c r="J26">
        <f>Def_Comm!C106</f>
        <v/>
      </c>
      <c r="K26">
        <f>K18</f>
        <v/>
      </c>
      <c r="L26" t="inlineStr">
        <is>
          <t>Input</t>
        </is>
      </c>
      <c r="M26" s="12" t="n">
        <v>1</v>
      </c>
    </row>
    <row r="27">
      <c r="B27">
        <f>B19</f>
        <v/>
      </c>
      <c r="C27">
        <f>Def_Comm!C43</f>
        <v/>
      </c>
      <c r="D27">
        <f>D19</f>
        <v/>
      </c>
      <c r="E27" t="inlineStr">
        <is>
          <t>Input</t>
        </is>
      </c>
      <c r="F27" s="12" t="n">
        <v>1</v>
      </c>
      <c r="I27">
        <f>I19</f>
        <v/>
      </c>
      <c r="J27">
        <f>Def_Comm!C107</f>
        <v/>
      </c>
      <c r="K27">
        <f>K19</f>
        <v/>
      </c>
      <c r="L27" t="inlineStr">
        <is>
          <t>Input</t>
        </is>
      </c>
      <c r="M27" s="12" t="n">
        <v>1</v>
      </c>
    </row>
    <row r="28">
      <c r="B28">
        <f>B20</f>
        <v/>
      </c>
      <c r="C28">
        <f>Def_Comm!C44</f>
        <v/>
      </c>
      <c r="D28">
        <f>D20</f>
        <v/>
      </c>
      <c r="E28" t="inlineStr">
        <is>
          <t>Input</t>
        </is>
      </c>
      <c r="F28" s="12" t="n">
        <v>1</v>
      </c>
      <c r="I28">
        <f>I20</f>
        <v/>
      </c>
      <c r="J28">
        <f>Def_Comm!C108</f>
        <v/>
      </c>
      <c r="K28">
        <f>K20</f>
        <v/>
      </c>
      <c r="L28" t="inlineStr">
        <is>
          <t>Input</t>
        </is>
      </c>
      <c r="M28" s="12" t="n">
        <v>1</v>
      </c>
    </row>
    <row r="29">
      <c r="B29">
        <f>B21</f>
        <v/>
      </c>
      <c r="C29">
        <f>Def_Comm!C45</f>
        <v/>
      </c>
      <c r="D29">
        <f>D21</f>
        <v/>
      </c>
      <c r="E29" t="inlineStr">
        <is>
          <t>Input</t>
        </is>
      </c>
      <c r="F29" s="12" t="n">
        <v>1</v>
      </c>
      <c r="I29">
        <f>I21</f>
        <v/>
      </c>
      <c r="J29">
        <f>Def_Comm!C109</f>
        <v/>
      </c>
      <c r="K29">
        <f>K21</f>
        <v/>
      </c>
      <c r="L29" t="inlineStr">
        <is>
          <t>Input</t>
        </is>
      </c>
      <c r="M29" s="12" t="n">
        <v>1</v>
      </c>
    </row>
    <row r="30">
      <c r="B30">
        <f>B22</f>
        <v/>
      </c>
      <c r="C30">
        <f>Def_Comm!C46</f>
        <v/>
      </c>
      <c r="D30">
        <f>D22</f>
        <v/>
      </c>
      <c r="E30" t="inlineStr">
        <is>
          <t>Input</t>
        </is>
      </c>
      <c r="F30" s="12" t="n">
        <v>1</v>
      </c>
      <c r="I30">
        <f>I22</f>
        <v/>
      </c>
      <c r="J30">
        <f>Def_Comm!C110</f>
        <v/>
      </c>
      <c r="K30">
        <f>K22</f>
        <v/>
      </c>
      <c r="L30" t="inlineStr">
        <is>
          <t>Input</t>
        </is>
      </c>
      <c r="M30" s="12" t="n">
        <v>1</v>
      </c>
    </row>
    <row r="31">
      <c r="B31">
        <f>B23</f>
        <v/>
      </c>
      <c r="C31">
        <f>Def_Comm!C47</f>
        <v/>
      </c>
      <c r="D31">
        <f>D23</f>
        <v/>
      </c>
      <c r="E31" t="inlineStr">
        <is>
          <t>Input</t>
        </is>
      </c>
      <c r="F31" s="12" t="n">
        <v>1</v>
      </c>
      <c r="I31">
        <f>I23</f>
        <v/>
      </c>
      <c r="J31">
        <f>Def_Comm!C111</f>
        <v/>
      </c>
      <c r="K31">
        <f>K23</f>
        <v/>
      </c>
      <c r="L31" t="inlineStr">
        <is>
          <t>Input</t>
        </is>
      </c>
      <c r="M31" s="12" t="n">
        <v>1</v>
      </c>
    </row>
    <row r="32">
      <c r="B32">
        <f>B24</f>
        <v/>
      </c>
      <c r="C32">
        <f>Def_Comm!C48</f>
        <v/>
      </c>
      <c r="D32">
        <f>D24</f>
        <v/>
      </c>
      <c r="E32" t="inlineStr">
        <is>
          <t>Input</t>
        </is>
      </c>
      <c r="F32" s="12" t="n">
        <v>1</v>
      </c>
      <c r="I32">
        <f>I24</f>
        <v/>
      </c>
      <c r="J32">
        <f>Def_Comm!C112</f>
        <v/>
      </c>
      <c r="K32">
        <f>K24</f>
        <v/>
      </c>
      <c r="L32" t="inlineStr">
        <is>
          <t>Input</t>
        </is>
      </c>
      <c r="M32" s="12" t="n">
        <v>1</v>
      </c>
    </row>
    <row r="33">
      <c r="B33">
        <f>B25</f>
        <v/>
      </c>
      <c r="C33">
        <f>Def_Comm!C49</f>
        <v/>
      </c>
      <c r="D33">
        <f>D25</f>
        <v/>
      </c>
      <c r="E33" t="inlineStr">
        <is>
          <t>Input</t>
        </is>
      </c>
      <c r="F33" s="12" t="n">
        <v>1</v>
      </c>
      <c r="I33">
        <f>I25</f>
        <v/>
      </c>
      <c r="J33">
        <f>Def_Comm!C113</f>
        <v/>
      </c>
      <c r="K33">
        <f>K25</f>
        <v/>
      </c>
      <c r="L33" t="inlineStr">
        <is>
          <t>Input</t>
        </is>
      </c>
      <c r="M33" s="12" t="n">
        <v>1</v>
      </c>
    </row>
    <row r="34">
      <c r="B34">
        <f>B26</f>
        <v/>
      </c>
      <c r="C34">
        <f>Def_Comm!C50</f>
        <v/>
      </c>
      <c r="D34">
        <f>D26</f>
        <v/>
      </c>
      <c r="E34" t="inlineStr">
        <is>
          <t>Input</t>
        </is>
      </c>
      <c r="F34" s="12" t="n">
        <v>1</v>
      </c>
      <c r="I34">
        <f>I26</f>
        <v/>
      </c>
      <c r="J34">
        <f>Def_Comm!C114</f>
        <v/>
      </c>
      <c r="K34">
        <f>K26</f>
        <v/>
      </c>
      <c r="L34" t="inlineStr">
        <is>
          <t>Input</t>
        </is>
      </c>
      <c r="M34" s="12" t="n">
        <v>1</v>
      </c>
    </row>
    <row r="35">
      <c r="B35">
        <f>B27</f>
        <v/>
      </c>
      <c r="C35">
        <f>Def_Comm!C51</f>
        <v/>
      </c>
      <c r="D35">
        <f>D27</f>
        <v/>
      </c>
      <c r="E35" t="inlineStr">
        <is>
          <t>Input</t>
        </is>
      </c>
      <c r="F35" s="12" t="n">
        <v>1</v>
      </c>
      <c r="I35">
        <f>I27</f>
        <v/>
      </c>
      <c r="J35">
        <f>Def_Comm!C115</f>
        <v/>
      </c>
      <c r="K35">
        <f>K27</f>
        <v/>
      </c>
      <c r="L35" t="inlineStr">
        <is>
          <t>Input</t>
        </is>
      </c>
      <c r="M35" s="12" t="n">
        <v>1</v>
      </c>
    </row>
    <row r="36">
      <c r="B36">
        <f>B28</f>
        <v/>
      </c>
      <c r="C36">
        <f>Def_Comm!C52</f>
        <v/>
      </c>
      <c r="D36">
        <f>D28</f>
        <v/>
      </c>
      <c r="E36" t="inlineStr">
        <is>
          <t>Input</t>
        </is>
      </c>
      <c r="F36" s="12" t="n">
        <v>1</v>
      </c>
      <c r="I36">
        <f>I28</f>
        <v/>
      </c>
      <c r="J36">
        <f>Def_Comm!C116</f>
        <v/>
      </c>
      <c r="K36">
        <f>K28</f>
        <v/>
      </c>
      <c r="L36" t="inlineStr">
        <is>
          <t>Input</t>
        </is>
      </c>
      <c r="M36" s="12" t="n">
        <v>1</v>
      </c>
    </row>
    <row r="37">
      <c r="B37">
        <f>B29</f>
        <v/>
      </c>
      <c r="C37">
        <f>Def_Comm!C53</f>
        <v/>
      </c>
      <c r="D37">
        <f>D29</f>
        <v/>
      </c>
      <c r="E37" t="inlineStr">
        <is>
          <t>Input</t>
        </is>
      </c>
      <c r="F37" s="12" t="n">
        <v>1</v>
      </c>
      <c r="I37">
        <f>I29</f>
        <v/>
      </c>
      <c r="J37">
        <f>Def_Comm!C117</f>
        <v/>
      </c>
      <c r="K37">
        <f>K29</f>
        <v/>
      </c>
      <c r="L37" t="inlineStr">
        <is>
          <t>Input</t>
        </is>
      </c>
      <c r="M37" s="12" t="n">
        <v>1</v>
      </c>
    </row>
    <row r="38">
      <c r="B38">
        <f>B30</f>
        <v/>
      </c>
      <c r="C38">
        <f>Def_Comm!C54</f>
        <v/>
      </c>
      <c r="D38">
        <f>D30</f>
        <v/>
      </c>
      <c r="E38" t="inlineStr">
        <is>
          <t>Input</t>
        </is>
      </c>
      <c r="F38" s="12" t="n">
        <v>1</v>
      </c>
      <c r="I38">
        <f>I30</f>
        <v/>
      </c>
      <c r="J38">
        <f>Def_Comm!C118</f>
        <v/>
      </c>
      <c r="K38">
        <f>K30</f>
        <v/>
      </c>
      <c r="L38" t="inlineStr">
        <is>
          <t>Input</t>
        </is>
      </c>
      <c r="M38" s="12" t="n">
        <v>1</v>
      </c>
    </row>
    <row r="39">
      <c r="B39">
        <f>B31</f>
        <v/>
      </c>
      <c r="C39">
        <f>Def_Comm!C55</f>
        <v/>
      </c>
      <c r="D39">
        <f>D31</f>
        <v/>
      </c>
      <c r="E39" t="inlineStr">
        <is>
          <t>Input</t>
        </is>
      </c>
      <c r="F39" s="12" t="n">
        <v>1</v>
      </c>
      <c r="I39">
        <f>I31</f>
        <v/>
      </c>
      <c r="J39">
        <f>Def_Comm!C119</f>
        <v/>
      </c>
      <c r="K39">
        <f>K31</f>
        <v/>
      </c>
      <c r="L39" t="inlineStr">
        <is>
          <t>Input</t>
        </is>
      </c>
      <c r="M39" s="12" t="n">
        <v>1</v>
      </c>
    </row>
    <row r="40">
      <c r="B40">
        <f>B32</f>
        <v/>
      </c>
      <c r="C40">
        <f>Def_Comm!C56</f>
        <v/>
      </c>
      <c r="D40">
        <f>D32</f>
        <v/>
      </c>
      <c r="E40" t="inlineStr">
        <is>
          <t>Input</t>
        </is>
      </c>
      <c r="F40" s="12" t="n">
        <v>1</v>
      </c>
      <c r="I40">
        <f>I32</f>
        <v/>
      </c>
      <c r="J40">
        <f>Def_Comm!C120</f>
        <v/>
      </c>
      <c r="K40">
        <f>K32</f>
        <v/>
      </c>
      <c r="L40" t="inlineStr">
        <is>
          <t>Input</t>
        </is>
      </c>
      <c r="M40" s="12" t="n">
        <v>1</v>
      </c>
    </row>
    <row r="41">
      <c r="B41">
        <f>B33</f>
        <v/>
      </c>
      <c r="C41">
        <f>Def_Comm!C57</f>
        <v/>
      </c>
      <c r="D41">
        <f>D33</f>
        <v/>
      </c>
      <c r="E41" t="inlineStr">
        <is>
          <t>Input</t>
        </is>
      </c>
      <c r="F41" s="12" t="n">
        <v>1</v>
      </c>
      <c r="I41">
        <f>I33</f>
        <v/>
      </c>
      <c r="J41">
        <f>Def_Comm!C121</f>
        <v/>
      </c>
      <c r="K41">
        <f>K33</f>
        <v/>
      </c>
      <c r="L41" t="inlineStr">
        <is>
          <t>Input</t>
        </is>
      </c>
      <c r="M41" s="12" t="n">
        <v>1</v>
      </c>
    </row>
    <row r="42">
      <c r="B42">
        <f>B34</f>
        <v/>
      </c>
      <c r="C42">
        <f>Def_Comm!C58</f>
        <v/>
      </c>
      <c r="D42">
        <f>D34</f>
        <v/>
      </c>
      <c r="E42" t="inlineStr">
        <is>
          <t>Input</t>
        </is>
      </c>
      <c r="F42" s="12" t="n">
        <v>1</v>
      </c>
      <c r="I42">
        <f>I34</f>
        <v/>
      </c>
      <c r="J42">
        <f>Def_Comm!C122</f>
        <v/>
      </c>
      <c r="K42">
        <f>K34</f>
        <v/>
      </c>
      <c r="L42" t="inlineStr">
        <is>
          <t>Input</t>
        </is>
      </c>
      <c r="M42" s="12" t="n">
        <v>1</v>
      </c>
    </row>
    <row r="43">
      <c r="B43">
        <f>B35</f>
        <v/>
      </c>
      <c r="C43">
        <f>Def_Comm!C59</f>
        <v/>
      </c>
      <c r="D43">
        <f>D35</f>
        <v/>
      </c>
      <c r="E43" t="inlineStr">
        <is>
          <t>Input</t>
        </is>
      </c>
      <c r="F43" s="12" t="n">
        <v>1</v>
      </c>
      <c r="I43">
        <f>I35</f>
        <v/>
      </c>
      <c r="J43">
        <f>Def_Comm!C123</f>
        <v/>
      </c>
      <c r="K43">
        <f>K35</f>
        <v/>
      </c>
      <c r="L43" t="inlineStr">
        <is>
          <t>Input</t>
        </is>
      </c>
      <c r="M43" s="12" t="n">
        <v>1</v>
      </c>
    </row>
    <row r="44">
      <c r="B44">
        <f>B36</f>
        <v/>
      </c>
      <c r="C44">
        <f>Def_Comm!C60</f>
        <v/>
      </c>
      <c r="D44">
        <f>D36</f>
        <v/>
      </c>
      <c r="E44" t="inlineStr">
        <is>
          <t>Input</t>
        </is>
      </c>
      <c r="F44" s="12" t="n">
        <v>1</v>
      </c>
      <c r="I44">
        <f>I36</f>
        <v/>
      </c>
      <c r="J44">
        <f>Def_Comm!C124</f>
        <v/>
      </c>
      <c r="K44">
        <f>K36</f>
        <v/>
      </c>
      <c r="L44" t="inlineStr">
        <is>
          <t>Input</t>
        </is>
      </c>
      <c r="M44" s="12" t="n">
        <v>1</v>
      </c>
    </row>
    <row r="45">
      <c r="B45">
        <f>B37</f>
        <v/>
      </c>
      <c r="C45">
        <f>Def_Comm!C61</f>
        <v/>
      </c>
      <c r="D45">
        <f>D37</f>
        <v/>
      </c>
      <c r="E45" t="inlineStr">
        <is>
          <t>Input</t>
        </is>
      </c>
      <c r="F45" s="12" t="n">
        <v>1</v>
      </c>
      <c r="I45">
        <f>I37</f>
        <v/>
      </c>
      <c r="J45">
        <f>Def_Comm!C125</f>
        <v/>
      </c>
      <c r="K45">
        <f>K37</f>
        <v/>
      </c>
      <c r="L45" t="inlineStr">
        <is>
          <t>Input</t>
        </is>
      </c>
      <c r="M45" s="12" t="n">
        <v>1</v>
      </c>
    </row>
    <row r="46">
      <c r="B46">
        <f>B38</f>
        <v/>
      </c>
      <c r="C46">
        <f>Def_Comm!C62</f>
        <v/>
      </c>
      <c r="D46">
        <f>D38</f>
        <v/>
      </c>
      <c r="E46" t="inlineStr">
        <is>
          <t>Input</t>
        </is>
      </c>
      <c r="F46" s="12" t="n">
        <v>1</v>
      </c>
      <c r="I46">
        <f>I38</f>
        <v/>
      </c>
      <c r="J46">
        <f>Def_Comm!C126</f>
        <v/>
      </c>
      <c r="K46">
        <f>K38</f>
        <v/>
      </c>
      <c r="L46" t="inlineStr">
        <is>
          <t>Input</t>
        </is>
      </c>
      <c r="M46" s="12" t="n">
        <v>1</v>
      </c>
    </row>
    <row r="47">
      <c r="B47">
        <f>B39</f>
        <v/>
      </c>
      <c r="C47">
        <f>Def_Comm!C63</f>
        <v/>
      </c>
      <c r="D47">
        <f>D39</f>
        <v/>
      </c>
      <c r="E47" t="inlineStr">
        <is>
          <t>Input</t>
        </is>
      </c>
      <c r="F47" s="12" t="n">
        <v>1</v>
      </c>
      <c r="I47">
        <f>I39</f>
        <v/>
      </c>
      <c r="J47">
        <f>Def_Comm!C127</f>
        <v/>
      </c>
      <c r="K47">
        <f>K39</f>
        <v/>
      </c>
      <c r="L47" t="inlineStr">
        <is>
          <t>Input</t>
        </is>
      </c>
      <c r="M47" s="12" t="n">
        <v>1</v>
      </c>
    </row>
    <row r="48">
      <c r="B48">
        <f>B40</f>
        <v/>
      </c>
      <c r="C48">
        <f>Def_Comm!C64</f>
        <v/>
      </c>
      <c r="D48">
        <f>D40</f>
        <v/>
      </c>
      <c r="E48" t="inlineStr">
        <is>
          <t>Input</t>
        </is>
      </c>
      <c r="F48" s="12" t="n">
        <v>1</v>
      </c>
      <c r="I48">
        <f>I40</f>
        <v/>
      </c>
      <c r="J48">
        <f>Def_Comm!C128</f>
        <v/>
      </c>
      <c r="K48">
        <f>K40</f>
        <v/>
      </c>
      <c r="L48" t="inlineStr">
        <is>
          <t>Input</t>
        </is>
      </c>
      <c r="M48" s="12" t="n">
        <v>1</v>
      </c>
    </row>
    <row r="49">
      <c r="B49">
        <f>B41</f>
        <v/>
      </c>
      <c r="C49">
        <f>Def_Comm!C65</f>
        <v/>
      </c>
      <c r="D49">
        <f>D41</f>
        <v/>
      </c>
      <c r="E49" t="inlineStr">
        <is>
          <t>Input</t>
        </is>
      </c>
      <c r="F49" s="12" t="n">
        <v>1</v>
      </c>
      <c r="I49">
        <f>I41</f>
        <v/>
      </c>
      <c r="J49">
        <f>Def_Comm!C129</f>
        <v/>
      </c>
      <c r="K49">
        <f>K41</f>
        <v/>
      </c>
      <c r="L49" t="inlineStr">
        <is>
          <t>Input</t>
        </is>
      </c>
      <c r="M49" s="12" t="n">
        <v>1</v>
      </c>
    </row>
    <row r="50">
      <c r="B50">
        <f>B42</f>
        <v/>
      </c>
      <c r="C50">
        <f>Def_Comm!C66</f>
        <v/>
      </c>
      <c r="D50">
        <f>D42</f>
        <v/>
      </c>
      <c r="E50" t="inlineStr">
        <is>
          <t>Input</t>
        </is>
      </c>
      <c r="F50" s="12" t="n">
        <v>1</v>
      </c>
      <c r="I50">
        <f>I42</f>
        <v/>
      </c>
      <c r="J50">
        <f>Def_Comm!C130</f>
        <v/>
      </c>
      <c r="K50">
        <f>K42</f>
        <v/>
      </c>
      <c r="L50" t="inlineStr">
        <is>
          <t>Input</t>
        </is>
      </c>
      <c r="M50" s="12" t="n">
        <v>1</v>
      </c>
    </row>
    <row r="51">
      <c r="B51">
        <f>B43</f>
        <v/>
      </c>
      <c r="C51">
        <f>Def_Comm!C67</f>
        <v/>
      </c>
      <c r="D51">
        <f>D43</f>
        <v/>
      </c>
      <c r="E51" t="inlineStr">
        <is>
          <t>Input</t>
        </is>
      </c>
      <c r="F51" s="12" t="n">
        <v>1</v>
      </c>
      <c r="I51">
        <f>I43</f>
        <v/>
      </c>
      <c r="J51">
        <f>Def_Comm!C131</f>
        <v/>
      </c>
      <c r="K51">
        <f>K43</f>
        <v/>
      </c>
      <c r="L51" t="inlineStr">
        <is>
          <t>Input</t>
        </is>
      </c>
      <c r="M51" s="12" t="n">
        <v>1</v>
      </c>
    </row>
    <row r="52">
      <c r="B52">
        <f>B44</f>
        <v/>
      </c>
      <c r="C52">
        <f>Def_Comm!C68</f>
        <v/>
      </c>
      <c r="D52">
        <f>D44</f>
        <v/>
      </c>
      <c r="E52" t="inlineStr">
        <is>
          <t>Input</t>
        </is>
      </c>
      <c r="F52" s="12" t="n">
        <v>1</v>
      </c>
      <c r="I52">
        <f>I44</f>
        <v/>
      </c>
      <c r="J52">
        <f>Def_Comm!C132</f>
        <v/>
      </c>
      <c r="K52">
        <f>K44</f>
        <v/>
      </c>
      <c r="L52" t="inlineStr">
        <is>
          <t>Input</t>
        </is>
      </c>
      <c r="M52" s="12" t="n">
        <v>1</v>
      </c>
    </row>
    <row r="53">
      <c r="B53">
        <f>B45</f>
        <v/>
      </c>
      <c r="C53">
        <f>Def_Comm!C69</f>
        <v/>
      </c>
      <c r="D53">
        <f>D45</f>
        <v/>
      </c>
      <c r="E53" t="inlineStr">
        <is>
          <t>Input</t>
        </is>
      </c>
      <c r="F53" s="12" t="n">
        <v>1</v>
      </c>
      <c r="I53">
        <f>I45</f>
        <v/>
      </c>
      <c r="J53">
        <f>Def_Comm!C133</f>
        <v/>
      </c>
      <c r="K53">
        <f>K45</f>
        <v/>
      </c>
      <c r="L53" t="inlineStr">
        <is>
          <t>Input</t>
        </is>
      </c>
      <c r="M53" s="12" t="n">
        <v>1</v>
      </c>
    </row>
    <row r="54">
      <c r="B54">
        <f>B46</f>
        <v/>
      </c>
      <c r="C54">
        <f>Def_Comm!C70</f>
        <v/>
      </c>
      <c r="D54">
        <f>D46</f>
        <v/>
      </c>
      <c r="E54" t="inlineStr">
        <is>
          <t>Input</t>
        </is>
      </c>
      <c r="F54" s="12" t="n">
        <v>1</v>
      </c>
      <c r="I54">
        <f>I46</f>
        <v/>
      </c>
      <c r="J54">
        <f>Def_Comm!C134</f>
        <v/>
      </c>
      <c r="K54">
        <f>K46</f>
        <v/>
      </c>
      <c r="L54" t="inlineStr">
        <is>
          <t>Input</t>
        </is>
      </c>
      <c r="M54" s="12" t="n">
        <v>1</v>
      </c>
    </row>
    <row r="55">
      <c r="B55">
        <f>B47</f>
        <v/>
      </c>
      <c r="C55">
        <f>Def_Comm!C71</f>
        <v/>
      </c>
      <c r="D55">
        <f>D47</f>
        <v/>
      </c>
      <c r="E55" t="inlineStr">
        <is>
          <t>Input</t>
        </is>
      </c>
      <c r="F55" s="12" t="n">
        <v>1</v>
      </c>
      <c r="I55">
        <f>I47</f>
        <v/>
      </c>
      <c r="J55">
        <f>Def_Comm!C135</f>
        <v/>
      </c>
      <c r="K55">
        <f>K47</f>
        <v/>
      </c>
      <c r="L55" t="inlineStr">
        <is>
          <t>Input</t>
        </is>
      </c>
      <c r="M55" s="12" t="n">
        <v>1</v>
      </c>
    </row>
    <row r="56">
      <c r="B56">
        <f>B48</f>
        <v/>
      </c>
      <c r="C56">
        <f>Def_Comm!C72</f>
        <v/>
      </c>
      <c r="D56">
        <f>D48</f>
        <v/>
      </c>
      <c r="E56" t="inlineStr">
        <is>
          <t>Input</t>
        </is>
      </c>
      <c r="F56" s="12" t="n">
        <v>1</v>
      </c>
      <c r="I56">
        <f>I48</f>
        <v/>
      </c>
      <c r="J56">
        <f>Def_Comm!C136</f>
        <v/>
      </c>
      <c r="K56">
        <f>K48</f>
        <v/>
      </c>
      <c r="L56" t="inlineStr">
        <is>
          <t>Input</t>
        </is>
      </c>
      <c r="M56" s="12" t="n">
        <v>1</v>
      </c>
    </row>
    <row r="57">
      <c r="B57">
        <f>B49</f>
        <v/>
      </c>
      <c r="C57">
        <f>Def_Comm!C73</f>
        <v/>
      </c>
      <c r="D57">
        <f>D49</f>
        <v/>
      </c>
      <c r="E57" t="inlineStr">
        <is>
          <t>Input</t>
        </is>
      </c>
      <c r="F57" s="12" t="n">
        <v>1</v>
      </c>
      <c r="I57">
        <f>I49</f>
        <v/>
      </c>
      <c r="J57">
        <f>Def_Comm!C137</f>
        <v/>
      </c>
      <c r="K57">
        <f>K49</f>
        <v/>
      </c>
      <c r="L57" t="inlineStr">
        <is>
          <t>Input</t>
        </is>
      </c>
      <c r="M57" s="12" t="n">
        <v>1</v>
      </c>
    </row>
    <row r="58">
      <c r="B58">
        <f>B50</f>
        <v/>
      </c>
      <c r="C58">
        <f>Def_Comm!C74</f>
        <v/>
      </c>
      <c r="D58">
        <f>D50</f>
        <v/>
      </c>
      <c r="E58" t="inlineStr">
        <is>
          <t>Input</t>
        </is>
      </c>
      <c r="F58" s="12" t="n">
        <v>1</v>
      </c>
      <c r="I58">
        <f>I50</f>
        <v/>
      </c>
      <c r="J58">
        <f>Def_Comm!C138</f>
        <v/>
      </c>
      <c r="K58">
        <f>K50</f>
        <v/>
      </c>
      <c r="L58" t="inlineStr">
        <is>
          <t>Input</t>
        </is>
      </c>
      <c r="M58" s="12" t="n">
        <v>1</v>
      </c>
    </row>
    <row r="59">
      <c r="B59">
        <f>B51</f>
        <v/>
      </c>
      <c r="C59">
        <f>Def_Comm!C75</f>
        <v/>
      </c>
      <c r="D59">
        <f>D51</f>
        <v/>
      </c>
      <c r="E59" t="inlineStr">
        <is>
          <t>Input</t>
        </is>
      </c>
      <c r="F59" s="12" t="n">
        <v>1</v>
      </c>
      <c r="I59">
        <f>I51</f>
        <v/>
      </c>
      <c r="J59">
        <f>Def_Comm!C139</f>
        <v/>
      </c>
      <c r="K59">
        <f>K51</f>
        <v/>
      </c>
      <c r="L59" t="inlineStr">
        <is>
          <t>Input</t>
        </is>
      </c>
      <c r="M59" s="12" t="n">
        <v>1</v>
      </c>
    </row>
    <row r="60">
      <c r="B60">
        <f>B52</f>
        <v/>
      </c>
      <c r="C60">
        <f>Def_Comm!C76</f>
        <v/>
      </c>
      <c r="D60">
        <f>D52</f>
        <v/>
      </c>
      <c r="E60" t="inlineStr">
        <is>
          <t>Input</t>
        </is>
      </c>
      <c r="F60" s="12" t="n">
        <v>1</v>
      </c>
      <c r="I60">
        <f>I52</f>
        <v/>
      </c>
      <c r="J60">
        <f>Def_Comm!C140</f>
        <v/>
      </c>
      <c r="K60">
        <f>K52</f>
        <v/>
      </c>
      <c r="L60" t="inlineStr">
        <is>
          <t>Input</t>
        </is>
      </c>
      <c r="M60" s="12" t="n">
        <v>1</v>
      </c>
    </row>
    <row r="61">
      <c r="B61">
        <f>B53</f>
        <v/>
      </c>
      <c r="C61">
        <f>Def_Comm!C77</f>
        <v/>
      </c>
      <c r="D61">
        <f>D53</f>
        <v/>
      </c>
      <c r="E61" t="inlineStr">
        <is>
          <t>Input</t>
        </is>
      </c>
      <c r="F61" s="12" t="n">
        <v>1</v>
      </c>
      <c r="I61">
        <f>I53</f>
        <v/>
      </c>
      <c r="J61">
        <f>Def_Comm!C141</f>
        <v/>
      </c>
      <c r="K61">
        <f>K53</f>
        <v/>
      </c>
      <c r="L61" t="inlineStr">
        <is>
          <t>Input</t>
        </is>
      </c>
      <c r="M61" s="12" t="n">
        <v>1</v>
      </c>
    </row>
    <row r="62">
      <c r="B62">
        <f>B54</f>
        <v/>
      </c>
      <c r="C62">
        <f>Def_Comm!C78</f>
        <v/>
      </c>
      <c r="D62">
        <f>D54</f>
        <v/>
      </c>
      <c r="E62" t="inlineStr">
        <is>
          <t>Input</t>
        </is>
      </c>
      <c r="F62" s="12" t="n">
        <v>1</v>
      </c>
      <c r="I62">
        <f>I54</f>
        <v/>
      </c>
      <c r="J62">
        <f>Def_Comm!C142</f>
        <v/>
      </c>
      <c r="K62">
        <f>K54</f>
        <v/>
      </c>
      <c r="L62" t="inlineStr">
        <is>
          <t>Input</t>
        </is>
      </c>
      <c r="M62" s="12" t="n">
        <v>1</v>
      </c>
    </row>
    <row r="63">
      <c r="B63">
        <f>B55</f>
        <v/>
      </c>
      <c r="C63">
        <f>Def_Comm!C79</f>
        <v/>
      </c>
      <c r="D63">
        <f>D55</f>
        <v/>
      </c>
      <c r="E63" t="inlineStr">
        <is>
          <t>Input</t>
        </is>
      </c>
      <c r="F63" s="12" t="n">
        <v>1</v>
      </c>
      <c r="I63">
        <f>I55</f>
        <v/>
      </c>
      <c r="J63">
        <f>Def_Comm!C143</f>
        <v/>
      </c>
      <c r="K63">
        <f>K55</f>
        <v/>
      </c>
      <c r="L63" t="inlineStr">
        <is>
          <t>Input</t>
        </is>
      </c>
      <c r="M63" s="12" t="n">
        <v>1</v>
      </c>
    </row>
    <row r="64">
      <c r="B64">
        <f>B56</f>
        <v/>
      </c>
      <c r="C64">
        <f>Def_Comm!C80</f>
        <v/>
      </c>
      <c r="D64">
        <f>D56</f>
        <v/>
      </c>
      <c r="E64" t="inlineStr">
        <is>
          <t>Input</t>
        </is>
      </c>
      <c r="F64" s="12" t="n">
        <v>1</v>
      </c>
      <c r="I64">
        <f>I56</f>
        <v/>
      </c>
      <c r="J64">
        <f>Def_Comm!C144</f>
        <v/>
      </c>
      <c r="K64">
        <f>K56</f>
        <v/>
      </c>
      <c r="L64" t="inlineStr">
        <is>
          <t>Input</t>
        </is>
      </c>
      <c r="M64" s="12" t="n">
        <v>1</v>
      </c>
    </row>
    <row r="65">
      <c r="B65">
        <f>B57</f>
        <v/>
      </c>
      <c r="C65">
        <f>Def_Comm!C81</f>
        <v/>
      </c>
      <c r="D65">
        <f>D57</f>
        <v/>
      </c>
      <c r="E65" t="inlineStr">
        <is>
          <t>Input</t>
        </is>
      </c>
      <c r="F65" s="12" t="n">
        <v>1</v>
      </c>
      <c r="I65">
        <f>I57</f>
        <v/>
      </c>
      <c r="J65">
        <f>Def_Comm!C145</f>
        <v/>
      </c>
      <c r="K65">
        <f>K57</f>
        <v/>
      </c>
      <c r="L65" t="inlineStr">
        <is>
          <t>Input</t>
        </is>
      </c>
      <c r="M65" s="12" t="n">
        <v>1</v>
      </c>
    </row>
    <row r="66">
      <c r="B66">
        <f>B58</f>
        <v/>
      </c>
      <c r="C66">
        <f>Def_Comm!C82</f>
        <v/>
      </c>
      <c r="D66">
        <f>D58</f>
        <v/>
      </c>
      <c r="E66" t="inlineStr">
        <is>
          <t>Input</t>
        </is>
      </c>
      <c r="F66" s="12" t="n">
        <v>1</v>
      </c>
      <c r="I66">
        <f>I58</f>
        <v/>
      </c>
      <c r="J66">
        <f>Def_Comm!C146</f>
        <v/>
      </c>
      <c r="K66">
        <f>K58</f>
        <v/>
      </c>
      <c r="L66" t="inlineStr">
        <is>
          <t>Input</t>
        </is>
      </c>
      <c r="M66" s="12" t="n">
        <v>1</v>
      </c>
    </row>
    <row r="67">
      <c r="B67">
        <f>B59</f>
        <v/>
      </c>
      <c r="C67">
        <f>Def_Comm!C83</f>
        <v/>
      </c>
      <c r="D67">
        <f>D59</f>
        <v/>
      </c>
      <c r="E67" t="inlineStr">
        <is>
          <t>Input</t>
        </is>
      </c>
      <c r="F67" s="12" t="n">
        <v>1</v>
      </c>
      <c r="I67">
        <f>I59</f>
        <v/>
      </c>
      <c r="J67">
        <f>Def_Comm!C147</f>
        <v/>
      </c>
      <c r="K67">
        <f>K59</f>
        <v/>
      </c>
      <c r="L67" t="inlineStr">
        <is>
          <t>Input</t>
        </is>
      </c>
      <c r="M67" s="12" t="n">
        <v>1</v>
      </c>
    </row>
    <row r="68">
      <c r="B68">
        <f>B60</f>
        <v/>
      </c>
      <c r="C68">
        <f>Def_Comm!C84</f>
        <v/>
      </c>
      <c r="D68">
        <f>D60</f>
        <v/>
      </c>
      <c r="E68" t="inlineStr">
        <is>
          <t>Input</t>
        </is>
      </c>
      <c r="F68" s="12" t="n">
        <v>1</v>
      </c>
      <c r="I68">
        <f>I60</f>
        <v/>
      </c>
      <c r="J68">
        <f>Def_Comm!C148</f>
        <v/>
      </c>
      <c r="K68">
        <f>K60</f>
        <v/>
      </c>
      <c r="L68" t="inlineStr">
        <is>
          <t>Input</t>
        </is>
      </c>
      <c r="M68" s="12" t="n">
        <v>1</v>
      </c>
    </row>
    <row r="69">
      <c r="B69">
        <f>B61</f>
        <v/>
      </c>
      <c r="C69">
        <f>Def_Comm!C85</f>
        <v/>
      </c>
      <c r="D69">
        <f>D61</f>
        <v/>
      </c>
      <c r="E69" t="inlineStr">
        <is>
          <t>Input</t>
        </is>
      </c>
      <c r="F69" s="12" t="n">
        <v>1</v>
      </c>
      <c r="I69">
        <f>I61</f>
        <v/>
      </c>
      <c r="J69">
        <f>Def_Comm!C149</f>
        <v/>
      </c>
      <c r="K69">
        <f>K61</f>
        <v/>
      </c>
      <c r="L69" t="inlineStr">
        <is>
          <t>Input</t>
        </is>
      </c>
      <c r="M69" s="12" t="n">
        <v>1</v>
      </c>
    </row>
    <row r="70">
      <c r="F70" s="12" t="n"/>
      <c r="M70" s="12" t="n"/>
    </row>
    <row r="71">
      <c r="F71" s="12" t="n"/>
      <c r="M71" s="12" t="n"/>
    </row>
    <row r="72">
      <c r="F72" s="12" t="n"/>
      <c r="M72" s="12" t="n"/>
    </row>
    <row r="73">
      <c r="F73" s="12" t="n"/>
      <c r="M73" s="12" t="n"/>
    </row>
    <row r="74">
      <c r="F74" s="12" t="n"/>
      <c r="M74" s="12" t="n"/>
    </row>
    <row r="75">
      <c r="F75" s="12" t="n"/>
      <c r="M75" s="12" t="n"/>
    </row>
    <row r="76">
      <c r="F76" s="12" t="n"/>
      <c r="M76" s="12" t="n"/>
    </row>
    <row r="77">
      <c r="F77" s="12" t="n"/>
      <c r="M77" s="12" t="n"/>
    </row>
    <row r="78">
      <c r="F78" s="12" t="n"/>
      <c r="M78" s="12" t="n"/>
    </row>
    <row r="79">
      <c r="F79" s="12" t="n"/>
      <c r="M79" s="12" t="n"/>
    </row>
    <row r="80">
      <c r="F80" s="12" t="n"/>
      <c r="M80" s="12" t="n"/>
    </row>
    <row r="81">
      <c r="F81" s="12" t="n"/>
      <c r="M81" s="12" t="n"/>
    </row>
    <row r="82">
      <c r="F82" s="12" t="n"/>
      <c r="M82" s="12" t="n"/>
    </row>
    <row r="83">
      <c r="F83" s="12" t="n"/>
      <c r="M83" s="12" t="n"/>
    </row>
    <row r="84">
      <c r="F84" s="12" t="n"/>
      <c r="M84" s="12" t="n"/>
    </row>
    <row r="85">
      <c r="F85" s="12" t="n"/>
      <c r="M85" s="12" t="n"/>
    </row>
    <row r="86">
      <c r="F86" s="12" t="n"/>
      <c r="M86" s="12" t="n"/>
    </row>
    <row r="87">
      <c r="F87" s="12" t="n"/>
      <c r="M87" s="12" t="n"/>
    </row>
    <row r="88">
      <c r="F88" s="12" t="n"/>
      <c r="M88" s="12" t="n"/>
    </row>
    <row r="89">
      <c r="F89" s="12" t="n"/>
      <c r="M89" s="12" t="n"/>
    </row>
    <row r="90">
      <c r="F90" s="12" t="n"/>
      <c r="M90" s="12" t="n"/>
    </row>
    <row r="91">
      <c r="F91" s="12" t="n"/>
      <c r="M91" s="12" t="n"/>
    </row>
    <row r="92">
      <c r="F92" s="12" t="n"/>
      <c r="M92" s="12" t="n"/>
    </row>
    <row r="93">
      <c r="F93" s="12" t="n"/>
      <c r="M93" s="12" t="n"/>
    </row>
    <row r="94">
      <c r="F94" s="12" t="n"/>
      <c r="M94" s="12" t="n"/>
    </row>
    <row r="95">
      <c r="F95" s="12" t="n"/>
      <c r="M95" s="12" t="n"/>
    </row>
    <row r="96">
      <c r="F96" s="12" t="n"/>
      <c r="M96" s="12" t="n"/>
    </row>
    <row r="97">
      <c r="F97" s="12" t="n"/>
      <c r="M97" s="12" t="n"/>
    </row>
    <row r="98">
      <c r="F98" s="12" t="n"/>
      <c r="M98" s="12" t="n"/>
    </row>
    <row r="99">
      <c r="F99" s="12" t="n"/>
      <c r="M99" s="12" t="n"/>
    </row>
    <row r="100">
      <c r="F100" s="12" t="n"/>
      <c r="M100" s="12" t="n"/>
    </row>
    <row r="101">
      <c r="F101" s="12" t="n"/>
      <c r="M101" s="12" t="n"/>
    </row>
    <row r="102">
      <c r="F102" s="12" t="n"/>
      <c r="M102" s="12" t="n"/>
    </row>
    <row r="103">
      <c r="F103" s="12" t="n"/>
      <c r="M103" s="12" t="n"/>
    </row>
    <row r="104">
      <c r="F104" s="12" t="n"/>
      <c r="M104" s="12" t="n"/>
    </row>
    <row r="105">
      <c r="F105" s="12" t="n"/>
      <c r="M105" s="12" t="n"/>
    </row>
    <row r="106">
      <c r="F106" s="12" t="n"/>
    </row>
    <row r="107">
      <c r="F107" s="12" t="n"/>
    </row>
    <row r="108">
      <c r="F108" s="12" t="n"/>
    </row>
    <row r="109">
      <c r="F109" s="12" t="n"/>
    </row>
    <row r="110">
      <c r="F110" s="12" t="n"/>
    </row>
    <row r="111">
      <c r="F111" s="12" t="n"/>
    </row>
    <row r="112">
      <c r="F112" s="12" t="n"/>
    </row>
    <row r="113">
      <c r="F113" s="12" t="n"/>
    </row>
    <row r="114">
      <c r="F114" s="12" t="n"/>
    </row>
    <row r="115">
      <c r="F115" s="12" t="n"/>
    </row>
    <row r="116">
      <c r="F116" s="12" t="n"/>
    </row>
    <row r="117">
      <c r="F117" s="12" t="n"/>
    </row>
    <row r="118">
      <c r="F118" s="12" t="n"/>
    </row>
    <row r="119">
      <c r="F119" s="12" t="n"/>
    </row>
    <row r="120">
      <c r="F120" s="12" t="n"/>
    </row>
    <row r="121">
      <c r="F121" s="12" t="n"/>
    </row>
    <row r="122">
      <c r="F122" s="12" t="n"/>
    </row>
    <row r="123">
      <c r="F123" s="1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X166"/>
  <sheetViews>
    <sheetView zoomScale="70" zoomScaleNormal="70" workbookViewId="0">
      <selection activeCell="B10" sqref="B10"/>
    </sheetView>
  </sheetViews>
  <sheetFormatPr baseColWidth="8" defaultRowHeight="15"/>
  <cols>
    <col width="24.140625" bestFit="1" customWidth="1" min="3" max="3"/>
    <col width="21.28515625" bestFit="1" customWidth="1" min="4" max="4"/>
    <col width="22.28515625" bestFit="1" customWidth="1" min="5" max="5"/>
    <col width="12.5703125" bestFit="1" customWidth="1" min="6" max="6"/>
    <col width="13" bestFit="1" customWidth="1" min="7" max="22"/>
    <col width="12.5703125" bestFit="1" customWidth="1" min="23" max="23"/>
  </cols>
  <sheetData>
    <row r="1">
      <c r="F1">
        <f>'BDG Intensity'!I1</f>
        <v/>
      </c>
      <c r="G1">
        <f>'BDG Intensity'!J1</f>
        <v/>
      </c>
      <c r="H1">
        <f>'BDG Intensity'!K1</f>
        <v/>
      </c>
      <c r="I1">
        <f>'BDG Intensity'!L1</f>
        <v/>
      </c>
      <c r="J1">
        <f>'BDG Intensity'!M1</f>
        <v/>
      </c>
      <c r="K1">
        <f>'BDG Intensity'!N1</f>
        <v/>
      </c>
      <c r="L1">
        <f>'BDG Intensity'!O1</f>
        <v/>
      </c>
      <c r="M1">
        <f>'BDG Intensity'!P1</f>
        <v/>
      </c>
      <c r="N1">
        <f>'BDG Intensity'!Q1</f>
        <v/>
      </c>
      <c r="O1">
        <f>'BDG Intensity'!R1</f>
        <v/>
      </c>
      <c r="P1">
        <f>'BDG Intensity'!S1</f>
        <v/>
      </c>
      <c r="Q1">
        <f>'BDG Intensity'!T1</f>
        <v/>
      </c>
      <c r="R1">
        <f>'BDG Intensity'!U1</f>
        <v/>
      </c>
      <c r="S1">
        <f>'BDG Intensity'!V1</f>
        <v/>
      </c>
      <c r="T1">
        <f>'BDG Intensity'!W1</f>
        <v/>
      </c>
      <c r="U1">
        <f>'BDG Intensity'!X1</f>
        <v/>
      </c>
      <c r="V1">
        <f>'BDG Intensity'!Y1</f>
        <v/>
      </c>
      <c r="W1">
        <f>'BDG Intensity'!Z1</f>
        <v/>
      </c>
    </row>
    <row r="2">
      <c r="F2" t="inlineStr">
        <is>
          <t>Input</t>
        </is>
      </c>
      <c r="G2" t="inlineStr">
        <is>
          <t>Input</t>
        </is>
      </c>
      <c r="H2" t="inlineStr">
        <is>
          <t>Input</t>
        </is>
      </c>
      <c r="I2" t="inlineStr">
        <is>
          <t>Input</t>
        </is>
      </c>
      <c r="J2" t="inlineStr">
        <is>
          <t>Input</t>
        </is>
      </c>
      <c r="K2" t="inlineStr">
        <is>
          <t>Input</t>
        </is>
      </c>
      <c r="L2" t="inlineStr">
        <is>
          <t>Input</t>
        </is>
      </c>
      <c r="M2" t="inlineStr">
        <is>
          <t>Input</t>
        </is>
      </c>
      <c r="N2" t="inlineStr">
        <is>
          <t>Input</t>
        </is>
      </c>
      <c r="O2" t="inlineStr">
        <is>
          <t>Input</t>
        </is>
      </c>
      <c r="P2" t="inlineStr">
        <is>
          <t>Input</t>
        </is>
      </c>
      <c r="Q2" t="inlineStr">
        <is>
          <t>Input</t>
        </is>
      </c>
      <c r="R2" t="inlineStr">
        <is>
          <t>Input</t>
        </is>
      </c>
      <c r="S2" t="inlineStr">
        <is>
          <t>Input</t>
        </is>
      </c>
      <c r="T2" t="inlineStr">
        <is>
          <t>Input</t>
        </is>
      </c>
      <c r="U2" t="inlineStr">
        <is>
          <t>Input</t>
        </is>
      </c>
      <c r="V2" t="inlineStr">
        <is>
          <t>Input</t>
        </is>
      </c>
      <c r="W2" t="inlineStr">
        <is>
          <t>Input</t>
        </is>
      </c>
    </row>
    <row r="4">
      <c r="E4" s="9" t="inlineStr">
        <is>
          <t>~FI_T</t>
        </is>
      </c>
    </row>
    <row r="5">
      <c r="B5" s="10" t="inlineStr">
        <is>
          <t>Region</t>
        </is>
      </c>
      <c r="C5" s="10" t="inlineStr">
        <is>
          <t>TechName</t>
        </is>
      </c>
      <c r="D5" s="10" t="inlineStr">
        <is>
          <t>Comm-IN</t>
        </is>
      </c>
      <c r="E5" s="10" t="inlineStr">
        <is>
          <t>Comm-OUT</t>
        </is>
      </c>
      <c r="F5" s="10">
        <f>F2&amp;"~"&amp;F1</f>
        <v/>
      </c>
      <c r="G5" s="10">
        <f>G2&amp;"~"&amp;G1</f>
        <v/>
      </c>
      <c r="H5" s="10">
        <f>H2&amp;"~"&amp;H1</f>
        <v/>
      </c>
      <c r="I5" s="10">
        <f>I2&amp;"~"&amp;I1</f>
        <v/>
      </c>
      <c r="J5" s="10">
        <f>J2&amp;"~"&amp;J1</f>
        <v/>
      </c>
      <c r="K5" s="10">
        <f>K2&amp;"~"&amp;K1</f>
        <v/>
      </c>
      <c r="L5" s="10">
        <f>L2&amp;"~"&amp;L1</f>
        <v/>
      </c>
      <c r="M5" s="10">
        <f>M2&amp;"~"&amp;M1</f>
        <v/>
      </c>
      <c r="N5" s="10">
        <f>N2&amp;"~"&amp;N1</f>
        <v/>
      </c>
      <c r="O5" s="10">
        <f>O2&amp;"~"&amp;O1</f>
        <v/>
      </c>
      <c r="P5" s="10">
        <f>P2&amp;"~"&amp;P1</f>
        <v/>
      </c>
      <c r="Q5" s="10">
        <f>Q2&amp;"~"&amp;Q1</f>
        <v/>
      </c>
      <c r="R5" s="10">
        <f>R2&amp;"~"&amp;R1</f>
        <v/>
      </c>
      <c r="S5" s="10">
        <f>S2&amp;"~"&amp;S1</f>
        <v/>
      </c>
      <c r="T5" s="10">
        <f>T2&amp;"~"&amp;T1</f>
        <v/>
      </c>
      <c r="U5" s="10">
        <f>U2&amp;"~"&amp;U1</f>
        <v/>
      </c>
      <c r="V5" s="10">
        <f>V2&amp;"~"&amp;V1</f>
        <v/>
      </c>
      <c r="W5" s="10">
        <f>W2&amp;"~"&amp;W1</f>
        <v/>
      </c>
    </row>
    <row r="6" ht="15" customHeight="1" thickBot="1">
      <c r="B6" s="11" t="inlineStr">
        <is>
          <t>*</t>
        </is>
      </c>
      <c r="C6" s="11" t="inlineStr">
        <is>
          <t>*</t>
        </is>
      </c>
      <c r="D6" s="11" t="n"/>
      <c r="E6" s="11" t="n"/>
      <c r="F6" s="11" t="inlineStr">
        <is>
          <t>TJ /Mm2</t>
        </is>
      </c>
      <c r="G6" s="11" t="inlineStr">
        <is>
          <t>Mm2 / TJ</t>
        </is>
      </c>
      <c r="H6" s="11" t="inlineStr">
        <is>
          <t>Mm2 / TJ</t>
        </is>
      </c>
      <c r="I6" s="11" t="inlineStr">
        <is>
          <t>Mm2 / TJ</t>
        </is>
      </c>
      <c r="J6" s="11" t="inlineStr">
        <is>
          <t>Mm2 / TJ</t>
        </is>
      </c>
      <c r="K6" s="11" t="inlineStr">
        <is>
          <t>Mm2 / TJ</t>
        </is>
      </c>
      <c r="L6" s="11" t="inlineStr">
        <is>
          <t>Mm2 / TJ</t>
        </is>
      </c>
      <c r="M6" s="11" t="inlineStr">
        <is>
          <t>Mm2 / TJ</t>
        </is>
      </c>
      <c r="N6" s="11" t="inlineStr">
        <is>
          <t>Mm2 / TJ</t>
        </is>
      </c>
      <c r="O6" s="11" t="inlineStr">
        <is>
          <t>Mm2 / TJ</t>
        </is>
      </c>
      <c r="P6" s="11" t="inlineStr">
        <is>
          <t>Mm2 / TJ</t>
        </is>
      </c>
      <c r="Q6" s="11" t="inlineStr">
        <is>
          <t>Mm2 / TJ</t>
        </is>
      </c>
      <c r="R6" s="11" t="inlineStr">
        <is>
          <t>Mm2 / TJ</t>
        </is>
      </c>
      <c r="S6" s="11" t="inlineStr">
        <is>
          <t>Mm2 / TJ</t>
        </is>
      </c>
      <c r="T6" s="11" t="inlineStr">
        <is>
          <t>Mm2 / TJ</t>
        </is>
      </c>
      <c r="U6" s="11" t="inlineStr">
        <is>
          <t>Mm2 / TJ</t>
        </is>
      </c>
      <c r="V6" s="11" t="inlineStr">
        <is>
          <t>Mm2 / TJ</t>
        </is>
      </c>
      <c r="W6" s="11" t="inlineStr">
        <is>
          <t>Mm2 / TJ</t>
        </is>
      </c>
    </row>
    <row r="7">
      <c r="B7">
        <f>Def_Tech!C151</f>
        <v/>
      </c>
      <c r="C7">
        <f>Def_Tech!D22</f>
        <v/>
      </c>
      <c r="D7">
        <f>Def_Comm!C151</f>
        <v/>
      </c>
      <c r="E7">
        <f>Def_Comm!C22</f>
        <v/>
      </c>
      <c r="F7" s="12">
        <f>_xlfn.XLOOKUP($C7,'BDG Intensity'!$F:$F,'BDG Intensity'!I:I)</f>
        <v/>
      </c>
      <c r="G7" s="12">
        <f>_xlfn.XLOOKUP($C7,'BDG Intensity'!$F:$F,'BDG Intensity'!J:J)</f>
        <v/>
      </c>
      <c r="H7" s="12">
        <f>_xlfn.XLOOKUP($C7,'BDG Intensity'!$F:$F,'BDG Intensity'!K:K)</f>
        <v/>
      </c>
      <c r="I7" s="12">
        <f>_xlfn.XLOOKUP($C7,'BDG Intensity'!$F:$F,'BDG Intensity'!L:L)</f>
        <v/>
      </c>
      <c r="J7" s="12">
        <f>_xlfn.XLOOKUP($C7,'BDG Intensity'!$F:$F,'BDG Intensity'!M:M)</f>
        <v/>
      </c>
      <c r="K7" s="12">
        <f>_xlfn.XLOOKUP($C7,'BDG Intensity'!$F:$F,'BDG Intensity'!N:N)</f>
        <v/>
      </c>
      <c r="L7" s="12">
        <f>_xlfn.XLOOKUP($C7,'BDG Intensity'!$F:$F,'BDG Intensity'!O:O)</f>
        <v/>
      </c>
      <c r="M7" s="12">
        <f>_xlfn.XLOOKUP($C7,'BDG Intensity'!$F:$F,'BDG Intensity'!P:P)</f>
        <v/>
      </c>
      <c r="N7" s="12">
        <f>_xlfn.XLOOKUP($C7,'BDG Intensity'!$F:$F,'BDG Intensity'!Q:Q)</f>
        <v/>
      </c>
      <c r="O7" s="12">
        <f>_xlfn.XLOOKUP($C7,'BDG Intensity'!$F:$F,'BDG Intensity'!R:R)</f>
        <v/>
      </c>
      <c r="P7" s="12">
        <f>_xlfn.XLOOKUP($C7,'BDG Intensity'!$F:$F,'BDG Intensity'!S:S)</f>
        <v/>
      </c>
      <c r="Q7" s="12">
        <f>_xlfn.XLOOKUP($C7,'BDG Intensity'!$F:$F,'BDG Intensity'!T:T)</f>
        <v/>
      </c>
      <c r="R7" s="12">
        <f>_xlfn.XLOOKUP($C7,'BDG Intensity'!$F:$F,'BDG Intensity'!U:U)</f>
        <v/>
      </c>
      <c r="S7" s="12">
        <f>_xlfn.XLOOKUP($C7,'BDG Intensity'!$F:$F,'BDG Intensity'!V:V)</f>
        <v/>
      </c>
      <c r="T7" s="12">
        <f>_xlfn.XLOOKUP($C7,'BDG Intensity'!$F:$F,'BDG Intensity'!W:W)</f>
        <v/>
      </c>
      <c r="U7" s="12">
        <f>_xlfn.XLOOKUP($C7,'BDG Intensity'!$F:$F,'BDG Intensity'!X:X)</f>
        <v/>
      </c>
      <c r="V7" s="12">
        <f>_xlfn.XLOOKUP($C7,'BDG Intensity'!$F:$F,'BDG Intensity'!Y:Y)</f>
        <v/>
      </c>
      <c r="W7" s="12">
        <f>_xlfn.XLOOKUP($C7,'BDG Intensity'!$F:$F,'BDG Intensity'!Z:Z)</f>
        <v/>
      </c>
      <c r="X7" s="12" t="n"/>
    </row>
    <row r="8">
      <c r="B8">
        <f>Def_Tech!C152</f>
        <v/>
      </c>
      <c r="C8">
        <f>Def_Tech!D23</f>
        <v/>
      </c>
      <c r="D8">
        <f>Def_Comm!C152</f>
        <v/>
      </c>
      <c r="E8">
        <f>Def_Comm!C23</f>
        <v/>
      </c>
      <c r="F8" s="12">
        <f>_xlfn.XLOOKUP($C8,'BDG Intensity'!$F:$F,'BDG Intensity'!I:I)</f>
        <v/>
      </c>
      <c r="G8" s="12">
        <f>_xlfn.XLOOKUP($C8,'BDG Intensity'!$F:$F,'BDG Intensity'!J:J)</f>
        <v/>
      </c>
      <c r="H8" s="12">
        <f>_xlfn.XLOOKUP($C8,'BDG Intensity'!$F:$F,'BDG Intensity'!K:K)</f>
        <v/>
      </c>
      <c r="I8" s="12">
        <f>_xlfn.XLOOKUP($C8,'BDG Intensity'!$F:$F,'BDG Intensity'!L:L)</f>
        <v/>
      </c>
      <c r="J8" s="12">
        <f>_xlfn.XLOOKUP($C8,'BDG Intensity'!$F:$F,'BDG Intensity'!M:M)</f>
        <v/>
      </c>
      <c r="K8" s="12">
        <f>_xlfn.XLOOKUP($C8,'BDG Intensity'!$F:$F,'BDG Intensity'!N:N)</f>
        <v/>
      </c>
      <c r="L8" s="12">
        <f>_xlfn.XLOOKUP($C8,'BDG Intensity'!$F:$F,'BDG Intensity'!O:O)</f>
        <v/>
      </c>
      <c r="M8" s="12">
        <f>_xlfn.XLOOKUP($C8,'BDG Intensity'!$F:$F,'BDG Intensity'!P:P)</f>
        <v/>
      </c>
      <c r="N8" s="12">
        <f>_xlfn.XLOOKUP($C8,'BDG Intensity'!$F:$F,'BDG Intensity'!Q:Q)</f>
        <v/>
      </c>
      <c r="O8" s="12">
        <f>_xlfn.XLOOKUP($C8,'BDG Intensity'!$F:$F,'BDG Intensity'!R:R)</f>
        <v/>
      </c>
      <c r="P8" s="12">
        <f>_xlfn.XLOOKUP($C8,'BDG Intensity'!$F:$F,'BDG Intensity'!S:S)</f>
        <v/>
      </c>
      <c r="Q8" s="12">
        <f>_xlfn.XLOOKUP($C8,'BDG Intensity'!$F:$F,'BDG Intensity'!T:T)</f>
        <v/>
      </c>
      <c r="R8" s="12">
        <f>_xlfn.XLOOKUP($C8,'BDG Intensity'!$F:$F,'BDG Intensity'!U:U)</f>
        <v/>
      </c>
      <c r="S8" s="12">
        <f>_xlfn.XLOOKUP($C8,'BDG Intensity'!$F:$F,'BDG Intensity'!V:V)</f>
        <v/>
      </c>
      <c r="T8" s="12">
        <f>_xlfn.XLOOKUP($C8,'BDG Intensity'!$F:$F,'BDG Intensity'!W:W)</f>
        <v/>
      </c>
      <c r="U8" s="12">
        <f>_xlfn.XLOOKUP($C8,'BDG Intensity'!$F:$F,'BDG Intensity'!X:X)</f>
        <v/>
      </c>
      <c r="V8" s="12">
        <f>_xlfn.XLOOKUP($C8,'BDG Intensity'!$F:$F,'BDG Intensity'!Y:Y)</f>
        <v/>
      </c>
      <c r="W8" s="12">
        <f>_xlfn.XLOOKUP($C8,'BDG Intensity'!$F:$F,'BDG Intensity'!Z:Z)</f>
        <v/>
      </c>
    </row>
    <row r="9">
      <c r="B9">
        <f>Def_Tech!C153</f>
        <v/>
      </c>
      <c r="C9">
        <f>Def_Tech!D24</f>
        <v/>
      </c>
      <c r="D9">
        <f>Def_Comm!C153</f>
        <v/>
      </c>
      <c r="E9">
        <f>Def_Comm!C24</f>
        <v/>
      </c>
      <c r="F9" s="12">
        <f>_xlfn.XLOOKUP($C9,'BDG Intensity'!$F:$F,'BDG Intensity'!I:I)</f>
        <v/>
      </c>
      <c r="G9" s="12">
        <f>_xlfn.XLOOKUP($C9,'BDG Intensity'!$F:$F,'BDG Intensity'!J:J)</f>
        <v/>
      </c>
      <c r="H9" s="12">
        <f>_xlfn.XLOOKUP($C9,'BDG Intensity'!$F:$F,'BDG Intensity'!K:K)</f>
        <v/>
      </c>
      <c r="I9" s="12">
        <f>_xlfn.XLOOKUP($C9,'BDG Intensity'!$F:$F,'BDG Intensity'!L:L)</f>
        <v/>
      </c>
      <c r="J9" s="12">
        <f>_xlfn.XLOOKUP($C9,'BDG Intensity'!$F:$F,'BDG Intensity'!M:M)</f>
        <v/>
      </c>
      <c r="K9" s="12">
        <f>_xlfn.XLOOKUP($C9,'BDG Intensity'!$F:$F,'BDG Intensity'!N:N)</f>
        <v/>
      </c>
      <c r="L9" s="12">
        <f>_xlfn.XLOOKUP($C9,'BDG Intensity'!$F:$F,'BDG Intensity'!O:O)</f>
        <v/>
      </c>
      <c r="M9" s="12">
        <f>_xlfn.XLOOKUP($C9,'BDG Intensity'!$F:$F,'BDG Intensity'!P:P)</f>
        <v/>
      </c>
      <c r="N9" s="12">
        <f>_xlfn.XLOOKUP($C9,'BDG Intensity'!$F:$F,'BDG Intensity'!Q:Q)</f>
        <v/>
      </c>
      <c r="O9" s="12">
        <f>_xlfn.XLOOKUP($C9,'BDG Intensity'!$F:$F,'BDG Intensity'!R:R)</f>
        <v/>
      </c>
      <c r="P9" s="12">
        <f>_xlfn.XLOOKUP($C9,'BDG Intensity'!$F:$F,'BDG Intensity'!S:S)</f>
        <v/>
      </c>
      <c r="Q9" s="12">
        <f>_xlfn.XLOOKUP($C9,'BDG Intensity'!$F:$F,'BDG Intensity'!T:T)</f>
        <v/>
      </c>
      <c r="R9" s="12">
        <f>_xlfn.XLOOKUP($C9,'BDG Intensity'!$F:$F,'BDG Intensity'!U:U)</f>
        <v/>
      </c>
      <c r="S9" s="12">
        <f>_xlfn.XLOOKUP($C9,'BDG Intensity'!$F:$F,'BDG Intensity'!V:V)</f>
        <v/>
      </c>
      <c r="T9" s="12">
        <f>_xlfn.XLOOKUP($C9,'BDG Intensity'!$F:$F,'BDG Intensity'!W:W)</f>
        <v/>
      </c>
      <c r="U9" s="12">
        <f>_xlfn.XLOOKUP($C9,'BDG Intensity'!$F:$F,'BDG Intensity'!X:X)</f>
        <v/>
      </c>
      <c r="V9" s="12">
        <f>_xlfn.XLOOKUP($C9,'BDG Intensity'!$F:$F,'BDG Intensity'!Y:Y)</f>
        <v/>
      </c>
      <c r="W9" s="12">
        <f>_xlfn.XLOOKUP($C9,'BDG Intensity'!$F:$F,'BDG Intensity'!Z:Z)</f>
        <v/>
      </c>
    </row>
    <row r="10">
      <c r="B10">
        <f>Def_Tech!C154</f>
        <v/>
      </c>
      <c r="C10">
        <f>Def_Tech!D25</f>
        <v/>
      </c>
      <c r="D10">
        <f>Def_Comm!C154</f>
        <v/>
      </c>
      <c r="E10">
        <f>Def_Comm!C25</f>
        <v/>
      </c>
      <c r="F10" s="12">
        <f>_xlfn.XLOOKUP($C10,'BDG Intensity'!$F:$F,'BDG Intensity'!I:I)</f>
        <v/>
      </c>
      <c r="G10" s="12">
        <f>_xlfn.XLOOKUP($C10,'BDG Intensity'!$F:$F,'BDG Intensity'!J:J)</f>
        <v/>
      </c>
      <c r="H10" s="12">
        <f>_xlfn.XLOOKUP($C10,'BDG Intensity'!$F:$F,'BDG Intensity'!K:K)</f>
        <v/>
      </c>
      <c r="I10" s="12">
        <f>_xlfn.XLOOKUP($C10,'BDG Intensity'!$F:$F,'BDG Intensity'!L:L)</f>
        <v/>
      </c>
      <c r="J10" s="12">
        <f>_xlfn.XLOOKUP($C10,'BDG Intensity'!$F:$F,'BDG Intensity'!M:M)</f>
        <v/>
      </c>
      <c r="K10" s="12">
        <f>_xlfn.XLOOKUP($C10,'BDG Intensity'!$F:$F,'BDG Intensity'!N:N)</f>
        <v/>
      </c>
      <c r="L10" s="12">
        <f>_xlfn.XLOOKUP($C10,'BDG Intensity'!$F:$F,'BDG Intensity'!O:O)</f>
        <v/>
      </c>
      <c r="M10" s="12">
        <f>_xlfn.XLOOKUP($C10,'BDG Intensity'!$F:$F,'BDG Intensity'!P:P)</f>
        <v/>
      </c>
      <c r="N10" s="12">
        <f>_xlfn.XLOOKUP($C10,'BDG Intensity'!$F:$F,'BDG Intensity'!Q:Q)</f>
        <v/>
      </c>
      <c r="O10" s="12">
        <f>_xlfn.XLOOKUP($C10,'BDG Intensity'!$F:$F,'BDG Intensity'!R:R)</f>
        <v/>
      </c>
      <c r="P10" s="12">
        <f>_xlfn.XLOOKUP($C10,'BDG Intensity'!$F:$F,'BDG Intensity'!S:S)</f>
        <v/>
      </c>
      <c r="Q10" s="12">
        <f>_xlfn.XLOOKUP($C10,'BDG Intensity'!$F:$F,'BDG Intensity'!T:T)</f>
        <v/>
      </c>
      <c r="R10" s="12">
        <f>_xlfn.XLOOKUP($C10,'BDG Intensity'!$F:$F,'BDG Intensity'!U:U)</f>
        <v/>
      </c>
      <c r="S10" s="12">
        <f>_xlfn.XLOOKUP($C10,'BDG Intensity'!$F:$F,'BDG Intensity'!V:V)</f>
        <v/>
      </c>
      <c r="T10" s="12">
        <f>_xlfn.XLOOKUP($C10,'BDG Intensity'!$F:$F,'BDG Intensity'!W:W)</f>
        <v/>
      </c>
      <c r="U10" s="12">
        <f>_xlfn.XLOOKUP($C10,'BDG Intensity'!$F:$F,'BDG Intensity'!X:X)</f>
        <v/>
      </c>
      <c r="V10" s="12">
        <f>_xlfn.XLOOKUP($C10,'BDG Intensity'!$F:$F,'BDG Intensity'!Y:Y)</f>
        <v/>
      </c>
      <c r="W10" s="12">
        <f>_xlfn.XLOOKUP($C10,'BDG Intensity'!$F:$F,'BDG Intensity'!Z:Z)</f>
        <v/>
      </c>
    </row>
    <row r="11">
      <c r="B11">
        <f>Def_Tech!C155</f>
        <v/>
      </c>
      <c r="C11">
        <f>Def_Tech!D26</f>
        <v/>
      </c>
      <c r="D11">
        <f>Def_Comm!C155</f>
        <v/>
      </c>
      <c r="E11">
        <f>Def_Comm!C26</f>
        <v/>
      </c>
      <c r="F11" s="12">
        <f>_xlfn.XLOOKUP($C11,'BDG Intensity'!$F:$F,'BDG Intensity'!I:I)</f>
        <v/>
      </c>
      <c r="G11" s="12">
        <f>_xlfn.XLOOKUP($C11,'BDG Intensity'!$F:$F,'BDG Intensity'!J:J)</f>
        <v/>
      </c>
      <c r="H11" s="12">
        <f>_xlfn.XLOOKUP($C11,'BDG Intensity'!$F:$F,'BDG Intensity'!K:K)</f>
        <v/>
      </c>
      <c r="I11" s="12">
        <f>_xlfn.XLOOKUP($C11,'BDG Intensity'!$F:$F,'BDG Intensity'!L:L)</f>
        <v/>
      </c>
      <c r="J11" s="12">
        <f>_xlfn.XLOOKUP($C11,'BDG Intensity'!$F:$F,'BDG Intensity'!M:M)</f>
        <v/>
      </c>
      <c r="K11" s="12">
        <f>_xlfn.XLOOKUP($C11,'BDG Intensity'!$F:$F,'BDG Intensity'!N:N)</f>
        <v/>
      </c>
      <c r="L11" s="12">
        <f>_xlfn.XLOOKUP($C11,'BDG Intensity'!$F:$F,'BDG Intensity'!O:O)</f>
        <v/>
      </c>
      <c r="M11" s="12">
        <f>_xlfn.XLOOKUP($C11,'BDG Intensity'!$F:$F,'BDG Intensity'!P:P)</f>
        <v/>
      </c>
      <c r="N11" s="12">
        <f>_xlfn.XLOOKUP($C11,'BDG Intensity'!$F:$F,'BDG Intensity'!Q:Q)</f>
        <v/>
      </c>
      <c r="O11" s="12">
        <f>_xlfn.XLOOKUP($C11,'BDG Intensity'!$F:$F,'BDG Intensity'!R:R)</f>
        <v/>
      </c>
      <c r="P11" s="12">
        <f>_xlfn.XLOOKUP($C11,'BDG Intensity'!$F:$F,'BDG Intensity'!S:S)</f>
        <v/>
      </c>
      <c r="Q11" s="12">
        <f>_xlfn.XLOOKUP($C11,'BDG Intensity'!$F:$F,'BDG Intensity'!T:T)</f>
        <v/>
      </c>
      <c r="R11" s="12">
        <f>_xlfn.XLOOKUP($C11,'BDG Intensity'!$F:$F,'BDG Intensity'!U:U)</f>
        <v/>
      </c>
      <c r="S11" s="12">
        <f>_xlfn.XLOOKUP($C11,'BDG Intensity'!$F:$F,'BDG Intensity'!V:V)</f>
        <v/>
      </c>
      <c r="T11" s="12">
        <f>_xlfn.XLOOKUP($C11,'BDG Intensity'!$F:$F,'BDG Intensity'!W:W)</f>
        <v/>
      </c>
      <c r="U11" s="12">
        <f>_xlfn.XLOOKUP($C11,'BDG Intensity'!$F:$F,'BDG Intensity'!X:X)</f>
        <v/>
      </c>
      <c r="V11" s="12">
        <f>_xlfn.XLOOKUP($C11,'BDG Intensity'!$F:$F,'BDG Intensity'!Y:Y)</f>
        <v/>
      </c>
      <c r="W11" s="12">
        <f>_xlfn.XLOOKUP($C11,'BDG Intensity'!$F:$F,'BDG Intensity'!Z:Z)</f>
        <v/>
      </c>
    </row>
    <row r="12">
      <c r="B12">
        <f>Def_Tech!C156</f>
        <v/>
      </c>
      <c r="C12">
        <f>Def_Tech!D27</f>
        <v/>
      </c>
      <c r="D12">
        <f>Def_Comm!C156</f>
        <v/>
      </c>
      <c r="E12">
        <f>Def_Comm!C27</f>
        <v/>
      </c>
      <c r="F12" s="12">
        <f>_xlfn.XLOOKUP($C12,'BDG Intensity'!$F:$F,'BDG Intensity'!I:I)</f>
        <v/>
      </c>
      <c r="G12" s="12">
        <f>_xlfn.XLOOKUP($C12,'BDG Intensity'!$F:$F,'BDG Intensity'!J:J)</f>
        <v/>
      </c>
      <c r="H12" s="12">
        <f>_xlfn.XLOOKUP($C12,'BDG Intensity'!$F:$F,'BDG Intensity'!K:K)</f>
        <v/>
      </c>
      <c r="I12" s="12">
        <f>_xlfn.XLOOKUP($C12,'BDG Intensity'!$F:$F,'BDG Intensity'!L:L)</f>
        <v/>
      </c>
      <c r="J12" s="12">
        <f>_xlfn.XLOOKUP($C12,'BDG Intensity'!$F:$F,'BDG Intensity'!M:M)</f>
        <v/>
      </c>
      <c r="K12" s="12">
        <f>_xlfn.XLOOKUP($C12,'BDG Intensity'!$F:$F,'BDG Intensity'!N:N)</f>
        <v/>
      </c>
      <c r="L12" s="12">
        <f>_xlfn.XLOOKUP($C12,'BDG Intensity'!$F:$F,'BDG Intensity'!O:O)</f>
        <v/>
      </c>
      <c r="M12" s="12">
        <f>_xlfn.XLOOKUP($C12,'BDG Intensity'!$F:$F,'BDG Intensity'!P:P)</f>
        <v/>
      </c>
      <c r="N12" s="12">
        <f>_xlfn.XLOOKUP($C12,'BDG Intensity'!$F:$F,'BDG Intensity'!Q:Q)</f>
        <v/>
      </c>
      <c r="O12" s="12">
        <f>_xlfn.XLOOKUP($C12,'BDG Intensity'!$F:$F,'BDG Intensity'!R:R)</f>
        <v/>
      </c>
      <c r="P12" s="12">
        <f>_xlfn.XLOOKUP($C12,'BDG Intensity'!$F:$F,'BDG Intensity'!S:S)</f>
        <v/>
      </c>
      <c r="Q12" s="12">
        <f>_xlfn.XLOOKUP($C12,'BDG Intensity'!$F:$F,'BDG Intensity'!T:T)</f>
        <v/>
      </c>
      <c r="R12" s="12">
        <f>_xlfn.XLOOKUP($C12,'BDG Intensity'!$F:$F,'BDG Intensity'!U:U)</f>
        <v/>
      </c>
      <c r="S12" s="12">
        <f>_xlfn.XLOOKUP($C12,'BDG Intensity'!$F:$F,'BDG Intensity'!V:V)</f>
        <v/>
      </c>
      <c r="T12" s="12">
        <f>_xlfn.XLOOKUP($C12,'BDG Intensity'!$F:$F,'BDG Intensity'!W:W)</f>
        <v/>
      </c>
      <c r="U12" s="12">
        <f>_xlfn.XLOOKUP($C12,'BDG Intensity'!$F:$F,'BDG Intensity'!X:X)</f>
        <v/>
      </c>
      <c r="V12" s="12">
        <f>_xlfn.XLOOKUP($C12,'BDG Intensity'!$F:$F,'BDG Intensity'!Y:Y)</f>
        <v/>
      </c>
      <c r="W12" s="12">
        <f>_xlfn.XLOOKUP($C12,'BDG Intensity'!$F:$F,'BDG Intensity'!Z:Z)</f>
        <v/>
      </c>
    </row>
    <row r="13">
      <c r="B13">
        <f>Def_Tech!C157</f>
        <v/>
      </c>
      <c r="C13">
        <f>Def_Tech!D28</f>
        <v/>
      </c>
      <c r="D13">
        <f>Def_Comm!C157</f>
        <v/>
      </c>
      <c r="E13">
        <f>Def_Comm!C28</f>
        <v/>
      </c>
      <c r="F13" s="12">
        <f>_xlfn.XLOOKUP($C13,'BDG Intensity'!$F:$F,'BDG Intensity'!I:I)</f>
        <v/>
      </c>
      <c r="G13" s="12">
        <f>_xlfn.XLOOKUP($C13,'BDG Intensity'!$F:$F,'BDG Intensity'!J:J)</f>
        <v/>
      </c>
      <c r="H13" s="12">
        <f>_xlfn.XLOOKUP($C13,'BDG Intensity'!$F:$F,'BDG Intensity'!K:K)</f>
        <v/>
      </c>
      <c r="I13" s="12">
        <f>_xlfn.XLOOKUP($C13,'BDG Intensity'!$F:$F,'BDG Intensity'!L:L)</f>
        <v/>
      </c>
      <c r="J13" s="12">
        <f>_xlfn.XLOOKUP($C13,'BDG Intensity'!$F:$F,'BDG Intensity'!M:M)</f>
        <v/>
      </c>
      <c r="K13" s="12">
        <f>_xlfn.XLOOKUP($C13,'BDG Intensity'!$F:$F,'BDG Intensity'!N:N)</f>
        <v/>
      </c>
      <c r="L13" s="12">
        <f>_xlfn.XLOOKUP($C13,'BDG Intensity'!$F:$F,'BDG Intensity'!O:O)</f>
        <v/>
      </c>
      <c r="M13" s="12">
        <f>_xlfn.XLOOKUP($C13,'BDG Intensity'!$F:$F,'BDG Intensity'!P:P)</f>
        <v/>
      </c>
      <c r="N13" s="12">
        <f>_xlfn.XLOOKUP($C13,'BDG Intensity'!$F:$F,'BDG Intensity'!Q:Q)</f>
        <v/>
      </c>
      <c r="O13" s="12">
        <f>_xlfn.XLOOKUP($C13,'BDG Intensity'!$F:$F,'BDG Intensity'!R:R)</f>
        <v/>
      </c>
      <c r="P13" s="12">
        <f>_xlfn.XLOOKUP($C13,'BDG Intensity'!$F:$F,'BDG Intensity'!S:S)</f>
        <v/>
      </c>
      <c r="Q13" s="12">
        <f>_xlfn.XLOOKUP($C13,'BDG Intensity'!$F:$F,'BDG Intensity'!T:T)</f>
        <v/>
      </c>
      <c r="R13" s="12">
        <f>_xlfn.XLOOKUP($C13,'BDG Intensity'!$F:$F,'BDG Intensity'!U:U)</f>
        <v/>
      </c>
      <c r="S13" s="12">
        <f>_xlfn.XLOOKUP($C13,'BDG Intensity'!$F:$F,'BDG Intensity'!V:V)</f>
        <v/>
      </c>
      <c r="T13" s="12">
        <f>_xlfn.XLOOKUP($C13,'BDG Intensity'!$F:$F,'BDG Intensity'!W:W)</f>
        <v/>
      </c>
      <c r="U13" s="12">
        <f>_xlfn.XLOOKUP($C13,'BDG Intensity'!$F:$F,'BDG Intensity'!X:X)</f>
        <v/>
      </c>
      <c r="V13" s="12">
        <f>_xlfn.XLOOKUP($C13,'BDG Intensity'!$F:$F,'BDG Intensity'!Y:Y)</f>
        <v/>
      </c>
      <c r="W13" s="12">
        <f>_xlfn.XLOOKUP($C13,'BDG Intensity'!$F:$F,'BDG Intensity'!Z:Z)</f>
        <v/>
      </c>
    </row>
    <row r="14">
      <c r="B14">
        <f>Def_Tech!C158</f>
        <v/>
      </c>
      <c r="C14">
        <f>Def_Tech!D29</f>
        <v/>
      </c>
      <c r="D14">
        <f>Def_Comm!C158</f>
        <v/>
      </c>
      <c r="E14">
        <f>Def_Comm!C29</f>
        <v/>
      </c>
      <c r="F14" s="12">
        <f>_xlfn.XLOOKUP($C14,'BDG Intensity'!$F:$F,'BDG Intensity'!I:I)</f>
        <v/>
      </c>
      <c r="G14" s="12">
        <f>_xlfn.XLOOKUP($C14,'BDG Intensity'!$F:$F,'BDG Intensity'!J:J)</f>
        <v/>
      </c>
      <c r="H14" s="12">
        <f>_xlfn.XLOOKUP($C14,'BDG Intensity'!$F:$F,'BDG Intensity'!K:K)</f>
        <v/>
      </c>
      <c r="I14" s="12">
        <f>_xlfn.XLOOKUP($C14,'BDG Intensity'!$F:$F,'BDG Intensity'!L:L)</f>
        <v/>
      </c>
      <c r="J14" s="12">
        <f>_xlfn.XLOOKUP($C14,'BDG Intensity'!$F:$F,'BDG Intensity'!M:M)</f>
        <v/>
      </c>
      <c r="K14" s="12">
        <f>_xlfn.XLOOKUP($C14,'BDG Intensity'!$F:$F,'BDG Intensity'!N:N)</f>
        <v/>
      </c>
      <c r="L14" s="12">
        <f>_xlfn.XLOOKUP($C14,'BDG Intensity'!$F:$F,'BDG Intensity'!O:O)</f>
        <v/>
      </c>
      <c r="M14" s="12">
        <f>_xlfn.XLOOKUP($C14,'BDG Intensity'!$F:$F,'BDG Intensity'!P:P)</f>
        <v/>
      </c>
      <c r="N14" s="12">
        <f>_xlfn.XLOOKUP($C14,'BDG Intensity'!$F:$F,'BDG Intensity'!Q:Q)</f>
        <v/>
      </c>
      <c r="O14" s="12">
        <f>_xlfn.XLOOKUP($C14,'BDG Intensity'!$F:$F,'BDG Intensity'!R:R)</f>
        <v/>
      </c>
      <c r="P14" s="12">
        <f>_xlfn.XLOOKUP($C14,'BDG Intensity'!$F:$F,'BDG Intensity'!S:S)</f>
        <v/>
      </c>
      <c r="Q14" s="12">
        <f>_xlfn.XLOOKUP($C14,'BDG Intensity'!$F:$F,'BDG Intensity'!T:T)</f>
        <v/>
      </c>
      <c r="R14" s="12">
        <f>_xlfn.XLOOKUP($C14,'BDG Intensity'!$F:$F,'BDG Intensity'!U:U)</f>
        <v/>
      </c>
      <c r="S14" s="12">
        <f>_xlfn.XLOOKUP($C14,'BDG Intensity'!$F:$F,'BDG Intensity'!V:V)</f>
        <v/>
      </c>
      <c r="T14" s="12">
        <f>_xlfn.XLOOKUP($C14,'BDG Intensity'!$F:$F,'BDG Intensity'!W:W)</f>
        <v/>
      </c>
      <c r="U14" s="12">
        <f>_xlfn.XLOOKUP($C14,'BDG Intensity'!$F:$F,'BDG Intensity'!X:X)</f>
        <v/>
      </c>
      <c r="V14" s="12">
        <f>_xlfn.XLOOKUP($C14,'BDG Intensity'!$F:$F,'BDG Intensity'!Y:Y)</f>
        <v/>
      </c>
      <c r="W14" s="12">
        <f>_xlfn.XLOOKUP($C14,'BDG Intensity'!$F:$F,'BDG Intensity'!Z:Z)</f>
        <v/>
      </c>
    </row>
    <row r="15">
      <c r="B15">
        <f>Def_Tech!C159</f>
        <v/>
      </c>
      <c r="C15">
        <f>Def_Tech!D30</f>
        <v/>
      </c>
      <c r="D15">
        <f>Def_Comm!C159</f>
        <v/>
      </c>
      <c r="E15">
        <f>Def_Comm!C30</f>
        <v/>
      </c>
      <c r="F15" s="12">
        <f>_xlfn.XLOOKUP($C15,'BDG Intensity'!$F:$F,'BDG Intensity'!I:I)</f>
        <v/>
      </c>
      <c r="G15" s="12">
        <f>_xlfn.XLOOKUP($C15,'BDG Intensity'!$F:$F,'BDG Intensity'!J:J)</f>
        <v/>
      </c>
      <c r="H15" s="12">
        <f>_xlfn.XLOOKUP($C15,'BDG Intensity'!$F:$F,'BDG Intensity'!K:K)</f>
        <v/>
      </c>
      <c r="I15" s="12">
        <f>_xlfn.XLOOKUP($C15,'BDG Intensity'!$F:$F,'BDG Intensity'!L:L)</f>
        <v/>
      </c>
      <c r="J15" s="12">
        <f>_xlfn.XLOOKUP($C15,'BDG Intensity'!$F:$F,'BDG Intensity'!M:M)</f>
        <v/>
      </c>
      <c r="K15" s="12">
        <f>_xlfn.XLOOKUP($C15,'BDG Intensity'!$F:$F,'BDG Intensity'!N:N)</f>
        <v/>
      </c>
      <c r="L15" s="12">
        <f>_xlfn.XLOOKUP($C15,'BDG Intensity'!$F:$F,'BDG Intensity'!O:O)</f>
        <v/>
      </c>
      <c r="M15" s="12">
        <f>_xlfn.XLOOKUP($C15,'BDG Intensity'!$F:$F,'BDG Intensity'!P:P)</f>
        <v/>
      </c>
      <c r="N15" s="12">
        <f>_xlfn.XLOOKUP($C15,'BDG Intensity'!$F:$F,'BDG Intensity'!Q:Q)</f>
        <v/>
      </c>
      <c r="O15" s="12">
        <f>_xlfn.XLOOKUP($C15,'BDG Intensity'!$F:$F,'BDG Intensity'!R:R)</f>
        <v/>
      </c>
      <c r="P15" s="12">
        <f>_xlfn.XLOOKUP($C15,'BDG Intensity'!$F:$F,'BDG Intensity'!S:S)</f>
        <v/>
      </c>
      <c r="Q15" s="12">
        <f>_xlfn.XLOOKUP($C15,'BDG Intensity'!$F:$F,'BDG Intensity'!T:T)</f>
        <v/>
      </c>
      <c r="R15" s="12">
        <f>_xlfn.XLOOKUP($C15,'BDG Intensity'!$F:$F,'BDG Intensity'!U:U)</f>
        <v/>
      </c>
      <c r="S15" s="12">
        <f>_xlfn.XLOOKUP($C15,'BDG Intensity'!$F:$F,'BDG Intensity'!V:V)</f>
        <v/>
      </c>
      <c r="T15" s="12">
        <f>_xlfn.XLOOKUP($C15,'BDG Intensity'!$F:$F,'BDG Intensity'!W:W)</f>
        <v/>
      </c>
      <c r="U15" s="12">
        <f>_xlfn.XLOOKUP($C15,'BDG Intensity'!$F:$F,'BDG Intensity'!X:X)</f>
        <v/>
      </c>
      <c r="V15" s="12">
        <f>_xlfn.XLOOKUP($C15,'BDG Intensity'!$F:$F,'BDG Intensity'!Y:Y)</f>
        <v/>
      </c>
      <c r="W15" s="12">
        <f>_xlfn.XLOOKUP($C15,'BDG Intensity'!$F:$F,'BDG Intensity'!Z:Z)</f>
        <v/>
      </c>
    </row>
    <row r="16">
      <c r="B16">
        <f>Def_Tech!C160</f>
        <v/>
      </c>
      <c r="C16">
        <f>Def_Tech!D31</f>
        <v/>
      </c>
      <c r="D16">
        <f>Def_Comm!C160</f>
        <v/>
      </c>
      <c r="E16">
        <f>Def_Comm!C31</f>
        <v/>
      </c>
      <c r="F16" s="12">
        <f>_xlfn.XLOOKUP($C16,'BDG Intensity'!$F:$F,'BDG Intensity'!I:I)</f>
        <v/>
      </c>
      <c r="G16" s="12">
        <f>_xlfn.XLOOKUP($C16,'BDG Intensity'!$F:$F,'BDG Intensity'!J:J)</f>
        <v/>
      </c>
      <c r="H16" s="12">
        <f>_xlfn.XLOOKUP($C16,'BDG Intensity'!$F:$F,'BDG Intensity'!K:K)</f>
        <v/>
      </c>
      <c r="I16" s="12">
        <f>_xlfn.XLOOKUP($C16,'BDG Intensity'!$F:$F,'BDG Intensity'!L:L)</f>
        <v/>
      </c>
      <c r="J16" s="12">
        <f>_xlfn.XLOOKUP($C16,'BDG Intensity'!$F:$F,'BDG Intensity'!M:M)</f>
        <v/>
      </c>
      <c r="K16" s="12">
        <f>_xlfn.XLOOKUP($C16,'BDG Intensity'!$F:$F,'BDG Intensity'!N:N)</f>
        <v/>
      </c>
      <c r="L16" s="12">
        <f>_xlfn.XLOOKUP($C16,'BDG Intensity'!$F:$F,'BDG Intensity'!O:O)</f>
        <v/>
      </c>
      <c r="M16" s="12">
        <f>_xlfn.XLOOKUP($C16,'BDG Intensity'!$F:$F,'BDG Intensity'!P:P)</f>
        <v/>
      </c>
      <c r="N16" s="12">
        <f>_xlfn.XLOOKUP($C16,'BDG Intensity'!$F:$F,'BDG Intensity'!Q:Q)</f>
        <v/>
      </c>
      <c r="O16" s="12">
        <f>_xlfn.XLOOKUP($C16,'BDG Intensity'!$F:$F,'BDG Intensity'!R:R)</f>
        <v/>
      </c>
      <c r="P16" s="12">
        <f>_xlfn.XLOOKUP($C16,'BDG Intensity'!$F:$F,'BDG Intensity'!S:S)</f>
        <v/>
      </c>
      <c r="Q16" s="12">
        <f>_xlfn.XLOOKUP($C16,'BDG Intensity'!$F:$F,'BDG Intensity'!T:T)</f>
        <v/>
      </c>
      <c r="R16" s="12">
        <f>_xlfn.XLOOKUP($C16,'BDG Intensity'!$F:$F,'BDG Intensity'!U:U)</f>
        <v/>
      </c>
      <c r="S16" s="12">
        <f>_xlfn.XLOOKUP($C16,'BDG Intensity'!$F:$F,'BDG Intensity'!V:V)</f>
        <v/>
      </c>
      <c r="T16" s="12">
        <f>_xlfn.XLOOKUP($C16,'BDG Intensity'!$F:$F,'BDG Intensity'!W:W)</f>
        <v/>
      </c>
      <c r="U16" s="12">
        <f>_xlfn.XLOOKUP($C16,'BDG Intensity'!$F:$F,'BDG Intensity'!X:X)</f>
        <v/>
      </c>
      <c r="V16" s="12">
        <f>_xlfn.XLOOKUP($C16,'BDG Intensity'!$F:$F,'BDG Intensity'!Y:Y)</f>
        <v/>
      </c>
      <c r="W16" s="12">
        <f>_xlfn.XLOOKUP($C16,'BDG Intensity'!$F:$F,'BDG Intensity'!Z:Z)</f>
        <v/>
      </c>
    </row>
    <row r="17">
      <c r="B17">
        <f>Def_Tech!C161</f>
        <v/>
      </c>
      <c r="C17">
        <f>Def_Tech!D32</f>
        <v/>
      </c>
      <c r="D17">
        <f>Def_Comm!C161</f>
        <v/>
      </c>
      <c r="E17">
        <f>Def_Comm!C32</f>
        <v/>
      </c>
      <c r="F17" s="12">
        <f>_xlfn.XLOOKUP($C17,'BDG Intensity'!$F:$F,'BDG Intensity'!I:I)</f>
        <v/>
      </c>
      <c r="G17" s="12">
        <f>_xlfn.XLOOKUP($C17,'BDG Intensity'!$F:$F,'BDG Intensity'!J:J)</f>
        <v/>
      </c>
      <c r="H17" s="12">
        <f>_xlfn.XLOOKUP($C17,'BDG Intensity'!$F:$F,'BDG Intensity'!K:K)</f>
        <v/>
      </c>
      <c r="I17" s="12">
        <f>_xlfn.XLOOKUP($C17,'BDG Intensity'!$F:$F,'BDG Intensity'!L:L)</f>
        <v/>
      </c>
      <c r="J17" s="12">
        <f>_xlfn.XLOOKUP($C17,'BDG Intensity'!$F:$F,'BDG Intensity'!M:M)</f>
        <v/>
      </c>
      <c r="K17" s="12">
        <f>_xlfn.XLOOKUP($C17,'BDG Intensity'!$F:$F,'BDG Intensity'!N:N)</f>
        <v/>
      </c>
      <c r="L17" s="12">
        <f>_xlfn.XLOOKUP($C17,'BDG Intensity'!$F:$F,'BDG Intensity'!O:O)</f>
        <v/>
      </c>
      <c r="M17" s="12">
        <f>_xlfn.XLOOKUP($C17,'BDG Intensity'!$F:$F,'BDG Intensity'!P:P)</f>
        <v/>
      </c>
      <c r="N17" s="12">
        <f>_xlfn.XLOOKUP($C17,'BDG Intensity'!$F:$F,'BDG Intensity'!Q:Q)</f>
        <v/>
      </c>
      <c r="O17" s="12">
        <f>_xlfn.XLOOKUP($C17,'BDG Intensity'!$F:$F,'BDG Intensity'!R:R)</f>
        <v/>
      </c>
      <c r="P17" s="12">
        <f>_xlfn.XLOOKUP($C17,'BDG Intensity'!$F:$F,'BDG Intensity'!S:S)</f>
        <v/>
      </c>
      <c r="Q17" s="12">
        <f>_xlfn.XLOOKUP($C17,'BDG Intensity'!$F:$F,'BDG Intensity'!T:T)</f>
        <v/>
      </c>
      <c r="R17" s="12">
        <f>_xlfn.XLOOKUP($C17,'BDG Intensity'!$F:$F,'BDG Intensity'!U:U)</f>
        <v/>
      </c>
      <c r="S17" s="12">
        <f>_xlfn.XLOOKUP($C17,'BDG Intensity'!$F:$F,'BDG Intensity'!V:V)</f>
        <v/>
      </c>
      <c r="T17" s="12">
        <f>_xlfn.XLOOKUP($C17,'BDG Intensity'!$F:$F,'BDG Intensity'!W:W)</f>
        <v/>
      </c>
      <c r="U17" s="12">
        <f>_xlfn.XLOOKUP($C17,'BDG Intensity'!$F:$F,'BDG Intensity'!X:X)</f>
        <v/>
      </c>
      <c r="V17" s="12">
        <f>_xlfn.XLOOKUP($C17,'BDG Intensity'!$F:$F,'BDG Intensity'!Y:Y)</f>
        <v/>
      </c>
      <c r="W17" s="12">
        <f>_xlfn.XLOOKUP($C17,'BDG Intensity'!$F:$F,'BDG Intensity'!Z:Z)</f>
        <v/>
      </c>
    </row>
    <row r="18">
      <c r="B18">
        <f>Def_Tech!C162</f>
        <v/>
      </c>
      <c r="C18">
        <f>Def_Tech!D33</f>
        <v/>
      </c>
      <c r="D18">
        <f>Def_Comm!C162</f>
        <v/>
      </c>
      <c r="E18">
        <f>Def_Comm!C33</f>
        <v/>
      </c>
      <c r="F18" s="12">
        <f>_xlfn.XLOOKUP($C18,'BDG Intensity'!$F:$F,'BDG Intensity'!I:I)</f>
        <v/>
      </c>
      <c r="G18" s="12">
        <f>_xlfn.XLOOKUP($C18,'BDG Intensity'!$F:$F,'BDG Intensity'!J:J)</f>
        <v/>
      </c>
      <c r="H18" s="12">
        <f>_xlfn.XLOOKUP($C18,'BDG Intensity'!$F:$F,'BDG Intensity'!K:K)</f>
        <v/>
      </c>
      <c r="I18" s="12">
        <f>_xlfn.XLOOKUP($C18,'BDG Intensity'!$F:$F,'BDG Intensity'!L:L)</f>
        <v/>
      </c>
      <c r="J18" s="12">
        <f>_xlfn.XLOOKUP($C18,'BDG Intensity'!$F:$F,'BDG Intensity'!M:M)</f>
        <v/>
      </c>
      <c r="K18" s="12">
        <f>_xlfn.XLOOKUP($C18,'BDG Intensity'!$F:$F,'BDG Intensity'!N:N)</f>
        <v/>
      </c>
      <c r="L18" s="12">
        <f>_xlfn.XLOOKUP($C18,'BDG Intensity'!$F:$F,'BDG Intensity'!O:O)</f>
        <v/>
      </c>
      <c r="M18" s="12">
        <f>_xlfn.XLOOKUP($C18,'BDG Intensity'!$F:$F,'BDG Intensity'!P:P)</f>
        <v/>
      </c>
      <c r="N18" s="12">
        <f>_xlfn.XLOOKUP($C18,'BDG Intensity'!$F:$F,'BDG Intensity'!Q:Q)</f>
        <v/>
      </c>
      <c r="O18" s="12">
        <f>_xlfn.XLOOKUP($C18,'BDG Intensity'!$F:$F,'BDG Intensity'!R:R)</f>
        <v/>
      </c>
      <c r="P18" s="12">
        <f>_xlfn.XLOOKUP($C18,'BDG Intensity'!$F:$F,'BDG Intensity'!S:S)</f>
        <v/>
      </c>
      <c r="Q18" s="12">
        <f>_xlfn.XLOOKUP($C18,'BDG Intensity'!$F:$F,'BDG Intensity'!T:T)</f>
        <v/>
      </c>
      <c r="R18" s="12">
        <f>_xlfn.XLOOKUP($C18,'BDG Intensity'!$F:$F,'BDG Intensity'!U:U)</f>
        <v/>
      </c>
      <c r="S18" s="12">
        <f>_xlfn.XLOOKUP($C18,'BDG Intensity'!$F:$F,'BDG Intensity'!V:V)</f>
        <v/>
      </c>
      <c r="T18" s="12">
        <f>_xlfn.XLOOKUP($C18,'BDG Intensity'!$F:$F,'BDG Intensity'!W:W)</f>
        <v/>
      </c>
      <c r="U18" s="12">
        <f>_xlfn.XLOOKUP($C18,'BDG Intensity'!$F:$F,'BDG Intensity'!X:X)</f>
        <v/>
      </c>
      <c r="V18" s="12">
        <f>_xlfn.XLOOKUP($C18,'BDG Intensity'!$F:$F,'BDG Intensity'!Y:Y)</f>
        <v/>
      </c>
      <c r="W18" s="12">
        <f>_xlfn.XLOOKUP($C18,'BDG Intensity'!$F:$F,'BDG Intensity'!Z:Z)</f>
        <v/>
      </c>
    </row>
    <row r="19">
      <c r="B19">
        <f>Def_Tech!C163</f>
        <v/>
      </c>
      <c r="C19">
        <f>Def_Tech!D34</f>
        <v/>
      </c>
      <c r="D19">
        <f>Def_Comm!C163</f>
        <v/>
      </c>
      <c r="E19">
        <f>Def_Comm!C34</f>
        <v/>
      </c>
      <c r="F19" s="12">
        <f>_xlfn.XLOOKUP($C19,'BDG Intensity'!$F:$F,'BDG Intensity'!I:I)</f>
        <v/>
      </c>
      <c r="G19" s="12">
        <f>_xlfn.XLOOKUP($C19,'BDG Intensity'!$F:$F,'BDG Intensity'!J:J)</f>
        <v/>
      </c>
      <c r="H19" s="12">
        <f>_xlfn.XLOOKUP($C19,'BDG Intensity'!$F:$F,'BDG Intensity'!K:K)</f>
        <v/>
      </c>
      <c r="I19" s="12">
        <f>_xlfn.XLOOKUP($C19,'BDG Intensity'!$F:$F,'BDG Intensity'!L:L)</f>
        <v/>
      </c>
      <c r="J19" s="12">
        <f>_xlfn.XLOOKUP($C19,'BDG Intensity'!$F:$F,'BDG Intensity'!M:M)</f>
        <v/>
      </c>
      <c r="K19" s="12">
        <f>_xlfn.XLOOKUP($C19,'BDG Intensity'!$F:$F,'BDG Intensity'!N:N)</f>
        <v/>
      </c>
      <c r="L19" s="12">
        <f>_xlfn.XLOOKUP($C19,'BDG Intensity'!$F:$F,'BDG Intensity'!O:O)</f>
        <v/>
      </c>
      <c r="M19" s="12">
        <f>_xlfn.XLOOKUP($C19,'BDG Intensity'!$F:$F,'BDG Intensity'!P:P)</f>
        <v/>
      </c>
      <c r="N19" s="12">
        <f>_xlfn.XLOOKUP($C19,'BDG Intensity'!$F:$F,'BDG Intensity'!Q:Q)</f>
        <v/>
      </c>
      <c r="O19" s="12">
        <f>_xlfn.XLOOKUP($C19,'BDG Intensity'!$F:$F,'BDG Intensity'!R:R)</f>
        <v/>
      </c>
      <c r="P19" s="12">
        <f>_xlfn.XLOOKUP($C19,'BDG Intensity'!$F:$F,'BDG Intensity'!S:S)</f>
        <v/>
      </c>
      <c r="Q19" s="12">
        <f>_xlfn.XLOOKUP($C19,'BDG Intensity'!$F:$F,'BDG Intensity'!T:T)</f>
        <v/>
      </c>
      <c r="R19" s="12">
        <f>_xlfn.XLOOKUP($C19,'BDG Intensity'!$F:$F,'BDG Intensity'!U:U)</f>
        <v/>
      </c>
      <c r="S19" s="12">
        <f>_xlfn.XLOOKUP($C19,'BDG Intensity'!$F:$F,'BDG Intensity'!V:V)</f>
        <v/>
      </c>
      <c r="T19" s="12">
        <f>_xlfn.XLOOKUP($C19,'BDG Intensity'!$F:$F,'BDG Intensity'!W:W)</f>
        <v/>
      </c>
      <c r="U19" s="12">
        <f>_xlfn.XLOOKUP($C19,'BDG Intensity'!$F:$F,'BDG Intensity'!X:X)</f>
        <v/>
      </c>
      <c r="V19" s="12">
        <f>_xlfn.XLOOKUP($C19,'BDG Intensity'!$F:$F,'BDG Intensity'!Y:Y)</f>
        <v/>
      </c>
      <c r="W19" s="12">
        <f>_xlfn.XLOOKUP($C19,'BDG Intensity'!$F:$F,'BDG Intensity'!Z:Z)</f>
        <v/>
      </c>
    </row>
    <row r="20">
      <c r="B20">
        <f>Def_Tech!C164</f>
        <v/>
      </c>
      <c r="C20">
        <f>Def_Tech!D35</f>
        <v/>
      </c>
      <c r="D20">
        <f>Def_Comm!C164</f>
        <v/>
      </c>
      <c r="E20">
        <f>Def_Comm!C35</f>
        <v/>
      </c>
      <c r="F20" s="12">
        <f>_xlfn.XLOOKUP($C20,'BDG Intensity'!$F:$F,'BDG Intensity'!I:I)</f>
        <v/>
      </c>
      <c r="G20" s="12">
        <f>_xlfn.XLOOKUP($C20,'BDG Intensity'!$F:$F,'BDG Intensity'!J:J)</f>
        <v/>
      </c>
      <c r="H20" s="12">
        <f>_xlfn.XLOOKUP($C20,'BDG Intensity'!$F:$F,'BDG Intensity'!K:K)</f>
        <v/>
      </c>
      <c r="I20" s="12">
        <f>_xlfn.XLOOKUP($C20,'BDG Intensity'!$F:$F,'BDG Intensity'!L:L)</f>
        <v/>
      </c>
      <c r="J20" s="12">
        <f>_xlfn.XLOOKUP($C20,'BDG Intensity'!$F:$F,'BDG Intensity'!M:M)</f>
        <v/>
      </c>
      <c r="K20" s="12">
        <f>_xlfn.XLOOKUP($C20,'BDG Intensity'!$F:$F,'BDG Intensity'!N:N)</f>
        <v/>
      </c>
      <c r="L20" s="12">
        <f>_xlfn.XLOOKUP($C20,'BDG Intensity'!$F:$F,'BDG Intensity'!O:O)</f>
        <v/>
      </c>
      <c r="M20" s="12">
        <f>_xlfn.XLOOKUP($C20,'BDG Intensity'!$F:$F,'BDG Intensity'!P:P)</f>
        <v/>
      </c>
      <c r="N20" s="12">
        <f>_xlfn.XLOOKUP($C20,'BDG Intensity'!$F:$F,'BDG Intensity'!Q:Q)</f>
        <v/>
      </c>
      <c r="O20" s="12">
        <f>_xlfn.XLOOKUP($C20,'BDG Intensity'!$F:$F,'BDG Intensity'!R:R)</f>
        <v/>
      </c>
      <c r="P20" s="12">
        <f>_xlfn.XLOOKUP($C20,'BDG Intensity'!$F:$F,'BDG Intensity'!S:S)</f>
        <v/>
      </c>
      <c r="Q20" s="12">
        <f>_xlfn.XLOOKUP($C20,'BDG Intensity'!$F:$F,'BDG Intensity'!T:T)</f>
        <v/>
      </c>
      <c r="R20" s="12">
        <f>_xlfn.XLOOKUP($C20,'BDG Intensity'!$F:$F,'BDG Intensity'!U:U)</f>
        <v/>
      </c>
      <c r="S20" s="12">
        <f>_xlfn.XLOOKUP($C20,'BDG Intensity'!$F:$F,'BDG Intensity'!V:V)</f>
        <v/>
      </c>
      <c r="T20" s="12">
        <f>_xlfn.XLOOKUP($C20,'BDG Intensity'!$F:$F,'BDG Intensity'!W:W)</f>
        <v/>
      </c>
      <c r="U20" s="12">
        <f>_xlfn.XLOOKUP($C20,'BDG Intensity'!$F:$F,'BDG Intensity'!X:X)</f>
        <v/>
      </c>
      <c r="V20" s="12">
        <f>_xlfn.XLOOKUP($C20,'BDG Intensity'!$F:$F,'BDG Intensity'!Y:Y)</f>
        <v/>
      </c>
      <c r="W20" s="12">
        <f>_xlfn.XLOOKUP($C20,'BDG Intensity'!$F:$F,'BDG Intensity'!Z:Z)</f>
        <v/>
      </c>
    </row>
    <row r="21">
      <c r="B21">
        <f>Def_Tech!C165</f>
        <v/>
      </c>
      <c r="C21">
        <f>Def_Tech!D36</f>
        <v/>
      </c>
      <c r="D21">
        <f>Def_Comm!C165</f>
        <v/>
      </c>
      <c r="E21">
        <f>Def_Comm!C36</f>
        <v/>
      </c>
      <c r="F21" s="12">
        <f>_xlfn.XLOOKUP($C21,'BDG Intensity'!$F:$F,'BDG Intensity'!I:I)</f>
        <v/>
      </c>
      <c r="G21" s="12">
        <f>_xlfn.XLOOKUP($C21,'BDG Intensity'!$F:$F,'BDG Intensity'!J:J)</f>
        <v/>
      </c>
      <c r="H21" s="12">
        <f>_xlfn.XLOOKUP($C21,'BDG Intensity'!$F:$F,'BDG Intensity'!K:K)</f>
        <v/>
      </c>
      <c r="I21" s="12">
        <f>_xlfn.XLOOKUP($C21,'BDG Intensity'!$F:$F,'BDG Intensity'!L:L)</f>
        <v/>
      </c>
      <c r="J21" s="12">
        <f>_xlfn.XLOOKUP($C21,'BDG Intensity'!$F:$F,'BDG Intensity'!M:M)</f>
        <v/>
      </c>
      <c r="K21" s="12">
        <f>_xlfn.XLOOKUP($C21,'BDG Intensity'!$F:$F,'BDG Intensity'!N:N)</f>
        <v/>
      </c>
      <c r="L21" s="12">
        <f>_xlfn.XLOOKUP($C21,'BDG Intensity'!$F:$F,'BDG Intensity'!O:O)</f>
        <v/>
      </c>
      <c r="M21" s="12">
        <f>_xlfn.XLOOKUP($C21,'BDG Intensity'!$F:$F,'BDG Intensity'!P:P)</f>
        <v/>
      </c>
      <c r="N21" s="12">
        <f>_xlfn.XLOOKUP($C21,'BDG Intensity'!$F:$F,'BDG Intensity'!Q:Q)</f>
        <v/>
      </c>
      <c r="O21" s="12">
        <f>_xlfn.XLOOKUP($C21,'BDG Intensity'!$F:$F,'BDG Intensity'!R:R)</f>
        <v/>
      </c>
      <c r="P21" s="12">
        <f>_xlfn.XLOOKUP($C21,'BDG Intensity'!$F:$F,'BDG Intensity'!S:S)</f>
        <v/>
      </c>
      <c r="Q21" s="12">
        <f>_xlfn.XLOOKUP($C21,'BDG Intensity'!$F:$F,'BDG Intensity'!T:T)</f>
        <v/>
      </c>
      <c r="R21" s="12">
        <f>_xlfn.XLOOKUP($C21,'BDG Intensity'!$F:$F,'BDG Intensity'!U:U)</f>
        <v/>
      </c>
      <c r="S21" s="12">
        <f>_xlfn.XLOOKUP($C21,'BDG Intensity'!$F:$F,'BDG Intensity'!V:V)</f>
        <v/>
      </c>
      <c r="T21" s="12">
        <f>_xlfn.XLOOKUP($C21,'BDG Intensity'!$F:$F,'BDG Intensity'!W:W)</f>
        <v/>
      </c>
      <c r="U21" s="12">
        <f>_xlfn.XLOOKUP($C21,'BDG Intensity'!$F:$F,'BDG Intensity'!X:X)</f>
        <v/>
      </c>
      <c r="V21" s="12">
        <f>_xlfn.XLOOKUP($C21,'BDG Intensity'!$F:$F,'BDG Intensity'!Y:Y)</f>
        <v/>
      </c>
      <c r="W21" s="12">
        <f>_xlfn.XLOOKUP($C21,'BDG Intensity'!$F:$F,'BDG Intensity'!Z:Z)</f>
        <v/>
      </c>
    </row>
    <row r="22">
      <c r="B22">
        <f>Def_Tech!C166</f>
        <v/>
      </c>
      <c r="C22">
        <f>Def_Tech!D37</f>
        <v/>
      </c>
      <c r="D22">
        <f>Def_Comm!C166</f>
        <v/>
      </c>
      <c r="E22">
        <f>Def_Comm!C37</f>
        <v/>
      </c>
      <c r="F22" s="12">
        <f>_xlfn.XLOOKUP($C22,'BDG Intensity'!$F:$F,'BDG Intensity'!I:I)</f>
        <v/>
      </c>
      <c r="G22" s="12">
        <f>_xlfn.XLOOKUP($C22,'BDG Intensity'!$F:$F,'BDG Intensity'!J:J)</f>
        <v/>
      </c>
      <c r="H22" s="12">
        <f>_xlfn.XLOOKUP($C22,'BDG Intensity'!$F:$F,'BDG Intensity'!K:K)</f>
        <v/>
      </c>
      <c r="I22" s="12">
        <f>_xlfn.XLOOKUP($C22,'BDG Intensity'!$F:$F,'BDG Intensity'!L:L)</f>
        <v/>
      </c>
      <c r="J22" s="12">
        <f>_xlfn.XLOOKUP($C22,'BDG Intensity'!$F:$F,'BDG Intensity'!M:M)</f>
        <v/>
      </c>
      <c r="K22" s="12">
        <f>_xlfn.XLOOKUP($C22,'BDG Intensity'!$F:$F,'BDG Intensity'!N:N)</f>
        <v/>
      </c>
      <c r="L22" s="12">
        <f>_xlfn.XLOOKUP($C22,'BDG Intensity'!$F:$F,'BDG Intensity'!O:O)</f>
        <v/>
      </c>
      <c r="M22" s="12">
        <f>_xlfn.XLOOKUP($C22,'BDG Intensity'!$F:$F,'BDG Intensity'!P:P)</f>
        <v/>
      </c>
      <c r="N22" s="12">
        <f>_xlfn.XLOOKUP($C22,'BDG Intensity'!$F:$F,'BDG Intensity'!Q:Q)</f>
        <v/>
      </c>
      <c r="O22" s="12">
        <f>_xlfn.XLOOKUP($C22,'BDG Intensity'!$F:$F,'BDG Intensity'!R:R)</f>
        <v/>
      </c>
      <c r="P22" s="12">
        <f>_xlfn.XLOOKUP($C22,'BDG Intensity'!$F:$F,'BDG Intensity'!S:S)</f>
        <v/>
      </c>
      <c r="Q22" s="12">
        <f>_xlfn.XLOOKUP($C22,'BDG Intensity'!$F:$F,'BDG Intensity'!T:T)</f>
        <v/>
      </c>
      <c r="R22" s="12">
        <f>_xlfn.XLOOKUP($C22,'BDG Intensity'!$F:$F,'BDG Intensity'!U:U)</f>
        <v/>
      </c>
      <c r="S22" s="12">
        <f>_xlfn.XLOOKUP($C22,'BDG Intensity'!$F:$F,'BDG Intensity'!V:V)</f>
        <v/>
      </c>
      <c r="T22" s="12">
        <f>_xlfn.XLOOKUP($C22,'BDG Intensity'!$F:$F,'BDG Intensity'!W:W)</f>
        <v/>
      </c>
      <c r="U22" s="12">
        <f>_xlfn.XLOOKUP($C22,'BDG Intensity'!$F:$F,'BDG Intensity'!X:X)</f>
        <v/>
      </c>
      <c r="V22" s="12">
        <f>_xlfn.XLOOKUP($C22,'BDG Intensity'!$F:$F,'BDG Intensity'!Y:Y)</f>
        <v/>
      </c>
      <c r="W22" s="12">
        <f>_xlfn.XLOOKUP($C22,'BDG Intensity'!$F:$F,'BDG Intensity'!Z:Z)</f>
        <v/>
      </c>
    </row>
    <row r="23">
      <c r="B23">
        <f>Def_Tech!C167</f>
        <v/>
      </c>
      <c r="C23">
        <f>Def_Tech!D38</f>
        <v/>
      </c>
      <c r="D23">
        <f>Def_Comm!C167</f>
        <v/>
      </c>
      <c r="E23">
        <f>Def_Comm!C38</f>
        <v/>
      </c>
      <c r="F23" s="12">
        <f>_xlfn.XLOOKUP($C23,'BDG Intensity'!$F:$F,'BDG Intensity'!I:I)</f>
        <v/>
      </c>
      <c r="G23" s="12">
        <f>_xlfn.XLOOKUP($C23,'BDG Intensity'!$F:$F,'BDG Intensity'!J:J)</f>
        <v/>
      </c>
      <c r="H23" s="12">
        <f>_xlfn.XLOOKUP($C23,'BDG Intensity'!$F:$F,'BDG Intensity'!K:K)</f>
        <v/>
      </c>
      <c r="I23" s="12">
        <f>_xlfn.XLOOKUP($C23,'BDG Intensity'!$F:$F,'BDG Intensity'!L:L)</f>
        <v/>
      </c>
      <c r="J23" s="12">
        <f>_xlfn.XLOOKUP($C23,'BDG Intensity'!$F:$F,'BDG Intensity'!M:M)</f>
        <v/>
      </c>
      <c r="K23" s="12">
        <f>_xlfn.XLOOKUP($C23,'BDG Intensity'!$F:$F,'BDG Intensity'!N:N)</f>
        <v/>
      </c>
      <c r="L23" s="12">
        <f>_xlfn.XLOOKUP($C23,'BDG Intensity'!$F:$F,'BDG Intensity'!O:O)</f>
        <v/>
      </c>
      <c r="M23" s="12">
        <f>_xlfn.XLOOKUP($C23,'BDG Intensity'!$F:$F,'BDG Intensity'!P:P)</f>
        <v/>
      </c>
      <c r="N23" s="12">
        <f>_xlfn.XLOOKUP($C23,'BDG Intensity'!$F:$F,'BDG Intensity'!Q:Q)</f>
        <v/>
      </c>
      <c r="O23" s="12">
        <f>_xlfn.XLOOKUP($C23,'BDG Intensity'!$F:$F,'BDG Intensity'!R:R)</f>
        <v/>
      </c>
      <c r="P23" s="12">
        <f>_xlfn.XLOOKUP($C23,'BDG Intensity'!$F:$F,'BDG Intensity'!S:S)</f>
        <v/>
      </c>
      <c r="Q23" s="12">
        <f>_xlfn.XLOOKUP($C23,'BDG Intensity'!$F:$F,'BDG Intensity'!T:T)</f>
        <v/>
      </c>
      <c r="R23" s="12">
        <f>_xlfn.XLOOKUP($C23,'BDG Intensity'!$F:$F,'BDG Intensity'!U:U)</f>
        <v/>
      </c>
      <c r="S23" s="12">
        <f>_xlfn.XLOOKUP($C23,'BDG Intensity'!$F:$F,'BDG Intensity'!V:V)</f>
        <v/>
      </c>
      <c r="T23" s="12">
        <f>_xlfn.XLOOKUP($C23,'BDG Intensity'!$F:$F,'BDG Intensity'!W:W)</f>
        <v/>
      </c>
      <c r="U23" s="12">
        <f>_xlfn.XLOOKUP($C23,'BDG Intensity'!$F:$F,'BDG Intensity'!X:X)</f>
        <v/>
      </c>
      <c r="V23" s="12">
        <f>_xlfn.XLOOKUP($C23,'BDG Intensity'!$F:$F,'BDG Intensity'!Y:Y)</f>
        <v/>
      </c>
      <c r="W23" s="12">
        <f>_xlfn.XLOOKUP($C23,'BDG Intensity'!$F:$F,'BDG Intensity'!Z:Z)</f>
        <v/>
      </c>
    </row>
    <row r="24">
      <c r="B24">
        <f>Def_Tech!C168</f>
        <v/>
      </c>
      <c r="C24">
        <f>Def_Tech!D39</f>
        <v/>
      </c>
      <c r="D24">
        <f>Def_Comm!C168</f>
        <v/>
      </c>
      <c r="E24">
        <f>Def_Comm!C39</f>
        <v/>
      </c>
      <c r="F24" s="12">
        <f>_xlfn.XLOOKUP($C24,'BDG Intensity'!$F:$F,'BDG Intensity'!I:I)</f>
        <v/>
      </c>
      <c r="G24" s="12">
        <f>_xlfn.XLOOKUP($C24,'BDG Intensity'!$F:$F,'BDG Intensity'!J:J)</f>
        <v/>
      </c>
      <c r="H24" s="12">
        <f>_xlfn.XLOOKUP($C24,'BDG Intensity'!$F:$F,'BDG Intensity'!K:K)</f>
        <v/>
      </c>
      <c r="I24" s="12">
        <f>_xlfn.XLOOKUP($C24,'BDG Intensity'!$F:$F,'BDG Intensity'!L:L)</f>
        <v/>
      </c>
      <c r="J24" s="12">
        <f>_xlfn.XLOOKUP($C24,'BDG Intensity'!$F:$F,'BDG Intensity'!M:M)</f>
        <v/>
      </c>
      <c r="K24" s="12">
        <f>_xlfn.XLOOKUP($C24,'BDG Intensity'!$F:$F,'BDG Intensity'!N:N)</f>
        <v/>
      </c>
      <c r="L24" s="12">
        <f>_xlfn.XLOOKUP($C24,'BDG Intensity'!$F:$F,'BDG Intensity'!O:O)</f>
        <v/>
      </c>
      <c r="M24" s="12">
        <f>_xlfn.XLOOKUP($C24,'BDG Intensity'!$F:$F,'BDG Intensity'!P:P)</f>
        <v/>
      </c>
      <c r="N24" s="12">
        <f>_xlfn.XLOOKUP($C24,'BDG Intensity'!$F:$F,'BDG Intensity'!Q:Q)</f>
        <v/>
      </c>
      <c r="O24" s="12">
        <f>_xlfn.XLOOKUP($C24,'BDG Intensity'!$F:$F,'BDG Intensity'!R:R)</f>
        <v/>
      </c>
      <c r="P24" s="12">
        <f>_xlfn.XLOOKUP($C24,'BDG Intensity'!$F:$F,'BDG Intensity'!S:S)</f>
        <v/>
      </c>
      <c r="Q24" s="12">
        <f>_xlfn.XLOOKUP($C24,'BDG Intensity'!$F:$F,'BDG Intensity'!T:T)</f>
        <v/>
      </c>
      <c r="R24" s="12">
        <f>_xlfn.XLOOKUP($C24,'BDG Intensity'!$F:$F,'BDG Intensity'!U:U)</f>
        <v/>
      </c>
      <c r="S24" s="12">
        <f>_xlfn.XLOOKUP($C24,'BDG Intensity'!$F:$F,'BDG Intensity'!V:V)</f>
        <v/>
      </c>
      <c r="T24" s="12">
        <f>_xlfn.XLOOKUP($C24,'BDG Intensity'!$F:$F,'BDG Intensity'!W:W)</f>
        <v/>
      </c>
      <c r="U24" s="12">
        <f>_xlfn.XLOOKUP($C24,'BDG Intensity'!$F:$F,'BDG Intensity'!X:X)</f>
        <v/>
      </c>
      <c r="V24" s="12">
        <f>_xlfn.XLOOKUP($C24,'BDG Intensity'!$F:$F,'BDG Intensity'!Y:Y)</f>
        <v/>
      </c>
      <c r="W24" s="12">
        <f>_xlfn.XLOOKUP($C24,'BDG Intensity'!$F:$F,'BDG Intensity'!Z:Z)</f>
        <v/>
      </c>
    </row>
    <row r="25">
      <c r="B25">
        <f>Def_Tech!C169</f>
        <v/>
      </c>
      <c r="C25">
        <f>Def_Tech!D40</f>
        <v/>
      </c>
      <c r="D25">
        <f>Def_Comm!C169</f>
        <v/>
      </c>
      <c r="E25">
        <f>Def_Comm!C40</f>
        <v/>
      </c>
      <c r="F25" s="12">
        <f>_xlfn.XLOOKUP($C25,'BDG Intensity'!$F:$F,'BDG Intensity'!I:I)</f>
        <v/>
      </c>
      <c r="G25" s="12">
        <f>_xlfn.XLOOKUP($C25,'BDG Intensity'!$F:$F,'BDG Intensity'!J:J)</f>
        <v/>
      </c>
      <c r="H25" s="12">
        <f>_xlfn.XLOOKUP($C25,'BDG Intensity'!$F:$F,'BDG Intensity'!K:K)</f>
        <v/>
      </c>
      <c r="I25" s="12">
        <f>_xlfn.XLOOKUP($C25,'BDG Intensity'!$F:$F,'BDG Intensity'!L:L)</f>
        <v/>
      </c>
      <c r="J25" s="12">
        <f>_xlfn.XLOOKUP($C25,'BDG Intensity'!$F:$F,'BDG Intensity'!M:M)</f>
        <v/>
      </c>
      <c r="K25" s="12">
        <f>_xlfn.XLOOKUP($C25,'BDG Intensity'!$F:$F,'BDG Intensity'!N:N)</f>
        <v/>
      </c>
      <c r="L25" s="12">
        <f>_xlfn.XLOOKUP($C25,'BDG Intensity'!$F:$F,'BDG Intensity'!O:O)</f>
        <v/>
      </c>
      <c r="M25" s="12">
        <f>_xlfn.XLOOKUP($C25,'BDG Intensity'!$F:$F,'BDG Intensity'!P:P)</f>
        <v/>
      </c>
      <c r="N25" s="12">
        <f>_xlfn.XLOOKUP($C25,'BDG Intensity'!$F:$F,'BDG Intensity'!Q:Q)</f>
        <v/>
      </c>
      <c r="O25" s="12">
        <f>_xlfn.XLOOKUP($C25,'BDG Intensity'!$F:$F,'BDG Intensity'!R:R)</f>
        <v/>
      </c>
      <c r="P25" s="12">
        <f>_xlfn.XLOOKUP($C25,'BDG Intensity'!$F:$F,'BDG Intensity'!S:S)</f>
        <v/>
      </c>
      <c r="Q25" s="12">
        <f>_xlfn.XLOOKUP($C25,'BDG Intensity'!$F:$F,'BDG Intensity'!T:T)</f>
        <v/>
      </c>
      <c r="R25" s="12">
        <f>_xlfn.XLOOKUP($C25,'BDG Intensity'!$F:$F,'BDG Intensity'!U:U)</f>
        <v/>
      </c>
      <c r="S25" s="12">
        <f>_xlfn.XLOOKUP($C25,'BDG Intensity'!$F:$F,'BDG Intensity'!V:V)</f>
        <v/>
      </c>
      <c r="T25" s="12">
        <f>_xlfn.XLOOKUP($C25,'BDG Intensity'!$F:$F,'BDG Intensity'!W:W)</f>
        <v/>
      </c>
      <c r="U25" s="12">
        <f>_xlfn.XLOOKUP($C25,'BDG Intensity'!$F:$F,'BDG Intensity'!X:X)</f>
        <v/>
      </c>
      <c r="V25" s="12">
        <f>_xlfn.XLOOKUP($C25,'BDG Intensity'!$F:$F,'BDG Intensity'!Y:Y)</f>
        <v/>
      </c>
      <c r="W25" s="12">
        <f>_xlfn.XLOOKUP($C25,'BDG Intensity'!$F:$F,'BDG Intensity'!Z:Z)</f>
        <v/>
      </c>
    </row>
    <row r="26">
      <c r="B26">
        <f>Def_Tech!C170</f>
        <v/>
      </c>
      <c r="C26">
        <f>Def_Tech!D41</f>
        <v/>
      </c>
      <c r="D26">
        <f>Def_Comm!C170</f>
        <v/>
      </c>
      <c r="E26">
        <f>Def_Comm!C41</f>
        <v/>
      </c>
      <c r="F26" s="12">
        <f>_xlfn.XLOOKUP($C26,'BDG Intensity'!$F:$F,'BDG Intensity'!I:I)</f>
        <v/>
      </c>
      <c r="G26" s="12">
        <f>_xlfn.XLOOKUP($C26,'BDG Intensity'!$F:$F,'BDG Intensity'!J:J)</f>
        <v/>
      </c>
      <c r="H26" s="12">
        <f>_xlfn.XLOOKUP($C26,'BDG Intensity'!$F:$F,'BDG Intensity'!K:K)</f>
        <v/>
      </c>
      <c r="I26" s="12">
        <f>_xlfn.XLOOKUP($C26,'BDG Intensity'!$F:$F,'BDG Intensity'!L:L)</f>
        <v/>
      </c>
      <c r="J26" s="12">
        <f>_xlfn.XLOOKUP($C26,'BDG Intensity'!$F:$F,'BDG Intensity'!M:M)</f>
        <v/>
      </c>
      <c r="K26" s="12">
        <f>_xlfn.XLOOKUP($C26,'BDG Intensity'!$F:$F,'BDG Intensity'!N:N)</f>
        <v/>
      </c>
      <c r="L26" s="12">
        <f>_xlfn.XLOOKUP($C26,'BDG Intensity'!$F:$F,'BDG Intensity'!O:O)</f>
        <v/>
      </c>
      <c r="M26" s="12">
        <f>_xlfn.XLOOKUP($C26,'BDG Intensity'!$F:$F,'BDG Intensity'!P:P)</f>
        <v/>
      </c>
      <c r="N26" s="12">
        <f>_xlfn.XLOOKUP($C26,'BDG Intensity'!$F:$F,'BDG Intensity'!Q:Q)</f>
        <v/>
      </c>
      <c r="O26" s="12">
        <f>_xlfn.XLOOKUP($C26,'BDG Intensity'!$F:$F,'BDG Intensity'!R:R)</f>
        <v/>
      </c>
      <c r="P26" s="12">
        <f>_xlfn.XLOOKUP($C26,'BDG Intensity'!$F:$F,'BDG Intensity'!S:S)</f>
        <v/>
      </c>
      <c r="Q26" s="12">
        <f>_xlfn.XLOOKUP($C26,'BDG Intensity'!$F:$F,'BDG Intensity'!T:T)</f>
        <v/>
      </c>
      <c r="R26" s="12">
        <f>_xlfn.XLOOKUP($C26,'BDG Intensity'!$F:$F,'BDG Intensity'!U:U)</f>
        <v/>
      </c>
      <c r="S26" s="12">
        <f>_xlfn.XLOOKUP($C26,'BDG Intensity'!$F:$F,'BDG Intensity'!V:V)</f>
        <v/>
      </c>
      <c r="T26" s="12">
        <f>_xlfn.XLOOKUP($C26,'BDG Intensity'!$F:$F,'BDG Intensity'!W:W)</f>
        <v/>
      </c>
      <c r="U26" s="12">
        <f>_xlfn.XLOOKUP($C26,'BDG Intensity'!$F:$F,'BDG Intensity'!X:X)</f>
        <v/>
      </c>
      <c r="V26" s="12">
        <f>_xlfn.XLOOKUP($C26,'BDG Intensity'!$F:$F,'BDG Intensity'!Y:Y)</f>
        <v/>
      </c>
      <c r="W26" s="12">
        <f>_xlfn.XLOOKUP($C26,'BDG Intensity'!$F:$F,'BDG Intensity'!Z:Z)</f>
        <v/>
      </c>
    </row>
    <row r="27">
      <c r="B27">
        <f>Def_Tech!C171</f>
        <v/>
      </c>
      <c r="C27">
        <f>Def_Tech!D42</f>
        <v/>
      </c>
      <c r="D27">
        <f>Def_Comm!C171</f>
        <v/>
      </c>
      <c r="E27">
        <f>Def_Comm!C42</f>
        <v/>
      </c>
      <c r="F27" s="12">
        <f>_xlfn.XLOOKUP($C27,'BDG Intensity'!$F:$F,'BDG Intensity'!I:I)</f>
        <v/>
      </c>
      <c r="G27" s="12">
        <f>_xlfn.XLOOKUP($C27,'BDG Intensity'!$F:$F,'BDG Intensity'!J:J)</f>
        <v/>
      </c>
      <c r="H27" s="12">
        <f>_xlfn.XLOOKUP($C27,'BDG Intensity'!$F:$F,'BDG Intensity'!K:K)</f>
        <v/>
      </c>
      <c r="I27" s="12">
        <f>_xlfn.XLOOKUP($C27,'BDG Intensity'!$F:$F,'BDG Intensity'!L:L)</f>
        <v/>
      </c>
      <c r="J27" s="12">
        <f>_xlfn.XLOOKUP($C27,'BDG Intensity'!$F:$F,'BDG Intensity'!M:M)</f>
        <v/>
      </c>
      <c r="K27" s="12">
        <f>_xlfn.XLOOKUP($C27,'BDG Intensity'!$F:$F,'BDG Intensity'!N:N)</f>
        <v/>
      </c>
      <c r="L27" s="12">
        <f>_xlfn.XLOOKUP($C27,'BDG Intensity'!$F:$F,'BDG Intensity'!O:O)</f>
        <v/>
      </c>
      <c r="M27" s="12">
        <f>_xlfn.XLOOKUP($C27,'BDG Intensity'!$F:$F,'BDG Intensity'!P:P)</f>
        <v/>
      </c>
      <c r="N27" s="12">
        <f>_xlfn.XLOOKUP($C27,'BDG Intensity'!$F:$F,'BDG Intensity'!Q:Q)</f>
        <v/>
      </c>
      <c r="O27" s="12">
        <f>_xlfn.XLOOKUP($C27,'BDG Intensity'!$F:$F,'BDG Intensity'!R:R)</f>
        <v/>
      </c>
      <c r="P27" s="12">
        <f>_xlfn.XLOOKUP($C27,'BDG Intensity'!$F:$F,'BDG Intensity'!S:S)</f>
        <v/>
      </c>
      <c r="Q27" s="12">
        <f>_xlfn.XLOOKUP($C27,'BDG Intensity'!$F:$F,'BDG Intensity'!T:T)</f>
        <v/>
      </c>
      <c r="R27" s="12">
        <f>_xlfn.XLOOKUP($C27,'BDG Intensity'!$F:$F,'BDG Intensity'!U:U)</f>
        <v/>
      </c>
      <c r="S27" s="12">
        <f>_xlfn.XLOOKUP($C27,'BDG Intensity'!$F:$F,'BDG Intensity'!V:V)</f>
        <v/>
      </c>
      <c r="T27" s="12">
        <f>_xlfn.XLOOKUP($C27,'BDG Intensity'!$F:$F,'BDG Intensity'!W:W)</f>
        <v/>
      </c>
      <c r="U27" s="12">
        <f>_xlfn.XLOOKUP($C27,'BDG Intensity'!$F:$F,'BDG Intensity'!X:X)</f>
        <v/>
      </c>
      <c r="V27" s="12">
        <f>_xlfn.XLOOKUP($C27,'BDG Intensity'!$F:$F,'BDG Intensity'!Y:Y)</f>
        <v/>
      </c>
      <c r="W27" s="12">
        <f>_xlfn.XLOOKUP($C27,'BDG Intensity'!$F:$F,'BDG Intensity'!Z:Z)</f>
        <v/>
      </c>
    </row>
    <row r="28">
      <c r="B28">
        <f>Def_Tech!C172</f>
        <v/>
      </c>
      <c r="C28">
        <f>Def_Tech!D43</f>
        <v/>
      </c>
      <c r="D28">
        <f>Def_Comm!C172</f>
        <v/>
      </c>
      <c r="E28">
        <f>Def_Comm!C43</f>
        <v/>
      </c>
      <c r="F28" s="12">
        <f>_xlfn.XLOOKUP($C28,'BDG Intensity'!$F:$F,'BDG Intensity'!I:I)</f>
        <v/>
      </c>
      <c r="G28" s="12">
        <f>_xlfn.XLOOKUP($C28,'BDG Intensity'!$F:$F,'BDG Intensity'!J:J)</f>
        <v/>
      </c>
      <c r="H28" s="12">
        <f>_xlfn.XLOOKUP($C28,'BDG Intensity'!$F:$F,'BDG Intensity'!K:K)</f>
        <v/>
      </c>
      <c r="I28" s="12">
        <f>_xlfn.XLOOKUP($C28,'BDG Intensity'!$F:$F,'BDG Intensity'!L:L)</f>
        <v/>
      </c>
      <c r="J28" s="12">
        <f>_xlfn.XLOOKUP($C28,'BDG Intensity'!$F:$F,'BDG Intensity'!M:M)</f>
        <v/>
      </c>
      <c r="K28" s="12">
        <f>_xlfn.XLOOKUP($C28,'BDG Intensity'!$F:$F,'BDG Intensity'!N:N)</f>
        <v/>
      </c>
      <c r="L28" s="12">
        <f>_xlfn.XLOOKUP($C28,'BDG Intensity'!$F:$F,'BDG Intensity'!O:O)</f>
        <v/>
      </c>
      <c r="M28" s="12">
        <f>_xlfn.XLOOKUP($C28,'BDG Intensity'!$F:$F,'BDG Intensity'!P:P)</f>
        <v/>
      </c>
      <c r="N28" s="12">
        <f>_xlfn.XLOOKUP($C28,'BDG Intensity'!$F:$F,'BDG Intensity'!Q:Q)</f>
        <v/>
      </c>
      <c r="O28" s="12">
        <f>_xlfn.XLOOKUP($C28,'BDG Intensity'!$F:$F,'BDG Intensity'!R:R)</f>
        <v/>
      </c>
      <c r="P28" s="12">
        <f>_xlfn.XLOOKUP($C28,'BDG Intensity'!$F:$F,'BDG Intensity'!S:S)</f>
        <v/>
      </c>
      <c r="Q28" s="12">
        <f>_xlfn.XLOOKUP($C28,'BDG Intensity'!$F:$F,'BDG Intensity'!T:T)</f>
        <v/>
      </c>
      <c r="R28" s="12">
        <f>_xlfn.XLOOKUP($C28,'BDG Intensity'!$F:$F,'BDG Intensity'!U:U)</f>
        <v/>
      </c>
      <c r="S28" s="12">
        <f>_xlfn.XLOOKUP($C28,'BDG Intensity'!$F:$F,'BDG Intensity'!V:V)</f>
        <v/>
      </c>
      <c r="T28" s="12">
        <f>_xlfn.XLOOKUP($C28,'BDG Intensity'!$F:$F,'BDG Intensity'!W:W)</f>
        <v/>
      </c>
      <c r="U28" s="12">
        <f>_xlfn.XLOOKUP($C28,'BDG Intensity'!$F:$F,'BDG Intensity'!X:X)</f>
        <v/>
      </c>
      <c r="V28" s="12">
        <f>_xlfn.XLOOKUP($C28,'BDG Intensity'!$F:$F,'BDG Intensity'!Y:Y)</f>
        <v/>
      </c>
      <c r="W28" s="12">
        <f>_xlfn.XLOOKUP($C28,'BDG Intensity'!$F:$F,'BDG Intensity'!Z:Z)</f>
        <v/>
      </c>
    </row>
    <row r="29">
      <c r="B29">
        <f>Def_Tech!C173</f>
        <v/>
      </c>
      <c r="C29">
        <f>Def_Tech!D44</f>
        <v/>
      </c>
      <c r="D29">
        <f>Def_Comm!C173</f>
        <v/>
      </c>
      <c r="E29">
        <f>Def_Comm!C44</f>
        <v/>
      </c>
      <c r="F29" s="12">
        <f>_xlfn.XLOOKUP($C29,'BDG Intensity'!$F:$F,'BDG Intensity'!I:I)</f>
        <v/>
      </c>
      <c r="G29" s="12">
        <f>_xlfn.XLOOKUP($C29,'BDG Intensity'!$F:$F,'BDG Intensity'!J:J)</f>
        <v/>
      </c>
      <c r="H29" s="12">
        <f>_xlfn.XLOOKUP($C29,'BDG Intensity'!$F:$F,'BDG Intensity'!K:K)</f>
        <v/>
      </c>
      <c r="I29" s="12">
        <f>_xlfn.XLOOKUP($C29,'BDG Intensity'!$F:$F,'BDG Intensity'!L:L)</f>
        <v/>
      </c>
      <c r="J29" s="12">
        <f>_xlfn.XLOOKUP($C29,'BDG Intensity'!$F:$F,'BDG Intensity'!M:M)</f>
        <v/>
      </c>
      <c r="K29" s="12">
        <f>_xlfn.XLOOKUP($C29,'BDG Intensity'!$F:$F,'BDG Intensity'!N:N)</f>
        <v/>
      </c>
      <c r="L29" s="12">
        <f>_xlfn.XLOOKUP($C29,'BDG Intensity'!$F:$F,'BDG Intensity'!O:O)</f>
        <v/>
      </c>
      <c r="M29" s="12">
        <f>_xlfn.XLOOKUP($C29,'BDG Intensity'!$F:$F,'BDG Intensity'!P:P)</f>
        <v/>
      </c>
      <c r="N29" s="12">
        <f>_xlfn.XLOOKUP($C29,'BDG Intensity'!$F:$F,'BDG Intensity'!Q:Q)</f>
        <v/>
      </c>
      <c r="O29" s="12">
        <f>_xlfn.XLOOKUP($C29,'BDG Intensity'!$F:$F,'BDG Intensity'!R:R)</f>
        <v/>
      </c>
      <c r="P29" s="12">
        <f>_xlfn.XLOOKUP($C29,'BDG Intensity'!$F:$F,'BDG Intensity'!S:S)</f>
        <v/>
      </c>
      <c r="Q29" s="12">
        <f>_xlfn.XLOOKUP($C29,'BDG Intensity'!$F:$F,'BDG Intensity'!T:T)</f>
        <v/>
      </c>
      <c r="R29" s="12">
        <f>_xlfn.XLOOKUP($C29,'BDG Intensity'!$F:$F,'BDG Intensity'!U:U)</f>
        <v/>
      </c>
      <c r="S29" s="12">
        <f>_xlfn.XLOOKUP($C29,'BDG Intensity'!$F:$F,'BDG Intensity'!V:V)</f>
        <v/>
      </c>
      <c r="T29" s="12">
        <f>_xlfn.XLOOKUP($C29,'BDG Intensity'!$F:$F,'BDG Intensity'!W:W)</f>
        <v/>
      </c>
      <c r="U29" s="12">
        <f>_xlfn.XLOOKUP($C29,'BDG Intensity'!$F:$F,'BDG Intensity'!X:X)</f>
        <v/>
      </c>
      <c r="V29" s="12">
        <f>_xlfn.XLOOKUP($C29,'BDG Intensity'!$F:$F,'BDG Intensity'!Y:Y)</f>
        <v/>
      </c>
      <c r="W29" s="12">
        <f>_xlfn.XLOOKUP($C29,'BDG Intensity'!$F:$F,'BDG Intensity'!Z:Z)</f>
        <v/>
      </c>
    </row>
    <row r="30">
      <c r="B30">
        <f>Def_Tech!C174</f>
        <v/>
      </c>
      <c r="C30">
        <f>Def_Tech!D45</f>
        <v/>
      </c>
      <c r="D30">
        <f>Def_Comm!C174</f>
        <v/>
      </c>
      <c r="E30">
        <f>Def_Comm!C45</f>
        <v/>
      </c>
      <c r="F30" s="12">
        <f>_xlfn.XLOOKUP($C30,'BDG Intensity'!$F:$F,'BDG Intensity'!I:I)</f>
        <v/>
      </c>
      <c r="G30" s="12">
        <f>_xlfn.XLOOKUP($C30,'BDG Intensity'!$F:$F,'BDG Intensity'!J:J)</f>
        <v/>
      </c>
      <c r="H30" s="12">
        <f>_xlfn.XLOOKUP($C30,'BDG Intensity'!$F:$F,'BDG Intensity'!K:K)</f>
        <v/>
      </c>
      <c r="I30" s="12">
        <f>_xlfn.XLOOKUP($C30,'BDG Intensity'!$F:$F,'BDG Intensity'!L:L)</f>
        <v/>
      </c>
      <c r="J30" s="12">
        <f>_xlfn.XLOOKUP($C30,'BDG Intensity'!$F:$F,'BDG Intensity'!M:M)</f>
        <v/>
      </c>
      <c r="K30" s="12">
        <f>_xlfn.XLOOKUP($C30,'BDG Intensity'!$F:$F,'BDG Intensity'!N:N)</f>
        <v/>
      </c>
      <c r="L30" s="12">
        <f>_xlfn.XLOOKUP($C30,'BDG Intensity'!$F:$F,'BDG Intensity'!O:O)</f>
        <v/>
      </c>
      <c r="M30" s="12">
        <f>_xlfn.XLOOKUP($C30,'BDG Intensity'!$F:$F,'BDG Intensity'!P:P)</f>
        <v/>
      </c>
      <c r="N30" s="12">
        <f>_xlfn.XLOOKUP($C30,'BDG Intensity'!$F:$F,'BDG Intensity'!Q:Q)</f>
        <v/>
      </c>
      <c r="O30" s="12">
        <f>_xlfn.XLOOKUP($C30,'BDG Intensity'!$F:$F,'BDG Intensity'!R:R)</f>
        <v/>
      </c>
      <c r="P30" s="12">
        <f>_xlfn.XLOOKUP($C30,'BDG Intensity'!$F:$F,'BDG Intensity'!S:S)</f>
        <v/>
      </c>
      <c r="Q30" s="12">
        <f>_xlfn.XLOOKUP($C30,'BDG Intensity'!$F:$F,'BDG Intensity'!T:T)</f>
        <v/>
      </c>
      <c r="R30" s="12">
        <f>_xlfn.XLOOKUP($C30,'BDG Intensity'!$F:$F,'BDG Intensity'!U:U)</f>
        <v/>
      </c>
      <c r="S30" s="12">
        <f>_xlfn.XLOOKUP($C30,'BDG Intensity'!$F:$F,'BDG Intensity'!V:V)</f>
        <v/>
      </c>
      <c r="T30" s="12">
        <f>_xlfn.XLOOKUP($C30,'BDG Intensity'!$F:$F,'BDG Intensity'!W:W)</f>
        <v/>
      </c>
      <c r="U30" s="12">
        <f>_xlfn.XLOOKUP($C30,'BDG Intensity'!$F:$F,'BDG Intensity'!X:X)</f>
        <v/>
      </c>
      <c r="V30" s="12">
        <f>_xlfn.XLOOKUP($C30,'BDG Intensity'!$F:$F,'BDG Intensity'!Y:Y)</f>
        <v/>
      </c>
      <c r="W30" s="12">
        <f>_xlfn.XLOOKUP($C30,'BDG Intensity'!$F:$F,'BDG Intensity'!Z:Z)</f>
        <v/>
      </c>
    </row>
    <row r="31">
      <c r="B31">
        <f>Def_Tech!C175</f>
        <v/>
      </c>
      <c r="C31">
        <f>Def_Tech!D46</f>
        <v/>
      </c>
      <c r="D31">
        <f>Def_Comm!C175</f>
        <v/>
      </c>
      <c r="E31">
        <f>Def_Comm!C46</f>
        <v/>
      </c>
      <c r="F31" s="12">
        <f>_xlfn.XLOOKUP($C31,'BDG Intensity'!$F:$F,'BDG Intensity'!I:I)</f>
        <v/>
      </c>
      <c r="G31" s="12">
        <f>_xlfn.XLOOKUP($C31,'BDG Intensity'!$F:$F,'BDG Intensity'!J:J)</f>
        <v/>
      </c>
      <c r="H31" s="12">
        <f>_xlfn.XLOOKUP($C31,'BDG Intensity'!$F:$F,'BDG Intensity'!K:K)</f>
        <v/>
      </c>
      <c r="I31" s="12">
        <f>_xlfn.XLOOKUP($C31,'BDG Intensity'!$F:$F,'BDG Intensity'!L:L)</f>
        <v/>
      </c>
      <c r="J31" s="12">
        <f>_xlfn.XLOOKUP($C31,'BDG Intensity'!$F:$F,'BDG Intensity'!M:M)</f>
        <v/>
      </c>
      <c r="K31" s="12">
        <f>_xlfn.XLOOKUP($C31,'BDG Intensity'!$F:$F,'BDG Intensity'!N:N)</f>
        <v/>
      </c>
      <c r="L31" s="12">
        <f>_xlfn.XLOOKUP($C31,'BDG Intensity'!$F:$F,'BDG Intensity'!O:O)</f>
        <v/>
      </c>
      <c r="M31" s="12">
        <f>_xlfn.XLOOKUP($C31,'BDG Intensity'!$F:$F,'BDG Intensity'!P:P)</f>
        <v/>
      </c>
      <c r="N31" s="12">
        <f>_xlfn.XLOOKUP($C31,'BDG Intensity'!$F:$F,'BDG Intensity'!Q:Q)</f>
        <v/>
      </c>
      <c r="O31" s="12">
        <f>_xlfn.XLOOKUP($C31,'BDG Intensity'!$F:$F,'BDG Intensity'!R:R)</f>
        <v/>
      </c>
      <c r="P31" s="12">
        <f>_xlfn.XLOOKUP($C31,'BDG Intensity'!$F:$F,'BDG Intensity'!S:S)</f>
        <v/>
      </c>
      <c r="Q31" s="12">
        <f>_xlfn.XLOOKUP($C31,'BDG Intensity'!$F:$F,'BDG Intensity'!T:T)</f>
        <v/>
      </c>
      <c r="R31" s="12">
        <f>_xlfn.XLOOKUP($C31,'BDG Intensity'!$F:$F,'BDG Intensity'!U:U)</f>
        <v/>
      </c>
      <c r="S31" s="12">
        <f>_xlfn.XLOOKUP($C31,'BDG Intensity'!$F:$F,'BDG Intensity'!V:V)</f>
        <v/>
      </c>
      <c r="T31" s="12">
        <f>_xlfn.XLOOKUP($C31,'BDG Intensity'!$F:$F,'BDG Intensity'!W:W)</f>
        <v/>
      </c>
      <c r="U31" s="12">
        <f>_xlfn.XLOOKUP($C31,'BDG Intensity'!$F:$F,'BDG Intensity'!X:X)</f>
        <v/>
      </c>
      <c r="V31" s="12">
        <f>_xlfn.XLOOKUP($C31,'BDG Intensity'!$F:$F,'BDG Intensity'!Y:Y)</f>
        <v/>
      </c>
      <c r="W31" s="12">
        <f>_xlfn.XLOOKUP($C31,'BDG Intensity'!$F:$F,'BDG Intensity'!Z:Z)</f>
        <v/>
      </c>
    </row>
    <row r="32">
      <c r="B32">
        <f>Def_Tech!C176</f>
        <v/>
      </c>
      <c r="C32">
        <f>Def_Tech!D47</f>
        <v/>
      </c>
      <c r="D32">
        <f>Def_Comm!C176</f>
        <v/>
      </c>
      <c r="E32">
        <f>Def_Comm!C47</f>
        <v/>
      </c>
      <c r="F32" s="12">
        <f>_xlfn.XLOOKUP($C32,'BDG Intensity'!$F:$F,'BDG Intensity'!I:I)</f>
        <v/>
      </c>
      <c r="G32" s="12">
        <f>_xlfn.XLOOKUP($C32,'BDG Intensity'!$F:$F,'BDG Intensity'!J:J)</f>
        <v/>
      </c>
      <c r="H32" s="12">
        <f>_xlfn.XLOOKUP($C32,'BDG Intensity'!$F:$F,'BDG Intensity'!K:K)</f>
        <v/>
      </c>
      <c r="I32" s="12">
        <f>_xlfn.XLOOKUP($C32,'BDG Intensity'!$F:$F,'BDG Intensity'!L:L)</f>
        <v/>
      </c>
      <c r="J32" s="12">
        <f>_xlfn.XLOOKUP($C32,'BDG Intensity'!$F:$F,'BDG Intensity'!M:M)</f>
        <v/>
      </c>
      <c r="K32" s="12">
        <f>_xlfn.XLOOKUP($C32,'BDG Intensity'!$F:$F,'BDG Intensity'!N:N)</f>
        <v/>
      </c>
      <c r="L32" s="12">
        <f>_xlfn.XLOOKUP($C32,'BDG Intensity'!$F:$F,'BDG Intensity'!O:O)</f>
        <v/>
      </c>
      <c r="M32" s="12">
        <f>_xlfn.XLOOKUP($C32,'BDG Intensity'!$F:$F,'BDG Intensity'!P:P)</f>
        <v/>
      </c>
      <c r="N32" s="12">
        <f>_xlfn.XLOOKUP($C32,'BDG Intensity'!$F:$F,'BDG Intensity'!Q:Q)</f>
        <v/>
      </c>
      <c r="O32" s="12">
        <f>_xlfn.XLOOKUP($C32,'BDG Intensity'!$F:$F,'BDG Intensity'!R:R)</f>
        <v/>
      </c>
      <c r="P32" s="12">
        <f>_xlfn.XLOOKUP($C32,'BDG Intensity'!$F:$F,'BDG Intensity'!S:S)</f>
        <v/>
      </c>
      <c r="Q32" s="12">
        <f>_xlfn.XLOOKUP($C32,'BDG Intensity'!$F:$F,'BDG Intensity'!T:T)</f>
        <v/>
      </c>
      <c r="R32" s="12">
        <f>_xlfn.XLOOKUP($C32,'BDG Intensity'!$F:$F,'BDG Intensity'!U:U)</f>
        <v/>
      </c>
      <c r="S32" s="12">
        <f>_xlfn.XLOOKUP($C32,'BDG Intensity'!$F:$F,'BDG Intensity'!V:V)</f>
        <v/>
      </c>
      <c r="T32" s="12">
        <f>_xlfn.XLOOKUP($C32,'BDG Intensity'!$F:$F,'BDG Intensity'!W:W)</f>
        <v/>
      </c>
      <c r="U32" s="12">
        <f>_xlfn.XLOOKUP($C32,'BDG Intensity'!$F:$F,'BDG Intensity'!X:X)</f>
        <v/>
      </c>
      <c r="V32" s="12">
        <f>_xlfn.XLOOKUP($C32,'BDG Intensity'!$F:$F,'BDG Intensity'!Y:Y)</f>
        <v/>
      </c>
      <c r="W32" s="12">
        <f>_xlfn.XLOOKUP($C32,'BDG Intensity'!$F:$F,'BDG Intensity'!Z:Z)</f>
        <v/>
      </c>
    </row>
    <row r="33">
      <c r="B33">
        <f>Def_Tech!C177</f>
        <v/>
      </c>
      <c r="C33">
        <f>Def_Tech!D48</f>
        <v/>
      </c>
      <c r="D33">
        <f>Def_Comm!C177</f>
        <v/>
      </c>
      <c r="E33">
        <f>Def_Comm!C48</f>
        <v/>
      </c>
      <c r="F33" s="12">
        <f>_xlfn.XLOOKUP($C33,'BDG Intensity'!$F:$F,'BDG Intensity'!I:I)</f>
        <v/>
      </c>
      <c r="G33" s="12">
        <f>_xlfn.XLOOKUP($C33,'BDG Intensity'!$F:$F,'BDG Intensity'!J:J)</f>
        <v/>
      </c>
      <c r="H33" s="12">
        <f>_xlfn.XLOOKUP($C33,'BDG Intensity'!$F:$F,'BDG Intensity'!K:K)</f>
        <v/>
      </c>
      <c r="I33" s="12">
        <f>_xlfn.XLOOKUP($C33,'BDG Intensity'!$F:$F,'BDG Intensity'!L:L)</f>
        <v/>
      </c>
      <c r="J33" s="12">
        <f>_xlfn.XLOOKUP($C33,'BDG Intensity'!$F:$F,'BDG Intensity'!M:M)</f>
        <v/>
      </c>
      <c r="K33" s="12">
        <f>_xlfn.XLOOKUP($C33,'BDG Intensity'!$F:$F,'BDG Intensity'!N:N)</f>
        <v/>
      </c>
      <c r="L33" s="12">
        <f>_xlfn.XLOOKUP($C33,'BDG Intensity'!$F:$F,'BDG Intensity'!O:O)</f>
        <v/>
      </c>
      <c r="M33" s="12">
        <f>_xlfn.XLOOKUP($C33,'BDG Intensity'!$F:$F,'BDG Intensity'!P:P)</f>
        <v/>
      </c>
      <c r="N33" s="12">
        <f>_xlfn.XLOOKUP($C33,'BDG Intensity'!$F:$F,'BDG Intensity'!Q:Q)</f>
        <v/>
      </c>
      <c r="O33" s="12">
        <f>_xlfn.XLOOKUP($C33,'BDG Intensity'!$F:$F,'BDG Intensity'!R:R)</f>
        <v/>
      </c>
      <c r="P33" s="12">
        <f>_xlfn.XLOOKUP($C33,'BDG Intensity'!$F:$F,'BDG Intensity'!S:S)</f>
        <v/>
      </c>
      <c r="Q33" s="12">
        <f>_xlfn.XLOOKUP($C33,'BDG Intensity'!$F:$F,'BDG Intensity'!T:T)</f>
        <v/>
      </c>
      <c r="R33" s="12">
        <f>_xlfn.XLOOKUP($C33,'BDG Intensity'!$F:$F,'BDG Intensity'!U:U)</f>
        <v/>
      </c>
      <c r="S33" s="12">
        <f>_xlfn.XLOOKUP($C33,'BDG Intensity'!$F:$F,'BDG Intensity'!V:V)</f>
        <v/>
      </c>
      <c r="T33" s="12">
        <f>_xlfn.XLOOKUP($C33,'BDG Intensity'!$F:$F,'BDG Intensity'!W:W)</f>
        <v/>
      </c>
      <c r="U33" s="12">
        <f>_xlfn.XLOOKUP($C33,'BDG Intensity'!$F:$F,'BDG Intensity'!X:X)</f>
        <v/>
      </c>
      <c r="V33" s="12">
        <f>_xlfn.XLOOKUP($C33,'BDG Intensity'!$F:$F,'BDG Intensity'!Y:Y)</f>
        <v/>
      </c>
      <c r="W33" s="12">
        <f>_xlfn.XLOOKUP($C33,'BDG Intensity'!$F:$F,'BDG Intensity'!Z:Z)</f>
        <v/>
      </c>
    </row>
    <row r="34">
      <c r="B34">
        <f>Def_Tech!C178</f>
        <v/>
      </c>
      <c r="C34">
        <f>Def_Tech!D49</f>
        <v/>
      </c>
      <c r="D34">
        <f>Def_Comm!C178</f>
        <v/>
      </c>
      <c r="E34">
        <f>Def_Comm!C49</f>
        <v/>
      </c>
      <c r="F34" s="12">
        <f>_xlfn.XLOOKUP($C34,'BDG Intensity'!$F:$F,'BDG Intensity'!I:I)</f>
        <v/>
      </c>
      <c r="G34" s="12">
        <f>_xlfn.XLOOKUP($C34,'BDG Intensity'!$F:$F,'BDG Intensity'!J:J)</f>
        <v/>
      </c>
      <c r="H34" s="12">
        <f>_xlfn.XLOOKUP($C34,'BDG Intensity'!$F:$F,'BDG Intensity'!K:K)</f>
        <v/>
      </c>
      <c r="I34" s="12">
        <f>_xlfn.XLOOKUP($C34,'BDG Intensity'!$F:$F,'BDG Intensity'!L:L)</f>
        <v/>
      </c>
      <c r="J34" s="12">
        <f>_xlfn.XLOOKUP($C34,'BDG Intensity'!$F:$F,'BDG Intensity'!M:M)</f>
        <v/>
      </c>
      <c r="K34" s="12">
        <f>_xlfn.XLOOKUP($C34,'BDG Intensity'!$F:$F,'BDG Intensity'!N:N)</f>
        <v/>
      </c>
      <c r="L34" s="12">
        <f>_xlfn.XLOOKUP($C34,'BDG Intensity'!$F:$F,'BDG Intensity'!O:O)</f>
        <v/>
      </c>
      <c r="M34" s="12">
        <f>_xlfn.XLOOKUP($C34,'BDG Intensity'!$F:$F,'BDG Intensity'!P:P)</f>
        <v/>
      </c>
      <c r="N34" s="12">
        <f>_xlfn.XLOOKUP($C34,'BDG Intensity'!$F:$F,'BDG Intensity'!Q:Q)</f>
        <v/>
      </c>
      <c r="O34" s="12">
        <f>_xlfn.XLOOKUP($C34,'BDG Intensity'!$F:$F,'BDG Intensity'!R:R)</f>
        <v/>
      </c>
      <c r="P34" s="12">
        <f>_xlfn.XLOOKUP($C34,'BDG Intensity'!$F:$F,'BDG Intensity'!S:S)</f>
        <v/>
      </c>
      <c r="Q34" s="12">
        <f>_xlfn.XLOOKUP($C34,'BDG Intensity'!$F:$F,'BDG Intensity'!T:T)</f>
        <v/>
      </c>
      <c r="R34" s="12">
        <f>_xlfn.XLOOKUP($C34,'BDG Intensity'!$F:$F,'BDG Intensity'!U:U)</f>
        <v/>
      </c>
      <c r="S34" s="12">
        <f>_xlfn.XLOOKUP($C34,'BDG Intensity'!$F:$F,'BDG Intensity'!V:V)</f>
        <v/>
      </c>
      <c r="T34" s="12">
        <f>_xlfn.XLOOKUP($C34,'BDG Intensity'!$F:$F,'BDG Intensity'!W:W)</f>
        <v/>
      </c>
      <c r="U34" s="12">
        <f>_xlfn.XLOOKUP($C34,'BDG Intensity'!$F:$F,'BDG Intensity'!X:X)</f>
        <v/>
      </c>
      <c r="V34" s="12">
        <f>_xlfn.XLOOKUP($C34,'BDG Intensity'!$F:$F,'BDG Intensity'!Y:Y)</f>
        <v/>
      </c>
      <c r="W34" s="12">
        <f>_xlfn.XLOOKUP($C34,'BDG Intensity'!$F:$F,'BDG Intensity'!Z:Z)</f>
        <v/>
      </c>
    </row>
    <row r="35">
      <c r="B35">
        <f>Def_Tech!C179</f>
        <v/>
      </c>
      <c r="C35">
        <f>Def_Tech!D50</f>
        <v/>
      </c>
      <c r="D35">
        <f>Def_Comm!C179</f>
        <v/>
      </c>
      <c r="E35">
        <f>Def_Comm!C50</f>
        <v/>
      </c>
      <c r="F35" s="12">
        <f>_xlfn.XLOOKUP($C35,'BDG Intensity'!$F:$F,'BDG Intensity'!I:I)</f>
        <v/>
      </c>
      <c r="G35" s="12">
        <f>_xlfn.XLOOKUP($C35,'BDG Intensity'!$F:$F,'BDG Intensity'!J:J)</f>
        <v/>
      </c>
      <c r="H35" s="12">
        <f>_xlfn.XLOOKUP($C35,'BDG Intensity'!$F:$F,'BDG Intensity'!K:K)</f>
        <v/>
      </c>
      <c r="I35" s="12">
        <f>_xlfn.XLOOKUP($C35,'BDG Intensity'!$F:$F,'BDG Intensity'!L:L)</f>
        <v/>
      </c>
      <c r="J35" s="12">
        <f>_xlfn.XLOOKUP($C35,'BDG Intensity'!$F:$F,'BDG Intensity'!M:M)</f>
        <v/>
      </c>
      <c r="K35" s="12">
        <f>_xlfn.XLOOKUP($C35,'BDG Intensity'!$F:$F,'BDG Intensity'!N:N)</f>
        <v/>
      </c>
      <c r="L35" s="12">
        <f>_xlfn.XLOOKUP($C35,'BDG Intensity'!$F:$F,'BDG Intensity'!O:O)</f>
        <v/>
      </c>
      <c r="M35" s="12">
        <f>_xlfn.XLOOKUP($C35,'BDG Intensity'!$F:$F,'BDG Intensity'!P:P)</f>
        <v/>
      </c>
      <c r="N35" s="12">
        <f>_xlfn.XLOOKUP($C35,'BDG Intensity'!$F:$F,'BDG Intensity'!Q:Q)</f>
        <v/>
      </c>
      <c r="O35" s="12">
        <f>_xlfn.XLOOKUP($C35,'BDG Intensity'!$F:$F,'BDG Intensity'!R:R)</f>
        <v/>
      </c>
      <c r="P35" s="12">
        <f>_xlfn.XLOOKUP($C35,'BDG Intensity'!$F:$F,'BDG Intensity'!S:S)</f>
        <v/>
      </c>
      <c r="Q35" s="12">
        <f>_xlfn.XLOOKUP($C35,'BDG Intensity'!$F:$F,'BDG Intensity'!T:T)</f>
        <v/>
      </c>
      <c r="R35" s="12">
        <f>_xlfn.XLOOKUP($C35,'BDG Intensity'!$F:$F,'BDG Intensity'!U:U)</f>
        <v/>
      </c>
      <c r="S35" s="12">
        <f>_xlfn.XLOOKUP($C35,'BDG Intensity'!$F:$F,'BDG Intensity'!V:V)</f>
        <v/>
      </c>
      <c r="T35" s="12">
        <f>_xlfn.XLOOKUP($C35,'BDG Intensity'!$F:$F,'BDG Intensity'!W:W)</f>
        <v/>
      </c>
      <c r="U35" s="12">
        <f>_xlfn.XLOOKUP($C35,'BDG Intensity'!$F:$F,'BDG Intensity'!X:X)</f>
        <v/>
      </c>
      <c r="V35" s="12">
        <f>_xlfn.XLOOKUP($C35,'BDG Intensity'!$F:$F,'BDG Intensity'!Y:Y)</f>
        <v/>
      </c>
      <c r="W35" s="12">
        <f>_xlfn.XLOOKUP($C35,'BDG Intensity'!$F:$F,'BDG Intensity'!Z:Z)</f>
        <v/>
      </c>
    </row>
    <row r="36">
      <c r="B36">
        <f>Def_Tech!C180</f>
        <v/>
      </c>
      <c r="C36">
        <f>Def_Tech!D51</f>
        <v/>
      </c>
      <c r="D36">
        <f>Def_Comm!C180</f>
        <v/>
      </c>
      <c r="E36">
        <f>Def_Comm!C51</f>
        <v/>
      </c>
      <c r="F36" s="12">
        <f>_xlfn.XLOOKUP($C36,'BDG Intensity'!$F:$F,'BDG Intensity'!I:I)</f>
        <v/>
      </c>
      <c r="G36" s="12">
        <f>_xlfn.XLOOKUP($C36,'BDG Intensity'!$F:$F,'BDG Intensity'!J:J)</f>
        <v/>
      </c>
      <c r="H36" s="12">
        <f>_xlfn.XLOOKUP($C36,'BDG Intensity'!$F:$F,'BDG Intensity'!K:K)</f>
        <v/>
      </c>
      <c r="I36" s="12">
        <f>_xlfn.XLOOKUP($C36,'BDG Intensity'!$F:$F,'BDG Intensity'!L:L)</f>
        <v/>
      </c>
      <c r="J36" s="12">
        <f>_xlfn.XLOOKUP($C36,'BDG Intensity'!$F:$F,'BDG Intensity'!M:M)</f>
        <v/>
      </c>
      <c r="K36" s="12">
        <f>_xlfn.XLOOKUP($C36,'BDG Intensity'!$F:$F,'BDG Intensity'!N:N)</f>
        <v/>
      </c>
      <c r="L36" s="12">
        <f>_xlfn.XLOOKUP($C36,'BDG Intensity'!$F:$F,'BDG Intensity'!O:O)</f>
        <v/>
      </c>
      <c r="M36" s="12">
        <f>_xlfn.XLOOKUP($C36,'BDG Intensity'!$F:$F,'BDG Intensity'!P:P)</f>
        <v/>
      </c>
      <c r="N36" s="12">
        <f>_xlfn.XLOOKUP($C36,'BDG Intensity'!$F:$F,'BDG Intensity'!Q:Q)</f>
        <v/>
      </c>
      <c r="O36" s="12">
        <f>_xlfn.XLOOKUP($C36,'BDG Intensity'!$F:$F,'BDG Intensity'!R:R)</f>
        <v/>
      </c>
      <c r="P36" s="12">
        <f>_xlfn.XLOOKUP($C36,'BDG Intensity'!$F:$F,'BDG Intensity'!S:S)</f>
        <v/>
      </c>
      <c r="Q36" s="12">
        <f>_xlfn.XLOOKUP($C36,'BDG Intensity'!$F:$F,'BDG Intensity'!T:T)</f>
        <v/>
      </c>
      <c r="R36" s="12">
        <f>_xlfn.XLOOKUP($C36,'BDG Intensity'!$F:$F,'BDG Intensity'!U:U)</f>
        <v/>
      </c>
      <c r="S36" s="12">
        <f>_xlfn.XLOOKUP($C36,'BDG Intensity'!$F:$F,'BDG Intensity'!V:V)</f>
        <v/>
      </c>
      <c r="T36" s="12">
        <f>_xlfn.XLOOKUP($C36,'BDG Intensity'!$F:$F,'BDG Intensity'!W:W)</f>
        <v/>
      </c>
      <c r="U36" s="12">
        <f>_xlfn.XLOOKUP($C36,'BDG Intensity'!$F:$F,'BDG Intensity'!X:X)</f>
        <v/>
      </c>
      <c r="V36" s="12">
        <f>_xlfn.XLOOKUP($C36,'BDG Intensity'!$F:$F,'BDG Intensity'!Y:Y)</f>
        <v/>
      </c>
      <c r="W36" s="12">
        <f>_xlfn.XLOOKUP($C36,'BDG Intensity'!$F:$F,'BDG Intensity'!Z:Z)</f>
        <v/>
      </c>
    </row>
    <row r="37">
      <c r="B37">
        <f>Def_Tech!C181</f>
        <v/>
      </c>
      <c r="C37">
        <f>Def_Tech!D52</f>
        <v/>
      </c>
      <c r="D37">
        <f>Def_Comm!C181</f>
        <v/>
      </c>
      <c r="E37">
        <f>Def_Comm!C52</f>
        <v/>
      </c>
      <c r="F37" s="12">
        <f>_xlfn.XLOOKUP($C37,'BDG Intensity'!$F:$F,'BDG Intensity'!I:I)</f>
        <v/>
      </c>
      <c r="G37" s="12">
        <f>_xlfn.XLOOKUP($C37,'BDG Intensity'!$F:$F,'BDG Intensity'!J:J)</f>
        <v/>
      </c>
      <c r="H37" s="12">
        <f>_xlfn.XLOOKUP($C37,'BDG Intensity'!$F:$F,'BDG Intensity'!K:K)</f>
        <v/>
      </c>
      <c r="I37" s="12">
        <f>_xlfn.XLOOKUP($C37,'BDG Intensity'!$F:$F,'BDG Intensity'!L:L)</f>
        <v/>
      </c>
      <c r="J37" s="12">
        <f>_xlfn.XLOOKUP($C37,'BDG Intensity'!$F:$F,'BDG Intensity'!M:M)</f>
        <v/>
      </c>
      <c r="K37" s="12">
        <f>_xlfn.XLOOKUP($C37,'BDG Intensity'!$F:$F,'BDG Intensity'!N:N)</f>
        <v/>
      </c>
      <c r="L37" s="12">
        <f>_xlfn.XLOOKUP($C37,'BDG Intensity'!$F:$F,'BDG Intensity'!O:O)</f>
        <v/>
      </c>
      <c r="M37" s="12">
        <f>_xlfn.XLOOKUP($C37,'BDG Intensity'!$F:$F,'BDG Intensity'!P:P)</f>
        <v/>
      </c>
      <c r="N37" s="12">
        <f>_xlfn.XLOOKUP($C37,'BDG Intensity'!$F:$F,'BDG Intensity'!Q:Q)</f>
        <v/>
      </c>
      <c r="O37" s="12">
        <f>_xlfn.XLOOKUP($C37,'BDG Intensity'!$F:$F,'BDG Intensity'!R:R)</f>
        <v/>
      </c>
      <c r="P37" s="12">
        <f>_xlfn.XLOOKUP($C37,'BDG Intensity'!$F:$F,'BDG Intensity'!S:S)</f>
        <v/>
      </c>
      <c r="Q37" s="12">
        <f>_xlfn.XLOOKUP($C37,'BDG Intensity'!$F:$F,'BDG Intensity'!T:T)</f>
        <v/>
      </c>
      <c r="R37" s="12">
        <f>_xlfn.XLOOKUP($C37,'BDG Intensity'!$F:$F,'BDG Intensity'!U:U)</f>
        <v/>
      </c>
      <c r="S37" s="12">
        <f>_xlfn.XLOOKUP($C37,'BDG Intensity'!$F:$F,'BDG Intensity'!V:V)</f>
        <v/>
      </c>
      <c r="T37" s="12">
        <f>_xlfn.XLOOKUP($C37,'BDG Intensity'!$F:$F,'BDG Intensity'!W:W)</f>
        <v/>
      </c>
      <c r="U37" s="12">
        <f>_xlfn.XLOOKUP($C37,'BDG Intensity'!$F:$F,'BDG Intensity'!X:X)</f>
        <v/>
      </c>
      <c r="V37" s="12">
        <f>_xlfn.XLOOKUP($C37,'BDG Intensity'!$F:$F,'BDG Intensity'!Y:Y)</f>
        <v/>
      </c>
      <c r="W37" s="12">
        <f>_xlfn.XLOOKUP($C37,'BDG Intensity'!$F:$F,'BDG Intensity'!Z:Z)</f>
        <v/>
      </c>
    </row>
    <row r="38">
      <c r="B38">
        <f>Def_Tech!C182</f>
        <v/>
      </c>
      <c r="C38">
        <f>Def_Tech!D53</f>
        <v/>
      </c>
      <c r="D38">
        <f>Def_Comm!C182</f>
        <v/>
      </c>
      <c r="E38">
        <f>Def_Comm!C53</f>
        <v/>
      </c>
      <c r="F38" s="12">
        <f>_xlfn.XLOOKUP($C38,'BDG Intensity'!$F:$F,'BDG Intensity'!I:I)</f>
        <v/>
      </c>
      <c r="G38" s="12">
        <f>_xlfn.XLOOKUP($C38,'BDG Intensity'!$F:$F,'BDG Intensity'!J:J)</f>
        <v/>
      </c>
      <c r="H38" s="12">
        <f>_xlfn.XLOOKUP($C38,'BDG Intensity'!$F:$F,'BDG Intensity'!K:K)</f>
        <v/>
      </c>
      <c r="I38" s="12">
        <f>_xlfn.XLOOKUP($C38,'BDG Intensity'!$F:$F,'BDG Intensity'!L:L)</f>
        <v/>
      </c>
      <c r="J38" s="12">
        <f>_xlfn.XLOOKUP($C38,'BDG Intensity'!$F:$F,'BDG Intensity'!M:M)</f>
        <v/>
      </c>
      <c r="K38" s="12">
        <f>_xlfn.XLOOKUP($C38,'BDG Intensity'!$F:$F,'BDG Intensity'!N:N)</f>
        <v/>
      </c>
      <c r="L38" s="12">
        <f>_xlfn.XLOOKUP($C38,'BDG Intensity'!$F:$F,'BDG Intensity'!O:O)</f>
        <v/>
      </c>
      <c r="M38" s="12">
        <f>_xlfn.XLOOKUP($C38,'BDG Intensity'!$F:$F,'BDG Intensity'!P:P)</f>
        <v/>
      </c>
      <c r="N38" s="12">
        <f>_xlfn.XLOOKUP($C38,'BDG Intensity'!$F:$F,'BDG Intensity'!Q:Q)</f>
        <v/>
      </c>
      <c r="O38" s="12">
        <f>_xlfn.XLOOKUP($C38,'BDG Intensity'!$F:$F,'BDG Intensity'!R:R)</f>
        <v/>
      </c>
      <c r="P38" s="12">
        <f>_xlfn.XLOOKUP($C38,'BDG Intensity'!$F:$F,'BDG Intensity'!S:S)</f>
        <v/>
      </c>
      <c r="Q38" s="12">
        <f>_xlfn.XLOOKUP($C38,'BDG Intensity'!$F:$F,'BDG Intensity'!T:T)</f>
        <v/>
      </c>
      <c r="R38" s="12">
        <f>_xlfn.XLOOKUP($C38,'BDG Intensity'!$F:$F,'BDG Intensity'!U:U)</f>
        <v/>
      </c>
      <c r="S38" s="12">
        <f>_xlfn.XLOOKUP($C38,'BDG Intensity'!$F:$F,'BDG Intensity'!V:V)</f>
        <v/>
      </c>
      <c r="T38" s="12">
        <f>_xlfn.XLOOKUP($C38,'BDG Intensity'!$F:$F,'BDG Intensity'!W:W)</f>
        <v/>
      </c>
      <c r="U38" s="12">
        <f>_xlfn.XLOOKUP($C38,'BDG Intensity'!$F:$F,'BDG Intensity'!X:X)</f>
        <v/>
      </c>
      <c r="V38" s="12">
        <f>_xlfn.XLOOKUP($C38,'BDG Intensity'!$F:$F,'BDG Intensity'!Y:Y)</f>
        <v/>
      </c>
      <c r="W38" s="12">
        <f>_xlfn.XLOOKUP($C38,'BDG Intensity'!$F:$F,'BDG Intensity'!Z:Z)</f>
        <v/>
      </c>
    </row>
    <row r="39">
      <c r="B39">
        <f>Def_Tech!C183</f>
        <v/>
      </c>
      <c r="C39">
        <f>Def_Tech!D54</f>
        <v/>
      </c>
      <c r="D39">
        <f>Def_Comm!C183</f>
        <v/>
      </c>
      <c r="E39">
        <f>Def_Comm!C54</f>
        <v/>
      </c>
      <c r="F39" s="12">
        <f>_xlfn.XLOOKUP($C39,'BDG Intensity'!$F:$F,'BDG Intensity'!I:I)</f>
        <v/>
      </c>
      <c r="G39" s="12">
        <f>_xlfn.XLOOKUP($C39,'BDG Intensity'!$F:$F,'BDG Intensity'!J:J)</f>
        <v/>
      </c>
      <c r="H39" s="12">
        <f>_xlfn.XLOOKUP($C39,'BDG Intensity'!$F:$F,'BDG Intensity'!K:K)</f>
        <v/>
      </c>
      <c r="I39" s="12">
        <f>_xlfn.XLOOKUP($C39,'BDG Intensity'!$F:$F,'BDG Intensity'!L:L)</f>
        <v/>
      </c>
      <c r="J39" s="12">
        <f>_xlfn.XLOOKUP($C39,'BDG Intensity'!$F:$F,'BDG Intensity'!M:M)</f>
        <v/>
      </c>
      <c r="K39" s="12">
        <f>_xlfn.XLOOKUP($C39,'BDG Intensity'!$F:$F,'BDG Intensity'!N:N)</f>
        <v/>
      </c>
      <c r="L39" s="12">
        <f>_xlfn.XLOOKUP($C39,'BDG Intensity'!$F:$F,'BDG Intensity'!O:O)</f>
        <v/>
      </c>
      <c r="M39" s="12">
        <f>_xlfn.XLOOKUP($C39,'BDG Intensity'!$F:$F,'BDG Intensity'!P:P)</f>
        <v/>
      </c>
      <c r="N39" s="12">
        <f>_xlfn.XLOOKUP($C39,'BDG Intensity'!$F:$F,'BDG Intensity'!Q:Q)</f>
        <v/>
      </c>
      <c r="O39" s="12">
        <f>_xlfn.XLOOKUP($C39,'BDG Intensity'!$F:$F,'BDG Intensity'!R:R)</f>
        <v/>
      </c>
      <c r="P39" s="12">
        <f>_xlfn.XLOOKUP($C39,'BDG Intensity'!$F:$F,'BDG Intensity'!S:S)</f>
        <v/>
      </c>
      <c r="Q39" s="12">
        <f>_xlfn.XLOOKUP($C39,'BDG Intensity'!$F:$F,'BDG Intensity'!T:T)</f>
        <v/>
      </c>
      <c r="R39" s="12">
        <f>_xlfn.XLOOKUP($C39,'BDG Intensity'!$F:$F,'BDG Intensity'!U:U)</f>
        <v/>
      </c>
      <c r="S39" s="12">
        <f>_xlfn.XLOOKUP($C39,'BDG Intensity'!$F:$F,'BDG Intensity'!V:V)</f>
        <v/>
      </c>
      <c r="T39" s="12">
        <f>_xlfn.XLOOKUP($C39,'BDG Intensity'!$F:$F,'BDG Intensity'!W:W)</f>
        <v/>
      </c>
      <c r="U39" s="12">
        <f>_xlfn.XLOOKUP($C39,'BDG Intensity'!$F:$F,'BDG Intensity'!X:X)</f>
        <v/>
      </c>
      <c r="V39" s="12">
        <f>_xlfn.XLOOKUP($C39,'BDG Intensity'!$F:$F,'BDG Intensity'!Y:Y)</f>
        <v/>
      </c>
      <c r="W39" s="12">
        <f>_xlfn.XLOOKUP($C39,'BDG Intensity'!$F:$F,'BDG Intensity'!Z:Z)</f>
        <v/>
      </c>
    </row>
    <row r="40">
      <c r="B40">
        <f>Def_Tech!C184</f>
        <v/>
      </c>
      <c r="C40">
        <f>Def_Tech!D55</f>
        <v/>
      </c>
      <c r="D40">
        <f>Def_Comm!C184</f>
        <v/>
      </c>
      <c r="E40">
        <f>Def_Comm!C55</f>
        <v/>
      </c>
      <c r="F40" s="12">
        <f>_xlfn.XLOOKUP($C40,'BDG Intensity'!$F:$F,'BDG Intensity'!I:I)</f>
        <v/>
      </c>
      <c r="G40" s="12">
        <f>_xlfn.XLOOKUP($C40,'BDG Intensity'!$F:$F,'BDG Intensity'!J:J)</f>
        <v/>
      </c>
      <c r="H40" s="12">
        <f>_xlfn.XLOOKUP($C40,'BDG Intensity'!$F:$F,'BDG Intensity'!K:K)</f>
        <v/>
      </c>
      <c r="I40" s="12">
        <f>_xlfn.XLOOKUP($C40,'BDG Intensity'!$F:$F,'BDG Intensity'!L:L)</f>
        <v/>
      </c>
      <c r="J40" s="12">
        <f>_xlfn.XLOOKUP($C40,'BDG Intensity'!$F:$F,'BDG Intensity'!M:M)</f>
        <v/>
      </c>
      <c r="K40" s="12">
        <f>_xlfn.XLOOKUP($C40,'BDG Intensity'!$F:$F,'BDG Intensity'!N:N)</f>
        <v/>
      </c>
      <c r="L40" s="12">
        <f>_xlfn.XLOOKUP($C40,'BDG Intensity'!$F:$F,'BDG Intensity'!O:O)</f>
        <v/>
      </c>
      <c r="M40" s="12">
        <f>_xlfn.XLOOKUP($C40,'BDG Intensity'!$F:$F,'BDG Intensity'!P:P)</f>
        <v/>
      </c>
      <c r="N40" s="12">
        <f>_xlfn.XLOOKUP($C40,'BDG Intensity'!$F:$F,'BDG Intensity'!Q:Q)</f>
        <v/>
      </c>
      <c r="O40" s="12">
        <f>_xlfn.XLOOKUP($C40,'BDG Intensity'!$F:$F,'BDG Intensity'!R:R)</f>
        <v/>
      </c>
      <c r="P40" s="12">
        <f>_xlfn.XLOOKUP($C40,'BDG Intensity'!$F:$F,'BDG Intensity'!S:S)</f>
        <v/>
      </c>
      <c r="Q40" s="12">
        <f>_xlfn.XLOOKUP($C40,'BDG Intensity'!$F:$F,'BDG Intensity'!T:T)</f>
        <v/>
      </c>
      <c r="R40" s="12">
        <f>_xlfn.XLOOKUP($C40,'BDG Intensity'!$F:$F,'BDG Intensity'!U:U)</f>
        <v/>
      </c>
      <c r="S40" s="12">
        <f>_xlfn.XLOOKUP($C40,'BDG Intensity'!$F:$F,'BDG Intensity'!V:V)</f>
        <v/>
      </c>
      <c r="T40" s="12">
        <f>_xlfn.XLOOKUP($C40,'BDG Intensity'!$F:$F,'BDG Intensity'!W:W)</f>
        <v/>
      </c>
      <c r="U40" s="12">
        <f>_xlfn.XLOOKUP($C40,'BDG Intensity'!$F:$F,'BDG Intensity'!X:X)</f>
        <v/>
      </c>
      <c r="V40" s="12">
        <f>_xlfn.XLOOKUP($C40,'BDG Intensity'!$F:$F,'BDG Intensity'!Y:Y)</f>
        <v/>
      </c>
      <c r="W40" s="12">
        <f>_xlfn.XLOOKUP($C40,'BDG Intensity'!$F:$F,'BDG Intensity'!Z:Z)</f>
        <v/>
      </c>
    </row>
    <row r="41">
      <c r="B41">
        <f>Def_Tech!C185</f>
        <v/>
      </c>
      <c r="C41">
        <f>Def_Tech!D56</f>
        <v/>
      </c>
      <c r="D41">
        <f>Def_Comm!C185</f>
        <v/>
      </c>
      <c r="E41">
        <f>Def_Comm!C56</f>
        <v/>
      </c>
      <c r="F41" s="12">
        <f>_xlfn.XLOOKUP($C41,'BDG Intensity'!$F:$F,'BDG Intensity'!I:I)</f>
        <v/>
      </c>
      <c r="G41" s="12">
        <f>_xlfn.XLOOKUP($C41,'BDG Intensity'!$F:$F,'BDG Intensity'!J:J)</f>
        <v/>
      </c>
      <c r="H41" s="12">
        <f>_xlfn.XLOOKUP($C41,'BDG Intensity'!$F:$F,'BDG Intensity'!K:K)</f>
        <v/>
      </c>
      <c r="I41" s="12">
        <f>_xlfn.XLOOKUP($C41,'BDG Intensity'!$F:$F,'BDG Intensity'!L:L)</f>
        <v/>
      </c>
      <c r="J41" s="12">
        <f>_xlfn.XLOOKUP($C41,'BDG Intensity'!$F:$F,'BDG Intensity'!M:M)</f>
        <v/>
      </c>
      <c r="K41" s="12">
        <f>_xlfn.XLOOKUP($C41,'BDG Intensity'!$F:$F,'BDG Intensity'!N:N)</f>
        <v/>
      </c>
      <c r="L41" s="12">
        <f>_xlfn.XLOOKUP($C41,'BDG Intensity'!$F:$F,'BDG Intensity'!O:O)</f>
        <v/>
      </c>
      <c r="M41" s="12">
        <f>_xlfn.XLOOKUP($C41,'BDG Intensity'!$F:$F,'BDG Intensity'!P:P)</f>
        <v/>
      </c>
      <c r="N41" s="12">
        <f>_xlfn.XLOOKUP($C41,'BDG Intensity'!$F:$F,'BDG Intensity'!Q:Q)</f>
        <v/>
      </c>
      <c r="O41" s="12">
        <f>_xlfn.XLOOKUP($C41,'BDG Intensity'!$F:$F,'BDG Intensity'!R:R)</f>
        <v/>
      </c>
      <c r="P41" s="12">
        <f>_xlfn.XLOOKUP($C41,'BDG Intensity'!$F:$F,'BDG Intensity'!S:S)</f>
        <v/>
      </c>
      <c r="Q41" s="12">
        <f>_xlfn.XLOOKUP($C41,'BDG Intensity'!$F:$F,'BDG Intensity'!T:T)</f>
        <v/>
      </c>
      <c r="R41" s="12">
        <f>_xlfn.XLOOKUP($C41,'BDG Intensity'!$F:$F,'BDG Intensity'!U:U)</f>
        <v/>
      </c>
      <c r="S41" s="12">
        <f>_xlfn.XLOOKUP($C41,'BDG Intensity'!$F:$F,'BDG Intensity'!V:V)</f>
        <v/>
      </c>
      <c r="T41" s="12">
        <f>_xlfn.XLOOKUP($C41,'BDG Intensity'!$F:$F,'BDG Intensity'!W:W)</f>
        <v/>
      </c>
      <c r="U41" s="12">
        <f>_xlfn.XLOOKUP($C41,'BDG Intensity'!$F:$F,'BDG Intensity'!X:X)</f>
        <v/>
      </c>
      <c r="V41" s="12">
        <f>_xlfn.XLOOKUP($C41,'BDG Intensity'!$F:$F,'BDG Intensity'!Y:Y)</f>
        <v/>
      </c>
      <c r="W41" s="12">
        <f>_xlfn.XLOOKUP($C41,'BDG Intensity'!$F:$F,'BDG Intensity'!Z:Z)</f>
        <v/>
      </c>
    </row>
    <row r="42">
      <c r="B42">
        <f>Def_Tech!C186</f>
        <v/>
      </c>
      <c r="C42">
        <f>Def_Tech!D57</f>
        <v/>
      </c>
      <c r="D42">
        <f>Def_Comm!C186</f>
        <v/>
      </c>
      <c r="E42">
        <f>Def_Comm!C57</f>
        <v/>
      </c>
      <c r="F42" s="12">
        <f>_xlfn.XLOOKUP($C42,'BDG Intensity'!$F:$F,'BDG Intensity'!I:I)</f>
        <v/>
      </c>
      <c r="G42" s="12">
        <f>_xlfn.XLOOKUP($C42,'BDG Intensity'!$F:$F,'BDG Intensity'!J:J)</f>
        <v/>
      </c>
      <c r="H42" s="12">
        <f>_xlfn.XLOOKUP($C42,'BDG Intensity'!$F:$F,'BDG Intensity'!K:K)</f>
        <v/>
      </c>
      <c r="I42" s="12">
        <f>_xlfn.XLOOKUP($C42,'BDG Intensity'!$F:$F,'BDG Intensity'!L:L)</f>
        <v/>
      </c>
      <c r="J42" s="12">
        <f>_xlfn.XLOOKUP($C42,'BDG Intensity'!$F:$F,'BDG Intensity'!M:M)</f>
        <v/>
      </c>
      <c r="K42" s="12">
        <f>_xlfn.XLOOKUP($C42,'BDG Intensity'!$F:$F,'BDG Intensity'!N:N)</f>
        <v/>
      </c>
      <c r="L42" s="12">
        <f>_xlfn.XLOOKUP($C42,'BDG Intensity'!$F:$F,'BDG Intensity'!O:O)</f>
        <v/>
      </c>
      <c r="M42" s="12">
        <f>_xlfn.XLOOKUP($C42,'BDG Intensity'!$F:$F,'BDG Intensity'!P:P)</f>
        <v/>
      </c>
      <c r="N42" s="12">
        <f>_xlfn.XLOOKUP($C42,'BDG Intensity'!$F:$F,'BDG Intensity'!Q:Q)</f>
        <v/>
      </c>
      <c r="O42" s="12">
        <f>_xlfn.XLOOKUP($C42,'BDG Intensity'!$F:$F,'BDG Intensity'!R:R)</f>
        <v/>
      </c>
      <c r="P42" s="12">
        <f>_xlfn.XLOOKUP($C42,'BDG Intensity'!$F:$F,'BDG Intensity'!S:S)</f>
        <v/>
      </c>
      <c r="Q42" s="12">
        <f>_xlfn.XLOOKUP($C42,'BDG Intensity'!$F:$F,'BDG Intensity'!T:T)</f>
        <v/>
      </c>
      <c r="R42" s="12">
        <f>_xlfn.XLOOKUP($C42,'BDG Intensity'!$F:$F,'BDG Intensity'!U:U)</f>
        <v/>
      </c>
      <c r="S42" s="12">
        <f>_xlfn.XLOOKUP($C42,'BDG Intensity'!$F:$F,'BDG Intensity'!V:V)</f>
        <v/>
      </c>
      <c r="T42" s="12">
        <f>_xlfn.XLOOKUP($C42,'BDG Intensity'!$F:$F,'BDG Intensity'!W:W)</f>
        <v/>
      </c>
      <c r="U42" s="12">
        <f>_xlfn.XLOOKUP($C42,'BDG Intensity'!$F:$F,'BDG Intensity'!X:X)</f>
        <v/>
      </c>
      <c r="V42" s="12">
        <f>_xlfn.XLOOKUP($C42,'BDG Intensity'!$F:$F,'BDG Intensity'!Y:Y)</f>
        <v/>
      </c>
      <c r="W42" s="12">
        <f>_xlfn.XLOOKUP($C42,'BDG Intensity'!$F:$F,'BDG Intensity'!Z:Z)</f>
        <v/>
      </c>
    </row>
    <row r="43">
      <c r="B43">
        <f>Def_Tech!C187</f>
        <v/>
      </c>
      <c r="C43">
        <f>Def_Tech!D58</f>
        <v/>
      </c>
      <c r="D43">
        <f>Def_Comm!C187</f>
        <v/>
      </c>
      <c r="E43">
        <f>Def_Comm!C58</f>
        <v/>
      </c>
      <c r="F43" s="12">
        <f>_xlfn.XLOOKUP($C43,'BDG Intensity'!$F:$F,'BDG Intensity'!I:I)</f>
        <v/>
      </c>
      <c r="G43" s="12">
        <f>_xlfn.XLOOKUP($C43,'BDG Intensity'!$F:$F,'BDG Intensity'!J:J)</f>
        <v/>
      </c>
      <c r="H43" s="12">
        <f>_xlfn.XLOOKUP($C43,'BDG Intensity'!$F:$F,'BDG Intensity'!K:K)</f>
        <v/>
      </c>
      <c r="I43" s="12">
        <f>_xlfn.XLOOKUP($C43,'BDG Intensity'!$F:$F,'BDG Intensity'!L:L)</f>
        <v/>
      </c>
      <c r="J43" s="12">
        <f>_xlfn.XLOOKUP($C43,'BDG Intensity'!$F:$F,'BDG Intensity'!M:M)</f>
        <v/>
      </c>
      <c r="K43" s="12">
        <f>_xlfn.XLOOKUP($C43,'BDG Intensity'!$F:$F,'BDG Intensity'!N:N)</f>
        <v/>
      </c>
      <c r="L43" s="12">
        <f>_xlfn.XLOOKUP($C43,'BDG Intensity'!$F:$F,'BDG Intensity'!O:O)</f>
        <v/>
      </c>
      <c r="M43" s="12">
        <f>_xlfn.XLOOKUP($C43,'BDG Intensity'!$F:$F,'BDG Intensity'!P:P)</f>
        <v/>
      </c>
      <c r="N43" s="12">
        <f>_xlfn.XLOOKUP($C43,'BDG Intensity'!$F:$F,'BDG Intensity'!Q:Q)</f>
        <v/>
      </c>
      <c r="O43" s="12">
        <f>_xlfn.XLOOKUP($C43,'BDG Intensity'!$F:$F,'BDG Intensity'!R:R)</f>
        <v/>
      </c>
      <c r="P43" s="12">
        <f>_xlfn.XLOOKUP($C43,'BDG Intensity'!$F:$F,'BDG Intensity'!S:S)</f>
        <v/>
      </c>
      <c r="Q43" s="12">
        <f>_xlfn.XLOOKUP($C43,'BDG Intensity'!$F:$F,'BDG Intensity'!T:T)</f>
        <v/>
      </c>
      <c r="R43" s="12">
        <f>_xlfn.XLOOKUP($C43,'BDG Intensity'!$F:$F,'BDG Intensity'!U:U)</f>
        <v/>
      </c>
      <c r="S43" s="12">
        <f>_xlfn.XLOOKUP($C43,'BDG Intensity'!$F:$F,'BDG Intensity'!V:V)</f>
        <v/>
      </c>
      <c r="T43" s="12">
        <f>_xlfn.XLOOKUP($C43,'BDG Intensity'!$F:$F,'BDG Intensity'!W:W)</f>
        <v/>
      </c>
      <c r="U43" s="12">
        <f>_xlfn.XLOOKUP($C43,'BDG Intensity'!$F:$F,'BDG Intensity'!X:X)</f>
        <v/>
      </c>
      <c r="V43" s="12">
        <f>_xlfn.XLOOKUP($C43,'BDG Intensity'!$F:$F,'BDG Intensity'!Y:Y)</f>
        <v/>
      </c>
      <c r="W43" s="12">
        <f>_xlfn.XLOOKUP($C43,'BDG Intensity'!$F:$F,'BDG Intensity'!Z:Z)</f>
        <v/>
      </c>
    </row>
    <row r="44">
      <c r="B44">
        <f>Def_Tech!C188</f>
        <v/>
      </c>
      <c r="C44">
        <f>Def_Tech!D59</f>
        <v/>
      </c>
      <c r="D44">
        <f>Def_Comm!C188</f>
        <v/>
      </c>
      <c r="E44">
        <f>Def_Comm!C59</f>
        <v/>
      </c>
      <c r="F44" s="12">
        <f>_xlfn.XLOOKUP($C44,'BDG Intensity'!$F:$F,'BDG Intensity'!I:I)</f>
        <v/>
      </c>
      <c r="G44" s="12">
        <f>_xlfn.XLOOKUP($C44,'BDG Intensity'!$F:$F,'BDG Intensity'!J:J)</f>
        <v/>
      </c>
      <c r="H44" s="12">
        <f>_xlfn.XLOOKUP($C44,'BDG Intensity'!$F:$F,'BDG Intensity'!K:K)</f>
        <v/>
      </c>
      <c r="I44" s="12">
        <f>_xlfn.XLOOKUP($C44,'BDG Intensity'!$F:$F,'BDG Intensity'!L:L)</f>
        <v/>
      </c>
      <c r="J44" s="12">
        <f>_xlfn.XLOOKUP($C44,'BDG Intensity'!$F:$F,'BDG Intensity'!M:M)</f>
        <v/>
      </c>
      <c r="K44" s="12">
        <f>_xlfn.XLOOKUP($C44,'BDG Intensity'!$F:$F,'BDG Intensity'!N:N)</f>
        <v/>
      </c>
      <c r="L44" s="12">
        <f>_xlfn.XLOOKUP($C44,'BDG Intensity'!$F:$F,'BDG Intensity'!O:O)</f>
        <v/>
      </c>
      <c r="M44" s="12">
        <f>_xlfn.XLOOKUP($C44,'BDG Intensity'!$F:$F,'BDG Intensity'!P:P)</f>
        <v/>
      </c>
      <c r="N44" s="12">
        <f>_xlfn.XLOOKUP($C44,'BDG Intensity'!$F:$F,'BDG Intensity'!Q:Q)</f>
        <v/>
      </c>
      <c r="O44" s="12">
        <f>_xlfn.XLOOKUP($C44,'BDG Intensity'!$F:$F,'BDG Intensity'!R:R)</f>
        <v/>
      </c>
      <c r="P44" s="12">
        <f>_xlfn.XLOOKUP($C44,'BDG Intensity'!$F:$F,'BDG Intensity'!S:S)</f>
        <v/>
      </c>
      <c r="Q44" s="12">
        <f>_xlfn.XLOOKUP($C44,'BDG Intensity'!$F:$F,'BDG Intensity'!T:T)</f>
        <v/>
      </c>
      <c r="R44" s="12">
        <f>_xlfn.XLOOKUP($C44,'BDG Intensity'!$F:$F,'BDG Intensity'!U:U)</f>
        <v/>
      </c>
      <c r="S44" s="12">
        <f>_xlfn.XLOOKUP($C44,'BDG Intensity'!$F:$F,'BDG Intensity'!V:V)</f>
        <v/>
      </c>
      <c r="T44" s="12">
        <f>_xlfn.XLOOKUP($C44,'BDG Intensity'!$F:$F,'BDG Intensity'!W:W)</f>
        <v/>
      </c>
      <c r="U44" s="12">
        <f>_xlfn.XLOOKUP($C44,'BDG Intensity'!$F:$F,'BDG Intensity'!X:X)</f>
        <v/>
      </c>
      <c r="V44" s="12">
        <f>_xlfn.XLOOKUP($C44,'BDG Intensity'!$F:$F,'BDG Intensity'!Y:Y)</f>
        <v/>
      </c>
      <c r="W44" s="12">
        <f>_xlfn.XLOOKUP($C44,'BDG Intensity'!$F:$F,'BDG Intensity'!Z:Z)</f>
        <v/>
      </c>
    </row>
    <row r="45">
      <c r="B45">
        <f>Def_Tech!C189</f>
        <v/>
      </c>
      <c r="C45">
        <f>Def_Tech!D60</f>
        <v/>
      </c>
      <c r="D45">
        <f>Def_Comm!C189</f>
        <v/>
      </c>
      <c r="E45">
        <f>Def_Comm!C60</f>
        <v/>
      </c>
      <c r="F45" s="12">
        <f>_xlfn.XLOOKUP($C45,'BDG Intensity'!$F:$F,'BDG Intensity'!I:I)</f>
        <v/>
      </c>
      <c r="G45" s="12">
        <f>_xlfn.XLOOKUP($C45,'BDG Intensity'!$F:$F,'BDG Intensity'!J:J)</f>
        <v/>
      </c>
      <c r="H45" s="12">
        <f>_xlfn.XLOOKUP($C45,'BDG Intensity'!$F:$F,'BDG Intensity'!K:K)</f>
        <v/>
      </c>
      <c r="I45" s="12">
        <f>_xlfn.XLOOKUP($C45,'BDG Intensity'!$F:$F,'BDG Intensity'!L:L)</f>
        <v/>
      </c>
      <c r="J45" s="12">
        <f>_xlfn.XLOOKUP($C45,'BDG Intensity'!$F:$F,'BDG Intensity'!M:M)</f>
        <v/>
      </c>
      <c r="K45" s="12">
        <f>_xlfn.XLOOKUP($C45,'BDG Intensity'!$F:$F,'BDG Intensity'!N:N)</f>
        <v/>
      </c>
      <c r="L45" s="12">
        <f>_xlfn.XLOOKUP($C45,'BDG Intensity'!$F:$F,'BDG Intensity'!O:O)</f>
        <v/>
      </c>
      <c r="M45" s="12">
        <f>_xlfn.XLOOKUP($C45,'BDG Intensity'!$F:$F,'BDG Intensity'!P:P)</f>
        <v/>
      </c>
      <c r="N45" s="12">
        <f>_xlfn.XLOOKUP($C45,'BDG Intensity'!$F:$F,'BDG Intensity'!Q:Q)</f>
        <v/>
      </c>
      <c r="O45" s="12">
        <f>_xlfn.XLOOKUP($C45,'BDG Intensity'!$F:$F,'BDG Intensity'!R:R)</f>
        <v/>
      </c>
      <c r="P45" s="12">
        <f>_xlfn.XLOOKUP($C45,'BDG Intensity'!$F:$F,'BDG Intensity'!S:S)</f>
        <v/>
      </c>
      <c r="Q45" s="12">
        <f>_xlfn.XLOOKUP($C45,'BDG Intensity'!$F:$F,'BDG Intensity'!T:T)</f>
        <v/>
      </c>
      <c r="R45" s="12">
        <f>_xlfn.XLOOKUP($C45,'BDG Intensity'!$F:$F,'BDG Intensity'!U:U)</f>
        <v/>
      </c>
      <c r="S45" s="12">
        <f>_xlfn.XLOOKUP($C45,'BDG Intensity'!$F:$F,'BDG Intensity'!V:V)</f>
        <v/>
      </c>
      <c r="T45" s="12">
        <f>_xlfn.XLOOKUP($C45,'BDG Intensity'!$F:$F,'BDG Intensity'!W:W)</f>
        <v/>
      </c>
      <c r="U45" s="12">
        <f>_xlfn.XLOOKUP($C45,'BDG Intensity'!$F:$F,'BDG Intensity'!X:X)</f>
        <v/>
      </c>
      <c r="V45" s="12">
        <f>_xlfn.XLOOKUP($C45,'BDG Intensity'!$F:$F,'BDG Intensity'!Y:Y)</f>
        <v/>
      </c>
      <c r="W45" s="12">
        <f>_xlfn.XLOOKUP($C45,'BDG Intensity'!$F:$F,'BDG Intensity'!Z:Z)</f>
        <v/>
      </c>
    </row>
    <row r="46">
      <c r="B46">
        <f>Def_Tech!C190</f>
        <v/>
      </c>
      <c r="C46">
        <f>Def_Tech!D61</f>
        <v/>
      </c>
      <c r="D46">
        <f>Def_Comm!C190</f>
        <v/>
      </c>
      <c r="E46">
        <f>Def_Comm!C61</f>
        <v/>
      </c>
      <c r="F46" s="12">
        <f>_xlfn.XLOOKUP($C46,'BDG Intensity'!$F:$F,'BDG Intensity'!I:I)</f>
        <v/>
      </c>
      <c r="G46" s="12">
        <f>_xlfn.XLOOKUP($C46,'BDG Intensity'!$F:$F,'BDG Intensity'!J:J)</f>
        <v/>
      </c>
      <c r="H46" s="12">
        <f>_xlfn.XLOOKUP($C46,'BDG Intensity'!$F:$F,'BDG Intensity'!K:K)</f>
        <v/>
      </c>
      <c r="I46" s="12">
        <f>_xlfn.XLOOKUP($C46,'BDG Intensity'!$F:$F,'BDG Intensity'!L:L)</f>
        <v/>
      </c>
      <c r="J46" s="12">
        <f>_xlfn.XLOOKUP($C46,'BDG Intensity'!$F:$F,'BDG Intensity'!M:M)</f>
        <v/>
      </c>
      <c r="K46" s="12">
        <f>_xlfn.XLOOKUP($C46,'BDG Intensity'!$F:$F,'BDG Intensity'!N:N)</f>
        <v/>
      </c>
      <c r="L46" s="12">
        <f>_xlfn.XLOOKUP($C46,'BDG Intensity'!$F:$F,'BDG Intensity'!O:O)</f>
        <v/>
      </c>
      <c r="M46" s="12">
        <f>_xlfn.XLOOKUP($C46,'BDG Intensity'!$F:$F,'BDG Intensity'!P:P)</f>
        <v/>
      </c>
      <c r="N46" s="12">
        <f>_xlfn.XLOOKUP($C46,'BDG Intensity'!$F:$F,'BDG Intensity'!Q:Q)</f>
        <v/>
      </c>
      <c r="O46" s="12">
        <f>_xlfn.XLOOKUP($C46,'BDG Intensity'!$F:$F,'BDG Intensity'!R:R)</f>
        <v/>
      </c>
      <c r="P46" s="12">
        <f>_xlfn.XLOOKUP($C46,'BDG Intensity'!$F:$F,'BDG Intensity'!S:S)</f>
        <v/>
      </c>
      <c r="Q46" s="12">
        <f>_xlfn.XLOOKUP($C46,'BDG Intensity'!$F:$F,'BDG Intensity'!T:T)</f>
        <v/>
      </c>
      <c r="R46" s="12">
        <f>_xlfn.XLOOKUP($C46,'BDG Intensity'!$F:$F,'BDG Intensity'!U:U)</f>
        <v/>
      </c>
      <c r="S46" s="12">
        <f>_xlfn.XLOOKUP($C46,'BDG Intensity'!$F:$F,'BDG Intensity'!V:V)</f>
        <v/>
      </c>
      <c r="T46" s="12">
        <f>_xlfn.XLOOKUP($C46,'BDG Intensity'!$F:$F,'BDG Intensity'!W:W)</f>
        <v/>
      </c>
      <c r="U46" s="12">
        <f>_xlfn.XLOOKUP($C46,'BDG Intensity'!$F:$F,'BDG Intensity'!X:X)</f>
        <v/>
      </c>
      <c r="V46" s="12">
        <f>_xlfn.XLOOKUP($C46,'BDG Intensity'!$F:$F,'BDG Intensity'!Y:Y)</f>
        <v/>
      </c>
      <c r="W46" s="12">
        <f>_xlfn.XLOOKUP($C46,'BDG Intensity'!$F:$F,'BDG Intensity'!Z:Z)</f>
        <v/>
      </c>
    </row>
    <row r="47">
      <c r="B47">
        <f>Def_Tech!C191</f>
        <v/>
      </c>
      <c r="C47">
        <f>Def_Tech!D62</f>
        <v/>
      </c>
      <c r="D47">
        <f>Def_Comm!C191</f>
        <v/>
      </c>
      <c r="E47">
        <f>Def_Comm!C62</f>
        <v/>
      </c>
      <c r="F47" s="12">
        <f>_xlfn.XLOOKUP($C47,'BDG Intensity'!$F:$F,'BDG Intensity'!I:I)</f>
        <v/>
      </c>
      <c r="G47" s="12">
        <f>_xlfn.XLOOKUP($C47,'BDG Intensity'!$F:$F,'BDG Intensity'!J:J)</f>
        <v/>
      </c>
      <c r="H47" s="12">
        <f>_xlfn.XLOOKUP($C47,'BDG Intensity'!$F:$F,'BDG Intensity'!K:K)</f>
        <v/>
      </c>
      <c r="I47" s="12">
        <f>_xlfn.XLOOKUP($C47,'BDG Intensity'!$F:$F,'BDG Intensity'!L:L)</f>
        <v/>
      </c>
      <c r="J47" s="12">
        <f>_xlfn.XLOOKUP($C47,'BDG Intensity'!$F:$F,'BDG Intensity'!M:M)</f>
        <v/>
      </c>
      <c r="K47" s="12">
        <f>_xlfn.XLOOKUP($C47,'BDG Intensity'!$F:$F,'BDG Intensity'!N:N)</f>
        <v/>
      </c>
      <c r="L47" s="12">
        <f>_xlfn.XLOOKUP($C47,'BDG Intensity'!$F:$F,'BDG Intensity'!O:O)</f>
        <v/>
      </c>
      <c r="M47" s="12">
        <f>_xlfn.XLOOKUP($C47,'BDG Intensity'!$F:$F,'BDG Intensity'!P:P)</f>
        <v/>
      </c>
      <c r="N47" s="12">
        <f>_xlfn.XLOOKUP($C47,'BDG Intensity'!$F:$F,'BDG Intensity'!Q:Q)</f>
        <v/>
      </c>
      <c r="O47" s="12">
        <f>_xlfn.XLOOKUP($C47,'BDG Intensity'!$F:$F,'BDG Intensity'!R:R)</f>
        <v/>
      </c>
      <c r="P47" s="12">
        <f>_xlfn.XLOOKUP($C47,'BDG Intensity'!$F:$F,'BDG Intensity'!S:S)</f>
        <v/>
      </c>
      <c r="Q47" s="12">
        <f>_xlfn.XLOOKUP($C47,'BDG Intensity'!$F:$F,'BDG Intensity'!T:T)</f>
        <v/>
      </c>
      <c r="R47" s="12">
        <f>_xlfn.XLOOKUP($C47,'BDG Intensity'!$F:$F,'BDG Intensity'!U:U)</f>
        <v/>
      </c>
      <c r="S47" s="12">
        <f>_xlfn.XLOOKUP($C47,'BDG Intensity'!$F:$F,'BDG Intensity'!V:V)</f>
        <v/>
      </c>
      <c r="T47" s="12">
        <f>_xlfn.XLOOKUP($C47,'BDG Intensity'!$F:$F,'BDG Intensity'!W:W)</f>
        <v/>
      </c>
      <c r="U47" s="12">
        <f>_xlfn.XLOOKUP($C47,'BDG Intensity'!$F:$F,'BDG Intensity'!X:X)</f>
        <v/>
      </c>
      <c r="V47" s="12">
        <f>_xlfn.XLOOKUP($C47,'BDG Intensity'!$F:$F,'BDG Intensity'!Y:Y)</f>
        <v/>
      </c>
      <c r="W47" s="12">
        <f>_xlfn.XLOOKUP($C47,'BDG Intensity'!$F:$F,'BDG Intensity'!Z:Z)</f>
        <v/>
      </c>
    </row>
    <row r="48">
      <c r="B48">
        <f>Def_Tech!C192</f>
        <v/>
      </c>
      <c r="C48">
        <f>Def_Tech!D63</f>
        <v/>
      </c>
      <c r="D48">
        <f>Def_Comm!C192</f>
        <v/>
      </c>
      <c r="E48">
        <f>Def_Comm!C63</f>
        <v/>
      </c>
      <c r="F48" s="12">
        <f>_xlfn.XLOOKUP($C48,'BDG Intensity'!$F:$F,'BDG Intensity'!I:I)</f>
        <v/>
      </c>
      <c r="G48" s="12">
        <f>_xlfn.XLOOKUP($C48,'BDG Intensity'!$F:$F,'BDG Intensity'!J:J)</f>
        <v/>
      </c>
      <c r="H48" s="12">
        <f>_xlfn.XLOOKUP($C48,'BDG Intensity'!$F:$F,'BDG Intensity'!K:K)</f>
        <v/>
      </c>
      <c r="I48" s="12">
        <f>_xlfn.XLOOKUP($C48,'BDG Intensity'!$F:$F,'BDG Intensity'!L:L)</f>
        <v/>
      </c>
      <c r="J48" s="12">
        <f>_xlfn.XLOOKUP($C48,'BDG Intensity'!$F:$F,'BDG Intensity'!M:M)</f>
        <v/>
      </c>
      <c r="K48" s="12">
        <f>_xlfn.XLOOKUP($C48,'BDG Intensity'!$F:$F,'BDG Intensity'!N:N)</f>
        <v/>
      </c>
      <c r="L48" s="12">
        <f>_xlfn.XLOOKUP($C48,'BDG Intensity'!$F:$F,'BDG Intensity'!O:O)</f>
        <v/>
      </c>
      <c r="M48" s="12">
        <f>_xlfn.XLOOKUP($C48,'BDG Intensity'!$F:$F,'BDG Intensity'!P:P)</f>
        <v/>
      </c>
      <c r="N48" s="12">
        <f>_xlfn.XLOOKUP($C48,'BDG Intensity'!$F:$F,'BDG Intensity'!Q:Q)</f>
        <v/>
      </c>
      <c r="O48" s="12">
        <f>_xlfn.XLOOKUP($C48,'BDG Intensity'!$F:$F,'BDG Intensity'!R:R)</f>
        <v/>
      </c>
      <c r="P48" s="12">
        <f>_xlfn.XLOOKUP($C48,'BDG Intensity'!$F:$F,'BDG Intensity'!S:S)</f>
        <v/>
      </c>
      <c r="Q48" s="12">
        <f>_xlfn.XLOOKUP($C48,'BDG Intensity'!$F:$F,'BDG Intensity'!T:T)</f>
        <v/>
      </c>
      <c r="R48" s="12">
        <f>_xlfn.XLOOKUP($C48,'BDG Intensity'!$F:$F,'BDG Intensity'!U:U)</f>
        <v/>
      </c>
      <c r="S48" s="12">
        <f>_xlfn.XLOOKUP($C48,'BDG Intensity'!$F:$F,'BDG Intensity'!V:V)</f>
        <v/>
      </c>
      <c r="T48" s="12">
        <f>_xlfn.XLOOKUP($C48,'BDG Intensity'!$F:$F,'BDG Intensity'!W:W)</f>
        <v/>
      </c>
      <c r="U48" s="12">
        <f>_xlfn.XLOOKUP($C48,'BDG Intensity'!$F:$F,'BDG Intensity'!X:X)</f>
        <v/>
      </c>
      <c r="V48" s="12">
        <f>_xlfn.XLOOKUP($C48,'BDG Intensity'!$F:$F,'BDG Intensity'!Y:Y)</f>
        <v/>
      </c>
      <c r="W48" s="12">
        <f>_xlfn.XLOOKUP($C48,'BDG Intensity'!$F:$F,'BDG Intensity'!Z:Z)</f>
        <v/>
      </c>
    </row>
    <row r="49">
      <c r="B49">
        <f>Def_Tech!C193</f>
        <v/>
      </c>
      <c r="C49">
        <f>Def_Tech!D64</f>
        <v/>
      </c>
      <c r="D49">
        <f>Def_Comm!C193</f>
        <v/>
      </c>
      <c r="E49">
        <f>Def_Comm!C64</f>
        <v/>
      </c>
      <c r="F49" s="12">
        <f>_xlfn.XLOOKUP($C49,'BDG Intensity'!$F:$F,'BDG Intensity'!I:I)</f>
        <v/>
      </c>
      <c r="G49" s="12">
        <f>_xlfn.XLOOKUP($C49,'BDG Intensity'!$F:$F,'BDG Intensity'!J:J)</f>
        <v/>
      </c>
      <c r="H49" s="12">
        <f>_xlfn.XLOOKUP($C49,'BDG Intensity'!$F:$F,'BDG Intensity'!K:K)</f>
        <v/>
      </c>
      <c r="I49" s="12">
        <f>_xlfn.XLOOKUP($C49,'BDG Intensity'!$F:$F,'BDG Intensity'!L:L)</f>
        <v/>
      </c>
      <c r="J49" s="12">
        <f>_xlfn.XLOOKUP($C49,'BDG Intensity'!$F:$F,'BDG Intensity'!M:M)</f>
        <v/>
      </c>
      <c r="K49" s="12">
        <f>_xlfn.XLOOKUP($C49,'BDG Intensity'!$F:$F,'BDG Intensity'!N:N)</f>
        <v/>
      </c>
      <c r="L49" s="12">
        <f>_xlfn.XLOOKUP($C49,'BDG Intensity'!$F:$F,'BDG Intensity'!O:O)</f>
        <v/>
      </c>
      <c r="M49" s="12">
        <f>_xlfn.XLOOKUP($C49,'BDG Intensity'!$F:$F,'BDG Intensity'!P:P)</f>
        <v/>
      </c>
      <c r="N49" s="12">
        <f>_xlfn.XLOOKUP($C49,'BDG Intensity'!$F:$F,'BDG Intensity'!Q:Q)</f>
        <v/>
      </c>
      <c r="O49" s="12">
        <f>_xlfn.XLOOKUP($C49,'BDG Intensity'!$F:$F,'BDG Intensity'!R:R)</f>
        <v/>
      </c>
      <c r="P49" s="12">
        <f>_xlfn.XLOOKUP($C49,'BDG Intensity'!$F:$F,'BDG Intensity'!S:S)</f>
        <v/>
      </c>
      <c r="Q49" s="12">
        <f>_xlfn.XLOOKUP($C49,'BDG Intensity'!$F:$F,'BDG Intensity'!T:T)</f>
        <v/>
      </c>
      <c r="R49" s="12">
        <f>_xlfn.XLOOKUP($C49,'BDG Intensity'!$F:$F,'BDG Intensity'!U:U)</f>
        <v/>
      </c>
      <c r="S49" s="12">
        <f>_xlfn.XLOOKUP($C49,'BDG Intensity'!$F:$F,'BDG Intensity'!V:V)</f>
        <v/>
      </c>
      <c r="T49" s="12">
        <f>_xlfn.XLOOKUP($C49,'BDG Intensity'!$F:$F,'BDG Intensity'!W:W)</f>
        <v/>
      </c>
      <c r="U49" s="12">
        <f>_xlfn.XLOOKUP($C49,'BDG Intensity'!$F:$F,'BDG Intensity'!X:X)</f>
        <v/>
      </c>
      <c r="V49" s="12">
        <f>_xlfn.XLOOKUP($C49,'BDG Intensity'!$F:$F,'BDG Intensity'!Y:Y)</f>
        <v/>
      </c>
      <c r="W49" s="12">
        <f>_xlfn.XLOOKUP($C49,'BDG Intensity'!$F:$F,'BDG Intensity'!Z:Z)</f>
        <v/>
      </c>
    </row>
    <row r="50">
      <c r="B50">
        <f>Def_Tech!C194</f>
        <v/>
      </c>
      <c r="C50">
        <f>Def_Tech!D65</f>
        <v/>
      </c>
      <c r="D50">
        <f>Def_Comm!C194</f>
        <v/>
      </c>
      <c r="E50">
        <f>Def_Comm!C65</f>
        <v/>
      </c>
      <c r="F50" s="12">
        <f>_xlfn.XLOOKUP($C50,'BDG Intensity'!$F:$F,'BDG Intensity'!I:I)</f>
        <v/>
      </c>
      <c r="G50" s="12">
        <f>_xlfn.XLOOKUP($C50,'BDG Intensity'!$F:$F,'BDG Intensity'!J:J)</f>
        <v/>
      </c>
      <c r="H50" s="12">
        <f>_xlfn.XLOOKUP($C50,'BDG Intensity'!$F:$F,'BDG Intensity'!K:K)</f>
        <v/>
      </c>
      <c r="I50" s="12">
        <f>_xlfn.XLOOKUP($C50,'BDG Intensity'!$F:$F,'BDG Intensity'!L:L)</f>
        <v/>
      </c>
      <c r="J50" s="12">
        <f>_xlfn.XLOOKUP($C50,'BDG Intensity'!$F:$F,'BDG Intensity'!M:M)</f>
        <v/>
      </c>
      <c r="K50" s="12">
        <f>_xlfn.XLOOKUP($C50,'BDG Intensity'!$F:$F,'BDG Intensity'!N:N)</f>
        <v/>
      </c>
      <c r="L50" s="12">
        <f>_xlfn.XLOOKUP($C50,'BDG Intensity'!$F:$F,'BDG Intensity'!O:O)</f>
        <v/>
      </c>
      <c r="M50" s="12">
        <f>_xlfn.XLOOKUP($C50,'BDG Intensity'!$F:$F,'BDG Intensity'!P:P)</f>
        <v/>
      </c>
      <c r="N50" s="12">
        <f>_xlfn.XLOOKUP($C50,'BDG Intensity'!$F:$F,'BDG Intensity'!Q:Q)</f>
        <v/>
      </c>
      <c r="O50" s="12">
        <f>_xlfn.XLOOKUP($C50,'BDG Intensity'!$F:$F,'BDG Intensity'!R:R)</f>
        <v/>
      </c>
      <c r="P50" s="12">
        <f>_xlfn.XLOOKUP($C50,'BDG Intensity'!$F:$F,'BDG Intensity'!S:S)</f>
        <v/>
      </c>
      <c r="Q50" s="12">
        <f>_xlfn.XLOOKUP($C50,'BDG Intensity'!$F:$F,'BDG Intensity'!T:T)</f>
        <v/>
      </c>
      <c r="R50" s="12">
        <f>_xlfn.XLOOKUP($C50,'BDG Intensity'!$F:$F,'BDG Intensity'!U:U)</f>
        <v/>
      </c>
      <c r="S50" s="12">
        <f>_xlfn.XLOOKUP($C50,'BDG Intensity'!$F:$F,'BDG Intensity'!V:V)</f>
        <v/>
      </c>
      <c r="T50" s="12">
        <f>_xlfn.XLOOKUP($C50,'BDG Intensity'!$F:$F,'BDG Intensity'!W:W)</f>
        <v/>
      </c>
      <c r="U50" s="12">
        <f>_xlfn.XLOOKUP($C50,'BDG Intensity'!$F:$F,'BDG Intensity'!X:X)</f>
        <v/>
      </c>
      <c r="V50" s="12">
        <f>_xlfn.XLOOKUP($C50,'BDG Intensity'!$F:$F,'BDG Intensity'!Y:Y)</f>
        <v/>
      </c>
      <c r="W50" s="12">
        <f>_xlfn.XLOOKUP($C50,'BDG Intensity'!$F:$F,'BDG Intensity'!Z:Z)</f>
        <v/>
      </c>
    </row>
    <row r="51">
      <c r="B51">
        <f>Def_Tech!C195</f>
        <v/>
      </c>
      <c r="C51">
        <f>Def_Tech!D66</f>
        <v/>
      </c>
      <c r="D51">
        <f>Def_Comm!C195</f>
        <v/>
      </c>
      <c r="E51">
        <f>Def_Comm!C66</f>
        <v/>
      </c>
      <c r="F51" s="12">
        <f>_xlfn.XLOOKUP($C51,'BDG Intensity'!$F:$F,'BDG Intensity'!I:I)</f>
        <v/>
      </c>
      <c r="G51" s="12">
        <f>_xlfn.XLOOKUP($C51,'BDG Intensity'!$F:$F,'BDG Intensity'!J:J)</f>
        <v/>
      </c>
      <c r="H51" s="12">
        <f>_xlfn.XLOOKUP($C51,'BDG Intensity'!$F:$F,'BDG Intensity'!K:K)</f>
        <v/>
      </c>
      <c r="I51" s="12">
        <f>_xlfn.XLOOKUP($C51,'BDG Intensity'!$F:$F,'BDG Intensity'!L:L)</f>
        <v/>
      </c>
      <c r="J51" s="12">
        <f>_xlfn.XLOOKUP($C51,'BDG Intensity'!$F:$F,'BDG Intensity'!M:M)</f>
        <v/>
      </c>
      <c r="K51" s="12">
        <f>_xlfn.XLOOKUP($C51,'BDG Intensity'!$F:$F,'BDG Intensity'!N:N)</f>
        <v/>
      </c>
      <c r="L51" s="12">
        <f>_xlfn.XLOOKUP($C51,'BDG Intensity'!$F:$F,'BDG Intensity'!O:O)</f>
        <v/>
      </c>
      <c r="M51" s="12">
        <f>_xlfn.XLOOKUP($C51,'BDG Intensity'!$F:$F,'BDG Intensity'!P:P)</f>
        <v/>
      </c>
      <c r="N51" s="12">
        <f>_xlfn.XLOOKUP($C51,'BDG Intensity'!$F:$F,'BDG Intensity'!Q:Q)</f>
        <v/>
      </c>
      <c r="O51" s="12">
        <f>_xlfn.XLOOKUP($C51,'BDG Intensity'!$F:$F,'BDG Intensity'!R:R)</f>
        <v/>
      </c>
      <c r="P51" s="12">
        <f>_xlfn.XLOOKUP($C51,'BDG Intensity'!$F:$F,'BDG Intensity'!S:S)</f>
        <v/>
      </c>
      <c r="Q51" s="12">
        <f>_xlfn.XLOOKUP($C51,'BDG Intensity'!$F:$F,'BDG Intensity'!T:T)</f>
        <v/>
      </c>
      <c r="R51" s="12">
        <f>_xlfn.XLOOKUP($C51,'BDG Intensity'!$F:$F,'BDG Intensity'!U:U)</f>
        <v/>
      </c>
      <c r="S51" s="12">
        <f>_xlfn.XLOOKUP($C51,'BDG Intensity'!$F:$F,'BDG Intensity'!V:V)</f>
        <v/>
      </c>
      <c r="T51" s="12">
        <f>_xlfn.XLOOKUP($C51,'BDG Intensity'!$F:$F,'BDG Intensity'!W:W)</f>
        <v/>
      </c>
      <c r="U51" s="12">
        <f>_xlfn.XLOOKUP($C51,'BDG Intensity'!$F:$F,'BDG Intensity'!X:X)</f>
        <v/>
      </c>
      <c r="V51" s="12">
        <f>_xlfn.XLOOKUP($C51,'BDG Intensity'!$F:$F,'BDG Intensity'!Y:Y)</f>
        <v/>
      </c>
      <c r="W51" s="12">
        <f>_xlfn.XLOOKUP($C51,'BDG Intensity'!$F:$F,'BDG Intensity'!Z:Z)</f>
        <v/>
      </c>
    </row>
    <row r="52">
      <c r="B52">
        <f>Def_Tech!C196</f>
        <v/>
      </c>
      <c r="C52">
        <f>Def_Tech!D67</f>
        <v/>
      </c>
      <c r="D52">
        <f>Def_Comm!C196</f>
        <v/>
      </c>
      <c r="E52">
        <f>Def_Comm!C67</f>
        <v/>
      </c>
      <c r="F52" s="12">
        <f>_xlfn.XLOOKUP($C52,'BDG Intensity'!$F:$F,'BDG Intensity'!I:I)</f>
        <v/>
      </c>
      <c r="G52" s="12">
        <f>_xlfn.XLOOKUP($C52,'BDG Intensity'!$F:$F,'BDG Intensity'!J:J)</f>
        <v/>
      </c>
      <c r="H52" s="12">
        <f>_xlfn.XLOOKUP($C52,'BDG Intensity'!$F:$F,'BDG Intensity'!K:K)</f>
        <v/>
      </c>
      <c r="I52" s="12">
        <f>_xlfn.XLOOKUP($C52,'BDG Intensity'!$F:$F,'BDG Intensity'!L:L)</f>
        <v/>
      </c>
      <c r="J52" s="12">
        <f>_xlfn.XLOOKUP($C52,'BDG Intensity'!$F:$F,'BDG Intensity'!M:M)</f>
        <v/>
      </c>
      <c r="K52" s="12">
        <f>_xlfn.XLOOKUP($C52,'BDG Intensity'!$F:$F,'BDG Intensity'!N:N)</f>
        <v/>
      </c>
      <c r="L52" s="12">
        <f>_xlfn.XLOOKUP($C52,'BDG Intensity'!$F:$F,'BDG Intensity'!O:O)</f>
        <v/>
      </c>
      <c r="M52" s="12">
        <f>_xlfn.XLOOKUP($C52,'BDG Intensity'!$F:$F,'BDG Intensity'!P:P)</f>
        <v/>
      </c>
      <c r="N52" s="12">
        <f>_xlfn.XLOOKUP($C52,'BDG Intensity'!$F:$F,'BDG Intensity'!Q:Q)</f>
        <v/>
      </c>
      <c r="O52" s="12">
        <f>_xlfn.XLOOKUP($C52,'BDG Intensity'!$F:$F,'BDG Intensity'!R:R)</f>
        <v/>
      </c>
      <c r="P52" s="12">
        <f>_xlfn.XLOOKUP($C52,'BDG Intensity'!$F:$F,'BDG Intensity'!S:S)</f>
        <v/>
      </c>
      <c r="Q52" s="12">
        <f>_xlfn.XLOOKUP($C52,'BDG Intensity'!$F:$F,'BDG Intensity'!T:T)</f>
        <v/>
      </c>
      <c r="R52" s="12">
        <f>_xlfn.XLOOKUP($C52,'BDG Intensity'!$F:$F,'BDG Intensity'!U:U)</f>
        <v/>
      </c>
      <c r="S52" s="12">
        <f>_xlfn.XLOOKUP($C52,'BDG Intensity'!$F:$F,'BDG Intensity'!V:V)</f>
        <v/>
      </c>
      <c r="T52" s="12">
        <f>_xlfn.XLOOKUP($C52,'BDG Intensity'!$F:$F,'BDG Intensity'!W:W)</f>
        <v/>
      </c>
      <c r="U52" s="12">
        <f>_xlfn.XLOOKUP($C52,'BDG Intensity'!$F:$F,'BDG Intensity'!X:X)</f>
        <v/>
      </c>
      <c r="V52" s="12">
        <f>_xlfn.XLOOKUP($C52,'BDG Intensity'!$F:$F,'BDG Intensity'!Y:Y)</f>
        <v/>
      </c>
      <c r="W52" s="12">
        <f>_xlfn.XLOOKUP($C52,'BDG Intensity'!$F:$F,'BDG Intensity'!Z:Z)</f>
        <v/>
      </c>
    </row>
    <row r="53">
      <c r="B53">
        <f>Def_Tech!C197</f>
        <v/>
      </c>
      <c r="C53">
        <f>Def_Tech!D68</f>
        <v/>
      </c>
      <c r="D53">
        <f>Def_Comm!C197</f>
        <v/>
      </c>
      <c r="E53">
        <f>Def_Comm!C68</f>
        <v/>
      </c>
      <c r="F53" s="12">
        <f>_xlfn.XLOOKUP($C53,'BDG Intensity'!$F:$F,'BDG Intensity'!I:I)</f>
        <v/>
      </c>
      <c r="G53" s="12">
        <f>_xlfn.XLOOKUP($C53,'BDG Intensity'!$F:$F,'BDG Intensity'!J:J)</f>
        <v/>
      </c>
      <c r="H53" s="12">
        <f>_xlfn.XLOOKUP($C53,'BDG Intensity'!$F:$F,'BDG Intensity'!K:K)</f>
        <v/>
      </c>
      <c r="I53" s="12">
        <f>_xlfn.XLOOKUP($C53,'BDG Intensity'!$F:$F,'BDG Intensity'!L:L)</f>
        <v/>
      </c>
      <c r="J53" s="12">
        <f>_xlfn.XLOOKUP($C53,'BDG Intensity'!$F:$F,'BDG Intensity'!M:M)</f>
        <v/>
      </c>
      <c r="K53" s="12">
        <f>_xlfn.XLOOKUP($C53,'BDG Intensity'!$F:$F,'BDG Intensity'!N:N)</f>
        <v/>
      </c>
      <c r="L53" s="12">
        <f>_xlfn.XLOOKUP($C53,'BDG Intensity'!$F:$F,'BDG Intensity'!O:O)</f>
        <v/>
      </c>
      <c r="M53" s="12">
        <f>_xlfn.XLOOKUP($C53,'BDG Intensity'!$F:$F,'BDG Intensity'!P:P)</f>
        <v/>
      </c>
      <c r="N53" s="12">
        <f>_xlfn.XLOOKUP($C53,'BDG Intensity'!$F:$F,'BDG Intensity'!Q:Q)</f>
        <v/>
      </c>
      <c r="O53" s="12">
        <f>_xlfn.XLOOKUP($C53,'BDG Intensity'!$F:$F,'BDG Intensity'!R:R)</f>
        <v/>
      </c>
      <c r="P53" s="12">
        <f>_xlfn.XLOOKUP($C53,'BDG Intensity'!$F:$F,'BDG Intensity'!S:S)</f>
        <v/>
      </c>
      <c r="Q53" s="12">
        <f>_xlfn.XLOOKUP($C53,'BDG Intensity'!$F:$F,'BDG Intensity'!T:T)</f>
        <v/>
      </c>
      <c r="R53" s="12">
        <f>_xlfn.XLOOKUP($C53,'BDG Intensity'!$F:$F,'BDG Intensity'!U:U)</f>
        <v/>
      </c>
      <c r="S53" s="12">
        <f>_xlfn.XLOOKUP($C53,'BDG Intensity'!$F:$F,'BDG Intensity'!V:V)</f>
        <v/>
      </c>
      <c r="T53" s="12">
        <f>_xlfn.XLOOKUP($C53,'BDG Intensity'!$F:$F,'BDG Intensity'!W:W)</f>
        <v/>
      </c>
      <c r="U53" s="12">
        <f>_xlfn.XLOOKUP($C53,'BDG Intensity'!$F:$F,'BDG Intensity'!X:X)</f>
        <v/>
      </c>
      <c r="V53" s="12">
        <f>_xlfn.XLOOKUP($C53,'BDG Intensity'!$F:$F,'BDG Intensity'!Y:Y)</f>
        <v/>
      </c>
      <c r="W53" s="12">
        <f>_xlfn.XLOOKUP($C53,'BDG Intensity'!$F:$F,'BDG Intensity'!Z:Z)</f>
        <v/>
      </c>
    </row>
    <row r="54">
      <c r="B54">
        <f>Def_Tech!C198</f>
        <v/>
      </c>
      <c r="C54">
        <f>Def_Tech!D69</f>
        <v/>
      </c>
      <c r="D54">
        <f>Def_Comm!C198</f>
        <v/>
      </c>
      <c r="E54">
        <f>Def_Comm!C69</f>
        <v/>
      </c>
      <c r="F54" s="12">
        <f>_xlfn.XLOOKUP($C54,'BDG Intensity'!$F:$F,'BDG Intensity'!I:I)</f>
        <v/>
      </c>
      <c r="G54" s="12">
        <f>_xlfn.XLOOKUP($C54,'BDG Intensity'!$F:$F,'BDG Intensity'!J:J)</f>
        <v/>
      </c>
      <c r="H54" s="12">
        <f>_xlfn.XLOOKUP($C54,'BDG Intensity'!$F:$F,'BDG Intensity'!K:K)</f>
        <v/>
      </c>
      <c r="I54" s="12">
        <f>_xlfn.XLOOKUP($C54,'BDG Intensity'!$F:$F,'BDG Intensity'!L:L)</f>
        <v/>
      </c>
      <c r="J54" s="12">
        <f>_xlfn.XLOOKUP($C54,'BDG Intensity'!$F:$F,'BDG Intensity'!M:M)</f>
        <v/>
      </c>
      <c r="K54" s="12">
        <f>_xlfn.XLOOKUP($C54,'BDG Intensity'!$F:$F,'BDG Intensity'!N:N)</f>
        <v/>
      </c>
      <c r="L54" s="12">
        <f>_xlfn.XLOOKUP($C54,'BDG Intensity'!$F:$F,'BDG Intensity'!O:O)</f>
        <v/>
      </c>
      <c r="M54" s="12">
        <f>_xlfn.XLOOKUP($C54,'BDG Intensity'!$F:$F,'BDG Intensity'!P:P)</f>
        <v/>
      </c>
      <c r="N54" s="12">
        <f>_xlfn.XLOOKUP($C54,'BDG Intensity'!$F:$F,'BDG Intensity'!Q:Q)</f>
        <v/>
      </c>
      <c r="O54" s="12">
        <f>_xlfn.XLOOKUP($C54,'BDG Intensity'!$F:$F,'BDG Intensity'!R:R)</f>
        <v/>
      </c>
      <c r="P54" s="12">
        <f>_xlfn.XLOOKUP($C54,'BDG Intensity'!$F:$F,'BDG Intensity'!S:S)</f>
        <v/>
      </c>
      <c r="Q54" s="12">
        <f>_xlfn.XLOOKUP($C54,'BDG Intensity'!$F:$F,'BDG Intensity'!T:T)</f>
        <v/>
      </c>
      <c r="R54" s="12">
        <f>_xlfn.XLOOKUP($C54,'BDG Intensity'!$F:$F,'BDG Intensity'!U:U)</f>
        <v/>
      </c>
      <c r="S54" s="12">
        <f>_xlfn.XLOOKUP($C54,'BDG Intensity'!$F:$F,'BDG Intensity'!V:V)</f>
        <v/>
      </c>
      <c r="T54" s="12">
        <f>_xlfn.XLOOKUP($C54,'BDG Intensity'!$F:$F,'BDG Intensity'!W:W)</f>
        <v/>
      </c>
      <c r="U54" s="12">
        <f>_xlfn.XLOOKUP($C54,'BDG Intensity'!$F:$F,'BDG Intensity'!X:X)</f>
        <v/>
      </c>
      <c r="V54" s="12">
        <f>_xlfn.XLOOKUP($C54,'BDG Intensity'!$F:$F,'BDG Intensity'!Y:Y)</f>
        <v/>
      </c>
      <c r="W54" s="12">
        <f>_xlfn.XLOOKUP($C54,'BDG Intensity'!$F:$F,'BDG Intensity'!Z:Z)</f>
        <v/>
      </c>
    </row>
    <row r="55">
      <c r="B55">
        <f>Def_Tech!C199</f>
        <v/>
      </c>
      <c r="C55">
        <f>Def_Tech!D70</f>
        <v/>
      </c>
      <c r="D55">
        <f>Def_Comm!C199</f>
        <v/>
      </c>
      <c r="E55">
        <f>Def_Comm!C70</f>
        <v/>
      </c>
      <c r="F55" s="12">
        <f>_xlfn.XLOOKUP($C55,'BDG Intensity'!$F:$F,'BDG Intensity'!I:I)</f>
        <v/>
      </c>
      <c r="G55" s="12">
        <f>_xlfn.XLOOKUP($C55,'BDG Intensity'!$F:$F,'BDG Intensity'!J:J)</f>
        <v/>
      </c>
      <c r="H55" s="12">
        <f>_xlfn.XLOOKUP($C55,'BDG Intensity'!$F:$F,'BDG Intensity'!K:K)</f>
        <v/>
      </c>
      <c r="I55" s="12">
        <f>_xlfn.XLOOKUP($C55,'BDG Intensity'!$F:$F,'BDG Intensity'!L:L)</f>
        <v/>
      </c>
      <c r="J55" s="12">
        <f>_xlfn.XLOOKUP($C55,'BDG Intensity'!$F:$F,'BDG Intensity'!M:M)</f>
        <v/>
      </c>
      <c r="K55" s="12">
        <f>_xlfn.XLOOKUP($C55,'BDG Intensity'!$F:$F,'BDG Intensity'!N:N)</f>
        <v/>
      </c>
      <c r="L55" s="12">
        <f>_xlfn.XLOOKUP($C55,'BDG Intensity'!$F:$F,'BDG Intensity'!O:O)</f>
        <v/>
      </c>
      <c r="M55" s="12">
        <f>_xlfn.XLOOKUP($C55,'BDG Intensity'!$F:$F,'BDG Intensity'!P:P)</f>
        <v/>
      </c>
      <c r="N55" s="12">
        <f>_xlfn.XLOOKUP($C55,'BDG Intensity'!$F:$F,'BDG Intensity'!Q:Q)</f>
        <v/>
      </c>
      <c r="O55" s="12">
        <f>_xlfn.XLOOKUP($C55,'BDG Intensity'!$F:$F,'BDG Intensity'!R:R)</f>
        <v/>
      </c>
      <c r="P55" s="12">
        <f>_xlfn.XLOOKUP($C55,'BDG Intensity'!$F:$F,'BDG Intensity'!S:S)</f>
        <v/>
      </c>
      <c r="Q55" s="12">
        <f>_xlfn.XLOOKUP($C55,'BDG Intensity'!$F:$F,'BDG Intensity'!T:T)</f>
        <v/>
      </c>
      <c r="R55" s="12">
        <f>_xlfn.XLOOKUP($C55,'BDG Intensity'!$F:$F,'BDG Intensity'!U:U)</f>
        <v/>
      </c>
      <c r="S55" s="12">
        <f>_xlfn.XLOOKUP($C55,'BDG Intensity'!$F:$F,'BDG Intensity'!V:V)</f>
        <v/>
      </c>
      <c r="T55" s="12">
        <f>_xlfn.XLOOKUP($C55,'BDG Intensity'!$F:$F,'BDG Intensity'!W:W)</f>
        <v/>
      </c>
      <c r="U55" s="12">
        <f>_xlfn.XLOOKUP($C55,'BDG Intensity'!$F:$F,'BDG Intensity'!X:X)</f>
        <v/>
      </c>
      <c r="V55" s="12">
        <f>_xlfn.XLOOKUP($C55,'BDG Intensity'!$F:$F,'BDG Intensity'!Y:Y)</f>
        <v/>
      </c>
      <c r="W55" s="12">
        <f>_xlfn.XLOOKUP($C55,'BDG Intensity'!$F:$F,'BDG Intensity'!Z:Z)</f>
        <v/>
      </c>
    </row>
    <row r="56">
      <c r="B56">
        <f>Def_Tech!C200</f>
        <v/>
      </c>
      <c r="C56">
        <f>Def_Tech!D71</f>
        <v/>
      </c>
      <c r="D56">
        <f>Def_Comm!C200</f>
        <v/>
      </c>
      <c r="E56">
        <f>Def_Comm!C71</f>
        <v/>
      </c>
      <c r="F56" s="12">
        <f>_xlfn.XLOOKUP($C56,'BDG Intensity'!$F:$F,'BDG Intensity'!I:I)</f>
        <v/>
      </c>
      <c r="G56" s="12">
        <f>_xlfn.XLOOKUP($C56,'BDG Intensity'!$F:$F,'BDG Intensity'!J:J)</f>
        <v/>
      </c>
      <c r="H56" s="12">
        <f>_xlfn.XLOOKUP($C56,'BDG Intensity'!$F:$F,'BDG Intensity'!K:K)</f>
        <v/>
      </c>
      <c r="I56" s="12">
        <f>_xlfn.XLOOKUP($C56,'BDG Intensity'!$F:$F,'BDG Intensity'!L:L)</f>
        <v/>
      </c>
      <c r="J56" s="12">
        <f>_xlfn.XLOOKUP($C56,'BDG Intensity'!$F:$F,'BDG Intensity'!M:M)</f>
        <v/>
      </c>
      <c r="K56" s="12">
        <f>_xlfn.XLOOKUP($C56,'BDG Intensity'!$F:$F,'BDG Intensity'!N:N)</f>
        <v/>
      </c>
      <c r="L56" s="12">
        <f>_xlfn.XLOOKUP($C56,'BDG Intensity'!$F:$F,'BDG Intensity'!O:O)</f>
        <v/>
      </c>
      <c r="M56" s="12">
        <f>_xlfn.XLOOKUP($C56,'BDG Intensity'!$F:$F,'BDG Intensity'!P:P)</f>
        <v/>
      </c>
      <c r="N56" s="12">
        <f>_xlfn.XLOOKUP($C56,'BDG Intensity'!$F:$F,'BDG Intensity'!Q:Q)</f>
        <v/>
      </c>
      <c r="O56" s="12">
        <f>_xlfn.XLOOKUP($C56,'BDG Intensity'!$F:$F,'BDG Intensity'!R:R)</f>
        <v/>
      </c>
      <c r="P56" s="12">
        <f>_xlfn.XLOOKUP($C56,'BDG Intensity'!$F:$F,'BDG Intensity'!S:S)</f>
        <v/>
      </c>
      <c r="Q56" s="12">
        <f>_xlfn.XLOOKUP($C56,'BDG Intensity'!$F:$F,'BDG Intensity'!T:T)</f>
        <v/>
      </c>
      <c r="R56" s="12">
        <f>_xlfn.XLOOKUP($C56,'BDG Intensity'!$F:$F,'BDG Intensity'!U:U)</f>
        <v/>
      </c>
      <c r="S56" s="12">
        <f>_xlfn.XLOOKUP($C56,'BDG Intensity'!$F:$F,'BDG Intensity'!V:V)</f>
        <v/>
      </c>
      <c r="T56" s="12">
        <f>_xlfn.XLOOKUP($C56,'BDG Intensity'!$F:$F,'BDG Intensity'!W:W)</f>
        <v/>
      </c>
      <c r="U56" s="12">
        <f>_xlfn.XLOOKUP($C56,'BDG Intensity'!$F:$F,'BDG Intensity'!X:X)</f>
        <v/>
      </c>
      <c r="V56" s="12">
        <f>_xlfn.XLOOKUP($C56,'BDG Intensity'!$F:$F,'BDG Intensity'!Y:Y)</f>
        <v/>
      </c>
      <c r="W56" s="12">
        <f>_xlfn.XLOOKUP($C56,'BDG Intensity'!$F:$F,'BDG Intensity'!Z:Z)</f>
        <v/>
      </c>
    </row>
    <row r="57">
      <c r="B57">
        <f>Def_Tech!C201</f>
        <v/>
      </c>
      <c r="C57">
        <f>Def_Tech!D72</f>
        <v/>
      </c>
      <c r="D57">
        <f>Def_Comm!C201</f>
        <v/>
      </c>
      <c r="E57">
        <f>Def_Comm!C72</f>
        <v/>
      </c>
      <c r="F57" s="12">
        <f>_xlfn.XLOOKUP($C57,'BDG Intensity'!$F:$F,'BDG Intensity'!I:I)</f>
        <v/>
      </c>
      <c r="G57" s="12">
        <f>_xlfn.XLOOKUP($C57,'BDG Intensity'!$F:$F,'BDG Intensity'!J:J)</f>
        <v/>
      </c>
      <c r="H57" s="12">
        <f>_xlfn.XLOOKUP($C57,'BDG Intensity'!$F:$F,'BDG Intensity'!K:K)</f>
        <v/>
      </c>
      <c r="I57" s="12">
        <f>_xlfn.XLOOKUP($C57,'BDG Intensity'!$F:$F,'BDG Intensity'!L:L)</f>
        <v/>
      </c>
      <c r="J57" s="12">
        <f>_xlfn.XLOOKUP($C57,'BDG Intensity'!$F:$F,'BDG Intensity'!M:M)</f>
        <v/>
      </c>
      <c r="K57" s="12">
        <f>_xlfn.XLOOKUP($C57,'BDG Intensity'!$F:$F,'BDG Intensity'!N:N)</f>
        <v/>
      </c>
      <c r="L57" s="12">
        <f>_xlfn.XLOOKUP($C57,'BDG Intensity'!$F:$F,'BDG Intensity'!O:O)</f>
        <v/>
      </c>
      <c r="M57" s="12">
        <f>_xlfn.XLOOKUP($C57,'BDG Intensity'!$F:$F,'BDG Intensity'!P:P)</f>
        <v/>
      </c>
      <c r="N57" s="12">
        <f>_xlfn.XLOOKUP($C57,'BDG Intensity'!$F:$F,'BDG Intensity'!Q:Q)</f>
        <v/>
      </c>
      <c r="O57" s="12">
        <f>_xlfn.XLOOKUP($C57,'BDG Intensity'!$F:$F,'BDG Intensity'!R:R)</f>
        <v/>
      </c>
      <c r="P57" s="12">
        <f>_xlfn.XLOOKUP($C57,'BDG Intensity'!$F:$F,'BDG Intensity'!S:S)</f>
        <v/>
      </c>
      <c r="Q57" s="12">
        <f>_xlfn.XLOOKUP($C57,'BDG Intensity'!$F:$F,'BDG Intensity'!T:T)</f>
        <v/>
      </c>
      <c r="R57" s="12">
        <f>_xlfn.XLOOKUP($C57,'BDG Intensity'!$F:$F,'BDG Intensity'!U:U)</f>
        <v/>
      </c>
      <c r="S57" s="12">
        <f>_xlfn.XLOOKUP($C57,'BDG Intensity'!$F:$F,'BDG Intensity'!V:V)</f>
        <v/>
      </c>
      <c r="T57" s="12">
        <f>_xlfn.XLOOKUP($C57,'BDG Intensity'!$F:$F,'BDG Intensity'!W:W)</f>
        <v/>
      </c>
      <c r="U57" s="12">
        <f>_xlfn.XLOOKUP($C57,'BDG Intensity'!$F:$F,'BDG Intensity'!X:X)</f>
        <v/>
      </c>
      <c r="V57" s="12">
        <f>_xlfn.XLOOKUP($C57,'BDG Intensity'!$F:$F,'BDG Intensity'!Y:Y)</f>
        <v/>
      </c>
      <c r="W57" s="12">
        <f>_xlfn.XLOOKUP($C57,'BDG Intensity'!$F:$F,'BDG Intensity'!Z:Z)</f>
        <v/>
      </c>
    </row>
    <row r="58">
      <c r="B58">
        <f>Def_Tech!C202</f>
        <v/>
      </c>
      <c r="C58">
        <f>Def_Tech!D73</f>
        <v/>
      </c>
      <c r="D58">
        <f>Def_Comm!C202</f>
        <v/>
      </c>
      <c r="E58">
        <f>Def_Comm!C73</f>
        <v/>
      </c>
      <c r="F58" s="12">
        <f>_xlfn.XLOOKUP($C58,'BDG Intensity'!$F:$F,'BDG Intensity'!I:I)</f>
        <v/>
      </c>
      <c r="G58" s="12">
        <f>_xlfn.XLOOKUP($C58,'BDG Intensity'!$F:$F,'BDG Intensity'!J:J)</f>
        <v/>
      </c>
      <c r="H58" s="12">
        <f>_xlfn.XLOOKUP($C58,'BDG Intensity'!$F:$F,'BDG Intensity'!K:K)</f>
        <v/>
      </c>
      <c r="I58" s="12">
        <f>_xlfn.XLOOKUP($C58,'BDG Intensity'!$F:$F,'BDG Intensity'!L:L)</f>
        <v/>
      </c>
      <c r="J58" s="12">
        <f>_xlfn.XLOOKUP($C58,'BDG Intensity'!$F:$F,'BDG Intensity'!M:M)</f>
        <v/>
      </c>
      <c r="K58" s="12">
        <f>_xlfn.XLOOKUP($C58,'BDG Intensity'!$F:$F,'BDG Intensity'!N:N)</f>
        <v/>
      </c>
      <c r="L58" s="12">
        <f>_xlfn.XLOOKUP($C58,'BDG Intensity'!$F:$F,'BDG Intensity'!O:O)</f>
        <v/>
      </c>
      <c r="M58" s="12">
        <f>_xlfn.XLOOKUP($C58,'BDG Intensity'!$F:$F,'BDG Intensity'!P:P)</f>
        <v/>
      </c>
      <c r="N58" s="12">
        <f>_xlfn.XLOOKUP($C58,'BDG Intensity'!$F:$F,'BDG Intensity'!Q:Q)</f>
        <v/>
      </c>
      <c r="O58" s="12">
        <f>_xlfn.XLOOKUP($C58,'BDG Intensity'!$F:$F,'BDG Intensity'!R:R)</f>
        <v/>
      </c>
      <c r="P58" s="12">
        <f>_xlfn.XLOOKUP($C58,'BDG Intensity'!$F:$F,'BDG Intensity'!S:S)</f>
        <v/>
      </c>
      <c r="Q58" s="12">
        <f>_xlfn.XLOOKUP($C58,'BDG Intensity'!$F:$F,'BDG Intensity'!T:T)</f>
        <v/>
      </c>
      <c r="R58" s="12">
        <f>_xlfn.XLOOKUP($C58,'BDG Intensity'!$F:$F,'BDG Intensity'!U:U)</f>
        <v/>
      </c>
      <c r="S58" s="12">
        <f>_xlfn.XLOOKUP($C58,'BDG Intensity'!$F:$F,'BDG Intensity'!V:V)</f>
        <v/>
      </c>
      <c r="T58" s="12">
        <f>_xlfn.XLOOKUP($C58,'BDG Intensity'!$F:$F,'BDG Intensity'!W:W)</f>
        <v/>
      </c>
      <c r="U58" s="12">
        <f>_xlfn.XLOOKUP($C58,'BDG Intensity'!$F:$F,'BDG Intensity'!X:X)</f>
        <v/>
      </c>
      <c r="V58" s="12">
        <f>_xlfn.XLOOKUP($C58,'BDG Intensity'!$F:$F,'BDG Intensity'!Y:Y)</f>
        <v/>
      </c>
      <c r="W58" s="12">
        <f>_xlfn.XLOOKUP($C58,'BDG Intensity'!$F:$F,'BDG Intensity'!Z:Z)</f>
        <v/>
      </c>
    </row>
    <row r="59">
      <c r="B59">
        <f>Def_Tech!C203</f>
        <v/>
      </c>
      <c r="C59">
        <f>Def_Tech!D74</f>
        <v/>
      </c>
      <c r="D59">
        <f>Def_Comm!C203</f>
        <v/>
      </c>
      <c r="E59">
        <f>Def_Comm!C74</f>
        <v/>
      </c>
      <c r="F59" s="12">
        <f>_xlfn.XLOOKUP($C59,'BDG Intensity'!$F:$F,'BDG Intensity'!I:I)</f>
        <v/>
      </c>
      <c r="G59" s="12">
        <f>_xlfn.XLOOKUP($C59,'BDG Intensity'!$F:$F,'BDG Intensity'!J:J)</f>
        <v/>
      </c>
      <c r="H59" s="12">
        <f>_xlfn.XLOOKUP($C59,'BDG Intensity'!$F:$F,'BDG Intensity'!K:K)</f>
        <v/>
      </c>
      <c r="I59" s="12">
        <f>_xlfn.XLOOKUP($C59,'BDG Intensity'!$F:$F,'BDG Intensity'!L:L)</f>
        <v/>
      </c>
      <c r="J59" s="12">
        <f>_xlfn.XLOOKUP($C59,'BDG Intensity'!$F:$F,'BDG Intensity'!M:M)</f>
        <v/>
      </c>
      <c r="K59" s="12">
        <f>_xlfn.XLOOKUP($C59,'BDG Intensity'!$F:$F,'BDG Intensity'!N:N)</f>
        <v/>
      </c>
      <c r="L59" s="12">
        <f>_xlfn.XLOOKUP($C59,'BDG Intensity'!$F:$F,'BDG Intensity'!O:O)</f>
        <v/>
      </c>
      <c r="M59" s="12">
        <f>_xlfn.XLOOKUP($C59,'BDG Intensity'!$F:$F,'BDG Intensity'!P:P)</f>
        <v/>
      </c>
      <c r="N59" s="12">
        <f>_xlfn.XLOOKUP($C59,'BDG Intensity'!$F:$F,'BDG Intensity'!Q:Q)</f>
        <v/>
      </c>
      <c r="O59" s="12">
        <f>_xlfn.XLOOKUP($C59,'BDG Intensity'!$F:$F,'BDG Intensity'!R:R)</f>
        <v/>
      </c>
      <c r="P59" s="12">
        <f>_xlfn.XLOOKUP($C59,'BDG Intensity'!$F:$F,'BDG Intensity'!S:S)</f>
        <v/>
      </c>
      <c r="Q59" s="12">
        <f>_xlfn.XLOOKUP($C59,'BDG Intensity'!$F:$F,'BDG Intensity'!T:T)</f>
        <v/>
      </c>
      <c r="R59" s="12">
        <f>_xlfn.XLOOKUP($C59,'BDG Intensity'!$F:$F,'BDG Intensity'!U:U)</f>
        <v/>
      </c>
      <c r="S59" s="12">
        <f>_xlfn.XLOOKUP($C59,'BDG Intensity'!$F:$F,'BDG Intensity'!V:V)</f>
        <v/>
      </c>
      <c r="T59" s="12">
        <f>_xlfn.XLOOKUP($C59,'BDG Intensity'!$F:$F,'BDG Intensity'!W:W)</f>
        <v/>
      </c>
      <c r="U59" s="12">
        <f>_xlfn.XLOOKUP($C59,'BDG Intensity'!$F:$F,'BDG Intensity'!X:X)</f>
        <v/>
      </c>
      <c r="V59" s="12">
        <f>_xlfn.XLOOKUP($C59,'BDG Intensity'!$F:$F,'BDG Intensity'!Y:Y)</f>
        <v/>
      </c>
      <c r="W59" s="12">
        <f>_xlfn.XLOOKUP($C59,'BDG Intensity'!$F:$F,'BDG Intensity'!Z:Z)</f>
        <v/>
      </c>
    </row>
    <row r="60">
      <c r="B60">
        <f>Def_Tech!C204</f>
        <v/>
      </c>
      <c r="C60">
        <f>Def_Tech!D75</f>
        <v/>
      </c>
      <c r="D60">
        <f>Def_Comm!C204</f>
        <v/>
      </c>
      <c r="E60">
        <f>Def_Comm!C75</f>
        <v/>
      </c>
      <c r="F60" s="12">
        <f>_xlfn.XLOOKUP($C60,'BDG Intensity'!$F:$F,'BDG Intensity'!I:I)</f>
        <v/>
      </c>
      <c r="G60" s="12">
        <f>_xlfn.XLOOKUP($C60,'BDG Intensity'!$F:$F,'BDG Intensity'!J:J)</f>
        <v/>
      </c>
      <c r="H60" s="12">
        <f>_xlfn.XLOOKUP($C60,'BDG Intensity'!$F:$F,'BDG Intensity'!K:K)</f>
        <v/>
      </c>
      <c r="I60" s="12">
        <f>_xlfn.XLOOKUP($C60,'BDG Intensity'!$F:$F,'BDG Intensity'!L:L)</f>
        <v/>
      </c>
      <c r="J60" s="12">
        <f>_xlfn.XLOOKUP($C60,'BDG Intensity'!$F:$F,'BDG Intensity'!M:M)</f>
        <v/>
      </c>
      <c r="K60" s="12">
        <f>_xlfn.XLOOKUP($C60,'BDG Intensity'!$F:$F,'BDG Intensity'!N:N)</f>
        <v/>
      </c>
      <c r="L60" s="12">
        <f>_xlfn.XLOOKUP($C60,'BDG Intensity'!$F:$F,'BDG Intensity'!O:O)</f>
        <v/>
      </c>
      <c r="M60" s="12">
        <f>_xlfn.XLOOKUP($C60,'BDG Intensity'!$F:$F,'BDG Intensity'!P:P)</f>
        <v/>
      </c>
      <c r="N60" s="12">
        <f>_xlfn.XLOOKUP($C60,'BDG Intensity'!$F:$F,'BDG Intensity'!Q:Q)</f>
        <v/>
      </c>
      <c r="O60" s="12">
        <f>_xlfn.XLOOKUP($C60,'BDG Intensity'!$F:$F,'BDG Intensity'!R:R)</f>
        <v/>
      </c>
      <c r="P60" s="12">
        <f>_xlfn.XLOOKUP($C60,'BDG Intensity'!$F:$F,'BDG Intensity'!S:S)</f>
        <v/>
      </c>
      <c r="Q60" s="12">
        <f>_xlfn.XLOOKUP($C60,'BDG Intensity'!$F:$F,'BDG Intensity'!T:T)</f>
        <v/>
      </c>
      <c r="R60" s="12">
        <f>_xlfn.XLOOKUP($C60,'BDG Intensity'!$F:$F,'BDG Intensity'!U:U)</f>
        <v/>
      </c>
      <c r="S60" s="12">
        <f>_xlfn.XLOOKUP($C60,'BDG Intensity'!$F:$F,'BDG Intensity'!V:V)</f>
        <v/>
      </c>
      <c r="T60" s="12">
        <f>_xlfn.XLOOKUP($C60,'BDG Intensity'!$F:$F,'BDG Intensity'!W:W)</f>
        <v/>
      </c>
      <c r="U60" s="12">
        <f>_xlfn.XLOOKUP($C60,'BDG Intensity'!$F:$F,'BDG Intensity'!X:X)</f>
        <v/>
      </c>
      <c r="V60" s="12">
        <f>_xlfn.XLOOKUP($C60,'BDG Intensity'!$F:$F,'BDG Intensity'!Y:Y)</f>
        <v/>
      </c>
      <c r="W60" s="12">
        <f>_xlfn.XLOOKUP($C60,'BDG Intensity'!$F:$F,'BDG Intensity'!Z:Z)</f>
        <v/>
      </c>
    </row>
    <row r="61">
      <c r="B61">
        <f>Def_Tech!C205</f>
        <v/>
      </c>
      <c r="C61">
        <f>Def_Tech!D76</f>
        <v/>
      </c>
      <c r="D61">
        <f>Def_Comm!C205</f>
        <v/>
      </c>
      <c r="E61">
        <f>Def_Comm!C76</f>
        <v/>
      </c>
      <c r="F61" s="12">
        <f>_xlfn.XLOOKUP($C61,'BDG Intensity'!$F:$F,'BDG Intensity'!I:I)</f>
        <v/>
      </c>
      <c r="G61" s="12">
        <f>_xlfn.XLOOKUP($C61,'BDG Intensity'!$F:$F,'BDG Intensity'!J:J)</f>
        <v/>
      </c>
      <c r="H61" s="12">
        <f>_xlfn.XLOOKUP($C61,'BDG Intensity'!$F:$F,'BDG Intensity'!K:K)</f>
        <v/>
      </c>
      <c r="I61" s="12">
        <f>_xlfn.XLOOKUP($C61,'BDG Intensity'!$F:$F,'BDG Intensity'!L:L)</f>
        <v/>
      </c>
      <c r="J61" s="12">
        <f>_xlfn.XLOOKUP($C61,'BDG Intensity'!$F:$F,'BDG Intensity'!M:M)</f>
        <v/>
      </c>
      <c r="K61" s="12">
        <f>_xlfn.XLOOKUP($C61,'BDG Intensity'!$F:$F,'BDG Intensity'!N:N)</f>
        <v/>
      </c>
      <c r="L61" s="12">
        <f>_xlfn.XLOOKUP($C61,'BDG Intensity'!$F:$F,'BDG Intensity'!O:O)</f>
        <v/>
      </c>
      <c r="M61" s="12">
        <f>_xlfn.XLOOKUP($C61,'BDG Intensity'!$F:$F,'BDG Intensity'!P:P)</f>
        <v/>
      </c>
      <c r="N61" s="12">
        <f>_xlfn.XLOOKUP($C61,'BDG Intensity'!$F:$F,'BDG Intensity'!Q:Q)</f>
        <v/>
      </c>
      <c r="O61" s="12">
        <f>_xlfn.XLOOKUP($C61,'BDG Intensity'!$F:$F,'BDG Intensity'!R:R)</f>
        <v/>
      </c>
      <c r="P61" s="12">
        <f>_xlfn.XLOOKUP($C61,'BDG Intensity'!$F:$F,'BDG Intensity'!S:S)</f>
        <v/>
      </c>
      <c r="Q61" s="12">
        <f>_xlfn.XLOOKUP($C61,'BDG Intensity'!$F:$F,'BDG Intensity'!T:T)</f>
        <v/>
      </c>
      <c r="R61" s="12">
        <f>_xlfn.XLOOKUP($C61,'BDG Intensity'!$F:$F,'BDG Intensity'!U:U)</f>
        <v/>
      </c>
      <c r="S61" s="12">
        <f>_xlfn.XLOOKUP($C61,'BDG Intensity'!$F:$F,'BDG Intensity'!V:V)</f>
        <v/>
      </c>
      <c r="T61" s="12">
        <f>_xlfn.XLOOKUP($C61,'BDG Intensity'!$F:$F,'BDG Intensity'!W:W)</f>
        <v/>
      </c>
      <c r="U61" s="12">
        <f>_xlfn.XLOOKUP($C61,'BDG Intensity'!$F:$F,'BDG Intensity'!X:X)</f>
        <v/>
      </c>
      <c r="V61" s="12">
        <f>_xlfn.XLOOKUP($C61,'BDG Intensity'!$F:$F,'BDG Intensity'!Y:Y)</f>
        <v/>
      </c>
      <c r="W61" s="12">
        <f>_xlfn.XLOOKUP($C61,'BDG Intensity'!$F:$F,'BDG Intensity'!Z:Z)</f>
        <v/>
      </c>
    </row>
    <row r="62">
      <c r="B62">
        <f>Def_Tech!C206</f>
        <v/>
      </c>
      <c r="C62">
        <f>Def_Tech!D77</f>
        <v/>
      </c>
      <c r="D62">
        <f>Def_Comm!C206</f>
        <v/>
      </c>
      <c r="E62">
        <f>Def_Comm!C77</f>
        <v/>
      </c>
      <c r="F62" s="12">
        <f>_xlfn.XLOOKUP($C62,'BDG Intensity'!$F:$F,'BDG Intensity'!I:I)</f>
        <v/>
      </c>
      <c r="G62" s="12">
        <f>_xlfn.XLOOKUP($C62,'BDG Intensity'!$F:$F,'BDG Intensity'!J:J)</f>
        <v/>
      </c>
      <c r="H62" s="12">
        <f>_xlfn.XLOOKUP($C62,'BDG Intensity'!$F:$F,'BDG Intensity'!K:K)</f>
        <v/>
      </c>
      <c r="I62" s="12">
        <f>_xlfn.XLOOKUP($C62,'BDG Intensity'!$F:$F,'BDG Intensity'!L:L)</f>
        <v/>
      </c>
      <c r="J62" s="12">
        <f>_xlfn.XLOOKUP($C62,'BDG Intensity'!$F:$F,'BDG Intensity'!M:M)</f>
        <v/>
      </c>
      <c r="K62" s="12">
        <f>_xlfn.XLOOKUP($C62,'BDG Intensity'!$F:$F,'BDG Intensity'!N:N)</f>
        <v/>
      </c>
      <c r="L62" s="12">
        <f>_xlfn.XLOOKUP($C62,'BDG Intensity'!$F:$F,'BDG Intensity'!O:O)</f>
        <v/>
      </c>
      <c r="M62" s="12">
        <f>_xlfn.XLOOKUP($C62,'BDG Intensity'!$F:$F,'BDG Intensity'!P:P)</f>
        <v/>
      </c>
      <c r="N62" s="12">
        <f>_xlfn.XLOOKUP($C62,'BDG Intensity'!$F:$F,'BDG Intensity'!Q:Q)</f>
        <v/>
      </c>
      <c r="O62" s="12">
        <f>_xlfn.XLOOKUP($C62,'BDG Intensity'!$F:$F,'BDG Intensity'!R:R)</f>
        <v/>
      </c>
      <c r="P62" s="12">
        <f>_xlfn.XLOOKUP($C62,'BDG Intensity'!$F:$F,'BDG Intensity'!S:S)</f>
        <v/>
      </c>
      <c r="Q62" s="12">
        <f>_xlfn.XLOOKUP($C62,'BDG Intensity'!$F:$F,'BDG Intensity'!T:T)</f>
        <v/>
      </c>
      <c r="R62" s="12">
        <f>_xlfn.XLOOKUP($C62,'BDG Intensity'!$F:$F,'BDG Intensity'!U:U)</f>
        <v/>
      </c>
      <c r="S62" s="12">
        <f>_xlfn.XLOOKUP($C62,'BDG Intensity'!$F:$F,'BDG Intensity'!V:V)</f>
        <v/>
      </c>
      <c r="T62" s="12">
        <f>_xlfn.XLOOKUP($C62,'BDG Intensity'!$F:$F,'BDG Intensity'!W:W)</f>
        <v/>
      </c>
      <c r="U62" s="12">
        <f>_xlfn.XLOOKUP($C62,'BDG Intensity'!$F:$F,'BDG Intensity'!X:X)</f>
        <v/>
      </c>
      <c r="V62" s="12">
        <f>_xlfn.XLOOKUP($C62,'BDG Intensity'!$F:$F,'BDG Intensity'!Y:Y)</f>
        <v/>
      </c>
      <c r="W62" s="12">
        <f>_xlfn.XLOOKUP($C62,'BDG Intensity'!$F:$F,'BDG Intensity'!Z:Z)</f>
        <v/>
      </c>
    </row>
    <row r="63">
      <c r="B63">
        <f>Def_Tech!C207</f>
        <v/>
      </c>
      <c r="C63">
        <f>Def_Tech!D78</f>
        <v/>
      </c>
      <c r="D63">
        <f>Def_Comm!C207</f>
        <v/>
      </c>
      <c r="E63">
        <f>Def_Comm!C78</f>
        <v/>
      </c>
      <c r="F63" s="12">
        <f>_xlfn.XLOOKUP($C63,'BDG Intensity'!$F:$F,'BDG Intensity'!I:I)</f>
        <v/>
      </c>
      <c r="G63" s="12">
        <f>_xlfn.XLOOKUP($C63,'BDG Intensity'!$F:$F,'BDG Intensity'!J:J)</f>
        <v/>
      </c>
      <c r="H63" s="12">
        <f>_xlfn.XLOOKUP($C63,'BDG Intensity'!$F:$F,'BDG Intensity'!K:K)</f>
        <v/>
      </c>
      <c r="I63" s="12">
        <f>_xlfn.XLOOKUP($C63,'BDG Intensity'!$F:$F,'BDG Intensity'!L:L)</f>
        <v/>
      </c>
      <c r="J63" s="12">
        <f>_xlfn.XLOOKUP($C63,'BDG Intensity'!$F:$F,'BDG Intensity'!M:M)</f>
        <v/>
      </c>
      <c r="K63" s="12">
        <f>_xlfn.XLOOKUP($C63,'BDG Intensity'!$F:$F,'BDG Intensity'!N:N)</f>
        <v/>
      </c>
      <c r="L63" s="12">
        <f>_xlfn.XLOOKUP($C63,'BDG Intensity'!$F:$F,'BDG Intensity'!O:O)</f>
        <v/>
      </c>
      <c r="M63" s="12">
        <f>_xlfn.XLOOKUP($C63,'BDG Intensity'!$F:$F,'BDG Intensity'!P:P)</f>
        <v/>
      </c>
      <c r="N63" s="12">
        <f>_xlfn.XLOOKUP($C63,'BDG Intensity'!$F:$F,'BDG Intensity'!Q:Q)</f>
        <v/>
      </c>
      <c r="O63" s="12">
        <f>_xlfn.XLOOKUP($C63,'BDG Intensity'!$F:$F,'BDG Intensity'!R:R)</f>
        <v/>
      </c>
      <c r="P63" s="12">
        <f>_xlfn.XLOOKUP($C63,'BDG Intensity'!$F:$F,'BDG Intensity'!S:S)</f>
        <v/>
      </c>
      <c r="Q63" s="12">
        <f>_xlfn.XLOOKUP($C63,'BDG Intensity'!$F:$F,'BDG Intensity'!T:T)</f>
        <v/>
      </c>
      <c r="R63" s="12">
        <f>_xlfn.XLOOKUP($C63,'BDG Intensity'!$F:$F,'BDG Intensity'!U:U)</f>
        <v/>
      </c>
      <c r="S63" s="12">
        <f>_xlfn.XLOOKUP($C63,'BDG Intensity'!$F:$F,'BDG Intensity'!V:V)</f>
        <v/>
      </c>
      <c r="T63" s="12">
        <f>_xlfn.XLOOKUP($C63,'BDG Intensity'!$F:$F,'BDG Intensity'!W:W)</f>
        <v/>
      </c>
      <c r="U63" s="12">
        <f>_xlfn.XLOOKUP($C63,'BDG Intensity'!$F:$F,'BDG Intensity'!X:X)</f>
        <v/>
      </c>
      <c r="V63" s="12">
        <f>_xlfn.XLOOKUP($C63,'BDG Intensity'!$F:$F,'BDG Intensity'!Y:Y)</f>
        <v/>
      </c>
      <c r="W63" s="12">
        <f>_xlfn.XLOOKUP($C63,'BDG Intensity'!$F:$F,'BDG Intensity'!Z:Z)</f>
        <v/>
      </c>
    </row>
    <row r="64">
      <c r="B64">
        <f>Def_Tech!C208</f>
        <v/>
      </c>
      <c r="C64">
        <f>Def_Tech!D79</f>
        <v/>
      </c>
      <c r="D64">
        <f>Def_Comm!C208</f>
        <v/>
      </c>
      <c r="E64">
        <f>Def_Comm!C79</f>
        <v/>
      </c>
      <c r="F64" s="12">
        <f>_xlfn.XLOOKUP($C64,'BDG Intensity'!$F:$F,'BDG Intensity'!I:I)</f>
        <v/>
      </c>
      <c r="G64" s="12">
        <f>_xlfn.XLOOKUP($C64,'BDG Intensity'!$F:$F,'BDG Intensity'!J:J)</f>
        <v/>
      </c>
      <c r="H64" s="12">
        <f>_xlfn.XLOOKUP($C64,'BDG Intensity'!$F:$F,'BDG Intensity'!K:K)</f>
        <v/>
      </c>
      <c r="I64" s="12">
        <f>_xlfn.XLOOKUP($C64,'BDG Intensity'!$F:$F,'BDG Intensity'!L:L)</f>
        <v/>
      </c>
      <c r="J64" s="12">
        <f>_xlfn.XLOOKUP($C64,'BDG Intensity'!$F:$F,'BDG Intensity'!M:M)</f>
        <v/>
      </c>
      <c r="K64" s="12">
        <f>_xlfn.XLOOKUP($C64,'BDG Intensity'!$F:$F,'BDG Intensity'!N:N)</f>
        <v/>
      </c>
      <c r="L64" s="12">
        <f>_xlfn.XLOOKUP($C64,'BDG Intensity'!$F:$F,'BDG Intensity'!O:O)</f>
        <v/>
      </c>
      <c r="M64" s="12">
        <f>_xlfn.XLOOKUP($C64,'BDG Intensity'!$F:$F,'BDG Intensity'!P:P)</f>
        <v/>
      </c>
      <c r="N64" s="12">
        <f>_xlfn.XLOOKUP($C64,'BDG Intensity'!$F:$F,'BDG Intensity'!Q:Q)</f>
        <v/>
      </c>
      <c r="O64" s="12">
        <f>_xlfn.XLOOKUP($C64,'BDG Intensity'!$F:$F,'BDG Intensity'!R:R)</f>
        <v/>
      </c>
      <c r="P64" s="12">
        <f>_xlfn.XLOOKUP($C64,'BDG Intensity'!$F:$F,'BDG Intensity'!S:S)</f>
        <v/>
      </c>
      <c r="Q64" s="12">
        <f>_xlfn.XLOOKUP($C64,'BDG Intensity'!$F:$F,'BDG Intensity'!T:T)</f>
        <v/>
      </c>
      <c r="R64" s="12">
        <f>_xlfn.XLOOKUP($C64,'BDG Intensity'!$F:$F,'BDG Intensity'!U:U)</f>
        <v/>
      </c>
      <c r="S64" s="12">
        <f>_xlfn.XLOOKUP($C64,'BDG Intensity'!$F:$F,'BDG Intensity'!V:V)</f>
        <v/>
      </c>
      <c r="T64" s="12">
        <f>_xlfn.XLOOKUP($C64,'BDG Intensity'!$F:$F,'BDG Intensity'!W:W)</f>
        <v/>
      </c>
      <c r="U64" s="12">
        <f>_xlfn.XLOOKUP($C64,'BDG Intensity'!$F:$F,'BDG Intensity'!X:X)</f>
        <v/>
      </c>
      <c r="V64" s="12">
        <f>_xlfn.XLOOKUP($C64,'BDG Intensity'!$F:$F,'BDG Intensity'!Y:Y)</f>
        <v/>
      </c>
      <c r="W64" s="12">
        <f>_xlfn.XLOOKUP($C64,'BDG Intensity'!$F:$F,'BDG Intensity'!Z:Z)</f>
        <v/>
      </c>
    </row>
    <row r="65">
      <c r="B65">
        <f>Def_Tech!C209</f>
        <v/>
      </c>
      <c r="C65">
        <f>Def_Tech!D80</f>
        <v/>
      </c>
      <c r="D65">
        <f>Def_Comm!C209</f>
        <v/>
      </c>
      <c r="E65">
        <f>Def_Comm!C80</f>
        <v/>
      </c>
      <c r="F65" s="12">
        <f>_xlfn.XLOOKUP($C65,'BDG Intensity'!$F:$F,'BDG Intensity'!I:I)</f>
        <v/>
      </c>
      <c r="G65" s="12">
        <f>_xlfn.XLOOKUP($C65,'BDG Intensity'!$F:$F,'BDG Intensity'!J:J)</f>
        <v/>
      </c>
      <c r="H65" s="12">
        <f>_xlfn.XLOOKUP($C65,'BDG Intensity'!$F:$F,'BDG Intensity'!K:K)</f>
        <v/>
      </c>
      <c r="I65" s="12">
        <f>_xlfn.XLOOKUP($C65,'BDG Intensity'!$F:$F,'BDG Intensity'!L:L)</f>
        <v/>
      </c>
      <c r="J65" s="12">
        <f>_xlfn.XLOOKUP($C65,'BDG Intensity'!$F:$F,'BDG Intensity'!M:M)</f>
        <v/>
      </c>
      <c r="K65" s="12">
        <f>_xlfn.XLOOKUP($C65,'BDG Intensity'!$F:$F,'BDG Intensity'!N:N)</f>
        <v/>
      </c>
      <c r="L65" s="12">
        <f>_xlfn.XLOOKUP($C65,'BDG Intensity'!$F:$F,'BDG Intensity'!O:O)</f>
        <v/>
      </c>
      <c r="M65" s="12">
        <f>_xlfn.XLOOKUP($C65,'BDG Intensity'!$F:$F,'BDG Intensity'!P:P)</f>
        <v/>
      </c>
      <c r="N65" s="12">
        <f>_xlfn.XLOOKUP($C65,'BDG Intensity'!$F:$F,'BDG Intensity'!Q:Q)</f>
        <v/>
      </c>
      <c r="O65" s="12">
        <f>_xlfn.XLOOKUP($C65,'BDG Intensity'!$F:$F,'BDG Intensity'!R:R)</f>
        <v/>
      </c>
      <c r="P65" s="12">
        <f>_xlfn.XLOOKUP($C65,'BDG Intensity'!$F:$F,'BDG Intensity'!S:S)</f>
        <v/>
      </c>
      <c r="Q65" s="12">
        <f>_xlfn.XLOOKUP($C65,'BDG Intensity'!$F:$F,'BDG Intensity'!T:T)</f>
        <v/>
      </c>
      <c r="R65" s="12">
        <f>_xlfn.XLOOKUP($C65,'BDG Intensity'!$F:$F,'BDG Intensity'!U:U)</f>
        <v/>
      </c>
      <c r="S65" s="12">
        <f>_xlfn.XLOOKUP($C65,'BDG Intensity'!$F:$F,'BDG Intensity'!V:V)</f>
        <v/>
      </c>
      <c r="T65" s="12">
        <f>_xlfn.XLOOKUP($C65,'BDG Intensity'!$F:$F,'BDG Intensity'!W:W)</f>
        <v/>
      </c>
      <c r="U65" s="12">
        <f>_xlfn.XLOOKUP($C65,'BDG Intensity'!$F:$F,'BDG Intensity'!X:X)</f>
        <v/>
      </c>
      <c r="V65" s="12">
        <f>_xlfn.XLOOKUP($C65,'BDG Intensity'!$F:$F,'BDG Intensity'!Y:Y)</f>
        <v/>
      </c>
      <c r="W65" s="12">
        <f>_xlfn.XLOOKUP($C65,'BDG Intensity'!$F:$F,'BDG Intensity'!Z:Z)</f>
        <v/>
      </c>
    </row>
    <row r="66">
      <c r="B66">
        <f>Def_Tech!C210</f>
        <v/>
      </c>
      <c r="C66">
        <f>Def_Tech!D81</f>
        <v/>
      </c>
      <c r="D66">
        <f>Def_Comm!C210</f>
        <v/>
      </c>
      <c r="E66">
        <f>Def_Comm!C81</f>
        <v/>
      </c>
      <c r="F66" s="12">
        <f>_xlfn.XLOOKUP($C66,'BDG Intensity'!$F:$F,'BDG Intensity'!I:I)</f>
        <v/>
      </c>
      <c r="G66" s="12">
        <f>_xlfn.XLOOKUP($C66,'BDG Intensity'!$F:$F,'BDG Intensity'!J:J)</f>
        <v/>
      </c>
      <c r="H66" s="12">
        <f>_xlfn.XLOOKUP($C66,'BDG Intensity'!$F:$F,'BDG Intensity'!K:K)</f>
        <v/>
      </c>
      <c r="I66" s="12">
        <f>_xlfn.XLOOKUP($C66,'BDG Intensity'!$F:$F,'BDG Intensity'!L:L)</f>
        <v/>
      </c>
      <c r="J66" s="12">
        <f>_xlfn.XLOOKUP($C66,'BDG Intensity'!$F:$F,'BDG Intensity'!M:M)</f>
        <v/>
      </c>
      <c r="K66" s="12">
        <f>_xlfn.XLOOKUP($C66,'BDG Intensity'!$F:$F,'BDG Intensity'!N:N)</f>
        <v/>
      </c>
      <c r="L66" s="12">
        <f>_xlfn.XLOOKUP($C66,'BDG Intensity'!$F:$F,'BDG Intensity'!O:O)</f>
        <v/>
      </c>
      <c r="M66" s="12">
        <f>_xlfn.XLOOKUP($C66,'BDG Intensity'!$F:$F,'BDG Intensity'!P:P)</f>
        <v/>
      </c>
      <c r="N66" s="12">
        <f>_xlfn.XLOOKUP($C66,'BDG Intensity'!$F:$F,'BDG Intensity'!Q:Q)</f>
        <v/>
      </c>
      <c r="O66" s="12">
        <f>_xlfn.XLOOKUP($C66,'BDG Intensity'!$F:$F,'BDG Intensity'!R:R)</f>
        <v/>
      </c>
      <c r="P66" s="12">
        <f>_xlfn.XLOOKUP($C66,'BDG Intensity'!$F:$F,'BDG Intensity'!S:S)</f>
        <v/>
      </c>
      <c r="Q66" s="12">
        <f>_xlfn.XLOOKUP($C66,'BDG Intensity'!$F:$F,'BDG Intensity'!T:T)</f>
        <v/>
      </c>
      <c r="R66" s="12">
        <f>_xlfn.XLOOKUP($C66,'BDG Intensity'!$F:$F,'BDG Intensity'!U:U)</f>
        <v/>
      </c>
      <c r="S66" s="12">
        <f>_xlfn.XLOOKUP($C66,'BDG Intensity'!$F:$F,'BDG Intensity'!V:V)</f>
        <v/>
      </c>
      <c r="T66" s="12">
        <f>_xlfn.XLOOKUP($C66,'BDG Intensity'!$F:$F,'BDG Intensity'!W:W)</f>
        <v/>
      </c>
      <c r="U66" s="12">
        <f>_xlfn.XLOOKUP($C66,'BDG Intensity'!$F:$F,'BDG Intensity'!X:X)</f>
        <v/>
      </c>
      <c r="V66" s="12">
        <f>_xlfn.XLOOKUP($C66,'BDG Intensity'!$F:$F,'BDG Intensity'!Y:Y)</f>
        <v/>
      </c>
      <c r="W66" s="12">
        <f>_xlfn.XLOOKUP($C66,'BDG Intensity'!$F:$F,'BDG Intensity'!Z:Z)</f>
        <v/>
      </c>
    </row>
    <row r="67">
      <c r="B67">
        <f>Def_Tech!C211</f>
        <v/>
      </c>
      <c r="C67">
        <f>Def_Tech!D82</f>
        <v/>
      </c>
      <c r="D67">
        <f>Def_Comm!C211</f>
        <v/>
      </c>
      <c r="E67">
        <f>Def_Comm!C82</f>
        <v/>
      </c>
      <c r="F67" s="12">
        <f>_xlfn.XLOOKUP($C67,'BDG Intensity'!$F:$F,'BDG Intensity'!I:I)</f>
        <v/>
      </c>
      <c r="G67" s="12">
        <f>_xlfn.XLOOKUP($C67,'BDG Intensity'!$F:$F,'BDG Intensity'!J:J)</f>
        <v/>
      </c>
      <c r="H67" s="12">
        <f>_xlfn.XLOOKUP($C67,'BDG Intensity'!$F:$F,'BDG Intensity'!K:K)</f>
        <v/>
      </c>
      <c r="I67" s="12">
        <f>_xlfn.XLOOKUP($C67,'BDG Intensity'!$F:$F,'BDG Intensity'!L:L)</f>
        <v/>
      </c>
      <c r="J67" s="12">
        <f>_xlfn.XLOOKUP($C67,'BDG Intensity'!$F:$F,'BDG Intensity'!M:M)</f>
        <v/>
      </c>
      <c r="K67" s="12">
        <f>_xlfn.XLOOKUP($C67,'BDG Intensity'!$F:$F,'BDG Intensity'!N:N)</f>
        <v/>
      </c>
      <c r="L67" s="12">
        <f>_xlfn.XLOOKUP($C67,'BDG Intensity'!$F:$F,'BDG Intensity'!O:O)</f>
        <v/>
      </c>
      <c r="M67" s="12">
        <f>_xlfn.XLOOKUP($C67,'BDG Intensity'!$F:$F,'BDG Intensity'!P:P)</f>
        <v/>
      </c>
      <c r="N67" s="12">
        <f>_xlfn.XLOOKUP($C67,'BDG Intensity'!$F:$F,'BDG Intensity'!Q:Q)</f>
        <v/>
      </c>
      <c r="O67" s="12">
        <f>_xlfn.XLOOKUP($C67,'BDG Intensity'!$F:$F,'BDG Intensity'!R:R)</f>
        <v/>
      </c>
      <c r="P67" s="12">
        <f>_xlfn.XLOOKUP($C67,'BDG Intensity'!$F:$F,'BDG Intensity'!S:S)</f>
        <v/>
      </c>
      <c r="Q67" s="12">
        <f>_xlfn.XLOOKUP($C67,'BDG Intensity'!$F:$F,'BDG Intensity'!T:T)</f>
        <v/>
      </c>
      <c r="R67" s="12">
        <f>_xlfn.XLOOKUP($C67,'BDG Intensity'!$F:$F,'BDG Intensity'!U:U)</f>
        <v/>
      </c>
      <c r="S67" s="12">
        <f>_xlfn.XLOOKUP($C67,'BDG Intensity'!$F:$F,'BDG Intensity'!V:V)</f>
        <v/>
      </c>
      <c r="T67" s="12">
        <f>_xlfn.XLOOKUP($C67,'BDG Intensity'!$F:$F,'BDG Intensity'!W:W)</f>
        <v/>
      </c>
      <c r="U67" s="12">
        <f>_xlfn.XLOOKUP($C67,'BDG Intensity'!$F:$F,'BDG Intensity'!X:X)</f>
        <v/>
      </c>
      <c r="V67" s="12">
        <f>_xlfn.XLOOKUP($C67,'BDG Intensity'!$F:$F,'BDG Intensity'!Y:Y)</f>
        <v/>
      </c>
      <c r="W67" s="12">
        <f>_xlfn.XLOOKUP($C67,'BDG Intensity'!$F:$F,'BDG Intensity'!Z:Z)</f>
        <v/>
      </c>
    </row>
    <row r="68">
      <c r="B68">
        <f>Def_Tech!C212</f>
        <v/>
      </c>
      <c r="C68">
        <f>Def_Tech!D83</f>
        <v/>
      </c>
      <c r="D68">
        <f>Def_Comm!C212</f>
        <v/>
      </c>
      <c r="E68">
        <f>Def_Comm!C83</f>
        <v/>
      </c>
      <c r="F68" s="12">
        <f>_xlfn.XLOOKUP($C68,'BDG Intensity'!$F:$F,'BDG Intensity'!I:I)</f>
        <v/>
      </c>
      <c r="G68" s="12">
        <f>_xlfn.XLOOKUP($C68,'BDG Intensity'!$F:$F,'BDG Intensity'!J:J)</f>
        <v/>
      </c>
      <c r="H68" s="12">
        <f>_xlfn.XLOOKUP($C68,'BDG Intensity'!$F:$F,'BDG Intensity'!K:K)</f>
        <v/>
      </c>
      <c r="I68" s="12">
        <f>_xlfn.XLOOKUP($C68,'BDG Intensity'!$F:$F,'BDG Intensity'!L:L)</f>
        <v/>
      </c>
      <c r="J68" s="12">
        <f>_xlfn.XLOOKUP($C68,'BDG Intensity'!$F:$F,'BDG Intensity'!M:M)</f>
        <v/>
      </c>
      <c r="K68" s="12">
        <f>_xlfn.XLOOKUP($C68,'BDG Intensity'!$F:$F,'BDG Intensity'!N:N)</f>
        <v/>
      </c>
      <c r="L68" s="12">
        <f>_xlfn.XLOOKUP($C68,'BDG Intensity'!$F:$F,'BDG Intensity'!O:O)</f>
        <v/>
      </c>
      <c r="M68" s="12">
        <f>_xlfn.XLOOKUP($C68,'BDG Intensity'!$F:$F,'BDG Intensity'!P:P)</f>
        <v/>
      </c>
      <c r="N68" s="12">
        <f>_xlfn.XLOOKUP($C68,'BDG Intensity'!$F:$F,'BDG Intensity'!Q:Q)</f>
        <v/>
      </c>
      <c r="O68" s="12">
        <f>_xlfn.XLOOKUP($C68,'BDG Intensity'!$F:$F,'BDG Intensity'!R:R)</f>
        <v/>
      </c>
      <c r="P68" s="12">
        <f>_xlfn.XLOOKUP($C68,'BDG Intensity'!$F:$F,'BDG Intensity'!S:S)</f>
        <v/>
      </c>
      <c r="Q68" s="12">
        <f>_xlfn.XLOOKUP($C68,'BDG Intensity'!$F:$F,'BDG Intensity'!T:T)</f>
        <v/>
      </c>
      <c r="R68" s="12">
        <f>_xlfn.XLOOKUP($C68,'BDG Intensity'!$F:$F,'BDG Intensity'!U:U)</f>
        <v/>
      </c>
      <c r="S68" s="12">
        <f>_xlfn.XLOOKUP($C68,'BDG Intensity'!$F:$F,'BDG Intensity'!V:V)</f>
        <v/>
      </c>
      <c r="T68" s="12">
        <f>_xlfn.XLOOKUP($C68,'BDG Intensity'!$F:$F,'BDG Intensity'!W:W)</f>
        <v/>
      </c>
      <c r="U68" s="12">
        <f>_xlfn.XLOOKUP($C68,'BDG Intensity'!$F:$F,'BDG Intensity'!X:X)</f>
        <v/>
      </c>
      <c r="V68" s="12">
        <f>_xlfn.XLOOKUP($C68,'BDG Intensity'!$F:$F,'BDG Intensity'!Y:Y)</f>
        <v/>
      </c>
      <c r="W68" s="12">
        <f>_xlfn.XLOOKUP($C68,'BDG Intensity'!$F:$F,'BDG Intensity'!Z:Z)</f>
        <v/>
      </c>
    </row>
    <row r="69">
      <c r="B69">
        <f>Def_Tech!C213</f>
        <v/>
      </c>
      <c r="C69">
        <f>Def_Tech!D84</f>
        <v/>
      </c>
      <c r="D69">
        <f>Def_Comm!C213</f>
        <v/>
      </c>
      <c r="E69">
        <f>Def_Comm!C84</f>
        <v/>
      </c>
      <c r="F69" s="12">
        <f>_xlfn.XLOOKUP($C69,'BDG Intensity'!$F:$F,'BDG Intensity'!I:I)</f>
        <v/>
      </c>
      <c r="G69" s="12">
        <f>_xlfn.XLOOKUP($C69,'BDG Intensity'!$F:$F,'BDG Intensity'!J:J)</f>
        <v/>
      </c>
      <c r="H69" s="12">
        <f>_xlfn.XLOOKUP($C69,'BDG Intensity'!$F:$F,'BDG Intensity'!K:K)</f>
        <v/>
      </c>
      <c r="I69" s="12">
        <f>_xlfn.XLOOKUP($C69,'BDG Intensity'!$F:$F,'BDG Intensity'!L:L)</f>
        <v/>
      </c>
      <c r="J69" s="12">
        <f>_xlfn.XLOOKUP($C69,'BDG Intensity'!$F:$F,'BDG Intensity'!M:M)</f>
        <v/>
      </c>
      <c r="K69" s="12">
        <f>_xlfn.XLOOKUP($C69,'BDG Intensity'!$F:$F,'BDG Intensity'!N:N)</f>
        <v/>
      </c>
      <c r="L69" s="12">
        <f>_xlfn.XLOOKUP($C69,'BDG Intensity'!$F:$F,'BDG Intensity'!O:O)</f>
        <v/>
      </c>
      <c r="M69" s="12">
        <f>_xlfn.XLOOKUP($C69,'BDG Intensity'!$F:$F,'BDG Intensity'!P:P)</f>
        <v/>
      </c>
      <c r="N69" s="12">
        <f>_xlfn.XLOOKUP($C69,'BDG Intensity'!$F:$F,'BDG Intensity'!Q:Q)</f>
        <v/>
      </c>
      <c r="O69" s="12">
        <f>_xlfn.XLOOKUP($C69,'BDG Intensity'!$F:$F,'BDG Intensity'!R:R)</f>
        <v/>
      </c>
      <c r="P69" s="12">
        <f>_xlfn.XLOOKUP($C69,'BDG Intensity'!$F:$F,'BDG Intensity'!S:S)</f>
        <v/>
      </c>
      <c r="Q69" s="12">
        <f>_xlfn.XLOOKUP($C69,'BDG Intensity'!$F:$F,'BDG Intensity'!T:T)</f>
        <v/>
      </c>
      <c r="R69" s="12">
        <f>_xlfn.XLOOKUP($C69,'BDG Intensity'!$F:$F,'BDG Intensity'!U:U)</f>
        <v/>
      </c>
      <c r="S69" s="12">
        <f>_xlfn.XLOOKUP($C69,'BDG Intensity'!$F:$F,'BDG Intensity'!V:V)</f>
        <v/>
      </c>
      <c r="T69" s="12">
        <f>_xlfn.XLOOKUP($C69,'BDG Intensity'!$F:$F,'BDG Intensity'!W:W)</f>
        <v/>
      </c>
      <c r="U69" s="12">
        <f>_xlfn.XLOOKUP($C69,'BDG Intensity'!$F:$F,'BDG Intensity'!X:X)</f>
        <v/>
      </c>
      <c r="V69" s="12">
        <f>_xlfn.XLOOKUP($C69,'BDG Intensity'!$F:$F,'BDG Intensity'!Y:Y)</f>
        <v/>
      </c>
      <c r="W69" s="12">
        <f>_xlfn.XLOOKUP($C69,'BDG Intensity'!$F:$F,'BDG Intensity'!Z:Z)</f>
        <v/>
      </c>
    </row>
    <row r="70">
      <c r="B70">
        <f>Def_Tech!C214</f>
        <v/>
      </c>
      <c r="C70">
        <f>Def_Tech!D85</f>
        <v/>
      </c>
      <c r="D70">
        <f>Def_Comm!C214</f>
        <v/>
      </c>
      <c r="E70">
        <f>Def_Comm!C85</f>
        <v/>
      </c>
      <c r="F70" s="12">
        <f>_xlfn.XLOOKUP($C70,'BDG Intensity'!$F:$F,'BDG Intensity'!I:I)</f>
        <v/>
      </c>
      <c r="G70" s="12">
        <f>_xlfn.XLOOKUP($C70,'BDG Intensity'!$F:$F,'BDG Intensity'!J:J)</f>
        <v/>
      </c>
      <c r="H70" s="12">
        <f>_xlfn.XLOOKUP($C70,'BDG Intensity'!$F:$F,'BDG Intensity'!K:K)</f>
        <v/>
      </c>
      <c r="I70" s="12">
        <f>_xlfn.XLOOKUP($C70,'BDG Intensity'!$F:$F,'BDG Intensity'!L:L)</f>
        <v/>
      </c>
      <c r="J70" s="12">
        <f>_xlfn.XLOOKUP($C70,'BDG Intensity'!$F:$F,'BDG Intensity'!M:M)</f>
        <v/>
      </c>
      <c r="K70" s="12">
        <f>_xlfn.XLOOKUP($C70,'BDG Intensity'!$F:$F,'BDG Intensity'!N:N)</f>
        <v/>
      </c>
      <c r="L70" s="12">
        <f>_xlfn.XLOOKUP($C70,'BDG Intensity'!$F:$F,'BDG Intensity'!O:O)</f>
        <v/>
      </c>
      <c r="M70" s="12">
        <f>_xlfn.XLOOKUP($C70,'BDG Intensity'!$F:$F,'BDG Intensity'!P:P)</f>
        <v/>
      </c>
      <c r="N70" s="12">
        <f>_xlfn.XLOOKUP($C70,'BDG Intensity'!$F:$F,'BDG Intensity'!Q:Q)</f>
        <v/>
      </c>
      <c r="O70" s="12">
        <f>_xlfn.XLOOKUP($C70,'BDG Intensity'!$F:$F,'BDG Intensity'!R:R)</f>
        <v/>
      </c>
      <c r="P70" s="12">
        <f>_xlfn.XLOOKUP($C70,'BDG Intensity'!$F:$F,'BDG Intensity'!S:S)</f>
        <v/>
      </c>
      <c r="Q70" s="12">
        <f>_xlfn.XLOOKUP($C70,'BDG Intensity'!$F:$F,'BDG Intensity'!T:T)</f>
        <v/>
      </c>
      <c r="R70" s="12">
        <f>_xlfn.XLOOKUP($C70,'BDG Intensity'!$F:$F,'BDG Intensity'!U:U)</f>
        <v/>
      </c>
      <c r="S70" s="12">
        <f>_xlfn.XLOOKUP($C70,'BDG Intensity'!$F:$F,'BDG Intensity'!V:V)</f>
        <v/>
      </c>
      <c r="T70" s="12">
        <f>_xlfn.XLOOKUP($C70,'BDG Intensity'!$F:$F,'BDG Intensity'!W:W)</f>
        <v/>
      </c>
      <c r="U70" s="12">
        <f>_xlfn.XLOOKUP($C70,'BDG Intensity'!$F:$F,'BDG Intensity'!X:X)</f>
        <v/>
      </c>
      <c r="V70" s="12">
        <f>_xlfn.XLOOKUP($C70,'BDG Intensity'!$F:$F,'BDG Intensity'!Y:Y)</f>
        <v/>
      </c>
      <c r="W70" s="12">
        <f>_xlfn.XLOOKUP($C70,'BDG Intensity'!$F:$F,'BDG Intensity'!Z:Z)</f>
        <v/>
      </c>
    </row>
    <row r="71">
      <c r="B71">
        <f>Def_Tech!C215</f>
        <v/>
      </c>
      <c r="C71">
        <f>Def_Tech!D86</f>
        <v/>
      </c>
      <c r="D71">
        <f>Def_Comm!C215</f>
        <v/>
      </c>
      <c r="E71">
        <f>Def_Comm!C86</f>
        <v/>
      </c>
      <c r="F71" s="12">
        <f>_xlfn.XLOOKUP($C71,'BDG Intensity'!$F:$F,'BDG Intensity'!I:I)</f>
        <v/>
      </c>
      <c r="G71" s="12">
        <f>_xlfn.XLOOKUP($C71,'BDG Intensity'!$F:$F,'BDG Intensity'!J:J)</f>
        <v/>
      </c>
      <c r="H71" s="12">
        <f>_xlfn.XLOOKUP($C71,'BDG Intensity'!$F:$F,'BDG Intensity'!K:K)</f>
        <v/>
      </c>
      <c r="I71" s="12">
        <f>_xlfn.XLOOKUP($C71,'BDG Intensity'!$F:$F,'BDG Intensity'!L:L)</f>
        <v/>
      </c>
      <c r="J71" s="12">
        <f>_xlfn.XLOOKUP($C71,'BDG Intensity'!$F:$F,'BDG Intensity'!M:M)</f>
        <v/>
      </c>
      <c r="K71" s="12">
        <f>_xlfn.XLOOKUP($C71,'BDG Intensity'!$F:$F,'BDG Intensity'!N:N)</f>
        <v/>
      </c>
      <c r="L71" s="12">
        <f>_xlfn.XLOOKUP($C71,'BDG Intensity'!$F:$F,'BDG Intensity'!O:O)</f>
        <v/>
      </c>
      <c r="M71" s="12">
        <f>_xlfn.XLOOKUP($C71,'BDG Intensity'!$F:$F,'BDG Intensity'!P:P)</f>
        <v/>
      </c>
      <c r="N71" s="12">
        <f>_xlfn.XLOOKUP($C71,'BDG Intensity'!$F:$F,'BDG Intensity'!Q:Q)</f>
        <v/>
      </c>
      <c r="O71" s="12">
        <f>_xlfn.XLOOKUP($C71,'BDG Intensity'!$F:$F,'BDG Intensity'!R:R)</f>
        <v/>
      </c>
      <c r="P71" s="12">
        <f>_xlfn.XLOOKUP($C71,'BDG Intensity'!$F:$F,'BDG Intensity'!S:S)</f>
        <v/>
      </c>
      <c r="Q71" s="12">
        <f>_xlfn.XLOOKUP($C71,'BDG Intensity'!$F:$F,'BDG Intensity'!T:T)</f>
        <v/>
      </c>
      <c r="R71" s="12">
        <f>_xlfn.XLOOKUP($C71,'BDG Intensity'!$F:$F,'BDG Intensity'!U:U)</f>
        <v/>
      </c>
      <c r="S71" s="12">
        <f>_xlfn.XLOOKUP($C71,'BDG Intensity'!$F:$F,'BDG Intensity'!V:V)</f>
        <v/>
      </c>
      <c r="T71" s="12">
        <f>_xlfn.XLOOKUP($C71,'BDG Intensity'!$F:$F,'BDG Intensity'!W:W)</f>
        <v/>
      </c>
      <c r="U71" s="12">
        <f>_xlfn.XLOOKUP($C71,'BDG Intensity'!$F:$F,'BDG Intensity'!X:X)</f>
        <v/>
      </c>
      <c r="V71" s="12">
        <f>_xlfn.XLOOKUP($C71,'BDG Intensity'!$F:$F,'BDG Intensity'!Y:Y)</f>
        <v/>
      </c>
      <c r="W71" s="12">
        <f>_xlfn.XLOOKUP($C71,'BDG Intensity'!$F:$F,'BDG Intensity'!Z:Z)</f>
        <v/>
      </c>
    </row>
    <row r="72">
      <c r="B72">
        <f>Def_Tech!C216</f>
        <v/>
      </c>
      <c r="C72">
        <f>Def_Tech!D87</f>
        <v/>
      </c>
      <c r="D72">
        <f>Def_Comm!C216</f>
        <v/>
      </c>
      <c r="E72">
        <f>Def_Comm!C87</f>
        <v/>
      </c>
      <c r="F72" s="12">
        <f>_xlfn.XLOOKUP($C72,'BDG Intensity'!$F:$F,'BDG Intensity'!I:I)</f>
        <v/>
      </c>
      <c r="G72" s="12">
        <f>_xlfn.XLOOKUP($C72,'BDG Intensity'!$F:$F,'BDG Intensity'!J:J)</f>
        <v/>
      </c>
      <c r="H72" s="12">
        <f>_xlfn.XLOOKUP($C72,'BDG Intensity'!$F:$F,'BDG Intensity'!K:K)</f>
        <v/>
      </c>
      <c r="I72" s="12">
        <f>_xlfn.XLOOKUP($C72,'BDG Intensity'!$F:$F,'BDG Intensity'!L:L)</f>
        <v/>
      </c>
      <c r="J72" s="12">
        <f>_xlfn.XLOOKUP($C72,'BDG Intensity'!$F:$F,'BDG Intensity'!M:M)</f>
        <v/>
      </c>
      <c r="K72" s="12">
        <f>_xlfn.XLOOKUP($C72,'BDG Intensity'!$F:$F,'BDG Intensity'!N:N)</f>
        <v/>
      </c>
      <c r="L72" s="12">
        <f>_xlfn.XLOOKUP($C72,'BDG Intensity'!$F:$F,'BDG Intensity'!O:O)</f>
        <v/>
      </c>
      <c r="M72" s="12">
        <f>_xlfn.XLOOKUP($C72,'BDG Intensity'!$F:$F,'BDG Intensity'!P:P)</f>
        <v/>
      </c>
      <c r="N72" s="12">
        <f>_xlfn.XLOOKUP($C72,'BDG Intensity'!$F:$F,'BDG Intensity'!Q:Q)</f>
        <v/>
      </c>
      <c r="O72" s="12">
        <f>_xlfn.XLOOKUP($C72,'BDG Intensity'!$F:$F,'BDG Intensity'!R:R)</f>
        <v/>
      </c>
      <c r="P72" s="12">
        <f>_xlfn.XLOOKUP($C72,'BDG Intensity'!$F:$F,'BDG Intensity'!S:S)</f>
        <v/>
      </c>
      <c r="Q72" s="12">
        <f>_xlfn.XLOOKUP($C72,'BDG Intensity'!$F:$F,'BDG Intensity'!T:T)</f>
        <v/>
      </c>
      <c r="R72" s="12">
        <f>_xlfn.XLOOKUP($C72,'BDG Intensity'!$F:$F,'BDG Intensity'!U:U)</f>
        <v/>
      </c>
      <c r="S72" s="12">
        <f>_xlfn.XLOOKUP($C72,'BDG Intensity'!$F:$F,'BDG Intensity'!V:V)</f>
        <v/>
      </c>
      <c r="T72" s="12">
        <f>_xlfn.XLOOKUP($C72,'BDG Intensity'!$F:$F,'BDG Intensity'!W:W)</f>
        <v/>
      </c>
      <c r="U72" s="12">
        <f>_xlfn.XLOOKUP($C72,'BDG Intensity'!$F:$F,'BDG Intensity'!X:X)</f>
        <v/>
      </c>
      <c r="V72" s="12">
        <f>_xlfn.XLOOKUP($C72,'BDG Intensity'!$F:$F,'BDG Intensity'!Y:Y)</f>
        <v/>
      </c>
      <c r="W72" s="12">
        <f>_xlfn.XLOOKUP($C72,'BDG Intensity'!$F:$F,'BDG Intensity'!Z:Z)</f>
        <v/>
      </c>
    </row>
    <row r="73">
      <c r="B73">
        <f>Def_Tech!C217</f>
        <v/>
      </c>
      <c r="C73">
        <f>Def_Tech!D88</f>
        <v/>
      </c>
      <c r="D73">
        <f>Def_Comm!C217</f>
        <v/>
      </c>
      <c r="E73">
        <f>Def_Comm!C88</f>
        <v/>
      </c>
      <c r="F73" s="12">
        <f>_xlfn.XLOOKUP($C73,'BDG Intensity'!$F:$F,'BDG Intensity'!I:I)</f>
        <v/>
      </c>
      <c r="G73" s="12">
        <f>_xlfn.XLOOKUP($C73,'BDG Intensity'!$F:$F,'BDG Intensity'!J:J)</f>
        <v/>
      </c>
      <c r="H73" s="12">
        <f>_xlfn.XLOOKUP($C73,'BDG Intensity'!$F:$F,'BDG Intensity'!K:K)</f>
        <v/>
      </c>
      <c r="I73" s="12">
        <f>_xlfn.XLOOKUP($C73,'BDG Intensity'!$F:$F,'BDG Intensity'!L:L)</f>
        <v/>
      </c>
      <c r="J73" s="12">
        <f>_xlfn.XLOOKUP($C73,'BDG Intensity'!$F:$F,'BDG Intensity'!M:M)</f>
        <v/>
      </c>
      <c r="K73" s="12">
        <f>_xlfn.XLOOKUP($C73,'BDG Intensity'!$F:$F,'BDG Intensity'!N:N)</f>
        <v/>
      </c>
      <c r="L73" s="12">
        <f>_xlfn.XLOOKUP($C73,'BDG Intensity'!$F:$F,'BDG Intensity'!O:O)</f>
        <v/>
      </c>
      <c r="M73" s="12">
        <f>_xlfn.XLOOKUP($C73,'BDG Intensity'!$F:$F,'BDG Intensity'!P:P)</f>
        <v/>
      </c>
      <c r="N73" s="12">
        <f>_xlfn.XLOOKUP($C73,'BDG Intensity'!$F:$F,'BDG Intensity'!Q:Q)</f>
        <v/>
      </c>
      <c r="O73" s="12">
        <f>_xlfn.XLOOKUP($C73,'BDG Intensity'!$F:$F,'BDG Intensity'!R:R)</f>
        <v/>
      </c>
      <c r="P73" s="12">
        <f>_xlfn.XLOOKUP($C73,'BDG Intensity'!$F:$F,'BDG Intensity'!S:S)</f>
        <v/>
      </c>
      <c r="Q73" s="12">
        <f>_xlfn.XLOOKUP($C73,'BDG Intensity'!$F:$F,'BDG Intensity'!T:T)</f>
        <v/>
      </c>
      <c r="R73" s="12">
        <f>_xlfn.XLOOKUP($C73,'BDG Intensity'!$F:$F,'BDG Intensity'!U:U)</f>
        <v/>
      </c>
      <c r="S73" s="12">
        <f>_xlfn.XLOOKUP($C73,'BDG Intensity'!$F:$F,'BDG Intensity'!V:V)</f>
        <v/>
      </c>
      <c r="T73" s="12">
        <f>_xlfn.XLOOKUP($C73,'BDG Intensity'!$F:$F,'BDG Intensity'!W:W)</f>
        <v/>
      </c>
      <c r="U73" s="12">
        <f>_xlfn.XLOOKUP($C73,'BDG Intensity'!$F:$F,'BDG Intensity'!X:X)</f>
        <v/>
      </c>
      <c r="V73" s="12">
        <f>_xlfn.XLOOKUP($C73,'BDG Intensity'!$F:$F,'BDG Intensity'!Y:Y)</f>
        <v/>
      </c>
      <c r="W73" s="12">
        <f>_xlfn.XLOOKUP($C73,'BDG Intensity'!$F:$F,'BDG Intensity'!Z:Z)</f>
        <v/>
      </c>
    </row>
    <row r="74">
      <c r="B74">
        <f>Def_Tech!C218</f>
        <v/>
      </c>
      <c r="C74">
        <f>Def_Tech!D89</f>
        <v/>
      </c>
      <c r="D74">
        <f>Def_Comm!C218</f>
        <v/>
      </c>
      <c r="E74">
        <f>Def_Comm!C89</f>
        <v/>
      </c>
      <c r="F74" s="12">
        <f>_xlfn.XLOOKUP($C74,'BDG Intensity'!$F:$F,'BDG Intensity'!I:I)</f>
        <v/>
      </c>
      <c r="G74" s="12">
        <f>_xlfn.XLOOKUP($C74,'BDG Intensity'!$F:$F,'BDG Intensity'!J:J)</f>
        <v/>
      </c>
      <c r="H74" s="12">
        <f>_xlfn.XLOOKUP($C74,'BDG Intensity'!$F:$F,'BDG Intensity'!K:K)</f>
        <v/>
      </c>
      <c r="I74" s="12">
        <f>_xlfn.XLOOKUP($C74,'BDG Intensity'!$F:$F,'BDG Intensity'!L:L)</f>
        <v/>
      </c>
      <c r="J74" s="12">
        <f>_xlfn.XLOOKUP($C74,'BDG Intensity'!$F:$F,'BDG Intensity'!M:M)</f>
        <v/>
      </c>
      <c r="K74" s="12">
        <f>_xlfn.XLOOKUP($C74,'BDG Intensity'!$F:$F,'BDG Intensity'!N:N)</f>
        <v/>
      </c>
      <c r="L74" s="12">
        <f>_xlfn.XLOOKUP($C74,'BDG Intensity'!$F:$F,'BDG Intensity'!O:O)</f>
        <v/>
      </c>
      <c r="M74" s="12">
        <f>_xlfn.XLOOKUP($C74,'BDG Intensity'!$F:$F,'BDG Intensity'!P:P)</f>
        <v/>
      </c>
      <c r="N74" s="12">
        <f>_xlfn.XLOOKUP($C74,'BDG Intensity'!$F:$F,'BDG Intensity'!Q:Q)</f>
        <v/>
      </c>
      <c r="O74" s="12">
        <f>_xlfn.XLOOKUP($C74,'BDG Intensity'!$F:$F,'BDG Intensity'!R:R)</f>
        <v/>
      </c>
      <c r="P74" s="12">
        <f>_xlfn.XLOOKUP($C74,'BDG Intensity'!$F:$F,'BDG Intensity'!S:S)</f>
        <v/>
      </c>
      <c r="Q74" s="12">
        <f>_xlfn.XLOOKUP($C74,'BDG Intensity'!$F:$F,'BDG Intensity'!T:T)</f>
        <v/>
      </c>
      <c r="R74" s="12">
        <f>_xlfn.XLOOKUP($C74,'BDG Intensity'!$F:$F,'BDG Intensity'!U:U)</f>
        <v/>
      </c>
      <c r="S74" s="12">
        <f>_xlfn.XLOOKUP($C74,'BDG Intensity'!$F:$F,'BDG Intensity'!V:V)</f>
        <v/>
      </c>
      <c r="T74" s="12">
        <f>_xlfn.XLOOKUP($C74,'BDG Intensity'!$F:$F,'BDG Intensity'!W:W)</f>
        <v/>
      </c>
      <c r="U74" s="12">
        <f>_xlfn.XLOOKUP($C74,'BDG Intensity'!$F:$F,'BDG Intensity'!X:X)</f>
        <v/>
      </c>
      <c r="V74" s="12">
        <f>_xlfn.XLOOKUP($C74,'BDG Intensity'!$F:$F,'BDG Intensity'!Y:Y)</f>
        <v/>
      </c>
      <c r="W74" s="12">
        <f>_xlfn.XLOOKUP($C74,'BDG Intensity'!$F:$F,'BDG Intensity'!Z:Z)</f>
        <v/>
      </c>
    </row>
    <row r="75">
      <c r="B75">
        <f>Def_Tech!C219</f>
        <v/>
      </c>
      <c r="C75">
        <f>Def_Tech!D90</f>
        <v/>
      </c>
      <c r="D75">
        <f>Def_Comm!C219</f>
        <v/>
      </c>
      <c r="E75">
        <f>Def_Comm!C90</f>
        <v/>
      </c>
      <c r="F75" s="12">
        <f>_xlfn.XLOOKUP($C75,'BDG Intensity'!$F:$F,'BDG Intensity'!I:I)</f>
        <v/>
      </c>
      <c r="G75" s="12">
        <f>_xlfn.XLOOKUP($C75,'BDG Intensity'!$F:$F,'BDG Intensity'!J:J)</f>
        <v/>
      </c>
      <c r="H75" s="12">
        <f>_xlfn.XLOOKUP($C75,'BDG Intensity'!$F:$F,'BDG Intensity'!K:K)</f>
        <v/>
      </c>
      <c r="I75" s="12">
        <f>_xlfn.XLOOKUP($C75,'BDG Intensity'!$F:$F,'BDG Intensity'!L:L)</f>
        <v/>
      </c>
      <c r="J75" s="12">
        <f>_xlfn.XLOOKUP($C75,'BDG Intensity'!$F:$F,'BDG Intensity'!M:M)</f>
        <v/>
      </c>
      <c r="K75" s="12">
        <f>_xlfn.XLOOKUP($C75,'BDG Intensity'!$F:$F,'BDG Intensity'!N:N)</f>
        <v/>
      </c>
      <c r="L75" s="12">
        <f>_xlfn.XLOOKUP($C75,'BDG Intensity'!$F:$F,'BDG Intensity'!O:O)</f>
        <v/>
      </c>
      <c r="M75" s="12">
        <f>_xlfn.XLOOKUP($C75,'BDG Intensity'!$F:$F,'BDG Intensity'!P:P)</f>
        <v/>
      </c>
      <c r="N75" s="12">
        <f>_xlfn.XLOOKUP($C75,'BDG Intensity'!$F:$F,'BDG Intensity'!Q:Q)</f>
        <v/>
      </c>
      <c r="O75" s="12">
        <f>_xlfn.XLOOKUP($C75,'BDG Intensity'!$F:$F,'BDG Intensity'!R:R)</f>
        <v/>
      </c>
      <c r="P75" s="12">
        <f>_xlfn.XLOOKUP($C75,'BDG Intensity'!$F:$F,'BDG Intensity'!S:S)</f>
        <v/>
      </c>
      <c r="Q75" s="12">
        <f>_xlfn.XLOOKUP($C75,'BDG Intensity'!$F:$F,'BDG Intensity'!T:T)</f>
        <v/>
      </c>
      <c r="R75" s="12">
        <f>_xlfn.XLOOKUP($C75,'BDG Intensity'!$F:$F,'BDG Intensity'!U:U)</f>
        <v/>
      </c>
      <c r="S75" s="12">
        <f>_xlfn.XLOOKUP($C75,'BDG Intensity'!$F:$F,'BDG Intensity'!V:V)</f>
        <v/>
      </c>
      <c r="T75" s="12">
        <f>_xlfn.XLOOKUP($C75,'BDG Intensity'!$F:$F,'BDG Intensity'!W:W)</f>
        <v/>
      </c>
      <c r="U75" s="12">
        <f>_xlfn.XLOOKUP($C75,'BDG Intensity'!$F:$F,'BDG Intensity'!X:X)</f>
        <v/>
      </c>
      <c r="V75" s="12">
        <f>_xlfn.XLOOKUP($C75,'BDG Intensity'!$F:$F,'BDG Intensity'!Y:Y)</f>
        <v/>
      </c>
      <c r="W75" s="12">
        <f>_xlfn.XLOOKUP($C75,'BDG Intensity'!$F:$F,'BDG Intensity'!Z:Z)</f>
        <v/>
      </c>
    </row>
    <row r="76">
      <c r="B76">
        <f>Def_Tech!C220</f>
        <v/>
      </c>
      <c r="C76">
        <f>Def_Tech!D91</f>
        <v/>
      </c>
      <c r="D76">
        <f>Def_Comm!C220</f>
        <v/>
      </c>
      <c r="E76">
        <f>Def_Comm!C91</f>
        <v/>
      </c>
      <c r="F76" s="12">
        <f>_xlfn.XLOOKUP($C76,'BDG Intensity'!$F:$F,'BDG Intensity'!I:I)</f>
        <v/>
      </c>
      <c r="G76" s="12">
        <f>_xlfn.XLOOKUP($C76,'BDG Intensity'!$F:$F,'BDG Intensity'!J:J)</f>
        <v/>
      </c>
      <c r="H76" s="12">
        <f>_xlfn.XLOOKUP($C76,'BDG Intensity'!$F:$F,'BDG Intensity'!K:K)</f>
        <v/>
      </c>
      <c r="I76" s="12">
        <f>_xlfn.XLOOKUP($C76,'BDG Intensity'!$F:$F,'BDG Intensity'!L:L)</f>
        <v/>
      </c>
      <c r="J76" s="12">
        <f>_xlfn.XLOOKUP($C76,'BDG Intensity'!$F:$F,'BDG Intensity'!M:M)</f>
        <v/>
      </c>
      <c r="K76" s="12">
        <f>_xlfn.XLOOKUP($C76,'BDG Intensity'!$F:$F,'BDG Intensity'!N:N)</f>
        <v/>
      </c>
      <c r="L76" s="12">
        <f>_xlfn.XLOOKUP($C76,'BDG Intensity'!$F:$F,'BDG Intensity'!O:O)</f>
        <v/>
      </c>
      <c r="M76" s="12">
        <f>_xlfn.XLOOKUP($C76,'BDG Intensity'!$F:$F,'BDG Intensity'!P:P)</f>
        <v/>
      </c>
      <c r="N76" s="12">
        <f>_xlfn.XLOOKUP($C76,'BDG Intensity'!$F:$F,'BDG Intensity'!Q:Q)</f>
        <v/>
      </c>
      <c r="O76" s="12">
        <f>_xlfn.XLOOKUP($C76,'BDG Intensity'!$F:$F,'BDG Intensity'!R:R)</f>
        <v/>
      </c>
      <c r="P76" s="12">
        <f>_xlfn.XLOOKUP($C76,'BDG Intensity'!$F:$F,'BDG Intensity'!S:S)</f>
        <v/>
      </c>
      <c r="Q76" s="12">
        <f>_xlfn.XLOOKUP($C76,'BDG Intensity'!$F:$F,'BDG Intensity'!T:T)</f>
        <v/>
      </c>
      <c r="R76" s="12">
        <f>_xlfn.XLOOKUP($C76,'BDG Intensity'!$F:$F,'BDG Intensity'!U:U)</f>
        <v/>
      </c>
      <c r="S76" s="12">
        <f>_xlfn.XLOOKUP($C76,'BDG Intensity'!$F:$F,'BDG Intensity'!V:V)</f>
        <v/>
      </c>
      <c r="T76" s="12">
        <f>_xlfn.XLOOKUP($C76,'BDG Intensity'!$F:$F,'BDG Intensity'!W:W)</f>
        <v/>
      </c>
      <c r="U76" s="12">
        <f>_xlfn.XLOOKUP($C76,'BDG Intensity'!$F:$F,'BDG Intensity'!X:X)</f>
        <v/>
      </c>
      <c r="V76" s="12">
        <f>_xlfn.XLOOKUP($C76,'BDG Intensity'!$F:$F,'BDG Intensity'!Y:Y)</f>
        <v/>
      </c>
      <c r="W76" s="12">
        <f>_xlfn.XLOOKUP($C76,'BDG Intensity'!$F:$F,'BDG Intensity'!Z:Z)</f>
        <v/>
      </c>
    </row>
    <row r="77">
      <c r="B77">
        <f>Def_Tech!C221</f>
        <v/>
      </c>
      <c r="C77">
        <f>Def_Tech!D92</f>
        <v/>
      </c>
      <c r="D77">
        <f>Def_Comm!C221</f>
        <v/>
      </c>
      <c r="E77">
        <f>Def_Comm!C92</f>
        <v/>
      </c>
      <c r="F77" s="12">
        <f>_xlfn.XLOOKUP($C77,'BDG Intensity'!$F:$F,'BDG Intensity'!I:I)</f>
        <v/>
      </c>
      <c r="G77" s="12">
        <f>_xlfn.XLOOKUP($C77,'BDG Intensity'!$F:$F,'BDG Intensity'!J:J)</f>
        <v/>
      </c>
      <c r="H77" s="12">
        <f>_xlfn.XLOOKUP($C77,'BDG Intensity'!$F:$F,'BDG Intensity'!K:K)</f>
        <v/>
      </c>
      <c r="I77" s="12">
        <f>_xlfn.XLOOKUP($C77,'BDG Intensity'!$F:$F,'BDG Intensity'!L:L)</f>
        <v/>
      </c>
      <c r="J77" s="12">
        <f>_xlfn.XLOOKUP($C77,'BDG Intensity'!$F:$F,'BDG Intensity'!M:M)</f>
        <v/>
      </c>
      <c r="K77" s="12">
        <f>_xlfn.XLOOKUP($C77,'BDG Intensity'!$F:$F,'BDG Intensity'!N:N)</f>
        <v/>
      </c>
      <c r="L77" s="12">
        <f>_xlfn.XLOOKUP($C77,'BDG Intensity'!$F:$F,'BDG Intensity'!O:O)</f>
        <v/>
      </c>
      <c r="M77" s="12">
        <f>_xlfn.XLOOKUP($C77,'BDG Intensity'!$F:$F,'BDG Intensity'!P:P)</f>
        <v/>
      </c>
      <c r="N77" s="12">
        <f>_xlfn.XLOOKUP($C77,'BDG Intensity'!$F:$F,'BDG Intensity'!Q:Q)</f>
        <v/>
      </c>
      <c r="O77" s="12">
        <f>_xlfn.XLOOKUP($C77,'BDG Intensity'!$F:$F,'BDG Intensity'!R:R)</f>
        <v/>
      </c>
      <c r="P77" s="12">
        <f>_xlfn.XLOOKUP($C77,'BDG Intensity'!$F:$F,'BDG Intensity'!S:S)</f>
        <v/>
      </c>
      <c r="Q77" s="12">
        <f>_xlfn.XLOOKUP($C77,'BDG Intensity'!$F:$F,'BDG Intensity'!T:T)</f>
        <v/>
      </c>
      <c r="R77" s="12">
        <f>_xlfn.XLOOKUP($C77,'BDG Intensity'!$F:$F,'BDG Intensity'!U:U)</f>
        <v/>
      </c>
      <c r="S77" s="12">
        <f>_xlfn.XLOOKUP($C77,'BDG Intensity'!$F:$F,'BDG Intensity'!V:V)</f>
        <v/>
      </c>
      <c r="T77" s="12">
        <f>_xlfn.XLOOKUP($C77,'BDG Intensity'!$F:$F,'BDG Intensity'!W:W)</f>
        <v/>
      </c>
      <c r="U77" s="12">
        <f>_xlfn.XLOOKUP($C77,'BDG Intensity'!$F:$F,'BDG Intensity'!X:X)</f>
        <v/>
      </c>
      <c r="V77" s="12">
        <f>_xlfn.XLOOKUP($C77,'BDG Intensity'!$F:$F,'BDG Intensity'!Y:Y)</f>
        <v/>
      </c>
      <c r="W77" s="12">
        <f>_xlfn.XLOOKUP($C77,'BDG Intensity'!$F:$F,'BDG Intensity'!Z:Z)</f>
        <v/>
      </c>
    </row>
    <row r="78">
      <c r="B78">
        <f>Def_Tech!C222</f>
        <v/>
      </c>
      <c r="C78">
        <f>Def_Tech!D93</f>
        <v/>
      </c>
      <c r="D78">
        <f>Def_Comm!C222</f>
        <v/>
      </c>
      <c r="E78">
        <f>Def_Comm!C93</f>
        <v/>
      </c>
      <c r="F78" s="12">
        <f>_xlfn.XLOOKUP($C78,'BDG Intensity'!$F:$F,'BDG Intensity'!I:I)</f>
        <v/>
      </c>
      <c r="G78" s="12">
        <f>_xlfn.XLOOKUP($C78,'BDG Intensity'!$F:$F,'BDG Intensity'!J:J)</f>
        <v/>
      </c>
      <c r="H78" s="12">
        <f>_xlfn.XLOOKUP($C78,'BDG Intensity'!$F:$F,'BDG Intensity'!K:K)</f>
        <v/>
      </c>
      <c r="I78" s="12">
        <f>_xlfn.XLOOKUP($C78,'BDG Intensity'!$F:$F,'BDG Intensity'!L:L)</f>
        <v/>
      </c>
      <c r="J78" s="12">
        <f>_xlfn.XLOOKUP($C78,'BDG Intensity'!$F:$F,'BDG Intensity'!M:M)</f>
        <v/>
      </c>
      <c r="K78" s="12">
        <f>_xlfn.XLOOKUP($C78,'BDG Intensity'!$F:$F,'BDG Intensity'!N:N)</f>
        <v/>
      </c>
      <c r="L78" s="12">
        <f>_xlfn.XLOOKUP($C78,'BDG Intensity'!$F:$F,'BDG Intensity'!O:O)</f>
        <v/>
      </c>
      <c r="M78" s="12">
        <f>_xlfn.XLOOKUP($C78,'BDG Intensity'!$F:$F,'BDG Intensity'!P:P)</f>
        <v/>
      </c>
      <c r="N78" s="12">
        <f>_xlfn.XLOOKUP($C78,'BDG Intensity'!$F:$F,'BDG Intensity'!Q:Q)</f>
        <v/>
      </c>
      <c r="O78" s="12">
        <f>_xlfn.XLOOKUP($C78,'BDG Intensity'!$F:$F,'BDG Intensity'!R:R)</f>
        <v/>
      </c>
      <c r="P78" s="12">
        <f>_xlfn.XLOOKUP($C78,'BDG Intensity'!$F:$F,'BDG Intensity'!S:S)</f>
        <v/>
      </c>
      <c r="Q78" s="12">
        <f>_xlfn.XLOOKUP($C78,'BDG Intensity'!$F:$F,'BDG Intensity'!T:T)</f>
        <v/>
      </c>
      <c r="R78" s="12">
        <f>_xlfn.XLOOKUP($C78,'BDG Intensity'!$F:$F,'BDG Intensity'!U:U)</f>
        <v/>
      </c>
      <c r="S78" s="12">
        <f>_xlfn.XLOOKUP($C78,'BDG Intensity'!$F:$F,'BDG Intensity'!V:V)</f>
        <v/>
      </c>
      <c r="T78" s="12">
        <f>_xlfn.XLOOKUP($C78,'BDG Intensity'!$F:$F,'BDG Intensity'!W:W)</f>
        <v/>
      </c>
      <c r="U78" s="12">
        <f>_xlfn.XLOOKUP($C78,'BDG Intensity'!$F:$F,'BDG Intensity'!X:X)</f>
        <v/>
      </c>
      <c r="V78" s="12">
        <f>_xlfn.XLOOKUP($C78,'BDG Intensity'!$F:$F,'BDG Intensity'!Y:Y)</f>
        <v/>
      </c>
      <c r="W78" s="12">
        <f>_xlfn.XLOOKUP($C78,'BDG Intensity'!$F:$F,'BDG Intensity'!Z:Z)</f>
        <v/>
      </c>
    </row>
    <row r="79">
      <c r="B79">
        <f>Def_Tech!C223</f>
        <v/>
      </c>
      <c r="C79">
        <f>Def_Tech!D94</f>
        <v/>
      </c>
      <c r="D79">
        <f>Def_Comm!C223</f>
        <v/>
      </c>
      <c r="E79">
        <f>Def_Comm!C94</f>
        <v/>
      </c>
      <c r="F79" s="12">
        <f>_xlfn.XLOOKUP($C79,'BDG Intensity'!$F:$F,'BDG Intensity'!I:I)</f>
        <v/>
      </c>
      <c r="G79" s="12">
        <f>_xlfn.XLOOKUP($C79,'BDG Intensity'!$F:$F,'BDG Intensity'!J:J)</f>
        <v/>
      </c>
      <c r="H79" s="12">
        <f>_xlfn.XLOOKUP($C79,'BDG Intensity'!$F:$F,'BDG Intensity'!K:K)</f>
        <v/>
      </c>
      <c r="I79" s="12">
        <f>_xlfn.XLOOKUP($C79,'BDG Intensity'!$F:$F,'BDG Intensity'!L:L)</f>
        <v/>
      </c>
      <c r="J79" s="12">
        <f>_xlfn.XLOOKUP($C79,'BDG Intensity'!$F:$F,'BDG Intensity'!M:M)</f>
        <v/>
      </c>
      <c r="K79" s="12">
        <f>_xlfn.XLOOKUP($C79,'BDG Intensity'!$F:$F,'BDG Intensity'!N:N)</f>
        <v/>
      </c>
      <c r="L79" s="12">
        <f>_xlfn.XLOOKUP($C79,'BDG Intensity'!$F:$F,'BDG Intensity'!O:O)</f>
        <v/>
      </c>
      <c r="M79" s="12">
        <f>_xlfn.XLOOKUP($C79,'BDG Intensity'!$F:$F,'BDG Intensity'!P:P)</f>
        <v/>
      </c>
      <c r="N79" s="12">
        <f>_xlfn.XLOOKUP($C79,'BDG Intensity'!$F:$F,'BDG Intensity'!Q:Q)</f>
        <v/>
      </c>
      <c r="O79" s="12">
        <f>_xlfn.XLOOKUP($C79,'BDG Intensity'!$F:$F,'BDG Intensity'!R:R)</f>
        <v/>
      </c>
      <c r="P79" s="12">
        <f>_xlfn.XLOOKUP($C79,'BDG Intensity'!$F:$F,'BDG Intensity'!S:S)</f>
        <v/>
      </c>
      <c r="Q79" s="12">
        <f>_xlfn.XLOOKUP($C79,'BDG Intensity'!$F:$F,'BDG Intensity'!T:T)</f>
        <v/>
      </c>
      <c r="R79" s="12">
        <f>_xlfn.XLOOKUP($C79,'BDG Intensity'!$F:$F,'BDG Intensity'!U:U)</f>
        <v/>
      </c>
      <c r="S79" s="12">
        <f>_xlfn.XLOOKUP($C79,'BDG Intensity'!$F:$F,'BDG Intensity'!V:V)</f>
        <v/>
      </c>
      <c r="T79" s="12">
        <f>_xlfn.XLOOKUP($C79,'BDG Intensity'!$F:$F,'BDG Intensity'!W:W)</f>
        <v/>
      </c>
      <c r="U79" s="12">
        <f>_xlfn.XLOOKUP($C79,'BDG Intensity'!$F:$F,'BDG Intensity'!X:X)</f>
        <v/>
      </c>
      <c r="V79" s="12">
        <f>_xlfn.XLOOKUP($C79,'BDG Intensity'!$F:$F,'BDG Intensity'!Y:Y)</f>
        <v/>
      </c>
      <c r="W79" s="12">
        <f>_xlfn.XLOOKUP($C79,'BDG Intensity'!$F:$F,'BDG Intensity'!Z:Z)</f>
        <v/>
      </c>
    </row>
    <row r="80">
      <c r="B80">
        <f>Def_Tech!C224</f>
        <v/>
      </c>
      <c r="C80">
        <f>Def_Tech!D95</f>
        <v/>
      </c>
      <c r="D80">
        <f>Def_Comm!C224</f>
        <v/>
      </c>
      <c r="E80">
        <f>Def_Comm!C95</f>
        <v/>
      </c>
      <c r="F80" s="12">
        <f>_xlfn.XLOOKUP($C80,'BDG Intensity'!$F:$F,'BDG Intensity'!I:I)</f>
        <v/>
      </c>
      <c r="G80" s="12">
        <f>_xlfn.XLOOKUP($C80,'BDG Intensity'!$F:$F,'BDG Intensity'!J:J)</f>
        <v/>
      </c>
      <c r="H80" s="12">
        <f>_xlfn.XLOOKUP($C80,'BDG Intensity'!$F:$F,'BDG Intensity'!K:K)</f>
        <v/>
      </c>
      <c r="I80" s="12">
        <f>_xlfn.XLOOKUP($C80,'BDG Intensity'!$F:$F,'BDG Intensity'!L:L)</f>
        <v/>
      </c>
      <c r="J80" s="12">
        <f>_xlfn.XLOOKUP($C80,'BDG Intensity'!$F:$F,'BDG Intensity'!M:M)</f>
        <v/>
      </c>
      <c r="K80" s="12">
        <f>_xlfn.XLOOKUP($C80,'BDG Intensity'!$F:$F,'BDG Intensity'!N:N)</f>
        <v/>
      </c>
      <c r="L80" s="12">
        <f>_xlfn.XLOOKUP($C80,'BDG Intensity'!$F:$F,'BDG Intensity'!O:O)</f>
        <v/>
      </c>
      <c r="M80" s="12">
        <f>_xlfn.XLOOKUP($C80,'BDG Intensity'!$F:$F,'BDG Intensity'!P:P)</f>
        <v/>
      </c>
      <c r="N80" s="12">
        <f>_xlfn.XLOOKUP($C80,'BDG Intensity'!$F:$F,'BDG Intensity'!Q:Q)</f>
        <v/>
      </c>
      <c r="O80" s="12">
        <f>_xlfn.XLOOKUP($C80,'BDG Intensity'!$F:$F,'BDG Intensity'!R:R)</f>
        <v/>
      </c>
      <c r="P80" s="12">
        <f>_xlfn.XLOOKUP($C80,'BDG Intensity'!$F:$F,'BDG Intensity'!S:S)</f>
        <v/>
      </c>
      <c r="Q80" s="12">
        <f>_xlfn.XLOOKUP($C80,'BDG Intensity'!$F:$F,'BDG Intensity'!T:T)</f>
        <v/>
      </c>
      <c r="R80" s="12">
        <f>_xlfn.XLOOKUP($C80,'BDG Intensity'!$F:$F,'BDG Intensity'!U:U)</f>
        <v/>
      </c>
      <c r="S80" s="12">
        <f>_xlfn.XLOOKUP($C80,'BDG Intensity'!$F:$F,'BDG Intensity'!V:V)</f>
        <v/>
      </c>
      <c r="T80" s="12">
        <f>_xlfn.XLOOKUP($C80,'BDG Intensity'!$F:$F,'BDG Intensity'!W:W)</f>
        <v/>
      </c>
      <c r="U80" s="12">
        <f>_xlfn.XLOOKUP($C80,'BDG Intensity'!$F:$F,'BDG Intensity'!X:X)</f>
        <v/>
      </c>
      <c r="V80" s="12">
        <f>_xlfn.XLOOKUP($C80,'BDG Intensity'!$F:$F,'BDG Intensity'!Y:Y)</f>
        <v/>
      </c>
      <c r="W80" s="12">
        <f>_xlfn.XLOOKUP($C80,'BDG Intensity'!$F:$F,'BDG Intensity'!Z:Z)</f>
        <v/>
      </c>
    </row>
    <row r="81">
      <c r="B81">
        <f>Def_Tech!C225</f>
        <v/>
      </c>
      <c r="C81">
        <f>Def_Tech!D96</f>
        <v/>
      </c>
      <c r="D81">
        <f>Def_Comm!C225</f>
        <v/>
      </c>
      <c r="E81">
        <f>Def_Comm!C96</f>
        <v/>
      </c>
      <c r="F81" s="12">
        <f>_xlfn.XLOOKUP($C81,'BDG Intensity'!$F:$F,'BDG Intensity'!I:I)</f>
        <v/>
      </c>
      <c r="G81" s="12">
        <f>_xlfn.XLOOKUP($C81,'BDG Intensity'!$F:$F,'BDG Intensity'!J:J)</f>
        <v/>
      </c>
      <c r="H81" s="12">
        <f>_xlfn.XLOOKUP($C81,'BDG Intensity'!$F:$F,'BDG Intensity'!K:K)</f>
        <v/>
      </c>
      <c r="I81" s="12">
        <f>_xlfn.XLOOKUP($C81,'BDG Intensity'!$F:$F,'BDG Intensity'!L:L)</f>
        <v/>
      </c>
      <c r="J81" s="12">
        <f>_xlfn.XLOOKUP($C81,'BDG Intensity'!$F:$F,'BDG Intensity'!M:M)</f>
        <v/>
      </c>
      <c r="K81" s="12">
        <f>_xlfn.XLOOKUP($C81,'BDG Intensity'!$F:$F,'BDG Intensity'!N:N)</f>
        <v/>
      </c>
      <c r="L81" s="12">
        <f>_xlfn.XLOOKUP($C81,'BDG Intensity'!$F:$F,'BDG Intensity'!O:O)</f>
        <v/>
      </c>
      <c r="M81" s="12">
        <f>_xlfn.XLOOKUP($C81,'BDG Intensity'!$F:$F,'BDG Intensity'!P:P)</f>
        <v/>
      </c>
      <c r="N81" s="12">
        <f>_xlfn.XLOOKUP($C81,'BDG Intensity'!$F:$F,'BDG Intensity'!Q:Q)</f>
        <v/>
      </c>
      <c r="O81" s="12">
        <f>_xlfn.XLOOKUP($C81,'BDG Intensity'!$F:$F,'BDG Intensity'!R:R)</f>
        <v/>
      </c>
      <c r="P81" s="12">
        <f>_xlfn.XLOOKUP($C81,'BDG Intensity'!$F:$F,'BDG Intensity'!S:S)</f>
        <v/>
      </c>
      <c r="Q81" s="12">
        <f>_xlfn.XLOOKUP($C81,'BDG Intensity'!$F:$F,'BDG Intensity'!T:T)</f>
        <v/>
      </c>
      <c r="R81" s="12">
        <f>_xlfn.XLOOKUP($C81,'BDG Intensity'!$F:$F,'BDG Intensity'!U:U)</f>
        <v/>
      </c>
      <c r="S81" s="12">
        <f>_xlfn.XLOOKUP($C81,'BDG Intensity'!$F:$F,'BDG Intensity'!V:V)</f>
        <v/>
      </c>
      <c r="T81" s="12">
        <f>_xlfn.XLOOKUP($C81,'BDG Intensity'!$F:$F,'BDG Intensity'!W:W)</f>
        <v/>
      </c>
      <c r="U81" s="12">
        <f>_xlfn.XLOOKUP($C81,'BDG Intensity'!$F:$F,'BDG Intensity'!X:X)</f>
        <v/>
      </c>
      <c r="V81" s="12">
        <f>_xlfn.XLOOKUP($C81,'BDG Intensity'!$F:$F,'BDG Intensity'!Y:Y)</f>
        <v/>
      </c>
      <c r="W81" s="12">
        <f>_xlfn.XLOOKUP($C81,'BDG Intensity'!$F:$F,'BDG Intensity'!Z:Z)</f>
        <v/>
      </c>
    </row>
    <row r="82">
      <c r="B82">
        <f>Def_Tech!C226</f>
        <v/>
      </c>
      <c r="C82">
        <f>Def_Tech!D97</f>
        <v/>
      </c>
      <c r="D82">
        <f>Def_Comm!C226</f>
        <v/>
      </c>
      <c r="E82">
        <f>Def_Comm!C97</f>
        <v/>
      </c>
      <c r="F82" s="12">
        <f>_xlfn.XLOOKUP($C82,'BDG Intensity'!$F:$F,'BDG Intensity'!I:I)</f>
        <v/>
      </c>
      <c r="G82" s="12">
        <f>_xlfn.XLOOKUP($C82,'BDG Intensity'!$F:$F,'BDG Intensity'!J:J)</f>
        <v/>
      </c>
      <c r="H82" s="12">
        <f>_xlfn.XLOOKUP($C82,'BDG Intensity'!$F:$F,'BDG Intensity'!K:K)</f>
        <v/>
      </c>
      <c r="I82" s="12">
        <f>_xlfn.XLOOKUP($C82,'BDG Intensity'!$F:$F,'BDG Intensity'!L:L)</f>
        <v/>
      </c>
      <c r="J82" s="12">
        <f>_xlfn.XLOOKUP($C82,'BDG Intensity'!$F:$F,'BDG Intensity'!M:M)</f>
        <v/>
      </c>
      <c r="K82" s="12">
        <f>_xlfn.XLOOKUP($C82,'BDG Intensity'!$F:$F,'BDG Intensity'!N:N)</f>
        <v/>
      </c>
      <c r="L82" s="12">
        <f>_xlfn.XLOOKUP($C82,'BDG Intensity'!$F:$F,'BDG Intensity'!O:O)</f>
        <v/>
      </c>
      <c r="M82" s="12">
        <f>_xlfn.XLOOKUP($C82,'BDG Intensity'!$F:$F,'BDG Intensity'!P:P)</f>
        <v/>
      </c>
      <c r="N82" s="12">
        <f>_xlfn.XLOOKUP($C82,'BDG Intensity'!$F:$F,'BDG Intensity'!Q:Q)</f>
        <v/>
      </c>
      <c r="O82" s="12">
        <f>_xlfn.XLOOKUP($C82,'BDG Intensity'!$F:$F,'BDG Intensity'!R:R)</f>
        <v/>
      </c>
      <c r="P82" s="12">
        <f>_xlfn.XLOOKUP($C82,'BDG Intensity'!$F:$F,'BDG Intensity'!S:S)</f>
        <v/>
      </c>
      <c r="Q82" s="12">
        <f>_xlfn.XLOOKUP($C82,'BDG Intensity'!$F:$F,'BDG Intensity'!T:T)</f>
        <v/>
      </c>
      <c r="R82" s="12">
        <f>_xlfn.XLOOKUP($C82,'BDG Intensity'!$F:$F,'BDG Intensity'!U:U)</f>
        <v/>
      </c>
      <c r="S82" s="12">
        <f>_xlfn.XLOOKUP($C82,'BDG Intensity'!$F:$F,'BDG Intensity'!V:V)</f>
        <v/>
      </c>
      <c r="T82" s="12">
        <f>_xlfn.XLOOKUP($C82,'BDG Intensity'!$F:$F,'BDG Intensity'!W:W)</f>
        <v/>
      </c>
      <c r="U82" s="12">
        <f>_xlfn.XLOOKUP($C82,'BDG Intensity'!$F:$F,'BDG Intensity'!X:X)</f>
        <v/>
      </c>
      <c r="V82" s="12">
        <f>_xlfn.XLOOKUP($C82,'BDG Intensity'!$F:$F,'BDG Intensity'!Y:Y)</f>
        <v/>
      </c>
      <c r="W82" s="12">
        <f>_xlfn.XLOOKUP($C82,'BDG Intensity'!$F:$F,'BDG Intensity'!Z:Z)</f>
        <v/>
      </c>
    </row>
    <row r="83">
      <c r="B83">
        <f>Def_Tech!C227</f>
        <v/>
      </c>
      <c r="C83">
        <f>Def_Tech!D98</f>
        <v/>
      </c>
      <c r="D83">
        <f>Def_Comm!C227</f>
        <v/>
      </c>
      <c r="E83">
        <f>Def_Comm!C98</f>
        <v/>
      </c>
      <c r="F83" s="12">
        <f>_xlfn.XLOOKUP($C83,'BDG Intensity'!$F:$F,'BDG Intensity'!I:I)</f>
        <v/>
      </c>
      <c r="G83" s="12">
        <f>_xlfn.XLOOKUP($C83,'BDG Intensity'!$F:$F,'BDG Intensity'!J:J)</f>
        <v/>
      </c>
      <c r="H83" s="12">
        <f>_xlfn.XLOOKUP($C83,'BDG Intensity'!$F:$F,'BDG Intensity'!K:K)</f>
        <v/>
      </c>
      <c r="I83" s="12">
        <f>_xlfn.XLOOKUP($C83,'BDG Intensity'!$F:$F,'BDG Intensity'!L:L)</f>
        <v/>
      </c>
      <c r="J83" s="12">
        <f>_xlfn.XLOOKUP($C83,'BDG Intensity'!$F:$F,'BDG Intensity'!M:M)</f>
        <v/>
      </c>
      <c r="K83" s="12">
        <f>_xlfn.XLOOKUP($C83,'BDG Intensity'!$F:$F,'BDG Intensity'!N:N)</f>
        <v/>
      </c>
      <c r="L83" s="12">
        <f>_xlfn.XLOOKUP($C83,'BDG Intensity'!$F:$F,'BDG Intensity'!O:O)</f>
        <v/>
      </c>
      <c r="M83" s="12">
        <f>_xlfn.XLOOKUP($C83,'BDG Intensity'!$F:$F,'BDG Intensity'!P:P)</f>
        <v/>
      </c>
      <c r="N83" s="12">
        <f>_xlfn.XLOOKUP($C83,'BDG Intensity'!$F:$F,'BDG Intensity'!Q:Q)</f>
        <v/>
      </c>
      <c r="O83" s="12">
        <f>_xlfn.XLOOKUP($C83,'BDG Intensity'!$F:$F,'BDG Intensity'!R:R)</f>
        <v/>
      </c>
      <c r="P83" s="12">
        <f>_xlfn.XLOOKUP($C83,'BDG Intensity'!$F:$F,'BDG Intensity'!S:S)</f>
        <v/>
      </c>
      <c r="Q83" s="12">
        <f>_xlfn.XLOOKUP($C83,'BDG Intensity'!$F:$F,'BDG Intensity'!T:T)</f>
        <v/>
      </c>
      <c r="R83" s="12">
        <f>_xlfn.XLOOKUP($C83,'BDG Intensity'!$F:$F,'BDG Intensity'!U:U)</f>
        <v/>
      </c>
      <c r="S83" s="12">
        <f>_xlfn.XLOOKUP($C83,'BDG Intensity'!$F:$F,'BDG Intensity'!V:V)</f>
        <v/>
      </c>
      <c r="T83" s="12">
        <f>_xlfn.XLOOKUP($C83,'BDG Intensity'!$F:$F,'BDG Intensity'!W:W)</f>
        <v/>
      </c>
      <c r="U83" s="12">
        <f>_xlfn.XLOOKUP($C83,'BDG Intensity'!$F:$F,'BDG Intensity'!X:X)</f>
        <v/>
      </c>
      <c r="V83" s="12">
        <f>_xlfn.XLOOKUP($C83,'BDG Intensity'!$F:$F,'BDG Intensity'!Y:Y)</f>
        <v/>
      </c>
      <c r="W83" s="12">
        <f>_xlfn.XLOOKUP($C83,'BDG Intensity'!$F:$F,'BDG Intensity'!Z:Z)</f>
        <v/>
      </c>
    </row>
    <row r="84">
      <c r="B84">
        <f>Def_Tech!C228</f>
        <v/>
      </c>
      <c r="C84">
        <f>Def_Tech!D99</f>
        <v/>
      </c>
      <c r="D84">
        <f>Def_Comm!C228</f>
        <v/>
      </c>
      <c r="E84">
        <f>Def_Comm!C99</f>
        <v/>
      </c>
      <c r="F84" s="12">
        <f>_xlfn.XLOOKUP($C84,'BDG Intensity'!$F:$F,'BDG Intensity'!I:I)</f>
        <v/>
      </c>
      <c r="G84" s="12">
        <f>_xlfn.XLOOKUP($C84,'BDG Intensity'!$F:$F,'BDG Intensity'!J:J)</f>
        <v/>
      </c>
      <c r="H84" s="12">
        <f>_xlfn.XLOOKUP($C84,'BDG Intensity'!$F:$F,'BDG Intensity'!K:K)</f>
        <v/>
      </c>
      <c r="I84" s="12">
        <f>_xlfn.XLOOKUP($C84,'BDG Intensity'!$F:$F,'BDG Intensity'!L:L)</f>
        <v/>
      </c>
      <c r="J84" s="12">
        <f>_xlfn.XLOOKUP($C84,'BDG Intensity'!$F:$F,'BDG Intensity'!M:M)</f>
        <v/>
      </c>
      <c r="K84" s="12">
        <f>_xlfn.XLOOKUP($C84,'BDG Intensity'!$F:$F,'BDG Intensity'!N:N)</f>
        <v/>
      </c>
      <c r="L84" s="12">
        <f>_xlfn.XLOOKUP($C84,'BDG Intensity'!$F:$F,'BDG Intensity'!O:O)</f>
        <v/>
      </c>
      <c r="M84" s="12">
        <f>_xlfn.XLOOKUP($C84,'BDG Intensity'!$F:$F,'BDG Intensity'!P:P)</f>
        <v/>
      </c>
      <c r="N84" s="12">
        <f>_xlfn.XLOOKUP($C84,'BDG Intensity'!$F:$F,'BDG Intensity'!Q:Q)</f>
        <v/>
      </c>
      <c r="O84" s="12">
        <f>_xlfn.XLOOKUP($C84,'BDG Intensity'!$F:$F,'BDG Intensity'!R:R)</f>
        <v/>
      </c>
      <c r="P84" s="12">
        <f>_xlfn.XLOOKUP($C84,'BDG Intensity'!$F:$F,'BDG Intensity'!S:S)</f>
        <v/>
      </c>
      <c r="Q84" s="12">
        <f>_xlfn.XLOOKUP($C84,'BDG Intensity'!$F:$F,'BDG Intensity'!T:T)</f>
        <v/>
      </c>
      <c r="R84" s="12">
        <f>_xlfn.XLOOKUP($C84,'BDG Intensity'!$F:$F,'BDG Intensity'!U:U)</f>
        <v/>
      </c>
      <c r="S84" s="12">
        <f>_xlfn.XLOOKUP($C84,'BDG Intensity'!$F:$F,'BDG Intensity'!V:V)</f>
        <v/>
      </c>
      <c r="T84" s="12">
        <f>_xlfn.XLOOKUP($C84,'BDG Intensity'!$F:$F,'BDG Intensity'!W:W)</f>
        <v/>
      </c>
      <c r="U84" s="12">
        <f>_xlfn.XLOOKUP($C84,'BDG Intensity'!$F:$F,'BDG Intensity'!X:X)</f>
        <v/>
      </c>
      <c r="V84" s="12">
        <f>_xlfn.XLOOKUP($C84,'BDG Intensity'!$F:$F,'BDG Intensity'!Y:Y)</f>
        <v/>
      </c>
      <c r="W84" s="12">
        <f>_xlfn.XLOOKUP($C84,'BDG Intensity'!$F:$F,'BDG Intensity'!Z:Z)</f>
        <v/>
      </c>
    </row>
    <row r="85">
      <c r="B85">
        <f>Def_Tech!C229</f>
        <v/>
      </c>
      <c r="C85">
        <f>Def_Tech!D100</f>
        <v/>
      </c>
      <c r="D85">
        <f>Def_Comm!C229</f>
        <v/>
      </c>
      <c r="E85">
        <f>Def_Comm!C100</f>
        <v/>
      </c>
      <c r="F85" s="12">
        <f>_xlfn.XLOOKUP($C85,'BDG Intensity'!$F:$F,'BDG Intensity'!I:I)</f>
        <v/>
      </c>
      <c r="G85" s="12">
        <f>_xlfn.XLOOKUP($C85,'BDG Intensity'!$F:$F,'BDG Intensity'!J:J)</f>
        <v/>
      </c>
      <c r="H85" s="12">
        <f>_xlfn.XLOOKUP($C85,'BDG Intensity'!$F:$F,'BDG Intensity'!K:K)</f>
        <v/>
      </c>
      <c r="I85" s="12">
        <f>_xlfn.XLOOKUP($C85,'BDG Intensity'!$F:$F,'BDG Intensity'!L:L)</f>
        <v/>
      </c>
      <c r="J85" s="12">
        <f>_xlfn.XLOOKUP($C85,'BDG Intensity'!$F:$F,'BDG Intensity'!M:M)</f>
        <v/>
      </c>
      <c r="K85" s="12">
        <f>_xlfn.XLOOKUP($C85,'BDG Intensity'!$F:$F,'BDG Intensity'!N:N)</f>
        <v/>
      </c>
      <c r="L85" s="12">
        <f>_xlfn.XLOOKUP($C85,'BDG Intensity'!$F:$F,'BDG Intensity'!O:O)</f>
        <v/>
      </c>
      <c r="M85" s="12">
        <f>_xlfn.XLOOKUP($C85,'BDG Intensity'!$F:$F,'BDG Intensity'!P:P)</f>
        <v/>
      </c>
      <c r="N85" s="12">
        <f>_xlfn.XLOOKUP($C85,'BDG Intensity'!$F:$F,'BDG Intensity'!Q:Q)</f>
        <v/>
      </c>
      <c r="O85" s="12">
        <f>_xlfn.XLOOKUP($C85,'BDG Intensity'!$F:$F,'BDG Intensity'!R:R)</f>
        <v/>
      </c>
      <c r="P85" s="12">
        <f>_xlfn.XLOOKUP($C85,'BDG Intensity'!$F:$F,'BDG Intensity'!S:S)</f>
        <v/>
      </c>
      <c r="Q85" s="12">
        <f>_xlfn.XLOOKUP($C85,'BDG Intensity'!$F:$F,'BDG Intensity'!T:T)</f>
        <v/>
      </c>
      <c r="R85" s="12">
        <f>_xlfn.XLOOKUP($C85,'BDG Intensity'!$F:$F,'BDG Intensity'!U:U)</f>
        <v/>
      </c>
      <c r="S85" s="12">
        <f>_xlfn.XLOOKUP($C85,'BDG Intensity'!$F:$F,'BDG Intensity'!V:V)</f>
        <v/>
      </c>
      <c r="T85" s="12">
        <f>_xlfn.XLOOKUP($C85,'BDG Intensity'!$F:$F,'BDG Intensity'!W:W)</f>
        <v/>
      </c>
      <c r="U85" s="12">
        <f>_xlfn.XLOOKUP($C85,'BDG Intensity'!$F:$F,'BDG Intensity'!X:X)</f>
        <v/>
      </c>
      <c r="V85" s="12">
        <f>_xlfn.XLOOKUP($C85,'BDG Intensity'!$F:$F,'BDG Intensity'!Y:Y)</f>
        <v/>
      </c>
      <c r="W85" s="12">
        <f>_xlfn.XLOOKUP($C85,'BDG Intensity'!$F:$F,'BDG Intensity'!Z:Z)</f>
        <v/>
      </c>
    </row>
    <row r="86">
      <c r="B86">
        <f>Def_Tech!C230</f>
        <v/>
      </c>
      <c r="C86">
        <f>Def_Tech!D101</f>
        <v/>
      </c>
      <c r="D86">
        <f>Def_Comm!C230</f>
        <v/>
      </c>
      <c r="E86">
        <f>Def_Comm!C101</f>
        <v/>
      </c>
      <c r="F86" s="12">
        <f>_xlfn.XLOOKUP($C86,'BDG Intensity'!$F:$F,'BDG Intensity'!I:I)</f>
        <v/>
      </c>
      <c r="G86" s="12">
        <f>_xlfn.XLOOKUP($C86,'BDG Intensity'!$F:$F,'BDG Intensity'!J:J)</f>
        <v/>
      </c>
      <c r="H86" s="12">
        <f>_xlfn.XLOOKUP($C86,'BDG Intensity'!$F:$F,'BDG Intensity'!K:K)</f>
        <v/>
      </c>
      <c r="I86" s="12">
        <f>_xlfn.XLOOKUP($C86,'BDG Intensity'!$F:$F,'BDG Intensity'!L:L)</f>
        <v/>
      </c>
      <c r="J86" s="12">
        <f>_xlfn.XLOOKUP($C86,'BDG Intensity'!$F:$F,'BDG Intensity'!M:M)</f>
        <v/>
      </c>
      <c r="K86" s="12">
        <f>_xlfn.XLOOKUP($C86,'BDG Intensity'!$F:$F,'BDG Intensity'!N:N)</f>
        <v/>
      </c>
      <c r="L86" s="12">
        <f>_xlfn.XLOOKUP($C86,'BDG Intensity'!$F:$F,'BDG Intensity'!O:O)</f>
        <v/>
      </c>
      <c r="M86" s="12">
        <f>_xlfn.XLOOKUP($C86,'BDG Intensity'!$F:$F,'BDG Intensity'!P:P)</f>
        <v/>
      </c>
      <c r="N86" s="12">
        <f>_xlfn.XLOOKUP($C86,'BDG Intensity'!$F:$F,'BDG Intensity'!Q:Q)</f>
        <v/>
      </c>
      <c r="O86" s="12">
        <f>_xlfn.XLOOKUP($C86,'BDG Intensity'!$F:$F,'BDG Intensity'!R:R)</f>
        <v/>
      </c>
      <c r="P86" s="12">
        <f>_xlfn.XLOOKUP($C86,'BDG Intensity'!$F:$F,'BDG Intensity'!S:S)</f>
        <v/>
      </c>
      <c r="Q86" s="12">
        <f>_xlfn.XLOOKUP($C86,'BDG Intensity'!$F:$F,'BDG Intensity'!T:T)</f>
        <v/>
      </c>
      <c r="R86" s="12">
        <f>_xlfn.XLOOKUP($C86,'BDG Intensity'!$F:$F,'BDG Intensity'!U:U)</f>
        <v/>
      </c>
      <c r="S86" s="12">
        <f>_xlfn.XLOOKUP($C86,'BDG Intensity'!$F:$F,'BDG Intensity'!V:V)</f>
        <v/>
      </c>
      <c r="T86" s="12">
        <f>_xlfn.XLOOKUP($C86,'BDG Intensity'!$F:$F,'BDG Intensity'!W:W)</f>
        <v/>
      </c>
      <c r="U86" s="12">
        <f>_xlfn.XLOOKUP($C86,'BDG Intensity'!$F:$F,'BDG Intensity'!X:X)</f>
        <v/>
      </c>
      <c r="V86" s="12">
        <f>_xlfn.XLOOKUP($C86,'BDG Intensity'!$F:$F,'BDG Intensity'!Y:Y)</f>
        <v/>
      </c>
      <c r="W86" s="12">
        <f>_xlfn.XLOOKUP($C86,'BDG Intensity'!$F:$F,'BDG Intensity'!Z:Z)</f>
        <v/>
      </c>
    </row>
    <row r="87">
      <c r="B87">
        <f>Def_Tech!C231</f>
        <v/>
      </c>
      <c r="C87">
        <f>Def_Tech!D102</f>
        <v/>
      </c>
      <c r="D87">
        <f>Def_Comm!C231</f>
        <v/>
      </c>
      <c r="E87">
        <f>Def_Comm!C102</f>
        <v/>
      </c>
      <c r="F87" s="12">
        <f>_xlfn.XLOOKUP($C87,'BDG Intensity'!$F:$F,'BDG Intensity'!I:I)</f>
        <v/>
      </c>
      <c r="G87" s="12">
        <f>_xlfn.XLOOKUP($C87,'BDG Intensity'!$F:$F,'BDG Intensity'!J:J)</f>
        <v/>
      </c>
      <c r="H87" s="12">
        <f>_xlfn.XLOOKUP($C87,'BDG Intensity'!$F:$F,'BDG Intensity'!K:K)</f>
        <v/>
      </c>
      <c r="I87" s="12">
        <f>_xlfn.XLOOKUP($C87,'BDG Intensity'!$F:$F,'BDG Intensity'!L:L)</f>
        <v/>
      </c>
      <c r="J87" s="12">
        <f>_xlfn.XLOOKUP($C87,'BDG Intensity'!$F:$F,'BDG Intensity'!M:M)</f>
        <v/>
      </c>
      <c r="K87" s="12">
        <f>_xlfn.XLOOKUP($C87,'BDG Intensity'!$F:$F,'BDG Intensity'!N:N)</f>
        <v/>
      </c>
      <c r="L87" s="12">
        <f>_xlfn.XLOOKUP($C87,'BDG Intensity'!$F:$F,'BDG Intensity'!O:O)</f>
        <v/>
      </c>
      <c r="M87" s="12">
        <f>_xlfn.XLOOKUP($C87,'BDG Intensity'!$F:$F,'BDG Intensity'!P:P)</f>
        <v/>
      </c>
      <c r="N87" s="12">
        <f>_xlfn.XLOOKUP($C87,'BDG Intensity'!$F:$F,'BDG Intensity'!Q:Q)</f>
        <v/>
      </c>
      <c r="O87" s="12">
        <f>_xlfn.XLOOKUP($C87,'BDG Intensity'!$F:$F,'BDG Intensity'!R:R)</f>
        <v/>
      </c>
      <c r="P87" s="12">
        <f>_xlfn.XLOOKUP($C87,'BDG Intensity'!$F:$F,'BDG Intensity'!S:S)</f>
        <v/>
      </c>
      <c r="Q87" s="12">
        <f>_xlfn.XLOOKUP($C87,'BDG Intensity'!$F:$F,'BDG Intensity'!T:T)</f>
        <v/>
      </c>
      <c r="R87" s="12">
        <f>_xlfn.XLOOKUP($C87,'BDG Intensity'!$F:$F,'BDG Intensity'!U:U)</f>
        <v/>
      </c>
      <c r="S87" s="12">
        <f>_xlfn.XLOOKUP($C87,'BDG Intensity'!$F:$F,'BDG Intensity'!V:V)</f>
        <v/>
      </c>
      <c r="T87" s="12">
        <f>_xlfn.XLOOKUP($C87,'BDG Intensity'!$F:$F,'BDG Intensity'!W:W)</f>
        <v/>
      </c>
      <c r="U87" s="12">
        <f>_xlfn.XLOOKUP($C87,'BDG Intensity'!$F:$F,'BDG Intensity'!X:X)</f>
        <v/>
      </c>
      <c r="V87" s="12">
        <f>_xlfn.XLOOKUP($C87,'BDG Intensity'!$F:$F,'BDG Intensity'!Y:Y)</f>
        <v/>
      </c>
      <c r="W87" s="12">
        <f>_xlfn.XLOOKUP($C87,'BDG Intensity'!$F:$F,'BDG Intensity'!Z:Z)</f>
        <v/>
      </c>
    </row>
    <row r="88">
      <c r="B88">
        <f>Def_Tech!C232</f>
        <v/>
      </c>
      <c r="C88">
        <f>Def_Tech!D103</f>
        <v/>
      </c>
      <c r="D88">
        <f>Def_Comm!C232</f>
        <v/>
      </c>
      <c r="E88">
        <f>Def_Comm!C103</f>
        <v/>
      </c>
      <c r="F88" s="12">
        <f>_xlfn.XLOOKUP($C88,'BDG Intensity'!$F:$F,'BDG Intensity'!I:I)</f>
        <v/>
      </c>
      <c r="G88" s="12">
        <f>_xlfn.XLOOKUP($C88,'BDG Intensity'!$F:$F,'BDG Intensity'!J:J)</f>
        <v/>
      </c>
      <c r="H88" s="12">
        <f>_xlfn.XLOOKUP($C88,'BDG Intensity'!$F:$F,'BDG Intensity'!K:K)</f>
        <v/>
      </c>
      <c r="I88" s="12">
        <f>_xlfn.XLOOKUP($C88,'BDG Intensity'!$F:$F,'BDG Intensity'!L:L)</f>
        <v/>
      </c>
      <c r="J88" s="12">
        <f>_xlfn.XLOOKUP($C88,'BDG Intensity'!$F:$F,'BDG Intensity'!M:M)</f>
        <v/>
      </c>
      <c r="K88" s="12">
        <f>_xlfn.XLOOKUP($C88,'BDG Intensity'!$F:$F,'BDG Intensity'!N:N)</f>
        <v/>
      </c>
      <c r="L88" s="12">
        <f>_xlfn.XLOOKUP($C88,'BDG Intensity'!$F:$F,'BDG Intensity'!O:O)</f>
        <v/>
      </c>
      <c r="M88" s="12">
        <f>_xlfn.XLOOKUP($C88,'BDG Intensity'!$F:$F,'BDG Intensity'!P:P)</f>
        <v/>
      </c>
      <c r="N88" s="12">
        <f>_xlfn.XLOOKUP($C88,'BDG Intensity'!$F:$F,'BDG Intensity'!Q:Q)</f>
        <v/>
      </c>
      <c r="O88" s="12">
        <f>_xlfn.XLOOKUP($C88,'BDG Intensity'!$F:$F,'BDG Intensity'!R:R)</f>
        <v/>
      </c>
      <c r="P88" s="12">
        <f>_xlfn.XLOOKUP($C88,'BDG Intensity'!$F:$F,'BDG Intensity'!S:S)</f>
        <v/>
      </c>
      <c r="Q88" s="12">
        <f>_xlfn.XLOOKUP($C88,'BDG Intensity'!$F:$F,'BDG Intensity'!T:T)</f>
        <v/>
      </c>
      <c r="R88" s="12">
        <f>_xlfn.XLOOKUP($C88,'BDG Intensity'!$F:$F,'BDG Intensity'!U:U)</f>
        <v/>
      </c>
      <c r="S88" s="12">
        <f>_xlfn.XLOOKUP($C88,'BDG Intensity'!$F:$F,'BDG Intensity'!V:V)</f>
        <v/>
      </c>
      <c r="T88" s="12">
        <f>_xlfn.XLOOKUP($C88,'BDG Intensity'!$F:$F,'BDG Intensity'!W:W)</f>
        <v/>
      </c>
      <c r="U88" s="12">
        <f>_xlfn.XLOOKUP($C88,'BDG Intensity'!$F:$F,'BDG Intensity'!X:X)</f>
        <v/>
      </c>
      <c r="V88" s="12">
        <f>_xlfn.XLOOKUP($C88,'BDG Intensity'!$F:$F,'BDG Intensity'!Y:Y)</f>
        <v/>
      </c>
      <c r="W88" s="12">
        <f>_xlfn.XLOOKUP($C88,'BDG Intensity'!$F:$F,'BDG Intensity'!Z:Z)</f>
        <v/>
      </c>
    </row>
    <row r="89">
      <c r="B89">
        <f>Def_Tech!C233</f>
        <v/>
      </c>
      <c r="C89">
        <f>Def_Tech!D104</f>
        <v/>
      </c>
      <c r="D89">
        <f>Def_Comm!C233</f>
        <v/>
      </c>
      <c r="E89">
        <f>Def_Comm!C104</f>
        <v/>
      </c>
      <c r="F89" s="12">
        <f>_xlfn.XLOOKUP($C89,'BDG Intensity'!$F:$F,'BDG Intensity'!I:I)</f>
        <v/>
      </c>
      <c r="G89" s="12">
        <f>_xlfn.XLOOKUP($C89,'BDG Intensity'!$F:$F,'BDG Intensity'!J:J)</f>
        <v/>
      </c>
      <c r="H89" s="12">
        <f>_xlfn.XLOOKUP($C89,'BDG Intensity'!$F:$F,'BDG Intensity'!K:K)</f>
        <v/>
      </c>
      <c r="I89" s="12">
        <f>_xlfn.XLOOKUP($C89,'BDG Intensity'!$F:$F,'BDG Intensity'!L:L)</f>
        <v/>
      </c>
      <c r="J89" s="12">
        <f>_xlfn.XLOOKUP($C89,'BDG Intensity'!$F:$F,'BDG Intensity'!M:M)</f>
        <v/>
      </c>
      <c r="K89" s="12">
        <f>_xlfn.XLOOKUP($C89,'BDG Intensity'!$F:$F,'BDG Intensity'!N:N)</f>
        <v/>
      </c>
      <c r="L89" s="12">
        <f>_xlfn.XLOOKUP($C89,'BDG Intensity'!$F:$F,'BDG Intensity'!O:O)</f>
        <v/>
      </c>
      <c r="M89" s="12">
        <f>_xlfn.XLOOKUP($C89,'BDG Intensity'!$F:$F,'BDG Intensity'!P:P)</f>
        <v/>
      </c>
      <c r="N89" s="12">
        <f>_xlfn.XLOOKUP($C89,'BDG Intensity'!$F:$F,'BDG Intensity'!Q:Q)</f>
        <v/>
      </c>
      <c r="O89" s="12">
        <f>_xlfn.XLOOKUP($C89,'BDG Intensity'!$F:$F,'BDG Intensity'!R:R)</f>
        <v/>
      </c>
      <c r="P89" s="12">
        <f>_xlfn.XLOOKUP($C89,'BDG Intensity'!$F:$F,'BDG Intensity'!S:S)</f>
        <v/>
      </c>
      <c r="Q89" s="12">
        <f>_xlfn.XLOOKUP($C89,'BDG Intensity'!$F:$F,'BDG Intensity'!T:T)</f>
        <v/>
      </c>
      <c r="R89" s="12">
        <f>_xlfn.XLOOKUP($C89,'BDG Intensity'!$F:$F,'BDG Intensity'!U:U)</f>
        <v/>
      </c>
      <c r="S89" s="12">
        <f>_xlfn.XLOOKUP($C89,'BDG Intensity'!$F:$F,'BDG Intensity'!V:V)</f>
        <v/>
      </c>
      <c r="T89" s="12">
        <f>_xlfn.XLOOKUP($C89,'BDG Intensity'!$F:$F,'BDG Intensity'!W:W)</f>
        <v/>
      </c>
      <c r="U89" s="12">
        <f>_xlfn.XLOOKUP($C89,'BDG Intensity'!$F:$F,'BDG Intensity'!X:X)</f>
        <v/>
      </c>
      <c r="V89" s="12">
        <f>_xlfn.XLOOKUP($C89,'BDG Intensity'!$F:$F,'BDG Intensity'!Y:Y)</f>
        <v/>
      </c>
      <c r="W89" s="12">
        <f>_xlfn.XLOOKUP($C89,'BDG Intensity'!$F:$F,'BDG Intensity'!Z:Z)</f>
        <v/>
      </c>
    </row>
    <row r="90">
      <c r="B90">
        <f>Def_Tech!C234</f>
        <v/>
      </c>
      <c r="C90">
        <f>Def_Tech!D105</f>
        <v/>
      </c>
      <c r="D90">
        <f>Def_Comm!C234</f>
        <v/>
      </c>
      <c r="E90">
        <f>Def_Comm!C105</f>
        <v/>
      </c>
      <c r="F90" s="12">
        <f>_xlfn.XLOOKUP($C90,'BDG Intensity'!$F:$F,'BDG Intensity'!I:I)</f>
        <v/>
      </c>
      <c r="G90" s="12">
        <f>_xlfn.XLOOKUP($C90,'BDG Intensity'!$F:$F,'BDG Intensity'!J:J)</f>
        <v/>
      </c>
      <c r="H90" s="12">
        <f>_xlfn.XLOOKUP($C90,'BDG Intensity'!$F:$F,'BDG Intensity'!K:K)</f>
        <v/>
      </c>
      <c r="I90" s="12">
        <f>_xlfn.XLOOKUP($C90,'BDG Intensity'!$F:$F,'BDG Intensity'!L:L)</f>
        <v/>
      </c>
      <c r="J90" s="12">
        <f>_xlfn.XLOOKUP($C90,'BDG Intensity'!$F:$F,'BDG Intensity'!M:M)</f>
        <v/>
      </c>
      <c r="K90" s="12">
        <f>_xlfn.XLOOKUP($C90,'BDG Intensity'!$F:$F,'BDG Intensity'!N:N)</f>
        <v/>
      </c>
      <c r="L90" s="12">
        <f>_xlfn.XLOOKUP($C90,'BDG Intensity'!$F:$F,'BDG Intensity'!O:O)</f>
        <v/>
      </c>
      <c r="M90" s="12">
        <f>_xlfn.XLOOKUP($C90,'BDG Intensity'!$F:$F,'BDG Intensity'!P:P)</f>
        <v/>
      </c>
      <c r="N90" s="12">
        <f>_xlfn.XLOOKUP($C90,'BDG Intensity'!$F:$F,'BDG Intensity'!Q:Q)</f>
        <v/>
      </c>
      <c r="O90" s="12">
        <f>_xlfn.XLOOKUP($C90,'BDG Intensity'!$F:$F,'BDG Intensity'!R:R)</f>
        <v/>
      </c>
      <c r="P90" s="12">
        <f>_xlfn.XLOOKUP($C90,'BDG Intensity'!$F:$F,'BDG Intensity'!S:S)</f>
        <v/>
      </c>
      <c r="Q90" s="12">
        <f>_xlfn.XLOOKUP($C90,'BDG Intensity'!$F:$F,'BDG Intensity'!T:T)</f>
        <v/>
      </c>
      <c r="R90" s="12">
        <f>_xlfn.XLOOKUP($C90,'BDG Intensity'!$F:$F,'BDG Intensity'!U:U)</f>
        <v/>
      </c>
      <c r="S90" s="12">
        <f>_xlfn.XLOOKUP($C90,'BDG Intensity'!$F:$F,'BDG Intensity'!V:V)</f>
        <v/>
      </c>
      <c r="T90" s="12">
        <f>_xlfn.XLOOKUP($C90,'BDG Intensity'!$F:$F,'BDG Intensity'!W:W)</f>
        <v/>
      </c>
      <c r="U90" s="12">
        <f>_xlfn.XLOOKUP($C90,'BDG Intensity'!$F:$F,'BDG Intensity'!X:X)</f>
        <v/>
      </c>
      <c r="V90" s="12">
        <f>_xlfn.XLOOKUP($C90,'BDG Intensity'!$F:$F,'BDG Intensity'!Y:Y)</f>
        <v/>
      </c>
      <c r="W90" s="12">
        <f>_xlfn.XLOOKUP($C90,'BDG Intensity'!$F:$F,'BDG Intensity'!Z:Z)</f>
        <v/>
      </c>
    </row>
    <row r="91">
      <c r="B91">
        <f>Def_Tech!C235</f>
        <v/>
      </c>
      <c r="C91">
        <f>Def_Tech!D106</f>
        <v/>
      </c>
      <c r="D91">
        <f>Def_Comm!C235</f>
        <v/>
      </c>
      <c r="E91">
        <f>Def_Comm!C106</f>
        <v/>
      </c>
      <c r="F91" s="12">
        <f>_xlfn.XLOOKUP($C91,'BDG Intensity'!$F:$F,'BDG Intensity'!I:I)</f>
        <v/>
      </c>
      <c r="G91" s="12">
        <f>_xlfn.XLOOKUP($C91,'BDG Intensity'!$F:$F,'BDG Intensity'!J:J)</f>
        <v/>
      </c>
      <c r="H91" s="12">
        <f>_xlfn.XLOOKUP($C91,'BDG Intensity'!$F:$F,'BDG Intensity'!K:K)</f>
        <v/>
      </c>
      <c r="I91" s="12">
        <f>_xlfn.XLOOKUP($C91,'BDG Intensity'!$F:$F,'BDG Intensity'!L:L)</f>
        <v/>
      </c>
      <c r="J91" s="12">
        <f>_xlfn.XLOOKUP($C91,'BDG Intensity'!$F:$F,'BDG Intensity'!M:M)</f>
        <v/>
      </c>
      <c r="K91" s="12">
        <f>_xlfn.XLOOKUP($C91,'BDG Intensity'!$F:$F,'BDG Intensity'!N:N)</f>
        <v/>
      </c>
      <c r="L91" s="12">
        <f>_xlfn.XLOOKUP($C91,'BDG Intensity'!$F:$F,'BDG Intensity'!O:O)</f>
        <v/>
      </c>
      <c r="M91" s="12">
        <f>_xlfn.XLOOKUP($C91,'BDG Intensity'!$F:$F,'BDG Intensity'!P:P)</f>
        <v/>
      </c>
      <c r="N91" s="12">
        <f>_xlfn.XLOOKUP($C91,'BDG Intensity'!$F:$F,'BDG Intensity'!Q:Q)</f>
        <v/>
      </c>
      <c r="O91" s="12">
        <f>_xlfn.XLOOKUP($C91,'BDG Intensity'!$F:$F,'BDG Intensity'!R:R)</f>
        <v/>
      </c>
      <c r="P91" s="12">
        <f>_xlfn.XLOOKUP($C91,'BDG Intensity'!$F:$F,'BDG Intensity'!S:S)</f>
        <v/>
      </c>
      <c r="Q91" s="12">
        <f>_xlfn.XLOOKUP($C91,'BDG Intensity'!$F:$F,'BDG Intensity'!T:T)</f>
        <v/>
      </c>
      <c r="R91" s="12">
        <f>_xlfn.XLOOKUP($C91,'BDG Intensity'!$F:$F,'BDG Intensity'!U:U)</f>
        <v/>
      </c>
      <c r="S91" s="12">
        <f>_xlfn.XLOOKUP($C91,'BDG Intensity'!$F:$F,'BDG Intensity'!V:V)</f>
        <v/>
      </c>
      <c r="T91" s="12">
        <f>_xlfn.XLOOKUP($C91,'BDG Intensity'!$F:$F,'BDG Intensity'!W:W)</f>
        <v/>
      </c>
      <c r="U91" s="12">
        <f>_xlfn.XLOOKUP($C91,'BDG Intensity'!$F:$F,'BDG Intensity'!X:X)</f>
        <v/>
      </c>
      <c r="V91" s="12">
        <f>_xlfn.XLOOKUP($C91,'BDG Intensity'!$F:$F,'BDG Intensity'!Y:Y)</f>
        <v/>
      </c>
      <c r="W91" s="12">
        <f>_xlfn.XLOOKUP($C91,'BDG Intensity'!$F:$F,'BDG Intensity'!Z:Z)</f>
        <v/>
      </c>
    </row>
    <row r="92">
      <c r="B92">
        <f>Def_Tech!C236</f>
        <v/>
      </c>
      <c r="C92">
        <f>Def_Tech!D107</f>
        <v/>
      </c>
      <c r="D92">
        <f>Def_Comm!C236</f>
        <v/>
      </c>
      <c r="E92">
        <f>Def_Comm!C107</f>
        <v/>
      </c>
      <c r="F92" s="12">
        <f>_xlfn.XLOOKUP($C92,'BDG Intensity'!$F:$F,'BDG Intensity'!I:I)</f>
        <v/>
      </c>
      <c r="G92" s="12">
        <f>_xlfn.XLOOKUP($C92,'BDG Intensity'!$F:$F,'BDG Intensity'!J:J)</f>
        <v/>
      </c>
      <c r="H92" s="12">
        <f>_xlfn.XLOOKUP($C92,'BDG Intensity'!$F:$F,'BDG Intensity'!K:K)</f>
        <v/>
      </c>
      <c r="I92" s="12">
        <f>_xlfn.XLOOKUP($C92,'BDG Intensity'!$F:$F,'BDG Intensity'!L:L)</f>
        <v/>
      </c>
      <c r="J92" s="12">
        <f>_xlfn.XLOOKUP($C92,'BDG Intensity'!$F:$F,'BDG Intensity'!M:M)</f>
        <v/>
      </c>
      <c r="K92" s="12">
        <f>_xlfn.XLOOKUP($C92,'BDG Intensity'!$F:$F,'BDG Intensity'!N:N)</f>
        <v/>
      </c>
      <c r="L92" s="12">
        <f>_xlfn.XLOOKUP($C92,'BDG Intensity'!$F:$F,'BDG Intensity'!O:O)</f>
        <v/>
      </c>
      <c r="M92" s="12">
        <f>_xlfn.XLOOKUP($C92,'BDG Intensity'!$F:$F,'BDG Intensity'!P:P)</f>
        <v/>
      </c>
      <c r="N92" s="12">
        <f>_xlfn.XLOOKUP($C92,'BDG Intensity'!$F:$F,'BDG Intensity'!Q:Q)</f>
        <v/>
      </c>
      <c r="O92" s="12">
        <f>_xlfn.XLOOKUP($C92,'BDG Intensity'!$F:$F,'BDG Intensity'!R:R)</f>
        <v/>
      </c>
      <c r="P92" s="12">
        <f>_xlfn.XLOOKUP($C92,'BDG Intensity'!$F:$F,'BDG Intensity'!S:S)</f>
        <v/>
      </c>
      <c r="Q92" s="12">
        <f>_xlfn.XLOOKUP($C92,'BDG Intensity'!$F:$F,'BDG Intensity'!T:T)</f>
        <v/>
      </c>
      <c r="R92" s="12">
        <f>_xlfn.XLOOKUP($C92,'BDG Intensity'!$F:$F,'BDG Intensity'!U:U)</f>
        <v/>
      </c>
      <c r="S92" s="12">
        <f>_xlfn.XLOOKUP($C92,'BDG Intensity'!$F:$F,'BDG Intensity'!V:V)</f>
        <v/>
      </c>
      <c r="T92" s="12">
        <f>_xlfn.XLOOKUP($C92,'BDG Intensity'!$F:$F,'BDG Intensity'!W:W)</f>
        <v/>
      </c>
      <c r="U92" s="12">
        <f>_xlfn.XLOOKUP($C92,'BDG Intensity'!$F:$F,'BDG Intensity'!X:X)</f>
        <v/>
      </c>
      <c r="V92" s="12">
        <f>_xlfn.XLOOKUP($C92,'BDG Intensity'!$F:$F,'BDG Intensity'!Y:Y)</f>
        <v/>
      </c>
      <c r="W92" s="12">
        <f>_xlfn.XLOOKUP($C92,'BDG Intensity'!$F:$F,'BDG Intensity'!Z:Z)</f>
        <v/>
      </c>
    </row>
    <row r="93">
      <c r="B93">
        <f>Def_Tech!C237</f>
        <v/>
      </c>
      <c r="C93">
        <f>Def_Tech!D108</f>
        <v/>
      </c>
      <c r="D93">
        <f>Def_Comm!C237</f>
        <v/>
      </c>
      <c r="E93">
        <f>Def_Comm!C108</f>
        <v/>
      </c>
      <c r="F93" s="12">
        <f>_xlfn.XLOOKUP($C93,'BDG Intensity'!$F:$F,'BDG Intensity'!I:I)</f>
        <v/>
      </c>
      <c r="G93" s="12">
        <f>_xlfn.XLOOKUP($C93,'BDG Intensity'!$F:$F,'BDG Intensity'!J:J)</f>
        <v/>
      </c>
      <c r="H93" s="12">
        <f>_xlfn.XLOOKUP($C93,'BDG Intensity'!$F:$F,'BDG Intensity'!K:K)</f>
        <v/>
      </c>
      <c r="I93" s="12">
        <f>_xlfn.XLOOKUP($C93,'BDG Intensity'!$F:$F,'BDG Intensity'!L:L)</f>
        <v/>
      </c>
      <c r="J93" s="12">
        <f>_xlfn.XLOOKUP($C93,'BDG Intensity'!$F:$F,'BDG Intensity'!M:M)</f>
        <v/>
      </c>
      <c r="K93" s="12">
        <f>_xlfn.XLOOKUP($C93,'BDG Intensity'!$F:$F,'BDG Intensity'!N:N)</f>
        <v/>
      </c>
      <c r="L93" s="12">
        <f>_xlfn.XLOOKUP($C93,'BDG Intensity'!$F:$F,'BDG Intensity'!O:O)</f>
        <v/>
      </c>
      <c r="M93" s="12">
        <f>_xlfn.XLOOKUP($C93,'BDG Intensity'!$F:$F,'BDG Intensity'!P:P)</f>
        <v/>
      </c>
      <c r="N93" s="12">
        <f>_xlfn.XLOOKUP($C93,'BDG Intensity'!$F:$F,'BDG Intensity'!Q:Q)</f>
        <v/>
      </c>
      <c r="O93" s="12">
        <f>_xlfn.XLOOKUP($C93,'BDG Intensity'!$F:$F,'BDG Intensity'!R:R)</f>
        <v/>
      </c>
      <c r="P93" s="12">
        <f>_xlfn.XLOOKUP($C93,'BDG Intensity'!$F:$F,'BDG Intensity'!S:S)</f>
        <v/>
      </c>
      <c r="Q93" s="12">
        <f>_xlfn.XLOOKUP($C93,'BDG Intensity'!$F:$F,'BDG Intensity'!T:T)</f>
        <v/>
      </c>
      <c r="R93" s="12">
        <f>_xlfn.XLOOKUP($C93,'BDG Intensity'!$F:$F,'BDG Intensity'!U:U)</f>
        <v/>
      </c>
      <c r="S93" s="12">
        <f>_xlfn.XLOOKUP($C93,'BDG Intensity'!$F:$F,'BDG Intensity'!V:V)</f>
        <v/>
      </c>
      <c r="T93" s="12">
        <f>_xlfn.XLOOKUP($C93,'BDG Intensity'!$F:$F,'BDG Intensity'!W:W)</f>
        <v/>
      </c>
      <c r="U93" s="12">
        <f>_xlfn.XLOOKUP($C93,'BDG Intensity'!$F:$F,'BDG Intensity'!X:X)</f>
        <v/>
      </c>
      <c r="V93" s="12">
        <f>_xlfn.XLOOKUP($C93,'BDG Intensity'!$F:$F,'BDG Intensity'!Y:Y)</f>
        <v/>
      </c>
      <c r="W93" s="12">
        <f>_xlfn.XLOOKUP($C93,'BDG Intensity'!$F:$F,'BDG Intensity'!Z:Z)</f>
        <v/>
      </c>
    </row>
    <row r="94">
      <c r="B94">
        <f>Def_Tech!C238</f>
        <v/>
      </c>
      <c r="C94">
        <f>Def_Tech!D109</f>
        <v/>
      </c>
      <c r="D94">
        <f>Def_Comm!C238</f>
        <v/>
      </c>
      <c r="E94">
        <f>Def_Comm!C109</f>
        <v/>
      </c>
      <c r="F94" s="12">
        <f>_xlfn.XLOOKUP($C94,'BDG Intensity'!$F:$F,'BDG Intensity'!I:I)</f>
        <v/>
      </c>
      <c r="G94" s="12">
        <f>_xlfn.XLOOKUP($C94,'BDG Intensity'!$F:$F,'BDG Intensity'!J:J)</f>
        <v/>
      </c>
      <c r="H94" s="12">
        <f>_xlfn.XLOOKUP($C94,'BDG Intensity'!$F:$F,'BDG Intensity'!K:K)</f>
        <v/>
      </c>
      <c r="I94" s="12">
        <f>_xlfn.XLOOKUP($C94,'BDG Intensity'!$F:$F,'BDG Intensity'!L:L)</f>
        <v/>
      </c>
      <c r="J94" s="12">
        <f>_xlfn.XLOOKUP($C94,'BDG Intensity'!$F:$F,'BDG Intensity'!M:M)</f>
        <v/>
      </c>
      <c r="K94" s="12">
        <f>_xlfn.XLOOKUP($C94,'BDG Intensity'!$F:$F,'BDG Intensity'!N:N)</f>
        <v/>
      </c>
      <c r="L94" s="12">
        <f>_xlfn.XLOOKUP($C94,'BDG Intensity'!$F:$F,'BDG Intensity'!O:O)</f>
        <v/>
      </c>
      <c r="M94" s="12">
        <f>_xlfn.XLOOKUP($C94,'BDG Intensity'!$F:$F,'BDG Intensity'!P:P)</f>
        <v/>
      </c>
      <c r="N94" s="12">
        <f>_xlfn.XLOOKUP($C94,'BDG Intensity'!$F:$F,'BDG Intensity'!Q:Q)</f>
        <v/>
      </c>
      <c r="O94" s="12">
        <f>_xlfn.XLOOKUP($C94,'BDG Intensity'!$F:$F,'BDG Intensity'!R:R)</f>
        <v/>
      </c>
      <c r="P94" s="12">
        <f>_xlfn.XLOOKUP($C94,'BDG Intensity'!$F:$F,'BDG Intensity'!S:S)</f>
        <v/>
      </c>
      <c r="Q94" s="12">
        <f>_xlfn.XLOOKUP($C94,'BDG Intensity'!$F:$F,'BDG Intensity'!T:T)</f>
        <v/>
      </c>
      <c r="R94" s="12">
        <f>_xlfn.XLOOKUP($C94,'BDG Intensity'!$F:$F,'BDG Intensity'!U:U)</f>
        <v/>
      </c>
      <c r="S94" s="12">
        <f>_xlfn.XLOOKUP($C94,'BDG Intensity'!$F:$F,'BDG Intensity'!V:V)</f>
        <v/>
      </c>
      <c r="T94" s="12">
        <f>_xlfn.XLOOKUP($C94,'BDG Intensity'!$F:$F,'BDG Intensity'!W:W)</f>
        <v/>
      </c>
      <c r="U94" s="12">
        <f>_xlfn.XLOOKUP($C94,'BDG Intensity'!$F:$F,'BDG Intensity'!X:X)</f>
        <v/>
      </c>
      <c r="V94" s="12">
        <f>_xlfn.XLOOKUP($C94,'BDG Intensity'!$F:$F,'BDG Intensity'!Y:Y)</f>
        <v/>
      </c>
      <c r="W94" s="12">
        <f>_xlfn.XLOOKUP($C94,'BDG Intensity'!$F:$F,'BDG Intensity'!Z:Z)</f>
        <v/>
      </c>
    </row>
    <row r="95">
      <c r="B95">
        <f>Def_Tech!C239</f>
        <v/>
      </c>
      <c r="C95">
        <f>Def_Tech!D110</f>
        <v/>
      </c>
      <c r="D95">
        <f>Def_Comm!C239</f>
        <v/>
      </c>
      <c r="E95">
        <f>Def_Comm!C110</f>
        <v/>
      </c>
      <c r="F95" s="12">
        <f>_xlfn.XLOOKUP($C95,'BDG Intensity'!$F:$F,'BDG Intensity'!I:I)</f>
        <v/>
      </c>
      <c r="G95" s="12">
        <f>_xlfn.XLOOKUP($C95,'BDG Intensity'!$F:$F,'BDG Intensity'!J:J)</f>
        <v/>
      </c>
      <c r="H95" s="12">
        <f>_xlfn.XLOOKUP($C95,'BDG Intensity'!$F:$F,'BDG Intensity'!K:K)</f>
        <v/>
      </c>
      <c r="I95" s="12">
        <f>_xlfn.XLOOKUP($C95,'BDG Intensity'!$F:$F,'BDG Intensity'!L:L)</f>
        <v/>
      </c>
      <c r="J95" s="12">
        <f>_xlfn.XLOOKUP($C95,'BDG Intensity'!$F:$F,'BDG Intensity'!M:M)</f>
        <v/>
      </c>
      <c r="K95" s="12">
        <f>_xlfn.XLOOKUP($C95,'BDG Intensity'!$F:$F,'BDG Intensity'!N:N)</f>
        <v/>
      </c>
      <c r="L95" s="12">
        <f>_xlfn.XLOOKUP($C95,'BDG Intensity'!$F:$F,'BDG Intensity'!O:O)</f>
        <v/>
      </c>
      <c r="M95" s="12">
        <f>_xlfn.XLOOKUP($C95,'BDG Intensity'!$F:$F,'BDG Intensity'!P:P)</f>
        <v/>
      </c>
      <c r="N95" s="12">
        <f>_xlfn.XLOOKUP($C95,'BDG Intensity'!$F:$F,'BDG Intensity'!Q:Q)</f>
        <v/>
      </c>
      <c r="O95" s="12">
        <f>_xlfn.XLOOKUP($C95,'BDG Intensity'!$F:$F,'BDG Intensity'!R:R)</f>
        <v/>
      </c>
      <c r="P95" s="12">
        <f>_xlfn.XLOOKUP($C95,'BDG Intensity'!$F:$F,'BDG Intensity'!S:S)</f>
        <v/>
      </c>
      <c r="Q95" s="12">
        <f>_xlfn.XLOOKUP($C95,'BDG Intensity'!$F:$F,'BDG Intensity'!T:T)</f>
        <v/>
      </c>
      <c r="R95" s="12">
        <f>_xlfn.XLOOKUP($C95,'BDG Intensity'!$F:$F,'BDG Intensity'!U:U)</f>
        <v/>
      </c>
      <c r="S95" s="12">
        <f>_xlfn.XLOOKUP($C95,'BDG Intensity'!$F:$F,'BDG Intensity'!V:V)</f>
        <v/>
      </c>
      <c r="T95" s="12">
        <f>_xlfn.XLOOKUP($C95,'BDG Intensity'!$F:$F,'BDG Intensity'!W:W)</f>
        <v/>
      </c>
      <c r="U95" s="12">
        <f>_xlfn.XLOOKUP($C95,'BDG Intensity'!$F:$F,'BDG Intensity'!X:X)</f>
        <v/>
      </c>
      <c r="V95" s="12">
        <f>_xlfn.XLOOKUP($C95,'BDG Intensity'!$F:$F,'BDG Intensity'!Y:Y)</f>
        <v/>
      </c>
      <c r="W95" s="12">
        <f>_xlfn.XLOOKUP($C95,'BDG Intensity'!$F:$F,'BDG Intensity'!Z:Z)</f>
        <v/>
      </c>
    </row>
    <row r="96">
      <c r="B96">
        <f>Def_Tech!C240</f>
        <v/>
      </c>
      <c r="C96">
        <f>Def_Tech!D111</f>
        <v/>
      </c>
      <c r="D96">
        <f>Def_Comm!C240</f>
        <v/>
      </c>
      <c r="E96">
        <f>Def_Comm!C111</f>
        <v/>
      </c>
      <c r="F96" s="12">
        <f>_xlfn.XLOOKUP($C96,'BDG Intensity'!$F:$F,'BDG Intensity'!I:I)</f>
        <v/>
      </c>
      <c r="G96" s="12">
        <f>_xlfn.XLOOKUP($C96,'BDG Intensity'!$F:$F,'BDG Intensity'!J:J)</f>
        <v/>
      </c>
      <c r="H96" s="12">
        <f>_xlfn.XLOOKUP($C96,'BDG Intensity'!$F:$F,'BDG Intensity'!K:K)</f>
        <v/>
      </c>
      <c r="I96" s="12">
        <f>_xlfn.XLOOKUP($C96,'BDG Intensity'!$F:$F,'BDG Intensity'!L:L)</f>
        <v/>
      </c>
      <c r="J96" s="12">
        <f>_xlfn.XLOOKUP($C96,'BDG Intensity'!$F:$F,'BDG Intensity'!M:M)</f>
        <v/>
      </c>
      <c r="K96" s="12">
        <f>_xlfn.XLOOKUP($C96,'BDG Intensity'!$F:$F,'BDG Intensity'!N:N)</f>
        <v/>
      </c>
      <c r="L96" s="12">
        <f>_xlfn.XLOOKUP($C96,'BDG Intensity'!$F:$F,'BDG Intensity'!O:O)</f>
        <v/>
      </c>
      <c r="M96" s="12">
        <f>_xlfn.XLOOKUP($C96,'BDG Intensity'!$F:$F,'BDG Intensity'!P:P)</f>
        <v/>
      </c>
      <c r="N96" s="12">
        <f>_xlfn.XLOOKUP($C96,'BDG Intensity'!$F:$F,'BDG Intensity'!Q:Q)</f>
        <v/>
      </c>
      <c r="O96" s="12">
        <f>_xlfn.XLOOKUP($C96,'BDG Intensity'!$F:$F,'BDG Intensity'!R:R)</f>
        <v/>
      </c>
      <c r="P96" s="12">
        <f>_xlfn.XLOOKUP($C96,'BDG Intensity'!$F:$F,'BDG Intensity'!S:S)</f>
        <v/>
      </c>
      <c r="Q96" s="12">
        <f>_xlfn.XLOOKUP($C96,'BDG Intensity'!$F:$F,'BDG Intensity'!T:T)</f>
        <v/>
      </c>
      <c r="R96" s="12">
        <f>_xlfn.XLOOKUP($C96,'BDG Intensity'!$F:$F,'BDG Intensity'!U:U)</f>
        <v/>
      </c>
      <c r="S96" s="12">
        <f>_xlfn.XLOOKUP($C96,'BDG Intensity'!$F:$F,'BDG Intensity'!V:V)</f>
        <v/>
      </c>
      <c r="T96" s="12">
        <f>_xlfn.XLOOKUP($C96,'BDG Intensity'!$F:$F,'BDG Intensity'!W:W)</f>
        <v/>
      </c>
      <c r="U96" s="12">
        <f>_xlfn.XLOOKUP($C96,'BDG Intensity'!$F:$F,'BDG Intensity'!X:X)</f>
        <v/>
      </c>
      <c r="V96" s="12">
        <f>_xlfn.XLOOKUP($C96,'BDG Intensity'!$F:$F,'BDG Intensity'!Y:Y)</f>
        <v/>
      </c>
      <c r="W96" s="12">
        <f>_xlfn.XLOOKUP($C96,'BDG Intensity'!$F:$F,'BDG Intensity'!Z:Z)</f>
        <v/>
      </c>
    </row>
    <row r="97">
      <c r="B97">
        <f>Def_Tech!C241</f>
        <v/>
      </c>
      <c r="C97">
        <f>Def_Tech!D112</f>
        <v/>
      </c>
      <c r="D97">
        <f>Def_Comm!C241</f>
        <v/>
      </c>
      <c r="E97">
        <f>Def_Comm!C112</f>
        <v/>
      </c>
      <c r="F97" s="12">
        <f>_xlfn.XLOOKUP($C97,'BDG Intensity'!$F:$F,'BDG Intensity'!I:I)</f>
        <v/>
      </c>
      <c r="G97" s="12">
        <f>_xlfn.XLOOKUP($C97,'BDG Intensity'!$F:$F,'BDG Intensity'!J:J)</f>
        <v/>
      </c>
      <c r="H97" s="12">
        <f>_xlfn.XLOOKUP($C97,'BDG Intensity'!$F:$F,'BDG Intensity'!K:K)</f>
        <v/>
      </c>
      <c r="I97" s="12">
        <f>_xlfn.XLOOKUP($C97,'BDG Intensity'!$F:$F,'BDG Intensity'!L:L)</f>
        <v/>
      </c>
      <c r="J97" s="12">
        <f>_xlfn.XLOOKUP($C97,'BDG Intensity'!$F:$F,'BDG Intensity'!M:M)</f>
        <v/>
      </c>
      <c r="K97" s="12">
        <f>_xlfn.XLOOKUP($C97,'BDG Intensity'!$F:$F,'BDG Intensity'!N:N)</f>
        <v/>
      </c>
      <c r="L97" s="12">
        <f>_xlfn.XLOOKUP($C97,'BDG Intensity'!$F:$F,'BDG Intensity'!O:O)</f>
        <v/>
      </c>
      <c r="M97" s="12">
        <f>_xlfn.XLOOKUP($C97,'BDG Intensity'!$F:$F,'BDG Intensity'!P:P)</f>
        <v/>
      </c>
      <c r="N97" s="12">
        <f>_xlfn.XLOOKUP($C97,'BDG Intensity'!$F:$F,'BDG Intensity'!Q:Q)</f>
        <v/>
      </c>
      <c r="O97" s="12">
        <f>_xlfn.XLOOKUP($C97,'BDG Intensity'!$F:$F,'BDG Intensity'!R:R)</f>
        <v/>
      </c>
      <c r="P97" s="12">
        <f>_xlfn.XLOOKUP($C97,'BDG Intensity'!$F:$F,'BDG Intensity'!S:S)</f>
        <v/>
      </c>
      <c r="Q97" s="12">
        <f>_xlfn.XLOOKUP($C97,'BDG Intensity'!$F:$F,'BDG Intensity'!T:T)</f>
        <v/>
      </c>
      <c r="R97" s="12">
        <f>_xlfn.XLOOKUP($C97,'BDG Intensity'!$F:$F,'BDG Intensity'!U:U)</f>
        <v/>
      </c>
      <c r="S97" s="12">
        <f>_xlfn.XLOOKUP($C97,'BDG Intensity'!$F:$F,'BDG Intensity'!V:V)</f>
        <v/>
      </c>
      <c r="T97" s="12">
        <f>_xlfn.XLOOKUP($C97,'BDG Intensity'!$F:$F,'BDG Intensity'!W:W)</f>
        <v/>
      </c>
      <c r="U97" s="12">
        <f>_xlfn.XLOOKUP($C97,'BDG Intensity'!$F:$F,'BDG Intensity'!X:X)</f>
        <v/>
      </c>
      <c r="V97" s="12">
        <f>_xlfn.XLOOKUP($C97,'BDG Intensity'!$F:$F,'BDG Intensity'!Y:Y)</f>
        <v/>
      </c>
      <c r="W97" s="12">
        <f>_xlfn.XLOOKUP($C97,'BDG Intensity'!$F:$F,'BDG Intensity'!Z:Z)</f>
        <v/>
      </c>
    </row>
    <row r="98">
      <c r="B98">
        <f>Def_Tech!C242</f>
        <v/>
      </c>
      <c r="C98">
        <f>Def_Tech!D113</f>
        <v/>
      </c>
      <c r="D98">
        <f>Def_Comm!C242</f>
        <v/>
      </c>
      <c r="E98">
        <f>Def_Comm!C113</f>
        <v/>
      </c>
      <c r="F98" s="12">
        <f>_xlfn.XLOOKUP($C98,'BDG Intensity'!$F:$F,'BDG Intensity'!I:I)</f>
        <v/>
      </c>
      <c r="G98" s="12">
        <f>_xlfn.XLOOKUP($C98,'BDG Intensity'!$F:$F,'BDG Intensity'!J:J)</f>
        <v/>
      </c>
      <c r="H98" s="12">
        <f>_xlfn.XLOOKUP($C98,'BDG Intensity'!$F:$F,'BDG Intensity'!K:K)</f>
        <v/>
      </c>
      <c r="I98" s="12">
        <f>_xlfn.XLOOKUP($C98,'BDG Intensity'!$F:$F,'BDG Intensity'!L:L)</f>
        <v/>
      </c>
      <c r="J98" s="12">
        <f>_xlfn.XLOOKUP($C98,'BDG Intensity'!$F:$F,'BDG Intensity'!M:M)</f>
        <v/>
      </c>
      <c r="K98" s="12">
        <f>_xlfn.XLOOKUP($C98,'BDG Intensity'!$F:$F,'BDG Intensity'!N:N)</f>
        <v/>
      </c>
      <c r="L98" s="12">
        <f>_xlfn.XLOOKUP($C98,'BDG Intensity'!$F:$F,'BDG Intensity'!O:O)</f>
        <v/>
      </c>
      <c r="M98" s="12">
        <f>_xlfn.XLOOKUP($C98,'BDG Intensity'!$F:$F,'BDG Intensity'!P:P)</f>
        <v/>
      </c>
      <c r="N98" s="12">
        <f>_xlfn.XLOOKUP($C98,'BDG Intensity'!$F:$F,'BDG Intensity'!Q:Q)</f>
        <v/>
      </c>
      <c r="O98" s="12">
        <f>_xlfn.XLOOKUP($C98,'BDG Intensity'!$F:$F,'BDG Intensity'!R:R)</f>
        <v/>
      </c>
      <c r="P98" s="12">
        <f>_xlfn.XLOOKUP($C98,'BDG Intensity'!$F:$F,'BDG Intensity'!S:S)</f>
        <v/>
      </c>
      <c r="Q98" s="12">
        <f>_xlfn.XLOOKUP($C98,'BDG Intensity'!$F:$F,'BDG Intensity'!T:T)</f>
        <v/>
      </c>
      <c r="R98" s="12">
        <f>_xlfn.XLOOKUP($C98,'BDG Intensity'!$F:$F,'BDG Intensity'!U:U)</f>
        <v/>
      </c>
      <c r="S98" s="12">
        <f>_xlfn.XLOOKUP($C98,'BDG Intensity'!$F:$F,'BDG Intensity'!V:V)</f>
        <v/>
      </c>
      <c r="T98" s="12">
        <f>_xlfn.XLOOKUP($C98,'BDG Intensity'!$F:$F,'BDG Intensity'!W:W)</f>
        <v/>
      </c>
      <c r="U98" s="12">
        <f>_xlfn.XLOOKUP($C98,'BDG Intensity'!$F:$F,'BDG Intensity'!X:X)</f>
        <v/>
      </c>
      <c r="V98" s="12">
        <f>_xlfn.XLOOKUP($C98,'BDG Intensity'!$F:$F,'BDG Intensity'!Y:Y)</f>
        <v/>
      </c>
      <c r="W98" s="12">
        <f>_xlfn.XLOOKUP($C98,'BDG Intensity'!$F:$F,'BDG Intensity'!Z:Z)</f>
        <v/>
      </c>
    </row>
    <row r="99">
      <c r="B99">
        <f>Def_Tech!C243</f>
        <v/>
      </c>
      <c r="C99">
        <f>Def_Tech!D114</f>
        <v/>
      </c>
      <c r="D99">
        <f>Def_Comm!C243</f>
        <v/>
      </c>
      <c r="E99">
        <f>Def_Comm!C114</f>
        <v/>
      </c>
      <c r="F99" s="12">
        <f>_xlfn.XLOOKUP($C99,'BDG Intensity'!$F:$F,'BDG Intensity'!I:I)</f>
        <v/>
      </c>
      <c r="G99" s="12">
        <f>_xlfn.XLOOKUP($C99,'BDG Intensity'!$F:$F,'BDG Intensity'!J:J)</f>
        <v/>
      </c>
      <c r="H99" s="12">
        <f>_xlfn.XLOOKUP($C99,'BDG Intensity'!$F:$F,'BDG Intensity'!K:K)</f>
        <v/>
      </c>
      <c r="I99" s="12">
        <f>_xlfn.XLOOKUP($C99,'BDG Intensity'!$F:$F,'BDG Intensity'!L:L)</f>
        <v/>
      </c>
      <c r="J99" s="12">
        <f>_xlfn.XLOOKUP($C99,'BDG Intensity'!$F:$F,'BDG Intensity'!M:M)</f>
        <v/>
      </c>
      <c r="K99" s="12">
        <f>_xlfn.XLOOKUP($C99,'BDG Intensity'!$F:$F,'BDG Intensity'!N:N)</f>
        <v/>
      </c>
      <c r="L99" s="12">
        <f>_xlfn.XLOOKUP($C99,'BDG Intensity'!$F:$F,'BDG Intensity'!O:O)</f>
        <v/>
      </c>
      <c r="M99" s="12">
        <f>_xlfn.XLOOKUP($C99,'BDG Intensity'!$F:$F,'BDG Intensity'!P:P)</f>
        <v/>
      </c>
      <c r="N99" s="12">
        <f>_xlfn.XLOOKUP($C99,'BDG Intensity'!$F:$F,'BDG Intensity'!Q:Q)</f>
        <v/>
      </c>
      <c r="O99" s="12">
        <f>_xlfn.XLOOKUP($C99,'BDG Intensity'!$F:$F,'BDG Intensity'!R:R)</f>
        <v/>
      </c>
      <c r="P99" s="12">
        <f>_xlfn.XLOOKUP($C99,'BDG Intensity'!$F:$F,'BDG Intensity'!S:S)</f>
        <v/>
      </c>
      <c r="Q99" s="12">
        <f>_xlfn.XLOOKUP($C99,'BDG Intensity'!$F:$F,'BDG Intensity'!T:T)</f>
        <v/>
      </c>
      <c r="R99" s="12">
        <f>_xlfn.XLOOKUP($C99,'BDG Intensity'!$F:$F,'BDG Intensity'!U:U)</f>
        <v/>
      </c>
      <c r="S99" s="12">
        <f>_xlfn.XLOOKUP($C99,'BDG Intensity'!$F:$F,'BDG Intensity'!V:V)</f>
        <v/>
      </c>
      <c r="T99" s="12">
        <f>_xlfn.XLOOKUP($C99,'BDG Intensity'!$F:$F,'BDG Intensity'!W:W)</f>
        <v/>
      </c>
      <c r="U99" s="12">
        <f>_xlfn.XLOOKUP($C99,'BDG Intensity'!$F:$F,'BDG Intensity'!X:X)</f>
        <v/>
      </c>
      <c r="V99" s="12">
        <f>_xlfn.XLOOKUP($C99,'BDG Intensity'!$F:$F,'BDG Intensity'!Y:Y)</f>
        <v/>
      </c>
      <c r="W99" s="12">
        <f>_xlfn.XLOOKUP($C99,'BDG Intensity'!$F:$F,'BDG Intensity'!Z:Z)</f>
        <v/>
      </c>
    </row>
    <row r="100">
      <c r="B100">
        <f>Def_Tech!C244</f>
        <v/>
      </c>
      <c r="C100">
        <f>Def_Tech!D115</f>
        <v/>
      </c>
      <c r="D100">
        <f>Def_Comm!C244</f>
        <v/>
      </c>
      <c r="E100">
        <f>Def_Comm!C115</f>
        <v/>
      </c>
      <c r="F100" s="12">
        <f>_xlfn.XLOOKUP($C100,'BDG Intensity'!$F:$F,'BDG Intensity'!I:I)</f>
        <v/>
      </c>
      <c r="G100" s="12">
        <f>_xlfn.XLOOKUP($C100,'BDG Intensity'!$F:$F,'BDG Intensity'!J:J)</f>
        <v/>
      </c>
      <c r="H100" s="12">
        <f>_xlfn.XLOOKUP($C100,'BDG Intensity'!$F:$F,'BDG Intensity'!K:K)</f>
        <v/>
      </c>
      <c r="I100" s="12">
        <f>_xlfn.XLOOKUP($C100,'BDG Intensity'!$F:$F,'BDG Intensity'!L:L)</f>
        <v/>
      </c>
      <c r="J100" s="12">
        <f>_xlfn.XLOOKUP($C100,'BDG Intensity'!$F:$F,'BDG Intensity'!M:M)</f>
        <v/>
      </c>
      <c r="K100" s="12">
        <f>_xlfn.XLOOKUP($C100,'BDG Intensity'!$F:$F,'BDG Intensity'!N:N)</f>
        <v/>
      </c>
      <c r="L100" s="12">
        <f>_xlfn.XLOOKUP($C100,'BDG Intensity'!$F:$F,'BDG Intensity'!O:O)</f>
        <v/>
      </c>
      <c r="M100" s="12">
        <f>_xlfn.XLOOKUP($C100,'BDG Intensity'!$F:$F,'BDG Intensity'!P:P)</f>
        <v/>
      </c>
      <c r="N100" s="12">
        <f>_xlfn.XLOOKUP($C100,'BDG Intensity'!$F:$F,'BDG Intensity'!Q:Q)</f>
        <v/>
      </c>
      <c r="O100" s="12">
        <f>_xlfn.XLOOKUP($C100,'BDG Intensity'!$F:$F,'BDG Intensity'!R:R)</f>
        <v/>
      </c>
      <c r="P100" s="12">
        <f>_xlfn.XLOOKUP($C100,'BDG Intensity'!$F:$F,'BDG Intensity'!S:S)</f>
        <v/>
      </c>
      <c r="Q100" s="12">
        <f>_xlfn.XLOOKUP($C100,'BDG Intensity'!$F:$F,'BDG Intensity'!T:T)</f>
        <v/>
      </c>
      <c r="R100" s="12">
        <f>_xlfn.XLOOKUP($C100,'BDG Intensity'!$F:$F,'BDG Intensity'!U:U)</f>
        <v/>
      </c>
      <c r="S100" s="12">
        <f>_xlfn.XLOOKUP($C100,'BDG Intensity'!$F:$F,'BDG Intensity'!V:V)</f>
        <v/>
      </c>
      <c r="T100" s="12">
        <f>_xlfn.XLOOKUP($C100,'BDG Intensity'!$F:$F,'BDG Intensity'!W:W)</f>
        <v/>
      </c>
      <c r="U100" s="12">
        <f>_xlfn.XLOOKUP($C100,'BDG Intensity'!$F:$F,'BDG Intensity'!X:X)</f>
        <v/>
      </c>
      <c r="V100" s="12">
        <f>_xlfn.XLOOKUP($C100,'BDG Intensity'!$F:$F,'BDG Intensity'!Y:Y)</f>
        <v/>
      </c>
      <c r="W100" s="12">
        <f>_xlfn.XLOOKUP($C100,'BDG Intensity'!$F:$F,'BDG Intensity'!Z:Z)</f>
        <v/>
      </c>
    </row>
    <row r="101">
      <c r="B101">
        <f>Def_Tech!C245</f>
        <v/>
      </c>
      <c r="C101">
        <f>Def_Tech!D116</f>
        <v/>
      </c>
      <c r="D101">
        <f>Def_Comm!C245</f>
        <v/>
      </c>
      <c r="E101">
        <f>Def_Comm!C116</f>
        <v/>
      </c>
      <c r="F101" s="12">
        <f>_xlfn.XLOOKUP($C101,'BDG Intensity'!$F:$F,'BDG Intensity'!I:I)</f>
        <v/>
      </c>
      <c r="G101" s="12">
        <f>_xlfn.XLOOKUP($C101,'BDG Intensity'!$F:$F,'BDG Intensity'!J:J)</f>
        <v/>
      </c>
      <c r="H101" s="12">
        <f>_xlfn.XLOOKUP($C101,'BDG Intensity'!$F:$F,'BDG Intensity'!K:K)</f>
        <v/>
      </c>
      <c r="I101" s="12">
        <f>_xlfn.XLOOKUP($C101,'BDG Intensity'!$F:$F,'BDG Intensity'!L:L)</f>
        <v/>
      </c>
      <c r="J101" s="12">
        <f>_xlfn.XLOOKUP($C101,'BDG Intensity'!$F:$F,'BDG Intensity'!M:M)</f>
        <v/>
      </c>
      <c r="K101" s="12">
        <f>_xlfn.XLOOKUP($C101,'BDG Intensity'!$F:$F,'BDG Intensity'!N:N)</f>
        <v/>
      </c>
      <c r="L101" s="12">
        <f>_xlfn.XLOOKUP($C101,'BDG Intensity'!$F:$F,'BDG Intensity'!O:O)</f>
        <v/>
      </c>
      <c r="M101" s="12">
        <f>_xlfn.XLOOKUP($C101,'BDG Intensity'!$F:$F,'BDG Intensity'!P:P)</f>
        <v/>
      </c>
      <c r="N101" s="12">
        <f>_xlfn.XLOOKUP($C101,'BDG Intensity'!$F:$F,'BDG Intensity'!Q:Q)</f>
        <v/>
      </c>
      <c r="O101" s="12">
        <f>_xlfn.XLOOKUP($C101,'BDG Intensity'!$F:$F,'BDG Intensity'!R:R)</f>
        <v/>
      </c>
      <c r="P101" s="12">
        <f>_xlfn.XLOOKUP($C101,'BDG Intensity'!$F:$F,'BDG Intensity'!S:S)</f>
        <v/>
      </c>
      <c r="Q101" s="12">
        <f>_xlfn.XLOOKUP($C101,'BDG Intensity'!$F:$F,'BDG Intensity'!T:T)</f>
        <v/>
      </c>
      <c r="R101" s="12">
        <f>_xlfn.XLOOKUP($C101,'BDG Intensity'!$F:$F,'BDG Intensity'!U:U)</f>
        <v/>
      </c>
      <c r="S101" s="12">
        <f>_xlfn.XLOOKUP($C101,'BDG Intensity'!$F:$F,'BDG Intensity'!V:V)</f>
        <v/>
      </c>
      <c r="T101" s="12">
        <f>_xlfn.XLOOKUP($C101,'BDG Intensity'!$F:$F,'BDG Intensity'!W:W)</f>
        <v/>
      </c>
      <c r="U101" s="12">
        <f>_xlfn.XLOOKUP($C101,'BDG Intensity'!$F:$F,'BDG Intensity'!X:X)</f>
        <v/>
      </c>
      <c r="V101" s="12">
        <f>_xlfn.XLOOKUP($C101,'BDG Intensity'!$F:$F,'BDG Intensity'!Y:Y)</f>
        <v/>
      </c>
      <c r="W101" s="12">
        <f>_xlfn.XLOOKUP($C101,'BDG Intensity'!$F:$F,'BDG Intensity'!Z:Z)</f>
        <v/>
      </c>
    </row>
    <row r="102">
      <c r="B102">
        <f>Def_Tech!C246</f>
        <v/>
      </c>
      <c r="C102">
        <f>Def_Tech!D117</f>
        <v/>
      </c>
      <c r="D102">
        <f>Def_Comm!C246</f>
        <v/>
      </c>
      <c r="E102">
        <f>Def_Comm!C117</f>
        <v/>
      </c>
      <c r="F102" s="12">
        <f>_xlfn.XLOOKUP($C102,'BDG Intensity'!$F:$F,'BDG Intensity'!I:I)</f>
        <v/>
      </c>
      <c r="G102" s="12">
        <f>_xlfn.XLOOKUP($C102,'BDG Intensity'!$F:$F,'BDG Intensity'!J:J)</f>
        <v/>
      </c>
      <c r="H102" s="12">
        <f>_xlfn.XLOOKUP($C102,'BDG Intensity'!$F:$F,'BDG Intensity'!K:K)</f>
        <v/>
      </c>
      <c r="I102" s="12">
        <f>_xlfn.XLOOKUP($C102,'BDG Intensity'!$F:$F,'BDG Intensity'!L:L)</f>
        <v/>
      </c>
      <c r="J102" s="12">
        <f>_xlfn.XLOOKUP($C102,'BDG Intensity'!$F:$F,'BDG Intensity'!M:M)</f>
        <v/>
      </c>
      <c r="K102" s="12">
        <f>_xlfn.XLOOKUP($C102,'BDG Intensity'!$F:$F,'BDG Intensity'!N:N)</f>
        <v/>
      </c>
      <c r="L102" s="12">
        <f>_xlfn.XLOOKUP($C102,'BDG Intensity'!$F:$F,'BDG Intensity'!O:O)</f>
        <v/>
      </c>
      <c r="M102" s="12">
        <f>_xlfn.XLOOKUP($C102,'BDG Intensity'!$F:$F,'BDG Intensity'!P:P)</f>
        <v/>
      </c>
      <c r="N102" s="12">
        <f>_xlfn.XLOOKUP($C102,'BDG Intensity'!$F:$F,'BDG Intensity'!Q:Q)</f>
        <v/>
      </c>
      <c r="O102" s="12">
        <f>_xlfn.XLOOKUP($C102,'BDG Intensity'!$F:$F,'BDG Intensity'!R:R)</f>
        <v/>
      </c>
      <c r="P102" s="12">
        <f>_xlfn.XLOOKUP($C102,'BDG Intensity'!$F:$F,'BDG Intensity'!S:S)</f>
        <v/>
      </c>
      <c r="Q102" s="12">
        <f>_xlfn.XLOOKUP($C102,'BDG Intensity'!$F:$F,'BDG Intensity'!T:T)</f>
        <v/>
      </c>
      <c r="R102" s="12">
        <f>_xlfn.XLOOKUP($C102,'BDG Intensity'!$F:$F,'BDG Intensity'!U:U)</f>
        <v/>
      </c>
      <c r="S102" s="12">
        <f>_xlfn.XLOOKUP($C102,'BDG Intensity'!$F:$F,'BDG Intensity'!V:V)</f>
        <v/>
      </c>
      <c r="T102" s="12">
        <f>_xlfn.XLOOKUP($C102,'BDG Intensity'!$F:$F,'BDG Intensity'!W:W)</f>
        <v/>
      </c>
      <c r="U102" s="12">
        <f>_xlfn.XLOOKUP($C102,'BDG Intensity'!$F:$F,'BDG Intensity'!X:X)</f>
        <v/>
      </c>
      <c r="V102" s="12">
        <f>_xlfn.XLOOKUP($C102,'BDG Intensity'!$F:$F,'BDG Intensity'!Y:Y)</f>
        <v/>
      </c>
      <c r="W102" s="12">
        <f>_xlfn.XLOOKUP($C102,'BDG Intensity'!$F:$F,'BDG Intensity'!Z:Z)</f>
        <v/>
      </c>
    </row>
    <row r="103">
      <c r="B103">
        <f>Def_Tech!C247</f>
        <v/>
      </c>
      <c r="C103">
        <f>Def_Tech!D118</f>
        <v/>
      </c>
      <c r="D103">
        <f>Def_Comm!C247</f>
        <v/>
      </c>
      <c r="E103">
        <f>Def_Comm!C118</f>
        <v/>
      </c>
      <c r="F103" s="12">
        <f>_xlfn.XLOOKUP($C103,'BDG Intensity'!$F:$F,'BDG Intensity'!I:I)</f>
        <v/>
      </c>
      <c r="G103" s="12">
        <f>_xlfn.XLOOKUP($C103,'BDG Intensity'!$F:$F,'BDG Intensity'!J:J)</f>
        <v/>
      </c>
      <c r="H103" s="12">
        <f>_xlfn.XLOOKUP($C103,'BDG Intensity'!$F:$F,'BDG Intensity'!K:K)</f>
        <v/>
      </c>
      <c r="I103" s="12">
        <f>_xlfn.XLOOKUP($C103,'BDG Intensity'!$F:$F,'BDG Intensity'!L:L)</f>
        <v/>
      </c>
      <c r="J103" s="12">
        <f>_xlfn.XLOOKUP($C103,'BDG Intensity'!$F:$F,'BDG Intensity'!M:M)</f>
        <v/>
      </c>
      <c r="K103" s="12">
        <f>_xlfn.XLOOKUP($C103,'BDG Intensity'!$F:$F,'BDG Intensity'!N:N)</f>
        <v/>
      </c>
      <c r="L103" s="12">
        <f>_xlfn.XLOOKUP($C103,'BDG Intensity'!$F:$F,'BDG Intensity'!O:O)</f>
        <v/>
      </c>
      <c r="M103" s="12">
        <f>_xlfn.XLOOKUP($C103,'BDG Intensity'!$F:$F,'BDG Intensity'!P:P)</f>
        <v/>
      </c>
      <c r="N103" s="12">
        <f>_xlfn.XLOOKUP($C103,'BDG Intensity'!$F:$F,'BDG Intensity'!Q:Q)</f>
        <v/>
      </c>
      <c r="O103" s="12">
        <f>_xlfn.XLOOKUP($C103,'BDG Intensity'!$F:$F,'BDG Intensity'!R:R)</f>
        <v/>
      </c>
      <c r="P103" s="12">
        <f>_xlfn.XLOOKUP($C103,'BDG Intensity'!$F:$F,'BDG Intensity'!S:S)</f>
        <v/>
      </c>
      <c r="Q103" s="12">
        <f>_xlfn.XLOOKUP($C103,'BDG Intensity'!$F:$F,'BDG Intensity'!T:T)</f>
        <v/>
      </c>
      <c r="R103" s="12">
        <f>_xlfn.XLOOKUP($C103,'BDG Intensity'!$F:$F,'BDG Intensity'!U:U)</f>
        <v/>
      </c>
      <c r="S103" s="12">
        <f>_xlfn.XLOOKUP($C103,'BDG Intensity'!$F:$F,'BDG Intensity'!V:V)</f>
        <v/>
      </c>
      <c r="T103" s="12">
        <f>_xlfn.XLOOKUP($C103,'BDG Intensity'!$F:$F,'BDG Intensity'!W:W)</f>
        <v/>
      </c>
      <c r="U103" s="12">
        <f>_xlfn.XLOOKUP($C103,'BDG Intensity'!$F:$F,'BDG Intensity'!X:X)</f>
        <v/>
      </c>
      <c r="V103" s="12">
        <f>_xlfn.XLOOKUP($C103,'BDG Intensity'!$F:$F,'BDG Intensity'!Y:Y)</f>
        <v/>
      </c>
      <c r="W103" s="12">
        <f>_xlfn.XLOOKUP($C103,'BDG Intensity'!$F:$F,'BDG Intensity'!Z:Z)</f>
        <v/>
      </c>
    </row>
    <row r="104">
      <c r="B104">
        <f>Def_Tech!C248</f>
        <v/>
      </c>
      <c r="C104">
        <f>Def_Tech!D119</f>
        <v/>
      </c>
      <c r="D104">
        <f>Def_Comm!C248</f>
        <v/>
      </c>
      <c r="E104">
        <f>Def_Comm!C119</f>
        <v/>
      </c>
      <c r="F104" s="12">
        <f>_xlfn.XLOOKUP($C104,'BDG Intensity'!$F:$F,'BDG Intensity'!I:I)</f>
        <v/>
      </c>
      <c r="G104" s="12">
        <f>_xlfn.XLOOKUP($C104,'BDG Intensity'!$F:$F,'BDG Intensity'!J:J)</f>
        <v/>
      </c>
      <c r="H104" s="12">
        <f>_xlfn.XLOOKUP($C104,'BDG Intensity'!$F:$F,'BDG Intensity'!K:K)</f>
        <v/>
      </c>
      <c r="I104" s="12">
        <f>_xlfn.XLOOKUP($C104,'BDG Intensity'!$F:$F,'BDG Intensity'!L:L)</f>
        <v/>
      </c>
      <c r="J104" s="12">
        <f>_xlfn.XLOOKUP($C104,'BDG Intensity'!$F:$F,'BDG Intensity'!M:M)</f>
        <v/>
      </c>
      <c r="K104" s="12">
        <f>_xlfn.XLOOKUP($C104,'BDG Intensity'!$F:$F,'BDG Intensity'!N:N)</f>
        <v/>
      </c>
      <c r="L104" s="12">
        <f>_xlfn.XLOOKUP($C104,'BDG Intensity'!$F:$F,'BDG Intensity'!O:O)</f>
        <v/>
      </c>
      <c r="M104" s="12">
        <f>_xlfn.XLOOKUP($C104,'BDG Intensity'!$F:$F,'BDG Intensity'!P:P)</f>
        <v/>
      </c>
      <c r="N104" s="12">
        <f>_xlfn.XLOOKUP($C104,'BDG Intensity'!$F:$F,'BDG Intensity'!Q:Q)</f>
        <v/>
      </c>
      <c r="O104" s="12">
        <f>_xlfn.XLOOKUP($C104,'BDG Intensity'!$F:$F,'BDG Intensity'!R:R)</f>
        <v/>
      </c>
      <c r="P104" s="12">
        <f>_xlfn.XLOOKUP($C104,'BDG Intensity'!$F:$F,'BDG Intensity'!S:S)</f>
        <v/>
      </c>
      <c r="Q104" s="12">
        <f>_xlfn.XLOOKUP($C104,'BDG Intensity'!$F:$F,'BDG Intensity'!T:T)</f>
        <v/>
      </c>
      <c r="R104" s="12">
        <f>_xlfn.XLOOKUP($C104,'BDG Intensity'!$F:$F,'BDG Intensity'!U:U)</f>
        <v/>
      </c>
      <c r="S104" s="12">
        <f>_xlfn.XLOOKUP($C104,'BDG Intensity'!$F:$F,'BDG Intensity'!V:V)</f>
        <v/>
      </c>
      <c r="T104" s="12">
        <f>_xlfn.XLOOKUP($C104,'BDG Intensity'!$F:$F,'BDG Intensity'!W:W)</f>
        <v/>
      </c>
      <c r="U104" s="12">
        <f>_xlfn.XLOOKUP($C104,'BDG Intensity'!$F:$F,'BDG Intensity'!X:X)</f>
        <v/>
      </c>
      <c r="V104" s="12">
        <f>_xlfn.XLOOKUP($C104,'BDG Intensity'!$F:$F,'BDG Intensity'!Y:Y)</f>
        <v/>
      </c>
      <c r="W104" s="12">
        <f>_xlfn.XLOOKUP($C104,'BDG Intensity'!$F:$F,'BDG Intensity'!Z:Z)</f>
        <v/>
      </c>
    </row>
    <row r="105">
      <c r="B105">
        <f>Def_Tech!C249</f>
        <v/>
      </c>
      <c r="C105">
        <f>Def_Tech!D120</f>
        <v/>
      </c>
      <c r="D105">
        <f>Def_Comm!C249</f>
        <v/>
      </c>
      <c r="E105">
        <f>Def_Comm!C120</f>
        <v/>
      </c>
      <c r="F105" s="12">
        <f>_xlfn.XLOOKUP($C105,'BDG Intensity'!$F:$F,'BDG Intensity'!I:I)</f>
        <v/>
      </c>
      <c r="G105" s="12">
        <f>_xlfn.XLOOKUP($C105,'BDG Intensity'!$F:$F,'BDG Intensity'!J:J)</f>
        <v/>
      </c>
      <c r="H105" s="12">
        <f>_xlfn.XLOOKUP($C105,'BDG Intensity'!$F:$F,'BDG Intensity'!K:K)</f>
        <v/>
      </c>
      <c r="I105" s="12">
        <f>_xlfn.XLOOKUP($C105,'BDG Intensity'!$F:$F,'BDG Intensity'!L:L)</f>
        <v/>
      </c>
      <c r="J105" s="12">
        <f>_xlfn.XLOOKUP($C105,'BDG Intensity'!$F:$F,'BDG Intensity'!M:M)</f>
        <v/>
      </c>
      <c r="K105" s="12">
        <f>_xlfn.XLOOKUP($C105,'BDG Intensity'!$F:$F,'BDG Intensity'!N:N)</f>
        <v/>
      </c>
      <c r="L105" s="12">
        <f>_xlfn.XLOOKUP($C105,'BDG Intensity'!$F:$F,'BDG Intensity'!O:O)</f>
        <v/>
      </c>
      <c r="M105" s="12">
        <f>_xlfn.XLOOKUP($C105,'BDG Intensity'!$F:$F,'BDG Intensity'!P:P)</f>
        <v/>
      </c>
      <c r="N105" s="12">
        <f>_xlfn.XLOOKUP($C105,'BDG Intensity'!$F:$F,'BDG Intensity'!Q:Q)</f>
        <v/>
      </c>
      <c r="O105" s="12">
        <f>_xlfn.XLOOKUP($C105,'BDG Intensity'!$F:$F,'BDG Intensity'!R:R)</f>
        <v/>
      </c>
      <c r="P105" s="12">
        <f>_xlfn.XLOOKUP($C105,'BDG Intensity'!$F:$F,'BDG Intensity'!S:S)</f>
        <v/>
      </c>
      <c r="Q105" s="12">
        <f>_xlfn.XLOOKUP($C105,'BDG Intensity'!$F:$F,'BDG Intensity'!T:T)</f>
        <v/>
      </c>
      <c r="R105" s="12">
        <f>_xlfn.XLOOKUP($C105,'BDG Intensity'!$F:$F,'BDG Intensity'!U:U)</f>
        <v/>
      </c>
      <c r="S105" s="12">
        <f>_xlfn.XLOOKUP($C105,'BDG Intensity'!$F:$F,'BDG Intensity'!V:V)</f>
        <v/>
      </c>
      <c r="T105" s="12">
        <f>_xlfn.XLOOKUP($C105,'BDG Intensity'!$F:$F,'BDG Intensity'!W:W)</f>
        <v/>
      </c>
      <c r="U105" s="12">
        <f>_xlfn.XLOOKUP($C105,'BDG Intensity'!$F:$F,'BDG Intensity'!X:X)</f>
        <v/>
      </c>
      <c r="V105" s="12">
        <f>_xlfn.XLOOKUP($C105,'BDG Intensity'!$F:$F,'BDG Intensity'!Y:Y)</f>
        <v/>
      </c>
      <c r="W105" s="12">
        <f>_xlfn.XLOOKUP($C105,'BDG Intensity'!$F:$F,'BDG Intensity'!Z:Z)</f>
        <v/>
      </c>
    </row>
    <row r="106">
      <c r="B106">
        <f>Def_Tech!C250</f>
        <v/>
      </c>
      <c r="C106">
        <f>Def_Tech!D121</f>
        <v/>
      </c>
      <c r="D106">
        <f>Def_Comm!C250</f>
        <v/>
      </c>
      <c r="E106">
        <f>Def_Comm!C121</f>
        <v/>
      </c>
      <c r="F106" s="12">
        <f>_xlfn.XLOOKUP($C106,'BDG Intensity'!$F:$F,'BDG Intensity'!I:I)</f>
        <v/>
      </c>
      <c r="G106" s="12">
        <f>_xlfn.XLOOKUP($C106,'BDG Intensity'!$F:$F,'BDG Intensity'!J:J)</f>
        <v/>
      </c>
      <c r="H106" s="12">
        <f>_xlfn.XLOOKUP($C106,'BDG Intensity'!$F:$F,'BDG Intensity'!K:K)</f>
        <v/>
      </c>
      <c r="I106" s="12">
        <f>_xlfn.XLOOKUP($C106,'BDG Intensity'!$F:$F,'BDG Intensity'!L:L)</f>
        <v/>
      </c>
      <c r="J106" s="12">
        <f>_xlfn.XLOOKUP($C106,'BDG Intensity'!$F:$F,'BDG Intensity'!M:M)</f>
        <v/>
      </c>
      <c r="K106" s="12">
        <f>_xlfn.XLOOKUP($C106,'BDG Intensity'!$F:$F,'BDG Intensity'!N:N)</f>
        <v/>
      </c>
      <c r="L106" s="12">
        <f>_xlfn.XLOOKUP($C106,'BDG Intensity'!$F:$F,'BDG Intensity'!O:O)</f>
        <v/>
      </c>
      <c r="M106" s="12">
        <f>_xlfn.XLOOKUP($C106,'BDG Intensity'!$F:$F,'BDG Intensity'!P:P)</f>
        <v/>
      </c>
      <c r="N106" s="12">
        <f>_xlfn.XLOOKUP($C106,'BDG Intensity'!$F:$F,'BDG Intensity'!Q:Q)</f>
        <v/>
      </c>
      <c r="O106" s="12">
        <f>_xlfn.XLOOKUP($C106,'BDG Intensity'!$F:$F,'BDG Intensity'!R:R)</f>
        <v/>
      </c>
      <c r="P106" s="12">
        <f>_xlfn.XLOOKUP($C106,'BDG Intensity'!$F:$F,'BDG Intensity'!S:S)</f>
        <v/>
      </c>
      <c r="Q106" s="12">
        <f>_xlfn.XLOOKUP($C106,'BDG Intensity'!$F:$F,'BDG Intensity'!T:T)</f>
        <v/>
      </c>
      <c r="R106" s="12">
        <f>_xlfn.XLOOKUP($C106,'BDG Intensity'!$F:$F,'BDG Intensity'!U:U)</f>
        <v/>
      </c>
      <c r="S106" s="12">
        <f>_xlfn.XLOOKUP($C106,'BDG Intensity'!$F:$F,'BDG Intensity'!V:V)</f>
        <v/>
      </c>
      <c r="T106" s="12">
        <f>_xlfn.XLOOKUP($C106,'BDG Intensity'!$F:$F,'BDG Intensity'!W:W)</f>
        <v/>
      </c>
      <c r="U106" s="12">
        <f>_xlfn.XLOOKUP($C106,'BDG Intensity'!$F:$F,'BDG Intensity'!X:X)</f>
        <v/>
      </c>
      <c r="V106" s="12">
        <f>_xlfn.XLOOKUP($C106,'BDG Intensity'!$F:$F,'BDG Intensity'!Y:Y)</f>
        <v/>
      </c>
      <c r="W106" s="12">
        <f>_xlfn.XLOOKUP($C106,'BDG Intensity'!$F:$F,'BDG Intensity'!Z:Z)</f>
        <v/>
      </c>
    </row>
    <row r="107">
      <c r="B107">
        <f>Def_Tech!C251</f>
        <v/>
      </c>
      <c r="C107">
        <f>Def_Tech!D122</f>
        <v/>
      </c>
      <c r="D107">
        <f>Def_Comm!C251</f>
        <v/>
      </c>
      <c r="E107">
        <f>Def_Comm!C122</f>
        <v/>
      </c>
      <c r="F107" s="12">
        <f>_xlfn.XLOOKUP($C107,'BDG Intensity'!$F:$F,'BDG Intensity'!I:I)</f>
        <v/>
      </c>
      <c r="G107" s="12">
        <f>_xlfn.XLOOKUP($C107,'BDG Intensity'!$F:$F,'BDG Intensity'!J:J)</f>
        <v/>
      </c>
      <c r="H107" s="12">
        <f>_xlfn.XLOOKUP($C107,'BDG Intensity'!$F:$F,'BDG Intensity'!K:K)</f>
        <v/>
      </c>
      <c r="I107" s="12">
        <f>_xlfn.XLOOKUP($C107,'BDG Intensity'!$F:$F,'BDG Intensity'!L:L)</f>
        <v/>
      </c>
      <c r="J107" s="12">
        <f>_xlfn.XLOOKUP($C107,'BDG Intensity'!$F:$F,'BDG Intensity'!M:M)</f>
        <v/>
      </c>
      <c r="K107" s="12">
        <f>_xlfn.XLOOKUP($C107,'BDG Intensity'!$F:$F,'BDG Intensity'!N:N)</f>
        <v/>
      </c>
      <c r="L107" s="12">
        <f>_xlfn.XLOOKUP($C107,'BDG Intensity'!$F:$F,'BDG Intensity'!O:O)</f>
        <v/>
      </c>
      <c r="M107" s="12">
        <f>_xlfn.XLOOKUP($C107,'BDG Intensity'!$F:$F,'BDG Intensity'!P:P)</f>
        <v/>
      </c>
      <c r="N107" s="12">
        <f>_xlfn.XLOOKUP($C107,'BDG Intensity'!$F:$F,'BDG Intensity'!Q:Q)</f>
        <v/>
      </c>
      <c r="O107" s="12">
        <f>_xlfn.XLOOKUP($C107,'BDG Intensity'!$F:$F,'BDG Intensity'!R:R)</f>
        <v/>
      </c>
      <c r="P107" s="12">
        <f>_xlfn.XLOOKUP($C107,'BDG Intensity'!$F:$F,'BDG Intensity'!S:S)</f>
        <v/>
      </c>
      <c r="Q107" s="12">
        <f>_xlfn.XLOOKUP($C107,'BDG Intensity'!$F:$F,'BDG Intensity'!T:T)</f>
        <v/>
      </c>
      <c r="R107" s="12">
        <f>_xlfn.XLOOKUP($C107,'BDG Intensity'!$F:$F,'BDG Intensity'!U:U)</f>
        <v/>
      </c>
      <c r="S107" s="12">
        <f>_xlfn.XLOOKUP($C107,'BDG Intensity'!$F:$F,'BDG Intensity'!V:V)</f>
        <v/>
      </c>
      <c r="T107" s="12">
        <f>_xlfn.XLOOKUP($C107,'BDG Intensity'!$F:$F,'BDG Intensity'!W:W)</f>
        <v/>
      </c>
      <c r="U107" s="12">
        <f>_xlfn.XLOOKUP($C107,'BDG Intensity'!$F:$F,'BDG Intensity'!X:X)</f>
        <v/>
      </c>
      <c r="V107" s="12">
        <f>_xlfn.XLOOKUP($C107,'BDG Intensity'!$F:$F,'BDG Intensity'!Y:Y)</f>
        <v/>
      </c>
      <c r="W107" s="12">
        <f>_xlfn.XLOOKUP($C107,'BDG Intensity'!$F:$F,'BDG Intensity'!Z:Z)</f>
        <v/>
      </c>
    </row>
    <row r="108">
      <c r="B108">
        <f>Def_Tech!C252</f>
        <v/>
      </c>
      <c r="C108">
        <f>Def_Tech!D123</f>
        <v/>
      </c>
      <c r="D108">
        <f>Def_Comm!C252</f>
        <v/>
      </c>
      <c r="E108">
        <f>Def_Comm!C123</f>
        <v/>
      </c>
      <c r="F108" s="12">
        <f>_xlfn.XLOOKUP($C108,'BDG Intensity'!$F:$F,'BDG Intensity'!I:I)</f>
        <v/>
      </c>
      <c r="G108" s="12">
        <f>_xlfn.XLOOKUP($C108,'BDG Intensity'!$F:$F,'BDG Intensity'!J:J)</f>
        <v/>
      </c>
      <c r="H108" s="12">
        <f>_xlfn.XLOOKUP($C108,'BDG Intensity'!$F:$F,'BDG Intensity'!K:K)</f>
        <v/>
      </c>
      <c r="I108" s="12">
        <f>_xlfn.XLOOKUP($C108,'BDG Intensity'!$F:$F,'BDG Intensity'!L:L)</f>
        <v/>
      </c>
      <c r="J108" s="12">
        <f>_xlfn.XLOOKUP($C108,'BDG Intensity'!$F:$F,'BDG Intensity'!M:M)</f>
        <v/>
      </c>
      <c r="K108" s="12">
        <f>_xlfn.XLOOKUP($C108,'BDG Intensity'!$F:$F,'BDG Intensity'!N:N)</f>
        <v/>
      </c>
      <c r="L108" s="12">
        <f>_xlfn.XLOOKUP($C108,'BDG Intensity'!$F:$F,'BDG Intensity'!O:O)</f>
        <v/>
      </c>
      <c r="M108" s="12">
        <f>_xlfn.XLOOKUP($C108,'BDG Intensity'!$F:$F,'BDG Intensity'!P:P)</f>
        <v/>
      </c>
      <c r="N108" s="12">
        <f>_xlfn.XLOOKUP($C108,'BDG Intensity'!$F:$F,'BDG Intensity'!Q:Q)</f>
        <v/>
      </c>
      <c r="O108" s="12">
        <f>_xlfn.XLOOKUP($C108,'BDG Intensity'!$F:$F,'BDG Intensity'!R:R)</f>
        <v/>
      </c>
      <c r="P108" s="12">
        <f>_xlfn.XLOOKUP($C108,'BDG Intensity'!$F:$F,'BDG Intensity'!S:S)</f>
        <v/>
      </c>
      <c r="Q108" s="12">
        <f>_xlfn.XLOOKUP($C108,'BDG Intensity'!$F:$F,'BDG Intensity'!T:T)</f>
        <v/>
      </c>
      <c r="R108" s="12">
        <f>_xlfn.XLOOKUP($C108,'BDG Intensity'!$F:$F,'BDG Intensity'!U:U)</f>
        <v/>
      </c>
      <c r="S108" s="12">
        <f>_xlfn.XLOOKUP($C108,'BDG Intensity'!$F:$F,'BDG Intensity'!V:V)</f>
        <v/>
      </c>
      <c r="T108" s="12">
        <f>_xlfn.XLOOKUP($C108,'BDG Intensity'!$F:$F,'BDG Intensity'!W:W)</f>
        <v/>
      </c>
      <c r="U108" s="12">
        <f>_xlfn.XLOOKUP($C108,'BDG Intensity'!$F:$F,'BDG Intensity'!X:X)</f>
        <v/>
      </c>
      <c r="V108" s="12">
        <f>_xlfn.XLOOKUP($C108,'BDG Intensity'!$F:$F,'BDG Intensity'!Y:Y)</f>
        <v/>
      </c>
      <c r="W108" s="12">
        <f>_xlfn.XLOOKUP($C108,'BDG Intensity'!$F:$F,'BDG Intensity'!Z:Z)</f>
        <v/>
      </c>
    </row>
    <row r="109">
      <c r="B109">
        <f>Def_Tech!C253</f>
        <v/>
      </c>
      <c r="C109">
        <f>Def_Tech!D124</f>
        <v/>
      </c>
      <c r="D109">
        <f>Def_Comm!C253</f>
        <v/>
      </c>
      <c r="E109">
        <f>Def_Comm!C124</f>
        <v/>
      </c>
      <c r="F109" s="12">
        <f>_xlfn.XLOOKUP($C109,'BDG Intensity'!$F:$F,'BDG Intensity'!I:I)</f>
        <v/>
      </c>
      <c r="G109" s="12">
        <f>_xlfn.XLOOKUP($C109,'BDG Intensity'!$F:$F,'BDG Intensity'!J:J)</f>
        <v/>
      </c>
      <c r="H109" s="12">
        <f>_xlfn.XLOOKUP($C109,'BDG Intensity'!$F:$F,'BDG Intensity'!K:K)</f>
        <v/>
      </c>
      <c r="I109" s="12">
        <f>_xlfn.XLOOKUP($C109,'BDG Intensity'!$F:$F,'BDG Intensity'!L:L)</f>
        <v/>
      </c>
      <c r="J109" s="12">
        <f>_xlfn.XLOOKUP($C109,'BDG Intensity'!$F:$F,'BDG Intensity'!M:M)</f>
        <v/>
      </c>
      <c r="K109" s="12">
        <f>_xlfn.XLOOKUP($C109,'BDG Intensity'!$F:$F,'BDG Intensity'!N:N)</f>
        <v/>
      </c>
      <c r="L109" s="12">
        <f>_xlfn.XLOOKUP($C109,'BDG Intensity'!$F:$F,'BDG Intensity'!O:O)</f>
        <v/>
      </c>
      <c r="M109" s="12">
        <f>_xlfn.XLOOKUP($C109,'BDG Intensity'!$F:$F,'BDG Intensity'!P:P)</f>
        <v/>
      </c>
      <c r="N109" s="12">
        <f>_xlfn.XLOOKUP($C109,'BDG Intensity'!$F:$F,'BDG Intensity'!Q:Q)</f>
        <v/>
      </c>
      <c r="O109" s="12">
        <f>_xlfn.XLOOKUP($C109,'BDG Intensity'!$F:$F,'BDG Intensity'!R:R)</f>
        <v/>
      </c>
      <c r="P109" s="12">
        <f>_xlfn.XLOOKUP($C109,'BDG Intensity'!$F:$F,'BDG Intensity'!S:S)</f>
        <v/>
      </c>
      <c r="Q109" s="12">
        <f>_xlfn.XLOOKUP($C109,'BDG Intensity'!$F:$F,'BDG Intensity'!T:T)</f>
        <v/>
      </c>
      <c r="R109" s="12">
        <f>_xlfn.XLOOKUP($C109,'BDG Intensity'!$F:$F,'BDG Intensity'!U:U)</f>
        <v/>
      </c>
      <c r="S109" s="12">
        <f>_xlfn.XLOOKUP($C109,'BDG Intensity'!$F:$F,'BDG Intensity'!V:V)</f>
        <v/>
      </c>
      <c r="T109" s="12">
        <f>_xlfn.XLOOKUP($C109,'BDG Intensity'!$F:$F,'BDG Intensity'!W:W)</f>
        <v/>
      </c>
      <c r="U109" s="12">
        <f>_xlfn.XLOOKUP($C109,'BDG Intensity'!$F:$F,'BDG Intensity'!X:X)</f>
        <v/>
      </c>
      <c r="V109" s="12">
        <f>_xlfn.XLOOKUP($C109,'BDG Intensity'!$F:$F,'BDG Intensity'!Y:Y)</f>
        <v/>
      </c>
      <c r="W109" s="12">
        <f>_xlfn.XLOOKUP($C109,'BDG Intensity'!$F:$F,'BDG Intensity'!Z:Z)</f>
        <v/>
      </c>
    </row>
    <row r="110">
      <c r="B110">
        <f>Def_Tech!C254</f>
        <v/>
      </c>
      <c r="C110">
        <f>Def_Tech!D125</f>
        <v/>
      </c>
      <c r="D110">
        <f>Def_Comm!C254</f>
        <v/>
      </c>
      <c r="E110">
        <f>Def_Comm!C125</f>
        <v/>
      </c>
      <c r="F110" s="12">
        <f>_xlfn.XLOOKUP($C110,'BDG Intensity'!$F:$F,'BDG Intensity'!I:I)</f>
        <v/>
      </c>
      <c r="G110" s="12">
        <f>_xlfn.XLOOKUP($C110,'BDG Intensity'!$F:$F,'BDG Intensity'!J:J)</f>
        <v/>
      </c>
      <c r="H110" s="12">
        <f>_xlfn.XLOOKUP($C110,'BDG Intensity'!$F:$F,'BDG Intensity'!K:K)</f>
        <v/>
      </c>
      <c r="I110" s="12">
        <f>_xlfn.XLOOKUP($C110,'BDG Intensity'!$F:$F,'BDG Intensity'!L:L)</f>
        <v/>
      </c>
      <c r="J110" s="12">
        <f>_xlfn.XLOOKUP($C110,'BDG Intensity'!$F:$F,'BDG Intensity'!M:M)</f>
        <v/>
      </c>
      <c r="K110" s="12">
        <f>_xlfn.XLOOKUP($C110,'BDG Intensity'!$F:$F,'BDG Intensity'!N:N)</f>
        <v/>
      </c>
      <c r="L110" s="12">
        <f>_xlfn.XLOOKUP($C110,'BDG Intensity'!$F:$F,'BDG Intensity'!O:O)</f>
        <v/>
      </c>
      <c r="M110" s="12">
        <f>_xlfn.XLOOKUP($C110,'BDG Intensity'!$F:$F,'BDG Intensity'!P:P)</f>
        <v/>
      </c>
      <c r="N110" s="12">
        <f>_xlfn.XLOOKUP($C110,'BDG Intensity'!$F:$F,'BDG Intensity'!Q:Q)</f>
        <v/>
      </c>
      <c r="O110" s="12">
        <f>_xlfn.XLOOKUP($C110,'BDG Intensity'!$F:$F,'BDG Intensity'!R:R)</f>
        <v/>
      </c>
      <c r="P110" s="12">
        <f>_xlfn.XLOOKUP($C110,'BDG Intensity'!$F:$F,'BDG Intensity'!S:S)</f>
        <v/>
      </c>
      <c r="Q110" s="12">
        <f>_xlfn.XLOOKUP($C110,'BDG Intensity'!$F:$F,'BDG Intensity'!T:T)</f>
        <v/>
      </c>
      <c r="R110" s="12">
        <f>_xlfn.XLOOKUP($C110,'BDG Intensity'!$F:$F,'BDG Intensity'!U:U)</f>
        <v/>
      </c>
      <c r="S110" s="12">
        <f>_xlfn.XLOOKUP($C110,'BDG Intensity'!$F:$F,'BDG Intensity'!V:V)</f>
        <v/>
      </c>
      <c r="T110" s="12">
        <f>_xlfn.XLOOKUP($C110,'BDG Intensity'!$F:$F,'BDG Intensity'!W:W)</f>
        <v/>
      </c>
      <c r="U110" s="12">
        <f>_xlfn.XLOOKUP($C110,'BDG Intensity'!$F:$F,'BDG Intensity'!X:X)</f>
        <v/>
      </c>
      <c r="V110" s="12">
        <f>_xlfn.XLOOKUP($C110,'BDG Intensity'!$F:$F,'BDG Intensity'!Y:Y)</f>
        <v/>
      </c>
      <c r="W110" s="12">
        <f>_xlfn.XLOOKUP($C110,'BDG Intensity'!$F:$F,'BDG Intensity'!Z:Z)</f>
        <v/>
      </c>
    </row>
    <row r="111">
      <c r="B111">
        <f>Def_Tech!C255</f>
        <v/>
      </c>
      <c r="C111">
        <f>Def_Tech!D126</f>
        <v/>
      </c>
      <c r="D111">
        <f>Def_Comm!C255</f>
        <v/>
      </c>
      <c r="E111">
        <f>Def_Comm!C126</f>
        <v/>
      </c>
      <c r="F111" s="12">
        <f>_xlfn.XLOOKUP($C111,'BDG Intensity'!$F:$F,'BDG Intensity'!I:I)</f>
        <v/>
      </c>
      <c r="G111" s="12">
        <f>_xlfn.XLOOKUP($C111,'BDG Intensity'!$F:$F,'BDG Intensity'!J:J)</f>
        <v/>
      </c>
      <c r="H111" s="12">
        <f>_xlfn.XLOOKUP($C111,'BDG Intensity'!$F:$F,'BDG Intensity'!K:K)</f>
        <v/>
      </c>
      <c r="I111" s="12">
        <f>_xlfn.XLOOKUP($C111,'BDG Intensity'!$F:$F,'BDG Intensity'!L:L)</f>
        <v/>
      </c>
      <c r="J111" s="12">
        <f>_xlfn.XLOOKUP($C111,'BDG Intensity'!$F:$F,'BDG Intensity'!M:M)</f>
        <v/>
      </c>
      <c r="K111" s="12">
        <f>_xlfn.XLOOKUP($C111,'BDG Intensity'!$F:$F,'BDG Intensity'!N:N)</f>
        <v/>
      </c>
      <c r="L111" s="12">
        <f>_xlfn.XLOOKUP($C111,'BDG Intensity'!$F:$F,'BDG Intensity'!O:O)</f>
        <v/>
      </c>
      <c r="M111" s="12">
        <f>_xlfn.XLOOKUP($C111,'BDG Intensity'!$F:$F,'BDG Intensity'!P:P)</f>
        <v/>
      </c>
      <c r="N111" s="12">
        <f>_xlfn.XLOOKUP($C111,'BDG Intensity'!$F:$F,'BDG Intensity'!Q:Q)</f>
        <v/>
      </c>
      <c r="O111" s="12">
        <f>_xlfn.XLOOKUP($C111,'BDG Intensity'!$F:$F,'BDG Intensity'!R:R)</f>
        <v/>
      </c>
      <c r="P111" s="12">
        <f>_xlfn.XLOOKUP($C111,'BDG Intensity'!$F:$F,'BDG Intensity'!S:S)</f>
        <v/>
      </c>
      <c r="Q111" s="12">
        <f>_xlfn.XLOOKUP($C111,'BDG Intensity'!$F:$F,'BDG Intensity'!T:T)</f>
        <v/>
      </c>
      <c r="R111" s="12">
        <f>_xlfn.XLOOKUP($C111,'BDG Intensity'!$F:$F,'BDG Intensity'!U:U)</f>
        <v/>
      </c>
      <c r="S111" s="12">
        <f>_xlfn.XLOOKUP($C111,'BDG Intensity'!$F:$F,'BDG Intensity'!V:V)</f>
        <v/>
      </c>
      <c r="T111" s="12">
        <f>_xlfn.XLOOKUP($C111,'BDG Intensity'!$F:$F,'BDG Intensity'!W:W)</f>
        <v/>
      </c>
      <c r="U111" s="12">
        <f>_xlfn.XLOOKUP($C111,'BDG Intensity'!$F:$F,'BDG Intensity'!X:X)</f>
        <v/>
      </c>
      <c r="V111" s="12">
        <f>_xlfn.XLOOKUP($C111,'BDG Intensity'!$F:$F,'BDG Intensity'!Y:Y)</f>
        <v/>
      </c>
      <c r="W111" s="12">
        <f>_xlfn.XLOOKUP($C111,'BDG Intensity'!$F:$F,'BDG Intensity'!Z:Z)</f>
        <v/>
      </c>
    </row>
    <row r="112">
      <c r="B112">
        <f>Def_Tech!C256</f>
        <v/>
      </c>
      <c r="C112">
        <f>Def_Tech!D127</f>
        <v/>
      </c>
      <c r="D112">
        <f>Def_Comm!C256</f>
        <v/>
      </c>
      <c r="E112">
        <f>Def_Comm!C127</f>
        <v/>
      </c>
      <c r="F112" s="12">
        <f>_xlfn.XLOOKUP($C112,'BDG Intensity'!$F:$F,'BDG Intensity'!I:I)</f>
        <v/>
      </c>
      <c r="G112" s="12">
        <f>_xlfn.XLOOKUP($C112,'BDG Intensity'!$F:$F,'BDG Intensity'!J:J)</f>
        <v/>
      </c>
      <c r="H112" s="12">
        <f>_xlfn.XLOOKUP($C112,'BDG Intensity'!$F:$F,'BDG Intensity'!K:K)</f>
        <v/>
      </c>
      <c r="I112" s="12">
        <f>_xlfn.XLOOKUP($C112,'BDG Intensity'!$F:$F,'BDG Intensity'!L:L)</f>
        <v/>
      </c>
      <c r="J112" s="12">
        <f>_xlfn.XLOOKUP($C112,'BDG Intensity'!$F:$F,'BDG Intensity'!M:M)</f>
        <v/>
      </c>
      <c r="K112" s="12">
        <f>_xlfn.XLOOKUP($C112,'BDG Intensity'!$F:$F,'BDG Intensity'!N:N)</f>
        <v/>
      </c>
      <c r="L112" s="12">
        <f>_xlfn.XLOOKUP($C112,'BDG Intensity'!$F:$F,'BDG Intensity'!O:O)</f>
        <v/>
      </c>
      <c r="M112" s="12">
        <f>_xlfn.XLOOKUP($C112,'BDG Intensity'!$F:$F,'BDG Intensity'!P:P)</f>
        <v/>
      </c>
      <c r="N112" s="12">
        <f>_xlfn.XLOOKUP($C112,'BDG Intensity'!$F:$F,'BDG Intensity'!Q:Q)</f>
        <v/>
      </c>
      <c r="O112" s="12">
        <f>_xlfn.XLOOKUP($C112,'BDG Intensity'!$F:$F,'BDG Intensity'!R:R)</f>
        <v/>
      </c>
      <c r="P112" s="12">
        <f>_xlfn.XLOOKUP($C112,'BDG Intensity'!$F:$F,'BDG Intensity'!S:S)</f>
        <v/>
      </c>
      <c r="Q112" s="12">
        <f>_xlfn.XLOOKUP($C112,'BDG Intensity'!$F:$F,'BDG Intensity'!T:T)</f>
        <v/>
      </c>
      <c r="R112" s="12">
        <f>_xlfn.XLOOKUP($C112,'BDG Intensity'!$F:$F,'BDG Intensity'!U:U)</f>
        <v/>
      </c>
      <c r="S112" s="12">
        <f>_xlfn.XLOOKUP($C112,'BDG Intensity'!$F:$F,'BDG Intensity'!V:V)</f>
        <v/>
      </c>
      <c r="T112" s="12">
        <f>_xlfn.XLOOKUP($C112,'BDG Intensity'!$F:$F,'BDG Intensity'!W:W)</f>
        <v/>
      </c>
      <c r="U112" s="12">
        <f>_xlfn.XLOOKUP($C112,'BDG Intensity'!$F:$F,'BDG Intensity'!X:X)</f>
        <v/>
      </c>
      <c r="V112" s="12">
        <f>_xlfn.XLOOKUP($C112,'BDG Intensity'!$F:$F,'BDG Intensity'!Y:Y)</f>
        <v/>
      </c>
      <c r="W112" s="12">
        <f>_xlfn.XLOOKUP($C112,'BDG Intensity'!$F:$F,'BDG Intensity'!Z:Z)</f>
        <v/>
      </c>
    </row>
    <row r="113">
      <c r="B113">
        <f>Def_Tech!C257</f>
        <v/>
      </c>
      <c r="C113">
        <f>Def_Tech!D128</f>
        <v/>
      </c>
      <c r="D113">
        <f>Def_Comm!C257</f>
        <v/>
      </c>
      <c r="E113">
        <f>Def_Comm!C128</f>
        <v/>
      </c>
      <c r="F113" s="12">
        <f>_xlfn.XLOOKUP($C113,'BDG Intensity'!$F:$F,'BDG Intensity'!I:I)</f>
        <v/>
      </c>
      <c r="G113" s="12">
        <f>_xlfn.XLOOKUP($C113,'BDG Intensity'!$F:$F,'BDG Intensity'!J:J)</f>
        <v/>
      </c>
      <c r="H113" s="12">
        <f>_xlfn.XLOOKUP($C113,'BDG Intensity'!$F:$F,'BDG Intensity'!K:K)</f>
        <v/>
      </c>
      <c r="I113" s="12">
        <f>_xlfn.XLOOKUP($C113,'BDG Intensity'!$F:$F,'BDG Intensity'!L:L)</f>
        <v/>
      </c>
      <c r="J113" s="12">
        <f>_xlfn.XLOOKUP($C113,'BDG Intensity'!$F:$F,'BDG Intensity'!M:M)</f>
        <v/>
      </c>
      <c r="K113" s="12">
        <f>_xlfn.XLOOKUP($C113,'BDG Intensity'!$F:$F,'BDG Intensity'!N:N)</f>
        <v/>
      </c>
      <c r="L113" s="12">
        <f>_xlfn.XLOOKUP($C113,'BDG Intensity'!$F:$F,'BDG Intensity'!O:O)</f>
        <v/>
      </c>
      <c r="M113" s="12">
        <f>_xlfn.XLOOKUP($C113,'BDG Intensity'!$F:$F,'BDG Intensity'!P:P)</f>
        <v/>
      </c>
      <c r="N113" s="12">
        <f>_xlfn.XLOOKUP($C113,'BDG Intensity'!$F:$F,'BDG Intensity'!Q:Q)</f>
        <v/>
      </c>
      <c r="O113" s="12">
        <f>_xlfn.XLOOKUP($C113,'BDG Intensity'!$F:$F,'BDG Intensity'!R:R)</f>
        <v/>
      </c>
      <c r="P113" s="12">
        <f>_xlfn.XLOOKUP($C113,'BDG Intensity'!$F:$F,'BDG Intensity'!S:S)</f>
        <v/>
      </c>
      <c r="Q113" s="12">
        <f>_xlfn.XLOOKUP($C113,'BDG Intensity'!$F:$F,'BDG Intensity'!T:T)</f>
        <v/>
      </c>
      <c r="R113" s="12">
        <f>_xlfn.XLOOKUP($C113,'BDG Intensity'!$F:$F,'BDG Intensity'!U:U)</f>
        <v/>
      </c>
      <c r="S113" s="12">
        <f>_xlfn.XLOOKUP($C113,'BDG Intensity'!$F:$F,'BDG Intensity'!V:V)</f>
        <v/>
      </c>
      <c r="T113" s="12">
        <f>_xlfn.XLOOKUP($C113,'BDG Intensity'!$F:$F,'BDG Intensity'!W:W)</f>
        <v/>
      </c>
      <c r="U113" s="12">
        <f>_xlfn.XLOOKUP($C113,'BDG Intensity'!$F:$F,'BDG Intensity'!X:X)</f>
        <v/>
      </c>
      <c r="V113" s="12">
        <f>_xlfn.XLOOKUP($C113,'BDG Intensity'!$F:$F,'BDG Intensity'!Y:Y)</f>
        <v/>
      </c>
      <c r="W113" s="12">
        <f>_xlfn.XLOOKUP($C113,'BDG Intensity'!$F:$F,'BDG Intensity'!Z:Z)</f>
        <v/>
      </c>
    </row>
    <row r="114">
      <c r="B114">
        <f>Def_Tech!C258</f>
        <v/>
      </c>
      <c r="C114">
        <f>Def_Tech!D129</f>
        <v/>
      </c>
      <c r="D114">
        <f>Def_Comm!C258</f>
        <v/>
      </c>
      <c r="E114">
        <f>Def_Comm!C129</f>
        <v/>
      </c>
      <c r="F114" s="12">
        <f>_xlfn.XLOOKUP($C114,'BDG Intensity'!$F:$F,'BDG Intensity'!I:I)</f>
        <v/>
      </c>
      <c r="G114" s="12">
        <f>_xlfn.XLOOKUP($C114,'BDG Intensity'!$F:$F,'BDG Intensity'!J:J)</f>
        <v/>
      </c>
      <c r="H114" s="12">
        <f>_xlfn.XLOOKUP($C114,'BDG Intensity'!$F:$F,'BDG Intensity'!K:K)</f>
        <v/>
      </c>
      <c r="I114" s="12">
        <f>_xlfn.XLOOKUP($C114,'BDG Intensity'!$F:$F,'BDG Intensity'!L:L)</f>
        <v/>
      </c>
      <c r="J114" s="12">
        <f>_xlfn.XLOOKUP($C114,'BDG Intensity'!$F:$F,'BDG Intensity'!M:M)</f>
        <v/>
      </c>
      <c r="K114" s="12">
        <f>_xlfn.XLOOKUP($C114,'BDG Intensity'!$F:$F,'BDG Intensity'!N:N)</f>
        <v/>
      </c>
      <c r="L114" s="12">
        <f>_xlfn.XLOOKUP($C114,'BDG Intensity'!$F:$F,'BDG Intensity'!O:O)</f>
        <v/>
      </c>
      <c r="M114" s="12">
        <f>_xlfn.XLOOKUP($C114,'BDG Intensity'!$F:$F,'BDG Intensity'!P:P)</f>
        <v/>
      </c>
      <c r="N114" s="12">
        <f>_xlfn.XLOOKUP($C114,'BDG Intensity'!$F:$F,'BDG Intensity'!Q:Q)</f>
        <v/>
      </c>
      <c r="O114" s="12">
        <f>_xlfn.XLOOKUP($C114,'BDG Intensity'!$F:$F,'BDG Intensity'!R:R)</f>
        <v/>
      </c>
      <c r="P114" s="12">
        <f>_xlfn.XLOOKUP($C114,'BDG Intensity'!$F:$F,'BDG Intensity'!S:S)</f>
        <v/>
      </c>
      <c r="Q114" s="12">
        <f>_xlfn.XLOOKUP($C114,'BDG Intensity'!$F:$F,'BDG Intensity'!T:T)</f>
        <v/>
      </c>
      <c r="R114" s="12">
        <f>_xlfn.XLOOKUP($C114,'BDG Intensity'!$F:$F,'BDG Intensity'!U:U)</f>
        <v/>
      </c>
      <c r="S114" s="12">
        <f>_xlfn.XLOOKUP($C114,'BDG Intensity'!$F:$F,'BDG Intensity'!V:V)</f>
        <v/>
      </c>
      <c r="T114" s="12">
        <f>_xlfn.XLOOKUP($C114,'BDG Intensity'!$F:$F,'BDG Intensity'!W:W)</f>
        <v/>
      </c>
      <c r="U114" s="12">
        <f>_xlfn.XLOOKUP($C114,'BDG Intensity'!$F:$F,'BDG Intensity'!X:X)</f>
        <v/>
      </c>
      <c r="V114" s="12">
        <f>_xlfn.XLOOKUP($C114,'BDG Intensity'!$F:$F,'BDG Intensity'!Y:Y)</f>
        <v/>
      </c>
      <c r="W114" s="12">
        <f>_xlfn.XLOOKUP($C114,'BDG Intensity'!$F:$F,'BDG Intensity'!Z:Z)</f>
        <v/>
      </c>
    </row>
    <row r="115">
      <c r="B115">
        <f>Def_Tech!C259</f>
        <v/>
      </c>
      <c r="C115">
        <f>Def_Tech!D130</f>
        <v/>
      </c>
      <c r="D115">
        <f>Def_Comm!C259</f>
        <v/>
      </c>
      <c r="E115">
        <f>Def_Comm!C130</f>
        <v/>
      </c>
      <c r="F115" s="12">
        <f>_xlfn.XLOOKUP($C115,'BDG Intensity'!$F:$F,'BDG Intensity'!I:I)</f>
        <v/>
      </c>
      <c r="G115" s="12">
        <f>_xlfn.XLOOKUP($C115,'BDG Intensity'!$F:$F,'BDG Intensity'!J:J)</f>
        <v/>
      </c>
      <c r="H115" s="12">
        <f>_xlfn.XLOOKUP($C115,'BDG Intensity'!$F:$F,'BDG Intensity'!K:K)</f>
        <v/>
      </c>
      <c r="I115" s="12">
        <f>_xlfn.XLOOKUP($C115,'BDG Intensity'!$F:$F,'BDG Intensity'!L:L)</f>
        <v/>
      </c>
      <c r="J115" s="12">
        <f>_xlfn.XLOOKUP($C115,'BDG Intensity'!$F:$F,'BDG Intensity'!M:M)</f>
        <v/>
      </c>
      <c r="K115" s="12">
        <f>_xlfn.XLOOKUP($C115,'BDG Intensity'!$F:$F,'BDG Intensity'!N:N)</f>
        <v/>
      </c>
      <c r="L115" s="12">
        <f>_xlfn.XLOOKUP($C115,'BDG Intensity'!$F:$F,'BDG Intensity'!O:O)</f>
        <v/>
      </c>
      <c r="M115" s="12">
        <f>_xlfn.XLOOKUP($C115,'BDG Intensity'!$F:$F,'BDG Intensity'!P:P)</f>
        <v/>
      </c>
      <c r="N115" s="12">
        <f>_xlfn.XLOOKUP($C115,'BDG Intensity'!$F:$F,'BDG Intensity'!Q:Q)</f>
        <v/>
      </c>
      <c r="O115" s="12">
        <f>_xlfn.XLOOKUP($C115,'BDG Intensity'!$F:$F,'BDG Intensity'!R:R)</f>
        <v/>
      </c>
      <c r="P115" s="12">
        <f>_xlfn.XLOOKUP($C115,'BDG Intensity'!$F:$F,'BDG Intensity'!S:S)</f>
        <v/>
      </c>
      <c r="Q115" s="12">
        <f>_xlfn.XLOOKUP($C115,'BDG Intensity'!$F:$F,'BDG Intensity'!T:T)</f>
        <v/>
      </c>
      <c r="R115" s="12">
        <f>_xlfn.XLOOKUP($C115,'BDG Intensity'!$F:$F,'BDG Intensity'!U:U)</f>
        <v/>
      </c>
      <c r="S115" s="12">
        <f>_xlfn.XLOOKUP($C115,'BDG Intensity'!$F:$F,'BDG Intensity'!V:V)</f>
        <v/>
      </c>
      <c r="T115" s="12">
        <f>_xlfn.XLOOKUP($C115,'BDG Intensity'!$F:$F,'BDG Intensity'!W:W)</f>
        <v/>
      </c>
      <c r="U115" s="12">
        <f>_xlfn.XLOOKUP($C115,'BDG Intensity'!$F:$F,'BDG Intensity'!X:X)</f>
        <v/>
      </c>
      <c r="V115" s="12">
        <f>_xlfn.XLOOKUP($C115,'BDG Intensity'!$F:$F,'BDG Intensity'!Y:Y)</f>
        <v/>
      </c>
      <c r="W115" s="12">
        <f>_xlfn.XLOOKUP($C115,'BDG Intensity'!$F:$F,'BDG Intensity'!Z:Z)</f>
        <v/>
      </c>
    </row>
    <row r="116">
      <c r="B116">
        <f>Def_Tech!C260</f>
        <v/>
      </c>
      <c r="C116">
        <f>Def_Tech!D131</f>
        <v/>
      </c>
      <c r="D116">
        <f>Def_Comm!C260</f>
        <v/>
      </c>
      <c r="E116">
        <f>Def_Comm!C131</f>
        <v/>
      </c>
      <c r="F116" s="12">
        <f>_xlfn.XLOOKUP($C116,'BDG Intensity'!$F:$F,'BDG Intensity'!I:I)</f>
        <v/>
      </c>
      <c r="G116" s="12">
        <f>_xlfn.XLOOKUP($C116,'BDG Intensity'!$F:$F,'BDG Intensity'!J:J)</f>
        <v/>
      </c>
      <c r="H116" s="12">
        <f>_xlfn.XLOOKUP($C116,'BDG Intensity'!$F:$F,'BDG Intensity'!K:K)</f>
        <v/>
      </c>
      <c r="I116" s="12">
        <f>_xlfn.XLOOKUP($C116,'BDG Intensity'!$F:$F,'BDG Intensity'!L:L)</f>
        <v/>
      </c>
      <c r="J116" s="12">
        <f>_xlfn.XLOOKUP($C116,'BDG Intensity'!$F:$F,'BDG Intensity'!M:M)</f>
        <v/>
      </c>
      <c r="K116" s="12">
        <f>_xlfn.XLOOKUP($C116,'BDG Intensity'!$F:$F,'BDG Intensity'!N:N)</f>
        <v/>
      </c>
      <c r="L116" s="12">
        <f>_xlfn.XLOOKUP($C116,'BDG Intensity'!$F:$F,'BDG Intensity'!O:O)</f>
        <v/>
      </c>
      <c r="M116" s="12">
        <f>_xlfn.XLOOKUP($C116,'BDG Intensity'!$F:$F,'BDG Intensity'!P:P)</f>
        <v/>
      </c>
      <c r="N116" s="12">
        <f>_xlfn.XLOOKUP($C116,'BDG Intensity'!$F:$F,'BDG Intensity'!Q:Q)</f>
        <v/>
      </c>
      <c r="O116" s="12">
        <f>_xlfn.XLOOKUP($C116,'BDG Intensity'!$F:$F,'BDG Intensity'!R:R)</f>
        <v/>
      </c>
      <c r="P116" s="12">
        <f>_xlfn.XLOOKUP($C116,'BDG Intensity'!$F:$F,'BDG Intensity'!S:S)</f>
        <v/>
      </c>
      <c r="Q116" s="12">
        <f>_xlfn.XLOOKUP($C116,'BDG Intensity'!$F:$F,'BDG Intensity'!T:T)</f>
        <v/>
      </c>
      <c r="R116" s="12">
        <f>_xlfn.XLOOKUP($C116,'BDG Intensity'!$F:$F,'BDG Intensity'!U:U)</f>
        <v/>
      </c>
      <c r="S116" s="12">
        <f>_xlfn.XLOOKUP($C116,'BDG Intensity'!$F:$F,'BDG Intensity'!V:V)</f>
        <v/>
      </c>
      <c r="T116" s="12">
        <f>_xlfn.XLOOKUP($C116,'BDG Intensity'!$F:$F,'BDG Intensity'!W:W)</f>
        <v/>
      </c>
      <c r="U116" s="12">
        <f>_xlfn.XLOOKUP($C116,'BDG Intensity'!$F:$F,'BDG Intensity'!X:X)</f>
        <v/>
      </c>
      <c r="V116" s="12">
        <f>_xlfn.XLOOKUP($C116,'BDG Intensity'!$F:$F,'BDG Intensity'!Y:Y)</f>
        <v/>
      </c>
      <c r="W116" s="12">
        <f>_xlfn.XLOOKUP($C116,'BDG Intensity'!$F:$F,'BDG Intensity'!Z:Z)</f>
        <v/>
      </c>
    </row>
    <row r="117">
      <c r="B117">
        <f>Def_Tech!C261</f>
        <v/>
      </c>
      <c r="C117">
        <f>Def_Tech!D132</f>
        <v/>
      </c>
      <c r="D117">
        <f>Def_Comm!C261</f>
        <v/>
      </c>
      <c r="E117">
        <f>Def_Comm!C132</f>
        <v/>
      </c>
      <c r="F117" s="12">
        <f>_xlfn.XLOOKUP($C117,'BDG Intensity'!$F:$F,'BDG Intensity'!I:I)</f>
        <v/>
      </c>
      <c r="G117" s="12">
        <f>_xlfn.XLOOKUP($C117,'BDG Intensity'!$F:$F,'BDG Intensity'!J:J)</f>
        <v/>
      </c>
      <c r="H117" s="12">
        <f>_xlfn.XLOOKUP($C117,'BDG Intensity'!$F:$F,'BDG Intensity'!K:K)</f>
        <v/>
      </c>
      <c r="I117" s="12">
        <f>_xlfn.XLOOKUP($C117,'BDG Intensity'!$F:$F,'BDG Intensity'!L:L)</f>
        <v/>
      </c>
      <c r="J117" s="12">
        <f>_xlfn.XLOOKUP($C117,'BDG Intensity'!$F:$F,'BDG Intensity'!M:M)</f>
        <v/>
      </c>
      <c r="K117" s="12">
        <f>_xlfn.XLOOKUP($C117,'BDG Intensity'!$F:$F,'BDG Intensity'!N:N)</f>
        <v/>
      </c>
      <c r="L117" s="12">
        <f>_xlfn.XLOOKUP($C117,'BDG Intensity'!$F:$F,'BDG Intensity'!O:O)</f>
        <v/>
      </c>
      <c r="M117" s="12">
        <f>_xlfn.XLOOKUP($C117,'BDG Intensity'!$F:$F,'BDG Intensity'!P:P)</f>
        <v/>
      </c>
      <c r="N117" s="12">
        <f>_xlfn.XLOOKUP($C117,'BDG Intensity'!$F:$F,'BDG Intensity'!Q:Q)</f>
        <v/>
      </c>
      <c r="O117" s="12">
        <f>_xlfn.XLOOKUP($C117,'BDG Intensity'!$F:$F,'BDG Intensity'!R:R)</f>
        <v/>
      </c>
      <c r="P117" s="12">
        <f>_xlfn.XLOOKUP($C117,'BDG Intensity'!$F:$F,'BDG Intensity'!S:S)</f>
        <v/>
      </c>
      <c r="Q117" s="12">
        <f>_xlfn.XLOOKUP($C117,'BDG Intensity'!$F:$F,'BDG Intensity'!T:T)</f>
        <v/>
      </c>
      <c r="R117" s="12">
        <f>_xlfn.XLOOKUP($C117,'BDG Intensity'!$F:$F,'BDG Intensity'!U:U)</f>
        <v/>
      </c>
      <c r="S117" s="12">
        <f>_xlfn.XLOOKUP($C117,'BDG Intensity'!$F:$F,'BDG Intensity'!V:V)</f>
        <v/>
      </c>
      <c r="T117" s="12">
        <f>_xlfn.XLOOKUP($C117,'BDG Intensity'!$F:$F,'BDG Intensity'!W:W)</f>
        <v/>
      </c>
      <c r="U117" s="12">
        <f>_xlfn.XLOOKUP($C117,'BDG Intensity'!$F:$F,'BDG Intensity'!X:X)</f>
        <v/>
      </c>
      <c r="V117" s="12">
        <f>_xlfn.XLOOKUP($C117,'BDG Intensity'!$F:$F,'BDG Intensity'!Y:Y)</f>
        <v/>
      </c>
      <c r="W117" s="12">
        <f>_xlfn.XLOOKUP($C117,'BDG Intensity'!$F:$F,'BDG Intensity'!Z:Z)</f>
        <v/>
      </c>
    </row>
    <row r="118">
      <c r="B118">
        <f>Def_Tech!C262</f>
        <v/>
      </c>
      <c r="C118">
        <f>Def_Tech!D133</f>
        <v/>
      </c>
      <c r="D118">
        <f>Def_Comm!C262</f>
        <v/>
      </c>
      <c r="E118">
        <f>Def_Comm!C133</f>
        <v/>
      </c>
      <c r="F118" s="12">
        <f>_xlfn.XLOOKUP($C118,'BDG Intensity'!$F:$F,'BDG Intensity'!I:I)</f>
        <v/>
      </c>
      <c r="G118" s="12">
        <f>_xlfn.XLOOKUP($C118,'BDG Intensity'!$F:$F,'BDG Intensity'!J:J)</f>
        <v/>
      </c>
      <c r="H118" s="12">
        <f>_xlfn.XLOOKUP($C118,'BDG Intensity'!$F:$F,'BDG Intensity'!K:K)</f>
        <v/>
      </c>
      <c r="I118" s="12">
        <f>_xlfn.XLOOKUP($C118,'BDG Intensity'!$F:$F,'BDG Intensity'!L:L)</f>
        <v/>
      </c>
      <c r="J118" s="12">
        <f>_xlfn.XLOOKUP($C118,'BDG Intensity'!$F:$F,'BDG Intensity'!M:M)</f>
        <v/>
      </c>
      <c r="K118" s="12">
        <f>_xlfn.XLOOKUP($C118,'BDG Intensity'!$F:$F,'BDG Intensity'!N:N)</f>
        <v/>
      </c>
      <c r="L118" s="12">
        <f>_xlfn.XLOOKUP($C118,'BDG Intensity'!$F:$F,'BDG Intensity'!O:O)</f>
        <v/>
      </c>
      <c r="M118" s="12">
        <f>_xlfn.XLOOKUP($C118,'BDG Intensity'!$F:$F,'BDG Intensity'!P:P)</f>
        <v/>
      </c>
      <c r="N118" s="12">
        <f>_xlfn.XLOOKUP($C118,'BDG Intensity'!$F:$F,'BDG Intensity'!Q:Q)</f>
        <v/>
      </c>
      <c r="O118" s="12">
        <f>_xlfn.XLOOKUP($C118,'BDG Intensity'!$F:$F,'BDG Intensity'!R:R)</f>
        <v/>
      </c>
      <c r="P118" s="12">
        <f>_xlfn.XLOOKUP($C118,'BDG Intensity'!$F:$F,'BDG Intensity'!S:S)</f>
        <v/>
      </c>
      <c r="Q118" s="12">
        <f>_xlfn.XLOOKUP($C118,'BDG Intensity'!$F:$F,'BDG Intensity'!T:T)</f>
        <v/>
      </c>
      <c r="R118" s="12">
        <f>_xlfn.XLOOKUP($C118,'BDG Intensity'!$F:$F,'BDG Intensity'!U:U)</f>
        <v/>
      </c>
      <c r="S118" s="12">
        <f>_xlfn.XLOOKUP($C118,'BDG Intensity'!$F:$F,'BDG Intensity'!V:V)</f>
        <v/>
      </c>
      <c r="T118" s="12">
        <f>_xlfn.XLOOKUP($C118,'BDG Intensity'!$F:$F,'BDG Intensity'!W:W)</f>
        <v/>
      </c>
      <c r="U118" s="12">
        <f>_xlfn.XLOOKUP($C118,'BDG Intensity'!$F:$F,'BDG Intensity'!X:X)</f>
        <v/>
      </c>
      <c r="V118" s="12">
        <f>_xlfn.XLOOKUP($C118,'BDG Intensity'!$F:$F,'BDG Intensity'!Y:Y)</f>
        <v/>
      </c>
      <c r="W118" s="12">
        <f>_xlfn.XLOOKUP($C118,'BDG Intensity'!$F:$F,'BDG Intensity'!Z:Z)</f>
        <v/>
      </c>
    </row>
    <row r="119">
      <c r="B119">
        <f>Def_Tech!C263</f>
        <v/>
      </c>
      <c r="C119">
        <f>Def_Tech!D134</f>
        <v/>
      </c>
      <c r="D119">
        <f>Def_Comm!C263</f>
        <v/>
      </c>
      <c r="E119">
        <f>Def_Comm!C134</f>
        <v/>
      </c>
      <c r="F119" s="12">
        <f>_xlfn.XLOOKUP($C119,'BDG Intensity'!$F:$F,'BDG Intensity'!I:I)</f>
        <v/>
      </c>
      <c r="G119" s="12">
        <f>_xlfn.XLOOKUP($C119,'BDG Intensity'!$F:$F,'BDG Intensity'!J:J)</f>
        <v/>
      </c>
      <c r="H119" s="12">
        <f>_xlfn.XLOOKUP($C119,'BDG Intensity'!$F:$F,'BDG Intensity'!K:K)</f>
        <v/>
      </c>
      <c r="I119" s="12">
        <f>_xlfn.XLOOKUP($C119,'BDG Intensity'!$F:$F,'BDG Intensity'!L:L)</f>
        <v/>
      </c>
      <c r="J119" s="12">
        <f>_xlfn.XLOOKUP($C119,'BDG Intensity'!$F:$F,'BDG Intensity'!M:M)</f>
        <v/>
      </c>
      <c r="K119" s="12">
        <f>_xlfn.XLOOKUP($C119,'BDG Intensity'!$F:$F,'BDG Intensity'!N:N)</f>
        <v/>
      </c>
      <c r="L119" s="12">
        <f>_xlfn.XLOOKUP($C119,'BDG Intensity'!$F:$F,'BDG Intensity'!O:O)</f>
        <v/>
      </c>
      <c r="M119" s="12">
        <f>_xlfn.XLOOKUP($C119,'BDG Intensity'!$F:$F,'BDG Intensity'!P:P)</f>
        <v/>
      </c>
      <c r="N119" s="12">
        <f>_xlfn.XLOOKUP($C119,'BDG Intensity'!$F:$F,'BDG Intensity'!Q:Q)</f>
        <v/>
      </c>
      <c r="O119" s="12">
        <f>_xlfn.XLOOKUP($C119,'BDG Intensity'!$F:$F,'BDG Intensity'!R:R)</f>
        <v/>
      </c>
      <c r="P119" s="12">
        <f>_xlfn.XLOOKUP($C119,'BDG Intensity'!$F:$F,'BDG Intensity'!S:S)</f>
        <v/>
      </c>
      <c r="Q119" s="12">
        <f>_xlfn.XLOOKUP($C119,'BDG Intensity'!$F:$F,'BDG Intensity'!T:T)</f>
        <v/>
      </c>
      <c r="R119" s="12">
        <f>_xlfn.XLOOKUP($C119,'BDG Intensity'!$F:$F,'BDG Intensity'!U:U)</f>
        <v/>
      </c>
      <c r="S119" s="12">
        <f>_xlfn.XLOOKUP($C119,'BDG Intensity'!$F:$F,'BDG Intensity'!V:V)</f>
        <v/>
      </c>
      <c r="T119" s="12">
        <f>_xlfn.XLOOKUP($C119,'BDG Intensity'!$F:$F,'BDG Intensity'!W:W)</f>
        <v/>
      </c>
      <c r="U119" s="12">
        <f>_xlfn.XLOOKUP($C119,'BDG Intensity'!$F:$F,'BDG Intensity'!X:X)</f>
        <v/>
      </c>
      <c r="V119" s="12">
        <f>_xlfn.XLOOKUP($C119,'BDG Intensity'!$F:$F,'BDG Intensity'!Y:Y)</f>
        <v/>
      </c>
      <c r="W119" s="12">
        <f>_xlfn.XLOOKUP($C119,'BDG Intensity'!$F:$F,'BDG Intensity'!Z:Z)</f>
        <v/>
      </c>
    </row>
    <row r="120">
      <c r="B120">
        <f>Def_Tech!C264</f>
        <v/>
      </c>
      <c r="C120">
        <f>Def_Tech!D135</f>
        <v/>
      </c>
      <c r="D120">
        <f>Def_Comm!C264</f>
        <v/>
      </c>
      <c r="E120">
        <f>Def_Comm!C135</f>
        <v/>
      </c>
      <c r="F120" s="12">
        <f>_xlfn.XLOOKUP($C120,'BDG Intensity'!$F:$F,'BDG Intensity'!I:I)</f>
        <v/>
      </c>
      <c r="G120" s="12">
        <f>_xlfn.XLOOKUP($C120,'BDG Intensity'!$F:$F,'BDG Intensity'!J:J)</f>
        <v/>
      </c>
      <c r="H120" s="12">
        <f>_xlfn.XLOOKUP($C120,'BDG Intensity'!$F:$F,'BDG Intensity'!K:K)</f>
        <v/>
      </c>
      <c r="I120" s="12">
        <f>_xlfn.XLOOKUP($C120,'BDG Intensity'!$F:$F,'BDG Intensity'!L:L)</f>
        <v/>
      </c>
      <c r="J120" s="12">
        <f>_xlfn.XLOOKUP($C120,'BDG Intensity'!$F:$F,'BDG Intensity'!M:M)</f>
        <v/>
      </c>
      <c r="K120" s="12">
        <f>_xlfn.XLOOKUP($C120,'BDG Intensity'!$F:$F,'BDG Intensity'!N:N)</f>
        <v/>
      </c>
      <c r="L120" s="12">
        <f>_xlfn.XLOOKUP($C120,'BDG Intensity'!$F:$F,'BDG Intensity'!O:O)</f>
        <v/>
      </c>
      <c r="M120" s="12">
        <f>_xlfn.XLOOKUP($C120,'BDG Intensity'!$F:$F,'BDG Intensity'!P:P)</f>
        <v/>
      </c>
      <c r="N120" s="12">
        <f>_xlfn.XLOOKUP($C120,'BDG Intensity'!$F:$F,'BDG Intensity'!Q:Q)</f>
        <v/>
      </c>
      <c r="O120" s="12">
        <f>_xlfn.XLOOKUP($C120,'BDG Intensity'!$F:$F,'BDG Intensity'!R:R)</f>
        <v/>
      </c>
      <c r="P120" s="12">
        <f>_xlfn.XLOOKUP($C120,'BDG Intensity'!$F:$F,'BDG Intensity'!S:S)</f>
        <v/>
      </c>
      <c r="Q120" s="12">
        <f>_xlfn.XLOOKUP($C120,'BDG Intensity'!$F:$F,'BDG Intensity'!T:T)</f>
        <v/>
      </c>
      <c r="R120" s="12">
        <f>_xlfn.XLOOKUP($C120,'BDG Intensity'!$F:$F,'BDG Intensity'!U:U)</f>
        <v/>
      </c>
      <c r="S120" s="12">
        <f>_xlfn.XLOOKUP($C120,'BDG Intensity'!$F:$F,'BDG Intensity'!V:V)</f>
        <v/>
      </c>
      <c r="T120" s="12">
        <f>_xlfn.XLOOKUP($C120,'BDG Intensity'!$F:$F,'BDG Intensity'!W:W)</f>
        <v/>
      </c>
      <c r="U120" s="12">
        <f>_xlfn.XLOOKUP($C120,'BDG Intensity'!$F:$F,'BDG Intensity'!X:X)</f>
        <v/>
      </c>
      <c r="V120" s="12">
        <f>_xlfn.XLOOKUP($C120,'BDG Intensity'!$F:$F,'BDG Intensity'!Y:Y)</f>
        <v/>
      </c>
      <c r="W120" s="12">
        <f>_xlfn.XLOOKUP($C120,'BDG Intensity'!$F:$F,'BDG Intensity'!Z:Z)</f>
        <v/>
      </c>
    </row>
    <row r="121">
      <c r="B121">
        <f>Def_Tech!C265</f>
        <v/>
      </c>
      <c r="C121">
        <f>Def_Tech!D136</f>
        <v/>
      </c>
      <c r="D121">
        <f>Def_Comm!C265</f>
        <v/>
      </c>
      <c r="E121">
        <f>Def_Comm!C136</f>
        <v/>
      </c>
      <c r="F121" s="12">
        <f>_xlfn.XLOOKUP($C121,'BDG Intensity'!$F:$F,'BDG Intensity'!I:I)</f>
        <v/>
      </c>
      <c r="G121" s="12">
        <f>_xlfn.XLOOKUP($C121,'BDG Intensity'!$F:$F,'BDG Intensity'!J:J)</f>
        <v/>
      </c>
      <c r="H121" s="12">
        <f>_xlfn.XLOOKUP($C121,'BDG Intensity'!$F:$F,'BDG Intensity'!K:K)</f>
        <v/>
      </c>
      <c r="I121" s="12">
        <f>_xlfn.XLOOKUP($C121,'BDG Intensity'!$F:$F,'BDG Intensity'!L:L)</f>
        <v/>
      </c>
      <c r="J121" s="12">
        <f>_xlfn.XLOOKUP($C121,'BDG Intensity'!$F:$F,'BDG Intensity'!M:M)</f>
        <v/>
      </c>
      <c r="K121" s="12">
        <f>_xlfn.XLOOKUP($C121,'BDG Intensity'!$F:$F,'BDG Intensity'!N:N)</f>
        <v/>
      </c>
      <c r="L121" s="12">
        <f>_xlfn.XLOOKUP($C121,'BDG Intensity'!$F:$F,'BDG Intensity'!O:O)</f>
        <v/>
      </c>
      <c r="M121" s="12">
        <f>_xlfn.XLOOKUP($C121,'BDG Intensity'!$F:$F,'BDG Intensity'!P:P)</f>
        <v/>
      </c>
      <c r="N121" s="12">
        <f>_xlfn.XLOOKUP($C121,'BDG Intensity'!$F:$F,'BDG Intensity'!Q:Q)</f>
        <v/>
      </c>
      <c r="O121" s="12">
        <f>_xlfn.XLOOKUP($C121,'BDG Intensity'!$F:$F,'BDG Intensity'!R:R)</f>
        <v/>
      </c>
      <c r="P121" s="12">
        <f>_xlfn.XLOOKUP($C121,'BDG Intensity'!$F:$F,'BDG Intensity'!S:S)</f>
        <v/>
      </c>
      <c r="Q121" s="12">
        <f>_xlfn.XLOOKUP($C121,'BDG Intensity'!$F:$F,'BDG Intensity'!T:T)</f>
        <v/>
      </c>
      <c r="R121" s="12">
        <f>_xlfn.XLOOKUP($C121,'BDG Intensity'!$F:$F,'BDG Intensity'!U:U)</f>
        <v/>
      </c>
      <c r="S121" s="12">
        <f>_xlfn.XLOOKUP($C121,'BDG Intensity'!$F:$F,'BDG Intensity'!V:V)</f>
        <v/>
      </c>
      <c r="T121" s="12">
        <f>_xlfn.XLOOKUP($C121,'BDG Intensity'!$F:$F,'BDG Intensity'!W:W)</f>
        <v/>
      </c>
      <c r="U121" s="12">
        <f>_xlfn.XLOOKUP($C121,'BDG Intensity'!$F:$F,'BDG Intensity'!X:X)</f>
        <v/>
      </c>
      <c r="V121" s="12">
        <f>_xlfn.XLOOKUP($C121,'BDG Intensity'!$F:$F,'BDG Intensity'!Y:Y)</f>
        <v/>
      </c>
      <c r="W121" s="12">
        <f>_xlfn.XLOOKUP($C121,'BDG Intensity'!$F:$F,'BDG Intensity'!Z:Z)</f>
        <v/>
      </c>
    </row>
    <row r="122">
      <c r="B122">
        <f>Def_Tech!C266</f>
        <v/>
      </c>
      <c r="C122">
        <f>Def_Tech!D137</f>
        <v/>
      </c>
      <c r="D122">
        <f>Def_Comm!C266</f>
        <v/>
      </c>
      <c r="E122">
        <f>Def_Comm!C137</f>
        <v/>
      </c>
      <c r="F122" s="12">
        <f>_xlfn.XLOOKUP($C122,'BDG Intensity'!$F:$F,'BDG Intensity'!I:I)</f>
        <v/>
      </c>
      <c r="G122" s="12">
        <f>_xlfn.XLOOKUP($C122,'BDG Intensity'!$F:$F,'BDG Intensity'!J:J)</f>
        <v/>
      </c>
      <c r="H122" s="12">
        <f>_xlfn.XLOOKUP($C122,'BDG Intensity'!$F:$F,'BDG Intensity'!K:K)</f>
        <v/>
      </c>
      <c r="I122" s="12">
        <f>_xlfn.XLOOKUP($C122,'BDG Intensity'!$F:$F,'BDG Intensity'!L:L)</f>
        <v/>
      </c>
      <c r="J122" s="12">
        <f>_xlfn.XLOOKUP($C122,'BDG Intensity'!$F:$F,'BDG Intensity'!M:M)</f>
        <v/>
      </c>
      <c r="K122" s="12">
        <f>_xlfn.XLOOKUP($C122,'BDG Intensity'!$F:$F,'BDG Intensity'!N:N)</f>
        <v/>
      </c>
      <c r="L122" s="12">
        <f>_xlfn.XLOOKUP($C122,'BDG Intensity'!$F:$F,'BDG Intensity'!O:O)</f>
        <v/>
      </c>
      <c r="M122" s="12">
        <f>_xlfn.XLOOKUP($C122,'BDG Intensity'!$F:$F,'BDG Intensity'!P:P)</f>
        <v/>
      </c>
      <c r="N122" s="12">
        <f>_xlfn.XLOOKUP($C122,'BDG Intensity'!$F:$F,'BDG Intensity'!Q:Q)</f>
        <v/>
      </c>
      <c r="O122" s="12">
        <f>_xlfn.XLOOKUP($C122,'BDG Intensity'!$F:$F,'BDG Intensity'!R:R)</f>
        <v/>
      </c>
      <c r="P122" s="12">
        <f>_xlfn.XLOOKUP($C122,'BDG Intensity'!$F:$F,'BDG Intensity'!S:S)</f>
        <v/>
      </c>
      <c r="Q122" s="12">
        <f>_xlfn.XLOOKUP($C122,'BDG Intensity'!$F:$F,'BDG Intensity'!T:T)</f>
        <v/>
      </c>
      <c r="R122" s="12">
        <f>_xlfn.XLOOKUP($C122,'BDG Intensity'!$F:$F,'BDG Intensity'!U:U)</f>
        <v/>
      </c>
      <c r="S122" s="12">
        <f>_xlfn.XLOOKUP($C122,'BDG Intensity'!$F:$F,'BDG Intensity'!V:V)</f>
        <v/>
      </c>
      <c r="T122" s="12">
        <f>_xlfn.XLOOKUP($C122,'BDG Intensity'!$F:$F,'BDG Intensity'!W:W)</f>
        <v/>
      </c>
      <c r="U122" s="12">
        <f>_xlfn.XLOOKUP($C122,'BDG Intensity'!$F:$F,'BDG Intensity'!X:X)</f>
        <v/>
      </c>
      <c r="V122" s="12">
        <f>_xlfn.XLOOKUP($C122,'BDG Intensity'!$F:$F,'BDG Intensity'!Y:Y)</f>
        <v/>
      </c>
      <c r="W122" s="12">
        <f>_xlfn.XLOOKUP($C122,'BDG Intensity'!$F:$F,'BDG Intensity'!Z:Z)</f>
        <v/>
      </c>
    </row>
    <row r="123">
      <c r="B123">
        <f>Def_Tech!C267</f>
        <v/>
      </c>
      <c r="C123">
        <f>Def_Tech!D138</f>
        <v/>
      </c>
      <c r="D123">
        <f>Def_Comm!C267</f>
        <v/>
      </c>
      <c r="E123">
        <f>Def_Comm!C138</f>
        <v/>
      </c>
      <c r="F123" s="12">
        <f>_xlfn.XLOOKUP($C123,'BDG Intensity'!$F:$F,'BDG Intensity'!I:I)</f>
        <v/>
      </c>
      <c r="G123" s="12">
        <f>_xlfn.XLOOKUP($C123,'BDG Intensity'!$F:$F,'BDG Intensity'!J:J)</f>
        <v/>
      </c>
      <c r="H123" s="12">
        <f>_xlfn.XLOOKUP($C123,'BDG Intensity'!$F:$F,'BDG Intensity'!K:K)</f>
        <v/>
      </c>
      <c r="I123" s="12">
        <f>_xlfn.XLOOKUP($C123,'BDG Intensity'!$F:$F,'BDG Intensity'!L:L)</f>
        <v/>
      </c>
      <c r="J123" s="12">
        <f>_xlfn.XLOOKUP($C123,'BDG Intensity'!$F:$F,'BDG Intensity'!M:M)</f>
        <v/>
      </c>
      <c r="K123" s="12">
        <f>_xlfn.XLOOKUP($C123,'BDG Intensity'!$F:$F,'BDG Intensity'!N:N)</f>
        <v/>
      </c>
      <c r="L123" s="12">
        <f>_xlfn.XLOOKUP($C123,'BDG Intensity'!$F:$F,'BDG Intensity'!O:O)</f>
        <v/>
      </c>
      <c r="M123" s="12">
        <f>_xlfn.XLOOKUP($C123,'BDG Intensity'!$F:$F,'BDG Intensity'!P:P)</f>
        <v/>
      </c>
      <c r="N123" s="12">
        <f>_xlfn.XLOOKUP($C123,'BDG Intensity'!$F:$F,'BDG Intensity'!Q:Q)</f>
        <v/>
      </c>
      <c r="O123" s="12">
        <f>_xlfn.XLOOKUP($C123,'BDG Intensity'!$F:$F,'BDG Intensity'!R:R)</f>
        <v/>
      </c>
      <c r="P123" s="12">
        <f>_xlfn.XLOOKUP($C123,'BDG Intensity'!$F:$F,'BDG Intensity'!S:S)</f>
        <v/>
      </c>
      <c r="Q123" s="12">
        <f>_xlfn.XLOOKUP($C123,'BDG Intensity'!$F:$F,'BDG Intensity'!T:T)</f>
        <v/>
      </c>
      <c r="R123" s="12">
        <f>_xlfn.XLOOKUP($C123,'BDG Intensity'!$F:$F,'BDG Intensity'!U:U)</f>
        <v/>
      </c>
      <c r="S123" s="12">
        <f>_xlfn.XLOOKUP($C123,'BDG Intensity'!$F:$F,'BDG Intensity'!V:V)</f>
        <v/>
      </c>
      <c r="T123" s="12">
        <f>_xlfn.XLOOKUP($C123,'BDG Intensity'!$F:$F,'BDG Intensity'!W:W)</f>
        <v/>
      </c>
      <c r="U123" s="12">
        <f>_xlfn.XLOOKUP($C123,'BDG Intensity'!$F:$F,'BDG Intensity'!X:X)</f>
        <v/>
      </c>
      <c r="V123" s="12">
        <f>_xlfn.XLOOKUP($C123,'BDG Intensity'!$F:$F,'BDG Intensity'!Y:Y)</f>
        <v/>
      </c>
      <c r="W123" s="12">
        <f>_xlfn.XLOOKUP($C123,'BDG Intensity'!$F:$F,'BDG Intensity'!Z:Z)</f>
        <v/>
      </c>
    </row>
    <row r="124">
      <c r="B124">
        <f>Def_Tech!C268</f>
        <v/>
      </c>
      <c r="C124">
        <f>Def_Tech!D139</f>
        <v/>
      </c>
      <c r="D124">
        <f>Def_Comm!C268</f>
        <v/>
      </c>
      <c r="E124">
        <f>Def_Comm!C139</f>
        <v/>
      </c>
      <c r="F124" s="12">
        <f>_xlfn.XLOOKUP($C124,'BDG Intensity'!$F:$F,'BDG Intensity'!I:I)</f>
        <v/>
      </c>
      <c r="G124" s="12">
        <f>_xlfn.XLOOKUP($C124,'BDG Intensity'!$F:$F,'BDG Intensity'!J:J)</f>
        <v/>
      </c>
      <c r="H124" s="12">
        <f>_xlfn.XLOOKUP($C124,'BDG Intensity'!$F:$F,'BDG Intensity'!K:K)</f>
        <v/>
      </c>
      <c r="I124" s="12">
        <f>_xlfn.XLOOKUP($C124,'BDG Intensity'!$F:$F,'BDG Intensity'!L:L)</f>
        <v/>
      </c>
      <c r="J124" s="12">
        <f>_xlfn.XLOOKUP($C124,'BDG Intensity'!$F:$F,'BDG Intensity'!M:M)</f>
        <v/>
      </c>
      <c r="K124" s="12">
        <f>_xlfn.XLOOKUP($C124,'BDG Intensity'!$F:$F,'BDG Intensity'!N:N)</f>
        <v/>
      </c>
      <c r="L124" s="12">
        <f>_xlfn.XLOOKUP($C124,'BDG Intensity'!$F:$F,'BDG Intensity'!O:O)</f>
        <v/>
      </c>
      <c r="M124" s="12">
        <f>_xlfn.XLOOKUP($C124,'BDG Intensity'!$F:$F,'BDG Intensity'!P:P)</f>
        <v/>
      </c>
      <c r="N124" s="12">
        <f>_xlfn.XLOOKUP($C124,'BDG Intensity'!$F:$F,'BDG Intensity'!Q:Q)</f>
        <v/>
      </c>
      <c r="O124" s="12">
        <f>_xlfn.XLOOKUP($C124,'BDG Intensity'!$F:$F,'BDG Intensity'!R:R)</f>
        <v/>
      </c>
      <c r="P124" s="12">
        <f>_xlfn.XLOOKUP($C124,'BDG Intensity'!$F:$F,'BDG Intensity'!S:S)</f>
        <v/>
      </c>
      <c r="Q124" s="12">
        <f>_xlfn.XLOOKUP($C124,'BDG Intensity'!$F:$F,'BDG Intensity'!T:T)</f>
        <v/>
      </c>
      <c r="R124" s="12">
        <f>_xlfn.XLOOKUP($C124,'BDG Intensity'!$F:$F,'BDG Intensity'!U:U)</f>
        <v/>
      </c>
      <c r="S124" s="12">
        <f>_xlfn.XLOOKUP($C124,'BDG Intensity'!$F:$F,'BDG Intensity'!V:V)</f>
        <v/>
      </c>
      <c r="T124" s="12">
        <f>_xlfn.XLOOKUP($C124,'BDG Intensity'!$F:$F,'BDG Intensity'!W:W)</f>
        <v/>
      </c>
      <c r="U124" s="12">
        <f>_xlfn.XLOOKUP($C124,'BDG Intensity'!$F:$F,'BDG Intensity'!X:X)</f>
        <v/>
      </c>
      <c r="V124" s="12">
        <f>_xlfn.XLOOKUP($C124,'BDG Intensity'!$F:$F,'BDG Intensity'!Y:Y)</f>
        <v/>
      </c>
      <c r="W124" s="12">
        <f>_xlfn.XLOOKUP($C124,'BDG Intensity'!$F:$F,'BDG Intensity'!Z:Z)</f>
        <v/>
      </c>
    </row>
    <row r="125">
      <c r="B125">
        <f>Def_Tech!C269</f>
        <v/>
      </c>
      <c r="C125">
        <f>Def_Tech!D140</f>
        <v/>
      </c>
      <c r="D125">
        <f>Def_Comm!C269</f>
        <v/>
      </c>
      <c r="E125">
        <f>Def_Comm!C140</f>
        <v/>
      </c>
      <c r="F125" s="12">
        <f>_xlfn.XLOOKUP($C125,'BDG Intensity'!$F:$F,'BDG Intensity'!I:I)</f>
        <v/>
      </c>
      <c r="G125" s="12">
        <f>_xlfn.XLOOKUP($C125,'BDG Intensity'!$F:$F,'BDG Intensity'!J:J)</f>
        <v/>
      </c>
      <c r="H125" s="12">
        <f>_xlfn.XLOOKUP($C125,'BDG Intensity'!$F:$F,'BDG Intensity'!K:K)</f>
        <v/>
      </c>
      <c r="I125" s="12">
        <f>_xlfn.XLOOKUP($C125,'BDG Intensity'!$F:$F,'BDG Intensity'!L:L)</f>
        <v/>
      </c>
      <c r="J125" s="12">
        <f>_xlfn.XLOOKUP($C125,'BDG Intensity'!$F:$F,'BDG Intensity'!M:M)</f>
        <v/>
      </c>
      <c r="K125" s="12">
        <f>_xlfn.XLOOKUP($C125,'BDG Intensity'!$F:$F,'BDG Intensity'!N:N)</f>
        <v/>
      </c>
      <c r="L125" s="12">
        <f>_xlfn.XLOOKUP($C125,'BDG Intensity'!$F:$F,'BDG Intensity'!O:O)</f>
        <v/>
      </c>
      <c r="M125" s="12">
        <f>_xlfn.XLOOKUP($C125,'BDG Intensity'!$F:$F,'BDG Intensity'!P:P)</f>
        <v/>
      </c>
      <c r="N125" s="12">
        <f>_xlfn.XLOOKUP($C125,'BDG Intensity'!$F:$F,'BDG Intensity'!Q:Q)</f>
        <v/>
      </c>
      <c r="O125" s="12">
        <f>_xlfn.XLOOKUP($C125,'BDG Intensity'!$F:$F,'BDG Intensity'!R:R)</f>
        <v/>
      </c>
      <c r="P125" s="12">
        <f>_xlfn.XLOOKUP($C125,'BDG Intensity'!$F:$F,'BDG Intensity'!S:S)</f>
        <v/>
      </c>
      <c r="Q125" s="12">
        <f>_xlfn.XLOOKUP($C125,'BDG Intensity'!$F:$F,'BDG Intensity'!T:T)</f>
        <v/>
      </c>
      <c r="R125" s="12">
        <f>_xlfn.XLOOKUP($C125,'BDG Intensity'!$F:$F,'BDG Intensity'!U:U)</f>
        <v/>
      </c>
      <c r="S125" s="12">
        <f>_xlfn.XLOOKUP($C125,'BDG Intensity'!$F:$F,'BDG Intensity'!V:V)</f>
        <v/>
      </c>
      <c r="T125" s="12">
        <f>_xlfn.XLOOKUP($C125,'BDG Intensity'!$F:$F,'BDG Intensity'!W:W)</f>
        <v/>
      </c>
      <c r="U125" s="12">
        <f>_xlfn.XLOOKUP($C125,'BDG Intensity'!$F:$F,'BDG Intensity'!X:X)</f>
        <v/>
      </c>
      <c r="V125" s="12">
        <f>_xlfn.XLOOKUP($C125,'BDG Intensity'!$F:$F,'BDG Intensity'!Y:Y)</f>
        <v/>
      </c>
      <c r="W125" s="12">
        <f>_xlfn.XLOOKUP($C125,'BDG Intensity'!$F:$F,'BDG Intensity'!Z:Z)</f>
        <v/>
      </c>
    </row>
    <row r="126">
      <c r="B126">
        <f>Def_Tech!C270</f>
        <v/>
      </c>
      <c r="C126">
        <f>Def_Tech!D141</f>
        <v/>
      </c>
      <c r="D126">
        <f>Def_Comm!C270</f>
        <v/>
      </c>
      <c r="E126">
        <f>Def_Comm!C141</f>
        <v/>
      </c>
      <c r="F126" s="12">
        <f>_xlfn.XLOOKUP($C126,'BDG Intensity'!$F:$F,'BDG Intensity'!I:I)</f>
        <v/>
      </c>
      <c r="G126" s="12">
        <f>_xlfn.XLOOKUP($C126,'BDG Intensity'!$F:$F,'BDG Intensity'!J:J)</f>
        <v/>
      </c>
      <c r="H126" s="12">
        <f>_xlfn.XLOOKUP($C126,'BDG Intensity'!$F:$F,'BDG Intensity'!K:K)</f>
        <v/>
      </c>
      <c r="I126" s="12">
        <f>_xlfn.XLOOKUP($C126,'BDG Intensity'!$F:$F,'BDG Intensity'!L:L)</f>
        <v/>
      </c>
      <c r="J126" s="12">
        <f>_xlfn.XLOOKUP($C126,'BDG Intensity'!$F:$F,'BDG Intensity'!M:M)</f>
        <v/>
      </c>
      <c r="K126" s="12">
        <f>_xlfn.XLOOKUP($C126,'BDG Intensity'!$F:$F,'BDG Intensity'!N:N)</f>
        <v/>
      </c>
      <c r="L126" s="12">
        <f>_xlfn.XLOOKUP($C126,'BDG Intensity'!$F:$F,'BDG Intensity'!O:O)</f>
        <v/>
      </c>
      <c r="M126" s="12">
        <f>_xlfn.XLOOKUP($C126,'BDG Intensity'!$F:$F,'BDG Intensity'!P:P)</f>
        <v/>
      </c>
      <c r="N126" s="12">
        <f>_xlfn.XLOOKUP($C126,'BDG Intensity'!$F:$F,'BDG Intensity'!Q:Q)</f>
        <v/>
      </c>
      <c r="O126" s="12">
        <f>_xlfn.XLOOKUP($C126,'BDG Intensity'!$F:$F,'BDG Intensity'!R:R)</f>
        <v/>
      </c>
      <c r="P126" s="12">
        <f>_xlfn.XLOOKUP($C126,'BDG Intensity'!$F:$F,'BDG Intensity'!S:S)</f>
        <v/>
      </c>
      <c r="Q126" s="12">
        <f>_xlfn.XLOOKUP($C126,'BDG Intensity'!$F:$F,'BDG Intensity'!T:T)</f>
        <v/>
      </c>
      <c r="R126" s="12">
        <f>_xlfn.XLOOKUP($C126,'BDG Intensity'!$F:$F,'BDG Intensity'!U:U)</f>
        <v/>
      </c>
      <c r="S126" s="12">
        <f>_xlfn.XLOOKUP($C126,'BDG Intensity'!$F:$F,'BDG Intensity'!V:V)</f>
        <v/>
      </c>
      <c r="T126" s="12">
        <f>_xlfn.XLOOKUP($C126,'BDG Intensity'!$F:$F,'BDG Intensity'!W:W)</f>
        <v/>
      </c>
      <c r="U126" s="12">
        <f>_xlfn.XLOOKUP($C126,'BDG Intensity'!$F:$F,'BDG Intensity'!X:X)</f>
        <v/>
      </c>
      <c r="V126" s="12">
        <f>_xlfn.XLOOKUP($C126,'BDG Intensity'!$F:$F,'BDG Intensity'!Y:Y)</f>
        <v/>
      </c>
      <c r="W126" s="12">
        <f>_xlfn.XLOOKUP($C126,'BDG Intensity'!$F:$F,'BDG Intensity'!Z:Z)</f>
        <v/>
      </c>
    </row>
    <row r="127">
      <c r="B127">
        <f>Def_Tech!C271</f>
        <v/>
      </c>
      <c r="C127">
        <f>Def_Tech!D142</f>
        <v/>
      </c>
      <c r="D127">
        <f>Def_Comm!C271</f>
        <v/>
      </c>
      <c r="E127">
        <f>Def_Comm!C142</f>
        <v/>
      </c>
      <c r="F127" s="12">
        <f>_xlfn.XLOOKUP($C127,'BDG Intensity'!$F:$F,'BDG Intensity'!I:I)</f>
        <v/>
      </c>
      <c r="G127" s="12">
        <f>_xlfn.XLOOKUP($C127,'BDG Intensity'!$F:$F,'BDG Intensity'!J:J)</f>
        <v/>
      </c>
      <c r="H127" s="12">
        <f>_xlfn.XLOOKUP($C127,'BDG Intensity'!$F:$F,'BDG Intensity'!K:K)</f>
        <v/>
      </c>
      <c r="I127" s="12">
        <f>_xlfn.XLOOKUP($C127,'BDG Intensity'!$F:$F,'BDG Intensity'!L:L)</f>
        <v/>
      </c>
      <c r="J127" s="12">
        <f>_xlfn.XLOOKUP($C127,'BDG Intensity'!$F:$F,'BDG Intensity'!M:M)</f>
        <v/>
      </c>
      <c r="K127" s="12">
        <f>_xlfn.XLOOKUP($C127,'BDG Intensity'!$F:$F,'BDG Intensity'!N:N)</f>
        <v/>
      </c>
      <c r="L127" s="12">
        <f>_xlfn.XLOOKUP($C127,'BDG Intensity'!$F:$F,'BDG Intensity'!O:O)</f>
        <v/>
      </c>
      <c r="M127" s="12">
        <f>_xlfn.XLOOKUP($C127,'BDG Intensity'!$F:$F,'BDG Intensity'!P:P)</f>
        <v/>
      </c>
      <c r="N127" s="12">
        <f>_xlfn.XLOOKUP($C127,'BDG Intensity'!$F:$F,'BDG Intensity'!Q:Q)</f>
        <v/>
      </c>
      <c r="O127" s="12">
        <f>_xlfn.XLOOKUP($C127,'BDG Intensity'!$F:$F,'BDG Intensity'!R:R)</f>
        <v/>
      </c>
      <c r="P127" s="12">
        <f>_xlfn.XLOOKUP($C127,'BDG Intensity'!$F:$F,'BDG Intensity'!S:S)</f>
        <v/>
      </c>
      <c r="Q127" s="12">
        <f>_xlfn.XLOOKUP($C127,'BDG Intensity'!$F:$F,'BDG Intensity'!T:T)</f>
        <v/>
      </c>
      <c r="R127" s="12">
        <f>_xlfn.XLOOKUP($C127,'BDG Intensity'!$F:$F,'BDG Intensity'!U:U)</f>
        <v/>
      </c>
      <c r="S127" s="12">
        <f>_xlfn.XLOOKUP($C127,'BDG Intensity'!$F:$F,'BDG Intensity'!V:V)</f>
        <v/>
      </c>
      <c r="T127" s="12">
        <f>_xlfn.XLOOKUP($C127,'BDG Intensity'!$F:$F,'BDG Intensity'!W:W)</f>
        <v/>
      </c>
      <c r="U127" s="12">
        <f>_xlfn.XLOOKUP($C127,'BDG Intensity'!$F:$F,'BDG Intensity'!X:X)</f>
        <v/>
      </c>
      <c r="V127" s="12">
        <f>_xlfn.XLOOKUP($C127,'BDG Intensity'!$F:$F,'BDG Intensity'!Y:Y)</f>
        <v/>
      </c>
      <c r="W127" s="12">
        <f>_xlfn.XLOOKUP($C127,'BDG Intensity'!$F:$F,'BDG Intensity'!Z:Z)</f>
        <v/>
      </c>
    </row>
    <row r="128">
      <c r="B128">
        <f>Def_Tech!C272</f>
        <v/>
      </c>
      <c r="C128">
        <f>Def_Tech!D143</f>
        <v/>
      </c>
      <c r="D128">
        <f>Def_Comm!C272</f>
        <v/>
      </c>
      <c r="E128">
        <f>Def_Comm!C143</f>
        <v/>
      </c>
      <c r="F128" s="12">
        <f>_xlfn.XLOOKUP($C128,'BDG Intensity'!$F:$F,'BDG Intensity'!I:I)</f>
        <v/>
      </c>
      <c r="G128" s="12">
        <f>_xlfn.XLOOKUP($C128,'BDG Intensity'!$F:$F,'BDG Intensity'!J:J)</f>
        <v/>
      </c>
      <c r="H128" s="12">
        <f>_xlfn.XLOOKUP($C128,'BDG Intensity'!$F:$F,'BDG Intensity'!K:K)</f>
        <v/>
      </c>
      <c r="I128" s="12">
        <f>_xlfn.XLOOKUP($C128,'BDG Intensity'!$F:$F,'BDG Intensity'!L:L)</f>
        <v/>
      </c>
      <c r="J128" s="12">
        <f>_xlfn.XLOOKUP($C128,'BDG Intensity'!$F:$F,'BDG Intensity'!M:M)</f>
        <v/>
      </c>
      <c r="K128" s="12">
        <f>_xlfn.XLOOKUP($C128,'BDG Intensity'!$F:$F,'BDG Intensity'!N:N)</f>
        <v/>
      </c>
      <c r="L128" s="12">
        <f>_xlfn.XLOOKUP($C128,'BDG Intensity'!$F:$F,'BDG Intensity'!O:O)</f>
        <v/>
      </c>
      <c r="M128" s="12">
        <f>_xlfn.XLOOKUP($C128,'BDG Intensity'!$F:$F,'BDG Intensity'!P:P)</f>
        <v/>
      </c>
      <c r="N128" s="12">
        <f>_xlfn.XLOOKUP($C128,'BDG Intensity'!$F:$F,'BDG Intensity'!Q:Q)</f>
        <v/>
      </c>
      <c r="O128" s="12">
        <f>_xlfn.XLOOKUP($C128,'BDG Intensity'!$F:$F,'BDG Intensity'!R:R)</f>
        <v/>
      </c>
      <c r="P128" s="12">
        <f>_xlfn.XLOOKUP($C128,'BDG Intensity'!$F:$F,'BDG Intensity'!S:S)</f>
        <v/>
      </c>
      <c r="Q128" s="12">
        <f>_xlfn.XLOOKUP($C128,'BDG Intensity'!$F:$F,'BDG Intensity'!T:T)</f>
        <v/>
      </c>
      <c r="R128" s="12">
        <f>_xlfn.XLOOKUP($C128,'BDG Intensity'!$F:$F,'BDG Intensity'!U:U)</f>
        <v/>
      </c>
      <c r="S128" s="12">
        <f>_xlfn.XLOOKUP($C128,'BDG Intensity'!$F:$F,'BDG Intensity'!V:V)</f>
        <v/>
      </c>
      <c r="T128" s="12">
        <f>_xlfn.XLOOKUP($C128,'BDG Intensity'!$F:$F,'BDG Intensity'!W:W)</f>
        <v/>
      </c>
      <c r="U128" s="12">
        <f>_xlfn.XLOOKUP($C128,'BDG Intensity'!$F:$F,'BDG Intensity'!X:X)</f>
        <v/>
      </c>
      <c r="V128" s="12">
        <f>_xlfn.XLOOKUP($C128,'BDG Intensity'!$F:$F,'BDG Intensity'!Y:Y)</f>
        <v/>
      </c>
      <c r="W128" s="12">
        <f>_xlfn.XLOOKUP($C128,'BDG Intensity'!$F:$F,'BDG Intensity'!Z:Z)</f>
        <v/>
      </c>
    </row>
    <row r="129">
      <c r="B129">
        <f>Def_Tech!C273</f>
        <v/>
      </c>
      <c r="C129">
        <f>Def_Tech!D144</f>
        <v/>
      </c>
      <c r="D129">
        <f>Def_Comm!C273</f>
        <v/>
      </c>
      <c r="E129">
        <f>Def_Comm!C144</f>
        <v/>
      </c>
      <c r="F129" s="12">
        <f>_xlfn.XLOOKUP($C129,'BDG Intensity'!$F:$F,'BDG Intensity'!I:I)</f>
        <v/>
      </c>
      <c r="G129" s="12">
        <f>_xlfn.XLOOKUP($C129,'BDG Intensity'!$F:$F,'BDG Intensity'!J:J)</f>
        <v/>
      </c>
      <c r="H129" s="12">
        <f>_xlfn.XLOOKUP($C129,'BDG Intensity'!$F:$F,'BDG Intensity'!K:K)</f>
        <v/>
      </c>
      <c r="I129" s="12">
        <f>_xlfn.XLOOKUP($C129,'BDG Intensity'!$F:$F,'BDG Intensity'!L:L)</f>
        <v/>
      </c>
      <c r="J129" s="12">
        <f>_xlfn.XLOOKUP($C129,'BDG Intensity'!$F:$F,'BDG Intensity'!M:M)</f>
        <v/>
      </c>
      <c r="K129" s="12">
        <f>_xlfn.XLOOKUP($C129,'BDG Intensity'!$F:$F,'BDG Intensity'!N:N)</f>
        <v/>
      </c>
      <c r="L129" s="12">
        <f>_xlfn.XLOOKUP($C129,'BDG Intensity'!$F:$F,'BDG Intensity'!O:O)</f>
        <v/>
      </c>
      <c r="M129" s="12">
        <f>_xlfn.XLOOKUP($C129,'BDG Intensity'!$F:$F,'BDG Intensity'!P:P)</f>
        <v/>
      </c>
      <c r="N129" s="12">
        <f>_xlfn.XLOOKUP($C129,'BDG Intensity'!$F:$F,'BDG Intensity'!Q:Q)</f>
        <v/>
      </c>
      <c r="O129" s="12">
        <f>_xlfn.XLOOKUP($C129,'BDG Intensity'!$F:$F,'BDG Intensity'!R:R)</f>
        <v/>
      </c>
      <c r="P129" s="12">
        <f>_xlfn.XLOOKUP($C129,'BDG Intensity'!$F:$F,'BDG Intensity'!S:S)</f>
        <v/>
      </c>
      <c r="Q129" s="12">
        <f>_xlfn.XLOOKUP($C129,'BDG Intensity'!$F:$F,'BDG Intensity'!T:T)</f>
        <v/>
      </c>
      <c r="R129" s="12">
        <f>_xlfn.XLOOKUP($C129,'BDG Intensity'!$F:$F,'BDG Intensity'!U:U)</f>
        <v/>
      </c>
      <c r="S129" s="12">
        <f>_xlfn.XLOOKUP($C129,'BDG Intensity'!$F:$F,'BDG Intensity'!V:V)</f>
        <v/>
      </c>
      <c r="T129" s="12">
        <f>_xlfn.XLOOKUP($C129,'BDG Intensity'!$F:$F,'BDG Intensity'!W:W)</f>
        <v/>
      </c>
      <c r="U129" s="12">
        <f>_xlfn.XLOOKUP($C129,'BDG Intensity'!$F:$F,'BDG Intensity'!X:X)</f>
        <v/>
      </c>
      <c r="V129" s="12">
        <f>_xlfn.XLOOKUP($C129,'BDG Intensity'!$F:$F,'BDG Intensity'!Y:Y)</f>
        <v/>
      </c>
      <c r="W129" s="12">
        <f>_xlfn.XLOOKUP($C129,'BDG Intensity'!$F:$F,'BDG Intensity'!Z:Z)</f>
        <v/>
      </c>
    </row>
    <row r="130">
      <c r="B130">
        <f>Def_Tech!C274</f>
        <v/>
      </c>
      <c r="C130">
        <f>Def_Tech!D145</f>
        <v/>
      </c>
      <c r="D130">
        <f>Def_Comm!C274</f>
        <v/>
      </c>
      <c r="E130">
        <f>Def_Comm!C145</f>
        <v/>
      </c>
      <c r="F130" s="12">
        <f>_xlfn.XLOOKUP($C130,'BDG Intensity'!$F:$F,'BDG Intensity'!I:I)</f>
        <v/>
      </c>
      <c r="G130" s="12">
        <f>_xlfn.XLOOKUP($C130,'BDG Intensity'!$F:$F,'BDG Intensity'!J:J)</f>
        <v/>
      </c>
      <c r="H130" s="12">
        <f>_xlfn.XLOOKUP($C130,'BDG Intensity'!$F:$F,'BDG Intensity'!K:K)</f>
        <v/>
      </c>
      <c r="I130" s="12">
        <f>_xlfn.XLOOKUP($C130,'BDG Intensity'!$F:$F,'BDG Intensity'!L:L)</f>
        <v/>
      </c>
      <c r="J130" s="12">
        <f>_xlfn.XLOOKUP($C130,'BDG Intensity'!$F:$F,'BDG Intensity'!M:M)</f>
        <v/>
      </c>
      <c r="K130" s="12">
        <f>_xlfn.XLOOKUP($C130,'BDG Intensity'!$F:$F,'BDG Intensity'!N:N)</f>
        <v/>
      </c>
      <c r="L130" s="12">
        <f>_xlfn.XLOOKUP($C130,'BDG Intensity'!$F:$F,'BDG Intensity'!O:O)</f>
        <v/>
      </c>
      <c r="M130" s="12">
        <f>_xlfn.XLOOKUP($C130,'BDG Intensity'!$F:$F,'BDG Intensity'!P:P)</f>
        <v/>
      </c>
      <c r="N130" s="12">
        <f>_xlfn.XLOOKUP($C130,'BDG Intensity'!$F:$F,'BDG Intensity'!Q:Q)</f>
        <v/>
      </c>
      <c r="O130" s="12">
        <f>_xlfn.XLOOKUP($C130,'BDG Intensity'!$F:$F,'BDG Intensity'!R:R)</f>
        <v/>
      </c>
      <c r="P130" s="12">
        <f>_xlfn.XLOOKUP($C130,'BDG Intensity'!$F:$F,'BDG Intensity'!S:S)</f>
        <v/>
      </c>
      <c r="Q130" s="12">
        <f>_xlfn.XLOOKUP($C130,'BDG Intensity'!$F:$F,'BDG Intensity'!T:T)</f>
        <v/>
      </c>
      <c r="R130" s="12">
        <f>_xlfn.XLOOKUP($C130,'BDG Intensity'!$F:$F,'BDG Intensity'!U:U)</f>
        <v/>
      </c>
      <c r="S130" s="12">
        <f>_xlfn.XLOOKUP($C130,'BDG Intensity'!$F:$F,'BDG Intensity'!V:V)</f>
        <v/>
      </c>
      <c r="T130" s="12">
        <f>_xlfn.XLOOKUP($C130,'BDG Intensity'!$F:$F,'BDG Intensity'!W:W)</f>
        <v/>
      </c>
      <c r="U130" s="12">
        <f>_xlfn.XLOOKUP($C130,'BDG Intensity'!$F:$F,'BDG Intensity'!X:X)</f>
        <v/>
      </c>
      <c r="V130" s="12">
        <f>_xlfn.XLOOKUP($C130,'BDG Intensity'!$F:$F,'BDG Intensity'!Y:Y)</f>
        <v/>
      </c>
      <c r="W130" s="12">
        <f>_xlfn.XLOOKUP($C130,'BDG Intensity'!$F:$F,'BDG Intensity'!Z:Z)</f>
        <v/>
      </c>
    </row>
    <row r="131">
      <c r="B131">
        <f>Def_Tech!C275</f>
        <v/>
      </c>
      <c r="C131">
        <f>Def_Tech!D146</f>
        <v/>
      </c>
      <c r="D131">
        <f>Def_Comm!C275</f>
        <v/>
      </c>
      <c r="E131">
        <f>Def_Comm!C146</f>
        <v/>
      </c>
      <c r="F131" s="12">
        <f>_xlfn.XLOOKUP($C131,'BDG Intensity'!$F:$F,'BDG Intensity'!I:I)</f>
        <v/>
      </c>
      <c r="G131" s="12">
        <f>_xlfn.XLOOKUP($C131,'BDG Intensity'!$F:$F,'BDG Intensity'!J:J)</f>
        <v/>
      </c>
      <c r="H131" s="12">
        <f>_xlfn.XLOOKUP($C131,'BDG Intensity'!$F:$F,'BDG Intensity'!K:K)</f>
        <v/>
      </c>
      <c r="I131" s="12">
        <f>_xlfn.XLOOKUP($C131,'BDG Intensity'!$F:$F,'BDG Intensity'!L:L)</f>
        <v/>
      </c>
      <c r="J131" s="12">
        <f>_xlfn.XLOOKUP($C131,'BDG Intensity'!$F:$F,'BDG Intensity'!M:M)</f>
        <v/>
      </c>
      <c r="K131" s="12">
        <f>_xlfn.XLOOKUP($C131,'BDG Intensity'!$F:$F,'BDG Intensity'!N:N)</f>
        <v/>
      </c>
      <c r="L131" s="12">
        <f>_xlfn.XLOOKUP($C131,'BDG Intensity'!$F:$F,'BDG Intensity'!O:O)</f>
        <v/>
      </c>
      <c r="M131" s="12">
        <f>_xlfn.XLOOKUP($C131,'BDG Intensity'!$F:$F,'BDG Intensity'!P:P)</f>
        <v/>
      </c>
      <c r="N131" s="12">
        <f>_xlfn.XLOOKUP($C131,'BDG Intensity'!$F:$F,'BDG Intensity'!Q:Q)</f>
        <v/>
      </c>
      <c r="O131" s="12">
        <f>_xlfn.XLOOKUP($C131,'BDG Intensity'!$F:$F,'BDG Intensity'!R:R)</f>
        <v/>
      </c>
      <c r="P131" s="12">
        <f>_xlfn.XLOOKUP($C131,'BDG Intensity'!$F:$F,'BDG Intensity'!S:S)</f>
        <v/>
      </c>
      <c r="Q131" s="12">
        <f>_xlfn.XLOOKUP($C131,'BDG Intensity'!$F:$F,'BDG Intensity'!T:T)</f>
        <v/>
      </c>
      <c r="R131" s="12">
        <f>_xlfn.XLOOKUP($C131,'BDG Intensity'!$F:$F,'BDG Intensity'!U:U)</f>
        <v/>
      </c>
      <c r="S131" s="12">
        <f>_xlfn.XLOOKUP($C131,'BDG Intensity'!$F:$F,'BDG Intensity'!V:V)</f>
        <v/>
      </c>
      <c r="T131" s="12">
        <f>_xlfn.XLOOKUP($C131,'BDG Intensity'!$F:$F,'BDG Intensity'!W:W)</f>
        <v/>
      </c>
      <c r="U131" s="12">
        <f>_xlfn.XLOOKUP($C131,'BDG Intensity'!$F:$F,'BDG Intensity'!X:X)</f>
        <v/>
      </c>
      <c r="V131" s="12">
        <f>_xlfn.XLOOKUP($C131,'BDG Intensity'!$F:$F,'BDG Intensity'!Y:Y)</f>
        <v/>
      </c>
      <c r="W131" s="12">
        <f>_xlfn.XLOOKUP($C131,'BDG Intensity'!$F:$F,'BDG Intensity'!Z:Z)</f>
        <v/>
      </c>
    </row>
    <row r="132">
      <c r="B132">
        <f>Def_Tech!C276</f>
        <v/>
      </c>
      <c r="C132">
        <f>Def_Tech!D147</f>
        <v/>
      </c>
      <c r="D132">
        <f>Def_Comm!C276</f>
        <v/>
      </c>
      <c r="E132">
        <f>Def_Comm!C147</f>
        <v/>
      </c>
      <c r="F132" s="12">
        <f>_xlfn.XLOOKUP($C132,'BDG Intensity'!$F:$F,'BDG Intensity'!I:I)</f>
        <v/>
      </c>
      <c r="G132" s="12">
        <f>_xlfn.XLOOKUP($C132,'BDG Intensity'!$F:$F,'BDG Intensity'!J:J)</f>
        <v/>
      </c>
      <c r="H132" s="12">
        <f>_xlfn.XLOOKUP($C132,'BDG Intensity'!$F:$F,'BDG Intensity'!K:K)</f>
        <v/>
      </c>
      <c r="I132" s="12">
        <f>_xlfn.XLOOKUP($C132,'BDG Intensity'!$F:$F,'BDG Intensity'!L:L)</f>
        <v/>
      </c>
      <c r="J132" s="12">
        <f>_xlfn.XLOOKUP($C132,'BDG Intensity'!$F:$F,'BDG Intensity'!M:M)</f>
        <v/>
      </c>
      <c r="K132" s="12">
        <f>_xlfn.XLOOKUP($C132,'BDG Intensity'!$F:$F,'BDG Intensity'!N:N)</f>
        <v/>
      </c>
      <c r="L132" s="12">
        <f>_xlfn.XLOOKUP($C132,'BDG Intensity'!$F:$F,'BDG Intensity'!O:O)</f>
        <v/>
      </c>
      <c r="M132" s="12">
        <f>_xlfn.XLOOKUP($C132,'BDG Intensity'!$F:$F,'BDG Intensity'!P:P)</f>
        <v/>
      </c>
      <c r="N132" s="12">
        <f>_xlfn.XLOOKUP($C132,'BDG Intensity'!$F:$F,'BDG Intensity'!Q:Q)</f>
        <v/>
      </c>
      <c r="O132" s="12">
        <f>_xlfn.XLOOKUP($C132,'BDG Intensity'!$F:$F,'BDG Intensity'!R:R)</f>
        <v/>
      </c>
      <c r="P132" s="12">
        <f>_xlfn.XLOOKUP($C132,'BDG Intensity'!$F:$F,'BDG Intensity'!S:S)</f>
        <v/>
      </c>
      <c r="Q132" s="12">
        <f>_xlfn.XLOOKUP($C132,'BDG Intensity'!$F:$F,'BDG Intensity'!T:T)</f>
        <v/>
      </c>
      <c r="R132" s="12">
        <f>_xlfn.XLOOKUP($C132,'BDG Intensity'!$F:$F,'BDG Intensity'!U:U)</f>
        <v/>
      </c>
      <c r="S132" s="12">
        <f>_xlfn.XLOOKUP($C132,'BDG Intensity'!$F:$F,'BDG Intensity'!V:V)</f>
        <v/>
      </c>
      <c r="T132" s="12">
        <f>_xlfn.XLOOKUP($C132,'BDG Intensity'!$F:$F,'BDG Intensity'!W:W)</f>
        <v/>
      </c>
      <c r="U132" s="12">
        <f>_xlfn.XLOOKUP($C132,'BDG Intensity'!$F:$F,'BDG Intensity'!X:X)</f>
        <v/>
      </c>
      <c r="V132" s="12">
        <f>_xlfn.XLOOKUP($C132,'BDG Intensity'!$F:$F,'BDG Intensity'!Y:Y)</f>
        <v/>
      </c>
      <c r="W132" s="12">
        <f>_xlfn.XLOOKUP($C132,'BDG Intensity'!$F:$F,'BDG Intensity'!Z:Z)</f>
        <v/>
      </c>
    </row>
    <row r="133">
      <c r="B133">
        <f>Def_Tech!C277</f>
        <v/>
      </c>
      <c r="C133">
        <f>Def_Tech!D148</f>
        <v/>
      </c>
      <c r="D133">
        <f>Def_Comm!C277</f>
        <v/>
      </c>
      <c r="E133">
        <f>Def_Comm!C148</f>
        <v/>
      </c>
      <c r="F133" s="12">
        <f>_xlfn.XLOOKUP($C133,'BDG Intensity'!$F:$F,'BDG Intensity'!I:I)</f>
        <v/>
      </c>
      <c r="G133" s="12">
        <f>_xlfn.XLOOKUP($C133,'BDG Intensity'!$F:$F,'BDG Intensity'!J:J)</f>
        <v/>
      </c>
      <c r="H133" s="12">
        <f>_xlfn.XLOOKUP($C133,'BDG Intensity'!$F:$F,'BDG Intensity'!K:K)</f>
        <v/>
      </c>
      <c r="I133" s="12">
        <f>_xlfn.XLOOKUP($C133,'BDG Intensity'!$F:$F,'BDG Intensity'!L:L)</f>
        <v/>
      </c>
      <c r="J133" s="12">
        <f>_xlfn.XLOOKUP($C133,'BDG Intensity'!$F:$F,'BDG Intensity'!M:M)</f>
        <v/>
      </c>
      <c r="K133" s="12">
        <f>_xlfn.XLOOKUP($C133,'BDG Intensity'!$F:$F,'BDG Intensity'!N:N)</f>
        <v/>
      </c>
      <c r="L133" s="12">
        <f>_xlfn.XLOOKUP($C133,'BDG Intensity'!$F:$F,'BDG Intensity'!O:O)</f>
        <v/>
      </c>
      <c r="M133" s="12">
        <f>_xlfn.XLOOKUP($C133,'BDG Intensity'!$F:$F,'BDG Intensity'!P:P)</f>
        <v/>
      </c>
      <c r="N133" s="12">
        <f>_xlfn.XLOOKUP($C133,'BDG Intensity'!$F:$F,'BDG Intensity'!Q:Q)</f>
        <v/>
      </c>
      <c r="O133" s="12">
        <f>_xlfn.XLOOKUP($C133,'BDG Intensity'!$F:$F,'BDG Intensity'!R:R)</f>
        <v/>
      </c>
      <c r="P133" s="12">
        <f>_xlfn.XLOOKUP($C133,'BDG Intensity'!$F:$F,'BDG Intensity'!S:S)</f>
        <v/>
      </c>
      <c r="Q133" s="12">
        <f>_xlfn.XLOOKUP($C133,'BDG Intensity'!$F:$F,'BDG Intensity'!T:T)</f>
        <v/>
      </c>
      <c r="R133" s="12">
        <f>_xlfn.XLOOKUP($C133,'BDG Intensity'!$F:$F,'BDG Intensity'!U:U)</f>
        <v/>
      </c>
      <c r="S133" s="12">
        <f>_xlfn.XLOOKUP($C133,'BDG Intensity'!$F:$F,'BDG Intensity'!V:V)</f>
        <v/>
      </c>
      <c r="T133" s="12">
        <f>_xlfn.XLOOKUP($C133,'BDG Intensity'!$F:$F,'BDG Intensity'!W:W)</f>
        <v/>
      </c>
      <c r="U133" s="12">
        <f>_xlfn.XLOOKUP($C133,'BDG Intensity'!$F:$F,'BDG Intensity'!X:X)</f>
        <v/>
      </c>
      <c r="V133" s="12">
        <f>_xlfn.XLOOKUP($C133,'BDG Intensity'!$F:$F,'BDG Intensity'!Y:Y)</f>
        <v/>
      </c>
      <c r="W133" s="12">
        <f>_xlfn.XLOOKUP($C133,'BDG Intensity'!$F:$F,'BDG Intensity'!Z:Z)</f>
        <v/>
      </c>
    </row>
    <row r="134">
      <c r="B134">
        <f>Def_Tech!C278</f>
        <v/>
      </c>
      <c r="C134">
        <f>Def_Tech!D149</f>
        <v/>
      </c>
      <c r="D134">
        <f>Def_Comm!C278</f>
        <v/>
      </c>
      <c r="E134">
        <f>Def_Comm!C149</f>
        <v/>
      </c>
      <c r="F134" s="12">
        <f>_xlfn.XLOOKUP($C134,'BDG Intensity'!$F:$F,'BDG Intensity'!I:I)</f>
        <v/>
      </c>
      <c r="G134" s="12">
        <f>_xlfn.XLOOKUP($C134,'BDG Intensity'!$F:$F,'BDG Intensity'!J:J)</f>
        <v/>
      </c>
      <c r="H134" s="12">
        <f>_xlfn.XLOOKUP($C134,'BDG Intensity'!$F:$F,'BDG Intensity'!K:K)</f>
        <v/>
      </c>
      <c r="I134" s="12">
        <f>_xlfn.XLOOKUP($C134,'BDG Intensity'!$F:$F,'BDG Intensity'!L:L)</f>
        <v/>
      </c>
      <c r="J134" s="12">
        <f>_xlfn.XLOOKUP($C134,'BDG Intensity'!$F:$F,'BDG Intensity'!M:M)</f>
        <v/>
      </c>
      <c r="K134" s="12">
        <f>_xlfn.XLOOKUP($C134,'BDG Intensity'!$F:$F,'BDG Intensity'!N:N)</f>
        <v/>
      </c>
      <c r="L134" s="12">
        <f>_xlfn.XLOOKUP($C134,'BDG Intensity'!$F:$F,'BDG Intensity'!O:O)</f>
        <v/>
      </c>
      <c r="M134" s="12">
        <f>_xlfn.XLOOKUP($C134,'BDG Intensity'!$F:$F,'BDG Intensity'!P:P)</f>
        <v/>
      </c>
      <c r="N134" s="12">
        <f>_xlfn.XLOOKUP($C134,'BDG Intensity'!$F:$F,'BDG Intensity'!Q:Q)</f>
        <v/>
      </c>
      <c r="O134" s="12">
        <f>_xlfn.XLOOKUP($C134,'BDG Intensity'!$F:$F,'BDG Intensity'!R:R)</f>
        <v/>
      </c>
      <c r="P134" s="12">
        <f>_xlfn.XLOOKUP($C134,'BDG Intensity'!$F:$F,'BDG Intensity'!S:S)</f>
        <v/>
      </c>
      <c r="Q134" s="12">
        <f>_xlfn.XLOOKUP($C134,'BDG Intensity'!$F:$F,'BDG Intensity'!T:T)</f>
        <v/>
      </c>
      <c r="R134" s="12">
        <f>_xlfn.XLOOKUP($C134,'BDG Intensity'!$F:$F,'BDG Intensity'!U:U)</f>
        <v/>
      </c>
      <c r="S134" s="12">
        <f>_xlfn.XLOOKUP($C134,'BDG Intensity'!$F:$F,'BDG Intensity'!V:V)</f>
        <v/>
      </c>
      <c r="T134" s="12">
        <f>_xlfn.XLOOKUP($C134,'BDG Intensity'!$F:$F,'BDG Intensity'!W:W)</f>
        <v/>
      </c>
      <c r="U134" s="12">
        <f>_xlfn.XLOOKUP($C134,'BDG Intensity'!$F:$F,'BDG Intensity'!X:X)</f>
        <v/>
      </c>
      <c r="V134" s="12">
        <f>_xlfn.XLOOKUP($C134,'BDG Intensity'!$F:$F,'BDG Intensity'!Y:Y)</f>
        <v/>
      </c>
      <c r="W134" s="12">
        <f>_xlfn.XLOOKUP($C134,'BDG Intensity'!$F:$F,'BDG Intensity'!Z:Z)</f>
        <v/>
      </c>
    </row>
    <row r="135"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</row>
    <row r="136"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</row>
    <row r="137"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</row>
    <row r="138"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</row>
    <row r="139"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</row>
    <row r="140"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</row>
    <row r="141"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</row>
    <row r="142"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</row>
    <row r="143"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</row>
    <row r="144"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</row>
    <row r="145"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</row>
    <row r="146"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</row>
    <row r="147"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</row>
    <row r="148"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</row>
    <row r="149"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</row>
    <row r="150"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</row>
    <row r="151"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</row>
    <row r="152"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</row>
    <row r="153"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</row>
    <row r="154"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</row>
    <row r="155"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</row>
    <row r="156"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</row>
    <row r="157"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</row>
    <row r="158"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</row>
    <row r="159"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</row>
    <row r="160"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</row>
    <row r="161"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</row>
    <row r="162"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</row>
    <row r="163"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</row>
    <row r="164"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</row>
    <row r="165"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</row>
    <row r="166"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L369"/>
  <sheetViews>
    <sheetView tabSelected="1" zoomScale="85" zoomScaleNormal="85" workbookViewId="0">
      <selection activeCell="L11" sqref="L11"/>
    </sheetView>
  </sheetViews>
  <sheetFormatPr baseColWidth="8" defaultRowHeight="15"/>
  <cols>
    <col width="25.140625" bestFit="1" customWidth="1" min="3" max="3"/>
    <col width="9.28515625" bestFit="1" customWidth="1" min="4" max="4"/>
    <col width="18.7109375" bestFit="1" customWidth="1" min="5" max="5"/>
    <col width="5.85546875" bestFit="1" customWidth="1" min="6" max="6"/>
    <col width="13.42578125" bestFit="1" customWidth="1" min="7" max="7"/>
    <col width="14.7109375" bestFit="1" customWidth="1" min="8" max="8"/>
    <col width="12.28515625" bestFit="1" customWidth="1" min="9" max="9"/>
    <col width="11.28515625" bestFit="1" customWidth="1" style="8" min="10" max="10"/>
    <col width="16.7109375" bestFit="1" customWidth="1" min="11" max="11"/>
    <col width="14.7109375" bestFit="1" customWidth="1" min="12" max="12"/>
  </cols>
  <sheetData>
    <row r="1">
      <c r="K1">
        <f>'City characteristics'!C20</f>
        <v/>
      </c>
    </row>
    <row r="2">
      <c r="K2" t="inlineStr">
        <is>
          <t>PRC_RESID</t>
        </is>
      </c>
    </row>
    <row r="4">
      <c r="E4" s="9" t="inlineStr">
        <is>
          <t>~FI_T</t>
        </is>
      </c>
    </row>
    <row r="5">
      <c r="B5" s="10" t="inlineStr">
        <is>
          <t>Region</t>
        </is>
      </c>
      <c r="C5" s="10" t="inlineStr">
        <is>
          <t>TechName</t>
        </is>
      </c>
      <c r="D5" s="10" t="inlineStr">
        <is>
          <t>Comm-IN</t>
        </is>
      </c>
      <c r="E5" s="10" t="inlineStr">
        <is>
          <t>Comm-OUT</t>
        </is>
      </c>
      <c r="F5" s="10" t="inlineStr">
        <is>
          <t>EFF</t>
        </is>
      </c>
      <c r="G5" s="10" t="inlineStr">
        <is>
          <t>PRC_CAPACT</t>
        </is>
      </c>
      <c r="H5" s="10" t="inlineStr">
        <is>
          <t>NCAP_AFA~UP</t>
        </is>
      </c>
      <c r="I5" s="10" t="inlineStr">
        <is>
          <t>NCAP_TLIFE</t>
        </is>
      </c>
      <c r="J5" s="14" t="inlineStr">
        <is>
          <t>NCAP_FOM</t>
        </is>
      </c>
      <c r="K5" s="10">
        <f>K2&amp;"~"&amp;K1</f>
        <v/>
      </c>
      <c r="L5" s="10" t="inlineStr">
        <is>
          <t>NCAP_AFA~LO</t>
        </is>
      </c>
    </row>
    <row r="6" ht="15" customHeight="1" thickBot="1">
      <c r="B6" s="11" t="inlineStr">
        <is>
          <t>*</t>
        </is>
      </c>
      <c r="C6" s="11" t="inlineStr">
        <is>
          <t>*</t>
        </is>
      </c>
      <c r="D6" s="11" t="n"/>
      <c r="E6" s="11" t="n"/>
      <c r="F6" s="11" t="inlineStr">
        <is>
          <t>Out/In</t>
        </is>
      </c>
      <c r="G6" s="11" t="inlineStr">
        <is>
          <t>TJ/MW</t>
        </is>
      </c>
      <c r="H6" s="11" t="inlineStr">
        <is>
          <t>%</t>
        </is>
      </c>
      <c r="I6" s="11" t="inlineStr">
        <is>
          <t>Yr</t>
        </is>
      </c>
      <c r="J6" s="15" t="inlineStr">
        <is>
          <t>$ / KW /Yr</t>
        </is>
      </c>
      <c r="K6" s="11" t="inlineStr">
        <is>
          <t>MW</t>
        </is>
      </c>
      <c r="L6" s="11" t="inlineStr">
        <is>
          <t>%</t>
        </is>
      </c>
    </row>
    <row r="7">
      <c r="B7">
        <f>IF(K7=0,"*",Def_Tech!C151)</f>
        <v/>
      </c>
      <c r="C7">
        <f>Def_Tech!D151</f>
        <v/>
      </c>
      <c r="D7">
        <f>_xlfn.XLOOKUP(C7,'COM RESID'!J:J,'COM RESID'!H:H)</f>
        <v/>
      </c>
      <c r="E7">
        <f>_xlfn.XLOOKUP(C7,'COM RESID'!J:J,'COM RESID'!I:I)</f>
        <v/>
      </c>
      <c r="F7" s="12">
        <f>_xlfn.XLOOKUP(C7,'COM RESID'!J:J,'COM RESID'!R:R)</f>
        <v/>
      </c>
      <c r="G7">
        <f>_xlfn.XLOOKUP(C7,'COM RESID'!J:J,'COM RESID'!W:W)</f>
        <v/>
      </c>
      <c r="H7" s="12">
        <f>_xlfn.XLOOKUP(C7,'COM RESID'!J:J,'COM RESID'!V:V)</f>
        <v/>
      </c>
      <c r="I7" s="12">
        <f>ROUNDUP(_xlfn.XLOOKUP(C7,'COM RESID'!J:J,'COM RESID'!S:S),0)</f>
        <v/>
      </c>
      <c r="J7" s="8">
        <f>_xlfn.XLOOKUP(C7,'COM RESID'!J:J,'COM RESID'!T:T)</f>
        <v/>
      </c>
      <c r="K7" s="13">
        <f>_xlfn.XLOOKUP(C7,'COM RESID'!J:J,'COM RESID'!P:P)</f>
        <v/>
      </c>
      <c r="L7" s="12">
        <f>_xlfn.XLOOKUP(C7,'COM RESID'!J:J,'COM RESID'!V:V)</f>
        <v/>
      </c>
    </row>
    <row r="8">
      <c r="B8">
        <f>IF(K8=0,"*",Def_Tech!C152)</f>
        <v/>
      </c>
      <c r="C8">
        <f>Def_Tech!D152</f>
        <v/>
      </c>
      <c r="D8">
        <f>_xlfn.XLOOKUP(C8,'COM RESID'!J:J,'COM RESID'!H:H)</f>
        <v/>
      </c>
      <c r="E8">
        <f>_xlfn.XLOOKUP(C8,'COM RESID'!J:J,'COM RESID'!I:I)</f>
        <v/>
      </c>
      <c r="F8" s="12">
        <f>_xlfn.XLOOKUP(C8,'COM RESID'!J:J,'COM RESID'!R:R)</f>
        <v/>
      </c>
      <c r="G8">
        <f>_xlfn.XLOOKUP(C8,'COM RESID'!J:J,'COM RESID'!W:W)</f>
        <v/>
      </c>
      <c r="H8" s="12">
        <f>_xlfn.XLOOKUP(C8,'COM RESID'!J:J,'COM RESID'!V:V)</f>
        <v/>
      </c>
      <c r="I8" s="12">
        <f>ROUNDUP(_xlfn.XLOOKUP(C8,'COM RESID'!J:J,'COM RESID'!S:S),0)</f>
        <v/>
      </c>
      <c r="J8" s="8">
        <f>_xlfn.XLOOKUP(C8,'COM RESID'!J:J,'COM RESID'!T:T)</f>
        <v/>
      </c>
      <c r="K8" s="13">
        <f>_xlfn.XLOOKUP(C8,'COM RESID'!J:J,'COM RESID'!P:P)</f>
        <v/>
      </c>
      <c r="L8" s="12">
        <f>_xlfn.XLOOKUP(C8,'COM RESID'!J:J,'COM RESID'!V:V)</f>
        <v/>
      </c>
    </row>
    <row r="9">
      <c r="B9">
        <f>IF(K9=0,"*",Def_Tech!C153)</f>
        <v/>
      </c>
      <c r="C9">
        <f>Def_Tech!D153</f>
        <v/>
      </c>
      <c r="D9">
        <f>_xlfn.XLOOKUP(C9,'COM RESID'!J:J,'COM RESID'!H:H)</f>
        <v/>
      </c>
      <c r="E9">
        <f>_xlfn.XLOOKUP(C9,'COM RESID'!J:J,'COM RESID'!I:I)</f>
        <v/>
      </c>
      <c r="F9" s="12">
        <f>_xlfn.XLOOKUP(C9,'COM RESID'!J:J,'COM RESID'!R:R)</f>
        <v/>
      </c>
      <c r="G9">
        <f>_xlfn.XLOOKUP(C9,'COM RESID'!J:J,'COM RESID'!W:W)</f>
        <v/>
      </c>
      <c r="H9" s="12">
        <f>_xlfn.XLOOKUP(C9,'COM RESID'!J:J,'COM RESID'!V:V)</f>
        <v/>
      </c>
      <c r="I9" s="12">
        <f>ROUNDUP(_xlfn.XLOOKUP(C9,'COM RESID'!J:J,'COM RESID'!S:S),0)</f>
        <v/>
      </c>
      <c r="J9" s="8">
        <f>_xlfn.XLOOKUP(C9,'COM RESID'!J:J,'COM RESID'!T:T)</f>
        <v/>
      </c>
      <c r="K9" s="13">
        <f>_xlfn.XLOOKUP(C9,'COM RESID'!J:J,'COM RESID'!P:P)</f>
        <v/>
      </c>
      <c r="L9" s="12">
        <f>_xlfn.XLOOKUP(C9,'COM RESID'!J:J,'COM RESID'!V:V)</f>
        <v/>
      </c>
    </row>
    <row r="10">
      <c r="B10">
        <f>IF(K10=0,"*",Def_Tech!C154)</f>
        <v/>
      </c>
      <c r="C10">
        <f>Def_Tech!D154</f>
        <v/>
      </c>
      <c r="D10">
        <f>_xlfn.XLOOKUP(C10,'COM RESID'!J:J,'COM RESID'!H:H)</f>
        <v/>
      </c>
      <c r="E10">
        <f>_xlfn.XLOOKUP(C10,'COM RESID'!J:J,'COM RESID'!I:I)</f>
        <v/>
      </c>
      <c r="F10" s="12">
        <f>_xlfn.XLOOKUP(C10,'COM RESID'!J:J,'COM RESID'!R:R)</f>
        <v/>
      </c>
      <c r="G10">
        <f>_xlfn.XLOOKUP(C10,'COM RESID'!J:J,'COM RESID'!W:W)</f>
        <v/>
      </c>
      <c r="H10" s="12">
        <f>_xlfn.XLOOKUP(C10,'COM RESID'!J:J,'COM RESID'!V:V)</f>
        <v/>
      </c>
      <c r="I10" s="12">
        <f>ROUNDUP(_xlfn.XLOOKUP(C10,'COM RESID'!J:J,'COM RESID'!S:S),0)</f>
        <v/>
      </c>
      <c r="J10" s="8">
        <f>_xlfn.XLOOKUP(C10,'COM RESID'!J:J,'COM RESID'!T:T)</f>
        <v/>
      </c>
      <c r="K10" s="13">
        <f>_xlfn.XLOOKUP(C10,'COM RESID'!J:J,'COM RESID'!P:P)</f>
        <v/>
      </c>
      <c r="L10" s="12">
        <f>_xlfn.XLOOKUP(C10,'COM RESID'!J:J,'COM RESID'!V:V)</f>
        <v/>
      </c>
    </row>
    <row r="11">
      <c r="B11">
        <f>IF(K11=0,"*",Def_Tech!C155)</f>
        <v/>
      </c>
      <c r="C11">
        <f>Def_Tech!D155</f>
        <v/>
      </c>
      <c r="D11">
        <f>_xlfn.XLOOKUP(C11,'COM RESID'!J:J,'COM RESID'!H:H)</f>
        <v/>
      </c>
      <c r="E11">
        <f>_xlfn.XLOOKUP(C11,'COM RESID'!J:J,'COM RESID'!I:I)</f>
        <v/>
      </c>
      <c r="F11" s="12">
        <f>_xlfn.XLOOKUP(C11,'COM RESID'!J:J,'COM RESID'!R:R)</f>
        <v/>
      </c>
      <c r="G11">
        <f>_xlfn.XLOOKUP(C11,'COM RESID'!J:J,'COM RESID'!W:W)</f>
        <v/>
      </c>
      <c r="H11" s="12">
        <f>_xlfn.XLOOKUP(C11,'COM RESID'!J:J,'COM RESID'!V:V)</f>
        <v/>
      </c>
      <c r="I11" s="12">
        <f>ROUNDUP(_xlfn.XLOOKUP(C11,'COM RESID'!J:J,'COM RESID'!S:S),0)</f>
        <v/>
      </c>
      <c r="J11" s="8">
        <f>_xlfn.XLOOKUP(C11,'COM RESID'!J:J,'COM RESID'!T:T)</f>
        <v/>
      </c>
      <c r="K11" s="13">
        <f>_xlfn.XLOOKUP(C11,'COM RESID'!J:J,'COM RESID'!P:P)</f>
        <v/>
      </c>
      <c r="L11" s="12">
        <f>_xlfn.XLOOKUP(C11,'COM RESID'!J:J,'COM RESID'!V:V)</f>
        <v/>
      </c>
    </row>
    <row r="12">
      <c r="B12">
        <f>IF(K12=0,"*",Def_Tech!C156)</f>
        <v/>
      </c>
      <c r="C12">
        <f>Def_Tech!D156</f>
        <v/>
      </c>
      <c r="D12">
        <f>_xlfn.XLOOKUP(C12,'COM RESID'!J:J,'COM RESID'!H:H)</f>
        <v/>
      </c>
      <c r="E12">
        <f>_xlfn.XLOOKUP(C12,'COM RESID'!J:J,'COM RESID'!I:I)</f>
        <v/>
      </c>
      <c r="F12" s="12">
        <f>_xlfn.XLOOKUP(C12,'COM RESID'!J:J,'COM RESID'!R:R)</f>
        <v/>
      </c>
      <c r="G12">
        <f>_xlfn.XLOOKUP(C12,'COM RESID'!J:J,'COM RESID'!W:W)</f>
        <v/>
      </c>
      <c r="H12" s="12">
        <f>_xlfn.XLOOKUP(C12,'COM RESID'!J:J,'COM RESID'!V:V)</f>
        <v/>
      </c>
      <c r="I12" s="12">
        <f>ROUNDUP(_xlfn.XLOOKUP(C12,'COM RESID'!J:J,'COM RESID'!S:S),0)</f>
        <v/>
      </c>
      <c r="J12" s="8">
        <f>_xlfn.XLOOKUP(C12,'COM RESID'!J:J,'COM RESID'!T:T)</f>
        <v/>
      </c>
      <c r="K12" s="13">
        <f>_xlfn.XLOOKUP(C12,'COM RESID'!J:J,'COM RESID'!P:P)</f>
        <v/>
      </c>
      <c r="L12" s="12">
        <f>_xlfn.XLOOKUP(C12,'COM RESID'!J:J,'COM RESID'!V:V)</f>
        <v/>
      </c>
    </row>
    <row r="13">
      <c r="B13">
        <f>IF(K13=0,"*",Def_Tech!C157)</f>
        <v/>
      </c>
      <c r="C13">
        <f>Def_Tech!D157</f>
        <v/>
      </c>
      <c r="D13">
        <f>_xlfn.XLOOKUP(C13,'COM RESID'!J:J,'COM RESID'!H:H)</f>
        <v/>
      </c>
      <c r="E13">
        <f>_xlfn.XLOOKUP(C13,'COM RESID'!J:J,'COM RESID'!I:I)</f>
        <v/>
      </c>
      <c r="F13" s="12">
        <f>_xlfn.XLOOKUP(C13,'COM RESID'!J:J,'COM RESID'!R:R)</f>
        <v/>
      </c>
      <c r="G13">
        <f>_xlfn.XLOOKUP(C13,'COM RESID'!J:J,'COM RESID'!W:W)</f>
        <v/>
      </c>
      <c r="H13" s="12">
        <f>_xlfn.XLOOKUP(C13,'COM RESID'!J:J,'COM RESID'!V:V)</f>
        <v/>
      </c>
      <c r="I13" s="12">
        <f>ROUNDUP(_xlfn.XLOOKUP(C13,'COM RESID'!J:J,'COM RESID'!S:S),0)</f>
        <v/>
      </c>
      <c r="J13" s="8">
        <f>_xlfn.XLOOKUP(C13,'COM RESID'!J:J,'COM RESID'!T:T)</f>
        <v/>
      </c>
      <c r="K13" s="13">
        <f>_xlfn.XLOOKUP(C13,'COM RESID'!J:J,'COM RESID'!P:P)</f>
        <v/>
      </c>
      <c r="L13" s="12">
        <f>_xlfn.XLOOKUP(C13,'COM RESID'!J:J,'COM RESID'!V:V)</f>
        <v/>
      </c>
    </row>
    <row r="14">
      <c r="B14">
        <f>IF(K14=0,"*",Def_Tech!C158)</f>
        <v/>
      </c>
      <c r="C14">
        <f>Def_Tech!D158</f>
        <v/>
      </c>
      <c r="D14">
        <f>_xlfn.XLOOKUP(C14,'COM RESID'!J:J,'COM RESID'!H:H)</f>
        <v/>
      </c>
      <c r="E14">
        <f>_xlfn.XLOOKUP(C14,'COM RESID'!J:J,'COM RESID'!I:I)</f>
        <v/>
      </c>
      <c r="F14" s="12">
        <f>_xlfn.XLOOKUP(C14,'COM RESID'!J:J,'COM RESID'!R:R)</f>
        <v/>
      </c>
      <c r="G14">
        <f>_xlfn.XLOOKUP(C14,'COM RESID'!J:J,'COM RESID'!W:W)</f>
        <v/>
      </c>
      <c r="H14" s="12">
        <f>_xlfn.XLOOKUP(C14,'COM RESID'!J:J,'COM RESID'!V:V)</f>
        <v/>
      </c>
      <c r="I14" s="12">
        <f>ROUNDUP(_xlfn.XLOOKUP(C14,'COM RESID'!J:J,'COM RESID'!S:S),0)</f>
        <v/>
      </c>
      <c r="J14" s="8">
        <f>_xlfn.XLOOKUP(C14,'COM RESID'!J:J,'COM RESID'!T:T)</f>
        <v/>
      </c>
      <c r="K14" s="13">
        <f>_xlfn.XLOOKUP(C14,'COM RESID'!J:J,'COM RESID'!P:P)</f>
        <v/>
      </c>
      <c r="L14" s="12">
        <f>_xlfn.XLOOKUP(C14,'COM RESID'!J:J,'COM RESID'!V:V)</f>
        <v/>
      </c>
    </row>
    <row r="15">
      <c r="B15">
        <f>IF(K15=0,"*",Def_Tech!C159)</f>
        <v/>
      </c>
      <c r="C15">
        <f>Def_Tech!D159</f>
        <v/>
      </c>
      <c r="D15">
        <f>_xlfn.XLOOKUP(C15,'COM RESID'!J:J,'COM RESID'!H:H)</f>
        <v/>
      </c>
      <c r="E15">
        <f>_xlfn.XLOOKUP(C15,'COM RESID'!J:J,'COM RESID'!I:I)</f>
        <v/>
      </c>
      <c r="F15" s="12">
        <f>_xlfn.XLOOKUP(C15,'COM RESID'!J:J,'COM RESID'!R:R)</f>
        <v/>
      </c>
      <c r="G15">
        <f>_xlfn.XLOOKUP(C15,'COM RESID'!J:J,'COM RESID'!W:W)</f>
        <v/>
      </c>
      <c r="H15" s="12">
        <f>_xlfn.XLOOKUP(C15,'COM RESID'!J:J,'COM RESID'!V:V)</f>
        <v/>
      </c>
      <c r="I15" s="12">
        <f>ROUNDUP(_xlfn.XLOOKUP(C15,'COM RESID'!J:J,'COM RESID'!S:S),0)</f>
        <v/>
      </c>
      <c r="J15" s="8">
        <f>_xlfn.XLOOKUP(C15,'COM RESID'!J:J,'COM RESID'!T:T)</f>
        <v/>
      </c>
      <c r="K15" s="13">
        <f>_xlfn.XLOOKUP(C15,'COM RESID'!J:J,'COM RESID'!P:P)</f>
        <v/>
      </c>
      <c r="L15" s="12">
        <f>_xlfn.XLOOKUP(C15,'COM RESID'!J:J,'COM RESID'!V:V)</f>
        <v/>
      </c>
    </row>
    <row r="16">
      <c r="B16">
        <f>IF(K16=0,"*",Def_Tech!C160)</f>
        <v/>
      </c>
      <c r="C16">
        <f>Def_Tech!D160</f>
        <v/>
      </c>
      <c r="D16">
        <f>_xlfn.XLOOKUP(C16,'COM RESID'!J:J,'COM RESID'!H:H)</f>
        <v/>
      </c>
      <c r="E16">
        <f>_xlfn.XLOOKUP(C16,'COM RESID'!J:J,'COM RESID'!I:I)</f>
        <v/>
      </c>
      <c r="F16" s="12">
        <f>_xlfn.XLOOKUP(C16,'COM RESID'!J:J,'COM RESID'!R:R)</f>
        <v/>
      </c>
      <c r="G16">
        <f>_xlfn.XLOOKUP(C16,'COM RESID'!J:J,'COM RESID'!W:W)</f>
        <v/>
      </c>
      <c r="H16" s="12">
        <f>_xlfn.XLOOKUP(C16,'COM RESID'!J:J,'COM RESID'!V:V)</f>
        <v/>
      </c>
      <c r="I16" s="12">
        <f>ROUNDUP(_xlfn.XLOOKUP(C16,'COM RESID'!J:J,'COM RESID'!S:S),0)</f>
        <v/>
      </c>
      <c r="J16" s="8">
        <f>_xlfn.XLOOKUP(C16,'COM RESID'!J:J,'COM RESID'!T:T)</f>
        <v/>
      </c>
      <c r="K16" s="13">
        <f>_xlfn.XLOOKUP(C16,'COM RESID'!J:J,'COM RESID'!P:P)</f>
        <v/>
      </c>
      <c r="L16" s="12">
        <f>_xlfn.XLOOKUP(C16,'COM RESID'!J:J,'COM RESID'!V:V)</f>
        <v/>
      </c>
    </row>
    <row r="17">
      <c r="B17">
        <f>IF(K17=0,"*",Def_Tech!C161)</f>
        <v/>
      </c>
      <c r="C17">
        <f>Def_Tech!D161</f>
        <v/>
      </c>
      <c r="D17">
        <f>_xlfn.XLOOKUP(C17,'COM RESID'!J:J,'COM RESID'!H:H)</f>
        <v/>
      </c>
      <c r="E17">
        <f>_xlfn.XLOOKUP(C17,'COM RESID'!J:J,'COM RESID'!I:I)</f>
        <v/>
      </c>
      <c r="F17" s="12">
        <f>_xlfn.XLOOKUP(C17,'COM RESID'!J:J,'COM RESID'!R:R)</f>
        <v/>
      </c>
      <c r="G17">
        <f>_xlfn.XLOOKUP(C17,'COM RESID'!J:J,'COM RESID'!W:W)</f>
        <v/>
      </c>
      <c r="H17" s="12">
        <f>_xlfn.XLOOKUP(C17,'COM RESID'!J:J,'COM RESID'!V:V)</f>
        <v/>
      </c>
      <c r="I17" s="12">
        <f>ROUNDUP(_xlfn.XLOOKUP(C17,'COM RESID'!J:J,'COM RESID'!S:S),0)</f>
        <v/>
      </c>
      <c r="J17" s="8">
        <f>_xlfn.XLOOKUP(C17,'COM RESID'!J:J,'COM RESID'!T:T)</f>
        <v/>
      </c>
      <c r="K17" s="13">
        <f>_xlfn.XLOOKUP(C17,'COM RESID'!J:J,'COM RESID'!P:P)</f>
        <v/>
      </c>
      <c r="L17" s="12">
        <f>_xlfn.XLOOKUP(C17,'COM RESID'!J:J,'COM RESID'!V:V)</f>
        <v/>
      </c>
    </row>
    <row r="18">
      <c r="B18">
        <f>IF(K18=0,"*",Def_Tech!C162)</f>
        <v/>
      </c>
      <c r="C18">
        <f>Def_Tech!D162</f>
        <v/>
      </c>
      <c r="D18">
        <f>_xlfn.XLOOKUP(C18,'COM RESID'!J:J,'COM RESID'!H:H)</f>
        <v/>
      </c>
      <c r="E18">
        <f>_xlfn.XLOOKUP(C18,'COM RESID'!J:J,'COM RESID'!I:I)</f>
        <v/>
      </c>
      <c r="F18" s="12">
        <f>_xlfn.XLOOKUP(C18,'COM RESID'!J:J,'COM RESID'!R:R)</f>
        <v/>
      </c>
      <c r="G18">
        <f>_xlfn.XLOOKUP(C18,'COM RESID'!J:J,'COM RESID'!W:W)</f>
        <v/>
      </c>
      <c r="H18" s="12">
        <f>_xlfn.XLOOKUP(C18,'COM RESID'!J:J,'COM RESID'!V:V)</f>
        <v/>
      </c>
      <c r="I18" s="12">
        <f>ROUNDUP(_xlfn.XLOOKUP(C18,'COM RESID'!J:J,'COM RESID'!S:S),0)</f>
        <v/>
      </c>
      <c r="J18" s="8">
        <f>_xlfn.XLOOKUP(C18,'COM RESID'!J:J,'COM RESID'!T:T)</f>
        <v/>
      </c>
      <c r="K18" s="13">
        <f>_xlfn.XLOOKUP(C18,'COM RESID'!J:J,'COM RESID'!P:P)</f>
        <v/>
      </c>
      <c r="L18" s="12">
        <f>_xlfn.XLOOKUP(C18,'COM RESID'!J:J,'COM RESID'!V:V)</f>
        <v/>
      </c>
    </row>
    <row r="19">
      <c r="B19">
        <f>IF(K19=0,"*",Def_Tech!C163)</f>
        <v/>
      </c>
      <c r="C19">
        <f>Def_Tech!D163</f>
        <v/>
      </c>
      <c r="D19">
        <f>_xlfn.XLOOKUP(C19,'COM RESID'!J:J,'COM RESID'!H:H)</f>
        <v/>
      </c>
      <c r="E19">
        <f>_xlfn.XLOOKUP(C19,'COM RESID'!J:J,'COM RESID'!I:I)</f>
        <v/>
      </c>
      <c r="F19" s="12">
        <f>_xlfn.XLOOKUP(C19,'COM RESID'!J:J,'COM RESID'!R:R)</f>
        <v/>
      </c>
      <c r="G19">
        <f>_xlfn.XLOOKUP(C19,'COM RESID'!J:J,'COM RESID'!W:W)</f>
        <v/>
      </c>
      <c r="H19" s="12">
        <f>_xlfn.XLOOKUP(C19,'COM RESID'!J:J,'COM RESID'!V:V)</f>
        <v/>
      </c>
      <c r="I19" s="12">
        <f>ROUNDUP(_xlfn.XLOOKUP(C19,'COM RESID'!J:J,'COM RESID'!S:S),0)</f>
        <v/>
      </c>
      <c r="J19" s="8">
        <f>_xlfn.XLOOKUP(C19,'COM RESID'!J:J,'COM RESID'!T:T)</f>
        <v/>
      </c>
      <c r="K19" s="13">
        <f>_xlfn.XLOOKUP(C19,'COM RESID'!J:J,'COM RESID'!P:P)</f>
        <v/>
      </c>
      <c r="L19" s="12">
        <f>_xlfn.XLOOKUP(C19,'COM RESID'!J:J,'COM RESID'!V:V)</f>
        <v/>
      </c>
    </row>
    <row r="20">
      <c r="B20">
        <f>IF(K20=0,"*",Def_Tech!C164)</f>
        <v/>
      </c>
      <c r="C20">
        <f>Def_Tech!D164</f>
        <v/>
      </c>
      <c r="D20">
        <f>_xlfn.XLOOKUP(C20,'COM RESID'!J:J,'COM RESID'!H:H)</f>
        <v/>
      </c>
      <c r="E20">
        <f>_xlfn.XLOOKUP(C20,'COM RESID'!J:J,'COM RESID'!I:I)</f>
        <v/>
      </c>
      <c r="F20" s="12">
        <f>_xlfn.XLOOKUP(C20,'COM RESID'!J:J,'COM RESID'!R:R)</f>
        <v/>
      </c>
      <c r="G20">
        <f>_xlfn.XLOOKUP(C20,'COM RESID'!J:J,'COM RESID'!W:W)</f>
        <v/>
      </c>
      <c r="H20" s="12">
        <f>_xlfn.XLOOKUP(C20,'COM RESID'!J:J,'COM RESID'!V:V)</f>
        <v/>
      </c>
      <c r="I20" s="12">
        <f>ROUNDUP(_xlfn.XLOOKUP(C20,'COM RESID'!J:J,'COM RESID'!S:S),0)</f>
        <v/>
      </c>
      <c r="J20" s="8">
        <f>_xlfn.XLOOKUP(C20,'COM RESID'!J:J,'COM RESID'!T:T)</f>
        <v/>
      </c>
      <c r="K20" s="13">
        <f>_xlfn.XLOOKUP(C20,'COM RESID'!J:J,'COM RESID'!P:P)</f>
        <v/>
      </c>
      <c r="L20" s="12">
        <f>_xlfn.XLOOKUP(C20,'COM RESID'!J:J,'COM RESID'!V:V)</f>
        <v/>
      </c>
    </row>
    <row r="21">
      <c r="B21">
        <f>IF(K21=0,"*",Def_Tech!C165)</f>
        <v/>
      </c>
      <c r="C21">
        <f>Def_Tech!D165</f>
        <v/>
      </c>
      <c r="D21">
        <f>_xlfn.XLOOKUP(C21,'COM RESID'!J:J,'COM RESID'!H:H)</f>
        <v/>
      </c>
      <c r="E21">
        <f>_xlfn.XLOOKUP(C21,'COM RESID'!J:J,'COM RESID'!I:I)</f>
        <v/>
      </c>
      <c r="F21" s="12">
        <f>_xlfn.XLOOKUP(C21,'COM RESID'!J:J,'COM RESID'!R:R)</f>
        <v/>
      </c>
      <c r="G21">
        <f>_xlfn.XLOOKUP(C21,'COM RESID'!J:J,'COM RESID'!W:W)</f>
        <v/>
      </c>
      <c r="H21" s="12">
        <f>_xlfn.XLOOKUP(C21,'COM RESID'!J:J,'COM RESID'!V:V)</f>
        <v/>
      </c>
      <c r="I21" s="12">
        <f>ROUNDUP(_xlfn.XLOOKUP(C21,'COM RESID'!J:J,'COM RESID'!S:S),0)</f>
        <v/>
      </c>
      <c r="J21" s="8">
        <f>_xlfn.XLOOKUP(C21,'COM RESID'!J:J,'COM RESID'!T:T)</f>
        <v/>
      </c>
      <c r="K21" s="13">
        <f>_xlfn.XLOOKUP(C21,'COM RESID'!J:J,'COM RESID'!P:P)</f>
        <v/>
      </c>
      <c r="L21" s="12">
        <f>_xlfn.XLOOKUP(C21,'COM RESID'!J:J,'COM RESID'!V:V)</f>
        <v/>
      </c>
    </row>
    <row r="22">
      <c r="B22">
        <f>IF(K22=0,"*",Def_Tech!C166)</f>
        <v/>
      </c>
      <c r="C22">
        <f>Def_Tech!D166</f>
        <v/>
      </c>
      <c r="D22">
        <f>_xlfn.XLOOKUP(C22,'COM RESID'!J:J,'COM RESID'!H:H)</f>
        <v/>
      </c>
      <c r="E22">
        <f>_xlfn.XLOOKUP(C22,'COM RESID'!J:J,'COM RESID'!I:I)</f>
        <v/>
      </c>
      <c r="F22" s="12">
        <f>_xlfn.XLOOKUP(C22,'COM RESID'!J:J,'COM RESID'!R:R)</f>
        <v/>
      </c>
      <c r="G22">
        <f>_xlfn.XLOOKUP(C22,'COM RESID'!J:J,'COM RESID'!W:W)</f>
        <v/>
      </c>
      <c r="H22" s="12">
        <f>_xlfn.XLOOKUP(C22,'COM RESID'!J:J,'COM RESID'!V:V)</f>
        <v/>
      </c>
      <c r="I22" s="12">
        <f>ROUNDUP(_xlfn.XLOOKUP(C22,'COM RESID'!J:J,'COM RESID'!S:S),0)</f>
        <v/>
      </c>
      <c r="J22" s="8">
        <f>_xlfn.XLOOKUP(C22,'COM RESID'!J:J,'COM RESID'!T:T)</f>
        <v/>
      </c>
      <c r="K22" s="13">
        <f>_xlfn.XLOOKUP(C22,'COM RESID'!J:J,'COM RESID'!P:P)</f>
        <v/>
      </c>
      <c r="L22" s="12">
        <f>_xlfn.XLOOKUP(C22,'COM RESID'!J:J,'COM RESID'!V:V)</f>
        <v/>
      </c>
    </row>
    <row r="23">
      <c r="B23">
        <f>IF(K23=0,"*",Def_Tech!C167)</f>
        <v/>
      </c>
      <c r="C23">
        <f>Def_Tech!D167</f>
        <v/>
      </c>
      <c r="D23">
        <f>_xlfn.XLOOKUP(C23,'COM RESID'!J:J,'COM RESID'!H:H)</f>
        <v/>
      </c>
      <c r="E23">
        <f>_xlfn.XLOOKUP(C23,'COM RESID'!J:J,'COM RESID'!I:I)</f>
        <v/>
      </c>
      <c r="F23" s="12">
        <f>_xlfn.XLOOKUP(C23,'COM RESID'!J:J,'COM RESID'!R:R)</f>
        <v/>
      </c>
      <c r="G23">
        <f>_xlfn.XLOOKUP(C23,'COM RESID'!J:J,'COM RESID'!W:W)</f>
        <v/>
      </c>
      <c r="H23" s="12">
        <f>_xlfn.XLOOKUP(C23,'COM RESID'!J:J,'COM RESID'!V:V)</f>
        <v/>
      </c>
      <c r="I23" s="12">
        <f>ROUNDUP(_xlfn.XLOOKUP(C23,'COM RESID'!J:J,'COM RESID'!S:S),0)</f>
        <v/>
      </c>
      <c r="J23" s="8">
        <f>_xlfn.XLOOKUP(C23,'COM RESID'!J:J,'COM RESID'!T:T)</f>
        <v/>
      </c>
      <c r="K23" s="13">
        <f>_xlfn.XLOOKUP(C23,'COM RESID'!J:J,'COM RESID'!P:P)</f>
        <v/>
      </c>
      <c r="L23" s="12">
        <f>_xlfn.XLOOKUP(C23,'COM RESID'!J:J,'COM RESID'!V:V)</f>
        <v/>
      </c>
    </row>
    <row r="24">
      <c r="B24">
        <f>IF(K24=0,"*",Def_Tech!C168)</f>
        <v/>
      </c>
      <c r="C24">
        <f>Def_Tech!D168</f>
        <v/>
      </c>
      <c r="D24">
        <f>_xlfn.XLOOKUP(C24,'COM RESID'!J:J,'COM RESID'!H:H)</f>
        <v/>
      </c>
      <c r="E24">
        <f>_xlfn.XLOOKUP(C24,'COM RESID'!J:J,'COM RESID'!I:I)</f>
        <v/>
      </c>
      <c r="F24" s="12">
        <f>_xlfn.XLOOKUP(C24,'COM RESID'!J:J,'COM RESID'!R:R)</f>
        <v/>
      </c>
      <c r="G24">
        <f>_xlfn.XLOOKUP(C24,'COM RESID'!J:J,'COM RESID'!W:W)</f>
        <v/>
      </c>
      <c r="H24" s="12">
        <f>_xlfn.XLOOKUP(C24,'COM RESID'!J:J,'COM RESID'!V:V)</f>
        <v/>
      </c>
      <c r="I24" s="12">
        <f>ROUNDUP(_xlfn.XLOOKUP(C24,'COM RESID'!J:J,'COM RESID'!S:S),0)</f>
        <v/>
      </c>
      <c r="J24" s="8">
        <f>_xlfn.XLOOKUP(C24,'COM RESID'!J:J,'COM RESID'!T:T)</f>
        <v/>
      </c>
      <c r="K24" s="13">
        <f>_xlfn.XLOOKUP(C24,'COM RESID'!J:J,'COM RESID'!P:P)</f>
        <v/>
      </c>
      <c r="L24" s="12">
        <f>_xlfn.XLOOKUP(C24,'COM RESID'!J:J,'COM RESID'!V:V)</f>
        <v/>
      </c>
    </row>
    <row r="25">
      <c r="B25">
        <f>IF(K25=0,"*",Def_Tech!C169)</f>
        <v/>
      </c>
      <c r="C25">
        <f>Def_Tech!D169</f>
        <v/>
      </c>
      <c r="D25">
        <f>_xlfn.XLOOKUP(C25,'COM RESID'!J:J,'COM RESID'!H:H)</f>
        <v/>
      </c>
      <c r="E25">
        <f>_xlfn.XLOOKUP(C25,'COM RESID'!J:J,'COM RESID'!I:I)</f>
        <v/>
      </c>
      <c r="F25" s="12">
        <f>_xlfn.XLOOKUP(C25,'COM RESID'!J:J,'COM RESID'!R:R)</f>
        <v/>
      </c>
      <c r="G25">
        <f>_xlfn.XLOOKUP(C25,'COM RESID'!J:J,'COM RESID'!W:W)</f>
        <v/>
      </c>
      <c r="H25" s="12">
        <f>_xlfn.XLOOKUP(C25,'COM RESID'!J:J,'COM RESID'!V:V)</f>
        <v/>
      </c>
      <c r="I25" s="12">
        <f>ROUNDUP(_xlfn.XLOOKUP(C25,'COM RESID'!J:J,'COM RESID'!S:S),0)</f>
        <v/>
      </c>
      <c r="J25" s="8">
        <f>_xlfn.XLOOKUP(C25,'COM RESID'!J:J,'COM RESID'!T:T)</f>
        <v/>
      </c>
      <c r="K25" s="13">
        <f>_xlfn.XLOOKUP(C25,'COM RESID'!J:J,'COM RESID'!P:P)</f>
        <v/>
      </c>
      <c r="L25" s="12">
        <f>_xlfn.XLOOKUP(C25,'COM RESID'!J:J,'COM RESID'!V:V)</f>
        <v/>
      </c>
    </row>
    <row r="26">
      <c r="B26">
        <f>IF(K26=0,"*",Def_Tech!C170)</f>
        <v/>
      </c>
      <c r="C26">
        <f>Def_Tech!D170</f>
        <v/>
      </c>
      <c r="D26">
        <f>_xlfn.XLOOKUP(C26,'COM RESID'!J:J,'COM RESID'!H:H)</f>
        <v/>
      </c>
      <c r="E26">
        <f>_xlfn.XLOOKUP(C26,'COM RESID'!J:J,'COM RESID'!I:I)</f>
        <v/>
      </c>
      <c r="F26" s="12">
        <f>_xlfn.XLOOKUP(C26,'COM RESID'!J:J,'COM RESID'!R:R)</f>
        <v/>
      </c>
      <c r="G26">
        <f>_xlfn.XLOOKUP(C26,'COM RESID'!J:J,'COM RESID'!W:W)</f>
        <v/>
      </c>
      <c r="H26" s="12">
        <f>_xlfn.XLOOKUP(C26,'COM RESID'!J:J,'COM RESID'!V:V)</f>
        <v/>
      </c>
      <c r="I26" s="12">
        <f>ROUNDUP(_xlfn.XLOOKUP(C26,'COM RESID'!J:J,'COM RESID'!S:S),0)</f>
        <v/>
      </c>
      <c r="J26" s="8">
        <f>_xlfn.XLOOKUP(C26,'COM RESID'!J:J,'COM RESID'!T:T)</f>
        <v/>
      </c>
      <c r="K26" s="13">
        <f>_xlfn.XLOOKUP(C26,'COM RESID'!J:J,'COM RESID'!P:P)</f>
        <v/>
      </c>
      <c r="L26" s="12">
        <f>_xlfn.XLOOKUP(C26,'COM RESID'!J:J,'COM RESID'!V:V)</f>
        <v/>
      </c>
    </row>
    <row r="27">
      <c r="B27">
        <f>IF(K27=0,"*",Def_Tech!C171)</f>
        <v/>
      </c>
      <c r="C27">
        <f>Def_Tech!D171</f>
        <v/>
      </c>
      <c r="D27">
        <f>_xlfn.XLOOKUP(C27,'COM RESID'!J:J,'COM RESID'!H:H)</f>
        <v/>
      </c>
      <c r="E27">
        <f>_xlfn.XLOOKUP(C27,'COM RESID'!J:J,'COM RESID'!I:I)</f>
        <v/>
      </c>
      <c r="F27" s="12">
        <f>_xlfn.XLOOKUP(C27,'COM RESID'!J:J,'COM RESID'!R:R)</f>
        <v/>
      </c>
      <c r="G27">
        <f>_xlfn.XLOOKUP(C27,'COM RESID'!J:J,'COM RESID'!W:W)</f>
        <v/>
      </c>
      <c r="H27" s="12">
        <f>_xlfn.XLOOKUP(C27,'COM RESID'!J:J,'COM RESID'!V:V)</f>
        <v/>
      </c>
      <c r="I27" s="12">
        <f>ROUNDUP(_xlfn.XLOOKUP(C27,'COM RESID'!J:J,'COM RESID'!S:S),0)</f>
        <v/>
      </c>
      <c r="J27" s="8">
        <f>_xlfn.XLOOKUP(C27,'COM RESID'!J:J,'COM RESID'!T:T)</f>
        <v/>
      </c>
      <c r="K27" s="13">
        <f>_xlfn.XLOOKUP(C27,'COM RESID'!J:J,'COM RESID'!P:P)</f>
        <v/>
      </c>
      <c r="L27" s="12">
        <f>_xlfn.XLOOKUP(C27,'COM RESID'!J:J,'COM RESID'!V:V)</f>
        <v/>
      </c>
    </row>
    <row r="28">
      <c r="B28">
        <f>IF(K28=0,"*",Def_Tech!C172)</f>
        <v/>
      </c>
      <c r="C28">
        <f>Def_Tech!D172</f>
        <v/>
      </c>
      <c r="D28">
        <f>_xlfn.XLOOKUP(C28,'COM RESID'!J:J,'COM RESID'!H:H)</f>
        <v/>
      </c>
      <c r="E28">
        <f>_xlfn.XLOOKUP(C28,'COM RESID'!J:J,'COM RESID'!I:I)</f>
        <v/>
      </c>
      <c r="F28" s="12">
        <f>_xlfn.XLOOKUP(C28,'COM RESID'!J:J,'COM RESID'!R:R)</f>
        <v/>
      </c>
      <c r="G28">
        <f>_xlfn.XLOOKUP(C28,'COM RESID'!J:J,'COM RESID'!W:W)</f>
        <v/>
      </c>
      <c r="H28" s="12">
        <f>_xlfn.XLOOKUP(C28,'COM RESID'!J:J,'COM RESID'!V:V)</f>
        <v/>
      </c>
      <c r="I28" s="12">
        <f>ROUNDUP(_xlfn.XLOOKUP(C28,'COM RESID'!J:J,'COM RESID'!S:S),0)</f>
        <v/>
      </c>
      <c r="J28" s="8">
        <f>_xlfn.XLOOKUP(C28,'COM RESID'!J:J,'COM RESID'!T:T)</f>
        <v/>
      </c>
      <c r="K28" s="13">
        <f>_xlfn.XLOOKUP(C28,'COM RESID'!J:J,'COM RESID'!P:P)</f>
        <v/>
      </c>
      <c r="L28" s="12">
        <f>_xlfn.XLOOKUP(C28,'COM RESID'!J:J,'COM RESID'!V:V)</f>
        <v/>
      </c>
    </row>
    <row r="29">
      <c r="B29">
        <f>IF(K29=0,"*",Def_Tech!C173)</f>
        <v/>
      </c>
      <c r="C29">
        <f>Def_Tech!D173</f>
        <v/>
      </c>
      <c r="D29">
        <f>_xlfn.XLOOKUP(C29,'COM RESID'!J:J,'COM RESID'!H:H)</f>
        <v/>
      </c>
      <c r="E29">
        <f>_xlfn.XLOOKUP(C29,'COM RESID'!J:J,'COM RESID'!I:I)</f>
        <v/>
      </c>
      <c r="F29" s="12">
        <f>_xlfn.XLOOKUP(C29,'COM RESID'!J:J,'COM RESID'!R:R)</f>
        <v/>
      </c>
      <c r="G29">
        <f>_xlfn.XLOOKUP(C29,'COM RESID'!J:J,'COM RESID'!W:W)</f>
        <v/>
      </c>
      <c r="H29" s="12">
        <f>_xlfn.XLOOKUP(C29,'COM RESID'!J:J,'COM RESID'!V:V)</f>
        <v/>
      </c>
      <c r="I29" s="12">
        <f>ROUNDUP(_xlfn.XLOOKUP(C29,'COM RESID'!J:J,'COM RESID'!S:S),0)</f>
        <v/>
      </c>
      <c r="J29" s="8">
        <f>_xlfn.XLOOKUP(C29,'COM RESID'!J:J,'COM RESID'!T:T)</f>
        <v/>
      </c>
      <c r="K29" s="13">
        <f>_xlfn.XLOOKUP(C29,'COM RESID'!J:J,'COM RESID'!P:P)</f>
        <v/>
      </c>
      <c r="L29" s="12">
        <f>_xlfn.XLOOKUP(C29,'COM RESID'!J:J,'COM RESID'!V:V)</f>
        <v/>
      </c>
    </row>
    <row r="30">
      <c r="B30">
        <f>IF(K30=0,"*",Def_Tech!C174)</f>
        <v/>
      </c>
      <c r="C30">
        <f>Def_Tech!D174</f>
        <v/>
      </c>
      <c r="D30">
        <f>_xlfn.XLOOKUP(C30,'COM RESID'!J:J,'COM RESID'!H:H)</f>
        <v/>
      </c>
      <c r="E30">
        <f>_xlfn.XLOOKUP(C30,'COM RESID'!J:J,'COM RESID'!I:I)</f>
        <v/>
      </c>
      <c r="F30" s="12">
        <f>_xlfn.XLOOKUP(C30,'COM RESID'!J:J,'COM RESID'!R:R)</f>
        <v/>
      </c>
      <c r="G30">
        <f>_xlfn.XLOOKUP(C30,'COM RESID'!J:J,'COM RESID'!W:W)</f>
        <v/>
      </c>
      <c r="H30" s="12">
        <f>_xlfn.XLOOKUP(C30,'COM RESID'!J:J,'COM RESID'!V:V)</f>
        <v/>
      </c>
      <c r="I30" s="12">
        <f>ROUNDUP(_xlfn.XLOOKUP(C30,'COM RESID'!J:J,'COM RESID'!S:S),0)</f>
        <v/>
      </c>
      <c r="J30" s="8">
        <f>_xlfn.XLOOKUP(C30,'COM RESID'!J:J,'COM RESID'!T:T)</f>
        <v/>
      </c>
      <c r="K30" s="13">
        <f>_xlfn.XLOOKUP(C30,'COM RESID'!J:J,'COM RESID'!P:P)</f>
        <v/>
      </c>
      <c r="L30" s="12">
        <f>_xlfn.XLOOKUP(C30,'COM RESID'!J:J,'COM RESID'!V:V)</f>
        <v/>
      </c>
    </row>
    <row r="31">
      <c r="B31">
        <f>IF(K31=0,"*",Def_Tech!C175)</f>
        <v/>
      </c>
      <c r="C31">
        <f>Def_Tech!D175</f>
        <v/>
      </c>
      <c r="D31">
        <f>_xlfn.XLOOKUP(C31,'COM RESID'!J:J,'COM RESID'!H:H)</f>
        <v/>
      </c>
      <c r="E31">
        <f>_xlfn.XLOOKUP(C31,'COM RESID'!J:J,'COM RESID'!I:I)</f>
        <v/>
      </c>
      <c r="F31" s="12">
        <f>_xlfn.XLOOKUP(C31,'COM RESID'!J:J,'COM RESID'!R:R)</f>
        <v/>
      </c>
      <c r="G31">
        <f>_xlfn.XLOOKUP(C31,'COM RESID'!J:J,'COM RESID'!W:W)</f>
        <v/>
      </c>
      <c r="H31" s="12">
        <f>_xlfn.XLOOKUP(C31,'COM RESID'!J:J,'COM RESID'!V:V)</f>
        <v/>
      </c>
      <c r="I31" s="12">
        <f>ROUNDUP(_xlfn.XLOOKUP(C31,'COM RESID'!J:J,'COM RESID'!S:S),0)</f>
        <v/>
      </c>
      <c r="J31" s="8">
        <f>_xlfn.XLOOKUP(C31,'COM RESID'!J:J,'COM RESID'!T:T)</f>
        <v/>
      </c>
      <c r="K31" s="13">
        <f>_xlfn.XLOOKUP(C31,'COM RESID'!J:J,'COM RESID'!P:P)</f>
        <v/>
      </c>
      <c r="L31" s="12">
        <f>_xlfn.XLOOKUP(C31,'COM RESID'!J:J,'COM RESID'!V:V)</f>
        <v/>
      </c>
    </row>
    <row r="32">
      <c r="B32">
        <f>IF(K32=0,"*",Def_Tech!C176)</f>
        <v/>
      </c>
      <c r="C32">
        <f>Def_Tech!D176</f>
        <v/>
      </c>
      <c r="D32">
        <f>_xlfn.XLOOKUP(C32,'COM RESID'!J:J,'COM RESID'!H:H)</f>
        <v/>
      </c>
      <c r="E32">
        <f>_xlfn.XLOOKUP(C32,'COM RESID'!J:J,'COM RESID'!I:I)</f>
        <v/>
      </c>
      <c r="F32" s="12">
        <f>_xlfn.XLOOKUP(C32,'COM RESID'!J:J,'COM RESID'!R:R)</f>
        <v/>
      </c>
      <c r="G32">
        <f>_xlfn.XLOOKUP(C32,'COM RESID'!J:J,'COM RESID'!W:W)</f>
        <v/>
      </c>
      <c r="H32" s="12">
        <f>_xlfn.XLOOKUP(C32,'COM RESID'!J:J,'COM RESID'!V:V)</f>
        <v/>
      </c>
      <c r="I32" s="12">
        <f>ROUNDUP(_xlfn.XLOOKUP(C32,'COM RESID'!J:J,'COM RESID'!S:S),0)</f>
        <v/>
      </c>
      <c r="J32" s="8">
        <f>_xlfn.XLOOKUP(C32,'COM RESID'!J:J,'COM RESID'!T:T)</f>
        <v/>
      </c>
      <c r="K32" s="13">
        <f>_xlfn.XLOOKUP(C32,'COM RESID'!J:J,'COM RESID'!P:P)</f>
        <v/>
      </c>
      <c r="L32" s="12">
        <f>_xlfn.XLOOKUP(C32,'COM RESID'!J:J,'COM RESID'!V:V)</f>
        <v/>
      </c>
    </row>
    <row r="33">
      <c r="B33">
        <f>IF(K33=0,"*",Def_Tech!C177)</f>
        <v/>
      </c>
      <c r="C33">
        <f>Def_Tech!D177</f>
        <v/>
      </c>
      <c r="D33">
        <f>_xlfn.XLOOKUP(C33,'COM RESID'!J:J,'COM RESID'!H:H)</f>
        <v/>
      </c>
      <c r="E33">
        <f>_xlfn.XLOOKUP(C33,'COM RESID'!J:J,'COM RESID'!I:I)</f>
        <v/>
      </c>
      <c r="F33" s="12">
        <f>_xlfn.XLOOKUP(C33,'COM RESID'!J:J,'COM RESID'!R:R)</f>
        <v/>
      </c>
      <c r="G33">
        <f>_xlfn.XLOOKUP(C33,'COM RESID'!J:J,'COM RESID'!W:W)</f>
        <v/>
      </c>
      <c r="H33" s="12">
        <f>_xlfn.XLOOKUP(C33,'COM RESID'!J:J,'COM RESID'!V:V)</f>
        <v/>
      </c>
      <c r="I33" s="12">
        <f>ROUNDUP(_xlfn.XLOOKUP(C33,'COM RESID'!J:J,'COM RESID'!S:S),0)</f>
        <v/>
      </c>
      <c r="J33" s="8">
        <f>_xlfn.XLOOKUP(C33,'COM RESID'!J:J,'COM RESID'!T:T)</f>
        <v/>
      </c>
      <c r="K33" s="13">
        <f>_xlfn.XLOOKUP(C33,'COM RESID'!J:J,'COM RESID'!P:P)</f>
        <v/>
      </c>
      <c r="L33" s="12">
        <f>_xlfn.XLOOKUP(C33,'COM RESID'!J:J,'COM RESID'!V:V)</f>
        <v/>
      </c>
    </row>
    <row r="34">
      <c r="B34">
        <f>IF(K34=0,"*",Def_Tech!C178)</f>
        <v/>
      </c>
      <c r="C34">
        <f>Def_Tech!D178</f>
        <v/>
      </c>
      <c r="D34">
        <f>_xlfn.XLOOKUP(C34,'COM RESID'!J:J,'COM RESID'!H:H)</f>
        <v/>
      </c>
      <c r="E34">
        <f>_xlfn.XLOOKUP(C34,'COM RESID'!J:J,'COM RESID'!I:I)</f>
        <v/>
      </c>
      <c r="F34" s="12">
        <f>_xlfn.XLOOKUP(C34,'COM RESID'!J:J,'COM RESID'!R:R)</f>
        <v/>
      </c>
      <c r="G34">
        <f>_xlfn.XLOOKUP(C34,'COM RESID'!J:J,'COM RESID'!W:W)</f>
        <v/>
      </c>
      <c r="H34" s="12">
        <f>_xlfn.XLOOKUP(C34,'COM RESID'!J:J,'COM RESID'!V:V)</f>
        <v/>
      </c>
      <c r="I34" s="12">
        <f>ROUNDUP(_xlfn.XLOOKUP(C34,'COM RESID'!J:J,'COM RESID'!S:S),0)</f>
        <v/>
      </c>
      <c r="J34" s="8">
        <f>_xlfn.XLOOKUP(C34,'COM RESID'!J:J,'COM RESID'!T:T)</f>
        <v/>
      </c>
      <c r="K34" s="13">
        <f>_xlfn.XLOOKUP(C34,'COM RESID'!J:J,'COM RESID'!P:P)</f>
        <v/>
      </c>
      <c r="L34" s="12">
        <f>_xlfn.XLOOKUP(C34,'COM RESID'!J:J,'COM RESID'!V:V)</f>
        <v/>
      </c>
    </row>
    <row r="35">
      <c r="B35">
        <f>IF(K35=0,"*",Def_Tech!C179)</f>
        <v/>
      </c>
      <c r="C35">
        <f>Def_Tech!D179</f>
        <v/>
      </c>
      <c r="D35">
        <f>_xlfn.XLOOKUP(C35,'COM RESID'!J:J,'COM RESID'!H:H)</f>
        <v/>
      </c>
      <c r="E35">
        <f>_xlfn.XLOOKUP(C35,'COM RESID'!J:J,'COM RESID'!I:I)</f>
        <v/>
      </c>
      <c r="F35" s="12">
        <f>_xlfn.XLOOKUP(C35,'COM RESID'!J:J,'COM RESID'!R:R)</f>
        <v/>
      </c>
      <c r="G35">
        <f>_xlfn.XLOOKUP(C35,'COM RESID'!J:J,'COM RESID'!W:W)</f>
        <v/>
      </c>
      <c r="H35" s="12">
        <f>_xlfn.XLOOKUP(C35,'COM RESID'!J:J,'COM RESID'!V:V)</f>
        <v/>
      </c>
      <c r="I35" s="12">
        <f>ROUNDUP(_xlfn.XLOOKUP(C35,'COM RESID'!J:J,'COM RESID'!S:S),0)</f>
        <v/>
      </c>
      <c r="J35" s="8">
        <f>_xlfn.XLOOKUP(C35,'COM RESID'!J:J,'COM RESID'!T:T)</f>
        <v/>
      </c>
      <c r="K35" s="13">
        <f>_xlfn.XLOOKUP(C35,'COM RESID'!J:J,'COM RESID'!P:P)</f>
        <v/>
      </c>
      <c r="L35" s="12">
        <f>_xlfn.XLOOKUP(C35,'COM RESID'!J:J,'COM RESID'!V:V)</f>
        <v/>
      </c>
    </row>
    <row r="36">
      <c r="B36">
        <f>IF(K36=0,"*",Def_Tech!C180)</f>
        <v/>
      </c>
      <c r="C36">
        <f>Def_Tech!D180</f>
        <v/>
      </c>
      <c r="D36">
        <f>_xlfn.XLOOKUP(C36,'COM RESID'!J:J,'COM RESID'!H:H)</f>
        <v/>
      </c>
      <c r="E36">
        <f>_xlfn.XLOOKUP(C36,'COM RESID'!J:J,'COM RESID'!I:I)</f>
        <v/>
      </c>
      <c r="F36" s="12">
        <f>_xlfn.XLOOKUP(C36,'COM RESID'!J:J,'COM RESID'!R:R)</f>
        <v/>
      </c>
      <c r="G36">
        <f>_xlfn.XLOOKUP(C36,'COM RESID'!J:J,'COM RESID'!W:W)</f>
        <v/>
      </c>
      <c r="H36" s="12">
        <f>_xlfn.XLOOKUP(C36,'COM RESID'!J:J,'COM RESID'!V:V)</f>
        <v/>
      </c>
      <c r="I36" s="12">
        <f>ROUNDUP(_xlfn.XLOOKUP(C36,'COM RESID'!J:J,'COM RESID'!S:S),0)</f>
        <v/>
      </c>
      <c r="J36" s="8">
        <f>_xlfn.XLOOKUP(C36,'COM RESID'!J:J,'COM RESID'!T:T)</f>
        <v/>
      </c>
      <c r="K36" s="13">
        <f>_xlfn.XLOOKUP(C36,'COM RESID'!J:J,'COM RESID'!P:P)</f>
        <v/>
      </c>
      <c r="L36" s="12">
        <f>_xlfn.XLOOKUP(C36,'COM RESID'!J:J,'COM RESID'!V:V)</f>
        <v/>
      </c>
    </row>
    <row r="37">
      <c r="B37">
        <f>IF(K37=0,"*",Def_Tech!C181)</f>
        <v/>
      </c>
      <c r="C37">
        <f>Def_Tech!D181</f>
        <v/>
      </c>
      <c r="D37">
        <f>_xlfn.XLOOKUP(C37,'COM RESID'!J:J,'COM RESID'!H:H)</f>
        <v/>
      </c>
      <c r="E37">
        <f>_xlfn.XLOOKUP(C37,'COM RESID'!J:J,'COM RESID'!I:I)</f>
        <v/>
      </c>
      <c r="F37" s="12">
        <f>_xlfn.XLOOKUP(C37,'COM RESID'!J:J,'COM RESID'!R:R)</f>
        <v/>
      </c>
      <c r="G37">
        <f>_xlfn.XLOOKUP(C37,'COM RESID'!J:J,'COM RESID'!W:W)</f>
        <v/>
      </c>
      <c r="H37" s="12">
        <f>_xlfn.XLOOKUP(C37,'COM RESID'!J:J,'COM RESID'!V:V)</f>
        <v/>
      </c>
      <c r="I37" s="12">
        <f>ROUNDUP(_xlfn.XLOOKUP(C37,'COM RESID'!J:J,'COM RESID'!S:S),0)</f>
        <v/>
      </c>
      <c r="J37" s="8">
        <f>_xlfn.XLOOKUP(C37,'COM RESID'!J:J,'COM RESID'!T:T)</f>
        <v/>
      </c>
      <c r="K37" s="13">
        <f>_xlfn.XLOOKUP(C37,'COM RESID'!J:J,'COM RESID'!P:P)</f>
        <v/>
      </c>
      <c r="L37" s="12">
        <f>_xlfn.XLOOKUP(C37,'COM RESID'!J:J,'COM RESID'!V:V)</f>
        <v/>
      </c>
    </row>
    <row r="38">
      <c r="B38">
        <f>IF(K38=0,"*",Def_Tech!C182)</f>
        <v/>
      </c>
      <c r="C38">
        <f>Def_Tech!D182</f>
        <v/>
      </c>
      <c r="D38">
        <f>_xlfn.XLOOKUP(C38,'COM RESID'!J:J,'COM RESID'!H:H)</f>
        <v/>
      </c>
      <c r="E38">
        <f>_xlfn.XLOOKUP(C38,'COM RESID'!J:J,'COM RESID'!I:I)</f>
        <v/>
      </c>
      <c r="F38" s="12">
        <f>_xlfn.XLOOKUP(C38,'COM RESID'!J:J,'COM RESID'!R:R)</f>
        <v/>
      </c>
      <c r="G38">
        <f>_xlfn.XLOOKUP(C38,'COM RESID'!J:J,'COM RESID'!W:W)</f>
        <v/>
      </c>
      <c r="H38" s="12">
        <f>_xlfn.XLOOKUP(C38,'COM RESID'!J:J,'COM RESID'!V:V)</f>
        <v/>
      </c>
      <c r="I38" s="12">
        <f>ROUNDUP(_xlfn.XLOOKUP(C38,'COM RESID'!J:J,'COM RESID'!S:S),0)</f>
        <v/>
      </c>
      <c r="J38" s="8">
        <f>_xlfn.XLOOKUP(C38,'COM RESID'!J:J,'COM RESID'!T:T)</f>
        <v/>
      </c>
      <c r="K38" s="13">
        <f>_xlfn.XLOOKUP(C38,'COM RESID'!J:J,'COM RESID'!P:P)</f>
        <v/>
      </c>
      <c r="L38" s="12">
        <f>_xlfn.XLOOKUP(C38,'COM RESID'!J:J,'COM RESID'!V:V)</f>
        <v/>
      </c>
    </row>
    <row r="39">
      <c r="B39">
        <f>IF(K39=0,"*",Def_Tech!C183)</f>
        <v/>
      </c>
      <c r="C39">
        <f>Def_Tech!D183</f>
        <v/>
      </c>
      <c r="D39">
        <f>_xlfn.XLOOKUP(C39,'COM RESID'!J:J,'COM RESID'!H:H)</f>
        <v/>
      </c>
      <c r="E39">
        <f>_xlfn.XLOOKUP(C39,'COM RESID'!J:J,'COM RESID'!I:I)</f>
        <v/>
      </c>
      <c r="F39" s="12">
        <f>_xlfn.XLOOKUP(C39,'COM RESID'!J:J,'COM RESID'!R:R)</f>
        <v/>
      </c>
      <c r="G39">
        <f>_xlfn.XLOOKUP(C39,'COM RESID'!J:J,'COM RESID'!W:W)</f>
        <v/>
      </c>
      <c r="H39" s="12">
        <f>_xlfn.XLOOKUP(C39,'COM RESID'!J:J,'COM RESID'!V:V)</f>
        <v/>
      </c>
      <c r="I39" s="12">
        <f>ROUNDUP(_xlfn.XLOOKUP(C39,'COM RESID'!J:J,'COM RESID'!S:S),0)</f>
        <v/>
      </c>
      <c r="J39" s="8">
        <f>_xlfn.XLOOKUP(C39,'COM RESID'!J:J,'COM RESID'!T:T)</f>
        <v/>
      </c>
      <c r="K39" s="13">
        <f>_xlfn.XLOOKUP(C39,'COM RESID'!J:J,'COM RESID'!P:P)</f>
        <v/>
      </c>
      <c r="L39" s="12">
        <f>_xlfn.XLOOKUP(C39,'COM RESID'!J:J,'COM RESID'!V:V)</f>
        <v/>
      </c>
    </row>
    <row r="40">
      <c r="B40">
        <f>IF(K40=0,"*",Def_Tech!C184)</f>
        <v/>
      </c>
      <c r="C40">
        <f>Def_Tech!D184</f>
        <v/>
      </c>
      <c r="D40">
        <f>_xlfn.XLOOKUP(C40,'COM RESID'!J:J,'COM RESID'!H:H)</f>
        <v/>
      </c>
      <c r="E40">
        <f>_xlfn.XLOOKUP(C40,'COM RESID'!J:J,'COM RESID'!I:I)</f>
        <v/>
      </c>
      <c r="F40" s="12">
        <f>_xlfn.XLOOKUP(C40,'COM RESID'!J:J,'COM RESID'!R:R)</f>
        <v/>
      </c>
      <c r="G40">
        <f>_xlfn.XLOOKUP(C40,'COM RESID'!J:J,'COM RESID'!W:W)</f>
        <v/>
      </c>
      <c r="H40" s="12">
        <f>_xlfn.XLOOKUP(C40,'COM RESID'!J:J,'COM RESID'!V:V)</f>
        <v/>
      </c>
      <c r="I40" s="12">
        <f>ROUNDUP(_xlfn.XLOOKUP(C40,'COM RESID'!J:J,'COM RESID'!S:S),0)</f>
        <v/>
      </c>
      <c r="J40" s="8">
        <f>_xlfn.XLOOKUP(C40,'COM RESID'!J:J,'COM RESID'!T:T)</f>
        <v/>
      </c>
      <c r="K40" s="13">
        <f>_xlfn.XLOOKUP(C40,'COM RESID'!J:J,'COM RESID'!P:P)</f>
        <v/>
      </c>
      <c r="L40" s="12">
        <f>_xlfn.XLOOKUP(C40,'COM RESID'!J:J,'COM RESID'!V:V)</f>
        <v/>
      </c>
    </row>
    <row r="41">
      <c r="B41">
        <f>IF(K41=0,"*",Def_Tech!C185)</f>
        <v/>
      </c>
      <c r="C41">
        <f>Def_Tech!D185</f>
        <v/>
      </c>
      <c r="D41">
        <f>_xlfn.XLOOKUP(C41,'COM RESID'!J:J,'COM RESID'!H:H)</f>
        <v/>
      </c>
      <c r="E41">
        <f>_xlfn.XLOOKUP(C41,'COM RESID'!J:J,'COM RESID'!I:I)</f>
        <v/>
      </c>
      <c r="F41" s="12">
        <f>_xlfn.XLOOKUP(C41,'COM RESID'!J:J,'COM RESID'!R:R)</f>
        <v/>
      </c>
      <c r="G41">
        <f>_xlfn.XLOOKUP(C41,'COM RESID'!J:J,'COM RESID'!W:W)</f>
        <v/>
      </c>
      <c r="H41" s="12">
        <f>_xlfn.XLOOKUP(C41,'COM RESID'!J:J,'COM RESID'!V:V)</f>
        <v/>
      </c>
      <c r="I41" s="12">
        <f>ROUNDUP(_xlfn.XLOOKUP(C41,'COM RESID'!J:J,'COM RESID'!S:S),0)</f>
        <v/>
      </c>
      <c r="J41" s="8">
        <f>_xlfn.XLOOKUP(C41,'COM RESID'!J:J,'COM RESID'!T:T)</f>
        <v/>
      </c>
      <c r="K41" s="13">
        <f>_xlfn.XLOOKUP(C41,'COM RESID'!J:J,'COM RESID'!P:P)</f>
        <v/>
      </c>
      <c r="L41" s="12">
        <f>_xlfn.XLOOKUP(C41,'COM RESID'!J:J,'COM RESID'!V:V)</f>
        <v/>
      </c>
    </row>
    <row r="42">
      <c r="B42">
        <f>IF(K42=0,"*",Def_Tech!C186)</f>
        <v/>
      </c>
      <c r="C42">
        <f>Def_Tech!D186</f>
        <v/>
      </c>
      <c r="D42">
        <f>_xlfn.XLOOKUP(C42,'COM RESID'!J:J,'COM RESID'!H:H)</f>
        <v/>
      </c>
      <c r="E42">
        <f>_xlfn.XLOOKUP(C42,'COM RESID'!J:J,'COM RESID'!I:I)</f>
        <v/>
      </c>
      <c r="F42" s="12">
        <f>_xlfn.XLOOKUP(C42,'COM RESID'!J:J,'COM RESID'!R:R)</f>
        <v/>
      </c>
      <c r="G42">
        <f>_xlfn.XLOOKUP(C42,'COM RESID'!J:J,'COM RESID'!W:W)</f>
        <v/>
      </c>
      <c r="H42" s="12">
        <f>_xlfn.XLOOKUP(C42,'COM RESID'!J:J,'COM RESID'!V:V)</f>
        <v/>
      </c>
      <c r="I42" s="12">
        <f>ROUNDUP(_xlfn.XLOOKUP(C42,'COM RESID'!J:J,'COM RESID'!S:S),0)</f>
        <v/>
      </c>
      <c r="J42" s="8">
        <f>_xlfn.XLOOKUP(C42,'COM RESID'!J:J,'COM RESID'!T:T)</f>
        <v/>
      </c>
      <c r="K42" s="13">
        <f>_xlfn.XLOOKUP(C42,'COM RESID'!J:J,'COM RESID'!P:P)</f>
        <v/>
      </c>
      <c r="L42" s="12">
        <f>_xlfn.XLOOKUP(C42,'COM RESID'!J:J,'COM RESID'!V:V)</f>
        <v/>
      </c>
    </row>
    <row r="43">
      <c r="B43">
        <f>IF(K43=0,"*",Def_Tech!C187)</f>
        <v/>
      </c>
      <c r="C43">
        <f>Def_Tech!D187</f>
        <v/>
      </c>
      <c r="D43">
        <f>_xlfn.XLOOKUP(C43,'COM RESID'!J:J,'COM RESID'!H:H)</f>
        <v/>
      </c>
      <c r="E43">
        <f>_xlfn.XLOOKUP(C43,'COM RESID'!J:J,'COM RESID'!I:I)</f>
        <v/>
      </c>
      <c r="F43" s="12">
        <f>_xlfn.XLOOKUP(C43,'COM RESID'!J:J,'COM RESID'!R:R)</f>
        <v/>
      </c>
      <c r="G43">
        <f>_xlfn.XLOOKUP(C43,'COM RESID'!J:J,'COM RESID'!W:W)</f>
        <v/>
      </c>
      <c r="H43" s="12">
        <f>_xlfn.XLOOKUP(C43,'COM RESID'!J:J,'COM RESID'!V:V)</f>
        <v/>
      </c>
      <c r="I43" s="12">
        <f>ROUNDUP(_xlfn.XLOOKUP(C43,'COM RESID'!J:J,'COM RESID'!S:S),0)</f>
        <v/>
      </c>
      <c r="J43" s="8">
        <f>_xlfn.XLOOKUP(C43,'COM RESID'!J:J,'COM RESID'!T:T)</f>
        <v/>
      </c>
      <c r="K43" s="13">
        <f>_xlfn.XLOOKUP(C43,'COM RESID'!J:J,'COM RESID'!P:P)</f>
        <v/>
      </c>
      <c r="L43" s="12">
        <f>_xlfn.XLOOKUP(C43,'COM RESID'!J:J,'COM RESID'!V:V)</f>
        <v/>
      </c>
    </row>
    <row r="44">
      <c r="B44">
        <f>IF(K44=0,"*",Def_Tech!C188)</f>
        <v/>
      </c>
      <c r="C44">
        <f>Def_Tech!D188</f>
        <v/>
      </c>
      <c r="D44">
        <f>_xlfn.XLOOKUP(C44,'COM RESID'!J:J,'COM RESID'!H:H)</f>
        <v/>
      </c>
      <c r="E44">
        <f>_xlfn.XLOOKUP(C44,'COM RESID'!J:J,'COM RESID'!I:I)</f>
        <v/>
      </c>
      <c r="F44" s="12">
        <f>_xlfn.XLOOKUP(C44,'COM RESID'!J:J,'COM RESID'!R:R)</f>
        <v/>
      </c>
      <c r="G44">
        <f>_xlfn.XLOOKUP(C44,'COM RESID'!J:J,'COM RESID'!W:W)</f>
        <v/>
      </c>
      <c r="H44" s="12">
        <f>_xlfn.XLOOKUP(C44,'COM RESID'!J:J,'COM RESID'!V:V)</f>
        <v/>
      </c>
      <c r="I44" s="12">
        <f>ROUNDUP(_xlfn.XLOOKUP(C44,'COM RESID'!J:J,'COM RESID'!S:S),0)</f>
        <v/>
      </c>
      <c r="J44" s="8">
        <f>_xlfn.XLOOKUP(C44,'COM RESID'!J:J,'COM RESID'!T:T)</f>
        <v/>
      </c>
      <c r="K44" s="13">
        <f>_xlfn.XLOOKUP(C44,'COM RESID'!J:J,'COM RESID'!P:P)</f>
        <v/>
      </c>
      <c r="L44" s="12">
        <f>_xlfn.XLOOKUP(C44,'COM RESID'!J:J,'COM RESID'!V:V)</f>
        <v/>
      </c>
    </row>
    <row r="45">
      <c r="B45">
        <f>IF(K45=0,"*",Def_Tech!C189)</f>
        <v/>
      </c>
      <c r="C45">
        <f>Def_Tech!D189</f>
        <v/>
      </c>
      <c r="D45">
        <f>_xlfn.XLOOKUP(C45,'COM RESID'!J:J,'COM RESID'!H:H)</f>
        <v/>
      </c>
      <c r="E45">
        <f>_xlfn.XLOOKUP(C45,'COM RESID'!J:J,'COM RESID'!I:I)</f>
        <v/>
      </c>
      <c r="F45" s="12">
        <f>_xlfn.XLOOKUP(C45,'COM RESID'!J:J,'COM RESID'!R:R)</f>
        <v/>
      </c>
      <c r="G45">
        <f>_xlfn.XLOOKUP(C45,'COM RESID'!J:J,'COM RESID'!W:W)</f>
        <v/>
      </c>
      <c r="H45" s="12">
        <f>_xlfn.XLOOKUP(C45,'COM RESID'!J:J,'COM RESID'!V:V)</f>
        <v/>
      </c>
      <c r="I45" s="12">
        <f>ROUNDUP(_xlfn.XLOOKUP(C45,'COM RESID'!J:J,'COM RESID'!S:S),0)</f>
        <v/>
      </c>
      <c r="J45" s="8">
        <f>_xlfn.XLOOKUP(C45,'COM RESID'!J:J,'COM RESID'!T:T)</f>
        <v/>
      </c>
      <c r="K45" s="13">
        <f>_xlfn.XLOOKUP(C45,'COM RESID'!J:J,'COM RESID'!P:P)</f>
        <v/>
      </c>
      <c r="L45" s="12">
        <f>_xlfn.XLOOKUP(C45,'COM RESID'!J:J,'COM RESID'!V:V)</f>
        <v/>
      </c>
    </row>
    <row r="46">
      <c r="B46">
        <f>IF(K46=0,"*",Def_Tech!C190)</f>
        <v/>
      </c>
      <c r="C46">
        <f>Def_Tech!D190</f>
        <v/>
      </c>
      <c r="D46">
        <f>_xlfn.XLOOKUP(C46,'COM RESID'!J:J,'COM RESID'!H:H)</f>
        <v/>
      </c>
      <c r="E46">
        <f>_xlfn.XLOOKUP(C46,'COM RESID'!J:J,'COM RESID'!I:I)</f>
        <v/>
      </c>
      <c r="F46" s="12">
        <f>_xlfn.XLOOKUP(C46,'COM RESID'!J:J,'COM RESID'!R:R)</f>
        <v/>
      </c>
      <c r="G46">
        <f>_xlfn.XLOOKUP(C46,'COM RESID'!J:J,'COM RESID'!W:W)</f>
        <v/>
      </c>
      <c r="H46" s="12">
        <f>_xlfn.XLOOKUP(C46,'COM RESID'!J:J,'COM RESID'!V:V)</f>
        <v/>
      </c>
      <c r="I46" s="12">
        <f>ROUNDUP(_xlfn.XLOOKUP(C46,'COM RESID'!J:J,'COM RESID'!S:S),0)</f>
        <v/>
      </c>
      <c r="J46" s="8">
        <f>_xlfn.XLOOKUP(C46,'COM RESID'!J:J,'COM RESID'!T:T)</f>
        <v/>
      </c>
      <c r="K46" s="13">
        <f>_xlfn.XLOOKUP(C46,'COM RESID'!J:J,'COM RESID'!P:P)</f>
        <v/>
      </c>
      <c r="L46" s="12">
        <f>_xlfn.XLOOKUP(C46,'COM RESID'!J:J,'COM RESID'!V:V)</f>
        <v/>
      </c>
    </row>
    <row r="47">
      <c r="B47">
        <f>IF(K47=0,"*",Def_Tech!C191)</f>
        <v/>
      </c>
      <c r="C47">
        <f>Def_Tech!D191</f>
        <v/>
      </c>
      <c r="D47">
        <f>_xlfn.XLOOKUP(C47,'COM RESID'!J:J,'COM RESID'!H:H)</f>
        <v/>
      </c>
      <c r="E47">
        <f>_xlfn.XLOOKUP(C47,'COM RESID'!J:J,'COM RESID'!I:I)</f>
        <v/>
      </c>
      <c r="F47" s="12">
        <f>_xlfn.XLOOKUP(C47,'COM RESID'!J:J,'COM RESID'!R:R)</f>
        <v/>
      </c>
      <c r="G47">
        <f>_xlfn.XLOOKUP(C47,'COM RESID'!J:J,'COM RESID'!W:W)</f>
        <v/>
      </c>
      <c r="H47" s="12">
        <f>_xlfn.XLOOKUP(C47,'COM RESID'!J:J,'COM RESID'!V:V)</f>
        <v/>
      </c>
      <c r="I47" s="12">
        <f>ROUNDUP(_xlfn.XLOOKUP(C47,'COM RESID'!J:J,'COM RESID'!S:S),0)</f>
        <v/>
      </c>
      <c r="J47" s="8">
        <f>_xlfn.XLOOKUP(C47,'COM RESID'!J:J,'COM RESID'!T:T)</f>
        <v/>
      </c>
      <c r="K47" s="13">
        <f>_xlfn.XLOOKUP(C47,'COM RESID'!J:J,'COM RESID'!P:P)</f>
        <v/>
      </c>
      <c r="L47" s="12">
        <f>_xlfn.XLOOKUP(C47,'COM RESID'!J:J,'COM RESID'!V:V)</f>
        <v/>
      </c>
    </row>
    <row r="48">
      <c r="B48">
        <f>IF(K48=0,"*",Def_Tech!C192)</f>
        <v/>
      </c>
      <c r="C48">
        <f>Def_Tech!D192</f>
        <v/>
      </c>
      <c r="D48">
        <f>_xlfn.XLOOKUP(C48,'COM RESID'!J:J,'COM RESID'!H:H)</f>
        <v/>
      </c>
      <c r="E48">
        <f>_xlfn.XLOOKUP(C48,'COM RESID'!J:J,'COM RESID'!I:I)</f>
        <v/>
      </c>
      <c r="F48" s="12">
        <f>_xlfn.XLOOKUP(C48,'COM RESID'!J:J,'COM RESID'!R:R)</f>
        <v/>
      </c>
      <c r="G48">
        <f>_xlfn.XLOOKUP(C48,'COM RESID'!J:J,'COM RESID'!W:W)</f>
        <v/>
      </c>
      <c r="H48" s="12">
        <f>_xlfn.XLOOKUP(C48,'COM RESID'!J:J,'COM RESID'!V:V)</f>
        <v/>
      </c>
      <c r="I48" s="12">
        <f>ROUNDUP(_xlfn.XLOOKUP(C48,'COM RESID'!J:J,'COM RESID'!S:S),0)</f>
        <v/>
      </c>
      <c r="J48" s="8">
        <f>_xlfn.XLOOKUP(C48,'COM RESID'!J:J,'COM RESID'!T:T)</f>
        <v/>
      </c>
      <c r="K48" s="13">
        <f>_xlfn.XLOOKUP(C48,'COM RESID'!J:J,'COM RESID'!P:P)</f>
        <v/>
      </c>
      <c r="L48" s="12">
        <f>_xlfn.XLOOKUP(C48,'COM RESID'!J:J,'COM RESID'!V:V)</f>
        <v/>
      </c>
    </row>
    <row r="49">
      <c r="B49">
        <f>IF(K49=0,"*",Def_Tech!C193)</f>
        <v/>
      </c>
      <c r="C49">
        <f>Def_Tech!D193</f>
        <v/>
      </c>
      <c r="D49">
        <f>_xlfn.XLOOKUP(C49,'COM RESID'!J:J,'COM RESID'!H:H)</f>
        <v/>
      </c>
      <c r="E49">
        <f>_xlfn.XLOOKUP(C49,'COM RESID'!J:J,'COM RESID'!I:I)</f>
        <v/>
      </c>
      <c r="F49" s="12">
        <f>_xlfn.XLOOKUP(C49,'COM RESID'!J:J,'COM RESID'!R:R)</f>
        <v/>
      </c>
      <c r="G49">
        <f>_xlfn.XLOOKUP(C49,'COM RESID'!J:J,'COM RESID'!W:W)</f>
        <v/>
      </c>
      <c r="H49" s="12">
        <f>_xlfn.XLOOKUP(C49,'COM RESID'!J:J,'COM RESID'!V:V)</f>
        <v/>
      </c>
      <c r="I49" s="12">
        <f>ROUNDUP(_xlfn.XLOOKUP(C49,'COM RESID'!J:J,'COM RESID'!S:S),0)</f>
        <v/>
      </c>
      <c r="J49" s="8">
        <f>_xlfn.XLOOKUP(C49,'COM RESID'!J:J,'COM RESID'!T:T)</f>
        <v/>
      </c>
      <c r="K49" s="13">
        <f>_xlfn.XLOOKUP(C49,'COM RESID'!J:J,'COM RESID'!P:P)</f>
        <v/>
      </c>
      <c r="L49" s="12">
        <f>_xlfn.XLOOKUP(C49,'COM RESID'!J:J,'COM RESID'!V:V)</f>
        <v/>
      </c>
    </row>
    <row r="50">
      <c r="B50">
        <f>IF(K50=0,"*",Def_Tech!C194)</f>
        <v/>
      </c>
      <c r="C50">
        <f>Def_Tech!D194</f>
        <v/>
      </c>
      <c r="D50">
        <f>_xlfn.XLOOKUP(C50,'COM RESID'!J:J,'COM RESID'!H:H)</f>
        <v/>
      </c>
      <c r="E50">
        <f>_xlfn.XLOOKUP(C50,'COM RESID'!J:J,'COM RESID'!I:I)</f>
        <v/>
      </c>
      <c r="F50" s="12">
        <f>_xlfn.XLOOKUP(C50,'COM RESID'!J:J,'COM RESID'!R:R)</f>
        <v/>
      </c>
      <c r="G50">
        <f>_xlfn.XLOOKUP(C50,'COM RESID'!J:J,'COM RESID'!W:W)</f>
        <v/>
      </c>
      <c r="H50" s="12">
        <f>_xlfn.XLOOKUP(C50,'COM RESID'!J:J,'COM RESID'!V:V)</f>
        <v/>
      </c>
      <c r="I50" s="12">
        <f>ROUNDUP(_xlfn.XLOOKUP(C50,'COM RESID'!J:J,'COM RESID'!S:S),0)</f>
        <v/>
      </c>
      <c r="J50" s="8">
        <f>_xlfn.XLOOKUP(C50,'COM RESID'!J:J,'COM RESID'!T:T)</f>
        <v/>
      </c>
      <c r="K50" s="13">
        <f>_xlfn.XLOOKUP(C50,'COM RESID'!J:J,'COM RESID'!P:P)</f>
        <v/>
      </c>
      <c r="L50" s="12">
        <f>_xlfn.XLOOKUP(C50,'COM RESID'!J:J,'COM RESID'!V:V)</f>
        <v/>
      </c>
    </row>
    <row r="51">
      <c r="B51">
        <f>IF(K51=0,"*",Def_Tech!C195)</f>
        <v/>
      </c>
      <c r="C51">
        <f>Def_Tech!D195</f>
        <v/>
      </c>
      <c r="D51">
        <f>_xlfn.XLOOKUP(C51,'COM RESID'!J:J,'COM RESID'!H:H)</f>
        <v/>
      </c>
      <c r="E51">
        <f>_xlfn.XLOOKUP(C51,'COM RESID'!J:J,'COM RESID'!I:I)</f>
        <v/>
      </c>
      <c r="F51" s="12">
        <f>_xlfn.XLOOKUP(C51,'COM RESID'!J:J,'COM RESID'!R:R)</f>
        <v/>
      </c>
      <c r="G51">
        <f>_xlfn.XLOOKUP(C51,'COM RESID'!J:J,'COM RESID'!W:W)</f>
        <v/>
      </c>
      <c r="H51" s="12">
        <f>_xlfn.XLOOKUP(C51,'COM RESID'!J:J,'COM RESID'!V:V)</f>
        <v/>
      </c>
      <c r="I51" s="12">
        <f>ROUNDUP(_xlfn.XLOOKUP(C51,'COM RESID'!J:J,'COM RESID'!S:S),0)</f>
        <v/>
      </c>
      <c r="J51" s="8">
        <f>_xlfn.XLOOKUP(C51,'COM RESID'!J:J,'COM RESID'!T:T)</f>
        <v/>
      </c>
      <c r="K51" s="13">
        <f>_xlfn.XLOOKUP(C51,'COM RESID'!J:J,'COM RESID'!P:P)</f>
        <v/>
      </c>
      <c r="L51" s="12">
        <f>_xlfn.XLOOKUP(C51,'COM RESID'!J:J,'COM RESID'!V:V)</f>
        <v/>
      </c>
    </row>
    <row r="52">
      <c r="B52">
        <f>IF(K52=0,"*",Def_Tech!C196)</f>
        <v/>
      </c>
      <c r="C52">
        <f>Def_Tech!D196</f>
        <v/>
      </c>
      <c r="D52">
        <f>_xlfn.XLOOKUP(C52,'COM RESID'!J:J,'COM RESID'!H:H)</f>
        <v/>
      </c>
      <c r="E52">
        <f>_xlfn.XLOOKUP(C52,'COM RESID'!J:J,'COM RESID'!I:I)</f>
        <v/>
      </c>
      <c r="F52" s="12">
        <f>_xlfn.XLOOKUP(C52,'COM RESID'!J:J,'COM RESID'!R:R)</f>
        <v/>
      </c>
      <c r="G52">
        <f>_xlfn.XLOOKUP(C52,'COM RESID'!J:J,'COM RESID'!W:W)</f>
        <v/>
      </c>
      <c r="H52" s="12">
        <f>_xlfn.XLOOKUP(C52,'COM RESID'!J:J,'COM RESID'!V:V)</f>
        <v/>
      </c>
      <c r="I52" s="12">
        <f>ROUNDUP(_xlfn.XLOOKUP(C52,'COM RESID'!J:J,'COM RESID'!S:S),0)</f>
        <v/>
      </c>
      <c r="J52" s="8">
        <f>_xlfn.XLOOKUP(C52,'COM RESID'!J:J,'COM RESID'!T:T)</f>
        <v/>
      </c>
      <c r="K52" s="13">
        <f>_xlfn.XLOOKUP(C52,'COM RESID'!J:J,'COM RESID'!P:P)</f>
        <v/>
      </c>
      <c r="L52" s="12">
        <f>_xlfn.XLOOKUP(C52,'COM RESID'!J:J,'COM RESID'!V:V)</f>
        <v/>
      </c>
    </row>
    <row r="53">
      <c r="B53">
        <f>IF(K53=0,"*",Def_Tech!C197)</f>
        <v/>
      </c>
      <c r="C53">
        <f>Def_Tech!D197</f>
        <v/>
      </c>
      <c r="D53">
        <f>_xlfn.XLOOKUP(C53,'COM RESID'!J:J,'COM RESID'!H:H)</f>
        <v/>
      </c>
      <c r="E53">
        <f>_xlfn.XLOOKUP(C53,'COM RESID'!J:J,'COM RESID'!I:I)</f>
        <v/>
      </c>
      <c r="F53" s="12">
        <f>_xlfn.XLOOKUP(C53,'COM RESID'!J:J,'COM RESID'!R:R)</f>
        <v/>
      </c>
      <c r="G53">
        <f>_xlfn.XLOOKUP(C53,'COM RESID'!J:J,'COM RESID'!W:W)</f>
        <v/>
      </c>
      <c r="H53" s="12">
        <f>_xlfn.XLOOKUP(C53,'COM RESID'!J:J,'COM RESID'!V:V)</f>
        <v/>
      </c>
      <c r="I53" s="12">
        <f>ROUNDUP(_xlfn.XLOOKUP(C53,'COM RESID'!J:J,'COM RESID'!S:S),0)</f>
        <v/>
      </c>
      <c r="J53" s="8">
        <f>_xlfn.XLOOKUP(C53,'COM RESID'!J:J,'COM RESID'!T:T)</f>
        <v/>
      </c>
      <c r="K53" s="13">
        <f>_xlfn.XLOOKUP(C53,'COM RESID'!J:J,'COM RESID'!P:P)</f>
        <v/>
      </c>
      <c r="L53" s="12">
        <f>_xlfn.XLOOKUP(C53,'COM RESID'!J:J,'COM RESID'!V:V)</f>
        <v/>
      </c>
    </row>
    <row r="54">
      <c r="B54">
        <f>IF(K54=0,"*",Def_Tech!C198)</f>
        <v/>
      </c>
      <c r="C54">
        <f>Def_Tech!D198</f>
        <v/>
      </c>
      <c r="D54">
        <f>_xlfn.XLOOKUP(C54,'COM RESID'!J:J,'COM RESID'!H:H)</f>
        <v/>
      </c>
      <c r="E54">
        <f>_xlfn.XLOOKUP(C54,'COM RESID'!J:J,'COM RESID'!I:I)</f>
        <v/>
      </c>
      <c r="F54" s="12">
        <f>_xlfn.XLOOKUP(C54,'COM RESID'!J:J,'COM RESID'!R:R)</f>
        <v/>
      </c>
      <c r="G54">
        <f>_xlfn.XLOOKUP(C54,'COM RESID'!J:J,'COM RESID'!W:W)</f>
        <v/>
      </c>
      <c r="H54" s="12">
        <f>_xlfn.XLOOKUP(C54,'COM RESID'!J:J,'COM RESID'!V:V)</f>
        <v/>
      </c>
      <c r="I54" s="12">
        <f>ROUNDUP(_xlfn.XLOOKUP(C54,'COM RESID'!J:J,'COM RESID'!S:S),0)</f>
        <v/>
      </c>
      <c r="J54" s="8">
        <f>_xlfn.XLOOKUP(C54,'COM RESID'!J:J,'COM RESID'!T:T)</f>
        <v/>
      </c>
      <c r="K54" s="13">
        <f>_xlfn.XLOOKUP(C54,'COM RESID'!J:J,'COM RESID'!P:P)</f>
        <v/>
      </c>
      <c r="L54" s="12">
        <f>_xlfn.XLOOKUP(C54,'COM RESID'!J:J,'COM RESID'!V:V)</f>
        <v/>
      </c>
    </row>
    <row r="55">
      <c r="B55">
        <f>IF(K55=0,"*",Def_Tech!C199)</f>
        <v/>
      </c>
      <c r="C55">
        <f>Def_Tech!D199</f>
        <v/>
      </c>
      <c r="D55">
        <f>_xlfn.XLOOKUP(C55,'COM RESID'!J:J,'COM RESID'!H:H)</f>
        <v/>
      </c>
      <c r="E55">
        <f>_xlfn.XLOOKUP(C55,'COM RESID'!J:J,'COM RESID'!I:I)</f>
        <v/>
      </c>
      <c r="F55" s="12">
        <f>_xlfn.XLOOKUP(C55,'COM RESID'!J:J,'COM RESID'!R:R)</f>
        <v/>
      </c>
      <c r="G55">
        <f>_xlfn.XLOOKUP(C55,'COM RESID'!J:J,'COM RESID'!W:W)</f>
        <v/>
      </c>
      <c r="H55" s="12">
        <f>_xlfn.XLOOKUP(C55,'COM RESID'!J:J,'COM RESID'!V:V)</f>
        <v/>
      </c>
      <c r="I55" s="12">
        <f>ROUNDUP(_xlfn.XLOOKUP(C55,'COM RESID'!J:J,'COM RESID'!S:S),0)</f>
        <v/>
      </c>
      <c r="J55" s="8">
        <f>_xlfn.XLOOKUP(C55,'COM RESID'!J:J,'COM RESID'!T:T)</f>
        <v/>
      </c>
      <c r="K55" s="13">
        <f>_xlfn.XLOOKUP(C55,'COM RESID'!J:J,'COM RESID'!P:P)</f>
        <v/>
      </c>
      <c r="L55" s="12">
        <f>_xlfn.XLOOKUP(C55,'COM RESID'!J:J,'COM RESID'!V:V)</f>
        <v/>
      </c>
    </row>
    <row r="56">
      <c r="B56">
        <f>IF(K56=0,"*",Def_Tech!C200)</f>
        <v/>
      </c>
      <c r="C56">
        <f>Def_Tech!D200</f>
        <v/>
      </c>
      <c r="D56">
        <f>_xlfn.XLOOKUP(C56,'COM RESID'!J:J,'COM RESID'!H:H)</f>
        <v/>
      </c>
      <c r="E56">
        <f>_xlfn.XLOOKUP(C56,'COM RESID'!J:J,'COM RESID'!I:I)</f>
        <v/>
      </c>
      <c r="F56" s="12">
        <f>_xlfn.XLOOKUP(C56,'COM RESID'!J:J,'COM RESID'!R:R)</f>
        <v/>
      </c>
      <c r="G56">
        <f>_xlfn.XLOOKUP(C56,'COM RESID'!J:J,'COM RESID'!W:W)</f>
        <v/>
      </c>
      <c r="H56" s="12">
        <f>_xlfn.XLOOKUP(C56,'COM RESID'!J:J,'COM RESID'!V:V)</f>
        <v/>
      </c>
      <c r="I56" s="12">
        <f>ROUNDUP(_xlfn.XLOOKUP(C56,'COM RESID'!J:J,'COM RESID'!S:S),0)</f>
        <v/>
      </c>
      <c r="J56" s="8">
        <f>_xlfn.XLOOKUP(C56,'COM RESID'!J:J,'COM RESID'!T:T)</f>
        <v/>
      </c>
      <c r="K56" s="13">
        <f>_xlfn.XLOOKUP(C56,'COM RESID'!J:J,'COM RESID'!P:P)</f>
        <v/>
      </c>
      <c r="L56" s="12">
        <f>_xlfn.XLOOKUP(C56,'COM RESID'!J:J,'COM RESID'!V:V)</f>
        <v/>
      </c>
    </row>
    <row r="57">
      <c r="B57">
        <f>IF(K57=0,"*",Def_Tech!C201)</f>
        <v/>
      </c>
      <c r="C57">
        <f>Def_Tech!D201</f>
        <v/>
      </c>
      <c r="D57">
        <f>_xlfn.XLOOKUP(C57,'COM RESID'!J:J,'COM RESID'!H:H)</f>
        <v/>
      </c>
      <c r="E57">
        <f>_xlfn.XLOOKUP(C57,'COM RESID'!J:J,'COM RESID'!I:I)</f>
        <v/>
      </c>
      <c r="F57" s="12">
        <f>_xlfn.XLOOKUP(C57,'COM RESID'!J:J,'COM RESID'!R:R)</f>
        <v/>
      </c>
      <c r="G57">
        <f>_xlfn.XLOOKUP(C57,'COM RESID'!J:J,'COM RESID'!W:W)</f>
        <v/>
      </c>
      <c r="H57" s="12">
        <f>_xlfn.XLOOKUP(C57,'COM RESID'!J:J,'COM RESID'!V:V)</f>
        <v/>
      </c>
      <c r="I57" s="12">
        <f>ROUNDUP(_xlfn.XLOOKUP(C57,'COM RESID'!J:J,'COM RESID'!S:S),0)</f>
        <v/>
      </c>
      <c r="J57" s="8">
        <f>_xlfn.XLOOKUP(C57,'COM RESID'!J:J,'COM RESID'!T:T)</f>
        <v/>
      </c>
      <c r="K57" s="13">
        <f>_xlfn.XLOOKUP(C57,'COM RESID'!J:J,'COM RESID'!P:P)</f>
        <v/>
      </c>
      <c r="L57" s="12">
        <f>_xlfn.XLOOKUP(C57,'COM RESID'!J:J,'COM RESID'!V:V)</f>
        <v/>
      </c>
    </row>
    <row r="58">
      <c r="B58">
        <f>IF(K58=0,"*",Def_Tech!C202)</f>
        <v/>
      </c>
      <c r="C58">
        <f>Def_Tech!D202</f>
        <v/>
      </c>
      <c r="D58">
        <f>_xlfn.XLOOKUP(C58,'COM RESID'!J:J,'COM RESID'!H:H)</f>
        <v/>
      </c>
      <c r="E58">
        <f>_xlfn.XLOOKUP(C58,'COM RESID'!J:J,'COM RESID'!I:I)</f>
        <v/>
      </c>
      <c r="F58" s="12">
        <f>_xlfn.XLOOKUP(C58,'COM RESID'!J:J,'COM RESID'!R:R)</f>
        <v/>
      </c>
      <c r="G58">
        <f>_xlfn.XLOOKUP(C58,'COM RESID'!J:J,'COM RESID'!W:W)</f>
        <v/>
      </c>
      <c r="H58" s="12">
        <f>_xlfn.XLOOKUP(C58,'COM RESID'!J:J,'COM RESID'!V:V)</f>
        <v/>
      </c>
      <c r="I58" s="12">
        <f>ROUNDUP(_xlfn.XLOOKUP(C58,'COM RESID'!J:J,'COM RESID'!S:S),0)</f>
        <v/>
      </c>
      <c r="J58" s="8">
        <f>_xlfn.XLOOKUP(C58,'COM RESID'!J:J,'COM RESID'!T:T)</f>
        <v/>
      </c>
      <c r="K58" s="13">
        <f>_xlfn.XLOOKUP(C58,'COM RESID'!J:J,'COM RESID'!P:P)</f>
        <v/>
      </c>
      <c r="L58" s="12">
        <f>_xlfn.XLOOKUP(C58,'COM RESID'!J:J,'COM RESID'!V:V)</f>
        <v/>
      </c>
    </row>
    <row r="59">
      <c r="B59">
        <f>IF(K59=0,"*",Def_Tech!C203)</f>
        <v/>
      </c>
      <c r="C59">
        <f>Def_Tech!D203</f>
        <v/>
      </c>
      <c r="D59">
        <f>_xlfn.XLOOKUP(C59,'COM RESID'!J:J,'COM RESID'!H:H)</f>
        <v/>
      </c>
      <c r="E59">
        <f>_xlfn.XLOOKUP(C59,'COM RESID'!J:J,'COM RESID'!I:I)</f>
        <v/>
      </c>
      <c r="F59" s="12">
        <f>_xlfn.XLOOKUP(C59,'COM RESID'!J:J,'COM RESID'!R:R)</f>
        <v/>
      </c>
      <c r="G59">
        <f>_xlfn.XLOOKUP(C59,'COM RESID'!J:J,'COM RESID'!W:W)</f>
        <v/>
      </c>
      <c r="H59" s="12">
        <f>_xlfn.XLOOKUP(C59,'COM RESID'!J:J,'COM RESID'!V:V)</f>
        <v/>
      </c>
      <c r="I59" s="12">
        <f>ROUNDUP(_xlfn.XLOOKUP(C59,'COM RESID'!J:J,'COM RESID'!S:S),0)</f>
        <v/>
      </c>
      <c r="J59" s="8">
        <f>_xlfn.XLOOKUP(C59,'COM RESID'!J:J,'COM RESID'!T:T)</f>
        <v/>
      </c>
      <c r="K59" s="13">
        <f>_xlfn.XLOOKUP(C59,'COM RESID'!J:J,'COM RESID'!P:P)</f>
        <v/>
      </c>
      <c r="L59" s="12">
        <f>_xlfn.XLOOKUP(C59,'COM RESID'!J:J,'COM RESID'!V:V)</f>
        <v/>
      </c>
    </row>
    <row r="60">
      <c r="B60">
        <f>IF(K60=0,"*",Def_Tech!C204)</f>
        <v/>
      </c>
      <c r="C60">
        <f>Def_Tech!D204</f>
        <v/>
      </c>
      <c r="D60">
        <f>_xlfn.XLOOKUP(C60,'COM RESID'!J:J,'COM RESID'!H:H)</f>
        <v/>
      </c>
      <c r="E60">
        <f>_xlfn.XLOOKUP(C60,'COM RESID'!J:J,'COM RESID'!I:I)</f>
        <v/>
      </c>
      <c r="F60" s="12">
        <f>_xlfn.XLOOKUP(C60,'COM RESID'!J:J,'COM RESID'!R:R)</f>
        <v/>
      </c>
      <c r="G60">
        <f>_xlfn.XLOOKUP(C60,'COM RESID'!J:J,'COM RESID'!W:W)</f>
        <v/>
      </c>
      <c r="H60" s="12">
        <f>_xlfn.XLOOKUP(C60,'COM RESID'!J:J,'COM RESID'!V:V)</f>
        <v/>
      </c>
      <c r="I60" s="12">
        <f>ROUNDUP(_xlfn.XLOOKUP(C60,'COM RESID'!J:J,'COM RESID'!S:S),0)</f>
        <v/>
      </c>
      <c r="J60" s="8">
        <f>_xlfn.XLOOKUP(C60,'COM RESID'!J:J,'COM RESID'!T:T)</f>
        <v/>
      </c>
      <c r="K60" s="13">
        <f>_xlfn.XLOOKUP(C60,'COM RESID'!J:J,'COM RESID'!P:P)</f>
        <v/>
      </c>
      <c r="L60" s="12">
        <f>_xlfn.XLOOKUP(C60,'COM RESID'!J:J,'COM RESID'!V:V)</f>
        <v/>
      </c>
    </row>
    <row r="61">
      <c r="B61">
        <f>IF(K61=0,"*",Def_Tech!C205)</f>
        <v/>
      </c>
      <c r="C61">
        <f>Def_Tech!D205</f>
        <v/>
      </c>
      <c r="D61">
        <f>_xlfn.XLOOKUP(C61,'COM RESID'!J:J,'COM RESID'!H:H)</f>
        <v/>
      </c>
      <c r="E61">
        <f>_xlfn.XLOOKUP(C61,'COM RESID'!J:J,'COM RESID'!I:I)</f>
        <v/>
      </c>
      <c r="F61" s="12">
        <f>_xlfn.XLOOKUP(C61,'COM RESID'!J:J,'COM RESID'!R:R)</f>
        <v/>
      </c>
      <c r="G61">
        <f>_xlfn.XLOOKUP(C61,'COM RESID'!J:J,'COM RESID'!W:W)</f>
        <v/>
      </c>
      <c r="H61" s="12">
        <f>_xlfn.XLOOKUP(C61,'COM RESID'!J:J,'COM RESID'!V:V)</f>
        <v/>
      </c>
      <c r="I61" s="12">
        <f>ROUNDUP(_xlfn.XLOOKUP(C61,'COM RESID'!J:J,'COM RESID'!S:S),0)</f>
        <v/>
      </c>
      <c r="J61" s="8">
        <f>_xlfn.XLOOKUP(C61,'COM RESID'!J:J,'COM RESID'!T:T)</f>
        <v/>
      </c>
      <c r="K61" s="13">
        <f>_xlfn.XLOOKUP(C61,'COM RESID'!J:J,'COM RESID'!P:P)</f>
        <v/>
      </c>
      <c r="L61" s="12">
        <f>_xlfn.XLOOKUP(C61,'COM RESID'!J:J,'COM RESID'!V:V)</f>
        <v/>
      </c>
    </row>
    <row r="62">
      <c r="B62">
        <f>IF(K62=0,"*",Def_Tech!C206)</f>
        <v/>
      </c>
      <c r="C62">
        <f>Def_Tech!D206</f>
        <v/>
      </c>
      <c r="D62">
        <f>_xlfn.XLOOKUP(C62,'COM RESID'!J:J,'COM RESID'!H:H)</f>
        <v/>
      </c>
      <c r="E62">
        <f>_xlfn.XLOOKUP(C62,'COM RESID'!J:J,'COM RESID'!I:I)</f>
        <v/>
      </c>
      <c r="F62" s="12">
        <f>_xlfn.XLOOKUP(C62,'COM RESID'!J:J,'COM RESID'!R:R)</f>
        <v/>
      </c>
      <c r="G62">
        <f>_xlfn.XLOOKUP(C62,'COM RESID'!J:J,'COM RESID'!W:W)</f>
        <v/>
      </c>
      <c r="H62" s="12">
        <f>_xlfn.XLOOKUP(C62,'COM RESID'!J:J,'COM RESID'!V:V)</f>
        <v/>
      </c>
      <c r="I62" s="12">
        <f>ROUNDUP(_xlfn.XLOOKUP(C62,'COM RESID'!J:J,'COM RESID'!S:S),0)</f>
        <v/>
      </c>
      <c r="J62" s="8">
        <f>_xlfn.XLOOKUP(C62,'COM RESID'!J:J,'COM RESID'!T:T)</f>
        <v/>
      </c>
      <c r="K62" s="13">
        <f>_xlfn.XLOOKUP(C62,'COM RESID'!J:J,'COM RESID'!P:P)</f>
        <v/>
      </c>
      <c r="L62" s="12">
        <f>_xlfn.XLOOKUP(C62,'COM RESID'!J:J,'COM RESID'!V:V)</f>
        <v/>
      </c>
    </row>
    <row r="63">
      <c r="B63">
        <f>IF(K63=0,"*",Def_Tech!C207)</f>
        <v/>
      </c>
      <c r="C63">
        <f>Def_Tech!D207</f>
        <v/>
      </c>
      <c r="D63">
        <f>_xlfn.XLOOKUP(C63,'COM RESID'!J:J,'COM RESID'!H:H)</f>
        <v/>
      </c>
      <c r="E63">
        <f>_xlfn.XLOOKUP(C63,'COM RESID'!J:J,'COM RESID'!I:I)</f>
        <v/>
      </c>
      <c r="F63" s="12">
        <f>_xlfn.XLOOKUP(C63,'COM RESID'!J:J,'COM RESID'!R:R)</f>
        <v/>
      </c>
      <c r="G63">
        <f>_xlfn.XLOOKUP(C63,'COM RESID'!J:J,'COM RESID'!W:W)</f>
        <v/>
      </c>
      <c r="H63" s="12">
        <f>_xlfn.XLOOKUP(C63,'COM RESID'!J:J,'COM RESID'!V:V)</f>
        <v/>
      </c>
      <c r="I63" s="12">
        <f>ROUNDUP(_xlfn.XLOOKUP(C63,'COM RESID'!J:J,'COM RESID'!S:S),0)</f>
        <v/>
      </c>
      <c r="J63" s="8">
        <f>_xlfn.XLOOKUP(C63,'COM RESID'!J:J,'COM RESID'!T:T)</f>
        <v/>
      </c>
      <c r="K63" s="13">
        <f>_xlfn.XLOOKUP(C63,'COM RESID'!J:J,'COM RESID'!P:P)</f>
        <v/>
      </c>
      <c r="L63" s="12">
        <f>_xlfn.XLOOKUP(C63,'COM RESID'!J:J,'COM RESID'!V:V)</f>
        <v/>
      </c>
    </row>
    <row r="64">
      <c r="B64">
        <f>IF(K64=0,"*",Def_Tech!C208)</f>
        <v/>
      </c>
      <c r="C64">
        <f>Def_Tech!D208</f>
        <v/>
      </c>
      <c r="D64">
        <f>_xlfn.XLOOKUP(C64,'COM RESID'!J:J,'COM RESID'!H:H)</f>
        <v/>
      </c>
      <c r="E64">
        <f>_xlfn.XLOOKUP(C64,'COM RESID'!J:J,'COM RESID'!I:I)</f>
        <v/>
      </c>
      <c r="F64" s="12">
        <f>_xlfn.XLOOKUP(C64,'COM RESID'!J:J,'COM RESID'!R:R)</f>
        <v/>
      </c>
      <c r="G64">
        <f>_xlfn.XLOOKUP(C64,'COM RESID'!J:J,'COM RESID'!W:W)</f>
        <v/>
      </c>
      <c r="H64" s="12">
        <f>_xlfn.XLOOKUP(C64,'COM RESID'!J:J,'COM RESID'!V:V)</f>
        <v/>
      </c>
      <c r="I64" s="12">
        <f>ROUNDUP(_xlfn.XLOOKUP(C64,'COM RESID'!J:J,'COM RESID'!S:S),0)</f>
        <v/>
      </c>
      <c r="J64" s="8">
        <f>_xlfn.XLOOKUP(C64,'COM RESID'!J:J,'COM RESID'!T:T)</f>
        <v/>
      </c>
      <c r="K64" s="13">
        <f>_xlfn.XLOOKUP(C64,'COM RESID'!J:J,'COM RESID'!P:P)</f>
        <v/>
      </c>
      <c r="L64" s="12">
        <f>_xlfn.XLOOKUP(C64,'COM RESID'!J:J,'COM RESID'!V:V)</f>
        <v/>
      </c>
    </row>
    <row r="65">
      <c r="B65">
        <f>IF(K65=0,"*",Def_Tech!C209)</f>
        <v/>
      </c>
      <c r="C65">
        <f>Def_Tech!D209</f>
        <v/>
      </c>
      <c r="D65">
        <f>_xlfn.XLOOKUP(C65,'COM RESID'!J:J,'COM RESID'!H:H)</f>
        <v/>
      </c>
      <c r="E65">
        <f>_xlfn.XLOOKUP(C65,'COM RESID'!J:J,'COM RESID'!I:I)</f>
        <v/>
      </c>
      <c r="F65" s="12">
        <f>_xlfn.XLOOKUP(C65,'COM RESID'!J:J,'COM RESID'!R:R)</f>
        <v/>
      </c>
      <c r="G65">
        <f>_xlfn.XLOOKUP(C65,'COM RESID'!J:J,'COM RESID'!W:W)</f>
        <v/>
      </c>
      <c r="H65" s="12">
        <f>_xlfn.XLOOKUP(C65,'COM RESID'!J:J,'COM RESID'!V:V)</f>
        <v/>
      </c>
      <c r="I65" s="12">
        <f>ROUNDUP(_xlfn.XLOOKUP(C65,'COM RESID'!J:J,'COM RESID'!S:S),0)</f>
        <v/>
      </c>
      <c r="J65" s="8">
        <f>_xlfn.XLOOKUP(C65,'COM RESID'!J:J,'COM RESID'!T:T)</f>
        <v/>
      </c>
      <c r="K65" s="13">
        <f>_xlfn.XLOOKUP(C65,'COM RESID'!J:J,'COM RESID'!P:P)</f>
        <v/>
      </c>
      <c r="L65" s="12">
        <f>_xlfn.XLOOKUP(C65,'COM RESID'!J:J,'COM RESID'!V:V)</f>
        <v/>
      </c>
    </row>
    <row r="66">
      <c r="B66">
        <f>IF(K66=0,"*",Def_Tech!C210)</f>
        <v/>
      </c>
      <c r="C66">
        <f>Def_Tech!D210</f>
        <v/>
      </c>
      <c r="D66">
        <f>_xlfn.XLOOKUP(C66,'COM RESID'!J:J,'COM RESID'!H:H)</f>
        <v/>
      </c>
      <c r="E66">
        <f>_xlfn.XLOOKUP(C66,'COM RESID'!J:J,'COM RESID'!I:I)</f>
        <v/>
      </c>
      <c r="F66" s="12">
        <f>_xlfn.XLOOKUP(C66,'COM RESID'!J:J,'COM RESID'!R:R)</f>
        <v/>
      </c>
      <c r="G66">
        <f>_xlfn.XLOOKUP(C66,'COM RESID'!J:J,'COM RESID'!W:W)</f>
        <v/>
      </c>
      <c r="H66" s="12">
        <f>_xlfn.XLOOKUP(C66,'COM RESID'!J:J,'COM RESID'!V:V)</f>
        <v/>
      </c>
      <c r="I66" s="12">
        <f>ROUNDUP(_xlfn.XLOOKUP(C66,'COM RESID'!J:J,'COM RESID'!S:S),0)</f>
        <v/>
      </c>
      <c r="J66" s="8">
        <f>_xlfn.XLOOKUP(C66,'COM RESID'!J:J,'COM RESID'!T:T)</f>
        <v/>
      </c>
      <c r="K66" s="13">
        <f>_xlfn.XLOOKUP(C66,'COM RESID'!J:J,'COM RESID'!P:P)</f>
        <v/>
      </c>
      <c r="L66" s="12">
        <f>_xlfn.XLOOKUP(C66,'COM RESID'!J:J,'COM RESID'!V:V)</f>
        <v/>
      </c>
    </row>
    <row r="67">
      <c r="B67">
        <f>IF(K67=0,"*",Def_Tech!C211)</f>
        <v/>
      </c>
      <c r="C67">
        <f>Def_Tech!D211</f>
        <v/>
      </c>
      <c r="D67">
        <f>_xlfn.XLOOKUP(C67,'COM RESID'!J:J,'COM RESID'!H:H)</f>
        <v/>
      </c>
      <c r="E67">
        <f>_xlfn.XLOOKUP(C67,'COM RESID'!J:J,'COM RESID'!I:I)</f>
        <v/>
      </c>
      <c r="F67" s="12">
        <f>_xlfn.XLOOKUP(C67,'COM RESID'!J:J,'COM RESID'!R:R)</f>
        <v/>
      </c>
      <c r="G67">
        <f>_xlfn.XLOOKUP(C67,'COM RESID'!J:J,'COM RESID'!W:W)</f>
        <v/>
      </c>
      <c r="H67" s="12">
        <f>_xlfn.XLOOKUP(C67,'COM RESID'!J:J,'COM RESID'!V:V)</f>
        <v/>
      </c>
      <c r="I67" s="12">
        <f>ROUNDUP(_xlfn.XLOOKUP(C67,'COM RESID'!J:J,'COM RESID'!S:S),0)</f>
        <v/>
      </c>
      <c r="J67" s="8">
        <f>_xlfn.XLOOKUP(C67,'COM RESID'!J:J,'COM RESID'!T:T)</f>
        <v/>
      </c>
      <c r="K67" s="13">
        <f>_xlfn.XLOOKUP(C67,'COM RESID'!J:J,'COM RESID'!P:P)</f>
        <v/>
      </c>
      <c r="L67" s="12">
        <f>_xlfn.XLOOKUP(C67,'COM RESID'!J:J,'COM RESID'!V:V)</f>
        <v/>
      </c>
    </row>
    <row r="68">
      <c r="B68">
        <f>IF(K68=0,"*",Def_Tech!C212)</f>
        <v/>
      </c>
      <c r="C68">
        <f>Def_Tech!D212</f>
        <v/>
      </c>
      <c r="D68">
        <f>_xlfn.XLOOKUP(C68,'COM RESID'!J:J,'COM RESID'!H:H)</f>
        <v/>
      </c>
      <c r="E68">
        <f>_xlfn.XLOOKUP(C68,'COM RESID'!J:J,'COM RESID'!I:I)</f>
        <v/>
      </c>
      <c r="F68" s="12">
        <f>_xlfn.XLOOKUP(C68,'COM RESID'!J:J,'COM RESID'!R:R)</f>
        <v/>
      </c>
      <c r="G68">
        <f>_xlfn.XLOOKUP(C68,'COM RESID'!J:J,'COM RESID'!W:W)</f>
        <v/>
      </c>
      <c r="H68" s="12">
        <f>_xlfn.XLOOKUP(C68,'COM RESID'!J:J,'COM RESID'!V:V)</f>
        <v/>
      </c>
      <c r="I68" s="12">
        <f>ROUNDUP(_xlfn.XLOOKUP(C68,'COM RESID'!J:J,'COM RESID'!S:S),0)</f>
        <v/>
      </c>
      <c r="J68" s="8">
        <f>_xlfn.XLOOKUP(C68,'COM RESID'!J:J,'COM RESID'!T:T)</f>
        <v/>
      </c>
      <c r="K68" s="13">
        <f>_xlfn.XLOOKUP(C68,'COM RESID'!J:J,'COM RESID'!P:P)</f>
        <v/>
      </c>
      <c r="L68" s="12">
        <f>_xlfn.XLOOKUP(C68,'COM RESID'!J:J,'COM RESID'!V:V)</f>
        <v/>
      </c>
    </row>
    <row r="69">
      <c r="B69">
        <f>IF(K69=0,"*",Def_Tech!C213)</f>
        <v/>
      </c>
      <c r="C69">
        <f>Def_Tech!D213</f>
        <v/>
      </c>
      <c r="D69">
        <f>_xlfn.XLOOKUP(C69,'COM RESID'!J:J,'COM RESID'!H:H)</f>
        <v/>
      </c>
      <c r="E69">
        <f>_xlfn.XLOOKUP(C69,'COM RESID'!J:J,'COM RESID'!I:I)</f>
        <v/>
      </c>
      <c r="F69" s="12">
        <f>_xlfn.XLOOKUP(C69,'COM RESID'!J:J,'COM RESID'!R:R)</f>
        <v/>
      </c>
      <c r="G69">
        <f>_xlfn.XLOOKUP(C69,'COM RESID'!J:J,'COM RESID'!W:W)</f>
        <v/>
      </c>
      <c r="H69" s="12">
        <f>_xlfn.XLOOKUP(C69,'COM RESID'!J:J,'COM RESID'!V:V)</f>
        <v/>
      </c>
      <c r="I69" s="12">
        <f>ROUNDUP(_xlfn.XLOOKUP(C69,'COM RESID'!J:J,'COM RESID'!S:S),0)</f>
        <v/>
      </c>
      <c r="J69" s="8">
        <f>_xlfn.XLOOKUP(C69,'COM RESID'!J:J,'COM RESID'!T:T)</f>
        <v/>
      </c>
      <c r="K69" s="13">
        <f>_xlfn.XLOOKUP(C69,'COM RESID'!J:J,'COM RESID'!P:P)</f>
        <v/>
      </c>
      <c r="L69" s="12">
        <f>_xlfn.XLOOKUP(C69,'COM RESID'!J:J,'COM RESID'!V:V)</f>
        <v/>
      </c>
    </row>
    <row r="70">
      <c r="B70">
        <f>IF(K70=0,"*",Def_Tech!C214)</f>
        <v/>
      </c>
      <c r="C70">
        <f>Def_Tech!D214</f>
        <v/>
      </c>
      <c r="D70">
        <f>_xlfn.XLOOKUP(C70,'COM RESID'!J:J,'COM RESID'!H:H)</f>
        <v/>
      </c>
      <c r="E70">
        <f>_xlfn.XLOOKUP(C70,'COM RESID'!J:J,'COM RESID'!I:I)</f>
        <v/>
      </c>
      <c r="F70" s="12">
        <f>_xlfn.XLOOKUP(C70,'COM RESID'!J:J,'COM RESID'!R:R)</f>
        <v/>
      </c>
      <c r="G70">
        <f>_xlfn.XLOOKUP(C70,'COM RESID'!J:J,'COM RESID'!W:W)</f>
        <v/>
      </c>
      <c r="H70" s="12">
        <f>_xlfn.XLOOKUP(C70,'COM RESID'!J:J,'COM RESID'!V:V)</f>
        <v/>
      </c>
      <c r="I70" s="12">
        <f>ROUNDUP(_xlfn.XLOOKUP(C70,'COM RESID'!J:J,'COM RESID'!S:S),0)</f>
        <v/>
      </c>
      <c r="J70" s="8">
        <f>_xlfn.XLOOKUP(C70,'COM RESID'!J:J,'COM RESID'!T:T)</f>
        <v/>
      </c>
      <c r="K70" s="13">
        <f>_xlfn.XLOOKUP(C70,'COM RESID'!J:J,'COM RESID'!P:P)</f>
        <v/>
      </c>
      <c r="L70" s="12">
        <f>_xlfn.XLOOKUP(C70,'COM RESID'!J:J,'COM RESID'!V:V)</f>
        <v/>
      </c>
    </row>
    <row r="71">
      <c r="B71">
        <f>IF(K71=0,"*",Def_Tech!C215)</f>
        <v/>
      </c>
      <c r="C71">
        <f>Def_Tech!D215</f>
        <v/>
      </c>
      <c r="D71">
        <f>_xlfn.XLOOKUP(C71,'COM RESID'!J:J,'COM RESID'!H:H)</f>
        <v/>
      </c>
      <c r="E71">
        <f>_xlfn.XLOOKUP(C71,'COM RESID'!J:J,'COM RESID'!I:I)</f>
        <v/>
      </c>
      <c r="F71" s="12">
        <f>_xlfn.XLOOKUP(C71,'COM RESID'!J:J,'COM RESID'!R:R)</f>
        <v/>
      </c>
      <c r="G71">
        <f>_xlfn.XLOOKUP(C71,'COM RESID'!J:J,'COM RESID'!W:W)</f>
        <v/>
      </c>
      <c r="H71" s="12">
        <f>_xlfn.XLOOKUP(C71,'COM RESID'!J:J,'COM RESID'!V:V)</f>
        <v/>
      </c>
      <c r="I71" s="12">
        <f>ROUNDUP(_xlfn.XLOOKUP(C71,'COM RESID'!J:J,'COM RESID'!S:S),0)</f>
        <v/>
      </c>
      <c r="J71" s="8">
        <f>_xlfn.XLOOKUP(C71,'COM RESID'!J:J,'COM RESID'!T:T)</f>
        <v/>
      </c>
      <c r="K71" s="13">
        <f>_xlfn.XLOOKUP(C71,'COM RESID'!J:J,'COM RESID'!P:P)</f>
        <v/>
      </c>
      <c r="L71" s="12">
        <f>_xlfn.XLOOKUP(C71,'COM RESID'!J:J,'COM RESID'!V:V)</f>
        <v/>
      </c>
    </row>
    <row r="72">
      <c r="B72">
        <f>IF(K72=0,"*",Def_Tech!C216)</f>
        <v/>
      </c>
      <c r="C72">
        <f>Def_Tech!D216</f>
        <v/>
      </c>
      <c r="D72">
        <f>_xlfn.XLOOKUP(C72,'COM RESID'!J:J,'COM RESID'!H:H)</f>
        <v/>
      </c>
      <c r="E72">
        <f>_xlfn.XLOOKUP(C72,'COM RESID'!J:J,'COM RESID'!I:I)</f>
        <v/>
      </c>
      <c r="F72" s="12">
        <f>_xlfn.XLOOKUP(C72,'COM RESID'!J:J,'COM RESID'!R:R)</f>
        <v/>
      </c>
      <c r="G72">
        <f>_xlfn.XLOOKUP(C72,'COM RESID'!J:J,'COM RESID'!W:W)</f>
        <v/>
      </c>
      <c r="H72" s="12">
        <f>_xlfn.XLOOKUP(C72,'COM RESID'!J:J,'COM RESID'!V:V)</f>
        <v/>
      </c>
      <c r="I72" s="12">
        <f>ROUNDUP(_xlfn.XLOOKUP(C72,'COM RESID'!J:J,'COM RESID'!S:S),0)</f>
        <v/>
      </c>
      <c r="J72" s="8">
        <f>_xlfn.XLOOKUP(C72,'COM RESID'!J:J,'COM RESID'!T:T)</f>
        <v/>
      </c>
      <c r="K72" s="13">
        <f>_xlfn.XLOOKUP(C72,'COM RESID'!J:J,'COM RESID'!P:P)</f>
        <v/>
      </c>
      <c r="L72" s="12">
        <f>_xlfn.XLOOKUP(C72,'COM RESID'!J:J,'COM RESID'!V:V)</f>
        <v/>
      </c>
    </row>
    <row r="73">
      <c r="B73">
        <f>IF(K73=0,"*",Def_Tech!C217)</f>
        <v/>
      </c>
      <c r="C73">
        <f>Def_Tech!D217</f>
        <v/>
      </c>
      <c r="D73">
        <f>_xlfn.XLOOKUP(C73,'COM RESID'!J:J,'COM RESID'!H:H)</f>
        <v/>
      </c>
      <c r="E73">
        <f>_xlfn.XLOOKUP(C73,'COM RESID'!J:J,'COM RESID'!I:I)</f>
        <v/>
      </c>
      <c r="F73" s="12">
        <f>_xlfn.XLOOKUP(C73,'COM RESID'!J:J,'COM RESID'!R:R)</f>
        <v/>
      </c>
      <c r="G73">
        <f>_xlfn.XLOOKUP(C73,'COM RESID'!J:J,'COM RESID'!W:W)</f>
        <v/>
      </c>
      <c r="H73" s="12">
        <f>_xlfn.XLOOKUP(C73,'COM RESID'!J:J,'COM RESID'!V:V)</f>
        <v/>
      </c>
      <c r="I73" s="12">
        <f>ROUNDUP(_xlfn.XLOOKUP(C73,'COM RESID'!J:J,'COM RESID'!S:S),0)</f>
        <v/>
      </c>
      <c r="J73" s="8">
        <f>_xlfn.XLOOKUP(C73,'COM RESID'!J:J,'COM RESID'!T:T)</f>
        <v/>
      </c>
      <c r="K73" s="13">
        <f>_xlfn.XLOOKUP(C73,'COM RESID'!J:J,'COM RESID'!P:P)</f>
        <v/>
      </c>
      <c r="L73" s="12">
        <f>_xlfn.XLOOKUP(C73,'COM RESID'!J:J,'COM RESID'!V:V)</f>
        <v/>
      </c>
    </row>
    <row r="74">
      <c r="B74">
        <f>IF(K74=0,"*",Def_Tech!C218)</f>
        <v/>
      </c>
      <c r="C74">
        <f>Def_Tech!D218</f>
        <v/>
      </c>
      <c r="D74">
        <f>_xlfn.XLOOKUP(C74,'COM RESID'!J:J,'COM RESID'!H:H)</f>
        <v/>
      </c>
      <c r="E74">
        <f>_xlfn.XLOOKUP(C74,'COM RESID'!J:J,'COM RESID'!I:I)</f>
        <v/>
      </c>
      <c r="F74" s="12">
        <f>_xlfn.XLOOKUP(C74,'COM RESID'!J:J,'COM RESID'!R:R)</f>
        <v/>
      </c>
      <c r="G74">
        <f>_xlfn.XLOOKUP(C74,'COM RESID'!J:J,'COM RESID'!W:W)</f>
        <v/>
      </c>
      <c r="H74" s="12">
        <f>_xlfn.XLOOKUP(C74,'COM RESID'!J:J,'COM RESID'!V:V)</f>
        <v/>
      </c>
      <c r="I74" s="12">
        <f>ROUNDUP(_xlfn.XLOOKUP(C74,'COM RESID'!J:J,'COM RESID'!S:S),0)</f>
        <v/>
      </c>
      <c r="J74" s="8">
        <f>_xlfn.XLOOKUP(C74,'COM RESID'!J:J,'COM RESID'!T:T)</f>
        <v/>
      </c>
      <c r="K74" s="13">
        <f>_xlfn.XLOOKUP(C74,'COM RESID'!J:J,'COM RESID'!P:P)</f>
        <v/>
      </c>
      <c r="L74" s="12">
        <f>_xlfn.XLOOKUP(C74,'COM RESID'!J:J,'COM RESID'!V:V)</f>
        <v/>
      </c>
    </row>
    <row r="75">
      <c r="B75">
        <f>IF(K75=0,"*",Def_Tech!C219)</f>
        <v/>
      </c>
      <c r="C75">
        <f>Def_Tech!D219</f>
        <v/>
      </c>
      <c r="D75">
        <f>_xlfn.XLOOKUP(C75,'COM RESID'!J:J,'COM RESID'!H:H)</f>
        <v/>
      </c>
      <c r="E75">
        <f>_xlfn.XLOOKUP(C75,'COM RESID'!J:J,'COM RESID'!I:I)</f>
        <v/>
      </c>
      <c r="F75" s="12">
        <f>_xlfn.XLOOKUP(C75,'COM RESID'!J:J,'COM RESID'!R:R)</f>
        <v/>
      </c>
      <c r="G75">
        <f>_xlfn.XLOOKUP(C75,'COM RESID'!J:J,'COM RESID'!W:W)</f>
        <v/>
      </c>
      <c r="H75" s="12">
        <f>_xlfn.XLOOKUP(C75,'COM RESID'!J:J,'COM RESID'!V:V)</f>
        <v/>
      </c>
      <c r="I75" s="12">
        <f>ROUNDUP(_xlfn.XLOOKUP(C75,'COM RESID'!J:J,'COM RESID'!S:S),0)</f>
        <v/>
      </c>
      <c r="J75" s="8">
        <f>_xlfn.XLOOKUP(C75,'COM RESID'!J:J,'COM RESID'!T:T)</f>
        <v/>
      </c>
      <c r="K75" s="13">
        <f>_xlfn.XLOOKUP(C75,'COM RESID'!J:J,'COM RESID'!P:P)</f>
        <v/>
      </c>
      <c r="L75" s="12">
        <f>_xlfn.XLOOKUP(C75,'COM RESID'!J:J,'COM RESID'!V:V)</f>
        <v/>
      </c>
    </row>
    <row r="76">
      <c r="B76">
        <f>IF(K76=0,"*",Def_Tech!C220)</f>
        <v/>
      </c>
      <c r="C76">
        <f>Def_Tech!D220</f>
        <v/>
      </c>
      <c r="D76">
        <f>_xlfn.XLOOKUP(C76,'COM RESID'!J:J,'COM RESID'!H:H)</f>
        <v/>
      </c>
      <c r="E76">
        <f>_xlfn.XLOOKUP(C76,'COM RESID'!J:J,'COM RESID'!I:I)</f>
        <v/>
      </c>
      <c r="F76" s="12">
        <f>_xlfn.XLOOKUP(C76,'COM RESID'!J:J,'COM RESID'!R:R)</f>
        <v/>
      </c>
      <c r="G76">
        <f>_xlfn.XLOOKUP(C76,'COM RESID'!J:J,'COM RESID'!W:W)</f>
        <v/>
      </c>
      <c r="H76" s="12">
        <f>_xlfn.XLOOKUP(C76,'COM RESID'!J:J,'COM RESID'!V:V)</f>
        <v/>
      </c>
      <c r="I76" s="12">
        <f>ROUNDUP(_xlfn.XLOOKUP(C76,'COM RESID'!J:J,'COM RESID'!S:S),0)</f>
        <v/>
      </c>
      <c r="J76" s="8">
        <f>_xlfn.XLOOKUP(C76,'COM RESID'!J:J,'COM RESID'!T:T)</f>
        <v/>
      </c>
      <c r="K76" s="13">
        <f>_xlfn.XLOOKUP(C76,'COM RESID'!J:J,'COM RESID'!P:P)</f>
        <v/>
      </c>
      <c r="L76" s="12">
        <f>_xlfn.XLOOKUP(C76,'COM RESID'!J:J,'COM RESID'!V:V)</f>
        <v/>
      </c>
    </row>
    <row r="77">
      <c r="B77">
        <f>IF(K77=0,"*",Def_Tech!C221)</f>
        <v/>
      </c>
      <c r="C77">
        <f>Def_Tech!D221</f>
        <v/>
      </c>
      <c r="D77">
        <f>_xlfn.XLOOKUP(C77,'COM RESID'!J:J,'COM RESID'!H:H)</f>
        <v/>
      </c>
      <c r="E77">
        <f>_xlfn.XLOOKUP(C77,'COM RESID'!J:J,'COM RESID'!I:I)</f>
        <v/>
      </c>
      <c r="F77" s="12">
        <f>_xlfn.XLOOKUP(C77,'COM RESID'!J:J,'COM RESID'!R:R)</f>
        <v/>
      </c>
      <c r="G77">
        <f>_xlfn.XLOOKUP(C77,'COM RESID'!J:J,'COM RESID'!W:W)</f>
        <v/>
      </c>
      <c r="H77" s="12">
        <f>_xlfn.XLOOKUP(C77,'COM RESID'!J:J,'COM RESID'!V:V)</f>
        <v/>
      </c>
      <c r="I77" s="12">
        <f>ROUNDUP(_xlfn.XLOOKUP(C77,'COM RESID'!J:J,'COM RESID'!S:S),0)</f>
        <v/>
      </c>
      <c r="J77" s="8">
        <f>_xlfn.XLOOKUP(C77,'COM RESID'!J:J,'COM RESID'!T:T)</f>
        <v/>
      </c>
      <c r="K77" s="13">
        <f>_xlfn.XLOOKUP(C77,'COM RESID'!J:J,'COM RESID'!P:P)</f>
        <v/>
      </c>
      <c r="L77" s="12">
        <f>_xlfn.XLOOKUP(C77,'COM RESID'!J:J,'COM RESID'!V:V)</f>
        <v/>
      </c>
    </row>
    <row r="78">
      <c r="B78">
        <f>IF(K78=0,"*",Def_Tech!C222)</f>
        <v/>
      </c>
      <c r="C78">
        <f>Def_Tech!D222</f>
        <v/>
      </c>
      <c r="D78">
        <f>_xlfn.XLOOKUP(C78,'COM RESID'!J:J,'COM RESID'!H:H)</f>
        <v/>
      </c>
      <c r="E78">
        <f>_xlfn.XLOOKUP(C78,'COM RESID'!J:J,'COM RESID'!I:I)</f>
        <v/>
      </c>
      <c r="F78" s="12">
        <f>_xlfn.XLOOKUP(C78,'COM RESID'!J:J,'COM RESID'!R:R)</f>
        <v/>
      </c>
      <c r="G78">
        <f>_xlfn.XLOOKUP(C78,'COM RESID'!J:J,'COM RESID'!W:W)</f>
        <v/>
      </c>
      <c r="H78" s="12">
        <f>_xlfn.XLOOKUP(C78,'COM RESID'!J:J,'COM RESID'!V:V)</f>
        <v/>
      </c>
      <c r="I78" s="12">
        <f>ROUNDUP(_xlfn.XLOOKUP(C78,'COM RESID'!J:J,'COM RESID'!S:S),0)</f>
        <v/>
      </c>
      <c r="J78" s="8">
        <f>_xlfn.XLOOKUP(C78,'COM RESID'!J:J,'COM RESID'!T:T)</f>
        <v/>
      </c>
      <c r="K78" s="13">
        <f>_xlfn.XLOOKUP(C78,'COM RESID'!J:J,'COM RESID'!P:P)</f>
        <v/>
      </c>
      <c r="L78" s="12">
        <f>_xlfn.XLOOKUP(C78,'COM RESID'!J:J,'COM RESID'!V:V)</f>
        <v/>
      </c>
    </row>
    <row r="79">
      <c r="B79">
        <f>IF(K79=0,"*",Def_Tech!C223)</f>
        <v/>
      </c>
      <c r="C79">
        <f>Def_Tech!D223</f>
        <v/>
      </c>
      <c r="D79">
        <f>_xlfn.XLOOKUP(C79,'COM RESID'!J:J,'COM RESID'!H:H)</f>
        <v/>
      </c>
      <c r="E79">
        <f>_xlfn.XLOOKUP(C79,'COM RESID'!J:J,'COM RESID'!I:I)</f>
        <v/>
      </c>
      <c r="F79" s="12">
        <f>_xlfn.XLOOKUP(C79,'COM RESID'!J:J,'COM RESID'!R:R)</f>
        <v/>
      </c>
      <c r="G79">
        <f>_xlfn.XLOOKUP(C79,'COM RESID'!J:J,'COM RESID'!W:W)</f>
        <v/>
      </c>
      <c r="H79" s="12">
        <f>_xlfn.XLOOKUP(C79,'COM RESID'!J:J,'COM RESID'!V:V)</f>
        <v/>
      </c>
      <c r="I79" s="12">
        <f>ROUNDUP(_xlfn.XLOOKUP(C79,'COM RESID'!J:J,'COM RESID'!S:S),0)</f>
        <v/>
      </c>
      <c r="J79" s="8">
        <f>_xlfn.XLOOKUP(C79,'COM RESID'!J:J,'COM RESID'!T:T)</f>
        <v/>
      </c>
      <c r="K79" s="13">
        <f>_xlfn.XLOOKUP(C79,'COM RESID'!J:J,'COM RESID'!P:P)</f>
        <v/>
      </c>
      <c r="L79" s="12">
        <f>_xlfn.XLOOKUP(C79,'COM RESID'!J:J,'COM RESID'!V:V)</f>
        <v/>
      </c>
    </row>
    <row r="80">
      <c r="B80">
        <f>IF(K80=0,"*",Def_Tech!C224)</f>
        <v/>
      </c>
      <c r="C80">
        <f>Def_Tech!D224</f>
        <v/>
      </c>
      <c r="D80">
        <f>_xlfn.XLOOKUP(C80,'COM RESID'!J:J,'COM RESID'!H:H)</f>
        <v/>
      </c>
      <c r="E80">
        <f>_xlfn.XLOOKUP(C80,'COM RESID'!J:J,'COM RESID'!I:I)</f>
        <v/>
      </c>
      <c r="F80" s="12">
        <f>_xlfn.XLOOKUP(C80,'COM RESID'!J:J,'COM RESID'!R:R)</f>
        <v/>
      </c>
      <c r="G80">
        <f>_xlfn.XLOOKUP(C80,'COM RESID'!J:J,'COM RESID'!W:W)</f>
        <v/>
      </c>
      <c r="H80" s="12">
        <f>_xlfn.XLOOKUP(C80,'COM RESID'!J:J,'COM RESID'!V:V)</f>
        <v/>
      </c>
      <c r="I80" s="12">
        <f>ROUNDUP(_xlfn.XLOOKUP(C80,'COM RESID'!J:J,'COM RESID'!S:S),0)</f>
        <v/>
      </c>
      <c r="J80" s="8">
        <f>_xlfn.XLOOKUP(C80,'COM RESID'!J:J,'COM RESID'!T:T)</f>
        <v/>
      </c>
      <c r="K80" s="13">
        <f>_xlfn.XLOOKUP(C80,'COM RESID'!J:J,'COM RESID'!P:P)</f>
        <v/>
      </c>
      <c r="L80" s="12">
        <f>_xlfn.XLOOKUP(C80,'COM RESID'!J:J,'COM RESID'!V:V)</f>
        <v/>
      </c>
    </row>
    <row r="81">
      <c r="B81">
        <f>IF(K81=0,"*",Def_Tech!C225)</f>
        <v/>
      </c>
      <c r="C81">
        <f>Def_Tech!D225</f>
        <v/>
      </c>
      <c r="D81">
        <f>_xlfn.XLOOKUP(C81,'COM RESID'!J:J,'COM RESID'!H:H)</f>
        <v/>
      </c>
      <c r="E81">
        <f>_xlfn.XLOOKUP(C81,'COM RESID'!J:J,'COM RESID'!I:I)</f>
        <v/>
      </c>
      <c r="F81" s="12">
        <f>_xlfn.XLOOKUP(C81,'COM RESID'!J:J,'COM RESID'!R:R)</f>
        <v/>
      </c>
      <c r="G81">
        <f>_xlfn.XLOOKUP(C81,'COM RESID'!J:J,'COM RESID'!W:W)</f>
        <v/>
      </c>
      <c r="H81" s="12">
        <f>_xlfn.XLOOKUP(C81,'COM RESID'!J:J,'COM RESID'!V:V)</f>
        <v/>
      </c>
      <c r="I81" s="12">
        <f>ROUNDUP(_xlfn.XLOOKUP(C81,'COM RESID'!J:J,'COM RESID'!S:S),0)</f>
        <v/>
      </c>
      <c r="J81" s="8">
        <f>_xlfn.XLOOKUP(C81,'COM RESID'!J:J,'COM RESID'!T:T)</f>
        <v/>
      </c>
      <c r="K81" s="13">
        <f>_xlfn.XLOOKUP(C81,'COM RESID'!J:J,'COM RESID'!P:P)</f>
        <v/>
      </c>
      <c r="L81" s="12">
        <f>_xlfn.XLOOKUP(C81,'COM RESID'!J:J,'COM RESID'!V:V)</f>
        <v/>
      </c>
    </row>
    <row r="82">
      <c r="B82">
        <f>IF(K82=0,"*",Def_Tech!C226)</f>
        <v/>
      </c>
      <c r="C82">
        <f>Def_Tech!D226</f>
        <v/>
      </c>
      <c r="D82">
        <f>_xlfn.XLOOKUP(C82,'COM RESID'!J:J,'COM RESID'!H:H)</f>
        <v/>
      </c>
      <c r="E82">
        <f>_xlfn.XLOOKUP(C82,'COM RESID'!J:J,'COM RESID'!I:I)</f>
        <v/>
      </c>
      <c r="F82" s="12">
        <f>_xlfn.XLOOKUP(C82,'COM RESID'!J:J,'COM RESID'!R:R)</f>
        <v/>
      </c>
      <c r="G82">
        <f>_xlfn.XLOOKUP(C82,'COM RESID'!J:J,'COM RESID'!W:W)</f>
        <v/>
      </c>
      <c r="H82" s="12">
        <f>_xlfn.XLOOKUP(C82,'COM RESID'!J:J,'COM RESID'!V:V)</f>
        <v/>
      </c>
      <c r="I82" s="12">
        <f>ROUNDUP(_xlfn.XLOOKUP(C82,'COM RESID'!J:J,'COM RESID'!S:S),0)</f>
        <v/>
      </c>
      <c r="J82" s="8">
        <f>_xlfn.XLOOKUP(C82,'COM RESID'!J:J,'COM RESID'!T:T)</f>
        <v/>
      </c>
      <c r="K82" s="13">
        <f>_xlfn.XLOOKUP(C82,'COM RESID'!J:J,'COM RESID'!P:P)</f>
        <v/>
      </c>
      <c r="L82" s="12">
        <f>_xlfn.XLOOKUP(C82,'COM RESID'!J:J,'COM RESID'!V:V)</f>
        <v/>
      </c>
    </row>
    <row r="83">
      <c r="B83">
        <f>IF(K83=0,"*",Def_Tech!C227)</f>
        <v/>
      </c>
      <c r="C83">
        <f>Def_Tech!D227</f>
        <v/>
      </c>
      <c r="D83">
        <f>_xlfn.XLOOKUP(C83,'COM RESID'!J:J,'COM RESID'!H:H)</f>
        <v/>
      </c>
      <c r="E83">
        <f>_xlfn.XLOOKUP(C83,'COM RESID'!J:J,'COM RESID'!I:I)</f>
        <v/>
      </c>
      <c r="F83" s="12">
        <f>_xlfn.XLOOKUP(C83,'COM RESID'!J:J,'COM RESID'!R:R)</f>
        <v/>
      </c>
      <c r="G83">
        <f>_xlfn.XLOOKUP(C83,'COM RESID'!J:J,'COM RESID'!W:W)</f>
        <v/>
      </c>
      <c r="H83" s="12">
        <f>_xlfn.XLOOKUP(C83,'COM RESID'!J:J,'COM RESID'!V:V)</f>
        <v/>
      </c>
      <c r="I83" s="12">
        <f>ROUNDUP(_xlfn.XLOOKUP(C83,'COM RESID'!J:J,'COM RESID'!S:S),0)</f>
        <v/>
      </c>
      <c r="J83" s="8">
        <f>_xlfn.XLOOKUP(C83,'COM RESID'!J:J,'COM RESID'!T:T)</f>
        <v/>
      </c>
      <c r="K83" s="13">
        <f>_xlfn.XLOOKUP(C83,'COM RESID'!J:J,'COM RESID'!P:P)</f>
        <v/>
      </c>
      <c r="L83" s="12">
        <f>_xlfn.XLOOKUP(C83,'COM RESID'!J:J,'COM RESID'!V:V)</f>
        <v/>
      </c>
    </row>
    <row r="84">
      <c r="B84">
        <f>IF(K84=0,"*",Def_Tech!C228)</f>
        <v/>
      </c>
      <c r="C84">
        <f>Def_Tech!D228</f>
        <v/>
      </c>
      <c r="D84">
        <f>_xlfn.XLOOKUP(C84,'COM RESID'!J:J,'COM RESID'!H:H)</f>
        <v/>
      </c>
      <c r="E84">
        <f>_xlfn.XLOOKUP(C84,'COM RESID'!J:J,'COM RESID'!I:I)</f>
        <v/>
      </c>
      <c r="F84" s="12">
        <f>_xlfn.XLOOKUP(C84,'COM RESID'!J:J,'COM RESID'!R:R)</f>
        <v/>
      </c>
      <c r="G84">
        <f>_xlfn.XLOOKUP(C84,'COM RESID'!J:J,'COM RESID'!W:W)</f>
        <v/>
      </c>
      <c r="H84" s="12">
        <f>_xlfn.XLOOKUP(C84,'COM RESID'!J:J,'COM RESID'!V:V)</f>
        <v/>
      </c>
      <c r="I84" s="12">
        <f>ROUNDUP(_xlfn.XLOOKUP(C84,'COM RESID'!J:J,'COM RESID'!S:S),0)</f>
        <v/>
      </c>
      <c r="J84" s="8">
        <f>_xlfn.XLOOKUP(C84,'COM RESID'!J:J,'COM RESID'!T:T)</f>
        <v/>
      </c>
      <c r="K84" s="13">
        <f>_xlfn.XLOOKUP(C84,'COM RESID'!J:J,'COM RESID'!P:P)</f>
        <v/>
      </c>
      <c r="L84" s="12">
        <f>_xlfn.XLOOKUP(C84,'COM RESID'!J:J,'COM RESID'!V:V)</f>
        <v/>
      </c>
    </row>
    <row r="85">
      <c r="B85">
        <f>IF(K85=0,"*",Def_Tech!C229)</f>
        <v/>
      </c>
      <c r="C85">
        <f>Def_Tech!D229</f>
        <v/>
      </c>
      <c r="D85">
        <f>_xlfn.XLOOKUP(C85,'COM RESID'!J:J,'COM RESID'!H:H)</f>
        <v/>
      </c>
      <c r="E85">
        <f>_xlfn.XLOOKUP(C85,'COM RESID'!J:J,'COM RESID'!I:I)</f>
        <v/>
      </c>
      <c r="F85" s="12">
        <f>_xlfn.XLOOKUP(C85,'COM RESID'!J:J,'COM RESID'!R:R)</f>
        <v/>
      </c>
      <c r="G85">
        <f>_xlfn.XLOOKUP(C85,'COM RESID'!J:J,'COM RESID'!W:W)</f>
        <v/>
      </c>
      <c r="H85" s="12">
        <f>_xlfn.XLOOKUP(C85,'COM RESID'!J:J,'COM RESID'!V:V)</f>
        <v/>
      </c>
      <c r="I85" s="12">
        <f>ROUNDUP(_xlfn.XLOOKUP(C85,'COM RESID'!J:J,'COM RESID'!S:S),0)</f>
        <v/>
      </c>
      <c r="J85" s="8">
        <f>_xlfn.XLOOKUP(C85,'COM RESID'!J:J,'COM RESID'!T:T)</f>
        <v/>
      </c>
      <c r="K85" s="13">
        <f>_xlfn.XLOOKUP(C85,'COM RESID'!J:J,'COM RESID'!P:P)</f>
        <v/>
      </c>
      <c r="L85" s="12">
        <f>_xlfn.XLOOKUP(C85,'COM RESID'!J:J,'COM RESID'!V:V)</f>
        <v/>
      </c>
    </row>
    <row r="86">
      <c r="B86">
        <f>IF(K86=0,"*",Def_Tech!C230)</f>
        <v/>
      </c>
      <c r="C86">
        <f>Def_Tech!D230</f>
        <v/>
      </c>
      <c r="D86">
        <f>_xlfn.XLOOKUP(C86,'COM RESID'!J:J,'COM RESID'!H:H)</f>
        <v/>
      </c>
      <c r="E86">
        <f>_xlfn.XLOOKUP(C86,'COM RESID'!J:J,'COM RESID'!I:I)</f>
        <v/>
      </c>
      <c r="F86" s="12">
        <f>_xlfn.XLOOKUP(C86,'COM RESID'!J:J,'COM RESID'!R:R)</f>
        <v/>
      </c>
      <c r="G86">
        <f>_xlfn.XLOOKUP(C86,'COM RESID'!J:J,'COM RESID'!W:W)</f>
        <v/>
      </c>
      <c r="H86" s="12">
        <f>_xlfn.XLOOKUP(C86,'COM RESID'!J:J,'COM RESID'!V:V)</f>
        <v/>
      </c>
      <c r="I86" s="12">
        <f>ROUNDUP(_xlfn.XLOOKUP(C86,'COM RESID'!J:J,'COM RESID'!S:S),0)</f>
        <v/>
      </c>
      <c r="J86" s="8">
        <f>_xlfn.XLOOKUP(C86,'COM RESID'!J:J,'COM RESID'!T:T)</f>
        <v/>
      </c>
      <c r="K86" s="13">
        <f>_xlfn.XLOOKUP(C86,'COM RESID'!J:J,'COM RESID'!P:P)</f>
        <v/>
      </c>
      <c r="L86" s="12">
        <f>_xlfn.XLOOKUP(C86,'COM RESID'!J:J,'COM RESID'!V:V)</f>
        <v/>
      </c>
    </row>
    <row r="87">
      <c r="B87">
        <f>IF(K87=0,"*",Def_Tech!C231)</f>
        <v/>
      </c>
      <c r="C87">
        <f>Def_Tech!D231</f>
        <v/>
      </c>
      <c r="D87">
        <f>_xlfn.XLOOKUP(C87,'COM RESID'!J:J,'COM RESID'!H:H)</f>
        <v/>
      </c>
      <c r="E87">
        <f>_xlfn.XLOOKUP(C87,'COM RESID'!J:J,'COM RESID'!I:I)</f>
        <v/>
      </c>
      <c r="F87" s="12">
        <f>_xlfn.XLOOKUP(C87,'COM RESID'!J:J,'COM RESID'!R:R)</f>
        <v/>
      </c>
      <c r="G87">
        <f>_xlfn.XLOOKUP(C87,'COM RESID'!J:J,'COM RESID'!W:W)</f>
        <v/>
      </c>
      <c r="H87" s="12">
        <f>_xlfn.XLOOKUP(C87,'COM RESID'!J:J,'COM RESID'!V:V)</f>
        <v/>
      </c>
      <c r="I87" s="12">
        <f>ROUNDUP(_xlfn.XLOOKUP(C87,'COM RESID'!J:J,'COM RESID'!S:S),0)</f>
        <v/>
      </c>
      <c r="J87" s="8">
        <f>_xlfn.XLOOKUP(C87,'COM RESID'!J:J,'COM RESID'!T:T)</f>
        <v/>
      </c>
      <c r="K87" s="13">
        <f>_xlfn.XLOOKUP(C87,'COM RESID'!J:J,'COM RESID'!P:P)</f>
        <v/>
      </c>
      <c r="L87" s="12">
        <f>_xlfn.XLOOKUP(C87,'COM RESID'!J:J,'COM RESID'!V:V)</f>
        <v/>
      </c>
    </row>
    <row r="88">
      <c r="B88">
        <f>IF(K88=0,"*",Def_Tech!C232)</f>
        <v/>
      </c>
      <c r="C88">
        <f>Def_Tech!D232</f>
        <v/>
      </c>
      <c r="D88">
        <f>_xlfn.XLOOKUP(C88,'COM RESID'!J:J,'COM RESID'!H:H)</f>
        <v/>
      </c>
      <c r="E88">
        <f>_xlfn.XLOOKUP(C88,'COM RESID'!J:J,'COM RESID'!I:I)</f>
        <v/>
      </c>
      <c r="F88" s="12">
        <f>_xlfn.XLOOKUP(C88,'COM RESID'!J:J,'COM RESID'!R:R)</f>
        <v/>
      </c>
      <c r="G88">
        <f>_xlfn.XLOOKUP(C88,'COM RESID'!J:J,'COM RESID'!W:W)</f>
        <v/>
      </c>
      <c r="H88" s="12">
        <f>_xlfn.XLOOKUP(C88,'COM RESID'!J:J,'COM RESID'!V:V)</f>
        <v/>
      </c>
      <c r="I88" s="12">
        <f>ROUNDUP(_xlfn.XLOOKUP(C88,'COM RESID'!J:J,'COM RESID'!S:S),0)</f>
        <v/>
      </c>
      <c r="J88" s="8">
        <f>_xlfn.XLOOKUP(C88,'COM RESID'!J:J,'COM RESID'!T:T)</f>
        <v/>
      </c>
      <c r="K88" s="13">
        <f>_xlfn.XLOOKUP(C88,'COM RESID'!J:J,'COM RESID'!P:P)</f>
        <v/>
      </c>
      <c r="L88" s="12">
        <f>_xlfn.XLOOKUP(C88,'COM RESID'!J:J,'COM RESID'!V:V)</f>
        <v/>
      </c>
    </row>
    <row r="89">
      <c r="B89">
        <f>IF(K89=0,"*",Def_Tech!C233)</f>
        <v/>
      </c>
      <c r="C89">
        <f>Def_Tech!D233</f>
        <v/>
      </c>
      <c r="D89">
        <f>_xlfn.XLOOKUP(C89,'COM RESID'!J:J,'COM RESID'!H:H)</f>
        <v/>
      </c>
      <c r="E89">
        <f>_xlfn.XLOOKUP(C89,'COM RESID'!J:J,'COM RESID'!I:I)</f>
        <v/>
      </c>
      <c r="F89" s="12">
        <f>_xlfn.XLOOKUP(C89,'COM RESID'!J:J,'COM RESID'!R:R)</f>
        <v/>
      </c>
      <c r="G89">
        <f>_xlfn.XLOOKUP(C89,'COM RESID'!J:J,'COM RESID'!W:W)</f>
        <v/>
      </c>
      <c r="H89" s="12">
        <f>_xlfn.XLOOKUP(C89,'COM RESID'!J:J,'COM RESID'!V:V)</f>
        <v/>
      </c>
      <c r="I89" s="12">
        <f>ROUNDUP(_xlfn.XLOOKUP(C89,'COM RESID'!J:J,'COM RESID'!S:S),0)</f>
        <v/>
      </c>
      <c r="J89" s="8">
        <f>_xlfn.XLOOKUP(C89,'COM RESID'!J:J,'COM RESID'!T:T)</f>
        <v/>
      </c>
      <c r="K89" s="13">
        <f>_xlfn.XLOOKUP(C89,'COM RESID'!J:J,'COM RESID'!P:P)</f>
        <v/>
      </c>
      <c r="L89" s="12">
        <f>_xlfn.XLOOKUP(C89,'COM RESID'!J:J,'COM RESID'!V:V)</f>
        <v/>
      </c>
    </row>
    <row r="90">
      <c r="B90">
        <f>IF(K90=0,"*",Def_Tech!C234)</f>
        <v/>
      </c>
      <c r="C90">
        <f>Def_Tech!D234</f>
        <v/>
      </c>
      <c r="D90">
        <f>_xlfn.XLOOKUP(C90,'COM RESID'!J:J,'COM RESID'!H:H)</f>
        <v/>
      </c>
      <c r="E90">
        <f>_xlfn.XLOOKUP(C90,'COM RESID'!J:J,'COM RESID'!I:I)</f>
        <v/>
      </c>
      <c r="F90" s="12">
        <f>_xlfn.XLOOKUP(C90,'COM RESID'!J:J,'COM RESID'!R:R)</f>
        <v/>
      </c>
      <c r="G90">
        <f>_xlfn.XLOOKUP(C90,'COM RESID'!J:J,'COM RESID'!W:W)</f>
        <v/>
      </c>
      <c r="H90" s="12">
        <f>_xlfn.XLOOKUP(C90,'COM RESID'!J:J,'COM RESID'!V:V)</f>
        <v/>
      </c>
      <c r="I90" s="12">
        <f>ROUNDUP(_xlfn.XLOOKUP(C90,'COM RESID'!J:J,'COM RESID'!S:S),0)</f>
        <v/>
      </c>
      <c r="J90" s="8">
        <f>_xlfn.XLOOKUP(C90,'COM RESID'!J:J,'COM RESID'!T:T)</f>
        <v/>
      </c>
      <c r="K90" s="13">
        <f>_xlfn.XLOOKUP(C90,'COM RESID'!J:J,'COM RESID'!P:P)</f>
        <v/>
      </c>
      <c r="L90" s="12">
        <f>_xlfn.XLOOKUP(C90,'COM RESID'!J:J,'COM RESID'!V:V)</f>
        <v/>
      </c>
    </row>
    <row r="91">
      <c r="B91">
        <f>IF(K91=0,"*",Def_Tech!C235)</f>
        <v/>
      </c>
      <c r="C91">
        <f>Def_Tech!D235</f>
        <v/>
      </c>
      <c r="D91">
        <f>_xlfn.XLOOKUP(C91,'COM RESID'!J:J,'COM RESID'!H:H)</f>
        <v/>
      </c>
      <c r="E91">
        <f>_xlfn.XLOOKUP(C91,'COM RESID'!J:J,'COM RESID'!I:I)</f>
        <v/>
      </c>
      <c r="F91" s="12">
        <f>_xlfn.XLOOKUP(C91,'COM RESID'!J:J,'COM RESID'!R:R)</f>
        <v/>
      </c>
      <c r="G91">
        <f>_xlfn.XLOOKUP(C91,'COM RESID'!J:J,'COM RESID'!W:W)</f>
        <v/>
      </c>
      <c r="H91" s="12">
        <f>_xlfn.XLOOKUP(C91,'COM RESID'!J:J,'COM RESID'!V:V)</f>
        <v/>
      </c>
      <c r="I91" s="12">
        <f>ROUNDUP(_xlfn.XLOOKUP(C91,'COM RESID'!J:J,'COM RESID'!S:S),0)</f>
        <v/>
      </c>
      <c r="J91" s="8">
        <f>_xlfn.XLOOKUP(C91,'COM RESID'!J:J,'COM RESID'!T:T)</f>
        <v/>
      </c>
      <c r="K91" s="13">
        <f>_xlfn.XLOOKUP(C91,'COM RESID'!J:J,'COM RESID'!P:P)</f>
        <v/>
      </c>
      <c r="L91" s="12">
        <f>_xlfn.XLOOKUP(C91,'COM RESID'!J:J,'COM RESID'!V:V)</f>
        <v/>
      </c>
    </row>
    <row r="92">
      <c r="B92">
        <f>IF(K92=0,"*",Def_Tech!C236)</f>
        <v/>
      </c>
      <c r="C92">
        <f>Def_Tech!D236</f>
        <v/>
      </c>
      <c r="D92">
        <f>_xlfn.XLOOKUP(C92,'COM RESID'!J:J,'COM RESID'!H:H)</f>
        <v/>
      </c>
      <c r="E92">
        <f>_xlfn.XLOOKUP(C92,'COM RESID'!J:J,'COM RESID'!I:I)</f>
        <v/>
      </c>
      <c r="F92" s="12">
        <f>_xlfn.XLOOKUP(C92,'COM RESID'!J:J,'COM RESID'!R:R)</f>
        <v/>
      </c>
      <c r="G92">
        <f>_xlfn.XLOOKUP(C92,'COM RESID'!J:J,'COM RESID'!W:W)</f>
        <v/>
      </c>
      <c r="H92" s="12">
        <f>_xlfn.XLOOKUP(C92,'COM RESID'!J:J,'COM RESID'!V:V)</f>
        <v/>
      </c>
      <c r="I92" s="12">
        <f>ROUNDUP(_xlfn.XLOOKUP(C92,'COM RESID'!J:J,'COM RESID'!S:S),0)</f>
        <v/>
      </c>
      <c r="J92" s="8">
        <f>_xlfn.XLOOKUP(C92,'COM RESID'!J:J,'COM RESID'!T:T)</f>
        <v/>
      </c>
      <c r="K92" s="13">
        <f>_xlfn.XLOOKUP(C92,'COM RESID'!J:J,'COM RESID'!P:P)</f>
        <v/>
      </c>
      <c r="L92" s="12">
        <f>_xlfn.XLOOKUP(C92,'COM RESID'!J:J,'COM RESID'!V:V)</f>
        <v/>
      </c>
    </row>
    <row r="93">
      <c r="B93">
        <f>IF(K93=0,"*",Def_Tech!C237)</f>
        <v/>
      </c>
      <c r="C93">
        <f>Def_Tech!D237</f>
        <v/>
      </c>
      <c r="D93">
        <f>_xlfn.XLOOKUP(C93,'COM RESID'!J:J,'COM RESID'!H:H)</f>
        <v/>
      </c>
      <c r="E93">
        <f>_xlfn.XLOOKUP(C93,'COM RESID'!J:J,'COM RESID'!I:I)</f>
        <v/>
      </c>
      <c r="F93" s="12">
        <f>_xlfn.XLOOKUP(C93,'COM RESID'!J:J,'COM RESID'!R:R)</f>
        <v/>
      </c>
      <c r="G93">
        <f>_xlfn.XLOOKUP(C93,'COM RESID'!J:J,'COM RESID'!W:W)</f>
        <v/>
      </c>
      <c r="H93" s="12">
        <f>_xlfn.XLOOKUP(C93,'COM RESID'!J:J,'COM RESID'!V:V)</f>
        <v/>
      </c>
      <c r="I93" s="12">
        <f>ROUNDUP(_xlfn.XLOOKUP(C93,'COM RESID'!J:J,'COM RESID'!S:S),0)</f>
        <v/>
      </c>
      <c r="J93" s="8">
        <f>_xlfn.XLOOKUP(C93,'COM RESID'!J:J,'COM RESID'!T:T)</f>
        <v/>
      </c>
      <c r="K93" s="13">
        <f>_xlfn.XLOOKUP(C93,'COM RESID'!J:J,'COM RESID'!P:P)</f>
        <v/>
      </c>
      <c r="L93" s="12">
        <f>_xlfn.XLOOKUP(C93,'COM RESID'!J:J,'COM RESID'!V:V)</f>
        <v/>
      </c>
    </row>
    <row r="94">
      <c r="B94">
        <f>IF(K94=0,"*",Def_Tech!C238)</f>
        <v/>
      </c>
      <c r="C94">
        <f>Def_Tech!D238</f>
        <v/>
      </c>
      <c r="D94">
        <f>_xlfn.XLOOKUP(C94,'COM RESID'!J:J,'COM RESID'!H:H)</f>
        <v/>
      </c>
      <c r="E94">
        <f>_xlfn.XLOOKUP(C94,'COM RESID'!J:J,'COM RESID'!I:I)</f>
        <v/>
      </c>
      <c r="F94" s="12">
        <f>_xlfn.XLOOKUP(C94,'COM RESID'!J:J,'COM RESID'!R:R)</f>
        <v/>
      </c>
      <c r="G94">
        <f>_xlfn.XLOOKUP(C94,'COM RESID'!J:J,'COM RESID'!W:W)</f>
        <v/>
      </c>
      <c r="H94" s="12">
        <f>_xlfn.XLOOKUP(C94,'COM RESID'!J:J,'COM RESID'!V:V)</f>
        <v/>
      </c>
      <c r="I94" s="12">
        <f>ROUNDUP(_xlfn.XLOOKUP(C94,'COM RESID'!J:J,'COM RESID'!S:S),0)</f>
        <v/>
      </c>
      <c r="J94" s="8">
        <f>_xlfn.XLOOKUP(C94,'COM RESID'!J:J,'COM RESID'!T:T)</f>
        <v/>
      </c>
      <c r="K94" s="13">
        <f>_xlfn.XLOOKUP(C94,'COM RESID'!J:J,'COM RESID'!P:P)</f>
        <v/>
      </c>
      <c r="L94" s="12">
        <f>_xlfn.XLOOKUP(C94,'COM RESID'!J:J,'COM RESID'!V:V)</f>
        <v/>
      </c>
    </row>
    <row r="95">
      <c r="B95">
        <f>IF(K95=0,"*",Def_Tech!C239)</f>
        <v/>
      </c>
      <c r="C95">
        <f>Def_Tech!D239</f>
        <v/>
      </c>
      <c r="D95">
        <f>_xlfn.XLOOKUP(C95,'COM RESID'!J:J,'COM RESID'!H:H)</f>
        <v/>
      </c>
      <c r="E95">
        <f>_xlfn.XLOOKUP(C95,'COM RESID'!J:J,'COM RESID'!I:I)</f>
        <v/>
      </c>
      <c r="F95" s="12">
        <f>_xlfn.XLOOKUP(C95,'COM RESID'!J:J,'COM RESID'!R:R)</f>
        <v/>
      </c>
      <c r="G95">
        <f>_xlfn.XLOOKUP(C95,'COM RESID'!J:J,'COM RESID'!W:W)</f>
        <v/>
      </c>
      <c r="H95" s="12">
        <f>_xlfn.XLOOKUP(C95,'COM RESID'!J:J,'COM RESID'!V:V)</f>
        <v/>
      </c>
      <c r="I95" s="12">
        <f>ROUNDUP(_xlfn.XLOOKUP(C95,'COM RESID'!J:J,'COM RESID'!S:S),0)</f>
        <v/>
      </c>
      <c r="J95" s="8">
        <f>_xlfn.XLOOKUP(C95,'COM RESID'!J:J,'COM RESID'!T:T)</f>
        <v/>
      </c>
      <c r="K95" s="13">
        <f>_xlfn.XLOOKUP(C95,'COM RESID'!J:J,'COM RESID'!P:P)</f>
        <v/>
      </c>
      <c r="L95" s="12">
        <f>_xlfn.XLOOKUP(C95,'COM RESID'!J:J,'COM RESID'!V:V)</f>
        <v/>
      </c>
    </row>
    <row r="96">
      <c r="B96">
        <f>IF(K96=0,"*",Def_Tech!C240)</f>
        <v/>
      </c>
      <c r="C96">
        <f>Def_Tech!D240</f>
        <v/>
      </c>
      <c r="D96">
        <f>_xlfn.XLOOKUP(C96,'COM RESID'!J:J,'COM RESID'!H:H)</f>
        <v/>
      </c>
      <c r="E96">
        <f>_xlfn.XLOOKUP(C96,'COM RESID'!J:J,'COM RESID'!I:I)</f>
        <v/>
      </c>
      <c r="F96" s="12">
        <f>_xlfn.XLOOKUP(C96,'COM RESID'!J:J,'COM RESID'!R:R)</f>
        <v/>
      </c>
      <c r="G96">
        <f>_xlfn.XLOOKUP(C96,'COM RESID'!J:J,'COM RESID'!W:W)</f>
        <v/>
      </c>
      <c r="H96" s="12">
        <f>_xlfn.XLOOKUP(C96,'COM RESID'!J:J,'COM RESID'!V:V)</f>
        <v/>
      </c>
      <c r="I96" s="12">
        <f>ROUNDUP(_xlfn.XLOOKUP(C96,'COM RESID'!J:J,'COM RESID'!S:S),0)</f>
        <v/>
      </c>
      <c r="J96" s="8">
        <f>_xlfn.XLOOKUP(C96,'COM RESID'!J:J,'COM RESID'!T:T)</f>
        <v/>
      </c>
      <c r="K96" s="13">
        <f>_xlfn.XLOOKUP(C96,'COM RESID'!J:J,'COM RESID'!P:P)</f>
        <v/>
      </c>
      <c r="L96" s="12">
        <f>_xlfn.XLOOKUP(C96,'COM RESID'!J:J,'COM RESID'!V:V)</f>
        <v/>
      </c>
    </row>
    <row r="97">
      <c r="B97">
        <f>IF(K97=0,"*",Def_Tech!C241)</f>
        <v/>
      </c>
      <c r="C97">
        <f>Def_Tech!D241</f>
        <v/>
      </c>
      <c r="D97">
        <f>_xlfn.XLOOKUP(C97,'COM RESID'!J:J,'COM RESID'!H:H)</f>
        <v/>
      </c>
      <c r="E97">
        <f>_xlfn.XLOOKUP(C97,'COM RESID'!J:J,'COM RESID'!I:I)</f>
        <v/>
      </c>
      <c r="F97" s="12">
        <f>_xlfn.XLOOKUP(C97,'COM RESID'!J:J,'COM RESID'!R:R)</f>
        <v/>
      </c>
      <c r="G97">
        <f>_xlfn.XLOOKUP(C97,'COM RESID'!J:J,'COM RESID'!W:W)</f>
        <v/>
      </c>
      <c r="H97" s="12">
        <f>_xlfn.XLOOKUP(C97,'COM RESID'!J:J,'COM RESID'!V:V)</f>
        <v/>
      </c>
      <c r="I97" s="12">
        <f>ROUNDUP(_xlfn.XLOOKUP(C97,'COM RESID'!J:J,'COM RESID'!S:S),0)</f>
        <v/>
      </c>
      <c r="J97" s="8">
        <f>_xlfn.XLOOKUP(C97,'COM RESID'!J:J,'COM RESID'!T:T)</f>
        <v/>
      </c>
      <c r="K97" s="13">
        <f>_xlfn.XLOOKUP(C97,'COM RESID'!J:J,'COM RESID'!P:P)</f>
        <v/>
      </c>
      <c r="L97" s="12">
        <f>_xlfn.XLOOKUP(C97,'COM RESID'!J:J,'COM RESID'!V:V)</f>
        <v/>
      </c>
    </row>
    <row r="98">
      <c r="B98">
        <f>IF(K98=0,"*",Def_Tech!C242)</f>
        <v/>
      </c>
      <c r="C98">
        <f>Def_Tech!D242</f>
        <v/>
      </c>
      <c r="D98">
        <f>_xlfn.XLOOKUP(C98,'COM RESID'!J:J,'COM RESID'!H:H)</f>
        <v/>
      </c>
      <c r="E98">
        <f>_xlfn.XLOOKUP(C98,'COM RESID'!J:J,'COM RESID'!I:I)</f>
        <v/>
      </c>
      <c r="F98" s="12">
        <f>_xlfn.XLOOKUP(C98,'COM RESID'!J:J,'COM RESID'!R:R)</f>
        <v/>
      </c>
      <c r="G98">
        <f>_xlfn.XLOOKUP(C98,'COM RESID'!J:J,'COM RESID'!W:W)</f>
        <v/>
      </c>
      <c r="H98" s="12">
        <f>_xlfn.XLOOKUP(C98,'COM RESID'!J:J,'COM RESID'!V:V)</f>
        <v/>
      </c>
      <c r="I98" s="12">
        <f>ROUNDUP(_xlfn.XLOOKUP(C98,'COM RESID'!J:J,'COM RESID'!S:S),0)</f>
        <v/>
      </c>
      <c r="J98" s="8">
        <f>_xlfn.XLOOKUP(C98,'COM RESID'!J:J,'COM RESID'!T:T)</f>
        <v/>
      </c>
      <c r="K98" s="13">
        <f>_xlfn.XLOOKUP(C98,'COM RESID'!J:J,'COM RESID'!P:P)</f>
        <v/>
      </c>
      <c r="L98" s="12">
        <f>_xlfn.XLOOKUP(C98,'COM RESID'!J:J,'COM RESID'!V:V)</f>
        <v/>
      </c>
    </row>
    <row r="99">
      <c r="B99">
        <f>IF(K99=0,"*",Def_Tech!C243)</f>
        <v/>
      </c>
      <c r="C99">
        <f>Def_Tech!D243</f>
        <v/>
      </c>
      <c r="D99">
        <f>_xlfn.XLOOKUP(C99,'COM RESID'!J:J,'COM RESID'!H:H)</f>
        <v/>
      </c>
      <c r="E99">
        <f>_xlfn.XLOOKUP(C99,'COM RESID'!J:J,'COM RESID'!I:I)</f>
        <v/>
      </c>
      <c r="F99" s="12">
        <f>_xlfn.XLOOKUP(C99,'COM RESID'!J:J,'COM RESID'!R:R)</f>
        <v/>
      </c>
      <c r="G99">
        <f>_xlfn.XLOOKUP(C99,'COM RESID'!J:J,'COM RESID'!W:W)</f>
        <v/>
      </c>
      <c r="H99" s="12">
        <f>_xlfn.XLOOKUP(C99,'COM RESID'!J:J,'COM RESID'!V:V)</f>
        <v/>
      </c>
      <c r="I99" s="12">
        <f>ROUNDUP(_xlfn.XLOOKUP(C99,'COM RESID'!J:J,'COM RESID'!S:S),0)</f>
        <v/>
      </c>
      <c r="J99" s="8">
        <f>_xlfn.XLOOKUP(C99,'COM RESID'!J:J,'COM RESID'!T:T)</f>
        <v/>
      </c>
      <c r="K99" s="13">
        <f>_xlfn.XLOOKUP(C99,'COM RESID'!J:J,'COM RESID'!P:P)</f>
        <v/>
      </c>
      <c r="L99" s="12">
        <f>_xlfn.XLOOKUP(C99,'COM RESID'!J:J,'COM RESID'!V:V)</f>
        <v/>
      </c>
    </row>
    <row r="100">
      <c r="B100">
        <f>IF(K100=0,"*",Def_Tech!C244)</f>
        <v/>
      </c>
      <c r="C100">
        <f>Def_Tech!D244</f>
        <v/>
      </c>
      <c r="D100">
        <f>_xlfn.XLOOKUP(C100,'COM RESID'!J:J,'COM RESID'!H:H)</f>
        <v/>
      </c>
      <c r="E100">
        <f>_xlfn.XLOOKUP(C100,'COM RESID'!J:J,'COM RESID'!I:I)</f>
        <v/>
      </c>
      <c r="F100" s="12">
        <f>_xlfn.XLOOKUP(C100,'COM RESID'!J:J,'COM RESID'!R:R)</f>
        <v/>
      </c>
      <c r="G100">
        <f>_xlfn.XLOOKUP(C100,'COM RESID'!J:J,'COM RESID'!W:W)</f>
        <v/>
      </c>
      <c r="H100" s="12">
        <f>_xlfn.XLOOKUP(C100,'COM RESID'!J:J,'COM RESID'!V:V)</f>
        <v/>
      </c>
      <c r="I100" s="12">
        <f>ROUNDUP(_xlfn.XLOOKUP(C100,'COM RESID'!J:J,'COM RESID'!S:S),0)</f>
        <v/>
      </c>
      <c r="J100" s="8">
        <f>_xlfn.XLOOKUP(C100,'COM RESID'!J:J,'COM RESID'!T:T)</f>
        <v/>
      </c>
      <c r="K100" s="13">
        <f>_xlfn.XLOOKUP(C100,'COM RESID'!J:J,'COM RESID'!P:P)</f>
        <v/>
      </c>
      <c r="L100" s="12">
        <f>_xlfn.XLOOKUP(C100,'COM RESID'!J:J,'COM RESID'!V:V)</f>
        <v/>
      </c>
    </row>
    <row r="101">
      <c r="B101">
        <f>IF(K101=0,"*",Def_Tech!C245)</f>
        <v/>
      </c>
      <c r="C101">
        <f>Def_Tech!D245</f>
        <v/>
      </c>
      <c r="D101">
        <f>_xlfn.XLOOKUP(C101,'COM RESID'!J:J,'COM RESID'!H:H)</f>
        <v/>
      </c>
      <c r="E101">
        <f>_xlfn.XLOOKUP(C101,'COM RESID'!J:J,'COM RESID'!I:I)</f>
        <v/>
      </c>
      <c r="F101" s="12">
        <f>_xlfn.XLOOKUP(C101,'COM RESID'!J:J,'COM RESID'!R:R)</f>
        <v/>
      </c>
      <c r="G101">
        <f>_xlfn.XLOOKUP(C101,'COM RESID'!J:J,'COM RESID'!W:W)</f>
        <v/>
      </c>
      <c r="H101" s="12">
        <f>_xlfn.XLOOKUP(C101,'COM RESID'!J:J,'COM RESID'!V:V)</f>
        <v/>
      </c>
      <c r="I101" s="12">
        <f>ROUNDUP(_xlfn.XLOOKUP(C101,'COM RESID'!J:J,'COM RESID'!S:S),0)</f>
        <v/>
      </c>
      <c r="J101" s="8">
        <f>_xlfn.XLOOKUP(C101,'COM RESID'!J:J,'COM RESID'!T:T)</f>
        <v/>
      </c>
      <c r="K101" s="13">
        <f>_xlfn.XLOOKUP(C101,'COM RESID'!J:J,'COM RESID'!P:P)</f>
        <v/>
      </c>
      <c r="L101" s="12">
        <f>_xlfn.XLOOKUP(C101,'COM RESID'!J:J,'COM RESID'!V:V)</f>
        <v/>
      </c>
    </row>
    <row r="102">
      <c r="B102">
        <f>IF(K102=0,"*",Def_Tech!C246)</f>
        <v/>
      </c>
      <c r="C102">
        <f>Def_Tech!D246</f>
        <v/>
      </c>
      <c r="D102">
        <f>_xlfn.XLOOKUP(C102,'COM RESID'!J:J,'COM RESID'!H:H)</f>
        <v/>
      </c>
      <c r="E102">
        <f>_xlfn.XLOOKUP(C102,'COM RESID'!J:J,'COM RESID'!I:I)</f>
        <v/>
      </c>
      <c r="F102" s="12">
        <f>_xlfn.XLOOKUP(C102,'COM RESID'!J:J,'COM RESID'!R:R)</f>
        <v/>
      </c>
      <c r="G102">
        <f>_xlfn.XLOOKUP(C102,'COM RESID'!J:J,'COM RESID'!W:W)</f>
        <v/>
      </c>
      <c r="H102" s="12">
        <f>_xlfn.XLOOKUP(C102,'COM RESID'!J:J,'COM RESID'!V:V)</f>
        <v/>
      </c>
      <c r="I102" s="12">
        <f>ROUNDUP(_xlfn.XLOOKUP(C102,'COM RESID'!J:J,'COM RESID'!S:S),0)</f>
        <v/>
      </c>
      <c r="J102" s="8">
        <f>_xlfn.XLOOKUP(C102,'COM RESID'!J:J,'COM RESID'!T:T)</f>
        <v/>
      </c>
      <c r="K102" s="13">
        <f>_xlfn.XLOOKUP(C102,'COM RESID'!J:J,'COM RESID'!P:P)</f>
        <v/>
      </c>
      <c r="L102" s="12">
        <f>_xlfn.XLOOKUP(C102,'COM RESID'!J:J,'COM RESID'!V:V)</f>
        <v/>
      </c>
    </row>
    <row r="103">
      <c r="B103">
        <f>IF(K103=0,"*",Def_Tech!C247)</f>
        <v/>
      </c>
      <c r="C103">
        <f>Def_Tech!D247</f>
        <v/>
      </c>
      <c r="D103">
        <f>_xlfn.XLOOKUP(C103,'COM RESID'!J:J,'COM RESID'!H:H)</f>
        <v/>
      </c>
      <c r="E103">
        <f>_xlfn.XLOOKUP(C103,'COM RESID'!J:J,'COM RESID'!I:I)</f>
        <v/>
      </c>
      <c r="F103" s="12">
        <f>_xlfn.XLOOKUP(C103,'COM RESID'!J:J,'COM RESID'!R:R)</f>
        <v/>
      </c>
      <c r="G103">
        <f>_xlfn.XLOOKUP(C103,'COM RESID'!J:J,'COM RESID'!W:W)</f>
        <v/>
      </c>
      <c r="H103" s="12">
        <f>_xlfn.XLOOKUP(C103,'COM RESID'!J:J,'COM RESID'!V:V)</f>
        <v/>
      </c>
      <c r="I103" s="12">
        <f>ROUNDUP(_xlfn.XLOOKUP(C103,'COM RESID'!J:J,'COM RESID'!S:S),0)</f>
        <v/>
      </c>
      <c r="J103" s="8">
        <f>_xlfn.XLOOKUP(C103,'COM RESID'!J:J,'COM RESID'!T:T)</f>
        <v/>
      </c>
      <c r="K103" s="13">
        <f>_xlfn.XLOOKUP(C103,'COM RESID'!J:J,'COM RESID'!P:P)</f>
        <v/>
      </c>
      <c r="L103" s="12">
        <f>_xlfn.XLOOKUP(C103,'COM RESID'!J:J,'COM RESID'!V:V)</f>
        <v/>
      </c>
    </row>
    <row r="104">
      <c r="B104">
        <f>IF(K104=0,"*",Def_Tech!C248)</f>
        <v/>
      </c>
      <c r="C104">
        <f>Def_Tech!D248</f>
        <v/>
      </c>
      <c r="D104">
        <f>_xlfn.XLOOKUP(C104,'COM RESID'!J:J,'COM RESID'!H:H)</f>
        <v/>
      </c>
      <c r="E104">
        <f>_xlfn.XLOOKUP(C104,'COM RESID'!J:J,'COM RESID'!I:I)</f>
        <v/>
      </c>
      <c r="F104" s="12">
        <f>_xlfn.XLOOKUP(C104,'COM RESID'!J:J,'COM RESID'!R:R)</f>
        <v/>
      </c>
      <c r="G104">
        <f>_xlfn.XLOOKUP(C104,'COM RESID'!J:J,'COM RESID'!W:W)</f>
        <v/>
      </c>
      <c r="H104" s="12">
        <f>_xlfn.XLOOKUP(C104,'COM RESID'!J:J,'COM RESID'!V:V)</f>
        <v/>
      </c>
      <c r="I104" s="12">
        <f>ROUNDUP(_xlfn.XLOOKUP(C104,'COM RESID'!J:J,'COM RESID'!S:S),0)</f>
        <v/>
      </c>
      <c r="J104" s="8">
        <f>_xlfn.XLOOKUP(C104,'COM RESID'!J:J,'COM RESID'!T:T)</f>
        <v/>
      </c>
      <c r="K104" s="13">
        <f>_xlfn.XLOOKUP(C104,'COM RESID'!J:J,'COM RESID'!P:P)</f>
        <v/>
      </c>
      <c r="L104" s="12">
        <f>_xlfn.XLOOKUP(C104,'COM RESID'!J:J,'COM RESID'!V:V)</f>
        <v/>
      </c>
    </row>
    <row r="105">
      <c r="B105">
        <f>IF(K105=0,"*",Def_Tech!C249)</f>
        <v/>
      </c>
      <c r="C105">
        <f>Def_Tech!D249</f>
        <v/>
      </c>
      <c r="D105">
        <f>_xlfn.XLOOKUP(C105,'COM RESID'!J:J,'COM RESID'!H:H)</f>
        <v/>
      </c>
      <c r="E105">
        <f>_xlfn.XLOOKUP(C105,'COM RESID'!J:J,'COM RESID'!I:I)</f>
        <v/>
      </c>
      <c r="F105" s="12">
        <f>_xlfn.XLOOKUP(C105,'COM RESID'!J:J,'COM RESID'!R:R)</f>
        <v/>
      </c>
      <c r="G105">
        <f>_xlfn.XLOOKUP(C105,'COM RESID'!J:J,'COM RESID'!W:W)</f>
        <v/>
      </c>
      <c r="H105" s="12">
        <f>_xlfn.XLOOKUP(C105,'COM RESID'!J:J,'COM RESID'!V:V)</f>
        <v/>
      </c>
      <c r="I105" s="12">
        <f>ROUNDUP(_xlfn.XLOOKUP(C105,'COM RESID'!J:J,'COM RESID'!S:S),0)</f>
        <v/>
      </c>
      <c r="J105" s="8">
        <f>_xlfn.XLOOKUP(C105,'COM RESID'!J:J,'COM RESID'!T:T)</f>
        <v/>
      </c>
      <c r="K105" s="13">
        <f>_xlfn.XLOOKUP(C105,'COM RESID'!J:J,'COM RESID'!P:P)</f>
        <v/>
      </c>
      <c r="L105" s="12">
        <f>_xlfn.XLOOKUP(C105,'COM RESID'!J:J,'COM RESID'!V:V)</f>
        <v/>
      </c>
    </row>
    <row r="106">
      <c r="B106">
        <f>IF(K106=0,"*",Def_Tech!C250)</f>
        <v/>
      </c>
      <c r="C106">
        <f>Def_Tech!D250</f>
        <v/>
      </c>
      <c r="D106">
        <f>_xlfn.XLOOKUP(C106,'COM RESID'!J:J,'COM RESID'!H:H)</f>
        <v/>
      </c>
      <c r="E106">
        <f>_xlfn.XLOOKUP(C106,'COM RESID'!J:J,'COM RESID'!I:I)</f>
        <v/>
      </c>
      <c r="F106" s="12">
        <f>_xlfn.XLOOKUP(C106,'COM RESID'!J:J,'COM RESID'!R:R)</f>
        <v/>
      </c>
      <c r="G106">
        <f>_xlfn.XLOOKUP(C106,'COM RESID'!J:J,'COM RESID'!W:W)</f>
        <v/>
      </c>
      <c r="H106" s="12">
        <f>_xlfn.XLOOKUP(C106,'COM RESID'!J:J,'COM RESID'!V:V)</f>
        <v/>
      </c>
      <c r="I106" s="12">
        <f>ROUNDUP(_xlfn.XLOOKUP(C106,'COM RESID'!J:J,'COM RESID'!S:S),0)</f>
        <v/>
      </c>
      <c r="J106" s="8">
        <f>_xlfn.XLOOKUP(C106,'COM RESID'!J:J,'COM RESID'!T:T)</f>
        <v/>
      </c>
      <c r="K106" s="13">
        <f>_xlfn.XLOOKUP(C106,'COM RESID'!J:J,'COM RESID'!P:P)</f>
        <v/>
      </c>
      <c r="L106" s="12">
        <f>_xlfn.XLOOKUP(C106,'COM RESID'!J:J,'COM RESID'!V:V)</f>
        <v/>
      </c>
    </row>
    <row r="107">
      <c r="B107">
        <f>IF(K107=0,"*",Def_Tech!C251)</f>
        <v/>
      </c>
      <c r="C107">
        <f>Def_Tech!D251</f>
        <v/>
      </c>
      <c r="D107">
        <f>_xlfn.XLOOKUP(C107,'COM RESID'!J:J,'COM RESID'!H:H)</f>
        <v/>
      </c>
      <c r="E107">
        <f>_xlfn.XLOOKUP(C107,'COM RESID'!J:J,'COM RESID'!I:I)</f>
        <v/>
      </c>
      <c r="F107" s="12">
        <f>_xlfn.XLOOKUP(C107,'COM RESID'!J:J,'COM RESID'!R:R)</f>
        <v/>
      </c>
      <c r="G107">
        <f>_xlfn.XLOOKUP(C107,'COM RESID'!J:J,'COM RESID'!W:W)</f>
        <v/>
      </c>
      <c r="H107" s="12">
        <f>_xlfn.XLOOKUP(C107,'COM RESID'!J:J,'COM RESID'!V:V)</f>
        <v/>
      </c>
      <c r="I107" s="12">
        <f>ROUNDUP(_xlfn.XLOOKUP(C107,'COM RESID'!J:J,'COM RESID'!S:S),0)</f>
        <v/>
      </c>
      <c r="J107" s="8">
        <f>_xlfn.XLOOKUP(C107,'COM RESID'!J:J,'COM RESID'!T:T)</f>
        <v/>
      </c>
      <c r="K107" s="13">
        <f>_xlfn.XLOOKUP(C107,'COM RESID'!J:J,'COM RESID'!P:P)</f>
        <v/>
      </c>
      <c r="L107" s="12">
        <f>_xlfn.XLOOKUP(C107,'COM RESID'!J:J,'COM RESID'!V:V)</f>
        <v/>
      </c>
    </row>
    <row r="108">
      <c r="B108">
        <f>IF(K108=0,"*",Def_Tech!C252)</f>
        <v/>
      </c>
      <c r="C108">
        <f>Def_Tech!D252</f>
        <v/>
      </c>
      <c r="D108">
        <f>_xlfn.XLOOKUP(C108,'COM RESID'!J:J,'COM RESID'!H:H)</f>
        <v/>
      </c>
      <c r="E108">
        <f>_xlfn.XLOOKUP(C108,'COM RESID'!J:J,'COM RESID'!I:I)</f>
        <v/>
      </c>
      <c r="F108" s="12">
        <f>_xlfn.XLOOKUP(C108,'COM RESID'!J:J,'COM RESID'!R:R)</f>
        <v/>
      </c>
      <c r="G108">
        <f>_xlfn.XLOOKUP(C108,'COM RESID'!J:J,'COM RESID'!W:W)</f>
        <v/>
      </c>
      <c r="H108" s="12">
        <f>_xlfn.XLOOKUP(C108,'COM RESID'!J:J,'COM RESID'!V:V)</f>
        <v/>
      </c>
      <c r="I108" s="12">
        <f>ROUNDUP(_xlfn.XLOOKUP(C108,'COM RESID'!J:J,'COM RESID'!S:S),0)</f>
        <v/>
      </c>
      <c r="J108" s="8">
        <f>_xlfn.XLOOKUP(C108,'COM RESID'!J:J,'COM RESID'!T:T)</f>
        <v/>
      </c>
      <c r="K108" s="13">
        <f>_xlfn.XLOOKUP(C108,'COM RESID'!J:J,'COM RESID'!P:P)</f>
        <v/>
      </c>
      <c r="L108" s="12">
        <f>_xlfn.XLOOKUP(C108,'COM RESID'!J:J,'COM RESID'!V:V)</f>
        <v/>
      </c>
    </row>
    <row r="109">
      <c r="B109">
        <f>IF(K109=0,"*",Def_Tech!C253)</f>
        <v/>
      </c>
      <c r="C109">
        <f>Def_Tech!D253</f>
        <v/>
      </c>
      <c r="D109">
        <f>_xlfn.XLOOKUP(C109,'COM RESID'!J:J,'COM RESID'!H:H)</f>
        <v/>
      </c>
      <c r="E109">
        <f>_xlfn.XLOOKUP(C109,'COM RESID'!J:J,'COM RESID'!I:I)</f>
        <v/>
      </c>
      <c r="F109" s="12">
        <f>_xlfn.XLOOKUP(C109,'COM RESID'!J:J,'COM RESID'!R:R)</f>
        <v/>
      </c>
      <c r="G109">
        <f>_xlfn.XLOOKUP(C109,'COM RESID'!J:J,'COM RESID'!W:W)</f>
        <v/>
      </c>
      <c r="H109" s="12">
        <f>_xlfn.XLOOKUP(C109,'COM RESID'!J:J,'COM RESID'!V:V)</f>
        <v/>
      </c>
      <c r="I109" s="12">
        <f>ROUNDUP(_xlfn.XLOOKUP(C109,'COM RESID'!J:J,'COM RESID'!S:S),0)</f>
        <v/>
      </c>
      <c r="J109" s="8">
        <f>_xlfn.XLOOKUP(C109,'COM RESID'!J:J,'COM RESID'!T:T)</f>
        <v/>
      </c>
      <c r="K109" s="13">
        <f>_xlfn.XLOOKUP(C109,'COM RESID'!J:J,'COM RESID'!P:P)</f>
        <v/>
      </c>
      <c r="L109" s="12">
        <f>_xlfn.XLOOKUP(C109,'COM RESID'!J:J,'COM RESID'!V:V)</f>
        <v/>
      </c>
    </row>
    <row r="110">
      <c r="B110">
        <f>IF(K110=0,"*",Def_Tech!C254)</f>
        <v/>
      </c>
      <c r="C110">
        <f>Def_Tech!D254</f>
        <v/>
      </c>
      <c r="D110">
        <f>_xlfn.XLOOKUP(C110,'COM RESID'!J:J,'COM RESID'!H:H)</f>
        <v/>
      </c>
      <c r="E110">
        <f>_xlfn.XLOOKUP(C110,'COM RESID'!J:J,'COM RESID'!I:I)</f>
        <v/>
      </c>
      <c r="F110" s="12">
        <f>_xlfn.XLOOKUP(C110,'COM RESID'!J:J,'COM RESID'!R:R)</f>
        <v/>
      </c>
      <c r="G110">
        <f>_xlfn.XLOOKUP(C110,'COM RESID'!J:J,'COM RESID'!W:W)</f>
        <v/>
      </c>
      <c r="H110" s="12">
        <f>_xlfn.XLOOKUP(C110,'COM RESID'!J:J,'COM RESID'!V:V)</f>
        <v/>
      </c>
      <c r="I110" s="12">
        <f>ROUNDUP(_xlfn.XLOOKUP(C110,'COM RESID'!J:J,'COM RESID'!S:S),0)</f>
        <v/>
      </c>
      <c r="J110" s="8">
        <f>_xlfn.XLOOKUP(C110,'COM RESID'!J:J,'COM RESID'!T:T)</f>
        <v/>
      </c>
      <c r="K110" s="13">
        <f>_xlfn.XLOOKUP(C110,'COM RESID'!J:J,'COM RESID'!P:P)</f>
        <v/>
      </c>
      <c r="L110" s="12">
        <f>_xlfn.XLOOKUP(C110,'COM RESID'!J:J,'COM RESID'!V:V)</f>
        <v/>
      </c>
    </row>
    <row r="111">
      <c r="B111">
        <f>IF(K111=0,"*",Def_Tech!C255)</f>
        <v/>
      </c>
      <c r="C111">
        <f>Def_Tech!D255</f>
        <v/>
      </c>
      <c r="D111">
        <f>_xlfn.XLOOKUP(C111,'COM RESID'!J:J,'COM RESID'!H:H)</f>
        <v/>
      </c>
      <c r="E111">
        <f>_xlfn.XLOOKUP(C111,'COM RESID'!J:J,'COM RESID'!I:I)</f>
        <v/>
      </c>
      <c r="F111" s="12">
        <f>_xlfn.XLOOKUP(C111,'COM RESID'!J:J,'COM RESID'!R:R)</f>
        <v/>
      </c>
      <c r="G111">
        <f>_xlfn.XLOOKUP(C111,'COM RESID'!J:J,'COM RESID'!W:W)</f>
        <v/>
      </c>
      <c r="H111" s="12">
        <f>_xlfn.XLOOKUP(C111,'COM RESID'!J:J,'COM RESID'!V:V)</f>
        <v/>
      </c>
      <c r="I111" s="12">
        <f>ROUNDUP(_xlfn.XLOOKUP(C111,'COM RESID'!J:J,'COM RESID'!S:S),0)</f>
        <v/>
      </c>
      <c r="J111" s="8">
        <f>_xlfn.XLOOKUP(C111,'COM RESID'!J:J,'COM RESID'!T:T)</f>
        <v/>
      </c>
      <c r="K111" s="13">
        <f>_xlfn.XLOOKUP(C111,'COM RESID'!J:J,'COM RESID'!P:P)</f>
        <v/>
      </c>
      <c r="L111" s="12">
        <f>_xlfn.XLOOKUP(C111,'COM RESID'!J:J,'COM RESID'!V:V)</f>
        <v/>
      </c>
    </row>
    <row r="112">
      <c r="B112">
        <f>IF(K112=0,"*",Def_Tech!C256)</f>
        <v/>
      </c>
      <c r="C112">
        <f>Def_Tech!D256</f>
        <v/>
      </c>
      <c r="D112">
        <f>_xlfn.XLOOKUP(C112,'COM RESID'!J:J,'COM RESID'!H:H)</f>
        <v/>
      </c>
      <c r="E112">
        <f>_xlfn.XLOOKUP(C112,'COM RESID'!J:J,'COM RESID'!I:I)</f>
        <v/>
      </c>
      <c r="F112" s="12">
        <f>_xlfn.XLOOKUP(C112,'COM RESID'!J:J,'COM RESID'!R:R)</f>
        <v/>
      </c>
      <c r="G112">
        <f>_xlfn.XLOOKUP(C112,'COM RESID'!J:J,'COM RESID'!W:W)</f>
        <v/>
      </c>
      <c r="H112" s="12">
        <f>_xlfn.XLOOKUP(C112,'COM RESID'!J:J,'COM RESID'!V:V)</f>
        <v/>
      </c>
      <c r="I112" s="12">
        <f>ROUNDUP(_xlfn.XLOOKUP(C112,'COM RESID'!J:J,'COM RESID'!S:S),0)</f>
        <v/>
      </c>
      <c r="J112" s="8">
        <f>_xlfn.XLOOKUP(C112,'COM RESID'!J:J,'COM RESID'!T:T)</f>
        <v/>
      </c>
      <c r="K112" s="13">
        <f>_xlfn.XLOOKUP(C112,'COM RESID'!J:J,'COM RESID'!P:P)</f>
        <v/>
      </c>
      <c r="L112" s="12">
        <f>_xlfn.XLOOKUP(C112,'COM RESID'!J:J,'COM RESID'!V:V)</f>
        <v/>
      </c>
    </row>
    <row r="113">
      <c r="B113">
        <f>IF(K113=0,"*",Def_Tech!C257)</f>
        <v/>
      </c>
      <c r="C113">
        <f>Def_Tech!D257</f>
        <v/>
      </c>
      <c r="D113">
        <f>_xlfn.XLOOKUP(C113,'COM RESID'!J:J,'COM RESID'!H:H)</f>
        <v/>
      </c>
      <c r="E113">
        <f>_xlfn.XLOOKUP(C113,'COM RESID'!J:J,'COM RESID'!I:I)</f>
        <v/>
      </c>
      <c r="F113" s="12">
        <f>_xlfn.XLOOKUP(C113,'COM RESID'!J:J,'COM RESID'!R:R)</f>
        <v/>
      </c>
      <c r="G113">
        <f>_xlfn.XLOOKUP(C113,'COM RESID'!J:J,'COM RESID'!W:W)</f>
        <v/>
      </c>
      <c r="H113" s="12">
        <f>_xlfn.XLOOKUP(C113,'COM RESID'!J:J,'COM RESID'!V:V)</f>
        <v/>
      </c>
      <c r="I113" s="12">
        <f>ROUNDUP(_xlfn.XLOOKUP(C113,'COM RESID'!J:J,'COM RESID'!S:S),0)</f>
        <v/>
      </c>
      <c r="J113" s="8">
        <f>_xlfn.XLOOKUP(C113,'COM RESID'!J:J,'COM RESID'!T:T)</f>
        <v/>
      </c>
      <c r="K113" s="13">
        <f>_xlfn.XLOOKUP(C113,'COM RESID'!J:J,'COM RESID'!P:P)</f>
        <v/>
      </c>
      <c r="L113" s="12">
        <f>_xlfn.XLOOKUP(C113,'COM RESID'!J:J,'COM RESID'!V:V)</f>
        <v/>
      </c>
    </row>
    <row r="114">
      <c r="B114">
        <f>IF(K114=0,"*",Def_Tech!C258)</f>
        <v/>
      </c>
      <c r="C114">
        <f>Def_Tech!D258</f>
        <v/>
      </c>
      <c r="D114">
        <f>_xlfn.XLOOKUP(C114,'COM RESID'!J:J,'COM RESID'!H:H)</f>
        <v/>
      </c>
      <c r="E114">
        <f>_xlfn.XLOOKUP(C114,'COM RESID'!J:J,'COM RESID'!I:I)</f>
        <v/>
      </c>
      <c r="F114" s="12">
        <f>_xlfn.XLOOKUP(C114,'COM RESID'!J:J,'COM RESID'!R:R)</f>
        <v/>
      </c>
      <c r="G114">
        <f>_xlfn.XLOOKUP(C114,'COM RESID'!J:J,'COM RESID'!W:W)</f>
        <v/>
      </c>
      <c r="H114" s="12">
        <f>_xlfn.XLOOKUP(C114,'COM RESID'!J:J,'COM RESID'!V:V)</f>
        <v/>
      </c>
      <c r="I114" s="12">
        <f>ROUNDUP(_xlfn.XLOOKUP(C114,'COM RESID'!J:J,'COM RESID'!S:S),0)</f>
        <v/>
      </c>
      <c r="J114" s="8">
        <f>_xlfn.XLOOKUP(C114,'COM RESID'!J:J,'COM RESID'!T:T)</f>
        <v/>
      </c>
      <c r="K114" s="13">
        <f>_xlfn.XLOOKUP(C114,'COM RESID'!J:J,'COM RESID'!P:P)</f>
        <v/>
      </c>
      <c r="L114" s="12">
        <f>_xlfn.XLOOKUP(C114,'COM RESID'!J:J,'COM RESID'!V:V)</f>
        <v/>
      </c>
    </row>
    <row r="115">
      <c r="B115">
        <f>IF(K115=0,"*",Def_Tech!C259)</f>
        <v/>
      </c>
      <c r="C115">
        <f>Def_Tech!D259</f>
        <v/>
      </c>
      <c r="D115">
        <f>_xlfn.XLOOKUP(C115,'COM RESID'!J:J,'COM RESID'!H:H)</f>
        <v/>
      </c>
      <c r="E115">
        <f>_xlfn.XLOOKUP(C115,'COM RESID'!J:J,'COM RESID'!I:I)</f>
        <v/>
      </c>
      <c r="F115" s="12">
        <f>_xlfn.XLOOKUP(C115,'COM RESID'!J:J,'COM RESID'!R:R)</f>
        <v/>
      </c>
      <c r="G115">
        <f>_xlfn.XLOOKUP(C115,'COM RESID'!J:J,'COM RESID'!W:W)</f>
        <v/>
      </c>
      <c r="H115" s="12">
        <f>_xlfn.XLOOKUP(C115,'COM RESID'!J:J,'COM RESID'!V:V)</f>
        <v/>
      </c>
      <c r="I115" s="12">
        <f>ROUNDUP(_xlfn.XLOOKUP(C115,'COM RESID'!J:J,'COM RESID'!S:S),0)</f>
        <v/>
      </c>
      <c r="J115" s="8">
        <f>_xlfn.XLOOKUP(C115,'COM RESID'!J:J,'COM RESID'!T:T)</f>
        <v/>
      </c>
      <c r="K115" s="13">
        <f>_xlfn.XLOOKUP(C115,'COM RESID'!J:J,'COM RESID'!P:P)</f>
        <v/>
      </c>
      <c r="L115" s="12">
        <f>_xlfn.XLOOKUP(C115,'COM RESID'!J:J,'COM RESID'!V:V)</f>
        <v/>
      </c>
    </row>
    <row r="116">
      <c r="B116">
        <f>IF(K116=0,"*",Def_Tech!C260)</f>
        <v/>
      </c>
      <c r="C116">
        <f>Def_Tech!D260</f>
        <v/>
      </c>
      <c r="D116">
        <f>_xlfn.XLOOKUP(C116,'COM RESID'!J:J,'COM RESID'!H:H)</f>
        <v/>
      </c>
      <c r="E116">
        <f>_xlfn.XLOOKUP(C116,'COM RESID'!J:J,'COM RESID'!I:I)</f>
        <v/>
      </c>
      <c r="F116" s="12">
        <f>_xlfn.XLOOKUP(C116,'COM RESID'!J:J,'COM RESID'!R:R)</f>
        <v/>
      </c>
      <c r="G116">
        <f>_xlfn.XLOOKUP(C116,'COM RESID'!J:J,'COM RESID'!W:W)</f>
        <v/>
      </c>
      <c r="H116" s="12">
        <f>_xlfn.XLOOKUP(C116,'COM RESID'!J:J,'COM RESID'!V:V)</f>
        <v/>
      </c>
      <c r="I116" s="12">
        <f>ROUNDUP(_xlfn.XLOOKUP(C116,'COM RESID'!J:J,'COM RESID'!S:S),0)</f>
        <v/>
      </c>
      <c r="J116" s="8">
        <f>_xlfn.XLOOKUP(C116,'COM RESID'!J:J,'COM RESID'!T:T)</f>
        <v/>
      </c>
      <c r="K116" s="13">
        <f>_xlfn.XLOOKUP(C116,'COM RESID'!J:J,'COM RESID'!P:P)</f>
        <v/>
      </c>
      <c r="L116" s="12">
        <f>_xlfn.XLOOKUP(C116,'COM RESID'!J:J,'COM RESID'!V:V)</f>
        <v/>
      </c>
    </row>
    <row r="117">
      <c r="B117">
        <f>IF(K117=0,"*",Def_Tech!C261)</f>
        <v/>
      </c>
      <c r="C117">
        <f>Def_Tech!D261</f>
        <v/>
      </c>
      <c r="D117">
        <f>_xlfn.XLOOKUP(C117,'COM RESID'!J:J,'COM RESID'!H:H)</f>
        <v/>
      </c>
      <c r="E117">
        <f>_xlfn.XLOOKUP(C117,'COM RESID'!J:J,'COM RESID'!I:I)</f>
        <v/>
      </c>
      <c r="F117" s="12">
        <f>_xlfn.XLOOKUP(C117,'COM RESID'!J:J,'COM RESID'!R:R)</f>
        <v/>
      </c>
      <c r="G117">
        <f>_xlfn.XLOOKUP(C117,'COM RESID'!J:J,'COM RESID'!W:W)</f>
        <v/>
      </c>
      <c r="H117" s="12">
        <f>_xlfn.XLOOKUP(C117,'COM RESID'!J:J,'COM RESID'!V:V)</f>
        <v/>
      </c>
      <c r="I117" s="12">
        <f>ROUNDUP(_xlfn.XLOOKUP(C117,'COM RESID'!J:J,'COM RESID'!S:S),0)</f>
        <v/>
      </c>
      <c r="J117" s="8">
        <f>_xlfn.XLOOKUP(C117,'COM RESID'!J:J,'COM RESID'!T:T)</f>
        <v/>
      </c>
      <c r="K117" s="13">
        <f>_xlfn.XLOOKUP(C117,'COM RESID'!J:J,'COM RESID'!P:P)</f>
        <v/>
      </c>
      <c r="L117" s="12">
        <f>_xlfn.XLOOKUP(C117,'COM RESID'!J:J,'COM RESID'!V:V)</f>
        <v/>
      </c>
    </row>
    <row r="118">
      <c r="B118">
        <f>IF(K118=0,"*",Def_Tech!C262)</f>
        <v/>
      </c>
      <c r="C118">
        <f>Def_Tech!D262</f>
        <v/>
      </c>
      <c r="D118">
        <f>_xlfn.XLOOKUP(C118,'COM RESID'!J:J,'COM RESID'!H:H)</f>
        <v/>
      </c>
      <c r="E118">
        <f>_xlfn.XLOOKUP(C118,'COM RESID'!J:J,'COM RESID'!I:I)</f>
        <v/>
      </c>
      <c r="F118" s="12">
        <f>_xlfn.XLOOKUP(C118,'COM RESID'!J:J,'COM RESID'!R:R)</f>
        <v/>
      </c>
      <c r="G118">
        <f>_xlfn.XLOOKUP(C118,'COM RESID'!J:J,'COM RESID'!W:W)</f>
        <v/>
      </c>
      <c r="H118" s="12">
        <f>_xlfn.XLOOKUP(C118,'COM RESID'!J:J,'COM RESID'!V:V)</f>
        <v/>
      </c>
      <c r="I118" s="12">
        <f>ROUNDUP(_xlfn.XLOOKUP(C118,'COM RESID'!J:J,'COM RESID'!S:S),0)</f>
        <v/>
      </c>
      <c r="J118" s="8">
        <f>_xlfn.XLOOKUP(C118,'COM RESID'!J:J,'COM RESID'!T:T)</f>
        <v/>
      </c>
      <c r="K118" s="13">
        <f>_xlfn.XLOOKUP(C118,'COM RESID'!J:J,'COM RESID'!P:P)</f>
        <v/>
      </c>
      <c r="L118" s="12">
        <f>_xlfn.XLOOKUP(C118,'COM RESID'!J:J,'COM RESID'!V:V)</f>
        <v/>
      </c>
    </row>
    <row r="119">
      <c r="B119">
        <f>IF(K119=0,"*",Def_Tech!C263)</f>
        <v/>
      </c>
      <c r="C119">
        <f>Def_Tech!D263</f>
        <v/>
      </c>
      <c r="D119">
        <f>_xlfn.XLOOKUP(C119,'COM RESID'!J:J,'COM RESID'!H:H)</f>
        <v/>
      </c>
      <c r="E119">
        <f>_xlfn.XLOOKUP(C119,'COM RESID'!J:J,'COM RESID'!I:I)</f>
        <v/>
      </c>
      <c r="F119" s="12">
        <f>_xlfn.XLOOKUP(C119,'COM RESID'!J:J,'COM RESID'!R:R)</f>
        <v/>
      </c>
      <c r="G119">
        <f>_xlfn.XLOOKUP(C119,'COM RESID'!J:J,'COM RESID'!W:W)</f>
        <v/>
      </c>
      <c r="H119" s="12">
        <f>_xlfn.XLOOKUP(C119,'COM RESID'!J:J,'COM RESID'!V:V)</f>
        <v/>
      </c>
      <c r="I119" s="12">
        <f>ROUNDUP(_xlfn.XLOOKUP(C119,'COM RESID'!J:J,'COM RESID'!S:S),0)</f>
        <v/>
      </c>
      <c r="J119" s="8">
        <f>_xlfn.XLOOKUP(C119,'COM RESID'!J:J,'COM RESID'!T:T)</f>
        <v/>
      </c>
      <c r="K119" s="13">
        <f>_xlfn.XLOOKUP(C119,'COM RESID'!J:J,'COM RESID'!P:P)</f>
        <v/>
      </c>
      <c r="L119" s="12">
        <f>_xlfn.XLOOKUP(C119,'COM RESID'!J:J,'COM RESID'!V:V)</f>
        <v/>
      </c>
    </row>
    <row r="120">
      <c r="B120">
        <f>IF(K120=0,"*",Def_Tech!C264)</f>
        <v/>
      </c>
      <c r="C120">
        <f>Def_Tech!D264</f>
        <v/>
      </c>
      <c r="D120">
        <f>_xlfn.XLOOKUP(C120,'COM RESID'!J:J,'COM RESID'!H:H)</f>
        <v/>
      </c>
      <c r="E120">
        <f>_xlfn.XLOOKUP(C120,'COM RESID'!J:J,'COM RESID'!I:I)</f>
        <v/>
      </c>
      <c r="F120" s="12">
        <f>_xlfn.XLOOKUP(C120,'COM RESID'!J:J,'COM RESID'!R:R)</f>
        <v/>
      </c>
      <c r="G120">
        <f>_xlfn.XLOOKUP(C120,'COM RESID'!J:J,'COM RESID'!W:W)</f>
        <v/>
      </c>
      <c r="H120" s="12">
        <f>_xlfn.XLOOKUP(C120,'COM RESID'!J:J,'COM RESID'!V:V)</f>
        <v/>
      </c>
      <c r="I120" s="12">
        <f>ROUNDUP(_xlfn.XLOOKUP(C120,'COM RESID'!J:J,'COM RESID'!S:S),0)</f>
        <v/>
      </c>
      <c r="J120" s="8">
        <f>_xlfn.XLOOKUP(C120,'COM RESID'!J:J,'COM RESID'!T:T)</f>
        <v/>
      </c>
      <c r="K120" s="13">
        <f>_xlfn.XLOOKUP(C120,'COM RESID'!J:J,'COM RESID'!P:P)</f>
        <v/>
      </c>
      <c r="L120" s="12">
        <f>_xlfn.XLOOKUP(C120,'COM RESID'!J:J,'COM RESID'!V:V)</f>
        <v/>
      </c>
    </row>
    <row r="121">
      <c r="B121">
        <f>IF(K121=0,"*",Def_Tech!C265)</f>
        <v/>
      </c>
      <c r="C121">
        <f>Def_Tech!D265</f>
        <v/>
      </c>
      <c r="D121">
        <f>_xlfn.XLOOKUP(C121,'COM RESID'!J:J,'COM RESID'!H:H)</f>
        <v/>
      </c>
      <c r="E121">
        <f>_xlfn.XLOOKUP(C121,'COM RESID'!J:J,'COM RESID'!I:I)</f>
        <v/>
      </c>
      <c r="F121" s="12">
        <f>_xlfn.XLOOKUP(C121,'COM RESID'!J:J,'COM RESID'!R:R)</f>
        <v/>
      </c>
      <c r="G121">
        <f>_xlfn.XLOOKUP(C121,'COM RESID'!J:J,'COM RESID'!W:W)</f>
        <v/>
      </c>
      <c r="H121" s="12">
        <f>_xlfn.XLOOKUP(C121,'COM RESID'!J:J,'COM RESID'!V:V)</f>
        <v/>
      </c>
      <c r="I121" s="12">
        <f>ROUNDUP(_xlfn.XLOOKUP(C121,'COM RESID'!J:J,'COM RESID'!S:S),0)</f>
        <v/>
      </c>
      <c r="J121" s="8">
        <f>_xlfn.XLOOKUP(C121,'COM RESID'!J:J,'COM RESID'!T:T)</f>
        <v/>
      </c>
      <c r="K121" s="13">
        <f>_xlfn.XLOOKUP(C121,'COM RESID'!J:J,'COM RESID'!P:P)</f>
        <v/>
      </c>
      <c r="L121" s="12">
        <f>_xlfn.XLOOKUP(C121,'COM RESID'!J:J,'COM RESID'!V:V)</f>
        <v/>
      </c>
    </row>
    <row r="122">
      <c r="B122">
        <f>IF(K122=0,"*",Def_Tech!C266)</f>
        <v/>
      </c>
      <c r="C122">
        <f>Def_Tech!D266</f>
        <v/>
      </c>
      <c r="D122">
        <f>_xlfn.XLOOKUP(C122,'COM RESID'!J:J,'COM RESID'!H:H)</f>
        <v/>
      </c>
      <c r="E122">
        <f>_xlfn.XLOOKUP(C122,'COM RESID'!J:J,'COM RESID'!I:I)</f>
        <v/>
      </c>
      <c r="F122" s="12">
        <f>_xlfn.XLOOKUP(C122,'COM RESID'!J:J,'COM RESID'!R:R)</f>
        <v/>
      </c>
      <c r="G122">
        <f>_xlfn.XLOOKUP(C122,'COM RESID'!J:J,'COM RESID'!W:W)</f>
        <v/>
      </c>
      <c r="H122" s="12">
        <f>_xlfn.XLOOKUP(C122,'COM RESID'!J:J,'COM RESID'!V:V)</f>
        <v/>
      </c>
      <c r="I122" s="12">
        <f>ROUNDUP(_xlfn.XLOOKUP(C122,'COM RESID'!J:J,'COM RESID'!S:S),0)</f>
        <v/>
      </c>
      <c r="J122" s="8">
        <f>_xlfn.XLOOKUP(C122,'COM RESID'!J:J,'COM RESID'!T:T)</f>
        <v/>
      </c>
      <c r="K122" s="13">
        <f>_xlfn.XLOOKUP(C122,'COM RESID'!J:J,'COM RESID'!P:P)</f>
        <v/>
      </c>
      <c r="L122" s="12">
        <f>_xlfn.XLOOKUP(C122,'COM RESID'!J:J,'COM RESID'!V:V)</f>
        <v/>
      </c>
    </row>
    <row r="123">
      <c r="B123">
        <f>IF(K123=0,"*",Def_Tech!C267)</f>
        <v/>
      </c>
      <c r="C123">
        <f>Def_Tech!D267</f>
        <v/>
      </c>
      <c r="D123">
        <f>_xlfn.XLOOKUP(C123,'COM RESID'!J:J,'COM RESID'!H:H)</f>
        <v/>
      </c>
      <c r="E123">
        <f>_xlfn.XLOOKUP(C123,'COM RESID'!J:J,'COM RESID'!I:I)</f>
        <v/>
      </c>
      <c r="F123" s="12">
        <f>_xlfn.XLOOKUP(C123,'COM RESID'!J:J,'COM RESID'!R:R)</f>
        <v/>
      </c>
      <c r="G123">
        <f>_xlfn.XLOOKUP(C123,'COM RESID'!J:J,'COM RESID'!W:W)</f>
        <v/>
      </c>
      <c r="H123" s="12">
        <f>_xlfn.XLOOKUP(C123,'COM RESID'!J:J,'COM RESID'!V:V)</f>
        <v/>
      </c>
      <c r="I123" s="12">
        <f>ROUNDUP(_xlfn.XLOOKUP(C123,'COM RESID'!J:J,'COM RESID'!S:S),0)</f>
        <v/>
      </c>
      <c r="J123" s="8">
        <f>_xlfn.XLOOKUP(C123,'COM RESID'!J:J,'COM RESID'!T:T)</f>
        <v/>
      </c>
      <c r="K123" s="13">
        <f>_xlfn.XLOOKUP(C123,'COM RESID'!J:J,'COM RESID'!P:P)</f>
        <v/>
      </c>
      <c r="L123" s="12">
        <f>_xlfn.XLOOKUP(C123,'COM RESID'!J:J,'COM RESID'!V:V)</f>
        <v/>
      </c>
    </row>
    <row r="124">
      <c r="B124">
        <f>IF(K124=0,"*",Def_Tech!C268)</f>
        <v/>
      </c>
      <c r="C124">
        <f>Def_Tech!D268</f>
        <v/>
      </c>
      <c r="D124">
        <f>_xlfn.XLOOKUP(C124,'COM RESID'!J:J,'COM RESID'!H:H)</f>
        <v/>
      </c>
      <c r="E124">
        <f>_xlfn.XLOOKUP(C124,'COM RESID'!J:J,'COM RESID'!I:I)</f>
        <v/>
      </c>
      <c r="F124" s="12">
        <f>_xlfn.XLOOKUP(C124,'COM RESID'!J:J,'COM RESID'!R:R)</f>
        <v/>
      </c>
      <c r="G124">
        <f>_xlfn.XLOOKUP(C124,'COM RESID'!J:J,'COM RESID'!W:W)</f>
        <v/>
      </c>
      <c r="H124" s="12">
        <f>_xlfn.XLOOKUP(C124,'COM RESID'!J:J,'COM RESID'!V:V)</f>
        <v/>
      </c>
      <c r="I124" s="12">
        <f>ROUNDUP(_xlfn.XLOOKUP(C124,'COM RESID'!J:J,'COM RESID'!S:S),0)</f>
        <v/>
      </c>
      <c r="J124" s="8">
        <f>_xlfn.XLOOKUP(C124,'COM RESID'!J:J,'COM RESID'!T:T)</f>
        <v/>
      </c>
      <c r="K124" s="13">
        <f>_xlfn.XLOOKUP(C124,'COM RESID'!J:J,'COM RESID'!P:P)</f>
        <v/>
      </c>
      <c r="L124" s="12">
        <f>_xlfn.XLOOKUP(C124,'COM RESID'!J:J,'COM RESID'!V:V)</f>
        <v/>
      </c>
    </row>
    <row r="125">
      <c r="B125">
        <f>IF(K125=0,"*",Def_Tech!C269)</f>
        <v/>
      </c>
      <c r="C125">
        <f>Def_Tech!D269</f>
        <v/>
      </c>
      <c r="D125">
        <f>_xlfn.XLOOKUP(C125,'COM RESID'!J:J,'COM RESID'!H:H)</f>
        <v/>
      </c>
      <c r="E125">
        <f>_xlfn.XLOOKUP(C125,'COM RESID'!J:J,'COM RESID'!I:I)</f>
        <v/>
      </c>
      <c r="F125" s="12">
        <f>_xlfn.XLOOKUP(C125,'COM RESID'!J:J,'COM RESID'!R:R)</f>
        <v/>
      </c>
      <c r="G125">
        <f>_xlfn.XLOOKUP(C125,'COM RESID'!J:J,'COM RESID'!W:W)</f>
        <v/>
      </c>
      <c r="H125" s="12">
        <f>_xlfn.XLOOKUP(C125,'COM RESID'!J:J,'COM RESID'!V:V)</f>
        <v/>
      </c>
      <c r="I125" s="12">
        <f>ROUNDUP(_xlfn.XLOOKUP(C125,'COM RESID'!J:J,'COM RESID'!S:S),0)</f>
        <v/>
      </c>
      <c r="J125" s="8">
        <f>_xlfn.XLOOKUP(C125,'COM RESID'!J:J,'COM RESID'!T:T)</f>
        <v/>
      </c>
      <c r="K125" s="13">
        <f>_xlfn.XLOOKUP(C125,'COM RESID'!J:J,'COM RESID'!P:P)</f>
        <v/>
      </c>
      <c r="L125" s="12">
        <f>_xlfn.XLOOKUP(C125,'COM RESID'!J:J,'COM RESID'!V:V)</f>
        <v/>
      </c>
    </row>
    <row r="126">
      <c r="B126">
        <f>IF(K126=0,"*",Def_Tech!C270)</f>
        <v/>
      </c>
      <c r="C126">
        <f>Def_Tech!D270</f>
        <v/>
      </c>
      <c r="D126">
        <f>_xlfn.XLOOKUP(C126,'COM RESID'!J:J,'COM RESID'!H:H)</f>
        <v/>
      </c>
      <c r="E126">
        <f>_xlfn.XLOOKUP(C126,'COM RESID'!J:J,'COM RESID'!I:I)</f>
        <v/>
      </c>
      <c r="F126" s="12">
        <f>_xlfn.XLOOKUP(C126,'COM RESID'!J:J,'COM RESID'!R:R)</f>
        <v/>
      </c>
      <c r="G126">
        <f>_xlfn.XLOOKUP(C126,'COM RESID'!J:J,'COM RESID'!W:W)</f>
        <v/>
      </c>
      <c r="H126" s="12">
        <f>_xlfn.XLOOKUP(C126,'COM RESID'!J:J,'COM RESID'!V:V)</f>
        <v/>
      </c>
      <c r="I126" s="12">
        <f>ROUNDUP(_xlfn.XLOOKUP(C126,'COM RESID'!J:J,'COM RESID'!S:S),0)</f>
        <v/>
      </c>
      <c r="J126" s="8">
        <f>_xlfn.XLOOKUP(C126,'COM RESID'!J:J,'COM RESID'!T:T)</f>
        <v/>
      </c>
      <c r="K126" s="13">
        <f>_xlfn.XLOOKUP(C126,'COM RESID'!J:J,'COM RESID'!P:P)</f>
        <v/>
      </c>
      <c r="L126" s="12">
        <f>_xlfn.XLOOKUP(C126,'COM RESID'!J:J,'COM RESID'!V:V)</f>
        <v/>
      </c>
    </row>
    <row r="127">
      <c r="B127">
        <f>IF(K127=0,"*",Def_Tech!C271)</f>
        <v/>
      </c>
      <c r="C127">
        <f>Def_Tech!D271</f>
        <v/>
      </c>
      <c r="D127">
        <f>_xlfn.XLOOKUP(C127,'COM RESID'!J:J,'COM RESID'!H:H)</f>
        <v/>
      </c>
      <c r="E127">
        <f>_xlfn.XLOOKUP(C127,'COM RESID'!J:J,'COM RESID'!I:I)</f>
        <v/>
      </c>
      <c r="F127" s="12">
        <f>_xlfn.XLOOKUP(C127,'COM RESID'!J:J,'COM RESID'!R:R)</f>
        <v/>
      </c>
      <c r="G127">
        <f>_xlfn.XLOOKUP(C127,'COM RESID'!J:J,'COM RESID'!W:W)</f>
        <v/>
      </c>
      <c r="H127" s="12">
        <f>_xlfn.XLOOKUP(C127,'COM RESID'!J:J,'COM RESID'!V:V)</f>
        <v/>
      </c>
      <c r="I127" s="12">
        <f>ROUNDUP(_xlfn.XLOOKUP(C127,'COM RESID'!J:J,'COM RESID'!S:S),0)</f>
        <v/>
      </c>
      <c r="J127" s="8">
        <f>_xlfn.XLOOKUP(C127,'COM RESID'!J:J,'COM RESID'!T:T)</f>
        <v/>
      </c>
      <c r="K127" s="13">
        <f>_xlfn.XLOOKUP(C127,'COM RESID'!J:J,'COM RESID'!P:P)</f>
        <v/>
      </c>
      <c r="L127" s="12">
        <f>_xlfn.XLOOKUP(C127,'COM RESID'!J:J,'COM RESID'!V:V)</f>
        <v/>
      </c>
    </row>
    <row r="128">
      <c r="B128">
        <f>IF(K128=0,"*",Def_Tech!C272)</f>
        <v/>
      </c>
      <c r="C128">
        <f>Def_Tech!D272</f>
        <v/>
      </c>
      <c r="D128">
        <f>_xlfn.XLOOKUP(C128,'COM RESID'!J:J,'COM RESID'!H:H)</f>
        <v/>
      </c>
      <c r="E128">
        <f>_xlfn.XLOOKUP(C128,'COM RESID'!J:J,'COM RESID'!I:I)</f>
        <v/>
      </c>
      <c r="F128" s="12">
        <f>_xlfn.XLOOKUP(C128,'COM RESID'!J:J,'COM RESID'!R:R)</f>
        <v/>
      </c>
      <c r="G128">
        <f>_xlfn.XLOOKUP(C128,'COM RESID'!J:J,'COM RESID'!W:W)</f>
        <v/>
      </c>
      <c r="H128" s="12">
        <f>_xlfn.XLOOKUP(C128,'COM RESID'!J:J,'COM RESID'!V:V)</f>
        <v/>
      </c>
      <c r="I128" s="12">
        <f>ROUNDUP(_xlfn.XLOOKUP(C128,'COM RESID'!J:J,'COM RESID'!S:S),0)</f>
        <v/>
      </c>
      <c r="J128" s="8">
        <f>_xlfn.XLOOKUP(C128,'COM RESID'!J:J,'COM RESID'!T:T)</f>
        <v/>
      </c>
      <c r="K128" s="13">
        <f>_xlfn.XLOOKUP(C128,'COM RESID'!J:J,'COM RESID'!P:P)</f>
        <v/>
      </c>
      <c r="L128" s="12">
        <f>_xlfn.XLOOKUP(C128,'COM RESID'!J:J,'COM RESID'!V:V)</f>
        <v/>
      </c>
    </row>
    <row r="129">
      <c r="B129">
        <f>IF(K129=0,"*",Def_Tech!C273)</f>
        <v/>
      </c>
      <c r="C129">
        <f>Def_Tech!D273</f>
        <v/>
      </c>
      <c r="D129">
        <f>_xlfn.XLOOKUP(C129,'COM RESID'!J:J,'COM RESID'!H:H)</f>
        <v/>
      </c>
      <c r="E129">
        <f>_xlfn.XLOOKUP(C129,'COM RESID'!J:J,'COM RESID'!I:I)</f>
        <v/>
      </c>
      <c r="F129" s="12">
        <f>_xlfn.XLOOKUP(C129,'COM RESID'!J:J,'COM RESID'!R:R)</f>
        <v/>
      </c>
      <c r="G129">
        <f>_xlfn.XLOOKUP(C129,'COM RESID'!J:J,'COM RESID'!W:W)</f>
        <v/>
      </c>
      <c r="H129" s="12">
        <f>_xlfn.XLOOKUP(C129,'COM RESID'!J:J,'COM RESID'!V:V)</f>
        <v/>
      </c>
      <c r="I129" s="12">
        <f>ROUNDUP(_xlfn.XLOOKUP(C129,'COM RESID'!J:J,'COM RESID'!S:S),0)</f>
        <v/>
      </c>
      <c r="J129" s="8">
        <f>_xlfn.XLOOKUP(C129,'COM RESID'!J:J,'COM RESID'!T:T)</f>
        <v/>
      </c>
      <c r="K129" s="13">
        <f>_xlfn.XLOOKUP(C129,'COM RESID'!J:J,'COM RESID'!P:P)</f>
        <v/>
      </c>
      <c r="L129" s="12">
        <f>_xlfn.XLOOKUP(C129,'COM RESID'!J:J,'COM RESID'!V:V)</f>
        <v/>
      </c>
    </row>
    <row r="130">
      <c r="B130">
        <f>IF(K130=0,"*",Def_Tech!C274)</f>
        <v/>
      </c>
      <c r="C130">
        <f>Def_Tech!D274</f>
        <v/>
      </c>
      <c r="D130">
        <f>_xlfn.XLOOKUP(C130,'COM RESID'!J:J,'COM RESID'!H:H)</f>
        <v/>
      </c>
      <c r="E130">
        <f>_xlfn.XLOOKUP(C130,'COM RESID'!J:J,'COM RESID'!I:I)</f>
        <v/>
      </c>
      <c r="F130" s="12">
        <f>_xlfn.XLOOKUP(C130,'COM RESID'!J:J,'COM RESID'!R:R)</f>
        <v/>
      </c>
      <c r="G130">
        <f>_xlfn.XLOOKUP(C130,'COM RESID'!J:J,'COM RESID'!W:W)</f>
        <v/>
      </c>
      <c r="H130" s="12">
        <f>_xlfn.XLOOKUP(C130,'COM RESID'!J:J,'COM RESID'!V:V)</f>
        <v/>
      </c>
      <c r="I130" s="12">
        <f>ROUNDUP(_xlfn.XLOOKUP(C130,'COM RESID'!J:J,'COM RESID'!S:S),0)</f>
        <v/>
      </c>
      <c r="J130" s="8">
        <f>_xlfn.XLOOKUP(C130,'COM RESID'!J:J,'COM RESID'!T:T)</f>
        <v/>
      </c>
      <c r="K130" s="13">
        <f>_xlfn.XLOOKUP(C130,'COM RESID'!J:J,'COM RESID'!P:P)</f>
        <v/>
      </c>
      <c r="L130" s="12">
        <f>_xlfn.XLOOKUP(C130,'COM RESID'!J:J,'COM RESID'!V:V)</f>
        <v/>
      </c>
    </row>
    <row r="131">
      <c r="B131">
        <f>IF(K131=0,"*",Def_Tech!C275)</f>
        <v/>
      </c>
      <c r="C131">
        <f>Def_Tech!D275</f>
        <v/>
      </c>
      <c r="D131">
        <f>_xlfn.XLOOKUP(C131,'COM RESID'!J:J,'COM RESID'!H:H)</f>
        <v/>
      </c>
      <c r="E131">
        <f>_xlfn.XLOOKUP(C131,'COM RESID'!J:J,'COM RESID'!I:I)</f>
        <v/>
      </c>
      <c r="F131" s="12">
        <f>_xlfn.XLOOKUP(C131,'COM RESID'!J:J,'COM RESID'!R:R)</f>
        <v/>
      </c>
      <c r="G131">
        <f>_xlfn.XLOOKUP(C131,'COM RESID'!J:J,'COM RESID'!W:W)</f>
        <v/>
      </c>
      <c r="H131" s="12">
        <f>_xlfn.XLOOKUP(C131,'COM RESID'!J:J,'COM RESID'!V:V)</f>
        <v/>
      </c>
      <c r="I131" s="12">
        <f>ROUNDUP(_xlfn.XLOOKUP(C131,'COM RESID'!J:J,'COM RESID'!S:S),0)</f>
        <v/>
      </c>
      <c r="J131" s="8">
        <f>_xlfn.XLOOKUP(C131,'COM RESID'!J:J,'COM RESID'!T:T)</f>
        <v/>
      </c>
      <c r="K131" s="13">
        <f>_xlfn.XLOOKUP(C131,'COM RESID'!J:J,'COM RESID'!P:P)</f>
        <v/>
      </c>
      <c r="L131" s="12">
        <f>_xlfn.XLOOKUP(C131,'COM RESID'!J:J,'COM RESID'!V:V)</f>
        <v/>
      </c>
    </row>
    <row r="132">
      <c r="B132">
        <f>IF(K132=0,"*",Def_Tech!C276)</f>
        <v/>
      </c>
      <c r="C132">
        <f>Def_Tech!D276</f>
        <v/>
      </c>
      <c r="D132">
        <f>_xlfn.XLOOKUP(C132,'COM RESID'!J:J,'COM RESID'!H:H)</f>
        <v/>
      </c>
      <c r="E132">
        <f>_xlfn.XLOOKUP(C132,'COM RESID'!J:J,'COM RESID'!I:I)</f>
        <v/>
      </c>
      <c r="F132" s="12">
        <f>_xlfn.XLOOKUP(C132,'COM RESID'!J:J,'COM RESID'!R:R)</f>
        <v/>
      </c>
      <c r="G132">
        <f>_xlfn.XLOOKUP(C132,'COM RESID'!J:J,'COM RESID'!W:W)</f>
        <v/>
      </c>
      <c r="H132" s="12">
        <f>_xlfn.XLOOKUP(C132,'COM RESID'!J:J,'COM RESID'!V:V)</f>
        <v/>
      </c>
      <c r="I132" s="12">
        <f>ROUNDUP(_xlfn.XLOOKUP(C132,'COM RESID'!J:J,'COM RESID'!S:S),0)</f>
        <v/>
      </c>
      <c r="J132" s="8">
        <f>_xlfn.XLOOKUP(C132,'COM RESID'!J:J,'COM RESID'!T:T)</f>
        <v/>
      </c>
      <c r="K132" s="13">
        <f>_xlfn.XLOOKUP(C132,'COM RESID'!J:J,'COM RESID'!P:P)</f>
        <v/>
      </c>
      <c r="L132" s="12">
        <f>_xlfn.XLOOKUP(C132,'COM RESID'!J:J,'COM RESID'!V:V)</f>
        <v/>
      </c>
    </row>
    <row r="133">
      <c r="B133">
        <f>IF(K133=0,"*",Def_Tech!C277)</f>
        <v/>
      </c>
      <c r="C133">
        <f>Def_Tech!D277</f>
        <v/>
      </c>
      <c r="D133">
        <f>_xlfn.XLOOKUP(C133,'COM RESID'!J:J,'COM RESID'!H:H)</f>
        <v/>
      </c>
      <c r="E133">
        <f>_xlfn.XLOOKUP(C133,'COM RESID'!J:J,'COM RESID'!I:I)</f>
        <v/>
      </c>
      <c r="F133" s="12">
        <f>_xlfn.XLOOKUP(C133,'COM RESID'!J:J,'COM RESID'!R:R)</f>
        <v/>
      </c>
      <c r="G133">
        <f>_xlfn.XLOOKUP(C133,'COM RESID'!J:J,'COM RESID'!W:W)</f>
        <v/>
      </c>
      <c r="H133" s="12">
        <f>_xlfn.XLOOKUP(C133,'COM RESID'!J:J,'COM RESID'!V:V)</f>
        <v/>
      </c>
      <c r="I133" s="12">
        <f>ROUNDUP(_xlfn.XLOOKUP(C133,'COM RESID'!J:J,'COM RESID'!S:S),0)</f>
        <v/>
      </c>
      <c r="J133" s="8">
        <f>_xlfn.XLOOKUP(C133,'COM RESID'!J:J,'COM RESID'!T:T)</f>
        <v/>
      </c>
      <c r="K133" s="13">
        <f>_xlfn.XLOOKUP(C133,'COM RESID'!J:J,'COM RESID'!P:P)</f>
        <v/>
      </c>
      <c r="L133" s="12">
        <f>_xlfn.XLOOKUP(C133,'COM RESID'!J:J,'COM RESID'!V:V)</f>
        <v/>
      </c>
    </row>
    <row r="134">
      <c r="B134">
        <f>IF(K134=0,"*",Def_Tech!C278)</f>
        <v/>
      </c>
      <c r="C134">
        <f>Def_Tech!D278</f>
        <v/>
      </c>
      <c r="D134">
        <f>_xlfn.XLOOKUP(C134,'COM RESID'!J:J,'COM RESID'!H:H)</f>
        <v/>
      </c>
      <c r="E134">
        <f>_xlfn.XLOOKUP(C134,'COM RESID'!J:J,'COM RESID'!I:I)</f>
        <v/>
      </c>
      <c r="F134" s="12">
        <f>_xlfn.XLOOKUP(C134,'COM RESID'!J:J,'COM RESID'!R:R)</f>
        <v/>
      </c>
      <c r="G134">
        <f>_xlfn.XLOOKUP(C134,'COM RESID'!J:J,'COM RESID'!W:W)</f>
        <v/>
      </c>
      <c r="H134" s="12">
        <f>_xlfn.XLOOKUP(C134,'COM RESID'!J:J,'COM RESID'!V:V)</f>
        <v/>
      </c>
      <c r="I134" s="12">
        <f>ROUNDUP(_xlfn.XLOOKUP(C134,'COM RESID'!J:J,'COM RESID'!S:S),0)</f>
        <v/>
      </c>
      <c r="J134" s="8">
        <f>_xlfn.XLOOKUP(C134,'COM RESID'!J:J,'COM RESID'!T:T)</f>
        <v/>
      </c>
      <c r="K134" s="13">
        <f>_xlfn.XLOOKUP(C134,'COM RESID'!J:J,'COM RESID'!P:P)</f>
        <v/>
      </c>
      <c r="L134" s="12">
        <f>_xlfn.XLOOKUP(C134,'COM RESID'!J:J,'COM RESID'!V:V)</f>
        <v/>
      </c>
    </row>
    <row r="135">
      <c r="B135">
        <f>IF(K135=0,"*",Def_Tech!C279)</f>
        <v/>
      </c>
      <c r="C135">
        <f>Def_Tech!D279</f>
        <v/>
      </c>
      <c r="D135">
        <f>_xlfn.XLOOKUP(C135,'COM RESID'!J:J,'COM RESID'!H:H)</f>
        <v/>
      </c>
      <c r="E135">
        <f>_xlfn.XLOOKUP(C135,'COM RESID'!J:J,'COM RESID'!I:I)</f>
        <v/>
      </c>
      <c r="F135" s="12">
        <f>_xlfn.XLOOKUP(C135,'COM RESID'!J:J,'COM RESID'!R:R)</f>
        <v/>
      </c>
      <c r="G135">
        <f>_xlfn.XLOOKUP(C135,'COM RESID'!J:J,'COM RESID'!W:W)</f>
        <v/>
      </c>
      <c r="H135" s="12">
        <f>_xlfn.XLOOKUP(C135,'COM RESID'!J:J,'COM RESID'!V:V)</f>
        <v/>
      </c>
      <c r="I135" s="12">
        <f>ROUNDUP(_xlfn.XLOOKUP(C135,'COM RESID'!J:J,'COM RESID'!S:S),0)</f>
        <v/>
      </c>
      <c r="J135" s="8">
        <f>_xlfn.XLOOKUP(C135,'COM RESID'!J:J,'COM RESID'!T:T)</f>
        <v/>
      </c>
      <c r="K135" s="13">
        <f>_xlfn.XLOOKUP(C135,'COM RESID'!J:J,'COM RESID'!P:P)</f>
        <v/>
      </c>
      <c r="L135" s="12">
        <f>_xlfn.XLOOKUP(C135,'COM RESID'!J:J,'COM RESID'!V:V)</f>
        <v/>
      </c>
    </row>
    <row r="136">
      <c r="B136">
        <f>IF(K136=0,"*",Def_Tech!C280)</f>
        <v/>
      </c>
      <c r="C136">
        <f>Def_Tech!D280</f>
        <v/>
      </c>
      <c r="D136">
        <f>_xlfn.XLOOKUP(C136,'COM RESID'!J:J,'COM RESID'!H:H)</f>
        <v/>
      </c>
      <c r="E136">
        <f>_xlfn.XLOOKUP(C136,'COM RESID'!J:J,'COM RESID'!I:I)</f>
        <v/>
      </c>
      <c r="F136" s="12">
        <f>_xlfn.XLOOKUP(C136,'COM RESID'!J:J,'COM RESID'!R:R)</f>
        <v/>
      </c>
      <c r="G136">
        <f>_xlfn.XLOOKUP(C136,'COM RESID'!J:J,'COM RESID'!W:W)</f>
        <v/>
      </c>
      <c r="H136" s="12">
        <f>_xlfn.XLOOKUP(C136,'COM RESID'!J:J,'COM RESID'!V:V)</f>
        <v/>
      </c>
      <c r="I136" s="12">
        <f>ROUNDUP(_xlfn.XLOOKUP(C136,'COM RESID'!J:J,'COM RESID'!S:S),0)</f>
        <v/>
      </c>
      <c r="J136" s="8">
        <f>_xlfn.XLOOKUP(C136,'COM RESID'!J:J,'COM RESID'!T:T)</f>
        <v/>
      </c>
      <c r="K136" s="13">
        <f>_xlfn.XLOOKUP(C136,'COM RESID'!J:J,'COM RESID'!P:P)</f>
        <v/>
      </c>
      <c r="L136" s="12">
        <f>_xlfn.XLOOKUP(C136,'COM RESID'!J:J,'COM RESID'!V:V)</f>
        <v/>
      </c>
    </row>
    <row r="137">
      <c r="B137">
        <f>IF(K137=0,"*",Def_Tech!C281)</f>
        <v/>
      </c>
      <c r="C137">
        <f>Def_Tech!D281</f>
        <v/>
      </c>
      <c r="D137">
        <f>_xlfn.XLOOKUP(C137,'COM RESID'!J:J,'COM RESID'!H:H)</f>
        <v/>
      </c>
      <c r="E137">
        <f>_xlfn.XLOOKUP(C137,'COM RESID'!J:J,'COM RESID'!I:I)</f>
        <v/>
      </c>
      <c r="F137" s="12">
        <f>_xlfn.XLOOKUP(C137,'COM RESID'!J:J,'COM RESID'!R:R)</f>
        <v/>
      </c>
      <c r="G137">
        <f>_xlfn.XLOOKUP(C137,'COM RESID'!J:J,'COM RESID'!W:W)</f>
        <v/>
      </c>
      <c r="H137" s="12">
        <f>_xlfn.XLOOKUP(C137,'COM RESID'!J:J,'COM RESID'!V:V)</f>
        <v/>
      </c>
      <c r="I137" s="12">
        <f>ROUNDUP(_xlfn.XLOOKUP(C137,'COM RESID'!J:J,'COM RESID'!S:S),0)</f>
        <v/>
      </c>
      <c r="J137" s="8">
        <f>_xlfn.XLOOKUP(C137,'COM RESID'!J:J,'COM RESID'!T:T)</f>
        <v/>
      </c>
      <c r="K137" s="13">
        <f>_xlfn.XLOOKUP(C137,'COM RESID'!J:J,'COM RESID'!P:P)</f>
        <v/>
      </c>
      <c r="L137" s="12">
        <f>_xlfn.XLOOKUP(C137,'COM RESID'!J:J,'COM RESID'!V:V)</f>
        <v/>
      </c>
    </row>
    <row r="138">
      <c r="B138">
        <f>IF(K138=0,"*",Def_Tech!C282)</f>
        <v/>
      </c>
      <c r="C138">
        <f>Def_Tech!D282</f>
        <v/>
      </c>
      <c r="D138">
        <f>_xlfn.XLOOKUP(C138,'COM RESID'!J:J,'COM RESID'!H:H)</f>
        <v/>
      </c>
      <c r="E138">
        <f>_xlfn.XLOOKUP(C138,'COM RESID'!J:J,'COM RESID'!I:I)</f>
        <v/>
      </c>
      <c r="F138" s="12">
        <f>_xlfn.XLOOKUP(C138,'COM RESID'!J:J,'COM RESID'!R:R)</f>
        <v/>
      </c>
      <c r="G138">
        <f>_xlfn.XLOOKUP(C138,'COM RESID'!J:J,'COM RESID'!W:W)</f>
        <v/>
      </c>
      <c r="H138" s="12">
        <f>_xlfn.XLOOKUP(C138,'COM RESID'!J:J,'COM RESID'!V:V)</f>
        <v/>
      </c>
      <c r="I138" s="12">
        <f>ROUNDUP(_xlfn.XLOOKUP(C138,'COM RESID'!J:J,'COM RESID'!S:S),0)</f>
        <v/>
      </c>
      <c r="J138" s="8">
        <f>_xlfn.XLOOKUP(C138,'COM RESID'!J:J,'COM RESID'!T:T)</f>
        <v/>
      </c>
      <c r="K138" s="13">
        <f>_xlfn.XLOOKUP(C138,'COM RESID'!J:J,'COM RESID'!P:P)</f>
        <v/>
      </c>
      <c r="L138" s="12">
        <f>_xlfn.XLOOKUP(C138,'COM RESID'!J:J,'COM RESID'!V:V)</f>
        <v/>
      </c>
    </row>
    <row r="139">
      <c r="B139">
        <f>IF(K139=0,"*",Def_Tech!C283)</f>
        <v/>
      </c>
      <c r="C139">
        <f>Def_Tech!D283</f>
        <v/>
      </c>
      <c r="D139">
        <f>_xlfn.XLOOKUP(C139,'COM RESID'!J:J,'COM RESID'!H:H)</f>
        <v/>
      </c>
      <c r="E139">
        <f>_xlfn.XLOOKUP(C139,'COM RESID'!J:J,'COM RESID'!I:I)</f>
        <v/>
      </c>
      <c r="F139" s="12">
        <f>_xlfn.XLOOKUP(C139,'COM RESID'!J:J,'COM RESID'!R:R)</f>
        <v/>
      </c>
      <c r="G139">
        <f>_xlfn.XLOOKUP(C139,'COM RESID'!J:J,'COM RESID'!W:W)</f>
        <v/>
      </c>
      <c r="H139" s="12">
        <f>_xlfn.XLOOKUP(C139,'COM RESID'!J:J,'COM RESID'!V:V)</f>
        <v/>
      </c>
      <c r="I139" s="12">
        <f>ROUNDUP(_xlfn.XLOOKUP(C139,'COM RESID'!J:J,'COM RESID'!S:S),0)</f>
        <v/>
      </c>
      <c r="J139" s="8">
        <f>_xlfn.XLOOKUP(C139,'COM RESID'!J:J,'COM RESID'!T:T)</f>
        <v/>
      </c>
      <c r="K139" s="13">
        <f>_xlfn.XLOOKUP(C139,'COM RESID'!J:J,'COM RESID'!P:P)</f>
        <v/>
      </c>
      <c r="L139" s="12">
        <f>_xlfn.XLOOKUP(C139,'COM RESID'!J:J,'COM RESID'!V:V)</f>
        <v/>
      </c>
    </row>
    <row r="140">
      <c r="B140">
        <f>IF(K140=0,"*",Def_Tech!C284)</f>
        <v/>
      </c>
      <c r="C140">
        <f>Def_Tech!D284</f>
        <v/>
      </c>
      <c r="D140">
        <f>_xlfn.XLOOKUP(C140,'COM RESID'!J:J,'COM RESID'!H:H)</f>
        <v/>
      </c>
      <c r="E140">
        <f>_xlfn.XLOOKUP(C140,'COM RESID'!J:J,'COM RESID'!I:I)</f>
        <v/>
      </c>
      <c r="F140" s="12">
        <f>_xlfn.XLOOKUP(C140,'COM RESID'!J:J,'COM RESID'!R:R)</f>
        <v/>
      </c>
      <c r="G140">
        <f>_xlfn.XLOOKUP(C140,'COM RESID'!J:J,'COM RESID'!W:W)</f>
        <v/>
      </c>
      <c r="H140" s="12">
        <f>_xlfn.XLOOKUP(C140,'COM RESID'!J:J,'COM RESID'!V:V)</f>
        <v/>
      </c>
      <c r="I140" s="12">
        <f>ROUNDUP(_xlfn.XLOOKUP(C140,'COM RESID'!J:J,'COM RESID'!S:S),0)</f>
        <v/>
      </c>
      <c r="J140" s="8">
        <f>_xlfn.XLOOKUP(C140,'COM RESID'!J:J,'COM RESID'!T:T)</f>
        <v/>
      </c>
      <c r="K140" s="13">
        <f>_xlfn.XLOOKUP(C140,'COM RESID'!J:J,'COM RESID'!P:P)</f>
        <v/>
      </c>
      <c r="L140" s="12">
        <f>_xlfn.XLOOKUP(C140,'COM RESID'!J:J,'COM RESID'!V:V)</f>
        <v/>
      </c>
    </row>
    <row r="141">
      <c r="B141">
        <f>IF(K141=0,"*",Def_Tech!C285)</f>
        <v/>
      </c>
      <c r="C141">
        <f>Def_Tech!D285</f>
        <v/>
      </c>
      <c r="D141">
        <f>_xlfn.XLOOKUP(C141,'COM RESID'!J:J,'COM RESID'!H:H)</f>
        <v/>
      </c>
      <c r="E141">
        <f>_xlfn.XLOOKUP(C141,'COM RESID'!J:J,'COM RESID'!I:I)</f>
        <v/>
      </c>
      <c r="F141" s="12">
        <f>_xlfn.XLOOKUP(C141,'COM RESID'!J:J,'COM RESID'!R:R)</f>
        <v/>
      </c>
      <c r="G141">
        <f>_xlfn.XLOOKUP(C141,'COM RESID'!J:J,'COM RESID'!W:W)</f>
        <v/>
      </c>
      <c r="H141" s="12">
        <f>_xlfn.XLOOKUP(C141,'COM RESID'!J:J,'COM RESID'!V:V)</f>
        <v/>
      </c>
      <c r="I141" s="12">
        <f>ROUNDUP(_xlfn.XLOOKUP(C141,'COM RESID'!J:J,'COM RESID'!S:S),0)</f>
        <v/>
      </c>
      <c r="J141" s="8">
        <f>_xlfn.XLOOKUP(C141,'COM RESID'!J:J,'COM RESID'!T:T)</f>
        <v/>
      </c>
      <c r="K141" s="13">
        <f>_xlfn.XLOOKUP(C141,'COM RESID'!J:J,'COM RESID'!P:P)</f>
        <v/>
      </c>
      <c r="L141" s="12">
        <f>_xlfn.XLOOKUP(C141,'COM RESID'!J:J,'COM RESID'!V:V)</f>
        <v/>
      </c>
    </row>
    <row r="142">
      <c r="B142">
        <f>IF(K142=0,"*",Def_Tech!C286)</f>
        <v/>
      </c>
      <c r="C142">
        <f>Def_Tech!D286</f>
        <v/>
      </c>
      <c r="D142">
        <f>_xlfn.XLOOKUP(C142,'COM RESID'!J:J,'COM RESID'!H:H)</f>
        <v/>
      </c>
      <c r="E142">
        <f>_xlfn.XLOOKUP(C142,'COM RESID'!J:J,'COM RESID'!I:I)</f>
        <v/>
      </c>
      <c r="F142" s="12">
        <f>_xlfn.XLOOKUP(C142,'COM RESID'!J:J,'COM RESID'!R:R)</f>
        <v/>
      </c>
      <c r="G142">
        <f>_xlfn.XLOOKUP(C142,'COM RESID'!J:J,'COM RESID'!W:W)</f>
        <v/>
      </c>
      <c r="H142" s="12">
        <f>_xlfn.XLOOKUP(C142,'COM RESID'!J:J,'COM RESID'!V:V)</f>
        <v/>
      </c>
      <c r="I142" s="12">
        <f>ROUNDUP(_xlfn.XLOOKUP(C142,'COM RESID'!J:J,'COM RESID'!S:S),0)</f>
        <v/>
      </c>
      <c r="J142" s="8">
        <f>_xlfn.XLOOKUP(C142,'COM RESID'!J:J,'COM RESID'!T:T)</f>
        <v/>
      </c>
      <c r="K142" s="13">
        <f>_xlfn.XLOOKUP(C142,'COM RESID'!J:J,'COM RESID'!P:P)</f>
        <v/>
      </c>
      <c r="L142" s="12">
        <f>_xlfn.XLOOKUP(C142,'COM RESID'!J:J,'COM RESID'!V:V)</f>
        <v/>
      </c>
    </row>
    <row r="143">
      <c r="B143">
        <f>IF(K143=0,"*",Def_Tech!C287)</f>
        <v/>
      </c>
      <c r="C143">
        <f>Def_Tech!D287</f>
        <v/>
      </c>
      <c r="D143">
        <f>_xlfn.XLOOKUP(C143,'COM RESID'!J:J,'COM RESID'!H:H)</f>
        <v/>
      </c>
      <c r="E143">
        <f>_xlfn.XLOOKUP(C143,'COM RESID'!J:J,'COM RESID'!I:I)</f>
        <v/>
      </c>
      <c r="F143" s="12">
        <f>_xlfn.XLOOKUP(C143,'COM RESID'!J:J,'COM RESID'!R:R)</f>
        <v/>
      </c>
      <c r="G143">
        <f>_xlfn.XLOOKUP(C143,'COM RESID'!J:J,'COM RESID'!W:W)</f>
        <v/>
      </c>
      <c r="H143" s="12">
        <f>_xlfn.XLOOKUP(C143,'COM RESID'!J:J,'COM RESID'!V:V)</f>
        <v/>
      </c>
      <c r="I143" s="12">
        <f>ROUNDUP(_xlfn.XLOOKUP(C143,'COM RESID'!J:J,'COM RESID'!S:S),0)</f>
        <v/>
      </c>
      <c r="J143" s="8">
        <f>_xlfn.XLOOKUP(C143,'COM RESID'!J:J,'COM RESID'!T:T)</f>
        <v/>
      </c>
      <c r="K143" s="13">
        <f>_xlfn.XLOOKUP(C143,'COM RESID'!J:J,'COM RESID'!P:P)</f>
        <v/>
      </c>
      <c r="L143" s="12">
        <f>_xlfn.XLOOKUP(C143,'COM RESID'!J:J,'COM RESID'!V:V)</f>
        <v/>
      </c>
    </row>
    <row r="144">
      <c r="B144">
        <f>IF(K144=0,"*",Def_Tech!C288)</f>
        <v/>
      </c>
      <c r="C144">
        <f>Def_Tech!D288</f>
        <v/>
      </c>
      <c r="D144">
        <f>_xlfn.XLOOKUP(C144,'COM RESID'!J:J,'COM RESID'!H:H)</f>
        <v/>
      </c>
      <c r="E144">
        <f>_xlfn.XLOOKUP(C144,'COM RESID'!J:J,'COM RESID'!I:I)</f>
        <v/>
      </c>
      <c r="F144" s="12">
        <f>_xlfn.XLOOKUP(C144,'COM RESID'!J:J,'COM RESID'!R:R)</f>
        <v/>
      </c>
      <c r="G144">
        <f>_xlfn.XLOOKUP(C144,'COM RESID'!J:J,'COM RESID'!W:W)</f>
        <v/>
      </c>
      <c r="H144" s="12">
        <f>_xlfn.XLOOKUP(C144,'COM RESID'!J:J,'COM RESID'!V:V)</f>
        <v/>
      </c>
      <c r="I144" s="12">
        <f>ROUNDUP(_xlfn.XLOOKUP(C144,'COM RESID'!J:J,'COM RESID'!S:S),0)</f>
        <v/>
      </c>
      <c r="J144" s="8">
        <f>_xlfn.XLOOKUP(C144,'COM RESID'!J:J,'COM RESID'!T:T)</f>
        <v/>
      </c>
      <c r="K144" s="13">
        <f>_xlfn.XLOOKUP(C144,'COM RESID'!J:J,'COM RESID'!P:P)</f>
        <v/>
      </c>
      <c r="L144" s="12">
        <f>_xlfn.XLOOKUP(C144,'COM RESID'!J:J,'COM RESID'!V:V)</f>
        <v/>
      </c>
    </row>
    <row r="145">
      <c r="B145">
        <f>IF(K145=0,"*",Def_Tech!C289)</f>
        <v/>
      </c>
      <c r="C145">
        <f>Def_Tech!D289</f>
        <v/>
      </c>
      <c r="D145">
        <f>_xlfn.XLOOKUP(C145,'COM RESID'!J:J,'COM RESID'!H:H)</f>
        <v/>
      </c>
      <c r="E145">
        <f>_xlfn.XLOOKUP(C145,'COM RESID'!J:J,'COM RESID'!I:I)</f>
        <v/>
      </c>
      <c r="F145" s="12">
        <f>_xlfn.XLOOKUP(C145,'COM RESID'!J:J,'COM RESID'!R:R)</f>
        <v/>
      </c>
      <c r="G145">
        <f>_xlfn.XLOOKUP(C145,'COM RESID'!J:J,'COM RESID'!W:W)</f>
        <v/>
      </c>
      <c r="H145" s="12">
        <f>_xlfn.XLOOKUP(C145,'COM RESID'!J:J,'COM RESID'!V:V)</f>
        <v/>
      </c>
      <c r="I145" s="12">
        <f>ROUNDUP(_xlfn.XLOOKUP(C145,'COM RESID'!J:J,'COM RESID'!S:S),0)</f>
        <v/>
      </c>
      <c r="J145" s="8">
        <f>_xlfn.XLOOKUP(C145,'COM RESID'!J:J,'COM RESID'!T:T)</f>
        <v/>
      </c>
      <c r="K145" s="13">
        <f>_xlfn.XLOOKUP(C145,'COM RESID'!J:J,'COM RESID'!P:P)</f>
        <v/>
      </c>
      <c r="L145" s="12">
        <f>_xlfn.XLOOKUP(C145,'COM RESID'!J:J,'COM RESID'!V:V)</f>
        <v/>
      </c>
    </row>
    <row r="146">
      <c r="B146">
        <f>IF(K146=0,"*",Def_Tech!C290)</f>
        <v/>
      </c>
      <c r="C146">
        <f>Def_Tech!D290</f>
        <v/>
      </c>
      <c r="D146">
        <f>_xlfn.XLOOKUP(C146,'COM RESID'!J:J,'COM RESID'!H:H)</f>
        <v/>
      </c>
      <c r="E146">
        <f>_xlfn.XLOOKUP(C146,'COM RESID'!J:J,'COM RESID'!I:I)</f>
        <v/>
      </c>
      <c r="F146" s="12">
        <f>_xlfn.XLOOKUP(C146,'COM RESID'!J:J,'COM RESID'!R:R)</f>
        <v/>
      </c>
      <c r="G146">
        <f>_xlfn.XLOOKUP(C146,'COM RESID'!J:J,'COM RESID'!W:W)</f>
        <v/>
      </c>
      <c r="H146" s="12">
        <f>_xlfn.XLOOKUP(C146,'COM RESID'!J:J,'COM RESID'!V:V)</f>
        <v/>
      </c>
      <c r="I146" s="12">
        <f>ROUNDUP(_xlfn.XLOOKUP(C146,'COM RESID'!J:J,'COM RESID'!S:S),0)</f>
        <v/>
      </c>
      <c r="J146" s="8">
        <f>_xlfn.XLOOKUP(C146,'COM RESID'!J:J,'COM RESID'!T:T)</f>
        <v/>
      </c>
      <c r="K146" s="13">
        <f>_xlfn.XLOOKUP(C146,'COM RESID'!J:J,'COM RESID'!P:P)</f>
        <v/>
      </c>
      <c r="L146" s="12">
        <f>_xlfn.XLOOKUP(C146,'COM RESID'!J:J,'COM RESID'!V:V)</f>
        <v/>
      </c>
    </row>
    <row r="147">
      <c r="B147">
        <f>IF(K147=0,"*",Def_Tech!C291)</f>
        <v/>
      </c>
      <c r="C147">
        <f>Def_Tech!D291</f>
        <v/>
      </c>
      <c r="D147">
        <f>_xlfn.XLOOKUP(C147,'COM RESID'!J:J,'COM RESID'!H:H)</f>
        <v/>
      </c>
      <c r="E147">
        <f>_xlfn.XLOOKUP(C147,'COM RESID'!J:J,'COM RESID'!I:I)</f>
        <v/>
      </c>
      <c r="F147" s="12">
        <f>_xlfn.XLOOKUP(C147,'COM RESID'!J:J,'COM RESID'!R:R)</f>
        <v/>
      </c>
      <c r="G147">
        <f>_xlfn.XLOOKUP(C147,'COM RESID'!J:J,'COM RESID'!W:W)</f>
        <v/>
      </c>
      <c r="H147" s="12">
        <f>_xlfn.XLOOKUP(C147,'COM RESID'!J:J,'COM RESID'!V:V)</f>
        <v/>
      </c>
      <c r="I147" s="12">
        <f>ROUNDUP(_xlfn.XLOOKUP(C147,'COM RESID'!J:J,'COM RESID'!S:S),0)</f>
        <v/>
      </c>
      <c r="J147" s="8">
        <f>_xlfn.XLOOKUP(C147,'COM RESID'!J:J,'COM RESID'!T:T)</f>
        <v/>
      </c>
      <c r="K147" s="13">
        <f>_xlfn.XLOOKUP(C147,'COM RESID'!J:J,'COM RESID'!P:P)</f>
        <v/>
      </c>
      <c r="L147" s="12">
        <f>_xlfn.XLOOKUP(C147,'COM RESID'!J:J,'COM RESID'!V:V)</f>
        <v/>
      </c>
    </row>
    <row r="148">
      <c r="B148">
        <f>IF(K148=0,"*",Def_Tech!C292)</f>
        <v/>
      </c>
      <c r="C148">
        <f>Def_Tech!D292</f>
        <v/>
      </c>
      <c r="D148">
        <f>_xlfn.XLOOKUP(C148,'COM RESID'!J:J,'COM RESID'!H:H)</f>
        <v/>
      </c>
      <c r="E148">
        <f>_xlfn.XLOOKUP(C148,'COM RESID'!J:J,'COM RESID'!I:I)</f>
        <v/>
      </c>
      <c r="F148" s="12">
        <f>_xlfn.XLOOKUP(C148,'COM RESID'!J:J,'COM RESID'!R:R)</f>
        <v/>
      </c>
      <c r="G148">
        <f>_xlfn.XLOOKUP(C148,'COM RESID'!J:J,'COM RESID'!W:W)</f>
        <v/>
      </c>
      <c r="H148" s="12">
        <f>_xlfn.XLOOKUP(C148,'COM RESID'!J:J,'COM RESID'!V:V)</f>
        <v/>
      </c>
      <c r="I148" s="12">
        <f>ROUNDUP(_xlfn.XLOOKUP(C148,'COM RESID'!J:J,'COM RESID'!S:S),0)</f>
        <v/>
      </c>
      <c r="J148" s="8">
        <f>_xlfn.XLOOKUP(C148,'COM RESID'!J:J,'COM RESID'!T:T)</f>
        <v/>
      </c>
      <c r="K148" s="13">
        <f>_xlfn.XLOOKUP(C148,'COM RESID'!J:J,'COM RESID'!P:P)</f>
        <v/>
      </c>
      <c r="L148" s="12">
        <f>_xlfn.XLOOKUP(C148,'COM RESID'!J:J,'COM RESID'!V:V)</f>
        <v/>
      </c>
    </row>
    <row r="149">
      <c r="B149">
        <f>IF(K149=0,"*",Def_Tech!C293)</f>
        <v/>
      </c>
      <c r="C149">
        <f>Def_Tech!D293</f>
        <v/>
      </c>
      <c r="D149">
        <f>_xlfn.XLOOKUP(C149,'COM RESID'!J:J,'COM RESID'!H:H)</f>
        <v/>
      </c>
      <c r="E149">
        <f>_xlfn.XLOOKUP(C149,'COM RESID'!J:J,'COM RESID'!I:I)</f>
        <v/>
      </c>
      <c r="F149" s="12">
        <f>_xlfn.XLOOKUP(C149,'COM RESID'!J:J,'COM RESID'!R:R)</f>
        <v/>
      </c>
      <c r="G149">
        <f>_xlfn.XLOOKUP(C149,'COM RESID'!J:J,'COM RESID'!W:W)</f>
        <v/>
      </c>
      <c r="H149" s="12">
        <f>_xlfn.XLOOKUP(C149,'COM RESID'!J:J,'COM RESID'!V:V)</f>
        <v/>
      </c>
      <c r="I149" s="12">
        <f>ROUNDUP(_xlfn.XLOOKUP(C149,'COM RESID'!J:J,'COM RESID'!S:S),0)</f>
        <v/>
      </c>
      <c r="J149" s="8">
        <f>_xlfn.XLOOKUP(C149,'COM RESID'!J:J,'COM RESID'!T:T)</f>
        <v/>
      </c>
      <c r="K149" s="13">
        <f>_xlfn.XLOOKUP(C149,'COM RESID'!J:J,'COM RESID'!P:P)</f>
        <v/>
      </c>
      <c r="L149" s="12">
        <f>_xlfn.XLOOKUP(C149,'COM RESID'!J:J,'COM RESID'!V:V)</f>
        <v/>
      </c>
    </row>
    <row r="150">
      <c r="B150">
        <f>IF(K150=0,"*",Def_Tech!C294)</f>
        <v/>
      </c>
      <c r="C150">
        <f>Def_Tech!D294</f>
        <v/>
      </c>
      <c r="D150">
        <f>_xlfn.XLOOKUP(C150,'COM RESID'!J:J,'COM RESID'!H:H)</f>
        <v/>
      </c>
      <c r="E150">
        <f>_xlfn.XLOOKUP(C150,'COM RESID'!J:J,'COM RESID'!I:I)</f>
        <v/>
      </c>
      <c r="F150" s="12">
        <f>_xlfn.XLOOKUP(C150,'COM RESID'!J:J,'COM RESID'!R:R)</f>
        <v/>
      </c>
      <c r="G150">
        <f>_xlfn.XLOOKUP(C150,'COM RESID'!J:J,'COM RESID'!W:W)</f>
        <v/>
      </c>
      <c r="H150" s="12">
        <f>_xlfn.XLOOKUP(C150,'COM RESID'!J:J,'COM RESID'!V:V)</f>
        <v/>
      </c>
      <c r="I150" s="12">
        <f>ROUNDUP(_xlfn.XLOOKUP(C150,'COM RESID'!J:J,'COM RESID'!S:S),0)</f>
        <v/>
      </c>
      <c r="J150" s="8">
        <f>_xlfn.XLOOKUP(C150,'COM RESID'!J:J,'COM RESID'!T:T)</f>
        <v/>
      </c>
      <c r="K150" s="13">
        <f>_xlfn.XLOOKUP(C150,'COM RESID'!J:J,'COM RESID'!P:P)</f>
        <v/>
      </c>
      <c r="L150" s="12">
        <f>_xlfn.XLOOKUP(C150,'COM RESID'!J:J,'COM RESID'!V:V)</f>
        <v/>
      </c>
    </row>
    <row r="151">
      <c r="B151">
        <f>IF(K151=0,"*",Def_Tech!C295)</f>
        <v/>
      </c>
      <c r="C151">
        <f>Def_Tech!D295</f>
        <v/>
      </c>
      <c r="D151">
        <f>_xlfn.XLOOKUP(C151,'COM RESID'!J:J,'COM RESID'!H:H)</f>
        <v/>
      </c>
      <c r="E151">
        <f>_xlfn.XLOOKUP(C151,'COM RESID'!J:J,'COM RESID'!I:I)</f>
        <v/>
      </c>
      <c r="F151" s="12">
        <f>_xlfn.XLOOKUP(C151,'COM RESID'!J:J,'COM RESID'!R:R)</f>
        <v/>
      </c>
      <c r="G151">
        <f>_xlfn.XLOOKUP(C151,'COM RESID'!J:J,'COM RESID'!W:W)</f>
        <v/>
      </c>
      <c r="H151" s="12">
        <f>_xlfn.XLOOKUP(C151,'COM RESID'!J:J,'COM RESID'!V:V)</f>
        <v/>
      </c>
      <c r="I151" s="12">
        <f>ROUNDUP(_xlfn.XLOOKUP(C151,'COM RESID'!J:J,'COM RESID'!S:S),0)</f>
        <v/>
      </c>
      <c r="J151" s="8">
        <f>_xlfn.XLOOKUP(C151,'COM RESID'!J:J,'COM RESID'!T:T)</f>
        <v/>
      </c>
      <c r="K151" s="13">
        <f>_xlfn.XLOOKUP(C151,'COM RESID'!J:J,'COM RESID'!P:P)</f>
        <v/>
      </c>
      <c r="L151" s="12">
        <f>_xlfn.XLOOKUP(C151,'COM RESID'!J:J,'COM RESID'!V:V)</f>
        <v/>
      </c>
    </row>
    <row r="152">
      <c r="B152">
        <f>IF(K152=0,"*",Def_Tech!C296)</f>
        <v/>
      </c>
      <c r="C152">
        <f>Def_Tech!D296</f>
        <v/>
      </c>
      <c r="D152">
        <f>_xlfn.XLOOKUP(C152,'COM RESID'!J:J,'COM RESID'!H:H)</f>
        <v/>
      </c>
      <c r="E152">
        <f>_xlfn.XLOOKUP(C152,'COM RESID'!J:J,'COM RESID'!I:I)</f>
        <v/>
      </c>
      <c r="F152" s="12">
        <f>_xlfn.XLOOKUP(C152,'COM RESID'!J:J,'COM RESID'!R:R)</f>
        <v/>
      </c>
      <c r="G152">
        <f>_xlfn.XLOOKUP(C152,'COM RESID'!J:J,'COM RESID'!W:W)</f>
        <v/>
      </c>
      <c r="H152" s="12">
        <f>_xlfn.XLOOKUP(C152,'COM RESID'!J:J,'COM RESID'!V:V)</f>
        <v/>
      </c>
      <c r="I152" s="12">
        <f>ROUNDUP(_xlfn.XLOOKUP(C152,'COM RESID'!J:J,'COM RESID'!S:S),0)</f>
        <v/>
      </c>
      <c r="J152" s="8">
        <f>_xlfn.XLOOKUP(C152,'COM RESID'!J:J,'COM RESID'!T:T)</f>
        <v/>
      </c>
      <c r="K152" s="13">
        <f>_xlfn.XLOOKUP(C152,'COM RESID'!J:J,'COM RESID'!P:P)</f>
        <v/>
      </c>
      <c r="L152" s="12">
        <f>_xlfn.XLOOKUP(C152,'COM RESID'!J:J,'COM RESID'!V:V)</f>
        <v/>
      </c>
    </row>
    <row r="153">
      <c r="B153">
        <f>IF(K153=0,"*",Def_Tech!C297)</f>
        <v/>
      </c>
      <c r="C153">
        <f>Def_Tech!D297</f>
        <v/>
      </c>
      <c r="D153">
        <f>_xlfn.XLOOKUP(C153,'COM RESID'!J:J,'COM RESID'!H:H)</f>
        <v/>
      </c>
      <c r="E153">
        <f>_xlfn.XLOOKUP(C153,'COM RESID'!J:J,'COM RESID'!I:I)</f>
        <v/>
      </c>
      <c r="F153" s="12">
        <f>_xlfn.XLOOKUP(C153,'COM RESID'!J:J,'COM RESID'!R:R)</f>
        <v/>
      </c>
      <c r="G153">
        <f>_xlfn.XLOOKUP(C153,'COM RESID'!J:J,'COM RESID'!W:W)</f>
        <v/>
      </c>
      <c r="H153" s="12">
        <f>_xlfn.XLOOKUP(C153,'COM RESID'!J:J,'COM RESID'!V:V)</f>
        <v/>
      </c>
      <c r="I153" s="12">
        <f>ROUNDUP(_xlfn.XLOOKUP(C153,'COM RESID'!J:J,'COM RESID'!S:S),0)</f>
        <v/>
      </c>
      <c r="J153" s="8">
        <f>_xlfn.XLOOKUP(C153,'COM RESID'!J:J,'COM RESID'!T:T)</f>
        <v/>
      </c>
      <c r="K153" s="13">
        <f>_xlfn.XLOOKUP(C153,'COM RESID'!J:J,'COM RESID'!P:P)</f>
        <v/>
      </c>
      <c r="L153" s="12">
        <f>_xlfn.XLOOKUP(C153,'COM RESID'!J:J,'COM RESID'!V:V)</f>
        <v/>
      </c>
    </row>
    <row r="154">
      <c r="B154">
        <f>IF(K154=0,"*",Def_Tech!C298)</f>
        <v/>
      </c>
      <c r="C154">
        <f>Def_Tech!D298</f>
        <v/>
      </c>
      <c r="D154">
        <f>_xlfn.XLOOKUP(C154,'COM RESID'!J:J,'COM RESID'!H:H)</f>
        <v/>
      </c>
      <c r="E154">
        <f>_xlfn.XLOOKUP(C154,'COM RESID'!J:J,'COM RESID'!I:I)</f>
        <v/>
      </c>
      <c r="F154" s="12">
        <f>_xlfn.XLOOKUP(C154,'COM RESID'!J:J,'COM RESID'!R:R)</f>
        <v/>
      </c>
      <c r="G154">
        <f>_xlfn.XLOOKUP(C154,'COM RESID'!J:J,'COM RESID'!W:W)</f>
        <v/>
      </c>
      <c r="H154" s="12">
        <f>_xlfn.XLOOKUP(C154,'COM RESID'!J:J,'COM RESID'!V:V)</f>
        <v/>
      </c>
      <c r="I154" s="12">
        <f>ROUNDUP(_xlfn.XLOOKUP(C154,'COM RESID'!J:J,'COM RESID'!S:S),0)</f>
        <v/>
      </c>
      <c r="J154" s="8">
        <f>_xlfn.XLOOKUP(C154,'COM RESID'!J:J,'COM RESID'!T:T)</f>
        <v/>
      </c>
      <c r="K154" s="13">
        <f>_xlfn.XLOOKUP(C154,'COM RESID'!J:J,'COM RESID'!P:P)</f>
        <v/>
      </c>
      <c r="L154" s="12">
        <f>_xlfn.XLOOKUP(C154,'COM RESID'!J:J,'COM RESID'!V:V)</f>
        <v/>
      </c>
    </row>
    <row r="155">
      <c r="B155">
        <f>IF(K155=0,"*",Def_Tech!C299)</f>
        <v/>
      </c>
      <c r="C155">
        <f>Def_Tech!D299</f>
        <v/>
      </c>
      <c r="D155">
        <f>_xlfn.XLOOKUP(C155,'COM RESID'!J:J,'COM RESID'!H:H)</f>
        <v/>
      </c>
      <c r="E155">
        <f>_xlfn.XLOOKUP(C155,'COM RESID'!J:J,'COM RESID'!I:I)</f>
        <v/>
      </c>
      <c r="F155" s="12">
        <f>_xlfn.XLOOKUP(C155,'COM RESID'!J:J,'COM RESID'!R:R)</f>
        <v/>
      </c>
      <c r="G155">
        <f>_xlfn.XLOOKUP(C155,'COM RESID'!J:J,'COM RESID'!W:W)</f>
        <v/>
      </c>
      <c r="H155" s="12">
        <f>_xlfn.XLOOKUP(C155,'COM RESID'!J:J,'COM RESID'!V:V)</f>
        <v/>
      </c>
      <c r="I155" s="12">
        <f>ROUNDUP(_xlfn.XLOOKUP(C155,'COM RESID'!J:J,'COM RESID'!S:S),0)</f>
        <v/>
      </c>
      <c r="J155" s="8">
        <f>_xlfn.XLOOKUP(C155,'COM RESID'!J:J,'COM RESID'!T:T)</f>
        <v/>
      </c>
      <c r="K155" s="13">
        <f>_xlfn.XLOOKUP(C155,'COM RESID'!J:J,'COM RESID'!P:P)</f>
        <v/>
      </c>
      <c r="L155" s="12">
        <f>_xlfn.XLOOKUP(C155,'COM RESID'!J:J,'COM RESID'!V:V)</f>
        <v/>
      </c>
    </row>
    <row r="156">
      <c r="B156">
        <f>IF(K156=0,"*",Def_Tech!C300)</f>
        <v/>
      </c>
      <c r="C156">
        <f>Def_Tech!D300</f>
        <v/>
      </c>
      <c r="D156">
        <f>_xlfn.XLOOKUP(C156,'COM RESID'!J:J,'COM RESID'!H:H)</f>
        <v/>
      </c>
      <c r="E156">
        <f>_xlfn.XLOOKUP(C156,'COM RESID'!J:J,'COM RESID'!I:I)</f>
        <v/>
      </c>
      <c r="F156" s="12">
        <f>_xlfn.XLOOKUP(C156,'COM RESID'!J:J,'COM RESID'!R:R)</f>
        <v/>
      </c>
      <c r="G156">
        <f>_xlfn.XLOOKUP(C156,'COM RESID'!J:J,'COM RESID'!W:W)</f>
        <v/>
      </c>
      <c r="H156" s="12">
        <f>_xlfn.XLOOKUP(C156,'COM RESID'!J:J,'COM RESID'!V:V)</f>
        <v/>
      </c>
      <c r="I156" s="12">
        <f>ROUNDUP(_xlfn.XLOOKUP(C156,'COM RESID'!J:J,'COM RESID'!S:S),0)</f>
        <v/>
      </c>
      <c r="J156" s="8">
        <f>_xlfn.XLOOKUP(C156,'COM RESID'!J:J,'COM RESID'!T:T)</f>
        <v/>
      </c>
      <c r="K156" s="13">
        <f>_xlfn.XLOOKUP(C156,'COM RESID'!J:J,'COM RESID'!P:P)</f>
        <v/>
      </c>
      <c r="L156" s="12">
        <f>_xlfn.XLOOKUP(C156,'COM RESID'!J:J,'COM RESID'!V:V)</f>
        <v/>
      </c>
    </row>
    <row r="157">
      <c r="B157">
        <f>IF(K157=0,"*",Def_Tech!C301)</f>
        <v/>
      </c>
      <c r="C157">
        <f>Def_Tech!D301</f>
        <v/>
      </c>
      <c r="D157">
        <f>_xlfn.XLOOKUP(C157,'COM RESID'!J:J,'COM RESID'!H:H)</f>
        <v/>
      </c>
      <c r="E157">
        <f>_xlfn.XLOOKUP(C157,'COM RESID'!J:J,'COM RESID'!I:I)</f>
        <v/>
      </c>
      <c r="F157" s="12">
        <f>_xlfn.XLOOKUP(C157,'COM RESID'!J:J,'COM RESID'!R:R)</f>
        <v/>
      </c>
      <c r="G157">
        <f>_xlfn.XLOOKUP(C157,'COM RESID'!J:J,'COM RESID'!W:W)</f>
        <v/>
      </c>
      <c r="H157" s="12">
        <f>_xlfn.XLOOKUP(C157,'COM RESID'!J:J,'COM RESID'!V:V)</f>
        <v/>
      </c>
      <c r="I157" s="12">
        <f>ROUNDUP(_xlfn.XLOOKUP(C157,'COM RESID'!J:J,'COM RESID'!S:S),0)</f>
        <v/>
      </c>
      <c r="J157" s="8">
        <f>_xlfn.XLOOKUP(C157,'COM RESID'!J:J,'COM RESID'!T:T)</f>
        <v/>
      </c>
      <c r="K157" s="13">
        <f>_xlfn.XLOOKUP(C157,'COM RESID'!J:J,'COM RESID'!P:P)</f>
        <v/>
      </c>
      <c r="L157" s="12">
        <f>_xlfn.XLOOKUP(C157,'COM RESID'!J:J,'COM RESID'!V:V)</f>
        <v/>
      </c>
    </row>
    <row r="158">
      <c r="B158">
        <f>IF(K158=0,"*",Def_Tech!C302)</f>
        <v/>
      </c>
      <c r="C158">
        <f>Def_Tech!D302</f>
        <v/>
      </c>
      <c r="D158">
        <f>_xlfn.XLOOKUP(C158,'COM RESID'!J:J,'COM RESID'!H:H)</f>
        <v/>
      </c>
      <c r="E158">
        <f>_xlfn.XLOOKUP(C158,'COM RESID'!J:J,'COM RESID'!I:I)</f>
        <v/>
      </c>
      <c r="F158" s="12">
        <f>_xlfn.XLOOKUP(C158,'COM RESID'!J:J,'COM RESID'!R:R)</f>
        <v/>
      </c>
      <c r="G158">
        <f>_xlfn.XLOOKUP(C158,'COM RESID'!J:J,'COM RESID'!W:W)</f>
        <v/>
      </c>
      <c r="H158" s="12">
        <f>_xlfn.XLOOKUP(C158,'COM RESID'!J:J,'COM RESID'!V:V)</f>
        <v/>
      </c>
      <c r="I158" s="12">
        <f>ROUNDUP(_xlfn.XLOOKUP(C158,'COM RESID'!J:J,'COM RESID'!S:S),0)</f>
        <v/>
      </c>
      <c r="J158" s="8">
        <f>_xlfn.XLOOKUP(C158,'COM RESID'!J:J,'COM RESID'!T:T)</f>
        <v/>
      </c>
      <c r="K158" s="13">
        <f>_xlfn.XLOOKUP(C158,'COM RESID'!J:J,'COM RESID'!P:P)</f>
        <v/>
      </c>
      <c r="L158" s="12">
        <f>_xlfn.XLOOKUP(C158,'COM RESID'!J:J,'COM RESID'!V:V)</f>
        <v/>
      </c>
    </row>
    <row r="159">
      <c r="B159">
        <f>IF(K159=0,"*",Def_Tech!C303)</f>
        <v/>
      </c>
      <c r="C159">
        <f>Def_Tech!D303</f>
        <v/>
      </c>
      <c r="D159">
        <f>_xlfn.XLOOKUP(C159,'COM RESID'!J:J,'COM RESID'!H:H)</f>
        <v/>
      </c>
      <c r="E159">
        <f>_xlfn.XLOOKUP(C159,'COM RESID'!J:J,'COM RESID'!I:I)</f>
        <v/>
      </c>
      <c r="F159" s="12">
        <f>_xlfn.XLOOKUP(C159,'COM RESID'!J:J,'COM RESID'!R:R)</f>
        <v/>
      </c>
      <c r="G159">
        <f>_xlfn.XLOOKUP(C159,'COM RESID'!J:J,'COM RESID'!W:W)</f>
        <v/>
      </c>
      <c r="H159" s="12">
        <f>_xlfn.XLOOKUP(C159,'COM RESID'!J:J,'COM RESID'!V:V)</f>
        <v/>
      </c>
      <c r="I159" s="12">
        <f>ROUNDUP(_xlfn.XLOOKUP(C159,'COM RESID'!J:J,'COM RESID'!S:S),0)</f>
        <v/>
      </c>
      <c r="J159" s="8">
        <f>_xlfn.XLOOKUP(C159,'COM RESID'!J:J,'COM RESID'!T:T)</f>
        <v/>
      </c>
      <c r="K159" s="13">
        <f>_xlfn.XLOOKUP(C159,'COM RESID'!J:J,'COM RESID'!P:P)</f>
        <v/>
      </c>
      <c r="L159" s="12">
        <f>_xlfn.XLOOKUP(C159,'COM RESID'!J:J,'COM RESID'!V:V)</f>
        <v/>
      </c>
    </row>
    <row r="160">
      <c r="B160">
        <f>IF(K160=0,"*",Def_Tech!C304)</f>
        <v/>
      </c>
      <c r="C160">
        <f>Def_Tech!D304</f>
        <v/>
      </c>
      <c r="D160">
        <f>_xlfn.XLOOKUP(C160,'COM RESID'!J:J,'COM RESID'!H:H)</f>
        <v/>
      </c>
      <c r="E160">
        <f>_xlfn.XLOOKUP(C160,'COM RESID'!J:J,'COM RESID'!I:I)</f>
        <v/>
      </c>
      <c r="F160" s="12">
        <f>_xlfn.XLOOKUP(C160,'COM RESID'!J:J,'COM RESID'!R:R)</f>
        <v/>
      </c>
      <c r="G160">
        <f>_xlfn.XLOOKUP(C160,'COM RESID'!J:J,'COM RESID'!W:W)</f>
        <v/>
      </c>
      <c r="H160" s="12">
        <f>_xlfn.XLOOKUP(C160,'COM RESID'!J:J,'COM RESID'!V:V)</f>
        <v/>
      </c>
      <c r="I160" s="12">
        <f>ROUNDUP(_xlfn.XLOOKUP(C160,'COM RESID'!J:J,'COM RESID'!S:S),0)</f>
        <v/>
      </c>
      <c r="J160" s="8">
        <f>_xlfn.XLOOKUP(C160,'COM RESID'!J:J,'COM RESID'!T:T)</f>
        <v/>
      </c>
      <c r="K160" s="13">
        <f>_xlfn.XLOOKUP(C160,'COM RESID'!J:J,'COM RESID'!P:P)</f>
        <v/>
      </c>
      <c r="L160" s="12">
        <f>_xlfn.XLOOKUP(C160,'COM RESID'!J:J,'COM RESID'!V:V)</f>
        <v/>
      </c>
    </row>
    <row r="161">
      <c r="B161">
        <f>IF(K161=0,"*",Def_Tech!C305)</f>
        <v/>
      </c>
      <c r="C161">
        <f>Def_Tech!D305</f>
        <v/>
      </c>
      <c r="D161">
        <f>_xlfn.XLOOKUP(C161,'COM RESID'!J:J,'COM RESID'!H:H)</f>
        <v/>
      </c>
      <c r="E161">
        <f>_xlfn.XLOOKUP(C161,'COM RESID'!J:J,'COM RESID'!I:I)</f>
        <v/>
      </c>
      <c r="F161" s="12">
        <f>_xlfn.XLOOKUP(C161,'COM RESID'!J:J,'COM RESID'!R:R)</f>
        <v/>
      </c>
      <c r="G161">
        <f>_xlfn.XLOOKUP(C161,'COM RESID'!J:J,'COM RESID'!W:W)</f>
        <v/>
      </c>
      <c r="H161" s="12">
        <f>_xlfn.XLOOKUP(C161,'COM RESID'!J:J,'COM RESID'!V:V)</f>
        <v/>
      </c>
      <c r="I161" s="12">
        <f>ROUNDUP(_xlfn.XLOOKUP(C161,'COM RESID'!J:J,'COM RESID'!S:S),0)</f>
        <v/>
      </c>
      <c r="J161" s="8">
        <f>_xlfn.XLOOKUP(C161,'COM RESID'!J:J,'COM RESID'!T:T)</f>
        <v/>
      </c>
      <c r="K161" s="13">
        <f>_xlfn.XLOOKUP(C161,'COM RESID'!J:J,'COM RESID'!P:P)</f>
        <v/>
      </c>
      <c r="L161" s="12">
        <f>_xlfn.XLOOKUP(C161,'COM RESID'!J:J,'COM RESID'!V:V)</f>
        <v/>
      </c>
    </row>
    <row r="162">
      <c r="B162">
        <f>IF(K162=0,"*",Def_Tech!C306)</f>
        <v/>
      </c>
      <c r="C162">
        <f>Def_Tech!D306</f>
        <v/>
      </c>
      <c r="D162">
        <f>_xlfn.XLOOKUP(C162,'COM RESID'!J:J,'COM RESID'!H:H)</f>
        <v/>
      </c>
      <c r="E162">
        <f>_xlfn.XLOOKUP(C162,'COM RESID'!J:J,'COM RESID'!I:I)</f>
        <v/>
      </c>
      <c r="F162" s="12">
        <f>_xlfn.XLOOKUP(C162,'COM RESID'!J:J,'COM RESID'!R:R)</f>
        <v/>
      </c>
      <c r="G162">
        <f>_xlfn.XLOOKUP(C162,'COM RESID'!J:J,'COM RESID'!W:W)</f>
        <v/>
      </c>
      <c r="H162" s="12">
        <f>_xlfn.XLOOKUP(C162,'COM RESID'!J:J,'COM RESID'!V:V)</f>
        <v/>
      </c>
      <c r="I162" s="12">
        <f>ROUNDUP(_xlfn.XLOOKUP(C162,'COM RESID'!J:J,'COM RESID'!S:S),0)</f>
        <v/>
      </c>
      <c r="J162" s="8">
        <f>_xlfn.XLOOKUP(C162,'COM RESID'!J:J,'COM RESID'!T:T)</f>
        <v/>
      </c>
      <c r="K162" s="13">
        <f>_xlfn.XLOOKUP(C162,'COM RESID'!J:J,'COM RESID'!P:P)</f>
        <v/>
      </c>
      <c r="L162" s="12">
        <f>_xlfn.XLOOKUP(C162,'COM RESID'!J:J,'COM RESID'!V:V)</f>
        <v/>
      </c>
    </row>
    <row r="163">
      <c r="B163">
        <f>IF(K163=0,"*",Def_Tech!C307)</f>
        <v/>
      </c>
      <c r="C163">
        <f>Def_Tech!D307</f>
        <v/>
      </c>
      <c r="D163">
        <f>_xlfn.XLOOKUP(C163,'COM RESID'!J:J,'COM RESID'!H:H)</f>
        <v/>
      </c>
      <c r="E163">
        <f>_xlfn.XLOOKUP(C163,'COM RESID'!J:J,'COM RESID'!I:I)</f>
        <v/>
      </c>
      <c r="F163" s="12">
        <f>_xlfn.XLOOKUP(C163,'COM RESID'!J:J,'COM RESID'!R:R)</f>
        <v/>
      </c>
      <c r="G163">
        <f>_xlfn.XLOOKUP(C163,'COM RESID'!J:J,'COM RESID'!W:W)</f>
        <v/>
      </c>
      <c r="H163" s="12">
        <f>_xlfn.XLOOKUP(C163,'COM RESID'!J:J,'COM RESID'!V:V)</f>
        <v/>
      </c>
      <c r="I163" s="12">
        <f>ROUNDUP(_xlfn.XLOOKUP(C163,'COM RESID'!J:J,'COM RESID'!S:S),0)</f>
        <v/>
      </c>
      <c r="J163" s="8">
        <f>_xlfn.XLOOKUP(C163,'COM RESID'!J:J,'COM RESID'!T:T)</f>
        <v/>
      </c>
      <c r="K163" s="13">
        <f>_xlfn.XLOOKUP(C163,'COM RESID'!J:J,'COM RESID'!P:P)</f>
        <v/>
      </c>
      <c r="L163" s="12">
        <f>_xlfn.XLOOKUP(C163,'COM RESID'!J:J,'COM RESID'!V:V)</f>
        <v/>
      </c>
    </row>
    <row r="164">
      <c r="B164">
        <f>IF(K164=0,"*",Def_Tech!C308)</f>
        <v/>
      </c>
      <c r="C164">
        <f>Def_Tech!D308</f>
        <v/>
      </c>
      <c r="D164">
        <f>_xlfn.XLOOKUP(C164,'COM RESID'!J:J,'COM RESID'!H:H)</f>
        <v/>
      </c>
      <c r="E164">
        <f>_xlfn.XLOOKUP(C164,'COM RESID'!J:J,'COM RESID'!I:I)</f>
        <v/>
      </c>
      <c r="F164" s="12">
        <f>_xlfn.XLOOKUP(C164,'COM RESID'!J:J,'COM RESID'!R:R)</f>
        <v/>
      </c>
      <c r="G164">
        <f>_xlfn.XLOOKUP(C164,'COM RESID'!J:J,'COM RESID'!W:W)</f>
        <v/>
      </c>
      <c r="H164" s="12">
        <f>_xlfn.XLOOKUP(C164,'COM RESID'!J:J,'COM RESID'!V:V)</f>
        <v/>
      </c>
      <c r="I164" s="12">
        <f>ROUNDUP(_xlfn.XLOOKUP(C164,'COM RESID'!J:J,'COM RESID'!S:S),0)</f>
        <v/>
      </c>
      <c r="J164" s="8">
        <f>_xlfn.XLOOKUP(C164,'COM RESID'!J:J,'COM RESID'!T:T)</f>
        <v/>
      </c>
      <c r="K164" s="13">
        <f>_xlfn.XLOOKUP(C164,'COM RESID'!J:J,'COM RESID'!P:P)</f>
        <v/>
      </c>
      <c r="L164" s="12">
        <f>_xlfn.XLOOKUP(C164,'COM RESID'!J:J,'COM RESID'!V:V)</f>
        <v/>
      </c>
    </row>
    <row r="165">
      <c r="B165">
        <f>IF(K165=0,"*",Def_Tech!C309)</f>
        <v/>
      </c>
      <c r="C165">
        <f>Def_Tech!D309</f>
        <v/>
      </c>
      <c r="D165">
        <f>_xlfn.XLOOKUP(C165,'COM RESID'!J:J,'COM RESID'!H:H)</f>
        <v/>
      </c>
      <c r="E165">
        <f>_xlfn.XLOOKUP(C165,'COM RESID'!J:J,'COM RESID'!I:I)</f>
        <v/>
      </c>
      <c r="F165" s="12">
        <f>_xlfn.XLOOKUP(C165,'COM RESID'!J:J,'COM RESID'!R:R)</f>
        <v/>
      </c>
      <c r="G165">
        <f>_xlfn.XLOOKUP(C165,'COM RESID'!J:J,'COM RESID'!W:W)</f>
        <v/>
      </c>
      <c r="H165" s="12">
        <f>_xlfn.XLOOKUP(C165,'COM RESID'!J:J,'COM RESID'!V:V)</f>
        <v/>
      </c>
      <c r="I165" s="12">
        <f>ROUNDUP(_xlfn.XLOOKUP(C165,'COM RESID'!J:J,'COM RESID'!S:S),0)</f>
        <v/>
      </c>
      <c r="J165" s="8">
        <f>_xlfn.XLOOKUP(C165,'COM RESID'!J:J,'COM RESID'!T:T)</f>
        <v/>
      </c>
      <c r="K165" s="13">
        <f>_xlfn.XLOOKUP(C165,'COM RESID'!J:J,'COM RESID'!P:P)</f>
        <v/>
      </c>
      <c r="L165" s="12">
        <f>_xlfn.XLOOKUP(C165,'COM RESID'!J:J,'COM RESID'!V:V)</f>
        <v/>
      </c>
    </row>
    <row r="166">
      <c r="B166">
        <f>IF(K166=0,"*",Def_Tech!C310)</f>
        <v/>
      </c>
      <c r="C166">
        <f>Def_Tech!D310</f>
        <v/>
      </c>
      <c r="D166">
        <f>_xlfn.XLOOKUP(C166,'COM RESID'!J:J,'COM RESID'!H:H)</f>
        <v/>
      </c>
      <c r="E166">
        <f>_xlfn.XLOOKUP(C166,'COM RESID'!J:J,'COM RESID'!I:I)</f>
        <v/>
      </c>
      <c r="F166" s="12">
        <f>_xlfn.XLOOKUP(C166,'COM RESID'!J:J,'COM RESID'!R:R)</f>
        <v/>
      </c>
      <c r="G166">
        <f>_xlfn.XLOOKUP(C166,'COM RESID'!J:J,'COM RESID'!W:W)</f>
        <v/>
      </c>
      <c r="H166" s="12">
        <f>_xlfn.XLOOKUP(C166,'COM RESID'!J:J,'COM RESID'!V:V)</f>
        <v/>
      </c>
      <c r="I166" s="12">
        <f>ROUNDUP(_xlfn.XLOOKUP(C166,'COM RESID'!J:J,'COM RESID'!S:S),0)</f>
        <v/>
      </c>
      <c r="J166" s="8">
        <f>_xlfn.XLOOKUP(C166,'COM RESID'!J:J,'COM RESID'!T:T)</f>
        <v/>
      </c>
      <c r="K166" s="13">
        <f>_xlfn.XLOOKUP(C166,'COM RESID'!J:J,'COM RESID'!P:P)</f>
        <v/>
      </c>
      <c r="L166" s="12">
        <f>_xlfn.XLOOKUP(C166,'COM RESID'!J:J,'COM RESID'!V:V)</f>
        <v/>
      </c>
    </row>
    <row r="167">
      <c r="B167">
        <f>IF(K167=0,"*",Def_Tech!C311)</f>
        <v/>
      </c>
      <c r="C167">
        <f>Def_Tech!D311</f>
        <v/>
      </c>
      <c r="D167">
        <f>_xlfn.XLOOKUP(C167,'COM RESID'!J:J,'COM RESID'!H:H)</f>
        <v/>
      </c>
      <c r="E167">
        <f>_xlfn.XLOOKUP(C167,'COM RESID'!J:J,'COM RESID'!I:I)</f>
        <v/>
      </c>
      <c r="F167" s="12">
        <f>_xlfn.XLOOKUP(C167,'COM RESID'!J:J,'COM RESID'!R:R)</f>
        <v/>
      </c>
      <c r="G167">
        <f>_xlfn.XLOOKUP(C167,'COM RESID'!J:J,'COM RESID'!W:W)</f>
        <v/>
      </c>
      <c r="H167" s="12">
        <f>_xlfn.XLOOKUP(C167,'COM RESID'!J:J,'COM RESID'!V:V)</f>
        <v/>
      </c>
      <c r="I167" s="12">
        <f>ROUNDUP(_xlfn.XLOOKUP(C167,'COM RESID'!J:J,'COM RESID'!S:S),0)</f>
        <v/>
      </c>
      <c r="J167" s="8">
        <f>_xlfn.XLOOKUP(C167,'COM RESID'!J:J,'COM RESID'!T:T)</f>
        <v/>
      </c>
      <c r="K167" s="13">
        <f>_xlfn.XLOOKUP(C167,'COM RESID'!J:J,'COM RESID'!P:P)</f>
        <v/>
      </c>
      <c r="L167" s="12">
        <f>_xlfn.XLOOKUP(C167,'COM RESID'!J:J,'COM RESID'!V:V)</f>
        <v/>
      </c>
    </row>
    <row r="168">
      <c r="B168">
        <f>IF(K168=0,"*",Def_Tech!C312)</f>
        <v/>
      </c>
      <c r="C168">
        <f>Def_Tech!D312</f>
        <v/>
      </c>
      <c r="D168">
        <f>_xlfn.XLOOKUP(C168,'COM RESID'!J:J,'COM RESID'!H:H)</f>
        <v/>
      </c>
      <c r="E168">
        <f>_xlfn.XLOOKUP(C168,'COM RESID'!J:J,'COM RESID'!I:I)</f>
        <v/>
      </c>
      <c r="F168" s="12">
        <f>_xlfn.XLOOKUP(C168,'COM RESID'!J:J,'COM RESID'!R:R)</f>
        <v/>
      </c>
      <c r="G168">
        <f>_xlfn.XLOOKUP(C168,'COM RESID'!J:J,'COM RESID'!W:W)</f>
        <v/>
      </c>
      <c r="H168" s="12">
        <f>_xlfn.XLOOKUP(C168,'COM RESID'!J:J,'COM RESID'!V:V)</f>
        <v/>
      </c>
      <c r="I168" s="12">
        <f>ROUNDUP(_xlfn.XLOOKUP(C168,'COM RESID'!J:J,'COM RESID'!S:S),0)</f>
        <v/>
      </c>
      <c r="J168" s="8">
        <f>_xlfn.XLOOKUP(C168,'COM RESID'!J:J,'COM RESID'!T:T)</f>
        <v/>
      </c>
      <c r="K168" s="13">
        <f>_xlfn.XLOOKUP(C168,'COM RESID'!J:J,'COM RESID'!P:P)</f>
        <v/>
      </c>
      <c r="L168" s="12">
        <f>_xlfn.XLOOKUP(C168,'COM RESID'!J:J,'COM RESID'!V:V)</f>
        <v/>
      </c>
    </row>
    <row r="169">
      <c r="B169">
        <f>IF(K169=0,"*",Def_Tech!C313)</f>
        <v/>
      </c>
      <c r="C169">
        <f>Def_Tech!D313</f>
        <v/>
      </c>
      <c r="D169">
        <f>_xlfn.XLOOKUP(C169,'COM RESID'!J:J,'COM RESID'!H:H)</f>
        <v/>
      </c>
      <c r="E169">
        <f>_xlfn.XLOOKUP(C169,'COM RESID'!J:J,'COM RESID'!I:I)</f>
        <v/>
      </c>
      <c r="F169" s="12">
        <f>_xlfn.XLOOKUP(C169,'COM RESID'!J:J,'COM RESID'!R:R)</f>
        <v/>
      </c>
      <c r="G169">
        <f>_xlfn.XLOOKUP(C169,'COM RESID'!J:J,'COM RESID'!W:W)</f>
        <v/>
      </c>
      <c r="H169" s="12">
        <f>_xlfn.XLOOKUP(C169,'COM RESID'!J:J,'COM RESID'!V:V)</f>
        <v/>
      </c>
      <c r="I169" s="12">
        <f>ROUNDUP(_xlfn.XLOOKUP(C169,'COM RESID'!J:J,'COM RESID'!S:S),0)</f>
        <v/>
      </c>
      <c r="J169" s="8">
        <f>_xlfn.XLOOKUP(C169,'COM RESID'!J:J,'COM RESID'!T:T)</f>
        <v/>
      </c>
      <c r="K169" s="13">
        <f>_xlfn.XLOOKUP(C169,'COM RESID'!J:J,'COM RESID'!P:P)</f>
        <v/>
      </c>
      <c r="L169" s="12">
        <f>_xlfn.XLOOKUP(C169,'COM RESID'!J:J,'COM RESID'!V:V)</f>
        <v/>
      </c>
    </row>
    <row r="170">
      <c r="B170">
        <f>IF(K170=0,"*",Def_Tech!C314)</f>
        <v/>
      </c>
      <c r="C170">
        <f>Def_Tech!D314</f>
        <v/>
      </c>
      <c r="D170">
        <f>_xlfn.XLOOKUP(C170,'COM RESID'!J:J,'COM RESID'!H:H)</f>
        <v/>
      </c>
      <c r="E170">
        <f>_xlfn.XLOOKUP(C170,'COM RESID'!J:J,'COM RESID'!I:I)</f>
        <v/>
      </c>
      <c r="F170" s="12">
        <f>_xlfn.XLOOKUP(C170,'COM RESID'!J:J,'COM RESID'!R:R)</f>
        <v/>
      </c>
      <c r="G170">
        <f>_xlfn.XLOOKUP(C170,'COM RESID'!J:J,'COM RESID'!W:W)</f>
        <v/>
      </c>
      <c r="H170" s="12">
        <f>_xlfn.XLOOKUP(C170,'COM RESID'!J:J,'COM RESID'!V:V)</f>
        <v/>
      </c>
      <c r="I170" s="12">
        <f>ROUNDUP(_xlfn.XLOOKUP(C170,'COM RESID'!J:J,'COM RESID'!S:S),0)</f>
        <v/>
      </c>
      <c r="J170" s="8">
        <f>_xlfn.XLOOKUP(C170,'COM RESID'!J:J,'COM RESID'!T:T)</f>
        <v/>
      </c>
      <c r="K170" s="13">
        <f>_xlfn.XLOOKUP(C170,'COM RESID'!J:J,'COM RESID'!P:P)</f>
        <v/>
      </c>
      <c r="L170" s="12">
        <f>_xlfn.XLOOKUP(C170,'COM RESID'!J:J,'COM RESID'!V:V)</f>
        <v/>
      </c>
    </row>
    <row r="171">
      <c r="B171">
        <f>IF(K171=0,"*",Def_Tech!C315)</f>
        <v/>
      </c>
      <c r="C171">
        <f>Def_Tech!D315</f>
        <v/>
      </c>
      <c r="D171">
        <f>_xlfn.XLOOKUP(C171,'COM RESID'!J:J,'COM RESID'!H:H)</f>
        <v/>
      </c>
      <c r="E171">
        <f>_xlfn.XLOOKUP(C171,'COM RESID'!J:J,'COM RESID'!I:I)</f>
        <v/>
      </c>
      <c r="F171" s="12">
        <f>_xlfn.XLOOKUP(C171,'COM RESID'!J:J,'COM RESID'!R:R)</f>
        <v/>
      </c>
      <c r="G171">
        <f>_xlfn.XLOOKUP(C171,'COM RESID'!J:J,'COM RESID'!W:W)</f>
        <v/>
      </c>
      <c r="H171" s="12">
        <f>_xlfn.XLOOKUP(C171,'COM RESID'!J:J,'COM RESID'!V:V)</f>
        <v/>
      </c>
      <c r="I171" s="12">
        <f>ROUNDUP(_xlfn.XLOOKUP(C171,'COM RESID'!J:J,'COM RESID'!S:S),0)</f>
        <v/>
      </c>
      <c r="J171" s="8">
        <f>_xlfn.XLOOKUP(C171,'COM RESID'!J:J,'COM RESID'!T:T)</f>
        <v/>
      </c>
      <c r="K171" s="13">
        <f>_xlfn.XLOOKUP(C171,'COM RESID'!J:J,'COM RESID'!P:P)</f>
        <v/>
      </c>
      <c r="L171" s="12">
        <f>_xlfn.XLOOKUP(C171,'COM RESID'!J:J,'COM RESID'!V:V)</f>
        <v/>
      </c>
    </row>
    <row r="172">
      <c r="B172">
        <f>IF(K172=0,"*",Def_Tech!C316)</f>
        <v/>
      </c>
      <c r="C172">
        <f>Def_Tech!D316</f>
        <v/>
      </c>
      <c r="D172">
        <f>_xlfn.XLOOKUP(C172,'COM RESID'!J:J,'COM RESID'!H:H)</f>
        <v/>
      </c>
      <c r="E172">
        <f>_xlfn.XLOOKUP(C172,'COM RESID'!J:J,'COM RESID'!I:I)</f>
        <v/>
      </c>
      <c r="F172" s="12">
        <f>_xlfn.XLOOKUP(C172,'COM RESID'!J:J,'COM RESID'!R:R)</f>
        <v/>
      </c>
      <c r="G172">
        <f>_xlfn.XLOOKUP(C172,'COM RESID'!J:J,'COM RESID'!W:W)</f>
        <v/>
      </c>
      <c r="H172" s="12">
        <f>_xlfn.XLOOKUP(C172,'COM RESID'!J:J,'COM RESID'!V:V)</f>
        <v/>
      </c>
      <c r="I172" s="12">
        <f>ROUNDUP(_xlfn.XLOOKUP(C172,'COM RESID'!J:J,'COM RESID'!S:S),0)</f>
        <v/>
      </c>
      <c r="J172" s="8">
        <f>_xlfn.XLOOKUP(C172,'COM RESID'!J:J,'COM RESID'!T:T)</f>
        <v/>
      </c>
      <c r="K172" s="13">
        <f>_xlfn.XLOOKUP(C172,'COM RESID'!J:J,'COM RESID'!P:P)</f>
        <v/>
      </c>
      <c r="L172" s="12">
        <f>_xlfn.XLOOKUP(C172,'COM RESID'!J:J,'COM RESID'!V:V)</f>
        <v/>
      </c>
    </row>
    <row r="173">
      <c r="B173">
        <f>IF(K173=0,"*",Def_Tech!C317)</f>
        <v/>
      </c>
      <c r="C173">
        <f>Def_Tech!D317</f>
        <v/>
      </c>
      <c r="D173">
        <f>_xlfn.XLOOKUP(C173,'COM RESID'!J:J,'COM RESID'!H:H)</f>
        <v/>
      </c>
      <c r="E173">
        <f>_xlfn.XLOOKUP(C173,'COM RESID'!J:J,'COM RESID'!I:I)</f>
        <v/>
      </c>
      <c r="F173" s="12">
        <f>_xlfn.XLOOKUP(C173,'COM RESID'!J:J,'COM RESID'!R:R)</f>
        <v/>
      </c>
      <c r="G173">
        <f>_xlfn.XLOOKUP(C173,'COM RESID'!J:J,'COM RESID'!W:W)</f>
        <v/>
      </c>
      <c r="H173" s="12">
        <f>_xlfn.XLOOKUP(C173,'COM RESID'!J:J,'COM RESID'!V:V)</f>
        <v/>
      </c>
      <c r="I173" s="12">
        <f>ROUNDUP(_xlfn.XLOOKUP(C173,'COM RESID'!J:J,'COM RESID'!S:S),0)</f>
        <v/>
      </c>
      <c r="J173" s="8">
        <f>_xlfn.XLOOKUP(C173,'COM RESID'!J:J,'COM RESID'!T:T)</f>
        <v/>
      </c>
      <c r="K173" s="13">
        <f>_xlfn.XLOOKUP(C173,'COM RESID'!J:J,'COM RESID'!P:P)</f>
        <v/>
      </c>
      <c r="L173" s="12">
        <f>_xlfn.XLOOKUP(C173,'COM RESID'!J:J,'COM RESID'!V:V)</f>
        <v/>
      </c>
    </row>
    <row r="174">
      <c r="B174">
        <f>IF(K174=0,"*",Def_Tech!C318)</f>
        <v/>
      </c>
      <c r="C174">
        <f>Def_Tech!D318</f>
        <v/>
      </c>
      <c r="D174">
        <f>_xlfn.XLOOKUP(C174,'COM RESID'!J:J,'COM RESID'!H:H)</f>
        <v/>
      </c>
      <c r="E174">
        <f>_xlfn.XLOOKUP(C174,'COM RESID'!J:J,'COM RESID'!I:I)</f>
        <v/>
      </c>
      <c r="F174" s="12">
        <f>_xlfn.XLOOKUP(C174,'COM RESID'!J:J,'COM RESID'!R:R)</f>
        <v/>
      </c>
      <c r="G174">
        <f>_xlfn.XLOOKUP(C174,'COM RESID'!J:J,'COM RESID'!W:W)</f>
        <v/>
      </c>
      <c r="H174" s="12">
        <f>_xlfn.XLOOKUP(C174,'COM RESID'!J:J,'COM RESID'!V:V)</f>
        <v/>
      </c>
      <c r="I174" s="12">
        <f>ROUNDUP(_xlfn.XLOOKUP(C174,'COM RESID'!J:J,'COM RESID'!S:S),0)</f>
        <v/>
      </c>
      <c r="J174" s="8">
        <f>_xlfn.XLOOKUP(C174,'COM RESID'!J:J,'COM RESID'!T:T)</f>
        <v/>
      </c>
      <c r="K174" s="13">
        <f>_xlfn.XLOOKUP(C174,'COM RESID'!J:J,'COM RESID'!P:P)</f>
        <v/>
      </c>
      <c r="L174" s="12">
        <f>_xlfn.XLOOKUP(C174,'COM RESID'!J:J,'COM RESID'!V:V)</f>
        <v/>
      </c>
    </row>
    <row r="175">
      <c r="B175">
        <f>IF(K175=0,"*",Def_Tech!C319)</f>
        <v/>
      </c>
      <c r="C175">
        <f>Def_Tech!D319</f>
        <v/>
      </c>
      <c r="D175">
        <f>_xlfn.XLOOKUP(C175,'COM RESID'!J:J,'COM RESID'!H:H)</f>
        <v/>
      </c>
      <c r="E175">
        <f>_xlfn.XLOOKUP(C175,'COM RESID'!J:J,'COM RESID'!I:I)</f>
        <v/>
      </c>
      <c r="F175" s="12">
        <f>_xlfn.XLOOKUP(C175,'COM RESID'!J:J,'COM RESID'!R:R)</f>
        <v/>
      </c>
      <c r="G175">
        <f>_xlfn.XLOOKUP(C175,'COM RESID'!J:J,'COM RESID'!W:W)</f>
        <v/>
      </c>
      <c r="H175" s="12">
        <f>_xlfn.XLOOKUP(C175,'COM RESID'!J:J,'COM RESID'!V:V)</f>
        <v/>
      </c>
      <c r="I175" s="12">
        <f>ROUNDUP(_xlfn.XLOOKUP(C175,'COM RESID'!J:J,'COM RESID'!S:S),0)</f>
        <v/>
      </c>
      <c r="J175" s="8">
        <f>_xlfn.XLOOKUP(C175,'COM RESID'!J:J,'COM RESID'!T:T)</f>
        <v/>
      </c>
      <c r="K175" s="13">
        <f>_xlfn.XLOOKUP(C175,'COM RESID'!J:J,'COM RESID'!P:P)</f>
        <v/>
      </c>
      <c r="L175" s="12">
        <f>_xlfn.XLOOKUP(C175,'COM RESID'!J:J,'COM RESID'!V:V)</f>
        <v/>
      </c>
    </row>
    <row r="176">
      <c r="B176">
        <f>IF(K176=0,"*",Def_Tech!C320)</f>
        <v/>
      </c>
      <c r="C176">
        <f>Def_Tech!D320</f>
        <v/>
      </c>
      <c r="D176">
        <f>_xlfn.XLOOKUP(C176,'COM RESID'!J:J,'COM RESID'!H:H)</f>
        <v/>
      </c>
      <c r="E176">
        <f>_xlfn.XLOOKUP(C176,'COM RESID'!J:J,'COM RESID'!I:I)</f>
        <v/>
      </c>
      <c r="F176" s="12">
        <f>_xlfn.XLOOKUP(C176,'COM RESID'!J:J,'COM RESID'!R:R)</f>
        <v/>
      </c>
      <c r="G176">
        <f>_xlfn.XLOOKUP(C176,'COM RESID'!J:J,'COM RESID'!W:W)</f>
        <v/>
      </c>
      <c r="H176" s="12">
        <f>_xlfn.XLOOKUP(C176,'COM RESID'!J:J,'COM RESID'!V:V)</f>
        <v/>
      </c>
      <c r="I176" s="12">
        <f>ROUNDUP(_xlfn.XLOOKUP(C176,'COM RESID'!J:J,'COM RESID'!S:S),0)</f>
        <v/>
      </c>
      <c r="J176" s="8">
        <f>_xlfn.XLOOKUP(C176,'COM RESID'!J:J,'COM RESID'!T:T)</f>
        <v/>
      </c>
      <c r="K176" s="13">
        <f>_xlfn.XLOOKUP(C176,'COM RESID'!J:J,'COM RESID'!P:P)</f>
        <v/>
      </c>
      <c r="L176" s="12">
        <f>_xlfn.XLOOKUP(C176,'COM RESID'!J:J,'COM RESID'!V:V)</f>
        <v/>
      </c>
    </row>
    <row r="177">
      <c r="B177">
        <f>IF(K177=0,"*",Def_Tech!C321)</f>
        <v/>
      </c>
      <c r="C177">
        <f>Def_Tech!D321</f>
        <v/>
      </c>
      <c r="D177">
        <f>_xlfn.XLOOKUP(C177,'COM RESID'!J:J,'COM RESID'!H:H)</f>
        <v/>
      </c>
      <c r="E177">
        <f>_xlfn.XLOOKUP(C177,'COM RESID'!J:J,'COM RESID'!I:I)</f>
        <v/>
      </c>
      <c r="F177" s="12">
        <f>_xlfn.XLOOKUP(C177,'COM RESID'!J:J,'COM RESID'!R:R)</f>
        <v/>
      </c>
      <c r="G177">
        <f>_xlfn.XLOOKUP(C177,'COM RESID'!J:J,'COM RESID'!W:W)</f>
        <v/>
      </c>
      <c r="H177" s="12">
        <f>_xlfn.XLOOKUP(C177,'COM RESID'!J:J,'COM RESID'!V:V)</f>
        <v/>
      </c>
      <c r="I177" s="12">
        <f>ROUNDUP(_xlfn.XLOOKUP(C177,'COM RESID'!J:J,'COM RESID'!S:S),0)</f>
        <v/>
      </c>
      <c r="J177" s="8">
        <f>_xlfn.XLOOKUP(C177,'COM RESID'!J:J,'COM RESID'!T:T)</f>
        <v/>
      </c>
      <c r="K177" s="13">
        <f>_xlfn.XLOOKUP(C177,'COM RESID'!J:J,'COM RESID'!P:P)</f>
        <v/>
      </c>
      <c r="L177" s="12">
        <f>_xlfn.XLOOKUP(C177,'COM RESID'!J:J,'COM RESID'!V:V)</f>
        <v/>
      </c>
    </row>
    <row r="178">
      <c r="B178">
        <f>IF(K178=0,"*",Def_Tech!C322)</f>
        <v/>
      </c>
      <c r="C178">
        <f>Def_Tech!D322</f>
        <v/>
      </c>
      <c r="D178">
        <f>_xlfn.XLOOKUP(C178,'COM RESID'!J:J,'COM RESID'!H:H)</f>
        <v/>
      </c>
      <c r="E178">
        <f>_xlfn.XLOOKUP(C178,'COM RESID'!J:J,'COM RESID'!I:I)</f>
        <v/>
      </c>
      <c r="F178" s="12">
        <f>_xlfn.XLOOKUP(C178,'COM RESID'!J:J,'COM RESID'!R:R)</f>
        <v/>
      </c>
      <c r="G178">
        <f>_xlfn.XLOOKUP(C178,'COM RESID'!J:J,'COM RESID'!W:W)</f>
        <v/>
      </c>
      <c r="H178" s="12">
        <f>_xlfn.XLOOKUP(C178,'COM RESID'!J:J,'COM RESID'!V:V)</f>
        <v/>
      </c>
      <c r="I178" s="12">
        <f>ROUNDUP(_xlfn.XLOOKUP(C178,'COM RESID'!J:J,'COM RESID'!S:S),0)</f>
        <v/>
      </c>
      <c r="J178" s="8">
        <f>_xlfn.XLOOKUP(C178,'COM RESID'!J:J,'COM RESID'!T:T)</f>
        <v/>
      </c>
      <c r="K178" s="13">
        <f>_xlfn.XLOOKUP(C178,'COM RESID'!J:J,'COM RESID'!P:P)</f>
        <v/>
      </c>
      <c r="L178" s="12">
        <f>_xlfn.XLOOKUP(C178,'COM RESID'!J:J,'COM RESID'!V:V)</f>
        <v/>
      </c>
    </row>
    <row r="179">
      <c r="B179">
        <f>IF(K179=0,"*",Def_Tech!C323)</f>
        <v/>
      </c>
      <c r="C179">
        <f>Def_Tech!D323</f>
        <v/>
      </c>
      <c r="D179">
        <f>_xlfn.XLOOKUP(C179,'COM RESID'!J:J,'COM RESID'!H:H)</f>
        <v/>
      </c>
      <c r="E179">
        <f>_xlfn.XLOOKUP(C179,'COM RESID'!J:J,'COM RESID'!I:I)</f>
        <v/>
      </c>
      <c r="F179" s="12">
        <f>_xlfn.XLOOKUP(C179,'COM RESID'!J:J,'COM RESID'!R:R)</f>
        <v/>
      </c>
      <c r="G179">
        <f>_xlfn.XLOOKUP(C179,'COM RESID'!J:J,'COM RESID'!W:W)</f>
        <v/>
      </c>
      <c r="H179" s="12">
        <f>_xlfn.XLOOKUP(C179,'COM RESID'!J:J,'COM RESID'!V:V)</f>
        <v/>
      </c>
      <c r="I179" s="12">
        <f>ROUNDUP(_xlfn.XLOOKUP(C179,'COM RESID'!J:J,'COM RESID'!S:S),0)</f>
        <v/>
      </c>
      <c r="J179" s="8">
        <f>_xlfn.XLOOKUP(C179,'COM RESID'!J:J,'COM RESID'!T:T)</f>
        <v/>
      </c>
      <c r="K179" s="13">
        <f>_xlfn.XLOOKUP(C179,'COM RESID'!J:J,'COM RESID'!P:P)</f>
        <v/>
      </c>
      <c r="L179" s="12">
        <f>_xlfn.XLOOKUP(C179,'COM RESID'!J:J,'COM RESID'!V:V)</f>
        <v/>
      </c>
    </row>
    <row r="180">
      <c r="B180">
        <f>IF(K180=0,"*",Def_Tech!C324)</f>
        <v/>
      </c>
      <c r="C180">
        <f>Def_Tech!D324</f>
        <v/>
      </c>
      <c r="D180">
        <f>_xlfn.XLOOKUP(C180,'COM RESID'!J:J,'COM RESID'!H:H)</f>
        <v/>
      </c>
      <c r="E180">
        <f>_xlfn.XLOOKUP(C180,'COM RESID'!J:J,'COM RESID'!I:I)</f>
        <v/>
      </c>
      <c r="F180" s="12">
        <f>_xlfn.XLOOKUP(C180,'COM RESID'!J:J,'COM RESID'!R:R)</f>
        <v/>
      </c>
      <c r="G180">
        <f>_xlfn.XLOOKUP(C180,'COM RESID'!J:J,'COM RESID'!W:W)</f>
        <v/>
      </c>
      <c r="H180" s="12">
        <f>_xlfn.XLOOKUP(C180,'COM RESID'!J:J,'COM RESID'!V:V)</f>
        <v/>
      </c>
      <c r="I180" s="12">
        <f>ROUNDUP(_xlfn.XLOOKUP(C180,'COM RESID'!J:J,'COM RESID'!S:S),0)</f>
        <v/>
      </c>
      <c r="J180" s="8">
        <f>_xlfn.XLOOKUP(C180,'COM RESID'!J:J,'COM RESID'!T:T)</f>
        <v/>
      </c>
      <c r="K180" s="13">
        <f>_xlfn.XLOOKUP(C180,'COM RESID'!J:J,'COM RESID'!P:P)</f>
        <v/>
      </c>
      <c r="L180" s="12">
        <f>_xlfn.XLOOKUP(C180,'COM RESID'!J:J,'COM RESID'!V:V)</f>
        <v/>
      </c>
    </row>
    <row r="181">
      <c r="B181">
        <f>IF(K181=0,"*",Def_Tech!C325)</f>
        <v/>
      </c>
      <c r="C181">
        <f>Def_Tech!D325</f>
        <v/>
      </c>
      <c r="D181">
        <f>_xlfn.XLOOKUP(C181,'COM RESID'!J:J,'COM RESID'!H:H)</f>
        <v/>
      </c>
      <c r="E181">
        <f>_xlfn.XLOOKUP(C181,'COM RESID'!J:J,'COM RESID'!I:I)</f>
        <v/>
      </c>
      <c r="F181" s="12">
        <f>_xlfn.XLOOKUP(C181,'COM RESID'!J:J,'COM RESID'!R:R)</f>
        <v/>
      </c>
      <c r="G181">
        <f>_xlfn.XLOOKUP(C181,'COM RESID'!J:J,'COM RESID'!W:W)</f>
        <v/>
      </c>
      <c r="H181" s="12">
        <f>_xlfn.XLOOKUP(C181,'COM RESID'!J:J,'COM RESID'!V:V)</f>
        <v/>
      </c>
      <c r="I181" s="12">
        <f>ROUNDUP(_xlfn.XLOOKUP(C181,'COM RESID'!J:J,'COM RESID'!S:S),0)</f>
        <v/>
      </c>
      <c r="J181" s="8">
        <f>_xlfn.XLOOKUP(C181,'COM RESID'!J:J,'COM RESID'!T:T)</f>
        <v/>
      </c>
      <c r="K181" s="13">
        <f>_xlfn.XLOOKUP(C181,'COM RESID'!J:J,'COM RESID'!P:P)</f>
        <v/>
      </c>
      <c r="L181" s="12">
        <f>_xlfn.XLOOKUP(C181,'COM RESID'!J:J,'COM RESID'!V:V)</f>
        <v/>
      </c>
    </row>
    <row r="182">
      <c r="B182">
        <f>IF(K182=0,"*",Def_Tech!C326)</f>
        <v/>
      </c>
      <c r="C182">
        <f>Def_Tech!D326</f>
        <v/>
      </c>
      <c r="D182">
        <f>_xlfn.XLOOKUP(C182,'COM RESID'!J:J,'COM RESID'!H:H)</f>
        <v/>
      </c>
      <c r="E182">
        <f>_xlfn.XLOOKUP(C182,'COM RESID'!J:J,'COM RESID'!I:I)</f>
        <v/>
      </c>
      <c r="F182" s="12">
        <f>_xlfn.XLOOKUP(C182,'COM RESID'!J:J,'COM RESID'!R:R)</f>
        <v/>
      </c>
      <c r="G182">
        <f>_xlfn.XLOOKUP(C182,'COM RESID'!J:J,'COM RESID'!W:W)</f>
        <v/>
      </c>
      <c r="H182" s="12">
        <f>_xlfn.XLOOKUP(C182,'COM RESID'!J:J,'COM RESID'!V:V)</f>
        <v/>
      </c>
      <c r="I182" s="12">
        <f>ROUNDUP(_xlfn.XLOOKUP(C182,'COM RESID'!J:J,'COM RESID'!S:S),0)</f>
        <v/>
      </c>
      <c r="J182" s="8">
        <f>_xlfn.XLOOKUP(C182,'COM RESID'!J:J,'COM RESID'!T:T)</f>
        <v/>
      </c>
      <c r="K182" s="13">
        <f>_xlfn.XLOOKUP(C182,'COM RESID'!J:J,'COM RESID'!P:P)</f>
        <v/>
      </c>
      <c r="L182" s="12">
        <f>_xlfn.XLOOKUP(C182,'COM RESID'!J:J,'COM RESID'!V:V)</f>
        <v/>
      </c>
    </row>
    <row r="183">
      <c r="B183">
        <f>IF(K183=0,"*",Def_Tech!C327)</f>
        <v/>
      </c>
      <c r="C183">
        <f>Def_Tech!D327</f>
        <v/>
      </c>
      <c r="D183">
        <f>_xlfn.XLOOKUP(C183,'COM RESID'!J:J,'COM RESID'!H:H)</f>
        <v/>
      </c>
      <c r="E183">
        <f>_xlfn.XLOOKUP(C183,'COM RESID'!J:J,'COM RESID'!I:I)</f>
        <v/>
      </c>
      <c r="F183" s="12">
        <f>_xlfn.XLOOKUP(C183,'COM RESID'!J:J,'COM RESID'!R:R)</f>
        <v/>
      </c>
      <c r="G183">
        <f>_xlfn.XLOOKUP(C183,'COM RESID'!J:J,'COM RESID'!W:W)</f>
        <v/>
      </c>
      <c r="H183" s="12">
        <f>_xlfn.XLOOKUP(C183,'COM RESID'!J:J,'COM RESID'!V:V)</f>
        <v/>
      </c>
      <c r="I183" s="12">
        <f>ROUNDUP(_xlfn.XLOOKUP(C183,'COM RESID'!J:J,'COM RESID'!S:S),0)</f>
        <v/>
      </c>
      <c r="J183" s="8">
        <f>_xlfn.XLOOKUP(C183,'COM RESID'!J:J,'COM RESID'!T:T)</f>
        <v/>
      </c>
      <c r="K183" s="13">
        <f>_xlfn.XLOOKUP(C183,'COM RESID'!J:J,'COM RESID'!P:P)</f>
        <v/>
      </c>
      <c r="L183" s="12">
        <f>_xlfn.XLOOKUP(C183,'COM RESID'!J:J,'COM RESID'!V:V)</f>
        <v/>
      </c>
    </row>
    <row r="184">
      <c r="B184">
        <f>IF(K184=0,"*",Def_Tech!C328)</f>
        <v/>
      </c>
      <c r="C184">
        <f>Def_Tech!D328</f>
        <v/>
      </c>
      <c r="D184">
        <f>_xlfn.XLOOKUP(C184,'COM RESID'!J:J,'COM RESID'!H:H)</f>
        <v/>
      </c>
      <c r="E184">
        <f>_xlfn.XLOOKUP(C184,'COM RESID'!J:J,'COM RESID'!I:I)</f>
        <v/>
      </c>
      <c r="F184" s="12">
        <f>_xlfn.XLOOKUP(C184,'COM RESID'!J:J,'COM RESID'!R:R)</f>
        <v/>
      </c>
      <c r="G184">
        <f>_xlfn.XLOOKUP(C184,'COM RESID'!J:J,'COM RESID'!W:W)</f>
        <v/>
      </c>
      <c r="H184" s="12">
        <f>_xlfn.XLOOKUP(C184,'COM RESID'!J:J,'COM RESID'!V:V)</f>
        <v/>
      </c>
      <c r="I184" s="12">
        <f>ROUNDUP(_xlfn.XLOOKUP(C184,'COM RESID'!J:J,'COM RESID'!S:S),0)</f>
        <v/>
      </c>
      <c r="J184" s="8">
        <f>_xlfn.XLOOKUP(C184,'COM RESID'!J:J,'COM RESID'!T:T)</f>
        <v/>
      </c>
      <c r="K184" s="13">
        <f>_xlfn.XLOOKUP(C184,'COM RESID'!J:J,'COM RESID'!P:P)</f>
        <v/>
      </c>
      <c r="L184" s="12">
        <f>_xlfn.XLOOKUP(C184,'COM RESID'!J:J,'COM RESID'!V:V)</f>
        <v/>
      </c>
    </row>
    <row r="185">
      <c r="B185">
        <f>IF(K185=0,"*",Def_Tech!C329)</f>
        <v/>
      </c>
      <c r="C185">
        <f>Def_Tech!D329</f>
        <v/>
      </c>
      <c r="D185">
        <f>_xlfn.XLOOKUP(C185,'COM RESID'!J:J,'COM RESID'!H:H)</f>
        <v/>
      </c>
      <c r="E185">
        <f>_xlfn.XLOOKUP(C185,'COM RESID'!J:J,'COM RESID'!I:I)</f>
        <v/>
      </c>
      <c r="F185" s="12">
        <f>_xlfn.XLOOKUP(C185,'COM RESID'!J:J,'COM RESID'!R:R)</f>
        <v/>
      </c>
      <c r="G185">
        <f>_xlfn.XLOOKUP(C185,'COM RESID'!J:J,'COM RESID'!W:W)</f>
        <v/>
      </c>
      <c r="H185" s="12">
        <f>_xlfn.XLOOKUP(C185,'COM RESID'!J:J,'COM RESID'!V:V)</f>
        <v/>
      </c>
      <c r="I185" s="12">
        <f>ROUNDUP(_xlfn.XLOOKUP(C185,'COM RESID'!J:J,'COM RESID'!S:S),0)</f>
        <v/>
      </c>
      <c r="J185" s="8">
        <f>_xlfn.XLOOKUP(C185,'COM RESID'!J:J,'COM RESID'!T:T)</f>
        <v/>
      </c>
      <c r="K185" s="13">
        <f>_xlfn.XLOOKUP(C185,'COM RESID'!J:J,'COM RESID'!P:P)</f>
        <v/>
      </c>
      <c r="L185" s="12">
        <f>_xlfn.XLOOKUP(C185,'COM RESID'!J:J,'COM RESID'!V:V)</f>
        <v/>
      </c>
    </row>
    <row r="186">
      <c r="B186">
        <f>IF(K186=0,"*",Def_Tech!C330)</f>
        <v/>
      </c>
      <c r="C186">
        <f>Def_Tech!D330</f>
        <v/>
      </c>
      <c r="D186">
        <f>_xlfn.XLOOKUP(C186,'COM RESID'!J:J,'COM RESID'!H:H)</f>
        <v/>
      </c>
      <c r="E186">
        <f>_xlfn.XLOOKUP(C186,'COM RESID'!J:J,'COM RESID'!I:I)</f>
        <v/>
      </c>
      <c r="F186" s="12">
        <f>_xlfn.XLOOKUP(C186,'COM RESID'!J:J,'COM RESID'!R:R)</f>
        <v/>
      </c>
      <c r="G186">
        <f>_xlfn.XLOOKUP(C186,'COM RESID'!J:J,'COM RESID'!W:W)</f>
        <v/>
      </c>
      <c r="H186" s="12">
        <f>_xlfn.XLOOKUP(C186,'COM RESID'!J:J,'COM RESID'!V:V)</f>
        <v/>
      </c>
      <c r="I186" s="12">
        <f>ROUNDUP(_xlfn.XLOOKUP(C186,'COM RESID'!J:J,'COM RESID'!S:S),0)</f>
        <v/>
      </c>
      <c r="J186" s="8">
        <f>_xlfn.XLOOKUP(C186,'COM RESID'!J:J,'COM RESID'!T:T)</f>
        <v/>
      </c>
      <c r="K186" s="13">
        <f>_xlfn.XLOOKUP(C186,'COM RESID'!J:J,'COM RESID'!P:P)</f>
        <v/>
      </c>
      <c r="L186" s="12">
        <f>_xlfn.XLOOKUP(C186,'COM RESID'!J:J,'COM RESID'!V:V)</f>
        <v/>
      </c>
    </row>
    <row r="187">
      <c r="B187">
        <f>IF(K187=0,"*",Def_Tech!C331)</f>
        <v/>
      </c>
      <c r="C187">
        <f>Def_Tech!D331</f>
        <v/>
      </c>
      <c r="D187">
        <f>_xlfn.XLOOKUP(C187,'COM RESID'!J:J,'COM RESID'!H:H)</f>
        <v/>
      </c>
      <c r="E187">
        <f>_xlfn.XLOOKUP(C187,'COM RESID'!J:J,'COM RESID'!I:I)</f>
        <v/>
      </c>
      <c r="F187" s="12">
        <f>_xlfn.XLOOKUP(C187,'COM RESID'!J:J,'COM RESID'!R:R)</f>
        <v/>
      </c>
      <c r="G187">
        <f>_xlfn.XLOOKUP(C187,'COM RESID'!J:J,'COM RESID'!W:W)</f>
        <v/>
      </c>
      <c r="H187" s="12">
        <f>_xlfn.XLOOKUP(C187,'COM RESID'!J:J,'COM RESID'!V:V)</f>
        <v/>
      </c>
      <c r="I187" s="12">
        <f>ROUNDUP(_xlfn.XLOOKUP(C187,'COM RESID'!J:J,'COM RESID'!S:S),0)</f>
        <v/>
      </c>
      <c r="J187" s="8">
        <f>_xlfn.XLOOKUP(C187,'COM RESID'!J:J,'COM RESID'!T:T)</f>
        <v/>
      </c>
      <c r="K187" s="13">
        <f>_xlfn.XLOOKUP(C187,'COM RESID'!J:J,'COM RESID'!P:P)</f>
        <v/>
      </c>
      <c r="L187" s="12">
        <f>_xlfn.XLOOKUP(C187,'COM RESID'!J:J,'COM RESID'!V:V)</f>
        <v/>
      </c>
    </row>
    <row r="188">
      <c r="B188">
        <f>IF(K188=0,"*",Def_Tech!C332)</f>
        <v/>
      </c>
      <c r="C188">
        <f>Def_Tech!D332</f>
        <v/>
      </c>
      <c r="D188">
        <f>_xlfn.XLOOKUP(C188,'COM RESID'!J:J,'COM RESID'!H:H)</f>
        <v/>
      </c>
      <c r="E188">
        <f>_xlfn.XLOOKUP(C188,'COM RESID'!J:J,'COM RESID'!I:I)</f>
        <v/>
      </c>
      <c r="F188" s="12">
        <f>_xlfn.XLOOKUP(C188,'COM RESID'!J:J,'COM RESID'!R:R)</f>
        <v/>
      </c>
      <c r="G188">
        <f>_xlfn.XLOOKUP(C188,'COM RESID'!J:J,'COM RESID'!W:W)</f>
        <v/>
      </c>
      <c r="H188" s="12">
        <f>_xlfn.XLOOKUP(C188,'COM RESID'!J:J,'COM RESID'!V:V)</f>
        <v/>
      </c>
      <c r="I188" s="12">
        <f>ROUNDUP(_xlfn.XLOOKUP(C188,'COM RESID'!J:J,'COM RESID'!S:S),0)</f>
        <v/>
      </c>
      <c r="J188" s="8">
        <f>_xlfn.XLOOKUP(C188,'COM RESID'!J:J,'COM RESID'!T:T)</f>
        <v/>
      </c>
      <c r="K188" s="13">
        <f>_xlfn.XLOOKUP(C188,'COM RESID'!J:J,'COM RESID'!P:P)</f>
        <v/>
      </c>
      <c r="L188" s="12">
        <f>_xlfn.XLOOKUP(C188,'COM RESID'!J:J,'COM RESID'!V:V)</f>
        <v/>
      </c>
    </row>
    <row r="189">
      <c r="B189">
        <f>IF(K189=0,"*",Def_Tech!C333)</f>
        <v/>
      </c>
      <c r="C189">
        <f>Def_Tech!D333</f>
        <v/>
      </c>
      <c r="D189">
        <f>_xlfn.XLOOKUP(C189,'COM RESID'!J:J,'COM RESID'!H:H)</f>
        <v/>
      </c>
      <c r="E189">
        <f>_xlfn.XLOOKUP(C189,'COM RESID'!J:J,'COM RESID'!I:I)</f>
        <v/>
      </c>
      <c r="F189" s="12">
        <f>_xlfn.XLOOKUP(C189,'COM RESID'!J:J,'COM RESID'!R:R)</f>
        <v/>
      </c>
      <c r="G189">
        <f>_xlfn.XLOOKUP(C189,'COM RESID'!J:J,'COM RESID'!W:W)</f>
        <v/>
      </c>
      <c r="H189" s="12">
        <f>_xlfn.XLOOKUP(C189,'COM RESID'!J:J,'COM RESID'!V:V)</f>
        <v/>
      </c>
      <c r="I189" s="12">
        <f>ROUNDUP(_xlfn.XLOOKUP(C189,'COM RESID'!J:J,'COM RESID'!S:S),0)</f>
        <v/>
      </c>
      <c r="J189" s="8">
        <f>_xlfn.XLOOKUP(C189,'COM RESID'!J:J,'COM RESID'!T:T)</f>
        <v/>
      </c>
      <c r="K189" s="13">
        <f>_xlfn.XLOOKUP(C189,'COM RESID'!J:J,'COM RESID'!P:P)</f>
        <v/>
      </c>
      <c r="L189" s="12">
        <f>_xlfn.XLOOKUP(C189,'COM RESID'!J:J,'COM RESID'!V:V)</f>
        <v/>
      </c>
    </row>
    <row r="190">
      <c r="B190">
        <f>IF(K190=0,"*",Def_Tech!C334)</f>
        <v/>
      </c>
      <c r="C190">
        <f>Def_Tech!D334</f>
        <v/>
      </c>
      <c r="D190">
        <f>_xlfn.XLOOKUP(C190,'COM RESID'!J:J,'COM RESID'!H:H)</f>
        <v/>
      </c>
      <c r="E190">
        <f>_xlfn.XLOOKUP(C190,'COM RESID'!J:J,'COM RESID'!I:I)</f>
        <v/>
      </c>
      <c r="F190" s="12">
        <f>_xlfn.XLOOKUP(C190,'COM RESID'!J:J,'COM RESID'!R:R)</f>
        <v/>
      </c>
      <c r="G190">
        <f>_xlfn.XLOOKUP(C190,'COM RESID'!J:J,'COM RESID'!W:W)</f>
        <v/>
      </c>
      <c r="H190" s="12">
        <f>_xlfn.XLOOKUP(C190,'COM RESID'!J:J,'COM RESID'!V:V)</f>
        <v/>
      </c>
      <c r="I190" s="12">
        <f>ROUNDUP(_xlfn.XLOOKUP(C190,'COM RESID'!J:J,'COM RESID'!S:S),0)</f>
        <v/>
      </c>
      <c r="J190" s="8">
        <f>_xlfn.XLOOKUP(C190,'COM RESID'!J:J,'COM RESID'!T:T)</f>
        <v/>
      </c>
      <c r="K190" s="13">
        <f>_xlfn.XLOOKUP(C190,'COM RESID'!J:J,'COM RESID'!P:P)</f>
        <v/>
      </c>
      <c r="L190" s="12">
        <f>_xlfn.XLOOKUP(C190,'COM RESID'!J:J,'COM RESID'!V:V)</f>
        <v/>
      </c>
    </row>
    <row r="191">
      <c r="B191">
        <f>IF(K191=0,"*",Def_Tech!C335)</f>
        <v/>
      </c>
      <c r="C191">
        <f>Def_Tech!D335</f>
        <v/>
      </c>
      <c r="D191">
        <f>_xlfn.XLOOKUP(C191,'COM RESID'!J:J,'COM RESID'!H:H)</f>
        <v/>
      </c>
      <c r="E191">
        <f>_xlfn.XLOOKUP(C191,'COM RESID'!J:J,'COM RESID'!I:I)</f>
        <v/>
      </c>
      <c r="F191" s="12">
        <f>_xlfn.XLOOKUP(C191,'COM RESID'!J:J,'COM RESID'!R:R)</f>
        <v/>
      </c>
      <c r="G191">
        <f>_xlfn.XLOOKUP(C191,'COM RESID'!J:J,'COM RESID'!W:W)</f>
        <v/>
      </c>
      <c r="H191" s="12">
        <f>_xlfn.XLOOKUP(C191,'COM RESID'!J:J,'COM RESID'!V:V)</f>
        <v/>
      </c>
      <c r="I191" s="12">
        <f>ROUNDUP(_xlfn.XLOOKUP(C191,'COM RESID'!J:J,'COM RESID'!S:S),0)</f>
        <v/>
      </c>
      <c r="J191" s="8">
        <f>_xlfn.XLOOKUP(C191,'COM RESID'!J:J,'COM RESID'!T:T)</f>
        <v/>
      </c>
      <c r="K191" s="13">
        <f>_xlfn.XLOOKUP(C191,'COM RESID'!J:J,'COM RESID'!P:P)</f>
        <v/>
      </c>
      <c r="L191" s="12">
        <f>_xlfn.XLOOKUP(C191,'COM RESID'!J:J,'COM RESID'!V:V)</f>
        <v/>
      </c>
    </row>
    <row r="192">
      <c r="B192">
        <f>IF(K192=0,"*",Def_Tech!C336)</f>
        <v/>
      </c>
      <c r="C192">
        <f>Def_Tech!D336</f>
        <v/>
      </c>
      <c r="D192">
        <f>_xlfn.XLOOKUP(C192,'COM RESID'!J:J,'COM RESID'!H:H)</f>
        <v/>
      </c>
      <c r="E192">
        <f>_xlfn.XLOOKUP(C192,'COM RESID'!J:J,'COM RESID'!I:I)</f>
        <v/>
      </c>
      <c r="F192" s="12">
        <f>_xlfn.XLOOKUP(C192,'COM RESID'!J:J,'COM RESID'!R:R)</f>
        <v/>
      </c>
      <c r="G192">
        <f>_xlfn.XLOOKUP(C192,'COM RESID'!J:J,'COM RESID'!W:W)</f>
        <v/>
      </c>
      <c r="H192" s="12">
        <f>_xlfn.XLOOKUP(C192,'COM RESID'!J:J,'COM RESID'!V:V)</f>
        <v/>
      </c>
      <c r="I192" s="12">
        <f>ROUNDUP(_xlfn.XLOOKUP(C192,'COM RESID'!J:J,'COM RESID'!S:S),0)</f>
        <v/>
      </c>
      <c r="J192" s="8">
        <f>_xlfn.XLOOKUP(C192,'COM RESID'!J:J,'COM RESID'!T:T)</f>
        <v/>
      </c>
      <c r="K192" s="13">
        <f>_xlfn.XLOOKUP(C192,'COM RESID'!J:J,'COM RESID'!P:P)</f>
        <v/>
      </c>
      <c r="L192" s="12">
        <f>_xlfn.XLOOKUP(C192,'COM RESID'!J:J,'COM RESID'!V:V)</f>
        <v/>
      </c>
    </row>
    <row r="193">
      <c r="B193">
        <f>IF(K193=0,"*",Def_Tech!C337)</f>
        <v/>
      </c>
      <c r="C193">
        <f>Def_Tech!D337</f>
        <v/>
      </c>
      <c r="D193">
        <f>_xlfn.XLOOKUP(C193,'COM RESID'!J:J,'COM RESID'!H:H)</f>
        <v/>
      </c>
      <c r="E193">
        <f>_xlfn.XLOOKUP(C193,'COM RESID'!J:J,'COM RESID'!I:I)</f>
        <v/>
      </c>
      <c r="F193" s="12">
        <f>_xlfn.XLOOKUP(C193,'COM RESID'!J:J,'COM RESID'!R:R)</f>
        <v/>
      </c>
      <c r="G193">
        <f>_xlfn.XLOOKUP(C193,'COM RESID'!J:J,'COM RESID'!W:W)</f>
        <v/>
      </c>
      <c r="H193" s="12">
        <f>_xlfn.XLOOKUP(C193,'COM RESID'!J:J,'COM RESID'!V:V)</f>
        <v/>
      </c>
      <c r="I193" s="12">
        <f>ROUNDUP(_xlfn.XLOOKUP(C193,'COM RESID'!J:J,'COM RESID'!S:S),0)</f>
        <v/>
      </c>
      <c r="J193" s="8">
        <f>_xlfn.XLOOKUP(C193,'COM RESID'!J:J,'COM RESID'!T:T)</f>
        <v/>
      </c>
      <c r="K193" s="13">
        <f>_xlfn.XLOOKUP(C193,'COM RESID'!J:J,'COM RESID'!P:P)</f>
        <v/>
      </c>
      <c r="L193" s="12">
        <f>_xlfn.XLOOKUP(C193,'COM RESID'!J:J,'COM RESID'!V:V)</f>
        <v/>
      </c>
    </row>
    <row r="194">
      <c r="B194">
        <f>IF(K194=0,"*",Def_Tech!C338)</f>
        <v/>
      </c>
      <c r="C194">
        <f>Def_Tech!D338</f>
        <v/>
      </c>
      <c r="D194">
        <f>_xlfn.XLOOKUP(C194,'COM RESID'!J:J,'COM RESID'!H:H)</f>
        <v/>
      </c>
      <c r="E194">
        <f>_xlfn.XLOOKUP(C194,'COM RESID'!J:J,'COM RESID'!I:I)</f>
        <v/>
      </c>
      <c r="F194" s="12">
        <f>_xlfn.XLOOKUP(C194,'COM RESID'!J:J,'COM RESID'!R:R)</f>
        <v/>
      </c>
      <c r="G194">
        <f>_xlfn.XLOOKUP(C194,'COM RESID'!J:J,'COM RESID'!W:W)</f>
        <v/>
      </c>
      <c r="H194" s="12">
        <f>_xlfn.XLOOKUP(C194,'COM RESID'!J:J,'COM RESID'!V:V)</f>
        <v/>
      </c>
      <c r="I194" s="12">
        <f>ROUNDUP(_xlfn.XLOOKUP(C194,'COM RESID'!J:J,'COM RESID'!S:S),0)</f>
        <v/>
      </c>
      <c r="J194" s="8">
        <f>_xlfn.XLOOKUP(C194,'COM RESID'!J:J,'COM RESID'!T:T)</f>
        <v/>
      </c>
      <c r="K194" s="13">
        <f>_xlfn.XLOOKUP(C194,'COM RESID'!J:J,'COM RESID'!P:P)</f>
        <v/>
      </c>
      <c r="L194" s="12">
        <f>_xlfn.XLOOKUP(C194,'COM RESID'!J:J,'COM RESID'!V:V)</f>
        <v/>
      </c>
    </row>
    <row r="195">
      <c r="B195">
        <f>IF(K195=0,"*",Def_Tech!C339)</f>
        <v/>
      </c>
      <c r="C195">
        <f>Def_Tech!D339</f>
        <v/>
      </c>
      <c r="D195">
        <f>_xlfn.XLOOKUP(C195,'COM RESID'!J:J,'COM RESID'!H:H)</f>
        <v/>
      </c>
      <c r="E195">
        <f>_xlfn.XLOOKUP(C195,'COM RESID'!J:J,'COM RESID'!I:I)</f>
        <v/>
      </c>
      <c r="F195" s="12">
        <f>_xlfn.XLOOKUP(C195,'COM RESID'!J:J,'COM RESID'!R:R)</f>
        <v/>
      </c>
      <c r="G195">
        <f>_xlfn.XLOOKUP(C195,'COM RESID'!J:J,'COM RESID'!W:W)</f>
        <v/>
      </c>
      <c r="H195" s="12">
        <f>_xlfn.XLOOKUP(C195,'COM RESID'!J:J,'COM RESID'!V:V)</f>
        <v/>
      </c>
      <c r="I195" s="12">
        <f>ROUNDUP(_xlfn.XLOOKUP(C195,'COM RESID'!J:J,'COM RESID'!S:S),0)</f>
        <v/>
      </c>
      <c r="J195" s="8">
        <f>_xlfn.XLOOKUP(C195,'COM RESID'!J:J,'COM RESID'!T:T)</f>
        <v/>
      </c>
      <c r="K195" s="13">
        <f>_xlfn.XLOOKUP(C195,'COM RESID'!J:J,'COM RESID'!P:P)</f>
        <v/>
      </c>
      <c r="L195" s="12">
        <f>_xlfn.XLOOKUP(C195,'COM RESID'!J:J,'COM RESID'!V:V)</f>
        <v/>
      </c>
    </row>
    <row r="196">
      <c r="B196">
        <f>IF(K196=0,"*",Def_Tech!C340)</f>
        <v/>
      </c>
      <c r="C196">
        <f>Def_Tech!D340</f>
        <v/>
      </c>
      <c r="D196">
        <f>_xlfn.XLOOKUP(C196,'COM RESID'!J:J,'COM RESID'!H:H)</f>
        <v/>
      </c>
      <c r="E196">
        <f>_xlfn.XLOOKUP(C196,'COM RESID'!J:J,'COM RESID'!I:I)</f>
        <v/>
      </c>
      <c r="F196" s="12">
        <f>_xlfn.XLOOKUP(C196,'COM RESID'!J:J,'COM RESID'!R:R)</f>
        <v/>
      </c>
      <c r="G196">
        <f>_xlfn.XLOOKUP(C196,'COM RESID'!J:J,'COM RESID'!W:W)</f>
        <v/>
      </c>
      <c r="H196" s="12">
        <f>_xlfn.XLOOKUP(C196,'COM RESID'!J:J,'COM RESID'!V:V)</f>
        <v/>
      </c>
      <c r="I196" s="12">
        <f>ROUNDUP(_xlfn.XLOOKUP(C196,'COM RESID'!J:J,'COM RESID'!S:S),0)</f>
        <v/>
      </c>
      <c r="J196" s="8">
        <f>_xlfn.XLOOKUP(C196,'COM RESID'!J:J,'COM RESID'!T:T)</f>
        <v/>
      </c>
      <c r="K196" s="13">
        <f>_xlfn.XLOOKUP(C196,'COM RESID'!J:J,'COM RESID'!P:P)</f>
        <v/>
      </c>
      <c r="L196" s="12">
        <f>_xlfn.XLOOKUP(C196,'COM RESID'!J:J,'COM RESID'!V:V)</f>
        <v/>
      </c>
    </row>
    <row r="197">
      <c r="B197">
        <f>IF(K197=0,"*",Def_Tech!C341)</f>
        <v/>
      </c>
      <c r="C197">
        <f>Def_Tech!D341</f>
        <v/>
      </c>
      <c r="D197">
        <f>_xlfn.XLOOKUP(C197,'COM RESID'!J:J,'COM RESID'!H:H)</f>
        <v/>
      </c>
      <c r="E197">
        <f>_xlfn.XLOOKUP(C197,'COM RESID'!J:J,'COM RESID'!I:I)</f>
        <v/>
      </c>
      <c r="F197" s="12">
        <f>_xlfn.XLOOKUP(C197,'COM RESID'!J:J,'COM RESID'!R:R)</f>
        <v/>
      </c>
      <c r="G197">
        <f>_xlfn.XLOOKUP(C197,'COM RESID'!J:J,'COM RESID'!W:W)</f>
        <v/>
      </c>
      <c r="H197" s="12">
        <f>_xlfn.XLOOKUP(C197,'COM RESID'!J:J,'COM RESID'!V:V)</f>
        <v/>
      </c>
      <c r="I197" s="12">
        <f>ROUNDUP(_xlfn.XLOOKUP(C197,'COM RESID'!J:J,'COM RESID'!S:S),0)</f>
        <v/>
      </c>
      <c r="J197" s="8">
        <f>_xlfn.XLOOKUP(C197,'COM RESID'!J:J,'COM RESID'!T:T)</f>
        <v/>
      </c>
      <c r="K197" s="13">
        <f>_xlfn.XLOOKUP(C197,'COM RESID'!J:J,'COM RESID'!P:P)</f>
        <v/>
      </c>
      <c r="L197" s="12">
        <f>_xlfn.XLOOKUP(C197,'COM RESID'!J:J,'COM RESID'!V:V)</f>
        <v/>
      </c>
    </row>
    <row r="198">
      <c r="B198">
        <f>IF(K198=0,"*",Def_Tech!C342)</f>
        <v/>
      </c>
      <c r="C198">
        <f>Def_Tech!D342</f>
        <v/>
      </c>
      <c r="D198">
        <f>_xlfn.XLOOKUP(C198,'COM RESID'!J:J,'COM RESID'!H:H)</f>
        <v/>
      </c>
      <c r="E198">
        <f>_xlfn.XLOOKUP(C198,'COM RESID'!J:J,'COM RESID'!I:I)</f>
        <v/>
      </c>
      <c r="F198" s="12">
        <f>_xlfn.XLOOKUP(C198,'COM RESID'!J:J,'COM RESID'!R:R)</f>
        <v/>
      </c>
      <c r="G198">
        <f>_xlfn.XLOOKUP(C198,'COM RESID'!J:J,'COM RESID'!W:W)</f>
        <v/>
      </c>
      <c r="H198" s="12">
        <f>_xlfn.XLOOKUP(C198,'COM RESID'!J:J,'COM RESID'!V:V)</f>
        <v/>
      </c>
      <c r="I198" s="12">
        <f>ROUNDUP(_xlfn.XLOOKUP(C198,'COM RESID'!J:J,'COM RESID'!S:S),0)</f>
        <v/>
      </c>
      <c r="J198" s="8">
        <f>_xlfn.XLOOKUP(C198,'COM RESID'!J:J,'COM RESID'!T:T)</f>
        <v/>
      </c>
      <c r="K198" s="13">
        <f>_xlfn.XLOOKUP(C198,'COM RESID'!J:J,'COM RESID'!P:P)</f>
        <v/>
      </c>
      <c r="L198" s="12">
        <f>_xlfn.XLOOKUP(C198,'COM RESID'!J:J,'COM RESID'!V:V)</f>
        <v/>
      </c>
    </row>
    <row r="199">
      <c r="B199">
        <f>IF(K199=0,"*",Def_Tech!C343)</f>
        <v/>
      </c>
      <c r="C199">
        <f>Def_Tech!D343</f>
        <v/>
      </c>
      <c r="D199">
        <f>_xlfn.XLOOKUP(C199,'COM RESID'!J:J,'COM RESID'!H:H)</f>
        <v/>
      </c>
      <c r="E199">
        <f>_xlfn.XLOOKUP(C199,'COM RESID'!J:J,'COM RESID'!I:I)</f>
        <v/>
      </c>
      <c r="F199" s="12">
        <f>_xlfn.XLOOKUP(C199,'COM RESID'!J:J,'COM RESID'!R:R)</f>
        <v/>
      </c>
      <c r="G199">
        <f>_xlfn.XLOOKUP(C199,'COM RESID'!J:J,'COM RESID'!W:W)</f>
        <v/>
      </c>
      <c r="H199" s="12">
        <f>_xlfn.XLOOKUP(C199,'COM RESID'!J:J,'COM RESID'!V:V)</f>
        <v/>
      </c>
      <c r="I199" s="12">
        <f>ROUNDUP(_xlfn.XLOOKUP(C199,'COM RESID'!J:J,'COM RESID'!S:S),0)</f>
        <v/>
      </c>
      <c r="J199" s="8">
        <f>_xlfn.XLOOKUP(C199,'COM RESID'!J:J,'COM RESID'!T:T)</f>
        <v/>
      </c>
      <c r="K199" s="13">
        <f>_xlfn.XLOOKUP(C199,'COM RESID'!J:J,'COM RESID'!P:P)</f>
        <v/>
      </c>
      <c r="L199" s="12">
        <f>_xlfn.XLOOKUP(C199,'COM RESID'!J:J,'COM RESID'!V:V)</f>
        <v/>
      </c>
    </row>
    <row r="200">
      <c r="B200">
        <f>IF(K200=0,"*",Def_Tech!C344)</f>
        <v/>
      </c>
      <c r="C200">
        <f>Def_Tech!D344</f>
        <v/>
      </c>
      <c r="D200">
        <f>_xlfn.XLOOKUP(C200,'COM RESID'!J:J,'COM RESID'!H:H)</f>
        <v/>
      </c>
      <c r="E200">
        <f>_xlfn.XLOOKUP(C200,'COM RESID'!J:J,'COM RESID'!I:I)</f>
        <v/>
      </c>
      <c r="F200" s="12">
        <f>_xlfn.XLOOKUP(C200,'COM RESID'!J:J,'COM RESID'!R:R)</f>
        <v/>
      </c>
      <c r="G200">
        <f>_xlfn.XLOOKUP(C200,'COM RESID'!J:J,'COM RESID'!W:W)</f>
        <v/>
      </c>
      <c r="H200" s="12">
        <f>_xlfn.XLOOKUP(C200,'COM RESID'!J:J,'COM RESID'!V:V)</f>
        <v/>
      </c>
      <c r="I200" s="12">
        <f>ROUNDUP(_xlfn.XLOOKUP(C200,'COM RESID'!J:J,'COM RESID'!S:S),0)</f>
        <v/>
      </c>
      <c r="J200" s="8">
        <f>_xlfn.XLOOKUP(C200,'COM RESID'!J:J,'COM RESID'!T:T)</f>
        <v/>
      </c>
      <c r="K200" s="13">
        <f>_xlfn.XLOOKUP(C200,'COM RESID'!J:J,'COM RESID'!P:P)</f>
        <v/>
      </c>
      <c r="L200" s="12">
        <f>_xlfn.XLOOKUP(C200,'COM RESID'!J:J,'COM RESID'!V:V)</f>
        <v/>
      </c>
    </row>
    <row r="201">
      <c r="B201">
        <f>IF(K201=0,"*",Def_Tech!C345)</f>
        <v/>
      </c>
      <c r="C201">
        <f>Def_Tech!D345</f>
        <v/>
      </c>
      <c r="D201">
        <f>_xlfn.XLOOKUP(C201,'COM RESID'!J:J,'COM RESID'!H:H)</f>
        <v/>
      </c>
      <c r="E201">
        <f>_xlfn.XLOOKUP(C201,'COM RESID'!J:J,'COM RESID'!I:I)</f>
        <v/>
      </c>
      <c r="F201" s="12">
        <f>_xlfn.XLOOKUP(C201,'COM RESID'!J:J,'COM RESID'!R:R)</f>
        <v/>
      </c>
      <c r="G201">
        <f>_xlfn.XLOOKUP(C201,'COM RESID'!J:J,'COM RESID'!W:W)</f>
        <v/>
      </c>
      <c r="H201" s="12">
        <f>_xlfn.XLOOKUP(C201,'COM RESID'!J:J,'COM RESID'!V:V)</f>
        <v/>
      </c>
      <c r="I201" s="12">
        <f>ROUNDUP(_xlfn.XLOOKUP(C201,'COM RESID'!J:J,'COM RESID'!S:S),0)</f>
        <v/>
      </c>
      <c r="J201" s="8">
        <f>_xlfn.XLOOKUP(C201,'COM RESID'!J:J,'COM RESID'!T:T)</f>
        <v/>
      </c>
      <c r="K201" s="13">
        <f>_xlfn.XLOOKUP(C201,'COM RESID'!J:J,'COM RESID'!P:P)</f>
        <v/>
      </c>
      <c r="L201" s="12">
        <f>_xlfn.XLOOKUP(C201,'COM RESID'!J:J,'COM RESID'!V:V)</f>
        <v/>
      </c>
    </row>
    <row r="202">
      <c r="B202">
        <f>IF(K202=0,"*",Def_Tech!C346)</f>
        <v/>
      </c>
      <c r="C202">
        <f>Def_Tech!D346</f>
        <v/>
      </c>
      <c r="D202">
        <f>_xlfn.XLOOKUP(C202,'COM RESID'!J:J,'COM RESID'!H:H)</f>
        <v/>
      </c>
      <c r="E202">
        <f>_xlfn.XLOOKUP(C202,'COM RESID'!J:J,'COM RESID'!I:I)</f>
        <v/>
      </c>
      <c r="F202" s="12">
        <f>_xlfn.XLOOKUP(C202,'COM RESID'!J:J,'COM RESID'!R:R)</f>
        <v/>
      </c>
      <c r="G202">
        <f>_xlfn.XLOOKUP(C202,'COM RESID'!J:J,'COM RESID'!W:W)</f>
        <v/>
      </c>
      <c r="H202" s="12">
        <f>_xlfn.XLOOKUP(C202,'COM RESID'!J:J,'COM RESID'!V:V)</f>
        <v/>
      </c>
      <c r="I202" s="12">
        <f>ROUNDUP(_xlfn.XLOOKUP(C202,'COM RESID'!J:J,'COM RESID'!S:S),0)</f>
        <v/>
      </c>
      <c r="J202" s="8">
        <f>_xlfn.XLOOKUP(C202,'COM RESID'!J:J,'COM RESID'!T:T)</f>
        <v/>
      </c>
      <c r="K202" s="13">
        <f>_xlfn.XLOOKUP(C202,'COM RESID'!J:J,'COM RESID'!P:P)</f>
        <v/>
      </c>
      <c r="L202" s="12">
        <f>_xlfn.XLOOKUP(C202,'COM RESID'!J:J,'COM RESID'!V:V)</f>
        <v/>
      </c>
    </row>
    <row r="203">
      <c r="B203">
        <f>IF(K203=0,"*",Def_Tech!C347)</f>
        <v/>
      </c>
      <c r="C203">
        <f>Def_Tech!D347</f>
        <v/>
      </c>
      <c r="D203">
        <f>_xlfn.XLOOKUP(C203,'COM RESID'!J:J,'COM RESID'!H:H)</f>
        <v/>
      </c>
      <c r="E203">
        <f>_xlfn.XLOOKUP(C203,'COM RESID'!J:J,'COM RESID'!I:I)</f>
        <v/>
      </c>
      <c r="F203" s="12">
        <f>_xlfn.XLOOKUP(C203,'COM RESID'!J:J,'COM RESID'!R:R)</f>
        <v/>
      </c>
      <c r="G203">
        <f>_xlfn.XLOOKUP(C203,'COM RESID'!J:J,'COM RESID'!W:W)</f>
        <v/>
      </c>
      <c r="H203" s="12">
        <f>_xlfn.XLOOKUP(C203,'COM RESID'!J:J,'COM RESID'!V:V)</f>
        <v/>
      </c>
      <c r="I203" s="12">
        <f>ROUNDUP(_xlfn.XLOOKUP(C203,'COM RESID'!J:J,'COM RESID'!S:S),0)</f>
        <v/>
      </c>
      <c r="J203" s="8">
        <f>_xlfn.XLOOKUP(C203,'COM RESID'!J:J,'COM RESID'!T:T)</f>
        <v/>
      </c>
      <c r="K203" s="13">
        <f>_xlfn.XLOOKUP(C203,'COM RESID'!J:J,'COM RESID'!P:P)</f>
        <v/>
      </c>
      <c r="L203" s="12">
        <f>_xlfn.XLOOKUP(C203,'COM RESID'!J:J,'COM RESID'!V:V)</f>
        <v/>
      </c>
    </row>
    <row r="204">
      <c r="B204">
        <f>IF(K204=0,"*",Def_Tech!C348)</f>
        <v/>
      </c>
      <c r="C204">
        <f>Def_Tech!D348</f>
        <v/>
      </c>
      <c r="D204">
        <f>_xlfn.XLOOKUP(C204,'COM RESID'!J:J,'COM RESID'!H:H)</f>
        <v/>
      </c>
      <c r="E204">
        <f>_xlfn.XLOOKUP(C204,'COM RESID'!J:J,'COM RESID'!I:I)</f>
        <v/>
      </c>
      <c r="F204" s="12">
        <f>_xlfn.XLOOKUP(C204,'COM RESID'!J:J,'COM RESID'!R:R)</f>
        <v/>
      </c>
      <c r="G204">
        <f>_xlfn.XLOOKUP(C204,'COM RESID'!J:J,'COM RESID'!W:W)</f>
        <v/>
      </c>
      <c r="H204" s="12">
        <f>_xlfn.XLOOKUP(C204,'COM RESID'!J:J,'COM RESID'!V:V)</f>
        <v/>
      </c>
      <c r="I204" s="12">
        <f>ROUNDUP(_xlfn.XLOOKUP(C204,'COM RESID'!J:J,'COM RESID'!S:S),0)</f>
        <v/>
      </c>
      <c r="J204" s="8">
        <f>_xlfn.XLOOKUP(C204,'COM RESID'!J:J,'COM RESID'!T:T)</f>
        <v/>
      </c>
      <c r="K204" s="13">
        <f>_xlfn.XLOOKUP(C204,'COM RESID'!J:J,'COM RESID'!P:P)</f>
        <v/>
      </c>
      <c r="L204" s="12">
        <f>_xlfn.XLOOKUP(C204,'COM RESID'!J:J,'COM RESID'!V:V)</f>
        <v/>
      </c>
    </row>
    <row r="205">
      <c r="B205">
        <f>IF(K205=0,"*",Def_Tech!C349)</f>
        <v/>
      </c>
      <c r="C205">
        <f>Def_Tech!D349</f>
        <v/>
      </c>
      <c r="D205">
        <f>_xlfn.XLOOKUP(C205,'COM RESID'!J:J,'COM RESID'!H:H)</f>
        <v/>
      </c>
      <c r="E205">
        <f>_xlfn.XLOOKUP(C205,'COM RESID'!J:J,'COM RESID'!I:I)</f>
        <v/>
      </c>
      <c r="F205" s="12">
        <f>_xlfn.XLOOKUP(C205,'COM RESID'!J:J,'COM RESID'!R:R)</f>
        <v/>
      </c>
      <c r="G205">
        <f>_xlfn.XLOOKUP(C205,'COM RESID'!J:J,'COM RESID'!W:W)</f>
        <v/>
      </c>
      <c r="H205" s="12">
        <f>_xlfn.XLOOKUP(C205,'COM RESID'!J:J,'COM RESID'!V:V)</f>
        <v/>
      </c>
      <c r="I205" s="12">
        <f>ROUNDUP(_xlfn.XLOOKUP(C205,'COM RESID'!J:J,'COM RESID'!S:S),0)</f>
        <v/>
      </c>
      <c r="J205" s="8">
        <f>_xlfn.XLOOKUP(C205,'COM RESID'!J:J,'COM RESID'!T:T)</f>
        <v/>
      </c>
      <c r="K205" s="13">
        <f>_xlfn.XLOOKUP(C205,'COM RESID'!J:J,'COM RESID'!P:P)</f>
        <v/>
      </c>
      <c r="L205" s="12">
        <f>_xlfn.XLOOKUP(C205,'COM RESID'!J:J,'COM RESID'!V:V)</f>
        <v/>
      </c>
    </row>
    <row r="206">
      <c r="B206">
        <f>IF(K206=0,"*",Def_Tech!C350)</f>
        <v/>
      </c>
      <c r="C206">
        <f>Def_Tech!D350</f>
        <v/>
      </c>
      <c r="D206">
        <f>_xlfn.XLOOKUP(C206,'COM RESID'!J:J,'COM RESID'!H:H)</f>
        <v/>
      </c>
      <c r="E206">
        <f>_xlfn.XLOOKUP(C206,'COM RESID'!J:J,'COM RESID'!I:I)</f>
        <v/>
      </c>
      <c r="F206" s="12">
        <f>_xlfn.XLOOKUP(C206,'COM RESID'!J:J,'COM RESID'!R:R)</f>
        <v/>
      </c>
      <c r="G206">
        <f>_xlfn.XLOOKUP(C206,'COM RESID'!J:J,'COM RESID'!W:W)</f>
        <v/>
      </c>
      <c r="H206" s="12">
        <f>_xlfn.XLOOKUP(C206,'COM RESID'!J:J,'COM RESID'!V:V)</f>
        <v/>
      </c>
      <c r="I206" s="12">
        <f>ROUNDUP(_xlfn.XLOOKUP(C206,'COM RESID'!J:J,'COM RESID'!S:S),0)</f>
        <v/>
      </c>
      <c r="J206" s="8">
        <f>_xlfn.XLOOKUP(C206,'COM RESID'!J:J,'COM RESID'!T:T)</f>
        <v/>
      </c>
      <c r="K206" s="13">
        <f>_xlfn.XLOOKUP(C206,'COM RESID'!J:J,'COM RESID'!P:P)</f>
        <v/>
      </c>
      <c r="L206" s="12">
        <f>_xlfn.XLOOKUP(C206,'COM RESID'!J:J,'COM RESID'!V:V)</f>
        <v/>
      </c>
    </row>
    <row r="207">
      <c r="B207">
        <f>IF(K207=0,"*",Def_Tech!C351)</f>
        <v/>
      </c>
      <c r="C207">
        <f>Def_Tech!D351</f>
        <v/>
      </c>
      <c r="D207">
        <f>_xlfn.XLOOKUP(C207,'COM RESID'!J:J,'COM RESID'!H:H)</f>
        <v/>
      </c>
      <c r="E207">
        <f>_xlfn.XLOOKUP(C207,'COM RESID'!J:J,'COM RESID'!I:I)</f>
        <v/>
      </c>
      <c r="F207" s="12">
        <f>_xlfn.XLOOKUP(C207,'COM RESID'!J:J,'COM RESID'!R:R)</f>
        <v/>
      </c>
      <c r="G207">
        <f>_xlfn.XLOOKUP(C207,'COM RESID'!J:J,'COM RESID'!W:W)</f>
        <v/>
      </c>
      <c r="H207" s="12">
        <f>_xlfn.XLOOKUP(C207,'COM RESID'!J:J,'COM RESID'!V:V)</f>
        <v/>
      </c>
      <c r="I207" s="12">
        <f>ROUNDUP(_xlfn.XLOOKUP(C207,'COM RESID'!J:J,'COM RESID'!S:S),0)</f>
        <v/>
      </c>
      <c r="J207" s="8">
        <f>_xlfn.XLOOKUP(C207,'COM RESID'!J:J,'COM RESID'!T:T)</f>
        <v/>
      </c>
      <c r="K207" s="13">
        <f>_xlfn.XLOOKUP(C207,'COM RESID'!J:J,'COM RESID'!P:P)</f>
        <v/>
      </c>
      <c r="L207" s="12">
        <f>_xlfn.XLOOKUP(C207,'COM RESID'!J:J,'COM RESID'!V:V)</f>
        <v/>
      </c>
    </row>
    <row r="208">
      <c r="B208">
        <f>IF(K208=0,"*",Def_Tech!C352)</f>
        <v/>
      </c>
      <c r="C208">
        <f>Def_Tech!D352</f>
        <v/>
      </c>
      <c r="D208">
        <f>_xlfn.XLOOKUP(C208,'COM RESID'!J:J,'COM RESID'!H:H)</f>
        <v/>
      </c>
      <c r="E208">
        <f>_xlfn.XLOOKUP(C208,'COM RESID'!J:J,'COM RESID'!I:I)</f>
        <v/>
      </c>
      <c r="F208" s="12">
        <f>_xlfn.XLOOKUP(C208,'COM RESID'!J:J,'COM RESID'!R:R)</f>
        <v/>
      </c>
      <c r="G208">
        <f>_xlfn.XLOOKUP(C208,'COM RESID'!J:J,'COM RESID'!W:W)</f>
        <v/>
      </c>
      <c r="H208" s="12">
        <f>_xlfn.XLOOKUP(C208,'COM RESID'!J:J,'COM RESID'!V:V)</f>
        <v/>
      </c>
      <c r="I208" s="12">
        <f>ROUNDUP(_xlfn.XLOOKUP(C208,'COM RESID'!J:J,'COM RESID'!S:S),0)</f>
        <v/>
      </c>
      <c r="J208" s="8">
        <f>_xlfn.XLOOKUP(C208,'COM RESID'!J:J,'COM RESID'!T:T)</f>
        <v/>
      </c>
      <c r="K208" s="13">
        <f>_xlfn.XLOOKUP(C208,'COM RESID'!J:J,'COM RESID'!P:P)</f>
        <v/>
      </c>
      <c r="L208" s="12">
        <f>_xlfn.XLOOKUP(C208,'COM RESID'!J:J,'COM RESID'!V:V)</f>
        <v/>
      </c>
    </row>
    <row r="209">
      <c r="B209">
        <f>IF(K209=0,"*",Def_Tech!C353)</f>
        <v/>
      </c>
      <c r="C209">
        <f>Def_Tech!D353</f>
        <v/>
      </c>
      <c r="D209">
        <f>_xlfn.XLOOKUP(C209,'COM RESID'!J:J,'COM RESID'!H:H)</f>
        <v/>
      </c>
      <c r="E209">
        <f>_xlfn.XLOOKUP(C209,'COM RESID'!J:J,'COM RESID'!I:I)</f>
        <v/>
      </c>
      <c r="F209" s="12">
        <f>_xlfn.XLOOKUP(C209,'COM RESID'!J:J,'COM RESID'!R:R)</f>
        <v/>
      </c>
      <c r="G209">
        <f>_xlfn.XLOOKUP(C209,'COM RESID'!J:J,'COM RESID'!W:W)</f>
        <v/>
      </c>
      <c r="H209" s="12">
        <f>_xlfn.XLOOKUP(C209,'COM RESID'!J:J,'COM RESID'!V:V)</f>
        <v/>
      </c>
      <c r="I209" s="12">
        <f>ROUNDUP(_xlfn.XLOOKUP(C209,'COM RESID'!J:J,'COM RESID'!S:S),0)</f>
        <v/>
      </c>
      <c r="J209" s="8">
        <f>_xlfn.XLOOKUP(C209,'COM RESID'!J:J,'COM RESID'!T:T)</f>
        <v/>
      </c>
      <c r="K209" s="13">
        <f>_xlfn.XLOOKUP(C209,'COM RESID'!J:J,'COM RESID'!P:P)</f>
        <v/>
      </c>
      <c r="L209" s="12">
        <f>_xlfn.XLOOKUP(C209,'COM RESID'!J:J,'COM RESID'!V:V)</f>
        <v/>
      </c>
    </row>
    <row r="210">
      <c r="B210">
        <f>IF(K210=0,"*",Def_Tech!C354)</f>
        <v/>
      </c>
      <c r="C210">
        <f>Def_Tech!D354</f>
        <v/>
      </c>
      <c r="D210">
        <f>_xlfn.XLOOKUP(C210,'COM RESID'!J:J,'COM RESID'!H:H)</f>
        <v/>
      </c>
      <c r="E210">
        <f>_xlfn.XLOOKUP(C210,'COM RESID'!J:J,'COM RESID'!I:I)</f>
        <v/>
      </c>
      <c r="F210" s="12">
        <f>_xlfn.XLOOKUP(C210,'COM RESID'!J:J,'COM RESID'!R:R)</f>
        <v/>
      </c>
      <c r="G210">
        <f>_xlfn.XLOOKUP(C210,'COM RESID'!J:J,'COM RESID'!W:W)</f>
        <v/>
      </c>
      <c r="H210" s="12">
        <f>_xlfn.XLOOKUP(C210,'COM RESID'!J:J,'COM RESID'!V:V)</f>
        <v/>
      </c>
      <c r="I210" s="12">
        <f>ROUNDUP(_xlfn.XLOOKUP(C210,'COM RESID'!J:J,'COM RESID'!S:S),0)</f>
        <v/>
      </c>
      <c r="J210" s="8">
        <f>_xlfn.XLOOKUP(C210,'COM RESID'!J:J,'COM RESID'!T:T)</f>
        <v/>
      </c>
      <c r="K210" s="13">
        <f>_xlfn.XLOOKUP(C210,'COM RESID'!J:J,'COM RESID'!P:P)</f>
        <v/>
      </c>
      <c r="L210" s="12">
        <f>_xlfn.XLOOKUP(C210,'COM RESID'!J:J,'COM RESID'!V:V)</f>
        <v/>
      </c>
    </row>
    <row r="211">
      <c r="B211">
        <f>IF(K211=0,"*",Def_Tech!C355)</f>
        <v/>
      </c>
      <c r="C211">
        <f>Def_Tech!D355</f>
        <v/>
      </c>
      <c r="D211">
        <f>_xlfn.XLOOKUP(C211,'COM RESID'!J:J,'COM RESID'!H:H)</f>
        <v/>
      </c>
      <c r="E211">
        <f>_xlfn.XLOOKUP(C211,'COM RESID'!J:J,'COM RESID'!I:I)</f>
        <v/>
      </c>
      <c r="F211" s="12">
        <f>_xlfn.XLOOKUP(C211,'COM RESID'!J:J,'COM RESID'!R:R)</f>
        <v/>
      </c>
      <c r="G211">
        <f>_xlfn.XLOOKUP(C211,'COM RESID'!J:J,'COM RESID'!W:W)</f>
        <v/>
      </c>
      <c r="H211" s="12">
        <f>_xlfn.XLOOKUP(C211,'COM RESID'!J:J,'COM RESID'!V:V)</f>
        <v/>
      </c>
      <c r="I211" s="12">
        <f>ROUNDUP(_xlfn.XLOOKUP(C211,'COM RESID'!J:J,'COM RESID'!S:S),0)</f>
        <v/>
      </c>
      <c r="J211" s="8">
        <f>_xlfn.XLOOKUP(C211,'COM RESID'!J:J,'COM RESID'!T:T)</f>
        <v/>
      </c>
      <c r="K211" s="13">
        <f>_xlfn.XLOOKUP(C211,'COM RESID'!J:J,'COM RESID'!P:P)</f>
        <v/>
      </c>
      <c r="L211" s="12">
        <f>_xlfn.XLOOKUP(C211,'COM RESID'!J:J,'COM RESID'!V:V)</f>
        <v/>
      </c>
    </row>
    <row r="212">
      <c r="B212">
        <f>IF(K212=0,"*",Def_Tech!C356)</f>
        <v/>
      </c>
      <c r="C212">
        <f>Def_Tech!D356</f>
        <v/>
      </c>
      <c r="D212">
        <f>_xlfn.XLOOKUP(C212,'COM RESID'!J:J,'COM RESID'!H:H)</f>
        <v/>
      </c>
      <c r="E212">
        <f>_xlfn.XLOOKUP(C212,'COM RESID'!J:J,'COM RESID'!I:I)</f>
        <v/>
      </c>
      <c r="F212" s="12">
        <f>_xlfn.XLOOKUP(C212,'COM RESID'!J:J,'COM RESID'!R:R)</f>
        <v/>
      </c>
      <c r="G212">
        <f>_xlfn.XLOOKUP(C212,'COM RESID'!J:J,'COM RESID'!W:W)</f>
        <v/>
      </c>
      <c r="H212" s="12">
        <f>_xlfn.XLOOKUP(C212,'COM RESID'!J:J,'COM RESID'!V:V)</f>
        <v/>
      </c>
      <c r="I212" s="12">
        <f>ROUNDUP(_xlfn.XLOOKUP(C212,'COM RESID'!J:J,'COM RESID'!S:S),0)</f>
        <v/>
      </c>
      <c r="J212" s="8">
        <f>_xlfn.XLOOKUP(C212,'COM RESID'!J:J,'COM RESID'!T:T)</f>
        <v/>
      </c>
      <c r="K212" s="13">
        <f>_xlfn.XLOOKUP(C212,'COM RESID'!J:J,'COM RESID'!P:P)</f>
        <v/>
      </c>
      <c r="L212" s="12">
        <f>_xlfn.XLOOKUP(C212,'COM RESID'!J:J,'COM RESID'!V:V)</f>
        <v/>
      </c>
    </row>
    <row r="213">
      <c r="B213">
        <f>IF(K213=0,"*",Def_Tech!C357)</f>
        <v/>
      </c>
      <c r="C213">
        <f>Def_Tech!D357</f>
        <v/>
      </c>
      <c r="D213">
        <f>_xlfn.XLOOKUP(C213,'COM RESID'!J:J,'COM RESID'!H:H)</f>
        <v/>
      </c>
      <c r="E213">
        <f>_xlfn.XLOOKUP(C213,'COM RESID'!J:J,'COM RESID'!I:I)</f>
        <v/>
      </c>
      <c r="F213" s="12">
        <f>_xlfn.XLOOKUP(C213,'COM RESID'!J:J,'COM RESID'!R:R)</f>
        <v/>
      </c>
      <c r="G213">
        <f>_xlfn.XLOOKUP(C213,'COM RESID'!J:J,'COM RESID'!W:W)</f>
        <v/>
      </c>
      <c r="H213" s="12">
        <f>_xlfn.XLOOKUP(C213,'COM RESID'!J:J,'COM RESID'!V:V)</f>
        <v/>
      </c>
      <c r="I213" s="12">
        <f>ROUNDUP(_xlfn.XLOOKUP(C213,'COM RESID'!J:J,'COM RESID'!S:S),0)</f>
        <v/>
      </c>
      <c r="J213" s="8">
        <f>_xlfn.XLOOKUP(C213,'COM RESID'!J:J,'COM RESID'!T:T)</f>
        <v/>
      </c>
      <c r="K213" s="13">
        <f>_xlfn.XLOOKUP(C213,'COM RESID'!J:J,'COM RESID'!P:P)</f>
        <v/>
      </c>
      <c r="L213" s="12">
        <f>_xlfn.XLOOKUP(C213,'COM RESID'!J:J,'COM RESID'!V:V)</f>
        <v/>
      </c>
    </row>
    <row r="214">
      <c r="B214">
        <f>IF(K214=0,"*",Def_Tech!C358)</f>
        <v/>
      </c>
      <c r="C214">
        <f>Def_Tech!D358</f>
        <v/>
      </c>
      <c r="D214">
        <f>_xlfn.XLOOKUP(C214,'COM RESID'!J:J,'COM RESID'!H:H)</f>
        <v/>
      </c>
      <c r="E214">
        <f>_xlfn.XLOOKUP(C214,'COM RESID'!J:J,'COM RESID'!I:I)</f>
        <v/>
      </c>
      <c r="F214" s="12">
        <f>_xlfn.XLOOKUP(C214,'COM RESID'!J:J,'COM RESID'!R:R)</f>
        <v/>
      </c>
      <c r="G214">
        <f>_xlfn.XLOOKUP(C214,'COM RESID'!J:J,'COM RESID'!W:W)</f>
        <v/>
      </c>
      <c r="H214" s="12">
        <f>_xlfn.XLOOKUP(C214,'COM RESID'!J:J,'COM RESID'!V:V)</f>
        <v/>
      </c>
      <c r="I214" s="12">
        <f>ROUNDUP(_xlfn.XLOOKUP(C214,'COM RESID'!J:J,'COM RESID'!S:S),0)</f>
        <v/>
      </c>
      <c r="J214" s="8">
        <f>_xlfn.XLOOKUP(C214,'COM RESID'!J:J,'COM RESID'!T:T)</f>
        <v/>
      </c>
      <c r="K214" s="13">
        <f>_xlfn.XLOOKUP(C214,'COM RESID'!J:J,'COM RESID'!P:P)</f>
        <v/>
      </c>
      <c r="L214" s="12">
        <f>_xlfn.XLOOKUP(C214,'COM RESID'!J:J,'COM RESID'!V:V)</f>
        <v/>
      </c>
    </row>
    <row r="215">
      <c r="B215">
        <f>IF(K215=0,"*",Def_Tech!C359)</f>
        <v/>
      </c>
      <c r="C215">
        <f>Def_Tech!D359</f>
        <v/>
      </c>
      <c r="D215">
        <f>_xlfn.XLOOKUP(C215,'COM RESID'!J:J,'COM RESID'!H:H)</f>
        <v/>
      </c>
      <c r="E215">
        <f>_xlfn.XLOOKUP(C215,'COM RESID'!J:J,'COM RESID'!I:I)</f>
        <v/>
      </c>
      <c r="F215" s="12">
        <f>_xlfn.XLOOKUP(C215,'COM RESID'!J:J,'COM RESID'!R:R)</f>
        <v/>
      </c>
      <c r="G215">
        <f>_xlfn.XLOOKUP(C215,'COM RESID'!J:J,'COM RESID'!W:W)</f>
        <v/>
      </c>
      <c r="H215" s="12">
        <f>_xlfn.XLOOKUP(C215,'COM RESID'!J:J,'COM RESID'!V:V)</f>
        <v/>
      </c>
      <c r="I215" s="12">
        <f>ROUNDUP(_xlfn.XLOOKUP(C215,'COM RESID'!J:J,'COM RESID'!S:S),0)</f>
        <v/>
      </c>
      <c r="J215" s="8">
        <f>_xlfn.XLOOKUP(C215,'COM RESID'!J:J,'COM RESID'!T:T)</f>
        <v/>
      </c>
      <c r="K215" s="13">
        <f>_xlfn.XLOOKUP(C215,'COM RESID'!J:J,'COM RESID'!P:P)</f>
        <v/>
      </c>
      <c r="L215" s="12">
        <f>_xlfn.XLOOKUP(C215,'COM RESID'!J:J,'COM RESID'!V:V)</f>
        <v/>
      </c>
    </row>
    <row r="216">
      <c r="B216">
        <f>IF(K216=0,"*",Def_Tech!C360)</f>
        <v/>
      </c>
      <c r="C216">
        <f>Def_Tech!D360</f>
        <v/>
      </c>
      <c r="D216">
        <f>_xlfn.XLOOKUP(C216,'COM RESID'!J:J,'COM RESID'!H:H)</f>
        <v/>
      </c>
      <c r="E216">
        <f>_xlfn.XLOOKUP(C216,'COM RESID'!J:J,'COM RESID'!I:I)</f>
        <v/>
      </c>
      <c r="F216" s="12">
        <f>_xlfn.XLOOKUP(C216,'COM RESID'!J:J,'COM RESID'!R:R)</f>
        <v/>
      </c>
      <c r="G216">
        <f>_xlfn.XLOOKUP(C216,'COM RESID'!J:J,'COM RESID'!W:W)</f>
        <v/>
      </c>
      <c r="H216" s="12">
        <f>_xlfn.XLOOKUP(C216,'COM RESID'!J:J,'COM RESID'!V:V)</f>
        <v/>
      </c>
      <c r="I216" s="12">
        <f>ROUNDUP(_xlfn.XLOOKUP(C216,'COM RESID'!J:J,'COM RESID'!S:S),0)</f>
        <v/>
      </c>
      <c r="J216" s="8">
        <f>_xlfn.XLOOKUP(C216,'COM RESID'!J:J,'COM RESID'!T:T)</f>
        <v/>
      </c>
      <c r="K216" s="13">
        <f>_xlfn.XLOOKUP(C216,'COM RESID'!J:J,'COM RESID'!P:P)</f>
        <v/>
      </c>
      <c r="L216" s="12">
        <f>_xlfn.XLOOKUP(C216,'COM RESID'!J:J,'COM RESID'!V:V)</f>
        <v/>
      </c>
    </row>
    <row r="217">
      <c r="B217">
        <f>IF(K217=0,"*",Def_Tech!C361)</f>
        <v/>
      </c>
      <c r="C217">
        <f>Def_Tech!D361</f>
        <v/>
      </c>
      <c r="D217">
        <f>_xlfn.XLOOKUP(C217,'COM RESID'!J:J,'COM RESID'!H:H)</f>
        <v/>
      </c>
      <c r="E217">
        <f>_xlfn.XLOOKUP(C217,'COM RESID'!J:J,'COM RESID'!I:I)</f>
        <v/>
      </c>
      <c r="F217" s="12">
        <f>_xlfn.XLOOKUP(C217,'COM RESID'!J:J,'COM RESID'!R:R)</f>
        <v/>
      </c>
      <c r="G217">
        <f>_xlfn.XLOOKUP(C217,'COM RESID'!J:J,'COM RESID'!W:W)</f>
        <v/>
      </c>
      <c r="H217" s="12">
        <f>_xlfn.XLOOKUP(C217,'COM RESID'!J:J,'COM RESID'!V:V)</f>
        <v/>
      </c>
      <c r="I217" s="12">
        <f>ROUNDUP(_xlfn.XLOOKUP(C217,'COM RESID'!J:J,'COM RESID'!S:S),0)</f>
        <v/>
      </c>
      <c r="J217" s="8">
        <f>_xlfn.XLOOKUP(C217,'COM RESID'!J:J,'COM RESID'!T:T)</f>
        <v/>
      </c>
      <c r="K217" s="13">
        <f>_xlfn.XLOOKUP(C217,'COM RESID'!J:J,'COM RESID'!P:P)</f>
        <v/>
      </c>
      <c r="L217" s="12">
        <f>_xlfn.XLOOKUP(C217,'COM RESID'!J:J,'COM RESID'!V:V)</f>
        <v/>
      </c>
    </row>
    <row r="218">
      <c r="B218">
        <f>IF(K218=0,"*",Def_Tech!C362)</f>
        <v/>
      </c>
      <c r="C218">
        <f>Def_Tech!D362</f>
        <v/>
      </c>
      <c r="D218">
        <f>_xlfn.XLOOKUP(C218,'COM RESID'!J:J,'COM RESID'!H:H)</f>
        <v/>
      </c>
      <c r="E218">
        <f>_xlfn.XLOOKUP(C218,'COM RESID'!J:J,'COM RESID'!I:I)</f>
        <v/>
      </c>
      <c r="F218" s="12">
        <f>_xlfn.XLOOKUP(C218,'COM RESID'!J:J,'COM RESID'!R:R)</f>
        <v/>
      </c>
      <c r="G218">
        <f>_xlfn.XLOOKUP(C218,'COM RESID'!J:J,'COM RESID'!W:W)</f>
        <v/>
      </c>
      <c r="H218" s="12">
        <f>_xlfn.XLOOKUP(C218,'COM RESID'!J:J,'COM RESID'!V:V)</f>
        <v/>
      </c>
      <c r="I218" s="12">
        <f>ROUNDUP(_xlfn.XLOOKUP(C218,'COM RESID'!J:J,'COM RESID'!S:S),0)</f>
        <v/>
      </c>
      <c r="J218" s="8">
        <f>_xlfn.XLOOKUP(C218,'COM RESID'!J:J,'COM RESID'!T:T)</f>
        <v/>
      </c>
      <c r="K218" s="13">
        <f>_xlfn.XLOOKUP(C218,'COM RESID'!J:J,'COM RESID'!P:P)</f>
        <v/>
      </c>
      <c r="L218" s="12">
        <f>_xlfn.XLOOKUP(C218,'COM RESID'!J:J,'COM RESID'!V:V)</f>
        <v/>
      </c>
    </row>
    <row r="219">
      <c r="B219">
        <f>IF(K219=0,"*",Def_Tech!C363)</f>
        <v/>
      </c>
      <c r="C219">
        <f>Def_Tech!D363</f>
        <v/>
      </c>
      <c r="D219">
        <f>_xlfn.XLOOKUP(C219,'COM RESID'!J:J,'COM RESID'!H:H)</f>
        <v/>
      </c>
      <c r="E219">
        <f>_xlfn.XLOOKUP(C219,'COM RESID'!J:J,'COM RESID'!I:I)</f>
        <v/>
      </c>
      <c r="F219" s="12">
        <f>_xlfn.XLOOKUP(C219,'COM RESID'!J:J,'COM RESID'!R:R)</f>
        <v/>
      </c>
      <c r="G219">
        <f>_xlfn.XLOOKUP(C219,'COM RESID'!J:J,'COM RESID'!W:W)</f>
        <v/>
      </c>
      <c r="H219" s="12">
        <f>_xlfn.XLOOKUP(C219,'COM RESID'!J:J,'COM RESID'!V:V)</f>
        <v/>
      </c>
      <c r="I219" s="12">
        <f>ROUNDUP(_xlfn.XLOOKUP(C219,'COM RESID'!J:J,'COM RESID'!S:S),0)</f>
        <v/>
      </c>
      <c r="J219" s="8">
        <f>_xlfn.XLOOKUP(C219,'COM RESID'!J:J,'COM RESID'!T:T)</f>
        <v/>
      </c>
      <c r="K219" s="13">
        <f>_xlfn.XLOOKUP(C219,'COM RESID'!J:J,'COM RESID'!P:P)</f>
        <v/>
      </c>
      <c r="L219" s="12">
        <f>_xlfn.XLOOKUP(C219,'COM RESID'!J:J,'COM RESID'!V:V)</f>
        <v/>
      </c>
    </row>
    <row r="220">
      <c r="B220">
        <f>IF(K220=0,"*",Def_Tech!C364)</f>
        <v/>
      </c>
      <c r="C220">
        <f>Def_Tech!D364</f>
        <v/>
      </c>
      <c r="D220">
        <f>_xlfn.XLOOKUP(C220,'COM RESID'!J:J,'COM RESID'!H:H)</f>
        <v/>
      </c>
      <c r="E220">
        <f>_xlfn.XLOOKUP(C220,'COM RESID'!J:J,'COM RESID'!I:I)</f>
        <v/>
      </c>
      <c r="F220" s="12">
        <f>_xlfn.XLOOKUP(C220,'COM RESID'!J:J,'COM RESID'!R:R)</f>
        <v/>
      </c>
      <c r="G220">
        <f>_xlfn.XLOOKUP(C220,'COM RESID'!J:J,'COM RESID'!W:W)</f>
        <v/>
      </c>
      <c r="H220" s="12">
        <f>_xlfn.XLOOKUP(C220,'COM RESID'!J:J,'COM RESID'!V:V)</f>
        <v/>
      </c>
      <c r="I220" s="12">
        <f>ROUNDUP(_xlfn.XLOOKUP(C220,'COM RESID'!J:J,'COM RESID'!S:S),0)</f>
        <v/>
      </c>
      <c r="J220" s="8">
        <f>_xlfn.XLOOKUP(C220,'COM RESID'!J:J,'COM RESID'!T:T)</f>
        <v/>
      </c>
      <c r="K220" s="13">
        <f>_xlfn.XLOOKUP(C220,'COM RESID'!J:J,'COM RESID'!P:P)</f>
        <v/>
      </c>
      <c r="L220" s="12">
        <f>_xlfn.XLOOKUP(C220,'COM RESID'!J:J,'COM RESID'!V:V)</f>
        <v/>
      </c>
    </row>
    <row r="221">
      <c r="B221">
        <f>IF(K221=0,"*",Def_Tech!C365)</f>
        <v/>
      </c>
      <c r="C221">
        <f>Def_Tech!D365</f>
        <v/>
      </c>
      <c r="D221">
        <f>_xlfn.XLOOKUP(C221,'COM RESID'!J:J,'COM RESID'!H:H)</f>
        <v/>
      </c>
      <c r="E221">
        <f>_xlfn.XLOOKUP(C221,'COM RESID'!J:J,'COM RESID'!I:I)</f>
        <v/>
      </c>
      <c r="F221" s="12">
        <f>_xlfn.XLOOKUP(C221,'COM RESID'!J:J,'COM RESID'!R:R)</f>
        <v/>
      </c>
      <c r="G221">
        <f>_xlfn.XLOOKUP(C221,'COM RESID'!J:J,'COM RESID'!W:W)</f>
        <v/>
      </c>
      <c r="H221" s="12">
        <f>_xlfn.XLOOKUP(C221,'COM RESID'!J:J,'COM RESID'!V:V)</f>
        <v/>
      </c>
      <c r="I221" s="12">
        <f>ROUNDUP(_xlfn.XLOOKUP(C221,'COM RESID'!J:J,'COM RESID'!S:S),0)</f>
        <v/>
      </c>
      <c r="J221" s="8">
        <f>_xlfn.XLOOKUP(C221,'COM RESID'!J:J,'COM RESID'!T:T)</f>
        <v/>
      </c>
      <c r="K221" s="13">
        <f>_xlfn.XLOOKUP(C221,'COM RESID'!J:J,'COM RESID'!P:P)</f>
        <v/>
      </c>
      <c r="L221" s="12">
        <f>_xlfn.XLOOKUP(C221,'COM RESID'!J:J,'COM RESID'!V:V)</f>
        <v/>
      </c>
    </row>
    <row r="222">
      <c r="B222">
        <f>IF(K222=0,"*",Def_Tech!C366)</f>
        <v/>
      </c>
      <c r="C222">
        <f>Def_Tech!D366</f>
        <v/>
      </c>
      <c r="D222">
        <f>_xlfn.XLOOKUP(C222,'COM RESID'!J:J,'COM RESID'!H:H)</f>
        <v/>
      </c>
      <c r="E222">
        <f>_xlfn.XLOOKUP(C222,'COM RESID'!J:J,'COM RESID'!I:I)</f>
        <v/>
      </c>
      <c r="F222" s="12">
        <f>_xlfn.XLOOKUP(C222,'COM RESID'!J:J,'COM RESID'!R:R)</f>
        <v/>
      </c>
      <c r="G222">
        <f>_xlfn.XLOOKUP(C222,'COM RESID'!J:J,'COM RESID'!W:W)</f>
        <v/>
      </c>
      <c r="H222" s="12">
        <f>_xlfn.XLOOKUP(C222,'COM RESID'!J:J,'COM RESID'!V:V)</f>
        <v/>
      </c>
      <c r="I222" s="12">
        <f>ROUNDUP(_xlfn.XLOOKUP(C222,'COM RESID'!J:J,'COM RESID'!S:S),0)</f>
        <v/>
      </c>
      <c r="J222" s="8">
        <f>_xlfn.XLOOKUP(C222,'COM RESID'!J:J,'COM RESID'!T:T)</f>
        <v/>
      </c>
      <c r="K222" s="13">
        <f>_xlfn.XLOOKUP(C222,'COM RESID'!J:J,'COM RESID'!P:P)</f>
        <v/>
      </c>
      <c r="L222" s="12">
        <f>_xlfn.XLOOKUP(C222,'COM RESID'!J:J,'COM RESID'!V:V)</f>
        <v/>
      </c>
    </row>
    <row r="223">
      <c r="B223">
        <f>IF(K223=0,"*",Def_Tech!C367)</f>
        <v/>
      </c>
      <c r="C223">
        <f>Def_Tech!D367</f>
        <v/>
      </c>
      <c r="D223">
        <f>_xlfn.XLOOKUP(C223,'COM RESID'!J:J,'COM RESID'!H:H)</f>
        <v/>
      </c>
      <c r="E223">
        <f>_xlfn.XLOOKUP(C223,'COM RESID'!J:J,'COM RESID'!I:I)</f>
        <v/>
      </c>
      <c r="F223" s="12">
        <f>_xlfn.XLOOKUP(C223,'COM RESID'!J:J,'COM RESID'!R:R)</f>
        <v/>
      </c>
      <c r="G223">
        <f>_xlfn.XLOOKUP(C223,'COM RESID'!J:J,'COM RESID'!W:W)</f>
        <v/>
      </c>
      <c r="H223" s="12">
        <f>_xlfn.XLOOKUP(C223,'COM RESID'!J:J,'COM RESID'!V:V)</f>
        <v/>
      </c>
      <c r="I223" s="12">
        <f>ROUNDUP(_xlfn.XLOOKUP(C223,'COM RESID'!J:J,'COM RESID'!S:S),0)</f>
        <v/>
      </c>
      <c r="J223" s="8">
        <f>_xlfn.XLOOKUP(C223,'COM RESID'!J:J,'COM RESID'!T:T)</f>
        <v/>
      </c>
      <c r="K223" s="13">
        <f>_xlfn.XLOOKUP(C223,'COM RESID'!J:J,'COM RESID'!P:P)</f>
        <v/>
      </c>
      <c r="L223" s="12">
        <f>_xlfn.XLOOKUP(C223,'COM RESID'!J:J,'COM RESID'!V:V)</f>
        <v/>
      </c>
    </row>
    <row r="224">
      <c r="B224">
        <f>IF(K224=0,"*",Def_Tech!C368)</f>
        <v/>
      </c>
      <c r="C224">
        <f>Def_Tech!D368</f>
        <v/>
      </c>
      <c r="D224">
        <f>_xlfn.XLOOKUP(C224,'COM RESID'!J:J,'COM RESID'!H:H)</f>
        <v/>
      </c>
      <c r="E224">
        <f>_xlfn.XLOOKUP(C224,'COM RESID'!J:J,'COM RESID'!I:I)</f>
        <v/>
      </c>
      <c r="F224" s="12">
        <f>_xlfn.XLOOKUP(C224,'COM RESID'!J:J,'COM RESID'!R:R)</f>
        <v/>
      </c>
      <c r="G224">
        <f>_xlfn.XLOOKUP(C224,'COM RESID'!J:J,'COM RESID'!W:W)</f>
        <v/>
      </c>
      <c r="H224" s="12">
        <f>_xlfn.XLOOKUP(C224,'COM RESID'!J:J,'COM RESID'!V:V)</f>
        <v/>
      </c>
      <c r="I224" s="12">
        <f>ROUNDUP(_xlfn.XLOOKUP(C224,'COM RESID'!J:J,'COM RESID'!S:S),0)</f>
        <v/>
      </c>
      <c r="J224" s="8">
        <f>_xlfn.XLOOKUP(C224,'COM RESID'!J:J,'COM RESID'!T:T)</f>
        <v/>
      </c>
      <c r="K224" s="13">
        <f>_xlfn.XLOOKUP(C224,'COM RESID'!J:J,'COM RESID'!P:P)</f>
        <v/>
      </c>
      <c r="L224" s="12">
        <f>_xlfn.XLOOKUP(C224,'COM RESID'!J:J,'COM RESID'!V:V)</f>
        <v/>
      </c>
    </row>
    <row r="225">
      <c r="B225">
        <f>IF(K225=0,"*",Def_Tech!C369)</f>
        <v/>
      </c>
      <c r="C225">
        <f>Def_Tech!D369</f>
        <v/>
      </c>
      <c r="D225">
        <f>_xlfn.XLOOKUP(C225,'COM RESID'!J:J,'COM RESID'!H:H)</f>
        <v/>
      </c>
      <c r="E225">
        <f>_xlfn.XLOOKUP(C225,'COM RESID'!J:J,'COM RESID'!I:I)</f>
        <v/>
      </c>
      <c r="F225" s="12">
        <f>_xlfn.XLOOKUP(C225,'COM RESID'!J:J,'COM RESID'!R:R)</f>
        <v/>
      </c>
      <c r="G225">
        <f>_xlfn.XLOOKUP(C225,'COM RESID'!J:J,'COM RESID'!W:W)</f>
        <v/>
      </c>
      <c r="H225" s="12">
        <f>_xlfn.XLOOKUP(C225,'COM RESID'!J:J,'COM RESID'!V:V)</f>
        <v/>
      </c>
      <c r="I225" s="12">
        <f>ROUNDUP(_xlfn.XLOOKUP(C225,'COM RESID'!J:J,'COM RESID'!S:S),0)</f>
        <v/>
      </c>
      <c r="J225" s="8">
        <f>_xlfn.XLOOKUP(C225,'COM RESID'!J:J,'COM RESID'!T:T)</f>
        <v/>
      </c>
      <c r="K225" s="13">
        <f>_xlfn.XLOOKUP(C225,'COM RESID'!J:J,'COM RESID'!P:P)</f>
        <v/>
      </c>
      <c r="L225" s="12">
        <f>_xlfn.XLOOKUP(C225,'COM RESID'!J:J,'COM RESID'!V:V)</f>
        <v/>
      </c>
    </row>
    <row r="226">
      <c r="B226">
        <f>IF(K226=0,"*",Def_Tech!C370)</f>
        <v/>
      </c>
      <c r="C226">
        <f>Def_Tech!D370</f>
        <v/>
      </c>
      <c r="D226">
        <f>_xlfn.XLOOKUP(C226,'COM RESID'!J:J,'COM RESID'!H:H)</f>
        <v/>
      </c>
      <c r="E226">
        <f>_xlfn.XLOOKUP(C226,'COM RESID'!J:J,'COM RESID'!I:I)</f>
        <v/>
      </c>
      <c r="F226" s="12">
        <f>_xlfn.XLOOKUP(C226,'COM RESID'!J:J,'COM RESID'!R:R)</f>
        <v/>
      </c>
      <c r="G226">
        <f>_xlfn.XLOOKUP(C226,'COM RESID'!J:J,'COM RESID'!W:W)</f>
        <v/>
      </c>
      <c r="H226" s="12">
        <f>_xlfn.XLOOKUP(C226,'COM RESID'!J:J,'COM RESID'!V:V)</f>
        <v/>
      </c>
      <c r="I226" s="12">
        <f>ROUNDUP(_xlfn.XLOOKUP(C226,'COM RESID'!J:J,'COM RESID'!S:S),0)</f>
        <v/>
      </c>
      <c r="J226" s="8">
        <f>_xlfn.XLOOKUP(C226,'COM RESID'!J:J,'COM RESID'!T:T)</f>
        <v/>
      </c>
      <c r="K226" s="13">
        <f>_xlfn.XLOOKUP(C226,'COM RESID'!J:J,'COM RESID'!P:P)</f>
        <v/>
      </c>
      <c r="L226" s="12">
        <f>_xlfn.XLOOKUP(C226,'COM RESID'!J:J,'COM RESID'!V:V)</f>
        <v/>
      </c>
    </row>
    <row r="227">
      <c r="B227">
        <f>IF(K227=0,"*",Def_Tech!C371)</f>
        <v/>
      </c>
      <c r="C227">
        <f>Def_Tech!D371</f>
        <v/>
      </c>
      <c r="D227">
        <f>_xlfn.XLOOKUP(C227,'COM RESID'!J:J,'COM RESID'!H:H)</f>
        <v/>
      </c>
      <c r="E227">
        <f>_xlfn.XLOOKUP(C227,'COM RESID'!J:J,'COM RESID'!I:I)</f>
        <v/>
      </c>
      <c r="F227" s="12">
        <f>_xlfn.XLOOKUP(C227,'COM RESID'!J:J,'COM RESID'!R:R)</f>
        <v/>
      </c>
      <c r="G227">
        <f>_xlfn.XLOOKUP(C227,'COM RESID'!J:J,'COM RESID'!W:W)</f>
        <v/>
      </c>
      <c r="H227" s="12">
        <f>_xlfn.XLOOKUP(C227,'COM RESID'!J:J,'COM RESID'!V:V)</f>
        <v/>
      </c>
      <c r="I227" s="12">
        <f>ROUNDUP(_xlfn.XLOOKUP(C227,'COM RESID'!J:J,'COM RESID'!S:S),0)</f>
        <v/>
      </c>
      <c r="J227" s="8">
        <f>_xlfn.XLOOKUP(C227,'COM RESID'!J:J,'COM RESID'!T:T)</f>
        <v/>
      </c>
      <c r="K227" s="13">
        <f>_xlfn.XLOOKUP(C227,'COM RESID'!J:J,'COM RESID'!P:P)</f>
        <v/>
      </c>
      <c r="L227" s="12">
        <f>_xlfn.XLOOKUP(C227,'COM RESID'!J:J,'COM RESID'!V:V)</f>
        <v/>
      </c>
    </row>
    <row r="228">
      <c r="B228">
        <f>IF(K228=0,"*",Def_Tech!C372)</f>
        <v/>
      </c>
      <c r="C228">
        <f>Def_Tech!D372</f>
        <v/>
      </c>
      <c r="D228">
        <f>_xlfn.XLOOKUP(C228,'COM RESID'!J:J,'COM RESID'!H:H)</f>
        <v/>
      </c>
      <c r="E228">
        <f>_xlfn.XLOOKUP(C228,'COM RESID'!J:J,'COM RESID'!I:I)</f>
        <v/>
      </c>
      <c r="F228" s="12">
        <f>_xlfn.XLOOKUP(C228,'COM RESID'!J:J,'COM RESID'!R:R)</f>
        <v/>
      </c>
      <c r="G228">
        <f>_xlfn.XLOOKUP(C228,'COM RESID'!J:J,'COM RESID'!W:W)</f>
        <v/>
      </c>
      <c r="H228" s="12">
        <f>_xlfn.XLOOKUP(C228,'COM RESID'!J:J,'COM RESID'!V:V)</f>
        <v/>
      </c>
      <c r="I228" s="12">
        <f>ROUNDUP(_xlfn.XLOOKUP(C228,'COM RESID'!J:J,'COM RESID'!S:S),0)</f>
        <v/>
      </c>
      <c r="J228" s="8">
        <f>_xlfn.XLOOKUP(C228,'COM RESID'!J:J,'COM RESID'!T:T)</f>
        <v/>
      </c>
      <c r="K228" s="13">
        <f>_xlfn.XLOOKUP(C228,'COM RESID'!J:J,'COM RESID'!P:P)</f>
        <v/>
      </c>
      <c r="L228" s="12">
        <f>_xlfn.XLOOKUP(C228,'COM RESID'!J:J,'COM RESID'!V:V)</f>
        <v/>
      </c>
    </row>
    <row r="229">
      <c r="B229">
        <f>IF(K229=0,"*",Def_Tech!C373)</f>
        <v/>
      </c>
      <c r="C229">
        <f>Def_Tech!D373</f>
        <v/>
      </c>
      <c r="D229">
        <f>_xlfn.XLOOKUP(C229,'COM RESID'!J:J,'COM RESID'!H:H)</f>
        <v/>
      </c>
      <c r="E229">
        <f>_xlfn.XLOOKUP(C229,'COM RESID'!J:J,'COM RESID'!I:I)</f>
        <v/>
      </c>
      <c r="F229" s="12">
        <f>_xlfn.XLOOKUP(C229,'COM RESID'!J:J,'COM RESID'!R:R)</f>
        <v/>
      </c>
      <c r="G229">
        <f>_xlfn.XLOOKUP(C229,'COM RESID'!J:J,'COM RESID'!W:W)</f>
        <v/>
      </c>
      <c r="H229" s="12">
        <f>_xlfn.XLOOKUP(C229,'COM RESID'!J:J,'COM RESID'!V:V)</f>
        <v/>
      </c>
      <c r="I229" s="12">
        <f>ROUNDUP(_xlfn.XLOOKUP(C229,'COM RESID'!J:J,'COM RESID'!S:S),0)</f>
        <v/>
      </c>
      <c r="J229" s="8">
        <f>_xlfn.XLOOKUP(C229,'COM RESID'!J:J,'COM RESID'!T:T)</f>
        <v/>
      </c>
      <c r="K229" s="13">
        <f>_xlfn.XLOOKUP(C229,'COM RESID'!J:J,'COM RESID'!P:P)</f>
        <v/>
      </c>
      <c r="L229" s="12">
        <f>_xlfn.XLOOKUP(C229,'COM RESID'!J:J,'COM RESID'!V:V)</f>
        <v/>
      </c>
    </row>
    <row r="230">
      <c r="B230">
        <f>IF(K230=0,"*",Def_Tech!C374)</f>
        <v/>
      </c>
      <c r="C230">
        <f>Def_Tech!D374</f>
        <v/>
      </c>
      <c r="D230">
        <f>_xlfn.XLOOKUP(C230,'COM RESID'!J:J,'COM RESID'!H:H)</f>
        <v/>
      </c>
      <c r="E230">
        <f>_xlfn.XLOOKUP(C230,'COM RESID'!J:J,'COM RESID'!I:I)</f>
        <v/>
      </c>
      <c r="F230" s="12">
        <f>_xlfn.XLOOKUP(C230,'COM RESID'!J:J,'COM RESID'!R:R)</f>
        <v/>
      </c>
      <c r="G230">
        <f>_xlfn.XLOOKUP(C230,'COM RESID'!J:J,'COM RESID'!W:W)</f>
        <v/>
      </c>
      <c r="H230" s="12">
        <f>_xlfn.XLOOKUP(C230,'COM RESID'!J:J,'COM RESID'!V:V)</f>
        <v/>
      </c>
      <c r="I230" s="12">
        <f>ROUNDUP(_xlfn.XLOOKUP(C230,'COM RESID'!J:J,'COM RESID'!S:S),0)</f>
        <v/>
      </c>
      <c r="J230" s="8">
        <f>_xlfn.XLOOKUP(C230,'COM RESID'!J:J,'COM RESID'!T:T)</f>
        <v/>
      </c>
      <c r="K230" s="13">
        <f>_xlfn.XLOOKUP(C230,'COM RESID'!J:J,'COM RESID'!P:P)</f>
        <v/>
      </c>
      <c r="L230" s="12">
        <f>_xlfn.XLOOKUP(C230,'COM RESID'!J:J,'COM RESID'!V:V)</f>
        <v/>
      </c>
    </row>
    <row r="231">
      <c r="B231">
        <f>IF(K231=0,"*",Def_Tech!C375)</f>
        <v/>
      </c>
      <c r="C231">
        <f>Def_Tech!D375</f>
        <v/>
      </c>
      <c r="D231">
        <f>_xlfn.XLOOKUP(C231,'COM RESID'!J:J,'COM RESID'!H:H)</f>
        <v/>
      </c>
      <c r="E231">
        <f>_xlfn.XLOOKUP(C231,'COM RESID'!J:J,'COM RESID'!I:I)</f>
        <v/>
      </c>
      <c r="F231" s="12">
        <f>_xlfn.XLOOKUP(C231,'COM RESID'!J:J,'COM RESID'!R:R)</f>
        <v/>
      </c>
      <c r="G231">
        <f>_xlfn.XLOOKUP(C231,'COM RESID'!J:J,'COM RESID'!W:W)</f>
        <v/>
      </c>
      <c r="H231" s="12">
        <f>_xlfn.XLOOKUP(C231,'COM RESID'!J:J,'COM RESID'!V:V)</f>
        <v/>
      </c>
      <c r="I231" s="12">
        <f>ROUNDUP(_xlfn.XLOOKUP(C231,'COM RESID'!J:J,'COM RESID'!S:S),0)</f>
        <v/>
      </c>
      <c r="J231" s="8">
        <f>_xlfn.XLOOKUP(C231,'COM RESID'!J:J,'COM RESID'!T:T)</f>
        <v/>
      </c>
      <c r="K231" s="13">
        <f>_xlfn.XLOOKUP(C231,'COM RESID'!J:J,'COM RESID'!P:P)</f>
        <v/>
      </c>
      <c r="L231" s="12">
        <f>_xlfn.XLOOKUP(C231,'COM RESID'!J:J,'COM RESID'!V:V)</f>
        <v/>
      </c>
    </row>
    <row r="232">
      <c r="B232">
        <f>IF(K232=0,"*",Def_Tech!C376)</f>
        <v/>
      </c>
      <c r="C232">
        <f>Def_Tech!D376</f>
        <v/>
      </c>
      <c r="D232">
        <f>_xlfn.XLOOKUP(C232,'COM RESID'!J:J,'COM RESID'!H:H)</f>
        <v/>
      </c>
      <c r="E232">
        <f>_xlfn.XLOOKUP(C232,'COM RESID'!J:J,'COM RESID'!I:I)</f>
        <v/>
      </c>
      <c r="F232" s="12">
        <f>_xlfn.XLOOKUP(C232,'COM RESID'!J:J,'COM RESID'!R:R)</f>
        <v/>
      </c>
      <c r="G232">
        <f>_xlfn.XLOOKUP(C232,'COM RESID'!J:J,'COM RESID'!W:W)</f>
        <v/>
      </c>
      <c r="H232" s="12">
        <f>_xlfn.XLOOKUP(C232,'COM RESID'!J:J,'COM RESID'!V:V)</f>
        <v/>
      </c>
      <c r="I232" s="12">
        <f>ROUNDUP(_xlfn.XLOOKUP(C232,'COM RESID'!J:J,'COM RESID'!S:S),0)</f>
        <v/>
      </c>
      <c r="J232" s="8">
        <f>_xlfn.XLOOKUP(C232,'COM RESID'!J:J,'COM RESID'!T:T)</f>
        <v/>
      </c>
      <c r="K232" s="13">
        <f>_xlfn.XLOOKUP(C232,'COM RESID'!J:J,'COM RESID'!P:P)</f>
        <v/>
      </c>
      <c r="L232" s="12">
        <f>_xlfn.XLOOKUP(C232,'COM RESID'!J:J,'COM RESID'!V:V)</f>
        <v/>
      </c>
    </row>
    <row r="233">
      <c r="B233">
        <f>IF(K233=0,"*",Def_Tech!C377)</f>
        <v/>
      </c>
      <c r="C233">
        <f>Def_Tech!D377</f>
        <v/>
      </c>
      <c r="D233">
        <f>_xlfn.XLOOKUP(C233,'COM RESID'!J:J,'COM RESID'!H:H)</f>
        <v/>
      </c>
      <c r="E233">
        <f>_xlfn.XLOOKUP(C233,'COM RESID'!J:J,'COM RESID'!I:I)</f>
        <v/>
      </c>
      <c r="F233" s="12">
        <f>_xlfn.XLOOKUP(C233,'COM RESID'!J:J,'COM RESID'!R:R)</f>
        <v/>
      </c>
      <c r="G233">
        <f>_xlfn.XLOOKUP(C233,'COM RESID'!J:J,'COM RESID'!W:W)</f>
        <v/>
      </c>
      <c r="H233" s="12">
        <f>_xlfn.XLOOKUP(C233,'COM RESID'!J:J,'COM RESID'!V:V)</f>
        <v/>
      </c>
      <c r="I233" s="12">
        <f>ROUNDUP(_xlfn.XLOOKUP(C233,'COM RESID'!J:J,'COM RESID'!S:S),0)</f>
        <v/>
      </c>
      <c r="J233" s="8">
        <f>_xlfn.XLOOKUP(C233,'COM RESID'!J:J,'COM RESID'!T:T)</f>
        <v/>
      </c>
      <c r="K233" s="13">
        <f>_xlfn.XLOOKUP(C233,'COM RESID'!J:J,'COM RESID'!P:P)</f>
        <v/>
      </c>
      <c r="L233" s="12">
        <f>_xlfn.XLOOKUP(C233,'COM RESID'!J:J,'COM RESID'!V:V)</f>
        <v/>
      </c>
    </row>
    <row r="234">
      <c r="B234">
        <f>IF(K234=0,"*",Def_Tech!C378)</f>
        <v/>
      </c>
      <c r="C234">
        <f>Def_Tech!D378</f>
        <v/>
      </c>
      <c r="D234">
        <f>_xlfn.XLOOKUP(C234,'COM RESID'!J:J,'COM RESID'!H:H)</f>
        <v/>
      </c>
      <c r="E234">
        <f>_xlfn.XLOOKUP(C234,'COM RESID'!J:J,'COM RESID'!I:I)</f>
        <v/>
      </c>
      <c r="F234" s="12">
        <f>_xlfn.XLOOKUP(C234,'COM RESID'!J:J,'COM RESID'!R:R)</f>
        <v/>
      </c>
      <c r="G234">
        <f>_xlfn.XLOOKUP(C234,'COM RESID'!J:J,'COM RESID'!W:W)</f>
        <v/>
      </c>
      <c r="H234" s="12">
        <f>_xlfn.XLOOKUP(C234,'COM RESID'!J:J,'COM RESID'!V:V)</f>
        <v/>
      </c>
      <c r="I234" s="12">
        <f>ROUNDUP(_xlfn.XLOOKUP(C234,'COM RESID'!J:J,'COM RESID'!S:S),0)</f>
        <v/>
      </c>
      <c r="J234" s="8">
        <f>_xlfn.XLOOKUP(C234,'COM RESID'!J:J,'COM RESID'!T:T)</f>
        <v/>
      </c>
      <c r="K234" s="13">
        <f>_xlfn.XLOOKUP(C234,'COM RESID'!J:J,'COM RESID'!P:P)</f>
        <v/>
      </c>
      <c r="L234" s="12">
        <f>_xlfn.XLOOKUP(C234,'COM RESID'!J:J,'COM RESID'!V:V)</f>
        <v/>
      </c>
    </row>
    <row r="235">
      <c r="B235">
        <f>IF(K235=0,"*",Def_Tech!C379)</f>
        <v/>
      </c>
      <c r="C235">
        <f>Def_Tech!D379</f>
        <v/>
      </c>
      <c r="D235">
        <f>_xlfn.XLOOKUP(C235,'COM RESID'!J:J,'COM RESID'!H:H)</f>
        <v/>
      </c>
      <c r="E235">
        <f>_xlfn.XLOOKUP(C235,'COM RESID'!J:J,'COM RESID'!I:I)</f>
        <v/>
      </c>
      <c r="F235" s="12">
        <f>_xlfn.XLOOKUP(C235,'COM RESID'!J:J,'COM RESID'!R:R)</f>
        <v/>
      </c>
      <c r="G235">
        <f>_xlfn.XLOOKUP(C235,'COM RESID'!J:J,'COM RESID'!W:W)</f>
        <v/>
      </c>
      <c r="H235" s="12">
        <f>_xlfn.XLOOKUP(C235,'COM RESID'!J:J,'COM RESID'!V:V)</f>
        <v/>
      </c>
      <c r="I235" s="12">
        <f>ROUNDUP(_xlfn.XLOOKUP(C235,'COM RESID'!J:J,'COM RESID'!S:S),0)</f>
        <v/>
      </c>
      <c r="J235" s="8">
        <f>_xlfn.XLOOKUP(C235,'COM RESID'!J:J,'COM RESID'!T:T)</f>
        <v/>
      </c>
      <c r="K235" s="13">
        <f>_xlfn.XLOOKUP(C235,'COM RESID'!J:J,'COM RESID'!P:P)</f>
        <v/>
      </c>
      <c r="L235" s="12">
        <f>_xlfn.XLOOKUP(C235,'COM RESID'!J:J,'COM RESID'!V:V)</f>
        <v/>
      </c>
    </row>
    <row r="236">
      <c r="B236">
        <f>IF(K236=0,"*",Def_Tech!C380)</f>
        <v/>
      </c>
      <c r="C236">
        <f>Def_Tech!D380</f>
        <v/>
      </c>
      <c r="D236">
        <f>_xlfn.XLOOKUP(C236,'COM RESID'!J:J,'COM RESID'!H:H)</f>
        <v/>
      </c>
      <c r="E236">
        <f>_xlfn.XLOOKUP(C236,'COM RESID'!J:J,'COM RESID'!I:I)</f>
        <v/>
      </c>
      <c r="F236" s="12">
        <f>_xlfn.XLOOKUP(C236,'COM RESID'!J:J,'COM RESID'!R:R)</f>
        <v/>
      </c>
      <c r="G236">
        <f>_xlfn.XLOOKUP(C236,'COM RESID'!J:J,'COM RESID'!W:W)</f>
        <v/>
      </c>
      <c r="H236" s="12">
        <f>_xlfn.XLOOKUP(C236,'COM RESID'!J:J,'COM RESID'!V:V)</f>
        <v/>
      </c>
      <c r="I236" s="12">
        <f>ROUNDUP(_xlfn.XLOOKUP(C236,'COM RESID'!J:J,'COM RESID'!S:S),0)</f>
        <v/>
      </c>
      <c r="J236" s="8">
        <f>_xlfn.XLOOKUP(C236,'COM RESID'!J:J,'COM RESID'!T:T)</f>
        <v/>
      </c>
      <c r="K236" s="13">
        <f>_xlfn.XLOOKUP(C236,'COM RESID'!J:J,'COM RESID'!P:P)</f>
        <v/>
      </c>
      <c r="L236" s="12">
        <f>_xlfn.XLOOKUP(C236,'COM RESID'!J:J,'COM RESID'!V:V)</f>
        <v/>
      </c>
    </row>
    <row r="237">
      <c r="B237">
        <f>IF(K237=0,"*",Def_Tech!C381)</f>
        <v/>
      </c>
      <c r="C237">
        <f>Def_Tech!D381</f>
        <v/>
      </c>
      <c r="D237">
        <f>_xlfn.XLOOKUP(C237,'COM RESID'!J:J,'COM RESID'!H:H)</f>
        <v/>
      </c>
      <c r="E237">
        <f>_xlfn.XLOOKUP(C237,'COM RESID'!J:J,'COM RESID'!I:I)</f>
        <v/>
      </c>
      <c r="F237" s="12">
        <f>_xlfn.XLOOKUP(C237,'COM RESID'!J:J,'COM RESID'!R:R)</f>
        <v/>
      </c>
      <c r="G237">
        <f>_xlfn.XLOOKUP(C237,'COM RESID'!J:J,'COM RESID'!W:W)</f>
        <v/>
      </c>
      <c r="H237" s="12">
        <f>_xlfn.XLOOKUP(C237,'COM RESID'!J:J,'COM RESID'!V:V)</f>
        <v/>
      </c>
      <c r="I237" s="12">
        <f>ROUNDUP(_xlfn.XLOOKUP(C237,'COM RESID'!J:J,'COM RESID'!S:S),0)</f>
        <v/>
      </c>
      <c r="J237" s="8">
        <f>_xlfn.XLOOKUP(C237,'COM RESID'!J:J,'COM RESID'!T:T)</f>
        <v/>
      </c>
      <c r="K237" s="13">
        <f>_xlfn.XLOOKUP(C237,'COM RESID'!J:J,'COM RESID'!P:P)</f>
        <v/>
      </c>
      <c r="L237" s="12">
        <f>_xlfn.XLOOKUP(C237,'COM RESID'!J:J,'COM RESID'!V:V)</f>
        <v/>
      </c>
    </row>
    <row r="238">
      <c r="B238">
        <f>IF(K238=0,"*",Def_Tech!C382)</f>
        <v/>
      </c>
      <c r="C238">
        <f>Def_Tech!D382</f>
        <v/>
      </c>
      <c r="D238">
        <f>_xlfn.XLOOKUP(C238,'COM RESID'!J:J,'COM RESID'!H:H)</f>
        <v/>
      </c>
      <c r="E238">
        <f>_xlfn.XLOOKUP(C238,'COM RESID'!J:J,'COM RESID'!I:I)</f>
        <v/>
      </c>
      <c r="F238" s="12">
        <f>_xlfn.XLOOKUP(C238,'COM RESID'!J:J,'COM RESID'!R:R)</f>
        <v/>
      </c>
      <c r="G238">
        <f>_xlfn.XLOOKUP(C238,'COM RESID'!J:J,'COM RESID'!W:W)</f>
        <v/>
      </c>
      <c r="H238" s="12">
        <f>_xlfn.XLOOKUP(C238,'COM RESID'!J:J,'COM RESID'!V:V)</f>
        <v/>
      </c>
      <c r="I238" s="12">
        <f>ROUNDUP(_xlfn.XLOOKUP(C238,'COM RESID'!J:J,'COM RESID'!S:S),0)</f>
        <v/>
      </c>
      <c r="J238" s="8">
        <f>_xlfn.XLOOKUP(C238,'COM RESID'!J:J,'COM RESID'!T:T)</f>
        <v/>
      </c>
      <c r="K238" s="13">
        <f>_xlfn.XLOOKUP(C238,'COM RESID'!J:J,'COM RESID'!P:P)</f>
        <v/>
      </c>
      <c r="L238" s="12">
        <f>_xlfn.XLOOKUP(C238,'COM RESID'!J:J,'COM RESID'!V:V)</f>
        <v/>
      </c>
    </row>
    <row r="239">
      <c r="B239">
        <f>IF(K239=0,"*",Def_Tech!C383)</f>
        <v/>
      </c>
      <c r="C239">
        <f>Def_Tech!D383</f>
        <v/>
      </c>
      <c r="D239">
        <f>_xlfn.XLOOKUP(C239,'COM RESID'!J:J,'COM RESID'!H:H)</f>
        <v/>
      </c>
      <c r="E239">
        <f>_xlfn.XLOOKUP(C239,'COM RESID'!J:J,'COM RESID'!I:I)</f>
        <v/>
      </c>
      <c r="F239" s="12">
        <f>_xlfn.XLOOKUP(C239,'COM RESID'!J:J,'COM RESID'!R:R)</f>
        <v/>
      </c>
      <c r="G239">
        <f>_xlfn.XLOOKUP(C239,'COM RESID'!J:J,'COM RESID'!W:W)</f>
        <v/>
      </c>
      <c r="H239" s="12">
        <f>_xlfn.XLOOKUP(C239,'COM RESID'!J:J,'COM RESID'!V:V)</f>
        <v/>
      </c>
      <c r="I239" s="12">
        <f>ROUNDUP(_xlfn.XLOOKUP(C239,'COM RESID'!J:J,'COM RESID'!S:S),0)</f>
        <v/>
      </c>
      <c r="J239" s="8">
        <f>_xlfn.XLOOKUP(C239,'COM RESID'!J:J,'COM RESID'!T:T)</f>
        <v/>
      </c>
      <c r="K239" s="13">
        <f>_xlfn.XLOOKUP(C239,'COM RESID'!J:J,'COM RESID'!P:P)</f>
        <v/>
      </c>
      <c r="L239" s="12">
        <f>_xlfn.XLOOKUP(C239,'COM RESID'!J:J,'COM RESID'!V:V)</f>
        <v/>
      </c>
    </row>
    <row r="240">
      <c r="B240">
        <f>IF(K240=0,"*",Def_Tech!C384)</f>
        <v/>
      </c>
      <c r="C240">
        <f>Def_Tech!D384</f>
        <v/>
      </c>
      <c r="D240">
        <f>_xlfn.XLOOKUP(C240,'COM RESID'!J:J,'COM RESID'!H:H)</f>
        <v/>
      </c>
      <c r="E240">
        <f>_xlfn.XLOOKUP(C240,'COM RESID'!J:J,'COM RESID'!I:I)</f>
        <v/>
      </c>
      <c r="F240" s="12">
        <f>_xlfn.XLOOKUP(C240,'COM RESID'!J:J,'COM RESID'!R:R)</f>
        <v/>
      </c>
      <c r="G240">
        <f>_xlfn.XLOOKUP(C240,'COM RESID'!J:J,'COM RESID'!W:W)</f>
        <v/>
      </c>
      <c r="H240" s="12">
        <f>_xlfn.XLOOKUP(C240,'COM RESID'!J:J,'COM RESID'!V:V)</f>
        <v/>
      </c>
      <c r="I240" s="12">
        <f>ROUNDUP(_xlfn.XLOOKUP(C240,'COM RESID'!J:J,'COM RESID'!S:S),0)</f>
        <v/>
      </c>
      <c r="J240" s="8">
        <f>_xlfn.XLOOKUP(C240,'COM RESID'!J:J,'COM RESID'!T:T)</f>
        <v/>
      </c>
      <c r="K240" s="13">
        <f>_xlfn.XLOOKUP(C240,'COM RESID'!J:J,'COM RESID'!P:P)</f>
        <v/>
      </c>
      <c r="L240" s="12">
        <f>_xlfn.XLOOKUP(C240,'COM RESID'!J:J,'COM RESID'!V:V)</f>
        <v/>
      </c>
    </row>
    <row r="241">
      <c r="B241">
        <f>IF(K241=0,"*",Def_Tech!C385)</f>
        <v/>
      </c>
      <c r="C241">
        <f>Def_Tech!D385</f>
        <v/>
      </c>
      <c r="D241">
        <f>_xlfn.XLOOKUP(C241,'COM RESID'!J:J,'COM RESID'!H:H)</f>
        <v/>
      </c>
      <c r="E241">
        <f>_xlfn.XLOOKUP(C241,'COM RESID'!J:J,'COM RESID'!I:I)</f>
        <v/>
      </c>
      <c r="F241" s="12">
        <f>_xlfn.XLOOKUP(C241,'COM RESID'!J:J,'COM RESID'!R:R)</f>
        <v/>
      </c>
      <c r="G241">
        <f>_xlfn.XLOOKUP(C241,'COM RESID'!J:J,'COM RESID'!W:W)</f>
        <v/>
      </c>
      <c r="H241" s="12">
        <f>_xlfn.XLOOKUP(C241,'COM RESID'!J:J,'COM RESID'!V:V)</f>
        <v/>
      </c>
      <c r="I241" s="12">
        <f>ROUNDUP(_xlfn.XLOOKUP(C241,'COM RESID'!J:J,'COM RESID'!S:S),0)</f>
        <v/>
      </c>
      <c r="J241" s="8">
        <f>_xlfn.XLOOKUP(C241,'COM RESID'!J:J,'COM RESID'!T:T)</f>
        <v/>
      </c>
      <c r="K241" s="13">
        <f>_xlfn.XLOOKUP(C241,'COM RESID'!J:J,'COM RESID'!P:P)</f>
        <v/>
      </c>
      <c r="L241" s="12">
        <f>_xlfn.XLOOKUP(C241,'COM RESID'!J:J,'COM RESID'!V:V)</f>
        <v/>
      </c>
    </row>
    <row r="242">
      <c r="B242">
        <f>IF(K242=0,"*",Def_Tech!C386)</f>
        <v/>
      </c>
      <c r="C242">
        <f>Def_Tech!D386</f>
        <v/>
      </c>
      <c r="D242">
        <f>_xlfn.XLOOKUP(C242,'COM RESID'!J:J,'COM RESID'!H:H)</f>
        <v/>
      </c>
      <c r="E242">
        <f>_xlfn.XLOOKUP(C242,'COM RESID'!J:J,'COM RESID'!I:I)</f>
        <v/>
      </c>
      <c r="F242" s="12">
        <f>_xlfn.XLOOKUP(C242,'COM RESID'!J:J,'COM RESID'!R:R)</f>
        <v/>
      </c>
      <c r="G242">
        <f>_xlfn.XLOOKUP(C242,'COM RESID'!J:J,'COM RESID'!W:W)</f>
        <v/>
      </c>
      <c r="H242" s="12">
        <f>_xlfn.XLOOKUP(C242,'COM RESID'!J:J,'COM RESID'!V:V)</f>
        <v/>
      </c>
      <c r="I242" s="12">
        <f>ROUNDUP(_xlfn.XLOOKUP(C242,'COM RESID'!J:J,'COM RESID'!S:S),0)</f>
        <v/>
      </c>
      <c r="J242" s="8">
        <f>_xlfn.XLOOKUP(C242,'COM RESID'!J:J,'COM RESID'!T:T)</f>
        <v/>
      </c>
      <c r="K242" s="13">
        <f>_xlfn.XLOOKUP(C242,'COM RESID'!J:J,'COM RESID'!P:P)</f>
        <v/>
      </c>
      <c r="L242" s="12">
        <f>_xlfn.XLOOKUP(C242,'COM RESID'!J:J,'COM RESID'!V:V)</f>
        <v/>
      </c>
    </row>
    <row r="243">
      <c r="B243">
        <f>IF(K243=0,"*",Def_Tech!C387)</f>
        <v/>
      </c>
      <c r="C243">
        <f>Def_Tech!D387</f>
        <v/>
      </c>
      <c r="D243">
        <f>_xlfn.XLOOKUP(C243,'COM RESID'!J:J,'COM RESID'!H:H)</f>
        <v/>
      </c>
      <c r="E243">
        <f>_xlfn.XLOOKUP(C243,'COM RESID'!J:J,'COM RESID'!I:I)</f>
        <v/>
      </c>
      <c r="F243" s="12">
        <f>_xlfn.XLOOKUP(C243,'COM RESID'!J:J,'COM RESID'!R:R)</f>
        <v/>
      </c>
      <c r="G243">
        <f>_xlfn.XLOOKUP(C243,'COM RESID'!J:J,'COM RESID'!W:W)</f>
        <v/>
      </c>
      <c r="H243" s="12">
        <f>_xlfn.XLOOKUP(C243,'COM RESID'!J:J,'COM RESID'!V:V)</f>
        <v/>
      </c>
      <c r="I243" s="12">
        <f>ROUNDUP(_xlfn.XLOOKUP(C243,'COM RESID'!J:J,'COM RESID'!S:S),0)</f>
        <v/>
      </c>
      <c r="J243" s="8">
        <f>_xlfn.XLOOKUP(C243,'COM RESID'!J:J,'COM RESID'!T:T)</f>
        <v/>
      </c>
      <c r="K243" s="13">
        <f>_xlfn.XLOOKUP(C243,'COM RESID'!J:J,'COM RESID'!P:P)</f>
        <v/>
      </c>
      <c r="L243" s="12">
        <f>_xlfn.XLOOKUP(C243,'COM RESID'!J:J,'COM RESID'!V:V)</f>
        <v/>
      </c>
    </row>
    <row r="244">
      <c r="B244">
        <f>IF(K244=0,"*",Def_Tech!C388)</f>
        <v/>
      </c>
      <c r="C244">
        <f>Def_Tech!D388</f>
        <v/>
      </c>
      <c r="D244">
        <f>_xlfn.XLOOKUP(C244,'COM RESID'!J:J,'COM RESID'!H:H)</f>
        <v/>
      </c>
      <c r="E244">
        <f>_xlfn.XLOOKUP(C244,'COM RESID'!J:J,'COM RESID'!I:I)</f>
        <v/>
      </c>
      <c r="F244" s="12">
        <f>_xlfn.XLOOKUP(C244,'COM RESID'!J:J,'COM RESID'!R:R)</f>
        <v/>
      </c>
      <c r="G244">
        <f>_xlfn.XLOOKUP(C244,'COM RESID'!J:J,'COM RESID'!W:W)</f>
        <v/>
      </c>
      <c r="H244" s="12">
        <f>_xlfn.XLOOKUP(C244,'COM RESID'!J:J,'COM RESID'!V:V)</f>
        <v/>
      </c>
      <c r="I244" s="12">
        <f>ROUNDUP(_xlfn.XLOOKUP(C244,'COM RESID'!J:J,'COM RESID'!S:S),0)</f>
        <v/>
      </c>
      <c r="J244" s="8">
        <f>_xlfn.XLOOKUP(C244,'COM RESID'!J:J,'COM RESID'!T:T)</f>
        <v/>
      </c>
      <c r="K244" s="13">
        <f>_xlfn.XLOOKUP(C244,'COM RESID'!J:J,'COM RESID'!P:P)</f>
        <v/>
      </c>
      <c r="L244" s="12">
        <f>_xlfn.XLOOKUP(C244,'COM RESID'!J:J,'COM RESID'!V:V)</f>
        <v/>
      </c>
    </row>
    <row r="245">
      <c r="B245">
        <f>IF(K245=0,"*",Def_Tech!C389)</f>
        <v/>
      </c>
      <c r="C245">
        <f>Def_Tech!D389</f>
        <v/>
      </c>
      <c r="D245">
        <f>_xlfn.XLOOKUP(C245,'COM RESID'!J:J,'COM RESID'!H:H)</f>
        <v/>
      </c>
      <c r="E245">
        <f>_xlfn.XLOOKUP(C245,'COM RESID'!J:J,'COM RESID'!I:I)</f>
        <v/>
      </c>
      <c r="F245" s="12">
        <f>_xlfn.XLOOKUP(C245,'COM RESID'!J:J,'COM RESID'!R:R)</f>
        <v/>
      </c>
      <c r="G245">
        <f>_xlfn.XLOOKUP(C245,'COM RESID'!J:J,'COM RESID'!W:W)</f>
        <v/>
      </c>
      <c r="H245" s="12">
        <f>_xlfn.XLOOKUP(C245,'COM RESID'!J:J,'COM RESID'!V:V)</f>
        <v/>
      </c>
      <c r="I245" s="12">
        <f>ROUNDUP(_xlfn.XLOOKUP(C245,'COM RESID'!J:J,'COM RESID'!S:S),0)</f>
        <v/>
      </c>
      <c r="J245" s="8">
        <f>_xlfn.XLOOKUP(C245,'COM RESID'!J:J,'COM RESID'!T:T)</f>
        <v/>
      </c>
      <c r="K245" s="13">
        <f>_xlfn.XLOOKUP(C245,'COM RESID'!J:J,'COM RESID'!P:P)</f>
        <v/>
      </c>
      <c r="L245" s="12">
        <f>_xlfn.XLOOKUP(C245,'COM RESID'!J:J,'COM RESID'!V:V)</f>
        <v/>
      </c>
    </row>
    <row r="246">
      <c r="B246">
        <f>IF(K246=0,"*",Def_Tech!C390)</f>
        <v/>
      </c>
      <c r="C246">
        <f>Def_Tech!D390</f>
        <v/>
      </c>
      <c r="D246">
        <f>_xlfn.XLOOKUP(C246,'COM RESID'!J:J,'COM RESID'!H:H)</f>
        <v/>
      </c>
      <c r="E246">
        <f>_xlfn.XLOOKUP(C246,'COM RESID'!J:J,'COM RESID'!I:I)</f>
        <v/>
      </c>
      <c r="F246" s="12">
        <f>_xlfn.XLOOKUP(C246,'COM RESID'!J:J,'COM RESID'!R:R)</f>
        <v/>
      </c>
      <c r="G246">
        <f>_xlfn.XLOOKUP(C246,'COM RESID'!J:J,'COM RESID'!W:W)</f>
        <v/>
      </c>
      <c r="H246" s="12">
        <f>_xlfn.XLOOKUP(C246,'COM RESID'!J:J,'COM RESID'!V:V)</f>
        <v/>
      </c>
      <c r="I246" s="12">
        <f>ROUNDUP(_xlfn.XLOOKUP(C246,'COM RESID'!J:J,'COM RESID'!S:S),0)</f>
        <v/>
      </c>
      <c r="J246" s="8">
        <f>_xlfn.XLOOKUP(C246,'COM RESID'!J:J,'COM RESID'!T:T)</f>
        <v/>
      </c>
      <c r="K246" s="13">
        <f>_xlfn.XLOOKUP(C246,'COM RESID'!J:J,'COM RESID'!P:P)</f>
        <v/>
      </c>
      <c r="L246" s="12">
        <f>_xlfn.XLOOKUP(C246,'COM RESID'!J:J,'COM RESID'!V:V)</f>
        <v/>
      </c>
    </row>
    <row r="247">
      <c r="B247">
        <f>IF(K247=0,"*",Def_Tech!C391)</f>
        <v/>
      </c>
      <c r="C247">
        <f>Def_Tech!D391</f>
        <v/>
      </c>
      <c r="D247">
        <f>_xlfn.XLOOKUP(C247,'COM RESID'!J:J,'COM RESID'!H:H)</f>
        <v/>
      </c>
      <c r="E247">
        <f>_xlfn.XLOOKUP(C247,'COM RESID'!J:J,'COM RESID'!I:I)</f>
        <v/>
      </c>
      <c r="F247" s="12">
        <f>_xlfn.XLOOKUP(C247,'COM RESID'!J:J,'COM RESID'!R:R)</f>
        <v/>
      </c>
      <c r="G247">
        <f>_xlfn.XLOOKUP(C247,'COM RESID'!J:J,'COM RESID'!W:W)</f>
        <v/>
      </c>
      <c r="H247" s="12">
        <f>_xlfn.XLOOKUP(C247,'COM RESID'!J:J,'COM RESID'!V:V)</f>
        <v/>
      </c>
      <c r="I247" s="12">
        <f>ROUNDUP(_xlfn.XLOOKUP(C247,'COM RESID'!J:J,'COM RESID'!S:S),0)</f>
        <v/>
      </c>
      <c r="J247" s="8">
        <f>_xlfn.XLOOKUP(C247,'COM RESID'!J:J,'COM RESID'!T:T)</f>
        <v/>
      </c>
      <c r="K247" s="13">
        <f>_xlfn.XLOOKUP(C247,'COM RESID'!J:J,'COM RESID'!P:P)</f>
        <v/>
      </c>
      <c r="L247" s="12">
        <f>_xlfn.XLOOKUP(C247,'COM RESID'!J:J,'COM RESID'!V:V)</f>
        <v/>
      </c>
    </row>
    <row r="248">
      <c r="B248">
        <f>IF(K248=0,"*",Def_Tech!C392)</f>
        <v/>
      </c>
      <c r="C248">
        <f>Def_Tech!D392</f>
        <v/>
      </c>
      <c r="D248">
        <f>_xlfn.XLOOKUP(C248,'COM RESID'!J:J,'COM RESID'!H:H)</f>
        <v/>
      </c>
      <c r="E248">
        <f>_xlfn.XLOOKUP(C248,'COM RESID'!J:J,'COM RESID'!I:I)</f>
        <v/>
      </c>
      <c r="F248" s="12">
        <f>_xlfn.XLOOKUP(C248,'COM RESID'!J:J,'COM RESID'!R:R)</f>
        <v/>
      </c>
      <c r="G248">
        <f>_xlfn.XLOOKUP(C248,'COM RESID'!J:J,'COM RESID'!W:W)</f>
        <v/>
      </c>
      <c r="H248" s="12">
        <f>_xlfn.XLOOKUP(C248,'COM RESID'!J:J,'COM RESID'!V:V)</f>
        <v/>
      </c>
      <c r="I248" s="12">
        <f>ROUNDUP(_xlfn.XLOOKUP(C248,'COM RESID'!J:J,'COM RESID'!S:S),0)</f>
        <v/>
      </c>
      <c r="J248" s="8">
        <f>_xlfn.XLOOKUP(C248,'COM RESID'!J:J,'COM RESID'!T:T)</f>
        <v/>
      </c>
      <c r="K248" s="13">
        <f>_xlfn.XLOOKUP(C248,'COM RESID'!J:J,'COM RESID'!P:P)</f>
        <v/>
      </c>
      <c r="L248" s="12">
        <f>_xlfn.XLOOKUP(C248,'COM RESID'!J:J,'COM RESID'!V:V)</f>
        <v/>
      </c>
    </row>
    <row r="249">
      <c r="B249">
        <f>IF(K249=0,"*",Def_Tech!C393)</f>
        <v/>
      </c>
      <c r="C249">
        <f>Def_Tech!D393</f>
        <v/>
      </c>
      <c r="D249">
        <f>_xlfn.XLOOKUP(C249,'COM RESID'!J:J,'COM RESID'!H:H)</f>
        <v/>
      </c>
      <c r="E249">
        <f>_xlfn.XLOOKUP(C249,'COM RESID'!J:J,'COM RESID'!I:I)</f>
        <v/>
      </c>
      <c r="F249" s="12">
        <f>_xlfn.XLOOKUP(C249,'COM RESID'!J:J,'COM RESID'!R:R)</f>
        <v/>
      </c>
      <c r="G249">
        <f>_xlfn.XLOOKUP(C249,'COM RESID'!J:J,'COM RESID'!W:W)</f>
        <v/>
      </c>
      <c r="H249" s="12">
        <f>_xlfn.XLOOKUP(C249,'COM RESID'!J:J,'COM RESID'!V:V)</f>
        <v/>
      </c>
      <c r="I249" s="12">
        <f>ROUNDUP(_xlfn.XLOOKUP(C249,'COM RESID'!J:J,'COM RESID'!S:S),0)</f>
        <v/>
      </c>
      <c r="J249" s="8">
        <f>_xlfn.XLOOKUP(C249,'COM RESID'!J:J,'COM RESID'!T:T)</f>
        <v/>
      </c>
      <c r="K249" s="13">
        <f>_xlfn.XLOOKUP(C249,'COM RESID'!J:J,'COM RESID'!P:P)</f>
        <v/>
      </c>
      <c r="L249" s="12">
        <f>_xlfn.XLOOKUP(C249,'COM RESID'!J:J,'COM RESID'!V:V)</f>
        <v/>
      </c>
    </row>
    <row r="250">
      <c r="B250">
        <f>IF(K250=0,"*",Def_Tech!C394)</f>
        <v/>
      </c>
      <c r="C250">
        <f>Def_Tech!D394</f>
        <v/>
      </c>
      <c r="D250">
        <f>_xlfn.XLOOKUP(C250,'COM RESID'!J:J,'COM RESID'!H:H)</f>
        <v/>
      </c>
      <c r="E250">
        <f>_xlfn.XLOOKUP(C250,'COM RESID'!J:J,'COM RESID'!I:I)</f>
        <v/>
      </c>
      <c r="F250" s="12">
        <f>_xlfn.XLOOKUP(C250,'COM RESID'!J:J,'COM RESID'!R:R)</f>
        <v/>
      </c>
      <c r="G250">
        <f>_xlfn.XLOOKUP(C250,'COM RESID'!J:J,'COM RESID'!W:W)</f>
        <v/>
      </c>
      <c r="H250" s="12">
        <f>_xlfn.XLOOKUP(C250,'COM RESID'!J:J,'COM RESID'!V:V)</f>
        <v/>
      </c>
      <c r="I250" s="12">
        <f>ROUNDUP(_xlfn.XLOOKUP(C250,'COM RESID'!J:J,'COM RESID'!S:S),0)</f>
        <v/>
      </c>
      <c r="J250" s="8">
        <f>_xlfn.XLOOKUP(C250,'COM RESID'!J:J,'COM RESID'!T:T)</f>
        <v/>
      </c>
      <c r="K250" s="13">
        <f>_xlfn.XLOOKUP(C250,'COM RESID'!J:J,'COM RESID'!P:P)</f>
        <v/>
      </c>
      <c r="L250" s="12">
        <f>_xlfn.XLOOKUP(C250,'COM RESID'!J:J,'COM RESID'!V:V)</f>
        <v/>
      </c>
    </row>
    <row r="251">
      <c r="B251">
        <f>IF(K251=0,"*",Def_Tech!C395)</f>
        <v/>
      </c>
      <c r="C251">
        <f>Def_Tech!D395</f>
        <v/>
      </c>
      <c r="D251">
        <f>_xlfn.XLOOKUP(C251,'COM RESID'!J:J,'COM RESID'!H:H)</f>
        <v/>
      </c>
      <c r="E251">
        <f>_xlfn.XLOOKUP(C251,'COM RESID'!J:J,'COM RESID'!I:I)</f>
        <v/>
      </c>
      <c r="F251" s="12">
        <f>_xlfn.XLOOKUP(C251,'COM RESID'!J:J,'COM RESID'!R:R)</f>
        <v/>
      </c>
      <c r="G251">
        <f>_xlfn.XLOOKUP(C251,'COM RESID'!J:J,'COM RESID'!W:W)</f>
        <v/>
      </c>
      <c r="H251" s="12">
        <f>_xlfn.XLOOKUP(C251,'COM RESID'!J:J,'COM RESID'!V:V)</f>
        <v/>
      </c>
      <c r="I251" s="12">
        <f>ROUNDUP(_xlfn.XLOOKUP(C251,'COM RESID'!J:J,'COM RESID'!S:S),0)</f>
        <v/>
      </c>
      <c r="J251" s="8">
        <f>_xlfn.XLOOKUP(C251,'COM RESID'!J:J,'COM RESID'!T:T)</f>
        <v/>
      </c>
      <c r="K251" s="13">
        <f>_xlfn.XLOOKUP(C251,'COM RESID'!J:J,'COM RESID'!P:P)</f>
        <v/>
      </c>
      <c r="L251" s="12">
        <f>_xlfn.XLOOKUP(C251,'COM RESID'!J:J,'COM RESID'!V:V)</f>
        <v/>
      </c>
    </row>
    <row r="252">
      <c r="B252">
        <f>IF(K252=0,"*",Def_Tech!C396)</f>
        <v/>
      </c>
      <c r="C252">
        <f>Def_Tech!D396</f>
        <v/>
      </c>
      <c r="D252">
        <f>_xlfn.XLOOKUP(C252,'COM RESID'!J:J,'COM RESID'!H:H)</f>
        <v/>
      </c>
      <c r="E252">
        <f>_xlfn.XLOOKUP(C252,'COM RESID'!J:J,'COM RESID'!I:I)</f>
        <v/>
      </c>
      <c r="F252" s="12">
        <f>_xlfn.XLOOKUP(C252,'COM RESID'!J:J,'COM RESID'!R:R)</f>
        <v/>
      </c>
      <c r="G252">
        <f>_xlfn.XLOOKUP(C252,'COM RESID'!J:J,'COM RESID'!W:W)</f>
        <v/>
      </c>
      <c r="H252" s="12">
        <f>_xlfn.XLOOKUP(C252,'COM RESID'!J:J,'COM RESID'!V:V)</f>
        <v/>
      </c>
      <c r="I252" s="12">
        <f>ROUNDUP(_xlfn.XLOOKUP(C252,'COM RESID'!J:J,'COM RESID'!S:S),0)</f>
        <v/>
      </c>
      <c r="J252" s="8">
        <f>_xlfn.XLOOKUP(C252,'COM RESID'!J:J,'COM RESID'!T:T)</f>
        <v/>
      </c>
      <c r="K252" s="13">
        <f>_xlfn.XLOOKUP(C252,'COM RESID'!J:J,'COM RESID'!P:P)</f>
        <v/>
      </c>
      <c r="L252" s="12">
        <f>_xlfn.XLOOKUP(C252,'COM RESID'!J:J,'COM RESID'!V:V)</f>
        <v/>
      </c>
    </row>
    <row r="253">
      <c r="B253">
        <f>IF(K253=0,"*",Def_Tech!C397)</f>
        <v/>
      </c>
      <c r="C253">
        <f>Def_Tech!D397</f>
        <v/>
      </c>
      <c r="D253">
        <f>_xlfn.XLOOKUP(C253,'COM RESID'!J:J,'COM RESID'!H:H)</f>
        <v/>
      </c>
      <c r="E253">
        <f>_xlfn.XLOOKUP(C253,'COM RESID'!J:J,'COM RESID'!I:I)</f>
        <v/>
      </c>
      <c r="F253" s="12">
        <f>_xlfn.XLOOKUP(C253,'COM RESID'!J:J,'COM RESID'!R:R)</f>
        <v/>
      </c>
      <c r="G253">
        <f>_xlfn.XLOOKUP(C253,'COM RESID'!J:J,'COM RESID'!W:W)</f>
        <v/>
      </c>
      <c r="H253" s="12">
        <f>_xlfn.XLOOKUP(C253,'COM RESID'!J:J,'COM RESID'!V:V)</f>
        <v/>
      </c>
      <c r="I253" s="12">
        <f>ROUNDUP(_xlfn.XLOOKUP(C253,'COM RESID'!J:J,'COM RESID'!S:S),0)</f>
        <v/>
      </c>
      <c r="J253" s="8">
        <f>_xlfn.XLOOKUP(C253,'COM RESID'!J:J,'COM RESID'!T:T)</f>
        <v/>
      </c>
      <c r="K253" s="13">
        <f>_xlfn.XLOOKUP(C253,'COM RESID'!J:J,'COM RESID'!P:P)</f>
        <v/>
      </c>
      <c r="L253" s="12">
        <f>_xlfn.XLOOKUP(C253,'COM RESID'!J:J,'COM RESID'!V:V)</f>
        <v/>
      </c>
    </row>
    <row r="254">
      <c r="B254">
        <f>IF(K254=0,"*",Def_Tech!C398)</f>
        <v/>
      </c>
      <c r="C254">
        <f>Def_Tech!D398</f>
        <v/>
      </c>
      <c r="D254">
        <f>_xlfn.XLOOKUP(C254,'COM RESID'!J:J,'COM RESID'!H:H)</f>
        <v/>
      </c>
      <c r="E254">
        <f>_xlfn.XLOOKUP(C254,'COM RESID'!J:J,'COM RESID'!I:I)</f>
        <v/>
      </c>
      <c r="F254" s="12">
        <f>_xlfn.XLOOKUP(C254,'COM RESID'!J:J,'COM RESID'!R:R)</f>
        <v/>
      </c>
      <c r="G254">
        <f>_xlfn.XLOOKUP(C254,'COM RESID'!J:J,'COM RESID'!W:W)</f>
        <v/>
      </c>
      <c r="H254" s="12">
        <f>_xlfn.XLOOKUP(C254,'COM RESID'!J:J,'COM RESID'!V:V)</f>
        <v/>
      </c>
      <c r="I254" s="12">
        <f>ROUNDUP(_xlfn.XLOOKUP(C254,'COM RESID'!J:J,'COM RESID'!S:S),0)</f>
        <v/>
      </c>
      <c r="J254" s="8">
        <f>_xlfn.XLOOKUP(C254,'COM RESID'!J:J,'COM RESID'!T:T)</f>
        <v/>
      </c>
      <c r="K254" s="13">
        <f>_xlfn.XLOOKUP(C254,'COM RESID'!J:J,'COM RESID'!P:P)</f>
        <v/>
      </c>
      <c r="L254" s="12">
        <f>_xlfn.XLOOKUP(C254,'COM RESID'!J:J,'COM RESID'!V:V)</f>
        <v/>
      </c>
    </row>
    <row r="255">
      <c r="B255">
        <f>IF(K255=0,"*",Def_Tech!C399)</f>
        <v/>
      </c>
      <c r="C255">
        <f>Def_Tech!D399</f>
        <v/>
      </c>
      <c r="D255">
        <f>_xlfn.XLOOKUP(C255,'COM RESID'!J:J,'COM RESID'!H:H)</f>
        <v/>
      </c>
      <c r="E255">
        <f>_xlfn.XLOOKUP(C255,'COM RESID'!J:J,'COM RESID'!I:I)</f>
        <v/>
      </c>
      <c r="F255" s="12">
        <f>_xlfn.XLOOKUP(C255,'COM RESID'!J:J,'COM RESID'!R:R)</f>
        <v/>
      </c>
      <c r="G255">
        <f>_xlfn.XLOOKUP(C255,'COM RESID'!J:J,'COM RESID'!W:W)</f>
        <v/>
      </c>
      <c r="H255" s="12">
        <f>_xlfn.XLOOKUP(C255,'COM RESID'!J:J,'COM RESID'!V:V)</f>
        <v/>
      </c>
      <c r="I255" s="12">
        <f>ROUNDUP(_xlfn.XLOOKUP(C255,'COM RESID'!J:J,'COM RESID'!S:S),0)</f>
        <v/>
      </c>
      <c r="J255" s="8">
        <f>_xlfn.XLOOKUP(C255,'COM RESID'!J:J,'COM RESID'!T:T)</f>
        <v/>
      </c>
      <c r="K255" s="13">
        <f>_xlfn.XLOOKUP(C255,'COM RESID'!J:J,'COM RESID'!P:P)</f>
        <v/>
      </c>
      <c r="L255" s="12">
        <f>_xlfn.XLOOKUP(C255,'COM RESID'!J:J,'COM RESID'!V:V)</f>
        <v/>
      </c>
    </row>
    <row r="256">
      <c r="B256">
        <f>IF(K256=0,"*",Def_Tech!C400)</f>
        <v/>
      </c>
      <c r="C256">
        <f>Def_Tech!D400</f>
        <v/>
      </c>
      <c r="D256">
        <f>_xlfn.XLOOKUP(C256,'COM RESID'!J:J,'COM RESID'!H:H)</f>
        <v/>
      </c>
      <c r="E256">
        <f>_xlfn.XLOOKUP(C256,'COM RESID'!J:J,'COM RESID'!I:I)</f>
        <v/>
      </c>
      <c r="F256" s="12">
        <f>_xlfn.XLOOKUP(C256,'COM RESID'!J:J,'COM RESID'!R:R)</f>
        <v/>
      </c>
      <c r="G256">
        <f>_xlfn.XLOOKUP(C256,'COM RESID'!J:J,'COM RESID'!W:W)</f>
        <v/>
      </c>
      <c r="H256" s="12">
        <f>_xlfn.XLOOKUP(C256,'COM RESID'!J:J,'COM RESID'!V:V)</f>
        <v/>
      </c>
      <c r="I256" s="12">
        <f>ROUNDUP(_xlfn.XLOOKUP(C256,'COM RESID'!J:J,'COM RESID'!S:S),0)</f>
        <v/>
      </c>
      <c r="J256" s="8">
        <f>_xlfn.XLOOKUP(C256,'COM RESID'!J:J,'COM RESID'!T:T)</f>
        <v/>
      </c>
      <c r="K256" s="13">
        <f>_xlfn.XLOOKUP(C256,'COM RESID'!J:J,'COM RESID'!P:P)</f>
        <v/>
      </c>
      <c r="L256" s="12">
        <f>_xlfn.XLOOKUP(C256,'COM RESID'!J:J,'COM RESID'!V:V)</f>
        <v/>
      </c>
    </row>
    <row r="257">
      <c r="B257">
        <f>IF(K257=0,"*",Def_Tech!C401)</f>
        <v/>
      </c>
      <c r="C257">
        <f>Def_Tech!D401</f>
        <v/>
      </c>
      <c r="D257">
        <f>_xlfn.XLOOKUP(C257,'COM RESID'!J:J,'COM RESID'!H:H)</f>
        <v/>
      </c>
      <c r="E257">
        <f>_xlfn.XLOOKUP(C257,'COM RESID'!J:J,'COM RESID'!I:I)</f>
        <v/>
      </c>
      <c r="F257" s="12">
        <f>_xlfn.XLOOKUP(C257,'COM RESID'!J:J,'COM RESID'!R:R)</f>
        <v/>
      </c>
      <c r="G257">
        <f>_xlfn.XLOOKUP(C257,'COM RESID'!J:J,'COM RESID'!W:W)</f>
        <v/>
      </c>
      <c r="H257" s="12">
        <f>_xlfn.XLOOKUP(C257,'COM RESID'!J:J,'COM RESID'!V:V)</f>
        <v/>
      </c>
      <c r="I257" s="12">
        <f>ROUNDUP(_xlfn.XLOOKUP(C257,'COM RESID'!J:J,'COM RESID'!S:S),0)</f>
        <v/>
      </c>
      <c r="J257" s="8">
        <f>_xlfn.XLOOKUP(C257,'COM RESID'!J:J,'COM RESID'!T:T)</f>
        <v/>
      </c>
      <c r="K257" s="13">
        <f>_xlfn.XLOOKUP(C257,'COM RESID'!J:J,'COM RESID'!P:P)</f>
        <v/>
      </c>
      <c r="L257" s="12">
        <f>_xlfn.XLOOKUP(C257,'COM RESID'!J:J,'COM RESID'!V:V)</f>
        <v/>
      </c>
    </row>
    <row r="258">
      <c r="B258">
        <f>IF(K258=0,"*",Def_Tech!C402)</f>
        <v/>
      </c>
      <c r="C258">
        <f>Def_Tech!D402</f>
        <v/>
      </c>
      <c r="D258">
        <f>_xlfn.XLOOKUP(C258,'COM RESID'!J:J,'COM RESID'!H:H)</f>
        <v/>
      </c>
      <c r="E258">
        <f>_xlfn.XLOOKUP(C258,'COM RESID'!J:J,'COM RESID'!I:I)</f>
        <v/>
      </c>
      <c r="F258" s="12">
        <f>_xlfn.XLOOKUP(C258,'COM RESID'!J:J,'COM RESID'!R:R)</f>
        <v/>
      </c>
      <c r="G258">
        <f>_xlfn.XLOOKUP(C258,'COM RESID'!J:J,'COM RESID'!W:W)</f>
        <v/>
      </c>
      <c r="H258" s="12">
        <f>_xlfn.XLOOKUP(C258,'COM RESID'!J:J,'COM RESID'!V:V)</f>
        <v/>
      </c>
      <c r="I258" s="12">
        <f>ROUNDUP(_xlfn.XLOOKUP(C258,'COM RESID'!J:J,'COM RESID'!S:S),0)</f>
        <v/>
      </c>
      <c r="J258" s="8">
        <f>_xlfn.XLOOKUP(C258,'COM RESID'!J:J,'COM RESID'!T:T)</f>
        <v/>
      </c>
      <c r="K258" s="13">
        <f>_xlfn.XLOOKUP(C258,'COM RESID'!J:J,'COM RESID'!P:P)</f>
        <v/>
      </c>
      <c r="L258" s="12">
        <f>_xlfn.XLOOKUP(C258,'COM RESID'!J:J,'COM RESID'!V:V)</f>
        <v/>
      </c>
    </row>
    <row r="259">
      <c r="B259">
        <f>IF(K259=0,"*",Def_Tech!C403)</f>
        <v/>
      </c>
      <c r="C259">
        <f>Def_Tech!D403</f>
        <v/>
      </c>
      <c r="D259">
        <f>_xlfn.XLOOKUP(C259,'COM RESID'!J:J,'COM RESID'!H:H)</f>
        <v/>
      </c>
      <c r="E259">
        <f>_xlfn.XLOOKUP(C259,'COM RESID'!J:J,'COM RESID'!I:I)</f>
        <v/>
      </c>
      <c r="F259" s="12">
        <f>_xlfn.XLOOKUP(C259,'COM RESID'!J:J,'COM RESID'!R:R)</f>
        <v/>
      </c>
      <c r="G259">
        <f>_xlfn.XLOOKUP(C259,'COM RESID'!J:J,'COM RESID'!W:W)</f>
        <v/>
      </c>
      <c r="H259" s="12">
        <f>_xlfn.XLOOKUP(C259,'COM RESID'!J:J,'COM RESID'!V:V)</f>
        <v/>
      </c>
      <c r="I259" s="12">
        <f>ROUNDUP(_xlfn.XLOOKUP(C259,'COM RESID'!J:J,'COM RESID'!S:S),0)</f>
        <v/>
      </c>
      <c r="J259" s="8">
        <f>_xlfn.XLOOKUP(C259,'COM RESID'!J:J,'COM RESID'!T:T)</f>
        <v/>
      </c>
      <c r="K259" s="13">
        <f>_xlfn.XLOOKUP(C259,'COM RESID'!J:J,'COM RESID'!P:P)</f>
        <v/>
      </c>
      <c r="L259" s="12">
        <f>_xlfn.XLOOKUP(C259,'COM RESID'!J:J,'COM RESID'!V:V)</f>
        <v/>
      </c>
    </row>
    <row r="260">
      <c r="B260">
        <f>IF(K260=0,"*",Def_Tech!C404)</f>
        <v/>
      </c>
      <c r="C260">
        <f>Def_Tech!D404</f>
        <v/>
      </c>
      <c r="D260">
        <f>_xlfn.XLOOKUP(C260,'COM RESID'!J:J,'COM RESID'!H:H)</f>
        <v/>
      </c>
      <c r="E260">
        <f>_xlfn.XLOOKUP(C260,'COM RESID'!J:J,'COM RESID'!I:I)</f>
        <v/>
      </c>
      <c r="F260" s="12">
        <f>_xlfn.XLOOKUP(C260,'COM RESID'!J:J,'COM RESID'!R:R)</f>
        <v/>
      </c>
      <c r="G260">
        <f>_xlfn.XLOOKUP(C260,'COM RESID'!J:J,'COM RESID'!W:W)</f>
        <v/>
      </c>
      <c r="H260" s="12">
        <f>_xlfn.XLOOKUP(C260,'COM RESID'!J:J,'COM RESID'!V:V)</f>
        <v/>
      </c>
      <c r="I260" s="12">
        <f>ROUNDUP(_xlfn.XLOOKUP(C260,'COM RESID'!J:J,'COM RESID'!S:S),0)</f>
        <v/>
      </c>
      <c r="J260" s="8">
        <f>_xlfn.XLOOKUP(C260,'COM RESID'!J:J,'COM RESID'!T:T)</f>
        <v/>
      </c>
      <c r="K260" s="13">
        <f>_xlfn.XLOOKUP(C260,'COM RESID'!J:J,'COM RESID'!P:P)</f>
        <v/>
      </c>
      <c r="L260" s="12">
        <f>_xlfn.XLOOKUP(C260,'COM RESID'!J:J,'COM RESID'!V:V)</f>
        <v/>
      </c>
    </row>
    <row r="261">
      <c r="B261">
        <f>IF(K261=0,"*",Def_Tech!C405)</f>
        <v/>
      </c>
      <c r="C261">
        <f>Def_Tech!D405</f>
        <v/>
      </c>
      <c r="D261">
        <f>_xlfn.XLOOKUP(C261,'COM RESID'!J:J,'COM RESID'!H:H)</f>
        <v/>
      </c>
      <c r="E261">
        <f>_xlfn.XLOOKUP(C261,'COM RESID'!J:J,'COM RESID'!I:I)</f>
        <v/>
      </c>
      <c r="F261" s="12">
        <f>_xlfn.XLOOKUP(C261,'COM RESID'!J:J,'COM RESID'!R:R)</f>
        <v/>
      </c>
      <c r="G261">
        <f>_xlfn.XLOOKUP(C261,'COM RESID'!J:J,'COM RESID'!W:W)</f>
        <v/>
      </c>
      <c r="H261" s="12">
        <f>_xlfn.XLOOKUP(C261,'COM RESID'!J:J,'COM RESID'!V:V)</f>
        <v/>
      </c>
      <c r="I261" s="12">
        <f>ROUNDUP(_xlfn.XLOOKUP(C261,'COM RESID'!J:J,'COM RESID'!S:S),0)</f>
        <v/>
      </c>
      <c r="J261" s="8">
        <f>_xlfn.XLOOKUP(C261,'COM RESID'!J:J,'COM RESID'!T:T)</f>
        <v/>
      </c>
      <c r="K261" s="13">
        <f>_xlfn.XLOOKUP(C261,'COM RESID'!J:J,'COM RESID'!P:P)</f>
        <v/>
      </c>
      <c r="L261" s="12">
        <f>_xlfn.XLOOKUP(C261,'COM RESID'!J:J,'COM RESID'!V:V)</f>
        <v/>
      </c>
    </row>
    <row r="262">
      <c r="B262">
        <f>IF(K262=0,"*",Def_Tech!C406)</f>
        <v/>
      </c>
      <c r="C262">
        <f>Def_Tech!D406</f>
        <v/>
      </c>
      <c r="D262">
        <f>_xlfn.XLOOKUP(C262,'COM RESID'!J:J,'COM RESID'!H:H)</f>
        <v/>
      </c>
      <c r="E262">
        <f>_xlfn.XLOOKUP(C262,'COM RESID'!J:J,'COM RESID'!I:I)</f>
        <v/>
      </c>
      <c r="F262" s="12">
        <f>_xlfn.XLOOKUP(C262,'COM RESID'!J:J,'COM RESID'!R:R)</f>
        <v/>
      </c>
      <c r="G262">
        <f>_xlfn.XLOOKUP(C262,'COM RESID'!J:J,'COM RESID'!W:W)</f>
        <v/>
      </c>
      <c r="H262" s="12">
        <f>_xlfn.XLOOKUP(C262,'COM RESID'!J:J,'COM RESID'!V:V)</f>
        <v/>
      </c>
      <c r="I262" s="12">
        <f>ROUNDUP(_xlfn.XLOOKUP(C262,'COM RESID'!J:J,'COM RESID'!S:S),0)</f>
        <v/>
      </c>
      <c r="J262" s="8">
        <f>_xlfn.XLOOKUP(C262,'COM RESID'!J:J,'COM RESID'!T:T)</f>
        <v/>
      </c>
      <c r="K262" s="13">
        <f>_xlfn.XLOOKUP(C262,'COM RESID'!J:J,'COM RESID'!P:P)</f>
        <v/>
      </c>
      <c r="L262" s="12">
        <f>_xlfn.XLOOKUP(C262,'COM RESID'!J:J,'COM RESID'!V:V)</f>
        <v/>
      </c>
    </row>
    <row r="263">
      <c r="B263">
        <f>IF(K263=0,"*",Def_Tech!C407)</f>
        <v/>
      </c>
      <c r="C263">
        <f>Def_Tech!D407</f>
        <v/>
      </c>
      <c r="D263">
        <f>_xlfn.XLOOKUP(C263,'COM RESID'!J:J,'COM RESID'!H:H)</f>
        <v/>
      </c>
      <c r="E263">
        <f>_xlfn.XLOOKUP(C263,'COM RESID'!J:J,'COM RESID'!I:I)</f>
        <v/>
      </c>
      <c r="F263" s="12">
        <f>_xlfn.XLOOKUP(C263,'COM RESID'!J:J,'COM RESID'!R:R)</f>
        <v/>
      </c>
      <c r="G263">
        <f>_xlfn.XLOOKUP(C263,'COM RESID'!J:J,'COM RESID'!W:W)</f>
        <v/>
      </c>
      <c r="H263" s="12">
        <f>_xlfn.XLOOKUP(C263,'COM RESID'!J:J,'COM RESID'!V:V)</f>
        <v/>
      </c>
      <c r="I263" s="12">
        <f>ROUNDUP(_xlfn.XLOOKUP(C263,'COM RESID'!J:J,'COM RESID'!S:S),0)</f>
        <v/>
      </c>
      <c r="J263" s="8">
        <f>_xlfn.XLOOKUP(C263,'COM RESID'!J:J,'COM RESID'!T:T)</f>
        <v/>
      </c>
      <c r="K263" s="13">
        <f>_xlfn.XLOOKUP(C263,'COM RESID'!J:J,'COM RESID'!P:P)</f>
        <v/>
      </c>
      <c r="L263" s="12">
        <f>_xlfn.XLOOKUP(C263,'COM RESID'!J:J,'COM RESID'!V:V)</f>
        <v/>
      </c>
    </row>
    <row r="264">
      <c r="B264">
        <f>IF(K264=0,"*",Def_Tech!C408)</f>
        <v/>
      </c>
      <c r="C264">
        <f>Def_Tech!D408</f>
        <v/>
      </c>
      <c r="D264">
        <f>_xlfn.XLOOKUP(C264,'COM RESID'!J:J,'COM RESID'!H:H)</f>
        <v/>
      </c>
      <c r="E264">
        <f>_xlfn.XLOOKUP(C264,'COM RESID'!J:J,'COM RESID'!I:I)</f>
        <v/>
      </c>
      <c r="F264" s="12">
        <f>_xlfn.XLOOKUP(C264,'COM RESID'!J:J,'COM RESID'!R:R)</f>
        <v/>
      </c>
      <c r="G264">
        <f>_xlfn.XLOOKUP(C264,'COM RESID'!J:J,'COM RESID'!W:W)</f>
        <v/>
      </c>
      <c r="H264" s="12">
        <f>_xlfn.XLOOKUP(C264,'COM RESID'!J:J,'COM RESID'!V:V)</f>
        <v/>
      </c>
      <c r="I264" s="12">
        <f>ROUNDUP(_xlfn.XLOOKUP(C264,'COM RESID'!J:J,'COM RESID'!S:S),0)</f>
        <v/>
      </c>
      <c r="J264" s="8">
        <f>_xlfn.XLOOKUP(C264,'COM RESID'!J:J,'COM RESID'!T:T)</f>
        <v/>
      </c>
      <c r="K264" s="13">
        <f>_xlfn.XLOOKUP(C264,'COM RESID'!J:J,'COM RESID'!P:P)</f>
        <v/>
      </c>
      <c r="L264" s="12">
        <f>_xlfn.XLOOKUP(C264,'COM RESID'!J:J,'COM RESID'!V:V)</f>
        <v/>
      </c>
    </row>
    <row r="265">
      <c r="B265">
        <f>IF(K265=0,"*",Def_Tech!C409)</f>
        <v/>
      </c>
      <c r="C265">
        <f>Def_Tech!D409</f>
        <v/>
      </c>
      <c r="D265">
        <f>_xlfn.XLOOKUP(C265,'COM RESID'!J:J,'COM RESID'!H:H)</f>
        <v/>
      </c>
      <c r="E265">
        <f>_xlfn.XLOOKUP(C265,'COM RESID'!J:J,'COM RESID'!I:I)</f>
        <v/>
      </c>
      <c r="F265" s="12">
        <f>_xlfn.XLOOKUP(C265,'COM RESID'!J:J,'COM RESID'!R:R)</f>
        <v/>
      </c>
      <c r="G265">
        <f>_xlfn.XLOOKUP(C265,'COM RESID'!J:J,'COM RESID'!W:W)</f>
        <v/>
      </c>
      <c r="H265" s="12">
        <f>_xlfn.XLOOKUP(C265,'COM RESID'!J:J,'COM RESID'!V:V)</f>
        <v/>
      </c>
      <c r="I265" s="12">
        <f>ROUNDUP(_xlfn.XLOOKUP(C265,'COM RESID'!J:J,'COM RESID'!S:S),0)</f>
        <v/>
      </c>
      <c r="J265" s="8">
        <f>_xlfn.XLOOKUP(C265,'COM RESID'!J:J,'COM RESID'!T:T)</f>
        <v/>
      </c>
      <c r="K265" s="13">
        <f>_xlfn.XLOOKUP(C265,'COM RESID'!J:J,'COM RESID'!P:P)</f>
        <v/>
      </c>
      <c r="L265" s="12">
        <f>_xlfn.XLOOKUP(C265,'COM RESID'!J:J,'COM RESID'!V:V)</f>
        <v/>
      </c>
    </row>
    <row r="266">
      <c r="B266">
        <f>IF(K266=0,"*",Def_Tech!C410)</f>
        <v/>
      </c>
      <c r="C266">
        <f>Def_Tech!D410</f>
        <v/>
      </c>
      <c r="D266">
        <f>_xlfn.XLOOKUP(C266,'COM RESID'!J:J,'COM RESID'!H:H)</f>
        <v/>
      </c>
      <c r="E266">
        <f>_xlfn.XLOOKUP(C266,'COM RESID'!J:J,'COM RESID'!I:I)</f>
        <v/>
      </c>
      <c r="F266" s="12">
        <f>_xlfn.XLOOKUP(C266,'COM RESID'!J:J,'COM RESID'!R:R)</f>
        <v/>
      </c>
      <c r="G266">
        <f>_xlfn.XLOOKUP(C266,'COM RESID'!J:J,'COM RESID'!W:W)</f>
        <v/>
      </c>
      <c r="H266" s="12">
        <f>_xlfn.XLOOKUP(C266,'COM RESID'!J:J,'COM RESID'!V:V)</f>
        <v/>
      </c>
      <c r="I266" s="12">
        <f>ROUNDUP(_xlfn.XLOOKUP(C266,'COM RESID'!J:J,'COM RESID'!S:S),0)</f>
        <v/>
      </c>
      <c r="J266" s="8">
        <f>_xlfn.XLOOKUP(C266,'COM RESID'!J:J,'COM RESID'!T:T)</f>
        <v/>
      </c>
      <c r="K266" s="13">
        <f>_xlfn.XLOOKUP(C266,'COM RESID'!J:J,'COM RESID'!P:P)</f>
        <v/>
      </c>
      <c r="L266" s="12">
        <f>_xlfn.XLOOKUP(C266,'COM RESID'!J:J,'COM RESID'!V:V)</f>
        <v/>
      </c>
    </row>
    <row r="267">
      <c r="B267">
        <f>IF(K267=0,"*",Def_Tech!C411)</f>
        <v/>
      </c>
      <c r="C267">
        <f>Def_Tech!D411</f>
        <v/>
      </c>
      <c r="D267">
        <f>_xlfn.XLOOKUP(C267,'COM RESID'!J:J,'COM RESID'!H:H)</f>
        <v/>
      </c>
      <c r="E267">
        <f>_xlfn.XLOOKUP(C267,'COM RESID'!J:J,'COM RESID'!I:I)</f>
        <v/>
      </c>
      <c r="F267" s="12">
        <f>_xlfn.XLOOKUP(C267,'COM RESID'!J:J,'COM RESID'!R:R)</f>
        <v/>
      </c>
      <c r="G267">
        <f>_xlfn.XLOOKUP(C267,'COM RESID'!J:J,'COM RESID'!W:W)</f>
        <v/>
      </c>
      <c r="H267" s="12">
        <f>_xlfn.XLOOKUP(C267,'COM RESID'!J:J,'COM RESID'!V:V)</f>
        <v/>
      </c>
      <c r="I267" s="12">
        <f>ROUNDUP(_xlfn.XLOOKUP(C267,'COM RESID'!J:J,'COM RESID'!S:S),0)</f>
        <v/>
      </c>
      <c r="J267" s="8">
        <f>_xlfn.XLOOKUP(C267,'COM RESID'!J:J,'COM RESID'!T:T)</f>
        <v/>
      </c>
      <c r="K267" s="13">
        <f>_xlfn.XLOOKUP(C267,'COM RESID'!J:J,'COM RESID'!P:P)</f>
        <v/>
      </c>
      <c r="L267" s="12">
        <f>_xlfn.XLOOKUP(C267,'COM RESID'!J:J,'COM RESID'!V:V)</f>
        <v/>
      </c>
    </row>
    <row r="268">
      <c r="B268">
        <f>IF(K268=0,"*",Def_Tech!C412)</f>
        <v/>
      </c>
      <c r="C268">
        <f>Def_Tech!D412</f>
        <v/>
      </c>
      <c r="D268">
        <f>_xlfn.XLOOKUP(C268,'COM RESID'!J:J,'COM RESID'!H:H)</f>
        <v/>
      </c>
      <c r="E268">
        <f>_xlfn.XLOOKUP(C268,'COM RESID'!J:J,'COM RESID'!I:I)</f>
        <v/>
      </c>
      <c r="F268" s="12">
        <f>_xlfn.XLOOKUP(C268,'COM RESID'!J:J,'COM RESID'!R:R)</f>
        <v/>
      </c>
      <c r="G268">
        <f>_xlfn.XLOOKUP(C268,'COM RESID'!J:J,'COM RESID'!W:W)</f>
        <v/>
      </c>
      <c r="H268" s="12">
        <f>_xlfn.XLOOKUP(C268,'COM RESID'!J:J,'COM RESID'!V:V)</f>
        <v/>
      </c>
      <c r="I268" s="12">
        <f>ROUNDUP(_xlfn.XLOOKUP(C268,'COM RESID'!J:J,'COM RESID'!S:S),0)</f>
        <v/>
      </c>
      <c r="J268" s="8">
        <f>_xlfn.XLOOKUP(C268,'COM RESID'!J:J,'COM RESID'!T:T)</f>
        <v/>
      </c>
      <c r="K268" s="13">
        <f>_xlfn.XLOOKUP(C268,'COM RESID'!J:J,'COM RESID'!P:P)</f>
        <v/>
      </c>
      <c r="L268" s="12">
        <f>_xlfn.XLOOKUP(C268,'COM RESID'!J:J,'COM RESID'!V:V)</f>
        <v/>
      </c>
    </row>
    <row r="269">
      <c r="B269">
        <f>IF(K269=0,"*",Def_Tech!C413)</f>
        <v/>
      </c>
      <c r="C269">
        <f>Def_Tech!D413</f>
        <v/>
      </c>
      <c r="D269">
        <f>_xlfn.XLOOKUP(C269,'COM RESID'!J:J,'COM RESID'!H:H)</f>
        <v/>
      </c>
      <c r="E269">
        <f>_xlfn.XLOOKUP(C269,'COM RESID'!J:J,'COM RESID'!I:I)</f>
        <v/>
      </c>
      <c r="F269" s="12">
        <f>_xlfn.XLOOKUP(C269,'COM RESID'!J:J,'COM RESID'!R:R)</f>
        <v/>
      </c>
      <c r="G269">
        <f>_xlfn.XLOOKUP(C269,'COM RESID'!J:J,'COM RESID'!W:W)</f>
        <v/>
      </c>
      <c r="H269" s="12">
        <f>_xlfn.XLOOKUP(C269,'COM RESID'!J:J,'COM RESID'!V:V)</f>
        <v/>
      </c>
      <c r="I269" s="12">
        <f>ROUNDUP(_xlfn.XLOOKUP(C269,'COM RESID'!J:J,'COM RESID'!S:S),0)</f>
        <v/>
      </c>
      <c r="J269" s="8">
        <f>_xlfn.XLOOKUP(C269,'COM RESID'!J:J,'COM RESID'!T:T)</f>
        <v/>
      </c>
      <c r="K269" s="13">
        <f>_xlfn.XLOOKUP(C269,'COM RESID'!J:J,'COM RESID'!P:P)</f>
        <v/>
      </c>
      <c r="L269" s="12">
        <f>_xlfn.XLOOKUP(C269,'COM RESID'!J:J,'COM RESID'!V:V)</f>
        <v/>
      </c>
    </row>
    <row r="270">
      <c r="B270">
        <f>IF(K270=0,"*",Def_Tech!C414)</f>
        <v/>
      </c>
      <c r="C270">
        <f>Def_Tech!D414</f>
        <v/>
      </c>
      <c r="D270">
        <f>_xlfn.XLOOKUP(C270,'COM RESID'!J:J,'COM RESID'!H:H)</f>
        <v/>
      </c>
      <c r="E270">
        <f>_xlfn.XLOOKUP(C270,'COM RESID'!J:J,'COM RESID'!I:I)</f>
        <v/>
      </c>
      <c r="F270" s="12">
        <f>_xlfn.XLOOKUP(C270,'COM RESID'!J:J,'COM RESID'!R:R)</f>
        <v/>
      </c>
      <c r="G270">
        <f>_xlfn.XLOOKUP(C270,'COM RESID'!J:J,'COM RESID'!W:W)</f>
        <v/>
      </c>
      <c r="H270" s="12">
        <f>_xlfn.XLOOKUP(C270,'COM RESID'!J:J,'COM RESID'!V:V)</f>
        <v/>
      </c>
      <c r="I270" s="12">
        <f>ROUNDUP(_xlfn.XLOOKUP(C270,'COM RESID'!J:J,'COM RESID'!S:S),0)</f>
        <v/>
      </c>
      <c r="J270" s="8">
        <f>_xlfn.XLOOKUP(C270,'COM RESID'!J:J,'COM RESID'!T:T)</f>
        <v/>
      </c>
      <c r="K270" s="13">
        <f>_xlfn.XLOOKUP(C270,'COM RESID'!J:J,'COM RESID'!P:P)</f>
        <v/>
      </c>
      <c r="L270" s="12">
        <f>_xlfn.XLOOKUP(C270,'COM RESID'!J:J,'COM RESID'!V:V)</f>
        <v/>
      </c>
    </row>
    <row r="271">
      <c r="B271">
        <f>IF(K271=0,"*",Def_Tech!C415)</f>
        <v/>
      </c>
      <c r="C271">
        <f>Def_Tech!D415</f>
        <v/>
      </c>
      <c r="D271">
        <f>_xlfn.XLOOKUP(C271,'COM RESID'!J:J,'COM RESID'!H:H)</f>
        <v/>
      </c>
      <c r="E271">
        <f>_xlfn.XLOOKUP(C271,'COM RESID'!J:J,'COM RESID'!I:I)</f>
        <v/>
      </c>
      <c r="F271" s="12">
        <f>_xlfn.XLOOKUP(C271,'COM RESID'!J:J,'COM RESID'!R:R)</f>
        <v/>
      </c>
      <c r="G271">
        <f>_xlfn.XLOOKUP(C271,'COM RESID'!J:J,'COM RESID'!W:W)</f>
        <v/>
      </c>
      <c r="H271" s="12">
        <f>_xlfn.XLOOKUP(C271,'COM RESID'!J:J,'COM RESID'!V:V)</f>
        <v/>
      </c>
      <c r="I271" s="12">
        <f>ROUNDUP(_xlfn.XLOOKUP(C271,'COM RESID'!J:J,'COM RESID'!S:S),0)</f>
        <v/>
      </c>
      <c r="J271" s="8">
        <f>_xlfn.XLOOKUP(C271,'COM RESID'!J:J,'COM RESID'!T:T)</f>
        <v/>
      </c>
      <c r="K271" s="13">
        <f>_xlfn.XLOOKUP(C271,'COM RESID'!J:J,'COM RESID'!P:P)</f>
        <v/>
      </c>
      <c r="L271" s="12">
        <f>_xlfn.XLOOKUP(C271,'COM RESID'!J:J,'COM RESID'!V:V)</f>
        <v/>
      </c>
    </row>
    <row r="272">
      <c r="B272">
        <f>IF(K272=0,"*",Def_Tech!C416)</f>
        <v/>
      </c>
      <c r="C272">
        <f>Def_Tech!D416</f>
        <v/>
      </c>
      <c r="D272">
        <f>_xlfn.XLOOKUP(C272,'COM RESID'!J:J,'COM RESID'!H:H)</f>
        <v/>
      </c>
      <c r="E272">
        <f>_xlfn.XLOOKUP(C272,'COM RESID'!J:J,'COM RESID'!I:I)</f>
        <v/>
      </c>
      <c r="F272" s="12">
        <f>_xlfn.XLOOKUP(C272,'COM RESID'!J:J,'COM RESID'!R:R)</f>
        <v/>
      </c>
      <c r="G272">
        <f>_xlfn.XLOOKUP(C272,'COM RESID'!J:J,'COM RESID'!W:W)</f>
        <v/>
      </c>
      <c r="H272" s="12">
        <f>_xlfn.XLOOKUP(C272,'COM RESID'!J:J,'COM RESID'!V:V)</f>
        <v/>
      </c>
      <c r="I272" s="12">
        <f>ROUNDUP(_xlfn.XLOOKUP(C272,'COM RESID'!J:J,'COM RESID'!S:S),0)</f>
        <v/>
      </c>
      <c r="J272" s="8">
        <f>_xlfn.XLOOKUP(C272,'COM RESID'!J:J,'COM RESID'!T:T)</f>
        <v/>
      </c>
      <c r="K272" s="13">
        <f>_xlfn.XLOOKUP(C272,'COM RESID'!J:J,'COM RESID'!P:P)</f>
        <v/>
      </c>
      <c r="L272" s="12">
        <f>_xlfn.XLOOKUP(C272,'COM RESID'!J:J,'COM RESID'!V:V)</f>
        <v/>
      </c>
    </row>
    <row r="273">
      <c r="B273">
        <f>IF(K273=0,"*",Def_Tech!C417)</f>
        <v/>
      </c>
      <c r="C273">
        <f>Def_Tech!D417</f>
        <v/>
      </c>
      <c r="D273">
        <f>_xlfn.XLOOKUP(C273,'COM RESID'!J:J,'COM RESID'!H:H)</f>
        <v/>
      </c>
      <c r="E273">
        <f>_xlfn.XLOOKUP(C273,'COM RESID'!J:J,'COM RESID'!I:I)</f>
        <v/>
      </c>
      <c r="F273" s="12">
        <f>_xlfn.XLOOKUP(C273,'COM RESID'!J:J,'COM RESID'!R:R)</f>
        <v/>
      </c>
      <c r="G273">
        <f>_xlfn.XLOOKUP(C273,'COM RESID'!J:J,'COM RESID'!W:W)</f>
        <v/>
      </c>
      <c r="H273" s="12">
        <f>_xlfn.XLOOKUP(C273,'COM RESID'!J:J,'COM RESID'!V:V)</f>
        <v/>
      </c>
      <c r="I273" s="12">
        <f>ROUNDUP(_xlfn.XLOOKUP(C273,'COM RESID'!J:J,'COM RESID'!S:S),0)</f>
        <v/>
      </c>
      <c r="J273" s="8">
        <f>_xlfn.XLOOKUP(C273,'COM RESID'!J:J,'COM RESID'!T:T)</f>
        <v/>
      </c>
      <c r="K273" s="13">
        <f>_xlfn.XLOOKUP(C273,'COM RESID'!J:J,'COM RESID'!P:P)</f>
        <v/>
      </c>
      <c r="L273" s="12">
        <f>_xlfn.XLOOKUP(C273,'COM RESID'!J:J,'COM RESID'!V:V)</f>
        <v/>
      </c>
    </row>
    <row r="274">
      <c r="B274">
        <f>IF(K274=0,"*",Def_Tech!C418)</f>
        <v/>
      </c>
      <c r="C274">
        <f>Def_Tech!D418</f>
        <v/>
      </c>
      <c r="D274">
        <f>_xlfn.XLOOKUP(C274,'COM RESID'!J:J,'COM RESID'!H:H)</f>
        <v/>
      </c>
      <c r="E274">
        <f>_xlfn.XLOOKUP(C274,'COM RESID'!J:J,'COM RESID'!I:I)</f>
        <v/>
      </c>
      <c r="F274" s="12">
        <f>_xlfn.XLOOKUP(C274,'COM RESID'!J:J,'COM RESID'!R:R)</f>
        <v/>
      </c>
      <c r="G274">
        <f>_xlfn.XLOOKUP(C274,'COM RESID'!J:J,'COM RESID'!W:W)</f>
        <v/>
      </c>
      <c r="H274" s="12">
        <f>_xlfn.XLOOKUP(C274,'COM RESID'!J:J,'COM RESID'!V:V)</f>
        <v/>
      </c>
      <c r="I274" s="12">
        <f>ROUNDUP(_xlfn.XLOOKUP(C274,'COM RESID'!J:J,'COM RESID'!S:S),0)</f>
        <v/>
      </c>
      <c r="J274" s="8">
        <f>_xlfn.XLOOKUP(C274,'COM RESID'!J:J,'COM RESID'!T:T)</f>
        <v/>
      </c>
      <c r="K274" s="13">
        <f>_xlfn.XLOOKUP(C274,'COM RESID'!J:J,'COM RESID'!P:P)</f>
        <v/>
      </c>
      <c r="L274" s="12">
        <f>_xlfn.XLOOKUP(C274,'COM RESID'!J:J,'COM RESID'!V:V)</f>
        <v/>
      </c>
    </row>
    <row r="275">
      <c r="B275">
        <f>IF(K275=0,"*",Def_Tech!C419)</f>
        <v/>
      </c>
      <c r="C275">
        <f>Def_Tech!D419</f>
        <v/>
      </c>
      <c r="D275">
        <f>_xlfn.XLOOKUP(C275,'COM RESID'!J:J,'COM RESID'!H:H)</f>
        <v/>
      </c>
      <c r="E275">
        <f>_xlfn.XLOOKUP(C275,'COM RESID'!J:J,'COM RESID'!I:I)</f>
        <v/>
      </c>
      <c r="F275" s="12">
        <f>_xlfn.XLOOKUP(C275,'COM RESID'!J:J,'COM RESID'!R:R)</f>
        <v/>
      </c>
      <c r="G275">
        <f>_xlfn.XLOOKUP(C275,'COM RESID'!J:J,'COM RESID'!W:W)</f>
        <v/>
      </c>
      <c r="H275" s="12">
        <f>_xlfn.XLOOKUP(C275,'COM RESID'!J:J,'COM RESID'!V:V)</f>
        <v/>
      </c>
      <c r="I275" s="12">
        <f>ROUNDUP(_xlfn.XLOOKUP(C275,'COM RESID'!J:J,'COM RESID'!S:S),0)</f>
        <v/>
      </c>
      <c r="J275" s="8">
        <f>_xlfn.XLOOKUP(C275,'COM RESID'!J:J,'COM RESID'!T:T)</f>
        <v/>
      </c>
      <c r="K275" s="13">
        <f>_xlfn.XLOOKUP(C275,'COM RESID'!J:J,'COM RESID'!P:P)</f>
        <v/>
      </c>
      <c r="L275" s="12">
        <f>_xlfn.XLOOKUP(C275,'COM RESID'!J:J,'COM RESID'!V:V)</f>
        <v/>
      </c>
    </row>
    <row r="276">
      <c r="B276">
        <f>IF(K276=0,"*",Def_Tech!C420)</f>
        <v/>
      </c>
      <c r="C276">
        <f>Def_Tech!D420</f>
        <v/>
      </c>
      <c r="D276">
        <f>_xlfn.XLOOKUP(C276,'COM RESID'!J:J,'COM RESID'!H:H)</f>
        <v/>
      </c>
      <c r="E276">
        <f>_xlfn.XLOOKUP(C276,'COM RESID'!J:J,'COM RESID'!I:I)</f>
        <v/>
      </c>
      <c r="F276" s="12">
        <f>_xlfn.XLOOKUP(C276,'COM RESID'!J:J,'COM RESID'!R:R)</f>
        <v/>
      </c>
      <c r="G276">
        <f>_xlfn.XLOOKUP(C276,'COM RESID'!J:J,'COM RESID'!W:W)</f>
        <v/>
      </c>
      <c r="H276" s="12">
        <f>_xlfn.XLOOKUP(C276,'COM RESID'!J:J,'COM RESID'!V:V)</f>
        <v/>
      </c>
      <c r="I276" s="12">
        <f>ROUNDUP(_xlfn.XLOOKUP(C276,'COM RESID'!J:J,'COM RESID'!S:S),0)</f>
        <v/>
      </c>
      <c r="J276" s="8">
        <f>_xlfn.XLOOKUP(C276,'COM RESID'!J:J,'COM RESID'!T:T)</f>
        <v/>
      </c>
      <c r="K276" s="13">
        <f>_xlfn.XLOOKUP(C276,'COM RESID'!J:J,'COM RESID'!P:P)</f>
        <v/>
      </c>
      <c r="L276" s="12">
        <f>_xlfn.XLOOKUP(C276,'COM RESID'!J:J,'COM RESID'!V:V)</f>
        <v/>
      </c>
    </row>
    <row r="277">
      <c r="B277">
        <f>IF(K277=0,"*",Def_Tech!C421)</f>
        <v/>
      </c>
      <c r="C277">
        <f>Def_Tech!D421</f>
        <v/>
      </c>
      <c r="D277">
        <f>_xlfn.XLOOKUP(C277,'COM RESID'!J:J,'COM RESID'!H:H)</f>
        <v/>
      </c>
      <c r="E277">
        <f>_xlfn.XLOOKUP(C277,'COM RESID'!J:J,'COM RESID'!I:I)</f>
        <v/>
      </c>
      <c r="F277" s="12">
        <f>_xlfn.XLOOKUP(C277,'COM RESID'!J:J,'COM RESID'!R:R)</f>
        <v/>
      </c>
      <c r="G277">
        <f>_xlfn.XLOOKUP(C277,'COM RESID'!J:J,'COM RESID'!W:W)</f>
        <v/>
      </c>
      <c r="H277" s="12">
        <f>_xlfn.XLOOKUP(C277,'COM RESID'!J:J,'COM RESID'!V:V)</f>
        <v/>
      </c>
      <c r="I277" s="12">
        <f>ROUNDUP(_xlfn.XLOOKUP(C277,'COM RESID'!J:J,'COM RESID'!S:S),0)</f>
        <v/>
      </c>
      <c r="J277" s="8">
        <f>_xlfn.XLOOKUP(C277,'COM RESID'!J:J,'COM RESID'!T:T)</f>
        <v/>
      </c>
      <c r="K277" s="13">
        <f>_xlfn.XLOOKUP(C277,'COM RESID'!J:J,'COM RESID'!P:P)</f>
        <v/>
      </c>
      <c r="L277" s="12">
        <f>_xlfn.XLOOKUP(C277,'COM RESID'!J:J,'COM RESID'!V:V)</f>
        <v/>
      </c>
    </row>
    <row r="278">
      <c r="B278">
        <f>IF(K278=0,"*",Def_Tech!C422)</f>
        <v/>
      </c>
      <c r="C278">
        <f>Def_Tech!D422</f>
        <v/>
      </c>
      <c r="D278">
        <f>_xlfn.XLOOKUP(C278,'COM RESID'!J:J,'COM RESID'!H:H)</f>
        <v/>
      </c>
      <c r="E278">
        <f>_xlfn.XLOOKUP(C278,'COM RESID'!J:J,'COM RESID'!I:I)</f>
        <v/>
      </c>
      <c r="F278" s="12">
        <f>_xlfn.XLOOKUP(C278,'COM RESID'!J:J,'COM RESID'!R:R)</f>
        <v/>
      </c>
      <c r="G278">
        <f>_xlfn.XLOOKUP(C278,'COM RESID'!J:J,'COM RESID'!W:W)</f>
        <v/>
      </c>
      <c r="H278" s="12">
        <f>_xlfn.XLOOKUP(C278,'COM RESID'!J:J,'COM RESID'!V:V)</f>
        <v/>
      </c>
      <c r="I278" s="12">
        <f>ROUNDUP(_xlfn.XLOOKUP(C278,'COM RESID'!J:J,'COM RESID'!S:S),0)</f>
        <v/>
      </c>
      <c r="J278" s="8">
        <f>_xlfn.XLOOKUP(C278,'COM RESID'!J:J,'COM RESID'!T:T)</f>
        <v/>
      </c>
      <c r="K278" s="13">
        <f>_xlfn.XLOOKUP(C278,'COM RESID'!J:J,'COM RESID'!P:P)</f>
        <v/>
      </c>
      <c r="L278" s="12">
        <f>_xlfn.XLOOKUP(C278,'COM RESID'!J:J,'COM RESID'!V:V)</f>
        <v/>
      </c>
    </row>
    <row r="279">
      <c r="B279">
        <f>IF(K279=0,"*",Def_Tech!C423)</f>
        <v/>
      </c>
      <c r="C279">
        <f>Def_Tech!D423</f>
        <v/>
      </c>
      <c r="D279">
        <f>_xlfn.XLOOKUP(C279,'COM RESID'!J:J,'COM RESID'!H:H)</f>
        <v/>
      </c>
      <c r="E279">
        <f>_xlfn.XLOOKUP(C279,'COM RESID'!J:J,'COM RESID'!I:I)</f>
        <v/>
      </c>
      <c r="F279" s="12">
        <f>_xlfn.XLOOKUP(C279,'COM RESID'!J:J,'COM RESID'!R:R)</f>
        <v/>
      </c>
      <c r="G279">
        <f>_xlfn.XLOOKUP(C279,'COM RESID'!J:J,'COM RESID'!W:W)</f>
        <v/>
      </c>
      <c r="H279" s="12">
        <f>_xlfn.XLOOKUP(C279,'COM RESID'!J:J,'COM RESID'!V:V)</f>
        <v/>
      </c>
      <c r="I279" s="12">
        <f>ROUNDUP(_xlfn.XLOOKUP(C279,'COM RESID'!J:J,'COM RESID'!S:S),0)</f>
        <v/>
      </c>
      <c r="J279" s="8">
        <f>_xlfn.XLOOKUP(C279,'COM RESID'!J:J,'COM RESID'!T:T)</f>
        <v/>
      </c>
      <c r="K279" s="13">
        <f>_xlfn.XLOOKUP(C279,'COM RESID'!J:J,'COM RESID'!P:P)</f>
        <v/>
      </c>
      <c r="L279" s="12">
        <f>_xlfn.XLOOKUP(C279,'COM RESID'!J:J,'COM RESID'!V:V)</f>
        <v/>
      </c>
    </row>
    <row r="280">
      <c r="B280">
        <f>IF(K280=0,"*",Def_Tech!C424)</f>
        <v/>
      </c>
      <c r="C280">
        <f>Def_Tech!D424</f>
        <v/>
      </c>
      <c r="D280">
        <f>_xlfn.XLOOKUP(C280,'COM RESID'!J:J,'COM RESID'!H:H)</f>
        <v/>
      </c>
      <c r="E280">
        <f>_xlfn.XLOOKUP(C280,'COM RESID'!J:J,'COM RESID'!I:I)</f>
        <v/>
      </c>
      <c r="F280" s="12">
        <f>_xlfn.XLOOKUP(C280,'COM RESID'!J:J,'COM RESID'!R:R)</f>
        <v/>
      </c>
      <c r="G280">
        <f>_xlfn.XLOOKUP(C280,'COM RESID'!J:J,'COM RESID'!W:W)</f>
        <v/>
      </c>
      <c r="H280" s="12">
        <f>_xlfn.XLOOKUP(C280,'COM RESID'!J:J,'COM RESID'!V:V)</f>
        <v/>
      </c>
      <c r="I280" s="12">
        <f>ROUNDUP(_xlfn.XLOOKUP(C280,'COM RESID'!J:J,'COM RESID'!S:S),0)</f>
        <v/>
      </c>
      <c r="J280" s="8">
        <f>_xlfn.XLOOKUP(C280,'COM RESID'!J:J,'COM RESID'!T:T)</f>
        <v/>
      </c>
      <c r="K280" s="13">
        <f>_xlfn.XLOOKUP(C280,'COM RESID'!J:J,'COM RESID'!P:P)</f>
        <v/>
      </c>
      <c r="L280" s="12">
        <f>_xlfn.XLOOKUP(C280,'COM RESID'!J:J,'COM RESID'!V:V)</f>
        <v/>
      </c>
    </row>
    <row r="281">
      <c r="B281">
        <f>IF(K281=0,"*",Def_Tech!C425)</f>
        <v/>
      </c>
      <c r="C281">
        <f>Def_Tech!D425</f>
        <v/>
      </c>
      <c r="D281">
        <f>_xlfn.XLOOKUP(C281,'COM RESID'!J:J,'COM RESID'!H:H)</f>
        <v/>
      </c>
      <c r="E281">
        <f>_xlfn.XLOOKUP(C281,'COM RESID'!J:J,'COM RESID'!I:I)</f>
        <v/>
      </c>
      <c r="F281" s="12">
        <f>_xlfn.XLOOKUP(C281,'COM RESID'!J:J,'COM RESID'!R:R)</f>
        <v/>
      </c>
      <c r="G281">
        <f>_xlfn.XLOOKUP(C281,'COM RESID'!J:J,'COM RESID'!W:W)</f>
        <v/>
      </c>
      <c r="H281" s="12">
        <f>_xlfn.XLOOKUP(C281,'COM RESID'!J:J,'COM RESID'!V:V)</f>
        <v/>
      </c>
      <c r="I281" s="12">
        <f>ROUNDUP(_xlfn.XLOOKUP(C281,'COM RESID'!J:J,'COM RESID'!S:S),0)</f>
        <v/>
      </c>
      <c r="J281" s="8">
        <f>_xlfn.XLOOKUP(C281,'COM RESID'!J:J,'COM RESID'!T:T)</f>
        <v/>
      </c>
      <c r="K281" s="13">
        <f>_xlfn.XLOOKUP(C281,'COM RESID'!J:J,'COM RESID'!P:P)</f>
        <v/>
      </c>
      <c r="L281" s="12">
        <f>_xlfn.XLOOKUP(C281,'COM RESID'!J:J,'COM RESID'!V:V)</f>
        <v/>
      </c>
    </row>
    <row r="282">
      <c r="B282">
        <f>IF(K282=0,"*",Def_Tech!C426)</f>
        <v/>
      </c>
      <c r="C282">
        <f>Def_Tech!D426</f>
        <v/>
      </c>
      <c r="D282">
        <f>_xlfn.XLOOKUP(C282,'COM RESID'!J:J,'COM RESID'!H:H)</f>
        <v/>
      </c>
      <c r="E282">
        <f>_xlfn.XLOOKUP(C282,'COM RESID'!J:J,'COM RESID'!I:I)</f>
        <v/>
      </c>
      <c r="F282" s="12">
        <f>_xlfn.XLOOKUP(C282,'COM RESID'!J:J,'COM RESID'!R:R)</f>
        <v/>
      </c>
      <c r="G282">
        <f>_xlfn.XLOOKUP(C282,'COM RESID'!J:J,'COM RESID'!W:W)</f>
        <v/>
      </c>
      <c r="H282" s="12">
        <f>_xlfn.XLOOKUP(C282,'COM RESID'!J:J,'COM RESID'!V:V)</f>
        <v/>
      </c>
      <c r="I282" s="12">
        <f>ROUNDUP(_xlfn.XLOOKUP(C282,'COM RESID'!J:J,'COM RESID'!S:S),0)</f>
        <v/>
      </c>
      <c r="J282" s="8">
        <f>_xlfn.XLOOKUP(C282,'COM RESID'!J:J,'COM RESID'!T:T)</f>
        <v/>
      </c>
      <c r="K282" s="13">
        <f>_xlfn.XLOOKUP(C282,'COM RESID'!J:J,'COM RESID'!P:P)</f>
        <v/>
      </c>
      <c r="L282" s="12">
        <f>_xlfn.XLOOKUP(C282,'COM RESID'!J:J,'COM RESID'!V:V)</f>
        <v/>
      </c>
    </row>
    <row r="283">
      <c r="B283">
        <f>IF(K283=0,"*",Def_Tech!C427)</f>
        <v/>
      </c>
      <c r="C283">
        <f>Def_Tech!D427</f>
        <v/>
      </c>
      <c r="D283">
        <f>_xlfn.XLOOKUP(C283,'COM RESID'!J:J,'COM RESID'!H:H)</f>
        <v/>
      </c>
      <c r="E283">
        <f>_xlfn.XLOOKUP(C283,'COM RESID'!J:J,'COM RESID'!I:I)</f>
        <v/>
      </c>
      <c r="F283" s="12">
        <f>_xlfn.XLOOKUP(C283,'COM RESID'!J:J,'COM RESID'!R:R)</f>
        <v/>
      </c>
      <c r="G283">
        <f>_xlfn.XLOOKUP(C283,'COM RESID'!J:J,'COM RESID'!W:W)</f>
        <v/>
      </c>
      <c r="H283" s="12">
        <f>_xlfn.XLOOKUP(C283,'COM RESID'!J:J,'COM RESID'!V:V)</f>
        <v/>
      </c>
      <c r="I283" s="12">
        <f>ROUNDUP(_xlfn.XLOOKUP(C283,'COM RESID'!J:J,'COM RESID'!S:S),0)</f>
        <v/>
      </c>
      <c r="J283" s="8">
        <f>_xlfn.XLOOKUP(C283,'COM RESID'!J:J,'COM RESID'!T:T)</f>
        <v/>
      </c>
      <c r="K283" s="13">
        <f>_xlfn.XLOOKUP(C283,'COM RESID'!J:J,'COM RESID'!P:P)</f>
        <v/>
      </c>
      <c r="L283" s="12">
        <f>_xlfn.XLOOKUP(C283,'COM RESID'!J:J,'COM RESID'!V:V)</f>
        <v/>
      </c>
    </row>
    <row r="284">
      <c r="B284">
        <f>IF(K284=0,"*",Def_Tech!C428)</f>
        <v/>
      </c>
      <c r="C284">
        <f>Def_Tech!D428</f>
        <v/>
      </c>
      <c r="D284">
        <f>_xlfn.XLOOKUP(C284,'COM RESID'!J:J,'COM RESID'!H:H)</f>
        <v/>
      </c>
      <c r="E284">
        <f>_xlfn.XLOOKUP(C284,'COM RESID'!J:J,'COM RESID'!I:I)</f>
        <v/>
      </c>
      <c r="F284" s="12">
        <f>_xlfn.XLOOKUP(C284,'COM RESID'!J:J,'COM RESID'!R:R)</f>
        <v/>
      </c>
      <c r="G284">
        <f>_xlfn.XLOOKUP(C284,'COM RESID'!J:J,'COM RESID'!W:W)</f>
        <v/>
      </c>
      <c r="H284" s="12">
        <f>_xlfn.XLOOKUP(C284,'COM RESID'!J:J,'COM RESID'!V:V)</f>
        <v/>
      </c>
      <c r="I284" s="12">
        <f>ROUNDUP(_xlfn.XLOOKUP(C284,'COM RESID'!J:J,'COM RESID'!S:S),0)</f>
        <v/>
      </c>
      <c r="J284" s="8">
        <f>_xlfn.XLOOKUP(C284,'COM RESID'!J:J,'COM RESID'!T:T)</f>
        <v/>
      </c>
      <c r="K284" s="13">
        <f>_xlfn.XLOOKUP(C284,'COM RESID'!J:J,'COM RESID'!P:P)</f>
        <v/>
      </c>
      <c r="L284" s="12">
        <f>_xlfn.XLOOKUP(C284,'COM RESID'!J:J,'COM RESID'!V:V)</f>
        <v/>
      </c>
    </row>
    <row r="285">
      <c r="B285">
        <f>IF(K285=0,"*",Def_Tech!C429)</f>
        <v/>
      </c>
      <c r="C285">
        <f>Def_Tech!D429</f>
        <v/>
      </c>
      <c r="D285">
        <f>_xlfn.XLOOKUP(C285,'COM RESID'!J:J,'COM RESID'!H:H)</f>
        <v/>
      </c>
      <c r="E285">
        <f>_xlfn.XLOOKUP(C285,'COM RESID'!J:J,'COM RESID'!I:I)</f>
        <v/>
      </c>
      <c r="F285" s="12">
        <f>_xlfn.XLOOKUP(C285,'COM RESID'!J:J,'COM RESID'!R:R)</f>
        <v/>
      </c>
      <c r="G285">
        <f>_xlfn.XLOOKUP(C285,'COM RESID'!J:J,'COM RESID'!W:W)</f>
        <v/>
      </c>
      <c r="H285" s="12">
        <f>_xlfn.XLOOKUP(C285,'COM RESID'!J:J,'COM RESID'!V:V)</f>
        <v/>
      </c>
      <c r="I285" s="12">
        <f>ROUNDUP(_xlfn.XLOOKUP(C285,'COM RESID'!J:J,'COM RESID'!S:S),0)</f>
        <v/>
      </c>
      <c r="J285" s="8">
        <f>_xlfn.XLOOKUP(C285,'COM RESID'!J:J,'COM RESID'!T:T)</f>
        <v/>
      </c>
      <c r="K285" s="13">
        <f>_xlfn.XLOOKUP(C285,'COM RESID'!J:J,'COM RESID'!P:P)</f>
        <v/>
      </c>
      <c r="L285" s="12">
        <f>_xlfn.XLOOKUP(C285,'COM RESID'!J:J,'COM RESID'!V:V)</f>
        <v/>
      </c>
    </row>
    <row r="286">
      <c r="B286">
        <f>IF(K286=0,"*",Def_Tech!C430)</f>
        <v/>
      </c>
      <c r="C286">
        <f>Def_Tech!D430</f>
        <v/>
      </c>
      <c r="D286">
        <f>_xlfn.XLOOKUP(C286,'COM RESID'!J:J,'COM RESID'!H:H)</f>
        <v/>
      </c>
      <c r="E286">
        <f>_xlfn.XLOOKUP(C286,'COM RESID'!J:J,'COM RESID'!I:I)</f>
        <v/>
      </c>
      <c r="F286" s="12">
        <f>_xlfn.XLOOKUP(C286,'COM RESID'!J:J,'COM RESID'!R:R)</f>
        <v/>
      </c>
      <c r="G286">
        <f>_xlfn.XLOOKUP(C286,'COM RESID'!J:J,'COM RESID'!W:W)</f>
        <v/>
      </c>
      <c r="H286" s="12">
        <f>_xlfn.XLOOKUP(C286,'COM RESID'!J:J,'COM RESID'!V:V)</f>
        <v/>
      </c>
      <c r="I286" s="12">
        <f>ROUNDUP(_xlfn.XLOOKUP(C286,'COM RESID'!J:J,'COM RESID'!S:S),0)</f>
        <v/>
      </c>
      <c r="J286" s="8">
        <f>_xlfn.XLOOKUP(C286,'COM RESID'!J:J,'COM RESID'!T:T)</f>
        <v/>
      </c>
      <c r="K286" s="13">
        <f>_xlfn.XLOOKUP(C286,'COM RESID'!J:J,'COM RESID'!P:P)</f>
        <v/>
      </c>
      <c r="L286" s="12">
        <f>_xlfn.XLOOKUP(C286,'COM RESID'!J:J,'COM RESID'!V:V)</f>
        <v/>
      </c>
    </row>
    <row r="287">
      <c r="B287">
        <f>IF(K287=0,"*",Def_Tech!C431)</f>
        <v/>
      </c>
      <c r="C287">
        <f>Def_Tech!D431</f>
        <v/>
      </c>
      <c r="D287">
        <f>_xlfn.XLOOKUP(C287,'COM RESID'!J:J,'COM RESID'!H:H)</f>
        <v/>
      </c>
      <c r="E287">
        <f>_xlfn.XLOOKUP(C287,'COM RESID'!J:J,'COM RESID'!I:I)</f>
        <v/>
      </c>
      <c r="F287" s="12">
        <f>_xlfn.XLOOKUP(C287,'COM RESID'!J:J,'COM RESID'!R:R)</f>
        <v/>
      </c>
      <c r="G287">
        <f>_xlfn.XLOOKUP(C287,'COM RESID'!J:J,'COM RESID'!W:W)</f>
        <v/>
      </c>
      <c r="H287" s="12">
        <f>_xlfn.XLOOKUP(C287,'COM RESID'!J:J,'COM RESID'!V:V)</f>
        <v/>
      </c>
      <c r="I287" s="12">
        <f>ROUNDUP(_xlfn.XLOOKUP(C287,'COM RESID'!J:J,'COM RESID'!S:S),0)</f>
        <v/>
      </c>
      <c r="J287" s="8">
        <f>_xlfn.XLOOKUP(C287,'COM RESID'!J:J,'COM RESID'!T:T)</f>
        <v/>
      </c>
      <c r="K287" s="13">
        <f>_xlfn.XLOOKUP(C287,'COM RESID'!J:J,'COM RESID'!P:P)</f>
        <v/>
      </c>
      <c r="L287" s="12">
        <f>_xlfn.XLOOKUP(C287,'COM RESID'!J:J,'COM RESID'!V:V)</f>
        <v/>
      </c>
    </row>
    <row r="288">
      <c r="B288">
        <f>IF(K288=0,"*",Def_Tech!C432)</f>
        <v/>
      </c>
      <c r="C288">
        <f>Def_Tech!D432</f>
        <v/>
      </c>
      <c r="D288">
        <f>_xlfn.XLOOKUP(C288,'COM RESID'!J:J,'COM RESID'!H:H)</f>
        <v/>
      </c>
      <c r="E288">
        <f>_xlfn.XLOOKUP(C288,'COM RESID'!J:J,'COM RESID'!I:I)</f>
        <v/>
      </c>
      <c r="F288" s="12">
        <f>_xlfn.XLOOKUP(C288,'COM RESID'!J:J,'COM RESID'!R:R)</f>
        <v/>
      </c>
      <c r="G288">
        <f>_xlfn.XLOOKUP(C288,'COM RESID'!J:J,'COM RESID'!W:W)</f>
        <v/>
      </c>
      <c r="H288" s="12">
        <f>_xlfn.XLOOKUP(C288,'COM RESID'!J:J,'COM RESID'!V:V)</f>
        <v/>
      </c>
      <c r="I288" s="12">
        <f>ROUNDUP(_xlfn.XLOOKUP(C288,'COM RESID'!J:J,'COM RESID'!S:S),0)</f>
        <v/>
      </c>
      <c r="J288" s="8">
        <f>_xlfn.XLOOKUP(C288,'COM RESID'!J:J,'COM RESID'!T:T)</f>
        <v/>
      </c>
      <c r="K288" s="13">
        <f>_xlfn.XLOOKUP(C288,'COM RESID'!J:J,'COM RESID'!P:P)</f>
        <v/>
      </c>
      <c r="L288" s="12">
        <f>_xlfn.XLOOKUP(C288,'COM RESID'!J:J,'COM RESID'!V:V)</f>
        <v/>
      </c>
    </row>
    <row r="289">
      <c r="B289">
        <f>IF(K289=0,"*",Def_Tech!C433)</f>
        <v/>
      </c>
      <c r="C289">
        <f>Def_Tech!D433</f>
        <v/>
      </c>
      <c r="D289">
        <f>_xlfn.XLOOKUP(C289,'COM RESID'!J:J,'COM RESID'!H:H)</f>
        <v/>
      </c>
      <c r="E289">
        <f>_xlfn.XLOOKUP(C289,'COM RESID'!J:J,'COM RESID'!I:I)</f>
        <v/>
      </c>
      <c r="F289" s="12">
        <f>_xlfn.XLOOKUP(C289,'COM RESID'!J:J,'COM RESID'!R:R)</f>
        <v/>
      </c>
      <c r="G289">
        <f>_xlfn.XLOOKUP(C289,'COM RESID'!J:J,'COM RESID'!W:W)</f>
        <v/>
      </c>
      <c r="H289" s="12">
        <f>_xlfn.XLOOKUP(C289,'COM RESID'!J:J,'COM RESID'!V:V)</f>
        <v/>
      </c>
      <c r="I289" s="12">
        <f>ROUNDUP(_xlfn.XLOOKUP(C289,'COM RESID'!J:J,'COM RESID'!S:S),0)</f>
        <v/>
      </c>
      <c r="J289" s="8">
        <f>_xlfn.XLOOKUP(C289,'COM RESID'!J:J,'COM RESID'!T:T)</f>
        <v/>
      </c>
      <c r="K289" s="13">
        <f>_xlfn.XLOOKUP(C289,'COM RESID'!J:J,'COM RESID'!P:P)</f>
        <v/>
      </c>
      <c r="L289" s="12">
        <f>_xlfn.XLOOKUP(C289,'COM RESID'!J:J,'COM RESID'!V:V)</f>
        <v/>
      </c>
    </row>
    <row r="290">
      <c r="B290">
        <f>IF(K290=0,"*",Def_Tech!C434)</f>
        <v/>
      </c>
      <c r="C290">
        <f>Def_Tech!D434</f>
        <v/>
      </c>
      <c r="D290">
        <f>_xlfn.XLOOKUP(C290,'COM RESID'!J:J,'COM RESID'!H:H)</f>
        <v/>
      </c>
      <c r="E290">
        <f>_xlfn.XLOOKUP(C290,'COM RESID'!J:J,'COM RESID'!I:I)</f>
        <v/>
      </c>
      <c r="F290" s="12">
        <f>_xlfn.XLOOKUP(C290,'COM RESID'!J:J,'COM RESID'!R:R)</f>
        <v/>
      </c>
      <c r="G290">
        <f>_xlfn.XLOOKUP(C290,'COM RESID'!J:J,'COM RESID'!W:W)</f>
        <v/>
      </c>
      <c r="H290" s="12">
        <f>_xlfn.XLOOKUP(C290,'COM RESID'!J:J,'COM RESID'!V:V)</f>
        <v/>
      </c>
      <c r="I290" s="12">
        <f>ROUNDUP(_xlfn.XLOOKUP(C290,'COM RESID'!J:J,'COM RESID'!S:S),0)</f>
        <v/>
      </c>
      <c r="J290" s="8">
        <f>_xlfn.XLOOKUP(C290,'COM RESID'!J:J,'COM RESID'!T:T)</f>
        <v/>
      </c>
      <c r="K290" s="13">
        <f>_xlfn.XLOOKUP(C290,'COM RESID'!J:J,'COM RESID'!P:P)</f>
        <v/>
      </c>
      <c r="L290" s="12">
        <f>_xlfn.XLOOKUP(C290,'COM RESID'!J:J,'COM RESID'!V:V)</f>
        <v/>
      </c>
    </row>
    <row r="291">
      <c r="B291">
        <f>IF(K291=0,"*",Def_Tech!C435)</f>
        <v/>
      </c>
      <c r="C291">
        <f>Def_Tech!D435</f>
        <v/>
      </c>
      <c r="D291">
        <f>_xlfn.XLOOKUP(C291,'COM RESID'!J:J,'COM RESID'!H:H)</f>
        <v/>
      </c>
      <c r="E291">
        <f>_xlfn.XLOOKUP(C291,'COM RESID'!J:J,'COM RESID'!I:I)</f>
        <v/>
      </c>
      <c r="F291" s="12">
        <f>_xlfn.XLOOKUP(C291,'COM RESID'!J:J,'COM RESID'!R:R)</f>
        <v/>
      </c>
      <c r="G291">
        <f>_xlfn.XLOOKUP(C291,'COM RESID'!J:J,'COM RESID'!W:W)</f>
        <v/>
      </c>
      <c r="H291" s="12">
        <f>_xlfn.XLOOKUP(C291,'COM RESID'!J:J,'COM RESID'!V:V)</f>
        <v/>
      </c>
      <c r="I291" s="12">
        <f>ROUNDUP(_xlfn.XLOOKUP(C291,'COM RESID'!J:J,'COM RESID'!S:S),0)</f>
        <v/>
      </c>
      <c r="J291" s="8">
        <f>_xlfn.XLOOKUP(C291,'COM RESID'!J:J,'COM RESID'!T:T)</f>
        <v/>
      </c>
      <c r="K291" s="13">
        <f>_xlfn.XLOOKUP(C291,'COM RESID'!J:J,'COM RESID'!P:P)</f>
        <v/>
      </c>
      <c r="L291" s="12">
        <f>_xlfn.XLOOKUP(C291,'COM RESID'!J:J,'COM RESID'!V:V)</f>
        <v/>
      </c>
    </row>
    <row r="292">
      <c r="B292">
        <f>IF(K292=0,"*",Def_Tech!C436)</f>
        <v/>
      </c>
      <c r="C292">
        <f>Def_Tech!D436</f>
        <v/>
      </c>
      <c r="D292">
        <f>_xlfn.XLOOKUP(C292,'COM RESID'!J:J,'COM RESID'!H:H)</f>
        <v/>
      </c>
      <c r="E292">
        <f>_xlfn.XLOOKUP(C292,'COM RESID'!J:J,'COM RESID'!I:I)</f>
        <v/>
      </c>
      <c r="F292" s="12">
        <f>_xlfn.XLOOKUP(C292,'COM RESID'!J:J,'COM RESID'!R:R)</f>
        <v/>
      </c>
      <c r="G292">
        <f>_xlfn.XLOOKUP(C292,'COM RESID'!J:J,'COM RESID'!W:W)</f>
        <v/>
      </c>
      <c r="H292" s="12">
        <f>_xlfn.XLOOKUP(C292,'COM RESID'!J:J,'COM RESID'!V:V)</f>
        <v/>
      </c>
      <c r="I292" s="12">
        <f>ROUNDUP(_xlfn.XLOOKUP(C292,'COM RESID'!J:J,'COM RESID'!S:S),0)</f>
        <v/>
      </c>
      <c r="J292" s="8">
        <f>_xlfn.XLOOKUP(C292,'COM RESID'!J:J,'COM RESID'!T:T)</f>
        <v/>
      </c>
      <c r="K292" s="13">
        <f>_xlfn.XLOOKUP(C292,'COM RESID'!J:J,'COM RESID'!P:P)</f>
        <v/>
      </c>
      <c r="L292" s="12">
        <f>_xlfn.XLOOKUP(C292,'COM RESID'!J:J,'COM RESID'!V:V)</f>
        <v/>
      </c>
    </row>
    <row r="293">
      <c r="B293">
        <f>IF(K293=0,"*",Def_Tech!C437)</f>
        <v/>
      </c>
      <c r="C293">
        <f>Def_Tech!D437</f>
        <v/>
      </c>
      <c r="D293">
        <f>_xlfn.XLOOKUP(C293,'COM RESID'!J:J,'COM RESID'!H:H)</f>
        <v/>
      </c>
      <c r="E293">
        <f>_xlfn.XLOOKUP(C293,'COM RESID'!J:J,'COM RESID'!I:I)</f>
        <v/>
      </c>
      <c r="F293" s="12">
        <f>_xlfn.XLOOKUP(C293,'COM RESID'!J:J,'COM RESID'!R:R)</f>
        <v/>
      </c>
      <c r="G293">
        <f>_xlfn.XLOOKUP(C293,'COM RESID'!J:J,'COM RESID'!W:W)</f>
        <v/>
      </c>
      <c r="H293" s="12">
        <f>_xlfn.XLOOKUP(C293,'COM RESID'!J:J,'COM RESID'!V:V)</f>
        <v/>
      </c>
      <c r="I293" s="12">
        <f>ROUNDUP(_xlfn.XLOOKUP(C293,'COM RESID'!J:J,'COM RESID'!S:S),0)</f>
        <v/>
      </c>
      <c r="J293" s="8">
        <f>_xlfn.XLOOKUP(C293,'COM RESID'!J:J,'COM RESID'!T:T)</f>
        <v/>
      </c>
      <c r="K293" s="13">
        <f>_xlfn.XLOOKUP(C293,'COM RESID'!J:J,'COM RESID'!P:P)</f>
        <v/>
      </c>
      <c r="L293" s="12">
        <f>_xlfn.XLOOKUP(C293,'COM RESID'!J:J,'COM RESID'!V:V)</f>
        <v/>
      </c>
    </row>
    <row r="294">
      <c r="B294">
        <f>IF(K294=0,"*",Def_Tech!C438)</f>
        <v/>
      </c>
      <c r="C294">
        <f>Def_Tech!D438</f>
        <v/>
      </c>
      <c r="D294">
        <f>_xlfn.XLOOKUP(C294,'COM RESID'!J:J,'COM RESID'!H:H)</f>
        <v/>
      </c>
      <c r="E294">
        <f>_xlfn.XLOOKUP(C294,'COM RESID'!J:J,'COM RESID'!I:I)</f>
        <v/>
      </c>
      <c r="F294" s="12">
        <f>_xlfn.XLOOKUP(C294,'COM RESID'!J:J,'COM RESID'!R:R)</f>
        <v/>
      </c>
      <c r="G294">
        <f>_xlfn.XLOOKUP(C294,'COM RESID'!J:J,'COM RESID'!W:W)</f>
        <v/>
      </c>
      <c r="H294" s="12">
        <f>_xlfn.XLOOKUP(C294,'COM RESID'!J:J,'COM RESID'!V:V)</f>
        <v/>
      </c>
      <c r="I294" s="12">
        <f>ROUNDUP(_xlfn.XLOOKUP(C294,'COM RESID'!J:J,'COM RESID'!S:S),0)</f>
        <v/>
      </c>
      <c r="J294" s="8">
        <f>_xlfn.XLOOKUP(C294,'COM RESID'!J:J,'COM RESID'!T:T)</f>
        <v/>
      </c>
      <c r="K294" s="13">
        <f>_xlfn.XLOOKUP(C294,'COM RESID'!J:J,'COM RESID'!P:P)</f>
        <v/>
      </c>
      <c r="L294" s="12">
        <f>_xlfn.XLOOKUP(C294,'COM RESID'!J:J,'COM RESID'!V:V)</f>
        <v/>
      </c>
    </row>
    <row r="295">
      <c r="B295">
        <f>IF(K295=0,"*",Def_Tech!C439)</f>
        <v/>
      </c>
      <c r="C295">
        <f>Def_Tech!D439</f>
        <v/>
      </c>
      <c r="D295">
        <f>_xlfn.XLOOKUP(C295,'COM RESID'!J:J,'COM RESID'!H:H)</f>
        <v/>
      </c>
      <c r="E295">
        <f>_xlfn.XLOOKUP(C295,'COM RESID'!J:J,'COM RESID'!I:I)</f>
        <v/>
      </c>
      <c r="F295" s="12">
        <f>_xlfn.XLOOKUP(C295,'COM RESID'!J:J,'COM RESID'!R:R)</f>
        <v/>
      </c>
      <c r="G295">
        <f>_xlfn.XLOOKUP(C295,'COM RESID'!J:J,'COM RESID'!W:W)</f>
        <v/>
      </c>
      <c r="H295" s="12">
        <f>_xlfn.XLOOKUP(C295,'COM RESID'!J:J,'COM RESID'!V:V)</f>
        <v/>
      </c>
      <c r="I295" s="12">
        <f>ROUNDUP(_xlfn.XLOOKUP(C295,'COM RESID'!J:J,'COM RESID'!S:S),0)</f>
        <v/>
      </c>
      <c r="J295" s="8">
        <f>_xlfn.XLOOKUP(C295,'COM RESID'!J:J,'COM RESID'!T:T)</f>
        <v/>
      </c>
      <c r="K295" s="13">
        <f>_xlfn.XLOOKUP(C295,'COM RESID'!J:J,'COM RESID'!P:P)</f>
        <v/>
      </c>
      <c r="L295" s="12">
        <f>_xlfn.XLOOKUP(C295,'COM RESID'!J:J,'COM RESID'!V:V)</f>
        <v/>
      </c>
    </row>
    <row r="296">
      <c r="B296">
        <f>IF(K296=0,"*",Def_Tech!C440)</f>
        <v/>
      </c>
      <c r="C296">
        <f>Def_Tech!D440</f>
        <v/>
      </c>
      <c r="D296">
        <f>_xlfn.XLOOKUP(C296,'COM RESID'!J:J,'COM RESID'!H:H)</f>
        <v/>
      </c>
      <c r="E296">
        <f>_xlfn.XLOOKUP(C296,'COM RESID'!J:J,'COM RESID'!I:I)</f>
        <v/>
      </c>
      <c r="F296" s="12">
        <f>_xlfn.XLOOKUP(C296,'COM RESID'!J:J,'COM RESID'!R:R)</f>
        <v/>
      </c>
      <c r="G296">
        <f>_xlfn.XLOOKUP(C296,'COM RESID'!J:J,'COM RESID'!W:W)</f>
        <v/>
      </c>
      <c r="H296" s="12">
        <f>_xlfn.XLOOKUP(C296,'COM RESID'!J:J,'COM RESID'!V:V)</f>
        <v/>
      </c>
      <c r="I296" s="12">
        <f>ROUNDUP(_xlfn.XLOOKUP(C296,'COM RESID'!J:J,'COM RESID'!S:S),0)</f>
        <v/>
      </c>
      <c r="J296" s="8">
        <f>_xlfn.XLOOKUP(C296,'COM RESID'!J:J,'COM RESID'!T:T)</f>
        <v/>
      </c>
      <c r="K296" s="13">
        <f>_xlfn.XLOOKUP(C296,'COM RESID'!J:J,'COM RESID'!P:P)</f>
        <v/>
      </c>
      <c r="L296" s="12">
        <f>_xlfn.XLOOKUP(C296,'COM RESID'!J:J,'COM RESID'!V:V)</f>
        <v/>
      </c>
    </row>
    <row r="297">
      <c r="B297">
        <f>IF(K297=0,"*",Def_Tech!C441)</f>
        <v/>
      </c>
      <c r="C297">
        <f>Def_Tech!D441</f>
        <v/>
      </c>
      <c r="D297">
        <f>_xlfn.XLOOKUP(C297,'COM RESID'!J:J,'COM RESID'!H:H)</f>
        <v/>
      </c>
      <c r="E297">
        <f>_xlfn.XLOOKUP(C297,'COM RESID'!J:J,'COM RESID'!I:I)</f>
        <v/>
      </c>
      <c r="F297" s="12">
        <f>_xlfn.XLOOKUP(C297,'COM RESID'!J:J,'COM RESID'!R:R)</f>
        <v/>
      </c>
      <c r="G297">
        <f>_xlfn.XLOOKUP(C297,'COM RESID'!J:J,'COM RESID'!W:W)</f>
        <v/>
      </c>
      <c r="H297" s="12">
        <f>_xlfn.XLOOKUP(C297,'COM RESID'!J:J,'COM RESID'!V:V)</f>
        <v/>
      </c>
      <c r="I297" s="12">
        <f>ROUNDUP(_xlfn.XLOOKUP(C297,'COM RESID'!J:J,'COM RESID'!S:S),0)</f>
        <v/>
      </c>
      <c r="J297" s="8">
        <f>_xlfn.XLOOKUP(C297,'COM RESID'!J:J,'COM RESID'!T:T)</f>
        <v/>
      </c>
      <c r="K297" s="13">
        <f>_xlfn.XLOOKUP(C297,'COM RESID'!J:J,'COM RESID'!P:P)</f>
        <v/>
      </c>
      <c r="L297" s="12">
        <f>_xlfn.XLOOKUP(C297,'COM RESID'!J:J,'COM RESID'!V:V)</f>
        <v/>
      </c>
    </row>
    <row r="298">
      <c r="B298">
        <f>IF(K298=0,"*",Def_Tech!C442)</f>
        <v/>
      </c>
      <c r="C298">
        <f>Def_Tech!D442</f>
        <v/>
      </c>
      <c r="D298">
        <f>_xlfn.XLOOKUP(C298,'COM RESID'!J:J,'COM RESID'!H:H)</f>
        <v/>
      </c>
      <c r="E298">
        <f>_xlfn.XLOOKUP(C298,'COM RESID'!J:J,'COM RESID'!I:I)</f>
        <v/>
      </c>
      <c r="F298" s="12">
        <f>_xlfn.XLOOKUP(C298,'COM RESID'!J:J,'COM RESID'!R:R)</f>
        <v/>
      </c>
      <c r="G298">
        <f>_xlfn.XLOOKUP(C298,'COM RESID'!J:J,'COM RESID'!W:W)</f>
        <v/>
      </c>
      <c r="H298" s="12">
        <f>_xlfn.XLOOKUP(C298,'COM RESID'!J:J,'COM RESID'!V:V)</f>
        <v/>
      </c>
      <c r="I298" s="12">
        <f>ROUNDUP(_xlfn.XLOOKUP(C298,'COM RESID'!J:J,'COM RESID'!S:S),0)</f>
        <v/>
      </c>
      <c r="J298" s="8">
        <f>_xlfn.XLOOKUP(C298,'COM RESID'!J:J,'COM RESID'!T:T)</f>
        <v/>
      </c>
      <c r="K298" s="13">
        <f>_xlfn.XLOOKUP(C298,'COM RESID'!J:J,'COM RESID'!P:P)</f>
        <v/>
      </c>
      <c r="L298" s="12">
        <f>_xlfn.XLOOKUP(C298,'COM RESID'!J:J,'COM RESID'!V:V)</f>
        <v/>
      </c>
    </row>
    <row r="299">
      <c r="B299">
        <f>IF(K299=0,"*",Def_Tech!C443)</f>
        <v/>
      </c>
      <c r="C299">
        <f>Def_Tech!D443</f>
        <v/>
      </c>
      <c r="D299">
        <f>_xlfn.XLOOKUP(C299,'COM RESID'!J:J,'COM RESID'!H:H)</f>
        <v/>
      </c>
      <c r="E299">
        <f>_xlfn.XLOOKUP(C299,'COM RESID'!J:J,'COM RESID'!I:I)</f>
        <v/>
      </c>
      <c r="F299" s="12">
        <f>_xlfn.XLOOKUP(C299,'COM RESID'!J:J,'COM RESID'!R:R)</f>
        <v/>
      </c>
      <c r="G299">
        <f>_xlfn.XLOOKUP(C299,'COM RESID'!J:J,'COM RESID'!W:W)</f>
        <v/>
      </c>
      <c r="H299" s="12">
        <f>_xlfn.XLOOKUP(C299,'COM RESID'!J:J,'COM RESID'!V:V)</f>
        <v/>
      </c>
      <c r="I299" s="12">
        <f>ROUNDUP(_xlfn.XLOOKUP(C299,'COM RESID'!J:J,'COM RESID'!S:S),0)</f>
        <v/>
      </c>
      <c r="J299" s="8">
        <f>_xlfn.XLOOKUP(C299,'COM RESID'!J:J,'COM RESID'!T:T)</f>
        <v/>
      </c>
      <c r="K299" s="13">
        <f>_xlfn.XLOOKUP(C299,'COM RESID'!J:J,'COM RESID'!P:P)</f>
        <v/>
      </c>
      <c r="L299" s="12">
        <f>_xlfn.XLOOKUP(C299,'COM RESID'!J:J,'COM RESID'!V:V)</f>
        <v/>
      </c>
    </row>
    <row r="300">
      <c r="B300">
        <f>IF(K300=0,"*",Def_Tech!C444)</f>
        <v/>
      </c>
      <c r="C300">
        <f>Def_Tech!D444</f>
        <v/>
      </c>
      <c r="D300">
        <f>_xlfn.XLOOKUP(C300,'COM RESID'!J:J,'COM RESID'!H:H)</f>
        <v/>
      </c>
      <c r="E300">
        <f>_xlfn.XLOOKUP(C300,'COM RESID'!J:J,'COM RESID'!I:I)</f>
        <v/>
      </c>
      <c r="F300" s="12">
        <f>_xlfn.XLOOKUP(C300,'COM RESID'!J:J,'COM RESID'!R:R)</f>
        <v/>
      </c>
      <c r="G300">
        <f>_xlfn.XLOOKUP(C300,'COM RESID'!J:J,'COM RESID'!W:W)</f>
        <v/>
      </c>
      <c r="H300" s="12">
        <f>_xlfn.XLOOKUP(C300,'COM RESID'!J:J,'COM RESID'!V:V)</f>
        <v/>
      </c>
      <c r="I300" s="12">
        <f>ROUNDUP(_xlfn.XLOOKUP(C300,'COM RESID'!J:J,'COM RESID'!S:S),0)</f>
        <v/>
      </c>
      <c r="J300" s="8">
        <f>_xlfn.XLOOKUP(C300,'COM RESID'!J:J,'COM RESID'!T:T)</f>
        <v/>
      </c>
      <c r="K300" s="13">
        <f>_xlfn.XLOOKUP(C300,'COM RESID'!J:J,'COM RESID'!P:P)</f>
        <v/>
      </c>
      <c r="L300" s="12">
        <f>_xlfn.XLOOKUP(C300,'COM RESID'!J:J,'COM RESID'!V:V)</f>
        <v/>
      </c>
    </row>
    <row r="301">
      <c r="B301">
        <f>IF(K301=0,"*",Def_Tech!C445)</f>
        <v/>
      </c>
      <c r="C301">
        <f>Def_Tech!D445</f>
        <v/>
      </c>
      <c r="D301">
        <f>_xlfn.XLOOKUP(C301,'COM RESID'!J:J,'COM RESID'!H:H)</f>
        <v/>
      </c>
      <c r="E301">
        <f>_xlfn.XLOOKUP(C301,'COM RESID'!J:J,'COM RESID'!I:I)</f>
        <v/>
      </c>
      <c r="F301" s="12">
        <f>_xlfn.XLOOKUP(C301,'COM RESID'!J:J,'COM RESID'!R:R)</f>
        <v/>
      </c>
      <c r="G301">
        <f>_xlfn.XLOOKUP(C301,'COM RESID'!J:J,'COM RESID'!W:W)</f>
        <v/>
      </c>
      <c r="H301" s="12">
        <f>_xlfn.XLOOKUP(C301,'COM RESID'!J:J,'COM RESID'!V:V)</f>
        <v/>
      </c>
      <c r="I301" s="12">
        <f>ROUNDUP(_xlfn.XLOOKUP(C301,'COM RESID'!J:J,'COM RESID'!S:S),0)</f>
        <v/>
      </c>
      <c r="J301" s="8">
        <f>_xlfn.XLOOKUP(C301,'COM RESID'!J:J,'COM RESID'!T:T)</f>
        <v/>
      </c>
      <c r="K301" s="13">
        <f>_xlfn.XLOOKUP(C301,'COM RESID'!J:J,'COM RESID'!P:P)</f>
        <v/>
      </c>
      <c r="L301" s="12">
        <f>_xlfn.XLOOKUP(C301,'COM RESID'!J:J,'COM RESID'!V:V)</f>
        <v/>
      </c>
    </row>
    <row r="302">
      <c r="B302">
        <f>IF(K302=0,"*",Def_Tech!C446)</f>
        <v/>
      </c>
      <c r="C302">
        <f>Def_Tech!D446</f>
        <v/>
      </c>
      <c r="D302">
        <f>_xlfn.XLOOKUP(C302,'COM RESID'!J:J,'COM RESID'!H:H)</f>
        <v/>
      </c>
      <c r="E302">
        <f>_xlfn.XLOOKUP(C302,'COM RESID'!J:J,'COM RESID'!I:I)</f>
        <v/>
      </c>
      <c r="F302" s="12">
        <f>_xlfn.XLOOKUP(C302,'COM RESID'!J:J,'COM RESID'!R:R)</f>
        <v/>
      </c>
      <c r="G302">
        <f>_xlfn.XLOOKUP(C302,'COM RESID'!J:J,'COM RESID'!W:W)</f>
        <v/>
      </c>
      <c r="H302" s="12">
        <f>_xlfn.XLOOKUP(C302,'COM RESID'!J:J,'COM RESID'!V:V)</f>
        <v/>
      </c>
      <c r="I302" s="12">
        <f>ROUNDUP(_xlfn.XLOOKUP(C302,'COM RESID'!J:J,'COM RESID'!S:S),0)</f>
        <v/>
      </c>
      <c r="J302" s="8">
        <f>_xlfn.XLOOKUP(C302,'COM RESID'!J:J,'COM RESID'!T:T)</f>
        <v/>
      </c>
      <c r="K302" s="13">
        <f>_xlfn.XLOOKUP(C302,'COM RESID'!J:J,'COM RESID'!P:P)</f>
        <v/>
      </c>
      <c r="L302" s="12">
        <f>_xlfn.XLOOKUP(C302,'COM RESID'!J:J,'COM RESID'!V:V)</f>
        <v/>
      </c>
    </row>
    <row r="303">
      <c r="B303">
        <f>IF(K303=0,"*",Def_Tech!C447)</f>
        <v/>
      </c>
      <c r="C303">
        <f>Def_Tech!D447</f>
        <v/>
      </c>
      <c r="D303">
        <f>_xlfn.XLOOKUP(C303,'COM RESID'!J:J,'COM RESID'!H:H)</f>
        <v/>
      </c>
      <c r="E303">
        <f>_xlfn.XLOOKUP(C303,'COM RESID'!J:J,'COM RESID'!I:I)</f>
        <v/>
      </c>
      <c r="F303" s="12">
        <f>_xlfn.XLOOKUP(C303,'COM RESID'!J:J,'COM RESID'!R:R)</f>
        <v/>
      </c>
      <c r="G303">
        <f>_xlfn.XLOOKUP(C303,'COM RESID'!J:J,'COM RESID'!W:W)</f>
        <v/>
      </c>
      <c r="H303" s="12">
        <f>_xlfn.XLOOKUP(C303,'COM RESID'!J:J,'COM RESID'!V:V)</f>
        <v/>
      </c>
      <c r="I303" s="12">
        <f>ROUNDUP(_xlfn.XLOOKUP(C303,'COM RESID'!J:J,'COM RESID'!S:S),0)</f>
        <v/>
      </c>
      <c r="J303" s="8">
        <f>_xlfn.XLOOKUP(C303,'COM RESID'!J:J,'COM RESID'!T:T)</f>
        <v/>
      </c>
      <c r="K303" s="13">
        <f>_xlfn.XLOOKUP(C303,'COM RESID'!J:J,'COM RESID'!P:P)</f>
        <v/>
      </c>
      <c r="L303" s="12">
        <f>_xlfn.XLOOKUP(C303,'COM RESID'!J:J,'COM RESID'!V:V)</f>
        <v/>
      </c>
    </row>
    <row r="304">
      <c r="B304">
        <f>IF(K304=0,"*",Def_Tech!C448)</f>
        <v/>
      </c>
      <c r="C304">
        <f>Def_Tech!D448</f>
        <v/>
      </c>
      <c r="D304">
        <f>_xlfn.XLOOKUP(C304,'COM RESID'!J:J,'COM RESID'!H:H)</f>
        <v/>
      </c>
      <c r="E304">
        <f>_xlfn.XLOOKUP(C304,'COM RESID'!J:J,'COM RESID'!I:I)</f>
        <v/>
      </c>
      <c r="F304" s="12">
        <f>_xlfn.XLOOKUP(C304,'COM RESID'!J:J,'COM RESID'!R:R)</f>
        <v/>
      </c>
      <c r="G304">
        <f>_xlfn.XLOOKUP(C304,'COM RESID'!J:J,'COM RESID'!W:W)</f>
        <v/>
      </c>
      <c r="H304" s="12">
        <f>_xlfn.XLOOKUP(C304,'COM RESID'!J:J,'COM RESID'!V:V)</f>
        <v/>
      </c>
      <c r="I304" s="12">
        <f>ROUNDUP(_xlfn.XLOOKUP(C304,'COM RESID'!J:J,'COM RESID'!S:S),0)</f>
        <v/>
      </c>
      <c r="J304" s="8">
        <f>_xlfn.XLOOKUP(C304,'COM RESID'!J:J,'COM RESID'!T:T)</f>
        <v/>
      </c>
      <c r="K304" s="13">
        <f>_xlfn.XLOOKUP(C304,'COM RESID'!J:J,'COM RESID'!P:P)</f>
        <v/>
      </c>
      <c r="L304" s="12">
        <f>_xlfn.XLOOKUP(C304,'COM RESID'!J:J,'COM RESID'!V:V)</f>
        <v/>
      </c>
    </row>
    <row r="305">
      <c r="B305">
        <f>IF(K305=0,"*",Def_Tech!C449)</f>
        <v/>
      </c>
      <c r="C305">
        <f>Def_Tech!D449</f>
        <v/>
      </c>
      <c r="D305">
        <f>_xlfn.XLOOKUP(C305,'COM RESID'!J:J,'COM RESID'!H:H)</f>
        <v/>
      </c>
      <c r="E305">
        <f>_xlfn.XLOOKUP(C305,'COM RESID'!J:J,'COM RESID'!I:I)</f>
        <v/>
      </c>
      <c r="F305" s="12">
        <f>_xlfn.XLOOKUP(C305,'COM RESID'!J:J,'COM RESID'!R:R)</f>
        <v/>
      </c>
      <c r="G305">
        <f>_xlfn.XLOOKUP(C305,'COM RESID'!J:J,'COM RESID'!W:W)</f>
        <v/>
      </c>
      <c r="H305" s="12">
        <f>_xlfn.XLOOKUP(C305,'COM RESID'!J:J,'COM RESID'!V:V)</f>
        <v/>
      </c>
      <c r="I305" s="12">
        <f>ROUNDUP(_xlfn.XLOOKUP(C305,'COM RESID'!J:J,'COM RESID'!S:S),0)</f>
        <v/>
      </c>
      <c r="J305" s="8">
        <f>_xlfn.XLOOKUP(C305,'COM RESID'!J:J,'COM RESID'!T:T)</f>
        <v/>
      </c>
      <c r="K305" s="13">
        <f>_xlfn.XLOOKUP(C305,'COM RESID'!J:J,'COM RESID'!P:P)</f>
        <v/>
      </c>
      <c r="L305" s="12">
        <f>_xlfn.XLOOKUP(C305,'COM RESID'!J:J,'COM RESID'!V:V)</f>
        <v/>
      </c>
    </row>
    <row r="306">
      <c r="B306">
        <f>IF(K306=0,"*",Def_Tech!C450)</f>
        <v/>
      </c>
      <c r="C306">
        <f>Def_Tech!D450</f>
        <v/>
      </c>
      <c r="D306">
        <f>_xlfn.XLOOKUP(C306,'COM RESID'!J:J,'COM RESID'!H:H)</f>
        <v/>
      </c>
      <c r="E306">
        <f>_xlfn.XLOOKUP(C306,'COM RESID'!J:J,'COM RESID'!I:I)</f>
        <v/>
      </c>
      <c r="F306" s="12">
        <f>_xlfn.XLOOKUP(C306,'COM RESID'!J:J,'COM RESID'!R:R)</f>
        <v/>
      </c>
      <c r="G306">
        <f>_xlfn.XLOOKUP(C306,'COM RESID'!J:J,'COM RESID'!W:W)</f>
        <v/>
      </c>
      <c r="H306" s="12">
        <f>_xlfn.XLOOKUP(C306,'COM RESID'!J:J,'COM RESID'!V:V)</f>
        <v/>
      </c>
      <c r="I306" s="12">
        <f>ROUNDUP(_xlfn.XLOOKUP(C306,'COM RESID'!J:J,'COM RESID'!S:S),0)</f>
        <v/>
      </c>
      <c r="J306" s="8">
        <f>_xlfn.XLOOKUP(C306,'COM RESID'!J:J,'COM RESID'!T:T)</f>
        <v/>
      </c>
      <c r="K306" s="13">
        <f>_xlfn.XLOOKUP(C306,'COM RESID'!J:J,'COM RESID'!P:P)</f>
        <v/>
      </c>
      <c r="L306" s="12">
        <f>_xlfn.XLOOKUP(C306,'COM RESID'!J:J,'COM RESID'!V:V)</f>
        <v/>
      </c>
    </row>
    <row r="307">
      <c r="B307">
        <f>IF(K307=0,"*",Def_Tech!C451)</f>
        <v/>
      </c>
      <c r="C307">
        <f>Def_Tech!D451</f>
        <v/>
      </c>
      <c r="D307">
        <f>_xlfn.XLOOKUP(C307,'COM RESID'!J:J,'COM RESID'!H:H)</f>
        <v/>
      </c>
      <c r="E307">
        <f>_xlfn.XLOOKUP(C307,'COM RESID'!J:J,'COM RESID'!I:I)</f>
        <v/>
      </c>
      <c r="F307" s="12">
        <f>_xlfn.XLOOKUP(C307,'COM RESID'!J:J,'COM RESID'!R:R)</f>
        <v/>
      </c>
      <c r="G307">
        <f>_xlfn.XLOOKUP(C307,'COM RESID'!J:J,'COM RESID'!W:W)</f>
        <v/>
      </c>
      <c r="H307" s="12">
        <f>_xlfn.XLOOKUP(C307,'COM RESID'!J:J,'COM RESID'!V:V)</f>
        <v/>
      </c>
      <c r="I307" s="12">
        <f>ROUNDUP(_xlfn.XLOOKUP(C307,'COM RESID'!J:J,'COM RESID'!S:S),0)</f>
        <v/>
      </c>
      <c r="J307" s="8">
        <f>_xlfn.XLOOKUP(C307,'COM RESID'!J:J,'COM RESID'!T:T)</f>
        <v/>
      </c>
      <c r="K307" s="13">
        <f>_xlfn.XLOOKUP(C307,'COM RESID'!J:J,'COM RESID'!P:P)</f>
        <v/>
      </c>
      <c r="L307" s="12">
        <f>_xlfn.XLOOKUP(C307,'COM RESID'!J:J,'COM RESID'!V:V)</f>
        <v/>
      </c>
    </row>
    <row r="308">
      <c r="B308">
        <f>IF(K308=0,"*",Def_Tech!C452)</f>
        <v/>
      </c>
      <c r="C308">
        <f>Def_Tech!D452</f>
        <v/>
      </c>
      <c r="D308">
        <f>_xlfn.XLOOKUP(C308,'COM RESID'!J:J,'COM RESID'!H:H)</f>
        <v/>
      </c>
      <c r="E308">
        <f>_xlfn.XLOOKUP(C308,'COM RESID'!J:J,'COM RESID'!I:I)</f>
        <v/>
      </c>
      <c r="F308" s="12">
        <f>_xlfn.XLOOKUP(C308,'COM RESID'!J:J,'COM RESID'!R:R)</f>
        <v/>
      </c>
      <c r="G308">
        <f>_xlfn.XLOOKUP(C308,'COM RESID'!J:J,'COM RESID'!W:W)</f>
        <v/>
      </c>
      <c r="H308" s="12">
        <f>_xlfn.XLOOKUP(C308,'COM RESID'!J:J,'COM RESID'!V:V)</f>
        <v/>
      </c>
      <c r="I308" s="12">
        <f>ROUNDUP(_xlfn.XLOOKUP(C308,'COM RESID'!J:J,'COM RESID'!S:S),0)</f>
        <v/>
      </c>
      <c r="J308" s="8">
        <f>_xlfn.XLOOKUP(C308,'COM RESID'!J:J,'COM RESID'!T:T)</f>
        <v/>
      </c>
      <c r="K308" s="13">
        <f>_xlfn.XLOOKUP(C308,'COM RESID'!J:J,'COM RESID'!P:P)</f>
        <v/>
      </c>
      <c r="L308" s="12">
        <f>_xlfn.XLOOKUP(C308,'COM RESID'!J:J,'COM RESID'!V:V)</f>
        <v/>
      </c>
    </row>
    <row r="309">
      <c r="B309">
        <f>IF(K309=0,"*",Def_Tech!C453)</f>
        <v/>
      </c>
      <c r="C309">
        <f>Def_Tech!D453</f>
        <v/>
      </c>
      <c r="D309">
        <f>_xlfn.XLOOKUP(C309,'COM RESID'!J:J,'COM RESID'!H:H)</f>
        <v/>
      </c>
      <c r="E309">
        <f>_xlfn.XLOOKUP(C309,'COM RESID'!J:J,'COM RESID'!I:I)</f>
        <v/>
      </c>
      <c r="F309" s="12">
        <f>_xlfn.XLOOKUP(C309,'COM RESID'!J:J,'COM RESID'!R:R)</f>
        <v/>
      </c>
      <c r="G309">
        <f>_xlfn.XLOOKUP(C309,'COM RESID'!J:J,'COM RESID'!W:W)</f>
        <v/>
      </c>
      <c r="H309" s="12">
        <f>_xlfn.XLOOKUP(C309,'COM RESID'!J:J,'COM RESID'!V:V)</f>
        <v/>
      </c>
      <c r="I309" s="12">
        <f>ROUNDUP(_xlfn.XLOOKUP(C309,'COM RESID'!J:J,'COM RESID'!S:S),0)</f>
        <v/>
      </c>
      <c r="J309" s="8">
        <f>_xlfn.XLOOKUP(C309,'COM RESID'!J:J,'COM RESID'!T:T)</f>
        <v/>
      </c>
      <c r="K309" s="13">
        <f>_xlfn.XLOOKUP(C309,'COM RESID'!J:J,'COM RESID'!P:P)</f>
        <v/>
      </c>
      <c r="L309" s="12">
        <f>_xlfn.XLOOKUP(C309,'COM RESID'!J:J,'COM RESID'!V:V)</f>
        <v/>
      </c>
    </row>
    <row r="310">
      <c r="B310">
        <f>IF(K310=0,"*",Def_Tech!C454)</f>
        <v/>
      </c>
      <c r="C310">
        <f>Def_Tech!D454</f>
        <v/>
      </c>
      <c r="D310">
        <f>_xlfn.XLOOKUP(C310,'COM RESID'!J:J,'COM RESID'!H:H)</f>
        <v/>
      </c>
      <c r="E310">
        <f>_xlfn.XLOOKUP(C310,'COM RESID'!J:J,'COM RESID'!I:I)</f>
        <v/>
      </c>
      <c r="F310" s="12">
        <f>_xlfn.XLOOKUP(C310,'COM RESID'!J:J,'COM RESID'!R:R)</f>
        <v/>
      </c>
      <c r="G310">
        <f>_xlfn.XLOOKUP(C310,'COM RESID'!J:J,'COM RESID'!W:W)</f>
        <v/>
      </c>
      <c r="H310" s="12">
        <f>_xlfn.XLOOKUP(C310,'COM RESID'!J:J,'COM RESID'!V:V)</f>
        <v/>
      </c>
      <c r="I310" s="12">
        <f>ROUNDUP(_xlfn.XLOOKUP(C310,'COM RESID'!J:J,'COM RESID'!S:S),0)</f>
        <v/>
      </c>
      <c r="J310" s="8">
        <f>_xlfn.XLOOKUP(C310,'COM RESID'!J:J,'COM RESID'!T:T)</f>
        <v/>
      </c>
      <c r="K310" s="13">
        <f>_xlfn.XLOOKUP(C310,'COM RESID'!J:J,'COM RESID'!P:P)</f>
        <v/>
      </c>
      <c r="L310" s="12">
        <f>_xlfn.XLOOKUP(C310,'COM RESID'!J:J,'COM RESID'!V:V)</f>
        <v/>
      </c>
    </row>
    <row r="311">
      <c r="B311">
        <f>IF(K311=0,"*",Def_Tech!C455)</f>
        <v/>
      </c>
      <c r="C311">
        <f>Def_Tech!D455</f>
        <v/>
      </c>
      <c r="D311">
        <f>_xlfn.XLOOKUP(C311,'COM RESID'!J:J,'COM RESID'!H:H)</f>
        <v/>
      </c>
      <c r="E311">
        <f>_xlfn.XLOOKUP(C311,'COM RESID'!J:J,'COM RESID'!I:I)</f>
        <v/>
      </c>
      <c r="F311" s="12">
        <f>_xlfn.XLOOKUP(C311,'COM RESID'!J:J,'COM RESID'!R:R)</f>
        <v/>
      </c>
      <c r="G311">
        <f>_xlfn.XLOOKUP(C311,'COM RESID'!J:J,'COM RESID'!W:W)</f>
        <v/>
      </c>
      <c r="H311" s="12">
        <f>_xlfn.XLOOKUP(C311,'COM RESID'!J:J,'COM RESID'!V:V)</f>
        <v/>
      </c>
      <c r="I311" s="12">
        <f>ROUNDUP(_xlfn.XLOOKUP(C311,'COM RESID'!J:J,'COM RESID'!S:S),0)</f>
        <v/>
      </c>
      <c r="J311" s="8">
        <f>_xlfn.XLOOKUP(C311,'COM RESID'!J:J,'COM RESID'!T:T)</f>
        <v/>
      </c>
      <c r="K311" s="13">
        <f>_xlfn.XLOOKUP(C311,'COM RESID'!J:J,'COM RESID'!P:P)</f>
        <v/>
      </c>
      <c r="L311" s="12">
        <f>_xlfn.XLOOKUP(C311,'COM RESID'!J:J,'COM RESID'!V:V)</f>
        <v/>
      </c>
    </row>
    <row r="312">
      <c r="B312">
        <f>IF(K312=0,"*",Def_Tech!C456)</f>
        <v/>
      </c>
      <c r="C312">
        <f>Def_Tech!D456</f>
        <v/>
      </c>
      <c r="D312">
        <f>_xlfn.XLOOKUP(C312,'COM RESID'!J:J,'COM RESID'!H:H)</f>
        <v/>
      </c>
      <c r="E312">
        <f>_xlfn.XLOOKUP(C312,'COM RESID'!J:J,'COM RESID'!I:I)</f>
        <v/>
      </c>
      <c r="F312" s="12">
        <f>_xlfn.XLOOKUP(C312,'COM RESID'!J:J,'COM RESID'!R:R)</f>
        <v/>
      </c>
      <c r="G312">
        <f>_xlfn.XLOOKUP(C312,'COM RESID'!J:J,'COM RESID'!W:W)</f>
        <v/>
      </c>
      <c r="H312" s="12">
        <f>_xlfn.XLOOKUP(C312,'COM RESID'!J:J,'COM RESID'!V:V)</f>
        <v/>
      </c>
      <c r="I312" s="12">
        <f>ROUNDUP(_xlfn.XLOOKUP(C312,'COM RESID'!J:J,'COM RESID'!S:S),0)</f>
        <v/>
      </c>
      <c r="J312" s="8">
        <f>_xlfn.XLOOKUP(C312,'COM RESID'!J:J,'COM RESID'!T:T)</f>
        <v/>
      </c>
      <c r="K312" s="13">
        <f>_xlfn.XLOOKUP(C312,'COM RESID'!J:J,'COM RESID'!P:P)</f>
        <v/>
      </c>
      <c r="L312" s="12">
        <f>_xlfn.XLOOKUP(C312,'COM RESID'!J:J,'COM RESID'!V:V)</f>
        <v/>
      </c>
    </row>
    <row r="313">
      <c r="B313">
        <f>IF(K313=0,"*",Def_Tech!C457)</f>
        <v/>
      </c>
      <c r="C313">
        <f>Def_Tech!D457</f>
        <v/>
      </c>
      <c r="D313">
        <f>_xlfn.XLOOKUP(C313,'COM RESID'!J:J,'COM RESID'!H:H)</f>
        <v/>
      </c>
      <c r="E313">
        <f>_xlfn.XLOOKUP(C313,'COM RESID'!J:J,'COM RESID'!I:I)</f>
        <v/>
      </c>
      <c r="F313" s="12">
        <f>_xlfn.XLOOKUP(C313,'COM RESID'!J:J,'COM RESID'!R:R)</f>
        <v/>
      </c>
      <c r="G313">
        <f>_xlfn.XLOOKUP(C313,'COM RESID'!J:J,'COM RESID'!W:W)</f>
        <v/>
      </c>
      <c r="H313" s="12">
        <f>_xlfn.XLOOKUP(C313,'COM RESID'!J:J,'COM RESID'!V:V)</f>
        <v/>
      </c>
      <c r="I313" s="12">
        <f>ROUNDUP(_xlfn.XLOOKUP(C313,'COM RESID'!J:J,'COM RESID'!S:S),0)</f>
        <v/>
      </c>
      <c r="J313" s="8">
        <f>_xlfn.XLOOKUP(C313,'COM RESID'!J:J,'COM RESID'!T:T)</f>
        <v/>
      </c>
      <c r="K313" s="13">
        <f>_xlfn.XLOOKUP(C313,'COM RESID'!J:J,'COM RESID'!P:P)</f>
        <v/>
      </c>
      <c r="L313" s="12">
        <f>_xlfn.XLOOKUP(C313,'COM RESID'!J:J,'COM RESID'!V:V)</f>
        <v/>
      </c>
    </row>
    <row r="314">
      <c r="B314">
        <f>IF(K314=0,"*",Def_Tech!C458)</f>
        <v/>
      </c>
      <c r="C314">
        <f>Def_Tech!D458</f>
        <v/>
      </c>
      <c r="D314">
        <f>_xlfn.XLOOKUP(C314,'COM RESID'!J:J,'COM RESID'!H:H)</f>
        <v/>
      </c>
      <c r="E314">
        <f>_xlfn.XLOOKUP(C314,'COM RESID'!J:J,'COM RESID'!I:I)</f>
        <v/>
      </c>
      <c r="F314" s="12">
        <f>_xlfn.XLOOKUP(C314,'COM RESID'!J:J,'COM RESID'!R:R)</f>
        <v/>
      </c>
      <c r="G314">
        <f>_xlfn.XLOOKUP(C314,'COM RESID'!J:J,'COM RESID'!W:W)</f>
        <v/>
      </c>
      <c r="H314" s="12">
        <f>_xlfn.XLOOKUP(C314,'COM RESID'!J:J,'COM RESID'!V:V)</f>
        <v/>
      </c>
      <c r="I314" s="12">
        <f>ROUNDUP(_xlfn.XLOOKUP(C314,'COM RESID'!J:J,'COM RESID'!S:S),0)</f>
        <v/>
      </c>
      <c r="J314" s="8">
        <f>_xlfn.XLOOKUP(C314,'COM RESID'!J:J,'COM RESID'!T:T)</f>
        <v/>
      </c>
      <c r="K314" s="13">
        <f>_xlfn.XLOOKUP(C314,'COM RESID'!J:J,'COM RESID'!P:P)</f>
        <v/>
      </c>
      <c r="L314" s="12">
        <f>_xlfn.XLOOKUP(C314,'COM RESID'!J:J,'COM RESID'!V:V)</f>
        <v/>
      </c>
    </row>
    <row r="315">
      <c r="B315">
        <f>IF(K315=0,"*",Def_Tech!C459)</f>
        <v/>
      </c>
      <c r="C315">
        <f>Def_Tech!D459</f>
        <v/>
      </c>
      <c r="D315">
        <f>_xlfn.XLOOKUP(C315,'COM RESID'!J:J,'COM RESID'!H:H)</f>
        <v/>
      </c>
      <c r="E315">
        <f>_xlfn.XLOOKUP(C315,'COM RESID'!J:J,'COM RESID'!I:I)</f>
        <v/>
      </c>
      <c r="F315" s="12">
        <f>_xlfn.XLOOKUP(C315,'COM RESID'!J:J,'COM RESID'!R:R)</f>
        <v/>
      </c>
      <c r="G315">
        <f>_xlfn.XLOOKUP(C315,'COM RESID'!J:J,'COM RESID'!W:W)</f>
        <v/>
      </c>
      <c r="H315" s="12">
        <f>_xlfn.XLOOKUP(C315,'COM RESID'!J:J,'COM RESID'!V:V)</f>
        <v/>
      </c>
      <c r="I315" s="12">
        <f>ROUNDUP(_xlfn.XLOOKUP(C315,'COM RESID'!J:J,'COM RESID'!S:S),0)</f>
        <v/>
      </c>
      <c r="J315" s="8">
        <f>_xlfn.XLOOKUP(C315,'COM RESID'!J:J,'COM RESID'!T:T)</f>
        <v/>
      </c>
      <c r="K315" s="13">
        <f>_xlfn.XLOOKUP(C315,'COM RESID'!J:J,'COM RESID'!P:P)</f>
        <v/>
      </c>
      <c r="L315" s="12">
        <f>_xlfn.XLOOKUP(C315,'COM RESID'!J:J,'COM RESID'!V:V)</f>
        <v/>
      </c>
    </row>
    <row r="316">
      <c r="B316">
        <f>IF(K316=0,"*",Def_Tech!C460)</f>
        <v/>
      </c>
      <c r="C316">
        <f>Def_Tech!D460</f>
        <v/>
      </c>
      <c r="D316">
        <f>_xlfn.XLOOKUP(C316,'COM RESID'!J:J,'COM RESID'!H:H)</f>
        <v/>
      </c>
      <c r="E316">
        <f>_xlfn.XLOOKUP(C316,'COM RESID'!J:J,'COM RESID'!I:I)</f>
        <v/>
      </c>
      <c r="F316" s="12">
        <f>_xlfn.XLOOKUP(C316,'COM RESID'!J:J,'COM RESID'!R:R)</f>
        <v/>
      </c>
      <c r="G316">
        <f>_xlfn.XLOOKUP(C316,'COM RESID'!J:J,'COM RESID'!W:W)</f>
        <v/>
      </c>
      <c r="H316" s="12">
        <f>_xlfn.XLOOKUP(C316,'COM RESID'!J:J,'COM RESID'!V:V)</f>
        <v/>
      </c>
      <c r="I316" s="12">
        <f>ROUNDUP(_xlfn.XLOOKUP(C316,'COM RESID'!J:J,'COM RESID'!S:S),0)</f>
        <v/>
      </c>
      <c r="J316" s="8">
        <f>_xlfn.XLOOKUP(C316,'COM RESID'!J:J,'COM RESID'!T:T)</f>
        <v/>
      </c>
      <c r="K316" s="13">
        <f>_xlfn.XLOOKUP(C316,'COM RESID'!J:J,'COM RESID'!P:P)</f>
        <v/>
      </c>
      <c r="L316" s="12">
        <f>_xlfn.XLOOKUP(C316,'COM RESID'!J:J,'COM RESID'!V:V)</f>
        <v/>
      </c>
    </row>
    <row r="317">
      <c r="B317">
        <f>IF(K317=0,"*",Def_Tech!C461)</f>
        <v/>
      </c>
      <c r="C317">
        <f>Def_Tech!D461</f>
        <v/>
      </c>
      <c r="D317">
        <f>_xlfn.XLOOKUP(C317,'COM RESID'!J:J,'COM RESID'!H:H)</f>
        <v/>
      </c>
      <c r="E317">
        <f>_xlfn.XLOOKUP(C317,'COM RESID'!J:J,'COM RESID'!I:I)</f>
        <v/>
      </c>
      <c r="F317" s="12">
        <f>_xlfn.XLOOKUP(C317,'COM RESID'!J:J,'COM RESID'!R:R)</f>
        <v/>
      </c>
      <c r="G317">
        <f>_xlfn.XLOOKUP(C317,'COM RESID'!J:J,'COM RESID'!W:W)</f>
        <v/>
      </c>
      <c r="H317" s="12">
        <f>_xlfn.XLOOKUP(C317,'COM RESID'!J:J,'COM RESID'!V:V)</f>
        <v/>
      </c>
      <c r="I317" s="12">
        <f>ROUNDUP(_xlfn.XLOOKUP(C317,'COM RESID'!J:J,'COM RESID'!S:S),0)</f>
        <v/>
      </c>
      <c r="J317" s="8">
        <f>_xlfn.XLOOKUP(C317,'COM RESID'!J:J,'COM RESID'!T:T)</f>
        <v/>
      </c>
      <c r="K317" s="13">
        <f>_xlfn.XLOOKUP(C317,'COM RESID'!J:J,'COM RESID'!P:P)</f>
        <v/>
      </c>
      <c r="L317" s="12">
        <f>_xlfn.XLOOKUP(C317,'COM RESID'!J:J,'COM RESID'!V:V)</f>
        <v/>
      </c>
    </row>
    <row r="318">
      <c r="B318">
        <f>IF(K318=0,"*",Def_Tech!C462)</f>
        <v/>
      </c>
      <c r="C318">
        <f>Def_Tech!D462</f>
        <v/>
      </c>
      <c r="D318">
        <f>_xlfn.XLOOKUP(C318,'COM RESID'!J:J,'COM RESID'!H:H)</f>
        <v/>
      </c>
      <c r="E318">
        <f>_xlfn.XLOOKUP(C318,'COM RESID'!J:J,'COM RESID'!I:I)</f>
        <v/>
      </c>
      <c r="F318" s="12">
        <f>_xlfn.XLOOKUP(C318,'COM RESID'!J:J,'COM RESID'!R:R)</f>
        <v/>
      </c>
      <c r="G318">
        <f>_xlfn.XLOOKUP(C318,'COM RESID'!J:J,'COM RESID'!W:W)</f>
        <v/>
      </c>
      <c r="H318" s="12">
        <f>_xlfn.XLOOKUP(C318,'COM RESID'!J:J,'COM RESID'!V:V)</f>
        <v/>
      </c>
      <c r="I318" s="12">
        <f>ROUNDUP(_xlfn.XLOOKUP(C318,'COM RESID'!J:J,'COM RESID'!S:S),0)</f>
        <v/>
      </c>
      <c r="J318" s="8">
        <f>_xlfn.XLOOKUP(C318,'COM RESID'!J:J,'COM RESID'!T:T)</f>
        <v/>
      </c>
      <c r="K318" s="13">
        <f>_xlfn.XLOOKUP(C318,'COM RESID'!J:J,'COM RESID'!P:P)</f>
        <v/>
      </c>
      <c r="L318" s="12">
        <f>_xlfn.XLOOKUP(C318,'COM RESID'!J:J,'COM RESID'!V:V)</f>
        <v/>
      </c>
    </row>
    <row r="319">
      <c r="B319">
        <f>IF(K319=0,"*",Def_Tech!C463)</f>
        <v/>
      </c>
      <c r="C319">
        <f>Def_Tech!D463</f>
        <v/>
      </c>
      <c r="D319">
        <f>_xlfn.XLOOKUP(C319,'COM RESID'!J:J,'COM RESID'!H:H)</f>
        <v/>
      </c>
      <c r="E319">
        <f>_xlfn.XLOOKUP(C319,'COM RESID'!J:J,'COM RESID'!I:I)</f>
        <v/>
      </c>
      <c r="F319" s="12">
        <f>_xlfn.XLOOKUP(C319,'COM RESID'!J:J,'COM RESID'!R:R)</f>
        <v/>
      </c>
      <c r="G319">
        <f>_xlfn.XLOOKUP(C319,'COM RESID'!J:J,'COM RESID'!W:W)</f>
        <v/>
      </c>
      <c r="H319" s="12">
        <f>_xlfn.XLOOKUP(C319,'COM RESID'!J:J,'COM RESID'!V:V)</f>
        <v/>
      </c>
      <c r="I319" s="12">
        <f>ROUNDUP(_xlfn.XLOOKUP(C319,'COM RESID'!J:J,'COM RESID'!S:S),0)</f>
        <v/>
      </c>
      <c r="J319" s="8">
        <f>_xlfn.XLOOKUP(C319,'COM RESID'!J:J,'COM RESID'!T:T)</f>
        <v/>
      </c>
      <c r="K319" s="13">
        <f>_xlfn.XLOOKUP(C319,'COM RESID'!J:J,'COM RESID'!P:P)</f>
        <v/>
      </c>
      <c r="L319" s="12">
        <f>_xlfn.XLOOKUP(C319,'COM RESID'!J:J,'COM RESID'!V:V)</f>
        <v/>
      </c>
    </row>
    <row r="320">
      <c r="B320">
        <f>IF(K320=0,"*",Def_Tech!C464)</f>
        <v/>
      </c>
      <c r="C320">
        <f>Def_Tech!D464</f>
        <v/>
      </c>
      <c r="D320">
        <f>_xlfn.XLOOKUP(C320,'COM RESID'!J:J,'COM RESID'!H:H)</f>
        <v/>
      </c>
      <c r="E320">
        <f>_xlfn.XLOOKUP(C320,'COM RESID'!J:J,'COM RESID'!I:I)</f>
        <v/>
      </c>
      <c r="F320" s="12">
        <f>_xlfn.XLOOKUP(C320,'COM RESID'!J:J,'COM RESID'!R:R)</f>
        <v/>
      </c>
      <c r="G320">
        <f>_xlfn.XLOOKUP(C320,'COM RESID'!J:J,'COM RESID'!W:W)</f>
        <v/>
      </c>
      <c r="H320" s="12">
        <f>_xlfn.XLOOKUP(C320,'COM RESID'!J:J,'COM RESID'!V:V)</f>
        <v/>
      </c>
      <c r="I320" s="12">
        <f>ROUNDUP(_xlfn.XLOOKUP(C320,'COM RESID'!J:J,'COM RESID'!S:S),0)</f>
        <v/>
      </c>
      <c r="J320" s="8">
        <f>_xlfn.XLOOKUP(C320,'COM RESID'!J:J,'COM RESID'!T:T)</f>
        <v/>
      </c>
      <c r="K320" s="13">
        <f>_xlfn.XLOOKUP(C320,'COM RESID'!J:J,'COM RESID'!P:P)</f>
        <v/>
      </c>
      <c r="L320" s="12">
        <f>_xlfn.XLOOKUP(C320,'COM RESID'!J:J,'COM RESID'!V:V)</f>
        <v/>
      </c>
    </row>
    <row r="321">
      <c r="B321">
        <f>IF(K321=0,"*",Def_Tech!C465)</f>
        <v/>
      </c>
      <c r="C321">
        <f>Def_Tech!D465</f>
        <v/>
      </c>
      <c r="D321">
        <f>_xlfn.XLOOKUP(C321,'COM RESID'!J:J,'COM RESID'!H:H)</f>
        <v/>
      </c>
      <c r="E321">
        <f>_xlfn.XLOOKUP(C321,'COM RESID'!J:J,'COM RESID'!I:I)</f>
        <v/>
      </c>
      <c r="F321" s="12">
        <f>_xlfn.XLOOKUP(C321,'COM RESID'!J:J,'COM RESID'!R:R)</f>
        <v/>
      </c>
      <c r="G321">
        <f>_xlfn.XLOOKUP(C321,'COM RESID'!J:J,'COM RESID'!W:W)</f>
        <v/>
      </c>
      <c r="H321" s="12">
        <f>_xlfn.XLOOKUP(C321,'COM RESID'!J:J,'COM RESID'!V:V)</f>
        <v/>
      </c>
      <c r="I321" s="12">
        <f>ROUNDUP(_xlfn.XLOOKUP(C321,'COM RESID'!J:J,'COM RESID'!S:S),0)</f>
        <v/>
      </c>
      <c r="J321" s="8">
        <f>_xlfn.XLOOKUP(C321,'COM RESID'!J:J,'COM RESID'!T:T)</f>
        <v/>
      </c>
      <c r="K321" s="13">
        <f>_xlfn.XLOOKUP(C321,'COM RESID'!J:J,'COM RESID'!P:P)</f>
        <v/>
      </c>
      <c r="L321" s="12">
        <f>_xlfn.XLOOKUP(C321,'COM RESID'!J:J,'COM RESID'!V:V)</f>
        <v/>
      </c>
    </row>
    <row r="322">
      <c r="B322">
        <f>IF(K322=0,"*",Def_Tech!C466)</f>
        <v/>
      </c>
      <c r="C322">
        <f>Def_Tech!D466</f>
        <v/>
      </c>
      <c r="D322">
        <f>_xlfn.XLOOKUP(C322,'COM RESID'!J:J,'COM RESID'!H:H)</f>
        <v/>
      </c>
      <c r="E322">
        <f>_xlfn.XLOOKUP(C322,'COM RESID'!J:J,'COM RESID'!I:I)</f>
        <v/>
      </c>
      <c r="F322" s="12">
        <f>_xlfn.XLOOKUP(C322,'COM RESID'!J:J,'COM RESID'!R:R)</f>
        <v/>
      </c>
      <c r="G322">
        <f>_xlfn.XLOOKUP(C322,'COM RESID'!J:J,'COM RESID'!W:W)</f>
        <v/>
      </c>
      <c r="H322" s="12">
        <f>_xlfn.XLOOKUP(C322,'COM RESID'!J:J,'COM RESID'!V:V)</f>
        <v/>
      </c>
      <c r="I322" s="12">
        <f>ROUNDUP(_xlfn.XLOOKUP(C322,'COM RESID'!J:J,'COM RESID'!S:S),0)</f>
        <v/>
      </c>
      <c r="J322" s="8">
        <f>_xlfn.XLOOKUP(C322,'COM RESID'!J:J,'COM RESID'!T:T)</f>
        <v/>
      </c>
      <c r="K322" s="13">
        <f>_xlfn.XLOOKUP(C322,'COM RESID'!J:J,'COM RESID'!P:P)</f>
        <v/>
      </c>
      <c r="L322" s="12">
        <f>_xlfn.XLOOKUP(C322,'COM RESID'!J:J,'COM RESID'!V:V)</f>
        <v/>
      </c>
    </row>
    <row r="323">
      <c r="B323">
        <f>IF(K323=0,"*",Def_Tech!C467)</f>
        <v/>
      </c>
      <c r="C323">
        <f>Def_Tech!D467</f>
        <v/>
      </c>
      <c r="D323">
        <f>_xlfn.XLOOKUP(C323,'COM RESID'!J:J,'COM RESID'!H:H)</f>
        <v/>
      </c>
      <c r="E323">
        <f>_xlfn.XLOOKUP(C323,'COM RESID'!J:J,'COM RESID'!I:I)</f>
        <v/>
      </c>
      <c r="F323" s="12">
        <f>_xlfn.XLOOKUP(C323,'COM RESID'!J:J,'COM RESID'!R:R)</f>
        <v/>
      </c>
      <c r="G323">
        <f>_xlfn.XLOOKUP(C323,'COM RESID'!J:J,'COM RESID'!W:W)</f>
        <v/>
      </c>
      <c r="H323" s="12">
        <f>_xlfn.XLOOKUP(C323,'COM RESID'!J:J,'COM RESID'!V:V)</f>
        <v/>
      </c>
      <c r="I323" s="12">
        <f>ROUNDUP(_xlfn.XLOOKUP(C323,'COM RESID'!J:J,'COM RESID'!S:S),0)</f>
        <v/>
      </c>
      <c r="J323" s="8">
        <f>_xlfn.XLOOKUP(C323,'COM RESID'!J:J,'COM RESID'!T:T)</f>
        <v/>
      </c>
      <c r="K323" s="13">
        <f>_xlfn.XLOOKUP(C323,'COM RESID'!J:J,'COM RESID'!P:P)</f>
        <v/>
      </c>
      <c r="L323" s="12">
        <f>_xlfn.XLOOKUP(C323,'COM RESID'!J:J,'COM RESID'!V:V)</f>
        <v/>
      </c>
    </row>
    <row r="324">
      <c r="B324">
        <f>IF(K324=0,"*",Def_Tech!C468)</f>
        <v/>
      </c>
      <c r="C324">
        <f>Def_Tech!D468</f>
        <v/>
      </c>
      <c r="D324">
        <f>_xlfn.XLOOKUP(C324,'COM RESID'!J:J,'COM RESID'!H:H)</f>
        <v/>
      </c>
      <c r="E324">
        <f>_xlfn.XLOOKUP(C324,'COM RESID'!J:J,'COM RESID'!I:I)</f>
        <v/>
      </c>
      <c r="F324" s="12">
        <f>_xlfn.XLOOKUP(C324,'COM RESID'!J:J,'COM RESID'!R:R)</f>
        <v/>
      </c>
      <c r="G324">
        <f>_xlfn.XLOOKUP(C324,'COM RESID'!J:J,'COM RESID'!W:W)</f>
        <v/>
      </c>
      <c r="H324" s="12">
        <f>_xlfn.XLOOKUP(C324,'COM RESID'!J:J,'COM RESID'!V:V)</f>
        <v/>
      </c>
      <c r="I324" s="12">
        <f>ROUNDUP(_xlfn.XLOOKUP(C324,'COM RESID'!J:J,'COM RESID'!S:S),0)</f>
        <v/>
      </c>
      <c r="J324" s="8">
        <f>_xlfn.XLOOKUP(C324,'COM RESID'!J:J,'COM RESID'!T:T)</f>
        <v/>
      </c>
      <c r="K324" s="13">
        <f>_xlfn.XLOOKUP(C324,'COM RESID'!J:J,'COM RESID'!P:P)</f>
        <v/>
      </c>
      <c r="L324" s="12">
        <f>_xlfn.XLOOKUP(C324,'COM RESID'!J:J,'COM RESID'!V:V)</f>
        <v/>
      </c>
    </row>
    <row r="325">
      <c r="B325">
        <f>IF(K325=0,"*",Def_Tech!C469)</f>
        <v/>
      </c>
      <c r="C325">
        <f>Def_Tech!D469</f>
        <v/>
      </c>
      <c r="D325">
        <f>_xlfn.XLOOKUP(C325,'COM RESID'!J:J,'COM RESID'!H:H)</f>
        <v/>
      </c>
      <c r="E325">
        <f>_xlfn.XLOOKUP(C325,'COM RESID'!J:J,'COM RESID'!I:I)</f>
        <v/>
      </c>
      <c r="F325" s="12">
        <f>_xlfn.XLOOKUP(C325,'COM RESID'!J:J,'COM RESID'!R:R)</f>
        <v/>
      </c>
      <c r="G325">
        <f>_xlfn.XLOOKUP(C325,'COM RESID'!J:J,'COM RESID'!W:W)</f>
        <v/>
      </c>
      <c r="H325" s="12">
        <f>_xlfn.XLOOKUP(C325,'COM RESID'!J:J,'COM RESID'!V:V)</f>
        <v/>
      </c>
      <c r="I325" s="12">
        <f>ROUNDUP(_xlfn.XLOOKUP(C325,'COM RESID'!J:J,'COM RESID'!S:S),0)</f>
        <v/>
      </c>
      <c r="J325" s="8">
        <f>_xlfn.XLOOKUP(C325,'COM RESID'!J:J,'COM RESID'!T:T)</f>
        <v/>
      </c>
      <c r="K325" s="13">
        <f>_xlfn.XLOOKUP(C325,'COM RESID'!J:J,'COM RESID'!P:P)</f>
        <v/>
      </c>
      <c r="L325" s="12">
        <f>_xlfn.XLOOKUP(C325,'COM RESID'!J:J,'COM RESID'!V:V)</f>
        <v/>
      </c>
    </row>
    <row r="326">
      <c r="B326">
        <f>IF(K326=0,"*",Def_Tech!C470)</f>
        <v/>
      </c>
      <c r="C326">
        <f>Def_Tech!D470</f>
        <v/>
      </c>
      <c r="D326">
        <f>_xlfn.XLOOKUP(C326,'COM RESID'!J:J,'COM RESID'!H:H)</f>
        <v/>
      </c>
      <c r="E326">
        <f>_xlfn.XLOOKUP(C326,'COM RESID'!J:J,'COM RESID'!I:I)</f>
        <v/>
      </c>
      <c r="F326" s="12">
        <f>_xlfn.XLOOKUP(C326,'COM RESID'!J:J,'COM RESID'!R:R)</f>
        <v/>
      </c>
      <c r="G326">
        <f>_xlfn.XLOOKUP(C326,'COM RESID'!J:J,'COM RESID'!W:W)</f>
        <v/>
      </c>
      <c r="H326" s="12">
        <f>_xlfn.XLOOKUP(C326,'COM RESID'!J:J,'COM RESID'!V:V)</f>
        <v/>
      </c>
      <c r="I326" s="12">
        <f>ROUNDUP(_xlfn.XLOOKUP(C326,'COM RESID'!J:J,'COM RESID'!S:S),0)</f>
        <v/>
      </c>
      <c r="J326" s="8">
        <f>_xlfn.XLOOKUP(C326,'COM RESID'!J:J,'COM RESID'!T:T)</f>
        <v/>
      </c>
      <c r="K326" s="13">
        <f>_xlfn.XLOOKUP(C326,'COM RESID'!J:J,'COM RESID'!P:P)</f>
        <v/>
      </c>
      <c r="L326" s="12">
        <f>_xlfn.XLOOKUP(C326,'COM RESID'!J:J,'COM RESID'!V:V)</f>
        <v/>
      </c>
    </row>
    <row r="327">
      <c r="B327">
        <f>IF(K327=0,"*",Def_Tech!C471)</f>
        <v/>
      </c>
      <c r="C327">
        <f>Def_Tech!D471</f>
        <v/>
      </c>
      <c r="D327">
        <f>_xlfn.XLOOKUP(C327,'COM RESID'!J:J,'COM RESID'!H:H)</f>
        <v/>
      </c>
      <c r="E327">
        <f>_xlfn.XLOOKUP(C327,'COM RESID'!J:J,'COM RESID'!I:I)</f>
        <v/>
      </c>
      <c r="F327" s="12">
        <f>_xlfn.XLOOKUP(C327,'COM RESID'!J:J,'COM RESID'!R:R)</f>
        <v/>
      </c>
      <c r="G327">
        <f>_xlfn.XLOOKUP(C327,'COM RESID'!J:J,'COM RESID'!W:W)</f>
        <v/>
      </c>
      <c r="H327" s="12">
        <f>_xlfn.XLOOKUP(C327,'COM RESID'!J:J,'COM RESID'!V:V)</f>
        <v/>
      </c>
      <c r="I327" s="12">
        <f>ROUNDUP(_xlfn.XLOOKUP(C327,'COM RESID'!J:J,'COM RESID'!S:S),0)</f>
        <v/>
      </c>
      <c r="J327" s="8">
        <f>_xlfn.XLOOKUP(C327,'COM RESID'!J:J,'COM RESID'!T:T)</f>
        <v/>
      </c>
      <c r="K327" s="13">
        <f>_xlfn.XLOOKUP(C327,'COM RESID'!J:J,'COM RESID'!P:P)</f>
        <v/>
      </c>
      <c r="L327" s="12">
        <f>_xlfn.XLOOKUP(C327,'COM RESID'!J:J,'COM RESID'!V:V)</f>
        <v/>
      </c>
    </row>
    <row r="328">
      <c r="B328">
        <f>IF(K328=0,"*",Def_Tech!C472)</f>
        <v/>
      </c>
      <c r="C328">
        <f>Def_Tech!D472</f>
        <v/>
      </c>
      <c r="D328">
        <f>_xlfn.XLOOKUP(C328,'COM RESID'!J:J,'COM RESID'!H:H)</f>
        <v/>
      </c>
      <c r="E328">
        <f>_xlfn.XLOOKUP(C328,'COM RESID'!J:J,'COM RESID'!I:I)</f>
        <v/>
      </c>
      <c r="F328" s="12">
        <f>_xlfn.XLOOKUP(C328,'COM RESID'!J:J,'COM RESID'!R:R)</f>
        <v/>
      </c>
      <c r="G328">
        <f>_xlfn.XLOOKUP(C328,'COM RESID'!J:J,'COM RESID'!W:W)</f>
        <v/>
      </c>
      <c r="H328" s="12">
        <f>_xlfn.XLOOKUP(C328,'COM RESID'!J:J,'COM RESID'!V:V)</f>
        <v/>
      </c>
      <c r="I328" s="12">
        <f>ROUNDUP(_xlfn.XLOOKUP(C328,'COM RESID'!J:J,'COM RESID'!S:S),0)</f>
        <v/>
      </c>
      <c r="J328" s="8">
        <f>_xlfn.XLOOKUP(C328,'COM RESID'!J:J,'COM RESID'!T:T)</f>
        <v/>
      </c>
      <c r="K328" s="13">
        <f>_xlfn.XLOOKUP(C328,'COM RESID'!J:J,'COM RESID'!P:P)</f>
        <v/>
      </c>
      <c r="L328" s="12">
        <f>_xlfn.XLOOKUP(C328,'COM RESID'!J:J,'COM RESID'!V:V)</f>
        <v/>
      </c>
    </row>
    <row r="329">
      <c r="B329">
        <f>IF(K329=0,"*",Def_Tech!C473)</f>
        <v/>
      </c>
      <c r="C329">
        <f>Def_Tech!D473</f>
        <v/>
      </c>
      <c r="D329">
        <f>_xlfn.XLOOKUP(C329,'COM RESID'!J:J,'COM RESID'!H:H)</f>
        <v/>
      </c>
      <c r="E329">
        <f>_xlfn.XLOOKUP(C329,'COM RESID'!J:J,'COM RESID'!I:I)</f>
        <v/>
      </c>
      <c r="F329" s="12">
        <f>_xlfn.XLOOKUP(C329,'COM RESID'!J:J,'COM RESID'!R:R)</f>
        <v/>
      </c>
      <c r="G329">
        <f>_xlfn.XLOOKUP(C329,'COM RESID'!J:J,'COM RESID'!W:W)</f>
        <v/>
      </c>
      <c r="H329" s="12">
        <f>_xlfn.XLOOKUP(C329,'COM RESID'!J:J,'COM RESID'!V:V)</f>
        <v/>
      </c>
      <c r="I329" s="12">
        <f>ROUNDUP(_xlfn.XLOOKUP(C329,'COM RESID'!J:J,'COM RESID'!S:S),0)</f>
        <v/>
      </c>
      <c r="J329" s="8">
        <f>_xlfn.XLOOKUP(C329,'COM RESID'!J:J,'COM RESID'!T:T)</f>
        <v/>
      </c>
      <c r="K329" s="13">
        <f>_xlfn.XLOOKUP(C329,'COM RESID'!J:J,'COM RESID'!P:P)</f>
        <v/>
      </c>
      <c r="L329" s="12">
        <f>_xlfn.XLOOKUP(C329,'COM RESID'!J:J,'COM RESID'!V:V)</f>
        <v/>
      </c>
    </row>
    <row r="330">
      <c r="B330">
        <f>IF(K330=0,"*",Def_Tech!C474)</f>
        <v/>
      </c>
      <c r="C330">
        <f>Def_Tech!D474</f>
        <v/>
      </c>
      <c r="D330">
        <f>_xlfn.XLOOKUP(C330,'COM RESID'!J:J,'COM RESID'!H:H)</f>
        <v/>
      </c>
      <c r="E330">
        <f>_xlfn.XLOOKUP(C330,'COM RESID'!J:J,'COM RESID'!I:I)</f>
        <v/>
      </c>
      <c r="F330" s="12">
        <f>_xlfn.XLOOKUP(C330,'COM RESID'!J:J,'COM RESID'!R:R)</f>
        <v/>
      </c>
      <c r="G330">
        <f>_xlfn.XLOOKUP(C330,'COM RESID'!J:J,'COM RESID'!W:W)</f>
        <v/>
      </c>
      <c r="H330" s="12">
        <f>_xlfn.XLOOKUP(C330,'COM RESID'!J:J,'COM RESID'!V:V)</f>
        <v/>
      </c>
      <c r="I330" s="12">
        <f>ROUNDUP(_xlfn.XLOOKUP(C330,'COM RESID'!J:J,'COM RESID'!S:S),0)</f>
        <v/>
      </c>
      <c r="J330" s="8">
        <f>_xlfn.XLOOKUP(C330,'COM RESID'!J:J,'COM RESID'!T:T)</f>
        <v/>
      </c>
      <c r="K330" s="13">
        <f>_xlfn.XLOOKUP(C330,'COM RESID'!J:J,'COM RESID'!P:P)</f>
        <v/>
      </c>
      <c r="L330" s="12">
        <f>_xlfn.XLOOKUP(C330,'COM RESID'!J:J,'COM RESID'!V:V)</f>
        <v/>
      </c>
    </row>
    <row r="331">
      <c r="B331">
        <f>IF(K331=0,"*",Def_Tech!C475)</f>
        <v/>
      </c>
      <c r="C331">
        <f>Def_Tech!D475</f>
        <v/>
      </c>
      <c r="D331">
        <f>_xlfn.XLOOKUP(C331,'COM RESID'!J:J,'COM RESID'!H:H)</f>
        <v/>
      </c>
      <c r="E331">
        <f>_xlfn.XLOOKUP(C331,'COM RESID'!J:J,'COM RESID'!I:I)</f>
        <v/>
      </c>
      <c r="F331" s="12">
        <f>_xlfn.XLOOKUP(C331,'COM RESID'!J:J,'COM RESID'!R:R)</f>
        <v/>
      </c>
      <c r="G331">
        <f>_xlfn.XLOOKUP(C331,'COM RESID'!J:J,'COM RESID'!W:W)</f>
        <v/>
      </c>
      <c r="H331" s="12">
        <f>_xlfn.XLOOKUP(C331,'COM RESID'!J:J,'COM RESID'!V:V)</f>
        <v/>
      </c>
      <c r="I331" s="12">
        <f>ROUNDUP(_xlfn.XLOOKUP(C331,'COM RESID'!J:J,'COM RESID'!S:S),0)</f>
        <v/>
      </c>
      <c r="J331" s="8">
        <f>_xlfn.XLOOKUP(C331,'COM RESID'!J:J,'COM RESID'!T:T)</f>
        <v/>
      </c>
      <c r="K331" s="13">
        <f>_xlfn.XLOOKUP(C331,'COM RESID'!J:J,'COM RESID'!P:P)</f>
        <v/>
      </c>
      <c r="L331" s="12">
        <f>_xlfn.XLOOKUP(C331,'COM RESID'!J:J,'COM RESID'!V:V)</f>
        <v/>
      </c>
    </row>
    <row r="332">
      <c r="B332">
        <f>IF(K332=0,"*",Def_Tech!C476)</f>
        <v/>
      </c>
      <c r="C332">
        <f>Def_Tech!D476</f>
        <v/>
      </c>
      <c r="D332">
        <f>_xlfn.XLOOKUP(C332,'COM RESID'!J:J,'COM RESID'!H:H)</f>
        <v/>
      </c>
      <c r="E332">
        <f>_xlfn.XLOOKUP(C332,'COM RESID'!J:J,'COM RESID'!I:I)</f>
        <v/>
      </c>
      <c r="F332" s="12">
        <f>_xlfn.XLOOKUP(C332,'COM RESID'!J:J,'COM RESID'!R:R)</f>
        <v/>
      </c>
      <c r="G332">
        <f>_xlfn.XLOOKUP(C332,'COM RESID'!J:J,'COM RESID'!W:W)</f>
        <v/>
      </c>
      <c r="H332" s="12">
        <f>_xlfn.XLOOKUP(C332,'COM RESID'!J:J,'COM RESID'!V:V)</f>
        <v/>
      </c>
      <c r="I332" s="12">
        <f>ROUNDUP(_xlfn.XLOOKUP(C332,'COM RESID'!J:J,'COM RESID'!S:S),0)</f>
        <v/>
      </c>
      <c r="J332" s="8">
        <f>_xlfn.XLOOKUP(C332,'COM RESID'!J:J,'COM RESID'!T:T)</f>
        <v/>
      </c>
      <c r="K332" s="13">
        <f>_xlfn.XLOOKUP(C332,'COM RESID'!J:J,'COM RESID'!P:P)</f>
        <v/>
      </c>
      <c r="L332" s="12">
        <f>_xlfn.XLOOKUP(C332,'COM RESID'!J:J,'COM RESID'!V:V)</f>
        <v/>
      </c>
    </row>
    <row r="333">
      <c r="B333">
        <f>IF(K333=0,"*",Def_Tech!C477)</f>
        <v/>
      </c>
      <c r="C333">
        <f>Def_Tech!D477</f>
        <v/>
      </c>
      <c r="D333">
        <f>_xlfn.XLOOKUP(C333,'COM RESID'!J:J,'COM RESID'!H:H)</f>
        <v/>
      </c>
      <c r="E333">
        <f>_xlfn.XLOOKUP(C333,'COM RESID'!J:J,'COM RESID'!I:I)</f>
        <v/>
      </c>
      <c r="F333" s="12">
        <f>_xlfn.XLOOKUP(C333,'COM RESID'!J:J,'COM RESID'!R:R)</f>
        <v/>
      </c>
      <c r="G333">
        <f>_xlfn.XLOOKUP(C333,'COM RESID'!J:J,'COM RESID'!W:W)</f>
        <v/>
      </c>
      <c r="H333" s="12">
        <f>_xlfn.XLOOKUP(C333,'COM RESID'!J:J,'COM RESID'!V:V)</f>
        <v/>
      </c>
      <c r="I333" s="12">
        <f>ROUNDUP(_xlfn.XLOOKUP(C333,'COM RESID'!J:J,'COM RESID'!S:S),0)</f>
        <v/>
      </c>
      <c r="J333" s="8">
        <f>_xlfn.XLOOKUP(C333,'COM RESID'!J:J,'COM RESID'!T:T)</f>
        <v/>
      </c>
      <c r="K333" s="13">
        <f>_xlfn.XLOOKUP(C333,'COM RESID'!J:J,'COM RESID'!P:P)</f>
        <v/>
      </c>
      <c r="L333" s="12">
        <f>_xlfn.XLOOKUP(C333,'COM RESID'!J:J,'COM RESID'!V:V)</f>
        <v/>
      </c>
    </row>
    <row r="334">
      <c r="B334">
        <f>IF(K334=0,"*",Def_Tech!C478)</f>
        <v/>
      </c>
      <c r="C334">
        <f>Def_Tech!D478</f>
        <v/>
      </c>
      <c r="D334">
        <f>_xlfn.XLOOKUP(C334,'COM RESID'!J:J,'COM RESID'!H:H)</f>
        <v/>
      </c>
      <c r="E334">
        <f>_xlfn.XLOOKUP(C334,'COM RESID'!J:J,'COM RESID'!I:I)</f>
        <v/>
      </c>
      <c r="F334" s="12">
        <f>_xlfn.XLOOKUP(C334,'COM RESID'!J:J,'COM RESID'!R:R)</f>
        <v/>
      </c>
      <c r="G334">
        <f>_xlfn.XLOOKUP(C334,'COM RESID'!J:J,'COM RESID'!W:W)</f>
        <v/>
      </c>
      <c r="H334" s="12">
        <f>_xlfn.XLOOKUP(C334,'COM RESID'!J:J,'COM RESID'!V:V)</f>
        <v/>
      </c>
      <c r="I334" s="12">
        <f>ROUNDUP(_xlfn.XLOOKUP(C334,'COM RESID'!J:J,'COM RESID'!S:S),0)</f>
        <v/>
      </c>
      <c r="J334" s="8">
        <f>_xlfn.XLOOKUP(C334,'COM RESID'!J:J,'COM RESID'!T:T)</f>
        <v/>
      </c>
      <c r="K334" s="13">
        <f>_xlfn.XLOOKUP(C334,'COM RESID'!J:J,'COM RESID'!P:P)</f>
        <v/>
      </c>
      <c r="L334" s="12">
        <f>_xlfn.XLOOKUP(C334,'COM RESID'!J:J,'COM RESID'!V:V)</f>
        <v/>
      </c>
    </row>
    <row r="335">
      <c r="B335">
        <f>IF(K335=0,"*",Def_Tech!C479)</f>
        <v/>
      </c>
      <c r="C335">
        <f>Def_Tech!D479</f>
        <v/>
      </c>
      <c r="D335">
        <f>_xlfn.XLOOKUP(C335,'COM RESID'!J:J,'COM RESID'!H:H)</f>
        <v/>
      </c>
      <c r="E335">
        <f>_xlfn.XLOOKUP(C335,'COM RESID'!J:J,'COM RESID'!I:I)</f>
        <v/>
      </c>
      <c r="F335" s="12">
        <f>_xlfn.XLOOKUP(C335,'COM RESID'!J:J,'COM RESID'!R:R)</f>
        <v/>
      </c>
      <c r="G335">
        <f>_xlfn.XLOOKUP(C335,'COM RESID'!J:J,'COM RESID'!W:W)</f>
        <v/>
      </c>
      <c r="H335" s="12">
        <f>_xlfn.XLOOKUP(C335,'COM RESID'!J:J,'COM RESID'!V:V)</f>
        <v/>
      </c>
      <c r="I335" s="12">
        <f>ROUNDUP(_xlfn.XLOOKUP(C335,'COM RESID'!J:J,'COM RESID'!S:S),0)</f>
        <v/>
      </c>
      <c r="J335" s="8">
        <f>_xlfn.XLOOKUP(C335,'COM RESID'!J:J,'COM RESID'!T:T)</f>
        <v/>
      </c>
      <c r="K335" s="13">
        <f>_xlfn.XLOOKUP(C335,'COM RESID'!J:J,'COM RESID'!P:P)</f>
        <v/>
      </c>
      <c r="L335" s="12">
        <f>_xlfn.XLOOKUP(C335,'COM RESID'!J:J,'COM RESID'!V:V)</f>
        <v/>
      </c>
    </row>
    <row r="336">
      <c r="B336">
        <f>IF(K336=0,"*",Def_Tech!C480)</f>
        <v/>
      </c>
      <c r="C336">
        <f>Def_Tech!D480</f>
        <v/>
      </c>
      <c r="D336">
        <f>_xlfn.XLOOKUP(C336,'COM RESID'!J:J,'COM RESID'!H:H)</f>
        <v/>
      </c>
      <c r="E336">
        <f>_xlfn.XLOOKUP(C336,'COM RESID'!J:J,'COM RESID'!I:I)</f>
        <v/>
      </c>
      <c r="F336" s="12">
        <f>_xlfn.XLOOKUP(C336,'COM RESID'!J:J,'COM RESID'!R:R)</f>
        <v/>
      </c>
      <c r="G336">
        <f>_xlfn.XLOOKUP(C336,'COM RESID'!J:J,'COM RESID'!W:W)</f>
        <v/>
      </c>
      <c r="H336" s="12">
        <f>_xlfn.XLOOKUP(C336,'COM RESID'!J:J,'COM RESID'!V:V)</f>
        <v/>
      </c>
      <c r="I336" s="12">
        <f>ROUNDUP(_xlfn.XLOOKUP(C336,'COM RESID'!J:J,'COM RESID'!S:S),0)</f>
        <v/>
      </c>
      <c r="J336" s="8">
        <f>_xlfn.XLOOKUP(C336,'COM RESID'!J:J,'COM RESID'!T:T)</f>
        <v/>
      </c>
      <c r="K336" s="13">
        <f>_xlfn.XLOOKUP(C336,'COM RESID'!J:J,'COM RESID'!P:P)</f>
        <v/>
      </c>
      <c r="L336" s="12">
        <f>_xlfn.XLOOKUP(C336,'COM RESID'!J:J,'COM RESID'!V:V)</f>
        <v/>
      </c>
    </row>
    <row r="337">
      <c r="B337">
        <f>IF(K337=0,"*",Def_Tech!C481)</f>
        <v/>
      </c>
      <c r="C337">
        <f>Def_Tech!D481</f>
        <v/>
      </c>
      <c r="D337">
        <f>_xlfn.XLOOKUP(C337,'COM RESID'!J:J,'COM RESID'!H:H)</f>
        <v/>
      </c>
      <c r="E337">
        <f>_xlfn.XLOOKUP(C337,'COM RESID'!J:J,'COM RESID'!I:I)</f>
        <v/>
      </c>
      <c r="F337" s="12">
        <f>_xlfn.XLOOKUP(C337,'COM RESID'!J:J,'COM RESID'!R:R)</f>
        <v/>
      </c>
      <c r="G337">
        <f>_xlfn.XLOOKUP(C337,'COM RESID'!J:J,'COM RESID'!W:W)</f>
        <v/>
      </c>
      <c r="H337" s="12">
        <f>_xlfn.XLOOKUP(C337,'COM RESID'!J:J,'COM RESID'!V:V)</f>
        <v/>
      </c>
      <c r="I337" s="12">
        <f>ROUNDUP(_xlfn.XLOOKUP(C337,'COM RESID'!J:J,'COM RESID'!S:S),0)</f>
        <v/>
      </c>
      <c r="J337" s="8">
        <f>_xlfn.XLOOKUP(C337,'COM RESID'!J:J,'COM RESID'!T:T)</f>
        <v/>
      </c>
      <c r="K337" s="13">
        <f>_xlfn.XLOOKUP(C337,'COM RESID'!J:J,'COM RESID'!P:P)</f>
        <v/>
      </c>
      <c r="L337" s="12">
        <f>_xlfn.XLOOKUP(C337,'COM RESID'!J:J,'COM RESID'!V:V)</f>
        <v/>
      </c>
    </row>
    <row r="338">
      <c r="B338">
        <f>IF(K338=0,"*",Def_Tech!C482)</f>
        <v/>
      </c>
      <c r="C338">
        <f>Def_Tech!D482</f>
        <v/>
      </c>
      <c r="D338">
        <f>_xlfn.XLOOKUP(C338,'COM RESID'!J:J,'COM RESID'!H:H)</f>
        <v/>
      </c>
      <c r="E338">
        <f>_xlfn.XLOOKUP(C338,'COM RESID'!J:J,'COM RESID'!I:I)</f>
        <v/>
      </c>
      <c r="F338" s="12">
        <f>_xlfn.XLOOKUP(C338,'COM RESID'!J:J,'COM RESID'!R:R)</f>
        <v/>
      </c>
      <c r="G338">
        <f>_xlfn.XLOOKUP(C338,'COM RESID'!J:J,'COM RESID'!W:W)</f>
        <v/>
      </c>
      <c r="H338" s="12">
        <f>_xlfn.XLOOKUP(C338,'COM RESID'!J:J,'COM RESID'!V:V)</f>
        <v/>
      </c>
      <c r="I338" s="12">
        <f>ROUNDUP(_xlfn.XLOOKUP(C338,'COM RESID'!J:J,'COM RESID'!S:S),0)</f>
        <v/>
      </c>
      <c r="J338" s="8">
        <f>_xlfn.XLOOKUP(C338,'COM RESID'!J:J,'COM RESID'!T:T)</f>
        <v/>
      </c>
      <c r="K338" s="13">
        <f>_xlfn.XLOOKUP(C338,'COM RESID'!J:J,'COM RESID'!P:P)</f>
        <v/>
      </c>
      <c r="L338" s="12">
        <f>_xlfn.XLOOKUP(C338,'COM RESID'!J:J,'COM RESID'!V:V)</f>
        <v/>
      </c>
    </row>
    <row r="339">
      <c r="B339">
        <f>IF(K339=0,"*",Def_Tech!C483)</f>
        <v/>
      </c>
      <c r="C339">
        <f>Def_Tech!D483</f>
        <v/>
      </c>
      <c r="D339">
        <f>_xlfn.XLOOKUP(C339,'COM RESID'!J:J,'COM RESID'!H:H)</f>
        <v/>
      </c>
      <c r="E339">
        <f>_xlfn.XLOOKUP(C339,'COM RESID'!J:J,'COM RESID'!I:I)</f>
        <v/>
      </c>
      <c r="F339" s="12">
        <f>_xlfn.XLOOKUP(C339,'COM RESID'!J:J,'COM RESID'!R:R)</f>
        <v/>
      </c>
      <c r="G339">
        <f>_xlfn.XLOOKUP(C339,'COM RESID'!J:J,'COM RESID'!W:W)</f>
        <v/>
      </c>
      <c r="H339" s="12">
        <f>_xlfn.XLOOKUP(C339,'COM RESID'!J:J,'COM RESID'!V:V)</f>
        <v/>
      </c>
      <c r="I339" s="12">
        <f>ROUNDUP(_xlfn.XLOOKUP(C339,'COM RESID'!J:J,'COM RESID'!S:S),0)</f>
        <v/>
      </c>
      <c r="J339" s="8">
        <f>_xlfn.XLOOKUP(C339,'COM RESID'!J:J,'COM RESID'!T:T)</f>
        <v/>
      </c>
      <c r="K339" s="13">
        <f>_xlfn.XLOOKUP(C339,'COM RESID'!J:J,'COM RESID'!P:P)</f>
        <v/>
      </c>
      <c r="L339" s="12">
        <f>_xlfn.XLOOKUP(C339,'COM RESID'!J:J,'COM RESID'!V:V)</f>
        <v/>
      </c>
    </row>
    <row r="340">
      <c r="B340">
        <f>IF(K340=0,"*",Def_Tech!C484)</f>
        <v/>
      </c>
      <c r="C340">
        <f>Def_Tech!D484</f>
        <v/>
      </c>
      <c r="D340">
        <f>_xlfn.XLOOKUP(C340,'COM RESID'!J:J,'COM RESID'!H:H)</f>
        <v/>
      </c>
      <c r="E340">
        <f>_xlfn.XLOOKUP(C340,'COM RESID'!J:J,'COM RESID'!I:I)</f>
        <v/>
      </c>
      <c r="F340" s="12">
        <f>_xlfn.XLOOKUP(C340,'COM RESID'!J:J,'COM RESID'!R:R)</f>
        <v/>
      </c>
      <c r="G340">
        <f>_xlfn.XLOOKUP(C340,'COM RESID'!J:J,'COM RESID'!W:W)</f>
        <v/>
      </c>
      <c r="H340" s="12">
        <f>_xlfn.XLOOKUP(C340,'COM RESID'!J:J,'COM RESID'!V:V)</f>
        <v/>
      </c>
      <c r="I340" s="12">
        <f>ROUNDUP(_xlfn.XLOOKUP(C340,'COM RESID'!J:J,'COM RESID'!S:S),0)</f>
        <v/>
      </c>
      <c r="J340" s="8">
        <f>_xlfn.XLOOKUP(C340,'COM RESID'!J:J,'COM RESID'!T:T)</f>
        <v/>
      </c>
      <c r="K340" s="13">
        <f>_xlfn.XLOOKUP(C340,'COM RESID'!J:J,'COM RESID'!P:P)</f>
        <v/>
      </c>
      <c r="L340" s="12">
        <f>_xlfn.XLOOKUP(C340,'COM RESID'!J:J,'COM RESID'!V:V)</f>
        <v/>
      </c>
    </row>
    <row r="341">
      <c r="B341">
        <f>IF(K341=0,"*",Def_Tech!C485)</f>
        <v/>
      </c>
      <c r="C341">
        <f>Def_Tech!D485</f>
        <v/>
      </c>
      <c r="D341">
        <f>_xlfn.XLOOKUP(C341,'COM RESID'!J:J,'COM RESID'!H:H)</f>
        <v/>
      </c>
      <c r="E341">
        <f>_xlfn.XLOOKUP(C341,'COM RESID'!J:J,'COM RESID'!I:I)</f>
        <v/>
      </c>
      <c r="F341" s="12">
        <f>_xlfn.XLOOKUP(C341,'COM RESID'!J:J,'COM RESID'!R:R)</f>
        <v/>
      </c>
      <c r="G341">
        <f>_xlfn.XLOOKUP(C341,'COM RESID'!J:J,'COM RESID'!W:W)</f>
        <v/>
      </c>
      <c r="H341" s="12">
        <f>_xlfn.XLOOKUP(C341,'COM RESID'!J:J,'COM RESID'!V:V)</f>
        <v/>
      </c>
      <c r="I341" s="12">
        <f>ROUNDUP(_xlfn.XLOOKUP(C341,'COM RESID'!J:J,'COM RESID'!S:S),0)</f>
        <v/>
      </c>
      <c r="J341" s="8">
        <f>_xlfn.XLOOKUP(C341,'COM RESID'!J:J,'COM RESID'!T:T)</f>
        <v/>
      </c>
      <c r="K341" s="13">
        <f>_xlfn.XLOOKUP(C341,'COM RESID'!J:J,'COM RESID'!P:P)</f>
        <v/>
      </c>
      <c r="L341" s="12">
        <f>_xlfn.XLOOKUP(C341,'COM RESID'!J:J,'COM RESID'!V:V)</f>
        <v/>
      </c>
    </row>
    <row r="342">
      <c r="B342">
        <f>IF(K342=0,"*",Def_Tech!C486)</f>
        <v/>
      </c>
      <c r="C342">
        <f>Def_Tech!D486</f>
        <v/>
      </c>
      <c r="D342">
        <f>_xlfn.XLOOKUP(C342,'COM RESID'!J:J,'COM RESID'!H:H)</f>
        <v/>
      </c>
      <c r="E342">
        <f>_xlfn.XLOOKUP(C342,'COM RESID'!J:J,'COM RESID'!I:I)</f>
        <v/>
      </c>
      <c r="F342" s="12">
        <f>_xlfn.XLOOKUP(C342,'COM RESID'!J:J,'COM RESID'!R:R)</f>
        <v/>
      </c>
      <c r="G342">
        <f>_xlfn.XLOOKUP(C342,'COM RESID'!J:J,'COM RESID'!W:W)</f>
        <v/>
      </c>
      <c r="H342" s="12">
        <f>_xlfn.XLOOKUP(C342,'COM RESID'!J:J,'COM RESID'!V:V)</f>
        <v/>
      </c>
      <c r="I342" s="12">
        <f>ROUNDUP(_xlfn.XLOOKUP(C342,'COM RESID'!J:J,'COM RESID'!S:S),0)</f>
        <v/>
      </c>
      <c r="J342" s="8">
        <f>_xlfn.XLOOKUP(C342,'COM RESID'!J:J,'COM RESID'!T:T)</f>
        <v/>
      </c>
      <c r="K342" s="13">
        <f>_xlfn.XLOOKUP(C342,'COM RESID'!J:J,'COM RESID'!P:P)</f>
        <v/>
      </c>
      <c r="L342" s="12">
        <f>_xlfn.XLOOKUP(C342,'COM RESID'!J:J,'COM RESID'!V:V)</f>
        <v/>
      </c>
    </row>
    <row r="343">
      <c r="F343" s="12" t="n"/>
      <c r="H343" s="12" t="n"/>
      <c r="I343" s="12" t="n"/>
      <c r="K343" s="13" t="n"/>
      <c r="L343" s="12" t="n"/>
    </row>
    <row r="344">
      <c r="F344" s="12" t="n"/>
      <c r="H344" s="12" t="n"/>
      <c r="I344" s="12" t="n"/>
      <c r="K344" s="13" t="n"/>
      <c r="L344" s="12" t="n"/>
    </row>
    <row r="345">
      <c r="F345" s="12" t="n"/>
      <c r="H345" s="12" t="n"/>
      <c r="I345" s="12" t="n"/>
      <c r="K345" s="13" t="n"/>
      <c r="L345" s="12" t="n"/>
    </row>
    <row r="346">
      <c r="F346" s="12" t="n"/>
      <c r="H346" s="12" t="n"/>
      <c r="I346" s="12" t="n"/>
      <c r="K346" s="13" t="n"/>
      <c r="L346" s="12" t="n"/>
    </row>
    <row r="347">
      <c r="F347" s="12" t="n"/>
      <c r="H347" s="12" t="n"/>
      <c r="I347" s="12" t="n"/>
      <c r="K347" s="13" t="n"/>
      <c r="L347" s="12" t="n"/>
    </row>
    <row r="348">
      <c r="F348" s="12" t="n"/>
      <c r="H348" s="12" t="n"/>
      <c r="I348" s="12" t="n"/>
      <c r="K348" s="13" t="n"/>
      <c r="L348" s="12" t="n"/>
    </row>
    <row r="349">
      <c r="F349" s="12" t="n"/>
      <c r="H349" s="12" t="n"/>
      <c r="I349" s="12" t="n"/>
      <c r="K349" s="13" t="n"/>
      <c r="L349" s="12" t="n"/>
    </row>
    <row r="350">
      <c r="F350" s="12" t="n"/>
      <c r="H350" s="12" t="n"/>
      <c r="I350" s="12" t="n"/>
      <c r="K350" s="13" t="n"/>
      <c r="L350" s="12" t="n"/>
    </row>
    <row r="351">
      <c r="F351" s="12" t="n"/>
      <c r="H351" s="12" t="n"/>
      <c r="I351" s="12" t="n"/>
      <c r="K351" s="13" t="n"/>
      <c r="L351" s="12" t="n"/>
    </row>
    <row r="352">
      <c r="F352" s="12" t="n"/>
      <c r="H352" s="12" t="n"/>
      <c r="I352" s="12" t="n"/>
      <c r="K352" s="13" t="n"/>
      <c r="L352" s="12" t="n"/>
    </row>
    <row r="353">
      <c r="F353" s="12" t="n"/>
      <c r="H353" s="12" t="n"/>
      <c r="I353" s="12" t="n"/>
      <c r="K353" s="13" t="n"/>
      <c r="L353" s="12" t="n"/>
    </row>
    <row r="354">
      <c r="F354" s="12" t="n"/>
      <c r="H354" s="12" t="n"/>
      <c r="I354" s="12" t="n"/>
      <c r="K354" s="13" t="n"/>
      <c r="L354" s="12" t="n"/>
    </row>
    <row r="355">
      <c r="F355" s="12" t="n"/>
      <c r="H355" s="12" t="n"/>
      <c r="I355" s="12" t="n"/>
      <c r="K355" s="13" t="n"/>
      <c r="L355" s="12" t="n"/>
    </row>
    <row r="356">
      <c r="F356" s="12" t="n"/>
      <c r="H356" s="12" t="n"/>
      <c r="I356" s="12" t="n"/>
      <c r="K356" s="13" t="n"/>
      <c r="L356" s="12" t="n"/>
    </row>
    <row r="357">
      <c r="F357" s="12" t="n"/>
      <c r="H357" s="12" t="n"/>
      <c r="I357" s="12" t="n"/>
      <c r="K357" s="13" t="n"/>
      <c r="L357" s="12" t="n"/>
    </row>
    <row r="358">
      <c r="F358" s="12" t="n"/>
      <c r="H358" s="12" t="n"/>
      <c r="I358" s="12" t="n"/>
      <c r="K358" s="13" t="n"/>
      <c r="L358" s="12" t="n"/>
    </row>
    <row r="359">
      <c r="F359" s="12" t="n"/>
      <c r="H359" s="12" t="n"/>
      <c r="I359" s="12" t="n"/>
      <c r="K359" s="13" t="n"/>
      <c r="L359" s="12" t="n"/>
    </row>
    <row r="360">
      <c r="F360" s="12" t="n"/>
      <c r="H360" s="12" t="n"/>
      <c r="I360" s="12" t="n"/>
      <c r="K360" s="13" t="n"/>
      <c r="L360" s="12" t="n"/>
    </row>
    <row r="361">
      <c r="F361" s="12" t="n"/>
      <c r="H361" s="12" t="n"/>
      <c r="I361" s="12" t="n"/>
      <c r="K361" s="13" t="n"/>
      <c r="L361" s="12" t="n"/>
    </row>
    <row r="362">
      <c r="F362" s="12" t="n"/>
      <c r="H362" s="12" t="n"/>
      <c r="I362" s="12" t="n"/>
      <c r="K362" s="13" t="n"/>
      <c r="L362" s="12" t="n"/>
    </row>
    <row r="363">
      <c r="F363" s="12" t="n"/>
      <c r="H363" s="12" t="n"/>
      <c r="I363" s="12" t="n"/>
      <c r="K363" s="13" t="n"/>
      <c r="L363" s="12" t="n"/>
    </row>
    <row r="364">
      <c r="F364" s="12" t="n"/>
      <c r="H364" s="12" t="n"/>
      <c r="I364" s="12" t="n"/>
      <c r="K364" s="13" t="n"/>
      <c r="L364" s="12" t="n"/>
    </row>
    <row r="365">
      <c r="F365" s="12" t="n"/>
      <c r="H365" s="12" t="n"/>
      <c r="I365" s="12" t="n"/>
      <c r="K365" s="13" t="n"/>
      <c r="L365" s="12" t="n"/>
    </row>
    <row r="366">
      <c r="F366" s="12" t="n"/>
      <c r="H366" s="12" t="n"/>
      <c r="I366" s="12" t="n"/>
      <c r="K366" s="13" t="n"/>
      <c r="L366" s="12" t="n"/>
    </row>
    <row r="367">
      <c r="F367" s="12" t="n"/>
      <c r="H367" s="12" t="n"/>
      <c r="I367" s="12" t="n"/>
      <c r="K367" s="13" t="n"/>
      <c r="L367" s="12" t="n"/>
    </row>
    <row r="368">
      <c r="F368" s="12" t="n"/>
      <c r="H368" s="12" t="n"/>
      <c r="I368" s="12" t="n"/>
      <c r="K368" s="13" t="n"/>
      <c r="L368" s="12" t="n"/>
    </row>
    <row r="369">
      <c r="F369" s="12" t="n"/>
      <c r="H369" s="12" t="n"/>
      <c r="I369" s="12" t="n"/>
      <c r="K369" s="13" t="n"/>
      <c r="L369" s="12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3:M53"/>
  <sheetViews>
    <sheetView workbookViewId="0">
      <selection activeCell="E11" sqref="E11"/>
    </sheetView>
  </sheetViews>
  <sheetFormatPr baseColWidth="8" defaultRowHeight="15"/>
  <cols>
    <col width="7.42578125" bestFit="1" customWidth="1" min="2" max="2"/>
    <col width="25.28515625" bestFit="1" customWidth="1" min="3" max="3"/>
    <col width="9.28515625" bestFit="1" customWidth="1" min="4" max="4"/>
    <col width="11" bestFit="1" customWidth="1" min="5" max="5"/>
    <col width="25.28515625" bestFit="1" customWidth="1" min="9" max="9"/>
    <col width="16.85546875" bestFit="1" customWidth="1" min="11" max="11"/>
    <col width="16.28515625" bestFit="1" customWidth="1" min="12" max="13"/>
  </cols>
  <sheetData>
    <row r="3">
      <c r="E3" s="9" t="inlineStr">
        <is>
          <t>~FI_T</t>
        </is>
      </c>
      <c r="K3" s="9" t="inlineStr">
        <is>
          <t>~FI_T</t>
        </is>
      </c>
    </row>
    <row r="4">
      <c r="B4" s="10" t="inlineStr">
        <is>
          <t>Region</t>
        </is>
      </c>
      <c r="C4" s="10" t="inlineStr">
        <is>
          <t>TechName</t>
        </is>
      </c>
      <c r="D4" s="10" t="inlineStr">
        <is>
          <t>Comm-IN</t>
        </is>
      </c>
      <c r="E4" s="10" t="inlineStr">
        <is>
          <t>SHARE~UP</t>
        </is>
      </c>
      <c r="H4" s="10" t="inlineStr">
        <is>
          <t>Region</t>
        </is>
      </c>
      <c r="I4" s="10" t="inlineStr">
        <is>
          <t>TechName</t>
        </is>
      </c>
      <c r="J4" s="10" t="inlineStr">
        <is>
          <t>Comm-IN</t>
        </is>
      </c>
      <c r="K4" s="10" t="inlineStr">
        <is>
          <t xml:space="preserve">SHARE~UP~2019 </t>
        </is>
      </c>
      <c r="L4" s="10" t="inlineStr">
        <is>
          <t>SHARE~UP~2025</t>
        </is>
      </c>
      <c r="M4" s="10" t="inlineStr">
        <is>
          <t>SHARE~UP~2100</t>
        </is>
      </c>
    </row>
    <row r="5" ht="15.75" customHeight="1" thickBot="1">
      <c r="B5" s="11" t="inlineStr">
        <is>
          <t>*</t>
        </is>
      </c>
      <c r="C5" s="11" t="inlineStr">
        <is>
          <t>*</t>
        </is>
      </c>
      <c r="D5" s="11" t="n"/>
      <c r="E5" s="11" t="n"/>
      <c r="H5" s="11" t="inlineStr">
        <is>
          <t>*</t>
        </is>
      </c>
      <c r="I5" s="11" t="inlineStr">
        <is>
          <t>*</t>
        </is>
      </c>
      <c r="J5" s="11" t="n"/>
      <c r="K5" s="11" t="n"/>
      <c r="L5" s="11" t="n"/>
      <c r="M5" s="11" t="n"/>
    </row>
    <row r="6">
      <c r="B6">
        <f t="array" ref="B6:C53">_xlfn._xlws.FILTER(ResidCOM!$B:$C,ResidCOM!$D:$D="COMNGA")</f>
        <v/>
      </c>
      <c r="C6" t="inlineStr">
        <is>
          <t>COMHOTOldSHFURNGA19</t>
        </is>
      </c>
      <c r="D6">
        <f>IF(C6="","","COMNGA")</f>
        <v/>
      </c>
      <c r="E6">
        <f>IF(C6="","",1)</f>
        <v/>
      </c>
      <c r="H6">
        <f t="array" ref="H6:I53">_xlfn._xlws.FILTER(ResidCOM!$B:$C,ResidCOM!$D:$D="COMNGA")</f>
        <v/>
      </c>
      <c r="I6" t="inlineStr">
        <is>
          <t>COMHOTOldSHFURNGA19</t>
        </is>
      </c>
      <c r="J6">
        <f>IF(I6="","","COMRNG")</f>
        <v/>
      </c>
      <c r="K6">
        <f>IF(I6="","",0)</f>
        <v/>
      </c>
      <c r="L6">
        <f>IF(I6="","",1)</f>
        <v/>
      </c>
      <c r="M6">
        <f>IF(I6="","",1)</f>
        <v/>
      </c>
    </row>
    <row r="7">
      <c r="B7" t="inlineStr">
        <is>
          <t>CITY</t>
        </is>
      </c>
      <c r="C7" t="inlineStr">
        <is>
          <t>COMHOTOldSHBOINGA19</t>
        </is>
      </c>
      <c r="D7">
        <f>IF(C7="","","COMNGA")</f>
        <v/>
      </c>
      <c r="E7">
        <f>IF(C7="","",1)</f>
        <v/>
      </c>
      <c r="H7" t="inlineStr">
        <is>
          <t>CITY</t>
        </is>
      </c>
      <c r="I7" t="inlineStr">
        <is>
          <t>COMHOTOldSHBOINGA19</t>
        </is>
      </c>
      <c r="J7">
        <f>IF(I7="","","COMRNG")</f>
        <v/>
      </c>
      <c r="K7">
        <f>IF(I7="","",0)</f>
        <v/>
      </c>
      <c r="L7">
        <f>IF(I7="","",1)</f>
        <v/>
      </c>
      <c r="M7">
        <f>IF(I7="","",1)</f>
        <v/>
      </c>
    </row>
    <row r="8">
      <c r="B8" t="inlineStr">
        <is>
          <t>CITY</t>
        </is>
      </c>
      <c r="C8" t="inlineStr">
        <is>
          <t>COMHOTOldSHAHPNGA19</t>
        </is>
      </c>
      <c r="D8">
        <f>IF(C8="","","COMNGA")</f>
        <v/>
      </c>
      <c r="E8">
        <f>IF(C8="","",1)</f>
        <v/>
      </c>
      <c r="H8" t="inlineStr">
        <is>
          <t>CITY</t>
        </is>
      </c>
      <c r="I8" t="inlineStr">
        <is>
          <t>COMHOTOldSHAHPNGA19</t>
        </is>
      </c>
      <c r="J8">
        <f>IF(I8="","","COMRNG")</f>
        <v/>
      </c>
      <c r="K8">
        <f>IF(I8="","",0)</f>
        <v/>
      </c>
      <c r="L8">
        <f>IF(I8="","",1)</f>
        <v/>
      </c>
      <c r="M8">
        <f>IF(I8="","",1)</f>
        <v/>
      </c>
    </row>
    <row r="9">
      <c r="B9" t="inlineStr">
        <is>
          <t>CITY</t>
        </is>
      </c>
      <c r="C9" t="inlineStr">
        <is>
          <t>COMHOTOldWHNGA19</t>
        </is>
      </c>
      <c r="D9">
        <f>IF(C9="","","COMNGA")</f>
        <v/>
      </c>
      <c r="E9">
        <f>IF(C9="","",1)</f>
        <v/>
      </c>
      <c r="H9" t="inlineStr">
        <is>
          <t>CITY</t>
        </is>
      </c>
      <c r="I9" t="inlineStr">
        <is>
          <t>COMHOTOldWHNGA19</t>
        </is>
      </c>
      <c r="J9">
        <f>IF(I9="","","COMRNG")</f>
        <v/>
      </c>
      <c r="K9">
        <f>IF(I9="","",0)</f>
        <v/>
      </c>
      <c r="L9">
        <f>IF(I9="","",1)</f>
        <v/>
      </c>
      <c r="M9">
        <f>IF(I9="","",1)</f>
        <v/>
      </c>
    </row>
    <row r="10">
      <c r="B10" t="inlineStr">
        <is>
          <t>CITY</t>
        </is>
      </c>
      <c r="C10" t="inlineStr">
        <is>
          <t>COMHOTOldCKNGA19</t>
        </is>
      </c>
      <c r="D10">
        <f>IF(C10="","","COMNGA")</f>
        <v/>
      </c>
      <c r="E10">
        <f>IF(C10="","",1)</f>
        <v/>
      </c>
      <c r="H10" t="inlineStr">
        <is>
          <t>CITY</t>
        </is>
      </c>
      <c r="I10" t="inlineStr">
        <is>
          <t>COMHOTOldCKNGA19</t>
        </is>
      </c>
      <c r="J10">
        <f>IF(I10="","","COMRNG")</f>
        <v/>
      </c>
      <c r="K10">
        <f>IF(I10="","",0)</f>
        <v/>
      </c>
      <c r="L10">
        <f>IF(I10="","",1)</f>
        <v/>
      </c>
      <c r="M10">
        <f>IF(I10="","",1)</f>
        <v/>
      </c>
    </row>
    <row r="11">
      <c r="B11" t="inlineStr">
        <is>
          <t>CITY</t>
        </is>
      </c>
      <c r="C11" t="inlineStr">
        <is>
          <t>COMHOTOldOENGA19</t>
        </is>
      </c>
      <c r="D11">
        <f>IF(C11="","","COMNGA")</f>
        <v/>
      </c>
      <c r="E11">
        <f>IF(C11="","",1)</f>
        <v/>
      </c>
      <c r="H11" t="inlineStr">
        <is>
          <t>CITY</t>
        </is>
      </c>
      <c r="I11" t="inlineStr">
        <is>
          <t>COMHOTOldOENGA19</t>
        </is>
      </c>
      <c r="J11">
        <f>IF(I11="","","COMRNG")</f>
        <v/>
      </c>
      <c r="K11">
        <f>IF(I11="","",0)</f>
        <v/>
      </c>
      <c r="L11">
        <f>IF(I11="","",1)</f>
        <v/>
      </c>
      <c r="M11">
        <f>IF(I11="","",1)</f>
        <v/>
      </c>
    </row>
    <row r="12">
      <c r="B12" t="inlineStr">
        <is>
          <t>CITY</t>
        </is>
      </c>
      <c r="C12" t="inlineStr">
        <is>
          <t>COMRETOldSHFURNGA19</t>
        </is>
      </c>
      <c r="D12">
        <f>IF(C12="","","COMNGA")</f>
        <v/>
      </c>
      <c r="E12">
        <f>IF(C12="","",1)</f>
        <v/>
      </c>
      <c r="H12" t="inlineStr">
        <is>
          <t>CITY</t>
        </is>
      </c>
      <c r="I12" t="inlineStr">
        <is>
          <t>COMRETOldSHFURNGA19</t>
        </is>
      </c>
      <c r="J12">
        <f>IF(I12="","","COMRNG")</f>
        <v/>
      </c>
      <c r="K12">
        <f>IF(I12="","",0)</f>
        <v/>
      </c>
      <c r="L12">
        <f>IF(I12="","",1)</f>
        <v/>
      </c>
      <c r="M12">
        <f>IF(I12="","",1)</f>
        <v/>
      </c>
    </row>
    <row r="13">
      <c r="B13" t="inlineStr">
        <is>
          <t>CITY</t>
        </is>
      </c>
      <c r="C13" t="inlineStr">
        <is>
          <t>COMRETOldSHBOINGA19</t>
        </is>
      </c>
      <c r="D13">
        <f>IF(C13="","","COMNGA")</f>
        <v/>
      </c>
      <c r="E13">
        <f>IF(C13="","",1)</f>
        <v/>
      </c>
      <c r="H13" t="inlineStr">
        <is>
          <t>CITY</t>
        </is>
      </c>
      <c r="I13" t="inlineStr">
        <is>
          <t>COMRETOldSHBOINGA19</t>
        </is>
      </c>
      <c r="J13">
        <f>IF(I13="","","COMRNG")</f>
        <v/>
      </c>
      <c r="K13">
        <f>IF(I13="","",0)</f>
        <v/>
      </c>
      <c r="L13">
        <f>IF(I13="","",1)</f>
        <v/>
      </c>
      <c r="M13">
        <f>IF(I13="","",1)</f>
        <v/>
      </c>
    </row>
    <row r="14">
      <c r="B14" t="inlineStr">
        <is>
          <t>CITY</t>
        </is>
      </c>
      <c r="C14" t="inlineStr">
        <is>
          <t>COMRETOldSHAHPNGA19</t>
        </is>
      </c>
      <c r="D14">
        <f>IF(C14="","","COMNGA")</f>
        <v/>
      </c>
      <c r="E14">
        <f>IF(C14="","",1)</f>
        <v/>
      </c>
      <c r="H14" t="inlineStr">
        <is>
          <t>CITY</t>
        </is>
      </c>
      <c r="I14" t="inlineStr">
        <is>
          <t>COMRETOldSHAHPNGA19</t>
        </is>
      </c>
      <c r="J14">
        <f>IF(I14="","","COMRNG")</f>
        <v/>
      </c>
      <c r="K14">
        <f>IF(I14="","",0)</f>
        <v/>
      </c>
      <c r="L14">
        <f>IF(I14="","",1)</f>
        <v/>
      </c>
      <c r="M14">
        <f>IF(I14="","",1)</f>
        <v/>
      </c>
    </row>
    <row r="15">
      <c r="B15" t="inlineStr">
        <is>
          <t>CITY</t>
        </is>
      </c>
      <c r="C15" t="inlineStr">
        <is>
          <t>COMRETOldWHNGA19</t>
        </is>
      </c>
      <c r="D15">
        <f>IF(C15="","","COMNGA")</f>
        <v/>
      </c>
      <c r="E15">
        <f>IF(C15="","",1)</f>
        <v/>
      </c>
      <c r="H15" t="inlineStr">
        <is>
          <t>CITY</t>
        </is>
      </c>
      <c r="I15" t="inlineStr">
        <is>
          <t>COMRETOldWHNGA19</t>
        </is>
      </c>
      <c r="J15">
        <f>IF(I15="","","COMRNG")</f>
        <v/>
      </c>
      <c r="K15">
        <f>IF(I15="","",0)</f>
        <v/>
      </c>
      <c r="L15">
        <f>IF(I15="","",1)</f>
        <v/>
      </c>
      <c r="M15">
        <f>IF(I15="","",1)</f>
        <v/>
      </c>
    </row>
    <row r="16">
      <c r="B16" t="inlineStr">
        <is>
          <t>CITY</t>
        </is>
      </c>
      <c r="C16" t="inlineStr">
        <is>
          <t>COMRETOldCKNGA19</t>
        </is>
      </c>
      <c r="D16">
        <f>IF(C16="","","COMNGA")</f>
        <v/>
      </c>
      <c r="E16">
        <f>IF(C16="","",1)</f>
        <v/>
      </c>
      <c r="H16" t="inlineStr">
        <is>
          <t>CITY</t>
        </is>
      </c>
      <c r="I16" t="inlineStr">
        <is>
          <t>COMRETOldCKNGA19</t>
        </is>
      </c>
      <c r="J16">
        <f>IF(I16="","","COMRNG")</f>
        <v/>
      </c>
      <c r="K16">
        <f>IF(I16="","",0)</f>
        <v/>
      </c>
      <c r="L16">
        <f>IF(I16="","",1)</f>
        <v/>
      </c>
      <c r="M16">
        <f>IF(I16="","",1)</f>
        <v/>
      </c>
    </row>
    <row r="17">
      <c r="B17" t="inlineStr">
        <is>
          <t>CITY</t>
        </is>
      </c>
      <c r="C17" t="inlineStr">
        <is>
          <t>COMRETOldOENGA19</t>
        </is>
      </c>
      <c r="D17">
        <f>IF(C17="","","COMNGA")</f>
        <v/>
      </c>
      <c r="E17">
        <f>IF(C17="","",1)</f>
        <v/>
      </c>
      <c r="H17" t="inlineStr">
        <is>
          <t>CITY</t>
        </is>
      </c>
      <c r="I17" t="inlineStr">
        <is>
          <t>COMRETOldOENGA19</t>
        </is>
      </c>
      <c r="J17">
        <f>IF(I17="","","COMRNG")</f>
        <v/>
      </c>
      <c r="K17">
        <f>IF(I17="","",0)</f>
        <v/>
      </c>
      <c r="L17">
        <f>IF(I17="","",1)</f>
        <v/>
      </c>
      <c r="M17">
        <f>IF(I17="","",1)</f>
        <v/>
      </c>
    </row>
    <row r="18">
      <c r="B18" t="inlineStr">
        <is>
          <t>CITY</t>
        </is>
      </c>
      <c r="C18" t="inlineStr">
        <is>
          <t>COMOFFOldSHFURNGA19</t>
        </is>
      </c>
      <c r="D18">
        <f>IF(C18="","","COMNGA")</f>
        <v/>
      </c>
      <c r="E18">
        <f>IF(C18="","",1)</f>
        <v/>
      </c>
      <c r="H18" t="inlineStr">
        <is>
          <t>CITY</t>
        </is>
      </c>
      <c r="I18" t="inlineStr">
        <is>
          <t>COMOFFOldSHFURNGA19</t>
        </is>
      </c>
      <c r="J18">
        <f>IF(I18="","","COMRNG")</f>
        <v/>
      </c>
      <c r="K18">
        <f>IF(I18="","",0)</f>
        <v/>
      </c>
      <c r="L18">
        <f>IF(I18="","",1)</f>
        <v/>
      </c>
      <c r="M18">
        <f>IF(I18="","",1)</f>
        <v/>
      </c>
    </row>
    <row r="19">
      <c r="B19" t="inlineStr">
        <is>
          <t>CITY</t>
        </is>
      </c>
      <c r="C19" t="inlineStr">
        <is>
          <t>COMOFFOldSHBOINGA19</t>
        </is>
      </c>
      <c r="D19">
        <f>IF(C19="","","COMNGA")</f>
        <v/>
      </c>
      <c r="E19">
        <f>IF(C19="","",1)</f>
        <v/>
      </c>
      <c r="H19" t="inlineStr">
        <is>
          <t>CITY</t>
        </is>
      </c>
      <c r="I19" t="inlineStr">
        <is>
          <t>COMOFFOldSHBOINGA19</t>
        </is>
      </c>
      <c r="J19">
        <f>IF(I19="","","COMRNG")</f>
        <v/>
      </c>
      <c r="K19">
        <f>IF(I19="","",0)</f>
        <v/>
      </c>
      <c r="L19">
        <f>IF(I19="","",1)</f>
        <v/>
      </c>
      <c r="M19">
        <f>IF(I19="","",1)</f>
        <v/>
      </c>
    </row>
    <row r="20">
      <c r="B20" t="inlineStr">
        <is>
          <t>CITY</t>
        </is>
      </c>
      <c r="C20" t="inlineStr">
        <is>
          <t>COMOFFOldSHAHPNGA19</t>
        </is>
      </c>
      <c r="D20">
        <f>IF(C20="","","COMNGA")</f>
        <v/>
      </c>
      <c r="E20">
        <f>IF(C20="","",1)</f>
        <v/>
      </c>
      <c r="H20" t="inlineStr">
        <is>
          <t>CITY</t>
        </is>
      </c>
      <c r="I20" t="inlineStr">
        <is>
          <t>COMOFFOldSHAHPNGA19</t>
        </is>
      </c>
      <c r="J20">
        <f>IF(I20="","","COMRNG")</f>
        <v/>
      </c>
      <c r="K20">
        <f>IF(I20="","",0)</f>
        <v/>
      </c>
      <c r="L20">
        <f>IF(I20="","",1)</f>
        <v/>
      </c>
      <c r="M20">
        <f>IF(I20="","",1)</f>
        <v/>
      </c>
    </row>
    <row r="21">
      <c r="B21" t="inlineStr">
        <is>
          <t>CITY</t>
        </is>
      </c>
      <c r="C21" t="inlineStr">
        <is>
          <t>COMOFFOldWHNGA19</t>
        </is>
      </c>
      <c r="D21">
        <f>IF(C21="","","COMNGA")</f>
        <v/>
      </c>
      <c r="E21">
        <f>IF(C21="","",1)</f>
        <v/>
      </c>
      <c r="H21" t="inlineStr">
        <is>
          <t>CITY</t>
        </is>
      </c>
      <c r="I21" t="inlineStr">
        <is>
          <t>COMOFFOldWHNGA19</t>
        </is>
      </c>
      <c r="J21">
        <f>IF(I21="","","COMRNG")</f>
        <v/>
      </c>
      <c r="K21">
        <f>IF(I21="","",0)</f>
        <v/>
      </c>
      <c r="L21">
        <f>IF(I21="","",1)</f>
        <v/>
      </c>
      <c r="M21">
        <f>IF(I21="","",1)</f>
        <v/>
      </c>
    </row>
    <row r="22">
      <c r="B22" t="inlineStr">
        <is>
          <t>CITY</t>
        </is>
      </c>
      <c r="C22" t="inlineStr">
        <is>
          <t>COMOFFOldCKNGA19</t>
        </is>
      </c>
      <c r="D22">
        <f>IF(C22="","","COMNGA")</f>
        <v/>
      </c>
      <c r="E22">
        <f>IF(C22="","",1)</f>
        <v/>
      </c>
      <c r="H22" t="inlineStr">
        <is>
          <t>CITY</t>
        </is>
      </c>
      <c r="I22" t="inlineStr">
        <is>
          <t>COMOFFOldCKNGA19</t>
        </is>
      </c>
      <c r="J22">
        <f>IF(I22="","","COMRNG")</f>
        <v/>
      </c>
      <c r="K22">
        <f>IF(I22="","",0)</f>
        <v/>
      </c>
      <c r="L22">
        <f>IF(I22="","",1)</f>
        <v/>
      </c>
      <c r="M22">
        <f>IF(I22="","",1)</f>
        <v/>
      </c>
    </row>
    <row r="23">
      <c r="B23" t="inlineStr">
        <is>
          <t>CITY</t>
        </is>
      </c>
      <c r="C23" t="inlineStr">
        <is>
          <t>COMOFFOldOENGA19</t>
        </is>
      </c>
      <c r="D23">
        <f>IF(C23="","","COMNGA")</f>
        <v/>
      </c>
      <c r="E23">
        <f>IF(C23="","",1)</f>
        <v/>
      </c>
      <c r="H23" t="inlineStr">
        <is>
          <t>CITY</t>
        </is>
      </c>
      <c r="I23" t="inlineStr">
        <is>
          <t>COMOFFOldOENGA19</t>
        </is>
      </c>
      <c r="J23">
        <f>IF(I23="","","COMRNG")</f>
        <v/>
      </c>
      <c r="K23">
        <f>IF(I23="","",0)</f>
        <v/>
      </c>
      <c r="L23">
        <f>IF(I23="","",1)</f>
        <v/>
      </c>
      <c r="M23">
        <f>IF(I23="","",1)</f>
        <v/>
      </c>
    </row>
    <row r="24">
      <c r="B24" t="inlineStr">
        <is>
          <t>CITY</t>
        </is>
      </c>
      <c r="C24" t="inlineStr">
        <is>
          <t>COMHOPOldSHFURNGA19</t>
        </is>
      </c>
      <c r="D24">
        <f>IF(C24="","","COMNGA")</f>
        <v/>
      </c>
      <c r="E24">
        <f>IF(C24="","",1)</f>
        <v/>
      </c>
      <c r="H24" t="inlineStr">
        <is>
          <t>CITY</t>
        </is>
      </c>
      <c r="I24" t="inlineStr">
        <is>
          <t>COMHOPOldSHFURNGA19</t>
        </is>
      </c>
      <c r="J24">
        <f>IF(I24="","","COMRNG")</f>
        <v/>
      </c>
      <c r="K24">
        <f>IF(I24="","",0)</f>
        <v/>
      </c>
      <c r="L24">
        <f>IF(I24="","",1)</f>
        <v/>
      </c>
      <c r="M24">
        <f>IF(I24="","",1)</f>
        <v/>
      </c>
    </row>
    <row r="25">
      <c r="B25" t="inlineStr">
        <is>
          <t>CITY</t>
        </is>
      </c>
      <c r="C25" t="inlineStr">
        <is>
          <t>COMHOPOldSHBOINGA19</t>
        </is>
      </c>
      <c r="D25">
        <f>IF(C25="","","COMNGA")</f>
        <v/>
      </c>
      <c r="E25">
        <f>IF(C25="","",1)</f>
        <v/>
      </c>
      <c r="H25" t="inlineStr">
        <is>
          <t>CITY</t>
        </is>
      </c>
      <c r="I25" t="inlineStr">
        <is>
          <t>COMHOPOldSHBOINGA19</t>
        </is>
      </c>
      <c r="J25">
        <f>IF(I25="","","COMRNG")</f>
        <v/>
      </c>
      <c r="K25">
        <f>IF(I25="","",0)</f>
        <v/>
      </c>
      <c r="L25">
        <f>IF(I25="","",1)</f>
        <v/>
      </c>
      <c r="M25">
        <f>IF(I25="","",1)</f>
        <v/>
      </c>
    </row>
    <row r="26">
      <c r="B26" t="inlineStr">
        <is>
          <t>CITY</t>
        </is>
      </c>
      <c r="C26" t="inlineStr">
        <is>
          <t>COMHOPOldSHAHPNGA19</t>
        </is>
      </c>
      <c r="D26">
        <f>IF(C26="","","COMNGA")</f>
        <v/>
      </c>
      <c r="E26">
        <f>IF(C26="","",1)</f>
        <v/>
      </c>
      <c r="H26" t="inlineStr">
        <is>
          <t>CITY</t>
        </is>
      </c>
      <c r="I26" t="inlineStr">
        <is>
          <t>COMHOPOldSHAHPNGA19</t>
        </is>
      </c>
      <c r="J26">
        <f>IF(I26="","","COMRNG")</f>
        <v/>
      </c>
      <c r="K26">
        <f>IF(I26="","",0)</f>
        <v/>
      </c>
      <c r="L26">
        <f>IF(I26="","",1)</f>
        <v/>
      </c>
      <c r="M26">
        <f>IF(I26="","",1)</f>
        <v/>
      </c>
    </row>
    <row r="27">
      <c r="B27" t="inlineStr">
        <is>
          <t>CITY</t>
        </is>
      </c>
      <c r="C27" t="inlineStr">
        <is>
          <t>COMHOPOldWHNGA19</t>
        </is>
      </c>
      <c r="D27">
        <f>IF(C27="","","COMNGA")</f>
        <v/>
      </c>
      <c r="E27">
        <f>IF(C27="","",1)</f>
        <v/>
      </c>
      <c r="H27" t="inlineStr">
        <is>
          <t>CITY</t>
        </is>
      </c>
      <c r="I27" t="inlineStr">
        <is>
          <t>COMHOPOldWHNGA19</t>
        </is>
      </c>
      <c r="J27">
        <f>IF(I27="","","COMRNG")</f>
        <v/>
      </c>
      <c r="K27">
        <f>IF(I27="","",0)</f>
        <v/>
      </c>
      <c r="L27">
        <f>IF(I27="","",1)</f>
        <v/>
      </c>
      <c r="M27">
        <f>IF(I27="","",1)</f>
        <v/>
      </c>
    </row>
    <row r="28">
      <c r="B28" t="inlineStr">
        <is>
          <t>CITY</t>
        </is>
      </c>
      <c r="C28" t="inlineStr">
        <is>
          <t>COMHOPOldCKNGA19</t>
        </is>
      </c>
      <c r="D28">
        <f>IF(C28="","","COMNGA")</f>
        <v/>
      </c>
      <c r="E28">
        <f>IF(C28="","",1)</f>
        <v/>
      </c>
      <c r="H28" t="inlineStr">
        <is>
          <t>CITY</t>
        </is>
      </c>
      <c r="I28" t="inlineStr">
        <is>
          <t>COMHOPOldCKNGA19</t>
        </is>
      </c>
      <c r="J28">
        <f>IF(I28="","","COMRNG")</f>
        <v/>
      </c>
      <c r="K28">
        <f>IF(I28="","",0)</f>
        <v/>
      </c>
      <c r="L28">
        <f>IF(I28="","",1)</f>
        <v/>
      </c>
      <c r="M28">
        <f>IF(I28="","",1)</f>
        <v/>
      </c>
    </row>
    <row r="29">
      <c r="B29" t="inlineStr">
        <is>
          <t>CITY</t>
        </is>
      </c>
      <c r="C29" t="inlineStr">
        <is>
          <t>COMHOPOldOENGA19</t>
        </is>
      </c>
      <c r="D29">
        <f>IF(C29="","","COMNGA")</f>
        <v/>
      </c>
      <c r="E29">
        <f>IF(C29="","",1)</f>
        <v/>
      </c>
      <c r="H29" t="inlineStr">
        <is>
          <t>CITY</t>
        </is>
      </c>
      <c r="I29" t="inlineStr">
        <is>
          <t>COMHOPOldOENGA19</t>
        </is>
      </c>
      <c r="J29">
        <f>IF(I29="","","COMRNG")</f>
        <v/>
      </c>
      <c r="K29">
        <f>IF(I29="","",0)</f>
        <v/>
      </c>
      <c r="L29">
        <f>IF(I29="","",1)</f>
        <v/>
      </c>
      <c r="M29">
        <f>IF(I29="","",1)</f>
        <v/>
      </c>
    </row>
    <row r="30">
      <c r="B30" t="inlineStr">
        <is>
          <t>CITY</t>
        </is>
      </c>
      <c r="C30" t="inlineStr">
        <is>
          <t>COMEDUOldSHFURNGA19</t>
        </is>
      </c>
      <c r="D30">
        <f>IF(C30="","","COMNGA")</f>
        <v/>
      </c>
      <c r="E30">
        <f>IF(C30="","",1)</f>
        <v/>
      </c>
      <c r="H30" t="inlineStr">
        <is>
          <t>CITY</t>
        </is>
      </c>
      <c r="I30" t="inlineStr">
        <is>
          <t>COMEDUOldSHFURNGA19</t>
        </is>
      </c>
      <c r="J30">
        <f>IF(I30="","","COMRNG")</f>
        <v/>
      </c>
      <c r="K30">
        <f>IF(I30="","",0)</f>
        <v/>
      </c>
      <c r="L30">
        <f>IF(I30="","",1)</f>
        <v/>
      </c>
      <c r="M30">
        <f>IF(I30="","",1)</f>
        <v/>
      </c>
    </row>
    <row r="31">
      <c r="B31" t="inlineStr">
        <is>
          <t>CITY</t>
        </is>
      </c>
      <c r="C31" t="inlineStr">
        <is>
          <t>COMEDUOldSHBOINGA19</t>
        </is>
      </c>
      <c r="D31">
        <f>IF(C31="","","COMNGA")</f>
        <v/>
      </c>
      <c r="E31">
        <f>IF(C31="","",1)</f>
        <v/>
      </c>
      <c r="H31" t="inlineStr">
        <is>
          <t>CITY</t>
        </is>
      </c>
      <c r="I31" t="inlineStr">
        <is>
          <t>COMEDUOldSHBOINGA19</t>
        </is>
      </c>
      <c r="J31">
        <f>IF(I31="","","COMRNG")</f>
        <v/>
      </c>
      <c r="K31">
        <f>IF(I31="","",0)</f>
        <v/>
      </c>
      <c r="L31">
        <f>IF(I31="","",1)</f>
        <v/>
      </c>
      <c r="M31">
        <f>IF(I31="","",1)</f>
        <v/>
      </c>
    </row>
    <row r="32">
      <c r="B32" t="inlineStr">
        <is>
          <t>CITY</t>
        </is>
      </c>
      <c r="C32" t="inlineStr">
        <is>
          <t>COMEDUOldSHAHPNGA19</t>
        </is>
      </c>
      <c r="D32">
        <f>IF(C32="","","COMNGA")</f>
        <v/>
      </c>
      <c r="E32">
        <f>IF(C32="","",1)</f>
        <v/>
      </c>
      <c r="H32" t="inlineStr">
        <is>
          <t>CITY</t>
        </is>
      </c>
      <c r="I32" t="inlineStr">
        <is>
          <t>COMEDUOldSHAHPNGA19</t>
        </is>
      </c>
      <c r="J32">
        <f>IF(I32="","","COMRNG")</f>
        <v/>
      </c>
      <c r="K32">
        <f>IF(I32="","",0)</f>
        <v/>
      </c>
      <c r="L32">
        <f>IF(I32="","",1)</f>
        <v/>
      </c>
      <c r="M32">
        <f>IF(I32="","",1)</f>
        <v/>
      </c>
    </row>
    <row r="33">
      <c r="B33" t="inlineStr">
        <is>
          <t>CITY</t>
        </is>
      </c>
      <c r="C33" t="inlineStr">
        <is>
          <t>COMEDUOldWHNGA19</t>
        </is>
      </c>
      <c r="D33">
        <f>IF(C33="","","COMNGA")</f>
        <v/>
      </c>
      <c r="E33">
        <f>IF(C33="","",1)</f>
        <v/>
      </c>
      <c r="H33" t="inlineStr">
        <is>
          <t>CITY</t>
        </is>
      </c>
      <c r="I33" t="inlineStr">
        <is>
          <t>COMEDUOldWHNGA19</t>
        </is>
      </c>
      <c r="J33">
        <f>IF(I33="","","COMRNG")</f>
        <v/>
      </c>
      <c r="K33">
        <f>IF(I33="","",0)</f>
        <v/>
      </c>
      <c r="L33">
        <f>IF(I33="","",1)</f>
        <v/>
      </c>
      <c r="M33">
        <f>IF(I33="","",1)</f>
        <v/>
      </c>
    </row>
    <row r="34">
      <c r="B34" t="inlineStr">
        <is>
          <t>CITY</t>
        </is>
      </c>
      <c r="C34" t="inlineStr">
        <is>
          <t>COMEDUOldCKNGA19</t>
        </is>
      </c>
      <c r="D34">
        <f>IF(C34="","","COMNGA")</f>
        <v/>
      </c>
      <c r="E34">
        <f>IF(C34="","",1)</f>
        <v/>
      </c>
      <c r="H34" t="inlineStr">
        <is>
          <t>CITY</t>
        </is>
      </c>
      <c r="I34" t="inlineStr">
        <is>
          <t>COMEDUOldCKNGA19</t>
        </is>
      </c>
      <c r="J34">
        <f>IF(I34="","","COMRNG")</f>
        <v/>
      </c>
      <c r="K34">
        <f>IF(I34="","",0)</f>
        <v/>
      </c>
      <c r="L34">
        <f>IF(I34="","",1)</f>
        <v/>
      </c>
      <c r="M34">
        <f>IF(I34="","",1)</f>
        <v/>
      </c>
    </row>
    <row r="35">
      <c r="B35" t="inlineStr">
        <is>
          <t>CITY</t>
        </is>
      </c>
      <c r="C35" t="inlineStr">
        <is>
          <t>COMEDUOldOENGA19</t>
        </is>
      </c>
      <c r="D35">
        <f>IF(C35="","","COMNGA")</f>
        <v/>
      </c>
      <c r="E35">
        <f>IF(C35="","",1)</f>
        <v/>
      </c>
      <c r="H35" t="inlineStr">
        <is>
          <t>CITY</t>
        </is>
      </c>
      <c r="I35" t="inlineStr">
        <is>
          <t>COMEDUOldOENGA19</t>
        </is>
      </c>
      <c r="J35">
        <f>IF(I35="","","COMRNG")</f>
        <v/>
      </c>
      <c r="K35">
        <f>IF(I35="","",0)</f>
        <v/>
      </c>
      <c r="L35">
        <f>IF(I35="","",1)</f>
        <v/>
      </c>
      <c r="M35">
        <f>IF(I35="","",1)</f>
        <v/>
      </c>
    </row>
    <row r="36">
      <c r="B36" t="inlineStr">
        <is>
          <t>CITY</t>
        </is>
      </c>
      <c r="C36" t="inlineStr">
        <is>
          <t>COMWAROldSHFURNGA19</t>
        </is>
      </c>
      <c r="D36">
        <f>IF(C36="","","COMNGA")</f>
        <v/>
      </c>
      <c r="E36">
        <f>IF(C36="","",1)</f>
        <v/>
      </c>
      <c r="H36" t="inlineStr">
        <is>
          <t>CITY</t>
        </is>
      </c>
      <c r="I36" t="inlineStr">
        <is>
          <t>COMWAROldSHFURNGA19</t>
        </is>
      </c>
      <c r="J36">
        <f>IF(I36="","","COMRNG")</f>
        <v/>
      </c>
      <c r="K36">
        <f>IF(I36="","",0)</f>
        <v/>
      </c>
      <c r="L36">
        <f>IF(I36="","",1)</f>
        <v/>
      </c>
      <c r="M36">
        <f>IF(I36="","",1)</f>
        <v/>
      </c>
    </row>
    <row r="37">
      <c r="B37" t="inlineStr">
        <is>
          <t>CITY</t>
        </is>
      </c>
      <c r="C37" t="inlineStr">
        <is>
          <t>COMWAROldSHBOINGA19</t>
        </is>
      </c>
      <c r="D37">
        <f>IF(C37="","","COMNGA")</f>
        <v/>
      </c>
      <c r="E37">
        <f>IF(C37="","",1)</f>
        <v/>
      </c>
      <c r="H37" t="inlineStr">
        <is>
          <t>CITY</t>
        </is>
      </c>
      <c r="I37" t="inlineStr">
        <is>
          <t>COMWAROldSHBOINGA19</t>
        </is>
      </c>
      <c r="J37">
        <f>IF(I37="","","COMRNG")</f>
        <v/>
      </c>
      <c r="K37">
        <f>IF(I37="","",0)</f>
        <v/>
      </c>
      <c r="L37">
        <f>IF(I37="","",1)</f>
        <v/>
      </c>
      <c r="M37">
        <f>IF(I37="","",1)</f>
        <v/>
      </c>
    </row>
    <row r="38">
      <c r="B38" t="inlineStr">
        <is>
          <t>CITY</t>
        </is>
      </c>
      <c r="C38" t="inlineStr">
        <is>
          <t>COMWAROldSHAHPNGA19</t>
        </is>
      </c>
      <c r="D38">
        <f>IF(C38="","","COMNGA")</f>
        <v/>
      </c>
      <c r="E38">
        <f>IF(C38="","",1)</f>
        <v/>
      </c>
      <c r="H38" t="inlineStr">
        <is>
          <t>CITY</t>
        </is>
      </c>
      <c r="I38" t="inlineStr">
        <is>
          <t>COMWAROldSHAHPNGA19</t>
        </is>
      </c>
      <c r="J38">
        <f>IF(I38="","","COMRNG")</f>
        <v/>
      </c>
      <c r="K38">
        <f>IF(I38="","",0)</f>
        <v/>
      </c>
      <c r="L38">
        <f>IF(I38="","",1)</f>
        <v/>
      </c>
      <c r="M38">
        <f>IF(I38="","",1)</f>
        <v/>
      </c>
    </row>
    <row r="39">
      <c r="B39" t="inlineStr">
        <is>
          <t>CITY</t>
        </is>
      </c>
      <c r="C39" t="inlineStr">
        <is>
          <t>COMWAROldWHNGA19</t>
        </is>
      </c>
      <c r="D39">
        <f>IF(C39="","","COMNGA")</f>
        <v/>
      </c>
      <c r="E39">
        <f>IF(C39="","",1)</f>
        <v/>
      </c>
      <c r="H39" t="inlineStr">
        <is>
          <t>CITY</t>
        </is>
      </c>
      <c r="I39" t="inlineStr">
        <is>
          <t>COMWAROldWHNGA19</t>
        </is>
      </c>
      <c r="J39">
        <f>IF(I39="","","COMRNG")</f>
        <v/>
      </c>
      <c r="K39">
        <f>IF(I39="","",0)</f>
        <v/>
      </c>
      <c r="L39">
        <f>IF(I39="","",1)</f>
        <v/>
      </c>
      <c r="M39">
        <f>IF(I39="","",1)</f>
        <v/>
      </c>
    </row>
    <row r="40">
      <c r="B40" t="inlineStr">
        <is>
          <t>CITY</t>
        </is>
      </c>
      <c r="C40" t="inlineStr">
        <is>
          <t>COMWAROldCKNGA19</t>
        </is>
      </c>
      <c r="D40">
        <f>IF(C40="","","COMNGA")</f>
        <v/>
      </c>
      <c r="E40">
        <f>IF(C40="","",1)</f>
        <v/>
      </c>
      <c r="H40" t="inlineStr">
        <is>
          <t>CITY</t>
        </is>
      </c>
      <c r="I40" t="inlineStr">
        <is>
          <t>COMWAROldCKNGA19</t>
        </is>
      </c>
      <c r="J40">
        <f>IF(I40="","","COMRNG")</f>
        <v/>
      </c>
      <c r="K40">
        <f>IF(I40="","",0)</f>
        <v/>
      </c>
      <c r="L40">
        <f>IF(I40="","",1)</f>
        <v/>
      </c>
      <c r="M40">
        <f>IF(I40="","",1)</f>
        <v/>
      </c>
    </row>
    <row r="41">
      <c r="B41" t="inlineStr">
        <is>
          <t>CITY</t>
        </is>
      </c>
      <c r="C41" t="inlineStr">
        <is>
          <t>COMWAROldOENGA19</t>
        </is>
      </c>
      <c r="D41">
        <f>IF(C41="","","COMNGA")</f>
        <v/>
      </c>
      <c r="E41">
        <f>IF(C41="","",1)</f>
        <v/>
      </c>
      <c r="H41" t="inlineStr">
        <is>
          <t>CITY</t>
        </is>
      </c>
      <c r="I41" t="inlineStr">
        <is>
          <t>COMWAROldOENGA19</t>
        </is>
      </c>
      <c r="J41">
        <f>IF(I41="","","COMRNG")</f>
        <v/>
      </c>
      <c r="K41">
        <f>IF(I41="","",0)</f>
        <v/>
      </c>
      <c r="L41">
        <f>IF(I41="","",1)</f>
        <v/>
      </c>
      <c r="M41">
        <f>IF(I41="","",1)</f>
        <v/>
      </c>
    </row>
    <row r="42">
      <c r="B42" t="inlineStr">
        <is>
          <t>CITY</t>
        </is>
      </c>
      <c r="C42" t="inlineStr">
        <is>
          <t>COMMUNOldSHFURNGA19</t>
        </is>
      </c>
      <c r="D42">
        <f>IF(C42="","","COMNGA")</f>
        <v/>
      </c>
      <c r="E42">
        <f>IF(C42="","",1)</f>
        <v/>
      </c>
      <c r="H42" t="inlineStr">
        <is>
          <t>CITY</t>
        </is>
      </c>
      <c r="I42" t="inlineStr">
        <is>
          <t>COMMUNOldSHFURNGA19</t>
        </is>
      </c>
      <c r="J42">
        <f>IF(I42="","","COMRNG")</f>
        <v/>
      </c>
      <c r="K42">
        <f>IF(I42="","",0)</f>
        <v/>
      </c>
      <c r="L42">
        <f>IF(I42="","",1)</f>
        <v/>
      </c>
      <c r="M42">
        <f>IF(I42="","",1)</f>
        <v/>
      </c>
    </row>
    <row r="43">
      <c r="B43" t="inlineStr">
        <is>
          <t>CITY</t>
        </is>
      </c>
      <c r="C43" t="inlineStr">
        <is>
          <t>COMMUNOldSHBOINGA19</t>
        </is>
      </c>
      <c r="D43">
        <f>IF(C43="","","COMNGA")</f>
        <v/>
      </c>
      <c r="E43">
        <f>IF(C43="","",1)</f>
        <v/>
      </c>
      <c r="H43" t="inlineStr">
        <is>
          <t>CITY</t>
        </is>
      </c>
      <c r="I43" t="inlineStr">
        <is>
          <t>COMMUNOldSHBOINGA19</t>
        </is>
      </c>
      <c r="J43">
        <f>IF(I43="","","COMRNG")</f>
        <v/>
      </c>
      <c r="K43">
        <f>IF(I43="","",0)</f>
        <v/>
      </c>
      <c r="L43">
        <f>IF(I43="","",1)</f>
        <v/>
      </c>
      <c r="M43">
        <f>IF(I43="","",1)</f>
        <v/>
      </c>
    </row>
    <row r="44">
      <c r="B44" t="inlineStr">
        <is>
          <t>CITY</t>
        </is>
      </c>
      <c r="C44" t="inlineStr">
        <is>
          <t>COMMUNOldSHAHPNGA19</t>
        </is>
      </c>
      <c r="D44">
        <f>IF(C44="","","COMNGA")</f>
        <v/>
      </c>
      <c r="E44">
        <f>IF(C44="","",1)</f>
        <v/>
      </c>
      <c r="H44" t="inlineStr">
        <is>
          <t>CITY</t>
        </is>
      </c>
      <c r="I44" t="inlineStr">
        <is>
          <t>COMMUNOldSHAHPNGA19</t>
        </is>
      </c>
      <c r="J44">
        <f>IF(I44="","","COMRNG")</f>
        <v/>
      </c>
      <c r="K44">
        <f>IF(I44="","",0)</f>
        <v/>
      </c>
      <c r="L44">
        <f>IF(I44="","",1)</f>
        <v/>
      </c>
      <c r="M44">
        <f>IF(I44="","",1)</f>
        <v/>
      </c>
    </row>
    <row r="45">
      <c r="B45" t="inlineStr">
        <is>
          <t>CITY</t>
        </is>
      </c>
      <c r="C45" t="inlineStr">
        <is>
          <t>COMMUNOldWHNGA19</t>
        </is>
      </c>
      <c r="D45">
        <f>IF(C45="","","COMNGA")</f>
        <v/>
      </c>
      <c r="E45">
        <f>IF(C45="","",1)</f>
        <v/>
      </c>
      <c r="H45" t="inlineStr">
        <is>
          <t>CITY</t>
        </is>
      </c>
      <c r="I45" t="inlineStr">
        <is>
          <t>COMMUNOldWHNGA19</t>
        </is>
      </c>
      <c r="J45">
        <f>IF(I45="","","COMRNG")</f>
        <v/>
      </c>
      <c r="K45">
        <f>IF(I45="","",0)</f>
        <v/>
      </c>
      <c r="L45">
        <f>IF(I45="","",1)</f>
        <v/>
      </c>
      <c r="M45">
        <f>IF(I45="","",1)</f>
        <v/>
      </c>
    </row>
    <row r="46">
      <c r="B46" t="inlineStr">
        <is>
          <t>CITY</t>
        </is>
      </c>
      <c r="C46" t="inlineStr">
        <is>
          <t>COMMUNOldCKNGA19</t>
        </is>
      </c>
      <c r="D46">
        <f>IF(C46="","","COMNGA")</f>
        <v/>
      </c>
      <c r="E46">
        <f>IF(C46="","",1)</f>
        <v/>
      </c>
      <c r="H46" t="inlineStr">
        <is>
          <t>CITY</t>
        </is>
      </c>
      <c r="I46" t="inlineStr">
        <is>
          <t>COMMUNOldCKNGA19</t>
        </is>
      </c>
      <c r="J46">
        <f>IF(I46="","","COMRNG")</f>
        <v/>
      </c>
      <c r="K46">
        <f>IF(I46="","",0)</f>
        <v/>
      </c>
      <c r="L46">
        <f>IF(I46="","",1)</f>
        <v/>
      </c>
      <c r="M46">
        <f>IF(I46="","",1)</f>
        <v/>
      </c>
    </row>
    <row r="47">
      <c r="B47" t="inlineStr">
        <is>
          <t>CITY</t>
        </is>
      </c>
      <c r="C47" t="inlineStr">
        <is>
          <t>COMMUNOldOENGA19</t>
        </is>
      </c>
      <c r="D47">
        <f>IF(C47="","","COMNGA")</f>
        <v/>
      </c>
      <c r="E47">
        <f>IF(C47="","",1)</f>
        <v/>
      </c>
      <c r="H47" t="inlineStr">
        <is>
          <t>CITY</t>
        </is>
      </c>
      <c r="I47" t="inlineStr">
        <is>
          <t>COMMUNOldOENGA19</t>
        </is>
      </c>
      <c r="J47">
        <f>IF(I47="","","COMRNG")</f>
        <v/>
      </c>
      <c r="K47">
        <f>IF(I47="","",0)</f>
        <v/>
      </c>
      <c r="L47">
        <f>IF(I47="","",1)</f>
        <v/>
      </c>
      <c r="M47">
        <f>IF(I47="","",1)</f>
        <v/>
      </c>
    </row>
    <row r="48">
      <c r="B48" t="inlineStr">
        <is>
          <t>CITY</t>
        </is>
      </c>
      <c r="C48" t="inlineStr">
        <is>
          <t>COMOTHOldSHFURNGA19</t>
        </is>
      </c>
      <c r="D48">
        <f>IF(C48="","","COMNGA")</f>
        <v/>
      </c>
      <c r="E48">
        <f>IF(C48="","",1)</f>
        <v/>
      </c>
      <c r="H48" t="inlineStr">
        <is>
          <t>CITY</t>
        </is>
      </c>
      <c r="I48" t="inlineStr">
        <is>
          <t>COMOTHOldSHFURNGA19</t>
        </is>
      </c>
      <c r="J48">
        <f>IF(I48="","","COMRNG")</f>
        <v/>
      </c>
      <c r="K48">
        <f>IF(I48="","",0)</f>
        <v/>
      </c>
      <c r="L48">
        <f>IF(I48="","",1)</f>
        <v/>
      </c>
      <c r="M48">
        <f>IF(I48="","",1)</f>
        <v/>
      </c>
    </row>
    <row r="49">
      <c r="B49" t="inlineStr">
        <is>
          <t>CITY</t>
        </is>
      </c>
      <c r="C49" t="inlineStr">
        <is>
          <t>COMOTHOldSHBOINGA19</t>
        </is>
      </c>
      <c r="D49">
        <f>IF(C49="","","COMNGA")</f>
        <v/>
      </c>
      <c r="E49">
        <f>IF(C49="","",1)</f>
        <v/>
      </c>
      <c r="H49" t="inlineStr">
        <is>
          <t>CITY</t>
        </is>
      </c>
      <c r="I49" t="inlineStr">
        <is>
          <t>COMOTHOldSHBOINGA19</t>
        </is>
      </c>
      <c r="J49">
        <f>IF(I49="","","COMRNG")</f>
        <v/>
      </c>
      <c r="K49">
        <f>IF(I49="","",0)</f>
        <v/>
      </c>
      <c r="L49">
        <f>IF(I49="","",1)</f>
        <v/>
      </c>
      <c r="M49">
        <f>IF(I49="","",1)</f>
        <v/>
      </c>
    </row>
    <row r="50">
      <c r="B50" t="inlineStr">
        <is>
          <t>CITY</t>
        </is>
      </c>
      <c r="C50" t="inlineStr">
        <is>
          <t>COMOTHOldSHAHPNGA19</t>
        </is>
      </c>
      <c r="D50">
        <f>IF(C50="","","COMNGA")</f>
        <v/>
      </c>
      <c r="E50">
        <f>IF(C50="","",1)</f>
        <v/>
      </c>
      <c r="H50" t="inlineStr">
        <is>
          <t>CITY</t>
        </is>
      </c>
      <c r="I50" t="inlineStr">
        <is>
          <t>COMOTHOldSHAHPNGA19</t>
        </is>
      </c>
      <c r="J50">
        <f>IF(I50="","","COMRNG")</f>
        <v/>
      </c>
      <c r="K50">
        <f>IF(I50="","",0)</f>
        <v/>
      </c>
      <c r="L50">
        <f>IF(I50="","",1)</f>
        <v/>
      </c>
      <c r="M50">
        <f>IF(I50="","",1)</f>
        <v/>
      </c>
    </row>
    <row r="51">
      <c r="B51" t="inlineStr">
        <is>
          <t>CITY</t>
        </is>
      </c>
      <c r="C51" t="inlineStr">
        <is>
          <t>COMOTHOldWHNGA19</t>
        </is>
      </c>
      <c r="D51">
        <f>IF(C51="","","COMNGA")</f>
        <v/>
      </c>
      <c r="E51">
        <f>IF(C51="","",1)</f>
        <v/>
      </c>
      <c r="H51" t="inlineStr">
        <is>
          <t>CITY</t>
        </is>
      </c>
      <c r="I51" t="inlineStr">
        <is>
          <t>COMOTHOldWHNGA19</t>
        </is>
      </c>
      <c r="J51">
        <f>IF(I51="","","COMRNG")</f>
        <v/>
      </c>
      <c r="K51">
        <f>IF(I51="","",0)</f>
        <v/>
      </c>
      <c r="L51">
        <f>IF(I51="","",1)</f>
        <v/>
      </c>
      <c r="M51">
        <f>IF(I51="","",1)</f>
        <v/>
      </c>
    </row>
    <row r="52">
      <c r="B52" t="inlineStr">
        <is>
          <t>CITY</t>
        </is>
      </c>
      <c r="C52" t="inlineStr">
        <is>
          <t>COMOTHOldCKNGA19</t>
        </is>
      </c>
      <c r="D52">
        <f>IF(C52="","","COMNGA")</f>
        <v/>
      </c>
      <c r="E52">
        <f>IF(C52="","",1)</f>
        <v/>
      </c>
      <c r="H52" t="inlineStr">
        <is>
          <t>CITY</t>
        </is>
      </c>
      <c r="I52" t="inlineStr">
        <is>
          <t>COMOTHOldCKNGA19</t>
        </is>
      </c>
      <c r="J52">
        <f>IF(I52="","","COMRNG")</f>
        <v/>
      </c>
      <c r="K52">
        <f>IF(I52="","",0)</f>
        <v/>
      </c>
      <c r="L52">
        <f>IF(I52="","",1)</f>
        <v/>
      </c>
      <c r="M52">
        <f>IF(I52="","",1)</f>
        <v/>
      </c>
    </row>
    <row r="53">
      <c r="B53" t="inlineStr">
        <is>
          <t>CITY</t>
        </is>
      </c>
      <c r="C53" t="inlineStr">
        <is>
          <t>COMOTHOldOENGA19</t>
        </is>
      </c>
      <c r="D53">
        <f>IF(C53="","","COMNGA")</f>
        <v/>
      </c>
      <c r="E53">
        <f>IF(C53="","",1)</f>
        <v/>
      </c>
      <c r="H53" t="inlineStr">
        <is>
          <t>CITY</t>
        </is>
      </c>
      <c r="I53" t="inlineStr">
        <is>
          <t>COMOTHOldOENGA19</t>
        </is>
      </c>
      <c r="J53">
        <f>IF(I53="","","COMRNG")</f>
        <v/>
      </c>
      <c r="K53">
        <f>IF(I53="","",0)</f>
        <v/>
      </c>
      <c r="L53">
        <f>IF(I53="","",1)</f>
        <v/>
      </c>
      <c r="M53">
        <f>IF(I53="","",1)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theme="2" tint="-0.499984740745262"/>
    <outlinePr summaryBelow="1" summaryRight="1"/>
    <pageSetUpPr/>
  </sheetPr>
  <dimension ref="A1:A1"/>
  <sheetViews>
    <sheetView topLeftCell="A2" workbookViewId="0">
      <selection activeCell="G21" sqref="G2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esmia</dc:creator>
  <dcterms:created xsi:type="dcterms:W3CDTF">2015-06-05T18:17:20Z</dcterms:created>
  <dcterms:modified xsi:type="dcterms:W3CDTF">2025-04-09T17:42:00Z</dcterms:modified>
  <cp:lastModifiedBy>Carroll, Zane</cp:lastModifiedBy>
</cp:coreProperties>
</file>
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Veda\Veda_models\COMET_Generative_NYC\"/>
    </mc:Choice>
  </mc:AlternateContent>
  <xr:revisionPtr revIDLastSave="0" documentId="13_ncr:1_{4B9852D0-D5A7-41BF-AA64-B0296A44C5F6}" xr6:coauthVersionLast="47" xr6:coauthVersionMax="47" xr10:uidLastSave="{00000000-0000-0000-0000-000000000000}"/>
  <bookViews>
    <workbookView xWindow="-120" yWindow="-120" windowWidth="25440" windowHeight="15270" tabRatio="542" firstSheet="5" activeTab="5" xr2:uid="{00000000-000D-0000-FFFF-FFFF00000000}"/>
  </bookViews>
  <sheets>
    <sheet name="ReadMe" sheetId="1" r:id="rId1"/>
    <sheet name="&gt;&gt; City Data" sheetId="2" r:id="rId2"/>
    <sheet name="City characteristics" sheetId="3" r:id="rId3"/>
    <sheet name="&gt;&gt; GC_Resid" sheetId="4" r:id="rId4"/>
    <sheet name="Demand" sheetId="5" r:id="rId5"/>
    <sheet name="WAS RESID" sheetId="6" r:id="rId6"/>
    <sheet name="&gt;&gt; TIMES" sheetId="7" r:id="rId7"/>
    <sheet name="Def_Tech" sheetId="8" r:id="rId8"/>
    <sheet name="Def_Comm" sheetId="9" r:id="rId9"/>
    <sheet name="DemandTrans" sheetId="10" r:id="rId10"/>
    <sheet name="ResidWAS" sheetId="11" r:id="rId11"/>
    <sheet name="ResidBGA" sheetId="12" r:id="rId12"/>
    <sheet name="ResidLDF" sheetId="13" r:id="rId13"/>
    <sheet name="GHG_IPCC" sheetId="14" r:id="rId14"/>
    <sheet name="&gt;&gt; Parameters" sheetId="15" r:id="rId15"/>
    <sheet name="Emission Factors Hub" sheetId="16" r:id="rId16"/>
  </sheets>
  <definedNames>
    <definedName name="_Fill" localSheetId="2" hidden="1">#REF!</definedName>
    <definedName name="_Fill" localSheetId="4" hidden="1">#REF!</definedName>
    <definedName name="_Fill" localSheetId="15" hidden="1">#REF!</definedName>
    <definedName name="_Fill" localSheetId="13" hidden="1">#REF!</definedName>
    <definedName name="_Fill" hidden="1">#REF!</definedName>
    <definedName name="_xlnm._FilterDatabase" localSheetId="5" hidden="1">'WAS RESID'!$A$1:$X$150</definedName>
    <definedName name="_Order1" hidden="1">0</definedName>
    <definedName name="_Order2" hidden="1">0</definedName>
    <definedName name="_Sort" localSheetId="2" hidden="1">#REF!</definedName>
    <definedName name="_Sort" localSheetId="4" hidden="1">#REF!</definedName>
    <definedName name="_Sort" localSheetId="15" hidden="1">#REF!</definedName>
    <definedName name="_Sort" localSheetId="13" hidden="1">#REF!</definedName>
    <definedName name="_Sort" hidden="1">#REF!</definedName>
    <definedName name="anscount" hidden="1">1</definedName>
    <definedName name="CBWorkbookPriority" hidden="1">-1587101571</definedName>
    <definedName name="sencount" hidden="1">2</definedName>
    <definedName name="wrn.com_msw." localSheetId="2" hidden="1">{"com_msw",#N/A,FALSE,"Common"}</definedName>
    <definedName name="wrn.com_msw." localSheetId="4" hidden="1">{"com_msw",#N/A,FALSE,"Common"}</definedName>
    <definedName name="wrn.com_msw." localSheetId="15" hidden="1">{"com_msw",#N/A,FALSE,"Common"}</definedName>
    <definedName name="wrn.com_msw." localSheetId="13" hidden="1">{"com_msw",#N/A,FALSE,"Common"}</definedName>
    <definedName name="wrn.com_msw." hidden="1">{"com_msw",#N/A,FALSE,"Common"}</definedName>
    <definedName name="wrn.msw_1." localSheetId="2" hidden="1">{"msw_1",#N/A,FALSE,"Common"}</definedName>
    <definedName name="wrn.msw_1." localSheetId="4" hidden="1">{"msw_1",#N/A,FALSE,"Common"}</definedName>
    <definedName name="wrn.msw_1." localSheetId="15" hidden="1">{"msw_1",#N/A,FALSE,"Common"}</definedName>
    <definedName name="wrn.msw_1." localSheetId="13" hidden="1">{"msw_1",#N/A,FALSE,"Common"}</definedName>
    <definedName name="wrn.msw_1." hidden="1">{"msw_1",#N/A,FALSE,"Common"}</definedName>
    <definedName name="wrn.msw_2." localSheetId="2" hidden="1">{"msw_2",#N/A,FALSE,"Common"}</definedName>
    <definedName name="wrn.msw_2." localSheetId="4" hidden="1">{"msw_2",#N/A,FALSE,"Common"}</definedName>
    <definedName name="wrn.msw_2." localSheetId="15" hidden="1">{"msw_2",#N/A,FALSE,"Common"}</definedName>
    <definedName name="wrn.msw_2." localSheetId="13" hidden="1">{"msw_2",#N/A,FALSE,"Common"}</definedName>
    <definedName name="wrn.msw_2." hidden="1">{"msw_2",#N/A,FALSE,"Common"}</definedName>
    <definedName name="wrn.NATIONAL._.GRID." localSheetId="2" hidden="1">{"NATIONAL GRID",#N/A,FALSE,"Sheet1"}</definedName>
    <definedName name="wrn.NATIONAL._.GRID." localSheetId="4" hidden="1">{"NATIONAL GRID",#N/A,FALSE,"Sheet1"}</definedName>
    <definedName name="wrn.NATIONAL._.GRID." localSheetId="15" hidden="1">{"NATIONAL GRID",#N/A,FALSE,"Sheet1"}</definedName>
    <definedName name="wrn.NATIONAL._.GRID." localSheetId="13" hidden="1">{"NATIONAL GRID",#N/A,FALSE,"Sheet1"}</definedName>
    <definedName name="wrn.NATIONAL._.GRID." hidden="1">{"NATIONAL GRID",#N/A,FALSE,"Sheet1"}</definedName>
    <definedName name="wrn.regional._.grid." localSheetId="2" hidden="1">{"regional grid",#N/A,FALSE,"Sheet1"}</definedName>
    <definedName name="wrn.regional._.grid." localSheetId="4" hidden="1">{"regional grid",#N/A,FALSE,"Sheet1"}</definedName>
    <definedName name="wrn.regional._.grid." localSheetId="15" hidden="1">{"regional grid",#N/A,FALSE,"Sheet1"}</definedName>
    <definedName name="wrn.regional._.grid." localSheetId="13" hidden="1">{"regional grid",#N/A,FALSE,"Sheet1"}</definedName>
    <definedName name="wrn.regional._.grid." hidden="1">{"regional grid",#N/A,FALSE,"Sheet1"}</definedName>
    <definedName name="wrn.res_mf_msw." localSheetId="2" hidden="1">{"res_mf_mssw",#N/A,FALSE,"Common"}</definedName>
    <definedName name="wrn.res_mf_msw." localSheetId="4" hidden="1">{"res_mf_mssw",#N/A,FALSE,"Common"}</definedName>
    <definedName name="wrn.res_mf_msw." localSheetId="15" hidden="1">{"res_mf_mssw",#N/A,FALSE,"Common"}</definedName>
    <definedName name="wrn.res_mf_msw." localSheetId="13" hidden="1">{"res_mf_mssw",#N/A,FALSE,"Common"}</definedName>
    <definedName name="wrn.res_mf_msw." hidden="1">{"res_mf_mssw",#N/A,FALSE,"Common"}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14" l="1"/>
  <c r="N23" i="14"/>
  <c r="E16" i="14"/>
  <c r="K23" i="14"/>
  <c r="K11" i="14"/>
  <c r="K7" i="14" a="1"/>
  <c r="K22" i="14" s="1"/>
  <c r="B44" i="14"/>
  <c r="B40" i="14"/>
  <c r="B32" i="14"/>
  <c r="B28" i="14"/>
  <c r="B20" i="14"/>
  <c r="B16" i="14"/>
  <c r="B8" i="14"/>
  <c r="B7" i="14" a="1"/>
  <c r="B43" i="14" s="1"/>
  <c r="Q5" i="14"/>
  <c r="P5" i="14"/>
  <c r="O5" i="14"/>
  <c r="N5" i="14"/>
  <c r="H5" i="14"/>
  <c r="G5" i="14"/>
  <c r="F5" i="14"/>
  <c r="E5" i="14"/>
  <c r="C39" i="13"/>
  <c r="C38" i="13"/>
  <c r="C37" i="13"/>
  <c r="C36" i="13"/>
  <c r="C35" i="13"/>
  <c r="C34" i="13"/>
  <c r="C33" i="13"/>
  <c r="C32" i="13"/>
  <c r="C27" i="13"/>
  <c r="D27" i="13" s="1"/>
  <c r="D26" i="13"/>
  <c r="C26" i="13"/>
  <c r="D25" i="13"/>
  <c r="C25" i="13"/>
  <c r="D24" i="13"/>
  <c r="C24" i="13"/>
  <c r="C23" i="13"/>
  <c r="D23" i="13" s="1"/>
  <c r="D22" i="13"/>
  <c r="C22" i="13"/>
  <c r="D21" i="13"/>
  <c r="C21" i="13"/>
  <c r="D20" i="13"/>
  <c r="C20" i="13"/>
  <c r="B14" i="13"/>
  <c r="B13" i="13"/>
  <c r="B12" i="13"/>
  <c r="B11" i="13"/>
  <c r="B10" i="13"/>
  <c r="B9" i="13"/>
  <c r="B8" i="13"/>
  <c r="B7" i="13"/>
  <c r="H1" i="13"/>
  <c r="H5" i="13" s="1"/>
  <c r="H26" i="12"/>
  <c r="H25" i="12"/>
  <c r="H24" i="12"/>
  <c r="H23" i="12"/>
  <c r="H22" i="12"/>
  <c r="H21" i="12"/>
  <c r="H20" i="12"/>
  <c r="H19" i="12"/>
  <c r="H18" i="12"/>
  <c r="H17" i="12"/>
  <c r="H16" i="12"/>
  <c r="H15" i="12"/>
  <c r="H14" i="12"/>
  <c r="H13" i="12"/>
  <c r="H12" i="12"/>
  <c r="H11" i="12"/>
  <c r="H10" i="12"/>
  <c r="H9" i="12"/>
  <c r="H8" i="12"/>
  <c r="H7" i="12"/>
  <c r="C21" i="12"/>
  <c r="C20" i="12"/>
  <c r="C17" i="12"/>
  <c r="C11" i="12"/>
  <c r="C9" i="12"/>
  <c r="C8" i="12"/>
  <c r="C7" i="12" a="1"/>
  <c r="C19" i="12" s="1"/>
  <c r="B22" i="12"/>
  <c r="B16" i="12"/>
  <c r="F16" i="12" s="1"/>
  <c r="B14" i="12"/>
  <c r="B13" i="12"/>
  <c r="B12" i="12"/>
  <c r="F12" i="12" s="1"/>
  <c r="B10" i="12"/>
  <c r="B7" i="12" a="1"/>
  <c r="B11" i="12" s="1"/>
  <c r="F11" i="12" s="1"/>
  <c r="Q1" i="12"/>
  <c r="Q5" i="12" s="1"/>
  <c r="V46" i="11"/>
  <c r="V45" i="11"/>
  <c r="V44" i="11"/>
  <c r="V43" i="11"/>
  <c r="V42" i="11"/>
  <c r="V41" i="11"/>
  <c r="V40" i="11"/>
  <c r="V39" i="11"/>
  <c r="V38" i="11"/>
  <c r="V37" i="11"/>
  <c r="V36" i="11"/>
  <c r="V35" i="11"/>
  <c r="V34" i="11"/>
  <c r="V33" i="11"/>
  <c r="V32" i="11"/>
  <c r="V31" i="11"/>
  <c r="V30" i="11"/>
  <c r="V29" i="11"/>
  <c r="V28" i="11"/>
  <c r="V27" i="11"/>
  <c r="V26" i="11"/>
  <c r="V25" i="11"/>
  <c r="V24" i="11"/>
  <c r="V23" i="11"/>
  <c r="V22" i="11"/>
  <c r="V21" i="11"/>
  <c r="V20" i="11"/>
  <c r="V19" i="11"/>
  <c r="V18" i="11"/>
  <c r="V17" i="11"/>
  <c r="V16" i="11"/>
  <c r="V15" i="11"/>
  <c r="V14" i="11"/>
  <c r="V13" i="11"/>
  <c r="V12" i="11"/>
  <c r="V11" i="11"/>
  <c r="V10" i="11"/>
  <c r="V9" i="11"/>
  <c r="V8" i="11"/>
  <c r="V7" i="11"/>
  <c r="T39" i="11"/>
  <c r="T38" i="11"/>
  <c r="T37" i="11"/>
  <c r="T36" i="11"/>
  <c r="T35" i="11"/>
  <c r="T32" i="11"/>
  <c r="T30" i="11"/>
  <c r="T29" i="11"/>
  <c r="T28" i="11"/>
  <c r="T27" i="11"/>
  <c r="T26" i="11"/>
  <c r="T25" i="11"/>
  <c r="T24" i="11"/>
  <c r="T23" i="11"/>
  <c r="T20" i="11"/>
  <c r="T18" i="11"/>
  <c r="T17" i="11"/>
  <c r="T16" i="11"/>
  <c r="T15" i="11"/>
  <c r="T14" i="11"/>
  <c r="T13" i="11"/>
  <c r="T12" i="11"/>
  <c r="T11" i="11"/>
  <c r="T8" i="11"/>
  <c r="T7" i="11" a="1"/>
  <c r="T34" i="11" s="1"/>
  <c r="T7" i="11"/>
  <c r="R39" i="11"/>
  <c r="R38" i="11"/>
  <c r="R37" i="11"/>
  <c r="R36" i="11"/>
  <c r="R35" i="11"/>
  <c r="R34" i="11"/>
  <c r="R33" i="11"/>
  <c r="R30" i="11"/>
  <c r="R29" i="11"/>
  <c r="R28" i="11"/>
  <c r="R27" i="11"/>
  <c r="R26" i="11"/>
  <c r="R25" i="11"/>
  <c r="R24" i="11"/>
  <c r="R23" i="11"/>
  <c r="R22" i="11"/>
  <c r="R21" i="11"/>
  <c r="R18" i="11"/>
  <c r="R17" i="11"/>
  <c r="R16" i="11"/>
  <c r="R15" i="11"/>
  <c r="R14" i="11"/>
  <c r="R13" i="11"/>
  <c r="R12" i="11"/>
  <c r="R11" i="11"/>
  <c r="R10" i="11"/>
  <c r="R9" i="11"/>
  <c r="R7" i="11" a="1"/>
  <c r="R32" i="11" s="1"/>
  <c r="R7" i="11"/>
  <c r="Q37" i="11"/>
  <c r="Q36" i="11"/>
  <c r="Q35" i="11"/>
  <c r="Q34" i="11"/>
  <c r="Q32" i="11"/>
  <c r="Q28" i="11"/>
  <c r="Q24" i="11"/>
  <c r="Q23" i="11"/>
  <c r="Q22" i="11"/>
  <c r="Q21" i="11"/>
  <c r="Q19" i="11"/>
  <c r="Q15" i="11"/>
  <c r="Q11" i="11"/>
  <c r="Q10" i="11"/>
  <c r="Q9" i="11"/>
  <c r="Q8" i="11"/>
  <c r="Q7" i="11" a="1"/>
  <c r="Q31" i="11" s="1"/>
  <c r="O65" i="11"/>
  <c r="O62" i="11"/>
  <c r="O58" i="11"/>
  <c r="O57" i="11"/>
  <c r="O56" i="11"/>
  <c r="O55" i="11"/>
  <c r="O53" i="11"/>
  <c r="O52" i="11"/>
  <c r="O49" i="11"/>
  <c r="O45" i="11"/>
  <c r="O44" i="11"/>
  <c r="O43" i="11"/>
  <c r="O41" i="11"/>
  <c r="O40" i="11"/>
  <c r="O39" i="11"/>
  <c r="O38" i="11"/>
  <c r="O36" i="11"/>
  <c r="O32" i="11"/>
  <c r="O31" i="11"/>
  <c r="O29" i="11"/>
  <c r="O28" i="11"/>
  <c r="O27" i="11"/>
  <c r="O26" i="11"/>
  <c r="O25" i="11"/>
  <c r="O23" i="11"/>
  <c r="O19" i="11"/>
  <c r="O17" i="11"/>
  <c r="O16" i="11"/>
  <c r="O15" i="11"/>
  <c r="O14" i="11"/>
  <c r="O13" i="11"/>
  <c r="O12" i="11"/>
  <c r="O10" i="11"/>
  <c r="O7" i="11" a="1"/>
  <c r="M65" i="11"/>
  <c r="M64" i="11"/>
  <c r="M63" i="11"/>
  <c r="M62" i="11"/>
  <c r="M61" i="11"/>
  <c r="M60" i="11"/>
  <c r="M57" i="11"/>
  <c r="M52" i="11"/>
  <c r="M51" i="11"/>
  <c r="M50" i="11"/>
  <c r="M49" i="11"/>
  <c r="M48" i="11"/>
  <c r="M47" i="11"/>
  <c r="M44" i="11"/>
  <c r="M40" i="11"/>
  <c r="M39" i="11"/>
  <c r="M38" i="11"/>
  <c r="M37" i="11"/>
  <c r="M36" i="11"/>
  <c r="M35" i="11"/>
  <c r="M32" i="11"/>
  <c r="M28" i="11"/>
  <c r="M27" i="11"/>
  <c r="M26" i="11"/>
  <c r="M25" i="11"/>
  <c r="M24" i="11"/>
  <c r="M23" i="11"/>
  <c r="M20" i="11"/>
  <c r="M16" i="11"/>
  <c r="M15" i="11"/>
  <c r="M14" i="11"/>
  <c r="M13" i="11"/>
  <c r="M12" i="11"/>
  <c r="M11" i="11"/>
  <c r="M8" i="11"/>
  <c r="M7" i="11" a="1"/>
  <c r="M54" i="11" s="1"/>
  <c r="L64" i="11"/>
  <c r="L63" i="11"/>
  <c r="L62" i="11"/>
  <c r="L61" i="11"/>
  <c r="L59" i="11"/>
  <c r="L56" i="11"/>
  <c r="L52" i="11"/>
  <c r="L51" i="11"/>
  <c r="L50" i="11"/>
  <c r="L49" i="11"/>
  <c r="L47" i="11"/>
  <c r="L44" i="11"/>
  <c r="L40" i="11"/>
  <c r="L39" i="11"/>
  <c r="L38" i="11"/>
  <c r="L37" i="11"/>
  <c r="L35" i="11"/>
  <c r="L32" i="11"/>
  <c r="L28" i="11"/>
  <c r="L27" i="11"/>
  <c r="L26" i="11"/>
  <c r="L25" i="11"/>
  <c r="L23" i="11"/>
  <c r="L20" i="11"/>
  <c r="L16" i="11"/>
  <c r="L15" i="11"/>
  <c r="L14" i="11"/>
  <c r="L13" i="11"/>
  <c r="L11" i="11"/>
  <c r="L8" i="11"/>
  <c r="L7" i="11" a="1"/>
  <c r="L60" i="11" s="1"/>
  <c r="AB5" i="11"/>
  <c r="AB1" i="11"/>
  <c r="C14" i="10"/>
  <c r="B14" i="10"/>
  <c r="C12" i="10"/>
  <c r="H10" i="10"/>
  <c r="H18" i="10" s="1"/>
  <c r="C8" i="10"/>
  <c r="B7" i="10"/>
  <c r="E50" i="9"/>
  <c r="D50" i="9"/>
  <c r="C50" i="9"/>
  <c r="H14" i="11" s="1"/>
  <c r="E49" i="9"/>
  <c r="D49" i="9"/>
  <c r="C49" i="9"/>
  <c r="H13" i="11" s="1"/>
  <c r="E48" i="9"/>
  <c r="D48" i="9"/>
  <c r="C48" i="9"/>
  <c r="H12" i="11" s="1"/>
  <c r="E47" i="9"/>
  <c r="D47" i="9"/>
  <c r="C47" i="9"/>
  <c r="H11" i="11" s="1"/>
  <c r="E46" i="9"/>
  <c r="D46" i="9"/>
  <c r="C46" i="9"/>
  <c r="H10" i="11" s="1"/>
  <c r="E45" i="9"/>
  <c r="D45" i="9"/>
  <c r="C45" i="9"/>
  <c r="H9" i="11" s="1"/>
  <c r="E44" i="9"/>
  <c r="D44" i="9"/>
  <c r="C44" i="9"/>
  <c r="H8" i="11" s="1"/>
  <c r="E43" i="9"/>
  <c r="D43" i="9"/>
  <c r="C43" i="9"/>
  <c r="H7" i="11" s="1"/>
  <c r="C38" i="9" a="1"/>
  <c r="C41" i="9" s="1"/>
  <c r="D41" i="9" s="1"/>
  <c r="C38" i="9"/>
  <c r="D38" i="9" s="1"/>
  <c r="E35" i="9"/>
  <c r="D33" i="9"/>
  <c r="C33" i="9"/>
  <c r="J9" i="10" s="1"/>
  <c r="J17" i="10" s="1"/>
  <c r="E31" i="9"/>
  <c r="D31" i="9"/>
  <c r="E30" i="9"/>
  <c r="E27" i="9"/>
  <c r="E26" i="9"/>
  <c r="C26" i="9"/>
  <c r="C25" i="10" s="1"/>
  <c r="E25" i="9"/>
  <c r="D25" i="9"/>
  <c r="E24" i="9"/>
  <c r="E36" i="9" s="1"/>
  <c r="C24" i="9"/>
  <c r="C23" i="10" s="1"/>
  <c r="I12" i="10" s="1"/>
  <c r="I20" i="10" s="1"/>
  <c r="E23" i="9"/>
  <c r="E22" i="9"/>
  <c r="E34" i="9" s="1"/>
  <c r="C22" i="9"/>
  <c r="C34" i="9" s="1"/>
  <c r="J10" i="10" s="1"/>
  <c r="J18" i="10" s="1"/>
  <c r="E21" i="9"/>
  <c r="E33" i="9" s="1"/>
  <c r="D21" i="9"/>
  <c r="E20" i="9"/>
  <c r="E32" i="9" s="1"/>
  <c r="D20" i="9"/>
  <c r="D32" i="9" s="1"/>
  <c r="C20" i="9"/>
  <c r="C19" i="10" s="1"/>
  <c r="I8" i="10" s="1"/>
  <c r="I16" i="10" s="1"/>
  <c r="E19" i="9"/>
  <c r="E18" i="9"/>
  <c r="C18" i="9"/>
  <c r="E17" i="9"/>
  <c r="E29" i="9" s="1"/>
  <c r="D17" i="9"/>
  <c r="D29" i="9" s="1"/>
  <c r="E15" i="9"/>
  <c r="D15" i="9"/>
  <c r="D27" i="9" s="1"/>
  <c r="C15" i="9"/>
  <c r="C27" i="9" s="1"/>
  <c r="C26" i="10" s="1"/>
  <c r="E14" i="9"/>
  <c r="D14" i="9"/>
  <c r="E14" i="8" s="1"/>
  <c r="C14" i="9"/>
  <c r="E13" i="9"/>
  <c r="D13" i="9"/>
  <c r="C13" i="9"/>
  <c r="E12" i="9"/>
  <c r="D12" i="9"/>
  <c r="D24" i="9" s="1"/>
  <c r="D36" i="9" s="1"/>
  <c r="C12" i="9"/>
  <c r="E11" i="9"/>
  <c r="D11" i="9"/>
  <c r="D23" i="9" s="1"/>
  <c r="D35" i="9" s="1"/>
  <c r="C11" i="9"/>
  <c r="C23" i="9" s="1"/>
  <c r="E10" i="9"/>
  <c r="D10" i="9"/>
  <c r="E22" i="8" s="1"/>
  <c r="C10" i="9"/>
  <c r="C10" i="10" s="1"/>
  <c r="E9" i="9"/>
  <c r="D9" i="9"/>
  <c r="C9" i="9"/>
  <c r="C21" i="9" s="1"/>
  <c r="C20" i="10" s="1"/>
  <c r="I9" i="10" s="1"/>
  <c r="I17" i="10" s="1"/>
  <c r="E8" i="9"/>
  <c r="D8" i="9"/>
  <c r="C8" i="9"/>
  <c r="E7" i="9"/>
  <c r="D7" i="9"/>
  <c r="D19" i="9" s="1"/>
  <c r="C7" i="9"/>
  <c r="C19" i="9" s="1"/>
  <c r="E6" i="9"/>
  <c r="D6" i="9"/>
  <c r="D18" i="9" s="1"/>
  <c r="D30" i="9" s="1"/>
  <c r="C6" i="9"/>
  <c r="C6" i="10" s="1"/>
  <c r="E5" i="9"/>
  <c r="D5" i="9"/>
  <c r="C5" i="9"/>
  <c r="I95" i="8"/>
  <c r="D95" i="8"/>
  <c r="I94" i="8"/>
  <c r="D94" i="8"/>
  <c r="F94" i="8" s="1"/>
  <c r="I93" i="8"/>
  <c r="G93" i="8"/>
  <c r="F93" i="8"/>
  <c r="E93" i="8"/>
  <c r="D93" i="8"/>
  <c r="I92" i="8"/>
  <c r="F92" i="8"/>
  <c r="D92" i="8"/>
  <c r="I91" i="8"/>
  <c r="G91" i="8"/>
  <c r="F91" i="8"/>
  <c r="E91" i="8"/>
  <c r="D91" i="8"/>
  <c r="I90" i="8"/>
  <c r="E90" i="8"/>
  <c r="D90" i="8"/>
  <c r="I89" i="8"/>
  <c r="F89" i="8"/>
  <c r="E89" i="8"/>
  <c r="D89" i="8"/>
  <c r="I88" i="8"/>
  <c r="G88" i="8"/>
  <c r="F88" i="8"/>
  <c r="E88" i="8"/>
  <c r="D88" i="8"/>
  <c r="I86" i="8"/>
  <c r="I83" i="8"/>
  <c r="I82" i="8"/>
  <c r="I81" i="8"/>
  <c r="I78" i="8"/>
  <c r="I77" i="8"/>
  <c r="I76" i="8"/>
  <c r="I73" i="8"/>
  <c r="I72" i="8"/>
  <c r="I71" i="8"/>
  <c r="I68" i="8"/>
  <c r="I67" i="8"/>
  <c r="D81" i="8"/>
  <c r="I21" i="12" s="1"/>
  <c r="D79" i="8"/>
  <c r="D67" i="8" a="1"/>
  <c r="D74" i="8" s="1"/>
  <c r="D67" i="8"/>
  <c r="I7" i="12" s="1"/>
  <c r="I58" i="8"/>
  <c r="C39" i="11" s="1"/>
  <c r="I54" i="8"/>
  <c r="C35" i="11" s="1"/>
  <c r="E41" i="8"/>
  <c r="I30" i="8"/>
  <c r="C11" i="11" s="1"/>
  <c r="F30" i="8"/>
  <c r="D58" i="8"/>
  <c r="D57" i="8"/>
  <c r="D56" i="8"/>
  <c r="G56" i="8" s="1"/>
  <c r="D54" i="8"/>
  <c r="D45" i="8"/>
  <c r="E45" i="8" s="1"/>
  <c r="D44" i="8"/>
  <c r="G44" i="8" s="1"/>
  <c r="D43" i="8"/>
  <c r="I43" i="8" s="1"/>
  <c r="C24" i="11" s="1"/>
  <c r="D41" i="8"/>
  <c r="B22" i="11" s="1"/>
  <c r="D32" i="8"/>
  <c r="B13" i="11" s="1"/>
  <c r="D31" i="8"/>
  <c r="E31" i="8" s="1"/>
  <c r="D30" i="8"/>
  <c r="G30" i="8" s="1"/>
  <c r="D28" i="8"/>
  <c r="B9" i="11" s="1"/>
  <c r="D26" i="8" a="1"/>
  <c r="D64" i="8" s="1"/>
  <c r="F24" i="8"/>
  <c r="G24" i="8" s="1"/>
  <c r="E24" i="8"/>
  <c r="D24" i="8"/>
  <c r="H12" i="10" s="1"/>
  <c r="H20" i="10" s="1"/>
  <c r="F23" i="8"/>
  <c r="G23" i="8" s="1"/>
  <c r="E23" i="8"/>
  <c r="D23" i="8"/>
  <c r="H11" i="10" s="1"/>
  <c r="H19" i="10" s="1"/>
  <c r="F22" i="8"/>
  <c r="G22" i="8" s="1"/>
  <c r="D22" i="8"/>
  <c r="E21" i="8"/>
  <c r="D21" i="8"/>
  <c r="H9" i="10" s="1"/>
  <c r="H17" i="10" s="1"/>
  <c r="F20" i="8"/>
  <c r="G20" i="8" s="1"/>
  <c r="E20" i="8"/>
  <c r="D20" i="8"/>
  <c r="H8" i="10" s="1"/>
  <c r="H16" i="10" s="1"/>
  <c r="G19" i="8"/>
  <c r="F19" i="8"/>
  <c r="E19" i="8"/>
  <c r="F18" i="8"/>
  <c r="G18" i="8" s="1"/>
  <c r="D18" i="8"/>
  <c r="H6" i="10" s="1"/>
  <c r="H14" i="10" s="1"/>
  <c r="G17" i="8"/>
  <c r="F17" i="8"/>
  <c r="E17" i="8"/>
  <c r="D17" i="8"/>
  <c r="H5" i="10" s="1"/>
  <c r="H13" i="10" s="1"/>
  <c r="G15" i="8"/>
  <c r="F15" i="8"/>
  <c r="E15" i="8"/>
  <c r="D15" i="8"/>
  <c r="F14" i="8"/>
  <c r="G14" i="8" s="1"/>
  <c r="D14" i="8"/>
  <c r="B25" i="10" s="1"/>
  <c r="F13" i="8"/>
  <c r="G13" i="8" s="1"/>
  <c r="E13" i="8"/>
  <c r="D13" i="8"/>
  <c r="B24" i="10" s="1"/>
  <c r="F12" i="8"/>
  <c r="G12" i="8" s="1"/>
  <c r="E12" i="8"/>
  <c r="D12" i="8"/>
  <c r="B12" i="10" s="1"/>
  <c r="F11" i="8"/>
  <c r="G11" i="8" s="1"/>
  <c r="E11" i="8"/>
  <c r="F10" i="8"/>
  <c r="G10" i="8" s="1"/>
  <c r="D10" i="8"/>
  <c r="F9" i="8"/>
  <c r="G9" i="8" s="1"/>
  <c r="E9" i="8"/>
  <c r="D9" i="8"/>
  <c r="B20" i="10" s="1"/>
  <c r="F8" i="8"/>
  <c r="G8" i="8" s="1"/>
  <c r="E8" i="8"/>
  <c r="D8" i="8"/>
  <c r="B19" i="10" s="1"/>
  <c r="G7" i="8"/>
  <c r="F7" i="8"/>
  <c r="E7" i="8"/>
  <c r="D7" i="8"/>
  <c r="B18" i="10" s="1"/>
  <c r="F6" i="8"/>
  <c r="G6" i="8" s="1"/>
  <c r="D6" i="8"/>
  <c r="B6" i="10" s="1"/>
  <c r="F5" i="8"/>
  <c r="G5" i="8" s="1"/>
  <c r="E5" i="8"/>
  <c r="D5" i="8"/>
  <c r="B5" i="10" s="1"/>
  <c r="I14" i="12" l="1"/>
  <c r="E74" i="8"/>
  <c r="C18" i="10"/>
  <c r="I7" i="10" s="1"/>
  <c r="I15" i="10" s="1"/>
  <c r="C31" i="9"/>
  <c r="J7" i="10" s="1"/>
  <c r="J15" i="10" s="1"/>
  <c r="C35" i="9"/>
  <c r="J11" i="10" s="1"/>
  <c r="J19" i="10" s="1"/>
  <c r="C22" i="10"/>
  <c r="I11" i="10" s="1"/>
  <c r="I19" i="10" s="1"/>
  <c r="W45" i="11"/>
  <c r="F64" i="8"/>
  <c r="I64" i="8"/>
  <c r="C45" i="11" s="1"/>
  <c r="G64" i="8"/>
  <c r="B45" i="11"/>
  <c r="E64" i="8"/>
  <c r="Q7" i="12"/>
  <c r="N7" i="12"/>
  <c r="L7" i="12"/>
  <c r="K7" i="12"/>
  <c r="J7" i="12"/>
  <c r="M7" i="12"/>
  <c r="E94" i="8"/>
  <c r="C7" i="10"/>
  <c r="C11" i="10"/>
  <c r="B23" i="10"/>
  <c r="W13" i="11"/>
  <c r="W22" i="11"/>
  <c r="B21" i="10"/>
  <c r="B10" i="10"/>
  <c r="D34" i="8"/>
  <c r="D47" i="8"/>
  <c r="D61" i="8"/>
  <c r="E28" i="8"/>
  <c r="F31" i="8"/>
  <c r="G41" i="8"/>
  <c r="E56" i="8"/>
  <c r="D69" i="8"/>
  <c r="D84" i="8"/>
  <c r="B33" i="13"/>
  <c r="G33" i="13" s="1"/>
  <c r="H33" i="13" s="1"/>
  <c r="B21" i="13"/>
  <c r="C8" i="13"/>
  <c r="C32" i="9"/>
  <c r="J8" i="10" s="1"/>
  <c r="J16" i="10" s="1"/>
  <c r="R7" i="12"/>
  <c r="P22" i="14"/>
  <c r="O22" i="14"/>
  <c r="N22" i="14"/>
  <c r="Q22" i="14" s="1"/>
  <c r="E6" i="8"/>
  <c r="W26" i="11"/>
  <c r="B26" i="11"/>
  <c r="G45" i="8"/>
  <c r="W39" i="11"/>
  <c r="B39" i="11"/>
  <c r="F58" i="8"/>
  <c r="E81" i="8"/>
  <c r="B36" i="13"/>
  <c r="G36" i="13" s="1"/>
  <c r="H36" i="13" s="1"/>
  <c r="C11" i="13"/>
  <c r="B24" i="13"/>
  <c r="E92" i="8"/>
  <c r="D26" i="9"/>
  <c r="B8" i="10"/>
  <c r="C15" i="10"/>
  <c r="B11" i="11"/>
  <c r="P11" i="14"/>
  <c r="O11" i="14"/>
  <c r="D46" i="8"/>
  <c r="F41" i="8"/>
  <c r="E10" i="8"/>
  <c r="D49" i="8"/>
  <c r="B39" i="13"/>
  <c r="G39" i="13" s="1"/>
  <c r="H39" i="13" s="1"/>
  <c r="B27" i="13"/>
  <c r="C14" i="13"/>
  <c r="F95" i="8"/>
  <c r="E95" i="8"/>
  <c r="B12" i="11"/>
  <c r="W12" i="11"/>
  <c r="W25" i="11"/>
  <c r="B25" i="11"/>
  <c r="W38" i="11"/>
  <c r="B38" i="11"/>
  <c r="G57" i="8"/>
  <c r="F44" i="8"/>
  <c r="C13" i="13"/>
  <c r="B38" i="13"/>
  <c r="G38" i="13" s="1"/>
  <c r="H38" i="13" s="1"/>
  <c r="G94" i="8"/>
  <c r="B26" i="13"/>
  <c r="G40" i="14"/>
  <c r="F40" i="14"/>
  <c r="E40" i="14"/>
  <c r="D33" i="8"/>
  <c r="D59" i="8"/>
  <c r="I44" i="8"/>
  <c r="C25" i="11" s="1"/>
  <c r="D35" i="8"/>
  <c r="F28" i="8"/>
  <c r="G31" i="8"/>
  <c r="I41" i="8"/>
  <c r="C22" i="11" s="1"/>
  <c r="F45" i="8"/>
  <c r="F56" i="8"/>
  <c r="D70" i="8"/>
  <c r="D85" i="8"/>
  <c r="E18" i="8"/>
  <c r="F21" i="8"/>
  <c r="G21" i="8" s="1"/>
  <c r="D26" i="8"/>
  <c r="D38" i="8"/>
  <c r="D51" i="8"/>
  <c r="I28" i="8"/>
  <c r="C9" i="11" s="1"/>
  <c r="E32" i="8"/>
  <c r="I56" i="8"/>
  <c r="C37" i="11" s="1"/>
  <c r="D73" i="8"/>
  <c r="E67" i="8"/>
  <c r="G89" i="8"/>
  <c r="G92" i="8"/>
  <c r="G95" i="8"/>
  <c r="D22" i="9"/>
  <c r="D34" i="9" s="1"/>
  <c r="B16" i="10"/>
  <c r="W24" i="11"/>
  <c r="N11" i="14"/>
  <c r="C40" i="9"/>
  <c r="D40" i="9" s="1"/>
  <c r="C39" i="9"/>
  <c r="D39" i="9" s="1"/>
  <c r="D60" i="8"/>
  <c r="D48" i="8"/>
  <c r="D36" i="8"/>
  <c r="D39" i="8"/>
  <c r="D52" i="8"/>
  <c r="D65" i="8"/>
  <c r="F32" i="8"/>
  <c r="E57" i="8"/>
  <c r="C30" i="9"/>
  <c r="J6" i="10" s="1"/>
  <c r="J14" i="10" s="1"/>
  <c r="C17" i="10"/>
  <c r="I6" i="10" s="1"/>
  <c r="I14" i="10" s="1"/>
  <c r="B9" i="10"/>
  <c r="W11" i="11"/>
  <c r="D83" i="8"/>
  <c r="D71" i="8"/>
  <c r="D80" i="8"/>
  <c r="D68" i="8"/>
  <c r="D82" i="8"/>
  <c r="D62" i="8"/>
  <c r="D37" i="8"/>
  <c r="D50" i="8"/>
  <c r="D63" i="8"/>
  <c r="G28" i="8"/>
  <c r="I31" i="8"/>
  <c r="C12" i="11" s="1"/>
  <c r="I45" i="8"/>
  <c r="C26" i="11" s="1"/>
  <c r="D72" i="8"/>
  <c r="D86" i="8"/>
  <c r="D11" i="8"/>
  <c r="D19" i="8"/>
  <c r="H7" i="10" s="1"/>
  <c r="H15" i="10" s="1"/>
  <c r="D27" i="8"/>
  <c r="D40" i="8"/>
  <c r="D53" i="8"/>
  <c r="G32" i="8"/>
  <c r="E43" i="8"/>
  <c r="F57" i="8"/>
  <c r="D75" i="8"/>
  <c r="C9" i="13"/>
  <c r="B34" i="13"/>
  <c r="G34" i="13" s="1"/>
  <c r="H34" i="13" s="1"/>
  <c r="G90" i="8"/>
  <c r="B22" i="13"/>
  <c r="F90" i="8"/>
  <c r="C17" i="9"/>
  <c r="C5" i="10"/>
  <c r="C25" i="9"/>
  <c r="C24" i="10" s="1"/>
  <c r="C13" i="10"/>
  <c r="C9" i="10"/>
  <c r="G8" i="14"/>
  <c r="F8" i="14"/>
  <c r="E8" i="14"/>
  <c r="B13" i="10"/>
  <c r="I19" i="12"/>
  <c r="E79" i="8"/>
  <c r="Q21" i="12"/>
  <c r="N21" i="12"/>
  <c r="L21" i="12"/>
  <c r="K21" i="12"/>
  <c r="J21" i="12"/>
  <c r="R21" i="12"/>
  <c r="M21" i="12"/>
  <c r="B26" i="10"/>
  <c r="B15" i="10"/>
  <c r="W35" i="11"/>
  <c r="B35" i="11"/>
  <c r="G54" i="8"/>
  <c r="I32" i="8"/>
  <c r="C13" i="11" s="1"/>
  <c r="G43" i="8"/>
  <c r="E54" i="8"/>
  <c r="I57" i="8"/>
  <c r="C38" i="11" s="1"/>
  <c r="D76" i="8"/>
  <c r="D29" i="8"/>
  <c r="D42" i="8"/>
  <c r="D55" i="8"/>
  <c r="F54" i="8"/>
  <c r="E58" i="8"/>
  <c r="D77" i="8"/>
  <c r="B24" i="11"/>
  <c r="F43" i="8"/>
  <c r="W37" i="11"/>
  <c r="B37" i="11"/>
  <c r="E30" i="8"/>
  <c r="E44" i="8"/>
  <c r="G58" i="8"/>
  <c r="D78" i="8"/>
  <c r="B35" i="13"/>
  <c r="G35" i="13" s="1"/>
  <c r="H35" i="13" s="1"/>
  <c r="B23" i="13"/>
  <c r="C10" i="13"/>
  <c r="C36" i="9"/>
  <c r="J12" i="10" s="1"/>
  <c r="J20" i="10" s="1"/>
  <c r="B17" i="10"/>
  <c r="C21" i="10"/>
  <c r="I10" i="10" s="1"/>
  <c r="I18" i="10" s="1"/>
  <c r="W9" i="11"/>
  <c r="G28" i="14"/>
  <c r="F28" i="14"/>
  <c r="E28" i="14"/>
  <c r="F22" i="12"/>
  <c r="G44" i="14"/>
  <c r="F44" i="14"/>
  <c r="L17" i="11"/>
  <c r="L29" i="11"/>
  <c r="L41" i="11"/>
  <c r="L53" i="11"/>
  <c r="L65" i="11"/>
  <c r="M17" i="11"/>
  <c r="M29" i="11"/>
  <c r="M41" i="11"/>
  <c r="M53" i="11"/>
  <c r="O54" i="11"/>
  <c r="O42" i="11"/>
  <c r="O30" i="11"/>
  <c r="O18" i="11"/>
  <c r="O7" i="11"/>
  <c r="O20" i="11"/>
  <c r="O33" i="11"/>
  <c r="O46" i="11"/>
  <c r="O59" i="11"/>
  <c r="Q12" i="11"/>
  <c r="Q25" i="11"/>
  <c r="Q38" i="11"/>
  <c r="P23" i="14"/>
  <c r="O23" i="14"/>
  <c r="Q23" i="14" s="1"/>
  <c r="L7" i="11"/>
  <c r="L18" i="11"/>
  <c r="L30" i="11"/>
  <c r="L42" i="11"/>
  <c r="L54" i="11"/>
  <c r="M7" i="11"/>
  <c r="M18" i="11"/>
  <c r="M30" i="11"/>
  <c r="M42" i="11"/>
  <c r="M55" i="11"/>
  <c r="O8" i="11"/>
  <c r="O21" i="11"/>
  <c r="O34" i="11"/>
  <c r="O47" i="11"/>
  <c r="O60" i="11"/>
  <c r="Q13" i="11"/>
  <c r="Q26" i="11"/>
  <c r="Q39" i="11"/>
  <c r="L19" i="11"/>
  <c r="L31" i="11"/>
  <c r="L43" i="11"/>
  <c r="L55" i="11"/>
  <c r="M19" i="11"/>
  <c r="M31" i="11"/>
  <c r="M43" i="11"/>
  <c r="M56" i="11"/>
  <c r="O9" i="11"/>
  <c r="O22" i="11"/>
  <c r="O35" i="11"/>
  <c r="O48" i="11"/>
  <c r="O61" i="11"/>
  <c r="Q14" i="11"/>
  <c r="Q27" i="11"/>
  <c r="G43" i="14"/>
  <c r="F43" i="14"/>
  <c r="E43" i="14"/>
  <c r="H43" i="14" s="1"/>
  <c r="C7" i="13"/>
  <c r="B32" i="13"/>
  <c r="G32" i="13" s="1"/>
  <c r="H32" i="13" s="1"/>
  <c r="B20" i="13"/>
  <c r="L9" i="11"/>
  <c r="L21" i="11"/>
  <c r="L33" i="11"/>
  <c r="L45" i="11"/>
  <c r="L57" i="11"/>
  <c r="M9" i="11"/>
  <c r="M21" i="11"/>
  <c r="M33" i="11"/>
  <c r="M45" i="11"/>
  <c r="M58" i="11"/>
  <c r="O11" i="11"/>
  <c r="O24" i="11"/>
  <c r="O37" i="11"/>
  <c r="O50" i="11"/>
  <c r="O63" i="11"/>
  <c r="Q16" i="11"/>
  <c r="Q29" i="11"/>
  <c r="G16" i="14"/>
  <c r="F16" i="14"/>
  <c r="H16" i="14" s="1"/>
  <c r="B25" i="13"/>
  <c r="B37" i="13"/>
  <c r="G37" i="13" s="1"/>
  <c r="H37" i="13" s="1"/>
  <c r="C12" i="13"/>
  <c r="L10" i="11"/>
  <c r="L22" i="11"/>
  <c r="L34" i="11"/>
  <c r="L46" i="11"/>
  <c r="L58" i="11"/>
  <c r="M10" i="11"/>
  <c r="M22" i="11"/>
  <c r="M34" i="11"/>
  <c r="M46" i="11"/>
  <c r="M59" i="11"/>
  <c r="O51" i="11"/>
  <c r="O64" i="11"/>
  <c r="Q17" i="11"/>
  <c r="G20" i="14"/>
  <c r="F20" i="14"/>
  <c r="E20" i="14"/>
  <c r="L12" i="11"/>
  <c r="L24" i="11"/>
  <c r="L36" i="11"/>
  <c r="L48" i="11"/>
  <c r="Q30" i="11"/>
  <c r="Q18" i="11"/>
  <c r="Q7" i="11"/>
  <c r="Q20" i="11"/>
  <c r="Q33" i="11"/>
  <c r="G32" i="14"/>
  <c r="H32" i="14" s="1"/>
  <c r="F32" i="14"/>
  <c r="E44" i="14"/>
  <c r="T19" i="11"/>
  <c r="T31" i="11"/>
  <c r="B15" i="12"/>
  <c r="F15" i="12" s="1"/>
  <c r="C10" i="12"/>
  <c r="F10" i="12" s="1"/>
  <c r="C22" i="12"/>
  <c r="B9" i="14"/>
  <c r="B21" i="14"/>
  <c r="B33" i="14"/>
  <c r="B45" i="14"/>
  <c r="K12" i="14"/>
  <c r="K24" i="14"/>
  <c r="B10" i="14"/>
  <c r="B22" i="14"/>
  <c r="B34" i="14"/>
  <c r="B46" i="14"/>
  <c r="K13" i="14"/>
  <c r="K25" i="14"/>
  <c r="R19" i="11"/>
  <c r="R31" i="11"/>
  <c r="T9" i="11"/>
  <c r="T21" i="11"/>
  <c r="T33" i="11"/>
  <c r="B17" i="12"/>
  <c r="F17" i="12" s="1"/>
  <c r="C12" i="12"/>
  <c r="B11" i="14"/>
  <c r="B23" i="14"/>
  <c r="B35" i="14"/>
  <c r="K14" i="14"/>
  <c r="K26" i="14"/>
  <c r="R8" i="11"/>
  <c r="R20" i="11"/>
  <c r="T10" i="11"/>
  <c r="T22" i="11"/>
  <c r="B7" i="12"/>
  <c r="F7" i="12" s="1"/>
  <c r="B18" i="12"/>
  <c r="C13" i="12"/>
  <c r="F13" i="12" s="1"/>
  <c r="B12" i="14"/>
  <c r="B24" i="14"/>
  <c r="B36" i="14"/>
  <c r="K15" i="14"/>
  <c r="B19" i="12"/>
  <c r="F19" i="12" s="1"/>
  <c r="C14" i="12"/>
  <c r="F14" i="12" s="1"/>
  <c r="B13" i="14"/>
  <c r="B25" i="14"/>
  <c r="B37" i="14"/>
  <c r="K16" i="14"/>
  <c r="B8" i="12"/>
  <c r="F8" i="12" s="1"/>
  <c r="B20" i="12"/>
  <c r="F20" i="12" s="1"/>
  <c r="C15" i="12"/>
  <c r="B14" i="14"/>
  <c r="B26" i="14"/>
  <c r="B38" i="14"/>
  <c r="K17" i="14"/>
  <c r="B9" i="12"/>
  <c r="F9" i="12" s="1"/>
  <c r="B21" i="12"/>
  <c r="F21" i="12" s="1"/>
  <c r="C16" i="12"/>
  <c r="B15" i="14"/>
  <c r="B27" i="14"/>
  <c r="B39" i="14"/>
  <c r="K7" i="14"/>
  <c r="K18" i="14"/>
  <c r="K19" i="14"/>
  <c r="C7" i="12"/>
  <c r="C18" i="12"/>
  <c r="B17" i="14"/>
  <c r="B29" i="14"/>
  <c r="B41" i="14"/>
  <c r="K8" i="14"/>
  <c r="K20" i="14"/>
  <c r="B7" i="14"/>
  <c r="B18" i="14"/>
  <c r="B30" i="14"/>
  <c r="B42" i="14"/>
  <c r="K9" i="14"/>
  <c r="K21" i="14"/>
  <c r="B19" i="14"/>
  <c r="B31" i="14"/>
  <c r="K10" i="14"/>
  <c r="P8" i="14" l="1"/>
  <c r="O8" i="14"/>
  <c r="N8" i="14"/>
  <c r="Q8" i="14" s="1"/>
  <c r="G33" i="14"/>
  <c r="F33" i="14"/>
  <c r="E33" i="14"/>
  <c r="H33" i="14" s="1"/>
  <c r="I12" i="13"/>
  <c r="H12" i="13"/>
  <c r="E12" i="13"/>
  <c r="D12" i="13"/>
  <c r="H7" i="13"/>
  <c r="E7" i="13"/>
  <c r="D7" i="13"/>
  <c r="I7" i="13"/>
  <c r="Y35" i="11"/>
  <c r="X35" i="11"/>
  <c r="AB35" i="11"/>
  <c r="W29" i="11"/>
  <c r="B29" i="11"/>
  <c r="G8" i="11"/>
  <c r="G48" i="8"/>
  <c r="E48" i="8"/>
  <c r="F48" i="8"/>
  <c r="I48" i="8"/>
  <c r="C29" i="11" s="1"/>
  <c r="X12" i="11"/>
  <c r="AB12" i="11"/>
  <c r="Y12" i="11"/>
  <c r="Y39" i="11"/>
  <c r="AB39" i="11"/>
  <c r="X39" i="11"/>
  <c r="AB22" i="11"/>
  <c r="Y22" i="11"/>
  <c r="X22" i="11"/>
  <c r="I9" i="12"/>
  <c r="E69" i="8"/>
  <c r="G7" i="14"/>
  <c r="F7" i="14"/>
  <c r="E7" i="14"/>
  <c r="G27" i="14"/>
  <c r="F27" i="14"/>
  <c r="E27" i="14"/>
  <c r="H27" i="14" s="1"/>
  <c r="P16" i="14"/>
  <c r="O16" i="14"/>
  <c r="N16" i="14"/>
  <c r="P12" i="14"/>
  <c r="O12" i="14"/>
  <c r="N12" i="14"/>
  <c r="B11" i="10"/>
  <c r="B22" i="10"/>
  <c r="I20" i="12"/>
  <c r="E80" i="8"/>
  <c r="B20" i="11"/>
  <c r="G39" i="8"/>
  <c r="I39" i="8"/>
  <c r="C20" i="11" s="1"/>
  <c r="W20" i="11"/>
  <c r="F39" i="8"/>
  <c r="E39" i="8"/>
  <c r="I10" i="12"/>
  <c r="E70" i="8"/>
  <c r="P20" i="14"/>
  <c r="O20" i="14"/>
  <c r="N20" i="14"/>
  <c r="G15" i="14"/>
  <c r="F15" i="14"/>
  <c r="E15" i="14"/>
  <c r="G37" i="14"/>
  <c r="F37" i="14"/>
  <c r="E37" i="14"/>
  <c r="G45" i="14"/>
  <c r="F45" i="14"/>
  <c r="E45" i="14"/>
  <c r="I10" i="13"/>
  <c r="H10" i="13"/>
  <c r="E10" i="13"/>
  <c r="D10" i="13"/>
  <c r="I17" i="12"/>
  <c r="E77" i="8"/>
  <c r="M19" i="12"/>
  <c r="L19" i="12"/>
  <c r="J19" i="12"/>
  <c r="R19" i="12"/>
  <c r="Q19" i="12"/>
  <c r="T19" i="12" s="1"/>
  <c r="K19" i="12"/>
  <c r="N19" i="12"/>
  <c r="I26" i="12"/>
  <c r="E86" i="8"/>
  <c r="E71" i="8"/>
  <c r="I11" i="12"/>
  <c r="W17" i="11"/>
  <c r="B17" i="11"/>
  <c r="G36" i="8"/>
  <c r="I36" i="8"/>
  <c r="C17" i="11" s="1"/>
  <c r="F36" i="8"/>
  <c r="E36" i="8"/>
  <c r="E84" i="8"/>
  <c r="I24" i="12"/>
  <c r="Y13" i="11"/>
  <c r="X13" i="11"/>
  <c r="AB13" i="11"/>
  <c r="H8" i="14"/>
  <c r="H9" i="13"/>
  <c r="E9" i="13"/>
  <c r="I9" i="13"/>
  <c r="D9" i="13"/>
  <c r="W41" i="11"/>
  <c r="B41" i="11"/>
  <c r="G60" i="8"/>
  <c r="E60" i="8"/>
  <c r="I60" i="8"/>
  <c r="C41" i="11" s="1"/>
  <c r="F60" i="8"/>
  <c r="Y26" i="11"/>
  <c r="X26" i="11"/>
  <c r="AB26" i="11"/>
  <c r="I14" i="13"/>
  <c r="H14" i="13"/>
  <c r="E14" i="13"/>
  <c r="D14" i="13"/>
  <c r="G31" i="14"/>
  <c r="F31" i="14"/>
  <c r="E31" i="14"/>
  <c r="G17" i="14"/>
  <c r="F17" i="14"/>
  <c r="E17" i="14"/>
  <c r="H17" i="14" s="1"/>
  <c r="P17" i="14"/>
  <c r="O17" i="14"/>
  <c r="N17" i="14"/>
  <c r="P26" i="14"/>
  <c r="O26" i="14"/>
  <c r="N26" i="14"/>
  <c r="Q26" i="14" s="1"/>
  <c r="P25" i="14"/>
  <c r="O25" i="14"/>
  <c r="N25" i="14"/>
  <c r="W23" i="11"/>
  <c r="B23" i="11"/>
  <c r="G42" i="8"/>
  <c r="E42" i="8"/>
  <c r="I42" i="8"/>
  <c r="C23" i="11" s="1"/>
  <c r="F42" i="8"/>
  <c r="H13" i="13"/>
  <c r="E13" i="13"/>
  <c r="D13" i="13"/>
  <c r="I13" i="13"/>
  <c r="AB45" i="11"/>
  <c r="X45" i="11"/>
  <c r="Y45" i="11"/>
  <c r="I12" i="12"/>
  <c r="E72" i="8"/>
  <c r="I23" i="12"/>
  <c r="E83" i="8"/>
  <c r="I13" i="12"/>
  <c r="E73" i="8"/>
  <c r="G41" i="14"/>
  <c r="F41" i="14"/>
  <c r="E41" i="14"/>
  <c r="H41" i="14" s="1"/>
  <c r="G13" i="14"/>
  <c r="F13" i="14"/>
  <c r="E13" i="14"/>
  <c r="G21" i="14"/>
  <c r="F21" i="14"/>
  <c r="E21" i="14"/>
  <c r="G19" i="14"/>
  <c r="F19" i="14"/>
  <c r="E19" i="14"/>
  <c r="H19" i="14" s="1"/>
  <c r="G38" i="14"/>
  <c r="F38" i="14"/>
  <c r="E38" i="14"/>
  <c r="H38" i="14" s="1"/>
  <c r="P15" i="14"/>
  <c r="O15" i="14"/>
  <c r="N15" i="14"/>
  <c r="P14" i="14"/>
  <c r="O14" i="14"/>
  <c r="N14" i="14"/>
  <c r="P13" i="14"/>
  <c r="O13" i="14"/>
  <c r="N13" i="14"/>
  <c r="Q13" i="14" s="1"/>
  <c r="B10" i="11"/>
  <c r="I29" i="8"/>
  <c r="C10" i="11" s="1"/>
  <c r="G29" i="8"/>
  <c r="F29" i="8"/>
  <c r="E29" i="8"/>
  <c r="W10" i="11"/>
  <c r="B44" i="11"/>
  <c r="G63" i="8"/>
  <c r="I63" i="8"/>
  <c r="C44" i="11" s="1"/>
  <c r="F63" i="8"/>
  <c r="W44" i="11"/>
  <c r="E63" i="8"/>
  <c r="Q11" i="14"/>
  <c r="B32" i="11"/>
  <c r="G51" i="8"/>
  <c r="E51" i="8"/>
  <c r="F51" i="8"/>
  <c r="G11" i="11"/>
  <c r="I51" i="8"/>
  <c r="C32" i="11" s="1"/>
  <c r="W32" i="11"/>
  <c r="W16" i="11"/>
  <c r="B16" i="11"/>
  <c r="I35" i="8"/>
  <c r="C16" i="11" s="1"/>
  <c r="E35" i="8"/>
  <c r="G35" i="8"/>
  <c r="F35" i="8"/>
  <c r="I18" i="12"/>
  <c r="E78" i="8"/>
  <c r="B36" i="11"/>
  <c r="F55" i="8"/>
  <c r="W36" i="11"/>
  <c r="G55" i="8"/>
  <c r="I55" i="8"/>
  <c r="C36" i="11" s="1"/>
  <c r="E55" i="8"/>
  <c r="I15" i="12"/>
  <c r="E75" i="8"/>
  <c r="Y11" i="11"/>
  <c r="AB11" i="11"/>
  <c r="X11" i="11"/>
  <c r="H28" i="14"/>
  <c r="P21" i="14"/>
  <c r="O21" i="14"/>
  <c r="N21" i="14"/>
  <c r="G26" i="14"/>
  <c r="F26" i="14"/>
  <c r="E26" i="14"/>
  <c r="H26" i="14" s="1"/>
  <c r="G36" i="14"/>
  <c r="F36" i="14"/>
  <c r="E36" i="14"/>
  <c r="G35" i="14"/>
  <c r="F35" i="14"/>
  <c r="E35" i="14"/>
  <c r="H35" i="14" s="1"/>
  <c r="G46" i="14"/>
  <c r="F46" i="14"/>
  <c r="E46" i="14"/>
  <c r="I16" i="12"/>
  <c r="E76" i="8"/>
  <c r="W31" i="11"/>
  <c r="B31" i="11"/>
  <c r="I50" i="8"/>
  <c r="C31" i="11" s="1"/>
  <c r="G50" i="8"/>
  <c r="F50" i="8"/>
  <c r="E50" i="8"/>
  <c r="G10" i="11"/>
  <c r="AB24" i="11"/>
  <c r="X24" i="11"/>
  <c r="Y24" i="11"/>
  <c r="W19" i="11"/>
  <c r="G38" i="8"/>
  <c r="I38" i="8"/>
  <c r="C19" i="11" s="1"/>
  <c r="F38" i="8"/>
  <c r="B19" i="11"/>
  <c r="E38" i="8"/>
  <c r="W30" i="11"/>
  <c r="B30" i="11"/>
  <c r="F49" i="8"/>
  <c r="G9" i="11"/>
  <c r="G49" i="8"/>
  <c r="E49" i="8"/>
  <c r="I49" i="8"/>
  <c r="C30" i="11" s="1"/>
  <c r="H11" i="13"/>
  <c r="E11" i="13"/>
  <c r="D11" i="13"/>
  <c r="I11" i="13"/>
  <c r="W42" i="11"/>
  <c r="B42" i="11"/>
  <c r="F61" i="8"/>
  <c r="G14" i="11"/>
  <c r="I61" i="8"/>
  <c r="C42" i="11" s="1"/>
  <c r="G61" i="8"/>
  <c r="E61" i="8"/>
  <c r="G25" i="14"/>
  <c r="F25" i="14"/>
  <c r="E25" i="14"/>
  <c r="H25" i="14" s="1"/>
  <c r="P10" i="14"/>
  <c r="O10" i="14"/>
  <c r="N10" i="14"/>
  <c r="G29" i="14"/>
  <c r="F29" i="14"/>
  <c r="E29" i="14"/>
  <c r="H29" i="14" s="1"/>
  <c r="G24" i="14"/>
  <c r="F24" i="14"/>
  <c r="E24" i="14"/>
  <c r="B34" i="11"/>
  <c r="G13" i="11"/>
  <c r="I53" i="8"/>
  <c r="C34" i="11" s="1"/>
  <c r="E53" i="8"/>
  <c r="W34" i="11"/>
  <c r="G53" i="8"/>
  <c r="F53" i="8"/>
  <c r="W18" i="11"/>
  <c r="B18" i="11"/>
  <c r="F37" i="8"/>
  <c r="I37" i="8"/>
  <c r="C18" i="11" s="1"/>
  <c r="E37" i="8"/>
  <c r="G37" i="8"/>
  <c r="I26" i="8"/>
  <c r="C7" i="11" s="1"/>
  <c r="G26" i="8"/>
  <c r="F26" i="8"/>
  <c r="B7" i="11"/>
  <c r="E26" i="8"/>
  <c r="W7" i="11"/>
  <c r="W40" i="11"/>
  <c r="B40" i="11"/>
  <c r="I59" i="8"/>
  <c r="C40" i="11" s="1"/>
  <c r="F59" i="8"/>
  <c r="E59" i="8"/>
  <c r="G59" i="8"/>
  <c r="W28" i="11"/>
  <c r="B28" i="11"/>
  <c r="G47" i="8"/>
  <c r="G7" i="11"/>
  <c r="F47" i="8"/>
  <c r="E47" i="8"/>
  <c r="I47" i="8"/>
  <c r="C28" i="11" s="1"/>
  <c r="P9" i="14"/>
  <c r="O9" i="14"/>
  <c r="N9" i="14"/>
  <c r="P19" i="14"/>
  <c r="O19" i="14"/>
  <c r="N19" i="14"/>
  <c r="G14" i="14"/>
  <c r="F14" i="14"/>
  <c r="E14" i="14"/>
  <c r="G34" i="14"/>
  <c r="F34" i="14"/>
  <c r="E34" i="14"/>
  <c r="H34" i="14" s="1"/>
  <c r="G12" i="14"/>
  <c r="F12" i="14"/>
  <c r="E12" i="14"/>
  <c r="W21" i="11"/>
  <c r="F40" i="8"/>
  <c r="G40" i="8"/>
  <c r="E40" i="8"/>
  <c r="B21" i="11"/>
  <c r="I40" i="8"/>
  <c r="C21" i="11" s="1"/>
  <c r="W43" i="11"/>
  <c r="B43" i="11"/>
  <c r="E62" i="8"/>
  <c r="G62" i="8"/>
  <c r="F62" i="8"/>
  <c r="I62" i="8"/>
  <c r="C43" i="11" s="1"/>
  <c r="B14" i="11"/>
  <c r="W14" i="11"/>
  <c r="G33" i="8"/>
  <c r="F33" i="8"/>
  <c r="E33" i="8"/>
  <c r="I33" i="8"/>
  <c r="C14" i="11" s="1"/>
  <c r="Y38" i="11"/>
  <c r="X38" i="11"/>
  <c r="AB38" i="11"/>
  <c r="W15" i="11"/>
  <c r="B15" i="11"/>
  <c r="I34" i="8"/>
  <c r="C15" i="11" s="1"/>
  <c r="F34" i="8"/>
  <c r="E34" i="8"/>
  <c r="G34" i="8"/>
  <c r="G9" i="14"/>
  <c r="F9" i="14"/>
  <c r="E9" i="14"/>
  <c r="G23" i="14"/>
  <c r="F23" i="14"/>
  <c r="E23" i="14"/>
  <c r="H23" i="14" s="1"/>
  <c r="G22" i="14"/>
  <c r="F22" i="14"/>
  <c r="E22" i="14"/>
  <c r="AB9" i="11"/>
  <c r="Y9" i="11"/>
  <c r="X9" i="11"/>
  <c r="Y37" i="11"/>
  <c r="AB37" i="11"/>
  <c r="X37" i="11"/>
  <c r="G30" i="14"/>
  <c r="F30" i="14"/>
  <c r="E30" i="14"/>
  <c r="H30" i="14" s="1"/>
  <c r="P7" i="14"/>
  <c r="O7" i="14"/>
  <c r="N7" i="14"/>
  <c r="H44" i="14"/>
  <c r="H20" i="14"/>
  <c r="C29" i="9"/>
  <c r="J5" i="10" s="1"/>
  <c r="J13" i="10" s="1"/>
  <c r="C16" i="10"/>
  <c r="I5" i="10" s="1"/>
  <c r="I13" i="10" s="1"/>
  <c r="B8" i="11"/>
  <c r="W8" i="11"/>
  <c r="G27" i="8"/>
  <c r="F27" i="8"/>
  <c r="I27" i="8"/>
  <c r="C8" i="11" s="1"/>
  <c r="E27" i="8"/>
  <c r="I22" i="12"/>
  <c r="E82" i="8"/>
  <c r="B46" i="11"/>
  <c r="G65" i="8"/>
  <c r="W46" i="11"/>
  <c r="F65" i="8"/>
  <c r="E65" i="8"/>
  <c r="I65" i="8"/>
  <c r="C46" i="11" s="1"/>
  <c r="H40" i="14"/>
  <c r="W27" i="11"/>
  <c r="B27" i="11"/>
  <c r="F46" i="8"/>
  <c r="I46" i="8"/>
  <c r="C27" i="11" s="1"/>
  <c r="G46" i="8"/>
  <c r="E46" i="8"/>
  <c r="I8" i="13"/>
  <c r="H8" i="13"/>
  <c r="E8" i="13"/>
  <c r="D8" i="13"/>
  <c r="G42" i="14"/>
  <c r="F42" i="14"/>
  <c r="E42" i="14"/>
  <c r="P18" i="14"/>
  <c r="O18" i="14"/>
  <c r="N18" i="14"/>
  <c r="G11" i="14"/>
  <c r="F11" i="14"/>
  <c r="E11" i="14"/>
  <c r="H11" i="14" s="1"/>
  <c r="G10" i="14"/>
  <c r="F10" i="14"/>
  <c r="E10" i="14"/>
  <c r="G18" i="14"/>
  <c r="F18" i="14"/>
  <c r="E18" i="14"/>
  <c r="G39" i="14"/>
  <c r="F39" i="14"/>
  <c r="E39" i="14"/>
  <c r="F18" i="12"/>
  <c r="P24" i="14"/>
  <c r="O24" i="14"/>
  <c r="N24" i="14"/>
  <c r="T21" i="12"/>
  <c r="E68" i="8"/>
  <c r="I8" i="12"/>
  <c r="W33" i="11"/>
  <c r="F52" i="8"/>
  <c r="G12" i="11"/>
  <c r="I52" i="8"/>
  <c r="C33" i="11" s="1"/>
  <c r="E52" i="8"/>
  <c r="B33" i="11"/>
  <c r="G52" i="8"/>
  <c r="I25" i="12"/>
  <c r="E85" i="8"/>
  <c r="Y25" i="11"/>
  <c r="AB25" i="11"/>
  <c r="X25" i="11"/>
  <c r="R14" i="12"/>
  <c r="N14" i="12"/>
  <c r="M14" i="12"/>
  <c r="L14" i="12"/>
  <c r="K14" i="12"/>
  <c r="J14" i="12"/>
  <c r="Q14" i="12"/>
  <c r="H39" i="14" l="1"/>
  <c r="Q18" i="14"/>
  <c r="R22" i="12"/>
  <c r="Q22" i="12"/>
  <c r="M22" i="12"/>
  <c r="L22" i="12"/>
  <c r="K22" i="12"/>
  <c r="J22" i="12"/>
  <c r="N22" i="12"/>
  <c r="Q25" i="14"/>
  <c r="H31" i="14"/>
  <c r="R24" i="12"/>
  <c r="Q24" i="12"/>
  <c r="N24" i="12"/>
  <c r="M24" i="12"/>
  <c r="L24" i="12"/>
  <c r="K24" i="12"/>
  <c r="J24" i="12"/>
  <c r="H45" i="14"/>
  <c r="Q12" i="14"/>
  <c r="L18" i="12"/>
  <c r="K18" i="12"/>
  <c r="R18" i="12"/>
  <c r="Q18" i="12"/>
  <c r="T18" i="12" s="1"/>
  <c r="M18" i="12"/>
  <c r="J18" i="12"/>
  <c r="N18" i="12"/>
  <c r="R10" i="12"/>
  <c r="Q10" i="12"/>
  <c r="N10" i="12"/>
  <c r="L10" i="12"/>
  <c r="K10" i="12"/>
  <c r="M10" i="12"/>
  <c r="J10" i="12"/>
  <c r="R9" i="12"/>
  <c r="Q9" i="12"/>
  <c r="N9" i="12"/>
  <c r="M9" i="12"/>
  <c r="L9" i="12"/>
  <c r="J9" i="12"/>
  <c r="K9" i="12"/>
  <c r="H18" i="14"/>
  <c r="Y41" i="11"/>
  <c r="X41" i="11"/>
  <c r="AB41" i="11"/>
  <c r="H42" i="14"/>
  <c r="AB27" i="11"/>
  <c r="Y27" i="11"/>
  <c r="X27" i="11"/>
  <c r="Y7" i="11"/>
  <c r="AB7" i="11"/>
  <c r="X7" i="11"/>
  <c r="AB30" i="11"/>
  <c r="X30" i="11"/>
  <c r="Y30" i="11"/>
  <c r="AB33" i="11"/>
  <c r="X33" i="11"/>
  <c r="Y33" i="11"/>
  <c r="AB43" i="11"/>
  <c r="Y43" i="11"/>
  <c r="X43" i="11"/>
  <c r="Q10" i="14"/>
  <c r="AB42" i="11"/>
  <c r="X42" i="11"/>
  <c r="Y42" i="11"/>
  <c r="H36" i="14"/>
  <c r="H37" i="14"/>
  <c r="Q16" i="14"/>
  <c r="R8" i="12"/>
  <c r="N8" i="12"/>
  <c r="M8" i="12"/>
  <c r="L8" i="12"/>
  <c r="K8" i="12"/>
  <c r="J8" i="12"/>
  <c r="Q8" i="12"/>
  <c r="H9" i="14"/>
  <c r="H14" i="14"/>
  <c r="AB34" i="11"/>
  <c r="Y34" i="11"/>
  <c r="X34" i="11"/>
  <c r="X20" i="11"/>
  <c r="AB20" i="11"/>
  <c r="Y20" i="11"/>
  <c r="X8" i="11"/>
  <c r="Y8" i="11"/>
  <c r="AB8" i="11"/>
  <c r="H10" i="14"/>
  <c r="R15" i="12"/>
  <c r="Q15" i="12"/>
  <c r="N15" i="12"/>
  <c r="M15" i="12"/>
  <c r="L15" i="12"/>
  <c r="K15" i="12"/>
  <c r="J15" i="12"/>
  <c r="X44" i="11"/>
  <c r="AB44" i="11"/>
  <c r="Y44" i="11"/>
  <c r="Q13" i="12"/>
  <c r="N13" i="12"/>
  <c r="L13" i="12"/>
  <c r="K13" i="12"/>
  <c r="J13" i="12"/>
  <c r="R13" i="12"/>
  <c r="M13" i="12"/>
  <c r="Q17" i="14"/>
  <c r="Y29" i="11"/>
  <c r="X29" i="11"/>
  <c r="AB29" i="11"/>
  <c r="Y17" i="11"/>
  <c r="X17" i="11"/>
  <c r="AB17" i="11"/>
  <c r="H15" i="14"/>
  <c r="Q24" i="14"/>
  <c r="AB46" i="11"/>
  <c r="Y46" i="11"/>
  <c r="X46" i="11"/>
  <c r="Q19" i="14"/>
  <c r="AB28" i="11"/>
  <c r="Y28" i="11"/>
  <c r="X28" i="11"/>
  <c r="AB16" i="11"/>
  <c r="Y16" i="11"/>
  <c r="X16" i="11"/>
  <c r="Q14" i="14"/>
  <c r="H21" i="14"/>
  <c r="Q23" i="12"/>
  <c r="N23" i="12"/>
  <c r="M23" i="12"/>
  <c r="L23" i="12"/>
  <c r="K23" i="12"/>
  <c r="J23" i="12"/>
  <c r="R23" i="12"/>
  <c r="K11" i="12"/>
  <c r="J11" i="12"/>
  <c r="R11" i="12"/>
  <c r="N11" i="12"/>
  <c r="Q11" i="12"/>
  <c r="M11" i="12"/>
  <c r="L11" i="12"/>
  <c r="K17" i="12"/>
  <c r="J17" i="12"/>
  <c r="R17" i="12"/>
  <c r="Q17" i="12"/>
  <c r="N17" i="12"/>
  <c r="M17" i="12"/>
  <c r="L17" i="12"/>
  <c r="AB31" i="11"/>
  <c r="Y31" i="11"/>
  <c r="X31" i="11"/>
  <c r="AB18" i="11"/>
  <c r="X18" i="11"/>
  <c r="Y18" i="11"/>
  <c r="J25" i="12"/>
  <c r="R25" i="12"/>
  <c r="Q25" i="12"/>
  <c r="N25" i="12"/>
  <c r="M25" i="12"/>
  <c r="L25" i="12"/>
  <c r="K25" i="12"/>
  <c r="AB21" i="11"/>
  <c r="X21" i="11"/>
  <c r="Y21" i="11"/>
  <c r="H46" i="14"/>
  <c r="Q21" i="14"/>
  <c r="AB36" i="11"/>
  <c r="X36" i="11"/>
  <c r="Y36" i="11"/>
  <c r="M12" i="12"/>
  <c r="L12" i="12"/>
  <c r="J12" i="12"/>
  <c r="R12" i="12"/>
  <c r="Q12" i="12"/>
  <c r="N12" i="12"/>
  <c r="K12" i="12"/>
  <c r="Q20" i="14"/>
  <c r="N20" i="12"/>
  <c r="M20" i="12"/>
  <c r="K20" i="12"/>
  <c r="J20" i="12"/>
  <c r="L20" i="12"/>
  <c r="R20" i="12"/>
  <c r="Q20" i="12"/>
  <c r="H7" i="14"/>
  <c r="AB15" i="11"/>
  <c r="Y15" i="11"/>
  <c r="X15" i="11"/>
  <c r="AB40" i="11"/>
  <c r="Y40" i="11"/>
  <c r="X40" i="11"/>
  <c r="Y14" i="11"/>
  <c r="X14" i="11"/>
  <c r="AB14" i="11"/>
  <c r="AB19" i="11"/>
  <c r="Y19" i="11"/>
  <c r="X19" i="11"/>
  <c r="R16" i="12"/>
  <c r="Q16" i="12"/>
  <c r="N16" i="12"/>
  <c r="M16" i="12"/>
  <c r="L16" i="12"/>
  <c r="K16" i="12"/>
  <c r="J16" i="12"/>
  <c r="X32" i="11"/>
  <c r="AB32" i="11"/>
  <c r="Y32" i="11"/>
  <c r="H24" i="14"/>
  <c r="Q7" i="14"/>
  <c r="H22" i="14"/>
  <c r="H12" i="14"/>
  <c r="Q9" i="14"/>
  <c r="Y10" i="11"/>
  <c r="X10" i="11"/>
  <c r="AB10" i="11"/>
  <c r="Q15" i="14"/>
  <c r="H13" i="14"/>
  <c r="Y23" i="11"/>
  <c r="X23" i="11"/>
  <c r="AB23" i="11"/>
  <c r="L26" i="12"/>
  <c r="K26" i="12"/>
  <c r="R26" i="12"/>
  <c r="Q26" i="12"/>
  <c r="M26" i="12"/>
  <c r="J26" i="12"/>
  <c r="N26" i="12"/>
  <c r="T25" i="12" l="1"/>
  <c r="T17" i="12"/>
  <c r="T26" i="12"/>
  <c r="T23" i="12"/>
  <c r="T22" i="12"/>
  <c r="T20" i="12"/>
  <c r="T2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esmia</author>
  </authors>
  <commentList>
    <comment ref="Z5" authorId="0" shapeId="0" xr:uid="{00000000-0006-0000-0A00-000001000000}">
      <text>
        <r>
          <rPr>
            <sz val="11"/>
            <color theme="1"/>
            <rFont val="Calibri"/>
            <family val="2"/>
            <scheme val="minor"/>
          </rPr>
          <t>esmia:
Placeholder</t>
        </r>
      </text>
    </comment>
    <comment ref="AA5" authorId="0" shapeId="0" xr:uid="{00000000-0006-0000-0A00-000002000000}">
      <text>
        <r>
          <rPr>
            <sz val="11"/>
            <color theme="1"/>
            <rFont val="Calibri"/>
            <family val="2"/>
            <scheme val="minor"/>
          </rPr>
          <t>esmia:
Placeholder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esmia</author>
  </authors>
  <commentList>
    <comment ref="O5" authorId="0" shapeId="0" xr:uid="{00000000-0006-0000-0B00-000001000000}">
      <text>
        <r>
          <rPr>
            <sz val="11"/>
            <color theme="1"/>
            <rFont val="Calibri"/>
            <family val="2"/>
            <scheme val="minor"/>
          </rPr>
          <t>esmia:
Placeholder</t>
        </r>
      </text>
    </comment>
    <comment ref="P5" authorId="0" shapeId="0" xr:uid="{00000000-0006-0000-0B00-000002000000}">
      <text>
        <r>
          <rPr>
            <sz val="11"/>
            <color theme="1"/>
            <rFont val="Calibri"/>
            <family val="2"/>
            <scheme val="minor"/>
          </rPr>
          <t>esmia:
Placeholder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esmia</author>
  </authors>
  <commentList>
    <comment ref="F5" authorId="0" shapeId="0" xr:uid="{00000000-0006-0000-0C00-000001000000}">
      <text>
        <r>
          <rPr>
            <sz val="11"/>
            <color theme="1"/>
            <rFont val="Calibri"/>
            <family val="2"/>
            <scheme val="minor"/>
          </rPr>
          <t>esmia:
Placeholder</t>
        </r>
      </text>
    </comment>
    <comment ref="G5" authorId="0" shapeId="0" xr:uid="{00000000-0006-0000-0C00-000002000000}">
      <text>
        <r>
          <rPr>
            <sz val="11"/>
            <color theme="1"/>
            <rFont val="Calibri"/>
            <family val="2"/>
            <scheme val="minor"/>
          </rPr>
          <t>esmia:
Placeholder</t>
        </r>
      </text>
    </comment>
  </commentList>
</comments>
</file>

<file path=xl/sharedStrings.xml><?xml version="1.0" encoding="utf-8"?>
<sst xmlns="http://schemas.openxmlformats.org/spreadsheetml/2006/main" count="3414" uniqueCount="945">
  <si>
    <t>Generic Comet (GC) TIMES Supply</t>
  </si>
  <si>
    <t>Sheet color</t>
  </si>
  <si>
    <t>Raw Data and Parameters</t>
  </si>
  <si>
    <t>City Specific Data</t>
  </si>
  <si>
    <t>Post processing for TIMES</t>
  </si>
  <si>
    <t>Table formatted for TIMES</t>
  </si>
  <si>
    <t>City Basic Data</t>
  </si>
  <si>
    <t>Calibration methodology</t>
  </si>
  <si>
    <t>GHG Inventory</t>
  </si>
  <si>
    <t>A. City Characteristics</t>
  </si>
  <si>
    <t>Data Item</t>
  </si>
  <si>
    <t>Value</t>
  </si>
  <si>
    <t>Units</t>
  </si>
  <si>
    <t>City Name</t>
  </si>
  <si>
    <t>New York</t>
  </si>
  <si>
    <t>Latitude</t>
  </si>
  <si>
    <t>Longitude</t>
  </si>
  <si>
    <t>County</t>
  </si>
  <si>
    <t>New York County</t>
  </si>
  <si>
    <t>State</t>
  </si>
  <si>
    <t>Census Division</t>
  </si>
  <si>
    <t>Middle Atlantic</t>
  </si>
  <si>
    <t>Climate Division</t>
  </si>
  <si>
    <t>Northeast</t>
  </si>
  <si>
    <t>Egrid Region</t>
  </si>
  <si>
    <t>NPCC NYC/Westchester</t>
  </si>
  <si>
    <t>Area of city (excluding water, natural and agricultural areas)</t>
  </si>
  <si>
    <t>square kilometers</t>
  </si>
  <si>
    <t>* Division and Region Map can be found in the Maps sheet.</t>
  </si>
  <si>
    <t>B. Planning Base Year and Target Years</t>
  </si>
  <si>
    <t>Year</t>
  </si>
  <si>
    <t>Base Year</t>
  </si>
  <si>
    <t>Acceptable range [2018,2021]</t>
  </si>
  <si>
    <t>End Year</t>
  </si>
  <si>
    <t>C. City Population and GDP</t>
  </si>
  <si>
    <t>Population in Base Year</t>
  </si>
  <si>
    <t>Thousand of people</t>
  </si>
  <si>
    <t>Annual population growth (Base Year - End Year)</t>
  </si>
  <si>
    <t>% people</t>
  </si>
  <si>
    <t>GDP in Base Year</t>
  </si>
  <si>
    <t>Million US$</t>
  </si>
  <si>
    <t>Annual GDP growth rate</t>
  </si>
  <si>
    <t>% US$</t>
  </si>
  <si>
    <t>Share of manufacturing GDP</t>
  </si>
  <si>
    <t>Share of State population</t>
  </si>
  <si>
    <t>Share of State GDP</t>
  </si>
  <si>
    <t>Adjustment from state manufacturing GDP</t>
  </si>
  <si>
    <t>D. Climate Data</t>
  </si>
  <si>
    <t>Heating degree days (HDD)</t>
  </si>
  <si>
    <t>F</t>
  </si>
  <si>
    <t>Cooling degree days (CDD)</t>
  </si>
  <si>
    <t>Correction from State HDD</t>
  </si>
  <si>
    <t>Correction from State CDD</t>
  </si>
  <si>
    <t>Annual precipitation</t>
  </si>
  <si>
    <t>mm / year</t>
  </si>
  <si>
    <t>Climate change scenario</t>
  </si>
  <si>
    <t>RCP4.5</t>
  </si>
  <si>
    <t>Average temperature increase in 1980-2020</t>
  </si>
  <si>
    <t>Forecasted average temperature increase in 2035-2065</t>
  </si>
  <si>
    <t>Forecasted average temperature increase in 2070-2100</t>
  </si>
  <si>
    <t>*Climate change scenario description can be found in the Lists sheet.</t>
  </si>
  <si>
    <t>E. Energy scenario</t>
  </si>
  <si>
    <t>AEO energy scenario</t>
  </si>
  <si>
    <t>lowmachighZTC</t>
  </si>
  <si>
    <t>Electricity technology scenario</t>
  </si>
  <si>
    <t>Moderate</t>
  </si>
  <si>
    <t>Transport technology scenario</t>
  </si>
  <si>
    <t>Mid</t>
  </si>
  <si>
    <t>District energy</t>
  </si>
  <si>
    <t>Yes</t>
  </si>
  <si>
    <t>* Energy scenario description can be foundin the Lists sheet.</t>
  </si>
  <si>
    <t>Sector</t>
  </si>
  <si>
    <t>Sub-sector</t>
  </si>
  <si>
    <t>Archetype</t>
  </si>
  <si>
    <t xml:space="preserve">Vintage </t>
  </si>
  <si>
    <t>Demand Label</t>
  </si>
  <si>
    <t>Unit</t>
  </si>
  <si>
    <t>Commercial</t>
  </si>
  <si>
    <t>Hotel</t>
  </si>
  <si>
    <t>Old</t>
  </si>
  <si>
    <t>COMHOTOldDMD</t>
  </si>
  <si>
    <t>Mm2</t>
  </si>
  <si>
    <t>Retail</t>
  </si>
  <si>
    <t>COMRETOldDMD</t>
  </si>
  <si>
    <t>Office</t>
  </si>
  <si>
    <t>COMOFFOldDMD</t>
  </si>
  <si>
    <t>Hospital</t>
  </si>
  <si>
    <t>COMHOPOldDMD</t>
  </si>
  <si>
    <t>Educationnal</t>
  </si>
  <si>
    <t>COMEDUOldDMD</t>
  </si>
  <si>
    <t>Warehouse</t>
  </si>
  <si>
    <t>COMWAROldDMD</t>
  </si>
  <si>
    <t>Municipal</t>
  </si>
  <si>
    <t>COMMUNOldDMD</t>
  </si>
  <si>
    <t>Other</t>
  </si>
  <si>
    <t>COMOTHOldDMD</t>
  </si>
  <si>
    <t>New</t>
  </si>
  <si>
    <t>COMHOTNewDMD</t>
  </si>
  <si>
    <t>COMRETNewDMD</t>
  </si>
  <si>
    <t>COMOFFNewDMD</t>
  </si>
  <si>
    <t>COMHOPNewDMD</t>
  </si>
  <si>
    <t>COMEDUNewDMD</t>
  </si>
  <si>
    <t>COMWARNewDMD</t>
  </si>
  <si>
    <t>COMMUNNewDMD</t>
  </si>
  <si>
    <t>COMOTHNewDMD</t>
  </si>
  <si>
    <t>Residential</t>
  </si>
  <si>
    <t>Apartment</t>
  </si>
  <si>
    <t>Low Income</t>
  </si>
  <si>
    <t>RESAPALOOldDMD</t>
  </si>
  <si>
    <t>House</t>
  </si>
  <si>
    <t>RESHOULOOldDMD</t>
  </si>
  <si>
    <t>Lower-Middle Income</t>
  </si>
  <si>
    <t>RESAPALMOldDMD</t>
  </si>
  <si>
    <t>RESHOULMOldDMD</t>
  </si>
  <si>
    <t>Upper-Middle Income</t>
  </si>
  <si>
    <t>RESAPAUMOldDMD</t>
  </si>
  <si>
    <t>RESHOUUMOldDMD</t>
  </si>
  <si>
    <t>High Income</t>
  </si>
  <si>
    <t>RESAPAHIOldDMD</t>
  </si>
  <si>
    <t>RESHOUHIOldDMD</t>
  </si>
  <si>
    <t>RESAPALONewDMD</t>
  </si>
  <si>
    <t>RESHOULONewDMD</t>
  </si>
  <si>
    <t>RESAPALMNewDMD</t>
  </si>
  <si>
    <t>RESHOULMNewDMD</t>
  </si>
  <si>
    <t>RESAPAUMNewDMD</t>
  </si>
  <si>
    <t>RESHOUUMNewDMD</t>
  </si>
  <si>
    <t>RESAPAHINewDMD</t>
  </si>
  <si>
    <t>RESHOUHINewDMD</t>
  </si>
  <si>
    <t>Industrial</t>
  </si>
  <si>
    <t>All Industries</t>
  </si>
  <si>
    <t>INDAINDMD</t>
  </si>
  <si>
    <t>TJ</t>
  </si>
  <si>
    <t>Transportation</t>
  </si>
  <si>
    <t>Passenger</t>
  </si>
  <si>
    <t>Passenger Car</t>
  </si>
  <si>
    <t>TRAPASCARDMD</t>
  </si>
  <si>
    <t>M Vkm</t>
  </si>
  <si>
    <t>Passenger Truck</t>
  </si>
  <si>
    <t>TRAPASLDTDMD</t>
  </si>
  <si>
    <t>Motorcycle</t>
  </si>
  <si>
    <t>TRAPASMOTDMD</t>
  </si>
  <si>
    <t>Freight</t>
  </si>
  <si>
    <t>Light Commercial Truck</t>
  </si>
  <si>
    <t>TRAFRECLTDMD</t>
  </si>
  <si>
    <t>Refuse Truck</t>
  </si>
  <si>
    <t>TRAFRERFTDMD</t>
  </si>
  <si>
    <t>Single Unit Long-haul Truck</t>
  </si>
  <si>
    <t>TRAFRESLHDMD</t>
  </si>
  <si>
    <t>Single Unit Short-haul Truck</t>
  </si>
  <si>
    <t>TRAFRESSHDMD</t>
  </si>
  <si>
    <t>Combination Long-haul Truck</t>
  </si>
  <si>
    <t>TRAFRECLHDMD</t>
  </si>
  <si>
    <t>Combination Short-haul Truck</t>
  </si>
  <si>
    <t>TRAFRECSHDMD</t>
  </si>
  <si>
    <t>Transit Bus</t>
  </si>
  <si>
    <t>TRAPASTBUDMD</t>
  </si>
  <si>
    <t>School Bus</t>
  </si>
  <si>
    <t>TRAPASSBUDMD</t>
  </si>
  <si>
    <t>Other Buses</t>
  </si>
  <si>
    <t>TRAPASOBUDMD</t>
  </si>
  <si>
    <t>Rail</t>
  </si>
  <si>
    <t>TRAPASRAIDMD</t>
  </si>
  <si>
    <t>Tram</t>
  </si>
  <si>
    <t>TRAPASTRMDMD</t>
  </si>
  <si>
    <t>Subway</t>
  </si>
  <si>
    <t>TRAPASSUBDMD</t>
  </si>
  <si>
    <t>Bicycle</t>
  </si>
  <si>
    <t>TRAPASBICDMD</t>
  </si>
  <si>
    <t>Walk</t>
  </si>
  <si>
    <t>TRAPASWALDMD</t>
  </si>
  <si>
    <t>Off-Road</t>
  </si>
  <si>
    <t>TRAOTHOFRDMD</t>
  </si>
  <si>
    <t>Waterborne</t>
  </si>
  <si>
    <t>TRAOTHWATDMD</t>
  </si>
  <si>
    <t>Aviation</t>
  </si>
  <si>
    <t>TRAOTHAIRDMD</t>
  </si>
  <si>
    <t>Waste</t>
  </si>
  <si>
    <t>Solid</t>
  </si>
  <si>
    <t>Paper</t>
  </si>
  <si>
    <t>WASSOLPAPDMD</t>
  </si>
  <si>
    <t>k tonnes</t>
  </si>
  <si>
    <t>Glass</t>
  </si>
  <si>
    <t>WASSOLGLADMD</t>
  </si>
  <si>
    <t>Metals</t>
  </si>
  <si>
    <t>WASSOLMETDMD</t>
  </si>
  <si>
    <t>Plastics</t>
  </si>
  <si>
    <t>WASSOLPLADMD</t>
  </si>
  <si>
    <t>Food</t>
  </si>
  <si>
    <t>WASSOLFOODMD</t>
  </si>
  <si>
    <t>Yard trimmings</t>
  </si>
  <si>
    <t>WASSOLYARDMD</t>
  </si>
  <si>
    <t>All other</t>
  </si>
  <si>
    <t>WASSOLAOTDMD</t>
  </si>
  <si>
    <t>Historical</t>
  </si>
  <si>
    <t>WASSOLHISDMD</t>
  </si>
  <si>
    <t>Water</t>
  </si>
  <si>
    <t>Fresh Water</t>
  </si>
  <si>
    <t>WASWATFWADMD</t>
  </si>
  <si>
    <t>Mm3</t>
  </si>
  <si>
    <t>Annual Precipitation</t>
  </si>
  <si>
    <t>WASWATAPRDMD</t>
  </si>
  <si>
    <t>Electricity</t>
  </si>
  <si>
    <t>Miscellanous EGRID electricity demand</t>
  </si>
  <si>
    <t>ELCMISEGRIDDMD</t>
  </si>
  <si>
    <t>Treatment</t>
  </si>
  <si>
    <t>WASWATTRTDMD</t>
  </si>
  <si>
    <t>End Use</t>
  </si>
  <si>
    <t>Technology</t>
  </si>
  <si>
    <t>Energy</t>
  </si>
  <si>
    <t>Input Label</t>
  </si>
  <si>
    <t>Output Label</t>
  </si>
  <si>
    <t>Technology Label</t>
  </si>
  <si>
    <t>Included</t>
  </si>
  <si>
    <t>MODE DEMAND (k tonnes/ M m3)</t>
  </si>
  <si>
    <t>SPLIT (%)</t>
  </si>
  <si>
    <t>DEMAND (k tonnes / Mm3)</t>
  </si>
  <si>
    <t>RESID (k tonnes / Mm3)</t>
  </si>
  <si>
    <t>CFA</t>
  </si>
  <si>
    <t>C2A</t>
  </si>
  <si>
    <t>Energy flow (TJ/ktonnes)</t>
  </si>
  <si>
    <t>CH4 (tonnes/ktonnes)</t>
  </si>
  <si>
    <t>CO2 (tonnes/ktonnes)</t>
  </si>
  <si>
    <t>N2O (tonnes/ktonnes)</t>
  </si>
  <si>
    <t>Energy flow (TJ)</t>
  </si>
  <si>
    <t>Compost</t>
  </si>
  <si>
    <t>IN</t>
  </si>
  <si>
    <t>WASELC</t>
  </si>
  <si>
    <t>WASSOLPAPDMDTOT</t>
  </si>
  <si>
    <t>WASSOLPAPCMP19</t>
  </si>
  <si>
    <t>Diesel</t>
  </si>
  <si>
    <t>WASDSL</t>
  </si>
  <si>
    <t>WASSOLGLADMDTOT</t>
  </si>
  <si>
    <t>WASSOLGLACMP19</t>
  </si>
  <si>
    <t>WASSOLMETDMDTOT</t>
  </si>
  <si>
    <t>WASSOLMETCMP19</t>
  </si>
  <si>
    <t>WASSOLPLADMDTOT</t>
  </si>
  <si>
    <t>WASSOLPLACMP19</t>
  </si>
  <si>
    <t>WASSOLFOODMDTOT</t>
  </si>
  <si>
    <t>WASSOLFOOCMP19</t>
  </si>
  <si>
    <t>WASSOLYARDMDTOT</t>
  </si>
  <si>
    <t>WASSOLYARCMP19</t>
  </si>
  <si>
    <t>All Other</t>
  </si>
  <si>
    <t>WASSOLAOTDMDTOT</t>
  </si>
  <si>
    <t>WASSOLAOTCMP19</t>
  </si>
  <si>
    <t>Anaerobic Digestion</t>
  </si>
  <si>
    <t>WASSOLPAPADG19</t>
  </si>
  <si>
    <t>OUT</t>
  </si>
  <si>
    <t>Biogas</t>
  </si>
  <si>
    <t>WASSOLADGBGA</t>
  </si>
  <si>
    <t>WASSOLGLAADG19</t>
  </si>
  <si>
    <t>WASSOLMETADG19</t>
  </si>
  <si>
    <t>WASSOLPLAADG19</t>
  </si>
  <si>
    <t>WASSOLFOOADG19</t>
  </si>
  <si>
    <t>WASSOLYARADG19</t>
  </si>
  <si>
    <t>WASSOLAOTADG19</t>
  </si>
  <si>
    <t>Incineration</t>
  </si>
  <si>
    <t>CELC</t>
  </si>
  <si>
    <t>WASSOLPAPINC19</t>
  </si>
  <si>
    <t>Steam</t>
  </si>
  <si>
    <t>STM</t>
  </si>
  <si>
    <t>WASSOLGLAINC19</t>
  </si>
  <si>
    <t>WASSOLMETINC19</t>
  </si>
  <si>
    <t>WASSOLPLAINC19</t>
  </si>
  <si>
    <t>WASSOLFOOINC19</t>
  </si>
  <si>
    <t>WASSOLYARINC19</t>
  </si>
  <si>
    <t>WASSOLAOTINC19</t>
  </si>
  <si>
    <t>Landfill</t>
  </si>
  <si>
    <t>WASSOLPAPDMDTOTTOLDF</t>
  </si>
  <si>
    <t>WASSOLPAPLDF19</t>
  </si>
  <si>
    <t>WASSOLLDFBGA</t>
  </si>
  <si>
    <t>WASSOLGLADMDTOTTOLDF</t>
  </si>
  <si>
    <t>WASSOLGLALDF19</t>
  </si>
  <si>
    <t>WASSOLMETDMDTOTTOLDF</t>
  </si>
  <si>
    <t>WASSOLMETLDF19</t>
  </si>
  <si>
    <t>WASSOLPLADMDTOTTOLDF</t>
  </si>
  <si>
    <t>WASSOLPLALDF19</t>
  </si>
  <si>
    <t>WASSOLFOODMDTOTTOLDF</t>
  </si>
  <si>
    <t>WASSOLFOOLDF19</t>
  </si>
  <si>
    <t>WASSOLYARDMDTOTTOLDF</t>
  </si>
  <si>
    <t>WASSOLYARLDF19</t>
  </si>
  <si>
    <t>WASSOLAOTDMDTOTTOLDF</t>
  </si>
  <si>
    <t>WASSOLAOTLDF19</t>
  </si>
  <si>
    <t>Recycle</t>
  </si>
  <si>
    <t>WASSOLPAPREC19</t>
  </si>
  <si>
    <t>WASSOLGLAREC19</t>
  </si>
  <si>
    <t>WASSOLMETREC19</t>
  </si>
  <si>
    <t>WASSOLPLAREC19</t>
  </si>
  <si>
    <t>WASSOLFOOREC19</t>
  </si>
  <si>
    <t>WASSOLYARREC19</t>
  </si>
  <si>
    <t>WASSOLAOTREC19</t>
  </si>
  <si>
    <t>WASSOLHISDMDTOTTOLDF</t>
  </si>
  <si>
    <t>WASSOLHISLDF19</t>
  </si>
  <si>
    <t>Treatment Plant without De-Nitrification and without Anaerobic Digesters</t>
  </si>
  <si>
    <t>WASWATTRTDMDTOT</t>
  </si>
  <si>
    <t>WASWATTRTNOT19</t>
  </si>
  <si>
    <t>Natural gas</t>
  </si>
  <si>
    <t>WASNGA</t>
  </si>
  <si>
    <t>WASWATNOTBGA</t>
  </si>
  <si>
    <t>Treatment Plant without De-Nitrification and with Anaerobic Digesters</t>
  </si>
  <si>
    <t>WASWATTRTWAD19</t>
  </si>
  <si>
    <t>WASWATWADBGA</t>
  </si>
  <si>
    <t>Treatment Plant with De-Nitrification and without Anaerobic Digesters</t>
  </si>
  <si>
    <t>WASWATTRTWDN19</t>
  </si>
  <si>
    <t>WASWATWDNBGA</t>
  </si>
  <si>
    <t>Treatment Plant with De-Nitrification and with Anaerobic Digesters</t>
  </si>
  <si>
    <t>WASWATTRTWAN19</t>
  </si>
  <si>
    <t>WASWATWANBGA</t>
  </si>
  <si>
    <t>*</t>
  </si>
  <si>
    <t>MODE DEMAND (k tonnes)</t>
  </si>
  <si>
    <t>DEMAND (k tonnes)</t>
  </si>
  <si>
    <t>RESID (k tonnes)</t>
  </si>
  <si>
    <t>Efficiency</t>
  </si>
  <si>
    <t>Decay</t>
  </si>
  <si>
    <t>WASSOLPAPLDFDEC</t>
  </si>
  <si>
    <t>WASSOLPAPLDFDEC19</t>
  </si>
  <si>
    <t>WASSOLGLALDFDEC</t>
  </si>
  <si>
    <t>WASSOLGLALDFDEC19</t>
  </si>
  <si>
    <t>WASSOLMETLDFDEC</t>
  </si>
  <si>
    <t>WASSOLMETLDFDEC19</t>
  </si>
  <si>
    <t>WASSOLPLALDFDEC</t>
  </si>
  <si>
    <t>WASSOLPLALDFDEC19</t>
  </si>
  <si>
    <t>WASSOLFOOLDFDEC</t>
  </si>
  <si>
    <t>WASSOLFOOLDFDEC19</t>
  </si>
  <si>
    <t>WASSOLYARLDFDEC</t>
  </si>
  <si>
    <t>WASSOLYARLDFDEC19</t>
  </si>
  <si>
    <t>WASSOLAOTLDFDEC</t>
  </si>
  <si>
    <t>WASSOLAOTLDFDEC19</t>
  </si>
  <si>
    <t>WASSOLHISLDFDEC</t>
  </si>
  <si>
    <t>WASSOLHISLDFDEC19</t>
  </si>
  <si>
    <t>Biogas demand (TJ)</t>
  </si>
  <si>
    <t>Demand (TJ)</t>
  </si>
  <si>
    <t>Output (TJ)</t>
  </si>
  <si>
    <t>Total output (TJ)</t>
  </si>
  <si>
    <t>RESID (MW)</t>
  </si>
  <si>
    <t>CH4 (tonnes/TJ)</t>
  </si>
  <si>
    <t>Heat-to-power ratio</t>
  </si>
  <si>
    <t>Venting</t>
  </si>
  <si>
    <t>WASSOLADGVEN19</t>
  </si>
  <si>
    <t>Flaring</t>
  </si>
  <si>
    <t>WASSOLADGFLA19</t>
  </si>
  <si>
    <t>Cogeneration</t>
  </si>
  <si>
    <t>WASSOLADGCOG19</t>
  </si>
  <si>
    <t>Power</t>
  </si>
  <si>
    <t>WASSOLADGPOW19</t>
  </si>
  <si>
    <t>Purification</t>
  </si>
  <si>
    <t>WASSOLADGPUR19</t>
  </si>
  <si>
    <t>RNG</t>
  </si>
  <si>
    <t>WASSOLLDFVEN19</t>
  </si>
  <si>
    <t>WASSOLLDFFLA19</t>
  </si>
  <si>
    <t>WASSOLLDFCOG19</t>
  </si>
  <si>
    <t>WASSOLLDFPOW19</t>
  </si>
  <si>
    <t>WASSOLLDFPUR19</t>
  </si>
  <si>
    <t>WASWATWADVEN19</t>
  </si>
  <si>
    <t>WASWATWADFLA19</t>
  </si>
  <si>
    <t>WASWATWADCOG19</t>
  </si>
  <si>
    <t>WASWATWADPOW19</t>
  </si>
  <si>
    <t>WASWATWADPUR19</t>
  </si>
  <si>
    <t>WASWATWANVEN19</t>
  </si>
  <si>
    <t>WASWATWANFLA19</t>
  </si>
  <si>
    <t>WASWATWANCOG19</t>
  </si>
  <si>
    <t>WASWATWANPOW19</t>
  </si>
  <si>
    <t>WASWATWANPUR19</t>
  </si>
  <si>
    <t>~FI_Process</t>
  </si>
  <si>
    <t>Sets</t>
  </si>
  <si>
    <t>Region</t>
  </si>
  <si>
    <t>TechName</t>
  </si>
  <si>
    <t>TechDesc</t>
  </si>
  <si>
    <t>Tact</t>
  </si>
  <si>
    <t>Tcap</t>
  </si>
  <si>
    <t>Tslvl</t>
  </si>
  <si>
    <t>PrimaryCG</t>
  </si>
  <si>
    <t>Vintage</t>
  </si>
  <si>
    <t>*Process Set Membership</t>
  </si>
  <si>
    <t>Technology Name</t>
  </si>
  <si>
    <t>Technology Description</t>
  </si>
  <si>
    <t>Activity Unit</t>
  </si>
  <si>
    <t>Capacity Unit</t>
  </si>
  <si>
    <t>TimeSlice level of Process Activity</t>
  </si>
  <si>
    <t>Primary Commodity Group</t>
  </si>
  <si>
    <t>Vintage Tracking</t>
  </si>
  <si>
    <t>PRW</t>
  </si>
  <si>
    <t>CITY</t>
  </si>
  <si>
    <t>ELE</t>
  </si>
  <si>
    <t>DAYNITE</t>
  </si>
  <si>
    <t>PRE</t>
  </si>
  <si>
    <t>MW</t>
  </si>
  <si>
    <t>CHP</t>
  </si>
  <si>
    <t>STK</t>
  </si>
  <si>
    <t>ANNUAL</t>
  </si>
  <si>
    <t>~FI_Comm</t>
  </si>
  <si>
    <t>Csets</t>
  </si>
  <si>
    <t>CommName</t>
  </si>
  <si>
    <t>CommDesc</t>
  </si>
  <si>
    <t>LimType</t>
  </si>
  <si>
    <t>CTSLvl</t>
  </si>
  <si>
    <t>PeakTS</t>
  </si>
  <si>
    <t>Ctype</t>
  </si>
  <si>
    <t>*Commodity Set Membership</t>
  </si>
  <si>
    <t>Commodity Name</t>
  </si>
  <si>
    <t>Commodity Description</t>
  </si>
  <si>
    <t>Sense of the Balance EQN.</t>
  </si>
  <si>
    <t>Timeslice Level</t>
  </si>
  <si>
    <t>Peak Monitoring</t>
  </si>
  <si>
    <t>Electricity Indicator</t>
  </si>
  <si>
    <t>DEM</t>
  </si>
  <si>
    <t>FX</t>
  </si>
  <si>
    <t>MAT</t>
  </si>
  <si>
    <t>NRG</t>
  </si>
  <si>
    <t>WASHET</t>
  </si>
  <si>
    <t>Waste Heat</t>
  </si>
  <si>
    <t>ENV</t>
  </si>
  <si>
    <t>WASCO2P</t>
  </si>
  <si>
    <t>Waste Carbon dioxyde Process</t>
  </si>
  <si>
    <t>t</t>
  </si>
  <si>
    <t>WASCH4P</t>
  </si>
  <si>
    <t>Waste Methane Process</t>
  </si>
  <si>
    <t>WASN2OP</t>
  </si>
  <si>
    <t>Waste Nitrogen dioxyde Process</t>
  </si>
  <si>
    <t>WASCO2eP</t>
  </si>
  <si>
    <t>Waste Carbon dioxyde equivalent Process</t>
  </si>
  <si>
    <t>DummyVENT</t>
  </si>
  <si>
    <t>DummyFLAR</t>
  </si>
  <si>
    <t>~FI_T</t>
  </si>
  <si>
    <t>Comm-OUT</t>
  </si>
  <si>
    <t>Attribute</t>
  </si>
  <si>
    <t>Comm-IN</t>
  </si>
  <si>
    <t>Output</t>
  </si>
  <si>
    <t>Input</t>
  </si>
  <si>
    <t>PRC_RESID</t>
  </si>
  <si>
    <t>PRC_CAPACT</t>
  </si>
  <si>
    <t>NCAP_AFA</t>
  </si>
  <si>
    <t>NCAP_TLIFE</t>
  </si>
  <si>
    <t>NCAP_FOM</t>
  </si>
  <si>
    <t>kta/kt</t>
  </si>
  <si>
    <t>%</t>
  </si>
  <si>
    <t>Yr</t>
  </si>
  <si>
    <t>$ /kW / Yr</t>
  </si>
  <si>
    <t>kt</t>
  </si>
  <si>
    <t>EFF</t>
  </si>
  <si>
    <t>NCAP_CHPR</t>
  </si>
  <si>
    <t>ACT_BND</t>
  </si>
  <si>
    <t>TJ/TJ</t>
  </si>
  <si>
    <t>TJ/MW</t>
  </si>
  <si>
    <t>Share</t>
  </si>
  <si>
    <t>UP</t>
  </si>
  <si>
    <t>*NCAP_AFA</t>
  </si>
  <si>
    <t>STG_LOSS</t>
  </si>
  <si>
    <t>STGOUT_BND</t>
  </si>
  <si>
    <t>PRC_ACTFLO</t>
  </si>
  <si>
    <t>CO2</t>
  </si>
  <si>
    <t>CH4</t>
  </si>
  <si>
    <t>N2O</t>
  </si>
  <si>
    <t>CO2e</t>
  </si>
  <si>
    <t>Other_Indexes</t>
  </si>
  <si>
    <t>ACT</t>
  </si>
  <si>
    <t>Emission Factors for Greenhouse Gas Inventories</t>
  </si>
  <si>
    <t>Last Modified: 1 April 2022</t>
  </si>
  <si>
    <t>Red text indicates an update from the 2021 version of this document.</t>
  </si>
  <si>
    <t xml:space="preserve">Typically, greenhouse gas emissions are reported in units of carbon dioxide equivalent (CO2e).  Gases are converted to CO2e by multiplying by their global warming potential (GWP).  The emission factors listed in this document have not been converted to CO2e.  To do so, multiply the emissions by the corresponding GWP listed in the table below.  </t>
  </si>
  <si>
    <t>Gas</t>
  </si>
  <si>
    <t>100-Year GWP</t>
  </si>
  <si>
    <t xml:space="preserve">Source: Intergovernmental Panel on Climate Change (IPCC), Fourth Assessment
Report (AR4), 2007. See the source note to Table 11 for further explanation. </t>
  </si>
  <si>
    <t>Table 1</t>
  </si>
  <si>
    <t xml:space="preserve">   Stationary Combustion</t>
  </si>
  <si>
    <t>*Fuel Type</t>
  </si>
  <si>
    <t>Heat Content (HHV)</t>
  </si>
  <si>
    <t>CO2 Factor</t>
  </si>
  <si>
    <t>CH4 Factor</t>
  </si>
  <si>
    <t>N2O Factor</t>
  </si>
  <si>
    <t>mmBtu per short ton</t>
  </si>
  <si>
    <t>kg CO2 per mmBtu</t>
  </si>
  <si>
    <t>g CH4 per mmBtu</t>
  </si>
  <si>
    <t>g N2O per mmBtu</t>
  </si>
  <si>
    <t>kg CO2 per short ton</t>
  </si>
  <si>
    <t>g CH4 per short ton</t>
  </si>
  <si>
    <t>g N2O per short ton</t>
  </si>
  <si>
    <t>*Coal and Coke</t>
  </si>
  <si>
    <t>Anthracite Coal</t>
  </si>
  <si>
    <t>Bituminous Coal</t>
  </si>
  <si>
    <t>Sub-bituminous Coal</t>
  </si>
  <si>
    <t>Lignite Coal</t>
  </si>
  <si>
    <t>Mixed (Commercial Sector)</t>
  </si>
  <si>
    <t>Mixed (Electric Power Sector)</t>
  </si>
  <si>
    <t>Mixed (Industrial Coking)</t>
  </si>
  <si>
    <t>Mixed (Industrial Sector)</t>
  </si>
  <si>
    <t>Coal Coke</t>
  </si>
  <si>
    <t>*Other Fuels - Solid</t>
  </si>
  <si>
    <t>Municipal Solid Waste</t>
  </si>
  <si>
    <t>Petroleum Coke (Solid)</t>
  </si>
  <si>
    <t>Tires</t>
  </si>
  <si>
    <t>*Biomass Fuels - Solid</t>
  </si>
  <si>
    <t>Agricultural Byproducts</t>
  </si>
  <si>
    <t>Peat</t>
  </si>
  <si>
    <t>Solid Byproducts</t>
  </si>
  <si>
    <t>Wood and Wood Residuals</t>
  </si>
  <si>
    <t>mmBtu per scf</t>
  </si>
  <si>
    <t>kg CO2 per scf</t>
  </si>
  <si>
    <t>g CH4 per scf</t>
  </si>
  <si>
    <t>g N2O per scf</t>
  </si>
  <si>
    <t>*Natural Gas</t>
  </si>
  <si>
    <t>Natural Gas</t>
  </si>
  <si>
    <t>*Other Fuels - Gaseous</t>
  </si>
  <si>
    <t>Blast Furnace Gas</t>
  </si>
  <si>
    <t>Coke Oven Gas</t>
  </si>
  <si>
    <t>Fuel Gas</t>
  </si>
  <si>
    <t>Propane Gas</t>
  </si>
  <si>
    <t>*Biomass Fuels - Gaseous</t>
  </si>
  <si>
    <t>Landfill Gas</t>
  </si>
  <si>
    <t>Other Biomass Gases</t>
  </si>
  <si>
    <t>mmBtu per gallon</t>
  </si>
  <si>
    <t>kg CO2 per gallon</t>
  </si>
  <si>
    <t>g CH4 per gallon</t>
  </si>
  <si>
    <t>g N2O per gallon</t>
  </si>
  <si>
    <t>*Petroleum Products</t>
  </si>
  <si>
    <t>Asphalt and Road Oil</t>
  </si>
  <si>
    <t>Aviation Gasoline</t>
  </si>
  <si>
    <t>Butane</t>
  </si>
  <si>
    <t>Butylene</t>
  </si>
  <si>
    <t>Crude Oil</t>
  </si>
  <si>
    <t>Distillate Fuel Oil No. 1</t>
  </si>
  <si>
    <t>Distillate Fuel Oil No. 2</t>
  </si>
  <si>
    <t>Distillate Fuel Oil No. 4</t>
  </si>
  <si>
    <t>Ethane</t>
  </si>
  <si>
    <t>Ethylene</t>
  </si>
  <si>
    <t>Heavy Gas Oils</t>
  </si>
  <si>
    <t>Isobutane</t>
  </si>
  <si>
    <t>Isobutylene</t>
  </si>
  <si>
    <t>Kerosene</t>
  </si>
  <si>
    <t>Kerosene-Type Jet Fuel</t>
  </si>
  <si>
    <t>Liquefied Petroleum Gases (LPG)</t>
  </si>
  <si>
    <t>Lubricants</t>
  </si>
  <si>
    <t>Motor Gasoline</t>
  </si>
  <si>
    <t>Naphtha (&lt;401 deg F)</t>
  </si>
  <si>
    <t>Natural Gasoline</t>
  </si>
  <si>
    <t>Other Oil (&gt;401 deg F)</t>
  </si>
  <si>
    <t>Pentanes Plus</t>
  </si>
  <si>
    <t>Petrochemical Feedstocks</t>
  </si>
  <si>
    <t>Propane</t>
  </si>
  <si>
    <t>Propylene</t>
  </si>
  <si>
    <t>Residual Fuel Oil No. 5</t>
  </si>
  <si>
    <t>Residual Fuel Oil No. 6</t>
  </si>
  <si>
    <t>Special Naphtha</t>
  </si>
  <si>
    <t>Unfinished Oils</t>
  </si>
  <si>
    <t>Used Oil</t>
  </si>
  <si>
    <t>*Biomass Fuels - Liquid</t>
  </si>
  <si>
    <t>Biodiesel (100%)</t>
  </si>
  <si>
    <t>Ethanol (100%)</t>
  </si>
  <si>
    <t>Rendered Animal Fat</t>
  </si>
  <si>
    <t>Vegetable Oil</t>
  </si>
  <si>
    <t>*Biomass Fuels - 
Kraft Pulping Liquor, by Wood Furnish</t>
  </si>
  <si>
    <t>North American Softwood</t>
  </si>
  <si>
    <t>North American Hardwood</t>
  </si>
  <si>
    <t>Bagasse</t>
  </si>
  <si>
    <t>Bamboo</t>
  </si>
  <si>
    <t>Straw</t>
  </si>
  <si>
    <t>Source:</t>
  </si>
  <si>
    <t xml:space="preserve">Federal Register EPA; 40 CFR Part 98; e-CFR, (see link below). Table C-1, Table C-2 (as amended at 81 FR 89252, Dec. 9, 2016), Table AA-1 (78 FR 71965, Nov. 29, 2013).  </t>
  </si>
  <si>
    <t>https://www.ecfr.gov/cgi-bin/text-idx?SID=ae265d7d6f98ec86fcd8640b9793a3f6&amp;mc=true&amp;node=pt40.23.98&amp;rgn=div5#ap40.23.98_19.1</t>
  </si>
  <si>
    <t>Note: Emission factors are per unit of heat content using higher heating values (HHV). If heat content is available from the fuel supplier, it is preferable to use that value. If not, default heat contents are provided.</t>
  </si>
  <si>
    <t>Table 2</t>
  </si>
  <si>
    <t xml:space="preserve">   Mobile Combustion CO2</t>
  </si>
  <si>
    <t>Fuel Type</t>
  </si>
  <si>
    <t>kg CO2 per unit</t>
  </si>
  <si>
    <t>gallon</t>
  </si>
  <si>
    <t>Compressed Natural Gas (CNG)</t>
  </si>
  <si>
    <t>scf</t>
  </si>
  <si>
    <t>Diesel Fuel</t>
  </si>
  <si>
    <t>Liquefied Natural Gas (LNG)</t>
  </si>
  <si>
    <t>Residual Fuel Oil</t>
  </si>
  <si>
    <t xml:space="preserve">Federal Register EPA; 40 CFR Part 98; e-CFR, (see link below). Table C-1 (as amended at 81 FR 89252, Dec. 9, 2016).  </t>
  </si>
  <si>
    <t>LNG:  The factor was developed based on the CO2 factor for Natural Gas factor and LNG fuel density from GREET1_2021.xlsx Model, Argonne National Laboratory (Fuel_Specs worksheet).</t>
  </si>
  <si>
    <t>Table 3</t>
  </si>
  <si>
    <t xml:space="preserve">   Mobile Combustion CH4 and N2O for On-Road Gasoline Vehicles</t>
  </si>
  <si>
    <t>Vehicle Type</t>
  </si>
  <si>
    <t>CH4 Factor 
(g / mile)</t>
  </si>
  <si>
    <t>N2O Factor 
(g / mile)</t>
  </si>
  <si>
    <t>Gasoline Passenger Cars</t>
  </si>
  <si>
    <t xml:space="preserve"> 1973-1974  </t>
  </si>
  <si>
    <t xml:space="preserve"> 1975 </t>
  </si>
  <si>
    <t xml:space="preserve"> 1976-1977 </t>
  </si>
  <si>
    <t xml:space="preserve"> 1978-1979 </t>
  </si>
  <si>
    <t xml:space="preserve"> 1980 </t>
  </si>
  <si>
    <t xml:space="preserve"> 1981 </t>
  </si>
  <si>
    <t xml:space="preserve"> 1982 </t>
  </si>
  <si>
    <t xml:space="preserve"> 1983 </t>
  </si>
  <si>
    <t xml:space="preserve"> 1984-1993  </t>
  </si>
  <si>
    <t xml:space="preserve"> 1994  </t>
  </si>
  <si>
    <t xml:space="preserve"> 1995  </t>
  </si>
  <si>
    <t xml:space="preserve"> 1996  </t>
  </si>
  <si>
    <t xml:space="preserve"> 1997  </t>
  </si>
  <si>
    <t xml:space="preserve"> 1998  </t>
  </si>
  <si>
    <t xml:space="preserve"> 1999  </t>
  </si>
  <si>
    <t xml:space="preserve"> 2000  </t>
  </si>
  <si>
    <t xml:space="preserve"> 2001  </t>
  </si>
  <si>
    <t xml:space="preserve"> 2002  </t>
  </si>
  <si>
    <t xml:space="preserve"> 2003 </t>
  </si>
  <si>
    <t xml:space="preserve"> 2004 </t>
  </si>
  <si>
    <t xml:space="preserve"> 2005 </t>
  </si>
  <si>
    <t xml:space="preserve"> 2006 </t>
  </si>
  <si>
    <t xml:space="preserve"> 2007 </t>
  </si>
  <si>
    <t xml:space="preserve"> 2008 </t>
  </si>
  <si>
    <t xml:space="preserve"> 2009</t>
  </si>
  <si>
    <t xml:space="preserve"> 2010</t>
  </si>
  <si>
    <t xml:space="preserve"> 2011</t>
  </si>
  <si>
    <t xml:space="preserve"> 2012</t>
  </si>
  <si>
    <t xml:space="preserve"> 2013</t>
  </si>
  <si>
    <t xml:space="preserve"> 2014</t>
  </si>
  <si>
    <t xml:space="preserve"> 2015</t>
  </si>
  <si>
    <t xml:space="preserve"> 2016</t>
  </si>
  <si>
    <t xml:space="preserve"> 2017</t>
  </si>
  <si>
    <t xml:space="preserve"> 2018</t>
  </si>
  <si>
    <t xml:space="preserve"> 2019</t>
  </si>
  <si>
    <t>Gasoline Light-Duty Trucks</t>
  </si>
  <si>
    <t xml:space="preserve"> 1973-1974 </t>
  </si>
  <si>
    <t>(Vans, Pickup Trucks, SUVs)</t>
  </si>
  <si>
    <t xml:space="preserve"> 1976 </t>
  </si>
  <si>
    <t xml:space="preserve"> 1977-1978 </t>
  </si>
  <si>
    <t xml:space="preserve"> 1979-1980 </t>
  </si>
  <si>
    <t xml:space="preserve"> 1984 </t>
  </si>
  <si>
    <t xml:space="preserve"> 1985 </t>
  </si>
  <si>
    <t xml:space="preserve"> 1986 </t>
  </si>
  <si>
    <t xml:space="preserve"> 1987-1993 </t>
  </si>
  <si>
    <t xml:space="preserve"> 1994 </t>
  </si>
  <si>
    <t xml:space="preserve"> 1995 </t>
  </si>
  <si>
    <t xml:space="preserve"> 1996 </t>
  </si>
  <si>
    <t xml:space="preserve"> 1997 </t>
  </si>
  <si>
    <t xml:space="preserve"> 1998 </t>
  </si>
  <si>
    <t xml:space="preserve"> 1999 </t>
  </si>
  <si>
    <t xml:space="preserve"> 2000 </t>
  </si>
  <si>
    <t xml:space="preserve"> 2001 </t>
  </si>
  <si>
    <t xml:space="preserve"> 2002 </t>
  </si>
  <si>
    <t>Gasoline Heavy-Duty Vehicles</t>
  </si>
  <si>
    <t xml:space="preserve"> ≤1980</t>
  </si>
  <si>
    <t xml:space="preserve"> 1981-1984 </t>
  </si>
  <si>
    <t xml:space="preserve"> 1985-1986 </t>
  </si>
  <si>
    <t xml:space="preserve"> 1987 </t>
  </si>
  <si>
    <t xml:space="preserve"> 1988-1989 </t>
  </si>
  <si>
    <t xml:space="preserve"> 1990-1995 </t>
  </si>
  <si>
    <t>Gasoline Motorcycles</t>
  </si>
  <si>
    <t xml:space="preserve"> 1960-1995 </t>
  </si>
  <si>
    <t xml:space="preserve"> 1996-2019</t>
  </si>
  <si>
    <t>Source: EPA (2021) Inventory of U.S. Greenhouse Gas Emissions and Sinks: 1990-2019 (Annexes). All values are calculated from Tables A-90 through A-94.</t>
  </si>
  <si>
    <t>Table 4</t>
  </si>
  <si>
    <t xml:space="preserve">    Mobile Combustion CH4 and N2O for On-Road Diesel and Alternative Fuel Vehicles</t>
  </si>
  <si>
    <t>Vehicle Year</t>
  </si>
  <si>
    <t>Passenger Cars</t>
  </si>
  <si>
    <t>1960-1982</t>
  </si>
  <si>
    <t>1983-2006</t>
  </si>
  <si>
    <t>2007-2019</t>
  </si>
  <si>
    <t>Light-Duty Trucks</t>
  </si>
  <si>
    <t>Medium- and Heavy-Duty Vehicles</t>
  </si>
  <si>
    <t>1960-2006</t>
  </si>
  <si>
    <t>Light-Duty Cars</t>
  </si>
  <si>
    <t>Methanol</t>
  </si>
  <si>
    <t>Ethanol</t>
  </si>
  <si>
    <t>CNG</t>
  </si>
  <si>
    <t>LPG</t>
  </si>
  <si>
    <t>Biodiesel</t>
  </si>
  <si>
    <t>LNG</t>
  </si>
  <si>
    <t>Medium-Duty Trucks</t>
  </si>
  <si>
    <t>Heavy-Duty Trucks</t>
  </si>
  <si>
    <t>Buses</t>
  </si>
  <si>
    <t>Source: EPA (2021) Inventory of U.S. Greenhouse Gas Emissions and Sinks: 1990-2019 (Annexes). All values are calculated from Tables A-93 through A-96.</t>
  </si>
  <si>
    <t>Table 5</t>
  </si>
  <si>
    <t xml:space="preserve">    Mobile Combustion CH4 and N2O for Non-Road Vehicles</t>
  </si>
  <si>
    <t xml:space="preserve">CH4 Factor 
(g / gallon) </t>
  </si>
  <si>
    <t xml:space="preserve">N2O Factor 
(g / gallon) </t>
  </si>
  <si>
    <t>Ships and Boats</t>
  </si>
  <si>
    <t>Gasoline (2 stroke)</t>
  </si>
  <si>
    <t>Gasoline (4 stroke)</t>
  </si>
  <si>
    <t>Locomotives</t>
  </si>
  <si>
    <t>Aircraft</t>
  </si>
  <si>
    <t>Jet Fuel</t>
  </si>
  <si>
    <t>Agricultural EquipmentA</t>
  </si>
  <si>
    <t>Agricultural Offroad Trucks</t>
  </si>
  <si>
    <t>Gasoline</t>
  </si>
  <si>
    <t>Construction/Mining EquipmentB</t>
  </si>
  <si>
    <t>Construction/Mining Offroad Trucks</t>
  </si>
  <si>
    <t>Lawn and Garden Equipment</t>
  </si>
  <si>
    <t>Airport Equipment</t>
  </si>
  <si>
    <t>Industrial/Commercial Equipment</t>
  </si>
  <si>
    <t>Logging Equipment</t>
  </si>
  <si>
    <t>Railroad Equipment</t>
  </si>
  <si>
    <t>Recreational Equipment</t>
  </si>
  <si>
    <t>Source: EPA (2021) Inventory of U.S. Greenhouse Gas Emissions and Sinks: 1990-2019 (Annexes). All values are calculated from Tables A-97 through A-98.</t>
  </si>
  <si>
    <t xml:space="preserve">Notes: 
CH4 and N2O Emission Factors: Updates due to a methodology change. 
A Includes equipment, such as tractors and combines, as well as fuel consumption from trucks that are used off-road in agriculture.   
B Includes equipment, such as cranes, dumpers, and excavators, as well as fuel consumption from trucks that are used off-road in construction. </t>
  </si>
  <si>
    <t>Table 6</t>
  </si>
  <si>
    <t xml:space="preserve">   Electricity</t>
  </si>
  <si>
    <t>Total Output Emission Factors</t>
  </si>
  <si>
    <t>Non-Baseload Emission Factors</t>
  </si>
  <si>
    <t>eGRID Subregion</t>
  </si>
  <si>
    <t>(lb / MWh)</t>
  </si>
  <si>
    <t>AKGD (ASCC Alaska Grid)</t>
  </si>
  <si>
    <t>AKMS (ASCC Miscellaneous)</t>
  </si>
  <si>
    <t>AZNM (WECC Southwest)</t>
  </si>
  <si>
    <t>CAMX (WECC California)</t>
  </si>
  <si>
    <t>ERCT (ERCOT All)</t>
  </si>
  <si>
    <t>FRCC (FRCC All)</t>
  </si>
  <si>
    <t>HIMS (HICC Miscellaneous)</t>
  </si>
  <si>
    <t>HIOA (HICC Oahu)</t>
  </si>
  <si>
    <t>MROE (MRO East)</t>
  </si>
  <si>
    <t>MROW (MRO West)</t>
  </si>
  <si>
    <t>NEWE (NPCC New England)</t>
  </si>
  <si>
    <t>NWPP (WECC Northwest)</t>
  </si>
  <si>
    <t>NYCW (NPCC NYC/Westchester)</t>
  </si>
  <si>
    <t>NYLI (NPCC Long Island)</t>
  </si>
  <si>
    <t>NYUP (NPCC Upstate NY)</t>
  </si>
  <si>
    <t>PRMS (Puerto Rico Miscellaneous)</t>
  </si>
  <si>
    <t>RFCE (RFC East)</t>
  </si>
  <si>
    <t>RFCM (RFC Michigan)</t>
  </si>
  <si>
    <t>RFCW (RFC West)</t>
  </si>
  <si>
    <t>RMPA (WECC Rockies)</t>
  </si>
  <si>
    <t>SPNO (SPP North)</t>
  </si>
  <si>
    <t>SPSO (SPP South)</t>
  </si>
  <si>
    <t>SRMV (SERC Mississippi Valley)</t>
  </si>
  <si>
    <t>SRMW (SERC Midwest)</t>
  </si>
  <si>
    <t>SRSO (SERC South)</t>
  </si>
  <si>
    <t>SRTV (SERC Tennessee Valley)</t>
  </si>
  <si>
    <t>SRVC (SERC Virginia/Carolina)</t>
  </si>
  <si>
    <t>US Average</t>
  </si>
  <si>
    <t>Source: EPA eGRID2020, February 2022</t>
  </si>
  <si>
    <t>Note: Total output emission factors can be used as default factors for estimating GHG emissions from electricity use when developing a carbon footprint or emissions inventory. Annual non-baseload output emission factors should not be used for those purposes, but can be used to estimate GHG emissions reductions from reductions in electricity use.</t>
  </si>
  <si>
    <t>Table 7</t>
  </si>
  <si>
    <t>Steam and Heat</t>
  </si>
  <si>
    <t>CO2 Factor 
(kg / mmBtu)</t>
  </si>
  <si>
    <t xml:space="preserve">CH4 Factor 
(g / mmBtu) </t>
  </si>
  <si>
    <t xml:space="preserve">N2O Factor 
(g / mmBtu) </t>
  </si>
  <si>
    <t xml:space="preserve">Note: Emission factors are per mmBtu of steam or heat purchased. These factors assume natural gas fuel is used to generate steam or heat at 80 percent thermal efficiency.  </t>
  </si>
  <si>
    <t>Scope 3 Emission Factors</t>
  </si>
  <si>
    <t>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 (http://www.ghgprotocol.org/scope-3-technical-calculation-guidance).</t>
  </si>
  <si>
    <t>Table 8</t>
  </si>
  <si>
    <t xml:space="preserve">   Scope 3 Category 4: Upstream Transportation and Distribution and Category 9: Downstream Transportation and Distribution</t>
  </si>
  <si>
    <t xml:space="preserve">These factors are intended for use in the distance-based method defined in the Scope 3 Calculation Guidance. If fuel data are available, then the fuel-based method should be used, with factors from Tables 2 through 5. </t>
  </si>
  <si>
    <t>CO2 Factor 
(kg / unit)</t>
  </si>
  <si>
    <t>CH4 Factor 
(g / unit)</t>
  </si>
  <si>
    <t>N2O Factor 
(g / unit)</t>
  </si>
  <si>
    <t>Medium- and Heavy-Duty Truck</t>
  </si>
  <si>
    <t>vehicle-mile</t>
  </si>
  <si>
    <t>Passenger Car A</t>
  </si>
  <si>
    <t>Light-Duty Truck B</t>
  </si>
  <si>
    <t>ton-mile</t>
  </si>
  <si>
    <t>Waterborne Craft</t>
  </si>
  <si>
    <t>AircraftC</t>
  </si>
  <si>
    <t>Source: 
CO2, CH4, and N2O emissions data for road vehicles are from Table 2-13 of the EPA (2021) Inventory of U.S. Greenhouse Gas Emissions and Sinks: 1990-2019.
Vehicle-miles and passenger-miles data for road vehicles are from Table VM-1 of the Federal Highway Administration Highway Statistics 2019.  
CO2e emissions data for non-road vehicles are based on Table A-107 of the EPA (2021) Inventory of U.S. Greenhouse Gas Emissions and Sinks: 1990-2019, which are distributed into CO2, CH4, and N2O emissions based on fuel/vehicle emission factors.
Freight ton-mile data are from Table 1-50 of the Bureau of Transportation Statistics, National Transportation Statistics for 2021 (Data based on 2019 for rail, waterborne craft and aircraft;  medium- and heavy-duty truck based on 2018, due to data availability).</t>
  </si>
  <si>
    <t>Notes: 
Vehicle-mile factors are appropriate to use when the entire vehicle is dedicated to transporting the reporting company's product.  Ton-mile factors are appropriate when the vehicle is shared with products from other companies.  
A Passenger car: includes passenger cars, minivans, SUVs, and small pickup trucks (vehicles with wheelbase less than 121 inches).  
B Light-duty truck: includes full-size pickup trucks, full-size vans, and extended-length SUVs (vehicles with wheelbase greater than 121 inches).
C Medium- and Heavy-Duty Truck: includes Combination Trucks and single frame trucks that have 2-Axles and at least 6 tires or a gross vehicle weight rating exceeding 10,000 lbs.</t>
  </si>
  <si>
    <t>Table 9</t>
  </si>
  <si>
    <t>Scope 3 Category 5: Waste Generated in Operations and Category 12: End-of-Life Treatment of Sold Products</t>
  </si>
  <si>
    <t>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</si>
  <si>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t>Metric Tons CO2e / Short Ton Material</t>
  </si>
  <si>
    <t>Material</t>
  </si>
  <si>
    <t>RecycledA</t>
  </si>
  <si>
    <t>LandfilledB</t>
  </si>
  <si>
    <t>CombustedC</t>
  </si>
  <si>
    <t>CompostedD</t>
  </si>
  <si>
    <t>Anaerobically Digested (Dry Digestate with Curing)</t>
  </si>
  <si>
    <t>Anaerobically Digested (Wet  Digestate with Curing)</t>
  </si>
  <si>
    <t>Aluminum Cans</t>
  </si>
  <si>
    <t>NA</t>
  </si>
  <si>
    <t>Aluminum Ingot</t>
  </si>
  <si>
    <t>Steel Cans</t>
  </si>
  <si>
    <t>Copper Wire</t>
  </si>
  <si>
    <t>HDPE</t>
  </si>
  <si>
    <t>LDPE</t>
  </si>
  <si>
    <t>PET</t>
  </si>
  <si>
    <t>LLDPE</t>
  </si>
  <si>
    <t>PP</t>
  </si>
  <si>
    <t>PS</t>
  </si>
  <si>
    <t>PVC</t>
  </si>
  <si>
    <t>PLA</t>
  </si>
  <si>
    <t>Corrugated Containers</t>
  </si>
  <si>
    <t>Magazines/Third-class mail</t>
  </si>
  <si>
    <t>Newspaper</t>
  </si>
  <si>
    <t>Office Paper</t>
  </si>
  <si>
    <t>Phonebooks</t>
  </si>
  <si>
    <t>Textbooks</t>
  </si>
  <si>
    <t>Dimensional Lumber</t>
  </si>
  <si>
    <t>Medium-density Fiberboard</t>
  </si>
  <si>
    <t>Food Waste (non-meat)</t>
  </si>
  <si>
    <t>Food Waste (meat only)</t>
  </si>
  <si>
    <t>Beef</t>
  </si>
  <si>
    <t>Poultry</t>
  </si>
  <si>
    <t>Grains</t>
  </si>
  <si>
    <t>Bread</t>
  </si>
  <si>
    <t>Fruits and Vegetables</t>
  </si>
  <si>
    <t>Dairy Products</t>
  </si>
  <si>
    <t>Yard Trimmings</t>
  </si>
  <si>
    <t>Grass</t>
  </si>
  <si>
    <t>Leaves</t>
  </si>
  <si>
    <t>Branches</t>
  </si>
  <si>
    <t>Mixed Paper (general)</t>
  </si>
  <si>
    <t>Mixed Paper (primarily residential)</t>
  </si>
  <si>
    <t>Mixed Paper (primarily from offices)</t>
  </si>
  <si>
    <t>Mixed Metals</t>
  </si>
  <si>
    <t>Mixed Plastics</t>
  </si>
  <si>
    <t>Mixed Recyclables</t>
  </si>
  <si>
    <t>Food Waste</t>
  </si>
  <si>
    <t>Mixed Organics</t>
  </si>
  <si>
    <t>Mixed MSW</t>
  </si>
  <si>
    <t>Carpet</t>
  </si>
  <si>
    <t>Desktop CPUs</t>
  </si>
  <si>
    <t>Portable Electronic Devices</t>
  </si>
  <si>
    <t>Flat-panel Displays</t>
  </si>
  <si>
    <t>CRT Displays</t>
  </si>
  <si>
    <t>Electronic Peripherals</t>
  </si>
  <si>
    <t>Hard-copy Devices</t>
  </si>
  <si>
    <t>Mixed Electronics</t>
  </si>
  <si>
    <t>Clay Bricks</t>
  </si>
  <si>
    <t>Concrete</t>
  </si>
  <si>
    <t>Fly Ash</t>
  </si>
  <si>
    <t>Asphalt Concrete</t>
  </si>
  <si>
    <t>Asphalt Shingles</t>
  </si>
  <si>
    <t>Drywall</t>
  </si>
  <si>
    <t>Fiberglass Insulation</t>
  </si>
  <si>
    <t>Vinyl Flooring</t>
  </si>
  <si>
    <t>Wood Flooring</t>
  </si>
  <si>
    <t xml:space="preserve">Source: EPA, Office of Resource Conservation and Recovery (February 2016) Documentation for Greenhouse Gas Emission and Energy Factors used in the Waste Reduction Model (WARM). Factors from tables provided in the Management Practices Chapters and Background Chapters. WARM Version 15, November 2020 Update. Additional data provided  by EPA, WARM-15 Background Data. </t>
  </si>
  <si>
    <t xml:space="preserve">Notes: These factors do not include any avoided emissions impact from any of the disposal methods. All the factors presented here include transportation emissions, which are optional in the Scope 3 Calculation Guidance, with an assumed average distance traveled to the processing facility. AR4 GWPs are used to convert all waste emission factors into CO2e.   
A Recycling emissions include transport to recycling facility and sorting of recycled materials at material recovery facility.  
B Landfilling emissions include transport to landfill, equipment use at landfill and fugitive landfill CH4 emissions.  Landfill CH4 is based on typical landfill gas collection practices and average landfill moisture conditions.
C Combustion emissions include transport to combustion facility and combustion-related non-biogenic CO2 and N2O  
D Composting emissions include transport to composting facility, equipment use at composting facility and CH4 and N2O emissions during composting. </t>
  </si>
  <si>
    <t>Table 10</t>
  </si>
  <si>
    <t xml:space="preserve">Scope 3 Category 6: Business Travel and Category 7: Employee Commuting </t>
  </si>
  <si>
    <t xml:space="preserve">These factors are intended for use in the distance-based method defined in the Scope 3 Calculation Guidance.  If fuel data are available, then the fuel-based method should be used, with factors from Tables 2 through 5. </t>
  </si>
  <si>
    <t>Intercity Rail - Northeast Corridor C</t>
  </si>
  <si>
    <t>passenger-mile</t>
  </si>
  <si>
    <t>Intercity Rail - Other Routes C</t>
  </si>
  <si>
    <t>Intercity Rail - National Average C</t>
  </si>
  <si>
    <t>Commuter Rail D</t>
  </si>
  <si>
    <t>Transit Rail (i.e. Subway, Tram) E</t>
  </si>
  <si>
    <t>Bus</t>
  </si>
  <si>
    <t xml:space="preserve">Air Travel - Short Haul (&lt; 300 miles) </t>
  </si>
  <si>
    <t xml:space="preserve">Air Travel - Medium Haul (&gt;= 300 miles, 
&lt; 2300 miles) </t>
  </si>
  <si>
    <t xml:space="preserve">Air Travel - Long Haul (&gt;= 2300 miles) </t>
  </si>
  <si>
    <t>Source: 
CO2, CH4, and N2O emissions data for highway vehicles are from Table 2-13 of the EPA (2021) Inventory of U.S. Greenhouse Gas Emissions and Sinks: 1990–2019.  
Vehicle-miles and passenger-miles data for highway vehicles are from Table VM-1 of the Federal Highway Administration Highway Statistics 2019.
Fuel consumption data and passenger-miles data for rail are from Tables A.14 to A.16 and C.9 to C.11 of the Transportation Energy Data Book: Edition 39. Fuel consumption was converted to emissions by using fuel and electricity emission factors presented in the tables above. 
Intercity Rail factors from communication with Amtrak (Laura Fotiou), March 2020.  These are based on 2019 values. 
Air Travel factors from 2021 Guidelines to Defra / DECC's GHG Conversion Factors for Company Reporting.  Version 1.0 June 2021.</t>
  </si>
  <si>
    <t xml:space="preserve">Notes: 
A Passenger car: includes passenger cars, minivans, SUVs, and small pickup trucks (vehicles with wheelbase less than 121 inches).  
B Light-duty truck: includes full-size pickup trucks, full-size vans, and extended-length SUVs (vehicles with wheelbase greater than 121 inches). 
C Intercity rail: Amtrak long-distance rail between major cities. Northeast Corridor extends from Boston to Washington D.C. Other Routes are all routes outside the Northeast Corridor.
D Commuter rail: rail service between a central city and adjacent suburbs (also called regional rail or suburban rail).  
E Transit rail: rail typically within an urban center, such as subways, elevated railways, metropolitan railways (metro), streetcars, trolley cars, and tramways. </t>
  </si>
  <si>
    <t>Global Warming Potentials</t>
  </si>
  <si>
    <t>Table 11</t>
  </si>
  <si>
    <t xml:space="preserve">   Global Warming Potentials (GWPs)</t>
  </si>
  <si>
    <t xml:space="preserve">CO2 </t>
  </si>
  <si>
    <t>HFC-23</t>
  </si>
  <si>
    <t>HFC-32</t>
  </si>
  <si>
    <t>HFC-41</t>
  </si>
  <si>
    <t>HFC-125</t>
  </si>
  <si>
    <t>HFC-134</t>
  </si>
  <si>
    <t>HFC-134a</t>
  </si>
  <si>
    <t>HFC-143</t>
  </si>
  <si>
    <t>HFC-143a</t>
  </si>
  <si>
    <t>HFC-152</t>
  </si>
  <si>
    <t>HFC-152a</t>
  </si>
  <si>
    <t>HFC-161</t>
  </si>
  <si>
    <t>HFC-227ea</t>
  </si>
  <si>
    <t>HFC-236cb</t>
  </si>
  <si>
    <t>HFC-236ea</t>
  </si>
  <si>
    <t>HFC-236fa</t>
  </si>
  <si>
    <t>HFC-245ca</t>
  </si>
  <si>
    <t>HFC-245fa</t>
  </si>
  <si>
    <t>HFC-365mfc</t>
  </si>
  <si>
    <t>HFC-43-10mee</t>
  </si>
  <si>
    <t xml:space="preserve">SF6 </t>
  </si>
  <si>
    <t>NF3</t>
  </si>
  <si>
    <t xml:space="preserve">CF4 </t>
  </si>
  <si>
    <t xml:space="preserve">C2F6 </t>
  </si>
  <si>
    <t>C3F8</t>
  </si>
  <si>
    <t>c-C4F8</t>
  </si>
  <si>
    <t xml:space="preserve">C4F10 </t>
  </si>
  <si>
    <t>C5F12</t>
  </si>
  <si>
    <t>C6F14</t>
  </si>
  <si>
    <t>C10F18</t>
  </si>
  <si>
    <t>&gt;7,500</t>
  </si>
  <si>
    <t>Source: 
100-year GWPs from IPCC Fourth Assessment Report (AR4), 2007.  IPCC AR4 was published in 2007 and is among the most current and comprehensive peer-reviewed assessments of climate change. AR4 provides revised GWPs of several GHGs relative to the values provided in previous assessment reports, following advances in scientific knowledge on the radiative efficiencies and atmospheric lifetimes of these GHGs and of CO2. Because the GWPs provided in AR4 reflect an improved scientific understanding of the radiative effects of these gases in the atmosphere, the values provided are more appropriate for supporting the overall goal of organizational GHG reporting than the Second Assessment Report (SAR) GWP values previously used in the Emission Factors Hub. 
While EPA recognizes that Fifth Assessment Report (AR5) GWPs have been published, in an effort to ensure consistency and comparability of GHG data between EPA’s voluntary and non-voluntary GHG reporting programs (e.g. GHG Reporting Program and National Inventory), EPA recommends the use of AR4 GWPs. The United States and other developed countries to the UNFCCC have agreed to submit annual inventories in 2015 and future years to the UNFCCC using GWP values from AR4, which will replace the current use of SAR GWP values.  Utilizing AR4 GWPs improves EPA’s ability to analyze corporate, national, and sub-national GHG data consistently, enhances communication of GHG information between programs, and gives outside stakeholders a consistent, predictable set of GWPs to avoid confusion and additional burden.</t>
  </si>
  <si>
    <t>Table 12</t>
  </si>
  <si>
    <t>Global Warming Potentials (GWPs) for Blended Refrigerants</t>
  </si>
  <si>
    <t>ASHRAE #</t>
  </si>
  <si>
    <t>100-year GWP</t>
  </si>
  <si>
    <t>Blend Composition</t>
  </si>
  <si>
    <t>R-401A</t>
  </si>
  <si>
    <t>53% HCFC-22 , 34% HCFC-124 , 13% HFC-152a</t>
  </si>
  <si>
    <t>R-401B</t>
  </si>
  <si>
    <t>61% HCFC-22 , 28% HCFC-124 , 11% HFC-152a</t>
  </si>
  <si>
    <t>R-401C</t>
  </si>
  <si>
    <t>33% HCFC-22 , 52% HCFC-124 , 15% HFC-152a</t>
  </si>
  <si>
    <t>R-402A</t>
  </si>
  <si>
    <t>38% HCFC-22 , 6% HFC-125 , 2% propane</t>
  </si>
  <si>
    <t>R-402B</t>
  </si>
  <si>
    <t>6% HCFC-22 , 38% HFC-125 , 2% propane</t>
  </si>
  <si>
    <t>R-403B</t>
  </si>
  <si>
    <t>56% HCFC-22 , 39% PFC-218 , 5% propane</t>
  </si>
  <si>
    <t>R-404A</t>
  </si>
  <si>
    <t>44% HFC-125 , 4% HFC-134a , 52% HFC 143a</t>
  </si>
  <si>
    <t>R-406A</t>
  </si>
  <si>
    <t>55% HCFC-22 , 41% HCFC-142b , 4% isobutane</t>
  </si>
  <si>
    <t>R-407A</t>
  </si>
  <si>
    <t>20% HFC-32 , 40% HFC-125 , 40% HFC-134a</t>
  </si>
  <si>
    <t>R-407B</t>
  </si>
  <si>
    <t>10% HFC-32 , 70% HFC-125 , 20% HFC-134a</t>
  </si>
  <si>
    <t>R-407C</t>
  </si>
  <si>
    <t>23% HFC-32 , 25% HFC-125 , 52% HFC-134a</t>
  </si>
  <si>
    <t>R-407D</t>
  </si>
  <si>
    <t>15% HFC-32 , 15% HFC-125 , 70% HFC-134a</t>
  </si>
  <si>
    <t>R-407E</t>
  </si>
  <si>
    <t>25% HFC-32 , 15% HFC-125 , 60% HFC-134a</t>
  </si>
  <si>
    <t>R-408A</t>
  </si>
  <si>
    <t>47% HCFC-22 , 7% HFC-125 , 46% HFC 143a</t>
  </si>
  <si>
    <t>R-409A</t>
  </si>
  <si>
    <t>60% HCFC-22 , 25% HCFC-124 , 15% HCFC-142b</t>
  </si>
  <si>
    <t>R-410A</t>
  </si>
  <si>
    <t>50% HFC-32 , 50% HFC-125</t>
  </si>
  <si>
    <t>R-410B</t>
  </si>
  <si>
    <t xml:space="preserve">45% HFC-32 , 55% HFC-125 </t>
  </si>
  <si>
    <t>R-411A</t>
  </si>
  <si>
    <t>87.5% HCFC-22 , 11 HFC-152a , 1.5% propylene</t>
  </si>
  <si>
    <t>R-411B</t>
  </si>
  <si>
    <t>94% HCFC-22 , 3% HFC-152a , 3% propylene</t>
  </si>
  <si>
    <t>R-413A</t>
  </si>
  <si>
    <t>88% HFC-134a , 9% PFC-218 , 3% isobutane</t>
  </si>
  <si>
    <t>R-414A</t>
  </si>
  <si>
    <t>51% HCFC-22 , 28.5% HCFC-124 , 16.5% HCFC-142b</t>
  </si>
  <si>
    <t>R-414B</t>
  </si>
  <si>
    <t>5% HCFC-22 , 39% HCFC-124 , 9.5% HCFC-142b</t>
  </si>
  <si>
    <t>R-417A</t>
  </si>
  <si>
    <t>46.6% HFC-125 , 5% HFC-134a , 3.4% butane</t>
  </si>
  <si>
    <t>R-422A</t>
  </si>
  <si>
    <t>85.1% HFC-125 , 11.5% HFC-134a , 3.4% isobutane</t>
  </si>
  <si>
    <t>R-422D</t>
  </si>
  <si>
    <t>65.1% HFC-125 , 31.5% HFC-134a , 3.4% isobutane</t>
  </si>
  <si>
    <t>R-423A</t>
  </si>
  <si>
    <t xml:space="preserve">47.5% HFC-227ea , 52.5% HFC-134a ,  </t>
  </si>
  <si>
    <t>R-424A</t>
  </si>
  <si>
    <t>50.5% HFC-125, 47% HFC-134a, 2.5% butane/pentane</t>
  </si>
  <si>
    <t>R-426A</t>
  </si>
  <si>
    <t>5.1% HFC-125, 93% HFC-134a, 1.9% butane/pentane</t>
  </si>
  <si>
    <t>R-428A</t>
  </si>
  <si>
    <t>77.5% HFC-125 , 2% HFC-143a , 1.9% isobutane</t>
  </si>
  <si>
    <t>R-434A</t>
  </si>
  <si>
    <t>63.2% HFC-125, 16% HFC-134a, 18% HFC-143a, 2.8% isobutane</t>
  </si>
  <si>
    <t>R-500</t>
  </si>
  <si>
    <t>73.8% CFC-12 , 26.2% HFC-152a , 48.8% HCFC-22</t>
  </si>
  <si>
    <t>R-502</t>
  </si>
  <si>
    <t xml:space="preserve">48.8% HCFC-22 , 51.2% CFC-115 </t>
  </si>
  <si>
    <t>R-504</t>
  </si>
  <si>
    <t>48.2% HFC-32 , 51.8% CFC-115</t>
  </si>
  <si>
    <t>R-507</t>
  </si>
  <si>
    <t>5% HFC-125 , 5% HFC143a</t>
  </si>
  <si>
    <t>R-508A</t>
  </si>
  <si>
    <t>39% HFC-23 , 61% PFC-116</t>
  </si>
  <si>
    <t>R-508B</t>
  </si>
  <si>
    <t>46% HFC-23 , 54% PFC-116</t>
  </si>
  <si>
    <t>Source: 
100-year GWPs from IPCC Fourth Assessment Report (AR4), 2007.  See the source note to Table 11 for further explanation. GWPs of blended refrigerants are based on their HFC and PFC constituents, which are based on data from http://www.epa.gov/ozone/snap/refrigerants/refblend.html.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</si>
</sst>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8">
    <numFmt numFmtId="43" formatCode="_(* #,##0.00_);_(* \(#,##0.00\);_(* &quot;-&quot;??_);_(@_)"/>
    <numFmt numFmtId="164" formatCode="_(* #,##0_);_(* \(#,##0\);_(* &quot;-&quot;??_);_(@_)"/>
    <numFmt numFmtId="165" formatCode="_(* #,##0.0_);_(* \(#,##0.0\);_(* &quot;-&quot;??_);_(@_)"/>
    <numFmt numFmtId="166" formatCode="_(* #,##0.000_);_(* \(#,##0.000\);_(* &quot;-&quot;??_);_(@_)"/>
    <numFmt numFmtId="167" formatCode="0.0E+00"/>
    <numFmt numFmtId="168" formatCode="_(* #,##0.000000_);_(* \(#,##0.000000\);_(* &quot;-&quot;??_);_(@_)"/>
    <numFmt numFmtId="169" formatCode="_(* #,##0.00000_);_(* \(#,##0.00000\);_(* &quot;-&quot;??_);_(@_)"/>
    <numFmt numFmtId="170" formatCode="_(* #,##0.0000_);_(* \(#,##0.0000\);_(* &quot;-&quot;??_);_(@_)"/>
    <numFmt numFmtId="171" formatCode="0.000"/>
    <numFmt numFmtId="172" formatCode="0.0000"/>
    <numFmt numFmtId="173" formatCode="General_)"/>
    <numFmt numFmtId="174" formatCode="_(* #,##0_);_(* \(#,##0\);_(@_)"/>
    <numFmt numFmtId="175" formatCode="0.000000"/>
    <numFmt numFmtId="176" formatCode="_([$€-2]* #,##0.00_);_([$€-2]* \(#,##0.00\);_([$€-2]* &quot;-&quot;??_)"/>
    <numFmt numFmtId="177" formatCode="_-* #,##0.00\ _€_-;\-* #,##0.00\ _€_-;_-* &quot;-&quot;??\ _€_-;_-@_-"/>
    <numFmt numFmtId="178" formatCode="_-* #,##0.00_-;\-* #,##0.00_-;_-* &quot;-&quot;??_-;_-@_-"/>
    <numFmt numFmtId="179" formatCode="_ * #,##0.00_)\ _$_ ;_ * \(#,##0.00\)\ _$_ ;_ * &quot;-&quot;??_)\ _$_ ;_ @_ "/>
    <numFmt numFmtId="180" formatCode="_(* #,##0.00_);_(* \(#,##0.00\);_(* \-??_);_(@_)"/>
    <numFmt numFmtId="181" formatCode="_-* #,##0.00_-;\-* #,##0.00_-;_-* \-??_-;_-@_-"/>
    <numFmt numFmtId="182" formatCode="_-* #,##0.00\ _€_-;\-* #,##0.00\ _€_-;_-* \-??\ _€_-;_-@_-"/>
    <numFmt numFmtId="183" formatCode="_ * #,##0.00_)\ _$_ ;_ * \(#,##0.00&quot;) &quot;_$_ ;_ * \-??_)\ _$_ ;_ @_ "/>
    <numFmt numFmtId="184" formatCode="#,##0.0;[Red]\(#,##0.0\)"/>
    <numFmt numFmtId="185" formatCode="_-&quot;$&quot;* #,##0.00_-;\-&quot;$&quot;* #,##0.00_-;_-&quot;$&quot;* &quot;-&quot;??_-;_-@_-"/>
    <numFmt numFmtId="186" formatCode="_ * #,##0.00_)\ &quot;$&quot;_ ;_ * \(#,##0.00\)\ &quot;$&quot;_ ;_ * &quot;-&quot;??_)\ &quot;$&quot;_ ;_ @_ "/>
    <numFmt numFmtId="187" formatCode="#,##0.0,;[Red]\(#,##0.0,\)"/>
    <numFmt numFmtId="188" formatCode="#,##0.0,,;[Red]\(#,##0.0,,\)"/>
    <numFmt numFmtId="189" formatCode="mmm\ dd\,\ yyyy"/>
    <numFmt numFmtId="190" formatCode="yyyy"/>
  </numFmts>
  <fonts count="70">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1"/>
      <color rgb="FF0070C0"/>
      <name val="Calibri"/>
      <family val="2"/>
      <scheme val="minor"/>
    </font>
    <font>
      <b/>
      <sz val="10"/>
      <name val="Arial"/>
      <family val="2"/>
    </font>
    <font>
      <sz val="10"/>
      <name val="Arial"/>
      <family val="2"/>
    </font>
    <font>
      <sz val="10"/>
      <name val="Verdana"/>
      <family val="2"/>
    </font>
    <font>
      <b/>
      <sz val="16"/>
      <name val="Arial"/>
      <family val="2"/>
    </font>
    <font>
      <b/>
      <sz val="14"/>
      <color rgb="FFFF0000"/>
      <name val="Arial"/>
      <family val="2"/>
    </font>
    <font>
      <sz val="9"/>
      <name val="Arial"/>
      <family val="2"/>
    </font>
    <font>
      <sz val="10"/>
      <color rgb="FFFF0000"/>
      <name val="Arial"/>
      <family val="2"/>
    </font>
    <font>
      <b/>
      <sz val="9"/>
      <name val="Arial"/>
      <family val="2"/>
    </font>
    <font>
      <b/>
      <sz val="12"/>
      <name val="Arial"/>
      <family val="2"/>
    </font>
    <font>
      <b/>
      <sz val="10"/>
      <color theme="5"/>
      <name val="Arial"/>
      <family val="2"/>
    </font>
    <font>
      <b/>
      <sz val="10"/>
      <color theme="6" tint="-0.499984740745262"/>
      <name val="Arial"/>
      <family val="2"/>
    </font>
    <font>
      <sz val="9"/>
      <color indexed="10"/>
      <name val="Arial"/>
      <family val="2"/>
    </font>
    <font>
      <u/>
      <sz val="10"/>
      <color indexed="12"/>
      <name val="Verdana"/>
      <family val="2"/>
    </font>
    <font>
      <u/>
      <sz val="10"/>
      <name val="Arial"/>
      <family val="2"/>
    </font>
    <font>
      <u/>
      <sz val="9"/>
      <color indexed="12"/>
      <name val="Arial"/>
      <family val="2"/>
    </font>
    <font>
      <sz val="10"/>
      <color rgb="FF00B050"/>
      <name val="Arial"/>
      <family val="2"/>
    </font>
    <font>
      <i/>
      <sz val="8"/>
      <name val="Arial"/>
      <family val="2"/>
    </font>
    <font>
      <sz val="4"/>
      <name val="Arial"/>
      <family val="2"/>
    </font>
    <font>
      <sz val="10"/>
      <color rgb="FF000000"/>
      <name val="Arial"/>
      <family val="2"/>
    </font>
    <font>
      <b/>
      <sz val="10"/>
      <color rgb="FFFF0000"/>
      <name val="Arial"/>
      <family val="2"/>
    </font>
    <font>
      <sz val="8"/>
      <name val="Arial"/>
      <family val="2"/>
    </font>
    <font>
      <u/>
      <sz val="11"/>
      <color theme="10"/>
      <name val="Calibri"/>
      <family val="2"/>
      <scheme val="minor"/>
    </font>
    <font>
      <sz val="11"/>
      <color rgb="FF006100"/>
      <name val="Calibri"/>
      <family val="2"/>
      <scheme val="minor"/>
    </font>
    <font>
      <i/>
      <sz val="11"/>
      <color rgb="FF7F7F7F"/>
      <name val="Calibri"/>
      <family val="2"/>
      <scheme val="minor"/>
    </font>
    <font>
      <sz val="11"/>
      <color theme="0"/>
      <name val="Calibri"/>
      <family val="2"/>
      <scheme val="minor"/>
    </font>
    <font>
      <sz val="10"/>
      <name val="Arial"/>
    </font>
    <font>
      <sz val="11"/>
      <color indexed="8"/>
      <name val="Calibri"/>
      <family val="2"/>
    </font>
    <font>
      <sz val="10"/>
      <name val="Courier"/>
      <family val="3"/>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8"/>
      <name val="Arial"/>
      <family val="2"/>
    </font>
    <font>
      <u/>
      <sz val="10"/>
      <color indexed="12"/>
      <name val="Arial"/>
      <family val="2"/>
    </font>
    <font>
      <sz val="12"/>
      <name val="Arial MT"/>
    </font>
    <font>
      <u/>
      <sz val="11"/>
      <color indexed="12"/>
      <name val="Calibri"/>
      <family val="2"/>
    </font>
    <font>
      <sz val="12"/>
      <name val="Arial MT"/>
      <family val="2"/>
    </font>
    <font>
      <u/>
      <sz val="7.5"/>
      <color indexed="12"/>
      <name val="Arial"/>
      <family val="2"/>
    </font>
    <font>
      <sz val="10"/>
      <name val="Arial Cyr"/>
      <charset val="204"/>
    </font>
    <font>
      <sz val="10"/>
      <name val="MS Sans Serif"/>
      <family val="2"/>
    </font>
    <font>
      <sz val="10"/>
      <color indexed="8"/>
      <name val="Arial"/>
      <family val="2"/>
      <charset val="204"/>
    </font>
    <font>
      <sz val="9"/>
      <color indexed="8"/>
      <name val="Calibri"/>
      <family val="2"/>
    </font>
    <font>
      <u/>
      <sz val="11"/>
      <color theme="6"/>
      <name val="Calibri"/>
      <family val="2"/>
    </font>
    <font>
      <sz val="9"/>
      <color theme="1"/>
      <name val="Calibri"/>
      <family val="2"/>
      <scheme val="minor"/>
    </font>
    <font>
      <b/>
      <sz val="9"/>
      <color theme="1"/>
      <name val="Calibri"/>
      <family val="2"/>
      <scheme val="minor"/>
    </font>
    <font>
      <u/>
      <sz val="10"/>
      <color theme="10"/>
      <name val="Arial"/>
      <family val="2"/>
    </font>
    <font>
      <u/>
      <sz val="10"/>
      <color theme="4"/>
      <name val="Calibri"/>
      <family val="2"/>
      <scheme val="minor"/>
    </font>
    <font>
      <sz val="11"/>
      <color rgb="FF9C6500"/>
      <name val="Calibri"/>
      <family val="2"/>
      <scheme val="minor"/>
    </font>
    <font>
      <sz val="10"/>
      <color theme="1"/>
      <name val="Arial"/>
      <family val="2"/>
    </font>
    <font>
      <b/>
      <sz val="12"/>
      <color theme="4"/>
      <name val="Calibri"/>
      <family val="2"/>
      <scheme val="minor"/>
    </font>
    <font>
      <b/>
      <sz val="18"/>
      <color theme="3"/>
      <name val="Calibri Light"/>
      <family val="2"/>
      <scheme val="major"/>
    </font>
    <font>
      <b/>
      <sz val="18"/>
      <color theme="3"/>
      <name val="Cambria"/>
      <family val="2"/>
    </font>
    <font>
      <sz val="10"/>
      <name val="Calibri"/>
      <family val="2"/>
      <scheme val="minor"/>
    </font>
  </fonts>
  <fills count="86">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8"/>
        <bgColor indexed="64"/>
      </patternFill>
    </fill>
    <fill>
      <patternFill patternType="solid">
        <fgColor rgb="FFFFFFCC"/>
        <bgColor indexed="64"/>
      </patternFill>
    </fill>
    <fill>
      <patternFill patternType="solid">
        <fgColor rgb="FFFFFF99"/>
        <bgColor indexed="64"/>
      </patternFill>
    </fill>
    <fill>
      <patternFill patternType="solid">
        <fgColor indexed="9"/>
        <bgColor indexed="64"/>
      </patternFill>
    </fill>
    <fill>
      <patternFill patternType="solid">
        <fgColor indexed="51"/>
        <bgColor indexed="64"/>
      </patternFill>
    </fill>
    <fill>
      <patternFill patternType="solid">
        <fgColor theme="0" tint="-0.249977111117893"/>
        <bgColor indexed="64"/>
      </patternFill>
    </fill>
    <fill>
      <patternFill patternType="solid">
        <fgColor indexed="45"/>
        <bgColor indexed="64"/>
      </patternFill>
    </fill>
    <fill>
      <patternFill patternType="solid">
        <fgColor indexed="43"/>
        <bgColor indexed="64"/>
      </patternFill>
    </fill>
    <fill>
      <patternFill patternType="solid">
        <fgColor indexed="44"/>
        <bgColor indexed="64"/>
      </patternFill>
    </fill>
    <fill>
      <patternFill patternType="solid">
        <fgColor indexed="22"/>
        <bgColor indexed="64"/>
      </patternFill>
    </fill>
    <fill>
      <patternFill patternType="solid">
        <fgColor indexed="41"/>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11"/>
        <bgColor indexed="50"/>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55"/>
        <bgColor indexed="24"/>
      </patternFill>
    </fill>
    <fill>
      <patternFill patternType="solid">
        <fgColor indexed="26"/>
      </patternFill>
    </fill>
    <fill>
      <patternFill patternType="solid">
        <fgColor indexed="43"/>
      </patternFill>
    </fill>
    <fill>
      <patternFill patternType="solid">
        <fgColor indexed="43"/>
        <bgColor indexed="26"/>
      </patternFill>
    </fill>
    <fill>
      <patternFill patternType="solid">
        <fgColor indexed="26"/>
        <bgColor indexed="9"/>
      </patternFill>
    </fill>
  </fills>
  <borders count="92">
    <border>
      <left/>
      <right/>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medium">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indexed="64"/>
      </left>
      <right style="thin">
        <color auto="1"/>
      </right>
      <top/>
      <bottom/>
      <diagonal/>
    </border>
    <border>
      <left style="medium">
        <color indexed="64"/>
      </left>
      <right/>
      <top/>
      <bottom style="thin">
        <color auto="1"/>
      </bottom>
      <diagonal/>
    </border>
    <border>
      <left style="thin">
        <color auto="1"/>
      </left>
      <right style="thin">
        <color auto="1"/>
      </right>
      <top/>
      <bottom style="medium">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thin">
        <color auto="1"/>
      </left>
      <right/>
      <top style="thin">
        <color auto="1"/>
      </top>
      <bottom/>
      <diagonal/>
    </border>
    <border>
      <left style="medium">
        <color auto="1"/>
      </left>
      <right style="medium">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right style="thin">
        <color auto="1"/>
      </right>
      <top style="medium">
        <color auto="1"/>
      </top>
      <bottom style="medium">
        <color auto="1"/>
      </bottom>
      <diagonal/>
    </border>
    <border>
      <left/>
      <right/>
      <top style="thin">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auto="1"/>
      </top>
      <bottom style="thin">
        <color auto="1"/>
      </bottom>
      <diagonal/>
    </border>
    <border>
      <left style="thin">
        <color auto="1"/>
      </left>
      <right/>
      <top style="medium">
        <color auto="1"/>
      </top>
      <bottom/>
      <diagonal/>
    </border>
    <border>
      <left/>
      <right style="thin">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top/>
      <bottom style="thin">
        <color auto="1"/>
      </bottom>
      <diagonal/>
    </border>
    <border>
      <left style="thin">
        <color auto="1"/>
      </left>
      <right style="thin">
        <color auto="1"/>
      </right>
      <top style="medium">
        <color auto="1"/>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medium">
        <color indexed="64"/>
      </left>
      <right/>
      <top style="thin">
        <color auto="1"/>
      </top>
      <bottom style="thin">
        <color auto="1"/>
      </bottom>
      <diagonal/>
    </border>
    <border>
      <left style="medium">
        <color indexed="64"/>
      </left>
      <right/>
      <top/>
      <bottom/>
      <diagonal/>
    </border>
    <border>
      <left style="thin">
        <color auto="1"/>
      </left>
      <right style="thin">
        <color auto="1"/>
      </right>
      <top style="thin">
        <color auto="1"/>
      </top>
      <bottom style="thin">
        <color indexed="64"/>
      </bottom>
      <diagonal/>
    </border>
    <border>
      <left style="medium">
        <color auto="1"/>
      </left>
      <right style="medium">
        <color auto="1"/>
      </right>
      <top style="medium">
        <color auto="1"/>
      </top>
      <bottom style="medium">
        <color auto="1"/>
      </bottom>
      <diagonal/>
    </border>
    <border>
      <left/>
      <right/>
      <top style="thin">
        <color auto="1"/>
      </top>
      <bottom style="medium">
        <color auto="1"/>
      </bottom>
      <diagonal/>
    </border>
    <border>
      <left/>
      <right/>
      <top/>
      <bottom style="thin">
        <color indexed="64"/>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dashed">
        <color theme="0" tint="-0.24994659260841701"/>
      </bottom>
      <diagonal/>
    </border>
    <border>
      <left/>
      <right/>
      <top style="medium">
        <color theme="4"/>
      </top>
      <bottom/>
      <diagonal/>
    </border>
    <border>
      <left style="thick">
        <color theme="0"/>
      </left>
      <right style="thick">
        <color theme="0"/>
      </right>
      <top/>
      <bottom style="thin">
        <color theme="0" tint="-0.24994659260841701"/>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right/>
      <top style="thin">
        <color auto="1"/>
      </top>
      <bottom style="thin">
        <color auto="1"/>
      </bottom>
      <diagonal/>
    </border>
    <border>
      <left/>
      <right/>
      <top/>
      <bottom style="medium">
        <color indexed="64"/>
      </bottom>
      <diagonal/>
    </border>
  </borders>
  <cellStyleXfs count="3437">
    <xf numFmtId="0" fontId="0" fillId="0" borderId="0"/>
    <xf numFmtId="43" fontId="1" fillId="0" borderId="0"/>
    <xf numFmtId="9" fontId="1" fillId="0" borderId="0"/>
    <xf numFmtId="0" fontId="6" fillId="0" borderId="0"/>
    <xf numFmtId="0" fontId="7" fillId="0" borderId="0"/>
    <xf numFmtId="43" fontId="7" fillId="0" borderId="0"/>
    <xf numFmtId="0" fontId="17" fillId="0" borderId="0">
      <alignment vertical="top"/>
      <protection locked="0"/>
    </xf>
    <xf numFmtId="9" fontId="7" fillId="0" borderId="0"/>
    <xf numFmtId="0" fontId="30" fillId="0" borderId="0"/>
    <xf numFmtId="173" fontId="32" fillId="0" borderId="0"/>
    <xf numFmtId="0" fontId="31" fillId="41" borderId="0"/>
    <xf numFmtId="0" fontId="31" fillId="40" borderId="0"/>
    <xf numFmtId="176" fontId="31" fillId="40" borderId="0"/>
    <xf numFmtId="176" fontId="31" fillId="41" borderId="0"/>
    <xf numFmtId="0" fontId="31" fillId="40" borderId="0"/>
    <xf numFmtId="176" fontId="31" fillId="40" borderId="0"/>
    <xf numFmtId="0" fontId="31" fillId="40" borderId="0"/>
    <xf numFmtId="176" fontId="31" fillId="40" borderId="0"/>
    <xf numFmtId="0" fontId="31" fillId="40" borderId="0"/>
    <xf numFmtId="0" fontId="31" fillId="43" borderId="0"/>
    <xf numFmtId="0" fontId="31" fillId="42" borderId="0"/>
    <xf numFmtId="176" fontId="31" fillId="42" borderId="0"/>
    <xf numFmtId="176" fontId="31" fillId="43" borderId="0"/>
    <xf numFmtId="0" fontId="31" fillId="42" borderId="0"/>
    <xf numFmtId="176" fontId="31" fillId="42" borderId="0"/>
    <xf numFmtId="0" fontId="31" fillId="42" borderId="0"/>
    <xf numFmtId="176" fontId="31" fillId="42" borderId="0"/>
    <xf numFmtId="0" fontId="31" fillId="42" borderId="0"/>
    <xf numFmtId="0" fontId="31" fillId="45" borderId="0"/>
    <xf numFmtId="0" fontId="31" fillId="44" borderId="0"/>
    <xf numFmtId="176" fontId="31" fillId="44" borderId="0"/>
    <xf numFmtId="176" fontId="31" fillId="45" borderId="0"/>
    <xf numFmtId="0" fontId="31" fillId="44" borderId="0"/>
    <xf numFmtId="176" fontId="31" fillId="44" borderId="0"/>
    <xf numFmtId="0" fontId="31" fillId="44" borderId="0"/>
    <xf numFmtId="176" fontId="31" fillId="44" borderId="0"/>
    <xf numFmtId="0" fontId="31" fillId="44" borderId="0"/>
    <xf numFmtId="0" fontId="31" fillId="47" borderId="0"/>
    <xf numFmtId="0" fontId="31" fillId="46" borderId="0"/>
    <xf numFmtId="176" fontId="31" fillId="46" borderId="0"/>
    <xf numFmtId="176" fontId="31" fillId="47" borderId="0"/>
    <xf numFmtId="0" fontId="31" fillId="46" borderId="0"/>
    <xf numFmtId="176" fontId="31" fillId="46" borderId="0"/>
    <xf numFmtId="0" fontId="31" fillId="46" borderId="0"/>
    <xf numFmtId="176" fontId="31" fillId="46" borderId="0"/>
    <xf numFmtId="0" fontId="31" fillId="46" borderId="0"/>
    <xf numFmtId="0" fontId="31" fillId="49" borderId="0"/>
    <xf numFmtId="0" fontId="31" fillId="48" borderId="0"/>
    <xf numFmtId="176" fontId="31" fillId="48" borderId="0"/>
    <xf numFmtId="176" fontId="31" fillId="49" borderId="0"/>
    <xf numFmtId="0" fontId="31" fillId="48" borderId="0"/>
    <xf numFmtId="176" fontId="31" fillId="48" borderId="0"/>
    <xf numFmtId="0" fontId="31" fillId="48" borderId="0"/>
    <xf numFmtId="176" fontId="31" fillId="48" borderId="0"/>
    <xf numFmtId="0" fontId="31" fillId="48" borderId="0"/>
    <xf numFmtId="0" fontId="31" fillId="51" borderId="0"/>
    <xf numFmtId="0" fontId="31" fillId="50" borderId="0"/>
    <xf numFmtId="176" fontId="31" fillId="50" borderId="0"/>
    <xf numFmtId="176" fontId="31" fillId="51" borderId="0"/>
    <xf numFmtId="0" fontId="31" fillId="50" borderId="0"/>
    <xf numFmtId="176" fontId="31" fillId="50" borderId="0"/>
    <xf numFmtId="0" fontId="31" fillId="50" borderId="0"/>
    <xf numFmtId="176" fontId="31" fillId="50" borderId="0"/>
    <xf numFmtId="0" fontId="31" fillId="50" borderId="0"/>
    <xf numFmtId="0" fontId="1" fillId="23" borderId="0"/>
    <xf numFmtId="0" fontId="1" fillId="23" borderId="0"/>
    <xf numFmtId="0" fontId="1" fillId="23" borderId="0"/>
    <xf numFmtId="0" fontId="1" fillId="23" borderId="0"/>
    <xf numFmtId="176" fontId="1" fillId="23" borderId="0"/>
    <xf numFmtId="176" fontId="1" fillId="23" borderId="0"/>
    <xf numFmtId="0" fontId="1" fillId="23" borderId="0"/>
    <xf numFmtId="176" fontId="1" fillId="23" borderId="0"/>
    <xf numFmtId="176" fontId="1" fillId="23" borderId="0"/>
    <xf numFmtId="0" fontId="1" fillId="23" borderId="0"/>
    <xf numFmtId="0" fontId="1" fillId="23" borderId="0"/>
    <xf numFmtId="176" fontId="1" fillId="23" borderId="0"/>
    <xf numFmtId="176" fontId="1" fillId="23" borderId="0"/>
    <xf numFmtId="0" fontId="1" fillId="23" borderId="0"/>
    <xf numFmtId="176" fontId="1" fillId="23" borderId="0"/>
    <xf numFmtId="176" fontId="1" fillId="23" borderId="0"/>
    <xf numFmtId="0" fontId="1" fillId="23" borderId="0"/>
    <xf numFmtId="0" fontId="1" fillId="23" borderId="0"/>
    <xf numFmtId="0" fontId="1" fillId="23" borderId="0"/>
    <xf numFmtId="176" fontId="1" fillId="23" borderId="0"/>
    <xf numFmtId="176" fontId="1" fillId="23" borderId="0"/>
    <xf numFmtId="0" fontId="1" fillId="23" borderId="0"/>
    <xf numFmtId="176" fontId="1" fillId="23" borderId="0"/>
    <xf numFmtId="176" fontId="1" fillId="23" borderId="0"/>
    <xf numFmtId="0" fontId="1" fillId="23" borderId="0"/>
    <xf numFmtId="0" fontId="1" fillId="23" borderId="0"/>
    <xf numFmtId="176" fontId="1" fillId="23" borderId="0"/>
    <xf numFmtId="176" fontId="1" fillId="23" borderId="0"/>
    <xf numFmtId="0" fontId="31" fillId="53" borderId="0"/>
    <xf numFmtId="0" fontId="31" fillId="52" borderId="0"/>
    <xf numFmtId="176" fontId="31" fillId="52" borderId="0"/>
    <xf numFmtId="176" fontId="31" fillId="53" borderId="0"/>
    <xf numFmtId="0" fontId="31" fillId="52" borderId="0"/>
    <xf numFmtId="176" fontId="31" fillId="52" borderId="0"/>
    <xf numFmtId="0" fontId="31" fillId="52" borderId="0"/>
    <xf numFmtId="176" fontId="31" fillId="52" borderId="0"/>
    <xf numFmtId="0" fontId="31" fillId="52" borderId="0"/>
    <xf numFmtId="0" fontId="31" fillId="55" borderId="0"/>
    <xf numFmtId="0" fontId="31" fillId="54" borderId="0"/>
    <xf numFmtId="176" fontId="31" fillId="54" borderId="0"/>
    <xf numFmtId="176" fontId="31" fillId="55" borderId="0"/>
    <xf numFmtId="0" fontId="31" fillId="54" borderId="0"/>
    <xf numFmtId="176" fontId="31" fillId="54" borderId="0"/>
    <xf numFmtId="0" fontId="31" fillId="54" borderId="0"/>
    <xf numFmtId="176" fontId="31" fillId="54" borderId="0"/>
    <xf numFmtId="0" fontId="31" fillId="54" borderId="0"/>
    <xf numFmtId="0" fontId="31" fillId="57" borderId="0"/>
    <xf numFmtId="0" fontId="31" fillId="56" borderId="0"/>
    <xf numFmtId="176" fontId="31" fillId="56" borderId="0"/>
    <xf numFmtId="176" fontId="31" fillId="57" borderId="0"/>
    <xf numFmtId="0" fontId="31" fillId="56" borderId="0"/>
    <xf numFmtId="176" fontId="31" fillId="56" borderId="0"/>
    <xf numFmtId="0" fontId="31" fillId="58" borderId="0"/>
    <xf numFmtId="0" fontId="31" fillId="56" borderId="0"/>
    <xf numFmtId="176" fontId="31" fillId="56" borderId="0"/>
    <xf numFmtId="0" fontId="31" fillId="56" borderId="0"/>
    <xf numFmtId="0" fontId="31" fillId="58" borderId="0"/>
    <xf numFmtId="0" fontId="31" fillId="47" borderId="0"/>
    <xf numFmtId="0" fontId="31" fillId="46" borderId="0"/>
    <xf numFmtId="176" fontId="31" fillId="46" borderId="0"/>
    <xf numFmtId="176" fontId="31" fillId="47" borderId="0"/>
    <xf numFmtId="0" fontId="31" fillId="46" borderId="0"/>
    <xf numFmtId="176" fontId="31" fillId="46" borderId="0"/>
    <xf numFmtId="0" fontId="31" fillId="46" borderId="0"/>
    <xf numFmtId="176" fontId="31" fillId="46" borderId="0"/>
    <xf numFmtId="0" fontId="31" fillId="46" borderId="0"/>
    <xf numFmtId="0" fontId="31" fillId="53" borderId="0"/>
    <xf numFmtId="0" fontId="31" fillId="52" borderId="0"/>
    <xf numFmtId="176" fontId="31" fillId="52" borderId="0"/>
    <xf numFmtId="176" fontId="31" fillId="53" borderId="0"/>
    <xf numFmtId="0" fontId="31" fillId="52" borderId="0"/>
    <xf numFmtId="176" fontId="31" fillId="52" borderId="0"/>
    <xf numFmtId="0" fontId="31" fillId="52" borderId="0"/>
    <xf numFmtId="176" fontId="31" fillId="52" borderId="0"/>
    <xf numFmtId="0" fontId="31" fillId="52" borderId="0"/>
    <xf numFmtId="0" fontId="31" fillId="60" borderId="0"/>
    <xf numFmtId="0" fontId="31" fillId="59" borderId="0"/>
    <xf numFmtId="176" fontId="31" fillId="59" borderId="0"/>
    <xf numFmtId="176" fontId="31" fillId="60" borderId="0"/>
    <xf numFmtId="0" fontId="31" fillId="59" borderId="0"/>
    <xf numFmtId="176" fontId="31" fillId="59" borderId="0"/>
    <xf numFmtId="0" fontId="31" fillId="59" borderId="0"/>
    <xf numFmtId="176" fontId="31" fillId="59" borderId="0"/>
    <xf numFmtId="0" fontId="31" fillId="59" borderId="0"/>
    <xf numFmtId="0" fontId="29" fillId="24" borderId="0"/>
    <xf numFmtId="0" fontId="33" fillId="62" borderId="0"/>
    <xf numFmtId="0" fontId="33" fillId="61" borderId="0"/>
    <xf numFmtId="176" fontId="33" fillId="61" borderId="0"/>
    <xf numFmtId="176" fontId="33" fillId="62" borderId="0"/>
    <xf numFmtId="0" fontId="33" fillId="61" borderId="0"/>
    <xf numFmtId="176" fontId="33" fillId="61" borderId="0"/>
    <xf numFmtId="0" fontId="33" fillId="61" borderId="0"/>
    <xf numFmtId="176" fontId="33" fillId="61" borderId="0"/>
    <xf numFmtId="0" fontId="33" fillId="61" borderId="0"/>
    <xf numFmtId="0" fontId="29" fillId="27" borderId="0"/>
    <xf numFmtId="0" fontId="33" fillId="55" borderId="0"/>
    <xf numFmtId="0" fontId="33" fillId="54" borderId="0"/>
    <xf numFmtId="176" fontId="33" fillId="54" borderId="0"/>
    <xf numFmtId="176" fontId="33" fillId="55" borderId="0"/>
    <xf numFmtId="0" fontId="33" fillId="54" borderId="0"/>
    <xf numFmtId="176" fontId="33" fillId="54" borderId="0"/>
    <xf numFmtId="0" fontId="33" fillId="54" borderId="0"/>
    <xf numFmtId="176" fontId="33" fillId="54" borderId="0"/>
    <xf numFmtId="0" fontId="33" fillId="54" borderId="0"/>
    <xf numFmtId="0" fontId="29" fillId="30" borderId="0"/>
    <xf numFmtId="0" fontId="33" fillId="57" borderId="0"/>
    <xf numFmtId="0" fontId="33" fillId="56" borderId="0"/>
    <xf numFmtId="176" fontId="33" fillId="56" borderId="0"/>
    <xf numFmtId="176" fontId="33" fillId="57" borderId="0"/>
    <xf numFmtId="0" fontId="33" fillId="56" borderId="0"/>
    <xf numFmtId="176" fontId="33" fillId="56" borderId="0"/>
    <xf numFmtId="0" fontId="33" fillId="58" borderId="0"/>
    <xf numFmtId="0" fontId="33" fillId="56" borderId="0"/>
    <xf numFmtId="176" fontId="33" fillId="56" borderId="0"/>
    <xf numFmtId="0" fontId="33" fillId="56" borderId="0"/>
    <xf numFmtId="0" fontId="33" fillId="58" borderId="0"/>
    <xf numFmtId="0" fontId="29" fillId="33" borderId="0"/>
    <xf numFmtId="0" fontId="33" fillId="64" borderId="0"/>
    <xf numFmtId="0" fontId="33" fillId="63" borderId="0"/>
    <xf numFmtId="176" fontId="33" fillId="63" borderId="0"/>
    <xf numFmtId="176" fontId="33" fillId="64" borderId="0"/>
    <xf numFmtId="0" fontId="33" fillId="63" borderId="0"/>
    <xf numFmtId="176" fontId="33" fillId="63" borderId="0"/>
    <xf numFmtId="0" fontId="33" fillId="63" borderId="0"/>
    <xf numFmtId="176" fontId="33" fillId="63" borderId="0"/>
    <xf numFmtId="0" fontId="33" fillId="63" borderId="0"/>
    <xf numFmtId="0" fontId="29" fillId="36" borderId="0"/>
    <xf numFmtId="0" fontId="33" fillId="66" borderId="0"/>
    <xf numFmtId="0" fontId="33" fillId="65" borderId="0"/>
    <xf numFmtId="176" fontId="33" fillId="65" borderId="0"/>
    <xf numFmtId="176" fontId="33" fillId="66" borderId="0"/>
    <xf numFmtId="0" fontId="33" fillId="65" borderId="0"/>
    <xf numFmtId="176" fontId="33" fillId="65" borderId="0"/>
    <xf numFmtId="0" fontId="33" fillId="65" borderId="0"/>
    <xf numFmtId="176" fontId="33" fillId="65" borderId="0"/>
    <xf numFmtId="0" fontId="33" fillId="65" borderId="0"/>
    <xf numFmtId="0" fontId="29" fillId="39" borderId="0"/>
    <xf numFmtId="0" fontId="33" fillId="68" borderId="0"/>
    <xf numFmtId="0" fontId="33" fillId="67" borderId="0"/>
    <xf numFmtId="176" fontId="33" fillId="67" borderId="0"/>
    <xf numFmtId="176" fontId="33" fillId="68" borderId="0"/>
    <xf numFmtId="0" fontId="33" fillId="67" borderId="0"/>
    <xf numFmtId="176" fontId="33" fillId="67" borderId="0"/>
    <xf numFmtId="0" fontId="33" fillId="67" borderId="0"/>
    <xf numFmtId="176" fontId="33" fillId="67" borderId="0"/>
    <xf numFmtId="0" fontId="33" fillId="67" borderId="0"/>
    <xf numFmtId="0" fontId="33" fillId="70" borderId="0"/>
    <xf numFmtId="0" fontId="33" fillId="69" borderId="0"/>
    <xf numFmtId="176" fontId="33" fillId="69" borderId="0"/>
    <xf numFmtId="176" fontId="33" fillId="70" borderId="0"/>
    <xf numFmtId="0" fontId="33" fillId="69" borderId="0"/>
    <xf numFmtId="176" fontId="33" fillId="69" borderId="0"/>
    <xf numFmtId="0" fontId="33" fillId="69" borderId="0"/>
    <xf numFmtId="176" fontId="33" fillId="69" borderId="0"/>
    <xf numFmtId="0" fontId="33" fillId="69" borderId="0"/>
    <xf numFmtId="0" fontId="33" fillId="72" borderId="0"/>
    <xf numFmtId="0" fontId="33" fillId="71" borderId="0"/>
    <xf numFmtId="176" fontId="33" fillId="71" borderId="0"/>
    <xf numFmtId="176" fontId="33" fillId="72" borderId="0"/>
    <xf numFmtId="0" fontId="33" fillId="71" borderId="0"/>
    <xf numFmtId="176" fontId="33" fillId="71" borderId="0"/>
    <xf numFmtId="0" fontId="33" fillId="71" borderId="0"/>
    <xf numFmtId="176" fontId="33" fillId="71" borderId="0"/>
    <xf numFmtId="0" fontId="33" fillId="71" borderId="0"/>
    <xf numFmtId="0" fontId="33" fillId="74" borderId="0"/>
    <xf numFmtId="0" fontId="33" fillId="73" borderId="0"/>
    <xf numFmtId="176" fontId="33" fillId="73" borderId="0"/>
    <xf numFmtId="176" fontId="33" fillId="74" borderId="0"/>
    <xf numFmtId="0" fontId="33" fillId="73" borderId="0"/>
    <xf numFmtId="176" fontId="33" fillId="73" borderId="0"/>
    <xf numFmtId="0" fontId="33" fillId="73" borderId="0"/>
    <xf numFmtId="176" fontId="33" fillId="73" borderId="0"/>
    <xf numFmtId="0" fontId="33" fillId="73" borderId="0"/>
    <xf numFmtId="0" fontId="33" fillId="64" borderId="0"/>
    <xf numFmtId="0" fontId="33" fillId="63" borderId="0"/>
    <xf numFmtId="176" fontId="33" fillId="63" borderId="0"/>
    <xf numFmtId="176" fontId="33" fillId="64" borderId="0"/>
    <xf numFmtId="0" fontId="33" fillId="63" borderId="0"/>
    <xf numFmtId="176" fontId="33" fillId="63" borderId="0"/>
    <xf numFmtId="0" fontId="33" fillId="63" borderId="0"/>
    <xf numFmtId="176" fontId="33" fillId="63" borderId="0"/>
    <xf numFmtId="0" fontId="33" fillId="63" borderId="0"/>
    <xf numFmtId="0" fontId="33" fillId="66" borderId="0"/>
    <xf numFmtId="0" fontId="33" fillId="65" borderId="0"/>
    <xf numFmtId="176" fontId="33" fillId="65" borderId="0"/>
    <xf numFmtId="176" fontId="33" fillId="66" borderId="0"/>
    <xf numFmtId="0" fontId="33" fillId="65" borderId="0"/>
    <xf numFmtId="176" fontId="33" fillId="65" borderId="0"/>
    <xf numFmtId="0" fontId="33" fillId="65" borderId="0"/>
    <xf numFmtId="176" fontId="33" fillId="65" borderId="0"/>
    <xf numFmtId="0" fontId="33" fillId="65" borderId="0"/>
    <xf numFmtId="0" fontId="33" fillId="76" borderId="0"/>
    <xf numFmtId="0" fontId="33" fillId="75" borderId="0"/>
    <xf numFmtId="176" fontId="33" fillId="75" borderId="0"/>
    <xf numFmtId="176" fontId="33" fillId="76" borderId="0"/>
    <xf numFmtId="0" fontId="33" fillId="75" borderId="0"/>
    <xf numFmtId="176" fontId="33" fillId="75" borderId="0"/>
    <xf numFmtId="0" fontId="33" fillId="75" borderId="0"/>
    <xf numFmtId="176" fontId="33" fillId="75" borderId="0"/>
    <xf numFmtId="0" fontId="33" fillId="75" borderId="0"/>
    <xf numFmtId="0" fontId="34" fillId="43" borderId="0"/>
    <xf numFmtId="0" fontId="34" fillId="42" borderId="0"/>
    <xf numFmtId="176" fontId="34" fillId="42" borderId="0"/>
    <xf numFmtId="176" fontId="34" fillId="43" borderId="0"/>
    <xf numFmtId="0" fontId="34" fillId="42" borderId="0"/>
    <xf numFmtId="176" fontId="34" fillId="42" borderId="0"/>
    <xf numFmtId="0" fontId="34" fillId="42" borderId="0"/>
    <xf numFmtId="176" fontId="34" fillId="42" borderId="0"/>
    <xf numFmtId="0" fontId="34" fillId="42" borderId="0"/>
    <xf numFmtId="0" fontId="58" fillId="0" borderId="84">
      <alignment wrapText="1"/>
    </xf>
    <xf numFmtId="176" fontId="58" fillId="0" borderId="84">
      <alignment wrapText="1"/>
    </xf>
    <xf numFmtId="0" fontId="35" fillId="78" borderId="75"/>
    <xf numFmtId="0" fontId="35" fillId="77" borderId="75"/>
    <xf numFmtId="176" fontId="35" fillId="77" borderId="75"/>
    <xf numFmtId="176" fontId="35" fillId="78" borderId="75"/>
    <xf numFmtId="0" fontId="35" fillId="77" borderId="75"/>
    <xf numFmtId="176" fontId="35" fillId="77" borderId="75"/>
    <xf numFmtId="0" fontId="35" fillId="77" borderId="75"/>
    <xf numFmtId="176" fontId="35" fillId="77" borderId="75"/>
    <xf numFmtId="0" fontId="35" fillId="77" borderId="75"/>
    <xf numFmtId="0" fontId="36" fillId="80" borderId="76"/>
    <xf numFmtId="0" fontId="36" fillId="79" borderId="76"/>
    <xf numFmtId="176" fontId="36" fillId="79" borderId="76"/>
    <xf numFmtId="176" fontId="36" fillId="80" borderId="76"/>
    <xf numFmtId="0" fontId="36" fillId="79" borderId="76"/>
    <xf numFmtId="176" fontId="36" fillId="79" borderId="76"/>
    <xf numFmtId="0" fontId="36" fillId="81" borderId="76"/>
    <xf numFmtId="0" fontId="36" fillId="79" borderId="76"/>
    <xf numFmtId="176" fontId="36" fillId="79" borderId="76"/>
    <xf numFmtId="0" fontId="36" fillId="79" borderId="76"/>
    <xf numFmtId="0" fontId="36" fillId="81" borderId="76"/>
    <xf numFmtId="177" fontId="6" fillId="0" borderId="0"/>
    <xf numFmtId="43"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9" fontId="31"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49"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43" fontId="6" fillId="0" borderId="0"/>
    <xf numFmtId="43" fontId="6" fillId="0" borderId="0"/>
    <xf numFmtId="178" fontId="6" fillId="0" borderId="0"/>
    <xf numFmtId="180"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81" fontId="6" fillId="0" borderId="0"/>
    <xf numFmtId="178" fontId="6" fillId="0" borderId="0"/>
    <xf numFmtId="178" fontId="6" fillId="0" borderId="0"/>
    <xf numFmtId="181"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80" fontId="6" fillId="0" borderId="0"/>
    <xf numFmtId="178" fontId="6" fillId="0" borderId="0"/>
    <xf numFmtId="180"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81"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49" fillId="0" borderId="0"/>
    <xf numFmtId="178" fontId="31"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1"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9" fontId="31" fillId="0" borderId="0"/>
    <xf numFmtId="177" fontId="6" fillId="0" borderId="0"/>
    <xf numFmtId="178" fontId="31" fillId="0" borderId="0"/>
    <xf numFmtId="178" fontId="31" fillId="0" borderId="0"/>
    <xf numFmtId="178" fontId="6" fillId="0" borderId="0"/>
    <xf numFmtId="177" fontId="6" fillId="0" borderId="0"/>
    <xf numFmtId="178" fontId="6" fillId="0" borderId="0"/>
    <xf numFmtId="178" fontId="1" fillId="0" borderId="0"/>
    <xf numFmtId="178" fontId="6" fillId="0" borderId="0"/>
    <xf numFmtId="180"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6" fillId="0" borderId="0"/>
    <xf numFmtId="178" fontId="31" fillId="0" borderId="0"/>
    <xf numFmtId="178" fontId="6" fillId="0" borderId="0"/>
    <xf numFmtId="177"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80" fontId="6" fillId="0" borderId="0"/>
    <xf numFmtId="178" fontId="6" fillId="0" borderId="0"/>
    <xf numFmtId="178" fontId="31" fillId="0" borderId="0"/>
    <xf numFmtId="180" fontId="6" fillId="0" borderId="0"/>
    <xf numFmtId="179" fontId="31" fillId="0" borderId="0"/>
    <xf numFmtId="178" fontId="6" fillId="0" borderId="0"/>
    <xf numFmtId="178" fontId="6" fillId="0" borderId="0"/>
    <xf numFmtId="178" fontId="6" fillId="0" borderId="0"/>
    <xf numFmtId="178" fontId="6" fillId="0" borderId="0"/>
    <xf numFmtId="178" fontId="6" fillId="0" borderId="0"/>
    <xf numFmtId="178" fontId="6" fillId="0" borderId="0"/>
    <xf numFmtId="182" fontId="6" fillId="0" borderId="0"/>
    <xf numFmtId="178" fontId="6" fillId="0" borderId="0"/>
    <xf numFmtId="182" fontId="6"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6" fillId="0" borderId="0"/>
    <xf numFmtId="179"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6" fillId="0" borderId="0"/>
    <xf numFmtId="178" fontId="31" fillId="0" borderId="0"/>
    <xf numFmtId="178" fontId="6" fillId="0" borderId="0"/>
    <xf numFmtId="178" fontId="6" fillId="0" borderId="0"/>
    <xf numFmtId="178" fontId="6" fillId="0" borderId="0"/>
    <xf numFmtId="43" fontId="1" fillId="0" borderId="0"/>
    <xf numFmtId="178" fontId="6"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31" fillId="0" borderId="0"/>
    <xf numFmtId="178" fontId="31" fillId="0" borderId="0"/>
    <xf numFmtId="178" fontId="6" fillId="0" borderId="0"/>
    <xf numFmtId="178" fontId="31"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3" fontId="6" fillId="0" borderId="0"/>
    <xf numFmtId="178" fontId="31" fillId="0" borderId="0"/>
    <xf numFmtId="178" fontId="6" fillId="0" borderId="0"/>
    <xf numFmtId="183" fontId="6" fillId="0" borderId="0"/>
    <xf numFmtId="178" fontId="1"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81"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81" fontId="6" fillId="0" borderId="0"/>
    <xf numFmtId="178" fontId="6" fillId="0" borderId="0"/>
    <xf numFmtId="181" fontId="6" fillId="0" borderId="0"/>
    <xf numFmtId="180"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80" fontId="6" fillId="0" borderId="0"/>
    <xf numFmtId="178" fontId="6" fillId="0" borderId="0"/>
    <xf numFmtId="178" fontId="6" fillId="0" borderId="0"/>
    <xf numFmtId="178" fontId="6" fillId="0" borderId="0"/>
    <xf numFmtId="181" fontId="6" fillId="0" borderId="0"/>
    <xf numFmtId="180" fontId="6" fillId="0" borderId="0"/>
    <xf numFmtId="180"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31" fillId="0" borderId="0"/>
    <xf numFmtId="178" fontId="31" fillId="0" borderId="0"/>
    <xf numFmtId="178" fontId="31" fillId="0" borderId="0"/>
    <xf numFmtId="178" fontId="31" fillId="0" borderId="0"/>
    <xf numFmtId="184" fontId="6" fillId="0" borderId="0"/>
    <xf numFmtId="178" fontId="31" fillId="0" borderId="0"/>
    <xf numFmtId="178" fontId="31" fillId="0" borderId="0"/>
    <xf numFmtId="181" fontId="6"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6" fillId="0" borderId="0"/>
    <xf numFmtId="180" fontId="6" fillId="0" borderId="0"/>
    <xf numFmtId="180"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178" fontId="6" fillId="0" borderId="0"/>
    <xf numFmtId="3" fontId="6" fillId="0" borderId="0"/>
    <xf numFmtId="3" fontId="6" fillId="0" borderId="0"/>
    <xf numFmtId="0" fontId="6" fillId="21" borderId="74"/>
    <xf numFmtId="176" fontId="6" fillId="21" borderId="74"/>
    <xf numFmtId="176" fontId="6" fillId="21" borderId="74"/>
    <xf numFmtId="185" fontId="6" fillId="0" borderId="0"/>
    <xf numFmtId="185" fontId="6" fillId="0" borderId="0"/>
    <xf numFmtId="185" fontId="31"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6" fontId="31"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6" fontId="31"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6"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49" fillId="0" borderId="0"/>
    <xf numFmtId="185" fontId="49" fillId="0" borderId="0"/>
    <xf numFmtId="185" fontId="31"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49"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49"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31" fillId="0" borderId="0"/>
    <xf numFmtId="185" fontId="6" fillId="0" borderId="0"/>
    <xf numFmtId="176" fontId="6" fillId="0" borderId="0"/>
    <xf numFmtId="176" fontId="6" fillId="0" borderId="0"/>
    <xf numFmtId="0" fontId="37" fillId="0" borderId="0"/>
    <xf numFmtId="0" fontId="37" fillId="0" borderId="0"/>
    <xf numFmtId="176" fontId="37" fillId="0" borderId="0"/>
    <xf numFmtId="0" fontId="37" fillId="0" borderId="0"/>
    <xf numFmtId="176" fontId="37" fillId="0" borderId="0"/>
    <xf numFmtId="0" fontId="37" fillId="0" borderId="0"/>
    <xf numFmtId="176" fontId="28" fillId="0" borderId="0"/>
    <xf numFmtId="0" fontId="59" fillId="0" borderId="0">
      <alignment vertical="top"/>
      <protection locked="0"/>
    </xf>
    <xf numFmtId="176" fontId="59" fillId="0" borderId="0">
      <alignment vertical="top"/>
      <protection locked="0"/>
    </xf>
    <xf numFmtId="0" fontId="60" fillId="0" borderId="0"/>
    <xf numFmtId="176" fontId="60" fillId="0" borderId="0"/>
    <xf numFmtId="0" fontId="60" fillId="0" borderId="0">
      <alignment vertical="top" wrapText="1"/>
    </xf>
    <xf numFmtId="176" fontId="60" fillId="0" borderId="0">
      <alignment vertical="top" wrapText="1"/>
    </xf>
    <xf numFmtId="0" fontId="60" fillId="0" borderId="85">
      <alignment vertical="top" wrapText="1"/>
    </xf>
    <xf numFmtId="176" fontId="60" fillId="0" borderId="85">
      <alignment vertical="top" wrapText="1"/>
    </xf>
    <xf numFmtId="0" fontId="38" fillId="45" borderId="0"/>
    <xf numFmtId="0" fontId="27" fillId="19" borderId="0"/>
    <xf numFmtId="0" fontId="27" fillId="19" borderId="0"/>
    <xf numFmtId="176" fontId="27" fillId="19" borderId="0"/>
    <xf numFmtId="0" fontId="38" fillId="44" borderId="0"/>
    <xf numFmtId="176" fontId="38" fillId="44" borderId="0"/>
    <xf numFmtId="176" fontId="38" fillId="45" borderId="0"/>
    <xf numFmtId="0" fontId="38" fillId="44" borderId="0"/>
    <xf numFmtId="176" fontId="38" fillId="44" borderId="0"/>
    <xf numFmtId="0" fontId="38" fillId="44" borderId="0"/>
    <xf numFmtId="176" fontId="38" fillId="44" borderId="0"/>
    <xf numFmtId="0" fontId="38" fillId="44" borderId="0"/>
    <xf numFmtId="0" fontId="61" fillId="0" borderId="73">
      <alignment wrapText="1"/>
    </xf>
    <xf numFmtId="176" fontId="61" fillId="0" borderId="73">
      <alignment wrapText="1"/>
    </xf>
    <xf numFmtId="0" fontId="61" fillId="0" borderId="86">
      <alignment horizontal="left" wrapText="1"/>
    </xf>
    <xf numFmtId="176" fontId="61" fillId="0" borderId="86">
      <alignment horizontal="left" wrapText="1"/>
    </xf>
    <xf numFmtId="0" fontId="39" fillId="0" borderId="78"/>
    <xf numFmtId="0" fontId="39" fillId="0" borderId="78"/>
    <xf numFmtId="176" fontId="39" fillId="0" borderId="78"/>
    <xf numFmtId="0" fontId="39" fillId="0" borderId="78"/>
    <xf numFmtId="176" fontId="39" fillId="0" borderId="78"/>
    <xf numFmtId="0" fontId="39" fillId="0" borderId="78"/>
    <xf numFmtId="0" fontId="40" fillId="0" borderId="79"/>
    <xf numFmtId="0" fontId="40" fillId="0" borderId="79"/>
    <xf numFmtId="176" fontId="40" fillId="0" borderId="79"/>
    <xf numFmtId="0" fontId="40" fillId="0" borderId="79"/>
    <xf numFmtId="176" fontId="40" fillId="0" borderId="79"/>
    <xf numFmtId="0" fontId="40" fillId="0" borderId="79"/>
    <xf numFmtId="0" fontId="41" fillId="0" borderId="80"/>
    <xf numFmtId="0" fontId="41" fillId="0" borderId="80"/>
    <xf numFmtId="0" fontId="41" fillId="0" borderId="80"/>
    <xf numFmtId="176" fontId="41" fillId="0" borderId="80"/>
    <xf numFmtId="0" fontId="41" fillId="0" borderId="80"/>
    <xf numFmtId="176" fontId="41" fillId="0" borderId="80"/>
    <xf numFmtId="176" fontId="41" fillId="0" borderId="80"/>
    <xf numFmtId="0" fontId="41" fillId="0" borderId="80"/>
    <xf numFmtId="176" fontId="41" fillId="0" borderId="80"/>
    <xf numFmtId="0" fontId="41" fillId="0" borderId="80"/>
    <xf numFmtId="0" fontId="41" fillId="0" borderId="80"/>
    <xf numFmtId="176" fontId="41" fillId="0" borderId="80"/>
    <xf numFmtId="176" fontId="41" fillId="0" borderId="80"/>
    <xf numFmtId="176" fontId="41" fillId="0" borderId="80"/>
    <xf numFmtId="0" fontId="41" fillId="0" borderId="80"/>
    <xf numFmtId="0" fontId="41" fillId="0" borderId="80"/>
    <xf numFmtId="176" fontId="41" fillId="0" borderId="80"/>
    <xf numFmtId="0" fontId="41" fillId="0" borderId="80"/>
    <xf numFmtId="176" fontId="41" fillId="0" borderId="80"/>
    <xf numFmtId="176" fontId="41" fillId="0" borderId="80"/>
    <xf numFmtId="0" fontId="41" fillId="0" borderId="80"/>
    <xf numFmtId="0" fontId="41" fillId="0" borderId="0"/>
    <xf numFmtId="0" fontId="41" fillId="0" borderId="0"/>
    <xf numFmtId="176" fontId="41" fillId="0" borderId="0"/>
    <xf numFmtId="0" fontId="41" fillId="0" borderId="0"/>
    <xf numFmtId="176" fontId="41" fillId="0" borderId="0"/>
    <xf numFmtId="0" fontId="41" fillId="0" borderId="0"/>
    <xf numFmtId="0" fontId="26" fillId="0" borderId="0"/>
    <xf numFmtId="0" fontId="52" fillId="0" borderId="0"/>
    <xf numFmtId="176" fontId="52" fillId="0" borderId="0"/>
    <xf numFmtId="176" fontId="26" fillId="0" borderId="0"/>
    <xf numFmtId="0" fontId="50" fillId="0" borderId="0">
      <alignment vertical="top"/>
      <protection locked="0"/>
    </xf>
    <xf numFmtId="0" fontId="50" fillId="0" borderId="0">
      <alignment vertical="top"/>
      <protection locked="0"/>
    </xf>
    <xf numFmtId="176" fontId="50" fillId="0" borderId="0">
      <alignment vertical="top"/>
      <protection locked="0"/>
    </xf>
    <xf numFmtId="0" fontId="62" fillId="0" borderId="0">
      <alignment vertical="top"/>
      <protection locked="0"/>
    </xf>
    <xf numFmtId="176" fontId="62" fillId="0" borderId="0">
      <alignment vertical="top"/>
      <protection locked="0"/>
    </xf>
    <xf numFmtId="176" fontId="50" fillId="0" borderId="0">
      <alignment vertical="top"/>
      <protection locked="0"/>
    </xf>
    <xf numFmtId="0" fontId="54" fillId="0" borderId="0">
      <alignment vertical="top"/>
      <protection locked="0"/>
    </xf>
    <xf numFmtId="176" fontId="54" fillId="0" borderId="0">
      <alignment vertical="top"/>
      <protection locked="0"/>
    </xf>
    <xf numFmtId="0" fontId="62" fillId="0" borderId="0">
      <alignment vertical="top"/>
      <protection locked="0"/>
    </xf>
    <xf numFmtId="0" fontId="63" fillId="0" borderId="0">
      <alignment vertical="top"/>
      <protection locked="0"/>
    </xf>
    <xf numFmtId="176" fontId="63" fillId="0" borderId="0">
      <alignment vertical="top"/>
      <protection locked="0"/>
    </xf>
    <xf numFmtId="0" fontId="62" fillId="0" borderId="0">
      <alignment vertical="top"/>
      <protection locked="0"/>
    </xf>
    <xf numFmtId="176" fontId="62" fillId="0" borderId="0">
      <alignment vertical="top"/>
      <protection locked="0"/>
    </xf>
    <xf numFmtId="176" fontId="62" fillId="0" borderId="0">
      <alignment vertical="top"/>
      <protection locked="0"/>
    </xf>
    <xf numFmtId="176" fontId="26" fillId="0" borderId="0"/>
    <xf numFmtId="0" fontId="42" fillId="51" borderId="75"/>
    <xf numFmtId="0" fontId="42" fillId="50" borderId="75"/>
    <xf numFmtId="176" fontId="42" fillId="50" borderId="75"/>
    <xf numFmtId="176" fontId="42" fillId="51" borderId="75"/>
    <xf numFmtId="0" fontId="42" fillId="50" borderId="75"/>
    <xf numFmtId="176" fontId="42" fillId="50" borderId="75"/>
    <xf numFmtId="0" fontId="42" fillId="50" borderId="75"/>
    <xf numFmtId="176" fontId="42" fillId="50" borderId="75"/>
    <xf numFmtId="0" fontId="42" fillId="50" borderId="75"/>
    <xf numFmtId="0" fontId="43" fillId="0" borderId="81"/>
    <xf numFmtId="0" fontId="43" fillId="0" borderId="81"/>
    <xf numFmtId="176" fontId="43" fillId="0" borderId="81"/>
    <xf numFmtId="0" fontId="43" fillId="0" borderId="81"/>
    <xf numFmtId="176" fontId="43" fillId="0" borderId="81"/>
    <xf numFmtId="0" fontId="43" fillId="0" borderId="81"/>
    <xf numFmtId="187" fontId="6" fillId="0" borderId="0"/>
    <xf numFmtId="187"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4" fontId="6" fillId="0" borderId="0"/>
    <xf numFmtId="181" fontId="6" fillId="0" borderId="0"/>
    <xf numFmtId="178" fontId="6"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4" fontId="6" fillId="0" borderId="0"/>
    <xf numFmtId="181" fontId="6"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4" fontId="6" fillId="0" borderId="0"/>
    <xf numFmtId="181" fontId="6"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78" fontId="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78" fontId="31" fillId="0" borderId="0"/>
    <xf numFmtId="181" fontId="6" fillId="0" borderId="0"/>
    <xf numFmtId="188" fontId="6" fillId="0" borderId="0"/>
    <xf numFmtId="188"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185" fontId="6" fillId="0" borderId="0"/>
    <xf numFmtId="0" fontId="64" fillId="20" borderId="0"/>
    <xf numFmtId="0" fontId="44" fillId="84" borderId="0"/>
    <xf numFmtId="0" fontId="44" fillId="83" borderId="0"/>
    <xf numFmtId="176" fontId="44" fillId="83" borderId="0"/>
    <xf numFmtId="176" fontId="44" fillId="84" borderId="0"/>
    <xf numFmtId="0" fontId="44" fillId="83" borderId="0"/>
    <xf numFmtId="176" fontId="44" fillId="83" borderId="0"/>
    <xf numFmtId="0" fontId="64" fillId="20" borderId="0"/>
    <xf numFmtId="0" fontId="64" fillId="20" borderId="0"/>
    <xf numFmtId="176" fontId="64" fillId="20" borderId="0"/>
    <xf numFmtId="0" fontId="44" fillId="84" borderId="0"/>
    <xf numFmtId="0" fontId="44" fillId="83" borderId="0"/>
    <xf numFmtId="176" fontId="44" fillId="83" borderId="0"/>
    <xf numFmtId="0" fontId="44" fillId="83" borderId="0"/>
    <xf numFmtId="0"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31" fillId="0" borderId="0"/>
    <xf numFmtId="176" fontId="31" fillId="0" borderId="0"/>
    <xf numFmtId="0" fontId="1" fillId="0" borderId="0"/>
    <xf numFmtId="0" fontId="31" fillId="0" borderId="0"/>
    <xf numFmtId="0" fontId="1" fillId="0" borderId="0"/>
    <xf numFmtId="0" fontId="1" fillId="0" borderId="0"/>
    <xf numFmtId="0" fontId="1" fillId="0" borderId="0"/>
    <xf numFmtId="176" fontId="1" fillId="0" borderId="0"/>
    <xf numFmtId="176" fontId="1" fillId="0" borderId="0"/>
    <xf numFmtId="0" fontId="1" fillId="0" borderId="0"/>
    <xf numFmtId="176" fontId="1" fillId="0" borderId="0"/>
    <xf numFmtId="176" fontId="1" fillId="0" borderId="0"/>
    <xf numFmtId="0" fontId="1" fillId="0" borderId="0"/>
    <xf numFmtId="0" fontId="1" fillId="0" borderId="0"/>
    <xf numFmtId="176" fontId="1" fillId="0" borderId="0"/>
    <xf numFmtId="176" fontId="1" fillId="0" borderId="0"/>
    <xf numFmtId="0" fontId="1" fillId="0" borderId="0"/>
    <xf numFmtId="176" fontId="1" fillId="0" borderId="0"/>
    <xf numFmtId="0" fontId="1" fillId="0" borderId="0"/>
    <xf numFmtId="176" fontId="1" fillId="0" borderId="0"/>
    <xf numFmtId="176" fontId="31" fillId="0" borderId="0"/>
    <xf numFmtId="176" fontId="1" fillId="0" borderId="0"/>
    <xf numFmtId="0" fontId="1" fillId="0" borderId="0"/>
    <xf numFmtId="0" fontId="1" fillId="0" borderId="0"/>
    <xf numFmtId="0" fontId="1" fillId="0" borderId="0"/>
    <xf numFmtId="176" fontId="1" fillId="0" borderId="0"/>
    <xf numFmtId="176" fontId="1" fillId="0" borderId="0"/>
    <xf numFmtId="0" fontId="1" fillId="0" borderId="0"/>
    <xf numFmtId="176" fontId="1" fillId="0" borderId="0"/>
    <xf numFmtId="176" fontId="1" fillId="0" borderId="0"/>
    <xf numFmtId="0" fontId="1" fillId="0" borderId="0"/>
    <xf numFmtId="0" fontId="1" fillId="0" borderId="0"/>
    <xf numFmtId="176" fontId="1" fillId="0" borderId="0"/>
    <xf numFmtId="176" fontId="1" fillId="0" borderId="0"/>
    <xf numFmtId="0" fontId="1" fillId="0" borderId="0"/>
    <xf numFmtId="0" fontId="1" fillId="0" borderId="0"/>
    <xf numFmtId="176" fontId="1" fillId="0" borderId="0"/>
    <xf numFmtId="176" fontId="1" fillId="0" borderId="0"/>
    <xf numFmtId="176" fontId="1" fillId="0" borderId="0"/>
    <xf numFmtId="0" fontId="6" fillId="0" borderId="0"/>
    <xf numFmtId="0" fontId="31" fillId="0" borderId="0"/>
    <xf numFmtId="0" fontId="1" fillId="0" borderId="0"/>
    <xf numFmtId="176" fontId="1" fillId="0" borderId="0"/>
    <xf numFmtId="0" fontId="31" fillId="0" borderId="0"/>
    <xf numFmtId="176" fontId="31" fillId="0" borderId="0"/>
    <xf numFmtId="176" fontId="31" fillId="0" borderId="0"/>
    <xf numFmtId="0" fontId="31" fillId="0" borderId="0"/>
    <xf numFmtId="0" fontId="65" fillId="0" borderId="0"/>
    <xf numFmtId="176" fontId="65" fillId="0" borderId="0"/>
    <xf numFmtId="0" fontId="31" fillId="0" borderId="0"/>
    <xf numFmtId="176" fontId="31" fillId="0" borderId="0"/>
    <xf numFmtId="176" fontId="31" fillId="0" borderId="0"/>
    <xf numFmtId="0" fontId="6" fillId="0" borderId="0"/>
    <xf numFmtId="176" fontId="6" fillId="0" borderId="0"/>
    <xf numFmtId="0" fontId="65" fillId="0" borderId="0"/>
    <xf numFmtId="176" fontId="65" fillId="0" borderId="0"/>
    <xf numFmtId="0" fontId="6" fillId="0" borderId="0"/>
    <xf numFmtId="176" fontId="6" fillId="0" borderId="0"/>
    <xf numFmtId="0" fontId="1" fillId="0" borderId="0"/>
    <xf numFmtId="176" fontId="1" fillId="0" borderId="0"/>
    <xf numFmtId="0" fontId="1" fillId="0" borderId="0"/>
    <xf numFmtId="176" fontId="1" fillId="0" borderId="0"/>
    <xf numFmtId="0" fontId="1" fillId="0" borderId="0"/>
    <xf numFmtId="0" fontId="6" fillId="0" borderId="0"/>
    <xf numFmtId="0" fontId="51" fillId="0" borderId="0"/>
    <xf numFmtId="0" fontId="53" fillId="0" borderId="0"/>
    <xf numFmtId="176" fontId="53" fillId="0" borderId="0"/>
    <xf numFmtId="0" fontId="49" fillId="0" borderId="0">
      <alignment vertical="top"/>
    </xf>
    <xf numFmtId="176" fontId="49" fillId="0" borderId="0">
      <alignment vertical="top"/>
    </xf>
    <xf numFmtId="176" fontId="51" fillId="0" borderId="0"/>
    <xf numFmtId="176" fontId="49" fillId="0" borderId="0">
      <alignment vertical="top"/>
    </xf>
    <xf numFmtId="176" fontId="6" fillId="0" borderId="0"/>
    <xf numFmtId="176" fontId="6" fillId="0" borderId="0"/>
    <xf numFmtId="0" fontId="1" fillId="0" borderId="0"/>
    <xf numFmtId="0" fontId="6" fillId="0" borderId="0"/>
    <xf numFmtId="176" fontId="6" fillId="0" borderId="0"/>
    <xf numFmtId="0" fontId="31" fillId="0" borderId="0"/>
    <xf numFmtId="0" fontId="1" fillId="0" borderId="0"/>
    <xf numFmtId="176" fontId="1" fillId="0" borderId="0"/>
    <xf numFmtId="176" fontId="31" fillId="0" borderId="0"/>
    <xf numFmtId="176" fontId="6" fillId="0" borderId="0"/>
    <xf numFmtId="0" fontId="31" fillId="0" borderId="0"/>
    <xf numFmtId="0" fontId="1" fillId="0" borderId="0"/>
    <xf numFmtId="0" fontId="6" fillId="0" borderId="0"/>
    <xf numFmtId="176" fontId="6" fillId="0" borderId="0"/>
    <xf numFmtId="176" fontId="1" fillId="0" borderId="0"/>
    <xf numFmtId="176" fontId="6" fillId="0" borderId="0"/>
    <xf numFmtId="0" fontId="31" fillId="0" borderId="0"/>
    <xf numFmtId="0" fontId="1" fillId="0" borderId="0"/>
    <xf numFmtId="0" fontId="1" fillId="0" borderId="0"/>
    <xf numFmtId="0" fontId="6" fillId="0" borderId="0"/>
    <xf numFmtId="176" fontId="1" fillId="0" borderId="0"/>
    <xf numFmtId="0" fontId="6" fillId="0" borderId="0"/>
    <xf numFmtId="176" fontId="1" fillId="0" borderId="0"/>
    <xf numFmtId="0" fontId="1" fillId="0" borderId="0"/>
    <xf numFmtId="176" fontId="1" fillId="0" borderId="0"/>
    <xf numFmtId="0" fontId="1" fillId="0" borderId="0"/>
    <xf numFmtId="176" fontId="1" fillId="0" borderId="0"/>
    <xf numFmtId="0" fontId="1" fillId="0" borderId="0"/>
    <xf numFmtId="0"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0" fontId="55" fillId="0" borderId="0"/>
    <xf numFmtId="176" fontId="55" fillId="0" borderId="0"/>
    <xf numFmtId="0" fontId="6" fillId="0" borderId="0"/>
    <xf numFmtId="176" fontId="6" fillId="0" borderId="0"/>
    <xf numFmtId="176" fontId="6" fillId="0" borderId="0"/>
    <xf numFmtId="0" fontId="1" fillId="0" borderId="0"/>
    <xf numFmtId="176" fontId="1" fillId="0" borderId="0"/>
    <xf numFmtId="176" fontId="6" fillId="0" borderId="0"/>
    <xf numFmtId="176" fontId="1"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1" fillId="0" borderId="0"/>
    <xf numFmtId="0" fontId="31" fillId="0" borderId="0"/>
    <xf numFmtId="176" fontId="31" fillId="0" borderId="0"/>
    <xf numFmtId="0" fontId="1" fillId="0" borderId="0"/>
    <xf numFmtId="176" fontId="1" fillId="0" borderId="0"/>
    <xf numFmtId="0" fontId="1" fillId="0" borderId="0"/>
    <xf numFmtId="176" fontId="1" fillId="0" borderId="0"/>
    <xf numFmtId="176" fontId="1" fillId="0" borderId="0"/>
    <xf numFmtId="0" fontId="1" fillId="0" borderId="0"/>
    <xf numFmtId="176" fontId="6" fillId="0" borderId="0"/>
    <xf numFmtId="0" fontId="6" fillId="0" borderId="0"/>
    <xf numFmtId="0" fontId="56" fillId="0" borderId="0"/>
    <xf numFmtId="176" fontId="56" fillId="0" borderId="0"/>
    <xf numFmtId="176" fontId="6" fillId="0" borderId="0"/>
    <xf numFmtId="176" fontId="56" fillId="0" borderId="0"/>
    <xf numFmtId="0" fontId="6" fillId="0" borderId="0"/>
    <xf numFmtId="176"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176" fontId="6" fillId="0" borderId="0"/>
    <xf numFmtId="0" fontId="6" fillId="0" borderId="0"/>
    <xf numFmtId="0" fontId="49" fillId="0" borderId="0"/>
    <xf numFmtId="0" fontId="6" fillId="0" borderId="0"/>
    <xf numFmtId="0" fontId="1" fillId="0" borderId="0"/>
    <xf numFmtId="0" fontId="1" fillId="0" borderId="0"/>
    <xf numFmtId="176" fontId="1" fillId="0" borderId="0"/>
    <xf numFmtId="176" fontId="1" fillId="0" borderId="0"/>
    <xf numFmtId="0" fontId="1" fillId="0" borderId="0"/>
    <xf numFmtId="176" fontId="1" fillId="0" borderId="0"/>
    <xf numFmtId="0" fontId="1" fillId="0" borderId="0"/>
    <xf numFmtId="176" fontId="1" fillId="0" borderId="0"/>
    <xf numFmtId="176" fontId="6" fillId="0" borderId="0"/>
    <xf numFmtId="176" fontId="1" fillId="0" borderId="0"/>
    <xf numFmtId="0" fontId="31" fillId="0" borderId="0"/>
    <xf numFmtId="0" fontId="1" fillId="0" borderId="0"/>
    <xf numFmtId="176" fontId="1" fillId="0" borderId="0"/>
    <xf numFmtId="0" fontId="1" fillId="0" borderId="0"/>
    <xf numFmtId="176" fontId="1" fillId="0" borderId="0"/>
    <xf numFmtId="176" fontId="31" fillId="0" borderId="0"/>
    <xf numFmtId="176" fontId="1" fillId="0" borderId="0"/>
    <xf numFmtId="0" fontId="49" fillId="0" borderId="0"/>
    <xf numFmtId="0" fontId="56" fillId="0" borderId="0"/>
    <xf numFmtId="176" fontId="56" fillId="0" borderId="0"/>
    <xf numFmtId="0" fontId="1" fillId="0" borderId="0"/>
    <xf numFmtId="176" fontId="1" fillId="0" borderId="0"/>
    <xf numFmtId="0" fontId="1" fillId="0" borderId="0"/>
    <xf numFmtId="176" fontId="1" fillId="0" borderId="0"/>
    <xf numFmtId="176" fontId="6" fillId="0" borderId="0"/>
    <xf numFmtId="176" fontId="65" fillId="0" borderId="0"/>
    <xf numFmtId="176" fontId="1" fillId="0" borderId="0"/>
    <xf numFmtId="0" fontId="6" fillId="0" borderId="0"/>
    <xf numFmtId="0" fontId="6" fillId="0" borderId="0"/>
    <xf numFmtId="0" fontId="1" fillId="0" borderId="0"/>
    <xf numFmtId="176" fontId="1" fillId="0" borderId="0"/>
    <xf numFmtId="0" fontId="1" fillId="0" borderId="0"/>
    <xf numFmtId="176" fontId="1" fillId="0" borderId="0"/>
    <xf numFmtId="176" fontId="6" fillId="0" borderId="0"/>
    <xf numFmtId="176" fontId="1" fillId="0" borderId="0"/>
    <xf numFmtId="0" fontId="31" fillId="0" borderId="0"/>
    <xf numFmtId="176" fontId="31" fillId="0" borderId="0"/>
    <xf numFmtId="176" fontId="6" fillId="0" borderId="0"/>
    <xf numFmtId="0" fontId="1" fillId="0" borderId="0"/>
    <xf numFmtId="0" fontId="6" fillId="0" borderId="0"/>
    <xf numFmtId="176" fontId="6" fillId="0" borderId="0"/>
    <xf numFmtId="0" fontId="31" fillId="0" borderId="0"/>
    <xf numFmtId="176" fontId="31" fillId="0" borderId="0"/>
    <xf numFmtId="0" fontId="1" fillId="0" borderId="0"/>
    <xf numFmtId="176" fontId="1" fillId="0" borderId="0"/>
    <xf numFmtId="0" fontId="6" fillId="0" borderId="0"/>
    <xf numFmtId="176" fontId="6" fillId="0" borderId="0"/>
    <xf numFmtId="0" fontId="6" fillId="0" borderId="0"/>
    <xf numFmtId="0" fontId="1" fillId="0" borderId="0"/>
    <xf numFmtId="176" fontId="1" fillId="0" borderId="0"/>
    <xf numFmtId="176" fontId="6" fillId="0" borderId="0"/>
    <xf numFmtId="176" fontId="1" fillId="0" borderId="0"/>
    <xf numFmtId="0" fontId="31" fillId="0" borderId="0"/>
    <xf numFmtId="176" fontId="31" fillId="0" borderId="0"/>
    <xf numFmtId="0" fontId="1" fillId="0" borderId="0"/>
    <xf numFmtId="176" fontId="1" fillId="0" borderId="0"/>
    <xf numFmtId="176" fontId="1" fillId="0" borderId="0"/>
    <xf numFmtId="0" fontId="1" fillId="0" borderId="0"/>
    <xf numFmtId="0" fontId="6" fillId="0" borderId="0"/>
    <xf numFmtId="176" fontId="6" fillId="0" borderId="0"/>
    <xf numFmtId="176" fontId="31" fillId="0" borderId="0"/>
    <xf numFmtId="176" fontId="6" fillId="0" borderId="0"/>
    <xf numFmtId="0" fontId="1" fillId="0" borderId="0"/>
    <xf numFmtId="0" fontId="31" fillId="0" borderId="0"/>
    <xf numFmtId="0" fontId="31" fillId="0" borderId="0"/>
    <xf numFmtId="0" fontId="1" fillId="0" borderId="0"/>
    <xf numFmtId="176" fontId="1" fillId="0" borderId="0"/>
    <xf numFmtId="176" fontId="31" fillId="0" borderId="0"/>
    <xf numFmtId="176" fontId="1" fillId="0" borderId="0"/>
    <xf numFmtId="0" fontId="6" fillId="0" borderId="0"/>
    <xf numFmtId="0" fontId="32" fillId="0" borderId="0"/>
    <xf numFmtId="0" fontId="1" fillId="21" borderId="74"/>
    <xf numFmtId="0" fontId="31" fillId="82" borderId="77"/>
    <xf numFmtId="0" fontId="31" fillId="82" borderId="77"/>
    <xf numFmtId="176" fontId="31" fillId="82" borderId="77"/>
    <xf numFmtId="0" fontId="6" fillId="82" borderId="77"/>
    <xf numFmtId="176" fontId="6" fillId="82" borderId="77"/>
    <xf numFmtId="0" fontId="6" fillId="82" borderId="77"/>
    <xf numFmtId="176" fontId="6" fillId="82" borderId="77"/>
    <xf numFmtId="176" fontId="6" fillId="85" borderId="77"/>
    <xf numFmtId="0" fontId="6" fillId="82" borderId="77"/>
    <xf numFmtId="176" fontId="6" fillId="82" borderId="77"/>
    <xf numFmtId="0" fontId="31" fillId="21" borderId="74"/>
    <xf numFmtId="0" fontId="6" fillId="85" borderId="77"/>
    <xf numFmtId="0" fontId="6" fillId="82" borderId="77"/>
    <xf numFmtId="176" fontId="6" fillId="82" borderId="77"/>
    <xf numFmtId="176" fontId="6" fillId="82" borderId="77"/>
    <xf numFmtId="0" fontId="6" fillId="82" borderId="77"/>
    <xf numFmtId="176" fontId="6" fillId="82" borderId="77"/>
    <xf numFmtId="0" fontId="6" fillId="82" borderId="77"/>
    <xf numFmtId="0" fontId="45" fillId="78" borderId="82"/>
    <xf numFmtId="0" fontId="45" fillId="77" borderId="82"/>
    <xf numFmtId="176" fontId="45" fillId="77" borderId="82"/>
    <xf numFmtId="176" fontId="45" fillId="78" borderId="82"/>
    <xf numFmtId="0" fontId="45" fillId="77" borderId="82"/>
    <xf numFmtId="176" fontId="45" fillId="77" borderId="82"/>
    <xf numFmtId="0" fontId="45" fillId="77" borderId="82"/>
    <xf numFmtId="176" fontId="45" fillId="77" borderId="82"/>
    <xf numFmtId="0" fontId="45" fillId="77" borderId="82"/>
    <xf numFmtId="0" fontId="61" fillId="0" borderId="87">
      <alignment wrapText="1"/>
    </xf>
    <xf numFmtId="176" fontId="61" fillId="0" borderId="87">
      <alignment wrapText="1"/>
    </xf>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49"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49" fillId="0" borderId="0"/>
    <xf numFmtId="9" fontId="6" fillId="0" borderId="0"/>
    <xf numFmtId="9" fontId="6" fillId="0" borderId="0"/>
    <xf numFmtId="9" fontId="6" fillId="0" borderId="0"/>
    <xf numFmtId="9" fontId="6" fillId="0" borderId="0"/>
    <xf numFmtId="9" fontId="6" fillId="0" borderId="0"/>
    <xf numFmtId="9" fontId="6" fillId="0" borderId="0"/>
    <xf numFmtId="9" fontId="31" fillId="0" borderId="0"/>
    <xf numFmtId="9" fontId="6" fillId="0" borderId="0"/>
    <xf numFmtId="9" fontId="6" fillId="0" borderId="0"/>
    <xf numFmtId="9" fontId="6" fillId="0" borderId="0"/>
    <xf numFmtId="9" fontId="6" fillId="0" borderId="0"/>
    <xf numFmtId="9" fontId="31" fillId="0" borderId="0"/>
    <xf numFmtId="9" fontId="6" fillId="0" borderId="0"/>
    <xf numFmtId="9" fontId="6" fillId="0" borderId="0"/>
    <xf numFmtId="9" fontId="6" fillId="0" borderId="0"/>
    <xf numFmtId="9" fontId="31" fillId="0" borderId="0"/>
    <xf numFmtId="9" fontId="31" fillId="0" borderId="0"/>
    <xf numFmtId="9" fontId="31" fillId="0" borderId="0"/>
    <xf numFmtId="9" fontId="31" fillId="0" borderId="0"/>
    <xf numFmtId="9" fontId="31" fillId="0" borderId="0"/>
    <xf numFmtId="9" fontId="6" fillId="0" borderId="0"/>
    <xf numFmtId="9" fontId="31"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31" fillId="0" borderId="0"/>
    <xf numFmtId="9" fontId="6" fillId="0" borderId="0"/>
    <xf numFmtId="9" fontId="6" fillId="0" borderId="0"/>
    <xf numFmtId="9" fontId="6" fillId="0" borderId="0"/>
    <xf numFmtId="9" fontId="6" fillId="0" borderId="0"/>
    <xf numFmtId="9" fontId="6" fillId="0" borderId="0"/>
    <xf numFmtId="9" fontId="6" fillId="0" borderId="0"/>
    <xf numFmtId="0" fontId="58" fillId="0" borderId="88">
      <alignment wrapText="1"/>
    </xf>
    <xf numFmtId="176" fontId="58" fillId="0" borderId="88">
      <alignment wrapText="1"/>
    </xf>
    <xf numFmtId="0" fontId="61" fillId="0" borderId="89">
      <alignment wrapText="1"/>
    </xf>
    <xf numFmtId="176" fontId="61" fillId="0" borderId="89">
      <alignment wrapText="1"/>
    </xf>
    <xf numFmtId="0" fontId="6" fillId="0" borderId="0"/>
    <xf numFmtId="173" fontId="32" fillId="0" borderId="0"/>
    <xf numFmtId="189" fontId="6" fillId="0" borderId="0">
      <alignment wrapText="1"/>
    </xf>
    <xf numFmtId="189" fontId="6" fillId="0" borderId="0">
      <alignment wrapText="1"/>
    </xf>
    <xf numFmtId="190" fontId="6" fillId="0" borderId="0">
      <alignment wrapText="1"/>
    </xf>
    <xf numFmtId="0" fontId="5" fillId="0" borderId="0">
      <alignment horizontal="center" wrapText="1"/>
    </xf>
    <xf numFmtId="176" fontId="5" fillId="0" borderId="0">
      <alignment horizontal="center" wrapText="1"/>
    </xf>
    <xf numFmtId="0" fontId="5" fillId="0" borderId="0">
      <alignment horizontal="center" wrapText="1"/>
    </xf>
    <xf numFmtId="176" fontId="5" fillId="0" borderId="0">
      <alignment horizontal="center" wrapText="1"/>
    </xf>
    <xf numFmtId="0" fontId="5" fillId="0" borderId="0">
      <alignment horizontal="center" wrapText="1"/>
    </xf>
    <xf numFmtId="176" fontId="5" fillId="0" borderId="0">
      <alignment horizontal="center" wrapText="1"/>
    </xf>
    <xf numFmtId="0" fontId="66" fillId="0" borderId="0">
      <alignment horizontal="left"/>
    </xf>
    <xf numFmtId="176" fontId="66" fillId="0" borderId="0">
      <alignment horizontal="left"/>
    </xf>
    <xf numFmtId="0" fontId="67" fillId="0" borderId="0"/>
    <xf numFmtId="0" fontId="46" fillId="0" borderId="0"/>
    <xf numFmtId="176" fontId="46" fillId="0" borderId="0"/>
    <xf numFmtId="0" fontId="46" fillId="0" borderId="0"/>
    <xf numFmtId="0" fontId="46" fillId="0" borderId="0"/>
    <xf numFmtId="176" fontId="46" fillId="0" borderId="0"/>
    <xf numFmtId="0" fontId="46" fillId="0" borderId="0"/>
    <xf numFmtId="0" fontId="68" fillId="0" borderId="0"/>
    <xf numFmtId="0" fontId="47" fillId="0" borderId="83"/>
    <xf numFmtId="0" fontId="47" fillId="0" borderId="83"/>
    <xf numFmtId="176" fontId="47" fillId="0" borderId="83"/>
    <xf numFmtId="0" fontId="47" fillId="0" borderId="83"/>
    <xf numFmtId="176" fontId="47" fillId="0" borderId="83"/>
    <xf numFmtId="0" fontId="47" fillId="0" borderId="83"/>
    <xf numFmtId="0" fontId="48" fillId="0" borderId="0"/>
    <xf numFmtId="0" fontId="48" fillId="0" borderId="0"/>
    <xf numFmtId="176" fontId="48" fillId="0" borderId="0"/>
    <xf numFmtId="0" fontId="48" fillId="0" borderId="0"/>
    <xf numFmtId="176" fontId="48" fillId="0" borderId="0"/>
    <xf numFmtId="0" fontId="48" fillId="0" borderId="0"/>
    <xf numFmtId="0" fontId="57" fillId="0" borderId="0">
      <alignment vertical="top"/>
    </xf>
    <xf numFmtId="176" fontId="57" fillId="0" borderId="0">
      <alignment vertical="top"/>
    </xf>
    <xf numFmtId="0" fontId="1" fillId="22" borderId="0"/>
    <xf numFmtId="0" fontId="1" fillId="25" borderId="0"/>
    <xf numFmtId="0" fontId="1" fillId="28" borderId="0"/>
    <xf numFmtId="0" fontId="1" fillId="31" borderId="0"/>
    <xf numFmtId="0" fontId="1" fillId="34" borderId="0"/>
    <xf numFmtId="0" fontId="1" fillId="37" borderId="0"/>
    <xf numFmtId="0" fontId="1" fillId="23" borderId="0"/>
    <xf numFmtId="0" fontId="1" fillId="23" borderId="0"/>
    <xf numFmtId="0" fontId="1" fillId="23" borderId="0"/>
    <xf numFmtId="0" fontId="1" fillId="23" borderId="0"/>
    <xf numFmtId="176" fontId="1" fillId="23" borderId="0"/>
    <xf numFmtId="176" fontId="1" fillId="23" borderId="0"/>
    <xf numFmtId="0" fontId="1" fillId="23" borderId="0"/>
    <xf numFmtId="176" fontId="1" fillId="23" borderId="0"/>
    <xf numFmtId="176" fontId="1" fillId="23" borderId="0"/>
    <xf numFmtId="0" fontId="1" fillId="23" borderId="0"/>
    <xf numFmtId="0" fontId="1" fillId="23" borderId="0"/>
    <xf numFmtId="176" fontId="1" fillId="23" borderId="0"/>
    <xf numFmtId="176" fontId="1" fillId="23" borderId="0"/>
    <xf numFmtId="0" fontId="1" fillId="23" borderId="0"/>
    <xf numFmtId="176" fontId="1" fillId="23" borderId="0"/>
    <xf numFmtId="176" fontId="1" fillId="23" borderId="0"/>
    <xf numFmtId="0" fontId="1" fillId="23" borderId="0"/>
    <xf numFmtId="0" fontId="1" fillId="23" borderId="0"/>
    <xf numFmtId="0" fontId="1" fillId="23" borderId="0"/>
    <xf numFmtId="176" fontId="1" fillId="23" borderId="0"/>
    <xf numFmtId="176" fontId="1" fillId="23" borderId="0"/>
    <xf numFmtId="0" fontId="1" fillId="23" borderId="0"/>
    <xf numFmtId="176" fontId="1" fillId="23" borderId="0"/>
    <xf numFmtId="176" fontId="1" fillId="23" borderId="0"/>
    <xf numFmtId="0" fontId="1" fillId="23" borderId="0"/>
    <xf numFmtId="0" fontId="1" fillId="23" borderId="0"/>
    <xf numFmtId="176" fontId="1" fillId="23" borderId="0"/>
    <xf numFmtId="176" fontId="1" fillId="23" borderId="0"/>
    <xf numFmtId="0" fontId="1" fillId="23" borderId="0"/>
    <xf numFmtId="0" fontId="1" fillId="26" borderId="0"/>
    <xf numFmtId="0" fontId="1" fillId="29" borderId="0"/>
    <xf numFmtId="0" fontId="1" fillId="32" borderId="0"/>
    <xf numFmtId="0" fontId="1" fillId="35" borderId="0"/>
    <xf numFmtId="0" fontId="1" fillId="38" borderId="0"/>
    <xf numFmtId="178" fontId="1" fillId="0" borderId="0"/>
    <xf numFmtId="177" fontId="6" fillId="0" borderId="0"/>
    <xf numFmtId="178" fontId="1" fillId="0" borderId="0"/>
    <xf numFmtId="179" fontId="31" fillId="0" borderId="0"/>
    <xf numFmtId="178" fontId="6" fillId="0" borderId="0"/>
    <xf numFmtId="43"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0" fontId="1" fillId="0" borderId="0"/>
    <xf numFmtId="0" fontId="1" fillId="0" borderId="0"/>
    <xf numFmtId="0" fontId="1" fillId="0" borderId="0"/>
    <xf numFmtId="0" fontId="1" fillId="0" borderId="0"/>
    <xf numFmtId="176" fontId="1" fillId="0" borderId="0"/>
    <xf numFmtId="176" fontId="1" fillId="0" borderId="0"/>
    <xf numFmtId="0" fontId="1" fillId="0" borderId="0"/>
    <xf numFmtId="176" fontId="1" fillId="0" borderId="0"/>
    <xf numFmtId="176" fontId="1" fillId="0" borderId="0"/>
    <xf numFmtId="0" fontId="1" fillId="0" borderId="0"/>
    <xf numFmtId="0" fontId="1" fillId="0" borderId="0"/>
    <xf numFmtId="176" fontId="1" fillId="0" borderId="0"/>
    <xf numFmtId="176" fontId="1" fillId="0" borderId="0"/>
    <xf numFmtId="0" fontId="1" fillId="0" borderId="0"/>
    <xf numFmtId="176" fontId="1" fillId="0" borderId="0"/>
    <xf numFmtId="0" fontId="1" fillId="0" borderId="0"/>
    <xf numFmtId="176" fontId="1" fillId="0" borderId="0"/>
    <xf numFmtId="176" fontId="1" fillId="0" borderId="0"/>
    <xf numFmtId="0" fontId="1" fillId="0" borderId="0"/>
    <xf numFmtId="0" fontId="1" fillId="0" borderId="0"/>
    <xf numFmtId="0" fontId="1" fillId="0" borderId="0"/>
    <xf numFmtId="176" fontId="1" fillId="0" borderId="0"/>
    <xf numFmtId="176" fontId="1" fillId="0" borderId="0"/>
    <xf numFmtId="0" fontId="1" fillId="0" borderId="0"/>
    <xf numFmtId="176" fontId="1" fillId="0" borderId="0"/>
    <xf numFmtId="176" fontId="1" fillId="0" borderId="0"/>
    <xf numFmtId="0" fontId="1" fillId="0" borderId="0"/>
    <xf numFmtId="0" fontId="1" fillId="0" borderId="0"/>
    <xf numFmtId="176" fontId="1" fillId="0" borderId="0"/>
    <xf numFmtId="176" fontId="1" fillId="0" borderId="0"/>
    <xf numFmtId="0" fontId="1" fillId="0" borderId="0"/>
    <xf numFmtId="0" fontId="1" fillId="0" borderId="0"/>
    <xf numFmtId="176" fontId="1" fillId="0" borderId="0"/>
    <xf numFmtId="176" fontId="1" fillId="0" borderId="0"/>
    <xf numFmtId="176" fontId="1" fillId="0" borderId="0"/>
    <xf numFmtId="0" fontId="1" fillId="0" borderId="0"/>
    <xf numFmtId="176" fontId="1" fillId="0" borderId="0"/>
    <xf numFmtId="0" fontId="1" fillId="0" borderId="0"/>
    <xf numFmtId="176" fontId="1" fillId="0" borderId="0"/>
    <xf numFmtId="0" fontId="1" fillId="0" borderId="0"/>
    <xf numFmtId="176" fontId="1" fillId="0" borderId="0"/>
    <xf numFmtId="0" fontId="1" fillId="0" borderId="0"/>
    <xf numFmtId="0" fontId="1" fillId="0" borderId="0"/>
    <xf numFmtId="0" fontId="1" fillId="0" borderId="0"/>
    <xf numFmtId="176" fontId="1" fillId="0" borderId="0"/>
    <xf numFmtId="0" fontId="1" fillId="0" borderId="0"/>
    <xf numFmtId="176" fontId="1" fillId="0" borderId="0"/>
    <xf numFmtId="0" fontId="1" fillId="0" borderId="0"/>
    <xf numFmtId="0" fontId="1" fillId="0" borderId="0"/>
    <xf numFmtId="176" fontId="1" fillId="0" borderId="0"/>
    <xf numFmtId="176" fontId="1" fillId="0" borderId="0"/>
    <xf numFmtId="0" fontId="1" fillId="0" borderId="0"/>
    <xf numFmtId="176" fontId="1" fillId="0" borderId="0"/>
    <xf numFmtId="0" fontId="1" fillId="0" borderId="0"/>
    <xf numFmtId="176" fontId="1" fillId="0" borderId="0"/>
    <xf numFmtId="0" fontId="1" fillId="0" borderId="0"/>
    <xf numFmtId="0" fontId="1" fillId="0" borderId="0"/>
    <xf numFmtId="176" fontId="1" fillId="0" borderId="0"/>
    <xf numFmtId="176" fontId="1" fillId="0" borderId="0"/>
    <xf numFmtId="0" fontId="1" fillId="0" borderId="0"/>
    <xf numFmtId="0" fontId="1" fillId="0" borderId="0"/>
    <xf numFmtId="176" fontId="1" fillId="0" borderId="0"/>
    <xf numFmtId="0" fontId="1" fillId="0" borderId="0"/>
    <xf numFmtId="176" fontId="1" fillId="0" borderId="0"/>
    <xf numFmtId="176" fontId="1" fillId="0" borderId="0"/>
    <xf numFmtId="0" fontId="1" fillId="0" borderId="0"/>
    <xf numFmtId="0" fontId="1" fillId="0" borderId="0"/>
    <xf numFmtId="0" fontId="1" fillId="0" borderId="0"/>
    <xf numFmtId="176" fontId="1" fillId="0" borderId="0"/>
    <xf numFmtId="176" fontId="1" fillId="0" borderId="0"/>
    <xf numFmtId="0" fontId="1" fillId="0" borderId="0"/>
    <xf numFmtId="176" fontId="1" fillId="0" borderId="0"/>
    <xf numFmtId="0" fontId="1" fillId="0" borderId="0"/>
    <xf numFmtId="176" fontId="1" fillId="0" borderId="0"/>
    <xf numFmtId="176" fontId="1" fillId="0" borderId="0"/>
    <xf numFmtId="0" fontId="1" fillId="0" borderId="0"/>
    <xf numFmtId="176" fontId="1" fillId="0" borderId="0"/>
    <xf numFmtId="0" fontId="1" fillId="0" borderId="0"/>
    <xf numFmtId="176" fontId="1" fillId="0" borderId="0"/>
    <xf numFmtId="176" fontId="1" fillId="0" borderId="0"/>
    <xf numFmtId="0" fontId="1" fillId="0" borderId="0"/>
    <xf numFmtId="176" fontId="1" fillId="0" borderId="0"/>
    <xf numFmtId="0" fontId="1" fillId="0" borderId="0"/>
    <xf numFmtId="176" fontId="1" fillId="0" borderId="0"/>
    <xf numFmtId="176" fontId="1" fillId="0" borderId="0"/>
    <xf numFmtId="0" fontId="1" fillId="0" borderId="0"/>
    <xf numFmtId="176" fontId="1" fillId="0" borderId="0"/>
    <xf numFmtId="0" fontId="1" fillId="0" borderId="0"/>
    <xf numFmtId="176" fontId="1" fillId="0" borderId="0"/>
    <xf numFmtId="176" fontId="1" fillId="0" borderId="0"/>
    <xf numFmtId="0" fontId="1" fillId="0" borderId="0"/>
    <xf numFmtId="0" fontId="1" fillId="0" borderId="0"/>
    <xf numFmtId="176" fontId="1" fillId="0" borderId="0"/>
    <xf numFmtId="0" fontId="1" fillId="0" borderId="0"/>
    <xf numFmtId="176" fontId="1" fillId="0" borderId="0"/>
    <xf numFmtId="176" fontId="1" fillId="0" borderId="0"/>
    <xf numFmtId="0" fontId="1" fillId="0" borderId="0"/>
    <xf numFmtId="176" fontId="1" fillId="0" borderId="0"/>
    <xf numFmtId="176" fontId="1" fillId="0" borderId="0"/>
    <xf numFmtId="0" fontId="1" fillId="0" borderId="0"/>
    <xf numFmtId="0" fontId="1" fillId="0" borderId="0"/>
    <xf numFmtId="0" fontId="1" fillId="0" borderId="0"/>
    <xf numFmtId="176" fontId="1" fillId="0" borderId="0"/>
    <xf numFmtId="176" fontId="1" fillId="0" borderId="0"/>
    <xf numFmtId="0" fontId="1" fillId="21" borderId="74"/>
    <xf numFmtId="9" fontId="6" fillId="0" borderId="0"/>
  </cellStyleXfs>
  <cellXfs count="394">
    <xf numFmtId="0" fontId="0" fillId="0" borderId="0" xfId="0"/>
    <xf numFmtId="9" fontId="0" fillId="0" borderId="0" xfId="2" applyFont="1"/>
    <xf numFmtId="43" fontId="0" fillId="0" borderId="0" xfId="1" applyFont="1"/>
    <xf numFmtId="2" fontId="0" fillId="0" borderId="0" xfId="0" applyNumberFormat="1"/>
    <xf numFmtId="0" fontId="3" fillId="2" borderId="0" xfId="0" applyFont="1" applyFill="1"/>
    <xf numFmtId="0" fontId="0" fillId="2" borderId="0" xfId="0" applyFill="1"/>
    <xf numFmtId="0" fontId="2"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4" fillId="0" borderId="0" xfId="0" applyFont="1"/>
    <xf numFmtId="0" fontId="5" fillId="7" borderId="4" xfId="0" applyFont="1" applyFill="1" applyBorder="1"/>
    <xf numFmtId="0" fontId="6" fillId="8" borderId="5" xfId="3" applyFill="1" applyBorder="1" applyAlignment="1">
      <alignment horizontal="left" wrapText="1"/>
    </xf>
    <xf numFmtId="1" fontId="0" fillId="0" borderId="0" xfId="0" applyNumberFormat="1"/>
    <xf numFmtId="0" fontId="0" fillId="0" borderId="0" xfId="0" applyAlignment="1">
      <alignment horizontal="left"/>
    </xf>
    <xf numFmtId="0" fontId="6" fillId="9" borderId="0" xfId="4" applyFont="1" applyFill="1"/>
    <xf numFmtId="0" fontId="6" fillId="9" borderId="0" xfId="4" applyFont="1" applyFill="1" applyAlignment="1">
      <alignment horizontal="center"/>
    </xf>
    <xf numFmtId="0" fontId="6" fillId="2" borderId="0" xfId="4" applyFont="1" applyFill="1" applyAlignment="1">
      <alignment horizontal="center" vertical="center"/>
    </xf>
    <xf numFmtId="0" fontId="6" fillId="0" borderId="0" xfId="4" applyFont="1" applyAlignment="1">
      <alignment horizontal="center" vertical="center"/>
    </xf>
    <xf numFmtId="0" fontId="9" fillId="9" borderId="0" xfId="4" applyFont="1" applyFill="1" applyAlignment="1">
      <alignment vertical="center"/>
    </xf>
    <xf numFmtId="0" fontId="10" fillId="9" borderId="0" xfId="4" applyFont="1" applyFill="1" applyAlignment="1">
      <alignment horizontal="center" vertical="center"/>
    </xf>
    <xf numFmtId="0" fontId="11" fillId="9" borderId="0" xfId="4" applyFont="1" applyFill="1"/>
    <xf numFmtId="0" fontId="5" fillId="11" borderId="8" xfId="4" applyFont="1" applyFill="1" applyBorder="1" applyAlignment="1">
      <alignment horizontal="center" vertical="center"/>
    </xf>
    <xf numFmtId="0" fontId="5" fillId="11" borderId="9" xfId="4" applyFont="1" applyFill="1" applyBorder="1" applyAlignment="1">
      <alignment horizontal="center" vertical="center"/>
    </xf>
    <xf numFmtId="0" fontId="6" fillId="9" borderId="10" xfId="4" applyFont="1" applyFill="1" applyBorder="1" applyAlignment="1">
      <alignment horizontal="center" vertical="center"/>
    </xf>
    <xf numFmtId="164" fontId="6" fillId="9" borderId="11" xfId="4" applyNumberFormat="1" applyFont="1" applyFill="1" applyBorder="1" applyAlignment="1">
      <alignment horizontal="center" vertical="center"/>
    </xf>
    <xf numFmtId="0" fontId="10" fillId="9" borderId="0" xfId="4" applyFont="1" applyFill="1"/>
    <xf numFmtId="0" fontId="6" fillId="9" borderId="12" xfId="4" applyFont="1" applyFill="1" applyBorder="1" applyAlignment="1">
      <alignment horizontal="center" vertical="center"/>
    </xf>
    <xf numFmtId="164" fontId="6" fillId="9" borderId="13" xfId="4" applyNumberFormat="1" applyFont="1" applyFill="1" applyBorder="1" applyAlignment="1">
      <alignment horizontal="center" vertical="center"/>
    </xf>
    <xf numFmtId="0" fontId="10" fillId="9" borderId="0" xfId="4" applyFont="1" applyFill="1" applyAlignment="1">
      <alignment horizontal="center"/>
    </xf>
    <xf numFmtId="0" fontId="6" fillId="9" borderId="0" xfId="4" applyFont="1" applyFill="1" applyAlignment="1">
      <alignment vertical="center"/>
    </xf>
    <xf numFmtId="0" fontId="13" fillId="12" borderId="2" xfId="4" applyFont="1" applyFill="1" applyBorder="1" applyAlignment="1">
      <alignment horizontal="center" vertical="center"/>
    </xf>
    <xf numFmtId="0" fontId="13" fillId="13" borderId="6" xfId="4" applyFont="1" applyFill="1" applyBorder="1" applyAlignment="1">
      <alignment vertical="center"/>
    </xf>
    <xf numFmtId="0" fontId="13" fillId="13" borderId="4" xfId="4" applyFont="1" applyFill="1" applyBorder="1" applyAlignment="1">
      <alignment vertical="center"/>
    </xf>
    <xf numFmtId="0" fontId="6" fillId="13" borderId="4" xfId="4" applyFont="1" applyFill="1" applyBorder="1" applyAlignment="1">
      <alignment vertical="center"/>
    </xf>
    <xf numFmtId="0" fontId="6" fillId="13" borderId="7" xfId="4" applyFont="1" applyFill="1" applyBorder="1" applyAlignment="1">
      <alignment vertical="center"/>
    </xf>
    <xf numFmtId="0" fontId="10" fillId="9" borderId="0" xfId="4" applyFont="1" applyFill="1" applyAlignment="1">
      <alignment vertical="center"/>
    </xf>
    <xf numFmtId="165" fontId="10" fillId="9" borderId="0" xfId="4" applyNumberFormat="1" applyFont="1" applyFill="1"/>
    <xf numFmtId="0" fontId="5" fillId="14" borderId="10" xfId="4" applyFont="1" applyFill="1" applyBorder="1" applyAlignment="1">
      <alignment horizontal="center" vertical="center"/>
    </xf>
    <xf numFmtId="0" fontId="5" fillId="14" borderId="14" xfId="4" applyFont="1" applyFill="1" applyBorder="1" applyAlignment="1">
      <alignment horizontal="center" vertical="center" wrapText="1"/>
    </xf>
    <xf numFmtId="0" fontId="5" fillId="14" borderId="11" xfId="4" applyFont="1" applyFill="1" applyBorder="1" applyAlignment="1">
      <alignment horizontal="center" vertical="center" wrapText="1"/>
    </xf>
    <xf numFmtId="0" fontId="14" fillId="9" borderId="0" xfId="4" applyFont="1" applyFill="1"/>
    <xf numFmtId="0" fontId="15" fillId="9" borderId="0" xfId="4" applyFont="1" applyFill="1" applyAlignment="1">
      <alignment horizontal="center" vertical="center" wrapText="1"/>
    </xf>
    <xf numFmtId="0" fontId="6" fillId="9" borderId="0" xfId="4" applyFont="1" applyFill="1" applyAlignment="1">
      <alignment horizontal="center" vertical="center" wrapText="1"/>
    </xf>
    <xf numFmtId="0" fontId="5" fillId="15" borderId="15" xfId="4" applyFont="1" applyFill="1" applyBorder="1" applyAlignment="1">
      <alignment horizontal="center" vertical="center" wrapText="1"/>
    </xf>
    <xf numFmtId="0" fontId="12" fillId="16" borderId="2" xfId="4" applyFont="1" applyFill="1" applyBorder="1" applyAlignment="1">
      <alignment horizontal="center" vertical="top" wrapText="1"/>
    </xf>
    <xf numFmtId="0" fontId="12" fillId="16" borderId="16" xfId="4" applyFont="1" applyFill="1" applyBorder="1" applyAlignment="1">
      <alignment horizontal="center" vertical="top" wrapText="1"/>
    </xf>
    <xf numFmtId="0" fontId="6" fillId="0" borderId="0" xfId="4" applyFont="1" applyAlignment="1">
      <alignment horizontal="center" vertical="center" wrapText="1"/>
    </xf>
    <xf numFmtId="0" fontId="5" fillId="14" borderId="17" xfId="4" applyFont="1" applyFill="1" applyBorder="1" applyAlignment="1">
      <alignment horizontal="center"/>
    </xf>
    <xf numFmtId="0" fontId="5" fillId="15" borderId="0" xfId="4" applyFont="1" applyFill="1" applyAlignment="1">
      <alignment horizontal="center" vertical="center" wrapText="1"/>
    </xf>
    <xf numFmtId="0" fontId="5" fillId="15" borderId="18" xfId="4" applyFont="1" applyFill="1" applyBorder="1" applyAlignment="1">
      <alignment horizontal="center" vertical="center" wrapText="1"/>
    </xf>
    <xf numFmtId="0" fontId="6" fillId="0" borderId="19" xfId="4" applyFont="1" applyBorder="1"/>
    <xf numFmtId="43" fontId="6" fillId="0" borderId="2" xfId="5" applyFont="1" applyBorder="1"/>
    <xf numFmtId="164" fontId="6" fillId="0" borderId="2" xfId="5" applyNumberFormat="1" applyFont="1" applyBorder="1"/>
    <xf numFmtId="165" fontId="6" fillId="0" borderId="2" xfId="5" applyNumberFormat="1" applyFont="1" applyBorder="1"/>
    <xf numFmtId="164" fontId="6" fillId="0" borderId="16" xfId="5" applyNumberFormat="1" applyFont="1" applyBorder="1"/>
    <xf numFmtId="166" fontId="6" fillId="9" borderId="0" xfId="4" applyNumberFormat="1" applyFont="1" applyFill="1"/>
    <xf numFmtId="167" fontId="6" fillId="9" borderId="0" xfId="4" applyNumberFormat="1" applyFont="1" applyFill="1"/>
    <xf numFmtId="0" fontId="5" fillId="14" borderId="20" xfId="4" applyFont="1" applyFill="1" applyBorder="1" applyAlignment="1">
      <alignment horizontal="center"/>
    </xf>
    <xf numFmtId="166" fontId="5" fillId="15" borderId="0" xfId="5" applyNumberFormat="1" applyFont="1" applyFill="1"/>
    <xf numFmtId="164" fontId="5" fillId="15" borderId="0" xfId="5" applyNumberFormat="1" applyFont="1" applyFill="1"/>
    <xf numFmtId="165" fontId="5" fillId="15" borderId="0" xfId="5" applyNumberFormat="1" applyFont="1" applyFill="1"/>
    <xf numFmtId="164" fontId="5" fillId="15" borderId="18" xfId="5" applyNumberFormat="1" applyFont="1" applyFill="1" applyBorder="1"/>
    <xf numFmtId="166" fontId="11" fillId="9" borderId="0" xfId="4" applyNumberFormat="1" applyFont="1" applyFill="1"/>
    <xf numFmtId="164" fontId="5" fillId="15" borderId="0" xfId="4" applyNumberFormat="1" applyFont="1" applyFill="1"/>
    <xf numFmtId="164" fontId="5" fillId="15" borderId="18" xfId="4" applyNumberFormat="1" applyFont="1" applyFill="1" applyBorder="1"/>
    <xf numFmtId="0" fontId="12" fillId="16" borderId="2" xfId="4" applyFont="1" applyFill="1" applyBorder="1" applyAlignment="1">
      <alignment horizontal="center" vertical="center" wrapText="1"/>
    </xf>
    <xf numFmtId="0" fontId="12" fillId="16" borderId="16" xfId="4" applyFont="1" applyFill="1" applyBorder="1" applyAlignment="1">
      <alignment horizontal="center" vertical="center" wrapText="1"/>
    </xf>
    <xf numFmtId="0" fontId="5" fillId="14" borderId="17" xfId="4" applyFont="1" applyFill="1" applyBorder="1" applyAlignment="1">
      <alignment horizontal="center" vertical="center" wrapText="1"/>
    </xf>
    <xf numFmtId="166" fontId="10" fillId="15" borderId="0" xfId="5" applyNumberFormat="1" applyFont="1" applyFill="1"/>
    <xf numFmtId="166" fontId="16" fillId="15" borderId="0" xfId="5" applyNumberFormat="1" applyFont="1" applyFill="1"/>
    <xf numFmtId="165" fontId="6" fillId="15" borderId="0" xfId="5" applyNumberFormat="1" applyFont="1" applyFill="1"/>
    <xf numFmtId="0" fontId="6" fillId="15" borderId="0" xfId="4" applyFont="1" applyFill="1"/>
    <xf numFmtId="0" fontId="6" fillId="15" borderId="18" xfId="4" applyFont="1" applyFill="1" applyBorder="1"/>
    <xf numFmtId="43" fontId="10" fillId="9" borderId="0" xfId="4" applyNumberFormat="1" applyFont="1" applyFill="1" applyAlignment="1">
      <alignment horizontal="center"/>
    </xf>
    <xf numFmtId="168" fontId="6" fillId="0" borderId="2" xfId="5" applyNumberFormat="1" applyFont="1" applyBorder="1"/>
    <xf numFmtId="169" fontId="6" fillId="0" borderId="2" xfId="5" applyNumberFormat="1" applyFont="1" applyBorder="1"/>
    <xf numFmtId="169" fontId="6" fillId="0" borderId="16" xfId="5" applyNumberFormat="1" applyFont="1" applyBorder="1"/>
    <xf numFmtId="43" fontId="6" fillId="9" borderId="0" xfId="4" applyNumberFormat="1" applyFont="1" applyFill="1"/>
    <xf numFmtId="43" fontId="5" fillId="14" borderId="20" xfId="5" applyFont="1" applyFill="1" applyBorder="1" applyAlignment="1">
      <alignment horizontal="center"/>
    </xf>
    <xf numFmtId="168" fontId="6" fillId="15" borderId="0" xfId="5" applyNumberFormat="1" applyFont="1" applyFill="1"/>
    <xf numFmtId="169" fontId="5" fillId="15" borderId="0" xfId="5" applyNumberFormat="1" applyFont="1" applyFill="1"/>
    <xf numFmtId="168" fontId="5" fillId="15" borderId="0" xfId="5" applyNumberFormat="1" applyFont="1" applyFill="1"/>
    <xf numFmtId="168" fontId="5" fillId="15" borderId="18" xfId="5" applyNumberFormat="1" applyFont="1" applyFill="1" applyBorder="1"/>
    <xf numFmtId="166" fontId="6" fillId="0" borderId="2" xfId="5" applyNumberFormat="1" applyFont="1" applyBorder="1"/>
    <xf numFmtId="168" fontId="6" fillId="0" borderId="16" xfId="5" applyNumberFormat="1" applyFont="1" applyBorder="1"/>
    <xf numFmtId="43" fontId="6" fillId="0" borderId="2" xfId="5" applyFont="1" applyBorder="1" applyAlignment="1">
      <alignment horizontal="center"/>
    </xf>
    <xf numFmtId="166" fontId="6" fillId="15" borderId="0" xfId="5" applyNumberFormat="1" applyFont="1" applyFill="1"/>
    <xf numFmtId="43" fontId="10" fillId="9" borderId="0" xfId="4" applyNumberFormat="1" applyFont="1" applyFill="1" applyAlignment="1">
      <alignment horizontal="center" vertical="center"/>
    </xf>
    <xf numFmtId="0" fontId="6" fillId="0" borderId="19" xfId="4" applyFont="1" applyBorder="1" applyAlignment="1">
      <alignment vertical="center"/>
    </xf>
    <xf numFmtId="168" fontId="6" fillId="0" borderId="2" xfId="5" applyNumberFormat="1" applyFont="1" applyBorder="1" applyAlignment="1">
      <alignment vertical="center"/>
    </xf>
    <xf numFmtId="43" fontId="6" fillId="0" borderId="2" xfId="5" applyFont="1" applyBorder="1" applyAlignment="1">
      <alignment vertical="center"/>
    </xf>
    <xf numFmtId="165" fontId="6" fillId="0" borderId="2" xfId="5" applyNumberFormat="1" applyFont="1" applyBorder="1" applyAlignment="1">
      <alignment vertical="center"/>
    </xf>
    <xf numFmtId="0" fontId="6" fillId="9" borderId="0" xfId="4" applyFont="1" applyFill="1" applyAlignment="1">
      <alignment horizontal="center" vertical="center"/>
    </xf>
    <xf numFmtId="43" fontId="5" fillId="14" borderId="17" xfId="4" applyNumberFormat="1" applyFont="1" applyFill="1" applyBorder="1" applyAlignment="1">
      <alignment horizontal="center" vertical="center"/>
    </xf>
    <xf numFmtId="0" fontId="6" fillId="15" borderId="0" xfId="4" applyFont="1" applyFill="1" applyAlignment="1">
      <alignment vertical="center"/>
    </xf>
    <xf numFmtId="0" fontId="6" fillId="15" borderId="18" xfId="4" applyFont="1" applyFill="1" applyBorder="1" applyAlignment="1">
      <alignment vertical="center"/>
    </xf>
    <xf numFmtId="43" fontId="6" fillId="0" borderId="16" xfId="5" applyFont="1" applyBorder="1"/>
    <xf numFmtId="0" fontId="18" fillId="9" borderId="0" xfId="6" applyFont="1" applyFill="1" applyAlignment="1" applyProtection="1"/>
    <xf numFmtId="43" fontId="6" fillId="15" borderId="0" xfId="4" applyNumberFormat="1" applyFont="1" applyFill="1" applyAlignment="1">
      <alignment vertical="center"/>
    </xf>
    <xf numFmtId="43" fontId="10" fillId="15" borderId="0" xfId="5" applyFont="1" applyFill="1" applyAlignment="1">
      <alignment vertical="center"/>
    </xf>
    <xf numFmtId="43" fontId="10" fillId="15" borderId="18" xfId="5" applyFont="1" applyFill="1" applyBorder="1" applyAlignment="1">
      <alignment vertical="center"/>
    </xf>
    <xf numFmtId="43" fontId="5" fillId="14" borderId="17" xfId="4" applyNumberFormat="1" applyFont="1" applyFill="1" applyBorder="1" applyAlignment="1">
      <alignment horizontal="center" vertical="center" wrapText="1"/>
    </xf>
    <xf numFmtId="0" fontId="6" fillId="0" borderId="12" xfId="4" applyFont="1" applyBorder="1"/>
    <xf numFmtId="43" fontId="10" fillId="15" borderId="5" xfId="5" applyFont="1" applyFill="1" applyBorder="1" applyAlignment="1">
      <alignment vertical="center"/>
    </xf>
    <xf numFmtId="165" fontId="6" fillId="0" borderId="21" xfId="5" applyNumberFormat="1" applyFont="1" applyBorder="1"/>
    <xf numFmtId="43" fontId="6" fillId="0" borderId="21" xfId="5" applyFont="1" applyBorder="1"/>
    <xf numFmtId="43" fontId="10" fillId="15" borderId="22" xfId="5" applyFont="1" applyFill="1" applyBorder="1" applyAlignment="1">
      <alignment vertical="center"/>
    </xf>
    <xf numFmtId="0" fontId="12" fillId="9" borderId="0" xfId="4" applyFont="1" applyFill="1" applyAlignment="1">
      <alignment vertical="center"/>
    </xf>
    <xf numFmtId="43" fontId="6" fillId="9" borderId="0" xfId="4" applyNumberFormat="1" applyFont="1" applyFill="1" applyAlignment="1">
      <alignment vertical="center"/>
    </xf>
    <xf numFmtId="0" fontId="19" fillId="9" borderId="0" xfId="6" applyFont="1" applyFill="1" applyAlignment="1" applyProtection="1"/>
    <xf numFmtId="170" fontId="10" fillId="9" borderId="0" xfId="4" applyNumberFormat="1" applyFont="1" applyFill="1"/>
    <xf numFmtId="169" fontId="10" fillId="9" borderId="0" xfId="4" applyNumberFormat="1" applyFont="1" applyFill="1"/>
    <xf numFmtId="10" fontId="10" fillId="9" borderId="0" xfId="7" applyNumberFormat="1" applyFont="1" applyFill="1"/>
    <xf numFmtId="0" fontId="6" fillId="2" borderId="0" xfId="4" applyFont="1" applyFill="1"/>
    <xf numFmtId="0" fontId="5" fillId="11" borderId="23" xfId="4" applyFont="1" applyFill="1" applyBorder="1" applyAlignment="1">
      <alignment horizontal="center" vertical="top"/>
    </xf>
    <xf numFmtId="0" fontId="5" fillId="11" borderId="24" xfId="4" applyFont="1" applyFill="1" applyBorder="1" applyAlignment="1">
      <alignment horizontal="center" vertical="top" wrapText="1"/>
    </xf>
    <xf numFmtId="0" fontId="5" fillId="11" borderId="25" xfId="4" applyFont="1" applyFill="1" applyBorder="1" applyAlignment="1">
      <alignment horizontal="center" vertical="top" wrapText="1"/>
    </xf>
    <xf numFmtId="43" fontId="6" fillId="2" borderId="0" xfId="5" applyFont="1" applyFill="1"/>
    <xf numFmtId="11" fontId="6" fillId="2" borderId="0" xfId="4" applyNumberFormat="1" applyFont="1" applyFill="1"/>
    <xf numFmtId="0" fontId="6" fillId="9" borderId="26" xfId="4" applyFont="1" applyFill="1" applyBorder="1" applyAlignment="1">
      <alignment vertical="center"/>
    </xf>
    <xf numFmtId="43" fontId="6" fillId="0" borderId="3" xfId="5" applyFont="1" applyBorder="1" applyAlignment="1">
      <alignment vertical="center"/>
    </xf>
    <xf numFmtId="0" fontId="6" fillId="9" borderId="27" xfId="4" applyFont="1" applyFill="1" applyBorder="1" applyAlignment="1">
      <alignment horizontal="center"/>
    </xf>
    <xf numFmtId="0" fontId="5" fillId="9" borderId="0" xfId="4" applyFont="1" applyFill="1"/>
    <xf numFmtId="0" fontId="6" fillId="9" borderId="19" xfId="4" applyFont="1" applyFill="1" applyBorder="1" applyAlignment="1">
      <alignment vertical="center"/>
    </xf>
    <xf numFmtId="0" fontId="6" fillId="0" borderId="16" xfId="4" applyFont="1" applyBorder="1" applyAlignment="1">
      <alignment horizontal="center"/>
    </xf>
    <xf numFmtId="169" fontId="6" fillId="2" borderId="2" xfId="5" applyNumberFormat="1" applyFont="1" applyFill="1" applyBorder="1" applyAlignment="1">
      <alignment vertical="center"/>
    </xf>
    <xf numFmtId="0" fontId="6" fillId="9" borderId="16" xfId="4" applyFont="1" applyFill="1" applyBorder="1" applyAlignment="1">
      <alignment horizontal="center"/>
    </xf>
    <xf numFmtId="169" fontId="6" fillId="9" borderId="0" xfId="5" applyNumberFormat="1" applyFont="1" applyFill="1"/>
    <xf numFmtId="43" fontId="18" fillId="2" borderId="0" xfId="6" applyNumberFormat="1" applyFont="1" applyFill="1" applyAlignment="1" applyProtection="1"/>
    <xf numFmtId="0" fontId="6" fillId="9" borderId="12" xfId="4" applyFont="1" applyFill="1" applyBorder="1" applyAlignment="1">
      <alignment vertical="center"/>
    </xf>
    <xf numFmtId="43" fontId="6" fillId="0" borderId="21" xfId="5" applyFont="1" applyBorder="1" applyAlignment="1">
      <alignment vertical="center"/>
    </xf>
    <xf numFmtId="0" fontId="6" fillId="9" borderId="13" xfId="4" applyFont="1" applyFill="1" applyBorder="1" applyAlignment="1">
      <alignment horizontal="center"/>
    </xf>
    <xf numFmtId="0" fontId="6" fillId="2" borderId="0" xfId="4" applyFont="1" applyFill="1" applyAlignment="1">
      <alignment vertical="center"/>
    </xf>
    <xf numFmtId="0" fontId="10" fillId="9" borderId="0" xfId="4" applyFont="1" applyFill="1" applyAlignment="1">
      <alignment wrapText="1"/>
    </xf>
    <xf numFmtId="0" fontId="10" fillId="0" borderId="0" xfId="4" applyFont="1"/>
    <xf numFmtId="0" fontId="13" fillId="12" borderId="2" xfId="4" applyFont="1" applyFill="1" applyBorder="1" applyAlignment="1">
      <alignment horizontal="center"/>
    </xf>
    <xf numFmtId="0" fontId="13" fillId="8" borderId="6" xfId="4" applyFont="1" applyFill="1" applyBorder="1"/>
    <xf numFmtId="0" fontId="6" fillId="8" borderId="4" xfId="4" applyFont="1" applyFill="1" applyBorder="1"/>
    <xf numFmtId="0" fontId="6" fillId="13" borderId="4" xfId="4" applyFont="1" applyFill="1" applyBorder="1"/>
    <xf numFmtId="0" fontId="6" fillId="13" borderId="7" xfId="4" applyFont="1" applyFill="1" applyBorder="1"/>
    <xf numFmtId="0" fontId="5" fillId="15" borderId="23" xfId="4" applyFont="1" applyFill="1" applyBorder="1" applyAlignment="1">
      <alignment horizontal="center" vertical="center"/>
    </xf>
    <xf numFmtId="0" fontId="5" fillId="15" borderId="24" xfId="4" applyFont="1" applyFill="1" applyBorder="1" applyAlignment="1">
      <alignment horizontal="center" vertical="center"/>
    </xf>
    <xf numFmtId="0" fontId="5" fillId="15" borderId="24" xfId="4" applyFont="1" applyFill="1" applyBorder="1" applyAlignment="1">
      <alignment horizontal="center" vertical="center" wrapText="1"/>
    </xf>
    <xf numFmtId="0" fontId="5" fillId="15" borderId="25" xfId="4" applyFont="1" applyFill="1" applyBorder="1" applyAlignment="1">
      <alignment horizontal="center" vertical="center" wrapText="1"/>
    </xf>
    <xf numFmtId="170" fontId="11" fillId="9" borderId="0" xfId="4" applyNumberFormat="1" applyFont="1" applyFill="1"/>
    <xf numFmtId="0" fontId="6" fillId="9" borderId="28" xfId="4" applyFont="1" applyFill="1" applyBorder="1"/>
    <xf numFmtId="0" fontId="6" fillId="9" borderId="14" xfId="4" applyFont="1" applyFill="1" applyBorder="1" applyAlignment="1">
      <alignment horizontal="left"/>
    </xf>
    <xf numFmtId="170" fontId="6" fillId="0" borderId="14" xfId="5" applyNumberFormat="1" applyFont="1" applyBorder="1"/>
    <xf numFmtId="170" fontId="6" fillId="0" borderId="11" xfId="5" applyNumberFormat="1" applyFont="1" applyBorder="1"/>
    <xf numFmtId="170" fontId="6" fillId="9" borderId="0" xfId="4" applyNumberFormat="1" applyFont="1" applyFill="1"/>
    <xf numFmtId="0" fontId="6" fillId="9" borderId="15" xfId="4" applyFont="1" applyFill="1" applyBorder="1"/>
    <xf numFmtId="0" fontId="6" fillId="9" borderId="3" xfId="4" applyFont="1" applyFill="1" applyBorder="1" applyAlignment="1">
      <alignment horizontal="left"/>
    </xf>
    <xf numFmtId="170" fontId="6" fillId="0" borderId="3" xfId="5" applyNumberFormat="1" applyFont="1" applyBorder="1"/>
    <xf numFmtId="170" fontId="6" fillId="0" borderId="27" xfId="5" applyNumberFormat="1" applyFont="1" applyBorder="1"/>
    <xf numFmtId="0" fontId="6" fillId="9" borderId="2" xfId="4" applyFont="1" applyFill="1" applyBorder="1" applyAlignment="1">
      <alignment horizontal="left"/>
    </xf>
    <xf numFmtId="170" fontId="6" fillId="0" borderId="2" xfId="5" applyNumberFormat="1" applyFont="1" applyBorder="1"/>
    <xf numFmtId="170" fontId="6" fillId="0" borderId="16" xfId="5" applyNumberFormat="1" applyFont="1" applyBorder="1"/>
    <xf numFmtId="170" fontId="6" fillId="0" borderId="29" xfId="5" applyNumberFormat="1" applyFont="1" applyBorder="1"/>
    <xf numFmtId="170" fontId="6" fillId="0" borderId="30" xfId="5" applyNumberFormat="1" applyFont="1" applyBorder="1"/>
    <xf numFmtId="0" fontId="6" fillId="9" borderId="31" xfId="4" applyFont="1" applyFill="1" applyBorder="1"/>
    <xf numFmtId="0" fontId="6" fillId="9" borderId="2" xfId="4" quotePrefix="1" applyFont="1" applyFill="1" applyBorder="1" applyAlignment="1">
      <alignment horizontal="left"/>
    </xf>
    <xf numFmtId="170" fontId="6" fillId="0" borderId="21" xfId="5" applyNumberFormat="1" applyFont="1" applyBorder="1"/>
    <xf numFmtId="170" fontId="6" fillId="0" borderId="13" xfId="5" applyNumberFormat="1" applyFont="1" applyBorder="1"/>
    <xf numFmtId="170" fontId="6" fillId="9" borderId="14" xfId="5" applyNumberFormat="1" applyFont="1" applyFill="1" applyBorder="1" applyAlignment="1">
      <alignment horizontal="right"/>
    </xf>
    <xf numFmtId="170" fontId="6" fillId="9" borderId="11" xfId="5" applyNumberFormat="1" applyFont="1" applyFill="1" applyBorder="1" applyAlignment="1">
      <alignment horizontal="right"/>
    </xf>
    <xf numFmtId="0" fontId="6" fillId="9" borderId="21" xfId="4" applyFont="1" applyFill="1" applyBorder="1" applyAlignment="1">
      <alignment horizontal="left"/>
    </xf>
    <xf numFmtId="170" fontId="6" fillId="9" borderId="21" xfId="5" applyNumberFormat="1" applyFont="1" applyFill="1" applyBorder="1" applyAlignment="1">
      <alignment horizontal="right"/>
    </xf>
    <xf numFmtId="170" fontId="6" fillId="9" borderId="13" xfId="5" applyNumberFormat="1" applyFont="1" applyFill="1" applyBorder="1" applyAlignment="1">
      <alignment horizontal="right"/>
    </xf>
    <xf numFmtId="0" fontId="5" fillId="15" borderId="33" xfId="4" applyFont="1" applyFill="1" applyBorder="1" applyAlignment="1">
      <alignment horizontal="center" vertical="center" wrapText="1"/>
    </xf>
    <xf numFmtId="0" fontId="6" fillId="9" borderId="0" xfId="4" applyFont="1" applyFill="1" applyAlignment="1">
      <alignment horizontal="left"/>
    </xf>
    <xf numFmtId="0" fontId="20" fillId="9" borderId="0" xfId="4" applyFont="1" applyFill="1"/>
    <xf numFmtId="0" fontId="6" fillId="9" borderId="18" xfId="4" applyFont="1" applyFill="1" applyBorder="1"/>
    <xf numFmtId="170" fontId="6" fillId="0" borderId="2" xfId="5" applyNumberFormat="1" applyFont="1" applyBorder="1" applyAlignment="1">
      <alignment horizontal="right"/>
    </xf>
    <xf numFmtId="170" fontId="6" fillId="0" borderId="16" xfId="5" applyNumberFormat="1" applyFont="1" applyBorder="1" applyAlignment="1">
      <alignment horizontal="right"/>
    </xf>
    <xf numFmtId="0" fontId="11" fillId="9" borderId="2" xfId="4" applyFont="1" applyFill="1" applyBorder="1" applyAlignment="1">
      <alignment horizontal="left"/>
    </xf>
    <xf numFmtId="170" fontId="11" fillId="0" borderId="2" xfId="5" applyNumberFormat="1" applyFont="1" applyBorder="1" applyAlignment="1">
      <alignment horizontal="right"/>
    </xf>
    <xf numFmtId="170" fontId="11" fillId="0" borderId="16" xfId="5" applyNumberFormat="1" applyFont="1" applyBorder="1" applyAlignment="1">
      <alignment horizontal="right"/>
    </xf>
    <xf numFmtId="0" fontId="6" fillId="9" borderId="7" xfId="4" applyFont="1" applyFill="1" applyBorder="1"/>
    <xf numFmtId="0" fontId="6" fillId="15" borderId="2" xfId="4" applyFont="1" applyFill="1" applyBorder="1"/>
    <xf numFmtId="170" fontId="11" fillId="0" borderId="16" xfId="5" applyNumberFormat="1" applyFont="1" applyBorder="1"/>
    <xf numFmtId="170" fontId="11" fillId="0" borderId="2" xfId="5" applyNumberFormat="1" applyFont="1" applyBorder="1"/>
    <xf numFmtId="0" fontId="6" fillId="9" borderId="2" xfId="4" applyFont="1" applyFill="1" applyBorder="1"/>
    <xf numFmtId="0" fontId="6" fillId="9" borderId="36" xfId="4" applyFont="1" applyFill="1" applyBorder="1"/>
    <xf numFmtId="0" fontId="6" fillId="15" borderId="36" xfId="4" applyFont="1" applyFill="1" applyBorder="1"/>
    <xf numFmtId="0" fontId="5" fillId="13" borderId="4" xfId="4" applyFont="1" applyFill="1" applyBorder="1"/>
    <xf numFmtId="0" fontId="5" fillId="15" borderId="23" xfId="4" applyFont="1" applyFill="1" applyBorder="1" applyAlignment="1">
      <alignment horizontal="center" vertical="center" wrapText="1"/>
    </xf>
    <xf numFmtId="43" fontId="11" fillId="0" borderId="3" xfId="4" applyNumberFormat="1" applyFont="1" applyBorder="1"/>
    <xf numFmtId="43" fontId="11" fillId="0" borderId="27" xfId="4" applyNumberFormat="1" applyFont="1" applyBorder="1"/>
    <xf numFmtId="43" fontId="11" fillId="9" borderId="0" xfId="4" applyNumberFormat="1" applyFont="1" applyFill="1"/>
    <xf numFmtId="43" fontId="11" fillId="0" borderId="2" xfId="4" applyNumberFormat="1" applyFont="1" applyBorder="1"/>
    <xf numFmtId="43" fontId="11" fillId="0" borderId="16" xfId="4" applyNumberFormat="1" applyFont="1" applyBorder="1"/>
    <xf numFmtId="0" fontId="6" fillId="9" borderId="19" xfId="4" applyFont="1" applyFill="1" applyBorder="1"/>
    <xf numFmtId="43" fontId="6" fillId="0" borderId="2" xfId="4" applyNumberFormat="1" applyFont="1" applyBorder="1"/>
    <xf numFmtId="43" fontId="6" fillId="0" borderId="16" xfId="4" applyNumberFormat="1" applyFont="1" applyBorder="1"/>
    <xf numFmtId="0" fontId="6" fillId="9" borderId="37" xfId="4" applyFont="1" applyFill="1" applyBorder="1"/>
    <xf numFmtId="0" fontId="6" fillId="9" borderId="38" xfId="4" applyFont="1" applyFill="1" applyBorder="1"/>
    <xf numFmtId="0" fontId="6" fillId="9" borderId="39" xfId="4" applyFont="1" applyFill="1" applyBorder="1"/>
    <xf numFmtId="43" fontId="11" fillId="0" borderId="21" xfId="4" applyNumberFormat="1" applyFont="1" applyBorder="1"/>
    <xf numFmtId="43" fontId="11" fillId="0" borderId="13" xfId="4" applyNumberFormat="1" applyFont="1" applyBorder="1"/>
    <xf numFmtId="0" fontId="5" fillId="11" borderId="40" xfId="4" applyFont="1" applyFill="1" applyBorder="1"/>
    <xf numFmtId="0" fontId="5" fillId="15" borderId="44" xfId="4" applyFont="1" applyFill="1" applyBorder="1" applyAlignment="1">
      <alignment horizontal="center"/>
    </xf>
    <xf numFmtId="0" fontId="5" fillId="15" borderId="17" xfId="4" applyFont="1" applyFill="1" applyBorder="1" applyAlignment="1">
      <alignment horizontal="center" vertical="center" wrapText="1"/>
    </xf>
    <xf numFmtId="0" fontId="5" fillId="15" borderId="45" xfId="4" applyFont="1" applyFill="1" applyBorder="1" applyAlignment="1">
      <alignment horizontal="center" vertical="center" wrapText="1"/>
    </xf>
    <xf numFmtId="0" fontId="5" fillId="15" borderId="30" xfId="4" applyFont="1" applyFill="1" applyBorder="1" applyAlignment="1">
      <alignment horizontal="center" vertical="center" wrapText="1"/>
    </xf>
    <xf numFmtId="0" fontId="5" fillId="15" borderId="46" xfId="4" applyFont="1" applyFill="1" applyBorder="1" applyAlignment="1">
      <alignment horizontal="center" wrapText="1"/>
    </xf>
    <xf numFmtId="0" fontId="5" fillId="15" borderId="32" xfId="4" applyFont="1" applyFill="1" applyBorder="1" applyAlignment="1">
      <alignment horizontal="center" vertical="center" wrapText="1"/>
    </xf>
    <xf numFmtId="0" fontId="5" fillId="15" borderId="36" xfId="4" applyFont="1" applyFill="1" applyBorder="1" applyAlignment="1">
      <alignment horizontal="center" vertical="center" wrapText="1"/>
    </xf>
    <xf numFmtId="0" fontId="5" fillId="15" borderId="47" xfId="4" applyFont="1" applyFill="1" applyBorder="1" applyAlignment="1">
      <alignment horizontal="center" vertical="center" wrapText="1"/>
    </xf>
    <xf numFmtId="0" fontId="6" fillId="9" borderId="48" xfId="4" applyFont="1" applyFill="1" applyBorder="1"/>
    <xf numFmtId="165" fontId="11" fillId="0" borderId="10" xfId="5" applyNumberFormat="1" applyFont="1" applyBorder="1"/>
    <xf numFmtId="166" fontId="11" fillId="0" borderId="14" xfId="5" applyNumberFormat="1" applyFont="1" applyBorder="1"/>
    <xf numFmtId="166" fontId="11" fillId="0" borderId="42" xfId="5" applyNumberFormat="1" applyFont="1" applyBorder="1"/>
    <xf numFmtId="166" fontId="11" fillId="0" borderId="11" xfId="5" applyNumberFormat="1" applyFont="1" applyBorder="1"/>
    <xf numFmtId="0" fontId="6" fillId="9" borderId="49" xfId="4" applyFont="1" applyFill="1" applyBorder="1"/>
    <xf numFmtId="165" fontId="11" fillId="0" borderId="19" xfId="5" applyNumberFormat="1" applyFont="1" applyBorder="1"/>
    <xf numFmtId="166" fontId="11" fillId="0" borderId="2" xfId="5" applyNumberFormat="1" applyFont="1" applyBorder="1"/>
    <xf numFmtId="166" fontId="11" fillId="0" borderId="4" xfId="5" applyNumberFormat="1" applyFont="1" applyBorder="1"/>
    <xf numFmtId="166" fontId="11" fillId="0" borderId="16" xfId="5" applyNumberFormat="1" applyFont="1" applyBorder="1"/>
    <xf numFmtId="0" fontId="6" fillId="9" borderId="50" xfId="4" applyFont="1" applyFill="1" applyBorder="1"/>
    <xf numFmtId="165" fontId="11" fillId="0" borderId="12" xfId="5" applyNumberFormat="1" applyFont="1" applyBorder="1"/>
    <xf numFmtId="166" fontId="11" fillId="0" borderId="21" xfId="5" applyNumberFormat="1" applyFont="1" applyBorder="1"/>
    <xf numFmtId="166" fontId="11" fillId="0" borderId="1" xfId="5" applyNumberFormat="1" applyFont="1" applyBorder="1"/>
    <xf numFmtId="166" fontId="11" fillId="0" borderId="13" xfId="5" applyNumberFormat="1" applyFont="1" applyBorder="1"/>
    <xf numFmtId="169" fontId="6" fillId="9" borderId="0" xfId="4" applyNumberFormat="1" applyFont="1" applyFill="1"/>
    <xf numFmtId="0" fontId="21" fillId="9" borderId="0" xfId="4" applyFont="1" applyFill="1"/>
    <xf numFmtId="0" fontId="22" fillId="0" borderId="0" xfId="4" applyFont="1"/>
    <xf numFmtId="0" fontId="13" fillId="13" borderId="4" xfId="4" applyFont="1" applyFill="1" applyBorder="1"/>
    <xf numFmtId="0" fontId="13" fillId="8" borderId="4" xfId="4" applyFont="1" applyFill="1" applyBorder="1"/>
    <xf numFmtId="0" fontId="5" fillId="15" borderId="52" xfId="4" applyFont="1" applyFill="1" applyBorder="1" applyAlignment="1">
      <alignment horizontal="center" vertical="center" wrapText="1"/>
    </xf>
    <xf numFmtId="0" fontId="6" fillId="0" borderId="32" xfId="4" applyFont="1" applyBorder="1"/>
    <xf numFmtId="43" fontId="6" fillId="2" borderId="21" xfId="5" applyFont="1" applyFill="1" applyBorder="1" applyAlignment="1">
      <alignment vertical="center"/>
    </xf>
    <xf numFmtId="166" fontId="6" fillId="2" borderId="21" xfId="5" applyNumberFormat="1" applyFont="1" applyFill="1" applyBorder="1" applyAlignment="1">
      <alignment vertical="center"/>
    </xf>
    <xf numFmtId="166" fontId="6" fillId="2" borderId="13" xfId="5" applyNumberFormat="1" applyFont="1" applyFill="1" applyBorder="1" applyAlignment="1">
      <alignment vertical="center"/>
    </xf>
    <xf numFmtId="0" fontId="13" fillId="9" borderId="0" xfId="4" applyFont="1" applyFill="1" applyAlignment="1">
      <alignment horizontal="center"/>
    </xf>
    <xf numFmtId="0" fontId="6" fillId="9" borderId="10" xfId="4" applyFont="1" applyFill="1" applyBorder="1"/>
    <xf numFmtId="171" fontId="11" fillId="0" borderId="14" xfId="4" applyNumberFormat="1" applyFont="1" applyBorder="1"/>
    <xf numFmtId="171" fontId="23" fillId="0" borderId="14" xfId="4" applyNumberFormat="1" applyFont="1" applyBorder="1"/>
    <xf numFmtId="0" fontId="6" fillId="9" borderId="11" xfId="4" applyFont="1" applyFill="1" applyBorder="1"/>
    <xf numFmtId="0" fontId="6" fillId="9" borderId="26" xfId="4" applyFont="1" applyFill="1" applyBorder="1"/>
    <xf numFmtId="171" fontId="11" fillId="0" borderId="2" xfId="4" applyNumberFormat="1" applyFont="1" applyBorder="1"/>
    <xf numFmtId="0" fontId="6" fillId="9" borderId="27" xfId="4" applyFont="1" applyFill="1" applyBorder="1"/>
    <xf numFmtId="0" fontId="6" fillId="9" borderId="12" xfId="4" applyFont="1" applyFill="1" applyBorder="1"/>
    <xf numFmtId="171" fontId="11" fillId="0" borderId="21" xfId="4" applyNumberFormat="1" applyFont="1" applyBorder="1"/>
    <xf numFmtId="171" fontId="23" fillId="0" borderId="21" xfId="4" applyNumberFormat="1" applyFont="1" applyBorder="1"/>
    <xf numFmtId="0" fontId="6" fillId="9" borderId="13" xfId="4" applyFont="1" applyFill="1" applyBorder="1"/>
    <xf numFmtId="171" fontId="6" fillId="0" borderId="14" xfId="4" applyNumberFormat="1" applyFont="1" applyBorder="1"/>
    <xf numFmtId="172" fontId="6" fillId="0" borderId="14" xfId="4" applyNumberFormat="1" applyFont="1" applyBorder="1"/>
    <xf numFmtId="171" fontId="6" fillId="0" borderId="2" xfId="4" applyNumberFormat="1" applyFont="1" applyBorder="1"/>
    <xf numFmtId="172" fontId="6" fillId="0" borderId="2" xfId="4" applyNumberFormat="1" applyFont="1" applyBorder="1"/>
    <xf numFmtId="172" fontId="11" fillId="0" borderId="2" xfId="4" applyNumberFormat="1" applyFont="1" applyBorder="1"/>
    <xf numFmtId="0" fontId="6" fillId="9" borderId="16" xfId="4" applyFont="1" applyFill="1" applyBorder="1"/>
    <xf numFmtId="172" fontId="11" fillId="0" borderId="21" xfId="4" applyNumberFormat="1" applyFont="1" applyBorder="1"/>
    <xf numFmtId="0" fontId="13" fillId="13" borderId="6" xfId="4" applyFont="1" applyFill="1" applyBorder="1"/>
    <xf numFmtId="0" fontId="24" fillId="9" borderId="0" xfId="4" applyFont="1" applyFill="1" applyAlignment="1">
      <alignment vertical="center"/>
    </xf>
    <xf numFmtId="0" fontId="6" fillId="0" borderId="0" xfId="4" applyFont="1" applyAlignment="1">
      <alignment horizontal="center"/>
    </xf>
    <xf numFmtId="2" fontId="6" fillId="9" borderId="0" xfId="4" applyNumberFormat="1" applyFont="1" applyFill="1" applyAlignment="1">
      <alignment vertical="center"/>
    </xf>
    <xf numFmtId="2" fontId="5" fillId="18" borderId="23" xfId="4" applyNumberFormat="1" applyFont="1" applyFill="1" applyBorder="1" applyAlignment="1">
      <alignment horizontal="center" vertical="center" wrapText="1"/>
    </xf>
    <xf numFmtId="2" fontId="5" fillId="18" borderId="24" xfId="4" applyNumberFormat="1" applyFont="1" applyFill="1" applyBorder="1" applyAlignment="1">
      <alignment horizontal="center" vertical="center" wrapText="1"/>
    </xf>
    <xf numFmtId="2" fontId="5" fillId="18" borderId="25" xfId="4" applyNumberFormat="1" applyFont="1" applyFill="1" applyBorder="1" applyAlignment="1">
      <alignment horizontal="center" vertical="center" wrapText="1"/>
    </xf>
    <xf numFmtId="43" fontId="6" fillId="0" borderId="0" xfId="4" applyNumberFormat="1" applyFont="1"/>
    <xf numFmtId="173" fontId="6" fillId="0" borderId="10" xfId="4" applyNumberFormat="1" applyFont="1" applyBorder="1"/>
    <xf numFmtId="43" fontId="6" fillId="0" borderId="14" xfId="5" applyFont="1" applyBorder="1" applyAlignment="1">
      <alignment horizontal="right"/>
    </xf>
    <xf numFmtId="0" fontId="6" fillId="0" borderId="14" xfId="4" applyFont="1" applyBorder="1" applyAlignment="1">
      <alignment horizontal="right"/>
    </xf>
    <xf numFmtId="0" fontId="6" fillId="0" borderId="11" xfId="4" applyFont="1" applyBorder="1" applyAlignment="1">
      <alignment horizontal="right"/>
    </xf>
    <xf numFmtId="43" fontId="11" fillId="0" borderId="0" xfId="4" applyNumberFormat="1" applyFont="1"/>
    <xf numFmtId="173" fontId="6" fillId="0" borderId="19" xfId="4" applyNumberFormat="1" applyFont="1" applyBorder="1"/>
    <xf numFmtId="43" fontId="6" fillId="0" borderId="2" xfId="5" applyFont="1" applyBorder="1" applyAlignment="1">
      <alignment horizontal="right"/>
    </xf>
    <xf numFmtId="0" fontId="6" fillId="0" borderId="2" xfId="4" applyFont="1" applyBorder="1" applyAlignment="1">
      <alignment horizontal="right"/>
    </xf>
    <xf numFmtId="0" fontId="6" fillId="0" borderId="16" xfId="4" applyFont="1" applyBorder="1" applyAlignment="1">
      <alignment horizontal="right"/>
    </xf>
    <xf numFmtId="2" fontId="6" fillId="0" borderId="2" xfId="4" applyNumberFormat="1" applyFont="1" applyBorder="1" applyAlignment="1">
      <alignment horizontal="right"/>
    </xf>
    <xf numFmtId="2" fontId="6" fillId="0" borderId="16" xfId="4" applyNumberFormat="1" applyFont="1" applyBorder="1" applyAlignment="1">
      <alignment horizontal="right"/>
    </xf>
    <xf numFmtId="166" fontId="6" fillId="0" borderId="2" xfId="5" applyNumberFormat="1" applyFont="1" applyBorder="1" applyAlignment="1">
      <alignment horizontal="right"/>
    </xf>
    <xf numFmtId="173" fontId="6" fillId="0" borderId="12" xfId="4" applyNumberFormat="1" applyFont="1" applyBorder="1"/>
    <xf numFmtId="43" fontId="6" fillId="0" borderId="21" xfId="5" applyFont="1" applyBorder="1" applyAlignment="1">
      <alignment horizontal="right"/>
    </xf>
    <xf numFmtId="0" fontId="6" fillId="0" borderId="21" xfId="4" applyFont="1" applyBorder="1" applyAlignment="1">
      <alignment horizontal="right"/>
    </xf>
    <xf numFmtId="0" fontId="6" fillId="0" borderId="13" xfId="4" applyFont="1" applyBorder="1" applyAlignment="1">
      <alignment horizontal="right"/>
    </xf>
    <xf numFmtId="0" fontId="13" fillId="9" borderId="0" xfId="4" applyFont="1" applyFill="1" applyAlignment="1">
      <alignment horizontal="center" vertical="center"/>
    </xf>
    <xf numFmtId="0" fontId="6" fillId="0" borderId="10" xfId="4" applyFont="1" applyBorder="1"/>
    <xf numFmtId="0" fontId="6" fillId="0" borderId="11" xfId="4" applyFont="1" applyBorder="1"/>
    <xf numFmtId="0" fontId="6" fillId="0" borderId="16" xfId="4" applyFont="1" applyBorder="1"/>
    <xf numFmtId="166" fontId="6" fillId="0" borderId="21" xfId="5" applyNumberFormat="1" applyFont="1" applyBorder="1"/>
    <xf numFmtId="0" fontId="6" fillId="0" borderId="13" xfId="4" applyFont="1" applyBorder="1"/>
    <xf numFmtId="0" fontId="23" fillId="0" borderId="26" xfId="4" applyFont="1" applyBorder="1"/>
    <xf numFmtId="166" fontId="6" fillId="0" borderId="34" xfId="5" applyNumberFormat="1" applyFont="1" applyBorder="1"/>
    <xf numFmtId="170" fontId="6" fillId="0" borderId="34" xfId="5" applyNumberFormat="1" applyFont="1" applyBorder="1"/>
    <xf numFmtId="0" fontId="6" fillId="0" borderId="27" xfId="4" applyFont="1" applyBorder="1"/>
    <xf numFmtId="172" fontId="6" fillId="9" borderId="0" xfId="4" applyNumberFormat="1" applyFont="1" applyFill="1"/>
    <xf numFmtId="0" fontId="23" fillId="0" borderId="35" xfId="4" applyFont="1" applyBorder="1"/>
    <xf numFmtId="0" fontId="23" fillId="0" borderId="56" xfId="4" applyFont="1" applyBorder="1"/>
    <xf numFmtId="166" fontId="11" fillId="0" borderId="29" xfId="5" applyNumberFormat="1" applyFont="1" applyBorder="1"/>
    <xf numFmtId="170" fontId="11" fillId="0" borderId="29" xfId="5" applyNumberFormat="1" applyFont="1" applyBorder="1"/>
    <xf numFmtId="0" fontId="6" fillId="0" borderId="56" xfId="4" applyFont="1" applyBorder="1"/>
    <xf numFmtId="170" fontId="11" fillId="0" borderId="7" xfId="5" applyNumberFormat="1" applyFont="1" applyBorder="1"/>
    <xf numFmtId="166" fontId="11" fillId="0" borderId="3" xfId="5" applyNumberFormat="1" applyFont="1" applyBorder="1"/>
    <xf numFmtId="0" fontId="6" fillId="0" borderId="19" xfId="4" applyFont="1" applyBorder="1" applyAlignment="1">
      <alignment wrapText="1"/>
    </xf>
    <xf numFmtId="170" fontId="6" fillId="0" borderId="36" xfId="5" applyNumberFormat="1" applyFont="1" applyBorder="1"/>
    <xf numFmtId="170" fontId="11" fillId="0" borderId="21" xfId="5" applyNumberFormat="1" applyFont="1" applyBorder="1"/>
    <xf numFmtId="0" fontId="5" fillId="15" borderId="28" xfId="4" applyFont="1" applyFill="1" applyBorder="1" applyAlignment="1">
      <alignment horizontal="center" vertical="top" wrapText="1"/>
    </xf>
    <xf numFmtId="0" fontId="5" fillId="15" borderId="9" xfId="4" applyFont="1" applyFill="1" applyBorder="1" applyAlignment="1">
      <alignment horizontal="center" vertical="top" wrapText="1"/>
    </xf>
    <xf numFmtId="3" fontId="6" fillId="9" borderId="0" xfId="4" applyNumberFormat="1" applyFont="1" applyFill="1"/>
    <xf numFmtId="0" fontId="6" fillId="9" borderId="41" xfId="4" applyFont="1" applyFill="1" applyBorder="1"/>
    <xf numFmtId="164" fontId="6" fillId="9" borderId="11" xfId="5" applyNumberFormat="1" applyFont="1" applyFill="1" applyBorder="1"/>
    <xf numFmtId="0" fontId="6" fillId="9" borderId="56" xfId="4" applyFont="1" applyFill="1" applyBorder="1"/>
    <xf numFmtId="164" fontId="6" fillId="9" borderId="16" xfId="5" applyNumberFormat="1" applyFont="1" applyFill="1" applyBorder="1"/>
    <xf numFmtId="164" fontId="6" fillId="2" borderId="16" xfId="5" applyNumberFormat="1" applyFont="1" applyFill="1" applyBorder="1"/>
    <xf numFmtId="164" fontId="6" fillId="9" borderId="13" xfId="5" applyNumberFormat="1" applyFont="1" applyFill="1" applyBorder="1" applyAlignment="1">
      <alignment horizontal="right"/>
    </xf>
    <xf numFmtId="0" fontId="5" fillId="9" borderId="0" xfId="4" applyFont="1" applyFill="1" applyAlignment="1">
      <alignment horizontal="left"/>
    </xf>
    <xf numFmtId="0" fontId="5" fillId="15" borderId="8" xfId="4" applyFont="1" applyFill="1" applyBorder="1" applyAlignment="1">
      <alignment horizontal="center" vertical="top" wrapText="1"/>
    </xf>
    <xf numFmtId="0" fontId="5" fillId="15" borderId="57" xfId="4" applyFont="1" applyFill="1" applyBorder="1" applyAlignment="1">
      <alignment horizontal="center" vertical="top" wrapText="1"/>
    </xf>
    <xf numFmtId="174" fontId="6" fillId="9" borderId="58" xfId="5" applyNumberFormat="1" applyFont="1" applyFill="1" applyBorder="1"/>
    <xf numFmtId="165" fontId="6" fillId="9" borderId="0" xfId="4" applyNumberFormat="1" applyFont="1" applyFill="1"/>
    <xf numFmtId="174" fontId="6" fillId="9" borderId="7" xfId="5" applyNumberFormat="1" applyFont="1" applyFill="1" applyBorder="1"/>
    <xf numFmtId="174" fontId="6" fillId="2" borderId="7" xfId="5" applyNumberFormat="1" applyFont="1" applyFill="1" applyBorder="1"/>
    <xf numFmtId="0" fontId="6" fillId="9" borderId="19" xfId="4" applyFont="1" applyFill="1" applyBorder="1" applyAlignment="1">
      <alignment horizontal="left"/>
    </xf>
    <xf numFmtId="174" fontId="6" fillId="9" borderId="39" xfId="5" applyNumberFormat="1" applyFont="1" applyFill="1" applyBorder="1"/>
    <xf numFmtId="0" fontId="5" fillId="7" borderId="62" xfId="0" applyFont="1" applyFill="1" applyBorder="1"/>
    <xf numFmtId="0" fontId="0" fillId="0" borderId="62" xfId="0" applyBorder="1"/>
    <xf numFmtId="0" fontId="0" fillId="0" borderId="72" xfId="0" applyBorder="1"/>
    <xf numFmtId="2" fontId="0" fillId="0" borderId="72" xfId="0" applyNumberFormat="1" applyBorder="1"/>
    <xf numFmtId="43" fontId="0" fillId="0" borderId="72" xfId="1" applyFont="1" applyBorder="1"/>
    <xf numFmtId="2" fontId="0" fillId="0" borderId="62" xfId="0" applyNumberFormat="1" applyBorder="1"/>
    <xf numFmtId="0" fontId="0" fillId="0" borderId="72" xfId="0" applyBorder="1" applyAlignment="1">
      <alignment horizontal="left"/>
    </xf>
    <xf numFmtId="0" fontId="0" fillId="0" borderId="62" xfId="0" applyBorder="1" applyAlignment="1">
      <alignment horizontal="left"/>
    </xf>
    <xf numFmtId="43" fontId="0" fillId="0" borderId="62" xfId="1" applyFont="1" applyBorder="1"/>
    <xf numFmtId="43" fontId="1" fillId="0" borderId="0" xfId="1"/>
    <xf numFmtId="175" fontId="0" fillId="0" borderId="0" xfId="0" applyNumberFormat="1"/>
    <xf numFmtId="0" fontId="30" fillId="0" borderId="0" xfId="8"/>
    <xf numFmtId="0" fontId="69" fillId="0" borderId="0" xfId="3083" applyFont="1"/>
    <xf numFmtId="0" fontId="5" fillId="7" borderId="90" xfId="0" applyFont="1" applyFill="1" applyBorder="1"/>
    <xf numFmtId="0" fontId="6" fillId="8" borderId="91" xfId="3" applyFill="1" applyBorder="1" applyAlignment="1">
      <alignment horizontal="left" wrapText="1"/>
    </xf>
    <xf numFmtId="0" fontId="5" fillId="7" borderId="0" xfId="0" applyFont="1" applyFill="1"/>
    <xf numFmtId="43" fontId="0" fillId="0" borderId="0" xfId="0" applyNumberFormat="1"/>
    <xf numFmtId="0" fontId="10" fillId="2" borderId="0" xfId="4" applyFont="1" applyFill="1" applyAlignment="1">
      <alignment horizontal="left" vertical="top" wrapText="1"/>
    </xf>
    <xf numFmtId="0" fontId="6" fillId="0" borderId="0" xfId="4" applyFont="1"/>
    <xf numFmtId="0" fontId="6" fillId="0" borderId="0" xfId="4" applyFont="1" applyAlignment="1">
      <alignment vertical="center"/>
    </xf>
    <xf numFmtId="0" fontId="7" fillId="0" borderId="0" xfId="4"/>
    <xf numFmtId="0" fontId="6" fillId="9" borderId="0" xfId="4" applyFont="1" applyFill="1" applyAlignment="1">
      <alignment horizontal="left" wrapText="1"/>
    </xf>
    <xf numFmtId="0" fontId="5" fillId="15" borderId="25" xfId="4" applyFont="1" applyFill="1" applyBorder="1" applyAlignment="1">
      <alignment horizontal="center" vertical="top" wrapText="1"/>
    </xf>
    <xf numFmtId="0" fontId="0" fillId="0" borderId="54" xfId="0" applyBorder="1"/>
    <xf numFmtId="0" fontId="0" fillId="0" borderId="55" xfId="0" applyBorder="1"/>
    <xf numFmtId="0" fontId="6" fillId="9" borderId="12" xfId="4" applyFont="1" applyFill="1" applyBorder="1" applyAlignment="1">
      <alignment horizontal="left" vertical="center"/>
    </xf>
    <xf numFmtId="0" fontId="0" fillId="0" borderId="20" xfId="0" applyBorder="1"/>
    <xf numFmtId="0" fontId="0" fillId="0" borderId="32" xfId="0" applyBorder="1"/>
    <xf numFmtId="0" fontId="6" fillId="9" borderId="16" xfId="4" applyFont="1" applyFill="1" applyBorder="1" applyAlignment="1">
      <alignment horizontal="left"/>
    </xf>
    <xf numFmtId="0" fontId="0" fillId="0" borderId="90" xfId="0" applyBorder="1"/>
    <xf numFmtId="0" fontId="0" fillId="0" borderId="59" xfId="0" applyBorder="1"/>
    <xf numFmtId="0" fontId="6" fillId="9" borderId="19" xfId="4" applyFont="1" applyFill="1" applyBorder="1" applyAlignment="1">
      <alignment horizontal="left" vertical="center"/>
    </xf>
    <xf numFmtId="0" fontId="0" fillId="0" borderId="26" xfId="0" applyBorder="1"/>
    <xf numFmtId="0" fontId="10" fillId="2" borderId="0" xfId="4" applyFont="1" applyFill="1" applyAlignment="1">
      <alignment horizontal="left" vertical="top" wrapText="1"/>
    </xf>
    <xf numFmtId="0" fontId="6" fillId="0" borderId="0" xfId="4" applyFont="1"/>
    <xf numFmtId="0" fontId="10" fillId="9" borderId="0" xfId="4" applyFont="1" applyFill="1" applyAlignment="1">
      <alignment horizontal="left" wrapText="1"/>
    </xf>
    <xf numFmtId="0" fontId="13" fillId="8" borderId="6" xfId="4" applyFont="1" applyFill="1" applyBorder="1" applyAlignment="1">
      <alignment horizontal="left" wrapText="1"/>
    </xf>
    <xf numFmtId="0" fontId="6" fillId="9" borderId="67" xfId="4" applyFont="1" applyFill="1" applyBorder="1" applyAlignment="1">
      <alignment horizontal="left" vertical="center"/>
    </xf>
    <xf numFmtId="0" fontId="0" fillId="0" borderId="68" xfId="0" applyBorder="1"/>
    <xf numFmtId="0" fontId="0" fillId="0" borderId="35" xfId="0" applyBorder="1"/>
    <xf numFmtId="0" fontId="10" fillId="0" borderId="0" xfId="4" applyFont="1" applyAlignment="1">
      <alignment horizontal="left" vertical="top" wrapText="1"/>
    </xf>
    <xf numFmtId="0" fontId="6" fillId="9" borderId="13" xfId="4" applyFont="1" applyFill="1" applyBorder="1" applyAlignment="1">
      <alignment horizontal="left"/>
    </xf>
    <xf numFmtId="0" fontId="0" fillId="0" borderId="71" xfId="0" applyBorder="1"/>
    <xf numFmtId="0" fontId="0" fillId="0" borderId="60" xfId="0" applyBorder="1"/>
    <xf numFmtId="0" fontId="25" fillId="9" borderId="0" xfId="4" applyFont="1" applyFill="1" applyAlignment="1">
      <alignment horizontal="left" wrapText="1"/>
    </xf>
    <xf numFmtId="0" fontId="13" fillId="17" borderId="61" xfId="4" applyFont="1" applyFill="1" applyBorder="1" applyAlignment="1">
      <alignment horizontal="center"/>
    </xf>
    <xf numFmtId="0" fontId="0" fillId="0" borderId="7" xfId="0" applyBorder="1"/>
    <xf numFmtId="0" fontId="6" fillId="9" borderId="64" xfId="4" applyFont="1" applyFill="1" applyBorder="1" applyAlignment="1">
      <alignment horizontal="left" vertical="center"/>
    </xf>
    <xf numFmtId="0" fontId="0" fillId="0" borderId="65" xfId="0" applyBorder="1"/>
    <xf numFmtId="0" fontId="0" fillId="0" borderId="66" xfId="0" applyBorder="1"/>
    <xf numFmtId="0" fontId="6" fillId="9" borderId="10" xfId="4" applyFont="1" applyFill="1" applyBorder="1" applyAlignment="1">
      <alignment horizontal="left" vertical="center"/>
    </xf>
    <xf numFmtId="0" fontId="6" fillId="0" borderId="53" xfId="4" applyFont="1" applyBorder="1" applyAlignment="1">
      <alignment horizontal="left" wrapText="1"/>
    </xf>
    <xf numFmtId="0" fontId="0" fillId="0" borderId="53" xfId="0" applyBorder="1"/>
    <xf numFmtId="0" fontId="10" fillId="9" borderId="0" xfId="4" applyFont="1" applyFill="1" applyAlignment="1">
      <alignment horizontal="left" vertical="top" wrapText="1"/>
    </xf>
    <xf numFmtId="0" fontId="6" fillId="9" borderId="11" xfId="4" applyFont="1" applyFill="1" applyBorder="1" applyAlignment="1">
      <alignment horizontal="left"/>
    </xf>
    <xf numFmtId="0" fontId="0" fillId="0" borderId="42" xfId="0" applyBorder="1"/>
    <xf numFmtId="0" fontId="0" fillId="0" borderId="43" xfId="0" applyBorder="1"/>
    <xf numFmtId="2" fontId="5" fillId="18" borderId="70" xfId="4" applyNumberFormat="1" applyFont="1" applyFill="1" applyBorder="1" applyAlignment="1">
      <alignment horizontal="center" vertical="center"/>
    </xf>
    <xf numFmtId="0" fontId="6" fillId="9" borderId="0" xfId="4" applyFont="1" applyFill="1" applyAlignment="1">
      <alignment horizontal="left" vertical="center" wrapText="1"/>
    </xf>
    <xf numFmtId="0" fontId="6" fillId="0" borderId="0" xfId="4" applyFont="1" applyAlignment="1">
      <alignment vertical="center"/>
    </xf>
    <xf numFmtId="0" fontId="6" fillId="9" borderId="69" xfId="4" applyFont="1" applyFill="1" applyBorder="1" applyAlignment="1">
      <alignment horizontal="left" vertical="center"/>
    </xf>
    <xf numFmtId="0" fontId="10" fillId="0" borderId="0" xfId="4" applyFont="1" applyAlignment="1">
      <alignment horizontal="left" vertical="center" wrapText="1"/>
    </xf>
    <xf numFmtId="0" fontId="6" fillId="2" borderId="16" xfId="4" applyFont="1" applyFill="1" applyBorder="1" applyAlignment="1">
      <alignment horizontal="left"/>
    </xf>
    <xf numFmtId="0" fontId="5" fillId="11" borderId="48" xfId="4" applyFont="1" applyFill="1" applyBorder="1" applyAlignment="1">
      <alignment horizontal="center"/>
    </xf>
    <xf numFmtId="0" fontId="10" fillId="0" borderId="0" xfId="4" applyFont="1" applyAlignment="1">
      <alignment horizontal="left" wrapText="1"/>
    </xf>
    <xf numFmtId="0" fontId="8" fillId="10" borderId="61" xfId="4" applyFont="1" applyFill="1" applyBorder="1" applyAlignment="1">
      <alignment horizontal="center" vertical="center"/>
    </xf>
    <xf numFmtId="0" fontId="6" fillId="9" borderId="23" xfId="4" applyFont="1" applyFill="1" applyBorder="1" applyAlignment="1">
      <alignment horizontal="left" vertical="center"/>
    </xf>
    <xf numFmtId="0" fontId="12" fillId="0" borderId="0" xfId="4" applyFont="1" applyAlignment="1">
      <alignment horizontal="left" vertical="top" wrapText="1"/>
    </xf>
    <xf numFmtId="0" fontId="7" fillId="0" borderId="0" xfId="4"/>
    <xf numFmtId="0" fontId="6" fillId="9" borderId="41" xfId="4" applyFont="1" applyFill="1" applyBorder="1" applyAlignment="1">
      <alignment horizontal="left" vertical="center"/>
    </xf>
    <xf numFmtId="0" fontId="0" fillId="0" borderId="15" xfId="0" applyBorder="1"/>
    <xf numFmtId="0" fontId="0" fillId="0" borderId="63" xfId="0" applyBorder="1"/>
    <xf numFmtId="0" fontId="6" fillId="9" borderId="53" xfId="4" applyFont="1" applyFill="1" applyBorder="1" applyAlignment="1">
      <alignment horizontal="left" vertical="center" wrapText="1"/>
    </xf>
    <xf numFmtId="0" fontId="6" fillId="9" borderId="0" xfId="4" applyFont="1" applyFill="1" applyAlignment="1">
      <alignment horizontal="left" wrapText="1"/>
    </xf>
    <xf numFmtId="0" fontId="10" fillId="0" borderId="51" xfId="4" applyFont="1" applyBorder="1" applyAlignment="1">
      <alignment horizontal="left" vertical="top" wrapText="1"/>
    </xf>
    <xf numFmtId="0" fontId="0" fillId="0" borderId="51" xfId="0" applyBorder="1"/>
    <xf numFmtId="0" fontId="6" fillId="0" borderId="53" xfId="4" applyFont="1" applyBorder="1" applyAlignment="1">
      <alignment horizontal="left" vertical="center" wrapText="1"/>
    </xf>
  </cellXfs>
  <cellStyles count="3437">
    <cellStyle name=" 1" xfId="9" xr:uid="{00000000-0005-0000-0000-000009000000}"/>
    <cellStyle name="20% - Accent1 2" xfId="10" xr:uid="{00000000-0005-0000-0000-00000A000000}"/>
    <cellStyle name="20% - Accent1 2 2" xfId="11" xr:uid="{00000000-0005-0000-0000-00000B000000}"/>
    <cellStyle name="20% - Accent1 2 2 2" xfId="12" xr:uid="{00000000-0005-0000-0000-00000C000000}"/>
    <cellStyle name="20% - Accent1 2 3" xfId="13" xr:uid="{00000000-0005-0000-0000-00000D000000}"/>
    <cellStyle name="20% - Accent1 2 4" xfId="14" xr:uid="{00000000-0005-0000-0000-00000E000000}"/>
    <cellStyle name="20% - Accent1 2 5" xfId="15" xr:uid="{00000000-0005-0000-0000-00000F000000}"/>
    <cellStyle name="20% - Accent1 3" xfId="16" xr:uid="{00000000-0005-0000-0000-000010000000}"/>
    <cellStyle name="20% - Accent1 3 2" xfId="17" xr:uid="{00000000-0005-0000-0000-000011000000}"/>
    <cellStyle name="20% - Accent1 4" xfId="18" xr:uid="{00000000-0005-0000-0000-000012000000}"/>
    <cellStyle name="20% - Accent1 5" xfId="3233" xr:uid="{00000000-0005-0000-0000-0000A10C0000}"/>
    <cellStyle name="20% - Accent2 2" xfId="19" xr:uid="{00000000-0005-0000-0000-000013000000}"/>
    <cellStyle name="20% - Accent2 2 2" xfId="20" xr:uid="{00000000-0005-0000-0000-000014000000}"/>
    <cellStyle name="20% - Accent2 2 2 2" xfId="21" xr:uid="{00000000-0005-0000-0000-000015000000}"/>
    <cellStyle name="20% - Accent2 2 3" xfId="22" xr:uid="{00000000-0005-0000-0000-000016000000}"/>
    <cellStyle name="20% - Accent2 2 4" xfId="23" xr:uid="{00000000-0005-0000-0000-000017000000}"/>
    <cellStyle name="20% - Accent2 2 5" xfId="24" xr:uid="{00000000-0005-0000-0000-000018000000}"/>
    <cellStyle name="20% - Accent2 3" xfId="25" xr:uid="{00000000-0005-0000-0000-000019000000}"/>
    <cellStyle name="20% - Accent2 3 2" xfId="26" xr:uid="{00000000-0005-0000-0000-00001A000000}"/>
    <cellStyle name="20% - Accent2 4" xfId="27" xr:uid="{00000000-0005-0000-0000-00001B000000}"/>
    <cellStyle name="20% - Accent2 5" xfId="3234" xr:uid="{00000000-0005-0000-0000-0000A20C0000}"/>
    <cellStyle name="20% - Accent3 2" xfId="28" xr:uid="{00000000-0005-0000-0000-00001C000000}"/>
    <cellStyle name="20% - Accent3 2 2" xfId="29" xr:uid="{00000000-0005-0000-0000-00001D000000}"/>
    <cellStyle name="20% - Accent3 2 2 2" xfId="30" xr:uid="{00000000-0005-0000-0000-00001E000000}"/>
    <cellStyle name="20% - Accent3 2 3" xfId="31" xr:uid="{00000000-0005-0000-0000-00001F000000}"/>
    <cellStyle name="20% - Accent3 2 4" xfId="32" xr:uid="{00000000-0005-0000-0000-000020000000}"/>
    <cellStyle name="20% - Accent3 2 5" xfId="33" xr:uid="{00000000-0005-0000-0000-000021000000}"/>
    <cellStyle name="20% - Accent3 3" xfId="34" xr:uid="{00000000-0005-0000-0000-000022000000}"/>
    <cellStyle name="20% - Accent3 3 2" xfId="35" xr:uid="{00000000-0005-0000-0000-000023000000}"/>
    <cellStyle name="20% - Accent3 4" xfId="36" xr:uid="{00000000-0005-0000-0000-000024000000}"/>
    <cellStyle name="20% - Accent3 5" xfId="3235" xr:uid="{00000000-0005-0000-0000-0000A30C0000}"/>
    <cellStyle name="20% - Accent4 2" xfId="37" xr:uid="{00000000-0005-0000-0000-000025000000}"/>
    <cellStyle name="20% - Accent4 2 2" xfId="38" xr:uid="{00000000-0005-0000-0000-000026000000}"/>
    <cellStyle name="20% - Accent4 2 2 2" xfId="39" xr:uid="{00000000-0005-0000-0000-000027000000}"/>
    <cellStyle name="20% - Accent4 2 3" xfId="40" xr:uid="{00000000-0005-0000-0000-000028000000}"/>
    <cellStyle name="20% - Accent4 2 4" xfId="41" xr:uid="{00000000-0005-0000-0000-000029000000}"/>
    <cellStyle name="20% - Accent4 2 5" xfId="42" xr:uid="{00000000-0005-0000-0000-00002A000000}"/>
    <cellStyle name="20% - Accent4 3" xfId="43" xr:uid="{00000000-0005-0000-0000-00002B000000}"/>
    <cellStyle name="20% - Accent4 3 2" xfId="44" xr:uid="{00000000-0005-0000-0000-00002C000000}"/>
    <cellStyle name="20% - Accent4 4" xfId="45" xr:uid="{00000000-0005-0000-0000-00002D000000}"/>
    <cellStyle name="20% - Accent4 5" xfId="3236" xr:uid="{00000000-0005-0000-0000-0000A40C0000}"/>
    <cellStyle name="20% - Accent5 2" xfId="46" xr:uid="{00000000-0005-0000-0000-00002E000000}"/>
    <cellStyle name="20% - Accent5 2 2" xfId="47" xr:uid="{00000000-0005-0000-0000-00002F000000}"/>
    <cellStyle name="20% - Accent5 2 2 2" xfId="48" xr:uid="{00000000-0005-0000-0000-000030000000}"/>
    <cellStyle name="20% - Accent5 2 3" xfId="49" xr:uid="{00000000-0005-0000-0000-000031000000}"/>
    <cellStyle name="20% - Accent5 2 4" xfId="50" xr:uid="{00000000-0005-0000-0000-000032000000}"/>
    <cellStyle name="20% - Accent5 2 5" xfId="51" xr:uid="{00000000-0005-0000-0000-000033000000}"/>
    <cellStyle name="20% - Accent5 3" xfId="52" xr:uid="{00000000-0005-0000-0000-000034000000}"/>
    <cellStyle name="20% - Accent5 3 2" xfId="53" xr:uid="{00000000-0005-0000-0000-000035000000}"/>
    <cellStyle name="20% - Accent5 4" xfId="54" xr:uid="{00000000-0005-0000-0000-000036000000}"/>
    <cellStyle name="20% - Accent5 5" xfId="3237" xr:uid="{00000000-0005-0000-0000-0000A50C0000}"/>
    <cellStyle name="20% - Accent6 2" xfId="55" xr:uid="{00000000-0005-0000-0000-000037000000}"/>
    <cellStyle name="20% - Accent6 2 2" xfId="56" xr:uid="{00000000-0005-0000-0000-000038000000}"/>
    <cellStyle name="20% - Accent6 2 2 2" xfId="57" xr:uid="{00000000-0005-0000-0000-000039000000}"/>
    <cellStyle name="20% - Accent6 2 3" xfId="58" xr:uid="{00000000-0005-0000-0000-00003A000000}"/>
    <cellStyle name="20% - Accent6 2 4" xfId="59" xr:uid="{00000000-0005-0000-0000-00003B000000}"/>
    <cellStyle name="20% - Accent6 2 5" xfId="60" xr:uid="{00000000-0005-0000-0000-00003C000000}"/>
    <cellStyle name="20% - Accent6 3" xfId="61" xr:uid="{00000000-0005-0000-0000-00003D000000}"/>
    <cellStyle name="20% - Accent6 3 2" xfId="62" xr:uid="{00000000-0005-0000-0000-00003E000000}"/>
    <cellStyle name="20% - Accent6 4" xfId="63" xr:uid="{00000000-0005-0000-0000-00003F000000}"/>
    <cellStyle name="20% - Accent6 5" xfId="3238" xr:uid="{00000000-0005-0000-0000-0000A60C0000}"/>
    <cellStyle name="40 % - Accent1 2" xfId="64" xr:uid="{00000000-0005-0000-0000-000040000000}"/>
    <cellStyle name="40 % - Accent1 2 2" xfId="65" xr:uid="{00000000-0005-0000-0000-000041000000}"/>
    <cellStyle name="40 % - Accent1 2 2 2" xfId="66" xr:uid="{00000000-0005-0000-0000-000042000000}"/>
    <cellStyle name="40 % - Accent1 2 2 2 2" xfId="67" xr:uid="{00000000-0005-0000-0000-000043000000}"/>
    <cellStyle name="40 % - Accent1 2 2 2 2 2" xfId="68" xr:uid="{00000000-0005-0000-0000-000044000000}"/>
    <cellStyle name="40 % - Accent1 2 2 2 2 2 2" xfId="3243" xr:uid="{00000000-0005-0000-0000-0000AB0C0000}"/>
    <cellStyle name="40 % - Accent1 2 2 2 2 3" xfId="3242" xr:uid="{00000000-0005-0000-0000-0000AA0C0000}"/>
    <cellStyle name="40 % - Accent1 2 2 2 3" xfId="69" xr:uid="{00000000-0005-0000-0000-000045000000}"/>
    <cellStyle name="40 % - Accent1 2 2 2 3 2" xfId="3244" xr:uid="{00000000-0005-0000-0000-0000AC0C0000}"/>
    <cellStyle name="40 % - Accent1 2 2 2 4" xfId="3241" xr:uid="{00000000-0005-0000-0000-0000A90C0000}"/>
    <cellStyle name="40 % - Accent1 2 2 3" xfId="70" xr:uid="{00000000-0005-0000-0000-000046000000}"/>
    <cellStyle name="40 % - Accent1 2 2 3 2" xfId="71" xr:uid="{00000000-0005-0000-0000-000047000000}"/>
    <cellStyle name="40 % - Accent1 2 2 3 2 2" xfId="3246" xr:uid="{00000000-0005-0000-0000-0000AE0C0000}"/>
    <cellStyle name="40 % - Accent1 2 2 3 3" xfId="3245" xr:uid="{00000000-0005-0000-0000-0000AD0C0000}"/>
    <cellStyle name="40 % - Accent1 2 2 4" xfId="72" xr:uid="{00000000-0005-0000-0000-000048000000}"/>
    <cellStyle name="40 % - Accent1 2 2 4 2" xfId="3247" xr:uid="{00000000-0005-0000-0000-0000AF0C0000}"/>
    <cellStyle name="40 % - Accent1 2 2 5" xfId="3240" xr:uid="{00000000-0005-0000-0000-0000A80C0000}"/>
    <cellStyle name="40 % - Accent1 2 3" xfId="73" xr:uid="{00000000-0005-0000-0000-000049000000}"/>
    <cellStyle name="40 % - Accent1 2 3 2" xfId="74" xr:uid="{00000000-0005-0000-0000-00004A000000}"/>
    <cellStyle name="40 % - Accent1 2 3 2 2" xfId="75" xr:uid="{00000000-0005-0000-0000-00004B000000}"/>
    <cellStyle name="40 % - Accent1 2 3 2 2 2" xfId="3250" xr:uid="{00000000-0005-0000-0000-0000B20C0000}"/>
    <cellStyle name="40 % - Accent1 2 3 2 3" xfId="3249" xr:uid="{00000000-0005-0000-0000-0000B10C0000}"/>
    <cellStyle name="40 % - Accent1 2 3 3" xfId="76" xr:uid="{00000000-0005-0000-0000-00004C000000}"/>
    <cellStyle name="40 % - Accent1 2 3 3 2" xfId="3251" xr:uid="{00000000-0005-0000-0000-0000B30C0000}"/>
    <cellStyle name="40 % - Accent1 2 3 4" xfId="3248" xr:uid="{00000000-0005-0000-0000-0000B00C0000}"/>
    <cellStyle name="40 % - Accent1 2 4" xfId="77" xr:uid="{00000000-0005-0000-0000-00004D000000}"/>
    <cellStyle name="40 % - Accent1 2 4 2" xfId="78" xr:uid="{00000000-0005-0000-0000-00004E000000}"/>
    <cellStyle name="40 % - Accent1 2 4 2 2" xfId="3253" xr:uid="{00000000-0005-0000-0000-0000B50C0000}"/>
    <cellStyle name="40 % - Accent1 2 4 3" xfId="3252" xr:uid="{00000000-0005-0000-0000-0000B40C0000}"/>
    <cellStyle name="40 % - Accent1 2 5" xfId="79" xr:uid="{00000000-0005-0000-0000-00004F000000}"/>
    <cellStyle name="40 % - Accent1 2 5 2" xfId="3254" xr:uid="{00000000-0005-0000-0000-0000B60C0000}"/>
    <cellStyle name="40 % - Accent1 2 6" xfId="3239" xr:uid="{00000000-0005-0000-0000-0000A70C0000}"/>
    <cellStyle name="40 % - Accent1 3" xfId="80" xr:uid="{00000000-0005-0000-0000-000050000000}"/>
    <cellStyle name="40 % - Accent1 3 2" xfId="81" xr:uid="{00000000-0005-0000-0000-000051000000}"/>
    <cellStyle name="40 % - Accent1 3 2 2" xfId="82" xr:uid="{00000000-0005-0000-0000-000052000000}"/>
    <cellStyle name="40 % - Accent1 3 2 2 2" xfId="83" xr:uid="{00000000-0005-0000-0000-000053000000}"/>
    <cellStyle name="40 % - Accent1 3 2 2 2 2" xfId="3258" xr:uid="{00000000-0005-0000-0000-0000BA0C0000}"/>
    <cellStyle name="40 % - Accent1 3 2 2 3" xfId="3257" xr:uid="{00000000-0005-0000-0000-0000B90C0000}"/>
    <cellStyle name="40 % - Accent1 3 2 3" xfId="84" xr:uid="{00000000-0005-0000-0000-000054000000}"/>
    <cellStyle name="40 % - Accent1 3 2 3 2" xfId="3259" xr:uid="{00000000-0005-0000-0000-0000BB0C0000}"/>
    <cellStyle name="40 % - Accent1 3 2 4" xfId="3256" xr:uid="{00000000-0005-0000-0000-0000B80C0000}"/>
    <cellStyle name="40 % - Accent1 3 3" xfId="85" xr:uid="{00000000-0005-0000-0000-000055000000}"/>
    <cellStyle name="40 % - Accent1 3 3 2" xfId="86" xr:uid="{00000000-0005-0000-0000-000056000000}"/>
    <cellStyle name="40 % - Accent1 3 3 2 2" xfId="3261" xr:uid="{00000000-0005-0000-0000-0000BD0C0000}"/>
    <cellStyle name="40 % - Accent1 3 3 3" xfId="3260" xr:uid="{00000000-0005-0000-0000-0000BC0C0000}"/>
    <cellStyle name="40 % - Accent1 3 4" xfId="87" xr:uid="{00000000-0005-0000-0000-000057000000}"/>
    <cellStyle name="40 % - Accent1 3 4 2" xfId="3262" xr:uid="{00000000-0005-0000-0000-0000BE0C0000}"/>
    <cellStyle name="40 % - Accent1 3 5" xfId="3255" xr:uid="{00000000-0005-0000-0000-0000B70C0000}"/>
    <cellStyle name="40 % - Accent1 4" xfId="88" xr:uid="{00000000-0005-0000-0000-000058000000}"/>
    <cellStyle name="40 % - Accent1 4 2" xfId="89" xr:uid="{00000000-0005-0000-0000-000059000000}"/>
    <cellStyle name="40 % - Accent1 4 2 2" xfId="90" xr:uid="{00000000-0005-0000-0000-00005A000000}"/>
    <cellStyle name="40 % - Accent1 4 2 2 2" xfId="3265" xr:uid="{00000000-0005-0000-0000-0000C10C0000}"/>
    <cellStyle name="40 % - Accent1 4 2 3" xfId="3264" xr:uid="{00000000-0005-0000-0000-0000C00C0000}"/>
    <cellStyle name="40 % - Accent1 4 3" xfId="91" xr:uid="{00000000-0005-0000-0000-00005B000000}"/>
    <cellStyle name="40 % - Accent1 4 3 2" xfId="3266" xr:uid="{00000000-0005-0000-0000-0000C20C0000}"/>
    <cellStyle name="40 % - Accent1 4 4" xfId="3263" xr:uid="{00000000-0005-0000-0000-0000BF0C0000}"/>
    <cellStyle name="40% - Accent1 2" xfId="92" xr:uid="{00000000-0005-0000-0000-00005C000000}"/>
    <cellStyle name="40% - Accent1 2 2" xfId="93" xr:uid="{00000000-0005-0000-0000-00005D000000}"/>
    <cellStyle name="40% - Accent1 2 2 2" xfId="94" xr:uid="{00000000-0005-0000-0000-00005E000000}"/>
    <cellStyle name="40% - Accent1 2 3" xfId="95" xr:uid="{00000000-0005-0000-0000-00005F000000}"/>
    <cellStyle name="40% - Accent1 2 4" xfId="96" xr:uid="{00000000-0005-0000-0000-000060000000}"/>
    <cellStyle name="40% - Accent1 2 5" xfId="97" xr:uid="{00000000-0005-0000-0000-000061000000}"/>
    <cellStyle name="40% - Accent1 3" xfId="98" xr:uid="{00000000-0005-0000-0000-000062000000}"/>
    <cellStyle name="40% - Accent1 3 2" xfId="99" xr:uid="{00000000-0005-0000-0000-000063000000}"/>
    <cellStyle name="40% - Accent1 4" xfId="100" xr:uid="{00000000-0005-0000-0000-000064000000}"/>
    <cellStyle name="40% - Accent1 5" xfId="3267" xr:uid="{00000000-0005-0000-0000-0000C30C0000}"/>
    <cellStyle name="40% - Accent2 2" xfId="101" xr:uid="{00000000-0005-0000-0000-000065000000}"/>
    <cellStyle name="40% - Accent2 2 2" xfId="102" xr:uid="{00000000-0005-0000-0000-000066000000}"/>
    <cellStyle name="40% - Accent2 2 2 2" xfId="103" xr:uid="{00000000-0005-0000-0000-000067000000}"/>
    <cellStyle name="40% - Accent2 2 3" xfId="104" xr:uid="{00000000-0005-0000-0000-000068000000}"/>
    <cellStyle name="40% - Accent2 2 4" xfId="105" xr:uid="{00000000-0005-0000-0000-000069000000}"/>
    <cellStyle name="40% - Accent2 2 5" xfId="106" xr:uid="{00000000-0005-0000-0000-00006A000000}"/>
    <cellStyle name="40% - Accent2 3" xfId="107" xr:uid="{00000000-0005-0000-0000-00006B000000}"/>
    <cellStyle name="40% - Accent2 3 2" xfId="108" xr:uid="{00000000-0005-0000-0000-00006C000000}"/>
    <cellStyle name="40% - Accent2 4" xfId="109" xr:uid="{00000000-0005-0000-0000-00006D000000}"/>
    <cellStyle name="40% - Accent2 5" xfId="3268" xr:uid="{00000000-0005-0000-0000-0000C40C0000}"/>
    <cellStyle name="40% - Accent3 2" xfId="110" xr:uid="{00000000-0005-0000-0000-00006E000000}"/>
    <cellStyle name="40% - Accent3 2 2" xfId="111" xr:uid="{00000000-0005-0000-0000-00006F000000}"/>
    <cellStyle name="40% - Accent3 2 2 2" xfId="112" xr:uid="{00000000-0005-0000-0000-000070000000}"/>
    <cellStyle name="40% - Accent3 2 3" xfId="113" xr:uid="{00000000-0005-0000-0000-000071000000}"/>
    <cellStyle name="40% - Accent3 2 4" xfId="114" xr:uid="{00000000-0005-0000-0000-000072000000}"/>
    <cellStyle name="40% - Accent3 2 5" xfId="115" xr:uid="{00000000-0005-0000-0000-000073000000}"/>
    <cellStyle name="40% - Accent3 2 6" xfId="116" xr:uid="{00000000-0005-0000-0000-000074000000}"/>
    <cellStyle name="40% - Accent3 3" xfId="117" xr:uid="{00000000-0005-0000-0000-000075000000}"/>
    <cellStyle name="40% - Accent3 3 2" xfId="118" xr:uid="{00000000-0005-0000-0000-000076000000}"/>
    <cellStyle name="40% - Accent3 4" xfId="119" xr:uid="{00000000-0005-0000-0000-000077000000}"/>
    <cellStyle name="40% - Accent3 5" xfId="120" xr:uid="{00000000-0005-0000-0000-000078000000}"/>
    <cellStyle name="40% - Accent3 6" xfId="3269" xr:uid="{00000000-0005-0000-0000-0000C50C0000}"/>
    <cellStyle name="40% - Accent4 2" xfId="121" xr:uid="{00000000-0005-0000-0000-000079000000}"/>
    <cellStyle name="40% - Accent4 2 2" xfId="122" xr:uid="{00000000-0005-0000-0000-00007A000000}"/>
    <cellStyle name="40% - Accent4 2 2 2" xfId="123" xr:uid="{00000000-0005-0000-0000-00007B000000}"/>
    <cellStyle name="40% - Accent4 2 3" xfId="124" xr:uid="{00000000-0005-0000-0000-00007C000000}"/>
    <cellStyle name="40% - Accent4 2 4" xfId="125" xr:uid="{00000000-0005-0000-0000-00007D000000}"/>
    <cellStyle name="40% - Accent4 2 5" xfId="126" xr:uid="{00000000-0005-0000-0000-00007E000000}"/>
    <cellStyle name="40% - Accent4 3" xfId="127" xr:uid="{00000000-0005-0000-0000-00007F000000}"/>
    <cellStyle name="40% - Accent4 3 2" xfId="128" xr:uid="{00000000-0005-0000-0000-000080000000}"/>
    <cellStyle name="40% - Accent4 4" xfId="129" xr:uid="{00000000-0005-0000-0000-000081000000}"/>
    <cellStyle name="40% - Accent4 5" xfId="3270" xr:uid="{00000000-0005-0000-0000-0000C60C0000}"/>
    <cellStyle name="40% - Accent5 2" xfId="130" xr:uid="{00000000-0005-0000-0000-000082000000}"/>
    <cellStyle name="40% - Accent5 2 2" xfId="131" xr:uid="{00000000-0005-0000-0000-000083000000}"/>
    <cellStyle name="40% - Accent5 2 2 2" xfId="132" xr:uid="{00000000-0005-0000-0000-000084000000}"/>
    <cellStyle name="40% - Accent5 2 3" xfId="133" xr:uid="{00000000-0005-0000-0000-000085000000}"/>
    <cellStyle name="40% - Accent5 2 4" xfId="134" xr:uid="{00000000-0005-0000-0000-000086000000}"/>
    <cellStyle name="40% - Accent5 2 5" xfId="135" xr:uid="{00000000-0005-0000-0000-000087000000}"/>
    <cellStyle name="40% - Accent5 3" xfId="136" xr:uid="{00000000-0005-0000-0000-000088000000}"/>
    <cellStyle name="40% - Accent5 3 2" xfId="137" xr:uid="{00000000-0005-0000-0000-000089000000}"/>
    <cellStyle name="40% - Accent5 4" xfId="138" xr:uid="{00000000-0005-0000-0000-00008A000000}"/>
    <cellStyle name="40% - Accent5 5" xfId="3271" xr:uid="{00000000-0005-0000-0000-0000C70C0000}"/>
    <cellStyle name="40% - Accent6 2" xfId="139" xr:uid="{00000000-0005-0000-0000-00008B000000}"/>
    <cellStyle name="40% - Accent6 2 2" xfId="140" xr:uid="{00000000-0005-0000-0000-00008C000000}"/>
    <cellStyle name="40% - Accent6 2 2 2" xfId="141" xr:uid="{00000000-0005-0000-0000-00008D000000}"/>
    <cellStyle name="40% - Accent6 2 3" xfId="142" xr:uid="{00000000-0005-0000-0000-00008E000000}"/>
    <cellStyle name="40% - Accent6 2 4" xfId="143" xr:uid="{00000000-0005-0000-0000-00008F000000}"/>
    <cellStyle name="40% - Accent6 2 5" xfId="144" xr:uid="{00000000-0005-0000-0000-000090000000}"/>
    <cellStyle name="40% - Accent6 3" xfId="145" xr:uid="{00000000-0005-0000-0000-000091000000}"/>
    <cellStyle name="40% - Accent6 3 2" xfId="146" xr:uid="{00000000-0005-0000-0000-000092000000}"/>
    <cellStyle name="40% - Accent6 4" xfId="147" xr:uid="{00000000-0005-0000-0000-000093000000}"/>
    <cellStyle name="40% - Accent6 5" xfId="3272" xr:uid="{00000000-0005-0000-0000-0000C80C0000}"/>
    <cellStyle name="60% - Accent1 2" xfId="149" xr:uid="{00000000-0005-0000-0000-000095000000}"/>
    <cellStyle name="60% - Accent1 2 2" xfId="150" xr:uid="{00000000-0005-0000-0000-000096000000}"/>
    <cellStyle name="60% - Accent1 2 2 2" xfId="151" xr:uid="{00000000-0005-0000-0000-000097000000}"/>
    <cellStyle name="60% - Accent1 2 3" xfId="152" xr:uid="{00000000-0005-0000-0000-000098000000}"/>
    <cellStyle name="60% - Accent1 2 4" xfId="153" xr:uid="{00000000-0005-0000-0000-000099000000}"/>
    <cellStyle name="60% - Accent1 2 5" xfId="154" xr:uid="{00000000-0005-0000-0000-00009A000000}"/>
    <cellStyle name="60% - Accent1 3" xfId="155" xr:uid="{00000000-0005-0000-0000-00009B000000}"/>
    <cellStyle name="60% - Accent1 3 2" xfId="156" xr:uid="{00000000-0005-0000-0000-00009C000000}"/>
    <cellStyle name="60% - Accent1 4" xfId="157" xr:uid="{00000000-0005-0000-0000-00009D000000}"/>
    <cellStyle name="60% - Accent1 5" xfId="148" xr:uid="{00000000-0005-0000-0000-000094000000}"/>
    <cellStyle name="60% - Accent2 2" xfId="159" xr:uid="{00000000-0005-0000-0000-00009F000000}"/>
    <cellStyle name="60% - Accent2 2 2" xfId="160" xr:uid="{00000000-0005-0000-0000-0000A0000000}"/>
    <cellStyle name="60% - Accent2 2 2 2" xfId="161" xr:uid="{00000000-0005-0000-0000-0000A1000000}"/>
    <cellStyle name="60% - Accent2 2 3" xfId="162" xr:uid="{00000000-0005-0000-0000-0000A2000000}"/>
    <cellStyle name="60% - Accent2 2 4" xfId="163" xr:uid="{00000000-0005-0000-0000-0000A3000000}"/>
    <cellStyle name="60% - Accent2 2 5" xfId="164" xr:uid="{00000000-0005-0000-0000-0000A4000000}"/>
    <cellStyle name="60% - Accent2 3" xfId="165" xr:uid="{00000000-0005-0000-0000-0000A5000000}"/>
    <cellStyle name="60% - Accent2 3 2" xfId="166" xr:uid="{00000000-0005-0000-0000-0000A6000000}"/>
    <cellStyle name="60% - Accent2 4" xfId="167" xr:uid="{00000000-0005-0000-0000-0000A7000000}"/>
    <cellStyle name="60% - Accent2 5" xfId="158" xr:uid="{00000000-0005-0000-0000-00009E000000}"/>
    <cellStyle name="60% - Accent3 2" xfId="169" xr:uid="{00000000-0005-0000-0000-0000A9000000}"/>
    <cellStyle name="60% - Accent3 2 2" xfId="170" xr:uid="{00000000-0005-0000-0000-0000AA000000}"/>
    <cellStyle name="60% - Accent3 2 2 2" xfId="171" xr:uid="{00000000-0005-0000-0000-0000AB000000}"/>
    <cellStyle name="60% - Accent3 2 3" xfId="172" xr:uid="{00000000-0005-0000-0000-0000AC000000}"/>
    <cellStyle name="60% - Accent3 2 4" xfId="173" xr:uid="{00000000-0005-0000-0000-0000AD000000}"/>
    <cellStyle name="60% - Accent3 2 5" xfId="174" xr:uid="{00000000-0005-0000-0000-0000AE000000}"/>
    <cellStyle name="60% - Accent3 2 6" xfId="175" xr:uid="{00000000-0005-0000-0000-0000AF000000}"/>
    <cellStyle name="60% - Accent3 3" xfId="176" xr:uid="{00000000-0005-0000-0000-0000B0000000}"/>
    <cellStyle name="60% - Accent3 3 2" xfId="177" xr:uid="{00000000-0005-0000-0000-0000B1000000}"/>
    <cellStyle name="60% - Accent3 4" xfId="178" xr:uid="{00000000-0005-0000-0000-0000B2000000}"/>
    <cellStyle name="60% - Accent3 5" xfId="179" xr:uid="{00000000-0005-0000-0000-0000B3000000}"/>
    <cellStyle name="60% - Accent3 6" xfId="168" xr:uid="{00000000-0005-0000-0000-0000A8000000}"/>
    <cellStyle name="60% - Accent4 2" xfId="181" xr:uid="{00000000-0005-0000-0000-0000B5000000}"/>
    <cellStyle name="60% - Accent4 2 2" xfId="182" xr:uid="{00000000-0005-0000-0000-0000B6000000}"/>
    <cellStyle name="60% - Accent4 2 2 2" xfId="183" xr:uid="{00000000-0005-0000-0000-0000B7000000}"/>
    <cellStyle name="60% - Accent4 2 3" xfId="184" xr:uid="{00000000-0005-0000-0000-0000B8000000}"/>
    <cellStyle name="60% - Accent4 2 4" xfId="185" xr:uid="{00000000-0005-0000-0000-0000B9000000}"/>
    <cellStyle name="60% - Accent4 2 5" xfId="186" xr:uid="{00000000-0005-0000-0000-0000BA000000}"/>
    <cellStyle name="60% - Accent4 3" xfId="187" xr:uid="{00000000-0005-0000-0000-0000BB000000}"/>
    <cellStyle name="60% - Accent4 3 2" xfId="188" xr:uid="{00000000-0005-0000-0000-0000BC000000}"/>
    <cellStyle name="60% - Accent4 4" xfId="189" xr:uid="{00000000-0005-0000-0000-0000BD000000}"/>
    <cellStyle name="60% - Accent4 5" xfId="180" xr:uid="{00000000-0005-0000-0000-0000B4000000}"/>
    <cellStyle name="60% - Accent5 2" xfId="191" xr:uid="{00000000-0005-0000-0000-0000BF000000}"/>
    <cellStyle name="60% - Accent5 2 2" xfId="192" xr:uid="{00000000-0005-0000-0000-0000C0000000}"/>
    <cellStyle name="60% - Accent5 2 2 2" xfId="193" xr:uid="{00000000-0005-0000-0000-0000C1000000}"/>
    <cellStyle name="60% - Accent5 2 3" xfId="194" xr:uid="{00000000-0005-0000-0000-0000C2000000}"/>
    <cellStyle name="60% - Accent5 2 4" xfId="195" xr:uid="{00000000-0005-0000-0000-0000C3000000}"/>
    <cellStyle name="60% - Accent5 2 5" xfId="196" xr:uid="{00000000-0005-0000-0000-0000C4000000}"/>
    <cellStyle name="60% - Accent5 3" xfId="197" xr:uid="{00000000-0005-0000-0000-0000C5000000}"/>
    <cellStyle name="60% - Accent5 3 2" xfId="198" xr:uid="{00000000-0005-0000-0000-0000C6000000}"/>
    <cellStyle name="60% - Accent5 4" xfId="199" xr:uid="{00000000-0005-0000-0000-0000C7000000}"/>
    <cellStyle name="60% - Accent5 5" xfId="190" xr:uid="{00000000-0005-0000-0000-0000BE000000}"/>
    <cellStyle name="60% - Accent6 2" xfId="201" xr:uid="{00000000-0005-0000-0000-0000C9000000}"/>
    <cellStyle name="60% - Accent6 2 2" xfId="202" xr:uid="{00000000-0005-0000-0000-0000CA000000}"/>
    <cellStyle name="60% - Accent6 2 2 2" xfId="203" xr:uid="{00000000-0005-0000-0000-0000CB000000}"/>
    <cellStyle name="60% - Accent6 2 3" xfId="204" xr:uid="{00000000-0005-0000-0000-0000CC000000}"/>
    <cellStyle name="60% - Accent6 2 4" xfId="205" xr:uid="{00000000-0005-0000-0000-0000CD000000}"/>
    <cellStyle name="60% - Accent6 2 5" xfId="206" xr:uid="{00000000-0005-0000-0000-0000CE000000}"/>
    <cellStyle name="60% - Accent6 3" xfId="207" xr:uid="{00000000-0005-0000-0000-0000CF000000}"/>
    <cellStyle name="60% - Accent6 3 2" xfId="208" xr:uid="{00000000-0005-0000-0000-0000D0000000}"/>
    <cellStyle name="60% - Accent6 4" xfId="209" xr:uid="{00000000-0005-0000-0000-0000D1000000}"/>
    <cellStyle name="60% - Accent6 5" xfId="200" xr:uid="{00000000-0005-0000-0000-0000C8000000}"/>
    <cellStyle name="Accent1 2" xfId="210" xr:uid="{00000000-0005-0000-0000-0000D2000000}"/>
    <cellStyle name="Accent1 2 2" xfId="211" xr:uid="{00000000-0005-0000-0000-0000D3000000}"/>
    <cellStyle name="Accent1 2 2 2" xfId="212" xr:uid="{00000000-0005-0000-0000-0000D4000000}"/>
    <cellStyle name="Accent1 2 3" xfId="213" xr:uid="{00000000-0005-0000-0000-0000D5000000}"/>
    <cellStyle name="Accent1 2 4" xfId="214" xr:uid="{00000000-0005-0000-0000-0000D6000000}"/>
    <cellStyle name="Accent1 2 5" xfId="215" xr:uid="{00000000-0005-0000-0000-0000D7000000}"/>
    <cellStyle name="Accent1 3" xfId="216" xr:uid="{00000000-0005-0000-0000-0000D8000000}"/>
    <cellStyle name="Accent1 3 2" xfId="217" xr:uid="{00000000-0005-0000-0000-0000D9000000}"/>
    <cellStyle name="Accent1 4" xfId="218" xr:uid="{00000000-0005-0000-0000-0000DA000000}"/>
    <cellStyle name="Accent2 2" xfId="219" xr:uid="{00000000-0005-0000-0000-0000DB000000}"/>
    <cellStyle name="Accent2 2 2" xfId="220" xr:uid="{00000000-0005-0000-0000-0000DC000000}"/>
    <cellStyle name="Accent2 2 2 2" xfId="221" xr:uid="{00000000-0005-0000-0000-0000DD000000}"/>
    <cellStyle name="Accent2 2 3" xfId="222" xr:uid="{00000000-0005-0000-0000-0000DE000000}"/>
    <cellStyle name="Accent2 2 4" xfId="223" xr:uid="{00000000-0005-0000-0000-0000DF000000}"/>
    <cellStyle name="Accent2 2 5" xfId="224" xr:uid="{00000000-0005-0000-0000-0000E0000000}"/>
    <cellStyle name="Accent2 3" xfId="225" xr:uid="{00000000-0005-0000-0000-0000E1000000}"/>
    <cellStyle name="Accent2 3 2" xfId="226" xr:uid="{00000000-0005-0000-0000-0000E2000000}"/>
    <cellStyle name="Accent2 4" xfId="227" xr:uid="{00000000-0005-0000-0000-0000E3000000}"/>
    <cellStyle name="Accent3 2" xfId="228" xr:uid="{00000000-0005-0000-0000-0000E4000000}"/>
    <cellStyle name="Accent3 2 2" xfId="229" xr:uid="{00000000-0005-0000-0000-0000E5000000}"/>
    <cellStyle name="Accent3 2 2 2" xfId="230" xr:uid="{00000000-0005-0000-0000-0000E6000000}"/>
    <cellStyle name="Accent3 2 3" xfId="231" xr:uid="{00000000-0005-0000-0000-0000E7000000}"/>
    <cellStyle name="Accent3 2 4" xfId="232" xr:uid="{00000000-0005-0000-0000-0000E8000000}"/>
    <cellStyle name="Accent3 2 5" xfId="233" xr:uid="{00000000-0005-0000-0000-0000E9000000}"/>
    <cellStyle name="Accent3 3" xfId="234" xr:uid="{00000000-0005-0000-0000-0000EA000000}"/>
    <cellStyle name="Accent3 3 2" xfId="235" xr:uid="{00000000-0005-0000-0000-0000EB000000}"/>
    <cellStyle name="Accent3 4" xfId="236" xr:uid="{00000000-0005-0000-0000-0000EC000000}"/>
    <cellStyle name="Accent4 2" xfId="237" xr:uid="{00000000-0005-0000-0000-0000ED000000}"/>
    <cellStyle name="Accent4 2 2" xfId="238" xr:uid="{00000000-0005-0000-0000-0000EE000000}"/>
    <cellStyle name="Accent4 2 2 2" xfId="239" xr:uid="{00000000-0005-0000-0000-0000EF000000}"/>
    <cellStyle name="Accent4 2 3" xfId="240" xr:uid="{00000000-0005-0000-0000-0000F0000000}"/>
    <cellStyle name="Accent4 2 4" xfId="241" xr:uid="{00000000-0005-0000-0000-0000F1000000}"/>
    <cellStyle name="Accent4 2 5" xfId="242" xr:uid="{00000000-0005-0000-0000-0000F2000000}"/>
    <cellStyle name="Accent4 3" xfId="243" xr:uid="{00000000-0005-0000-0000-0000F3000000}"/>
    <cellStyle name="Accent4 3 2" xfId="244" xr:uid="{00000000-0005-0000-0000-0000F4000000}"/>
    <cellStyle name="Accent4 4" xfId="245" xr:uid="{00000000-0005-0000-0000-0000F5000000}"/>
    <cellStyle name="Accent5 2" xfId="246" xr:uid="{00000000-0005-0000-0000-0000F6000000}"/>
    <cellStyle name="Accent5 2 2" xfId="247" xr:uid="{00000000-0005-0000-0000-0000F7000000}"/>
    <cellStyle name="Accent5 2 2 2" xfId="248" xr:uid="{00000000-0005-0000-0000-0000F8000000}"/>
    <cellStyle name="Accent5 2 3" xfId="249" xr:uid="{00000000-0005-0000-0000-0000F9000000}"/>
    <cellStyle name="Accent5 2 4" xfId="250" xr:uid="{00000000-0005-0000-0000-0000FA000000}"/>
    <cellStyle name="Accent5 2 5" xfId="251" xr:uid="{00000000-0005-0000-0000-0000FB000000}"/>
    <cellStyle name="Accent5 3" xfId="252" xr:uid="{00000000-0005-0000-0000-0000FC000000}"/>
    <cellStyle name="Accent5 3 2" xfId="253" xr:uid="{00000000-0005-0000-0000-0000FD000000}"/>
    <cellStyle name="Accent5 4" xfId="254" xr:uid="{00000000-0005-0000-0000-0000FE000000}"/>
    <cellStyle name="Accent6 2" xfId="255" xr:uid="{00000000-0005-0000-0000-0000FF000000}"/>
    <cellStyle name="Accent6 2 2" xfId="256" xr:uid="{00000000-0005-0000-0000-000000010000}"/>
    <cellStyle name="Accent6 2 2 2" xfId="257" xr:uid="{00000000-0005-0000-0000-000001010000}"/>
    <cellStyle name="Accent6 2 3" xfId="258" xr:uid="{00000000-0005-0000-0000-000002010000}"/>
    <cellStyle name="Accent6 2 4" xfId="259" xr:uid="{00000000-0005-0000-0000-000003010000}"/>
    <cellStyle name="Accent6 2 5" xfId="260" xr:uid="{00000000-0005-0000-0000-000004010000}"/>
    <cellStyle name="Accent6 3" xfId="261" xr:uid="{00000000-0005-0000-0000-000005010000}"/>
    <cellStyle name="Accent6 3 2" xfId="262" xr:uid="{00000000-0005-0000-0000-000006010000}"/>
    <cellStyle name="Accent6 4" xfId="263" xr:uid="{00000000-0005-0000-0000-000007010000}"/>
    <cellStyle name="Bad 2" xfId="264" xr:uid="{00000000-0005-0000-0000-000008010000}"/>
    <cellStyle name="Bad 2 2" xfId="265" xr:uid="{00000000-0005-0000-0000-000009010000}"/>
    <cellStyle name="Bad 2 2 2" xfId="266" xr:uid="{00000000-0005-0000-0000-00000A010000}"/>
    <cellStyle name="Bad 2 3" xfId="267" xr:uid="{00000000-0005-0000-0000-00000B010000}"/>
    <cellStyle name="Bad 2 4" xfId="268" xr:uid="{00000000-0005-0000-0000-00000C010000}"/>
    <cellStyle name="Bad 2 5" xfId="269" xr:uid="{00000000-0005-0000-0000-00000D010000}"/>
    <cellStyle name="Bad 3" xfId="270" xr:uid="{00000000-0005-0000-0000-00000E010000}"/>
    <cellStyle name="Bad 3 2" xfId="271" xr:uid="{00000000-0005-0000-0000-00000F010000}"/>
    <cellStyle name="Bad 4" xfId="272" xr:uid="{00000000-0005-0000-0000-000010010000}"/>
    <cellStyle name="Body: normal cell" xfId="273" xr:uid="{00000000-0005-0000-0000-000011010000}"/>
    <cellStyle name="Body: normal cell 2" xfId="274" xr:uid="{00000000-0005-0000-0000-000012010000}"/>
    <cellStyle name="Calculation 2" xfId="275" xr:uid="{00000000-0005-0000-0000-000013010000}"/>
    <cellStyle name="Calculation 2 2" xfId="276" xr:uid="{00000000-0005-0000-0000-000014010000}"/>
    <cellStyle name="Calculation 2 2 2" xfId="277" xr:uid="{00000000-0005-0000-0000-000015010000}"/>
    <cellStyle name="Calculation 2 3" xfId="278" xr:uid="{00000000-0005-0000-0000-000016010000}"/>
    <cellStyle name="Calculation 2 4" xfId="279" xr:uid="{00000000-0005-0000-0000-000017010000}"/>
    <cellStyle name="Calculation 2 5" xfId="280" xr:uid="{00000000-0005-0000-0000-000018010000}"/>
    <cellStyle name="Calculation 3" xfId="281" xr:uid="{00000000-0005-0000-0000-000019010000}"/>
    <cellStyle name="Calculation 3 2" xfId="282" xr:uid="{00000000-0005-0000-0000-00001A010000}"/>
    <cellStyle name="Calculation 4" xfId="283" xr:uid="{00000000-0005-0000-0000-00001B010000}"/>
    <cellStyle name="Check Cell 2" xfId="284" xr:uid="{00000000-0005-0000-0000-00001C010000}"/>
    <cellStyle name="Check Cell 2 2" xfId="285" xr:uid="{00000000-0005-0000-0000-00001D010000}"/>
    <cellStyle name="Check Cell 2 2 2" xfId="286" xr:uid="{00000000-0005-0000-0000-00001E010000}"/>
    <cellStyle name="Check Cell 2 3" xfId="287" xr:uid="{00000000-0005-0000-0000-00001F010000}"/>
    <cellStyle name="Check Cell 2 4" xfId="288" xr:uid="{00000000-0005-0000-0000-000020010000}"/>
    <cellStyle name="Check Cell 2 5" xfId="289" xr:uid="{00000000-0005-0000-0000-000021010000}"/>
    <cellStyle name="Check Cell 2 6" xfId="290" xr:uid="{00000000-0005-0000-0000-000022010000}"/>
    <cellStyle name="Check Cell 3" xfId="291" xr:uid="{00000000-0005-0000-0000-000023010000}"/>
    <cellStyle name="Check Cell 3 2" xfId="292" xr:uid="{00000000-0005-0000-0000-000024010000}"/>
    <cellStyle name="Check Cell 4" xfId="293" xr:uid="{00000000-0005-0000-0000-000025010000}"/>
    <cellStyle name="Check Cell 5" xfId="294" xr:uid="{00000000-0005-0000-0000-000026010000}"/>
    <cellStyle name="Comma" xfId="1" builtinId="3"/>
    <cellStyle name="Comma 10" xfId="296" xr:uid="{00000000-0005-0000-0000-000028010000}"/>
    <cellStyle name="Comma 10 2" xfId="297" xr:uid="{00000000-0005-0000-0000-000029010000}"/>
    <cellStyle name="Comma 10 2 2" xfId="298" xr:uid="{00000000-0005-0000-0000-00002A010000}"/>
    <cellStyle name="Comma 10 2 2 2" xfId="299" xr:uid="{00000000-0005-0000-0000-00002B010000}"/>
    <cellStyle name="Comma 10 2 2 2 2" xfId="300" xr:uid="{00000000-0005-0000-0000-00002C010000}"/>
    <cellStyle name="Comma 10 2 2 2 2 2" xfId="301" xr:uid="{00000000-0005-0000-0000-00002D010000}"/>
    <cellStyle name="Comma 10 2 2 2 2 3" xfId="302" xr:uid="{00000000-0005-0000-0000-00002E010000}"/>
    <cellStyle name="Comma 10 2 2 2 3" xfId="303" xr:uid="{00000000-0005-0000-0000-00002F010000}"/>
    <cellStyle name="Comma 10 2 2 2 3 2" xfId="304" xr:uid="{00000000-0005-0000-0000-000030010000}"/>
    <cellStyle name="Comma 10 2 2 2 3 3" xfId="305" xr:uid="{00000000-0005-0000-0000-000031010000}"/>
    <cellStyle name="Comma 10 2 2 2 4" xfId="306" xr:uid="{00000000-0005-0000-0000-000032010000}"/>
    <cellStyle name="Comma 10 2 2 2 5" xfId="307" xr:uid="{00000000-0005-0000-0000-000033010000}"/>
    <cellStyle name="Comma 10 2 2 3" xfId="308" xr:uid="{00000000-0005-0000-0000-000034010000}"/>
    <cellStyle name="Comma 10 2 2 3 2" xfId="309" xr:uid="{00000000-0005-0000-0000-000035010000}"/>
    <cellStyle name="Comma 10 2 2 3 3" xfId="310" xr:uid="{00000000-0005-0000-0000-000036010000}"/>
    <cellStyle name="Comma 10 2 2 4" xfId="311" xr:uid="{00000000-0005-0000-0000-000037010000}"/>
    <cellStyle name="Comma 10 2 2 4 2" xfId="312" xr:uid="{00000000-0005-0000-0000-000038010000}"/>
    <cellStyle name="Comma 10 2 2 4 3" xfId="313" xr:uid="{00000000-0005-0000-0000-000039010000}"/>
    <cellStyle name="Comma 10 2 2 5" xfId="314" xr:uid="{00000000-0005-0000-0000-00003A010000}"/>
    <cellStyle name="Comma 10 2 2 6" xfId="315" xr:uid="{00000000-0005-0000-0000-00003B010000}"/>
    <cellStyle name="Comma 10 2 2 7" xfId="316" xr:uid="{00000000-0005-0000-0000-00003C010000}"/>
    <cellStyle name="Comma 10 2 3" xfId="317" xr:uid="{00000000-0005-0000-0000-00003D010000}"/>
    <cellStyle name="Comma 10 2 3 2" xfId="318" xr:uid="{00000000-0005-0000-0000-00003E010000}"/>
    <cellStyle name="Comma 10 2 3 2 2" xfId="319" xr:uid="{00000000-0005-0000-0000-00003F010000}"/>
    <cellStyle name="Comma 10 2 3 2 3" xfId="320" xr:uid="{00000000-0005-0000-0000-000040010000}"/>
    <cellStyle name="Comma 10 2 3 3" xfId="321" xr:uid="{00000000-0005-0000-0000-000041010000}"/>
    <cellStyle name="Comma 10 2 3 4" xfId="322" xr:uid="{00000000-0005-0000-0000-000042010000}"/>
    <cellStyle name="Comma 10 2 4" xfId="323" xr:uid="{00000000-0005-0000-0000-000043010000}"/>
    <cellStyle name="Comma 10 3" xfId="324" xr:uid="{00000000-0005-0000-0000-000044010000}"/>
    <cellStyle name="Comma 10 3 2" xfId="325" xr:uid="{00000000-0005-0000-0000-000045010000}"/>
    <cellStyle name="Comma 10 3 2 2" xfId="326" xr:uid="{00000000-0005-0000-0000-000046010000}"/>
    <cellStyle name="Comma 10 3 2 2 2" xfId="327" xr:uid="{00000000-0005-0000-0000-000047010000}"/>
    <cellStyle name="Comma 10 3 2 2 3" xfId="328" xr:uid="{00000000-0005-0000-0000-000048010000}"/>
    <cellStyle name="Comma 10 3 2 3" xfId="329" xr:uid="{00000000-0005-0000-0000-000049010000}"/>
    <cellStyle name="Comma 10 3 2 3 2" xfId="330" xr:uid="{00000000-0005-0000-0000-00004A010000}"/>
    <cellStyle name="Comma 10 3 2 3 3" xfId="331" xr:uid="{00000000-0005-0000-0000-00004B010000}"/>
    <cellStyle name="Comma 10 3 2 4" xfId="332" xr:uid="{00000000-0005-0000-0000-00004C010000}"/>
    <cellStyle name="Comma 10 3 2 5" xfId="333" xr:uid="{00000000-0005-0000-0000-00004D010000}"/>
    <cellStyle name="Comma 10 3 3" xfId="334" xr:uid="{00000000-0005-0000-0000-00004E010000}"/>
    <cellStyle name="Comma 10 3 3 2" xfId="335" xr:uid="{00000000-0005-0000-0000-00004F010000}"/>
    <cellStyle name="Comma 10 3 3 3" xfId="336" xr:uid="{00000000-0005-0000-0000-000050010000}"/>
    <cellStyle name="Comma 10 3 4" xfId="337" xr:uid="{00000000-0005-0000-0000-000051010000}"/>
    <cellStyle name="Comma 10 3 4 2" xfId="338" xr:uid="{00000000-0005-0000-0000-000052010000}"/>
    <cellStyle name="Comma 10 3 4 3" xfId="339" xr:uid="{00000000-0005-0000-0000-000053010000}"/>
    <cellStyle name="Comma 10 3 5" xfId="340" xr:uid="{00000000-0005-0000-0000-000054010000}"/>
    <cellStyle name="Comma 10 3 6" xfId="341" xr:uid="{00000000-0005-0000-0000-000055010000}"/>
    <cellStyle name="Comma 10 4" xfId="342" xr:uid="{00000000-0005-0000-0000-000056010000}"/>
    <cellStyle name="Comma 10 4 2" xfId="343" xr:uid="{00000000-0005-0000-0000-000057010000}"/>
    <cellStyle name="Comma 10 4 2 2" xfId="344" xr:uid="{00000000-0005-0000-0000-000058010000}"/>
    <cellStyle name="Comma 10 4 2 3" xfId="345" xr:uid="{00000000-0005-0000-0000-000059010000}"/>
    <cellStyle name="Comma 10 4 3" xfId="346" xr:uid="{00000000-0005-0000-0000-00005A010000}"/>
    <cellStyle name="Comma 10 4 4" xfId="347" xr:uid="{00000000-0005-0000-0000-00005B010000}"/>
    <cellStyle name="Comma 10 5" xfId="348" xr:uid="{00000000-0005-0000-0000-00005C010000}"/>
    <cellStyle name="Comma 10 6" xfId="349" xr:uid="{00000000-0005-0000-0000-00005D010000}"/>
    <cellStyle name="Comma 10 7" xfId="350" xr:uid="{00000000-0005-0000-0000-00005E010000}"/>
    <cellStyle name="Comma 11" xfId="351" xr:uid="{00000000-0005-0000-0000-00005F010000}"/>
    <cellStyle name="Comma 11 2" xfId="352" xr:uid="{00000000-0005-0000-0000-000060010000}"/>
    <cellStyle name="Comma 11 2 2" xfId="353" xr:uid="{00000000-0005-0000-0000-000061010000}"/>
    <cellStyle name="Comma 11 2 2 2" xfId="354" xr:uid="{00000000-0005-0000-0000-000062010000}"/>
    <cellStyle name="Comma 11 2 2 2 2" xfId="355" xr:uid="{00000000-0005-0000-0000-000063010000}"/>
    <cellStyle name="Comma 11 2 2 2 2 2" xfId="356" xr:uid="{00000000-0005-0000-0000-000064010000}"/>
    <cellStyle name="Comma 11 2 2 2 2 2 2" xfId="357" xr:uid="{00000000-0005-0000-0000-000065010000}"/>
    <cellStyle name="Comma 11 2 2 2 2 2 3" xfId="358" xr:uid="{00000000-0005-0000-0000-000066010000}"/>
    <cellStyle name="Comma 11 2 2 2 2 3" xfId="359" xr:uid="{00000000-0005-0000-0000-000067010000}"/>
    <cellStyle name="Comma 11 2 2 2 2 3 2" xfId="360" xr:uid="{00000000-0005-0000-0000-000068010000}"/>
    <cellStyle name="Comma 11 2 2 2 2 3 3" xfId="361" xr:uid="{00000000-0005-0000-0000-000069010000}"/>
    <cellStyle name="Comma 11 2 2 2 2 4" xfId="362" xr:uid="{00000000-0005-0000-0000-00006A010000}"/>
    <cellStyle name="Comma 11 2 2 2 2 5" xfId="363" xr:uid="{00000000-0005-0000-0000-00006B010000}"/>
    <cellStyle name="Comma 11 2 2 2 3" xfId="364" xr:uid="{00000000-0005-0000-0000-00006C010000}"/>
    <cellStyle name="Comma 11 2 2 2 3 2" xfId="365" xr:uid="{00000000-0005-0000-0000-00006D010000}"/>
    <cellStyle name="Comma 11 2 2 2 3 3" xfId="366" xr:uid="{00000000-0005-0000-0000-00006E010000}"/>
    <cellStyle name="Comma 11 2 2 2 4" xfId="367" xr:uid="{00000000-0005-0000-0000-00006F010000}"/>
    <cellStyle name="Comma 11 2 2 2 4 2" xfId="368" xr:uid="{00000000-0005-0000-0000-000070010000}"/>
    <cellStyle name="Comma 11 2 2 2 4 3" xfId="369" xr:uid="{00000000-0005-0000-0000-000071010000}"/>
    <cellStyle name="Comma 11 2 2 2 5" xfId="370" xr:uid="{00000000-0005-0000-0000-000072010000}"/>
    <cellStyle name="Comma 11 2 2 2 6" xfId="371" xr:uid="{00000000-0005-0000-0000-000073010000}"/>
    <cellStyle name="Comma 11 2 2 3" xfId="372" xr:uid="{00000000-0005-0000-0000-000074010000}"/>
    <cellStyle name="Comma 11 2 2 3 2" xfId="373" xr:uid="{00000000-0005-0000-0000-000075010000}"/>
    <cellStyle name="Comma 11 2 2 3 2 2" xfId="374" xr:uid="{00000000-0005-0000-0000-000076010000}"/>
    <cellStyle name="Comma 11 2 2 3 2 3" xfId="375" xr:uid="{00000000-0005-0000-0000-000077010000}"/>
    <cellStyle name="Comma 11 2 2 3 3" xfId="376" xr:uid="{00000000-0005-0000-0000-000078010000}"/>
    <cellStyle name="Comma 11 2 2 3 4" xfId="377" xr:uid="{00000000-0005-0000-0000-000079010000}"/>
    <cellStyle name="Comma 11 2 2 4" xfId="378" xr:uid="{00000000-0005-0000-0000-00007A010000}"/>
    <cellStyle name="Comma 11 2 3" xfId="379" xr:uid="{00000000-0005-0000-0000-00007B010000}"/>
    <cellStyle name="Comma 11 2 3 2" xfId="380" xr:uid="{00000000-0005-0000-0000-00007C010000}"/>
    <cellStyle name="Comma 11 2 3 2 2" xfId="381" xr:uid="{00000000-0005-0000-0000-00007D010000}"/>
    <cellStyle name="Comma 11 2 3 2 2 2" xfId="382" xr:uid="{00000000-0005-0000-0000-00007E010000}"/>
    <cellStyle name="Comma 11 2 3 2 2 2 2" xfId="383" xr:uid="{00000000-0005-0000-0000-00007F010000}"/>
    <cellStyle name="Comma 11 2 3 2 2 2 3" xfId="384" xr:uid="{00000000-0005-0000-0000-000080010000}"/>
    <cellStyle name="Comma 11 2 3 2 2 3" xfId="385" xr:uid="{00000000-0005-0000-0000-000081010000}"/>
    <cellStyle name="Comma 11 2 3 2 2 3 2" xfId="386" xr:uid="{00000000-0005-0000-0000-000082010000}"/>
    <cellStyle name="Comma 11 2 3 2 2 3 3" xfId="387" xr:uid="{00000000-0005-0000-0000-000083010000}"/>
    <cellStyle name="Comma 11 2 3 2 2 4" xfId="388" xr:uid="{00000000-0005-0000-0000-000084010000}"/>
    <cellStyle name="Comma 11 2 3 2 2 5" xfId="389" xr:uid="{00000000-0005-0000-0000-000085010000}"/>
    <cellStyle name="Comma 11 2 3 2 3" xfId="390" xr:uid="{00000000-0005-0000-0000-000086010000}"/>
    <cellStyle name="Comma 11 2 3 2 3 2" xfId="391" xr:uid="{00000000-0005-0000-0000-000087010000}"/>
    <cellStyle name="Comma 11 2 3 2 3 3" xfId="392" xr:uid="{00000000-0005-0000-0000-000088010000}"/>
    <cellStyle name="Comma 11 2 3 2 4" xfId="393" xr:uid="{00000000-0005-0000-0000-000089010000}"/>
    <cellStyle name="Comma 11 2 3 2 4 2" xfId="394" xr:uid="{00000000-0005-0000-0000-00008A010000}"/>
    <cellStyle name="Comma 11 2 3 2 4 3" xfId="395" xr:uid="{00000000-0005-0000-0000-00008B010000}"/>
    <cellStyle name="Comma 11 2 3 2 5" xfId="396" xr:uid="{00000000-0005-0000-0000-00008C010000}"/>
    <cellStyle name="Comma 11 2 3 2 6" xfId="397" xr:uid="{00000000-0005-0000-0000-00008D010000}"/>
    <cellStyle name="Comma 11 2 3 3" xfId="398" xr:uid="{00000000-0005-0000-0000-00008E010000}"/>
    <cellStyle name="Comma 11 2 3 3 2" xfId="399" xr:uid="{00000000-0005-0000-0000-00008F010000}"/>
    <cellStyle name="Comma 11 2 3 3 2 2" xfId="400" xr:uid="{00000000-0005-0000-0000-000090010000}"/>
    <cellStyle name="Comma 11 2 3 3 2 3" xfId="401" xr:uid="{00000000-0005-0000-0000-000091010000}"/>
    <cellStyle name="Comma 11 2 3 3 3" xfId="402" xr:uid="{00000000-0005-0000-0000-000092010000}"/>
    <cellStyle name="Comma 11 2 3 3 4" xfId="403" xr:uid="{00000000-0005-0000-0000-000093010000}"/>
    <cellStyle name="Comma 11 2 3 4" xfId="404" xr:uid="{00000000-0005-0000-0000-000094010000}"/>
    <cellStyle name="Comma 11 2 4" xfId="405" xr:uid="{00000000-0005-0000-0000-000095010000}"/>
    <cellStyle name="Comma 11 2 4 2" xfId="406" xr:uid="{00000000-0005-0000-0000-000096010000}"/>
    <cellStyle name="Comma 11 2 4 2 2" xfId="407" xr:uid="{00000000-0005-0000-0000-000097010000}"/>
    <cellStyle name="Comma 11 2 4 2 2 2" xfId="408" xr:uid="{00000000-0005-0000-0000-000098010000}"/>
    <cellStyle name="Comma 11 2 4 2 2 3" xfId="409" xr:uid="{00000000-0005-0000-0000-000099010000}"/>
    <cellStyle name="Comma 11 2 4 2 3" xfId="410" xr:uid="{00000000-0005-0000-0000-00009A010000}"/>
    <cellStyle name="Comma 11 2 4 2 3 2" xfId="411" xr:uid="{00000000-0005-0000-0000-00009B010000}"/>
    <cellStyle name="Comma 11 2 4 2 3 3" xfId="412" xr:uid="{00000000-0005-0000-0000-00009C010000}"/>
    <cellStyle name="Comma 11 2 4 2 4" xfId="413" xr:uid="{00000000-0005-0000-0000-00009D010000}"/>
    <cellStyle name="Comma 11 2 4 2 5" xfId="414" xr:uid="{00000000-0005-0000-0000-00009E010000}"/>
    <cellStyle name="Comma 11 2 4 3" xfId="415" xr:uid="{00000000-0005-0000-0000-00009F010000}"/>
    <cellStyle name="Comma 11 2 4 3 2" xfId="416" xr:uid="{00000000-0005-0000-0000-0000A0010000}"/>
    <cellStyle name="Comma 11 2 4 3 3" xfId="417" xr:uid="{00000000-0005-0000-0000-0000A1010000}"/>
    <cellStyle name="Comma 11 2 4 4" xfId="418" xr:uid="{00000000-0005-0000-0000-0000A2010000}"/>
    <cellStyle name="Comma 11 2 4 4 2" xfId="419" xr:uid="{00000000-0005-0000-0000-0000A3010000}"/>
    <cellStyle name="Comma 11 2 4 4 3" xfId="420" xr:uid="{00000000-0005-0000-0000-0000A4010000}"/>
    <cellStyle name="Comma 11 2 4 5" xfId="421" xr:uid="{00000000-0005-0000-0000-0000A5010000}"/>
    <cellStyle name="Comma 11 2 4 6" xfId="422" xr:uid="{00000000-0005-0000-0000-0000A6010000}"/>
    <cellStyle name="Comma 11 2 5" xfId="423" xr:uid="{00000000-0005-0000-0000-0000A7010000}"/>
    <cellStyle name="Comma 11 2 5 2" xfId="424" xr:uid="{00000000-0005-0000-0000-0000A8010000}"/>
    <cellStyle name="Comma 11 2 5 2 2" xfId="425" xr:uid="{00000000-0005-0000-0000-0000A9010000}"/>
    <cellStyle name="Comma 11 2 5 2 3" xfId="426" xr:uid="{00000000-0005-0000-0000-0000AA010000}"/>
    <cellStyle name="Comma 11 2 5 3" xfId="427" xr:uid="{00000000-0005-0000-0000-0000AB010000}"/>
    <cellStyle name="Comma 11 2 5 4" xfId="428" xr:uid="{00000000-0005-0000-0000-0000AC010000}"/>
    <cellStyle name="Comma 11 2 6" xfId="429" xr:uid="{00000000-0005-0000-0000-0000AD010000}"/>
    <cellStyle name="Comma 11 3" xfId="430" xr:uid="{00000000-0005-0000-0000-0000AE010000}"/>
    <cellStyle name="Comma 11 3 2" xfId="431" xr:uid="{00000000-0005-0000-0000-0000AF010000}"/>
    <cellStyle name="Comma 11 3 2 2" xfId="432" xr:uid="{00000000-0005-0000-0000-0000B0010000}"/>
    <cellStyle name="Comma 11 3 2 2 2" xfId="433" xr:uid="{00000000-0005-0000-0000-0000B1010000}"/>
    <cellStyle name="Comma 11 3 2 2 2 2" xfId="434" xr:uid="{00000000-0005-0000-0000-0000B2010000}"/>
    <cellStyle name="Comma 11 3 2 2 2 3" xfId="435" xr:uid="{00000000-0005-0000-0000-0000B3010000}"/>
    <cellStyle name="Comma 11 3 2 2 3" xfId="436" xr:uid="{00000000-0005-0000-0000-0000B4010000}"/>
    <cellStyle name="Comma 11 3 2 2 3 2" xfId="437" xr:uid="{00000000-0005-0000-0000-0000B5010000}"/>
    <cellStyle name="Comma 11 3 2 2 3 3" xfId="438" xr:uid="{00000000-0005-0000-0000-0000B6010000}"/>
    <cellStyle name="Comma 11 3 2 2 4" xfId="439" xr:uid="{00000000-0005-0000-0000-0000B7010000}"/>
    <cellStyle name="Comma 11 3 2 2 5" xfId="440" xr:uid="{00000000-0005-0000-0000-0000B8010000}"/>
    <cellStyle name="Comma 11 3 2 3" xfId="441" xr:uid="{00000000-0005-0000-0000-0000B9010000}"/>
    <cellStyle name="Comma 11 3 2 3 2" xfId="442" xr:uid="{00000000-0005-0000-0000-0000BA010000}"/>
    <cellStyle name="Comma 11 3 2 3 3" xfId="443" xr:uid="{00000000-0005-0000-0000-0000BB010000}"/>
    <cellStyle name="Comma 11 3 2 4" xfId="444" xr:uid="{00000000-0005-0000-0000-0000BC010000}"/>
    <cellStyle name="Comma 11 3 2 4 2" xfId="445" xr:uid="{00000000-0005-0000-0000-0000BD010000}"/>
    <cellStyle name="Comma 11 3 2 4 3" xfId="446" xr:uid="{00000000-0005-0000-0000-0000BE010000}"/>
    <cellStyle name="Comma 11 3 2 5" xfId="447" xr:uid="{00000000-0005-0000-0000-0000BF010000}"/>
    <cellStyle name="Comma 11 3 2 6" xfId="448" xr:uid="{00000000-0005-0000-0000-0000C0010000}"/>
    <cellStyle name="Comma 11 3 3" xfId="449" xr:uid="{00000000-0005-0000-0000-0000C1010000}"/>
    <cellStyle name="Comma 11 3 3 2" xfId="450" xr:uid="{00000000-0005-0000-0000-0000C2010000}"/>
    <cellStyle name="Comma 11 3 3 2 2" xfId="451" xr:uid="{00000000-0005-0000-0000-0000C3010000}"/>
    <cellStyle name="Comma 11 3 3 2 3" xfId="452" xr:uid="{00000000-0005-0000-0000-0000C4010000}"/>
    <cellStyle name="Comma 11 3 3 3" xfId="453" xr:uid="{00000000-0005-0000-0000-0000C5010000}"/>
    <cellStyle name="Comma 11 3 3 4" xfId="454" xr:uid="{00000000-0005-0000-0000-0000C6010000}"/>
    <cellStyle name="Comma 11 3 4" xfId="455" xr:uid="{00000000-0005-0000-0000-0000C7010000}"/>
    <cellStyle name="Comma 11 4" xfId="456" xr:uid="{00000000-0005-0000-0000-0000C8010000}"/>
    <cellStyle name="Comma 11 4 2" xfId="457" xr:uid="{00000000-0005-0000-0000-0000C9010000}"/>
    <cellStyle name="Comma 11 4 2 2" xfId="458" xr:uid="{00000000-0005-0000-0000-0000CA010000}"/>
    <cellStyle name="Comma 11 4 2 2 2" xfId="459" xr:uid="{00000000-0005-0000-0000-0000CB010000}"/>
    <cellStyle name="Comma 11 4 2 2 2 2" xfId="460" xr:uid="{00000000-0005-0000-0000-0000CC010000}"/>
    <cellStyle name="Comma 11 4 2 2 2 3" xfId="461" xr:uid="{00000000-0005-0000-0000-0000CD010000}"/>
    <cellStyle name="Comma 11 4 2 2 3" xfId="462" xr:uid="{00000000-0005-0000-0000-0000CE010000}"/>
    <cellStyle name="Comma 11 4 2 2 3 2" xfId="463" xr:uid="{00000000-0005-0000-0000-0000CF010000}"/>
    <cellStyle name="Comma 11 4 2 2 3 3" xfId="464" xr:uid="{00000000-0005-0000-0000-0000D0010000}"/>
    <cellStyle name="Comma 11 4 2 2 4" xfId="465" xr:uid="{00000000-0005-0000-0000-0000D1010000}"/>
    <cellStyle name="Comma 11 4 2 2 5" xfId="466" xr:uid="{00000000-0005-0000-0000-0000D2010000}"/>
    <cellStyle name="Comma 11 4 2 3" xfId="467" xr:uid="{00000000-0005-0000-0000-0000D3010000}"/>
    <cellStyle name="Comma 11 4 2 3 2" xfId="468" xr:uid="{00000000-0005-0000-0000-0000D4010000}"/>
    <cellStyle name="Comma 11 4 2 3 3" xfId="469" xr:uid="{00000000-0005-0000-0000-0000D5010000}"/>
    <cellStyle name="Comma 11 4 2 4" xfId="470" xr:uid="{00000000-0005-0000-0000-0000D6010000}"/>
    <cellStyle name="Comma 11 4 2 4 2" xfId="471" xr:uid="{00000000-0005-0000-0000-0000D7010000}"/>
    <cellStyle name="Comma 11 4 2 4 3" xfId="472" xr:uid="{00000000-0005-0000-0000-0000D8010000}"/>
    <cellStyle name="Comma 11 4 2 5" xfId="473" xr:uid="{00000000-0005-0000-0000-0000D9010000}"/>
    <cellStyle name="Comma 11 4 2 6" xfId="474" xr:uid="{00000000-0005-0000-0000-0000DA010000}"/>
    <cellStyle name="Comma 11 4 3" xfId="475" xr:uid="{00000000-0005-0000-0000-0000DB010000}"/>
    <cellStyle name="Comma 11 4 3 2" xfId="476" xr:uid="{00000000-0005-0000-0000-0000DC010000}"/>
    <cellStyle name="Comma 11 4 3 2 2" xfId="477" xr:uid="{00000000-0005-0000-0000-0000DD010000}"/>
    <cellStyle name="Comma 11 4 3 2 3" xfId="478" xr:uid="{00000000-0005-0000-0000-0000DE010000}"/>
    <cellStyle name="Comma 11 4 3 3" xfId="479" xr:uid="{00000000-0005-0000-0000-0000DF010000}"/>
    <cellStyle name="Comma 11 4 3 4" xfId="480" xr:uid="{00000000-0005-0000-0000-0000E0010000}"/>
    <cellStyle name="Comma 11 4 4" xfId="481" xr:uid="{00000000-0005-0000-0000-0000E1010000}"/>
    <cellStyle name="Comma 11 5" xfId="482" xr:uid="{00000000-0005-0000-0000-0000E2010000}"/>
    <cellStyle name="Comma 11 5 2" xfId="483" xr:uid="{00000000-0005-0000-0000-0000E3010000}"/>
    <cellStyle name="Comma 11 5 2 2" xfId="484" xr:uid="{00000000-0005-0000-0000-0000E4010000}"/>
    <cellStyle name="Comma 11 5 2 2 2" xfId="485" xr:uid="{00000000-0005-0000-0000-0000E5010000}"/>
    <cellStyle name="Comma 11 5 2 2 3" xfId="486" xr:uid="{00000000-0005-0000-0000-0000E6010000}"/>
    <cellStyle name="Comma 11 5 2 3" xfId="487" xr:uid="{00000000-0005-0000-0000-0000E7010000}"/>
    <cellStyle name="Comma 11 5 2 3 2" xfId="488" xr:uid="{00000000-0005-0000-0000-0000E8010000}"/>
    <cellStyle name="Comma 11 5 2 3 3" xfId="489" xr:uid="{00000000-0005-0000-0000-0000E9010000}"/>
    <cellStyle name="Comma 11 5 2 4" xfId="490" xr:uid="{00000000-0005-0000-0000-0000EA010000}"/>
    <cellStyle name="Comma 11 5 2 5" xfId="491" xr:uid="{00000000-0005-0000-0000-0000EB010000}"/>
    <cellStyle name="Comma 11 5 3" xfId="492" xr:uid="{00000000-0005-0000-0000-0000EC010000}"/>
    <cellStyle name="Comma 11 5 3 2" xfId="493" xr:uid="{00000000-0005-0000-0000-0000ED010000}"/>
    <cellStyle name="Comma 11 5 3 3" xfId="494" xr:uid="{00000000-0005-0000-0000-0000EE010000}"/>
    <cellStyle name="Comma 11 5 4" xfId="495" xr:uid="{00000000-0005-0000-0000-0000EF010000}"/>
    <cellStyle name="Comma 11 5 4 2" xfId="496" xr:uid="{00000000-0005-0000-0000-0000F0010000}"/>
    <cellStyle name="Comma 11 5 4 3" xfId="497" xr:uid="{00000000-0005-0000-0000-0000F1010000}"/>
    <cellStyle name="Comma 11 5 5" xfId="498" xr:uid="{00000000-0005-0000-0000-0000F2010000}"/>
    <cellStyle name="Comma 11 5 6" xfId="499" xr:uid="{00000000-0005-0000-0000-0000F3010000}"/>
    <cellStyle name="Comma 11 6" xfId="500" xr:uid="{00000000-0005-0000-0000-0000F4010000}"/>
    <cellStyle name="Comma 11 6 2" xfId="501" xr:uid="{00000000-0005-0000-0000-0000F5010000}"/>
    <cellStyle name="Comma 11 6 2 2" xfId="502" xr:uid="{00000000-0005-0000-0000-0000F6010000}"/>
    <cellStyle name="Comma 11 6 2 3" xfId="503" xr:uid="{00000000-0005-0000-0000-0000F7010000}"/>
    <cellStyle name="Comma 11 6 3" xfId="504" xr:uid="{00000000-0005-0000-0000-0000F8010000}"/>
    <cellStyle name="Comma 11 6 4" xfId="505" xr:uid="{00000000-0005-0000-0000-0000F9010000}"/>
    <cellStyle name="Comma 11 7" xfId="506" xr:uid="{00000000-0005-0000-0000-0000FA010000}"/>
    <cellStyle name="Comma 12" xfId="507" xr:uid="{00000000-0005-0000-0000-0000FB010000}"/>
    <cellStyle name="Comma 12 2" xfId="508" xr:uid="{00000000-0005-0000-0000-0000FC010000}"/>
    <cellStyle name="Comma 12 2 2" xfId="509" xr:uid="{00000000-0005-0000-0000-0000FD010000}"/>
    <cellStyle name="Comma 12 2 2 2" xfId="510" xr:uid="{00000000-0005-0000-0000-0000FE010000}"/>
    <cellStyle name="Comma 12 2 2 2 2" xfId="511" xr:uid="{00000000-0005-0000-0000-0000FF010000}"/>
    <cellStyle name="Comma 12 2 2 2 2 2" xfId="512" xr:uid="{00000000-0005-0000-0000-000000020000}"/>
    <cellStyle name="Comma 12 2 2 2 2 3" xfId="513" xr:uid="{00000000-0005-0000-0000-000001020000}"/>
    <cellStyle name="Comma 12 2 2 2 3" xfId="514" xr:uid="{00000000-0005-0000-0000-000002020000}"/>
    <cellStyle name="Comma 12 2 2 2 3 2" xfId="515" xr:uid="{00000000-0005-0000-0000-000003020000}"/>
    <cellStyle name="Comma 12 2 2 2 3 3" xfId="516" xr:uid="{00000000-0005-0000-0000-000004020000}"/>
    <cellStyle name="Comma 12 2 2 2 4" xfId="517" xr:uid="{00000000-0005-0000-0000-000005020000}"/>
    <cellStyle name="Comma 12 2 2 2 5" xfId="518" xr:uid="{00000000-0005-0000-0000-000006020000}"/>
    <cellStyle name="Comma 12 2 2 3" xfId="519" xr:uid="{00000000-0005-0000-0000-000007020000}"/>
    <cellStyle name="Comma 12 2 2 3 2" xfId="520" xr:uid="{00000000-0005-0000-0000-000008020000}"/>
    <cellStyle name="Comma 12 2 2 3 3" xfId="521" xr:uid="{00000000-0005-0000-0000-000009020000}"/>
    <cellStyle name="Comma 12 2 2 4" xfId="522" xr:uid="{00000000-0005-0000-0000-00000A020000}"/>
    <cellStyle name="Comma 12 2 2 4 2" xfId="523" xr:uid="{00000000-0005-0000-0000-00000B020000}"/>
    <cellStyle name="Comma 12 2 2 4 3" xfId="524" xr:uid="{00000000-0005-0000-0000-00000C020000}"/>
    <cellStyle name="Comma 12 2 2 5" xfId="525" xr:uid="{00000000-0005-0000-0000-00000D020000}"/>
    <cellStyle name="Comma 12 2 2 6" xfId="526" xr:uid="{00000000-0005-0000-0000-00000E020000}"/>
    <cellStyle name="Comma 12 2 3" xfId="527" xr:uid="{00000000-0005-0000-0000-00000F020000}"/>
    <cellStyle name="Comma 12 2 3 2" xfId="528" xr:uid="{00000000-0005-0000-0000-000010020000}"/>
    <cellStyle name="Comma 12 2 3 2 2" xfId="529" xr:uid="{00000000-0005-0000-0000-000011020000}"/>
    <cellStyle name="Comma 12 2 3 2 3" xfId="530" xr:uid="{00000000-0005-0000-0000-000012020000}"/>
    <cellStyle name="Comma 12 2 3 3" xfId="531" xr:uid="{00000000-0005-0000-0000-000013020000}"/>
    <cellStyle name="Comma 12 2 3 4" xfId="532" xr:uid="{00000000-0005-0000-0000-000014020000}"/>
    <cellStyle name="Comma 12 2 4" xfId="533" xr:uid="{00000000-0005-0000-0000-000015020000}"/>
    <cellStyle name="Comma 12 3" xfId="534" xr:uid="{00000000-0005-0000-0000-000016020000}"/>
    <cellStyle name="Comma 12 3 2" xfId="535" xr:uid="{00000000-0005-0000-0000-000017020000}"/>
    <cellStyle name="Comma 12 3 2 2" xfId="536" xr:uid="{00000000-0005-0000-0000-000018020000}"/>
    <cellStyle name="Comma 12 3 2 2 2" xfId="537" xr:uid="{00000000-0005-0000-0000-000019020000}"/>
    <cellStyle name="Comma 12 3 2 2 2 2" xfId="538" xr:uid="{00000000-0005-0000-0000-00001A020000}"/>
    <cellStyle name="Comma 12 3 2 2 2 3" xfId="539" xr:uid="{00000000-0005-0000-0000-00001B020000}"/>
    <cellStyle name="Comma 12 3 2 2 3" xfId="540" xr:uid="{00000000-0005-0000-0000-00001C020000}"/>
    <cellStyle name="Comma 12 3 2 2 3 2" xfId="541" xr:uid="{00000000-0005-0000-0000-00001D020000}"/>
    <cellStyle name="Comma 12 3 2 2 3 3" xfId="542" xr:uid="{00000000-0005-0000-0000-00001E020000}"/>
    <cellStyle name="Comma 12 3 2 2 4" xfId="543" xr:uid="{00000000-0005-0000-0000-00001F020000}"/>
    <cellStyle name="Comma 12 3 2 2 5" xfId="544" xr:uid="{00000000-0005-0000-0000-000020020000}"/>
    <cellStyle name="Comma 12 3 2 3" xfId="545" xr:uid="{00000000-0005-0000-0000-000021020000}"/>
    <cellStyle name="Comma 12 3 2 3 2" xfId="546" xr:uid="{00000000-0005-0000-0000-000022020000}"/>
    <cellStyle name="Comma 12 3 2 3 3" xfId="547" xr:uid="{00000000-0005-0000-0000-000023020000}"/>
    <cellStyle name="Comma 12 3 2 4" xfId="548" xr:uid="{00000000-0005-0000-0000-000024020000}"/>
    <cellStyle name="Comma 12 3 2 4 2" xfId="549" xr:uid="{00000000-0005-0000-0000-000025020000}"/>
    <cellStyle name="Comma 12 3 2 4 3" xfId="550" xr:uid="{00000000-0005-0000-0000-000026020000}"/>
    <cellStyle name="Comma 12 3 2 5" xfId="551" xr:uid="{00000000-0005-0000-0000-000027020000}"/>
    <cellStyle name="Comma 12 3 2 6" xfId="552" xr:uid="{00000000-0005-0000-0000-000028020000}"/>
    <cellStyle name="Comma 12 3 3" xfId="553" xr:uid="{00000000-0005-0000-0000-000029020000}"/>
    <cellStyle name="Comma 12 3 3 2" xfId="554" xr:uid="{00000000-0005-0000-0000-00002A020000}"/>
    <cellStyle name="Comma 12 3 3 2 2" xfId="555" xr:uid="{00000000-0005-0000-0000-00002B020000}"/>
    <cellStyle name="Comma 12 3 3 2 3" xfId="556" xr:uid="{00000000-0005-0000-0000-00002C020000}"/>
    <cellStyle name="Comma 12 3 3 3" xfId="557" xr:uid="{00000000-0005-0000-0000-00002D020000}"/>
    <cellStyle name="Comma 12 3 3 4" xfId="558" xr:uid="{00000000-0005-0000-0000-00002E020000}"/>
    <cellStyle name="Comma 12 3 4" xfId="559" xr:uid="{00000000-0005-0000-0000-00002F020000}"/>
    <cellStyle name="Comma 12 4" xfId="560" xr:uid="{00000000-0005-0000-0000-000030020000}"/>
    <cellStyle name="Comma 12 5" xfId="561" xr:uid="{00000000-0005-0000-0000-000031020000}"/>
    <cellStyle name="Comma 12 5 2" xfId="562" xr:uid="{00000000-0005-0000-0000-000032020000}"/>
    <cellStyle name="Comma 12 5 2 2" xfId="563" xr:uid="{00000000-0005-0000-0000-000033020000}"/>
    <cellStyle name="Comma 12 5 2 2 2" xfId="564" xr:uid="{00000000-0005-0000-0000-000034020000}"/>
    <cellStyle name="Comma 12 5 2 2 3" xfId="565" xr:uid="{00000000-0005-0000-0000-000035020000}"/>
    <cellStyle name="Comma 12 5 2 3" xfId="566" xr:uid="{00000000-0005-0000-0000-000036020000}"/>
    <cellStyle name="Comma 12 5 2 3 2" xfId="567" xr:uid="{00000000-0005-0000-0000-000037020000}"/>
    <cellStyle name="Comma 12 5 2 3 3" xfId="568" xr:uid="{00000000-0005-0000-0000-000038020000}"/>
    <cellStyle name="Comma 12 5 2 4" xfId="569" xr:uid="{00000000-0005-0000-0000-000039020000}"/>
    <cellStyle name="Comma 12 5 2 5" xfId="570" xr:uid="{00000000-0005-0000-0000-00003A020000}"/>
    <cellStyle name="Comma 12 5 3" xfId="571" xr:uid="{00000000-0005-0000-0000-00003B020000}"/>
    <cellStyle name="Comma 12 5 3 2" xfId="572" xr:uid="{00000000-0005-0000-0000-00003C020000}"/>
    <cellStyle name="Comma 12 5 3 3" xfId="573" xr:uid="{00000000-0005-0000-0000-00003D020000}"/>
    <cellStyle name="Comma 12 5 4" xfId="574" xr:uid="{00000000-0005-0000-0000-00003E020000}"/>
    <cellStyle name="Comma 12 5 4 2" xfId="575" xr:uid="{00000000-0005-0000-0000-00003F020000}"/>
    <cellStyle name="Comma 12 5 4 3" xfId="576" xr:uid="{00000000-0005-0000-0000-000040020000}"/>
    <cellStyle name="Comma 12 5 5" xfId="577" xr:uid="{00000000-0005-0000-0000-000041020000}"/>
    <cellStyle name="Comma 12 5 6" xfId="578" xr:uid="{00000000-0005-0000-0000-000042020000}"/>
    <cellStyle name="Comma 12 6" xfId="579" xr:uid="{00000000-0005-0000-0000-000043020000}"/>
    <cellStyle name="Comma 12 6 2" xfId="580" xr:uid="{00000000-0005-0000-0000-000044020000}"/>
    <cellStyle name="Comma 12 6 2 2" xfId="581" xr:uid="{00000000-0005-0000-0000-000045020000}"/>
    <cellStyle name="Comma 12 6 2 3" xfId="582" xr:uid="{00000000-0005-0000-0000-000046020000}"/>
    <cellStyle name="Comma 12 6 3" xfId="583" xr:uid="{00000000-0005-0000-0000-000047020000}"/>
    <cellStyle name="Comma 12 6 4" xfId="584" xr:uid="{00000000-0005-0000-0000-000048020000}"/>
    <cellStyle name="Comma 12 7" xfId="585" xr:uid="{00000000-0005-0000-0000-000049020000}"/>
    <cellStyle name="Comma 13" xfId="586" xr:uid="{00000000-0005-0000-0000-00004A020000}"/>
    <cellStyle name="Comma 13 2" xfId="587" xr:uid="{00000000-0005-0000-0000-00004B020000}"/>
    <cellStyle name="Comma 13 2 2" xfId="588" xr:uid="{00000000-0005-0000-0000-00004C020000}"/>
    <cellStyle name="Comma 13 2 2 2" xfId="589" xr:uid="{00000000-0005-0000-0000-00004D020000}"/>
    <cellStyle name="Comma 13 2 2 2 2" xfId="590" xr:uid="{00000000-0005-0000-0000-00004E020000}"/>
    <cellStyle name="Comma 13 2 2 2 2 2" xfId="591" xr:uid="{00000000-0005-0000-0000-00004F020000}"/>
    <cellStyle name="Comma 13 2 2 2 2 3" xfId="592" xr:uid="{00000000-0005-0000-0000-000050020000}"/>
    <cellStyle name="Comma 13 2 2 2 3" xfId="593" xr:uid="{00000000-0005-0000-0000-000051020000}"/>
    <cellStyle name="Comma 13 2 2 2 3 2" xfId="594" xr:uid="{00000000-0005-0000-0000-000052020000}"/>
    <cellStyle name="Comma 13 2 2 2 3 3" xfId="595" xr:uid="{00000000-0005-0000-0000-000053020000}"/>
    <cellStyle name="Comma 13 2 2 2 4" xfId="596" xr:uid="{00000000-0005-0000-0000-000054020000}"/>
    <cellStyle name="Comma 13 2 2 2 5" xfId="597" xr:uid="{00000000-0005-0000-0000-000055020000}"/>
    <cellStyle name="Comma 13 2 2 3" xfId="598" xr:uid="{00000000-0005-0000-0000-000056020000}"/>
    <cellStyle name="Comma 13 2 2 3 2" xfId="599" xr:uid="{00000000-0005-0000-0000-000057020000}"/>
    <cellStyle name="Comma 13 2 2 3 3" xfId="600" xr:uid="{00000000-0005-0000-0000-000058020000}"/>
    <cellStyle name="Comma 13 2 2 4" xfId="601" xr:uid="{00000000-0005-0000-0000-000059020000}"/>
    <cellStyle name="Comma 13 2 2 4 2" xfId="602" xr:uid="{00000000-0005-0000-0000-00005A020000}"/>
    <cellStyle name="Comma 13 2 2 4 3" xfId="603" xr:uid="{00000000-0005-0000-0000-00005B020000}"/>
    <cellStyle name="Comma 13 2 2 5" xfId="604" xr:uid="{00000000-0005-0000-0000-00005C020000}"/>
    <cellStyle name="Comma 13 2 2 6" xfId="605" xr:uid="{00000000-0005-0000-0000-00005D020000}"/>
    <cellStyle name="Comma 13 2 3" xfId="606" xr:uid="{00000000-0005-0000-0000-00005E020000}"/>
    <cellStyle name="Comma 13 2 3 2" xfId="607" xr:uid="{00000000-0005-0000-0000-00005F020000}"/>
    <cellStyle name="Comma 13 2 3 2 2" xfId="608" xr:uid="{00000000-0005-0000-0000-000060020000}"/>
    <cellStyle name="Comma 13 2 3 2 3" xfId="609" xr:uid="{00000000-0005-0000-0000-000061020000}"/>
    <cellStyle name="Comma 13 2 3 3" xfId="610" xr:uid="{00000000-0005-0000-0000-000062020000}"/>
    <cellStyle name="Comma 13 2 3 4" xfId="611" xr:uid="{00000000-0005-0000-0000-000063020000}"/>
    <cellStyle name="Comma 13 2 4" xfId="612" xr:uid="{00000000-0005-0000-0000-000064020000}"/>
    <cellStyle name="Comma 13 3" xfId="613" xr:uid="{00000000-0005-0000-0000-000065020000}"/>
    <cellStyle name="Comma 13 3 2" xfId="614" xr:uid="{00000000-0005-0000-0000-000066020000}"/>
    <cellStyle name="Comma 13 3 2 2" xfId="615" xr:uid="{00000000-0005-0000-0000-000067020000}"/>
    <cellStyle name="Comma 13 3 2 2 2" xfId="616" xr:uid="{00000000-0005-0000-0000-000068020000}"/>
    <cellStyle name="Comma 13 3 2 2 3" xfId="617" xr:uid="{00000000-0005-0000-0000-000069020000}"/>
    <cellStyle name="Comma 13 3 2 3" xfId="618" xr:uid="{00000000-0005-0000-0000-00006A020000}"/>
    <cellStyle name="Comma 13 3 2 3 2" xfId="619" xr:uid="{00000000-0005-0000-0000-00006B020000}"/>
    <cellStyle name="Comma 13 3 2 3 3" xfId="620" xr:uid="{00000000-0005-0000-0000-00006C020000}"/>
    <cellStyle name="Comma 13 3 2 4" xfId="621" xr:uid="{00000000-0005-0000-0000-00006D020000}"/>
    <cellStyle name="Comma 13 3 2 5" xfId="622" xr:uid="{00000000-0005-0000-0000-00006E020000}"/>
    <cellStyle name="Comma 13 3 3" xfId="623" xr:uid="{00000000-0005-0000-0000-00006F020000}"/>
    <cellStyle name="Comma 13 3 3 2" xfId="624" xr:uid="{00000000-0005-0000-0000-000070020000}"/>
    <cellStyle name="Comma 13 3 3 3" xfId="625" xr:uid="{00000000-0005-0000-0000-000071020000}"/>
    <cellStyle name="Comma 13 3 4" xfId="626" xr:uid="{00000000-0005-0000-0000-000072020000}"/>
    <cellStyle name="Comma 13 3 4 2" xfId="627" xr:uid="{00000000-0005-0000-0000-000073020000}"/>
    <cellStyle name="Comma 13 3 4 3" xfId="628" xr:uid="{00000000-0005-0000-0000-000074020000}"/>
    <cellStyle name="Comma 13 3 5" xfId="629" xr:uid="{00000000-0005-0000-0000-000075020000}"/>
    <cellStyle name="Comma 13 3 6" xfId="630" xr:uid="{00000000-0005-0000-0000-000076020000}"/>
    <cellStyle name="Comma 13 4" xfId="631" xr:uid="{00000000-0005-0000-0000-000077020000}"/>
    <cellStyle name="Comma 13 4 2" xfId="632" xr:uid="{00000000-0005-0000-0000-000078020000}"/>
    <cellStyle name="Comma 13 4 2 2" xfId="633" xr:uid="{00000000-0005-0000-0000-000079020000}"/>
    <cellStyle name="Comma 13 4 2 3" xfId="634" xr:uid="{00000000-0005-0000-0000-00007A020000}"/>
    <cellStyle name="Comma 13 4 3" xfId="635" xr:uid="{00000000-0005-0000-0000-00007B020000}"/>
    <cellStyle name="Comma 13 4 4" xfId="636" xr:uid="{00000000-0005-0000-0000-00007C020000}"/>
    <cellStyle name="Comma 13 5" xfId="637" xr:uid="{00000000-0005-0000-0000-00007D020000}"/>
    <cellStyle name="Comma 14" xfId="638" xr:uid="{00000000-0005-0000-0000-00007E020000}"/>
    <cellStyle name="Comma 14 2" xfId="639" xr:uid="{00000000-0005-0000-0000-00007F020000}"/>
    <cellStyle name="Comma 14 2 2" xfId="640" xr:uid="{00000000-0005-0000-0000-000080020000}"/>
    <cellStyle name="Comma 14 2 2 2" xfId="641" xr:uid="{00000000-0005-0000-0000-000081020000}"/>
    <cellStyle name="Comma 14 2 2 2 2" xfId="642" xr:uid="{00000000-0005-0000-0000-000082020000}"/>
    <cellStyle name="Comma 14 2 2 2 2 2" xfId="643" xr:uid="{00000000-0005-0000-0000-000083020000}"/>
    <cellStyle name="Comma 14 2 2 2 2 3" xfId="644" xr:uid="{00000000-0005-0000-0000-000084020000}"/>
    <cellStyle name="Comma 14 2 2 2 3" xfId="645" xr:uid="{00000000-0005-0000-0000-000085020000}"/>
    <cellStyle name="Comma 14 2 2 2 3 2" xfId="646" xr:uid="{00000000-0005-0000-0000-000086020000}"/>
    <cellStyle name="Comma 14 2 2 2 3 3" xfId="647" xr:uid="{00000000-0005-0000-0000-000087020000}"/>
    <cellStyle name="Comma 14 2 2 2 4" xfId="648" xr:uid="{00000000-0005-0000-0000-000088020000}"/>
    <cellStyle name="Comma 14 2 2 2 5" xfId="649" xr:uid="{00000000-0005-0000-0000-000089020000}"/>
    <cellStyle name="Comma 14 2 2 3" xfId="650" xr:uid="{00000000-0005-0000-0000-00008A020000}"/>
    <cellStyle name="Comma 14 2 2 3 2" xfId="651" xr:uid="{00000000-0005-0000-0000-00008B020000}"/>
    <cellStyle name="Comma 14 2 2 3 3" xfId="652" xr:uid="{00000000-0005-0000-0000-00008C020000}"/>
    <cellStyle name="Comma 14 2 2 4" xfId="653" xr:uid="{00000000-0005-0000-0000-00008D020000}"/>
    <cellStyle name="Comma 14 2 2 4 2" xfId="654" xr:uid="{00000000-0005-0000-0000-00008E020000}"/>
    <cellStyle name="Comma 14 2 2 4 3" xfId="655" xr:uid="{00000000-0005-0000-0000-00008F020000}"/>
    <cellStyle name="Comma 14 2 2 5" xfId="656" xr:uid="{00000000-0005-0000-0000-000090020000}"/>
    <cellStyle name="Comma 14 2 2 6" xfId="657" xr:uid="{00000000-0005-0000-0000-000091020000}"/>
    <cellStyle name="Comma 14 2 3" xfId="658" xr:uid="{00000000-0005-0000-0000-000092020000}"/>
    <cellStyle name="Comma 14 2 3 2" xfId="659" xr:uid="{00000000-0005-0000-0000-000093020000}"/>
    <cellStyle name="Comma 14 2 3 2 2" xfId="660" xr:uid="{00000000-0005-0000-0000-000094020000}"/>
    <cellStyle name="Comma 14 2 3 2 3" xfId="661" xr:uid="{00000000-0005-0000-0000-000095020000}"/>
    <cellStyle name="Comma 14 2 3 3" xfId="662" xr:uid="{00000000-0005-0000-0000-000096020000}"/>
    <cellStyle name="Comma 14 2 3 4" xfId="663" xr:uid="{00000000-0005-0000-0000-000097020000}"/>
    <cellStyle name="Comma 14 2 4" xfId="664" xr:uid="{00000000-0005-0000-0000-000098020000}"/>
    <cellStyle name="Comma 14 3" xfId="665" xr:uid="{00000000-0005-0000-0000-000099020000}"/>
    <cellStyle name="Comma 14 3 2" xfId="666" xr:uid="{00000000-0005-0000-0000-00009A020000}"/>
    <cellStyle name="Comma 14 3 2 2" xfId="667" xr:uid="{00000000-0005-0000-0000-00009B020000}"/>
    <cellStyle name="Comma 14 3 2 2 2" xfId="668" xr:uid="{00000000-0005-0000-0000-00009C020000}"/>
    <cellStyle name="Comma 14 3 2 2 2 2" xfId="669" xr:uid="{00000000-0005-0000-0000-00009D020000}"/>
    <cellStyle name="Comma 14 3 2 2 2 3" xfId="670" xr:uid="{00000000-0005-0000-0000-00009E020000}"/>
    <cellStyle name="Comma 14 3 2 2 3" xfId="671" xr:uid="{00000000-0005-0000-0000-00009F020000}"/>
    <cellStyle name="Comma 14 3 2 2 3 2" xfId="672" xr:uid="{00000000-0005-0000-0000-0000A0020000}"/>
    <cellStyle name="Comma 14 3 2 2 3 3" xfId="673" xr:uid="{00000000-0005-0000-0000-0000A1020000}"/>
    <cellStyle name="Comma 14 3 2 2 4" xfId="674" xr:uid="{00000000-0005-0000-0000-0000A2020000}"/>
    <cellStyle name="Comma 14 3 2 2 5" xfId="675" xr:uid="{00000000-0005-0000-0000-0000A3020000}"/>
    <cellStyle name="Comma 14 3 2 3" xfId="676" xr:uid="{00000000-0005-0000-0000-0000A4020000}"/>
    <cellStyle name="Comma 14 3 2 3 2" xfId="677" xr:uid="{00000000-0005-0000-0000-0000A5020000}"/>
    <cellStyle name="Comma 14 3 2 3 3" xfId="678" xr:uid="{00000000-0005-0000-0000-0000A6020000}"/>
    <cellStyle name="Comma 14 3 2 4" xfId="679" xr:uid="{00000000-0005-0000-0000-0000A7020000}"/>
    <cellStyle name="Comma 14 3 2 4 2" xfId="680" xr:uid="{00000000-0005-0000-0000-0000A8020000}"/>
    <cellStyle name="Comma 14 3 2 4 3" xfId="681" xr:uid="{00000000-0005-0000-0000-0000A9020000}"/>
    <cellStyle name="Comma 14 3 2 5" xfId="682" xr:uid="{00000000-0005-0000-0000-0000AA020000}"/>
    <cellStyle name="Comma 14 3 2 6" xfId="683" xr:uid="{00000000-0005-0000-0000-0000AB020000}"/>
    <cellStyle name="Comma 14 3 3" xfId="684" xr:uid="{00000000-0005-0000-0000-0000AC020000}"/>
    <cellStyle name="Comma 14 3 3 2" xfId="685" xr:uid="{00000000-0005-0000-0000-0000AD020000}"/>
    <cellStyle name="Comma 14 3 3 2 2" xfId="686" xr:uid="{00000000-0005-0000-0000-0000AE020000}"/>
    <cellStyle name="Comma 14 3 3 2 3" xfId="687" xr:uid="{00000000-0005-0000-0000-0000AF020000}"/>
    <cellStyle name="Comma 14 3 3 3" xfId="688" xr:uid="{00000000-0005-0000-0000-0000B0020000}"/>
    <cellStyle name="Comma 14 3 3 4" xfId="689" xr:uid="{00000000-0005-0000-0000-0000B1020000}"/>
    <cellStyle name="Comma 14 3 4" xfId="690" xr:uid="{00000000-0005-0000-0000-0000B2020000}"/>
    <cellStyle name="Comma 14 4" xfId="691" xr:uid="{00000000-0005-0000-0000-0000B3020000}"/>
    <cellStyle name="Comma 14 4 2" xfId="692" xr:uid="{00000000-0005-0000-0000-0000B4020000}"/>
    <cellStyle name="Comma 14 4 2 2" xfId="693" xr:uid="{00000000-0005-0000-0000-0000B5020000}"/>
    <cellStyle name="Comma 14 4 2 2 2" xfId="694" xr:uid="{00000000-0005-0000-0000-0000B6020000}"/>
    <cellStyle name="Comma 14 4 2 2 3" xfId="695" xr:uid="{00000000-0005-0000-0000-0000B7020000}"/>
    <cellStyle name="Comma 14 4 2 3" xfId="696" xr:uid="{00000000-0005-0000-0000-0000B8020000}"/>
    <cellStyle name="Comma 14 4 2 3 2" xfId="697" xr:uid="{00000000-0005-0000-0000-0000B9020000}"/>
    <cellStyle name="Comma 14 4 2 3 3" xfId="698" xr:uid="{00000000-0005-0000-0000-0000BA020000}"/>
    <cellStyle name="Comma 14 4 2 4" xfId="699" xr:uid="{00000000-0005-0000-0000-0000BB020000}"/>
    <cellStyle name="Comma 14 4 2 5" xfId="700" xr:uid="{00000000-0005-0000-0000-0000BC020000}"/>
    <cellStyle name="Comma 14 4 3" xfId="701" xr:uid="{00000000-0005-0000-0000-0000BD020000}"/>
    <cellStyle name="Comma 14 4 3 2" xfId="702" xr:uid="{00000000-0005-0000-0000-0000BE020000}"/>
    <cellStyle name="Comma 14 4 3 2 2" xfId="703" xr:uid="{00000000-0005-0000-0000-0000BF020000}"/>
    <cellStyle name="Comma 14 4 3 2 3" xfId="704" xr:uid="{00000000-0005-0000-0000-0000C0020000}"/>
    <cellStyle name="Comma 14 4 3 3" xfId="705" xr:uid="{00000000-0005-0000-0000-0000C1020000}"/>
    <cellStyle name="Comma 14 4 3 4" xfId="706" xr:uid="{00000000-0005-0000-0000-0000C2020000}"/>
    <cellStyle name="Comma 14 4 4" xfId="707" xr:uid="{00000000-0005-0000-0000-0000C3020000}"/>
    <cellStyle name="Comma 14 4 4 2" xfId="708" xr:uid="{00000000-0005-0000-0000-0000C4020000}"/>
    <cellStyle name="Comma 14 4 4 3" xfId="709" xr:uid="{00000000-0005-0000-0000-0000C5020000}"/>
    <cellStyle name="Comma 14 4 5" xfId="710" xr:uid="{00000000-0005-0000-0000-0000C6020000}"/>
    <cellStyle name="Comma 14 5" xfId="711" xr:uid="{00000000-0005-0000-0000-0000C7020000}"/>
    <cellStyle name="Comma 14 5 2" xfId="712" xr:uid="{00000000-0005-0000-0000-0000C8020000}"/>
    <cellStyle name="Comma 14 5 2 2" xfId="713" xr:uid="{00000000-0005-0000-0000-0000C9020000}"/>
    <cellStyle name="Comma 14 5 2 3" xfId="714" xr:uid="{00000000-0005-0000-0000-0000CA020000}"/>
    <cellStyle name="Comma 14 5 3" xfId="715" xr:uid="{00000000-0005-0000-0000-0000CB020000}"/>
    <cellStyle name="Comma 14 5 4" xfId="716" xr:uid="{00000000-0005-0000-0000-0000CC020000}"/>
    <cellStyle name="Comma 14 6" xfId="717" xr:uid="{00000000-0005-0000-0000-0000CD020000}"/>
    <cellStyle name="Comma 15" xfId="718" xr:uid="{00000000-0005-0000-0000-0000CE020000}"/>
    <cellStyle name="Comma 15 2" xfId="719" xr:uid="{00000000-0005-0000-0000-0000CF020000}"/>
    <cellStyle name="Comma 15 2 2" xfId="720" xr:uid="{00000000-0005-0000-0000-0000D0020000}"/>
    <cellStyle name="Comma 15 2 2 2" xfId="721" xr:uid="{00000000-0005-0000-0000-0000D1020000}"/>
    <cellStyle name="Comma 15 2 2 2 2" xfId="722" xr:uid="{00000000-0005-0000-0000-0000D2020000}"/>
    <cellStyle name="Comma 15 2 2 2 2 2" xfId="723" xr:uid="{00000000-0005-0000-0000-0000D3020000}"/>
    <cellStyle name="Comma 15 2 2 2 2 3" xfId="724" xr:uid="{00000000-0005-0000-0000-0000D4020000}"/>
    <cellStyle name="Comma 15 2 2 2 3" xfId="725" xr:uid="{00000000-0005-0000-0000-0000D5020000}"/>
    <cellStyle name="Comma 15 2 2 2 3 2" xfId="726" xr:uid="{00000000-0005-0000-0000-0000D6020000}"/>
    <cellStyle name="Comma 15 2 2 2 3 3" xfId="727" xr:uid="{00000000-0005-0000-0000-0000D7020000}"/>
    <cellStyle name="Comma 15 2 2 2 4" xfId="728" xr:uid="{00000000-0005-0000-0000-0000D8020000}"/>
    <cellStyle name="Comma 15 2 2 2 5" xfId="729" xr:uid="{00000000-0005-0000-0000-0000D9020000}"/>
    <cellStyle name="Comma 15 2 2 3" xfId="730" xr:uid="{00000000-0005-0000-0000-0000DA020000}"/>
    <cellStyle name="Comma 15 2 2 3 2" xfId="731" xr:uid="{00000000-0005-0000-0000-0000DB020000}"/>
    <cellStyle name="Comma 15 2 2 3 3" xfId="732" xr:uid="{00000000-0005-0000-0000-0000DC020000}"/>
    <cellStyle name="Comma 15 2 2 4" xfId="733" xr:uid="{00000000-0005-0000-0000-0000DD020000}"/>
    <cellStyle name="Comma 15 2 2 4 2" xfId="734" xr:uid="{00000000-0005-0000-0000-0000DE020000}"/>
    <cellStyle name="Comma 15 2 2 4 3" xfId="735" xr:uid="{00000000-0005-0000-0000-0000DF020000}"/>
    <cellStyle name="Comma 15 2 2 5" xfId="736" xr:uid="{00000000-0005-0000-0000-0000E0020000}"/>
    <cellStyle name="Comma 15 2 2 6" xfId="737" xr:uid="{00000000-0005-0000-0000-0000E1020000}"/>
    <cellStyle name="Comma 15 2 3" xfId="738" xr:uid="{00000000-0005-0000-0000-0000E2020000}"/>
    <cellStyle name="Comma 15 2 3 2" xfId="739" xr:uid="{00000000-0005-0000-0000-0000E3020000}"/>
    <cellStyle name="Comma 15 2 3 2 2" xfId="740" xr:uid="{00000000-0005-0000-0000-0000E4020000}"/>
    <cellStyle name="Comma 15 2 3 2 3" xfId="741" xr:uid="{00000000-0005-0000-0000-0000E5020000}"/>
    <cellStyle name="Comma 15 2 3 3" xfId="742" xr:uid="{00000000-0005-0000-0000-0000E6020000}"/>
    <cellStyle name="Comma 15 2 3 4" xfId="743" xr:uid="{00000000-0005-0000-0000-0000E7020000}"/>
    <cellStyle name="Comma 15 2 4" xfId="744" xr:uid="{00000000-0005-0000-0000-0000E8020000}"/>
    <cellStyle name="Comma 15 3" xfId="745" xr:uid="{00000000-0005-0000-0000-0000E9020000}"/>
    <cellStyle name="Comma 15 3 2" xfId="746" xr:uid="{00000000-0005-0000-0000-0000EA020000}"/>
    <cellStyle name="Comma 15 3 2 2" xfId="747" xr:uid="{00000000-0005-0000-0000-0000EB020000}"/>
    <cellStyle name="Comma 15 3 2 2 2" xfId="748" xr:uid="{00000000-0005-0000-0000-0000EC020000}"/>
    <cellStyle name="Comma 15 3 2 2 2 2" xfId="749" xr:uid="{00000000-0005-0000-0000-0000ED020000}"/>
    <cellStyle name="Comma 15 3 2 2 2 3" xfId="750" xr:uid="{00000000-0005-0000-0000-0000EE020000}"/>
    <cellStyle name="Comma 15 3 2 2 3" xfId="751" xr:uid="{00000000-0005-0000-0000-0000EF020000}"/>
    <cellStyle name="Comma 15 3 2 2 3 2" xfId="752" xr:uid="{00000000-0005-0000-0000-0000F0020000}"/>
    <cellStyle name="Comma 15 3 2 2 3 3" xfId="753" xr:uid="{00000000-0005-0000-0000-0000F1020000}"/>
    <cellStyle name="Comma 15 3 2 2 4" xfId="754" xr:uid="{00000000-0005-0000-0000-0000F2020000}"/>
    <cellStyle name="Comma 15 3 2 2 5" xfId="755" xr:uid="{00000000-0005-0000-0000-0000F3020000}"/>
    <cellStyle name="Comma 15 3 2 3" xfId="756" xr:uid="{00000000-0005-0000-0000-0000F4020000}"/>
    <cellStyle name="Comma 15 3 2 3 2" xfId="757" xr:uid="{00000000-0005-0000-0000-0000F5020000}"/>
    <cellStyle name="Comma 15 3 2 3 3" xfId="758" xr:uid="{00000000-0005-0000-0000-0000F6020000}"/>
    <cellStyle name="Comma 15 3 2 4" xfId="759" xr:uid="{00000000-0005-0000-0000-0000F7020000}"/>
    <cellStyle name="Comma 15 3 2 4 2" xfId="760" xr:uid="{00000000-0005-0000-0000-0000F8020000}"/>
    <cellStyle name="Comma 15 3 2 4 3" xfId="761" xr:uid="{00000000-0005-0000-0000-0000F9020000}"/>
    <cellStyle name="Comma 15 3 2 5" xfId="762" xr:uid="{00000000-0005-0000-0000-0000FA020000}"/>
    <cellStyle name="Comma 15 3 2 6" xfId="763" xr:uid="{00000000-0005-0000-0000-0000FB020000}"/>
    <cellStyle name="Comma 15 3 3" xfId="764" xr:uid="{00000000-0005-0000-0000-0000FC020000}"/>
    <cellStyle name="Comma 15 3 3 2" xfId="765" xr:uid="{00000000-0005-0000-0000-0000FD020000}"/>
    <cellStyle name="Comma 15 3 3 2 2" xfId="766" xr:uid="{00000000-0005-0000-0000-0000FE020000}"/>
    <cellStyle name="Comma 15 3 3 2 3" xfId="767" xr:uid="{00000000-0005-0000-0000-0000FF020000}"/>
    <cellStyle name="Comma 15 3 3 3" xfId="768" xr:uid="{00000000-0005-0000-0000-000000030000}"/>
    <cellStyle name="Comma 15 3 3 4" xfId="769" xr:uid="{00000000-0005-0000-0000-000001030000}"/>
    <cellStyle name="Comma 15 3 4" xfId="770" xr:uid="{00000000-0005-0000-0000-000002030000}"/>
    <cellStyle name="Comma 15 4" xfId="771" xr:uid="{00000000-0005-0000-0000-000003030000}"/>
    <cellStyle name="Comma 15 4 2" xfId="772" xr:uid="{00000000-0005-0000-0000-000004030000}"/>
    <cellStyle name="Comma 15 4 2 2" xfId="773" xr:uid="{00000000-0005-0000-0000-000005030000}"/>
    <cellStyle name="Comma 15 4 2 2 2" xfId="774" xr:uid="{00000000-0005-0000-0000-000006030000}"/>
    <cellStyle name="Comma 15 4 2 2 3" xfId="775" xr:uid="{00000000-0005-0000-0000-000007030000}"/>
    <cellStyle name="Comma 15 4 2 3" xfId="776" xr:uid="{00000000-0005-0000-0000-000008030000}"/>
    <cellStyle name="Comma 15 4 2 3 2" xfId="777" xr:uid="{00000000-0005-0000-0000-000009030000}"/>
    <cellStyle name="Comma 15 4 2 3 3" xfId="778" xr:uid="{00000000-0005-0000-0000-00000A030000}"/>
    <cellStyle name="Comma 15 4 2 4" xfId="779" xr:uid="{00000000-0005-0000-0000-00000B030000}"/>
    <cellStyle name="Comma 15 4 2 5" xfId="780" xr:uid="{00000000-0005-0000-0000-00000C030000}"/>
    <cellStyle name="Comma 15 4 3" xfId="781" xr:uid="{00000000-0005-0000-0000-00000D030000}"/>
    <cellStyle name="Comma 15 4 3 2" xfId="782" xr:uid="{00000000-0005-0000-0000-00000E030000}"/>
    <cellStyle name="Comma 15 4 3 2 2" xfId="783" xr:uid="{00000000-0005-0000-0000-00000F030000}"/>
    <cellStyle name="Comma 15 4 3 2 3" xfId="784" xr:uid="{00000000-0005-0000-0000-000010030000}"/>
    <cellStyle name="Comma 15 4 3 3" xfId="785" xr:uid="{00000000-0005-0000-0000-000011030000}"/>
    <cellStyle name="Comma 15 4 3 4" xfId="786" xr:uid="{00000000-0005-0000-0000-000012030000}"/>
    <cellStyle name="Comma 15 4 4" xfId="787" xr:uid="{00000000-0005-0000-0000-000013030000}"/>
    <cellStyle name="Comma 15 4 4 2" xfId="788" xr:uid="{00000000-0005-0000-0000-000014030000}"/>
    <cellStyle name="Comma 15 4 4 3" xfId="789" xr:uid="{00000000-0005-0000-0000-000015030000}"/>
    <cellStyle name="Comma 15 4 5" xfId="790" xr:uid="{00000000-0005-0000-0000-000016030000}"/>
    <cellStyle name="Comma 15 5" xfId="791" xr:uid="{00000000-0005-0000-0000-000017030000}"/>
    <cellStyle name="Comma 15 5 2" xfId="792" xr:uid="{00000000-0005-0000-0000-000018030000}"/>
    <cellStyle name="Comma 15 5 2 2" xfId="793" xr:uid="{00000000-0005-0000-0000-000019030000}"/>
    <cellStyle name="Comma 15 5 2 3" xfId="794" xr:uid="{00000000-0005-0000-0000-00001A030000}"/>
    <cellStyle name="Comma 15 5 3" xfId="795" xr:uid="{00000000-0005-0000-0000-00001B030000}"/>
    <cellStyle name="Comma 15 5 4" xfId="796" xr:uid="{00000000-0005-0000-0000-00001C030000}"/>
    <cellStyle name="Comma 15 6" xfId="797" xr:uid="{00000000-0005-0000-0000-00001D030000}"/>
    <cellStyle name="Comma 16" xfId="798" xr:uid="{00000000-0005-0000-0000-00001E030000}"/>
    <cellStyle name="Comma 16 2" xfId="799" xr:uid="{00000000-0005-0000-0000-00001F030000}"/>
    <cellStyle name="Comma 16 2 2" xfId="800" xr:uid="{00000000-0005-0000-0000-000020030000}"/>
    <cellStyle name="Comma 16 2 2 2" xfId="801" xr:uid="{00000000-0005-0000-0000-000021030000}"/>
    <cellStyle name="Comma 16 2 2 2 2" xfId="802" xr:uid="{00000000-0005-0000-0000-000022030000}"/>
    <cellStyle name="Comma 16 2 2 2 2 2" xfId="803" xr:uid="{00000000-0005-0000-0000-000023030000}"/>
    <cellStyle name="Comma 16 2 2 2 2 3" xfId="804" xr:uid="{00000000-0005-0000-0000-000024030000}"/>
    <cellStyle name="Comma 16 2 2 2 3" xfId="805" xr:uid="{00000000-0005-0000-0000-000025030000}"/>
    <cellStyle name="Comma 16 2 2 2 3 2" xfId="806" xr:uid="{00000000-0005-0000-0000-000026030000}"/>
    <cellStyle name="Comma 16 2 2 2 3 3" xfId="807" xr:uid="{00000000-0005-0000-0000-000027030000}"/>
    <cellStyle name="Comma 16 2 2 2 4" xfId="808" xr:uid="{00000000-0005-0000-0000-000028030000}"/>
    <cellStyle name="Comma 16 2 2 2 5" xfId="809" xr:uid="{00000000-0005-0000-0000-000029030000}"/>
    <cellStyle name="Comma 16 2 2 3" xfId="810" xr:uid="{00000000-0005-0000-0000-00002A030000}"/>
    <cellStyle name="Comma 16 2 2 3 2" xfId="811" xr:uid="{00000000-0005-0000-0000-00002B030000}"/>
    <cellStyle name="Comma 16 2 2 3 3" xfId="812" xr:uid="{00000000-0005-0000-0000-00002C030000}"/>
    <cellStyle name="Comma 16 2 2 4" xfId="813" xr:uid="{00000000-0005-0000-0000-00002D030000}"/>
    <cellStyle name="Comma 16 2 2 4 2" xfId="814" xr:uid="{00000000-0005-0000-0000-00002E030000}"/>
    <cellStyle name="Comma 16 2 2 4 3" xfId="815" xr:uid="{00000000-0005-0000-0000-00002F030000}"/>
    <cellStyle name="Comma 16 2 2 5" xfId="816" xr:uid="{00000000-0005-0000-0000-000030030000}"/>
    <cellStyle name="Comma 16 2 2 6" xfId="817" xr:uid="{00000000-0005-0000-0000-000031030000}"/>
    <cellStyle name="Comma 16 2 3" xfId="818" xr:uid="{00000000-0005-0000-0000-000032030000}"/>
    <cellStyle name="Comma 16 2 3 2" xfId="819" xr:uid="{00000000-0005-0000-0000-000033030000}"/>
    <cellStyle name="Comma 16 2 3 2 2" xfId="820" xr:uid="{00000000-0005-0000-0000-000034030000}"/>
    <cellStyle name="Comma 16 2 3 2 3" xfId="821" xr:uid="{00000000-0005-0000-0000-000035030000}"/>
    <cellStyle name="Comma 16 2 3 3" xfId="822" xr:uid="{00000000-0005-0000-0000-000036030000}"/>
    <cellStyle name="Comma 16 2 3 4" xfId="823" xr:uid="{00000000-0005-0000-0000-000037030000}"/>
    <cellStyle name="Comma 16 2 4" xfId="824" xr:uid="{00000000-0005-0000-0000-000038030000}"/>
    <cellStyle name="Comma 16 3" xfId="825" xr:uid="{00000000-0005-0000-0000-000039030000}"/>
    <cellStyle name="Comma 16 3 2" xfId="826" xr:uid="{00000000-0005-0000-0000-00003A030000}"/>
    <cellStyle name="Comma 16 3 2 2" xfId="827" xr:uid="{00000000-0005-0000-0000-00003B030000}"/>
    <cellStyle name="Comma 16 3 2 2 2" xfId="828" xr:uid="{00000000-0005-0000-0000-00003C030000}"/>
    <cellStyle name="Comma 16 3 2 2 3" xfId="829" xr:uid="{00000000-0005-0000-0000-00003D030000}"/>
    <cellStyle name="Comma 16 3 2 3" xfId="830" xr:uid="{00000000-0005-0000-0000-00003E030000}"/>
    <cellStyle name="Comma 16 3 2 3 2" xfId="831" xr:uid="{00000000-0005-0000-0000-00003F030000}"/>
    <cellStyle name="Comma 16 3 2 3 3" xfId="832" xr:uid="{00000000-0005-0000-0000-000040030000}"/>
    <cellStyle name="Comma 16 3 2 4" xfId="833" xr:uid="{00000000-0005-0000-0000-000041030000}"/>
    <cellStyle name="Comma 16 3 2 5" xfId="834" xr:uid="{00000000-0005-0000-0000-000042030000}"/>
    <cellStyle name="Comma 16 3 3" xfId="835" xr:uid="{00000000-0005-0000-0000-000043030000}"/>
    <cellStyle name="Comma 16 3 3 2" xfId="836" xr:uid="{00000000-0005-0000-0000-000044030000}"/>
    <cellStyle name="Comma 16 3 3 3" xfId="837" xr:uid="{00000000-0005-0000-0000-000045030000}"/>
    <cellStyle name="Comma 16 3 4" xfId="838" xr:uid="{00000000-0005-0000-0000-000046030000}"/>
    <cellStyle name="Comma 16 3 4 2" xfId="839" xr:uid="{00000000-0005-0000-0000-000047030000}"/>
    <cellStyle name="Comma 16 3 4 3" xfId="840" xr:uid="{00000000-0005-0000-0000-000048030000}"/>
    <cellStyle name="Comma 16 3 5" xfId="841" xr:uid="{00000000-0005-0000-0000-000049030000}"/>
    <cellStyle name="Comma 16 3 6" xfId="842" xr:uid="{00000000-0005-0000-0000-00004A030000}"/>
    <cellStyle name="Comma 16 4" xfId="843" xr:uid="{00000000-0005-0000-0000-00004B030000}"/>
    <cellStyle name="Comma 16 4 2" xfId="844" xr:uid="{00000000-0005-0000-0000-00004C030000}"/>
    <cellStyle name="Comma 16 4 2 2" xfId="845" xr:uid="{00000000-0005-0000-0000-00004D030000}"/>
    <cellStyle name="Comma 16 4 2 3" xfId="846" xr:uid="{00000000-0005-0000-0000-00004E030000}"/>
    <cellStyle name="Comma 16 4 3" xfId="847" xr:uid="{00000000-0005-0000-0000-00004F030000}"/>
    <cellStyle name="Comma 16 4 4" xfId="848" xr:uid="{00000000-0005-0000-0000-000050030000}"/>
    <cellStyle name="Comma 16 5" xfId="849" xr:uid="{00000000-0005-0000-0000-000051030000}"/>
    <cellStyle name="Comma 17" xfId="850" xr:uid="{00000000-0005-0000-0000-000052030000}"/>
    <cellStyle name="Comma 17 2" xfId="851" xr:uid="{00000000-0005-0000-0000-000053030000}"/>
    <cellStyle name="Comma 17 2 2" xfId="852" xr:uid="{00000000-0005-0000-0000-000054030000}"/>
    <cellStyle name="Comma 17 2 2 2" xfId="853" xr:uid="{00000000-0005-0000-0000-000055030000}"/>
    <cellStyle name="Comma 17 2 2 2 2" xfId="854" xr:uid="{00000000-0005-0000-0000-000056030000}"/>
    <cellStyle name="Comma 17 2 2 2 3" xfId="855" xr:uid="{00000000-0005-0000-0000-000057030000}"/>
    <cellStyle name="Comma 17 2 2 3" xfId="856" xr:uid="{00000000-0005-0000-0000-000058030000}"/>
    <cellStyle name="Comma 17 2 2 3 2" xfId="857" xr:uid="{00000000-0005-0000-0000-000059030000}"/>
    <cellStyle name="Comma 17 2 2 3 3" xfId="858" xr:uid="{00000000-0005-0000-0000-00005A030000}"/>
    <cellStyle name="Comma 17 2 2 4" xfId="859" xr:uid="{00000000-0005-0000-0000-00005B030000}"/>
    <cellStyle name="Comma 17 2 2 5" xfId="860" xr:uid="{00000000-0005-0000-0000-00005C030000}"/>
    <cellStyle name="Comma 17 2 3" xfId="861" xr:uid="{00000000-0005-0000-0000-00005D030000}"/>
    <cellStyle name="Comma 17 2 3 2" xfId="862" xr:uid="{00000000-0005-0000-0000-00005E030000}"/>
    <cellStyle name="Comma 17 2 3 3" xfId="863" xr:uid="{00000000-0005-0000-0000-00005F030000}"/>
    <cellStyle name="Comma 17 2 4" xfId="864" xr:uid="{00000000-0005-0000-0000-000060030000}"/>
    <cellStyle name="Comma 17 2 4 2" xfId="865" xr:uid="{00000000-0005-0000-0000-000061030000}"/>
    <cellStyle name="Comma 17 2 4 3" xfId="866" xr:uid="{00000000-0005-0000-0000-000062030000}"/>
    <cellStyle name="Comma 17 2 5" xfId="867" xr:uid="{00000000-0005-0000-0000-000063030000}"/>
    <cellStyle name="Comma 17 2 6" xfId="868" xr:uid="{00000000-0005-0000-0000-000064030000}"/>
    <cellStyle name="Comma 17 3" xfId="869" xr:uid="{00000000-0005-0000-0000-000065030000}"/>
    <cellStyle name="Comma 17 3 2" xfId="870" xr:uid="{00000000-0005-0000-0000-000066030000}"/>
    <cellStyle name="Comma 17 3 2 2" xfId="871" xr:uid="{00000000-0005-0000-0000-000067030000}"/>
    <cellStyle name="Comma 17 3 2 3" xfId="872" xr:uid="{00000000-0005-0000-0000-000068030000}"/>
    <cellStyle name="Comma 17 3 3" xfId="873" xr:uid="{00000000-0005-0000-0000-000069030000}"/>
    <cellStyle name="Comma 17 3 4" xfId="874" xr:uid="{00000000-0005-0000-0000-00006A030000}"/>
    <cellStyle name="Comma 17 4" xfId="875" xr:uid="{00000000-0005-0000-0000-00006B030000}"/>
    <cellStyle name="Comma 18" xfId="876" xr:uid="{00000000-0005-0000-0000-00006C030000}"/>
    <cellStyle name="Comma 18 2" xfId="877" xr:uid="{00000000-0005-0000-0000-00006D030000}"/>
    <cellStyle name="Comma 18 2 2" xfId="878" xr:uid="{00000000-0005-0000-0000-00006E030000}"/>
    <cellStyle name="Comma 18 2 2 2" xfId="879" xr:uid="{00000000-0005-0000-0000-00006F030000}"/>
    <cellStyle name="Comma 18 2 2 2 2" xfId="880" xr:uid="{00000000-0005-0000-0000-000070030000}"/>
    <cellStyle name="Comma 18 2 2 2 2 2" xfId="881" xr:uid="{00000000-0005-0000-0000-000071030000}"/>
    <cellStyle name="Comma 18 2 2 2 2 3" xfId="882" xr:uid="{00000000-0005-0000-0000-000072030000}"/>
    <cellStyle name="Comma 18 2 2 2 3" xfId="883" xr:uid="{00000000-0005-0000-0000-000073030000}"/>
    <cellStyle name="Comma 18 2 2 2 3 2" xfId="884" xr:uid="{00000000-0005-0000-0000-000074030000}"/>
    <cellStyle name="Comma 18 2 2 2 3 3" xfId="885" xr:uid="{00000000-0005-0000-0000-000075030000}"/>
    <cellStyle name="Comma 18 2 2 2 4" xfId="886" xr:uid="{00000000-0005-0000-0000-000076030000}"/>
    <cellStyle name="Comma 18 2 2 2 5" xfId="887" xr:uid="{00000000-0005-0000-0000-000077030000}"/>
    <cellStyle name="Comma 18 2 2 3" xfId="888" xr:uid="{00000000-0005-0000-0000-000078030000}"/>
    <cellStyle name="Comma 18 2 2 3 2" xfId="889" xr:uid="{00000000-0005-0000-0000-000079030000}"/>
    <cellStyle name="Comma 18 2 2 3 3" xfId="890" xr:uid="{00000000-0005-0000-0000-00007A030000}"/>
    <cellStyle name="Comma 18 2 2 4" xfId="891" xr:uid="{00000000-0005-0000-0000-00007B030000}"/>
    <cellStyle name="Comma 18 2 2 4 2" xfId="892" xr:uid="{00000000-0005-0000-0000-00007C030000}"/>
    <cellStyle name="Comma 18 2 2 4 3" xfId="893" xr:uid="{00000000-0005-0000-0000-00007D030000}"/>
    <cellStyle name="Comma 18 2 2 5" xfId="894" xr:uid="{00000000-0005-0000-0000-00007E030000}"/>
    <cellStyle name="Comma 18 2 2 6" xfId="895" xr:uid="{00000000-0005-0000-0000-00007F030000}"/>
    <cellStyle name="Comma 18 2 3" xfId="896" xr:uid="{00000000-0005-0000-0000-000080030000}"/>
    <cellStyle name="Comma 18 2 3 2" xfId="897" xr:uid="{00000000-0005-0000-0000-000081030000}"/>
    <cellStyle name="Comma 18 2 3 2 2" xfId="898" xr:uid="{00000000-0005-0000-0000-000082030000}"/>
    <cellStyle name="Comma 18 2 3 2 3" xfId="899" xr:uid="{00000000-0005-0000-0000-000083030000}"/>
    <cellStyle name="Comma 18 2 3 3" xfId="900" xr:uid="{00000000-0005-0000-0000-000084030000}"/>
    <cellStyle name="Comma 18 2 3 4" xfId="901" xr:uid="{00000000-0005-0000-0000-000085030000}"/>
    <cellStyle name="Comma 18 2 4" xfId="902" xr:uid="{00000000-0005-0000-0000-000086030000}"/>
    <cellStyle name="Comma 18 3" xfId="903" xr:uid="{00000000-0005-0000-0000-000087030000}"/>
    <cellStyle name="Comma 18 3 2" xfId="904" xr:uid="{00000000-0005-0000-0000-000088030000}"/>
    <cellStyle name="Comma 18 3 2 2" xfId="905" xr:uid="{00000000-0005-0000-0000-000089030000}"/>
    <cellStyle name="Comma 18 3 2 2 2" xfId="906" xr:uid="{00000000-0005-0000-0000-00008A030000}"/>
    <cellStyle name="Comma 18 3 2 2 3" xfId="907" xr:uid="{00000000-0005-0000-0000-00008B030000}"/>
    <cellStyle name="Comma 18 3 2 3" xfId="908" xr:uid="{00000000-0005-0000-0000-00008C030000}"/>
    <cellStyle name="Comma 18 3 2 3 2" xfId="909" xr:uid="{00000000-0005-0000-0000-00008D030000}"/>
    <cellStyle name="Comma 18 3 2 3 3" xfId="910" xr:uid="{00000000-0005-0000-0000-00008E030000}"/>
    <cellStyle name="Comma 18 3 2 4" xfId="911" xr:uid="{00000000-0005-0000-0000-00008F030000}"/>
    <cellStyle name="Comma 18 3 2 5" xfId="912" xr:uid="{00000000-0005-0000-0000-000090030000}"/>
    <cellStyle name="Comma 18 3 3" xfId="913" xr:uid="{00000000-0005-0000-0000-000091030000}"/>
    <cellStyle name="Comma 18 3 3 2" xfId="914" xr:uid="{00000000-0005-0000-0000-000092030000}"/>
    <cellStyle name="Comma 18 3 3 3" xfId="915" xr:uid="{00000000-0005-0000-0000-000093030000}"/>
    <cellStyle name="Comma 18 3 4" xfId="916" xr:uid="{00000000-0005-0000-0000-000094030000}"/>
    <cellStyle name="Comma 18 3 4 2" xfId="917" xr:uid="{00000000-0005-0000-0000-000095030000}"/>
    <cellStyle name="Comma 18 3 4 3" xfId="918" xr:uid="{00000000-0005-0000-0000-000096030000}"/>
    <cellStyle name="Comma 18 3 5" xfId="919" xr:uid="{00000000-0005-0000-0000-000097030000}"/>
    <cellStyle name="Comma 18 3 6" xfId="920" xr:uid="{00000000-0005-0000-0000-000098030000}"/>
    <cellStyle name="Comma 18 4" xfId="921" xr:uid="{00000000-0005-0000-0000-000099030000}"/>
    <cellStyle name="Comma 18 4 2" xfId="922" xr:uid="{00000000-0005-0000-0000-00009A030000}"/>
    <cellStyle name="Comma 18 4 2 2" xfId="923" xr:uid="{00000000-0005-0000-0000-00009B030000}"/>
    <cellStyle name="Comma 18 4 2 3" xfId="924" xr:uid="{00000000-0005-0000-0000-00009C030000}"/>
    <cellStyle name="Comma 18 4 3" xfId="925" xr:uid="{00000000-0005-0000-0000-00009D030000}"/>
    <cellStyle name="Comma 18 4 4" xfId="926" xr:uid="{00000000-0005-0000-0000-00009E030000}"/>
    <cellStyle name="Comma 18 5" xfId="927" xr:uid="{00000000-0005-0000-0000-00009F030000}"/>
    <cellStyle name="Comma 19" xfId="928" xr:uid="{00000000-0005-0000-0000-0000A0030000}"/>
    <cellStyle name="Comma 19 2" xfId="929" xr:uid="{00000000-0005-0000-0000-0000A1030000}"/>
    <cellStyle name="Comma 19 2 2" xfId="930" xr:uid="{00000000-0005-0000-0000-0000A2030000}"/>
    <cellStyle name="Comma 19 2 2 2" xfId="931" xr:uid="{00000000-0005-0000-0000-0000A3030000}"/>
    <cellStyle name="Comma 19 2 2 2 2" xfId="932" xr:uid="{00000000-0005-0000-0000-0000A4030000}"/>
    <cellStyle name="Comma 19 2 2 2 2 2" xfId="933" xr:uid="{00000000-0005-0000-0000-0000A5030000}"/>
    <cellStyle name="Comma 19 2 2 2 2 3" xfId="934" xr:uid="{00000000-0005-0000-0000-0000A6030000}"/>
    <cellStyle name="Comma 19 2 2 2 3" xfId="935" xr:uid="{00000000-0005-0000-0000-0000A7030000}"/>
    <cellStyle name="Comma 19 2 2 2 3 2" xfId="936" xr:uid="{00000000-0005-0000-0000-0000A8030000}"/>
    <cellStyle name="Comma 19 2 2 2 3 3" xfId="937" xr:uid="{00000000-0005-0000-0000-0000A9030000}"/>
    <cellStyle name="Comma 19 2 2 2 4" xfId="938" xr:uid="{00000000-0005-0000-0000-0000AA030000}"/>
    <cellStyle name="Comma 19 2 2 2 5" xfId="939" xr:uid="{00000000-0005-0000-0000-0000AB030000}"/>
    <cellStyle name="Comma 19 2 2 3" xfId="940" xr:uid="{00000000-0005-0000-0000-0000AC030000}"/>
    <cellStyle name="Comma 19 2 2 3 2" xfId="941" xr:uid="{00000000-0005-0000-0000-0000AD030000}"/>
    <cellStyle name="Comma 19 2 2 3 3" xfId="942" xr:uid="{00000000-0005-0000-0000-0000AE030000}"/>
    <cellStyle name="Comma 19 2 2 4" xfId="943" xr:uid="{00000000-0005-0000-0000-0000AF030000}"/>
    <cellStyle name="Comma 19 2 2 4 2" xfId="944" xr:uid="{00000000-0005-0000-0000-0000B0030000}"/>
    <cellStyle name="Comma 19 2 2 4 3" xfId="945" xr:uid="{00000000-0005-0000-0000-0000B1030000}"/>
    <cellStyle name="Comma 19 2 2 5" xfId="946" xr:uid="{00000000-0005-0000-0000-0000B2030000}"/>
    <cellStyle name="Comma 19 2 2 6" xfId="947" xr:uid="{00000000-0005-0000-0000-0000B3030000}"/>
    <cellStyle name="Comma 19 2 3" xfId="948" xr:uid="{00000000-0005-0000-0000-0000B4030000}"/>
    <cellStyle name="Comma 19 2 3 2" xfId="949" xr:uid="{00000000-0005-0000-0000-0000B5030000}"/>
    <cellStyle name="Comma 19 2 3 2 2" xfId="950" xr:uid="{00000000-0005-0000-0000-0000B6030000}"/>
    <cellStyle name="Comma 19 2 3 2 3" xfId="951" xr:uid="{00000000-0005-0000-0000-0000B7030000}"/>
    <cellStyle name="Comma 19 2 3 3" xfId="952" xr:uid="{00000000-0005-0000-0000-0000B8030000}"/>
    <cellStyle name="Comma 19 2 3 4" xfId="953" xr:uid="{00000000-0005-0000-0000-0000B9030000}"/>
    <cellStyle name="Comma 19 2 4" xfId="954" xr:uid="{00000000-0005-0000-0000-0000BA030000}"/>
    <cellStyle name="Comma 19 3" xfId="955" xr:uid="{00000000-0005-0000-0000-0000BB030000}"/>
    <cellStyle name="Comma 19 3 2" xfId="956" xr:uid="{00000000-0005-0000-0000-0000BC030000}"/>
    <cellStyle name="Comma 19 3 2 2" xfId="957" xr:uid="{00000000-0005-0000-0000-0000BD030000}"/>
    <cellStyle name="Comma 19 3 2 2 2" xfId="958" xr:uid="{00000000-0005-0000-0000-0000BE030000}"/>
    <cellStyle name="Comma 19 3 2 2 3" xfId="959" xr:uid="{00000000-0005-0000-0000-0000BF030000}"/>
    <cellStyle name="Comma 19 3 2 3" xfId="960" xr:uid="{00000000-0005-0000-0000-0000C0030000}"/>
    <cellStyle name="Comma 19 3 2 3 2" xfId="961" xr:uid="{00000000-0005-0000-0000-0000C1030000}"/>
    <cellStyle name="Comma 19 3 2 3 3" xfId="962" xr:uid="{00000000-0005-0000-0000-0000C2030000}"/>
    <cellStyle name="Comma 19 3 2 4" xfId="963" xr:uid="{00000000-0005-0000-0000-0000C3030000}"/>
    <cellStyle name="Comma 19 3 2 5" xfId="964" xr:uid="{00000000-0005-0000-0000-0000C4030000}"/>
    <cellStyle name="Comma 19 3 3" xfId="965" xr:uid="{00000000-0005-0000-0000-0000C5030000}"/>
    <cellStyle name="Comma 19 3 3 2" xfId="966" xr:uid="{00000000-0005-0000-0000-0000C6030000}"/>
    <cellStyle name="Comma 19 3 3 3" xfId="967" xr:uid="{00000000-0005-0000-0000-0000C7030000}"/>
    <cellStyle name="Comma 19 3 4" xfId="968" xr:uid="{00000000-0005-0000-0000-0000C8030000}"/>
    <cellStyle name="Comma 19 3 4 2" xfId="969" xr:uid="{00000000-0005-0000-0000-0000C9030000}"/>
    <cellStyle name="Comma 19 3 4 3" xfId="970" xr:uid="{00000000-0005-0000-0000-0000CA030000}"/>
    <cellStyle name="Comma 19 3 5" xfId="971" xr:uid="{00000000-0005-0000-0000-0000CB030000}"/>
    <cellStyle name="Comma 19 3 6" xfId="972" xr:uid="{00000000-0005-0000-0000-0000CC030000}"/>
    <cellStyle name="Comma 19 4" xfId="973" xr:uid="{00000000-0005-0000-0000-0000CD030000}"/>
    <cellStyle name="Comma 19 4 2" xfId="974" xr:uid="{00000000-0005-0000-0000-0000CE030000}"/>
    <cellStyle name="Comma 19 4 2 2" xfId="975" xr:uid="{00000000-0005-0000-0000-0000CF030000}"/>
    <cellStyle name="Comma 19 4 2 3" xfId="976" xr:uid="{00000000-0005-0000-0000-0000D0030000}"/>
    <cellStyle name="Comma 19 4 3" xfId="977" xr:uid="{00000000-0005-0000-0000-0000D1030000}"/>
    <cellStyle name="Comma 19 4 4" xfId="978" xr:uid="{00000000-0005-0000-0000-0000D2030000}"/>
    <cellStyle name="Comma 19 5" xfId="979" xr:uid="{00000000-0005-0000-0000-0000D3030000}"/>
    <cellStyle name="Comma 2" xfId="980" xr:uid="{00000000-0005-0000-0000-0000D4030000}"/>
    <cellStyle name="Comma 2 2" xfId="981" xr:uid="{00000000-0005-0000-0000-0000D5030000}"/>
    <cellStyle name="Comma 2 2 2" xfId="982" xr:uid="{00000000-0005-0000-0000-0000D6030000}"/>
    <cellStyle name="Comma 2 2 2 2" xfId="983" xr:uid="{00000000-0005-0000-0000-0000D7030000}"/>
    <cellStyle name="Comma 2 2 2 3" xfId="984" xr:uid="{00000000-0005-0000-0000-0000D8030000}"/>
    <cellStyle name="Comma 2 2 2 3 2" xfId="985" xr:uid="{00000000-0005-0000-0000-0000D9030000}"/>
    <cellStyle name="Comma 2 2 2 3 2 2" xfId="986" xr:uid="{00000000-0005-0000-0000-0000DA030000}"/>
    <cellStyle name="Comma 2 2 2 3 2 2 2" xfId="987" xr:uid="{00000000-0005-0000-0000-0000DB030000}"/>
    <cellStyle name="Comma 2 2 2 3 2 2 3" xfId="988" xr:uid="{00000000-0005-0000-0000-0000DC030000}"/>
    <cellStyle name="Comma 2 2 2 3 2 3" xfId="989" xr:uid="{00000000-0005-0000-0000-0000DD030000}"/>
    <cellStyle name="Comma 2 2 2 3 2 3 2" xfId="990" xr:uid="{00000000-0005-0000-0000-0000DE030000}"/>
    <cellStyle name="Comma 2 2 2 3 2 3 3" xfId="991" xr:uid="{00000000-0005-0000-0000-0000DF030000}"/>
    <cellStyle name="Comma 2 2 2 3 2 4" xfId="992" xr:uid="{00000000-0005-0000-0000-0000E0030000}"/>
    <cellStyle name="Comma 2 2 2 3 2 5" xfId="993" xr:uid="{00000000-0005-0000-0000-0000E1030000}"/>
    <cellStyle name="Comma 2 2 2 3 3" xfId="994" xr:uid="{00000000-0005-0000-0000-0000E2030000}"/>
    <cellStyle name="Comma 2 2 2 3 3 2" xfId="995" xr:uid="{00000000-0005-0000-0000-0000E3030000}"/>
    <cellStyle name="Comma 2 2 2 3 3 3" xfId="996" xr:uid="{00000000-0005-0000-0000-0000E4030000}"/>
    <cellStyle name="Comma 2 2 2 3 4" xfId="997" xr:uid="{00000000-0005-0000-0000-0000E5030000}"/>
    <cellStyle name="Comma 2 2 2 3 4 2" xfId="998" xr:uid="{00000000-0005-0000-0000-0000E6030000}"/>
    <cellStyle name="Comma 2 2 2 3 4 3" xfId="999" xr:uid="{00000000-0005-0000-0000-0000E7030000}"/>
    <cellStyle name="Comma 2 2 2 3 5" xfId="1000" xr:uid="{00000000-0005-0000-0000-0000E8030000}"/>
    <cellStyle name="Comma 2 2 2 3 6" xfId="1001" xr:uid="{00000000-0005-0000-0000-0000E9030000}"/>
    <cellStyle name="Comma 2 2 2 4" xfId="1002" xr:uid="{00000000-0005-0000-0000-0000EA030000}"/>
    <cellStyle name="Comma 2 2 2 4 2" xfId="1003" xr:uid="{00000000-0005-0000-0000-0000EB030000}"/>
    <cellStyle name="Comma 2 2 2 4 2 2" xfId="1004" xr:uid="{00000000-0005-0000-0000-0000EC030000}"/>
    <cellStyle name="Comma 2 2 2 4 2 3" xfId="1005" xr:uid="{00000000-0005-0000-0000-0000ED030000}"/>
    <cellStyle name="Comma 2 2 2 4 3" xfId="1006" xr:uid="{00000000-0005-0000-0000-0000EE030000}"/>
    <cellStyle name="Comma 2 2 2 4 4" xfId="1007" xr:uid="{00000000-0005-0000-0000-0000EF030000}"/>
    <cellStyle name="Comma 2 2 2 5" xfId="1008" xr:uid="{00000000-0005-0000-0000-0000F0030000}"/>
    <cellStyle name="Comma 2 2 3" xfId="1009" xr:uid="{00000000-0005-0000-0000-0000F1030000}"/>
    <cellStyle name="Comma 2 2 3 2" xfId="1010" xr:uid="{00000000-0005-0000-0000-0000F2030000}"/>
    <cellStyle name="Comma 2 2 3 3" xfId="1011" xr:uid="{00000000-0005-0000-0000-0000F3030000}"/>
    <cellStyle name="Comma 2 2 4" xfId="1012" xr:uid="{00000000-0005-0000-0000-0000F4030000}"/>
    <cellStyle name="Comma 2 2 4 2" xfId="1013" xr:uid="{00000000-0005-0000-0000-0000F5030000}"/>
    <cellStyle name="Comma 2 2 4 3" xfId="1014" xr:uid="{00000000-0005-0000-0000-0000F6030000}"/>
    <cellStyle name="Comma 2 2 5" xfId="1015" xr:uid="{00000000-0005-0000-0000-0000F7030000}"/>
    <cellStyle name="Comma 2 2 6" xfId="1016" xr:uid="{00000000-0005-0000-0000-0000F8030000}"/>
    <cellStyle name="Comma 2 2 7" xfId="1017" xr:uid="{00000000-0005-0000-0000-0000F9030000}"/>
    <cellStyle name="Comma 2 2 8" xfId="1018" xr:uid="{00000000-0005-0000-0000-0000FA030000}"/>
    <cellStyle name="Comma 2 3" xfId="1019" xr:uid="{00000000-0005-0000-0000-0000FB030000}"/>
    <cellStyle name="Comma 2 3 2" xfId="1020" xr:uid="{00000000-0005-0000-0000-0000FC030000}"/>
    <cellStyle name="Comma 2 3 2 2" xfId="1021" xr:uid="{00000000-0005-0000-0000-0000FD030000}"/>
    <cellStyle name="Comma 2 3 2 3" xfId="1022" xr:uid="{00000000-0005-0000-0000-0000FE030000}"/>
    <cellStyle name="Comma 2 3 3" xfId="1023" xr:uid="{00000000-0005-0000-0000-0000FF030000}"/>
    <cellStyle name="Comma 2 3 3 2" xfId="1024" xr:uid="{00000000-0005-0000-0000-000000040000}"/>
    <cellStyle name="Comma 2 3 3 3" xfId="1025" xr:uid="{00000000-0005-0000-0000-000001040000}"/>
    <cellStyle name="Comma 2 3 4" xfId="1026" xr:uid="{00000000-0005-0000-0000-000002040000}"/>
    <cellStyle name="Comma 2 3 5" xfId="1027" xr:uid="{00000000-0005-0000-0000-000003040000}"/>
    <cellStyle name="Comma 2 3 6" xfId="1028" xr:uid="{00000000-0005-0000-0000-000004040000}"/>
    <cellStyle name="Comma 2 4" xfId="1029" xr:uid="{00000000-0005-0000-0000-000005040000}"/>
    <cellStyle name="Comma 2 4 2" xfId="1030" xr:uid="{00000000-0005-0000-0000-000006040000}"/>
    <cellStyle name="Comma 2 4 2 2" xfId="1031" xr:uid="{00000000-0005-0000-0000-000007040000}"/>
    <cellStyle name="Comma 2 4 2 2 2" xfId="1032" xr:uid="{00000000-0005-0000-0000-000008040000}"/>
    <cellStyle name="Comma 2 4 2 2 3" xfId="1033" xr:uid="{00000000-0005-0000-0000-000009040000}"/>
    <cellStyle name="Comma 2 4 2 3" xfId="1034" xr:uid="{00000000-0005-0000-0000-00000A040000}"/>
    <cellStyle name="Comma 2 4 2 3 2" xfId="1035" xr:uid="{00000000-0005-0000-0000-00000B040000}"/>
    <cellStyle name="Comma 2 4 2 3 3" xfId="1036" xr:uid="{00000000-0005-0000-0000-00000C040000}"/>
    <cellStyle name="Comma 2 4 2 4" xfId="1037" xr:uid="{00000000-0005-0000-0000-00000D040000}"/>
    <cellStyle name="Comma 2 4 2 5" xfId="1038" xr:uid="{00000000-0005-0000-0000-00000E040000}"/>
    <cellStyle name="Comma 2 4 3" xfId="1039" xr:uid="{00000000-0005-0000-0000-00000F040000}"/>
    <cellStyle name="Comma 2 4 3 2" xfId="1040" xr:uid="{00000000-0005-0000-0000-000010040000}"/>
    <cellStyle name="Comma 2 4 3 3" xfId="1041" xr:uid="{00000000-0005-0000-0000-000011040000}"/>
    <cellStyle name="Comma 2 4 4" xfId="1042" xr:uid="{00000000-0005-0000-0000-000012040000}"/>
    <cellStyle name="Comma 2 4 4 2" xfId="1043" xr:uid="{00000000-0005-0000-0000-000013040000}"/>
    <cellStyle name="Comma 2 4 4 3" xfId="1044" xr:uid="{00000000-0005-0000-0000-000014040000}"/>
    <cellStyle name="Comma 2 4 5" xfId="1045" xr:uid="{00000000-0005-0000-0000-000015040000}"/>
    <cellStyle name="Comma 2 4 6" xfId="1046" xr:uid="{00000000-0005-0000-0000-000016040000}"/>
    <cellStyle name="Comma 2 4 7" xfId="1047" xr:uid="{00000000-0005-0000-0000-000017040000}"/>
    <cellStyle name="Comma 2 5" xfId="1048" xr:uid="{00000000-0005-0000-0000-000018040000}"/>
    <cellStyle name="Comma 2 5 2" xfId="1049" xr:uid="{00000000-0005-0000-0000-000019040000}"/>
    <cellStyle name="Comma 2 5 2 2" xfId="1050" xr:uid="{00000000-0005-0000-0000-00001A040000}"/>
    <cellStyle name="Comma 2 5 2 3" xfId="1051" xr:uid="{00000000-0005-0000-0000-00001B040000}"/>
    <cellStyle name="Comma 2 5 3" xfId="1052" xr:uid="{00000000-0005-0000-0000-00001C040000}"/>
    <cellStyle name="Comma 2 5 4" xfId="1053" xr:uid="{00000000-0005-0000-0000-00001D040000}"/>
    <cellStyle name="Comma 2 5 5" xfId="1054" xr:uid="{00000000-0005-0000-0000-00001E040000}"/>
    <cellStyle name="Comma 2 6" xfId="1055" xr:uid="{00000000-0005-0000-0000-00001F040000}"/>
    <cellStyle name="Comma 2 6 2" xfId="1056" xr:uid="{00000000-0005-0000-0000-000020040000}"/>
    <cellStyle name="Comma 2 6 3" xfId="1057" xr:uid="{00000000-0005-0000-0000-000021040000}"/>
    <cellStyle name="Comma 2 7" xfId="1058" xr:uid="{00000000-0005-0000-0000-000022040000}"/>
    <cellStyle name="Comma 2 7 2" xfId="1059" xr:uid="{00000000-0005-0000-0000-000023040000}"/>
    <cellStyle name="Comma 2 7 3" xfId="1060" xr:uid="{00000000-0005-0000-0000-000024040000}"/>
    <cellStyle name="Comma 2 8" xfId="1061" xr:uid="{00000000-0005-0000-0000-000025040000}"/>
    <cellStyle name="Comma 2 9" xfId="1062" xr:uid="{00000000-0005-0000-0000-000026040000}"/>
    <cellStyle name="Comma 20" xfId="1063" xr:uid="{00000000-0005-0000-0000-000027040000}"/>
    <cellStyle name="Comma 20 2" xfId="1064" xr:uid="{00000000-0005-0000-0000-000028040000}"/>
    <cellStyle name="Comma 20 2 2" xfId="1065" xr:uid="{00000000-0005-0000-0000-000029040000}"/>
    <cellStyle name="Comma 20 2 2 2" xfId="1066" xr:uid="{00000000-0005-0000-0000-00002A040000}"/>
    <cellStyle name="Comma 20 2 2 2 2" xfId="1067" xr:uid="{00000000-0005-0000-0000-00002B040000}"/>
    <cellStyle name="Comma 20 2 2 2 3" xfId="1068" xr:uid="{00000000-0005-0000-0000-00002C040000}"/>
    <cellStyle name="Comma 20 2 2 3" xfId="1069" xr:uid="{00000000-0005-0000-0000-00002D040000}"/>
    <cellStyle name="Comma 20 2 2 3 2" xfId="1070" xr:uid="{00000000-0005-0000-0000-00002E040000}"/>
    <cellStyle name="Comma 20 2 2 3 3" xfId="1071" xr:uid="{00000000-0005-0000-0000-00002F040000}"/>
    <cellStyle name="Comma 20 2 2 4" xfId="1072" xr:uid="{00000000-0005-0000-0000-000030040000}"/>
    <cellStyle name="Comma 20 2 2 5" xfId="1073" xr:uid="{00000000-0005-0000-0000-000031040000}"/>
    <cellStyle name="Comma 20 2 3" xfId="1074" xr:uid="{00000000-0005-0000-0000-000032040000}"/>
    <cellStyle name="Comma 20 2 3 2" xfId="1075" xr:uid="{00000000-0005-0000-0000-000033040000}"/>
    <cellStyle name="Comma 20 2 3 3" xfId="1076" xr:uid="{00000000-0005-0000-0000-000034040000}"/>
    <cellStyle name="Comma 20 2 4" xfId="1077" xr:uid="{00000000-0005-0000-0000-000035040000}"/>
    <cellStyle name="Comma 20 2 4 2" xfId="1078" xr:uid="{00000000-0005-0000-0000-000036040000}"/>
    <cellStyle name="Comma 20 2 4 3" xfId="1079" xr:uid="{00000000-0005-0000-0000-000037040000}"/>
    <cellStyle name="Comma 20 2 5" xfId="1080" xr:uid="{00000000-0005-0000-0000-000038040000}"/>
    <cellStyle name="Comma 20 2 6" xfId="1081" xr:uid="{00000000-0005-0000-0000-000039040000}"/>
    <cellStyle name="Comma 20 3" xfId="1082" xr:uid="{00000000-0005-0000-0000-00003A040000}"/>
    <cellStyle name="Comma 20 3 2" xfId="1083" xr:uid="{00000000-0005-0000-0000-00003B040000}"/>
    <cellStyle name="Comma 20 3 2 2" xfId="1084" xr:uid="{00000000-0005-0000-0000-00003C040000}"/>
    <cellStyle name="Comma 20 3 2 3" xfId="1085" xr:uid="{00000000-0005-0000-0000-00003D040000}"/>
    <cellStyle name="Comma 20 3 3" xfId="1086" xr:uid="{00000000-0005-0000-0000-00003E040000}"/>
    <cellStyle name="Comma 20 3 4" xfId="1087" xr:uid="{00000000-0005-0000-0000-00003F040000}"/>
    <cellStyle name="Comma 20 4" xfId="1088" xr:uid="{00000000-0005-0000-0000-000040040000}"/>
    <cellStyle name="Comma 21" xfId="1089" xr:uid="{00000000-0005-0000-0000-000041040000}"/>
    <cellStyle name="Comma 21 2" xfId="1090" xr:uid="{00000000-0005-0000-0000-000042040000}"/>
    <cellStyle name="Comma 21 2 2" xfId="1091" xr:uid="{00000000-0005-0000-0000-000043040000}"/>
    <cellStyle name="Comma 21 2 2 2" xfId="1092" xr:uid="{00000000-0005-0000-0000-000044040000}"/>
    <cellStyle name="Comma 21 2 2 2 2" xfId="1093" xr:uid="{00000000-0005-0000-0000-000045040000}"/>
    <cellStyle name="Comma 21 2 2 2 3" xfId="1094" xr:uid="{00000000-0005-0000-0000-000046040000}"/>
    <cellStyle name="Comma 21 2 2 3" xfId="1095" xr:uid="{00000000-0005-0000-0000-000047040000}"/>
    <cellStyle name="Comma 21 2 2 3 2" xfId="1096" xr:uid="{00000000-0005-0000-0000-000048040000}"/>
    <cellStyle name="Comma 21 2 2 3 3" xfId="1097" xr:uid="{00000000-0005-0000-0000-000049040000}"/>
    <cellStyle name="Comma 21 2 2 4" xfId="1098" xr:uid="{00000000-0005-0000-0000-00004A040000}"/>
    <cellStyle name="Comma 21 2 2 5" xfId="1099" xr:uid="{00000000-0005-0000-0000-00004B040000}"/>
    <cellStyle name="Comma 21 2 3" xfId="1100" xr:uid="{00000000-0005-0000-0000-00004C040000}"/>
    <cellStyle name="Comma 21 2 3 2" xfId="1101" xr:uid="{00000000-0005-0000-0000-00004D040000}"/>
    <cellStyle name="Comma 21 2 3 3" xfId="1102" xr:uid="{00000000-0005-0000-0000-00004E040000}"/>
    <cellStyle name="Comma 21 2 4" xfId="1103" xr:uid="{00000000-0005-0000-0000-00004F040000}"/>
    <cellStyle name="Comma 21 2 4 2" xfId="1104" xr:uid="{00000000-0005-0000-0000-000050040000}"/>
    <cellStyle name="Comma 21 2 4 3" xfId="1105" xr:uid="{00000000-0005-0000-0000-000051040000}"/>
    <cellStyle name="Comma 21 2 5" xfId="1106" xr:uid="{00000000-0005-0000-0000-000052040000}"/>
    <cellStyle name="Comma 21 2 6" xfId="1107" xr:uid="{00000000-0005-0000-0000-000053040000}"/>
    <cellStyle name="Comma 21 3" xfId="1108" xr:uid="{00000000-0005-0000-0000-000054040000}"/>
    <cellStyle name="Comma 21 3 2" xfId="1109" xr:uid="{00000000-0005-0000-0000-000055040000}"/>
    <cellStyle name="Comma 21 3 2 2" xfId="1110" xr:uid="{00000000-0005-0000-0000-000056040000}"/>
    <cellStyle name="Comma 21 3 2 3" xfId="1111" xr:uid="{00000000-0005-0000-0000-000057040000}"/>
    <cellStyle name="Comma 21 3 3" xfId="1112" xr:uid="{00000000-0005-0000-0000-000058040000}"/>
    <cellStyle name="Comma 21 3 4" xfId="1113" xr:uid="{00000000-0005-0000-0000-000059040000}"/>
    <cellStyle name="Comma 21 4" xfId="1114" xr:uid="{00000000-0005-0000-0000-00005A040000}"/>
    <cellStyle name="Comma 22" xfId="1115" xr:uid="{00000000-0005-0000-0000-00005B040000}"/>
    <cellStyle name="Comma 22 2" xfId="1116" xr:uid="{00000000-0005-0000-0000-00005C040000}"/>
    <cellStyle name="Comma 22 2 2" xfId="1117" xr:uid="{00000000-0005-0000-0000-00005D040000}"/>
    <cellStyle name="Comma 22 2 2 2" xfId="1118" xr:uid="{00000000-0005-0000-0000-00005E040000}"/>
    <cellStyle name="Comma 22 2 2 3" xfId="1119" xr:uid="{00000000-0005-0000-0000-00005F040000}"/>
    <cellStyle name="Comma 22 2 3" xfId="1120" xr:uid="{00000000-0005-0000-0000-000060040000}"/>
    <cellStyle name="Comma 22 2 3 2" xfId="1121" xr:uid="{00000000-0005-0000-0000-000061040000}"/>
    <cellStyle name="Comma 22 2 3 3" xfId="1122" xr:uid="{00000000-0005-0000-0000-000062040000}"/>
    <cellStyle name="Comma 22 2 4" xfId="1123" xr:uid="{00000000-0005-0000-0000-000063040000}"/>
    <cellStyle name="Comma 22 2 5" xfId="1124" xr:uid="{00000000-0005-0000-0000-000064040000}"/>
    <cellStyle name="Comma 22 3" xfId="1125" xr:uid="{00000000-0005-0000-0000-000065040000}"/>
    <cellStyle name="Comma 22 3 2" xfId="1126" xr:uid="{00000000-0005-0000-0000-000066040000}"/>
    <cellStyle name="Comma 22 3 3" xfId="1127" xr:uid="{00000000-0005-0000-0000-000067040000}"/>
    <cellStyle name="Comma 22 4" xfId="1128" xr:uid="{00000000-0005-0000-0000-000068040000}"/>
    <cellStyle name="Comma 22 4 2" xfId="1129" xr:uid="{00000000-0005-0000-0000-000069040000}"/>
    <cellStyle name="Comma 22 4 3" xfId="1130" xr:uid="{00000000-0005-0000-0000-00006A040000}"/>
    <cellStyle name="Comma 22 5" xfId="1131" xr:uid="{00000000-0005-0000-0000-00006B040000}"/>
    <cellStyle name="Comma 22 6" xfId="1132" xr:uid="{00000000-0005-0000-0000-00006C040000}"/>
    <cellStyle name="Comma 23" xfId="1133" xr:uid="{00000000-0005-0000-0000-00006D040000}"/>
    <cellStyle name="Comma 23 2" xfId="1134" xr:uid="{00000000-0005-0000-0000-00006E040000}"/>
    <cellStyle name="Comma 23 2 2" xfId="1135" xr:uid="{00000000-0005-0000-0000-00006F040000}"/>
    <cellStyle name="Comma 23 2 2 2" xfId="1136" xr:uid="{00000000-0005-0000-0000-000070040000}"/>
    <cellStyle name="Comma 23 2 2 3" xfId="1137" xr:uid="{00000000-0005-0000-0000-000071040000}"/>
    <cellStyle name="Comma 23 2 3" xfId="1138" xr:uid="{00000000-0005-0000-0000-000072040000}"/>
    <cellStyle name="Comma 23 2 3 2" xfId="1139" xr:uid="{00000000-0005-0000-0000-000073040000}"/>
    <cellStyle name="Comma 23 2 3 3" xfId="1140" xr:uid="{00000000-0005-0000-0000-000074040000}"/>
    <cellStyle name="Comma 23 2 4" xfId="1141" xr:uid="{00000000-0005-0000-0000-000075040000}"/>
    <cellStyle name="Comma 23 2 5" xfId="1142" xr:uid="{00000000-0005-0000-0000-000076040000}"/>
    <cellStyle name="Comma 23 3" xfId="1143" xr:uid="{00000000-0005-0000-0000-000077040000}"/>
    <cellStyle name="Comma 23 3 2" xfId="1144" xr:uid="{00000000-0005-0000-0000-000078040000}"/>
    <cellStyle name="Comma 23 3 3" xfId="1145" xr:uid="{00000000-0005-0000-0000-000079040000}"/>
    <cellStyle name="Comma 23 4" xfId="1146" xr:uid="{00000000-0005-0000-0000-00007A040000}"/>
    <cellStyle name="Comma 23 4 2" xfId="1147" xr:uid="{00000000-0005-0000-0000-00007B040000}"/>
    <cellStyle name="Comma 23 4 3" xfId="1148" xr:uid="{00000000-0005-0000-0000-00007C040000}"/>
    <cellStyle name="Comma 23 5" xfId="1149" xr:uid="{00000000-0005-0000-0000-00007D040000}"/>
    <cellStyle name="Comma 23 6" xfId="1150" xr:uid="{00000000-0005-0000-0000-00007E040000}"/>
    <cellStyle name="Comma 24" xfId="1151" xr:uid="{00000000-0005-0000-0000-00007F040000}"/>
    <cellStyle name="Comma 24 2" xfId="1152" xr:uid="{00000000-0005-0000-0000-000080040000}"/>
    <cellStyle name="Comma 24 2 2" xfId="1153" xr:uid="{00000000-0005-0000-0000-000081040000}"/>
    <cellStyle name="Comma 24 2 3" xfId="1154" xr:uid="{00000000-0005-0000-0000-000082040000}"/>
    <cellStyle name="Comma 24 3" xfId="1155" xr:uid="{00000000-0005-0000-0000-000083040000}"/>
    <cellStyle name="Comma 24 3 2" xfId="1156" xr:uid="{00000000-0005-0000-0000-000084040000}"/>
    <cellStyle name="Comma 24 3 3" xfId="1157" xr:uid="{00000000-0005-0000-0000-000085040000}"/>
    <cellStyle name="Comma 24 4" xfId="1158" xr:uid="{00000000-0005-0000-0000-000086040000}"/>
    <cellStyle name="Comma 24 5" xfId="1159" xr:uid="{00000000-0005-0000-0000-000087040000}"/>
    <cellStyle name="Comma 25" xfId="1160" xr:uid="{00000000-0005-0000-0000-000088040000}"/>
    <cellStyle name="Comma 25 2" xfId="1161" xr:uid="{00000000-0005-0000-0000-000089040000}"/>
    <cellStyle name="Comma 25 2 2" xfId="1162" xr:uid="{00000000-0005-0000-0000-00008A040000}"/>
    <cellStyle name="Comma 25 2 3" xfId="1163" xr:uid="{00000000-0005-0000-0000-00008B040000}"/>
    <cellStyle name="Comma 25 3" xfId="1164" xr:uid="{00000000-0005-0000-0000-00008C040000}"/>
    <cellStyle name="Comma 25 3 2" xfId="1165" xr:uid="{00000000-0005-0000-0000-00008D040000}"/>
    <cellStyle name="Comma 25 3 3" xfId="1166" xr:uid="{00000000-0005-0000-0000-00008E040000}"/>
    <cellStyle name="Comma 25 4" xfId="1167" xr:uid="{00000000-0005-0000-0000-00008F040000}"/>
    <cellStyle name="Comma 25 5" xfId="1168" xr:uid="{00000000-0005-0000-0000-000090040000}"/>
    <cellStyle name="Comma 25 6" xfId="1169" xr:uid="{00000000-0005-0000-0000-000091040000}"/>
    <cellStyle name="Comma 25 7" xfId="3273" xr:uid="{00000000-0005-0000-0000-0000C90C0000}"/>
    <cellStyle name="Comma 26" xfId="1170" xr:uid="{00000000-0005-0000-0000-000092040000}"/>
    <cellStyle name="Comma 26 2" xfId="1171" xr:uid="{00000000-0005-0000-0000-000093040000}"/>
    <cellStyle name="Comma 26 3" xfId="1172" xr:uid="{00000000-0005-0000-0000-000094040000}"/>
    <cellStyle name="Comma 27" xfId="1173" xr:uid="{00000000-0005-0000-0000-000095040000}"/>
    <cellStyle name="Comma 27 2" xfId="1174" xr:uid="{00000000-0005-0000-0000-000096040000}"/>
    <cellStyle name="Comma 27 3" xfId="1175" xr:uid="{00000000-0005-0000-0000-000097040000}"/>
    <cellStyle name="Comma 28" xfId="1176" xr:uid="{00000000-0005-0000-0000-000098040000}"/>
    <cellStyle name="Comma 28 2" xfId="1177" xr:uid="{00000000-0005-0000-0000-000099040000}"/>
    <cellStyle name="Comma 28 3" xfId="1178" xr:uid="{00000000-0005-0000-0000-00009A040000}"/>
    <cellStyle name="Comma 29" xfId="1179" xr:uid="{00000000-0005-0000-0000-00009B040000}"/>
    <cellStyle name="Comma 3" xfId="5" xr:uid="{00000000-0005-0000-0000-000005000000}"/>
    <cellStyle name="Comma 3 10" xfId="1181" xr:uid="{00000000-0005-0000-0000-00009D040000}"/>
    <cellStyle name="Comma 3 11" xfId="1182" xr:uid="{00000000-0005-0000-0000-00009E040000}"/>
    <cellStyle name="Comma 3 12" xfId="1183" xr:uid="{00000000-0005-0000-0000-00009F040000}"/>
    <cellStyle name="Comma 3 13" xfId="1180" xr:uid="{00000000-0005-0000-0000-00009C040000}"/>
    <cellStyle name="Comma 3 2" xfId="1184" xr:uid="{00000000-0005-0000-0000-0000A0040000}"/>
    <cellStyle name="Comma 3 2 10" xfId="1185" xr:uid="{00000000-0005-0000-0000-0000A1040000}"/>
    <cellStyle name="Comma 3 2 11" xfId="3274" xr:uid="{00000000-0005-0000-0000-0000CA0C0000}"/>
    <cellStyle name="Comma 3 2 2" xfId="1186" xr:uid="{00000000-0005-0000-0000-0000A2040000}"/>
    <cellStyle name="Comma 3 2 2 2" xfId="1187" xr:uid="{00000000-0005-0000-0000-0000A3040000}"/>
    <cellStyle name="Comma 3 2 2 3" xfId="1188" xr:uid="{00000000-0005-0000-0000-0000A4040000}"/>
    <cellStyle name="Comma 3 2 2 4" xfId="3275" xr:uid="{00000000-0005-0000-0000-0000CB0C0000}"/>
    <cellStyle name="Comma 3 2 3" xfId="1189" xr:uid="{00000000-0005-0000-0000-0000A5040000}"/>
    <cellStyle name="Comma 3 2 3 2" xfId="1190" xr:uid="{00000000-0005-0000-0000-0000A6040000}"/>
    <cellStyle name="Comma 3 2 3 2 2" xfId="1191" xr:uid="{00000000-0005-0000-0000-0000A7040000}"/>
    <cellStyle name="Comma 3 2 3 2 2 2" xfId="1192" xr:uid="{00000000-0005-0000-0000-0000A8040000}"/>
    <cellStyle name="Comma 3 2 3 2 2 3" xfId="1193" xr:uid="{00000000-0005-0000-0000-0000A9040000}"/>
    <cellStyle name="Comma 3 2 3 2 3" xfId="1194" xr:uid="{00000000-0005-0000-0000-0000AA040000}"/>
    <cellStyle name="Comma 3 2 3 2 3 2" xfId="1195" xr:uid="{00000000-0005-0000-0000-0000AB040000}"/>
    <cellStyle name="Comma 3 2 3 2 3 3" xfId="1196" xr:uid="{00000000-0005-0000-0000-0000AC040000}"/>
    <cellStyle name="Comma 3 2 3 2 4" xfId="1197" xr:uid="{00000000-0005-0000-0000-0000AD040000}"/>
    <cellStyle name="Comma 3 2 3 2 5" xfId="1198" xr:uid="{00000000-0005-0000-0000-0000AE040000}"/>
    <cellStyle name="Comma 3 2 3 3" xfId="1199" xr:uid="{00000000-0005-0000-0000-0000AF040000}"/>
    <cellStyle name="Comma 3 2 3 3 2" xfId="1200" xr:uid="{00000000-0005-0000-0000-0000B0040000}"/>
    <cellStyle name="Comma 3 2 3 3 3" xfId="1201" xr:uid="{00000000-0005-0000-0000-0000B1040000}"/>
    <cellStyle name="Comma 3 2 3 4" xfId="1202" xr:uid="{00000000-0005-0000-0000-0000B2040000}"/>
    <cellStyle name="Comma 3 2 3 4 2" xfId="1203" xr:uid="{00000000-0005-0000-0000-0000B3040000}"/>
    <cellStyle name="Comma 3 2 3 4 3" xfId="1204" xr:uid="{00000000-0005-0000-0000-0000B4040000}"/>
    <cellStyle name="Comma 3 2 3 5" xfId="1205" xr:uid="{00000000-0005-0000-0000-0000B5040000}"/>
    <cellStyle name="Comma 3 2 3 6" xfId="1206" xr:uid="{00000000-0005-0000-0000-0000B6040000}"/>
    <cellStyle name="Comma 3 2 4" xfId="1207" xr:uid="{00000000-0005-0000-0000-0000B7040000}"/>
    <cellStyle name="Comma 3 2 4 2" xfId="1208" xr:uid="{00000000-0005-0000-0000-0000B8040000}"/>
    <cellStyle name="Comma 3 2 4 2 2" xfId="1209" xr:uid="{00000000-0005-0000-0000-0000B9040000}"/>
    <cellStyle name="Comma 3 2 4 2 3" xfId="1210" xr:uid="{00000000-0005-0000-0000-0000BA040000}"/>
    <cellStyle name="Comma 3 2 4 3" xfId="1211" xr:uid="{00000000-0005-0000-0000-0000BB040000}"/>
    <cellStyle name="Comma 3 2 4 4" xfId="1212" xr:uid="{00000000-0005-0000-0000-0000BC040000}"/>
    <cellStyle name="Comma 3 2 5" xfId="1213" xr:uid="{00000000-0005-0000-0000-0000BD040000}"/>
    <cellStyle name="Comma 3 2 5 2" xfId="1214" xr:uid="{00000000-0005-0000-0000-0000BE040000}"/>
    <cellStyle name="Comma 3 2 5 3" xfId="1215" xr:uid="{00000000-0005-0000-0000-0000BF040000}"/>
    <cellStyle name="Comma 3 2 6" xfId="1216" xr:uid="{00000000-0005-0000-0000-0000C0040000}"/>
    <cellStyle name="Comma 3 2 6 2" xfId="1217" xr:uid="{00000000-0005-0000-0000-0000C1040000}"/>
    <cellStyle name="Comma 3 2 6 3" xfId="1218" xr:uid="{00000000-0005-0000-0000-0000C2040000}"/>
    <cellStyle name="Comma 3 2 7" xfId="1219" xr:uid="{00000000-0005-0000-0000-0000C3040000}"/>
    <cellStyle name="Comma 3 2 8" xfId="1220" xr:uid="{00000000-0005-0000-0000-0000C4040000}"/>
    <cellStyle name="Comma 3 2 9" xfId="1221" xr:uid="{00000000-0005-0000-0000-0000C5040000}"/>
    <cellStyle name="Comma 3 3" xfId="1222" xr:uid="{00000000-0005-0000-0000-0000C6040000}"/>
    <cellStyle name="Comma 3 3 2" xfId="1223" xr:uid="{00000000-0005-0000-0000-0000C7040000}"/>
    <cellStyle name="Comma 3 3 2 2" xfId="1224" xr:uid="{00000000-0005-0000-0000-0000C8040000}"/>
    <cellStyle name="Comma 3 3 2 3" xfId="1225" xr:uid="{00000000-0005-0000-0000-0000C9040000}"/>
    <cellStyle name="Comma 3 3 3" xfId="1226" xr:uid="{00000000-0005-0000-0000-0000CA040000}"/>
    <cellStyle name="Comma 3 3 3 2" xfId="1227" xr:uid="{00000000-0005-0000-0000-0000CB040000}"/>
    <cellStyle name="Comma 3 3 3 3" xfId="1228" xr:uid="{00000000-0005-0000-0000-0000CC040000}"/>
    <cellStyle name="Comma 3 3 4" xfId="1229" xr:uid="{00000000-0005-0000-0000-0000CD040000}"/>
    <cellStyle name="Comma 3 3 5" xfId="1230" xr:uid="{00000000-0005-0000-0000-0000CE040000}"/>
    <cellStyle name="Comma 3 3 6" xfId="1231" xr:uid="{00000000-0005-0000-0000-0000CF040000}"/>
    <cellStyle name="Comma 3 3 7" xfId="1232" xr:uid="{00000000-0005-0000-0000-0000D0040000}"/>
    <cellStyle name="Comma 3 4" xfId="1233" xr:uid="{00000000-0005-0000-0000-0000D1040000}"/>
    <cellStyle name="Comma 3 4 2" xfId="1234" xr:uid="{00000000-0005-0000-0000-0000D2040000}"/>
    <cellStyle name="Comma 3 4 2 2" xfId="1235" xr:uid="{00000000-0005-0000-0000-0000D3040000}"/>
    <cellStyle name="Comma 3 4 2 3" xfId="1236" xr:uid="{00000000-0005-0000-0000-0000D4040000}"/>
    <cellStyle name="Comma 3 4 3" xfId="1237" xr:uid="{00000000-0005-0000-0000-0000D5040000}"/>
    <cellStyle name="Comma 3 4 3 2" xfId="1238" xr:uid="{00000000-0005-0000-0000-0000D6040000}"/>
    <cellStyle name="Comma 3 4 3 3" xfId="1239" xr:uid="{00000000-0005-0000-0000-0000D7040000}"/>
    <cellStyle name="Comma 3 4 4" xfId="1240" xr:uid="{00000000-0005-0000-0000-0000D8040000}"/>
    <cellStyle name="Comma 3 4 5" xfId="1241" xr:uid="{00000000-0005-0000-0000-0000D9040000}"/>
    <cellStyle name="Comma 3 4 6" xfId="1242" xr:uid="{00000000-0005-0000-0000-0000DA040000}"/>
    <cellStyle name="Comma 3 4 7" xfId="3276" xr:uid="{00000000-0005-0000-0000-0000CC0C0000}"/>
    <cellStyle name="Comma 3 5" xfId="1243" xr:uid="{00000000-0005-0000-0000-0000DB040000}"/>
    <cellStyle name="Comma 3 5 10" xfId="1244" xr:uid="{00000000-0005-0000-0000-0000DC040000}"/>
    <cellStyle name="Comma 3 5 11" xfId="1245" xr:uid="{00000000-0005-0000-0000-0000DD040000}"/>
    <cellStyle name="Comma 3 5 2" xfId="1246" xr:uid="{00000000-0005-0000-0000-0000DE040000}"/>
    <cellStyle name="Comma 3 5 2 2" xfId="1247" xr:uid="{00000000-0005-0000-0000-0000DF040000}"/>
    <cellStyle name="Comma 3 5 2 2 2" xfId="1248" xr:uid="{00000000-0005-0000-0000-0000E0040000}"/>
    <cellStyle name="Comma 3 5 2 2 2 2" xfId="1249" xr:uid="{00000000-0005-0000-0000-0000E1040000}"/>
    <cellStyle name="Comma 3 5 2 2 2 3" xfId="1250" xr:uid="{00000000-0005-0000-0000-0000E2040000}"/>
    <cellStyle name="Comma 3 5 2 2 3" xfId="1251" xr:uid="{00000000-0005-0000-0000-0000E3040000}"/>
    <cellStyle name="Comma 3 5 2 2 3 2" xfId="1252" xr:uid="{00000000-0005-0000-0000-0000E4040000}"/>
    <cellStyle name="Comma 3 5 2 2 3 3" xfId="1253" xr:uid="{00000000-0005-0000-0000-0000E5040000}"/>
    <cellStyle name="Comma 3 5 2 2 4" xfId="1254" xr:uid="{00000000-0005-0000-0000-0000E6040000}"/>
    <cellStyle name="Comma 3 5 2 2 5" xfId="1255" xr:uid="{00000000-0005-0000-0000-0000E7040000}"/>
    <cellStyle name="Comma 3 5 2 3" xfId="1256" xr:uid="{00000000-0005-0000-0000-0000E8040000}"/>
    <cellStyle name="Comma 3 5 2 3 2" xfId="1257" xr:uid="{00000000-0005-0000-0000-0000E9040000}"/>
    <cellStyle name="Comma 3 5 2 3 3" xfId="1258" xr:uid="{00000000-0005-0000-0000-0000EA040000}"/>
    <cellStyle name="Comma 3 5 2 4" xfId="1259" xr:uid="{00000000-0005-0000-0000-0000EB040000}"/>
    <cellStyle name="Comma 3 5 2 4 2" xfId="1260" xr:uid="{00000000-0005-0000-0000-0000EC040000}"/>
    <cellStyle name="Comma 3 5 2 4 3" xfId="1261" xr:uid="{00000000-0005-0000-0000-0000ED040000}"/>
    <cellStyle name="Comma 3 5 2 5" xfId="1262" xr:uid="{00000000-0005-0000-0000-0000EE040000}"/>
    <cellStyle name="Comma 3 5 2 6" xfId="1263" xr:uid="{00000000-0005-0000-0000-0000EF040000}"/>
    <cellStyle name="Comma 3 5 2 7" xfId="1264" xr:uid="{00000000-0005-0000-0000-0000F0040000}"/>
    <cellStyle name="Comma 3 5 3" xfId="1265" xr:uid="{00000000-0005-0000-0000-0000F1040000}"/>
    <cellStyle name="Comma 3 5 3 2" xfId="1266" xr:uid="{00000000-0005-0000-0000-0000F2040000}"/>
    <cellStyle name="Comma 3 5 3 2 2" xfId="1267" xr:uid="{00000000-0005-0000-0000-0000F3040000}"/>
    <cellStyle name="Comma 3 5 3 2 3" xfId="1268" xr:uid="{00000000-0005-0000-0000-0000F4040000}"/>
    <cellStyle name="Comma 3 5 3 3" xfId="1269" xr:uid="{00000000-0005-0000-0000-0000F5040000}"/>
    <cellStyle name="Comma 3 5 3 3 2" xfId="1270" xr:uid="{00000000-0005-0000-0000-0000F6040000}"/>
    <cellStyle name="Comma 3 5 3 3 3" xfId="1271" xr:uid="{00000000-0005-0000-0000-0000F7040000}"/>
    <cellStyle name="Comma 3 5 3 4" xfId="1272" xr:uid="{00000000-0005-0000-0000-0000F8040000}"/>
    <cellStyle name="Comma 3 5 3 5" xfId="1273" xr:uid="{00000000-0005-0000-0000-0000F9040000}"/>
    <cellStyle name="Comma 3 5 4" xfId="1274" xr:uid="{00000000-0005-0000-0000-0000FA040000}"/>
    <cellStyle name="Comma 3 5 4 2" xfId="1275" xr:uid="{00000000-0005-0000-0000-0000FB040000}"/>
    <cellStyle name="Comma 3 5 4 2 2" xfId="1276" xr:uid="{00000000-0005-0000-0000-0000FC040000}"/>
    <cellStyle name="Comma 3 5 4 2 3" xfId="1277" xr:uid="{00000000-0005-0000-0000-0000FD040000}"/>
    <cellStyle name="Comma 3 5 4 3" xfId="1278" xr:uid="{00000000-0005-0000-0000-0000FE040000}"/>
    <cellStyle name="Comma 3 5 4 4" xfId="1279" xr:uid="{00000000-0005-0000-0000-0000FF040000}"/>
    <cellStyle name="Comma 3 5 5" xfId="1280" xr:uid="{00000000-0005-0000-0000-000000050000}"/>
    <cellStyle name="Comma 3 5 5 2" xfId="1281" xr:uid="{00000000-0005-0000-0000-000001050000}"/>
    <cellStyle name="Comma 3 5 5 3" xfId="1282" xr:uid="{00000000-0005-0000-0000-000002050000}"/>
    <cellStyle name="Comma 3 5 6" xfId="1283" xr:uid="{00000000-0005-0000-0000-000003050000}"/>
    <cellStyle name="Comma 3 5 6 2" xfId="1284" xr:uid="{00000000-0005-0000-0000-000004050000}"/>
    <cellStyle name="Comma 3 5 6 3" xfId="1285" xr:uid="{00000000-0005-0000-0000-000005050000}"/>
    <cellStyle name="Comma 3 5 7" xfId="1286" xr:uid="{00000000-0005-0000-0000-000006050000}"/>
    <cellStyle name="Comma 3 5 8" xfId="1287" xr:uid="{00000000-0005-0000-0000-000007050000}"/>
    <cellStyle name="Comma 3 5 9" xfId="1288" xr:uid="{00000000-0005-0000-0000-000008050000}"/>
    <cellStyle name="Comma 3 6" xfId="1289" xr:uid="{00000000-0005-0000-0000-000009050000}"/>
    <cellStyle name="Comma 3 7" xfId="1290" xr:uid="{00000000-0005-0000-0000-00000A050000}"/>
    <cellStyle name="Comma 3 7 2" xfId="1291" xr:uid="{00000000-0005-0000-0000-00000B050000}"/>
    <cellStyle name="Comma 3 7 3" xfId="1292" xr:uid="{00000000-0005-0000-0000-00000C050000}"/>
    <cellStyle name="Comma 3 8" xfId="1293" xr:uid="{00000000-0005-0000-0000-00000D050000}"/>
    <cellStyle name="Comma 3 8 2" xfId="1294" xr:uid="{00000000-0005-0000-0000-00000E050000}"/>
    <cellStyle name="Comma 3 8 3" xfId="1295" xr:uid="{00000000-0005-0000-0000-00000F050000}"/>
    <cellStyle name="Comma 3 9" xfId="1296" xr:uid="{00000000-0005-0000-0000-000010050000}"/>
    <cellStyle name="Comma 30" xfId="1297" xr:uid="{00000000-0005-0000-0000-000011050000}"/>
    <cellStyle name="Comma 31" xfId="1298" xr:uid="{00000000-0005-0000-0000-000012050000}"/>
    <cellStyle name="Comma 32" xfId="1299" xr:uid="{00000000-0005-0000-0000-000013050000}"/>
    <cellStyle name="Comma 33" xfId="1300" xr:uid="{00000000-0005-0000-0000-000014050000}"/>
    <cellStyle name="Comma 33 2" xfId="3277" xr:uid="{00000000-0005-0000-0000-0000CD0C0000}"/>
    <cellStyle name="Comma 34" xfId="295" xr:uid="{00000000-0005-0000-0000-000027010000}"/>
    <cellStyle name="Comma 4" xfId="1301" xr:uid="{00000000-0005-0000-0000-000015050000}"/>
    <cellStyle name="Comma 4 10" xfId="3278" xr:uid="{00000000-0005-0000-0000-0000CE0C0000}"/>
    <cellStyle name="Comma 4 2" xfId="1302" xr:uid="{00000000-0005-0000-0000-000016050000}"/>
    <cellStyle name="Comma 4 2 2" xfId="1303" xr:uid="{00000000-0005-0000-0000-000017050000}"/>
    <cellStyle name="Comma 4 2 2 2" xfId="1304" xr:uid="{00000000-0005-0000-0000-000018050000}"/>
    <cellStyle name="Comma 4 2 2 3" xfId="1305" xr:uid="{00000000-0005-0000-0000-000019050000}"/>
    <cellStyle name="Comma 4 2 3" xfId="1306" xr:uid="{00000000-0005-0000-0000-00001A050000}"/>
    <cellStyle name="Comma 4 2 3 2" xfId="1307" xr:uid="{00000000-0005-0000-0000-00001B050000}"/>
    <cellStyle name="Comma 4 2 3 3" xfId="1308" xr:uid="{00000000-0005-0000-0000-00001C050000}"/>
    <cellStyle name="Comma 4 2 4" xfId="1309" xr:uid="{00000000-0005-0000-0000-00001D050000}"/>
    <cellStyle name="Comma 4 2 4 2" xfId="1310" xr:uid="{00000000-0005-0000-0000-00001E050000}"/>
    <cellStyle name="Comma 4 2 4 3" xfId="1311" xr:uid="{00000000-0005-0000-0000-00001F050000}"/>
    <cellStyle name="Comma 4 2 5" xfId="1312" xr:uid="{00000000-0005-0000-0000-000020050000}"/>
    <cellStyle name="Comma 4 2 5 2" xfId="1313" xr:uid="{00000000-0005-0000-0000-000021050000}"/>
    <cellStyle name="Comma 4 2 5 3" xfId="1314" xr:uid="{00000000-0005-0000-0000-000022050000}"/>
    <cellStyle name="Comma 4 2 6" xfId="1315" xr:uid="{00000000-0005-0000-0000-000023050000}"/>
    <cellStyle name="Comma 4 2 7" xfId="1316" xr:uid="{00000000-0005-0000-0000-000024050000}"/>
    <cellStyle name="Comma 4 2 8" xfId="1317" xr:uid="{00000000-0005-0000-0000-000025050000}"/>
    <cellStyle name="Comma 4 2 9" xfId="1318" xr:uid="{00000000-0005-0000-0000-000026050000}"/>
    <cellStyle name="Comma 4 3" xfId="1319" xr:uid="{00000000-0005-0000-0000-000027050000}"/>
    <cellStyle name="Comma 4 3 2" xfId="1320" xr:uid="{00000000-0005-0000-0000-000028050000}"/>
    <cellStyle name="Comma 4 3 2 2" xfId="1321" xr:uid="{00000000-0005-0000-0000-000029050000}"/>
    <cellStyle name="Comma 4 3 2 3" xfId="1322" xr:uid="{00000000-0005-0000-0000-00002A050000}"/>
    <cellStyle name="Comma 4 3 3" xfId="1323" xr:uid="{00000000-0005-0000-0000-00002B050000}"/>
    <cellStyle name="Comma 4 3 4" xfId="1324" xr:uid="{00000000-0005-0000-0000-00002C050000}"/>
    <cellStyle name="Comma 4 3 5" xfId="1325" xr:uid="{00000000-0005-0000-0000-00002D050000}"/>
    <cellStyle name="Comma 4 4" xfId="1326" xr:uid="{00000000-0005-0000-0000-00002E050000}"/>
    <cellStyle name="Comma 4 4 2" xfId="1327" xr:uid="{00000000-0005-0000-0000-00002F050000}"/>
    <cellStyle name="Comma 4 4 3" xfId="1328" xr:uid="{00000000-0005-0000-0000-000030050000}"/>
    <cellStyle name="Comma 4 5" xfId="1329" xr:uid="{00000000-0005-0000-0000-000031050000}"/>
    <cellStyle name="Comma 4 5 2" xfId="1330" xr:uid="{00000000-0005-0000-0000-000032050000}"/>
    <cellStyle name="Comma 4 5 3" xfId="1331" xr:uid="{00000000-0005-0000-0000-000033050000}"/>
    <cellStyle name="Comma 4 6" xfId="1332" xr:uid="{00000000-0005-0000-0000-000034050000}"/>
    <cellStyle name="Comma 4 7" xfId="1333" xr:uid="{00000000-0005-0000-0000-000035050000}"/>
    <cellStyle name="Comma 4 8" xfId="1334" xr:uid="{00000000-0005-0000-0000-000036050000}"/>
    <cellStyle name="Comma 4 9" xfId="1335" xr:uid="{00000000-0005-0000-0000-000037050000}"/>
    <cellStyle name="Comma 5" xfId="1336" xr:uid="{00000000-0005-0000-0000-000038050000}"/>
    <cellStyle name="Comma 5 2" xfId="1337" xr:uid="{00000000-0005-0000-0000-000039050000}"/>
    <cellStyle name="Comma 5 2 2" xfId="1338" xr:uid="{00000000-0005-0000-0000-00003A050000}"/>
    <cellStyle name="Comma 5 2 2 2" xfId="1339" xr:uid="{00000000-0005-0000-0000-00003B050000}"/>
    <cellStyle name="Comma 5 2 2 3" xfId="1340" xr:uid="{00000000-0005-0000-0000-00003C050000}"/>
    <cellStyle name="Comma 5 2 3" xfId="1341" xr:uid="{00000000-0005-0000-0000-00003D050000}"/>
    <cellStyle name="Comma 5 2 3 2" xfId="1342" xr:uid="{00000000-0005-0000-0000-00003E050000}"/>
    <cellStyle name="Comma 5 2 3 3" xfId="1343" xr:uid="{00000000-0005-0000-0000-00003F050000}"/>
    <cellStyle name="Comma 5 2 4" xfId="1344" xr:uid="{00000000-0005-0000-0000-000040050000}"/>
    <cellStyle name="Comma 5 2 4 2" xfId="1345" xr:uid="{00000000-0005-0000-0000-000041050000}"/>
    <cellStyle name="Comma 5 2 4 3" xfId="1346" xr:uid="{00000000-0005-0000-0000-000042050000}"/>
    <cellStyle name="Comma 5 2 5" xfId="1347" xr:uid="{00000000-0005-0000-0000-000043050000}"/>
    <cellStyle name="Comma 5 2 5 2" xfId="1348" xr:uid="{00000000-0005-0000-0000-000044050000}"/>
    <cellStyle name="Comma 5 2 5 3" xfId="1349" xr:uid="{00000000-0005-0000-0000-000045050000}"/>
    <cellStyle name="Comma 5 2 6" xfId="1350" xr:uid="{00000000-0005-0000-0000-000046050000}"/>
    <cellStyle name="Comma 5 2 7" xfId="1351" xr:uid="{00000000-0005-0000-0000-000047050000}"/>
    <cellStyle name="Comma 5 2 8" xfId="1352" xr:uid="{00000000-0005-0000-0000-000048050000}"/>
    <cellStyle name="Comma 5 2 9" xfId="1353" xr:uid="{00000000-0005-0000-0000-000049050000}"/>
    <cellStyle name="Comma 5 3" xfId="1354" xr:uid="{00000000-0005-0000-0000-00004A050000}"/>
    <cellStyle name="Comma 5 3 2" xfId="1355" xr:uid="{00000000-0005-0000-0000-00004B050000}"/>
    <cellStyle name="Comma 5 3 3" xfId="1356" xr:uid="{00000000-0005-0000-0000-00004C050000}"/>
    <cellStyle name="Comma 5 3 4" xfId="1357" xr:uid="{00000000-0005-0000-0000-00004D050000}"/>
    <cellStyle name="Comma 5 4" xfId="1358" xr:uid="{00000000-0005-0000-0000-00004E050000}"/>
    <cellStyle name="Comma 5 4 2" xfId="1359" xr:uid="{00000000-0005-0000-0000-00004F050000}"/>
    <cellStyle name="Comma 5 4 3" xfId="1360" xr:uid="{00000000-0005-0000-0000-000050050000}"/>
    <cellStyle name="Comma 5 5" xfId="1361" xr:uid="{00000000-0005-0000-0000-000051050000}"/>
    <cellStyle name="Comma 5 6" xfId="1362" xr:uid="{00000000-0005-0000-0000-000052050000}"/>
    <cellStyle name="Comma 5 7" xfId="1363" xr:uid="{00000000-0005-0000-0000-000053050000}"/>
    <cellStyle name="Comma 5 8" xfId="3279" xr:uid="{00000000-0005-0000-0000-0000CF0C0000}"/>
    <cellStyle name="Comma 6" xfId="1364" xr:uid="{00000000-0005-0000-0000-000054050000}"/>
    <cellStyle name="Comma 6 2" xfId="1365" xr:uid="{00000000-0005-0000-0000-000055050000}"/>
    <cellStyle name="Comma 6 2 2" xfId="1366" xr:uid="{00000000-0005-0000-0000-000056050000}"/>
    <cellStyle name="Comma 6 2 2 2" xfId="1367" xr:uid="{00000000-0005-0000-0000-000057050000}"/>
    <cellStyle name="Comma 6 2 2 3" xfId="1368" xr:uid="{00000000-0005-0000-0000-000058050000}"/>
    <cellStyle name="Comma 6 2 3" xfId="1369" xr:uid="{00000000-0005-0000-0000-000059050000}"/>
    <cellStyle name="Comma 6 2 3 2" xfId="1370" xr:uid="{00000000-0005-0000-0000-00005A050000}"/>
    <cellStyle name="Comma 6 2 3 3" xfId="1371" xr:uid="{00000000-0005-0000-0000-00005B050000}"/>
    <cellStyle name="Comma 6 2 4" xfId="1372" xr:uid="{00000000-0005-0000-0000-00005C050000}"/>
    <cellStyle name="Comma 6 2 5" xfId="1373" xr:uid="{00000000-0005-0000-0000-00005D050000}"/>
    <cellStyle name="Comma 6 2 6" xfId="1374" xr:uid="{00000000-0005-0000-0000-00005E050000}"/>
    <cellStyle name="Comma 7" xfId="1375" xr:uid="{00000000-0005-0000-0000-00005F050000}"/>
    <cellStyle name="Comma 7 10" xfId="1376" xr:uid="{00000000-0005-0000-0000-000060050000}"/>
    <cellStyle name="Comma 7 2" xfId="1377" xr:uid="{00000000-0005-0000-0000-000061050000}"/>
    <cellStyle name="Comma 7 2 2" xfId="1378" xr:uid="{00000000-0005-0000-0000-000062050000}"/>
    <cellStyle name="Comma 7 2 3" xfId="1379" xr:uid="{00000000-0005-0000-0000-000063050000}"/>
    <cellStyle name="Comma 7 2 3 2" xfId="1380" xr:uid="{00000000-0005-0000-0000-000064050000}"/>
    <cellStyle name="Comma 7 2 3 2 2" xfId="1381" xr:uid="{00000000-0005-0000-0000-000065050000}"/>
    <cellStyle name="Comma 7 2 3 2 2 2" xfId="1382" xr:uid="{00000000-0005-0000-0000-000066050000}"/>
    <cellStyle name="Comma 7 2 3 2 2 2 2" xfId="1383" xr:uid="{00000000-0005-0000-0000-000067050000}"/>
    <cellStyle name="Comma 7 2 3 2 2 2 3" xfId="1384" xr:uid="{00000000-0005-0000-0000-000068050000}"/>
    <cellStyle name="Comma 7 2 3 2 2 3" xfId="1385" xr:uid="{00000000-0005-0000-0000-000069050000}"/>
    <cellStyle name="Comma 7 2 3 2 2 3 2" xfId="1386" xr:uid="{00000000-0005-0000-0000-00006A050000}"/>
    <cellStyle name="Comma 7 2 3 2 2 3 3" xfId="1387" xr:uid="{00000000-0005-0000-0000-00006B050000}"/>
    <cellStyle name="Comma 7 2 3 2 2 4" xfId="1388" xr:uid="{00000000-0005-0000-0000-00006C050000}"/>
    <cellStyle name="Comma 7 2 3 2 2 5" xfId="1389" xr:uid="{00000000-0005-0000-0000-00006D050000}"/>
    <cellStyle name="Comma 7 2 3 2 3" xfId="1390" xr:uid="{00000000-0005-0000-0000-00006E050000}"/>
    <cellStyle name="Comma 7 2 3 2 3 2" xfId="1391" xr:uid="{00000000-0005-0000-0000-00006F050000}"/>
    <cellStyle name="Comma 7 2 3 2 3 3" xfId="1392" xr:uid="{00000000-0005-0000-0000-000070050000}"/>
    <cellStyle name="Comma 7 2 3 2 4" xfId="1393" xr:uid="{00000000-0005-0000-0000-000071050000}"/>
    <cellStyle name="Comma 7 2 3 2 4 2" xfId="1394" xr:uid="{00000000-0005-0000-0000-000072050000}"/>
    <cellStyle name="Comma 7 2 3 2 4 3" xfId="1395" xr:uid="{00000000-0005-0000-0000-000073050000}"/>
    <cellStyle name="Comma 7 2 3 2 5" xfId="1396" xr:uid="{00000000-0005-0000-0000-000074050000}"/>
    <cellStyle name="Comma 7 2 3 2 6" xfId="1397" xr:uid="{00000000-0005-0000-0000-000075050000}"/>
    <cellStyle name="Comma 7 2 3 3" xfId="1398" xr:uid="{00000000-0005-0000-0000-000076050000}"/>
    <cellStyle name="Comma 7 2 3 3 2" xfId="1399" xr:uid="{00000000-0005-0000-0000-000077050000}"/>
    <cellStyle name="Comma 7 2 3 3 2 2" xfId="1400" xr:uid="{00000000-0005-0000-0000-000078050000}"/>
    <cellStyle name="Comma 7 2 3 3 2 3" xfId="1401" xr:uid="{00000000-0005-0000-0000-000079050000}"/>
    <cellStyle name="Comma 7 2 3 3 3" xfId="1402" xr:uid="{00000000-0005-0000-0000-00007A050000}"/>
    <cellStyle name="Comma 7 2 3 3 4" xfId="1403" xr:uid="{00000000-0005-0000-0000-00007B050000}"/>
    <cellStyle name="Comma 7 2 3 4" xfId="1404" xr:uid="{00000000-0005-0000-0000-00007C050000}"/>
    <cellStyle name="Comma 7 3" xfId="1405" xr:uid="{00000000-0005-0000-0000-00007D050000}"/>
    <cellStyle name="Comma 7 3 2" xfId="1406" xr:uid="{00000000-0005-0000-0000-00007E050000}"/>
    <cellStyle name="Comma 7 3 2 2" xfId="1407" xr:uid="{00000000-0005-0000-0000-00007F050000}"/>
    <cellStyle name="Comma 7 3 2 2 2" xfId="1408" xr:uid="{00000000-0005-0000-0000-000080050000}"/>
    <cellStyle name="Comma 7 3 2 2 2 2" xfId="1409" xr:uid="{00000000-0005-0000-0000-000081050000}"/>
    <cellStyle name="Comma 7 3 2 2 2 3" xfId="1410" xr:uid="{00000000-0005-0000-0000-000082050000}"/>
    <cellStyle name="Comma 7 3 2 2 3" xfId="1411" xr:uid="{00000000-0005-0000-0000-000083050000}"/>
    <cellStyle name="Comma 7 3 2 2 3 2" xfId="1412" xr:uid="{00000000-0005-0000-0000-000084050000}"/>
    <cellStyle name="Comma 7 3 2 2 3 3" xfId="1413" xr:uid="{00000000-0005-0000-0000-000085050000}"/>
    <cellStyle name="Comma 7 3 2 2 4" xfId="1414" xr:uid="{00000000-0005-0000-0000-000086050000}"/>
    <cellStyle name="Comma 7 3 2 2 5" xfId="1415" xr:uid="{00000000-0005-0000-0000-000087050000}"/>
    <cellStyle name="Comma 7 3 2 3" xfId="1416" xr:uid="{00000000-0005-0000-0000-000088050000}"/>
    <cellStyle name="Comma 7 3 2 3 2" xfId="1417" xr:uid="{00000000-0005-0000-0000-000089050000}"/>
    <cellStyle name="Comma 7 3 2 3 3" xfId="1418" xr:uid="{00000000-0005-0000-0000-00008A050000}"/>
    <cellStyle name="Comma 7 3 2 4" xfId="1419" xr:uid="{00000000-0005-0000-0000-00008B050000}"/>
    <cellStyle name="Comma 7 3 2 4 2" xfId="1420" xr:uid="{00000000-0005-0000-0000-00008C050000}"/>
    <cellStyle name="Comma 7 3 2 4 3" xfId="1421" xr:uid="{00000000-0005-0000-0000-00008D050000}"/>
    <cellStyle name="Comma 7 3 2 5" xfId="1422" xr:uid="{00000000-0005-0000-0000-00008E050000}"/>
    <cellStyle name="Comma 7 3 2 6" xfId="1423" xr:uid="{00000000-0005-0000-0000-00008F050000}"/>
    <cellStyle name="Comma 7 3 3" xfId="1424" xr:uid="{00000000-0005-0000-0000-000090050000}"/>
    <cellStyle name="Comma 7 3 3 2" xfId="1425" xr:uid="{00000000-0005-0000-0000-000091050000}"/>
    <cellStyle name="Comma 7 3 3 2 2" xfId="1426" xr:uid="{00000000-0005-0000-0000-000092050000}"/>
    <cellStyle name="Comma 7 3 3 2 3" xfId="1427" xr:uid="{00000000-0005-0000-0000-000093050000}"/>
    <cellStyle name="Comma 7 3 3 3" xfId="1428" xr:uid="{00000000-0005-0000-0000-000094050000}"/>
    <cellStyle name="Comma 7 3 3 4" xfId="1429" xr:uid="{00000000-0005-0000-0000-000095050000}"/>
    <cellStyle name="Comma 7 3 4" xfId="1430" xr:uid="{00000000-0005-0000-0000-000096050000}"/>
    <cellStyle name="Comma 7 4" xfId="1431" xr:uid="{00000000-0005-0000-0000-000097050000}"/>
    <cellStyle name="Comma 7 4 2" xfId="1432" xr:uid="{00000000-0005-0000-0000-000098050000}"/>
    <cellStyle name="Comma 7 4 2 2" xfId="1433" xr:uid="{00000000-0005-0000-0000-000099050000}"/>
    <cellStyle name="Comma 7 4 2 2 2" xfId="1434" xr:uid="{00000000-0005-0000-0000-00009A050000}"/>
    <cellStyle name="Comma 7 4 2 2 3" xfId="1435" xr:uid="{00000000-0005-0000-0000-00009B050000}"/>
    <cellStyle name="Comma 7 4 2 3" xfId="1436" xr:uid="{00000000-0005-0000-0000-00009C050000}"/>
    <cellStyle name="Comma 7 4 2 3 2" xfId="1437" xr:uid="{00000000-0005-0000-0000-00009D050000}"/>
    <cellStyle name="Comma 7 4 2 3 3" xfId="1438" xr:uid="{00000000-0005-0000-0000-00009E050000}"/>
    <cellStyle name="Comma 7 4 2 4" xfId="1439" xr:uid="{00000000-0005-0000-0000-00009F050000}"/>
    <cellStyle name="Comma 7 4 2 5" xfId="1440" xr:uid="{00000000-0005-0000-0000-0000A0050000}"/>
    <cellStyle name="Comma 7 4 3" xfId="1441" xr:uid="{00000000-0005-0000-0000-0000A1050000}"/>
    <cellStyle name="Comma 7 4 3 2" xfId="1442" xr:uid="{00000000-0005-0000-0000-0000A2050000}"/>
    <cellStyle name="Comma 7 4 3 3" xfId="1443" xr:uid="{00000000-0005-0000-0000-0000A3050000}"/>
    <cellStyle name="Comma 7 4 4" xfId="1444" xr:uid="{00000000-0005-0000-0000-0000A4050000}"/>
    <cellStyle name="Comma 7 4 4 2" xfId="1445" xr:uid="{00000000-0005-0000-0000-0000A5050000}"/>
    <cellStyle name="Comma 7 4 4 3" xfId="1446" xr:uid="{00000000-0005-0000-0000-0000A6050000}"/>
    <cellStyle name="Comma 7 4 5" xfId="1447" xr:uid="{00000000-0005-0000-0000-0000A7050000}"/>
    <cellStyle name="Comma 7 4 6" xfId="1448" xr:uid="{00000000-0005-0000-0000-0000A8050000}"/>
    <cellStyle name="Comma 7 5" xfId="1449" xr:uid="{00000000-0005-0000-0000-0000A9050000}"/>
    <cellStyle name="Comma 7 5 2" xfId="1450" xr:uid="{00000000-0005-0000-0000-0000AA050000}"/>
    <cellStyle name="Comma 7 5 2 2" xfId="1451" xr:uid="{00000000-0005-0000-0000-0000AB050000}"/>
    <cellStyle name="Comma 7 5 2 3" xfId="1452" xr:uid="{00000000-0005-0000-0000-0000AC050000}"/>
    <cellStyle name="Comma 7 5 3" xfId="1453" xr:uid="{00000000-0005-0000-0000-0000AD050000}"/>
    <cellStyle name="Comma 7 5 4" xfId="1454" xr:uid="{00000000-0005-0000-0000-0000AE050000}"/>
    <cellStyle name="Comma 7 6" xfId="1455" xr:uid="{00000000-0005-0000-0000-0000AF050000}"/>
    <cellStyle name="Comma 7 6 2" xfId="1456" xr:uid="{00000000-0005-0000-0000-0000B0050000}"/>
    <cellStyle name="Comma 7 6 3" xfId="1457" xr:uid="{00000000-0005-0000-0000-0000B1050000}"/>
    <cellStyle name="Comma 7 7" xfId="1458" xr:uid="{00000000-0005-0000-0000-0000B2050000}"/>
    <cellStyle name="Comma 7 7 2" xfId="1459" xr:uid="{00000000-0005-0000-0000-0000B3050000}"/>
    <cellStyle name="Comma 7 7 3" xfId="1460" xr:uid="{00000000-0005-0000-0000-0000B4050000}"/>
    <cellStyle name="Comma 7 8" xfId="1461" xr:uid="{00000000-0005-0000-0000-0000B5050000}"/>
    <cellStyle name="Comma 7 9" xfId="1462" xr:uid="{00000000-0005-0000-0000-0000B6050000}"/>
    <cellStyle name="Comma 8" xfId="1463" xr:uid="{00000000-0005-0000-0000-0000B7050000}"/>
    <cellStyle name="Comma 8 10" xfId="1464" xr:uid="{00000000-0005-0000-0000-0000B8050000}"/>
    <cellStyle name="Comma 8 10 2" xfId="1465" xr:uid="{00000000-0005-0000-0000-0000B9050000}"/>
    <cellStyle name="Comma 8 10 3" xfId="1466" xr:uid="{00000000-0005-0000-0000-0000BA050000}"/>
    <cellStyle name="Comma 8 11" xfId="1467" xr:uid="{00000000-0005-0000-0000-0000BB050000}"/>
    <cellStyle name="Comma 8 12" xfId="1468" xr:uid="{00000000-0005-0000-0000-0000BC050000}"/>
    <cellStyle name="Comma 8 13" xfId="1469" xr:uid="{00000000-0005-0000-0000-0000BD050000}"/>
    <cellStyle name="Comma 8 2" xfId="1470" xr:uid="{00000000-0005-0000-0000-0000BE050000}"/>
    <cellStyle name="Comma 8 3" xfId="1471" xr:uid="{00000000-0005-0000-0000-0000BF050000}"/>
    <cellStyle name="Comma 8 3 2" xfId="1472" xr:uid="{00000000-0005-0000-0000-0000C0050000}"/>
    <cellStyle name="Comma 8 3 2 2" xfId="1473" xr:uid="{00000000-0005-0000-0000-0000C1050000}"/>
    <cellStyle name="Comma 8 3 2 2 2" xfId="1474" xr:uid="{00000000-0005-0000-0000-0000C2050000}"/>
    <cellStyle name="Comma 8 3 2 2 2 2" xfId="1475" xr:uid="{00000000-0005-0000-0000-0000C3050000}"/>
    <cellStyle name="Comma 8 3 2 2 2 3" xfId="1476" xr:uid="{00000000-0005-0000-0000-0000C4050000}"/>
    <cellStyle name="Comma 8 3 2 2 3" xfId="1477" xr:uid="{00000000-0005-0000-0000-0000C5050000}"/>
    <cellStyle name="Comma 8 3 2 2 3 2" xfId="1478" xr:uid="{00000000-0005-0000-0000-0000C6050000}"/>
    <cellStyle name="Comma 8 3 2 2 3 3" xfId="1479" xr:uid="{00000000-0005-0000-0000-0000C7050000}"/>
    <cellStyle name="Comma 8 3 2 2 4" xfId="1480" xr:uid="{00000000-0005-0000-0000-0000C8050000}"/>
    <cellStyle name="Comma 8 3 2 2 5" xfId="1481" xr:uid="{00000000-0005-0000-0000-0000C9050000}"/>
    <cellStyle name="Comma 8 3 2 3" xfId="1482" xr:uid="{00000000-0005-0000-0000-0000CA050000}"/>
    <cellStyle name="Comma 8 3 2 3 2" xfId="1483" xr:uid="{00000000-0005-0000-0000-0000CB050000}"/>
    <cellStyle name="Comma 8 3 2 3 3" xfId="1484" xr:uid="{00000000-0005-0000-0000-0000CC050000}"/>
    <cellStyle name="Comma 8 3 2 4" xfId="1485" xr:uid="{00000000-0005-0000-0000-0000CD050000}"/>
    <cellStyle name="Comma 8 3 2 4 2" xfId="1486" xr:uid="{00000000-0005-0000-0000-0000CE050000}"/>
    <cellStyle name="Comma 8 3 2 4 3" xfId="1487" xr:uid="{00000000-0005-0000-0000-0000CF050000}"/>
    <cellStyle name="Comma 8 3 2 5" xfId="1488" xr:uid="{00000000-0005-0000-0000-0000D0050000}"/>
    <cellStyle name="Comma 8 3 2 6" xfId="1489" xr:uid="{00000000-0005-0000-0000-0000D1050000}"/>
    <cellStyle name="Comma 8 3 3" xfId="1490" xr:uid="{00000000-0005-0000-0000-0000D2050000}"/>
    <cellStyle name="Comma 8 3 3 2" xfId="1491" xr:uid="{00000000-0005-0000-0000-0000D3050000}"/>
    <cellStyle name="Comma 8 3 3 2 2" xfId="1492" xr:uid="{00000000-0005-0000-0000-0000D4050000}"/>
    <cellStyle name="Comma 8 3 3 2 3" xfId="1493" xr:uid="{00000000-0005-0000-0000-0000D5050000}"/>
    <cellStyle name="Comma 8 3 3 3" xfId="1494" xr:uid="{00000000-0005-0000-0000-0000D6050000}"/>
    <cellStyle name="Comma 8 3 3 3 2" xfId="1495" xr:uid="{00000000-0005-0000-0000-0000D7050000}"/>
    <cellStyle name="Comma 8 3 3 3 3" xfId="1496" xr:uid="{00000000-0005-0000-0000-0000D8050000}"/>
    <cellStyle name="Comma 8 3 3 4" xfId="1497" xr:uid="{00000000-0005-0000-0000-0000D9050000}"/>
    <cellStyle name="Comma 8 3 3 5" xfId="1498" xr:uid="{00000000-0005-0000-0000-0000DA050000}"/>
    <cellStyle name="Comma 8 3 4" xfId="1499" xr:uid="{00000000-0005-0000-0000-0000DB050000}"/>
    <cellStyle name="Comma 8 3 4 2" xfId="1500" xr:uid="{00000000-0005-0000-0000-0000DC050000}"/>
    <cellStyle name="Comma 8 3 4 2 2" xfId="1501" xr:uid="{00000000-0005-0000-0000-0000DD050000}"/>
    <cellStyle name="Comma 8 3 4 2 3" xfId="1502" xr:uid="{00000000-0005-0000-0000-0000DE050000}"/>
    <cellStyle name="Comma 8 3 4 3" xfId="1503" xr:uid="{00000000-0005-0000-0000-0000DF050000}"/>
    <cellStyle name="Comma 8 3 4 4" xfId="1504" xr:uid="{00000000-0005-0000-0000-0000E0050000}"/>
    <cellStyle name="Comma 8 3 5" xfId="1505" xr:uid="{00000000-0005-0000-0000-0000E1050000}"/>
    <cellStyle name="Comma 8 3 5 2" xfId="1506" xr:uid="{00000000-0005-0000-0000-0000E2050000}"/>
    <cellStyle name="Comma 8 3 5 3" xfId="1507" xr:uid="{00000000-0005-0000-0000-0000E3050000}"/>
    <cellStyle name="Comma 8 3 6" xfId="1508" xr:uid="{00000000-0005-0000-0000-0000E4050000}"/>
    <cellStyle name="Comma 8 3 6 2" xfId="1509" xr:uid="{00000000-0005-0000-0000-0000E5050000}"/>
    <cellStyle name="Comma 8 3 6 3" xfId="1510" xr:uid="{00000000-0005-0000-0000-0000E6050000}"/>
    <cellStyle name="Comma 8 3 7" xfId="1511" xr:uid="{00000000-0005-0000-0000-0000E7050000}"/>
    <cellStyle name="Comma 8 3 8" xfId="1512" xr:uid="{00000000-0005-0000-0000-0000E8050000}"/>
    <cellStyle name="Comma 8 4" xfId="1513" xr:uid="{00000000-0005-0000-0000-0000E9050000}"/>
    <cellStyle name="Comma 8 4 2" xfId="1514" xr:uid="{00000000-0005-0000-0000-0000EA050000}"/>
    <cellStyle name="Comma 8 4 2 2" xfId="1515" xr:uid="{00000000-0005-0000-0000-0000EB050000}"/>
    <cellStyle name="Comma 8 4 2 2 2" xfId="1516" xr:uid="{00000000-0005-0000-0000-0000EC050000}"/>
    <cellStyle name="Comma 8 4 2 2 2 2" xfId="1517" xr:uid="{00000000-0005-0000-0000-0000ED050000}"/>
    <cellStyle name="Comma 8 4 2 2 2 3" xfId="1518" xr:uid="{00000000-0005-0000-0000-0000EE050000}"/>
    <cellStyle name="Comma 8 4 2 2 3" xfId="1519" xr:uid="{00000000-0005-0000-0000-0000EF050000}"/>
    <cellStyle name="Comma 8 4 2 2 3 2" xfId="1520" xr:uid="{00000000-0005-0000-0000-0000F0050000}"/>
    <cellStyle name="Comma 8 4 2 2 3 3" xfId="1521" xr:uid="{00000000-0005-0000-0000-0000F1050000}"/>
    <cellStyle name="Comma 8 4 2 2 4" xfId="1522" xr:uid="{00000000-0005-0000-0000-0000F2050000}"/>
    <cellStyle name="Comma 8 4 2 2 5" xfId="1523" xr:uid="{00000000-0005-0000-0000-0000F3050000}"/>
    <cellStyle name="Comma 8 4 2 3" xfId="1524" xr:uid="{00000000-0005-0000-0000-0000F4050000}"/>
    <cellStyle name="Comma 8 4 2 3 2" xfId="1525" xr:uid="{00000000-0005-0000-0000-0000F5050000}"/>
    <cellStyle name="Comma 8 4 2 3 3" xfId="1526" xr:uid="{00000000-0005-0000-0000-0000F6050000}"/>
    <cellStyle name="Comma 8 4 2 4" xfId="1527" xr:uid="{00000000-0005-0000-0000-0000F7050000}"/>
    <cellStyle name="Comma 8 4 2 4 2" xfId="1528" xr:uid="{00000000-0005-0000-0000-0000F8050000}"/>
    <cellStyle name="Comma 8 4 2 4 3" xfId="1529" xr:uid="{00000000-0005-0000-0000-0000F9050000}"/>
    <cellStyle name="Comma 8 4 2 5" xfId="1530" xr:uid="{00000000-0005-0000-0000-0000FA050000}"/>
    <cellStyle name="Comma 8 4 2 6" xfId="1531" xr:uid="{00000000-0005-0000-0000-0000FB050000}"/>
    <cellStyle name="Comma 8 4 3" xfId="1532" xr:uid="{00000000-0005-0000-0000-0000FC050000}"/>
    <cellStyle name="Comma 8 4 3 2" xfId="1533" xr:uid="{00000000-0005-0000-0000-0000FD050000}"/>
    <cellStyle name="Comma 8 4 3 2 2" xfId="1534" xr:uid="{00000000-0005-0000-0000-0000FE050000}"/>
    <cellStyle name="Comma 8 4 3 2 3" xfId="1535" xr:uid="{00000000-0005-0000-0000-0000FF050000}"/>
    <cellStyle name="Comma 8 4 3 3" xfId="1536" xr:uid="{00000000-0005-0000-0000-000000060000}"/>
    <cellStyle name="Comma 8 4 3 3 2" xfId="1537" xr:uid="{00000000-0005-0000-0000-000001060000}"/>
    <cellStyle name="Comma 8 4 3 3 3" xfId="1538" xr:uid="{00000000-0005-0000-0000-000002060000}"/>
    <cellStyle name="Comma 8 4 3 4" xfId="1539" xr:uid="{00000000-0005-0000-0000-000003060000}"/>
    <cellStyle name="Comma 8 4 3 5" xfId="1540" xr:uid="{00000000-0005-0000-0000-000004060000}"/>
    <cellStyle name="Comma 8 4 4" xfId="1541" xr:uid="{00000000-0005-0000-0000-000005060000}"/>
    <cellStyle name="Comma 8 4 4 2" xfId="1542" xr:uid="{00000000-0005-0000-0000-000006060000}"/>
    <cellStyle name="Comma 8 4 4 2 2" xfId="1543" xr:uid="{00000000-0005-0000-0000-000007060000}"/>
    <cellStyle name="Comma 8 4 4 2 3" xfId="1544" xr:uid="{00000000-0005-0000-0000-000008060000}"/>
    <cellStyle name="Comma 8 4 4 3" xfId="1545" xr:uid="{00000000-0005-0000-0000-000009060000}"/>
    <cellStyle name="Comma 8 4 4 4" xfId="1546" xr:uid="{00000000-0005-0000-0000-00000A060000}"/>
    <cellStyle name="Comma 8 4 5" xfId="1547" xr:uid="{00000000-0005-0000-0000-00000B060000}"/>
    <cellStyle name="Comma 8 4 5 2" xfId="1548" xr:uid="{00000000-0005-0000-0000-00000C060000}"/>
    <cellStyle name="Comma 8 4 5 3" xfId="1549" xr:uid="{00000000-0005-0000-0000-00000D060000}"/>
    <cellStyle name="Comma 8 4 6" xfId="1550" xr:uid="{00000000-0005-0000-0000-00000E060000}"/>
    <cellStyle name="Comma 8 4 6 2" xfId="1551" xr:uid="{00000000-0005-0000-0000-00000F060000}"/>
    <cellStyle name="Comma 8 4 6 3" xfId="1552" xr:uid="{00000000-0005-0000-0000-000010060000}"/>
    <cellStyle name="Comma 8 4 7" xfId="1553" xr:uid="{00000000-0005-0000-0000-000011060000}"/>
    <cellStyle name="Comma 8 4 8" xfId="1554" xr:uid="{00000000-0005-0000-0000-000012060000}"/>
    <cellStyle name="Comma 8 5" xfId="1555" xr:uid="{00000000-0005-0000-0000-000013060000}"/>
    <cellStyle name="Comma 8 5 2" xfId="1556" xr:uid="{00000000-0005-0000-0000-000014060000}"/>
    <cellStyle name="Comma 8 5 2 2" xfId="1557" xr:uid="{00000000-0005-0000-0000-000015060000}"/>
    <cellStyle name="Comma 8 5 2 2 2" xfId="1558" xr:uid="{00000000-0005-0000-0000-000016060000}"/>
    <cellStyle name="Comma 8 5 2 2 2 2" xfId="1559" xr:uid="{00000000-0005-0000-0000-000017060000}"/>
    <cellStyle name="Comma 8 5 2 2 2 3" xfId="1560" xr:uid="{00000000-0005-0000-0000-000018060000}"/>
    <cellStyle name="Comma 8 5 2 2 3" xfId="1561" xr:uid="{00000000-0005-0000-0000-000019060000}"/>
    <cellStyle name="Comma 8 5 2 2 3 2" xfId="1562" xr:uid="{00000000-0005-0000-0000-00001A060000}"/>
    <cellStyle name="Comma 8 5 2 2 3 3" xfId="1563" xr:uid="{00000000-0005-0000-0000-00001B060000}"/>
    <cellStyle name="Comma 8 5 2 2 4" xfId="1564" xr:uid="{00000000-0005-0000-0000-00001C060000}"/>
    <cellStyle name="Comma 8 5 2 2 5" xfId="1565" xr:uid="{00000000-0005-0000-0000-00001D060000}"/>
    <cellStyle name="Comma 8 5 2 3" xfId="1566" xr:uid="{00000000-0005-0000-0000-00001E060000}"/>
    <cellStyle name="Comma 8 5 2 3 2" xfId="1567" xr:uid="{00000000-0005-0000-0000-00001F060000}"/>
    <cellStyle name="Comma 8 5 2 3 2 2" xfId="1568" xr:uid="{00000000-0005-0000-0000-000020060000}"/>
    <cellStyle name="Comma 8 5 2 3 2 3" xfId="1569" xr:uid="{00000000-0005-0000-0000-000021060000}"/>
    <cellStyle name="Comma 8 5 2 3 3" xfId="1570" xr:uid="{00000000-0005-0000-0000-000022060000}"/>
    <cellStyle name="Comma 8 5 2 3 4" xfId="1571" xr:uid="{00000000-0005-0000-0000-000023060000}"/>
    <cellStyle name="Comma 8 5 2 4" xfId="1572" xr:uid="{00000000-0005-0000-0000-000024060000}"/>
    <cellStyle name="Comma 8 5 2 4 2" xfId="1573" xr:uid="{00000000-0005-0000-0000-000025060000}"/>
    <cellStyle name="Comma 8 5 2 4 3" xfId="1574" xr:uid="{00000000-0005-0000-0000-000026060000}"/>
    <cellStyle name="Comma 8 5 2 5" xfId="1575" xr:uid="{00000000-0005-0000-0000-000027060000}"/>
    <cellStyle name="Comma 8 5 2 5 2" xfId="1576" xr:uid="{00000000-0005-0000-0000-000028060000}"/>
    <cellStyle name="Comma 8 5 2 5 3" xfId="1577" xr:uid="{00000000-0005-0000-0000-000029060000}"/>
    <cellStyle name="Comma 8 5 2 6" xfId="1578" xr:uid="{00000000-0005-0000-0000-00002A060000}"/>
    <cellStyle name="Comma 8 5 2 7" xfId="1579" xr:uid="{00000000-0005-0000-0000-00002B060000}"/>
    <cellStyle name="Comma 8 5 3" xfId="1580" xr:uid="{00000000-0005-0000-0000-00002C060000}"/>
    <cellStyle name="Comma 8 5 3 2" xfId="1581" xr:uid="{00000000-0005-0000-0000-00002D060000}"/>
    <cellStyle name="Comma 8 5 3 2 2" xfId="1582" xr:uid="{00000000-0005-0000-0000-00002E060000}"/>
    <cellStyle name="Comma 8 5 3 2 3" xfId="1583" xr:uid="{00000000-0005-0000-0000-00002F060000}"/>
    <cellStyle name="Comma 8 5 3 3" xfId="1584" xr:uid="{00000000-0005-0000-0000-000030060000}"/>
    <cellStyle name="Comma 8 5 3 3 2" xfId="1585" xr:uid="{00000000-0005-0000-0000-000031060000}"/>
    <cellStyle name="Comma 8 5 3 3 3" xfId="1586" xr:uid="{00000000-0005-0000-0000-000032060000}"/>
    <cellStyle name="Comma 8 5 3 4" xfId="1587" xr:uid="{00000000-0005-0000-0000-000033060000}"/>
    <cellStyle name="Comma 8 5 3 5" xfId="1588" xr:uid="{00000000-0005-0000-0000-000034060000}"/>
    <cellStyle name="Comma 8 5 4" xfId="1589" xr:uid="{00000000-0005-0000-0000-000035060000}"/>
    <cellStyle name="Comma 8 5 4 2" xfId="1590" xr:uid="{00000000-0005-0000-0000-000036060000}"/>
    <cellStyle name="Comma 8 5 4 2 2" xfId="1591" xr:uid="{00000000-0005-0000-0000-000037060000}"/>
    <cellStyle name="Comma 8 5 4 2 3" xfId="1592" xr:uid="{00000000-0005-0000-0000-000038060000}"/>
    <cellStyle name="Comma 8 5 4 3" xfId="1593" xr:uid="{00000000-0005-0000-0000-000039060000}"/>
    <cellStyle name="Comma 8 5 4 4" xfId="1594" xr:uid="{00000000-0005-0000-0000-00003A060000}"/>
    <cellStyle name="Comma 8 5 5" xfId="1595" xr:uid="{00000000-0005-0000-0000-00003B060000}"/>
    <cellStyle name="Comma 8 5 5 2" xfId="1596" xr:uid="{00000000-0005-0000-0000-00003C060000}"/>
    <cellStyle name="Comma 8 5 5 3" xfId="1597" xr:uid="{00000000-0005-0000-0000-00003D060000}"/>
    <cellStyle name="Comma 8 5 6" xfId="1598" xr:uid="{00000000-0005-0000-0000-00003E060000}"/>
    <cellStyle name="Comma 8 5 6 2" xfId="1599" xr:uid="{00000000-0005-0000-0000-00003F060000}"/>
    <cellStyle name="Comma 8 5 6 3" xfId="1600" xr:uid="{00000000-0005-0000-0000-000040060000}"/>
    <cellStyle name="Comma 8 5 7" xfId="1601" xr:uid="{00000000-0005-0000-0000-000041060000}"/>
    <cellStyle name="Comma 8 5 8" xfId="1602" xr:uid="{00000000-0005-0000-0000-000042060000}"/>
    <cellStyle name="Comma 8 6" xfId="1603" xr:uid="{00000000-0005-0000-0000-000043060000}"/>
    <cellStyle name="Comma 8 6 2" xfId="1604" xr:uid="{00000000-0005-0000-0000-000044060000}"/>
    <cellStyle name="Comma 8 6 2 2" xfId="1605" xr:uid="{00000000-0005-0000-0000-000045060000}"/>
    <cellStyle name="Comma 8 6 2 2 2" xfId="1606" xr:uid="{00000000-0005-0000-0000-000046060000}"/>
    <cellStyle name="Comma 8 6 2 2 3" xfId="1607" xr:uid="{00000000-0005-0000-0000-000047060000}"/>
    <cellStyle name="Comma 8 6 2 3" xfId="1608" xr:uid="{00000000-0005-0000-0000-000048060000}"/>
    <cellStyle name="Comma 8 6 2 3 2" xfId="1609" xr:uid="{00000000-0005-0000-0000-000049060000}"/>
    <cellStyle name="Comma 8 6 2 3 3" xfId="1610" xr:uid="{00000000-0005-0000-0000-00004A060000}"/>
    <cellStyle name="Comma 8 6 2 4" xfId="1611" xr:uid="{00000000-0005-0000-0000-00004B060000}"/>
    <cellStyle name="Comma 8 6 2 5" xfId="1612" xr:uid="{00000000-0005-0000-0000-00004C060000}"/>
    <cellStyle name="Comma 8 6 3" xfId="1613" xr:uid="{00000000-0005-0000-0000-00004D060000}"/>
    <cellStyle name="Comma 8 6 3 2" xfId="1614" xr:uid="{00000000-0005-0000-0000-00004E060000}"/>
    <cellStyle name="Comma 8 6 3 3" xfId="1615" xr:uid="{00000000-0005-0000-0000-00004F060000}"/>
    <cellStyle name="Comma 8 6 4" xfId="1616" xr:uid="{00000000-0005-0000-0000-000050060000}"/>
    <cellStyle name="Comma 8 6 4 2" xfId="1617" xr:uid="{00000000-0005-0000-0000-000051060000}"/>
    <cellStyle name="Comma 8 6 4 3" xfId="1618" xr:uid="{00000000-0005-0000-0000-000052060000}"/>
    <cellStyle name="Comma 8 6 5" xfId="1619" xr:uid="{00000000-0005-0000-0000-000053060000}"/>
    <cellStyle name="Comma 8 6 6" xfId="1620" xr:uid="{00000000-0005-0000-0000-000054060000}"/>
    <cellStyle name="Comma 8 7" xfId="1621" xr:uid="{00000000-0005-0000-0000-000055060000}"/>
    <cellStyle name="Comma 8 7 2" xfId="1622" xr:uid="{00000000-0005-0000-0000-000056060000}"/>
    <cellStyle name="Comma 8 7 2 2" xfId="1623" xr:uid="{00000000-0005-0000-0000-000057060000}"/>
    <cellStyle name="Comma 8 7 2 3" xfId="1624" xr:uid="{00000000-0005-0000-0000-000058060000}"/>
    <cellStyle name="Comma 8 7 3" xfId="1625" xr:uid="{00000000-0005-0000-0000-000059060000}"/>
    <cellStyle name="Comma 8 7 3 2" xfId="1626" xr:uid="{00000000-0005-0000-0000-00005A060000}"/>
    <cellStyle name="Comma 8 7 3 3" xfId="1627" xr:uid="{00000000-0005-0000-0000-00005B060000}"/>
    <cellStyle name="Comma 8 7 4" xfId="1628" xr:uid="{00000000-0005-0000-0000-00005C060000}"/>
    <cellStyle name="Comma 8 7 5" xfId="1629" xr:uid="{00000000-0005-0000-0000-00005D060000}"/>
    <cellStyle name="Comma 8 8" xfId="1630" xr:uid="{00000000-0005-0000-0000-00005E060000}"/>
    <cellStyle name="Comma 8 8 2" xfId="1631" xr:uid="{00000000-0005-0000-0000-00005F060000}"/>
    <cellStyle name="Comma 8 8 2 2" xfId="1632" xr:uid="{00000000-0005-0000-0000-000060060000}"/>
    <cellStyle name="Comma 8 8 2 3" xfId="1633" xr:uid="{00000000-0005-0000-0000-000061060000}"/>
    <cellStyle name="Comma 8 8 3" xfId="1634" xr:uid="{00000000-0005-0000-0000-000062060000}"/>
    <cellStyle name="Comma 8 8 4" xfId="1635" xr:uid="{00000000-0005-0000-0000-000063060000}"/>
    <cellStyle name="Comma 8 9" xfId="1636" xr:uid="{00000000-0005-0000-0000-000064060000}"/>
    <cellStyle name="Comma 8 9 2" xfId="1637" xr:uid="{00000000-0005-0000-0000-000065060000}"/>
    <cellStyle name="Comma 8 9 3" xfId="1638" xr:uid="{00000000-0005-0000-0000-000066060000}"/>
    <cellStyle name="Comma 9" xfId="1639" xr:uid="{00000000-0005-0000-0000-000067060000}"/>
    <cellStyle name="Comma 9 2" xfId="1640" xr:uid="{00000000-0005-0000-0000-000068060000}"/>
    <cellStyle name="Comma 9 2 2" xfId="1641" xr:uid="{00000000-0005-0000-0000-000069060000}"/>
    <cellStyle name="Comma 9 2 3" xfId="1642" xr:uid="{00000000-0005-0000-0000-00006A060000}"/>
    <cellStyle name="Comma 9 2 3 2" xfId="1643" xr:uid="{00000000-0005-0000-0000-00006B060000}"/>
    <cellStyle name="Comma 9 2 3 2 2" xfId="1644" xr:uid="{00000000-0005-0000-0000-00006C060000}"/>
    <cellStyle name="Comma 9 2 3 2 2 2" xfId="1645" xr:uid="{00000000-0005-0000-0000-00006D060000}"/>
    <cellStyle name="Comma 9 2 3 2 2 2 2" xfId="1646" xr:uid="{00000000-0005-0000-0000-00006E060000}"/>
    <cellStyle name="Comma 9 2 3 2 2 2 3" xfId="1647" xr:uid="{00000000-0005-0000-0000-00006F060000}"/>
    <cellStyle name="Comma 9 2 3 2 2 3" xfId="1648" xr:uid="{00000000-0005-0000-0000-000070060000}"/>
    <cellStyle name="Comma 9 2 3 2 2 3 2" xfId="1649" xr:uid="{00000000-0005-0000-0000-000071060000}"/>
    <cellStyle name="Comma 9 2 3 2 2 3 3" xfId="1650" xr:uid="{00000000-0005-0000-0000-000072060000}"/>
    <cellStyle name="Comma 9 2 3 2 2 4" xfId="1651" xr:uid="{00000000-0005-0000-0000-000073060000}"/>
    <cellStyle name="Comma 9 2 3 2 2 5" xfId="1652" xr:uid="{00000000-0005-0000-0000-000074060000}"/>
    <cellStyle name="Comma 9 2 3 2 3" xfId="1653" xr:uid="{00000000-0005-0000-0000-000075060000}"/>
    <cellStyle name="Comma 9 2 3 2 3 2" xfId="1654" xr:uid="{00000000-0005-0000-0000-000076060000}"/>
    <cellStyle name="Comma 9 2 3 2 3 3" xfId="1655" xr:uid="{00000000-0005-0000-0000-000077060000}"/>
    <cellStyle name="Comma 9 2 3 2 4" xfId="1656" xr:uid="{00000000-0005-0000-0000-000078060000}"/>
    <cellStyle name="Comma 9 2 3 2 4 2" xfId="1657" xr:uid="{00000000-0005-0000-0000-000079060000}"/>
    <cellStyle name="Comma 9 2 3 2 4 3" xfId="1658" xr:uid="{00000000-0005-0000-0000-00007A060000}"/>
    <cellStyle name="Comma 9 2 3 2 5" xfId="1659" xr:uid="{00000000-0005-0000-0000-00007B060000}"/>
    <cellStyle name="Comma 9 2 3 2 6" xfId="1660" xr:uid="{00000000-0005-0000-0000-00007C060000}"/>
    <cellStyle name="Comma 9 2 3 3" xfId="1661" xr:uid="{00000000-0005-0000-0000-00007D060000}"/>
    <cellStyle name="Comma 9 2 3 3 2" xfId="1662" xr:uid="{00000000-0005-0000-0000-00007E060000}"/>
    <cellStyle name="Comma 9 2 3 3 2 2" xfId="1663" xr:uid="{00000000-0005-0000-0000-00007F060000}"/>
    <cellStyle name="Comma 9 2 3 3 2 3" xfId="1664" xr:uid="{00000000-0005-0000-0000-000080060000}"/>
    <cellStyle name="Comma 9 2 3 3 3" xfId="1665" xr:uid="{00000000-0005-0000-0000-000081060000}"/>
    <cellStyle name="Comma 9 2 3 3 4" xfId="1666" xr:uid="{00000000-0005-0000-0000-000082060000}"/>
    <cellStyle name="Comma 9 2 3 4" xfId="1667" xr:uid="{00000000-0005-0000-0000-000083060000}"/>
    <cellStyle name="Comma 9 2 4" xfId="1668" xr:uid="{00000000-0005-0000-0000-000084060000}"/>
    <cellStyle name="Comma 9 2 4 2" xfId="1669" xr:uid="{00000000-0005-0000-0000-000085060000}"/>
    <cellStyle name="Comma 9 2 4 2 2" xfId="1670" xr:uid="{00000000-0005-0000-0000-000086060000}"/>
    <cellStyle name="Comma 9 2 4 2 2 2" xfId="1671" xr:uid="{00000000-0005-0000-0000-000087060000}"/>
    <cellStyle name="Comma 9 2 4 2 2 2 2" xfId="1672" xr:uid="{00000000-0005-0000-0000-000088060000}"/>
    <cellStyle name="Comma 9 2 4 2 2 2 3" xfId="1673" xr:uid="{00000000-0005-0000-0000-000089060000}"/>
    <cellStyle name="Comma 9 2 4 2 2 3" xfId="1674" xr:uid="{00000000-0005-0000-0000-00008A060000}"/>
    <cellStyle name="Comma 9 2 4 2 2 3 2" xfId="1675" xr:uid="{00000000-0005-0000-0000-00008B060000}"/>
    <cellStyle name="Comma 9 2 4 2 2 3 3" xfId="1676" xr:uid="{00000000-0005-0000-0000-00008C060000}"/>
    <cellStyle name="Comma 9 2 4 2 2 4" xfId="1677" xr:uid="{00000000-0005-0000-0000-00008D060000}"/>
    <cellStyle name="Comma 9 2 4 2 2 5" xfId="1678" xr:uid="{00000000-0005-0000-0000-00008E060000}"/>
    <cellStyle name="Comma 9 2 4 2 3" xfId="1679" xr:uid="{00000000-0005-0000-0000-00008F060000}"/>
    <cellStyle name="Comma 9 2 4 2 3 2" xfId="1680" xr:uid="{00000000-0005-0000-0000-000090060000}"/>
    <cellStyle name="Comma 9 2 4 2 3 3" xfId="1681" xr:uid="{00000000-0005-0000-0000-000091060000}"/>
    <cellStyle name="Comma 9 2 4 2 4" xfId="1682" xr:uid="{00000000-0005-0000-0000-000092060000}"/>
    <cellStyle name="Comma 9 2 4 2 4 2" xfId="1683" xr:uid="{00000000-0005-0000-0000-000093060000}"/>
    <cellStyle name="Comma 9 2 4 2 4 3" xfId="1684" xr:uid="{00000000-0005-0000-0000-000094060000}"/>
    <cellStyle name="Comma 9 2 4 2 5" xfId="1685" xr:uid="{00000000-0005-0000-0000-000095060000}"/>
    <cellStyle name="Comma 9 2 4 2 6" xfId="1686" xr:uid="{00000000-0005-0000-0000-000096060000}"/>
    <cellStyle name="Comma 9 2 4 3" xfId="1687" xr:uid="{00000000-0005-0000-0000-000097060000}"/>
    <cellStyle name="Comma 9 2 4 3 2" xfId="1688" xr:uid="{00000000-0005-0000-0000-000098060000}"/>
    <cellStyle name="Comma 9 2 4 3 2 2" xfId="1689" xr:uid="{00000000-0005-0000-0000-000099060000}"/>
    <cellStyle name="Comma 9 2 4 3 2 3" xfId="1690" xr:uid="{00000000-0005-0000-0000-00009A060000}"/>
    <cellStyle name="Comma 9 2 4 3 3" xfId="1691" xr:uid="{00000000-0005-0000-0000-00009B060000}"/>
    <cellStyle name="Comma 9 2 4 3 4" xfId="1692" xr:uid="{00000000-0005-0000-0000-00009C060000}"/>
    <cellStyle name="Comma 9 2 4 4" xfId="1693" xr:uid="{00000000-0005-0000-0000-00009D060000}"/>
    <cellStyle name="Comma 9 2 5" xfId="1694" xr:uid="{00000000-0005-0000-0000-00009E060000}"/>
    <cellStyle name="Comma 9 2 5 2" xfId="1695" xr:uid="{00000000-0005-0000-0000-00009F060000}"/>
    <cellStyle name="Comma 9 2 5 2 2" xfId="1696" xr:uid="{00000000-0005-0000-0000-0000A0060000}"/>
    <cellStyle name="Comma 9 2 5 2 2 2" xfId="1697" xr:uid="{00000000-0005-0000-0000-0000A1060000}"/>
    <cellStyle name="Comma 9 2 5 2 2 3" xfId="1698" xr:uid="{00000000-0005-0000-0000-0000A2060000}"/>
    <cellStyle name="Comma 9 2 5 2 3" xfId="1699" xr:uid="{00000000-0005-0000-0000-0000A3060000}"/>
    <cellStyle name="Comma 9 2 5 2 3 2" xfId="1700" xr:uid="{00000000-0005-0000-0000-0000A4060000}"/>
    <cellStyle name="Comma 9 2 5 2 3 3" xfId="1701" xr:uid="{00000000-0005-0000-0000-0000A5060000}"/>
    <cellStyle name="Comma 9 2 5 2 4" xfId="1702" xr:uid="{00000000-0005-0000-0000-0000A6060000}"/>
    <cellStyle name="Comma 9 2 5 2 5" xfId="1703" xr:uid="{00000000-0005-0000-0000-0000A7060000}"/>
    <cellStyle name="Comma 9 2 5 3" xfId="1704" xr:uid="{00000000-0005-0000-0000-0000A8060000}"/>
    <cellStyle name="Comma 9 2 5 3 2" xfId="1705" xr:uid="{00000000-0005-0000-0000-0000A9060000}"/>
    <cellStyle name="Comma 9 2 5 3 3" xfId="1706" xr:uid="{00000000-0005-0000-0000-0000AA060000}"/>
    <cellStyle name="Comma 9 2 5 4" xfId="1707" xr:uid="{00000000-0005-0000-0000-0000AB060000}"/>
    <cellStyle name="Comma 9 2 5 4 2" xfId="1708" xr:uid="{00000000-0005-0000-0000-0000AC060000}"/>
    <cellStyle name="Comma 9 2 5 4 3" xfId="1709" xr:uid="{00000000-0005-0000-0000-0000AD060000}"/>
    <cellStyle name="Comma 9 2 5 5" xfId="1710" xr:uid="{00000000-0005-0000-0000-0000AE060000}"/>
    <cellStyle name="Comma 9 2 5 6" xfId="1711" xr:uid="{00000000-0005-0000-0000-0000AF060000}"/>
    <cellStyle name="Comma 9 2 6" xfId="1712" xr:uid="{00000000-0005-0000-0000-0000B0060000}"/>
    <cellStyle name="Comma 9 2 6 2" xfId="1713" xr:uid="{00000000-0005-0000-0000-0000B1060000}"/>
    <cellStyle name="Comma 9 2 6 2 2" xfId="1714" xr:uid="{00000000-0005-0000-0000-0000B2060000}"/>
    <cellStyle name="Comma 9 2 6 2 3" xfId="1715" xr:uid="{00000000-0005-0000-0000-0000B3060000}"/>
    <cellStyle name="Comma 9 2 6 3" xfId="1716" xr:uid="{00000000-0005-0000-0000-0000B4060000}"/>
    <cellStyle name="Comma 9 2 6 4" xfId="1717" xr:uid="{00000000-0005-0000-0000-0000B5060000}"/>
    <cellStyle name="Comma 9 3" xfId="1718" xr:uid="{00000000-0005-0000-0000-0000B6060000}"/>
    <cellStyle name="Comma 9 3 2" xfId="1719" xr:uid="{00000000-0005-0000-0000-0000B7060000}"/>
    <cellStyle name="Comma 9 3 2 2" xfId="1720" xr:uid="{00000000-0005-0000-0000-0000B8060000}"/>
    <cellStyle name="Comma 9 3 2 2 2" xfId="1721" xr:uid="{00000000-0005-0000-0000-0000B9060000}"/>
    <cellStyle name="Comma 9 3 2 2 2 2" xfId="1722" xr:uid="{00000000-0005-0000-0000-0000BA060000}"/>
    <cellStyle name="Comma 9 3 2 2 2 3" xfId="1723" xr:uid="{00000000-0005-0000-0000-0000BB060000}"/>
    <cellStyle name="Comma 9 3 2 2 3" xfId="1724" xr:uid="{00000000-0005-0000-0000-0000BC060000}"/>
    <cellStyle name="Comma 9 3 2 2 3 2" xfId="1725" xr:uid="{00000000-0005-0000-0000-0000BD060000}"/>
    <cellStyle name="Comma 9 3 2 2 3 3" xfId="1726" xr:uid="{00000000-0005-0000-0000-0000BE060000}"/>
    <cellStyle name="Comma 9 3 2 2 4" xfId="1727" xr:uid="{00000000-0005-0000-0000-0000BF060000}"/>
    <cellStyle name="Comma 9 3 2 2 5" xfId="1728" xr:uid="{00000000-0005-0000-0000-0000C0060000}"/>
    <cellStyle name="Comma 9 3 2 3" xfId="1729" xr:uid="{00000000-0005-0000-0000-0000C1060000}"/>
    <cellStyle name="Comma 9 3 2 3 2" xfId="1730" xr:uid="{00000000-0005-0000-0000-0000C2060000}"/>
    <cellStyle name="Comma 9 3 2 3 3" xfId="1731" xr:uid="{00000000-0005-0000-0000-0000C3060000}"/>
    <cellStyle name="Comma 9 3 2 4" xfId="1732" xr:uid="{00000000-0005-0000-0000-0000C4060000}"/>
    <cellStyle name="Comma 9 3 2 4 2" xfId="1733" xr:uid="{00000000-0005-0000-0000-0000C5060000}"/>
    <cellStyle name="Comma 9 3 2 4 3" xfId="1734" xr:uid="{00000000-0005-0000-0000-0000C6060000}"/>
    <cellStyle name="Comma 9 3 2 5" xfId="1735" xr:uid="{00000000-0005-0000-0000-0000C7060000}"/>
    <cellStyle name="Comma 9 3 2 6" xfId="1736" xr:uid="{00000000-0005-0000-0000-0000C8060000}"/>
    <cellStyle name="Comma 9 3 3" xfId="1737" xr:uid="{00000000-0005-0000-0000-0000C9060000}"/>
    <cellStyle name="Comma 9 3 3 2" xfId="1738" xr:uid="{00000000-0005-0000-0000-0000CA060000}"/>
    <cellStyle name="Comma 9 3 3 2 2" xfId="1739" xr:uid="{00000000-0005-0000-0000-0000CB060000}"/>
    <cellStyle name="Comma 9 3 3 2 3" xfId="1740" xr:uid="{00000000-0005-0000-0000-0000CC060000}"/>
    <cellStyle name="Comma 9 3 3 3" xfId="1741" xr:uid="{00000000-0005-0000-0000-0000CD060000}"/>
    <cellStyle name="Comma 9 3 3 4" xfId="1742" xr:uid="{00000000-0005-0000-0000-0000CE060000}"/>
    <cellStyle name="Comma 9 3 4" xfId="1743" xr:uid="{00000000-0005-0000-0000-0000CF060000}"/>
    <cellStyle name="Comma 9 4" xfId="1744" xr:uid="{00000000-0005-0000-0000-0000D0060000}"/>
    <cellStyle name="Comma 9 4 2" xfId="1745" xr:uid="{00000000-0005-0000-0000-0000D1060000}"/>
    <cellStyle name="Comma 9 4 2 2" xfId="1746" xr:uid="{00000000-0005-0000-0000-0000D2060000}"/>
    <cellStyle name="Comma 9 4 2 2 2" xfId="1747" xr:uid="{00000000-0005-0000-0000-0000D3060000}"/>
    <cellStyle name="Comma 9 4 2 2 3" xfId="1748" xr:uid="{00000000-0005-0000-0000-0000D4060000}"/>
    <cellStyle name="Comma 9 4 2 3" xfId="1749" xr:uid="{00000000-0005-0000-0000-0000D5060000}"/>
    <cellStyle name="Comma 9 4 2 3 2" xfId="1750" xr:uid="{00000000-0005-0000-0000-0000D6060000}"/>
    <cellStyle name="Comma 9 4 2 3 3" xfId="1751" xr:uid="{00000000-0005-0000-0000-0000D7060000}"/>
    <cellStyle name="Comma 9 4 2 4" xfId="1752" xr:uid="{00000000-0005-0000-0000-0000D8060000}"/>
    <cellStyle name="Comma 9 4 2 5" xfId="1753" xr:uid="{00000000-0005-0000-0000-0000D9060000}"/>
    <cellStyle name="Comma 9 4 3" xfId="1754" xr:uid="{00000000-0005-0000-0000-0000DA060000}"/>
    <cellStyle name="Comma 9 4 3 2" xfId="1755" xr:uid="{00000000-0005-0000-0000-0000DB060000}"/>
    <cellStyle name="Comma 9 4 3 3" xfId="1756" xr:uid="{00000000-0005-0000-0000-0000DC060000}"/>
    <cellStyle name="Comma 9 4 4" xfId="1757" xr:uid="{00000000-0005-0000-0000-0000DD060000}"/>
    <cellStyle name="Comma 9 4 4 2" xfId="1758" xr:uid="{00000000-0005-0000-0000-0000DE060000}"/>
    <cellStyle name="Comma 9 4 4 3" xfId="1759" xr:uid="{00000000-0005-0000-0000-0000DF060000}"/>
    <cellStyle name="Comma 9 4 5" xfId="1760" xr:uid="{00000000-0005-0000-0000-0000E0060000}"/>
    <cellStyle name="Comma 9 4 6" xfId="1761" xr:uid="{00000000-0005-0000-0000-0000E1060000}"/>
    <cellStyle name="Comma 9 5" xfId="1762" xr:uid="{00000000-0005-0000-0000-0000E2060000}"/>
    <cellStyle name="Comma 9 5 2" xfId="1763" xr:uid="{00000000-0005-0000-0000-0000E3060000}"/>
    <cellStyle name="Comma 9 5 2 2" xfId="1764" xr:uid="{00000000-0005-0000-0000-0000E4060000}"/>
    <cellStyle name="Comma 9 5 2 3" xfId="1765" xr:uid="{00000000-0005-0000-0000-0000E5060000}"/>
    <cellStyle name="Comma 9 5 3" xfId="1766" xr:uid="{00000000-0005-0000-0000-0000E6060000}"/>
    <cellStyle name="Comma 9 5 4" xfId="1767" xr:uid="{00000000-0005-0000-0000-0000E7060000}"/>
    <cellStyle name="Comma 9 6" xfId="1768" xr:uid="{00000000-0005-0000-0000-0000E8060000}"/>
    <cellStyle name="Comma 9 6 2" xfId="1769" xr:uid="{00000000-0005-0000-0000-0000E9060000}"/>
    <cellStyle name="Comma 9 6 3" xfId="1770" xr:uid="{00000000-0005-0000-0000-0000EA060000}"/>
    <cellStyle name="Comma 9 7" xfId="1771" xr:uid="{00000000-0005-0000-0000-0000EB060000}"/>
    <cellStyle name="Comma 9 7 2" xfId="1772" xr:uid="{00000000-0005-0000-0000-0000EC060000}"/>
    <cellStyle name="Comma 9 7 3" xfId="1773" xr:uid="{00000000-0005-0000-0000-0000ED060000}"/>
    <cellStyle name="Comma 9 8" xfId="1774" xr:uid="{00000000-0005-0000-0000-0000EE060000}"/>
    <cellStyle name="Comma0" xfId="1775" xr:uid="{00000000-0005-0000-0000-0000EF060000}"/>
    <cellStyle name="Comma0 2" xfId="1776" xr:uid="{00000000-0005-0000-0000-0000F0060000}"/>
    <cellStyle name="Commentaire 2" xfId="1777" xr:uid="{00000000-0005-0000-0000-0000F1060000}"/>
    <cellStyle name="Commentaire 2 2" xfId="1778" xr:uid="{00000000-0005-0000-0000-0000F2060000}"/>
    <cellStyle name="Commentaire 2 3" xfId="1779" xr:uid="{00000000-0005-0000-0000-0000F3060000}"/>
    <cellStyle name="Currency 2" xfId="1780" xr:uid="{00000000-0005-0000-0000-0000F4060000}"/>
    <cellStyle name="Currency 2 10" xfId="1781" xr:uid="{00000000-0005-0000-0000-0000F5060000}"/>
    <cellStyle name="Currency 2 11" xfId="1782" xr:uid="{00000000-0005-0000-0000-0000F6060000}"/>
    <cellStyle name="Currency 2 12" xfId="1783" xr:uid="{00000000-0005-0000-0000-0000F7060000}"/>
    <cellStyle name="Currency 2 2" xfId="1784" xr:uid="{00000000-0005-0000-0000-0000F8060000}"/>
    <cellStyle name="Currency 2 2 2" xfId="1785" xr:uid="{00000000-0005-0000-0000-0000F9060000}"/>
    <cellStyle name="Currency 2 2 2 2" xfId="1786" xr:uid="{00000000-0005-0000-0000-0000FA060000}"/>
    <cellStyle name="Currency 2 2 2 2 2" xfId="1787" xr:uid="{00000000-0005-0000-0000-0000FB060000}"/>
    <cellStyle name="Currency 2 2 2 2 3" xfId="1788" xr:uid="{00000000-0005-0000-0000-0000FC060000}"/>
    <cellStyle name="Currency 2 2 2 3" xfId="1789" xr:uid="{00000000-0005-0000-0000-0000FD060000}"/>
    <cellStyle name="Currency 2 2 2 3 2" xfId="1790" xr:uid="{00000000-0005-0000-0000-0000FE060000}"/>
    <cellStyle name="Currency 2 2 2 3 3" xfId="1791" xr:uid="{00000000-0005-0000-0000-0000FF060000}"/>
    <cellStyle name="Currency 2 2 2 4" xfId="1792" xr:uid="{00000000-0005-0000-0000-000000070000}"/>
    <cellStyle name="Currency 2 2 2 5" xfId="1793" xr:uid="{00000000-0005-0000-0000-000001070000}"/>
    <cellStyle name="Currency 2 2 3" xfId="1794" xr:uid="{00000000-0005-0000-0000-000002070000}"/>
    <cellStyle name="Currency 2 2 3 2" xfId="1795" xr:uid="{00000000-0005-0000-0000-000003070000}"/>
    <cellStyle name="Currency 2 2 3 3" xfId="1796" xr:uid="{00000000-0005-0000-0000-000004070000}"/>
    <cellStyle name="Currency 2 2 4" xfId="1797" xr:uid="{00000000-0005-0000-0000-000005070000}"/>
    <cellStyle name="Currency 2 2 4 2" xfId="1798" xr:uid="{00000000-0005-0000-0000-000006070000}"/>
    <cellStyle name="Currency 2 2 4 3" xfId="1799" xr:uid="{00000000-0005-0000-0000-000007070000}"/>
    <cellStyle name="Currency 2 2 5" xfId="1800" xr:uid="{00000000-0005-0000-0000-000008070000}"/>
    <cellStyle name="Currency 2 2 6" xfId="1801" xr:uid="{00000000-0005-0000-0000-000009070000}"/>
    <cellStyle name="Currency 2 2 7" xfId="1802" xr:uid="{00000000-0005-0000-0000-00000A070000}"/>
    <cellStyle name="Currency 2 3" xfId="1803" xr:uid="{00000000-0005-0000-0000-00000B070000}"/>
    <cellStyle name="Currency 2 3 2" xfId="1804" xr:uid="{00000000-0005-0000-0000-00000C070000}"/>
    <cellStyle name="Currency 2 3 2 2" xfId="1805" xr:uid="{00000000-0005-0000-0000-00000D070000}"/>
    <cellStyle name="Currency 2 3 2 3" xfId="1806" xr:uid="{00000000-0005-0000-0000-00000E070000}"/>
    <cellStyle name="Currency 2 3 3" xfId="1807" xr:uid="{00000000-0005-0000-0000-00000F070000}"/>
    <cellStyle name="Currency 2 3 3 2" xfId="1808" xr:uid="{00000000-0005-0000-0000-000010070000}"/>
    <cellStyle name="Currency 2 3 3 3" xfId="1809" xr:uid="{00000000-0005-0000-0000-000011070000}"/>
    <cellStyle name="Currency 2 3 4" xfId="1810" xr:uid="{00000000-0005-0000-0000-000012070000}"/>
    <cellStyle name="Currency 2 3 5" xfId="1811" xr:uid="{00000000-0005-0000-0000-000013070000}"/>
    <cellStyle name="Currency 2 3 6" xfId="1812" xr:uid="{00000000-0005-0000-0000-000014070000}"/>
    <cellStyle name="Currency 2 4" xfId="1813" xr:uid="{00000000-0005-0000-0000-000015070000}"/>
    <cellStyle name="Currency 2 4 2" xfId="1814" xr:uid="{00000000-0005-0000-0000-000016070000}"/>
    <cellStyle name="Currency 2 4 2 2" xfId="1815" xr:uid="{00000000-0005-0000-0000-000017070000}"/>
    <cellStyle name="Currency 2 4 2 3" xfId="1816" xr:uid="{00000000-0005-0000-0000-000018070000}"/>
    <cellStyle name="Currency 2 4 3" xfId="1817" xr:uid="{00000000-0005-0000-0000-000019070000}"/>
    <cellStyle name="Currency 2 4 4" xfId="1818" xr:uid="{00000000-0005-0000-0000-00001A070000}"/>
    <cellStyle name="Currency 2 5" xfId="1819" xr:uid="{00000000-0005-0000-0000-00001B070000}"/>
    <cellStyle name="Currency 2 5 2" xfId="1820" xr:uid="{00000000-0005-0000-0000-00001C070000}"/>
    <cellStyle name="Currency 2 5 3" xfId="1821" xr:uid="{00000000-0005-0000-0000-00001D070000}"/>
    <cellStyle name="Currency 2 6" xfId="1822" xr:uid="{00000000-0005-0000-0000-00001E070000}"/>
    <cellStyle name="Currency 2 6 2" xfId="1823" xr:uid="{00000000-0005-0000-0000-00001F070000}"/>
    <cellStyle name="Currency 2 6 3" xfId="1824" xr:uid="{00000000-0005-0000-0000-000020070000}"/>
    <cellStyle name="Currency 2 7" xfId="1825" xr:uid="{00000000-0005-0000-0000-000021070000}"/>
    <cellStyle name="Currency 2 7 2" xfId="1826" xr:uid="{00000000-0005-0000-0000-000022070000}"/>
    <cellStyle name="Currency 2 7 3" xfId="1827" xr:uid="{00000000-0005-0000-0000-000023070000}"/>
    <cellStyle name="Currency 2 8" xfId="1828" xr:uid="{00000000-0005-0000-0000-000024070000}"/>
    <cellStyle name="Currency 2 8 2" xfId="1829" xr:uid="{00000000-0005-0000-0000-000025070000}"/>
    <cellStyle name="Currency 2 8 3" xfId="1830" xr:uid="{00000000-0005-0000-0000-000026070000}"/>
    <cellStyle name="Currency 2 9" xfId="1831" xr:uid="{00000000-0005-0000-0000-000027070000}"/>
    <cellStyle name="Currency 3" xfId="1832" xr:uid="{00000000-0005-0000-0000-000028070000}"/>
    <cellStyle name="Currency 3 10" xfId="1833" xr:uid="{00000000-0005-0000-0000-000029070000}"/>
    <cellStyle name="Currency 3 11" xfId="1834" xr:uid="{00000000-0005-0000-0000-00002A070000}"/>
    <cellStyle name="Currency 3 2" xfId="1835" xr:uid="{00000000-0005-0000-0000-00002B070000}"/>
    <cellStyle name="Currency 3 2 2" xfId="1836" xr:uid="{00000000-0005-0000-0000-00002C070000}"/>
    <cellStyle name="Currency 3 2 2 2" xfId="1837" xr:uid="{00000000-0005-0000-0000-00002D070000}"/>
    <cellStyle name="Currency 3 2 2 2 2" xfId="1838" xr:uid="{00000000-0005-0000-0000-00002E070000}"/>
    <cellStyle name="Currency 3 2 2 2 3" xfId="1839" xr:uid="{00000000-0005-0000-0000-00002F070000}"/>
    <cellStyle name="Currency 3 2 2 3" xfId="1840" xr:uid="{00000000-0005-0000-0000-000030070000}"/>
    <cellStyle name="Currency 3 2 2 3 2" xfId="1841" xr:uid="{00000000-0005-0000-0000-000031070000}"/>
    <cellStyle name="Currency 3 2 2 3 3" xfId="1842" xr:uid="{00000000-0005-0000-0000-000032070000}"/>
    <cellStyle name="Currency 3 2 2 4" xfId="1843" xr:uid="{00000000-0005-0000-0000-000033070000}"/>
    <cellStyle name="Currency 3 2 2 5" xfId="1844" xr:uid="{00000000-0005-0000-0000-000034070000}"/>
    <cellStyle name="Currency 3 2 3" xfId="1845" xr:uid="{00000000-0005-0000-0000-000035070000}"/>
    <cellStyle name="Currency 3 2 3 2" xfId="1846" xr:uid="{00000000-0005-0000-0000-000036070000}"/>
    <cellStyle name="Currency 3 2 3 3" xfId="1847" xr:uid="{00000000-0005-0000-0000-000037070000}"/>
    <cellStyle name="Currency 3 2 4" xfId="1848" xr:uid="{00000000-0005-0000-0000-000038070000}"/>
    <cellStyle name="Currency 3 2 4 2" xfId="1849" xr:uid="{00000000-0005-0000-0000-000039070000}"/>
    <cellStyle name="Currency 3 2 4 3" xfId="1850" xr:uid="{00000000-0005-0000-0000-00003A070000}"/>
    <cellStyle name="Currency 3 2 5" xfId="1851" xr:uid="{00000000-0005-0000-0000-00003B070000}"/>
    <cellStyle name="Currency 3 2 6" xfId="1852" xr:uid="{00000000-0005-0000-0000-00003C070000}"/>
    <cellStyle name="Currency 3 3" xfId="1853" xr:uid="{00000000-0005-0000-0000-00003D070000}"/>
    <cellStyle name="Currency 3 3 2" xfId="1854" xr:uid="{00000000-0005-0000-0000-00003E070000}"/>
    <cellStyle name="Currency 3 3 2 2" xfId="1855" xr:uid="{00000000-0005-0000-0000-00003F070000}"/>
    <cellStyle name="Currency 3 3 2 3" xfId="1856" xr:uid="{00000000-0005-0000-0000-000040070000}"/>
    <cellStyle name="Currency 3 3 3" xfId="1857" xr:uid="{00000000-0005-0000-0000-000041070000}"/>
    <cellStyle name="Currency 3 3 3 2" xfId="1858" xr:uid="{00000000-0005-0000-0000-000042070000}"/>
    <cellStyle name="Currency 3 3 3 3" xfId="1859" xr:uid="{00000000-0005-0000-0000-000043070000}"/>
    <cellStyle name="Currency 3 3 4" xfId="1860" xr:uid="{00000000-0005-0000-0000-000044070000}"/>
    <cellStyle name="Currency 3 3 5" xfId="1861" xr:uid="{00000000-0005-0000-0000-000045070000}"/>
    <cellStyle name="Currency 3 4" xfId="1862" xr:uid="{00000000-0005-0000-0000-000046070000}"/>
    <cellStyle name="Currency 3 4 2" xfId="1863" xr:uid="{00000000-0005-0000-0000-000047070000}"/>
    <cellStyle name="Currency 3 4 2 2" xfId="1864" xr:uid="{00000000-0005-0000-0000-000048070000}"/>
    <cellStyle name="Currency 3 4 2 3" xfId="1865" xr:uid="{00000000-0005-0000-0000-000049070000}"/>
    <cellStyle name="Currency 3 4 3" xfId="1866" xr:uid="{00000000-0005-0000-0000-00004A070000}"/>
    <cellStyle name="Currency 3 4 4" xfId="1867" xr:uid="{00000000-0005-0000-0000-00004B070000}"/>
    <cellStyle name="Currency 3 5" xfId="1868" xr:uid="{00000000-0005-0000-0000-00004C070000}"/>
    <cellStyle name="Currency 3 5 2" xfId="1869" xr:uid="{00000000-0005-0000-0000-00004D070000}"/>
    <cellStyle name="Currency 3 5 3" xfId="1870" xr:uid="{00000000-0005-0000-0000-00004E070000}"/>
    <cellStyle name="Currency 3 6" xfId="1871" xr:uid="{00000000-0005-0000-0000-00004F070000}"/>
    <cellStyle name="Currency 3 6 2" xfId="1872" xr:uid="{00000000-0005-0000-0000-000050070000}"/>
    <cellStyle name="Currency 3 6 3" xfId="1873" xr:uid="{00000000-0005-0000-0000-000051070000}"/>
    <cellStyle name="Currency 3 7" xfId="1874" xr:uid="{00000000-0005-0000-0000-000052070000}"/>
    <cellStyle name="Currency 3 7 2" xfId="1875" xr:uid="{00000000-0005-0000-0000-000053070000}"/>
    <cellStyle name="Currency 3 7 3" xfId="1876" xr:uid="{00000000-0005-0000-0000-000054070000}"/>
    <cellStyle name="Currency 3 8" xfId="1877" xr:uid="{00000000-0005-0000-0000-000055070000}"/>
    <cellStyle name="Currency 3 8 2" xfId="1878" xr:uid="{00000000-0005-0000-0000-000056070000}"/>
    <cellStyle name="Currency 3 8 3" xfId="1879" xr:uid="{00000000-0005-0000-0000-000057070000}"/>
    <cellStyle name="Currency 3 9" xfId="1880" xr:uid="{00000000-0005-0000-0000-000058070000}"/>
    <cellStyle name="Currency 4" xfId="1881" xr:uid="{00000000-0005-0000-0000-000059070000}"/>
    <cellStyle name="Currency 4 10" xfId="1882" xr:uid="{00000000-0005-0000-0000-00005A070000}"/>
    <cellStyle name="Currency 4 11" xfId="1883" xr:uid="{00000000-0005-0000-0000-00005B070000}"/>
    <cellStyle name="Currency 4 2" xfId="1884" xr:uid="{00000000-0005-0000-0000-00005C070000}"/>
    <cellStyle name="Currency 4 2 2" xfId="1885" xr:uid="{00000000-0005-0000-0000-00005D070000}"/>
    <cellStyle name="Currency 4 2 2 2" xfId="1886" xr:uid="{00000000-0005-0000-0000-00005E070000}"/>
    <cellStyle name="Currency 4 2 2 2 2" xfId="1887" xr:uid="{00000000-0005-0000-0000-00005F070000}"/>
    <cellStyle name="Currency 4 2 2 2 3" xfId="1888" xr:uid="{00000000-0005-0000-0000-000060070000}"/>
    <cellStyle name="Currency 4 2 2 3" xfId="1889" xr:uid="{00000000-0005-0000-0000-000061070000}"/>
    <cellStyle name="Currency 4 2 2 3 2" xfId="1890" xr:uid="{00000000-0005-0000-0000-000062070000}"/>
    <cellStyle name="Currency 4 2 2 3 3" xfId="1891" xr:uid="{00000000-0005-0000-0000-000063070000}"/>
    <cellStyle name="Currency 4 2 2 4" xfId="1892" xr:uid="{00000000-0005-0000-0000-000064070000}"/>
    <cellStyle name="Currency 4 2 2 5" xfId="1893" xr:uid="{00000000-0005-0000-0000-000065070000}"/>
    <cellStyle name="Currency 4 2 3" xfId="1894" xr:uid="{00000000-0005-0000-0000-000066070000}"/>
    <cellStyle name="Currency 4 2 3 2" xfId="1895" xr:uid="{00000000-0005-0000-0000-000067070000}"/>
    <cellStyle name="Currency 4 2 3 3" xfId="1896" xr:uid="{00000000-0005-0000-0000-000068070000}"/>
    <cellStyle name="Currency 4 2 4" xfId="1897" xr:uid="{00000000-0005-0000-0000-000069070000}"/>
    <cellStyle name="Currency 4 2 4 2" xfId="1898" xr:uid="{00000000-0005-0000-0000-00006A070000}"/>
    <cellStyle name="Currency 4 2 4 3" xfId="1899" xr:uid="{00000000-0005-0000-0000-00006B070000}"/>
    <cellStyle name="Currency 4 2 5" xfId="1900" xr:uid="{00000000-0005-0000-0000-00006C070000}"/>
    <cellStyle name="Currency 4 2 6" xfId="1901" xr:uid="{00000000-0005-0000-0000-00006D070000}"/>
    <cellStyle name="Currency 4 3" xfId="1902" xr:uid="{00000000-0005-0000-0000-00006E070000}"/>
    <cellStyle name="Currency 4 3 2" xfId="1903" xr:uid="{00000000-0005-0000-0000-00006F070000}"/>
    <cellStyle name="Currency 4 3 2 2" xfId="1904" xr:uid="{00000000-0005-0000-0000-000070070000}"/>
    <cellStyle name="Currency 4 3 2 3" xfId="1905" xr:uid="{00000000-0005-0000-0000-000071070000}"/>
    <cellStyle name="Currency 4 3 3" xfId="1906" xr:uid="{00000000-0005-0000-0000-000072070000}"/>
    <cellStyle name="Currency 4 3 3 2" xfId="1907" xr:uid="{00000000-0005-0000-0000-000073070000}"/>
    <cellStyle name="Currency 4 3 3 3" xfId="1908" xr:uid="{00000000-0005-0000-0000-000074070000}"/>
    <cellStyle name="Currency 4 3 4" xfId="1909" xr:uid="{00000000-0005-0000-0000-000075070000}"/>
    <cellStyle name="Currency 4 3 5" xfId="1910" xr:uid="{00000000-0005-0000-0000-000076070000}"/>
    <cellStyle name="Currency 4 4" xfId="1911" xr:uid="{00000000-0005-0000-0000-000077070000}"/>
    <cellStyle name="Currency 4 4 2" xfId="1912" xr:uid="{00000000-0005-0000-0000-000078070000}"/>
    <cellStyle name="Currency 4 4 2 2" xfId="1913" xr:uid="{00000000-0005-0000-0000-000079070000}"/>
    <cellStyle name="Currency 4 4 2 3" xfId="1914" xr:uid="{00000000-0005-0000-0000-00007A070000}"/>
    <cellStyle name="Currency 4 4 3" xfId="1915" xr:uid="{00000000-0005-0000-0000-00007B070000}"/>
    <cellStyle name="Currency 4 4 4" xfId="1916" xr:uid="{00000000-0005-0000-0000-00007C070000}"/>
    <cellStyle name="Currency 4 5" xfId="1917" xr:uid="{00000000-0005-0000-0000-00007D070000}"/>
    <cellStyle name="Currency 4 5 2" xfId="1918" xr:uid="{00000000-0005-0000-0000-00007E070000}"/>
    <cellStyle name="Currency 4 5 3" xfId="1919" xr:uid="{00000000-0005-0000-0000-00007F070000}"/>
    <cellStyle name="Currency 4 6" xfId="1920" xr:uid="{00000000-0005-0000-0000-000080070000}"/>
    <cellStyle name="Currency 4 6 2" xfId="1921" xr:uid="{00000000-0005-0000-0000-000081070000}"/>
    <cellStyle name="Currency 4 6 3" xfId="1922" xr:uid="{00000000-0005-0000-0000-000082070000}"/>
    <cellStyle name="Currency 4 7" xfId="1923" xr:uid="{00000000-0005-0000-0000-000083070000}"/>
    <cellStyle name="Currency 4 7 2" xfId="1924" xr:uid="{00000000-0005-0000-0000-000084070000}"/>
    <cellStyle name="Currency 4 7 3" xfId="1925" xr:uid="{00000000-0005-0000-0000-000085070000}"/>
    <cellStyle name="Currency 4 8" xfId="1926" xr:uid="{00000000-0005-0000-0000-000086070000}"/>
    <cellStyle name="Currency 4 8 2" xfId="1927" xr:uid="{00000000-0005-0000-0000-000087070000}"/>
    <cellStyle name="Currency 4 8 3" xfId="1928" xr:uid="{00000000-0005-0000-0000-000088070000}"/>
    <cellStyle name="Currency 4 9" xfId="1929" xr:uid="{00000000-0005-0000-0000-000089070000}"/>
    <cellStyle name="Currency 5" xfId="1930" xr:uid="{00000000-0005-0000-0000-00008A070000}"/>
    <cellStyle name="Currency 5 2" xfId="1931" xr:uid="{00000000-0005-0000-0000-00008B070000}"/>
    <cellStyle name="Currency 5 2 2" xfId="1932" xr:uid="{00000000-0005-0000-0000-00008C070000}"/>
    <cellStyle name="Currency 5 2 2 2" xfId="1933" xr:uid="{00000000-0005-0000-0000-00008D070000}"/>
    <cellStyle name="Currency 5 2 2 2 2" xfId="1934" xr:uid="{00000000-0005-0000-0000-00008E070000}"/>
    <cellStyle name="Currency 5 2 2 2 3" xfId="1935" xr:uid="{00000000-0005-0000-0000-00008F070000}"/>
    <cellStyle name="Currency 5 2 2 3" xfId="1936" xr:uid="{00000000-0005-0000-0000-000090070000}"/>
    <cellStyle name="Currency 5 2 2 3 2" xfId="1937" xr:uid="{00000000-0005-0000-0000-000091070000}"/>
    <cellStyle name="Currency 5 2 2 3 3" xfId="1938" xr:uid="{00000000-0005-0000-0000-000092070000}"/>
    <cellStyle name="Currency 5 2 2 4" xfId="1939" xr:uid="{00000000-0005-0000-0000-000093070000}"/>
    <cellStyle name="Currency 5 2 2 5" xfId="1940" xr:uid="{00000000-0005-0000-0000-000094070000}"/>
    <cellStyle name="Currency 5 2 3" xfId="1941" xr:uid="{00000000-0005-0000-0000-000095070000}"/>
    <cellStyle name="Currency 5 2 3 2" xfId="1942" xr:uid="{00000000-0005-0000-0000-000096070000}"/>
    <cellStyle name="Currency 5 2 3 3" xfId="1943" xr:uid="{00000000-0005-0000-0000-000097070000}"/>
    <cellStyle name="Currency 5 2 4" xfId="1944" xr:uid="{00000000-0005-0000-0000-000098070000}"/>
    <cellStyle name="Currency 5 2 4 2" xfId="1945" xr:uid="{00000000-0005-0000-0000-000099070000}"/>
    <cellStyle name="Currency 5 2 4 3" xfId="1946" xr:uid="{00000000-0005-0000-0000-00009A070000}"/>
    <cellStyle name="Currency 5 2 5" xfId="1947" xr:uid="{00000000-0005-0000-0000-00009B070000}"/>
    <cellStyle name="Currency 5 2 6" xfId="1948" xr:uid="{00000000-0005-0000-0000-00009C070000}"/>
    <cellStyle name="Currency 5 3" xfId="1949" xr:uid="{00000000-0005-0000-0000-00009D070000}"/>
    <cellStyle name="Currency 5 3 2" xfId="1950" xr:uid="{00000000-0005-0000-0000-00009E070000}"/>
    <cellStyle name="Currency 5 3 2 2" xfId="1951" xr:uid="{00000000-0005-0000-0000-00009F070000}"/>
    <cellStyle name="Currency 5 3 2 3" xfId="1952" xr:uid="{00000000-0005-0000-0000-0000A0070000}"/>
    <cellStyle name="Currency 5 3 3" xfId="1953" xr:uid="{00000000-0005-0000-0000-0000A1070000}"/>
    <cellStyle name="Currency 5 3 3 2" xfId="1954" xr:uid="{00000000-0005-0000-0000-0000A2070000}"/>
    <cellStyle name="Currency 5 3 3 3" xfId="1955" xr:uid="{00000000-0005-0000-0000-0000A3070000}"/>
    <cellStyle name="Currency 5 3 4" xfId="1956" xr:uid="{00000000-0005-0000-0000-0000A4070000}"/>
    <cellStyle name="Currency 5 3 5" xfId="1957" xr:uid="{00000000-0005-0000-0000-0000A5070000}"/>
    <cellStyle name="Currency 5 4" xfId="1958" xr:uid="{00000000-0005-0000-0000-0000A6070000}"/>
    <cellStyle name="Currency 5 4 2" xfId="1959" xr:uid="{00000000-0005-0000-0000-0000A7070000}"/>
    <cellStyle name="Currency 5 4 2 2" xfId="1960" xr:uid="{00000000-0005-0000-0000-0000A8070000}"/>
    <cellStyle name="Currency 5 4 2 3" xfId="1961" xr:uid="{00000000-0005-0000-0000-0000A9070000}"/>
    <cellStyle name="Currency 5 4 3" xfId="1962" xr:uid="{00000000-0005-0000-0000-0000AA070000}"/>
    <cellStyle name="Currency 5 4 4" xfId="1963" xr:uid="{00000000-0005-0000-0000-0000AB070000}"/>
    <cellStyle name="Currency 5 5" xfId="1964" xr:uid="{00000000-0005-0000-0000-0000AC070000}"/>
    <cellStyle name="Currency 5 5 2" xfId="1965" xr:uid="{00000000-0005-0000-0000-0000AD070000}"/>
    <cellStyle name="Currency 5 5 3" xfId="1966" xr:uid="{00000000-0005-0000-0000-0000AE070000}"/>
    <cellStyle name="Currency 5 6" xfId="1967" xr:uid="{00000000-0005-0000-0000-0000AF070000}"/>
    <cellStyle name="Currency 5 6 2" xfId="1968" xr:uid="{00000000-0005-0000-0000-0000B0070000}"/>
    <cellStyle name="Currency 5 6 3" xfId="1969" xr:uid="{00000000-0005-0000-0000-0000B1070000}"/>
    <cellStyle name="Currency 5 7" xfId="1970" xr:uid="{00000000-0005-0000-0000-0000B2070000}"/>
    <cellStyle name="Currency 5 8" xfId="1971" xr:uid="{00000000-0005-0000-0000-0000B3070000}"/>
    <cellStyle name="Currency 6" xfId="1972" xr:uid="{00000000-0005-0000-0000-0000B4070000}"/>
    <cellStyle name="Currency 6 2" xfId="1973" xr:uid="{00000000-0005-0000-0000-0000B5070000}"/>
    <cellStyle name="Currency 6 3" xfId="1974" xr:uid="{00000000-0005-0000-0000-0000B6070000}"/>
    <cellStyle name="Currency 7" xfId="1975" xr:uid="{00000000-0005-0000-0000-0000B7070000}"/>
    <cellStyle name="Currency 7 2" xfId="1976" xr:uid="{00000000-0005-0000-0000-0000B8070000}"/>
    <cellStyle name="Currency 7 3" xfId="1977" xr:uid="{00000000-0005-0000-0000-0000B9070000}"/>
    <cellStyle name="Currency 8" xfId="1978" xr:uid="{00000000-0005-0000-0000-0000BA070000}"/>
    <cellStyle name="Currency 9" xfId="1979" xr:uid="{00000000-0005-0000-0000-0000BB070000}"/>
    <cellStyle name="Euro" xfId="1980" xr:uid="{00000000-0005-0000-0000-0000BC070000}"/>
    <cellStyle name="Euro 2" xfId="1981" xr:uid="{00000000-0005-0000-0000-0000BD070000}"/>
    <cellStyle name="Explanatory Text 2" xfId="1982" xr:uid="{00000000-0005-0000-0000-0000BE070000}"/>
    <cellStyle name="Explanatory Text 2 2" xfId="1983" xr:uid="{00000000-0005-0000-0000-0000BF070000}"/>
    <cellStyle name="Explanatory Text 2 3" xfId="1984" xr:uid="{00000000-0005-0000-0000-0000C0070000}"/>
    <cellStyle name="Explanatory Text 3" xfId="1985" xr:uid="{00000000-0005-0000-0000-0000C1070000}"/>
    <cellStyle name="Explanatory Text 3 2" xfId="1986" xr:uid="{00000000-0005-0000-0000-0000C2070000}"/>
    <cellStyle name="Explanatory Text 4" xfId="1987" xr:uid="{00000000-0005-0000-0000-0000C3070000}"/>
    <cellStyle name="Explanatory Text 5" xfId="1988" xr:uid="{00000000-0005-0000-0000-0000C4070000}"/>
    <cellStyle name="Followed Hyperlink 2" xfId="1989" xr:uid="{00000000-0005-0000-0000-0000C5070000}"/>
    <cellStyle name="Followed Hyperlink 2 2" xfId="1990" xr:uid="{00000000-0005-0000-0000-0000C6070000}"/>
    <cellStyle name="Font: Calibri, 9pt regular" xfId="1991" xr:uid="{00000000-0005-0000-0000-0000C7070000}"/>
    <cellStyle name="Font: Calibri, 9pt regular 2" xfId="1992" xr:uid="{00000000-0005-0000-0000-0000C8070000}"/>
    <cellStyle name="Footnotes: all except top row" xfId="1993" xr:uid="{00000000-0005-0000-0000-0000C9070000}"/>
    <cellStyle name="Footnotes: all except top row 2" xfId="1994" xr:uid="{00000000-0005-0000-0000-0000CA070000}"/>
    <cellStyle name="Footnotes: top row" xfId="1995" xr:uid="{00000000-0005-0000-0000-0000CB070000}"/>
    <cellStyle name="Footnotes: top row 2" xfId="1996" xr:uid="{00000000-0005-0000-0000-0000CC070000}"/>
    <cellStyle name="Good 2" xfId="1997" xr:uid="{00000000-0005-0000-0000-0000CD070000}"/>
    <cellStyle name="Good 2 2" xfId="1998" xr:uid="{00000000-0005-0000-0000-0000CE070000}"/>
    <cellStyle name="Good 2 2 2" xfId="1999" xr:uid="{00000000-0005-0000-0000-0000CF070000}"/>
    <cellStyle name="Good 2 2 3" xfId="2000" xr:uid="{00000000-0005-0000-0000-0000D0070000}"/>
    <cellStyle name="Good 2 3" xfId="2001" xr:uid="{00000000-0005-0000-0000-0000D1070000}"/>
    <cellStyle name="Good 2 3 2" xfId="2002" xr:uid="{00000000-0005-0000-0000-0000D2070000}"/>
    <cellStyle name="Good 2 4" xfId="2003" xr:uid="{00000000-0005-0000-0000-0000D3070000}"/>
    <cellStyle name="Good 2 5" xfId="2004" xr:uid="{00000000-0005-0000-0000-0000D4070000}"/>
    <cellStyle name="Good 2 6" xfId="2005" xr:uid="{00000000-0005-0000-0000-0000D5070000}"/>
    <cellStyle name="Good 3" xfId="2006" xr:uid="{00000000-0005-0000-0000-0000D6070000}"/>
    <cellStyle name="Good 3 2" xfId="2007" xr:uid="{00000000-0005-0000-0000-0000D7070000}"/>
    <cellStyle name="Good 4" xfId="2008" xr:uid="{00000000-0005-0000-0000-0000D8070000}"/>
    <cellStyle name="Header: bottom row" xfId="2009" xr:uid="{00000000-0005-0000-0000-0000D9070000}"/>
    <cellStyle name="Header: bottom row 2" xfId="2010" xr:uid="{00000000-0005-0000-0000-0000DA070000}"/>
    <cellStyle name="Header: top rows" xfId="2011" xr:uid="{00000000-0005-0000-0000-0000DB070000}"/>
    <cellStyle name="Header: top rows 2" xfId="2012" xr:uid="{00000000-0005-0000-0000-0000DC070000}"/>
    <cellStyle name="Heading 1 2" xfId="2013" xr:uid="{00000000-0005-0000-0000-0000DD070000}"/>
    <cellStyle name="Heading 1 2 2" xfId="2014" xr:uid="{00000000-0005-0000-0000-0000DE070000}"/>
    <cellStyle name="Heading 1 2 3" xfId="2015" xr:uid="{00000000-0005-0000-0000-0000DF070000}"/>
    <cellStyle name="Heading 1 3" xfId="2016" xr:uid="{00000000-0005-0000-0000-0000E0070000}"/>
    <cellStyle name="Heading 1 3 2" xfId="2017" xr:uid="{00000000-0005-0000-0000-0000E1070000}"/>
    <cellStyle name="Heading 1 4" xfId="2018" xr:uid="{00000000-0005-0000-0000-0000E2070000}"/>
    <cellStyle name="Heading 2 2" xfId="2019" xr:uid="{00000000-0005-0000-0000-0000E3070000}"/>
    <cellStyle name="Heading 2 2 2" xfId="2020" xr:uid="{00000000-0005-0000-0000-0000E4070000}"/>
    <cellStyle name="Heading 2 2 3" xfId="2021" xr:uid="{00000000-0005-0000-0000-0000E5070000}"/>
    <cellStyle name="Heading 2 3" xfId="2022" xr:uid="{00000000-0005-0000-0000-0000E6070000}"/>
    <cellStyle name="Heading 2 3 2" xfId="2023" xr:uid="{00000000-0005-0000-0000-0000E7070000}"/>
    <cellStyle name="Heading 2 4" xfId="2024" xr:uid="{00000000-0005-0000-0000-0000E8070000}"/>
    <cellStyle name="Heading 3 2" xfId="2025" xr:uid="{00000000-0005-0000-0000-0000E9070000}"/>
    <cellStyle name="Heading 3 2 2" xfId="2026" xr:uid="{00000000-0005-0000-0000-0000EA070000}"/>
    <cellStyle name="Heading 3 2 2 2" xfId="2027" xr:uid="{00000000-0005-0000-0000-0000EB070000}"/>
    <cellStyle name="Heading 3 2 2 2 2" xfId="2028" xr:uid="{00000000-0005-0000-0000-0000EC070000}"/>
    <cellStyle name="Heading 3 2 2 3" xfId="2029" xr:uid="{00000000-0005-0000-0000-0000ED070000}"/>
    <cellStyle name="Heading 3 2 2 3 2" xfId="2030" xr:uid="{00000000-0005-0000-0000-0000EE070000}"/>
    <cellStyle name="Heading 3 2 2 4" xfId="2031" xr:uid="{00000000-0005-0000-0000-0000EF070000}"/>
    <cellStyle name="Heading 3 2 3" xfId="2032" xr:uid="{00000000-0005-0000-0000-0000F0070000}"/>
    <cellStyle name="Heading 3 2 4" xfId="2033" xr:uid="{00000000-0005-0000-0000-0000F1070000}"/>
    <cellStyle name="Heading 3 3" xfId="2034" xr:uid="{00000000-0005-0000-0000-0000F2070000}"/>
    <cellStyle name="Heading 3 3 2" xfId="2035" xr:uid="{00000000-0005-0000-0000-0000F3070000}"/>
    <cellStyle name="Heading 3 3 2 2" xfId="2036" xr:uid="{00000000-0005-0000-0000-0000F4070000}"/>
    <cellStyle name="Heading 3 3 3" xfId="2037" xr:uid="{00000000-0005-0000-0000-0000F5070000}"/>
    <cellStyle name="Heading 3 3 4" xfId="2038" xr:uid="{00000000-0005-0000-0000-0000F6070000}"/>
    <cellStyle name="Heading 3 4" xfId="2039" xr:uid="{00000000-0005-0000-0000-0000F7070000}"/>
    <cellStyle name="Heading 3 4 2" xfId="2040" xr:uid="{00000000-0005-0000-0000-0000F8070000}"/>
    <cellStyle name="Heading 3 4 2 2" xfId="2041" xr:uid="{00000000-0005-0000-0000-0000F9070000}"/>
    <cellStyle name="Heading 3 4 3" xfId="2042" xr:uid="{00000000-0005-0000-0000-0000FA070000}"/>
    <cellStyle name="Heading 3 4 3 2" xfId="2043" xr:uid="{00000000-0005-0000-0000-0000FB070000}"/>
    <cellStyle name="Heading 3 4 4" xfId="2044" xr:uid="{00000000-0005-0000-0000-0000FC070000}"/>
    <cellStyle name="Heading 3 5" xfId="2045" xr:uid="{00000000-0005-0000-0000-0000FD070000}"/>
    <cellStyle name="Heading 4 2" xfId="2046" xr:uid="{00000000-0005-0000-0000-0000FE070000}"/>
    <cellStyle name="Heading 4 2 2" xfId="2047" xr:uid="{00000000-0005-0000-0000-0000FF070000}"/>
    <cellStyle name="Heading 4 2 3" xfId="2048" xr:uid="{00000000-0005-0000-0000-000000080000}"/>
    <cellStyle name="Heading 4 3" xfId="2049" xr:uid="{00000000-0005-0000-0000-000001080000}"/>
    <cellStyle name="Heading 4 3 2" xfId="2050" xr:uid="{00000000-0005-0000-0000-000002080000}"/>
    <cellStyle name="Heading 4 4" xfId="2051" xr:uid="{00000000-0005-0000-0000-000003080000}"/>
    <cellStyle name="Hyperlink 2" xfId="2052" xr:uid="{00000000-0005-0000-0000-000004080000}"/>
    <cellStyle name="Hyperlink 2 2" xfId="2053" xr:uid="{00000000-0005-0000-0000-000005080000}"/>
    <cellStyle name="Hyperlink 2 2 2" xfId="2054" xr:uid="{00000000-0005-0000-0000-000006080000}"/>
    <cellStyle name="Hyperlink 2 3" xfId="2055" xr:uid="{00000000-0005-0000-0000-000007080000}"/>
    <cellStyle name="Hyperlink 3" xfId="6" xr:uid="{00000000-0005-0000-0000-000006000000}"/>
    <cellStyle name="Hyperlink 3 2" xfId="2057" xr:uid="{00000000-0005-0000-0000-000009080000}"/>
    <cellStyle name="Hyperlink 3 2 2" xfId="2058" xr:uid="{00000000-0005-0000-0000-00000A080000}"/>
    <cellStyle name="Hyperlink 3 3" xfId="2059" xr:uid="{00000000-0005-0000-0000-00000B080000}"/>
    <cellStyle name="Hyperlink 3 3 2" xfId="2060" xr:uid="{00000000-0005-0000-0000-00000C080000}"/>
    <cellStyle name="Hyperlink 3 4" xfId="2061" xr:uid="{00000000-0005-0000-0000-00000D080000}"/>
    <cellStyle name="Hyperlink 3 5" xfId="2056" xr:uid="{00000000-0005-0000-0000-000008080000}"/>
    <cellStyle name="Hyperlink 4" xfId="2062" xr:uid="{00000000-0005-0000-0000-00000E080000}"/>
    <cellStyle name="Hyperlink 4 2" xfId="2063" xr:uid="{00000000-0005-0000-0000-00000F080000}"/>
    <cellStyle name="Hyperlink 5" xfId="2064" xr:uid="{00000000-0005-0000-0000-000010080000}"/>
    <cellStyle name="Hyperlink 5 2" xfId="2065" xr:uid="{00000000-0005-0000-0000-000011080000}"/>
    <cellStyle name="Hyperlink 5 2 2" xfId="2066" xr:uid="{00000000-0005-0000-0000-000012080000}"/>
    <cellStyle name="Hyperlink 5 3" xfId="2067" xr:uid="{00000000-0005-0000-0000-000013080000}"/>
    <cellStyle name="Hyperlink 5 3 2" xfId="2068" xr:uid="{00000000-0005-0000-0000-000014080000}"/>
    <cellStyle name="Hyperlink 5 4" xfId="2069" xr:uid="{00000000-0005-0000-0000-000015080000}"/>
    <cellStyle name="Hyperlink 6" xfId="2070" xr:uid="{00000000-0005-0000-0000-000016080000}"/>
    <cellStyle name="Input 2" xfId="2071" xr:uid="{00000000-0005-0000-0000-000017080000}"/>
    <cellStyle name="Input 2 2" xfId="2072" xr:uid="{00000000-0005-0000-0000-000018080000}"/>
    <cellStyle name="Input 2 2 2" xfId="2073" xr:uid="{00000000-0005-0000-0000-000019080000}"/>
    <cellStyle name="Input 2 3" xfId="2074" xr:uid="{00000000-0005-0000-0000-00001A080000}"/>
    <cellStyle name="Input 2 4" xfId="2075" xr:uid="{00000000-0005-0000-0000-00001B080000}"/>
    <cellStyle name="Input 2 5" xfId="2076" xr:uid="{00000000-0005-0000-0000-00001C080000}"/>
    <cellStyle name="Input 3" xfId="2077" xr:uid="{00000000-0005-0000-0000-00001D080000}"/>
    <cellStyle name="Input 3 2" xfId="2078" xr:uid="{00000000-0005-0000-0000-00001E080000}"/>
    <cellStyle name="Input 4" xfId="2079" xr:uid="{00000000-0005-0000-0000-00001F080000}"/>
    <cellStyle name="Linked Cell 2" xfId="2080" xr:uid="{00000000-0005-0000-0000-000020080000}"/>
    <cellStyle name="Linked Cell 2 2" xfId="2081" xr:uid="{00000000-0005-0000-0000-000021080000}"/>
    <cellStyle name="Linked Cell 2 3" xfId="2082" xr:uid="{00000000-0005-0000-0000-000022080000}"/>
    <cellStyle name="Linked Cell 3" xfId="2083" xr:uid="{00000000-0005-0000-0000-000023080000}"/>
    <cellStyle name="Linked Cell 3 2" xfId="2084" xr:uid="{00000000-0005-0000-0000-000024080000}"/>
    <cellStyle name="Linked Cell 4" xfId="2085" xr:uid="{00000000-0005-0000-0000-000025080000}"/>
    <cellStyle name="Milliers (/1000)" xfId="2086" xr:uid="{00000000-0005-0000-0000-000026080000}"/>
    <cellStyle name="Milliers (/1000) 2" xfId="2087" xr:uid="{00000000-0005-0000-0000-000027080000}"/>
    <cellStyle name="Milliers 10" xfId="2088" xr:uid="{00000000-0005-0000-0000-000028080000}"/>
    <cellStyle name="Milliers 10 2" xfId="2089" xr:uid="{00000000-0005-0000-0000-000029080000}"/>
    <cellStyle name="Milliers 10 2 10" xfId="3281" xr:uid="{00000000-0005-0000-0000-0000D10C0000}"/>
    <cellStyle name="Milliers 10 2 2" xfId="2090" xr:uid="{00000000-0005-0000-0000-00002A080000}"/>
    <cellStyle name="Milliers 10 2 2 2" xfId="2091" xr:uid="{00000000-0005-0000-0000-00002B080000}"/>
    <cellStyle name="Milliers 10 2 2 2 2" xfId="2092" xr:uid="{00000000-0005-0000-0000-00002C080000}"/>
    <cellStyle name="Milliers 10 2 2 2 2 2" xfId="2093" xr:uid="{00000000-0005-0000-0000-00002D080000}"/>
    <cellStyle name="Milliers 10 2 2 2 2 3" xfId="2094" xr:uid="{00000000-0005-0000-0000-00002E080000}"/>
    <cellStyle name="Milliers 10 2 2 2 3" xfId="2095" xr:uid="{00000000-0005-0000-0000-00002F080000}"/>
    <cellStyle name="Milliers 10 2 2 2 3 2" xfId="2096" xr:uid="{00000000-0005-0000-0000-000030080000}"/>
    <cellStyle name="Milliers 10 2 2 2 3 3" xfId="2097" xr:uid="{00000000-0005-0000-0000-000031080000}"/>
    <cellStyle name="Milliers 10 2 2 2 4" xfId="2098" xr:uid="{00000000-0005-0000-0000-000032080000}"/>
    <cellStyle name="Milliers 10 2 2 2 5" xfId="2099" xr:uid="{00000000-0005-0000-0000-000033080000}"/>
    <cellStyle name="Milliers 10 2 2 3" xfId="2100" xr:uid="{00000000-0005-0000-0000-000034080000}"/>
    <cellStyle name="Milliers 10 2 2 3 2" xfId="2101" xr:uid="{00000000-0005-0000-0000-000035080000}"/>
    <cellStyle name="Milliers 10 2 2 3 3" xfId="2102" xr:uid="{00000000-0005-0000-0000-000036080000}"/>
    <cellStyle name="Milliers 10 2 2 4" xfId="2103" xr:uid="{00000000-0005-0000-0000-000037080000}"/>
    <cellStyle name="Milliers 10 2 2 4 2" xfId="2104" xr:uid="{00000000-0005-0000-0000-000038080000}"/>
    <cellStyle name="Milliers 10 2 2 4 3" xfId="2105" xr:uid="{00000000-0005-0000-0000-000039080000}"/>
    <cellStyle name="Milliers 10 2 2 5" xfId="2106" xr:uid="{00000000-0005-0000-0000-00003A080000}"/>
    <cellStyle name="Milliers 10 2 2 6" xfId="2107" xr:uid="{00000000-0005-0000-0000-00003B080000}"/>
    <cellStyle name="Milliers 10 2 3" xfId="2108" xr:uid="{00000000-0005-0000-0000-00003C080000}"/>
    <cellStyle name="Milliers 10 2 3 2" xfId="2109" xr:uid="{00000000-0005-0000-0000-00003D080000}"/>
    <cellStyle name="Milliers 10 2 3 2 2" xfId="2110" xr:uid="{00000000-0005-0000-0000-00003E080000}"/>
    <cellStyle name="Milliers 10 2 3 2 3" xfId="2111" xr:uid="{00000000-0005-0000-0000-00003F080000}"/>
    <cellStyle name="Milliers 10 2 3 3" xfId="2112" xr:uid="{00000000-0005-0000-0000-000040080000}"/>
    <cellStyle name="Milliers 10 2 3 3 2" xfId="2113" xr:uid="{00000000-0005-0000-0000-000041080000}"/>
    <cellStyle name="Milliers 10 2 3 3 3" xfId="2114" xr:uid="{00000000-0005-0000-0000-000042080000}"/>
    <cellStyle name="Milliers 10 2 3 4" xfId="2115" xr:uid="{00000000-0005-0000-0000-000043080000}"/>
    <cellStyle name="Milliers 10 2 3 5" xfId="2116" xr:uid="{00000000-0005-0000-0000-000044080000}"/>
    <cellStyle name="Milliers 10 2 4" xfId="2117" xr:uid="{00000000-0005-0000-0000-000045080000}"/>
    <cellStyle name="Milliers 10 2 4 2" xfId="2118" xr:uid="{00000000-0005-0000-0000-000046080000}"/>
    <cellStyle name="Milliers 10 2 4 2 2" xfId="2119" xr:uid="{00000000-0005-0000-0000-000047080000}"/>
    <cellStyle name="Milliers 10 2 4 2 3" xfId="2120" xr:uid="{00000000-0005-0000-0000-000048080000}"/>
    <cellStyle name="Milliers 10 2 4 3" xfId="2121" xr:uid="{00000000-0005-0000-0000-000049080000}"/>
    <cellStyle name="Milliers 10 2 4 4" xfId="2122" xr:uid="{00000000-0005-0000-0000-00004A080000}"/>
    <cellStyle name="Milliers 10 2 5" xfId="2123" xr:uid="{00000000-0005-0000-0000-00004B080000}"/>
    <cellStyle name="Milliers 10 2 5 2" xfId="2124" xr:uid="{00000000-0005-0000-0000-00004C080000}"/>
    <cellStyle name="Milliers 10 2 5 3" xfId="2125" xr:uid="{00000000-0005-0000-0000-00004D080000}"/>
    <cellStyle name="Milliers 10 2 6" xfId="2126" xr:uid="{00000000-0005-0000-0000-00004E080000}"/>
    <cellStyle name="Milliers 10 2 6 2" xfId="2127" xr:uid="{00000000-0005-0000-0000-00004F080000}"/>
    <cellStyle name="Milliers 10 2 6 3" xfId="2128" xr:uid="{00000000-0005-0000-0000-000050080000}"/>
    <cellStyle name="Milliers 10 2 7" xfId="2129" xr:uid="{00000000-0005-0000-0000-000051080000}"/>
    <cellStyle name="Milliers 10 2 8" xfId="2130" xr:uid="{00000000-0005-0000-0000-000052080000}"/>
    <cellStyle name="Milliers 10 2 9" xfId="2131" xr:uid="{00000000-0005-0000-0000-000053080000}"/>
    <cellStyle name="Milliers 10 3" xfId="2132" xr:uid="{00000000-0005-0000-0000-000054080000}"/>
    <cellStyle name="Milliers 10 3 2" xfId="2133" xr:uid="{00000000-0005-0000-0000-000055080000}"/>
    <cellStyle name="Milliers 10 3 2 2" xfId="2134" xr:uid="{00000000-0005-0000-0000-000056080000}"/>
    <cellStyle name="Milliers 10 3 2 3" xfId="2135" xr:uid="{00000000-0005-0000-0000-000057080000}"/>
    <cellStyle name="Milliers 10 3 3" xfId="2136" xr:uid="{00000000-0005-0000-0000-000058080000}"/>
    <cellStyle name="Milliers 10 3 3 2" xfId="2137" xr:uid="{00000000-0005-0000-0000-000059080000}"/>
    <cellStyle name="Milliers 10 3 3 3" xfId="2138" xr:uid="{00000000-0005-0000-0000-00005A080000}"/>
    <cellStyle name="Milliers 10 3 4" xfId="2139" xr:uid="{00000000-0005-0000-0000-00005B080000}"/>
    <cellStyle name="Milliers 10 3 5" xfId="2140" xr:uid="{00000000-0005-0000-0000-00005C080000}"/>
    <cellStyle name="Milliers 10 3 6" xfId="2141" xr:uid="{00000000-0005-0000-0000-00005D080000}"/>
    <cellStyle name="Milliers 10 3 7" xfId="3282" xr:uid="{00000000-0005-0000-0000-0000D20C0000}"/>
    <cellStyle name="Milliers 10 4" xfId="2142" xr:uid="{00000000-0005-0000-0000-00005E080000}"/>
    <cellStyle name="Milliers 10 4 2" xfId="2143" xr:uid="{00000000-0005-0000-0000-00005F080000}"/>
    <cellStyle name="Milliers 10 4 2 2" xfId="2144" xr:uid="{00000000-0005-0000-0000-000060080000}"/>
    <cellStyle name="Milliers 10 4 2 3" xfId="2145" xr:uid="{00000000-0005-0000-0000-000061080000}"/>
    <cellStyle name="Milliers 10 4 3" xfId="2146" xr:uid="{00000000-0005-0000-0000-000062080000}"/>
    <cellStyle name="Milliers 10 4 3 2" xfId="2147" xr:uid="{00000000-0005-0000-0000-000063080000}"/>
    <cellStyle name="Milliers 10 4 3 3" xfId="2148" xr:uid="{00000000-0005-0000-0000-000064080000}"/>
    <cellStyle name="Milliers 10 4 4" xfId="2149" xr:uid="{00000000-0005-0000-0000-000065080000}"/>
    <cellStyle name="Milliers 10 4 5" xfId="2150" xr:uid="{00000000-0005-0000-0000-000066080000}"/>
    <cellStyle name="Milliers 10 5" xfId="2151" xr:uid="{00000000-0005-0000-0000-000067080000}"/>
    <cellStyle name="Milliers 10 6" xfId="2152" xr:uid="{00000000-0005-0000-0000-000068080000}"/>
    <cellStyle name="Milliers 10 7" xfId="3280" xr:uid="{00000000-0005-0000-0000-0000D00C0000}"/>
    <cellStyle name="Milliers 11" xfId="2153" xr:uid="{00000000-0005-0000-0000-000069080000}"/>
    <cellStyle name="Milliers 11 2" xfId="2154" xr:uid="{00000000-0005-0000-0000-00006A080000}"/>
    <cellStyle name="Milliers 11 2 2" xfId="2155" xr:uid="{00000000-0005-0000-0000-00006B080000}"/>
    <cellStyle name="Milliers 11 2 2 2" xfId="2156" xr:uid="{00000000-0005-0000-0000-00006C080000}"/>
    <cellStyle name="Milliers 11 2 2 3" xfId="2157" xr:uid="{00000000-0005-0000-0000-00006D080000}"/>
    <cellStyle name="Milliers 11 2 3" xfId="2158" xr:uid="{00000000-0005-0000-0000-00006E080000}"/>
    <cellStyle name="Milliers 11 2 3 2" xfId="2159" xr:uid="{00000000-0005-0000-0000-00006F080000}"/>
    <cellStyle name="Milliers 11 2 3 3" xfId="2160" xr:uid="{00000000-0005-0000-0000-000070080000}"/>
    <cellStyle name="Milliers 11 2 4" xfId="2161" xr:uid="{00000000-0005-0000-0000-000071080000}"/>
    <cellStyle name="Milliers 11 2 5" xfId="2162" xr:uid="{00000000-0005-0000-0000-000072080000}"/>
    <cellStyle name="Milliers 11 2 6" xfId="2163" xr:uid="{00000000-0005-0000-0000-000073080000}"/>
    <cellStyle name="Milliers 11 2 7" xfId="3284" xr:uid="{00000000-0005-0000-0000-0000D40C0000}"/>
    <cellStyle name="Milliers 11 3" xfId="2164" xr:uid="{00000000-0005-0000-0000-000074080000}"/>
    <cellStyle name="Milliers 11 3 2" xfId="2165" xr:uid="{00000000-0005-0000-0000-000075080000}"/>
    <cellStyle name="Milliers 11 3 2 2" xfId="2166" xr:uid="{00000000-0005-0000-0000-000076080000}"/>
    <cellStyle name="Milliers 11 3 2 3" xfId="2167" xr:uid="{00000000-0005-0000-0000-000077080000}"/>
    <cellStyle name="Milliers 11 3 3" xfId="2168" xr:uid="{00000000-0005-0000-0000-000078080000}"/>
    <cellStyle name="Milliers 11 3 3 2" xfId="2169" xr:uid="{00000000-0005-0000-0000-000079080000}"/>
    <cellStyle name="Milliers 11 3 3 3" xfId="2170" xr:uid="{00000000-0005-0000-0000-00007A080000}"/>
    <cellStyle name="Milliers 11 3 4" xfId="2171" xr:uid="{00000000-0005-0000-0000-00007B080000}"/>
    <cellStyle name="Milliers 11 3 5" xfId="2172" xr:uid="{00000000-0005-0000-0000-00007C080000}"/>
    <cellStyle name="Milliers 11 3 6" xfId="2173" xr:uid="{00000000-0005-0000-0000-00007D080000}"/>
    <cellStyle name="Milliers 11 3 7" xfId="3285" xr:uid="{00000000-0005-0000-0000-0000D50C0000}"/>
    <cellStyle name="Milliers 11 4" xfId="2174" xr:uid="{00000000-0005-0000-0000-00007E080000}"/>
    <cellStyle name="Milliers 11 4 2" xfId="2175" xr:uid="{00000000-0005-0000-0000-00007F080000}"/>
    <cellStyle name="Milliers 11 4 2 2" xfId="2176" xr:uid="{00000000-0005-0000-0000-000080080000}"/>
    <cellStyle name="Milliers 11 4 2 3" xfId="2177" xr:uid="{00000000-0005-0000-0000-000081080000}"/>
    <cellStyle name="Milliers 11 4 3" xfId="2178" xr:uid="{00000000-0005-0000-0000-000082080000}"/>
    <cellStyle name="Milliers 11 4 3 2" xfId="2179" xr:uid="{00000000-0005-0000-0000-000083080000}"/>
    <cellStyle name="Milliers 11 4 3 3" xfId="2180" xr:uid="{00000000-0005-0000-0000-000084080000}"/>
    <cellStyle name="Milliers 11 4 4" xfId="2181" xr:uid="{00000000-0005-0000-0000-000085080000}"/>
    <cellStyle name="Milliers 11 4 5" xfId="2182" xr:uid="{00000000-0005-0000-0000-000086080000}"/>
    <cellStyle name="Milliers 11 5" xfId="2183" xr:uid="{00000000-0005-0000-0000-000087080000}"/>
    <cellStyle name="Milliers 11 5 2" xfId="2184" xr:uid="{00000000-0005-0000-0000-000088080000}"/>
    <cellStyle name="Milliers 11 5 2 2" xfId="2185" xr:uid="{00000000-0005-0000-0000-000089080000}"/>
    <cellStyle name="Milliers 11 5 2 3" xfId="2186" xr:uid="{00000000-0005-0000-0000-00008A080000}"/>
    <cellStyle name="Milliers 11 5 3" xfId="2187" xr:uid="{00000000-0005-0000-0000-00008B080000}"/>
    <cellStyle name="Milliers 11 5 3 2" xfId="2188" xr:uid="{00000000-0005-0000-0000-00008C080000}"/>
    <cellStyle name="Milliers 11 5 3 3" xfId="2189" xr:uid="{00000000-0005-0000-0000-00008D080000}"/>
    <cellStyle name="Milliers 11 5 4" xfId="2190" xr:uid="{00000000-0005-0000-0000-00008E080000}"/>
    <cellStyle name="Milliers 11 5 5" xfId="2191" xr:uid="{00000000-0005-0000-0000-00008F080000}"/>
    <cellStyle name="Milliers 11 6" xfId="2192" xr:uid="{00000000-0005-0000-0000-000090080000}"/>
    <cellStyle name="Milliers 11 7" xfId="3283" xr:uid="{00000000-0005-0000-0000-0000D30C0000}"/>
    <cellStyle name="Milliers 12" xfId="2193" xr:uid="{00000000-0005-0000-0000-000091080000}"/>
    <cellStyle name="Milliers 12 2" xfId="2194" xr:uid="{00000000-0005-0000-0000-000092080000}"/>
    <cellStyle name="Milliers 12 2 2" xfId="2195" xr:uid="{00000000-0005-0000-0000-000093080000}"/>
    <cellStyle name="Milliers 12 2 2 2" xfId="2196" xr:uid="{00000000-0005-0000-0000-000094080000}"/>
    <cellStyle name="Milliers 12 2 2 3" xfId="2197" xr:uid="{00000000-0005-0000-0000-000095080000}"/>
    <cellStyle name="Milliers 12 2 3" xfId="2198" xr:uid="{00000000-0005-0000-0000-000096080000}"/>
    <cellStyle name="Milliers 12 2 3 2" xfId="2199" xr:uid="{00000000-0005-0000-0000-000097080000}"/>
    <cellStyle name="Milliers 12 2 3 3" xfId="2200" xr:uid="{00000000-0005-0000-0000-000098080000}"/>
    <cellStyle name="Milliers 12 2 4" xfId="2201" xr:uid="{00000000-0005-0000-0000-000099080000}"/>
    <cellStyle name="Milliers 12 2 5" xfId="2202" xr:uid="{00000000-0005-0000-0000-00009A080000}"/>
    <cellStyle name="Milliers 12 2 6" xfId="2203" xr:uid="{00000000-0005-0000-0000-00009B080000}"/>
    <cellStyle name="Milliers 12 2 7" xfId="3287" xr:uid="{00000000-0005-0000-0000-0000D70C0000}"/>
    <cellStyle name="Milliers 12 3" xfId="2204" xr:uid="{00000000-0005-0000-0000-00009C080000}"/>
    <cellStyle name="Milliers 12 3 2" xfId="2205" xr:uid="{00000000-0005-0000-0000-00009D080000}"/>
    <cellStyle name="Milliers 12 3 2 2" xfId="2206" xr:uid="{00000000-0005-0000-0000-00009E080000}"/>
    <cellStyle name="Milliers 12 3 2 3" xfId="2207" xr:uid="{00000000-0005-0000-0000-00009F080000}"/>
    <cellStyle name="Milliers 12 3 3" xfId="2208" xr:uid="{00000000-0005-0000-0000-0000A0080000}"/>
    <cellStyle name="Milliers 12 3 3 2" xfId="2209" xr:uid="{00000000-0005-0000-0000-0000A1080000}"/>
    <cellStyle name="Milliers 12 3 3 3" xfId="2210" xr:uid="{00000000-0005-0000-0000-0000A2080000}"/>
    <cellStyle name="Milliers 12 3 4" xfId="2211" xr:uid="{00000000-0005-0000-0000-0000A3080000}"/>
    <cellStyle name="Milliers 12 3 5" xfId="2212" xr:uid="{00000000-0005-0000-0000-0000A4080000}"/>
    <cellStyle name="Milliers 12 3 6" xfId="2213" xr:uid="{00000000-0005-0000-0000-0000A5080000}"/>
    <cellStyle name="Milliers 12 3 7" xfId="3288" xr:uid="{00000000-0005-0000-0000-0000D80C0000}"/>
    <cellStyle name="Milliers 12 4" xfId="2214" xr:uid="{00000000-0005-0000-0000-0000A6080000}"/>
    <cellStyle name="Milliers 12 4 2" xfId="2215" xr:uid="{00000000-0005-0000-0000-0000A7080000}"/>
    <cellStyle name="Milliers 12 4 2 2" xfId="2216" xr:uid="{00000000-0005-0000-0000-0000A8080000}"/>
    <cellStyle name="Milliers 12 4 2 3" xfId="2217" xr:uid="{00000000-0005-0000-0000-0000A9080000}"/>
    <cellStyle name="Milliers 12 4 3" xfId="2218" xr:uid="{00000000-0005-0000-0000-0000AA080000}"/>
    <cellStyle name="Milliers 12 4 3 2" xfId="2219" xr:uid="{00000000-0005-0000-0000-0000AB080000}"/>
    <cellStyle name="Milliers 12 4 3 3" xfId="2220" xr:uid="{00000000-0005-0000-0000-0000AC080000}"/>
    <cellStyle name="Milliers 12 4 4" xfId="2221" xr:uid="{00000000-0005-0000-0000-0000AD080000}"/>
    <cellStyle name="Milliers 12 4 5" xfId="2222" xr:uid="{00000000-0005-0000-0000-0000AE080000}"/>
    <cellStyle name="Milliers 12 5" xfId="2223" xr:uid="{00000000-0005-0000-0000-0000AF080000}"/>
    <cellStyle name="Milliers 12 5 2" xfId="2224" xr:uid="{00000000-0005-0000-0000-0000B0080000}"/>
    <cellStyle name="Milliers 12 5 2 2" xfId="2225" xr:uid="{00000000-0005-0000-0000-0000B1080000}"/>
    <cellStyle name="Milliers 12 5 2 3" xfId="2226" xr:uid="{00000000-0005-0000-0000-0000B2080000}"/>
    <cellStyle name="Milliers 12 5 3" xfId="2227" xr:uid="{00000000-0005-0000-0000-0000B3080000}"/>
    <cellStyle name="Milliers 12 5 3 2" xfId="2228" xr:uid="{00000000-0005-0000-0000-0000B4080000}"/>
    <cellStyle name="Milliers 12 5 3 3" xfId="2229" xr:uid="{00000000-0005-0000-0000-0000B5080000}"/>
    <cellStyle name="Milliers 12 5 4" xfId="2230" xr:uid="{00000000-0005-0000-0000-0000B6080000}"/>
    <cellStyle name="Milliers 12 5 5" xfId="2231" xr:uid="{00000000-0005-0000-0000-0000B7080000}"/>
    <cellStyle name="Milliers 12 6" xfId="2232" xr:uid="{00000000-0005-0000-0000-0000B8080000}"/>
    <cellStyle name="Milliers 12 7" xfId="3286" xr:uid="{00000000-0005-0000-0000-0000D60C0000}"/>
    <cellStyle name="Milliers 13" xfId="2233" xr:uid="{00000000-0005-0000-0000-0000B9080000}"/>
    <cellStyle name="Milliers 13 2" xfId="2234" xr:uid="{00000000-0005-0000-0000-0000BA080000}"/>
    <cellStyle name="Milliers 13 2 2" xfId="2235" xr:uid="{00000000-0005-0000-0000-0000BB080000}"/>
    <cellStyle name="Milliers 13 2 2 2" xfId="2236" xr:uid="{00000000-0005-0000-0000-0000BC080000}"/>
    <cellStyle name="Milliers 13 2 2 3" xfId="2237" xr:uid="{00000000-0005-0000-0000-0000BD080000}"/>
    <cellStyle name="Milliers 13 2 3" xfId="2238" xr:uid="{00000000-0005-0000-0000-0000BE080000}"/>
    <cellStyle name="Milliers 13 2 3 2" xfId="2239" xr:uid="{00000000-0005-0000-0000-0000BF080000}"/>
    <cellStyle name="Milliers 13 2 3 3" xfId="2240" xr:uid="{00000000-0005-0000-0000-0000C0080000}"/>
    <cellStyle name="Milliers 13 2 4" xfId="2241" xr:uid="{00000000-0005-0000-0000-0000C1080000}"/>
    <cellStyle name="Milliers 13 2 5" xfId="2242" xr:uid="{00000000-0005-0000-0000-0000C2080000}"/>
    <cellStyle name="Milliers 13 2 6" xfId="2243" xr:uid="{00000000-0005-0000-0000-0000C3080000}"/>
    <cellStyle name="Milliers 13 2 7" xfId="3290" xr:uid="{00000000-0005-0000-0000-0000DA0C0000}"/>
    <cellStyle name="Milliers 13 3" xfId="2244" xr:uid="{00000000-0005-0000-0000-0000C4080000}"/>
    <cellStyle name="Milliers 13 3 2" xfId="2245" xr:uid="{00000000-0005-0000-0000-0000C5080000}"/>
    <cellStyle name="Milliers 13 3 2 2" xfId="2246" xr:uid="{00000000-0005-0000-0000-0000C6080000}"/>
    <cellStyle name="Milliers 13 3 2 3" xfId="2247" xr:uid="{00000000-0005-0000-0000-0000C7080000}"/>
    <cellStyle name="Milliers 13 3 3" xfId="2248" xr:uid="{00000000-0005-0000-0000-0000C8080000}"/>
    <cellStyle name="Milliers 13 3 3 2" xfId="2249" xr:uid="{00000000-0005-0000-0000-0000C9080000}"/>
    <cellStyle name="Milliers 13 3 3 3" xfId="2250" xr:uid="{00000000-0005-0000-0000-0000CA080000}"/>
    <cellStyle name="Milliers 13 3 4" xfId="2251" xr:uid="{00000000-0005-0000-0000-0000CB080000}"/>
    <cellStyle name="Milliers 13 3 5" xfId="2252" xr:uid="{00000000-0005-0000-0000-0000CC080000}"/>
    <cellStyle name="Milliers 13 3 6" xfId="2253" xr:uid="{00000000-0005-0000-0000-0000CD080000}"/>
    <cellStyle name="Milliers 13 3 7" xfId="3291" xr:uid="{00000000-0005-0000-0000-0000DB0C0000}"/>
    <cellStyle name="Milliers 13 4" xfId="2254" xr:uid="{00000000-0005-0000-0000-0000CE080000}"/>
    <cellStyle name="Milliers 13 4 2" xfId="2255" xr:uid="{00000000-0005-0000-0000-0000CF080000}"/>
    <cellStyle name="Milliers 13 4 2 2" xfId="2256" xr:uid="{00000000-0005-0000-0000-0000D0080000}"/>
    <cellStyle name="Milliers 13 4 2 3" xfId="2257" xr:uid="{00000000-0005-0000-0000-0000D1080000}"/>
    <cellStyle name="Milliers 13 4 3" xfId="2258" xr:uid="{00000000-0005-0000-0000-0000D2080000}"/>
    <cellStyle name="Milliers 13 4 3 2" xfId="2259" xr:uid="{00000000-0005-0000-0000-0000D3080000}"/>
    <cellStyle name="Milliers 13 4 3 3" xfId="2260" xr:uid="{00000000-0005-0000-0000-0000D4080000}"/>
    <cellStyle name="Milliers 13 4 4" xfId="2261" xr:uid="{00000000-0005-0000-0000-0000D5080000}"/>
    <cellStyle name="Milliers 13 4 5" xfId="2262" xr:uid="{00000000-0005-0000-0000-0000D6080000}"/>
    <cellStyle name="Milliers 13 5" xfId="2263" xr:uid="{00000000-0005-0000-0000-0000D7080000}"/>
    <cellStyle name="Milliers 13 5 2" xfId="2264" xr:uid="{00000000-0005-0000-0000-0000D8080000}"/>
    <cellStyle name="Milliers 13 5 2 2" xfId="2265" xr:uid="{00000000-0005-0000-0000-0000D9080000}"/>
    <cellStyle name="Milliers 13 5 2 3" xfId="2266" xr:uid="{00000000-0005-0000-0000-0000DA080000}"/>
    <cellStyle name="Milliers 13 5 3" xfId="2267" xr:uid="{00000000-0005-0000-0000-0000DB080000}"/>
    <cellStyle name="Milliers 13 5 3 2" xfId="2268" xr:uid="{00000000-0005-0000-0000-0000DC080000}"/>
    <cellStyle name="Milliers 13 5 3 3" xfId="2269" xr:uid="{00000000-0005-0000-0000-0000DD080000}"/>
    <cellStyle name="Milliers 13 5 4" xfId="2270" xr:uid="{00000000-0005-0000-0000-0000DE080000}"/>
    <cellStyle name="Milliers 13 5 5" xfId="2271" xr:uid="{00000000-0005-0000-0000-0000DF080000}"/>
    <cellStyle name="Milliers 13 6" xfId="2272" xr:uid="{00000000-0005-0000-0000-0000E0080000}"/>
    <cellStyle name="Milliers 13 7" xfId="3289" xr:uid="{00000000-0005-0000-0000-0000D90C0000}"/>
    <cellStyle name="Milliers 14" xfId="2273" xr:uid="{00000000-0005-0000-0000-0000E1080000}"/>
    <cellStyle name="Milliers 14 2" xfId="2274" xr:uid="{00000000-0005-0000-0000-0000E2080000}"/>
    <cellStyle name="Milliers 14 2 2" xfId="2275" xr:uid="{00000000-0005-0000-0000-0000E3080000}"/>
    <cellStyle name="Milliers 14 2 2 2" xfId="2276" xr:uid="{00000000-0005-0000-0000-0000E4080000}"/>
    <cellStyle name="Milliers 14 2 2 3" xfId="2277" xr:uid="{00000000-0005-0000-0000-0000E5080000}"/>
    <cellStyle name="Milliers 14 2 3" xfId="2278" xr:uid="{00000000-0005-0000-0000-0000E6080000}"/>
    <cellStyle name="Milliers 14 2 3 2" xfId="2279" xr:uid="{00000000-0005-0000-0000-0000E7080000}"/>
    <cellStyle name="Milliers 14 2 3 3" xfId="2280" xr:uid="{00000000-0005-0000-0000-0000E8080000}"/>
    <cellStyle name="Milliers 14 2 4" xfId="2281" xr:uid="{00000000-0005-0000-0000-0000E9080000}"/>
    <cellStyle name="Milliers 14 2 5" xfId="2282" xr:uid="{00000000-0005-0000-0000-0000EA080000}"/>
    <cellStyle name="Milliers 14 2 6" xfId="2283" xr:uid="{00000000-0005-0000-0000-0000EB080000}"/>
    <cellStyle name="Milliers 14 2 7" xfId="3293" xr:uid="{00000000-0005-0000-0000-0000DD0C0000}"/>
    <cellStyle name="Milliers 14 3" xfId="2284" xr:uid="{00000000-0005-0000-0000-0000EC080000}"/>
    <cellStyle name="Milliers 14 3 2" xfId="2285" xr:uid="{00000000-0005-0000-0000-0000ED080000}"/>
    <cellStyle name="Milliers 14 3 2 2" xfId="2286" xr:uid="{00000000-0005-0000-0000-0000EE080000}"/>
    <cellStyle name="Milliers 14 3 2 3" xfId="2287" xr:uid="{00000000-0005-0000-0000-0000EF080000}"/>
    <cellStyle name="Milliers 14 3 3" xfId="2288" xr:uid="{00000000-0005-0000-0000-0000F0080000}"/>
    <cellStyle name="Milliers 14 3 3 2" xfId="2289" xr:uid="{00000000-0005-0000-0000-0000F1080000}"/>
    <cellStyle name="Milliers 14 3 3 3" xfId="2290" xr:uid="{00000000-0005-0000-0000-0000F2080000}"/>
    <cellStyle name="Milliers 14 3 4" xfId="2291" xr:uid="{00000000-0005-0000-0000-0000F3080000}"/>
    <cellStyle name="Milliers 14 3 5" xfId="2292" xr:uid="{00000000-0005-0000-0000-0000F4080000}"/>
    <cellStyle name="Milliers 14 3 6" xfId="2293" xr:uid="{00000000-0005-0000-0000-0000F5080000}"/>
    <cellStyle name="Milliers 14 3 7" xfId="3294" xr:uid="{00000000-0005-0000-0000-0000DE0C0000}"/>
    <cellStyle name="Milliers 14 4" xfId="2294" xr:uid="{00000000-0005-0000-0000-0000F6080000}"/>
    <cellStyle name="Milliers 14 4 2" xfId="2295" xr:uid="{00000000-0005-0000-0000-0000F7080000}"/>
    <cellStyle name="Milliers 14 4 2 2" xfId="2296" xr:uid="{00000000-0005-0000-0000-0000F8080000}"/>
    <cellStyle name="Milliers 14 4 2 3" xfId="2297" xr:uid="{00000000-0005-0000-0000-0000F9080000}"/>
    <cellStyle name="Milliers 14 4 3" xfId="2298" xr:uid="{00000000-0005-0000-0000-0000FA080000}"/>
    <cellStyle name="Milliers 14 4 3 2" xfId="2299" xr:uid="{00000000-0005-0000-0000-0000FB080000}"/>
    <cellStyle name="Milliers 14 4 3 3" xfId="2300" xr:uid="{00000000-0005-0000-0000-0000FC080000}"/>
    <cellStyle name="Milliers 14 4 4" xfId="2301" xr:uid="{00000000-0005-0000-0000-0000FD080000}"/>
    <cellStyle name="Milliers 14 4 5" xfId="2302" xr:uid="{00000000-0005-0000-0000-0000FE080000}"/>
    <cellStyle name="Milliers 14 5" xfId="2303" xr:uid="{00000000-0005-0000-0000-0000FF080000}"/>
    <cellStyle name="Milliers 14 5 2" xfId="2304" xr:uid="{00000000-0005-0000-0000-000000090000}"/>
    <cellStyle name="Milliers 14 5 2 2" xfId="2305" xr:uid="{00000000-0005-0000-0000-000001090000}"/>
    <cellStyle name="Milliers 14 5 2 3" xfId="2306" xr:uid="{00000000-0005-0000-0000-000002090000}"/>
    <cellStyle name="Milliers 14 5 3" xfId="2307" xr:uid="{00000000-0005-0000-0000-000003090000}"/>
    <cellStyle name="Milliers 14 5 3 2" xfId="2308" xr:uid="{00000000-0005-0000-0000-000004090000}"/>
    <cellStyle name="Milliers 14 5 3 3" xfId="2309" xr:uid="{00000000-0005-0000-0000-000005090000}"/>
    <cellStyle name="Milliers 14 5 4" xfId="2310" xr:uid="{00000000-0005-0000-0000-000006090000}"/>
    <cellStyle name="Milliers 14 5 5" xfId="2311" xr:uid="{00000000-0005-0000-0000-000007090000}"/>
    <cellStyle name="Milliers 14 6" xfId="2312" xr:uid="{00000000-0005-0000-0000-000008090000}"/>
    <cellStyle name="Milliers 14 7" xfId="3292" xr:uid="{00000000-0005-0000-0000-0000DC0C0000}"/>
    <cellStyle name="Milliers 15" xfId="2313" xr:uid="{00000000-0005-0000-0000-000009090000}"/>
    <cellStyle name="Milliers 15 2" xfId="2314" xr:uid="{00000000-0005-0000-0000-00000A090000}"/>
    <cellStyle name="Milliers 15 2 2" xfId="2315" xr:uid="{00000000-0005-0000-0000-00000B090000}"/>
    <cellStyle name="Milliers 15 2 2 2" xfId="2316" xr:uid="{00000000-0005-0000-0000-00000C090000}"/>
    <cellStyle name="Milliers 15 2 2 3" xfId="2317" xr:uid="{00000000-0005-0000-0000-00000D090000}"/>
    <cellStyle name="Milliers 15 2 3" xfId="2318" xr:uid="{00000000-0005-0000-0000-00000E090000}"/>
    <cellStyle name="Milliers 15 2 3 2" xfId="2319" xr:uid="{00000000-0005-0000-0000-00000F090000}"/>
    <cellStyle name="Milliers 15 2 3 3" xfId="2320" xr:uid="{00000000-0005-0000-0000-000010090000}"/>
    <cellStyle name="Milliers 15 2 4" xfId="2321" xr:uid="{00000000-0005-0000-0000-000011090000}"/>
    <cellStyle name="Milliers 15 2 5" xfId="2322" xr:uid="{00000000-0005-0000-0000-000012090000}"/>
    <cellStyle name="Milliers 15 2 6" xfId="2323" xr:uid="{00000000-0005-0000-0000-000013090000}"/>
    <cellStyle name="Milliers 15 2 7" xfId="3296" xr:uid="{00000000-0005-0000-0000-0000E00C0000}"/>
    <cellStyle name="Milliers 15 3" xfId="2324" xr:uid="{00000000-0005-0000-0000-000014090000}"/>
    <cellStyle name="Milliers 15 3 2" xfId="2325" xr:uid="{00000000-0005-0000-0000-000015090000}"/>
    <cellStyle name="Milliers 15 3 2 2" xfId="2326" xr:uid="{00000000-0005-0000-0000-000016090000}"/>
    <cellStyle name="Milliers 15 3 2 3" xfId="2327" xr:uid="{00000000-0005-0000-0000-000017090000}"/>
    <cellStyle name="Milliers 15 3 3" xfId="2328" xr:uid="{00000000-0005-0000-0000-000018090000}"/>
    <cellStyle name="Milliers 15 3 3 2" xfId="2329" xr:uid="{00000000-0005-0000-0000-000019090000}"/>
    <cellStyle name="Milliers 15 3 3 3" xfId="2330" xr:uid="{00000000-0005-0000-0000-00001A090000}"/>
    <cellStyle name="Milliers 15 3 4" xfId="2331" xr:uid="{00000000-0005-0000-0000-00001B090000}"/>
    <cellStyle name="Milliers 15 3 5" xfId="2332" xr:uid="{00000000-0005-0000-0000-00001C090000}"/>
    <cellStyle name="Milliers 15 3 6" xfId="2333" xr:uid="{00000000-0005-0000-0000-00001D090000}"/>
    <cellStyle name="Milliers 15 3 7" xfId="3297" xr:uid="{00000000-0005-0000-0000-0000E10C0000}"/>
    <cellStyle name="Milliers 15 4" xfId="2334" xr:uid="{00000000-0005-0000-0000-00001E090000}"/>
    <cellStyle name="Milliers 15 4 2" xfId="2335" xr:uid="{00000000-0005-0000-0000-00001F090000}"/>
    <cellStyle name="Milliers 15 4 2 2" xfId="2336" xr:uid="{00000000-0005-0000-0000-000020090000}"/>
    <cellStyle name="Milliers 15 4 2 3" xfId="2337" xr:uid="{00000000-0005-0000-0000-000021090000}"/>
    <cellStyle name="Milliers 15 4 3" xfId="2338" xr:uid="{00000000-0005-0000-0000-000022090000}"/>
    <cellStyle name="Milliers 15 4 3 2" xfId="2339" xr:uid="{00000000-0005-0000-0000-000023090000}"/>
    <cellStyle name="Milliers 15 4 3 3" xfId="2340" xr:uid="{00000000-0005-0000-0000-000024090000}"/>
    <cellStyle name="Milliers 15 4 4" xfId="2341" xr:uid="{00000000-0005-0000-0000-000025090000}"/>
    <cellStyle name="Milliers 15 4 5" xfId="2342" xr:uid="{00000000-0005-0000-0000-000026090000}"/>
    <cellStyle name="Milliers 15 5" xfId="2343" xr:uid="{00000000-0005-0000-0000-000027090000}"/>
    <cellStyle name="Milliers 15 5 2" xfId="2344" xr:uid="{00000000-0005-0000-0000-000028090000}"/>
    <cellStyle name="Milliers 15 5 2 2" xfId="2345" xr:uid="{00000000-0005-0000-0000-000029090000}"/>
    <cellStyle name="Milliers 15 5 2 3" xfId="2346" xr:uid="{00000000-0005-0000-0000-00002A090000}"/>
    <cellStyle name="Milliers 15 5 3" xfId="2347" xr:uid="{00000000-0005-0000-0000-00002B090000}"/>
    <cellStyle name="Milliers 15 5 3 2" xfId="2348" xr:uid="{00000000-0005-0000-0000-00002C090000}"/>
    <cellStyle name="Milliers 15 5 3 3" xfId="2349" xr:uid="{00000000-0005-0000-0000-00002D090000}"/>
    <cellStyle name="Milliers 15 5 4" xfId="2350" xr:uid="{00000000-0005-0000-0000-00002E090000}"/>
    <cellStyle name="Milliers 15 5 5" xfId="2351" xr:uid="{00000000-0005-0000-0000-00002F090000}"/>
    <cellStyle name="Milliers 15 6" xfId="2352" xr:uid="{00000000-0005-0000-0000-000030090000}"/>
    <cellStyle name="Milliers 15 7" xfId="3295" xr:uid="{00000000-0005-0000-0000-0000DF0C0000}"/>
    <cellStyle name="Milliers 16" xfId="2353" xr:uid="{00000000-0005-0000-0000-000031090000}"/>
    <cellStyle name="Milliers 16 2" xfId="2354" xr:uid="{00000000-0005-0000-0000-000032090000}"/>
    <cellStyle name="Milliers 16 2 2" xfId="2355" xr:uid="{00000000-0005-0000-0000-000033090000}"/>
    <cellStyle name="Milliers 16 2 2 2" xfId="2356" xr:uid="{00000000-0005-0000-0000-000034090000}"/>
    <cellStyle name="Milliers 16 2 2 3" xfId="2357" xr:uid="{00000000-0005-0000-0000-000035090000}"/>
    <cellStyle name="Milliers 16 2 3" xfId="2358" xr:uid="{00000000-0005-0000-0000-000036090000}"/>
    <cellStyle name="Milliers 16 2 3 2" xfId="2359" xr:uid="{00000000-0005-0000-0000-000037090000}"/>
    <cellStyle name="Milliers 16 2 3 3" xfId="2360" xr:uid="{00000000-0005-0000-0000-000038090000}"/>
    <cellStyle name="Milliers 16 2 4" xfId="2361" xr:uid="{00000000-0005-0000-0000-000039090000}"/>
    <cellStyle name="Milliers 16 2 5" xfId="2362" xr:uid="{00000000-0005-0000-0000-00003A090000}"/>
    <cellStyle name="Milliers 16 2 6" xfId="2363" xr:uid="{00000000-0005-0000-0000-00003B090000}"/>
    <cellStyle name="Milliers 16 2 7" xfId="3299" xr:uid="{00000000-0005-0000-0000-0000E30C0000}"/>
    <cellStyle name="Milliers 16 3" xfId="2364" xr:uid="{00000000-0005-0000-0000-00003C090000}"/>
    <cellStyle name="Milliers 16 3 2" xfId="2365" xr:uid="{00000000-0005-0000-0000-00003D090000}"/>
    <cellStyle name="Milliers 16 3 2 2" xfId="2366" xr:uid="{00000000-0005-0000-0000-00003E090000}"/>
    <cellStyle name="Milliers 16 3 2 3" xfId="2367" xr:uid="{00000000-0005-0000-0000-00003F090000}"/>
    <cellStyle name="Milliers 16 3 3" xfId="2368" xr:uid="{00000000-0005-0000-0000-000040090000}"/>
    <cellStyle name="Milliers 16 3 3 2" xfId="2369" xr:uid="{00000000-0005-0000-0000-000041090000}"/>
    <cellStyle name="Milliers 16 3 3 3" xfId="2370" xr:uid="{00000000-0005-0000-0000-000042090000}"/>
    <cellStyle name="Milliers 16 3 4" xfId="2371" xr:uid="{00000000-0005-0000-0000-000043090000}"/>
    <cellStyle name="Milliers 16 3 5" xfId="2372" xr:uid="{00000000-0005-0000-0000-000044090000}"/>
    <cellStyle name="Milliers 16 3 6" xfId="2373" xr:uid="{00000000-0005-0000-0000-000045090000}"/>
    <cellStyle name="Milliers 16 3 7" xfId="3300" xr:uid="{00000000-0005-0000-0000-0000E40C0000}"/>
    <cellStyle name="Milliers 16 4" xfId="2374" xr:uid="{00000000-0005-0000-0000-000046090000}"/>
    <cellStyle name="Milliers 16 4 2" xfId="2375" xr:uid="{00000000-0005-0000-0000-000047090000}"/>
    <cellStyle name="Milliers 16 4 2 2" xfId="2376" xr:uid="{00000000-0005-0000-0000-000048090000}"/>
    <cellStyle name="Milliers 16 4 2 3" xfId="2377" xr:uid="{00000000-0005-0000-0000-000049090000}"/>
    <cellStyle name="Milliers 16 4 3" xfId="2378" xr:uid="{00000000-0005-0000-0000-00004A090000}"/>
    <cellStyle name="Milliers 16 4 3 2" xfId="2379" xr:uid="{00000000-0005-0000-0000-00004B090000}"/>
    <cellStyle name="Milliers 16 4 3 3" xfId="2380" xr:uid="{00000000-0005-0000-0000-00004C090000}"/>
    <cellStyle name="Milliers 16 4 4" xfId="2381" xr:uid="{00000000-0005-0000-0000-00004D090000}"/>
    <cellStyle name="Milliers 16 4 5" xfId="2382" xr:uid="{00000000-0005-0000-0000-00004E090000}"/>
    <cellStyle name="Milliers 16 5" xfId="2383" xr:uid="{00000000-0005-0000-0000-00004F090000}"/>
    <cellStyle name="Milliers 16 5 2" xfId="2384" xr:uid="{00000000-0005-0000-0000-000050090000}"/>
    <cellStyle name="Milliers 16 5 2 2" xfId="2385" xr:uid="{00000000-0005-0000-0000-000051090000}"/>
    <cellStyle name="Milliers 16 5 2 3" xfId="2386" xr:uid="{00000000-0005-0000-0000-000052090000}"/>
    <cellStyle name="Milliers 16 5 3" xfId="2387" xr:uid="{00000000-0005-0000-0000-000053090000}"/>
    <cellStyle name="Milliers 16 5 3 2" xfId="2388" xr:uid="{00000000-0005-0000-0000-000054090000}"/>
    <cellStyle name="Milliers 16 5 3 3" xfId="2389" xr:uid="{00000000-0005-0000-0000-000055090000}"/>
    <cellStyle name="Milliers 16 5 4" xfId="2390" xr:uid="{00000000-0005-0000-0000-000056090000}"/>
    <cellStyle name="Milliers 16 5 5" xfId="2391" xr:uid="{00000000-0005-0000-0000-000057090000}"/>
    <cellStyle name="Milliers 16 6" xfId="2392" xr:uid="{00000000-0005-0000-0000-000058090000}"/>
    <cellStyle name="Milliers 16 7" xfId="3298" xr:uid="{00000000-0005-0000-0000-0000E20C0000}"/>
    <cellStyle name="Milliers 17" xfId="2393" xr:uid="{00000000-0005-0000-0000-000059090000}"/>
    <cellStyle name="Milliers 17 2" xfId="2394" xr:uid="{00000000-0005-0000-0000-00005A090000}"/>
    <cellStyle name="Milliers 17 2 2" xfId="2395" xr:uid="{00000000-0005-0000-0000-00005B090000}"/>
    <cellStyle name="Milliers 17 2 2 2" xfId="2396" xr:uid="{00000000-0005-0000-0000-00005C090000}"/>
    <cellStyle name="Milliers 17 2 2 3" xfId="2397" xr:uid="{00000000-0005-0000-0000-00005D090000}"/>
    <cellStyle name="Milliers 17 2 3" xfId="2398" xr:uid="{00000000-0005-0000-0000-00005E090000}"/>
    <cellStyle name="Milliers 17 2 3 2" xfId="2399" xr:uid="{00000000-0005-0000-0000-00005F090000}"/>
    <cellStyle name="Milliers 17 2 3 3" xfId="2400" xr:uid="{00000000-0005-0000-0000-000060090000}"/>
    <cellStyle name="Milliers 17 2 4" xfId="2401" xr:uid="{00000000-0005-0000-0000-000061090000}"/>
    <cellStyle name="Milliers 17 2 5" xfId="2402" xr:uid="{00000000-0005-0000-0000-000062090000}"/>
    <cellStyle name="Milliers 17 2 6" xfId="2403" xr:uid="{00000000-0005-0000-0000-000063090000}"/>
    <cellStyle name="Milliers 17 2 7" xfId="3302" xr:uid="{00000000-0005-0000-0000-0000E60C0000}"/>
    <cellStyle name="Milliers 17 3" xfId="2404" xr:uid="{00000000-0005-0000-0000-000064090000}"/>
    <cellStyle name="Milliers 17 3 2" xfId="2405" xr:uid="{00000000-0005-0000-0000-000065090000}"/>
    <cellStyle name="Milliers 17 3 2 2" xfId="2406" xr:uid="{00000000-0005-0000-0000-000066090000}"/>
    <cellStyle name="Milliers 17 3 2 3" xfId="2407" xr:uid="{00000000-0005-0000-0000-000067090000}"/>
    <cellStyle name="Milliers 17 3 3" xfId="2408" xr:uid="{00000000-0005-0000-0000-000068090000}"/>
    <cellStyle name="Milliers 17 3 3 2" xfId="2409" xr:uid="{00000000-0005-0000-0000-000069090000}"/>
    <cellStyle name="Milliers 17 3 3 3" xfId="2410" xr:uid="{00000000-0005-0000-0000-00006A090000}"/>
    <cellStyle name="Milliers 17 3 4" xfId="2411" xr:uid="{00000000-0005-0000-0000-00006B090000}"/>
    <cellStyle name="Milliers 17 3 5" xfId="2412" xr:uid="{00000000-0005-0000-0000-00006C090000}"/>
    <cellStyle name="Milliers 17 3 6" xfId="2413" xr:uid="{00000000-0005-0000-0000-00006D090000}"/>
    <cellStyle name="Milliers 17 3 7" xfId="3303" xr:uid="{00000000-0005-0000-0000-0000E70C0000}"/>
    <cellStyle name="Milliers 17 4" xfId="2414" xr:uid="{00000000-0005-0000-0000-00006E090000}"/>
    <cellStyle name="Milliers 17 4 2" xfId="2415" xr:uid="{00000000-0005-0000-0000-00006F090000}"/>
    <cellStyle name="Milliers 17 4 2 2" xfId="2416" xr:uid="{00000000-0005-0000-0000-000070090000}"/>
    <cellStyle name="Milliers 17 4 2 3" xfId="2417" xr:uid="{00000000-0005-0000-0000-000071090000}"/>
    <cellStyle name="Milliers 17 4 3" xfId="2418" xr:uid="{00000000-0005-0000-0000-000072090000}"/>
    <cellStyle name="Milliers 17 4 3 2" xfId="2419" xr:uid="{00000000-0005-0000-0000-000073090000}"/>
    <cellStyle name="Milliers 17 4 3 3" xfId="2420" xr:uid="{00000000-0005-0000-0000-000074090000}"/>
    <cellStyle name="Milliers 17 4 4" xfId="2421" xr:uid="{00000000-0005-0000-0000-000075090000}"/>
    <cellStyle name="Milliers 17 4 5" xfId="2422" xr:uid="{00000000-0005-0000-0000-000076090000}"/>
    <cellStyle name="Milliers 17 5" xfId="2423" xr:uid="{00000000-0005-0000-0000-000077090000}"/>
    <cellStyle name="Milliers 17 5 2" xfId="2424" xr:uid="{00000000-0005-0000-0000-000078090000}"/>
    <cellStyle name="Milliers 17 5 2 2" xfId="2425" xr:uid="{00000000-0005-0000-0000-000079090000}"/>
    <cellStyle name="Milliers 17 5 2 3" xfId="2426" xr:uid="{00000000-0005-0000-0000-00007A090000}"/>
    <cellStyle name="Milliers 17 5 3" xfId="2427" xr:uid="{00000000-0005-0000-0000-00007B090000}"/>
    <cellStyle name="Milliers 17 5 3 2" xfId="2428" xr:uid="{00000000-0005-0000-0000-00007C090000}"/>
    <cellStyle name="Milliers 17 5 3 3" xfId="2429" xr:uid="{00000000-0005-0000-0000-00007D090000}"/>
    <cellStyle name="Milliers 17 5 4" xfId="2430" xr:uid="{00000000-0005-0000-0000-00007E090000}"/>
    <cellStyle name="Milliers 17 5 5" xfId="2431" xr:uid="{00000000-0005-0000-0000-00007F090000}"/>
    <cellStyle name="Milliers 17 6" xfId="2432" xr:uid="{00000000-0005-0000-0000-000080090000}"/>
    <cellStyle name="Milliers 17 7" xfId="3301" xr:uid="{00000000-0005-0000-0000-0000E50C0000}"/>
    <cellStyle name="Milliers 18" xfId="2433" xr:uid="{00000000-0005-0000-0000-000081090000}"/>
    <cellStyle name="Milliers 18 2" xfId="2434" xr:uid="{00000000-0005-0000-0000-000082090000}"/>
    <cellStyle name="Milliers 18 2 2" xfId="2435" xr:uid="{00000000-0005-0000-0000-000083090000}"/>
    <cellStyle name="Milliers 18 2 2 2" xfId="2436" xr:uid="{00000000-0005-0000-0000-000084090000}"/>
    <cellStyle name="Milliers 18 2 2 3" xfId="2437" xr:uid="{00000000-0005-0000-0000-000085090000}"/>
    <cellStyle name="Milliers 18 2 3" xfId="2438" xr:uid="{00000000-0005-0000-0000-000086090000}"/>
    <cellStyle name="Milliers 18 2 3 2" xfId="2439" xr:uid="{00000000-0005-0000-0000-000087090000}"/>
    <cellStyle name="Milliers 18 2 3 3" xfId="2440" xr:uid="{00000000-0005-0000-0000-000088090000}"/>
    <cellStyle name="Milliers 18 2 4" xfId="2441" xr:uid="{00000000-0005-0000-0000-000089090000}"/>
    <cellStyle name="Milliers 18 2 5" xfId="2442" xr:uid="{00000000-0005-0000-0000-00008A090000}"/>
    <cellStyle name="Milliers 18 2 6" xfId="2443" xr:uid="{00000000-0005-0000-0000-00008B090000}"/>
    <cellStyle name="Milliers 18 2 7" xfId="3305" xr:uid="{00000000-0005-0000-0000-0000E90C0000}"/>
    <cellStyle name="Milliers 18 3" xfId="2444" xr:uid="{00000000-0005-0000-0000-00008C090000}"/>
    <cellStyle name="Milliers 18 3 2" xfId="2445" xr:uid="{00000000-0005-0000-0000-00008D090000}"/>
    <cellStyle name="Milliers 18 3 2 2" xfId="2446" xr:uid="{00000000-0005-0000-0000-00008E090000}"/>
    <cellStyle name="Milliers 18 3 2 3" xfId="2447" xr:uid="{00000000-0005-0000-0000-00008F090000}"/>
    <cellStyle name="Milliers 18 3 3" xfId="2448" xr:uid="{00000000-0005-0000-0000-000090090000}"/>
    <cellStyle name="Milliers 18 3 3 2" xfId="2449" xr:uid="{00000000-0005-0000-0000-000091090000}"/>
    <cellStyle name="Milliers 18 3 3 3" xfId="2450" xr:uid="{00000000-0005-0000-0000-000092090000}"/>
    <cellStyle name="Milliers 18 3 4" xfId="2451" xr:uid="{00000000-0005-0000-0000-000093090000}"/>
    <cellStyle name="Milliers 18 3 5" xfId="2452" xr:uid="{00000000-0005-0000-0000-000094090000}"/>
    <cellStyle name="Milliers 18 3 6" xfId="2453" xr:uid="{00000000-0005-0000-0000-000095090000}"/>
    <cellStyle name="Milliers 18 3 7" xfId="3306" xr:uid="{00000000-0005-0000-0000-0000EA0C0000}"/>
    <cellStyle name="Milliers 18 4" xfId="2454" xr:uid="{00000000-0005-0000-0000-000096090000}"/>
    <cellStyle name="Milliers 18 4 2" xfId="2455" xr:uid="{00000000-0005-0000-0000-000097090000}"/>
    <cellStyle name="Milliers 18 4 2 2" xfId="2456" xr:uid="{00000000-0005-0000-0000-000098090000}"/>
    <cellStyle name="Milliers 18 4 2 3" xfId="2457" xr:uid="{00000000-0005-0000-0000-000099090000}"/>
    <cellStyle name="Milliers 18 4 3" xfId="2458" xr:uid="{00000000-0005-0000-0000-00009A090000}"/>
    <cellStyle name="Milliers 18 4 3 2" xfId="2459" xr:uid="{00000000-0005-0000-0000-00009B090000}"/>
    <cellStyle name="Milliers 18 4 3 3" xfId="2460" xr:uid="{00000000-0005-0000-0000-00009C090000}"/>
    <cellStyle name="Milliers 18 4 4" xfId="2461" xr:uid="{00000000-0005-0000-0000-00009D090000}"/>
    <cellStyle name="Milliers 18 4 5" xfId="2462" xr:uid="{00000000-0005-0000-0000-00009E090000}"/>
    <cellStyle name="Milliers 18 5" xfId="2463" xr:uid="{00000000-0005-0000-0000-00009F090000}"/>
    <cellStyle name="Milliers 18 5 2" xfId="2464" xr:uid="{00000000-0005-0000-0000-0000A0090000}"/>
    <cellStyle name="Milliers 18 5 2 2" xfId="2465" xr:uid="{00000000-0005-0000-0000-0000A1090000}"/>
    <cellStyle name="Milliers 18 5 2 3" xfId="2466" xr:uid="{00000000-0005-0000-0000-0000A2090000}"/>
    <cellStyle name="Milliers 18 5 3" xfId="2467" xr:uid="{00000000-0005-0000-0000-0000A3090000}"/>
    <cellStyle name="Milliers 18 5 3 2" xfId="2468" xr:uid="{00000000-0005-0000-0000-0000A4090000}"/>
    <cellStyle name="Milliers 18 5 3 3" xfId="2469" xr:uid="{00000000-0005-0000-0000-0000A5090000}"/>
    <cellStyle name="Milliers 18 5 4" xfId="2470" xr:uid="{00000000-0005-0000-0000-0000A6090000}"/>
    <cellStyle name="Milliers 18 5 5" xfId="2471" xr:uid="{00000000-0005-0000-0000-0000A7090000}"/>
    <cellStyle name="Milliers 18 6" xfId="2472" xr:uid="{00000000-0005-0000-0000-0000A8090000}"/>
    <cellStyle name="Milliers 18 7" xfId="3304" xr:uid="{00000000-0005-0000-0000-0000E80C0000}"/>
    <cellStyle name="Milliers 2" xfId="2473" xr:uid="{00000000-0005-0000-0000-0000A9090000}"/>
    <cellStyle name="Milliers 2 10" xfId="3307" xr:uid="{00000000-0005-0000-0000-0000EB0C0000}"/>
    <cellStyle name="Milliers 2 2" xfId="2474" xr:uid="{00000000-0005-0000-0000-0000AA090000}"/>
    <cellStyle name="Milliers 2 2 2" xfId="2475" xr:uid="{00000000-0005-0000-0000-0000AB090000}"/>
    <cellStyle name="Milliers 2 2 2 2" xfId="2476" xr:uid="{00000000-0005-0000-0000-0000AC090000}"/>
    <cellStyle name="Milliers 2 2 2 3" xfId="2477" xr:uid="{00000000-0005-0000-0000-0000AD090000}"/>
    <cellStyle name="Milliers 2 2 3" xfId="2478" xr:uid="{00000000-0005-0000-0000-0000AE090000}"/>
    <cellStyle name="Milliers 2 2 3 2" xfId="2479" xr:uid="{00000000-0005-0000-0000-0000AF090000}"/>
    <cellStyle name="Milliers 2 2 3 3" xfId="2480" xr:uid="{00000000-0005-0000-0000-0000B0090000}"/>
    <cellStyle name="Milliers 2 2 4" xfId="2481" xr:uid="{00000000-0005-0000-0000-0000B1090000}"/>
    <cellStyle name="Milliers 2 2 5" xfId="2482" xr:uid="{00000000-0005-0000-0000-0000B2090000}"/>
    <cellStyle name="Milliers 2 2 6" xfId="2483" xr:uid="{00000000-0005-0000-0000-0000B3090000}"/>
    <cellStyle name="Milliers 2 2 7" xfId="3308" xr:uid="{00000000-0005-0000-0000-0000EC0C0000}"/>
    <cellStyle name="Milliers 2 3" xfId="2484" xr:uid="{00000000-0005-0000-0000-0000B4090000}"/>
    <cellStyle name="Milliers 2 3 2" xfId="2485" xr:uid="{00000000-0005-0000-0000-0000B5090000}"/>
    <cellStyle name="Milliers 2 3 2 2" xfId="2486" xr:uid="{00000000-0005-0000-0000-0000B6090000}"/>
    <cellStyle name="Milliers 2 3 2 3" xfId="2487" xr:uid="{00000000-0005-0000-0000-0000B7090000}"/>
    <cellStyle name="Milliers 2 3 3" xfId="2488" xr:uid="{00000000-0005-0000-0000-0000B8090000}"/>
    <cellStyle name="Milliers 2 3 3 2" xfId="2489" xr:uid="{00000000-0005-0000-0000-0000B9090000}"/>
    <cellStyle name="Milliers 2 3 3 3" xfId="2490" xr:uid="{00000000-0005-0000-0000-0000BA090000}"/>
    <cellStyle name="Milliers 2 3 4" xfId="2491" xr:uid="{00000000-0005-0000-0000-0000BB090000}"/>
    <cellStyle name="Milliers 2 3 5" xfId="2492" xr:uid="{00000000-0005-0000-0000-0000BC090000}"/>
    <cellStyle name="Milliers 2 3 6" xfId="2493" xr:uid="{00000000-0005-0000-0000-0000BD090000}"/>
    <cellStyle name="Milliers 2 3 7" xfId="3309" xr:uid="{00000000-0005-0000-0000-0000ED0C0000}"/>
    <cellStyle name="Milliers 2 4" xfId="2494" xr:uid="{00000000-0005-0000-0000-0000BE090000}"/>
    <cellStyle name="Milliers 2 4 2" xfId="2495" xr:uid="{00000000-0005-0000-0000-0000BF090000}"/>
    <cellStyle name="Milliers 2 4 2 2" xfId="2496" xr:uid="{00000000-0005-0000-0000-0000C0090000}"/>
    <cellStyle name="Milliers 2 4 2 3" xfId="2497" xr:uid="{00000000-0005-0000-0000-0000C1090000}"/>
    <cellStyle name="Milliers 2 4 3" xfId="2498" xr:uid="{00000000-0005-0000-0000-0000C2090000}"/>
    <cellStyle name="Milliers 2 4 3 2" xfId="2499" xr:uid="{00000000-0005-0000-0000-0000C3090000}"/>
    <cellStyle name="Milliers 2 4 3 3" xfId="2500" xr:uid="{00000000-0005-0000-0000-0000C4090000}"/>
    <cellStyle name="Milliers 2 4 4" xfId="2501" xr:uid="{00000000-0005-0000-0000-0000C5090000}"/>
    <cellStyle name="Milliers 2 4 5" xfId="2502" xr:uid="{00000000-0005-0000-0000-0000C6090000}"/>
    <cellStyle name="Milliers 2 5" xfId="2503" xr:uid="{00000000-0005-0000-0000-0000C7090000}"/>
    <cellStyle name="Milliers 2 5 2" xfId="2504" xr:uid="{00000000-0005-0000-0000-0000C8090000}"/>
    <cellStyle name="Milliers 2 5 2 2" xfId="2505" xr:uid="{00000000-0005-0000-0000-0000C9090000}"/>
    <cellStyle name="Milliers 2 5 2 3" xfId="2506" xr:uid="{00000000-0005-0000-0000-0000CA090000}"/>
    <cellStyle name="Milliers 2 5 3" xfId="2507" xr:uid="{00000000-0005-0000-0000-0000CB090000}"/>
    <cellStyle name="Milliers 2 5 3 2" xfId="2508" xr:uid="{00000000-0005-0000-0000-0000CC090000}"/>
    <cellStyle name="Milliers 2 5 3 3" xfId="2509" xr:uid="{00000000-0005-0000-0000-0000CD090000}"/>
    <cellStyle name="Milliers 2 5 4" xfId="2510" xr:uid="{00000000-0005-0000-0000-0000CE090000}"/>
    <cellStyle name="Milliers 2 5 5" xfId="2511" xr:uid="{00000000-0005-0000-0000-0000CF090000}"/>
    <cellStyle name="Milliers 2 6" xfId="2512" xr:uid="{00000000-0005-0000-0000-0000D0090000}"/>
    <cellStyle name="Milliers 2 7" xfId="2513" xr:uid="{00000000-0005-0000-0000-0000D1090000}"/>
    <cellStyle name="Milliers 2 8" xfId="2514" xr:uid="{00000000-0005-0000-0000-0000D2090000}"/>
    <cellStyle name="Milliers 2 9" xfId="2515" xr:uid="{00000000-0005-0000-0000-0000D3090000}"/>
    <cellStyle name="Milliers 3" xfId="2516" xr:uid="{00000000-0005-0000-0000-0000D4090000}"/>
    <cellStyle name="Milliers 3 2" xfId="2517" xr:uid="{00000000-0005-0000-0000-0000D5090000}"/>
    <cellStyle name="Milliers 3 2 2" xfId="2518" xr:uid="{00000000-0005-0000-0000-0000D6090000}"/>
    <cellStyle name="Milliers 3 2 2 2" xfId="2519" xr:uid="{00000000-0005-0000-0000-0000D7090000}"/>
    <cellStyle name="Milliers 3 2 2 3" xfId="2520" xr:uid="{00000000-0005-0000-0000-0000D8090000}"/>
    <cellStyle name="Milliers 3 2 3" xfId="2521" xr:uid="{00000000-0005-0000-0000-0000D9090000}"/>
    <cellStyle name="Milliers 3 2 3 2" xfId="2522" xr:uid="{00000000-0005-0000-0000-0000DA090000}"/>
    <cellStyle name="Milliers 3 2 3 3" xfId="2523" xr:uid="{00000000-0005-0000-0000-0000DB090000}"/>
    <cellStyle name="Milliers 3 2 4" xfId="2524" xr:uid="{00000000-0005-0000-0000-0000DC090000}"/>
    <cellStyle name="Milliers 3 2 5" xfId="2525" xr:uid="{00000000-0005-0000-0000-0000DD090000}"/>
    <cellStyle name="Milliers 3 2 6" xfId="2526" xr:uid="{00000000-0005-0000-0000-0000DE090000}"/>
    <cellStyle name="Milliers 3 2 7" xfId="3311" xr:uid="{00000000-0005-0000-0000-0000EF0C0000}"/>
    <cellStyle name="Milliers 3 3" xfId="2527" xr:uid="{00000000-0005-0000-0000-0000DF090000}"/>
    <cellStyle name="Milliers 3 3 2" xfId="2528" xr:uid="{00000000-0005-0000-0000-0000E0090000}"/>
    <cellStyle name="Milliers 3 3 2 2" xfId="2529" xr:uid="{00000000-0005-0000-0000-0000E1090000}"/>
    <cellStyle name="Milliers 3 3 2 3" xfId="2530" xr:uid="{00000000-0005-0000-0000-0000E2090000}"/>
    <cellStyle name="Milliers 3 3 3" xfId="2531" xr:uid="{00000000-0005-0000-0000-0000E3090000}"/>
    <cellStyle name="Milliers 3 3 3 2" xfId="2532" xr:uid="{00000000-0005-0000-0000-0000E4090000}"/>
    <cellStyle name="Milliers 3 3 3 3" xfId="2533" xr:uid="{00000000-0005-0000-0000-0000E5090000}"/>
    <cellStyle name="Milliers 3 3 4" xfId="2534" xr:uid="{00000000-0005-0000-0000-0000E6090000}"/>
    <cellStyle name="Milliers 3 3 5" xfId="2535" xr:uid="{00000000-0005-0000-0000-0000E7090000}"/>
    <cellStyle name="Milliers 3 3 6" xfId="2536" xr:uid="{00000000-0005-0000-0000-0000E8090000}"/>
    <cellStyle name="Milliers 3 3 7" xfId="3312" xr:uid="{00000000-0005-0000-0000-0000F00C0000}"/>
    <cellStyle name="Milliers 3 4" xfId="2537" xr:uid="{00000000-0005-0000-0000-0000E9090000}"/>
    <cellStyle name="Milliers 3 4 2" xfId="2538" xr:uid="{00000000-0005-0000-0000-0000EA090000}"/>
    <cellStyle name="Milliers 3 4 2 2" xfId="2539" xr:uid="{00000000-0005-0000-0000-0000EB090000}"/>
    <cellStyle name="Milliers 3 4 2 3" xfId="2540" xr:uid="{00000000-0005-0000-0000-0000EC090000}"/>
    <cellStyle name="Milliers 3 4 3" xfId="2541" xr:uid="{00000000-0005-0000-0000-0000ED090000}"/>
    <cellStyle name="Milliers 3 4 3 2" xfId="2542" xr:uid="{00000000-0005-0000-0000-0000EE090000}"/>
    <cellStyle name="Milliers 3 4 3 3" xfId="2543" xr:uid="{00000000-0005-0000-0000-0000EF090000}"/>
    <cellStyle name="Milliers 3 4 4" xfId="2544" xr:uid="{00000000-0005-0000-0000-0000F0090000}"/>
    <cellStyle name="Milliers 3 4 5" xfId="2545" xr:uid="{00000000-0005-0000-0000-0000F1090000}"/>
    <cellStyle name="Milliers 3 5" xfId="2546" xr:uid="{00000000-0005-0000-0000-0000F2090000}"/>
    <cellStyle name="Milliers 3 5 2" xfId="2547" xr:uid="{00000000-0005-0000-0000-0000F3090000}"/>
    <cellStyle name="Milliers 3 5 2 2" xfId="2548" xr:uid="{00000000-0005-0000-0000-0000F4090000}"/>
    <cellStyle name="Milliers 3 5 2 3" xfId="2549" xr:uid="{00000000-0005-0000-0000-0000F5090000}"/>
    <cellStyle name="Milliers 3 5 3" xfId="2550" xr:uid="{00000000-0005-0000-0000-0000F6090000}"/>
    <cellStyle name="Milliers 3 5 3 2" xfId="2551" xr:uid="{00000000-0005-0000-0000-0000F7090000}"/>
    <cellStyle name="Milliers 3 5 3 3" xfId="2552" xr:uid="{00000000-0005-0000-0000-0000F8090000}"/>
    <cellStyle name="Milliers 3 5 4" xfId="2553" xr:uid="{00000000-0005-0000-0000-0000F9090000}"/>
    <cellStyle name="Milliers 3 5 5" xfId="2554" xr:uid="{00000000-0005-0000-0000-0000FA090000}"/>
    <cellStyle name="Milliers 3 6" xfId="2555" xr:uid="{00000000-0005-0000-0000-0000FB090000}"/>
    <cellStyle name="Milliers 3 7" xfId="2556" xr:uid="{00000000-0005-0000-0000-0000FC090000}"/>
    <cellStyle name="Milliers 3 8" xfId="2557" xr:uid="{00000000-0005-0000-0000-0000FD090000}"/>
    <cellStyle name="Milliers 3 9" xfId="3310" xr:uid="{00000000-0005-0000-0000-0000EE0C0000}"/>
    <cellStyle name="Milliers 4" xfId="2558" xr:uid="{00000000-0005-0000-0000-0000FE090000}"/>
    <cellStyle name="Milliers 4 2" xfId="2559" xr:uid="{00000000-0005-0000-0000-0000FF090000}"/>
    <cellStyle name="Milliers 4 2 2" xfId="2560" xr:uid="{00000000-0005-0000-0000-0000000A0000}"/>
    <cellStyle name="Milliers 4 2 2 2" xfId="2561" xr:uid="{00000000-0005-0000-0000-0000010A0000}"/>
    <cellStyle name="Milliers 4 2 2 3" xfId="2562" xr:uid="{00000000-0005-0000-0000-0000020A0000}"/>
    <cellStyle name="Milliers 4 2 3" xfId="2563" xr:uid="{00000000-0005-0000-0000-0000030A0000}"/>
    <cellStyle name="Milliers 4 2 3 2" xfId="2564" xr:uid="{00000000-0005-0000-0000-0000040A0000}"/>
    <cellStyle name="Milliers 4 2 3 3" xfId="2565" xr:uid="{00000000-0005-0000-0000-0000050A0000}"/>
    <cellStyle name="Milliers 4 2 4" xfId="2566" xr:uid="{00000000-0005-0000-0000-0000060A0000}"/>
    <cellStyle name="Milliers 4 2 5" xfId="2567" xr:uid="{00000000-0005-0000-0000-0000070A0000}"/>
    <cellStyle name="Milliers 4 2 6" xfId="2568" xr:uid="{00000000-0005-0000-0000-0000080A0000}"/>
    <cellStyle name="Milliers 4 2 7" xfId="3314" xr:uid="{00000000-0005-0000-0000-0000F20C0000}"/>
    <cellStyle name="Milliers 4 3" xfId="2569" xr:uid="{00000000-0005-0000-0000-0000090A0000}"/>
    <cellStyle name="Milliers 4 3 2" xfId="2570" xr:uid="{00000000-0005-0000-0000-00000A0A0000}"/>
    <cellStyle name="Milliers 4 3 2 2" xfId="2571" xr:uid="{00000000-0005-0000-0000-00000B0A0000}"/>
    <cellStyle name="Milliers 4 3 2 3" xfId="2572" xr:uid="{00000000-0005-0000-0000-00000C0A0000}"/>
    <cellStyle name="Milliers 4 3 3" xfId="2573" xr:uid="{00000000-0005-0000-0000-00000D0A0000}"/>
    <cellStyle name="Milliers 4 3 3 2" xfId="2574" xr:uid="{00000000-0005-0000-0000-00000E0A0000}"/>
    <cellStyle name="Milliers 4 3 3 3" xfId="2575" xr:uid="{00000000-0005-0000-0000-00000F0A0000}"/>
    <cellStyle name="Milliers 4 3 4" xfId="2576" xr:uid="{00000000-0005-0000-0000-0000100A0000}"/>
    <cellStyle name="Milliers 4 3 5" xfId="2577" xr:uid="{00000000-0005-0000-0000-0000110A0000}"/>
    <cellStyle name="Milliers 4 3 6" xfId="2578" xr:uid="{00000000-0005-0000-0000-0000120A0000}"/>
    <cellStyle name="Milliers 4 3 7" xfId="3315" xr:uid="{00000000-0005-0000-0000-0000F30C0000}"/>
    <cellStyle name="Milliers 4 4" xfId="2579" xr:uid="{00000000-0005-0000-0000-0000130A0000}"/>
    <cellStyle name="Milliers 4 4 2" xfId="2580" xr:uid="{00000000-0005-0000-0000-0000140A0000}"/>
    <cellStyle name="Milliers 4 4 2 2" xfId="2581" xr:uid="{00000000-0005-0000-0000-0000150A0000}"/>
    <cellStyle name="Milliers 4 4 2 3" xfId="2582" xr:uid="{00000000-0005-0000-0000-0000160A0000}"/>
    <cellStyle name="Milliers 4 4 3" xfId="2583" xr:uid="{00000000-0005-0000-0000-0000170A0000}"/>
    <cellStyle name="Milliers 4 4 3 2" xfId="2584" xr:uid="{00000000-0005-0000-0000-0000180A0000}"/>
    <cellStyle name="Milliers 4 4 3 3" xfId="2585" xr:uid="{00000000-0005-0000-0000-0000190A0000}"/>
    <cellStyle name="Milliers 4 4 4" xfId="2586" xr:uid="{00000000-0005-0000-0000-00001A0A0000}"/>
    <cellStyle name="Milliers 4 4 5" xfId="2587" xr:uid="{00000000-0005-0000-0000-00001B0A0000}"/>
    <cellStyle name="Milliers 4 5" xfId="2588" xr:uid="{00000000-0005-0000-0000-00001C0A0000}"/>
    <cellStyle name="Milliers 4 5 2" xfId="2589" xr:uid="{00000000-0005-0000-0000-00001D0A0000}"/>
    <cellStyle name="Milliers 4 5 2 2" xfId="2590" xr:uid="{00000000-0005-0000-0000-00001E0A0000}"/>
    <cellStyle name="Milliers 4 5 2 3" xfId="2591" xr:uid="{00000000-0005-0000-0000-00001F0A0000}"/>
    <cellStyle name="Milliers 4 5 3" xfId="2592" xr:uid="{00000000-0005-0000-0000-0000200A0000}"/>
    <cellStyle name="Milliers 4 5 3 2" xfId="2593" xr:uid="{00000000-0005-0000-0000-0000210A0000}"/>
    <cellStyle name="Milliers 4 5 3 3" xfId="2594" xr:uid="{00000000-0005-0000-0000-0000220A0000}"/>
    <cellStyle name="Milliers 4 5 4" xfId="2595" xr:uid="{00000000-0005-0000-0000-0000230A0000}"/>
    <cellStyle name="Milliers 4 5 5" xfId="2596" xr:uid="{00000000-0005-0000-0000-0000240A0000}"/>
    <cellStyle name="Milliers 4 6" xfId="2597" xr:uid="{00000000-0005-0000-0000-0000250A0000}"/>
    <cellStyle name="Milliers 4 7" xfId="2598" xr:uid="{00000000-0005-0000-0000-0000260A0000}"/>
    <cellStyle name="Milliers 4 8" xfId="2599" xr:uid="{00000000-0005-0000-0000-0000270A0000}"/>
    <cellStyle name="Milliers 4 9" xfId="3313" xr:uid="{00000000-0005-0000-0000-0000F10C0000}"/>
    <cellStyle name="Milliers 5" xfId="2600" xr:uid="{00000000-0005-0000-0000-0000280A0000}"/>
    <cellStyle name="Milliers 5 2" xfId="2601" xr:uid="{00000000-0005-0000-0000-0000290A0000}"/>
    <cellStyle name="Milliers 5 2 2" xfId="2602" xr:uid="{00000000-0005-0000-0000-00002A0A0000}"/>
    <cellStyle name="Milliers 5 2 2 2" xfId="2603" xr:uid="{00000000-0005-0000-0000-00002B0A0000}"/>
    <cellStyle name="Milliers 5 2 2 3" xfId="2604" xr:uid="{00000000-0005-0000-0000-00002C0A0000}"/>
    <cellStyle name="Milliers 5 2 3" xfId="2605" xr:uid="{00000000-0005-0000-0000-00002D0A0000}"/>
    <cellStyle name="Milliers 5 2 3 2" xfId="2606" xr:uid="{00000000-0005-0000-0000-00002E0A0000}"/>
    <cellStyle name="Milliers 5 2 3 3" xfId="2607" xr:uid="{00000000-0005-0000-0000-00002F0A0000}"/>
    <cellStyle name="Milliers 5 2 4" xfId="2608" xr:uid="{00000000-0005-0000-0000-0000300A0000}"/>
    <cellStyle name="Milliers 5 2 5" xfId="2609" xr:uid="{00000000-0005-0000-0000-0000310A0000}"/>
    <cellStyle name="Milliers 5 2 6" xfId="2610" xr:uid="{00000000-0005-0000-0000-0000320A0000}"/>
    <cellStyle name="Milliers 5 2 7" xfId="3317" xr:uid="{00000000-0005-0000-0000-0000F50C0000}"/>
    <cellStyle name="Milliers 5 3" xfId="2611" xr:uid="{00000000-0005-0000-0000-0000330A0000}"/>
    <cellStyle name="Milliers 5 3 2" xfId="2612" xr:uid="{00000000-0005-0000-0000-0000340A0000}"/>
    <cellStyle name="Milliers 5 3 2 2" xfId="2613" xr:uid="{00000000-0005-0000-0000-0000350A0000}"/>
    <cellStyle name="Milliers 5 3 2 3" xfId="2614" xr:uid="{00000000-0005-0000-0000-0000360A0000}"/>
    <cellStyle name="Milliers 5 3 3" xfId="2615" xr:uid="{00000000-0005-0000-0000-0000370A0000}"/>
    <cellStyle name="Milliers 5 3 3 2" xfId="2616" xr:uid="{00000000-0005-0000-0000-0000380A0000}"/>
    <cellStyle name="Milliers 5 3 3 3" xfId="2617" xr:uid="{00000000-0005-0000-0000-0000390A0000}"/>
    <cellStyle name="Milliers 5 3 4" xfId="2618" xr:uid="{00000000-0005-0000-0000-00003A0A0000}"/>
    <cellStyle name="Milliers 5 3 5" xfId="2619" xr:uid="{00000000-0005-0000-0000-00003B0A0000}"/>
    <cellStyle name="Milliers 5 3 6" xfId="2620" xr:uid="{00000000-0005-0000-0000-00003C0A0000}"/>
    <cellStyle name="Milliers 5 3 7" xfId="3318" xr:uid="{00000000-0005-0000-0000-0000F60C0000}"/>
    <cellStyle name="Milliers 5 4" xfId="2621" xr:uid="{00000000-0005-0000-0000-00003D0A0000}"/>
    <cellStyle name="Milliers 5 4 2" xfId="2622" xr:uid="{00000000-0005-0000-0000-00003E0A0000}"/>
    <cellStyle name="Milliers 5 4 2 2" xfId="2623" xr:uid="{00000000-0005-0000-0000-00003F0A0000}"/>
    <cellStyle name="Milliers 5 4 2 3" xfId="2624" xr:uid="{00000000-0005-0000-0000-0000400A0000}"/>
    <cellStyle name="Milliers 5 4 3" xfId="2625" xr:uid="{00000000-0005-0000-0000-0000410A0000}"/>
    <cellStyle name="Milliers 5 4 3 2" xfId="2626" xr:uid="{00000000-0005-0000-0000-0000420A0000}"/>
    <cellStyle name="Milliers 5 4 3 3" xfId="2627" xr:uid="{00000000-0005-0000-0000-0000430A0000}"/>
    <cellStyle name="Milliers 5 4 4" xfId="2628" xr:uid="{00000000-0005-0000-0000-0000440A0000}"/>
    <cellStyle name="Milliers 5 4 5" xfId="2629" xr:uid="{00000000-0005-0000-0000-0000450A0000}"/>
    <cellStyle name="Milliers 5 5" xfId="2630" xr:uid="{00000000-0005-0000-0000-0000460A0000}"/>
    <cellStyle name="Milliers 5 5 2" xfId="2631" xr:uid="{00000000-0005-0000-0000-0000470A0000}"/>
    <cellStyle name="Milliers 5 5 2 2" xfId="2632" xr:uid="{00000000-0005-0000-0000-0000480A0000}"/>
    <cellStyle name="Milliers 5 5 2 3" xfId="2633" xr:uid="{00000000-0005-0000-0000-0000490A0000}"/>
    <cellStyle name="Milliers 5 5 3" xfId="2634" xr:uid="{00000000-0005-0000-0000-00004A0A0000}"/>
    <cellStyle name="Milliers 5 5 3 2" xfId="2635" xr:uid="{00000000-0005-0000-0000-00004B0A0000}"/>
    <cellStyle name="Milliers 5 5 3 3" xfId="2636" xr:uid="{00000000-0005-0000-0000-00004C0A0000}"/>
    <cellStyle name="Milliers 5 5 4" xfId="2637" xr:uid="{00000000-0005-0000-0000-00004D0A0000}"/>
    <cellStyle name="Milliers 5 5 5" xfId="2638" xr:uid="{00000000-0005-0000-0000-00004E0A0000}"/>
    <cellStyle name="Milliers 5 6" xfId="2639" xr:uid="{00000000-0005-0000-0000-00004F0A0000}"/>
    <cellStyle name="Milliers 5 7" xfId="3316" xr:uid="{00000000-0005-0000-0000-0000F40C0000}"/>
    <cellStyle name="Milliers 6" xfId="2640" xr:uid="{00000000-0005-0000-0000-0000500A0000}"/>
    <cellStyle name="Milliers 6 2" xfId="2641" xr:uid="{00000000-0005-0000-0000-0000510A0000}"/>
    <cellStyle name="Milliers 6 2 2" xfId="2642" xr:uid="{00000000-0005-0000-0000-0000520A0000}"/>
    <cellStyle name="Milliers 6 2 2 2" xfId="2643" xr:uid="{00000000-0005-0000-0000-0000530A0000}"/>
    <cellStyle name="Milliers 6 2 2 3" xfId="2644" xr:uid="{00000000-0005-0000-0000-0000540A0000}"/>
    <cellStyle name="Milliers 6 2 3" xfId="2645" xr:uid="{00000000-0005-0000-0000-0000550A0000}"/>
    <cellStyle name="Milliers 6 2 3 2" xfId="2646" xr:uid="{00000000-0005-0000-0000-0000560A0000}"/>
    <cellStyle name="Milliers 6 2 3 3" xfId="2647" xr:uid="{00000000-0005-0000-0000-0000570A0000}"/>
    <cellStyle name="Milliers 6 2 4" xfId="2648" xr:uid="{00000000-0005-0000-0000-0000580A0000}"/>
    <cellStyle name="Milliers 6 2 5" xfId="2649" xr:uid="{00000000-0005-0000-0000-0000590A0000}"/>
    <cellStyle name="Milliers 6 2 6" xfId="2650" xr:uid="{00000000-0005-0000-0000-00005A0A0000}"/>
    <cellStyle name="Milliers 6 2 7" xfId="3320" xr:uid="{00000000-0005-0000-0000-0000F80C0000}"/>
    <cellStyle name="Milliers 6 3" xfId="2651" xr:uid="{00000000-0005-0000-0000-00005B0A0000}"/>
    <cellStyle name="Milliers 6 3 2" xfId="2652" xr:uid="{00000000-0005-0000-0000-00005C0A0000}"/>
    <cellStyle name="Milliers 6 3 2 2" xfId="2653" xr:uid="{00000000-0005-0000-0000-00005D0A0000}"/>
    <cellStyle name="Milliers 6 3 2 3" xfId="2654" xr:uid="{00000000-0005-0000-0000-00005E0A0000}"/>
    <cellStyle name="Milliers 6 3 3" xfId="2655" xr:uid="{00000000-0005-0000-0000-00005F0A0000}"/>
    <cellStyle name="Milliers 6 3 3 2" xfId="2656" xr:uid="{00000000-0005-0000-0000-0000600A0000}"/>
    <cellStyle name="Milliers 6 3 3 3" xfId="2657" xr:uid="{00000000-0005-0000-0000-0000610A0000}"/>
    <cellStyle name="Milliers 6 3 4" xfId="2658" xr:uid="{00000000-0005-0000-0000-0000620A0000}"/>
    <cellStyle name="Milliers 6 3 5" xfId="2659" xr:uid="{00000000-0005-0000-0000-0000630A0000}"/>
    <cellStyle name="Milliers 6 3 6" xfId="2660" xr:uid="{00000000-0005-0000-0000-0000640A0000}"/>
    <cellStyle name="Milliers 6 3 7" xfId="3321" xr:uid="{00000000-0005-0000-0000-0000F90C0000}"/>
    <cellStyle name="Milliers 6 4" xfId="2661" xr:uid="{00000000-0005-0000-0000-0000650A0000}"/>
    <cellStyle name="Milliers 6 4 2" xfId="2662" xr:uid="{00000000-0005-0000-0000-0000660A0000}"/>
    <cellStyle name="Milliers 6 4 2 2" xfId="2663" xr:uid="{00000000-0005-0000-0000-0000670A0000}"/>
    <cellStyle name="Milliers 6 4 2 3" xfId="2664" xr:uid="{00000000-0005-0000-0000-0000680A0000}"/>
    <cellStyle name="Milliers 6 4 3" xfId="2665" xr:uid="{00000000-0005-0000-0000-0000690A0000}"/>
    <cellStyle name="Milliers 6 4 3 2" xfId="2666" xr:uid="{00000000-0005-0000-0000-00006A0A0000}"/>
    <cellStyle name="Milliers 6 4 3 3" xfId="2667" xr:uid="{00000000-0005-0000-0000-00006B0A0000}"/>
    <cellStyle name="Milliers 6 4 4" xfId="2668" xr:uid="{00000000-0005-0000-0000-00006C0A0000}"/>
    <cellStyle name="Milliers 6 4 5" xfId="2669" xr:uid="{00000000-0005-0000-0000-00006D0A0000}"/>
    <cellStyle name="Milliers 6 5" xfId="2670" xr:uid="{00000000-0005-0000-0000-00006E0A0000}"/>
    <cellStyle name="Milliers 6 5 2" xfId="2671" xr:uid="{00000000-0005-0000-0000-00006F0A0000}"/>
    <cellStyle name="Milliers 6 5 2 2" xfId="2672" xr:uid="{00000000-0005-0000-0000-0000700A0000}"/>
    <cellStyle name="Milliers 6 5 2 3" xfId="2673" xr:uid="{00000000-0005-0000-0000-0000710A0000}"/>
    <cellStyle name="Milliers 6 5 3" xfId="2674" xr:uid="{00000000-0005-0000-0000-0000720A0000}"/>
    <cellStyle name="Milliers 6 5 3 2" xfId="2675" xr:uid="{00000000-0005-0000-0000-0000730A0000}"/>
    <cellStyle name="Milliers 6 5 3 3" xfId="2676" xr:uid="{00000000-0005-0000-0000-0000740A0000}"/>
    <cellStyle name="Milliers 6 5 4" xfId="2677" xr:uid="{00000000-0005-0000-0000-0000750A0000}"/>
    <cellStyle name="Milliers 6 5 5" xfId="2678" xr:uid="{00000000-0005-0000-0000-0000760A0000}"/>
    <cellStyle name="Milliers 6 6" xfId="2679" xr:uid="{00000000-0005-0000-0000-0000770A0000}"/>
    <cellStyle name="Milliers 6 7" xfId="3319" xr:uid="{00000000-0005-0000-0000-0000F70C0000}"/>
    <cellStyle name="Milliers 7" xfId="2680" xr:uid="{00000000-0005-0000-0000-0000780A0000}"/>
    <cellStyle name="Milliers 7 2" xfId="2681" xr:uid="{00000000-0005-0000-0000-0000790A0000}"/>
    <cellStyle name="Milliers 7 2 2" xfId="2682" xr:uid="{00000000-0005-0000-0000-00007A0A0000}"/>
    <cellStyle name="Milliers 7 2 2 2" xfId="2683" xr:uid="{00000000-0005-0000-0000-00007B0A0000}"/>
    <cellStyle name="Milliers 7 2 2 3" xfId="2684" xr:uid="{00000000-0005-0000-0000-00007C0A0000}"/>
    <cellStyle name="Milliers 7 2 3" xfId="2685" xr:uid="{00000000-0005-0000-0000-00007D0A0000}"/>
    <cellStyle name="Milliers 7 2 3 2" xfId="2686" xr:uid="{00000000-0005-0000-0000-00007E0A0000}"/>
    <cellStyle name="Milliers 7 2 3 3" xfId="2687" xr:uid="{00000000-0005-0000-0000-00007F0A0000}"/>
    <cellStyle name="Milliers 7 2 4" xfId="2688" xr:uid="{00000000-0005-0000-0000-0000800A0000}"/>
    <cellStyle name="Milliers 7 2 5" xfId="2689" xr:uid="{00000000-0005-0000-0000-0000810A0000}"/>
    <cellStyle name="Milliers 7 2 6" xfId="2690" xr:uid="{00000000-0005-0000-0000-0000820A0000}"/>
    <cellStyle name="Milliers 7 2 7" xfId="3323" xr:uid="{00000000-0005-0000-0000-0000FB0C0000}"/>
    <cellStyle name="Milliers 7 3" xfId="2691" xr:uid="{00000000-0005-0000-0000-0000830A0000}"/>
    <cellStyle name="Milliers 7 3 2" xfId="2692" xr:uid="{00000000-0005-0000-0000-0000840A0000}"/>
    <cellStyle name="Milliers 7 3 2 2" xfId="2693" xr:uid="{00000000-0005-0000-0000-0000850A0000}"/>
    <cellStyle name="Milliers 7 3 2 3" xfId="2694" xr:uid="{00000000-0005-0000-0000-0000860A0000}"/>
    <cellStyle name="Milliers 7 3 3" xfId="2695" xr:uid="{00000000-0005-0000-0000-0000870A0000}"/>
    <cellStyle name="Milliers 7 3 3 2" xfId="2696" xr:uid="{00000000-0005-0000-0000-0000880A0000}"/>
    <cellStyle name="Milliers 7 3 3 3" xfId="2697" xr:uid="{00000000-0005-0000-0000-0000890A0000}"/>
    <cellStyle name="Milliers 7 3 4" xfId="2698" xr:uid="{00000000-0005-0000-0000-00008A0A0000}"/>
    <cellStyle name="Milliers 7 3 5" xfId="2699" xr:uid="{00000000-0005-0000-0000-00008B0A0000}"/>
    <cellStyle name="Milliers 7 3 6" xfId="2700" xr:uid="{00000000-0005-0000-0000-00008C0A0000}"/>
    <cellStyle name="Milliers 7 3 7" xfId="3324" xr:uid="{00000000-0005-0000-0000-0000FC0C0000}"/>
    <cellStyle name="Milliers 7 4" xfId="2701" xr:uid="{00000000-0005-0000-0000-00008D0A0000}"/>
    <cellStyle name="Milliers 7 4 2" xfId="2702" xr:uid="{00000000-0005-0000-0000-00008E0A0000}"/>
    <cellStyle name="Milliers 7 4 2 2" xfId="2703" xr:uid="{00000000-0005-0000-0000-00008F0A0000}"/>
    <cellStyle name="Milliers 7 4 2 3" xfId="2704" xr:uid="{00000000-0005-0000-0000-0000900A0000}"/>
    <cellStyle name="Milliers 7 4 3" xfId="2705" xr:uid="{00000000-0005-0000-0000-0000910A0000}"/>
    <cellStyle name="Milliers 7 4 3 2" xfId="2706" xr:uid="{00000000-0005-0000-0000-0000920A0000}"/>
    <cellStyle name="Milliers 7 4 3 3" xfId="2707" xr:uid="{00000000-0005-0000-0000-0000930A0000}"/>
    <cellStyle name="Milliers 7 4 4" xfId="2708" xr:uid="{00000000-0005-0000-0000-0000940A0000}"/>
    <cellStyle name="Milliers 7 4 5" xfId="2709" xr:uid="{00000000-0005-0000-0000-0000950A0000}"/>
    <cellStyle name="Milliers 7 5" xfId="2710" xr:uid="{00000000-0005-0000-0000-0000960A0000}"/>
    <cellStyle name="Milliers 7 5 2" xfId="2711" xr:uid="{00000000-0005-0000-0000-0000970A0000}"/>
    <cellStyle name="Milliers 7 5 2 2" xfId="2712" xr:uid="{00000000-0005-0000-0000-0000980A0000}"/>
    <cellStyle name="Milliers 7 5 2 3" xfId="2713" xr:uid="{00000000-0005-0000-0000-0000990A0000}"/>
    <cellStyle name="Milliers 7 5 3" xfId="2714" xr:uid="{00000000-0005-0000-0000-00009A0A0000}"/>
    <cellStyle name="Milliers 7 5 3 2" xfId="2715" xr:uid="{00000000-0005-0000-0000-00009B0A0000}"/>
    <cellStyle name="Milliers 7 5 3 3" xfId="2716" xr:uid="{00000000-0005-0000-0000-00009C0A0000}"/>
    <cellStyle name="Milliers 7 5 4" xfId="2717" xr:uid="{00000000-0005-0000-0000-00009D0A0000}"/>
    <cellStyle name="Milliers 7 5 5" xfId="2718" xr:uid="{00000000-0005-0000-0000-00009E0A0000}"/>
    <cellStyle name="Milliers 7 6" xfId="2719" xr:uid="{00000000-0005-0000-0000-00009F0A0000}"/>
    <cellStyle name="Milliers 7 7" xfId="3322" xr:uid="{00000000-0005-0000-0000-0000FA0C0000}"/>
    <cellStyle name="Milliers 8" xfId="2720" xr:uid="{00000000-0005-0000-0000-0000A00A0000}"/>
    <cellStyle name="Milliers 8 2" xfId="2721" xr:uid="{00000000-0005-0000-0000-0000A10A0000}"/>
    <cellStyle name="Milliers 8 2 2" xfId="2722" xr:uid="{00000000-0005-0000-0000-0000A20A0000}"/>
    <cellStyle name="Milliers 8 2 2 2" xfId="2723" xr:uid="{00000000-0005-0000-0000-0000A30A0000}"/>
    <cellStyle name="Milliers 8 2 2 3" xfId="2724" xr:uid="{00000000-0005-0000-0000-0000A40A0000}"/>
    <cellStyle name="Milliers 8 2 3" xfId="2725" xr:uid="{00000000-0005-0000-0000-0000A50A0000}"/>
    <cellStyle name="Milliers 8 2 3 2" xfId="2726" xr:uid="{00000000-0005-0000-0000-0000A60A0000}"/>
    <cellStyle name="Milliers 8 2 3 3" xfId="2727" xr:uid="{00000000-0005-0000-0000-0000A70A0000}"/>
    <cellStyle name="Milliers 8 2 4" xfId="2728" xr:uid="{00000000-0005-0000-0000-0000A80A0000}"/>
    <cellStyle name="Milliers 8 2 5" xfId="2729" xr:uid="{00000000-0005-0000-0000-0000A90A0000}"/>
    <cellStyle name="Milliers 8 2 6" xfId="2730" xr:uid="{00000000-0005-0000-0000-0000AA0A0000}"/>
    <cellStyle name="Milliers 8 2 7" xfId="3326" xr:uid="{00000000-0005-0000-0000-0000FE0C0000}"/>
    <cellStyle name="Milliers 8 3" xfId="2731" xr:uid="{00000000-0005-0000-0000-0000AB0A0000}"/>
    <cellStyle name="Milliers 8 3 2" xfId="2732" xr:uid="{00000000-0005-0000-0000-0000AC0A0000}"/>
    <cellStyle name="Milliers 8 3 2 2" xfId="2733" xr:uid="{00000000-0005-0000-0000-0000AD0A0000}"/>
    <cellStyle name="Milliers 8 3 2 3" xfId="2734" xr:uid="{00000000-0005-0000-0000-0000AE0A0000}"/>
    <cellStyle name="Milliers 8 3 3" xfId="2735" xr:uid="{00000000-0005-0000-0000-0000AF0A0000}"/>
    <cellStyle name="Milliers 8 3 3 2" xfId="2736" xr:uid="{00000000-0005-0000-0000-0000B00A0000}"/>
    <cellStyle name="Milliers 8 3 3 3" xfId="2737" xr:uid="{00000000-0005-0000-0000-0000B10A0000}"/>
    <cellStyle name="Milliers 8 3 4" xfId="2738" xr:uid="{00000000-0005-0000-0000-0000B20A0000}"/>
    <cellStyle name="Milliers 8 3 5" xfId="2739" xr:uid="{00000000-0005-0000-0000-0000B30A0000}"/>
    <cellStyle name="Milliers 8 3 6" xfId="2740" xr:uid="{00000000-0005-0000-0000-0000B40A0000}"/>
    <cellStyle name="Milliers 8 3 7" xfId="3327" xr:uid="{00000000-0005-0000-0000-0000FF0C0000}"/>
    <cellStyle name="Milliers 8 4" xfId="2741" xr:uid="{00000000-0005-0000-0000-0000B50A0000}"/>
    <cellStyle name="Milliers 8 4 2" xfId="2742" xr:uid="{00000000-0005-0000-0000-0000B60A0000}"/>
    <cellStyle name="Milliers 8 4 2 2" xfId="2743" xr:uid="{00000000-0005-0000-0000-0000B70A0000}"/>
    <cellStyle name="Milliers 8 4 2 3" xfId="2744" xr:uid="{00000000-0005-0000-0000-0000B80A0000}"/>
    <cellStyle name="Milliers 8 4 3" xfId="2745" xr:uid="{00000000-0005-0000-0000-0000B90A0000}"/>
    <cellStyle name="Milliers 8 4 3 2" xfId="2746" xr:uid="{00000000-0005-0000-0000-0000BA0A0000}"/>
    <cellStyle name="Milliers 8 4 3 3" xfId="2747" xr:uid="{00000000-0005-0000-0000-0000BB0A0000}"/>
    <cellStyle name="Milliers 8 4 4" xfId="2748" xr:uid="{00000000-0005-0000-0000-0000BC0A0000}"/>
    <cellStyle name="Milliers 8 4 5" xfId="2749" xr:uid="{00000000-0005-0000-0000-0000BD0A0000}"/>
    <cellStyle name="Milliers 8 5" xfId="2750" xr:uid="{00000000-0005-0000-0000-0000BE0A0000}"/>
    <cellStyle name="Milliers 8 5 2" xfId="2751" xr:uid="{00000000-0005-0000-0000-0000BF0A0000}"/>
    <cellStyle name="Milliers 8 5 2 2" xfId="2752" xr:uid="{00000000-0005-0000-0000-0000C00A0000}"/>
    <cellStyle name="Milliers 8 5 2 3" xfId="2753" xr:uid="{00000000-0005-0000-0000-0000C10A0000}"/>
    <cellStyle name="Milliers 8 5 3" xfId="2754" xr:uid="{00000000-0005-0000-0000-0000C20A0000}"/>
    <cellStyle name="Milliers 8 5 3 2" xfId="2755" xr:uid="{00000000-0005-0000-0000-0000C30A0000}"/>
    <cellStyle name="Milliers 8 5 3 3" xfId="2756" xr:uid="{00000000-0005-0000-0000-0000C40A0000}"/>
    <cellStyle name="Milliers 8 5 4" xfId="2757" xr:uid="{00000000-0005-0000-0000-0000C50A0000}"/>
    <cellStyle name="Milliers 8 5 5" xfId="2758" xr:uid="{00000000-0005-0000-0000-0000C60A0000}"/>
    <cellStyle name="Milliers 8 6" xfId="2759" xr:uid="{00000000-0005-0000-0000-0000C70A0000}"/>
    <cellStyle name="Milliers 8 7" xfId="3325" xr:uid="{00000000-0005-0000-0000-0000FD0C0000}"/>
    <cellStyle name="Milliers 9" xfId="2760" xr:uid="{00000000-0005-0000-0000-0000C80A0000}"/>
    <cellStyle name="Milliers 9 2" xfId="2761" xr:uid="{00000000-0005-0000-0000-0000C90A0000}"/>
    <cellStyle name="Milliers 9 2 2" xfId="2762" xr:uid="{00000000-0005-0000-0000-0000CA0A0000}"/>
    <cellStyle name="Milliers 9 2 2 2" xfId="2763" xr:uid="{00000000-0005-0000-0000-0000CB0A0000}"/>
    <cellStyle name="Milliers 9 2 2 3" xfId="2764" xr:uid="{00000000-0005-0000-0000-0000CC0A0000}"/>
    <cellStyle name="Milliers 9 2 3" xfId="2765" xr:uid="{00000000-0005-0000-0000-0000CD0A0000}"/>
    <cellStyle name="Milliers 9 2 3 2" xfId="2766" xr:uid="{00000000-0005-0000-0000-0000CE0A0000}"/>
    <cellStyle name="Milliers 9 2 3 3" xfId="2767" xr:uid="{00000000-0005-0000-0000-0000CF0A0000}"/>
    <cellStyle name="Milliers 9 2 4" xfId="2768" xr:uid="{00000000-0005-0000-0000-0000D00A0000}"/>
    <cellStyle name="Milliers 9 2 5" xfId="2769" xr:uid="{00000000-0005-0000-0000-0000D10A0000}"/>
    <cellStyle name="Milliers 9 2 6" xfId="2770" xr:uid="{00000000-0005-0000-0000-0000D20A0000}"/>
    <cellStyle name="Milliers 9 2 7" xfId="3329" xr:uid="{00000000-0005-0000-0000-0000010D0000}"/>
    <cellStyle name="Milliers 9 3" xfId="2771" xr:uid="{00000000-0005-0000-0000-0000D30A0000}"/>
    <cellStyle name="Milliers 9 3 2" xfId="2772" xr:uid="{00000000-0005-0000-0000-0000D40A0000}"/>
    <cellStyle name="Milliers 9 3 2 2" xfId="2773" xr:uid="{00000000-0005-0000-0000-0000D50A0000}"/>
    <cellStyle name="Milliers 9 3 2 3" xfId="2774" xr:uid="{00000000-0005-0000-0000-0000D60A0000}"/>
    <cellStyle name="Milliers 9 3 3" xfId="2775" xr:uid="{00000000-0005-0000-0000-0000D70A0000}"/>
    <cellStyle name="Milliers 9 3 3 2" xfId="2776" xr:uid="{00000000-0005-0000-0000-0000D80A0000}"/>
    <cellStyle name="Milliers 9 3 3 3" xfId="2777" xr:uid="{00000000-0005-0000-0000-0000D90A0000}"/>
    <cellStyle name="Milliers 9 3 4" xfId="2778" xr:uid="{00000000-0005-0000-0000-0000DA0A0000}"/>
    <cellStyle name="Milliers 9 3 5" xfId="2779" xr:uid="{00000000-0005-0000-0000-0000DB0A0000}"/>
    <cellStyle name="Milliers 9 3 6" xfId="2780" xr:uid="{00000000-0005-0000-0000-0000DC0A0000}"/>
    <cellStyle name="Milliers 9 3 7" xfId="3330" xr:uid="{00000000-0005-0000-0000-0000020D0000}"/>
    <cellStyle name="Milliers 9 4" xfId="2781" xr:uid="{00000000-0005-0000-0000-0000DD0A0000}"/>
    <cellStyle name="Milliers 9 4 2" xfId="2782" xr:uid="{00000000-0005-0000-0000-0000DE0A0000}"/>
    <cellStyle name="Milliers 9 4 2 2" xfId="2783" xr:uid="{00000000-0005-0000-0000-0000DF0A0000}"/>
    <cellStyle name="Milliers 9 4 2 3" xfId="2784" xr:uid="{00000000-0005-0000-0000-0000E00A0000}"/>
    <cellStyle name="Milliers 9 4 3" xfId="2785" xr:uid="{00000000-0005-0000-0000-0000E10A0000}"/>
    <cellStyle name="Milliers 9 4 3 2" xfId="2786" xr:uid="{00000000-0005-0000-0000-0000E20A0000}"/>
    <cellStyle name="Milliers 9 4 3 3" xfId="2787" xr:uid="{00000000-0005-0000-0000-0000E30A0000}"/>
    <cellStyle name="Milliers 9 4 4" xfId="2788" xr:uid="{00000000-0005-0000-0000-0000E40A0000}"/>
    <cellStyle name="Milliers 9 4 5" xfId="2789" xr:uid="{00000000-0005-0000-0000-0000E50A0000}"/>
    <cellStyle name="Milliers 9 5" xfId="2790" xr:uid="{00000000-0005-0000-0000-0000E60A0000}"/>
    <cellStyle name="Milliers 9 5 2" xfId="2791" xr:uid="{00000000-0005-0000-0000-0000E70A0000}"/>
    <cellStyle name="Milliers 9 5 2 2" xfId="2792" xr:uid="{00000000-0005-0000-0000-0000E80A0000}"/>
    <cellStyle name="Milliers 9 5 2 3" xfId="2793" xr:uid="{00000000-0005-0000-0000-0000E90A0000}"/>
    <cellStyle name="Milliers 9 5 3" xfId="2794" xr:uid="{00000000-0005-0000-0000-0000EA0A0000}"/>
    <cellStyle name="Milliers 9 5 3 2" xfId="2795" xr:uid="{00000000-0005-0000-0000-0000EB0A0000}"/>
    <cellStyle name="Milliers 9 5 3 3" xfId="2796" xr:uid="{00000000-0005-0000-0000-0000EC0A0000}"/>
    <cellStyle name="Milliers 9 5 4" xfId="2797" xr:uid="{00000000-0005-0000-0000-0000ED0A0000}"/>
    <cellStyle name="Milliers 9 5 5" xfId="2798" xr:uid="{00000000-0005-0000-0000-0000EE0A0000}"/>
    <cellStyle name="Milliers 9 6" xfId="2799" xr:uid="{00000000-0005-0000-0000-0000EF0A0000}"/>
    <cellStyle name="Milliers 9 7" xfId="3328" xr:uid="{00000000-0005-0000-0000-0000000D0000}"/>
    <cellStyle name="Millions (/1000000)" xfId="2800" xr:uid="{00000000-0005-0000-0000-0000F00A0000}"/>
    <cellStyle name="Millions (/1000000) 2" xfId="2801" xr:uid="{00000000-0005-0000-0000-0000F10A0000}"/>
    <cellStyle name="Monétaire 2" xfId="2802" xr:uid="{00000000-0005-0000-0000-0000F20A0000}"/>
    <cellStyle name="Monétaire 2 2" xfId="2803" xr:uid="{00000000-0005-0000-0000-0000F30A0000}"/>
    <cellStyle name="Monétaire 2 2 2" xfId="2804" xr:uid="{00000000-0005-0000-0000-0000F40A0000}"/>
    <cellStyle name="Monétaire 2 2 3" xfId="2805" xr:uid="{00000000-0005-0000-0000-0000F50A0000}"/>
    <cellStyle name="Monétaire 2 3" xfId="2806" xr:uid="{00000000-0005-0000-0000-0000F60A0000}"/>
    <cellStyle name="Monétaire 2 4" xfId="2807" xr:uid="{00000000-0005-0000-0000-0000F70A0000}"/>
    <cellStyle name="Monétaire 2 5" xfId="2808" xr:uid="{00000000-0005-0000-0000-0000F80A0000}"/>
    <cellStyle name="Monétaire 3" xfId="2809" xr:uid="{00000000-0005-0000-0000-0000F90A0000}"/>
    <cellStyle name="Monétaire 3 2" xfId="2810" xr:uid="{00000000-0005-0000-0000-0000FA0A0000}"/>
    <cellStyle name="Monétaire 3 2 2" xfId="2811" xr:uid="{00000000-0005-0000-0000-0000FB0A0000}"/>
    <cellStyle name="Monétaire 3 2 3" xfId="2812" xr:uid="{00000000-0005-0000-0000-0000FC0A0000}"/>
    <cellStyle name="Monétaire 3 3" xfId="2813" xr:uid="{00000000-0005-0000-0000-0000FD0A0000}"/>
    <cellStyle name="Monétaire 3 4" xfId="2814" xr:uid="{00000000-0005-0000-0000-0000FE0A0000}"/>
    <cellStyle name="Monétaire 3 5" xfId="2815" xr:uid="{00000000-0005-0000-0000-0000FF0A0000}"/>
    <cellStyle name="Neutral 2" xfId="2817" xr:uid="{00000000-0005-0000-0000-0000010B0000}"/>
    <cellStyle name="Neutral 2 2" xfId="2818" xr:uid="{00000000-0005-0000-0000-0000020B0000}"/>
    <cellStyle name="Neutral 2 2 2" xfId="2819" xr:uid="{00000000-0005-0000-0000-0000030B0000}"/>
    <cellStyle name="Neutral 2 3" xfId="2820" xr:uid="{00000000-0005-0000-0000-0000040B0000}"/>
    <cellStyle name="Neutral 2 4" xfId="2821" xr:uid="{00000000-0005-0000-0000-0000050B0000}"/>
    <cellStyle name="Neutral 2 5" xfId="2822" xr:uid="{00000000-0005-0000-0000-0000060B0000}"/>
    <cellStyle name="Neutral 3" xfId="2823" xr:uid="{00000000-0005-0000-0000-0000070B0000}"/>
    <cellStyle name="Neutral 3 2" xfId="2824" xr:uid="{00000000-0005-0000-0000-0000080B0000}"/>
    <cellStyle name="Neutral 3 3" xfId="2825" xr:uid="{00000000-0005-0000-0000-0000090B0000}"/>
    <cellStyle name="Neutral 3 4" xfId="2826" xr:uid="{00000000-0005-0000-0000-00000A0B0000}"/>
    <cellStyle name="Neutral 4" xfId="2827" xr:uid="{00000000-0005-0000-0000-00000B0B0000}"/>
    <cellStyle name="Neutral 4 2" xfId="2828" xr:uid="{00000000-0005-0000-0000-00000C0B0000}"/>
    <cellStyle name="Neutral 5" xfId="2829" xr:uid="{00000000-0005-0000-0000-00000D0B0000}"/>
    <cellStyle name="Neutral 6" xfId="2816" xr:uid="{00000000-0005-0000-0000-0000000B0000}"/>
    <cellStyle name="Normal" xfId="0" builtinId="0"/>
    <cellStyle name="Normal 10" xfId="3" xr:uid="{00000000-0005-0000-0000-000003000000}"/>
    <cellStyle name="Normal 10 2" xfId="2830" xr:uid="{00000000-0005-0000-0000-00000E0B0000}"/>
    <cellStyle name="Normal 10 2 2" xfId="2831" xr:uid="{00000000-0005-0000-0000-00000F0B0000}"/>
    <cellStyle name="Normal 10 2 2 2" xfId="2832" xr:uid="{00000000-0005-0000-0000-0000100B0000}"/>
    <cellStyle name="Normal 10 2 3" xfId="2833" xr:uid="{00000000-0005-0000-0000-0000110B0000}"/>
    <cellStyle name="Normal 10 2 4" xfId="2834" xr:uid="{00000000-0005-0000-0000-0000120B0000}"/>
    <cellStyle name="Normal 10 3" xfId="2835" xr:uid="{00000000-0005-0000-0000-0000130B0000}"/>
    <cellStyle name="Normal 10 3 2" xfId="2836" xr:uid="{00000000-0005-0000-0000-0000140B0000}"/>
    <cellStyle name="Normal 10 4" xfId="2837" xr:uid="{00000000-0005-0000-0000-0000150B0000}"/>
    <cellStyle name="Normal 10 5" xfId="2838" xr:uid="{00000000-0005-0000-0000-0000160B0000}"/>
    <cellStyle name="Normal 11" xfId="2839" xr:uid="{00000000-0005-0000-0000-0000170B0000}"/>
    <cellStyle name="Normal 11 2" xfId="2840" xr:uid="{00000000-0005-0000-0000-0000180B0000}"/>
    <cellStyle name="Normal 12" xfId="2841" xr:uid="{00000000-0005-0000-0000-0000190B0000}"/>
    <cellStyle name="Normal 12 2" xfId="2842" xr:uid="{00000000-0005-0000-0000-00001A0B0000}"/>
    <cellStyle name="Normal 12 2 2" xfId="2843" xr:uid="{00000000-0005-0000-0000-00001B0B0000}"/>
    <cellStyle name="Normal 12 2 2 2" xfId="2844" xr:uid="{00000000-0005-0000-0000-00001C0B0000}"/>
    <cellStyle name="Normal 12 2 2 2 2" xfId="2845" xr:uid="{00000000-0005-0000-0000-00001D0B0000}"/>
    <cellStyle name="Normal 12 2 2 2 2 2" xfId="2846" xr:uid="{00000000-0005-0000-0000-00001E0B0000}"/>
    <cellStyle name="Normal 12 2 2 2 2 2 2" xfId="3335" xr:uid="{00000000-0005-0000-0000-0000070D0000}"/>
    <cellStyle name="Normal 12 2 2 2 2 3" xfId="3334" xr:uid="{00000000-0005-0000-0000-0000060D0000}"/>
    <cellStyle name="Normal 12 2 2 2 3" xfId="2847" xr:uid="{00000000-0005-0000-0000-00001F0B0000}"/>
    <cellStyle name="Normal 12 2 2 2 3 2" xfId="3336" xr:uid="{00000000-0005-0000-0000-0000080D0000}"/>
    <cellStyle name="Normal 12 2 2 2 4" xfId="3333" xr:uid="{00000000-0005-0000-0000-0000050D0000}"/>
    <cellStyle name="Normal 12 2 2 3" xfId="2848" xr:uid="{00000000-0005-0000-0000-0000200B0000}"/>
    <cellStyle name="Normal 12 2 2 3 2" xfId="2849" xr:uid="{00000000-0005-0000-0000-0000210B0000}"/>
    <cellStyle name="Normal 12 2 2 3 2 2" xfId="3338" xr:uid="{00000000-0005-0000-0000-00000A0D0000}"/>
    <cellStyle name="Normal 12 2 2 3 3" xfId="3337" xr:uid="{00000000-0005-0000-0000-0000090D0000}"/>
    <cellStyle name="Normal 12 2 2 4" xfId="2850" xr:uid="{00000000-0005-0000-0000-0000220B0000}"/>
    <cellStyle name="Normal 12 2 2 4 2" xfId="3339" xr:uid="{00000000-0005-0000-0000-00000B0D0000}"/>
    <cellStyle name="Normal 12 2 2 5" xfId="3332" xr:uid="{00000000-0005-0000-0000-0000040D0000}"/>
    <cellStyle name="Normal 12 2 3" xfId="2851" xr:uid="{00000000-0005-0000-0000-0000230B0000}"/>
    <cellStyle name="Normal 12 2 3 2" xfId="2852" xr:uid="{00000000-0005-0000-0000-0000240B0000}"/>
    <cellStyle name="Normal 12 2 3 2 2" xfId="2853" xr:uid="{00000000-0005-0000-0000-0000250B0000}"/>
    <cellStyle name="Normal 12 2 3 2 2 2" xfId="3342" xr:uid="{00000000-0005-0000-0000-00000E0D0000}"/>
    <cellStyle name="Normal 12 2 3 2 3" xfId="3341" xr:uid="{00000000-0005-0000-0000-00000D0D0000}"/>
    <cellStyle name="Normal 12 2 3 3" xfId="2854" xr:uid="{00000000-0005-0000-0000-0000260B0000}"/>
    <cellStyle name="Normal 12 2 3 3 2" xfId="3343" xr:uid="{00000000-0005-0000-0000-00000F0D0000}"/>
    <cellStyle name="Normal 12 2 3 4" xfId="3340" xr:uid="{00000000-0005-0000-0000-00000C0D0000}"/>
    <cellStyle name="Normal 12 2 4" xfId="2855" xr:uid="{00000000-0005-0000-0000-0000270B0000}"/>
    <cellStyle name="Normal 12 2 4 2" xfId="2856" xr:uid="{00000000-0005-0000-0000-0000280B0000}"/>
    <cellStyle name="Normal 12 2 4 2 2" xfId="3345" xr:uid="{00000000-0005-0000-0000-0000110D0000}"/>
    <cellStyle name="Normal 12 2 4 3" xfId="3344" xr:uid="{00000000-0005-0000-0000-0000100D0000}"/>
    <cellStyle name="Normal 12 2 5" xfId="2857" xr:uid="{00000000-0005-0000-0000-0000290B0000}"/>
    <cellStyle name="Normal 12 2 5 2" xfId="2858" xr:uid="{00000000-0005-0000-0000-00002A0B0000}"/>
    <cellStyle name="Normal 12 2 5 2 2" xfId="3347" xr:uid="{00000000-0005-0000-0000-0000130D0000}"/>
    <cellStyle name="Normal 12 2 5 3" xfId="3346" xr:uid="{00000000-0005-0000-0000-0000120D0000}"/>
    <cellStyle name="Normal 12 2 6" xfId="2859" xr:uid="{00000000-0005-0000-0000-00002B0B0000}"/>
    <cellStyle name="Normal 12 2 7" xfId="2860" xr:uid="{00000000-0005-0000-0000-00002C0B0000}"/>
    <cellStyle name="Normal 12 2 7 2" xfId="3348" xr:uid="{00000000-0005-0000-0000-0000140D0000}"/>
    <cellStyle name="Normal 12 3" xfId="2861" xr:uid="{00000000-0005-0000-0000-00002D0B0000}"/>
    <cellStyle name="Normal 12 3 2" xfId="2862" xr:uid="{00000000-0005-0000-0000-00002E0B0000}"/>
    <cellStyle name="Normal 12 3 2 2" xfId="2863" xr:uid="{00000000-0005-0000-0000-00002F0B0000}"/>
    <cellStyle name="Normal 12 3 2 2 2" xfId="2864" xr:uid="{00000000-0005-0000-0000-0000300B0000}"/>
    <cellStyle name="Normal 12 3 2 2 2 2" xfId="3352" xr:uid="{00000000-0005-0000-0000-0000180D0000}"/>
    <cellStyle name="Normal 12 3 2 2 3" xfId="3351" xr:uid="{00000000-0005-0000-0000-0000170D0000}"/>
    <cellStyle name="Normal 12 3 2 3" xfId="2865" xr:uid="{00000000-0005-0000-0000-0000310B0000}"/>
    <cellStyle name="Normal 12 3 2 3 2" xfId="3353" xr:uid="{00000000-0005-0000-0000-0000190D0000}"/>
    <cellStyle name="Normal 12 3 2 4" xfId="3350" xr:uid="{00000000-0005-0000-0000-0000160D0000}"/>
    <cellStyle name="Normal 12 3 3" xfId="2866" xr:uid="{00000000-0005-0000-0000-0000320B0000}"/>
    <cellStyle name="Normal 12 3 3 2" xfId="2867" xr:uid="{00000000-0005-0000-0000-0000330B0000}"/>
    <cellStyle name="Normal 12 3 3 2 2" xfId="3355" xr:uid="{00000000-0005-0000-0000-00001B0D0000}"/>
    <cellStyle name="Normal 12 3 3 3" xfId="3354" xr:uid="{00000000-0005-0000-0000-00001A0D0000}"/>
    <cellStyle name="Normal 12 3 4" xfId="2868" xr:uid="{00000000-0005-0000-0000-0000340B0000}"/>
    <cellStyle name="Normal 12 3 4 2" xfId="3356" xr:uid="{00000000-0005-0000-0000-00001C0D0000}"/>
    <cellStyle name="Normal 12 3 5" xfId="3349" xr:uid="{00000000-0005-0000-0000-0000150D0000}"/>
    <cellStyle name="Normal 12 4" xfId="2869" xr:uid="{00000000-0005-0000-0000-0000350B0000}"/>
    <cellStyle name="Normal 12 4 2" xfId="2870" xr:uid="{00000000-0005-0000-0000-0000360B0000}"/>
    <cellStyle name="Normal 12 4 2 2" xfId="2871" xr:uid="{00000000-0005-0000-0000-0000370B0000}"/>
    <cellStyle name="Normal 12 4 2 2 2" xfId="3359" xr:uid="{00000000-0005-0000-0000-00001F0D0000}"/>
    <cellStyle name="Normal 12 4 2 3" xfId="3358" xr:uid="{00000000-0005-0000-0000-00001E0D0000}"/>
    <cellStyle name="Normal 12 4 3" xfId="2872" xr:uid="{00000000-0005-0000-0000-0000380B0000}"/>
    <cellStyle name="Normal 12 4 3 2" xfId="3360" xr:uid="{00000000-0005-0000-0000-0000200D0000}"/>
    <cellStyle name="Normal 12 4 4" xfId="3357" xr:uid="{00000000-0005-0000-0000-00001D0D0000}"/>
    <cellStyle name="Normal 12 5" xfId="2873" xr:uid="{00000000-0005-0000-0000-0000390B0000}"/>
    <cellStyle name="Normal 12 5 2" xfId="2874" xr:uid="{00000000-0005-0000-0000-00003A0B0000}"/>
    <cellStyle name="Normal 12 5 2 2" xfId="2875" xr:uid="{00000000-0005-0000-0000-00003B0B0000}"/>
    <cellStyle name="Normal 12 5 2 2 2" xfId="3363" xr:uid="{00000000-0005-0000-0000-0000230D0000}"/>
    <cellStyle name="Normal 12 5 2 3" xfId="3362" xr:uid="{00000000-0005-0000-0000-0000220D0000}"/>
    <cellStyle name="Normal 12 5 3" xfId="2876" xr:uid="{00000000-0005-0000-0000-00003C0B0000}"/>
    <cellStyle name="Normal 12 5 3 2" xfId="3364" xr:uid="{00000000-0005-0000-0000-0000240D0000}"/>
    <cellStyle name="Normal 12 5 4" xfId="3361" xr:uid="{00000000-0005-0000-0000-0000210D0000}"/>
    <cellStyle name="Normal 12 6" xfId="2877" xr:uid="{00000000-0005-0000-0000-00003D0B0000}"/>
    <cellStyle name="Normal 12 6 2" xfId="3365" xr:uid="{00000000-0005-0000-0000-0000250D0000}"/>
    <cellStyle name="Normal 12 7" xfId="2878" xr:uid="{00000000-0005-0000-0000-00003E0B0000}"/>
    <cellStyle name="Normal 12 8" xfId="3331" xr:uid="{00000000-0005-0000-0000-0000030D0000}"/>
    <cellStyle name="Normal 128" xfId="4" xr:uid="{00000000-0005-0000-0000-000004000000}"/>
    <cellStyle name="Normal 13" xfId="2879" xr:uid="{00000000-0005-0000-0000-00003F0B0000}"/>
    <cellStyle name="Normal 13 2" xfId="2880" xr:uid="{00000000-0005-0000-0000-0000400B0000}"/>
    <cellStyle name="Normal 13 2 2" xfId="2881" xr:uid="{00000000-0005-0000-0000-0000410B0000}"/>
    <cellStyle name="Normal 13 2 2 2" xfId="3367" xr:uid="{00000000-0005-0000-0000-0000270D0000}"/>
    <cellStyle name="Normal 13 2 3" xfId="3366" xr:uid="{00000000-0005-0000-0000-0000260D0000}"/>
    <cellStyle name="Normal 13 3" xfId="2882" xr:uid="{00000000-0005-0000-0000-0000420B0000}"/>
    <cellStyle name="Normal 13 3 2" xfId="2883" xr:uid="{00000000-0005-0000-0000-0000430B0000}"/>
    <cellStyle name="Normal 13 4" xfId="2884" xr:uid="{00000000-0005-0000-0000-0000440B0000}"/>
    <cellStyle name="Normal 14" xfId="2885" xr:uid="{00000000-0005-0000-0000-0000450B0000}"/>
    <cellStyle name="Normal 14 2" xfId="2886" xr:uid="{00000000-0005-0000-0000-0000460B0000}"/>
    <cellStyle name="Normal 14 2 2" xfId="2887" xr:uid="{00000000-0005-0000-0000-0000470B0000}"/>
    <cellStyle name="Normal 14 3" xfId="2888" xr:uid="{00000000-0005-0000-0000-0000480B0000}"/>
    <cellStyle name="Normal 14 3 2" xfId="2889" xr:uid="{00000000-0005-0000-0000-0000490B0000}"/>
    <cellStyle name="Normal 14 4" xfId="2890" xr:uid="{00000000-0005-0000-0000-00004A0B0000}"/>
    <cellStyle name="Normal 15" xfId="2891" xr:uid="{00000000-0005-0000-0000-00004B0B0000}"/>
    <cellStyle name="Normal 15 2" xfId="2892" xr:uid="{00000000-0005-0000-0000-00004C0B0000}"/>
    <cellStyle name="Normal 16" xfId="2893" xr:uid="{00000000-0005-0000-0000-00004D0B0000}"/>
    <cellStyle name="Normal 16 2" xfId="2894" xr:uid="{00000000-0005-0000-0000-00004E0B0000}"/>
    <cellStyle name="Normal 17" xfId="2895" xr:uid="{00000000-0005-0000-0000-00004F0B0000}"/>
    <cellStyle name="Normal 17 2" xfId="2896" xr:uid="{00000000-0005-0000-0000-0000500B0000}"/>
    <cellStyle name="Normal 18" xfId="2897" xr:uid="{00000000-0005-0000-0000-0000510B0000}"/>
    <cellStyle name="Normal 18 2" xfId="2898" xr:uid="{00000000-0005-0000-0000-0000520B0000}"/>
    <cellStyle name="Normal 18 2 2" xfId="3369" xr:uid="{00000000-0005-0000-0000-0000290D0000}"/>
    <cellStyle name="Normal 18 3" xfId="3368" xr:uid="{00000000-0005-0000-0000-0000280D0000}"/>
    <cellStyle name="Normal 19" xfId="2899" xr:uid="{00000000-0005-0000-0000-0000530B0000}"/>
    <cellStyle name="Normal 19 2" xfId="2900" xr:uid="{00000000-0005-0000-0000-0000540B0000}"/>
    <cellStyle name="Normal 19 2 2" xfId="3371" xr:uid="{00000000-0005-0000-0000-00002B0D0000}"/>
    <cellStyle name="Normal 19 3" xfId="3370" xr:uid="{00000000-0005-0000-0000-00002A0D0000}"/>
    <cellStyle name="Normal 2" xfId="2901" xr:uid="{00000000-0005-0000-0000-0000550B0000}"/>
    <cellStyle name="Normal 2 2" xfId="2902" xr:uid="{00000000-0005-0000-0000-0000560B0000}"/>
    <cellStyle name="Normal 2 2 2" xfId="2903" xr:uid="{00000000-0005-0000-0000-0000570B0000}"/>
    <cellStyle name="Normal 2 2 2 2" xfId="2904" xr:uid="{00000000-0005-0000-0000-0000580B0000}"/>
    <cellStyle name="Normal 2 2 2 2 2" xfId="2905" xr:uid="{00000000-0005-0000-0000-0000590B0000}"/>
    <cellStyle name="Normal 2 2 2 3" xfId="2906" xr:uid="{00000000-0005-0000-0000-00005A0B0000}"/>
    <cellStyle name="Normal 2 2 2 3 2" xfId="2907" xr:uid="{00000000-0005-0000-0000-00005B0B0000}"/>
    <cellStyle name="Normal 2 2 2 4" xfId="2908" xr:uid="{00000000-0005-0000-0000-00005C0B0000}"/>
    <cellStyle name="Normal 2 2 2 5" xfId="2909" xr:uid="{00000000-0005-0000-0000-00005D0B0000}"/>
    <cellStyle name="Normal 2 2 3" xfId="2910" xr:uid="{00000000-0005-0000-0000-00005E0B0000}"/>
    <cellStyle name="Normal 2 2 4" xfId="2911" xr:uid="{00000000-0005-0000-0000-00005F0B0000}"/>
    <cellStyle name="Normal 2 3" xfId="2912" xr:uid="{00000000-0005-0000-0000-0000600B0000}"/>
    <cellStyle name="Normal 2 3 2" xfId="2913" xr:uid="{00000000-0005-0000-0000-0000610B0000}"/>
    <cellStyle name="Normal 2 3 2 2" xfId="2914" xr:uid="{00000000-0005-0000-0000-0000620B0000}"/>
    <cellStyle name="Normal 2 3 2 3" xfId="2915" xr:uid="{00000000-0005-0000-0000-0000630B0000}"/>
    <cellStyle name="Normal 2 3 3" xfId="2916" xr:uid="{00000000-0005-0000-0000-0000640B0000}"/>
    <cellStyle name="Normal 2 3 3 2" xfId="2917" xr:uid="{00000000-0005-0000-0000-0000650B0000}"/>
    <cellStyle name="Normal 2 3 3 2 2" xfId="3375" xr:uid="{00000000-0005-0000-0000-00002F0D0000}"/>
    <cellStyle name="Normal 2 3 3 3" xfId="3374" xr:uid="{00000000-0005-0000-0000-00002E0D0000}"/>
    <cellStyle name="Normal 2 3 4" xfId="2918" xr:uid="{00000000-0005-0000-0000-0000660B0000}"/>
    <cellStyle name="Normal 2 3 5" xfId="2919" xr:uid="{00000000-0005-0000-0000-0000670B0000}"/>
    <cellStyle name="Normal 2 3 6" xfId="2920" xr:uid="{00000000-0005-0000-0000-0000680B0000}"/>
    <cellStyle name="Normal 2 3 7" xfId="3373" xr:uid="{00000000-0005-0000-0000-00002D0D0000}"/>
    <cellStyle name="Normal 2 4" xfId="2921" xr:uid="{00000000-0005-0000-0000-0000690B0000}"/>
    <cellStyle name="Normal 2 4 2" xfId="2922" xr:uid="{00000000-0005-0000-0000-00006A0B0000}"/>
    <cellStyle name="Normal 2 4 2 2" xfId="2923" xr:uid="{00000000-0005-0000-0000-00006B0B0000}"/>
    <cellStyle name="Normal 2 4 3" xfId="2924" xr:uid="{00000000-0005-0000-0000-00006C0B0000}"/>
    <cellStyle name="Normal 2 4 3 2" xfId="3377" xr:uid="{00000000-0005-0000-0000-0000310D0000}"/>
    <cellStyle name="Normal 2 4 4" xfId="2925" xr:uid="{00000000-0005-0000-0000-00006D0B0000}"/>
    <cellStyle name="Normal 2 4 5" xfId="2926" xr:uid="{00000000-0005-0000-0000-00006E0B0000}"/>
    <cellStyle name="Normal 2 4 6" xfId="3376" xr:uid="{00000000-0005-0000-0000-0000300D0000}"/>
    <cellStyle name="Normal 2 5" xfId="2927" xr:uid="{00000000-0005-0000-0000-00006F0B0000}"/>
    <cellStyle name="Normal 2 5 2" xfId="2928" xr:uid="{00000000-0005-0000-0000-0000700B0000}"/>
    <cellStyle name="Normal 2 5 2 2" xfId="3379" xr:uid="{00000000-0005-0000-0000-0000330D0000}"/>
    <cellStyle name="Normal 2 5 3" xfId="2929" xr:uid="{00000000-0005-0000-0000-0000710B0000}"/>
    <cellStyle name="Normal 2 5 4" xfId="3378" xr:uid="{00000000-0005-0000-0000-0000320D0000}"/>
    <cellStyle name="Normal 2 6" xfId="2930" xr:uid="{00000000-0005-0000-0000-0000720B0000}"/>
    <cellStyle name="Normal 2 6 2" xfId="3380" xr:uid="{00000000-0005-0000-0000-0000340D0000}"/>
    <cellStyle name="Normal 2 7" xfId="3372" xr:uid="{00000000-0005-0000-0000-00002C0D0000}"/>
    <cellStyle name="Normal 20" xfId="2931" xr:uid="{00000000-0005-0000-0000-0000730B0000}"/>
    <cellStyle name="Normal 21" xfId="2932" xr:uid="{00000000-0005-0000-0000-0000740B0000}"/>
    <cellStyle name="Normal 21 2" xfId="3381" xr:uid="{00000000-0005-0000-0000-0000350D0000}"/>
    <cellStyle name="Normal 22" xfId="2933" xr:uid="{00000000-0005-0000-0000-0000750B0000}"/>
    <cellStyle name="Normal 22 2" xfId="2934" xr:uid="{00000000-0005-0000-0000-0000760B0000}"/>
    <cellStyle name="Normal 22 2 2" xfId="3383" xr:uid="{00000000-0005-0000-0000-0000370D0000}"/>
    <cellStyle name="Normal 22 3" xfId="3382" xr:uid="{00000000-0005-0000-0000-0000360D0000}"/>
    <cellStyle name="Normal 23" xfId="2935" xr:uid="{00000000-0005-0000-0000-0000770B0000}"/>
    <cellStyle name="Normal 23 2" xfId="2936" xr:uid="{00000000-0005-0000-0000-0000780B0000}"/>
    <cellStyle name="Normal 23 2 2" xfId="3385" xr:uid="{00000000-0005-0000-0000-0000390D0000}"/>
    <cellStyle name="Normal 23 3" xfId="3384" xr:uid="{00000000-0005-0000-0000-0000380D0000}"/>
    <cellStyle name="Normal 24" xfId="2937" xr:uid="{00000000-0005-0000-0000-0000790B0000}"/>
    <cellStyle name="Normal 24 2" xfId="3386" xr:uid="{00000000-0005-0000-0000-00003A0D0000}"/>
    <cellStyle name="Normal 3" xfId="2938" xr:uid="{00000000-0005-0000-0000-00007A0B0000}"/>
    <cellStyle name="Normal 3 10" xfId="2939" xr:uid="{00000000-0005-0000-0000-00007B0B0000}"/>
    <cellStyle name="Normal 3 10 2" xfId="2940" xr:uid="{00000000-0005-0000-0000-00007C0B0000}"/>
    <cellStyle name="Normal 3 11" xfId="2941" xr:uid="{00000000-0005-0000-0000-00007D0B0000}"/>
    <cellStyle name="Normal 3 11 2" xfId="2942" xr:uid="{00000000-0005-0000-0000-00007E0B0000}"/>
    <cellStyle name="Normal 3 12" xfId="2943" xr:uid="{00000000-0005-0000-0000-00007F0B0000}"/>
    <cellStyle name="Normal 3 12 2" xfId="2944" xr:uid="{00000000-0005-0000-0000-0000800B0000}"/>
    <cellStyle name="Normal 3 13" xfId="2945" xr:uid="{00000000-0005-0000-0000-0000810B0000}"/>
    <cellStyle name="Normal 3 13 2" xfId="2946" xr:uid="{00000000-0005-0000-0000-0000820B0000}"/>
    <cellStyle name="Normal 3 14" xfId="2947" xr:uid="{00000000-0005-0000-0000-0000830B0000}"/>
    <cellStyle name="Normal 3 14 2" xfId="2948" xr:uid="{00000000-0005-0000-0000-0000840B0000}"/>
    <cellStyle name="Normal 3 15" xfId="2949" xr:uid="{00000000-0005-0000-0000-0000850B0000}"/>
    <cellStyle name="Normal 3 15 2" xfId="2950" xr:uid="{00000000-0005-0000-0000-0000860B0000}"/>
    <cellStyle name="Normal 3 16" xfId="2951" xr:uid="{00000000-0005-0000-0000-0000870B0000}"/>
    <cellStyle name="Normal 3 16 2" xfId="2952" xr:uid="{00000000-0005-0000-0000-0000880B0000}"/>
    <cellStyle name="Normal 3 17" xfId="2953" xr:uid="{00000000-0005-0000-0000-0000890B0000}"/>
    <cellStyle name="Normal 3 17 2" xfId="2954" xr:uid="{00000000-0005-0000-0000-00008A0B0000}"/>
    <cellStyle name="Normal 3 18" xfId="2955" xr:uid="{00000000-0005-0000-0000-00008B0B0000}"/>
    <cellStyle name="Normal 3 18 2" xfId="2956" xr:uid="{00000000-0005-0000-0000-00008C0B0000}"/>
    <cellStyle name="Normal 3 19" xfId="2957" xr:uid="{00000000-0005-0000-0000-00008D0B0000}"/>
    <cellStyle name="Normal 3 19 2" xfId="2958" xr:uid="{00000000-0005-0000-0000-00008E0B0000}"/>
    <cellStyle name="Normal 3 2" xfId="2959" xr:uid="{00000000-0005-0000-0000-00008F0B0000}"/>
    <cellStyle name="Normal 3 2 2" xfId="2960" xr:uid="{00000000-0005-0000-0000-0000900B0000}"/>
    <cellStyle name="Normal 3 2 2 2" xfId="2961" xr:uid="{00000000-0005-0000-0000-0000910B0000}"/>
    <cellStyle name="Normal 3 2 3" xfId="2962" xr:uid="{00000000-0005-0000-0000-0000920B0000}"/>
    <cellStyle name="Normal 3 2 3 2" xfId="2963" xr:uid="{00000000-0005-0000-0000-0000930B0000}"/>
    <cellStyle name="Normal 3 2 3 3" xfId="2964" xr:uid="{00000000-0005-0000-0000-0000940B0000}"/>
    <cellStyle name="Normal 3 2 4" xfId="2965" xr:uid="{00000000-0005-0000-0000-0000950B0000}"/>
    <cellStyle name="Normal 3 2 4 2" xfId="2966" xr:uid="{00000000-0005-0000-0000-0000960B0000}"/>
    <cellStyle name="Normal 3 2 4 2 2" xfId="3388" xr:uid="{00000000-0005-0000-0000-00003C0D0000}"/>
    <cellStyle name="Normal 3 2 4 3" xfId="3387" xr:uid="{00000000-0005-0000-0000-00003B0D0000}"/>
    <cellStyle name="Normal 3 2 5" xfId="2967" xr:uid="{00000000-0005-0000-0000-0000970B0000}"/>
    <cellStyle name="Normal 3 2 6" xfId="2968" xr:uid="{00000000-0005-0000-0000-0000980B0000}"/>
    <cellStyle name="Normal 3 2 6 2" xfId="3389" xr:uid="{00000000-0005-0000-0000-00003D0D0000}"/>
    <cellStyle name="Normal 3 20" xfId="2969" xr:uid="{00000000-0005-0000-0000-0000990B0000}"/>
    <cellStyle name="Normal 3 20 2" xfId="2970" xr:uid="{00000000-0005-0000-0000-00009A0B0000}"/>
    <cellStyle name="Normal 3 21" xfId="2971" xr:uid="{00000000-0005-0000-0000-00009B0B0000}"/>
    <cellStyle name="Normal 3 21 2" xfId="2972" xr:uid="{00000000-0005-0000-0000-00009C0B0000}"/>
    <cellStyle name="Normal 3 22" xfId="2973" xr:uid="{00000000-0005-0000-0000-00009D0B0000}"/>
    <cellStyle name="Normal 3 22 2" xfId="2974" xr:uid="{00000000-0005-0000-0000-00009E0B0000}"/>
    <cellStyle name="Normal 3 23" xfId="2975" xr:uid="{00000000-0005-0000-0000-00009F0B0000}"/>
    <cellStyle name="Normal 3 23 2" xfId="2976" xr:uid="{00000000-0005-0000-0000-0000A00B0000}"/>
    <cellStyle name="Normal 3 24" xfId="2977" xr:uid="{00000000-0005-0000-0000-0000A10B0000}"/>
    <cellStyle name="Normal 3 24 2" xfId="2978" xr:uid="{00000000-0005-0000-0000-0000A20B0000}"/>
    <cellStyle name="Normal 3 25" xfId="2979" xr:uid="{00000000-0005-0000-0000-0000A30B0000}"/>
    <cellStyle name="Normal 3 25 2" xfId="2980" xr:uid="{00000000-0005-0000-0000-0000A40B0000}"/>
    <cellStyle name="Normal 3 26" xfId="2981" xr:uid="{00000000-0005-0000-0000-0000A50B0000}"/>
    <cellStyle name="Normal 3 26 2" xfId="2982" xr:uid="{00000000-0005-0000-0000-0000A60B0000}"/>
    <cellStyle name="Normal 3 27" xfId="2983" xr:uid="{00000000-0005-0000-0000-0000A70B0000}"/>
    <cellStyle name="Normal 3 27 2" xfId="2984" xr:uid="{00000000-0005-0000-0000-0000A80B0000}"/>
    <cellStyle name="Normal 3 27 2 2" xfId="2985" xr:uid="{00000000-0005-0000-0000-0000A90B0000}"/>
    <cellStyle name="Normal 3 27 3" xfId="2986" xr:uid="{00000000-0005-0000-0000-0000AA0B0000}"/>
    <cellStyle name="Normal 3 27 3 2" xfId="2987" xr:uid="{00000000-0005-0000-0000-0000AB0B0000}"/>
    <cellStyle name="Normal 3 27 3 2 2" xfId="3392" xr:uid="{00000000-0005-0000-0000-0000400D0000}"/>
    <cellStyle name="Normal 3 27 3 3" xfId="3391" xr:uid="{00000000-0005-0000-0000-00003F0D0000}"/>
    <cellStyle name="Normal 3 27 4" xfId="2988" xr:uid="{00000000-0005-0000-0000-0000AC0B0000}"/>
    <cellStyle name="Normal 3 27 4 2" xfId="2989" xr:uid="{00000000-0005-0000-0000-0000AD0B0000}"/>
    <cellStyle name="Normal 3 27 4 2 2" xfId="3394" xr:uid="{00000000-0005-0000-0000-0000420D0000}"/>
    <cellStyle name="Normal 3 27 4 3" xfId="3393" xr:uid="{00000000-0005-0000-0000-0000410D0000}"/>
    <cellStyle name="Normal 3 27 5" xfId="2990" xr:uid="{00000000-0005-0000-0000-0000AE0B0000}"/>
    <cellStyle name="Normal 3 27 5 2" xfId="3395" xr:uid="{00000000-0005-0000-0000-0000430D0000}"/>
    <cellStyle name="Normal 3 27 6" xfId="3390" xr:uid="{00000000-0005-0000-0000-00003E0D0000}"/>
    <cellStyle name="Normal 3 28" xfId="2991" xr:uid="{00000000-0005-0000-0000-0000AF0B0000}"/>
    <cellStyle name="Normal 3 28 2" xfId="3396" xr:uid="{00000000-0005-0000-0000-0000440D0000}"/>
    <cellStyle name="Normal 3 29" xfId="2992" xr:uid="{00000000-0005-0000-0000-0000B00B0000}"/>
    <cellStyle name="Normal 3 3" xfId="2993" xr:uid="{00000000-0005-0000-0000-0000B10B0000}"/>
    <cellStyle name="Normal 3 3 2" xfId="2994" xr:uid="{00000000-0005-0000-0000-0000B20B0000}"/>
    <cellStyle name="Normal 3 3 2 2" xfId="2995" xr:uid="{00000000-0005-0000-0000-0000B30B0000}"/>
    <cellStyle name="Normal 3 3 3" xfId="2996" xr:uid="{00000000-0005-0000-0000-0000B40B0000}"/>
    <cellStyle name="Normal 3 3 4" xfId="2997" xr:uid="{00000000-0005-0000-0000-0000B50B0000}"/>
    <cellStyle name="Normal 3 4" xfId="2998" xr:uid="{00000000-0005-0000-0000-0000B60B0000}"/>
    <cellStyle name="Normal 3 4 2" xfId="2999" xr:uid="{00000000-0005-0000-0000-0000B70B0000}"/>
    <cellStyle name="Normal 3 4 3" xfId="3000" xr:uid="{00000000-0005-0000-0000-0000B80B0000}"/>
    <cellStyle name="Normal 3 5" xfId="3001" xr:uid="{00000000-0005-0000-0000-0000B90B0000}"/>
    <cellStyle name="Normal 3 5 2" xfId="3002" xr:uid="{00000000-0005-0000-0000-0000BA0B0000}"/>
    <cellStyle name="Normal 3 6" xfId="3003" xr:uid="{00000000-0005-0000-0000-0000BB0B0000}"/>
    <cellStyle name="Normal 3 6 2" xfId="3004" xr:uid="{00000000-0005-0000-0000-0000BC0B0000}"/>
    <cellStyle name="Normal 3 7" xfId="3005" xr:uid="{00000000-0005-0000-0000-0000BD0B0000}"/>
    <cellStyle name="Normal 3 7 2" xfId="3006" xr:uid="{00000000-0005-0000-0000-0000BE0B0000}"/>
    <cellStyle name="Normal 3 8" xfId="3007" xr:uid="{00000000-0005-0000-0000-0000BF0B0000}"/>
    <cellStyle name="Normal 3 8 2" xfId="3008" xr:uid="{00000000-0005-0000-0000-0000C00B0000}"/>
    <cellStyle name="Normal 3 9" xfId="3009" xr:uid="{00000000-0005-0000-0000-0000C10B0000}"/>
    <cellStyle name="Normal 3 9 2" xfId="3010" xr:uid="{00000000-0005-0000-0000-0000C20B0000}"/>
    <cellStyle name="Normal 4" xfId="3011" xr:uid="{00000000-0005-0000-0000-0000C30B0000}"/>
    <cellStyle name="Normal 4 10" xfId="3012" xr:uid="{00000000-0005-0000-0000-0000C40B0000}"/>
    <cellStyle name="Normal 4 2" xfId="3013" xr:uid="{00000000-0005-0000-0000-0000C50B0000}"/>
    <cellStyle name="Normal 4 2 2" xfId="3014" xr:uid="{00000000-0005-0000-0000-0000C60B0000}"/>
    <cellStyle name="Normal 4 2 2 2" xfId="3015" xr:uid="{00000000-0005-0000-0000-0000C70B0000}"/>
    <cellStyle name="Normal 4 2 2 2 2" xfId="3016" xr:uid="{00000000-0005-0000-0000-0000C80B0000}"/>
    <cellStyle name="Normal 4 2 2 2 2 2" xfId="3399" xr:uid="{00000000-0005-0000-0000-0000470D0000}"/>
    <cellStyle name="Normal 4 2 2 2 3" xfId="3398" xr:uid="{00000000-0005-0000-0000-0000460D0000}"/>
    <cellStyle name="Normal 4 2 2 3" xfId="3017" xr:uid="{00000000-0005-0000-0000-0000C90B0000}"/>
    <cellStyle name="Normal 4 2 2 3 2" xfId="3400" xr:uid="{00000000-0005-0000-0000-0000480D0000}"/>
    <cellStyle name="Normal 4 2 2 4" xfId="3397" xr:uid="{00000000-0005-0000-0000-0000450D0000}"/>
    <cellStyle name="Normal 4 2 3" xfId="3018" xr:uid="{00000000-0005-0000-0000-0000CA0B0000}"/>
    <cellStyle name="Normal 4 2 3 2" xfId="3019" xr:uid="{00000000-0005-0000-0000-0000CB0B0000}"/>
    <cellStyle name="Normal 4 2 3 2 2" xfId="3402" xr:uid="{00000000-0005-0000-0000-00004A0D0000}"/>
    <cellStyle name="Normal 4 2 3 3" xfId="3401" xr:uid="{00000000-0005-0000-0000-0000490D0000}"/>
    <cellStyle name="Normal 4 2 4" xfId="3020" xr:uid="{00000000-0005-0000-0000-0000CC0B0000}"/>
    <cellStyle name="Normal 4 2 4 2" xfId="3021" xr:uid="{00000000-0005-0000-0000-0000CD0B0000}"/>
    <cellStyle name="Normal 4 2 4 2 2" xfId="3404" xr:uid="{00000000-0005-0000-0000-00004C0D0000}"/>
    <cellStyle name="Normal 4 2 4 3" xfId="3403" xr:uid="{00000000-0005-0000-0000-00004B0D0000}"/>
    <cellStyle name="Normal 4 2 5" xfId="3022" xr:uid="{00000000-0005-0000-0000-0000CE0B0000}"/>
    <cellStyle name="Normal 4 2 6" xfId="3023" xr:uid="{00000000-0005-0000-0000-0000CF0B0000}"/>
    <cellStyle name="Normal 4 2 6 2" xfId="3405" xr:uid="{00000000-0005-0000-0000-00004D0D0000}"/>
    <cellStyle name="Normal 4 3" xfId="3024" xr:uid="{00000000-0005-0000-0000-0000D00B0000}"/>
    <cellStyle name="Normal 4 3 2" xfId="3025" xr:uid="{00000000-0005-0000-0000-0000D10B0000}"/>
    <cellStyle name="Normal 4 3 2 2" xfId="3026" xr:uid="{00000000-0005-0000-0000-0000D20B0000}"/>
    <cellStyle name="Normal 4 3 2 2 2" xfId="3407" xr:uid="{00000000-0005-0000-0000-00004F0D0000}"/>
    <cellStyle name="Normal 4 3 2 3" xfId="3406" xr:uid="{00000000-0005-0000-0000-00004E0D0000}"/>
    <cellStyle name="Normal 4 3 3" xfId="3027" xr:uid="{00000000-0005-0000-0000-0000D30B0000}"/>
    <cellStyle name="Normal 4 3 3 2" xfId="3028" xr:uid="{00000000-0005-0000-0000-0000D40B0000}"/>
    <cellStyle name="Normal 4 3 3 2 2" xfId="3409" xr:uid="{00000000-0005-0000-0000-0000510D0000}"/>
    <cellStyle name="Normal 4 3 3 3" xfId="3408" xr:uid="{00000000-0005-0000-0000-0000500D0000}"/>
    <cellStyle name="Normal 4 3 4" xfId="3029" xr:uid="{00000000-0005-0000-0000-0000D50B0000}"/>
    <cellStyle name="Normal 4 3 5" xfId="3030" xr:uid="{00000000-0005-0000-0000-0000D60B0000}"/>
    <cellStyle name="Normal 4 3 5 2" xfId="3410" xr:uid="{00000000-0005-0000-0000-0000520D0000}"/>
    <cellStyle name="Normal 4 3 6" xfId="3031" xr:uid="{00000000-0005-0000-0000-0000D70B0000}"/>
    <cellStyle name="Normal 4 4" xfId="3032" xr:uid="{00000000-0005-0000-0000-0000D80B0000}"/>
    <cellStyle name="Normal 4 4 2" xfId="3033" xr:uid="{00000000-0005-0000-0000-0000D90B0000}"/>
    <cellStyle name="Normal 4 5" xfId="3034" xr:uid="{00000000-0005-0000-0000-0000DA0B0000}"/>
    <cellStyle name="Normal 4 5 2" xfId="3035" xr:uid="{00000000-0005-0000-0000-0000DB0B0000}"/>
    <cellStyle name="Normal 4 5 2 2" xfId="3412" xr:uid="{00000000-0005-0000-0000-0000540D0000}"/>
    <cellStyle name="Normal 4 5 3" xfId="3411" xr:uid="{00000000-0005-0000-0000-0000530D0000}"/>
    <cellStyle name="Normal 4 6" xfId="3036" xr:uid="{00000000-0005-0000-0000-0000DC0B0000}"/>
    <cellStyle name="Normal 4 6 2" xfId="3037" xr:uid="{00000000-0005-0000-0000-0000DD0B0000}"/>
    <cellStyle name="Normal 4 6 2 2" xfId="3414" xr:uid="{00000000-0005-0000-0000-0000560D0000}"/>
    <cellStyle name="Normal 4 6 3" xfId="3413" xr:uid="{00000000-0005-0000-0000-0000550D0000}"/>
    <cellStyle name="Normal 4 7" xfId="3038" xr:uid="{00000000-0005-0000-0000-0000DE0B0000}"/>
    <cellStyle name="Normal 4 8" xfId="3039" xr:uid="{00000000-0005-0000-0000-0000DF0B0000}"/>
    <cellStyle name="Normal 4 9" xfId="3040" xr:uid="{00000000-0005-0000-0000-0000E00B0000}"/>
    <cellStyle name="Normal 4 9 2" xfId="3415" xr:uid="{00000000-0005-0000-0000-0000570D0000}"/>
    <cellStyle name="Normal 5" xfId="3041" xr:uid="{00000000-0005-0000-0000-0000E10B0000}"/>
    <cellStyle name="Normal 5 2" xfId="3042" xr:uid="{00000000-0005-0000-0000-0000E20B0000}"/>
    <cellStyle name="Normal 5 2 2" xfId="3043" xr:uid="{00000000-0005-0000-0000-0000E30B0000}"/>
    <cellStyle name="Normal 5 2 2 2" xfId="3044" xr:uid="{00000000-0005-0000-0000-0000E40B0000}"/>
    <cellStyle name="Normal 5 2 2 2 2" xfId="3417" xr:uid="{00000000-0005-0000-0000-0000590D0000}"/>
    <cellStyle name="Normal 5 2 2 3" xfId="3416" xr:uid="{00000000-0005-0000-0000-0000580D0000}"/>
    <cellStyle name="Normal 5 2 3" xfId="3045" xr:uid="{00000000-0005-0000-0000-0000E50B0000}"/>
    <cellStyle name="Normal 5 2 3 2" xfId="3046" xr:uid="{00000000-0005-0000-0000-0000E60B0000}"/>
    <cellStyle name="Normal 5 2 3 2 2" xfId="3419" xr:uid="{00000000-0005-0000-0000-00005B0D0000}"/>
    <cellStyle name="Normal 5 2 3 3" xfId="3418" xr:uid="{00000000-0005-0000-0000-00005A0D0000}"/>
    <cellStyle name="Normal 5 2 4" xfId="3047" xr:uid="{00000000-0005-0000-0000-0000E70B0000}"/>
    <cellStyle name="Normal 5 2 5" xfId="3048" xr:uid="{00000000-0005-0000-0000-0000E80B0000}"/>
    <cellStyle name="Normal 5 2 5 2" xfId="3420" xr:uid="{00000000-0005-0000-0000-00005C0D0000}"/>
    <cellStyle name="Normal 5 3" xfId="3049" xr:uid="{00000000-0005-0000-0000-0000E90B0000}"/>
    <cellStyle name="Normal 5 3 2" xfId="3050" xr:uid="{00000000-0005-0000-0000-0000EA0B0000}"/>
    <cellStyle name="Normal 5 4" xfId="3051" xr:uid="{00000000-0005-0000-0000-0000EB0B0000}"/>
    <cellStyle name="Normal 6" xfId="3052" xr:uid="{00000000-0005-0000-0000-0000EC0B0000}"/>
    <cellStyle name="Normal 6 2" xfId="3053" xr:uid="{00000000-0005-0000-0000-0000ED0B0000}"/>
    <cellStyle name="Normal 6 2 2" xfId="3054" xr:uid="{00000000-0005-0000-0000-0000EE0B0000}"/>
    <cellStyle name="Normal 6 3" xfId="3055" xr:uid="{00000000-0005-0000-0000-0000EF0B0000}"/>
    <cellStyle name="Normal 6 3 2" xfId="3056" xr:uid="{00000000-0005-0000-0000-0000F00B0000}"/>
    <cellStyle name="Normal 6 4" xfId="3057" xr:uid="{00000000-0005-0000-0000-0000F10B0000}"/>
    <cellStyle name="Normal 6 4 2" xfId="3058" xr:uid="{00000000-0005-0000-0000-0000F20B0000}"/>
    <cellStyle name="Normal 6 4 2 2" xfId="3423" xr:uid="{00000000-0005-0000-0000-00005F0D0000}"/>
    <cellStyle name="Normal 6 4 3" xfId="3422" xr:uid="{00000000-0005-0000-0000-00005E0D0000}"/>
    <cellStyle name="Normal 6 5" xfId="3059" xr:uid="{00000000-0005-0000-0000-0000F30B0000}"/>
    <cellStyle name="Normal 6 6" xfId="3060" xr:uid="{00000000-0005-0000-0000-0000F40B0000}"/>
    <cellStyle name="Normal 6 7" xfId="3421" xr:uid="{00000000-0005-0000-0000-00005D0D0000}"/>
    <cellStyle name="Normal 7" xfId="8" xr:uid="{00000000-0005-0000-0000-000008000000}"/>
    <cellStyle name="Normal 7 2" xfId="3061" xr:uid="{00000000-0005-0000-0000-0000F50B0000}"/>
    <cellStyle name="Normal 7 2 2" xfId="3062" xr:uid="{00000000-0005-0000-0000-0000F60B0000}"/>
    <cellStyle name="Normal 7 2 2 2" xfId="3063" xr:uid="{00000000-0005-0000-0000-0000F70B0000}"/>
    <cellStyle name="Normal 7 2 2 2 2" xfId="3425" xr:uid="{00000000-0005-0000-0000-0000610D0000}"/>
    <cellStyle name="Normal 7 2 2 3" xfId="3424" xr:uid="{00000000-0005-0000-0000-0000600D0000}"/>
    <cellStyle name="Normal 7 2 3" xfId="3064" xr:uid="{00000000-0005-0000-0000-0000F80B0000}"/>
    <cellStyle name="Normal 7 2 4" xfId="3065" xr:uid="{00000000-0005-0000-0000-0000F90B0000}"/>
    <cellStyle name="Normal 7 2 4 2" xfId="3426" xr:uid="{00000000-0005-0000-0000-0000620D0000}"/>
    <cellStyle name="Normal 7 3" xfId="3066" xr:uid="{00000000-0005-0000-0000-0000FA0B0000}"/>
    <cellStyle name="Normal 7 3 2" xfId="3067" xr:uid="{00000000-0005-0000-0000-0000FB0B0000}"/>
    <cellStyle name="Normal 7 4" xfId="3068" xr:uid="{00000000-0005-0000-0000-0000FC0B0000}"/>
    <cellStyle name="Normal 7 4 2" xfId="3069" xr:uid="{00000000-0005-0000-0000-0000FD0B0000}"/>
    <cellStyle name="Normal 7 4 2 2" xfId="3428" xr:uid="{00000000-0005-0000-0000-0000640D0000}"/>
    <cellStyle name="Normal 7 4 3" xfId="3427" xr:uid="{00000000-0005-0000-0000-0000630D0000}"/>
    <cellStyle name="Normal 7 5" xfId="3070" xr:uid="{00000000-0005-0000-0000-0000FE0B0000}"/>
    <cellStyle name="Normal 7 5 2" xfId="3429" xr:uid="{00000000-0005-0000-0000-0000650D0000}"/>
    <cellStyle name="Normal 8" xfId="3071" xr:uid="{00000000-0005-0000-0000-0000FF0B0000}"/>
    <cellStyle name="Normal 8 2" xfId="3072" xr:uid="{00000000-0005-0000-0000-0000000C0000}"/>
    <cellStyle name="Normal 8 2 2" xfId="3073" xr:uid="{00000000-0005-0000-0000-0000010C0000}"/>
    <cellStyle name="Normal 8 3" xfId="3074" xr:uid="{00000000-0005-0000-0000-0000020C0000}"/>
    <cellStyle name="Normal 8 4" xfId="3075" xr:uid="{00000000-0005-0000-0000-0000030C0000}"/>
    <cellStyle name="Normal 8 5" xfId="3076" xr:uid="{00000000-0005-0000-0000-0000040C0000}"/>
    <cellStyle name="Normal 8 5 2" xfId="3431" xr:uid="{00000000-0005-0000-0000-0000670D0000}"/>
    <cellStyle name="Normal 8 6" xfId="3077" xr:uid="{00000000-0005-0000-0000-0000050C0000}"/>
    <cellStyle name="Normal 8 7" xfId="3430" xr:uid="{00000000-0005-0000-0000-0000660D0000}"/>
    <cellStyle name="Normal 9" xfId="3078" xr:uid="{00000000-0005-0000-0000-0000060C0000}"/>
    <cellStyle name="Normal 9 2" xfId="3079" xr:uid="{00000000-0005-0000-0000-0000070C0000}"/>
    <cellStyle name="Normal 9 2 2" xfId="3080" xr:uid="{00000000-0005-0000-0000-0000080C0000}"/>
    <cellStyle name="Normal 9 2 2 2" xfId="3433" xr:uid="{00000000-0005-0000-0000-0000690D0000}"/>
    <cellStyle name="Normal 9 2 3" xfId="3432" xr:uid="{00000000-0005-0000-0000-0000680D0000}"/>
    <cellStyle name="Normal 9 3" xfId="3081" xr:uid="{00000000-0005-0000-0000-0000090C0000}"/>
    <cellStyle name="Normal 9 4" xfId="3082" xr:uid="{00000000-0005-0000-0000-00000A0C0000}"/>
    <cellStyle name="Normal 9 4 2" xfId="3434" xr:uid="{00000000-0005-0000-0000-00006A0D0000}"/>
    <cellStyle name="Normal_SUBRES_B-NTech-BE" xfId="3083" xr:uid="{00000000-0005-0000-0000-00000B0C0000}"/>
    <cellStyle name="Normale_B2020" xfId="3084" xr:uid="{00000000-0005-0000-0000-00000C0C0000}"/>
    <cellStyle name="Note 2" xfId="3085" xr:uid="{00000000-0005-0000-0000-00000D0C0000}"/>
    <cellStyle name="Note 2 10" xfId="3435" xr:uid="{00000000-0005-0000-0000-00006B0D0000}"/>
    <cellStyle name="Note 2 2" xfId="3086" xr:uid="{00000000-0005-0000-0000-00000E0C0000}"/>
    <cellStyle name="Note 2 2 2" xfId="3087" xr:uid="{00000000-0005-0000-0000-00000F0C0000}"/>
    <cellStyle name="Note 2 2 3" xfId="3088" xr:uid="{00000000-0005-0000-0000-0000100C0000}"/>
    <cellStyle name="Note 2 3" xfId="3089" xr:uid="{00000000-0005-0000-0000-0000110C0000}"/>
    <cellStyle name="Note 2 3 2" xfId="3090" xr:uid="{00000000-0005-0000-0000-0000120C0000}"/>
    <cellStyle name="Note 2 4" xfId="3091" xr:uid="{00000000-0005-0000-0000-0000130C0000}"/>
    <cellStyle name="Note 2 4 2" xfId="3092" xr:uid="{00000000-0005-0000-0000-0000140C0000}"/>
    <cellStyle name="Note 2 5" xfId="3093" xr:uid="{00000000-0005-0000-0000-0000150C0000}"/>
    <cellStyle name="Note 2 6" xfId="3094" xr:uid="{00000000-0005-0000-0000-0000160C0000}"/>
    <cellStyle name="Note 2 7" xfId="3095" xr:uid="{00000000-0005-0000-0000-0000170C0000}"/>
    <cellStyle name="Note 2 8" xfId="3096" xr:uid="{00000000-0005-0000-0000-0000180C0000}"/>
    <cellStyle name="Note 2 9" xfId="3097" xr:uid="{00000000-0005-0000-0000-0000190C0000}"/>
    <cellStyle name="Note 3" xfId="3098" xr:uid="{00000000-0005-0000-0000-00001A0C0000}"/>
    <cellStyle name="Note 3 2" xfId="3099" xr:uid="{00000000-0005-0000-0000-00001B0C0000}"/>
    <cellStyle name="Note 3 3" xfId="3100" xr:uid="{00000000-0005-0000-0000-00001C0C0000}"/>
    <cellStyle name="Note 4" xfId="3101" xr:uid="{00000000-0005-0000-0000-00001D0C0000}"/>
    <cellStyle name="Note 4 2" xfId="3102" xr:uid="{00000000-0005-0000-0000-00001E0C0000}"/>
    <cellStyle name="Note 5" xfId="3103" xr:uid="{00000000-0005-0000-0000-00001F0C0000}"/>
    <cellStyle name="Output 2" xfId="3104" xr:uid="{00000000-0005-0000-0000-0000200C0000}"/>
    <cellStyle name="Output 2 2" xfId="3105" xr:uid="{00000000-0005-0000-0000-0000210C0000}"/>
    <cellStyle name="Output 2 2 2" xfId="3106" xr:uid="{00000000-0005-0000-0000-0000220C0000}"/>
    <cellStyle name="Output 2 3" xfId="3107" xr:uid="{00000000-0005-0000-0000-0000230C0000}"/>
    <cellStyle name="Output 2 4" xfId="3108" xr:uid="{00000000-0005-0000-0000-0000240C0000}"/>
    <cellStyle name="Output 2 5" xfId="3109" xr:uid="{00000000-0005-0000-0000-0000250C0000}"/>
    <cellStyle name="Output 3" xfId="3110" xr:uid="{00000000-0005-0000-0000-0000260C0000}"/>
    <cellStyle name="Output 3 2" xfId="3111" xr:uid="{00000000-0005-0000-0000-0000270C0000}"/>
    <cellStyle name="Output 4" xfId="3112" xr:uid="{00000000-0005-0000-0000-0000280C0000}"/>
    <cellStyle name="Parent row" xfId="3113" xr:uid="{00000000-0005-0000-0000-0000290C0000}"/>
    <cellStyle name="Parent row 2" xfId="3114" xr:uid="{00000000-0005-0000-0000-00002A0C0000}"/>
    <cellStyle name="Percent" xfId="2" builtinId="5"/>
    <cellStyle name="Percent 10" xfId="3116" xr:uid="{00000000-0005-0000-0000-00002C0C0000}"/>
    <cellStyle name="Percent 10 2" xfId="3117" xr:uid="{00000000-0005-0000-0000-00002D0C0000}"/>
    <cellStyle name="Percent 11" xfId="3118" xr:uid="{00000000-0005-0000-0000-00002E0C0000}"/>
    <cellStyle name="Percent 11 2" xfId="3119" xr:uid="{00000000-0005-0000-0000-00002F0C0000}"/>
    <cellStyle name="Percent 11 3" xfId="3120" xr:uid="{00000000-0005-0000-0000-0000300C0000}"/>
    <cellStyle name="Percent 11 4" xfId="3121" xr:uid="{00000000-0005-0000-0000-0000310C0000}"/>
    <cellStyle name="Percent 12" xfId="3122" xr:uid="{00000000-0005-0000-0000-0000320C0000}"/>
    <cellStyle name="Percent 13" xfId="3123" xr:uid="{00000000-0005-0000-0000-0000330C0000}"/>
    <cellStyle name="Percent 14" xfId="3124" xr:uid="{00000000-0005-0000-0000-0000340C0000}"/>
    <cellStyle name="Percent 14 2" xfId="3125" xr:uid="{00000000-0005-0000-0000-0000350C0000}"/>
    <cellStyle name="Percent 15" xfId="3126" xr:uid="{00000000-0005-0000-0000-0000360C0000}"/>
    <cellStyle name="Percent 15 2" xfId="3127" xr:uid="{00000000-0005-0000-0000-0000370C0000}"/>
    <cellStyle name="Percent 16" xfId="3128" xr:uid="{00000000-0005-0000-0000-0000380C0000}"/>
    <cellStyle name="Percent 16 2" xfId="3129" xr:uid="{00000000-0005-0000-0000-0000390C0000}"/>
    <cellStyle name="Percent 16 3" xfId="3130" xr:uid="{00000000-0005-0000-0000-00003A0C0000}"/>
    <cellStyle name="Percent 17" xfId="3131" xr:uid="{00000000-0005-0000-0000-00003B0C0000}"/>
    <cellStyle name="Percent 17 2" xfId="3132" xr:uid="{00000000-0005-0000-0000-00003C0C0000}"/>
    <cellStyle name="Percent 18" xfId="3133" xr:uid="{00000000-0005-0000-0000-00003D0C0000}"/>
    <cellStyle name="Percent 18 2" xfId="3134" xr:uid="{00000000-0005-0000-0000-00003E0C0000}"/>
    <cellStyle name="Percent 19" xfId="3135" xr:uid="{00000000-0005-0000-0000-00003F0C0000}"/>
    <cellStyle name="Percent 19 2" xfId="3136" xr:uid="{00000000-0005-0000-0000-0000400C0000}"/>
    <cellStyle name="Percent 2" xfId="7" xr:uid="{00000000-0005-0000-0000-000007000000}"/>
    <cellStyle name="Percent 2 2" xfId="3138" xr:uid="{00000000-0005-0000-0000-0000420C0000}"/>
    <cellStyle name="Percent 2 2 2" xfId="3139" xr:uid="{00000000-0005-0000-0000-0000430C0000}"/>
    <cellStyle name="Percent 2 3" xfId="3140" xr:uid="{00000000-0005-0000-0000-0000440C0000}"/>
    <cellStyle name="Percent 2 3 2" xfId="3141" xr:uid="{00000000-0005-0000-0000-0000450C0000}"/>
    <cellStyle name="Percent 2 4" xfId="3142" xr:uid="{00000000-0005-0000-0000-0000460C0000}"/>
    <cellStyle name="Percent 2 5" xfId="3143" xr:uid="{00000000-0005-0000-0000-0000470C0000}"/>
    <cellStyle name="Percent 2 6" xfId="3137" xr:uid="{00000000-0005-0000-0000-0000410C0000}"/>
    <cellStyle name="Percent 20" xfId="3144" xr:uid="{00000000-0005-0000-0000-0000480C0000}"/>
    <cellStyle name="Percent 21" xfId="3145" xr:uid="{00000000-0005-0000-0000-0000490C0000}"/>
    <cellStyle name="Percent 22" xfId="3146" xr:uid="{00000000-0005-0000-0000-00004A0C0000}"/>
    <cellStyle name="Percent 22 2" xfId="3436" xr:uid="{00000000-0005-0000-0000-00006C0D0000}"/>
    <cellStyle name="Percent 23" xfId="3115" xr:uid="{00000000-0005-0000-0000-00002B0C0000}"/>
    <cellStyle name="Percent 3" xfId="3147" xr:uid="{00000000-0005-0000-0000-00004B0C0000}"/>
    <cellStyle name="Percent 3 2" xfId="3148" xr:uid="{00000000-0005-0000-0000-00004C0C0000}"/>
    <cellStyle name="Percent 3 2 2" xfId="3149" xr:uid="{00000000-0005-0000-0000-00004D0C0000}"/>
    <cellStyle name="Percent 3 2 3" xfId="3150" xr:uid="{00000000-0005-0000-0000-00004E0C0000}"/>
    <cellStyle name="Percent 3 2 4" xfId="3151" xr:uid="{00000000-0005-0000-0000-00004F0C0000}"/>
    <cellStyle name="Percent 3 2 5" xfId="3152" xr:uid="{00000000-0005-0000-0000-0000500C0000}"/>
    <cellStyle name="Percent 3 3" xfId="3153" xr:uid="{00000000-0005-0000-0000-0000510C0000}"/>
    <cellStyle name="Percent 4" xfId="3154" xr:uid="{00000000-0005-0000-0000-0000520C0000}"/>
    <cellStyle name="Percent 4 2" xfId="3155" xr:uid="{00000000-0005-0000-0000-0000530C0000}"/>
    <cellStyle name="Percent 4 2 2" xfId="3156" xr:uid="{00000000-0005-0000-0000-0000540C0000}"/>
    <cellStyle name="Percent 4 2 3" xfId="3157" xr:uid="{00000000-0005-0000-0000-0000550C0000}"/>
    <cellStyle name="Percent 4 3" xfId="3158" xr:uid="{00000000-0005-0000-0000-0000560C0000}"/>
    <cellStyle name="Percent 4 4" xfId="3159" xr:uid="{00000000-0005-0000-0000-0000570C0000}"/>
    <cellStyle name="Percent 4 5" xfId="3160" xr:uid="{00000000-0005-0000-0000-0000580C0000}"/>
    <cellStyle name="Percent 4 5 2" xfId="3161" xr:uid="{00000000-0005-0000-0000-0000590C0000}"/>
    <cellStyle name="Percent 4 5 3" xfId="3162" xr:uid="{00000000-0005-0000-0000-00005A0C0000}"/>
    <cellStyle name="Percent 4 6" xfId="3163" xr:uid="{00000000-0005-0000-0000-00005B0C0000}"/>
    <cellStyle name="Percent 4 7" xfId="3164" xr:uid="{00000000-0005-0000-0000-00005C0C0000}"/>
    <cellStyle name="Percent 5" xfId="3165" xr:uid="{00000000-0005-0000-0000-00005D0C0000}"/>
    <cellStyle name="Percent 5 2" xfId="3166" xr:uid="{00000000-0005-0000-0000-00005E0C0000}"/>
    <cellStyle name="Percent 5 2 2" xfId="3167" xr:uid="{00000000-0005-0000-0000-00005F0C0000}"/>
    <cellStyle name="Percent 5 2 3" xfId="3168" xr:uid="{00000000-0005-0000-0000-0000600C0000}"/>
    <cellStyle name="Percent 5 2 4" xfId="3169" xr:uid="{00000000-0005-0000-0000-0000610C0000}"/>
    <cellStyle name="Percent 5 2 5" xfId="3170" xr:uid="{00000000-0005-0000-0000-0000620C0000}"/>
    <cellStyle name="Percent 5 3" xfId="3171" xr:uid="{00000000-0005-0000-0000-0000630C0000}"/>
    <cellStyle name="Percent 5 4" xfId="3172" xr:uid="{00000000-0005-0000-0000-0000640C0000}"/>
    <cellStyle name="Percent 6" xfId="3173" xr:uid="{00000000-0005-0000-0000-0000650C0000}"/>
    <cellStyle name="Percent 6 2" xfId="3174" xr:uid="{00000000-0005-0000-0000-0000660C0000}"/>
    <cellStyle name="Percent 6 3" xfId="3175" xr:uid="{00000000-0005-0000-0000-0000670C0000}"/>
    <cellStyle name="Percent 6 4" xfId="3176" xr:uid="{00000000-0005-0000-0000-0000680C0000}"/>
    <cellStyle name="Percent 7" xfId="3177" xr:uid="{00000000-0005-0000-0000-0000690C0000}"/>
    <cellStyle name="Percent 7 2" xfId="3178" xr:uid="{00000000-0005-0000-0000-00006A0C0000}"/>
    <cellStyle name="Percent 7 2 2" xfId="3179" xr:uid="{00000000-0005-0000-0000-00006B0C0000}"/>
    <cellStyle name="Percent 7 2 3" xfId="3180" xr:uid="{00000000-0005-0000-0000-00006C0C0000}"/>
    <cellStyle name="Percent 7 3" xfId="3181" xr:uid="{00000000-0005-0000-0000-00006D0C0000}"/>
    <cellStyle name="Percent 7 4" xfId="3182" xr:uid="{00000000-0005-0000-0000-00006E0C0000}"/>
    <cellStyle name="Percent 7 5" xfId="3183" xr:uid="{00000000-0005-0000-0000-00006F0C0000}"/>
    <cellStyle name="Percent 8" xfId="3184" xr:uid="{00000000-0005-0000-0000-0000700C0000}"/>
    <cellStyle name="Percent 8 2" xfId="3185" xr:uid="{00000000-0005-0000-0000-0000710C0000}"/>
    <cellStyle name="Percent 8 3" xfId="3186" xr:uid="{00000000-0005-0000-0000-0000720C0000}"/>
    <cellStyle name="Percent 8 4" xfId="3187" xr:uid="{00000000-0005-0000-0000-0000730C0000}"/>
    <cellStyle name="Percent 9" xfId="3188" xr:uid="{00000000-0005-0000-0000-0000740C0000}"/>
    <cellStyle name="Percent 9 2" xfId="3189" xr:uid="{00000000-0005-0000-0000-0000750C0000}"/>
    <cellStyle name="Pourcentage 2" xfId="3190" xr:uid="{00000000-0005-0000-0000-0000760C0000}"/>
    <cellStyle name="Pourcentage 2 2" xfId="3191" xr:uid="{00000000-0005-0000-0000-0000770C0000}"/>
    <cellStyle name="Pourcentage 3" xfId="3192" xr:uid="{00000000-0005-0000-0000-0000780C0000}"/>
    <cellStyle name="Pourcentage 3 2" xfId="3193" xr:uid="{00000000-0005-0000-0000-0000790C0000}"/>
    <cellStyle name="Section Break" xfId="3194" xr:uid="{00000000-0005-0000-0000-00007A0C0000}"/>
    <cellStyle name="Section Break 2" xfId="3195" xr:uid="{00000000-0005-0000-0000-00007B0C0000}"/>
    <cellStyle name="Section Break: parent row" xfId="3196" xr:uid="{00000000-0005-0000-0000-00007C0C0000}"/>
    <cellStyle name="Section Break: parent row 2" xfId="3197" xr:uid="{00000000-0005-0000-0000-00007D0C0000}"/>
    <cellStyle name="Standard_Sce_D_Extraction" xfId="3198" xr:uid="{00000000-0005-0000-0000-00007E0C0000}"/>
    <cellStyle name="Style 1" xfId="3199" xr:uid="{00000000-0005-0000-0000-00007F0C0000}"/>
    <cellStyle name="Style 26" xfId="3200" xr:uid="{00000000-0005-0000-0000-0000800C0000}"/>
    <cellStyle name="Style 27" xfId="3201" xr:uid="{00000000-0005-0000-0000-0000810C0000}"/>
    <cellStyle name="Style 29" xfId="3202" xr:uid="{00000000-0005-0000-0000-0000820C0000}"/>
    <cellStyle name="Style 34" xfId="3203" xr:uid="{00000000-0005-0000-0000-0000830C0000}"/>
    <cellStyle name="Style 34 2" xfId="3204" xr:uid="{00000000-0005-0000-0000-0000840C0000}"/>
    <cellStyle name="Style 35" xfId="3205" xr:uid="{00000000-0005-0000-0000-0000850C0000}"/>
    <cellStyle name="Style 35 2" xfId="3206" xr:uid="{00000000-0005-0000-0000-0000860C0000}"/>
    <cellStyle name="Style 36" xfId="3207" xr:uid="{00000000-0005-0000-0000-0000870C0000}"/>
    <cellStyle name="Style 36 2" xfId="3208" xr:uid="{00000000-0005-0000-0000-0000880C0000}"/>
    <cellStyle name="Table title" xfId="3209" xr:uid="{00000000-0005-0000-0000-0000890C0000}"/>
    <cellStyle name="Table title 2" xfId="3210" xr:uid="{00000000-0005-0000-0000-00008A0C0000}"/>
    <cellStyle name="Title 2" xfId="3211" xr:uid="{00000000-0005-0000-0000-00008B0C0000}"/>
    <cellStyle name="Title 2 2" xfId="3212" xr:uid="{00000000-0005-0000-0000-00008C0C0000}"/>
    <cellStyle name="Title 2 3" xfId="3213" xr:uid="{00000000-0005-0000-0000-00008D0C0000}"/>
    <cellStyle name="Title 2 4" xfId="3214" xr:uid="{00000000-0005-0000-0000-00008E0C0000}"/>
    <cellStyle name="Title 3" xfId="3215" xr:uid="{00000000-0005-0000-0000-00008F0C0000}"/>
    <cellStyle name="Title 3 2" xfId="3216" xr:uid="{00000000-0005-0000-0000-0000900C0000}"/>
    <cellStyle name="Title 4" xfId="3217" xr:uid="{00000000-0005-0000-0000-0000910C0000}"/>
    <cellStyle name="Title 5" xfId="3218" xr:uid="{00000000-0005-0000-0000-0000920C0000}"/>
    <cellStyle name="Total 2" xfId="3219" xr:uid="{00000000-0005-0000-0000-0000930C0000}"/>
    <cellStyle name="Total 2 2" xfId="3220" xr:uid="{00000000-0005-0000-0000-0000940C0000}"/>
    <cellStyle name="Total 2 3" xfId="3221" xr:uid="{00000000-0005-0000-0000-0000950C0000}"/>
    <cellStyle name="Total 3" xfId="3222" xr:uid="{00000000-0005-0000-0000-0000960C0000}"/>
    <cellStyle name="Total 3 2" xfId="3223" xr:uid="{00000000-0005-0000-0000-0000970C0000}"/>
    <cellStyle name="Total 4" xfId="3224" xr:uid="{00000000-0005-0000-0000-0000980C0000}"/>
    <cellStyle name="Warning Text 2" xfId="3225" xr:uid="{00000000-0005-0000-0000-0000990C0000}"/>
    <cellStyle name="Warning Text 2 2" xfId="3226" xr:uid="{00000000-0005-0000-0000-00009A0C0000}"/>
    <cellStyle name="Warning Text 2 3" xfId="3227" xr:uid="{00000000-0005-0000-0000-00009B0C0000}"/>
    <cellStyle name="Warning Text 3" xfId="3228" xr:uid="{00000000-0005-0000-0000-00009C0C0000}"/>
    <cellStyle name="Warning Text 3 2" xfId="3229" xr:uid="{00000000-0005-0000-0000-00009D0C0000}"/>
    <cellStyle name="Warning Text 4" xfId="3230" xr:uid="{00000000-0005-0000-0000-00009E0C0000}"/>
    <cellStyle name="Обычный 2" xfId="3231" xr:uid="{00000000-0005-0000-0000-00009F0C0000}"/>
    <cellStyle name="Обычный 2 2" xfId="3232" xr:uid="{00000000-0005-0000-0000-0000A00C0000}"/>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1436157</xdr:colOff>
      <xdr:row>0</xdr:row>
      <xdr:rowOff>22225</xdr:rowOff>
    </xdr:from>
    <xdr:to>
      <xdr:col>7</xdr:col>
      <xdr:colOff>46997</xdr:colOff>
      <xdr:row>0</xdr:row>
      <xdr:rowOff>939218</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4708947" y="18415"/>
          <a:ext cx="3510500" cy="916993"/>
        </a:xfrm>
        <a:prstGeom prst="rect">
          <a:avLst/>
        </a:prstGeom>
        <a:ln w="3175">
          <a:noFill/>
          <a:prstDash val="solid"/>
        </a:ln>
      </xdr:spPr>
    </xdr:pic>
    <xdr:clientData/>
  </xdr:twoCellAnchor>
  <xdr:twoCellAnchor editAs="oneCell">
    <xdr:from>
      <xdr:col>2</xdr:col>
      <xdr:colOff>1765086</xdr:colOff>
      <xdr:row>342</xdr:row>
      <xdr:rowOff>87312</xdr:rowOff>
    </xdr:from>
    <xdr:to>
      <xdr:col>8</xdr:col>
      <xdr:colOff>160540</xdr:colOff>
      <xdr:row>374</xdr:row>
      <xdr:rowOff>49661</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3016671" y="62325567"/>
          <a:ext cx="6823174" cy="5326829"/>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ecfr.gov/cgi-bin/text-idx?SID=ae265d7d6f98ec86fcd8640b9793a3f6&amp;mc=true&amp;node=pt40.23.98&amp;rgn=div5" TargetMode="External"/><Relationship Id="rId1" Type="http://schemas.openxmlformats.org/officeDocument/2006/relationships/hyperlink" Target="https://www.ecfr.gov/cgi-bin/text-idx?SID=ae265d7d6f98ec86fcd8640b9793a3f6&amp;mc=true&amp;node=pt40.23.98&amp;rgn=div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election activeCell="K26" sqref="K26"/>
    </sheetView>
  </sheetViews>
  <sheetFormatPr defaultColWidth="8.85546875" defaultRowHeight="15"/>
  <cols>
    <col min="1" max="29" width="8.85546875" style="5" customWidth="1"/>
    <col min="30" max="16384" width="8.85546875" style="5"/>
  </cols>
  <sheetData>
    <row r="1" spans="1:3" s="4" customFormat="1" ht="23.45" customHeight="1">
      <c r="A1" s="4" t="s">
        <v>0</v>
      </c>
    </row>
    <row r="2" spans="1:3" s="4" customFormat="1" ht="23.45" customHeight="1"/>
    <row r="3" spans="1:3">
      <c r="B3" s="6" t="s">
        <v>1</v>
      </c>
    </row>
    <row r="4" spans="1:3">
      <c r="B4" s="7"/>
      <c r="C4" s="5" t="s">
        <v>2</v>
      </c>
    </row>
    <row r="6" spans="1:3">
      <c r="B6" s="8"/>
      <c r="C6" s="5" t="s">
        <v>3</v>
      </c>
    </row>
    <row r="8" spans="1:3">
      <c r="B8" s="9"/>
      <c r="C8" s="5" t="s">
        <v>4</v>
      </c>
    </row>
    <row r="10" spans="1:3">
      <c r="B10" s="10"/>
      <c r="C10" s="5"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
  <sheetViews>
    <sheetView workbookViewId="0">
      <selection activeCell="K26" sqref="K26"/>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54"/>
  <sheetViews>
    <sheetView topLeftCell="A6" zoomScaleNormal="100" workbookViewId="0">
      <selection activeCell="I18" sqref="I17:I18"/>
    </sheetView>
  </sheetViews>
  <sheetFormatPr defaultColWidth="8.85546875" defaultRowHeight="15"/>
  <cols>
    <col min="1" max="1" width="8.85546875" style="5" customWidth="1"/>
    <col min="2" max="2" width="47.7109375" style="5" customWidth="1"/>
    <col min="3" max="3" width="26.140625" style="5" customWidth="1"/>
    <col min="4" max="4" width="14.42578125" style="5" customWidth="1"/>
    <col min="5" max="13" width="10.85546875" style="5" customWidth="1"/>
    <col min="14" max="42" width="8.85546875" style="5" customWidth="1"/>
    <col min="43" max="16384" width="8.85546875" style="5"/>
  </cols>
  <sheetData>
    <row r="2" spans="2:4" ht="18" customHeight="1" thickBot="1">
      <c r="B2" t="s">
        <v>6</v>
      </c>
    </row>
    <row r="3" spans="2:4" ht="15" customHeight="1" thickTop="1"/>
    <row r="4" spans="2:4" ht="15" customHeight="1" thickBot="1">
      <c r="B4" t="s">
        <v>7</v>
      </c>
      <c r="C4" t="s">
        <v>8</v>
      </c>
    </row>
    <row r="6" spans="2:4">
      <c r="B6" t="s">
        <v>9</v>
      </c>
    </row>
    <row r="7" spans="2:4" ht="15" customHeight="1" thickBot="1">
      <c r="B7" t="s">
        <v>10</v>
      </c>
      <c r="C7" t="s">
        <v>11</v>
      </c>
      <c r="D7" t="s">
        <v>12</v>
      </c>
    </row>
    <row r="8" spans="2:4">
      <c r="B8" t="s">
        <v>13</v>
      </c>
      <c r="C8" t="s">
        <v>14</v>
      </c>
    </row>
    <row r="9" spans="2:4">
      <c r="B9" t="s">
        <v>15</v>
      </c>
      <c r="C9">
        <v>40.5</v>
      </c>
    </row>
    <row r="10" spans="2:4">
      <c r="B10" t="s">
        <v>16</v>
      </c>
      <c r="C10">
        <v>-75</v>
      </c>
    </row>
    <row r="11" spans="2:4">
      <c r="B11" t="s">
        <v>17</v>
      </c>
      <c r="C11" t="s">
        <v>18</v>
      </c>
    </row>
    <row r="12" spans="2:4">
      <c r="B12" t="s">
        <v>19</v>
      </c>
      <c r="C12" t="s">
        <v>14</v>
      </c>
    </row>
    <row r="13" spans="2:4">
      <c r="B13" t="s">
        <v>20</v>
      </c>
      <c r="C13" t="s">
        <v>21</v>
      </c>
    </row>
    <row r="14" spans="2:4">
      <c r="B14" t="s">
        <v>22</v>
      </c>
      <c r="C14" t="s">
        <v>23</v>
      </c>
    </row>
    <row r="15" spans="2:4">
      <c r="B15" t="s">
        <v>24</v>
      </c>
      <c r="C15" t="s">
        <v>25</v>
      </c>
    </row>
    <row r="16" spans="2:4">
      <c r="B16" t="s">
        <v>26</v>
      </c>
      <c r="C16">
        <v>778</v>
      </c>
      <c r="D16" t="s">
        <v>27</v>
      </c>
    </row>
    <row r="17" spans="2:4">
      <c r="B17" t="s">
        <v>28</v>
      </c>
    </row>
    <row r="18" spans="2:4">
      <c r="B18" t="s">
        <v>29</v>
      </c>
    </row>
    <row r="19" spans="2:4" ht="15" customHeight="1" thickBot="1">
      <c r="B19" t="s">
        <v>30</v>
      </c>
      <c r="C19" t="s">
        <v>11</v>
      </c>
      <c r="D19" t="s">
        <v>12</v>
      </c>
    </row>
    <row r="20" spans="2:4">
      <c r="B20" t="s">
        <v>31</v>
      </c>
      <c r="C20">
        <v>2019</v>
      </c>
      <c r="D20" t="s">
        <v>32</v>
      </c>
    </row>
    <row r="21" spans="2:4">
      <c r="B21" t="s">
        <v>33</v>
      </c>
      <c r="C21">
        <v>2050</v>
      </c>
    </row>
    <row r="23" spans="2:4">
      <c r="B23" t="s">
        <v>34</v>
      </c>
    </row>
    <row r="24" spans="2:4" ht="15" customHeight="1" thickBot="1">
      <c r="B24" t="s">
        <v>10</v>
      </c>
      <c r="C24" t="s">
        <v>11</v>
      </c>
      <c r="D24" t="s">
        <v>12</v>
      </c>
    </row>
    <row r="25" spans="2:4">
      <c r="B25" t="s">
        <v>35</v>
      </c>
      <c r="C25">
        <v>8337</v>
      </c>
      <c r="D25" t="s">
        <v>36</v>
      </c>
    </row>
    <row r="26" spans="2:4">
      <c r="B26" t="s">
        <v>37</v>
      </c>
      <c r="C26">
        <v>0.5</v>
      </c>
      <c r="D26" t="s">
        <v>38</v>
      </c>
    </row>
    <row r="27" spans="2:4">
      <c r="B27" t="s">
        <v>39</v>
      </c>
      <c r="C27">
        <v>1206000</v>
      </c>
      <c r="D27" t="s">
        <v>40</v>
      </c>
    </row>
    <row r="28" spans="2:4">
      <c r="B28" t="s">
        <v>41</v>
      </c>
      <c r="C28">
        <v>2</v>
      </c>
      <c r="D28" t="s">
        <v>42</v>
      </c>
    </row>
    <row r="29" spans="2:4">
      <c r="B29" t="s">
        <v>43</v>
      </c>
      <c r="C29">
        <v>5</v>
      </c>
      <c r="D29" t="s">
        <v>42</v>
      </c>
    </row>
    <row r="30" spans="2:4">
      <c r="B30" t="s">
        <v>44</v>
      </c>
      <c r="C30">
        <v>0.42835123053999902</v>
      </c>
    </row>
    <row r="31" spans="2:4">
      <c r="B31" t="s">
        <v>45</v>
      </c>
      <c r="C31">
        <v>0.67251771953144812</v>
      </c>
    </row>
    <row r="32" spans="2:4">
      <c r="B32" t="s">
        <v>46</v>
      </c>
      <c r="C32">
        <v>1.063829787234043</v>
      </c>
    </row>
    <row r="34" spans="2:6">
      <c r="B34" t="s">
        <v>47</v>
      </c>
    </row>
    <row r="35" spans="2:6" ht="15" customHeight="1" thickBot="1">
      <c r="B35" t="s">
        <v>10</v>
      </c>
      <c r="C35">
        <v>2000</v>
      </c>
      <c r="D35">
        <v>2050</v>
      </c>
      <c r="E35">
        <v>2100</v>
      </c>
      <c r="F35" t="s">
        <v>12</v>
      </c>
    </row>
    <row r="36" spans="2:6">
      <c r="B36" t="s">
        <v>48</v>
      </c>
      <c r="C36">
        <v>4473.4625000000005</v>
      </c>
      <c r="D36">
        <v>4066.4182142857139</v>
      </c>
      <c r="E36">
        <v>3763.8582142857172</v>
      </c>
      <c r="F36" t="s">
        <v>49</v>
      </c>
    </row>
    <row r="37" spans="2:6">
      <c r="B37" t="s">
        <v>50</v>
      </c>
      <c r="C37">
        <v>1020.733333333334</v>
      </c>
      <c r="D37">
        <v>1224.255476190476</v>
      </c>
      <c r="E37">
        <v>1375.5354761904771</v>
      </c>
      <c r="F37" t="s">
        <v>49</v>
      </c>
    </row>
    <row r="39" spans="2:6" ht="15" customHeight="1" thickBot="1">
      <c r="B39" t="s">
        <v>10</v>
      </c>
      <c r="C39" t="s">
        <v>11</v>
      </c>
      <c r="D39" t="s">
        <v>12</v>
      </c>
    </row>
    <row r="40" spans="2:6">
      <c r="B40" t="s">
        <v>51</v>
      </c>
      <c r="C40">
        <v>0.72727402048447432</v>
      </c>
    </row>
    <row r="41" spans="2:6">
      <c r="B41" t="s">
        <v>52</v>
      </c>
      <c r="C41">
        <v>1.558371501272265</v>
      </c>
    </row>
    <row r="42" spans="2:6">
      <c r="B42" t="s">
        <v>53</v>
      </c>
      <c r="C42">
        <v>762</v>
      </c>
      <c r="D42" t="s">
        <v>54</v>
      </c>
    </row>
    <row r="43" spans="2:6">
      <c r="B43" t="s">
        <v>55</v>
      </c>
      <c r="C43" t="s">
        <v>56</v>
      </c>
    </row>
    <row r="44" spans="2:6">
      <c r="B44" t="s">
        <v>57</v>
      </c>
      <c r="C44">
        <v>1.461785714285714</v>
      </c>
      <c r="D44" t="s">
        <v>49</v>
      </c>
    </row>
    <row r="45" spans="2:6">
      <c r="B45" t="s">
        <v>58</v>
      </c>
      <c r="C45">
        <v>3.13</v>
      </c>
      <c r="D45" t="s">
        <v>49</v>
      </c>
    </row>
    <row r="46" spans="2:6">
      <c r="B46" t="s">
        <v>59</v>
      </c>
      <c r="C46">
        <v>4.37</v>
      </c>
      <c r="D46" t="s">
        <v>49</v>
      </c>
    </row>
    <row r="47" spans="2:6">
      <c r="B47" t="s">
        <v>60</v>
      </c>
    </row>
    <row r="48" spans="2:6">
      <c r="B48" t="s">
        <v>61</v>
      </c>
    </row>
    <row r="49" spans="2:4" ht="15" customHeight="1" thickBot="1">
      <c r="B49" t="s">
        <v>10</v>
      </c>
      <c r="C49" t="s">
        <v>11</v>
      </c>
      <c r="D49" t="s">
        <v>12</v>
      </c>
    </row>
    <row r="50" spans="2:4">
      <c r="B50" t="s">
        <v>62</v>
      </c>
      <c r="C50" t="s">
        <v>63</v>
      </c>
    </row>
    <row r="51" spans="2:4">
      <c r="B51" t="s">
        <v>64</v>
      </c>
      <c r="C51" t="s">
        <v>65</v>
      </c>
    </row>
    <row r="52" spans="2:4">
      <c r="B52" t="s">
        <v>66</v>
      </c>
      <c r="C52" t="s">
        <v>67</v>
      </c>
    </row>
    <row r="53" spans="2:4">
      <c r="B53" t="s">
        <v>68</v>
      </c>
      <c r="C53" t="s">
        <v>69</v>
      </c>
    </row>
    <row r="54" spans="2:4">
      <c r="B54"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
  <sheetViews>
    <sheetView workbookViewId="0">
      <selection activeCell="K26" sqref="K26"/>
    </sheetView>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66"/>
  <sheetViews>
    <sheetView topLeftCell="A31" zoomScale="85" zoomScaleNormal="85" workbookViewId="0">
      <selection sqref="A1:XFD1048576"/>
    </sheetView>
  </sheetViews>
  <sheetFormatPr defaultRowHeight="15"/>
  <cols>
    <col min="1" max="1" width="12.140625" customWidth="1"/>
    <col min="2" max="2" width="38.140625" bestFit="1" customWidth="1"/>
    <col min="3" max="3" width="24.7109375" customWidth="1"/>
    <col min="5" max="5" width="23" customWidth="1"/>
    <col min="6" max="6" width="23.7109375" customWidth="1"/>
    <col min="7" max="7" width="21.140625" customWidth="1"/>
    <col min="8" max="8" width="20.140625" bestFit="1" customWidth="1"/>
    <col min="9" max="9" width="17.28515625" bestFit="1" customWidth="1"/>
    <col min="10" max="10" width="17.7109375" bestFit="1" customWidth="1"/>
    <col min="11" max="11" width="17.28515625" bestFit="1" customWidth="1"/>
    <col min="12" max="15" width="17.7109375" bestFit="1" customWidth="1"/>
    <col min="16" max="16" width="17.28515625" bestFit="1" customWidth="1"/>
    <col min="17" max="21" width="17.7109375" bestFit="1" customWidth="1"/>
    <col min="22" max="22" width="17.28515625" bestFit="1" customWidth="1"/>
    <col min="23" max="24" width="17.7109375" bestFit="1" customWidth="1"/>
  </cols>
  <sheetData>
    <row r="1" spans="1:24">
      <c r="A1" t="s">
        <v>71</v>
      </c>
      <c r="B1" t="s">
        <v>72</v>
      </c>
      <c r="C1" t="s">
        <v>73</v>
      </c>
      <c r="D1" t="s">
        <v>74</v>
      </c>
      <c r="E1" t="s">
        <v>75</v>
      </c>
      <c r="F1" t="s">
        <v>76</v>
      </c>
      <c r="G1">
        <v>2019</v>
      </c>
      <c r="H1">
        <v>2020</v>
      </c>
      <c r="I1">
        <v>2025</v>
      </c>
      <c r="J1">
        <v>2030</v>
      </c>
      <c r="K1">
        <v>2035</v>
      </c>
      <c r="L1">
        <v>2040</v>
      </c>
      <c r="M1">
        <v>2045</v>
      </c>
      <c r="N1">
        <v>2050</v>
      </c>
      <c r="O1">
        <v>2055</v>
      </c>
      <c r="P1">
        <v>2060</v>
      </c>
      <c r="Q1">
        <v>2065</v>
      </c>
      <c r="R1">
        <v>2070</v>
      </c>
      <c r="S1">
        <v>2075</v>
      </c>
      <c r="T1">
        <v>2080</v>
      </c>
      <c r="U1">
        <v>2085</v>
      </c>
      <c r="V1">
        <v>2090</v>
      </c>
      <c r="W1">
        <v>2095</v>
      </c>
      <c r="X1">
        <v>2100</v>
      </c>
    </row>
    <row r="2" spans="1:24">
      <c r="A2" t="s">
        <v>77</v>
      </c>
      <c r="B2" t="s">
        <v>78</v>
      </c>
      <c r="D2" t="s">
        <v>79</v>
      </c>
      <c r="E2" t="s">
        <v>80</v>
      </c>
      <c r="F2" t="s">
        <v>81</v>
      </c>
      <c r="G2">
        <v>11.97870118205155</v>
      </c>
      <c r="H2">
        <v>11.97870118205155</v>
      </c>
      <c r="I2">
        <v>11.97870118205155</v>
      </c>
      <c r="J2">
        <v>11.97870118205155</v>
      </c>
      <c r="K2">
        <v>11.97870118205155</v>
      </c>
      <c r="L2">
        <v>11.97870118205155</v>
      </c>
      <c r="M2">
        <v>11.97870118205155</v>
      </c>
      <c r="N2">
        <v>11.97870118205155</v>
      </c>
      <c r="O2">
        <v>11.97870118205155</v>
      </c>
      <c r="P2">
        <v>11.97870118205155</v>
      </c>
      <c r="Q2">
        <v>11.97870118205155</v>
      </c>
      <c r="R2">
        <v>11.97870118205155</v>
      </c>
      <c r="S2">
        <v>11.97870118205155</v>
      </c>
      <c r="T2">
        <v>11.97870118205155</v>
      </c>
      <c r="U2">
        <v>11.97870118205155</v>
      </c>
      <c r="V2">
        <v>11.97870118205155</v>
      </c>
      <c r="W2">
        <v>11.97870118205155</v>
      </c>
      <c r="X2">
        <v>11.97870118205155</v>
      </c>
    </row>
    <row r="3" spans="1:24">
      <c r="A3" t="s">
        <v>77</v>
      </c>
      <c r="B3" t="s">
        <v>82</v>
      </c>
      <c r="D3" t="s">
        <v>79</v>
      </c>
      <c r="E3" t="s">
        <v>83</v>
      </c>
      <c r="F3" t="s">
        <v>81</v>
      </c>
      <c r="G3">
        <v>23.081056453704559</v>
      </c>
      <c r="H3">
        <v>23.081056453704559</v>
      </c>
      <c r="I3">
        <v>23.081056453704559</v>
      </c>
      <c r="J3">
        <v>23.081056453704559</v>
      </c>
      <c r="K3">
        <v>23.081056453704559</v>
      </c>
      <c r="L3">
        <v>23.081056453704559</v>
      </c>
      <c r="M3">
        <v>23.081056453704559</v>
      </c>
      <c r="N3">
        <v>23.081056453704559</v>
      </c>
      <c r="O3">
        <v>23.081056453704559</v>
      </c>
      <c r="P3">
        <v>23.081056453704559</v>
      </c>
      <c r="Q3">
        <v>23.081056453704559</v>
      </c>
      <c r="R3">
        <v>23.081056453704559</v>
      </c>
      <c r="S3">
        <v>23.081056453704559</v>
      </c>
      <c r="T3">
        <v>23.081056453704559</v>
      </c>
      <c r="U3">
        <v>23.081056453704559</v>
      </c>
      <c r="V3">
        <v>23.081056453704559</v>
      </c>
      <c r="W3">
        <v>23.081056453704559</v>
      </c>
      <c r="X3">
        <v>23.081056453704559</v>
      </c>
    </row>
    <row r="4" spans="1:24">
      <c r="A4" t="s">
        <v>77</v>
      </c>
      <c r="B4" t="s">
        <v>84</v>
      </c>
      <c r="D4" t="s">
        <v>79</v>
      </c>
      <c r="E4" t="s">
        <v>85</v>
      </c>
      <c r="F4" t="s">
        <v>81</v>
      </c>
      <c r="G4">
        <v>73.164818964644439</v>
      </c>
      <c r="H4">
        <v>73.164818964644439</v>
      </c>
      <c r="I4">
        <v>73.164818964644439</v>
      </c>
      <c r="J4">
        <v>73.164818964644439</v>
      </c>
      <c r="K4">
        <v>73.164818964644439</v>
      </c>
      <c r="L4">
        <v>73.164818964644439</v>
      </c>
      <c r="M4">
        <v>73.164818964644439</v>
      </c>
      <c r="N4">
        <v>73.164818964644439</v>
      </c>
      <c r="O4">
        <v>73.164818964644439</v>
      </c>
      <c r="P4">
        <v>73.164818964644439</v>
      </c>
      <c r="Q4">
        <v>73.164818964644439</v>
      </c>
      <c r="R4">
        <v>73.164818964644439</v>
      </c>
      <c r="S4">
        <v>73.164818964644439</v>
      </c>
      <c r="T4">
        <v>73.164818964644439</v>
      </c>
      <c r="U4">
        <v>73.164818964644439</v>
      </c>
      <c r="V4">
        <v>73.164818964644439</v>
      </c>
      <c r="W4">
        <v>73.164818964644439</v>
      </c>
      <c r="X4">
        <v>73.164818964644439</v>
      </c>
    </row>
    <row r="5" spans="1:24">
      <c r="A5" t="s">
        <v>77</v>
      </c>
      <c r="B5" t="s">
        <v>86</v>
      </c>
      <c r="D5" t="s">
        <v>79</v>
      </c>
      <c r="E5" t="s">
        <v>87</v>
      </c>
      <c r="F5" t="s">
        <v>81</v>
      </c>
      <c r="G5">
        <v>44.382259283666471</v>
      </c>
      <c r="H5">
        <v>44.382259283666471</v>
      </c>
      <c r="I5">
        <v>44.382259283666471</v>
      </c>
      <c r="J5">
        <v>44.382259283666471</v>
      </c>
      <c r="K5">
        <v>44.382259283666471</v>
      </c>
      <c r="L5">
        <v>44.382259283666471</v>
      </c>
      <c r="M5">
        <v>44.382259283666471</v>
      </c>
      <c r="N5">
        <v>44.382259283666471</v>
      </c>
      <c r="O5">
        <v>44.382259283666471</v>
      </c>
      <c r="P5">
        <v>44.382259283666471</v>
      </c>
      <c r="Q5">
        <v>44.382259283666471</v>
      </c>
      <c r="R5">
        <v>44.382259283666471</v>
      </c>
      <c r="S5">
        <v>44.382259283666471</v>
      </c>
      <c r="T5">
        <v>44.382259283666471</v>
      </c>
      <c r="U5">
        <v>44.382259283666471</v>
      </c>
      <c r="V5">
        <v>44.382259283666471</v>
      </c>
      <c r="W5">
        <v>44.382259283666471</v>
      </c>
      <c r="X5">
        <v>44.382259283666471</v>
      </c>
    </row>
    <row r="6" spans="1:24">
      <c r="A6" t="s">
        <v>77</v>
      </c>
      <c r="B6" t="s">
        <v>88</v>
      </c>
      <c r="D6" t="s">
        <v>79</v>
      </c>
      <c r="E6" t="s">
        <v>89</v>
      </c>
      <c r="F6" t="s">
        <v>81</v>
      </c>
      <c r="G6">
        <v>48.565496275889338</v>
      </c>
      <c r="H6">
        <v>48.565496275889338</v>
      </c>
      <c r="I6">
        <v>48.565496275889338</v>
      </c>
      <c r="J6">
        <v>48.565496275889338</v>
      </c>
      <c r="K6">
        <v>48.565496275889338</v>
      </c>
      <c r="L6">
        <v>48.565496275889338</v>
      </c>
      <c r="M6">
        <v>48.565496275889338</v>
      </c>
      <c r="N6">
        <v>48.565496275889338</v>
      </c>
      <c r="O6">
        <v>48.565496275889338</v>
      </c>
      <c r="P6">
        <v>48.565496275889338</v>
      </c>
      <c r="Q6">
        <v>48.565496275889338</v>
      </c>
      <c r="R6">
        <v>48.565496275889338</v>
      </c>
      <c r="S6">
        <v>48.565496275889338</v>
      </c>
      <c r="T6">
        <v>48.565496275889338</v>
      </c>
      <c r="U6">
        <v>48.565496275889338</v>
      </c>
      <c r="V6">
        <v>48.565496275889338</v>
      </c>
      <c r="W6">
        <v>48.565496275889338</v>
      </c>
      <c r="X6">
        <v>48.565496275889338</v>
      </c>
    </row>
    <row r="7" spans="1:24">
      <c r="A7" t="s">
        <v>77</v>
      </c>
      <c r="B7" t="s">
        <v>90</v>
      </c>
      <c r="D7" t="s">
        <v>79</v>
      </c>
      <c r="E7" t="s">
        <v>91</v>
      </c>
      <c r="F7" t="s">
        <v>81</v>
      </c>
      <c r="G7">
        <v>32.733586523867501</v>
      </c>
      <c r="H7">
        <v>32.733586523867501</v>
      </c>
      <c r="I7">
        <v>32.733586523867501</v>
      </c>
      <c r="J7">
        <v>32.733586523867501</v>
      </c>
      <c r="K7">
        <v>32.733586523867501</v>
      </c>
      <c r="L7">
        <v>32.733586523867501</v>
      </c>
      <c r="M7">
        <v>32.733586523867501</v>
      </c>
      <c r="N7">
        <v>32.733586523867501</v>
      </c>
      <c r="O7">
        <v>32.733586523867501</v>
      </c>
      <c r="P7">
        <v>32.733586523867501</v>
      </c>
      <c r="Q7">
        <v>32.733586523867501</v>
      </c>
      <c r="R7">
        <v>32.733586523867501</v>
      </c>
      <c r="S7">
        <v>32.733586523867501</v>
      </c>
      <c r="T7">
        <v>32.733586523867501</v>
      </c>
      <c r="U7">
        <v>32.733586523867501</v>
      </c>
      <c r="V7">
        <v>32.733586523867501</v>
      </c>
      <c r="W7">
        <v>32.733586523867501</v>
      </c>
      <c r="X7">
        <v>32.733586523867501</v>
      </c>
    </row>
    <row r="8" spans="1:24">
      <c r="A8" t="s">
        <v>77</v>
      </c>
      <c r="B8" t="s">
        <v>92</v>
      </c>
      <c r="D8" t="s">
        <v>79</v>
      </c>
      <c r="E8" t="s">
        <v>93</v>
      </c>
      <c r="F8" t="s">
        <v>81</v>
      </c>
      <c r="G8">
        <v>16.841332845916298</v>
      </c>
      <c r="H8">
        <v>16.841332845916298</v>
      </c>
      <c r="I8">
        <v>16.841332845916298</v>
      </c>
      <c r="J8">
        <v>16.841332845916298</v>
      </c>
      <c r="K8">
        <v>16.841332845916298</v>
      </c>
      <c r="L8">
        <v>16.841332845916298</v>
      </c>
      <c r="M8">
        <v>16.841332845916298</v>
      </c>
      <c r="N8">
        <v>16.841332845916298</v>
      </c>
      <c r="O8">
        <v>16.841332845916298</v>
      </c>
      <c r="P8">
        <v>16.841332845916298</v>
      </c>
      <c r="Q8">
        <v>16.841332845916298</v>
      </c>
      <c r="R8">
        <v>16.841332845916298</v>
      </c>
      <c r="S8">
        <v>16.841332845916298</v>
      </c>
      <c r="T8">
        <v>16.841332845916298</v>
      </c>
      <c r="U8">
        <v>16.841332845916298</v>
      </c>
      <c r="V8">
        <v>16.841332845916298</v>
      </c>
      <c r="W8">
        <v>16.841332845916298</v>
      </c>
      <c r="X8">
        <v>16.841332845916298</v>
      </c>
    </row>
    <row r="9" spans="1:24">
      <c r="A9" t="s">
        <v>77</v>
      </c>
      <c r="B9" t="s">
        <v>94</v>
      </c>
      <c r="D9" t="s">
        <v>79</v>
      </c>
      <c r="E9" t="s">
        <v>95</v>
      </c>
      <c r="F9" t="s">
        <v>81</v>
      </c>
      <c r="G9">
        <v>8.7602804457077657</v>
      </c>
      <c r="H9">
        <v>8.7602804457077657</v>
      </c>
      <c r="I9">
        <v>8.7602804457077657</v>
      </c>
      <c r="J9">
        <v>8.7602804457077657</v>
      </c>
      <c r="K9">
        <v>8.7602804457077657</v>
      </c>
      <c r="L9">
        <v>8.7602804457077657</v>
      </c>
      <c r="M9">
        <v>8.7602804457077657</v>
      </c>
      <c r="N9">
        <v>8.7602804457077657</v>
      </c>
      <c r="O9">
        <v>8.7602804457077657</v>
      </c>
      <c r="P9">
        <v>8.7602804457077657</v>
      </c>
      <c r="Q9">
        <v>8.7602804457077657</v>
      </c>
      <c r="R9">
        <v>8.7602804457077657</v>
      </c>
      <c r="S9">
        <v>8.7602804457077657</v>
      </c>
      <c r="T9">
        <v>8.7602804457077657</v>
      </c>
      <c r="U9">
        <v>8.7602804457077657</v>
      </c>
      <c r="V9">
        <v>8.7602804457077657</v>
      </c>
      <c r="W9">
        <v>8.7602804457077657</v>
      </c>
      <c r="X9">
        <v>8.7602804457077657</v>
      </c>
    </row>
    <row r="10" spans="1:24">
      <c r="A10" t="s">
        <v>77</v>
      </c>
      <c r="B10" t="s">
        <v>78</v>
      </c>
      <c r="D10" t="s">
        <v>96</v>
      </c>
      <c r="E10" t="s">
        <v>97</v>
      </c>
      <c r="F10" t="s">
        <v>81</v>
      </c>
      <c r="G10">
        <v>0</v>
      </c>
      <c r="H10">
        <v>0.239574023641031</v>
      </c>
      <c r="I10">
        <v>1.4374441418461861</v>
      </c>
      <c r="J10">
        <v>2.6353142600513411</v>
      </c>
      <c r="K10">
        <v>3.833184378256496</v>
      </c>
      <c r="L10">
        <v>5.0310544964616506</v>
      </c>
      <c r="M10">
        <v>6.2289246146668056</v>
      </c>
      <c r="N10">
        <v>7.4267947328719606</v>
      </c>
      <c r="O10">
        <v>8.6246648510771173</v>
      </c>
      <c r="P10">
        <v>9.8225349692822732</v>
      </c>
      <c r="Q10">
        <v>11.020405087487431</v>
      </c>
      <c r="R10">
        <v>12.21827520569258</v>
      </c>
      <c r="S10">
        <v>13.416145323897741</v>
      </c>
      <c r="T10">
        <v>14.6140154421029</v>
      </c>
      <c r="U10">
        <v>15.811885560308051</v>
      </c>
      <c r="V10">
        <v>17.009755678513208</v>
      </c>
      <c r="W10">
        <v>18.207625796718361</v>
      </c>
      <c r="X10">
        <v>19.40549591492352</v>
      </c>
    </row>
    <row r="11" spans="1:24">
      <c r="A11" t="s">
        <v>77</v>
      </c>
      <c r="B11" t="s">
        <v>82</v>
      </c>
      <c r="D11" t="s">
        <v>96</v>
      </c>
      <c r="E11" t="s">
        <v>98</v>
      </c>
      <c r="F11" t="s">
        <v>81</v>
      </c>
      <c r="G11">
        <v>0</v>
      </c>
      <c r="H11">
        <v>0.46162112907409131</v>
      </c>
      <c r="I11">
        <v>2.7697267744445471</v>
      </c>
      <c r="J11">
        <v>5.0778324198150031</v>
      </c>
      <c r="K11">
        <v>7.3859380651854591</v>
      </c>
      <c r="L11">
        <v>9.6940437105559152</v>
      </c>
      <c r="M11">
        <v>12.00214935592637</v>
      </c>
      <c r="N11">
        <v>14.310255001296831</v>
      </c>
      <c r="O11">
        <v>16.618360646667281</v>
      </c>
      <c r="P11">
        <v>18.926466292037741</v>
      </c>
      <c r="Q11">
        <v>21.234571937408202</v>
      </c>
      <c r="R11">
        <v>23.542677582778651</v>
      </c>
      <c r="S11">
        <v>25.850783228149108</v>
      </c>
      <c r="T11">
        <v>28.158888873519569</v>
      </c>
      <c r="U11">
        <v>30.466994518890029</v>
      </c>
      <c r="V11">
        <v>32.775100164260479</v>
      </c>
      <c r="W11">
        <v>35.083205809630932</v>
      </c>
      <c r="X11">
        <v>37.391311455001393</v>
      </c>
    </row>
    <row r="12" spans="1:24">
      <c r="A12" t="s">
        <v>77</v>
      </c>
      <c r="B12" t="s">
        <v>84</v>
      </c>
      <c r="D12" t="s">
        <v>96</v>
      </c>
      <c r="E12" t="s">
        <v>99</v>
      </c>
      <c r="F12" t="s">
        <v>81</v>
      </c>
      <c r="G12">
        <v>0</v>
      </c>
      <c r="H12">
        <v>1.463296379292889</v>
      </c>
      <c r="I12">
        <v>8.7797782757573319</v>
      </c>
      <c r="J12">
        <v>16.096260172221779</v>
      </c>
      <c r="K12">
        <v>23.412742068686221</v>
      </c>
      <c r="L12">
        <v>30.72922396515067</v>
      </c>
      <c r="M12">
        <v>38.045705861615112</v>
      </c>
      <c r="N12">
        <v>45.362187758079557</v>
      </c>
      <c r="O12">
        <v>52.678669654544002</v>
      </c>
      <c r="P12">
        <v>59.995151551008448</v>
      </c>
      <c r="Q12">
        <v>67.311633447472886</v>
      </c>
      <c r="R12">
        <v>74.628115343937324</v>
      </c>
      <c r="S12">
        <v>81.944597240401762</v>
      </c>
      <c r="T12">
        <v>89.261079136866201</v>
      </c>
      <c r="U12">
        <v>96.577561033330639</v>
      </c>
      <c r="V12">
        <v>103.89404292979511</v>
      </c>
      <c r="W12">
        <v>111.2105248262595</v>
      </c>
      <c r="X12">
        <v>118.527006722724</v>
      </c>
    </row>
    <row r="13" spans="1:24">
      <c r="A13" t="s">
        <v>77</v>
      </c>
      <c r="B13" t="s">
        <v>86</v>
      </c>
      <c r="D13" t="s">
        <v>96</v>
      </c>
      <c r="E13" t="s">
        <v>100</v>
      </c>
      <c r="F13" t="s">
        <v>81</v>
      </c>
      <c r="G13">
        <v>0</v>
      </c>
      <c r="H13">
        <v>0.8876451856733294</v>
      </c>
      <c r="I13">
        <v>5.3258711140399759</v>
      </c>
      <c r="J13">
        <v>9.7640970424066218</v>
      </c>
      <c r="K13">
        <v>14.20232297077327</v>
      </c>
      <c r="L13">
        <v>18.640548899139919</v>
      </c>
      <c r="M13">
        <v>23.07877482750656</v>
      </c>
      <c r="N13">
        <v>27.517000755873209</v>
      </c>
      <c r="O13">
        <v>31.955226684239861</v>
      </c>
      <c r="P13">
        <v>36.393452612606509</v>
      </c>
      <c r="Q13">
        <v>40.831678540973158</v>
      </c>
      <c r="R13">
        <v>45.269904469339806</v>
      </c>
      <c r="S13">
        <v>49.708130397706462</v>
      </c>
      <c r="T13">
        <v>54.146356326073096</v>
      </c>
      <c r="U13">
        <v>58.584582254439752</v>
      </c>
      <c r="V13">
        <v>63.022808182806401</v>
      </c>
      <c r="W13">
        <v>67.461034111173049</v>
      </c>
      <c r="X13">
        <v>71.899260039539698</v>
      </c>
    </row>
    <row r="14" spans="1:24">
      <c r="A14" t="s">
        <v>77</v>
      </c>
      <c r="B14" t="s">
        <v>88</v>
      </c>
      <c r="D14" t="s">
        <v>96</v>
      </c>
      <c r="E14" t="s">
        <v>101</v>
      </c>
      <c r="F14" t="s">
        <v>81</v>
      </c>
      <c r="G14">
        <v>0</v>
      </c>
      <c r="H14">
        <v>0.97130992551778672</v>
      </c>
      <c r="I14">
        <v>5.8278595531067214</v>
      </c>
      <c r="J14">
        <v>10.684409180695649</v>
      </c>
      <c r="K14">
        <v>15.540958808284589</v>
      </c>
      <c r="L14">
        <v>20.397508435873519</v>
      </c>
      <c r="M14">
        <v>25.254058063462459</v>
      </c>
      <c r="N14">
        <v>30.110607691051388</v>
      </c>
      <c r="O14">
        <v>34.967157318640332</v>
      </c>
      <c r="P14">
        <v>39.823706946229258</v>
      </c>
      <c r="Q14">
        <v>44.680256573818191</v>
      </c>
      <c r="R14">
        <v>49.536806201407117</v>
      </c>
      <c r="S14">
        <v>54.393355828996057</v>
      </c>
      <c r="T14">
        <v>59.24990545658499</v>
      </c>
      <c r="U14">
        <v>64.10645508417393</v>
      </c>
      <c r="V14">
        <v>68.963004711762864</v>
      </c>
      <c r="W14">
        <v>73.819554339351797</v>
      </c>
      <c r="X14">
        <v>78.67610396694073</v>
      </c>
    </row>
    <row r="15" spans="1:24">
      <c r="A15" t="s">
        <v>77</v>
      </c>
      <c r="B15" t="s">
        <v>90</v>
      </c>
      <c r="D15" t="s">
        <v>96</v>
      </c>
      <c r="E15" t="s">
        <v>102</v>
      </c>
      <c r="F15" t="s">
        <v>81</v>
      </c>
      <c r="G15">
        <v>0</v>
      </c>
      <c r="H15">
        <v>0.65467173047735006</v>
      </c>
      <c r="I15">
        <v>3.928030382864101</v>
      </c>
      <c r="J15">
        <v>7.2013890352508509</v>
      </c>
      <c r="K15">
        <v>10.474747687637599</v>
      </c>
      <c r="L15">
        <v>13.74810634002435</v>
      </c>
      <c r="M15">
        <v>17.021464992411101</v>
      </c>
      <c r="N15">
        <v>20.294823644797852</v>
      </c>
      <c r="O15">
        <v>23.568182297184599</v>
      </c>
      <c r="P15">
        <v>26.84154094957135</v>
      </c>
      <c r="Q15">
        <v>30.114899601958101</v>
      </c>
      <c r="R15">
        <v>33.388258254344848</v>
      </c>
      <c r="S15">
        <v>36.661616906731602</v>
      </c>
      <c r="T15">
        <v>39.93497555911835</v>
      </c>
      <c r="U15">
        <v>43.208334211505097</v>
      </c>
      <c r="V15">
        <v>46.481692863891837</v>
      </c>
      <c r="W15">
        <v>49.755051516278591</v>
      </c>
      <c r="X15">
        <v>53.028410168665339</v>
      </c>
    </row>
    <row r="16" spans="1:24">
      <c r="A16" t="s">
        <v>77</v>
      </c>
      <c r="B16" t="s">
        <v>92</v>
      </c>
      <c r="D16" t="s">
        <v>96</v>
      </c>
      <c r="E16" t="s">
        <v>103</v>
      </c>
      <c r="F16" t="s">
        <v>81</v>
      </c>
      <c r="G16">
        <v>0</v>
      </c>
      <c r="H16">
        <v>0.33682665691832597</v>
      </c>
      <c r="I16">
        <v>2.0209599415099562</v>
      </c>
      <c r="J16">
        <v>3.7050932261015861</v>
      </c>
      <c r="K16">
        <v>5.3892265106932156</v>
      </c>
      <c r="L16">
        <v>7.0733597952848468</v>
      </c>
      <c r="M16">
        <v>8.7574930798764772</v>
      </c>
      <c r="N16">
        <v>10.44162636446811</v>
      </c>
      <c r="O16">
        <v>12.12575964905974</v>
      </c>
      <c r="P16">
        <v>13.809892933651369</v>
      </c>
      <c r="Q16">
        <v>15.494026218243</v>
      </c>
      <c r="R16">
        <v>17.178159502834621</v>
      </c>
      <c r="S16">
        <v>18.862292787426259</v>
      </c>
      <c r="T16">
        <v>20.546426072017891</v>
      </c>
      <c r="U16">
        <v>22.230559356609518</v>
      </c>
      <c r="V16">
        <v>23.91469264120115</v>
      </c>
      <c r="W16">
        <v>25.598825925792781</v>
      </c>
      <c r="X16">
        <v>27.282959210384409</v>
      </c>
    </row>
    <row r="17" spans="1:24">
      <c r="A17" t="s">
        <v>77</v>
      </c>
      <c r="B17" t="s">
        <v>94</v>
      </c>
      <c r="D17" t="s">
        <v>96</v>
      </c>
      <c r="E17" t="s">
        <v>104</v>
      </c>
      <c r="F17" t="s">
        <v>81</v>
      </c>
      <c r="G17">
        <v>0</v>
      </c>
      <c r="H17">
        <v>0.17520560891415529</v>
      </c>
      <c r="I17">
        <v>1.051233653484932</v>
      </c>
      <c r="J17">
        <v>1.9272616980557089</v>
      </c>
      <c r="K17">
        <v>2.8032897426264851</v>
      </c>
      <c r="L17">
        <v>3.6793177871972622</v>
      </c>
      <c r="M17">
        <v>4.5553458317680384</v>
      </c>
      <c r="N17">
        <v>5.4313738763388164</v>
      </c>
      <c r="O17">
        <v>6.3074019209095926</v>
      </c>
      <c r="P17">
        <v>7.1834299654803697</v>
      </c>
      <c r="Q17">
        <v>8.0594580100511468</v>
      </c>
      <c r="R17">
        <v>8.9354860546219239</v>
      </c>
      <c r="S17">
        <v>9.811514099192701</v>
      </c>
      <c r="T17">
        <v>10.68754214376348</v>
      </c>
      <c r="U17">
        <v>11.563570188334261</v>
      </c>
      <c r="V17">
        <v>12.439598232905031</v>
      </c>
      <c r="W17">
        <v>13.315626277475809</v>
      </c>
      <c r="X17">
        <v>14.19165432204659</v>
      </c>
    </row>
    <row r="18" spans="1:24">
      <c r="A18" t="s">
        <v>105</v>
      </c>
      <c r="B18" t="s">
        <v>106</v>
      </c>
      <c r="C18" t="s">
        <v>107</v>
      </c>
      <c r="D18" t="s">
        <v>79</v>
      </c>
      <c r="E18" t="s">
        <v>108</v>
      </c>
      <c r="F18" t="s">
        <v>81</v>
      </c>
      <c r="G18">
        <v>51.80787747749153</v>
      </c>
      <c r="H18">
        <v>51.80787747749153</v>
      </c>
      <c r="I18">
        <v>51.80787747749153</v>
      </c>
      <c r="J18">
        <v>51.80787747749153</v>
      </c>
      <c r="K18">
        <v>51.80787747749153</v>
      </c>
      <c r="L18">
        <v>51.80787747749153</v>
      </c>
      <c r="M18">
        <v>51.80787747749153</v>
      </c>
      <c r="N18">
        <v>51.80787747749153</v>
      </c>
      <c r="O18">
        <v>51.80787747749153</v>
      </c>
      <c r="P18">
        <v>51.80787747749153</v>
      </c>
      <c r="Q18">
        <v>51.80787747749153</v>
      </c>
      <c r="R18">
        <v>51.80787747749153</v>
      </c>
      <c r="S18">
        <v>51.80787747749153</v>
      </c>
      <c r="T18">
        <v>51.80787747749153</v>
      </c>
      <c r="U18">
        <v>51.80787747749153</v>
      </c>
      <c r="V18">
        <v>51.80787747749153</v>
      </c>
      <c r="W18">
        <v>51.80787747749153</v>
      </c>
      <c r="X18">
        <v>51.80787747749153</v>
      </c>
    </row>
    <row r="19" spans="1:24">
      <c r="A19" t="s">
        <v>105</v>
      </c>
      <c r="B19" t="s">
        <v>109</v>
      </c>
      <c r="C19" t="s">
        <v>107</v>
      </c>
      <c r="D19" t="s">
        <v>79</v>
      </c>
      <c r="E19" t="s">
        <v>110</v>
      </c>
      <c r="F19" t="s">
        <v>81</v>
      </c>
      <c r="G19">
        <v>14.956798014988321</v>
      </c>
      <c r="H19">
        <v>14.956798014988321</v>
      </c>
      <c r="I19">
        <v>14.956798014988321</v>
      </c>
      <c r="J19">
        <v>14.956798014988321</v>
      </c>
      <c r="K19">
        <v>14.956798014988321</v>
      </c>
      <c r="L19">
        <v>14.956798014988321</v>
      </c>
      <c r="M19">
        <v>14.956798014988321</v>
      </c>
      <c r="N19">
        <v>14.956798014988321</v>
      </c>
      <c r="O19">
        <v>14.956798014988321</v>
      </c>
      <c r="P19">
        <v>14.956798014988321</v>
      </c>
      <c r="Q19">
        <v>14.956798014988321</v>
      </c>
      <c r="R19">
        <v>14.956798014988321</v>
      </c>
      <c r="S19">
        <v>14.956798014988321</v>
      </c>
      <c r="T19">
        <v>14.956798014988321</v>
      </c>
      <c r="U19">
        <v>14.956798014988321</v>
      </c>
      <c r="V19">
        <v>14.956798014988321</v>
      </c>
      <c r="W19">
        <v>14.956798014988321</v>
      </c>
      <c r="X19">
        <v>14.956798014988321</v>
      </c>
    </row>
    <row r="20" spans="1:24">
      <c r="A20" t="s">
        <v>105</v>
      </c>
      <c r="B20" t="s">
        <v>106</v>
      </c>
      <c r="C20" t="s">
        <v>111</v>
      </c>
      <c r="D20" t="s">
        <v>79</v>
      </c>
      <c r="E20" t="s">
        <v>112</v>
      </c>
      <c r="F20" t="s">
        <v>81</v>
      </c>
      <c r="G20">
        <v>57.121976335841403</v>
      </c>
      <c r="H20">
        <v>57.121976335841403</v>
      </c>
      <c r="I20">
        <v>57.121976335841403</v>
      </c>
      <c r="J20">
        <v>57.121976335841403</v>
      </c>
      <c r="K20">
        <v>57.121976335841403</v>
      </c>
      <c r="L20">
        <v>57.121976335841403</v>
      </c>
      <c r="M20">
        <v>57.121976335841403</v>
      </c>
      <c r="N20">
        <v>57.121976335841403</v>
      </c>
      <c r="O20">
        <v>57.121976335841403</v>
      </c>
      <c r="P20">
        <v>57.121976335841403</v>
      </c>
      <c r="Q20">
        <v>57.121976335841403</v>
      </c>
      <c r="R20">
        <v>57.121976335841403</v>
      </c>
      <c r="S20">
        <v>57.121976335841403</v>
      </c>
      <c r="T20">
        <v>57.121976335841403</v>
      </c>
      <c r="U20">
        <v>57.121976335841403</v>
      </c>
      <c r="V20">
        <v>57.121976335841403</v>
      </c>
      <c r="W20">
        <v>57.121976335841403</v>
      </c>
      <c r="X20">
        <v>57.121976335841403</v>
      </c>
    </row>
    <row r="21" spans="1:24">
      <c r="A21" t="s">
        <v>105</v>
      </c>
      <c r="B21" t="s">
        <v>109</v>
      </c>
      <c r="C21" t="s">
        <v>111</v>
      </c>
      <c r="D21" t="s">
        <v>79</v>
      </c>
      <c r="E21" t="s">
        <v>113</v>
      </c>
      <c r="F21" t="s">
        <v>81</v>
      </c>
      <c r="G21">
        <v>38.299258577539533</v>
      </c>
      <c r="H21">
        <v>38.299258577539533</v>
      </c>
      <c r="I21">
        <v>38.299258577539533</v>
      </c>
      <c r="J21">
        <v>38.299258577539533</v>
      </c>
      <c r="K21">
        <v>38.299258577539533</v>
      </c>
      <c r="L21">
        <v>38.299258577539533</v>
      </c>
      <c r="M21">
        <v>38.299258577539533</v>
      </c>
      <c r="N21">
        <v>38.299258577539533</v>
      </c>
      <c r="O21">
        <v>38.299258577539533</v>
      </c>
      <c r="P21">
        <v>38.299258577539533</v>
      </c>
      <c r="Q21">
        <v>38.299258577539533</v>
      </c>
      <c r="R21">
        <v>38.299258577539533</v>
      </c>
      <c r="S21">
        <v>38.299258577539533</v>
      </c>
      <c r="T21">
        <v>38.299258577539533</v>
      </c>
      <c r="U21">
        <v>38.299258577539533</v>
      </c>
      <c r="V21">
        <v>38.299258577539533</v>
      </c>
      <c r="W21">
        <v>38.299258577539533</v>
      </c>
      <c r="X21">
        <v>38.299258577539533</v>
      </c>
    </row>
    <row r="22" spans="1:24">
      <c r="A22" t="s">
        <v>105</v>
      </c>
      <c r="B22" t="s">
        <v>106</v>
      </c>
      <c r="C22" t="s">
        <v>114</v>
      </c>
      <c r="D22" t="s">
        <v>79</v>
      </c>
      <c r="E22" t="s">
        <v>115</v>
      </c>
      <c r="F22" t="s">
        <v>81</v>
      </c>
      <c r="G22">
        <v>15.495887810194001</v>
      </c>
      <c r="H22">
        <v>15.495887810194001</v>
      </c>
      <c r="I22">
        <v>15.495887810194001</v>
      </c>
      <c r="J22">
        <v>15.495887810194001</v>
      </c>
      <c r="K22">
        <v>15.495887810194001</v>
      </c>
      <c r="L22">
        <v>15.495887810194001</v>
      </c>
      <c r="M22">
        <v>15.495887810194001</v>
      </c>
      <c r="N22">
        <v>15.495887810194001</v>
      </c>
      <c r="O22">
        <v>15.495887810194001</v>
      </c>
      <c r="P22">
        <v>15.495887810194001</v>
      </c>
      <c r="Q22">
        <v>15.495887810194001</v>
      </c>
      <c r="R22">
        <v>15.495887810194001</v>
      </c>
      <c r="S22">
        <v>15.495887810194001</v>
      </c>
      <c r="T22">
        <v>15.495887810194001</v>
      </c>
      <c r="U22">
        <v>15.495887810194001</v>
      </c>
      <c r="V22">
        <v>15.495887810194001</v>
      </c>
      <c r="W22">
        <v>15.495887810194001</v>
      </c>
      <c r="X22">
        <v>15.495887810194001</v>
      </c>
    </row>
    <row r="23" spans="1:24">
      <c r="A23" t="s">
        <v>105</v>
      </c>
      <c r="B23" t="s">
        <v>109</v>
      </c>
      <c r="C23" t="s">
        <v>114</v>
      </c>
      <c r="D23" t="s">
        <v>79</v>
      </c>
      <c r="E23" t="s">
        <v>116</v>
      </c>
      <c r="F23" t="s">
        <v>81</v>
      </c>
      <c r="G23">
        <v>19.187214429670199</v>
      </c>
      <c r="H23">
        <v>19.187214429670199</v>
      </c>
      <c r="I23">
        <v>19.187214429670199</v>
      </c>
      <c r="J23">
        <v>19.187214429670199</v>
      </c>
      <c r="K23">
        <v>19.187214429670199</v>
      </c>
      <c r="L23">
        <v>19.187214429670199</v>
      </c>
      <c r="M23">
        <v>19.187214429670199</v>
      </c>
      <c r="N23">
        <v>19.187214429670199</v>
      </c>
      <c r="O23">
        <v>19.187214429670199</v>
      </c>
      <c r="P23">
        <v>19.187214429670199</v>
      </c>
      <c r="Q23">
        <v>19.187214429670199</v>
      </c>
      <c r="R23">
        <v>19.187214429670199</v>
      </c>
      <c r="S23">
        <v>19.187214429670199</v>
      </c>
      <c r="T23">
        <v>19.187214429670199</v>
      </c>
      <c r="U23">
        <v>19.187214429670199</v>
      </c>
      <c r="V23">
        <v>19.187214429670199</v>
      </c>
      <c r="W23">
        <v>19.187214429670199</v>
      </c>
      <c r="X23">
        <v>19.187214429670199</v>
      </c>
    </row>
    <row r="24" spans="1:24">
      <c r="A24" t="s">
        <v>105</v>
      </c>
      <c r="B24" t="s">
        <v>106</v>
      </c>
      <c r="C24" t="s">
        <v>117</v>
      </c>
      <c r="D24" t="s">
        <v>79</v>
      </c>
      <c r="E24" t="s">
        <v>118</v>
      </c>
      <c r="F24" t="s">
        <v>81</v>
      </c>
      <c r="G24">
        <v>66.398717380854961</v>
      </c>
      <c r="H24">
        <v>66.398717380854961</v>
      </c>
      <c r="I24">
        <v>66.398717380854961</v>
      </c>
      <c r="J24">
        <v>66.398717380854961</v>
      </c>
      <c r="K24">
        <v>66.398717380854961</v>
      </c>
      <c r="L24">
        <v>66.398717380854961</v>
      </c>
      <c r="M24">
        <v>66.398717380854961</v>
      </c>
      <c r="N24">
        <v>66.398717380854961</v>
      </c>
      <c r="O24">
        <v>66.398717380854961</v>
      </c>
      <c r="P24">
        <v>66.398717380854961</v>
      </c>
      <c r="Q24">
        <v>66.398717380854961</v>
      </c>
      <c r="R24">
        <v>66.398717380854961</v>
      </c>
      <c r="S24">
        <v>66.398717380854961</v>
      </c>
      <c r="T24">
        <v>66.398717380854961</v>
      </c>
      <c r="U24">
        <v>66.398717380854961</v>
      </c>
      <c r="V24">
        <v>66.398717380854961</v>
      </c>
      <c r="W24">
        <v>66.398717380854961</v>
      </c>
      <c r="X24">
        <v>66.398717380854961</v>
      </c>
    </row>
    <row r="25" spans="1:24">
      <c r="A25" t="s">
        <v>105</v>
      </c>
      <c r="B25" t="s">
        <v>109</v>
      </c>
      <c r="C25" t="s">
        <v>117</v>
      </c>
      <c r="D25" t="s">
        <v>79</v>
      </c>
      <c r="E25" t="s">
        <v>119</v>
      </c>
      <c r="F25" t="s">
        <v>81</v>
      </c>
      <c r="G25">
        <v>96.552050846441404</v>
      </c>
      <c r="H25">
        <v>96.552050846441404</v>
      </c>
      <c r="I25">
        <v>96.552050846441404</v>
      </c>
      <c r="J25">
        <v>96.552050846441404</v>
      </c>
      <c r="K25">
        <v>96.552050846441404</v>
      </c>
      <c r="L25">
        <v>96.552050846441404</v>
      </c>
      <c r="M25">
        <v>96.552050846441404</v>
      </c>
      <c r="N25">
        <v>96.552050846441404</v>
      </c>
      <c r="O25">
        <v>96.552050846441404</v>
      </c>
      <c r="P25">
        <v>96.552050846441404</v>
      </c>
      <c r="Q25">
        <v>96.552050846441404</v>
      </c>
      <c r="R25">
        <v>96.552050846441404</v>
      </c>
      <c r="S25">
        <v>96.552050846441404</v>
      </c>
      <c r="T25">
        <v>96.552050846441404</v>
      </c>
      <c r="U25">
        <v>96.552050846441404</v>
      </c>
      <c r="V25">
        <v>96.552050846441404</v>
      </c>
      <c r="W25">
        <v>96.552050846441404</v>
      </c>
      <c r="X25">
        <v>96.552050846441404</v>
      </c>
    </row>
    <row r="26" spans="1:24">
      <c r="A26" t="s">
        <v>105</v>
      </c>
      <c r="B26" t="s">
        <v>106</v>
      </c>
      <c r="C26" t="s">
        <v>107</v>
      </c>
      <c r="D26" t="s">
        <v>96</v>
      </c>
      <c r="E26" t="s">
        <v>120</v>
      </c>
      <c r="F26" t="s">
        <v>81</v>
      </c>
      <c r="G26">
        <v>0</v>
      </c>
      <c r="H26">
        <v>0.25903938738745758</v>
      </c>
      <c r="I26">
        <v>1.5542363243247459</v>
      </c>
      <c r="J26">
        <v>2.8494332612620341</v>
      </c>
      <c r="K26">
        <v>4.1446301981993221</v>
      </c>
      <c r="L26">
        <v>5.4398271351366114</v>
      </c>
      <c r="M26">
        <v>6.735024072073899</v>
      </c>
      <c r="N26">
        <v>8.0302210090111874</v>
      </c>
      <c r="O26">
        <v>9.325417945948475</v>
      </c>
      <c r="P26">
        <v>10.620614882885761</v>
      </c>
      <c r="Q26">
        <v>11.91581181982305</v>
      </c>
      <c r="R26">
        <v>13.211008756760339</v>
      </c>
      <c r="S26">
        <v>14.50620569369763</v>
      </c>
      <c r="T26">
        <v>15.801402630634909</v>
      </c>
      <c r="U26">
        <v>17.096599567572198</v>
      </c>
      <c r="V26">
        <v>18.39179650450949</v>
      </c>
      <c r="W26">
        <v>19.686993441446781</v>
      </c>
      <c r="X26">
        <v>20.982190378384061</v>
      </c>
    </row>
    <row r="27" spans="1:24">
      <c r="A27" t="s">
        <v>105</v>
      </c>
      <c r="B27" t="s">
        <v>109</v>
      </c>
      <c r="C27" t="s">
        <v>107</v>
      </c>
      <c r="D27" t="s">
        <v>96</v>
      </c>
      <c r="E27" t="s">
        <v>121</v>
      </c>
      <c r="F27" t="s">
        <v>81</v>
      </c>
      <c r="G27">
        <v>0</v>
      </c>
      <c r="H27">
        <v>7.4783990074941589E-2</v>
      </c>
      <c r="I27">
        <v>0.44870394044964951</v>
      </c>
      <c r="J27">
        <v>0.8226238908243575</v>
      </c>
      <c r="K27">
        <v>1.196543841199065</v>
      </c>
      <c r="L27">
        <v>1.5704637915737729</v>
      </c>
      <c r="M27">
        <v>1.9443837419484811</v>
      </c>
      <c r="N27">
        <v>2.3183036923231888</v>
      </c>
      <c r="O27">
        <v>2.6922236426978969</v>
      </c>
      <c r="P27">
        <v>3.0661435930726051</v>
      </c>
      <c r="Q27">
        <v>3.4400635434473119</v>
      </c>
      <c r="R27">
        <v>3.8139834938220201</v>
      </c>
      <c r="S27">
        <v>4.1879034441967278</v>
      </c>
      <c r="T27">
        <v>4.5618233945714346</v>
      </c>
      <c r="U27">
        <v>4.9357433449461432</v>
      </c>
      <c r="V27">
        <v>5.3096632953208509</v>
      </c>
      <c r="W27">
        <v>5.6835832456955586</v>
      </c>
      <c r="X27">
        <v>6.0575031960702663</v>
      </c>
    </row>
    <row r="28" spans="1:24">
      <c r="A28" t="s">
        <v>105</v>
      </c>
      <c r="B28" t="s">
        <v>106</v>
      </c>
      <c r="C28" t="s">
        <v>111</v>
      </c>
      <c r="D28" t="s">
        <v>96</v>
      </c>
      <c r="E28" t="s">
        <v>122</v>
      </c>
      <c r="F28" t="s">
        <v>81</v>
      </c>
      <c r="G28">
        <v>0</v>
      </c>
      <c r="H28">
        <v>0.28560988167920698</v>
      </c>
      <c r="I28">
        <v>1.7136592900752421</v>
      </c>
      <c r="J28">
        <v>3.1417086984712772</v>
      </c>
      <c r="K28">
        <v>4.5697581068673134</v>
      </c>
      <c r="L28">
        <v>5.9978075152633474</v>
      </c>
      <c r="M28">
        <v>7.4258569236593823</v>
      </c>
      <c r="N28">
        <v>8.8539063320554181</v>
      </c>
      <c r="O28">
        <v>10.281955740451449</v>
      </c>
      <c r="P28">
        <v>11.71000514884749</v>
      </c>
      <c r="Q28">
        <v>13.138054557243519</v>
      </c>
      <c r="R28">
        <v>14.566103965639559</v>
      </c>
      <c r="S28">
        <v>15.994153374035591</v>
      </c>
      <c r="T28">
        <v>17.422202782431629</v>
      </c>
      <c r="U28">
        <v>18.850252190827661</v>
      </c>
      <c r="V28">
        <v>20.278301599223699</v>
      </c>
      <c r="W28">
        <v>21.70635100761973</v>
      </c>
      <c r="X28">
        <v>23.134400416015769</v>
      </c>
    </row>
    <row r="29" spans="1:24">
      <c r="A29" t="s">
        <v>105</v>
      </c>
      <c r="B29" t="s">
        <v>109</v>
      </c>
      <c r="C29" t="s">
        <v>111</v>
      </c>
      <c r="D29" t="s">
        <v>96</v>
      </c>
      <c r="E29" t="s">
        <v>123</v>
      </c>
      <c r="F29" t="s">
        <v>81</v>
      </c>
      <c r="G29">
        <v>0</v>
      </c>
      <c r="H29">
        <v>0.19149629288769771</v>
      </c>
      <c r="I29">
        <v>1.1489777573261859</v>
      </c>
      <c r="J29">
        <v>2.1064592217646738</v>
      </c>
      <c r="K29">
        <v>3.063940686203162</v>
      </c>
      <c r="L29">
        <v>4.0214221506416514</v>
      </c>
      <c r="M29">
        <v>4.9789036150801387</v>
      </c>
      <c r="N29">
        <v>5.9363850795186268</v>
      </c>
      <c r="O29">
        <v>6.893866543957115</v>
      </c>
      <c r="P29">
        <v>7.8513480083956031</v>
      </c>
      <c r="Q29">
        <v>8.8088294728340912</v>
      </c>
      <c r="R29">
        <v>9.7663109372725803</v>
      </c>
      <c r="S29">
        <v>10.723792401711069</v>
      </c>
      <c r="T29">
        <v>11.68127386614956</v>
      </c>
      <c r="U29">
        <v>12.638755330588049</v>
      </c>
      <c r="V29">
        <v>13.59623679502654</v>
      </c>
      <c r="W29">
        <v>14.553718259465031</v>
      </c>
      <c r="X29">
        <v>15.511199723903511</v>
      </c>
    </row>
    <row r="30" spans="1:24">
      <c r="A30" t="s">
        <v>105</v>
      </c>
      <c r="B30" t="s">
        <v>106</v>
      </c>
      <c r="C30" t="s">
        <v>114</v>
      </c>
      <c r="D30" t="s">
        <v>96</v>
      </c>
      <c r="E30" t="s">
        <v>124</v>
      </c>
      <c r="F30" t="s">
        <v>81</v>
      </c>
      <c r="G30">
        <v>0</v>
      </c>
      <c r="H30">
        <v>7.7479439050969989E-2</v>
      </c>
      <c r="I30">
        <v>0.46487663430581988</v>
      </c>
      <c r="J30">
        <v>0.85227382956066988</v>
      </c>
      <c r="K30">
        <v>1.2396710248155201</v>
      </c>
      <c r="L30">
        <v>1.6270682200703701</v>
      </c>
      <c r="M30">
        <v>2.0144654153252199</v>
      </c>
      <c r="N30">
        <v>2.40186261058007</v>
      </c>
      <c r="O30">
        <v>2.7892598058349201</v>
      </c>
      <c r="P30">
        <v>3.1766570010897701</v>
      </c>
      <c r="Q30">
        <v>3.5640541963446202</v>
      </c>
      <c r="R30">
        <v>3.9514513915994698</v>
      </c>
      <c r="S30">
        <v>4.3388485868543203</v>
      </c>
      <c r="T30">
        <v>4.7262457821091699</v>
      </c>
      <c r="U30">
        <v>5.1136429773640204</v>
      </c>
      <c r="V30">
        <v>5.5010401726188691</v>
      </c>
      <c r="W30">
        <v>5.8884373678737187</v>
      </c>
      <c r="X30">
        <v>6.2758345631285684</v>
      </c>
    </row>
    <row r="31" spans="1:24">
      <c r="A31" t="s">
        <v>105</v>
      </c>
      <c r="B31" t="s">
        <v>109</v>
      </c>
      <c r="C31" t="s">
        <v>114</v>
      </c>
      <c r="D31" t="s">
        <v>96</v>
      </c>
      <c r="E31" t="s">
        <v>125</v>
      </c>
      <c r="F31" t="s">
        <v>81</v>
      </c>
      <c r="G31">
        <v>0</v>
      </c>
      <c r="H31">
        <v>9.5936072148351009E-2</v>
      </c>
      <c r="I31">
        <v>0.575616432890106</v>
      </c>
      <c r="J31">
        <v>1.0552967936318609</v>
      </c>
      <c r="K31">
        <v>1.5349771543736159</v>
      </c>
      <c r="L31">
        <v>2.0146575151153709</v>
      </c>
      <c r="M31">
        <v>2.4943378758571262</v>
      </c>
      <c r="N31">
        <v>2.974018236598881</v>
      </c>
      <c r="O31">
        <v>3.4536985973406358</v>
      </c>
      <c r="P31">
        <v>3.933378958082391</v>
      </c>
      <c r="Q31">
        <v>4.4130593188241454</v>
      </c>
      <c r="R31">
        <v>4.8927396795659002</v>
      </c>
      <c r="S31">
        <v>5.372420040307655</v>
      </c>
      <c r="T31">
        <v>5.8521004010494098</v>
      </c>
      <c r="U31">
        <v>6.3317807617911646</v>
      </c>
      <c r="V31">
        <v>6.8114611225329194</v>
      </c>
      <c r="W31">
        <v>7.2911414832746742</v>
      </c>
      <c r="X31">
        <v>7.7708218440164289</v>
      </c>
    </row>
    <row r="32" spans="1:24">
      <c r="A32" t="s">
        <v>105</v>
      </c>
      <c r="B32" t="s">
        <v>106</v>
      </c>
      <c r="C32" t="s">
        <v>117</v>
      </c>
      <c r="D32" t="s">
        <v>96</v>
      </c>
      <c r="E32" t="s">
        <v>126</v>
      </c>
      <c r="F32" t="s">
        <v>81</v>
      </c>
      <c r="G32">
        <v>0</v>
      </c>
      <c r="H32">
        <v>0.33199358690427477</v>
      </c>
      <c r="I32">
        <v>1.991961521425649</v>
      </c>
      <c r="J32">
        <v>3.6519294559470228</v>
      </c>
      <c r="K32">
        <v>5.3118973904683973</v>
      </c>
      <c r="L32">
        <v>6.9718653249897713</v>
      </c>
      <c r="M32">
        <v>8.6318332595111453</v>
      </c>
      <c r="N32">
        <v>10.291801194032519</v>
      </c>
      <c r="O32">
        <v>11.95176912855389</v>
      </c>
      <c r="P32">
        <v>13.611737063075269</v>
      </c>
      <c r="Q32">
        <v>15.27170499759664</v>
      </c>
      <c r="R32">
        <v>16.931672932118019</v>
      </c>
      <c r="S32">
        <v>18.591640866639391</v>
      </c>
      <c r="T32">
        <v>20.25160880116076</v>
      </c>
      <c r="U32">
        <v>21.911576735682139</v>
      </c>
      <c r="V32">
        <v>23.571544670203519</v>
      </c>
      <c r="W32">
        <v>25.231512604724891</v>
      </c>
      <c r="X32">
        <v>26.89148053924627</v>
      </c>
    </row>
    <row r="33" spans="1:24">
      <c r="A33" t="s">
        <v>105</v>
      </c>
      <c r="B33" t="s">
        <v>109</v>
      </c>
      <c r="C33" t="s">
        <v>117</v>
      </c>
      <c r="D33" t="s">
        <v>96</v>
      </c>
      <c r="E33" t="s">
        <v>127</v>
      </c>
      <c r="F33" t="s">
        <v>81</v>
      </c>
      <c r="G33">
        <v>0</v>
      </c>
      <c r="H33">
        <v>0.48276025423220698</v>
      </c>
      <c r="I33">
        <v>2.896561525393242</v>
      </c>
      <c r="J33">
        <v>5.3103627965542781</v>
      </c>
      <c r="K33">
        <v>7.7241640677153134</v>
      </c>
      <c r="L33">
        <v>10.13796533887635</v>
      </c>
      <c r="M33">
        <v>12.551766610037379</v>
      </c>
      <c r="N33">
        <v>14.965567881198419</v>
      </c>
      <c r="O33">
        <v>17.379369152359448</v>
      </c>
      <c r="P33">
        <v>19.79317042352049</v>
      </c>
      <c r="Q33">
        <v>22.206971694681521</v>
      </c>
      <c r="R33">
        <v>24.620772965842551</v>
      </c>
      <c r="S33">
        <v>27.034574237003589</v>
      </c>
      <c r="T33">
        <v>29.44837550816462</v>
      </c>
      <c r="U33">
        <v>31.862176779325662</v>
      </c>
      <c r="V33">
        <v>34.275978050486692</v>
      </c>
      <c r="W33">
        <v>36.689779321647727</v>
      </c>
      <c r="X33">
        <v>39.103580592808761</v>
      </c>
    </row>
    <row r="34" spans="1:24">
      <c r="A34" t="s">
        <v>128</v>
      </c>
      <c r="B34" t="s">
        <v>129</v>
      </c>
      <c r="E34" t="s">
        <v>130</v>
      </c>
      <c r="F34" t="s">
        <v>131</v>
      </c>
      <c r="G34">
        <v>66716.460830940399</v>
      </c>
      <c r="H34">
        <v>68050.790047559203</v>
      </c>
      <c r="I34">
        <v>74855.869052315131</v>
      </c>
      <c r="J34">
        <v>82341.455957546656</v>
      </c>
      <c r="K34">
        <v>90575.601553301327</v>
      </c>
      <c r="L34">
        <v>99633.161708631465</v>
      </c>
      <c r="M34">
        <v>109596.4778794946</v>
      </c>
      <c r="N34">
        <v>120556.1256674441</v>
      </c>
      <c r="O34">
        <v>132611.73823418849</v>
      </c>
      <c r="P34">
        <v>145872.91205760741</v>
      </c>
      <c r="Q34">
        <v>160460.20326336811</v>
      </c>
      <c r="R34">
        <v>176506.22358970501</v>
      </c>
      <c r="S34">
        <v>194156.8459486755</v>
      </c>
      <c r="T34">
        <v>213572.53054354299</v>
      </c>
      <c r="U34">
        <v>234929.78359789739</v>
      </c>
      <c r="V34">
        <v>258422.76195768709</v>
      </c>
      <c r="W34">
        <v>284265.03815345588</v>
      </c>
      <c r="X34">
        <v>312691.54196880152</v>
      </c>
    </row>
    <row r="35" spans="1:24">
      <c r="A35" t="s">
        <v>132</v>
      </c>
      <c r="B35" t="s">
        <v>133</v>
      </c>
      <c r="C35" t="s">
        <v>134</v>
      </c>
      <c r="E35" t="s">
        <v>135</v>
      </c>
      <c r="F35" t="s">
        <v>136</v>
      </c>
      <c r="G35">
        <v>68921.250890371171</v>
      </c>
      <c r="H35">
        <v>69265.857144823021</v>
      </c>
      <c r="I35">
        <v>70997.503573443595</v>
      </c>
      <c r="J35">
        <v>72772.44116277968</v>
      </c>
      <c r="K35">
        <v>74591.752191849169</v>
      </c>
      <c r="L35">
        <v>76456.545996645393</v>
      </c>
      <c r="M35">
        <v>78367.959646561518</v>
      </c>
      <c r="N35">
        <v>80327.158637725544</v>
      </c>
      <c r="O35">
        <v>82335.337603668682</v>
      </c>
      <c r="P35">
        <v>84393.721043760394</v>
      </c>
      <c r="Q35">
        <v>86503.564069854401</v>
      </c>
      <c r="R35">
        <v>88666.153171600759</v>
      </c>
      <c r="S35">
        <v>90882.807000890767</v>
      </c>
      <c r="T35">
        <v>93154.877175913032</v>
      </c>
      <c r="U35">
        <v>95483.749105310853</v>
      </c>
      <c r="V35">
        <v>97870.842832943614</v>
      </c>
      <c r="W35">
        <v>100317.6139037672</v>
      </c>
      <c r="X35">
        <v>102825.55425136141</v>
      </c>
    </row>
    <row r="36" spans="1:24">
      <c r="A36" t="s">
        <v>132</v>
      </c>
      <c r="B36" t="s">
        <v>133</v>
      </c>
      <c r="C36" t="s">
        <v>137</v>
      </c>
      <c r="E36" t="s">
        <v>138</v>
      </c>
      <c r="F36" t="s">
        <v>136</v>
      </c>
      <c r="G36">
        <v>0</v>
      </c>
      <c r="H36">
        <v>0</v>
      </c>
      <c r="I36">
        <v>0</v>
      </c>
      <c r="J36">
        <v>0</v>
      </c>
      <c r="K36">
        <v>0</v>
      </c>
      <c r="L36">
        <v>0</v>
      </c>
      <c r="M36">
        <v>0</v>
      </c>
      <c r="N36">
        <v>0</v>
      </c>
      <c r="O36">
        <v>0</v>
      </c>
      <c r="P36">
        <v>0</v>
      </c>
      <c r="Q36">
        <v>0</v>
      </c>
      <c r="R36">
        <v>0</v>
      </c>
      <c r="S36">
        <v>0</v>
      </c>
      <c r="T36">
        <v>0</v>
      </c>
      <c r="U36">
        <v>0</v>
      </c>
      <c r="V36">
        <v>0</v>
      </c>
      <c r="W36">
        <v>0</v>
      </c>
      <c r="X36">
        <v>0</v>
      </c>
    </row>
    <row r="37" spans="1:24">
      <c r="A37" t="s">
        <v>132</v>
      </c>
      <c r="B37" t="s">
        <v>133</v>
      </c>
      <c r="C37" t="s">
        <v>139</v>
      </c>
      <c r="E37" t="s">
        <v>140</v>
      </c>
      <c r="F37" t="s">
        <v>136</v>
      </c>
      <c r="G37">
        <v>0</v>
      </c>
      <c r="H37">
        <v>0</v>
      </c>
      <c r="I37">
        <v>0</v>
      </c>
      <c r="J37">
        <v>0</v>
      </c>
      <c r="K37">
        <v>0</v>
      </c>
      <c r="L37">
        <v>0</v>
      </c>
      <c r="M37">
        <v>0</v>
      </c>
      <c r="N37">
        <v>0</v>
      </c>
      <c r="O37">
        <v>0</v>
      </c>
      <c r="P37">
        <v>0</v>
      </c>
      <c r="Q37">
        <v>0</v>
      </c>
      <c r="R37">
        <v>0</v>
      </c>
      <c r="S37">
        <v>0</v>
      </c>
      <c r="T37">
        <v>0</v>
      </c>
      <c r="U37">
        <v>0</v>
      </c>
      <c r="V37">
        <v>0</v>
      </c>
      <c r="W37">
        <v>0</v>
      </c>
      <c r="X37">
        <v>0</v>
      </c>
    </row>
    <row r="38" spans="1:24">
      <c r="A38" t="s">
        <v>132</v>
      </c>
      <c r="B38" t="s">
        <v>141</v>
      </c>
      <c r="C38" t="s">
        <v>142</v>
      </c>
      <c r="E38" t="s">
        <v>143</v>
      </c>
      <c r="F38" t="s">
        <v>136</v>
      </c>
      <c r="G38">
        <v>1578.5178847930749</v>
      </c>
      <c r="H38">
        <v>1586.41047421704</v>
      </c>
      <c r="I38">
        <v>1626.0707360724659</v>
      </c>
      <c r="J38">
        <v>1666.7225044742779</v>
      </c>
      <c r="K38">
        <v>1708.390567086135</v>
      </c>
      <c r="L38">
        <v>1751.1003312632879</v>
      </c>
      <c r="M38">
        <v>1794.8778395448701</v>
      </c>
      <c r="N38">
        <v>1839.7497855334909</v>
      </c>
      <c r="O38">
        <v>1885.743530171829</v>
      </c>
      <c r="P38">
        <v>1932.8871184261241</v>
      </c>
      <c r="Q38">
        <v>1981.2092963867769</v>
      </c>
      <c r="R38">
        <v>2030.7395287964459</v>
      </c>
      <c r="S38">
        <v>2081.5080170163569</v>
      </c>
      <c r="T38">
        <v>2133.5457174417661</v>
      </c>
      <c r="U38">
        <v>2186.88436037781</v>
      </c>
      <c r="V38">
        <v>2241.5564693872552</v>
      </c>
      <c r="W38">
        <v>2297.595381121936</v>
      </c>
      <c r="X38">
        <v>2355.035265649984</v>
      </c>
    </row>
    <row r="39" spans="1:24">
      <c r="A39" t="s">
        <v>132</v>
      </c>
      <c r="B39" t="s">
        <v>141</v>
      </c>
      <c r="C39" t="s">
        <v>144</v>
      </c>
      <c r="E39" t="s">
        <v>145</v>
      </c>
      <c r="F39" t="s">
        <v>136</v>
      </c>
      <c r="G39">
        <v>70.026308273942732</v>
      </c>
      <c r="H39">
        <v>70.376439815312438</v>
      </c>
      <c r="I39">
        <v>72.135850810695246</v>
      </c>
      <c r="J39">
        <v>73.939247080962616</v>
      </c>
      <c r="K39">
        <v>75.787728257986672</v>
      </c>
      <c r="L39">
        <v>77.682421464436331</v>
      </c>
      <c r="M39">
        <v>79.624482001047227</v>
      </c>
      <c r="N39">
        <v>81.615094051073399</v>
      </c>
      <c r="O39">
        <v>83.65547140235023</v>
      </c>
      <c r="P39">
        <v>85.746858187408975</v>
      </c>
      <c r="Q39">
        <v>87.890529642094194</v>
      </c>
      <c r="R39">
        <v>90.087792883146534</v>
      </c>
      <c r="S39">
        <v>92.339987705225184</v>
      </c>
      <c r="T39">
        <v>94.648487397855803</v>
      </c>
      <c r="U39">
        <v>97.014699582802194</v>
      </c>
      <c r="V39">
        <v>99.440067072372244</v>
      </c>
      <c r="W39">
        <v>101.9260687491815</v>
      </c>
      <c r="X39">
        <v>104.4742204679111</v>
      </c>
    </row>
    <row r="40" spans="1:24">
      <c r="A40" t="s">
        <v>132</v>
      </c>
      <c r="B40" t="s">
        <v>141</v>
      </c>
      <c r="C40" t="s">
        <v>146</v>
      </c>
      <c r="E40" t="s">
        <v>147</v>
      </c>
      <c r="F40" t="s">
        <v>136</v>
      </c>
      <c r="G40">
        <v>0</v>
      </c>
      <c r="H40">
        <v>0</v>
      </c>
      <c r="I40">
        <v>0</v>
      </c>
      <c r="J40">
        <v>0</v>
      </c>
      <c r="K40">
        <v>0</v>
      </c>
      <c r="L40">
        <v>0</v>
      </c>
      <c r="M40">
        <v>0</v>
      </c>
      <c r="N40">
        <v>0</v>
      </c>
      <c r="O40">
        <v>0</v>
      </c>
      <c r="P40">
        <v>0</v>
      </c>
      <c r="Q40">
        <v>0</v>
      </c>
      <c r="R40">
        <v>0</v>
      </c>
      <c r="S40">
        <v>0</v>
      </c>
      <c r="T40">
        <v>0</v>
      </c>
      <c r="U40">
        <v>0</v>
      </c>
      <c r="V40">
        <v>0</v>
      </c>
      <c r="W40">
        <v>0</v>
      </c>
      <c r="X40">
        <v>0</v>
      </c>
    </row>
    <row r="41" spans="1:24">
      <c r="A41" t="s">
        <v>132</v>
      </c>
      <c r="B41" t="s">
        <v>141</v>
      </c>
      <c r="C41" t="s">
        <v>148</v>
      </c>
      <c r="E41" t="s">
        <v>149</v>
      </c>
      <c r="F41" t="s">
        <v>136</v>
      </c>
      <c r="G41">
        <v>0</v>
      </c>
      <c r="H41">
        <v>0</v>
      </c>
      <c r="I41">
        <v>0</v>
      </c>
      <c r="J41">
        <v>0</v>
      </c>
      <c r="K41">
        <v>0</v>
      </c>
      <c r="L41">
        <v>0</v>
      </c>
      <c r="M41">
        <v>0</v>
      </c>
      <c r="N41">
        <v>0</v>
      </c>
      <c r="O41">
        <v>0</v>
      </c>
      <c r="P41">
        <v>0</v>
      </c>
      <c r="Q41">
        <v>0</v>
      </c>
      <c r="R41">
        <v>0</v>
      </c>
      <c r="S41">
        <v>0</v>
      </c>
      <c r="T41">
        <v>0</v>
      </c>
      <c r="U41">
        <v>0</v>
      </c>
      <c r="V41">
        <v>0</v>
      </c>
      <c r="W41">
        <v>0</v>
      </c>
      <c r="X41">
        <v>0</v>
      </c>
    </row>
    <row r="42" spans="1:24">
      <c r="A42" t="s">
        <v>132</v>
      </c>
      <c r="B42" t="s">
        <v>141</v>
      </c>
      <c r="C42" t="s">
        <v>150</v>
      </c>
      <c r="E42" t="s">
        <v>151</v>
      </c>
      <c r="F42" t="s">
        <v>136</v>
      </c>
      <c r="G42">
        <v>1367.6201505846741</v>
      </c>
      <c r="H42">
        <v>1374.4582513375981</v>
      </c>
      <c r="I42">
        <v>1408.819707621037</v>
      </c>
      <c r="J42">
        <v>1444.040200311563</v>
      </c>
      <c r="K42">
        <v>1480.1412053193519</v>
      </c>
      <c r="L42">
        <v>1517.1447354523359</v>
      </c>
      <c r="M42">
        <v>1555.0733538386439</v>
      </c>
      <c r="N42">
        <v>1593.95018768461</v>
      </c>
      <c r="O42">
        <v>1633.7989423767251</v>
      </c>
      <c r="P42">
        <v>1674.643915936143</v>
      </c>
      <c r="Q42">
        <v>1716.510013834547</v>
      </c>
      <c r="R42">
        <v>1759.42276418041</v>
      </c>
      <c r="S42">
        <v>1803.40833328492</v>
      </c>
      <c r="T42">
        <v>1848.4935416170431</v>
      </c>
      <c r="U42">
        <v>1894.705880157469</v>
      </c>
      <c r="V42">
        <v>1942.073527161406</v>
      </c>
      <c r="W42">
        <v>1990.625365340441</v>
      </c>
      <c r="X42">
        <v>2040.390999473952</v>
      </c>
    </row>
    <row r="43" spans="1:24">
      <c r="A43" t="s">
        <v>132</v>
      </c>
      <c r="B43" t="s">
        <v>141</v>
      </c>
      <c r="C43" t="s">
        <v>152</v>
      </c>
      <c r="E43" t="s">
        <v>153</v>
      </c>
      <c r="F43" t="s">
        <v>136</v>
      </c>
      <c r="G43">
        <v>0</v>
      </c>
      <c r="H43">
        <v>0</v>
      </c>
      <c r="I43">
        <v>0</v>
      </c>
      <c r="J43">
        <v>0</v>
      </c>
      <c r="K43">
        <v>0</v>
      </c>
      <c r="L43">
        <v>0</v>
      </c>
      <c r="M43">
        <v>0</v>
      </c>
      <c r="N43">
        <v>0</v>
      </c>
      <c r="O43">
        <v>0</v>
      </c>
      <c r="P43">
        <v>0</v>
      </c>
      <c r="Q43">
        <v>0</v>
      </c>
      <c r="R43">
        <v>0</v>
      </c>
      <c r="S43">
        <v>0</v>
      </c>
      <c r="T43">
        <v>0</v>
      </c>
      <c r="U43">
        <v>0</v>
      </c>
      <c r="V43">
        <v>0</v>
      </c>
      <c r="W43">
        <v>0</v>
      </c>
      <c r="X43">
        <v>0</v>
      </c>
    </row>
    <row r="44" spans="1:24">
      <c r="A44" t="s">
        <v>132</v>
      </c>
      <c r="B44" t="s">
        <v>133</v>
      </c>
      <c r="C44" t="s">
        <v>154</v>
      </c>
      <c r="E44" t="s">
        <v>155</v>
      </c>
      <c r="F44" t="s">
        <v>136</v>
      </c>
      <c r="G44">
        <v>498.20418535334039</v>
      </c>
      <c r="H44">
        <v>500.69520628010702</v>
      </c>
      <c r="I44">
        <v>513.21258643710962</v>
      </c>
      <c r="J44">
        <v>526.04290109803731</v>
      </c>
      <c r="K44">
        <v>539.19397362548818</v>
      </c>
      <c r="L44">
        <v>552.67382296612539</v>
      </c>
      <c r="M44">
        <v>566.49066854027842</v>
      </c>
      <c r="N44">
        <v>580.65293525378536</v>
      </c>
      <c r="O44">
        <v>595.16925863512995</v>
      </c>
      <c r="P44">
        <v>610.04849010100816</v>
      </c>
      <c r="Q44">
        <v>625.29970235353335</v>
      </c>
      <c r="R44">
        <v>640.93219491237164</v>
      </c>
      <c r="S44">
        <v>656.9554997851809</v>
      </c>
      <c r="T44">
        <v>673.37938727981032</v>
      </c>
      <c r="U44">
        <v>690.21387196180547</v>
      </c>
      <c r="V44">
        <v>707.46921876085059</v>
      </c>
      <c r="W44">
        <v>725.15594922987179</v>
      </c>
      <c r="X44">
        <v>743.28484796061855</v>
      </c>
    </row>
    <row r="45" spans="1:24">
      <c r="A45" t="s">
        <v>132</v>
      </c>
      <c r="B45" t="s">
        <v>133</v>
      </c>
      <c r="C45" t="s">
        <v>156</v>
      </c>
      <c r="E45" t="s">
        <v>157</v>
      </c>
      <c r="F45" t="s">
        <v>136</v>
      </c>
      <c r="G45">
        <v>86.053217342719677</v>
      </c>
      <c r="H45">
        <v>86.483483429433264</v>
      </c>
      <c r="I45">
        <v>88.645570515169084</v>
      </c>
      <c r="J45">
        <v>90.861709778048308</v>
      </c>
      <c r="K45">
        <v>93.133252522499504</v>
      </c>
      <c r="L45">
        <v>95.461583835561981</v>
      </c>
      <c r="M45">
        <v>97.848123431451029</v>
      </c>
      <c r="N45">
        <v>100.29432651723729</v>
      </c>
      <c r="O45">
        <v>102.80168468016819</v>
      </c>
      <c r="P45">
        <v>105.3717267971724</v>
      </c>
      <c r="Q45">
        <v>108.00601996710169</v>
      </c>
      <c r="R45">
        <v>110.7061704662793</v>
      </c>
      <c r="S45">
        <v>113.4738247279362</v>
      </c>
      <c r="T45">
        <v>116.3106703461346</v>
      </c>
      <c r="U45">
        <v>119.21843710478799</v>
      </c>
      <c r="V45">
        <v>122.1988980324077</v>
      </c>
      <c r="W45">
        <v>125.2538704832179</v>
      </c>
      <c r="X45">
        <v>128.38521724529829</v>
      </c>
    </row>
    <row r="46" spans="1:24">
      <c r="A46" t="s">
        <v>132</v>
      </c>
      <c r="B46" t="s">
        <v>133</v>
      </c>
      <c r="C46" t="s">
        <v>158</v>
      </c>
      <c r="E46" t="s">
        <v>159</v>
      </c>
      <c r="F46" t="s">
        <v>136</v>
      </c>
      <c r="G46">
        <v>0</v>
      </c>
      <c r="H46">
        <v>0</v>
      </c>
      <c r="I46">
        <v>0</v>
      </c>
      <c r="J46">
        <v>0</v>
      </c>
      <c r="K46">
        <v>0</v>
      </c>
      <c r="L46">
        <v>0</v>
      </c>
      <c r="M46">
        <v>0</v>
      </c>
      <c r="N46">
        <v>0</v>
      </c>
      <c r="O46">
        <v>0</v>
      </c>
      <c r="P46">
        <v>0</v>
      </c>
      <c r="Q46">
        <v>0</v>
      </c>
      <c r="R46">
        <v>0</v>
      </c>
      <c r="S46">
        <v>0</v>
      </c>
      <c r="T46">
        <v>0</v>
      </c>
      <c r="U46">
        <v>0</v>
      </c>
      <c r="V46">
        <v>0</v>
      </c>
      <c r="W46">
        <v>0</v>
      </c>
      <c r="X46">
        <v>0</v>
      </c>
    </row>
    <row r="47" spans="1:24">
      <c r="A47" t="s">
        <v>132</v>
      </c>
      <c r="B47" t="s">
        <v>133</v>
      </c>
      <c r="C47" t="s">
        <v>160</v>
      </c>
      <c r="E47" t="s">
        <v>161</v>
      </c>
      <c r="F47" t="s">
        <v>136</v>
      </c>
      <c r="G47">
        <v>364.1076787683694</v>
      </c>
      <c r="H47">
        <v>365.92821716221118</v>
      </c>
      <c r="I47">
        <v>375.07642259126641</v>
      </c>
      <c r="J47">
        <v>384.45333315604802</v>
      </c>
      <c r="K47">
        <v>394.06466648494921</v>
      </c>
      <c r="L47">
        <v>403.91628314707287</v>
      </c>
      <c r="M47">
        <v>414.01419022574959</v>
      </c>
      <c r="N47">
        <v>424.36454498139341</v>
      </c>
      <c r="O47">
        <v>434.97365860592822</v>
      </c>
      <c r="P47">
        <v>445.84800007107629</v>
      </c>
      <c r="Q47">
        <v>456.99420007285318</v>
      </c>
      <c r="R47">
        <v>468.41905507467447</v>
      </c>
      <c r="S47">
        <v>480.12953145154142</v>
      </c>
      <c r="T47">
        <v>492.13276973782979</v>
      </c>
      <c r="U47">
        <v>504.43608898127547</v>
      </c>
      <c r="V47">
        <v>517.04699120580733</v>
      </c>
      <c r="W47">
        <v>529.97316598595251</v>
      </c>
      <c r="X47">
        <v>543.22249513560132</v>
      </c>
    </row>
    <row r="48" spans="1:24">
      <c r="A48" t="s">
        <v>132</v>
      </c>
      <c r="B48" t="s">
        <v>133</v>
      </c>
      <c r="C48" t="s">
        <v>162</v>
      </c>
      <c r="E48" t="s">
        <v>163</v>
      </c>
      <c r="F48" t="s">
        <v>136</v>
      </c>
      <c r="G48">
        <v>0</v>
      </c>
      <c r="H48">
        <v>0</v>
      </c>
      <c r="I48">
        <v>0</v>
      </c>
      <c r="J48">
        <v>0</v>
      </c>
      <c r="K48">
        <v>0</v>
      </c>
      <c r="L48">
        <v>0</v>
      </c>
      <c r="M48">
        <v>0</v>
      </c>
      <c r="N48">
        <v>0</v>
      </c>
      <c r="O48">
        <v>0</v>
      </c>
      <c r="P48">
        <v>0</v>
      </c>
      <c r="Q48">
        <v>0</v>
      </c>
      <c r="R48">
        <v>0</v>
      </c>
      <c r="S48">
        <v>0</v>
      </c>
      <c r="T48">
        <v>0</v>
      </c>
      <c r="U48">
        <v>0</v>
      </c>
      <c r="V48">
        <v>0</v>
      </c>
      <c r="W48">
        <v>0</v>
      </c>
      <c r="X48">
        <v>0</v>
      </c>
    </row>
    <row r="49" spans="1:24">
      <c r="A49" t="s">
        <v>132</v>
      </c>
      <c r="B49" t="s">
        <v>133</v>
      </c>
      <c r="C49" t="s">
        <v>164</v>
      </c>
      <c r="E49" t="s">
        <v>165</v>
      </c>
      <c r="F49" t="s">
        <v>136</v>
      </c>
      <c r="G49">
        <v>0</v>
      </c>
      <c r="H49">
        <v>0</v>
      </c>
      <c r="I49">
        <v>0</v>
      </c>
      <c r="J49">
        <v>0</v>
      </c>
      <c r="K49">
        <v>0</v>
      </c>
      <c r="L49">
        <v>0</v>
      </c>
      <c r="M49">
        <v>0</v>
      </c>
      <c r="N49">
        <v>0</v>
      </c>
      <c r="O49">
        <v>0</v>
      </c>
      <c r="P49">
        <v>0</v>
      </c>
      <c r="Q49">
        <v>0</v>
      </c>
      <c r="R49">
        <v>0</v>
      </c>
      <c r="S49">
        <v>0</v>
      </c>
      <c r="T49">
        <v>0</v>
      </c>
      <c r="U49">
        <v>0</v>
      </c>
      <c r="V49">
        <v>0</v>
      </c>
      <c r="W49">
        <v>0</v>
      </c>
      <c r="X49">
        <v>0</v>
      </c>
    </row>
    <row r="50" spans="1:24">
      <c r="A50" t="s">
        <v>132</v>
      </c>
      <c r="B50" t="s">
        <v>133</v>
      </c>
      <c r="C50" t="s">
        <v>166</v>
      </c>
      <c r="E50" t="s">
        <v>167</v>
      </c>
      <c r="F50" t="s">
        <v>136</v>
      </c>
      <c r="G50">
        <v>783.71641071992963</v>
      </c>
      <c r="H50">
        <v>787.63499277352923</v>
      </c>
      <c r="I50">
        <v>807.32586759286744</v>
      </c>
      <c r="J50">
        <v>827.50901428268901</v>
      </c>
      <c r="K50">
        <v>848.19673963975617</v>
      </c>
      <c r="L50">
        <v>869.40165813074998</v>
      </c>
      <c r="M50">
        <v>891.13669958401863</v>
      </c>
      <c r="N50">
        <v>913.41511707361906</v>
      </c>
      <c r="O50">
        <v>936.25049500045941</v>
      </c>
      <c r="P50">
        <v>959.65675737547076</v>
      </c>
      <c r="Q50">
        <v>983.64817630985749</v>
      </c>
      <c r="R50">
        <v>1008.239380717604</v>
      </c>
      <c r="S50">
        <v>1033.4453652355439</v>
      </c>
      <c r="T50">
        <v>1059.2814993664319</v>
      </c>
      <c r="U50">
        <v>1085.763536850593</v>
      </c>
      <c r="V50">
        <v>1112.907625271858</v>
      </c>
      <c r="W50">
        <v>1140.7303159036539</v>
      </c>
      <c r="X50">
        <v>1169.2485738012449</v>
      </c>
    </row>
    <row r="51" spans="1:24">
      <c r="A51" t="s">
        <v>132</v>
      </c>
      <c r="B51" t="s">
        <v>133</v>
      </c>
      <c r="C51" t="s">
        <v>168</v>
      </c>
      <c r="E51" t="s">
        <v>169</v>
      </c>
      <c r="F51" t="s">
        <v>136</v>
      </c>
      <c r="G51">
        <v>4185.0616827171943</v>
      </c>
      <c r="H51">
        <v>4205.9869911307796</v>
      </c>
      <c r="I51">
        <v>4311.136665909049</v>
      </c>
      <c r="J51">
        <v>4418.9150825567749</v>
      </c>
      <c r="K51">
        <v>4529.3879596206934</v>
      </c>
      <c r="L51">
        <v>4642.6226586112107</v>
      </c>
      <c r="M51">
        <v>4758.6882250764902</v>
      </c>
      <c r="N51">
        <v>4877.6554307034021</v>
      </c>
      <c r="O51">
        <v>4999.5968164709866</v>
      </c>
      <c r="P51">
        <v>5124.5867368827612</v>
      </c>
      <c r="Q51">
        <v>5252.7014053048297</v>
      </c>
      <c r="R51">
        <v>5384.0189404374496</v>
      </c>
      <c r="S51">
        <v>5518.619413948385</v>
      </c>
      <c r="T51">
        <v>5656.5848992970941</v>
      </c>
      <c r="U51">
        <v>5797.9995217795213</v>
      </c>
      <c r="V51">
        <v>5942.9495098240086</v>
      </c>
      <c r="W51">
        <v>6091.5232475696084</v>
      </c>
      <c r="X51">
        <v>6243.8113287588494</v>
      </c>
    </row>
    <row r="52" spans="1:24">
      <c r="A52" t="s">
        <v>132</v>
      </c>
      <c r="B52" t="s">
        <v>94</v>
      </c>
      <c r="C52" t="s">
        <v>170</v>
      </c>
      <c r="E52" t="s">
        <v>171</v>
      </c>
      <c r="F52" t="s">
        <v>136</v>
      </c>
      <c r="G52">
        <v>0</v>
      </c>
      <c r="H52">
        <v>0</v>
      </c>
      <c r="I52">
        <v>0</v>
      </c>
      <c r="J52">
        <v>0</v>
      </c>
      <c r="K52">
        <v>0</v>
      </c>
      <c r="L52">
        <v>0</v>
      </c>
      <c r="M52">
        <v>0</v>
      </c>
      <c r="N52">
        <v>0</v>
      </c>
      <c r="O52">
        <v>0</v>
      </c>
      <c r="P52">
        <v>0</v>
      </c>
      <c r="Q52">
        <v>0</v>
      </c>
      <c r="R52">
        <v>0</v>
      </c>
      <c r="S52">
        <v>0</v>
      </c>
      <c r="T52">
        <v>0</v>
      </c>
      <c r="U52">
        <v>0</v>
      </c>
      <c r="V52">
        <v>0</v>
      </c>
      <c r="W52">
        <v>0</v>
      </c>
      <c r="X52">
        <v>0</v>
      </c>
    </row>
    <row r="53" spans="1:24">
      <c r="A53" t="s">
        <v>132</v>
      </c>
      <c r="B53" t="s">
        <v>94</v>
      </c>
      <c r="C53" t="s">
        <v>172</v>
      </c>
      <c r="E53" t="s">
        <v>173</v>
      </c>
      <c r="F53" t="s">
        <v>136</v>
      </c>
      <c r="G53">
        <v>1.605430432772551</v>
      </c>
      <c r="H53">
        <v>1.6134575849364139</v>
      </c>
      <c r="I53">
        <v>1.6537940245598239</v>
      </c>
      <c r="J53">
        <v>1.6951388751738199</v>
      </c>
      <c r="K53">
        <v>1.7375173470531651</v>
      </c>
      <c r="L53">
        <v>1.7809552807294939</v>
      </c>
      <c r="M53">
        <v>1.8254791627477309</v>
      </c>
      <c r="N53">
        <v>1.8711161418164239</v>
      </c>
      <c r="O53">
        <v>1.9178940453618341</v>
      </c>
      <c r="P53">
        <v>1.9658413964958801</v>
      </c>
      <c r="Q53">
        <v>2.0149874314082772</v>
      </c>
      <c r="R53">
        <v>2.0653621171934842</v>
      </c>
      <c r="S53">
        <v>2.1169961701233211</v>
      </c>
      <c r="T53">
        <v>2.1699210743764041</v>
      </c>
      <c r="U53">
        <v>2.2241691012358138</v>
      </c>
      <c r="V53">
        <v>2.279773328766709</v>
      </c>
      <c r="W53">
        <v>2.3367676619858759</v>
      </c>
      <c r="X53">
        <v>2.395186853535523</v>
      </c>
    </row>
    <row r="54" spans="1:24">
      <c r="A54" t="s">
        <v>132</v>
      </c>
      <c r="B54" t="s">
        <v>94</v>
      </c>
      <c r="C54" t="s">
        <v>174</v>
      </c>
      <c r="E54" t="s">
        <v>175</v>
      </c>
      <c r="F54" t="s">
        <v>136</v>
      </c>
      <c r="G54">
        <v>0.1257155698946095</v>
      </c>
      <c r="H54">
        <v>0.12634414774408251</v>
      </c>
      <c r="I54">
        <v>0.12950275143768461</v>
      </c>
      <c r="J54">
        <v>0.1327403202236267</v>
      </c>
      <c r="K54">
        <v>0.1360588282292173</v>
      </c>
      <c r="L54">
        <v>0.13946029893494771</v>
      </c>
      <c r="M54">
        <v>0.14294680640832139</v>
      </c>
      <c r="N54">
        <v>0.1465204765685294</v>
      </c>
      <c r="O54">
        <v>0.15018348848274271</v>
      </c>
      <c r="P54">
        <v>0.15393807569481119</v>
      </c>
      <c r="Q54">
        <v>0.15778652758718151</v>
      </c>
      <c r="R54">
        <v>0.16173119077686099</v>
      </c>
      <c r="S54">
        <v>0.1657744705462825</v>
      </c>
      <c r="T54">
        <v>0.16991883230993951</v>
      </c>
      <c r="U54">
        <v>0.17416680311768801</v>
      </c>
      <c r="V54">
        <v>0.17852097319563021</v>
      </c>
      <c r="W54">
        <v>0.18298399752552089</v>
      </c>
      <c r="X54">
        <v>0.18755859746365891</v>
      </c>
    </row>
    <row r="55" spans="1:24">
      <c r="A55" t="s">
        <v>176</v>
      </c>
      <c r="B55" t="s">
        <v>177</v>
      </c>
      <c r="C55" t="s">
        <v>178</v>
      </c>
      <c r="E55" t="s">
        <v>179</v>
      </c>
      <c r="F55" t="s">
        <v>180</v>
      </c>
      <c r="G55">
        <v>3375.0740840299131</v>
      </c>
      <c r="H55">
        <v>3391.9494544500621</v>
      </c>
      <c r="I55">
        <v>3476.7481908113132</v>
      </c>
      <c r="J55">
        <v>3563.6668955815949</v>
      </c>
      <c r="K55">
        <v>3652.7585679711351</v>
      </c>
      <c r="L55">
        <v>3744.0775321704132</v>
      </c>
      <c r="M55">
        <v>3837.6794704746731</v>
      </c>
      <c r="N55">
        <v>3933.6214572365402</v>
      </c>
      <c r="O55">
        <v>4031.961993667453</v>
      </c>
      <c r="P55">
        <v>4132.7610435091392</v>
      </c>
      <c r="Q55">
        <v>4236.0800695968674</v>
      </c>
      <c r="R55">
        <v>4341.982071336789</v>
      </c>
      <c r="S55">
        <v>4450.5316231202087</v>
      </c>
      <c r="T55">
        <v>4561.7949136982133</v>
      </c>
      <c r="U55">
        <v>4675.8397865406687</v>
      </c>
      <c r="V55">
        <v>4792.7357812041846</v>
      </c>
      <c r="W55">
        <v>4912.5541757342889</v>
      </c>
      <c r="X55">
        <v>5035.3680301276454</v>
      </c>
    </row>
    <row r="56" spans="1:24">
      <c r="A56" t="s">
        <v>176</v>
      </c>
      <c r="B56" t="s">
        <v>177</v>
      </c>
      <c r="C56" t="s">
        <v>181</v>
      </c>
      <c r="E56" t="s">
        <v>182</v>
      </c>
      <c r="F56" t="s">
        <v>180</v>
      </c>
      <c r="G56">
        <v>405.00889008358951</v>
      </c>
      <c r="H56">
        <v>407.03393453400741</v>
      </c>
      <c r="I56">
        <v>417.20978289735763</v>
      </c>
      <c r="J56">
        <v>427.64002746979139</v>
      </c>
      <c r="K56">
        <v>438.33102815653621</v>
      </c>
      <c r="L56">
        <v>449.28930386044959</v>
      </c>
      <c r="M56">
        <v>460.5215364569608</v>
      </c>
      <c r="N56">
        <v>472.03457486838482</v>
      </c>
      <c r="O56">
        <v>483.83543924009427</v>
      </c>
      <c r="P56">
        <v>495.93132522109659</v>
      </c>
      <c r="Q56">
        <v>508.32960835162402</v>
      </c>
      <c r="R56">
        <v>521.03784856041455</v>
      </c>
      <c r="S56">
        <v>534.06379477442488</v>
      </c>
      <c r="T56">
        <v>547.41538964378549</v>
      </c>
      <c r="U56">
        <v>561.10077438488008</v>
      </c>
      <c r="V56">
        <v>575.128293744502</v>
      </c>
      <c r="W56">
        <v>589.50650108811453</v>
      </c>
      <c r="X56">
        <v>604.24416361531735</v>
      </c>
    </row>
    <row r="57" spans="1:24">
      <c r="A57" t="s">
        <v>176</v>
      </c>
      <c r="B57" t="s">
        <v>177</v>
      </c>
      <c r="C57" t="s">
        <v>183</v>
      </c>
      <c r="E57" t="s">
        <v>184</v>
      </c>
      <c r="F57" t="s">
        <v>180</v>
      </c>
      <c r="G57">
        <v>540.01185344478597</v>
      </c>
      <c r="H57">
        <v>542.71191271200985</v>
      </c>
      <c r="I57">
        <v>556.27971052981002</v>
      </c>
      <c r="J57">
        <v>570.18670329305519</v>
      </c>
      <c r="K57">
        <v>584.44137087538149</v>
      </c>
      <c r="L57">
        <v>599.05240514726597</v>
      </c>
      <c r="M57">
        <v>614.02871527594755</v>
      </c>
      <c r="N57">
        <v>629.37943315784617</v>
      </c>
      <c r="O57">
        <v>645.11391898679221</v>
      </c>
      <c r="P57">
        <v>661.24176696146196</v>
      </c>
      <c r="Q57">
        <v>677.7728111354985</v>
      </c>
      <c r="R57">
        <v>694.71713141388591</v>
      </c>
      <c r="S57">
        <v>712.08505969923294</v>
      </c>
      <c r="T57">
        <v>729.88718619171368</v>
      </c>
      <c r="U57">
        <v>748.13436584650651</v>
      </c>
      <c r="V57">
        <v>766.83772499266911</v>
      </c>
      <c r="W57">
        <v>786.00866811748574</v>
      </c>
      <c r="X57">
        <v>805.65888482042283</v>
      </c>
    </row>
    <row r="58" spans="1:24">
      <c r="A58" t="s">
        <v>176</v>
      </c>
      <c r="B58" t="s">
        <v>177</v>
      </c>
      <c r="C58" t="s">
        <v>185</v>
      </c>
      <c r="E58" t="s">
        <v>186</v>
      </c>
      <c r="F58" t="s">
        <v>180</v>
      </c>
      <c r="G58">
        <v>1350.029633611965</v>
      </c>
      <c r="H58">
        <v>1356.7797817800249</v>
      </c>
      <c r="I58">
        <v>1390.699276324525</v>
      </c>
      <c r="J58">
        <v>1425.4667582326381</v>
      </c>
      <c r="K58">
        <v>1461.1034271884539</v>
      </c>
      <c r="L58">
        <v>1497.631012868165</v>
      </c>
      <c r="M58">
        <v>1535.071788189869</v>
      </c>
      <c r="N58">
        <v>1573.448582894616</v>
      </c>
      <c r="O58">
        <v>1612.784797466981</v>
      </c>
      <c r="P58">
        <v>1653.1044174036549</v>
      </c>
      <c r="Q58">
        <v>1694.432027838747</v>
      </c>
      <c r="R58">
        <v>1736.792828534715</v>
      </c>
      <c r="S58">
        <v>1780.2126492480829</v>
      </c>
      <c r="T58">
        <v>1824.7179654792851</v>
      </c>
      <c r="U58">
        <v>1870.335914616267</v>
      </c>
      <c r="V58">
        <v>1917.0943124816729</v>
      </c>
      <c r="W58">
        <v>1965.021670293715</v>
      </c>
      <c r="X58">
        <v>2014.147212051058</v>
      </c>
    </row>
    <row r="59" spans="1:24">
      <c r="A59" t="s">
        <v>176</v>
      </c>
      <c r="B59" t="s">
        <v>177</v>
      </c>
      <c r="C59" t="s">
        <v>187</v>
      </c>
      <c r="E59" t="s">
        <v>188</v>
      </c>
      <c r="F59" t="s">
        <v>180</v>
      </c>
      <c r="G59">
        <v>1485.0325969731609</v>
      </c>
      <c r="H59">
        <v>1492.4577599580271</v>
      </c>
      <c r="I59">
        <v>1529.769203956977</v>
      </c>
      <c r="J59">
        <v>1568.0134340559021</v>
      </c>
      <c r="K59">
        <v>1607.2137699072989</v>
      </c>
      <c r="L59">
        <v>1647.394114154981</v>
      </c>
      <c r="M59">
        <v>1688.5789670088559</v>
      </c>
      <c r="N59">
        <v>1730.793441184077</v>
      </c>
      <c r="O59">
        <v>1774.0632772136789</v>
      </c>
      <c r="P59">
        <v>1818.414859144021</v>
      </c>
      <c r="Q59">
        <v>1863.8752306226211</v>
      </c>
      <c r="R59">
        <v>1910.472111388186</v>
      </c>
      <c r="S59">
        <v>1958.233914172891</v>
      </c>
      <c r="T59">
        <v>2007.189762027213</v>
      </c>
      <c r="U59">
        <v>2057.3695060778932</v>
      </c>
      <c r="V59">
        <v>2108.8037437298399</v>
      </c>
      <c r="W59">
        <v>2161.5238373230859</v>
      </c>
      <c r="X59">
        <v>2215.5619332561628</v>
      </c>
    </row>
    <row r="60" spans="1:24">
      <c r="A60" t="s">
        <v>176</v>
      </c>
      <c r="B60" t="s">
        <v>177</v>
      </c>
      <c r="C60" t="s">
        <v>189</v>
      </c>
      <c r="E60" t="s">
        <v>190</v>
      </c>
      <c r="F60" t="s">
        <v>180</v>
      </c>
      <c r="G60">
        <v>1080.0237068895719</v>
      </c>
      <c r="H60">
        <v>1085.4238254240199</v>
      </c>
      <c r="I60">
        <v>1112.55942105962</v>
      </c>
      <c r="J60">
        <v>1140.3734065861099</v>
      </c>
      <c r="K60">
        <v>1168.882741750763</v>
      </c>
      <c r="L60">
        <v>1198.1048102945319</v>
      </c>
      <c r="M60">
        <v>1228.0574305518951</v>
      </c>
      <c r="N60">
        <v>1258.7588663156921</v>
      </c>
      <c r="O60">
        <v>1290.227837973584</v>
      </c>
      <c r="P60">
        <v>1322.4835339229239</v>
      </c>
      <c r="Q60">
        <v>1355.545622270997</v>
      </c>
      <c r="R60">
        <v>1389.434262827772</v>
      </c>
      <c r="S60">
        <v>1424.1701193984661</v>
      </c>
      <c r="T60">
        <v>1459.7743723834269</v>
      </c>
      <c r="U60">
        <v>1496.268731693013</v>
      </c>
      <c r="V60">
        <v>1533.675449985338</v>
      </c>
      <c r="W60">
        <v>1572.017336234971</v>
      </c>
      <c r="X60">
        <v>1611.3177696408461</v>
      </c>
    </row>
    <row r="61" spans="1:24">
      <c r="A61" t="s">
        <v>176</v>
      </c>
      <c r="B61" t="s">
        <v>177</v>
      </c>
      <c r="C61" t="s">
        <v>191</v>
      </c>
      <c r="E61" t="s">
        <v>192</v>
      </c>
      <c r="F61" t="s">
        <v>180</v>
      </c>
      <c r="G61">
        <v>5265.1155710866633</v>
      </c>
      <c r="H61">
        <v>5291.4411489420963</v>
      </c>
      <c r="I61">
        <v>5423.727177665648</v>
      </c>
      <c r="J61">
        <v>5559.3203571072891</v>
      </c>
      <c r="K61">
        <v>5698.3033660349711</v>
      </c>
      <c r="L61">
        <v>5840.7609501858451</v>
      </c>
      <c r="M61">
        <v>5986.7799739404909</v>
      </c>
      <c r="N61">
        <v>6136.4494732890034</v>
      </c>
      <c r="O61">
        <v>6289.8607101212274</v>
      </c>
      <c r="P61">
        <v>6447.1072278742577</v>
      </c>
      <c r="Q61">
        <v>6608.2849085711132</v>
      </c>
      <c r="R61">
        <v>6773.4920312853901</v>
      </c>
      <c r="S61">
        <v>6942.8293320675239</v>
      </c>
      <c r="T61">
        <v>7116.400065369211</v>
      </c>
      <c r="U61">
        <v>7294.310067003441</v>
      </c>
      <c r="V61">
        <v>7476.6678186785266</v>
      </c>
      <c r="W61">
        <v>7663.5845141454893</v>
      </c>
      <c r="X61">
        <v>7855.1741269991262</v>
      </c>
    </row>
    <row r="62" spans="1:24">
      <c r="A62" t="s">
        <v>176</v>
      </c>
      <c r="B62" t="s">
        <v>177</v>
      </c>
      <c r="C62" t="s">
        <v>193</v>
      </c>
      <c r="E62" t="s">
        <v>194</v>
      </c>
      <c r="F62" t="s">
        <v>180</v>
      </c>
      <c r="G62">
        <v>206463.0681189782</v>
      </c>
      <c r="H62">
        <v>0</v>
      </c>
      <c r="I62">
        <v>0</v>
      </c>
      <c r="J62">
        <v>0</v>
      </c>
      <c r="K62">
        <v>0</v>
      </c>
      <c r="L62">
        <v>0</v>
      </c>
      <c r="M62">
        <v>0</v>
      </c>
      <c r="N62">
        <v>0</v>
      </c>
      <c r="O62">
        <v>0</v>
      </c>
      <c r="P62">
        <v>0</v>
      </c>
      <c r="Q62">
        <v>0</v>
      </c>
      <c r="R62">
        <v>0</v>
      </c>
      <c r="S62">
        <v>0</v>
      </c>
      <c r="T62">
        <v>0</v>
      </c>
      <c r="U62">
        <v>0</v>
      </c>
      <c r="V62">
        <v>0</v>
      </c>
      <c r="W62">
        <v>0</v>
      </c>
      <c r="X62">
        <v>0</v>
      </c>
    </row>
    <row r="63" spans="1:24">
      <c r="A63" t="s">
        <v>176</v>
      </c>
      <c r="B63" t="s">
        <v>195</v>
      </c>
      <c r="C63" t="s">
        <v>196</v>
      </c>
      <c r="E63" t="s">
        <v>197</v>
      </c>
      <c r="F63" t="s">
        <v>198</v>
      </c>
      <c r="G63">
        <v>1957.9449839347731</v>
      </c>
      <c r="H63">
        <v>1967.7347088544459</v>
      </c>
      <c r="I63">
        <v>2016.9280765758069</v>
      </c>
      <c r="J63">
        <v>2067.3512784902018</v>
      </c>
      <c r="K63">
        <v>2119.0350604524569</v>
      </c>
      <c r="L63">
        <v>2172.010936963768</v>
      </c>
      <c r="M63">
        <v>2226.311210387862</v>
      </c>
      <c r="N63">
        <v>2281.9689906475578</v>
      </c>
      <c r="O63">
        <v>2339.0182154137469</v>
      </c>
      <c r="P63">
        <v>2397.493670799091</v>
      </c>
      <c r="Q63">
        <v>2457.4310125690681</v>
      </c>
      <c r="R63">
        <v>2518.8667878832939</v>
      </c>
      <c r="S63">
        <v>2581.8384575803761</v>
      </c>
      <c r="T63">
        <v>2646.3844190198852</v>
      </c>
      <c r="U63">
        <v>2712.5440294953819</v>
      </c>
      <c r="V63">
        <v>2780.357630232766</v>
      </c>
      <c r="W63">
        <v>2849.866570988585</v>
      </c>
      <c r="X63">
        <v>2921.113235263299</v>
      </c>
    </row>
    <row r="64" spans="1:24">
      <c r="A64" t="s">
        <v>176</v>
      </c>
      <c r="B64" t="s">
        <v>195</v>
      </c>
      <c r="C64" t="s">
        <v>199</v>
      </c>
      <c r="E64" t="s">
        <v>200</v>
      </c>
      <c r="F64" t="s">
        <v>198</v>
      </c>
      <c r="G64">
        <v>118.5672</v>
      </c>
      <c r="H64">
        <v>118.5672</v>
      </c>
      <c r="I64">
        <v>118.5672</v>
      </c>
      <c r="J64">
        <v>118.5672</v>
      </c>
      <c r="K64">
        <v>118.5672</v>
      </c>
      <c r="L64">
        <v>118.5672</v>
      </c>
      <c r="M64">
        <v>118.5672</v>
      </c>
      <c r="N64">
        <v>118.5672</v>
      </c>
      <c r="O64">
        <v>118.5672</v>
      </c>
      <c r="P64">
        <v>118.5672</v>
      </c>
      <c r="Q64">
        <v>118.5672</v>
      </c>
      <c r="R64">
        <v>118.5672</v>
      </c>
      <c r="S64">
        <v>118.5672</v>
      </c>
      <c r="T64">
        <v>118.5672</v>
      </c>
      <c r="U64">
        <v>118.5672</v>
      </c>
      <c r="V64">
        <v>118.5672</v>
      </c>
      <c r="W64">
        <v>118.5672</v>
      </c>
      <c r="X64">
        <v>118.5672</v>
      </c>
    </row>
    <row r="65" spans="1:24">
      <c r="A65" t="s">
        <v>201</v>
      </c>
      <c r="B65" t="s">
        <v>202</v>
      </c>
      <c r="E65" t="s">
        <v>203</v>
      </c>
      <c r="F65" t="s">
        <v>131</v>
      </c>
      <c r="G65">
        <v>-43034.141007505437</v>
      </c>
      <c r="H65">
        <v>-43034.141007505437</v>
      </c>
      <c r="I65">
        <v>-43034.141007505437</v>
      </c>
      <c r="J65">
        <v>-43034.141007505437</v>
      </c>
      <c r="K65">
        <v>-43034.141007505437</v>
      </c>
      <c r="L65">
        <v>-43034.141007505437</v>
      </c>
      <c r="M65">
        <v>-43034.141007505437</v>
      </c>
      <c r="N65">
        <v>-43034.141007505437</v>
      </c>
      <c r="O65">
        <v>-43034.141007505437</v>
      </c>
      <c r="P65">
        <v>-43034.141007505437</v>
      </c>
      <c r="Q65">
        <v>-43034.141007505437</v>
      </c>
      <c r="R65">
        <v>-43034.141007505437</v>
      </c>
      <c r="S65">
        <v>-43034.141007505437</v>
      </c>
      <c r="T65">
        <v>-43034.141007505437</v>
      </c>
      <c r="U65">
        <v>-43034.141007505437</v>
      </c>
      <c r="V65">
        <v>-43034.141007505437</v>
      </c>
      <c r="W65">
        <v>-43034.141007505437</v>
      </c>
      <c r="X65">
        <v>-43034.141007505437</v>
      </c>
    </row>
    <row r="66" spans="1:24">
      <c r="A66" t="s">
        <v>176</v>
      </c>
      <c r="B66" t="s">
        <v>195</v>
      </c>
      <c r="C66" t="s">
        <v>204</v>
      </c>
      <c r="E66" t="s">
        <v>205</v>
      </c>
      <c r="F66" t="s">
        <v>198</v>
      </c>
      <c r="G66">
        <v>1718.825872023252</v>
      </c>
      <c r="H66">
        <v>1727.4200013833679</v>
      </c>
      <c r="I66">
        <v>1770.6055014179519</v>
      </c>
      <c r="J66">
        <v>1814.8706389534011</v>
      </c>
      <c r="K66">
        <v>1860.2424049272361</v>
      </c>
      <c r="L66">
        <v>1906.7484650504171</v>
      </c>
      <c r="M66">
        <v>1954.4171766766769</v>
      </c>
      <c r="N66">
        <v>2003.2776060935939</v>
      </c>
      <c r="O66">
        <v>2053.359546245933</v>
      </c>
      <c r="P66">
        <v>2104.693534902081</v>
      </c>
      <c r="Q66">
        <v>2157.3108732746332</v>
      </c>
      <c r="R66">
        <v>2211.2436451064991</v>
      </c>
      <c r="S66">
        <v>2266.5247362341611</v>
      </c>
      <c r="T66">
        <v>2323.1878546400148</v>
      </c>
      <c r="U66">
        <v>2381.2675510060149</v>
      </c>
      <c r="V66">
        <v>2440.7992397811649</v>
      </c>
      <c r="W66">
        <v>2501.8192207756938</v>
      </c>
      <c r="X66">
        <v>2564.364701295086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50"/>
  <sheetViews>
    <sheetView tabSelected="1" zoomScale="50" zoomScaleNormal="50" workbookViewId="0">
      <selection sqref="A1:XFD1048576"/>
    </sheetView>
  </sheetViews>
  <sheetFormatPr defaultRowHeight="15"/>
  <cols>
    <col min="1" max="1" width="16.42578125" customWidth="1"/>
    <col min="2" max="2" width="23.28515625" customWidth="1"/>
    <col min="3" max="3" width="24.7109375" customWidth="1"/>
    <col min="4" max="4" width="15.28515625" customWidth="1"/>
    <col min="5" max="5" width="73.5703125" bestFit="1" customWidth="1"/>
    <col min="6" max="7" width="20.42578125" customWidth="1"/>
    <col min="8" max="8" width="22.85546875" bestFit="1" customWidth="1"/>
    <col min="9" max="9" width="23" bestFit="1" customWidth="1"/>
    <col min="10" max="10" width="29.85546875" bestFit="1" customWidth="1"/>
    <col min="11" max="11" width="25" bestFit="1" customWidth="1"/>
    <col min="12" max="12" width="25.28515625" customWidth="1"/>
    <col min="13" max="13" width="32.28515625" bestFit="1" customWidth="1"/>
    <col min="14" max="16" width="26" customWidth="1"/>
    <col min="17" max="18" width="20.140625" customWidth="1"/>
    <col min="19" max="19" width="26.7109375" customWidth="1"/>
    <col min="20" max="20" width="21.7109375" style="2" bestFit="1" customWidth="1"/>
    <col min="21" max="22" width="25.140625" style="2" bestFit="1" customWidth="1"/>
    <col min="23" max="23" width="20" customWidth="1"/>
    <col min="24" max="25" width="22.42578125" bestFit="1" customWidth="1"/>
  </cols>
  <sheetData>
    <row r="1" spans="1:23">
      <c r="A1" t="s">
        <v>71</v>
      </c>
      <c r="B1" t="s">
        <v>72</v>
      </c>
      <c r="C1" t="s">
        <v>73</v>
      </c>
      <c r="D1" t="s">
        <v>74</v>
      </c>
      <c r="E1" t="s">
        <v>206</v>
      </c>
      <c r="F1" t="s">
        <v>207</v>
      </c>
      <c r="G1" t="s">
        <v>208</v>
      </c>
      <c r="H1" t="s">
        <v>209</v>
      </c>
      <c r="I1" t="s">
        <v>210</v>
      </c>
      <c r="J1" t="s">
        <v>75</v>
      </c>
      <c r="K1" t="s">
        <v>211</v>
      </c>
      <c r="L1" t="s">
        <v>212</v>
      </c>
      <c r="M1" t="s">
        <v>213</v>
      </c>
      <c r="N1" t="s">
        <v>214</v>
      </c>
      <c r="O1" t="s">
        <v>215</v>
      </c>
      <c r="P1" t="s">
        <v>216</v>
      </c>
      <c r="Q1" t="s">
        <v>217</v>
      </c>
      <c r="R1" t="s">
        <v>218</v>
      </c>
      <c r="S1" t="s">
        <v>219</v>
      </c>
      <c r="T1" t="s">
        <v>220</v>
      </c>
      <c r="U1" t="s">
        <v>221</v>
      </c>
      <c r="V1" t="s">
        <v>222</v>
      </c>
      <c r="W1" t="s">
        <v>223</v>
      </c>
    </row>
    <row r="2" spans="1:23">
      <c r="A2" t="s">
        <v>176</v>
      </c>
      <c r="B2" t="s">
        <v>177</v>
      </c>
      <c r="C2" t="s">
        <v>178</v>
      </c>
      <c r="E2" t="s">
        <v>224</v>
      </c>
      <c r="F2" t="s">
        <v>225</v>
      </c>
      <c r="G2" t="s">
        <v>201</v>
      </c>
      <c r="H2" t="s">
        <v>226</v>
      </c>
      <c r="J2" t="s">
        <v>227</v>
      </c>
      <c r="K2" t="s">
        <v>228</v>
      </c>
      <c r="L2">
        <v>1</v>
      </c>
      <c r="M2">
        <v>3375.0740840299131</v>
      </c>
      <c r="N2">
        <v>0</v>
      </c>
      <c r="O2">
        <v>0</v>
      </c>
      <c r="P2">
        <v>0</v>
      </c>
      <c r="Q2">
        <v>0.9</v>
      </c>
      <c r="R2">
        <v>1</v>
      </c>
      <c r="S2">
        <v>3.7198607613593698E-3</v>
      </c>
      <c r="T2">
        <v>0.59045558551175448</v>
      </c>
      <c r="U2">
        <v>0</v>
      </c>
      <c r="V2">
        <v>1.1231422514723571E-2</v>
      </c>
      <c r="W2">
        <v>0</v>
      </c>
    </row>
    <row r="3" spans="1:23">
      <c r="A3" t="s">
        <v>176</v>
      </c>
      <c r="B3" t="s">
        <v>177</v>
      </c>
      <c r="C3" t="s">
        <v>178</v>
      </c>
      <c r="E3" t="s">
        <v>224</v>
      </c>
      <c r="F3" t="s">
        <v>225</v>
      </c>
      <c r="G3" t="s">
        <v>229</v>
      </c>
      <c r="H3" t="s">
        <v>230</v>
      </c>
      <c r="J3" t="s">
        <v>227</v>
      </c>
      <c r="K3" t="s">
        <v>228</v>
      </c>
      <c r="L3">
        <v>1</v>
      </c>
      <c r="M3">
        <v>3375.0740840299131</v>
      </c>
      <c r="N3">
        <v>0</v>
      </c>
      <c r="O3">
        <v>0</v>
      </c>
      <c r="P3">
        <v>0</v>
      </c>
      <c r="Q3">
        <v>0.9</v>
      </c>
      <c r="R3">
        <v>1</v>
      </c>
      <c r="S3">
        <v>5.0435778823074593E-3</v>
      </c>
      <c r="T3">
        <v>0.59045558551175448</v>
      </c>
      <c r="U3">
        <v>0</v>
      </c>
      <c r="V3">
        <v>1.1231422514723571E-2</v>
      </c>
      <c r="W3">
        <v>0</v>
      </c>
    </row>
    <row r="4" spans="1:23">
      <c r="A4" t="s">
        <v>176</v>
      </c>
      <c r="B4" t="s">
        <v>177</v>
      </c>
      <c r="C4" t="s">
        <v>181</v>
      </c>
      <c r="E4" t="s">
        <v>224</v>
      </c>
      <c r="F4" t="s">
        <v>225</v>
      </c>
      <c r="G4" t="s">
        <v>201</v>
      </c>
      <c r="H4" t="s">
        <v>226</v>
      </c>
      <c r="J4" t="s">
        <v>231</v>
      </c>
      <c r="K4" t="s">
        <v>232</v>
      </c>
      <c r="L4">
        <v>0</v>
      </c>
      <c r="M4">
        <v>405.00889008358951</v>
      </c>
      <c r="N4">
        <v>0</v>
      </c>
      <c r="O4">
        <v>0</v>
      </c>
      <c r="P4">
        <v>0</v>
      </c>
      <c r="Q4">
        <v>0.9</v>
      </c>
      <c r="R4">
        <v>1</v>
      </c>
      <c r="S4">
        <v>3.292923351575841E-3</v>
      </c>
      <c r="T4">
        <v>0</v>
      </c>
      <c r="U4">
        <v>0</v>
      </c>
      <c r="V4">
        <v>0</v>
      </c>
      <c r="W4">
        <v>0</v>
      </c>
    </row>
    <row r="5" spans="1:23">
      <c r="A5" t="s">
        <v>176</v>
      </c>
      <c r="B5" t="s">
        <v>177</v>
      </c>
      <c r="C5" t="s">
        <v>181</v>
      </c>
      <c r="E5" t="s">
        <v>224</v>
      </c>
      <c r="F5" t="s">
        <v>225</v>
      </c>
      <c r="G5" t="s">
        <v>229</v>
      </c>
      <c r="H5" t="s">
        <v>230</v>
      </c>
      <c r="J5" t="s">
        <v>231</v>
      </c>
      <c r="K5" t="s">
        <v>232</v>
      </c>
      <c r="L5">
        <v>0</v>
      </c>
      <c r="M5">
        <v>405.00889008358951</v>
      </c>
      <c r="N5">
        <v>0</v>
      </c>
      <c r="O5">
        <v>0</v>
      </c>
      <c r="P5">
        <v>0</v>
      </c>
      <c r="Q5">
        <v>0.9</v>
      </c>
      <c r="R5">
        <v>1</v>
      </c>
      <c r="S5">
        <v>3.8630599470705199E-3</v>
      </c>
      <c r="T5">
        <v>0</v>
      </c>
      <c r="U5">
        <v>0</v>
      </c>
      <c r="V5">
        <v>0</v>
      </c>
      <c r="W5">
        <v>0</v>
      </c>
    </row>
    <row r="6" spans="1:23">
      <c r="A6" t="s">
        <v>176</v>
      </c>
      <c r="B6" t="s">
        <v>177</v>
      </c>
      <c r="C6" t="s">
        <v>183</v>
      </c>
      <c r="E6" t="s">
        <v>224</v>
      </c>
      <c r="F6" t="s">
        <v>225</v>
      </c>
      <c r="G6" t="s">
        <v>201</v>
      </c>
      <c r="H6" t="s">
        <v>226</v>
      </c>
      <c r="J6" t="s">
        <v>233</v>
      </c>
      <c r="K6" t="s">
        <v>234</v>
      </c>
      <c r="L6">
        <v>0</v>
      </c>
      <c r="M6">
        <v>540.01185344478597</v>
      </c>
      <c r="N6">
        <v>0</v>
      </c>
      <c r="O6">
        <v>0</v>
      </c>
      <c r="P6">
        <v>0</v>
      </c>
      <c r="Q6">
        <v>0.9</v>
      </c>
      <c r="R6">
        <v>1</v>
      </c>
      <c r="S6">
        <v>3.2855945273980751E-3</v>
      </c>
      <c r="T6">
        <v>0</v>
      </c>
      <c r="U6">
        <v>0</v>
      </c>
      <c r="V6">
        <v>7.6625932637074037E-3</v>
      </c>
      <c r="W6">
        <v>0</v>
      </c>
    </row>
    <row r="7" spans="1:23">
      <c r="A7" t="s">
        <v>176</v>
      </c>
      <c r="B7" t="s">
        <v>177</v>
      </c>
      <c r="C7" t="s">
        <v>183</v>
      </c>
      <c r="E7" t="s">
        <v>224</v>
      </c>
      <c r="F7" t="s">
        <v>225</v>
      </c>
      <c r="G7" t="s">
        <v>229</v>
      </c>
      <c r="H7" t="s">
        <v>230</v>
      </c>
      <c r="J7" t="s">
        <v>233</v>
      </c>
      <c r="K7" t="s">
        <v>234</v>
      </c>
      <c r="L7">
        <v>0</v>
      </c>
      <c r="M7">
        <v>540.01185344478597</v>
      </c>
      <c r="N7">
        <v>0</v>
      </c>
      <c r="O7">
        <v>0</v>
      </c>
      <c r="P7">
        <v>0</v>
      </c>
      <c r="Q7">
        <v>0.9</v>
      </c>
      <c r="R7">
        <v>1</v>
      </c>
      <c r="S7">
        <v>3.860658590715015E-3</v>
      </c>
      <c r="T7">
        <v>0</v>
      </c>
      <c r="U7">
        <v>0</v>
      </c>
      <c r="V7">
        <v>7.6625932637074037E-3</v>
      </c>
      <c r="W7">
        <v>0</v>
      </c>
    </row>
    <row r="8" spans="1:23">
      <c r="A8" t="s">
        <v>176</v>
      </c>
      <c r="B8" t="s">
        <v>177</v>
      </c>
      <c r="C8" t="s">
        <v>185</v>
      </c>
      <c r="E8" t="s">
        <v>224</v>
      </c>
      <c r="F8" t="s">
        <v>225</v>
      </c>
      <c r="G8" t="s">
        <v>201</v>
      </c>
      <c r="H8" t="s">
        <v>226</v>
      </c>
      <c r="J8" t="s">
        <v>235</v>
      </c>
      <c r="K8" t="s">
        <v>236</v>
      </c>
      <c r="L8">
        <v>0</v>
      </c>
      <c r="M8">
        <v>1350.029633611965</v>
      </c>
      <c r="N8">
        <v>0</v>
      </c>
      <c r="O8">
        <v>0</v>
      </c>
      <c r="P8">
        <v>0</v>
      </c>
      <c r="Q8">
        <v>0.9</v>
      </c>
      <c r="R8">
        <v>1</v>
      </c>
      <c r="S8">
        <v>3.257440742916251E-3</v>
      </c>
      <c r="T8">
        <v>0</v>
      </c>
      <c r="U8">
        <v>0</v>
      </c>
      <c r="V8">
        <v>4.8992718185738159E-2</v>
      </c>
      <c r="W8">
        <v>0</v>
      </c>
    </row>
    <row r="9" spans="1:23">
      <c r="A9" t="s">
        <v>176</v>
      </c>
      <c r="B9" t="s">
        <v>177</v>
      </c>
      <c r="C9" t="s">
        <v>185</v>
      </c>
      <c r="E9" t="s">
        <v>224</v>
      </c>
      <c r="F9" t="s">
        <v>225</v>
      </c>
      <c r="G9" t="s">
        <v>229</v>
      </c>
      <c r="H9" t="s">
        <v>230</v>
      </c>
      <c r="J9" t="s">
        <v>235</v>
      </c>
      <c r="K9" t="s">
        <v>236</v>
      </c>
      <c r="L9">
        <v>0</v>
      </c>
      <c r="M9">
        <v>1350.029633611965</v>
      </c>
      <c r="N9">
        <v>0</v>
      </c>
      <c r="O9">
        <v>0</v>
      </c>
      <c r="P9">
        <v>0</v>
      </c>
      <c r="Q9">
        <v>0.9</v>
      </c>
      <c r="R9">
        <v>1</v>
      </c>
      <c r="S9">
        <v>4.1616591952464716E-3</v>
      </c>
      <c r="T9">
        <v>0</v>
      </c>
      <c r="U9">
        <v>0</v>
      </c>
      <c r="V9">
        <v>4.8992718185738159E-2</v>
      </c>
      <c r="W9">
        <v>0</v>
      </c>
    </row>
    <row r="10" spans="1:23">
      <c r="A10" t="s">
        <v>176</v>
      </c>
      <c r="B10" t="s">
        <v>177</v>
      </c>
      <c r="C10" t="s">
        <v>187</v>
      </c>
      <c r="E10" t="s">
        <v>224</v>
      </c>
      <c r="F10" t="s">
        <v>225</v>
      </c>
      <c r="G10" t="s">
        <v>201</v>
      </c>
      <c r="H10" t="s">
        <v>226</v>
      </c>
      <c r="J10" t="s">
        <v>237</v>
      </c>
      <c r="K10" t="s">
        <v>238</v>
      </c>
      <c r="L10">
        <v>1</v>
      </c>
      <c r="M10">
        <v>1485.0325969731609</v>
      </c>
      <c r="N10">
        <v>6.3636363636363644E-2</v>
      </c>
      <c r="O10">
        <v>94.502074352837539</v>
      </c>
      <c r="P10">
        <v>105.0023048364861</v>
      </c>
      <c r="Q10">
        <v>0.9</v>
      </c>
      <c r="R10">
        <v>1</v>
      </c>
      <c r="S10">
        <v>4.8784913135344254E-3</v>
      </c>
      <c r="T10">
        <v>1.9885476640467299</v>
      </c>
      <c r="U10">
        <v>0</v>
      </c>
      <c r="V10">
        <v>0.2298751941847397</v>
      </c>
      <c r="W10">
        <v>0.46102754884130231</v>
      </c>
    </row>
    <row r="11" spans="1:23">
      <c r="A11" t="s">
        <v>176</v>
      </c>
      <c r="B11" t="s">
        <v>177</v>
      </c>
      <c r="C11" t="s">
        <v>187</v>
      </c>
      <c r="E11" t="s">
        <v>224</v>
      </c>
      <c r="F11" t="s">
        <v>225</v>
      </c>
      <c r="G11" t="s">
        <v>229</v>
      </c>
      <c r="H11" t="s">
        <v>230</v>
      </c>
      <c r="J11" t="s">
        <v>237</v>
      </c>
      <c r="K11" t="s">
        <v>238</v>
      </c>
      <c r="L11">
        <v>1</v>
      </c>
      <c r="M11">
        <v>1485.0325969731609</v>
      </c>
      <c r="N11">
        <v>6.3636363636363644E-2</v>
      </c>
      <c r="O11">
        <v>94.502074352837539</v>
      </c>
      <c r="P11">
        <v>105.0023048364861</v>
      </c>
      <c r="Q11">
        <v>0.9</v>
      </c>
      <c r="R11">
        <v>1</v>
      </c>
      <c r="S11">
        <v>6.5600031323807626E-3</v>
      </c>
      <c r="T11">
        <v>1.9885476640467299</v>
      </c>
      <c r="U11">
        <v>0</v>
      </c>
      <c r="V11">
        <v>0.2298751941847397</v>
      </c>
      <c r="W11">
        <v>0.61993390377109403</v>
      </c>
    </row>
    <row r="12" spans="1:23">
      <c r="A12" t="s">
        <v>176</v>
      </c>
      <c r="B12" t="s">
        <v>177</v>
      </c>
      <c r="C12" t="s">
        <v>189</v>
      </c>
      <c r="E12" t="s">
        <v>224</v>
      </c>
      <c r="F12" t="s">
        <v>225</v>
      </c>
      <c r="G12" t="s">
        <v>201</v>
      </c>
      <c r="H12" t="s">
        <v>226</v>
      </c>
      <c r="J12" t="s">
        <v>239</v>
      </c>
      <c r="K12" t="s">
        <v>240</v>
      </c>
      <c r="L12">
        <v>1</v>
      </c>
      <c r="M12">
        <v>1080.0237068895719</v>
      </c>
      <c r="N12">
        <v>2.6530133928571429E-2</v>
      </c>
      <c r="O12">
        <v>28.653173589812521</v>
      </c>
      <c r="P12">
        <v>31.83685954423613</v>
      </c>
      <c r="Q12">
        <v>0.9</v>
      </c>
      <c r="R12">
        <v>1</v>
      </c>
      <c r="S12">
        <v>4.4521368008640172E-3</v>
      </c>
      <c r="T12">
        <v>1.969548000370138</v>
      </c>
      <c r="U12">
        <v>0</v>
      </c>
      <c r="V12">
        <v>0.25580030155448352</v>
      </c>
      <c r="W12">
        <v>0.1275678486007493</v>
      </c>
    </row>
    <row r="13" spans="1:23">
      <c r="A13" t="s">
        <v>176</v>
      </c>
      <c r="B13" t="s">
        <v>177</v>
      </c>
      <c r="C13" t="s">
        <v>189</v>
      </c>
      <c r="E13" t="s">
        <v>224</v>
      </c>
      <c r="F13" t="s">
        <v>225</v>
      </c>
      <c r="G13" t="s">
        <v>229</v>
      </c>
      <c r="H13" t="s">
        <v>230</v>
      </c>
      <c r="J13" t="s">
        <v>239</v>
      </c>
      <c r="K13" t="s">
        <v>240</v>
      </c>
      <c r="L13">
        <v>1</v>
      </c>
      <c r="M13">
        <v>1080.0237068895719</v>
      </c>
      <c r="N13">
        <v>2.6530133928571429E-2</v>
      </c>
      <c r="O13">
        <v>28.653173589812521</v>
      </c>
      <c r="P13">
        <v>31.83685954423613</v>
      </c>
      <c r="Q13">
        <v>0.9</v>
      </c>
      <c r="R13">
        <v>1</v>
      </c>
      <c r="S13">
        <v>8.8196440853047561E-3</v>
      </c>
      <c r="T13">
        <v>1.969548000370138</v>
      </c>
      <c r="U13">
        <v>0</v>
      </c>
      <c r="V13">
        <v>0.25580030155448352</v>
      </c>
      <c r="W13">
        <v>0.25271079297660037</v>
      </c>
    </row>
    <row r="14" spans="1:23">
      <c r="A14" t="s">
        <v>176</v>
      </c>
      <c r="B14" t="s">
        <v>177</v>
      </c>
      <c r="C14" t="s">
        <v>241</v>
      </c>
      <c r="E14" t="s">
        <v>224</v>
      </c>
      <c r="F14" t="s">
        <v>225</v>
      </c>
      <c r="G14" t="s">
        <v>201</v>
      </c>
      <c r="H14" t="s">
        <v>226</v>
      </c>
      <c r="J14" t="s">
        <v>242</v>
      </c>
      <c r="K14" t="s">
        <v>243</v>
      </c>
      <c r="L14">
        <v>0</v>
      </c>
      <c r="M14">
        <v>5265.1155710866633</v>
      </c>
      <c r="N14">
        <v>0</v>
      </c>
      <c r="O14">
        <v>0</v>
      </c>
      <c r="P14">
        <v>0</v>
      </c>
      <c r="Q14">
        <v>0.9</v>
      </c>
      <c r="R14">
        <v>1</v>
      </c>
      <c r="S14">
        <v>4.931835970136223E-3</v>
      </c>
      <c r="T14">
        <v>0</v>
      </c>
      <c r="U14">
        <v>0</v>
      </c>
      <c r="V14">
        <v>9.4419338793118063E-2</v>
      </c>
      <c r="W14">
        <v>0</v>
      </c>
    </row>
    <row r="15" spans="1:23">
      <c r="A15" t="s">
        <v>176</v>
      </c>
      <c r="B15" t="s">
        <v>177</v>
      </c>
      <c r="C15" t="s">
        <v>241</v>
      </c>
      <c r="E15" t="s">
        <v>224</v>
      </c>
      <c r="F15" t="s">
        <v>225</v>
      </c>
      <c r="G15" t="s">
        <v>229</v>
      </c>
      <c r="H15" t="s">
        <v>230</v>
      </c>
      <c r="J15" t="s">
        <v>242</v>
      </c>
      <c r="K15" t="s">
        <v>243</v>
      </c>
      <c r="L15">
        <v>0</v>
      </c>
      <c r="M15">
        <v>5265.1155710866633</v>
      </c>
      <c r="N15">
        <v>0</v>
      </c>
      <c r="O15">
        <v>0</v>
      </c>
      <c r="P15">
        <v>0</v>
      </c>
      <c r="Q15">
        <v>0.9</v>
      </c>
      <c r="R15">
        <v>1</v>
      </c>
      <c r="S15">
        <v>8.2128726584979102E-3</v>
      </c>
      <c r="T15">
        <v>0</v>
      </c>
      <c r="U15">
        <v>0</v>
      </c>
      <c r="V15">
        <v>9.4419338793118063E-2</v>
      </c>
      <c r="W15">
        <v>0</v>
      </c>
    </row>
    <row r="16" spans="1:23">
      <c r="A16" t="s">
        <v>176</v>
      </c>
      <c r="B16" t="s">
        <v>177</v>
      </c>
      <c r="C16" t="s">
        <v>178</v>
      </c>
      <c r="E16" t="s">
        <v>244</v>
      </c>
      <c r="F16" t="s">
        <v>225</v>
      </c>
      <c r="G16" t="s">
        <v>201</v>
      </c>
      <c r="H16" t="s">
        <v>226</v>
      </c>
      <c r="J16" t="s">
        <v>227</v>
      </c>
      <c r="K16" t="s">
        <v>245</v>
      </c>
      <c r="L16">
        <v>1</v>
      </c>
      <c r="M16">
        <v>3375.0740840299131</v>
      </c>
      <c r="N16">
        <v>0</v>
      </c>
      <c r="O16">
        <v>0</v>
      </c>
      <c r="P16">
        <v>0</v>
      </c>
      <c r="Q16">
        <v>0.9</v>
      </c>
      <c r="R16">
        <v>1</v>
      </c>
      <c r="S16">
        <v>0.39699330255981308</v>
      </c>
      <c r="T16">
        <v>4.0822852018575722</v>
      </c>
      <c r="U16">
        <v>0</v>
      </c>
      <c r="V16">
        <v>4.8656386951050699E-2</v>
      </c>
      <c r="W16">
        <v>0</v>
      </c>
    </row>
    <row r="17" spans="1:23">
      <c r="A17" t="s">
        <v>176</v>
      </c>
      <c r="B17" t="s">
        <v>177</v>
      </c>
      <c r="C17" t="s">
        <v>178</v>
      </c>
      <c r="E17" t="s">
        <v>244</v>
      </c>
      <c r="F17" t="s">
        <v>225</v>
      </c>
      <c r="G17" t="s">
        <v>229</v>
      </c>
      <c r="H17" t="s">
        <v>230</v>
      </c>
      <c r="J17" t="s">
        <v>227</v>
      </c>
      <c r="K17" t="s">
        <v>245</v>
      </c>
      <c r="L17">
        <v>1</v>
      </c>
      <c r="M17">
        <v>3375.0740840299131</v>
      </c>
      <c r="N17">
        <v>0</v>
      </c>
      <c r="O17">
        <v>0</v>
      </c>
      <c r="P17">
        <v>0</v>
      </c>
      <c r="Q17">
        <v>0.9</v>
      </c>
      <c r="R17">
        <v>1</v>
      </c>
      <c r="S17">
        <v>2.0209815325167971E-2</v>
      </c>
      <c r="T17">
        <v>4.0822852018575722</v>
      </c>
      <c r="U17">
        <v>0</v>
      </c>
      <c r="V17">
        <v>4.8656386951050699E-2</v>
      </c>
      <c r="W17">
        <v>0</v>
      </c>
    </row>
    <row r="18" spans="1:23">
      <c r="A18" t="s">
        <v>176</v>
      </c>
      <c r="B18" t="s">
        <v>177</v>
      </c>
      <c r="C18" t="s">
        <v>178</v>
      </c>
      <c r="E18" t="s">
        <v>244</v>
      </c>
      <c r="F18" t="s">
        <v>246</v>
      </c>
      <c r="G18" t="s">
        <v>247</v>
      </c>
      <c r="I18" t="s">
        <v>248</v>
      </c>
      <c r="J18" t="s">
        <v>227</v>
      </c>
      <c r="K18" t="s">
        <v>245</v>
      </c>
      <c r="L18">
        <v>1</v>
      </c>
      <c r="M18">
        <v>3375.0740840299131</v>
      </c>
      <c r="N18">
        <v>0</v>
      </c>
      <c r="O18">
        <v>0</v>
      </c>
      <c r="P18">
        <v>0</v>
      </c>
      <c r="Q18">
        <v>0.9</v>
      </c>
      <c r="R18">
        <v>1</v>
      </c>
      <c r="S18">
        <v>2.5551929263706841</v>
      </c>
      <c r="T18">
        <v>4.0822852018575722</v>
      </c>
      <c r="U18">
        <v>0</v>
      </c>
      <c r="V18">
        <v>4.8656386951050699E-2</v>
      </c>
      <c r="W18">
        <v>0</v>
      </c>
    </row>
    <row r="19" spans="1:23">
      <c r="A19" t="s">
        <v>176</v>
      </c>
      <c r="B19" t="s">
        <v>177</v>
      </c>
      <c r="C19" t="s">
        <v>181</v>
      </c>
      <c r="E19" t="s">
        <v>244</v>
      </c>
      <c r="F19" t="s">
        <v>225</v>
      </c>
      <c r="G19" t="s">
        <v>201</v>
      </c>
      <c r="H19" t="s">
        <v>226</v>
      </c>
      <c r="J19" t="s">
        <v>231</v>
      </c>
      <c r="K19" t="s">
        <v>249</v>
      </c>
      <c r="L19">
        <v>0</v>
      </c>
      <c r="M19">
        <v>405.00889008358951</v>
      </c>
      <c r="N19">
        <v>0</v>
      </c>
      <c r="O19">
        <v>0</v>
      </c>
      <c r="P19">
        <v>0</v>
      </c>
      <c r="Q19">
        <v>0.9</v>
      </c>
      <c r="R19">
        <v>1</v>
      </c>
      <c r="S19">
        <v>0.22186353216844701</v>
      </c>
      <c r="T19">
        <v>0</v>
      </c>
      <c r="U19">
        <v>0</v>
      </c>
      <c r="V19">
        <v>0</v>
      </c>
      <c r="W19">
        <v>0</v>
      </c>
    </row>
    <row r="20" spans="1:23">
      <c r="A20" t="s">
        <v>176</v>
      </c>
      <c r="B20" t="s">
        <v>177</v>
      </c>
      <c r="C20" t="s">
        <v>181</v>
      </c>
      <c r="E20" t="s">
        <v>244</v>
      </c>
      <c r="F20" t="s">
        <v>225</v>
      </c>
      <c r="G20" t="s">
        <v>229</v>
      </c>
      <c r="H20" t="s">
        <v>230</v>
      </c>
      <c r="J20" t="s">
        <v>231</v>
      </c>
      <c r="K20" t="s">
        <v>249</v>
      </c>
      <c r="L20">
        <v>0</v>
      </c>
      <c r="M20">
        <v>405.00889008358951</v>
      </c>
      <c r="N20">
        <v>0</v>
      </c>
      <c r="O20">
        <v>0</v>
      </c>
      <c r="P20">
        <v>0</v>
      </c>
      <c r="Q20">
        <v>0.9</v>
      </c>
      <c r="R20">
        <v>1</v>
      </c>
      <c r="S20">
        <v>2.5027737402127741E-3</v>
      </c>
      <c r="T20">
        <v>0</v>
      </c>
      <c r="U20">
        <v>0</v>
      </c>
      <c r="V20">
        <v>0</v>
      </c>
      <c r="W20">
        <v>0</v>
      </c>
    </row>
    <row r="21" spans="1:23">
      <c r="A21" t="s">
        <v>176</v>
      </c>
      <c r="B21" t="s">
        <v>177</v>
      </c>
      <c r="C21" t="s">
        <v>181</v>
      </c>
      <c r="E21" t="s">
        <v>244</v>
      </c>
      <c r="F21" t="s">
        <v>246</v>
      </c>
      <c r="G21" t="s">
        <v>247</v>
      </c>
      <c r="I21" t="s">
        <v>248</v>
      </c>
      <c r="J21" t="s">
        <v>231</v>
      </c>
      <c r="K21" t="s">
        <v>249</v>
      </c>
      <c r="L21">
        <v>0</v>
      </c>
      <c r="M21">
        <v>405.00889008358951</v>
      </c>
      <c r="N21">
        <v>0</v>
      </c>
      <c r="O21">
        <v>0</v>
      </c>
      <c r="P21">
        <v>0</v>
      </c>
      <c r="Q21">
        <v>0.9</v>
      </c>
      <c r="R21">
        <v>1</v>
      </c>
      <c r="S21">
        <v>0</v>
      </c>
      <c r="T21">
        <v>0</v>
      </c>
      <c r="U21">
        <v>0</v>
      </c>
      <c r="V21">
        <v>0</v>
      </c>
      <c r="W21">
        <v>0</v>
      </c>
    </row>
    <row r="22" spans="1:23">
      <c r="A22" t="s">
        <v>176</v>
      </c>
      <c r="B22" t="s">
        <v>177</v>
      </c>
      <c r="C22" t="s">
        <v>183</v>
      </c>
      <c r="E22" t="s">
        <v>244</v>
      </c>
      <c r="F22" t="s">
        <v>225</v>
      </c>
      <c r="G22" t="s">
        <v>201</v>
      </c>
      <c r="H22" t="s">
        <v>226</v>
      </c>
      <c r="J22" t="s">
        <v>233</v>
      </c>
      <c r="K22" t="s">
        <v>250</v>
      </c>
      <c r="L22">
        <v>0</v>
      </c>
      <c r="M22">
        <v>540.01185344478597</v>
      </c>
      <c r="N22">
        <v>0</v>
      </c>
      <c r="O22">
        <v>0</v>
      </c>
      <c r="P22">
        <v>0</v>
      </c>
      <c r="Q22">
        <v>0.9</v>
      </c>
      <c r="R22">
        <v>1</v>
      </c>
      <c r="S22">
        <v>0.2208701180293888</v>
      </c>
      <c r="T22">
        <v>0</v>
      </c>
      <c r="U22">
        <v>0</v>
      </c>
      <c r="V22">
        <v>0</v>
      </c>
      <c r="W22">
        <v>0</v>
      </c>
    </row>
    <row r="23" spans="1:23">
      <c r="A23" t="s">
        <v>176</v>
      </c>
      <c r="B23" t="s">
        <v>177</v>
      </c>
      <c r="C23" t="s">
        <v>183</v>
      </c>
      <c r="E23" t="s">
        <v>244</v>
      </c>
      <c r="F23" t="s">
        <v>225</v>
      </c>
      <c r="G23" t="s">
        <v>229</v>
      </c>
      <c r="H23" t="s">
        <v>230</v>
      </c>
      <c r="J23" t="s">
        <v>233</v>
      </c>
      <c r="K23" t="s">
        <v>250</v>
      </c>
      <c r="L23">
        <v>0</v>
      </c>
      <c r="M23">
        <v>540.01185344478597</v>
      </c>
      <c r="N23">
        <v>0</v>
      </c>
      <c r="O23">
        <v>0</v>
      </c>
      <c r="P23">
        <v>0</v>
      </c>
      <c r="Q23">
        <v>0.9</v>
      </c>
      <c r="R23">
        <v>1</v>
      </c>
      <c r="S23">
        <v>2.394800759347766E-3</v>
      </c>
      <c r="T23">
        <v>0</v>
      </c>
      <c r="U23">
        <v>0</v>
      </c>
      <c r="V23">
        <v>0</v>
      </c>
      <c r="W23">
        <v>0</v>
      </c>
    </row>
    <row r="24" spans="1:23">
      <c r="A24" t="s">
        <v>176</v>
      </c>
      <c r="B24" t="s">
        <v>177</v>
      </c>
      <c r="C24" t="s">
        <v>183</v>
      </c>
      <c r="E24" t="s">
        <v>244</v>
      </c>
      <c r="F24" t="s">
        <v>246</v>
      </c>
      <c r="G24" t="s">
        <v>247</v>
      </c>
      <c r="I24" t="s">
        <v>248</v>
      </c>
      <c r="J24" t="s">
        <v>233</v>
      </c>
      <c r="K24" t="s">
        <v>250</v>
      </c>
      <c r="L24">
        <v>0</v>
      </c>
      <c r="M24">
        <v>540.01185344478597</v>
      </c>
      <c r="N24">
        <v>0</v>
      </c>
      <c r="O24">
        <v>0</v>
      </c>
      <c r="P24">
        <v>0</v>
      </c>
      <c r="Q24">
        <v>0.9</v>
      </c>
      <c r="R24">
        <v>1</v>
      </c>
      <c r="S24">
        <v>0</v>
      </c>
      <c r="T24">
        <v>0</v>
      </c>
      <c r="U24">
        <v>0</v>
      </c>
      <c r="V24">
        <v>0</v>
      </c>
      <c r="W24">
        <v>0</v>
      </c>
    </row>
    <row r="25" spans="1:23">
      <c r="A25" t="s">
        <v>176</v>
      </c>
      <c r="B25" t="s">
        <v>177</v>
      </c>
      <c r="C25" t="s">
        <v>185</v>
      </c>
      <c r="E25" t="s">
        <v>244</v>
      </c>
      <c r="F25" t="s">
        <v>225</v>
      </c>
      <c r="G25" t="s">
        <v>201</v>
      </c>
      <c r="H25" t="s">
        <v>226</v>
      </c>
      <c r="J25" t="s">
        <v>235</v>
      </c>
      <c r="K25" t="s">
        <v>251</v>
      </c>
      <c r="L25">
        <v>0</v>
      </c>
      <c r="M25">
        <v>1350.029633611965</v>
      </c>
      <c r="N25">
        <v>0</v>
      </c>
      <c r="O25">
        <v>0</v>
      </c>
      <c r="P25">
        <v>0</v>
      </c>
      <c r="Q25">
        <v>0.9</v>
      </c>
      <c r="R25">
        <v>1</v>
      </c>
      <c r="S25">
        <v>0.22185413198701021</v>
      </c>
      <c r="T25">
        <v>0</v>
      </c>
      <c r="U25">
        <v>0</v>
      </c>
      <c r="V25">
        <v>0</v>
      </c>
      <c r="W25">
        <v>0</v>
      </c>
    </row>
    <row r="26" spans="1:23">
      <c r="A26" t="s">
        <v>176</v>
      </c>
      <c r="B26" t="s">
        <v>177</v>
      </c>
      <c r="C26" t="s">
        <v>185</v>
      </c>
      <c r="E26" t="s">
        <v>244</v>
      </c>
      <c r="F26" t="s">
        <v>225</v>
      </c>
      <c r="G26" t="s">
        <v>229</v>
      </c>
      <c r="H26" t="s">
        <v>230</v>
      </c>
      <c r="J26" t="s">
        <v>235</v>
      </c>
      <c r="K26" t="s">
        <v>251</v>
      </c>
      <c r="L26">
        <v>0</v>
      </c>
      <c r="M26">
        <v>1350.029633611965</v>
      </c>
      <c r="N26">
        <v>0</v>
      </c>
      <c r="O26">
        <v>0</v>
      </c>
      <c r="P26">
        <v>0</v>
      </c>
      <c r="Q26">
        <v>0.9</v>
      </c>
      <c r="R26">
        <v>1</v>
      </c>
      <c r="S26">
        <v>2.5017494209130229E-3</v>
      </c>
      <c r="T26">
        <v>0</v>
      </c>
      <c r="U26">
        <v>0</v>
      </c>
      <c r="V26">
        <v>0</v>
      </c>
      <c r="W26">
        <v>0</v>
      </c>
    </row>
    <row r="27" spans="1:23">
      <c r="A27" t="s">
        <v>176</v>
      </c>
      <c r="B27" t="s">
        <v>177</v>
      </c>
      <c r="C27" t="s">
        <v>185</v>
      </c>
      <c r="E27" t="s">
        <v>244</v>
      </c>
      <c r="F27" t="s">
        <v>246</v>
      </c>
      <c r="G27" t="s">
        <v>247</v>
      </c>
      <c r="I27" t="s">
        <v>248</v>
      </c>
      <c r="J27" t="s">
        <v>235</v>
      </c>
      <c r="K27" t="s">
        <v>251</v>
      </c>
      <c r="L27">
        <v>0</v>
      </c>
      <c r="M27">
        <v>1350.029633611965</v>
      </c>
      <c r="N27">
        <v>0</v>
      </c>
      <c r="O27">
        <v>0</v>
      </c>
      <c r="P27">
        <v>0</v>
      </c>
      <c r="Q27">
        <v>0.9</v>
      </c>
      <c r="R27">
        <v>1</v>
      </c>
      <c r="S27">
        <v>0</v>
      </c>
      <c r="T27">
        <v>0</v>
      </c>
      <c r="U27">
        <v>0</v>
      </c>
      <c r="V27">
        <v>0</v>
      </c>
      <c r="W27">
        <v>0</v>
      </c>
    </row>
    <row r="28" spans="1:23">
      <c r="A28" t="s">
        <v>176</v>
      </c>
      <c r="B28" t="s">
        <v>177</v>
      </c>
      <c r="C28" t="s">
        <v>187</v>
      </c>
      <c r="E28" t="s">
        <v>244</v>
      </c>
      <c r="F28" t="s">
        <v>225</v>
      </c>
      <c r="G28" t="s">
        <v>201</v>
      </c>
      <c r="H28" t="s">
        <v>226</v>
      </c>
      <c r="J28" t="s">
        <v>237</v>
      </c>
      <c r="K28" t="s">
        <v>252</v>
      </c>
      <c r="L28">
        <v>1</v>
      </c>
      <c r="M28">
        <v>1485.0325969731609</v>
      </c>
      <c r="N28">
        <v>0</v>
      </c>
      <c r="O28">
        <v>0</v>
      </c>
      <c r="P28">
        <v>0</v>
      </c>
      <c r="Q28">
        <v>0.9</v>
      </c>
      <c r="R28">
        <v>1</v>
      </c>
      <c r="S28">
        <v>0.2405790225480274</v>
      </c>
      <c r="T28">
        <v>3.9766619462770469</v>
      </c>
      <c r="U28">
        <v>0</v>
      </c>
      <c r="V28">
        <v>0.53538242490437882</v>
      </c>
      <c r="W28">
        <v>0</v>
      </c>
    </row>
    <row r="29" spans="1:23">
      <c r="A29" t="s">
        <v>176</v>
      </c>
      <c r="B29" t="s">
        <v>177</v>
      </c>
      <c r="C29" t="s">
        <v>187</v>
      </c>
      <c r="E29" t="s">
        <v>244</v>
      </c>
      <c r="F29" t="s">
        <v>225</v>
      </c>
      <c r="G29" t="s">
        <v>229</v>
      </c>
      <c r="H29" t="s">
        <v>230</v>
      </c>
      <c r="J29" t="s">
        <v>237</v>
      </c>
      <c r="K29" t="s">
        <v>252</v>
      </c>
      <c r="L29">
        <v>1</v>
      </c>
      <c r="M29">
        <v>1485.0325969731609</v>
      </c>
      <c r="N29">
        <v>0</v>
      </c>
      <c r="O29">
        <v>0</v>
      </c>
      <c r="P29">
        <v>0</v>
      </c>
      <c r="Q29">
        <v>0.9</v>
      </c>
      <c r="R29">
        <v>1</v>
      </c>
      <c r="S29">
        <v>4.1551694077049256E-3</v>
      </c>
      <c r="T29">
        <v>3.9766619462770469</v>
      </c>
      <c r="U29">
        <v>0</v>
      </c>
      <c r="V29">
        <v>0.53538242490437882</v>
      </c>
      <c r="W29">
        <v>0</v>
      </c>
    </row>
    <row r="30" spans="1:23">
      <c r="A30" t="s">
        <v>176</v>
      </c>
      <c r="B30" t="s">
        <v>177</v>
      </c>
      <c r="C30" t="s">
        <v>187</v>
      </c>
      <c r="E30" t="s">
        <v>244</v>
      </c>
      <c r="F30" t="s">
        <v>246</v>
      </c>
      <c r="G30" t="s">
        <v>247</v>
      </c>
      <c r="I30" t="s">
        <v>248</v>
      </c>
      <c r="J30" t="s">
        <v>237</v>
      </c>
      <c r="K30" t="s">
        <v>252</v>
      </c>
      <c r="L30">
        <v>1</v>
      </c>
      <c r="M30">
        <v>1485.0325969731609</v>
      </c>
      <c r="N30">
        <v>0</v>
      </c>
      <c r="O30">
        <v>0</v>
      </c>
      <c r="P30">
        <v>0</v>
      </c>
      <c r="Q30">
        <v>0.9</v>
      </c>
      <c r="R30">
        <v>1</v>
      </c>
      <c r="S30">
        <v>4.2239471420249988</v>
      </c>
      <c r="T30">
        <v>3.9766619462770469</v>
      </c>
      <c r="U30">
        <v>0</v>
      </c>
      <c r="V30">
        <v>0.53538242490437882</v>
      </c>
      <c r="W30">
        <v>0</v>
      </c>
    </row>
    <row r="31" spans="1:23">
      <c r="A31" t="s">
        <v>176</v>
      </c>
      <c r="B31" t="s">
        <v>177</v>
      </c>
      <c r="C31" t="s">
        <v>189</v>
      </c>
      <c r="E31" t="s">
        <v>244</v>
      </c>
      <c r="F31" t="s">
        <v>225</v>
      </c>
      <c r="G31" t="s">
        <v>201</v>
      </c>
      <c r="H31" t="s">
        <v>226</v>
      </c>
      <c r="J31" t="s">
        <v>239</v>
      </c>
      <c r="K31" t="s">
        <v>253</v>
      </c>
      <c r="L31">
        <v>1</v>
      </c>
      <c r="M31">
        <v>1080.0237068895719</v>
      </c>
      <c r="N31">
        <v>0</v>
      </c>
      <c r="O31">
        <v>0</v>
      </c>
      <c r="P31">
        <v>0</v>
      </c>
      <c r="Q31">
        <v>0.9</v>
      </c>
      <c r="R31">
        <v>1</v>
      </c>
      <c r="S31">
        <v>0.31462940038692561</v>
      </c>
      <c r="T31">
        <v>3.1453229258281872</v>
      </c>
      <c r="U31">
        <v>0</v>
      </c>
      <c r="V31">
        <v>0.23841366678113379</v>
      </c>
      <c r="W31">
        <v>0</v>
      </c>
    </row>
    <row r="32" spans="1:23">
      <c r="A32" t="s">
        <v>176</v>
      </c>
      <c r="B32" t="s">
        <v>177</v>
      </c>
      <c r="C32" t="s">
        <v>189</v>
      </c>
      <c r="E32" t="s">
        <v>244</v>
      </c>
      <c r="F32" t="s">
        <v>225</v>
      </c>
      <c r="G32" t="s">
        <v>229</v>
      </c>
      <c r="H32" t="s">
        <v>230</v>
      </c>
      <c r="J32" t="s">
        <v>239</v>
      </c>
      <c r="K32" t="s">
        <v>253</v>
      </c>
      <c r="L32">
        <v>1</v>
      </c>
      <c r="M32">
        <v>1080.0237068895719</v>
      </c>
      <c r="N32">
        <v>0</v>
      </c>
      <c r="O32">
        <v>0</v>
      </c>
      <c r="P32">
        <v>0</v>
      </c>
      <c r="Q32">
        <v>0.9</v>
      </c>
      <c r="R32">
        <v>1</v>
      </c>
      <c r="S32">
        <v>1.18690739705276E-2</v>
      </c>
      <c r="T32">
        <v>3.1453229258281872</v>
      </c>
      <c r="U32">
        <v>0</v>
      </c>
      <c r="V32">
        <v>0.23841366678113379</v>
      </c>
      <c r="W32">
        <v>0</v>
      </c>
    </row>
    <row r="33" spans="1:23">
      <c r="A33" t="s">
        <v>176</v>
      </c>
      <c r="B33" t="s">
        <v>177</v>
      </c>
      <c r="C33" t="s">
        <v>189</v>
      </c>
      <c r="E33" t="s">
        <v>244</v>
      </c>
      <c r="F33" t="s">
        <v>246</v>
      </c>
      <c r="G33" t="s">
        <v>247</v>
      </c>
      <c r="I33" t="s">
        <v>248</v>
      </c>
      <c r="J33" t="s">
        <v>239</v>
      </c>
      <c r="K33" t="s">
        <v>253</v>
      </c>
      <c r="L33">
        <v>1</v>
      </c>
      <c r="M33">
        <v>1080.0237068895719</v>
      </c>
      <c r="N33">
        <v>0</v>
      </c>
      <c r="O33">
        <v>0</v>
      </c>
      <c r="P33">
        <v>0</v>
      </c>
      <c r="Q33">
        <v>0.9</v>
      </c>
      <c r="R33">
        <v>1</v>
      </c>
      <c r="S33">
        <v>1.20896419189</v>
      </c>
      <c r="T33">
        <v>3.1453229258281872</v>
      </c>
      <c r="U33">
        <v>0</v>
      </c>
      <c r="V33">
        <v>0.23841366678113379</v>
      </c>
      <c r="W33">
        <v>0</v>
      </c>
    </row>
    <row r="34" spans="1:23">
      <c r="A34" t="s">
        <v>176</v>
      </c>
      <c r="B34" t="s">
        <v>177</v>
      </c>
      <c r="C34" t="s">
        <v>241</v>
      </c>
      <c r="E34" t="s">
        <v>244</v>
      </c>
      <c r="F34" t="s">
        <v>225</v>
      </c>
      <c r="G34" t="s">
        <v>201</v>
      </c>
      <c r="H34" t="s">
        <v>226</v>
      </c>
      <c r="J34" t="s">
        <v>242</v>
      </c>
      <c r="K34" t="s">
        <v>254</v>
      </c>
      <c r="L34">
        <v>1</v>
      </c>
      <c r="M34">
        <v>5265.1155710866633</v>
      </c>
      <c r="N34">
        <v>0</v>
      </c>
      <c r="O34">
        <v>0</v>
      </c>
      <c r="P34">
        <v>0</v>
      </c>
      <c r="Q34">
        <v>0.9</v>
      </c>
      <c r="R34">
        <v>1</v>
      </c>
      <c r="S34">
        <v>0.30609765977848391</v>
      </c>
      <c r="T34">
        <v>0.1492091497838344</v>
      </c>
      <c r="U34">
        <v>0</v>
      </c>
      <c r="V34">
        <v>0.150329751095714</v>
      </c>
      <c r="W34">
        <v>0</v>
      </c>
    </row>
    <row r="35" spans="1:23">
      <c r="A35" t="s">
        <v>176</v>
      </c>
      <c r="B35" t="s">
        <v>177</v>
      </c>
      <c r="C35" t="s">
        <v>241</v>
      </c>
      <c r="E35" t="s">
        <v>244</v>
      </c>
      <c r="F35" t="s">
        <v>225</v>
      </c>
      <c r="G35" t="s">
        <v>229</v>
      </c>
      <c r="H35" t="s">
        <v>230</v>
      </c>
      <c r="J35" t="s">
        <v>242</v>
      </c>
      <c r="K35" t="s">
        <v>254</v>
      </c>
      <c r="L35">
        <v>1</v>
      </c>
      <c r="M35">
        <v>5265.1155710866633</v>
      </c>
      <c r="N35">
        <v>0</v>
      </c>
      <c r="O35">
        <v>0</v>
      </c>
      <c r="P35">
        <v>0</v>
      </c>
      <c r="Q35">
        <v>0.9</v>
      </c>
      <c r="R35">
        <v>1</v>
      </c>
      <c r="S35">
        <v>1.1309842654738051E-2</v>
      </c>
      <c r="T35">
        <v>0.1492091497838344</v>
      </c>
      <c r="U35">
        <v>0</v>
      </c>
      <c r="V35">
        <v>0.150329751095714</v>
      </c>
      <c r="W35">
        <v>0</v>
      </c>
    </row>
    <row r="36" spans="1:23">
      <c r="A36" t="s">
        <v>176</v>
      </c>
      <c r="B36" t="s">
        <v>177</v>
      </c>
      <c r="C36" t="s">
        <v>241</v>
      </c>
      <c r="E36" t="s">
        <v>244</v>
      </c>
      <c r="F36" t="s">
        <v>246</v>
      </c>
      <c r="G36" t="s">
        <v>247</v>
      </c>
      <c r="I36" t="s">
        <v>248</v>
      </c>
      <c r="J36" t="s">
        <v>242</v>
      </c>
      <c r="K36" t="s">
        <v>254</v>
      </c>
      <c r="L36">
        <v>1</v>
      </c>
      <c r="M36">
        <v>5265.1155710866633</v>
      </c>
      <c r="N36">
        <v>0</v>
      </c>
      <c r="O36">
        <v>0</v>
      </c>
      <c r="P36">
        <v>0</v>
      </c>
      <c r="Q36">
        <v>0.9</v>
      </c>
      <c r="R36">
        <v>1</v>
      </c>
      <c r="S36">
        <v>0.19326305009753111</v>
      </c>
      <c r="T36">
        <v>0.1492091497838344</v>
      </c>
      <c r="U36">
        <v>0</v>
      </c>
      <c r="V36">
        <v>0.150329751095714</v>
      </c>
      <c r="W36">
        <v>0</v>
      </c>
    </row>
    <row r="37" spans="1:23">
      <c r="A37" t="s">
        <v>176</v>
      </c>
      <c r="B37" t="s">
        <v>177</v>
      </c>
      <c r="C37" t="s">
        <v>178</v>
      </c>
      <c r="E37" t="s">
        <v>255</v>
      </c>
      <c r="F37" t="s">
        <v>246</v>
      </c>
      <c r="G37" t="s">
        <v>201</v>
      </c>
      <c r="I37" t="s">
        <v>256</v>
      </c>
      <c r="J37" t="s">
        <v>227</v>
      </c>
      <c r="K37" t="s">
        <v>257</v>
      </c>
      <c r="L37">
        <v>1</v>
      </c>
      <c r="M37">
        <v>3375.0740840299131</v>
      </c>
      <c r="N37">
        <v>0</v>
      </c>
      <c r="O37">
        <v>0</v>
      </c>
      <c r="P37">
        <v>0</v>
      </c>
      <c r="Q37">
        <v>0.9</v>
      </c>
      <c r="R37">
        <v>1</v>
      </c>
      <c r="S37">
        <v>2.709039977776607</v>
      </c>
      <c r="T37">
        <v>1.1449374074807429E-2</v>
      </c>
      <c r="U37">
        <v>20.60979905101815</v>
      </c>
      <c r="V37">
        <v>1.490110646343961E-2</v>
      </c>
      <c r="W37">
        <v>0</v>
      </c>
    </row>
    <row r="38" spans="1:23">
      <c r="A38" t="s">
        <v>176</v>
      </c>
      <c r="B38" t="s">
        <v>177</v>
      </c>
      <c r="C38" t="s">
        <v>178</v>
      </c>
      <c r="E38" t="s">
        <v>255</v>
      </c>
      <c r="F38" t="s">
        <v>246</v>
      </c>
      <c r="G38" t="s">
        <v>258</v>
      </c>
      <c r="I38" t="s">
        <v>259</v>
      </c>
      <c r="J38" t="s">
        <v>227</v>
      </c>
      <c r="K38" t="s">
        <v>257</v>
      </c>
      <c r="L38">
        <v>1</v>
      </c>
      <c r="M38">
        <v>3375.0740840299131</v>
      </c>
      <c r="N38">
        <v>0</v>
      </c>
      <c r="O38">
        <v>0</v>
      </c>
      <c r="P38">
        <v>0</v>
      </c>
      <c r="Q38">
        <v>0.9</v>
      </c>
      <c r="R38">
        <v>1</v>
      </c>
      <c r="S38">
        <v>5.418079955553214</v>
      </c>
      <c r="T38">
        <v>1.1449374074807429E-2</v>
      </c>
      <c r="U38">
        <v>20.60979905101815</v>
      </c>
      <c r="V38">
        <v>1.490110646343961E-2</v>
      </c>
      <c r="W38">
        <v>0</v>
      </c>
    </row>
    <row r="39" spans="1:23">
      <c r="A39" t="s">
        <v>176</v>
      </c>
      <c r="B39" t="s">
        <v>177</v>
      </c>
      <c r="C39" t="s">
        <v>181</v>
      </c>
      <c r="E39" t="s">
        <v>255</v>
      </c>
      <c r="F39" t="s">
        <v>246</v>
      </c>
      <c r="G39" t="s">
        <v>201</v>
      </c>
      <c r="I39" t="s">
        <v>256</v>
      </c>
      <c r="J39" t="s">
        <v>231</v>
      </c>
      <c r="K39" t="s">
        <v>260</v>
      </c>
      <c r="L39">
        <v>1</v>
      </c>
      <c r="M39">
        <v>405.00889008358951</v>
      </c>
      <c r="N39">
        <v>0</v>
      </c>
      <c r="O39">
        <v>0</v>
      </c>
      <c r="P39">
        <v>0</v>
      </c>
      <c r="Q39">
        <v>0.9</v>
      </c>
      <c r="R39">
        <v>1</v>
      </c>
      <c r="S39">
        <v>0</v>
      </c>
      <c r="T39">
        <v>1.185822395988396E-2</v>
      </c>
      <c r="U39">
        <v>10.258114425571099</v>
      </c>
      <c r="V39">
        <v>1.622764127250054E-2</v>
      </c>
      <c r="W39">
        <v>0</v>
      </c>
    </row>
    <row r="40" spans="1:23">
      <c r="A40" t="s">
        <v>176</v>
      </c>
      <c r="B40" t="s">
        <v>177</v>
      </c>
      <c r="C40" t="s">
        <v>181</v>
      </c>
      <c r="E40" t="s">
        <v>255</v>
      </c>
      <c r="F40" t="s">
        <v>246</v>
      </c>
      <c r="G40" t="s">
        <v>258</v>
      </c>
      <c r="I40" t="s">
        <v>259</v>
      </c>
      <c r="J40" t="s">
        <v>231</v>
      </c>
      <c r="K40" t="s">
        <v>260</v>
      </c>
      <c r="L40">
        <v>1</v>
      </c>
      <c r="M40">
        <v>405.00889008358951</v>
      </c>
      <c r="N40">
        <v>0</v>
      </c>
      <c r="O40">
        <v>0</v>
      </c>
      <c r="P40">
        <v>0</v>
      </c>
      <c r="Q40">
        <v>0.9</v>
      </c>
      <c r="R40">
        <v>1</v>
      </c>
      <c r="S40">
        <v>0</v>
      </c>
      <c r="T40">
        <v>1.185822395988396E-2</v>
      </c>
      <c r="U40">
        <v>10.258114425571099</v>
      </c>
      <c r="V40">
        <v>1.622764127250054E-2</v>
      </c>
      <c r="W40">
        <v>0</v>
      </c>
    </row>
    <row r="41" spans="1:23">
      <c r="A41" t="s">
        <v>176</v>
      </c>
      <c r="B41" t="s">
        <v>177</v>
      </c>
      <c r="C41" t="s">
        <v>183</v>
      </c>
      <c r="E41" t="s">
        <v>255</v>
      </c>
      <c r="F41" t="s">
        <v>246</v>
      </c>
      <c r="G41" t="s">
        <v>201</v>
      </c>
      <c r="I41" t="s">
        <v>256</v>
      </c>
      <c r="J41" t="s">
        <v>233</v>
      </c>
      <c r="K41" t="s">
        <v>261</v>
      </c>
      <c r="L41">
        <v>1</v>
      </c>
      <c r="M41">
        <v>540.01185344478597</v>
      </c>
      <c r="N41">
        <v>0</v>
      </c>
      <c r="O41">
        <v>0</v>
      </c>
      <c r="P41">
        <v>0</v>
      </c>
      <c r="Q41">
        <v>0.9</v>
      </c>
      <c r="R41">
        <v>1</v>
      </c>
      <c r="S41">
        <v>0.25614365143008</v>
      </c>
      <c r="T41">
        <v>1.1480252117885569E-2</v>
      </c>
      <c r="U41">
        <v>12.099667057685391</v>
      </c>
      <c r="V41">
        <v>1.5001291887170771E-2</v>
      </c>
      <c r="W41">
        <v>0</v>
      </c>
    </row>
    <row r="42" spans="1:23">
      <c r="A42" t="s">
        <v>176</v>
      </c>
      <c r="B42" t="s">
        <v>177</v>
      </c>
      <c r="C42" t="s">
        <v>183</v>
      </c>
      <c r="E42" t="s">
        <v>255</v>
      </c>
      <c r="F42" t="s">
        <v>246</v>
      </c>
      <c r="G42" t="s">
        <v>258</v>
      </c>
      <c r="I42" t="s">
        <v>259</v>
      </c>
      <c r="J42" t="s">
        <v>233</v>
      </c>
      <c r="K42" t="s">
        <v>261</v>
      </c>
      <c r="L42">
        <v>1</v>
      </c>
      <c r="M42">
        <v>540.01185344478597</v>
      </c>
      <c r="N42">
        <v>0</v>
      </c>
      <c r="O42">
        <v>0</v>
      </c>
      <c r="P42">
        <v>0</v>
      </c>
      <c r="Q42">
        <v>0.9</v>
      </c>
      <c r="R42">
        <v>1</v>
      </c>
      <c r="S42">
        <v>0.51228730286016011</v>
      </c>
      <c r="T42">
        <v>1.1480252117885569E-2</v>
      </c>
      <c r="U42">
        <v>12.099667057685391</v>
      </c>
      <c r="V42">
        <v>1.5001291887170771E-2</v>
      </c>
      <c r="W42">
        <v>0</v>
      </c>
    </row>
    <row r="43" spans="1:23">
      <c r="A43" t="s">
        <v>176</v>
      </c>
      <c r="B43" t="s">
        <v>177</v>
      </c>
      <c r="C43" t="s">
        <v>185</v>
      </c>
      <c r="E43" t="s">
        <v>255</v>
      </c>
      <c r="F43" t="s">
        <v>246</v>
      </c>
      <c r="G43" t="s">
        <v>201</v>
      </c>
      <c r="I43" t="s">
        <v>256</v>
      </c>
      <c r="J43" t="s">
        <v>235</v>
      </c>
      <c r="K43" t="s">
        <v>262</v>
      </c>
      <c r="L43">
        <v>1</v>
      </c>
      <c r="M43">
        <v>1350.029633611965</v>
      </c>
      <c r="N43">
        <v>0</v>
      </c>
      <c r="O43">
        <v>0</v>
      </c>
      <c r="P43">
        <v>0</v>
      </c>
      <c r="Q43">
        <v>0.9</v>
      </c>
      <c r="R43">
        <v>1</v>
      </c>
      <c r="S43">
        <v>7.6697524780899533</v>
      </c>
      <c r="T43">
        <v>1.185463821232545E-2</v>
      </c>
      <c r="U43">
        <v>2402.8615470183909</v>
      </c>
      <c r="V43">
        <v>1.6216007127239689E-2</v>
      </c>
      <c r="W43">
        <v>0</v>
      </c>
    </row>
    <row r="44" spans="1:23">
      <c r="A44" t="s">
        <v>176</v>
      </c>
      <c r="B44" t="s">
        <v>177</v>
      </c>
      <c r="C44" t="s">
        <v>185</v>
      </c>
      <c r="E44" t="s">
        <v>255</v>
      </c>
      <c r="F44" t="s">
        <v>246</v>
      </c>
      <c r="G44" t="s">
        <v>258</v>
      </c>
      <c r="I44" t="s">
        <v>259</v>
      </c>
      <c r="J44" t="s">
        <v>235</v>
      </c>
      <c r="K44" t="s">
        <v>262</v>
      </c>
      <c r="L44">
        <v>1</v>
      </c>
      <c r="M44">
        <v>1350.029633611965</v>
      </c>
      <c r="N44">
        <v>0</v>
      </c>
      <c r="O44">
        <v>0</v>
      </c>
      <c r="P44">
        <v>0</v>
      </c>
      <c r="Q44">
        <v>0.9</v>
      </c>
      <c r="R44">
        <v>1</v>
      </c>
      <c r="S44">
        <v>15.33950495617991</v>
      </c>
      <c r="T44">
        <v>1.185463821232545E-2</v>
      </c>
      <c r="U44">
        <v>2402.8615470183909</v>
      </c>
      <c r="V44">
        <v>1.6216007127239689E-2</v>
      </c>
      <c r="W44">
        <v>0</v>
      </c>
    </row>
    <row r="45" spans="1:23">
      <c r="A45" t="s">
        <v>176</v>
      </c>
      <c r="B45" t="s">
        <v>177</v>
      </c>
      <c r="C45" t="s">
        <v>187</v>
      </c>
      <c r="E45" t="s">
        <v>255</v>
      </c>
      <c r="F45" t="s">
        <v>246</v>
      </c>
      <c r="G45" t="s">
        <v>201</v>
      </c>
      <c r="I45" t="s">
        <v>256</v>
      </c>
      <c r="J45" t="s">
        <v>237</v>
      </c>
      <c r="K45" t="s">
        <v>263</v>
      </c>
      <c r="L45">
        <v>1</v>
      </c>
      <c r="M45">
        <v>1485.0325969731609</v>
      </c>
      <c r="N45">
        <v>0</v>
      </c>
      <c r="O45">
        <v>0</v>
      </c>
      <c r="P45">
        <v>0</v>
      </c>
      <c r="Q45">
        <v>0.9</v>
      </c>
      <c r="R45">
        <v>1</v>
      </c>
      <c r="S45">
        <v>1.3159444960944</v>
      </c>
      <c r="T45">
        <v>8.6599124686191544E-3</v>
      </c>
      <c r="U45">
        <v>19.656155972446101</v>
      </c>
      <c r="V45">
        <v>5.8505525701564691E-3</v>
      </c>
      <c r="W45">
        <v>0</v>
      </c>
    </row>
    <row r="46" spans="1:23">
      <c r="A46" t="s">
        <v>176</v>
      </c>
      <c r="B46" t="s">
        <v>177</v>
      </c>
      <c r="C46" t="s">
        <v>187</v>
      </c>
      <c r="E46" t="s">
        <v>255</v>
      </c>
      <c r="F46" t="s">
        <v>246</v>
      </c>
      <c r="G46" t="s">
        <v>258</v>
      </c>
      <c r="I46" t="s">
        <v>259</v>
      </c>
      <c r="J46" t="s">
        <v>237</v>
      </c>
      <c r="K46" t="s">
        <v>263</v>
      </c>
      <c r="L46">
        <v>1</v>
      </c>
      <c r="M46">
        <v>1485.0325969731609</v>
      </c>
      <c r="N46">
        <v>0</v>
      </c>
      <c r="O46">
        <v>0</v>
      </c>
      <c r="P46">
        <v>0</v>
      </c>
      <c r="Q46">
        <v>0.9</v>
      </c>
      <c r="R46">
        <v>1</v>
      </c>
      <c r="S46">
        <v>2.6318889921888009</v>
      </c>
      <c r="T46">
        <v>8.6599124686191544E-3</v>
      </c>
      <c r="U46">
        <v>19.656155972446101</v>
      </c>
      <c r="V46">
        <v>5.8505525701564691E-3</v>
      </c>
      <c r="W46">
        <v>0</v>
      </c>
    </row>
    <row r="47" spans="1:23">
      <c r="A47" t="s">
        <v>176</v>
      </c>
      <c r="B47" t="s">
        <v>177</v>
      </c>
      <c r="C47" t="s">
        <v>189</v>
      </c>
      <c r="E47" t="s">
        <v>255</v>
      </c>
      <c r="F47" t="s">
        <v>246</v>
      </c>
      <c r="G47" t="s">
        <v>201</v>
      </c>
      <c r="I47" t="s">
        <v>256</v>
      </c>
      <c r="J47" t="s">
        <v>239</v>
      </c>
      <c r="K47" t="s">
        <v>264</v>
      </c>
      <c r="L47">
        <v>1</v>
      </c>
      <c r="M47">
        <v>1080.0237068895719</v>
      </c>
      <c r="N47">
        <v>0</v>
      </c>
      <c r="O47">
        <v>0</v>
      </c>
      <c r="P47">
        <v>0</v>
      </c>
      <c r="Q47">
        <v>0.9</v>
      </c>
      <c r="R47">
        <v>1</v>
      </c>
      <c r="S47">
        <v>1.3486952514352</v>
      </c>
      <c r="T47">
        <v>9.3531683720686123E-3</v>
      </c>
      <c r="U47">
        <v>23.967659013904431</v>
      </c>
      <c r="V47">
        <v>8.0998575622333296E-3</v>
      </c>
      <c r="W47">
        <v>0</v>
      </c>
    </row>
    <row r="48" spans="1:23">
      <c r="A48" t="s">
        <v>176</v>
      </c>
      <c r="B48" t="s">
        <v>177</v>
      </c>
      <c r="C48" t="s">
        <v>189</v>
      </c>
      <c r="E48" t="s">
        <v>255</v>
      </c>
      <c r="F48" t="s">
        <v>246</v>
      </c>
      <c r="G48" t="s">
        <v>258</v>
      </c>
      <c r="I48" t="s">
        <v>259</v>
      </c>
      <c r="J48" t="s">
        <v>239</v>
      </c>
      <c r="K48" t="s">
        <v>264</v>
      </c>
      <c r="L48">
        <v>1</v>
      </c>
      <c r="M48">
        <v>1080.0237068895719</v>
      </c>
      <c r="N48">
        <v>0</v>
      </c>
      <c r="O48">
        <v>0</v>
      </c>
      <c r="P48">
        <v>0</v>
      </c>
      <c r="Q48">
        <v>0.9</v>
      </c>
      <c r="R48">
        <v>1</v>
      </c>
      <c r="S48">
        <v>2.6973905028703999</v>
      </c>
      <c r="T48">
        <v>9.3531683720686123E-3</v>
      </c>
      <c r="U48">
        <v>23.967659013904431</v>
      </c>
      <c r="V48">
        <v>8.0998575622333296E-3</v>
      </c>
      <c r="W48">
        <v>0</v>
      </c>
    </row>
    <row r="49" spans="1:23">
      <c r="A49" t="s">
        <v>176</v>
      </c>
      <c r="B49" t="s">
        <v>177</v>
      </c>
      <c r="C49" t="s">
        <v>241</v>
      </c>
      <c r="E49" t="s">
        <v>255</v>
      </c>
      <c r="F49" t="s">
        <v>246</v>
      </c>
      <c r="G49" t="s">
        <v>201</v>
      </c>
      <c r="I49" t="s">
        <v>256</v>
      </c>
      <c r="J49" t="s">
        <v>242</v>
      </c>
      <c r="K49" t="s">
        <v>265</v>
      </c>
      <c r="L49">
        <v>1</v>
      </c>
      <c r="M49">
        <v>5265.1155710866633</v>
      </c>
      <c r="N49">
        <v>0</v>
      </c>
      <c r="O49">
        <v>0</v>
      </c>
      <c r="P49">
        <v>0</v>
      </c>
      <c r="Q49">
        <v>0.9</v>
      </c>
      <c r="R49">
        <v>1</v>
      </c>
      <c r="S49">
        <v>1.4416176065790931</v>
      </c>
      <c r="T49">
        <v>1.0833831744631201E-2</v>
      </c>
      <c r="U49">
        <v>94.605251520419316</v>
      </c>
      <c r="V49">
        <v>1.290394721934102E-2</v>
      </c>
      <c r="W49">
        <v>0</v>
      </c>
    </row>
    <row r="50" spans="1:23">
      <c r="A50" t="s">
        <v>176</v>
      </c>
      <c r="B50" t="s">
        <v>177</v>
      </c>
      <c r="C50" t="s">
        <v>241</v>
      </c>
      <c r="E50" t="s">
        <v>255</v>
      </c>
      <c r="F50" t="s">
        <v>246</v>
      </c>
      <c r="G50" t="s">
        <v>258</v>
      </c>
      <c r="I50" t="s">
        <v>259</v>
      </c>
      <c r="J50" t="s">
        <v>242</v>
      </c>
      <c r="K50" t="s">
        <v>265</v>
      </c>
      <c r="L50">
        <v>1</v>
      </c>
      <c r="M50">
        <v>5265.1155710866633</v>
      </c>
      <c r="N50">
        <v>0</v>
      </c>
      <c r="O50">
        <v>0</v>
      </c>
      <c r="P50">
        <v>0</v>
      </c>
      <c r="Q50">
        <v>0.9</v>
      </c>
      <c r="R50">
        <v>1</v>
      </c>
      <c r="S50">
        <v>2.8832352131581871</v>
      </c>
      <c r="T50">
        <v>1.0833831744631201E-2</v>
      </c>
      <c r="U50">
        <v>94.605251520419316</v>
      </c>
      <c r="V50">
        <v>1.290394721934102E-2</v>
      </c>
      <c r="W50">
        <v>0</v>
      </c>
    </row>
    <row r="51" spans="1:23">
      <c r="A51" t="s">
        <v>176</v>
      </c>
      <c r="B51" t="s">
        <v>177</v>
      </c>
      <c r="C51" t="s">
        <v>178</v>
      </c>
      <c r="E51" t="s">
        <v>266</v>
      </c>
      <c r="F51" t="s">
        <v>225</v>
      </c>
      <c r="G51" t="s">
        <v>201</v>
      </c>
      <c r="H51" t="s">
        <v>226</v>
      </c>
      <c r="J51" t="s">
        <v>267</v>
      </c>
      <c r="K51" t="s">
        <v>268</v>
      </c>
      <c r="L51">
        <v>1</v>
      </c>
      <c r="M51">
        <v>3375.0740840299131</v>
      </c>
      <c r="N51">
        <v>0.67999999999999994</v>
      </c>
      <c r="O51">
        <v>2295.050377140341</v>
      </c>
      <c r="P51">
        <v>2550.0559746003778</v>
      </c>
      <c r="Q51">
        <v>0.9</v>
      </c>
      <c r="R51">
        <v>1</v>
      </c>
      <c r="S51">
        <v>1.6318800570910171E-3</v>
      </c>
      <c r="T51">
        <v>0</v>
      </c>
      <c r="U51">
        <v>0</v>
      </c>
      <c r="V51">
        <v>4.202542855613551E-5</v>
      </c>
      <c r="W51">
        <v>3.745246940474539</v>
      </c>
    </row>
    <row r="52" spans="1:23">
      <c r="A52" t="s">
        <v>176</v>
      </c>
      <c r="B52" t="s">
        <v>177</v>
      </c>
      <c r="C52" t="s">
        <v>178</v>
      </c>
      <c r="E52" t="s">
        <v>266</v>
      </c>
      <c r="F52" t="s">
        <v>225</v>
      </c>
      <c r="G52" t="s">
        <v>229</v>
      </c>
      <c r="H52" t="s">
        <v>230</v>
      </c>
      <c r="J52" t="s">
        <v>267</v>
      </c>
      <c r="K52" t="s">
        <v>268</v>
      </c>
      <c r="L52">
        <v>1</v>
      </c>
      <c r="M52">
        <v>3375.0740840299131</v>
      </c>
      <c r="N52">
        <v>0.67999999999999994</v>
      </c>
      <c r="O52">
        <v>2295.050377140341</v>
      </c>
      <c r="P52">
        <v>2550.0559746003778</v>
      </c>
      <c r="Q52">
        <v>0.9</v>
      </c>
      <c r="R52">
        <v>1</v>
      </c>
      <c r="S52">
        <v>4.2171586568799701E-4</v>
      </c>
      <c r="T52">
        <v>0</v>
      </c>
      <c r="U52">
        <v>0</v>
      </c>
      <c r="V52">
        <v>4.202542855613551E-5</v>
      </c>
      <c r="W52">
        <v>0.96785915659330268</v>
      </c>
    </row>
    <row r="53" spans="1:23">
      <c r="A53" t="s">
        <v>176</v>
      </c>
      <c r="B53" t="s">
        <v>177</v>
      </c>
      <c r="C53" t="s">
        <v>178</v>
      </c>
      <c r="E53" t="s">
        <v>266</v>
      </c>
      <c r="F53" t="s">
        <v>246</v>
      </c>
      <c r="G53" t="s">
        <v>247</v>
      </c>
      <c r="I53" t="s">
        <v>269</v>
      </c>
      <c r="J53" t="s">
        <v>267</v>
      </c>
      <c r="K53" t="s">
        <v>268</v>
      </c>
      <c r="L53">
        <v>1</v>
      </c>
      <c r="M53">
        <v>3375.0740840299131</v>
      </c>
      <c r="N53">
        <v>0.67999999999999994</v>
      </c>
      <c r="O53">
        <v>2295.050377140341</v>
      </c>
      <c r="P53">
        <v>2550.0559746003778</v>
      </c>
      <c r="Q53">
        <v>0.9</v>
      </c>
      <c r="R53">
        <v>1</v>
      </c>
      <c r="S53">
        <v>7.3642392222467212E-2</v>
      </c>
      <c r="T53">
        <v>0</v>
      </c>
      <c r="U53">
        <v>0</v>
      </c>
      <c r="V53">
        <v>4.202542855613551E-5</v>
      </c>
      <c r="W53">
        <v>169.01300004369031</v>
      </c>
    </row>
    <row r="54" spans="1:23">
      <c r="A54" t="s">
        <v>176</v>
      </c>
      <c r="B54" t="s">
        <v>177</v>
      </c>
      <c r="C54" t="s">
        <v>181</v>
      </c>
      <c r="E54" t="s">
        <v>266</v>
      </c>
      <c r="F54" t="s">
        <v>225</v>
      </c>
      <c r="G54" t="s">
        <v>201</v>
      </c>
      <c r="H54" t="s">
        <v>226</v>
      </c>
      <c r="J54" t="s">
        <v>270</v>
      </c>
      <c r="K54" t="s">
        <v>271</v>
      </c>
      <c r="L54">
        <v>1</v>
      </c>
      <c r="M54">
        <v>405.00889008358951</v>
      </c>
      <c r="N54">
        <v>0.52936102195892365</v>
      </c>
      <c r="O54">
        <v>214.3959199570983</v>
      </c>
      <c r="P54">
        <v>238.21768884122039</v>
      </c>
      <c r="Q54">
        <v>0.9</v>
      </c>
      <c r="R54">
        <v>1</v>
      </c>
      <c r="S54">
        <v>1.141232354186306E-4</v>
      </c>
      <c r="T54">
        <v>0</v>
      </c>
      <c r="U54">
        <v>0</v>
      </c>
      <c r="V54">
        <v>4.202542855613551E-5</v>
      </c>
      <c r="W54">
        <v>2.4467556046057808E-2</v>
      </c>
    </row>
    <row r="55" spans="1:23">
      <c r="A55" t="s">
        <v>176</v>
      </c>
      <c r="B55" t="s">
        <v>177</v>
      </c>
      <c r="C55" t="s">
        <v>181</v>
      </c>
      <c r="E55" t="s">
        <v>266</v>
      </c>
      <c r="F55" t="s">
        <v>225</v>
      </c>
      <c r="G55" t="s">
        <v>229</v>
      </c>
      <c r="H55" t="s">
        <v>230</v>
      </c>
      <c r="J55" t="s">
        <v>270</v>
      </c>
      <c r="K55" t="s">
        <v>271</v>
      </c>
      <c r="L55">
        <v>1</v>
      </c>
      <c r="M55">
        <v>405.00889008358951</v>
      </c>
      <c r="N55">
        <v>0.52936102195892365</v>
      </c>
      <c r="O55">
        <v>214.3959199570983</v>
      </c>
      <c r="P55">
        <v>238.21768884122039</v>
      </c>
      <c r="Q55">
        <v>0.9</v>
      </c>
      <c r="R55">
        <v>1</v>
      </c>
      <c r="S55">
        <v>4.2171586568799711E-4</v>
      </c>
      <c r="T55">
        <v>0</v>
      </c>
      <c r="U55">
        <v>0</v>
      </c>
      <c r="V55">
        <v>4.202542855613551E-5</v>
      </c>
      <c r="W55">
        <v>9.041416098468226E-2</v>
      </c>
    </row>
    <row r="56" spans="1:23">
      <c r="A56" t="s">
        <v>176</v>
      </c>
      <c r="B56" t="s">
        <v>177</v>
      </c>
      <c r="C56" t="s">
        <v>181</v>
      </c>
      <c r="E56" t="s">
        <v>266</v>
      </c>
      <c r="F56" t="s">
        <v>246</v>
      </c>
      <c r="G56" t="s">
        <v>247</v>
      </c>
      <c r="I56" t="s">
        <v>269</v>
      </c>
      <c r="J56" t="s">
        <v>270</v>
      </c>
      <c r="K56" t="s">
        <v>271</v>
      </c>
      <c r="L56">
        <v>1</v>
      </c>
      <c r="M56">
        <v>405.00889008358951</v>
      </c>
      <c r="N56">
        <v>0.52936102195892365</v>
      </c>
      <c r="O56">
        <v>214.3959199570983</v>
      </c>
      <c r="P56">
        <v>238.21768884122039</v>
      </c>
      <c r="Q56">
        <v>0.9</v>
      </c>
      <c r="R56">
        <v>1</v>
      </c>
      <c r="S56">
        <v>0</v>
      </c>
      <c r="T56">
        <v>0</v>
      </c>
      <c r="U56">
        <v>0</v>
      </c>
      <c r="V56">
        <v>4.202542855613551E-5</v>
      </c>
      <c r="W56">
        <v>0</v>
      </c>
    </row>
    <row r="57" spans="1:23">
      <c r="A57" t="s">
        <v>176</v>
      </c>
      <c r="B57" t="s">
        <v>177</v>
      </c>
      <c r="C57" t="s">
        <v>183</v>
      </c>
      <c r="E57" t="s">
        <v>266</v>
      </c>
      <c r="F57" t="s">
        <v>225</v>
      </c>
      <c r="G57" t="s">
        <v>201</v>
      </c>
      <c r="H57" t="s">
        <v>226</v>
      </c>
      <c r="J57" t="s">
        <v>272</v>
      </c>
      <c r="K57" t="s">
        <v>273</v>
      </c>
      <c r="L57">
        <v>1</v>
      </c>
      <c r="M57">
        <v>540.01185344478597</v>
      </c>
      <c r="N57">
        <v>0.52936102195892376</v>
      </c>
      <c r="O57">
        <v>285.86122660946438</v>
      </c>
      <c r="P57">
        <v>317.62358512162717</v>
      </c>
      <c r="Q57">
        <v>0.9</v>
      </c>
      <c r="R57">
        <v>1</v>
      </c>
      <c r="S57">
        <v>1.141232354186306E-4</v>
      </c>
      <c r="T57">
        <v>0</v>
      </c>
      <c r="U57">
        <v>0</v>
      </c>
      <c r="V57">
        <v>4.202542855613551E-5</v>
      </c>
      <c r="W57">
        <v>3.2623408061410411E-2</v>
      </c>
    </row>
    <row r="58" spans="1:23">
      <c r="A58" t="s">
        <v>176</v>
      </c>
      <c r="B58" t="s">
        <v>177</v>
      </c>
      <c r="C58" t="s">
        <v>183</v>
      </c>
      <c r="E58" t="s">
        <v>266</v>
      </c>
      <c r="F58" t="s">
        <v>225</v>
      </c>
      <c r="G58" t="s">
        <v>229</v>
      </c>
      <c r="H58" t="s">
        <v>230</v>
      </c>
      <c r="J58" t="s">
        <v>272</v>
      </c>
      <c r="K58" t="s">
        <v>273</v>
      </c>
      <c r="L58">
        <v>1</v>
      </c>
      <c r="M58">
        <v>540.01185344478597</v>
      </c>
      <c r="N58">
        <v>0.52936102195892376</v>
      </c>
      <c r="O58">
        <v>285.86122660946438</v>
      </c>
      <c r="P58">
        <v>317.62358512162717</v>
      </c>
      <c r="Q58">
        <v>0.9</v>
      </c>
      <c r="R58">
        <v>1</v>
      </c>
      <c r="S58">
        <v>4.2171586568799711E-4</v>
      </c>
      <c r="T58">
        <v>0</v>
      </c>
      <c r="U58">
        <v>0</v>
      </c>
      <c r="V58">
        <v>4.202542855613551E-5</v>
      </c>
      <c r="W58">
        <v>0.12055221464624299</v>
      </c>
    </row>
    <row r="59" spans="1:23">
      <c r="A59" t="s">
        <v>176</v>
      </c>
      <c r="B59" t="s">
        <v>177</v>
      </c>
      <c r="C59" t="s">
        <v>183</v>
      </c>
      <c r="E59" t="s">
        <v>266</v>
      </c>
      <c r="F59" t="s">
        <v>246</v>
      </c>
      <c r="G59" t="s">
        <v>247</v>
      </c>
      <c r="I59" t="s">
        <v>269</v>
      </c>
      <c r="J59" t="s">
        <v>272</v>
      </c>
      <c r="K59" t="s">
        <v>273</v>
      </c>
      <c r="L59">
        <v>1</v>
      </c>
      <c r="M59">
        <v>540.01185344478597</v>
      </c>
      <c r="N59">
        <v>0.52936102195892376</v>
      </c>
      <c r="O59">
        <v>285.86122660946438</v>
      </c>
      <c r="P59">
        <v>317.62358512162717</v>
      </c>
      <c r="Q59">
        <v>0.9</v>
      </c>
      <c r="R59">
        <v>1</v>
      </c>
      <c r="S59">
        <v>0</v>
      </c>
      <c r="T59">
        <v>0</v>
      </c>
      <c r="U59">
        <v>0</v>
      </c>
      <c r="V59">
        <v>4.202542855613551E-5</v>
      </c>
      <c r="W59">
        <v>0</v>
      </c>
    </row>
    <row r="60" spans="1:23">
      <c r="A60" t="s">
        <v>176</v>
      </c>
      <c r="B60" t="s">
        <v>177</v>
      </c>
      <c r="C60" t="s">
        <v>185</v>
      </c>
      <c r="E60" t="s">
        <v>266</v>
      </c>
      <c r="F60" t="s">
        <v>225</v>
      </c>
      <c r="G60" t="s">
        <v>201</v>
      </c>
      <c r="H60" t="s">
        <v>226</v>
      </c>
      <c r="J60" t="s">
        <v>274</v>
      </c>
      <c r="K60" t="s">
        <v>275</v>
      </c>
      <c r="L60">
        <v>1</v>
      </c>
      <c r="M60">
        <v>1350.029633611965</v>
      </c>
      <c r="N60">
        <v>0.52936102195892365</v>
      </c>
      <c r="O60">
        <v>714.6530665236611</v>
      </c>
      <c r="P60">
        <v>794.05896280406785</v>
      </c>
      <c r="Q60">
        <v>0.9</v>
      </c>
      <c r="R60">
        <v>1</v>
      </c>
      <c r="S60">
        <v>1.141232354186306E-4</v>
      </c>
      <c r="T60">
        <v>0</v>
      </c>
      <c r="U60">
        <v>0</v>
      </c>
      <c r="V60">
        <v>4.202542855613551E-5</v>
      </c>
      <c r="W60">
        <v>8.1558520153526035E-2</v>
      </c>
    </row>
    <row r="61" spans="1:23">
      <c r="A61" t="s">
        <v>176</v>
      </c>
      <c r="B61" t="s">
        <v>177</v>
      </c>
      <c r="C61" t="s">
        <v>185</v>
      </c>
      <c r="E61" t="s">
        <v>266</v>
      </c>
      <c r="F61" t="s">
        <v>225</v>
      </c>
      <c r="G61" t="s">
        <v>229</v>
      </c>
      <c r="H61" t="s">
        <v>230</v>
      </c>
      <c r="J61" t="s">
        <v>274</v>
      </c>
      <c r="K61" t="s">
        <v>275</v>
      </c>
      <c r="L61">
        <v>1</v>
      </c>
      <c r="M61">
        <v>1350.029633611965</v>
      </c>
      <c r="N61">
        <v>0.52936102195892365</v>
      </c>
      <c r="O61">
        <v>714.6530665236611</v>
      </c>
      <c r="P61">
        <v>794.05896280406785</v>
      </c>
      <c r="Q61">
        <v>0.9</v>
      </c>
      <c r="R61">
        <v>1</v>
      </c>
      <c r="S61">
        <v>4.2171586568799711E-4</v>
      </c>
      <c r="T61">
        <v>0</v>
      </c>
      <c r="U61">
        <v>0</v>
      </c>
      <c r="V61">
        <v>4.202542855613551E-5</v>
      </c>
      <c r="W61">
        <v>0.30138053661560749</v>
      </c>
    </row>
    <row r="62" spans="1:23">
      <c r="A62" t="s">
        <v>176</v>
      </c>
      <c r="B62" t="s">
        <v>177</v>
      </c>
      <c r="C62" t="s">
        <v>185</v>
      </c>
      <c r="E62" t="s">
        <v>266</v>
      </c>
      <c r="F62" t="s">
        <v>246</v>
      </c>
      <c r="G62" t="s">
        <v>247</v>
      </c>
      <c r="I62" t="s">
        <v>269</v>
      </c>
      <c r="J62" t="s">
        <v>274</v>
      </c>
      <c r="K62" t="s">
        <v>275</v>
      </c>
      <c r="L62">
        <v>1</v>
      </c>
      <c r="M62">
        <v>1350.029633611965</v>
      </c>
      <c r="N62">
        <v>0.52936102195892365</v>
      </c>
      <c r="O62">
        <v>714.6530665236611</v>
      </c>
      <c r="P62">
        <v>794.05896280406785</v>
      </c>
      <c r="Q62">
        <v>0.9</v>
      </c>
      <c r="R62">
        <v>1</v>
      </c>
      <c r="S62">
        <v>0</v>
      </c>
      <c r="T62">
        <v>0</v>
      </c>
      <c r="U62">
        <v>0</v>
      </c>
      <c r="V62">
        <v>4.202542855613551E-5</v>
      </c>
      <c r="W62">
        <v>0</v>
      </c>
    </row>
    <row r="63" spans="1:23">
      <c r="A63" t="s">
        <v>176</v>
      </c>
      <c r="B63" t="s">
        <v>177</v>
      </c>
      <c r="C63" t="s">
        <v>187</v>
      </c>
      <c r="E63" t="s">
        <v>266</v>
      </c>
      <c r="F63" t="s">
        <v>225</v>
      </c>
      <c r="G63" t="s">
        <v>201</v>
      </c>
      <c r="H63" t="s">
        <v>226</v>
      </c>
      <c r="J63" t="s">
        <v>276</v>
      </c>
      <c r="K63" t="s">
        <v>277</v>
      </c>
      <c r="L63">
        <v>1</v>
      </c>
      <c r="M63">
        <v>1485.0325969731609</v>
      </c>
      <c r="N63">
        <v>0.93636363636363629</v>
      </c>
      <c r="O63">
        <v>1390.5305226203241</v>
      </c>
      <c r="P63">
        <v>1545.0339140225819</v>
      </c>
      <c r="Q63">
        <v>0.9</v>
      </c>
      <c r="R63">
        <v>1</v>
      </c>
      <c r="S63">
        <v>1.611632378751165E-3</v>
      </c>
      <c r="T63">
        <v>0</v>
      </c>
      <c r="U63">
        <v>0</v>
      </c>
      <c r="V63">
        <v>1.054414534329555E-4</v>
      </c>
      <c r="W63">
        <v>2.241024013896693</v>
      </c>
    </row>
    <row r="64" spans="1:23">
      <c r="A64" t="s">
        <v>176</v>
      </c>
      <c r="B64" t="s">
        <v>177</v>
      </c>
      <c r="C64" t="s">
        <v>187</v>
      </c>
      <c r="E64" t="s">
        <v>266</v>
      </c>
      <c r="F64" t="s">
        <v>225</v>
      </c>
      <c r="G64" t="s">
        <v>229</v>
      </c>
      <c r="H64" t="s">
        <v>230</v>
      </c>
      <c r="J64" t="s">
        <v>276</v>
      </c>
      <c r="K64" t="s">
        <v>277</v>
      </c>
      <c r="L64">
        <v>1</v>
      </c>
      <c r="M64">
        <v>1485.0325969731609</v>
      </c>
      <c r="N64">
        <v>0.93636363636363629</v>
      </c>
      <c r="O64">
        <v>1390.5305226203241</v>
      </c>
      <c r="P64">
        <v>1545.0339140225819</v>
      </c>
      <c r="Q64">
        <v>0.9</v>
      </c>
      <c r="R64">
        <v>1</v>
      </c>
      <c r="S64">
        <v>4.2171586568799711E-4</v>
      </c>
      <c r="T64">
        <v>0</v>
      </c>
      <c r="U64">
        <v>0</v>
      </c>
      <c r="V64">
        <v>1.054414534329555E-4</v>
      </c>
      <c r="W64">
        <v>0.58640878311241285</v>
      </c>
    </row>
    <row r="65" spans="1:23">
      <c r="A65" t="s">
        <v>176</v>
      </c>
      <c r="B65" t="s">
        <v>177</v>
      </c>
      <c r="C65" t="s">
        <v>187</v>
      </c>
      <c r="E65" t="s">
        <v>266</v>
      </c>
      <c r="F65" t="s">
        <v>246</v>
      </c>
      <c r="G65" t="s">
        <v>247</v>
      </c>
      <c r="I65" t="s">
        <v>269</v>
      </c>
      <c r="J65" t="s">
        <v>276</v>
      </c>
      <c r="K65" t="s">
        <v>277</v>
      </c>
      <c r="L65">
        <v>1</v>
      </c>
      <c r="M65">
        <v>1485.0325969731609</v>
      </c>
      <c r="N65">
        <v>0.93636363636363629</v>
      </c>
      <c r="O65">
        <v>1390.5305226203241</v>
      </c>
      <c r="P65">
        <v>1545.0339140225819</v>
      </c>
      <c r="Q65">
        <v>0.9</v>
      </c>
      <c r="R65">
        <v>1</v>
      </c>
      <c r="S65">
        <v>0.2103772770523053</v>
      </c>
      <c r="T65">
        <v>0</v>
      </c>
      <c r="U65">
        <v>0</v>
      </c>
      <c r="V65">
        <v>1.054414534329555E-4</v>
      </c>
      <c r="W65">
        <v>292.53602500698281</v>
      </c>
    </row>
    <row r="66" spans="1:23">
      <c r="A66" t="s">
        <v>176</v>
      </c>
      <c r="B66" t="s">
        <v>177</v>
      </c>
      <c r="C66" t="s">
        <v>189</v>
      </c>
      <c r="E66" t="s">
        <v>266</v>
      </c>
      <c r="F66" t="s">
        <v>225</v>
      </c>
      <c r="G66" t="s">
        <v>201</v>
      </c>
      <c r="H66" t="s">
        <v>226</v>
      </c>
      <c r="J66" t="s">
        <v>278</v>
      </c>
      <c r="K66" t="s">
        <v>279</v>
      </c>
      <c r="L66">
        <v>1</v>
      </c>
      <c r="M66">
        <v>1080.0237068895719</v>
      </c>
      <c r="N66">
        <v>0.97346986607142849</v>
      </c>
      <c r="O66">
        <v>1051.370533299759</v>
      </c>
      <c r="P66">
        <v>1168.1894814441771</v>
      </c>
      <c r="Q66">
        <v>0.9</v>
      </c>
      <c r="R66">
        <v>1</v>
      </c>
      <c r="S66">
        <v>6.6457556288931517E-4</v>
      </c>
      <c r="T66">
        <v>0</v>
      </c>
      <c r="U66">
        <v>0</v>
      </c>
      <c r="V66">
        <v>1.136226233214584E-4</v>
      </c>
      <c r="W66">
        <v>0.69871516397292699</v>
      </c>
    </row>
    <row r="67" spans="1:23">
      <c r="A67" t="s">
        <v>176</v>
      </c>
      <c r="B67" t="s">
        <v>177</v>
      </c>
      <c r="C67" t="s">
        <v>189</v>
      </c>
      <c r="E67" t="s">
        <v>266</v>
      </c>
      <c r="F67" t="s">
        <v>225</v>
      </c>
      <c r="G67" t="s">
        <v>229</v>
      </c>
      <c r="H67" t="s">
        <v>230</v>
      </c>
      <c r="J67" t="s">
        <v>278</v>
      </c>
      <c r="K67" t="s">
        <v>279</v>
      </c>
      <c r="L67">
        <v>1</v>
      </c>
      <c r="M67">
        <v>1080.0237068895719</v>
      </c>
      <c r="N67">
        <v>0.97346986607142849</v>
      </c>
      <c r="O67">
        <v>1051.370533299759</v>
      </c>
      <c r="P67">
        <v>1168.1894814441771</v>
      </c>
      <c r="Q67">
        <v>0.9</v>
      </c>
      <c r="R67">
        <v>1</v>
      </c>
      <c r="S67">
        <v>4.2171586568799701E-4</v>
      </c>
      <c r="T67">
        <v>0</v>
      </c>
      <c r="U67">
        <v>0</v>
      </c>
      <c r="V67">
        <v>1.136226233214584E-4</v>
      </c>
      <c r="W67">
        <v>0.44337963460935897</v>
      </c>
    </row>
    <row r="68" spans="1:23">
      <c r="A68" t="s">
        <v>176</v>
      </c>
      <c r="B68" t="s">
        <v>177</v>
      </c>
      <c r="C68" t="s">
        <v>189</v>
      </c>
      <c r="E68" t="s">
        <v>266</v>
      </c>
      <c r="F68" t="s">
        <v>246</v>
      </c>
      <c r="G68" t="s">
        <v>247</v>
      </c>
      <c r="I68" t="s">
        <v>269</v>
      </c>
      <c r="J68" t="s">
        <v>278</v>
      </c>
      <c r="K68" t="s">
        <v>279</v>
      </c>
      <c r="L68">
        <v>1</v>
      </c>
      <c r="M68">
        <v>1080.0237068895719</v>
      </c>
      <c r="N68">
        <v>0.97346986607142849</v>
      </c>
      <c r="O68">
        <v>1051.370533299759</v>
      </c>
      <c r="P68">
        <v>1168.1894814441771</v>
      </c>
      <c r="Q68">
        <v>0.9</v>
      </c>
      <c r="R68">
        <v>1</v>
      </c>
      <c r="S68">
        <v>7.1053021013876533E-2</v>
      </c>
      <c r="T68">
        <v>0</v>
      </c>
      <c r="U68">
        <v>0</v>
      </c>
      <c r="V68">
        <v>1.136226233214584E-4</v>
      </c>
      <c r="W68">
        <v>74.703052595918365</v>
      </c>
    </row>
    <row r="69" spans="1:23">
      <c r="A69" t="s">
        <v>176</v>
      </c>
      <c r="B69" t="s">
        <v>177</v>
      </c>
      <c r="C69" t="s">
        <v>241</v>
      </c>
      <c r="E69" t="s">
        <v>266</v>
      </c>
      <c r="F69" t="s">
        <v>225</v>
      </c>
      <c r="G69" t="s">
        <v>201</v>
      </c>
      <c r="H69" t="s">
        <v>226</v>
      </c>
      <c r="J69" t="s">
        <v>280</v>
      </c>
      <c r="K69" t="s">
        <v>281</v>
      </c>
      <c r="L69">
        <v>1</v>
      </c>
      <c r="M69">
        <v>5265.1155710866633</v>
      </c>
      <c r="N69">
        <v>1</v>
      </c>
      <c r="O69">
        <v>5265.1155710866633</v>
      </c>
      <c r="P69">
        <v>5850.1284123185151</v>
      </c>
      <c r="Q69">
        <v>0.9</v>
      </c>
      <c r="R69">
        <v>1</v>
      </c>
      <c r="S69">
        <v>2.5635640501457262E-4</v>
      </c>
      <c r="T69">
        <v>0</v>
      </c>
      <c r="U69">
        <v>0</v>
      </c>
      <c r="V69">
        <v>4.9064860575250544E-4</v>
      </c>
      <c r="W69">
        <v>1.349746099790025</v>
      </c>
    </row>
    <row r="70" spans="1:23">
      <c r="A70" t="s">
        <v>176</v>
      </c>
      <c r="B70" t="s">
        <v>177</v>
      </c>
      <c r="C70" t="s">
        <v>241</v>
      </c>
      <c r="E70" t="s">
        <v>266</v>
      </c>
      <c r="F70" t="s">
        <v>225</v>
      </c>
      <c r="G70" t="s">
        <v>229</v>
      </c>
      <c r="H70" t="s">
        <v>230</v>
      </c>
      <c r="J70" t="s">
        <v>280</v>
      </c>
      <c r="K70" t="s">
        <v>281</v>
      </c>
      <c r="L70">
        <v>1</v>
      </c>
      <c r="M70">
        <v>5265.1155710866633</v>
      </c>
      <c r="N70">
        <v>1</v>
      </c>
      <c r="O70">
        <v>5265.1155710866633</v>
      </c>
      <c r="P70">
        <v>5850.1284123185151</v>
      </c>
      <c r="Q70">
        <v>0.9</v>
      </c>
      <c r="R70">
        <v>1</v>
      </c>
      <c r="S70">
        <v>4.2171586568799711E-4</v>
      </c>
      <c r="T70">
        <v>0</v>
      </c>
      <c r="U70">
        <v>0</v>
      </c>
      <c r="V70">
        <v>4.9064860575250544E-4</v>
      </c>
      <c r="W70">
        <v>2.2203827710081652</v>
      </c>
    </row>
    <row r="71" spans="1:23">
      <c r="A71" t="s">
        <v>176</v>
      </c>
      <c r="B71" t="s">
        <v>177</v>
      </c>
      <c r="C71" t="s">
        <v>241</v>
      </c>
      <c r="E71" t="s">
        <v>266</v>
      </c>
      <c r="F71" t="s">
        <v>246</v>
      </c>
      <c r="G71" t="s">
        <v>247</v>
      </c>
      <c r="I71" t="s">
        <v>269</v>
      </c>
      <c r="J71" t="s">
        <v>280</v>
      </c>
      <c r="K71" t="s">
        <v>281</v>
      </c>
      <c r="L71">
        <v>1</v>
      </c>
      <c r="M71">
        <v>5265.1155710866633</v>
      </c>
      <c r="N71">
        <v>1</v>
      </c>
      <c r="O71">
        <v>5265.1155710866633</v>
      </c>
      <c r="P71">
        <v>5850.1284123185151</v>
      </c>
      <c r="Q71">
        <v>0.9</v>
      </c>
      <c r="R71">
        <v>1</v>
      </c>
      <c r="S71">
        <v>5.7069987175499687E-3</v>
      </c>
      <c r="T71">
        <v>0</v>
      </c>
      <c r="U71">
        <v>0</v>
      </c>
      <c r="V71">
        <v>4.9064860575250544E-4</v>
      </c>
      <c r="W71">
        <v>30.048007811943961</v>
      </c>
    </row>
    <row r="72" spans="1:23">
      <c r="A72" t="s">
        <v>176</v>
      </c>
      <c r="B72" t="s">
        <v>177</v>
      </c>
      <c r="C72" t="s">
        <v>178</v>
      </c>
      <c r="E72" t="s">
        <v>282</v>
      </c>
      <c r="F72" t="s">
        <v>225</v>
      </c>
      <c r="G72" t="s">
        <v>229</v>
      </c>
      <c r="H72" t="s">
        <v>230</v>
      </c>
      <c r="J72" t="s">
        <v>227</v>
      </c>
      <c r="K72" t="s">
        <v>283</v>
      </c>
      <c r="L72">
        <v>1</v>
      </c>
      <c r="M72">
        <v>3375.0740840299131</v>
      </c>
      <c r="N72">
        <v>0.32</v>
      </c>
      <c r="O72">
        <v>1080.0237068895719</v>
      </c>
      <c r="P72">
        <v>1200.026340988413</v>
      </c>
      <c r="Q72">
        <v>0.9</v>
      </c>
      <c r="R72">
        <v>1</v>
      </c>
      <c r="S72">
        <v>4.2171586568799711E-4</v>
      </c>
      <c r="T72">
        <v>0</v>
      </c>
      <c r="U72">
        <v>0</v>
      </c>
      <c r="V72">
        <v>0</v>
      </c>
      <c r="W72">
        <v>0.45546313251449561</v>
      </c>
    </row>
    <row r="73" spans="1:23">
      <c r="A73" t="s">
        <v>176</v>
      </c>
      <c r="B73" t="s">
        <v>177</v>
      </c>
      <c r="C73" t="s">
        <v>181</v>
      </c>
      <c r="E73" t="s">
        <v>282</v>
      </c>
      <c r="F73" t="s">
        <v>225</v>
      </c>
      <c r="G73" t="s">
        <v>229</v>
      </c>
      <c r="H73" t="s">
        <v>230</v>
      </c>
      <c r="J73" t="s">
        <v>231</v>
      </c>
      <c r="K73" t="s">
        <v>284</v>
      </c>
      <c r="L73">
        <v>1</v>
      </c>
      <c r="M73">
        <v>405.00889008358951</v>
      </c>
      <c r="N73">
        <v>0.47063897804107641</v>
      </c>
      <c r="O73">
        <v>190.61297012649121</v>
      </c>
      <c r="P73">
        <v>211.79218902943461</v>
      </c>
      <c r="Q73">
        <v>0.9</v>
      </c>
      <c r="R73">
        <v>1</v>
      </c>
      <c r="S73">
        <v>4.2171586568799711E-4</v>
      </c>
      <c r="T73">
        <v>0</v>
      </c>
      <c r="U73">
        <v>0</v>
      </c>
      <c r="V73">
        <v>0</v>
      </c>
      <c r="W73">
        <v>8.0384513708253558E-2</v>
      </c>
    </row>
    <row r="74" spans="1:23">
      <c r="A74" t="s">
        <v>176</v>
      </c>
      <c r="B74" t="s">
        <v>177</v>
      </c>
      <c r="C74" t="s">
        <v>183</v>
      </c>
      <c r="E74" t="s">
        <v>282</v>
      </c>
      <c r="F74" t="s">
        <v>225</v>
      </c>
      <c r="G74" t="s">
        <v>229</v>
      </c>
      <c r="H74" t="s">
        <v>230</v>
      </c>
      <c r="J74" t="s">
        <v>233</v>
      </c>
      <c r="K74" t="s">
        <v>285</v>
      </c>
      <c r="L74">
        <v>1</v>
      </c>
      <c r="M74">
        <v>540.01185344478597</v>
      </c>
      <c r="N74">
        <v>0.47063897804107629</v>
      </c>
      <c r="O74">
        <v>254.1506268353215</v>
      </c>
      <c r="P74">
        <v>282.38958537257952</v>
      </c>
      <c r="Q74">
        <v>0.9</v>
      </c>
      <c r="R74">
        <v>1</v>
      </c>
      <c r="S74">
        <v>4.2171586568799711E-4</v>
      </c>
      <c r="T74">
        <v>0</v>
      </c>
      <c r="U74">
        <v>0</v>
      </c>
      <c r="V74">
        <v>0</v>
      </c>
      <c r="W74">
        <v>0.1071793516110047</v>
      </c>
    </row>
    <row r="75" spans="1:23">
      <c r="A75" t="s">
        <v>176</v>
      </c>
      <c r="B75" t="s">
        <v>177</v>
      </c>
      <c r="C75" t="s">
        <v>185</v>
      </c>
      <c r="E75" t="s">
        <v>282</v>
      </c>
      <c r="F75" t="s">
        <v>225</v>
      </c>
      <c r="G75" t="s">
        <v>229</v>
      </c>
      <c r="H75" t="s">
        <v>230</v>
      </c>
      <c r="J75" t="s">
        <v>235</v>
      </c>
      <c r="K75" t="s">
        <v>286</v>
      </c>
      <c r="L75">
        <v>1</v>
      </c>
      <c r="M75">
        <v>1350.029633611965</v>
      </c>
      <c r="N75">
        <v>0.47063897804107641</v>
      </c>
      <c r="O75">
        <v>635.37656708830389</v>
      </c>
      <c r="P75">
        <v>705.97396343144874</v>
      </c>
      <c r="Q75">
        <v>0.9</v>
      </c>
      <c r="R75">
        <v>1</v>
      </c>
      <c r="S75">
        <v>4.2171586568799711E-4</v>
      </c>
      <c r="T75">
        <v>0</v>
      </c>
      <c r="U75">
        <v>0</v>
      </c>
      <c r="V75">
        <v>0</v>
      </c>
      <c r="W75">
        <v>0.26794837902751178</v>
      </c>
    </row>
    <row r="76" spans="1:23">
      <c r="A76" t="s">
        <v>176</v>
      </c>
      <c r="B76" t="s">
        <v>177</v>
      </c>
      <c r="C76" t="s">
        <v>187</v>
      </c>
      <c r="E76" t="s">
        <v>282</v>
      </c>
      <c r="F76" t="s">
        <v>225</v>
      </c>
      <c r="G76" t="s">
        <v>229</v>
      </c>
      <c r="H76" t="s">
        <v>230</v>
      </c>
      <c r="J76" t="s">
        <v>237</v>
      </c>
      <c r="K76" t="s">
        <v>287</v>
      </c>
      <c r="L76">
        <v>0</v>
      </c>
      <c r="M76">
        <v>1485.0325969731609</v>
      </c>
      <c r="N76">
        <v>0</v>
      </c>
      <c r="O76">
        <v>0</v>
      </c>
      <c r="P76">
        <v>0</v>
      </c>
      <c r="Q76">
        <v>0.9</v>
      </c>
      <c r="R76">
        <v>1</v>
      </c>
      <c r="S76">
        <v>4.2171586568799711E-4</v>
      </c>
      <c r="T76">
        <v>0</v>
      </c>
      <c r="U76">
        <v>0</v>
      </c>
      <c r="V76">
        <v>0</v>
      </c>
      <c r="W76">
        <v>0</v>
      </c>
    </row>
    <row r="77" spans="1:23">
      <c r="A77" t="s">
        <v>176</v>
      </c>
      <c r="B77" t="s">
        <v>177</v>
      </c>
      <c r="C77" t="s">
        <v>189</v>
      </c>
      <c r="E77" t="s">
        <v>282</v>
      </c>
      <c r="F77" t="s">
        <v>225</v>
      </c>
      <c r="G77" t="s">
        <v>229</v>
      </c>
      <c r="H77" t="s">
        <v>230</v>
      </c>
      <c r="J77" t="s">
        <v>239</v>
      </c>
      <c r="K77" t="s">
        <v>288</v>
      </c>
      <c r="L77">
        <v>0</v>
      </c>
      <c r="M77">
        <v>1080.0237068895719</v>
      </c>
      <c r="N77">
        <v>0</v>
      </c>
      <c r="O77">
        <v>0</v>
      </c>
      <c r="P77">
        <v>0</v>
      </c>
      <c r="Q77">
        <v>0.9</v>
      </c>
      <c r="R77">
        <v>1</v>
      </c>
      <c r="S77">
        <v>4.2171586568799711E-4</v>
      </c>
      <c r="T77">
        <v>0</v>
      </c>
      <c r="U77">
        <v>0</v>
      </c>
      <c r="V77">
        <v>0</v>
      </c>
      <c r="W77">
        <v>0</v>
      </c>
    </row>
    <row r="78" spans="1:23">
      <c r="A78" t="s">
        <v>176</v>
      </c>
      <c r="B78" t="s">
        <v>177</v>
      </c>
      <c r="C78" t="s">
        <v>241</v>
      </c>
      <c r="E78" t="s">
        <v>282</v>
      </c>
      <c r="F78" t="s">
        <v>225</v>
      </c>
      <c r="G78" t="s">
        <v>229</v>
      </c>
      <c r="H78" t="s">
        <v>230</v>
      </c>
      <c r="J78" t="s">
        <v>242</v>
      </c>
      <c r="K78" t="s">
        <v>289</v>
      </c>
      <c r="L78">
        <v>0</v>
      </c>
      <c r="M78">
        <v>5265.1155710866633</v>
      </c>
      <c r="N78">
        <v>0</v>
      </c>
      <c r="O78">
        <v>0</v>
      </c>
      <c r="P78">
        <v>0</v>
      </c>
      <c r="Q78">
        <v>0.9</v>
      </c>
      <c r="R78">
        <v>1</v>
      </c>
      <c r="S78">
        <v>4.2171586568799711E-4</v>
      </c>
      <c r="T78">
        <v>0</v>
      </c>
      <c r="U78">
        <v>0</v>
      </c>
      <c r="V78">
        <v>0</v>
      </c>
      <c r="W78">
        <v>0</v>
      </c>
    </row>
    <row r="79" spans="1:23">
      <c r="A79" t="s">
        <v>176</v>
      </c>
      <c r="B79" t="s">
        <v>177</v>
      </c>
      <c r="C79" t="s">
        <v>193</v>
      </c>
      <c r="E79" t="s">
        <v>266</v>
      </c>
      <c r="F79" t="s">
        <v>225</v>
      </c>
      <c r="G79" t="s">
        <v>201</v>
      </c>
      <c r="H79" t="s">
        <v>226</v>
      </c>
      <c r="J79" t="s">
        <v>290</v>
      </c>
      <c r="K79" t="s">
        <v>291</v>
      </c>
      <c r="L79">
        <v>1</v>
      </c>
      <c r="M79">
        <v>206463.0681189782</v>
      </c>
      <c r="N79">
        <v>1</v>
      </c>
      <c r="O79">
        <v>206463.0681189782</v>
      </c>
      <c r="P79">
        <v>229403.40902108679</v>
      </c>
      <c r="Q79">
        <v>0.9</v>
      </c>
      <c r="R79">
        <v>1</v>
      </c>
      <c r="S79">
        <v>6.0542239213872177E-4</v>
      </c>
      <c r="T79">
        <v>0</v>
      </c>
      <c r="U79">
        <v>0</v>
      </c>
      <c r="V79">
        <v>2.2198833084169389E-4</v>
      </c>
      <c r="W79">
        <v>124.9973645888916</v>
      </c>
    </row>
    <row r="80" spans="1:23">
      <c r="A80" t="s">
        <v>176</v>
      </c>
      <c r="B80" t="s">
        <v>177</v>
      </c>
      <c r="C80" t="s">
        <v>193</v>
      </c>
      <c r="E80" t="s">
        <v>266</v>
      </c>
      <c r="F80" t="s">
        <v>225</v>
      </c>
      <c r="G80" t="s">
        <v>229</v>
      </c>
      <c r="H80" t="s">
        <v>230</v>
      </c>
      <c r="J80" t="s">
        <v>290</v>
      </c>
      <c r="K80" t="s">
        <v>291</v>
      </c>
      <c r="L80">
        <v>1</v>
      </c>
      <c r="M80">
        <v>206463.0681189782</v>
      </c>
      <c r="N80">
        <v>1</v>
      </c>
      <c r="O80">
        <v>206463.0681189782</v>
      </c>
      <c r="P80">
        <v>229403.40902108679</v>
      </c>
      <c r="Q80">
        <v>0.9</v>
      </c>
      <c r="R80">
        <v>1</v>
      </c>
      <c r="S80">
        <v>3.5039062401273272E-4</v>
      </c>
      <c r="T80">
        <v>0</v>
      </c>
      <c r="U80">
        <v>0</v>
      </c>
      <c r="V80">
        <v>2.2198833084169389E-4</v>
      </c>
      <c r="W80">
        <v>72.342723273792089</v>
      </c>
    </row>
    <row r="81" spans="1:24">
      <c r="A81" t="s">
        <v>176</v>
      </c>
      <c r="B81" t="s">
        <v>177</v>
      </c>
      <c r="C81" t="s">
        <v>193</v>
      </c>
      <c r="E81" t="s">
        <v>266</v>
      </c>
      <c r="F81" t="s">
        <v>246</v>
      </c>
      <c r="G81" t="s">
        <v>247</v>
      </c>
      <c r="I81" t="s">
        <v>269</v>
      </c>
      <c r="J81" t="s">
        <v>290</v>
      </c>
      <c r="K81" t="s">
        <v>291</v>
      </c>
      <c r="L81">
        <v>1</v>
      </c>
      <c r="M81">
        <v>206463.0681189782</v>
      </c>
      <c r="N81">
        <v>1</v>
      </c>
      <c r="O81">
        <v>206463.0681189782</v>
      </c>
      <c r="P81">
        <v>229403.40902108679</v>
      </c>
      <c r="Q81">
        <v>0.9</v>
      </c>
      <c r="R81">
        <v>1</v>
      </c>
      <c r="S81">
        <v>4.1947233702079263E-2</v>
      </c>
      <c r="T81">
        <v>0</v>
      </c>
      <c r="U81">
        <v>0</v>
      </c>
      <c r="V81">
        <v>2.2198833084169389E-4</v>
      </c>
      <c r="W81">
        <v>8660.5545692350879</v>
      </c>
    </row>
    <row r="82" spans="1:24">
      <c r="A82" t="s">
        <v>176</v>
      </c>
      <c r="B82" t="s">
        <v>195</v>
      </c>
      <c r="C82" t="s">
        <v>204</v>
      </c>
      <c r="E82" t="s">
        <v>292</v>
      </c>
      <c r="F82" t="s">
        <v>225</v>
      </c>
      <c r="G82" t="s">
        <v>201</v>
      </c>
      <c r="H82" t="s">
        <v>226</v>
      </c>
      <c r="J82" t="s">
        <v>293</v>
      </c>
      <c r="K82" t="s">
        <v>294</v>
      </c>
      <c r="L82">
        <v>1</v>
      </c>
      <c r="M82">
        <v>1718.825872023252</v>
      </c>
      <c r="N82">
        <v>0</v>
      </c>
      <c r="O82">
        <v>0</v>
      </c>
      <c r="P82">
        <v>0</v>
      </c>
      <c r="Q82">
        <v>0.9</v>
      </c>
      <c r="R82">
        <v>1</v>
      </c>
      <c r="S82">
        <v>2</v>
      </c>
      <c r="T82">
        <v>0</v>
      </c>
      <c r="U82">
        <v>0</v>
      </c>
      <c r="V82">
        <v>0.38551981604744878</v>
      </c>
      <c r="W82">
        <v>0</v>
      </c>
    </row>
    <row r="83" spans="1:24">
      <c r="A83" t="s">
        <v>176</v>
      </c>
      <c r="B83" t="s">
        <v>195</v>
      </c>
      <c r="C83" t="s">
        <v>204</v>
      </c>
      <c r="E83" t="s">
        <v>292</v>
      </c>
      <c r="F83" t="s">
        <v>225</v>
      </c>
      <c r="G83" t="s">
        <v>295</v>
      </c>
      <c r="H83" t="s">
        <v>296</v>
      </c>
      <c r="J83" t="s">
        <v>293</v>
      </c>
      <c r="K83" t="s">
        <v>294</v>
      </c>
      <c r="L83">
        <v>1</v>
      </c>
      <c r="M83">
        <v>1718.825872023252</v>
      </c>
      <c r="N83">
        <v>0</v>
      </c>
      <c r="O83">
        <v>0</v>
      </c>
      <c r="P83">
        <v>0</v>
      </c>
      <c r="Q83">
        <v>0.9</v>
      </c>
      <c r="R83">
        <v>1</v>
      </c>
      <c r="S83">
        <v>6</v>
      </c>
      <c r="T83">
        <v>0</v>
      </c>
      <c r="U83">
        <v>0</v>
      </c>
      <c r="V83">
        <v>0.38551981604744878</v>
      </c>
      <c r="W83">
        <v>0</v>
      </c>
    </row>
    <row r="84" spans="1:24">
      <c r="A84" t="s">
        <v>176</v>
      </c>
      <c r="B84" t="s">
        <v>195</v>
      </c>
      <c r="C84" t="s">
        <v>204</v>
      </c>
      <c r="E84" t="s">
        <v>292</v>
      </c>
      <c r="F84" t="s">
        <v>246</v>
      </c>
      <c r="G84" t="s">
        <v>247</v>
      </c>
      <c r="I84" t="s">
        <v>297</v>
      </c>
      <c r="J84" t="s">
        <v>293</v>
      </c>
      <c r="K84" t="s">
        <v>294</v>
      </c>
      <c r="L84">
        <v>1</v>
      </c>
      <c r="M84">
        <v>1718.825872023252</v>
      </c>
      <c r="N84">
        <v>0</v>
      </c>
      <c r="O84">
        <v>0</v>
      </c>
      <c r="P84">
        <v>0</v>
      </c>
      <c r="Q84">
        <v>0.9</v>
      </c>
      <c r="R84">
        <v>1</v>
      </c>
      <c r="S84">
        <v>0</v>
      </c>
      <c r="T84">
        <v>0</v>
      </c>
      <c r="U84">
        <v>0</v>
      </c>
      <c r="V84">
        <v>0.38551981604744878</v>
      </c>
      <c r="W84">
        <v>0</v>
      </c>
    </row>
    <row r="85" spans="1:24">
      <c r="A85" t="s">
        <v>176</v>
      </c>
      <c r="B85" t="s">
        <v>195</v>
      </c>
      <c r="C85" t="s">
        <v>204</v>
      </c>
      <c r="E85" t="s">
        <v>298</v>
      </c>
      <c r="F85" t="s">
        <v>225</v>
      </c>
      <c r="G85" t="s">
        <v>201</v>
      </c>
      <c r="H85" t="s">
        <v>226</v>
      </c>
      <c r="J85" t="s">
        <v>293</v>
      </c>
      <c r="K85" t="s">
        <v>299</v>
      </c>
      <c r="L85">
        <v>1</v>
      </c>
      <c r="M85">
        <v>1718.825872023252</v>
      </c>
      <c r="N85">
        <v>0.75</v>
      </c>
      <c r="O85">
        <v>1289.1194040174389</v>
      </c>
      <c r="P85">
        <v>1432.35489335271</v>
      </c>
      <c r="Q85">
        <v>0.9</v>
      </c>
      <c r="R85">
        <v>1</v>
      </c>
      <c r="S85">
        <v>2</v>
      </c>
      <c r="T85">
        <v>0</v>
      </c>
      <c r="U85">
        <v>0</v>
      </c>
      <c r="V85">
        <v>0.38551981604744878</v>
      </c>
      <c r="W85">
        <v>2578.2388080348778</v>
      </c>
    </row>
    <row r="86" spans="1:24">
      <c r="A86" t="s">
        <v>176</v>
      </c>
      <c r="B86" t="s">
        <v>195</v>
      </c>
      <c r="C86" t="s">
        <v>204</v>
      </c>
      <c r="E86" t="s">
        <v>298</v>
      </c>
      <c r="F86" t="s">
        <v>225</v>
      </c>
      <c r="G86" t="s">
        <v>295</v>
      </c>
      <c r="H86" t="s">
        <v>296</v>
      </c>
      <c r="J86" t="s">
        <v>293</v>
      </c>
      <c r="K86" t="s">
        <v>299</v>
      </c>
      <c r="L86">
        <v>1</v>
      </c>
      <c r="M86">
        <v>1718.825872023252</v>
      </c>
      <c r="N86">
        <v>0.75</v>
      </c>
      <c r="O86">
        <v>1289.1194040174389</v>
      </c>
      <c r="P86">
        <v>1432.35489335271</v>
      </c>
      <c r="Q86">
        <v>0.9</v>
      </c>
      <c r="R86">
        <v>1</v>
      </c>
      <c r="S86">
        <v>6</v>
      </c>
      <c r="T86">
        <v>0</v>
      </c>
      <c r="U86">
        <v>0</v>
      </c>
      <c r="V86">
        <v>0.38551981604744878</v>
      </c>
      <c r="W86">
        <v>7734.7164241046348</v>
      </c>
    </row>
    <row r="87" spans="1:24">
      <c r="A87" t="s">
        <v>176</v>
      </c>
      <c r="B87" t="s">
        <v>195</v>
      </c>
      <c r="C87" t="s">
        <v>204</v>
      </c>
      <c r="E87" t="s">
        <v>298</v>
      </c>
      <c r="F87" t="s">
        <v>246</v>
      </c>
      <c r="G87" t="s">
        <v>247</v>
      </c>
      <c r="I87" t="s">
        <v>300</v>
      </c>
      <c r="J87" t="s">
        <v>293</v>
      </c>
      <c r="K87" t="s">
        <v>299</v>
      </c>
      <c r="L87">
        <v>1</v>
      </c>
      <c r="M87">
        <v>1718.825872023252</v>
      </c>
      <c r="N87">
        <v>0.75</v>
      </c>
      <c r="O87">
        <v>1289.1194040174389</v>
      </c>
      <c r="P87">
        <v>1432.35489335271</v>
      </c>
      <c r="Q87">
        <v>0.9</v>
      </c>
      <c r="R87">
        <v>1</v>
      </c>
      <c r="S87">
        <v>2.7543378995433789</v>
      </c>
      <c r="T87">
        <v>0</v>
      </c>
      <c r="U87">
        <v>0</v>
      </c>
      <c r="V87">
        <v>0.38551981604744878</v>
      </c>
      <c r="W87">
        <v>3550.6704315220059</v>
      </c>
    </row>
    <row r="88" spans="1:24">
      <c r="A88" t="s">
        <v>176</v>
      </c>
      <c r="B88" t="s">
        <v>195</v>
      </c>
      <c r="C88" t="s">
        <v>204</v>
      </c>
      <c r="E88" t="s">
        <v>301</v>
      </c>
      <c r="F88" t="s">
        <v>225</v>
      </c>
      <c r="G88" t="s">
        <v>201</v>
      </c>
      <c r="H88" t="s">
        <v>226</v>
      </c>
      <c r="J88" t="s">
        <v>293</v>
      </c>
      <c r="K88" t="s">
        <v>302</v>
      </c>
      <c r="L88">
        <v>1</v>
      </c>
      <c r="M88">
        <v>1718.825872023252</v>
      </c>
      <c r="N88">
        <v>0</v>
      </c>
      <c r="O88">
        <v>0</v>
      </c>
      <c r="P88">
        <v>0</v>
      </c>
      <c r="Q88">
        <v>0.9</v>
      </c>
      <c r="R88">
        <v>1</v>
      </c>
      <c r="S88">
        <v>2</v>
      </c>
      <c r="T88">
        <v>0</v>
      </c>
      <c r="U88">
        <v>0</v>
      </c>
      <c r="V88">
        <v>6.0746945574593689E-2</v>
      </c>
      <c r="W88">
        <v>0</v>
      </c>
    </row>
    <row r="89" spans="1:24">
      <c r="A89" t="s">
        <v>176</v>
      </c>
      <c r="B89" t="s">
        <v>195</v>
      </c>
      <c r="C89" t="s">
        <v>204</v>
      </c>
      <c r="E89" t="s">
        <v>301</v>
      </c>
      <c r="F89" t="s">
        <v>225</v>
      </c>
      <c r="G89" t="s">
        <v>295</v>
      </c>
      <c r="H89" t="s">
        <v>296</v>
      </c>
      <c r="J89" t="s">
        <v>293</v>
      </c>
      <c r="K89" t="s">
        <v>302</v>
      </c>
      <c r="L89">
        <v>1</v>
      </c>
      <c r="M89">
        <v>1718.825872023252</v>
      </c>
      <c r="N89">
        <v>0</v>
      </c>
      <c r="O89">
        <v>0</v>
      </c>
      <c r="P89">
        <v>0</v>
      </c>
      <c r="Q89">
        <v>0.9</v>
      </c>
      <c r="R89">
        <v>1</v>
      </c>
      <c r="S89">
        <v>6</v>
      </c>
      <c r="T89">
        <v>0</v>
      </c>
      <c r="U89">
        <v>0</v>
      </c>
      <c r="V89">
        <v>6.0746945574593689E-2</v>
      </c>
      <c r="W89">
        <v>0</v>
      </c>
    </row>
    <row r="90" spans="1:24">
      <c r="A90" t="s">
        <v>176</v>
      </c>
      <c r="B90" t="s">
        <v>195</v>
      </c>
      <c r="C90" t="s">
        <v>204</v>
      </c>
      <c r="E90" t="s">
        <v>301</v>
      </c>
      <c r="F90" t="s">
        <v>246</v>
      </c>
      <c r="G90" t="s">
        <v>247</v>
      </c>
      <c r="I90" t="s">
        <v>303</v>
      </c>
      <c r="J90" t="s">
        <v>293</v>
      </c>
      <c r="K90" t="s">
        <v>302</v>
      </c>
      <c r="L90">
        <v>1</v>
      </c>
      <c r="M90">
        <v>1718.825872023252</v>
      </c>
      <c r="N90">
        <v>0</v>
      </c>
      <c r="O90">
        <v>0</v>
      </c>
      <c r="P90">
        <v>0</v>
      </c>
      <c r="Q90">
        <v>0.9</v>
      </c>
      <c r="R90">
        <v>1</v>
      </c>
      <c r="S90">
        <v>0</v>
      </c>
      <c r="T90">
        <v>0</v>
      </c>
      <c r="U90">
        <v>0</v>
      </c>
      <c r="V90">
        <v>6.0746945574593689E-2</v>
      </c>
      <c r="W90">
        <v>0</v>
      </c>
    </row>
    <row r="91" spans="1:24">
      <c r="A91" t="s">
        <v>176</v>
      </c>
      <c r="B91" t="s">
        <v>195</v>
      </c>
      <c r="C91" t="s">
        <v>204</v>
      </c>
      <c r="E91" t="s">
        <v>304</v>
      </c>
      <c r="F91" t="s">
        <v>225</v>
      </c>
      <c r="G91" t="s">
        <v>201</v>
      </c>
      <c r="H91" t="s">
        <v>226</v>
      </c>
      <c r="J91" t="s">
        <v>293</v>
      </c>
      <c r="K91" t="s">
        <v>305</v>
      </c>
      <c r="L91">
        <v>1</v>
      </c>
      <c r="M91">
        <v>1718.825872023252</v>
      </c>
      <c r="N91">
        <v>0.25</v>
      </c>
      <c r="O91">
        <v>429.70646800581312</v>
      </c>
      <c r="P91">
        <v>477.45163111757012</v>
      </c>
      <c r="Q91">
        <v>0.9</v>
      </c>
      <c r="R91">
        <v>1</v>
      </c>
      <c r="S91">
        <v>2</v>
      </c>
      <c r="T91">
        <v>0</v>
      </c>
      <c r="U91">
        <v>0</v>
      </c>
      <c r="V91">
        <v>6.0746945574593689E-2</v>
      </c>
      <c r="W91">
        <v>859.41293601162613</v>
      </c>
    </row>
    <row r="92" spans="1:24">
      <c r="A92" t="s">
        <v>176</v>
      </c>
      <c r="B92" t="s">
        <v>195</v>
      </c>
      <c r="C92" t="s">
        <v>204</v>
      </c>
      <c r="E92" t="s">
        <v>304</v>
      </c>
      <c r="F92" t="s">
        <v>225</v>
      </c>
      <c r="G92" t="s">
        <v>295</v>
      </c>
      <c r="H92" t="s">
        <v>296</v>
      </c>
      <c r="J92" t="s">
        <v>293</v>
      </c>
      <c r="K92" t="s">
        <v>305</v>
      </c>
      <c r="L92">
        <v>1</v>
      </c>
      <c r="M92">
        <v>1718.825872023252</v>
      </c>
      <c r="N92">
        <v>0.25</v>
      </c>
      <c r="O92">
        <v>429.70646800581312</v>
      </c>
      <c r="P92">
        <v>477.45163111757012</v>
      </c>
      <c r="Q92">
        <v>0.9</v>
      </c>
      <c r="R92">
        <v>1</v>
      </c>
      <c r="S92">
        <v>6</v>
      </c>
      <c r="T92">
        <v>0</v>
      </c>
      <c r="U92">
        <v>0</v>
      </c>
      <c r="V92">
        <v>6.0746945574593689E-2</v>
      </c>
      <c r="W92">
        <v>2578.2388080348778</v>
      </c>
    </row>
    <row r="93" spans="1:24">
      <c r="A93" t="s">
        <v>176</v>
      </c>
      <c r="B93" t="s">
        <v>195</v>
      </c>
      <c r="C93" t="s">
        <v>204</v>
      </c>
      <c r="E93" t="s">
        <v>304</v>
      </c>
      <c r="F93" t="s">
        <v>246</v>
      </c>
      <c r="G93" t="s">
        <v>247</v>
      </c>
      <c r="I93" t="s">
        <v>306</v>
      </c>
      <c r="J93" t="s">
        <v>293</v>
      </c>
      <c r="K93" t="s">
        <v>305</v>
      </c>
      <c r="L93">
        <v>1</v>
      </c>
      <c r="M93">
        <v>1718.825872023252</v>
      </c>
      <c r="N93">
        <v>0.25</v>
      </c>
      <c r="O93">
        <v>429.70646800581312</v>
      </c>
      <c r="P93">
        <v>477.45163111757012</v>
      </c>
      <c r="Q93">
        <v>0.9</v>
      </c>
      <c r="R93">
        <v>1</v>
      </c>
      <c r="S93">
        <v>2.7543378995433789</v>
      </c>
      <c r="T93">
        <v>0</v>
      </c>
      <c r="U93">
        <v>0</v>
      </c>
      <c r="V93">
        <v>6.0746945574593689E-2</v>
      </c>
      <c r="W93">
        <v>1183.556810507336</v>
      </c>
    </row>
    <row r="94" spans="1:24">
      <c r="A94" t="s">
        <v>307</v>
      </c>
    </row>
    <row r="95" spans="1:24">
      <c r="A95" t="s">
        <v>307</v>
      </c>
      <c r="L95" t="s">
        <v>212</v>
      </c>
      <c r="M95" t="s">
        <v>308</v>
      </c>
      <c r="N95" t="s">
        <v>214</v>
      </c>
      <c r="O95" t="s">
        <v>309</v>
      </c>
      <c r="P95" t="s">
        <v>310</v>
      </c>
      <c r="Q95" t="s">
        <v>217</v>
      </c>
      <c r="R95" t="s">
        <v>218</v>
      </c>
      <c r="S95" t="s">
        <v>219</v>
      </c>
      <c r="T95" t="s">
        <v>220</v>
      </c>
      <c r="U95" t="s">
        <v>221</v>
      </c>
      <c r="V95" t="s">
        <v>222</v>
      </c>
      <c r="W95" t="s">
        <v>223</v>
      </c>
      <c r="X95" t="s">
        <v>311</v>
      </c>
    </row>
    <row r="96" spans="1:24">
      <c r="A96" t="s">
        <v>176</v>
      </c>
      <c r="B96" t="s">
        <v>177</v>
      </c>
      <c r="C96" t="s">
        <v>178</v>
      </c>
      <c r="E96" t="s">
        <v>266</v>
      </c>
      <c r="F96" t="s">
        <v>225</v>
      </c>
      <c r="G96" t="s">
        <v>312</v>
      </c>
      <c r="H96" t="s">
        <v>313</v>
      </c>
      <c r="K96" t="s">
        <v>314</v>
      </c>
      <c r="L96">
        <v>1</v>
      </c>
      <c r="M96">
        <v>3375.0740840299131</v>
      </c>
      <c r="N96">
        <v>0.67999999999999994</v>
      </c>
      <c r="O96">
        <v>2295.050377140341</v>
      </c>
      <c r="P96">
        <v>2550.0559746003778</v>
      </c>
      <c r="Q96">
        <v>0.9</v>
      </c>
      <c r="R96">
        <v>1</v>
      </c>
      <c r="S96">
        <v>0</v>
      </c>
      <c r="T96">
        <v>0</v>
      </c>
      <c r="U96">
        <v>0</v>
      </c>
      <c r="V96">
        <v>0</v>
      </c>
      <c r="W96">
        <v>0</v>
      </c>
      <c r="X96">
        <v>0.9467353996318002</v>
      </c>
    </row>
    <row r="97" spans="1:24">
      <c r="A97" t="s">
        <v>176</v>
      </c>
      <c r="B97" t="s">
        <v>177</v>
      </c>
      <c r="C97" t="s">
        <v>178</v>
      </c>
      <c r="E97" t="s">
        <v>266</v>
      </c>
      <c r="F97" t="s">
        <v>246</v>
      </c>
      <c r="G97" t="s">
        <v>247</v>
      </c>
      <c r="I97" t="s">
        <v>269</v>
      </c>
      <c r="K97" t="s">
        <v>314</v>
      </c>
      <c r="L97">
        <v>1</v>
      </c>
      <c r="M97">
        <v>3375.0740840299131</v>
      </c>
      <c r="N97">
        <v>0.67999999999999994</v>
      </c>
      <c r="O97">
        <v>2295.050377140341</v>
      </c>
      <c r="P97">
        <v>2550.0559746003778</v>
      </c>
      <c r="Q97">
        <v>0.9</v>
      </c>
      <c r="R97">
        <v>1</v>
      </c>
      <c r="S97">
        <v>0.1472847844449344</v>
      </c>
      <c r="T97">
        <v>0</v>
      </c>
      <c r="U97">
        <v>0</v>
      </c>
      <c r="V97">
        <v>0</v>
      </c>
      <c r="W97">
        <v>169.01300004369031</v>
      </c>
      <c r="X97">
        <v>0.9467353996318002</v>
      </c>
    </row>
    <row r="98" spans="1:24">
      <c r="A98" t="s">
        <v>176</v>
      </c>
      <c r="B98" t="s">
        <v>177</v>
      </c>
      <c r="C98" t="s">
        <v>181</v>
      </c>
      <c r="E98" t="s">
        <v>266</v>
      </c>
      <c r="F98" t="s">
        <v>225</v>
      </c>
      <c r="G98" t="s">
        <v>312</v>
      </c>
      <c r="H98" t="s">
        <v>315</v>
      </c>
      <c r="K98" t="s">
        <v>316</v>
      </c>
      <c r="L98">
        <v>1</v>
      </c>
      <c r="M98">
        <v>405.00889008358951</v>
      </c>
      <c r="N98">
        <v>0.52936102195892365</v>
      </c>
      <c r="O98">
        <v>214.3959199570983</v>
      </c>
      <c r="P98">
        <v>238.21768884122039</v>
      </c>
      <c r="Q98">
        <v>0.9</v>
      </c>
      <c r="R98">
        <v>1</v>
      </c>
      <c r="S98">
        <v>0</v>
      </c>
      <c r="T98">
        <v>0</v>
      </c>
      <c r="U98">
        <v>0</v>
      </c>
      <c r="V98">
        <v>0</v>
      </c>
      <c r="W98">
        <v>0</v>
      </c>
      <c r="X98">
        <v>0</v>
      </c>
    </row>
    <row r="99" spans="1:24">
      <c r="A99" t="s">
        <v>176</v>
      </c>
      <c r="B99" t="s">
        <v>177</v>
      </c>
      <c r="C99" t="s">
        <v>181</v>
      </c>
      <c r="E99" t="s">
        <v>266</v>
      </c>
      <c r="F99" t="s">
        <v>246</v>
      </c>
      <c r="G99" t="s">
        <v>247</v>
      </c>
      <c r="I99" t="s">
        <v>269</v>
      </c>
      <c r="K99" t="s">
        <v>316</v>
      </c>
      <c r="L99">
        <v>1</v>
      </c>
      <c r="M99">
        <v>405.00889008358951</v>
      </c>
      <c r="N99">
        <v>0.52936102195892365</v>
      </c>
      <c r="O99">
        <v>214.3959199570983</v>
      </c>
      <c r="P99">
        <v>238.21768884122039</v>
      </c>
      <c r="Q99">
        <v>0.9</v>
      </c>
      <c r="R99">
        <v>1</v>
      </c>
      <c r="S99">
        <v>0</v>
      </c>
      <c r="T99">
        <v>0</v>
      </c>
      <c r="U99">
        <v>0</v>
      </c>
      <c r="V99">
        <v>0</v>
      </c>
      <c r="W99">
        <v>0</v>
      </c>
      <c r="X99">
        <v>0</v>
      </c>
    </row>
    <row r="100" spans="1:24">
      <c r="A100" t="s">
        <v>176</v>
      </c>
      <c r="B100" t="s">
        <v>177</v>
      </c>
      <c r="C100" t="s">
        <v>183</v>
      </c>
      <c r="E100" t="s">
        <v>266</v>
      </c>
      <c r="F100" t="s">
        <v>225</v>
      </c>
      <c r="G100" t="s">
        <v>312</v>
      </c>
      <c r="H100" t="s">
        <v>317</v>
      </c>
      <c r="K100" t="s">
        <v>318</v>
      </c>
      <c r="L100">
        <v>1</v>
      </c>
      <c r="M100">
        <v>540.01185344478597</v>
      </c>
      <c r="N100">
        <v>0.52936102195892376</v>
      </c>
      <c r="O100">
        <v>285.86122660946438</v>
      </c>
      <c r="P100">
        <v>317.62358512162717</v>
      </c>
      <c r="Q100">
        <v>0.9</v>
      </c>
      <c r="R100">
        <v>1</v>
      </c>
      <c r="S100">
        <v>0</v>
      </c>
      <c r="T100">
        <v>0</v>
      </c>
      <c r="U100">
        <v>0</v>
      </c>
      <c r="V100">
        <v>0</v>
      </c>
      <c r="W100">
        <v>0</v>
      </c>
      <c r="X100">
        <v>0</v>
      </c>
    </row>
    <row r="101" spans="1:24">
      <c r="A101" t="s">
        <v>176</v>
      </c>
      <c r="B101" t="s">
        <v>177</v>
      </c>
      <c r="C101" t="s">
        <v>183</v>
      </c>
      <c r="E101" t="s">
        <v>266</v>
      </c>
      <c r="F101" t="s">
        <v>246</v>
      </c>
      <c r="G101" t="s">
        <v>247</v>
      </c>
      <c r="I101" t="s">
        <v>269</v>
      </c>
      <c r="K101" t="s">
        <v>318</v>
      </c>
      <c r="L101">
        <v>1</v>
      </c>
      <c r="M101">
        <v>540.01185344478597</v>
      </c>
      <c r="N101">
        <v>0.52936102195892376</v>
      </c>
      <c r="O101">
        <v>285.86122660946438</v>
      </c>
      <c r="P101">
        <v>317.62358512162717</v>
      </c>
      <c r="Q101">
        <v>0.9</v>
      </c>
      <c r="R101">
        <v>1</v>
      </c>
      <c r="S101">
        <v>0</v>
      </c>
      <c r="T101">
        <v>0</v>
      </c>
      <c r="U101">
        <v>0</v>
      </c>
      <c r="V101">
        <v>0</v>
      </c>
      <c r="W101">
        <v>0</v>
      </c>
      <c r="X101">
        <v>0</v>
      </c>
    </row>
    <row r="102" spans="1:24">
      <c r="A102" t="s">
        <v>176</v>
      </c>
      <c r="B102" t="s">
        <v>177</v>
      </c>
      <c r="C102" t="s">
        <v>185</v>
      </c>
      <c r="E102" t="s">
        <v>266</v>
      </c>
      <c r="F102" t="s">
        <v>225</v>
      </c>
      <c r="G102" t="s">
        <v>312</v>
      </c>
      <c r="H102" t="s">
        <v>319</v>
      </c>
      <c r="K102" t="s">
        <v>320</v>
      </c>
      <c r="L102">
        <v>1</v>
      </c>
      <c r="M102">
        <v>1350.029633611965</v>
      </c>
      <c r="N102">
        <v>0.52936102195892365</v>
      </c>
      <c r="O102">
        <v>714.6530665236611</v>
      </c>
      <c r="P102">
        <v>794.05896280406785</v>
      </c>
      <c r="Q102">
        <v>0.9</v>
      </c>
      <c r="R102">
        <v>1</v>
      </c>
      <c r="S102">
        <v>0</v>
      </c>
      <c r="T102">
        <v>0</v>
      </c>
      <c r="U102">
        <v>0</v>
      </c>
      <c r="V102">
        <v>0</v>
      </c>
      <c r="W102">
        <v>0</v>
      </c>
      <c r="X102">
        <v>0</v>
      </c>
    </row>
    <row r="103" spans="1:24">
      <c r="A103" t="s">
        <v>176</v>
      </c>
      <c r="B103" t="s">
        <v>177</v>
      </c>
      <c r="C103" t="s">
        <v>185</v>
      </c>
      <c r="E103" t="s">
        <v>266</v>
      </c>
      <c r="F103" t="s">
        <v>246</v>
      </c>
      <c r="G103" t="s">
        <v>247</v>
      </c>
      <c r="I103" t="s">
        <v>269</v>
      </c>
      <c r="K103" t="s">
        <v>320</v>
      </c>
      <c r="L103">
        <v>1</v>
      </c>
      <c r="M103">
        <v>1350.029633611965</v>
      </c>
      <c r="N103">
        <v>0.52936102195892365</v>
      </c>
      <c r="O103">
        <v>714.6530665236611</v>
      </c>
      <c r="P103">
        <v>794.05896280406785</v>
      </c>
      <c r="Q103">
        <v>0.9</v>
      </c>
      <c r="R103">
        <v>1</v>
      </c>
      <c r="S103">
        <v>0</v>
      </c>
      <c r="T103">
        <v>0</v>
      </c>
      <c r="U103">
        <v>0</v>
      </c>
      <c r="V103">
        <v>0</v>
      </c>
      <c r="W103">
        <v>0</v>
      </c>
      <c r="X103">
        <v>0</v>
      </c>
    </row>
    <row r="104" spans="1:24">
      <c r="A104" t="s">
        <v>176</v>
      </c>
      <c r="B104" t="s">
        <v>177</v>
      </c>
      <c r="C104" t="s">
        <v>187</v>
      </c>
      <c r="E104" t="s">
        <v>266</v>
      </c>
      <c r="F104" t="s">
        <v>225</v>
      </c>
      <c r="G104" t="s">
        <v>312</v>
      </c>
      <c r="H104" t="s">
        <v>321</v>
      </c>
      <c r="K104" t="s">
        <v>322</v>
      </c>
      <c r="L104">
        <v>1</v>
      </c>
      <c r="M104">
        <v>1485.0325969731609</v>
      </c>
      <c r="N104">
        <v>0.93636363636363629</v>
      </c>
      <c r="O104">
        <v>1390.5305226203241</v>
      </c>
      <c r="P104">
        <v>1545.0339140225819</v>
      </c>
      <c r="Q104">
        <v>0.9</v>
      </c>
      <c r="R104">
        <v>1</v>
      </c>
      <c r="S104">
        <v>0</v>
      </c>
      <c r="T104">
        <v>0</v>
      </c>
      <c r="U104">
        <v>0</v>
      </c>
      <c r="V104">
        <v>0</v>
      </c>
      <c r="W104">
        <v>0</v>
      </c>
      <c r="X104">
        <v>0.90820781876036505</v>
      </c>
    </row>
    <row r="105" spans="1:24">
      <c r="A105" t="s">
        <v>176</v>
      </c>
      <c r="B105" t="s">
        <v>177</v>
      </c>
      <c r="C105" t="s">
        <v>187</v>
      </c>
      <c r="E105" t="s">
        <v>266</v>
      </c>
      <c r="F105" t="s">
        <v>246</v>
      </c>
      <c r="G105" t="s">
        <v>247</v>
      </c>
      <c r="I105" t="s">
        <v>269</v>
      </c>
      <c r="K105" t="s">
        <v>322</v>
      </c>
      <c r="L105">
        <v>1</v>
      </c>
      <c r="M105">
        <v>1485.0325969731609</v>
      </c>
      <c r="N105">
        <v>0.93636363636363629</v>
      </c>
      <c r="O105">
        <v>1390.5305226203241</v>
      </c>
      <c r="P105">
        <v>1545.0339140225819</v>
      </c>
      <c r="Q105">
        <v>0.9</v>
      </c>
      <c r="R105">
        <v>1</v>
      </c>
      <c r="S105">
        <v>0.42075455410461071</v>
      </c>
      <c r="T105">
        <v>0</v>
      </c>
      <c r="U105">
        <v>0</v>
      </c>
      <c r="V105">
        <v>0</v>
      </c>
      <c r="W105">
        <v>292.53602500698281</v>
      </c>
      <c r="X105">
        <v>0.90820781876036505</v>
      </c>
    </row>
    <row r="106" spans="1:24">
      <c r="A106" t="s">
        <v>176</v>
      </c>
      <c r="B106" t="s">
        <v>177</v>
      </c>
      <c r="C106" t="s">
        <v>189</v>
      </c>
      <c r="E106" t="s">
        <v>266</v>
      </c>
      <c r="F106" t="s">
        <v>225</v>
      </c>
      <c r="G106" t="s">
        <v>312</v>
      </c>
      <c r="H106" t="s">
        <v>323</v>
      </c>
      <c r="K106" t="s">
        <v>324</v>
      </c>
      <c r="L106">
        <v>1</v>
      </c>
      <c r="M106">
        <v>1080.0237068895719</v>
      </c>
      <c r="N106">
        <v>0.97346986607142849</v>
      </c>
      <c r="O106">
        <v>1051.370533299759</v>
      </c>
      <c r="P106">
        <v>1168.1894814441771</v>
      </c>
      <c r="Q106">
        <v>0.9</v>
      </c>
      <c r="R106">
        <v>1</v>
      </c>
      <c r="S106">
        <v>0</v>
      </c>
      <c r="T106">
        <v>0</v>
      </c>
      <c r="U106">
        <v>0</v>
      </c>
      <c r="V106">
        <v>0</v>
      </c>
      <c r="W106">
        <v>0</v>
      </c>
      <c r="X106">
        <v>0.8564052632324658</v>
      </c>
    </row>
    <row r="107" spans="1:24">
      <c r="A107" t="s">
        <v>176</v>
      </c>
      <c r="B107" t="s">
        <v>177</v>
      </c>
      <c r="C107" t="s">
        <v>189</v>
      </c>
      <c r="E107" t="s">
        <v>266</v>
      </c>
      <c r="F107" t="s">
        <v>246</v>
      </c>
      <c r="G107" t="s">
        <v>247</v>
      </c>
      <c r="I107" t="s">
        <v>269</v>
      </c>
      <c r="K107" t="s">
        <v>324</v>
      </c>
      <c r="L107">
        <v>1</v>
      </c>
      <c r="M107">
        <v>1080.0237068895719</v>
      </c>
      <c r="N107">
        <v>0.97346986607142849</v>
      </c>
      <c r="O107">
        <v>1051.370533299759</v>
      </c>
      <c r="P107">
        <v>1168.1894814441771</v>
      </c>
      <c r="Q107">
        <v>0.9</v>
      </c>
      <c r="R107">
        <v>1</v>
      </c>
      <c r="S107">
        <v>0.14210604202775309</v>
      </c>
      <c r="T107">
        <v>0</v>
      </c>
      <c r="U107">
        <v>0</v>
      </c>
      <c r="V107">
        <v>0</v>
      </c>
      <c r="W107">
        <v>74.703052595918365</v>
      </c>
      <c r="X107">
        <v>0.8564052632324658</v>
      </c>
    </row>
    <row r="108" spans="1:24">
      <c r="A108" t="s">
        <v>176</v>
      </c>
      <c r="B108" t="s">
        <v>177</v>
      </c>
      <c r="C108" t="s">
        <v>241</v>
      </c>
      <c r="E108" t="s">
        <v>266</v>
      </c>
      <c r="F108" t="s">
        <v>225</v>
      </c>
      <c r="G108" t="s">
        <v>312</v>
      </c>
      <c r="H108" t="s">
        <v>325</v>
      </c>
      <c r="K108" t="s">
        <v>326</v>
      </c>
      <c r="L108">
        <v>1</v>
      </c>
      <c r="M108">
        <v>5265.1155710866633</v>
      </c>
      <c r="N108">
        <v>1</v>
      </c>
      <c r="O108">
        <v>5265.1155710866633</v>
      </c>
      <c r="P108">
        <v>5850.1284123185151</v>
      </c>
      <c r="Q108">
        <v>0.9</v>
      </c>
      <c r="R108">
        <v>1</v>
      </c>
      <c r="S108">
        <v>0</v>
      </c>
      <c r="T108">
        <v>0</v>
      </c>
      <c r="U108">
        <v>0</v>
      </c>
      <c r="V108">
        <v>0</v>
      </c>
      <c r="W108">
        <v>0</v>
      </c>
      <c r="X108">
        <v>0.97058838643855705</v>
      </c>
    </row>
    <row r="109" spans="1:24">
      <c r="A109" t="s">
        <v>176</v>
      </c>
      <c r="B109" t="s">
        <v>177</v>
      </c>
      <c r="C109" t="s">
        <v>241</v>
      </c>
      <c r="E109" t="s">
        <v>266</v>
      </c>
      <c r="F109" t="s">
        <v>246</v>
      </c>
      <c r="G109" t="s">
        <v>247</v>
      </c>
      <c r="I109" t="s">
        <v>269</v>
      </c>
      <c r="K109" t="s">
        <v>326</v>
      </c>
      <c r="L109">
        <v>1</v>
      </c>
      <c r="M109">
        <v>5265.1155710866633</v>
      </c>
      <c r="N109">
        <v>1</v>
      </c>
      <c r="O109">
        <v>5265.1155710866633</v>
      </c>
      <c r="P109">
        <v>5850.1284123185151</v>
      </c>
      <c r="Q109">
        <v>0.9</v>
      </c>
      <c r="R109">
        <v>1</v>
      </c>
      <c r="S109">
        <v>1.1413997435099941E-2</v>
      </c>
      <c r="T109">
        <v>0</v>
      </c>
      <c r="U109">
        <v>0</v>
      </c>
      <c r="V109">
        <v>0</v>
      </c>
      <c r="W109">
        <v>30.048007811943961</v>
      </c>
      <c r="X109">
        <v>0.97058838643855705</v>
      </c>
    </row>
    <row r="110" spans="1:24">
      <c r="A110" t="s">
        <v>176</v>
      </c>
      <c r="B110" t="s">
        <v>177</v>
      </c>
      <c r="C110" t="s">
        <v>193</v>
      </c>
      <c r="E110" t="s">
        <v>266</v>
      </c>
      <c r="F110" t="s">
        <v>225</v>
      </c>
      <c r="G110" t="s">
        <v>312</v>
      </c>
      <c r="H110" t="s">
        <v>327</v>
      </c>
      <c r="K110" t="s">
        <v>328</v>
      </c>
      <c r="L110">
        <v>1</v>
      </c>
      <c r="M110">
        <v>206463.0681189782</v>
      </c>
      <c r="N110">
        <v>1</v>
      </c>
      <c r="O110">
        <v>206463.0681189782</v>
      </c>
      <c r="P110">
        <v>229403.40902108679</v>
      </c>
      <c r="Q110">
        <v>0.9</v>
      </c>
      <c r="R110">
        <v>1</v>
      </c>
      <c r="S110">
        <v>0</v>
      </c>
      <c r="T110">
        <v>0</v>
      </c>
      <c r="U110">
        <v>0</v>
      </c>
      <c r="V110">
        <v>0</v>
      </c>
      <c r="W110">
        <v>0</v>
      </c>
      <c r="X110">
        <v>0.91618285690388657</v>
      </c>
    </row>
    <row r="111" spans="1:24">
      <c r="A111" t="s">
        <v>176</v>
      </c>
      <c r="B111" t="s">
        <v>177</v>
      </c>
      <c r="C111" t="s">
        <v>193</v>
      </c>
      <c r="E111" t="s">
        <v>266</v>
      </c>
      <c r="F111" t="s">
        <v>246</v>
      </c>
      <c r="G111" t="s">
        <v>247</v>
      </c>
      <c r="I111" t="s">
        <v>269</v>
      </c>
      <c r="K111" t="s">
        <v>328</v>
      </c>
      <c r="L111">
        <v>1</v>
      </c>
      <c r="M111">
        <v>206463.0681189782</v>
      </c>
      <c r="N111">
        <v>1</v>
      </c>
      <c r="O111">
        <v>206463.0681189782</v>
      </c>
      <c r="P111">
        <v>229403.40902108679</v>
      </c>
      <c r="Q111">
        <v>0.9</v>
      </c>
      <c r="R111">
        <v>1</v>
      </c>
      <c r="S111">
        <v>8.3894467404158526E-2</v>
      </c>
      <c r="T111">
        <v>0</v>
      </c>
      <c r="U111">
        <v>0</v>
      </c>
      <c r="V111">
        <v>0</v>
      </c>
      <c r="W111">
        <v>8660.5545692350879</v>
      </c>
      <c r="X111">
        <v>0.91618285690388657</v>
      </c>
    </row>
    <row r="112" spans="1:24">
      <c r="A112" t="s">
        <v>307</v>
      </c>
    </row>
    <row r="113" spans="1:28">
      <c r="A113" t="s">
        <v>307</v>
      </c>
      <c r="L113" t="s">
        <v>212</v>
      </c>
      <c r="M113" t="s">
        <v>329</v>
      </c>
      <c r="N113" t="s">
        <v>214</v>
      </c>
      <c r="O113" t="s">
        <v>330</v>
      </c>
      <c r="P113" t="s">
        <v>331</v>
      </c>
      <c r="Q113" t="s">
        <v>332</v>
      </c>
      <c r="R113" t="s">
        <v>333</v>
      </c>
      <c r="S113" t="s">
        <v>217</v>
      </c>
      <c r="T113" t="s">
        <v>218</v>
      </c>
      <c r="U113" t="s">
        <v>334</v>
      </c>
      <c r="V113" t="s">
        <v>221</v>
      </c>
      <c r="W113" t="s">
        <v>222</v>
      </c>
      <c r="X113" t="s">
        <v>335</v>
      </c>
    </row>
    <row r="114" spans="1:28">
      <c r="A114" t="s">
        <v>176</v>
      </c>
      <c r="B114" t="s">
        <v>177</v>
      </c>
      <c r="C114" t="s">
        <v>244</v>
      </c>
      <c r="E114" t="s">
        <v>336</v>
      </c>
      <c r="F114" t="s">
        <v>225</v>
      </c>
      <c r="G114" t="s">
        <v>247</v>
      </c>
      <c r="H114" t="s">
        <v>248</v>
      </c>
      <c r="K114" t="s">
        <v>337</v>
      </c>
      <c r="L114">
        <v>1</v>
      </c>
      <c r="M114">
        <v>0</v>
      </c>
      <c r="N114">
        <v>0.25</v>
      </c>
      <c r="O114">
        <v>0</v>
      </c>
      <c r="Q114">
        <v>0</v>
      </c>
      <c r="R114">
        <v>0</v>
      </c>
      <c r="S114">
        <v>0.9</v>
      </c>
      <c r="T114">
        <v>31.536000000000001</v>
      </c>
      <c r="U114">
        <v>17.42705570291777</v>
      </c>
      <c r="V114">
        <v>0</v>
      </c>
      <c r="W114">
        <v>0</v>
      </c>
    </row>
    <row r="115" spans="1:28">
      <c r="A115" t="s">
        <v>176</v>
      </c>
      <c r="B115" t="s">
        <v>177</v>
      </c>
      <c r="C115" t="s">
        <v>244</v>
      </c>
      <c r="E115" t="s">
        <v>338</v>
      </c>
      <c r="F115" t="s">
        <v>225</v>
      </c>
      <c r="G115" t="s">
        <v>247</v>
      </c>
      <c r="H115" t="s">
        <v>248</v>
      </c>
      <c r="K115" t="s">
        <v>339</v>
      </c>
      <c r="L115">
        <v>1</v>
      </c>
      <c r="M115">
        <v>0</v>
      </c>
      <c r="N115">
        <v>0.75</v>
      </c>
      <c r="O115">
        <v>0</v>
      </c>
      <c r="Q115">
        <v>0</v>
      </c>
      <c r="R115">
        <v>0</v>
      </c>
      <c r="S115">
        <v>0.9</v>
      </c>
      <c r="T115">
        <v>31.536000000000001</v>
      </c>
      <c r="U115">
        <v>0.1742705570291779</v>
      </c>
      <c r="V115">
        <v>0</v>
      </c>
      <c r="W115">
        <v>0</v>
      </c>
    </row>
    <row r="116" spans="1:28">
      <c r="A116" t="s">
        <v>176</v>
      </c>
      <c r="B116" t="s">
        <v>177</v>
      </c>
      <c r="C116" t="s">
        <v>244</v>
      </c>
      <c r="E116" t="s">
        <v>340</v>
      </c>
      <c r="F116" t="s">
        <v>225</v>
      </c>
      <c r="G116" t="s">
        <v>247</v>
      </c>
      <c r="H116" t="s">
        <v>248</v>
      </c>
      <c r="K116" t="s">
        <v>341</v>
      </c>
      <c r="L116">
        <v>1</v>
      </c>
      <c r="M116">
        <v>0</v>
      </c>
      <c r="N116">
        <v>0</v>
      </c>
      <c r="O116">
        <v>0</v>
      </c>
      <c r="Q116">
        <v>0</v>
      </c>
      <c r="R116">
        <v>0</v>
      </c>
      <c r="S116">
        <v>0.9</v>
      </c>
      <c r="T116">
        <v>31.536000000000001</v>
      </c>
      <c r="U116">
        <v>0.2178381962864723</v>
      </c>
      <c r="V116">
        <v>0</v>
      </c>
      <c r="W116">
        <v>0</v>
      </c>
      <c r="X116">
        <v>0</v>
      </c>
    </row>
    <row r="117" spans="1:28">
      <c r="A117" t="s">
        <v>176</v>
      </c>
      <c r="B117" t="s">
        <v>177</v>
      </c>
      <c r="C117" t="s">
        <v>244</v>
      </c>
      <c r="E117" t="s">
        <v>340</v>
      </c>
      <c r="F117" t="s">
        <v>246</v>
      </c>
      <c r="G117" t="s">
        <v>201</v>
      </c>
      <c r="I117" t="s">
        <v>256</v>
      </c>
      <c r="K117" t="s">
        <v>341</v>
      </c>
      <c r="L117">
        <v>1</v>
      </c>
      <c r="M117">
        <v>0</v>
      </c>
      <c r="N117">
        <v>0</v>
      </c>
      <c r="O117">
        <v>0</v>
      </c>
      <c r="P117">
        <v>0</v>
      </c>
      <c r="Q117">
        <v>0</v>
      </c>
      <c r="R117">
        <v>0</v>
      </c>
      <c r="S117">
        <v>0.9</v>
      </c>
      <c r="T117">
        <v>31.536000000000001</v>
      </c>
      <c r="U117">
        <v>0.2178381962864723</v>
      </c>
      <c r="V117">
        <v>0</v>
      </c>
      <c r="W117">
        <v>0</v>
      </c>
      <c r="X117">
        <v>0</v>
      </c>
    </row>
    <row r="118" spans="1:28">
      <c r="A118" t="s">
        <v>176</v>
      </c>
      <c r="B118" t="s">
        <v>177</v>
      </c>
      <c r="C118" t="s">
        <v>244</v>
      </c>
      <c r="E118" t="s">
        <v>340</v>
      </c>
      <c r="F118" t="s">
        <v>246</v>
      </c>
      <c r="G118" t="s">
        <v>258</v>
      </c>
      <c r="I118" t="s">
        <v>259</v>
      </c>
      <c r="K118" t="s">
        <v>341</v>
      </c>
      <c r="L118">
        <v>1</v>
      </c>
      <c r="M118">
        <v>0</v>
      </c>
      <c r="N118">
        <v>0</v>
      </c>
      <c r="O118">
        <v>0</v>
      </c>
      <c r="P118">
        <v>0</v>
      </c>
      <c r="Q118">
        <v>0</v>
      </c>
      <c r="R118">
        <v>0</v>
      </c>
      <c r="S118">
        <v>0.9</v>
      </c>
      <c r="T118">
        <v>31.536000000000001</v>
      </c>
      <c r="U118">
        <v>0.2178381962864723</v>
      </c>
      <c r="V118">
        <v>0</v>
      </c>
      <c r="W118">
        <v>0</v>
      </c>
      <c r="X118">
        <v>0</v>
      </c>
    </row>
    <row r="119" spans="1:28">
      <c r="A119" t="s">
        <v>176</v>
      </c>
      <c r="B119" t="s">
        <v>177</v>
      </c>
      <c r="C119" t="s">
        <v>244</v>
      </c>
      <c r="E119" t="s">
        <v>342</v>
      </c>
      <c r="F119" t="s">
        <v>225</v>
      </c>
      <c r="G119" t="s">
        <v>247</v>
      </c>
      <c r="H119" t="s">
        <v>248</v>
      </c>
      <c r="K119" t="s">
        <v>343</v>
      </c>
      <c r="L119">
        <v>1</v>
      </c>
      <c r="M119">
        <v>0</v>
      </c>
      <c r="N119">
        <v>0</v>
      </c>
      <c r="O119">
        <v>0</v>
      </c>
      <c r="Q119">
        <v>0</v>
      </c>
      <c r="R119">
        <v>0</v>
      </c>
      <c r="S119">
        <v>0.9</v>
      </c>
      <c r="T119">
        <v>31.536000000000001</v>
      </c>
      <c r="U119">
        <v>0.49791587722622249</v>
      </c>
      <c r="V119">
        <v>0</v>
      </c>
      <c r="W119">
        <v>0</v>
      </c>
    </row>
    <row r="120" spans="1:28">
      <c r="A120" t="s">
        <v>176</v>
      </c>
      <c r="B120" t="s">
        <v>177</v>
      </c>
      <c r="C120" t="s">
        <v>244</v>
      </c>
      <c r="E120" t="s">
        <v>342</v>
      </c>
      <c r="F120" t="s">
        <v>246</v>
      </c>
      <c r="G120" t="s">
        <v>201</v>
      </c>
      <c r="I120" t="s">
        <v>256</v>
      </c>
      <c r="K120" t="s">
        <v>343</v>
      </c>
      <c r="L120">
        <v>1</v>
      </c>
      <c r="M120">
        <v>0</v>
      </c>
      <c r="N120">
        <v>0</v>
      </c>
      <c r="O120">
        <v>0</v>
      </c>
      <c r="P120">
        <v>0</v>
      </c>
      <c r="Q120">
        <v>0</v>
      </c>
      <c r="R120">
        <v>0</v>
      </c>
      <c r="S120">
        <v>0.9</v>
      </c>
      <c r="T120">
        <v>31.536000000000001</v>
      </c>
      <c r="U120">
        <v>0.49791587722622249</v>
      </c>
      <c r="V120">
        <v>0</v>
      </c>
      <c r="W120">
        <v>0</v>
      </c>
    </row>
    <row r="121" spans="1:28">
      <c r="A121" t="s">
        <v>176</v>
      </c>
      <c r="B121" t="s">
        <v>177</v>
      </c>
      <c r="C121" t="s">
        <v>244</v>
      </c>
      <c r="E121" t="s">
        <v>344</v>
      </c>
      <c r="F121" t="s">
        <v>225</v>
      </c>
      <c r="G121" t="s">
        <v>247</v>
      </c>
      <c r="H121" t="s">
        <v>248</v>
      </c>
      <c r="K121" t="s">
        <v>345</v>
      </c>
      <c r="L121">
        <v>1</v>
      </c>
      <c r="M121">
        <v>0</v>
      </c>
      <c r="N121">
        <v>0</v>
      </c>
      <c r="O121">
        <v>0</v>
      </c>
      <c r="Q121">
        <v>0</v>
      </c>
      <c r="R121">
        <v>0</v>
      </c>
      <c r="S121">
        <v>0.9</v>
      </c>
      <c r="T121">
        <v>31.536000000000001</v>
      </c>
      <c r="U121">
        <v>0.1742705570291779</v>
      </c>
      <c r="V121">
        <v>0</v>
      </c>
      <c r="W121">
        <v>0</v>
      </c>
    </row>
    <row r="122" spans="1:28">
      <c r="A122" t="s">
        <v>176</v>
      </c>
      <c r="B122" t="s">
        <v>177</v>
      </c>
      <c r="C122" t="s">
        <v>244</v>
      </c>
      <c r="E122" t="s">
        <v>344</v>
      </c>
      <c r="F122" t="s">
        <v>246</v>
      </c>
      <c r="G122" t="s">
        <v>346</v>
      </c>
      <c r="I122" t="s">
        <v>346</v>
      </c>
      <c r="K122" t="s">
        <v>345</v>
      </c>
      <c r="L122">
        <v>1</v>
      </c>
      <c r="M122">
        <v>0</v>
      </c>
      <c r="N122">
        <v>0</v>
      </c>
      <c r="O122">
        <v>0</v>
      </c>
      <c r="P122">
        <v>0</v>
      </c>
      <c r="Q122">
        <v>0</v>
      </c>
      <c r="R122">
        <v>0</v>
      </c>
      <c r="S122">
        <v>0.9</v>
      </c>
      <c r="T122">
        <v>31.536000000000001</v>
      </c>
      <c r="U122">
        <v>0.1742705570291779</v>
      </c>
      <c r="V122">
        <v>0</v>
      </c>
      <c r="W122">
        <v>0</v>
      </c>
    </row>
    <row r="123" spans="1:28">
      <c r="A123" t="s">
        <v>176</v>
      </c>
      <c r="B123" t="s">
        <v>177</v>
      </c>
      <c r="C123" t="s">
        <v>266</v>
      </c>
      <c r="E123" t="s">
        <v>336</v>
      </c>
      <c r="F123" t="s">
        <v>225</v>
      </c>
      <c r="G123" t="s">
        <v>247</v>
      </c>
      <c r="H123" t="s">
        <v>269</v>
      </c>
      <c r="K123" t="s">
        <v>347</v>
      </c>
      <c r="L123">
        <v>1</v>
      </c>
      <c r="M123">
        <v>18453.70930938725</v>
      </c>
      <c r="N123">
        <v>0.25</v>
      </c>
      <c r="O123">
        <v>4613.4273273468116</v>
      </c>
      <c r="Q123">
        <v>0</v>
      </c>
      <c r="R123">
        <v>162.54535653598049</v>
      </c>
      <c r="S123">
        <v>0.9</v>
      </c>
      <c r="T123">
        <v>31.536000000000001</v>
      </c>
      <c r="U123">
        <v>17.42705570291777</v>
      </c>
      <c r="V123">
        <v>0</v>
      </c>
      <c r="W123">
        <v>0</v>
      </c>
      <c r="AB123">
        <v>13840.28198204044</v>
      </c>
    </row>
    <row r="124" spans="1:28">
      <c r="A124" t="s">
        <v>176</v>
      </c>
      <c r="B124" t="s">
        <v>177</v>
      </c>
      <c r="C124" t="s">
        <v>266</v>
      </c>
      <c r="E124" t="s">
        <v>338</v>
      </c>
      <c r="F124" t="s">
        <v>225</v>
      </c>
      <c r="G124" t="s">
        <v>247</v>
      </c>
      <c r="H124" t="s">
        <v>269</v>
      </c>
      <c r="K124" t="s">
        <v>348</v>
      </c>
      <c r="L124">
        <v>1</v>
      </c>
      <c r="M124">
        <v>18453.70930938725</v>
      </c>
      <c r="N124">
        <v>0.75</v>
      </c>
      <c r="O124">
        <v>13840.281982040429</v>
      </c>
      <c r="Q124">
        <v>0</v>
      </c>
      <c r="R124">
        <v>487.63606960794141</v>
      </c>
      <c r="S124">
        <v>0.9</v>
      </c>
      <c r="T124">
        <v>31.536000000000001</v>
      </c>
      <c r="U124">
        <v>0.1742705570291779</v>
      </c>
      <c r="V124">
        <v>0</v>
      </c>
      <c r="W124">
        <v>0</v>
      </c>
    </row>
    <row r="125" spans="1:28">
      <c r="A125" t="s">
        <v>176</v>
      </c>
      <c r="B125" t="s">
        <v>177</v>
      </c>
      <c r="C125" t="s">
        <v>266</v>
      </c>
      <c r="E125" t="s">
        <v>340</v>
      </c>
      <c r="F125" t="s">
        <v>225</v>
      </c>
      <c r="G125" t="s">
        <v>247</v>
      </c>
      <c r="H125" t="s">
        <v>269</v>
      </c>
      <c r="K125" t="s">
        <v>349</v>
      </c>
      <c r="L125">
        <v>1</v>
      </c>
      <c r="M125">
        <v>18453.70930938725</v>
      </c>
      <c r="N125">
        <v>0</v>
      </c>
      <c r="O125">
        <v>0</v>
      </c>
      <c r="Q125">
        <v>0</v>
      </c>
      <c r="R125">
        <v>0</v>
      </c>
      <c r="S125">
        <v>0.9</v>
      </c>
      <c r="T125">
        <v>31.536000000000001</v>
      </c>
      <c r="U125">
        <v>0.2178381962864723</v>
      </c>
      <c r="V125">
        <v>0</v>
      </c>
      <c r="W125">
        <v>0</v>
      </c>
      <c r="X125">
        <v>0</v>
      </c>
    </row>
    <row r="126" spans="1:28">
      <c r="A126" t="s">
        <v>176</v>
      </c>
      <c r="B126" t="s">
        <v>177</v>
      </c>
      <c r="C126" t="s">
        <v>266</v>
      </c>
      <c r="E126" t="s">
        <v>340</v>
      </c>
      <c r="F126" t="s">
        <v>246</v>
      </c>
      <c r="G126" t="s">
        <v>201</v>
      </c>
      <c r="I126" t="s">
        <v>256</v>
      </c>
      <c r="K126" t="s">
        <v>349</v>
      </c>
      <c r="L126">
        <v>1</v>
      </c>
      <c r="M126">
        <v>18453.70930938725</v>
      </c>
      <c r="N126">
        <v>0</v>
      </c>
      <c r="O126">
        <v>0</v>
      </c>
      <c r="P126">
        <v>0</v>
      </c>
      <c r="Q126">
        <v>0</v>
      </c>
      <c r="R126">
        <v>0</v>
      </c>
      <c r="S126">
        <v>0.9</v>
      </c>
      <c r="T126">
        <v>31.536000000000001</v>
      </c>
      <c r="U126">
        <v>0.2178381962864723</v>
      </c>
      <c r="V126">
        <v>0</v>
      </c>
      <c r="W126">
        <v>0</v>
      </c>
      <c r="X126">
        <v>0</v>
      </c>
    </row>
    <row r="127" spans="1:28">
      <c r="A127" t="s">
        <v>176</v>
      </c>
      <c r="B127" t="s">
        <v>177</v>
      </c>
      <c r="C127" t="s">
        <v>266</v>
      </c>
      <c r="E127" t="s">
        <v>340</v>
      </c>
      <c r="F127" t="s">
        <v>246</v>
      </c>
      <c r="G127" t="s">
        <v>258</v>
      </c>
      <c r="I127" t="s">
        <v>259</v>
      </c>
      <c r="K127" t="s">
        <v>349</v>
      </c>
      <c r="L127">
        <v>1</v>
      </c>
      <c r="M127">
        <v>18453.70930938725</v>
      </c>
      <c r="N127">
        <v>0</v>
      </c>
      <c r="O127">
        <v>0</v>
      </c>
      <c r="P127">
        <v>0</v>
      </c>
      <c r="Q127">
        <v>0</v>
      </c>
      <c r="R127">
        <v>0</v>
      </c>
      <c r="S127">
        <v>0.9</v>
      </c>
      <c r="T127">
        <v>31.536000000000001</v>
      </c>
      <c r="U127">
        <v>0.2178381962864723</v>
      </c>
      <c r="V127">
        <v>0</v>
      </c>
      <c r="W127">
        <v>0</v>
      </c>
      <c r="X127">
        <v>0</v>
      </c>
    </row>
    <row r="128" spans="1:28">
      <c r="A128" t="s">
        <v>176</v>
      </c>
      <c r="B128" t="s">
        <v>177</v>
      </c>
      <c r="C128" t="s">
        <v>266</v>
      </c>
      <c r="E128" t="s">
        <v>342</v>
      </c>
      <c r="F128" t="s">
        <v>225</v>
      </c>
      <c r="G128" t="s">
        <v>247</v>
      </c>
      <c r="H128" t="s">
        <v>269</v>
      </c>
      <c r="K128" t="s">
        <v>350</v>
      </c>
      <c r="L128">
        <v>1</v>
      </c>
      <c r="M128">
        <v>18453.70930938725</v>
      </c>
      <c r="N128">
        <v>0</v>
      </c>
      <c r="O128">
        <v>0</v>
      </c>
      <c r="Q128">
        <v>0</v>
      </c>
      <c r="R128">
        <v>0</v>
      </c>
      <c r="S128">
        <v>0.9</v>
      </c>
      <c r="T128">
        <v>31.536000000000001</v>
      </c>
      <c r="U128">
        <v>0.49791587722622249</v>
      </c>
      <c r="V128">
        <v>0</v>
      </c>
      <c r="W128">
        <v>0</v>
      </c>
    </row>
    <row r="129" spans="1:24">
      <c r="A129" t="s">
        <v>176</v>
      </c>
      <c r="B129" t="s">
        <v>177</v>
      </c>
      <c r="C129" t="s">
        <v>266</v>
      </c>
      <c r="E129" t="s">
        <v>342</v>
      </c>
      <c r="F129" t="s">
        <v>246</v>
      </c>
      <c r="G129" t="s">
        <v>201</v>
      </c>
      <c r="I129" t="s">
        <v>256</v>
      </c>
      <c r="K129" t="s">
        <v>350</v>
      </c>
      <c r="L129">
        <v>1</v>
      </c>
      <c r="M129">
        <v>18453.70930938725</v>
      </c>
      <c r="N129">
        <v>0</v>
      </c>
      <c r="O129">
        <v>0</v>
      </c>
      <c r="P129">
        <v>0</v>
      </c>
      <c r="Q129">
        <v>0</v>
      </c>
      <c r="R129">
        <v>0</v>
      </c>
      <c r="S129">
        <v>0.9</v>
      </c>
      <c r="T129">
        <v>31.536000000000001</v>
      </c>
      <c r="U129">
        <v>0.49791587722622249</v>
      </c>
      <c r="V129">
        <v>0</v>
      </c>
      <c r="W129">
        <v>0</v>
      </c>
    </row>
    <row r="130" spans="1:24">
      <c r="A130" t="s">
        <v>176</v>
      </c>
      <c r="B130" t="s">
        <v>177</v>
      </c>
      <c r="C130" t="s">
        <v>266</v>
      </c>
      <c r="E130" t="s">
        <v>344</v>
      </c>
      <c r="F130" t="s">
        <v>225</v>
      </c>
      <c r="G130" t="s">
        <v>247</v>
      </c>
      <c r="H130" t="s">
        <v>269</v>
      </c>
      <c r="K130" t="s">
        <v>351</v>
      </c>
      <c r="L130">
        <v>1</v>
      </c>
      <c r="M130">
        <v>18453.70930938725</v>
      </c>
      <c r="N130">
        <v>0</v>
      </c>
      <c r="O130">
        <v>0</v>
      </c>
      <c r="Q130">
        <v>0</v>
      </c>
      <c r="R130">
        <v>0</v>
      </c>
      <c r="S130">
        <v>0.9</v>
      </c>
      <c r="T130">
        <v>31.536000000000001</v>
      </c>
      <c r="U130">
        <v>0.1742705570291779</v>
      </c>
      <c r="V130">
        <v>0</v>
      </c>
      <c r="W130">
        <v>0</v>
      </c>
    </row>
    <row r="131" spans="1:24">
      <c r="A131" t="s">
        <v>176</v>
      </c>
      <c r="B131" t="s">
        <v>177</v>
      </c>
      <c r="C131" t="s">
        <v>266</v>
      </c>
      <c r="E131" t="s">
        <v>344</v>
      </c>
      <c r="F131" t="s">
        <v>246</v>
      </c>
      <c r="G131" t="s">
        <v>346</v>
      </c>
      <c r="I131" t="s">
        <v>346</v>
      </c>
      <c r="K131" t="s">
        <v>351</v>
      </c>
      <c r="L131">
        <v>1</v>
      </c>
      <c r="M131">
        <v>18453.70930938725</v>
      </c>
      <c r="N131">
        <v>0</v>
      </c>
      <c r="O131">
        <v>0</v>
      </c>
      <c r="P131">
        <v>0</v>
      </c>
      <c r="Q131">
        <v>0</v>
      </c>
      <c r="R131">
        <v>0</v>
      </c>
      <c r="S131">
        <v>0.9</v>
      </c>
      <c r="T131">
        <v>31.536000000000001</v>
      </c>
      <c r="U131">
        <v>0.1742705570291779</v>
      </c>
      <c r="V131">
        <v>0</v>
      </c>
      <c r="W131">
        <v>0</v>
      </c>
    </row>
    <row r="132" spans="1:24">
      <c r="A132" t="s">
        <v>176</v>
      </c>
      <c r="B132" t="s">
        <v>195</v>
      </c>
      <c r="C132" t="s">
        <v>298</v>
      </c>
      <c r="E132" t="s">
        <v>336</v>
      </c>
      <c r="F132" t="s">
        <v>225</v>
      </c>
      <c r="G132" t="s">
        <v>247</v>
      </c>
      <c r="H132" t="s">
        <v>300</v>
      </c>
      <c r="K132" t="s">
        <v>352</v>
      </c>
      <c r="L132">
        <v>1</v>
      </c>
      <c r="M132">
        <v>3550.6704315220059</v>
      </c>
      <c r="N132">
        <v>0.01</v>
      </c>
      <c r="O132">
        <v>35.506704315220063</v>
      </c>
      <c r="Q132">
        <v>0</v>
      </c>
      <c r="R132">
        <v>1.2510113420718501</v>
      </c>
      <c r="S132">
        <v>0.9</v>
      </c>
      <c r="T132">
        <v>31.536000000000001</v>
      </c>
      <c r="U132">
        <v>17.42705570291777</v>
      </c>
      <c r="V132">
        <v>0</v>
      </c>
      <c r="W132">
        <v>0</v>
      </c>
    </row>
    <row r="133" spans="1:24">
      <c r="A133" t="s">
        <v>176</v>
      </c>
      <c r="B133" t="s">
        <v>195</v>
      </c>
      <c r="C133" t="s">
        <v>298</v>
      </c>
      <c r="E133" t="s">
        <v>338</v>
      </c>
      <c r="F133" t="s">
        <v>225</v>
      </c>
      <c r="G133" t="s">
        <v>247</v>
      </c>
      <c r="H133" t="s">
        <v>300</v>
      </c>
      <c r="K133" t="s">
        <v>353</v>
      </c>
      <c r="L133">
        <v>1</v>
      </c>
      <c r="M133">
        <v>3550.6704315220059</v>
      </c>
      <c r="N133">
        <v>0.49</v>
      </c>
      <c r="O133">
        <v>1739.8285114457831</v>
      </c>
      <c r="Q133">
        <v>0</v>
      </c>
      <c r="R133">
        <v>61.299555761520637</v>
      </c>
      <c r="S133">
        <v>0.9</v>
      </c>
      <c r="T133">
        <v>31.536000000000001</v>
      </c>
      <c r="U133">
        <v>0.1742705570291779</v>
      </c>
      <c r="V133">
        <v>0</v>
      </c>
      <c r="W133">
        <v>0</v>
      </c>
    </row>
    <row r="134" spans="1:24">
      <c r="A134" t="s">
        <v>176</v>
      </c>
      <c r="B134" t="s">
        <v>195</v>
      </c>
      <c r="C134" t="s">
        <v>298</v>
      </c>
      <c r="E134" t="s">
        <v>340</v>
      </c>
      <c r="F134" t="s">
        <v>225</v>
      </c>
      <c r="G134" t="s">
        <v>247</v>
      </c>
      <c r="H134" t="s">
        <v>300</v>
      </c>
      <c r="K134" t="s">
        <v>354</v>
      </c>
      <c r="L134">
        <v>1</v>
      </c>
      <c r="M134">
        <v>3550.6704315220059</v>
      </c>
      <c r="N134">
        <v>0.25</v>
      </c>
      <c r="O134">
        <v>887.66760788050158</v>
      </c>
      <c r="Q134">
        <v>710.13408630440131</v>
      </c>
      <c r="R134">
        <v>10.94634924312868</v>
      </c>
      <c r="S134">
        <v>0.9</v>
      </c>
      <c r="T134">
        <v>31.536000000000001</v>
      </c>
      <c r="U134">
        <v>0.2178381962864723</v>
      </c>
      <c r="V134">
        <v>0</v>
      </c>
      <c r="W134">
        <v>0</v>
      </c>
      <c r="X134">
        <v>1.285714285714286</v>
      </c>
    </row>
    <row r="135" spans="1:24">
      <c r="A135" t="s">
        <v>176</v>
      </c>
      <c r="B135" t="s">
        <v>195</v>
      </c>
      <c r="C135" t="s">
        <v>298</v>
      </c>
      <c r="E135" t="s">
        <v>340</v>
      </c>
      <c r="F135" t="s">
        <v>246</v>
      </c>
      <c r="G135" t="s">
        <v>201</v>
      </c>
      <c r="I135" t="s">
        <v>256</v>
      </c>
      <c r="K135" t="s">
        <v>354</v>
      </c>
      <c r="L135">
        <v>1</v>
      </c>
      <c r="M135">
        <v>3550.6704315220059</v>
      </c>
      <c r="N135">
        <v>0.25</v>
      </c>
      <c r="O135">
        <v>887.66760788050158</v>
      </c>
      <c r="P135">
        <v>310.68366275817561</v>
      </c>
      <c r="Q135">
        <v>710.13408630440131</v>
      </c>
      <c r="R135">
        <v>10.94634924312868</v>
      </c>
      <c r="S135">
        <v>0.9</v>
      </c>
      <c r="T135">
        <v>31.536000000000001</v>
      </c>
      <c r="U135">
        <v>0.2178381962864723</v>
      </c>
      <c r="V135">
        <v>0</v>
      </c>
      <c r="W135">
        <v>0</v>
      </c>
      <c r="X135">
        <v>1.285714285714286</v>
      </c>
    </row>
    <row r="136" spans="1:24">
      <c r="A136" t="s">
        <v>176</v>
      </c>
      <c r="B136" t="s">
        <v>195</v>
      </c>
      <c r="C136" t="s">
        <v>298</v>
      </c>
      <c r="E136" t="s">
        <v>340</v>
      </c>
      <c r="F136" t="s">
        <v>246</v>
      </c>
      <c r="G136" t="s">
        <v>258</v>
      </c>
      <c r="I136" t="s">
        <v>259</v>
      </c>
      <c r="K136" t="s">
        <v>354</v>
      </c>
      <c r="L136">
        <v>1</v>
      </c>
      <c r="M136">
        <v>3550.6704315220059</v>
      </c>
      <c r="N136">
        <v>0.25</v>
      </c>
      <c r="O136">
        <v>887.66760788050158</v>
      </c>
      <c r="P136">
        <v>399.45042354622569</v>
      </c>
      <c r="Q136">
        <v>710.13408630440131</v>
      </c>
      <c r="R136">
        <v>10.94634924312868</v>
      </c>
      <c r="S136">
        <v>0.9</v>
      </c>
      <c r="T136">
        <v>31.536000000000001</v>
      </c>
      <c r="U136">
        <v>0.2178381962864723</v>
      </c>
      <c r="V136">
        <v>0</v>
      </c>
      <c r="W136">
        <v>0</v>
      </c>
      <c r="X136">
        <v>1.285714285714286</v>
      </c>
    </row>
    <row r="137" spans="1:24">
      <c r="A137" t="s">
        <v>176</v>
      </c>
      <c r="B137" t="s">
        <v>195</v>
      </c>
      <c r="C137" t="s">
        <v>298</v>
      </c>
      <c r="E137" t="s">
        <v>342</v>
      </c>
      <c r="F137" t="s">
        <v>225</v>
      </c>
      <c r="G137" t="s">
        <v>247</v>
      </c>
      <c r="H137" t="s">
        <v>300</v>
      </c>
      <c r="K137" t="s">
        <v>355</v>
      </c>
      <c r="L137">
        <v>1</v>
      </c>
      <c r="M137">
        <v>3550.6704315220059</v>
      </c>
      <c r="N137">
        <v>0.25</v>
      </c>
      <c r="O137">
        <v>887.66760788050158</v>
      </c>
      <c r="Q137">
        <v>310.68366275817561</v>
      </c>
      <c r="R137">
        <v>10.94634924312868</v>
      </c>
      <c r="S137">
        <v>0.9</v>
      </c>
      <c r="T137">
        <v>31.536000000000001</v>
      </c>
      <c r="U137">
        <v>0.49791587722622249</v>
      </c>
      <c r="V137">
        <v>0</v>
      </c>
      <c r="W137">
        <v>0</v>
      </c>
    </row>
    <row r="138" spans="1:24">
      <c r="A138" t="s">
        <v>176</v>
      </c>
      <c r="B138" t="s">
        <v>195</v>
      </c>
      <c r="C138" t="s">
        <v>298</v>
      </c>
      <c r="E138" t="s">
        <v>342</v>
      </c>
      <c r="F138" t="s">
        <v>246</v>
      </c>
      <c r="G138" t="s">
        <v>201</v>
      </c>
      <c r="I138" t="s">
        <v>256</v>
      </c>
      <c r="K138" t="s">
        <v>355</v>
      </c>
      <c r="L138">
        <v>1</v>
      </c>
      <c r="M138">
        <v>3550.6704315220059</v>
      </c>
      <c r="N138">
        <v>0.25</v>
      </c>
      <c r="O138">
        <v>887.66760788050158</v>
      </c>
      <c r="P138">
        <v>310.68366275817561</v>
      </c>
      <c r="Q138">
        <v>310.68366275817561</v>
      </c>
      <c r="R138">
        <v>10.94634924312868</v>
      </c>
      <c r="S138">
        <v>0.9</v>
      </c>
      <c r="T138">
        <v>31.536000000000001</v>
      </c>
      <c r="U138">
        <v>0.49791587722622249</v>
      </c>
      <c r="V138">
        <v>0</v>
      </c>
      <c r="W138">
        <v>0</v>
      </c>
    </row>
    <row r="139" spans="1:24">
      <c r="A139" t="s">
        <v>176</v>
      </c>
      <c r="B139" t="s">
        <v>195</v>
      </c>
      <c r="C139" t="s">
        <v>298</v>
      </c>
      <c r="E139" t="s">
        <v>344</v>
      </c>
      <c r="F139" t="s">
        <v>225</v>
      </c>
      <c r="G139" t="s">
        <v>247</v>
      </c>
      <c r="H139" t="s">
        <v>300</v>
      </c>
      <c r="K139" t="s">
        <v>356</v>
      </c>
      <c r="L139">
        <v>1</v>
      </c>
      <c r="M139">
        <v>3550.6704315220059</v>
      </c>
      <c r="N139">
        <v>0</v>
      </c>
      <c r="O139">
        <v>0</v>
      </c>
      <c r="Q139">
        <v>0</v>
      </c>
      <c r="R139">
        <v>0</v>
      </c>
      <c r="S139">
        <v>0.9</v>
      </c>
      <c r="T139">
        <v>31.536000000000001</v>
      </c>
      <c r="U139">
        <v>0.1742705570291779</v>
      </c>
      <c r="V139">
        <v>0</v>
      </c>
      <c r="W139">
        <v>0</v>
      </c>
    </row>
    <row r="140" spans="1:24">
      <c r="A140" t="s">
        <v>176</v>
      </c>
      <c r="B140" t="s">
        <v>195</v>
      </c>
      <c r="C140" t="s">
        <v>298</v>
      </c>
      <c r="E140" t="s">
        <v>344</v>
      </c>
      <c r="F140" t="s">
        <v>246</v>
      </c>
      <c r="G140" t="s">
        <v>346</v>
      </c>
      <c r="I140" t="s">
        <v>346</v>
      </c>
      <c r="K140" t="s">
        <v>356</v>
      </c>
      <c r="L140">
        <v>1</v>
      </c>
      <c r="M140">
        <v>3550.6704315220059</v>
      </c>
      <c r="N140">
        <v>0</v>
      </c>
      <c r="O140">
        <v>0</v>
      </c>
      <c r="P140">
        <v>0</v>
      </c>
      <c r="Q140">
        <v>0</v>
      </c>
      <c r="R140">
        <v>0</v>
      </c>
      <c r="S140">
        <v>0.9</v>
      </c>
      <c r="T140">
        <v>31.536000000000001</v>
      </c>
      <c r="U140">
        <v>0.1742705570291779</v>
      </c>
      <c r="V140">
        <v>0</v>
      </c>
      <c r="W140">
        <v>0</v>
      </c>
    </row>
    <row r="141" spans="1:24">
      <c r="A141" t="s">
        <v>176</v>
      </c>
      <c r="B141" t="s">
        <v>195</v>
      </c>
      <c r="C141" t="s">
        <v>304</v>
      </c>
      <c r="E141" t="s">
        <v>336</v>
      </c>
      <c r="F141" t="s">
        <v>225</v>
      </c>
      <c r="G141" t="s">
        <v>247</v>
      </c>
      <c r="H141" t="s">
        <v>306</v>
      </c>
      <c r="K141" t="s">
        <v>357</v>
      </c>
      <c r="L141">
        <v>1</v>
      </c>
      <c r="M141">
        <v>1183.556810507336</v>
      </c>
      <c r="N141">
        <v>0.01</v>
      </c>
      <c r="O141">
        <v>11.835568105073349</v>
      </c>
      <c r="Q141">
        <v>0</v>
      </c>
      <c r="R141">
        <v>0.41700378069061661</v>
      </c>
      <c r="S141">
        <v>0.9</v>
      </c>
      <c r="T141">
        <v>31.536000000000001</v>
      </c>
      <c r="U141">
        <v>17.42705570291777</v>
      </c>
      <c r="V141">
        <v>0</v>
      </c>
      <c r="W141">
        <v>0</v>
      </c>
    </row>
    <row r="142" spans="1:24">
      <c r="A142" t="s">
        <v>176</v>
      </c>
      <c r="B142" t="s">
        <v>195</v>
      </c>
      <c r="C142" t="s">
        <v>304</v>
      </c>
      <c r="E142" t="s">
        <v>338</v>
      </c>
      <c r="F142" t="s">
        <v>225</v>
      </c>
      <c r="G142" t="s">
        <v>247</v>
      </c>
      <c r="H142" t="s">
        <v>306</v>
      </c>
      <c r="K142" t="s">
        <v>358</v>
      </c>
      <c r="L142">
        <v>1</v>
      </c>
      <c r="M142">
        <v>1183.556810507336</v>
      </c>
      <c r="N142">
        <v>0.49</v>
      </c>
      <c r="O142">
        <v>579.94283714859444</v>
      </c>
      <c r="Q142">
        <v>0</v>
      </c>
      <c r="R142">
        <v>20.433185253840211</v>
      </c>
      <c r="S142">
        <v>0.9</v>
      </c>
      <c r="T142">
        <v>31.536000000000001</v>
      </c>
      <c r="U142">
        <v>0.1742705570291779</v>
      </c>
      <c r="V142">
        <v>0</v>
      </c>
      <c r="W142">
        <v>0</v>
      </c>
    </row>
    <row r="143" spans="1:24">
      <c r="A143" t="s">
        <v>176</v>
      </c>
      <c r="B143" t="s">
        <v>195</v>
      </c>
      <c r="C143" t="s">
        <v>304</v>
      </c>
      <c r="E143" t="s">
        <v>340</v>
      </c>
      <c r="F143" t="s">
        <v>225</v>
      </c>
      <c r="G143" t="s">
        <v>247</v>
      </c>
      <c r="H143" t="s">
        <v>306</v>
      </c>
      <c r="K143" t="s">
        <v>359</v>
      </c>
      <c r="L143">
        <v>1</v>
      </c>
      <c r="M143">
        <v>1183.556810507336</v>
      </c>
      <c r="N143">
        <v>0.25</v>
      </c>
      <c r="O143">
        <v>295.88920262683388</v>
      </c>
      <c r="Q143">
        <v>236.7113621014671</v>
      </c>
      <c r="R143">
        <v>3.6487830810428949</v>
      </c>
      <c r="S143">
        <v>0.9</v>
      </c>
      <c r="T143">
        <v>31.536000000000001</v>
      </c>
      <c r="U143">
        <v>0.2178381962864723</v>
      </c>
      <c r="V143">
        <v>0</v>
      </c>
      <c r="W143">
        <v>0</v>
      </c>
      <c r="X143">
        <v>1.285714285714286</v>
      </c>
    </row>
    <row r="144" spans="1:24">
      <c r="A144" t="s">
        <v>176</v>
      </c>
      <c r="B144" t="s">
        <v>195</v>
      </c>
      <c r="C144" t="s">
        <v>304</v>
      </c>
      <c r="E144" t="s">
        <v>340</v>
      </c>
      <c r="F144" t="s">
        <v>246</v>
      </c>
      <c r="G144" t="s">
        <v>201</v>
      </c>
      <c r="I144" t="s">
        <v>256</v>
      </c>
      <c r="K144" t="s">
        <v>359</v>
      </c>
      <c r="L144">
        <v>1</v>
      </c>
      <c r="M144">
        <v>1183.556810507336</v>
      </c>
      <c r="N144">
        <v>0.25</v>
      </c>
      <c r="O144">
        <v>295.88920262683388</v>
      </c>
      <c r="P144">
        <v>103.5612209193919</v>
      </c>
      <c r="Q144">
        <v>236.7113621014671</v>
      </c>
      <c r="R144">
        <v>3.6487830810428949</v>
      </c>
      <c r="S144">
        <v>0.9</v>
      </c>
      <c r="T144">
        <v>31.536000000000001</v>
      </c>
      <c r="U144">
        <v>0.2178381962864723</v>
      </c>
      <c r="V144">
        <v>0</v>
      </c>
      <c r="W144">
        <v>0</v>
      </c>
      <c r="X144">
        <v>1.285714285714286</v>
      </c>
    </row>
    <row r="145" spans="1:24">
      <c r="A145" t="s">
        <v>176</v>
      </c>
      <c r="B145" t="s">
        <v>195</v>
      </c>
      <c r="C145" t="s">
        <v>304</v>
      </c>
      <c r="E145" t="s">
        <v>340</v>
      </c>
      <c r="F145" t="s">
        <v>246</v>
      </c>
      <c r="G145" t="s">
        <v>258</v>
      </c>
      <c r="I145" t="s">
        <v>259</v>
      </c>
      <c r="K145" t="s">
        <v>359</v>
      </c>
      <c r="L145">
        <v>1</v>
      </c>
      <c r="M145">
        <v>1183.556810507336</v>
      </c>
      <c r="N145">
        <v>0.25</v>
      </c>
      <c r="O145">
        <v>295.88920262683388</v>
      </c>
      <c r="P145">
        <v>133.15014118207529</v>
      </c>
      <c r="Q145">
        <v>236.7113621014671</v>
      </c>
      <c r="R145">
        <v>3.6487830810428949</v>
      </c>
      <c r="S145">
        <v>0.9</v>
      </c>
      <c r="T145">
        <v>31.536000000000001</v>
      </c>
      <c r="U145">
        <v>0.2178381962864723</v>
      </c>
      <c r="V145">
        <v>0</v>
      </c>
      <c r="W145">
        <v>0</v>
      </c>
      <c r="X145">
        <v>1.285714285714286</v>
      </c>
    </row>
    <row r="146" spans="1:24">
      <c r="A146" t="s">
        <v>176</v>
      </c>
      <c r="B146" t="s">
        <v>195</v>
      </c>
      <c r="C146" t="s">
        <v>304</v>
      </c>
      <c r="E146" t="s">
        <v>342</v>
      </c>
      <c r="F146" t="s">
        <v>225</v>
      </c>
      <c r="G146" t="s">
        <v>247</v>
      </c>
      <c r="H146" t="s">
        <v>306</v>
      </c>
      <c r="K146" t="s">
        <v>360</v>
      </c>
      <c r="L146">
        <v>1</v>
      </c>
      <c r="M146">
        <v>1183.556810507336</v>
      </c>
      <c r="N146">
        <v>0.25</v>
      </c>
      <c r="O146">
        <v>295.88920262683388</v>
      </c>
      <c r="Q146">
        <v>103.5612209193919</v>
      </c>
      <c r="R146">
        <v>3.6487830810428949</v>
      </c>
      <c r="S146">
        <v>0.9</v>
      </c>
      <c r="T146">
        <v>31.536000000000001</v>
      </c>
      <c r="U146">
        <v>0.49791587722622249</v>
      </c>
      <c r="V146">
        <v>0</v>
      </c>
      <c r="W146">
        <v>0</v>
      </c>
    </row>
    <row r="147" spans="1:24">
      <c r="A147" t="s">
        <v>176</v>
      </c>
      <c r="B147" t="s">
        <v>195</v>
      </c>
      <c r="C147" t="s">
        <v>304</v>
      </c>
      <c r="E147" t="s">
        <v>342</v>
      </c>
      <c r="F147" t="s">
        <v>246</v>
      </c>
      <c r="G147" t="s">
        <v>201</v>
      </c>
      <c r="I147" t="s">
        <v>256</v>
      </c>
      <c r="K147" t="s">
        <v>360</v>
      </c>
      <c r="L147">
        <v>1</v>
      </c>
      <c r="M147">
        <v>1183.556810507336</v>
      </c>
      <c r="N147">
        <v>0.25</v>
      </c>
      <c r="O147">
        <v>295.88920262683388</v>
      </c>
      <c r="P147">
        <v>103.5612209193919</v>
      </c>
      <c r="Q147">
        <v>103.5612209193919</v>
      </c>
      <c r="R147">
        <v>3.6487830810428949</v>
      </c>
      <c r="S147">
        <v>0.9</v>
      </c>
      <c r="T147">
        <v>31.536000000000001</v>
      </c>
      <c r="U147">
        <v>0.49791587722622249</v>
      </c>
      <c r="V147">
        <v>0</v>
      </c>
      <c r="W147">
        <v>0</v>
      </c>
    </row>
    <row r="148" spans="1:24">
      <c r="A148" t="s">
        <v>176</v>
      </c>
      <c r="B148" t="s">
        <v>195</v>
      </c>
      <c r="C148" t="s">
        <v>304</v>
      </c>
      <c r="E148" t="s">
        <v>344</v>
      </c>
      <c r="F148" t="s">
        <v>225</v>
      </c>
      <c r="G148" t="s">
        <v>247</v>
      </c>
      <c r="H148" t="s">
        <v>306</v>
      </c>
      <c r="K148" t="s">
        <v>361</v>
      </c>
      <c r="L148">
        <v>1</v>
      </c>
      <c r="M148">
        <v>1183.556810507336</v>
      </c>
      <c r="N148">
        <v>0</v>
      </c>
      <c r="O148">
        <v>0</v>
      </c>
      <c r="Q148">
        <v>0</v>
      </c>
      <c r="R148">
        <v>0</v>
      </c>
      <c r="S148">
        <v>0.9</v>
      </c>
      <c r="T148">
        <v>31.536000000000001</v>
      </c>
      <c r="U148">
        <v>0.1742705570291779</v>
      </c>
      <c r="V148">
        <v>0</v>
      </c>
      <c r="W148">
        <v>0</v>
      </c>
    </row>
    <row r="149" spans="1:24">
      <c r="A149" t="s">
        <v>176</v>
      </c>
      <c r="B149" t="s">
        <v>195</v>
      </c>
      <c r="C149" t="s">
        <v>304</v>
      </c>
      <c r="E149" t="s">
        <v>344</v>
      </c>
      <c r="F149" t="s">
        <v>246</v>
      </c>
      <c r="G149" t="s">
        <v>346</v>
      </c>
      <c r="I149" t="s">
        <v>346</v>
      </c>
      <c r="K149" t="s">
        <v>361</v>
      </c>
      <c r="L149">
        <v>1</v>
      </c>
      <c r="M149">
        <v>1183.556810507336</v>
      </c>
      <c r="N149">
        <v>0</v>
      </c>
      <c r="O149">
        <v>0</v>
      </c>
      <c r="P149">
        <v>0</v>
      </c>
      <c r="Q149">
        <v>0</v>
      </c>
      <c r="R149">
        <v>0</v>
      </c>
      <c r="S149">
        <v>0.9</v>
      </c>
      <c r="T149">
        <v>31.536000000000001</v>
      </c>
      <c r="U149">
        <v>0.1742705570291779</v>
      </c>
      <c r="V149">
        <v>0</v>
      </c>
      <c r="W149">
        <v>0</v>
      </c>
    </row>
    <row r="150" spans="1:24">
      <c r="A150" t="s">
        <v>307</v>
      </c>
    </row>
  </sheetData>
  <autoFilter ref="A1:X150"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sheetPr>
  <dimension ref="A1"/>
  <sheetViews>
    <sheetView workbookViewId="0">
      <selection activeCell="K26" sqref="K26"/>
    </sheetView>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64"/>
  <sheetViews>
    <sheetView topLeftCell="A42" zoomScale="85" zoomScaleNormal="85" workbookViewId="0">
      <selection activeCell="J79" sqref="J79"/>
    </sheetView>
  </sheetViews>
  <sheetFormatPr defaultRowHeight="15"/>
  <cols>
    <col min="2" max="2" width="22.42578125" bestFit="1" customWidth="1"/>
    <col min="3" max="3" width="10.5703125" bestFit="1" customWidth="1"/>
    <col min="4" max="4" width="24.140625" bestFit="1" customWidth="1"/>
    <col min="5" max="5" width="93.42578125" bestFit="1" customWidth="1"/>
    <col min="6" max="6" width="10.42578125" bestFit="1" customWidth="1"/>
    <col min="7" max="7" width="11.85546875" bestFit="1" customWidth="1"/>
    <col min="8" max="8" width="22.5703125" bestFit="1" customWidth="1"/>
    <col min="9" max="9" width="26.140625" bestFit="1" customWidth="1"/>
    <col min="10" max="10" width="15" bestFit="1" customWidth="1"/>
  </cols>
  <sheetData>
    <row r="2" spans="2:10">
      <c r="B2" s="11" t="s">
        <v>362</v>
      </c>
    </row>
    <row r="3" spans="2:10">
      <c r="B3" s="317" t="s">
        <v>363</v>
      </c>
      <c r="C3" s="317" t="s">
        <v>364</v>
      </c>
      <c r="D3" s="317" t="s">
        <v>365</v>
      </c>
      <c r="E3" s="317" t="s">
        <v>366</v>
      </c>
      <c r="F3" s="317" t="s">
        <v>367</v>
      </c>
      <c r="G3" s="317" t="s">
        <v>368</v>
      </c>
      <c r="H3" s="317" t="s">
        <v>369</v>
      </c>
      <c r="I3" s="317" t="s">
        <v>370</v>
      </c>
      <c r="J3" s="317" t="s">
        <v>371</v>
      </c>
    </row>
    <row r="4" spans="2:10" ht="27.6" customHeight="1" thickBot="1">
      <c r="B4" s="13" t="s">
        <v>372</v>
      </c>
      <c r="C4" s="13" t="s">
        <v>364</v>
      </c>
      <c r="D4" s="13" t="s">
        <v>373</v>
      </c>
      <c r="E4" s="13" t="s">
        <v>374</v>
      </c>
      <c r="F4" s="13" t="s">
        <v>375</v>
      </c>
      <c r="G4" s="13" t="s">
        <v>376</v>
      </c>
      <c r="H4" s="13" t="s">
        <v>377</v>
      </c>
      <c r="I4" s="13" t="s">
        <v>378</v>
      </c>
      <c r="J4" s="13" t="s">
        <v>379</v>
      </c>
    </row>
    <row r="5" spans="2:10">
      <c r="B5" t="s">
        <v>380</v>
      </c>
      <c r="C5" t="s">
        <v>381</v>
      </c>
      <c r="D5" t="str">
        <f>LEFT(Def_Comm!C5,LEN(Def_Comm!C5)-3)&amp;"INV"</f>
        <v>WASSOLPAPINV</v>
      </c>
      <c r="E5" t="str">
        <f>Def_Comm!D5&amp;" Inversion"</f>
        <v>Waste Solid Paper  demand Inversion</v>
      </c>
      <c r="F5" t="str">
        <f>Def_Comm!E5</f>
        <v>kt</v>
      </c>
      <c r="G5" t="str">
        <f t="shared" ref="G5:G15" si="0">F5&amp;"a"</f>
        <v>kta</v>
      </c>
    </row>
    <row r="6" spans="2:10">
      <c r="C6" t="s">
        <v>381</v>
      </c>
      <c r="D6" t="str">
        <f>LEFT(Def_Comm!C6,LEN(Def_Comm!C6)-3)&amp;"INV"</f>
        <v>WASSOLGLAINV</v>
      </c>
      <c r="E6" t="str">
        <f>Def_Comm!D6&amp;" Inversion"</f>
        <v>Waste Solid Glass  demand Inversion</v>
      </c>
      <c r="F6" t="str">
        <f>Def_Comm!E6</f>
        <v>kt</v>
      </c>
      <c r="G6" t="str">
        <f t="shared" si="0"/>
        <v>kta</v>
      </c>
    </row>
    <row r="7" spans="2:10">
      <c r="C7" t="s">
        <v>381</v>
      </c>
      <c r="D7" t="str">
        <f>LEFT(Def_Comm!C7,LEN(Def_Comm!C7)-3)&amp;"INV"</f>
        <v>WASSOLMETINV</v>
      </c>
      <c r="E7" t="str">
        <f>Def_Comm!D7&amp;" Inversion"</f>
        <v>Waste Solid Metals  demand Inversion</v>
      </c>
      <c r="F7" t="str">
        <f>Def_Comm!E7</f>
        <v>kt</v>
      </c>
      <c r="G7" t="str">
        <f t="shared" si="0"/>
        <v>kta</v>
      </c>
    </row>
    <row r="8" spans="2:10">
      <c r="C8" t="s">
        <v>381</v>
      </c>
      <c r="D8" t="str">
        <f>LEFT(Def_Comm!C8,LEN(Def_Comm!C8)-3)&amp;"INV"</f>
        <v>WASSOLPLAINV</v>
      </c>
      <c r="E8" t="str">
        <f>Def_Comm!D8&amp;" Inversion"</f>
        <v>Waste Solid Plastics  demand Inversion</v>
      </c>
      <c r="F8" t="str">
        <f>Def_Comm!E8</f>
        <v>kt</v>
      </c>
      <c r="G8" t="str">
        <f t="shared" si="0"/>
        <v>kta</v>
      </c>
    </row>
    <row r="9" spans="2:10">
      <c r="C9" t="s">
        <v>381</v>
      </c>
      <c r="D9" t="str">
        <f>LEFT(Def_Comm!C9,LEN(Def_Comm!C9)-3)&amp;"INV"</f>
        <v>WASSOLFOOINV</v>
      </c>
      <c r="E9" t="str">
        <f>Def_Comm!D9&amp;" Inversion"</f>
        <v>Waste Solid Food  demand Inversion</v>
      </c>
      <c r="F9" t="str">
        <f>Def_Comm!E9</f>
        <v>kt</v>
      </c>
      <c r="G9" t="str">
        <f t="shared" si="0"/>
        <v>kta</v>
      </c>
    </row>
    <row r="10" spans="2:10">
      <c r="C10" t="s">
        <v>381</v>
      </c>
      <c r="D10" t="str">
        <f>LEFT(Def_Comm!C10,LEN(Def_Comm!C10)-3)&amp;"INV"</f>
        <v>WASSOLYARINV</v>
      </c>
      <c r="E10" t="str">
        <f>Def_Comm!D10&amp;" Inversion"</f>
        <v>Waste Solid Yard trimmings  demand Inversion</v>
      </c>
      <c r="F10" t="str">
        <f>Def_Comm!E10</f>
        <v>kt</v>
      </c>
      <c r="G10" t="str">
        <f t="shared" si="0"/>
        <v>kta</v>
      </c>
    </row>
    <row r="11" spans="2:10">
      <c r="C11" t="s">
        <v>381</v>
      </c>
      <c r="D11" t="str">
        <f>LEFT(Def_Comm!C11,LEN(Def_Comm!C11)-3)&amp;"INV"</f>
        <v>WASSOLAOTINV</v>
      </c>
      <c r="E11" t="str">
        <f>Def_Comm!D11&amp;" Inversion"</f>
        <v>Waste Solid All other  demand Inversion</v>
      </c>
      <c r="F11" t="str">
        <f>Def_Comm!E11</f>
        <v>kt</v>
      </c>
      <c r="G11" t="str">
        <f t="shared" si="0"/>
        <v>kta</v>
      </c>
    </row>
    <row r="12" spans="2:10">
      <c r="C12" t="s">
        <v>381</v>
      </c>
      <c r="D12" t="str">
        <f>LEFT(Def_Comm!C12,LEN(Def_Comm!C12)-3)&amp;"INV"</f>
        <v>WASSOLHISINV</v>
      </c>
      <c r="E12" t="str">
        <f>Def_Comm!D12&amp;" Inversion"</f>
        <v>Waste Solid Historical  demand Inversion</v>
      </c>
      <c r="F12" t="str">
        <f>Def_Comm!E12</f>
        <v>kt</v>
      </c>
      <c r="G12" t="str">
        <f t="shared" si="0"/>
        <v>kta</v>
      </c>
    </row>
    <row r="13" spans="2:10">
      <c r="C13" t="s">
        <v>381</v>
      </c>
      <c r="D13" t="str">
        <f>LEFT(Def_Comm!C13,LEN(Def_Comm!C13)-3)&amp;"INV"</f>
        <v>WASWATFWAINV</v>
      </c>
      <c r="E13" t="str">
        <f>Def_Comm!D13&amp;" Inversion"</f>
        <v>Waste Water Fresh Water  demand Inversion</v>
      </c>
      <c r="F13" t="str">
        <f>Def_Comm!E13</f>
        <v>Mm3</v>
      </c>
      <c r="G13" t="str">
        <f t="shared" si="0"/>
        <v>Mm3a</v>
      </c>
    </row>
    <row r="14" spans="2:10">
      <c r="C14" t="s">
        <v>381</v>
      </c>
      <c r="D14" t="str">
        <f>LEFT(Def_Comm!C14,LEN(Def_Comm!C14)-3)&amp;"INV"</f>
        <v>WASWATAPRINV</v>
      </c>
      <c r="E14" t="str">
        <f>Def_Comm!D14&amp;" Inversion"</f>
        <v>Waste Water Annual Precipitation  demand Inversion</v>
      </c>
      <c r="F14" t="str">
        <f>Def_Comm!E14</f>
        <v>Mm3</v>
      </c>
      <c r="G14" t="str">
        <f t="shared" si="0"/>
        <v>Mm3a</v>
      </c>
    </row>
    <row r="15" spans="2:10">
      <c r="C15" t="s">
        <v>381</v>
      </c>
      <c r="D15" t="str">
        <f>LEFT(Def_Comm!C15,LEN(Def_Comm!C15)-3)&amp;"INV"</f>
        <v>WASWATTRTINV</v>
      </c>
      <c r="E15" t="str">
        <f>Def_Comm!D15&amp;" Inversion"</f>
        <v>Waste Water Treatment  demand Inversion</v>
      </c>
      <c r="F15" t="str">
        <f>Def_Comm!E15</f>
        <v>Mm3</v>
      </c>
      <c r="G15" t="str">
        <f t="shared" si="0"/>
        <v>Mm3a</v>
      </c>
    </row>
    <row r="16" spans="2:10">
      <c r="B16" t="s">
        <v>307</v>
      </c>
    </row>
    <row r="17" spans="2:9">
      <c r="B17" t="s">
        <v>380</v>
      </c>
      <c r="C17" t="s">
        <v>381</v>
      </c>
      <c r="D17" t="str">
        <f>LEFT(Def_Comm!C5,LEN(Def_Comm!C5)-3)&amp;"TOLDF"</f>
        <v>WASSOLPAPTOLDF</v>
      </c>
      <c r="E17" t="str">
        <f>Def_Comm!D5&amp;" to landfill"</f>
        <v>Waste Solid Paper  demand to landfill</v>
      </c>
      <c r="F17" t="str">
        <f>Def_Comm!E17</f>
        <v>kt</v>
      </c>
      <c r="G17" t="str">
        <f t="shared" ref="G17:G24" si="1">F17&amp;"a"</f>
        <v>kta</v>
      </c>
    </row>
    <row r="18" spans="2:9">
      <c r="C18" t="s">
        <v>381</v>
      </c>
      <c r="D18" t="str">
        <f>LEFT(Def_Comm!C6,LEN(Def_Comm!C6)-3)&amp;"TOLDF"</f>
        <v>WASSOLGLATOLDF</v>
      </c>
      <c r="E18" t="str">
        <f>Def_Comm!D6&amp;" to landfill"</f>
        <v>Waste Solid Glass  demand to landfill</v>
      </c>
      <c r="F18" t="str">
        <f>Def_Comm!E18</f>
        <v>kt</v>
      </c>
      <c r="G18" t="str">
        <f t="shared" si="1"/>
        <v>kta</v>
      </c>
    </row>
    <row r="19" spans="2:9">
      <c r="C19" t="s">
        <v>381</v>
      </c>
      <c r="D19" t="str">
        <f>LEFT(Def_Comm!C7,LEN(Def_Comm!C7)-3)&amp;"TOLDF"</f>
        <v>WASSOLMETTOLDF</v>
      </c>
      <c r="E19" t="str">
        <f>Def_Comm!D7&amp;" to landfill"</f>
        <v>Waste Solid Metals  demand to landfill</v>
      </c>
      <c r="F19" t="str">
        <f>Def_Comm!E19</f>
        <v>kt</v>
      </c>
      <c r="G19" t="str">
        <f t="shared" si="1"/>
        <v>kta</v>
      </c>
    </row>
    <row r="20" spans="2:9">
      <c r="C20" t="s">
        <v>381</v>
      </c>
      <c r="D20" t="str">
        <f>LEFT(Def_Comm!C8,LEN(Def_Comm!C8)-3)&amp;"TOLDF"</f>
        <v>WASSOLPLATOLDF</v>
      </c>
      <c r="E20" t="str">
        <f>Def_Comm!D8&amp;" to landfill"</f>
        <v>Waste Solid Plastics  demand to landfill</v>
      </c>
      <c r="F20" t="str">
        <f>Def_Comm!E20</f>
        <v>kt</v>
      </c>
      <c r="G20" t="str">
        <f t="shared" si="1"/>
        <v>kta</v>
      </c>
    </row>
    <row r="21" spans="2:9">
      <c r="C21" t="s">
        <v>381</v>
      </c>
      <c r="D21" t="str">
        <f>LEFT(Def_Comm!C9,LEN(Def_Comm!C9)-3)&amp;"TOLDF"</f>
        <v>WASSOLFOOTOLDF</v>
      </c>
      <c r="E21" t="str">
        <f>Def_Comm!D9&amp;" to landfill"</f>
        <v>Waste Solid Food  demand to landfill</v>
      </c>
      <c r="F21" t="str">
        <f>Def_Comm!E21</f>
        <v>kt</v>
      </c>
      <c r="G21" t="str">
        <f t="shared" si="1"/>
        <v>kta</v>
      </c>
    </row>
    <row r="22" spans="2:9">
      <c r="C22" t="s">
        <v>381</v>
      </c>
      <c r="D22" t="str">
        <f>LEFT(Def_Comm!C10,LEN(Def_Comm!C10)-3)&amp;"TOLDF"</f>
        <v>WASSOLYARTOLDF</v>
      </c>
      <c r="E22" t="str">
        <f>Def_Comm!D10&amp;" to landfill"</f>
        <v>Waste Solid Yard trimmings  demand to landfill</v>
      </c>
      <c r="F22" t="str">
        <f>Def_Comm!E22</f>
        <v>kt</v>
      </c>
      <c r="G22" t="str">
        <f t="shared" si="1"/>
        <v>kta</v>
      </c>
    </row>
    <row r="23" spans="2:9">
      <c r="C23" t="s">
        <v>381</v>
      </c>
      <c r="D23" t="str">
        <f>LEFT(Def_Comm!C11,LEN(Def_Comm!C11)-3)&amp;"TOLDF"</f>
        <v>WASSOLAOTTOLDF</v>
      </c>
      <c r="E23" t="str">
        <f>Def_Comm!D11&amp;" to landfill"</f>
        <v>Waste Solid All other  demand to landfill</v>
      </c>
      <c r="F23" t="str">
        <f>Def_Comm!E23</f>
        <v>kt</v>
      </c>
      <c r="G23" t="str">
        <f t="shared" si="1"/>
        <v>kta</v>
      </c>
    </row>
    <row r="24" spans="2:9">
      <c r="C24" t="s">
        <v>381</v>
      </c>
      <c r="D24" t="str">
        <f>LEFT(Def_Comm!C12,LEN(Def_Comm!C12)-3)&amp;"TOLDF"</f>
        <v>WASSOLHISTOLDF</v>
      </c>
      <c r="E24" t="str">
        <f>Def_Comm!D12&amp;" to landfill"</f>
        <v>Waste Solid Historical  demand to landfill</v>
      </c>
      <c r="F24" t="str">
        <f>Def_Comm!E24</f>
        <v>kt</v>
      </c>
      <c r="G24" t="str">
        <f t="shared" si="1"/>
        <v>kta</v>
      </c>
    </row>
    <row r="25" spans="2:9">
      <c r="B25" t="s">
        <v>307</v>
      </c>
    </row>
    <row r="26" spans="2:9">
      <c r="B26" t="s">
        <v>380</v>
      </c>
      <c r="C26" t="s">
        <v>381</v>
      </c>
      <c r="D26" t="str">
        <f t="array" ref="D26:D65">_xlfn.UNIQUE('WAS RESID'!K2:K93)</f>
        <v>WASSOLPAPCMP19</v>
      </c>
      <c r="E26" t="str">
        <f>_xlfn.XLOOKUP(D26,'WAS RESID'!K:K,'WAS RESID'!A:A)&amp;" "&amp;_xlfn.XLOOKUP(D26,'WAS RESID'!K:K,'WAS RESID'!B:B)&amp;" "&amp;_xlfn.XLOOKUP(D26,'WAS RESID'!K:K,'WAS RESID'!C:C)&amp;" "&amp;_xlfn.XLOOKUP(D26,'WAS RESID'!K:K,'WAS RESID'!E:E)</f>
        <v>Waste Solid Paper Compost</v>
      </c>
      <c r="F26" t="str">
        <f>IF(_xlfn.XLOOKUP(D26,'WAS RESID'!K:K,'WAS RESID'!B:B)="Solid","kt","Mm3")</f>
        <v>kt</v>
      </c>
      <c r="G26" t="str">
        <f>IF(_xlfn.XLOOKUP(D26,'WAS RESID'!K:K,'WAS RESID'!B:B)="Solid","kta","Mm3a")</f>
        <v>kta</v>
      </c>
      <c r="I26" t="str">
        <f>_xlfn.XLOOKUP(D26,'WAS RESID'!K:K,'WAS RESID'!J:J)</f>
        <v>WASSOLPAPDMDTOT</v>
      </c>
    </row>
    <row r="27" spans="2:9">
      <c r="C27" t="s">
        <v>381</v>
      </c>
      <c r="D27" t="str">
        <v>WASSOLGLACMP19</v>
      </c>
      <c r="E27" t="str">
        <f>_xlfn.XLOOKUP(D27,'WAS RESID'!K:K,'WAS RESID'!A:A)&amp;" "&amp;_xlfn.XLOOKUP(D27,'WAS RESID'!K:K,'WAS RESID'!B:B)&amp;" "&amp;_xlfn.XLOOKUP(D27,'WAS RESID'!K:K,'WAS RESID'!C:C)&amp;" "&amp;_xlfn.XLOOKUP(D27,'WAS RESID'!K:K,'WAS RESID'!E:E)</f>
        <v>Waste Solid Glass Compost</v>
      </c>
      <c r="F27" t="str">
        <f>IF(_xlfn.XLOOKUP(D27,'WAS RESID'!K:K,'WAS RESID'!B:B)="Solid","kt","Mm3")</f>
        <v>kt</v>
      </c>
      <c r="G27" t="str">
        <f>IF(_xlfn.XLOOKUP(D27,'WAS RESID'!K:K,'WAS RESID'!B:B)="Solid","kta","Mm3a")</f>
        <v>kta</v>
      </c>
      <c r="I27" t="str">
        <f>_xlfn.XLOOKUP(D27,'WAS RESID'!K:K,'WAS RESID'!J:J)</f>
        <v>WASSOLGLADMDTOT</v>
      </c>
    </row>
    <row r="28" spans="2:9">
      <c r="C28" t="s">
        <v>381</v>
      </c>
      <c r="D28" t="str">
        <v>WASSOLMETCMP19</v>
      </c>
      <c r="E28" t="str">
        <f>_xlfn.XLOOKUP(D28,'WAS RESID'!K:K,'WAS RESID'!A:A)&amp;" "&amp;_xlfn.XLOOKUP(D28,'WAS RESID'!K:K,'WAS RESID'!B:B)&amp;" "&amp;_xlfn.XLOOKUP(D28,'WAS RESID'!K:K,'WAS RESID'!C:C)&amp;" "&amp;_xlfn.XLOOKUP(D28,'WAS RESID'!K:K,'WAS RESID'!E:E)</f>
        <v>Waste Solid Metals Compost</v>
      </c>
      <c r="F28" t="str">
        <f>IF(_xlfn.XLOOKUP(D28,'WAS RESID'!K:K,'WAS RESID'!B:B)="Solid","kt","Mm3")</f>
        <v>kt</v>
      </c>
      <c r="G28" t="str">
        <f>IF(_xlfn.XLOOKUP(D28,'WAS RESID'!K:K,'WAS RESID'!B:B)="Solid","kta","Mm3a")</f>
        <v>kta</v>
      </c>
      <c r="I28" t="str">
        <f>_xlfn.XLOOKUP(D28,'WAS RESID'!K:K,'WAS RESID'!J:J)</f>
        <v>WASSOLMETDMDTOT</v>
      </c>
    </row>
    <row r="29" spans="2:9">
      <c r="C29" t="s">
        <v>381</v>
      </c>
      <c r="D29" t="str">
        <v>WASSOLPLACMP19</v>
      </c>
      <c r="E29" t="str">
        <f>_xlfn.XLOOKUP(D29,'WAS RESID'!K:K,'WAS RESID'!A:A)&amp;" "&amp;_xlfn.XLOOKUP(D29,'WAS RESID'!K:K,'WAS RESID'!B:B)&amp;" "&amp;_xlfn.XLOOKUP(D29,'WAS RESID'!K:K,'WAS RESID'!C:C)&amp;" "&amp;_xlfn.XLOOKUP(D29,'WAS RESID'!K:K,'WAS RESID'!E:E)</f>
        <v>Waste Solid Plastics Compost</v>
      </c>
      <c r="F29" t="str">
        <f>IF(_xlfn.XLOOKUP(D29,'WAS RESID'!K:K,'WAS RESID'!B:B)="Solid","kt","Mm3")</f>
        <v>kt</v>
      </c>
      <c r="G29" t="str">
        <f>IF(_xlfn.XLOOKUP(D29,'WAS RESID'!K:K,'WAS RESID'!B:B)="Solid","kta","Mm3a")</f>
        <v>kta</v>
      </c>
      <c r="I29" t="str">
        <f>_xlfn.XLOOKUP(D29,'WAS RESID'!K:K,'WAS RESID'!J:J)</f>
        <v>WASSOLPLADMDTOT</v>
      </c>
    </row>
    <row r="30" spans="2:9">
      <c r="C30" t="s">
        <v>381</v>
      </c>
      <c r="D30" t="str">
        <v>WASSOLFOOCMP19</v>
      </c>
      <c r="E30" t="str">
        <f>_xlfn.XLOOKUP(D30,'WAS RESID'!K:K,'WAS RESID'!A:A)&amp;" "&amp;_xlfn.XLOOKUP(D30,'WAS RESID'!K:K,'WAS RESID'!B:B)&amp;" "&amp;_xlfn.XLOOKUP(D30,'WAS RESID'!K:K,'WAS RESID'!C:C)&amp;" "&amp;_xlfn.XLOOKUP(D30,'WAS RESID'!K:K,'WAS RESID'!E:E)</f>
        <v>Waste Solid Food Compost</v>
      </c>
      <c r="F30" t="str">
        <f>IF(_xlfn.XLOOKUP(D30,'WAS RESID'!K:K,'WAS RESID'!B:B)="Solid","kt","Mm3")</f>
        <v>kt</v>
      </c>
      <c r="G30" t="str">
        <f>IF(_xlfn.XLOOKUP(D30,'WAS RESID'!K:K,'WAS RESID'!B:B)="Solid","kta","Mm3a")</f>
        <v>kta</v>
      </c>
      <c r="I30" t="str">
        <f>_xlfn.XLOOKUP(D30,'WAS RESID'!K:K,'WAS RESID'!J:J)</f>
        <v>WASSOLFOODMDTOT</v>
      </c>
    </row>
    <row r="31" spans="2:9">
      <c r="C31" t="s">
        <v>381</v>
      </c>
      <c r="D31" t="str">
        <v>WASSOLYARCMP19</v>
      </c>
      <c r="E31" t="str">
        <f>_xlfn.XLOOKUP(D31,'WAS RESID'!K:K,'WAS RESID'!A:A)&amp;" "&amp;_xlfn.XLOOKUP(D31,'WAS RESID'!K:K,'WAS RESID'!B:B)&amp;" "&amp;_xlfn.XLOOKUP(D31,'WAS RESID'!K:K,'WAS RESID'!C:C)&amp;" "&amp;_xlfn.XLOOKUP(D31,'WAS RESID'!K:K,'WAS RESID'!E:E)</f>
        <v>Waste Solid Yard trimmings Compost</v>
      </c>
      <c r="F31" t="str">
        <f>IF(_xlfn.XLOOKUP(D31,'WAS RESID'!K:K,'WAS RESID'!B:B)="Solid","kt","Mm3")</f>
        <v>kt</v>
      </c>
      <c r="G31" t="str">
        <f>IF(_xlfn.XLOOKUP(D31,'WAS RESID'!K:K,'WAS RESID'!B:B)="Solid","kta","Mm3a")</f>
        <v>kta</v>
      </c>
      <c r="I31" t="str">
        <f>_xlfn.XLOOKUP(D31,'WAS RESID'!K:K,'WAS RESID'!J:J)</f>
        <v>WASSOLYARDMDTOT</v>
      </c>
    </row>
    <row r="32" spans="2:9">
      <c r="C32" t="s">
        <v>381</v>
      </c>
      <c r="D32" t="str">
        <v>WASSOLAOTCMP19</v>
      </c>
      <c r="E32" t="str">
        <f>_xlfn.XLOOKUP(D32,'WAS RESID'!K:K,'WAS RESID'!A:A)&amp;" "&amp;_xlfn.XLOOKUP(D32,'WAS RESID'!K:K,'WAS RESID'!B:B)&amp;" "&amp;_xlfn.XLOOKUP(D32,'WAS RESID'!K:K,'WAS RESID'!C:C)&amp;" "&amp;_xlfn.XLOOKUP(D32,'WAS RESID'!K:K,'WAS RESID'!E:E)</f>
        <v>Waste Solid All Other Compost</v>
      </c>
      <c r="F32" t="str">
        <f>IF(_xlfn.XLOOKUP(D32,'WAS RESID'!K:K,'WAS RESID'!B:B)="Solid","kt","Mm3")</f>
        <v>kt</v>
      </c>
      <c r="G32" t="str">
        <f>IF(_xlfn.XLOOKUP(D32,'WAS RESID'!K:K,'WAS RESID'!B:B)="Solid","kta","Mm3a")</f>
        <v>kta</v>
      </c>
      <c r="I32" t="str">
        <f>_xlfn.XLOOKUP(D32,'WAS RESID'!K:K,'WAS RESID'!J:J)</f>
        <v>WASSOLAOTDMDTOT</v>
      </c>
    </row>
    <row r="33" spans="2:9">
      <c r="C33" t="s">
        <v>381</v>
      </c>
      <c r="D33" t="str">
        <v>WASSOLPAPADG19</v>
      </c>
      <c r="E33" t="str">
        <f>_xlfn.XLOOKUP(D33,'WAS RESID'!K:K,'WAS RESID'!A:A)&amp;" "&amp;_xlfn.XLOOKUP(D33,'WAS RESID'!K:K,'WAS RESID'!B:B)&amp;" "&amp;_xlfn.XLOOKUP(D33,'WAS RESID'!K:K,'WAS RESID'!C:C)&amp;" "&amp;_xlfn.XLOOKUP(D33,'WAS RESID'!K:K,'WAS RESID'!E:E)</f>
        <v>Waste Solid Paper Anaerobic Digestion</v>
      </c>
      <c r="F33" t="str">
        <f>IF(_xlfn.XLOOKUP(D33,'WAS RESID'!K:K,'WAS RESID'!B:B)="Solid","kt","Mm3")</f>
        <v>kt</v>
      </c>
      <c r="G33" t="str">
        <f>IF(_xlfn.XLOOKUP(D33,'WAS RESID'!K:K,'WAS RESID'!B:B)="Solid","kta","Mm3a")</f>
        <v>kta</v>
      </c>
      <c r="I33" t="str">
        <f>_xlfn.XLOOKUP(D33,'WAS RESID'!K:K,'WAS RESID'!J:J)</f>
        <v>WASSOLPAPDMDTOT</v>
      </c>
    </row>
    <row r="34" spans="2:9">
      <c r="C34" t="s">
        <v>381</v>
      </c>
      <c r="D34" t="str">
        <v>WASSOLGLAADG19</v>
      </c>
      <c r="E34" t="str">
        <f>_xlfn.XLOOKUP(D34,'WAS RESID'!K:K,'WAS RESID'!A:A)&amp;" "&amp;_xlfn.XLOOKUP(D34,'WAS RESID'!K:K,'WAS RESID'!B:B)&amp;" "&amp;_xlfn.XLOOKUP(D34,'WAS RESID'!K:K,'WAS RESID'!C:C)&amp;" "&amp;_xlfn.XLOOKUP(D34,'WAS RESID'!K:K,'WAS RESID'!E:E)</f>
        <v>Waste Solid Glass Anaerobic Digestion</v>
      </c>
      <c r="F34" t="str">
        <f>IF(_xlfn.XLOOKUP(D34,'WAS RESID'!K:K,'WAS RESID'!B:B)="Solid","kt","Mm3")</f>
        <v>kt</v>
      </c>
      <c r="G34" t="str">
        <f>IF(_xlfn.XLOOKUP(D34,'WAS RESID'!K:K,'WAS RESID'!B:B)="Solid","kta","Mm3a")</f>
        <v>kta</v>
      </c>
      <c r="I34" t="str">
        <f>_xlfn.XLOOKUP(D34,'WAS RESID'!K:K,'WAS RESID'!J:J)</f>
        <v>WASSOLGLADMDTOT</v>
      </c>
    </row>
    <row r="35" spans="2:9">
      <c r="C35" t="s">
        <v>381</v>
      </c>
      <c r="D35" t="str">
        <v>WASSOLMETADG19</v>
      </c>
      <c r="E35" t="str">
        <f>_xlfn.XLOOKUP(D35,'WAS RESID'!K:K,'WAS RESID'!A:A)&amp;" "&amp;_xlfn.XLOOKUP(D35,'WAS RESID'!K:K,'WAS RESID'!B:B)&amp;" "&amp;_xlfn.XLOOKUP(D35,'WAS RESID'!K:K,'WAS RESID'!C:C)&amp;" "&amp;_xlfn.XLOOKUP(D35,'WAS RESID'!K:K,'WAS RESID'!E:E)</f>
        <v>Waste Solid Metals Anaerobic Digestion</v>
      </c>
      <c r="F35" t="str">
        <f>IF(_xlfn.XLOOKUP(D35,'WAS RESID'!K:K,'WAS RESID'!B:B)="Solid","kt","Mm3")</f>
        <v>kt</v>
      </c>
      <c r="G35" t="str">
        <f>IF(_xlfn.XLOOKUP(D35,'WAS RESID'!K:K,'WAS RESID'!B:B)="Solid","kta","Mm3a")</f>
        <v>kta</v>
      </c>
      <c r="I35" t="str">
        <f>_xlfn.XLOOKUP(D35,'WAS RESID'!K:K,'WAS RESID'!J:J)</f>
        <v>WASSOLMETDMDTOT</v>
      </c>
    </row>
    <row r="36" spans="2:9">
      <c r="C36" t="s">
        <v>381</v>
      </c>
      <c r="D36" t="str">
        <v>WASSOLPLAADG19</v>
      </c>
      <c r="E36" t="str">
        <f>_xlfn.XLOOKUP(D36,'WAS RESID'!K:K,'WAS RESID'!A:A)&amp;" "&amp;_xlfn.XLOOKUP(D36,'WAS RESID'!K:K,'WAS RESID'!B:B)&amp;" "&amp;_xlfn.XLOOKUP(D36,'WAS RESID'!K:K,'WAS RESID'!C:C)&amp;" "&amp;_xlfn.XLOOKUP(D36,'WAS RESID'!K:K,'WAS RESID'!E:E)</f>
        <v>Waste Solid Plastics Anaerobic Digestion</v>
      </c>
      <c r="F36" t="str">
        <f>IF(_xlfn.XLOOKUP(D36,'WAS RESID'!K:K,'WAS RESID'!B:B)="Solid","kt","Mm3")</f>
        <v>kt</v>
      </c>
      <c r="G36" t="str">
        <f>IF(_xlfn.XLOOKUP(D36,'WAS RESID'!K:K,'WAS RESID'!B:B)="Solid","kta","Mm3a")</f>
        <v>kta</v>
      </c>
      <c r="I36" t="str">
        <f>_xlfn.XLOOKUP(D36,'WAS RESID'!K:K,'WAS RESID'!J:J)</f>
        <v>WASSOLPLADMDTOT</v>
      </c>
    </row>
    <row r="37" spans="2:9">
      <c r="C37" t="s">
        <v>381</v>
      </c>
      <c r="D37" t="str">
        <v>WASSOLFOOADG19</v>
      </c>
      <c r="E37" t="str">
        <f>_xlfn.XLOOKUP(D37,'WAS RESID'!K:K,'WAS RESID'!A:A)&amp;" "&amp;_xlfn.XLOOKUP(D37,'WAS RESID'!K:K,'WAS RESID'!B:B)&amp;" "&amp;_xlfn.XLOOKUP(D37,'WAS RESID'!K:K,'WAS RESID'!C:C)&amp;" "&amp;_xlfn.XLOOKUP(D37,'WAS RESID'!K:K,'WAS RESID'!E:E)</f>
        <v>Waste Solid Food Anaerobic Digestion</v>
      </c>
      <c r="F37" t="str">
        <f>IF(_xlfn.XLOOKUP(D37,'WAS RESID'!K:K,'WAS RESID'!B:B)="Solid","kt","Mm3")</f>
        <v>kt</v>
      </c>
      <c r="G37" t="str">
        <f>IF(_xlfn.XLOOKUP(D37,'WAS RESID'!K:K,'WAS RESID'!B:B)="Solid","kta","Mm3a")</f>
        <v>kta</v>
      </c>
      <c r="I37" t="str">
        <f>_xlfn.XLOOKUP(D37,'WAS RESID'!K:K,'WAS RESID'!J:J)</f>
        <v>WASSOLFOODMDTOT</v>
      </c>
    </row>
    <row r="38" spans="2:9">
      <c r="C38" t="s">
        <v>381</v>
      </c>
      <c r="D38" t="str">
        <v>WASSOLYARADG19</v>
      </c>
      <c r="E38" t="str">
        <f>_xlfn.XLOOKUP(D38,'WAS RESID'!K:K,'WAS RESID'!A:A)&amp;" "&amp;_xlfn.XLOOKUP(D38,'WAS RESID'!K:K,'WAS RESID'!B:B)&amp;" "&amp;_xlfn.XLOOKUP(D38,'WAS RESID'!K:K,'WAS RESID'!C:C)&amp;" "&amp;_xlfn.XLOOKUP(D38,'WAS RESID'!K:K,'WAS RESID'!E:E)</f>
        <v>Waste Solid Yard trimmings Anaerobic Digestion</v>
      </c>
      <c r="F38" t="str">
        <f>IF(_xlfn.XLOOKUP(D38,'WAS RESID'!K:K,'WAS RESID'!B:B)="Solid","kt","Mm3")</f>
        <v>kt</v>
      </c>
      <c r="G38" t="str">
        <f>IF(_xlfn.XLOOKUP(D38,'WAS RESID'!K:K,'WAS RESID'!B:B)="Solid","kta","Mm3a")</f>
        <v>kta</v>
      </c>
      <c r="I38" t="str">
        <f>_xlfn.XLOOKUP(D38,'WAS RESID'!K:K,'WAS RESID'!J:J)</f>
        <v>WASSOLYARDMDTOT</v>
      </c>
    </row>
    <row r="39" spans="2:9">
      <c r="C39" t="s">
        <v>381</v>
      </c>
      <c r="D39" t="str">
        <v>WASSOLAOTADG19</v>
      </c>
      <c r="E39" t="str">
        <f>_xlfn.XLOOKUP(D39,'WAS RESID'!K:K,'WAS RESID'!A:A)&amp;" "&amp;_xlfn.XLOOKUP(D39,'WAS RESID'!K:K,'WAS RESID'!B:B)&amp;" "&amp;_xlfn.XLOOKUP(D39,'WAS RESID'!K:K,'WAS RESID'!C:C)&amp;" "&amp;_xlfn.XLOOKUP(D39,'WAS RESID'!K:K,'WAS RESID'!E:E)</f>
        <v>Waste Solid All Other Anaerobic Digestion</v>
      </c>
      <c r="F39" t="str">
        <f>IF(_xlfn.XLOOKUP(D39,'WAS RESID'!K:K,'WAS RESID'!B:B)="Solid","kt","Mm3")</f>
        <v>kt</v>
      </c>
      <c r="G39" t="str">
        <f>IF(_xlfn.XLOOKUP(D39,'WAS RESID'!K:K,'WAS RESID'!B:B)="Solid","kta","Mm3a")</f>
        <v>kta</v>
      </c>
      <c r="I39" t="str">
        <f>_xlfn.XLOOKUP(D39,'WAS RESID'!K:K,'WAS RESID'!J:J)</f>
        <v>WASSOLAOTDMDTOT</v>
      </c>
    </row>
    <row r="40" spans="2:9">
      <c r="B40" t="s">
        <v>382</v>
      </c>
      <c r="C40" t="s">
        <v>381</v>
      </c>
      <c r="D40" t="str">
        <v>WASSOLPAPINC19</v>
      </c>
      <c r="E40" t="str">
        <f>_xlfn.XLOOKUP(D40,'WAS RESID'!K:K,'WAS RESID'!A:A)&amp;" "&amp;_xlfn.XLOOKUP(D40,'WAS RESID'!K:K,'WAS RESID'!B:B)&amp;" "&amp;_xlfn.XLOOKUP(D40,'WAS RESID'!K:K,'WAS RESID'!C:C)&amp;" "&amp;_xlfn.XLOOKUP(D40,'WAS RESID'!K:K,'WAS RESID'!E:E)</f>
        <v>Waste Solid Paper Incineration</v>
      </c>
      <c r="F40" t="str">
        <f>IF(_xlfn.XLOOKUP(D40,'WAS RESID'!K:K,'WAS RESID'!B:B)="Solid","kt","Mm3")</f>
        <v>kt</v>
      </c>
      <c r="G40" t="str">
        <f>IF(_xlfn.XLOOKUP(D40,'WAS RESID'!K:K,'WAS RESID'!B:B)="Solid","kta","Mm3a")</f>
        <v>kta</v>
      </c>
      <c r="H40" t="s">
        <v>383</v>
      </c>
      <c r="I40" t="str">
        <f>_xlfn.XLOOKUP(D40,'WAS RESID'!K:K,'WAS RESID'!J:J)</f>
        <v>WASSOLPAPDMDTOT</v>
      </c>
    </row>
    <row r="41" spans="2:9">
      <c r="C41" t="s">
        <v>381</v>
      </c>
      <c r="D41" t="str">
        <v>WASSOLGLAINC19</v>
      </c>
      <c r="E41" t="str">
        <f>_xlfn.XLOOKUP(D41,'WAS RESID'!K:K,'WAS RESID'!A:A)&amp;" "&amp;_xlfn.XLOOKUP(D41,'WAS RESID'!K:K,'WAS RESID'!B:B)&amp;" "&amp;_xlfn.XLOOKUP(D41,'WAS RESID'!K:K,'WAS RESID'!C:C)&amp;" "&amp;_xlfn.XLOOKUP(D41,'WAS RESID'!K:K,'WAS RESID'!E:E)</f>
        <v>Waste Solid Glass Incineration</v>
      </c>
      <c r="F41" t="str">
        <f>IF(_xlfn.XLOOKUP(D41,'WAS RESID'!K:K,'WAS RESID'!B:B)="Solid","kt","Mm3")</f>
        <v>kt</v>
      </c>
      <c r="G41" t="str">
        <f>IF(_xlfn.XLOOKUP(D41,'WAS RESID'!K:K,'WAS RESID'!B:B)="Solid","kta","Mm3a")</f>
        <v>kta</v>
      </c>
      <c r="H41" t="s">
        <v>383</v>
      </c>
      <c r="I41" t="str">
        <f>_xlfn.XLOOKUP(D41,'WAS RESID'!K:K,'WAS RESID'!J:J)</f>
        <v>WASSOLGLADMDTOT</v>
      </c>
    </row>
    <row r="42" spans="2:9">
      <c r="C42" t="s">
        <v>381</v>
      </c>
      <c r="D42" t="str">
        <v>WASSOLMETINC19</v>
      </c>
      <c r="E42" t="str">
        <f>_xlfn.XLOOKUP(D42,'WAS RESID'!K:K,'WAS RESID'!A:A)&amp;" "&amp;_xlfn.XLOOKUP(D42,'WAS RESID'!K:K,'WAS RESID'!B:B)&amp;" "&amp;_xlfn.XLOOKUP(D42,'WAS RESID'!K:K,'WAS RESID'!C:C)&amp;" "&amp;_xlfn.XLOOKUP(D42,'WAS RESID'!K:K,'WAS RESID'!E:E)</f>
        <v>Waste Solid Metals Incineration</v>
      </c>
      <c r="F42" t="str">
        <f>IF(_xlfn.XLOOKUP(D42,'WAS RESID'!K:K,'WAS RESID'!B:B)="Solid","kt","Mm3")</f>
        <v>kt</v>
      </c>
      <c r="G42" t="str">
        <f>IF(_xlfn.XLOOKUP(D42,'WAS RESID'!K:K,'WAS RESID'!B:B)="Solid","kta","Mm3a")</f>
        <v>kta</v>
      </c>
      <c r="H42" t="s">
        <v>383</v>
      </c>
      <c r="I42" t="str">
        <f>_xlfn.XLOOKUP(D42,'WAS RESID'!K:K,'WAS RESID'!J:J)</f>
        <v>WASSOLMETDMDTOT</v>
      </c>
    </row>
    <row r="43" spans="2:9">
      <c r="C43" t="s">
        <v>381</v>
      </c>
      <c r="D43" t="str">
        <v>WASSOLPLAINC19</v>
      </c>
      <c r="E43" t="str">
        <f>_xlfn.XLOOKUP(D43,'WAS RESID'!K:K,'WAS RESID'!A:A)&amp;" "&amp;_xlfn.XLOOKUP(D43,'WAS RESID'!K:K,'WAS RESID'!B:B)&amp;" "&amp;_xlfn.XLOOKUP(D43,'WAS RESID'!K:K,'WAS RESID'!C:C)&amp;" "&amp;_xlfn.XLOOKUP(D43,'WAS RESID'!K:K,'WAS RESID'!E:E)</f>
        <v>Waste Solid Plastics Incineration</v>
      </c>
      <c r="F43" t="str">
        <f>IF(_xlfn.XLOOKUP(D43,'WAS RESID'!K:K,'WAS RESID'!B:B)="Solid","kt","Mm3")</f>
        <v>kt</v>
      </c>
      <c r="G43" t="str">
        <f>IF(_xlfn.XLOOKUP(D43,'WAS RESID'!K:K,'WAS RESID'!B:B)="Solid","kta","Mm3a")</f>
        <v>kta</v>
      </c>
      <c r="H43" t="s">
        <v>383</v>
      </c>
      <c r="I43" t="str">
        <f>_xlfn.XLOOKUP(D43,'WAS RESID'!K:K,'WAS RESID'!J:J)</f>
        <v>WASSOLPLADMDTOT</v>
      </c>
    </row>
    <row r="44" spans="2:9">
      <c r="C44" t="s">
        <v>381</v>
      </c>
      <c r="D44" t="str">
        <v>WASSOLFOOINC19</v>
      </c>
      <c r="E44" t="str">
        <f>_xlfn.XLOOKUP(D44,'WAS RESID'!K:K,'WAS RESID'!A:A)&amp;" "&amp;_xlfn.XLOOKUP(D44,'WAS RESID'!K:K,'WAS RESID'!B:B)&amp;" "&amp;_xlfn.XLOOKUP(D44,'WAS RESID'!K:K,'WAS RESID'!C:C)&amp;" "&amp;_xlfn.XLOOKUP(D44,'WAS RESID'!K:K,'WAS RESID'!E:E)</f>
        <v>Waste Solid Food Incineration</v>
      </c>
      <c r="F44" t="str">
        <f>IF(_xlfn.XLOOKUP(D44,'WAS RESID'!K:K,'WAS RESID'!B:B)="Solid","kt","Mm3")</f>
        <v>kt</v>
      </c>
      <c r="G44" t="str">
        <f>IF(_xlfn.XLOOKUP(D44,'WAS RESID'!K:K,'WAS RESID'!B:B)="Solid","kta","Mm3a")</f>
        <v>kta</v>
      </c>
      <c r="H44" t="s">
        <v>383</v>
      </c>
      <c r="I44" t="str">
        <f>_xlfn.XLOOKUP(D44,'WAS RESID'!K:K,'WAS RESID'!J:J)</f>
        <v>WASSOLFOODMDTOT</v>
      </c>
    </row>
    <row r="45" spans="2:9">
      <c r="C45" t="s">
        <v>381</v>
      </c>
      <c r="D45" t="str">
        <v>WASSOLYARINC19</v>
      </c>
      <c r="E45" t="str">
        <f>_xlfn.XLOOKUP(D45,'WAS RESID'!K:K,'WAS RESID'!A:A)&amp;" "&amp;_xlfn.XLOOKUP(D45,'WAS RESID'!K:K,'WAS RESID'!B:B)&amp;" "&amp;_xlfn.XLOOKUP(D45,'WAS RESID'!K:K,'WAS RESID'!C:C)&amp;" "&amp;_xlfn.XLOOKUP(D45,'WAS RESID'!K:K,'WAS RESID'!E:E)</f>
        <v>Waste Solid Yard trimmings Incineration</v>
      </c>
      <c r="F45" t="str">
        <f>IF(_xlfn.XLOOKUP(D45,'WAS RESID'!K:K,'WAS RESID'!B:B)="Solid","kt","Mm3")</f>
        <v>kt</v>
      </c>
      <c r="G45" t="str">
        <f>IF(_xlfn.XLOOKUP(D45,'WAS RESID'!K:K,'WAS RESID'!B:B)="Solid","kta","Mm3a")</f>
        <v>kta</v>
      </c>
      <c r="H45" t="s">
        <v>383</v>
      </c>
      <c r="I45" t="str">
        <f>_xlfn.XLOOKUP(D45,'WAS RESID'!K:K,'WAS RESID'!J:J)</f>
        <v>WASSOLYARDMDTOT</v>
      </c>
    </row>
    <row r="46" spans="2:9">
      <c r="C46" t="s">
        <v>381</v>
      </c>
      <c r="D46" t="str">
        <v>WASSOLAOTINC19</v>
      </c>
      <c r="E46" t="str">
        <f>_xlfn.XLOOKUP(D46,'WAS RESID'!K:K,'WAS RESID'!A:A)&amp;" "&amp;_xlfn.XLOOKUP(D46,'WAS RESID'!K:K,'WAS RESID'!B:B)&amp;" "&amp;_xlfn.XLOOKUP(D46,'WAS RESID'!K:K,'WAS RESID'!C:C)&amp;" "&amp;_xlfn.XLOOKUP(D46,'WAS RESID'!K:K,'WAS RESID'!E:E)</f>
        <v>Waste Solid All Other Incineration</v>
      </c>
      <c r="F46" t="str">
        <f>IF(_xlfn.XLOOKUP(D46,'WAS RESID'!K:K,'WAS RESID'!B:B)="Solid","kt","Mm3")</f>
        <v>kt</v>
      </c>
      <c r="G46" t="str">
        <f>IF(_xlfn.XLOOKUP(D46,'WAS RESID'!K:K,'WAS RESID'!B:B)="Solid","kta","Mm3a")</f>
        <v>kta</v>
      </c>
      <c r="H46" t="s">
        <v>383</v>
      </c>
      <c r="I46" t="str">
        <f>_xlfn.XLOOKUP(D46,'WAS RESID'!K:K,'WAS RESID'!J:J)</f>
        <v>WASSOLAOTDMDTOT</v>
      </c>
    </row>
    <row r="47" spans="2:9">
      <c r="B47" t="s">
        <v>380</v>
      </c>
      <c r="C47" t="s">
        <v>381</v>
      </c>
      <c r="D47" t="str">
        <v>WASSOLPAPLDF19</v>
      </c>
      <c r="E47" t="str">
        <f>_xlfn.XLOOKUP(D47,'WAS RESID'!K:K,'WAS RESID'!A:A)&amp;" "&amp;_xlfn.XLOOKUP(D47,'WAS RESID'!K:K,'WAS RESID'!B:B)&amp;" "&amp;_xlfn.XLOOKUP(D47,'WAS RESID'!K:K,'WAS RESID'!C:C)&amp;" "&amp;_xlfn.XLOOKUP(D47,'WAS RESID'!K:K,'WAS RESID'!E:E)</f>
        <v>Waste Solid Paper Landfill</v>
      </c>
      <c r="F47" t="str">
        <f>IF(_xlfn.XLOOKUP(D47,'WAS RESID'!K:K,'WAS RESID'!B:B)="Solid","kt","Mm3")</f>
        <v>kt</v>
      </c>
      <c r="G47" t="str">
        <f>IF(_xlfn.XLOOKUP(D47,'WAS RESID'!K:K,'WAS RESID'!B:B)="Solid","kta","Mm3a")</f>
        <v>kta</v>
      </c>
      <c r="I47" t="str">
        <f>_xlfn.XLOOKUP(D47,'WAS RESID'!K:K,'WAS RESID'!J:J)</f>
        <v>WASSOLPAPDMDTOTTOLDF</v>
      </c>
    </row>
    <row r="48" spans="2:9">
      <c r="C48" t="s">
        <v>381</v>
      </c>
      <c r="D48" t="str">
        <v>WASSOLGLALDF19</v>
      </c>
      <c r="E48" t="str">
        <f>_xlfn.XLOOKUP(D48,'WAS RESID'!K:K,'WAS RESID'!A:A)&amp;" "&amp;_xlfn.XLOOKUP(D48,'WAS RESID'!K:K,'WAS RESID'!B:B)&amp;" "&amp;_xlfn.XLOOKUP(D48,'WAS RESID'!K:K,'WAS RESID'!C:C)&amp;" "&amp;_xlfn.XLOOKUP(D48,'WAS RESID'!K:K,'WAS RESID'!E:E)</f>
        <v>Waste Solid Glass Landfill</v>
      </c>
      <c r="F48" t="str">
        <f>IF(_xlfn.XLOOKUP(D48,'WAS RESID'!K:K,'WAS RESID'!B:B)="Solid","kt","Mm3")</f>
        <v>kt</v>
      </c>
      <c r="G48" t="str">
        <f>IF(_xlfn.XLOOKUP(D48,'WAS RESID'!K:K,'WAS RESID'!B:B)="Solid","kta","Mm3a")</f>
        <v>kta</v>
      </c>
      <c r="I48" t="str">
        <f>_xlfn.XLOOKUP(D48,'WAS RESID'!K:K,'WAS RESID'!J:J)</f>
        <v>WASSOLGLADMDTOTTOLDF</v>
      </c>
    </row>
    <row r="49" spans="3:9">
      <c r="C49" t="s">
        <v>381</v>
      </c>
      <c r="D49" t="str">
        <v>WASSOLMETLDF19</v>
      </c>
      <c r="E49" t="str">
        <f>_xlfn.XLOOKUP(D49,'WAS RESID'!K:K,'WAS RESID'!A:A)&amp;" "&amp;_xlfn.XLOOKUP(D49,'WAS RESID'!K:K,'WAS RESID'!B:B)&amp;" "&amp;_xlfn.XLOOKUP(D49,'WAS RESID'!K:K,'WAS RESID'!C:C)&amp;" "&amp;_xlfn.XLOOKUP(D49,'WAS RESID'!K:K,'WAS RESID'!E:E)</f>
        <v>Waste Solid Metals Landfill</v>
      </c>
      <c r="F49" t="str">
        <f>IF(_xlfn.XLOOKUP(D49,'WAS RESID'!K:K,'WAS RESID'!B:B)="Solid","kt","Mm3")</f>
        <v>kt</v>
      </c>
      <c r="G49" t="str">
        <f>IF(_xlfn.XLOOKUP(D49,'WAS RESID'!K:K,'WAS RESID'!B:B)="Solid","kta","Mm3a")</f>
        <v>kta</v>
      </c>
      <c r="I49" t="str">
        <f>_xlfn.XLOOKUP(D49,'WAS RESID'!K:K,'WAS RESID'!J:J)</f>
        <v>WASSOLMETDMDTOTTOLDF</v>
      </c>
    </row>
    <row r="50" spans="3:9">
      <c r="C50" t="s">
        <v>381</v>
      </c>
      <c r="D50" t="str">
        <v>WASSOLPLALDF19</v>
      </c>
      <c r="E50" t="str">
        <f>_xlfn.XLOOKUP(D50,'WAS RESID'!K:K,'WAS RESID'!A:A)&amp;" "&amp;_xlfn.XLOOKUP(D50,'WAS RESID'!K:K,'WAS RESID'!B:B)&amp;" "&amp;_xlfn.XLOOKUP(D50,'WAS RESID'!K:K,'WAS RESID'!C:C)&amp;" "&amp;_xlfn.XLOOKUP(D50,'WAS RESID'!K:K,'WAS RESID'!E:E)</f>
        <v>Waste Solid Plastics Landfill</v>
      </c>
      <c r="F50" t="str">
        <f>IF(_xlfn.XLOOKUP(D50,'WAS RESID'!K:K,'WAS RESID'!B:B)="Solid","kt","Mm3")</f>
        <v>kt</v>
      </c>
      <c r="G50" t="str">
        <f>IF(_xlfn.XLOOKUP(D50,'WAS RESID'!K:K,'WAS RESID'!B:B)="Solid","kta","Mm3a")</f>
        <v>kta</v>
      </c>
      <c r="I50" t="str">
        <f>_xlfn.XLOOKUP(D50,'WAS RESID'!K:K,'WAS RESID'!J:J)</f>
        <v>WASSOLPLADMDTOTTOLDF</v>
      </c>
    </row>
    <row r="51" spans="3:9">
      <c r="C51" t="s">
        <v>381</v>
      </c>
      <c r="D51" t="str">
        <v>WASSOLFOOLDF19</v>
      </c>
      <c r="E51" t="str">
        <f>_xlfn.XLOOKUP(D51,'WAS RESID'!K:K,'WAS RESID'!A:A)&amp;" "&amp;_xlfn.XLOOKUP(D51,'WAS RESID'!K:K,'WAS RESID'!B:B)&amp;" "&amp;_xlfn.XLOOKUP(D51,'WAS RESID'!K:K,'WAS RESID'!C:C)&amp;" "&amp;_xlfn.XLOOKUP(D51,'WAS RESID'!K:K,'WAS RESID'!E:E)</f>
        <v>Waste Solid Food Landfill</v>
      </c>
      <c r="F51" t="str">
        <f>IF(_xlfn.XLOOKUP(D51,'WAS RESID'!K:K,'WAS RESID'!B:B)="Solid","kt","Mm3")</f>
        <v>kt</v>
      </c>
      <c r="G51" t="str">
        <f>IF(_xlfn.XLOOKUP(D51,'WAS RESID'!K:K,'WAS RESID'!B:B)="Solid","kta","Mm3a")</f>
        <v>kta</v>
      </c>
      <c r="I51" t="str">
        <f>_xlfn.XLOOKUP(D51,'WAS RESID'!K:K,'WAS RESID'!J:J)</f>
        <v>WASSOLFOODMDTOTTOLDF</v>
      </c>
    </row>
    <row r="52" spans="3:9">
      <c r="C52" t="s">
        <v>381</v>
      </c>
      <c r="D52" t="str">
        <v>WASSOLYARLDF19</v>
      </c>
      <c r="E52" t="str">
        <f>_xlfn.XLOOKUP(D52,'WAS RESID'!K:K,'WAS RESID'!A:A)&amp;" "&amp;_xlfn.XLOOKUP(D52,'WAS RESID'!K:K,'WAS RESID'!B:B)&amp;" "&amp;_xlfn.XLOOKUP(D52,'WAS RESID'!K:K,'WAS RESID'!C:C)&amp;" "&amp;_xlfn.XLOOKUP(D52,'WAS RESID'!K:K,'WAS RESID'!E:E)</f>
        <v>Waste Solid Yard trimmings Landfill</v>
      </c>
      <c r="F52" t="str">
        <f>IF(_xlfn.XLOOKUP(D52,'WAS RESID'!K:K,'WAS RESID'!B:B)="Solid","kt","Mm3")</f>
        <v>kt</v>
      </c>
      <c r="G52" t="str">
        <f>IF(_xlfn.XLOOKUP(D52,'WAS RESID'!K:K,'WAS RESID'!B:B)="Solid","kta","Mm3a")</f>
        <v>kta</v>
      </c>
      <c r="I52" t="str">
        <f>_xlfn.XLOOKUP(D52,'WAS RESID'!K:K,'WAS RESID'!J:J)</f>
        <v>WASSOLYARDMDTOTTOLDF</v>
      </c>
    </row>
    <row r="53" spans="3:9">
      <c r="C53" t="s">
        <v>381</v>
      </c>
      <c r="D53" t="str">
        <v>WASSOLAOTLDF19</v>
      </c>
      <c r="E53" t="str">
        <f>_xlfn.XLOOKUP(D53,'WAS RESID'!K:K,'WAS RESID'!A:A)&amp;" "&amp;_xlfn.XLOOKUP(D53,'WAS RESID'!K:K,'WAS RESID'!B:B)&amp;" "&amp;_xlfn.XLOOKUP(D53,'WAS RESID'!K:K,'WAS RESID'!C:C)&amp;" "&amp;_xlfn.XLOOKUP(D53,'WAS RESID'!K:K,'WAS RESID'!E:E)</f>
        <v>Waste Solid All Other Landfill</v>
      </c>
      <c r="F53" t="str">
        <f>IF(_xlfn.XLOOKUP(D53,'WAS RESID'!K:K,'WAS RESID'!B:B)="Solid","kt","Mm3")</f>
        <v>kt</v>
      </c>
      <c r="G53" t="str">
        <f>IF(_xlfn.XLOOKUP(D53,'WAS RESID'!K:K,'WAS RESID'!B:B)="Solid","kta","Mm3a")</f>
        <v>kta</v>
      </c>
      <c r="I53" t="str">
        <f>_xlfn.XLOOKUP(D53,'WAS RESID'!K:K,'WAS RESID'!J:J)</f>
        <v>WASSOLAOTDMDTOTTOLDF</v>
      </c>
    </row>
    <row r="54" spans="3:9">
      <c r="C54" t="s">
        <v>381</v>
      </c>
      <c r="D54" t="str">
        <v>WASSOLPAPREC19</v>
      </c>
      <c r="E54" t="str">
        <f>_xlfn.XLOOKUP(D54,'WAS RESID'!K:K,'WAS RESID'!A:A)&amp;" "&amp;_xlfn.XLOOKUP(D54,'WAS RESID'!K:K,'WAS RESID'!B:B)&amp;" "&amp;_xlfn.XLOOKUP(D54,'WAS RESID'!K:K,'WAS RESID'!C:C)&amp;" "&amp;_xlfn.XLOOKUP(D54,'WAS RESID'!K:K,'WAS RESID'!E:E)</f>
        <v>Waste Solid Paper Recycle</v>
      </c>
      <c r="F54" t="str">
        <f>IF(_xlfn.XLOOKUP(D54,'WAS RESID'!K:K,'WAS RESID'!B:B)="Solid","kt","Mm3")</f>
        <v>kt</v>
      </c>
      <c r="G54" t="str">
        <f>IF(_xlfn.XLOOKUP(D54,'WAS RESID'!K:K,'WAS RESID'!B:B)="Solid","kta","Mm3a")</f>
        <v>kta</v>
      </c>
      <c r="I54" t="str">
        <f>_xlfn.XLOOKUP(D54,'WAS RESID'!K:K,'WAS RESID'!J:J)</f>
        <v>WASSOLPAPDMDTOT</v>
      </c>
    </row>
    <row r="55" spans="3:9">
      <c r="C55" t="s">
        <v>381</v>
      </c>
      <c r="D55" t="str">
        <v>WASSOLGLAREC19</v>
      </c>
      <c r="E55" t="str">
        <f>_xlfn.XLOOKUP(D55,'WAS RESID'!K:K,'WAS RESID'!A:A)&amp;" "&amp;_xlfn.XLOOKUP(D55,'WAS RESID'!K:K,'WAS RESID'!B:B)&amp;" "&amp;_xlfn.XLOOKUP(D55,'WAS RESID'!K:K,'WAS RESID'!C:C)&amp;" "&amp;_xlfn.XLOOKUP(D55,'WAS RESID'!K:K,'WAS RESID'!E:E)</f>
        <v>Waste Solid Glass Recycle</v>
      </c>
      <c r="F55" t="str">
        <f>IF(_xlfn.XLOOKUP(D55,'WAS RESID'!K:K,'WAS RESID'!B:B)="Solid","kt","Mm3")</f>
        <v>kt</v>
      </c>
      <c r="G55" t="str">
        <f>IF(_xlfn.XLOOKUP(D55,'WAS RESID'!K:K,'WAS RESID'!B:B)="Solid","kta","Mm3a")</f>
        <v>kta</v>
      </c>
      <c r="I55" t="str">
        <f>_xlfn.XLOOKUP(D55,'WAS RESID'!K:K,'WAS RESID'!J:J)</f>
        <v>WASSOLGLADMDTOT</v>
      </c>
    </row>
    <row r="56" spans="3:9">
      <c r="C56" t="s">
        <v>381</v>
      </c>
      <c r="D56" t="str">
        <v>WASSOLMETREC19</v>
      </c>
      <c r="E56" t="str">
        <f>_xlfn.XLOOKUP(D56,'WAS RESID'!K:K,'WAS RESID'!A:A)&amp;" "&amp;_xlfn.XLOOKUP(D56,'WAS RESID'!K:K,'WAS RESID'!B:B)&amp;" "&amp;_xlfn.XLOOKUP(D56,'WAS RESID'!K:K,'WAS RESID'!C:C)&amp;" "&amp;_xlfn.XLOOKUP(D56,'WAS RESID'!K:K,'WAS RESID'!E:E)</f>
        <v>Waste Solid Metals Recycle</v>
      </c>
      <c r="F56" t="str">
        <f>IF(_xlfn.XLOOKUP(D56,'WAS RESID'!K:K,'WAS RESID'!B:B)="Solid","kt","Mm3")</f>
        <v>kt</v>
      </c>
      <c r="G56" t="str">
        <f>IF(_xlfn.XLOOKUP(D56,'WAS RESID'!K:K,'WAS RESID'!B:B)="Solid","kta","Mm3a")</f>
        <v>kta</v>
      </c>
      <c r="I56" t="str">
        <f>_xlfn.XLOOKUP(D56,'WAS RESID'!K:K,'WAS RESID'!J:J)</f>
        <v>WASSOLMETDMDTOT</v>
      </c>
    </row>
    <row r="57" spans="3:9">
      <c r="C57" t="s">
        <v>381</v>
      </c>
      <c r="D57" t="str">
        <v>WASSOLPLAREC19</v>
      </c>
      <c r="E57" t="str">
        <f>_xlfn.XLOOKUP(D57,'WAS RESID'!K:K,'WAS RESID'!A:A)&amp;" "&amp;_xlfn.XLOOKUP(D57,'WAS RESID'!K:K,'WAS RESID'!B:B)&amp;" "&amp;_xlfn.XLOOKUP(D57,'WAS RESID'!K:K,'WAS RESID'!C:C)&amp;" "&amp;_xlfn.XLOOKUP(D57,'WAS RESID'!K:K,'WAS RESID'!E:E)</f>
        <v>Waste Solid Plastics Recycle</v>
      </c>
      <c r="F57" t="str">
        <f>IF(_xlfn.XLOOKUP(D57,'WAS RESID'!K:K,'WAS RESID'!B:B)="Solid","kt","Mm3")</f>
        <v>kt</v>
      </c>
      <c r="G57" t="str">
        <f>IF(_xlfn.XLOOKUP(D57,'WAS RESID'!K:K,'WAS RESID'!B:B)="Solid","kta","Mm3a")</f>
        <v>kta</v>
      </c>
      <c r="I57" t="str">
        <f>_xlfn.XLOOKUP(D57,'WAS RESID'!K:K,'WAS RESID'!J:J)</f>
        <v>WASSOLPLADMDTOT</v>
      </c>
    </row>
    <row r="58" spans="3:9">
      <c r="C58" t="s">
        <v>381</v>
      </c>
      <c r="D58" t="str">
        <v>WASSOLFOOREC19</v>
      </c>
      <c r="E58" t="str">
        <f>_xlfn.XLOOKUP(D58,'WAS RESID'!K:K,'WAS RESID'!A:A)&amp;" "&amp;_xlfn.XLOOKUP(D58,'WAS RESID'!K:K,'WAS RESID'!B:B)&amp;" "&amp;_xlfn.XLOOKUP(D58,'WAS RESID'!K:K,'WAS RESID'!C:C)&amp;" "&amp;_xlfn.XLOOKUP(D58,'WAS RESID'!K:K,'WAS RESID'!E:E)</f>
        <v>Waste Solid Food Recycle</v>
      </c>
      <c r="F58" t="str">
        <f>IF(_xlfn.XLOOKUP(D58,'WAS RESID'!K:K,'WAS RESID'!B:B)="Solid","kt","Mm3")</f>
        <v>kt</v>
      </c>
      <c r="G58" t="str">
        <f>IF(_xlfn.XLOOKUP(D58,'WAS RESID'!K:K,'WAS RESID'!B:B)="Solid","kta","Mm3a")</f>
        <v>kta</v>
      </c>
      <c r="I58" t="str">
        <f>_xlfn.XLOOKUP(D58,'WAS RESID'!K:K,'WAS RESID'!J:J)</f>
        <v>WASSOLFOODMDTOT</v>
      </c>
    </row>
    <row r="59" spans="3:9">
      <c r="C59" t="s">
        <v>381</v>
      </c>
      <c r="D59" t="str">
        <v>WASSOLYARREC19</v>
      </c>
      <c r="E59" t="str">
        <f>_xlfn.XLOOKUP(D59,'WAS RESID'!K:K,'WAS RESID'!A:A)&amp;" "&amp;_xlfn.XLOOKUP(D59,'WAS RESID'!K:K,'WAS RESID'!B:B)&amp;" "&amp;_xlfn.XLOOKUP(D59,'WAS RESID'!K:K,'WAS RESID'!C:C)&amp;" "&amp;_xlfn.XLOOKUP(D59,'WAS RESID'!K:K,'WAS RESID'!E:E)</f>
        <v>Waste Solid Yard trimmings Recycle</v>
      </c>
      <c r="F59" t="str">
        <f>IF(_xlfn.XLOOKUP(D59,'WAS RESID'!K:K,'WAS RESID'!B:B)="Solid","kt","Mm3")</f>
        <v>kt</v>
      </c>
      <c r="G59" t="str">
        <f>IF(_xlfn.XLOOKUP(D59,'WAS RESID'!K:K,'WAS RESID'!B:B)="Solid","kta","Mm3a")</f>
        <v>kta</v>
      </c>
      <c r="I59" t="str">
        <f>_xlfn.XLOOKUP(D59,'WAS RESID'!K:K,'WAS RESID'!J:J)</f>
        <v>WASSOLYARDMDTOT</v>
      </c>
    </row>
    <row r="60" spans="3:9">
      <c r="C60" t="s">
        <v>381</v>
      </c>
      <c r="D60" t="str">
        <v>WASSOLAOTREC19</v>
      </c>
      <c r="E60" t="str">
        <f>_xlfn.XLOOKUP(D60,'WAS RESID'!K:K,'WAS RESID'!A:A)&amp;" "&amp;_xlfn.XLOOKUP(D60,'WAS RESID'!K:K,'WAS RESID'!B:B)&amp;" "&amp;_xlfn.XLOOKUP(D60,'WAS RESID'!K:K,'WAS RESID'!C:C)&amp;" "&amp;_xlfn.XLOOKUP(D60,'WAS RESID'!K:K,'WAS RESID'!E:E)</f>
        <v>Waste Solid All Other Recycle</v>
      </c>
      <c r="F60" t="str">
        <f>IF(_xlfn.XLOOKUP(D60,'WAS RESID'!K:K,'WAS RESID'!B:B)="Solid","kt","Mm3")</f>
        <v>kt</v>
      </c>
      <c r="G60" t="str">
        <f>IF(_xlfn.XLOOKUP(D60,'WAS RESID'!K:K,'WAS RESID'!B:B)="Solid","kta","Mm3a")</f>
        <v>kta</v>
      </c>
      <c r="I60" t="str">
        <f>_xlfn.XLOOKUP(D60,'WAS RESID'!K:K,'WAS RESID'!J:J)</f>
        <v>WASSOLAOTDMDTOT</v>
      </c>
    </row>
    <row r="61" spans="3:9">
      <c r="C61" t="s">
        <v>381</v>
      </c>
      <c r="D61" t="str">
        <v>WASSOLHISLDF19</v>
      </c>
      <c r="E61" t="str">
        <f>_xlfn.XLOOKUP(D61,'WAS RESID'!K:K,'WAS RESID'!A:A)&amp;" "&amp;_xlfn.XLOOKUP(D61,'WAS RESID'!K:K,'WAS RESID'!B:B)&amp;" "&amp;_xlfn.XLOOKUP(D61,'WAS RESID'!K:K,'WAS RESID'!C:C)&amp;" "&amp;_xlfn.XLOOKUP(D61,'WAS RESID'!K:K,'WAS RESID'!E:E)</f>
        <v>Waste Solid Historical Landfill</v>
      </c>
      <c r="F61" t="str">
        <f>IF(_xlfn.XLOOKUP(D61,'WAS RESID'!K:K,'WAS RESID'!B:B)="Solid","kt","Mm3")</f>
        <v>kt</v>
      </c>
      <c r="G61" t="str">
        <f>IF(_xlfn.XLOOKUP(D61,'WAS RESID'!K:K,'WAS RESID'!B:B)="Solid","kta","Mm3a")</f>
        <v>kta</v>
      </c>
      <c r="I61" t="str">
        <f>_xlfn.XLOOKUP(D61,'WAS RESID'!K:K,'WAS RESID'!J:J)</f>
        <v>WASSOLHISDMDTOTTOLDF</v>
      </c>
    </row>
    <row r="62" spans="3:9">
      <c r="C62" t="s">
        <v>381</v>
      </c>
      <c r="D62" t="str">
        <v>WASWATTRTNOT19</v>
      </c>
      <c r="E62" t="str">
        <f>_xlfn.XLOOKUP(D62,'WAS RESID'!K:K,'WAS RESID'!A:A)&amp;" "&amp;_xlfn.XLOOKUP(D62,'WAS RESID'!K:K,'WAS RESID'!B:B)&amp;" "&amp;_xlfn.XLOOKUP(D62,'WAS RESID'!K:K,'WAS RESID'!C:C)&amp;" "&amp;_xlfn.XLOOKUP(D62,'WAS RESID'!K:K,'WAS RESID'!E:E)</f>
        <v>Waste Water Treatment Treatment Plant without De-Nitrification and without Anaerobic Digesters</v>
      </c>
      <c r="F62" t="str">
        <f>IF(_xlfn.XLOOKUP(D62,'WAS RESID'!K:K,'WAS RESID'!B:B)="Solid","kt","Mm3")</f>
        <v>Mm3</v>
      </c>
      <c r="G62" t="str">
        <f>IF(_xlfn.XLOOKUP(D62,'WAS RESID'!K:K,'WAS RESID'!B:B)="Solid","kta","Mm3a")</f>
        <v>Mm3a</v>
      </c>
      <c r="I62" t="str">
        <f>_xlfn.XLOOKUP(D62,'WAS RESID'!K:K,'WAS RESID'!J:J)</f>
        <v>WASWATTRTDMDTOT</v>
      </c>
    </row>
    <row r="63" spans="3:9">
      <c r="C63" t="s">
        <v>381</v>
      </c>
      <c r="D63" t="str">
        <v>WASWATTRTWAD19</v>
      </c>
      <c r="E63" t="str">
        <f>_xlfn.XLOOKUP(D63,'WAS RESID'!K:K,'WAS RESID'!A:A)&amp;" "&amp;_xlfn.XLOOKUP(D63,'WAS RESID'!K:K,'WAS RESID'!B:B)&amp;" "&amp;_xlfn.XLOOKUP(D63,'WAS RESID'!K:K,'WAS RESID'!C:C)&amp;" "&amp;_xlfn.XLOOKUP(D63,'WAS RESID'!K:K,'WAS RESID'!E:E)</f>
        <v>Waste Water Treatment Treatment Plant without De-Nitrification and with Anaerobic Digesters</v>
      </c>
      <c r="F63" t="str">
        <f>IF(_xlfn.XLOOKUP(D63,'WAS RESID'!K:K,'WAS RESID'!B:B)="Solid","kt","Mm3")</f>
        <v>Mm3</v>
      </c>
      <c r="G63" t="str">
        <f>IF(_xlfn.XLOOKUP(D63,'WAS RESID'!K:K,'WAS RESID'!B:B)="Solid","kta","Mm3a")</f>
        <v>Mm3a</v>
      </c>
      <c r="I63" t="str">
        <f>_xlfn.XLOOKUP(D63,'WAS RESID'!K:K,'WAS RESID'!J:J)</f>
        <v>WASWATTRTDMDTOT</v>
      </c>
    </row>
    <row r="64" spans="3:9">
      <c r="C64" t="s">
        <v>381</v>
      </c>
      <c r="D64" t="str">
        <v>WASWATTRTWDN19</v>
      </c>
      <c r="E64" t="str">
        <f>_xlfn.XLOOKUP(D64,'WAS RESID'!K:K,'WAS RESID'!A:A)&amp;" "&amp;_xlfn.XLOOKUP(D64,'WAS RESID'!K:K,'WAS RESID'!B:B)&amp;" "&amp;_xlfn.XLOOKUP(D64,'WAS RESID'!K:K,'WAS RESID'!C:C)&amp;" "&amp;_xlfn.XLOOKUP(D64,'WAS RESID'!K:K,'WAS RESID'!E:E)</f>
        <v>Waste Water Treatment Treatment Plant with De-Nitrification and without Anaerobic Digesters</v>
      </c>
      <c r="F64" t="str">
        <f>IF(_xlfn.XLOOKUP(D64,'WAS RESID'!K:K,'WAS RESID'!B:B)="Solid","kt","Mm3")</f>
        <v>Mm3</v>
      </c>
      <c r="G64" t="str">
        <f>IF(_xlfn.XLOOKUP(D64,'WAS RESID'!K:K,'WAS RESID'!B:B)="Solid","kta","Mm3a")</f>
        <v>Mm3a</v>
      </c>
      <c r="I64" t="str">
        <f>_xlfn.XLOOKUP(D64,'WAS RESID'!K:K,'WAS RESID'!J:J)</f>
        <v>WASWATTRTDMDTOT</v>
      </c>
    </row>
    <row r="65" spans="2:9">
      <c r="C65" t="s">
        <v>381</v>
      </c>
      <c r="D65" t="str">
        <v>WASWATTRTWAN19</v>
      </c>
      <c r="E65" t="str">
        <f>_xlfn.XLOOKUP(D65,'WAS RESID'!K:K,'WAS RESID'!A:A)&amp;" "&amp;_xlfn.XLOOKUP(D65,'WAS RESID'!K:K,'WAS RESID'!B:B)&amp;" "&amp;_xlfn.XLOOKUP(D65,'WAS RESID'!K:K,'WAS RESID'!C:C)&amp;" "&amp;_xlfn.XLOOKUP(D65,'WAS RESID'!K:K,'WAS RESID'!E:E)</f>
        <v>Waste Water Treatment Treatment Plant with De-Nitrification and with Anaerobic Digesters</v>
      </c>
      <c r="F65" t="str">
        <f>IF(_xlfn.XLOOKUP(D65,'WAS RESID'!K:K,'WAS RESID'!B:B)="Solid","kt","Mm3")</f>
        <v>Mm3</v>
      </c>
      <c r="G65" t="str">
        <f>IF(_xlfn.XLOOKUP(D65,'WAS RESID'!K:K,'WAS RESID'!B:B)="Solid","kta","Mm3a")</f>
        <v>Mm3a</v>
      </c>
      <c r="I65" t="str">
        <f>_xlfn.XLOOKUP(D65,'WAS RESID'!K:K,'WAS RESID'!J:J)</f>
        <v>WASWATTRTDMDTOT</v>
      </c>
    </row>
    <row r="66" spans="2:9">
      <c r="B66" t="s">
        <v>307</v>
      </c>
    </row>
    <row r="67" spans="2:9">
      <c r="B67" t="s">
        <v>384</v>
      </c>
      <c r="C67" t="s">
        <v>381</v>
      </c>
      <c r="D67" t="str">
        <f t="array" ref="D67:D86">_xlfn.UNIQUE('WAS RESID'!K114:K149)</f>
        <v>WASSOLADGVEN19</v>
      </c>
      <c r="E67" t="str">
        <f>_xlfn.XLOOKUP(D67,'WAS RESID'!K:K,'WAS RESID'!A:A)&amp;" "&amp;_xlfn.XLOOKUP(D67,'WAS RESID'!K:K,'WAS RESID'!B:B)&amp;" "&amp;_xlfn.XLOOKUP(D67,'WAS RESID'!K:K,'WAS RESID'!C:C)&amp;" "&amp;_xlfn.XLOOKUP(D67,'WAS RESID'!K:K,'WAS RESID'!E:E)</f>
        <v>Waste Solid Anaerobic Digestion Venting</v>
      </c>
      <c r="F67" t="s">
        <v>131</v>
      </c>
      <c r="G67" t="s">
        <v>385</v>
      </c>
      <c r="I67" t="str">
        <f>'WAS RESID'!H114</f>
        <v>WASSOLADGBGA</v>
      </c>
    </row>
    <row r="68" spans="2:9">
      <c r="C68" t="s">
        <v>381</v>
      </c>
      <c r="D68" t="str">
        <v>WASSOLADGFLA19</v>
      </c>
      <c r="E68" t="str">
        <f>_xlfn.XLOOKUP(D68,'WAS RESID'!K:K,'WAS RESID'!A:A)&amp;" "&amp;_xlfn.XLOOKUP(D68,'WAS RESID'!K:K,'WAS RESID'!B:B)&amp;" "&amp;_xlfn.XLOOKUP(D68,'WAS RESID'!K:K,'WAS RESID'!C:C)&amp;" "&amp;_xlfn.XLOOKUP(D68,'WAS RESID'!K:K,'WAS RESID'!E:E)</f>
        <v>Waste Solid Anaerobic Digestion Flaring</v>
      </c>
      <c r="F68" t="s">
        <v>131</v>
      </c>
      <c r="G68" t="s">
        <v>385</v>
      </c>
      <c r="I68" t="str">
        <f>'WAS RESID'!H115</f>
        <v>WASSOLADGBGA</v>
      </c>
    </row>
    <row r="69" spans="2:9">
      <c r="B69" t="s">
        <v>386</v>
      </c>
      <c r="C69" t="s">
        <v>381</v>
      </c>
      <c r="D69" t="str">
        <v>WASSOLADGCOG19</v>
      </c>
      <c r="E69" t="str">
        <f>_xlfn.XLOOKUP(D69,'WAS RESID'!K:K,'WAS RESID'!A:A)&amp;" "&amp;_xlfn.XLOOKUP(D69,'WAS RESID'!K:K,'WAS RESID'!B:B)&amp;" "&amp;_xlfn.XLOOKUP(D69,'WAS RESID'!K:K,'WAS RESID'!C:C)&amp;" "&amp;_xlfn.XLOOKUP(D69,'WAS RESID'!K:K,'WAS RESID'!E:E)</f>
        <v>Waste Solid Anaerobic Digestion Cogeneration</v>
      </c>
      <c r="F69" t="s">
        <v>131</v>
      </c>
      <c r="G69" t="s">
        <v>385</v>
      </c>
      <c r="H69" t="s">
        <v>383</v>
      </c>
    </row>
    <row r="70" spans="2:9">
      <c r="B70" t="s">
        <v>382</v>
      </c>
      <c r="C70" t="s">
        <v>381</v>
      </c>
      <c r="D70" t="str">
        <v>WASSOLADGPOW19</v>
      </c>
      <c r="E70" t="str">
        <f>_xlfn.XLOOKUP(D70,'WAS RESID'!K:K,'WAS RESID'!A:A)&amp;" "&amp;_xlfn.XLOOKUP(D70,'WAS RESID'!K:K,'WAS RESID'!B:B)&amp;" "&amp;_xlfn.XLOOKUP(D70,'WAS RESID'!K:K,'WAS RESID'!C:C)&amp;" "&amp;_xlfn.XLOOKUP(D70,'WAS RESID'!K:K,'WAS RESID'!E:E)</f>
        <v>Waste Solid Anaerobic Digestion Power</v>
      </c>
      <c r="F70" t="s">
        <v>131</v>
      </c>
      <c r="G70" t="s">
        <v>385</v>
      </c>
      <c r="H70" t="s">
        <v>383</v>
      </c>
    </row>
    <row r="71" spans="2:9">
      <c r="B71" t="s">
        <v>384</v>
      </c>
      <c r="C71" t="s">
        <v>381</v>
      </c>
      <c r="D71" t="str">
        <v>WASSOLADGPUR19</v>
      </c>
      <c r="E71" t="str">
        <f>_xlfn.XLOOKUP(D71,'WAS RESID'!K:K,'WAS RESID'!A:A)&amp;" "&amp;_xlfn.XLOOKUP(D71,'WAS RESID'!K:K,'WAS RESID'!B:B)&amp;" "&amp;_xlfn.XLOOKUP(D71,'WAS RESID'!K:K,'WAS RESID'!C:C)&amp;" "&amp;_xlfn.XLOOKUP(D71,'WAS RESID'!K:K,'WAS RESID'!E:E)</f>
        <v>Waste Solid Anaerobic Digestion Purification</v>
      </c>
      <c r="F71" t="s">
        <v>131</v>
      </c>
      <c r="G71" t="s">
        <v>385</v>
      </c>
      <c r="I71" t="str">
        <f>'WAS RESID'!H121</f>
        <v>WASSOLADGBGA</v>
      </c>
    </row>
    <row r="72" spans="2:9">
      <c r="B72" t="s">
        <v>384</v>
      </c>
      <c r="C72" t="s">
        <v>381</v>
      </c>
      <c r="D72" t="str">
        <v>WASSOLLDFVEN19</v>
      </c>
      <c r="E72" t="str">
        <f>_xlfn.XLOOKUP(D72,'WAS RESID'!K:K,'WAS RESID'!A:A)&amp;" "&amp;_xlfn.XLOOKUP(D72,'WAS RESID'!K:K,'WAS RESID'!B:B)&amp;" "&amp;_xlfn.XLOOKUP(D72,'WAS RESID'!K:K,'WAS RESID'!C:C)&amp;" "&amp;_xlfn.XLOOKUP(D72,'WAS RESID'!K:K,'WAS RESID'!E:E)</f>
        <v>Waste Solid Landfill Venting</v>
      </c>
      <c r="F72" t="s">
        <v>131</v>
      </c>
      <c r="G72" t="s">
        <v>385</v>
      </c>
      <c r="I72" t="str">
        <f>'WAS RESID'!H123</f>
        <v>WASSOLLDFBGA</v>
      </c>
    </row>
    <row r="73" spans="2:9">
      <c r="C73" t="s">
        <v>381</v>
      </c>
      <c r="D73" t="str">
        <v>WASSOLLDFFLA19</v>
      </c>
      <c r="E73" t="str">
        <f>_xlfn.XLOOKUP(D73,'WAS RESID'!K:K,'WAS RESID'!A:A)&amp;" "&amp;_xlfn.XLOOKUP(D73,'WAS RESID'!K:K,'WAS RESID'!B:B)&amp;" "&amp;_xlfn.XLOOKUP(D73,'WAS RESID'!K:K,'WAS RESID'!C:C)&amp;" "&amp;_xlfn.XLOOKUP(D73,'WAS RESID'!K:K,'WAS RESID'!E:E)</f>
        <v>Waste Solid Landfill Flaring</v>
      </c>
      <c r="F73" t="s">
        <v>131</v>
      </c>
      <c r="G73" t="s">
        <v>385</v>
      </c>
      <c r="I73" t="str">
        <f>'WAS RESID'!H124</f>
        <v>WASSOLLDFBGA</v>
      </c>
    </row>
    <row r="74" spans="2:9">
      <c r="B74" t="s">
        <v>386</v>
      </c>
      <c r="C74" t="s">
        <v>381</v>
      </c>
      <c r="D74" t="str">
        <v>WASSOLLDFCOG19</v>
      </c>
      <c r="E74" t="str">
        <f>_xlfn.XLOOKUP(D74,'WAS RESID'!K:K,'WAS RESID'!A:A)&amp;" "&amp;_xlfn.XLOOKUP(D74,'WAS RESID'!K:K,'WAS RESID'!B:B)&amp;" "&amp;_xlfn.XLOOKUP(D74,'WAS RESID'!K:K,'WAS RESID'!C:C)&amp;" "&amp;_xlfn.XLOOKUP(D74,'WAS RESID'!K:K,'WAS RESID'!E:E)</f>
        <v>Waste Solid Landfill Cogeneration</v>
      </c>
      <c r="F74" t="s">
        <v>131</v>
      </c>
      <c r="G74" t="s">
        <v>385</v>
      </c>
      <c r="H74" t="s">
        <v>383</v>
      </c>
    </row>
    <row r="75" spans="2:9">
      <c r="B75" t="s">
        <v>382</v>
      </c>
      <c r="C75" t="s">
        <v>381</v>
      </c>
      <c r="D75" t="str">
        <v>WASSOLLDFPOW19</v>
      </c>
      <c r="E75" t="str">
        <f>_xlfn.XLOOKUP(D75,'WAS RESID'!K:K,'WAS RESID'!A:A)&amp;" "&amp;_xlfn.XLOOKUP(D75,'WAS RESID'!K:K,'WAS RESID'!B:B)&amp;" "&amp;_xlfn.XLOOKUP(D75,'WAS RESID'!K:K,'WAS RESID'!C:C)&amp;" "&amp;_xlfn.XLOOKUP(D75,'WAS RESID'!K:K,'WAS RESID'!E:E)</f>
        <v>Waste Solid Landfill Power</v>
      </c>
      <c r="F75" t="s">
        <v>131</v>
      </c>
      <c r="G75" t="s">
        <v>385</v>
      </c>
      <c r="H75" t="s">
        <v>383</v>
      </c>
    </row>
    <row r="76" spans="2:9">
      <c r="B76" t="s">
        <v>384</v>
      </c>
      <c r="C76" t="s">
        <v>381</v>
      </c>
      <c r="D76" t="str">
        <v>WASSOLLDFPUR19</v>
      </c>
      <c r="E76" t="str">
        <f>_xlfn.XLOOKUP(D76,'WAS RESID'!K:K,'WAS RESID'!A:A)&amp;" "&amp;_xlfn.XLOOKUP(D76,'WAS RESID'!K:K,'WAS RESID'!B:B)&amp;" "&amp;_xlfn.XLOOKUP(D76,'WAS RESID'!K:K,'WAS RESID'!C:C)&amp;" "&amp;_xlfn.XLOOKUP(D76,'WAS RESID'!K:K,'WAS RESID'!E:E)</f>
        <v>Waste Solid Landfill Purification</v>
      </c>
      <c r="F76" t="s">
        <v>131</v>
      </c>
      <c r="G76" t="s">
        <v>385</v>
      </c>
      <c r="I76" t="str">
        <f>'WAS RESID'!H130</f>
        <v>WASSOLLDFBGA</v>
      </c>
    </row>
    <row r="77" spans="2:9">
      <c r="B77" t="s">
        <v>384</v>
      </c>
      <c r="C77" t="s">
        <v>381</v>
      </c>
      <c r="D77" t="str">
        <v>WASWATWADVEN19</v>
      </c>
      <c r="E77" t="str">
        <f>_xlfn.XLOOKUP(D77,'WAS RESID'!K:K,'WAS RESID'!A:A)&amp;" "&amp;_xlfn.XLOOKUP(D77,'WAS RESID'!K:K,'WAS RESID'!B:B)&amp;" "&amp;_xlfn.XLOOKUP(D77,'WAS RESID'!K:K,'WAS RESID'!C:C)&amp;" "&amp;_xlfn.XLOOKUP(D77,'WAS RESID'!K:K,'WAS RESID'!E:E)</f>
        <v>Waste Water Treatment Plant without De-Nitrification and with Anaerobic Digesters Venting</v>
      </c>
      <c r="F77" t="s">
        <v>131</v>
      </c>
      <c r="G77" t="s">
        <v>385</v>
      </c>
      <c r="I77" t="str">
        <f>'WAS RESID'!H132</f>
        <v>WASWATWADBGA</v>
      </c>
    </row>
    <row r="78" spans="2:9">
      <c r="C78" t="s">
        <v>381</v>
      </c>
      <c r="D78" t="str">
        <v>WASWATWADFLA19</v>
      </c>
      <c r="E78" t="str">
        <f>_xlfn.XLOOKUP(D78,'WAS RESID'!K:K,'WAS RESID'!A:A)&amp;" "&amp;_xlfn.XLOOKUP(D78,'WAS RESID'!K:K,'WAS RESID'!B:B)&amp;" "&amp;_xlfn.XLOOKUP(D78,'WAS RESID'!K:K,'WAS RESID'!C:C)&amp;" "&amp;_xlfn.XLOOKUP(D78,'WAS RESID'!K:K,'WAS RESID'!E:E)</f>
        <v>Waste Water Treatment Plant without De-Nitrification and with Anaerobic Digesters Flaring</v>
      </c>
      <c r="F78" t="s">
        <v>131</v>
      </c>
      <c r="G78" t="s">
        <v>385</v>
      </c>
      <c r="I78" t="str">
        <f>'WAS RESID'!H133</f>
        <v>WASWATWADBGA</v>
      </c>
    </row>
    <row r="79" spans="2:9">
      <c r="B79" t="s">
        <v>386</v>
      </c>
      <c r="C79" t="s">
        <v>381</v>
      </c>
      <c r="D79" t="str">
        <v>WASWATWADCOG19</v>
      </c>
      <c r="E79" t="str">
        <f>_xlfn.XLOOKUP(D79,'WAS RESID'!K:K,'WAS RESID'!A:A)&amp;" "&amp;_xlfn.XLOOKUP(D79,'WAS RESID'!K:K,'WAS RESID'!B:B)&amp;" "&amp;_xlfn.XLOOKUP(D79,'WAS RESID'!K:K,'WAS RESID'!C:C)&amp;" "&amp;_xlfn.XLOOKUP(D79,'WAS RESID'!K:K,'WAS RESID'!E:E)</f>
        <v>Waste Water Treatment Plant without De-Nitrification and with Anaerobic Digesters Cogeneration</v>
      </c>
      <c r="F79" t="s">
        <v>131</v>
      </c>
      <c r="G79" t="s">
        <v>385</v>
      </c>
      <c r="H79" t="s">
        <v>383</v>
      </c>
    </row>
    <row r="80" spans="2:9">
      <c r="B80" t="s">
        <v>382</v>
      </c>
      <c r="C80" t="s">
        <v>381</v>
      </c>
      <c r="D80" t="str">
        <v>WASWATWADPOW19</v>
      </c>
      <c r="E80" t="str">
        <f>_xlfn.XLOOKUP(D80,'WAS RESID'!K:K,'WAS RESID'!A:A)&amp;" "&amp;_xlfn.XLOOKUP(D80,'WAS RESID'!K:K,'WAS RESID'!B:B)&amp;" "&amp;_xlfn.XLOOKUP(D80,'WAS RESID'!K:K,'WAS RESID'!C:C)&amp;" "&amp;_xlfn.XLOOKUP(D80,'WAS RESID'!K:K,'WAS RESID'!E:E)</f>
        <v>Waste Water Treatment Plant without De-Nitrification and with Anaerobic Digesters Power</v>
      </c>
      <c r="F80" t="s">
        <v>131</v>
      </c>
      <c r="G80" t="s">
        <v>385</v>
      </c>
      <c r="H80" t="s">
        <v>383</v>
      </c>
    </row>
    <row r="81" spans="2:9">
      <c r="B81" t="s">
        <v>384</v>
      </c>
      <c r="C81" t="s">
        <v>381</v>
      </c>
      <c r="D81" t="str">
        <v>WASWATWADPUR19</v>
      </c>
      <c r="E81" t="str">
        <f>_xlfn.XLOOKUP(D81,'WAS RESID'!K:K,'WAS RESID'!A:A)&amp;" "&amp;_xlfn.XLOOKUP(D81,'WAS RESID'!K:K,'WAS RESID'!B:B)&amp;" "&amp;_xlfn.XLOOKUP(D81,'WAS RESID'!K:K,'WAS RESID'!C:C)&amp;" "&amp;_xlfn.XLOOKUP(D81,'WAS RESID'!K:K,'WAS RESID'!E:E)</f>
        <v>Waste Water Treatment Plant without De-Nitrification and with Anaerobic Digesters Purification</v>
      </c>
      <c r="F81" t="s">
        <v>131</v>
      </c>
      <c r="G81" t="s">
        <v>385</v>
      </c>
      <c r="I81" t="str">
        <f>'WAS RESID'!H139</f>
        <v>WASWATWADBGA</v>
      </c>
    </row>
    <row r="82" spans="2:9">
      <c r="B82" t="s">
        <v>384</v>
      </c>
      <c r="C82" t="s">
        <v>381</v>
      </c>
      <c r="D82" t="str">
        <v>WASWATWANVEN19</v>
      </c>
      <c r="E82" t="str">
        <f>_xlfn.XLOOKUP(D82,'WAS RESID'!K:K,'WAS RESID'!A:A)&amp;" "&amp;_xlfn.XLOOKUP(D82,'WAS RESID'!K:K,'WAS RESID'!B:B)&amp;" "&amp;_xlfn.XLOOKUP(D82,'WAS RESID'!K:K,'WAS RESID'!C:C)&amp;" "&amp;_xlfn.XLOOKUP(D82,'WAS RESID'!K:K,'WAS RESID'!E:E)</f>
        <v>Waste Water Treatment Plant with De-Nitrification and with Anaerobic Digesters Venting</v>
      </c>
      <c r="F82" t="s">
        <v>131</v>
      </c>
      <c r="G82" t="s">
        <v>385</v>
      </c>
      <c r="I82" t="str">
        <f>'WAS RESID'!H141</f>
        <v>WASWATWANBGA</v>
      </c>
    </row>
    <row r="83" spans="2:9">
      <c r="C83" t="s">
        <v>381</v>
      </c>
      <c r="D83" t="str">
        <v>WASWATWANFLA19</v>
      </c>
      <c r="E83" t="str">
        <f>_xlfn.XLOOKUP(D83,'WAS RESID'!K:K,'WAS RESID'!A:A)&amp;" "&amp;_xlfn.XLOOKUP(D83,'WAS RESID'!K:K,'WAS RESID'!B:B)&amp;" "&amp;_xlfn.XLOOKUP(D83,'WAS RESID'!K:K,'WAS RESID'!C:C)&amp;" "&amp;_xlfn.XLOOKUP(D83,'WAS RESID'!K:K,'WAS RESID'!E:E)</f>
        <v>Waste Water Treatment Plant with De-Nitrification and with Anaerobic Digesters Flaring</v>
      </c>
      <c r="F83" t="s">
        <v>131</v>
      </c>
      <c r="G83" t="s">
        <v>385</v>
      </c>
      <c r="I83" t="str">
        <f>'WAS RESID'!H142</f>
        <v>WASWATWANBGA</v>
      </c>
    </row>
    <row r="84" spans="2:9">
      <c r="B84" t="s">
        <v>386</v>
      </c>
      <c r="C84" t="s">
        <v>381</v>
      </c>
      <c r="D84" t="str">
        <v>WASWATWANCOG19</v>
      </c>
      <c r="E84" t="str">
        <f>_xlfn.XLOOKUP(D84,'WAS RESID'!K:K,'WAS RESID'!A:A)&amp;" "&amp;_xlfn.XLOOKUP(D84,'WAS RESID'!K:K,'WAS RESID'!B:B)&amp;" "&amp;_xlfn.XLOOKUP(D84,'WAS RESID'!K:K,'WAS RESID'!C:C)&amp;" "&amp;_xlfn.XLOOKUP(D84,'WAS RESID'!K:K,'WAS RESID'!E:E)</f>
        <v>Waste Water Treatment Plant with De-Nitrification and with Anaerobic Digesters Cogeneration</v>
      </c>
      <c r="F84" t="s">
        <v>131</v>
      </c>
      <c r="G84" t="s">
        <v>385</v>
      </c>
      <c r="H84" t="s">
        <v>383</v>
      </c>
    </row>
    <row r="85" spans="2:9">
      <c r="B85" t="s">
        <v>382</v>
      </c>
      <c r="C85" t="s">
        <v>381</v>
      </c>
      <c r="D85" t="str">
        <v>WASWATWANPOW19</v>
      </c>
      <c r="E85" t="str">
        <f>_xlfn.XLOOKUP(D85,'WAS RESID'!K:K,'WAS RESID'!A:A)&amp;" "&amp;_xlfn.XLOOKUP(D85,'WAS RESID'!K:K,'WAS RESID'!B:B)&amp;" "&amp;_xlfn.XLOOKUP(D85,'WAS RESID'!K:K,'WAS RESID'!C:C)&amp;" "&amp;_xlfn.XLOOKUP(D85,'WAS RESID'!K:K,'WAS RESID'!E:E)</f>
        <v>Waste Water Treatment Plant with De-Nitrification and with Anaerobic Digesters Power</v>
      </c>
      <c r="F85" t="s">
        <v>131</v>
      </c>
      <c r="G85" t="s">
        <v>385</v>
      </c>
      <c r="H85" t="s">
        <v>383</v>
      </c>
    </row>
    <row r="86" spans="2:9">
      <c r="B86" t="s">
        <v>384</v>
      </c>
      <c r="C86" t="s">
        <v>381</v>
      </c>
      <c r="D86" t="str">
        <v>WASWATWANPUR19</v>
      </c>
      <c r="E86" t="str">
        <f>_xlfn.XLOOKUP(D86,'WAS RESID'!K:K,'WAS RESID'!A:A)&amp;" "&amp;_xlfn.XLOOKUP(D86,'WAS RESID'!K:K,'WAS RESID'!B:B)&amp;" "&amp;_xlfn.XLOOKUP(D86,'WAS RESID'!K:K,'WAS RESID'!C:C)&amp;" "&amp;_xlfn.XLOOKUP(D86,'WAS RESID'!K:K,'WAS RESID'!E:E)</f>
        <v>Waste Water Treatment Plant with De-Nitrification and with Anaerobic Digesters Purification</v>
      </c>
      <c r="F86" t="s">
        <v>131</v>
      </c>
      <c r="G86" t="s">
        <v>385</v>
      </c>
      <c r="I86" t="str">
        <f>'WAS RESID'!H148</f>
        <v>WASWATWANBGA</v>
      </c>
    </row>
    <row r="87" spans="2:9">
      <c r="B87" t="s">
        <v>307</v>
      </c>
    </row>
    <row r="88" spans="2:9">
      <c r="B88" t="s">
        <v>387</v>
      </c>
      <c r="C88" t="s">
        <v>381</v>
      </c>
      <c r="D88" t="str">
        <f>'WAS RESID'!K96</f>
        <v>WASSOLPAPLDFDEC19</v>
      </c>
      <c r="E88" t="str">
        <f>_xlfn.XLOOKUP(D88,'WAS RESID'!K:K,'WAS RESID'!A:A)&amp;" "&amp;_xlfn.XLOOKUP(D88,'WAS RESID'!K:K,'WAS RESID'!B:B)&amp;" "&amp;_xlfn.XLOOKUP(D88,'WAS RESID'!K:K,'WAS RESID'!C:C)&amp;" "&amp;_xlfn.XLOOKUP(D88,'WAS RESID'!K:K,'WAS RESID'!E:E)&amp;" "&amp;_xlfn.XLOOKUP(D88,'WAS RESID'!K:K,'WAS RESID'!F:F)</f>
        <v>Waste Solid Paper Landfill IN</v>
      </c>
      <c r="F88" t="str">
        <f>IF(_xlfn.XLOOKUP(D88,'WAS RESID'!K:K,'WAS RESID'!B:B)="Solid","kt","Mm3")</f>
        <v>kt</v>
      </c>
      <c r="G88" t="str">
        <f>IF(_xlfn.XLOOKUP(D88,'WAS RESID'!K:K,'WAS RESID'!B:B)="Solid","kta","Mm3a")</f>
        <v>kta</v>
      </c>
      <c r="H88" t="s">
        <v>388</v>
      </c>
      <c r="I88" t="str">
        <f>'WAS RESID'!H96</f>
        <v>WASSOLPAPLDFDEC</v>
      </c>
    </row>
    <row r="89" spans="2:9">
      <c r="C89" t="s">
        <v>381</v>
      </c>
      <c r="D89" t="str">
        <f>'WAS RESID'!K98</f>
        <v>WASSOLGLALDFDEC19</v>
      </c>
      <c r="E89" t="str">
        <f>_xlfn.XLOOKUP(D89,'WAS RESID'!K:K,'WAS RESID'!A:A)&amp;" "&amp;_xlfn.XLOOKUP(D89,'WAS RESID'!K:K,'WAS RESID'!B:B)&amp;" "&amp;_xlfn.XLOOKUP(D89,'WAS RESID'!K:K,'WAS RESID'!C:C)&amp;" "&amp;_xlfn.XLOOKUP(D89,'WAS RESID'!K:K,'WAS RESID'!E:E)&amp;" "&amp;_xlfn.XLOOKUP(D89,'WAS RESID'!K:K,'WAS RESID'!F:F)</f>
        <v>Waste Solid Glass Landfill IN</v>
      </c>
      <c r="F89" t="str">
        <f>IF(_xlfn.XLOOKUP(D89,'WAS RESID'!K:K,'WAS RESID'!B:B)="Solid","kt","Mm3")</f>
        <v>kt</v>
      </c>
      <c r="G89" t="str">
        <f>IF(_xlfn.XLOOKUP(D89,'WAS RESID'!K:K,'WAS RESID'!B:B)="Solid","kta","Mm3a")</f>
        <v>kta</v>
      </c>
      <c r="H89" t="s">
        <v>388</v>
      </c>
      <c r="I89" t="str">
        <f>'WAS RESID'!H98</f>
        <v>WASSOLGLALDFDEC</v>
      </c>
    </row>
    <row r="90" spans="2:9">
      <c r="C90" t="s">
        <v>381</v>
      </c>
      <c r="D90" t="str">
        <f>'WAS RESID'!K100</f>
        <v>WASSOLMETLDFDEC19</v>
      </c>
      <c r="E90" t="str">
        <f>_xlfn.XLOOKUP(D90,'WAS RESID'!K:K,'WAS RESID'!A:A)&amp;" "&amp;_xlfn.XLOOKUP(D90,'WAS RESID'!K:K,'WAS RESID'!B:B)&amp;" "&amp;_xlfn.XLOOKUP(D90,'WAS RESID'!K:K,'WAS RESID'!C:C)&amp;" "&amp;_xlfn.XLOOKUP(D90,'WAS RESID'!K:K,'WAS RESID'!E:E)&amp;" "&amp;_xlfn.XLOOKUP(D90,'WAS RESID'!K:K,'WAS RESID'!F:F)</f>
        <v>Waste Solid Metals Landfill IN</v>
      </c>
      <c r="F90" t="str">
        <f>IF(_xlfn.XLOOKUP(D90,'WAS RESID'!K:K,'WAS RESID'!B:B)="Solid","kt","Mm3")</f>
        <v>kt</v>
      </c>
      <c r="G90" t="str">
        <f>IF(_xlfn.XLOOKUP(D90,'WAS RESID'!K:K,'WAS RESID'!B:B)="Solid","kta","Mm3a")</f>
        <v>kta</v>
      </c>
      <c r="H90" t="s">
        <v>388</v>
      </c>
      <c r="I90" t="str">
        <f>'WAS RESID'!H100</f>
        <v>WASSOLMETLDFDEC</v>
      </c>
    </row>
    <row r="91" spans="2:9">
      <c r="C91" t="s">
        <v>381</v>
      </c>
      <c r="D91" t="str">
        <f>'WAS RESID'!K102</f>
        <v>WASSOLPLALDFDEC19</v>
      </c>
      <c r="E91" t="str">
        <f>_xlfn.XLOOKUP(D91,'WAS RESID'!K:K,'WAS RESID'!A:A)&amp;" "&amp;_xlfn.XLOOKUP(D91,'WAS RESID'!K:K,'WAS RESID'!B:B)&amp;" "&amp;_xlfn.XLOOKUP(D91,'WAS RESID'!K:K,'WAS RESID'!C:C)&amp;" "&amp;_xlfn.XLOOKUP(D91,'WAS RESID'!K:K,'WAS RESID'!E:E)&amp;" "&amp;_xlfn.XLOOKUP(D91,'WAS RESID'!K:K,'WAS RESID'!F:F)</f>
        <v>Waste Solid Plastics Landfill IN</v>
      </c>
      <c r="F91" t="str">
        <f>IF(_xlfn.XLOOKUP(D91,'WAS RESID'!K:K,'WAS RESID'!B:B)="Solid","kt","Mm3")</f>
        <v>kt</v>
      </c>
      <c r="G91" t="str">
        <f>IF(_xlfn.XLOOKUP(D91,'WAS RESID'!K:K,'WAS RESID'!B:B)="Solid","kta","Mm3a")</f>
        <v>kta</v>
      </c>
      <c r="H91" t="s">
        <v>388</v>
      </c>
      <c r="I91" t="str">
        <f>'WAS RESID'!H102</f>
        <v>WASSOLPLALDFDEC</v>
      </c>
    </row>
    <row r="92" spans="2:9">
      <c r="C92" t="s">
        <v>381</v>
      </c>
      <c r="D92" t="str">
        <f>'WAS RESID'!K104</f>
        <v>WASSOLFOOLDFDEC19</v>
      </c>
      <c r="E92" t="str">
        <f>_xlfn.XLOOKUP(D92,'WAS RESID'!K:K,'WAS RESID'!A:A)&amp;" "&amp;_xlfn.XLOOKUP(D92,'WAS RESID'!K:K,'WAS RESID'!B:B)&amp;" "&amp;_xlfn.XLOOKUP(D92,'WAS RESID'!K:K,'WAS RESID'!C:C)&amp;" "&amp;_xlfn.XLOOKUP(D92,'WAS RESID'!K:K,'WAS RESID'!E:E)&amp;" "&amp;_xlfn.XLOOKUP(D92,'WAS RESID'!K:K,'WAS RESID'!F:F)</f>
        <v>Waste Solid Food Landfill IN</v>
      </c>
      <c r="F92" t="str">
        <f>IF(_xlfn.XLOOKUP(D92,'WAS RESID'!K:K,'WAS RESID'!B:B)="Solid","kt","Mm3")</f>
        <v>kt</v>
      </c>
      <c r="G92" t="str">
        <f>IF(_xlfn.XLOOKUP(D92,'WAS RESID'!K:K,'WAS RESID'!B:B)="Solid","kta","Mm3a")</f>
        <v>kta</v>
      </c>
      <c r="H92" t="s">
        <v>388</v>
      </c>
      <c r="I92" t="str">
        <f>'WAS RESID'!H104</f>
        <v>WASSOLFOOLDFDEC</v>
      </c>
    </row>
    <row r="93" spans="2:9">
      <c r="C93" t="s">
        <v>381</v>
      </c>
      <c r="D93" t="str">
        <f>'WAS RESID'!K106</f>
        <v>WASSOLYARLDFDEC19</v>
      </c>
      <c r="E93" t="str">
        <f>_xlfn.XLOOKUP(D93,'WAS RESID'!K:K,'WAS RESID'!A:A)&amp;" "&amp;_xlfn.XLOOKUP(D93,'WAS RESID'!K:K,'WAS RESID'!B:B)&amp;" "&amp;_xlfn.XLOOKUP(D93,'WAS RESID'!K:K,'WAS RESID'!C:C)&amp;" "&amp;_xlfn.XLOOKUP(D93,'WAS RESID'!K:K,'WAS RESID'!E:E)&amp;" "&amp;_xlfn.XLOOKUP(D93,'WAS RESID'!K:K,'WAS RESID'!F:F)</f>
        <v>Waste Solid Yard trimmings Landfill IN</v>
      </c>
      <c r="F93" t="str">
        <f>IF(_xlfn.XLOOKUP(D93,'WAS RESID'!K:K,'WAS RESID'!B:B)="Solid","kt","Mm3")</f>
        <v>kt</v>
      </c>
      <c r="G93" t="str">
        <f>IF(_xlfn.XLOOKUP(D93,'WAS RESID'!K:K,'WAS RESID'!B:B)="Solid","kta","Mm3a")</f>
        <v>kta</v>
      </c>
      <c r="H93" t="s">
        <v>388</v>
      </c>
      <c r="I93" t="str">
        <f>'WAS RESID'!H106</f>
        <v>WASSOLYARLDFDEC</v>
      </c>
    </row>
    <row r="94" spans="2:9">
      <c r="C94" t="s">
        <v>381</v>
      </c>
      <c r="D94" t="str">
        <f>'WAS RESID'!K108</f>
        <v>WASSOLAOTLDFDEC19</v>
      </c>
      <c r="E94" t="str">
        <f>_xlfn.XLOOKUP(D94,'WAS RESID'!K:K,'WAS RESID'!A:A)&amp;" "&amp;_xlfn.XLOOKUP(D94,'WAS RESID'!K:K,'WAS RESID'!B:B)&amp;" "&amp;_xlfn.XLOOKUP(D94,'WAS RESID'!K:K,'WAS RESID'!C:C)&amp;" "&amp;_xlfn.XLOOKUP(D94,'WAS RESID'!K:K,'WAS RESID'!E:E)&amp;" "&amp;_xlfn.XLOOKUP(D94,'WAS RESID'!K:K,'WAS RESID'!F:F)</f>
        <v>Waste Solid All Other Landfill IN</v>
      </c>
      <c r="F94" t="str">
        <f>IF(_xlfn.XLOOKUP(D94,'WAS RESID'!K:K,'WAS RESID'!B:B)="Solid","kt","Mm3")</f>
        <v>kt</v>
      </c>
      <c r="G94" t="str">
        <f>IF(_xlfn.XLOOKUP(D94,'WAS RESID'!K:K,'WAS RESID'!B:B)="Solid","kta","Mm3a")</f>
        <v>kta</v>
      </c>
      <c r="H94" t="s">
        <v>388</v>
      </c>
      <c r="I94" t="str">
        <f>'WAS RESID'!H108</f>
        <v>WASSOLAOTLDFDEC</v>
      </c>
    </row>
    <row r="95" spans="2:9">
      <c r="C95" t="s">
        <v>381</v>
      </c>
      <c r="D95" t="str">
        <f>'WAS RESID'!K110</f>
        <v>WASSOLHISLDFDEC19</v>
      </c>
      <c r="E95" t="str">
        <f>_xlfn.XLOOKUP(D95,'WAS RESID'!K:K,'WAS RESID'!A:A)&amp;" "&amp;_xlfn.XLOOKUP(D95,'WAS RESID'!K:K,'WAS RESID'!B:B)&amp;" "&amp;_xlfn.XLOOKUP(D95,'WAS RESID'!K:K,'WAS RESID'!C:C)&amp;" "&amp;_xlfn.XLOOKUP(D95,'WAS RESID'!K:K,'WAS RESID'!E:E)&amp;" "&amp;_xlfn.XLOOKUP(D95,'WAS RESID'!K:K,'WAS RESID'!F:F)</f>
        <v>Waste Solid Historical Landfill IN</v>
      </c>
      <c r="F95" t="str">
        <f>IF(_xlfn.XLOOKUP(D95,'WAS RESID'!K:K,'WAS RESID'!B:B)="Solid","kt","Mm3")</f>
        <v>kt</v>
      </c>
      <c r="G95" t="str">
        <f>IF(_xlfn.XLOOKUP(D95,'WAS RESID'!K:K,'WAS RESID'!B:B)="Solid","kta","Mm3a")</f>
        <v>kta</v>
      </c>
      <c r="H95" t="s">
        <v>388</v>
      </c>
      <c r="I95" t="str">
        <f>'WAS RESID'!H110</f>
        <v>WASSOLHISLDFDEC</v>
      </c>
    </row>
    <row r="96" spans="2:9" ht="13.9" customHeight="1"/>
    <row r="164" ht="13.9"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59"/>
  <sheetViews>
    <sheetView topLeftCell="A11" workbookViewId="0">
      <selection activeCell="J37" sqref="J37"/>
    </sheetView>
  </sheetViews>
  <sheetFormatPr defaultRowHeight="15"/>
  <cols>
    <col min="2" max="2" width="12.5703125" customWidth="1"/>
    <col min="3" max="3" width="26.140625" bestFit="1" customWidth="1"/>
    <col min="4" max="4" width="84.140625" bestFit="1" customWidth="1"/>
    <col min="5" max="5" width="5.42578125" bestFit="1" customWidth="1"/>
    <col min="6" max="6" width="15.7109375" customWidth="1"/>
    <col min="7" max="7" width="8.5703125" bestFit="1" customWidth="1"/>
    <col min="8" max="8" width="10.140625" customWidth="1"/>
    <col min="9" max="9" width="8.140625" bestFit="1" customWidth="1"/>
  </cols>
  <sheetData>
    <row r="2" spans="2:9">
      <c r="B2" s="11" t="s">
        <v>389</v>
      </c>
    </row>
    <row r="3" spans="2:9">
      <c r="B3" s="12" t="s">
        <v>390</v>
      </c>
      <c r="C3" s="12" t="s">
        <v>391</v>
      </c>
      <c r="D3" s="12" t="s">
        <v>392</v>
      </c>
      <c r="E3" s="12" t="s">
        <v>76</v>
      </c>
      <c r="F3" s="12" t="s">
        <v>393</v>
      </c>
      <c r="G3" s="12" t="s">
        <v>394</v>
      </c>
      <c r="H3" s="12" t="s">
        <v>395</v>
      </c>
      <c r="I3" s="12" t="s">
        <v>396</v>
      </c>
    </row>
    <row r="4" spans="2:9" ht="40.9" customHeight="1" thickBot="1">
      <c r="B4" s="13" t="s">
        <v>397</v>
      </c>
      <c r="C4" s="13" t="s">
        <v>398</v>
      </c>
      <c r="D4" s="13" t="s">
        <v>399</v>
      </c>
      <c r="E4" s="13" t="s">
        <v>76</v>
      </c>
      <c r="F4" s="13" t="s">
        <v>400</v>
      </c>
      <c r="G4" s="13" t="s">
        <v>401</v>
      </c>
      <c r="H4" s="13" t="s">
        <v>402</v>
      </c>
      <c r="I4" s="13" t="s">
        <v>403</v>
      </c>
    </row>
    <row r="5" spans="2:9">
      <c r="B5" t="s">
        <v>404</v>
      </c>
      <c r="C5" t="str">
        <f>Demand!E55</f>
        <v>WASSOLPAPDMD</v>
      </c>
      <c r="D5" t="str">
        <f>Demand!A55&amp;" "&amp;Demand!B55&amp;" "&amp;Demand!C55&amp;" "&amp;Demand!D55&amp;" "&amp;"demand"</f>
        <v>Waste Solid Paper  demand</v>
      </c>
      <c r="E5" t="str">
        <f>IF(Demand!B55="Solid","kt","Mm3")</f>
        <v>kt</v>
      </c>
      <c r="F5" t="s">
        <v>405</v>
      </c>
    </row>
    <row r="6" spans="2:9">
      <c r="B6" t="s">
        <v>404</v>
      </c>
      <c r="C6" t="str">
        <f>Demand!E56</f>
        <v>WASSOLGLADMD</v>
      </c>
      <c r="D6" t="str">
        <f>Demand!A56&amp;" "&amp;Demand!B56&amp;" "&amp;Demand!C56&amp;" "&amp;Demand!D56&amp;" "&amp;"demand"</f>
        <v>Waste Solid Glass  demand</v>
      </c>
      <c r="E6" t="str">
        <f>IF(Demand!B56="Solid","kt","Mm3")</f>
        <v>kt</v>
      </c>
      <c r="F6" t="s">
        <v>405</v>
      </c>
    </row>
    <row r="7" spans="2:9">
      <c r="B7" t="s">
        <v>404</v>
      </c>
      <c r="C7" t="str">
        <f>Demand!E57</f>
        <v>WASSOLMETDMD</v>
      </c>
      <c r="D7" t="str">
        <f>Demand!A57&amp;" "&amp;Demand!B57&amp;" "&amp;Demand!C57&amp;" "&amp;Demand!D57&amp;" "&amp;"demand"</f>
        <v>Waste Solid Metals  demand</v>
      </c>
      <c r="E7" t="str">
        <f>IF(Demand!B57="Solid","kt","Mm3")</f>
        <v>kt</v>
      </c>
      <c r="F7" t="s">
        <v>405</v>
      </c>
    </row>
    <row r="8" spans="2:9">
      <c r="B8" t="s">
        <v>404</v>
      </c>
      <c r="C8" t="str">
        <f>Demand!E58</f>
        <v>WASSOLPLADMD</v>
      </c>
      <c r="D8" t="str">
        <f>Demand!A58&amp;" "&amp;Demand!B58&amp;" "&amp;Demand!C58&amp;" "&amp;Demand!D58&amp;" "&amp;"demand"</f>
        <v>Waste Solid Plastics  demand</v>
      </c>
      <c r="E8" t="str">
        <f>IF(Demand!B58="Solid","kt","Mm3")</f>
        <v>kt</v>
      </c>
      <c r="F8" t="s">
        <v>405</v>
      </c>
    </row>
    <row r="9" spans="2:9">
      <c r="B9" t="s">
        <v>404</v>
      </c>
      <c r="C9" t="str">
        <f>Demand!E59</f>
        <v>WASSOLFOODMD</v>
      </c>
      <c r="D9" t="str">
        <f>Demand!A59&amp;" "&amp;Demand!B59&amp;" "&amp;Demand!C59&amp;" "&amp;Demand!D59&amp;" "&amp;"demand"</f>
        <v>Waste Solid Food  demand</v>
      </c>
      <c r="E9" t="str">
        <f>IF(Demand!B59="Solid","kt","Mm3")</f>
        <v>kt</v>
      </c>
      <c r="F9" t="s">
        <v>405</v>
      </c>
    </row>
    <row r="10" spans="2:9">
      <c r="B10" t="s">
        <v>404</v>
      </c>
      <c r="C10" t="str">
        <f>Demand!E60</f>
        <v>WASSOLYARDMD</v>
      </c>
      <c r="D10" t="str">
        <f>Demand!A60&amp;" "&amp;Demand!B60&amp;" "&amp;Demand!C60&amp;" "&amp;Demand!D60&amp;" "&amp;"demand"</f>
        <v>Waste Solid Yard trimmings  demand</v>
      </c>
      <c r="E10" t="str">
        <f>IF(Demand!B60="Solid","kt","Mm3")</f>
        <v>kt</v>
      </c>
      <c r="F10" t="s">
        <v>405</v>
      </c>
    </row>
    <row r="11" spans="2:9">
      <c r="B11" t="s">
        <v>404</v>
      </c>
      <c r="C11" t="str">
        <f>Demand!E61</f>
        <v>WASSOLAOTDMD</v>
      </c>
      <c r="D11" t="str">
        <f>Demand!A61&amp;" "&amp;Demand!B61&amp;" "&amp;Demand!C61&amp;" "&amp;Demand!D61&amp;" "&amp;"demand"</f>
        <v>Waste Solid All other  demand</v>
      </c>
      <c r="E11" t="str">
        <f>IF(Demand!B61="Solid","kt","Mm3")</f>
        <v>kt</v>
      </c>
      <c r="F11" t="s">
        <v>405</v>
      </c>
    </row>
    <row r="12" spans="2:9">
      <c r="B12" t="s">
        <v>404</v>
      </c>
      <c r="C12" t="str">
        <f>Demand!E62</f>
        <v>WASSOLHISDMD</v>
      </c>
      <c r="D12" t="str">
        <f>Demand!A62&amp;" "&amp;Demand!B62&amp;" "&amp;Demand!C62&amp;" "&amp;Demand!D62&amp;" "&amp;"demand"</f>
        <v>Waste Solid Historical  demand</v>
      </c>
      <c r="E12" t="str">
        <f>IF(Demand!B62="Solid","kt","Mm3")</f>
        <v>kt</v>
      </c>
      <c r="F12" t="s">
        <v>405</v>
      </c>
    </row>
    <row r="13" spans="2:9">
      <c r="B13" t="s">
        <v>404</v>
      </c>
      <c r="C13" t="str">
        <f>Demand!E63</f>
        <v>WASWATFWADMD</v>
      </c>
      <c r="D13" t="str">
        <f>Demand!A63&amp;" "&amp;Demand!B63&amp;" "&amp;Demand!C63&amp;" "&amp;Demand!D63&amp;" "&amp;"demand"</f>
        <v>Waste Water Fresh Water  demand</v>
      </c>
      <c r="E13" t="str">
        <f>IF(Demand!B63="Solid","kt","Mm3")</f>
        <v>Mm3</v>
      </c>
      <c r="F13" t="s">
        <v>405</v>
      </c>
    </row>
    <row r="14" spans="2:9">
      <c r="B14" t="s">
        <v>404</v>
      </c>
      <c r="C14" t="str">
        <f>Demand!E64</f>
        <v>WASWATAPRDMD</v>
      </c>
      <c r="D14" t="str">
        <f>Demand!A64&amp;" "&amp;Demand!B64&amp;" "&amp;Demand!C64&amp;" "&amp;Demand!D64&amp;" "&amp;"demand"</f>
        <v>Waste Water Annual Precipitation  demand</v>
      </c>
      <c r="E14" t="str">
        <f>IF(Demand!B64="Solid","kt","Mm3")</f>
        <v>Mm3</v>
      </c>
      <c r="F14" t="s">
        <v>405</v>
      </c>
    </row>
    <row r="15" spans="2:9">
      <c r="B15" t="s">
        <v>404</v>
      </c>
      <c r="C15" t="str">
        <f>Demand!E66</f>
        <v>WASWATTRTDMD</v>
      </c>
      <c r="D15" t="str">
        <f>Demand!A66&amp;" "&amp;Demand!B66&amp;" "&amp;Demand!C66&amp;" "&amp;Demand!D66&amp;" "&amp;"demand"</f>
        <v>Waste Water Treatment  demand</v>
      </c>
      <c r="E15" t="str">
        <f>IF(Demand!B66="Solid","kt","Mm3")</f>
        <v>Mm3</v>
      </c>
      <c r="F15" t="s">
        <v>405</v>
      </c>
    </row>
    <row r="16" spans="2:9">
      <c r="B16" t="s">
        <v>307</v>
      </c>
    </row>
    <row r="17" spans="2:6">
      <c r="B17" t="s">
        <v>406</v>
      </c>
      <c r="C17" t="str">
        <f t="shared" ref="C17:C27" si="0">C5&amp;"TOT"</f>
        <v>WASSOLPAPDMDTOT</v>
      </c>
      <c r="D17" t="str">
        <f t="shared" ref="D17:D27" si="1">D5&amp;" total"</f>
        <v>Waste Solid Paper  demand total</v>
      </c>
      <c r="E17" t="str">
        <f>IF(Demand!B55="Solid","kt","Mm3")</f>
        <v>kt</v>
      </c>
      <c r="F17" t="s">
        <v>405</v>
      </c>
    </row>
    <row r="18" spans="2:6">
      <c r="B18" t="s">
        <v>406</v>
      </c>
      <c r="C18" t="str">
        <f t="shared" si="0"/>
        <v>WASSOLGLADMDTOT</v>
      </c>
      <c r="D18" t="str">
        <f t="shared" si="1"/>
        <v>Waste Solid Glass  demand total</v>
      </c>
      <c r="E18" t="str">
        <f>IF(Demand!B56="Solid","kt","Mm3")</f>
        <v>kt</v>
      </c>
      <c r="F18" t="s">
        <v>405</v>
      </c>
    </row>
    <row r="19" spans="2:6">
      <c r="B19" t="s">
        <v>406</v>
      </c>
      <c r="C19" t="str">
        <f t="shared" si="0"/>
        <v>WASSOLMETDMDTOT</v>
      </c>
      <c r="D19" t="str">
        <f t="shared" si="1"/>
        <v>Waste Solid Metals  demand total</v>
      </c>
      <c r="E19" t="str">
        <f>IF(Demand!B57="Solid","kt","Mm3")</f>
        <v>kt</v>
      </c>
      <c r="F19" t="s">
        <v>405</v>
      </c>
    </row>
    <row r="20" spans="2:6">
      <c r="B20" t="s">
        <v>406</v>
      </c>
      <c r="C20" t="str">
        <f t="shared" si="0"/>
        <v>WASSOLPLADMDTOT</v>
      </c>
      <c r="D20" t="str">
        <f t="shared" si="1"/>
        <v>Waste Solid Plastics  demand total</v>
      </c>
      <c r="E20" t="str">
        <f>IF(Demand!B58="Solid","kt","Mm3")</f>
        <v>kt</v>
      </c>
      <c r="F20" t="s">
        <v>405</v>
      </c>
    </row>
    <row r="21" spans="2:6">
      <c r="B21" t="s">
        <v>406</v>
      </c>
      <c r="C21" t="str">
        <f t="shared" si="0"/>
        <v>WASSOLFOODMDTOT</v>
      </c>
      <c r="D21" t="str">
        <f t="shared" si="1"/>
        <v>Waste Solid Food  demand total</v>
      </c>
      <c r="E21" t="str">
        <f>IF(Demand!B59="Solid","kt","Mm3")</f>
        <v>kt</v>
      </c>
      <c r="F21" t="s">
        <v>405</v>
      </c>
    </row>
    <row r="22" spans="2:6">
      <c r="B22" t="s">
        <v>406</v>
      </c>
      <c r="C22" t="str">
        <f t="shared" si="0"/>
        <v>WASSOLYARDMDTOT</v>
      </c>
      <c r="D22" t="str">
        <f t="shared" si="1"/>
        <v>Waste Solid Yard trimmings  demand total</v>
      </c>
      <c r="E22" t="str">
        <f>IF(Demand!B60="Solid","kt","Mm3")</f>
        <v>kt</v>
      </c>
      <c r="F22" t="s">
        <v>405</v>
      </c>
    </row>
    <row r="23" spans="2:6">
      <c r="B23" t="s">
        <v>406</v>
      </c>
      <c r="C23" t="str">
        <f t="shared" si="0"/>
        <v>WASSOLAOTDMDTOT</v>
      </c>
      <c r="D23" t="str">
        <f t="shared" si="1"/>
        <v>Waste Solid All other  demand total</v>
      </c>
      <c r="E23" t="str">
        <f>IF(Demand!B61="Solid","kt","Mm3")</f>
        <v>kt</v>
      </c>
      <c r="F23" t="s">
        <v>405</v>
      </c>
    </row>
    <row r="24" spans="2:6">
      <c r="B24" t="s">
        <v>406</v>
      </c>
      <c r="C24" t="str">
        <f t="shared" si="0"/>
        <v>WASSOLHISDMDTOT</v>
      </c>
      <c r="D24" t="str">
        <f t="shared" si="1"/>
        <v>Waste Solid Historical  demand total</v>
      </c>
      <c r="E24" t="str">
        <f>IF(Demand!B62="Solid","kt","Mm3")</f>
        <v>kt</v>
      </c>
      <c r="F24" t="s">
        <v>405</v>
      </c>
    </row>
    <row r="25" spans="2:6">
      <c r="B25" t="s">
        <v>406</v>
      </c>
      <c r="C25" t="str">
        <f t="shared" si="0"/>
        <v>WASWATFWADMDTOT</v>
      </c>
      <c r="D25" t="str">
        <f t="shared" si="1"/>
        <v>Waste Water Fresh Water  demand total</v>
      </c>
      <c r="E25" t="str">
        <f>IF(Demand!B63="Solid","kt","Mm3")</f>
        <v>Mm3</v>
      </c>
      <c r="F25" t="s">
        <v>405</v>
      </c>
    </row>
    <row r="26" spans="2:6">
      <c r="B26" t="s">
        <v>406</v>
      </c>
      <c r="C26" t="str">
        <f t="shared" si="0"/>
        <v>WASWATAPRDMDTOT</v>
      </c>
      <c r="D26" t="str">
        <f t="shared" si="1"/>
        <v>Waste Water Annual Precipitation  demand total</v>
      </c>
      <c r="E26" t="str">
        <f>IF(Demand!B64="Solid","kt","Mm3")</f>
        <v>Mm3</v>
      </c>
      <c r="F26" t="s">
        <v>405</v>
      </c>
    </row>
    <row r="27" spans="2:6">
      <c r="B27" t="s">
        <v>406</v>
      </c>
      <c r="C27" t="str">
        <f t="shared" si="0"/>
        <v>WASWATTRTDMDTOT</v>
      </c>
      <c r="D27" t="str">
        <f t="shared" si="1"/>
        <v>Waste Water Treatment  demand total</v>
      </c>
      <c r="E27" t="str">
        <f>IF(Demand!B66="Solid","kt","Mm3")</f>
        <v>Mm3</v>
      </c>
      <c r="F27" t="s">
        <v>405</v>
      </c>
    </row>
    <row r="28" spans="2:6">
      <c r="B28" t="s">
        <v>307</v>
      </c>
    </row>
    <row r="29" spans="2:6">
      <c r="B29" t="s">
        <v>406</v>
      </c>
      <c r="C29" t="str">
        <f t="shared" ref="C29:C36" si="2">C17&amp;"TOLDF"</f>
        <v>WASSOLPAPDMDTOTTOLDF</v>
      </c>
      <c r="D29" t="str">
        <f t="shared" ref="D29:D36" si="3">D17&amp;" to landfill"</f>
        <v>Waste Solid Paper  demand total to landfill</v>
      </c>
      <c r="E29" t="str">
        <f t="shared" ref="E29:E36" si="4">E17</f>
        <v>kt</v>
      </c>
      <c r="F29" t="s">
        <v>405</v>
      </c>
    </row>
    <row r="30" spans="2:6">
      <c r="B30" t="s">
        <v>406</v>
      </c>
      <c r="C30" t="str">
        <f t="shared" si="2"/>
        <v>WASSOLGLADMDTOTTOLDF</v>
      </c>
      <c r="D30" t="str">
        <f t="shared" si="3"/>
        <v>Waste Solid Glass  demand total to landfill</v>
      </c>
      <c r="E30" t="str">
        <f t="shared" si="4"/>
        <v>kt</v>
      </c>
      <c r="F30" t="s">
        <v>405</v>
      </c>
    </row>
    <row r="31" spans="2:6">
      <c r="B31" t="s">
        <v>406</v>
      </c>
      <c r="C31" t="str">
        <f t="shared" si="2"/>
        <v>WASSOLMETDMDTOTTOLDF</v>
      </c>
      <c r="D31" t="str">
        <f t="shared" si="3"/>
        <v>Waste Solid Metals  demand total to landfill</v>
      </c>
      <c r="E31" t="str">
        <f t="shared" si="4"/>
        <v>kt</v>
      </c>
      <c r="F31" t="s">
        <v>405</v>
      </c>
    </row>
    <row r="32" spans="2:6">
      <c r="B32" t="s">
        <v>406</v>
      </c>
      <c r="C32" t="str">
        <f t="shared" si="2"/>
        <v>WASSOLPLADMDTOTTOLDF</v>
      </c>
      <c r="D32" t="str">
        <f t="shared" si="3"/>
        <v>Waste Solid Plastics  demand total to landfill</v>
      </c>
      <c r="E32" t="str">
        <f t="shared" si="4"/>
        <v>kt</v>
      </c>
      <c r="F32" t="s">
        <v>405</v>
      </c>
    </row>
    <row r="33" spans="2:6">
      <c r="B33" t="s">
        <v>406</v>
      </c>
      <c r="C33" t="str">
        <f t="shared" si="2"/>
        <v>WASSOLFOODMDTOTTOLDF</v>
      </c>
      <c r="D33" t="str">
        <f t="shared" si="3"/>
        <v>Waste Solid Food  demand total to landfill</v>
      </c>
      <c r="E33" t="str">
        <f t="shared" si="4"/>
        <v>kt</v>
      </c>
      <c r="F33" t="s">
        <v>405</v>
      </c>
    </row>
    <row r="34" spans="2:6">
      <c r="B34" t="s">
        <v>406</v>
      </c>
      <c r="C34" t="str">
        <f t="shared" si="2"/>
        <v>WASSOLYARDMDTOTTOLDF</v>
      </c>
      <c r="D34" t="str">
        <f t="shared" si="3"/>
        <v>Waste Solid Yard trimmings  demand total to landfill</v>
      </c>
      <c r="E34" t="str">
        <f t="shared" si="4"/>
        <v>kt</v>
      </c>
      <c r="F34" t="s">
        <v>405</v>
      </c>
    </row>
    <row r="35" spans="2:6">
      <c r="B35" t="s">
        <v>406</v>
      </c>
      <c r="C35" t="str">
        <f t="shared" si="2"/>
        <v>WASSOLAOTDMDTOTTOLDF</v>
      </c>
      <c r="D35" t="str">
        <f t="shared" si="3"/>
        <v>Waste Solid All other  demand total to landfill</v>
      </c>
      <c r="E35" t="str">
        <f t="shared" si="4"/>
        <v>kt</v>
      </c>
      <c r="F35" t="s">
        <v>405</v>
      </c>
    </row>
    <row r="36" spans="2:6">
      <c r="B36" t="s">
        <v>406</v>
      </c>
      <c r="C36" t="str">
        <f t="shared" si="2"/>
        <v>WASSOLHISDMDTOTTOLDF</v>
      </c>
      <c r="D36" t="str">
        <f t="shared" si="3"/>
        <v>Waste Solid Historical  demand total to landfill</v>
      </c>
      <c r="E36" t="str">
        <f t="shared" si="4"/>
        <v>kt</v>
      </c>
      <c r="F36" t="s">
        <v>405</v>
      </c>
    </row>
    <row r="37" spans="2:6">
      <c r="B37" t="s">
        <v>307</v>
      </c>
    </row>
    <row r="38" spans="2:6">
      <c r="B38" t="s">
        <v>407</v>
      </c>
      <c r="C38" t="str">
        <f t="array" ref="C38:C41">_xlfn._xlws.FILTER(_xlfn.UNIQUE('WAS RESID'!H114:H145),_xlfn.UNIQUE('WAS RESID'!H114:H145)&lt;&gt;0,"")</f>
        <v>WASSOLADGBGA</v>
      </c>
      <c r="D38" t="str">
        <f>_xlfn.XLOOKUP(C38,'WAS RESID'!$H$114:$H$145,'WAS RESID'!$A$114:$A$145)&amp;" "&amp;_xlfn.XLOOKUP(C38,'WAS RESID'!$H$114:$H$145,'WAS RESID'!$B$114:$B$145)&amp;" "&amp;_xlfn.XLOOKUP(C38,'WAS RESID'!$H$114:$H$145,'WAS RESID'!$C$114:$C$145)&amp;" "&amp;_xlfn.XLOOKUP(C38,'WAS RESID'!$H$114:$H$145,'WAS RESID'!$G$114:$G$145)</f>
        <v>Waste Solid Anaerobic Digestion Biogas</v>
      </c>
      <c r="E38" t="s">
        <v>131</v>
      </c>
      <c r="F38" t="s">
        <v>405</v>
      </c>
    </row>
    <row r="39" spans="2:6">
      <c r="B39" t="s">
        <v>407</v>
      </c>
      <c r="C39" t="str">
        <v>WASSOLLDFBGA</v>
      </c>
      <c r="D39" t="str">
        <f>_xlfn.XLOOKUP(C39,'WAS RESID'!$H$114:$H$145,'WAS RESID'!$A$114:$A$145)&amp;" "&amp;_xlfn.XLOOKUP(C39,'WAS RESID'!$H$114:$H$145,'WAS RESID'!$B$114:$B$145)&amp;" "&amp;_xlfn.XLOOKUP(C39,'WAS RESID'!$H$114:$H$145,'WAS RESID'!$C$114:$C$145)&amp;" "&amp;_xlfn.XLOOKUP(C39,'WAS RESID'!$H$114:$H$145,'WAS RESID'!$G$114:$G$145)</f>
        <v>Waste Solid Landfill Biogas</v>
      </c>
      <c r="E39" t="s">
        <v>131</v>
      </c>
      <c r="F39" t="s">
        <v>405</v>
      </c>
    </row>
    <row r="40" spans="2:6">
      <c r="B40" t="s">
        <v>407</v>
      </c>
      <c r="C40" t="str">
        <v>WASWATWADBGA</v>
      </c>
      <c r="D40" t="str">
        <f>_xlfn.XLOOKUP(C40,'WAS RESID'!$H$114:$H$145,'WAS RESID'!$A$114:$A$145)&amp;" "&amp;_xlfn.XLOOKUP(C40,'WAS RESID'!$H$114:$H$145,'WAS RESID'!$B$114:$B$145)&amp;" "&amp;_xlfn.XLOOKUP(C40,'WAS RESID'!$H$114:$H$145,'WAS RESID'!$C$114:$C$145)&amp;" "&amp;_xlfn.XLOOKUP(C40,'WAS RESID'!$H$114:$H$145,'WAS RESID'!$G$114:$G$145)</f>
        <v>Waste Water Treatment Plant without De-Nitrification and with Anaerobic Digesters Biogas</v>
      </c>
      <c r="E40" t="s">
        <v>131</v>
      </c>
      <c r="F40" t="s">
        <v>405</v>
      </c>
    </row>
    <row r="41" spans="2:6">
      <c r="B41" t="s">
        <v>407</v>
      </c>
      <c r="C41" t="str">
        <v>WASWATWANBGA</v>
      </c>
      <c r="D41" t="str">
        <f>_xlfn.XLOOKUP(C41,'WAS RESID'!$H$114:$H$145,'WAS RESID'!$A$114:$A$145)&amp;" "&amp;_xlfn.XLOOKUP(C41,'WAS RESID'!$H$114:$H$145,'WAS RESID'!$B$114:$B$145)&amp;" "&amp;_xlfn.XLOOKUP(C41,'WAS RESID'!$H$114:$H$145,'WAS RESID'!$C$114:$C$145)&amp;" "&amp;_xlfn.XLOOKUP(C41,'WAS RESID'!$H$114:$H$145,'WAS RESID'!$G$114:$G$145)</f>
        <v>Waste Water Treatment Plant with De-Nitrification and with Anaerobic Digesters Biogas</v>
      </c>
      <c r="E41" t="s">
        <v>131</v>
      </c>
      <c r="F41" t="s">
        <v>405</v>
      </c>
    </row>
    <row r="42" spans="2:6">
      <c r="B42" t="s">
        <v>307</v>
      </c>
    </row>
    <row r="43" spans="2:6">
      <c r="B43" t="s">
        <v>406</v>
      </c>
      <c r="C43" t="str">
        <f>'WAS RESID'!H96</f>
        <v>WASSOLPAPLDFDEC</v>
      </c>
      <c r="D43" t="str">
        <f>'WAS RESID'!A96&amp;" "&amp;'WAS RESID'!B96&amp;" "&amp;'WAS RESID'!C96&amp;" "&amp;'WAS RESID'!E96&amp;" "&amp;'WAS RESID'!F96</f>
        <v>Waste Solid Paper Landfill IN</v>
      </c>
      <c r="E43" t="str">
        <f>IF(Demand!B55="Solid","kt","Mm3")</f>
        <v>kt</v>
      </c>
      <c r="F43" t="s">
        <v>405</v>
      </c>
    </row>
    <row r="44" spans="2:6">
      <c r="B44" t="s">
        <v>406</v>
      </c>
      <c r="C44" t="str">
        <f>'WAS RESID'!H98</f>
        <v>WASSOLGLALDFDEC</v>
      </c>
      <c r="D44" t="str">
        <f>'WAS RESID'!A98&amp;" "&amp;'WAS RESID'!B98&amp;" "&amp;'WAS RESID'!C98&amp;" "&amp;'WAS RESID'!E98&amp;" "&amp;'WAS RESID'!F98</f>
        <v>Waste Solid Glass Landfill IN</v>
      </c>
      <c r="E44" t="str">
        <f>IF(Demand!B56="Solid","kt","Mm3")</f>
        <v>kt</v>
      </c>
      <c r="F44" t="s">
        <v>405</v>
      </c>
    </row>
    <row r="45" spans="2:6">
      <c r="B45" t="s">
        <v>406</v>
      </c>
      <c r="C45" t="str">
        <f>'WAS RESID'!H100</f>
        <v>WASSOLMETLDFDEC</v>
      </c>
      <c r="D45" t="str">
        <f>'WAS RESID'!A100&amp;" "&amp;'WAS RESID'!B100&amp;" "&amp;'WAS RESID'!C100&amp;" "&amp;'WAS RESID'!E100&amp;" "&amp;'WAS RESID'!F100</f>
        <v>Waste Solid Metals Landfill IN</v>
      </c>
      <c r="E45" t="str">
        <f>IF(Demand!B57="Solid","kt","Mm3")</f>
        <v>kt</v>
      </c>
      <c r="F45" t="s">
        <v>405</v>
      </c>
    </row>
    <row r="46" spans="2:6">
      <c r="B46" t="s">
        <v>406</v>
      </c>
      <c r="C46" t="str">
        <f>'WAS RESID'!H102</f>
        <v>WASSOLPLALDFDEC</v>
      </c>
      <c r="D46" t="str">
        <f>'WAS RESID'!A102&amp;" "&amp;'WAS RESID'!B102&amp;" "&amp;'WAS RESID'!C102&amp;" "&amp;'WAS RESID'!E102&amp;" "&amp;'WAS RESID'!F102</f>
        <v>Waste Solid Plastics Landfill IN</v>
      </c>
      <c r="E46" t="str">
        <f>IF(Demand!B58="Solid","kt","Mm3")</f>
        <v>kt</v>
      </c>
      <c r="F46" t="s">
        <v>405</v>
      </c>
    </row>
    <row r="47" spans="2:6">
      <c r="B47" t="s">
        <v>406</v>
      </c>
      <c r="C47" t="str">
        <f>'WAS RESID'!H104</f>
        <v>WASSOLFOOLDFDEC</v>
      </c>
      <c r="D47" t="str">
        <f>'WAS RESID'!A104&amp;" "&amp;'WAS RESID'!B104&amp;" "&amp;'WAS RESID'!C104&amp;" "&amp;'WAS RESID'!E104&amp;" "&amp;'WAS RESID'!F104</f>
        <v>Waste Solid Food Landfill IN</v>
      </c>
      <c r="E47" t="str">
        <f>IF(Demand!B59="Solid","kt","Mm3")</f>
        <v>kt</v>
      </c>
      <c r="F47" t="s">
        <v>405</v>
      </c>
    </row>
    <row r="48" spans="2:6">
      <c r="B48" t="s">
        <v>406</v>
      </c>
      <c r="C48" t="str">
        <f>'WAS RESID'!H106</f>
        <v>WASSOLYARLDFDEC</v>
      </c>
      <c r="D48" t="str">
        <f>'WAS RESID'!A106&amp;" "&amp;'WAS RESID'!B106&amp;" "&amp;'WAS RESID'!C106&amp;" "&amp;'WAS RESID'!E106&amp;" "&amp;'WAS RESID'!F106</f>
        <v>Waste Solid Yard trimmings Landfill IN</v>
      </c>
      <c r="E48" t="str">
        <f>IF(Demand!B60="Solid","kt","Mm3")</f>
        <v>kt</v>
      </c>
      <c r="F48" t="s">
        <v>405</v>
      </c>
    </row>
    <row r="49" spans="2:6">
      <c r="B49" t="s">
        <v>406</v>
      </c>
      <c r="C49" t="str">
        <f>'WAS RESID'!H108</f>
        <v>WASSOLAOTLDFDEC</v>
      </c>
      <c r="D49" t="str">
        <f>'WAS RESID'!A108&amp;" "&amp;'WAS RESID'!B108&amp;" "&amp;'WAS RESID'!C108&amp;" "&amp;'WAS RESID'!E108&amp;" "&amp;'WAS RESID'!F108</f>
        <v>Waste Solid All Other Landfill IN</v>
      </c>
      <c r="E49" t="str">
        <f>IF(Demand!B61="Solid","kt","Mm3")</f>
        <v>kt</v>
      </c>
      <c r="F49" t="s">
        <v>405</v>
      </c>
    </row>
    <row r="50" spans="2:6">
      <c r="B50" t="s">
        <v>406</v>
      </c>
      <c r="C50" t="str">
        <f>'WAS RESID'!H110</f>
        <v>WASSOLHISLDFDEC</v>
      </c>
      <c r="D50" t="str">
        <f>'WAS RESID'!A110&amp;" "&amp;'WAS RESID'!B110&amp;" "&amp;'WAS RESID'!C110&amp;" "&amp;'WAS RESID'!E110&amp;" "&amp;'WAS RESID'!F110</f>
        <v>Waste Solid Historical Landfill IN</v>
      </c>
      <c r="E50" t="str">
        <f>IF(Demand!B62="Solid","kt","Mm3")</f>
        <v>kt</v>
      </c>
      <c r="F50" t="s">
        <v>405</v>
      </c>
    </row>
    <row r="51" spans="2:6">
      <c r="B51" t="s">
        <v>307</v>
      </c>
    </row>
    <row r="52" spans="2:6">
      <c r="B52" t="s">
        <v>407</v>
      </c>
      <c r="C52" t="s">
        <v>408</v>
      </c>
      <c r="D52" t="s">
        <v>409</v>
      </c>
      <c r="E52" t="s">
        <v>131</v>
      </c>
    </row>
    <row r="53" spans="2:6">
      <c r="B53" t="s">
        <v>307</v>
      </c>
    </row>
    <row r="54" spans="2:6">
      <c r="B54" t="s">
        <v>410</v>
      </c>
      <c r="C54" t="s">
        <v>411</v>
      </c>
      <c r="D54" t="s">
        <v>412</v>
      </c>
      <c r="E54" t="s">
        <v>413</v>
      </c>
    </row>
    <row r="55" spans="2:6">
      <c r="C55" t="s">
        <v>414</v>
      </c>
      <c r="D55" t="s">
        <v>415</v>
      </c>
      <c r="E55" t="s">
        <v>413</v>
      </c>
    </row>
    <row r="56" spans="2:6">
      <c r="C56" t="s">
        <v>416</v>
      </c>
      <c r="D56" t="s">
        <v>417</v>
      </c>
      <c r="E56" t="s">
        <v>413</v>
      </c>
    </row>
    <row r="57" spans="2:6">
      <c r="C57" t="s">
        <v>418</v>
      </c>
      <c r="D57" t="s">
        <v>419</v>
      </c>
      <c r="E57" t="s">
        <v>413</v>
      </c>
    </row>
    <row r="58" spans="2:6">
      <c r="B58" t="s">
        <v>407</v>
      </c>
      <c r="C58" t="s">
        <v>420</v>
      </c>
      <c r="D58" t="s">
        <v>420</v>
      </c>
      <c r="E58" t="s">
        <v>131</v>
      </c>
    </row>
    <row r="59" spans="2:6">
      <c r="C59" t="s">
        <v>421</v>
      </c>
      <c r="D59" t="s">
        <v>421</v>
      </c>
      <c r="E59" t="s">
        <v>131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L26"/>
  <sheetViews>
    <sheetView workbookViewId="0">
      <selection activeCell="H2" sqref="H2:L12"/>
    </sheetView>
  </sheetViews>
  <sheetFormatPr defaultRowHeight="15"/>
  <cols>
    <col min="2" max="2" width="19.140625" bestFit="1" customWidth="1"/>
    <col min="3" max="3" width="22.42578125" customWidth="1"/>
    <col min="8" max="8" width="20.7109375" bestFit="1" customWidth="1"/>
    <col min="9" max="9" width="20.28515625" customWidth="1"/>
    <col min="10" max="10" width="26.140625" bestFit="1" customWidth="1"/>
    <col min="11" max="11" width="8.7109375" bestFit="1" customWidth="1"/>
    <col min="12" max="12" width="5.140625" bestFit="1" customWidth="1"/>
  </cols>
  <sheetData>
    <row r="2" spans="2:12">
      <c r="C2" s="11" t="s">
        <v>422</v>
      </c>
      <c r="D2" s="11"/>
      <c r="J2" s="11" t="s">
        <v>422</v>
      </c>
      <c r="K2" s="11"/>
    </row>
    <row r="3" spans="2:12">
      <c r="B3" s="317" t="s">
        <v>365</v>
      </c>
      <c r="C3" s="317" t="s">
        <v>423</v>
      </c>
      <c r="D3" s="317" t="s">
        <v>424</v>
      </c>
      <c r="E3" s="317" t="s">
        <v>381</v>
      </c>
      <c r="H3" s="317" t="s">
        <v>365</v>
      </c>
      <c r="I3" s="317" t="s">
        <v>425</v>
      </c>
      <c r="J3" s="317" t="s">
        <v>423</v>
      </c>
      <c r="K3" s="317" t="s">
        <v>424</v>
      </c>
      <c r="L3" s="317" t="s">
        <v>381</v>
      </c>
    </row>
    <row r="4" spans="2:12" ht="15" customHeight="1" thickBot="1">
      <c r="B4" s="13" t="s">
        <v>307</v>
      </c>
      <c r="C4" s="13"/>
      <c r="D4" s="13"/>
      <c r="E4" s="13"/>
      <c r="H4" s="13" t="s">
        <v>307</v>
      </c>
      <c r="I4" s="13"/>
      <c r="J4" s="13"/>
      <c r="K4" s="13"/>
      <c r="L4" s="13"/>
    </row>
    <row r="5" spans="2:12">
      <c r="B5" t="str">
        <f>Def_Tech!D5</f>
        <v>WASSOLPAPINV</v>
      </c>
      <c r="C5" t="str">
        <f>Def_Comm!C5</f>
        <v>WASSOLPAPDMD</v>
      </c>
      <c r="D5" t="s">
        <v>426</v>
      </c>
      <c r="E5" s="3">
        <v>1</v>
      </c>
      <c r="H5" t="str">
        <f>Def_Tech!D17</f>
        <v>WASSOLPAPTOLDF</v>
      </c>
      <c r="I5" t="str">
        <f t="shared" ref="I5:I12" si="0">C16</f>
        <v>WASSOLPAPDMDTOT</v>
      </c>
      <c r="J5" t="str">
        <f>Def_Comm!C29</f>
        <v>WASSOLPAPDMDTOTTOLDF</v>
      </c>
      <c r="K5" t="s">
        <v>426</v>
      </c>
      <c r="L5" s="3">
        <v>1</v>
      </c>
    </row>
    <row r="6" spans="2:12">
      <c r="B6" t="str">
        <f>Def_Tech!D6</f>
        <v>WASSOLGLAINV</v>
      </c>
      <c r="C6" t="str">
        <f>Def_Comm!C6</f>
        <v>WASSOLGLADMD</v>
      </c>
      <c r="D6" t="s">
        <v>426</v>
      </c>
      <c r="E6" s="3">
        <v>1</v>
      </c>
      <c r="H6" t="str">
        <f>Def_Tech!D18</f>
        <v>WASSOLGLATOLDF</v>
      </c>
      <c r="I6" t="str">
        <f t="shared" si="0"/>
        <v>WASSOLGLADMDTOT</v>
      </c>
      <c r="J6" t="str">
        <f>Def_Comm!C30</f>
        <v>WASSOLGLADMDTOTTOLDF</v>
      </c>
      <c r="K6" t="s">
        <v>426</v>
      </c>
      <c r="L6" s="3">
        <v>1</v>
      </c>
    </row>
    <row r="7" spans="2:12">
      <c r="B7" t="str">
        <f>Def_Tech!D7</f>
        <v>WASSOLMETINV</v>
      </c>
      <c r="C7" t="str">
        <f>Def_Comm!C7</f>
        <v>WASSOLMETDMD</v>
      </c>
      <c r="D7" t="s">
        <v>426</v>
      </c>
      <c r="E7" s="3">
        <v>1</v>
      </c>
      <c r="H7" t="str">
        <f>Def_Tech!D19</f>
        <v>WASSOLMETTOLDF</v>
      </c>
      <c r="I7" t="str">
        <f t="shared" si="0"/>
        <v>WASSOLMETDMDTOT</v>
      </c>
      <c r="J7" t="str">
        <f>Def_Comm!C31</f>
        <v>WASSOLMETDMDTOTTOLDF</v>
      </c>
      <c r="K7" t="s">
        <v>426</v>
      </c>
      <c r="L7" s="3">
        <v>1</v>
      </c>
    </row>
    <row r="8" spans="2:12">
      <c r="B8" t="str">
        <f>Def_Tech!D8</f>
        <v>WASSOLPLAINV</v>
      </c>
      <c r="C8" t="str">
        <f>Def_Comm!C8</f>
        <v>WASSOLPLADMD</v>
      </c>
      <c r="D8" t="s">
        <v>426</v>
      </c>
      <c r="E8" s="3">
        <v>1</v>
      </c>
      <c r="H8" t="str">
        <f>Def_Tech!D20</f>
        <v>WASSOLPLATOLDF</v>
      </c>
      <c r="I8" t="str">
        <f t="shared" si="0"/>
        <v>WASSOLPLADMDTOT</v>
      </c>
      <c r="J8" t="str">
        <f>Def_Comm!C32</f>
        <v>WASSOLPLADMDTOTTOLDF</v>
      </c>
      <c r="K8" t="s">
        <v>426</v>
      </c>
      <c r="L8" s="3">
        <v>1</v>
      </c>
    </row>
    <row r="9" spans="2:12">
      <c r="B9" t="str">
        <f>Def_Tech!D9</f>
        <v>WASSOLFOOINV</v>
      </c>
      <c r="C9" t="str">
        <f>Def_Comm!C9</f>
        <v>WASSOLFOODMD</v>
      </c>
      <c r="D9" t="s">
        <v>426</v>
      </c>
      <c r="E9" s="3">
        <v>1</v>
      </c>
      <c r="H9" t="str">
        <f>Def_Tech!D21</f>
        <v>WASSOLFOOTOLDF</v>
      </c>
      <c r="I9" t="str">
        <f t="shared" si="0"/>
        <v>WASSOLFOODMDTOT</v>
      </c>
      <c r="J9" t="str">
        <f>Def_Comm!C33</f>
        <v>WASSOLFOODMDTOTTOLDF</v>
      </c>
      <c r="K9" t="s">
        <v>426</v>
      </c>
      <c r="L9" s="3">
        <v>1</v>
      </c>
    </row>
    <row r="10" spans="2:12">
      <c r="B10" t="str">
        <f>Def_Tech!D10</f>
        <v>WASSOLYARINV</v>
      </c>
      <c r="C10" t="str">
        <f>Def_Comm!C10</f>
        <v>WASSOLYARDMD</v>
      </c>
      <c r="D10" t="s">
        <v>426</v>
      </c>
      <c r="E10" s="3">
        <v>1</v>
      </c>
      <c r="H10" t="str">
        <f>Def_Tech!D22</f>
        <v>WASSOLYARTOLDF</v>
      </c>
      <c r="I10" t="str">
        <f t="shared" si="0"/>
        <v>WASSOLYARDMDTOT</v>
      </c>
      <c r="J10" t="str">
        <f>Def_Comm!C34</f>
        <v>WASSOLYARDMDTOTTOLDF</v>
      </c>
      <c r="K10" t="s">
        <v>426</v>
      </c>
      <c r="L10" s="3">
        <v>1</v>
      </c>
    </row>
    <row r="11" spans="2:12">
      <c r="B11" t="str">
        <f>Def_Tech!D11</f>
        <v>WASSOLAOTINV</v>
      </c>
      <c r="C11" t="str">
        <f>Def_Comm!C11</f>
        <v>WASSOLAOTDMD</v>
      </c>
      <c r="D11" t="s">
        <v>426</v>
      </c>
      <c r="E11" s="3">
        <v>1</v>
      </c>
      <c r="H11" t="str">
        <f>Def_Tech!D23</f>
        <v>WASSOLAOTTOLDF</v>
      </c>
      <c r="I11" t="str">
        <f t="shared" si="0"/>
        <v>WASSOLAOTDMDTOT</v>
      </c>
      <c r="J11" t="str">
        <f>Def_Comm!C35</f>
        <v>WASSOLAOTDMDTOTTOLDF</v>
      </c>
      <c r="K11" t="s">
        <v>426</v>
      </c>
      <c r="L11" s="3">
        <v>1</v>
      </c>
    </row>
    <row r="12" spans="2:12">
      <c r="B12" t="str">
        <f>Def_Tech!D12</f>
        <v>WASSOLHISINV</v>
      </c>
      <c r="C12" t="str">
        <f>Def_Comm!C12</f>
        <v>WASSOLHISDMD</v>
      </c>
      <c r="D12" t="s">
        <v>426</v>
      </c>
      <c r="E12" s="3">
        <v>1</v>
      </c>
      <c r="H12" s="319" t="str">
        <f>Def_Tech!D24</f>
        <v>WASSOLHISTOLDF</v>
      </c>
      <c r="I12" s="319" t="str">
        <f t="shared" si="0"/>
        <v>WASSOLHISDMDTOT</v>
      </c>
      <c r="J12" s="319" t="str">
        <f>Def_Comm!C36</f>
        <v>WASSOLHISDMDTOTTOLDF</v>
      </c>
      <c r="K12" s="319" t="s">
        <v>426</v>
      </c>
      <c r="L12" s="320">
        <v>1</v>
      </c>
    </row>
    <row r="13" spans="2:12">
      <c r="B13" t="str">
        <f>Def_Tech!D13</f>
        <v>WASWATFWAINV</v>
      </c>
      <c r="C13" t="str">
        <f>Def_Comm!C13</f>
        <v>WASWATFWADMD</v>
      </c>
      <c r="D13" t="s">
        <v>426</v>
      </c>
      <c r="E13" s="3">
        <v>1</v>
      </c>
      <c r="H13" t="str">
        <f t="shared" ref="H13:J20" si="1">H5</f>
        <v>WASSOLPAPTOLDF</v>
      </c>
      <c r="I13" t="str">
        <f t="shared" si="1"/>
        <v>WASSOLPAPDMDTOT</v>
      </c>
      <c r="J13" t="str">
        <f t="shared" si="1"/>
        <v>WASSOLPAPDMDTOTTOLDF</v>
      </c>
      <c r="K13" t="s">
        <v>427</v>
      </c>
      <c r="L13" s="3">
        <v>1</v>
      </c>
    </row>
    <row r="14" spans="2:12">
      <c r="B14" t="str">
        <f>Def_Tech!D14</f>
        <v>WASWATAPRINV</v>
      </c>
      <c r="C14" t="str">
        <f>Def_Comm!C14</f>
        <v>WASWATAPRDMD</v>
      </c>
      <c r="D14" t="s">
        <v>426</v>
      </c>
      <c r="E14" s="3">
        <v>1</v>
      </c>
      <c r="H14" t="str">
        <f t="shared" si="1"/>
        <v>WASSOLGLATOLDF</v>
      </c>
      <c r="I14" t="str">
        <f t="shared" si="1"/>
        <v>WASSOLGLADMDTOT</v>
      </c>
      <c r="J14" t="str">
        <f t="shared" si="1"/>
        <v>WASSOLGLADMDTOTTOLDF</v>
      </c>
      <c r="K14" t="s">
        <v>427</v>
      </c>
      <c r="L14" s="3">
        <v>1</v>
      </c>
    </row>
    <row r="15" spans="2:12">
      <c r="B15" s="319" t="str">
        <f>Def_Tech!D15</f>
        <v>WASWATTRTINV</v>
      </c>
      <c r="C15" s="319" t="str">
        <f>Def_Comm!C15</f>
        <v>WASWATTRTDMD</v>
      </c>
      <c r="D15" s="319" t="s">
        <v>426</v>
      </c>
      <c r="E15" s="320">
        <v>1</v>
      </c>
      <c r="H15" t="str">
        <f t="shared" si="1"/>
        <v>WASSOLMETTOLDF</v>
      </c>
      <c r="I15" t="str">
        <f t="shared" si="1"/>
        <v>WASSOLMETDMDTOT</v>
      </c>
      <c r="J15" t="str">
        <f t="shared" si="1"/>
        <v>WASSOLMETDMDTOTTOLDF</v>
      </c>
      <c r="K15" t="s">
        <v>427</v>
      </c>
      <c r="L15" s="3">
        <v>1</v>
      </c>
    </row>
    <row r="16" spans="2:12">
      <c r="B16" t="str">
        <f>Def_Tech!D5</f>
        <v>WASSOLPAPINV</v>
      </c>
      <c r="C16" t="str">
        <f>Def_Comm!C17</f>
        <v>WASSOLPAPDMDTOT</v>
      </c>
      <c r="D16" t="s">
        <v>426</v>
      </c>
      <c r="E16" s="3">
        <v>1</v>
      </c>
      <c r="H16" t="str">
        <f t="shared" si="1"/>
        <v>WASSOLPLATOLDF</v>
      </c>
      <c r="I16" t="str">
        <f t="shared" si="1"/>
        <v>WASSOLPLADMDTOT</v>
      </c>
      <c r="J16" t="str">
        <f t="shared" si="1"/>
        <v>WASSOLPLADMDTOTTOLDF</v>
      </c>
      <c r="K16" t="s">
        <v>427</v>
      </c>
      <c r="L16" s="3">
        <v>1</v>
      </c>
    </row>
    <row r="17" spans="2:12">
      <c r="B17" t="str">
        <f>Def_Tech!D6</f>
        <v>WASSOLGLAINV</v>
      </c>
      <c r="C17" t="str">
        <f>Def_Comm!C18</f>
        <v>WASSOLGLADMDTOT</v>
      </c>
      <c r="D17" t="s">
        <v>426</v>
      </c>
      <c r="E17" s="3">
        <v>1</v>
      </c>
      <c r="H17" t="str">
        <f t="shared" si="1"/>
        <v>WASSOLFOOTOLDF</v>
      </c>
      <c r="I17" t="str">
        <f t="shared" si="1"/>
        <v>WASSOLFOODMDTOT</v>
      </c>
      <c r="J17" t="str">
        <f t="shared" si="1"/>
        <v>WASSOLFOODMDTOTTOLDF</v>
      </c>
      <c r="K17" t="s">
        <v>427</v>
      </c>
      <c r="L17" s="3">
        <v>1</v>
      </c>
    </row>
    <row r="18" spans="2:12">
      <c r="B18" t="str">
        <f>Def_Tech!D7</f>
        <v>WASSOLMETINV</v>
      </c>
      <c r="C18" t="str">
        <f>Def_Comm!C19</f>
        <v>WASSOLMETDMDTOT</v>
      </c>
      <c r="D18" t="s">
        <v>426</v>
      </c>
      <c r="E18" s="3">
        <v>1</v>
      </c>
      <c r="H18" t="str">
        <f t="shared" si="1"/>
        <v>WASSOLYARTOLDF</v>
      </c>
      <c r="I18" t="str">
        <f t="shared" si="1"/>
        <v>WASSOLYARDMDTOT</v>
      </c>
      <c r="J18" t="str">
        <f t="shared" si="1"/>
        <v>WASSOLYARDMDTOTTOLDF</v>
      </c>
      <c r="K18" t="s">
        <v>427</v>
      </c>
      <c r="L18" s="3">
        <v>1</v>
      </c>
    </row>
    <row r="19" spans="2:12">
      <c r="B19" t="str">
        <f>Def_Tech!D8</f>
        <v>WASSOLPLAINV</v>
      </c>
      <c r="C19" t="str">
        <f>Def_Comm!C20</f>
        <v>WASSOLPLADMDTOT</v>
      </c>
      <c r="D19" t="s">
        <v>426</v>
      </c>
      <c r="E19" s="3">
        <v>1</v>
      </c>
      <c r="H19" t="str">
        <f t="shared" si="1"/>
        <v>WASSOLAOTTOLDF</v>
      </c>
      <c r="I19" t="str">
        <f t="shared" si="1"/>
        <v>WASSOLAOTDMDTOT</v>
      </c>
      <c r="J19" t="str">
        <f t="shared" si="1"/>
        <v>WASSOLAOTDMDTOTTOLDF</v>
      </c>
      <c r="K19" t="s">
        <v>427</v>
      </c>
      <c r="L19" s="3">
        <v>1</v>
      </c>
    </row>
    <row r="20" spans="2:12">
      <c r="B20" t="str">
        <f>Def_Tech!D9</f>
        <v>WASSOLFOOINV</v>
      </c>
      <c r="C20" t="str">
        <f>Def_Comm!C21</f>
        <v>WASSOLFOODMDTOT</v>
      </c>
      <c r="D20" t="s">
        <v>426</v>
      </c>
      <c r="E20" s="3">
        <v>1</v>
      </c>
      <c r="H20" s="319" t="str">
        <f t="shared" si="1"/>
        <v>WASSOLHISTOLDF</v>
      </c>
      <c r="I20" s="319" t="str">
        <f t="shared" si="1"/>
        <v>WASSOLHISDMDTOT</v>
      </c>
      <c r="J20" s="319" t="str">
        <f t="shared" si="1"/>
        <v>WASSOLHISDMDTOTTOLDF</v>
      </c>
      <c r="K20" s="319" t="s">
        <v>427</v>
      </c>
      <c r="L20" s="320">
        <v>1</v>
      </c>
    </row>
    <row r="21" spans="2:12">
      <c r="B21" t="str">
        <f>Def_Tech!D10</f>
        <v>WASSOLYARINV</v>
      </c>
      <c r="C21" t="str">
        <f>Def_Comm!C22</f>
        <v>WASSOLYARDMDTOT</v>
      </c>
      <c r="D21" t="s">
        <v>426</v>
      </c>
      <c r="E21" s="3">
        <v>1</v>
      </c>
      <c r="L21" s="3"/>
    </row>
    <row r="22" spans="2:12">
      <c r="B22" t="str">
        <f>Def_Tech!D11</f>
        <v>WASSOLAOTINV</v>
      </c>
      <c r="C22" t="str">
        <f>Def_Comm!C23</f>
        <v>WASSOLAOTDMDTOT</v>
      </c>
      <c r="D22" t="s">
        <v>426</v>
      </c>
      <c r="E22" s="3">
        <v>1</v>
      </c>
      <c r="L22" s="3"/>
    </row>
    <row r="23" spans="2:12">
      <c r="B23" t="str">
        <f>Def_Tech!D12</f>
        <v>WASSOLHISINV</v>
      </c>
      <c r="C23" t="str">
        <f>Def_Comm!C24</f>
        <v>WASSOLHISDMDTOT</v>
      </c>
      <c r="D23" t="s">
        <v>426</v>
      </c>
      <c r="E23" s="3">
        <v>1</v>
      </c>
    </row>
    <row r="24" spans="2:12">
      <c r="B24" t="str">
        <f>Def_Tech!D13</f>
        <v>WASWATFWAINV</v>
      </c>
      <c r="C24" t="str">
        <f>Def_Comm!C25</f>
        <v>WASWATFWADMDTOT</v>
      </c>
      <c r="D24" t="s">
        <v>426</v>
      </c>
      <c r="E24" s="3">
        <v>0</v>
      </c>
    </row>
    <row r="25" spans="2:12">
      <c r="B25" t="str">
        <f>Def_Tech!D14</f>
        <v>WASWATAPRINV</v>
      </c>
      <c r="C25" t="str">
        <f>Def_Comm!C26</f>
        <v>WASWATAPRDMDTOT</v>
      </c>
      <c r="D25" t="s">
        <v>426</v>
      </c>
      <c r="E25" s="3">
        <v>0</v>
      </c>
    </row>
    <row r="26" spans="2:12">
      <c r="B26" s="319" t="str">
        <f>Def_Tech!D15</f>
        <v>WASWATTRTINV</v>
      </c>
      <c r="C26" s="319" t="str">
        <f>Def_Comm!C27</f>
        <v>WASWATTRTDMDTOT</v>
      </c>
      <c r="D26" s="319" t="s">
        <v>426</v>
      </c>
      <c r="E26" s="320">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B369"/>
  <sheetViews>
    <sheetView zoomScale="85" zoomScaleNormal="85" workbookViewId="0">
      <selection activeCell="AB28" sqref="AB28"/>
    </sheetView>
  </sheetViews>
  <sheetFormatPr defaultRowHeight="15"/>
  <cols>
    <col min="2" max="2" width="23" bestFit="1" customWidth="1"/>
    <col min="3" max="3" width="25.7109375" bestFit="1" customWidth="1"/>
    <col min="4" max="4" width="14.7109375" customWidth="1"/>
    <col min="5" max="5" width="8.28515625" bestFit="1" customWidth="1"/>
    <col min="7" max="7" width="17.28515625" bestFit="1" customWidth="1"/>
    <col min="8" max="8" width="19.140625" bestFit="1" customWidth="1"/>
    <col min="12" max="12" width="23" bestFit="1" customWidth="1"/>
    <col min="13" max="13" width="21.7109375" bestFit="1" customWidth="1"/>
    <col min="14" max="14" width="14.7109375" customWidth="1"/>
    <col min="15" max="15" width="8.7109375" bestFit="1" customWidth="1"/>
    <col min="17" max="17" width="23" bestFit="1" customWidth="1"/>
    <col min="18" max="18" width="21.7109375" bestFit="1" customWidth="1"/>
    <col min="19" max="19" width="14.7109375" customWidth="1"/>
    <col min="20" max="20" width="8.28515625" bestFit="1" customWidth="1"/>
    <col min="23" max="23" width="25.140625" bestFit="1" customWidth="1"/>
    <col min="24" max="24" width="13.42578125" bestFit="1" customWidth="1"/>
    <col min="25" max="25" width="10.7109375" bestFit="1" customWidth="1"/>
    <col min="26" max="26" width="12.140625" bestFit="1" customWidth="1"/>
    <col min="27" max="27" width="10.7109375" customWidth="1"/>
    <col min="28" max="28" width="16.7109375" bestFit="1" customWidth="1"/>
  </cols>
  <sheetData>
    <row r="1" spans="2:28">
      <c r="AB1">
        <f>'City characteristics'!C20</f>
        <v>2019</v>
      </c>
    </row>
    <row r="2" spans="2:28">
      <c r="AB2" t="s">
        <v>428</v>
      </c>
    </row>
    <row r="4" spans="2:28">
      <c r="C4" s="11" t="s">
        <v>422</v>
      </c>
      <c r="D4" s="11"/>
      <c r="H4" s="11" t="s">
        <v>422</v>
      </c>
      <c r="I4" s="11"/>
      <c r="M4" s="11" t="s">
        <v>422</v>
      </c>
      <c r="N4" s="11"/>
      <c r="R4" s="11" t="s">
        <v>422</v>
      </c>
      <c r="S4" s="11"/>
      <c r="X4" s="11" t="s">
        <v>422</v>
      </c>
    </row>
    <row r="5" spans="2:28">
      <c r="B5" s="317" t="s">
        <v>365</v>
      </c>
      <c r="C5" s="317" t="s">
        <v>425</v>
      </c>
      <c r="D5" s="317" t="s">
        <v>424</v>
      </c>
      <c r="E5" s="317" t="s">
        <v>381</v>
      </c>
      <c r="G5" s="317" t="s">
        <v>365</v>
      </c>
      <c r="H5" s="317" t="s">
        <v>423</v>
      </c>
      <c r="I5" s="317" t="s">
        <v>424</v>
      </c>
      <c r="J5" s="317" t="s">
        <v>381</v>
      </c>
      <c r="L5" s="317" t="s">
        <v>365</v>
      </c>
      <c r="M5" s="317" t="s">
        <v>425</v>
      </c>
      <c r="N5" s="317" t="s">
        <v>424</v>
      </c>
      <c r="O5" s="317" t="s">
        <v>381</v>
      </c>
      <c r="Q5" s="317" t="s">
        <v>365</v>
      </c>
      <c r="R5" s="317" t="s">
        <v>423</v>
      </c>
      <c r="S5" s="317" t="s">
        <v>424</v>
      </c>
      <c r="T5" s="317" t="s">
        <v>381</v>
      </c>
      <c r="V5" s="317" t="s">
        <v>364</v>
      </c>
      <c r="W5" s="317" t="s">
        <v>365</v>
      </c>
      <c r="X5" s="317" t="s">
        <v>429</v>
      </c>
      <c r="Y5" s="317" t="s">
        <v>430</v>
      </c>
      <c r="Z5" s="317" t="s">
        <v>431</v>
      </c>
      <c r="AA5" s="317" t="s">
        <v>432</v>
      </c>
      <c r="AB5" s="317" t="str">
        <f>AB2&amp;"~"&amp;AB1</f>
        <v>PRC_RESID~2019</v>
      </c>
    </row>
    <row r="6" spans="2:28" ht="21.6" customHeight="1" thickBot="1">
      <c r="B6" s="13" t="s">
        <v>307</v>
      </c>
      <c r="C6" s="13"/>
      <c r="D6" s="13"/>
      <c r="E6" s="13"/>
      <c r="G6" s="13" t="s">
        <v>307</v>
      </c>
      <c r="H6" s="13"/>
      <c r="I6" s="13"/>
      <c r="J6" s="13"/>
      <c r="L6" s="13" t="s">
        <v>307</v>
      </c>
      <c r="M6" s="13"/>
      <c r="N6" s="13"/>
      <c r="O6" s="13"/>
      <c r="Q6" s="13" t="s">
        <v>307</v>
      </c>
      <c r="R6" s="13"/>
      <c r="S6" s="13"/>
      <c r="T6" s="13"/>
      <c r="V6" s="13" t="s">
        <v>307</v>
      </c>
      <c r="W6" s="13" t="s">
        <v>307</v>
      </c>
      <c r="X6" s="13" t="s">
        <v>433</v>
      </c>
      <c r="Y6" s="13" t="s">
        <v>434</v>
      </c>
      <c r="Z6" s="13" t="s">
        <v>435</v>
      </c>
      <c r="AA6" s="13" t="s">
        <v>436</v>
      </c>
      <c r="AB6" s="13" t="s">
        <v>437</v>
      </c>
    </row>
    <row r="7" spans="2:28">
      <c r="B7" t="str">
        <f>Def_Tech!D26</f>
        <v>WASSOLPAPCMP19</v>
      </c>
      <c r="C7" t="str">
        <f>Def_Tech!I26</f>
        <v>WASSOLPAPDMDTOT</v>
      </c>
      <c r="D7" t="s">
        <v>427</v>
      </c>
      <c r="E7" s="3">
        <v>1</v>
      </c>
      <c r="G7" t="str">
        <f>Def_Tech!D47</f>
        <v>WASSOLPAPLDF19</v>
      </c>
      <c r="H7" t="str">
        <f>Def_Comm!C43</f>
        <v>WASSOLPAPLDFDEC</v>
      </c>
      <c r="I7" t="s">
        <v>426</v>
      </c>
      <c r="J7">
        <v>1</v>
      </c>
      <c r="L7" t="str">
        <f t="array" ref="L7:L65">_xlfn._xlws.FILTER('WAS RESID'!K2:K93,'WAS RESID'!F2:F93="IN","")</f>
        <v>WASSOLPAPCMP19</v>
      </c>
      <c r="M7" t="str">
        <f t="array" ref="M7:M65">_xlfn._xlws.FILTER('WAS RESID'!H2:H93,'WAS RESID'!F2:F93="IN","")</f>
        <v>WASELC</v>
      </c>
      <c r="N7" t="s">
        <v>427</v>
      </c>
      <c r="O7" s="327">
        <f t="array" ref="O7:O65">_xlfn._xlws.FILTER('WAS RESID'!S2:S93,'WAS RESID'!F2:F93="IN","")</f>
        <v>3.7198607613593698E-3</v>
      </c>
      <c r="Q7" s="15" t="str">
        <f t="array" ref="Q7:Q39">_xlfn._xlws.FILTER('WAS RESID'!K2:K93,'WAS RESID'!F2:F93="OUT","")</f>
        <v>WASSOLPAPADG19</v>
      </c>
      <c r="R7" t="str">
        <f t="array" ref="R7:R39">_xlfn._xlws.FILTER('WAS RESID'!I2:I93,'WAS RESID'!F2:F93="OUT","")</f>
        <v>WASSOLADGBGA</v>
      </c>
      <c r="S7" t="s">
        <v>426</v>
      </c>
      <c r="T7" s="3">
        <f t="array" ref="T7:T39">_xlfn._xlws.FILTER('WAS RESID'!S2:S93,'WAS RESID'!F2:F93="OUT","")</f>
        <v>2.5551929263706841</v>
      </c>
      <c r="V7" t="str">
        <f>Def_Tech!C26</f>
        <v>CITY</v>
      </c>
      <c r="W7" t="str">
        <f>Def_Tech!D26</f>
        <v>WASSOLPAPCMP19</v>
      </c>
      <c r="X7">
        <f>_xlfn.XLOOKUP(W7,'WAS RESID'!K:K,'WAS RESID'!R:R)</f>
        <v>1</v>
      </c>
      <c r="Y7" s="3">
        <f>_xlfn.XLOOKUP(W7,'WAS RESID'!K:K,'WAS RESID'!Q:Q)</f>
        <v>0.9</v>
      </c>
      <c r="Z7" s="3">
        <v>20</v>
      </c>
      <c r="AA7" s="3">
        <v>1</v>
      </c>
      <c r="AB7" s="2">
        <f>_xlfn.XLOOKUP(W7,'WAS RESID'!K:K,'WAS RESID'!P:P)</f>
        <v>0</v>
      </c>
    </row>
    <row r="8" spans="2:28">
      <c r="B8" t="str">
        <f>Def_Tech!D27</f>
        <v>WASSOLGLACMP19</v>
      </c>
      <c r="C8" t="str">
        <f>Def_Tech!I27</f>
        <v>WASSOLGLADMDTOT</v>
      </c>
      <c r="D8" t="s">
        <v>427</v>
      </c>
      <c r="E8" s="3">
        <v>1</v>
      </c>
      <c r="G8" t="str">
        <f>Def_Tech!D48</f>
        <v>WASSOLGLALDF19</v>
      </c>
      <c r="H8" t="str">
        <f>Def_Comm!C44</f>
        <v>WASSOLGLALDFDEC</v>
      </c>
      <c r="I8" t="s">
        <v>426</v>
      </c>
      <c r="J8">
        <v>1</v>
      </c>
      <c r="L8" t="str">
        <v>WASSOLPAPCMP19</v>
      </c>
      <c r="M8" t="str">
        <v>WASDSL</v>
      </c>
      <c r="N8" t="s">
        <v>427</v>
      </c>
      <c r="O8" s="327">
        <v>5.0435778823074593E-3</v>
      </c>
      <c r="Q8" t="str">
        <v>WASSOLGLAADG19</v>
      </c>
      <c r="R8" t="str">
        <v>WASSOLADGBGA</v>
      </c>
      <c r="S8" t="s">
        <v>426</v>
      </c>
      <c r="T8" s="3">
        <v>0</v>
      </c>
      <c r="V8" t="str">
        <f>Def_Tech!C27</f>
        <v>CITY</v>
      </c>
      <c r="W8" t="str">
        <f>Def_Tech!D27</f>
        <v>WASSOLGLACMP19</v>
      </c>
      <c r="X8">
        <f>_xlfn.XLOOKUP(W8,'WAS RESID'!K:K,'WAS RESID'!R:R)</f>
        <v>1</v>
      </c>
      <c r="Y8" s="3">
        <f>_xlfn.XLOOKUP(W8,'WAS RESID'!K:K,'WAS RESID'!Q:Q)</f>
        <v>0.9</v>
      </c>
      <c r="Z8" s="3">
        <v>20</v>
      </c>
      <c r="AA8" s="3">
        <v>1</v>
      </c>
      <c r="AB8" s="2">
        <f>_xlfn.XLOOKUP(W8,'WAS RESID'!K:K,'WAS RESID'!P:P)</f>
        <v>0</v>
      </c>
    </row>
    <row r="9" spans="2:28">
      <c r="B9" t="str">
        <f>Def_Tech!D28</f>
        <v>WASSOLMETCMP19</v>
      </c>
      <c r="C9" t="str">
        <f>Def_Tech!I28</f>
        <v>WASSOLMETDMDTOT</v>
      </c>
      <c r="D9" t="s">
        <v>427</v>
      </c>
      <c r="E9" s="3">
        <v>1</v>
      </c>
      <c r="G9" t="str">
        <f>Def_Tech!D49</f>
        <v>WASSOLMETLDF19</v>
      </c>
      <c r="H9" t="str">
        <f>Def_Comm!C45</f>
        <v>WASSOLMETLDFDEC</v>
      </c>
      <c r="I9" t="s">
        <v>426</v>
      </c>
      <c r="J9">
        <v>1</v>
      </c>
      <c r="L9" t="str">
        <v>WASSOLGLACMP19</v>
      </c>
      <c r="M9" t="str">
        <v>WASELC</v>
      </c>
      <c r="N9" t="s">
        <v>427</v>
      </c>
      <c r="O9" s="3">
        <v>3.292923351575841E-3</v>
      </c>
      <c r="Q9" t="str">
        <v>WASSOLMETADG19</v>
      </c>
      <c r="R9" t="str">
        <v>WASSOLADGBGA</v>
      </c>
      <c r="S9" t="s">
        <v>426</v>
      </c>
      <c r="T9" s="3">
        <v>0</v>
      </c>
      <c r="V9" t="str">
        <f>Def_Tech!C28</f>
        <v>CITY</v>
      </c>
      <c r="W9" t="str">
        <f>Def_Tech!D28</f>
        <v>WASSOLMETCMP19</v>
      </c>
      <c r="X9">
        <f>_xlfn.XLOOKUP(W9,'WAS RESID'!K:K,'WAS RESID'!R:R)</f>
        <v>1</v>
      </c>
      <c r="Y9" s="3">
        <f>_xlfn.XLOOKUP(W9,'WAS RESID'!K:K,'WAS RESID'!Q:Q)</f>
        <v>0.9</v>
      </c>
      <c r="Z9" s="3">
        <v>20</v>
      </c>
      <c r="AA9" s="3">
        <v>1</v>
      </c>
      <c r="AB9" s="2">
        <f>_xlfn.XLOOKUP(W9,'WAS RESID'!K:K,'WAS RESID'!P:P)</f>
        <v>0</v>
      </c>
    </row>
    <row r="10" spans="2:28">
      <c r="B10" t="str">
        <f>Def_Tech!D29</f>
        <v>WASSOLPLACMP19</v>
      </c>
      <c r="C10" t="str">
        <f>Def_Tech!I29</f>
        <v>WASSOLPLADMDTOT</v>
      </c>
      <c r="D10" t="s">
        <v>427</v>
      </c>
      <c r="E10" s="3">
        <v>1</v>
      </c>
      <c r="G10" t="str">
        <f>Def_Tech!D50</f>
        <v>WASSOLPLALDF19</v>
      </c>
      <c r="H10" t="str">
        <f>Def_Comm!C46</f>
        <v>WASSOLPLALDFDEC</v>
      </c>
      <c r="I10" t="s">
        <v>426</v>
      </c>
      <c r="J10">
        <v>1</v>
      </c>
      <c r="L10" t="str">
        <v>WASSOLGLACMP19</v>
      </c>
      <c r="M10" t="str">
        <v>WASDSL</v>
      </c>
      <c r="N10" t="s">
        <v>427</v>
      </c>
      <c r="O10" s="3">
        <v>3.8630599470705199E-3</v>
      </c>
      <c r="Q10" t="str">
        <v>WASSOLPLAADG19</v>
      </c>
      <c r="R10" t="str">
        <v>WASSOLADGBGA</v>
      </c>
      <c r="S10" t="s">
        <v>426</v>
      </c>
      <c r="T10" s="3">
        <v>0</v>
      </c>
      <c r="V10" t="str">
        <f>Def_Tech!C29</f>
        <v>CITY</v>
      </c>
      <c r="W10" t="str">
        <f>Def_Tech!D29</f>
        <v>WASSOLPLACMP19</v>
      </c>
      <c r="X10">
        <f>_xlfn.XLOOKUP(W10,'WAS RESID'!K:K,'WAS RESID'!R:R)</f>
        <v>1</v>
      </c>
      <c r="Y10" s="3">
        <f>_xlfn.XLOOKUP(W10,'WAS RESID'!K:K,'WAS RESID'!Q:Q)</f>
        <v>0.9</v>
      </c>
      <c r="Z10" s="3">
        <v>20</v>
      </c>
      <c r="AA10" s="3">
        <v>1</v>
      </c>
      <c r="AB10" s="2">
        <f>_xlfn.XLOOKUP(W10,'WAS RESID'!K:K,'WAS RESID'!P:P)</f>
        <v>0</v>
      </c>
    </row>
    <row r="11" spans="2:28">
      <c r="B11" t="str">
        <f>Def_Tech!D30</f>
        <v>WASSOLFOOCMP19</v>
      </c>
      <c r="C11" t="str">
        <f>Def_Tech!I30</f>
        <v>WASSOLFOODMDTOT</v>
      </c>
      <c r="D11" t="s">
        <v>427</v>
      </c>
      <c r="E11" s="3">
        <v>1</v>
      </c>
      <c r="G11" t="str">
        <f>Def_Tech!D51</f>
        <v>WASSOLFOOLDF19</v>
      </c>
      <c r="H11" t="str">
        <f>Def_Comm!C47</f>
        <v>WASSOLFOOLDFDEC</v>
      </c>
      <c r="I11" t="s">
        <v>426</v>
      </c>
      <c r="J11">
        <v>1</v>
      </c>
      <c r="L11" t="str">
        <v>WASSOLMETCMP19</v>
      </c>
      <c r="M11" t="str">
        <v>WASELC</v>
      </c>
      <c r="N11" t="s">
        <v>427</v>
      </c>
      <c r="O11" s="3">
        <v>3.2855945273980751E-3</v>
      </c>
      <c r="Q11" t="str">
        <v>WASSOLFOOADG19</v>
      </c>
      <c r="R11" t="str">
        <v>WASSOLADGBGA</v>
      </c>
      <c r="S11" t="s">
        <v>426</v>
      </c>
      <c r="T11" s="3">
        <v>4.2239471420249988</v>
      </c>
      <c r="V11" t="str">
        <f>Def_Tech!C30</f>
        <v>CITY</v>
      </c>
      <c r="W11" t="str">
        <f>Def_Tech!D30</f>
        <v>WASSOLFOOCMP19</v>
      </c>
      <c r="X11">
        <f>_xlfn.XLOOKUP(W11,'WAS RESID'!K:K,'WAS RESID'!R:R)</f>
        <v>1</v>
      </c>
      <c r="Y11" s="3">
        <f>_xlfn.XLOOKUP(W11,'WAS RESID'!K:K,'WAS RESID'!Q:Q)</f>
        <v>0.9</v>
      </c>
      <c r="Z11" s="3">
        <v>20</v>
      </c>
      <c r="AA11" s="3">
        <v>1</v>
      </c>
      <c r="AB11" s="2">
        <f>_xlfn.XLOOKUP(W11,'WAS RESID'!K:K,'WAS RESID'!P:P)</f>
        <v>105.0023048364861</v>
      </c>
    </row>
    <row r="12" spans="2:28">
      <c r="B12" t="str">
        <f>Def_Tech!D31</f>
        <v>WASSOLYARCMP19</v>
      </c>
      <c r="C12" t="str">
        <f>Def_Tech!I31</f>
        <v>WASSOLYARDMDTOT</v>
      </c>
      <c r="D12" t="s">
        <v>427</v>
      </c>
      <c r="E12" s="3">
        <v>1</v>
      </c>
      <c r="G12" t="str">
        <f>Def_Tech!D52</f>
        <v>WASSOLYARLDF19</v>
      </c>
      <c r="H12" t="str">
        <f>Def_Comm!C48</f>
        <v>WASSOLYARLDFDEC</v>
      </c>
      <c r="I12" t="s">
        <v>426</v>
      </c>
      <c r="J12">
        <v>1</v>
      </c>
      <c r="L12" t="str">
        <v>WASSOLMETCMP19</v>
      </c>
      <c r="M12" t="str">
        <v>WASDSL</v>
      </c>
      <c r="N12" t="s">
        <v>427</v>
      </c>
      <c r="O12" s="3">
        <v>3.860658590715015E-3</v>
      </c>
      <c r="Q12" t="str">
        <v>WASSOLYARADG19</v>
      </c>
      <c r="R12" t="str">
        <v>WASSOLADGBGA</v>
      </c>
      <c r="S12" t="s">
        <v>426</v>
      </c>
      <c r="T12" s="3">
        <v>1.20896419189</v>
      </c>
      <c r="V12" t="str">
        <f>Def_Tech!C31</f>
        <v>CITY</v>
      </c>
      <c r="W12" t="str">
        <f>Def_Tech!D31</f>
        <v>WASSOLYARCMP19</v>
      </c>
      <c r="X12">
        <f>_xlfn.XLOOKUP(W12,'WAS RESID'!K:K,'WAS RESID'!R:R)</f>
        <v>1</v>
      </c>
      <c r="Y12" s="3">
        <f>_xlfn.XLOOKUP(W12,'WAS RESID'!K:K,'WAS RESID'!Q:Q)</f>
        <v>0.9</v>
      </c>
      <c r="Z12" s="3">
        <v>20</v>
      </c>
      <c r="AA12" s="3">
        <v>1</v>
      </c>
      <c r="AB12" s="2">
        <f>_xlfn.XLOOKUP(W12,'WAS RESID'!K:K,'WAS RESID'!P:P)</f>
        <v>31.83685954423613</v>
      </c>
    </row>
    <row r="13" spans="2:28">
      <c r="B13" s="319" t="str">
        <f>Def_Tech!D32</f>
        <v>WASSOLAOTCMP19</v>
      </c>
      <c r="C13" s="319" t="str">
        <f>Def_Tech!I32</f>
        <v>WASSOLAOTDMDTOT</v>
      </c>
      <c r="D13" s="319" t="s">
        <v>427</v>
      </c>
      <c r="E13" s="320">
        <v>1</v>
      </c>
      <c r="G13" t="str">
        <f>Def_Tech!D53</f>
        <v>WASSOLAOTLDF19</v>
      </c>
      <c r="H13" t="str">
        <f>Def_Comm!C49</f>
        <v>WASSOLAOTLDFDEC</v>
      </c>
      <c r="I13" t="s">
        <v>426</v>
      </c>
      <c r="J13">
        <v>1</v>
      </c>
      <c r="L13" t="str">
        <v>WASSOLPLACMP19</v>
      </c>
      <c r="M13" t="str">
        <v>WASELC</v>
      </c>
      <c r="N13" t="s">
        <v>427</v>
      </c>
      <c r="O13" s="3">
        <v>3.257440742916251E-3</v>
      </c>
      <c r="Q13" s="319" t="str">
        <v>WASSOLAOTADG19</v>
      </c>
      <c r="R13" s="319" t="str">
        <v>WASSOLADGBGA</v>
      </c>
      <c r="S13" s="319" t="s">
        <v>426</v>
      </c>
      <c r="T13" s="320">
        <v>0.19326305009753111</v>
      </c>
      <c r="V13" s="319" t="str">
        <f>Def_Tech!C32</f>
        <v>CITY</v>
      </c>
      <c r="W13" s="319" t="str">
        <f>Def_Tech!D32</f>
        <v>WASSOLAOTCMP19</v>
      </c>
      <c r="X13" s="319">
        <f>_xlfn.XLOOKUP(W13,'WAS RESID'!K:K,'WAS RESID'!R:R)</f>
        <v>1</v>
      </c>
      <c r="Y13" s="320">
        <f>_xlfn.XLOOKUP(W13,'WAS RESID'!K:K,'WAS RESID'!Q:Q)</f>
        <v>0.9</v>
      </c>
      <c r="Z13" s="320">
        <v>20</v>
      </c>
      <c r="AA13" s="320">
        <v>1</v>
      </c>
      <c r="AB13" s="321">
        <f>_xlfn.XLOOKUP(W13,'WAS RESID'!K:K,'WAS RESID'!P:P)</f>
        <v>0</v>
      </c>
    </row>
    <row r="14" spans="2:28">
      <c r="B14" t="str">
        <f>Def_Tech!D33</f>
        <v>WASSOLPAPADG19</v>
      </c>
      <c r="C14" t="str">
        <f>Def_Tech!I33</f>
        <v>WASSOLPAPDMDTOT</v>
      </c>
      <c r="D14" t="s">
        <v>427</v>
      </c>
      <c r="E14" s="3">
        <v>1</v>
      </c>
      <c r="G14" s="319" t="str">
        <f>Def_Tech!D61</f>
        <v>WASSOLHISLDF19</v>
      </c>
      <c r="H14" s="319" t="str">
        <f>Def_Comm!C50</f>
        <v>WASSOLHISLDFDEC</v>
      </c>
      <c r="I14" s="319" t="s">
        <v>426</v>
      </c>
      <c r="J14" s="319">
        <v>1</v>
      </c>
      <c r="L14" t="str">
        <v>WASSOLPLACMP19</v>
      </c>
      <c r="M14" t="str">
        <v>WASDSL</v>
      </c>
      <c r="N14" t="s">
        <v>427</v>
      </c>
      <c r="O14" s="3">
        <v>4.1616591952464716E-3</v>
      </c>
      <c r="Q14" t="str">
        <v>WASSOLPAPINC19</v>
      </c>
      <c r="R14" t="str">
        <v>CELC</v>
      </c>
      <c r="S14" t="s">
        <v>426</v>
      </c>
      <c r="T14" s="3">
        <v>2.709039977776607</v>
      </c>
      <c r="V14" t="str">
        <f>Def_Tech!C33</f>
        <v>CITY</v>
      </c>
      <c r="W14" t="str">
        <f>Def_Tech!D33</f>
        <v>WASSOLPAPADG19</v>
      </c>
      <c r="X14">
        <f>_xlfn.XLOOKUP(W14,'WAS RESID'!K:K,'WAS RESID'!R:R)</f>
        <v>1</v>
      </c>
      <c r="Y14" s="3">
        <f>_xlfn.XLOOKUP(W14,'WAS RESID'!K:K,'WAS RESID'!Q:Q)</f>
        <v>0.9</v>
      </c>
      <c r="Z14" s="3">
        <v>20</v>
      </c>
      <c r="AA14" s="3">
        <v>1</v>
      </c>
      <c r="AB14" s="2">
        <f>_xlfn.XLOOKUP(W14,'WAS RESID'!K:K,'WAS RESID'!P:P)</f>
        <v>0</v>
      </c>
    </row>
    <row r="15" spans="2:28">
      <c r="B15" t="str">
        <f>Def_Tech!D34</f>
        <v>WASSOLGLAADG19</v>
      </c>
      <c r="C15" t="str">
        <f>Def_Tech!I34</f>
        <v>WASSOLGLADMDTOT</v>
      </c>
      <c r="D15" t="s">
        <v>427</v>
      </c>
      <c r="E15" s="3">
        <v>1</v>
      </c>
      <c r="L15" t="str">
        <v>WASSOLFOOCMP19</v>
      </c>
      <c r="M15" t="str">
        <v>WASELC</v>
      </c>
      <c r="N15" t="s">
        <v>427</v>
      </c>
      <c r="O15" s="3">
        <v>4.8784913135344254E-3</v>
      </c>
      <c r="Q15" t="str">
        <v>WASSOLPAPINC19</v>
      </c>
      <c r="R15" t="str">
        <v>STM</v>
      </c>
      <c r="S15" t="s">
        <v>426</v>
      </c>
      <c r="T15" s="3">
        <v>5.418079955553214</v>
      </c>
      <c r="V15" t="str">
        <f>Def_Tech!C34</f>
        <v>CITY</v>
      </c>
      <c r="W15" t="str">
        <f>Def_Tech!D34</f>
        <v>WASSOLGLAADG19</v>
      </c>
      <c r="X15">
        <f>_xlfn.XLOOKUP(W15,'WAS RESID'!K:K,'WAS RESID'!R:R)</f>
        <v>1</v>
      </c>
      <c r="Y15" s="3">
        <f>_xlfn.XLOOKUP(W15,'WAS RESID'!K:K,'WAS RESID'!Q:Q)</f>
        <v>0.9</v>
      </c>
      <c r="Z15" s="3">
        <v>20</v>
      </c>
      <c r="AA15" s="3">
        <v>1</v>
      </c>
      <c r="AB15" s="2">
        <f>_xlfn.XLOOKUP(W15,'WAS RESID'!K:K,'WAS RESID'!P:P)</f>
        <v>0</v>
      </c>
    </row>
    <row r="16" spans="2:28">
      <c r="B16" t="str">
        <f>Def_Tech!D35</f>
        <v>WASSOLMETADG19</v>
      </c>
      <c r="C16" t="str">
        <f>Def_Tech!I35</f>
        <v>WASSOLMETDMDTOT</v>
      </c>
      <c r="D16" t="s">
        <v>427</v>
      </c>
      <c r="E16" s="3">
        <v>1</v>
      </c>
      <c r="L16" t="str">
        <v>WASSOLFOOCMP19</v>
      </c>
      <c r="M16" t="str">
        <v>WASDSL</v>
      </c>
      <c r="N16" t="s">
        <v>427</v>
      </c>
      <c r="O16" s="3">
        <v>6.5600031323807626E-3</v>
      </c>
      <c r="Q16" t="str">
        <v>WASSOLGLAINC19</v>
      </c>
      <c r="R16" t="str">
        <v>CELC</v>
      </c>
      <c r="S16" t="s">
        <v>426</v>
      </c>
      <c r="T16" s="3">
        <v>0</v>
      </c>
      <c r="V16" t="str">
        <f>Def_Tech!C35</f>
        <v>CITY</v>
      </c>
      <c r="W16" t="str">
        <f>Def_Tech!D35</f>
        <v>WASSOLMETADG19</v>
      </c>
      <c r="X16">
        <f>_xlfn.XLOOKUP(W16,'WAS RESID'!K:K,'WAS RESID'!R:R)</f>
        <v>1</v>
      </c>
      <c r="Y16" s="3">
        <f>_xlfn.XLOOKUP(W16,'WAS RESID'!K:K,'WAS RESID'!Q:Q)</f>
        <v>0.9</v>
      </c>
      <c r="Z16" s="3">
        <v>20</v>
      </c>
      <c r="AA16" s="3">
        <v>1</v>
      </c>
      <c r="AB16" s="2">
        <f>_xlfn.XLOOKUP(W16,'WAS RESID'!K:K,'WAS RESID'!P:P)</f>
        <v>0</v>
      </c>
    </row>
    <row r="17" spans="2:28">
      <c r="B17" t="str">
        <f>Def_Tech!D36</f>
        <v>WASSOLPLAADG19</v>
      </c>
      <c r="C17" t="str">
        <f>Def_Tech!I36</f>
        <v>WASSOLPLADMDTOT</v>
      </c>
      <c r="D17" t="s">
        <v>427</v>
      </c>
      <c r="E17" s="3">
        <v>1</v>
      </c>
      <c r="L17" t="str">
        <v>WASSOLYARCMP19</v>
      </c>
      <c r="M17" t="str">
        <v>WASELC</v>
      </c>
      <c r="N17" t="s">
        <v>427</v>
      </c>
      <c r="O17" s="327">
        <v>4.4521368008640172E-3</v>
      </c>
      <c r="Q17" t="str">
        <v>WASSOLGLAINC19</v>
      </c>
      <c r="R17" t="str">
        <v>STM</v>
      </c>
      <c r="S17" t="s">
        <v>426</v>
      </c>
      <c r="T17" s="3">
        <v>0</v>
      </c>
      <c r="V17" t="str">
        <f>Def_Tech!C36</f>
        <v>CITY</v>
      </c>
      <c r="W17" t="str">
        <f>Def_Tech!D36</f>
        <v>WASSOLPLAADG19</v>
      </c>
      <c r="X17">
        <f>_xlfn.XLOOKUP(W17,'WAS RESID'!K:K,'WAS RESID'!R:R)</f>
        <v>1</v>
      </c>
      <c r="Y17" s="3">
        <f>_xlfn.XLOOKUP(W17,'WAS RESID'!K:K,'WAS RESID'!Q:Q)</f>
        <v>0.9</v>
      </c>
      <c r="Z17" s="3">
        <v>20</v>
      </c>
      <c r="AA17" s="3">
        <v>1</v>
      </c>
      <c r="AB17" s="2">
        <f>_xlfn.XLOOKUP(W17,'WAS RESID'!K:K,'WAS RESID'!P:P)</f>
        <v>0</v>
      </c>
    </row>
    <row r="18" spans="2:28">
      <c r="B18" t="str">
        <f>Def_Tech!D37</f>
        <v>WASSOLFOOADG19</v>
      </c>
      <c r="C18" t="str">
        <f>Def_Tech!I37</f>
        <v>WASSOLFOODMDTOT</v>
      </c>
      <c r="D18" t="s">
        <v>427</v>
      </c>
      <c r="E18" s="3">
        <v>1</v>
      </c>
      <c r="L18" t="str">
        <v>WASSOLYARCMP19</v>
      </c>
      <c r="M18" t="str">
        <v>WASDSL</v>
      </c>
      <c r="N18" t="s">
        <v>427</v>
      </c>
      <c r="O18" s="327">
        <v>8.8196440853047561E-3</v>
      </c>
      <c r="Q18" t="str">
        <v>WASSOLMETINC19</v>
      </c>
      <c r="R18" t="str">
        <v>CELC</v>
      </c>
      <c r="S18" t="s">
        <v>426</v>
      </c>
      <c r="T18" s="3">
        <v>0.25614365143008</v>
      </c>
      <c r="V18" t="str">
        <f>Def_Tech!C37</f>
        <v>CITY</v>
      </c>
      <c r="W18" t="str">
        <f>Def_Tech!D37</f>
        <v>WASSOLFOOADG19</v>
      </c>
      <c r="X18">
        <f>_xlfn.XLOOKUP(W18,'WAS RESID'!K:K,'WAS RESID'!R:R)</f>
        <v>1</v>
      </c>
      <c r="Y18" s="3">
        <f>_xlfn.XLOOKUP(W18,'WAS RESID'!K:K,'WAS RESID'!Q:Q)</f>
        <v>0.9</v>
      </c>
      <c r="Z18" s="3">
        <v>20</v>
      </c>
      <c r="AA18" s="3">
        <v>1</v>
      </c>
      <c r="AB18" s="2">
        <f>_xlfn.XLOOKUP(W18,'WAS RESID'!K:K,'WAS RESID'!P:P)</f>
        <v>0</v>
      </c>
    </row>
    <row r="19" spans="2:28">
      <c r="B19" t="str">
        <f>Def_Tech!D38</f>
        <v>WASSOLYARADG19</v>
      </c>
      <c r="C19" t="str">
        <f>Def_Tech!I38</f>
        <v>WASSOLYARDMDTOT</v>
      </c>
      <c r="D19" t="s">
        <v>427</v>
      </c>
      <c r="E19" s="3">
        <v>1</v>
      </c>
      <c r="L19" t="str">
        <v>WASSOLAOTCMP19</v>
      </c>
      <c r="M19" t="str">
        <v>WASELC</v>
      </c>
      <c r="N19" t="s">
        <v>427</v>
      </c>
      <c r="O19" s="3">
        <v>4.931835970136223E-3</v>
      </c>
      <c r="Q19" t="str">
        <v>WASSOLMETINC19</v>
      </c>
      <c r="R19" t="str">
        <v>STM</v>
      </c>
      <c r="S19" t="s">
        <v>426</v>
      </c>
      <c r="T19" s="3">
        <v>0.51228730286016011</v>
      </c>
      <c r="V19" t="str">
        <f>Def_Tech!C38</f>
        <v>CITY</v>
      </c>
      <c r="W19" t="str">
        <f>Def_Tech!D38</f>
        <v>WASSOLYARADG19</v>
      </c>
      <c r="X19">
        <f>_xlfn.XLOOKUP(W19,'WAS RESID'!K:K,'WAS RESID'!R:R)</f>
        <v>1</v>
      </c>
      <c r="Y19" s="3">
        <f>_xlfn.XLOOKUP(W19,'WAS RESID'!K:K,'WAS RESID'!Q:Q)</f>
        <v>0.9</v>
      </c>
      <c r="Z19" s="3">
        <v>20</v>
      </c>
      <c r="AA19" s="3">
        <v>1</v>
      </c>
      <c r="AB19" s="2">
        <f>_xlfn.XLOOKUP(W19,'WAS RESID'!K:K,'WAS RESID'!P:P)</f>
        <v>0</v>
      </c>
    </row>
    <row r="20" spans="2:28">
      <c r="B20" s="319" t="str">
        <f>Def_Tech!D39</f>
        <v>WASSOLAOTADG19</v>
      </c>
      <c r="C20" s="319" t="str">
        <f>Def_Tech!I39</f>
        <v>WASSOLAOTDMDTOT</v>
      </c>
      <c r="D20" s="319" t="s">
        <v>427</v>
      </c>
      <c r="E20" s="320">
        <v>1</v>
      </c>
      <c r="L20" s="319" t="str">
        <v>WASSOLAOTCMP19</v>
      </c>
      <c r="M20" s="319" t="str">
        <v>WASDSL</v>
      </c>
      <c r="N20" s="319" t="s">
        <v>427</v>
      </c>
      <c r="O20" s="320">
        <v>8.2128726584979102E-3</v>
      </c>
      <c r="Q20" t="str">
        <v>WASSOLPLAINC19</v>
      </c>
      <c r="R20" t="str">
        <v>CELC</v>
      </c>
      <c r="S20" t="s">
        <v>426</v>
      </c>
      <c r="T20" s="3">
        <v>7.6697524780899533</v>
      </c>
      <c r="V20" s="319" t="str">
        <f>Def_Tech!C39</f>
        <v>CITY</v>
      </c>
      <c r="W20" s="319" t="str">
        <f>Def_Tech!D39</f>
        <v>WASSOLAOTADG19</v>
      </c>
      <c r="X20" s="319">
        <f>_xlfn.XLOOKUP(W20,'WAS RESID'!K:K,'WAS RESID'!R:R)</f>
        <v>1</v>
      </c>
      <c r="Y20" s="320">
        <f>_xlfn.XLOOKUP(W20,'WAS RESID'!K:K,'WAS RESID'!Q:Q)</f>
        <v>0.9</v>
      </c>
      <c r="Z20" s="320">
        <v>20</v>
      </c>
      <c r="AA20" s="320">
        <v>1</v>
      </c>
      <c r="AB20" s="321">
        <f>_xlfn.XLOOKUP(W20,'WAS RESID'!K:K,'WAS RESID'!P:P)</f>
        <v>0</v>
      </c>
    </row>
    <row r="21" spans="2:28">
      <c r="B21" t="str">
        <f>Def_Tech!D40</f>
        <v>WASSOLPAPINC19</v>
      </c>
      <c r="C21" t="str">
        <f>Def_Tech!I40</f>
        <v>WASSOLPAPDMDTOT</v>
      </c>
      <c r="D21" t="s">
        <v>427</v>
      </c>
      <c r="E21" s="3">
        <v>1</v>
      </c>
      <c r="L21" t="str">
        <v>WASSOLPAPADG19</v>
      </c>
      <c r="M21" t="str">
        <v>WASELC</v>
      </c>
      <c r="N21" t="s">
        <v>427</v>
      </c>
      <c r="O21" s="3">
        <v>0.39699330255981308</v>
      </c>
      <c r="Q21" t="str">
        <v>WASSOLPLAINC19</v>
      </c>
      <c r="R21" t="str">
        <v>STM</v>
      </c>
      <c r="S21" t="s">
        <v>426</v>
      </c>
      <c r="T21" s="3">
        <v>15.33950495617991</v>
      </c>
      <c r="V21" t="str">
        <f>Def_Tech!C40</f>
        <v>CITY</v>
      </c>
      <c r="W21" t="str">
        <f>Def_Tech!D40</f>
        <v>WASSOLPAPINC19</v>
      </c>
      <c r="X21">
        <f>_xlfn.XLOOKUP(W21,'WAS RESID'!K:K,'WAS RESID'!R:R)</f>
        <v>1</v>
      </c>
      <c r="Y21" s="3">
        <f>_xlfn.XLOOKUP(W21,'WAS RESID'!K:K,'WAS RESID'!Q:Q)</f>
        <v>0.9</v>
      </c>
      <c r="Z21" s="3">
        <v>20</v>
      </c>
      <c r="AA21" s="3">
        <v>1</v>
      </c>
      <c r="AB21" s="2">
        <f>_xlfn.XLOOKUP(W21,'WAS RESID'!K:K,'WAS RESID'!P:P)</f>
        <v>0</v>
      </c>
    </row>
    <row r="22" spans="2:28">
      <c r="B22" t="str">
        <f>Def_Tech!D41</f>
        <v>WASSOLGLAINC19</v>
      </c>
      <c r="C22" t="str">
        <f>Def_Tech!I41</f>
        <v>WASSOLGLADMDTOT</v>
      </c>
      <c r="D22" t="s">
        <v>427</v>
      </c>
      <c r="E22" s="3">
        <v>1</v>
      </c>
      <c r="L22" t="str">
        <v>WASSOLPAPADG19</v>
      </c>
      <c r="M22" t="str">
        <v>WASDSL</v>
      </c>
      <c r="N22" t="s">
        <v>427</v>
      </c>
      <c r="O22" s="3">
        <v>2.0209815325167971E-2</v>
      </c>
      <c r="Q22" t="str">
        <v>WASSOLFOOINC19</v>
      </c>
      <c r="R22" t="str">
        <v>CELC</v>
      </c>
      <c r="S22" t="s">
        <v>426</v>
      </c>
      <c r="T22" s="3">
        <v>1.3159444960944</v>
      </c>
      <c r="V22" t="str">
        <f>Def_Tech!C41</f>
        <v>CITY</v>
      </c>
      <c r="W22" t="str">
        <f>Def_Tech!D41</f>
        <v>WASSOLGLAINC19</v>
      </c>
      <c r="X22">
        <f>_xlfn.XLOOKUP(W22,'WAS RESID'!K:K,'WAS RESID'!R:R)</f>
        <v>1</v>
      </c>
      <c r="Y22" s="3">
        <f>_xlfn.XLOOKUP(W22,'WAS RESID'!K:K,'WAS RESID'!Q:Q)</f>
        <v>0.9</v>
      </c>
      <c r="Z22" s="3">
        <v>20</v>
      </c>
      <c r="AA22" s="3">
        <v>1</v>
      </c>
      <c r="AB22" s="2">
        <f>_xlfn.XLOOKUP(W22,'WAS RESID'!K:K,'WAS RESID'!P:P)</f>
        <v>0</v>
      </c>
    </row>
    <row r="23" spans="2:28">
      <c r="B23" t="str">
        <f>Def_Tech!D42</f>
        <v>WASSOLMETINC19</v>
      </c>
      <c r="C23" t="str">
        <f>Def_Tech!I42</f>
        <v>WASSOLMETDMDTOT</v>
      </c>
      <c r="D23" t="s">
        <v>427</v>
      </c>
      <c r="E23" s="3">
        <v>1</v>
      </c>
      <c r="L23" t="str">
        <v>WASSOLGLAADG19</v>
      </c>
      <c r="M23" t="str">
        <v>WASELC</v>
      </c>
      <c r="N23" t="s">
        <v>427</v>
      </c>
      <c r="O23" s="3">
        <v>0.22186353216844701</v>
      </c>
      <c r="Q23" t="str">
        <v>WASSOLFOOINC19</v>
      </c>
      <c r="R23" t="str">
        <v>STM</v>
      </c>
      <c r="S23" t="s">
        <v>426</v>
      </c>
      <c r="T23" s="3">
        <v>2.6318889921888009</v>
      </c>
      <c r="V23" t="str">
        <f>Def_Tech!C42</f>
        <v>CITY</v>
      </c>
      <c r="W23" t="str">
        <f>Def_Tech!D42</f>
        <v>WASSOLMETINC19</v>
      </c>
      <c r="X23">
        <f>_xlfn.XLOOKUP(W23,'WAS RESID'!K:K,'WAS RESID'!R:R)</f>
        <v>1</v>
      </c>
      <c r="Y23" s="3">
        <f>_xlfn.XLOOKUP(W23,'WAS RESID'!K:K,'WAS RESID'!Q:Q)</f>
        <v>0.9</v>
      </c>
      <c r="Z23" s="3">
        <v>20</v>
      </c>
      <c r="AA23" s="3">
        <v>1</v>
      </c>
      <c r="AB23" s="2">
        <f>_xlfn.XLOOKUP(W23,'WAS RESID'!K:K,'WAS RESID'!P:P)</f>
        <v>0</v>
      </c>
    </row>
    <row r="24" spans="2:28">
      <c r="B24" t="str">
        <f>Def_Tech!D43</f>
        <v>WASSOLPLAINC19</v>
      </c>
      <c r="C24" t="str">
        <f>Def_Tech!I43</f>
        <v>WASSOLPLADMDTOT</v>
      </c>
      <c r="D24" t="s">
        <v>427</v>
      </c>
      <c r="E24" s="3">
        <v>1</v>
      </c>
      <c r="L24" t="str">
        <v>WASSOLGLAADG19</v>
      </c>
      <c r="M24" t="str">
        <v>WASDSL</v>
      </c>
      <c r="N24" t="s">
        <v>427</v>
      </c>
      <c r="O24" s="3">
        <v>2.5027737402127741E-3</v>
      </c>
      <c r="Q24" t="str">
        <v>WASSOLYARINC19</v>
      </c>
      <c r="R24" t="str">
        <v>CELC</v>
      </c>
      <c r="S24" t="s">
        <v>426</v>
      </c>
      <c r="T24" s="3">
        <v>1.3486952514352</v>
      </c>
      <c r="V24" t="str">
        <f>Def_Tech!C43</f>
        <v>CITY</v>
      </c>
      <c r="W24" t="str">
        <f>Def_Tech!D43</f>
        <v>WASSOLPLAINC19</v>
      </c>
      <c r="X24">
        <f>_xlfn.XLOOKUP(W24,'WAS RESID'!K:K,'WAS RESID'!R:R)</f>
        <v>1</v>
      </c>
      <c r="Y24" s="3">
        <f>_xlfn.XLOOKUP(W24,'WAS RESID'!K:K,'WAS RESID'!Q:Q)</f>
        <v>0.9</v>
      </c>
      <c r="Z24" s="3">
        <v>20</v>
      </c>
      <c r="AA24" s="3">
        <v>1</v>
      </c>
      <c r="AB24" s="2">
        <f>_xlfn.XLOOKUP(W24,'WAS RESID'!K:K,'WAS RESID'!P:P)</f>
        <v>0</v>
      </c>
    </row>
    <row r="25" spans="2:28">
      <c r="B25" t="str">
        <f>Def_Tech!D44</f>
        <v>WASSOLFOOINC19</v>
      </c>
      <c r="C25" t="str">
        <f>Def_Tech!I44</f>
        <v>WASSOLFOODMDTOT</v>
      </c>
      <c r="D25" t="s">
        <v>427</v>
      </c>
      <c r="E25" s="3">
        <v>1</v>
      </c>
      <c r="L25" t="str">
        <v>WASSOLMETADG19</v>
      </c>
      <c r="M25" t="str">
        <v>WASELC</v>
      </c>
      <c r="N25" t="s">
        <v>427</v>
      </c>
      <c r="O25" s="3">
        <v>0.2208701180293888</v>
      </c>
      <c r="Q25" t="str">
        <v>WASSOLYARINC19</v>
      </c>
      <c r="R25" t="str">
        <v>STM</v>
      </c>
      <c r="S25" t="s">
        <v>426</v>
      </c>
      <c r="T25" s="3">
        <v>2.6973905028703999</v>
      </c>
      <c r="V25" t="str">
        <f>Def_Tech!C44</f>
        <v>CITY</v>
      </c>
      <c r="W25" t="str">
        <f>Def_Tech!D44</f>
        <v>WASSOLFOOINC19</v>
      </c>
      <c r="X25">
        <f>_xlfn.XLOOKUP(W25,'WAS RESID'!K:K,'WAS RESID'!R:R)</f>
        <v>1</v>
      </c>
      <c r="Y25" s="3">
        <f>_xlfn.XLOOKUP(W25,'WAS RESID'!K:K,'WAS RESID'!Q:Q)</f>
        <v>0.9</v>
      </c>
      <c r="Z25" s="3">
        <v>20</v>
      </c>
      <c r="AA25" s="3">
        <v>1</v>
      </c>
      <c r="AB25" s="2">
        <f>_xlfn.XLOOKUP(W25,'WAS RESID'!K:K,'WAS RESID'!P:P)</f>
        <v>0</v>
      </c>
    </row>
    <row r="26" spans="2:28">
      <c r="B26" t="str">
        <f>Def_Tech!D45</f>
        <v>WASSOLYARINC19</v>
      </c>
      <c r="C26" t="str">
        <f>Def_Tech!I45</f>
        <v>WASSOLYARDMDTOT</v>
      </c>
      <c r="D26" t="s">
        <v>427</v>
      </c>
      <c r="E26" s="3">
        <v>1</v>
      </c>
      <c r="L26" t="str">
        <v>WASSOLMETADG19</v>
      </c>
      <c r="M26" t="str">
        <v>WASDSL</v>
      </c>
      <c r="N26" t="s">
        <v>427</v>
      </c>
      <c r="O26" s="3">
        <v>2.394800759347766E-3</v>
      </c>
      <c r="Q26" t="str">
        <v>WASSOLAOTINC19</v>
      </c>
      <c r="R26" t="str">
        <v>CELC</v>
      </c>
      <c r="S26" t="s">
        <v>426</v>
      </c>
      <c r="T26" s="3">
        <v>1.4416176065790931</v>
      </c>
      <c r="V26" t="str">
        <f>Def_Tech!C45</f>
        <v>CITY</v>
      </c>
      <c r="W26" t="str">
        <f>Def_Tech!D45</f>
        <v>WASSOLYARINC19</v>
      </c>
      <c r="X26">
        <f>_xlfn.XLOOKUP(W26,'WAS RESID'!K:K,'WAS RESID'!R:R)</f>
        <v>1</v>
      </c>
      <c r="Y26" s="3">
        <f>_xlfn.XLOOKUP(W26,'WAS RESID'!K:K,'WAS RESID'!Q:Q)</f>
        <v>0.9</v>
      </c>
      <c r="Z26" s="3">
        <v>20</v>
      </c>
      <c r="AA26" s="3">
        <v>1</v>
      </c>
      <c r="AB26" s="2">
        <f>_xlfn.XLOOKUP(W26,'WAS RESID'!K:K,'WAS RESID'!P:P)</f>
        <v>0</v>
      </c>
    </row>
    <row r="27" spans="2:28">
      <c r="B27" s="319" t="str">
        <f>Def_Tech!D46</f>
        <v>WASSOLAOTINC19</v>
      </c>
      <c r="C27" s="319" t="str">
        <f>Def_Tech!I46</f>
        <v>WASSOLAOTDMDTOT</v>
      </c>
      <c r="D27" s="319" t="s">
        <v>427</v>
      </c>
      <c r="E27" s="320">
        <v>1</v>
      </c>
      <c r="L27" t="str">
        <v>WASSOLPLAADG19</v>
      </c>
      <c r="M27" t="str">
        <v>WASELC</v>
      </c>
      <c r="N27" t="s">
        <v>427</v>
      </c>
      <c r="O27" s="3">
        <v>0.22185413198701021</v>
      </c>
      <c r="Q27" s="319" t="str">
        <v>WASSOLAOTINC19</v>
      </c>
      <c r="R27" s="319" t="str">
        <v>STM</v>
      </c>
      <c r="S27" s="319" t="s">
        <v>426</v>
      </c>
      <c r="T27" s="320">
        <v>2.8832352131581871</v>
      </c>
      <c r="V27" s="319" t="str">
        <f>Def_Tech!C46</f>
        <v>CITY</v>
      </c>
      <c r="W27" s="319" t="str">
        <f>Def_Tech!D46</f>
        <v>WASSOLAOTINC19</v>
      </c>
      <c r="X27" s="319">
        <f>_xlfn.XLOOKUP(W27,'WAS RESID'!K:K,'WAS RESID'!R:R)</f>
        <v>1</v>
      </c>
      <c r="Y27" s="320">
        <f>_xlfn.XLOOKUP(W27,'WAS RESID'!K:K,'WAS RESID'!Q:Q)</f>
        <v>0.9</v>
      </c>
      <c r="Z27" s="320">
        <v>20</v>
      </c>
      <c r="AA27" s="320">
        <v>1</v>
      </c>
      <c r="AB27" s="321">
        <f>_xlfn.XLOOKUP(W27,'WAS RESID'!K:K,'WAS RESID'!P:P)</f>
        <v>0</v>
      </c>
    </row>
    <row r="28" spans="2:28">
      <c r="B28" t="str">
        <f>Def_Tech!D47</f>
        <v>WASSOLPAPLDF19</v>
      </c>
      <c r="C28" t="str">
        <f>Def_Tech!I47</f>
        <v>WASSOLPAPDMDTOTTOLDF</v>
      </c>
      <c r="D28" t="s">
        <v>427</v>
      </c>
      <c r="E28" s="3">
        <v>1</v>
      </c>
      <c r="L28" t="str">
        <v>WASSOLPLAADG19</v>
      </c>
      <c r="M28" t="str">
        <v>WASDSL</v>
      </c>
      <c r="N28" t="s">
        <v>427</v>
      </c>
      <c r="O28" s="3">
        <v>2.5017494209130229E-3</v>
      </c>
      <c r="Q28" t="str">
        <v>WASSOLPAPLDF19</v>
      </c>
      <c r="R28" t="str">
        <v>WASSOLLDFBGA</v>
      </c>
      <c r="S28" t="s">
        <v>426</v>
      </c>
      <c r="T28" s="3">
        <v>7.3642392222467212E-2</v>
      </c>
      <c r="V28" t="str">
        <f>Def_Tech!C47</f>
        <v>CITY</v>
      </c>
      <c r="W28" t="str">
        <f>Def_Tech!D47</f>
        <v>WASSOLPAPLDF19</v>
      </c>
      <c r="X28">
        <f>_xlfn.XLOOKUP(W28,'WAS RESID'!K:K,'WAS RESID'!R:R)</f>
        <v>1</v>
      </c>
      <c r="Y28" s="3">
        <f>_xlfn.XLOOKUP(W28,'WAS RESID'!K:K,'WAS RESID'!Q:Q)</f>
        <v>0.9</v>
      </c>
      <c r="Z28" s="3">
        <v>20</v>
      </c>
      <c r="AA28" s="3">
        <v>1</v>
      </c>
      <c r="AB28" s="2">
        <f>_xlfn.XLOOKUP(W28,'WAS RESID'!K:K,'WAS RESID'!P:P)</f>
        <v>2550.0559746003778</v>
      </c>
    </row>
    <row r="29" spans="2:28">
      <c r="B29" t="str">
        <f>Def_Tech!D48</f>
        <v>WASSOLGLALDF19</v>
      </c>
      <c r="C29" t="str">
        <f>Def_Tech!I48</f>
        <v>WASSOLGLADMDTOTTOLDF</v>
      </c>
      <c r="D29" t="s">
        <v>427</v>
      </c>
      <c r="E29" s="3">
        <v>1</v>
      </c>
      <c r="L29" t="str">
        <v>WASSOLFOOADG19</v>
      </c>
      <c r="M29" t="str">
        <v>WASELC</v>
      </c>
      <c r="N29" t="s">
        <v>427</v>
      </c>
      <c r="O29" s="3">
        <v>0.2405790225480274</v>
      </c>
      <c r="Q29" t="str">
        <v>WASSOLGLALDF19</v>
      </c>
      <c r="R29" t="str">
        <v>WASSOLLDFBGA</v>
      </c>
      <c r="S29" t="s">
        <v>426</v>
      </c>
      <c r="T29" s="3">
        <v>0</v>
      </c>
      <c r="V29" t="str">
        <f>Def_Tech!C48</f>
        <v>CITY</v>
      </c>
      <c r="W29" t="str">
        <f>Def_Tech!D48</f>
        <v>WASSOLGLALDF19</v>
      </c>
      <c r="X29">
        <f>_xlfn.XLOOKUP(W29,'WAS RESID'!K:K,'WAS RESID'!R:R)</f>
        <v>1</v>
      </c>
      <c r="Y29" s="3">
        <f>_xlfn.XLOOKUP(W29,'WAS RESID'!K:K,'WAS RESID'!Q:Q)</f>
        <v>0.9</v>
      </c>
      <c r="Z29" s="3">
        <v>20</v>
      </c>
      <c r="AA29" s="3">
        <v>1</v>
      </c>
      <c r="AB29" s="2">
        <f>_xlfn.XLOOKUP(W29,'WAS RESID'!K:K,'WAS RESID'!P:P)</f>
        <v>238.21768884122039</v>
      </c>
    </row>
    <row r="30" spans="2:28">
      <c r="B30" t="str">
        <f>Def_Tech!D49</f>
        <v>WASSOLMETLDF19</v>
      </c>
      <c r="C30" t="str">
        <f>Def_Tech!I49</f>
        <v>WASSOLMETDMDTOTTOLDF</v>
      </c>
      <c r="D30" t="s">
        <v>427</v>
      </c>
      <c r="E30" s="3">
        <v>1</v>
      </c>
      <c r="L30" t="str">
        <v>WASSOLFOOADG19</v>
      </c>
      <c r="M30" t="str">
        <v>WASDSL</v>
      </c>
      <c r="N30" t="s">
        <v>427</v>
      </c>
      <c r="O30" s="3">
        <v>4.1551694077049256E-3</v>
      </c>
      <c r="Q30" t="str">
        <v>WASSOLMETLDF19</v>
      </c>
      <c r="R30" t="str">
        <v>WASSOLLDFBGA</v>
      </c>
      <c r="S30" t="s">
        <v>426</v>
      </c>
      <c r="T30" s="3">
        <v>0</v>
      </c>
      <c r="V30" t="str">
        <f>Def_Tech!C49</f>
        <v>CITY</v>
      </c>
      <c r="W30" t="str">
        <f>Def_Tech!D49</f>
        <v>WASSOLMETLDF19</v>
      </c>
      <c r="X30">
        <f>_xlfn.XLOOKUP(W30,'WAS RESID'!K:K,'WAS RESID'!R:R)</f>
        <v>1</v>
      </c>
      <c r="Y30" s="3">
        <f>_xlfn.XLOOKUP(W30,'WAS RESID'!K:K,'WAS RESID'!Q:Q)</f>
        <v>0.9</v>
      </c>
      <c r="Z30" s="3">
        <v>20</v>
      </c>
      <c r="AA30" s="3">
        <v>1</v>
      </c>
      <c r="AB30" s="2">
        <f>_xlfn.XLOOKUP(W30,'WAS RESID'!K:K,'WAS RESID'!P:P)</f>
        <v>317.62358512162717</v>
      </c>
    </row>
    <row r="31" spans="2:28">
      <c r="B31" t="str">
        <f>Def_Tech!D50</f>
        <v>WASSOLPLALDF19</v>
      </c>
      <c r="C31" t="str">
        <f>Def_Tech!I50</f>
        <v>WASSOLPLADMDTOTTOLDF</v>
      </c>
      <c r="D31" t="s">
        <v>427</v>
      </c>
      <c r="E31" s="3">
        <v>1</v>
      </c>
      <c r="L31" t="str">
        <v>WASSOLYARADG19</v>
      </c>
      <c r="M31" t="str">
        <v>WASELC</v>
      </c>
      <c r="N31" t="s">
        <v>427</v>
      </c>
      <c r="O31" s="3">
        <v>0.31462940038692561</v>
      </c>
      <c r="Q31" t="str">
        <v>WASSOLPLALDF19</v>
      </c>
      <c r="R31" t="str">
        <v>WASSOLLDFBGA</v>
      </c>
      <c r="S31" t="s">
        <v>426</v>
      </c>
      <c r="T31" s="3">
        <v>0</v>
      </c>
      <c r="V31" t="str">
        <f>Def_Tech!C50</f>
        <v>CITY</v>
      </c>
      <c r="W31" t="str">
        <f>Def_Tech!D50</f>
        <v>WASSOLPLALDF19</v>
      </c>
      <c r="X31">
        <f>_xlfn.XLOOKUP(W31,'WAS RESID'!K:K,'WAS RESID'!R:R)</f>
        <v>1</v>
      </c>
      <c r="Y31" s="3">
        <f>_xlfn.XLOOKUP(W31,'WAS RESID'!K:K,'WAS RESID'!Q:Q)</f>
        <v>0.9</v>
      </c>
      <c r="Z31" s="3">
        <v>20</v>
      </c>
      <c r="AA31" s="3">
        <v>1</v>
      </c>
      <c r="AB31" s="2">
        <f>_xlfn.XLOOKUP(W31,'WAS RESID'!K:K,'WAS RESID'!P:P)</f>
        <v>794.05896280406785</v>
      </c>
    </row>
    <row r="32" spans="2:28">
      <c r="B32" t="str">
        <f>Def_Tech!D51</f>
        <v>WASSOLFOOLDF19</v>
      </c>
      <c r="C32" t="str">
        <f>Def_Tech!I51</f>
        <v>WASSOLFOODMDTOTTOLDF</v>
      </c>
      <c r="D32" t="s">
        <v>427</v>
      </c>
      <c r="E32" s="3">
        <v>1</v>
      </c>
      <c r="L32" t="str">
        <v>WASSOLYARADG19</v>
      </c>
      <c r="M32" t="str">
        <v>WASDSL</v>
      </c>
      <c r="N32" t="s">
        <v>427</v>
      </c>
      <c r="O32" s="3">
        <v>1.18690739705276E-2</v>
      </c>
      <c r="Q32" t="str">
        <v>WASSOLFOOLDF19</v>
      </c>
      <c r="R32" t="str">
        <v>WASSOLLDFBGA</v>
      </c>
      <c r="S32" t="s">
        <v>426</v>
      </c>
      <c r="T32" s="3">
        <v>0.2103772770523053</v>
      </c>
      <c r="V32" t="str">
        <f>Def_Tech!C51</f>
        <v>CITY</v>
      </c>
      <c r="W32" t="str">
        <f>Def_Tech!D51</f>
        <v>WASSOLFOOLDF19</v>
      </c>
      <c r="X32">
        <f>_xlfn.XLOOKUP(W32,'WAS RESID'!K:K,'WAS RESID'!R:R)</f>
        <v>1</v>
      </c>
      <c r="Y32" s="3">
        <f>_xlfn.XLOOKUP(W32,'WAS RESID'!K:K,'WAS RESID'!Q:Q)</f>
        <v>0.9</v>
      </c>
      <c r="Z32" s="3">
        <v>20</v>
      </c>
      <c r="AA32" s="3">
        <v>1</v>
      </c>
      <c r="AB32" s="2">
        <f>_xlfn.XLOOKUP(W32,'WAS RESID'!K:K,'WAS RESID'!P:P)</f>
        <v>1545.0339140225819</v>
      </c>
    </row>
    <row r="33" spans="2:28">
      <c r="B33" t="str">
        <f>Def_Tech!D52</f>
        <v>WASSOLYARLDF19</v>
      </c>
      <c r="C33" t="str">
        <f>Def_Tech!I52</f>
        <v>WASSOLYARDMDTOTTOLDF</v>
      </c>
      <c r="D33" t="s">
        <v>427</v>
      </c>
      <c r="E33" s="3">
        <v>1</v>
      </c>
      <c r="L33" t="str">
        <v>WASSOLAOTADG19</v>
      </c>
      <c r="M33" t="str">
        <v>WASELC</v>
      </c>
      <c r="N33" t="s">
        <v>427</v>
      </c>
      <c r="O33" s="3">
        <v>0.30609765977848391</v>
      </c>
      <c r="Q33" t="str">
        <v>WASSOLYARLDF19</v>
      </c>
      <c r="R33" t="str">
        <v>WASSOLLDFBGA</v>
      </c>
      <c r="S33" t="s">
        <v>426</v>
      </c>
      <c r="T33" s="3">
        <v>7.1053021013876533E-2</v>
      </c>
      <c r="V33" t="str">
        <f>Def_Tech!C52</f>
        <v>CITY</v>
      </c>
      <c r="W33" t="str">
        <f>Def_Tech!D52</f>
        <v>WASSOLYARLDF19</v>
      </c>
      <c r="X33">
        <f>_xlfn.XLOOKUP(W33,'WAS RESID'!K:K,'WAS RESID'!R:R)</f>
        <v>1</v>
      </c>
      <c r="Y33" s="3">
        <f>_xlfn.XLOOKUP(W33,'WAS RESID'!K:K,'WAS RESID'!Q:Q)</f>
        <v>0.9</v>
      </c>
      <c r="Z33" s="3">
        <v>20</v>
      </c>
      <c r="AA33" s="3">
        <v>1</v>
      </c>
      <c r="AB33" s="2">
        <f>_xlfn.XLOOKUP(W33,'WAS RESID'!K:K,'WAS RESID'!P:P)</f>
        <v>1168.1894814441771</v>
      </c>
    </row>
    <row r="34" spans="2:28">
      <c r="B34" s="319" t="str">
        <f>Def_Tech!D53</f>
        <v>WASSOLAOTLDF19</v>
      </c>
      <c r="C34" s="319" t="str">
        <f>Def_Tech!I53</f>
        <v>WASSOLAOTDMDTOTTOLDF</v>
      </c>
      <c r="D34" s="319" t="s">
        <v>427</v>
      </c>
      <c r="E34" s="320">
        <v>1</v>
      </c>
      <c r="L34" s="319" t="str">
        <v>WASSOLAOTADG19</v>
      </c>
      <c r="M34" s="319" t="str">
        <v>WASDSL</v>
      </c>
      <c r="N34" s="319" t="s">
        <v>427</v>
      </c>
      <c r="O34" s="320">
        <v>1.1309842654738051E-2</v>
      </c>
      <c r="Q34" t="str">
        <v>WASSOLAOTLDF19</v>
      </c>
      <c r="R34" t="str">
        <v>WASSOLLDFBGA</v>
      </c>
      <c r="S34" t="s">
        <v>426</v>
      </c>
      <c r="T34" s="3">
        <v>5.7069987175499687E-3</v>
      </c>
      <c r="V34" s="319" t="str">
        <f>Def_Tech!C53</f>
        <v>CITY</v>
      </c>
      <c r="W34" s="319" t="str">
        <f>Def_Tech!D53</f>
        <v>WASSOLAOTLDF19</v>
      </c>
      <c r="X34" s="319">
        <f>_xlfn.XLOOKUP(W34,'WAS RESID'!K:K,'WAS RESID'!R:R)</f>
        <v>1</v>
      </c>
      <c r="Y34" s="320">
        <f>_xlfn.XLOOKUP(W34,'WAS RESID'!K:K,'WAS RESID'!Q:Q)</f>
        <v>0.9</v>
      </c>
      <c r="Z34" s="320">
        <v>20</v>
      </c>
      <c r="AA34" s="320">
        <v>1</v>
      </c>
      <c r="AB34" s="321">
        <f>_xlfn.XLOOKUP(W34,'WAS RESID'!K:K,'WAS RESID'!P:P)</f>
        <v>5850.1284123185151</v>
      </c>
    </row>
    <row r="35" spans="2:28">
      <c r="B35" t="str">
        <f>Def_Tech!D54</f>
        <v>WASSOLPAPREC19</v>
      </c>
      <c r="C35" t="str">
        <f>Def_Tech!I54</f>
        <v>WASSOLPAPDMDTOT</v>
      </c>
      <c r="D35" t="s">
        <v>427</v>
      </c>
      <c r="E35" s="3">
        <v>1</v>
      </c>
      <c r="L35" t="str">
        <v>WASSOLPAPLDF19</v>
      </c>
      <c r="M35" t="str">
        <v>WASELC</v>
      </c>
      <c r="N35" t="s">
        <v>427</v>
      </c>
      <c r="O35" s="3">
        <v>1.6318800570910171E-3</v>
      </c>
      <c r="Q35" s="319" t="str">
        <v>WASSOLHISLDF19</v>
      </c>
      <c r="R35" s="319" t="str">
        <v>WASSOLLDFBGA</v>
      </c>
      <c r="S35" s="319" t="s">
        <v>426</v>
      </c>
      <c r="T35" s="320">
        <v>4.1947233702079263E-2</v>
      </c>
      <c r="V35" t="str">
        <f>Def_Tech!C54</f>
        <v>CITY</v>
      </c>
      <c r="W35" t="str">
        <f>Def_Tech!D54</f>
        <v>WASSOLPAPREC19</v>
      </c>
      <c r="X35">
        <f>_xlfn.XLOOKUP(W35,'WAS RESID'!K:K,'WAS RESID'!R:R)</f>
        <v>1</v>
      </c>
      <c r="Y35" s="3">
        <f>_xlfn.XLOOKUP(W35,'WAS RESID'!K:K,'WAS RESID'!Q:Q)</f>
        <v>0.9</v>
      </c>
      <c r="Z35" s="3">
        <v>20</v>
      </c>
      <c r="AA35" s="3">
        <v>1</v>
      </c>
      <c r="AB35" s="2">
        <f>_xlfn.XLOOKUP(W35,'WAS RESID'!K:K,'WAS RESID'!P:P)</f>
        <v>1200.026340988413</v>
      </c>
    </row>
    <row r="36" spans="2:28">
      <c r="B36" t="str">
        <f>Def_Tech!D55</f>
        <v>WASSOLGLAREC19</v>
      </c>
      <c r="C36" t="str">
        <f>Def_Tech!I55</f>
        <v>WASSOLGLADMDTOT</v>
      </c>
      <c r="D36" t="s">
        <v>427</v>
      </c>
      <c r="E36" s="3">
        <v>1</v>
      </c>
      <c r="L36" t="str">
        <v>WASSOLPAPLDF19</v>
      </c>
      <c r="M36" t="str">
        <v>WASDSL</v>
      </c>
      <c r="N36" t="s">
        <v>427</v>
      </c>
      <c r="O36" s="3">
        <v>4.2171586568799701E-4</v>
      </c>
      <c r="Q36" t="str">
        <v>WASWATTRTNOT19</v>
      </c>
      <c r="R36" t="str">
        <v>WASWATNOTBGA</v>
      </c>
      <c r="S36" t="s">
        <v>426</v>
      </c>
      <c r="T36" s="3">
        <v>0</v>
      </c>
      <c r="V36" t="str">
        <f>Def_Tech!C55</f>
        <v>CITY</v>
      </c>
      <c r="W36" t="str">
        <f>Def_Tech!D55</f>
        <v>WASSOLGLAREC19</v>
      </c>
      <c r="X36">
        <f>_xlfn.XLOOKUP(W36,'WAS RESID'!K:K,'WAS RESID'!R:R)</f>
        <v>1</v>
      </c>
      <c r="Y36" s="3">
        <f>_xlfn.XLOOKUP(W36,'WAS RESID'!K:K,'WAS RESID'!Q:Q)</f>
        <v>0.9</v>
      </c>
      <c r="Z36" s="3">
        <v>20</v>
      </c>
      <c r="AA36" s="3">
        <v>1</v>
      </c>
      <c r="AB36" s="2">
        <f>_xlfn.XLOOKUP(W36,'WAS RESID'!K:K,'WAS RESID'!P:P)</f>
        <v>211.79218902943461</v>
      </c>
    </row>
    <row r="37" spans="2:28">
      <c r="B37" t="str">
        <f>Def_Tech!D56</f>
        <v>WASSOLMETREC19</v>
      </c>
      <c r="C37" t="str">
        <f>Def_Tech!I56</f>
        <v>WASSOLMETDMDTOT</v>
      </c>
      <c r="D37" t="s">
        <v>427</v>
      </c>
      <c r="E37" s="3">
        <v>1</v>
      </c>
      <c r="L37" t="str">
        <v>WASSOLGLALDF19</v>
      </c>
      <c r="M37" t="str">
        <v>WASELC</v>
      </c>
      <c r="N37" t="s">
        <v>427</v>
      </c>
      <c r="O37" s="3">
        <v>1.141232354186306E-4</v>
      </c>
      <c r="Q37" t="str">
        <v>WASWATTRTWAD19</v>
      </c>
      <c r="R37" t="str">
        <v>WASWATWADBGA</v>
      </c>
      <c r="S37" t="s">
        <v>426</v>
      </c>
      <c r="T37" s="3">
        <v>2.7543378995433789</v>
      </c>
      <c r="V37" t="str">
        <f>Def_Tech!C56</f>
        <v>CITY</v>
      </c>
      <c r="W37" t="str">
        <f>Def_Tech!D56</f>
        <v>WASSOLMETREC19</v>
      </c>
      <c r="X37">
        <f>_xlfn.XLOOKUP(W37,'WAS RESID'!K:K,'WAS RESID'!R:R)</f>
        <v>1</v>
      </c>
      <c r="Y37" s="3">
        <f>_xlfn.XLOOKUP(W37,'WAS RESID'!K:K,'WAS RESID'!Q:Q)</f>
        <v>0.9</v>
      </c>
      <c r="Z37" s="3">
        <v>20</v>
      </c>
      <c r="AA37" s="3">
        <v>1</v>
      </c>
      <c r="AB37" s="2">
        <f>_xlfn.XLOOKUP(W37,'WAS RESID'!K:K,'WAS RESID'!P:P)</f>
        <v>282.38958537257952</v>
      </c>
    </row>
    <row r="38" spans="2:28">
      <c r="B38" t="str">
        <f>Def_Tech!D57</f>
        <v>WASSOLPLAREC19</v>
      </c>
      <c r="C38" t="str">
        <f>Def_Tech!I57</f>
        <v>WASSOLPLADMDTOT</v>
      </c>
      <c r="D38" t="s">
        <v>427</v>
      </c>
      <c r="E38" s="3">
        <v>1</v>
      </c>
      <c r="L38" t="str">
        <v>WASSOLGLALDF19</v>
      </c>
      <c r="M38" t="str">
        <v>WASDSL</v>
      </c>
      <c r="N38" t="s">
        <v>427</v>
      </c>
      <c r="O38" s="3">
        <v>4.2171586568799711E-4</v>
      </c>
      <c r="Q38" t="str">
        <v>WASWATTRTWDN19</v>
      </c>
      <c r="R38" t="str">
        <v>WASWATWDNBGA</v>
      </c>
      <c r="S38" t="s">
        <v>426</v>
      </c>
      <c r="T38" s="3">
        <v>0</v>
      </c>
      <c r="V38" t="str">
        <f>Def_Tech!C57</f>
        <v>CITY</v>
      </c>
      <c r="W38" t="str">
        <f>Def_Tech!D57</f>
        <v>WASSOLPLAREC19</v>
      </c>
      <c r="X38">
        <f>_xlfn.XLOOKUP(W38,'WAS RESID'!K:K,'WAS RESID'!R:R)</f>
        <v>1</v>
      </c>
      <c r="Y38" s="3">
        <f>_xlfn.XLOOKUP(W38,'WAS RESID'!K:K,'WAS RESID'!Q:Q)</f>
        <v>0.9</v>
      </c>
      <c r="Z38" s="3">
        <v>20</v>
      </c>
      <c r="AA38" s="3">
        <v>1</v>
      </c>
      <c r="AB38" s="2">
        <f>_xlfn.XLOOKUP(W38,'WAS RESID'!K:K,'WAS RESID'!P:P)</f>
        <v>705.97396343144874</v>
      </c>
    </row>
    <row r="39" spans="2:28">
      <c r="B39" t="str">
        <f>Def_Tech!D58</f>
        <v>WASSOLFOOREC19</v>
      </c>
      <c r="C39" t="str">
        <f>Def_Tech!I58</f>
        <v>WASSOLFOODMDTOT</v>
      </c>
      <c r="D39" t="s">
        <v>427</v>
      </c>
      <c r="E39" s="3">
        <v>1</v>
      </c>
      <c r="L39" t="str">
        <v>WASSOLMETLDF19</v>
      </c>
      <c r="M39" t="str">
        <v>WASELC</v>
      </c>
      <c r="N39" t="s">
        <v>427</v>
      </c>
      <c r="O39" s="3">
        <v>1.141232354186306E-4</v>
      </c>
      <c r="Q39" t="str">
        <v>WASWATTRTWAN19</v>
      </c>
      <c r="R39" t="str">
        <v>WASWATWANBGA</v>
      </c>
      <c r="S39" t="s">
        <v>426</v>
      </c>
      <c r="T39" s="3">
        <v>2.7543378995433789</v>
      </c>
      <c r="V39" t="str">
        <f>Def_Tech!C58</f>
        <v>CITY</v>
      </c>
      <c r="W39" t="str">
        <f>Def_Tech!D58</f>
        <v>WASSOLFOOREC19</v>
      </c>
      <c r="X39">
        <f>_xlfn.XLOOKUP(W39,'WAS RESID'!K:K,'WAS RESID'!R:R)</f>
        <v>1</v>
      </c>
      <c r="Y39" s="3">
        <f>_xlfn.XLOOKUP(W39,'WAS RESID'!K:K,'WAS RESID'!Q:Q)</f>
        <v>0.9</v>
      </c>
      <c r="Z39" s="3">
        <v>20</v>
      </c>
      <c r="AA39" s="3">
        <v>1</v>
      </c>
      <c r="AB39" s="2">
        <f>_xlfn.XLOOKUP(W39,'WAS RESID'!K:K,'WAS RESID'!P:P)</f>
        <v>0</v>
      </c>
    </row>
    <row r="40" spans="2:28">
      <c r="B40" t="str">
        <f>Def_Tech!D59</f>
        <v>WASSOLYARREC19</v>
      </c>
      <c r="C40" t="str">
        <f>Def_Tech!I59</f>
        <v>WASSOLYARDMDTOT</v>
      </c>
      <c r="D40" t="s">
        <v>427</v>
      </c>
      <c r="E40" s="3">
        <v>1</v>
      </c>
      <c r="L40" t="str">
        <v>WASSOLMETLDF19</v>
      </c>
      <c r="M40" t="str">
        <v>WASDSL</v>
      </c>
      <c r="N40" t="s">
        <v>427</v>
      </c>
      <c r="O40" s="3">
        <v>4.2171586568799711E-4</v>
      </c>
      <c r="T40" s="3"/>
      <c r="V40" t="str">
        <f>Def_Tech!C59</f>
        <v>CITY</v>
      </c>
      <c r="W40" t="str">
        <f>Def_Tech!D59</f>
        <v>WASSOLYARREC19</v>
      </c>
      <c r="X40">
        <f>_xlfn.XLOOKUP(W40,'WAS RESID'!K:K,'WAS RESID'!R:R)</f>
        <v>1</v>
      </c>
      <c r="Y40" s="3">
        <f>_xlfn.XLOOKUP(W40,'WAS RESID'!K:K,'WAS RESID'!Q:Q)</f>
        <v>0.9</v>
      </c>
      <c r="Z40" s="3">
        <v>20</v>
      </c>
      <c r="AA40" s="3">
        <v>1</v>
      </c>
      <c r="AB40" s="2">
        <f>_xlfn.XLOOKUP(W40,'WAS RESID'!K:K,'WAS RESID'!P:P)</f>
        <v>0</v>
      </c>
    </row>
    <row r="41" spans="2:28">
      <c r="B41" s="319" t="str">
        <f>Def_Tech!D60</f>
        <v>WASSOLAOTREC19</v>
      </c>
      <c r="C41" s="319" t="str">
        <f>Def_Tech!I60</f>
        <v>WASSOLAOTDMDTOT</v>
      </c>
      <c r="D41" s="319" t="s">
        <v>427</v>
      </c>
      <c r="E41" s="320">
        <v>1</v>
      </c>
      <c r="L41" t="str">
        <v>WASSOLPLALDF19</v>
      </c>
      <c r="M41" t="str">
        <v>WASELC</v>
      </c>
      <c r="N41" t="s">
        <v>427</v>
      </c>
      <c r="O41" s="3">
        <v>1.141232354186306E-4</v>
      </c>
      <c r="T41" s="3"/>
      <c r="V41" s="319" t="str">
        <f>Def_Tech!C60</f>
        <v>CITY</v>
      </c>
      <c r="W41" s="319" t="str">
        <f>Def_Tech!D60</f>
        <v>WASSOLAOTREC19</v>
      </c>
      <c r="X41" s="319">
        <f>_xlfn.XLOOKUP(W41,'WAS RESID'!K:K,'WAS RESID'!R:R)</f>
        <v>1</v>
      </c>
      <c r="Y41" s="320">
        <f>_xlfn.XLOOKUP(W41,'WAS RESID'!K:K,'WAS RESID'!Q:Q)</f>
        <v>0.9</v>
      </c>
      <c r="Z41" s="320">
        <v>20</v>
      </c>
      <c r="AA41" s="320">
        <v>1</v>
      </c>
      <c r="AB41" s="321">
        <f>_xlfn.XLOOKUP(W41,'WAS RESID'!K:K,'WAS RESID'!P:P)</f>
        <v>0</v>
      </c>
    </row>
    <row r="42" spans="2:28">
      <c r="B42" s="318" t="str">
        <f>Def_Tech!D61</f>
        <v>WASSOLHISLDF19</v>
      </c>
      <c r="C42" s="318" t="str">
        <f>Def_Tech!I61</f>
        <v>WASSOLHISDMDTOTTOLDF</v>
      </c>
      <c r="D42" s="318" t="s">
        <v>427</v>
      </c>
      <c r="E42" s="322">
        <v>1</v>
      </c>
      <c r="L42" t="str">
        <v>WASSOLPLALDF19</v>
      </c>
      <c r="M42" t="str">
        <v>WASDSL</v>
      </c>
      <c r="N42" t="s">
        <v>427</v>
      </c>
      <c r="O42" s="3">
        <v>4.2171586568799711E-4</v>
      </c>
      <c r="T42" s="3"/>
      <c r="V42" s="318" t="str">
        <f>Def_Tech!C61</f>
        <v>CITY</v>
      </c>
      <c r="W42" s="318" t="str">
        <f>Def_Tech!D61</f>
        <v>WASSOLHISLDF19</v>
      </c>
      <c r="X42" s="318">
        <f>_xlfn.XLOOKUP(W42,'WAS RESID'!K:K,'WAS RESID'!R:R)</f>
        <v>1</v>
      </c>
      <c r="Y42" s="322">
        <f>_xlfn.XLOOKUP(W42,'WAS RESID'!K:K,'WAS RESID'!Q:Q)</f>
        <v>0.9</v>
      </c>
      <c r="Z42" s="322">
        <v>20</v>
      </c>
      <c r="AA42" s="322">
        <v>1</v>
      </c>
      <c r="AB42" s="325">
        <f>_xlfn.XLOOKUP(W42,'WAS RESID'!K:K,'WAS RESID'!P:P)</f>
        <v>229403.40902108679</v>
      </c>
    </row>
    <row r="43" spans="2:28">
      <c r="B43" t="str">
        <f>Def_Tech!D62</f>
        <v>WASWATTRTNOT19</v>
      </c>
      <c r="C43" t="str">
        <f>Def_Tech!I62</f>
        <v>WASWATTRTDMDTOT</v>
      </c>
      <c r="D43" t="s">
        <v>427</v>
      </c>
      <c r="E43" s="3">
        <v>1</v>
      </c>
      <c r="L43" t="str">
        <v>WASSOLFOOLDF19</v>
      </c>
      <c r="M43" t="str">
        <v>WASELC</v>
      </c>
      <c r="N43" t="s">
        <v>427</v>
      </c>
      <c r="O43" s="3">
        <v>1.611632378751165E-3</v>
      </c>
      <c r="T43" s="3"/>
      <c r="V43" t="str">
        <f>Def_Tech!C62</f>
        <v>CITY</v>
      </c>
      <c r="W43" t="str">
        <f>Def_Tech!D62</f>
        <v>WASWATTRTNOT19</v>
      </c>
      <c r="X43">
        <f>_xlfn.XLOOKUP(W43,'WAS RESID'!K:K,'WAS RESID'!R:R)</f>
        <v>1</v>
      </c>
      <c r="Y43" s="3">
        <f>_xlfn.XLOOKUP(W43,'WAS RESID'!K:K,'WAS RESID'!Q:Q)</f>
        <v>0.9</v>
      </c>
      <c r="Z43" s="3">
        <v>20</v>
      </c>
      <c r="AA43" s="3">
        <v>1</v>
      </c>
      <c r="AB43" s="2">
        <f>_xlfn.XLOOKUP(W43,'WAS RESID'!K:K,'WAS RESID'!P:P)</f>
        <v>0</v>
      </c>
    </row>
    <row r="44" spans="2:28">
      <c r="B44" t="str">
        <f>Def_Tech!D63</f>
        <v>WASWATTRTWAD19</v>
      </c>
      <c r="C44" t="str">
        <f>Def_Tech!I63</f>
        <v>WASWATTRTDMDTOT</v>
      </c>
      <c r="D44" t="s">
        <v>427</v>
      </c>
      <c r="E44" s="3">
        <v>1</v>
      </c>
      <c r="L44" t="str">
        <v>WASSOLFOOLDF19</v>
      </c>
      <c r="M44" t="str">
        <v>WASDSL</v>
      </c>
      <c r="N44" t="s">
        <v>427</v>
      </c>
      <c r="O44" s="3">
        <v>4.2171586568799711E-4</v>
      </c>
      <c r="T44" s="3"/>
      <c r="V44" t="str">
        <f>Def_Tech!C63</f>
        <v>CITY</v>
      </c>
      <c r="W44" t="str">
        <f>Def_Tech!D63</f>
        <v>WASWATTRTWAD19</v>
      </c>
      <c r="X44">
        <f>_xlfn.XLOOKUP(W44,'WAS RESID'!K:K,'WAS RESID'!R:R)</f>
        <v>1</v>
      </c>
      <c r="Y44" s="3">
        <f>_xlfn.XLOOKUP(W44,'WAS RESID'!K:K,'WAS RESID'!Q:Q)</f>
        <v>0.9</v>
      </c>
      <c r="Z44" s="3">
        <v>20</v>
      </c>
      <c r="AA44" s="3">
        <v>1</v>
      </c>
      <c r="AB44" s="2">
        <f>_xlfn.XLOOKUP(W44,'WAS RESID'!K:K,'WAS RESID'!P:P)</f>
        <v>1432.35489335271</v>
      </c>
    </row>
    <row r="45" spans="2:28">
      <c r="B45" t="str">
        <f>Def_Tech!D64</f>
        <v>WASWATTRTWDN19</v>
      </c>
      <c r="C45" t="str">
        <f>Def_Tech!I64</f>
        <v>WASWATTRTDMDTOT</v>
      </c>
      <c r="D45" t="s">
        <v>427</v>
      </c>
      <c r="E45" s="3">
        <v>1</v>
      </c>
      <c r="L45" t="str">
        <v>WASSOLYARLDF19</v>
      </c>
      <c r="M45" t="str">
        <v>WASELC</v>
      </c>
      <c r="N45" t="s">
        <v>427</v>
      </c>
      <c r="O45" s="3">
        <v>6.6457556288931517E-4</v>
      </c>
      <c r="T45" s="3"/>
      <c r="V45" t="str">
        <f>Def_Tech!C64</f>
        <v>CITY</v>
      </c>
      <c r="W45" t="str">
        <f>Def_Tech!D64</f>
        <v>WASWATTRTWDN19</v>
      </c>
      <c r="X45">
        <f>_xlfn.XLOOKUP(W45,'WAS RESID'!K:K,'WAS RESID'!R:R)</f>
        <v>1</v>
      </c>
      <c r="Y45" s="3">
        <f>_xlfn.XLOOKUP(W45,'WAS RESID'!K:K,'WAS RESID'!Q:Q)</f>
        <v>0.9</v>
      </c>
      <c r="Z45" s="3">
        <v>20</v>
      </c>
      <c r="AA45" s="3">
        <v>1</v>
      </c>
      <c r="AB45" s="2">
        <f>_xlfn.XLOOKUP(W45,'WAS RESID'!K:K,'WAS RESID'!P:P)</f>
        <v>0</v>
      </c>
    </row>
    <row r="46" spans="2:28">
      <c r="B46" t="str">
        <f>Def_Tech!D65</f>
        <v>WASWATTRTWAN19</v>
      </c>
      <c r="C46" t="str">
        <f>Def_Tech!I65</f>
        <v>WASWATTRTDMDTOT</v>
      </c>
      <c r="D46" t="s">
        <v>427</v>
      </c>
      <c r="E46" s="3">
        <v>1</v>
      </c>
      <c r="L46" t="str">
        <v>WASSOLYARLDF19</v>
      </c>
      <c r="M46" t="str">
        <v>WASDSL</v>
      </c>
      <c r="N46" t="s">
        <v>427</v>
      </c>
      <c r="O46" s="3">
        <v>4.2171586568799701E-4</v>
      </c>
      <c r="T46" s="3"/>
      <c r="V46" t="str">
        <f>Def_Tech!C65</f>
        <v>CITY</v>
      </c>
      <c r="W46" t="str">
        <f>Def_Tech!D65</f>
        <v>WASWATTRTWAN19</v>
      </c>
      <c r="X46">
        <f>_xlfn.XLOOKUP(W46,'WAS RESID'!K:K,'WAS RESID'!R:R)</f>
        <v>1</v>
      </c>
      <c r="Y46" s="3">
        <f>_xlfn.XLOOKUP(W46,'WAS RESID'!K:K,'WAS RESID'!Q:Q)</f>
        <v>0.9</v>
      </c>
      <c r="Z46" s="3">
        <v>20</v>
      </c>
      <c r="AA46" s="3">
        <v>1</v>
      </c>
      <c r="AB46" s="2">
        <f>_xlfn.XLOOKUP(W46,'WAS RESID'!K:K,'WAS RESID'!P:P)</f>
        <v>477.45163111757012</v>
      </c>
    </row>
    <row r="47" spans="2:28">
      <c r="E47" s="3"/>
      <c r="L47" t="str">
        <v>WASSOLAOTLDF19</v>
      </c>
      <c r="M47" t="str">
        <v>WASELC</v>
      </c>
      <c r="N47" t="s">
        <v>427</v>
      </c>
      <c r="O47" s="3">
        <v>2.5635640501457262E-4</v>
      </c>
      <c r="T47" s="3"/>
      <c r="Y47" s="3"/>
      <c r="Z47" s="3"/>
      <c r="AA47" s="3"/>
      <c r="AB47" s="14"/>
    </row>
    <row r="48" spans="2:28">
      <c r="E48" s="3"/>
      <c r="L48" s="319" t="str">
        <v>WASSOLAOTLDF19</v>
      </c>
      <c r="M48" s="319" t="str">
        <v>WASDSL</v>
      </c>
      <c r="N48" s="319" t="s">
        <v>427</v>
      </c>
      <c r="O48" s="320">
        <v>4.2171586568799711E-4</v>
      </c>
      <c r="T48" s="3"/>
      <c r="Y48" s="3"/>
      <c r="Z48" s="3"/>
      <c r="AA48" s="3"/>
      <c r="AB48" s="14"/>
    </row>
    <row r="49" spans="5:28">
      <c r="E49" s="3"/>
      <c r="L49" t="str">
        <v>WASSOLPAPREC19</v>
      </c>
      <c r="M49" t="str">
        <v>WASDSL</v>
      </c>
      <c r="N49" t="s">
        <v>427</v>
      </c>
      <c r="O49" s="3">
        <v>4.2171586568799711E-4</v>
      </c>
      <c r="T49" s="3"/>
      <c r="Y49" s="3"/>
      <c r="Z49" s="3"/>
      <c r="AA49" s="3"/>
      <c r="AB49" s="14"/>
    </row>
    <row r="50" spans="5:28">
      <c r="E50" s="3"/>
      <c r="L50" t="str">
        <v>WASSOLGLAREC19</v>
      </c>
      <c r="M50" t="str">
        <v>WASDSL</v>
      </c>
      <c r="N50" t="s">
        <v>427</v>
      </c>
      <c r="O50" s="3">
        <v>4.2171586568799711E-4</v>
      </c>
      <c r="T50" s="3"/>
      <c r="Y50" s="3"/>
      <c r="Z50" s="3"/>
      <c r="AA50" s="3"/>
      <c r="AB50" s="14"/>
    </row>
    <row r="51" spans="5:28">
      <c r="E51" s="3"/>
      <c r="L51" t="str">
        <v>WASSOLMETREC19</v>
      </c>
      <c r="M51" t="str">
        <v>WASDSL</v>
      </c>
      <c r="N51" t="s">
        <v>427</v>
      </c>
      <c r="O51" s="3">
        <v>4.2171586568799711E-4</v>
      </c>
      <c r="T51" s="3"/>
      <c r="Y51" s="3"/>
      <c r="Z51" s="3"/>
      <c r="AA51" s="3"/>
      <c r="AB51" s="14"/>
    </row>
    <row r="52" spans="5:28">
      <c r="E52" s="3"/>
      <c r="L52" t="str">
        <v>WASSOLPLAREC19</v>
      </c>
      <c r="M52" t="str">
        <v>WASDSL</v>
      </c>
      <c r="N52" t="s">
        <v>427</v>
      </c>
      <c r="O52" s="3">
        <v>4.2171586568799711E-4</v>
      </c>
      <c r="T52" s="3"/>
      <c r="Y52" s="3"/>
      <c r="Z52" s="3"/>
      <c r="AA52" s="3"/>
      <c r="AB52" s="14"/>
    </row>
    <row r="53" spans="5:28">
      <c r="E53" s="3"/>
      <c r="L53" t="str">
        <v>WASSOLFOOREC19</v>
      </c>
      <c r="M53" t="str">
        <v>WASDSL</v>
      </c>
      <c r="N53" t="s">
        <v>427</v>
      </c>
      <c r="O53" s="3">
        <v>4.2171586568799711E-4</v>
      </c>
      <c r="T53" s="3"/>
      <c r="Y53" s="3"/>
      <c r="Z53" s="3"/>
      <c r="AA53" s="3"/>
      <c r="AB53" s="14"/>
    </row>
    <row r="54" spans="5:28">
      <c r="E54" s="3"/>
      <c r="L54" t="str">
        <v>WASSOLYARREC19</v>
      </c>
      <c r="M54" t="str">
        <v>WASDSL</v>
      </c>
      <c r="N54" t="s">
        <v>427</v>
      </c>
      <c r="O54" s="3">
        <v>4.2171586568799711E-4</v>
      </c>
      <c r="T54" s="3"/>
      <c r="Y54" s="3"/>
      <c r="Z54" s="3"/>
      <c r="AA54" s="3"/>
      <c r="AB54" s="14"/>
    </row>
    <row r="55" spans="5:28">
      <c r="E55" s="3"/>
      <c r="L55" s="319" t="str">
        <v>WASSOLAOTREC19</v>
      </c>
      <c r="M55" s="319" t="str">
        <v>WASDSL</v>
      </c>
      <c r="N55" s="319" t="s">
        <v>427</v>
      </c>
      <c r="O55" s="320">
        <v>4.2171586568799711E-4</v>
      </c>
      <c r="T55" s="3"/>
      <c r="Y55" s="3"/>
      <c r="Z55" s="3"/>
      <c r="AA55" s="3"/>
      <c r="AB55" s="14"/>
    </row>
    <row r="56" spans="5:28">
      <c r="E56" s="3"/>
      <c r="L56" t="str">
        <v>WASSOLHISLDF19</v>
      </c>
      <c r="M56" t="str">
        <v>WASELC</v>
      </c>
      <c r="N56" t="s">
        <v>427</v>
      </c>
      <c r="O56" s="3">
        <v>6.0542239213872177E-4</v>
      </c>
      <c r="T56" s="3"/>
      <c r="Y56" s="3"/>
      <c r="Z56" s="3"/>
      <c r="AA56" s="3"/>
      <c r="AB56" s="14"/>
    </row>
    <row r="57" spans="5:28">
      <c r="E57" s="3"/>
      <c r="L57" s="319" t="str">
        <v>WASSOLHISLDF19</v>
      </c>
      <c r="M57" s="319" t="str">
        <v>WASDSL</v>
      </c>
      <c r="N57" s="319" t="s">
        <v>427</v>
      </c>
      <c r="O57" s="320">
        <v>3.5039062401273272E-4</v>
      </c>
      <c r="T57" s="3"/>
      <c r="Y57" s="3"/>
      <c r="Z57" s="3"/>
      <c r="AA57" s="3"/>
      <c r="AB57" s="14"/>
    </row>
    <row r="58" spans="5:28">
      <c r="E58" s="3"/>
      <c r="L58" t="str">
        <v>WASWATTRTNOT19</v>
      </c>
      <c r="M58" t="str">
        <v>WASELC</v>
      </c>
      <c r="N58" t="s">
        <v>427</v>
      </c>
      <c r="O58" s="3">
        <v>2</v>
      </c>
      <c r="T58" s="3"/>
      <c r="Y58" s="3"/>
      <c r="Z58" s="3"/>
      <c r="AA58" s="3"/>
      <c r="AB58" s="14"/>
    </row>
    <row r="59" spans="5:28">
      <c r="E59" s="3"/>
      <c r="L59" s="319" t="str">
        <v>WASWATTRTNOT19</v>
      </c>
      <c r="M59" s="319" t="str">
        <v>WASNGA</v>
      </c>
      <c r="N59" s="319" t="s">
        <v>427</v>
      </c>
      <c r="O59" s="320">
        <v>6</v>
      </c>
      <c r="T59" s="3"/>
      <c r="Y59" s="3"/>
      <c r="Z59" s="3"/>
      <c r="AA59" s="3"/>
      <c r="AB59" s="14"/>
    </row>
    <row r="60" spans="5:28">
      <c r="E60" s="3"/>
      <c r="L60" t="str">
        <v>WASWATTRTWAD19</v>
      </c>
      <c r="M60" t="str">
        <v>WASELC</v>
      </c>
      <c r="N60" t="s">
        <v>427</v>
      </c>
      <c r="O60" s="3">
        <v>2</v>
      </c>
      <c r="T60" s="3"/>
      <c r="Y60" s="3"/>
      <c r="Z60" s="3"/>
      <c r="AA60" s="3"/>
      <c r="AB60" s="14"/>
    </row>
    <row r="61" spans="5:28">
      <c r="E61" s="3"/>
      <c r="L61" s="319" t="str">
        <v>WASWATTRTWAD19</v>
      </c>
      <c r="M61" s="319" t="str">
        <v>WASNGA</v>
      </c>
      <c r="N61" s="319" t="s">
        <v>427</v>
      </c>
      <c r="O61" s="320">
        <v>6</v>
      </c>
      <c r="T61" s="3"/>
      <c r="Y61" s="3"/>
      <c r="Z61" s="3"/>
      <c r="AA61" s="3"/>
      <c r="AB61" s="14"/>
    </row>
    <row r="62" spans="5:28">
      <c r="E62" s="3"/>
      <c r="L62" t="str">
        <v>WASWATTRTWDN19</v>
      </c>
      <c r="M62" t="str">
        <v>WASELC</v>
      </c>
      <c r="N62" t="s">
        <v>427</v>
      </c>
      <c r="O62" s="3">
        <v>2</v>
      </c>
      <c r="T62" s="3"/>
      <c r="Y62" s="3"/>
      <c r="Z62" s="3"/>
      <c r="AA62" s="3"/>
      <c r="AB62" s="14"/>
    </row>
    <row r="63" spans="5:28">
      <c r="E63" s="3"/>
      <c r="L63" s="319" t="str">
        <v>WASWATTRTWDN19</v>
      </c>
      <c r="M63" s="319" t="str">
        <v>WASNGA</v>
      </c>
      <c r="N63" s="319" t="s">
        <v>427</v>
      </c>
      <c r="O63" s="320">
        <v>6</v>
      </c>
      <c r="T63" s="3"/>
      <c r="Y63" s="3"/>
      <c r="Z63" s="3"/>
      <c r="AA63" s="3"/>
      <c r="AB63" s="14"/>
    </row>
    <row r="64" spans="5:28">
      <c r="E64" s="3"/>
      <c r="L64" t="str">
        <v>WASWATTRTWAN19</v>
      </c>
      <c r="M64" t="str">
        <v>WASELC</v>
      </c>
      <c r="N64" t="s">
        <v>427</v>
      </c>
      <c r="O64" s="3">
        <v>2</v>
      </c>
      <c r="T64" s="3"/>
      <c r="Y64" s="3"/>
      <c r="Z64" s="3"/>
      <c r="AA64" s="3"/>
      <c r="AB64" s="14"/>
    </row>
    <row r="65" spans="5:28">
      <c r="E65" s="3"/>
      <c r="L65" t="str">
        <v>WASWATTRTWAN19</v>
      </c>
      <c r="M65" t="str">
        <v>WASNGA</v>
      </c>
      <c r="N65" t="s">
        <v>427</v>
      </c>
      <c r="O65" s="3">
        <v>6</v>
      </c>
      <c r="T65" s="3"/>
      <c r="Y65" s="3"/>
      <c r="Z65" s="3"/>
      <c r="AA65" s="3"/>
      <c r="AB65" s="14"/>
    </row>
    <row r="66" spans="5:28">
      <c r="E66" s="3"/>
      <c r="O66" s="3"/>
      <c r="T66" s="3"/>
      <c r="Y66" s="3"/>
      <c r="Z66" s="3"/>
      <c r="AA66" s="3"/>
      <c r="AB66" s="14"/>
    </row>
    <row r="67" spans="5:28">
      <c r="E67" s="3"/>
      <c r="O67" s="3"/>
      <c r="T67" s="3"/>
      <c r="Y67" s="3"/>
      <c r="Z67" s="3"/>
      <c r="AA67" s="3"/>
      <c r="AB67" s="14"/>
    </row>
    <row r="68" spans="5:28">
      <c r="E68" s="3"/>
      <c r="O68" s="3"/>
      <c r="T68" s="3"/>
      <c r="Y68" s="3"/>
      <c r="Z68" s="3"/>
      <c r="AA68" s="3"/>
      <c r="AB68" s="14"/>
    </row>
    <row r="69" spans="5:28">
      <c r="E69" s="3"/>
      <c r="O69" s="3"/>
      <c r="T69" s="3"/>
      <c r="Y69" s="3"/>
      <c r="Z69" s="3"/>
      <c r="AA69" s="3"/>
      <c r="AB69" s="14"/>
    </row>
    <row r="70" spans="5:28">
      <c r="E70" s="3"/>
      <c r="O70" s="3"/>
      <c r="T70" s="3"/>
      <c r="Y70" s="3"/>
      <c r="Z70" s="3"/>
      <c r="AA70" s="3"/>
      <c r="AB70" s="14"/>
    </row>
    <row r="71" spans="5:28">
      <c r="E71" s="3"/>
      <c r="O71" s="3"/>
      <c r="T71" s="3"/>
      <c r="Y71" s="3"/>
      <c r="Z71" s="3"/>
      <c r="AA71" s="3"/>
      <c r="AB71" s="14"/>
    </row>
    <row r="72" spans="5:28">
      <c r="E72" s="3"/>
      <c r="O72" s="3"/>
      <c r="T72" s="3"/>
      <c r="Y72" s="3"/>
      <c r="Z72" s="3"/>
      <c r="AA72" s="3"/>
      <c r="AB72" s="14"/>
    </row>
    <row r="73" spans="5:28">
      <c r="E73" s="3"/>
      <c r="O73" s="3"/>
      <c r="T73" s="3"/>
      <c r="Y73" s="3"/>
      <c r="Z73" s="3"/>
      <c r="AA73" s="3"/>
      <c r="AB73" s="14"/>
    </row>
    <row r="74" spans="5:28">
      <c r="E74" s="3"/>
      <c r="O74" s="3"/>
      <c r="T74" s="3"/>
      <c r="Y74" s="3"/>
      <c r="Z74" s="3"/>
      <c r="AA74" s="3"/>
      <c r="AB74" s="14"/>
    </row>
    <row r="75" spans="5:28">
      <c r="E75" s="3"/>
      <c r="O75" s="3"/>
      <c r="T75" s="3"/>
      <c r="Y75" s="3"/>
      <c r="Z75" s="3"/>
      <c r="AA75" s="3"/>
      <c r="AB75" s="14"/>
    </row>
    <row r="76" spans="5:28">
      <c r="E76" s="3"/>
      <c r="O76" s="3"/>
      <c r="T76" s="3"/>
      <c r="Y76" s="3"/>
      <c r="Z76" s="3"/>
      <c r="AA76" s="3"/>
      <c r="AB76" s="14"/>
    </row>
    <row r="77" spans="5:28">
      <c r="E77" s="3"/>
      <c r="O77" s="3"/>
      <c r="T77" s="3"/>
      <c r="Y77" s="3"/>
      <c r="Z77" s="3"/>
      <c r="AA77" s="3"/>
      <c r="AB77" s="14"/>
    </row>
    <row r="78" spans="5:28">
      <c r="E78" s="3"/>
      <c r="O78" s="3"/>
      <c r="T78" s="3"/>
      <c r="Y78" s="3"/>
      <c r="Z78" s="3"/>
      <c r="AA78" s="3"/>
      <c r="AB78" s="14"/>
    </row>
    <row r="79" spans="5:28">
      <c r="E79" s="3"/>
      <c r="O79" s="3"/>
      <c r="T79" s="3"/>
      <c r="Y79" s="3"/>
      <c r="Z79" s="3"/>
      <c r="AA79" s="3"/>
      <c r="AB79" s="14"/>
    </row>
    <row r="80" spans="5:28">
      <c r="E80" s="3"/>
      <c r="O80" s="3"/>
      <c r="T80" s="3"/>
      <c r="Y80" s="3"/>
      <c r="Z80" s="3"/>
      <c r="AA80" s="3"/>
      <c r="AB80" s="14"/>
    </row>
    <row r="81" spans="5:28">
      <c r="E81" s="3"/>
      <c r="O81" s="3"/>
      <c r="T81" s="3"/>
      <c r="Y81" s="3"/>
      <c r="Z81" s="3"/>
      <c r="AA81" s="3"/>
      <c r="AB81" s="14"/>
    </row>
    <row r="82" spans="5:28">
      <c r="E82" s="3"/>
      <c r="O82" s="3"/>
      <c r="T82" s="3"/>
      <c r="Y82" s="3"/>
      <c r="Z82" s="3"/>
      <c r="AA82" s="3"/>
      <c r="AB82" s="14"/>
    </row>
    <row r="83" spans="5:28">
      <c r="E83" s="3"/>
      <c r="O83" s="3"/>
      <c r="T83" s="3"/>
      <c r="Y83" s="3"/>
      <c r="Z83" s="3"/>
      <c r="AA83" s="3"/>
      <c r="AB83" s="14"/>
    </row>
    <row r="84" spans="5:28">
      <c r="E84" s="3"/>
      <c r="O84" s="3"/>
      <c r="T84" s="3"/>
      <c r="Y84" s="3"/>
      <c r="Z84" s="3"/>
      <c r="AA84" s="3"/>
      <c r="AB84" s="14"/>
    </row>
    <row r="85" spans="5:28">
      <c r="E85" s="3"/>
      <c r="O85" s="3"/>
      <c r="T85" s="3"/>
      <c r="Y85" s="3"/>
      <c r="Z85" s="3"/>
      <c r="AA85" s="3"/>
      <c r="AB85" s="14"/>
    </row>
    <row r="86" spans="5:28">
      <c r="E86" s="3"/>
      <c r="O86" s="3"/>
      <c r="T86" s="3"/>
      <c r="Y86" s="3"/>
      <c r="Z86" s="3"/>
      <c r="AA86" s="3"/>
      <c r="AB86" s="14"/>
    </row>
    <row r="87" spans="5:28">
      <c r="E87" s="3"/>
      <c r="O87" s="3"/>
      <c r="T87" s="3"/>
      <c r="Y87" s="3"/>
      <c r="Z87" s="3"/>
      <c r="AA87" s="3"/>
      <c r="AB87" s="14"/>
    </row>
    <row r="88" spans="5:28">
      <c r="E88" s="3"/>
      <c r="O88" s="3"/>
      <c r="T88" s="3"/>
      <c r="Y88" s="3"/>
      <c r="Z88" s="3"/>
      <c r="AA88" s="3"/>
      <c r="AB88" s="14"/>
    </row>
    <row r="89" spans="5:28">
      <c r="E89" s="3"/>
      <c r="O89" s="3"/>
      <c r="T89" s="3"/>
      <c r="Y89" s="3"/>
      <c r="Z89" s="3"/>
      <c r="AA89" s="3"/>
      <c r="AB89" s="14"/>
    </row>
    <row r="90" spans="5:28">
      <c r="E90" s="3"/>
      <c r="O90" s="3"/>
      <c r="T90" s="3"/>
      <c r="Y90" s="3"/>
      <c r="Z90" s="3"/>
      <c r="AA90" s="3"/>
      <c r="AB90" s="14"/>
    </row>
    <row r="91" spans="5:28">
      <c r="E91" s="3"/>
      <c r="O91" s="3"/>
      <c r="T91" s="3"/>
      <c r="Y91" s="3"/>
      <c r="Z91" s="3"/>
      <c r="AA91" s="3"/>
      <c r="AB91" s="14"/>
    </row>
    <row r="92" spans="5:28">
      <c r="E92" s="3"/>
      <c r="O92" s="3"/>
      <c r="T92" s="3"/>
      <c r="Y92" s="3"/>
      <c r="Z92" s="3"/>
      <c r="AA92" s="3"/>
      <c r="AB92" s="14"/>
    </row>
    <row r="93" spans="5:28">
      <c r="E93" s="3"/>
      <c r="O93" s="3"/>
      <c r="T93" s="3"/>
      <c r="Y93" s="3"/>
      <c r="Z93" s="3"/>
      <c r="AA93" s="3"/>
      <c r="AB93" s="14"/>
    </row>
    <row r="94" spans="5:28">
      <c r="E94" s="3"/>
      <c r="O94" s="3"/>
      <c r="T94" s="3"/>
      <c r="Y94" s="3"/>
      <c r="Z94" s="3"/>
      <c r="AA94" s="3"/>
      <c r="AB94" s="14"/>
    </row>
    <row r="95" spans="5:28">
      <c r="E95" s="3"/>
      <c r="O95" s="3"/>
      <c r="T95" s="3"/>
      <c r="Y95" s="3"/>
      <c r="Z95" s="3"/>
      <c r="AA95" s="3"/>
      <c r="AB95" s="14"/>
    </row>
    <row r="96" spans="5:28">
      <c r="E96" s="3"/>
      <c r="O96" s="3"/>
      <c r="T96" s="3"/>
      <c r="Y96" s="3"/>
      <c r="Z96" s="3"/>
      <c r="AA96" s="3"/>
      <c r="AB96" s="14"/>
    </row>
    <row r="97" spans="5:28">
      <c r="E97" s="3"/>
      <c r="O97" s="3"/>
      <c r="T97" s="3"/>
      <c r="Y97" s="3"/>
      <c r="Z97" s="3"/>
      <c r="AA97" s="3"/>
      <c r="AB97" s="14"/>
    </row>
    <row r="98" spans="5:28">
      <c r="E98" s="3"/>
      <c r="O98" s="3"/>
      <c r="T98" s="3"/>
      <c r="Y98" s="3"/>
      <c r="Z98" s="3"/>
      <c r="AA98" s="3"/>
      <c r="AB98" s="14"/>
    </row>
    <row r="99" spans="5:28">
      <c r="E99" s="3"/>
      <c r="O99" s="3"/>
      <c r="T99" s="3"/>
      <c r="Y99" s="3"/>
      <c r="Z99" s="3"/>
      <c r="AA99" s="3"/>
      <c r="AB99" s="14"/>
    </row>
    <row r="100" spans="5:28">
      <c r="E100" s="3"/>
      <c r="O100" s="3"/>
      <c r="T100" s="3"/>
      <c r="Y100" s="3"/>
      <c r="Z100" s="3"/>
      <c r="AA100" s="3"/>
      <c r="AB100" s="14"/>
    </row>
    <row r="101" spans="5:28">
      <c r="E101" s="3"/>
      <c r="O101" s="3"/>
      <c r="T101" s="3"/>
      <c r="Y101" s="3"/>
      <c r="Z101" s="3"/>
      <c r="AA101" s="3"/>
      <c r="AB101" s="14"/>
    </row>
    <row r="102" spans="5:28">
      <c r="E102" s="3"/>
      <c r="O102" s="3"/>
      <c r="T102" s="3"/>
      <c r="Y102" s="3"/>
      <c r="Z102" s="3"/>
      <c r="AA102" s="3"/>
      <c r="AB102" s="14"/>
    </row>
    <row r="103" spans="5:28">
      <c r="E103" s="3"/>
      <c r="O103" s="3"/>
      <c r="T103" s="3"/>
      <c r="Y103" s="3"/>
      <c r="Z103" s="3"/>
      <c r="AA103" s="3"/>
      <c r="AB103" s="14"/>
    </row>
    <row r="104" spans="5:28">
      <c r="E104" s="3"/>
      <c r="O104" s="3"/>
      <c r="T104" s="3"/>
      <c r="Y104" s="3"/>
      <c r="Z104" s="3"/>
      <c r="AA104" s="3"/>
      <c r="AB104" s="14"/>
    </row>
    <row r="105" spans="5:28">
      <c r="E105" s="3"/>
      <c r="O105" s="3"/>
      <c r="T105" s="3"/>
      <c r="Y105" s="3"/>
      <c r="Z105" s="3"/>
      <c r="AA105" s="3"/>
      <c r="AB105" s="14"/>
    </row>
    <row r="106" spans="5:28">
      <c r="E106" s="3"/>
      <c r="O106" s="3"/>
      <c r="T106" s="3"/>
      <c r="Y106" s="3"/>
      <c r="Z106" s="3"/>
      <c r="AA106" s="3"/>
      <c r="AB106" s="14"/>
    </row>
    <row r="107" spans="5:28">
      <c r="E107" s="3"/>
      <c r="O107" s="3"/>
      <c r="T107" s="3"/>
      <c r="Y107" s="3"/>
      <c r="Z107" s="3"/>
      <c r="AA107" s="3"/>
      <c r="AB107" s="14"/>
    </row>
    <row r="108" spans="5:28">
      <c r="E108" s="3"/>
      <c r="O108" s="3"/>
      <c r="T108" s="3"/>
      <c r="Y108" s="3"/>
      <c r="Z108" s="3"/>
      <c r="AA108" s="3"/>
      <c r="AB108" s="14"/>
    </row>
    <row r="109" spans="5:28">
      <c r="E109" s="3"/>
      <c r="O109" s="3"/>
      <c r="T109" s="3"/>
      <c r="Y109" s="3"/>
      <c r="Z109" s="3"/>
      <c r="AA109" s="3"/>
      <c r="AB109" s="14"/>
    </row>
    <row r="110" spans="5:28">
      <c r="E110" s="3"/>
      <c r="O110" s="3"/>
      <c r="T110" s="3"/>
      <c r="Y110" s="3"/>
      <c r="Z110" s="3"/>
      <c r="AA110" s="3"/>
      <c r="AB110" s="14"/>
    </row>
    <row r="111" spans="5:28">
      <c r="E111" s="3"/>
      <c r="O111" s="3"/>
      <c r="T111" s="3"/>
      <c r="Y111" s="3"/>
      <c r="Z111" s="3"/>
      <c r="AA111" s="3"/>
      <c r="AB111" s="14"/>
    </row>
    <row r="112" spans="5:28">
      <c r="E112" s="3"/>
      <c r="O112" s="3"/>
      <c r="T112" s="3"/>
      <c r="Y112" s="3"/>
      <c r="Z112" s="3"/>
      <c r="AA112" s="3"/>
      <c r="AB112" s="14"/>
    </row>
    <row r="113" spans="5:28">
      <c r="E113" s="3"/>
      <c r="O113" s="3"/>
      <c r="T113" s="3"/>
      <c r="Y113" s="3"/>
      <c r="Z113" s="3"/>
      <c r="AA113" s="3"/>
      <c r="AB113" s="14"/>
    </row>
    <row r="114" spans="5:28">
      <c r="E114" s="3"/>
      <c r="O114" s="3"/>
      <c r="T114" s="3"/>
      <c r="Y114" s="3"/>
      <c r="Z114" s="3"/>
      <c r="AA114" s="3"/>
      <c r="AB114" s="14"/>
    </row>
    <row r="115" spans="5:28">
      <c r="E115" s="3"/>
      <c r="O115" s="3"/>
      <c r="T115" s="3"/>
      <c r="Y115" s="3"/>
      <c r="Z115" s="3"/>
      <c r="AA115" s="3"/>
      <c r="AB115" s="14"/>
    </row>
    <row r="116" spans="5:28">
      <c r="E116" s="3"/>
      <c r="O116" s="3"/>
      <c r="T116" s="3"/>
      <c r="Y116" s="3"/>
      <c r="Z116" s="3"/>
      <c r="AA116" s="3"/>
      <c r="AB116" s="14"/>
    </row>
    <row r="117" spans="5:28">
      <c r="E117" s="3"/>
      <c r="O117" s="3"/>
      <c r="T117" s="3"/>
      <c r="Y117" s="3"/>
      <c r="Z117" s="3"/>
      <c r="AA117" s="3"/>
      <c r="AB117" s="14"/>
    </row>
    <row r="118" spans="5:28">
      <c r="E118" s="3"/>
      <c r="O118" s="3"/>
      <c r="T118" s="3"/>
      <c r="Y118" s="3"/>
      <c r="Z118" s="3"/>
      <c r="AA118" s="3"/>
      <c r="AB118" s="14"/>
    </row>
    <row r="119" spans="5:28">
      <c r="E119" s="3"/>
      <c r="O119" s="3"/>
      <c r="T119" s="3"/>
      <c r="Y119" s="3"/>
      <c r="Z119" s="3"/>
      <c r="AA119" s="3"/>
      <c r="AB119" s="14"/>
    </row>
    <row r="120" spans="5:28">
      <c r="E120" s="3"/>
      <c r="O120" s="3"/>
      <c r="T120" s="3"/>
      <c r="Y120" s="3"/>
      <c r="Z120" s="3"/>
      <c r="AA120" s="3"/>
      <c r="AB120" s="14"/>
    </row>
    <row r="121" spans="5:28">
      <c r="E121" s="3"/>
      <c r="O121" s="3"/>
      <c r="T121" s="3"/>
      <c r="Y121" s="3"/>
      <c r="Z121" s="3"/>
      <c r="AA121" s="3"/>
      <c r="AB121" s="14"/>
    </row>
    <row r="122" spans="5:28">
      <c r="E122" s="3"/>
      <c r="O122" s="3"/>
      <c r="T122" s="3"/>
      <c r="Y122" s="3"/>
      <c r="Z122" s="3"/>
      <c r="AA122" s="3"/>
      <c r="AB122" s="14"/>
    </row>
    <row r="123" spans="5:28">
      <c r="E123" s="3"/>
      <c r="O123" s="3"/>
      <c r="T123" s="3"/>
      <c r="Y123" s="3"/>
      <c r="Z123" s="3"/>
      <c r="AA123" s="3"/>
      <c r="AB123" s="14"/>
    </row>
    <row r="124" spans="5:28">
      <c r="Y124" s="3"/>
      <c r="Z124" s="3"/>
      <c r="AA124" s="3"/>
      <c r="AB124" s="14"/>
    </row>
    <row r="125" spans="5:28">
      <c r="Y125" s="3"/>
      <c r="Z125" s="3"/>
      <c r="AA125" s="3"/>
      <c r="AB125" s="14"/>
    </row>
    <row r="126" spans="5:28">
      <c r="Y126" s="3"/>
      <c r="Z126" s="3"/>
      <c r="AA126" s="3"/>
      <c r="AB126" s="14"/>
    </row>
    <row r="127" spans="5:28">
      <c r="Y127" s="3"/>
      <c r="Z127" s="3"/>
      <c r="AA127" s="3"/>
      <c r="AB127" s="14"/>
    </row>
    <row r="128" spans="5:28">
      <c r="Y128" s="3"/>
      <c r="Z128" s="3"/>
      <c r="AA128" s="3"/>
      <c r="AB128" s="14"/>
    </row>
    <row r="129" spans="25:28">
      <c r="Y129" s="3"/>
      <c r="Z129" s="3"/>
      <c r="AA129" s="3"/>
      <c r="AB129" s="14"/>
    </row>
    <row r="130" spans="25:28">
      <c r="Y130" s="3"/>
      <c r="Z130" s="3"/>
      <c r="AA130" s="3"/>
      <c r="AB130" s="14"/>
    </row>
    <row r="131" spans="25:28">
      <c r="Y131" s="3"/>
      <c r="Z131" s="3"/>
      <c r="AA131" s="3"/>
      <c r="AB131" s="14"/>
    </row>
    <row r="132" spans="25:28">
      <c r="Y132" s="3"/>
      <c r="Z132" s="3"/>
      <c r="AA132" s="3"/>
      <c r="AB132" s="14"/>
    </row>
    <row r="133" spans="25:28">
      <c r="Y133" s="3"/>
      <c r="Z133" s="3"/>
      <c r="AA133" s="3"/>
      <c r="AB133" s="14"/>
    </row>
    <row r="134" spans="25:28">
      <c r="Y134" s="3"/>
      <c r="Z134" s="3"/>
      <c r="AA134" s="3"/>
      <c r="AB134" s="14"/>
    </row>
    <row r="135" spans="25:28">
      <c r="Y135" s="3"/>
      <c r="Z135" s="3"/>
      <c r="AA135" s="3"/>
      <c r="AB135" s="14"/>
    </row>
    <row r="136" spans="25:28">
      <c r="Y136" s="3"/>
      <c r="Z136" s="3"/>
      <c r="AA136" s="3"/>
      <c r="AB136" s="14"/>
    </row>
    <row r="137" spans="25:28">
      <c r="Y137" s="3"/>
      <c r="Z137" s="3"/>
      <c r="AA137" s="3"/>
      <c r="AB137" s="14"/>
    </row>
    <row r="138" spans="25:28">
      <c r="Y138" s="3"/>
      <c r="Z138" s="3"/>
      <c r="AA138" s="3"/>
      <c r="AB138" s="14"/>
    </row>
    <row r="139" spans="25:28">
      <c r="Y139" s="3"/>
      <c r="Z139" s="3"/>
      <c r="AA139" s="3"/>
      <c r="AB139" s="14"/>
    </row>
    <row r="140" spans="25:28">
      <c r="Y140" s="3"/>
      <c r="Z140" s="3"/>
      <c r="AA140" s="3"/>
      <c r="AB140" s="14"/>
    </row>
    <row r="141" spans="25:28">
      <c r="Y141" s="3"/>
      <c r="Z141" s="3"/>
      <c r="AA141" s="3"/>
      <c r="AB141" s="14"/>
    </row>
    <row r="142" spans="25:28">
      <c r="Y142" s="3"/>
      <c r="Z142" s="3"/>
      <c r="AA142" s="3"/>
      <c r="AB142" s="14"/>
    </row>
    <row r="143" spans="25:28">
      <c r="Y143" s="3"/>
      <c r="Z143" s="3"/>
      <c r="AA143" s="3"/>
      <c r="AB143" s="14"/>
    </row>
    <row r="144" spans="25:28">
      <c r="Y144" s="3"/>
      <c r="Z144" s="3"/>
      <c r="AA144" s="3"/>
      <c r="AB144" s="14"/>
    </row>
    <row r="145" spans="25:28">
      <c r="Y145" s="3"/>
      <c r="Z145" s="3"/>
      <c r="AA145" s="3"/>
      <c r="AB145" s="14"/>
    </row>
    <row r="146" spans="25:28">
      <c r="Y146" s="3"/>
      <c r="Z146" s="3"/>
      <c r="AA146" s="3"/>
      <c r="AB146" s="14"/>
    </row>
    <row r="147" spans="25:28">
      <c r="Y147" s="3"/>
      <c r="Z147" s="3"/>
      <c r="AA147" s="3"/>
      <c r="AB147" s="14"/>
    </row>
    <row r="148" spans="25:28">
      <c r="Y148" s="3"/>
      <c r="Z148" s="3"/>
      <c r="AA148" s="3"/>
      <c r="AB148" s="14"/>
    </row>
    <row r="149" spans="25:28">
      <c r="Y149" s="3"/>
      <c r="Z149" s="3"/>
      <c r="AA149" s="3"/>
      <c r="AB149" s="14"/>
    </row>
    <row r="150" spans="25:28">
      <c r="Y150" s="3"/>
      <c r="Z150" s="3"/>
      <c r="AA150" s="3"/>
      <c r="AB150" s="14"/>
    </row>
    <row r="151" spans="25:28">
      <c r="Y151" s="3"/>
      <c r="Z151" s="3"/>
      <c r="AA151" s="3"/>
      <c r="AB151" s="14"/>
    </row>
    <row r="152" spans="25:28">
      <c r="Y152" s="3"/>
      <c r="Z152" s="3"/>
      <c r="AA152" s="3"/>
      <c r="AB152" s="14"/>
    </row>
    <row r="153" spans="25:28">
      <c r="Y153" s="3"/>
      <c r="Z153" s="3"/>
      <c r="AA153" s="3"/>
      <c r="AB153" s="14"/>
    </row>
    <row r="154" spans="25:28">
      <c r="Y154" s="3"/>
      <c r="Z154" s="3"/>
      <c r="AA154" s="3"/>
      <c r="AB154" s="14"/>
    </row>
    <row r="155" spans="25:28">
      <c r="Y155" s="3"/>
      <c r="Z155" s="3"/>
      <c r="AA155" s="3"/>
      <c r="AB155" s="14"/>
    </row>
    <row r="156" spans="25:28">
      <c r="Y156" s="3"/>
      <c r="Z156" s="3"/>
      <c r="AA156" s="3"/>
      <c r="AB156" s="14"/>
    </row>
    <row r="157" spans="25:28">
      <c r="Y157" s="3"/>
      <c r="Z157" s="3"/>
      <c r="AA157" s="3"/>
      <c r="AB157" s="14"/>
    </row>
    <row r="158" spans="25:28">
      <c r="Y158" s="3"/>
      <c r="Z158" s="3"/>
      <c r="AA158" s="3"/>
      <c r="AB158" s="14"/>
    </row>
    <row r="159" spans="25:28">
      <c r="Y159" s="3"/>
      <c r="Z159" s="3"/>
      <c r="AA159" s="3"/>
      <c r="AB159" s="14"/>
    </row>
    <row r="160" spans="25:28">
      <c r="Y160" s="3"/>
      <c r="Z160" s="3"/>
      <c r="AA160" s="3"/>
      <c r="AB160" s="14"/>
    </row>
    <row r="161" spans="25:28">
      <c r="Y161" s="3"/>
      <c r="Z161" s="3"/>
      <c r="AA161" s="3"/>
      <c r="AB161" s="14"/>
    </row>
    <row r="162" spans="25:28">
      <c r="Y162" s="3"/>
      <c r="Z162" s="3"/>
      <c r="AA162" s="3"/>
      <c r="AB162" s="14"/>
    </row>
    <row r="163" spans="25:28">
      <c r="Y163" s="3"/>
      <c r="Z163" s="3"/>
      <c r="AA163" s="3"/>
      <c r="AB163" s="14"/>
    </row>
    <row r="164" spans="25:28">
      <c r="Y164" s="3"/>
      <c r="Z164" s="3"/>
      <c r="AA164" s="3"/>
      <c r="AB164" s="14"/>
    </row>
    <row r="165" spans="25:28">
      <c r="Y165" s="3"/>
      <c r="Z165" s="3"/>
      <c r="AA165" s="3"/>
      <c r="AB165" s="14"/>
    </row>
    <row r="166" spans="25:28">
      <c r="Y166" s="3"/>
      <c r="Z166" s="3"/>
      <c r="AA166" s="3"/>
      <c r="AB166" s="14"/>
    </row>
    <row r="167" spans="25:28">
      <c r="Y167" s="3"/>
      <c r="Z167" s="3"/>
      <c r="AA167" s="3"/>
      <c r="AB167" s="14"/>
    </row>
    <row r="168" spans="25:28">
      <c r="Y168" s="3"/>
      <c r="Z168" s="3"/>
      <c r="AA168" s="3"/>
      <c r="AB168" s="14"/>
    </row>
    <row r="169" spans="25:28">
      <c r="Y169" s="3"/>
      <c r="Z169" s="3"/>
      <c r="AA169" s="3"/>
      <c r="AB169" s="14"/>
    </row>
    <row r="170" spans="25:28">
      <c r="Y170" s="3"/>
      <c r="Z170" s="3"/>
      <c r="AA170" s="3"/>
      <c r="AB170" s="14"/>
    </row>
    <row r="171" spans="25:28">
      <c r="Y171" s="3"/>
      <c r="Z171" s="3"/>
      <c r="AA171" s="3"/>
      <c r="AB171" s="14"/>
    </row>
    <row r="172" spans="25:28">
      <c r="Y172" s="3"/>
      <c r="Z172" s="3"/>
      <c r="AA172" s="3"/>
      <c r="AB172" s="14"/>
    </row>
    <row r="173" spans="25:28">
      <c r="Y173" s="3"/>
      <c r="Z173" s="3"/>
      <c r="AA173" s="3"/>
      <c r="AB173" s="14"/>
    </row>
    <row r="174" spans="25:28">
      <c r="Y174" s="3"/>
      <c r="Z174" s="3"/>
      <c r="AA174" s="3"/>
      <c r="AB174" s="14"/>
    </row>
    <row r="175" spans="25:28">
      <c r="Y175" s="3"/>
      <c r="Z175" s="3"/>
      <c r="AA175" s="3"/>
      <c r="AB175" s="14"/>
    </row>
    <row r="176" spans="25:28">
      <c r="Y176" s="3"/>
      <c r="Z176" s="3"/>
      <c r="AA176" s="3"/>
      <c r="AB176" s="14"/>
    </row>
    <row r="177" spans="25:28">
      <c r="Y177" s="3"/>
      <c r="Z177" s="3"/>
      <c r="AA177" s="3"/>
      <c r="AB177" s="14"/>
    </row>
    <row r="178" spans="25:28">
      <c r="Y178" s="3"/>
      <c r="Z178" s="3"/>
      <c r="AA178" s="3"/>
      <c r="AB178" s="14"/>
    </row>
    <row r="179" spans="25:28">
      <c r="Y179" s="3"/>
      <c r="Z179" s="3"/>
      <c r="AA179" s="3"/>
      <c r="AB179" s="14"/>
    </row>
    <row r="180" spans="25:28">
      <c r="Y180" s="3"/>
      <c r="Z180" s="3"/>
      <c r="AA180" s="3"/>
      <c r="AB180" s="14"/>
    </row>
    <row r="181" spans="25:28">
      <c r="Y181" s="3"/>
      <c r="Z181" s="3"/>
      <c r="AA181" s="3"/>
      <c r="AB181" s="14"/>
    </row>
    <row r="182" spans="25:28">
      <c r="Y182" s="3"/>
      <c r="Z182" s="3"/>
      <c r="AA182" s="3"/>
      <c r="AB182" s="14"/>
    </row>
    <row r="183" spans="25:28">
      <c r="Y183" s="3"/>
      <c r="Z183" s="3"/>
      <c r="AA183" s="3"/>
      <c r="AB183" s="14"/>
    </row>
    <row r="184" spans="25:28">
      <c r="Y184" s="3"/>
      <c r="Z184" s="3"/>
      <c r="AA184" s="3"/>
      <c r="AB184" s="14"/>
    </row>
    <row r="185" spans="25:28">
      <c r="Y185" s="3"/>
      <c r="Z185" s="3"/>
      <c r="AA185" s="3"/>
      <c r="AB185" s="14"/>
    </row>
    <row r="186" spans="25:28">
      <c r="Y186" s="3"/>
      <c r="Z186" s="3"/>
      <c r="AA186" s="3"/>
      <c r="AB186" s="14"/>
    </row>
    <row r="187" spans="25:28">
      <c r="Y187" s="3"/>
      <c r="Z187" s="3"/>
      <c r="AA187" s="3"/>
      <c r="AB187" s="14"/>
    </row>
    <row r="188" spans="25:28">
      <c r="Y188" s="3"/>
      <c r="Z188" s="3"/>
      <c r="AA188" s="3"/>
      <c r="AB188" s="14"/>
    </row>
    <row r="189" spans="25:28">
      <c r="Y189" s="3"/>
      <c r="Z189" s="3"/>
      <c r="AA189" s="3"/>
      <c r="AB189" s="14"/>
    </row>
    <row r="190" spans="25:28">
      <c r="Y190" s="3"/>
      <c r="Z190" s="3"/>
      <c r="AA190" s="3"/>
      <c r="AB190" s="14"/>
    </row>
    <row r="191" spans="25:28">
      <c r="Y191" s="3"/>
      <c r="Z191" s="3"/>
      <c r="AA191" s="3"/>
      <c r="AB191" s="14"/>
    </row>
    <row r="192" spans="25:28">
      <c r="Y192" s="3"/>
      <c r="Z192" s="3"/>
      <c r="AA192" s="3"/>
      <c r="AB192" s="14"/>
    </row>
    <row r="193" spans="25:28">
      <c r="Y193" s="3"/>
      <c r="Z193" s="3"/>
      <c r="AA193" s="3"/>
      <c r="AB193" s="14"/>
    </row>
    <row r="194" spans="25:28">
      <c r="Y194" s="3"/>
      <c r="Z194" s="3"/>
      <c r="AA194" s="3"/>
      <c r="AB194" s="14"/>
    </row>
    <row r="195" spans="25:28">
      <c r="Y195" s="3"/>
      <c r="Z195" s="3"/>
      <c r="AA195" s="3"/>
      <c r="AB195" s="14"/>
    </row>
    <row r="196" spans="25:28">
      <c r="Y196" s="3"/>
      <c r="Z196" s="3"/>
      <c r="AA196" s="3"/>
      <c r="AB196" s="14"/>
    </row>
    <row r="197" spans="25:28">
      <c r="Y197" s="3"/>
      <c r="Z197" s="3"/>
      <c r="AA197" s="3"/>
      <c r="AB197" s="14"/>
    </row>
    <row r="198" spans="25:28">
      <c r="Y198" s="3"/>
      <c r="Z198" s="3"/>
      <c r="AA198" s="3"/>
      <c r="AB198" s="14"/>
    </row>
    <row r="199" spans="25:28">
      <c r="Y199" s="3"/>
      <c r="Z199" s="3"/>
      <c r="AA199" s="3"/>
      <c r="AB199" s="14"/>
    </row>
    <row r="200" spans="25:28">
      <c r="Y200" s="3"/>
      <c r="Z200" s="3"/>
      <c r="AA200" s="3"/>
      <c r="AB200" s="14"/>
    </row>
    <row r="201" spans="25:28">
      <c r="Y201" s="3"/>
      <c r="Z201" s="3"/>
      <c r="AA201" s="3"/>
      <c r="AB201" s="14"/>
    </row>
    <row r="202" spans="25:28">
      <c r="Y202" s="3"/>
      <c r="Z202" s="3"/>
      <c r="AA202" s="3"/>
      <c r="AB202" s="14"/>
    </row>
    <row r="203" spans="25:28">
      <c r="Y203" s="3"/>
      <c r="Z203" s="3"/>
      <c r="AA203" s="3"/>
      <c r="AB203" s="14"/>
    </row>
    <row r="204" spans="25:28">
      <c r="Y204" s="3"/>
      <c r="Z204" s="3"/>
      <c r="AA204" s="3"/>
      <c r="AB204" s="14"/>
    </row>
    <row r="205" spans="25:28">
      <c r="Y205" s="3"/>
      <c r="Z205" s="3"/>
      <c r="AA205" s="3"/>
      <c r="AB205" s="14"/>
    </row>
    <row r="206" spans="25:28">
      <c r="Y206" s="3"/>
      <c r="Z206" s="3"/>
      <c r="AA206" s="3"/>
      <c r="AB206" s="14"/>
    </row>
    <row r="207" spans="25:28">
      <c r="Y207" s="3"/>
      <c r="Z207" s="3"/>
      <c r="AA207" s="3"/>
      <c r="AB207" s="14"/>
    </row>
    <row r="208" spans="25:28">
      <c r="Y208" s="3"/>
      <c r="Z208" s="3"/>
      <c r="AA208" s="3"/>
      <c r="AB208" s="14"/>
    </row>
    <row r="209" spans="25:28">
      <c r="Y209" s="3"/>
      <c r="Z209" s="3"/>
      <c r="AA209" s="3"/>
      <c r="AB209" s="14"/>
    </row>
    <row r="210" spans="25:28">
      <c r="Y210" s="3"/>
      <c r="Z210" s="3"/>
      <c r="AA210" s="3"/>
      <c r="AB210" s="14"/>
    </row>
    <row r="211" spans="25:28">
      <c r="Y211" s="3"/>
      <c r="Z211" s="3"/>
      <c r="AA211" s="3"/>
      <c r="AB211" s="14"/>
    </row>
    <row r="212" spans="25:28">
      <c r="Y212" s="3"/>
      <c r="Z212" s="3"/>
      <c r="AA212" s="3"/>
      <c r="AB212" s="14"/>
    </row>
    <row r="213" spans="25:28">
      <c r="Y213" s="3"/>
      <c r="Z213" s="3"/>
      <c r="AA213" s="3"/>
      <c r="AB213" s="14"/>
    </row>
    <row r="214" spans="25:28">
      <c r="Y214" s="3"/>
      <c r="Z214" s="3"/>
      <c r="AA214" s="3"/>
      <c r="AB214" s="14"/>
    </row>
    <row r="215" spans="25:28">
      <c r="Y215" s="3"/>
      <c r="Z215" s="3"/>
      <c r="AA215" s="3"/>
      <c r="AB215" s="14"/>
    </row>
    <row r="216" spans="25:28">
      <c r="Y216" s="3"/>
      <c r="Z216" s="3"/>
      <c r="AA216" s="3"/>
      <c r="AB216" s="14"/>
    </row>
    <row r="217" spans="25:28">
      <c r="Y217" s="3"/>
      <c r="Z217" s="3"/>
      <c r="AA217" s="3"/>
      <c r="AB217" s="14"/>
    </row>
    <row r="218" spans="25:28">
      <c r="Y218" s="3"/>
      <c r="Z218" s="3"/>
      <c r="AA218" s="3"/>
      <c r="AB218" s="14"/>
    </row>
    <row r="219" spans="25:28">
      <c r="Y219" s="3"/>
      <c r="Z219" s="3"/>
      <c r="AA219" s="3"/>
      <c r="AB219" s="14"/>
    </row>
    <row r="220" spans="25:28">
      <c r="Y220" s="3"/>
      <c r="Z220" s="3"/>
      <c r="AA220" s="3"/>
      <c r="AB220" s="14"/>
    </row>
    <row r="221" spans="25:28">
      <c r="Y221" s="3"/>
      <c r="Z221" s="3"/>
      <c r="AA221" s="3"/>
      <c r="AB221" s="14"/>
    </row>
    <row r="222" spans="25:28">
      <c r="Y222" s="3"/>
      <c r="Z222" s="3"/>
      <c r="AA222" s="3"/>
      <c r="AB222" s="14"/>
    </row>
    <row r="223" spans="25:28">
      <c r="Y223" s="3"/>
      <c r="Z223" s="3"/>
      <c r="AA223" s="3"/>
      <c r="AB223" s="14"/>
    </row>
    <row r="224" spans="25:28">
      <c r="Y224" s="3"/>
      <c r="Z224" s="3"/>
      <c r="AA224" s="3"/>
      <c r="AB224" s="14"/>
    </row>
    <row r="225" spans="25:28">
      <c r="Y225" s="3"/>
      <c r="Z225" s="3"/>
      <c r="AA225" s="3"/>
      <c r="AB225" s="14"/>
    </row>
    <row r="226" spans="25:28">
      <c r="Y226" s="3"/>
      <c r="Z226" s="3"/>
      <c r="AA226" s="3"/>
      <c r="AB226" s="14"/>
    </row>
    <row r="227" spans="25:28">
      <c r="Y227" s="3"/>
      <c r="Z227" s="3"/>
      <c r="AA227" s="3"/>
      <c r="AB227" s="14"/>
    </row>
    <row r="228" spans="25:28">
      <c r="Y228" s="3"/>
      <c r="Z228" s="3"/>
      <c r="AA228" s="3"/>
      <c r="AB228" s="14"/>
    </row>
    <row r="229" spans="25:28">
      <c r="Y229" s="3"/>
      <c r="Z229" s="3"/>
      <c r="AA229" s="3"/>
      <c r="AB229" s="14"/>
    </row>
    <row r="230" spans="25:28">
      <c r="Y230" s="3"/>
      <c r="Z230" s="3"/>
      <c r="AA230" s="3"/>
      <c r="AB230" s="14"/>
    </row>
    <row r="231" spans="25:28">
      <c r="Y231" s="3"/>
      <c r="Z231" s="3"/>
      <c r="AA231" s="3"/>
      <c r="AB231" s="14"/>
    </row>
    <row r="232" spans="25:28">
      <c r="Y232" s="3"/>
      <c r="Z232" s="3"/>
      <c r="AA232" s="3"/>
      <c r="AB232" s="14"/>
    </row>
    <row r="233" spans="25:28">
      <c r="Y233" s="3"/>
      <c r="Z233" s="3"/>
      <c r="AA233" s="3"/>
      <c r="AB233" s="14"/>
    </row>
    <row r="234" spans="25:28">
      <c r="Y234" s="3"/>
      <c r="Z234" s="3"/>
      <c r="AA234" s="3"/>
      <c r="AB234" s="14"/>
    </row>
    <row r="235" spans="25:28">
      <c r="Y235" s="3"/>
      <c r="Z235" s="3"/>
      <c r="AA235" s="3"/>
      <c r="AB235" s="14"/>
    </row>
    <row r="236" spans="25:28">
      <c r="Y236" s="3"/>
      <c r="Z236" s="3"/>
      <c r="AA236" s="3"/>
      <c r="AB236" s="14"/>
    </row>
    <row r="237" spans="25:28">
      <c r="Y237" s="3"/>
      <c r="Z237" s="3"/>
      <c r="AA237" s="3"/>
      <c r="AB237" s="14"/>
    </row>
    <row r="238" spans="25:28">
      <c r="Y238" s="3"/>
      <c r="Z238" s="3"/>
      <c r="AA238" s="3"/>
      <c r="AB238" s="14"/>
    </row>
    <row r="239" spans="25:28">
      <c r="Y239" s="3"/>
      <c r="Z239" s="3"/>
      <c r="AA239" s="3"/>
      <c r="AB239" s="14"/>
    </row>
    <row r="240" spans="25:28">
      <c r="Y240" s="3"/>
      <c r="Z240" s="3"/>
      <c r="AA240" s="3"/>
      <c r="AB240" s="14"/>
    </row>
    <row r="241" spans="25:28">
      <c r="Y241" s="3"/>
      <c r="Z241" s="3"/>
      <c r="AA241" s="3"/>
      <c r="AB241" s="14"/>
    </row>
    <row r="242" spans="25:28">
      <c r="Y242" s="3"/>
      <c r="Z242" s="3"/>
      <c r="AA242" s="3"/>
      <c r="AB242" s="14"/>
    </row>
    <row r="243" spans="25:28">
      <c r="Y243" s="3"/>
      <c r="Z243" s="3"/>
      <c r="AA243" s="3"/>
      <c r="AB243" s="14"/>
    </row>
    <row r="244" spans="25:28">
      <c r="Y244" s="3"/>
      <c r="Z244" s="3"/>
      <c r="AA244" s="3"/>
      <c r="AB244" s="14"/>
    </row>
    <row r="245" spans="25:28">
      <c r="Y245" s="3"/>
      <c r="Z245" s="3"/>
      <c r="AA245" s="3"/>
      <c r="AB245" s="14"/>
    </row>
    <row r="246" spans="25:28">
      <c r="Y246" s="3"/>
      <c r="Z246" s="3"/>
      <c r="AA246" s="3"/>
      <c r="AB246" s="14"/>
    </row>
    <row r="247" spans="25:28">
      <c r="Y247" s="3"/>
      <c r="Z247" s="3"/>
      <c r="AA247" s="3"/>
      <c r="AB247" s="14"/>
    </row>
    <row r="248" spans="25:28">
      <c r="Y248" s="3"/>
      <c r="Z248" s="3"/>
      <c r="AA248" s="3"/>
      <c r="AB248" s="14"/>
    </row>
    <row r="249" spans="25:28">
      <c r="Y249" s="3"/>
      <c r="Z249" s="3"/>
      <c r="AA249" s="3"/>
      <c r="AB249" s="14"/>
    </row>
    <row r="250" spans="25:28">
      <c r="Y250" s="3"/>
      <c r="Z250" s="3"/>
      <c r="AA250" s="3"/>
      <c r="AB250" s="14"/>
    </row>
    <row r="251" spans="25:28">
      <c r="Y251" s="3"/>
      <c r="Z251" s="3"/>
      <c r="AA251" s="3"/>
      <c r="AB251" s="14"/>
    </row>
    <row r="252" spans="25:28">
      <c r="Y252" s="3"/>
      <c r="Z252" s="3"/>
      <c r="AA252" s="3"/>
      <c r="AB252" s="14"/>
    </row>
    <row r="253" spans="25:28">
      <c r="Y253" s="3"/>
      <c r="Z253" s="3"/>
      <c r="AA253" s="3"/>
      <c r="AB253" s="14"/>
    </row>
    <row r="254" spans="25:28">
      <c r="Y254" s="3"/>
      <c r="Z254" s="3"/>
      <c r="AA254" s="3"/>
      <c r="AB254" s="14"/>
    </row>
    <row r="255" spans="25:28">
      <c r="Y255" s="3"/>
      <c r="Z255" s="3"/>
      <c r="AA255" s="3"/>
      <c r="AB255" s="14"/>
    </row>
    <row r="256" spans="25:28">
      <c r="Y256" s="3"/>
      <c r="Z256" s="3"/>
      <c r="AA256" s="3"/>
      <c r="AB256" s="14"/>
    </row>
    <row r="257" spans="25:28">
      <c r="Y257" s="3"/>
      <c r="Z257" s="3"/>
      <c r="AA257" s="3"/>
      <c r="AB257" s="14"/>
    </row>
    <row r="258" spans="25:28">
      <c r="Y258" s="3"/>
      <c r="Z258" s="3"/>
      <c r="AA258" s="3"/>
      <c r="AB258" s="14"/>
    </row>
    <row r="259" spans="25:28">
      <c r="Y259" s="3"/>
      <c r="Z259" s="3"/>
      <c r="AA259" s="3"/>
      <c r="AB259" s="14"/>
    </row>
    <row r="260" spans="25:28">
      <c r="Y260" s="3"/>
      <c r="Z260" s="3"/>
      <c r="AA260" s="3"/>
      <c r="AB260" s="14"/>
    </row>
    <row r="261" spans="25:28">
      <c r="Y261" s="3"/>
      <c r="Z261" s="3"/>
      <c r="AA261" s="3"/>
      <c r="AB261" s="14"/>
    </row>
    <row r="262" spans="25:28">
      <c r="Y262" s="3"/>
      <c r="Z262" s="3"/>
      <c r="AA262" s="3"/>
      <c r="AB262" s="14"/>
    </row>
    <row r="263" spans="25:28">
      <c r="Y263" s="3"/>
      <c r="Z263" s="3"/>
      <c r="AA263" s="3"/>
      <c r="AB263" s="14"/>
    </row>
    <row r="264" spans="25:28">
      <c r="Y264" s="3"/>
      <c r="Z264" s="3"/>
      <c r="AA264" s="3"/>
      <c r="AB264" s="14"/>
    </row>
    <row r="265" spans="25:28">
      <c r="Y265" s="3"/>
      <c r="Z265" s="3"/>
      <c r="AA265" s="3"/>
      <c r="AB265" s="14"/>
    </row>
    <row r="266" spans="25:28">
      <c r="Y266" s="3"/>
      <c r="Z266" s="3"/>
      <c r="AA266" s="3"/>
      <c r="AB266" s="14"/>
    </row>
    <row r="267" spans="25:28">
      <c r="Y267" s="3"/>
      <c r="Z267" s="3"/>
      <c r="AA267" s="3"/>
      <c r="AB267" s="14"/>
    </row>
    <row r="268" spans="25:28">
      <c r="Y268" s="3"/>
      <c r="Z268" s="3"/>
      <c r="AA268" s="3"/>
      <c r="AB268" s="14"/>
    </row>
    <row r="269" spans="25:28">
      <c r="Y269" s="3"/>
      <c r="Z269" s="3"/>
      <c r="AA269" s="3"/>
      <c r="AB269" s="14"/>
    </row>
    <row r="270" spans="25:28">
      <c r="Y270" s="3"/>
      <c r="Z270" s="3"/>
      <c r="AA270" s="3"/>
      <c r="AB270" s="14"/>
    </row>
    <row r="271" spans="25:28">
      <c r="Y271" s="3"/>
      <c r="Z271" s="3"/>
      <c r="AA271" s="3"/>
      <c r="AB271" s="14"/>
    </row>
    <row r="272" spans="25:28">
      <c r="Y272" s="3"/>
      <c r="Z272" s="3"/>
      <c r="AA272" s="3"/>
      <c r="AB272" s="14"/>
    </row>
    <row r="273" spans="25:28">
      <c r="Y273" s="3"/>
      <c r="Z273" s="3"/>
      <c r="AA273" s="3"/>
      <c r="AB273" s="14"/>
    </row>
    <row r="274" spans="25:28">
      <c r="Y274" s="3"/>
      <c r="Z274" s="3"/>
      <c r="AA274" s="3"/>
      <c r="AB274" s="14"/>
    </row>
    <row r="275" spans="25:28">
      <c r="Y275" s="3"/>
      <c r="Z275" s="3"/>
      <c r="AA275" s="3"/>
      <c r="AB275" s="14"/>
    </row>
    <row r="276" spans="25:28">
      <c r="Y276" s="3"/>
      <c r="Z276" s="3"/>
      <c r="AA276" s="3"/>
      <c r="AB276" s="14"/>
    </row>
    <row r="277" spans="25:28">
      <c r="Y277" s="3"/>
      <c r="Z277" s="3"/>
      <c r="AA277" s="3"/>
      <c r="AB277" s="14"/>
    </row>
    <row r="278" spans="25:28">
      <c r="Y278" s="3"/>
      <c r="Z278" s="3"/>
      <c r="AA278" s="3"/>
      <c r="AB278" s="14"/>
    </row>
    <row r="279" spans="25:28">
      <c r="Y279" s="3"/>
      <c r="Z279" s="3"/>
      <c r="AA279" s="3"/>
      <c r="AB279" s="14"/>
    </row>
    <row r="280" spans="25:28">
      <c r="Y280" s="3"/>
      <c r="Z280" s="3"/>
      <c r="AA280" s="3"/>
      <c r="AB280" s="14"/>
    </row>
    <row r="281" spans="25:28">
      <c r="Y281" s="3"/>
      <c r="Z281" s="3"/>
      <c r="AA281" s="3"/>
      <c r="AB281" s="14"/>
    </row>
    <row r="282" spans="25:28">
      <c r="Y282" s="3"/>
      <c r="Z282" s="3"/>
      <c r="AA282" s="3"/>
      <c r="AB282" s="14"/>
    </row>
    <row r="283" spans="25:28">
      <c r="Y283" s="3"/>
      <c r="Z283" s="3"/>
      <c r="AA283" s="3"/>
      <c r="AB283" s="14"/>
    </row>
    <row r="284" spans="25:28">
      <c r="Y284" s="3"/>
      <c r="Z284" s="3"/>
      <c r="AA284" s="3"/>
      <c r="AB284" s="14"/>
    </row>
    <row r="285" spans="25:28">
      <c r="Y285" s="3"/>
      <c r="Z285" s="3"/>
      <c r="AA285" s="3"/>
      <c r="AB285" s="14"/>
    </row>
    <row r="286" spans="25:28">
      <c r="Y286" s="3"/>
      <c r="Z286" s="3"/>
      <c r="AA286" s="3"/>
      <c r="AB286" s="14"/>
    </row>
    <row r="287" spans="25:28">
      <c r="Y287" s="3"/>
      <c r="Z287" s="3"/>
      <c r="AA287" s="3"/>
      <c r="AB287" s="14"/>
    </row>
    <row r="288" spans="25:28">
      <c r="Y288" s="3"/>
      <c r="Z288" s="3"/>
      <c r="AA288" s="3"/>
      <c r="AB288" s="14"/>
    </row>
    <row r="289" spans="25:28">
      <c r="Y289" s="3"/>
      <c r="Z289" s="3"/>
      <c r="AA289" s="3"/>
      <c r="AB289" s="14"/>
    </row>
    <row r="290" spans="25:28">
      <c r="Y290" s="3"/>
      <c r="Z290" s="3"/>
      <c r="AA290" s="3"/>
      <c r="AB290" s="14"/>
    </row>
    <row r="291" spans="25:28">
      <c r="Y291" s="3"/>
      <c r="Z291" s="3"/>
      <c r="AA291" s="3"/>
      <c r="AB291" s="14"/>
    </row>
    <row r="292" spans="25:28">
      <c r="Y292" s="3"/>
      <c r="Z292" s="3"/>
      <c r="AA292" s="3"/>
      <c r="AB292" s="14"/>
    </row>
    <row r="293" spans="25:28">
      <c r="Y293" s="3"/>
      <c r="Z293" s="3"/>
      <c r="AA293" s="3"/>
      <c r="AB293" s="14"/>
    </row>
    <row r="294" spans="25:28">
      <c r="Y294" s="3"/>
      <c r="Z294" s="3"/>
      <c r="AA294" s="3"/>
      <c r="AB294" s="14"/>
    </row>
    <row r="295" spans="25:28">
      <c r="Y295" s="3"/>
      <c r="Z295" s="3"/>
      <c r="AA295" s="3"/>
      <c r="AB295" s="14"/>
    </row>
    <row r="296" spans="25:28">
      <c r="Y296" s="3"/>
      <c r="Z296" s="3"/>
      <c r="AA296" s="3"/>
      <c r="AB296" s="14"/>
    </row>
    <row r="297" spans="25:28">
      <c r="Y297" s="3"/>
      <c r="Z297" s="3"/>
      <c r="AA297" s="3"/>
      <c r="AB297" s="14"/>
    </row>
    <row r="298" spans="25:28">
      <c r="Y298" s="3"/>
      <c r="Z298" s="3"/>
      <c r="AA298" s="3"/>
      <c r="AB298" s="14"/>
    </row>
    <row r="299" spans="25:28">
      <c r="Y299" s="3"/>
      <c r="Z299" s="3"/>
      <c r="AA299" s="3"/>
      <c r="AB299" s="14"/>
    </row>
    <row r="300" spans="25:28">
      <c r="Y300" s="3"/>
      <c r="Z300" s="3"/>
      <c r="AA300" s="3"/>
      <c r="AB300" s="14"/>
    </row>
    <row r="301" spans="25:28">
      <c r="Y301" s="3"/>
      <c r="Z301" s="3"/>
      <c r="AA301" s="3"/>
      <c r="AB301" s="14"/>
    </row>
    <row r="302" spans="25:28">
      <c r="Y302" s="3"/>
      <c r="Z302" s="3"/>
      <c r="AA302" s="3"/>
      <c r="AB302" s="14"/>
    </row>
    <row r="303" spans="25:28">
      <c r="Y303" s="3"/>
      <c r="Z303" s="3"/>
      <c r="AA303" s="3"/>
      <c r="AB303" s="14"/>
    </row>
    <row r="304" spans="25:28">
      <c r="Y304" s="3"/>
      <c r="Z304" s="3"/>
      <c r="AA304" s="3"/>
      <c r="AB304" s="14"/>
    </row>
    <row r="305" spans="25:28">
      <c r="Y305" s="3"/>
      <c r="Z305" s="3"/>
      <c r="AA305" s="3"/>
      <c r="AB305" s="14"/>
    </row>
    <row r="306" spans="25:28">
      <c r="Y306" s="3"/>
      <c r="Z306" s="3"/>
      <c r="AA306" s="3"/>
      <c r="AB306" s="14"/>
    </row>
    <row r="307" spans="25:28">
      <c r="Y307" s="3"/>
      <c r="Z307" s="3"/>
      <c r="AA307" s="3"/>
      <c r="AB307" s="14"/>
    </row>
    <row r="308" spans="25:28">
      <c r="Y308" s="3"/>
      <c r="Z308" s="3"/>
      <c r="AA308" s="3"/>
      <c r="AB308" s="14"/>
    </row>
    <row r="309" spans="25:28">
      <c r="Y309" s="3"/>
      <c r="Z309" s="3"/>
      <c r="AA309" s="3"/>
      <c r="AB309" s="14"/>
    </row>
    <row r="310" spans="25:28">
      <c r="Y310" s="3"/>
      <c r="Z310" s="3"/>
      <c r="AA310" s="3"/>
      <c r="AB310" s="14"/>
    </row>
    <row r="311" spans="25:28">
      <c r="Y311" s="3"/>
      <c r="Z311" s="3"/>
      <c r="AA311" s="3"/>
      <c r="AB311" s="14"/>
    </row>
    <row r="312" spans="25:28">
      <c r="Y312" s="3"/>
      <c r="Z312" s="3"/>
      <c r="AA312" s="3"/>
      <c r="AB312" s="14"/>
    </row>
    <row r="313" spans="25:28">
      <c r="Y313" s="3"/>
      <c r="Z313" s="3"/>
      <c r="AA313" s="3"/>
      <c r="AB313" s="14"/>
    </row>
    <row r="314" spans="25:28">
      <c r="Y314" s="3"/>
      <c r="Z314" s="3"/>
      <c r="AA314" s="3"/>
      <c r="AB314" s="14"/>
    </row>
    <row r="315" spans="25:28">
      <c r="Y315" s="3"/>
      <c r="Z315" s="3"/>
      <c r="AA315" s="3"/>
      <c r="AB315" s="14"/>
    </row>
    <row r="316" spans="25:28">
      <c r="Y316" s="3"/>
      <c r="Z316" s="3"/>
      <c r="AA316" s="3"/>
      <c r="AB316" s="14"/>
    </row>
    <row r="317" spans="25:28">
      <c r="Y317" s="3"/>
      <c r="Z317" s="3"/>
      <c r="AA317" s="3"/>
      <c r="AB317" s="14"/>
    </row>
    <row r="318" spans="25:28">
      <c r="Y318" s="3"/>
      <c r="Z318" s="3"/>
      <c r="AA318" s="3"/>
      <c r="AB318" s="14"/>
    </row>
    <row r="319" spans="25:28">
      <c r="Y319" s="3"/>
      <c r="Z319" s="3"/>
      <c r="AA319" s="3"/>
      <c r="AB319" s="14"/>
    </row>
    <row r="320" spans="25:28">
      <c r="Y320" s="3"/>
      <c r="Z320" s="3"/>
      <c r="AA320" s="3"/>
      <c r="AB320" s="14"/>
    </row>
    <row r="321" spans="25:28">
      <c r="Y321" s="3"/>
      <c r="Z321" s="3"/>
      <c r="AA321" s="3"/>
      <c r="AB321" s="14"/>
    </row>
    <row r="322" spans="25:28">
      <c r="Y322" s="3"/>
      <c r="Z322" s="3"/>
      <c r="AA322" s="3"/>
      <c r="AB322" s="14"/>
    </row>
    <row r="323" spans="25:28">
      <c r="Y323" s="3"/>
      <c r="Z323" s="3"/>
      <c r="AA323" s="3"/>
      <c r="AB323" s="14"/>
    </row>
    <row r="324" spans="25:28">
      <c r="Y324" s="3"/>
      <c r="Z324" s="3"/>
      <c r="AA324" s="3"/>
      <c r="AB324" s="14"/>
    </row>
    <row r="325" spans="25:28">
      <c r="Y325" s="3"/>
      <c r="Z325" s="3"/>
      <c r="AA325" s="3"/>
      <c r="AB325" s="14"/>
    </row>
    <row r="326" spans="25:28">
      <c r="Y326" s="3"/>
      <c r="Z326" s="3"/>
      <c r="AA326" s="3"/>
      <c r="AB326" s="14"/>
    </row>
    <row r="327" spans="25:28">
      <c r="Y327" s="3"/>
      <c r="Z327" s="3"/>
      <c r="AA327" s="3"/>
      <c r="AB327" s="14"/>
    </row>
    <row r="328" spans="25:28">
      <c r="Y328" s="3"/>
      <c r="Z328" s="3"/>
      <c r="AA328" s="3"/>
      <c r="AB328" s="14"/>
    </row>
    <row r="329" spans="25:28">
      <c r="Y329" s="3"/>
      <c r="Z329" s="3"/>
      <c r="AA329" s="3"/>
      <c r="AB329" s="14"/>
    </row>
    <row r="330" spans="25:28">
      <c r="Y330" s="3"/>
      <c r="Z330" s="3"/>
      <c r="AA330" s="3"/>
      <c r="AB330" s="14"/>
    </row>
    <row r="331" spans="25:28">
      <c r="Y331" s="3"/>
      <c r="Z331" s="3"/>
      <c r="AA331" s="3"/>
      <c r="AB331" s="14"/>
    </row>
    <row r="332" spans="25:28">
      <c r="Y332" s="3"/>
      <c r="Z332" s="3"/>
      <c r="AA332" s="3"/>
      <c r="AB332" s="14"/>
    </row>
    <row r="333" spans="25:28">
      <c r="Y333" s="3"/>
      <c r="Z333" s="3"/>
      <c r="AA333" s="3"/>
      <c r="AB333" s="14"/>
    </row>
    <row r="334" spans="25:28">
      <c r="Y334" s="3"/>
      <c r="Z334" s="3"/>
      <c r="AA334" s="3"/>
      <c r="AB334" s="14"/>
    </row>
    <row r="335" spans="25:28">
      <c r="Y335" s="3"/>
      <c r="Z335" s="3"/>
      <c r="AA335" s="3"/>
      <c r="AB335" s="14"/>
    </row>
    <row r="336" spans="25:28">
      <c r="Y336" s="3"/>
      <c r="Z336" s="3"/>
      <c r="AA336" s="3"/>
      <c r="AB336" s="14"/>
    </row>
    <row r="337" spans="25:28">
      <c r="Y337" s="3"/>
      <c r="Z337" s="3"/>
      <c r="AA337" s="3"/>
      <c r="AB337" s="14"/>
    </row>
    <row r="338" spans="25:28">
      <c r="Y338" s="3"/>
      <c r="Z338" s="3"/>
      <c r="AA338" s="3"/>
      <c r="AB338" s="14"/>
    </row>
    <row r="339" spans="25:28">
      <c r="Y339" s="3"/>
      <c r="Z339" s="3"/>
      <c r="AA339" s="3"/>
      <c r="AB339" s="14"/>
    </row>
    <row r="340" spans="25:28">
      <c r="Y340" s="3"/>
      <c r="Z340" s="3"/>
      <c r="AA340" s="3"/>
      <c r="AB340" s="14"/>
    </row>
    <row r="341" spans="25:28">
      <c r="Y341" s="3"/>
      <c r="Z341" s="3"/>
      <c r="AA341" s="3"/>
      <c r="AB341" s="14"/>
    </row>
    <row r="342" spans="25:28">
      <c r="Y342" s="3"/>
      <c r="Z342" s="3"/>
      <c r="AA342" s="3"/>
      <c r="AB342" s="14"/>
    </row>
    <row r="343" spans="25:28">
      <c r="Y343" s="3"/>
      <c r="Z343" s="3"/>
      <c r="AA343" s="3"/>
      <c r="AB343" s="14"/>
    </row>
    <row r="344" spans="25:28">
      <c r="Y344" s="3"/>
      <c r="Z344" s="3"/>
      <c r="AA344" s="3"/>
      <c r="AB344" s="14"/>
    </row>
    <row r="345" spans="25:28">
      <c r="Y345" s="3"/>
      <c r="Z345" s="3"/>
      <c r="AA345" s="3"/>
      <c r="AB345" s="14"/>
    </row>
    <row r="346" spans="25:28">
      <c r="Y346" s="3"/>
      <c r="Z346" s="3"/>
      <c r="AA346" s="3"/>
      <c r="AB346" s="14"/>
    </row>
    <row r="347" spans="25:28">
      <c r="Y347" s="3"/>
      <c r="Z347" s="3"/>
      <c r="AA347" s="3"/>
      <c r="AB347" s="14"/>
    </row>
    <row r="348" spans="25:28">
      <c r="Y348" s="3"/>
      <c r="Z348" s="3"/>
      <c r="AA348" s="3"/>
      <c r="AB348" s="14"/>
    </row>
    <row r="349" spans="25:28">
      <c r="Y349" s="3"/>
      <c r="Z349" s="3"/>
      <c r="AA349" s="3"/>
      <c r="AB349" s="14"/>
    </row>
    <row r="350" spans="25:28">
      <c r="Y350" s="3"/>
      <c r="Z350" s="3"/>
      <c r="AA350" s="3"/>
      <c r="AB350" s="14"/>
    </row>
    <row r="351" spans="25:28">
      <c r="Y351" s="3"/>
      <c r="Z351" s="3"/>
      <c r="AA351" s="3"/>
      <c r="AB351" s="14"/>
    </row>
    <row r="352" spans="25:28">
      <c r="Y352" s="3"/>
      <c r="Z352" s="3"/>
      <c r="AA352" s="3"/>
      <c r="AB352" s="14"/>
    </row>
    <row r="353" spans="25:28">
      <c r="Y353" s="3"/>
      <c r="Z353" s="3"/>
      <c r="AA353" s="3"/>
      <c r="AB353" s="14"/>
    </row>
    <row r="354" spans="25:28">
      <c r="Y354" s="3"/>
      <c r="Z354" s="3"/>
      <c r="AA354" s="3"/>
      <c r="AB354" s="14"/>
    </row>
    <row r="355" spans="25:28">
      <c r="Y355" s="3"/>
      <c r="Z355" s="3"/>
      <c r="AA355" s="3"/>
      <c r="AB355" s="14"/>
    </row>
    <row r="356" spans="25:28">
      <c r="Y356" s="3"/>
      <c r="Z356" s="3"/>
      <c r="AA356" s="3"/>
      <c r="AB356" s="14"/>
    </row>
    <row r="357" spans="25:28">
      <c r="Y357" s="3"/>
      <c r="Z357" s="3"/>
      <c r="AA357" s="3"/>
      <c r="AB357" s="14"/>
    </row>
    <row r="358" spans="25:28">
      <c r="Y358" s="3"/>
      <c r="Z358" s="3"/>
      <c r="AA358" s="3"/>
      <c r="AB358" s="14"/>
    </row>
    <row r="359" spans="25:28">
      <c r="Y359" s="3"/>
      <c r="Z359" s="3"/>
      <c r="AA359" s="3"/>
      <c r="AB359" s="14"/>
    </row>
    <row r="360" spans="25:28">
      <c r="Y360" s="3"/>
      <c r="Z360" s="3"/>
      <c r="AA360" s="3"/>
      <c r="AB360" s="14"/>
    </row>
    <row r="361" spans="25:28">
      <c r="Y361" s="3"/>
      <c r="Z361" s="3"/>
      <c r="AA361" s="3"/>
      <c r="AB361" s="14"/>
    </row>
    <row r="362" spans="25:28">
      <c r="Y362" s="3"/>
      <c r="Z362" s="3"/>
      <c r="AA362" s="3"/>
      <c r="AB362" s="14"/>
    </row>
    <row r="363" spans="25:28">
      <c r="Y363" s="3"/>
      <c r="Z363" s="3"/>
      <c r="AA363" s="3"/>
      <c r="AB363" s="14"/>
    </row>
    <row r="364" spans="25:28">
      <c r="Y364" s="3"/>
      <c r="Z364" s="3"/>
      <c r="AA364" s="3"/>
      <c r="AB364" s="14"/>
    </row>
    <row r="365" spans="25:28">
      <c r="Y365" s="3"/>
      <c r="Z365" s="3"/>
      <c r="AA365" s="3"/>
      <c r="AB365" s="14"/>
    </row>
    <row r="366" spans="25:28">
      <c r="Y366" s="3"/>
      <c r="Z366" s="3"/>
      <c r="AA366" s="3"/>
      <c r="AB366" s="14"/>
    </row>
    <row r="367" spans="25:28">
      <c r="Y367" s="3"/>
      <c r="Z367" s="3"/>
      <c r="AA367" s="3"/>
      <c r="AB367" s="14"/>
    </row>
    <row r="368" spans="25:28">
      <c r="Y368" s="3"/>
      <c r="Z368" s="3"/>
      <c r="AA368" s="3"/>
      <c r="AB368" s="14"/>
    </row>
    <row r="369" spans="25:28">
      <c r="Y369" s="3"/>
      <c r="Z369" s="3"/>
      <c r="AA369" s="3"/>
      <c r="AB369" s="14"/>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U369"/>
  <sheetViews>
    <sheetView topLeftCell="C1" workbookViewId="0">
      <selection activeCell="P31" sqref="P31"/>
    </sheetView>
  </sheetViews>
  <sheetFormatPr defaultRowHeight="15"/>
  <cols>
    <col min="2" max="2" width="23" bestFit="1" customWidth="1"/>
    <col min="3" max="3" width="21.7109375" bestFit="1" customWidth="1"/>
    <col min="4" max="5" width="14.7109375" customWidth="1"/>
    <col min="6" max="6" width="8.28515625" bestFit="1" customWidth="1"/>
    <col min="9" max="9" width="25.140625" bestFit="1" customWidth="1"/>
    <col min="10" max="10" width="25.140625" customWidth="1"/>
    <col min="11" max="11" width="5.5703125" bestFit="1" customWidth="1"/>
    <col min="12" max="12" width="6" bestFit="1" customWidth="1"/>
    <col min="13" max="13" width="13.42578125" bestFit="1" customWidth="1"/>
    <col min="14" max="14" width="10.7109375" bestFit="1" customWidth="1"/>
    <col min="15" max="15" width="12.140625" bestFit="1" customWidth="1"/>
    <col min="16" max="16" width="10.7109375" customWidth="1"/>
    <col min="17" max="17" width="21.5703125" bestFit="1" customWidth="1"/>
    <col min="18" max="18" width="12.28515625" bestFit="1" customWidth="1"/>
    <col min="19" max="19" width="12.28515625" customWidth="1"/>
  </cols>
  <sheetData>
    <row r="1" spans="2:20">
      <c r="Q1">
        <f>'City characteristics'!C20</f>
        <v>2019</v>
      </c>
    </row>
    <row r="2" spans="2:20">
      <c r="Q2" t="s">
        <v>428</v>
      </c>
    </row>
    <row r="4" spans="2:20">
      <c r="C4" s="11" t="s">
        <v>422</v>
      </c>
      <c r="D4" s="11"/>
      <c r="E4" s="11"/>
      <c r="J4" s="11" t="s">
        <v>422</v>
      </c>
      <c r="K4" s="11"/>
      <c r="L4" s="11"/>
    </row>
    <row r="5" spans="2:20">
      <c r="B5" s="317" t="s">
        <v>365</v>
      </c>
      <c r="C5" s="317" t="s">
        <v>423</v>
      </c>
      <c r="D5" s="317" t="s">
        <v>424</v>
      </c>
      <c r="E5" s="317" t="s">
        <v>393</v>
      </c>
      <c r="F5" s="317" t="s">
        <v>381</v>
      </c>
      <c r="H5" s="317" t="s">
        <v>364</v>
      </c>
      <c r="I5" s="317" t="s">
        <v>365</v>
      </c>
      <c r="J5" s="317" t="s">
        <v>425</v>
      </c>
      <c r="K5" s="317" t="s">
        <v>438</v>
      </c>
      <c r="L5" s="330" t="s">
        <v>427</v>
      </c>
      <c r="M5" s="317" t="s">
        <v>429</v>
      </c>
      <c r="N5" s="317" t="s">
        <v>430</v>
      </c>
      <c r="O5" s="317" t="s">
        <v>431</v>
      </c>
      <c r="P5" s="317" t="s">
        <v>432</v>
      </c>
      <c r="Q5" s="317" t="str">
        <f>Q2&amp;"~"&amp;Q1</f>
        <v>PRC_RESID~2019</v>
      </c>
      <c r="R5" s="317" t="s">
        <v>439</v>
      </c>
      <c r="S5" s="332"/>
      <c r="T5" s="332" t="s">
        <v>440</v>
      </c>
    </row>
    <row r="6" spans="2:20" ht="15" customHeight="1" thickBot="1">
      <c r="B6" s="13" t="s">
        <v>307</v>
      </c>
      <c r="C6" s="13"/>
      <c r="D6" s="13"/>
      <c r="E6" s="13"/>
      <c r="F6" s="13"/>
      <c r="H6" s="13" t="s">
        <v>307</v>
      </c>
      <c r="I6" s="13" t="s">
        <v>307</v>
      </c>
      <c r="J6" s="13"/>
      <c r="K6" s="13" t="s">
        <v>441</v>
      </c>
      <c r="L6" s="331"/>
      <c r="M6" s="13" t="s">
        <v>442</v>
      </c>
      <c r="N6" s="13" t="s">
        <v>434</v>
      </c>
      <c r="O6" s="13" t="s">
        <v>435</v>
      </c>
      <c r="P6" s="13" t="s">
        <v>436</v>
      </c>
      <c r="Q6" s="13" t="s">
        <v>385</v>
      </c>
      <c r="R6" s="13" t="s">
        <v>441</v>
      </c>
      <c r="S6" s="331"/>
      <c r="T6" s="13" t="s">
        <v>441</v>
      </c>
    </row>
    <row r="7" spans="2:20">
      <c r="B7" s="15" t="str">
        <f t="array" ref="B7:B22">_xlfn._xlws.FILTER('WAS RESID'!K114:K149,'WAS RESID'!F114:F149="OUT","")</f>
        <v>WASSOLADGCOG19</v>
      </c>
      <c r="C7" t="str">
        <f t="array" ref="C7:C22">_xlfn._xlws.FILTER('WAS RESID'!I114:I149,'WAS RESID'!F114:F149="OUT","")</f>
        <v>CELC</v>
      </c>
      <c r="D7" t="s">
        <v>443</v>
      </c>
      <c r="E7" t="s">
        <v>444</v>
      </c>
      <c r="F7" s="1" t="str">
        <f>IF(LEFT(RIGHT(B7,5),3)="COG","",IFERROR(SUMIFS('WAS RESID'!P:P,'WAS RESID'!K:K,ResidBGA!B7,'WAS RESID'!I:I,ResidBGA!C7)/_xlfn.XLOOKUP(B7,'WAS RESID'!K:K,'WAS RESID'!Q:Q),1))</f>
        <v/>
      </c>
      <c r="H7" t="str">
        <f>Def_Tech!C67</f>
        <v>CITY</v>
      </c>
      <c r="I7" t="str">
        <f>Def_Tech!D67</f>
        <v>WASSOLADGVEN19</v>
      </c>
      <c r="J7" t="str">
        <f>_xlfn.XLOOKUP(ResidBGA!I7,'WAS RESID'!K:K,'WAS RESID'!H:H)</f>
        <v>WASSOLADGBGA</v>
      </c>
      <c r="K7" s="1" t="str">
        <f>IF(OR(LEFT(RIGHT(I7,5),3)="VEN",LEFT(RIGHT(I7,5),3)="FLA"),"",IF(LEFT(RIGHT(I7,5),3)="COG",IF(_xlfn.XLOOKUP(I7,'WAS RESID'!K:K,'WAS RESID'!Q:Q)=0,1,IFERROR(SUMIFS('WAS RESID'!P:P,'WAS RESID'!K:K,I7,'WAS RESID'!I:I,"CELC")/_xlfn.XLOOKUP(I7,'WAS RESID'!K:K,'WAS RESID'!O:O),1)),IF(_xlfn.XLOOKUP(I7,'WAS RESID'!K:K,'WAS RESID'!Q:Q)=0,1,IFERROR(_xlfn.XLOOKUP(I7,'WAS RESID'!K:K,'WAS RESID'!Q:Q)/_xlfn.XLOOKUP(I7,'WAS RESID'!K:K,'WAS RESID'!O:O),1))))</f>
        <v/>
      </c>
      <c r="L7" s="326">
        <f t="shared" ref="L7:L26" si="0">IF(OR(LEFT(RIGHT(I7,5),3)="VEN",LEFT(RIGHT(I7,5),3)="FLA"),1,"")</f>
        <v>1</v>
      </c>
      <c r="M7">
        <f>_xlfn.XLOOKUP(I7,'WAS RESID'!K:K,'WAS RESID'!T:T)</f>
        <v>31.536000000000001</v>
      </c>
      <c r="N7" s="3">
        <f>_xlfn.XLOOKUP(I7,'WAS RESID'!K:K,'WAS RESID'!S:S)</f>
        <v>0.9</v>
      </c>
      <c r="O7" s="3">
        <v>20</v>
      </c>
      <c r="P7" s="3">
        <v>1</v>
      </c>
      <c r="Q7" s="2">
        <f>_xlfn.XLOOKUP(I7,'WAS RESID'!K:K,'WAS RESID'!R:R)</f>
        <v>0</v>
      </c>
      <c r="R7" s="326" t="str">
        <f>IF(_xlfn.XLOOKUP(I7,'WAS RESID'!K:K,'WAS RESID'!X:X)="","",_xlfn.XLOOKUP(I7,'WAS RESID'!K:K,'WAS RESID'!X:X))</f>
        <v/>
      </c>
      <c r="S7" s="326"/>
    </row>
    <row r="8" spans="2:20">
      <c r="B8" t="str">
        <v>WASSOLADGCOG19</v>
      </c>
      <c r="C8" t="str">
        <v>STM</v>
      </c>
      <c r="D8" t="s">
        <v>443</v>
      </c>
      <c r="E8" t="s">
        <v>444</v>
      </c>
      <c r="F8" s="1" t="str">
        <f>IF(LEFT(RIGHT(B8,5),3)="COG","",IFERROR(SUMIFS('WAS RESID'!P:P,'WAS RESID'!K:K,ResidBGA!B8,'WAS RESID'!I:I,ResidBGA!C8)/_xlfn.XLOOKUP(B8,'WAS RESID'!K:K,'WAS RESID'!Q:Q),1))</f>
        <v/>
      </c>
      <c r="H8" t="str">
        <f>Def_Tech!C68</f>
        <v>CITY</v>
      </c>
      <c r="I8" t="str">
        <f>Def_Tech!D68</f>
        <v>WASSOLADGFLA19</v>
      </c>
      <c r="J8" t="str">
        <f>_xlfn.XLOOKUP(ResidBGA!I8,'WAS RESID'!K:K,'WAS RESID'!H:H)</f>
        <v>WASSOLADGBGA</v>
      </c>
      <c r="K8" s="1" t="str">
        <f>IF(OR(LEFT(RIGHT(I8,5),3)="VEN",LEFT(RIGHT(I8,5),3)="FLA"),"",IF(LEFT(RIGHT(I8,5),3)="COG",IF(_xlfn.XLOOKUP(I8,'WAS RESID'!K:K,'WAS RESID'!Q:Q)=0,1,IFERROR(SUMIFS('WAS RESID'!P:P,'WAS RESID'!K:K,I8,'WAS RESID'!I:I,"CELC")/_xlfn.XLOOKUP(I8,'WAS RESID'!K:K,'WAS RESID'!O:O),1)),IF(_xlfn.XLOOKUP(I8,'WAS RESID'!K:K,'WAS RESID'!Q:Q)=0,1,IFERROR(_xlfn.XLOOKUP(I8,'WAS RESID'!K:K,'WAS RESID'!Q:Q)/_xlfn.XLOOKUP(I8,'WAS RESID'!K:K,'WAS RESID'!O:O),1))))</f>
        <v/>
      </c>
      <c r="L8" s="326">
        <f t="shared" si="0"/>
        <v>1</v>
      </c>
      <c r="M8">
        <f>_xlfn.XLOOKUP(I8,'WAS RESID'!K:K,'WAS RESID'!T:T)</f>
        <v>31.536000000000001</v>
      </c>
      <c r="N8" s="3">
        <f>_xlfn.XLOOKUP(I8,'WAS RESID'!K:K,'WAS RESID'!S:S)</f>
        <v>0.9</v>
      </c>
      <c r="O8" s="3">
        <v>20</v>
      </c>
      <c r="P8" s="3">
        <v>1</v>
      </c>
      <c r="Q8" s="2">
        <f>_xlfn.XLOOKUP(I8,'WAS RESID'!K:K,'WAS RESID'!R:R)</f>
        <v>0</v>
      </c>
      <c r="R8" s="326" t="str">
        <f>IF(_xlfn.XLOOKUP(I8,'WAS RESID'!K:K,'WAS RESID'!X:X)="","",_xlfn.XLOOKUP(I8,'WAS RESID'!K:K,'WAS RESID'!X:X))</f>
        <v/>
      </c>
      <c r="S8" s="326"/>
    </row>
    <row r="9" spans="2:20">
      <c r="B9" t="str">
        <v>WASSOLADGPOW19</v>
      </c>
      <c r="C9" t="str">
        <v>CELC</v>
      </c>
      <c r="D9" t="s">
        <v>443</v>
      </c>
      <c r="E9" t="s">
        <v>444</v>
      </c>
      <c r="F9" s="1">
        <f>IF(LEFT(RIGHT(B9,5),3)="COG","",IFERROR(SUMIFS('WAS RESID'!P:P,'WAS RESID'!K:K,ResidBGA!B9,'WAS RESID'!I:I,ResidBGA!C9)/_xlfn.XLOOKUP(B9,'WAS RESID'!K:K,'WAS RESID'!Q:Q),1))</f>
        <v>1</v>
      </c>
      <c r="H9" t="str">
        <f>Def_Tech!C69</f>
        <v>CITY</v>
      </c>
      <c r="I9" t="str">
        <f>Def_Tech!D69</f>
        <v>WASSOLADGCOG19</v>
      </c>
      <c r="J9" t="str">
        <f>_xlfn.XLOOKUP(ResidBGA!I9,'WAS RESID'!K:K,'WAS RESID'!H:H)</f>
        <v>WASSOLADGBGA</v>
      </c>
      <c r="K9" s="1">
        <f>IF(OR(LEFT(RIGHT(I9,5),3)="VEN",LEFT(RIGHT(I9,5),3)="FLA"),"",IF(LEFT(RIGHT(I9,5),3)="COG",IF(_xlfn.XLOOKUP(I9,'WAS RESID'!K:K,'WAS RESID'!Q:Q)=0,1,IFERROR(SUMIFS('WAS RESID'!P:P,'WAS RESID'!K:K,I9,'WAS RESID'!I:I,"CELC")/_xlfn.XLOOKUP(I9,'WAS RESID'!K:K,'WAS RESID'!O:O),1)),IF(_xlfn.XLOOKUP(I9,'WAS RESID'!K:K,'WAS RESID'!Q:Q)=0,1,IFERROR(_xlfn.XLOOKUP(I9,'WAS RESID'!K:K,'WAS RESID'!Q:Q)/_xlfn.XLOOKUP(I9,'WAS RESID'!K:K,'WAS RESID'!O:O),1))))</f>
        <v>1</v>
      </c>
      <c r="L9" s="326" t="str">
        <f t="shared" si="0"/>
        <v/>
      </c>
      <c r="M9">
        <f>_xlfn.XLOOKUP(I9,'WAS RESID'!K:K,'WAS RESID'!T:T)</f>
        <v>31.536000000000001</v>
      </c>
      <c r="N9" s="3">
        <f>_xlfn.XLOOKUP(I9,'WAS RESID'!K:K,'WAS RESID'!S:S)</f>
        <v>0.9</v>
      </c>
      <c r="O9" s="3">
        <v>20</v>
      </c>
      <c r="P9" s="3">
        <v>1</v>
      </c>
      <c r="Q9" s="2">
        <f>_xlfn.XLOOKUP(I9,'WAS RESID'!K:K,'WAS RESID'!R:R)</f>
        <v>0</v>
      </c>
      <c r="R9" s="326">
        <f>IF(_xlfn.XLOOKUP(I9,'WAS RESID'!K:K,'WAS RESID'!X:X)="","",_xlfn.XLOOKUP(I9,'WAS RESID'!K:K,'WAS RESID'!X:X))</f>
        <v>0</v>
      </c>
      <c r="S9" s="326"/>
    </row>
    <row r="10" spans="2:20">
      <c r="B10" t="str">
        <v>WASSOLADGPUR19</v>
      </c>
      <c r="C10" t="str">
        <v>RNG</v>
      </c>
      <c r="D10" t="s">
        <v>443</v>
      </c>
      <c r="E10" t="s">
        <v>444</v>
      </c>
      <c r="F10" s="1">
        <f>IF(LEFT(RIGHT(B10,5),3)="COG","",IFERROR(SUMIFS('WAS RESID'!P:P,'WAS RESID'!K:K,ResidBGA!B10,'WAS RESID'!I:I,ResidBGA!C10)/_xlfn.XLOOKUP(B10,'WAS RESID'!K:K,'WAS RESID'!Q:Q),1))</f>
        <v>1</v>
      </c>
      <c r="H10" t="str">
        <f>Def_Tech!C70</f>
        <v>CITY</v>
      </c>
      <c r="I10" t="str">
        <f>Def_Tech!D70</f>
        <v>WASSOLADGPOW19</v>
      </c>
      <c r="J10" t="str">
        <f>_xlfn.XLOOKUP(ResidBGA!I10,'WAS RESID'!K:K,'WAS RESID'!H:H)</f>
        <v>WASSOLADGBGA</v>
      </c>
      <c r="K10" s="1">
        <f>IF(OR(LEFT(RIGHT(I10,5),3)="VEN",LEFT(RIGHT(I10,5),3)="FLA"),"",IF(LEFT(RIGHT(I10,5),3)="COG",IF(_xlfn.XLOOKUP(I10,'WAS RESID'!K:K,'WAS RESID'!Q:Q)=0,1,IFERROR(SUMIFS('WAS RESID'!P:P,'WAS RESID'!K:K,I10,'WAS RESID'!I:I,"CELC")/_xlfn.XLOOKUP(I10,'WAS RESID'!K:K,'WAS RESID'!O:O),1)),IF(_xlfn.XLOOKUP(I10,'WAS RESID'!K:K,'WAS RESID'!Q:Q)=0,1,IFERROR(_xlfn.XLOOKUP(I10,'WAS RESID'!K:K,'WAS RESID'!Q:Q)/_xlfn.XLOOKUP(I10,'WAS RESID'!K:K,'WAS RESID'!O:O),1))))</f>
        <v>1</v>
      </c>
      <c r="L10" s="326" t="str">
        <f t="shared" si="0"/>
        <v/>
      </c>
      <c r="M10">
        <f>_xlfn.XLOOKUP(I10,'WAS RESID'!K:K,'WAS RESID'!T:T)</f>
        <v>31.536000000000001</v>
      </c>
      <c r="N10" s="3">
        <f>_xlfn.XLOOKUP(I10,'WAS RESID'!K:K,'WAS RESID'!S:S)</f>
        <v>0.9</v>
      </c>
      <c r="O10" s="3">
        <v>20</v>
      </c>
      <c r="P10" s="3">
        <v>1</v>
      </c>
      <c r="Q10" s="2">
        <f>_xlfn.XLOOKUP(I10,'WAS RESID'!K:K,'WAS RESID'!R:R)</f>
        <v>0</v>
      </c>
      <c r="R10" s="326" t="str">
        <f>IF(_xlfn.XLOOKUP(I10,'WAS RESID'!K:K,'WAS RESID'!X:X)="","",_xlfn.XLOOKUP(I10,'WAS RESID'!K:K,'WAS RESID'!X:X))</f>
        <v/>
      </c>
      <c r="S10" s="326"/>
    </row>
    <row r="11" spans="2:20">
      <c r="B11" t="str">
        <v>WASSOLLDFCOG19</v>
      </c>
      <c r="C11" t="str">
        <v>CELC</v>
      </c>
      <c r="D11" t="s">
        <v>443</v>
      </c>
      <c r="E11" t="s">
        <v>444</v>
      </c>
      <c r="F11" s="1" t="str">
        <f>IF(LEFT(RIGHT(B11,5),3)="COG","",IFERROR(SUMIFS('WAS RESID'!P:P,'WAS RESID'!K:K,ResidBGA!B11,'WAS RESID'!I:I,ResidBGA!C11)/_xlfn.XLOOKUP(B11,'WAS RESID'!K:K,'WAS RESID'!Q:Q),1))</f>
        <v/>
      </c>
      <c r="H11" t="str">
        <f>Def_Tech!C71</f>
        <v>CITY</v>
      </c>
      <c r="I11" t="str">
        <f>Def_Tech!D71</f>
        <v>WASSOLADGPUR19</v>
      </c>
      <c r="J11" t="str">
        <f>_xlfn.XLOOKUP(ResidBGA!I11,'WAS RESID'!K:K,'WAS RESID'!H:H)</f>
        <v>WASSOLADGBGA</v>
      </c>
      <c r="K11" s="1">
        <f>IF(OR(LEFT(RIGHT(I11,5),3)="VEN",LEFT(RIGHT(I11,5),3)="FLA"),"",IF(LEFT(RIGHT(I11,5),3)="COG",IF(_xlfn.XLOOKUP(I11,'WAS RESID'!K:K,'WAS RESID'!Q:Q)=0,1,IFERROR(SUMIFS('WAS RESID'!P:P,'WAS RESID'!K:K,I11,'WAS RESID'!I:I,"CELC")/_xlfn.XLOOKUP(I11,'WAS RESID'!K:K,'WAS RESID'!O:O),1)),IF(_xlfn.XLOOKUP(I11,'WAS RESID'!K:K,'WAS RESID'!Q:Q)=0,1,IFERROR(_xlfn.XLOOKUP(I11,'WAS RESID'!K:K,'WAS RESID'!Q:Q)/_xlfn.XLOOKUP(I11,'WAS RESID'!K:K,'WAS RESID'!O:O),1))))</f>
        <v>1</v>
      </c>
      <c r="L11" s="326" t="str">
        <f t="shared" si="0"/>
        <v/>
      </c>
      <c r="M11">
        <f>_xlfn.XLOOKUP(I11,'WAS RESID'!K:K,'WAS RESID'!T:T)</f>
        <v>31.536000000000001</v>
      </c>
      <c r="N11" s="3">
        <f>_xlfn.XLOOKUP(I11,'WAS RESID'!K:K,'WAS RESID'!S:S)</f>
        <v>0.9</v>
      </c>
      <c r="O11" s="3">
        <v>20</v>
      </c>
      <c r="P11" s="3">
        <v>1</v>
      </c>
      <c r="Q11" s="2">
        <f>_xlfn.XLOOKUP(I11,'WAS RESID'!K:K,'WAS RESID'!R:R)</f>
        <v>0</v>
      </c>
      <c r="R11" s="326" t="str">
        <f>IF(_xlfn.XLOOKUP(I11,'WAS RESID'!K:K,'WAS RESID'!X:X)="","",_xlfn.XLOOKUP(I11,'WAS RESID'!K:K,'WAS RESID'!X:X))</f>
        <v/>
      </c>
      <c r="S11" s="326"/>
    </row>
    <row r="12" spans="2:20">
      <c r="B12" t="str">
        <v>WASSOLLDFCOG19</v>
      </c>
      <c r="C12" t="str">
        <v>STM</v>
      </c>
      <c r="D12" t="s">
        <v>443</v>
      </c>
      <c r="E12" t="s">
        <v>444</v>
      </c>
      <c r="F12" s="1" t="str">
        <f>IF(LEFT(RIGHT(B12,5),3)="COG","",IFERROR(SUMIFS('WAS RESID'!P:P,'WAS RESID'!K:K,ResidBGA!B12,'WAS RESID'!I:I,ResidBGA!C12)/_xlfn.XLOOKUP(B12,'WAS RESID'!K:K,'WAS RESID'!Q:Q),1))</f>
        <v/>
      </c>
      <c r="H12" t="str">
        <f>Def_Tech!C72</f>
        <v>CITY</v>
      </c>
      <c r="I12" t="str">
        <f>Def_Tech!D72</f>
        <v>WASSOLLDFVEN19</v>
      </c>
      <c r="J12" t="str">
        <f>_xlfn.XLOOKUP(ResidBGA!I12,'WAS RESID'!K:K,'WAS RESID'!H:H)</f>
        <v>WASSOLLDFBGA</v>
      </c>
      <c r="K12" s="1" t="str">
        <f>IF(OR(LEFT(RIGHT(I12,5),3)="VEN",LEFT(RIGHT(I12,5),3)="FLA"),"",IF(LEFT(RIGHT(I12,5),3)="COG",IF(_xlfn.XLOOKUP(I12,'WAS RESID'!K:K,'WAS RESID'!Q:Q)=0,1,IFERROR(SUMIFS('WAS RESID'!P:P,'WAS RESID'!K:K,I12,'WAS RESID'!I:I,"CELC")/_xlfn.XLOOKUP(I12,'WAS RESID'!K:K,'WAS RESID'!O:O),1)),IF(_xlfn.XLOOKUP(I12,'WAS RESID'!K:K,'WAS RESID'!Q:Q)=0,1,IFERROR(_xlfn.XLOOKUP(I12,'WAS RESID'!K:K,'WAS RESID'!Q:Q)/_xlfn.XLOOKUP(I12,'WAS RESID'!K:K,'WAS RESID'!O:O),1))))</f>
        <v/>
      </c>
      <c r="L12" s="326">
        <f t="shared" si="0"/>
        <v>1</v>
      </c>
      <c r="M12">
        <f>_xlfn.XLOOKUP(I12,'WAS RESID'!K:K,'WAS RESID'!T:T)</f>
        <v>31.536000000000001</v>
      </c>
      <c r="N12" s="3">
        <f>_xlfn.XLOOKUP(I12,'WAS RESID'!K:K,'WAS RESID'!S:S)</f>
        <v>0.9</v>
      </c>
      <c r="O12" s="3">
        <v>20</v>
      </c>
      <c r="P12" s="3">
        <v>1</v>
      </c>
      <c r="Q12" s="2">
        <f>_xlfn.XLOOKUP(I12,'WAS RESID'!K:K,'WAS RESID'!R:R)</f>
        <v>162.54535653598049</v>
      </c>
      <c r="R12" s="326" t="str">
        <f>IF(_xlfn.XLOOKUP(I12,'WAS RESID'!K:K,'WAS RESID'!X:X)="","",_xlfn.XLOOKUP(I12,'WAS RESID'!K:K,'WAS RESID'!X:X))</f>
        <v/>
      </c>
      <c r="S12" s="326"/>
    </row>
    <row r="13" spans="2:20">
      <c r="B13" t="str">
        <v>WASSOLLDFPOW19</v>
      </c>
      <c r="C13" t="str">
        <v>CELC</v>
      </c>
      <c r="D13" t="s">
        <v>443</v>
      </c>
      <c r="E13" t="s">
        <v>444</v>
      </c>
      <c r="F13" s="1">
        <f>IF(LEFT(RIGHT(B13,5),3)="COG","",IFERROR(SUMIFS('WAS RESID'!P:P,'WAS RESID'!K:K,ResidBGA!B13,'WAS RESID'!I:I,ResidBGA!C13)/_xlfn.XLOOKUP(B13,'WAS RESID'!K:K,'WAS RESID'!Q:Q),1))</f>
        <v>1</v>
      </c>
      <c r="H13" t="str">
        <f>Def_Tech!C73</f>
        <v>CITY</v>
      </c>
      <c r="I13" t="str">
        <f>Def_Tech!D73</f>
        <v>WASSOLLDFFLA19</v>
      </c>
      <c r="J13" t="str">
        <f>_xlfn.XLOOKUP(ResidBGA!I13,'WAS RESID'!K:K,'WAS RESID'!H:H)</f>
        <v>WASSOLLDFBGA</v>
      </c>
      <c r="K13" s="1" t="str">
        <f>IF(OR(LEFT(RIGHT(I13,5),3)="VEN",LEFT(RIGHT(I13,5),3)="FLA"),"",IF(LEFT(RIGHT(I13,5),3)="COG",IF(_xlfn.XLOOKUP(I13,'WAS RESID'!K:K,'WAS RESID'!Q:Q)=0,1,IFERROR(SUMIFS('WAS RESID'!P:P,'WAS RESID'!K:K,I13,'WAS RESID'!I:I,"CELC")/_xlfn.XLOOKUP(I13,'WAS RESID'!K:K,'WAS RESID'!O:O),1)),IF(_xlfn.XLOOKUP(I13,'WAS RESID'!K:K,'WAS RESID'!Q:Q)=0,1,IFERROR(_xlfn.XLOOKUP(I13,'WAS RESID'!K:K,'WAS RESID'!Q:Q)/_xlfn.XLOOKUP(I13,'WAS RESID'!K:K,'WAS RESID'!O:O),1))))</f>
        <v/>
      </c>
      <c r="L13" s="326">
        <f t="shared" si="0"/>
        <v>1</v>
      </c>
      <c r="M13">
        <f>_xlfn.XLOOKUP(I13,'WAS RESID'!K:K,'WAS RESID'!T:T)</f>
        <v>31.536000000000001</v>
      </c>
      <c r="N13" s="3">
        <f>_xlfn.XLOOKUP(I13,'WAS RESID'!K:K,'WAS RESID'!S:S)</f>
        <v>0.9</v>
      </c>
      <c r="O13" s="3">
        <v>20</v>
      </c>
      <c r="P13" s="3">
        <v>1</v>
      </c>
      <c r="Q13" s="2">
        <f>_xlfn.XLOOKUP(I13,'WAS RESID'!K:K,'WAS RESID'!R:R)</f>
        <v>487.63606960794141</v>
      </c>
      <c r="R13" s="326" t="str">
        <f>IF(_xlfn.XLOOKUP(I13,'WAS RESID'!K:K,'WAS RESID'!X:X)="","",_xlfn.XLOOKUP(I13,'WAS RESID'!K:K,'WAS RESID'!X:X))</f>
        <v/>
      </c>
      <c r="S13" s="326"/>
    </row>
    <row r="14" spans="2:20">
      <c r="B14" t="str">
        <v>WASSOLLDFPUR19</v>
      </c>
      <c r="C14" t="str">
        <v>RNG</v>
      </c>
      <c r="D14" t="s">
        <v>443</v>
      </c>
      <c r="E14" t="s">
        <v>444</v>
      </c>
      <c r="F14" s="1">
        <f>IF(LEFT(RIGHT(B14,5),3)="COG","",IFERROR(SUMIFS('WAS RESID'!P:P,'WAS RESID'!K:K,ResidBGA!B14,'WAS RESID'!I:I,ResidBGA!C14)/_xlfn.XLOOKUP(B14,'WAS RESID'!K:K,'WAS RESID'!Q:Q),1))</f>
        <v>1</v>
      </c>
      <c r="H14" t="str">
        <f>Def_Tech!C74</f>
        <v>CITY</v>
      </c>
      <c r="I14" t="str">
        <f>Def_Tech!D74</f>
        <v>WASSOLLDFCOG19</v>
      </c>
      <c r="J14" t="str">
        <f>_xlfn.XLOOKUP(ResidBGA!I14,'WAS RESID'!K:K,'WAS RESID'!H:H)</f>
        <v>WASSOLLDFBGA</v>
      </c>
      <c r="K14" s="1">
        <f>IF(OR(LEFT(RIGHT(I14,5),3)="VEN",LEFT(RIGHT(I14,5),3)="FLA"),"",IF(LEFT(RIGHT(I14,5),3)="COG",IF(_xlfn.XLOOKUP(I14,'WAS RESID'!K:K,'WAS RESID'!Q:Q)=0,1,IFERROR(SUMIFS('WAS RESID'!P:P,'WAS RESID'!K:K,I14,'WAS RESID'!I:I,"CELC")/_xlfn.XLOOKUP(I14,'WAS RESID'!K:K,'WAS RESID'!O:O),1)),IF(_xlfn.XLOOKUP(I14,'WAS RESID'!K:K,'WAS RESID'!Q:Q)=0,1,IFERROR(_xlfn.XLOOKUP(I14,'WAS RESID'!K:K,'WAS RESID'!Q:Q)/_xlfn.XLOOKUP(I14,'WAS RESID'!K:K,'WAS RESID'!O:O),1))))</f>
        <v>1</v>
      </c>
      <c r="L14" s="326" t="str">
        <f t="shared" si="0"/>
        <v/>
      </c>
      <c r="M14">
        <f>_xlfn.XLOOKUP(I14,'WAS RESID'!K:K,'WAS RESID'!T:T)</f>
        <v>31.536000000000001</v>
      </c>
      <c r="N14" s="3">
        <f>_xlfn.XLOOKUP(I14,'WAS RESID'!K:K,'WAS RESID'!S:S)</f>
        <v>0.9</v>
      </c>
      <c r="O14" s="3">
        <v>20</v>
      </c>
      <c r="P14" s="3">
        <v>1</v>
      </c>
      <c r="Q14" s="2">
        <f>_xlfn.XLOOKUP(I14,'WAS RESID'!K:K,'WAS RESID'!R:R)</f>
        <v>0</v>
      </c>
      <c r="R14" s="326">
        <f>IF(_xlfn.XLOOKUP(I14,'WAS RESID'!K:K,'WAS RESID'!X:X)="","",_xlfn.XLOOKUP(I14,'WAS RESID'!K:K,'WAS RESID'!X:X))</f>
        <v>0</v>
      </c>
      <c r="S14" s="326"/>
    </row>
    <row r="15" spans="2:20">
      <c r="B15" t="str">
        <v>WASWATWADCOG19</v>
      </c>
      <c r="C15" t="str">
        <v>CELC</v>
      </c>
      <c r="D15" t="s">
        <v>443</v>
      </c>
      <c r="E15" t="s">
        <v>444</v>
      </c>
      <c r="F15" s="1" t="str">
        <f>IF(LEFT(RIGHT(B15,5),3)="COG","",IFERROR(SUMIFS('WAS RESID'!P:P,'WAS RESID'!K:K,ResidBGA!B15,'WAS RESID'!I:I,ResidBGA!C15)/_xlfn.XLOOKUP(B15,'WAS RESID'!K:K,'WAS RESID'!Q:Q),1))</f>
        <v/>
      </c>
      <c r="H15" t="str">
        <f>Def_Tech!C75</f>
        <v>CITY</v>
      </c>
      <c r="I15" t="str">
        <f>Def_Tech!D75</f>
        <v>WASSOLLDFPOW19</v>
      </c>
      <c r="J15" t="str">
        <f>_xlfn.XLOOKUP(ResidBGA!I15,'WAS RESID'!K:K,'WAS RESID'!H:H)</f>
        <v>WASSOLLDFBGA</v>
      </c>
      <c r="K15" s="1">
        <f>IF(OR(LEFT(RIGHT(I15,5),3)="VEN",LEFT(RIGHT(I15,5),3)="FLA"),"",IF(LEFT(RIGHT(I15,5),3)="COG",IF(_xlfn.XLOOKUP(I15,'WAS RESID'!K:K,'WAS RESID'!Q:Q)=0,1,IFERROR(SUMIFS('WAS RESID'!P:P,'WAS RESID'!K:K,I15,'WAS RESID'!I:I,"CELC")/_xlfn.XLOOKUP(I15,'WAS RESID'!K:K,'WAS RESID'!O:O),1)),IF(_xlfn.XLOOKUP(I15,'WAS RESID'!K:K,'WAS RESID'!Q:Q)=0,1,IFERROR(_xlfn.XLOOKUP(I15,'WAS RESID'!K:K,'WAS RESID'!Q:Q)/_xlfn.XLOOKUP(I15,'WAS RESID'!K:K,'WAS RESID'!O:O),1))))</f>
        <v>1</v>
      </c>
      <c r="L15" s="326" t="str">
        <f t="shared" si="0"/>
        <v/>
      </c>
      <c r="M15">
        <f>_xlfn.XLOOKUP(I15,'WAS RESID'!K:K,'WAS RESID'!T:T)</f>
        <v>31.536000000000001</v>
      </c>
      <c r="N15" s="3">
        <f>_xlfn.XLOOKUP(I15,'WAS RESID'!K:K,'WAS RESID'!S:S)</f>
        <v>0.9</v>
      </c>
      <c r="O15" s="3">
        <v>20</v>
      </c>
      <c r="P15" s="3">
        <v>1</v>
      </c>
      <c r="Q15" s="2">
        <f>_xlfn.XLOOKUP(I15,'WAS RESID'!K:K,'WAS RESID'!R:R)</f>
        <v>0</v>
      </c>
      <c r="R15" s="326" t="str">
        <f>IF(_xlfn.XLOOKUP(I15,'WAS RESID'!K:K,'WAS RESID'!X:X)="","",_xlfn.XLOOKUP(I15,'WAS RESID'!K:K,'WAS RESID'!X:X))</f>
        <v/>
      </c>
      <c r="S15" s="326"/>
    </row>
    <row r="16" spans="2:20">
      <c r="B16" t="str">
        <v>WASWATWADCOG19</v>
      </c>
      <c r="C16" t="str">
        <v>STM</v>
      </c>
      <c r="D16" t="s">
        <v>443</v>
      </c>
      <c r="E16" t="s">
        <v>444</v>
      </c>
      <c r="F16" s="1" t="str">
        <f>IF(LEFT(RIGHT(B16,5),3)="COG","",IFERROR(SUMIFS('WAS RESID'!P:P,'WAS RESID'!K:K,ResidBGA!B16,'WAS RESID'!I:I,ResidBGA!C16)/_xlfn.XLOOKUP(B16,'WAS RESID'!K:K,'WAS RESID'!Q:Q),1))</f>
        <v/>
      </c>
      <c r="H16" t="str">
        <f>Def_Tech!C76</f>
        <v>CITY</v>
      </c>
      <c r="I16" t="str">
        <f>Def_Tech!D76</f>
        <v>WASSOLLDFPUR19</v>
      </c>
      <c r="J16" t="str">
        <f>_xlfn.XLOOKUP(ResidBGA!I16,'WAS RESID'!K:K,'WAS RESID'!H:H)</f>
        <v>WASSOLLDFBGA</v>
      </c>
      <c r="K16" s="1">
        <f>IF(OR(LEFT(RIGHT(I16,5),3)="VEN",LEFT(RIGHT(I16,5),3)="FLA"),"",IF(LEFT(RIGHT(I16,5),3)="COG",IF(_xlfn.XLOOKUP(I16,'WAS RESID'!K:K,'WAS RESID'!Q:Q)=0,1,IFERROR(SUMIFS('WAS RESID'!P:P,'WAS RESID'!K:K,I16,'WAS RESID'!I:I,"CELC")/_xlfn.XLOOKUP(I16,'WAS RESID'!K:K,'WAS RESID'!O:O),1)),IF(_xlfn.XLOOKUP(I16,'WAS RESID'!K:K,'WAS RESID'!Q:Q)=0,1,IFERROR(_xlfn.XLOOKUP(I16,'WAS RESID'!K:K,'WAS RESID'!Q:Q)/_xlfn.XLOOKUP(I16,'WAS RESID'!K:K,'WAS RESID'!O:O),1))))</f>
        <v>1</v>
      </c>
      <c r="L16" s="326" t="str">
        <f t="shared" si="0"/>
        <v/>
      </c>
      <c r="M16">
        <f>_xlfn.XLOOKUP(I16,'WAS RESID'!K:K,'WAS RESID'!T:T)</f>
        <v>31.536000000000001</v>
      </c>
      <c r="N16" s="3">
        <f>_xlfn.XLOOKUP(I16,'WAS RESID'!K:K,'WAS RESID'!S:S)</f>
        <v>0.9</v>
      </c>
      <c r="O16" s="3">
        <v>20</v>
      </c>
      <c r="P16" s="3">
        <v>1</v>
      </c>
      <c r="Q16" s="2">
        <f>_xlfn.XLOOKUP(I16,'WAS RESID'!K:K,'WAS RESID'!R:R)</f>
        <v>0</v>
      </c>
      <c r="R16" s="326" t="str">
        <f>IF(_xlfn.XLOOKUP(I16,'WAS RESID'!K:K,'WAS RESID'!X:X)="","",_xlfn.XLOOKUP(I16,'WAS RESID'!K:K,'WAS RESID'!X:X))</f>
        <v/>
      </c>
      <c r="S16" s="326"/>
    </row>
    <row r="17" spans="2:21">
      <c r="B17" t="str">
        <v>WASWATWADPOW19</v>
      </c>
      <c r="C17" t="str">
        <v>CELC</v>
      </c>
      <c r="D17" t="s">
        <v>443</v>
      </c>
      <c r="E17" t="s">
        <v>444</v>
      </c>
      <c r="F17" s="1">
        <f>IF(LEFT(RIGHT(B17,5),3)="COG","",IFERROR(SUMIFS('WAS RESID'!P:P,'WAS RESID'!K:K,ResidBGA!B17,'WAS RESID'!I:I,ResidBGA!C17)/_xlfn.XLOOKUP(B17,'WAS RESID'!K:K,'WAS RESID'!Q:Q),1))</f>
        <v>1</v>
      </c>
      <c r="H17" t="str">
        <f>Def_Tech!C77</f>
        <v>CITY</v>
      </c>
      <c r="I17" t="str">
        <f>Def_Tech!D77</f>
        <v>WASWATWADVEN19</v>
      </c>
      <c r="J17" t="str">
        <f>_xlfn.XLOOKUP(ResidBGA!I17,'WAS RESID'!K:K,'WAS RESID'!H:H)</f>
        <v>WASWATWADBGA</v>
      </c>
      <c r="K17" s="1" t="str">
        <f>IF(OR(LEFT(RIGHT(I17,5),3)="VEN",LEFT(RIGHT(I17,5),3)="FLA"),"",IF(LEFT(RIGHT(I17,5),3)="COG",IF(_xlfn.XLOOKUP(I17,'WAS RESID'!K:K,'WAS RESID'!Q:Q)=0,1,IFERROR(SUMIFS('WAS RESID'!P:P,'WAS RESID'!K:K,I17,'WAS RESID'!I:I,"CELC")/_xlfn.XLOOKUP(I17,'WAS RESID'!K:K,'WAS RESID'!O:O),1)),IF(_xlfn.XLOOKUP(I17,'WAS RESID'!K:K,'WAS RESID'!Q:Q)=0,1,IFERROR(_xlfn.XLOOKUP(I17,'WAS RESID'!K:K,'WAS RESID'!Q:Q)/_xlfn.XLOOKUP(I17,'WAS RESID'!K:K,'WAS RESID'!O:O),1))))</f>
        <v/>
      </c>
      <c r="L17" s="326">
        <f t="shared" si="0"/>
        <v>1</v>
      </c>
      <c r="M17">
        <f>_xlfn.XLOOKUP(I17,'WAS RESID'!K:K,'WAS RESID'!T:T)</f>
        <v>31.536000000000001</v>
      </c>
      <c r="N17" s="3">
        <f>_xlfn.XLOOKUP(I17,'WAS RESID'!K:K,'WAS RESID'!S:S)</f>
        <v>0.9</v>
      </c>
      <c r="O17" s="3">
        <v>20</v>
      </c>
      <c r="P17" s="3">
        <v>1</v>
      </c>
      <c r="Q17" s="2">
        <f>_xlfn.XLOOKUP(I17,'WAS RESID'!K:K,'WAS RESID'!R:R)</f>
        <v>1.2510113420718501</v>
      </c>
      <c r="R17" s="326" t="str">
        <f>IF(_xlfn.XLOOKUP(I17,'WAS RESID'!K:K,'WAS RESID'!X:X)="","",_xlfn.XLOOKUP(I17,'WAS RESID'!K:K,'WAS RESID'!X:X))</f>
        <v/>
      </c>
      <c r="S17" s="326"/>
      <c r="T17" s="333">
        <f t="shared" ref="T17:T26" si="1">Q17*M17*N17</f>
        <v>35.506704315220077</v>
      </c>
      <c r="U17" s="333"/>
    </row>
    <row r="18" spans="2:21">
      <c r="B18" t="str">
        <v>WASWATWADPUR19</v>
      </c>
      <c r="C18" t="str">
        <v>RNG</v>
      </c>
      <c r="D18" t="s">
        <v>443</v>
      </c>
      <c r="E18" t="s">
        <v>444</v>
      </c>
      <c r="F18" s="1">
        <f>IF(LEFT(RIGHT(B18,5),3)="COG","",IFERROR(SUMIFS('WAS RESID'!P:P,'WAS RESID'!K:K,ResidBGA!B18,'WAS RESID'!I:I,ResidBGA!C18)/_xlfn.XLOOKUP(B18,'WAS RESID'!K:K,'WAS RESID'!Q:Q),1))</f>
        <v>1</v>
      </c>
      <c r="H18" t="str">
        <f>Def_Tech!C78</f>
        <v>CITY</v>
      </c>
      <c r="I18" t="str">
        <f>Def_Tech!D78</f>
        <v>WASWATWADFLA19</v>
      </c>
      <c r="J18" t="str">
        <f>_xlfn.XLOOKUP(ResidBGA!I18,'WAS RESID'!K:K,'WAS RESID'!H:H)</f>
        <v>WASWATWADBGA</v>
      </c>
      <c r="K18" s="1" t="str">
        <f>IF(OR(LEFT(RIGHT(I18,5),3)="VEN",LEFT(RIGHT(I18,5),3)="FLA"),"",IF(LEFT(RIGHT(I18,5),3)="COG",IF(_xlfn.XLOOKUP(I18,'WAS RESID'!K:K,'WAS RESID'!Q:Q)=0,1,IFERROR(SUMIFS('WAS RESID'!P:P,'WAS RESID'!K:K,I18,'WAS RESID'!I:I,"CELC")/_xlfn.XLOOKUP(I18,'WAS RESID'!K:K,'WAS RESID'!O:O),1)),IF(_xlfn.XLOOKUP(I18,'WAS RESID'!K:K,'WAS RESID'!Q:Q)=0,1,IFERROR(_xlfn.XLOOKUP(I18,'WAS RESID'!K:K,'WAS RESID'!Q:Q)/_xlfn.XLOOKUP(I18,'WAS RESID'!K:K,'WAS RESID'!O:O),1))))</f>
        <v/>
      </c>
      <c r="L18" s="326">
        <f t="shared" si="0"/>
        <v>1</v>
      </c>
      <c r="M18">
        <f>_xlfn.XLOOKUP(I18,'WAS RESID'!K:K,'WAS RESID'!T:T)</f>
        <v>31.536000000000001</v>
      </c>
      <c r="N18" s="3">
        <f>_xlfn.XLOOKUP(I18,'WAS RESID'!K:K,'WAS RESID'!S:S)</f>
        <v>0.9</v>
      </c>
      <c r="O18" s="3">
        <v>20</v>
      </c>
      <c r="P18" s="3">
        <v>1</v>
      </c>
      <c r="Q18" s="2">
        <f>_xlfn.XLOOKUP(I18,'WAS RESID'!K:K,'WAS RESID'!R:R)</f>
        <v>61.299555761520637</v>
      </c>
      <c r="R18" s="326" t="str">
        <f>IF(_xlfn.XLOOKUP(I18,'WAS RESID'!K:K,'WAS RESID'!X:X)="","",_xlfn.XLOOKUP(I18,'WAS RESID'!K:K,'WAS RESID'!X:X))</f>
        <v/>
      </c>
      <c r="S18" s="326"/>
      <c r="T18" s="333">
        <f t="shared" si="1"/>
        <v>1739.8285114457833</v>
      </c>
      <c r="U18" s="333"/>
    </row>
    <row r="19" spans="2:21">
      <c r="B19" t="str">
        <v>WASWATWANCOG19</v>
      </c>
      <c r="C19" t="str">
        <v>CELC</v>
      </c>
      <c r="D19" t="s">
        <v>443</v>
      </c>
      <c r="E19" t="s">
        <v>444</v>
      </c>
      <c r="F19" s="1" t="str">
        <f>IF(LEFT(RIGHT(B19,5),3)="COG","",IFERROR(SUMIFS('WAS RESID'!P:P,'WAS RESID'!K:K,ResidBGA!B19,'WAS RESID'!I:I,ResidBGA!C19)/_xlfn.XLOOKUP(B19,'WAS RESID'!K:K,'WAS RESID'!Q:Q),1))</f>
        <v/>
      </c>
      <c r="H19" t="str">
        <f>Def_Tech!C79</f>
        <v>CITY</v>
      </c>
      <c r="I19" t="str">
        <f>Def_Tech!D79</f>
        <v>WASWATWADCOG19</v>
      </c>
      <c r="J19" t="str">
        <f>_xlfn.XLOOKUP(ResidBGA!I19,'WAS RESID'!K:K,'WAS RESID'!H:H)</f>
        <v>WASWATWADBGA</v>
      </c>
      <c r="K19" s="1">
        <f>IF(OR(LEFT(RIGHT(I19,5),3)="VEN",LEFT(RIGHT(I19,5),3)="FLA"),"",IF(LEFT(RIGHT(I19,5),3)="COG",IF(_xlfn.XLOOKUP(I19,'WAS RESID'!K:K,'WAS RESID'!Q:Q)=0,1,IFERROR(SUMIFS('WAS RESID'!P:P,'WAS RESID'!K:K,I19,'WAS RESID'!I:I,"CELC")/_xlfn.XLOOKUP(I19,'WAS RESID'!K:K,'WAS RESID'!O:O),1)),IF(_xlfn.XLOOKUP(I19,'WAS RESID'!K:K,'WAS RESID'!Q:Q)=0,1,IFERROR(_xlfn.XLOOKUP(I19,'WAS RESID'!K:K,'WAS RESID'!Q:Q)/_xlfn.XLOOKUP(I19,'WAS RESID'!K:K,'WAS RESID'!O:O),1))))</f>
        <v>0.35000000000000009</v>
      </c>
      <c r="L19" s="326" t="str">
        <f t="shared" si="0"/>
        <v/>
      </c>
      <c r="M19">
        <f>_xlfn.XLOOKUP(I19,'WAS RESID'!K:K,'WAS RESID'!T:T)</f>
        <v>31.536000000000001</v>
      </c>
      <c r="N19" s="3">
        <f>_xlfn.XLOOKUP(I19,'WAS RESID'!K:K,'WAS RESID'!S:S)</f>
        <v>0.9</v>
      </c>
      <c r="O19" s="3">
        <v>20</v>
      </c>
      <c r="P19" s="3">
        <v>1</v>
      </c>
      <c r="Q19" s="2">
        <f>_xlfn.XLOOKUP(I19,'WAS RESID'!K:K,'WAS RESID'!R:R)</f>
        <v>10.94634924312868</v>
      </c>
      <c r="R19" s="326">
        <f>IF(_xlfn.XLOOKUP(I19,'WAS RESID'!K:K,'WAS RESID'!X:X)="","",_xlfn.XLOOKUP(I19,'WAS RESID'!K:K,'WAS RESID'!X:X))</f>
        <v>1.285714285714286</v>
      </c>
      <c r="S19" s="326"/>
      <c r="T19" s="333">
        <f t="shared" si="1"/>
        <v>310.68366275817544</v>
      </c>
      <c r="U19" s="333"/>
    </row>
    <row r="20" spans="2:21">
      <c r="B20" t="str">
        <v>WASWATWANCOG19</v>
      </c>
      <c r="C20" t="str">
        <v>STM</v>
      </c>
      <c r="D20" t="s">
        <v>443</v>
      </c>
      <c r="E20" t="s">
        <v>444</v>
      </c>
      <c r="F20" s="1" t="str">
        <f>IF(LEFT(RIGHT(B20,5),3)="COG","",IFERROR(SUMIFS('WAS RESID'!P:P,'WAS RESID'!K:K,ResidBGA!B20,'WAS RESID'!I:I,ResidBGA!C20)/_xlfn.XLOOKUP(B20,'WAS RESID'!K:K,'WAS RESID'!Q:Q),1))</f>
        <v/>
      </c>
      <c r="H20" t="str">
        <f>Def_Tech!C80</f>
        <v>CITY</v>
      </c>
      <c r="I20" t="str">
        <f>Def_Tech!D80</f>
        <v>WASWATWADPOW19</v>
      </c>
      <c r="J20" t="str">
        <f>_xlfn.XLOOKUP(ResidBGA!I20,'WAS RESID'!K:K,'WAS RESID'!H:H)</f>
        <v>WASWATWADBGA</v>
      </c>
      <c r="K20" s="1">
        <f>IF(OR(LEFT(RIGHT(I20,5),3)="VEN",LEFT(RIGHT(I20,5),3)="FLA"),"",IF(LEFT(RIGHT(I20,5),3)="COG",IF(_xlfn.XLOOKUP(I20,'WAS RESID'!K:K,'WAS RESID'!Q:Q)=0,1,IFERROR(SUMIFS('WAS RESID'!P:P,'WAS RESID'!K:K,I20,'WAS RESID'!I:I,"CELC")/_xlfn.XLOOKUP(I20,'WAS RESID'!K:K,'WAS RESID'!O:O),1)),IF(_xlfn.XLOOKUP(I20,'WAS RESID'!K:K,'WAS RESID'!Q:Q)=0,1,IFERROR(_xlfn.XLOOKUP(I20,'WAS RESID'!K:K,'WAS RESID'!Q:Q)/_xlfn.XLOOKUP(I20,'WAS RESID'!K:K,'WAS RESID'!O:O),1))))</f>
        <v>0.35000000000000009</v>
      </c>
      <c r="L20" s="326" t="str">
        <f t="shared" si="0"/>
        <v/>
      </c>
      <c r="M20">
        <f>_xlfn.XLOOKUP(I20,'WAS RESID'!K:K,'WAS RESID'!T:T)</f>
        <v>31.536000000000001</v>
      </c>
      <c r="N20" s="3">
        <f>_xlfn.XLOOKUP(I20,'WAS RESID'!K:K,'WAS RESID'!S:S)</f>
        <v>0.9</v>
      </c>
      <c r="O20" s="3">
        <v>20</v>
      </c>
      <c r="P20" s="3">
        <v>1</v>
      </c>
      <c r="Q20" s="2">
        <f>_xlfn.XLOOKUP(I20,'WAS RESID'!K:K,'WAS RESID'!R:R)</f>
        <v>10.94634924312868</v>
      </c>
      <c r="R20" s="326" t="str">
        <f>IF(_xlfn.XLOOKUP(I20,'WAS RESID'!K:K,'WAS RESID'!X:X)="","",_xlfn.XLOOKUP(I20,'WAS RESID'!K:K,'WAS RESID'!X:X))</f>
        <v/>
      </c>
      <c r="S20" s="326"/>
      <c r="T20" s="333">
        <f t="shared" si="1"/>
        <v>310.68366275817544</v>
      </c>
      <c r="U20" s="333"/>
    </row>
    <row r="21" spans="2:21">
      <c r="B21" t="str">
        <v>WASWATWANPOW19</v>
      </c>
      <c r="C21" t="str">
        <v>CELC</v>
      </c>
      <c r="D21" t="s">
        <v>443</v>
      </c>
      <c r="E21" t="s">
        <v>444</v>
      </c>
      <c r="F21" s="1">
        <f>IF(LEFT(RIGHT(B21,5),3)="COG","",IFERROR(SUMIFS('WAS RESID'!P:P,'WAS RESID'!K:K,ResidBGA!B21,'WAS RESID'!I:I,ResidBGA!C21)/_xlfn.XLOOKUP(B21,'WAS RESID'!K:K,'WAS RESID'!Q:Q),1))</f>
        <v>1</v>
      </c>
      <c r="H21" t="str">
        <f>Def_Tech!C81</f>
        <v>CITY</v>
      </c>
      <c r="I21" t="str">
        <f>Def_Tech!D81</f>
        <v>WASWATWADPUR19</v>
      </c>
      <c r="J21" t="str">
        <f>_xlfn.XLOOKUP(ResidBGA!I21,'WAS RESID'!K:K,'WAS RESID'!H:H)</f>
        <v>WASWATWADBGA</v>
      </c>
      <c r="K21" s="1">
        <f>IF(OR(LEFT(RIGHT(I21,5),3)="VEN",LEFT(RIGHT(I21,5),3)="FLA"),"",IF(LEFT(RIGHT(I21,5),3)="COG",IF(_xlfn.XLOOKUP(I21,'WAS RESID'!K:K,'WAS RESID'!Q:Q)=0,1,IFERROR(SUMIFS('WAS RESID'!P:P,'WAS RESID'!K:K,I21,'WAS RESID'!I:I,"CELC")/_xlfn.XLOOKUP(I21,'WAS RESID'!K:K,'WAS RESID'!O:O),1)),IF(_xlfn.XLOOKUP(I21,'WAS RESID'!K:K,'WAS RESID'!Q:Q)=0,1,IFERROR(_xlfn.XLOOKUP(I21,'WAS RESID'!K:K,'WAS RESID'!Q:Q)/_xlfn.XLOOKUP(I21,'WAS RESID'!K:K,'WAS RESID'!O:O),1))))</f>
        <v>1</v>
      </c>
      <c r="L21" s="326" t="str">
        <f t="shared" si="0"/>
        <v/>
      </c>
      <c r="M21">
        <f>_xlfn.XLOOKUP(I21,'WAS RESID'!K:K,'WAS RESID'!T:T)</f>
        <v>31.536000000000001</v>
      </c>
      <c r="N21" s="3">
        <f>_xlfn.XLOOKUP(I21,'WAS RESID'!K:K,'WAS RESID'!S:S)</f>
        <v>0.9</v>
      </c>
      <c r="O21" s="3">
        <v>20</v>
      </c>
      <c r="P21" s="3">
        <v>1</v>
      </c>
      <c r="Q21" s="2">
        <f>_xlfn.XLOOKUP(I21,'WAS RESID'!K:K,'WAS RESID'!R:R)</f>
        <v>0</v>
      </c>
      <c r="R21" s="326" t="str">
        <f>IF(_xlfn.XLOOKUP(I21,'WAS RESID'!K:K,'WAS RESID'!X:X)="","",_xlfn.XLOOKUP(I21,'WAS RESID'!K:K,'WAS RESID'!X:X))</f>
        <v/>
      </c>
      <c r="S21" s="326"/>
      <c r="T21" s="333">
        <f t="shared" si="1"/>
        <v>0</v>
      </c>
      <c r="U21" s="333"/>
    </row>
    <row r="22" spans="2:21">
      <c r="B22" t="str">
        <v>WASWATWANPUR19</v>
      </c>
      <c r="C22" t="str">
        <v>RNG</v>
      </c>
      <c r="D22" t="s">
        <v>443</v>
      </c>
      <c r="E22" t="s">
        <v>444</v>
      </c>
      <c r="F22" s="1">
        <f>IF(LEFT(RIGHT(B22,5),3)="COG","",IFERROR(SUMIFS('WAS RESID'!P:P,'WAS RESID'!K:K,ResidBGA!B22,'WAS RESID'!I:I,ResidBGA!C22)/_xlfn.XLOOKUP(B22,'WAS RESID'!K:K,'WAS RESID'!Q:Q),1))</f>
        <v>1</v>
      </c>
      <c r="H22" t="str">
        <f>Def_Tech!C82</f>
        <v>CITY</v>
      </c>
      <c r="I22" t="str">
        <f>Def_Tech!D82</f>
        <v>WASWATWANVEN19</v>
      </c>
      <c r="J22" t="str">
        <f>_xlfn.XLOOKUP(ResidBGA!I22,'WAS RESID'!K:K,'WAS RESID'!H:H)</f>
        <v>WASWATWANBGA</v>
      </c>
      <c r="K22" s="1" t="str">
        <f>IF(OR(LEFT(RIGHT(I22,5),3)="VEN",LEFT(RIGHT(I22,5),3)="FLA"),"",IF(LEFT(RIGHT(I22,5),3)="COG",IF(_xlfn.XLOOKUP(I22,'WAS RESID'!K:K,'WAS RESID'!Q:Q)=0,1,IFERROR(SUMIFS('WAS RESID'!P:P,'WAS RESID'!K:K,I22,'WAS RESID'!I:I,"CELC")/_xlfn.XLOOKUP(I22,'WAS RESID'!K:K,'WAS RESID'!O:O),1)),IF(_xlfn.XLOOKUP(I22,'WAS RESID'!K:K,'WAS RESID'!Q:Q)=0,1,IFERROR(_xlfn.XLOOKUP(I22,'WAS RESID'!K:K,'WAS RESID'!Q:Q)/_xlfn.XLOOKUP(I22,'WAS RESID'!K:K,'WAS RESID'!O:O),1))))</f>
        <v/>
      </c>
      <c r="L22" s="326">
        <f t="shared" si="0"/>
        <v>1</v>
      </c>
      <c r="M22">
        <f>_xlfn.XLOOKUP(I22,'WAS RESID'!K:K,'WAS RESID'!T:T)</f>
        <v>31.536000000000001</v>
      </c>
      <c r="N22" s="3">
        <f>_xlfn.XLOOKUP(I22,'WAS RESID'!K:K,'WAS RESID'!S:S)</f>
        <v>0.9</v>
      </c>
      <c r="O22" s="3">
        <v>20</v>
      </c>
      <c r="P22" s="3">
        <v>1</v>
      </c>
      <c r="Q22" s="2">
        <f>_xlfn.XLOOKUP(I22,'WAS RESID'!K:K,'WAS RESID'!R:R)</f>
        <v>0.41700378069061661</v>
      </c>
      <c r="R22" s="326" t="str">
        <f>IF(_xlfn.XLOOKUP(I22,'WAS RESID'!K:K,'WAS RESID'!X:X)="","",_xlfn.XLOOKUP(I22,'WAS RESID'!K:K,'WAS RESID'!X:X))</f>
        <v/>
      </c>
      <c r="S22" s="326"/>
      <c r="T22" s="333">
        <f t="shared" si="1"/>
        <v>11.835568105073358</v>
      </c>
      <c r="U22" s="333"/>
    </row>
    <row r="23" spans="2:21">
      <c r="F23" s="3"/>
      <c r="H23" t="str">
        <f>Def_Tech!C83</f>
        <v>CITY</v>
      </c>
      <c r="I23" t="str">
        <f>Def_Tech!D83</f>
        <v>WASWATWANFLA19</v>
      </c>
      <c r="J23" t="str">
        <f>_xlfn.XLOOKUP(ResidBGA!I23,'WAS RESID'!K:K,'WAS RESID'!H:H)</f>
        <v>WASWATWANBGA</v>
      </c>
      <c r="K23" s="1" t="str">
        <f>IF(OR(LEFT(RIGHT(I23,5),3)="VEN",LEFT(RIGHT(I23,5),3)="FLA"),"",IF(LEFT(RIGHT(I23,5),3)="COG",IF(_xlfn.XLOOKUP(I23,'WAS RESID'!K:K,'WAS RESID'!Q:Q)=0,1,IFERROR(SUMIFS('WAS RESID'!P:P,'WAS RESID'!K:K,I23,'WAS RESID'!I:I,"CELC")/_xlfn.XLOOKUP(I23,'WAS RESID'!K:K,'WAS RESID'!O:O),1)),IF(_xlfn.XLOOKUP(I23,'WAS RESID'!K:K,'WAS RESID'!Q:Q)=0,1,IFERROR(_xlfn.XLOOKUP(I23,'WAS RESID'!K:K,'WAS RESID'!Q:Q)/_xlfn.XLOOKUP(I23,'WAS RESID'!K:K,'WAS RESID'!O:O),1))))</f>
        <v/>
      </c>
      <c r="L23" s="326">
        <f t="shared" si="0"/>
        <v>1</v>
      </c>
      <c r="M23">
        <f>_xlfn.XLOOKUP(I23,'WAS RESID'!K:K,'WAS RESID'!T:T)</f>
        <v>31.536000000000001</v>
      </c>
      <c r="N23" s="3">
        <f>_xlfn.XLOOKUP(I23,'WAS RESID'!K:K,'WAS RESID'!S:S)</f>
        <v>0.9</v>
      </c>
      <c r="O23" s="3">
        <v>20</v>
      </c>
      <c r="P23" s="3">
        <v>1</v>
      </c>
      <c r="Q23" s="2">
        <f>_xlfn.XLOOKUP(I23,'WAS RESID'!K:K,'WAS RESID'!R:R)</f>
        <v>20.433185253840211</v>
      </c>
      <c r="R23" s="326" t="str">
        <f>IF(_xlfn.XLOOKUP(I23,'WAS RESID'!K:K,'WAS RESID'!X:X)="","",_xlfn.XLOOKUP(I23,'WAS RESID'!K:K,'WAS RESID'!X:X))</f>
        <v/>
      </c>
      <c r="S23" s="326"/>
      <c r="T23" s="333">
        <f t="shared" si="1"/>
        <v>579.94283714859444</v>
      </c>
      <c r="U23" s="333"/>
    </row>
    <row r="24" spans="2:21">
      <c r="F24" s="3"/>
      <c r="H24" t="str">
        <f>Def_Tech!C84</f>
        <v>CITY</v>
      </c>
      <c r="I24" t="str">
        <f>Def_Tech!D84</f>
        <v>WASWATWANCOG19</v>
      </c>
      <c r="J24" t="str">
        <f>_xlfn.XLOOKUP(ResidBGA!I24,'WAS RESID'!K:K,'WAS RESID'!H:H)</f>
        <v>WASWATWANBGA</v>
      </c>
      <c r="K24" s="1">
        <f>IF(OR(LEFT(RIGHT(I24,5),3)="VEN",LEFT(RIGHT(I24,5),3)="FLA"),"",IF(LEFT(RIGHT(I24,5),3)="COG",IF(_xlfn.XLOOKUP(I24,'WAS RESID'!K:K,'WAS RESID'!Q:Q)=0,1,IFERROR(SUMIFS('WAS RESID'!P:P,'WAS RESID'!K:K,I24,'WAS RESID'!I:I,"CELC")/_xlfn.XLOOKUP(I24,'WAS RESID'!K:K,'WAS RESID'!O:O),1)),IF(_xlfn.XLOOKUP(I24,'WAS RESID'!K:K,'WAS RESID'!Q:Q)=0,1,IFERROR(_xlfn.XLOOKUP(I24,'WAS RESID'!K:K,'WAS RESID'!Q:Q)/_xlfn.XLOOKUP(I24,'WAS RESID'!K:K,'WAS RESID'!O:O),1))))</f>
        <v>0.35000000000000014</v>
      </c>
      <c r="L24" s="326" t="str">
        <f t="shared" si="0"/>
        <v/>
      </c>
      <c r="M24">
        <f>_xlfn.XLOOKUP(I24,'WAS RESID'!K:K,'WAS RESID'!T:T)</f>
        <v>31.536000000000001</v>
      </c>
      <c r="N24" s="3">
        <f>_xlfn.XLOOKUP(I24,'WAS RESID'!K:K,'WAS RESID'!S:S)</f>
        <v>0.9</v>
      </c>
      <c r="O24" s="3">
        <v>20</v>
      </c>
      <c r="P24" s="3">
        <v>1</v>
      </c>
      <c r="Q24" s="2">
        <f>_xlfn.XLOOKUP(I24,'WAS RESID'!K:K,'WAS RESID'!R:R)</f>
        <v>3.6487830810428949</v>
      </c>
      <c r="R24" s="326">
        <f>IF(_xlfn.XLOOKUP(I24,'WAS RESID'!K:K,'WAS RESID'!X:X)="","",_xlfn.XLOOKUP(I24,'WAS RESID'!K:K,'WAS RESID'!X:X))</f>
        <v>1.285714285714286</v>
      </c>
      <c r="S24" s="326"/>
      <c r="T24" s="333">
        <f t="shared" si="1"/>
        <v>103.56122091939186</v>
      </c>
      <c r="U24" s="333"/>
    </row>
    <row r="25" spans="2:21">
      <c r="F25" s="3"/>
      <c r="H25" t="str">
        <f>Def_Tech!C85</f>
        <v>CITY</v>
      </c>
      <c r="I25" t="str">
        <f>Def_Tech!D85</f>
        <v>WASWATWANPOW19</v>
      </c>
      <c r="J25" t="str">
        <f>_xlfn.XLOOKUP(ResidBGA!I25,'WAS RESID'!K:K,'WAS RESID'!H:H)</f>
        <v>WASWATWANBGA</v>
      </c>
      <c r="K25" s="1">
        <f>IF(OR(LEFT(RIGHT(I25,5),3)="VEN",LEFT(RIGHT(I25,5),3)="FLA"),"",IF(LEFT(RIGHT(I25,5),3)="COG",IF(_xlfn.XLOOKUP(I25,'WAS RESID'!K:K,'WAS RESID'!Q:Q)=0,1,IFERROR(SUMIFS('WAS RESID'!P:P,'WAS RESID'!K:K,I25,'WAS RESID'!I:I,"CELC")/_xlfn.XLOOKUP(I25,'WAS RESID'!K:K,'WAS RESID'!O:O),1)),IF(_xlfn.XLOOKUP(I25,'WAS RESID'!K:K,'WAS RESID'!Q:Q)=0,1,IFERROR(_xlfn.XLOOKUP(I25,'WAS RESID'!K:K,'WAS RESID'!Q:Q)/_xlfn.XLOOKUP(I25,'WAS RESID'!K:K,'WAS RESID'!O:O),1))))</f>
        <v>0.35000000000000014</v>
      </c>
      <c r="L25" s="326" t="str">
        <f t="shared" si="0"/>
        <v/>
      </c>
      <c r="M25">
        <f>_xlfn.XLOOKUP(I25,'WAS RESID'!K:K,'WAS RESID'!T:T)</f>
        <v>31.536000000000001</v>
      </c>
      <c r="N25" s="3">
        <f>_xlfn.XLOOKUP(I25,'WAS RESID'!K:K,'WAS RESID'!S:S)</f>
        <v>0.9</v>
      </c>
      <c r="O25" s="3">
        <v>20</v>
      </c>
      <c r="P25" s="3">
        <v>1</v>
      </c>
      <c r="Q25" s="2">
        <f>_xlfn.XLOOKUP(I25,'WAS RESID'!K:K,'WAS RESID'!R:R)</f>
        <v>3.6487830810428949</v>
      </c>
      <c r="R25" s="326" t="str">
        <f>IF(_xlfn.XLOOKUP(I25,'WAS RESID'!K:K,'WAS RESID'!X:X)="","",_xlfn.XLOOKUP(I25,'WAS RESID'!K:K,'WAS RESID'!X:X))</f>
        <v/>
      </c>
      <c r="S25" s="326"/>
      <c r="T25" s="333">
        <f t="shared" si="1"/>
        <v>103.56122091939186</v>
      </c>
      <c r="U25" s="333"/>
    </row>
    <row r="26" spans="2:21">
      <c r="F26" s="3"/>
      <c r="H26" t="str">
        <f>Def_Tech!C86</f>
        <v>CITY</v>
      </c>
      <c r="I26" t="str">
        <f>Def_Tech!D86</f>
        <v>WASWATWANPUR19</v>
      </c>
      <c r="J26" t="str">
        <f>_xlfn.XLOOKUP(ResidBGA!I26,'WAS RESID'!K:K,'WAS RESID'!H:H)</f>
        <v>WASWATWANBGA</v>
      </c>
      <c r="K26" s="1">
        <f>IF(OR(LEFT(RIGHT(I26,5),3)="VEN",LEFT(RIGHT(I26,5),3)="FLA"),"",IF(LEFT(RIGHT(I26,5),3)="COG",IF(_xlfn.XLOOKUP(I26,'WAS RESID'!K:K,'WAS RESID'!Q:Q)=0,1,IFERROR(SUMIFS('WAS RESID'!P:P,'WAS RESID'!K:K,I26,'WAS RESID'!I:I,"CELC")/_xlfn.XLOOKUP(I26,'WAS RESID'!K:K,'WAS RESID'!O:O),1)),IF(_xlfn.XLOOKUP(I26,'WAS RESID'!K:K,'WAS RESID'!Q:Q)=0,1,IFERROR(_xlfn.XLOOKUP(I26,'WAS RESID'!K:K,'WAS RESID'!Q:Q)/_xlfn.XLOOKUP(I26,'WAS RESID'!K:K,'WAS RESID'!O:O),1))))</f>
        <v>1</v>
      </c>
      <c r="L26" s="326" t="str">
        <f t="shared" si="0"/>
        <v/>
      </c>
      <c r="M26">
        <f>_xlfn.XLOOKUP(I26,'WAS RESID'!K:K,'WAS RESID'!T:T)</f>
        <v>31.536000000000001</v>
      </c>
      <c r="N26" s="3">
        <f>_xlfn.XLOOKUP(I26,'WAS RESID'!K:K,'WAS RESID'!S:S)</f>
        <v>0.9</v>
      </c>
      <c r="O26" s="3">
        <v>20</v>
      </c>
      <c r="P26" s="3">
        <v>1</v>
      </c>
      <c r="Q26" s="2">
        <f>_xlfn.XLOOKUP(I26,'WAS RESID'!K:K,'WAS RESID'!R:R)</f>
        <v>0</v>
      </c>
      <c r="R26" s="326" t="str">
        <f>IF(_xlfn.XLOOKUP(I26,'WAS RESID'!K:K,'WAS RESID'!X:X)="","",_xlfn.XLOOKUP(I26,'WAS RESID'!K:K,'WAS RESID'!X:X))</f>
        <v/>
      </c>
      <c r="S26" s="326"/>
      <c r="T26" s="333">
        <f t="shared" si="1"/>
        <v>0</v>
      </c>
      <c r="U26" s="333"/>
    </row>
    <row r="27" spans="2:21">
      <c r="F27" s="3"/>
      <c r="N27" s="3"/>
      <c r="O27" s="3"/>
      <c r="P27" s="3"/>
      <c r="Q27" s="2"/>
    </row>
    <row r="28" spans="2:21">
      <c r="F28" s="3"/>
      <c r="N28" s="3"/>
      <c r="O28" s="3"/>
      <c r="P28" s="3"/>
      <c r="Q28" s="2"/>
    </row>
    <row r="29" spans="2:21">
      <c r="F29" s="3"/>
      <c r="N29" s="3"/>
      <c r="O29" s="3"/>
      <c r="P29" s="3"/>
      <c r="Q29" s="2"/>
    </row>
    <row r="30" spans="2:21">
      <c r="F30" s="3"/>
      <c r="N30" s="3"/>
      <c r="O30" s="3"/>
      <c r="P30" s="3"/>
      <c r="Q30" s="2"/>
    </row>
    <row r="31" spans="2:21">
      <c r="F31" s="3"/>
      <c r="N31" s="3"/>
      <c r="O31" s="3"/>
      <c r="P31" s="3"/>
      <c r="Q31" s="2"/>
    </row>
    <row r="32" spans="2:21">
      <c r="F32" s="3"/>
      <c r="N32" s="3"/>
      <c r="O32" s="3"/>
      <c r="P32" s="3"/>
      <c r="Q32" s="2"/>
    </row>
    <row r="33" spans="6:17">
      <c r="F33" s="3"/>
      <c r="N33" s="3"/>
      <c r="O33" s="3"/>
      <c r="P33" s="3"/>
      <c r="Q33" s="2"/>
    </row>
    <row r="34" spans="6:17">
      <c r="F34" s="3"/>
      <c r="N34" s="3"/>
      <c r="O34" s="3"/>
      <c r="P34" s="3"/>
      <c r="Q34" s="2"/>
    </row>
    <row r="35" spans="6:17">
      <c r="F35" s="3"/>
      <c r="N35" s="3"/>
      <c r="O35" s="3"/>
      <c r="P35" s="3"/>
      <c r="Q35" s="2"/>
    </row>
    <row r="36" spans="6:17">
      <c r="F36" s="3"/>
      <c r="N36" s="3"/>
      <c r="O36" s="3"/>
      <c r="P36" s="3"/>
      <c r="Q36" s="2"/>
    </row>
    <row r="37" spans="6:17">
      <c r="F37" s="3"/>
      <c r="N37" s="3"/>
      <c r="O37" s="3"/>
      <c r="P37" s="3"/>
      <c r="Q37" s="2"/>
    </row>
    <row r="38" spans="6:17">
      <c r="F38" s="3"/>
      <c r="N38" s="3"/>
      <c r="O38" s="3"/>
      <c r="P38" s="3"/>
      <c r="Q38" s="2"/>
    </row>
    <row r="39" spans="6:17">
      <c r="F39" s="3"/>
      <c r="N39" s="3"/>
      <c r="O39" s="3"/>
      <c r="P39" s="3"/>
      <c r="Q39" s="2"/>
    </row>
    <row r="40" spans="6:17">
      <c r="F40" s="3"/>
      <c r="N40" s="3"/>
      <c r="O40" s="3"/>
      <c r="P40" s="3"/>
      <c r="Q40" s="2"/>
    </row>
    <row r="41" spans="6:17">
      <c r="F41" s="3"/>
      <c r="N41" s="3"/>
      <c r="O41" s="3"/>
      <c r="P41" s="3"/>
      <c r="Q41" s="2"/>
    </row>
    <row r="42" spans="6:17">
      <c r="F42" s="3"/>
      <c r="N42" s="3"/>
      <c r="O42" s="3"/>
      <c r="P42" s="3"/>
      <c r="Q42" s="2"/>
    </row>
    <row r="43" spans="6:17">
      <c r="F43" s="3"/>
      <c r="N43" s="3"/>
      <c r="O43" s="3"/>
      <c r="P43" s="3"/>
      <c r="Q43" s="2"/>
    </row>
    <row r="44" spans="6:17">
      <c r="F44" s="3"/>
      <c r="N44" s="3"/>
      <c r="O44" s="3"/>
      <c r="P44" s="3"/>
      <c r="Q44" s="2"/>
    </row>
    <row r="45" spans="6:17">
      <c r="F45" s="3"/>
      <c r="N45" s="3"/>
      <c r="O45" s="3"/>
      <c r="P45" s="3"/>
      <c r="Q45" s="2"/>
    </row>
    <row r="46" spans="6:17">
      <c r="F46" s="3"/>
      <c r="N46" s="3"/>
      <c r="O46" s="3"/>
      <c r="P46" s="3"/>
      <c r="Q46" s="2"/>
    </row>
    <row r="47" spans="6:17">
      <c r="F47" s="3"/>
      <c r="N47" s="3"/>
      <c r="O47" s="3"/>
      <c r="P47" s="3"/>
      <c r="Q47" s="14"/>
    </row>
    <row r="48" spans="6:17">
      <c r="F48" s="3"/>
      <c r="N48" s="3"/>
      <c r="O48" s="3"/>
      <c r="P48" s="3"/>
      <c r="Q48" s="14"/>
    </row>
    <row r="49" spans="6:17">
      <c r="F49" s="3"/>
      <c r="N49" s="3"/>
      <c r="O49" s="3"/>
      <c r="P49" s="3"/>
      <c r="Q49" s="14"/>
    </row>
    <row r="50" spans="6:17">
      <c r="F50" s="3"/>
      <c r="N50" s="3"/>
      <c r="O50" s="3"/>
      <c r="P50" s="3"/>
      <c r="Q50" s="14"/>
    </row>
    <row r="51" spans="6:17">
      <c r="F51" s="3"/>
      <c r="N51" s="3"/>
      <c r="O51" s="3"/>
      <c r="P51" s="3"/>
      <c r="Q51" s="14"/>
    </row>
    <row r="52" spans="6:17">
      <c r="F52" s="3"/>
      <c r="N52" s="3"/>
      <c r="O52" s="3"/>
      <c r="P52" s="3"/>
      <c r="Q52" s="14"/>
    </row>
    <row r="53" spans="6:17">
      <c r="F53" s="3"/>
      <c r="N53" s="3"/>
      <c r="O53" s="3"/>
      <c r="P53" s="3"/>
      <c r="Q53" s="14"/>
    </row>
    <row r="54" spans="6:17">
      <c r="F54" s="3"/>
      <c r="N54" s="3"/>
      <c r="O54" s="3"/>
      <c r="P54" s="3"/>
      <c r="Q54" s="14"/>
    </row>
    <row r="55" spans="6:17">
      <c r="F55" s="3"/>
      <c r="N55" s="3"/>
      <c r="O55" s="3"/>
      <c r="P55" s="3"/>
      <c r="Q55" s="14"/>
    </row>
    <row r="56" spans="6:17">
      <c r="F56" s="3"/>
      <c r="N56" s="3"/>
      <c r="O56" s="3"/>
      <c r="P56" s="3"/>
      <c r="Q56" s="14"/>
    </row>
    <row r="57" spans="6:17">
      <c r="F57" s="3"/>
      <c r="N57" s="3"/>
      <c r="O57" s="3"/>
      <c r="P57" s="3"/>
      <c r="Q57" s="14"/>
    </row>
    <row r="58" spans="6:17">
      <c r="F58" s="3"/>
      <c r="N58" s="3"/>
      <c r="O58" s="3"/>
      <c r="P58" s="3"/>
      <c r="Q58" s="14"/>
    </row>
    <row r="59" spans="6:17">
      <c r="F59" s="3"/>
      <c r="N59" s="3"/>
      <c r="O59" s="3"/>
      <c r="P59" s="3"/>
      <c r="Q59" s="14"/>
    </row>
    <row r="60" spans="6:17">
      <c r="F60" s="3"/>
      <c r="N60" s="3"/>
      <c r="O60" s="3"/>
      <c r="P60" s="3"/>
      <c r="Q60" s="14"/>
    </row>
    <row r="61" spans="6:17">
      <c r="F61" s="3"/>
      <c r="N61" s="3"/>
      <c r="O61" s="3"/>
      <c r="P61" s="3"/>
      <c r="Q61" s="14"/>
    </row>
    <row r="62" spans="6:17">
      <c r="F62" s="3"/>
      <c r="N62" s="3"/>
      <c r="O62" s="3"/>
      <c r="P62" s="3"/>
      <c r="Q62" s="14"/>
    </row>
    <row r="63" spans="6:17">
      <c r="F63" s="3"/>
      <c r="N63" s="3"/>
      <c r="O63" s="3"/>
      <c r="P63" s="3"/>
      <c r="Q63" s="14"/>
    </row>
    <row r="64" spans="6:17">
      <c r="F64" s="3"/>
      <c r="N64" s="3"/>
      <c r="O64" s="3"/>
      <c r="P64" s="3"/>
      <c r="Q64" s="14"/>
    </row>
    <row r="65" spans="6:17">
      <c r="F65" s="3"/>
      <c r="N65" s="3"/>
      <c r="O65" s="3"/>
      <c r="P65" s="3"/>
      <c r="Q65" s="14"/>
    </row>
    <row r="66" spans="6:17">
      <c r="F66" s="3"/>
      <c r="N66" s="3"/>
      <c r="O66" s="3"/>
      <c r="P66" s="3"/>
      <c r="Q66" s="14"/>
    </row>
    <row r="67" spans="6:17">
      <c r="F67" s="3"/>
      <c r="N67" s="3"/>
      <c r="O67" s="3"/>
      <c r="P67" s="3"/>
      <c r="Q67" s="14"/>
    </row>
    <row r="68" spans="6:17">
      <c r="F68" s="3"/>
      <c r="N68" s="3"/>
      <c r="O68" s="3"/>
      <c r="P68" s="3"/>
      <c r="Q68" s="14"/>
    </row>
    <row r="69" spans="6:17">
      <c r="F69" s="3"/>
      <c r="N69" s="3"/>
      <c r="O69" s="3"/>
      <c r="P69" s="3"/>
      <c r="Q69" s="14"/>
    </row>
    <row r="70" spans="6:17">
      <c r="F70" s="3"/>
      <c r="N70" s="3"/>
      <c r="O70" s="3"/>
      <c r="P70" s="3"/>
      <c r="Q70" s="14"/>
    </row>
    <row r="71" spans="6:17">
      <c r="F71" s="3"/>
      <c r="N71" s="3"/>
      <c r="O71" s="3"/>
      <c r="P71" s="3"/>
      <c r="Q71" s="14"/>
    </row>
    <row r="72" spans="6:17">
      <c r="F72" s="3"/>
      <c r="N72" s="3"/>
      <c r="O72" s="3"/>
      <c r="P72" s="3"/>
      <c r="Q72" s="14"/>
    </row>
    <row r="73" spans="6:17">
      <c r="F73" s="3"/>
      <c r="N73" s="3"/>
      <c r="O73" s="3"/>
      <c r="P73" s="3"/>
      <c r="Q73" s="14"/>
    </row>
    <row r="74" spans="6:17">
      <c r="F74" s="3"/>
      <c r="N74" s="3"/>
      <c r="O74" s="3"/>
      <c r="P74" s="3"/>
      <c r="Q74" s="14"/>
    </row>
    <row r="75" spans="6:17">
      <c r="F75" s="3"/>
      <c r="N75" s="3"/>
      <c r="O75" s="3"/>
      <c r="P75" s="3"/>
      <c r="Q75" s="14"/>
    </row>
    <row r="76" spans="6:17">
      <c r="F76" s="3"/>
      <c r="N76" s="3"/>
      <c r="O76" s="3"/>
      <c r="P76" s="3"/>
      <c r="Q76" s="14"/>
    </row>
    <row r="77" spans="6:17">
      <c r="F77" s="3"/>
      <c r="N77" s="3"/>
      <c r="O77" s="3"/>
      <c r="P77" s="3"/>
      <c r="Q77" s="14"/>
    </row>
    <row r="78" spans="6:17">
      <c r="F78" s="3"/>
      <c r="N78" s="3"/>
      <c r="O78" s="3"/>
      <c r="P78" s="3"/>
      <c r="Q78" s="14"/>
    </row>
    <row r="79" spans="6:17">
      <c r="F79" s="3"/>
      <c r="N79" s="3"/>
      <c r="O79" s="3"/>
      <c r="P79" s="3"/>
      <c r="Q79" s="14"/>
    </row>
    <row r="80" spans="6:17">
      <c r="F80" s="3"/>
      <c r="N80" s="3"/>
      <c r="O80" s="3"/>
      <c r="P80" s="3"/>
      <c r="Q80" s="14"/>
    </row>
    <row r="81" spans="6:17">
      <c r="F81" s="3"/>
      <c r="N81" s="3"/>
      <c r="O81" s="3"/>
      <c r="P81" s="3"/>
      <c r="Q81" s="14"/>
    </row>
    <row r="82" spans="6:17">
      <c r="F82" s="3"/>
      <c r="N82" s="3"/>
      <c r="O82" s="3"/>
      <c r="P82" s="3"/>
      <c r="Q82" s="14"/>
    </row>
    <row r="83" spans="6:17">
      <c r="F83" s="3"/>
      <c r="N83" s="3"/>
      <c r="O83" s="3"/>
      <c r="P83" s="3"/>
      <c r="Q83" s="14"/>
    </row>
    <row r="84" spans="6:17">
      <c r="F84" s="3"/>
      <c r="N84" s="3"/>
      <c r="O84" s="3"/>
      <c r="P84" s="3"/>
      <c r="Q84" s="14"/>
    </row>
    <row r="85" spans="6:17">
      <c r="F85" s="3"/>
      <c r="N85" s="3"/>
      <c r="O85" s="3"/>
      <c r="P85" s="3"/>
      <c r="Q85" s="14"/>
    </row>
    <row r="86" spans="6:17">
      <c r="F86" s="3"/>
      <c r="N86" s="3"/>
      <c r="O86" s="3"/>
      <c r="P86" s="3"/>
      <c r="Q86" s="14"/>
    </row>
    <row r="87" spans="6:17">
      <c r="F87" s="3"/>
      <c r="N87" s="3"/>
      <c r="O87" s="3"/>
      <c r="P87" s="3"/>
      <c r="Q87" s="14"/>
    </row>
    <row r="88" spans="6:17">
      <c r="F88" s="3"/>
      <c r="N88" s="3"/>
      <c r="O88" s="3"/>
      <c r="P88" s="3"/>
      <c r="Q88" s="14"/>
    </row>
    <row r="89" spans="6:17">
      <c r="F89" s="3"/>
      <c r="N89" s="3"/>
      <c r="O89" s="3"/>
      <c r="P89" s="3"/>
      <c r="Q89" s="14"/>
    </row>
    <row r="90" spans="6:17">
      <c r="F90" s="3"/>
      <c r="N90" s="3"/>
      <c r="O90" s="3"/>
      <c r="P90" s="3"/>
      <c r="Q90" s="14"/>
    </row>
    <row r="91" spans="6:17">
      <c r="F91" s="3"/>
      <c r="N91" s="3"/>
      <c r="O91" s="3"/>
      <c r="P91" s="3"/>
      <c r="Q91" s="14"/>
    </row>
    <row r="92" spans="6:17">
      <c r="F92" s="3"/>
      <c r="N92" s="3"/>
      <c r="O92" s="3"/>
      <c r="P92" s="3"/>
      <c r="Q92" s="14"/>
    </row>
    <row r="93" spans="6:17">
      <c r="F93" s="3"/>
      <c r="N93" s="3"/>
      <c r="O93" s="3"/>
      <c r="P93" s="3"/>
      <c r="Q93" s="14"/>
    </row>
    <row r="94" spans="6:17">
      <c r="F94" s="3"/>
      <c r="N94" s="3"/>
      <c r="O94" s="3"/>
      <c r="P94" s="3"/>
      <c r="Q94" s="14"/>
    </row>
    <row r="95" spans="6:17">
      <c r="F95" s="3"/>
      <c r="N95" s="3"/>
      <c r="O95" s="3"/>
      <c r="P95" s="3"/>
      <c r="Q95" s="14"/>
    </row>
    <row r="96" spans="6:17">
      <c r="F96" s="3"/>
      <c r="N96" s="3"/>
      <c r="O96" s="3"/>
      <c r="P96" s="3"/>
      <c r="Q96" s="14"/>
    </row>
    <row r="97" spans="6:17">
      <c r="F97" s="3"/>
      <c r="N97" s="3"/>
      <c r="O97" s="3"/>
      <c r="P97" s="3"/>
      <c r="Q97" s="14"/>
    </row>
    <row r="98" spans="6:17">
      <c r="F98" s="3"/>
      <c r="N98" s="3"/>
      <c r="O98" s="3"/>
      <c r="P98" s="3"/>
      <c r="Q98" s="14"/>
    </row>
    <row r="99" spans="6:17">
      <c r="F99" s="3"/>
      <c r="N99" s="3"/>
      <c r="O99" s="3"/>
      <c r="P99" s="3"/>
      <c r="Q99" s="14"/>
    </row>
    <row r="100" spans="6:17">
      <c r="F100" s="3"/>
      <c r="N100" s="3"/>
      <c r="O100" s="3"/>
      <c r="P100" s="3"/>
      <c r="Q100" s="14"/>
    </row>
    <row r="101" spans="6:17">
      <c r="F101" s="3"/>
      <c r="N101" s="3"/>
      <c r="O101" s="3"/>
      <c r="P101" s="3"/>
      <c r="Q101" s="14"/>
    </row>
    <row r="102" spans="6:17">
      <c r="F102" s="3"/>
      <c r="N102" s="3"/>
      <c r="O102" s="3"/>
      <c r="P102" s="3"/>
      <c r="Q102" s="14"/>
    </row>
    <row r="103" spans="6:17">
      <c r="F103" s="3"/>
      <c r="N103" s="3"/>
      <c r="O103" s="3"/>
      <c r="P103" s="3"/>
      <c r="Q103" s="14"/>
    </row>
    <row r="104" spans="6:17">
      <c r="F104" s="3"/>
      <c r="N104" s="3"/>
      <c r="O104" s="3"/>
      <c r="P104" s="3"/>
      <c r="Q104" s="14"/>
    </row>
    <row r="105" spans="6:17">
      <c r="F105" s="3"/>
      <c r="N105" s="3"/>
      <c r="O105" s="3"/>
      <c r="P105" s="3"/>
      <c r="Q105" s="14"/>
    </row>
    <row r="106" spans="6:17">
      <c r="F106" s="3"/>
      <c r="N106" s="3"/>
      <c r="O106" s="3"/>
      <c r="P106" s="3"/>
      <c r="Q106" s="14"/>
    </row>
    <row r="107" spans="6:17">
      <c r="F107" s="3"/>
      <c r="N107" s="3"/>
      <c r="O107" s="3"/>
      <c r="P107" s="3"/>
      <c r="Q107" s="14"/>
    </row>
    <row r="108" spans="6:17">
      <c r="F108" s="3"/>
      <c r="N108" s="3"/>
      <c r="O108" s="3"/>
      <c r="P108" s="3"/>
      <c r="Q108" s="14"/>
    </row>
    <row r="109" spans="6:17">
      <c r="F109" s="3"/>
      <c r="N109" s="3"/>
      <c r="O109" s="3"/>
      <c r="P109" s="3"/>
      <c r="Q109" s="14"/>
    </row>
    <row r="110" spans="6:17">
      <c r="F110" s="3"/>
      <c r="N110" s="3"/>
      <c r="O110" s="3"/>
      <c r="P110" s="3"/>
      <c r="Q110" s="14"/>
    </row>
    <row r="111" spans="6:17">
      <c r="F111" s="3"/>
      <c r="N111" s="3"/>
      <c r="O111" s="3"/>
      <c r="P111" s="3"/>
      <c r="Q111" s="14"/>
    </row>
    <row r="112" spans="6:17">
      <c r="F112" s="3"/>
      <c r="N112" s="3"/>
      <c r="O112" s="3"/>
      <c r="P112" s="3"/>
      <c r="Q112" s="14"/>
    </row>
    <row r="113" spans="6:17">
      <c r="F113" s="3"/>
      <c r="N113" s="3"/>
      <c r="O113" s="3"/>
      <c r="P113" s="3"/>
      <c r="Q113" s="14"/>
    </row>
    <row r="114" spans="6:17">
      <c r="F114" s="3"/>
      <c r="N114" s="3"/>
      <c r="O114" s="3"/>
      <c r="P114" s="3"/>
      <c r="Q114" s="14"/>
    </row>
    <row r="115" spans="6:17">
      <c r="F115" s="3"/>
      <c r="N115" s="3"/>
      <c r="O115" s="3"/>
      <c r="P115" s="3"/>
      <c r="Q115" s="14"/>
    </row>
    <row r="116" spans="6:17">
      <c r="F116" s="3"/>
      <c r="N116" s="3"/>
      <c r="O116" s="3"/>
      <c r="P116" s="3"/>
      <c r="Q116" s="14"/>
    </row>
    <row r="117" spans="6:17">
      <c r="F117" s="3"/>
      <c r="N117" s="3"/>
      <c r="O117" s="3"/>
      <c r="P117" s="3"/>
      <c r="Q117" s="14"/>
    </row>
    <row r="118" spans="6:17">
      <c r="F118" s="3"/>
      <c r="N118" s="3"/>
      <c r="O118" s="3"/>
      <c r="P118" s="3"/>
      <c r="Q118" s="14"/>
    </row>
    <row r="119" spans="6:17">
      <c r="F119" s="3"/>
      <c r="N119" s="3"/>
      <c r="O119" s="3"/>
      <c r="P119" s="3"/>
      <c r="Q119" s="14"/>
    </row>
    <row r="120" spans="6:17">
      <c r="F120" s="3"/>
      <c r="N120" s="3"/>
      <c r="O120" s="3"/>
      <c r="P120" s="3"/>
      <c r="Q120" s="14"/>
    </row>
    <row r="121" spans="6:17">
      <c r="F121" s="3"/>
      <c r="N121" s="3"/>
      <c r="O121" s="3"/>
      <c r="P121" s="3"/>
      <c r="Q121" s="14"/>
    </row>
    <row r="122" spans="6:17">
      <c r="F122" s="3"/>
      <c r="N122" s="3"/>
      <c r="O122" s="3"/>
      <c r="P122" s="3"/>
      <c r="Q122" s="14"/>
    </row>
    <row r="123" spans="6:17">
      <c r="F123" s="3"/>
      <c r="N123" s="3"/>
      <c r="O123" s="3"/>
      <c r="P123" s="3"/>
      <c r="Q123" s="14"/>
    </row>
    <row r="124" spans="6:17">
      <c r="N124" s="3"/>
      <c r="O124" s="3"/>
      <c r="P124" s="3"/>
      <c r="Q124" s="14"/>
    </row>
    <row r="125" spans="6:17">
      <c r="N125" s="3"/>
      <c r="O125" s="3"/>
      <c r="P125" s="3"/>
      <c r="Q125" s="14"/>
    </row>
    <row r="126" spans="6:17">
      <c r="N126" s="3"/>
      <c r="O126" s="3"/>
      <c r="P126" s="3"/>
      <c r="Q126" s="14"/>
    </row>
    <row r="127" spans="6:17">
      <c r="N127" s="3"/>
      <c r="O127" s="3"/>
      <c r="P127" s="3"/>
      <c r="Q127" s="14"/>
    </row>
    <row r="128" spans="6:17">
      <c r="N128" s="3"/>
      <c r="O128" s="3"/>
      <c r="P128" s="3"/>
      <c r="Q128" s="14"/>
    </row>
    <row r="129" spans="14:17">
      <c r="N129" s="3"/>
      <c r="O129" s="3"/>
      <c r="P129" s="3"/>
      <c r="Q129" s="14"/>
    </row>
    <row r="130" spans="14:17">
      <c r="N130" s="3"/>
      <c r="O130" s="3"/>
      <c r="P130" s="3"/>
      <c r="Q130" s="14"/>
    </row>
    <row r="131" spans="14:17">
      <c r="N131" s="3"/>
      <c r="O131" s="3"/>
      <c r="P131" s="3"/>
      <c r="Q131" s="14"/>
    </row>
    <row r="132" spans="14:17">
      <c r="N132" s="3"/>
      <c r="O132" s="3"/>
      <c r="P132" s="3"/>
      <c r="Q132" s="14"/>
    </row>
    <row r="133" spans="14:17">
      <c r="N133" s="3"/>
      <c r="O133" s="3"/>
      <c r="P133" s="3"/>
      <c r="Q133" s="14"/>
    </row>
    <row r="134" spans="14:17">
      <c r="N134" s="3"/>
      <c r="O134" s="3"/>
      <c r="P134" s="3"/>
      <c r="Q134" s="14"/>
    </row>
    <row r="135" spans="14:17">
      <c r="N135" s="3"/>
      <c r="O135" s="3"/>
      <c r="P135" s="3"/>
      <c r="Q135" s="14"/>
    </row>
    <row r="136" spans="14:17">
      <c r="N136" s="3"/>
      <c r="O136" s="3"/>
      <c r="P136" s="3"/>
      <c r="Q136" s="14"/>
    </row>
    <row r="137" spans="14:17">
      <c r="N137" s="3"/>
      <c r="O137" s="3"/>
      <c r="P137" s="3"/>
      <c r="Q137" s="14"/>
    </row>
    <row r="138" spans="14:17">
      <c r="N138" s="3"/>
      <c r="O138" s="3"/>
      <c r="P138" s="3"/>
      <c r="Q138" s="14"/>
    </row>
    <row r="139" spans="14:17">
      <c r="N139" s="3"/>
      <c r="O139" s="3"/>
      <c r="P139" s="3"/>
      <c r="Q139" s="14"/>
    </row>
    <row r="140" spans="14:17">
      <c r="N140" s="3"/>
      <c r="O140" s="3"/>
      <c r="P140" s="3"/>
      <c r="Q140" s="14"/>
    </row>
    <row r="141" spans="14:17">
      <c r="N141" s="3"/>
      <c r="O141" s="3"/>
      <c r="P141" s="3"/>
      <c r="Q141" s="14"/>
    </row>
    <row r="142" spans="14:17">
      <c r="N142" s="3"/>
      <c r="O142" s="3"/>
      <c r="P142" s="3"/>
      <c r="Q142" s="14"/>
    </row>
    <row r="143" spans="14:17">
      <c r="N143" s="3"/>
      <c r="O143" s="3"/>
      <c r="P143" s="3"/>
      <c r="Q143" s="14"/>
    </row>
    <row r="144" spans="14:17">
      <c r="N144" s="3"/>
      <c r="O144" s="3"/>
      <c r="P144" s="3"/>
      <c r="Q144" s="14"/>
    </row>
    <row r="145" spans="14:17">
      <c r="N145" s="3"/>
      <c r="O145" s="3"/>
      <c r="P145" s="3"/>
      <c r="Q145" s="14"/>
    </row>
    <row r="146" spans="14:17">
      <c r="N146" s="3"/>
      <c r="O146" s="3"/>
      <c r="P146" s="3"/>
      <c r="Q146" s="14"/>
    </row>
    <row r="147" spans="14:17">
      <c r="N147" s="3"/>
      <c r="O147" s="3"/>
      <c r="P147" s="3"/>
      <c r="Q147" s="14"/>
    </row>
    <row r="148" spans="14:17">
      <c r="N148" s="3"/>
      <c r="O148" s="3"/>
      <c r="P148" s="3"/>
      <c r="Q148" s="14"/>
    </row>
    <row r="149" spans="14:17">
      <c r="N149" s="3"/>
      <c r="O149" s="3"/>
      <c r="P149" s="3"/>
      <c r="Q149" s="14"/>
    </row>
    <row r="150" spans="14:17">
      <c r="N150" s="3"/>
      <c r="O150" s="3"/>
      <c r="P150" s="3"/>
      <c r="Q150" s="14"/>
    </row>
    <row r="151" spans="14:17">
      <c r="N151" s="3"/>
      <c r="O151" s="3"/>
      <c r="P151" s="3"/>
      <c r="Q151" s="14"/>
    </row>
    <row r="152" spans="14:17">
      <c r="N152" s="3"/>
      <c r="O152" s="3"/>
      <c r="P152" s="3"/>
      <c r="Q152" s="14"/>
    </row>
    <row r="153" spans="14:17">
      <c r="N153" s="3"/>
      <c r="O153" s="3"/>
      <c r="P153" s="3"/>
      <c r="Q153" s="14"/>
    </row>
    <row r="154" spans="14:17">
      <c r="N154" s="3"/>
      <c r="O154" s="3"/>
      <c r="P154" s="3"/>
      <c r="Q154" s="14"/>
    </row>
    <row r="155" spans="14:17">
      <c r="N155" s="3"/>
      <c r="O155" s="3"/>
      <c r="P155" s="3"/>
      <c r="Q155" s="14"/>
    </row>
    <row r="156" spans="14:17">
      <c r="N156" s="3"/>
      <c r="O156" s="3"/>
      <c r="P156" s="3"/>
      <c r="Q156" s="14"/>
    </row>
    <row r="157" spans="14:17">
      <c r="N157" s="3"/>
      <c r="O157" s="3"/>
      <c r="P157" s="3"/>
      <c r="Q157" s="14"/>
    </row>
    <row r="158" spans="14:17">
      <c r="N158" s="3"/>
      <c r="O158" s="3"/>
      <c r="P158" s="3"/>
      <c r="Q158" s="14"/>
    </row>
    <row r="159" spans="14:17">
      <c r="N159" s="3"/>
      <c r="O159" s="3"/>
      <c r="P159" s="3"/>
      <c r="Q159" s="14"/>
    </row>
    <row r="160" spans="14:17">
      <c r="N160" s="3"/>
      <c r="O160" s="3"/>
      <c r="P160" s="3"/>
      <c r="Q160" s="14"/>
    </row>
    <row r="161" spans="14:17">
      <c r="N161" s="3"/>
      <c r="O161" s="3"/>
      <c r="P161" s="3"/>
      <c r="Q161" s="14"/>
    </row>
    <row r="162" spans="14:17">
      <c r="N162" s="3"/>
      <c r="O162" s="3"/>
      <c r="P162" s="3"/>
      <c r="Q162" s="14"/>
    </row>
    <row r="163" spans="14:17">
      <c r="N163" s="3"/>
      <c r="O163" s="3"/>
      <c r="P163" s="3"/>
      <c r="Q163" s="14"/>
    </row>
    <row r="164" spans="14:17">
      <c r="N164" s="3"/>
      <c r="O164" s="3"/>
      <c r="P164" s="3"/>
      <c r="Q164" s="14"/>
    </row>
    <row r="165" spans="14:17">
      <c r="N165" s="3"/>
      <c r="O165" s="3"/>
      <c r="P165" s="3"/>
      <c r="Q165" s="14"/>
    </row>
    <row r="166" spans="14:17">
      <c r="N166" s="3"/>
      <c r="O166" s="3"/>
      <c r="P166" s="3"/>
      <c r="Q166" s="14"/>
    </row>
    <row r="167" spans="14:17">
      <c r="N167" s="3"/>
      <c r="O167" s="3"/>
      <c r="P167" s="3"/>
      <c r="Q167" s="14"/>
    </row>
    <row r="168" spans="14:17">
      <c r="N168" s="3"/>
      <c r="O168" s="3"/>
      <c r="P168" s="3"/>
      <c r="Q168" s="14"/>
    </row>
    <row r="169" spans="14:17">
      <c r="N169" s="3"/>
      <c r="O169" s="3"/>
      <c r="P169" s="3"/>
      <c r="Q169" s="14"/>
    </row>
    <row r="170" spans="14:17">
      <c r="N170" s="3"/>
      <c r="O170" s="3"/>
      <c r="P170" s="3"/>
      <c r="Q170" s="14"/>
    </row>
    <row r="171" spans="14:17">
      <c r="N171" s="3"/>
      <c r="O171" s="3"/>
      <c r="P171" s="3"/>
      <c r="Q171" s="14"/>
    </row>
    <row r="172" spans="14:17">
      <c r="N172" s="3"/>
      <c r="O172" s="3"/>
      <c r="P172" s="3"/>
      <c r="Q172" s="14"/>
    </row>
    <row r="173" spans="14:17">
      <c r="N173" s="3"/>
      <c r="O173" s="3"/>
      <c r="P173" s="3"/>
      <c r="Q173" s="14"/>
    </row>
    <row r="174" spans="14:17">
      <c r="N174" s="3"/>
      <c r="O174" s="3"/>
      <c r="P174" s="3"/>
      <c r="Q174" s="14"/>
    </row>
    <row r="175" spans="14:17">
      <c r="N175" s="3"/>
      <c r="O175" s="3"/>
      <c r="P175" s="3"/>
      <c r="Q175" s="14"/>
    </row>
    <row r="176" spans="14:17">
      <c r="N176" s="3"/>
      <c r="O176" s="3"/>
      <c r="P176" s="3"/>
      <c r="Q176" s="14"/>
    </row>
    <row r="177" spans="14:17">
      <c r="N177" s="3"/>
      <c r="O177" s="3"/>
      <c r="P177" s="3"/>
      <c r="Q177" s="14"/>
    </row>
    <row r="178" spans="14:17">
      <c r="N178" s="3"/>
      <c r="O178" s="3"/>
      <c r="P178" s="3"/>
      <c r="Q178" s="14"/>
    </row>
    <row r="179" spans="14:17">
      <c r="N179" s="3"/>
      <c r="O179" s="3"/>
      <c r="P179" s="3"/>
      <c r="Q179" s="14"/>
    </row>
    <row r="180" spans="14:17">
      <c r="N180" s="3"/>
      <c r="O180" s="3"/>
      <c r="P180" s="3"/>
      <c r="Q180" s="14"/>
    </row>
    <row r="181" spans="14:17">
      <c r="N181" s="3"/>
      <c r="O181" s="3"/>
      <c r="P181" s="3"/>
      <c r="Q181" s="14"/>
    </row>
    <row r="182" spans="14:17">
      <c r="N182" s="3"/>
      <c r="O182" s="3"/>
      <c r="P182" s="3"/>
      <c r="Q182" s="14"/>
    </row>
    <row r="183" spans="14:17">
      <c r="N183" s="3"/>
      <c r="O183" s="3"/>
      <c r="P183" s="3"/>
      <c r="Q183" s="14"/>
    </row>
    <row r="184" spans="14:17">
      <c r="N184" s="3"/>
      <c r="O184" s="3"/>
      <c r="P184" s="3"/>
      <c r="Q184" s="14"/>
    </row>
    <row r="185" spans="14:17">
      <c r="N185" s="3"/>
      <c r="O185" s="3"/>
      <c r="P185" s="3"/>
      <c r="Q185" s="14"/>
    </row>
    <row r="186" spans="14:17">
      <c r="N186" s="3"/>
      <c r="O186" s="3"/>
      <c r="P186" s="3"/>
      <c r="Q186" s="14"/>
    </row>
    <row r="187" spans="14:17">
      <c r="N187" s="3"/>
      <c r="O187" s="3"/>
      <c r="P187" s="3"/>
      <c r="Q187" s="14"/>
    </row>
    <row r="188" spans="14:17">
      <c r="N188" s="3"/>
      <c r="O188" s="3"/>
      <c r="P188" s="3"/>
      <c r="Q188" s="14"/>
    </row>
    <row r="189" spans="14:17">
      <c r="N189" s="3"/>
      <c r="O189" s="3"/>
      <c r="P189" s="3"/>
      <c r="Q189" s="14"/>
    </row>
    <row r="190" spans="14:17">
      <c r="N190" s="3"/>
      <c r="O190" s="3"/>
      <c r="P190" s="3"/>
      <c r="Q190" s="14"/>
    </row>
    <row r="191" spans="14:17">
      <c r="N191" s="3"/>
      <c r="O191" s="3"/>
      <c r="P191" s="3"/>
      <c r="Q191" s="14"/>
    </row>
    <row r="192" spans="14:17">
      <c r="N192" s="3"/>
      <c r="O192" s="3"/>
      <c r="P192" s="3"/>
      <c r="Q192" s="14"/>
    </row>
    <row r="193" spans="14:17">
      <c r="N193" s="3"/>
      <c r="O193" s="3"/>
      <c r="P193" s="3"/>
      <c r="Q193" s="14"/>
    </row>
    <row r="194" spans="14:17">
      <c r="N194" s="3"/>
      <c r="O194" s="3"/>
      <c r="P194" s="3"/>
      <c r="Q194" s="14"/>
    </row>
    <row r="195" spans="14:17">
      <c r="N195" s="3"/>
      <c r="O195" s="3"/>
      <c r="P195" s="3"/>
      <c r="Q195" s="14"/>
    </row>
    <row r="196" spans="14:17">
      <c r="N196" s="3"/>
      <c r="O196" s="3"/>
      <c r="P196" s="3"/>
      <c r="Q196" s="14"/>
    </row>
    <row r="197" spans="14:17">
      <c r="N197" s="3"/>
      <c r="O197" s="3"/>
      <c r="P197" s="3"/>
      <c r="Q197" s="14"/>
    </row>
    <row r="198" spans="14:17">
      <c r="N198" s="3"/>
      <c r="O198" s="3"/>
      <c r="P198" s="3"/>
      <c r="Q198" s="14"/>
    </row>
    <row r="199" spans="14:17">
      <c r="N199" s="3"/>
      <c r="O199" s="3"/>
      <c r="P199" s="3"/>
      <c r="Q199" s="14"/>
    </row>
    <row r="200" spans="14:17">
      <c r="N200" s="3"/>
      <c r="O200" s="3"/>
      <c r="P200" s="3"/>
      <c r="Q200" s="14"/>
    </row>
    <row r="201" spans="14:17">
      <c r="N201" s="3"/>
      <c r="O201" s="3"/>
      <c r="P201" s="3"/>
      <c r="Q201" s="14"/>
    </row>
    <row r="202" spans="14:17">
      <c r="N202" s="3"/>
      <c r="O202" s="3"/>
      <c r="P202" s="3"/>
      <c r="Q202" s="14"/>
    </row>
    <row r="203" spans="14:17">
      <c r="N203" s="3"/>
      <c r="O203" s="3"/>
      <c r="P203" s="3"/>
      <c r="Q203" s="14"/>
    </row>
    <row r="204" spans="14:17">
      <c r="N204" s="3"/>
      <c r="O204" s="3"/>
      <c r="P204" s="3"/>
      <c r="Q204" s="14"/>
    </row>
    <row r="205" spans="14:17">
      <c r="N205" s="3"/>
      <c r="O205" s="3"/>
      <c r="P205" s="3"/>
      <c r="Q205" s="14"/>
    </row>
    <row r="206" spans="14:17">
      <c r="N206" s="3"/>
      <c r="O206" s="3"/>
      <c r="P206" s="3"/>
      <c r="Q206" s="14"/>
    </row>
    <row r="207" spans="14:17">
      <c r="N207" s="3"/>
      <c r="O207" s="3"/>
      <c r="P207" s="3"/>
      <c r="Q207" s="14"/>
    </row>
    <row r="208" spans="14:17">
      <c r="N208" s="3"/>
      <c r="O208" s="3"/>
      <c r="P208" s="3"/>
      <c r="Q208" s="14"/>
    </row>
    <row r="209" spans="14:17">
      <c r="N209" s="3"/>
      <c r="O209" s="3"/>
      <c r="P209" s="3"/>
      <c r="Q209" s="14"/>
    </row>
    <row r="210" spans="14:17">
      <c r="N210" s="3"/>
      <c r="O210" s="3"/>
      <c r="P210" s="3"/>
      <c r="Q210" s="14"/>
    </row>
    <row r="211" spans="14:17">
      <c r="N211" s="3"/>
      <c r="O211" s="3"/>
      <c r="P211" s="3"/>
      <c r="Q211" s="14"/>
    </row>
    <row r="212" spans="14:17">
      <c r="N212" s="3"/>
      <c r="O212" s="3"/>
      <c r="P212" s="3"/>
      <c r="Q212" s="14"/>
    </row>
    <row r="213" spans="14:17">
      <c r="N213" s="3"/>
      <c r="O213" s="3"/>
      <c r="P213" s="3"/>
      <c r="Q213" s="14"/>
    </row>
    <row r="214" spans="14:17">
      <c r="N214" s="3"/>
      <c r="O214" s="3"/>
      <c r="P214" s="3"/>
      <c r="Q214" s="14"/>
    </row>
    <row r="215" spans="14:17">
      <c r="N215" s="3"/>
      <c r="O215" s="3"/>
      <c r="P215" s="3"/>
      <c r="Q215" s="14"/>
    </row>
    <row r="216" spans="14:17">
      <c r="N216" s="3"/>
      <c r="O216" s="3"/>
      <c r="P216" s="3"/>
      <c r="Q216" s="14"/>
    </row>
    <row r="217" spans="14:17">
      <c r="N217" s="3"/>
      <c r="O217" s="3"/>
      <c r="P217" s="3"/>
      <c r="Q217" s="14"/>
    </row>
    <row r="218" spans="14:17">
      <c r="N218" s="3"/>
      <c r="O218" s="3"/>
      <c r="P218" s="3"/>
      <c r="Q218" s="14"/>
    </row>
    <row r="219" spans="14:17">
      <c r="N219" s="3"/>
      <c r="O219" s="3"/>
      <c r="P219" s="3"/>
      <c r="Q219" s="14"/>
    </row>
    <row r="220" spans="14:17">
      <c r="N220" s="3"/>
      <c r="O220" s="3"/>
      <c r="P220" s="3"/>
      <c r="Q220" s="14"/>
    </row>
    <row r="221" spans="14:17">
      <c r="N221" s="3"/>
      <c r="O221" s="3"/>
      <c r="P221" s="3"/>
      <c r="Q221" s="14"/>
    </row>
    <row r="222" spans="14:17">
      <c r="N222" s="3"/>
      <c r="O222" s="3"/>
      <c r="P222" s="3"/>
      <c r="Q222" s="14"/>
    </row>
    <row r="223" spans="14:17">
      <c r="N223" s="3"/>
      <c r="O223" s="3"/>
      <c r="P223" s="3"/>
      <c r="Q223" s="14"/>
    </row>
    <row r="224" spans="14:17">
      <c r="N224" s="3"/>
      <c r="O224" s="3"/>
      <c r="P224" s="3"/>
      <c r="Q224" s="14"/>
    </row>
    <row r="225" spans="14:17">
      <c r="N225" s="3"/>
      <c r="O225" s="3"/>
      <c r="P225" s="3"/>
      <c r="Q225" s="14"/>
    </row>
    <row r="226" spans="14:17">
      <c r="N226" s="3"/>
      <c r="O226" s="3"/>
      <c r="P226" s="3"/>
      <c r="Q226" s="14"/>
    </row>
    <row r="227" spans="14:17">
      <c r="N227" s="3"/>
      <c r="O227" s="3"/>
      <c r="P227" s="3"/>
      <c r="Q227" s="14"/>
    </row>
    <row r="228" spans="14:17">
      <c r="N228" s="3"/>
      <c r="O228" s="3"/>
      <c r="P228" s="3"/>
      <c r="Q228" s="14"/>
    </row>
    <row r="229" spans="14:17">
      <c r="N229" s="3"/>
      <c r="O229" s="3"/>
      <c r="P229" s="3"/>
      <c r="Q229" s="14"/>
    </row>
    <row r="230" spans="14:17">
      <c r="N230" s="3"/>
      <c r="O230" s="3"/>
      <c r="P230" s="3"/>
      <c r="Q230" s="14"/>
    </row>
    <row r="231" spans="14:17">
      <c r="N231" s="3"/>
      <c r="O231" s="3"/>
      <c r="P231" s="3"/>
      <c r="Q231" s="14"/>
    </row>
    <row r="232" spans="14:17">
      <c r="N232" s="3"/>
      <c r="O232" s="3"/>
      <c r="P232" s="3"/>
      <c r="Q232" s="14"/>
    </row>
    <row r="233" spans="14:17">
      <c r="N233" s="3"/>
      <c r="O233" s="3"/>
      <c r="P233" s="3"/>
      <c r="Q233" s="14"/>
    </row>
    <row r="234" spans="14:17">
      <c r="N234" s="3"/>
      <c r="O234" s="3"/>
      <c r="P234" s="3"/>
      <c r="Q234" s="14"/>
    </row>
    <row r="235" spans="14:17">
      <c r="N235" s="3"/>
      <c r="O235" s="3"/>
      <c r="P235" s="3"/>
      <c r="Q235" s="14"/>
    </row>
    <row r="236" spans="14:17">
      <c r="N236" s="3"/>
      <c r="O236" s="3"/>
      <c r="P236" s="3"/>
      <c r="Q236" s="14"/>
    </row>
    <row r="237" spans="14:17">
      <c r="N237" s="3"/>
      <c r="O237" s="3"/>
      <c r="P237" s="3"/>
      <c r="Q237" s="14"/>
    </row>
    <row r="238" spans="14:17">
      <c r="N238" s="3"/>
      <c r="O238" s="3"/>
      <c r="P238" s="3"/>
      <c r="Q238" s="14"/>
    </row>
    <row r="239" spans="14:17">
      <c r="N239" s="3"/>
      <c r="O239" s="3"/>
      <c r="P239" s="3"/>
      <c r="Q239" s="14"/>
    </row>
    <row r="240" spans="14:17">
      <c r="N240" s="3"/>
      <c r="O240" s="3"/>
      <c r="P240" s="3"/>
      <c r="Q240" s="14"/>
    </row>
    <row r="241" spans="14:17">
      <c r="N241" s="3"/>
      <c r="O241" s="3"/>
      <c r="P241" s="3"/>
      <c r="Q241" s="14"/>
    </row>
    <row r="242" spans="14:17">
      <c r="N242" s="3"/>
      <c r="O242" s="3"/>
      <c r="P242" s="3"/>
      <c r="Q242" s="14"/>
    </row>
    <row r="243" spans="14:17">
      <c r="N243" s="3"/>
      <c r="O243" s="3"/>
      <c r="P243" s="3"/>
      <c r="Q243" s="14"/>
    </row>
    <row r="244" spans="14:17">
      <c r="N244" s="3"/>
      <c r="O244" s="3"/>
      <c r="P244" s="3"/>
      <c r="Q244" s="14"/>
    </row>
    <row r="245" spans="14:17">
      <c r="N245" s="3"/>
      <c r="O245" s="3"/>
      <c r="P245" s="3"/>
      <c r="Q245" s="14"/>
    </row>
    <row r="246" spans="14:17">
      <c r="N246" s="3"/>
      <c r="O246" s="3"/>
      <c r="P246" s="3"/>
      <c r="Q246" s="14"/>
    </row>
    <row r="247" spans="14:17">
      <c r="N247" s="3"/>
      <c r="O247" s="3"/>
      <c r="P247" s="3"/>
      <c r="Q247" s="14"/>
    </row>
    <row r="248" spans="14:17">
      <c r="N248" s="3"/>
      <c r="O248" s="3"/>
      <c r="P248" s="3"/>
      <c r="Q248" s="14"/>
    </row>
    <row r="249" spans="14:17">
      <c r="N249" s="3"/>
      <c r="O249" s="3"/>
      <c r="P249" s="3"/>
      <c r="Q249" s="14"/>
    </row>
    <row r="250" spans="14:17">
      <c r="N250" s="3"/>
      <c r="O250" s="3"/>
      <c r="P250" s="3"/>
      <c r="Q250" s="14"/>
    </row>
    <row r="251" spans="14:17">
      <c r="N251" s="3"/>
      <c r="O251" s="3"/>
      <c r="P251" s="3"/>
      <c r="Q251" s="14"/>
    </row>
    <row r="252" spans="14:17">
      <c r="N252" s="3"/>
      <c r="O252" s="3"/>
      <c r="P252" s="3"/>
      <c r="Q252" s="14"/>
    </row>
    <row r="253" spans="14:17">
      <c r="N253" s="3"/>
      <c r="O253" s="3"/>
      <c r="P253" s="3"/>
      <c r="Q253" s="14"/>
    </row>
    <row r="254" spans="14:17">
      <c r="N254" s="3"/>
      <c r="O254" s="3"/>
      <c r="P254" s="3"/>
      <c r="Q254" s="14"/>
    </row>
    <row r="255" spans="14:17">
      <c r="N255" s="3"/>
      <c r="O255" s="3"/>
      <c r="P255" s="3"/>
      <c r="Q255" s="14"/>
    </row>
    <row r="256" spans="14:17">
      <c r="N256" s="3"/>
      <c r="O256" s="3"/>
      <c r="P256" s="3"/>
      <c r="Q256" s="14"/>
    </row>
    <row r="257" spans="14:17">
      <c r="N257" s="3"/>
      <c r="O257" s="3"/>
      <c r="P257" s="3"/>
      <c r="Q257" s="14"/>
    </row>
    <row r="258" spans="14:17">
      <c r="N258" s="3"/>
      <c r="O258" s="3"/>
      <c r="P258" s="3"/>
      <c r="Q258" s="14"/>
    </row>
    <row r="259" spans="14:17">
      <c r="N259" s="3"/>
      <c r="O259" s="3"/>
      <c r="P259" s="3"/>
      <c r="Q259" s="14"/>
    </row>
    <row r="260" spans="14:17">
      <c r="N260" s="3"/>
      <c r="O260" s="3"/>
      <c r="P260" s="3"/>
      <c r="Q260" s="14"/>
    </row>
    <row r="261" spans="14:17">
      <c r="N261" s="3"/>
      <c r="O261" s="3"/>
      <c r="P261" s="3"/>
      <c r="Q261" s="14"/>
    </row>
    <row r="262" spans="14:17">
      <c r="N262" s="3"/>
      <c r="O262" s="3"/>
      <c r="P262" s="3"/>
      <c r="Q262" s="14"/>
    </row>
    <row r="263" spans="14:17">
      <c r="N263" s="3"/>
      <c r="O263" s="3"/>
      <c r="P263" s="3"/>
      <c r="Q263" s="14"/>
    </row>
    <row r="264" spans="14:17">
      <c r="N264" s="3"/>
      <c r="O264" s="3"/>
      <c r="P264" s="3"/>
      <c r="Q264" s="14"/>
    </row>
    <row r="265" spans="14:17">
      <c r="N265" s="3"/>
      <c r="O265" s="3"/>
      <c r="P265" s="3"/>
      <c r="Q265" s="14"/>
    </row>
    <row r="266" spans="14:17">
      <c r="N266" s="3"/>
      <c r="O266" s="3"/>
      <c r="P266" s="3"/>
      <c r="Q266" s="14"/>
    </row>
    <row r="267" spans="14:17">
      <c r="N267" s="3"/>
      <c r="O267" s="3"/>
      <c r="P267" s="3"/>
      <c r="Q267" s="14"/>
    </row>
    <row r="268" spans="14:17">
      <c r="N268" s="3"/>
      <c r="O268" s="3"/>
      <c r="P268" s="3"/>
      <c r="Q268" s="14"/>
    </row>
    <row r="269" spans="14:17">
      <c r="N269" s="3"/>
      <c r="O269" s="3"/>
      <c r="P269" s="3"/>
      <c r="Q269" s="14"/>
    </row>
    <row r="270" spans="14:17">
      <c r="N270" s="3"/>
      <c r="O270" s="3"/>
      <c r="P270" s="3"/>
      <c r="Q270" s="14"/>
    </row>
    <row r="271" spans="14:17">
      <c r="N271" s="3"/>
      <c r="O271" s="3"/>
      <c r="P271" s="3"/>
      <c r="Q271" s="14"/>
    </row>
    <row r="272" spans="14:17">
      <c r="N272" s="3"/>
      <c r="O272" s="3"/>
      <c r="P272" s="3"/>
      <c r="Q272" s="14"/>
    </row>
    <row r="273" spans="14:17">
      <c r="N273" s="3"/>
      <c r="O273" s="3"/>
      <c r="P273" s="3"/>
      <c r="Q273" s="14"/>
    </row>
    <row r="274" spans="14:17">
      <c r="N274" s="3"/>
      <c r="O274" s="3"/>
      <c r="P274" s="3"/>
      <c r="Q274" s="14"/>
    </row>
    <row r="275" spans="14:17">
      <c r="N275" s="3"/>
      <c r="O275" s="3"/>
      <c r="P275" s="3"/>
      <c r="Q275" s="14"/>
    </row>
    <row r="276" spans="14:17">
      <c r="N276" s="3"/>
      <c r="O276" s="3"/>
      <c r="P276" s="3"/>
      <c r="Q276" s="14"/>
    </row>
    <row r="277" spans="14:17">
      <c r="N277" s="3"/>
      <c r="O277" s="3"/>
      <c r="P277" s="3"/>
      <c r="Q277" s="14"/>
    </row>
    <row r="278" spans="14:17">
      <c r="N278" s="3"/>
      <c r="O278" s="3"/>
      <c r="P278" s="3"/>
      <c r="Q278" s="14"/>
    </row>
    <row r="279" spans="14:17">
      <c r="N279" s="3"/>
      <c r="O279" s="3"/>
      <c r="P279" s="3"/>
      <c r="Q279" s="14"/>
    </row>
    <row r="280" spans="14:17">
      <c r="N280" s="3"/>
      <c r="O280" s="3"/>
      <c r="P280" s="3"/>
      <c r="Q280" s="14"/>
    </row>
    <row r="281" spans="14:17">
      <c r="N281" s="3"/>
      <c r="O281" s="3"/>
      <c r="P281" s="3"/>
      <c r="Q281" s="14"/>
    </row>
    <row r="282" spans="14:17">
      <c r="N282" s="3"/>
      <c r="O282" s="3"/>
      <c r="P282" s="3"/>
      <c r="Q282" s="14"/>
    </row>
    <row r="283" spans="14:17">
      <c r="N283" s="3"/>
      <c r="O283" s="3"/>
      <c r="P283" s="3"/>
      <c r="Q283" s="14"/>
    </row>
    <row r="284" spans="14:17">
      <c r="N284" s="3"/>
      <c r="O284" s="3"/>
      <c r="P284" s="3"/>
      <c r="Q284" s="14"/>
    </row>
    <row r="285" spans="14:17">
      <c r="N285" s="3"/>
      <c r="O285" s="3"/>
      <c r="P285" s="3"/>
      <c r="Q285" s="14"/>
    </row>
    <row r="286" spans="14:17">
      <c r="N286" s="3"/>
      <c r="O286" s="3"/>
      <c r="P286" s="3"/>
      <c r="Q286" s="14"/>
    </row>
    <row r="287" spans="14:17">
      <c r="N287" s="3"/>
      <c r="O287" s="3"/>
      <c r="P287" s="3"/>
      <c r="Q287" s="14"/>
    </row>
    <row r="288" spans="14:17">
      <c r="N288" s="3"/>
      <c r="O288" s="3"/>
      <c r="P288" s="3"/>
      <c r="Q288" s="14"/>
    </row>
    <row r="289" spans="14:17">
      <c r="N289" s="3"/>
      <c r="O289" s="3"/>
      <c r="P289" s="3"/>
      <c r="Q289" s="14"/>
    </row>
    <row r="290" spans="14:17">
      <c r="N290" s="3"/>
      <c r="O290" s="3"/>
      <c r="P290" s="3"/>
      <c r="Q290" s="14"/>
    </row>
    <row r="291" spans="14:17">
      <c r="N291" s="3"/>
      <c r="O291" s="3"/>
      <c r="P291" s="3"/>
      <c r="Q291" s="14"/>
    </row>
    <row r="292" spans="14:17">
      <c r="N292" s="3"/>
      <c r="O292" s="3"/>
      <c r="P292" s="3"/>
      <c r="Q292" s="14"/>
    </row>
    <row r="293" spans="14:17">
      <c r="N293" s="3"/>
      <c r="O293" s="3"/>
      <c r="P293" s="3"/>
      <c r="Q293" s="14"/>
    </row>
    <row r="294" spans="14:17">
      <c r="N294" s="3"/>
      <c r="O294" s="3"/>
      <c r="P294" s="3"/>
      <c r="Q294" s="14"/>
    </row>
    <row r="295" spans="14:17">
      <c r="N295" s="3"/>
      <c r="O295" s="3"/>
      <c r="P295" s="3"/>
      <c r="Q295" s="14"/>
    </row>
    <row r="296" spans="14:17">
      <c r="N296" s="3"/>
      <c r="O296" s="3"/>
      <c r="P296" s="3"/>
      <c r="Q296" s="14"/>
    </row>
    <row r="297" spans="14:17">
      <c r="N297" s="3"/>
      <c r="O297" s="3"/>
      <c r="P297" s="3"/>
      <c r="Q297" s="14"/>
    </row>
    <row r="298" spans="14:17">
      <c r="N298" s="3"/>
      <c r="O298" s="3"/>
      <c r="P298" s="3"/>
      <c r="Q298" s="14"/>
    </row>
    <row r="299" spans="14:17">
      <c r="N299" s="3"/>
      <c r="O299" s="3"/>
      <c r="P299" s="3"/>
      <c r="Q299" s="14"/>
    </row>
    <row r="300" spans="14:17">
      <c r="N300" s="3"/>
      <c r="O300" s="3"/>
      <c r="P300" s="3"/>
      <c r="Q300" s="14"/>
    </row>
    <row r="301" spans="14:17">
      <c r="N301" s="3"/>
      <c r="O301" s="3"/>
      <c r="P301" s="3"/>
      <c r="Q301" s="14"/>
    </row>
    <row r="302" spans="14:17">
      <c r="N302" s="3"/>
      <c r="O302" s="3"/>
      <c r="P302" s="3"/>
      <c r="Q302" s="14"/>
    </row>
    <row r="303" spans="14:17">
      <c r="N303" s="3"/>
      <c r="O303" s="3"/>
      <c r="P303" s="3"/>
      <c r="Q303" s="14"/>
    </row>
    <row r="304" spans="14:17">
      <c r="N304" s="3"/>
      <c r="O304" s="3"/>
      <c r="P304" s="3"/>
      <c r="Q304" s="14"/>
    </row>
    <row r="305" spans="14:17">
      <c r="N305" s="3"/>
      <c r="O305" s="3"/>
      <c r="P305" s="3"/>
      <c r="Q305" s="14"/>
    </row>
    <row r="306" spans="14:17">
      <c r="N306" s="3"/>
      <c r="O306" s="3"/>
      <c r="P306" s="3"/>
      <c r="Q306" s="14"/>
    </row>
    <row r="307" spans="14:17">
      <c r="N307" s="3"/>
      <c r="O307" s="3"/>
      <c r="P307" s="3"/>
      <c r="Q307" s="14"/>
    </row>
    <row r="308" spans="14:17">
      <c r="N308" s="3"/>
      <c r="O308" s="3"/>
      <c r="P308" s="3"/>
      <c r="Q308" s="14"/>
    </row>
    <row r="309" spans="14:17">
      <c r="N309" s="3"/>
      <c r="O309" s="3"/>
      <c r="P309" s="3"/>
      <c r="Q309" s="14"/>
    </row>
    <row r="310" spans="14:17">
      <c r="N310" s="3"/>
      <c r="O310" s="3"/>
      <c r="P310" s="3"/>
      <c r="Q310" s="14"/>
    </row>
    <row r="311" spans="14:17">
      <c r="N311" s="3"/>
      <c r="O311" s="3"/>
      <c r="P311" s="3"/>
      <c r="Q311" s="14"/>
    </row>
    <row r="312" spans="14:17">
      <c r="N312" s="3"/>
      <c r="O312" s="3"/>
      <c r="P312" s="3"/>
      <c r="Q312" s="14"/>
    </row>
    <row r="313" spans="14:17">
      <c r="N313" s="3"/>
      <c r="O313" s="3"/>
      <c r="P313" s="3"/>
      <c r="Q313" s="14"/>
    </row>
    <row r="314" spans="14:17">
      <c r="N314" s="3"/>
      <c r="O314" s="3"/>
      <c r="P314" s="3"/>
      <c r="Q314" s="14"/>
    </row>
    <row r="315" spans="14:17">
      <c r="N315" s="3"/>
      <c r="O315" s="3"/>
      <c r="P315" s="3"/>
      <c r="Q315" s="14"/>
    </row>
    <row r="316" spans="14:17">
      <c r="N316" s="3"/>
      <c r="O316" s="3"/>
      <c r="P316" s="3"/>
      <c r="Q316" s="14"/>
    </row>
    <row r="317" spans="14:17">
      <c r="N317" s="3"/>
      <c r="O317" s="3"/>
      <c r="P317" s="3"/>
      <c r="Q317" s="14"/>
    </row>
    <row r="318" spans="14:17">
      <c r="N318" s="3"/>
      <c r="O318" s="3"/>
      <c r="P318" s="3"/>
      <c r="Q318" s="14"/>
    </row>
    <row r="319" spans="14:17">
      <c r="N319" s="3"/>
      <c r="O319" s="3"/>
      <c r="P319" s="3"/>
      <c r="Q319" s="14"/>
    </row>
    <row r="320" spans="14:17">
      <c r="N320" s="3"/>
      <c r="O320" s="3"/>
      <c r="P320" s="3"/>
      <c r="Q320" s="14"/>
    </row>
    <row r="321" spans="14:17">
      <c r="N321" s="3"/>
      <c r="O321" s="3"/>
      <c r="P321" s="3"/>
      <c r="Q321" s="14"/>
    </row>
    <row r="322" spans="14:17">
      <c r="N322" s="3"/>
      <c r="O322" s="3"/>
      <c r="P322" s="3"/>
      <c r="Q322" s="14"/>
    </row>
    <row r="323" spans="14:17">
      <c r="N323" s="3"/>
      <c r="O323" s="3"/>
      <c r="P323" s="3"/>
      <c r="Q323" s="14"/>
    </row>
    <row r="324" spans="14:17">
      <c r="N324" s="3"/>
      <c r="O324" s="3"/>
      <c r="P324" s="3"/>
      <c r="Q324" s="14"/>
    </row>
    <row r="325" spans="14:17">
      <c r="N325" s="3"/>
      <c r="O325" s="3"/>
      <c r="P325" s="3"/>
      <c r="Q325" s="14"/>
    </row>
    <row r="326" spans="14:17">
      <c r="N326" s="3"/>
      <c r="O326" s="3"/>
      <c r="P326" s="3"/>
      <c r="Q326" s="14"/>
    </row>
    <row r="327" spans="14:17">
      <c r="N327" s="3"/>
      <c r="O327" s="3"/>
      <c r="P327" s="3"/>
      <c r="Q327" s="14"/>
    </row>
    <row r="328" spans="14:17">
      <c r="N328" s="3"/>
      <c r="O328" s="3"/>
      <c r="P328" s="3"/>
      <c r="Q328" s="14"/>
    </row>
    <row r="329" spans="14:17">
      <c r="N329" s="3"/>
      <c r="O329" s="3"/>
      <c r="P329" s="3"/>
      <c r="Q329" s="14"/>
    </row>
    <row r="330" spans="14:17">
      <c r="N330" s="3"/>
      <c r="O330" s="3"/>
      <c r="P330" s="3"/>
      <c r="Q330" s="14"/>
    </row>
    <row r="331" spans="14:17">
      <c r="N331" s="3"/>
      <c r="O331" s="3"/>
      <c r="P331" s="3"/>
      <c r="Q331" s="14"/>
    </row>
    <row r="332" spans="14:17">
      <c r="N332" s="3"/>
      <c r="O332" s="3"/>
      <c r="P332" s="3"/>
      <c r="Q332" s="14"/>
    </row>
    <row r="333" spans="14:17">
      <c r="N333" s="3"/>
      <c r="O333" s="3"/>
      <c r="P333" s="3"/>
      <c r="Q333" s="14"/>
    </row>
    <row r="334" spans="14:17">
      <c r="N334" s="3"/>
      <c r="O334" s="3"/>
      <c r="P334" s="3"/>
      <c r="Q334" s="14"/>
    </row>
    <row r="335" spans="14:17">
      <c r="N335" s="3"/>
      <c r="O335" s="3"/>
      <c r="P335" s="3"/>
      <c r="Q335" s="14"/>
    </row>
    <row r="336" spans="14:17">
      <c r="N336" s="3"/>
      <c r="O336" s="3"/>
      <c r="P336" s="3"/>
      <c r="Q336" s="14"/>
    </row>
    <row r="337" spans="14:17">
      <c r="N337" s="3"/>
      <c r="O337" s="3"/>
      <c r="P337" s="3"/>
      <c r="Q337" s="14"/>
    </row>
    <row r="338" spans="14:17">
      <c r="N338" s="3"/>
      <c r="O338" s="3"/>
      <c r="P338" s="3"/>
      <c r="Q338" s="14"/>
    </row>
    <row r="339" spans="14:17">
      <c r="N339" s="3"/>
      <c r="O339" s="3"/>
      <c r="P339" s="3"/>
      <c r="Q339" s="14"/>
    </row>
    <row r="340" spans="14:17">
      <c r="N340" s="3"/>
      <c r="O340" s="3"/>
      <c r="P340" s="3"/>
      <c r="Q340" s="14"/>
    </row>
    <row r="341" spans="14:17">
      <c r="N341" s="3"/>
      <c r="O341" s="3"/>
      <c r="P341" s="3"/>
      <c r="Q341" s="14"/>
    </row>
    <row r="342" spans="14:17">
      <c r="N342" s="3"/>
      <c r="O342" s="3"/>
      <c r="P342" s="3"/>
      <c r="Q342" s="14"/>
    </row>
    <row r="343" spans="14:17">
      <c r="N343" s="3"/>
      <c r="O343" s="3"/>
      <c r="P343" s="3"/>
      <c r="Q343" s="14"/>
    </row>
    <row r="344" spans="14:17">
      <c r="N344" s="3"/>
      <c r="O344" s="3"/>
      <c r="P344" s="3"/>
      <c r="Q344" s="14"/>
    </row>
    <row r="345" spans="14:17">
      <c r="N345" s="3"/>
      <c r="O345" s="3"/>
      <c r="P345" s="3"/>
      <c r="Q345" s="14"/>
    </row>
    <row r="346" spans="14:17">
      <c r="N346" s="3"/>
      <c r="O346" s="3"/>
      <c r="P346" s="3"/>
      <c r="Q346" s="14"/>
    </row>
    <row r="347" spans="14:17">
      <c r="N347" s="3"/>
      <c r="O347" s="3"/>
      <c r="P347" s="3"/>
      <c r="Q347" s="14"/>
    </row>
    <row r="348" spans="14:17">
      <c r="N348" s="3"/>
      <c r="O348" s="3"/>
      <c r="P348" s="3"/>
      <c r="Q348" s="14"/>
    </row>
    <row r="349" spans="14:17">
      <c r="N349" s="3"/>
      <c r="O349" s="3"/>
      <c r="P349" s="3"/>
      <c r="Q349" s="14"/>
    </row>
    <row r="350" spans="14:17">
      <c r="N350" s="3"/>
      <c r="O350" s="3"/>
      <c r="P350" s="3"/>
      <c r="Q350" s="14"/>
    </row>
    <row r="351" spans="14:17">
      <c r="N351" s="3"/>
      <c r="O351" s="3"/>
      <c r="P351" s="3"/>
      <c r="Q351" s="14"/>
    </row>
    <row r="352" spans="14:17">
      <c r="N352" s="3"/>
      <c r="O352" s="3"/>
      <c r="P352" s="3"/>
      <c r="Q352" s="14"/>
    </row>
    <row r="353" spans="14:17">
      <c r="N353" s="3"/>
      <c r="O353" s="3"/>
      <c r="P353" s="3"/>
      <c r="Q353" s="14"/>
    </row>
    <row r="354" spans="14:17">
      <c r="N354" s="3"/>
      <c r="O354" s="3"/>
      <c r="P354" s="3"/>
      <c r="Q354" s="14"/>
    </row>
    <row r="355" spans="14:17">
      <c r="N355" s="3"/>
      <c r="O355" s="3"/>
      <c r="P355" s="3"/>
      <c r="Q355" s="14"/>
    </row>
    <row r="356" spans="14:17">
      <c r="N356" s="3"/>
      <c r="O356" s="3"/>
      <c r="P356" s="3"/>
      <c r="Q356" s="14"/>
    </row>
    <row r="357" spans="14:17">
      <c r="N357" s="3"/>
      <c r="O357" s="3"/>
      <c r="P357" s="3"/>
      <c r="Q357" s="14"/>
    </row>
    <row r="358" spans="14:17">
      <c r="N358" s="3"/>
      <c r="O358" s="3"/>
      <c r="P358" s="3"/>
      <c r="Q358" s="14"/>
    </row>
    <row r="359" spans="14:17">
      <c r="N359" s="3"/>
      <c r="O359" s="3"/>
      <c r="P359" s="3"/>
      <c r="Q359" s="14"/>
    </row>
    <row r="360" spans="14:17">
      <c r="N360" s="3"/>
      <c r="O360" s="3"/>
      <c r="P360" s="3"/>
      <c r="Q360" s="14"/>
    </row>
    <row r="361" spans="14:17">
      <c r="N361" s="3"/>
      <c r="O361" s="3"/>
      <c r="P361" s="3"/>
      <c r="Q361" s="14"/>
    </row>
    <row r="362" spans="14:17">
      <c r="N362" s="3"/>
      <c r="O362" s="3"/>
      <c r="P362" s="3"/>
      <c r="Q362" s="14"/>
    </row>
    <row r="363" spans="14:17">
      <c r="N363" s="3"/>
      <c r="O363" s="3"/>
      <c r="P363" s="3"/>
      <c r="Q363" s="14"/>
    </row>
    <row r="364" spans="14:17">
      <c r="N364" s="3"/>
      <c r="O364" s="3"/>
      <c r="P364" s="3"/>
      <c r="Q364" s="14"/>
    </row>
    <row r="365" spans="14:17">
      <c r="N365" s="3"/>
      <c r="O365" s="3"/>
      <c r="P365" s="3"/>
      <c r="Q365" s="14"/>
    </row>
    <row r="366" spans="14:17">
      <c r="N366" s="3"/>
      <c r="O366" s="3"/>
      <c r="P366" s="3"/>
      <c r="Q366" s="14"/>
    </row>
    <row r="367" spans="14:17">
      <c r="N367" s="3"/>
      <c r="O367" s="3"/>
      <c r="P367" s="3"/>
      <c r="Q367" s="14"/>
    </row>
    <row r="368" spans="14:17">
      <c r="N368" s="3"/>
      <c r="O368" s="3"/>
      <c r="P368" s="3"/>
      <c r="Q368" s="14"/>
    </row>
    <row r="369" spans="14:17">
      <c r="N369" s="3"/>
      <c r="O369" s="3"/>
      <c r="P369" s="3"/>
      <c r="Q369" s="14"/>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B1:K371"/>
  <sheetViews>
    <sheetView workbookViewId="0">
      <selection activeCell="J35" sqref="J35"/>
    </sheetView>
  </sheetViews>
  <sheetFormatPr defaultRowHeight="15"/>
  <cols>
    <col min="2" max="2" width="21.140625" bestFit="1" customWidth="1"/>
    <col min="3" max="3" width="25.140625" bestFit="1" customWidth="1"/>
    <col min="4" max="4" width="19.140625" bestFit="1" customWidth="1"/>
    <col min="5" max="5" width="26.140625" bestFit="1" customWidth="1"/>
    <col min="6" max="6" width="13.5703125" bestFit="1" customWidth="1"/>
    <col min="7" max="7" width="11.28515625" bestFit="1" customWidth="1"/>
    <col min="8" max="8" width="17.5703125" bestFit="1" customWidth="1"/>
    <col min="9" max="9" width="10.7109375" customWidth="1"/>
    <col min="10" max="10" width="11" bestFit="1" customWidth="1"/>
    <col min="11" max="11" width="16.7109375" bestFit="1" customWidth="1"/>
  </cols>
  <sheetData>
    <row r="1" spans="2:11">
      <c r="H1">
        <f>'City characteristics'!C20</f>
        <v>2019</v>
      </c>
      <c r="I1" s="3"/>
      <c r="J1" s="3"/>
      <c r="K1" s="2"/>
    </row>
    <row r="2" spans="2:11">
      <c r="H2" t="s">
        <v>428</v>
      </c>
      <c r="I2" s="3"/>
      <c r="J2" s="3"/>
      <c r="K2" s="2"/>
    </row>
    <row r="3" spans="2:11">
      <c r="H3" s="3"/>
      <c r="I3" s="3"/>
      <c r="J3" s="3"/>
      <c r="K3" s="2"/>
    </row>
    <row r="4" spans="2:11">
      <c r="D4" s="11" t="s">
        <v>422</v>
      </c>
      <c r="I4" s="3"/>
      <c r="J4" s="3"/>
      <c r="K4" s="2"/>
    </row>
    <row r="5" spans="2:11">
      <c r="B5" s="317" t="s">
        <v>364</v>
      </c>
      <c r="C5" s="317" t="s">
        <v>365</v>
      </c>
      <c r="D5" s="317" t="s">
        <v>429</v>
      </c>
      <c r="E5" s="317" t="s">
        <v>445</v>
      </c>
      <c r="F5" s="317" t="s">
        <v>431</v>
      </c>
      <c r="G5" s="317" t="s">
        <v>432</v>
      </c>
      <c r="H5" s="317" t="str">
        <f>"*"&amp;H2&amp;"~"&amp;H1</f>
        <v>*PRC_RESID~2019</v>
      </c>
      <c r="I5" s="317" t="s">
        <v>446</v>
      </c>
      <c r="J5" s="3"/>
      <c r="K5" s="2"/>
    </row>
    <row r="6" spans="2:11" ht="15.75" customHeight="1" thickBot="1">
      <c r="B6" s="13" t="s">
        <v>307</v>
      </c>
      <c r="C6" s="13" t="s">
        <v>307</v>
      </c>
      <c r="D6" s="13" t="s">
        <v>433</v>
      </c>
      <c r="E6" s="13" t="s">
        <v>434</v>
      </c>
      <c r="F6" s="13" t="s">
        <v>435</v>
      </c>
      <c r="G6" s="13" t="s">
        <v>436</v>
      </c>
      <c r="H6" s="13" t="s">
        <v>437</v>
      </c>
      <c r="I6" s="13"/>
      <c r="J6" s="3"/>
      <c r="K6" s="2"/>
    </row>
    <row r="7" spans="2:11">
      <c r="B7" t="str">
        <f>Def_Tech!C88</f>
        <v>CITY</v>
      </c>
      <c r="C7" t="str">
        <f>Def_Tech!D88</f>
        <v>WASSOLPAPLDFDEC19</v>
      </c>
      <c r="D7">
        <f>_xlfn.XLOOKUP($C7,'WAS RESID'!$K:$K,'WAS RESID'!R:R)</f>
        <v>1</v>
      </c>
      <c r="E7">
        <f>_xlfn.XLOOKUP($C7,'WAS RESID'!$K:$K,'WAS RESID'!Q:Q)</f>
        <v>0.9</v>
      </c>
      <c r="F7" s="3">
        <v>100</v>
      </c>
      <c r="G7" s="3">
        <v>1</v>
      </c>
      <c r="H7" s="2">
        <f>_xlfn.XLOOKUP(C7,'WAS RESID'!K:K,'WAS RESID'!P:P)</f>
        <v>2550.0559746003778</v>
      </c>
      <c r="I7" s="2">
        <f>1-_xlfn.XLOOKUP(C7,'WAS RESID'!K:K,'WAS RESID'!X:X)</f>
        <v>5.3264600368199799E-2</v>
      </c>
      <c r="J7" s="3"/>
      <c r="K7" s="2"/>
    </row>
    <row r="8" spans="2:11">
      <c r="B8" t="str">
        <f>Def_Tech!C89</f>
        <v>CITY</v>
      </c>
      <c r="C8" t="str">
        <f>Def_Tech!D89</f>
        <v>WASSOLGLALDFDEC19</v>
      </c>
      <c r="D8">
        <f>_xlfn.XLOOKUP($C8,'WAS RESID'!$K:$K,'WAS RESID'!R:R)</f>
        <v>1</v>
      </c>
      <c r="E8">
        <f>_xlfn.XLOOKUP($C8,'WAS RESID'!$K:$K,'WAS RESID'!Q:Q)</f>
        <v>0.9</v>
      </c>
      <c r="F8" s="3">
        <v>100</v>
      </c>
      <c r="G8" s="3">
        <v>1</v>
      </c>
      <c r="H8" s="2">
        <f>_xlfn.XLOOKUP(C8,'WAS RESID'!K:K,'WAS RESID'!P:P)</f>
        <v>238.21768884122039</v>
      </c>
      <c r="I8" s="2">
        <f>1-_xlfn.XLOOKUP(C8,'WAS RESID'!K:K,'WAS RESID'!X:X)</f>
        <v>1</v>
      </c>
      <c r="J8" s="3"/>
      <c r="K8" s="2"/>
    </row>
    <row r="9" spans="2:11">
      <c r="B9" t="str">
        <f>Def_Tech!C90</f>
        <v>CITY</v>
      </c>
      <c r="C9" t="str">
        <f>Def_Tech!D90</f>
        <v>WASSOLMETLDFDEC19</v>
      </c>
      <c r="D9">
        <f>_xlfn.XLOOKUP($C9,'WAS RESID'!$K:$K,'WAS RESID'!R:R)</f>
        <v>1</v>
      </c>
      <c r="E9">
        <f>_xlfn.XLOOKUP($C9,'WAS RESID'!$K:$K,'WAS RESID'!Q:Q)</f>
        <v>0.9</v>
      </c>
      <c r="F9" s="3">
        <v>100</v>
      </c>
      <c r="G9" s="3">
        <v>1</v>
      </c>
      <c r="H9" s="2">
        <f>_xlfn.XLOOKUP(C9,'WAS RESID'!K:K,'WAS RESID'!P:P)</f>
        <v>317.62358512162717</v>
      </c>
      <c r="I9" s="2">
        <f>1-_xlfn.XLOOKUP(C9,'WAS RESID'!K:K,'WAS RESID'!X:X)</f>
        <v>1</v>
      </c>
      <c r="J9" s="3"/>
      <c r="K9" s="2"/>
    </row>
    <row r="10" spans="2:11">
      <c r="B10" t="str">
        <f>Def_Tech!C91</f>
        <v>CITY</v>
      </c>
      <c r="C10" t="str">
        <f>Def_Tech!D91</f>
        <v>WASSOLPLALDFDEC19</v>
      </c>
      <c r="D10">
        <f>_xlfn.XLOOKUP($C10,'WAS RESID'!$K:$K,'WAS RESID'!R:R)</f>
        <v>1</v>
      </c>
      <c r="E10">
        <f>_xlfn.XLOOKUP($C10,'WAS RESID'!$K:$K,'WAS RESID'!Q:Q)</f>
        <v>0.9</v>
      </c>
      <c r="F10" s="3">
        <v>100</v>
      </c>
      <c r="G10" s="3">
        <v>1</v>
      </c>
      <c r="H10" s="2">
        <f>_xlfn.XLOOKUP(C10,'WAS RESID'!K:K,'WAS RESID'!P:P)</f>
        <v>794.05896280406785</v>
      </c>
      <c r="I10" s="2">
        <f>1-_xlfn.XLOOKUP(C10,'WAS RESID'!K:K,'WAS RESID'!X:X)</f>
        <v>1</v>
      </c>
      <c r="J10" s="3"/>
      <c r="K10" s="2"/>
    </row>
    <row r="11" spans="2:11">
      <c r="B11" t="str">
        <f>Def_Tech!C92</f>
        <v>CITY</v>
      </c>
      <c r="C11" t="str">
        <f>Def_Tech!D92</f>
        <v>WASSOLFOOLDFDEC19</v>
      </c>
      <c r="D11">
        <f>_xlfn.XLOOKUP($C11,'WAS RESID'!$K:$K,'WAS RESID'!R:R)</f>
        <v>1</v>
      </c>
      <c r="E11">
        <f>_xlfn.XLOOKUP($C11,'WAS RESID'!$K:$K,'WAS RESID'!Q:Q)</f>
        <v>0.9</v>
      </c>
      <c r="F11" s="3">
        <v>100</v>
      </c>
      <c r="G11" s="3">
        <v>1</v>
      </c>
      <c r="H11" s="2">
        <f>_xlfn.XLOOKUP(C11,'WAS RESID'!K:K,'WAS RESID'!P:P)</f>
        <v>1545.0339140225819</v>
      </c>
      <c r="I11" s="2">
        <f>1-_xlfn.XLOOKUP(C11,'WAS RESID'!K:K,'WAS RESID'!X:X)</f>
        <v>9.1792181239634951E-2</v>
      </c>
      <c r="J11" s="3"/>
      <c r="K11" s="2"/>
    </row>
    <row r="12" spans="2:11">
      <c r="B12" t="str">
        <f>Def_Tech!C93</f>
        <v>CITY</v>
      </c>
      <c r="C12" t="str">
        <f>Def_Tech!D93</f>
        <v>WASSOLYARLDFDEC19</v>
      </c>
      <c r="D12">
        <f>_xlfn.XLOOKUP($C12,'WAS RESID'!$K:$K,'WAS RESID'!R:R)</f>
        <v>1</v>
      </c>
      <c r="E12">
        <f>_xlfn.XLOOKUP($C12,'WAS RESID'!$K:$K,'WAS RESID'!Q:Q)</f>
        <v>0.9</v>
      </c>
      <c r="F12" s="3">
        <v>100</v>
      </c>
      <c r="G12" s="3">
        <v>1</v>
      </c>
      <c r="H12" s="2">
        <f>_xlfn.XLOOKUP(C12,'WAS RESID'!K:K,'WAS RESID'!P:P)</f>
        <v>1168.1894814441771</v>
      </c>
      <c r="I12" s="2">
        <f>1-_xlfn.XLOOKUP(C12,'WAS RESID'!K:K,'WAS RESID'!X:X)</f>
        <v>0.1435947367675342</v>
      </c>
      <c r="J12" s="3"/>
      <c r="K12" s="2"/>
    </row>
    <row r="13" spans="2:11">
      <c r="B13" t="str">
        <f>Def_Tech!C94</f>
        <v>CITY</v>
      </c>
      <c r="C13" t="str">
        <f>Def_Tech!D94</f>
        <v>WASSOLAOTLDFDEC19</v>
      </c>
      <c r="D13">
        <f>_xlfn.XLOOKUP($C13,'WAS RESID'!$K:$K,'WAS RESID'!R:R)</f>
        <v>1</v>
      </c>
      <c r="E13">
        <f>_xlfn.XLOOKUP($C13,'WAS RESID'!$K:$K,'WAS RESID'!Q:Q)</f>
        <v>0.9</v>
      </c>
      <c r="F13" s="3">
        <v>100</v>
      </c>
      <c r="G13" s="3">
        <v>1</v>
      </c>
      <c r="H13" s="2">
        <f>_xlfn.XLOOKUP(C13,'WAS RESID'!K:K,'WAS RESID'!P:P)</f>
        <v>5850.1284123185151</v>
      </c>
      <c r="I13" s="2">
        <f>1-_xlfn.XLOOKUP(C13,'WAS RESID'!K:K,'WAS RESID'!X:X)</f>
        <v>2.9411613561442951E-2</v>
      </c>
      <c r="J13" s="3"/>
      <c r="K13" s="2"/>
    </row>
    <row r="14" spans="2:11">
      <c r="B14" t="str">
        <f>Def_Tech!C95</f>
        <v>CITY</v>
      </c>
      <c r="C14" t="str">
        <f>Def_Tech!D95</f>
        <v>WASSOLHISLDFDEC19</v>
      </c>
      <c r="D14">
        <f>_xlfn.XLOOKUP($C14,'WAS RESID'!$K:$K,'WAS RESID'!R:R)</f>
        <v>1</v>
      </c>
      <c r="E14">
        <f>_xlfn.XLOOKUP($C14,'WAS RESID'!$K:$K,'WAS RESID'!Q:Q)</f>
        <v>0.9</v>
      </c>
      <c r="F14" s="3">
        <v>100</v>
      </c>
      <c r="G14" s="3">
        <v>1</v>
      </c>
      <c r="H14" s="2">
        <f>_xlfn.XLOOKUP(C14,'WAS RESID'!K:K,'WAS RESID'!P:P)</f>
        <v>229403.40902108679</v>
      </c>
      <c r="I14" s="2">
        <f>1-_xlfn.XLOOKUP(C14,'WAS RESID'!K:K,'WAS RESID'!X:X)</f>
        <v>8.3817143096113433E-2</v>
      </c>
      <c r="J14" s="3"/>
      <c r="K14" s="2"/>
    </row>
    <row r="15" spans="2:11">
      <c r="G15" s="3"/>
      <c r="H15" s="3"/>
      <c r="I15" s="3"/>
      <c r="J15" s="3"/>
      <c r="K15" s="2"/>
    </row>
    <row r="16" spans="2:11">
      <c r="H16" s="3"/>
      <c r="I16" s="3"/>
      <c r="J16" s="3"/>
      <c r="K16" s="2"/>
    </row>
    <row r="17" spans="2:11">
      <c r="C17" s="329"/>
      <c r="D17" s="329"/>
      <c r="E17" s="11" t="s">
        <v>422</v>
      </c>
      <c r="G17" s="328"/>
      <c r="I17" s="328"/>
      <c r="J17" s="328"/>
      <c r="K17" s="328"/>
    </row>
    <row r="18" spans="2:11">
      <c r="B18" s="317" t="s">
        <v>365</v>
      </c>
      <c r="C18" s="317" t="s">
        <v>425</v>
      </c>
      <c r="D18" s="317" t="s">
        <v>423</v>
      </c>
      <c r="E18" s="317" t="s">
        <v>424</v>
      </c>
      <c r="F18" s="317" t="s">
        <v>393</v>
      </c>
      <c r="G18" s="317">
        <v>0</v>
      </c>
      <c r="H18" s="317">
        <v>2019</v>
      </c>
      <c r="I18" s="317">
        <v>2100</v>
      </c>
    </row>
    <row r="19" spans="2:11" ht="15.75" customHeight="1" thickBot="1">
      <c r="B19" s="13" t="s">
        <v>307</v>
      </c>
      <c r="C19" s="13"/>
      <c r="D19" s="13"/>
      <c r="E19" s="13"/>
      <c r="F19" s="13"/>
      <c r="G19" s="13"/>
      <c r="H19" s="13"/>
      <c r="I19" s="13"/>
    </row>
    <row r="20" spans="2:11">
      <c r="B20" t="str">
        <f>Def_Tech!D88</f>
        <v>WASSOLPAPLDFDEC19</v>
      </c>
      <c r="C20" t="str">
        <f>'WAS RESID'!H96</f>
        <v>WASSOLPAPLDFDEC</v>
      </c>
      <c r="D20" t="str">
        <f t="shared" ref="D20:D27" si="0">C20</f>
        <v>WASSOLPAPLDFDEC</v>
      </c>
      <c r="E20" t="s">
        <v>447</v>
      </c>
      <c r="F20" t="s">
        <v>444</v>
      </c>
      <c r="G20">
        <v>2</v>
      </c>
      <c r="H20" s="326">
        <v>0</v>
      </c>
      <c r="I20" s="326">
        <v>0</v>
      </c>
    </row>
    <row r="21" spans="2:11">
      <c r="B21" t="str">
        <f>Def_Tech!D89</f>
        <v>WASSOLGLALDFDEC19</v>
      </c>
      <c r="C21" t="str">
        <f>'WAS RESID'!H98</f>
        <v>WASSOLGLALDFDEC</v>
      </c>
      <c r="D21" t="str">
        <f t="shared" si="0"/>
        <v>WASSOLGLALDFDEC</v>
      </c>
      <c r="E21" t="s">
        <v>447</v>
      </c>
      <c r="F21" t="s">
        <v>444</v>
      </c>
      <c r="G21">
        <v>2</v>
      </c>
      <c r="H21" s="326">
        <v>0</v>
      </c>
      <c r="I21" s="326">
        <v>0</v>
      </c>
    </row>
    <row r="22" spans="2:11">
      <c r="B22" t="str">
        <f>Def_Tech!D90</f>
        <v>WASSOLMETLDFDEC19</v>
      </c>
      <c r="C22" t="str">
        <f>'WAS RESID'!H100</f>
        <v>WASSOLMETLDFDEC</v>
      </c>
      <c r="D22" t="str">
        <f t="shared" si="0"/>
        <v>WASSOLMETLDFDEC</v>
      </c>
      <c r="E22" t="s">
        <v>447</v>
      </c>
      <c r="F22" t="s">
        <v>444</v>
      </c>
      <c r="G22">
        <v>2</v>
      </c>
      <c r="H22" s="326">
        <v>0</v>
      </c>
      <c r="I22" s="326">
        <v>0</v>
      </c>
    </row>
    <row r="23" spans="2:11">
      <c r="B23" t="str">
        <f>Def_Tech!D91</f>
        <v>WASSOLPLALDFDEC19</v>
      </c>
      <c r="C23" t="str">
        <f>'WAS RESID'!H102</f>
        <v>WASSOLPLALDFDEC</v>
      </c>
      <c r="D23" t="str">
        <f t="shared" si="0"/>
        <v>WASSOLPLALDFDEC</v>
      </c>
      <c r="E23" t="s">
        <v>447</v>
      </c>
      <c r="F23" t="s">
        <v>444</v>
      </c>
      <c r="G23">
        <v>2</v>
      </c>
      <c r="H23" s="326">
        <v>0</v>
      </c>
      <c r="I23" s="326">
        <v>0</v>
      </c>
    </row>
    <row r="24" spans="2:11">
      <c r="B24" t="str">
        <f>Def_Tech!D92</f>
        <v>WASSOLFOOLDFDEC19</v>
      </c>
      <c r="C24" t="str">
        <f>'WAS RESID'!H104</f>
        <v>WASSOLFOOLDFDEC</v>
      </c>
      <c r="D24" t="str">
        <f t="shared" si="0"/>
        <v>WASSOLFOOLDFDEC</v>
      </c>
      <c r="E24" t="s">
        <v>447</v>
      </c>
      <c r="F24" t="s">
        <v>444</v>
      </c>
      <c r="G24">
        <v>2</v>
      </c>
      <c r="H24" s="326">
        <v>0</v>
      </c>
      <c r="I24" s="326">
        <v>0</v>
      </c>
    </row>
    <row r="25" spans="2:11">
      <c r="B25" t="str">
        <f>Def_Tech!D93</f>
        <v>WASSOLYARLDFDEC19</v>
      </c>
      <c r="C25" t="str">
        <f>'WAS RESID'!H106</f>
        <v>WASSOLYARLDFDEC</v>
      </c>
      <c r="D25" t="str">
        <f t="shared" si="0"/>
        <v>WASSOLYARLDFDEC</v>
      </c>
      <c r="E25" t="s">
        <v>447</v>
      </c>
      <c r="F25" t="s">
        <v>444</v>
      </c>
      <c r="G25">
        <v>2</v>
      </c>
      <c r="H25" s="326">
        <v>0</v>
      </c>
      <c r="I25" s="326">
        <v>0</v>
      </c>
    </row>
    <row r="26" spans="2:11">
      <c r="B26" t="str">
        <f>Def_Tech!D94</f>
        <v>WASSOLAOTLDFDEC19</v>
      </c>
      <c r="C26" t="str">
        <f>'WAS RESID'!H108</f>
        <v>WASSOLAOTLDFDEC</v>
      </c>
      <c r="D26" t="str">
        <f t="shared" si="0"/>
        <v>WASSOLAOTLDFDEC</v>
      </c>
      <c r="E26" t="s">
        <v>447</v>
      </c>
      <c r="F26" t="s">
        <v>444</v>
      </c>
      <c r="G26">
        <v>2</v>
      </c>
      <c r="H26" s="326">
        <v>0</v>
      </c>
      <c r="I26" s="326">
        <v>0</v>
      </c>
    </row>
    <row r="27" spans="2:11">
      <c r="B27" t="str">
        <f>Def_Tech!D95</f>
        <v>WASSOLHISLDFDEC19</v>
      </c>
      <c r="C27" t="str">
        <f>'WAS RESID'!H110</f>
        <v>WASSOLHISLDFDEC</v>
      </c>
      <c r="D27" t="str">
        <f t="shared" si="0"/>
        <v>WASSOLHISLDFDEC</v>
      </c>
      <c r="E27" t="s">
        <v>447</v>
      </c>
      <c r="F27" t="s">
        <v>444</v>
      </c>
      <c r="G27">
        <v>2</v>
      </c>
      <c r="H27" s="326">
        <v>0</v>
      </c>
      <c r="I27" s="326">
        <v>0</v>
      </c>
    </row>
    <row r="28" spans="2:11">
      <c r="H28" s="326"/>
      <c r="I28" s="326"/>
    </row>
    <row r="29" spans="2:11">
      <c r="C29" s="329"/>
      <c r="D29" s="329"/>
      <c r="E29" s="11" t="s">
        <v>422</v>
      </c>
      <c r="G29" s="328"/>
      <c r="I29" s="328"/>
    </row>
    <row r="30" spans="2:11">
      <c r="B30" s="317" t="s">
        <v>365</v>
      </c>
      <c r="C30" s="317" t="s">
        <v>423</v>
      </c>
      <c r="D30" s="317" t="s">
        <v>424</v>
      </c>
      <c r="E30" s="317" t="s">
        <v>393</v>
      </c>
      <c r="F30" s="317">
        <v>0</v>
      </c>
      <c r="G30" s="317">
        <v>2019</v>
      </c>
      <c r="H30" s="317">
        <v>2100</v>
      </c>
    </row>
    <row r="31" spans="2:11" ht="15.75" customHeight="1" thickBot="1">
      <c r="B31" s="13" t="s">
        <v>307</v>
      </c>
      <c r="C31" s="13"/>
      <c r="D31" s="13"/>
      <c r="E31" s="13"/>
      <c r="F31" s="13"/>
      <c r="G31" s="13"/>
      <c r="H31" s="13"/>
    </row>
    <row r="32" spans="2:11">
      <c r="B32" t="str">
        <f>Def_Tech!D88</f>
        <v>WASSOLPAPLDFDEC19</v>
      </c>
      <c r="C32" t="str">
        <f>'WAS RESID'!I97</f>
        <v>WASSOLLDFBGA</v>
      </c>
      <c r="D32" t="s">
        <v>448</v>
      </c>
      <c r="F32">
        <v>2</v>
      </c>
      <c r="G32" s="326">
        <f>SUMIFS('WAS RESID'!S:S,'WAS RESID'!K:K,B32,'WAS RESID'!I:I,C32)</f>
        <v>0.1472847844449344</v>
      </c>
      <c r="H32" s="326">
        <f t="shared" ref="H32:H39" si="1">G32</f>
        <v>0.1472847844449344</v>
      </c>
    </row>
    <row r="33" spans="2:11">
      <c r="B33" t="str">
        <f>Def_Tech!D89</f>
        <v>WASSOLGLALDFDEC19</v>
      </c>
      <c r="C33" t="str">
        <f>'WAS RESID'!I99</f>
        <v>WASSOLLDFBGA</v>
      </c>
      <c r="D33" t="s">
        <v>448</v>
      </c>
      <c r="F33">
        <v>2</v>
      </c>
      <c r="G33" s="326">
        <f>SUMIFS('WAS RESID'!S:S,'WAS RESID'!K:K,B33,'WAS RESID'!I:I,C33)</f>
        <v>0</v>
      </c>
      <c r="H33" s="326">
        <f t="shared" si="1"/>
        <v>0</v>
      </c>
    </row>
    <row r="34" spans="2:11">
      <c r="B34" t="str">
        <f>Def_Tech!D90</f>
        <v>WASSOLMETLDFDEC19</v>
      </c>
      <c r="C34" t="str">
        <f>'WAS RESID'!I101</f>
        <v>WASSOLLDFBGA</v>
      </c>
      <c r="D34" t="s">
        <v>448</v>
      </c>
      <c r="F34">
        <v>2</v>
      </c>
      <c r="G34" s="326">
        <f>SUMIFS('WAS RESID'!S:S,'WAS RESID'!K:K,B34,'WAS RESID'!I:I,C34)</f>
        <v>0</v>
      </c>
      <c r="H34" s="326">
        <f t="shared" si="1"/>
        <v>0</v>
      </c>
    </row>
    <row r="35" spans="2:11">
      <c r="B35" t="str">
        <f>Def_Tech!D91</f>
        <v>WASSOLPLALDFDEC19</v>
      </c>
      <c r="C35" t="str">
        <f>'WAS RESID'!I103</f>
        <v>WASSOLLDFBGA</v>
      </c>
      <c r="D35" t="s">
        <v>448</v>
      </c>
      <c r="F35">
        <v>2</v>
      </c>
      <c r="G35" s="326">
        <f>SUMIFS('WAS RESID'!S:S,'WAS RESID'!K:K,B35,'WAS RESID'!I:I,C35)</f>
        <v>0</v>
      </c>
      <c r="H35" s="326">
        <f t="shared" si="1"/>
        <v>0</v>
      </c>
    </row>
    <row r="36" spans="2:11">
      <c r="B36" t="str">
        <f>Def_Tech!D92</f>
        <v>WASSOLFOOLDFDEC19</v>
      </c>
      <c r="C36" t="str">
        <f>'WAS RESID'!I105</f>
        <v>WASSOLLDFBGA</v>
      </c>
      <c r="D36" t="s">
        <v>448</v>
      </c>
      <c r="F36">
        <v>2</v>
      </c>
      <c r="G36" s="326">
        <f>SUMIFS('WAS RESID'!S:S,'WAS RESID'!K:K,B36,'WAS RESID'!I:I,C36)</f>
        <v>0.42075455410461071</v>
      </c>
      <c r="H36" s="326">
        <f t="shared" si="1"/>
        <v>0.42075455410461071</v>
      </c>
    </row>
    <row r="37" spans="2:11">
      <c r="B37" t="str">
        <f>Def_Tech!D93</f>
        <v>WASSOLYARLDFDEC19</v>
      </c>
      <c r="C37" t="str">
        <f>'WAS RESID'!I107</f>
        <v>WASSOLLDFBGA</v>
      </c>
      <c r="D37" t="s">
        <v>448</v>
      </c>
      <c r="F37">
        <v>2</v>
      </c>
      <c r="G37" s="326">
        <f>SUMIFS('WAS RESID'!S:S,'WAS RESID'!K:K,B37,'WAS RESID'!I:I,C37)</f>
        <v>0.14210604202775309</v>
      </c>
      <c r="H37" s="326">
        <f t="shared" si="1"/>
        <v>0.14210604202775309</v>
      </c>
    </row>
    <row r="38" spans="2:11">
      <c r="B38" t="str">
        <f>Def_Tech!D94</f>
        <v>WASSOLAOTLDFDEC19</v>
      </c>
      <c r="C38" t="str">
        <f>'WAS RESID'!I109</f>
        <v>WASSOLLDFBGA</v>
      </c>
      <c r="D38" t="s">
        <v>448</v>
      </c>
      <c r="F38">
        <v>2</v>
      </c>
      <c r="G38" s="326">
        <f>SUMIFS('WAS RESID'!S:S,'WAS RESID'!K:K,B38,'WAS RESID'!I:I,C38)</f>
        <v>1.1413997435099941E-2</v>
      </c>
      <c r="H38" s="326">
        <f t="shared" si="1"/>
        <v>1.1413997435099941E-2</v>
      </c>
    </row>
    <row r="39" spans="2:11">
      <c r="B39" t="str">
        <f>Def_Tech!D95</f>
        <v>WASSOLHISLDFDEC19</v>
      </c>
      <c r="C39" t="str">
        <f>'WAS RESID'!I111</f>
        <v>WASSOLLDFBGA</v>
      </c>
      <c r="D39" t="s">
        <v>448</v>
      </c>
      <c r="F39">
        <v>2</v>
      </c>
      <c r="G39" s="326">
        <f>SUMIFS('WAS RESID'!S:S,'WAS RESID'!K:K,B39,'WAS RESID'!I:I,C39)</f>
        <v>8.3894467404158526E-2</v>
      </c>
      <c r="H39" s="326">
        <f t="shared" si="1"/>
        <v>8.3894467404158526E-2</v>
      </c>
    </row>
    <row r="47" spans="2:11">
      <c r="G47" s="3"/>
      <c r="H47" s="3"/>
      <c r="I47" s="3"/>
      <c r="J47" s="3"/>
      <c r="K47" s="2"/>
    </row>
    <row r="48" spans="2:11">
      <c r="G48" s="3"/>
      <c r="H48" s="3"/>
      <c r="I48" s="3"/>
      <c r="J48" s="3"/>
      <c r="K48" s="2"/>
    </row>
    <row r="49" spans="7:11">
      <c r="G49" s="3"/>
      <c r="H49" s="3"/>
      <c r="I49" s="3"/>
      <c r="J49" s="3"/>
      <c r="K49" s="14"/>
    </row>
    <row r="50" spans="7:11">
      <c r="G50" s="3"/>
      <c r="H50" s="3"/>
      <c r="I50" s="3"/>
      <c r="J50" s="3"/>
      <c r="K50" s="14"/>
    </row>
    <row r="51" spans="7:11">
      <c r="G51" s="3"/>
      <c r="H51" s="3"/>
      <c r="I51" s="3"/>
      <c r="J51" s="3"/>
      <c r="K51" s="14"/>
    </row>
    <row r="52" spans="7:11">
      <c r="G52" s="3"/>
      <c r="H52" s="3"/>
      <c r="I52" s="3"/>
      <c r="J52" s="3"/>
      <c r="K52" s="14"/>
    </row>
    <row r="53" spans="7:11">
      <c r="G53" s="3"/>
      <c r="H53" s="3"/>
      <c r="I53" s="3"/>
      <c r="J53" s="3"/>
      <c r="K53" s="14"/>
    </row>
    <row r="54" spans="7:11">
      <c r="G54" s="3"/>
      <c r="H54" s="3"/>
      <c r="I54" s="3"/>
      <c r="J54" s="3"/>
      <c r="K54" s="14"/>
    </row>
    <row r="55" spans="7:11">
      <c r="G55" s="3"/>
      <c r="H55" s="3"/>
      <c r="I55" s="3"/>
      <c r="J55" s="3"/>
      <c r="K55" s="14"/>
    </row>
    <row r="56" spans="7:11">
      <c r="G56" s="3"/>
      <c r="H56" s="3"/>
      <c r="I56" s="3"/>
      <c r="J56" s="3"/>
      <c r="K56" s="14"/>
    </row>
    <row r="57" spans="7:11">
      <c r="G57" s="3"/>
      <c r="H57" s="3"/>
      <c r="I57" s="3"/>
      <c r="J57" s="3"/>
      <c r="K57" s="14"/>
    </row>
    <row r="58" spans="7:11">
      <c r="G58" s="3"/>
      <c r="H58" s="3"/>
      <c r="I58" s="3"/>
      <c r="J58" s="3"/>
      <c r="K58" s="14"/>
    </row>
    <row r="59" spans="7:11">
      <c r="G59" s="3"/>
      <c r="H59" s="3"/>
      <c r="I59" s="3"/>
      <c r="J59" s="3"/>
      <c r="K59" s="14"/>
    </row>
    <row r="60" spans="7:11">
      <c r="G60" s="3"/>
      <c r="H60" s="3"/>
      <c r="I60" s="3"/>
      <c r="J60" s="3"/>
      <c r="K60" s="14"/>
    </row>
    <row r="61" spans="7:11">
      <c r="G61" s="3"/>
      <c r="H61" s="3"/>
      <c r="I61" s="3"/>
      <c r="J61" s="3"/>
      <c r="K61" s="14"/>
    </row>
    <row r="62" spans="7:11">
      <c r="G62" s="3"/>
      <c r="H62" s="3"/>
      <c r="I62" s="3"/>
      <c r="J62" s="3"/>
      <c r="K62" s="14"/>
    </row>
    <row r="63" spans="7:11">
      <c r="G63" s="3"/>
      <c r="H63" s="3"/>
      <c r="I63" s="3"/>
      <c r="J63" s="3"/>
      <c r="K63" s="14"/>
    </row>
    <row r="64" spans="7:11">
      <c r="G64" s="3"/>
      <c r="H64" s="3"/>
      <c r="I64" s="3"/>
      <c r="J64" s="3"/>
      <c r="K64" s="14"/>
    </row>
    <row r="65" spans="7:11">
      <c r="G65" s="3"/>
      <c r="H65" s="3"/>
      <c r="I65" s="3"/>
      <c r="J65" s="3"/>
      <c r="K65" s="14"/>
    </row>
    <row r="66" spans="7:11">
      <c r="G66" s="3"/>
      <c r="H66" s="3"/>
      <c r="I66" s="3"/>
      <c r="J66" s="3"/>
      <c r="K66" s="14"/>
    </row>
    <row r="67" spans="7:11">
      <c r="G67" s="3"/>
      <c r="H67" s="3"/>
      <c r="I67" s="3"/>
      <c r="J67" s="3"/>
      <c r="K67" s="14"/>
    </row>
    <row r="68" spans="7:11">
      <c r="G68" s="3"/>
      <c r="H68" s="3"/>
      <c r="I68" s="3"/>
      <c r="J68" s="3"/>
      <c r="K68" s="14"/>
    </row>
    <row r="69" spans="7:11">
      <c r="G69" s="3"/>
      <c r="H69" s="3"/>
      <c r="I69" s="3"/>
      <c r="J69" s="3"/>
      <c r="K69" s="14"/>
    </row>
    <row r="70" spans="7:11">
      <c r="G70" s="3"/>
      <c r="H70" s="3"/>
      <c r="I70" s="3"/>
      <c r="J70" s="3"/>
      <c r="K70" s="14"/>
    </row>
    <row r="71" spans="7:11">
      <c r="G71" s="3"/>
      <c r="H71" s="3"/>
      <c r="I71" s="3"/>
      <c r="J71" s="3"/>
      <c r="K71" s="14"/>
    </row>
    <row r="72" spans="7:11">
      <c r="G72" s="3"/>
      <c r="H72" s="3"/>
      <c r="I72" s="3"/>
      <c r="J72" s="3"/>
      <c r="K72" s="14"/>
    </row>
    <row r="73" spans="7:11">
      <c r="G73" s="3"/>
      <c r="H73" s="3"/>
      <c r="I73" s="3"/>
      <c r="J73" s="3"/>
      <c r="K73" s="14"/>
    </row>
    <row r="74" spans="7:11">
      <c r="G74" s="3"/>
      <c r="H74" s="3"/>
      <c r="I74" s="3"/>
      <c r="J74" s="3"/>
      <c r="K74" s="14"/>
    </row>
    <row r="75" spans="7:11">
      <c r="G75" s="3"/>
      <c r="H75" s="3"/>
      <c r="I75" s="3"/>
      <c r="J75" s="3"/>
      <c r="K75" s="14"/>
    </row>
    <row r="76" spans="7:11">
      <c r="G76" s="3"/>
      <c r="H76" s="3"/>
      <c r="I76" s="3"/>
      <c r="J76" s="3"/>
      <c r="K76" s="14"/>
    </row>
    <row r="77" spans="7:11">
      <c r="G77" s="3"/>
      <c r="H77" s="3"/>
      <c r="I77" s="3"/>
      <c r="J77" s="3"/>
      <c r="K77" s="14"/>
    </row>
    <row r="78" spans="7:11">
      <c r="G78" s="3"/>
      <c r="H78" s="3"/>
      <c r="I78" s="3"/>
      <c r="J78" s="3"/>
      <c r="K78" s="14"/>
    </row>
    <row r="79" spans="7:11">
      <c r="G79" s="3"/>
      <c r="H79" s="3"/>
      <c r="I79" s="3"/>
      <c r="J79" s="3"/>
      <c r="K79" s="14"/>
    </row>
    <row r="80" spans="7:11">
      <c r="G80" s="3"/>
      <c r="H80" s="3"/>
      <c r="I80" s="3"/>
      <c r="J80" s="3"/>
      <c r="K80" s="14"/>
    </row>
    <row r="81" spans="7:11">
      <c r="G81" s="3"/>
      <c r="H81" s="3"/>
      <c r="I81" s="3"/>
      <c r="J81" s="3"/>
      <c r="K81" s="14"/>
    </row>
    <row r="82" spans="7:11">
      <c r="G82" s="3"/>
      <c r="H82" s="3"/>
      <c r="I82" s="3"/>
      <c r="J82" s="3"/>
      <c r="K82" s="14"/>
    </row>
    <row r="83" spans="7:11">
      <c r="G83" s="3"/>
      <c r="H83" s="3"/>
      <c r="I83" s="3"/>
      <c r="J83" s="3"/>
      <c r="K83" s="14"/>
    </row>
    <row r="84" spans="7:11">
      <c r="G84" s="3"/>
      <c r="H84" s="3"/>
      <c r="I84" s="3"/>
      <c r="J84" s="3"/>
      <c r="K84" s="14"/>
    </row>
    <row r="85" spans="7:11">
      <c r="G85" s="3"/>
      <c r="H85" s="3"/>
      <c r="I85" s="3"/>
      <c r="J85" s="3"/>
      <c r="K85" s="14"/>
    </row>
    <row r="86" spans="7:11">
      <c r="G86" s="3"/>
      <c r="H86" s="3"/>
      <c r="I86" s="3"/>
      <c r="J86" s="3"/>
      <c r="K86" s="14"/>
    </row>
    <row r="87" spans="7:11">
      <c r="G87" s="3"/>
      <c r="H87" s="3"/>
      <c r="I87" s="3"/>
      <c r="J87" s="3"/>
      <c r="K87" s="14"/>
    </row>
    <row r="88" spans="7:11">
      <c r="G88" s="3"/>
      <c r="H88" s="3"/>
      <c r="I88" s="3"/>
      <c r="J88" s="3"/>
      <c r="K88" s="14"/>
    </row>
    <row r="89" spans="7:11">
      <c r="G89" s="3"/>
      <c r="H89" s="3"/>
      <c r="I89" s="3"/>
      <c r="J89" s="3"/>
      <c r="K89" s="14"/>
    </row>
    <row r="90" spans="7:11">
      <c r="G90" s="3"/>
      <c r="H90" s="3"/>
      <c r="I90" s="3"/>
      <c r="J90" s="3"/>
      <c r="K90" s="14"/>
    </row>
    <row r="91" spans="7:11">
      <c r="G91" s="3"/>
      <c r="H91" s="3"/>
      <c r="I91" s="3"/>
      <c r="J91" s="3"/>
      <c r="K91" s="14"/>
    </row>
    <row r="92" spans="7:11">
      <c r="G92" s="3"/>
      <c r="H92" s="3"/>
      <c r="I92" s="3"/>
      <c r="J92" s="3"/>
      <c r="K92" s="14"/>
    </row>
    <row r="93" spans="7:11">
      <c r="G93" s="3"/>
      <c r="H93" s="3"/>
      <c r="I93" s="3"/>
      <c r="J93" s="3"/>
      <c r="K93" s="14"/>
    </row>
    <row r="94" spans="7:11">
      <c r="G94" s="3"/>
      <c r="H94" s="3"/>
      <c r="I94" s="3"/>
      <c r="J94" s="3"/>
      <c r="K94" s="14"/>
    </row>
    <row r="95" spans="7:11">
      <c r="G95" s="3"/>
      <c r="H95" s="3"/>
      <c r="I95" s="3"/>
      <c r="J95" s="3"/>
      <c r="K95" s="14"/>
    </row>
    <row r="96" spans="7:11">
      <c r="G96" s="3"/>
      <c r="H96" s="3"/>
      <c r="I96" s="3"/>
      <c r="J96" s="3"/>
      <c r="K96" s="14"/>
    </row>
    <row r="97" spans="7:11">
      <c r="G97" s="3"/>
      <c r="H97" s="3"/>
      <c r="I97" s="3"/>
      <c r="J97" s="3"/>
      <c r="K97" s="14"/>
    </row>
    <row r="98" spans="7:11">
      <c r="G98" s="3"/>
      <c r="H98" s="3"/>
      <c r="I98" s="3"/>
      <c r="J98" s="3"/>
      <c r="K98" s="14"/>
    </row>
    <row r="99" spans="7:11">
      <c r="G99" s="3"/>
      <c r="H99" s="3"/>
      <c r="I99" s="3"/>
      <c r="J99" s="3"/>
      <c r="K99" s="14"/>
    </row>
    <row r="100" spans="7:11">
      <c r="G100" s="3"/>
      <c r="H100" s="3"/>
      <c r="I100" s="3"/>
      <c r="J100" s="3"/>
      <c r="K100" s="14"/>
    </row>
    <row r="101" spans="7:11">
      <c r="G101" s="3"/>
      <c r="H101" s="3"/>
      <c r="I101" s="3"/>
      <c r="J101" s="3"/>
      <c r="K101" s="14"/>
    </row>
    <row r="102" spans="7:11">
      <c r="G102" s="3"/>
      <c r="H102" s="3"/>
      <c r="I102" s="3"/>
      <c r="J102" s="3"/>
      <c r="K102" s="14"/>
    </row>
    <row r="103" spans="7:11">
      <c r="G103" s="3"/>
      <c r="H103" s="3"/>
      <c r="I103" s="3"/>
      <c r="J103" s="3"/>
      <c r="K103" s="14"/>
    </row>
    <row r="104" spans="7:11">
      <c r="G104" s="3"/>
      <c r="H104" s="3"/>
      <c r="I104" s="3"/>
      <c r="J104" s="3"/>
      <c r="K104" s="14"/>
    </row>
    <row r="105" spans="7:11">
      <c r="G105" s="3"/>
      <c r="H105" s="3"/>
      <c r="I105" s="3"/>
      <c r="J105" s="3"/>
      <c r="K105" s="14"/>
    </row>
    <row r="106" spans="7:11">
      <c r="G106" s="3"/>
      <c r="H106" s="3"/>
      <c r="I106" s="3"/>
      <c r="J106" s="3"/>
      <c r="K106" s="14"/>
    </row>
    <row r="107" spans="7:11">
      <c r="G107" s="3"/>
      <c r="H107" s="3"/>
      <c r="I107" s="3"/>
      <c r="J107" s="3"/>
      <c r="K107" s="14"/>
    </row>
    <row r="108" spans="7:11">
      <c r="G108" s="3"/>
      <c r="H108" s="3"/>
      <c r="I108" s="3"/>
      <c r="J108" s="3"/>
      <c r="K108" s="14"/>
    </row>
    <row r="109" spans="7:11">
      <c r="G109" s="3"/>
      <c r="H109" s="3"/>
      <c r="I109" s="3"/>
      <c r="J109" s="3"/>
      <c r="K109" s="14"/>
    </row>
    <row r="110" spans="7:11">
      <c r="G110" s="3"/>
      <c r="H110" s="3"/>
      <c r="I110" s="3"/>
      <c r="J110" s="3"/>
      <c r="K110" s="14"/>
    </row>
    <row r="111" spans="7:11">
      <c r="G111" s="3"/>
      <c r="H111" s="3"/>
      <c r="I111" s="3"/>
      <c r="J111" s="3"/>
      <c r="K111" s="14"/>
    </row>
    <row r="112" spans="7:11">
      <c r="G112" s="3"/>
      <c r="H112" s="3"/>
      <c r="I112" s="3"/>
      <c r="J112" s="3"/>
      <c r="K112" s="14"/>
    </row>
    <row r="113" spans="7:11">
      <c r="G113" s="3"/>
      <c r="H113" s="3"/>
      <c r="I113" s="3"/>
      <c r="J113" s="3"/>
      <c r="K113" s="14"/>
    </row>
    <row r="114" spans="7:11">
      <c r="G114" s="3"/>
      <c r="H114" s="3"/>
      <c r="I114" s="3"/>
      <c r="J114" s="3"/>
      <c r="K114" s="14"/>
    </row>
    <row r="115" spans="7:11">
      <c r="G115" s="3"/>
      <c r="H115" s="3"/>
      <c r="I115" s="3"/>
      <c r="J115" s="3"/>
      <c r="K115" s="14"/>
    </row>
    <row r="116" spans="7:11">
      <c r="G116" s="3"/>
      <c r="H116" s="3"/>
      <c r="I116" s="3"/>
      <c r="J116" s="3"/>
      <c r="K116" s="14"/>
    </row>
    <row r="117" spans="7:11">
      <c r="G117" s="3"/>
      <c r="H117" s="3"/>
      <c r="I117" s="3"/>
      <c r="J117" s="3"/>
      <c r="K117" s="14"/>
    </row>
    <row r="118" spans="7:11">
      <c r="G118" s="3"/>
      <c r="H118" s="3"/>
      <c r="I118" s="3"/>
      <c r="J118" s="3"/>
      <c r="K118" s="14"/>
    </row>
    <row r="119" spans="7:11">
      <c r="G119" s="3"/>
      <c r="H119" s="3"/>
      <c r="I119" s="3"/>
      <c r="J119" s="3"/>
      <c r="K119" s="14"/>
    </row>
    <row r="120" spans="7:11">
      <c r="G120" s="3"/>
      <c r="H120" s="3"/>
      <c r="I120" s="3"/>
      <c r="J120" s="3"/>
      <c r="K120" s="14"/>
    </row>
    <row r="121" spans="7:11">
      <c r="G121" s="3"/>
      <c r="H121" s="3"/>
      <c r="I121" s="3"/>
      <c r="J121" s="3"/>
      <c r="K121" s="14"/>
    </row>
    <row r="122" spans="7:11">
      <c r="G122" s="3"/>
      <c r="H122" s="3"/>
      <c r="I122" s="3"/>
      <c r="J122" s="3"/>
      <c r="K122" s="14"/>
    </row>
    <row r="123" spans="7:11">
      <c r="G123" s="3"/>
      <c r="H123" s="3"/>
      <c r="I123" s="3"/>
      <c r="J123" s="3"/>
      <c r="K123" s="14"/>
    </row>
    <row r="124" spans="7:11">
      <c r="G124" s="3"/>
      <c r="H124" s="3"/>
      <c r="I124" s="3"/>
      <c r="J124" s="3"/>
      <c r="K124" s="14"/>
    </row>
    <row r="125" spans="7:11">
      <c r="G125" s="3"/>
      <c r="H125" s="3"/>
      <c r="I125" s="3"/>
      <c r="J125" s="3"/>
      <c r="K125" s="14"/>
    </row>
    <row r="126" spans="7:11">
      <c r="G126" s="3"/>
      <c r="H126" s="3"/>
      <c r="I126" s="3"/>
      <c r="J126" s="3"/>
      <c r="K126" s="14"/>
    </row>
    <row r="127" spans="7:11">
      <c r="G127" s="3"/>
      <c r="H127" s="3"/>
      <c r="I127" s="3"/>
      <c r="J127" s="3"/>
      <c r="K127" s="14"/>
    </row>
    <row r="128" spans="7:11">
      <c r="G128" s="3"/>
      <c r="H128" s="3"/>
      <c r="I128" s="3"/>
      <c r="J128" s="3"/>
      <c r="K128" s="14"/>
    </row>
    <row r="129" spans="7:11">
      <c r="G129" s="3"/>
      <c r="H129" s="3"/>
      <c r="I129" s="3"/>
      <c r="J129" s="3"/>
      <c r="K129" s="14"/>
    </row>
    <row r="130" spans="7:11">
      <c r="G130" s="3"/>
      <c r="H130" s="3"/>
      <c r="I130" s="3"/>
      <c r="J130" s="3"/>
      <c r="K130" s="14"/>
    </row>
    <row r="131" spans="7:11">
      <c r="G131" s="3"/>
      <c r="H131" s="3"/>
      <c r="I131" s="3"/>
      <c r="J131" s="3"/>
      <c r="K131" s="14"/>
    </row>
    <row r="132" spans="7:11">
      <c r="G132" s="3"/>
      <c r="H132" s="3"/>
      <c r="I132" s="3"/>
      <c r="J132" s="3"/>
      <c r="K132" s="14"/>
    </row>
    <row r="133" spans="7:11">
      <c r="G133" s="3"/>
      <c r="H133" s="3"/>
      <c r="I133" s="3"/>
      <c r="J133" s="3"/>
      <c r="K133" s="14"/>
    </row>
    <row r="134" spans="7:11">
      <c r="G134" s="3"/>
      <c r="H134" s="3"/>
      <c r="I134" s="3"/>
      <c r="J134" s="3"/>
      <c r="K134" s="14"/>
    </row>
    <row r="135" spans="7:11">
      <c r="G135" s="3"/>
      <c r="H135" s="3"/>
      <c r="I135" s="3"/>
      <c r="J135" s="3"/>
      <c r="K135" s="14"/>
    </row>
    <row r="136" spans="7:11">
      <c r="G136" s="3"/>
      <c r="H136" s="3"/>
      <c r="I136" s="3"/>
      <c r="J136" s="3"/>
      <c r="K136" s="14"/>
    </row>
    <row r="137" spans="7:11">
      <c r="G137" s="3"/>
      <c r="H137" s="3"/>
      <c r="I137" s="3"/>
      <c r="J137" s="3"/>
      <c r="K137" s="14"/>
    </row>
    <row r="138" spans="7:11">
      <c r="G138" s="3"/>
      <c r="H138" s="3"/>
      <c r="I138" s="3"/>
      <c r="J138" s="3"/>
      <c r="K138" s="14"/>
    </row>
    <row r="139" spans="7:11">
      <c r="G139" s="3"/>
      <c r="H139" s="3"/>
      <c r="I139" s="3"/>
      <c r="J139" s="3"/>
      <c r="K139" s="14"/>
    </row>
    <row r="140" spans="7:11">
      <c r="G140" s="3"/>
      <c r="H140" s="3"/>
      <c r="I140" s="3"/>
      <c r="J140" s="3"/>
      <c r="K140" s="14"/>
    </row>
    <row r="141" spans="7:11">
      <c r="G141" s="3"/>
      <c r="H141" s="3"/>
      <c r="I141" s="3"/>
      <c r="J141" s="3"/>
      <c r="K141" s="14"/>
    </row>
    <row r="142" spans="7:11">
      <c r="G142" s="3"/>
      <c r="H142" s="3"/>
      <c r="I142" s="3"/>
      <c r="J142" s="3"/>
      <c r="K142" s="14"/>
    </row>
    <row r="143" spans="7:11">
      <c r="G143" s="3"/>
      <c r="H143" s="3"/>
      <c r="I143" s="3"/>
      <c r="J143" s="3"/>
      <c r="K143" s="14"/>
    </row>
    <row r="144" spans="7:11">
      <c r="G144" s="3"/>
      <c r="H144" s="3"/>
      <c r="I144" s="3"/>
      <c r="J144" s="3"/>
      <c r="K144" s="14"/>
    </row>
    <row r="145" spans="7:11">
      <c r="G145" s="3"/>
      <c r="H145" s="3"/>
      <c r="I145" s="3"/>
      <c r="J145" s="3"/>
      <c r="K145" s="14"/>
    </row>
    <row r="146" spans="7:11">
      <c r="G146" s="3"/>
      <c r="H146" s="3"/>
      <c r="I146" s="3"/>
      <c r="J146" s="3"/>
      <c r="K146" s="14"/>
    </row>
    <row r="147" spans="7:11">
      <c r="G147" s="3"/>
      <c r="H147" s="3"/>
      <c r="I147" s="3"/>
      <c r="J147" s="3"/>
      <c r="K147" s="14"/>
    </row>
    <row r="148" spans="7:11">
      <c r="G148" s="3"/>
      <c r="H148" s="3"/>
      <c r="I148" s="3"/>
      <c r="J148" s="3"/>
      <c r="K148" s="14"/>
    </row>
    <row r="149" spans="7:11">
      <c r="G149" s="3"/>
      <c r="H149" s="3"/>
      <c r="I149" s="3"/>
      <c r="J149" s="3"/>
      <c r="K149" s="14"/>
    </row>
    <row r="150" spans="7:11">
      <c r="G150" s="3"/>
      <c r="H150" s="3"/>
      <c r="I150" s="3"/>
      <c r="J150" s="3"/>
      <c r="K150" s="14"/>
    </row>
    <row r="151" spans="7:11">
      <c r="G151" s="3"/>
      <c r="H151" s="3"/>
      <c r="I151" s="3"/>
      <c r="J151" s="3"/>
      <c r="K151" s="14"/>
    </row>
    <row r="152" spans="7:11">
      <c r="G152" s="3"/>
      <c r="H152" s="3"/>
      <c r="I152" s="3"/>
      <c r="J152" s="3"/>
      <c r="K152" s="14"/>
    </row>
    <row r="153" spans="7:11">
      <c r="G153" s="3"/>
      <c r="H153" s="3"/>
      <c r="I153" s="3"/>
      <c r="J153" s="3"/>
      <c r="K153" s="14"/>
    </row>
    <row r="154" spans="7:11">
      <c r="G154" s="3"/>
      <c r="H154" s="3"/>
      <c r="I154" s="3"/>
      <c r="J154" s="3"/>
      <c r="K154" s="14"/>
    </row>
    <row r="155" spans="7:11">
      <c r="G155" s="3"/>
      <c r="H155" s="3"/>
      <c r="I155" s="3"/>
      <c r="J155" s="3"/>
      <c r="K155" s="14"/>
    </row>
    <row r="156" spans="7:11">
      <c r="G156" s="3"/>
      <c r="H156" s="3"/>
      <c r="I156" s="3"/>
      <c r="J156" s="3"/>
      <c r="K156" s="14"/>
    </row>
    <row r="157" spans="7:11">
      <c r="G157" s="3"/>
      <c r="H157" s="3"/>
      <c r="I157" s="3"/>
      <c r="J157" s="3"/>
      <c r="K157" s="14"/>
    </row>
    <row r="158" spans="7:11">
      <c r="G158" s="3"/>
      <c r="H158" s="3"/>
      <c r="I158" s="3"/>
      <c r="J158" s="3"/>
      <c r="K158" s="14"/>
    </row>
    <row r="159" spans="7:11">
      <c r="G159" s="3"/>
      <c r="H159" s="3"/>
      <c r="I159" s="3"/>
      <c r="J159" s="3"/>
      <c r="K159" s="14"/>
    </row>
    <row r="160" spans="7:11">
      <c r="G160" s="3"/>
      <c r="H160" s="3"/>
      <c r="I160" s="3"/>
      <c r="J160" s="3"/>
      <c r="K160" s="14"/>
    </row>
    <row r="161" spans="7:11">
      <c r="G161" s="3"/>
      <c r="H161" s="3"/>
      <c r="I161" s="3"/>
      <c r="J161" s="3"/>
      <c r="K161" s="14"/>
    </row>
    <row r="162" spans="7:11">
      <c r="G162" s="3"/>
      <c r="H162" s="3"/>
      <c r="I162" s="3"/>
      <c r="J162" s="3"/>
      <c r="K162" s="14"/>
    </row>
    <row r="163" spans="7:11">
      <c r="G163" s="3"/>
      <c r="H163" s="3"/>
      <c r="I163" s="3"/>
      <c r="J163" s="3"/>
      <c r="K163" s="14"/>
    </row>
    <row r="164" spans="7:11">
      <c r="G164" s="3"/>
      <c r="H164" s="3"/>
      <c r="I164" s="3"/>
      <c r="J164" s="3"/>
      <c r="K164" s="14"/>
    </row>
    <row r="165" spans="7:11">
      <c r="G165" s="3"/>
      <c r="H165" s="3"/>
      <c r="I165" s="3"/>
      <c r="J165" s="3"/>
      <c r="K165" s="14"/>
    </row>
    <row r="166" spans="7:11">
      <c r="G166" s="3"/>
      <c r="H166" s="3"/>
      <c r="I166" s="3"/>
      <c r="J166" s="3"/>
      <c r="K166" s="14"/>
    </row>
    <row r="167" spans="7:11">
      <c r="G167" s="3"/>
      <c r="H167" s="3"/>
      <c r="I167" s="3"/>
      <c r="J167" s="3"/>
      <c r="K167" s="14"/>
    </row>
    <row r="168" spans="7:11">
      <c r="G168" s="3"/>
      <c r="H168" s="3"/>
      <c r="I168" s="3"/>
      <c r="J168" s="3"/>
      <c r="K168" s="14"/>
    </row>
    <row r="169" spans="7:11">
      <c r="G169" s="3"/>
      <c r="H169" s="3"/>
      <c r="I169" s="3"/>
      <c r="J169" s="3"/>
      <c r="K169" s="14"/>
    </row>
    <row r="170" spans="7:11">
      <c r="G170" s="3"/>
      <c r="H170" s="3"/>
      <c r="I170" s="3"/>
      <c r="J170" s="3"/>
      <c r="K170" s="14"/>
    </row>
    <row r="171" spans="7:11">
      <c r="G171" s="3"/>
      <c r="H171" s="3"/>
      <c r="I171" s="3"/>
      <c r="J171" s="3"/>
      <c r="K171" s="14"/>
    </row>
    <row r="172" spans="7:11">
      <c r="G172" s="3"/>
      <c r="H172" s="3"/>
      <c r="I172" s="3"/>
      <c r="J172" s="3"/>
      <c r="K172" s="14"/>
    </row>
    <row r="173" spans="7:11">
      <c r="G173" s="3"/>
      <c r="H173" s="3"/>
      <c r="I173" s="3"/>
      <c r="J173" s="3"/>
      <c r="K173" s="14"/>
    </row>
    <row r="174" spans="7:11">
      <c r="G174" s="3"/>
      <c r="H174" s="3"/>
      <c r="I174" s="3"/>
      <c r="J174" s="3"/>
      <c r="K174" s="14"/>
    </row>
    <row r="175" spans="7:11">
      <c r="G175" s="3"/>
      <c r="H175" s="3"/>
      <c r="I175" s="3"/>
      <c r="J175" s="3"/>
      <c r="K175" s="14"/>
    </row>
    <row r="176" spans="7:11">
      <c r="G176" s="3"/>
      <c r="H176" s="3"/>
      <c r="I176" s="3"/>
      <c r="J176" s="3"/>
      <c r="K176" s="14"/>
    </row>
    <row r="177" spans="7:11">
      <c r="G177" s="3"/>
      <c r="H177" s="3"/>
      <c r="I177" s="3"/>
      <c r="J177" s="3"/>
      <c r="K177" s="14"/>
    </row>
    <row r="178" spans="7:11">
      <c r="G178" s="3"/>
      <c r="H178" s="3"/>
      <c r="I178" s="3"/>
      <c r="J178" s="3"/>
      <c r="K178" s="14"/>
    </row>
    <row r="179" spans="7:11">
      <c r="G179" s="3"/>
      <c r="H179" s="3"/>
      <c r="I179" s="3"/>
      <c r="J179" s="3"/>
      <c r="K179" s="14"/>
    </row>
    <row r="180" spans="7:11">
      <c r="G180" s="3"/>
      <c r="H180" s="3"/>
      <c r="I180" s="3"/>
      <c r="J180" s="3"/>
      <c r="K180" s="14"/>
    </row>
    <row r="181" spans="7:11">
      <c r="G181" s="3"/>
      <c r="H181" s="3"/>
      <c r="I181" s="3"/>
      <c r="J181" s="3"/>
      <c r="K181" s="14"/>
    </row>
    <row r="182" spans="7:11">
      <c r="G182" s="3"/>
      <c r="H182" s="3"/>
      <c r="I182" s="3"/>
      <c r="J182" s="3"/>
      <c r="K182" s="14"/>
    </row>
    <row r="183" spans="7:11">
      <c r="G183" s="3"/>
      <c r="H183" s="3"/>
      <c r="I183" s="3"/>
      <c r="J183" s="3"/>
      <c r="K183" s="14"/>
    </row>
    <row r="184" spans="7:11">
      <c r="G184" s="3"/>
      <c r="H184" s="3"/>
      <c r="I184" s="3"/>
      <c r="J184" s="3"/>
      <c r="K184" s="14"/>
    </row>
    <row r="185" spans="7:11">
      <c r="G185" s="3"/>
      <c r="H185" s="3"/>
      <c r="I185" s="3"/>
      <c r="J185" s="3"/>
      <c r="K185" s="14"/>
    </row>
    <row r="186" spans="7:11">
      <c r="G186" s="3"/>
      <c r="H186" s="3"/>
      <c r="I186" s="3"/>
      <c r="J186" s="3"/>
      <c r="K186" s="14"/>
    </row>
    <row r="187" spans="7:11">
      <c r="G187" s="3"/>
      <c r="H187" s="3"/>
      <c r="I187" s="3"/>
      <c r="J187" s="3"/>
      <c r="K187" s="14"/>
    </row>
    <row r="188" spans="7:11">
      <c r="G188" s="3"/>
      <c r="H188" s="3"/>
      <c r="I188" s="3"/>
      <c r="J188" s="3"/>
      <c r="K188" s="14"/>
    </row>
    <row r="189" spans="7:11">
      <c r="G189" s="3"/>
      <c r="H189" s="3"/>
      <c r="I189" s="3"/>
      <c r="J189" s="3"/>
      <c r="K189" s="14"/>
    </row>
    <row r="190" spans="7:11">
      <c r="G190" s="3"/>
      <c r="H190" s="3"/>
      <c r="I190" s="3"/>
      <c r="J190" s="3"/>
      <c r="K190" s="14"/>
    </row>
    <row r="191" spans="7:11">
      <c r="G191" s="3"/>
      <c r="H191" s="3"/>
      <c r="I191" s="3"/>
      <c r="J191" s="3"/>
      <c r="K191" s="14"/>
    </row>
    <row r="192" spans="7:11">
      <c r="G192" s="3"/>
      <c r="H192" s="3"/>
      <c r="I192" s="3"/>
      <c r="J192" s="3"/>
      <c r="K192" s="14"/>
    </row>
    <row r="193" spans="7:11">
      <c r="G193" s="3"/>
      <c r="H193" s="3"/>
      <c r="I193" s="3"/>
      <c r="J193" s="3"/>
      <c r="K193" s="14"/>
    </row>
    <row r="194" spans="7:11">
      <c r="G194" s="3"/>
      <c r="H194" s="3"/>
      <c r="I194" s="3"/>
      <c r="J194" s="3"/>
      <c r="K194" s="14"/>
    </row>
    <row r="195" spans="7:11">
      <c r="G195" s="3"/>
      <c r="H195" s="3"/>
      <c r="I195" s="3"/>
      <c r="J195" s="3"/>
      <c r="K195" s="14"/>
    </row>
    <row r="196" spans="7:11">
      <c r="G196" s="3"/>
      <c r="H196" s="3"/>
      <c r="I196" s="3"/>
      <c r="J196" s="3"/>
      <c r="K196" s="14"/>
    </row>
    <row r="197" spans="7:11">
      <c r="G197" s="3"/>
      <c r="H197" s="3"/>
      <c r="I197" s="3"/>
      <c r="J197" s="3"/>
      <c r="K197" s="14"/>
    </row>
    <row r="198" spans="7:11">
      <c r="G198" s="3"/>
      <c r="H198" s="3"/>
      <c r="I198" s="3"/>
      <c r="J198" s="3"/>
      <c r="K198" s="14"/>
    </row>
    <row r="199" spans="7:11">
      <c r="G199" s="3"/>
      <c r="H199" s="3"/>
      <c r="I199" s="3"/>
      <c r="J199" s="3"/>
      <c r="K199" s="14"/>
    </row>
    <row r="200" spans="7:11">
      <c r="G200" s="3"/>
      <c r="H200" s="3"/>
      <c r="I200" s="3"/>
      <c r="J200" s="3"/>
      <c r="K200" s="14"/>
    </row>
    <row r="201" spans="7:11">
      <c r="G201" s="3"/>
      <c r="H201" s="3"/>
      <c r="I201" s="3"/>
      <c r="J201" s="3"/>
      <c r="K201" s="14"/>
    </row>
    <row r="202" spans="7:11">
      <c r="G202" s="3"/>
      <c r="H202" s="3"/>
      <c r="I202" s="3"/>
      <c r="J202" s="3"/>
      <c r="K202" s="14"/>
    </row>
    <row r="203" spans="7:11">
      <c r="G203" s="3"/>
      <c r="H203" s="3"/>
      <c r="I203" s="3"/>
      <c r="J203" s="3"/>
      <c r="K203" s="14"/>
    </row>
    <row r="204" spans="7:11">
      <c r="G204" s="3"/>
      <c r="H204" s="3"/>
      <c r="I204" s="3"/>
      <c r="J204" s="3"/>
      <c r="K204" s="14"/>
    </row>
    <row r="205" spans="7:11">
      <c r="G205" s="3"/>
      <c r="H205" s="3"/>
      <c r="I205" s="3"/>
      <c r="J205" s="3"/>
      <c r="K205" s="14"/>
    </row>
    <row r="206" spans="7:11">
      <c r="G206" s="3"/>
      <c r="H206" s="3"/>
      <c r="I206" s="3"/>
      <c r="J206" s="3"/>
      <c r="K206" s="14"/>
    </row>
    <row r="207" spans="7:11">
      <c r="G207" s="3"/>
      <c r="H207" s="3"/>
      <c r="I207" s="3"/>
      <c r="J207" s="3"/>
      <c r="K207" s="14"/>
    </row>
    <row r="208" spans="7:11">
      <c r="G208" s="3"/>
      <c r="H208" s="3"/>
      <c r="I208" s="3"/>
      <c r="J208" s="3"/>
      <c r="K208" s="14"/>
    </row>
    <row r="209" spans="7:11">
      <c r="G209" s="3"/>
      <c r="H209" s="3"/>
      <c r="I209" s="3"/>
      <c r="J209" s="3"/>
      <c r="K209" s="14"/>
    </row>
    <row r="210" spans="7:11">
      <c r="G210" s="3"/>
      <c r="H210" s="3"/>
      <c r="I210" s="3"/>
      <c r="J210" s="3"/>
      <c r="K210" s="14"/>
    </row>
    <row r="211" spans="7:11">
      <c r="G211" s="3"/>
      <c r="H211" s="3"/>
      <c r="I211" s="3"/>
      <c r="J211" s="3"/>
      <c r="K211" s="14"/>
    </row>
    <row r="212" spans="7:11">
      <c r="G212" s="3"/>
      <c r="H212" s="3"/>
      <c r="I212" s="3"/>
      <c r="J212" s="3"/>
      <c r="K212" s="14"/>
    </row>
    <row r="213" spans="7:11">
      <c r="G213" s="3"/>
      <c r="H213" s="3"/>
      <c r="I213" s="3"/>
      <c r="J213" s="3"/>
      <c r="K213" s="14"/>
    </row>
    <row r="214" spans="7:11">
      <c r="G214" s="3"/>
      <c r="H214" s="3"/>
      <c r="I214" s="3"/>
      <c r="J214" s="3"/>
      <c r="K214" s="14"/>
    </row>
    <row r="215" spans="7:11">
      <c r="G215" s="3"/>
      <c r="H215" s="3"/>
      <c r="I215" s="3"/>
      <c r="J215" s="3"/>
      <c r="K215" s="14"/>
    </row>
    <row r="216" spans="7:11">
      <c r="G216" s="3"/>
      <c r="H216" s="3"/>
      <c r="I216" s="3"/>
      <c r="J216" s="3"/>
      <c r="K216" s="14"/>
    </row>
    <row r="217" spans="7:11">
      <c r="G217" s="3"/>
      <c r="H217" s="3"/>
      <c r="I217" s="3"/>
      <c r="J217" s="3"/>
      <c r="K217" s="14"/>
    </row>
    <row r="218" spans="7:11">
      <c r="G218" s="3"/>
      <c r="H218" s="3"/>
      <c r="I218" s="3"/>
      <c r="J218" s="3"/>
      <c r="K218" s="14"/>
    </row>
    <row r="219" spans="7:11">
      <c r="G219" s="3"/>
      <c r="H219" s="3"/>
      <c r="I219" s="3"/>
      <c r="J219" s="3"/>
      <c r="K219" s="14"/>
    </row>
    <row r="220" spans="7:11">
      <c r="G220" s="3"/>
      <c r="H220" s="3"/>
      <c r="I220" s="3"/>
      <c r="J220" s="3"/>
      <c r="K220" s="14"/>
    </row>
    <row r="221" spans="7:11">
      <c r="G221" s="3"/>
      <c r="H221" s="3"/>
      <c r="I221" s="3"/>
      <c r="J221" s="3"/>
      <c r="K221" s="14"/>
    </row>
    <row r="222" spans="7:11">
      <c r="G222" s="3"/>
      <c r="H222" s="3"/>
      <c r="I222" s="3"/>
      <c r="J222" s="3"/>
      <c r="K222" s="14"/>
    </row>
    <row r="223" spans="7:11">
      <c r="G223" s="3"/>
      <c r="H223" s="3"/>
      <c r="I223" s="3"/>
      <c r="J223" s="3"/>
      <c r="K223" s="14"/>
    </row>
    <row r="224" spans="7:11">
      <c r="G224" s="3"/>
      <c r="H224" s="3"/>
      <c r="I224" s="3"/>
      <c r="J224" s="3"/>
      <c r="K224" s="14"/>
    </row>
    <row r="225" spans="7:11">
      <c r="G225" s="3"/>
      <c r="H225" s="3"/>
      <c r="I225" s="3"/>
      <c r="J225" s="3"/>
      <c r="K225" s="14"/>
    </row>
    <row r="226" spans="7:11">
      <c r="G226" s="3"/>
      <c r="H226" s="3"/>
      <c r="I226" s="3"/>
      <c r="J226" s="3"/>
      <c r="K226" s="14"/>
    </row>
    <row r="227" spans="7:11">
      <c r="G227" s="3"/>
      <c r="H227" s="3"/>
      <c r="I227" s="3"/>
      <c r="J227" s="3"/>
      <c r="K227" s="14"/>
    </row>
    <row r="228" spans="7:11">
      <c r="G228" s="3"/>
      <c r="H228" s="3"/>
      <c r="I228" s="3"/>
      <c r="J228" s="3"/>
      <c r="K228" s="14"/>
    </row>
    <row r="229" spans="7:11">
      <c r="G229" s="3"/>
      <c r="H229" s="3"/>
      <c r="I229" s="3"/>
      <c r="J229" s="3"/>
      <c r="K229" s="14"/>
    </row>
    <row r="230" spans="7:11">
      <c r="G230" s="3"/>
      <c r="H230" s="3"/>
      <c r="I230" s="3"/>
      <c r="J230" s="3"/>
      <c r="K230" s="14"/>
    </row>
    <row r="231" spans="7:11">
      <c r="G231" s="3"/>
      <c r="H231" s="3"/>
      <c r="I231" s="3"/>
      <c r="J231" s="3"/>
      <c r="K231" s="14"/>
    </row>
    <row r="232" spans="7:11">
      <c r="G232" s="3"/>
      <c r="H232" s="3"/>
      <c r="I232" s="3"/>
      <c r="J232" s="3"/>
      <c r="K232" s="14"/>
    </row>
    <row r="233" spans="7:11">
      <c r="G233" s="3"/>
      <c r="H233" s="3"/>
      <c r="I233" s="3"/>
      <c r="J233" s="3"/>
      <c r="K233" s="14"/>
    </row>
    <row r="234" spans="7:11">
      <c r="G234" s="3"/>
      <c r="H234" s="3"/>
      <c r="I234" s="3"/>
      <c r="J234" s="3"/>
      <c r="K234" s="14"/>
    </row>
    <row r="235" spans="7:11">
      <c r="G235" s="3"/>
      <c r="H235" s="3"/>
      <c r="I235" s="3"/>
      <c r="J235" s="3"/>
      <c r="K235" s="14"/>
    </row>
    <row r="236" spans="7:11">
      <c r="G236" s="3"/>
      <c r="H236" s="3"/>
      <c r="I236" s="3"/>
      <c r="J236" s="3"/>
      <c r="K236" s="14"/>
    </row>
    <row r="237" spans="7:11">
      <c r="G237" s="3"/>
      <c r="H237" s="3"/>
      <c r="I237" s="3"/>
      <c r="J237" s="3"/>
      <c r="K237" s="14"/>
    </row>
    <row r="238" spans="7:11">
      <c r="G238" s="3"/>
      <c r="H238" s="3"/>
      <c r="I238" s="3"/>
      <c r="J238" s="3"/>
      <c r="K238" s="14"/>
    </row>
    <row r="239" spans="7:11">
      <c r="G239" s="3"/>
      <c r="H239" s="3"/>
      <c r="I239" s="3"/>
      <c r="J239" s="3"/>
      <c r="K239" s="14"/>
    </row>
    <row r="240" spans="7:11">
      <c r="G240" s="3"/>
      <c r="H240" s="3"/>
      <c r="I240" s="3"/>
      <c r="J240" s="3"/>
      <c r="K240" s="14"/>
    </row>
    <row r="241" spans="7:11">
      <c r="G241" s="3"/>
      <c r="H241" s="3"/>
      <c r="I241" s="3"/>
      <c r="J241" s="3"/>
      <c r="K241" s="14"/>
    </row>
    <row r="242" spans="7:11">
      <c r="G242" s="3"/>
      <c r="H242" s="3"/>
      <c r="I242" s="3"/>
      <c r="J242" s="3"/>
      <c r="K242" s="14"/>
    </row>
    <row r="243" spans="7:11">
      <c r="G243" s="3"/>
      <c r="H243" s="3"/>
      <c r="I243" s="3"/>
      <c r="J243" s="3"/>
      <c r="K243" s="14"/>
    </row>
    <row r="244" spans="7:11">
      <c r="G244" s="3"/>
      <c r="H244" s="3"/>
      <c r="I244" s="3"/>
      <c r="J244" s="3"/>
      <c r="K244" s="14"/>
    </row>
    <row r="245" spans="7:11">
      <c r="G245" s="3"/>
      <c r="H245" s="3"/>
      <c r="I245" s="3"/>
      <c r="J245" s="3"/>
      <c r="K245" s="14"/>
    </row>
    <row r="246" spans="7:11">
      <c r="G246" s="3"/>
      <c r="H246" s="3"/>
      <c r="I246" s="3"/>
      <c r="J246" s="3"/>
      <c r="K246" s="14"/>
    </row>
    <row r="247" spans="7:11">
      <c r="G247" s="3"/>
      <c r="H247" s="3"/>
      <c r="I247" s="3"/>
      <c r="J247" s="3"/>
      <c r="K247" s="14"/>
    </row>
    <row r="248" spans="7:11">
      <c r="G248" s="3"/>
      <c r="H248" s="3"/>
      <c r="I248" s="3"/>
      <c r="J248" s="3"/>
      <c r="K248" s="14"/>
    </row>
    <row r="249" spans="7:11">
      <c r="G249" s="3"/>
      <c r="H249" s="3"/>
      <c r="I249" s="3"/>
      <c r="J249" s="3"/>
      <c r="K249" s="14"/>
    </row>
    <row r="250" spans="7:11">
      <c r="G250" s="3"/>
      <c r="H250" s="3"/>
      <c r="I250" s="3"/>
      <c r="J250" s="3"/>
      <c r="K250" s="14"/>
    </row>
    <row r="251" spans="7:11">
      <c r="G251" s="3"/>
      <c r="H251" s="3"/>
      <c r="I251" s="3"/>
      <c r="J251" s="3"/>
      <c r="K251" s="14"/>
    </row>
    <row r="252" spans="7:11">
      <c r="G252" s="3"/>
      <c r="H252" s="3"/>
      <c r="I252" s="3"/>
      <c r="J252" s="3"/>
      <c r="K252" s="14"/>
    </row>
    <row r="253" spans="7:11">
      <c r="G253" s="3"/>
      <c r="H253" s="3"/>
      <c r="I253" s="3"/>
      <c r="J253" s="3"/>
      <c r="K253" s="14"/>
    </row>
    <row r="254" spans="7:11">
      <c r="G254" s="3"/>
      <c r="H254" s="3"/>
      <c r="I254" s="3"/>
      <c r="J254" s="3"/>
      <c r="K254" s="14"/>
    </row>
    <row r="255" spans="7:11">
      <c r="G255" s="3"/>
      <c r="H255" s="3"/>
      <c r="I255" s="3"/>
      <c r="J255" s="3"/>
      <c r="K255" s="14"/>
    </row>
    <row r="256" spans="7:11">
      <c r="G256" s="3"/>
      <c r="H256" s="3"/>
      <c r="I256" s="3"/>
      <c r="J256" s="3"/>
      <c r="K256" s="14"/>
    </row>
    <row r="257" spans="7:11">
      <c r="G257" s="3"/>
      <c r="H257" s="3"/>
      <c r="I257" s="3"/>
      <c r="J257" s="3"/>
      <c r="K257" s="14"/>
    </row>
    <row r="258" spans="7:11">
      <c r="G258" s="3"/>
      <c r="H258" s="3"/>
      <c r="I258" s="3"/>
      <c r="J258" s="3"/>
      <c r="K258" s="14"/>
    </row>
    <row r="259" spans="7:11">
      <c r="G259" s="3"/>
      <c r="H259" s="3"/>
      <c r="I259" s="3"/>
      <c r="J259" s="3"/>
      <c r="K259" s="14"/>
    </row>
    <row r="260" spans="7:11">
      <c r="G260" s="3"/>
      <c r="H260" s="3"/>
      <c r="I260" s="3"/>
      <c r="J260" s="3"/>
      <c r="K260" s="14"/>
    </row>
    <row r="261" spans="7:11">
      <c r="G261" s="3"/>
      <c r="H261" s="3"/>
      <c r="I261" s="3"/>
      <c r="J261" s="3"/>
      <c r="K261" s="14"/>
    </row>
    <row r="262" spans="7:11">
      <c r="G262" s="3"/>
      <c r="H262" s="3"/>
      <c r="I262" s="3"/>
      <c r="J262" s="3"/>
      <c r="K262" s="14"/>
    </row>
    <row r="263" spans="7:11">
      <c r="G263" s="3"/>
      <c r="H263" s="3"/>
      <c r="I263" s="3"/>
      <c r="J263" s="3"/>
      <c r="K263" s="14"/>
    </row>
    <row r="264" spans="7:11">
      <c r="G264" s="3"/>
      <c r="H264" s="3"/>
      <c r="I264" s="3"/>
      <c r="J264" s="3"/>
      <c r="K264" s="14"/>
    </row>
    <row r="265" spans="7:11">
      <c r="G265" s="3"/>
      <c r="H265" s="3"/>
      <c r="I265" s="3"/>
      <c r="J265" s="3"/>
      <c r="K265" s="14"/>
    </row>
    <row r="266" spans="7:11">
      <c r="G266" s="3"/>
      <c r="H266" s="3"/>
      <c r="I266" s="3"/>
      <c r="J266" s="3"/>
      <c r="K266" s="14"/>
    </row>
    <row r="267" spans="7:11">
      <c r="G267" s="3"/>
      <c r="H267" s="3"/>
      <c r="I267" s="3"/>
      <c r="J267" s="3"/>
      <c r="K267" s="14"/>
    </row>
    <row r="268" spans="7:11">
      <c r="G268" s="3"/>
      <c r="H268" s="3"/>
      <c r="I268" s="3"/>
      <c r="J268" s="3"/>
      <c r="K268" s="14"/>
    </row>
    <row r="269" spans="7:11">
      <c r="G269" s="3"/>
      <c r="H269" s="3"/>
      <c r="I269" s="3"/>
      <c r="J269" s="3"/>
      <c r="K269" s="14"/>
    </row>
    <row r="270" spans="7:11">
      <c r="G270" s="3"/>
      <c r="H270" s="3"/>
      <c r="I270" s="3"/>
      <c r="J270" s="3"/>
      <c r="K270" s="14"/>
    </row>
    <row r="271" spans="7:11">
      <c r="G271" s="3"/>
      <c r="H271" s="3"/>
      <c r="I271" s="3"/>
      <c r="J271" s="3"/>
      <c r="K271" s="14"/>
    </row>
    <row r="272" spans="7:11">
      <c r="G272" s="3"/>
      <c r="H272" s="3"/>
      <c r="I272" s="3"/>
      <c r="J272" s="3"/>
      <c r="K272" s="14"/>
    </row>
    <row r="273" spans="7:11">
      <c r="G273" s="3"/>
      <c r="H273" s="3"/>
      <c r="I273" s="3"/>
      <c r="J273" s="3"/>
      <c r="K273" s="14"/>
    </row>
    <row r="274" spans="7:11">
      <c r="G274" s="3"/>
      <c r="H274" s="3"/>
      <c r="I274" s="3"/>
      <c r="J274" s="3"/>
      <c r="K274" s="14"/>
    </row>
    <row r="275" spans="7:11">
      <c r="G275" s="3"/>
      <c r="H275" s="3"/>
      <c r="I275" s="3"/>
      <c r="J275" s="3"/>
      <c r="K275" s="14"/>
    </row>
    <row r="276" spans="7:11">
      <c r="G276" s="3"/>
      <c r="H276" s="3"/>
      <c r="I276" s="3"/>
      <c r="J276" s="3"/>
      <c r="K276" s="14"/>
    </row>
    <row r="277" spans="7:11">
      <c r="G277" s="3"/>
      <c r="H277" s="3"/>
      <c r="I277" s="3"/>
      <c r="J277" s="3"/>
      <c r="K277" s="14"/>
    </row>
    <row r="278" spans="7:11">
      <c r="G278" s="3"/>
      <c r="H278" s="3"/>
      <c r="I278" s="3"/>
      <c r="J278" s="3"/>
      <c r="K278" s="14"/>
    </row>
    <row r="279" spans="7:11">
      <c r="G279" s="3"/>
      <c r="H279" s="3"/>
      <c r="I279" s="3"/>
      <c r="J279" s="3"/>
      <c r="K279" s="14"/>
    </row>
    <row r="280" spans="7:11">
      <c r="G280" s="3"/>
      <c r="H280" s="3"/>
      <c r="I280" s="3"/>
      <c r="J280" s="3"/>
      <c r="K280" s="14"/>
    </row>
    <row r="281" spans="7:11">
      <c r="G281" s="3"/>
      <c r="H281" s="3"/>
      <c r="I281" s="3"/>
      <c r="J281" s="3"/>
      <c r="K281" s="14"/>
    </row>
    <row r="282" spans="7:11">
      <c r="G282" s="3"/>
      <c r="H282" s="3"/>
      <c r="I282" s="3"/>
      <c r="J282" s="3"/>
      <c r="K282" s="14"/>
    </row>
    <row r="283" spans="7:11">
      <c r="G283" s="3"/>
      <c r="H283" s="3"/>
      <c r="I283" s="3"/>
      <c r="J283" s="3"/>
      <c r="K283" s="14"/>
    </row>
    <row r="284" spans="7:11">
      <c r="G284" s="3"/>
      <c r="H284" s="3"/>
      <c r="I284" s="3"/>
      <c r="J284" s="3"/>
      <c r="K284" s="14"/>
    </row>
    <row r="285" spans="7:11">
      <c r="G285" s="3"/>
      <c r="H285" s="3"/>
      <c r="I285" s="3"/>
      <c r="J285" s="3"/>
      <c r="K285" s="14"/>
    </row>
    <row r="286" spans="7:11">
      <c r="G286" s="3"/>
      <c r="H286" s="3"/>
      <c r="I286" s="3"/>
      <c r="J286" s="3"/>
      <c r="K286" s="14"/>
    </row>
    <row r="287" spans="7:11">
      <c r="G287" s="3"/>
      <c r="H287" s="3"/>
      <c r="I287" s="3"/>
      <c r="J287" s="3"/>
      <c r="K287" s="14"/>
    </row>
    <row r="288" spans="7:11">
      <c r="G288" s="3"/>
      <c r="H288" s="3"/>
      <c r="I288" s="3"/>
      <c r="J288" s="3"/>
      <c r="K288" s="14"/>
    </row>
    <row r="289" spans="7:11">
      <c r="G289" s="3"/>
      <c r="H289" s="3"/>
      <c r="I289" s="3"/>
      <c r="J289" s="3"/>
      <c r="K289" s="14"/>
    </row>
    <row r="290" spans="7:11">
      <c r="G290" s="3"/>
      <c r="H290" s="3"/>
      <c r="I290" s="3"/>
      <c r="J290" s="3"/>
      <c r="K290" s="14"/>
    </row>
    <row r="291" spans="7:11">
      <c r="G291" s="3"/>
      <c r="H291" s="3"/>
      <c r="I291" s="3"/>
      <c r="J291" s="3"/>
      <c r="K291" s="14"/>
    </row>
    <row r="292" spans="7:11">
      <c r="G292" s="3"/>
      <c r="H292" s="3"/>
      <c r="I292" s="3"/>
      <c r="J292" s="3"/>
      <c r="K292" s="14"/>
    </row>
    <row r="293" spans="7:11">
      <c r="G293" s="3"/>
      <c r="H293" s="3"/>
      <c r="I293" s="3"/>
      <c r="J293" s="3"/>
      <c r="K293" s="14"/>
    </row>
    <row r="294" spans="7:11">
      <c r="G294" s="3"/>
      <c r="H294" s="3"/>
      <c r="I294" s="3"/>
      <c r="J294" s="3"/>
      <c r="K294" s="14"/>
    </row>
    <row r="295" spans="7:11">
      <c r="G295" s="3"/>
      <c r="H295" s="3"/>
      <c r="I295" s="3"/>
      <c r="J295" s="3"/>
      <c r="K295" s="14"/>
    </row>
    <row r="296" spans="7:11">
      <c r="G296" s="3"/>
      <c r="H296" s="3"/>
      <c r="I296" s="3"/>
      <c r="J296" s="3"/>
      <c r="K296" s="14"/>
    </row>
    <row r="297" spans="7:11">
      <c r="G297" s="3"/>
      <c r="H297" s="3"/>
      <c r="I297" s="3"/>
      <c r="J297" s="3"/>
      <c r="K297" s="14"/>
    </row>
    <row r="298" spans="7:11">
      <c r="G298" s="3"/>
      <c r="H298" s="3"/>
      <c r="I298" s="3"/>
      <c r="J298" s="3"/>
      <c r="K298" s="14"/>
    </row>
    <row r="299" spans="7:11">
      <c r="G299" s="3"/>
      <c r="H299" s="3"/>
      <c r="I299" s="3"/>
      <c r="J299" s="3"/>
      <c r="K299" s="14"/>
    </row>
    <row r="300" spans="7:11">
      <c r="G300" s="3"/>
      <c r="H300" s="3"/>
      <c r="I300" s="3"/>
      <c r="J300" s="3"/>
      <c r="K300" s="14"/>
    </row>
    <row r="301" spans="7:11">
      <c r="G301" s="3"/>
      <c r="H301" s="3"/>
      <c r="I301" s="3"/>
      <c r="J301" s="3"/>
      <c r="K301" s="14"/>
    </row>
    <row r="302" spans="7:11">
      <c r="G302" s="3"/>
      <c r="H302" s="3"/>
      <c r="I302" s="3"/>
      <c r="J302" s="3"/>
      <c r="K302" s="14"/>
    </row>
    <row r="303" spans="7:11">
      <c r="G303" s="3"/>
      <c r="H303" s="3"/>
      <c r="I303" s="3"/>
      <c r="J303" s="3"/>
      <c r="K303" s="14"/>
    </row>
    <row r="304" spans="7:11">
      <c r="G304" s="3"/>
      <c r="H304" s="3"/>
      <c r="I304" s="3"/>
      <c r="J304" s="3"/>
      <c r="K304" s="14"/>
    </row>
    <row r="305" spans="7:11">
      <c r="G305" s="3"/>
      <c r="H305" s="3"/>
      <c r="I305" s="3"/>
      <c r="J305" s="3"/>
      <c r="K305" s="14"/>
    </row>
    <row r="306" spans="7:11">
      <c r="G306" s="3"/>
      <c r="H306" s="3"/>
      <c r="I306" s="3"/>
      <c r="J306" s="3"/>
      <c r="K306" s="14"/>
    </row>
    <row r="307" spans="7:11">
      <c r="G307" s="3"/>
      <c r="H307" s="3"/>
      <c r="I307" s="3"/>
      <c r="J307" s="3"/>
      <c r="K307" s="14"/>
    </row>
    <row r="308" spans="7:11">
      <c r="G308" s="3"/>
      <c r="H308" s="3"/>
      <c r="I308" s="3"/>
      <c r="J308" s="3"/>
      <c r="K308" s="14"/>
    </row>
    <row r="309" spans="7:11">
      <c r="G309" s="3"/>
      <c r="H309" s="3"/>
      <c r="I309" s="3"/>
      <c r="J309" s="3"/>
      <c r="K309" s="14"/>
    </row>
    <row r="310" spans="7:11">
      <c r="G310" s="3"/>
      <c r="H310" s="3"/>
      <c r="I310" s="3"/>
      <c r="J310" s="3"/>
      <c r="K310" s="14"/>
    </row>
    <row r="311" spans="7:11">
      <c r="G311" s="3"/>
      <c r="H311" s="3"/>
      <c r="I311" s="3"/>
      <c r="J311" s="3"/>
      <c r="K311" s="14"/>
    </row>
    <row r="312" spans="7:11">
      <c r="G312" s="3"/>
      <c r="H312" s="3"/>
      <c r="I312" s="3"/>
      <c r="J312" s="3"/>
      <c r="K312" s="14"/>
    </row>
    <row r="313" spans="7:11">
      <c r="G313" s="3"/>
      <c r="H313" s="3"/>
      <c r="I313" s="3"/>
      <c r="J313" s="3"/>
      <c r="K313" s="14"/>
    </row>
    <row r="314" spans="7:11">
      <c r="G314" s="3"/>
      <c r="H314" s="3"/>
      <c r="I314" s="3"/>
      <c r="J314" s="3"/>
      <c r="K314" s="14"/>
    </row>
    <row r="315" spans="7:11">
      <c r="G315" s="3"/>
      <c r="H315" s="3"/>
      <c r="I315" s="3"/>
      <c r="J315" s="3"/>
      <c r="K315" s="14"/>
    </row>
    <row r="316" spans="7:11">
      <c r="G316" s="3"/>
      <c r="H316" s="3"/>
      <c r="I316" s="3"/>
      <c r="J316" s="3"/>
      <c r="K316" s="14"/>
    </row>
    <row r="317" spans="7:11">
      <c r="G317" s="3"/>
      <c r="H317" s="3"/>
      <c r="I317" s="3"/>
      <c r="J317" s="3"/>
      <c r="K317" s="14"/>
    </row>
    <row r="318" spans="7:11">
      <c r="G318" s="3"/>
      <c r="H318" s="3"/>
      <c r="I318" s="3"/>
      <c r="J318" s="3"/>
      <c r="K318" s="14"/>
    </row>
    <row r="319" spans="7:11">
      <c r="G319" s="3"/>
      <c r="H319" s="3"/>
      <c r="I319" s="3"/>
      <c r="J319" s="3"/>
      <c r="K319" s="14"/>
    </row>
    <row r="320" spans="7:11">
      <c r="G320" s="3"/>
      <c r="H320" s="3"/>
      <c r="I320" s="3"/>
      <c r="J320" s="3"/>
      <c r="K320" s="14"/>
    </row>
    <row r="321" spans="7:11">
      <c r="G321" s="3"/>
      <c r="H321" s="3"/>
      <c r="I321" s="3"/>
      <c r="J321" s="3"/>
      <c r="K321" s="14"/>
    </row>
    <row r="322" spans="7:11">
      <c r="G322" s="3"/>
      <c r="H322" s="3"/>
      <c r="I322" s="3"/>
      <c r="J322" s="3"/>
      <c r="K322" s="14"/>
    </row>
    <row r="323" spans="7:11">
      <c r="G323" s="3"/>
      <c r="H323" s="3"/>
      <c r="I323" s="3"/>
      <c r="J323" s="3"/>
      <c r="K323" s="14"/>
    </row>
    <row r="324" spans="7:11">
      <c r="G324" s="3"/>
      <c r="H324" s="3"/>
      <c r="I324" s="3"/>
      <c r="J324" s="3"/>
      <c r="K324" s="14"/>
    </row>
    <row r="325" spans="7:11">
      <c r="G325" s="3"/>
      <c r="H325" s="3"/>
      <c r="I325" s="3"/>
      <c r="J325" s="3"/>
      <c r="K325" s="14"/>
    </row>
    <row r="326" spans="7:11">
      <c r="G326" s="3"/>
      <c r="H326" s="3"/>
      <c r="I326" s="3"/>
      <c r="J326" s="3"/>
      <c r="K326" s="14"/>
    </row>
    <row r="327" spans="7:11">
      <c r="G327" s="3"/>
      <c r="H327" s="3"/>
      <c r="I327" s="3"/>
      <c r="J327" s="3"/>
      <c r="K327" s="14"/>
    </row>
    <row r="328" spans="7:11">
      <c r="G328" s="3"/>
      <c r="H328" s="3"/>
      <c r="I328" s="3"/>
      <c r="J328" s="3"/>
      <c r="K328" s="14"/>
    </row>
    <row r="329" spans="7:11">
      <c r="G329" s="3"/>
      <c r="H329" s="3"/>
      <c r="I329" s="3"/>
      <c r="J329" s="3"/>
      <c r="K329" s="14"/>
    </row>
    <row r="330" spans="7:11">
      <c r="G330" s="3"/>
      <c r="H330" s="3"/>
      <c r="I330" s="3"/>
      <c r="J330" s="3"/>
      <c r="K330" s="14"/>
    </row>
    <row r="331" spans="7:11">
      <c r="G331" s="3"/>
      <c r="H331" s="3"/>
      <c r="I331" s="3"/>
      <c r="J331" s="3"/>
      <c r="K331" s="14"/>
    </row>
    <row r="332" spans="7:11">
      <c r="G332" s="3"/>
      <c r="H332" s="3"/>
      <c r="I332" s="3"/>
      <c r="J332" s="3"/>
      <c r="K332" s="14"/>
    </row>
    <row r="333" spans="7:11">
      <c r="G333" s="3"/>
      <c r="H333" s="3"/>
      <c r="I333" s="3"/>
      <c r="J333" s="3"/>
      <c r="K333" s="14"/>
    </row>
    <row r="334" spans="7:11">
      <c r="G334" s="3"/>
      <c r="H334" s="3"/>
      <c r="I334" s="3"/>
      <c r="J334" s="3"/>
      <c r="K334" s="14"/>
    </row>
    <row r="335" spans="7:11">
      <c r="G335" s="3"/>
      <c r="H335" s="3"/>
      <c r="I335" s="3"/>
      <c r="J335" s="3"/>
      <c r="K335" s="14"/>
    </row>
    <row r="336" spans="7:11">
      <c r="G336" s="3"/>
      <c r="H336" s="3"/>
      <c r="I336" s="3"/>
      <c r="J336" s="3"/>
      <c r="K336" s="14"/>
    </row>
    <row r="337" spans="7:11">
      <c r="G337" s="3"/>
      <c r="H337" s="3"/>
      <c r="I337" s="3"/>
      <c r="J337" s="3"/>
      <c r="K337" s="14"/>
    </row>
    <row r="338" spans="7:11">
      <c r="G338" s="3"/>
      <c r="H338" s="3"/>
      <c r="I338" s="3"/>
      <c r="J338" s="3"/>
      <c r="K338" s="14"/>
    </row>
    <row r="339" spans="7:11">
      <c r="G339" s="3"/>
      <c r="H339" s="3"/>
      <c r="I339" s="3"/>
      <c r="J339" s="3"/>
      <c r="K339" s="14"/>
    </row>
    <row r="340" spans="7:11">
      <c r="G340" s="3"/>
      <c r="H340" s="3"/>
      <c r="I340" s="3"/>
      <c r="J340" s="3"/>
      <c r="K340" s="14"/>
    </row>
    <row r="341" spans="7:11">
      <c r="G341" s="3"/>
      <c r="H341" s="3"/>
      <c r="I341" s="3"/>
      <c r="J341" s="3"/>
      <c r="K341" s="14"/>
    </row>
    <row r="342" spans="7:11">
      <c r="G342" s="3"/>
      <c r="H342" s="3"/>
      <c r="I342" s="3"/>
      <c r="J342" s="3"/>
      <c r="K342" s="14"/>
    </row>
    <row r="343" spans="7:11">
      <c r="G343" s="3"/>
      <c r="H343" s="3"/>
      <c r="I343" s="3"/>
      <c r="J343" s="3"/>
      <c r="K343" s="14"/>
    </row>
    <row r="344" spans="7:11">
      <c r="G344" s="3"/>
      <c r="H344" s="3"/>
      <c r="I344" s="3"/>
      <c r="J344" s="3"/>
      <c r="K344" s="14"/>
    </row>
    <row r="345" spans="7:11">
      <c r="G345" s="3"/>
      <c r="H345" s="3"/>
      <c r="I345" s="3"/>
      <c r="J345" s="3"/>
      <c r="K345" s="14"/>
    </row>
    <row r="346" spans="7:11">
      <c r="G346" s="3"/>
      <c r="H346" s="3"/>
      <c r="I346" s="3"/>
      <c r="J346" s="3"/>
      <c r="K346" s="14"/>
    </row>
    <row r="347" spans="7:11">
      <c r="G347" s="3"/>
      <c r="H347" s="3"/>
      <c r="I347" s="3"/>
      <c r="J347" s="3"/>
      <c r="K347" s="14"/>
    </row>
    <row r="348" spans="7:11">
      <c r="G348" s="3"/>
      <c r="H348" s="3"/>
      <c r="I348" s="3"/>
      <c r="J348" s="3"/>
      <c r="K348" s="14"/>
    </row>
    <row r="349" spans="7:11">
      <c r="G349" s="3"/>
      <c r="H349" s="3"/>
      <c r="I349" s="3"/>
      <c r="J349" s="3"/>
      <c r="K349" s="14"/>
    </row>
    <row r="350" spans="7:11">
      <c r="G350" s="3"/>
      <c r="H350" s="3"/>
      <c r="I350" s="3"/>
      <c r="J350" s="3"/>
      <c r="K350" s="14"/>
    </row>
    <row r="351" spans="7:11">
      <c r="G351" s="3"/>
      <c r="H351" s="3"/>
      <c r="I351" s="3"/>
      <c r="J351" s="3"/>
      <c r="K351" s="14"/>
    </row>
    <row r="352" spans="7:11">
      <c r="G352" s="3"/>
      <c r="H352" s="3"/>
      <c r="I352" s="3"/>
      <c r="J352" s="3"/>
      <c r="K352" s="14"/>
    </row>
    <row r="353" spans="7:11">
      <c r="G353" s="3"/>
      <c r="H353" s="3"/>
      <c r="I353" s="3"/>
      <c r="J353" s="3"/>
      <c r="K353" s="14"/>
    </row>
    <row r="354" spans="7:11">
      <c r="G354" s="3"/>
      <c r="H354" s="3"/>
      <c r="I354" s="3"/>
      <c r="J354" s="3"/>
      <c r="K354" s="14"/>
    </row>
    <row r="355" spans="7:11">
      <c r="G355" s="3"/>
      <c r="H355" s="3"/>
      <c r="I355" s="3"/>
      <c r="J355" s="3"/>
      <c r="K355" s="14"/>
    </row>
    <row r="356" spans="7:11">
      <c r="G356" s="3"/>
      <c r="H356" s="3"/>
      <c r="I356" s="3"/>
      <c r="J356" s="3"/>
      <c r="K356" s="14"/>
    </row>
    <row r="357" spans="7:11">
      <c r="G357" s="3"/>
      <c r="H357" s="3"/>
      <c r="I357" s="3"/>
      <c r="J357" s="3"/>
      <c r="K357" s="14"/>
    </row>
    <row r="358" spans="7:11">
      <c r="G358" s="3"/>
      <c r="H358" s="3"/>
      <c r="I358" s="3"/>
      <c r="J358" s="3"/>
      <c r="K358" s="14"/>
    </row>
    <row r="359" spans="7:11">
      <c r="G359" s="3"/>
      <c r="H359" s="3"/>
      <c r="I359" s="3"/>
      <c r="J359" s="3"/>
      <c r="K359" s="14"/>
    </row>
    <row r="360" spans="7:11">
      <c r="G360" s="3"/>
      <c r="H360" s="3"/>
      <c r="I360" s="3"/>
      <c r="J360" s="3"/>
      <c r="K360" s="14"/>
    </row>
    <row r="361" spans="7:11">
      <c r="G361" s="3"/>
      <c r="H361" s="3"/>
      <c r="I361" s="3"/>
      <c r="J361" s="3"/>
      <c r="K361" s="14"/>
    </row>
    <row r="362" spans="7:11">
      <c r="G362" s="3"/>
      <c r="H362" s="3"/>
      <c r="I362" s="3"/>
      <c r="J362" s="3"/>
      <c r="K362" s="14"/>
    </row>
    <row r="363" spans="7:11">
      <c r="G363" s="3"/>
      <c r="H363" s="3"/>
      <c r="I363" s="3"/>
      <c r="J363" s="3"/>
      <c r="K363" s="14"/>
    </row>
    <row r="364" spans="7:11">
      <c r="G364" s="3"/>
      <c r="H364" s="3"/>
      <c r="I364" s="3"/>
      <c r="J364" s="3"/>
      <c r="K364" s="14"/>
    </row>
    <row r="365" spans="7:11">
      <c r="G365" s="3"/>
      <c r="H365" s="3"/>
      <c r="I365" s="3"/>
      <c r="J365" s="3"/>
      <c r="K365" s="14"/>
    </row>
    <row r="366" spans="7:11">
      <c r="G366" s="3"/>
      <c r="H366" s="3"/>
      <c r="I366" s="3"/>
      <c r="J366" s="3"/>
      <c r="K366" s="14"/>
    </row>
    <row r="367" spans="7:11">
      <c r="G367" s="3"/>
      <c r="H367" s="3"/>
      <c r="I367" s="3"/>
      <c r="J367" s="3"/>
      <c r="K367" s="14"/>
    </row>
    <row r="368" spans="7:11">
      <c r="G368" s="3"/>
      <c r="H368" s="3"/>
      <c r="I368" s="3"/>
      <c r="J368" s="3"/>
      <c r="K368" s="14"/>
    </row>
    <row r="369" spans="7:11">
      <c r="G369" s="3"/>
      <c r="H369" s="3"/>
      <c r="I369" s="3"/>
      <c r="J369" s="3"/>
      <c r="K369" s="14"/>
    </row>
    <row r="370" spans="7:11">
      <c r="G370" s="3"/>
      <c r="H370" s="3"/>
      <c r="I370" s="3"/>
      <c r="J370" s="3"/>
      <c r="K370" s="14"/>
    </row>
    <row r="371" spans="7:11">
      <c r="G371" s="3"/>
      <c r="H371" s="3"/>
      <c r="I371" s="3"/>
      <c r="J371" s="3"/>
      <c r="K371" s="14"/>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Q123"/>
  <sheetViews>
    <sheetView zoomScale="85" zoomScaleNormal="85" workbookViewId="0">
      <selection sqref="A1:XFD1048576"/>
    </sheetView>
  </sheetViews>
  <sheetFormatPr defaultRowHeight="15"/>
  <cols>
    <col min="2" max="2" width="23" bestFit="1" customWidth="1"/>
    <col min="3" max="3" width="8.42578125" bestFit="1" customWidth="1"/>
    <col min="4" max="4" width="14.7109375" bestFit="1" customWidth="1"/>
    <col min="5" max="5" width="20.7109375" bestFit="1" customWidth="1"/>
    <col min="6" max="6" width="20.5703125" bestFit="1" customWidth="1"/>
    <col min="7" max="7" width="20.7109375" bestFit="1" customWidth="1"/>
    <col min="8" max="8" width="23" bestFit="1" customWidth="1"/>
    <col min="11" max="11" width="23" bestFit="1" customWidth="1"/>
    <col min="12" max="12" width="8.42578125" bestFit="1" customWidth="1"/>
    <col min="13" max="13" width="14.7109375" bestFit="1" customWidth="1"/>
    <col min="14" max="14" width="20.7109375" bestFit="1" customWidth="1"/>
    <col min="15" max="15" width="20.5703125" bestFit="1" customWidth="1"/>
    <col min="16" max="16" width="20.7109375" bestFit="1" customWidth="1"/>
    <col min="17" max="17" width="23" bestFit="1" customWidth="1"/>
  </cols>
  <sheetData>
    <row r="2" spans="2:17">
      <c r="E2" t="s">
        <v>449</v>
      </c>
      <c r="F2" t="s">
        <v>450</v>
      </c>
      <c r="G2" t="s">
        <v>451</v>
      </c>
      <c r="H2" t="s">
        <v>452</v>
      </c>
      <c r="N2" t="s">
        <v>449</v>
      </c>
      <c r="O2" t="s">
        <v>450</v>
      </c>
      <c r="P2" t="s">
        <v>451</v>
      </c>
      <c r="Q2" t="s">
        <v>452</v>
      </c>
    </row>
    <row r="4" spans="2:17">
      <c r="D4" s="11" t="s">
        <v>422</v>
      </c>
      <c r="M4" s="11" t="s">
        <v>422</v>
      </c>
    </row>
    <row r="5" spans="2:17">
      <c r="B5" s="317" t="s">
        <v>365</v>
      </c>
      <c r="C5" s="317" t="s">
        <v>364</v>
      </c>
      <c r="D5" s="317" t="s">
        <v>453</v>
      </c>
      <c r="E5" s="317" t="str">
        <f>"FLO_EMIS~"&amp;"WAS"&amp;E$2&amp;"P"</f>
        <v>FLO_EMIS~WASCO2P</v>
      </c>
      <c r="F5" s="317" t="str">
        <f>"FLO_EMIS~"&amp;"WAS"&amp;F$2&amp;"P"</f>
        <v>FLO_EMIS~WASCH4P</v>
      </c>
      <c r="G5" s="317" t="str">
        <f>"FLO_EMIS~"&amp;"WAS"&amp;G$2&amp;"P"</f>
        <v>FLO_EMIS~WASN2OP</v>
      </c>
      <c r="H5" s="317" t="str">
        <f>"FLO_EMIS~"&amp;"WAS"&amp;H$2&amp;"P"</f>
        <v>FLO_EMIS~WASCO2eP</v>
      </c>
      <c r="K5" s="317" t="s">
        <v>365</v>
      </c>
      <c r="L5" s="317" t="s">
        <v>364</v>
      </c>
      <c r="M5" s="317" t="s">
        <v>453</v>
      </c>
      <c r="N5" s="317" t="str">
        <f>"FLO_EMIS~"&amp;"WAS"&amp;N$2&amp;"P"</f>
        <v>FLO_EMIS~WASCO2P</v>
      </c>
      <c r="O5" s="317" t="str">
        <f>"FLO_EMIS~"&amp;"WAS"&amp;O$2&amp;"P"</f>
        <v>FLO_EMIS~WASCH4P</v>
      </c>
      <c r="P5" s="317" t="str">
        <f>"FLO_EMIS~"&amp;"WAS"&amp;P$2&amp;"P"</f>
        <v>FLO_EMIS~WASN2OP</v>
      </c>
      <c r="Q5" s="317" t="str">
        <f>"FLO_EMIS~"&amp;"WAS"&amp;Q$2&amp;"P"</f>
        <v>FLO_EMIS~WASCO2eP</v>
      </c>
    </row>
    <row r="6" spans="2:17" ht="15" customHeight="1" thickBot="1">
      <c r="B6" s="13" t="s">
        <v>307</v>
      </c>
      <c r="C6" s="13"/>
      <c r="D6" s="13"/>
      <c r="E6" s="13"/>
      <c r="F6" s="13"/>
      <c r="G6" s="13"/>
      <c r="H6" s="13"/>
      <c r="K6" s="13" t="s">
        <v>307</v>
      </c>
      <c r="L6" s="13"/>
      <c r="M6" s="13"/>
      <c r="N6" s="13"/>
      <c r="O6" s="13"/>
      <c r="P6" s="13"/>
      <c r="Q6" s="13"/>
    </row>
    <row r="7" spans="2:17">
      <c r="B7" s="15" t="str">
        <f t="array" ref="B7:B46">_xlfn.UNIQUE('WAS RESID'!K2:K93)</f>
        <v>WASSOLPAPCMP19</v>
      </c>
      <c r="C7" s="15" t="s">
        <v>381</v>
      </c>
      <c r="D7" t="s">
        <v>454</v>
      </c>
      <c r="E7" s="3">
        <f>IF(_xlfn.XLOOKUP(B7,'WAS RESID'!K:K,'WAS RESID'!U:U)&lt;0,0,(_xlfn.XLOOKUP(B7,'WAS RESID'!K:K,'WAS RESID'!U:U)))</f>
        <v>0</v>
      </c>
      <c r="F7" s="3">
        <f>IF(_xlfn.XLOOKUP(B7,'WAS RESID'!K:K,'WAS RESID'!T:T)&lt;0,0,(_xlfn.XLOOKUP(B7,'WAS RESID'!K:K,'WAS RESID'!T:T)))</f>
        <v>0.59045558551175448</v>
      </c>
      <c r="G7" s="3">
        <f>IF(_xlfn.XLOOKUP(B7,'WAS RESID'!K:K,'WAS RESID'!V:V)&lt;0,0,(_xlfn.XLOOKUP(B7,'WAS RESID'!K:K,'WAS RESID'!V:V)))</f>
        <v>1.1231422514723571E-2</v>
      </c>
      <c r="H7" s="3">
        <f>E7+F7*'Emission Factors Hub'!$E$8+G7*'Emission Factors Hub'!$E$9</f>
        <v>18.108353547181487</v>
      </c>
      <c r="K7" s="15" t="str">
        <f t="array" ref="K7:K26">_xlfn.UNIQUE('WAS RESID'!K114:K149)</f>
        <v>WASSOLADGVEN19</v>
      </c>
      <c r="L7" s="15" t="s">
        <v>381</v>
      </c>
      <c r="M7" t="s">
        <v>454</v>
      </c>
      <c r="N7" s="3">
        <f>_xlfn.XLOOKUP(K7,'WAS RESID'!K:K,'WAS RESID'!V:V)</f>
        <v>0</v>
      </c>
      <c r="O7" s="3">
        <f>_xlfn.XLOOKUP(K7,'WAS RESID'!K:K,'WAS RESID'!U:U)</f>
        <v>17.42705570291777</v>
      </c>
      <c r="P7" s="3">
        <f>_xlfn.XLOOKUP(K7,'WAS RESID'!K:K,'WAS RESID'!W:W)</f>
        <v>0</v>
      </c>
      <c r="Q7" s="3">
        <f>N7+O7*'Emission Factors Hub'!$E$8+P7*'Emission Factors Hub'!$E$9</f>
        <v>435.67639257294422</v>
      </c>
    </row>
    <row r="8" spans="2:17">
      <c r="B8" t="str">
        <v>WASSOLGLACMP19</v>
      </c>
      <c r="C8" s="15" t="s">
        <v>381</v>
      </c>
      <c r="D8" t="s">
        <v>454</v>
      </c>
      <c r="E8" s="3">
        <f>IF(_xlfn.XLOOKUP(B8,'WAS RESID'!K:K,'WAS RESID'!U:U)&lt;0,0,(_xlfn.XLOOKUP(B8,'WAS RESID'!K:K,'WAS RESID'!U:U)))</f>
        <v>0</v>
      </c>
      <c r="F8" s="3">
        <f>IF(_xlfn.XLOOKUP(B8,'WAS RESID'!K:K,'WAS RESID'!T:T)&lt;0,0,(_xlfn.XLOOKUP(B8,'WAS RESID'!K:K,'WAS RESID'!T:T)))</f>
        <v>0</v>
      </c>
      <c r="G8" s="3">
        <f>IF(_xlfn.XLOOKUP(B8,'WAS RESID'!K:K,'WAS RESID'!V:V)&lt;0,0,(_xlfn.XLOOKUP(B8,'WAS RESID'!K:K,'WAS RESID'!V:V)))</f>
        <v>0</v>
      </c>
      <c r="H8" s="3">
        <f>E8+F8*'Emission Factors Hub'!$E$8+G8*'Emission Factors Hub'!$E$9</f>
        <v>0</v>
      </c>
      <c r="K8" t="str">
        <v>WASSOLADGFLA19</v>
      </c>
      <c r="L8" s="15" t="s">
        <v>381</v>
      </c>
      <c r="M8" t="s">
        <v>454</v>
      </c>
      <c r="N8" s="3">
        <f>_xlfn.XLOOKUP(K8,'WAS RESID'!K:K,'WAS RESID'!V:V)</f>
        <v>0</v>
      </c>
      <c r="O8" s="3">
        <f>_xlfn.XLOOKUP(K8,'WAS RESID'!K:K,'WAS RESID'!U:U)</f>
        <v>0.1742705570291779</v>
      </c>
      <c r="P8" s="3">
        <f>_xlfn.XLOOKUP(K8,'WAS RESID'!K:K,'WAS RESID'!W:W)</f>
        <v>0</v>
      </c>
      <c r="Q8" s="3">
        <f>N8+O8*'Emission Factors Hub'!$E$8+P8*'Emission Factors Hub'!$E$9</f>
        <v>4.3567639257294477</v>
      </c>
    </row>
    <row r="9" spans="2:17">
      <c r="B9" t="str">
        <v>WASSOLMETCMP19</v>
      </c>
      <c r="C9" s="15" t="s">
        <v>381</v>
      </c>
      <c r="D9" t="s">
        <v>454</v>
      </c>
      <c r="E9" s="3">
        <f>IF(_xlfn.XLOOKUP(B9,'WAS RESID'!K:K,'WAS RESID'!U:U)&lt;0,0,(_xlfn.XLOOKUP(B9,'WAS RESID'!K:K,'WAS RESID'!U:U)))</f>
        <v>0</v>
      </c>
      <c r="F9" s="3">
        <f>IF(_xlfn.XLOOKUP(B9,'WAS RESID'!K:K,'WAS RESID'!T:T)&lt;0,0,(_xlfn.XLOOKUP(B9,'WAS RESID'!K:K,'WAS RESID'!T:T)))</f>
        <v>0</v>
      </c>
      <c r="G9" s="3">
        <f>IF(_xlfn.XLOOKUP(B9,'WAS RESID'!K:K,'WAS RESID'!V:V)&lt;0,0,(_xlfn.XLOOKUP(B9,'WAS RESID'!K:K,'WAS RESID'!V:V)))</f>
        <v>7.6625932637074037E-3</v>
      </c>
      <c r="H9" s="3">
        <f>E9+F9*'Emission Factors Hub'!$E$8+G9*'Emission Factors Hub'!$E$9</f>
        <v>2.2834527925848063</v>
      </c>
      <c r="K9" t="str">
        <v>WASSOLADGCOG19</v>
      </c>
      <c r="L9" s="15" t="s">
        <v>381</v>
      </c>
      <c r="M9" t="s">
        <v>454</v>
      </c>
      <c r="N9" s="3">
        <f>_xlfn.XLOOKUP(K9,'WAS RESID'!K:K,'WAS RESID'!V:V)</f>
        <v>0</v>
      </c>
      <c r="O9" s="3">
        <f>_xlfn.XLOOKUP(K9,'WAS RESID'!K:K,'WAS RESID'!U:U)</f>
        <v>0.2178381962864723</v>
      </c>
      <c r="P9" s="3">
        <f>_xlfn.XLOOKUP(K9,'WAS RESID'!K:K,'WAS RESID'!W:W)</f>
        <v>0</v>
      </c>
      <c r="Q9" s="3">
        <f>N9+O9*'Emission Factors Hub'!$E$8+P9*'Emission Factors Hub'!$E$9</f>
        <v>5.4459549071618074</v>
      </c>
    </row>
    <row r="10" spans="2:17">
      <c r="B10" t="str">
        <v>WASSOLPLACMP19</v>
      </c>
      <c r="C10" s="15" t="s">
        <v>381</v>
      </c>
      <c r="D10" t="s">
        <v>454</v>
      </c>
      <c r="E10" s="3">
        <f>IF(_xlfn.XLOOKUP(B10,'WAS RESID'!K:K,'WAS RESID'!U:U)&lt;0,0,(_xlfn.XLOOKUP(B10,'WAS RESID'!K:K,'WAS RESID'!U:U)))</f>
        <v>0</v>
      </c>
      <c r="F10" s="3">
        <f>IF(_xlfn.XLOOKUP(B10,'WAS RESID'!K:K,'WAS RESID'!T:T)&lt;0,0,(_xlfn.XLOOKUP(B10,'WAS RESID'!K:K,'WAS RESID'!T:T)))</f>
        <v>0</v>
      </c>
      <c r="G10" s="3">
        <f>IF(_xlfn.XLOOKUP(B10,'WAS RESID'!K:K,'WAS RESID'!V:V)&lt;0,0,(_xlfn.XLOOKUP(B10,'WAS RESID'!K:K,'WAS RESID'!V:V)))</f>
        <v>4.8992718185738159E-2</v>
      </c>
      <c r="H10" s="3">
        <f>E10+F10*'Emission Factors Hub'!$E$8+G10*'Emission Factors Hub'!$E$9</f>
        <v>14.599830019349971</v>
      </c>
      <c r="K10" t="str">
        <v>WASSOLADGPOW19</v>
      </c>
      <c r="L10" s="15" t="s">
        <v>381</v>
      </c>
      <c r="M10" t="s">
        <v>454</v>
      </c>
      <c r="N10" s="3">
        <f>_xlfn.XLOOKUP(K10,'WAS RESID'!K:K,'WAS RESID'!V:V)</f>
        <v>0</v>
      </c>
      <c r="O10" s="3">
        <f>_xlfn.XLOOKUP(K10,'WAS RESID'!K:K,'WAS RESID'!U:U)</f>
        <v>0.49791587722622249</v>
      </c>
      <c r="P10" s="3">
        <f>_xlfn.XLOOKUP(K10,'WAS RESID'!K:K,'WAS RESID'!W:W)</f>
        <v>0</v>
      </c>
      <c r="Q10" s="3">
        <f>N10+O10*'Emission Factors Hub'!$E$8+P10*'Emission Factors Hub'!$E$9</f>
        <v>12.447896930655562</v>
      </c>
    </row>
    <row r="11" spans="2:17">
      <c r="B11" t="str">
        <v>WASSOLFOOCMP19</v>
      </c>
      <c r="C11" s="15" t="s">
        <v>381</v>
      </c>
      <c r="D11" t="s">
        <v>454</v>
      </c>
      <c r="E11" s="3">
        <f>IF(_xlfn.XLOOKUP(B11,'WAS RESID'!K:K,'WAS RESID'!U:U)&lt;0,0,(_xlfn.XLOOKUP(B11,'WAS RESID'!K:K,'WAS RESID'!U:U)))</f>
        <v>0</v>
      </c>
      <c r="F11" s="3">
        <f>IF(_xlfn.XLOOKUP(B11,'WAS RESID'!K:K,'WAS RESID'!T:T)&lt;0,0,(_xlfn.XLOOKUP(B11,'WAS RESID'!K:K,'WAS RESID'!T:T)))</f>
        <v>1.9885476640467299</v>
      </c>
      <c r="G11" s="3">
        <f>IF(_xlfn.XLOOKUP(B11,'WAS RESID'!K:K,'WAS RESID'!V:V)&lt;0,0,(_xlfn.XLOOKUP(B11,'WAS RESID'!K:K,'WAS RESID'!V:V)))</f>
        <v>0.2298751941847397</v>
      </c>
      <c r="H11" s="3">
        <f>E11+F11*'Emission Factors Hub'!$E$8+G11*'Emission Factors Hub'!$E$9</f>
        <v>118.21649946822068</v>
      </c>
      <c r="K11" t="str">
        <v>WASSOLADGPUR19</v>
      </c>
      <c r="L11" s="15" t="s">
        <v>381</v>
      </c>
      <c r="M11" t="s">
        <v>454</v>
      </c>
      <c r="N11" s="3">
        <f>_xlfn.XLOOKUP(K11,'WAS RESID'!K:K,'WAS RESID'!V:V)</f>
        <v>0</v>
      </c>
      <c r="O11" s="3">
        <f>_xlfn.XLOOKUP(K11,'WAS RESID'!K:K,'WAS RESID'!U:U)</f>
        <v>0.1742705570291779</v>
      </c>
      <c r="P11" s="3">
        <f>_xlfn.XLOOKUP(K11,'WAS RESID'!K:K,'WAS RESID'!W:W)</f>
        <v>0</v>
      </c>
      <c r="Q11" s="3">
        <f>N11+O11*'Emission Factors Hub'!$E$8+P11*'Emission Factors Hub'!$E$9</f>
        <v>4.3567639257294477</v>
      </c>
    </row>
    <row r="12" spans="2:17">
      <c r="B12" t="str">
        <v>WASSOLYARCMP19</v>
      </c>
      <c r="C12" s="15" t="s">
        <v>381</v>
      </c>
      <c r="D12" t="s">
        <v>454</v>
      </c>
      <c r="E12" s="3">
        <f>IF(_xlfn.XLOOKUP(B12,'WAS RESID'!K:K,'WAS RESID'!U:U)&lt;0,0,(_xlfn.XLOOKUP(B12,'WAS RESID'!K:K,'WAS RESID'!U:U)))</f>
        <v>0</v>
      </c>
      <c r="F12" s="3">
        <f>IF(_xlfn.XLOOKUP(B12,'WAS RESID'!K:K,'WAS RESID'!T:T)&lt;0,0,(_xlfn.XLOOKUP(B12,'WAS RESID'!K:K,'WAS RESID'!T:T)))</f>
        <v>1.969548000370138</v>
      </c>
      <c r="G12" s="3">
        <f>IF(_xlfn.XLOOKUP(B12,'WAS RESID'!K:K,'WAS RESID'!V:V)&lt;0,0,(_xlfn.XLOOKUP(B12,'WAS RESID'!K:K,'WAS RESID'!V:V)))</f>
        <v>0.25580030155448352</v>
      </c>
      <c r="H12" s="3">
        <f>E12+F12*'Emission Factors Hub'!$E$8+G12*'Emission Factors Hub'!$E$9</f>
        <v>125.46718987248954</v>
      </c>
      <c r="K12" t="str">
        <v>WASSOLLDFVEN19</v>
      </c>
      <c r="L12" s="15" t="s">
        <v>381</v>
      </c>
      <c r="M12" t="s">
        <v>454</v>
      </c>
      <c r="N12" s="3">
        <f>_xlfn.XLOOKUP(K12,'WAS RESID'!K:K,'WAS RESID'!V:V)</f>
        <v>0</v>
      </c>
      <c r="O12" s="3">
        <f>_xlfn.XLOOKUP(K12,'WAS RESID'!K:K,'WAS RESID'!U:U)</f>
        <v>17.42705570291777</v>
      </c>
      <c r="P12" s="3">
        <f>_xlfn.XLOOKUP(K12,'WAS RESID'!K:K,'WAS RESID'!W:W)</f>
        <v>0</v>
      </c>
      <c r="Q12" s="3">
        <f>N12+O12*'Emission Factors Hub'!$E$8+P12*'Emission Factors Hub'!$E$9</f>
        <v>435.67639257294422</v>
      </c>
    </row>
    <row r="13" spans="2:17">
      <c r="B13" s="319" t="str">
        <v>WASSOLAOTCMP19</v>
      </c>
      <c r="C13" s="323" t="s">
        <v>381</v>
      </c>
      <c r="D13" s="319" t="s">
        <v>454</v>
      </c>
      <c r="E13" s="320">
        <f>IF(_xlfn.XLOOKUP(B13,'WAS RESID'!K:K,'WAS RESID'!U:U)&lt;0,0,(_xlfn.XLOOKUP(B13,'WAS RESID'!K:K,'WAS RESID'!U:U)))</f>
        <v>0</v>
      </c>
      <c r="F13" s="320">
        <f>IF(_xlfn.XLOOKUP(B13,'WAS RESID'!K:K,'WAS RESID'!T:T)&lt;0,0,(_xlfn.XLOOKUP(B13,'WAS RESID'!K:K,'WAS RESID'!T:T)))</f>
        <v>0</v>
      </c>
      <c r="G13" s="320">
        <f>IF(_xlfn.XLOOKUP(B13,'WAS RESID'!K:K,'WAS RESID'!V:V)&lt;0,0,(_xlfn.XLOOKUP(B13,'WAS RESID'!K:K,'WAS RESID'!V:V)))</f>
        <v>9.4419338793118063E-2</v>
      </c>
      <c r="H13" s="320">
        <f>E13+F13*'Emission Factors Hub'!$E$8+G13*'Emission Factors Hub'!$E$9</f>
        <v>28.136962960349184</v>
      </c>
      <c r="K13" t="str">
        <v>WASSOLLDFFLA19</v>
      </c>
      <c r="L13" s="15" t="s">
        <v>381</v>
      </c>
      <c r="M13" t="s">
        <v>454</v>
      </c>
      <c r="N13" s="3">
        <f>_xlfn.XLOOKUP(K13,'WAS RESID'!K:K,'WAS RESID'!V:V)</f>
        <v>0</v>
      </c>
      <c r="O13" s="3">
        <f>_xlfn.XLOOKUP(K13,'WAS RESID'!K:K,'WAS RESID'!U:U)</f>
        <v>0.1742705570291779</v>
      </c>
      <c r="P13" s="3">
        <f>_xlfn.XLOOKUP(K13,'WAS RESID'!K:K,'WAS RESID'!W:W)</f>
        <v>0</v>
      </c>
      <c r="Q13" s="3">
        <f>N13+O13*'Emission Factors Hub'!$E$8+P13*'Emission Factors Hub'!$E$9</f>
        <v>4.3567639257294477</v>
      </c>
    </row>
    <row r="14" spans="2:17">
      <c r="B14" t="str">
        <v>WASSOLPAPADG19</v>
      </c>
      <c r="C14" s="15" t="s">
        <v>381</v>
      </c>
      <c r="D14" t="s">
        <v>454</v>
      </c>
      <c r="E14" s="3">
        <f>IF(_xlfn.XLOOKUP(B14,'WAS RESID'!K:K,'WAS RESID'!U:U)&lt;0,0,(_xlfn.XLOOKUP(B14,'WAS RESID'!K:K,'WAS RESID'!U:U)))</f>
        <v>0</v>
      </c>
      <c r="F14" s="3">
        <f>IF(_xlfn.XLOOKUP(B14,'WAS RESID'!K:K,'WAS RESID'!T:T)&lt;0,0,(_xlfn.XLOOKUP(B14,'WAS RESID'!K:K,'WAS RESID'!T:T)))</f>
        <v>4.0822852018575722</v>
      </c>
      <c r="G14" s="3">
        <f>IF(_xlfn.XLOOKUP(B14,'WAS RESID'!K:K,'WAS RESID'!V:V)&lt;0,0,(_xlfn.XLOOKUP(B14,'WAS RESID'!K:K,'WAS RESID'!V:V)))</f>
        <v>4.8656386951050699E-2</v>
      </c>
      <c r="H14" s="3">
        <f>E14+F14*'Emission Factors Hub'!$E$8+G14*'Emission Factors Hub'!$E$9</f>
        <v>116.55673335785241</v>
      </c>
      <c r="K14" t="str">
        <v>WASSOLLDFCOG19</v>
      </c>
      <c r="L14" s="15" t="s">
        <v>381</v>
      </c>
      <c r="M14" t="s">
        <v>454</v>
      </c>
      <c r="N14" s="3">
        <f>_xlfn.XLOOKUP(K14,'WAS RESID'!K:K,'WAS RESID'!V:V)</f>
        <v>0</v>
      </c>
      <c r="O14" s="3">
        <f>_xlfn.XLOOKUP(K14,'WAS RESID'!K:K,'WAS RESID'!U:U)</f>
        <v>0.2178381962864723</v>
      </c>
      <c r="P14" s="3">
        <f>_xlfn.XLOOKUP(K14,'WAS RESID'!K:K,'WAS RESID'!W:W)</f>
        <v>0</v>
      </c>
      <c r="Q14" s="3">
        <f>N14+O14*'Emission Factors Hub'!$E$8+P14*'Emission Factors Hub'!$E$9</f>
        <v>5.4459549071618074</v>
      </c>
    </row>
    <row r="15" spans="2:17">
      <c r="B15" t="str">
        <v>WASSOLGLAADG19</v>
      </c>
      <c r="C15" s="15" t="s">
        <v>381</v>
      </c>
      <c r="D15" t="s">
        <v>454</v>
      </c>
      <c r="E15" s="3">
        <f>IF(_xlfn.XLOOKUP(B15,'WAS RESID'!K:K,'WAS RESID'!U:U)&lt;0,0,(_xlfn.XLOOKUP(B15,'WAS RESID'!K:K,'WAS RESID'!U:U)))</f>
        <v>0</v>
      </c>
      <c r="F15" s="3">
        <f>IF(_xlfn.XLOOKUP(B15,'WAS RESID'!K:K,'WAS RESID'!T:T)&lt;0,0,(_xlfn.XLOOKUP(B15,'WAS RESID'!K:K,'WAS RESID'!T:T)))</f>
        <v>0</v>
      </c>
      <c r="G15" s="3">
        <f>IF(_xlfn.XLOOKUP(B15,'WAS RESID'!K:K,'WAS RESID'!V:V)&lt;0,0,(_xlfn.XLOOKUP(B15,'WAS RESID'!K:K,'WAS RESID'!V:V)))</f>
        <v>0</v>
      </c>
      <c r="H15" s="3">
        <f>E15+F15*'Emission Factors Hub'!$E$8+G15*'Emission Factors Hub'!$E$9</f>
        <v>0</v>
      </c>
      <c r="K15" t="str">
        <v>WASSOLLDFPOW19</v>
      </c>
      <c r="L15" s="15" t="s">
        <v>381</v>
      </c>
      <c r="M15" t="s">
        <v>454</v>
      </c>
      <c r="N15" s="3">
        <f>_xlfn.XLOOKUP(K15,'WAS RESID'!K:K,'WAS RESID'!V:V)</f>
        <v>0</v>
      </c>
      <c r="O15" s="3">
        <f>_xlfn.XLOOKUP(K15,'WAS RESID'!K:K,'WAS RESID'!U:U)</f>
        <v>0.49791587722622249</v>
      </c>
      <c r="P15" s="3">
        <f>_xlfn.XLOOKUP(K15,'WAS RESID'!K:K,'WAS RESID'!W:W)</f>
        <v>0</v>
      </c>
      <c r="Q15" s="3">
        <f>N15+O15*'Emission Factors Hub'!$E$8+P15*'Emission Factors Hub'!$E$9</f>
        <v>12.447896930655562</v>
      </c>
    </row>
    <row r="16" spans="2:17">
      <c r="B16" t="str">
        <v>WASSOLMETADG19</v>
      </c>
      <c r="C16" s="15" t="s">
        <v>381</v>
      </c>
      <c r="D16" t="s">
        <v>454</v>
      </c>
      <c r="E16" s="3">
        <f>IF(_xlfn.XLOOKUP(B16,'WAS RESID'!K:K,'WAS RESID'!U:U)&lt;0,0,(_xlfn.XLOOKUP(B16,'WAS RESID'!K:K,'WAS RESID'!U:U)))</f>
        <v>0</v>
      </c>
      <c r="F16" s="3">
        <f>IF(_xlfn.XLOOKUP(B16,'WAS RESID'!K:K,'WAS RESID'!T:T)&lt;0,0,(_xlfn.XLOOKUP(B16,'WAS RESID'!K:K,'WAS RESID'!T:T)))</f>
        <v>0</v>
      </c>
      <c r="G16" s="3">
        <f>IF(_xlfn.XLOOKUP(B16,'WAS RESID'!K:K,'WAS RESID'!V:V)&lt;0,0,(_xlfn.XLOOKUP(B16,'WAS RESID'!K:K,'WAS RESID'!V:V)))</f>
        <v>0</v>
      </c>
      <c r="H16" s="3">
        <f>E16+F16*'Emission Factors Hub'!$E$8+G16*'Emission Factors Hub'!$E$9</f>
        <v>0</v>
      </c>
      <c r="K16" t="str">
        <v>WASSOLLDFPUR19</v>
      </c>
      <c r="L16" s="15" t="s">
        <v>381</v>
      </c>
      <c r="M16" t="s">
        <v>454</v>
      </c>
      <c r="N16" s="3">
        <f>_xlfn.XLOOKUP(K16,'WAS RESID'!K:K,'WAS RESID'!V:V)</f>
        <v>0</v>
      </c>
      <c r="O16" s="3">
        <f>_xlfn.XLOOKUP(K16,'WAS RESID'!K:K,'WAS RESID'!U:U)</f>
        <v>0.1742705570291779</v>
      </c>
      <c r="P16" s="3">
        <f>_xlfn.XLOOKUP(K16,'WAS RESID'!K:K,'WAS RESID'!W:W)</f>
        <v>0</v>
      </c>
      <c r="Q16" s="3">
        <f>N16+O16*'Emission Factors Hub'!$E$8+P16*'Emission Factors Hub'!$E$9</f>
        <v>4.3567639257294477</v>
      </c>
    </row>
    <row r="17" spans="2:17">
      <c r="B17" t="str">
        <v>WASSOLPLAADG19</v>
      </c>
      <c r="C17" s="15" t="s">
        <v>381</v>
      </c>
      <c r="D17" t="s">
        <v>454</v>
      </c>
      <c r="E17" s="3">
        <f>IF(_xlfn.XLOOKUP(B17,'WAS RESID'!K:K,'WAS RESID'!U:U)&lt;0,0,(_xlfn.XLOOKUP(B17,'WAS RESID'!K:K,'WAS RESID'!U:U)))</f>
        <v>0</v>
      </c>
      <c r="F17" s="3">
        <f>IF(_xlfn.XLOOKUP(B17,'WAS RESID'!K:K,'WAS RESID'!T:T)&lt;0,0,(_xlfn.XLOOKUP(B17,'WAS RESID'!K:K,'WAS RESID'!T:T)))</f>
        <v>0</v>
      </c>
      <c r="G17" s="3">
        <f>IF(_xlfn.XLOOKUP(B17,'WAS RESID'!K:K,'WAS RESID'!V:V)&lt;0,0,(_xlfn.XLOOKUP(B17,'WAS RESID'!K:K,'WAS RESID'!V:V)))</f>
        <v>0</v>
      </c>
      <c r="H17" s="3">
        <f>E17+F17*'Emission Factors Hub'!$E$8+G17*'Emission Factors Hub'!$E$9</f>
        <v>0</v>
      </c>
      <c r="K17" t="str">
        <v>WASWATWADVEN19</v>
      </c>
      <c r="L17" s="15" t="s">
        <v>381</v>
      </c>
      <c r="M17" t="s">
        <v>454</v>
      </c>
      <c r="N17" s="3">
        <f>_xlfn.XLOOKUP(K17,'WAS RESID'!K:K,'WAS RESID'!V:V)</f>
        <v>0</v>
      </c>
      <c r="O17" s="3">
        <f>_xlfn.XLOOKUP(K17,'WAS RESID'!K:K,'WAS RESID'!U:U)</f>
        <v>17.42705570291777</v>
      </c>
      <c r="P17" s="3">
        <f>_xlfn.XLOOKUP(K17,'WAS RESID'!K:K,'WAS RESID'!W:W)</f>
        <v>0</v>
      </c>
      <c r="Q17" s="3">
        <f>N17+O17*'Emission Factors Hub'!$E$8+P17*'Emission Factors Hub'!$E$9</f>
        <v>435.67639257294422</v>
      </c>
    </row>
    <row r="18" spans="2:17">
      <c r="B18" t="str">
        <v>WASSOLFOOADG19</v>
      </c>
      <c r="C18" s="15" t="s">
        <v>381</v>
      </c>
      <c r="D18" t="s">
        <v>454</v>
      </c>
      <c r="E18" s="3">
        <f>IF(_xlfn.XLOOKUP(B18,'WAS RESID'!K:K,'WAS RESID'!U:U)&lt;0,0,(_xlfn.XLOOKUP(B18,'WAS RESID'!K:K,'WAS RESID'!U:U)))</f>
        <v>0</v>
      </c>
      <c r="F18" s="3">
        <f>IF(_xlfn.XLOOKUP(B18,'WAS RESID'!K:K,'WAS RESID'!T:T)&lt;0,0,(_xlfn.XLOOKUP(B18,'WAS RESID'!K:K,'WAS RESID'!T:T)))</f>
        <v>3.9766619462770469</v>
      </c>
      <c r="G18" s="3">
        <f>IF(_xlfn.XLOOKUP(B18,'WAS RESID'!K:K,'WAS RESID'!V:V)&lt;0,0,(_xlfn.XLOOKUP(B18,'WAS RESID'!K:K,'WAS RESID'!V:V)))</f>
        <v>0.53538242490437882</v>
      </c>
      <c r="H18" s="3">
        <f>E18+F18*'Emission Factors Hub'!$E$8+G18*'Emission Factors Hub'!$E$9</f>
        <v>258.96051127843106</v>
      </c>
      <c r="K18" t="str">
        <v>WASWATWADFLA19</v>
      </c>
      <c r="L18" s="15" t="s">
        <v>381</v>
      </c>
      <c r="M18" t="s">
        <v>454</v>
      </c>
      <c r="N18" s="3">
        <f>_xlfn.XLOOKUP(K18,'WAS RESID'!K:K,'WAS RESID'!V:V)</f>
        <v>0</v>
      </c>
      <c r="O18" s="3">
        <f>_xlfn.XLOOKUP(K18,'WAS RESID'!K:K,'WAS RESID'!U:U)</f>
        <v>0.1742705570291779</v>
      </c>
      <c r="P18" s="3">
        <f>_xlfn.XLOOKUP(K18,'WAS RESID'!K:K,'WAS RESID'!W:W)</f>
        <v>0</v>
      </c>
      <c r="Q18" s="3">
        <f>N18+O18*'Emission Factors Hub'!$E$8+P18*'Emission Factors Hub'!$E$9</f>
        <v>4.3567639257294477</v>
      </c>
    </row>
    <row r="19" spans="2:17">
      <c r="B19" t="str">
        <v>WASSOLYARADG19</v>
      </c>
      <c r="C19" s="15" t="s">
        <v>381</v>
      </c>
      <c r="D19" t="s">
        <v>454</v>
      </c>
      <c r="E19" s="3">
        <f>IF(_xlfn.XLOOKUP(B19,'WAS RESID'!K:K,'WAS RESID'!U:U)&lt;0,0,(_xlfn.XLOOKUP(B19,'WAS RESID'!K:K,'WAS RESID'!U:U)))</f>
        <v>0</v>
      </c>
      <c r="F19" s="3">
        <f>IF(_xlfn.XLOOKUP(B19,'WAS RESID'!K:K,'WAS RESID'!T:T)&lt;0,0,(_xlfn.XLOOKUP(B19,'WAS RESID'!K:K,'WAS RESID'!T:T)))</f>
        <v>3.1453229258281872</v>
      </c>
      <c r="G19" s="3">
        <f>IF(_xlfn.XLOOKUP(B19,'WAS RESID'!K:K,'WAS RESID'!V:V)&lt;0,0,(_xlfn.XLOOKUP(B19,'WAS RESID'!K:K,'WAS RESID'!V:V)))</f>
        <v>0.23841366678113379</v>
      </c>
      <c r="H19" s="3">
        <f>E19+F19*'Emission Factors Hub'!$E$8+G19*'Emission Factors Hub'!$E$9</f>
        <v>149.68034584648257</v>
      </c>
      <c r="K19" t="str">
        <v>WASWATWADCOG19</v>
      </c>
      <c r="L19" s="15" t="s">
        <v>381</v>
      </c>
      <c r="M19" t="s">
        <v>454</v>
      </c>
      <c r="N19" s="3">
        <f>_xlfn.XLOOKUP(K19,'WAS RESID'!K:K,'WAS RESID'!V:V)</f>
        <v>0</v>
      </c>
      <c r="O19" s="3">
        <f>_xlfn.XLOOKUP(K19,'WAS RESID'!K:K,'WAS RESID'!U:U)</f>
        <v>0.2178381962864723</v>
      </c>
      <c r="P19" s="3">
        <f>_xlfn.XLOOKUP(K19,'WAS RESID'!K:K,'WAS RESID'!W:W)</f>
        <v>0</v>
      </c>
      <c r="Q19" s="3">
        <f>N19+O19*'Emission Factors Hub'!$E$8+P19*'Emission Factors Hub'!$E$9</f>
        <v>5.4459549071618074</v>
      </c>
    </row>
    <row r="20" spans="2:17">
      <c r="B20" s="319" t="str">
        <v>WASSOLAOTADG19</v>
      </c>
      <c r="C20" s="323" t="s">
        <v>381</v>
      </c>
      <c r="D20" s="319" t="s">
        <v>454</v>
      </c>
      <c r="E20" s="320">
        <f>IF(_xlfn.XLOOKUP(B20,'WAS RESID'!K:K,'WAS RESID'!U:U)&lt;0,0,(_xlfn.XLOOKUP(B20,'WAS RESID'!K:K,'WAS RESID'!U:U)))</f>
        <v>0</v>
      </c>
      <c r="F20" s="320">
        <f>IF(_xlfn.XLOOKUP(B20,'WAS RESID'!K:K,'WAS RESID'!T:T)&lt;0,0,(_xlfn.XLOOKUP(B20,'WAS RESID'!K:K,'WAS RESID'!T:T)))</f>
        <v>0.1492091497838344</v>
      </c>
      <c r="G20" s="320">
        <f>IF(_xlfn.XLOOKUP(B20,'WAS RESID'!K:K,'WAS RESID'!V:V)&lt;0,0,(_xlfn.XLOOKUP(B20,'WAS RESID'!K:K,'WAS RESID'!V:V)))</f>
        <v>0.150329751095714</v>
      </c>
      <c r="H20" s="320">
        <f>E20+F20*'Emission Factors Hub'!$E$8+G20*'Emission Factors Hub'!$E$9</f>
        <v>48.528494571118635</v>
      </c>
      <c r="K20" t="str">
        <v>WASWATWADPOW19</v>
      </c>
      <c r="L20" s="15" t="s">
        <v>381</v>
      </c>
      <c r="M20" t="s">
        <v>454</v>
      </c>
      <c r="N20" s="3">
        <f>_xlfn.XLOOKUP(K20,'WAS RESID'!K:K,'WAS RESID'!V:V)</f>
        <v>0</v>
      </c>
      <c r="O20" s="3">
        <f>_xlfn.XLOOKUP(K20,'WAS RESID'!K:K,'WAS RESID'!U:U)</f>
        <v>0.49791587722622249</v>
      </c>
      <c r="P20" s="3">
        <f>_xlfn.XLOOKUP(K20,'WAS RESID'!K:K,'WAS RESID'!W:W)</f>
        <v>0</v>
      </c>
      <c r="Q20" s="3">
        <f>N20+O20*'Emission Factors Hub'!$E$8+P20*'Emission Factors Hub'!$E$9</f>
        <v>12.447896930655562</v>
      </c>
    </row>
    <row r="21" spans="2:17">
      <c r="B21" t="str">
        <v>WASSOLPAPINC19</v>
      </c>
      <c r="C21" s="15" t="s">
        <v>381</v>
      </c>
      <c r="D21" t="s">
        <v>454</v>
      </c>
      <c r="E21" s="3">
        <f>IF(_xlfn.XLOOKUP(B21,'WAS RESID'!K:K,'WAS RESID'!U:U)&lt;0,0,(_xlfn.XLOOKUP(B21,'WAS RESID'!K:K,'WAS RESID'!U:U)))</f>
        <v>20.60979905101815</v>
      </c>
      <c r="F21" s="3">
        <f>IF(_xlfn.XLOOKUP(B21,'WAS RESID'!K:K,'WAS RESID'!T:T)&lt;0,0,(_xlfn.XLOOKUP(B21,'WAS RESID'!K:K,'WAS RESID'!T:T)))</f>
        <v>1.1449374074807429E-2</v>
      </c>
      <c r="G21" s="3">
        <f>IF(_xlfn.XLOOKUP(B21,'WAS RESID'!K:K,'WAS RESID'!V:V)&lt;0,0,(_xlfn.XLOOKUP(B21,'WAS RESID'!K:K,'WAS RESID'!V:V)))</f>
        <v>1.490110646343961E-2</v>
      </c>
      <c r="H21" s="3">
        <f>E21+F21*'Emission Factors Hub'!$E$8+G21*'Emission Factors Hub'!$E$9</f>
        <v>25.33656312899334</v>
      </c>
      <c r="K21" t="str">
        <v>WASWATWADPUR19</v>
      </c>
      <c r="L21" s="15" t="s">
        <v>381</v>
      </c>
      <c r="M21" t="s">
        <v>454</v>
      </c>
      <c r="N21" s="3">
        <f>_xlfn.XLOOKUP(K21,'WAS RESID'!K:K,'WAS RESID'!V:V)</f>
        <v>0</v>
      </c>
      <c r="O21" s="3">
        <f>_xlfn.XLOOKUP(K21,'WAS RESID'!K:K,'WAS RESID'!U:U)</f>
        <v>0.1742705570291779</v>
      </c>
      <c r="P21" s="3">
        <f>_xlfn.XLOOKUP(K21,'WAS RESID'!K:K,'WAS RESID'!W:W)</f>
        <v>0</v>
      </c>
      <c r="Q21" s="3">
        <f>N21+O21*'Emission Factors Hub'!$E$8+P21*'Emission Factors Hub'!$E$9</f>
        <v>4.3567639257294477</v>
      </c>
    </row>
    <row r="22" spans="2:17">
      <c r="B22" t="str">
        <v>WASSOLGLAINC19</v>
      </c>
      <c r="C22" s="15" t="s">
        <v>381</v>
      </c>
      <c r="D22" t="s">
        <v>454</v>
      </c>
      <c r="E22" s="3">
        <f>IF(_xlfn.XLOOKUP(B22,'WAS RESID'!K:K,'WAS RESID'!U:U)&lt;0,0,(_xlfn.XLOOKUP(B22,'WAS RESID'!K:K,'WAS RESID'!U:U)))</f>
        <v>10.258114425571099</v>
      </c>
      <c r="F22" s="3">
        <f>IF(_xlfn.XLOOKUP(B22,'WAS RESID'!K:K,'WAS RESID'!T:T)&lt;0,0,(_xlfn.XLOOKUP(B22,'WAS RESID'!K:K,'WAS RESID'!T:T)))</f>
        <v>1.185822395988396E-2</v>
      </c>
      <c r="G22" s="3">
        <f>IF(_xlfn.XLOOKUP(B22,'WAS RESID'!K:K,'WAS RESID'!V:V)&lt;0,0,(_xlfn.XLOOKUP(B22,'WAS RESID'!K:K,'WAS RESID'!V:V)))</f>
        <v>1.622764127250054E-2</v>
      </c>
      <c r="H22" s="3">
        <f>E22+F22*'Emission Factors Hub'!$E$8+G22*'Emission Factors Hub'!$E$9</f>
        <v>15.390407123773359</v>
      </c>
      <c r="K22" t="str">
        <v>WASWATWANVEN19</v>
      </c>
      <c r="L22" s="15" t="s">
        <v>381</v>
      </c>
      <c r="M22" t="s">
        <v>454</v>
      </c>
      <c r="N22" s="3">
        <f>_xlfn.XLOOKUP(K22,'WAS RESID'!K:K,'WAS RESID'!V:V)</f>
        <v>0</v>
      </c>
      <c r="O22" s="3">
        <f>_xlfn.XLOOKUP(K22,'WAS RESID'!K:K,'WAS RESID'!U:U)</f>
        <v>17.42705570291777</v>
      </c>
      <c r="P22" s="3">
        <f>_xlfn.XLOOKUP(K22,'WAS RESID'!K:K,'WAS RESID'!W:W)</f>
        <v>0</v>
      </c>
      <c r="Q22" s="3">
        <f>N22+O22*'Emission Factors Hub'!$E$8+P22*'Emission Factors Hub'!$E$9</f>
        <v>435.67639257294422</v>
      </c>
    </row>
    <row r="23" spans="2:17">
      <c r="B23" t="str">
        <v>WASSOLMETINC19</v>
      </c>
      <c r="C23" s="15" t="s">
        <v>381</v>
      </c>
      <c r="D23" t="s">
        <v>454</v>
      </c>
      <c r="E23" s="3">
        <f>IF(_xlfn.XLOOKUP(B23,'WAS RESID'!K:K,'WAS RESID'!U:U)&lt;0,0,(_xlfn.XLOOKUP(B23,'WAS RESID'!K:K,'WAS RESID'!U:U)))</f>
        <v>12.099667057685391</v>
      </c>
      <c r="F23" s="3">
        <f>IF(_xlfn.XLOOKUP(B23,'WAS RESID'!K:K,'WAS RESID'!T:T)&lt;0,0,(_xlfn.XLOOKUP(B23,'WAS RESID'!K:K,'WAS RESID'!T:T)))</f>
        <v>1.1480252117885569E-2</v>
      </c>
      <c r="G23" s="3">
        <f>IF(_xlfn.XLOOKUP(B23,'WAS RESID'!K:K,'WAS RESID'!V:V)&lt;0,0,(_xlfn.XLOOKUP(B23,'WAS RESID'!K:K,'WAS RESID'!V:V)))</f>
        <v>1.5001291887170771E-2</v>
      </c>
      <c r="H23" s="3">
        <f>E23+F23*'Emission Factors Hub'!$E$8+G23*'Emission Factors Hub'!$E$9</f>
        <v>16.85705834300942</v>
      </c>
      <c r="K23" t="str">
        <v>WASWATWANFLA19</v>
      </c>
      <c r="L23" s="15" t="s">
        <v>381</v>
      </c>
      <c r="M23" t="s">
        <v>454</v>
      </c>
      <c r="N23" s="3">
        <f>_xlfn.XLOOKUP(K23,'WAS RESID'!K:K,'WAS RESID'!V:V)</f>
        <v>0</v>
      </c>
      <c r="O23" s="3">
        <f>_xlfn.XLOOKUP(K23,'WAS RESID'!K:K,'WAS RESID'!U:U)</f>
        <v>0.1742705570291779</v>
      </c>
      <c r="P23" s="3">
        <f>_xlfn.XLOOKUP(K23,'WAS RESID'!K:K,'WAS RESID'!W:W)</f>
        <v>0</v>
      </c>
      <c r="Q23" s="3">
        <f>N23+O23*'Emission Factors Hub'!$E$8+P23*'Emission Factors Hub'!$E$9</f>
        <v>4.3567639257294477</v>
      </c>
    </row>
    <row r="24" spans="2:17">
      <c r="B24" t="str">
        <v>WASSOLPLAINC19</v>
      </c>
      <c r="C24" s="15" t="s">
        <v>381</v>
      </c>
      <c r="D24" t="s">
        <v>454</v>
      </c>
      <c r="E24" s="3">
        <f>IF(_xlfn.XLOOKUP(B24,'WAS RESID'!K:K,'WAS RESID'!U:U)&lt;0,0,(_xlfn.XLOOKUP(B24,'WAS RESID'!K:K,'WAS RESID'!U:U)))</f>
        <v>2402.8615470183909</v>
      </c>
      <c r="F24" s="3">
        <f>IF(_xlfn.XLOOKUP(B24,'WAS RESID'!K:K,'WAS RESID'!T:T)&lt;0,0,(_xlfn.XLOOKUP(B24,'WAS RESID'!K:K,'WAS RESID'!T:T)))</f>
        <v>1.185463821232545E-2</v>
      </c>
      <c r="G24" s="3">
        <f>IF(_xlfn.XLOOKUP(B24,'WAS RESID'!K:K,'WAS RESID'!V:V)&lt;0,0,(_xlfn.XLOOKUP(B24,'WAS RESID'!K:K,'WAS RESID'!V:V)))</f>
        <v>1.6216007127239689E-2</v>
      </c>
      <c r="H24" s="3">
        <f>E24+F24*'Emission Factors Hub'!$E$8+G24*'Emission Factors Hub'!$E$9</f>
        <v>2407.9902830976162</v>
      </c>
      <c r="K24" t="str">
        <v>WASWATWANCOG19</v>
      </c>
      <c r="L24" s="15" t="s">
        <v>381</v>
      </c>
      <c r="M24" t="s">
        <v>454</v>
      </c>
      <c r="N24" s="3">
        <f>_xlfn.XLOOKUP(K24,'WAS RESID'!K:K,'WAS RESID'!V:V)</f>
        <v>0</v>
      </c>
      <c r="O24" s="3">
        <f>_xlfn.XLOOKUP(K24,'WAS RESID'!K:K,'WAS RESID'!U:U)</f>
        <v>0.2178381962864723</v>
      </c>
      <c r="P24" s="3">
        <f>_xlfn.XLOOKUP(K24,'WAS RESID'!K:K,'WAS RESID'!W:W)</f>
        <v>0</v>
      </c>
      <c r="Q24" s="3">
        <f>N24+O24*'Emission Factors Hub'!$E$8+P24*'Emission Factors Hub'!$E$9</f>
        <v>5.4459549071618074</v>
      </c>
    </row>
    <row r="25" spans="2:17">
      <c r="B25" t="str">
        <v>WASSOLFOOINC19</v>
      </c>
      <c r="C25" s="15" t="s">
        <v>381</v>
      </c>
      <c r="D25" t="s">
        <v>454</v>
      </c>
      <c r="E25" s="3">
        <f>IF(_xlfn.XLOOKUP(B25,'WAS RESID'!K:K,'WAS RESID'!U:U)&lt;0,0,(_xlfn.XLOOKUP(B25,'WAS RESID'!K:K,'WAS RESID'!U:U)))</f>
        <v>19.656155972446101</v>
      </c>
      <c r="F25" s="3">
        <f>IF(_xlfn.XLOOKUP(B25,'WAS RESID'!K:K,'WAS RESID'!T:T)&lt;0,0,(_xlfn.XLOOKUP(B25,'WAS RESID'!K:K,'WAS RESID'!T:T)))</f>
        <v>8.6599124686191544E-3</v>
      </c>
      <c r="G25" s="3">
        <f>IF(_xlfn.XLOOKUP(B25,'WAS RESID'!K:K,'WAS RESID'!V:V)&lt;0,0,(_xlfn.XLOOKUP(B25,'WAS RESID'!K:K,'WAS RESID'!V:V)))</f>
        <v>5.8505525701564691E-3</v>
      </c>
      <c r="H25" s="3">
        <f>E25+F25*'Emission Factors Hub'!$E$8+G25*'Emission Factors Hub'!$E$9</f>
        <v>21.616118450068207</v>
      </c>
      <c r="K25" t="str">
        <v>WASWATWANPOW19</v>
      </c>
      <c r="L25" s="15" t="s">
        <v>381</v>
      </c>
      <c r="M25" t="s">
        <v>454</v>
      </c>
      <c r="N25" s="3">
        <f>_xlfn.XLOOKUP(K25,'WAS RESID'!K:K,'WAS RESID'!V:V)</f>
        <v>0</v>
      </c>
      <c r="O25" s="3">
        <f>_xlfn.XLOOKUP(K25,'WAS RESID'!K:K,'WAS RESID'!U:U)</f>
        <v>0.49791587722622249</v>
      </c>
      <c r="P25" s="3">
        <f>_xlfn.XLOOKUP(K25,'WAS RESID'!K:K,'WAS RESID'!W:W)</f>
        <v>0</v>
      </c>
      <c r="Q25" s="3">
        <f>N25+O25*'Emission Factors Hub'!$E$8+P25*'Emission Factors Hub'!$E$9</f>
        <v>12.447896930655562</v>
      </c>
    </row>
    <row r="26" spans="2:17">
      <c r="B26" t="str">
        <v>WASSOLYARINC19</v>
      </c>
      <c r="C26" s="15" t="s">
        <v>381</v>
      </c>
      <c r="D26" t="s">
        <v>454</v>
      </c>
      <c r="E26" s="3">
        <f>IF(_xlfn.XLOOKUP(B26,'WAS RESID'!K:K,'WAS RESID'!U:U)&lt;0,0,(_xlfn.XLOOKUP(B26,'WAS RESID'!K:K,'WAS RESID'!U:U)))</f>
        <v>23.967659013904431</v>
      </c>
      <c r="F26" s="3">
        <f>IF(_xlfn.XLOOKUP(B26,'WAS RESID'!K:K,'WAS RESID'!T:T)&lt;0,0,(_xlfn.XLOOKUP(B26,'WAS RESID'!K:K,'WAS RESID'!T:T)))</f>
        <v>9.3531683720686123E-3</v>
      </c>
      <c r="G26" s="3">
        <f>IF(_xlfn.XLOOKUP(B26,'WAS RESID'!K:K,'WAS RESID'!V:V)&lt;0,0,(_xlfn.XLOOKUP(B26,'WAS RESID'!K:K,'WAS RESID'!V:V)))</f>
        <v>8.0998575622333296E-3</v>
      </c>
      <c r="H26" s="3">
        <f>E26+F26*'Emission Factors Hub'!$E$8+G26*'Emission Factors Hub'!$E$9</f>
        <v>26.615245776751678</v>
      </c>
      <c r="K26" t="str">
        <v>WASWATWANPUR19</v>
      </c>
      <c r="L26" s="15" t="s">
        <v>381</v>
      </c>
      <c r="M26" t="s">
        <v>454</v>
      </c>
      <c r="N26" s="3">
        <f>_xlfn.XLOOKUP(K26,'WAS RESID'!K:K,'WAS RESID'!V:V)</f>
        <v>0</v>
      </c>
      <c r="O26" s="3">
        <f>_xlfn.XLOOKUP(K26,'WAS RESID'!K:K,'WAS RESID'!U:U)</f>
        <v>0.1742705570291779</v>
      </c>
      <c r="P26" s="3">
        <f>_xlfn.XLOOKUP(K26,'WAS RESID'!K:K,'WAS RESID'!W:W)</f>
        <v>0</v>
      </c>
      <c r="Q26" s="3">
        <f>N26+O26*'Emission Factors Hub'!$E$8+P26*'Emission Factors Hub'!$E$9</f>
        <v>4.3567639257294477</v>
      </c>
    </row>
    <row r="27" spans="2:17">
      <c r="B27" s="319" t="str">
        <v>WASSOLAOTINC19</v>
      </c>
      <c r="C27" s="323" t="s">
        <v>381</v>
      </c>
      <c r="D27" s="319" t="s">
        <v>454</v>
      </c>
      <c r="E27" s="320">
        <f>IF(_xlfn.XLOOKUP(B27,'WAS RESID'!K:K,'WAS RESID'!U:U)&lt;0,0,(_xlfn.XLOOKUP(B27,'WAS RESID'!K:K,'WAS RESID'!U:U)))</f>
        <v>94.605251520419316</v>
      </c>
      <c r="F27" s="320">
        <f>IF(_xlfn.XLOOKUP(B27,'WAS RESID'!K:K,'WAS RESID'!T:T)&lt;0,0,(_xlfn.XLOOKUP(B27,'WAS RESID'!K:K,'WAS RESID'!T:T)))</f>
        <v>1.0833831744631201E-2</v>
      </c>
      <c r="G27" s="320">
        <f>IF(_xlfn.XLOOKUP(B27,'WAS RESID'!K:K,'WAS RESID'!V:V)&lt;0,0,(_xlfn.XLOOKUP(B27,'WAS RESID'!K:K,'WAS RESID'!V:V)))</f>
        <v>1.290394721934102E-2</v>
      </c>
      <c r="H27" s="320">
        <f>E27+F27*'Emission Factors Hub'!$E$8+G27*'Emission Factors Hub'!$E$9</f>
        <v>98.721473585398712</v>
      </c>
      <c r="L27" s="15"/>
      <c r="N27" s="3"/>
      <c r="O27" s="3"/>
      <c r="P27" s="3"/>
      <c r="Q27" s="3"/>
    </row>
    <row r="28" spans="2:17">
      <c r="B28" t="str">
        <v>WASSOLPAPLDF19</v>
      </c>
      <c r="C28" s="15" t="s">
        <v>381</v>
      </c>
      <c r="D28" t="s">
        <v>454</v>
      </c>
      <c r="E28" s="3">
        <f>IF(_xlfn.XLOOKUP(B28,'WAS RESID'!K:K,'WAS RESID'!U:U)&lt;0,0,(_xlfn.XLOOKUP(B28,'WAS RESID'!K:K,'WAS RESID'!U:U)))</f>
        <v>0</v>
      </c>
      <c r="F28" s="3">
        <f>IF(_xlfn.XLOOKUP(B28,'WAS RESID'!K:K,'WAS RESID'!T:T)&lt;0,0,(_xlfn.XLOOKUP(B28,'WAS RESID'!K:K,'WAS RESID'!T:T)))</f>
        <v>0</v>
      </c>
      <c r="G28" s="3">
        <f>IF(_xlfn.XLOOKUP(B28,'WAS RESID'!K:K,'WAS RESID'!V:V)&lt;0,0,(_xlfn.XLOOKUP(B28,'WAS RESID'!K:K,'WAS RESID'!V:V)))</f>
        <v>4.202542855613551E-5</v>
      </c>
      <c r="H28" s="3">
        <f>E28+F28*'Emission Factors Hub'!$E$8+G28*'Emission Factors Hub'!$E$9</f>
        <v>1.2523577709728381E-2</v>
      </c>
      <c r="L28" s="15"/>
      <c r="N28" s="3"/>
      <c r="O28" s="3"/>
      <c r="P28" s="3"/>
      <c r="Q28" s="3"/>
    </row>
    <row r="29" spans="2:17">
      <c r="B29" t="str">
        <v>WASSOLGLALDF19</v>
      </c>
      <c r="C29" s="15" t="s">
        <v>381</v>
      </c>
      <c r="D29" t="s">
        <v>454</v>
      </c>
      <c r="E29" s="3">
        <f>IF(_xlfn.XLOOKUP(B29,'WAS RESID'!K:K,'WAS RESID'!U:U)&lt;0,0,(_xlfn.XLOOKUP(B29,'WAS RESID'!K:K,'WAS RESID'!U:U)))</f>
        <v>0</v>
      </c>
      <c r="F29" s="3">
        <f>IF(_xlfn.XLOOKUP(B29,'WAS RESID'!K:K,'WAS RESID'!T:T)&lt;0,0,(_xlfn.XLOOKUP(B29,'WAS RESID'!K:K,'WAS RESID'!T:T)))</f>
        <v>0</v>
      </c>
      <c r="G29" s="3">
        <f>IF(_xlfn.XLOOKUP(B29,'WAS RESID'!K:K,'WAS RESID'!V:V)&lt;0,0,(_xlfn.XLOOKUP(B29,'WAS RESID'!K:K,'WAS RESID'!V:V)))</f>
        <v>4.202542855613551E-5</v>
      </c>
      <c r="H29" s="3">
        <f>E29+F29*'Emission Factors Hub'!$E$8+G29*'Emission Factors Hub'!$E$9</f>
        <v>1.2523577709728381E-2</v>
      </c>
      <c r="L29" s="15"/>
      <c r="N29" s="3"/>
      <c r="O29" s="3"/>
      <c r="P29" s="3"/>
      <c r="Q29" s="3"/>
    </row>
    <row r="30" spans="2:17">
      <c r="B30" t="str">
        <v>WASSOLMETLDF19</v>
      </c>
      <c r="C30" s="15" t="s">
        <v>381</v>
      </c>
      <c r="D30" t="s">
        <v>454</v>
      </c>
      <c r="E30" s="3">
        <f>IF(_xlfn.XLOOKUP(B30,'WAS RESID'!K:K,'WAS RESID'!U:U)&lt;0,0,(_xlfn.XLOOKUP(B30,'WAS RESID'!K:K,'WAS RESID'!U:U)))</f>
        <v>0</v>
      </c>
      <c r="F30" s="3">
        <f>IF(_xlfn.XLOOKUP(B30,'WAS RESID'!K:K,'WAS RESID'!T:T)&lt;0,0,(_xlfn.XLOOKUP(B30,'WAS RESID'!K:K,'WAS RESID'!T:T)))</f>
        <v>0</v>
      </c>
      <c r="G30" s="3">
        <f>IF(_xlfn.XLOOKUP(B30,'WAS RESID'!K:K,'WAS RESID'!V:V)&lt;0,0,(_xlfn.XLOOKUP(B30,'WAS RESID'!K:K,'WAS RESID'!V:V)))</f>
        <v>4.202542855613551E-5</v>
      </c>
      <c r="H30" s="3">
        <f>E30+F30*'Emission Factors Hub'!$E$8+G30*'Emission Factors Hub'!$E$9</f>
        <v>1.2523577709728381E-2</v>
      </c>
      <c r="L30" s="15"/>
      <c r="N30" s="3"/>
      <c r="O30" s="3"/>
      <c r="P30" s="3"/>
      <c r="Q30" s="3"/>
    </row>
    <row r="31" spans="2:17">
      <c r="B31" t="str">
        <v>WASSOLPLALDF19</v>
      </c>
      <c r="C31" s="15" t="s">
        <v>381</v>
      </c>
      <c r="D31" t="s">
        <v>454</v>
      </c>
      <c r="E31" s="3">
        <f>IF(_xlfn.XLOOKUP(B31,'WAS RESID'!K:K,'WAS RESID'!U:U)&lt;0,0,(_xlfn.XLOOKUP(B31,'WAS RESID'!K:K,'WAS RESID'!U:U)))</f>
        <v>0</v>
      </c>
      <c r="F31" s="3">
        <f>IF(_xlfn.XLOOKUP(B31,'WAS RESID'!K:K,'WAS RESID'!T:T)&lt;0,0,(_xlfn.XLOOKUP(B31,'WAS RESID'!K:K,'WAS RESID'!T:T)))</f>
        <v>0</v>
      </c>
      <c r="G31" s="3">
        <f>IF(_xlfn.XLOOKUP(B31,'WAS RESID'!K:K,'WAS RESID'!V:V)&lt;0,0,(_xlfn.XLOOKUP(B31,'WAS RESID'!K:K,'WAS RESID'!V:V)))</f>
        <v>4.202542855613551E-5</v>
      </c>
      <c r="H31" s="3">
        <f>E31+F31*'Emission Factors Hub'!$E$8+G31*'Emission Factors Hub'!$E$9</f>
        <v>1.2523577709728381E-2</v>
      </c>
      <c r="L31" s="15"/>
      <c r="N31" s="3"/>
      <c r="O31" s="3"/>
      <c r="P31" s="3"/>
      <c r="Q31" s="3"/>
    </row>
    <row r="32" spans="2:17">
      <c r="B32" t="str">
        <v>WASSOLFOOLDF19</v>
      </c>
      <c r="C32" s="15" t="s">
        <v>381</v>
      </c>
      <c r="D32" t="s">
        <v>454</v>
      </c>
      <c r="E32" s="3">
        <f>IF(_xlfn.XLOOKUP(B32,'WAS RESID'!K:K,'WAS RESID'!U:U)&lt;0,0,(_xlfn.XLOOKUP(B32,'WAS RESID'!K:K,'WAS RESID'!U:U)))</f>
        <v>0</v>
      </c>
      <c r="F32" s="3">
        <f>IF(_xlfn.XLOOKUP(B32,'WAS RESID'!K:K,'WAS RESID'!T:T)&lt;0,0,(_xlfn.XLOOKUP(B32,'WAS RESID'!K:K,'WAS RESID'!T:T)))</f>
        <v>0</v>
      </c>
      <c r="G32" s="3">
        <f>IF(_xlfn.XLOOKUP(B32,'WAS RESID'!K:K,'WAS RESID'!V:V)&lt;0,0,(_xlfn.XLOOKUP(B32,'WAS RESID'!K:K,'WAS RESID'!V:V)))</f>
        <v>1.054414534329555E-4</v>
      </c>
      <c r="H32" s="3">
        <f>E32+F32*'Emission Factors Hub'!$E$8+G32*'Emission Factors Hub'!$E$9</f>
        <v>3.1421553123020737E-2</v>
      </c>
      <c r="L32" s="15"/>
      <c r="N32" s="3"/>
      <c r="O32" s="3"/>
      <c r="P32" s="3"/>
      <c r="Q32" s="3"/>
    </row>
    <row r="33" spans="2:17">
      <c r="B33" t="str">
        <v>WASSOLYARLDF19</v>
      </c>
      <c r="C33" s="15" t="s">
        <v>381</v>
      </c>
      <c r="D33" t="s">
        <v>454</v>
      </c>
      <c r="E33" s="3">
        <f>IF(_xlfn.XLOOKUP(B33,'WAS RESID'!K:K,'WAS RESID'!U:U)&lt;0,0,(_xlfn.XLOOKUP(B33,'WAS RESID'!K:K,'WAS RESID'!U:U)))</f>
        <v>0</v>
      </c>
      <c r="F33" s="3">
        <f>IF(_xlfn.XLOOKUP(B33,'WAS RESID'!K:K,'WAS RESID'!T:T)&lt;0,0,(_xlfn.XLOOKUP(B33,'WAS RESID'!K:K,'WAS RESID'!T:T)))</f>
        <v>0</v>
      </c>
      <c r="G33" s="3">
        <f>IF(_xlfn.XLOOKUP(B33,'WAS RESID'!K:K,'WAS RESID'!V:V)&lt;0,0,(_xlfn.XLOOKUP(B33,'WAS RESID'!K:K,'WAS RESID'!V:V)))</f>
        <v>1.136226233214584E-4</v>
      </c>
      <c r="H33" s="3">
        <f>E33+F33*'Emission Factors Hub'!$E$8+G33*'Emission Factors Hub'!$E$9</f>
        <v>3.3859541749794601E-2</v>
      </c>
      <c r="L33" s="15"/>
      <c r="N33" s="3"/>
      <c r="O33" s="3"/>
      <c r="P33" s="3"/>
      <c r="Q33" s="3"/>
    </row>
    <row r="34" spans="2:17">
      <c r="B34" s="319" t="str">
        <v>WASSOLAOTLDF19</v>
      </c>
      <c r="C34" s="323" t="s">
        <v>381</v>
      </c>
      <c r="D34" s="319" t="s">
        <v>454</v>
      </c>
      <c r="E34" s="320">
        <f>IF(_xlfn.XLOOKUP(B34,'WAS RESID'!K:K,'WAS RESID'!U:U)&lt;0,0,(_xlfn.XLOOKUP(B34,'WAS RESID'!K:K,'WAS RESID'!U:U)))</f>
        <v>0</v>
      </c>
      <c r="F34" s="320">
        <f>IF(_xlfn.XLOOKUP(B34,'WAS RESID'!K:K,'WAS RESID'!T:T)&lt;0,0,(_xlfn.XLOOKUP(B34,'WAS RESID'!K:K,'WAS RESID'!T:T)))</f>
        <v>0</v>
      </c>
      <c r="G34" s="320">
        <f>IF(_xlfn.XLOOKUP(B34,'WAS RESID'!K:K,'WAS RESID'!V:V)&lt;0,0,(_xlfn.XLOOKUP(B34,'WAS RESID'!K:K,'WAS RESID'!V:V)))</f>
        <v>4.9064860575250544E-4</v>
      </c>
      <c r="H34" s="320">
        <f>E34+F34*'Emission Factors Hub'!$E$8+G34*'Emission Factors Hub'!$E$9</f>
        <v>0.14621328451424662</v>
      </c>
      <c r="L34" s="15"/>
      <c r="N34" s="3"/>
      <c r="O34" s="3"/>
      <c r="P34" s="3"/>
      <c r="Q34" s="3"/>
    </row>
    <row r="35" spans="2:17">
      <c r="B35" t="str">
        <v>WASSOLPAPREC19</v>
      </c>
      <c r="C35" s="15" t="s">
        <v>381</v>
      </c>
      <c r="D35" t="s">
        <v>454</v>
      </c>
      <c r="E35" s="3">
        <f>IF(_xlfn.XLOOKUP(B35,'WAS RESID'!K:K,'WAS RESID'!U:U)&lt;0,0,(_xlfn.XLOOKUP(B35,'WAS RESID'!K:K,'WAS RESID'!U:U)))</f>
        <v>0</v>
      </c>
      <c r="F35" s="3">
        <f>IF(_xlfn.XLOOKUP(B35,'WAS RESID'!K:K,'WAS RESID'!T:T)&lt;0,0,(_xlfn.XLOOKUP(B35,'WAS RESID'!K:K,'WAS RESID'!T:T)))</f>
        <v>0</v>
      </c>
      <c r="G35" s="3">
        <f>IF(_xlfn.XLOOKUP(B35,'WAS RESID'!K:K,'WAS RESID'!V:V)&lt;0,0,(_xlfn.XLOOKUP(B35,'WAS RESID'!K:K,'WAS RESID'!V:V)))</f>
        <v>0</v>
      </c>
      <c r="H35" s="3">
        <f>E35+F35*'Emission Factors Hub'!$E$8+G35*'Emission Factors Hub'!$E$9</f>
        <v>0</v>
      </c>
      <c r="L35" s="15"/>
      <c r="N35" s="3"/>
      <c r="O35" s="3"/>
      <c r="P35" s="3"/>
      <c r="Q35" s="3"/>
    </row>
    <row r="36" spans="2:17">
      <c r="B36" t="str">
        <v>WASSOLGLAREC19</v>
      </c>
      <c r="C36" s="15" t="s">
        <v>381</v>
      </c>
      <c r="D36" t="s">
        <v>454</v>
      </c>
      <c r="E36" s="3">
        <f>IF(_xlfn.XLOOKUP(B36,'WAS RESID'!K:K,'WAS RESID'!U:U)&lt;0,0,(_xlfn.XLOOKUP(B36,'WAS RESID'!K:K,'WAS RESID'!U:U)))</f>
        <v>0</v>
      </c>
      <c r="F36" s="3">
        <f>IF(_xlfn.XLOOKUP(B36,'WAS RESID'!K:K,'WAS RESID'!T:T)&lt;0,0,(_xlfn.XLOOKUP(B36,'WAS RESID'!K:K,'WAS RESID'!T:T)))</f>
        <v>0</v>
      </c>
      <c r="G36" s="3">
        <f>IF(_xlfn.XLOOKUP(B36,'WAS RESID'!K:K,'WAS RESID'!V:V)&lt;0,0,(_xlfn.XLOOKUP(B36,'WAS RESID'!K:K,'WAS RESID'!V:V)))</f>
        <v>0</v>
      </c>
      <c r="H36" s="3">
        <f>E36+F36*'Emission Factors Hub'!$E$8+G36*'Emission Factors Hub'!$E$9</f>
        <v>0</v>
      </c>
      <c r="L36" s="15"/>
      <c r="N36" s="3"/>
      <c r="O36" s="3"/>
      <c r="P36" s="3"/>
      <c r="Q36" s="3"/>
    </row>
    <row r="37" spans="2:17">
      <c r="B37" t="str">
        <v>WASSOLMETREC19</v>
      </c>
      <c r="C37" s="15" t="s">
        <v>381</v>
      </c>
      <c r="D37" t="s">
        <v>454</v>
      </c>
      <c r="E37" s="3">
        <f>IF(_xlfn.XLOOKUP(B37,'WAS RESID'!K:K,'WAS RESID'!U:U)&lt;0,0,(_xlfn.XLOOKUP(B37,'WAS RESID'!K:K,'WAS RESID'!U:U)))</f>
        <v>0</v>
      </c>
      <c r="F37" s="3">
        <f>IF(_xlfn.XLOOKUP(B37,'WAS RESID'!K:K,'WAS RESID'!T:T)&lt;0,0,(_xlfn.XLOOKUP(B37,'WAS RESID'!K:K,'WAS RESID'!T:T)))</f>
        <v>0</v>
      </c>
      <c r="G37" s="3">
        <f>IF(_xlfn.XLOOKUP(B37,'WAS RESID'!K:K,'WAS RESID'!V:V)&lt;0,0,(_xlfn.XLOOKUP(B37,'WAS RESID'!K:K,'WAS RESID'!V:V)))</f>
        <v>0</v>
      </c>
      <c r="H37" s="3">
        <f>E37+F37*'Emission Factors Hub'!$E$8+G37*'Emission Factors Hub'!$E$9</f>
        <v>0</v>
      </c>
      <c r="L37" s="15"/>
      <c r="N37" s="3"/>
      <c r="O37" s="3"/>
      <c r="P37" s="3"/>
      <c r="Q37" s="3"/>
    </row>
    <row r="38" spans="2:17">
      <c r="B38" t="str">
        <v>WASSOLPLAREC19</v>
      </c>
      <c r="C38" s="15" t="s">
        <v>381</v>
      </c>
      <c r="D38" t="s">
        <v>454</v>
      </c>
      <c r="E38" s="3">
        <f>IF(_xlfn.XLOOKUP(B38,'WAS RESID'!K:K,'WAS RESID'!U:U)&lt;0,0,(_xlfn.XLOOKUP(B38,'WAS RESID'!K:K,'WAS RESID'!U:U)))</f>
        <v>0</v>
      </c>
      <c r="F38" s="3">
        <f>IF(_xlfn.XLOOKUP(B38,'WAS RESID'!K:K,'WAS RESID'!T:T)&lt;0,0,(_xlfn.XLOOKUP(B38,'WAS RESID'!K:K,'WAS RESID'!T:T)))</f>
        <v>0</v>
      </c>
      <c r="G38" s="3">
        <f>IF(_xlfn.XLOOKUP(B38,'WAS RESID'!K:K,'WAS RESID'!V:V)&lt;0,0,(_xlfn.XLOOKUP(B38,'WAS RESID'!K:K,'WAS RESID'!V:V)))</f>
        <v>0</v>
      </c>
      <c r="H38" s="3">
        <f>E38+F38*'Emission Factors Hub'!$E$8+G38*'Emission Factors Hub'!$E$9</f>
        <v>0</v>
      </c>
      <c r="L38" s="15"/>
      <c r="N38" s="3"/>
      <c r="O38" s="3"/>
      <c r="P38" s="3"/>
      <c r="Q38" s="3"/>
    </row>
    <row r="39" spans="2:17">
      <c r="B39" t="str">
        <v>WASSOLFOOREC19</v>
      </c>
      <c r="C39" s="15" t="s">
        <v>381</v>
      </c>
      <c r="D39" t="s">
        <v>454</v>
      </c>
      <c r="E39" s="3">
        <f>IF(_xlfn.XLOOKUP(B39,'WAS RESID'!K:K,'WAS RESID'!U:U)&lt;0,0,(_xlfn.XLOOKUP(B39,'WAS RESID'!K:K,'WAS RESID'!U:U)))</f>
        <v>0</v>
      </c>
      <c r="F39" s="3">
        <f>IF(_xlfn.XLOOKUP(B39,'WAS RESID'!K:K,'WAS RESID'!T:T)&lt;0,0,(_xlfn.XLOOKUP(B39,'WAS RESID'!K:K,'WAS RESID'!T:T)))</f>
        <v>0</v>
      </c>
      <c r="G39" s="3">
        <f>IF(_xlfn.XLOOKUP(B39,'WAS RESID'!K:K,'WAS RESID'!V:V)&lt;0,0,(_xlfn.XLOOKUP(B39,'WAS RESID'!K:K,'WAS RESID'!V:V)))</f>
        <v>0</v>
      </c>
      <c r="H39" s="3">
        <f>E39+F39*'Emission Factors Hub'!$E$8+G39*'Emission Factors Hub'!$E$9</f>
        <v>0</v>
      </c>
      <c r="L39" s="15"/>
      <c r="N39" s="3"/>
      <c r="O39" s="3"/>
      <c r="P39" s="3"/>
      <c r="Q39" s="3"/>
    </row>
    <row r="40" spans="2:17">
      <c r="B40" t="str">
        <v>WASSOLYARREC19</v>
      </c>
      <c r="C40" s="15" t="s">
        <v>381</v>
      </c>
      <c r="D40" t="s">
        <v>454</v>
      </c>
      <c r="E40" s="3">
        <f>IF(_xlfn.XLOOKUP(B40,'WAS RESID'!K:K,'WAS RESID'!U:U)&lt;0,0,(_xlfn.XLOOKUP(B40,'WAS RESID'!K:K,'WAS RESID'!U:U)))</f>
        <v>0</v>
      </c>
      <c r="F40" s="3">
        <f>IF(_xlfn.XLOOKUP(B40,'WAS RESID'!K:K,'WAS RESID'!T:T)&lt;0,0,(_xlfn.XLOOKUP(B40,'WAS RESID'!K:K,'WAS RESID'!T:T)))</f>
        <v>0</v>
      </c>
      <c r="G40" s="3">
        <f>IF(_xlfn.XLOOKUP(B40,'WAS RESID'!K:K,'WAS RESID'!V:V)&lt;0,0,(_xlfn.XLOOKUP(B40,'WAS RESID'!K:K,'WAS RESID'!V:V)))</f>
        <v>0</v>
      </c>
      <c r="H40" s="3">
        <f>E40+F40*'Emission Factors Hub'!$E$8+G40*'Emission Factors Hub'!$E$9</f>
        <v>0</v>
      </c>
      <c r="L40" s="15"/>
      <c r="N40" s="3"/>
      <c r="O40" s="3"/>
      <c r="P40" s="3"/>
      <c r="Q40" s="3"/>
    </row>
    <row r="41" spans="2:17">
      <c r="B41" s="319" t="str">
        <v>WASSOLAOTREC19</v>
      </c>
      <c r="C41" s="323" t="s">
        <v>381</v>
      </c>
      <c r="D41" s="319" t="s">
        <v>454</v>
      </c>
      <c r="E41" s="320">
        <f>IF(_xlfn.XLOOKUP(B41,'WAS RESID'!K:K,'WAS RESID'!U:U)&lt;0,0,(_xlfn.XLOOKUP(B41,'WAS RESID'!K:K,'WAS RESID'!U:U)))</f>
        <v>0</v>
      </c>
      <c r="F41" s="320">
        <f>IF(_xlfn.XLOOKUP(B41,'WAS RESID'!K:K,'WAS RESID'!T:T)&lt;0,0,(_xlfn.XLOOKUP(B41,'WAS RESID'!K:K,'WAS RESID'!T:T)))</f>
        <v>0</v>
      </c>
      <c r="G41" s="320">
        <f>IF(_xlfn.XLOOKUP(B41,'WAS RESID'!K:K,'WAS RESID'!V:V)&lt;0,0,(_xlfn.XLOOKUP(B41,'WAS RESID'!K:K,'WAS RESID'!V:V)))</f>
        <v>0</v>
      </c>
      <c r="H41" s="320">
        <f>E41+F41*'Emission Factors Hub'!$E$8+G41*'Emission Factors Hub'!$E$9</f>
        <v>0</v>
      </c>
      <c r="L41" s="15"/>
      <c r="N41" s="3"/>
      <c r="O41" s="3"/>
      <c r="P41" s="3"/>
      <c r="Q41" s="3"/>
    </row>
    <row r="42" spans="2:17">
      <c r="B42" s="318" t="str">
        <v>WASSOLHISLDF19</v>
      </c>
      <c r="C42" s="324" t="s">
        <v>381</v>
      </c>
      <c r="D42" s="318" t="s">
        <v>454</v>
      </c>
      <c r="E42" s="322">
        <f>IF(_xlfn.XLOOKUP(B42,'WAS RESID'!K:K,'WAS RESID'!U:U)&lt;0,0,(_xlfn.XLOOKUP(B42,'WAS RESID'!K:K,'WAS RESID'!U:U)))</f>
        <v>0</v>
      </c>
      <c r="F42" s="322">
        <f>IF(_xlfn.XLOOKUP(B42,'WAS RESID'!K:K,'WAS RESID'!T:T)&lt;0,0,(_xlfn.XLOOKUP(B42,'WAS RESID'!K:K,'WAS RESID'!T:T)))</f>
        <v>0</v>
      </c>
      <c r="G42" s="322">
        <f>IF(_xlfn.XLOOKUP(B42,'WAS RESID'!K:K,'WAS RESID'!V:V)&lt;0,0,(_xlfn.XLOOKUP(B42,'WAS RESID'!K:K,'WAS RESID'!V:V)))</f>
        <v>2.2198833084169389E-4</v>
      </c>
      <c r="H42" s="322">
        <f>E42+F42*'Emission Factors Hub'!$E$8+G42*'Emission Factors Hub'!$E$9</f>
        <v>6.6152522590824783E-2</v>
      </c>
      <c r="L42" s="15"/>
      <c r="N42" s="3"/>
      <c r="O42" s="3"/>
      <c r="P42" s="3"/>
      <c r="Q42" s="3"/>
    </row>
    <row r="43" spans="2:17">
      <c r="B43" t="str">
        <v>WASWATTRTNOT19</v>
      </c>
      <c r="C43" s="15" t="s">
        <v>381</v>
      </c>
      <c r="D43" t="s">
        <v>454</v>
      </c>
      <c r="E43" s="3">
        <f>IF(_xlfn.XLOOKUP(B43,'WAS RESID'!K:K,'WAS RESID'!U:U)&lt;0,0,(_xlfn.XLOOKUP(B43,'WAS RESID'!K:K,'WAS RESID'!U:U)))</f>
        <v>0</v>
      </c>
      <c r="F43" s="3">
        <f>IF(_xlfn.XLOOKUP(B43,'WAS RESID'!K:K,'WAS RESID'!T:T)&lt;0,0,(_xlfn.XLOOKUP(B43,'WAS RESID'!K:K,'WAS RESID'!T:T)))</f>
        <v>0</v>
      </c>
      <c r="G43" s="3">
        <f>IF(_xlfn.XLOOKUP(B43,'WAS RESID'!K:K,'WAS RESID'!V:V)&lt;0,0,(_xlfn.XLOOKUP(B43,'WAS RESID'!K:K,'WAS RESID'!V:V)))</f>
        <v>0.38551981604744878</v>
      </c>
      <c r="H43" s="3">
        <f>E43+F43*'Emission Factors Hub'!$E$8+G43*'Emission Factors Hub'!$E$9</f>
        <v>114.88490518213973</v>
      </c>
      <c r="L43" s="15"/>
      <c r="N43" s="3"/>
      <c r="O43" s="3"/>
      <c r="P43" s="3"/>
      <c r="Q43" s="3"/>
    </row>
    <row r="44" spans="2:17">
      <c r="B44" t="str">
        <v>WASWATTRTWAD19</v>
      </c>
      <c r="C44" s="15" t="s">
        <v>381</v>
      </c>
      <c r="D44" t="s">
        <v>454</v>
      </c>
      <c r="E44" s="3">
        <f>IF(_xlfn.XLOOKUP(B44,'WAS RESID'!K:K,'WAS RESID'!U:U)&lt;0,0,(_xlfn.XLOOKUP(B44,'WAS RESID'!K:K,'WAS RESID'!U:U)))</f>
        <v>0</v>
      </c>
      <c r="F44" s="3">
        <f>IF(_xlfn.XLOOKUP(B44,'WAS RESID'!K:K,'WAS RESID'!T:T)&lt;0,0,(_xlfn.XLOOKUP(B44,'WAS RESID'!K:K,'WAS RESID'!T:T)))</f>
        <v>0</v>
      </c>
      <c r="G44" s="3">
        <f>IF(_xlfn.XLOOKUP(B44,'WAS RESID'!K:K,'WAS RESID'!V:V)&lt;0,0,(_xlfn.XLOOKUP(B44,'WAS RESID'!K:K,'WAS RESID'!V:V)))</f>
        <v>0.38551981604744878</v>
      </c>
      <c r="H44" s="3">
        <f>E44+F44*'Emission Factors Hub'!$E$8+G44*'Emission Factors Hub'!$E$9</f>
        <v>114.88490518213973</v>
      </c>
      <c r="L44" s="15"/>
      <c r="N44" s="3"/>
      <c r="O44" s="3"/>
      <c r="P44" s="3"/>
      <c r="Q44" s="3"/>
    </row>
    <row r="45" spans="2:17">
      <c r="B45" t="str">
        <v>WASWATTRTWDN19</v>
      </c>
      <c r="C45" s="15" t="s">
        <v>381</v>
      </c>
      <c r="D45" t="s">
        <v>454</v>
      </c>
      <c r="E45" s="3">
        <f>IF(_xlfn.XLOOKUP(B45,'WAS RESID'!K:K,'WAS RESID'!U:U)&lt;0,0,(_xlfn.XLOOKUP(B45,'WAS RESID'!K:K,'WAS RESID'!U:U)))</f>
        <v>0</v>
      </c>
      <c r="F45" s="3">
        <f>IF(_xlfn.XLOOKUP(B45,'WAS RESID'!K:K,'WAS RESID'!T:T)&lt;0,0,(_xlfn.XLOOKUP(B45,'WAS RESID'!K:K,'WAS RESID'!T:T)))</f>
        <v>0</v>
      </c>
      <c r="G45" s="3">
        <f>IF(_xlfn.XLOOKUP(B45,'WAS RESID'!K:K,'WAS RESID'!V:V)&lt;0,0,(_xlfn.XLOOKUP(B45,'WAS RESID'!K:K,'WAS RESID'!V:V)))</f>
        <v>6.0746945574593689E-2</v>
      </c>
      <c r="H45" s="3">
        <f>E45+F45*'Emission Factors Hub'!$E$8+G45*'Emission Factors Hub'!$E$9</f>
        <v>18.102589781228918</v>
      </c>
      <c r="L45" s="15"/>
      <c r="N45" s="3"/>
      <c r="O45" s="3"/>
      <c r="P45" s="3"/>
      <c r="Q45" s="3"/>
    </row>
    <row r="46" spans="2:17">
      <c r="B46" t="str">
        <v>WASWATTRTWAN19</v>
      </c>
      <c r="C46" s="15" t="s">
        <v>381</v>
      </c>
      <c r="D46" t="s">
        <v>454</v>
      </c>
      <c r="E46" s="3">
        <f>IF(_xlfn.XLOOKUP(B46,'WAS RESID'!K:K,'WAS RESID'!U:U)&lt;0,0,(_xlfn.XLOOKUP(B46,'WAS RESID'!K:K,'WAS RESID'!U:U)))</f>
        <v>0</v>
      </c>
      <c r="F46" s="3">
        <f>IF(_xlfn.XLOOKUP(B46,'WAS RESID'!K:K,'WAS RESID'!T:T)&lt;0,0,(_xlfn.XLOOKUP(B46,'WAS RESID'!K:K,'WAS RESID'!T:T)))</f>
        <v>0</v>
      </c>
      <c r="G46" s="3">
        <f>IF(_xlfn.XLOOKUP(B46,'WAS RESID'!K:K,'WAS RESID'!V:V)&lt;0,0,(_xlfn.XLOOKUP(B46,'WAS RESID'!K:K,'WAS RESID'!V:V)))</f>
        <v>6.0746945574593689E-2</v>
      </c>
      <c r="H46" s="3">
        <f>E46+F46*'Emission Factors Hub'!$E$8+G46*'Emission Factors Hub'!$E$9</f>
        <v>18.102589781228918</v>
      </c>
      <c r="L46" s="15"/>
      <c r="N46" s="3"/>
      <c r="O46" s="3"/>
      <c r="P46" s="3"/>
      <c r="Q46" s="3"/>
    </row>
    <row r="47" spans="2:17">
      <c r="E47" s="3"/>
      <c r="F47" s="3"/>
      <c r="N47" s="3"/>
      <c r="O47" s="3"/>
    </row>
    <row r="48" spans="2:17">
      <c r="E48" s="3"/>
      <c r="F48" s="3"/>
      <c r="N48" s="3"/>
      <c r="O48" s="3"/>
    </row>
    <row r="49" spans="5:15">
      <c r="E49" s="3"/>
      <c r="F49" s="3"/>
      <c r="N49" s="3"/>
      <c r="O49" s="3"/>
    </row>
    <row r="50" spans="5:15">
      <c r="E50" s="3"/>
      <c r="F50" s="3"/>
      <c r="N50" s="3"/>
      <c r="O50" s="3"/>
    </row>
    <row r="51" spans="5:15">
      <c r="E51" s="3"/>
      <c r="F51" s="3"/>
      <c r="N51" s="3"/>
      <c r="O51" s="3"/>
    </row>
    <row r="52" spans="5:15">
      <c r="E52" s="3"/>
      <c r="F52" s="3"/>
      <c r="N52" s="3"/>
      <c r="O52" s="3"/>
    </row>
    <row r="53" spans="5:15">
      <c r="E53" s="3"/>
      <c r="F53" s="3"/>
      <c r="N53" s="3"/>
      <c r="O53" s="3"/>
    </row>
    <row r="54" spans="5:15">
      <c r="E54" s="3"/>
      <c r="F54" s="3"/>
      <c r="N54" s="3"/>
      <c r="O54" s="3"/>
    </row>
    <row r="55" spans="5:15">
      <c r="E55" s="3"/>
      <c r="F55" s="3"/>
      <c r="N55" s="3"/>
      <c r="O55" s="3"/>
    </row>
    <row r="56" spans="5:15">
      <c r="E56" s="3"/>
      <c r="F56" s="3"/>
      <c r="N56" s="3"/>
      <c r="O56" s="3"/>
    </row>
    <row r="57" spans="5:15">
      <c r="E57" s="3"/>
      <c r="F57" s="3"/>
      <c r="N57" s="3"/>
      <c r="O57" s="3"/>
    </row>
    <row r="58" spans="5:15">
      <c r="E58" s="3"/>
      <c r="F58" s="3"/>
      <c r="N58" s="3"/>
      <c r="O58" s="3"/>
    </row>
    <row r="59" spans="5:15">
      <c r="E59" s="3"/>
      <c r="F59" s="3"/>
      <c r="N59" s="3"/>
      <c r="O59" s="3"/>
    </row>
    <row r="60" spans="5:15">
      <c r="E60" s="3"/>
      <c r="F60" s="3"/>
      <c r="N60" s="3"/>
      <c r="O60" s="3"/>
    </row>
    <row r="61" spans="5:15">
      <c r="E61" s="3"/>
      <c r="F61" s="3"/>
      <c r="N61" s="3"/>
      <c r="O61" s="3"/>
    </row>
    <row r="62" spans="5:15">
      <c r="E62" s="3"/>
      <c r="F62" s="3"/>
      <c r="N62" s="3"/>
      <c r="O62" s="3"/>
    </row>
    <row r="63" spans="5:15">
      <c r="E63" s="3"/>
      <c r="F63" s="3"/>
      <c r="N63" s="3"/>
      <c r="O63" s="3"/>
    </row>
    <row r="64" spans="5:15">
      <c r="E64" s="3"/>
      <c r="F64" s="3"/>
      <c r="N64" s="3"/>
      <c r="O64" s="3"/>
    </row>
    <row r="65" spans="5:15">
      <c r="E65" s="3"/>
      <c r="F65" s="3"/>
      <c r="N65" s="3"/>
      <c r="O65" s="3"/>
    </row>
    <row r="66" spans="5:15">
      <c r="E66" s="3"/>
      <c r="F66" s="3"/>
      <c r="N66" s="3"/>
      <c r="O66" s="3"/>
    </row>
    <row r="67" spans="5:15">
      <c r="E67" s="3"/>
      <c r="F67" s="3"/>
      <c r="N67" s="3"/>
      <c r="O67" s="3"/>
    </row>
    <row r="68" spans="5:15">
      <c r="E68" s="3"/>
      <c r="F68" s="3"/>
      <c r="N68" s="3"/>
      <c r="O68" s="3"/>
    </row>
    <row r="69" spans="5:15">
      <c r="E69" s="3"/>
      <c r="F69" s="3"/>
      <c r="N69" s="3"/>
      <c r="O69" s="3"/>
    </row>
    <row r="70" spans="5:15">
      <c r="E70" s="3"/>
      <c r="F70" s="3"/>
      <c r="N70" s="3"/>
      <c r="O70" s="3"/>
    </row>
    <row r="71" spans="5:15">
      <c r="E71" s="3"/>
      <c r="F71" s="3"/>
      <c r="N71" s="3"/>
      <c r="O71" s="3"/>
    </row>
    <row r="72" spans="5:15">
      <c r="E72" s="3"/>
      <c r="F72" s="3"/>
      <c r="N72" s="3"/>
      <c r="O72" s="3"/>
    </row>
    <row r="73" spans="5:15">
      <c r="E73" s="3"/>
      <c r="F73" s="3"/>
      <c r="N73" s="3"/>
      <c r="O73" s="3"/>
    </row>
    <row r="74" spans="5:15">
      <c r="E74" s="3"/>
      <c r="F74" s="3"/>
      <c r="N74" s="3"/>
      <c r="O74" s="3"/>
    </row>
    <row r="75" spans="5:15">
      <c r="E75" s="3"/>
      <c r="F75" s="3"/>
      <c r="N75" s="3"/>
      <c r="O75" s="3"/>
    </row>
    <row r="76" spans="5:15">
      <c r="E76" s="3"/>
      <c r="F76" s="3"/>
      <c r="N76" s="3"/>
      <c r="O76" s="3"/>
    </row>
    <row r="77" spans="5:15">
      <c r="E77" s="3"/>
      <c r="F77" s="3"/>
      <c r="N77" s="3"/>
      <c r="O77" s="3"/>
    </row>
    <row r="78" spans="5:15">
      <c r="E78" s="3"/>
      <c r="F78" s="3"/>
      <c r="N78" s="3"/>
      <c r="O78" s="3"/>
    </row>
    <row r="79" spans="5:15">
      <c r="E79" s="3"/>
      <c r="F79" s="3"/>
      <c r="N79" s="3"/>
      <c r="O79" s="3"/>
    </row>
    <row r="80" spans="5:15">
      <c r="E80" s="3"/>
      <c r="F80" s="3"/>
      <c r="N80" s="3"/>
      <c r="O80" s="3"/>
    </row>
    <row r="81" spans="5:15">
      <c r="E81" s="3"/>
      <c r="F81" s="3"/>
      <c r="N81" s="3"/>
      <c r="O81" s="3"/>
    </row>
    <row r="82" spans="5:15">
      <c r="E82" s="3"/>
      <c r="F82" s="3"/>
      <c r="N82" s="3"/>
      <c r="O82" s="3"/>
    </row>
    <row r="83" spans="5:15">
      <c r="E83" s="3"/>
      <c r="F83" s="3"/>
      <c r="N83" s="3"/>
      <c r="O83" s="3"/>
    </row>
    <row r="84" spans="5:15">
      <c r="E84" s="3"/>
      <c r="F84" s="3"/>
      <c r="N84" s="3"/>
      <c r="O84" s="3"/>
    </row>
    <row r="85" spans="5:15">
      <c r="E85" s="3"/>
      <c r="F85" s="3"/>
      <c r="N85" s="3"/>
      <c r="O85" s="3"/>
    </row>
    <row r="86" spans="5:15">
      <c r="E86" s="3"/>
      <c r="F86" s="3"/>
      <c r="N86" s="3"/>
      <c r="O86" s="3"/>
    </row>
    <row r="87" spans="5:15">
      <c r="E87" s="3"/>
      <c r="F87" s="3"/>
      <c r="N87" s="3"/>
      <c r="O87" s="3"/>
    </row>
    <row r="88" spans="5:15">
      <c r="E88" s="3"/>
      <c r="F88" s="3"/>
      <c r="N88" s="3"/>
      <c r="O88" s="3"/>
    </row>
    <row r="89" spans="5:15">
      <c r="E89" s="3"/>
      <c r="F89" s="3"/>
      <c r="N89" s="3"/>
      <c r="O89" s="3"/>
    </row>
    <row r="90" spans="5:15">
      <c r="E90" s="3"/>
      <c r="F90" s="3"/>
      <c r="N90" s="3"/>
      <c r="O90" s="3"/>
    </row>
    <row r="91" spans="5:15">
      <c r="E91" s="3"/>
      <c r="F91" s="3"/>
      <c r="N91" s="3"/>
      <c r="O91" s="3"/>
    </row>
    <row r="92" spans="5:15">
      <c r="E92" s="3"/>
      <c r="F92" s="3"/>
      <c r="N92" s="3"/>
      <c r="O92" s="3"/>
    </row>
    <row r="93" spans="5:15">
      <c r="E93" s="3"/>
      <c r="F93" s="3"/>
      <c r="N93" s="3"/>
      <c r="O93" s="3"/>
    </row>
    <row r="94" spans="5:15">
      <c r="E94" s="3"/>
      <c r="F94" s="3"/>
      <c r="N94" s="3"/>
      <c r="O94" s="3"/>
    </row>
    <row r="95" spans="5:15">
      <c r="E95" s="3"/>
      <c r="F95" s="3"/>
      <c r="N95" s="3"/>
      <c r="O95" s="3"/>
    </row>
    <row r="96" spans="5:15">
      <c r="E96" s="3"/>
      <c r="F96" s="3"/>
      <c r="N96" s="3"/>
      <c r="O96" s="3"/>
    </row>
    <row r="97" spans="5:15">
      <c r="E97" s="3"/>
      <c r="F97" s="3"/>
      <c r="N97" s="3"/>
      <c r="O97" s="3"/>
    </row>
    <row r="98" spans="5:15">
      <c r="E98" s="3"/>
      <c r="F98" s="3"/>
      <c r="N98" s="3"/>
      <c r="O98" s="3"/>
    </row>
    <row r="99" spans="5:15">
      <c r="E99" s="3"/>
      <c r="F99" s="3"/>
      <c r="N99" s="3"/>
      <c r="O99" s="3"/>
    </row>
    <row r="100" spans="5:15">
      <c r="E100" s="3"/>
      <c r="F100" s="3"/>
      <c r="N100" s="3"/>
      <c r="O100" s="3"/>
    </row>
    <row r="101" spans="5:15">
      <c r="E101" s="3"/>
      <c r="F101" s="3"/>
      <c r="N101" s="3"/>
      <c r="O101" s="3"/>
    </row>
    <row r="102" spans="5:15">
      <c r="E102" s="3"/>
      <c r="F102" s="3"/>
      <c r="N102" s="3"/>
      <c r="O102" s="3"/>
    </row>
    <row r="103" spans="5:15">
      <c r="E103" s="3"/>
      <c r="F103" s="3"/>
      <c r="N103" s="3"/>
      <c r="O103" s="3"/>
    </row>
    <row r="104" spans="5:15">
      <c r="E104" s="3"/>
      <c r="F104" s="3"/>
      <c r="N104" s="3"/>
      <c r="O104" s="3"/>
    </row>
    <row r="105" spans="5:15">
      <c r="E105" s="3"/>
      <c r="F105" s="3"/>
      <c r="N105" s="3"/>
      <c r="O105" s="3"/>
    </row>
    <row r="106" spans="5:15">
      <c r="E106" s="3"/>
      <c r="F106" s="3"/>
      <c r="N106" s="3"/>
      <c r="O106" s="3"/>
    </row>
    <row r="107" spans="5:15">
      <c r="E107" s="3"/>
      <c r="F107" s="3"/>
      <c r="N107" s="3"/>
      <c r="O107" s="3"/>
    </row>
    <row r="108" spans="5:15">
      <c r="E108" s="3"/>
      <c r="F108" s="3"/>
      <c r="N108" s="3"/>
      <c r="O108" s="3"/>
    </row>
    <row r="109" spans="5:15">
      <c r="E109" s="3"/>
      <c r="F109" s="3"/>
      <c r="N109" s="3"/>
      <c r="O109" s="3"/>
    </row>
    <row r="110" spans="5:15">
      <c r="E110" s="3"/>
      <c r="F110" s="3"/>
      <c r="N110" s="3"/>
      <c r="O110" s="3"/>
    </row>
    <row r="111" spans="5:15">
      <c r="E111" s="3"/>
      <c r="F111" s="3"/>
      <c r="N111" s="3"/>
      <c r="O111" s="3"/>
    </row>
    <row r="112" spans="5:15">
      <c r="E112" s="3"/>
      <c r="F112" s="3"/>
      <c r="N112" s="3"/>
      <c r="O112" s="3"/>
    </row>
    <row r="113" spans="5:15">
      <c r="E113" s="3"/>
      <c r="F113" s="3"/>
      <c r="N113" s="3"/>
      <c r="O113" s="3"/>
    </row>
    <row r="114" spans="5:15">
      <c r="E114" s="3"/>
      <c r="F114" s="3"/>
      <c r="N114" s="3"/>
      <c r="O114" s="3"/>
    </row>
    <row r="115" spans="5:15">
      <c r="E115" s="3"/>
      <c r="F115" s="3"/>
      <c r="N115" s="3"/>
      <c r="O115" s="3"/>
    </row>
    <row r="116" spans="5:15">
      <c r="E116" s="3"/>
      <c r="F116" s="3"/>
      <c r="N116" s="3"/>
      <c r="O116" s="3"/>
    </row>
    <row r="117" spans="5:15">
      <c r="E117" s="3"/>
      <c r="F117" s="3"/>
      <c r="N117" s="3"/>
      <c r="O117" s="3"/>
    </row>
    <row r="118" spans="5:15">
      <c r="E118" s="3"/>
      <c r="F118" s="3"/>
      <c r="N118" s="3"/>
      <c r="O118" s="3"/>
    </row>
    <row r="119" spans="5:15">
      <c r="E119" s="3"/>
      <c r="F119" s="3"/>
      <c r="N119" s="3"/>
      <c r="O119" s="3"/>
    </row>
    <row r="120" spans="5:15">
      <c r="E120" s="3"/>
      <c r="F120" s="3"/>
      <c r="N120" s="3"/>
      <c r="O120" s="3"/>
    </row>
    <row r="121" spans="5:15">
      <c r="E121" s="3"/>
      <c r="F121" s="3"/>
      <c r="N121" s="3"/>
      <c r="O121" s="3"/>
    </row>
    <row r="122" spans="5:15">
      <c r="E122" s="3"/>
      <c r="F122" s="3"/>
      <c r="N122" s="3"/>
      <c r="O122" s="3"/>
    </row>
    <row r="123" spans="5:15">
      <c r="E123" s="3"/>
      <c r="F123" s="3"/>
      <c r="N123" s="3"/>
      <c r="O123" s="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2" tint="-0.499984740745262"/>
  </sheetPr>
  <dimension ref="A1"/>
  <sheetViews>
    <sheetView workbookViewId="0">
      <selection activeCell="H6" sqref="H6:I9"/>
    </sheetView>
  </sheetViews>
  <sheetFormatPr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560"/>
  <sheetViews>
    <sheetView showGridLines="0" topLeftCell="C2" zoomScaleNormal="100" zoomScalePageLayoutView="85" workbookViewId="0">
      <selection activeCell="H6" sqref="H6:I9"/>
    </sheetView>
  </sheetViews>
  <sheetFormatPr defaultColWidth="10" defaultRowHeight="12.75"/>
  <cols>
    <col min="1" max="1" width="3.140625" style="335" customWidth="1"/>
    <col min="2" max="2" width="15.140625" style="256" customWidth="1"/>
    <col min="3" max="3" width="29.5703125" style="335" customWidth="1"/>
    <col min="4" max="4" width="22" style="335" customWidth="1"/>
    <col min="5" max="5" width="16.42578125" style="335" customWidth="1"/>
    <col min="6" max="6" width="16.140625" style="335" customWidth="1"/>
    <col min="7" max="7" width="16.85546875" style="335" customWidth="1"/>
    <col min="8" max="8" width="21.85546875" style="335" customWidth="1"/>
    <col min="9" max="9" width="21.140625" style="335" customWidth="1"/>
    <col min="10" max="10" width="14.5703125" style="335" customWidth="1"/>
    <col min="11" max="11" width="23.28515625" style="335" customWidth="1"/>
    <col min="12" max="12" width="14.5703125" style="335" customWidth="1"/>
    <col min="13" max="13" width="12.28515625" style="335" customWidth="1"/>
    <col min="14" max="17" width="15.7109375" style="335" customWidth="1"/>
    <col min="18" max="18" width="16.140625" style="335" customWidth="1"/>
    <col min="19" max="47" width="10" style="335" customWidth="1"/>
    <col min="48" max="16384" width="10" style="335"/>
  </cols>
  <sheetData>
    <row r="1" spans="1:27" ht="80.25" customHeight="1">
      <c r="A1" s="16"/>
      <c r="B1" s="17"/>
      <c r="C1" s="16"/>
      <c r="D1" s="16"/>
      <c r="E1" s="16"/>
      <c r="F1" s="16"/>
      <c r="G1" s="16"/>
      <c r="H1" s="16"/>
      <c r="I1" s="16"/>
      <c r="J1" s="16"/>
      <c r="K1" s="16"/>
      <c r="L1" s="16"/>
      <c r="M1" s="16"/>
      <c r="N1" s="16"/>
      <c r="O1" s="16"/>
      <c r="P1" s="16"/>
      <c r="Q1" s="16"/>
      <c r="R1" s="16"/>
      <c r="S1" s="16"/>
      <c r="T1" s="16"/>
      <c r="U1" s="16"/>
      <c r="V1" s="16"/>
      <c r="W1" s="16"/>
      <c r="X1" s="16"/>
      <c r="Y1" s="16"/>
      <c r="Z1" s="16"/>
      <c r="AA1" s="16"/>
    </row>
    <row r="2" spans="1:27" ht="21" customHeight="1">
      <c r="A2" s="16"/>
      <c r="B2" s="382" t="s">
        <v>455</v>
      </c>
      <c r="C2" s="346"/>
      <c r="D2" s="346"/>
      <c r="E2" s="346"/>
      <c r="F2" s="346"/>
      <c r="G2" s="346"/>
      <c r="H2" s="346"/>
      <c r="I2" s="346"/>
      <c r="J2" s="346"/>
      <c r="K2" s="346"/>
      <c r="L2" s="363"/>
      <c r="M2" s="16"/>
      <c r="N2" s="16"/>
      <c r="O2" s="16"/>
      <c r="P2" s="16"/>
      <c r="Q2" s="16"/>
      <c r="R2" s="16"/>
      <c r="S2" s="16"/>
      <c r="T2" s="16"/>
      <c r="U2" s="16"/>
      <c r="V2" s="16"/>
      <c r="W2" s="16"/>
      <c r="X2" s="16"/>
      <c r="Y2" s="16"/>
      <c r="Z2" s="16"/>
      <c r="AA2" s="16"/>
    </row>
    <row r="3" spans="1:27">
      <c r="A3" s="16"/>
      <c r="B3" s="17"/>
      <c r="C3" s="16"/>
      <c r="D3" s="16"/>
      <c r="F3" s="18" t="s">
        <v>456</v>
      </c>
      <c r="G3" s="19"/>
      <c r="H3" s="16"/>
      <c r="I3" s="16"/>
      <c r="J3" s="16"/>
      <c r="K3" s="16"/>
      <c r="L3" s="16"/>
      <c r="M3" s="16"/>
      <c r="N3" s="16"/>
      <c r="O3" s="16"/>
      <c r="P3" s="16"/>
      <c r="Q3" s="16"/>
      <c r="R3" s="16"/>
      <c r="S3" s="16"/>
      <c r="T3" s="16"/>
      <c r="U3" s="16"/>
      <c r="V3" s="16"/>
      <c r="W3" s="16"/>
      <c r="X3" s="16"/>
      <c r="Y3" s="16"/>
      <c r="Z3" s="16"/>
      <c r="AA3" s="16"/>
    </row>
    <row r="4" spans="1:27" ht="17.45" customHeight="1">
      <c r="A4" s="16"/>
      <c r="B4" s="17"/>
      <c r="C4" s="20" t="s">
        <v>457</v>
      </c>
      <c r="D4" s="16"/>
      <c r="E4" s="16"/>
      <c r="F4" s="16"/>
      <c r="G4" s="21"/>
      <c r="H4" s="16"/>
      <c r="I4" s="16"/>
      <c r="J4" s="16"/>
      <c r="K4" s="16"/>
      <c r="L4" s="16"/>
      <c r="M4" s="16"/>
      <c r="N4" s="16"/>
      <c r="O4" s="16"/>
      <c r="P4" s="16"/>
      <c r="Q4" s="16"/>
      <c r="R4" s="16"/>
      <c r="S4" s="16"/>
      <c r="T4" s="16"/>
      <c r="U4" s="16"/>
      <c r="V4" s="16"/>
      <c r="W4" s="16"/>
      <c r="X4" s="16"/>
      <c r="Y4" s="16"/>
      <c r="Z4" s="16"/>
      <c r="AA4" s="16"/>
    </row>
    <row r="5" spans="1:27" ht="36.75" customHeight="1">
      <c r="A5" s="16"/>
      <c r="B5" s="17"/>
      <c r="C5" s="390" t="s">
        <v>458</v>
      </c>
      <c r="D5" s="351"/>
      <c r="E5" s="351"/>
      <c r="F5" s="351"/>
      <c r="G5" s="351"/>
      <c r="H5" s="351"/>
      <c r="I5" s="351"/>
      <c r="J5" s="351"/>
      <c r="K5" s="351"/>
      <c r="L5" s="351"/>
      <c r="M5" s="16"/>
      <c r="N5" s="16"/>
      <c r="O5" s="16"/>
      <c r="P5" s="16"/>
      <c r="Q5" s="16"/>
      <c r="R5" s="16"/>
      <c r="S5" s="16"/>
      <c r="T5" s="16"/>
      <c r="U5" s="16"/>
      <c r="V5" s="16"/>
      <c r="W5" s="16"/>
      <c r="X5" s="16"/>
      <c r="Y5" s="16"/>
      <c r="Z5" s="16"/>
      <c r="AA5" s="16"/>
    </row>
    <row r="6" spans="1:27" ht="13.9" customHeight="1" thickBot="1">
      <c r="A6" s="16"/>
      <c r="B6" s="17"/>
      <c r="C6" s="22"/>
      <c r="D6" s="338"/>
      <c r="E6" s="338"/>
      <c r="F6" s="338"/>
      <c r="G6" s="338"/>
      <c r="H6" s="338"/>
      <c r="I6" s="338"/>
      <c r="J6" s="338"/>
      <c r="K6" s="338"/>
      <c r="L6" s="338"/>
      <c r="M6" s="16"/>
      <c r="N6" s="16"/>
      <c r="O6" s="16"/>
      <c r="P6" s="16"/>
      <c r="Q6" s="16"/>
      <c r="R6" s="16"/>
      <c r="S6" s="16"/>
      <c r="T6" s="16"/>
      <c r="U6" s="16"/>
      <c r="V6" s="16"/>
      <c r="W6" s="16"/>
      <c r="X6" s="16"/>
      <c r="Y6" s="16"/>
      <c r="Z6" s="16"/>
      <c r="AA6" s="16"/>
    </row>
    <row r="7" spans="1:27" ht="13.9" customHeight="1" thickBot="1">
      <c r="A7" s="16"/>
      <c r="B7" s="17"/>
      <c r="C7" s="16"/>
      <c r="D7" s="23" t="s">
        <v>459</v>
      </c>
      <c r="E7" s="24" t="s">
        <v>460</v>
      </c>
      <c r="F7" s="338"/>
      <c r="G7" s="338"/>
      <c r="H7" s="338"/>
      <c r="I7" s="338"/>
      <c r="J7" s="338"/>
      <c r="K7" s="338"/>
      <c r="L7" s="338"/>
      <c r="M7" s="16"/>
      <c r="N7" s="16"/>
      <c r="O7" s="16"/>
      <c r="P7" s="16"/>
      <c r="Q7" s="16"/>
      <c r="R7" s="16"/>
      <c r="S7" s="16"/>
      <c r="T7" s="16"/>
      <c r="U7" s="16"/>
      <c r="V7" s="16"/>
      <c r="W7" s="16"/>
      <c r="X7" s="16"/>
      <c r="Y7" s="16"/>
      <c r="Z7" s="16"/>
      <c r="AA7" s="16"/>
    </row>
    <row r="8" spans="1:27" ht="15.6" customHeight="1">
      <c r="A8" s="16"/>
      <c r="B8" s="17"/>
      <c r="C8" s="16"/>
      <c r="D8" s="25" t="s">
        <v>450</v>
      </c>
      <c r="E8" s="26">
        <v>25</v>
      </c>
      <c r="F8" s="22"/>
      <c r="G8" s="22"/>
      <c r="H8" s="16"/>
      <c r="J8" s="16"/>
      <c r="K8" s="16"/>
      <c r="L8" s="16"/>
      <c r="M8" s="16"/>
      <c r="N8" s="16"/>
      <c r="O8" s="16"/>
      <c r="P8" s="27"/>
      <c r="Q8" s="16"/>
      <c r="R8" s="16"/>
      <c r="S8" s="16"/>
      <c r="T8" s="16"/>
      <c r="U8" s="16"/>
      <c r="V8" s="16"/>
      <c r="W8" s="16"/>
      <c r="X8" s="16"/>
      <c r="Y8" s="16"/>
      <c r="Z8" s="16"/>
      <c r="AA8" s="16"/>
    </row>
    <row r="9" spans="1:27" ht="16.149999999999999" customHeight="1" thickBot="1">
      <c r="A9" s="16"/>
      <c r="B9" s="17"/>
      <c r="C9" s="16"/>
      <c r="D9" s="28" t="s">
        <v>451</v>
      </c>
      <c r="E9" s="29">
        <v>298</v>
      </c>
      <c r="F9" s="16"/>
      <c r="G9" s="16"/>
      <c r="H9" s="16"/>
      <c r="I9" s="16"/>
      <c r="J9" s="16"/>
      <c r="K9" s="16"/>
      <c r="L9" s="16"/>
      <c r="M9" s="16"/>
      <c r="N9" s="16"/>
      <c r="O9" s="30"/>
      <c r="P9" s="30"/>
      <c r="Q9" s="16"/>
      <c r="R9" s="16"/>
      <c r="S9" s="16"/>
      <c r="T9" s="16"/>
      <c r="U9" s="16"/>
      <c r="V9" s="16"/>
      <c r="W9" s="16"/>
      <c r="X9" s="16"/>
      <c r="Y9" s="16"/>
      <c r="Z9" s="16"/>
      <c r="AA9" s="16"/>
    </row>
    <row r="10" spans="1:27" ht="27.75" customHeight="1">
      <c r="A10" s="16"/>
      <c r="B10" s="17"/>
      <c r="C10" s="16"/>
      <c r="D10" s="350" t="s">
        <v>461</v>
      </c>
      <c r="E10" s="351"/>
      <c r="F10" s="351"/>
      <c r="G10" s="351"/>
      <c r="H10" s="351"/>
      <c r="I10" s="16"/>
      <c r="J10" s="16"/>
      <c r="K10" s="16"/>
      <c r="L10" s="16"/>
      <c r="M10" s="16"/>
      <c r="N10" s="16"/>
      <c r="O10" s="30"/>
      <c r="P10" s="30"/>
      <c r="Q10" s="16"/>
      <c r="R10" s="16"/>
      <c r="S10" s="16"/>
      <c r="T10" s="16"/>
      <c r="U10" s="16"/>
      <c r="V10" s="16"/>
      <c r="W10" s="16"/>
      <c r="X10" s="16"/>
      <c r="Y10" s="16"/>
      <c r="Z10" s="16"/>
      <c r="AA10" s="16"/>
    </row>
    <row r="11" spans="1:27">
      <c r="A11" s="16"/>
      <c r="B11" s="17"/>
      <c r="C11" s="16"/>
      <c r="D11" s="16"/>
      <c r="E11" s="16"/>
      <c r="F11" s="16"/>
      <c r="G11" s="16"/>
      <c r="H11" s="16"/>
      <c r="I11" s="16"/>
      <c r="J11" s="16"/>
      <c r="K11" s="16"/>
      <c r="L11" s="16"/>
      <c r="M11" s="16"/>
      <c r="N11" s="16"/>
      <c r="O11" s="30"/>
      <c r="P11" s="30"/>
      <c r="Q11" s="16"/>
      <c r="R11" s="16"/>
      <c r="S11" s="16"/>
      <c r="T11" s="16"/>
      <c r="U11" s="16"/>
      <c r="V11" s="16"/>
      <c r="W11" s="16"/>
      <c r="X11" s="16"/>
      <c r="Y11" s="16"/>
      <c r="Z11" s="16"/>
      <c r="AA11" s="16"/>
    </row>
    <row r="12" spans="1:27" s="336" customFormat="1" ht="15.6" customHeight="1">
      <c r="A12" s="31"/>
      <c r="B12" s="32" t="s">
        <v>462</v>
      </c>
      <c r="C12" s="33" t="s">
        <v>463</v>
      </c>
      <c r="D12" s="34"/>
      <c r="E12" s="34"/>
      <c r="F12" s="35"/>
      <c r="G12" s="35"/>
      <c r="H12" s="35"/>
      <c r="I12" s="35"/>
      <c r="J12" s="35"/>
      <c r="K12" s="35"/>
      <c r="L12" s="36"/>
      <c r="M12" s="31"/>
      <c r="N12" s="31"/>
      <c r="O12" s="37"/>
      <c r="P12" s="37"/>
      <c r="Q12" s="31"/>
      <c r="R12" s="31"/>
      <c r="S12" s="31"/>
      <c r="T12" s="31"/>
      <c r="U12" s="31"/>
      <c r="V12" s="31"/>
      <c r="W12" s="31"/>
      <c r="X12" s="31"/>
      <c r="Y12" s="31"/>
      <c r="Z12" s="31"/>
      <c r="AA12" s="31"/>
    </row>
    <row r="13" spans="1:27" ht="13.9" customHeight="1" thickBot="1">
      <c r="A13" s="16"/>
      <c r="B13" s="17"/>
      <c r="C13" s="16"/>
      <c r="D13" s="16"/>
      <c r="E13" s="16"/>
      <c r="F13" s="16"/>
      <c r="G13" s="16"/>
      <c r="H13" s="16"/>
      <c r="I13" s="16"/>
      <c r="J13" s="16"/>
      <c r="K13" s="16"/>
      <c r="L13" s="16"/>
      <c r="M13" s="16"/>
      <c r="N13" s="38"/>
      <c r="O13" s="38"/>
      <c r="P13" s="38"/>
      <c r="Q13" s="38"/>
      <c r="R13" s="38"/>
      <c r="S13" s="38"/>
      <c r="T13" s="16"/>
      <c r="U13" s="16"/>
      <c r="V13" s="16"/>
      <c r="W13" s="16"/>
      <c r="X13" s="16"/>
      <c r="Y13" s="16"/>
      <c r="Z13" s="16"/>
      <c r="AA13" s="16"/>
    </row>
    <row r="14" spans="1:27" ht="15.6" customHeight="1">
      <c r="A14" s="16"/>
      <c r="B14" s="16"/>
      <c r="C14" s="39" t="s">
        <v>464</v>
      </c>
      <c r="D14" s="40" t="s">
        <v>465</v>
      </c>
      <c r="E14" s="40" t="s">
        <v>466</v>
      </c>
      <c r="F14" s="40" t="s">
        <v>467</v>
      </c>
      <c r="G14" s="40" t="s">
        <v>468</v>
      </c>
      <c r="H14" s="40" t="s">
        <v>466</v>
      </c>
      <c r="I14" s="40" t="s">
        <v>467</v>
      </c>
      <c r="J14" s="41" t="s">
        <v>468</v>
      </c>
      <c r="K14" s="42"/>
      <c r="L14" s="43"/>
      <c r="M14" s="16"/>
      <c r="N14" s="38"/>
      <c r="O14" s="38"/>
      <c r="P14" s="38"/>
      <c r="Q14" s="38"/>
      <c r="R14" s="38"/>
      <c r="S14" s="38"/>
      <c r="T14" s="16"/>
      <c r="U14" s="16"/>
      <c r="V14" s="16"/>
      <c r="W14" s="16"/>
      <c r="X14" s="16"/>
      <c r="Y14" s="16"/>
      <c r="Z14" s="16"/>
      <c r="AA14" s="16"/>
    </row>
    <row r="15" spans="1:27" s="48" customFormat="1" ht="25.15" customHeight="1">
      <c r="A15" s="44"/>
      <c r="B15" s="44"/>
      <c r="C15" s="45" t="s">
        <v>307</v>
      </c>
      <c r="D15" s="46" t="s">
        <v>469</v>
      </c>
      <c r="E15" s="46" t="s">
        <v>470</v>
      </c>
      <c r="F15" s="46" t="s">
        <v>471</v>
      </c>
      <c r="G15" s="46" t="s">
        <v>472</v>
      </c>
      <c r="H15" s="46" t="s">
        <v>473</v>
      </c>
      <c r="I15" s="46" t="s">
        <v>474</v>
      </c>
      <c r="J15" s="47" t="s">
        <v>475</v>
      </c>
      <c r="K15" s="42"/>
      <c r="L15" s="44"/>
      <c r="M15" s="44"/>
      <c r="N15" s="38"/>
      <c r="O15" s="38"/>
      <c r="P15" s="38"/>
      <c r="Q15" s="38"/>
      <c r="R15" s="38"/>
      <c r="S15" s="38"/>
      <c r="T15" s="44"/>
      <c r="U15" s="44"/>
      <c r="V15" s="44"/>
      <c r="W15" s="44"/>
      <c r="X15" s="44"/>
      <c r="Y15" s="44"/>
      <c r="Z15" s="44"/>
      <c r="AA15" s="44"/>
    </row>
    <row r="16" spans="1:27" ht="12.95" customHeight="1">
      <c r="A16" s="16"/>
      <c r="B16" s="17"/>
      <c r="C16" s="49" t="s">
        <v>476</v>
      </c>
      <c r="D16" s="50"/>
      <c r="E16" s="50"/>
      <c r="F16" s="50"/>
      <c r="G16" s="50"/>
      <c r="H16" s="50"/>
      <c r="I16" s="50"/>
      <c r="J16" s="51"/>
      <c r="K16" s="16"/>
      <c r="L16" s="16"/>
      <c r="M16" s="16"/>
      <c r="N16" s="38"/>
      <c r="O16" s="38"/>
      <c r="P16" s="38"/>
      <c r="Q16" s="38"/>
      <c r="R16" s="38"/>
      <c r="S16" s="38"/>
      <c r="T16" s="16"/>
      <c r="U16" s="16"/>
      <c r="V16" s="16"/>
      <c r="W16" s="16"/>
      <c r="X16" s="16"/>
      <c r="Y16" s="16"/>
      <c r="Z16" s="16"/>
      <c r="AA16" s="16"/>
    </row>
    <row r="17" spans="1:27">
      <c r="A17" s="16"/>
      <c r="B17" s="30"/>
      <c r="C17" s="52" t="s">
        <v>477</v>
      </c>
      <c r="D17" s="53">
        <v>25.09</v>
      </c>
      <c r="E17" s="53">
        <v>103.69</v>
      </c>
      <c r="F17" s="54">
        <v>11</v>
      </c>
      <c r="G17" s="55">
        <v>1.6</v>
      </c>
      <c r="H17" s="54">
        <v>2602</v>
      </c>
      <c r="I17" s="54">
        <v>276</v>
      </c>
      <c r="J17" s="56">
        <v>40</v>
      </c>
      <c r="K17" s="57"/>
      <c r="L17" s="16"/>
      <c r="M17" s="57"/>
      <c r="N17" s="57"/>
      <c r="O17" s="57"/>
      <c r="P17" s="57"/>
      <c r="Q17" s="57"/>
      <c r="R17" s="57"/>
      <c r="S17" s="57"/>
      <c r="T17" s="16"/>
      <c r="U17" s="16"/>
      <c r="V17" s="16"/>
      <c r="W17" s="16"/>
      <c r="X17" s="16"/>
      <c r="Y17" s="16"/>
      <c r="Z17" s="16"/>
      <c r="AA17" s="16"/>
    </row>
    <row r="18" spans="1:27">
      <c r="A18" s="16"/>
      <c r="B18" s="30"/>
      <c r="C18" s="52" t="s">
        <v>478</v>
      </c>
      <c r="D18" s="53">
        <v>24.93</v>
      </c>
      <c r="E18" s="53">
        <v>93.28</v>
      </c>
      <c r="F18" s="54">
        <v>11</v>
      </c>
      <c r="G18" s="55">
        <v>1.6</v>
      </c>
      <c r="H18" s="54">
        <v>2325</v>
      </c>
      <c r="I18" s="54">
        <v>274</v>
      </c>
      <c r="J18" s="56">
        <v>40</v>
      </c>
      <c r="K18" s="57"/>
      <c r="L18" s="16"/>
      <c r="M18" s="57"/>
      <c r="N18" s="57"/>
      <c r="O18" s="57"/>
      <c r="P18" s="57"/>
      <c r="Q18" s="57"/>
      <c r="R18" s="57"/>
      <c r="S18" s="57"/>
      <c r="T18" s="16"/>
      <c r="U18" s="16"/>
      <c r="V18" s="16"/>
      <c r="W18" s="16"/>
      <c r="X18" s="16"/>
      <c r="Y18" s="16"/>
      <c r="Z18" s="16"/>
      <c r="AA18" s="16"/>
    </row>
    <row r="19" spans="1:27">
      <c r="A19" s="16"/>
      <c r="B19" s="30"/>
      <c r="C19" s="52" t="s">
        <v>479</v>
      </c>
      <c r="D19" s="53">
        <v>17.25</v>
      </c>
      <c r="E19" s="53">
        <v>97.17</v>
      </c>
      <c r="F19" s="54">
        <v>11</v>
      </c>
      <c r="G19" s="55">
        <v>1.6</v>
      </c>
      <c r="H19" s="54">
        <v>1676</v>
      </c>
      <c r="I19" s="54">
        <v>190</v>
      </c>
      <c r="J19" s="56">
        <v>28</v>
      </c>
      <c r="K19" s="57"/>
      <c r="L19" s="16"/>
      <c r="M19" s="57"/>
      <c r="N19" s="57"/>
      <c r="O19" s="57"/>
      <c r="P19" s="57"/>
      <c r="Q19" s="57"/>
      <c r="R19" s="57"/>
      <c r="S19" s="57"/>
      <c r="T19" s="16"/>
      <c r="U19" s="16"/>
      <c r="V19" s="16"/>
      <c r="W19" s="16"/>
      <c r="X19" s="16"/>
      <c r="Y19" s="16"/>
      <c r="Z19" s="16"/>
      <c r="AA19" s="16"/>
    </row>
    <row r="20" spans="1:27">
      <c r="A20" s="16"/>
      <c r="B20" s="30"/>
      <c r="C20" s="52" t="s">
        <v>480</v>
      </c>
      <c r="D20" s="53">
        <v>14.21</v>
      </c>
      <c r="E20" s="53">
        <v>97.72</v>
      </c>
      <c r="F20" s="54">
        <v>11</v>
      </c>
      <c r="G20" s="55">
        <v>1.6</v>
      </c>
      <c r="H20" s="54">
        <v>1389</v>
      </c>
      <c r="I20" s="54">
        <v>156</v>
      </c>
      <c r="J20" s="56">
        <v>23</v>
      </c>
      <c r="K20" s="57"/>
      <c r="L20" s="16"/>
      <c r="M20" s="57"/>
      <c r="N20" s="57"/>
      <c r="O20" s="57"/>
      <c r="P20" s="57"/>
      <c r="Q20" s="57"/>
      <c r="R20" s="57"/>
      <c r="S20" s="57"/>
      <c r="T20" s="16"/>
      <c r="U20" s="16"/>
      <c r="V20" s="16"/>
      <c r="W20" s="16"/>
      <c r="X20" s="16"/>
      <c r="Y20" s="16"/>
      <c r="Z20" s="16"/>
      <c r="AA20" s="16"/>
    </row>
    <row r="21" spans="1:27">
      <c r="A21" s="16"/>
      <c r="B21" s="30"/>
      <c r="C21" s="52" t="s">
        <v>481</v>
      </c>
      <c r="D21" s="53">
        <v>21.39</v>
      </c>
      <c r="E21" s="53">
        <v>94.27</v>
      </c>
      <c r="F21" s="54">
        <v>11</v>
      </c>
      <c r="G21" s="55">
        <v>1.6</v>
      </c>
      <c r="H21" s="54">
        <v>2016</v>
      </c>
      <c r="I21" s="54">
        <v>235</v>
      </c>
      <c r="J21" s="56">
        <v>34</v>
      </c>
      <c r="K21" s="58"/>
      <c r="L21" s="16"/>
      <c r="M21" s="57"/>
      <c r="N21" s="57"/>
      <c r="O21" s="57"/>
      <c r="P21" s="57"/>
      <c r="Q21" s="57"/>
      <c r="R21" s="57"/>
      <c r="S21" s="57"/>
      <c r="T21" s="16"/>
      <c r="U21" s="16"/>
      <c r="V21" s="16"/>
      <c r="W21" s="16"/>
      <c r="X21" s="16"/>
      <c r="Y21" s="16"/>
      <c r="Z21" s="16"/>
      <c r="AA21" s="16"/>
    </row>
    <row r="22" spans="1:27">
      <c r="A22" s="16"/>
      <c r="B22" s="30"/>
      <c r="C22" s="52" t="s">
        <v>482</v>
      </c>
      <c r="D22" s="53">
        <v>19.73</v>
      </c>
      <c r="E22" s="53">
        <v>95.52</v>
      </c>
      <c r="F22" s="54">
        <v>11</v>
      </c>
      <c r="G22" s="55">
        <v>1.6</v>
      </c>
      <c r="H22" s="54">
        <v>1885</v>
      </c>
      <c r="I22" s="54">
        <v>217</v>
      </c>
      <c r="J22" s="56">
        <v>32</v>
      </c>
      <c r="K22" s="57"/>
      <c r="L22" s="16"/>
      <c r="M22" s="57"/>
      <c r="N22" s="57"/>
      <c r="O22" s="57"/>
      <c r="P22" s="57"/>
      <c r="Q22" s="57"/>
      <c r="R22" s="57"/>
      <c r="S22" s="57"/>
      <c r="T22" s="16"/>
      <c r="U22" s="16"/>
      <c r="V22" s="16"/>
      <c r="W22" s="16"/>
      <c r="X22" s="16"/>
      <c r="Y22" s="16"/>
      <c r="Z22" s="16"/>
      <c r="AA22" s="16"/>
    </row>
    <row r="23" spans="1:27">
      <c r="A23" s="16"/>
      <c r="B23" s="30"/>
      <c r="C23" s="52" t="s">
        <v>483</v>
      </c>
      <c r="D23" s="53">
        <v>26.28</v>
      </c>
      <c r="E23" s="53">
        <v>93.9</v>
      </c>
      <c r="F23" s="54">
        <v>11</v>
      </c>
      <c r="G23" s="55">
        <v>1.6</v>
      </c>
      <c r="H23" s="54">
        <v>2468</v>
      </c>
      <c r="I23" s="54">
        <v>289</v>
      </c>
      <c r="J23" s="56">
        <v>42</v>
      </c>
      <c r="K23" s="57"/>
      <c r="L23" s="16"/>
      <c r="M23" s="57"/>
      <c r="N23" s="57"/>
      <c r="O23" s="57"/>
      <c r="P23" s="57"/>
      <c r="Q23" s="57"/>
      <c r="R23" s="57"/>
      <c r="S23" s="57"/>
      <c r="T23" s="16"/>
      <c r="U23" s="16"/>
      <c r="V23" s="16"/>
      <c r="W23" s="16"/>
      <c r="X23" s="16"/>
      <c r="Y23" s="16"/>
      <c r="Z23" s="16"/>
      <c r="AA23" s="16"/>
    </row>
    <row r="24" spans="1:27">
      <c r="A24" s="16"/>
      <c r="B24" s="30"/>
      <c r="C24" s="52" t="s">
        <v>484</v>
      </c>
      <c r="D24" s="53">
        <v>22.35</v>
      </c>
      <c r="E24" s="53">
        <v>94.67</v>
      </c>
      <c r="F24" s="54">
        <v>11</v>
      </c>
      <c r="G24" s="55">
        <v>1.6</v>
      </c>
      <c r="H24" s="54">
        <v>2116</v>
      </c>
      <c r="I24" s="54">
        <v>246</v>
      </c>
      <c r="J24" s="56">
        <v>36</v>
      </c>
      <c r="K24" s="57"/>
      <c r="L24" s="16"/>
      <c r="M24" s="57"/>
      <c r="N24" s="57"/>
      <c r="O24" s="57"/>
      <c r="P24" s="57"/>
      <c r="Q24" s="57"/>
      <c r="R24" s="57"/>
      <c r="S24" s="57"/>
      <c r="T24" s="16"/>
      <c r="U24" s="16"/>
      <c r="V24" s="16"/>
      <c r="W24" s="16"/>
      <c r="X24" s="16"/>
      <c r="Y24" s="16"/>
      <c r="Z24" s="16"/>
      <c r="AA24" s="16"/>
    </row>
    <row r="25" spans="1:27">
      <c r="A25" s="16"/>
      <c r="B25" s="30"/>
      <c r="C25" s="52" t="s">
        <v>485</v>
      </c>
      <c r="D25" s="53">
        <v>24.8</v>
      </c>
      <c r="E25" s="53">
        <v>113.67</v>
      </c>
      <c r="F25" s="54">
        <v>11</v>
      </c>
      <c r="G25" s="55">
        <v>1.6</v>
      </c>
      <c r="H25" s="54">
        <v>2819</v>
      </c>
      <c r="I25" s="54">
        <v>273</v>
      </c>
      <c r="J25" s="56">
        <v>40</v>
      </c>
      <c r="K25" s="57"/>
      <c r="L25" s="16"/>
      <c r="M25" s="57"/>
      <c r="N25" s="57"/>
      <c r="O25" s="57"/>
      <c r="P25" s="57"/>
      <c r="Q25" s="57"/>
      <c r="R25" s="57"/>
      <c r="S25" s="57"/>
      <c r="T25" s="16"/>
      <c r="U25" s="16"/>
      <c r="V25" s="16"/>
      <c r="W25" s="16"/>
      <c r="X25" s="16"/>
      <c r="Y25" s="16"/>
      <c r="Z25" s="16"/>
      <c r="AA25" s="16"/>
    </row>
    <row r="26" spans="1:27" ht="12.95" customHeight="1">
      <c r="A26" s="16"/>
      <c r="B26" s="17"/>
      <c r="C26" s="59" t="s">
        <v>486</v>
      </c>
      <c r="D26" s="60"/>
      <c r="E26" s="60"/>
      <c r="F26" s="61"/>
      <c r="G26" s="62"/>
      <c r="H26" s="61"/>
      <c r="I26" s="61"/>
      <c r="J26" s="63"/>
      <c r="K26" s="57"/>
      <c r="L26" s="16"/>
      <c r="M26" s="57"/>
      <c r="N26" s="57"/>
      <c r="O26" s="57"/>
      <c r="P26" s="57"/>
      <c r="Q26" s="57"/>
      <c r="R26" s="57"/>
      <c r="S26" s="57"/>
      <c r="T26" s="16"/>
      <c r="U26" s="16"/>
      <c r="V26" s="16"/>
      <c r="W26" s="16"/>
      <c r="X26" s="16"/>
      <c r="Y26" s="16"/>
      <c r="Z26" s="16"/>
      <c r="AA26" s="16"/>
    </row>
    <row r="27" spans="1:27">
      <c r="A27" s="16"/>
      <c r="B27" s="30"/>
      <c r="C27" s="52" t="s">
        <v>487</v>
      </c>
      <c r="D27" s="53">
        <v>9.9499999999999993</v>
      </c>
      <c r="E27" s="53">
        <v>90.7</v>
      </c>
      <c r="F27" s="54">
        <v>32</v>
      </c>
      <c r="G27" s="55">
        <v>4.2</v>
      </c>
      <c r="H27" s="54">
        <v>902</v>
      </c>
      <c r="I27" s="54">
        <v>318</v>
      </c>
      <c r="J27" s="56">
        <v>42</v>
      </c>
      <c r="K27" s="57"/>
      <c r="L27" s="16"/>
      <c r="M27" s="57"/>
      <c r="N27" s="57"/>
      <c r="O27" s="57"/>
      <c r="P27" s="57"/>
      <c r="Q27" s="57"/>
      <c r="R27" s="57"/>
      <c r="S27" s="57"/>
      <c r="T27" s="16"/>
      <c r="U27" s="16"/>
      <c r="V27" s="16"/>
      <c r="W27" s="16"/>
      <c r="X27" s="16"/>
      <c r="Y27" s="16"/>
      <c r="Z27" s="16"/>
      <c r="AA27" s="16"/>
    </row>
    <row r="28" spans="1:27">
      <c r="A28" s="16"/>
      <c r="B28" s="30"/>
      <c r="C28" s="52" t="s">
        <v>488</v>
      </c>
      <c r="D28" s="53">
        <v>30</v>
      </c>
      <c r="E28" s="53">
        <v>102.41</v>
      </c>
      <c r="F28" s="54">
        <v>32</v>
      </c>
      <c r="G28" s="55">
        <v>4.2</v>
      </c>
      <c r="H28" s="54">
        <v>3072</v>
      </c>
      <c r="I28" s="54">
        <v>960</v>
      </c>
      <c r="J28" s="56">
        <v>126</v>
      </c>
      <c r="K28" s="64"/>
      <c r="L28" s="16"/>
      <c r="M28" s="57"/>
      <c r="N28" s="57"/>
      <c r="O28" s="57"/>
      <c r="P28" s="57"/>
      <c r="Q28" s="57"/>
      <c r="R28" s="57"/>
      <c r="S28" s="57"/>
      <c r="T28" s="16"/>
      <c r="U28" s="16"/>
      <c r="V28" s="16"/>
      <c r="W28" s="16"/>
      <c r="X28" s="16"/>
      <c r="Y28" s="16"/>
      <c r="Z28" s="16"/>
      <c r="AA28" s="16"/>
    </row>
    <row r="29" spans="1:27">
      <c r="A29" s="16"/>
      <c r="B29" s="30"/>
      <c r="C29" s="52" t="s">
        <v>185</v>
      </c>
      <c r="D29" s="53">
        <v>38</v>
      </c>
      <c r="E29" s="53">
        <v>75</v>
      </c>
      <c r="F29" s="54">
        <v>32</v>
      </c>
      <c r="G29" s="55">
        <v>4.2</v>
      </c>
      <c r="H29" s="54">
        <v>2850</v>
      </c>
      <c r="I29" s="54">
        <v>1216</v>
      </c>
      <c r="J29" s="56">
        <v>160</v>
      </c>
      <c r="K29" s="16"/>
      <c r="L29" s="16"/>
      <c r="M29" s="57"/>
      <c r="N29" s="57"/>
      <c r="O29" s="57"/>
      <c r="P29" s="57"/>
      <c r="Q29" s="57"/>
      <c r="R29" s="57"/>
      <c r="S29" s="57"/>
      <c r="T29" s="16"/>
      <c r="U29" s="16"/>
      <c r="V29" s="16"/>
      <c r="W29" s="16"/>
      <c r="X29" s="16"/>
      <c r="Y29" s="16"/>
      <c r="Z29" s="16"/>
      <c r="AA29" s="16"/>
    </row>
    <row r="30" spans="1:27">
      <c r="A30" s="16"/>
      <c r="B30" s="30"/>
      <c r="C30" s="52" t="s">
        <v>489</v>
      </c>
      <c r="D30" s="53">
        <v>28</v>
      </c>
      <c r="E30" s="53">
        <v>85.97</v>
      </c>
      <c r="F30" s="54">
        <v>32</v>
      </c>
      <c r="G30" s="55">
        <v>4.2</v>
      </c>
      <c r="H30" s="54">
        <v>2407</v>
      </c>
      <c r="I30" s="54">
        <v>896</v>
      </c>
      <c r="J30" s="56">
        <v>118</v>
      </c>
      <c r="K30" s="16"/>
      <c r="L30" s="16"/>
      <c r="M30" s="57"/>
      <c r="N30" s="57"/>
      <c r="O30" s="57"/>
      <c r="P30" s="57"/>
      <c r="Q30" s="57"/>
      <c r="R30" s="57"/>
      <c r="S30" s="57"/>
      <c r="T30" s="16"/>
      <c r="U30" s="16"/>
      <c r="V30" s="16"/>
      <c r="W30" s="16"/>
      <c r="X30" s="16"/>
      <c r="Y30" s="16"/>
      <c r="Z30" s="16"/>
      <c r="AA30" s="16"/>
    </row>
    <row r="31" spans="1:27" ht="12.95" customHeight="1">
      <c r="A31" s="16"/>
      <c r="B31" s="17"/>
      <c r="C31" s="59" t="s">
        <v>490</v>
      </c>
      <c r="D31" s="60"/>
      <c r="E31" s="60"/>
      <c r="F31" s="61"/>
      <c r="G31" s="62"/>
      <c r="H31" s="65"/>
      <c r="I31" s="65"/>
      <c r="J31" s="66"/>
      <c r="K31" s="16"/>
      <c r="L31" s="16"/>
      <c r="M31" s="57"/>
      <c r="N31" s="57"/>
      <c r="O31" s="57"/>
      <c r="P31" s="57"/>
      <c r="Q31" s="57"/>
      <c r="R31" s="57"/>
      <c r="S31" s="57"/>
      <c r="T31" s="16"/>
      <c r="U31" s="16"/>
      <c r="V31" s="16"/>
      <c r="W31" s="16"/>
      <c r="X31" s="16"/>
      <c r="Y31" s="16"/>
      <c r="Z31" s="16"/>
      <c r="AA31" s="16"/>
    </row>
    <row r="32" spans="1:27">
      <c r="A32" s="16"/>
      <c r="B32" s="30"/>
      <c r="C32" s="52" t="s">
        <v>491</v>
      </c>
      <c r="D32" s="53">
        <v>8.25</v>
      </c>
      <c r="E32" s="53">
        <v>118.17</v>
      </c>
      <c r="F32" s="54">
        <v>32</v>
      </c>
      <c r="G32" s="55">
        <v>4.2</v>
      </c>
      <c r="H32" s="54">
        <v>975</v>
      </c>
      <c r="I32" s="54">
        <v>264</v>
      </c>
      <c r="J32" s="56">
        <v>35</v>
      </c>
      <c r="K32" s="16"/>
      <c r="L32" s="16"/>
      <c r="M32" s="57"/>
      <c r="N32" s="57"/>
      <c r="O32" s="57"/>
      <c r="P32" s="57"/>
      <c r="Q32" s="57"/>
      <c r="R32" s="57"/>
      <c r="S32" s="57"/>
      <c r="T32" s="16"/>
      <c r="U32" s="16"/>
      <c r="V32" s="16"/>
      <c r="W32" s="16"/>
      <c r="X32" s="16"/>
      <c r="Y32" s="16"/>
      <c r="Z32" s="16"/>
      <c r="AA32" s="16"/>
    </row>
    <row r="33" spans="1:27">
      <c r="A33" s="16"/>
      <c r="B33" s="30"/>
      <c r="C33" s="52" t="s">
        <v>492</v>
      </c>
      <c r="D33" s="53">
        <v>8</v>
      </c>
      <c r="E33" s="53">
        <v>111.84</v>
      </c>
      <c r="F33" s="54">
        <v>32</v>
      </c>
      <c r="G33" s="55">
        <v>4.2</v>
      </c>
      <c r="H33" s="54">
        <v>895</v>
      </c>
      <c r="I33" s="54">
        <v>256</v>
      </c>
      <c r="J33" s="56">
        <v>34</v>
      </c>
      <c r="K33" s="16"/>
      <c r="L33" s="16"/>
      <c r="M33" s="57"/>
      <c r="N33" s="57"/>
      <c r="O33" s="57"/>
      <c r="P33" s="57"/>
      <c r="Q33" s="57"/>
      <c r="R33" s="57"/>
      <c r="S33" s="57"/>
      <c r="T33" s="16"/>
      <c r="U33" s="16"/>
      <c r="V33" s="16"/>
      <c r="W33" s="16"/>
      <c r="X33" s="16"/>
      <c r="Y33" s="16"/>
      <c r="Z33" s="16"/>
      <c r="AA33" s="16"/>
    </row>
    <row r="34" spans="1:27">
      <c r="A34" s="16"/>
      <c r="B34" s="30"/>
      <c r="C34" s="52" t="s">
        <v>493</v>
      </c>
      <c r="D34" s="53">
        <v>10.39</v>
      </c>
      <c r="E34" s="53">
        <v>105.51</v>
      </c>
      <c r="F34" s="54">
        <v>32</v>
      </c>
      <c r="G34" s="55">
        <v>4.2</v>
      </c>
      <c r="H34" s="54">
        <v>1096</v>
      </c>
      <c r="I34" s="54">
        <v>332</v>
      </c>
      <c r="J34" s="56">
        <v>44</v>
      </c>
      <c r="K34" s="16"/>
      <c r="L34" s="16"/>
      <c r="M34" s="57"/>
      <c r="N34" s="57"/>
      <c r="O34" s="57"/>
      <c r="P34" s="57"/>
      <c r="Q34" s="57"/>
      <c r="R34" s="57"/>
      <c r="S34" s="57"/>
      <c r="T34" s="16"/>
      <c r="U34" s="16"/>
      <c r="V34" s="16"/>
      <c r="W34" s="16"/>
      <c r="X34" s="16"/>
      <c r="Y34" s="16"/>
      <c r="Z34" s="16"/>
      <c r="AA34" s="16"/>
    </row>
    <row r="35" spans="1:27">
      <c r="A35" s="16"/>
      <c r="B35" s="30"/>
      <c r="C35" s="52" t="s">
        <v>494</v>
      </c>
      <c r="D35" s="53">
        <v>17.48</v>
      </c>
      <c r="E35" s="53">
        <v>93.8</v>
      </c>
      <c r="F35" s="55">
        <v>7.2</v>
      </c>
      <c r="G35" s="55">
        <v>3.6</v>
      </c>
      <c r="H35" s="54">
        <v>1640</v>
      </c>
      <c r="I35" s="54">
        <v>126</v>
      </c>
      <c r="J35" s="56">
        <v>63</v>
      </c>
      <c r="K35" s="16"/>
      <c r="L35" s="16"/>
      <c r="M35" s="57"/>
      <c r="N35" s="57"/>
      <c r="O35" s="57"/>
      <c r="P35" s="57"/>
      <c r="Q35" s="57"/>
      <c r="R35" s="57"/>
      <c r="S35" s="57"/>
      <c r="T35" s="16"/>
      <c r="U35" s="16"/>
      <c r="V35" s="16"/>
      <c r="W35" s="16"/>
      <c r="X35" s="16"/>
      <c r="Y35" s="16"/>
      <c r="Z35" s="16"/>
      <c r="AA35" s="16"/>
    </row>
    <row r="36" spans="1:27" s="48" customFormat="1" ht="12.95" customHeight="1">
      <c r="A36" s="44"/>
      <c r="B36" s="44"/>
      <c r="C36" s="45" t="s">
        <v>307</v>
      </c>
      <c r="D36" s="67" t="s">
        <v>495</v>
      </c>
      <c r="E36" s="67" t="s">
        <v>470</v>
      </c>
      <c r="F36" s="67" t="s">
        <v>471</v>
      </c>
      <c r="G36" s="67" t="s">
        <v>472</v>
      </c>
      <c r="H36" s="67" t="s">
        <v>496</v>
      </c>
      <c r="I36" s="67" t="s">
        <v>497</v>
      </c>
      <c r="J36" s="68" t="s">
        <v>498</v>
      </c>
      <c r="K36" s="16"/>
      <c r="L36" s="16"/>
      <c r="M36" s="57"/>
      <c r="N36" s="57"/>
      <c r="O36" s="57"/>
      <c r="P36" s="57"/>
      <c r="Q36" s="57"/>
      <c r="R36" s="57"/>
      <c r="S36" s="57"/>
      <c r="T36" s="16"/>
      <c r="U36" s="44"/>
      <c r="V36" s="44"/>
      <c r="W36" s="44"/>
      <c r="X36" s="44"/>
      <c r="Y36" s="44"/>
      <c r="Z36" s="44"/>
      <c r="AA36" s="44"/>
    </row>
    <row r="37" spans="1:27" ht="12.95" customHeight="1">
      <c r="A37" s="16"/>
      <c r="B37" s="17"/>
      <c r="C37" s="69" t="s">
        <v>499</v>
      </c>
      <c r="D37" s="70"/>
      <c r="E37" s="71"/>
      <c r="F37" s="72"/>
      <c r="G37" s="72"/>
      <c r="H37" s="73"/>
      <c r="I37" s="73"/>
      <c r="J37" s="74"/>
      <c r="K37" s="16"/>
      <c r="L37" s="16"/>
      <c r="M37" s="57"/>
      <c r="N37" s="57"/>
      <c r="O37" s="57"/>
      <c r="P37" s="57"/>
      <c r="Q37" s="57"/>
      <c r="R37" s="57"/>
      <c r="S37" s="57"/>
      <c r="T37" s="16"/>
      <c r="U37" s="16"/>
      <c r="V37" s="16"/>
      <c r="W37" s="16"/>
      <c r="X37" s="16"/>
      <c r="Y37" s="16"/>
      <c r="Z37" s="16"/>
      <c r="AA37" s="16"/>
    </row>
    <row r="38" spans="1:27">
      <c r="A38" s="16"/>
      <c r="B38" s="75"/>
      <c r="C38" s="52" t="s">
        <v>500</v>
      </c>
      <c r="D38" s="76">
        <v>1.026E-3</v>
      </c>
      <c r="E38" s="53">
        <v>53.06</v>
      </c>
      <c r="F38" s="55">
        <v>1</v>
      </c>
      <c r="G38" s="53">
        <v>0.1</v>
      </c>
      <c r="H38" s="77">
        <v>5.4440000000000002E-2</v>
      </c>
      <c r="I38" s="77">
        <v>1.0300000000000001E-3</v>
      </c>
      <c r="J38" s="78">
        <v>1E-4</v>
      </c>
      <c r="K38" s="79"/>
      <c r="L38" s="16"/>
      <c r="M38" s="57"/>
      <c r="N38" s="57"/>
      <c r="O38" s="57"/>
      <c r="P38" s="57"/>
      <c r="Q38" s="57"/>
      <c r="R38" s="57"/>
      <c r="S38" s="57"/>
      <c r="T38" s="16"/>
      <c r="U38" s="16"/>
      <c r="V38" s="16"/>
      <c r="W38" s="16"/>
      <c r="X38" s="16"/>
      <c r="Y38" s="16"/>
      <c r="Z38" s="16"/>
      <c r="AA38" s="16"/>
    </row>
    <row r="39" spans="1:27" ht="12.95" customHeight="1">
      <c r="A39" s="16"/>
      <c r="B39" s="17"/>
      <c r="C39" s="80" t="s">
        <v>501</v>
      </c>
      <c r="D39" s="81"/>
      <c r="E39" s="81"/>
      <c r="F39" s="81"/>
      <c r="G39" s="81"/>
      <c r="H39" s="82"/>
      <c r="I39" s="83"/>
      <c r="J39" s="84"/>
      <c r="K39" s="16"/>
      <c r="L39" s="16"/>
      <c r="M39" s="57"/>
      <c r="N39" s="57"/>
      <c r="O39" s="57"/>
      <c r="P39" s="57"/>
      <c r="Q39" s="57"/>
      <c r="R39" s="57"/>
      <c r="S39" s="57"/>
      <c r="T39" s="16"/>
      <c r="U39" s="16"/>
      <c r="V39" s="16"/>
      <c r="W39" s="16"/>
      <c r="X39" s="16"/>
      <c r="Y39" s="16"/>
      <c r="Z39" s="16"/>
      <c r="AA39" s="16"/>
    </row>
    <row r="40" spans="1:27">
      <c r="A40" s="16"/>
      <c r="B40" s="30"/>
      <c r="C40" s="52" t="s">
        <v>502</v>
      </c>
      <c r="D40" s="76">
        <v>9.2E-5</v>
      </c>
      <c r="E40" s="53">
        <v>274.32</v>
      </c>
      <c r="F40" s="85">
        <v>2.1999999999999999E-2</v>
      </c>
      <c r="G40" s="53">
        <v>0.1</v>
      </c>
      <c r="H40" s="77">
        <v>2.5239999999999999E-2</v>
      </c>
      <c r="I40" s="76">
        <v>1.9999999999999999E-6</v>
      </c>
      <c r="J40" s="86">
        <v>9.0000000000000002E-6</v>
      </c>
      <c r="K40" s="16"/>
      <c r="L40" s="16"/>
      <c r="M40" s="57"/>
      <c r="N40" s="57"/>
      <c r="O40" s="57"/>
      <c r="P40" s="57"/>
      <c r="Q40" s="57"/>
      <c r="R40" s="57"/>
      <c r="S40" s="57"/>
      <c r="T40" s="16"/>
      <c r="U40" s="16"/>
      <c r="V40" s="16"/>
      <c r="W40" s="16"/>
      <c r="X40" s="16"/>
      <c r="Y40" s="16"/>
      <c r="Z40" s="16"/>
      <c r="AA40" s="16"/>
    </row>
    <row r="41" spans="1:27">
      <c r="A41" s="16"/>
      <c r="B41" s="30"/>
      <c r="C41" s="52" t="s">
        <v>503</v>
      </c>
      <c r="D41" s="76">
        <v>5.9900000000000003E-4</v>
      </c>
      <c r="E41" s="53">
        <v>46.85</v>
      </c>
      <c r="F41" s="53">
        <v>0.48</v>
      </c>
      <c r="G41" s="53">
        <v>0.1</v>
      </c>
      <c r="H41" s="77">
        <v>2.8060000000000002E-2</v>
      </c>
      <c r="I41" s="76">
        <v>2.8800000000000001E-4</v>
      </c>
      <c r="J41" s="86">
        <v>6.0000000000000002E-5</v>
      </c>
      <c r="K41" s="79"/>
      <c r="L41" s="16"/>
      <c r="M41" s="57"/>
      <c r="N41" s="57"/>
      <c r="O41" s="57"/>
      <c r="P41" s="57"/>
      <c r="Q41" s="57"/>
      <c r="R41" s="57"/>
      <c r="S41" s="57"/>
      <c r="T41" s="16"/>
      <c r="U41" s="16"/>
      <c r="V41" s="16"/>
      <c r="W41" s="16"/>
      <c r="X41" s="16"/>
      <c r="Y41" s="16"/>
      <c r="Z41" s="16"/>
      <c r="AA41" s="16"/>
    </row>
    <row r="42" spans="1:27">
      <c r="A42" s="16"/>
      <c r="B42" s="30"/>
      <c r="C42" s="52" t="s">
        <v>504</v>
      </c>
      <c r="D42" s="76">
        <v>1.3879999999999999E-3</v>
      </c>
      <c r="E42" s="87">
        <v>59</v>
      </c>
      <c r="F42" s="55">
        <v>3</v>
      </c>
      <c r="G42" s="53">
        <v>0.6</v>
      </c>
      <c r="H42" s="77">
        <v>8.1890000000000004E-2</v>
      </c>
      <c r="I42" s="76">
        <v>4.1640000000000002E-3</v>
      </c>
      <c r="J42" s="86">
        <v>8.3299999999999997E-4</v>
      </c>
      <c r="K42" s="16"/>
      <c r="L42" s="16"/>
      <c r="M42" s="57"/>
      <c r="N42" s="57"/>
      <c r="O42" s="57"/>
      <c r="P42" s="57"/>
      <c r="Q42" s="57"/>
      <c r="R42" s="57"/>
      <c r="S42" s="57"/>
      <c r="T42" s="16"/>
      <c r="U42" s="16"/>
      <c r="V42" s="16"/>
      <c r="W42" s="16"/>
      <c r="X42" s="16"/>
      <c r="Y42" s="16"/>
      <c r="Z42" s="16"/>
      <c r="AA42" s="16"/>
    </row>
    <row r="43" spans="1:27">
      <c r="A43" s="16"/>
      <c r="B43" s="30"/>
      <c r="C43" s="52" t="s">
        <v>505</v>
      </c>
      <c r="D43" s="76">
        <v>2.516E-3</v>
      </c>
      <c r="E43" s="87">
        <v>61.46</v>
      </c>
      <c r="F43" s="55">
        <v>3</v>
      </c>
      <c r="G43" s="53">
        <v>0.6</v>
      </c>
      <c r="H43" s="77">
        <v>0.15462999999999999</v>
      </c>
      <c r="I43" s="76">
        <v>7.548E-3</v>
      </c>
      <c r="J43" s="86">
        <v>1.5100000000000001E-3</v>
      </c>
      <c r="K43" s="22"/>
      <c r="L43" s="16"/>
      <c r="M43" s="57"/>
      <c r="N43" s="57"/>
      <c r="O43" s="57"/>
      <c r="P43" s="57"/>
      <c r="Q43" s="57"/>
      <c r="R43" s="57"/>
      <c r="S43" s="57"/>
      <c r="T43" s="16"/>
      <c r="U43" s="16"/>
      <c r="V43" s="16"/>
      <c r="W43" s="16"/>
      <c r="X43" s="16"/>
      <c r="Y43" s="16"/>
      <c r="Z43" s="16"/>
      <c r="AA43" s="16"/>
    </row>
    <row r="44" spans="1:27" ht="12.95" customHeight="1">
      <c r="A44" s="16"/>
      <c r="B44" s="17"/>
      <c r="C44" s="59" t="s">
        <v>506</v>
      </c>
      <c r="D44" s="81"/>
      <c r="E44" s="81"/>
      <c r="F44" s="88"/>
      <c r="G44" s="88"/>
      <c r="H44" s="83"/>
      <c r="I44" s="83"/>
      <c r="J44" s="84"/>
      <c r="K44" s="16"/>
      <c r="L44" s="16"/>
      <c r="M44" s="57"/>
      <c r="N44" s="57"/>
      <c r="O44" s="57"/>
      <c r="P44" s="57"/>
      <c r="Q44" s="57"/>
      <c r="R44" s="57"/>
      <c r="S44" s="57"/>
      <c r="T44" s="16"/>
      <c r="U44" s="16"/>
      <c r="V44" s="16"/>
      <c r="W44" s="16"/>
      <c r="X44" s="16"/>
      <c r="Y44" s="16"/>
      <c r="Z44" s="16"/>
      <c r="AA44" s="16"/>
    </row>
    <row r="45" spans="1:27" s="336" customFormat="1">
      <c r="A45" s="31"/>
      <c r="B45" s="89"/>
      <c r="C45" s="90" t="s">
        <v>507</v>
      </c>
      <c r="D45" s="91">
        <v>4.8500000000000003E-4</v>
      </c>
      <c r="E45" s="92">
        <v>52.07</v>
      </c>
      <c r="F45" s="93">
        <v>3.2</v>
      </c>
      <c r="G45" s="92">
        <v>0.63</v>
      </c>
      <c r="H45" s="76">
        <v>2.5253999999999999E-2</v>
      </c>
      <c r="I45" s="76">
        <v>1.552E-3</v>
      </c>
      <c r="J45" s="86">
        <v>3.0600000000000001E-4</v>
      </c>
      <c r="K45" s="16"/>
      <c r="L45" s="16"/>
      <c r="M45" s="57"/>
      <c r="N45" s="57"/>
      <c r="O45" s="57"/>
      <c r="P45" s="57"/>
      <c r="Q45" s="57"/>
      <c r="R45" s="57"/>
      <c r="S45" s="57"/>
      <c r="T45" s="16"/>
      <c r="U45" s="31"/>
      <c r="V45" s="31"/>
      <c r="W45" s="31"/>
      <c r="X45" s="31"/>
      <c r="Y45" s="31"/>
      <c r="Z45" s="31"/>
      <c r="AA45" s="31"/>
    </row>
    <row r="46" spans="1:27" s="336" customFormat="1">
      <c r="A46" s="31"/>
      <c r="B46" s="89"/>
      <c r="C46" s="90" t="s">
        <v>508</v>
      </c>
      <c r="D46" s="91">
        <v>6.5499999999999998E-4</v>
      </c>
      <c r="E46" s="92">
        <v>52.07</v>
      </c>
      <c r="F46" s="93">
        <v>3.2</v>
      </c>
      <c r="G46" s="92">
        <v>0.63</v>
      </c>
      <c r="H46" s="76">
        <v>3.4105999999999997E-2</v>
      </c>
      <c r="I46" s="76">
        <v>2.0960000000000002E-3</v>
      </c>
      <c r="J46" s="86">
        <v>4.1300000000000001E-4</v>
      </c>
      <c r="K46" s="16"/>
      <c r="L46" s="16"/>
      <c r="M46" s="57"/>
      <c r="N46" s="57"/>
      <c r="O46" s="57"/>
      <c r="P46" s="57"/>
      <c r="Q46" s="57"/>
      <c r="R46" s="57"/>
      <c r="S46" s="57"/>
      <c r="T46" s="16"/>
      <c r="U46" s="31"/>
      <c r="V46" s="31"/>
      <c r="W46" s="31"/>
      <c r="X46" s="31"/>
      <c r="Y46" s="31"/>
      <c r="Z46" s="31"/>
      <c r="AA46" s="31"/>
    </row>
    <row r="47" spans="1:27" s="48" customFormat="1" ht="12.95" customHeight="1">
      <c r="A47" s="44"/>
      <c r="B47" s="44"/>
      <c r="C47" s="45" t="s">
        <v>307</v>
      </c>
      <c r="D47" s="67" t="s">
        <v>509</v>
      </c>
      <c r="E47" s="67" t="s">
        <v>470</v>
      </c>
      <c r="F47" s="67" t="s">
        <v>471</v>
      </c>
      <c r="G47" s="67" t="s">
        <v>472</v>
      </c>
      <c r="H47" s="67" t="s">
        <v>510</v>
      </c>
      <c r="I47" s="67" t="s">
        <v>511</v>
      </c>
      <c r="J47" s="68" t="s">
        <v>512</v>
      </c>
      <c r="K47" s="16"/>
      <c r="L47" s="16"/>
      <c r="M47" s="57"/>
      <c r="N47" s="57"/>
      <c r="O47" s="57"/>
      <c r="P47" s="57"/>
      <c r="Q47" s="57"/>
      <c r="R47" s="57"/>
      <c r="S47" s="57"/>
      <c r="T47" s="16"/>
      <c r="U47" s="44"/>
      <c r="V47" s="44"/>
      <c r="W47" s="44"/>
      <c r="X47" s="44"/>
      <c r="Y47" s="44"/>
      <c r="Z47" s="44"/>
      <c r="AA47" s="44"/>
    </row>
    <row r="48" spans="1:27" s="336" customFormat="1" ht="12.95" customHeight="1">
      <c r="A48" s="31"/>
      <c r="B48" s="94"/>
      <c r="C48" s="95" t="s">
        <v>513</v>
      </c>
      <c r="D48" s="96"/>
      <c r="E48" s="96"/>
      <c r="F48" s="96"/>
      <c r="G48" s="96"/>
      <c r="H48" s="96"/>
      <c r="I48" s="96"/>
      <c r="J48" s="97"/>
      <c r="K48" s="16"/>
      <c r="L48" s="16"/>
      <c r="M48" s="57"/>
      <c r="N48" s="57"/>
      <c r="O48" s="57"/>
      <c r="P48" s="57"/>
      <c r="Q48" s="57"/>
      <c r="R48" s="57"/>
      <c r="S48" s="57"/>
      <c r="T48" s="16"/>
      <c r="U48" s="31"/>
      <c r="V48" s="31"/>
      <c r="W48" s="31"/>
      <c r="X48" s="31"/>
      <c r="Y48" s="31"/>
      <c r="Z48" s="31"/>
      <c r="AA48" s="31"/>
    </row>
    <row r="49" spans="1:27">
      <c r="A49" s="16"/>
      <c r="B49" s="30"/>
      <c r="C49" s="52" t="s">
        <v>514</v>
      </c>
      <c r="D49" s="85">
        <v>0.158</v>
      </c>
      <c r="E49" s="53">
        <v>75.36</v>
      </c>
      <c r="F49" s="55">
        <v>3</v>
      </c>
      <c r="G49" s="53">
        <v>0.6</v>
      </c>
      <c r="H49" s="53">
        <v>11.91</v>
      </c>
      <c r="I49" s="53">
        <v>0.47</v>
      </c>
      <c r="J49" s="98">
        <v>0.09</v>
      </c>
      <c r="K49" s="16"/>
      <c r="L49" s="16"/>
      <c r="M49" s="57"/>
      <c r="N49" s="57"/>
      <c r="O49" s="57"/>
      <c r="P49" s="57"/>
      <c r="Q49" s="57"/>
      <c r="R49" s="57"/>
      <c r="S49" s="57"/>
      <c r="T49" s="16"/>
      <c r="U49" s="16"/>
      <c r="V49" s="16"/>
      <c r="W49" s="16"/>
      <c r="X49" s="16"/>
      <c r="Y49" s="16"/>
      <c r="Z49" s="16"/>
      <c r="AA49" s="16"/>
    </row>
    <row r="50" spans="1:27">
      <c r="A50" s="16"/>
      <c r="B50" s="30"/>
      <c r="C50" s="52" t="s">
        <v>515</v>
      </c>
      <c r="D50" s="85">
        <v>0.12</v>
      </c>
      <c r="E50" s="53">
        <v>69.25</v>
      </c>
      <c r="F50" s="55">
        <v>3</v>
      </c>
      <c r="G50" s="53">
        <v>0.6</v>
      </c>
      <c r="H50" s="53">
        <v>8.31</v>
      </c>
      <c r="I50" s="53">
        <v>0.36</v>
      </c>
      <c r="J50" s="98">
        <v>7.0000000000000007E-2</v>
      </c>
      <c r="K50" s="16"/>
      <c r="L50" s="16"/>
      <c r="M50" s="57"/>
      <c r="N50" s="57"/>
      <c r="O50" s="57"/>
      <c r="P50" s="57"/>
      <c r="Q50" s="57"/>
      <c r="R50" s="57"/>
      <c r="S50" s="57"/>
      <c r="T50" s="16"/>
      <c r="U50" s="16"/>
      <c r="V50" s="16"/>
      <c r="W50" s="16"/>
      <c r="X50" s="16"/>
      <c r="Y50" s="16"/>
      <c r="Z50" s="16"/>
      <c r="AA50" s="16"/>
    </row>
    <row r="51" spans="1:27">
      <c r="A51" s="16"/>
      <c r="B51" s="30"/>
      <c r="C51" s="52" t="s">
        <v>516</v>
      </c>
      <c r="D51" s="85">
        <v>0.10299999999999999</v>
      </c>
      <c r="E51" s="53">
        <v>64.77</v>
      </c>
      <c r="F51" s="55">
        <v>3</v>
      </c>
      <c r="G51" s="53">
        <v>0.6</v>
      </c>
      <c r="H51" s="53">
        <v>6.67</v>
      </c>
      <c r="I51" s="53">
        <v>0.31</v>
      </c>
      <c r="J51" s="98">
        <v>0.06</v>
      </c>
      <c r="K51" s="16"/>
      <c r="L51" s="16"/>
      <c r="M51" s="57"/>
      <c r="N51" s="57"/>
      <c r="O51" s="57"/>
      <c r="P51" s="57"/>
      <c r="Q51" s="57"/>
      <c r="R51" s="57"/>
      <c r="S51" s="57"/>
      <c r="T51" s="16"/>
      <c r="U51" s="16"/>
      <c r="V51" s="16"/>
      <c r="W51" s="16"/>
      <c r="X51" s="16"/>
      <c r="Y51" s="16"/>
      <c r="Z51" s="16"/>
      <c r="AA51" s="16"/>
    </row>
    <row r="52" spans="1:27">
      <c r="A52" s="16"/>
      <c r="B52" s="30"/>
      <c r="C52" s="52" t="s">
        <v>517</v>
      </c>
      <c r="D52" s="85">
        <v>0.105</v>
      </c>
      <c r="E52" s="53">
        <v>68.72</v>
      </c>
      <c r="F52" s="55">
        <v>3</v>
      </c>
      <c r="G52" s="53">
        <v>0.6</v>
      </c>
      <c r="H52" s="53">
        <v>7.22</v>
      </c>
      <c r="I52" s="53">
        <v>0.32</v>
      </c>
      <c r="J52" s="98">
        <v>0.06</v>
      </c>
      <c r="K52" s="16"/>
      <c r="L52" s="16"/>
      <c r="M52" s="57"/>
      <c r="N52" s="57"/>
      <c r="O52" s="57"/>
      <c r="P52" s="57"/>
      <c r="Q52" s="57"/>
      <c r="R52" s="57"/>
      <c r="S52" s="57"/>
      <c r="T52" s="16"/>
      <c r="U52" s="16"/>
      <c r="V52" s="16"/>
      <c r="W52" s="16"/>
      <c r="X52" s="16"/>
      <c r="Y52" s="16"/>
      <c r="Z52" s="16"/>
      <c r="AA52" s="16"/>
    </row>
    <row r="53" spans="1:27">
      <c r="A53" s="16"/>
      <c r="B53" s="30"/>
      <c r="C53" s="52" t="s">
        <v>518</v>
      </c>
      <c r="D53" s="85">
        <v>0.13800000000000001</v>
      </c>
      <c r="E53" s="53">
        <v>74.540000000000006</v>
      </c>
      <c r="F53" s="55">
        <v>3</v>
      </c>
      <c r="G53" s="53">
        <v>0.6</v>
      </c>
      <c r="H53" s="53">
        <v>10.29</v>
      </c>
      <c r="I53" s="53">
        <v>0.41</v>
      </c>
      <c r="J53" s="98">
        <v>0.08</v>
      </c>
      <c r="K53" s="16"/>
      <c r="L53" s="16"/>
      <c r="M53" s="57"/>
      <c r="N53" s="57"/>
      <c r="O53" s="57"/>
      <c r="P53" s="57"/>
      <c r="Q53" s="57"/>
      <c r="R53" s="57"/>
      <c r="S53" s="57"/>
      <c r="T53" s="16"/>
      <c r="U53" s="16"/>
      <c r="V53" s="16"/>
      <c r="W53" s="16"/>
      <c r="X53" s="16"/>
      <c r="Y53" s="16"/>
      <c r="Z53" s="16"/>
      <c r="AA53" s="16"/>
    </row>
    <row r="54" spans="1:27">
      <c r="A54" s="16"/>
      <c r="B54" s="30"/>
      <c r="C54" s="52" t="s">
        <v>519</v>
      </c>
      <c r="D54" s="85">
        <v>0.13900000000000001</v>
      </c>
      <c r="E54" s="53">
        <v>73.25</v>
      </c>
      <c r="F54" s="55">
        <v>3</v>
      </c>
      <c r="G54" s="53">
        <v>0.6</v>
      </c>
      <c r="H54" s="53">
        <v>10.18</v>
      </c>
      <c r="I54" s="53">
        <v>0.42</v>
      </c>
      <c r="J54" s="98">
        <v>0.08</v>
      </c>
      <c r="K54" s="16"/>
      <c r="L54" s="16"/>
      <c r="M54" s="57"/>
      <c r="N54" s="57"/>
      <c r="O54" s="57"/>
      <c r="P54" s="57"/>
      <c r="Q54" s="57"/>
      <c r="R54" s="57"/>
      <c r="S54" s="57"/>
      <c r="T54" s="16"/>
      <c r="U54" s="16"/>
      <c r="V54" s="16"/>
      <c r="W54" s="16"/>
      <c r="X54" s="16"/>
      <c r="Y54" s="16"/>
      <c r="Z54" s="16"/>
      <c r="AA54" s="16"/>
    </row>
    <row r="55" spans="1:27">
      <c r="A55" s="16"/>
      <c r="B55" s="30"/>
      <c r="C55" s="52" t="s">
        <v>520</v>
      </c>
      <c r="D55" s="85">
        <v>0.13800000000000001</v>
      </c>
      <c r="E55" s="53">
        <v>73.959999999999994</v>
      </c>
      <c r="F55" s="55">
        <v>3</v>
      </c>
      <c r="G55" s="53">
        <v>0.6</v>
      </c>
      <c r="H55" s="53">
        <v>10.210000000000001</v>
      </c>
      <c r="I55" s="53">
        <v>0.41</v>
      </c>
      <c r="J55" s="98">
        <v>0.08</v>
      </c>
      <c r="K55" s="16"/>
      <c r="L55" s="16"/>
      <c r="M55" s="57"/>
      <c r="N55" s="57"/>
      <c r="O55" s="57"/>
      <c r="P55" s="57"/>
      <c r="Q55" s="57"/>
      <c r="R55" s="57"/>
      <c r="S55" s="57"/>
      <c r="T55" s="16"/>
      <c r="U55" s="16"/>
      <c r="V55" s="16"/>
      <c r="W55" s="16"/>
      <c r="X55" s="16"/>
      <c r="Y55" s="16"/>
      <c r="Z55" s="16"/>
      <c r="AA55" s="16"/>
    </row>
    <row r="56" spans="1:27">
      <c r="A56" s="16"/>
      <c r="B56" s="30"/>
      <c r="C56" s="52" t="s">
        <v>521</v>
      </c>
      <c r="D56" s="85">
        <v>0.14599999999999999</v>
      </c>
      <c r="E56" s="53">
        <v>75.040000000000006</v>
      </c>
      <c r="F56" s="55">
        <v>3</v>
      </c>
      <c r="G56" s="53">
        <v>0.6</v>
      </c>
      <c r="H56" s="53">
        <v>10.96</v>
      </c>
      <c r="I56" s="53">
        <v>0.44</v>
      </c>
      <c r="J56" s="98">
        <v>0.09</v>
      </c>
      <c r="K56" s="16"/>
      <c r="L56" s="16"/>
      <c r="M56" s="57"/>
      <c r="N56" s="57"/>
      <c r="O56" s="57"/>
      <c r="P56" s="57"/>
      <c r="Q56" s="57"/>
      <c r="R56" s="57"/>
      <c r="S56" s="57"/>
      <c r="T56" s="16"/>
      <c r="U56" s="16"/>
      <c r="V56" s="16"/>
      <c r="W56" s="16"/>
      <c r="X56" s="16"/>
      <c r="Y56" s="16"/>
      <c r="Z56" s="16"/>
      <c r="AA56" s="16"/>
    </row>
    <row r="57" spans="1:27">
      <c r="A57" s="16"/>
      <c r="B57" s="30"/>
      <c r="C57" s="52" t="s">
        <v>522</v>
      </c>
      <c r="D57" s="85">
        <v>6.8000000000000005E-2</v>
      </c>
      <c r="E57" s="53">
        <v>59.6</v>
      </c>
      <c r="F57" s="55">
        <v>3</v>
      </c>
      <c r="G57" s="53">
        <v>0.6</v>
      </c>
      <c r="H57" s="53">
        <v>4.05</v>
      </c>
      <c r="I57" s="53">
        <v>0.2</v>
      </c>
      <c r="J57" s="98">
        <v>0.04</v>
      </c>
      <c r="K57" s="16"/>
      <c r="L57" s="16"/>
      <c r="M57" s="57"/>
      <c r="N57" s="57"/>
      <c r="O57" s="57"/>
      <c r="P57" s="57"/>
      <c r="Q57" s="57"/>
      <c r="R57" s="57"/>
      <c r="S57" s="57"/>
      <c r="T57" s="16"/>
      <c r="U57" s="16"/>
      <c r="V57" s="16"/>
      <c r="W57" s="16"/>
      <c r="X57" s="16"/>
      <c r="Y57" s="16"/>
      <c r="Z57" s="16"/>
      <c r="AA57" s="16"/>
    </row>
    <row r="58" spans="1:27">
      <c r="A58" s="16"/>
      <c r="B58" s="30"/>
      <c r="C58" s="52" t="s">
        <v>523</v>
      </c>
      <c r="D58" s="85">
        <v>5.8000000000000003E-2</v>
      </c>
      <c r="E58" s="53">
        <v>65.959999999999994</v>
      </c>
      <c r="F58" s="55">
        <v>3</v>
      </c>
      <c r="G58" s="53">
        <v>0.6</v>
      </c>
      <c r="H58" s="53">
        <v>3.83</v>
      </c>
      <c r="I58" s="53">
        <v>0.17</v>
      </c>
      <c r="J58" s="98">
        <v>0.03</v>
      </c>
      <c r="K58" s="16"/>
      <c r="L58" s="16"/>
      <c r="M58" s="57"/>
      <c r="N58" s="57"/>
      <c r="O58" s="57"/>
      <c r="P58" s="57"/>
      <c r="Q58" s="57"/>
      <c r="R58" s="57"/>
      <c r="S58" s="57"/>
      <c r="T58" s="16"/>
      <c r="U58" s="16"/>
      <c r="V58" s="16"/>
      <c r="W58" s="16"/>
      <c r="X58" s="16"/>
      <c r="Y58" s="16"/>
      <c r="Z58" s="16"/>
      <c r="AA58" s="16"/>
    </row>
    <row r="59" spans="1:27">
      <c r="A59" s="16"/>
      <c r="B59" s="30"/>
      <c r="C59" s="52" t="s">
        <v>524</v>
      </c>
      <c r="D59" s="85">
        <v>0.14799999999999999</v>
      </c>
      <c r="E59" s="53">
        <v>74.92</v>
      </c>
      <c r="F59" s="55">
        <v>3</v>
      </c>
      <c r="G59" s="53">
        <v>0.6</v>
      </c>
      <c r="H59" s="53">
        <v>11.09</v>
      </c>
      <c r="I59" s="53">
        <v>0.44</v>
      </c>
      <c r="J59" s="98">
        <v>0.09</v>
      </c>
      <c r="K59" s="16"/>
      <c r="L59" s="16"/>
      <c r="M59" s="57"/>
      <c r="N59" s="57"/>
      <c r="O59" s="57"/>
      <c r="P59" s="57"/>
      <c r="Q59" s="57"/>
      <c r="R59" s="57"/>
      <c r="S59" s="57"/>
      <c r="T59" s="16"/>
      <c r="U59" s="16"/>
      <c r="V59" s="16"/>
      <c r="W59" s="16"/>
      <c r="X59" s="16"/>
      <c r="Y59" s="16"/>
      <c r="Z59" s="16"/>
      <c r="AA59" s="16"/>
    </row>
    <row r="60" spans="1:27">
      <c r="A60" s="16"/>
      <c r="B60" s="30"/>
      <c r="C60" s="52" t="s">
        <v>525</v>
      </c>
      <c r="D60" s="85">
        <v>9.9000000000000005E-2</v>
      </c>
      <c r="E60" s="53">
        <v>64.94</v>
      </c>
      <c r="F60" s="55">
        <v>3</v>
      </c>
      <c r="G60" s="53">
        <v>0.6</v>
      </c>
      <c r="H60" s="53">
        <v>6.43</v>
      </c>
      <c r="I60" s="53">
        <v>0.3</v>
      </c>
      <c r="J60" s="98">
        <v>0.06</v>
      </c>
      <c r="K60" s="16"/>
      <c r="L60" s="16"/>
      <c r="M60" s="57"/>
      <c r="N60" s="57"/>
      <c r="O60" s="57"/>
      <c r="P60" s="57"/>
      <c r="Q60" s="57"/>
      <c r="R60" s="57"/>
      <c r="S60" s="57"/>
      <c r="T60" s="16"/>
      <c r="U60" s="16"/>
      <c r="V60" s="16"/>
      <c r="W60" s="16"/>
      <c r="X60" s="16"/>
      <c r="Y60" s="16"/>
      <c r="Z60" s="16"/>
      <c r="AA60" s="16"/>
    </row>
    <row r="61" spans="1:27">
      <c r="A61" s="16"/>
      <c r="B61" s="30"/>
      <c r="C61" s="52" t="s">
        <v>526</v>
      </c>
      <c r="D61" s="85">
        <v>0.10299999999999999</v>
      </c>
      <c r="E61" s="53">
        <v>68.86</v>
      </c>
      <c r="F61" s="55">
        <v>3</v>
      </c>
      <c r="G61" s="53">
        <v>0.6</v>
      </c>
      <c r="H61" s="53">
        <v>7.09</v>
      </c>
      <c r="I61" s="53">
        <v>0.31</v>
      </c>
      <c r="J61" s="98">
        <v>0.06</v>
      </c>
      <c r="K61" s="16"/>
      <c r="L61" s="16"/>
      <c r="M61" s="57"/>
      <c r="N61" s="57"/>
      <c r="O61" s="57"/>
      <c r="P61" s="57"/>
      <c r="Q61" s="57"/>
      <c r="R61" s="57"/>
      <c r="S61" s="57"/>
      <c r="T61" s="16"/>
      <c r="U61" s="16"/>
      <c r="V61" s="16"/>
      <c r="W61" s="16"/>
      <c r="X61" s="16"/>
      <c r="Y61" s="16"/>
      <c r="Z61" s="16"/>
      <c r="AA61" s="16"/>
    </row>
    <row r="62" spans="1:27">
      <c r="A62" s="16"/>
      <c r="B62" s="30"/>
      <c r="C62" s="52" t="s">
        <v>527</v>
      </c>
      <c r="D62" s="85">
        <v>0.13500000000000001</v>
      </c>
      <c r="E62" s="53">
        <v>75.2</v>
      </c>
      <c r="F62" s="55">
        <v>3</v>
      </c>
      <c r="G62" s="53">
        <v>0.6</v>
      </c>
      <c r="H62" s="53">
        <v>10.15</v>
      </c>
      <c r="I62" s="53">
        <v>0.41</v>
      </c>
      <c r="J62" s="98">
        <v>0.08</v>
      </c>
      <c r="K62" s="16"/>
      <c r="L62" s="16"/>
      <c r="M62" s="57"/>
      <c r="N62" s="57"/>
      <c r="O62" s="57"/>
      <c r="P62" s="57"/>
      <c r="Q62" s="57"/>
      <c r="R62" s="57"/>
      <c r="S62" s="57"/>
      <c r="T62" s="16"/>
      <c r="U62" s="16"/>
      <c r="V62" s="16"/>
      <c r="W62" s="16"/>
      <c r="X62" s="16"/>
      <c r="Y62" s="16"/>
      <c r="Z62" s="16"/>
      <c r="AA62" s="16"/>
    </row>
    <row r="63" spans="1:27">
      <c r="A63" s="16"/>
      <c r="B63" s="30"/>
      <c r="C63" s="52" t="s">
        <v>528</v>
      </c>
      <c r="D63" s="85">
        <v>0.13500000000000001</v>
      </c>
      <c r="E63" s="53">
        <v>72.22</v>
      </c>
      <c r="F63" s="55">
        <v>3</v>
      </c>
      <c r="G63" s="53">
        <v>0.6</v>
      </c>
      <c r="H63" s="53">
        <v>9.75</v>
      </c>
      <c r="I63" s="53">
        <v>0.41</v>
      </c>
      <c r="J63" s="98">
        <v>0.08</v>
      </c>
      <c r="K63" s="16"/>
      <c r="L63" s="16"/>
      <c r="M63" s="57"/>
      <c r="N63" s="57"/>
      <c r="O63" s="57"/>
      <c r="P63" s="57"/>
      <c r="Q63" s="57"/>
      <c r="R63" s="57"/>
      <c r="S63" s="57"/>
      <c r="T63" s="16"/>
      <c r="U63" s="16"/>
      <c r="V63" s="16"/>
      <c r="W63" s="16"/>
      <c r="X63" s="16"/>
      <c r="Y63" s="16"/>
      <c r="Z63" s="16"/>
      <c r="AA63" s="16"/>
    </row>
    <row r="64" spans="1:27">
      <c r="A64" s="16"/>
      <c r="B64" s="30"/>
      <c r="C64" s="52" t="s">
        <v>529</v>
      </c>
      <c r="D64" s="85">
        <v>9.1999999999999998E-2</v>
      </c>
      <c r="E64" s="53">
        <v>61.71</v>
      </c>
      <c r="F64" s="55">
        <v>3</v>
      </c>
      <c r="G64" s="53">
        <v>0.6</v>
      </c>
      <c r="H64" s="53">
        <v>5.68</v>
      </c>
      <c r="I64" s="53">
        <v>0.28000000000000003</v>
      </c>
      <c r="J64" s="98">
        <v>0.06</v>
      </c>
      <c r="K64" s="16"/>
      <c r="L64" s="16"/>
      <c r="M64" s="57"/>
      <c r="N64" s="57"/>
      <c r="O64" s="57"/>
      <c r="P64" s="57"/>
      <c r="Q64" s="57"/>
      <c r="R64" s="57"/>
      <c r="S64" s="57"/>
      <c r="T64" s="16"/>
      <c r="U64" s="16"/>
      <c r="V64" s="16"/>
      <c r="W64" s="16"/>
      <c r="X64" s="16"/>
      <c r="Y64" s="16"/>
      <c r="Z64" s="16"/>
      <c r="AA64" s="16"/>
    </row>
    <row r="65" spans="1:27">
      <c r="A65" s="16"/>
      <c r="B65" s="30"/>
      <c r="C65" s="52" t="s">
        <v>530</v>
      </c>
      <c r="D65" s="85">
        <v>0.14399999999999999</v>
      </c>
      <c r="E65" s="53">
        <v>74.27</v>
      </c>
      <c r="F65" s="55">
        <v>3</v>
      </c>
      <c r="G65" s="53">
        <v>0.6</v>
      </c>
      <c r="H65" s="53">
        <v>10.69</v>
      </c>
      <c r="I65" s="53">
        <v>0.43</v>
      </c>
      <c r="J65" s="98">
        <v>0.09</v>
      </c>
      <c r="K65" s="16"/>
      <c r="L65" s="16"/>
      <c r="M65" s="57"/>
      <c r="N65" s="57"/>
      <c r="O65" s="57"/>
      <c r="P65" s="57"/>
      <c r="Q65" s="57"/>
      <c r="R65" s="57"/>
      <c r="S65" s="57"/>
      <c r="T65" s="16"/>
      <c r="U65" s="16"/>
      <c r="V65" s="16"/>
      <c r="W65" s="16"/>
      <c r="X65" s="16"/>
      <c r="Y65" s="16"/>
      <c r="Z65" s="16"/>
      <c r="AA65" s="16"/>
    </row>
    <row r="66" spans="1:27">
      <c r="A66" s="16"/>
      <c r="B66" s="30"/>
      <c r="C66" s="52" t="s">
        <v>531</v>
      </c>
      <c r="D66" s="85">
        <v>0.125</v>
      </c>
      <c r="E66" s="53">
        <v>70.22</v>
      </c>
      <c r="F66" s="55">
        <v>3</v>
      </c>
      <c r="G66" s="53">
        <v>0.6</v>
      </c>
      <c r="H66" s="53">
        <v>8.7799999999999994</v>
      </c>
      <c r="I66" s="53">
        <v>0.38</v>
      </c>
      <c r="J66" s="98">
        <v>0.08</v>
      </c>
      <c r="K66" s="16"/>
      <c r="L66" s="16"/>
      <c r="M66" s="57"/>
      <c r="N66" s="57"/>
      <c r="O66" s="57"/>
      <c r="P66" s="57"/>
      <c r="Q66" s="57"/>
      <c r="R66" s="57"/>
      <c r="S66" s="57"/>
      <c r="T66" s="16"/>
      <c r="U66" s="16"/>
      <c r="V66" s="16"/>
      <c r="W66" s="16"/>
      <c r="X66" s="16"/>
      <c r="Y66" s="16"/>
      <c r="Z66" s="16"/>
      <c r="AA66" s="16"/>
    </row>
    <row r="67" spans="1:27">
      <c r="A67" s="16"/>
      <c r="B67" s="30"/>
      <c r="C67" s="52" t="s">
        <v>532</v>
      </c>
      <c r="D67" s="85">
        <v>0.125</v>
      </c>
      <c r="E67" s="53">
        <v>68.02</v>
      </c>
      <c r="F67" s="55">
        <v>3</v>
      </c>
      <c r="G67" s="53">
        <v>0.6</v>
      </c>
      <c r="H67" s="53">
        <v>8.5</v>
      </c>
      <c r="I67" s="53">
        <v>0.38</v>
      </c>
      <c r="J67" s="98">
        <v>0.08</v>
      </c>
      <c r="K67" s="16"/>
      <c r="L67" s="16"/>
      <c r="M67" s="57"/>
      <c r="N67" s="57"/>
      <c r="O67" s="57"/>
      <c r="P67" s="57"/>
      <c r="Q67" s="57"/>
      <c r="R67" s="57"/>
      <c r="S67" s="57"/>
      <c r="T67" s="16"/>
      <c r="U67" s="16"/>
      <c r="V67" s="16"/>
      <c r="W67" s="16"/>
      <c r="X67" s="16"/>
      <c r="Y67" s="16"/>
      <c r="Z67" s="16"/>
      <c r="AA67" s="16"/>
    </row>
    <row r="68" spans="1:27">
      <c r="A68" s="16"/>
      <c r="B68" s="30"/>
      <c r="C68" s="52" t="s">
        <v>533</v>
      </c>
      <c r="D68" s="85">
        <v>0.11</v>
      </c>
      <c r="E68" s="53">
        <v>66.88</v>
      </c>
      <c r="F68" s="55">
        <v>3</v>
      </c>
      <c r="G68" s="53">
        <v>0.6</v>
      </c>
      <c r="H68" s="53">
        <v>7.36</v>
      </c>
      <c r="I68" s="53">
        <v>0.33</v>
      </c>
      <c r="J68" s="98">
        <v>7.0000000000000007E-2</v>
      </c>
      <c r="K68" s="16"/>
      <c r="L68" s="16"/>
      <c r="M68" s="57"/>
      <c r="N68" s="57"/>
      <c r="O68" s="57"/>
      <c r="P68" s="57"/>
      <c r="Q68" s="57"/>
      <c r="R68" s="57"/>
      <c r="S68" s="57"/>
      <c r="T68" s="16"/>
      <c r="U68" s="16"/>
      <c r="V68" s="16"/>
      <c r="W68" s="16"/>
      <c r="X68" s="16"/>
      <c r="Y68" s="16"/>
      <c r="Z68" s="16"/>
      <c r="AA68" s="16"/>
    </row>
    <row r="69" spans="1:27">
      <c r="A69" s="16"/>
      <c r="B69" s="30"/>
      <c r="C69" s="52" t="s">
        <v>534</v>
      </c>
      <c r="D69" s="85">
        <v>0.13900000000000001</v>
      </c>
      <c r="E69" s="53">
        <v>76.22</v>
      </c>
      <c r="F69" s="55">
        <v>3</v>
      </c>
      <c r="G69" s="53">
        <v>0.6</v>
      </c>
      <c r="H69" s="53">
        <v>10.59</v>
      </c>
      <c r="I69" s="53">
        <v>0.42</v>
      </c>
      <c r="J69" s="98">
        <v>0.08</v>
      </c>
      <c r="K69" s="16"/>
      <c r="L69" s="16"/>
      <c r="M69" s="57"/>
      <c r="N69" s="57"/>
      <c r="O69" s="57"/>
      <c r="P69" s="57"/>
      <c r="Q69" s="57"/>
      <c r="R69" s="57"/>
      <c r="S69" s="57"/>
      <c r="T69" s="16"/>
      <c r="U69" s="16"/>
      <c r="V69" s="16"/>
      <c r="W69" s="16"/>
      <c r="X69" s="16"/>
      <c r="Y69" s="16"/>
      <c r="Z69" s="16"/>
      <c r="AA69" s="16"/>
    </row>
    <row r="70" spans="1:27">
      <c r="A70" s="16"/>
      <c r="B70" s="30"/>
      <c r="C70" s="52" t="s">
        <v>535</v>
      </c>
      <c r="D70" s="85">
        <v>0.11</v>
      </c>
      <c r="E70" s="53">
        <v>70.02</v>
      </c>
      <c r="F70" s="55">
        <v>3</v>
      </c>
      <c r="G70" s="53">
        <v>0.6</v>
      </c>
      <c r="H70" s="53">
        <v>7.7</v>
      </c>
      <c r="I70" s="53">
        <v>0.33</v>
      </c>
      <c r="J70" s="98">
        <v>7.0000000000000007E-2</v>
      </c>
      <c r="K70" s="16"/>
      <c r="L70" s="16"/>
      <c r="M70" s="57"/>
      <c r="N70" s="57"/>
      <c r="O70" s="57"/>
      <c r="P70" s="57"/>
      <c r="Q70" s="57"/>
      <c r="R70" s="57"/>
      <c r="S70" s="57"/>
      <c r="T70" s="16"/>
      <c r="U70" s="16"/>
      <c r="V70" s="16"/>
      <c r="W70" s="16"/>
      <c r="X70" s="16"/>
      <c r="Y70" s="16"/>
      <c r="Z70" s="16"/>
      <c r="AA70" s="16"/>
    </row>
    <row r="71" spans="1:27">
      <c r="A71" s="16"/>
      <c r="B71" s="30"/>
      <c r="C71" s="52" t="s">
        <v>536</v>
      </c>
      <c r="D71" s="85">
        <v>0.125</v>
      </c>
      <c r="E71" s="53">
        <v>71.02</v>
      </c>
      <c r="F71" s="55">
        <v>3</v>
      </c>
      <c r="G71" s="53">
        <v>0.6</v>
      </c>
      <c r="H71" s="53">
        <v>8.8800000000000008</v>
      </c>
      <c r="I71" s="53">
        <v>0.38</v>
      </c>
      <c r="J71" s="98">
        <v>0.08</v>
      </c>
      <c r="K71" s="16"/>
      <c r="L71" s="16"/>
      <c r="M71" s="57"/>
      <c r="N71" s="57"/>
      <c r="O71" s="57"/>
      <c r="P71" s="57"/>
      <c r="Q71" s="57"/>
      <c r="R71" s="57"/>
      <c r="S71" s="57"/>
      <c r="T71" s="16"/>
      <c r="U71" s="16"/>
      <c r="V71" s="16"/>
      <c r="W71" s="16"/>
      <c r="X71" s="16"/>
      <c r="Y71" s="16"/>
      <c r="Z71" s="16"/>
      <c r="AA71" s="16"/>
    </row>
    <row r="72" spans="1:27">
      <c r="A72" s="16"/>
      <c r="B72" s="30"/>
      <c r="C72" s="52" t="s">
        <v>537</v>
      </c>
      <c r="D72" s="85">
        <v>9.0999999999999998E-2</v>
      </c>
      <c r="E72" s="53">
        <v>62.87</v>
      </c>
      <c r="F72" s="55">
        <v>3</v>
      </c>
      <c r="G72" s="53">
        <v>0.6</v>
      </c>
      <c r="H72" s="53">
        <v>5.72</v>
      </c>
      <c r="I72" s="53">
        <v>0.27</v>
      </c>
      <c r="J72" s="98">
        <v>0.05</v>
      </c>
      <c r="K72" s="99"/>
      <c r="L72" s="16"/>
      <c r="M72" s="57"/>
      <c r="N72" s="57"/>
      <c r="O72" s="57"/>
      <c r="P72" s="57"/>
      <c r="Q72" s="57"/>
      <c r="R72" s="57"/>
      <c r="S72" s="57"/>
      <c r="T72" s="16"/>
      <c r="U72" s="16"/>
      <c r="V72" s="16"/>
      <c r="W72" s="16"/>
      <c r="X72" s="16"/>
      <c r="Y72" s="16"/>
      <c r="Z72" s="16"/>
      <c r="AA72" s="16"/>
    </row>
    <row r="73" spans="1:27">
      <c r="A73" s="16"/>
      <c r="B73" s="30"/>
      <c r="C73" s="52" t="s">
        <v>538</v>
      </c>
      <c r="D73" s="85">
        <v>9.0999999999999998E-2</v>
      </c>
      <c r="E73" s="53">
        <v>67.77</v>
      </c>
      <c r="F73" s="55">
        <v>3</v>
      </c>
      <c r="G73" s="53">
        <v>0.6</v>
      </c>
      <c r="H73" s="53">
        <v>6.17</v>
      </c>
      <c r="I73" s="53">
        <v>0.27</v>
      </c>
      <c r="J73" s="98">
        <v>0.05</v>
      </c>
      <c r="K73" s="16"/>
      <c r="L73" s="16"/>
      <c r="M73" s="57"/>
      <c r="N73" s="57"/>
      <c r="O73" s="57"/>
      <c r="P73" s="57"/>
      <c r="Q73" s="57"/>
      <c r="R73" s="57"/>
      <c r="S73" s="57"/>
      <c r="T73" s="16"/>
      <c r="U73" s="16"/>
      <c r="V73" s="16"/>
      <c r="W73" s="16"/>
      <c r="X73" s="16"/>
      <c r="Y73" s="16"/>
      <c r="Z73" s="16"/>
      <c r="AA73" s="16"/>
    </row>
    <row r="74" spans="1:27">
      <c r="A74" s="16"/>
      <c r="B74" s="30"/>
      <c r="C74" s="52" t="s">
        <v>539</v>
      </c>
      <c r="D74" s="85">
        <v>0.14000000000000001</v>
      </c>
      <c r="E74" s="53">
        <v>72.930000000000007</v>
      </c>
      <c r="F74" s="55">
        <v>3</v>
      </c>
      <c r="G74" s="53">
        <v>0.6</v>
      </c>
      <c r="H74" s="53">
        <v>10.210000000000001</v>
      </c>
      <c r="I74" s="53">
        <v>0.42</v>
      </c>
      <c r="J74" s="98">
        <v>0.08</v>
      </c>
      <c r="K74" s="16"/>
      <c r="L74" s="16"/>
      <c r="M74" s="57"/>
      <c r="N74" s="57"/>
      <c r="O74" s="57"/>
      <c r="P74" s="57"/>
      <c r="Q74" s="57"/>
      <c r="R74" s="57"/>
      <c r="S74" s="57"/>
      <c r="T74" s="16"/>
      <c r="U74" s="16"/>
      <c r="V74" s="16"/>
      <c r="W74" s="16"/>
      <c r="X74" s="16"/>
      <c r="Y74" s="16"/>
      <c r="Z74" s="16"/>
      <c r="AA74" s="16"/>
    </row>
    <row r="75" spans="1:27">
      <c r="A75" s="16"/>
      <c r="B75" s="30"/>
      <c r="C75" s="52" t="s">
        <v>540</v>
      </c>
      <c r="D75" s="85">
        <v>0.15</v>
      </c>
      <c r="E75" s="53">
        <v>75.099999999999994</v>
      </c>
      <c r="F75" s="55">
        <v>3</v>
      </c>
      <c r="G75" s="53">
        <v>0.6</v>
      </c>
      <c r="H75" s="53">
        <v>11.27</v>
      </c>
      <c r="I75" s="53">
        <v>0.45</v>
      </c>
      <c r="J75" s="98">
        <v>0.09</v>
      </c>
      <c r="K75" s="16"/>
      <c r="L75" s="16"/>
      <c r="M75" s="57"/>
      <c r="N75" s="57"/>
      <c r="O75" s="57"/>
      <c r="P75" s="57"/>
      <c r="Q75" s="57"/>
      <c r="R75" s="57"/>
      <c r="S75" s="57"/>
      <c r="T75" s="16"/>
      <c r="U75" s="16"/>
      <c r="V75" s="16"/>
      <c r="W75" s="16"/>
      <c r="X75" s="16"/>
      <c r="Y75" s="16"/>
      <c r="Z75" s="16"/>
      <c r="AA75" s="16"/>
    </row>
    <row r="76" spans="1:27">
      <c r="A76" s="16"/>
      <c r="B76" s="30"/>
      <c r="C76" s="52" t="s">
        <v>541</v>
      </c>
      <c r="D76" s="85">
        <v>0.125</v>
      </c>
      <c r="E76" s="53">
        <v>72.34</v>
      </c>
      <c r="F76" s="55">
        <v>3</v>
      </c>
      <c r="G76" s="53">
        <v>0.6</v>
      </c>
      <c r="H76" s="53">
        <v>9.0399999999999991</v>
      </c>
      <c r="I76" s="53">
        <v>0.38</v>
      </c>
      <c r="J76" s="98">
        <v>0.08</v>
      </c>
      <c r="K76" s="16"/>
      <c r="L76" s="16"/>
      <c r="M76" s="57"/>
      <c r="N76" s="57"/>
      <c r="O76" s="57"/>
      <c r="P76" s="57"/>
      <c r="Q76" s="57"/>
      <c r="R76" s="57"/>
      <c r="S76" s="57"/>
      <c r="T76" s="16"/>
      <c r="U76" s="16"/>
      <c r="V76" s="16"/>
      <c r="W76" s="16"/>
      <c r="X76" s="16"/>
      <c r="Y76" s="16"/>
      <c r="Z76" s="16"/>
      <c r="AA76" s="16"/>
    </row>
    <row r="77" spans="1:27">
      <c r="A77" s="16"/>
      <c r="B77" s="30"/>
      <c r="C77" s="52" t="s">
        <v>542</v>
      </c>
      <c r="D77" s="85">
        <v>0.13900000000000001</v>
      </c>
      <c r="E77" s="53">
        <v>74.540000000000006</v>
      </c>
      <c r="F77" s="55">
        <v>3</v>
      </c>
      <c r="G77" s="53">
        <v>0.6</v>
      </c>
      <c r="H77" s="53">
        <v>10.36</v>
      </c>
      <c r="I77" s="53">
        <v>0.42</v>
      </c>
      <c r="J77" s="98">
        <v>0.08</v>
      </c>
      <c r="K77" s="16"/>
      <c r="L77" s="16"/>
      <c r="M77" s="57"/>
      <c r="N77" s="57"/>
      <c r="O77" s="57"/>
      <c r="P77" s="57"/>
      <c r="Q77" s="57"/>
      <c r="R77" s="57"/>
      <c r="S77" s="57"/>
      <c r="T77" s="16"/>
      <c r="U77" s="16"/>
      <c r="V77" s="16"/>
      <c r="W77" s="16"/>
      <c r="X77" s="16"/>
      <c r="Y77" s="16"/>
      <c r="Z77" s="16"/>
      <c r="AA77" s="16"/>
    </row>
    <row r="78" spans="1:27">
      <c r="A78" s="16"/>
      <c r="B78" s="30"/>
      <c r="C78" s="52" t="s">
        <v>543</v>
      </c>
      <c r="D78" s="85">
        <v>0.13800000000000001</v>
      </c>
      <c r="E78" s="53">
        <v>74</v>
      </c>
      <c r="F78" s="55">
        <v>3</v>
      </c>
      <c r="G78" s="53">
        <v>0.6</v>
      </c>
      <c r="H78" s="53">
        <v>10.210000000000001</v>
      </c>
      <c r="I78" s="53">
        <v>0.41</v>
      </c>
      <c r="J78" s="98">
        <v>0.08</v>
      </c>
      <c r="K78" s="16"/>
      <c r="L78" s="16"/>
      <c r="M78" s="57"/>
      <c r="N78" s="57"/>
      <c r="O78" s="57"/>
      <c r="P78" s="57"/>
      <c r="Q78" s="57"/>
      <c r="R78" s="57"/>
      <c r="S78" s="57"/>
      <c r="T78" s="16"/>
      <c r="U78" s="16"/>
      <c r="V78" s="16"/>
      <c r="W78" s="16"/>
      <c r="X78" s="16"/>
      <c r="Y78" s="16"/>
      <c r="Z78" s="16"/>
      <c r="AA78" s="16"/>
    </row>
    <row r="79" spans="1:27" s="336" customFormat="1" ht="12.95" customHeight="1">
      <c r="A79" s="31"/>
      <c r="B79" s="94"/>
      <c r="C79" s="95" t="s">
        <v>544</v>
      </c>
      <c r="D79" s="96"/>
      <c r="E79" s="100"/>
      <c r="F79" s="96"/>
      <c r="G79" s="96"/>
      <c r="H79" s="101"/>
      <c r="I79" s="101"/>
      <c r="J79" s="102"/>
      <c r="K79" s="16"/>
      <c r="L79" s="16"/>
      <c r="M79" s="57"/>
      <c r="N79" s="57"/>
      <c r="O79" s="57"/>
      <c r="P79" s="57"/>
      <c r="Q79" s="57"/>
      <c r="R79" s="57"/>
      <c r="S79" s="57"/>
      <c r="T79" s="31"/>
      <c r="U79" s="31"/>
      <c r="V79" s="31"/>
      <c r="W79" s="31"/>
      <c r="X79" s="31"/>
      <c r="Y79" s="31"/>
      <c r="Z79" s="31"/>
      <c r="AA79" s="31"/>
    </row>
    <row r="80" spans="1:27">
      <c r="A80" s="16"/>
      <c r="B80" s="30"/>
      <c r="C80" s="52" t="s">
        <v>545</v>
      </c>
      <c r="D80" s="85">
        <v>0.128</v>
      </c>
      <c r="E80" s="53">
        <v>73.84</v>
      </c>
      <c r="F80" s="55">
        <v>1.1000000000000001</v>
      </c>
      <c r="G80" s="53">
        <v>0.11</v>
      </c>
      <c r="H80" s="53">
        <v>9.4499999999999993</v>
      </c>
      <c r="I80" s="53">
        <v>0.14000000000000001</v>
      </c>
      <c r="J80" s="98">
        <v>0.01</v>
      </c>
      <c r="K80" s="16"/>
      <c r="L80" s="16"/>
      <c r="M80" s="57"/>
      <c r="N80" s="57"/>
      <c r="O80" s="57"/>
      <c r="P80" s="57"/>
      <c r="Q80" s="57"/>
      <c r="R80" s="57"/>
      <c r="S80" s="57"/>
      <c r="T80" s="16"/>
      <c r="U80" s="16"/>
      <c r="V80" s="16"/>
      <c r="W80" s="16"/>
      <c r="X80" s="16"/>
      <c r="Y80" s="16"/>
      <c r="Z80" s="16"/>
      <c r="AA80" s="16"/>
    </row>
    <row r="81" spans="1:27">
      <c r="A81" s="16"/>
      <c r="B81" s="30"/>
      <c r="C81" s="52" t="s">
        <v>546</v>
      </c>
      <c r="D81" s="85">
        <v>8.4000000000000005E-2</v>
      </c>
      <c r="E81" s="53">
        <v>68.44</v>
      </c>
      <c r="F81" s="55">
        <v>1.1000000000000001</v>
      </c>
      <c r="G81" s="53">
        <v>0.11</v>
      </c>
      <c r="H81" s="53">
        <v>5.75</v>
      </c>
      <c r="I81" s="53">
        <v>0.09</v>
      </c>
      <c r="J81" s="98">
        <v>0.01</v>
      </c>
      <c r="K81" s="16"/>
      <c r="L81" s="16"/>
      <c r="M81" s="57"/>
      <c r="N81" s="57"/>
      <c r="O81" s="57"/>
      <c r="P81" s="57"/>
      <c r="Q81" s="57"/>
      <c r="R81" s="57"/>
      <c r="S81" s="57"/>
      <c r="T81" s="16"/>
      <c r="U81" s="16"/>
      <c r="V81" s="16"/>
      <c r="W81" s="16"/>
      <c r="X81" s="16"/>
      <c r="Y81" s="16"/>
      <c r="Z81" s="16"/>
      <c r="AA81" s="16"/>
    </row>
    <row r="82" spans="1:27">
      <c r="A82" s="16"/>
      <c r="B82" s="30"/>
      <c r="C82" s="52" t="s">
        <v>547</v>
      </c>
      <c r="D82" s="85">
        <v>0.125</v>
      </c>
      <c r="E82" s="53">
        <v>71.06</v>
      </c>
      <c r="F82" s="55">
        <v>1.1000000000000001</v>
      </c>
      <c r="G82" s="53">
        <v>0.11</v>
      </c>
      <c r="H82" s="53">
        <v>8.8800000000000008</v>
      </c>
      <c r="I82" s="53">
        <v>0.14000000000000001</v>
      </c>
      <c r="J82" s="98">
        <v>0.01</v>
      </c>
      <c r="K82" s="16"/>
      <c r="L82" s="16"/>
      <c r="M82" s="57"/>
      <c r="N82" s="57"/>
      <c r="O82" s="57"/>
      <c r="P82" s="57"/>
      <c r="Q82" s="57"/>
      <c r="R82" s="57"/>
      <c r="S82" s="57"/>
      <c r="T82" s="16"/>
      <c r="U82" s="16"/>
      <c r="V82" s="16"/>
      <c r="W82" s="16"/>
      <c r="X82" s="16"/>
      <c r="Y82" s="16"/>
      <c r="Z82" s="16"/>
      <c r="AA82" s="16"/>
    </row>
    <row r="83" spans="1:27">
      <c r="A83" s="16"/>
      <c r="B83" s="30"/>
      <c r="C83" s="52" t="s">
        <v>548</v>
      </c>
      <c r="D83" s="85">
        <v>0.12</v>
      </c>
      <c r="E83" s="53">
        <v>81.55</v>
      </c>
      <c r="F83" s="55">
        <v>1.1000000000000001</v>
      </c>
      <c r="G83" s="53">
        <v>0.11</v>
      </c>
      <c r="H83" s="53">
        <v>9.7899999999999991</v>
      </c>
      <c r="I83" s="53">
        <v>0.13</v>
      </c>
      <c r="J83" s="98">
        <v>0.01</v>
      </c>
      <c r="K83" s="16"/>
      <c r="L83" s="16"/>
      <c r="M83" s="57"/>
      <c r="N83" s="57"/>
      <c r="O83" s="57"/>
      <c r="P83" s="57"/>
      <c r="Q83" s="57"/>
      <c r="R83" s="57"/>
      <c r="S83" s="57"/>
      <c r="T83" s="16"/>
      <c r="U83" s="16"/>
      <c r="V83" s="16"/>
      <c r="W83" s="16"/>
      <c r="X83" s="16"/>
      <c r="Y83" s="16"/>
      <c r="Z83" s="16"/>
      <c r="AA83" s="16"/>
    </row>
    <row r="84" spans="1:27" s="336" customFormat="1" ht="39.6" customHeight="1">
      <c r="A84" s="31"/>
      <c r="B84" s="94"/>
      <c r="C84" s="103" t="s">
        <v>549</v>
      </c>
      <c r="D84" s="96"/>
      <c r="E84" s="100"/>
      <c r="F84" s="96"/>
      <c r="G84" s="96"/>
      <c r="H84" s="101"/>
      <c r="I84" s="101"/>
      <c r="J84" s="102"/>
      <c r="K84" s="16"/>
      <c r="L84" s="16"/>
      <c r="M84" s="57"/>
      <c r="N84" s="57"/>
      <c r="O84" s="57"/>
      <c r="P84" s="57"/>
      <c r="Q84" s="57"/>
      <c r="R84" s="57"/>
      <c r="S84" s="57"/>
      <c r="T84" s="31"/>
      <c r="U84" s="31"/>
      <c r="V84" s="31"/>
      <c r="W84" s="31"/>
      <c r="X84" s="31"/>
      <c r="Y84" s="31"/>
      <c r="Z84" s="31"/>
      <c r="AA84" s="31"/>
    </row>
    <row r="85" spans="1:27">
      <c r="A85" s="16"/>
      <c r="B85" s="30"/>
      <c r="C85" s="52" t="s">
        <v>550</v>
      </c>
      <c r="D85" s="101"/>
      <c r="E85" s="55">
        <v>94.4</v>
      </c>
      <c r="F85" s="55">
        <v>1.9</v>
      </c>
      <c r="G85" s="53">
        <v>0.42</v>
      </c>
      <c r="H85" s="101"/>
      <c r="I85" s="101"/>
      <c r="J85" s="102"/>
      <c r="K85" s="16"/>
      <c r="L85" s="16"/>
      <c r="M85" s="57"/>
      <c r="N85" s="57"/>
      <c r="O85" s="57"/>
      <c r="P85" s="57"/>
      <c r="Q85" s="57"/>
      <c r="R85" s="57"/>
      <c r="S85" s="57"/>
      <c r="T85" s="16"/>
      <c r="U85" s="16"/>
      <c r="V85" s="16"/>
      <c r="W85" s="16"/>
      <c r="X85" s="16"/>
      <c r="Y85" s="16"/>
      <c r="Z85" s="16"/>
      <c r="AA85" s="16"/>
    </row>
    <row r="86" spans="1:27">
      <c r="A86" s="16"/>
      <c r="B86" s="30"/>
      <c r="C86" s="52" t="s">
        <v>551</v>
      </c>
      <c r="D86" s="101"/>
      <c r="E86" s="55">
        <v>93.7</v>
      </c>
      <c r="F86" s="55">
        <v>1.9</v>
      </c>
      <c r="G86" s="53">
        <v>0.42</v>
      </c>
      <c r="H86" s="101"/>
      <c r="I86" s="101"/>
      <c r="J86" s="102"/>
      <c r="K86" s="16"/>
      <c r="L86" s="16"/>
      <c r="M86" s="57"/>
      <c r="N86" s="57"/>
      <c r="O86" s="57"/>
      <c r="P86" s="57"/>
      <c r="Q86" s="57"/>
      <c r="R86" s="57"/>
      <c r="S86" s="57"/>
      <c r="T86" s="16"/>
      <c r="U86" s="16"/>
      <c r="V86" s="16"/>
      <c r="W86" s="16"/>
      <c r="X86" s="16"/>
      <c r="Y86" s="16"/>
      <c r="Z86" s="16"/>
      <c r="AA86" s="16"/>
    </row>
    <row r="87" spans="1:27">
      <c r="A87" s="16"/>
      <c r="B87" s="30"/>
      <c r="C87" s="52" t="s">
        <v>552</v>
      </c>
      <c r="D87" s="101"/>
      <c r="E87" s="55">
        <v>95.5</v>
      </c>
      <c r="F87" s="55">
        <v>1.9</v>
      </c>
      <c r="G87" s="53">
        <v>0.42</v>
      </c>
      <c r="H87" s="101"/>
      <c r="I87" s="101"/>
      <c r="J87" s="102"/>
      <c r="K87" s="16"/>
      <c r="L87" s="16"/>
      <c r="M87" s="57"/>
      <c r="N87" s="57"/>
      <c r="O87" s="57"/>
      <c r="P87" s="57"/>
      <c r="Q87" s="57"/>
      <c r="R87" s="57"/>
      <c r="S87" s="57"/>
      <c r="T87" s="16"/>
      <c r="U87" s="16"/>
      <c r="V87" s="16"/>
      <c r="W87" s="16"/>
      <c r="X87" s="16"/>
      <c r="Y87" s="16"/>
      <c r="Z87" s="16"/>
      <c r="AA87" s="16"/>
    </row>
    <row r="88" spans="1:27">
      <c r="A88" s="16"/>
      <c r="B88" s="30"/>
      <c r="C88" s="52" t="s">
        <v>553</v>
      </c>
      <c r="D88" s="101"/>
      <c r="E88" s="55">
        <v>93.7</v>
      </c>
      <c r="F88" s="55">
        <v>1.9</v>
      </c>
      <c r="G88" s="53">
        <v>0.42</v>
      </c>
      <c r="H88" s="101"/>
      <c r="I88" s="101"/>
      <c r="J88" s="102"/>
      <c r="K88" s="16"/>
      <c r="L88" s="16"/>
      <c r="M88" s="57"/>
      <c r="N88" s="57"/>
      <c r="O88" s="57"/>
      <c r="P88" s="57"/>
      <c r="Q88" s="57"/>
      <c r="R88" s="57"/>
      <c r="S88" s="57"/>
      <c r="T88" s="16"/>
      <c r="U88" s="16"/>
      <c r="V88" s="16"/>
      <c r="W88" s="16"/>
      <c r="X88" s="16"/>
      <c r="Y88" s="16"/>
      <c r="Z88" s="16"/>
      <c r="AA88" s="16"/>
    </row>
    <row r="89" spans="1:27" ht="13.9" customHeight="1" thickBot="1">
      <c r="A89" s="16"/>
      <c r="B89" s="30"/>
      <c r="C89" s="104" t="s">
        <v>554</v>
      </c>
      <c r="D89" s="105"/>
      <c r="E89" s="106">
        <v>95.1</v>
      </c>
      <c r="F89" s="106">
        <v>1.9</v>
      </c>
      <c r="G89" s="107">
        <v>0.42</v>
      </c>
      <c r="H89" s="105"/>
      <c r="I89" s="105"/>
      <c r="J89" s="108"/>
      <c r="K89" s="16"/>
      <c r="L89" s="16"/>
      <c r="M89" s="57"/>
      <c r="N89" s="57"/>
      <c r="O89" s="57"/>
      <c r="P89" s="57"/>
      <c r="Q89" s="57"/>
      <c r="R89" s="57"/>
      <c r="S89" s="57"/>
      <c r="T89" s="16"/>
      <c r="U89" s="16"/>
      <c r="V89" s="16"/>
      <c r="W89" s="16"/>
      <c r="X89" s="16"/>
      <c r="Y89" s="16"/>
      <c r="Z89" s="16"/>
      <c r="AA89" s="16"/>
    </row>
    <row r="90" spans="1:27" s="336" customFormat="1">
      <c r="A90" s="31"/>
      <c r="B90" s="94"/>
      <c r="C90" s="109" t="s">
        <v>555</v>
      </c>
      <c r="D90" s="31"/>
      <c r="E90" s="110"/>
      <c r="F90" s="110"/>
      <c r="G90" s="110"/>
      <c r="H90" s="31"/>
      <c r="I90" s="31"/>
      <c r="J90" s="31"/>
      <c r="K90" s="31"/>
      <c r="L90" s="31"/>
      <c r="M90" s="57"/>
      <c r="N90" s="57"/>
      <c r="O90" s="57"/>
      <c r="P90" s="57"/>
      <c r="Q90" s="57"/>
      <c r="R90" s="57"/>
      <c r="S90" s="57"/>
      <c r="T90" s="31"/>
      <c r="U90" s="31"/>
      <c r="V90" s="31"/>
      <c r="W90" s="31"/>
      <c r="X90" s="31"/>
      <c r="Y90" s="31"/>
      <c r="Z90" s="31"/>
      <c r="AA90" s="31"/>
    </row>
    <row r="91" spans="1:27">
      <c r="A91" s="16"/>
      <c r="B91" s="17"/>
      <c r="C91" s="352" t="s">
        <v>556</v>
      </c>
      <c r="D91" s="351"/>
      <c r="E91" s="351"/>
      <c r="F91" s="351"/>
      <c r="G91" s="351"/>
      <c r="H91" s="351"/>
      <c r="I91" s="351"/>
      <c r="J91" s="351"/>
      <c r="K91" s="351"/>
      <c r="L91" s="16"/>
      <c r="M91" s="79"/>
      <c r="N91" s="16"/>
      <c r="O91" s="16"/>
      <c r="P91" s="16"/>
      <c r="Q91" s="16"/>
      <c r="R91" s="16"/>
      <c r="S91" s="16"/>
      <c r="T91" s="16"/>
      <c r="U91" s="16"/>
      <c r="V91" s="16"/>
      <c r="W91" s="16"/>
      <c r="X91" s="16"/>
      <c r="Y91" s="16"/>
      <c r="Z91" s="16"/>
      <c r="AA91" s="16"/>
    </row>
    <row r="92" spans="1:27">
      <c r="A92" s="16"/>
      <c r="B92" s="17"/>
      <c r="C92" s="111" t="s">
        <v>557</v>
      </c>
      <c r="D92" s="16"/>
      <c r="E92" s="16"/>
      <c r="F92" s="16"/>
      <c r="G92" s="16"/>
      <c r="H92" s="16"/>
      <c r="I92" s="16"/>
      <c r="J92" s="16"/>
      <c r="K92" s="16"/>
      <c r="L92" s="16"/>
      <c r="M92" s="79"/>
      <c r="N92" s="112"/>
      <c r="O92" s="113"/>
      <c r="P92" s="113"/>
      <c r="Q92" s="112"/>
      <c r="R92" s="16"/>
      <c r="S92" s="114"/>
      <c r="T92" s="16"/>
      <c r="U92" s="16"/>
      <c r="V92" s="16"/>
      <c r="W92" s="16"/>
      <c r="X92" s="16"/>
      <c r="Y92" s="16"/>
      <c r="Z92" s="16"/>
      <c r="AA92" s="16"/>
    </row>
    <row r="93" spans="1:27">
      <c r="A93" s="16"/>
      <c r="B93" s="17"/>
      <c r="C93" s="352" t="s">
        <v>558</v>
      </c>
      <c r="D93" s="351"/>
      <c r="E93" s="351"/>
      <c r="F93" s="351"/>
      <c r="G93" s="351"/>
      <c r="H93" s="351"/>
      <c r="I93" s="351"/>
      <c r="J93" s="351"/>
      <c r="K93" s="351"/>
      <c r="L93" s="16"/>
      <c r="M93" s="79"/>
      <c r="N93" s="112"/>
      <c r="O93" s="113"/>
      <c r="P93" s="113"/>
      <c r="Q93" s="112"/>
      <c r="R93" s="16"/>
      <c r="S93" s="114"/>
      <c r="T93" s="16"/>
      <c r="U93" s="16"/>
      <c r="V93" s="16"/>
      <c r="W93" s="16"/>
      <c r="X93" s="16"/>
      <c r="Y93" s="16"/>
      <c r="Z93" s="16"/>
      <c r="AA93" s="16"/>
    </row>
    <row r="94" spans="1:27">
      <c r="A94" s="16"/>
      <c r="B94" s="17"/>
      <c r="C94" s="115"/>
      <c r="D94" s="115"/>
      <c r="E94" s="115"/>
      <c r="F94" s="115"/>
      <c r="G94" s="115"/>
      <c r="H94" s="115"/>
      <c r="I94" s="115"/>
      <c r="J94" s="115"/>
      <c r="K94" s="115"/>
      <c r="L94" s="115"/>
      <c r="M94" s="16"/>
      <c r="N94" s="16"/>
      <c r="O94" s="16"/>
      <c r="P94" s="16"/>
      <c r="Q94" s="16"/>
      <c r="R94" s="16"/>
      <c r="S94" s="16"/>
      <c r="T94" s="16"/>
      <c r="U94" s="16"/>
      <c r="V94" s="16"/>
      <c r="W94" s="16"/>
      <c r="X94" s="16"/>
      <c r="Y94" s="16"/>
      <c r="Z94" s="16"/>
      <c r="AA94" s="16"/>
    </row>
    <row r="95" spans="1:27" s="336" customFormat="1" ht="18" customHeight="1">
      <c r="A95" s="31"/>
      <c r="B95" s="32" t="s">
        <v>559</v>
      </c>
      <c r="C95" s="33" t="s">
        <v>560</v>
      </c>
      <c r="D95" s="34"/>
      <c r="E95" s="34"/>
      <c r="F95" s="34"/>
      <c r="G95" s="35"/>
      <c r="H95" s="35"/>
      <c r="I95" s="35"/>
      <c r="J95" s="35"/>
      <c r="K95" s="35"/>
      <c r="L95" s="36"/>
      <c r="M95" s="31"/>
      <c r="N95" s="31"/>
      <c r="O95" s="31"/>
      <c r="P95" s="31"/>
      <c r="Q95" s="31"/>
      <c r="R95" s="31"/>
      <c r="S95" s="31"/>
      <c r="T95" s="31"/>
      <c r="U95" s="31"/>
      <c r="V95" s="31"/>
      <c r="W95" s="31"/>
      <c r="X95" s="31"/>
      <c r="Y95" s="31"/>
      <c r="Z95" s="31"/>
      <c r="AA95" s="31"/>
    </row>
    <row r="96" spans="1:27" ht="13.9" customHeight="1" thickBot="1">
      <c r="A96" s="16"/>
      <c r="B96" s="17"/>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s="19" customFormat="1" ht="16.149999999999999" customHeight="1" thickBot="1">
      <c r="A97" s="94"/>
      <c r="B97" s="94"/>
      <c r="C97" s="116" t="s">
        <v>561</v>
      </c>
      <c r="D97" s="117" t="s">
        <v>562</v>
      </c>
      <c r="E97" s="118" t="s">
        <v>76</v>
      </c>
      <c r="F97" s="22"/>
      <c r="G97" s="44"/>
      <c r="H97" s="119"/>
      <c r="I97" s="120"/>
      <c r="J97" s="120"/>
      <c r="K97" s="94"/>
      <c r="L97" s="94"/>
      <c r="M97" s="16"/>
      <c r="N97" s="16"/>
      <c r="O97" s="16"/>
      <c r="P97" s="16"/>
      <c r="Q97" s="16"/>
      <c r="R97" s="16"/>
      <c r="S97" s="16"/>
      <c r="T97" s="16"/>
      <c r="U97" s="94"/>
      <c r="V97" s="94"/>
      <c r="W97" s="94"/>
      <c r="X97" s="94"/>
      <c r="Y97" s="94"/>
      <c r="Z97" s="94"/>
      <c r="AA97" s="94"/>
    </row>
    <row r="98" spans="1:27" ht="12.95" customHeight="1">
      <c r="A98" s="16"/>
      <c r="B98" s="17"/>
      <c r="C98" s="121" t="s">
        <v>515</v>
      </c>
      <c r="D98" s="122">
        <v>8.31</v>
      </c>
      <c r="E98" s="123" t="s">
        <v>563</v>
      </c>
      <c r="F98" s="124"/>
      <c r="G98" s="119"/>
      <c r="H98" s="119"/>
      <c r="I98" s="120"/>
      <c r="J98" s="115"/>
      <c r="K98" s="16"/>
      <c r="L98" s="16"/>
      <c r="M98" s="57"/>
      <c r="N98" s="57"/>
      <c r="O98" s="16"/>
      <c r="P98" s="16"/>
      <c r="Q98" s="16"/>
      <c r="R98" s="16"/>
      <c r="S98" s="16"/>
      <c r="T98" s="16"/>
      <c r="U98" s="16"/>
      <c r="V98" s="16"/>
      <c r="W98" s="16"/>
      <c r="X98" s="16"/>
      <c r="Y98" s="16"/>
      <c r="Z98" s="16"/>
      <c r="AA98" s="16"/>
    </row>
    <row r="99" spans="1:27">
      <c r="A99" s="16"/>
      <c r="B99" s="17"/>
      <c r="C99" s="125" t="s">
        <v>545</v>
      </c>
      <c r="D99" s="92">
        <v>9.4499999999999993</v>
      </c>
      <c r="E99" s="126" t="s">
        <v>563</v>
      </c>
      <c r="F99" s="119"/>
      <c r="G99" s="119"/>
      <c r="H99" s="119"/>
      <c r="I99" s="120"/>
      <c r="J99" s="115"/>
      <c r="K99" s="16"/>
      <c r="L99" s="16"/>
      <c r="M99" s="57"/>
      <c r="N99" s="57"/>
      <c r="O99" s="16"/>
      <c r="P99" s="16"/>
      <c r="Q99" s="16"/>
      <c r="R99" s="16"/>
      <c r="S99" s="16"/>
      <c r="T99" s="16"/>
      <c r="U99" s="16"/>
      <c r="V99" s="16"/>
      <c r="W99" s="16"/>
      <c r="X99" s="16"/>
      <c r="Y99" s="16"/>
      <c r="Z99" s="16"/>
      <c r="AA99" s="16"/>
    </row>
    <row r="100" spans="1:27">
      <c r="A100" s="16"/>
      <c r="B100" s="17"/>
      <c r="C100" s="125" t="s">
        <v>564</v>
      </c>
      <c r="D100" s="127">
        <v>5.4440000000000002E-2</v>
      </c>
      <c r="E100" s="126" t="s">
        <v>565</v>
      </c>
      <c r="F100" s="119"/>
      <c r="G100" s="119"/>
      <c r="H100" s="119"/>
      <c r="I100" s="120"/>
      <c r="J100" s="115"/>
      <c r="K100" s="16"/>
      <c r="L100" s="16"/>
      <c r="M100" s="57"/>
      <c r="N100" s="57"/>
      <c r="O100" s="16"/>
      <c r="P100" s="16"/>
      <c r="Q100" s="16"/>
      <c r="R100" s="16"/>
      <c r="S100" s="16"/>
      <c r="T100" s="16"/>
      <c r="U100" s="16"/>
      <c r="V100" s="16"/>
      <c r="W100" s="16"/>
      <c r="X100" s="16"/>
      <c r="Y100" s="16"/>
      <c r="Z100" s="16"/>
      <c r="AA100" s="16"/>
    </row>
    <row r="101" spans="1:27">
      <c r="A101" s="16"/>
      <c r="B101" s="30"/>
      <c r="C101" s="125" t="s">
        <v>566</v>
      </c>
      <c r="D101" s="92">
        <v>10.210000000000001</v>
      </c>
      <c r="E101" s="128" t="s">
        <v>563</v>
      </c>
      <c r="F101" s="119"/>
      <c r="G101" s="119"/>
      <c r="H101" s="119"/>
      <c r="I101" s="120"/>
      <c r="J101" s="115"/>
      <c r="K101" s="16"/>
      <c r="L101" s="16"/>
      <c r="M101" s="57"/>
      <c r="N101" s="57"/>
      <c r="O101" s="16"/>
      <c r="P101" s="16"/>
      <c r="Q101" s="16"/>
      <c r="R101" s="16"/>
      <c r="S101" s="16"/>
      <c r="T101" s="16"/>
      <c r="U101" s="16"/>
      <c r="V101" s="16"/>
      <c r="W101" s="16"/>
      <c r="X101" s="16"/>
      <c r="Y101" s="16"/>
      <c r="Z101" s="16"/>
      <c r="AA101" s="16"/>
    </row>
    <row r="102" spans="1:27">
      <c r="A102" s="16"/>
      <c r="B102" s="17"/>
      <c r="C102" s="125" t="s">
        <v>546</v>
      </c>
      <c r="D102" s="92">
        <v>5.75</v>
      </c>
      <c r="E102" s="126" t="s">
        <v>563</v>
      </c>
      <c r="F102" s="119"/>
      <c r="G102" s="119"/>
      <c r="H102" s="119"/>
      <c r="I102" s="120"/>
      <c r="J102" s="115"/>
      <c r="K102" s="16"/>
      <c r="L102" s="16"/>
      <c r="M102" s="57"/>
      <c r="N102" s="57"/>
      <c r="O102" s="16"/>
      <c r="P102" s="16"/>
      <c r="Q102" s="16"/>
      <c r="R102" s="16"/>
      <c r="S102" s="16"/>
      <c r="T102" s="16"/>
      <c r="U102" s="16"/>
      <c r="V102" s="16"/>
      <c r="W102" s="16"/>
      <c r="X102" s="16"/>
      <c r="Y102" s="16"/>
      <c r="Z102" s="16"/>
      <c r="AA102" s="16"/>
    </row>
    <row r="103" spans="1:27">
      <c r="A103" s="16"/>
      <c r="B103" s="17"/>
      <c r="C103" s="125" t="s">
        <v>528</v>
      </c>
      <c r="D103" s="92">
        <v>9.75</v>
      </c>
      <c r="E103" s="128" t="s">
        <v>563</v>
      </c>
      <c r="F103" s="119"/>
      <c r="G103" s="119"/>
      <c r="H103" s="119"/>
      <c r="I103" s="120"/>
      <c r="J103" s="115"/>
      <c r="K103" s="16"/>
      <c r="L103" s="16"/>
      <c r="M103" s="57"/>
      <c r="N103" s="57"/>
      <c r="O103" s="16"/>
      <c r="P103" s="16"/>
      <c r="Q103" s="16"/>
      <c r="R103" s="16"/>
      <c r="S103" s="16"/>
      <c r="T103" s="16"/>
      <c r="U103" s="16"/>
      <c r="V103" s="16"/>
      <c r="W103" s="16"/>
      <c r="X103" s="16"/>
      <c r="Y103" s="16"/>
      <c r="Z103" s="16"/>
      <c r="AA103" s="16"/>
    </row>
    <row r="104" spans="1:27">
      <c r="A104" s="16"/>
      <c r="B104" s="17"/>
      <c r="C104" s="90" t="s">
        <v>567</v>
      </c>
      <c r="D104" s="92">
        <v>4.5</v>
      </c>
      <c r="E104" s="126" t="s">
        <v>563</v>
      </c>
      <c r="F104" s="16"/>
      <c r="G104" s="119"/>
      <c r="H104" s="119"/>
      <c r="I104" s="120"/>
      <c r="J104" s="115"/>
      <c r="K104" s="16"/>
      <c r="L104" s="16"/>
      <c r="M104" s="57"/>
      <c r="N104" s="57"/>
      <c r="O104" s="129"/>
      <c r="P104" s="79"/>
      <c r="Q104" s="16"/>
      <c r="R104" s="16"/>
      <c r="S104" s="16"/>
      <c r="T104" s="16"/>
      <c r="U104" s="16"/>
      <c r="V104" s="16"/>
      <c r="W104" s="16"/>
      <c r="X104" s="16"/>
      <c r="Y104" s="16"/>
      <c r="Z104" s="16"/>
      <c r="AA104" s="16"/>
    </row>
    <row r="105" spans="1:27">
      <c r="A105" s="16"/>
      <c r="B105" s="17"/>
      <c r="C105" s="125" t="s">
        <v>529</v>
      </c>
      <c r="D105" s="92">
        <v>5.68</v>
      </c>
      <c r="E105" s="128" t="s">
        <v>563</v>
      </c>
      <c r="F105" s="119"/>
      <c r="G105" s="130"/>
      <c r="H105" s="119"/>
      <c r="I105" s="120"/>
      <c r="J105" s="115"/>
      <c r="K105" s="16"/>
      <c r="L105" s="16"/>
      <c r="M105" s="57"/>
      <c r="N105" s="57"/>
      <c r="O105" s="16"/>
      <c r="P105" s="16"/>
      <c r="Q105" s="16"/>
      <c r="R105" s="16"/>
      <c r="S105" s="16"/>
      <c r="T105" s="16"/>
      <c r="U105" s="16"/>
      <c r="V105" s="16"/>
      <c r="W105" s="16"/>
      <c r="X105" s="16"/>
      <c r="Y105" s="16"/>
      <c r="Z105" s="16"/>
      <c r="AA105" s="16"/>
    </row>
    <row r="106" spans="1:27">
      <c r="A106" s="16"/>
      <c r="B106" s="17"/>
      <c r="C106" s="125" t="s">
        <v>531</v>
      </c>
      <c r="D106" s="92">
        <v>8.7799999999999994</v>
      </c>
      <c r="E106" s="128" t="s">
        <v>563</v>
      </c>
      <c r="F106" s="119"/>
      <c r="G106" s="119"/>
      <c r="H106" s="119"/>
      <c r="I106" s="120"/>
      <c r="J106" s="115"/>
      <c r="K106" s="16"/>
      <c r="L106" s="16"/>
      <c r="M106" s="57"/>
      <c r="N106" s="57"/>
      <c r="O106" s="16"/>
      <c r="P106" s="16"/>
      <c r="Q106" s="16"/>
      <c r="R106" s="16"/>
      <c r="S106" s="16"/>
      <c r="T106" s="16"/>
      <c r="U106" s="16"/>
      <c r="V106" s="16"/>
      <c r="W106" s="16"/>
      <c r="X106" s="16"/>
      <c r="Y106" s="16"/>
      <c r="Z106" s="16"/>
      <c r="AA106" s="16"/>
    </row>
    <row r="107" spans="1:27" ht="13.9" customHeight="1" thickBot="1">
      <c r="A107" s="16"/>
      <c r="B107" s="17"/>
      <c r="C107" s="131" t="s">
        <v>568</v>
      </c>
      <c r="D107" s="132">
        <v>11.27</v>
      </c>
      <c r="E107" s="133" t="s">
        <v>563</v>
      </c>
      <c r="F107" s="119"/>
      <c r="G107" s="119"/>
      <c r="H107" s="119"/>
      <c r="I107" s="120"/>
      <c r="J107" s="120"/>
      <c r="K107" s="16"/>
      <c r="L107" s="16"/>
      <c r="M107" s="57"/>
      <c r="N107" s="57"/>
      <c r="O107" s="16"/>
      <c r="P107" s="16"/>
      <c r="Q107" s="16"/>
      <c r="R107" s="16"/>
      <c r="S107" s="16"/>
      <c r="T107" s="16"/>
      <c r="U107" s="16"/>
      <c r="V107" s="16"/>
      <c r="W107" s="16"/>
      <c r="X107" s="16"/>
      <c r="Y107" s="16"/>
      <c r="Z107" s="16"/>
      <c r="AA107" s="16"/>
    </row>
    <row r="108" spans="1:27" s="336" customFormat="1">
      <c r="A108" s="31"/>
      <c r="B108" s="94"/>
      <c r="C108" s="109" t="s">
        <v>555</v>
      </c>
      <c r="D108" s="31"/>
      <c r="E108" s="31"/>
      <c r="F108" s="134"/>
      <c r="G108" s="134"/>
      <c r="H108" s="134"/>
      <c r="I108" s="134"/>
      <c r="J108" s="134"/>
      <c r="K108" s="31"/>
      <c r="L108" s="31"/>
      <c r="M108" s="79"/>
      <c r="N108" s="31"/>
      <c r="O108" s="31"/>
      <c r="P108" s="31"/>
      <c r="Q108" s="31"/>
      <c r="R108" s="31"/>
      <c r="S108" s="31"/>
      <c r="T108" s="31"/>
      <c r="U108" s="31"/>
      <c r="V108" s="31"/>
      <c r="W108" s="31"/>
      <c r="X108" s="31"/>
      <c r="Y108" s="31"/>
      <c r="Z108" s="31"/>
      <c r="AA108" s="31"/>
    </row>
    <row r="109" spans="1:27" ht="12.75" customHeight="1">
      <c r="A109" s="16"/>
      <c r="B109" s="17"/>
      <c r="C109" s="352" t="s">
        <v>569</v>
      </c>
      <c r="D109" s="351"/>
      <c r="E109" s="351"/>
      <c r="F109" s="351"/>
      <c r="G109" s="351"/>
      <c r="H109" s="351"/>
      <c r="I109" s="351"/>
      <c r="J109" s="351"/>
      <c r="K109" s="351"/>
      <c r="L109" s="115"/>
      <c r="M109" s="115"/>
      <c r="N109" s="16"/>
      <c r="O109" s="16"/>
      <c r="P109" s="16"/>
      <c r="Q109" s="16"/>
      <c r="R109" s="16"/>
      <c r="S109" s="16"/>
      <c r="T109" s="16"/>
      <c r="U109" s="16"/>
      <c r="V109" s="16"/>
      <c r="W109" s="16"/>
      <c r="X109" s="16"/>
      <c r="Y109" s="16"/>
      <c r="Z109" s="16"/>
      <c r="AA109" s="16"/>
    </row>
    <row r="110" spans="1:27">
      <c r="A110" s="16"/>
      <c r="B110" s="17"/>
      <c r="C110" s="111" t="s">
        <v>557</v>
      </c>
      <c r="D110" s="135"/>
      <c r="E110" s="135"/>
      <c r="F110" s="135"/>
      <c r="G110" s="135"/>
      <c r="H110" s="27"/>
      <c r="I110" s="27"/>
      <c r="J110" s="16"/>
      <c r="K110" s="16"/>
      <c r="L110" s="115"/>
      <c r="M110" s="115"/>
      <c r="N110" s="16"/>
      <c r="O110" s="16"/>
      <c r="P110" s="16"/>
      <c r="Q110" s="16"/>
      <c r="R110" s="16"/>
      <c r="S110" s="16"/>
      <c r="T110" s="16"/>
      <c r="U110" s="16"/>
      <c r="V110" s="16"/>
      <c r="W110" s="16"/>
      <c r="X110" s="16"/>
      <c r="Y110" s="16"/>
      <c r="Z110" s="16"/>
      <c r="AA110" s="16"/>
    </row>
    <row r="111" spans="1:27">
      <c r="A111" s="16"/>
      <c r="B111" s="17"/>
      <c r="C111" s="357" t="s">
        <v>570</v>
      </c>
      <c r="D111" s="351"/>
      <c r="E111" s="351"/>
      <c r="F111" s="351"/>
      <c r="G111" s="351"/>
      <c r="H111" s="351"/>
      <c r="I111" s="351"/>
      <c r="J111" s="351"/>
      <c r="K111" s="351"/>
      <c r="L111" s="115"/>
      <c r="M111" s="115"/>
      <c r="N111" s="16"/>
      <c r="O111" s="16"/>
      <c r="P111" s="16"/>
      <c r="Q111" s="16"/>
      <c r="R111" s="16"/>
      <c r="S111" s="16"/>
      <c r="T111" s="16"/>
      <c r="U111" s="16"/>
      <c r="V111" s="16"/>
      <c r="W111" s="16"/>
      <c r="X111" s="16"/>
      <c r="Y111" s="16"/>
      <c r="Z111" s="16"/>
      <c r="AA111" s="16"/>
    </row>
    <row r="112" spans="1:27">
      <c r="A112" s="16"/>
      <c r="B112" s="17"/>
      <c r="C112" s="136"/>
      <c r="D112" s="16"/>
      <c r="E112" s="16"/>
      <c r="F112" s="16"/>
      <c r="G112" s="16"/>
      <c r="H112" s="16"/>
      <c r="I112" s="16"/>
      <c r="J112" s="16"/>
      <c r="K112" s="16"/>
      <c r="L112" s="115"/>
      <c r="M112" s="115"/>
      <c r="N112" s="16"/>
      <c r="O112" s="16"/>
      <c r="P112" s="16"/>
      <c r="Q112" s="16"/>
      <c r="R112" s="16"/>
      <c r="S112" s="16"/>
      <c r="T112" s="16"/>
      <c r="U112" s="16"/>
      <c r="V112" s="16"/>
      <c r="W112" s="16"/>
      <c r="X112" s="16"/>
      <c r="Y112" s="16"/>
      <c r="Z112" s="16"/>
      <c r="AA112" s="16"/>
    </row>
    <row r="113" spans="1:27" ht="18" customHeight="1">
      <c r="B113" s="137" t="s">
        <v>571</v>
      </c>
      <c r="C113" s="138" t="s">
        <v>572</v>
      </c>
      <c r="D113" s="139"/>
      <c r="E113" s="140"/>
      <c r="F113" s="140"/>
      <c r="G113" s="140"/>
      <c r="H113" s="140"/>
      <c r="I113" s="140"/>
      <c r="J113" s="140"/>
      <c r="K113" s="140"/>
      <c r="L113" s="141"/>
      <c r="M113" s="16"/>
      <c r="N113" s="16"/>
      <c r="O113" s="16"/>
      <c r="P113" s="16"/>
      <c r="Q113" s="16"/>
      <c r="R113" s="16"/>
      <c r="S113" s="16"/>
      <c r="T113" s="16"/>
      <c r="U113" s="16"/>
      <c r="V113" s="16"/>
      <c r="W113" s="16"/>
      <c r="X113" s="16"/>
      <c r="Y113" s="16"/>
      <c r="Z113" s="16"/>
      <c r="AA113" s="16"/>
    </row>
    <row r="114" spans="1:27" ht="13.9" customHeight="1" thickBo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29.45" customHeight="1" thickBot="1">
      <c r="A115" s="16"/>
      <c r="B115" s="16"/>
      <c r="C115" s="142" t="s">
        <v>573</v>
      </c>
      <c r="D115" s="143" t="s">
        <v>30</v>
      </c>
      <c r="E115" s="144" t="s">
        <v>574</v>
      </c>
      <c r="F115" s="145" t="s">
        <v>575</v>
      </c>
      <c r="G115" s="146"/>
      <c r="H115" s="79"/>
      <c r="I115" s="16"/>
      <c r="J115" s="16"/>
      <c r="K115" s="16"/>
      <c r="L115" s="16"/>
      <c r="M115" s="16"/>
      <c r="N115" s="16"/>
      <c r="O115" s="16"/>
      <c r="P115" s="16"/>
      <c r="Q115" s="16"/>
      <c r="R115" s="16"/>
      <c r="S115" s="16"/>
      <c r="T115" s="16"/>
      <c r="U115" s="16"/>
      <c r="V115" s="16"/>
      <c r="W115" s="16"/>
      <c r="X115" s="16"/>
      <c r="Y115" s="16"/>
      <c r="Z115" s="16"/>
      <c r="AA115" s="16"/>
    </row>
    <row r="116" spans="1:27">
      <c r="A116" s="16"/>
      <c r="B116" s="16"/>
      <c r="C116" s="147" t="s">
        <v>576</v>
      </c>
      <c r="D116" s="148" t="s">
        <v>577</v>
      </c>
      <c r="E116" s="149">
        <v>0.1696</v>
      </c>
      <c r="F116" s="150">
        <v>1.9699999999999999E-2</v>
      </c>
      <c r="G116" s="151"/>
      <c r="H116" s="151"/>
      <c r="I116" s="16"/>
      <c r="J116" s="16"/>
      <c r="K116" s="16"/>
      <c r="L116" s="16"/>
      <c r="M116" s="16"/>
      <c r="N116" s="16"/>
      <c r="O116" s="16"/>
      <c r="P116" s="16"/>
      <c r="Q116" s="16"/>
      <c r="R116" s="16"/>
      <c r="S116" s="16"/>
      <c r="T116" s="16"/>
      <c r="U116" s="16"/>
      <c r="V116" s="16"/>
      <c r="W116" s="16"/>
      <c r="X116" s="16"/>
      <c r="Y116" s="16"/>
      <c r="Z116" s="16"/>
      <c r="AA116" s="16"/>
    </row>
    <row r="117" spans="1:27">
      <c r="A117" s="16"/>
      <c r="B117" s="16"/>
      <c r="C117" s="152"/>
      <c r="D117" s="153" t="s">
        <v>578</v>
      </c>
      <c r="E117" s="154">
        <v>0.14230000000000001</v>
      </c>
      <c r="F117" s="155">
        <v>4.4299999999999999E-2</v>
      </c>
      <c r="G117" s="151"/>
      <c r="H117" s="151"/>
      <c r="I117" s="16"/>
      <c r="J117" s="16"/>
      <c r="K117" s="16"/>
      <c r="L117" s="16"/>
      <c r="M117" s="16"/>
      <c r="N117" s="16"/>
      <c r="O117" s="16"/>
      <c r="P117" s="16"/>
      <c r="Q117" s="16"/>
      <c r="R117" s="16"/>
      <c r="S117" s="16"/>
      <c r="T117" s="16"/>
      <c r="U117" s="16"/>
      <c r="V117" s="16"/>
      <c r="W117" s="16"/>
      <c r="X117" s="16"/>
      <c r="Y117" s="16"/>
      <c r="Z117" s="16"/>
      <c r="AA117" s="16"/>
    </row>
    <row r="118" spans="1:27">
      <c r="A118" s="16"/>
      <c r="B118" s="16"/>
      <c r="C118" s="152"/>
      <c r="D118" s="153" t="s">
        <v>579</v>
      </c>
      <c r="E118" s="154">
        <v>0.1406</v>
      </c>
      <c r="F118" s="155">
        <v>4.58E-2</v>
      </c>
      <c r="G118" s="151"/>
      <c r="H118" s="151"/>
      <c r="I118" s="16"/>
      <c r="J118" s="16"/>
      <c r="K118" s="16"/>
      <c r="L118" s="16"/>
      <c r="M118" s="16"/>
      <c r="N118" s="16"/>
      <c r="O118" s="16"/>
      <c r="P118" s="16"/>
      <c r="Q118" s="16"/>
      <c r="R118" s="16"/>
      <c r="S118" s="16"/>
      <c r="T118" s="16"/>
      <c r="U118" s="16"/>
      <c r="V118" s="16"/>
      <c r="W118" s="16"/>
      <c r="X118" s="16"/>
      <c r="Y118" s="16"/>
      <c r="Z118" s="16"/>
      <c r="AA118" s="16"/>
    </row>
    <row r="119" spans="1:27">
      <c r="A119" s="16"/>
      <c r="B119" s="16"/>
      <c r="C119" s="152"/>
      <c r="D119" s="153" t="s">
        <v>580</v>
      </c>
      <c r="E119" s="154">
        <v>0.1389</v>
      </c>
      <c r="F119" s="155">
        <v>4.7300000000000002E-2</v>
      </c>
      <c r="G119" s="151"/>
      <c r="H119" s="151"/>
      <c r="I119" s="16"/>
      <c r="J119" s="16"/>
      <c r="K119" s="16"/>
      <c r="L119" s="16"/>
      <c r="M119" s="16"/>
      <c r="N119" s="16"/>
      <c r="O119" s="16"/>
      <c r="P119" s="16"/>
      <c r="Q119" s="16"/>
      <c r="R119" s="16"/>
      <c r="S119" s="16"/>
      <c r="T119" s="16"/>
      <c r="U119" s="16"/>
      <c r="V119" s="16"/>
      <c r="W119" s="16"/>
      <c r="X119" s="16"/>
      <c r="Y119" s="16"/>
      <c r="Z119" s="16"/>
      <c r="AA119" s="16"/>
    </row>
    <row r="120" spans="1:27">
      <c r="A120" s="16"/>
      <c r="B120" s="16"/>
      <c r="C120" s="152"/>
      <c r="D120" s="153" t="s">
        <v>581</v>
      </c>
      <c r="E120" s="154">
        <v>0.1326</v>
      </c>
      <c r="F120" s="155">
        <v>4.99E-2</v>
      </c>
      <c r="G120" s="151"/>
      <c r="H120" s="151"/>
      <c r="I120" s="16"/>
      <c r="J120" s="16"/>
      <c r="K120" s="16"/>
      <c r="L120" s="16"/>
      <c r="M120" s="16"/>
      <c r="N120" s="16"/>
      <c r="O120" s="16"/>
      <c r="P120" s="16"/>
      <c r="Q120" s="16"/>
      <c r="R120" s="16"/>
      <c r="S120" s="16"/>
      <c r="T120" s="16"/>
      <c r="U120" s="16"/>
      <c r="V120" s="16"/>
      <c r="W120" s="16"/>
      <c r="X120" s="16"/>
      <c r="Y120" s="16"/>
      <c r="Z120" s="16"/>
      <c r="AA120" s="16"/>
    </row>
    <row r="121" spans="1:27">
      <c r="A121" s="16"/>
      <c r="B121" s="16"/>
      <c r="C121" s="152"/>
      <c r="D121" s="153" t="s">
        <v>582</v>
      </c>
      <c r="E121" s="154">
        <v>8.0199999999999994E-2</v>
      </c>
      <c r="F121" s="155">
        <v>6.2600000000000003E-2</v>
      </c>
      <c r="G121" s="151"/>
      <c r="H121" s="151"/>
      <c r="I121" s="16"/>
      <c r="J121" s="16"/>
      <c r="K121" s="16"/>
      <c r="L121" s="16"/>
      <c r="M121" s="16"/>
      <c r="N121" s="16"/>
      <c r="O121" s="16"/>
      <c r="P121" s="16"/>
      <c r="Q121" s="16"/>
      <c r="R121" s="16"/>
      <c r="S121" s="16"/>
      <c r="T121" s="16"/>
      <c r="U121" s="16"/>
      <c r="V121" s="16"/>
      <c r="W121" s="16"/>
      <c r="X121" s="16"/>
      <c r="Y121" s="16"/>
      <c r="Z121" s="16"/>
      <c r="AA121" s="16"/>
    </row>
    <row r="122" spans="1:27">
      <c r="A122" s="16"/>
      <c r="B122" s="16"/>
      <c r="C122" s="152"/>
      <c r="D122" s="153" t="s">
        <v>583</v>
      </c>
      <c r="E122" s="154">
        <v>7.9500000000000001E-2</v>
      </c>
      <c r="F122" s="155">
        <v>6.2700000000000006E-2</v>
      </c>
      <c r="G122" s="151"/>
      <c r="H122" s="151"/>
      <c r="I122" s="16"/>
      <c r="J122" s="16"/>
      <c r="K122" s="16"/>
      <c r="L122" s="16"/>
      <c r="M122" s="16"/>
      <c r="N122" s="16"/>
      <c r="O122" s="16"/>
      <c r="P122" s="16"/>
      <c r="Q122" s="16"/>
      <c r="R122" s="16"/>
      <c r="S122" s="16"/>
      <c r="T122" s="16"/>
      <c r="U122" s="16"/>
      <c r="V122" s="16"/>
      <c r="W122" s="16"/>
      <c r="X122" s="16"/>
      <c r="Y122" s="16"/>
      <c r="Z122" s="16"/>
      <c r="AA122" s="16"/>
    </row>
    <row r="123" spans="1:27">
      <c r="A123" s="16"/>
      <c r="B123" s="16"/>
      <c r="C123" s="152"/>
      <c r="D123" s="153" t="s">
        <v>584</v>
      </c>
      <c r="E123" s="154">
        <v>7.8200000000000006E-2</v>
      </c>
      <c r="F123" s="155">
        <v>6.3E-2</v>
      </c>
      <c r="G123" s="151"/>
      <c r="H123" s="151"/>
      <c r="I123" s="16"/>
      <c r="J123" s="16"/>
      <c r="K123" s="16"/>
      <c r="L123" s="16"/>
      <c r="M123" s="16"/>
      <c r="N123" s="16"/>
      <c r="O123" s="16"/>
      <c r="P123" s="16"/>
      <c r="Q123" s="16"/>
      <c r="R123" s="16"/>
      <c r="S123" s="16"/>
      <c r="T123" s="16"/>
      <c r="U123" s="16"/>
      <c r="V123" s="16"/>
      <c r="W123" s="16"/>
      <c r="X123" s="16"/>
      <c r="Y123" s="16"/>
      <c r="Z123" s="16"/>
      <c r="AA123" s="16"/>
    </row>
    <row r="124" spans="1:27">
      <c r="A124" s="16"/>
      <c r="B124" s="16"/>
      <c r="C124" s="152"/>
      <c r="D124" s="153" t="s">
        <v>585</v>
      </c>
      <c r="E124" s="154">
        <v>7.0400000000000004E-2</v>
      </c>
      <c r="F124" s="155">
        <v>6.4699999999999994E-2</v>
      </c>
      <c r="G124" s="151"/>
      <c r="H124" s="151"/>
      <c r="I124" s="16"/>
      <c r="J124" s="16"/>
      <c r="K124" s="16"/>
      <c r="L124" s="16"/>
      <c r="M124" s="16"/>
      <c r="N124" s="16"/>
      <c r="O124" s="16"/>
      <c r="P124" s="16"/>
      <c r="Q124" s="16"/>
      <c r="R124" s="16"/>
      <c r="S124" s="16"/>
      <c r="T124" s="16"/>
      <c r="U124" s="16"/>
      <c r="V124" s="16"/>
      <c r="W124" s="16"/>
      <c r="X124" s="16"/>
      <c r="Y124" s="16"/>
      <c r="Z124" s="16"/>
      <c r="AA124" s="16"/>
    </row>
    <row r="125" spans="1:27">
      <c r="A125" s="16"/>
      <c r="B125" s="16"/>
      <c r="C125" s="152"/>
      <c r="D125" s="156" t="s">
        <v>586</v>
      </c>
      <c r="E125" s="157">
        <v>6.1699999999999998E-2</v>
      </c>
      <c r="F125" s="158">
        <v>6.0299999999999999E-2</v>
      </c>
      <c r="G125" s="151"/>
      <c r="H125" s="151"/>
      <c r="I125" s="16"/>
      <c r="J125" s="16"/>
      <c r="K125" s="16"/>
      <c r="L125" s="16"/>
      <c r="M125" s="16"/>
      <c r="N125" s="16"/>
      <c r="O125" s="16"/>
      <c r="P125" s="16"/>
      <c r="Q125" s="16"/>
      <c r="R125" s="16"/>
      <c r="S125" s="16"/>
      <c r="T125" s="16"/>
      <c r="U125" s="16"/>
      <c r="V125" s="16"/>
      <c r="W125" s="16"/>
      <c r="X125" s="16"/>
      <c r="Y125" s="16"/>
      <c r="Z125" s="16"/>
      <c r="AA125" s="16"/>
    </row>
    <row r="126" spans="1:27">
      <c r="A126" s="16"/>
      <c r="B126" s="16"/>
      <c r="C126" s="152"/>
      <c r="D126" s="156" t="s">
        <v>587</v>
      </c>
      <c r="E126" s="157">
        <v>5.3100000000000001E-2</v>
      </c>
      <c r="F126" s="158">
        <v>5.6000000000000001E-2</v>
      </c>
      <c r="G126" s="151"/>
      <c r="H126" s="151"/>
      <c r="I126" s="16"/>
      <c r="J126" s="16"/>
      <c r="K126" s="16"/>
      <c r="L126" s="16"/>
      <c r="M126" s="16"/>
      <c r="N126" s="16"/>
      <c r="O126" s="16"/>
      <c r="P126" s="16"/>
      <c r="Q126" s="16"/>
      <c r="R126" s="16"/>
      <c r="S126" s="16"/>
      <c r="T126" s="16"/>
      <c r="U126" s="16"/>
      <c r="V126" s="16"/>
      <c r="W126" s="16"/>
      <c r="X126" s="16"/>
      <c r="Y126" s="16"/>
      <c r="Z126" s="16"/>
      <c r="AA126" s="16"/>
    </row>
    <row r="127" spans="1:27">
      <c r="A127" s="16"/>
      <c r="B127" s="16"/>
      <c r="C127" s="152"/>
      <c r="D127" s="156" t="s">
        <v>588</v>
      </c>
      <c r="E127" s="157">
        <v>4.3400000000000001E-2</v>
      </c>
      <c r="F127" s="158">
        <v>5.0299999999999997E-2</v>
      </c>
      <c r="G127" s="151"/>
      <c r="H127" s="151"/>
      <c r="I127" s="16"/>
      <c r="J127" s="16"/>
      <c r="K127" s="16"/>
      <c r="L127" s="16"/>
      <c r="M127" s="16"/>
      <c r="N127" s="16"/>
      <c r="O127" s="16"/>
      <c r="P127" s="16"/>
      <c r="Q127" s="16"/>
      <c r="R127" s="16"/>
      <c r="S127" s="16"/>
      <c r="T127" s="16"/>
      <c r="U127" s="16"/>
      <c r="V127" s="16"/>
      <c r="W127" s="16"/>
      <c r="X127" s="16"/>
      <c r="Y127" s="16"/>
      <c r="Z127" s="16"/>
      <c r="AA127" s="16"/>
    </row>
    <row r="128" spans="1:27">
      <c r="A128" s="16"/>
      <c r="B128" s="16"/>
      <c r="C128" s="152"/>
      <c r="D128" s="156" t="s">
        <v>589</v>
      </c>
      <c r="E128" s="157">
        <v>3.3700000000000001E-2</v>
      </c>
      <c r="F128" s="158">
        <v>4.4600000000000001E-2</v>
      </c>
      <c r="G128" s="151"/>
      <c r="H128" s="151"/>
      <c r="I128" s="16"/>
      <c r="J128" s="16"/>
      <c r="K128" s="16"/>
      <c r="L128" s="16"/>
      <c r="M128" s="16"/>
      <c r="N128" s="16"/>
      <c r="O128" s="16"/>
      <c r="P128" s="16"/>
      <c r="Q128" s="16"/>
      <c r="R128" s="16"/>
      <c r="S128" s="16"/>
      <c r="T128" s="16"/>
      <c r="U128" s="16"/>
      <c r="V128" s="16"/>
      <c r="W128" s="16"/>
      <c r="X128" s="16"/>
      <c r="Y128" s="16"/>
      <c r="Z128" s="16"/>
      <c r="AA128" s="16"/>
    </row>
    <row r="129" spans="1:27">
      <c r="A129" s="16"/>
      <c r="B129" s="16"/>
      <c r="C129" s="152"/>
      <c r="D129" s="156" t="s">
        <v>590</v>
      </c>
      <c r="E129" s="157">
        <v>2.4E-2</v>
      </c>
      <c r="F129" s="158">
        <v>3.8899999999999997E-2</v>
      </c>
      <c r="G129" s="151"/>
      <c r="H129" s="151"/>
      <c r="I129" s="16"/>
      <c r="J129" s="16"/>
      <c r="K129" s="16"/>
      <c r="L129" s="16"/>
      <c r="M129" s="16"/>
      <c r="N129" s="16"/>
      <c r="O129" s="16"/>
      <c r="P129" s="16"/>
      <c r="Q129" s="16"/>
      <c r="R129" s="16"/>
      <c r="S129" s="16"/>
      <c r="T129" s="16"/>
      <c r="U129" s="16"/>
      <c r="V129" s="16"/>
      <c r="W129" s="16"/>
      <c r="X129" s="16"/>
      <c r="Y129" s="16"/>
      <c r="Z129" s="16"/>
      <c r="AA129" s="16"/>
    </row>
    <row r="130" spans="1:27">
      <c r="A130" s="16"/>
      <c r="B130" s="16"/>
      <c r="C130" s="152"/>
      <c r="D130" s="156" t="s">
        <v>591</v>
      </c>
      <c r="E130" s="157">
        <v>2.1499999999999998E-2</v>
      </c>
      <c r="F130" s="158">
        <v>3.5499999999999997E-2</v>
      </c>
      <c r="G130" s="151"/>
      <c r="H130" s="151"/>
      <c r="I130" s="16"/>
      <c r="J130" s="16"/>
      <c r="K130" s="16"/>
      <c r="L130" s="16"/>
      <c r="M130" s="16"/>
      <c r="N130" s="16"/>
      <c r="O130" s="16"/>
      <c r="P130" s="16"/>
      <c r="Q130" s="16"/>
      <c r="R130" s="16"/>
      <c r="S130" s="16"/>
      <c r="T130" s="16"/>
      <c r="U130" s="16"/>
      <c r="V130" s="16"/>
      <c r="W130" s="16"/>
      <c r="X130" s="16"/>
      <c r="Y130" s="16"/>
      <c r="Z130" s="16"/>
      <c r="AA130" s="16"/>
    </row>
    <row r="131" spans="1:27">
      <c r="A131" s="16"/>
      <c r="B131" s="16"/>
      <c r="C131" s="152"/>
      <c r="D131" s="156" t="s">
        <v>592</v>
      </c>
      <c r="E131" s="157">
        <v>1.7500000000000002E-2</v>
      </c>
      <c r="F131" s="158">
        <v>3.04E-2</v>
      </c>
      <c r="G131" s="151"/>
      <c r="H131" s="151"/>
      <c r="I131" s="16"/>
      <c r="J131" s="16"/>
      <c r="K131" s="16"/>
      <c r="L131" s="16"/>
      <c r="M131" s="16"/>
      <c r="N131" s="16"/>
      <c r="O131" s="16"/>
      <c r="P131" s="16"/>
      <c r="Q131" s="16"/>
      <c r="R131" s="16"/>
      <c r="S131" s="16"/>
      <c r="T131" s="16"/>
      <c r="U131" s="16"/>
      <c r="V131" s="16"/>
      <c r="W131" s="16"/>
      <c r="X131" s="16"/>
      <c r="Y131" s="16"/>
      <c r="Z131" s="16"/>
      <c r="AA131" s="16"/>
    </row>
    <row r="132" spans="1:27">
      <c r="A132" s="16"/>
      <c r="B132" s="16"/>
      <c r="C132" s="152"/>
      <c r="D132" s="156" t="s">
        <v>593</v>
      </c>
      <c r="E132" s="157">
        <v>1.0500000000000001E-2</v>
      </c>
      <c r="F132" s="158">
        <v>2.12E-2</v>
      </c>
      <c r="G132" s="151"/>
      <c r="H132" s="151"/>
      <c r="I132" s="16"/>
      <c r="J132" s="16"/>
      <c r="K132" s="16"/>
      <c r="L132" s="16"/>
      <c r="M132" s="16"/>
      <c r="N132" s="16"/>
      <c r="O132" s="16"/>
      <c r="P132" s="16"/>
      <c r="Q132" s="16"/>
      <c r="R132" s="16"/>
      <c r="S132" s="16"/>
      <c r="T132" s="16"/>
      <c r="U132" s="16"/>
      <c r="V132" s="16"/>
      <c r="W132" s="16"/>
      <c r="X132" s="16"/>
      <c r="Y132" s="16"/>
      <c r="Z132" s="16"/>
      <c r="AA132" s="16"/>
    </row>
    <row r="133" spans="1:27">
      <c r="A133" s="16"/>
      <c r="B133" s="16"/>
      <c r="C133" s="152"/>
      <c r="D133" s="156" t="s">
        <v>594</v>
      </c>
      <c r="E133" s="157">
        <v>1.0200000000000001E-2</v>
      </c>
      <c r="F133" s="158">
        <v>2.07E-2</v>
      </c>
      <c r="G133" s="151"/>
      <c r="H133" s="151"/>
      <c r="I133" s="16"/>
      <c r="J133" s="16"/>
      <c r="K133" s="16"/>
      <c r="L133" s="16"/>
      <c r="M133" s="16"/>
      <c r="N133" s="16"/>
      <c r="O133" s="16"/>
      <c r="P133" s="16"/>
      <c r="Q133" s="16"/>
      <c r="R133" s="16"/>
      <c r="S133" s="16"/>
      <c r="T133" s="16"/>
      <c r="U133" s="16"/>
      <c r="V133" s="16"/>
      <c r="W133" s="16"/>
      <c r="X133" s="16"/>
      <c r="Y133" s="16"/>
      <c r="Z133" s="16"/>
      <c r="AA133" s="16"/>
    </row>
    <row r="134" spans="1:27">
      <c r="A134" s="16"/>
      <c r="B134" s="16"/>
      <c r="C134" s="152"/>
      <c r="D134" s="156" t="s">
        <v>595</v>
      </c>
      <c r="E134" s="157">
        <v>9.4999999999999998E-3</v>
      </c>
      <c r="F134" s="158">
        <v>1.8100000000000002E-2</v>
      </c>
      <c r="G134" s="151"/>
      <c r="H134" s="151"/>
      <c r="I134" s="16"/>
      <c r="J134" s="16"/>
      <c r="K134" s="16"/>
      <c r="L134" s="16"/>
      <c r="M134" s="16"/>
      <c r="N134" s="16"/>
      <c r="O134" s="16"/>
      <c r="P134" s="16"/>
      <c r="Q134" s="16"/>
      <c r="R134" s="16"/>
      <c r="S134" s="16"/>
      <c r="T134" s="16"/>
      <c r="U134" s="16"/>
      <c r="V134" s="16"/>
      <c r="W134" s="16"/>
      <c r="X134" s="16"/>
      <c r="Y134" s="16"/>
      <c r="Z134" s="16"/>
      <c r="AA134" s="16"/>
    </row>
    <row r="135" spans="1:27">
      <c r="A135" s="16"/>
      <c r="B135" s="16"/>
      <c r="C135" s="152"/>
      <c r="D135" s="156" t="s">
        <v>596</v>
      </c>
      <c r="E135" s="157">
        <v>7.7999999999999996E-3</v>
      </c>
      <c r="F135" s="158">
        <v>8.5000000000000006E-3</v>
      </c>
      <c r="G135" s="151"/>
      <c r="H135" s="151"/>
      <c r="I135" s="16"/>
      <c r="J135" s="16"/>
      <c r="K135" s="16"/>
      <c r="L135" s="16"/>
      <c r="M135" s="16"/>
      <c r="N135" s="16"/>
      <c r="O135" s="16"/>
      <c r="P135" s="16"/>
      <c r="Q135" s="16"/>
      <c r="R135" s="16"/>
      <c r="S135" s="16"/>
      <c r="T135" s="16"/>
      <c r="U135" s="16"/>
      <c r="V135" s="16"/>
      <c r="W135" s="16"/>
      <c r="X135" s="16"/>
      <c r="Y135" s="16"/>
      <c r="Z135" s="16"/>
      <c r="AA135" s="16"/>
    </row>
    <row r="136" spans="1:27">
      <c r="A136" s="16"/>
      <c r="B136" s="16"/>
      <c r="C136" s="152"/>
      <c r="D136" s="156" t="s">
        <v>597</v>
      </c>
      <c r="E136" s="157">
        <v>7.4999999999999997E-3</v>
      </c>
      <c r="F136" s="158">
        <v>6.7000000000000002E-3</v>
      </c>
      <c r="G136" s="151"/>
      <c r="H136" s="151"/>
      <c r="I136" s="16"/>
      <c r="J136" s="16"/>
      <c r="K136" s="16"/>
      <c r="L136" s="16"/>
      <c r="M136" s="16"/>
      <c r="N136" s="16"/>
      <c r="O136" s="16"/>
      <c r="P136" s="16"/>
      <c r="Q136" s="16"/>
      <c r="R136" s="16"/>
      <c r="S136" s="16"/>
      <c r="T136" s="16"/>
      <c r="U136" s="16"/>
      <c r="V136" s="16"/>
      <c r="W136" s="16"/>
      <c r="X136" s="16"/>
      <c r="Y136" s="16"/>
      <c r="Z136" s="16"/>
      <c r="AA136" s="16"/>
    </row>
    <row r="137" spans="1:27">
      <c r="A137" s="16"/>
      <c r="B137" s="16"/>
      <c r="C137" s="152"/>
      <c r="D137" s="156" t="s">
        <v>598</v>
      </c>
      <c r="E137" s="157">
        <v>7.6E-3</v>
      </c>
      <c r="F137" s="158">
        <v>7.4999999999999997E-3</v>
      </c>
      <c r="G137" s="151"/>
      <c r="H137" s="151"/>
      <c r="I137" s="16"/>
      <c r="J137" s="16"/>
      <c r="K137" s="16"/>
      <c r="L137" s="16"/>
      <c r="M137" s="16"/>
      <c r="N137" s="16"/>
      <c r="O137" s="16"/>
      <c r="P137" s="16"/>
      <c r="Q137" s="16"/>
      <c r="R137" s="16"/>
      <c r="S137" s="16"/>
      <c r="T137" s="16"/>
      <c r="U137" s="16"/>
      <c r="V137" s="16"/>
      <c r="W137" s="16"/>
      <c r="X137" s="16"/>
      <c r="Y137" s="16"/>
      <c r="Z137" s="16"/>
      <c r="AA137" s="16"/>
    </row>
    <row r="138" spans="1:27">
      <c r="A138" s="16"/>
      <c r="B138" s="16"/>
      <c r="C138" s="152"/>
      <c r="D138" s="156" t="s">
        <v>599</v>
      </c>
      <c r="E138" s="157">
        <v>7.1999999999999998E-3</v>
      </c>
      <c r="F138" s="158">
        <v>5.1999999999999998E-3</v>
      </c>
      <c r="G138" s="151"/>
      <c r="H138" s="151"/>
      <c r="I138" s="16"/>
      <c r="J138" s="16"/>
      <c r="K138" s="16"/>
      <c r="L138" s="16"/>
      <c r="M138" s="16"/>
      <c r="N138" s="16"/>
      <c r="O138" s="16"/>
      <c r="P138" s="16"/>
      <c r="Q138" s="16"/>
      <c r="R138" s="16"/>
      <c r="S138" s="16"/>
      <c r="T138" s="16"/>
      <c r="U138" s="16"/>
      <c r="V138" s="16"/>
      <c r="W138" s="16"/>
      <c r="X138" s="16"/>
      <c r="Y138" s="16"/>
      <c r="Z138" s="16"/>
      <c r="AA138" s="16"/>
    </row>
    <row r="139" spans="1:27">
      <c r="A139" s="16"/>
      <c r="B139" s="16"/>
      <c r="C139" s="152"/>
      <c r="D139" s="156" t="s">
        <v>600</v>
      </c>
      <c r="E139" s="157">
        <v>7.1999999999999998E-3</v>
      </c>
      <c r="F139" s="158">
        <v>4.8999999999999998E-3</v>
      </c>
      <c r="G139" s="151"/>
      <c r="H139" s="151"/>
      <c r="I139" s="16"/>
      <c r="J139" s="16"/>
      <c r="K139" s="16"/>
      <c r="L139" s="16"/>
      <c r="M139" s="16"/>
      <c r="N139" s="16"/>
      <c r="O139" s="16"/>
      <c r="P139" s="16"/>
      <c r="Q139" s="16"/>
      <c r="R139" s="16"/>
      <c r="S139" s="16"/>
      <c r="T139" s="16"/>
      <c r="U139" s="16"/>
      <c r="V139" s="16"/>
      <c r="W139" s="16"/>
      <c r="X139" s="16"/>
      <c r="Y139" s="16"/>
      <c r="Z139" s="16"/>
      <c r="AA139" s="16"/>
    </row>
    <row r="140" spans="1:27">
      <c r="A140" s="16"/>
      <c r="B140" s="16"/>
      <c r="C140" s="152"/>
      <c r="D140" s="156" t="s">
        <v>601</v>
      </c>
      <c r="E140" s="159">
        <v>7.1000000000000004E-3</v>
      </c>
      <c r="F140" s="160">
        <v>4.5999999999999999E-3</v>
      </c>
      <c r="G140" s="151"/>
      <c r="H140" s="151"/>
      <c r="I140" s="16"/>
      <c r="J140" s="16"/>
      <c r="K140" s="16"/>
      <c r="L140" s="16"/>
      <c r="M140" s="16"/>
      <c r="N140" s="16"/>
      <c r="O140" s="16"/>
      <c r="P140" s="16"/>
      <c r="Q140" s="16"/>
      <c r="R140" s="16"/>
      <c r="S140" s="16"/>
      <c r="T140" s="16"/>
      <c r="U140" s="16"/>
      <c r="V140" s="16"/>
      <c r="W140" s="16"/>
      <c r="X140" s="16"/>
      <c r="Y140" s="16"/>
      <c r="Z140" s="16"/>
      <c r="AA140" s="16"/>
    </row>
    <row r="141" spans="1:27">
      <c r="A141" s="16"/>
      <c r="B141" s="16"/>
      <c r="C141" s="152"/>
      <c r="D141" s="156" t="s">
        <v>602</v>
      </c>
      <c r="E141" s="159">
        <v>7.1000000000000004E-3</v>
      </c>
      <c r="F141" s="160">
        <v>4.5999999999999999E-3</v>
      </c>
      <c r="G141" s="151"/>
      <c r="H141" s="151"/>
      <c r="I141" s="16"/>
      <c r="J141" s="16"/>
      <c r="K141" s="16"/>
      <c r="L141" s="16"/>
      <c r="M141" s="16"/>
      <c r="N141" s="16"/>
      <c r="O141" s="16"/>
      <c r="P141" s="16"/>
      <c r="Q141" s="16"/>
      <c r="R141" s="16"/>
      <c r="S141" s="16"/>
      <c r="T141" s="16"/>
      <c r="U141" s="16"/>
      <c r="V141" s="16"/>
      <c r="W141" s="16"/>
      <c r="X141" s="16"/>
      <c r="Y141" s="16"/>
      <c r="Z141" s="16"/>
      <c r="AA141" s="16"/>
    </row>
    <row r="142" spans="1:27">
      <c r="A142" s="16"/>
      <c r="B142" s="16"/>
      <c r="C142" s="152"/>
      <c r="D142" s="156" t="s">
        <v>603</v>
      </c>
      <c r="E142" s="159">
        <v>7.1000000000000004E-3</v>
      </c>
      <c r="F142" s="160">
        <v>4.5999999999999999E-3</v>
      </c>
      <c r="G142" s="151"/>
      <c r="H142" s="151"/>
      <c r="I142" s="16"/>
      <c r="J142" s="16"/>
      <c r="K142" s="16"/>
      <c r="L142" s="16"/>
      <c r="M142" s="16"/>
      <c r="N142" s="16"/>
      <c r="O142" s="16"/>
      <c r="P142" s="16"/>
      <c r="Q142" s="16"/>
      <c r="R142" s="16"/>
      <c r="S142" s="16"/>
      <c r="T142" s="16"/>
      <c r="U142" s="16"/>
      <c r="V142" s="16"/>
      <c r="W142" s="16"/>
      <c r="X142" s="16"/>
      <c r="Y142" s="16"/>
      <c r="Z142" s="16"/>
      <c r="AA142" s="16"/>
    </row>
    <row r="143" spans="1:27">
      <c r="A143" s="16"/>
      <c r="B143" s="16"/>
      <c r="C143" s="152"/>
      <c r="D143" s="156" t="s">
        <v>604</v>
      </c>
      <c r="E143" s="159">
        <v>7.1000000000000004E-3</v>
      </c>
      <c r="F143" s="160">
        <v>4.5999999999999999E-3</v>
      </c>
      <c r="G143" s="151"/>
      <c r="H143" s="151"/>
      <c r="I143" s="16"/>
      <c r="J143" s="16"/>
      <c r="K143" s="16"/>
      <c r="L143" s="16"/>
      <c r="M143" s="16"/>
      <c r="N143" s="16"/>
      <c r="O143" s="16"/>
      <c r="P143" s="16"/>
      <c r="Q143" s="16"/>
      <c r="R143" s="16"/>
      <c r="S143" s="16"/>
      <c r="T143" s="16"/>
      <c r="U143" s="16"/>
      <c r="V143" s="16"/>
      <c r="W143" s="16"/>
      <c r="X143" s="16"/>
      <c r="Y143" s="16"/>
      <c r="Z143" s="16"/>
      <c r="AA143" s="16"/>
    </row>
    <row r="144" spans="1:27">
      <c r="A144" s="16"/>
      <c r="B144" s="16"/>
      <c r="C144" s="152"/>
      <c r="D144" s="156" t="s">
        <v>605</v>
      </c>
      <c r="E144" s="159">
        <v>7.1000000000000004E-3</v>
      </c>
      <c r="F144" s="160">
        <v>4.5999999999999999E-3</v>
      </c>
      <c r="G144" s="151"/>
      <c r="H144" s="151"/>
      <c r="I144" s="16"/>
      <c r="J144" s="16"/>
      <c r="K144" s="16"/>
      <c r="L144" s="16"/>
      <c r="M144" s="16"/>
      <c r="N144" s="16"/>
      <c r="O144" s="16"/>
      <c r="P144" s="16"/>
      <c r="Q144" s="16"/>
      <c r="R144" s="16"/>
      <c r="S144" s="16"/>
      <c r="T144" s="16"/>
      <c r="U144" s="16"/>
      <c r="V144" s="16"/>
      <c r="W144" s="16"/>
      <c r="X144" s="16"/>
      <c r="Y144" s="16"/>
      <c r="Z144" s="16"/>
      <c r="AA144" s="16"/>
    </row>
    <row r="145" spans="1:27">
      <c r="A145" s="16"/>
      <c r="B145" s="16"/>
      <c r="C145" s="152"/>
      <c r="D145" s="156" t="s">
        <v>606</v>
      </c>
      <c r="E145" s="159">
        <v>7.1000000000000004E-3</v>
      </c>
      <c r="F145" s="160">
        <v>4.5999999999999999E-3</v>
      </c>
      <c r="G145" s="151"/>
      <c r="H145" s="151"/>
      <c r="I145" s="16"/>
      <c r="J145" s="16"/>
      <c r="K145" s="16"/>
      <c r="L145" s="16"/>
      <c r="M145" s="16"/>
      <c r="N145" s="16"/>
      <c r="O145" s="16"/>
      <c r="P145" s="16"/>
      <c r="Q145" s="16"/>
      <c r="R145" s="16"/>
      <c r="S145" s="16"/>
      <c r="T145" s="16"/>
      <c r="U145" s="16"/>
      <c r="V145" s="16"/>
      <c r="W145" s="16"/>
      <c r="X145" s="16"/>
      <c r="Y145" s="16"/>
      <c r="Z145" s="16"/>
      <c r="AA145" s="16"/>
    </row>
    <row r="146" spans="1:27">
      <c r="A146" s="16"/>
      <c r="B146" s="16"/>
      <c r="C146" s="152"/>
      <c r="D146" s="156" t="s">
        <v>607</v>
      </c>
      <c r="E146" s="159">
        <v>6.7999999999999996E-3</v>
      </c>
      <c r="F146" s="160">
        <v>4.1999999999999997E-3</v>
      </c>
      <c r="G146" s="151"/>
      <c r="H146" s="151"/>
      <c r="I146" s="16"/>
      <c r="J146" s="16"/>
      <c r="K146" s="16"/>
      <c r="L146" s="16"/>
      <c r="M146" s="16"/>
      <c r="N146" s="16"/>
      <c r="O146" s="16"/>
      <c r="P146" s="16"/>
      <c r="Q146" s="16"/>
      <c r="R146" s="16"/>
      <c r="S146" s="16"/>
      <c r="T146" s="16"/>
      <c r="U146" s="16"/>
      <c r="V146" s="16"/>
      <c r="W146" s="16"/>
      <c r="X146" s="16"/>
      <c r="Y146" s="16"/>
      <c r="Z146" s="16"/>
      <c r="AA146" s="16"/>
    </row>
    <row r="147" spans="1:27">
      <c r="A147" s="16"/>
      <c r="B147" s="16"/>
      <c r="C147" s="152"/>
      <c r="D147" s="156" t="s">
        <v>608</v>
      </c>
      <c r="E147" s="159">
        <v>6.4999999999999997E-3</v>
      </c>
      <c r="F147" s="160">
        <v>3.8E-3</v>
      </c>
      <c r="G147" s="151"/>
      <c r="H147" s="151"/>
      <c r="I147" s="16"/>
      <c r="J147" s="16"/>
      <c r="K147" s="16"/>
      <c r="L147" s="16"/>
      <c r="M147" s="16"/>
      <c r="N147" s="16"/>
      <c r="O147" s="16"/>
      <c r="P147" s="16"/>
      <c r="Q147" s="16"/>
      <c r="R147" s="16"/>
      <c r="S147" s="16"/>
      <c r="T147" s="16"/>
      <c r="U147" s="16"/>
      <c r="V147" s="16"/>
      <c r="W147" s="16"/>
      <c r="X147" s="16"/>
      <c r="Y147" s="16"/>
      <c r="Z147" s="16"/>
      <c r="AA147" s="16"/>
    </row>
    <row r="148" spans="1:27">
      <c r="A148" s="16"/>
      <c r="B148" s="16"/>
      <c r="C148" s="152"/>
      <c r="D148" s="156" t="s">
        <v>609</v>
      </c>
      <c r="E148" s="159">
        <v>5.4000000000000003E-3</v>
      </c>
      <c r="F148" s="160">
        <v>1.8E-3</v>
      </c>
      <c r="G148" s="151"/>
      <c r="H148" s="151"/>
      <c r="I148" s="16"/>
      <c r="J148" s="16"/>
      <c r="K148" s="16"/>
      <c r="L148" s="16"/>
      <c r="M148" s="16"/>
      <c r="N148" s="16"/>
      <c r="O148" s="16"/>
      <c r="P148" s="16"/>
      <c r="Q148" s="16"/>
      <c r="R148" s="16"/>
      <c r="S148" s="16"/>
      <c r="T148" s="16"/>
      <c r="U148" s="16"/>
      <c r="V148" s="16"/>
      <c r="W148" s="16"/>
      <c r="X148" s="16"/>
      <c r="Y148" s="16"/>
      <c r="Z148" s="16"/>
      <c r="AA148" s="16"/>
    </row>
    <row r="149" spans="1:27">
      <c r="A149" s="16"/>
      <c r="B149" s="16"/>
      <c r="C149" s="152"/>
      <c r="D149" s="156" t="s">
        <v>610</v>
      </c>
      <c r="E149" s="159">
        <v>5.1999999999999998E-3</v>
      </c>
      <c r="F149" s="160">
        <v>1.6000000000000001E-3</v>
      </c>
      <c r="G149" s="151"/>
      <c r="H149" s="151"/>
      <c r="I149" s="16"/>
      <c r="J149" s="16"/>
      <c r="K149" s="16"/>
      <c r="L149" s="16"/>
      <c r="M149" s="16"/>
      <c r="N149" s="16"/>
      <c r="O149" s="16"/>
      <c r="P149" s="16"/>
      <c r="Q149" s="16"/>
      <c r="R149" s="16"/>
      <c r="S149" s="16"/>
      <c r="T149" s="16"/>
      <c r="U149" s="16"/>
      <c r="V149" s="16"/>
      <c r="W149" s="16"/>
      <c r="X149" s="16"/>
      <c r="Y149" s="16"/>
      <c r="Z149" s="16"/>
      <c r="AA149" s="16"/>
    </row>
    <row r="150" spans="1:27" ht="13.9" customHeight="1" thickBot="1">
      <c r="A150" s="16"/>
      <c r="B150" s="16"/>
      <c r="C150" s="161"/>
      <c r="D150" s="162" t="s">
        <v>611</v>
      </c>
      <c r="E150" s="163">
        <v>5.1000000000000004E-3</v>
      </c>
      <c r="F150" s="164">
        <v>1.5E-3</v>
      </c>
      <c r="G150" s="151"/>
      <c r="H150" s="151"/>
      <c r="I150" s="16"/>
      <c r="J150" s="16"/>
      <c r="K150" s="16"/>
      <c r="L150" s="16"/>
      <c r="M150" s="16"/>
      <c r="N150" s="16"/>
      <c r="O150" s="16"/>
      <c r="P150" s="16"/>
      <c r="Q150" s="16"/>
      <c r="R150" s="16"/>
      <c r="S150" s="16"/>
      <c r="T150" s="16"/>
      <c r="U150" s="16"/>
      <c r="V150" s="16"/>
      <c r="W150" s="16"/>
      <c r="X150" s="16"/>
      <c r="Y150" s="16"/>
      <c r="Z150" s="16"/>
      <c r="AA150" s="16"/>
    </row>
    <row r="151" spans="1:27">
      <c r="A151" s="16"/>
      <c r="B151" s="16"/>
      <c r="C151" s="147" t="s">
        <v>612</v>
      </c>
      <c r="D151" s="148" t="s">
        <v>613</v>
      </c>
      <c r="E151" s="149">
        <v>0.1908</v>
      </c>
      <c r="F151" s="150">
        <v>2.18E-2</v>
      </c>
      <c r="G151" s="151"/>
      <c r="H151" s="151"/>
      <c r="I151" s="16"/>
      <c r="J151" s="16"/>
      <c r="K151" s="16"/>
      <c r="L151" s="16"/>
      <c r="M151" s="16"/>
      <c r="N151" s="16"/>
      <c r="O151" s="16"/>
      <c r="P151" s="16"/>
      <c r="Q151" s="16"/>
      <c r="R151" s="16"/>
      <c r="S151" s="16"/>
      <c r="T151" s="16"/>
      <c r="U151" s="16"/>
      <c r="V151" s="16"/>
      <c r="W151" s="16"/>
      <c r="X151" s="16"/>
      <c r="Y151" s="16"/>
      <c r="Z151" s="16"/>
      <c r="AA151" s="16"/>
    </row>
    <row r="152" spans="1:27">
      <c r="A152" s="16"/>
      <c r="B152" s="16"/>
      <c r="C152" s="152" t="s">
        <v>614</v>
      </c>
      <c r="D152" s="156" t="s">
        <v>578</v>
      </c>
      <c r="E152" s="157">
        <v>0.16339999999999999</v>
      </c>
      <c r="F152" s="158">
        <v>5.1299999999999998E-2</v>
      </c>
      <c r="G152" s="151"/>
      <c r="H152" s="151"/>
      <c r="I152" s="16"/>
      <c r="J152" s="16"/>
      <c r="K152" s="16"/>
      <c r="L152" s="16"/>
      <c r="M152" s="16"/>
      <c r="N152" s="16"/>
      <c r="O152" s="16"/>
      <c r="P152" s="16"/>
      <c r="Q152" s="16"/>
      <c r="R152" s="16"/>
      <c r="S152" s="16"/>
      <c r="T152" s="16"/>
      <c r="U152" s="16"/>
      <c r="V152" s="16"/>
      <c r="W152" s="16"/>
      <c r="X152" s="16"/>
      <c r="Y152" s="16"/>
      <c r="Z152" s="16"/>
      <c r="AA152" s="16"/>
    </row>
    <row r="153" spans="1:27">
      <c r="A153" s="16"/>
      <c r="B153" s="16"/>
      <c r="C153" s="152"/>
      <c r="D153" s="156" t="s">
        <v>615</v>
      </c>
      <c r="E153" s="157">
        <v>0.15939999999999999</v>
      </c>
      <c r="F153" s="158">
        <v>5.5500000000000001E-2</v>
      </c>
      <c r="G153" s="151"/>
      <c r="H153" s="151"/>
      <c r="I153" s="16"/>
      <c r="J153" s="16"/>
      <c r="K153" s="16"/>
      <c r="L153" s="16"/>
      <c r="M153" s="16"/>
      <c r="N153" s="16"/>
      <c r="O153" s="16"/>
      <c r="P153" s="16"/>
      <c r="Q153" s="16"/>
      <c r="R153" s="16"/>
      <c r="S153" s="16"/>
      <c r="T153" s="16"/>
      <c r="U153" s="16"/>
      <c r="V153" s="16"/>
      <c r="W153" s="16"/>
      <c r="X153" s="16"/>
      <c r="Y153" s="16"/>
      <c r="Z153" s="16"/>
      <c r="AA153" s="16"/>
    </row>
    <row r="154" spans="1:27">
      <c r="A154" s="16"/>
      <c r="B154" s="16"/>
      <c r="C154" s="152"/>
      <c r="D154" s="156" t="s">
        <v>616</v>
      </c>
      <c r="E154" s="157">
        <v>0.16139999999999999</v>
      </c>
      <c r="F154" s="158">
        <v>5.3400000000000003E-2</v>
      </c>
      <c r="G154" s="151"/>
      <c r="H154" s="151"/>
      <c r="I154" s="16"/>
      <c r="J154" s="16"/>
      <c r="K154" s="16"/>
      <c r="L154" s="16"/>
      <c r="M154" s="16"/>
      <c r="N154" s="16"/>
      <c r="O154" s="16"/>
      <c r="P154" s="16"/>
      <c r="Q154" s="16"/>
      <c r="R154" s="16"/>
      <c r="S154" s="16"/>
      <c r="T154" s="16"/>
      <c r="U154" s="16"/>
      <c r="V154" s="16"/>
      <c r="W154" s="16"/>
      <c r="X154" s="16"/>
      <c r="Y154" s="16"/>
      <c r="Z154" s="16"/>
      <c r="AA154" s="16"/>
    </row>
    <row r="155" spans="1:27">
      <c r="A155" s="16"/>
      <c r="B155" s="16"/>
      <c r="C155" s="152"/>
      <c r="D155" s="156" t="s">
        <v>617</v>
      </c>
      <c r="E155" s="157">
        <v>0.15939999999999999</v>
      </c>
      <c r="F155" s="158">
        <v>5.5500000000000001E-2</v>
      </c>
      <c r="G155" s="151"/>
      <c r="H155" s="151"/>
      <c r="I155" s="16"/>
      <c r="J155" s="16"/>
      <c r="K155" s="16"/>
      <c r="L155" s="16"/>
      <c r="M155" s="16"/>
      <c r="N155" s="16"/>
      <c r="O155" s="16"/>
      <c r="P155" s="16"/>
      <c r="Q155" s="16"/>
      <c r="R155" s="16"/>
      <c r="S155" s="16"/>
      <c r="T155" s="16"/>
      <c r="U155" s="16"/>
      <c r="V155" s="16"/>
      <c r="W155" s="16"/>
      <c r="X155" s="16"/>
      <c r="Y155" s="16"/>
      <c r="Z155" s="16"/>
      <c r="AA155" s="16"/>
    </row>
    <row r="156" spans="1:27">
      <c r="A156" s="16"/>
      <c r="B156" s="16"/>
      <c r="C156" s="152"/>
      <c r="D156" s="156" t="s">
        <v>582</v>
      </c>
      <c r="E156" s="157">
        <v>0.1479</v>
      </c>
      <c r="F156" s="158">
        <v>6.6000000000000003E-2</v>
      </c>
      <c r="G156" s="151"/>
      <c r="H156" s="151"/>
      <c r="I156" s="16"/>
      <c r="J156" s="16"/>
      <c r="K156" s="16"/>
      <c r="L156" s="16"/>
      <c r="M156" s="16"/>
      <c r="N156" s="16"/>
      <c r="O156" s="16"/>
      <c r="P156" s="16"/>
      <c r="Q156" s="16"/>
      <c r="R156" s="16"/>
      <c r="S156" s="16"/>
      <c r="T156" s="16"/>
      <c r="U156" s="16"/>
      <c r="V156" s="16"/>
      <c r="W156" s="16"/>
      <c r="X156" s="16"/>
      <c r="Y156" s="16"/>
      <c r="Z156" s="16"/>
      <c r="AA156" s="16"/>
    </row>
    <row r="157" spans="1:27">
      <c r="A157" s="16"/>
      <c r="B157" s="16"/>
      <c r="C157" s="152"/>
      <c r="D157" s="156" t="s">
        <v>583</v>
      </c>
      <c r="E157" s="157">
        <v>0.14419999999999999</v>
      </c>
      <c r="F157" s="158">
        <v>6.8099999999999994E-2</v>
      </c>
      <c r="G157" s="151"/>
      <c r="H157" s="151"/>
      <c r="I157" s="16"/>
      <c r="J157" s="16"/>
      <c r="K157" s="16"/>
      <c r="L157" s="16"/>
      <c r="M157" s="16"/>
      <c r="N157" s="16"/>
      <c r="O157" s="16"/>
      <c r="P157" s="16"/>
      <c r="Q157" s="16"/>
      <c r="R157" s="16"/>
      <c r="S157" s="16"/>
      <c r="T157" s="16"/>
      <c r="U157" s="16"/>
      <c r="V157" s="16"/>
      <c r="W157" s="16"/>
      <c r="X157" s="16"/>
      <c r="Y157" s="16"/>
      <c r="Z157" s="16"/>
      <c r="AA157" s="16"/>
    </row>
    <row r="158" spans="1:27">
      <c r="A158" s="16"/>
      <c r="B158" s="16"/>
      <c r="C158" s="152"/>
      <c r="D158" s="156" t="s">
        <v>584</v>
      </c>
      <c r="E158" s="157">
        <v>0.1368</v>
      </c>
      <c r="F158" s="158">
        <v>7.22E-2</v>
      </c>
      <c r="G158" s="151"/>
      <c r="H158" s="151"/>
      <c r="I158" s="16"/>
      <c r="J158" s="16"/>
      <c r="K158" s="16"/>
      <c r="L158" s="16"/>
      <c r="M158" s="16"/>
      <c r="N158" s="16"/>
      <c r="O158" s="16"/>
      <c r="P158" s="16"/>
      <c r="Q158" s="16"/>
      <c r="R158" s="16"/>
      <c r="S158" s="16"/>
      <c r="T158" s="16"/>
      <c r="U158" s="16"/>
      <c r="V158" s="16"/>
      <c r="W158" s="16"/>
      <c r="X158" s="16"/>
      <c r="Y158" s="16"/>
      <c r="Z158" s="16"/>
      <c r="AA158" s="16"/>
    </row>
    <row r="159" spans="1:27">
      <c r="A159" s="16"/>
      <c r="B159" s="16"/>
      <c r="C159" s="152"/>
      <c r="D159" s="156" t="s">
        <v>618</v>
      </c>
      <c r="E159" s="157">
        <v>0.12939999999999999</v>
      </c>
      <c r="F159" s="158">
        <v>7.6399999999999996E-2</v>
      </c>
      <c r="G159" s="151"/>
      <c r="H159" s="151"/>
      <c r="I159" s="16"/>
      <c r="J159" s="16"/>
      <c r="K159" s="16"/>
      <c r="L159" s="16"/>
      <c r="M159" s="16"/>
      <c r="N159" s="16"/>
      <c r="O159" s="16"/>
      <c r="P159" s="16"/>
      <c r="Q159" s="16"/>
      <c r="R159" s="16"/>
      <c r="S159" s="16"/>
      <c r="T159" s="16"/>
      <c r="U159" s="16"/>
      <c r="V159" s="16"/>
      <c r="W159" s="16"/>
      <c r="X159" s="16"/>
      <c r="Y159" s="16"/>
      <c r="Z159" s="16"/>
      <c r="AA159" s="16"/>
    </row>
    <row r="160" spans="1:27">
      <c r="A160" s="16"/>
      <c r="B160" s="16"/>
      <c r="C160" s="152"/>
      <c r="D160" s="156" t="s">
        <v>619</v>
      </c>
      <c r="E160" s="157">
        <v>0.122</v>
      </c>
      <c r="F160" s="158">
        <v>8.0600000000000005E-2</v>
      </c>
      <c r="G160" s="151"/>
      <c r="H160" s="151"/>
      <c r="I160" s="16"/>
      <c r="J160" s="16"/>
      <c r="K160" s="16"/>
      <c r="L160" s="16"/>
      <c r="M160" s="16"/>
      <c r="N160" s="16"/>
      <c r="O160" s="16"/>
      <c r="P160" s="16"/>
      <c r="Q160" s="16"/>
      <c r="R160" s="16"/>
      <c r="S160" s="16"/>
      <c r="T160" s="16"/>
      <c r="U160" s="16"/>
      <c r="V160" s="16"/>
      <c r="W160" s="16"/>
      <c r="X160" s="16"/>
      <c r="Y160" s="16"/>
      <c r="Z160" s="16"/>
      <c r="AA160" s="16"/>
    </row>
    <row r="161" spans="1:27">
      <c r="A161" s="16"/>
      <c r="B161" s="16"/>
      <c r="C161" s="152"/>
      <c r="D161" s="156" t="s">
        <v>620</v>
      </c>
      <c r="E161" s="157">
        <v>0.11459999999999999</v>
      </c>
      <c r="F161" s="158">
        <v>8.48E-2</v>
      </c>
      <c r="G161" s="151"/>
      <c r="H161" s="151"/>
      <c r="I161" s="16"/>
      <c r="J161" s="16"/>
      <c r="K161" s="16"/>
      <c r="L161" s="16"/>
      <c r="M161" s="16"/>
      <c r="N161" s="16"/>
      <c r="O161" s="16"/>
      <c r="P161" s="16"/>
      <c r="Q161" s="16"/>
      <c r="R161" s="16"/>
      <c r="S161" s="16"/>
      <c r="T161" s="16"/>
      <c r="U161" s="16"/>
      <c r="V161" s="16"/>
      <c r="W161" s="16"/>
      <c r="X161" s="16"/>
      <c r="Y161" s="16"/>
      <c r="Z161" s="16"/>
      <c r="AA161" s="16"/>
    </row>
    <row r="162" spans="1:27">
      <c r="A162" s="16"/>
      <c r="B162" s="16"/>
      <c r="C162" s="152"/>
      <c r="D162" s="156" t="s">
        <v>621</v>
      </c>
      <c r="E162" s="157">
        <v>8.1299999999999997E-2</v>
      </c>
      <c r="F162" s="158">
        <v>0.10349999999999999</v>
      </c>
      <c r="G162" s="151"/>
      <c r="H162" s="151"/>
      <c r="I162" s="16"/>
      <c r="J162" s="16"/>
      <c r="K162" s="16"/>
      <c r="L162" s="16"/>
      <c r="M162" s="16"/>
      <c r="N162" s="16"/>
      <c r="O162" s="16"/>
      <c r="P162" s="16"/>
      <c r="Q162" s="16"/>
      <c r="R162" s="16"/>
      <c r="S162" s="16"/>
      <c r="T162" s="16"/>
      <c r="U162" s="16"/>
      <c r="V162" s="16"/>
      <c r="W162" s="16"/>
      <c r="X162" s="16"/>
      <c r="Y162" s="16"/>
      <c r="Z162" s="16"/>
      <c r="AA162" s="16"/>
    </row>
    <row r="163" spans="1:27">
      <c r="A163" s="16"/>
      <c r="B163" s="16"/>
      <c r="C163" s="152"/>
      <c r="D163" s="156" t="s">
        <v>622</v>
      </c>
      <c r="E163" s="157">
        <v>6.4600000000000005E-2</v>
      </c>
      <c r="F163" s="158">
        <v>9.8199999999999996E-2</v>
      </c>
      <c r="G163" s="151"/>
      <c r="H163" s="151"/>
      <c r="I163" s="16"/>
      <c r="J163" s="16"/>
      <c r="K163" s="16"/>
      <c r="L163" s="16"/>
      <c r="M163" s="16"/>
      <c r="N163" s="16"/>
      <c r="O163" s="16"/>
      <c r="P163" s="16"/>
      <c r="Q163" s="16"/>
      <c r="R163" s="16"/>
      <c r="S163" s="16"/>
      <c r="T163" s="16"/>
      <c r="U163" s="16"/>
      <c r="V163" s="16"/>
      <c r="W163" s="16"/>
      <c r="X163" s="16"/>
      <c r="Y163" s="16"/>
      <c r="Z163" s="16"/>
      <c r="AA163" s="16"/>
    </row>
    <row r="164" spans="1:27">
      <c r="A164" s="16"/>
      <c r="B164" s="16"/>
      <c r="C164" s="152"/>
      <c r="D164" s="156" t="s">
        <v>623</v>
      </c>
      <c r="E164" s="157">
        <v>5.1700000000000003E-2</v>
      </c>
      <c r="F164" s="158">
        <v>9.0800000000000006E-2</v>
      </c>
      <c r="G164" s="151"/>
      <c r="H164" s="151"/>
      <c r="I164" s="16"/>
      <c r="J164" s="16"/>
      <c r="K164" s="16"/>
      <c r="L164" s="16"/>
      <c r="M164" s="16"/>
      <c r="N164" s="16"/>
      <c r="O164" s="16"/>
      <c r="P164" s="16"/>
      <c r="Q164" s="16"/>
      <c r="R164" s="16"/>
      <c r="S164" s="16"/>
      <c r="T164" s="16"/>
      <c r="U164" s="16"/>
      <c r="V164" s="16"/>
      <c r="W164" s="16"/>
      <c r="X164" s="16"/>
      <c r="Y164" s="16"/>
      <c r="Z164" s="16"/>
      <c r="AA164" s="16"/>
    </row>
    <row r="165" spans="1:27">
      <c r="A165" s="16"/>
      <c r="B165" s="16"/>
      <c r="C165" s="152"/>
      <c r="D165" s="156" t="s">
        <v>624</v>
      </c>
      <c r="E165" s="157">
        <v>4.5199999999999997E-2</v>
      </c>
      <c r="F165" s="158">
        <v>8.7099999999999997E-2</v>
      </c>
      <c r="G165" s="151"/>
      <c r="H165" s="151"/>
      <c r="I165" s="16"/>
      <c r="J165" s="16"/>
      <c r="K165" s="16"/>
      <c r="L165" s="16"/>
      <c r="M165" s="16"/>
      <c r="N165" s="16"/>
      <c r="O165" s="16"/>
      <c r="P165" s="16"/>
      <c r="Q165" s="16"/>
      <c r="R165" s="16"/>
      <c r="S165" s="16"/>
      <c r="T165" s="16"/>
      <c r="U165" s="16"/>
      <c r="V165" s="16"/>
      <c r="W165" s="16"/>
      <c r="X165" s="16"/>
      <c r="Y165" s="16"/>
      <c r="Z165" s="16"/>
      <c r="AA165" s="16"/>
    </row>
    <row r="166" spans="1:27">
      <c r="A166" s="16"/>
      <c r="B166" s="16"/>
      <c r="C166" s="152"/>
      <c r="D166" s="156" t="s">
        <v>625</v>
      </c>
      <c r="E166" s="157">
        <v>4.5199999999999997E-2</v>
      </c>
      <c r="F166" s="158">
        <v>8.7099999999999997E-2</v>
      </c>
      <c r="G166" s="151"/>
      <c r="H166" s="151"/>
      <c r="I166" s="16"/>
      <c r="J166" s="16"/>
      <c r="K166" s="16"/>
      <c r="L166" s="16"/>
      <c r="M166" s="16"/>
      <c r="N166" s="16"/>
      <c r="O166" s="16"/>
      <c r="P166" s="16"/>
      <c r="Q166" s="16"/>
      <c r="R166" s="16"/>
      <c r="S166" s="16"/>
      <c r="T166" s="16"/>
      <c r="U166" s="16"/>
      <c r="V166" s="16"/>
      <c r="W166" s="16"/>
      <c r="X166" s="16"/>
      <c r="Y166" s="16"/>
      <c r="Z166" s="16"/>
      <c r="AA166" s="16"/>
    </row>
    <row r="167" spans="1:27">
      <c r="A167" s="16"/>
      <c r="B167" s="16"/>
      <c r="C167" s="152"/>
      <c r="D167" s="156" t="s">
        <v>626</v>
      </c>
      <c r="E167" s="157">
        <v>4.1200000000000001E-2</v>
      </c>
      <c r="F167" s="158">
        <v>7.8700000000000006E-2</v>
      </c>
      <c r="G167" s="151"/>
      <c r="H167" s="151"/>
      <c r="I167" s="16"/>
      <c r="J167" s="16"/>
      <c r="K167" s="16"/>
      <c r="L167" s="16"/>
      <c r="M167" s="16"/>
      <c r="N167" s="16"/>
      <c r="O167" s="16"/>
      <c r="P167" s="16"/>
      <c r="Q167" s="16"/>
      <c r="R167" s="16"/>
      <c r="S167" s="16"/>
      <c r="T167" s="16"/>
      <c r="U167" s="16"/>
      <c r="V167" s="16"/>
      <c r="W167" s="16"/>
      <c r="X167" s="16"/>
      <c r="Y167" s="16"/>
      <c r="Z167" s="16"/>
      <c r="AA167" s="16"/>
    </row>
    <row r="168" spans="1:27">
      <c r="A168" s="16"/>
      <c r="B168" s="16"/>
      <c r="C168" s="152"/>
      <c r="D168" s="156" t="s">
        <v>627</v>
      </c>
      <c r="E168" s="157">
        <v>3.3300000000000003E-2</v>
      </c>
      <c r="F168" s="158">
        <v>6.1800000000000001E-2</v>
      </c>
      <c r="G168" s="151"/>
      <c r="H168" s="151"/>
      <c r="I168" s="16"/>
      <c r="J168" s="16"/>
      <c r="K168" s="16"/>
      <c r="L168" s="16"/>
      <c r="M168" s="16"/>
      <c r="N168" s="16"/>
      <c r="O168" s="16"/>
      <c r="P168" s="16"/>
      <c r="Q168" s="16"/>
      <c r="R168" s="16"/>
      <c r="S168" s="16"/>
      <c r="T168" s="16"/>
      <c r="U168" s="16"/>
      <c r="V168" s="16"/>
      <c r="W168" s="16"/>
      <c r="X168" s="16"/>
      <c r="Y168" s="16"/>
      <c r="Z168" s="16"/>
      <c r="AA168" s="16"/>
    </row>
    <row r="169" spans="1:27">
      <c r="A169" s="16"/>
      <c r="B169" s="16"/>
      <c r="C169" s="152"/>
      <c r="D169" s="156" t="s">
        <v>628</v>
      </c>
      <c r="E169" s="157">
        <v>3.4000000000000002E-2</v>
      </c>
      <c r="F169" s="158">
        <v>6.3100000000000003E-2</v>
      </c>
      <c r="G169" s="151"/>
      <c r="H169" s="151"/>
      <c r="I169" s="16"/>
      <c r="J169" s="16"/>
      <c r="K169" s="16"/>
      <c r="L169" s="16"/>
      <c r="M169" s="16"/>
      <c r="N169" s="16"/>
      <c r="O169" s="16"/>
      <c r="P169" s="16"/>
      <c r="Q169" s="16"/>
      <c r="R169" s="16"/>
      <c r="S169" s="16"/>
      <c r="T169" s="16"/>
      <c r="U169" s="16"/>
      <c r="V169" s="16"/>
      <c r="W169" s="16"/>
      <c r="X169" s="16"/>
      <c r="Y169" s="16"/>
      <c r="Z169" s="16"/>
      <c r="AA169" s="16"/>
    </row>
    <row r="170" spans="1:27">
      <c r="A170" s="16"/>
      <c r="B170" s="16"/>
      <c r="C170" s="152"/>
      <c r="D170" s="156" t="s">
        <v>629</v>
      </c>
      <c r="E170" s="157">
        <v>2.2100000000000002E-2</v>
      </c>
      <c r="F170" s="158">
        <v>3.7900000000000003E-2</v>
      </c>
      <c r="G170" s="151"/>
      <c r="H170" s="151"/>
      <c r="I170" s="16"/>
      <c r="J170" s="16"/>
      <c r="K170" s="16"/>
      <c r="L170" s="16"/>
      <c r="M170" s="16"/>
      <c r="N170" s="16"/>
      <c r="O170" s="16"/>
      <c r="P170" s="16"/>
      <c r="Q170" s="16"/>
      <c r="R170" s="16"/>
      <c r="S170" s="16"/>
      <c r="T170" s="16"/>
      <c r="U170" s="16"/>
      <c r="V170" s="16"/>
      <c r="W170" s="16"/>
      <c r="X170" s="16"/>
      <c r="Y170" s="16"/>
      <c r="Z170" s="16"/>
      <c r="AA170" s="16"/>
    </row>
    <row r="171" spans="1:27">
      <c r="A171" s="16"/>
      <c r="B171" s="16"/>
      <c r="C171" s="152"/>
      <c r="D171" s="156" t="s">
        <v>630</v>
      </c>
      <c r="E171" s="157">
        <v>2.4199999999999999E-2</v>
      </c>
      <c r="F171" s="158">
        <v>4.24E-2</v>
      </c>
      <c r="G171" s="151"/>
      <c r="H171" s="151"/>
      <c r="I171" s="16"/>
      <c r="J171" s="16"/>
      <c r="K171" s="16"/>
      <c r="L171" s="16"/>
      <c r="M171" s="16"/>
      <c r="N171" s="16"/>
      <c r="O171" s="16"/>
      <c r="P171" s="16"/>
      <c r="Q171" s="16"/>
      <c r="R171" s="16"/>
      <c r="S171" s="16"/>
      <c r="T171" s="16"/>
      <c r="U171" s="16"/>
      <c r="V171" s="16"/>
      <c r="W171" s="16"/>
      <c r="X171" s="16"/>
      <c r="Y171" s="16"/>
      <c r="Z171" s="16"/>
      <c r="AA171" s="16"/>
    </row>
    <row r="172" spans="1:27">
      <c r="A172" s="16"/>
      <c r="B172" s="16"/>
      <c r="C172" s="152"/>
      <c r="D172" s="156" t="s">
        <v>595</v>
      </c>
      <c r="E172" s="157">
        <v>2.2100000000000002E-2</v>
      </c>
      <c r="F172" s="158">
        <v>3.73E-2</v>
      </c>
      <c r="G172" s="151"/>
      <c r="H172" s="151"/>
      <c r="I172" s="16"/>
      <c r="J172" s="16"/>
      <c r="K172" s="16"/>
      <c r="L172" s="16"/>
      <c r="M172" s="16"/>
      <c r="N172" s="16"/>
      <c r="O172" s="16"/>
      <c r="P172" s="16"/>
      <c r="Q172" s="16"/>
      <c r="R172" s="16"/>
      <c r="S172" s="16"/>
      <c r="T172" s="16"/>
      <c r="U172" s="16"/>
      <c r="V172" s="16"/>
      <c r="W172" s="16"/>
      <c r="X172" s="16"/>
      <c r="Y172" s="16"/>
      <c r="Z172" s="16"/>
      <c r="AA172" s="16"/>
    </row>
    <row r="173" spans="1:27">
      <c r="A173" s="16"/>
      <c r="B173" s="16"/>
      <c r="C173" s="152"/>
      <c r="D173" s="156" t="s">
        <v>596</v>
      </c>
      <c r="E173" s="157">
        <v>1.15E-2</v>
      </c>
      <c r="F173" s="158">
        <v>8.8000000000000005E-3</v>
      </c>
      <c r="G173" s="151"/>
      <c r="H173" s="151"/>
      <c r="I173" s="16"/>
      <c r="J173" s="16"/>
      <c r="K173" s="16"/>
      <c r="L173" s="16"/>
      <c r="M173" s="16"/>
      <c r="N173" s="16"/>
      <c r="O173" s="16"/>
      <c r="P173" s="16"/>
      <c r="Q173" s="16"/>
      <c r="R173" s="16"/>
      <c r="S173" s="16"/>
      <c r="T173" s="16"/>
      <c r="U173" s="16"/>
      <c r="V173" s="16"/>
      <c r="W173" s="16"/>
      <c r="X173" s="16"/>
      <c r="Y173" s="16"/>
      <c r="Z173" s="16"/>
      <c r="AA173" s="16"/>
    </row>
    <row r="174" spans="1:27">
      <c r="A174" s="16"/>
      <c r="B174" s="16"/>
      <c r="C174" s="152"/>
      <c r="D174" s="156" t="s">
        <v>597</v>
      </c>
      <c r="E174" s="157">
        <v>1.0500000000000001E-2</v>
      </c>
      <c r="F174" s="158">
        <v>6.4000000000000003E-3</v>
      </c>
      <c r="G174" s="151"/>
      <c r="H174" s="151"/>
      <c r="I174" s="16"/>
      <c r="J174" s="16"/>
      <c r="K174" s="16"/>
      <c r="L174" s="16"/>
      <c r="M174" s="16"/>
      <c r="N174" s="16"/>
      <c r="O174" s="16"/>
      <c r="P174" s="16"/>
      <c r="Q174" s="16"/>
      <c r="R174" s="16"/>
      <c r="S174" s="16"/>
      <c r="T174" s="16"/>
      <c r="U174" s="16"/>
      <c r="V174" s="16"/>
      <c r="W174" s="16"/>
      <c r="X174" s="16"/>
      <c r="Y174" s="16"/>
      <c r="Z174" s="16"/>
      <c r="AA174" s="16"/>
    </row>
    <row r="175" spans="1:27">
      <c r="A175" s="16"/>
      <c r="B175" s="16"/>
      <c r="C175" s="152"/>
      <c r="D175" s="156" t="s">
        <v>598</v>
      </c>
      <c r="E175" s="157">
        <v>1.0800000000000001E-2</v>
      </c>
      <c r="F175" s="158">
        <v>8.0000000000000002E-3</v>
      </c>
      <c r="G175" s="151"/>
      <c r="H175" s="151"/>
      <c r="I175" s="16"/>
      <c r="J175" s="16"/>
      <c r="K175" s="16"/>
      <c r="L175" s="16"/>
      <c r="M175" s="16"/>
      <c r="N175" s="16"/>
      <c r="O175" s="16"/>
      <c r="P175" s="16"/>
      <c r="Q175" s="16"/>
      <c r="R175" s="16"/>
      <c r="S175" s="16"/>
      <c r="T175" s="16"/>
      <c r="U175" s="16"/>
      <c r="V175" s="16"/>
      <c r="W175" s="16"/>
      <c r="X175" s="16"/>
      <c r="Y175" s="16"/>
      <c r="Z175" s="16"/>
      <c r="AA175" s="16"/>
    </row>
    <row r="176" spans="1:27">
      <c r="A176" s="16"/>
      <c r="B176" s="16"/>
      <c r="C176" s="152"/>
      <c r="D176" s="156" t="s">
        <v>599</v>
      </c>
      <c r="E176" s="157">
        <v>1.03E-2</v>
      </c>
      <c r="F176" s="158">
        <v>6.1000000000000004E-3</v>
      </c>
      <c r="G176" s="151"/>
      <c r="H176" s="151"/>
      <c r="I176" s="16"/>
      <c r="J176" s="16"/>
      <c r="K176" s="16"/>
      <c r="L176" s="16"/>
      <c r="M176" s="16"/>
      <c r="N176" s="16"/>
      <c r="O176" s="16"/>
      <c r="P176" s="16"/>
      <c r="Q176" s="16"/>
      <c r="R176" s="16"/>
      <c r="S176" s="16"/>
      <c r="T176" s="16"/>
      <c r="U176" s="16"/>
      <c r="V176" s="16"/>
      <c r="W176" s="16"/>
      <c r="X176" s="16"/>
      <c r="Y176" s="16"/>
      <c r="Z176" s="16"/>
      <c r="AA176" s="16"/>
    </row>
    <row r="177" spans="1:27">
      <c r="A177" s="16"/>
      <c r="B177" s="16"/>
      <c r="C177" s="152"/>
      <c r="D177" s="156" t="s">
        <v>600</v>
      </c>
      <c r="E177" s="159">
        <v>9.4999999999999998E-3</v>
      </c>
      <c r="F177" s="160">
        <v>3.5999999999999999E-3</v>
      </c>
      <c r="G177" s="151"/>
      <c r="H177" s="151"/>
      <c r="I177" s="16"/>
      <c r="J177" s="16"/>
      <c r="K177" s="16"/>
      <c r="L177" s="16"/>
      <c r="M177" s="16"/>
      <c r="N177" s="16"/>
      <c r="O177" s="16"/>
      <c r="P177" s="16"/>
      <c r="Q177" s="16"/>
      <c r="R177" s="16"/>
      <c r="S177" s="16"/>
      <c r="T177" s="16"/>
      <c r="U177" s="16"/>
      <c r="V177" s="16"/>
      <c r="W177" s="16"/>
      <c r="X177" s="16"/>
      <c r="Y177" s="16"/>
      <c r="Z177" s="16"/>
      <c r="AA177" s="16"/>
    </row>
    <row r="178" spans="1:27">
      <c r="A178" s="16"/>
      <c r="B178" s="16"/>
      <c r="C178" s="152"/>
      <c r="D178" s="156" t="s">
        <v>601</v>
      </c>
      <c r="E178" s="159">
        <v>9.4999999999999998E-3</v>
      </c>
      <c r="F178" s="160">
        <v>3.5999999999999999E-3</v>
      </c>
      <c r="G178" s="151"/>
      <c r="H178" s="151"/>
      <c r="I178" s="16"/>
      <c r="J178" s="16"/>
      <c r="K178" s="16"/>
      <c r="L178" s="16"/>
      <c r="M178" s="16"/>
      <c r="N178" s="16"/>
      <c r="O178" s="16"/>
      <c r="P178" s="16"/>
      <c r="Q178" s="16"/>
      <c r="R178" s="16"/>
      <c r="S178" s="16"/>
      <c r="T178" s="16"/>
      <c r="U178" s="16"/>
      <c r="V178" s="16"/>
      <c r="W178" s="16"/>
      <c r="X178" s="16"/>
      <c r="Y178" s="16"/>
      <c r="Z178" s="16"/>
      <c r="AA178" s="16"/>
    </row>
    <row r="179" spans="1:27">
      <c r="A179" s="16"/>
      <c r="B179" s="16"/>
      <c r="C179" s="152"/>
      <c r="D179" s="156" t="s">
        <v>602</v>
      </c>
      <c r="E179" s="159">
        <v>9.4999999999999998E-3</v>
      </c>
      <c r="F179" s="160">
        <v>3.5000000000000001E-3</v>
      </c>
      <c r="G179" s="151"/>
      <c r="H179" s="151"/>
      <c r="I179" s="16"/>
      <c r="J179" s="16"/>
      <c r="K179" s="16"/>
      <c r="L179" s="16"/>
      <c r="M179" s="16"/>
      <c r="N179" s="16"/>
      <c r="O179" s="16"/>
      <c r="P179" s="16"/>
      <c r="Q179" s="16"/>
      <c r="R179" s="16"/>
      <c r="S179" s="16"/>
      <c r="T179" s="16"/>
      <c r="U179" s="16"/>
      <c r="V179" s="16"/>
      <c r="W179" s="16"/>
      <c r="X179" s="16"/>
      <c r="Y179" s="16"/>
      <c r="Z179" s="16"/>
      <c r="AA179" s="16"/>
    </row>
    <row r="180" spans="1:27">
      <c r="A180" s="16"/>
      <c r="B180" s="16"/>
      <c r="C180" s="152"/>
      <c r="D180" s="156" t="s">
        <v>603</v>
      </c>
      <c r="E180" s="159">
        <v>9.5999999999999992E-3</v>
      </c>
      <c r="F180" s="160">
        <v>3.3999999999999998E-3</v>
      </c>
      <c r="G180" s="151"/>
      <c r="H180" s="151"/>
      <c r="I180" s="16"/>
      <c r="J180" s="16"/>
      <c r="K180" s="16"/>
      <c r="L180" s="16"/>
      <c r="M180" s="16"/>
      <c r="N180" s="16"/>
      <c r="O180" s="16"/>
      <c r="P180" s="16"/>
      <c r="Q180" s="16"/>
      <c r="R180" s="16"/>
      <c r="S180" s="16"/>
      <c r="T180" s="16"/>
      <c r="U180" s="16"/>
      <c r="V180" s="16"/>
      <c r="W180" s="16"/>
      <c r="X180" s="16"/>
      <c r="Y180" s="16"/>
      <c r="Z180" s="16"/>
      <c r="AA180" s="16"/>
    </row>
    <row r="181" spans="1:27">
      <c r="A181" s="16"/>
      <c r="B181" s="16"/>
      <c r="C181" s="152"/>
      <c r="D181" s="156" t="s">
        <v>604</v>
      </c>
      <c r="E181" s="159">
        <v>9.5999999999999992E-3</v>
      </c>
      <c r="F181" s="160">
        <v>3.3E-3</v>
      </c>
      <c r="G181" s="151"/>
      <c r="H181" s="151"/>
      <c r="I181" s="16"/>
      <c r="J181" s="16"/>
      <c r="K181" s="16"/>
      <c r="L181" s="16"/>
      <c r="M181" s="16"/>
      <c r="N181" s="16"/>
      <c r="O181" s="16"/>
      <c r="P181" s="16"/>
      <c r="Q181" s="16"/>
      <c r="R181" s="16"/>
      <c r="S181" s="16"/>
      <c r="T181" s="16"/>
      <c r="U181" s="16"/>
      <c r="V181" s="16"/>
      <c r="W181" s="16"/>
      <c r="X181" s="16"/>
      <c r="Y181" s="16"/>
      <c r="Z181" s="16"/>
      <c r="AA181" s="16"/>
    </row>
    <row r="182" spans="1:27">
      <c r="A182" s="16"/>
      <c r="B182" s="16"/>
      <c r="C182" s="152"/>
      <c r="D182" s="156" t="s">
        <v>605</v>
      </c>
      <c r="E182" s="159">
        <v>9.4999999999999998E-3</v>
      </c>
      <c r="F182" s="160">
        <v>3.5000000000000001E-3</v>
      </c>
      <c r="G182" s="151"/>
      <c r="H182" s="151"/>
      <c r="I182" s="16"/>
      <c r="J182" s="16"/>
      <c r="K182" s="16"/>
      <c r="L182" s="16"/>
      <c r="M182" s="16"/>
      <c r="N182" s="16"/>
      <c r="O182" s="16"/>
      <c r="P182" s="16"/>
      <c r="Q182" s="16"/>
      <c r="R182" s="16"/>
      <c r="S182" s="16"/>
      <c r="T182" s="16"/>
      <c r="U182" s="16"/>
      <c r="V182" s="16"/>
      <c r="W182" s="16"/>
      <c r="X182" s="16"/>
      <c r="Y182" s="16"/>
      <c r="Z182" s="16"/>
      <c r="AA182" s="16"/>
    </row>
    <row r="183" spans="1:27">
      <c r="A183" s="16"/>
      <c r="B183" s="16"/>
      <c r="C183" s="152"/>
      <c r="D183" s="156" t="s">
        <v>606</v>
      </c>
      <c r="E183" s="159">
        <v>9.4999999999999998E-3</v>
      </c>
      <c r="F183" s="160">
        <v>3.3E-3</v>
      </c>
      <c r="G183" s="151"/>
      <c r="H183" s="151"/>
      <c r="I183" s="16"/>
      <c r="J183" s="16"/>
      <c r="K183" s="16"/>
      <c r="L183" s="16"/>
      <c r="M183" s="16"/>
      <c r="N183" s="16"/>
      <c r="O183" s="16"/>
      <c r="P183" s="16"/>
      <c r="Q183" s="16"/>
      <c r="R183" s="16"/>
      <c r="S183" s="16"/>
      <c r="T183" s="16"/>
      <c r="U183" s="16"/>
      <c r="V183" s="16"/>
      <c r="W183" s="16"/>
      <c r="X183" s="16"/>
      <c r="Y183" s="16"/>
      <c r="Z183" s="16"/>
      <c r="AA183" s="16"/>
    </row>
    <row r="184" spans="1:27">
      <c r="A184" s="16"/>
      <c r="B184" s="16"/>
      <c r="C184" s="152"/>
      <c r="D184" s="156" t="s">
        <v>607</v>
      </c>
      <c r="E184" s="159">
        <v>9.4000000000000004E-3</v>
      </c>
      <c r="F184" s="160">
        <v>3.0999999999999999E-3</v>
      </c>
      <c r="G184" s="151"/>
      <c r="H184" s="151"/>
      <c r="I184" s="16"/>
      <c r="J184" s="16"/>
      <c r="K184" s="16"/>
      <c r="L184" s="16"/>
      <c r="M184" s="16"/>
      <c r="N184" s="16"/>
      <c r="O184" s="16"/>
      <c r="P184" s="16"/>
      <c r="Q184" s="16"/>
      <c r="R184" s="16"/>
      <c r="S184" s="16"/>
      <c r="T184" s="16"/>
      <c r="U184" s="16"/>
      <c r="V184" s="16"/>
      <c r="W184" s="16"/>
      <c r="X184" s="16"/>
      <c r="Y184" s="16"/>
      <c r="Z184" s="16"/>
      <c r="AA184" s="16"/>
    </row>
    <row r="185" spans="1:27">
      <c r="A185" s="16"/>
      <c r="B185" s="16"/>
      <c r="C185" s="152"/>
      <c r="D185" s="156" t="s">
        <v>608</v>
      </c>
      <c r="E185" s="159">
        <v>9.1000000000000004E-3</v>
      </c>
      <c r="F185" s="160">
        <v>2.8999999999999998E-3</v>
      </c>
      <c r="G185" s="151"/>
      <c r="H185" s="151"/>
      <c r="I185" s="16"/>
      <c r="J185" s="16"/>
      <c r="K185" s="16"/>
      <c r="L185" s="16"/>
      <c r="M185" s="16"/>
      <c r="N185" s="16"/>
      <c r="O185" s="16"/>
      <c r="P185" s="16"/>
      <c r="Q185" s="16"/>
      <c r="R185" s="16"/>
      <c r="S185" s="16"/>
      <c r="T185" s="16"/>
      <c r="U185" s="16"/>
      <c r="V185" s="16"/>
      <c r="W185" s="16"/>
      <c r="X185" s="16"/>
      <c r="Y185" s="16"/>
      <c r="Z185" s="16"/>
      <c r="AA185" s="16"/>
    </row>
    <row r="186" spans="1:27">
      <c r="A186" s="16"/>
      <c r="B186" s="16"/>
      <c r="C186" s="152"/>
      <c r="D186" s="156" t="s">
        <v>609</v>
      </c>
      <c r="E186" s="159">
        <v>8.3999999999999995E-3</v>
      </c>
      <c r="F186" s="160">
        <v>1.8E-3</v>
      </c>
      <c r="G186" s="151"/>
      <c r="H186" s="151"/>
      <c r="I186" s="16"/>
      <c r="J186" s="16"/>
      <c r="K186" s="16"/>
      <c r="L186" s="16"/>
      <c r="M186" s="16"/>
      <c r="N186" s="16"/>
      <c r="O186" s="16"/>
      <c r="P186" s="16"/>
      <c r="Q186" s="16"/>
      <c r="R186" s="16"/>
      <c r="S186" s="16"/>
      <c r="T186" s="16"/>
      <c r="U186" s="16"/>
      <c r="V186" s="16"/>
      <c r="W186" s="16"/>
      <c r="X186" s="16"/>
      <c r="Y186" s="16"/>
      <c r="Z186" s="16"/>
      <c r="AA186" s="16"/>
    </row>
    <row r="187" spans="1:27">
      <c r="A187" s="16"/>
      <c r="B187" s="16"/>
      <c r="C187" s="152"/>
      <c r="D187" s="156" t="s">
        <v>610</v>
      </c>
      <c r="E187" s="159">
        <v>8.0999999999999996E-3</v>
      </c>
      <c r="F187" s="160">
        <v>1.5E-3</v>
      </c>
      <c r="G187" s="151"/>
      <c r="H187" s="151"/>
      <c r="I187" s="16"/>
      <c r="J187" s="16"/>
      <c r="K187" s="16"/>
      <c r="L187" s="16"/>
      <c r="M187" s="16"/>
      <c r="N187" s="16"/>
      <c r="O187" s="16"/>
      <c r="P187" s="16"/>
      <c r="Q187" s="16"/>
      <c r="R187" s="16"/>
      <c r="S187" s="16"/>
      <c r="T187" s="16"/>
      <c r="U187" s="16"/>
      <c r="V187" s="16"/>
      <c r="W187" s="16"/>
      <c r="X187" s="16"/>
      <c r="Y187" s="16"/>
      <c r="Z187" s="16"/>
      <c r="AA187" s="16"/>
    </row>
    <row r="188" spans="1:27" ht="13.9" customHeight="1" thickBot="1">
      <c r="A188" s="16"/>
      <c r="B188" s="16"/>
      <c r="C188" s="161"/>
      <c r="D188" s="162" t="s">
        <v>611</v>
      </c>
      <c r="E188" s="163">
        <v>8.0000000000000002E-3</v>
      </c>
      <c r="F188" s="164">
        <v>1.2999999999999999E-3</v>
      </c>
      <c r="G188" s="151"/>
      <c r="H188" s="151"/>
      <c r="I188" s="16"/>
      <c r="J188" s="16"/>
      <c r="K188" s="16"/>
      <c r="L188" s="16"/>
      <c r="M188" s="16"/>
      <c r="N188" s="16"/>
      <c r="O188" s="16"/>
      <c r="P188" s="16"/>
      <c r="Q188" s="16"/>
      <c r="R188" s="16"/>
      <c r="S188" s="16"/>
      <c r="T188" s="16"/>
      <c r="U188" s="16"/>
      <c r="V188" s="16"/>
      <c r="W188" s="16"/>
      <c r="X188" s="16"/>
      <c r="Y188" s="16"/>
      <c r="Z188" s="16"/>
      <c r="AA188" s="16"/>
    </row>
    <row r="189" spans="1:27">
      <c r="A189" s="16"/>
      <c r="B189" s="16"/>
      <c r="C189" s="147" t="s">
        <v>631</v>
      </c>
      <c r="D189" s="148" t="s">
        <v>632</v>
      </c>
      <c r="E189" s="149">
        <v>0.46039999999999998</v>
      </c>
      <c r="F189" s="150">
        <v>4.9700000000000001E-2</v>
      </c>
      <c r="G189" s="151"/>
      <c r="H189" s="151"/>
      <c r="I189" s="16"/>
      <c r="J189" s="16"/>
      <c r="K189" s="16"/>
      <c r="L189" s="16"/>
      <c r="M189" s="16"/>
      <c r="N189" s="16"/>
      <c r="O189" s="16"/>
      <c r="P189" s="16"/>
      <c r="Q189" s="16"/>
      <c r="R189" s="16"/>
      <c r="S189" s="16"/>
      <c r="T189" s="16"/>
      <c r="U189" s="16"/>
      <c r="V189" s="16"/>
      <c r="W189" s="16"/>
      <c r="X189" s="16"/>
      <c r="Y189" s="16"/>
      <c r="Z189" s="16"/>
      <c r="AA189" s="16"/>
    </row>
    <row r="190" spans="1:27">
      <c r="A190" s="16"/>
      <c r="B190" s="16"/>
      <c r="C190" s="152"/>
      <c r="D190" s="156" t="s">
        <v>633</v>
      </c>
      <c r="E190" s="157">
        <v>0.44919999999999999</v>
      </c>
      <c r="F190" s="158">
        <v>5.3800000000000001E-2</v>
      </c>
      <c r="G190" s="151"/>
      <c r="H190" s="151"/>
      <c r="I190" s="16"/>
      <c r="J190" s="16"/>
      <c r="K190" s="16"/>
      <c r="L190" s="16"/>
      <c r="M190" s="16"/>
      <c r="N190" s="16"/>
      <c r="O190" s="16"/>
      <c r="P190" s="16"/>
      <c r="Q190" s="16"/>
      <c r="R190" s="16"/>
      <c r="S190" s="16"/>
      <c r="T190" s="16"/>
      <c r="U190" s="16"/>
      <c r="V190" s="16"/>
      <c r="W190" s="16"/>
      <c r="X190" s="16"/>
      <c r="Y190" s="16"/>
      <c r="Z190" s="16"/>
      <c r="AA190" s="16"/>
    </row>
    <row r="191" spans="1:27">
      <c r="A191" s="16"/>
      <c r="B191" s="16"/>
      <c r="C191" s="152"/>
      <c r="D191" s="156" t="s">
        <v>634</v>
      </c>
      <c r="E191" s="157">
        <v>0.40899999999999997</v>
      </c>
      <c r="F191" s="158">
        <v>5.1499999999999997E-2</v>
      </c>
      <c r="G191" s="151"/>
      <c r="H191" s="151"/>
      <c r="I191" s="16"/>
      <c r="J191" s="16"/>
      <c r="K191" s="16"/>
      <c r="L191" s="16"/>
      <c r="M191" s="16"/>
      <c r="N191" s="16"/>
      <c r="O191" s="16"/>
      <c r="P191" s="16"/>
      <c r="Q191" s="16"/>
      <c r="R191" s="16"/>
      <c r="S191" s="16"/>
      <c r="T191" s="16"/>
      <c r="U191" s="16"/>
      <c r="V191" s="16"/>
      <c r="W191" s="16"/>
      <c r="X191" s="16"/>
      <c r="Y191" s="16"/>
      <c r="Z191" s="16"/>
      <c r="AA191" s="16"/>
    </row>
    <row r="192" spans="1:27">
      <c r="A192" s="16"/>
      <c r="B192" s="16"/>
      <c r="C192" s="152"/>
      <c r="D192" s="156" t="s">
        <v>635</v>
      </c>
      <c r="E192" s="157">
        <v>0.36749999999999999</v>
      </c>
      <c r="F192" s="158">
        <v>8.4900000000000003E-2</v>
      </c>
      <c r="G192" s="151"/>
      <c r="H192" s="151"/>
      <c r="I192" s="16"/>
      <c r="J192" s="16"/>
      <c r="K192" s="16"/>
      <c r="L192" s="16"/>
      <c r="M192" s="16"/>
      <c r="N192" s="16"/>
      <c r="O192" s="16"/>
      <c r="P192" s="16"/>
      <c r="Q192" s="16"/>
      <c r="R192" s="16"/>
      <c r="S192" s="16"/>
      <c r="T192" s="16"/>
      <c r="U192" s="16"/>
      <c r="V192" s="16"/>
      <c r="W192" s="16"/>
      <c r="X192" s="16"/>
      <c r="Y192" s="16"/>
      <c r="Z192" s="16"/>
      <c r="AA192" s="16"/>
    </row>
    <row r="193" spans="1:27">
      <c r="A193" s="16"/>
      <c r="B193" s="16"/>
      <c r="C193" s="152"/>
      <c r="D193" s="156" t="s">
        <v>636</v>
      </c>
      <c r="E193" s="157">
        <v>0.34920000000000001</v>
      </c>
      <c r="F193" s="158">
        <v>9.3299999999999994E-2</v>
      </c>
      <c r="G193" s="151"/>
      <c r="H193" s="151"/>
      <c r="I193" s="16"/>
      <c r="J193" s="16"/>
      <c r="K193" s="16"/>
      <c r="L193" s="16"/>
      <c r="M193" s="16"/>
      <c r="N193" s="16"/>
      <c r="O193" s="16"/>
      <c r="P193" s="16"/>
      <c r="Q193" s="16"/>
      <c r="R193" s="16"/>
      <c r="S193" s="16"/>
      <c r="T193" s="16"/>
      <c r="U193" s="16"/>
      <c r="V193" s="16"/>
      <c r="W193" s="16"/>
      <c r="X193" s="16"/>
      <c r="Y193" s="16"/>
      <c r="Z193" s="16"/>
      <c r="AA193" s="16"/>
    </row>
    <row r="194" spans="1:27">
      <c r="A194" s="16"/>
      <c r="B194" s="16"/>
      <c r="C194" s="152"/>
      <c r="D194" s="156" t="s">
        <v>637</v>
      </c>
      <c r="E194" s="157">
        <v>0.3246</v>
      </c>
      <c r="F194" s="158">
        <v>0.1142</v>
      </c>
      <c r="G194" s="151"/>
      <c r="H194" s="151"/>
      <c r="I194" s="16"/>
      <c r="J194" s="16"/>
      <c r="K194" s="16"/>
      <c r="L194" s="16"/>
      <c r="M194" s="16"/>
      <c r="N194" s="16"/>
      <c r="O194" s="16"/>
      <c r="P194" s="16"/>
      <c r="Q194" s="16"/>
      <c r="R194" s="16"/>
      <c r="S194" s="16"/>
      <c r="T194" s="16"/>
      <c r="U194" s="16"/>
      <c r="V194" s="16"/>
      <c r="W194" s="16"/>
      <c r="X194" s="16"/>
      <c r="Y194" s="16"/>
      <c r="Z194" s="16"/>
      <c r="AA194" s="16"/>
    </row>
    <row r="195" spans="1:27">
      <c r="A195" s="16"/>
      <c r="B195" s="16"/>
      <c r="C195" s="152"/>
      <c r="D195" s="156" t="s">
        <v>624</v>
      </c>
      <c r="E195" s="157">
        <v>0.1278</v>
      </c>
      <c r="F195" s="158">
        <v>0.16800000000000001</v>
      </c>
      <c r="G195" s="151"/>
      <c r="H195" s="151"/>
      <c r="I195" s="16"/>
      <c r="J195" s="16"/>
      <c r="K195" s="16"/>
      <c r="L195" s="16"/>
      <c r="M195" s="16"/>
      <c r="N195" s="16"/>
      <c r="O195" s="16"/>
      <c r="P195" s="16"/>
      <c r="Q195" s="16"/>
      <c r="R195" s="16"/>
      <c r="S195" s="16"/>
      <c r="T195" s="16"/>
      <c r="U195" s="16"/>
      <c r="V195" s="16"/>
      <c r="W195" s="16"/>
      <c r="X195" s="16"/>
      <c r="Y195" s="16"/>
      <c r="Z195" s="16"/>
      <c r="AA195" s="16"/>
    </row>
    <row r="196" spans="1:27">
      <c r="A196" s="16"/>
      <c r="B196" s="16"/>
      <c r="C196" s="152"/>
      <c r="D196" s="156" t="s">
        <v>625</v>
      </c>
      <c r="E196" s="157">
        <v>9.2399999999999996E-2</v>
      </c>
      <c r="F196" s="158">
        <v>0.1726</v>
      </c>
      <c r="G196" s="151"/>
      <c r="H196" s="151"/>
      <c r="I196" s="16"/>
      <c r="J196" s="16"/>
      <c r="K196" s="16"/>
      <c r="L196" s="16"/>
      <c r="M196" s="16"/>
      <c r="N196" s="16"/>
      <c r="O196" s="16"/>
      <c r="P196" s="16"/>
      <c r="Q196" s="16"/>
      <c r="R196" s="16"/>
      <c r="S196" s="16"/>
      <c r="T196" s="16"/>
      <c r="U196" s="16"/>
      <c r="V196" s="16"/>
      <c r="W196" s="16"/>
      <c r="X196" s="16"/>
      <c r="Y196" s="16"/>
      <c r="Z196" s="16"/>
      <c r="AA196" s="16"/>
    </row>
    <row r="197" spans="1:27">
      <c r="A197" s="16"/>
      <c r="B197" s="16"/>
      <c r="C197" s="152"/>
      <c r="D197" s="156" t="s">
        <v>626</v>
      </c>
      <c r="E197" s="157">
        <v>6.5500000000000003E-2</v>
      </c>
      <c r="F197" s="158">
        <v>0.17499999999999999</v>
      </c>
      <c r="G197" s="151"/>
      <c r="H197" s="151"/>
      <c r="I197" s="16"/>
      <c r="J197" s="16"/>
      <c r="K197" s="16"/>
      <c r="L197" s="16"/>
      <c r="M197" s="16"/>
      <c r="N197" s="16"/>
      <c r="O197" s="16"/>
      <c r="P197" s="16"/>
      <c r="Q197" s="16"/>
      <c r="R197" s="16"/>
      <c r="S197" s="16"/>
      <c r="T197" s="16"/>
      <c r="U197" s="16"/>
      <c r="V197" s="16"/>
      <c r="W197" s="16"/>
      <c r="X197" s="16"/>
      <c r="Y197" s="16"/>
      <c r="Z197" s="16"/>
      <c r="AA197" s="16"/>
    </row>
    <row r="198" spans="1:27">
      <c r="A198" s="16"/>
      <c r="B198" s="16"/>
      <c r="C198" s="152"/>
      <c r="D198" s="156" t="s">
        <v>627</v>
      </c>
      <c r="E198" s="157">
        <v>6.4799999999999996E-2</v>
      </c>
      <c r="F198" s="158">
        <v>0.1724</v>
      </c>
      <c r="G198" s="151"/>
      <c r="H198" s="151"/>
      <c r="I198" s="16"/>
      <c r="J198" s="16"/>
      <c r="K198" s="16"/>
      <c r="L198" s="16"/>
      <c r="M198" s="16"/>
      <c r="N198" s="16"/>
      <c r="O198" s="16"/>
      <c r="P198" s="16"/>
      <c r="Q198" s="16"/>
      <c r="R198" s="16"/>
      <c r="S198" s="16"/>
      <c r="T198" s="16"/>
      <c r="U198" s="16"/>
      <c r="V198" s="16"/>
      <c r="W198" s="16"/>
      <c r="X198" s="16"/>
      <c r="Y198" s="16"/>
      <c r="Z198" s="16"/>
      <c r="AA198" s="16"/>
    </row>
    <row r="199" spans="1:27">
      <c r="A199" s="16"/>
      <c r="B199" s="16"/>
      <c r="C199" s="152"/>
      <c r="D199" s="156" t="s">
        <v>628</v>
      </c>
      <c r="E199" s="157">
        <v>6.3E-2</v>
      </c>
      <c r="F199" s="158">
        <v>0.16600000000000001</v>
      </c>
      <c r="G199" s="151"/>
      <c r="H199" s="151"/>
      <c r="I199" s="16"/>
      <c r="J199" s="16"/>
      <c r="K199" s="16"/>
      <c r="L199" s="16"/>
      <c r="M199" s="16"/>
      <c r="N199" s="16"/>
      <c r="O199" s="16"/>
      <c r="P199" s="16"/>
      <c r="Q199" s="16"/>
      <c r="R199" s="16"/>
      <c r="S199" s="16"/>
      <c r="T199" s="16"/>
      <c r="U199" s="16"/>
      <c r="V199" s="16"/>
      <c r="W199" s="16"/>
      <c r="X199" s="16"/>
      <c r="Y199" s="16"/>
      <c r="Z199" s="16"/>
      <c r="AA199" s="16"/>
    </row>
    <row r="200" spans="1:27">
      <c r="A200" s="16"/>
      <c r="B200" s="16"/>
      <c r="C200" s="152"/>
      <c r="D200" s="156" t="s">
        <v>629</v>
      </c>
      <c r="E200" s="157">
        <v>5.7700000000000001E-2</v>
      </c>
      <c r="F200" s="158">
        <v>0.14680000000000001</v>
      </c>
      <c r="G200" s="151"/>
      <c r="H200" s="151"/>
      <c r="I200" s="16"/>
      <c r="J200" s="16"/>
      <c r="K200" s="16"/>
      <c r="L200" s="16"/>
      <c r="M200" s="16"/>
      <c r="N200" s="16"/>
      <c r="O200" s="16"/>
      <c r="P200" s="16"/>
      <c r="Q200" s="16"/>
      <c r="R200" s="16"/>
      <c r="S200" s="16"/>
      <c r="T200" s="16"/>
      <c r="U200" s="16"/>
      <c r="V200" s="16"/>
      <c r="W200" s="16"/>
      <c r="X200" s="16"/>
      <c r="Y200" s="16"/>
      <c r="Z200" s="16"/>
      <c r="AA200" s="16"/>
    </row>
    <row r="201" spans="1:27">
      <c r="A201" s="16"/>
      <c r="B201" s="16"/>
      <c r="C201" s="152"/>
      <c r="D201" s="156" t="s">
        <v>630</v>
      </c>
      <c r="E201" s="157">
        <v>6.3399999999999998E-2</v>
      </c>
      <c r="F201" s="158">
        <v>0.1673</v>
      </c>
      <c r="G201" s="151"/>
      <c r="H201" s="151"/>
      <c r="I201" s="16"/>
      <c r="J201" s="16"/>
      <c r="K201" s="16"/>
      <c r="L201" s="16"/>
      <c r="M201" s="16"/>
      <c r="N201" s="16"/>
      <c r="O201" s="16"/>
      <c r="P201" s="16"/>
      <c r="Q201" s="16"/>
      <c r="R201" s="16"/>
      <c r="S201" s="16"/>
      <c r="T201" s="16"/>
      <c r="U201" s="16"/>
      <c r="V201" s="16"/>
      <c r="W201" s="16"/>
      <c r="X201" s="16"/>
      <c r="Y201" s="16"/>
      <c r="Z201" s="16"/>
      <c r="AA201" s="16"/>
    </row>
    <row r="202" spans="1:27">
      <c r="A202" s="16"/>
      <c r="B202" s="16"/>
      <c r="C202" s="152"/>
      <c r="D202" s="156" t="s">
        <v>595</v>
      </c>
      <c r="E202" s="157">
        <v>6.0199999999999997E-2</v>
      </c>
      <c r="F202" s="158">
        <v>0.15529999999999999</v>
      </c>
      <c r="G202" s="151"/>
      <c r="H202" s="151"/>
      <c r="I202" s="16"/>
      <c r="J202" s="16"/>
      <c r="K202" s="16"/>
      <c r="L202" s="16"/>
      <c r="M202" s="16"/>
      <c r="N202" s="16"/>
      <c r="O202" s="16"/>
      <c r="P202" s="16"/>
      <c r="Q202" s="16"/>
      <c r="R202" s="16"/>
      <c r="S202" s="16"/>
      <c r="T202" s="16"/>
      <c r="U202" s="16"/>
      <c r="V202" s="16"/>
      <c r="W202" s="16"/>
      <c r="X202" s="16"/>
      <c r="Y202" s="16"/>
      <c r="Z202" s="16"/>
      <c r="AA202" s="16"/>
    </row>
    <row r="203" spans="1:27">
      <c r="A203" s="16"/>
      <c r="B203" s="16"/>
      <c r="C203" s="152"/>
      <c r="D203" s="156" t="s">
        <v>596</v>
      </c>
      <c r="E203" s="157">
        <v>2.98E-2</v>
      </c>
      <c r="F203" s="158">
        <v>1.6400000000000001E-2</v>
      </c>
      <c r="G203" s="151"/>
      <c r="H203" s="151"/>
      <c r="I203" s="16"/>
      <c r="J203" s="16"/>
      <c r="K203" s="16"/>
      <c r="L203" s="16"/>
      <c r="M203" s="16"/>
      <c r="N203" s="16"/>
      <c r="O203" s="16"/>
      <c r="P203" s="16"/>
      <c r="Q203" s="16"/>
      <c r="R203" s="16"/>
      <c r="S203" s="16"/>
      <c r="T203" s="16"/>
      <c r="U203" s="16"/>
      <c r="V203" s="16"/>
      <c r="W203" s="16"/>
      <c r="X203" s="16"/>
      <c r="Y203" s="16"/>
      <c r="Z203" s="16"/>
      <c r="AA203" s="16"/>
    </row>
    <row r="204" spans="1:27">
      <c r="A204" s="16"/>
      <c r="B204" s="16"/>
      <c r="C204" s="152"/>
      <c r="D204" s="156" t="s">
        <v>597</v>
      </c>
      <c r="E204" s="157">
        <v>2.9700000000000001E-2</v>
      </c>
      <c r="F204" s="158">
        <v>8.3000000000000001E-3</v>
      </c>
      <c r="G204" s="151"/>
      <c r="H204" s="151"/>
      <c r="I204" s="16"/>
      <c r="J204" s="16"/>
      <c r="K204" s="16"/>
      <c r="L204" s="16"/>
      <c r="M204" s="16"/>
      <c r="N204" s="16"/>
      <c r="O204" s="16"/>
      <c r="P204" s="16"/>
      <c r="Q204" s="16"/>
      <c r="R204" s="16"/>
      <c r="S204" s="16"/>
      <c r="T204" s="16"/>
      <c r="U204" s="16"/>
      <c r="V204" s="16"/>
      <c r="W204" s="16"/>
      <c r="X204" s="16"/>
      <c r="Y204" s="16"/>
      <c r="Z204" s="16"/>
      <c r="AA204" s="16"/>
    </row>
    <row r="205" spans="1:27">
      <c r="A205" s="16"/>
      <c r="B205" s="16"/>
      <c r="C205" s="152"/>
      <c r="D205" s="156" t="s">
        <v>598</v>
      </c>
      <c r="E205" s="157">
        <v>2.9899999999999999E-2</v>
      </c>
      <c r="F205" s="158">
        <v>2.41E-2</v>
      </c>
      <c r="G205" s="151"/>
      <c r="H205" s="151"/>
      <c r="I205" s="16"/>
      <c r="J205" s="16"/>
      <c r="K205" s="16"/>
      <c r="L205" s="16"/>
      <c r="M205" s="16"/>
      <c r="N205" s="16"/>
      <c r="O205" s="16"/>
      <c r="P205" s="16"/>
      <c r="Q205" s="16"/>
      <c r="R205" s="16"/>
      <c r="S205" s="16"/>
      <c r="T205" s="16"/>
      <c r="U205" s="16"/>
      <c r="V205" s="16"/>
      <c r="W205" s="16"/>
      <c r="X205" s="16"/>
      <c r="Y205" s="16"/>
      <c r="Z205" s="16"/>
      <c r="AA205" s="16"/>
    </row>
    <row r="206" spans="1:27">
      <c r="A206" s="16"/>
      <c r="B206" s="16"/>
      <c r="C206" s="152"/>
      <c r="D206" s="156" t="s">
        <v>599</v>
      </c>
      <c r="E206" s="157">
        <v>3.2199999999999999E-2</v>
      </c>
      <c r="F206" s="158">
        <v>1.5E-3</v>
      </c>
      <c r="G206" s="151"/>
      <c r="H206" s="151"/>
      <c r="I206" s="16"/>
      <c r="J206" s="16"/>
      <c r="K206" s="16"/>
      <c r="L206" s="16"/>
      <c r="M206" s="16"/>
      <c r="N206" s="16"/>
      <c r="O206" s="16"/>
      <c r="P206" s="16"/>
      <c r="Q206" s="16"/>
      <c r="R206" s="16"/>
      <c r="S206" s="16"/>
      <c r="T206" s="16"/>
      <c r="U206" s="16"/>
      <c r="V206" s="16"/>
      <c r="W206" s="16"/>
      <c r="X206" s="16"/>
      <c r="Y206" s="16"/>
      <c r="Z206" s="16"/>
      <c r="AA206" s="16"/>
    </row>
    <row r="207" spans="1:27">
      <c r="A207" s="16"/>
      <c r="B207" s="16"/>
      <c r="C207" s="152"/>
      <c r="D207" s="156" t="s">
        <v>600</v>
      </c>
      <c r="E207" s="159">
        <v>3.4000000000000002E-2</v>
      </c>
      <c r="F207" s="160">
        <v>1.5E-3</v>
      </c>
      <c r="G207" s="151"/>
      <c r="H207" s="151"/>
      <c r="I207" s="16"/>
      <c r="J207" s="16"/>
      <c r="K207" s="16"/>
      <c r="L207" s="16"/>
      <c r="M207" s="16"/>
      <c r="N207" s="16"/>
      <c r="O207" s="16"/>
      <c r="P207" s="16"/>
      <c r="Q207" s="16"/>
      <c r="R207" s="16"/>
      <c r="S207" s="16"/>
      <c r="T207" s="16"/>
      <c r="U207" s="16"/>
      <c r="V207" s="16"/>
      <c r="W207" s="16"/>
      <c r="X207" s="16"/>
      <c r="Y207" s="16"/>
      <c r="Z207" s="16"/>
      <c r="AA207" s="16"/>
    </row>
    <row r="208" spans="1:27">
      <c r="A208" s="16"/>
      <c r="B208" s="16"/>
      <c r="C208" s="152"/>
      <c r="D208" s="156" t="s">
        <v>601</v>
      </c>
      <c r="E208" s="159">
        <v>3.39E-2</v>
      </c>
      <c r="F208" s="160">
        <v>1.5E-3</v>
      </c>
      <c r="G208" s="151"/>
      <c r="H208" s="151"/>
      <c r="I208" s="16"/>
      <c r="J208" s="16"/>
      <c r="K208" s="16"/>
      <c r="L208" s="16"/>
      <c r="M208" s="16"/>
      <c r="N208" s="16"/>
      <c r="O208" s="16"/>
      <c r="P208" s="16"/>
      <c r="Q208" s="16"/>
      <c r="R208" s="16"/>
      <c r="S208" s="16"/>
      <c r="T208" s="16"/>
      <c r="U208" s="16"/>
      <c r="V208" s="16"/>
      <c r="W208" s="16"/>
      <c r="X208" s="16"/>
      <c r="Y208" s="16"/>
      <c r="Z208" s="16"/>
      <c r="AA208" s="16"/>
    </row>
    <row r="209" spans="1:27">
      <c r="A209" s="16"/>
      <c r="B209" s="16"/>
      <c r="C209" s="152"/>
      <c r="D209" s="156" t="s">
        <v>602</v>
      </c>
      <c r="E209" s="159">
        <v>3.2000000000000001E-2</v>
      </c>
      <c r="F209" s="160">
        <v>1.5E-3</v>
      </c>
      <c r="G209" s="151"/>
      <c r="H209" s="151"/>
      <c r="I209" s="16"/>
      <c r="J209" s="16"/>
      <c r="K209" s="16"/>
      <c r="L209" s="16"/>
      <c r="M209" s="16"/>
      <c r="N209" s="16"/>
      <c r="O209" s="16"/>
      <c r="P209" s="16"/>
      <c r="Q209" s="16"/>
      <c r="R209" s="16"/>
      <c r="S209" s="16"/>
      <c r="T209" s="16"/>
      <c r="U209" s="16"/>
      <c r="V209" s="16"/>
      <c r="W209" s="16"/>
      <c r="X209" s="16"/>
      <c r="Y209" s="16"/>
      <c r="Z209" s="16"/>
      <c r="AA209" s="16"/>
    </row>
    <row r="210" spans="1:27">
      <c r="A210" s="16"/>
      <c r="B210" s="16"/>
      <c r="C210" s="152"/>
      <c r="D210" s="156" t="s">
        <v>603</v>
      </c>
      <c r="E210" s="159">
        <v>3.04E-2</v>
      </c>
      <c r="F210" s="160">
        <v>1.5E-3</v>
      </c>
      <c r="G210" s="151"/>
      <c r="H210" s="151"/>
      <c r="I210" s="16"/>
      <c r="J210" s="16"/>
      <c r="K210" s="16"/>
      <c r="L210" s="16"/>
      <c r="M210" s="16"/>
      <c r="N210" s="16"/>
      <c r="O210" s="16"/>
      <c r="P210" s="16"/>
      <c r="Q210" s="16"/>
      <c r="R210" s="16"/>
      <c r="S210" s="16"/>
      <c r="T210" s="16"/>
      <c r="U210" s="16"/>
      <c r="V210" s="16"/>
      <c r="W210" s="16"/>
      <c r="X210" s="16"/>
      <c r="Y210" s="16"/>
      <c r="Z210" s="16"/>
      <c r="AA210" s="16"/>
    </row>
    <row r="211" spans="1:27">
      <c r="A211" s="16"/>
      <c r="B211" s="16"/>
      <c r="C211" s="152"/>
      <c r="D211" s="156" t="s">
        <v>604</v>
      </c>
      <c r="E211" s="159">
        <v>3.1300000000000001E-2</v>
      </c>
      <c r="F211" s="160">
        <v>1.5E-3</v>
      </c>
      <c r="G211" s="151"/>
      <c r="H211" s="151"/>
      <c r="I211" s="16"/>
      <c r="J211" s="16"/>
      <c r="K211" s="16"/>
      <c r="L211" s="16"/>
      <c r="M211" s="16"/>
      <c r="N211" s="16"/>
      <c r="O211" s="16"/>
      <c r="P211" s="16"/>
      <c r="Q211" s="16"/>
      <c r="R211" s="16"/>
      <c r="S211" s="16"/>
      <c r="T211" s="16"/>
      <c r="U211" s="16"/>
      <c r="V211" s="16"/>
      <c r="W211" s="16"/>
      <c r="X211" s="16"/>
      <c r="Y211" s="16"/>
      <c r="Z211" s="16"/>
      <c r="AA211" s="16"/>
    </row>
    <row r="212" spans="1:27">
      <c r="A212" s="16"/>
      <c r="B212" s="16"/>
      <c r="C212" s="152"/>
      <c r="D212" s="156" t="s">
        <v>605</v>
      </c>
      <c r="E212" s="159">
        <v>3.1300000000000001E-2</v>
      </c>
      <c r="F212" s="160">
        <v>1.5E-3</v>
      </c>
      <c r="G212" s="151"/>
      <c r="H212" s="151"/>
      <c r="I212" s="16"/>
      <c r="J212" s="16"/>
      <c r="K212" s="16"/>
      <c r="L212" s="16"/>
      <c r="M212" s="16"/>
      <c r="N212" s="16"/>
      <c r="O212" s="16"/>
      <c r="P212" s="16"/>
      <c r="Q212" s="16"/>
      <c r="R212" s="16"/>
      <c r="S212" s="16"/>
      <c r="T212" s="16"/>
      <c r="U212" s="16"/>
      <c r="V212" s="16"/>
      <c r="W212" s="16"/>
      <c r="X212" s="16"/>
      <c r="Y212" s="16"/>
      <c r="Z212" s="16"/>
      <c r="AA212" s="16"/>
    </row>
    <row r="213" spans="1:27">
      <c r="A213" s="16"/>
      <c r="B213" s="16"/>
      <c r="C213" s="152"/>
      <c r="D213" s="156" t="s">
        <v>606</v>
      </c>
      <c r="E213" s="159">
        <v>3.15E-2</v>
      </c>
      <c r="F213" s="160">
        <v>1.5E-3</v>
      </c>
      <c r="G213" s="151"/>
      <c r="H213" s="151"/>
      <c r="I213" s="16"/>
      <c r="J213" s="16"/>
      <c r="K213" s="16"/>
      <c r="L213" s="16"/>
      <c r="M213" s="16"/>
      <c r="N213" s="16"/>
      <c r="O213" s="16"/>
      <c r="P213" s="16"/>
      <c r="Q213" s="16"/>
      <c r="R213" s="16"/>
      <c r="S213" s="16"/>
      <c r="T213" s="16"/>
      <c r="U213" s="16"/>
      <c r="V213" s="16"/>
      <c r="W213" s="16"/>
      <c r="X213" s="16"/>
      <c r="Y213" s="16"/>
      <c r="Z213" s="16"/>
      <c r="AA213" s="16"/>
    </row>
    <row r="214" spans="1:27">
      <c r="A214" s="16"/>
      <c r="B214" s="16"/>
      <c r="C214" s="152"/>
      <c r="D214" s="156" t="s">
        <v>607</v>
      </c>
      <c r="E214" s="159">
        <v>3.32E-2</v>
      </c>
      <c r="F214" s="160">
        <v>2.0999999999999999E-3</v>
      </c>
      <c r="G214" s="151"/>
      <c r="H214" s="151"/>
      <c r="I214" s="16"/>
      <c r="J214" s="16"/>
      <c r="K214" s="16"/>
      <c r="L214" s="16"/>
      <c r="M214" s="16"/>
      <c r="N214" s="16"/>
      <c r="O214" s="16"/>
      <c r="P214" s="16"/>
      <c r="Q214" s="16"/>
      <c r="R214" s="16"/>
      <c r="S214" s="16"/>
      <c r="T214" s="16"/>
      <c r="U214" s="16"/>
      <c r="V214" s="16"/>
      <c r="W214" s="16"/>
      <c r="X214" s="16"/>
      <c r="Y214" s="16"/>
      <c r="Z214" s="16"/>
      <c r="AA214" s="16"/>
    </row>
    <row r="215" spans="1:27">
      <c r="A215" s="16"/>
      <c r="B215" s="16"/>
      <c r="C215" s="152"/>
      <c r="D215" s="156" t="s">
        <v>608</v>
      </c>
      <c r="E215" s="159">
        <v>3.2099999999999997E-2</v>
      </c>
      <c r="F215" s="160">
        <v>6.1000000000000004E-3</v>
      </c>
      <c r="G215" s="151"/>
      <c r="H215" s="151"/>
      <c r="I215" s="16"/>
      <c r="J215" s="16"/>
      <c r="K215" s="16"/>
      <c r="L215" s="16"/>
      <c r="M215" s="16"/>
      <c r="N215" s="16"/>
      <c r="O215" s="16"/>
      <c r="P215" s="16"/>
      <c r="Q215" s="16"/>
      <c r="R215" s="16"/>
      <c r="S215" s="16"/>
      <c r="T215" s="16"/>
      <c r="U215" s="16"/>
      <c r="V215" s="16"/>
      <c r="W215" s="16"/>
      <c r="X215" s="16"/>
      <c r="Y215" s="16"/>
      <c r="Z215" s="16"/>
      <c r="AA215" s="16"/>
    </row>
    <row r="216" spans="1:27">
      <c r="A216" s="16"/>
      <c r="B216" s="16"/>
      <c r="C216" s="152"/>
      <c r="D216" s="156" t="s">
        <v>609</v>
      </c>
      <c r="E216" s="159">
        <v>3.2899999999999999E-2</v>
      </c>
      <c r="F216" s="160">
        <v>8.3999999999999995E-3</v>
      </c>
      <c r="G216" s="151"/>
      <c r="H216" s="151"/>
      <c r="I216" s="16"/>
      <c r="J216" s="16"/>
      <c r="K216" s="16"/>
      <c r="L216" s="16"/>
      <c r="M216" s="16"/>
      <c r="N216" s="16"/>
      <c r="O216" s="16"/>
      <c r="P216" s="16"/>
      <c r="Q216" s="16"/>
      <c r="R216" s="16"/>
      <c r="S216" s="16"/>
      <c r="T216" s="16"/>
      <c r="U216" s="16"/>
      <c r="V216" s="16"/>
      <c r="W216" s="16"/>
      <c r="X216" s="16"/>
      <c r="Y216" s="16"/>
      <c r="Z216" s="16"/>
      <c r="AA216" s="16"/>
    </row>
    <row r="217" spans="1:27">
      <c r="A217" s="16"/>
      <c r="B217" s="16"/>
      <c r="C217" s="152"/>
      <c r="D217" s="156" t="s">
        <v>610</v>
      </c>
      <c r="E217" s="159">
        <v>3.2599999999999997E-2</v>
      </c>
      <c r="F217" s="160">
        <v>8.2000000000000007E-3</v>
      </c>
      <c r="G217" s="151"/>
      <c r="H217" s="151"/>
      <c r="I217" s="16"/>
      <c r="J217" s="16"/>
      <c r="K217" s="16"/>
      <c r="L217" s="16"/>
      <c r="M217" s="16"/>
      <c r="N217" s="16"/>
      <c r="O217" s="16"/>
      <c r="P217" s="16"/>
      <c r="Q217" s="16"/>
      <c r="R217" s="16"/>
      <c r="S217" s="16"/>
      <c r="T217" s="16"/>
      <c r="U217" s="16"/>
      <c r="V217" s="16"/>
      <c r="W217" s="16"/>
      <c r="X217" s="16"/>
      <c r="Y217" s="16"/>
      <c r="Z217" s="16"/>
      <c r="AA217" s="16"/>
    </row>
    <row r="218" spans="1:27" ht="13.9" customHeight="1" thickBot="1">
      <c r="A218" s="16"/>
      <c r="B218" s="16"/>
      <c r="C218" s="161"/>
      <c r="D218" s="162" t="s">
        <v>611</v>
      </c>
      <c r="E218" s="163">
        <v>3.3000000000000002E-2</v>
      </c>
      <c r="F218" s="164">
        <v>9.1000000000000004E-3</v>
      </c>
      <c r="G218" s="151"/>
      <c r="H218" s="151"/>
      <c r="I218" s="16"/>
      <c r="J218" s="16"/>
      <c r="K218" s="16"/>
      <c r="L218" s="16"/>
      <c r="M218" s="16"/>
      <c r="N218" s="16"/>
      <c r="O218" s="16"/>
      <c r="P218" s="16"/>
      <c r="Q218" s="16"/>
      <c r="R218" s="16"/>
      <c r="S218" s="16"/>
      <c r="T218" s="16"/>
      <c r="U218" s="16"/>
      <c r="V218" s="16"/>
      <c r="W218" s="16"/>
      <c r="X218" s="16"/>
      <c r="Y218" s="16"/>
      <c r="Z218" s="16"/>
      <c r="AA218" s="16"/>
    </row>
    <row r="219" spans="1:27">
      <c r="A219" s="16"/>
      <c r="B219" s="16"/>
      <c r="C219" s="383" t="s">
        <v>638</v>
      </c>
      <c r="D219" s="148" t="s">
        <v>639</v>
      </c>
      <c r="E219" s="165">
        <v>8.9899999999999994E-2</v>
      </c>
      <c r="F219" s="166">
        <v>8.6999999999999994E-3</v>
      </c>
      <c r="G219" s="151"/>
      <c r="H219" s="151"/>
      <c r="I219" s="16"/>
      <c r="J219" s="16"/>
      <c r="K219" s="16"/>
      <c r="L219" s="16"/>
      <c r="M219" s="16"/>
      <c r="N219" s="16"/>
      <c r="O219" s="16"/>
      <c r="P219" s="16"/>
      <c r="Q219" s="16"/>
      <c r="R219" s="16"/>
      <c r="S219" s="16"/>
      <c r="T219" s="16"/>
      <c r="U219" s="16"/>
      <c r="V219" s="16"/>
      <c r="W219" s="16"/>
      <c r="X219" s="16"/>
      <c r="Y219" s="16"/>
      <c r="Z219" s="16"/>
      <c r="AA219" s="16"/>
    </row>
    <row r="220" spans="1:27" ht="13.9" customHeight="1" thickBot="1">
      <c r="A220" s="16"/>
      <c r="B220" s="16"/>
      <c r="C220" s="344"/>
      <c r="D220" s="167" t="s">
        <v>640</v>
      </c>
      <c r="E220" s="168">
        <v>6.7199999999999996E-2</v>
      </c>
      <c r="F220" s="169">
        <v>6.8999999999999999E-3</v>
      </c>
      <c r="G220" s="151"/>
      <c r="H220" s="151"/>
      <c r="I220" s="16"/>
      <c r="J220" s="16"/>
      <c r="K220" s="16"/>
      <c r="L220" s="16"/>
      <c r="M220" s="16"/>
      <c r="N220" s="16"/>
      <c r="O220" s="16"/>
      <c r="P220" s="16"/>
      <c r="Q220" s="16"/>
      <c r="R220" s="16"/>
      <c r="S220" s="16"/>
      <c r="T220" s="16"/>
      <c r="U220" s="16"/>
      <c r="V220" s="16"/>
      <c r="W220" s="16"/>
      <c r="X220" s="16"/>
      <c r="Y220" s="16"/>
      <c r="Z220" s="16"/>
      <c r="AA220" s="16"/>
    </row>
    <row r="221" spans="1:27">
      <c r="A221" s="16"/>
      <c r="B221" s="17"/>
      <c r="C221" s="37" t="s">
        <v>641</v>
      </c>
      <c r="D221" s="16"/>
      <c r="E221" s="16"/>
      <c r="F221" s="16"/>
      <c r="G221" s="16"/>
      <c r="H221" s="16"/>
      <c r="I221" s="22"/>
      <c r="J221" s="16"/>
      <c r="K221" s="16"/>
      <c r="L221" s="16"/>
      <c r="M221" s="16"/>
      <c r="N221" s="16"/>
      <c r="O221" s="16"/>
      <c r="P221" s="16"/>
      <c r="Q221" s="16"/>
      <c r="R221" s="16"/>
      <c r="S221" s="16"/>
      <c r="T221" s="16"/>
      <c r="U221" s="16"/>
      <c r="V221" s="16"/>
      <c r="W221" s="16"/>
      <c r="X221" s="16"/>
      <c r="Y221" s="16"/>
      <c r="Z221" s="16"/>
      <c r="AA221" s="16"/>
    </row>
    <row r="222" spans="1:27">
      <c r="A222" s="16"/>
      <c r="B222" s="17"/>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8" customHeight="1">
      <c r="B223" s="137" t="s">
        <v>642</v>
      </c>
      <c r="C223" s="138" t="s">
        <v>643</v>
      </c>
      <c r="D223" s="140"/>
      <c r="E223" s="140"/>
      <c r="F223" s="140"/>
      <c r="G223" s="140"/>
      <c r="H223" s="140"/>
      <c r="I223" s="140"/>
      <c r="J223" s="140"/>
      <c r="K223" s="140"/>
      <c r="L223" s="141"/>
      <c r="M223" s="16"/>
      <c r="N223" s="16"/>
      <c r="O223" s="16"/>
      <c r="P223" s="16"/>
      <c r="Q223" s="16"/>
      <c r="R223" s="16"/>
      <c r="S223" s="16"/>
      <c r="T223" s="16"/>
      <c r="U223" s="16"/>
      <c r="V223" s="16"/>
      <c r="W223" s="16"/>
      <c r="X223" s="16"/>
      <c r="Y223" s="16"/>
      <c r="Z223" s="16"/>
      <c r="AA223" s="16"/>
    </row>
    <row r="224" spans="1:27" ht="13.9" customHeight="1" thickBot="1">
      <c r="A224" s="16"/>
      <c r="B224" s="16"/>
      <c r="C224" s="115"/>
      <c r="D224" s="115"/>
      <c r="E224" s="115"/>
      <c r="F224" s="115"/>
      <c r="G224" s="16"/>
      <c r="H224" s="16"/>
      <c r="I224" s="16"/>
      <c r="J224" s="16"/>
      <c r="K224" s="16"/>
      <c r="L224" s="16"/>
      <c r="M224" s="16"/>
      <c r="N224" s="16"/>
      <c r="O224" s="16"/>
      <c r="P224" s="16"/>
      <c r="Q224" s="16"/>
      <c r="R224" s="16"/>
      <c r="S224" s="16"/>
      <c r="T224" s="16"/>
      <c r="U224" s="16"/>
      <c r="V224" s="16"/>
      <c r="W224" s="16"/>
      <c r="X224" s="16"/>
      <c r="Y224" s="16"/>
      <c r="Z224" s="16"/>
      <c r="AA224" s="16"/>
    </row>
    <row r="225" spans="1:27" ht="29.45" customHeight="1" thickBot="1">
      <c r="A225" s="16"/>
      <c r="B225" s="16"/>
      <c r="C225" s="170" t="s">
        <v>573</v>
      </c>
      <c r="D225" s="144" t="s">
        <v>561</v>
      </c>
      <c r="E225" s="144" t="s">
        <v>644</v>
      </c>
      <c r="F225" s="144" t="s">
        <v>574</v>
      </c>
      <c r="G225" s="145" t="s">
        <v>575</v>
      </c>
      <c r="H225" s="146"/>
      <c r="I225" s="16"/>
      <c r="J225" s="16"/>
      <c r="K225" s="16"/>
      <c r="L225" s="16"/>
      <c r="M225" s="16"/>
      <c r="N225" s="16"/>
      <c r="O225" s="16"/>
      <c r="P225" s="16"/>
      <c r="Q225" s="16"/>
      <c r="R225" s="16"/>
      <c r="S225" s="16"/>
      <c r="T225" s="16"/>
      <c r="U225" s="16"/>
      <c r="V225" s="16"/>
      <c r="W225" s="16"/>
      <c r="X225" s="16"/>
      <c r="Y225" s="16"/>
      <c r="Z225" s="16"/>
      <c r="AA225" s="16"/>
    </row>
    <row r="226" spans="1:27">
      <c r="A226" s="16"/>
      <c r="B226" s="16"/>
      <c r="C226" s="386" t="s">
        <v>645</v>
      </c>
      <c r="D226" s="364" t="s">
        <v>229</v>
      </c>
      <c r="E226" s="148" t="s">
        <v>646</v>
      </c>
      <c r="F226" s="157">
        <v>5.9999999999999995E-4</v>
      </c>
      <c r="G226" s="158">
        <v>1.1999999999999999E-3</v>
      </c>
      <c r="H226" s="146"/>
      <c r="I226" s="79"/>
      <c r="J226" s="16"/>
      <c r="K226" s="16"/>
      <c r="L226" s="16"/>
      <c r="M226" s="16"/>
      <c r="N226" s="16"/>
      <c r="O226" s="16"/>
      <c r="P226" s="16"/>
      <c r="Q226" s="16"/>
      <c r="R226" s="16"/>
      <c r="S226" s="16"/>
      <c r="T226" s="16"/>
      <c r="U226" s="16"/>
      <c r="V226" s="16"/>
      <c r="W226" s="16"/>
      <c r="X226" s="16"/>
      <c r="Y226" s="16"/>
      <c r="Z226" s="16"/>
      <c r="AA226" s="16"/>
    </row>
    <row r="227" spans="1:27">
      <c r="A227" s="16"/>
      <c r="B227" s="16"/>
      <c r="C227" s="387"/>
      <c r="D227" s="365"/>
      <c r="E227" s="156" t="s">
        <v>647</v>
      </c>
      <c r="F227" s="157">
        <v>5.0000000000000001E-4</v>
      </c>
      <c r="G227" s="158">
        <v>1E-3</v>
      </c>
      <c r="H227" s="22"/>
      <c r="I227" s="16"/>
      <c r="J227" s="16"/>
      <c r="K227" s="16"/>
      <c r="L227" s="16"/>
      <c r="M227" s="16"/>
      <c r="N227" s="16"/>
      <c r="O227" s="16"/>
      <c r="P227" s="16"/>
      <c r="Q227" s="16"/>
      <c r="R227" s="16"/>
      <c r="S227" s="16"/>
      <c r="T227" s="16"/>
      <c r="U227" s="16"/>
      <c r="V227" s="16"/>
      <c r="W227" s="16"/>
      <c r="X227" s="16"/>
      <c r="Y227" s="16"/>
      <c r="Z227" s="16"/>
      <c r="AA227" s="16"/>
    </row>
    <row r="228" spans="1:27">
      <c r="A228" s="16"/>
      <c r="B228" s="16"/>
      <c r="C228" s="388"/>
      <c r="D228" s="366"/>
      <c r="E228" s="171" t="s">
        <v>648</v>
      </c>
      <c r="F228" s="157">
        <v>3.0200000000000001E-2</v>
      </c>
      <c r="G228" s="158">
        <v>1.9199999999999998E-2</v>
      </c>
      <c r="H228" s="172"/>
      <c r="I228" s="22"/>
      <c r="J228" s="16"/>
      <c r="K228" s="16"/>
      <c r="L228" s="16"/>
      <c r="M228" s="16"/>
      <c r="N228" s="16"/>
      <c r="O228" s="16"/>
      <c r="P228" s="16"/>
      <c r="Q228" s="16"/>
      <c r="R228" s="16"/>
      <c r="S228" s="16"/>
      <c r="T228" s="16"/>
      <c r="U228" s="16"/>
      <c r="V228" s="16"/>
      <c r="W228" s="16"/>
      <c r="X228" s="16"/>
      <c r="Y228" s="16"/>
      <c r="Z228" s="16"/>
      <c r="AA228" s="16"/>
    </row>
    <row r="229" spans="1:27">
      <c r="A229" s="16"/>
      <c r="B229" s="173"/>
      <c r="C229" s="354" t="s">
        <v>649</v>
      </c>
      <c r="D229" s="377" t="s">
        <v>229</v>
      </c>
      <c r="E229" s="156" t="s">
        <v>646</v>
      </c>
      <c r="F229" s="174">
        <v>1.1000000000000001E-3</v>
      </c>
      <c r="G229" s="175">
        <v>1.6999999999999999E-3</v>
      </c>
      <c r="H229" s="172"/>
      <c r="I229" s="22"/>
      <c r="J229" s="16"/>
      <c r="K229" s="16"/>
      <c r="L229" s="16"/>
      <c r="M229" s="16"/>
      <c r="N229" s="16"/>
      <c r="O229" s="16"/>
      <c r="P229" s="16"/>
      <c r="Q229" s="16"/>
      <c r="R229" s="16"/>
      <c r="S229" s="16"/>
      <c r="T229" s="16"/>
      <c r="U229" s="16"/>
      <c r="V229" s="16"/>
      <c r="W229" s="16"/>
      <c r="X229" s="16"/>
      <c r="Y229" s="16"/>
      <c r="Z229" s="16"/>
      <c r="AA229" s="16"/>
    </row>
    <row r="230" spans="1:27">
      <c r="A230" s="16"/>
      <c r="B230" s="173"/>
      <c r="C230" s="355"/>
      <c r="D230" s="365"/>
      <c r="E230" s="176" t="s">
        <v>647</v>
      </c>
      <c r="F230" s="177">
        <v>8.9999999999999998E-4</v>
      </c>
      <c r="G230" s="178">
        <v>1.4E-3</v>
      </c>
      <c r="H230" s="22"/>
      <c r="I230" s="16"/>
      <c r="J230" s="16"/>
      <c r="K230" s="16"/>
      <c r="L230" s="16"/>
      <c r="M230" s="16"/>
      <c r="N230" s="16"/>
      <c r="O230" s="16"/>
      <c r="P230" s="16"/>
      <c r="Q230" s="16"/>
      <c r="R230" s="16"/>
      <c r="S230" s="16"/>
      <c r="T230" s="16"/>
      <c r="U230" s="16"/>
      <c r="V230" s="16"/>
      <c r="W230" s="16"/>
      <c r="X230" s="16"/>
      <c r="Y230" s="16"/>
      <c r="Z230" s="16"/>
      <c r="AA230" s="16"/>
    </row>
    <row r="231" spans="1:27">
      <c r="A231" s="16"/>
      <c r="B231" s="173"/>
      <c r="C231" s="356"/>
      <c r="D231" s="366"/>
      <c r="E231" s="156" t="s">
        <v>648</v>
      </c>
      <c r="F231" s="174">
        <v>2.9000000000000001E-2</v>
      </c>
      <c r="G231" s="175">
        <v>2.1399999999999999E-2</v>
      </c>
      <c r="H231" s="172"/>
      <c r="I231" s="16"/>
      <c r="J231" s="16"/>
      <c r="K231" s="16"/>
      <c r="L231" s="16"/>
      <c r="M231" s="16"/>
      <c r="N231" s="16"/>
      <c r="O231" s="16"/>
      <c r="P231" s="16"/>
      <c r="Q231" s="16"/>
      <c r="R231" s="16"/>
      <c r="S231" s="16"/>
      <c r="T231" s="16"/>
      <c r="U231" s="16"/>
      <c r="V231" s="16"/>
      <c r="W231" s="16"/>
      <c r="X231" s="16"/>
      <c r="Y231" s="16"/>
      <c r="Z231" s="16"/>
      <c r="AA231" s="16"/>
    </row>
    <row r="232" spans="1:27">
      <c r="A232" s="16"/>
      <c r="B232" s="16"/>
      <c r="C232" s="354" t="s">
        <v>650</v>
      </c>
      <c r="D232" s="377" t="s">
        <v>229</v>
      </c>
      <c r="E232" s="156" t="s">
        <v>651</v>
      </c>
      <c r="F232" s="157">
        <v>5.1000000000000004E-3</v>
      </c>
      <c r="G232" s="158">
        <v>4.7999999999999996E-3</v>
      </c>
      <c r="H232" s="172"/>
      <c r="I232" s="16"/>
      <c r="J232" s="16"/>
      <c r="K232" s="16"/>
      <c r="L232" s="16"/>
      <c r="M232" s="16"/>
      <c r="N232" s="16"/>
      <c r="O232" s="16"/>
      <c r="P232" s="16"/>
      <c r="Q232" s="16"/>
      <c r="R232" s="16"/>
      <c r="S232" s="16"/>
      <c r="T232" s="16"/>
      <c r="U232" s="16"/>
      <c r="V232" s="16"/>
      <c r="W232" s="16"/>
      <c r="X232" s="16"/>
      <c r="Y232" s="16"/>
      <c r="Z232" s="16"/>
      <c r="AA232" s="16"/>
    </row>
    <row r="233" spans="1:27">
      <c r="A233" s="16"/>
      <c r="B233" s="16"/>
      <c r="C233" s="356"/>
      <c r="D233" s="366"/>
      <c r="E233" s="156" t="s">
        <v>648</v>
      </c>
      <c r="F233" s="157">
        <v>9.4999999999999998E-3</v>
      </c>
      <c r="G233" s="158">
        <v>4.3099999999999999E-2</v>
      </c>
      <c r="H233" s="172"/>
      <c r="I233" s="16"/>
      <c r="J233" s="16"/>
      <c r="K233" s="16"/>
      <c r="L233" s="16"/>
      <c r="M233" s="16"/>
      <c r="N233" s="16"/>
      <c r="O233" s="16"/>
      <c r="P233" s="16"/>
      <c r="Q233" s="16"/>
      <c r="R233" s="16"/>
      <c r="S233" s="16"/>
      <c r="T233" s="16"/>
      <c r="U233" s="16"/>
      <c r="V233" s="16"/>
      <c r="W233" s="16"/>
      <c r="X233" s="16"/>
      <c r="Y233" s="16"/>
      <c r="Z233" s="16"/>
      <c r="AA233" s="16"/>
    </row>
    <row r="234" spans="1:27">
      <c r="A234" s="16"/>
      <c r="B234" s="16"/>
      <c r="C234" s="348" t="s">
        <v>652</v>
      </c>
      <c r="D234" s="179" t="s">
        <v>653</v>
      </c>
      <c r="E234" s="180"/>
      <c r="F234" s="157">
        <v>8.0000000000000002E-3</v>
      </c>
      <c r="G234" s="181">
        <v>5.0000000000000001E-3</v>
      </c>
      <c r="H234" s="172"/>
      <c r="I234" s="16"/>
      <c r="J234" s="16"/>
      <c r="K234" s="16"/>
      <c r="L234" s="16"/>
      <c r="M234" s="16"/>
      <c r="N234" s="16"/>
      <c r="O234" s="16"/>
      <c r="P234" s="16"/>
      <c r="Q234" s="16"/>
      <c r="R234" s="16"/>
      <c r="S234" s="16"/>
      <c r="T234" s="16"/>
      <c r="U234" s="16"/>
      <c r="V234" s="16"/>
      <c r="W234" s="16"/>
      <c r="X234" s="16"/>
      <c r="Y234" s="16"/>
      <c r="Z234" s="16"/>
      <c r="AA234" s="16"/>
    </row>
    <row r="235" spans="1:27">
      <c r="A235" s="16"/>
      <c r="B235" s="16"/>
      <c r="C235" s="343"/>
      <c r="D235" s="179" t="s">
        <v>654</v>
      </c>
      <c r="E235" s="180"/>
      <c r="F235" s="157">
        <v>8.0000000000000002E-3</v>
      </c>
      <c r="G235" s="181">
        <v>5.0000000000000001E-3</v>
      </c>
      <c r="H235" s="172"/>
      <c r="I235" s="16"/>
      <c r="J235" s="16"/>
      <c r="K235" s="16"/>
      <c r="L235" s="16"/>
      <c r="M235" s="16"/>
      <c r="N235" s="16"/>
      <c r="O235" s="16"/>
      <c r="P235" s="16"/>
      <c r="Q235" s="16"/>
      <c r="R235" s="16"/>
      <c r="S235" s="16"/>
      <c r="T235" s="16"/>
      <c r="U235" s="16"/>
      <c r="V235" s="16"/>
      <c r="W235" s="16"/>
      <c r="X235" s="16"/>
      <c r="Y235" s="16"/>
      <c r="Z235" s="16"/>
      <c r="AA235" s="16"/>
    </row>
    <row r="236" spans="1:27">
      <c r="A236" s="16"/>
      <c r="B236" s="16"/>
      <c r="C236" s="343"/>
      <c r="D236" s="179" t="s">
        <v>655</v>
      </c>
      <c r="E236" s="180"/>
      <c r="F236" s="182">
        <v>8.1000000000000003E-2</v>
      </c>
      <c r="G236" s="181">
        <v>5.0000000000000001E-3</v>
      </c>
      <c r="H236" s="172"/>
      <c r="I236" s="16"/>
      <c r="J236" s="16"/>
      <c r="K236" s="16"/>
      <c r="L236" s="16"/>
      <c r="M236" s="16"/>
      <c r="N236" s="16"/>
      <c r="O236" s="16"/>
      <c r="P236" s="16"/>
      <c r="Q236" s="16"/>
      <c r="R236" s="16"/>
      <c r="S236" s="16"/>
      <c r="T236" s="16"/>
      <c r="U236" s="16"/>
      <c r="V236" s="16"/>
      <c r="W236" s="16"/>
      <c r="X236" s="16"/>
      <c r="Y236" s="16"/>
      <c r="Z236" s="16"/>
      <c r="AA236" s="16"/>
    </row>
    <row r="237" spans="1:27">
      <c r="A237" s="16"/>
      <c r="B237" s="16"/>
      <c r="C237" s="343"/>
      <c r="D237" s="179" t="s">
        <v>656</v>
      </c>
      <c r="E237" s="180"/>
      <c r="F237" s="157">
        <v>8.0000000000000002E-3</v>
      </c>
      <c r="G237" s="181">
        <v>5.0000000000000001E-3</v>
      </c>
      <c r="H237" s="172"/>
      <c r="I237" s="16"/>
      <c r="J237" s="16"/>
      <c r="K237" s="16"/>
      <c r="L237" s="16"/>
      <c r="M237" s="16"/>
      <c r="N237" s="16"/>
      <c r="O237" s="16"/>
      <c r="P237" s="16"/>
      <c r="Q237" s="16"/>
      <c r="R237" s="16"/>
      <c r="S237" s="16"/>
      <c r="T237" s="16"/>
      <c r="U237" s="16"/>
      <c r="V237" s="16"/>
      <c r="W237" s="16"/>
      <c r="X237" s="16"/>
      <c r="Y237" s="16"/>
      <c r="Z237" s="16"/>
      <c r="AA237" s="16"/>
    </row>
    <row r="238" spans="1:27">
      <c r="A238" s="16"/>
      <c r="B238" s="16"/>
      <c r="C238" s="349"/>
      <c r="D238" s="179" t="s">
        <v>657</v>
      </c>
      <c r="E238" s="180"/>
      <c r="F238" s="157">
        <v>0.03</v>
      </c>
      <c r="G238" s="158">
        <v>1.9E-2</v>
      </c>
      <c r="H238" s="172"/>
      <c r="I238" s="16"/>
      <c r="J238" s="16"/>
      <c r="K238" s="16"/>
      <c r="L238" s="16"/>
      <c r="M238" s="16"/>
      <c r="N238" s="16"/>
      <c r="O238" s="16"/>
      <c r="P238" s="16"/>
      <c r="Q238" s="16"/>
      <c r="R238" s="16"/>
      <c r="S238" s="16"/>
      <c r="T238" s="16"/>
      <c r="U238" s="16"/>
      <c r="V238" s="16"/>
      <c r="W238" s="16"/>
      <c r="X238" s="16"/>
      <c r="Y238" s="16"/>
      <c r="Z238" s="16"/>
      <c r="AA238" s="16"/>
    </row>
    <row r="239" spans="1:27">
      <c r="A239" s="16"/>
      <c r="B239" s="16"/>
      <c r="C239" s="348" t="s">
        <v>649</v>
      </c>
      <c r="D239" s="179" t="s">
        <v>654</v>
      </c>
      <c r="E239" s="180"/>
      <c r="F239" s="157">
        <v>1.2E-2</v>
      </c>
      <c r="G239" s="181">
        <v>8.9999999999999993E-3</v>
      </c>
      <c r="H239" s="172"/>
      <c r="I239" s="16"/>
      <c r="J239" s="16"/>
      <c r="K239" s="16"/>
      <c r="L239" s="16"/>
      <c r="M239" s="16"/>
      <c r="N239" s="16"/>
      <c r="O239" s="16"/>
      <c r="P239" s="16"/>
      <c r="Q239" s="16"/>
      <c r="R239" s="16"/>
      <c r="S239" s="16"/>
      <c r="T239" s="16"/>
      <c r="U239" s="16"/>
      <c r="V239" s="16"/>
      <c r="W239" s="16"/>
      <c r="X239" s="16"/>
      <c r="Y239" s="16"/>
      <c r="Z239" s="16"/>
      <c r="AA239" s="16"/>
    </row>
    <row r="240" spans="1:27">
      <c r="A240" s="16"/>
      <c r="B240" s="16"/>
      <c r="C240" s="343"/>
      <c r="D240" s="179" t="s">
        <v>655</v>
      </c>
      <c r="E240" s="180"/>
      <c r="F240" s="182">
        <v>0.121</v>
      </c>
      <c r="G240" s="181">
        <v>8.9999999999999993E-3</v>
      </c>
      <c r="H240" s="172"/>
      <c r="I240" s="16"/>
      <c r="J240" s="16"/>
      <c r="K240" s="16"/>
      <c r="L240" s="16"/>
      <c r="M240" s="16"/>
      <c r="N240" s="16"/>
      <c r="O240" s="16"/>
      <c r="P240" s="16"/>
      <c r="Q240" s="16"/>
      <c r="R240" s="16"/>
      <c r="S240" s="16"/>
      <c r="T240" s="16"/>
      <c r="U240" s="16"/>
      <c r="V240" s="16"/>
      <c r="W240" s="16"/>
      <c r="X240" s="16"/>
      <c r="Y240" s="16"/>
      <c r="Z240" s="16"/>
      <c r="AA240" s="16"/>
    </row>
    <row r="241" spans="1:27">
      <c r="A241" s="16"/>
      <c r="B241" s="16"/>
      <c r="C241" s="343"/>
      <c r="D241" s="179" t="s">
        <v>656</v>
      </c>
      <c r="E241" s="180"/>
      <c r="F241" s="157">
        <v>1.2E-2</v>
      </c>
      <c r="G241" s="181">
        <v>1.2E-2</v>
      </c>
      <c r="H241" s="172"/>
      <c r="I241" s="16"/>
      <c r="J241" s="16"/>
      <c r="K241" s="16"/>
      <c r="L241" s="16"/>
      <c r="M241" s="16"/>
      <c r="N241" s="16"/>
      <c r="O241" s="16"/>
      <c r="P241" s="16"/>
      <c r="Q241" s="16"/>
      <c r="R241" s="16"/>
      <c r="S241" s="16"/>
      <c r="T241" s="16"/>
      <c r="U241" s="16"/>
      <c r="V241" s="16"/>
      <c r="W241" s="16"/>
      <c r="X241" s="16"/>
      <c r="Y241" s="16"/>
      <c r="Z241" s="16"/>
      <c r="AA241" s="16"/>
    </row>
    <row r="242" spans="1:27">
      <c r="A242" s="16"/>
      <c r="B242" s="16"/>
      <c r="C242" s="343"/>
      <c r="D242" s="179" t="s">
        <v>658</v>
      </c>
      <c r="E242" s="180"/>
      <c r="F242" s="182">
        <v>0.121</v>
      </c>
      <c r="G242" s="181">
        <v>8.9999999999999993E-3</v>
      </c>
      <c r="H242" s="172"/>
      <c r="I242" s="16"/>
      <c r="J242" s="16"/>
      <c r="K242" s="16"/>
      <c r="L242" s="16"/>
      <c r="M242" s="16"/>
      <c r="N242" s="16"/>
      <c r="O242" s="16"/>
      <c r="P242" s="16"/>
      <c r="Q242" s="16"/>
      <c r="R242" s="16"/>
      <c r="S242" s="16"/>
      <c r="T242" s="16"/>
      <c r="U242" s="16"/>
      <c r="V242" s="16"/>
      <c r="W242" s="16"/>
      <c r="X242" s="16"/>
      <c r="Y242" s="16"/>
      <c r="Z242" s="16"/>
      <c r="AA242" s="16"/>
    </row>
    <row r="243" spans="1:27">
      <c r="A243" s="16"/>
      <c r="B243" s="16"/>
      <c r="C243" s="349"/>
      <c r="D243" s="179" t="s">
        <v>657</v>
      </c>
      <c r="E243" s="180"/>
      <c r="F243" s="157">
        <v>2.9000000000000001E-2</v>
      </c>
      <c r="G243" s="158">
        <v>2.1000000000000001E-2</v>
      </c>
      <c r="H243" s="172"/>
      <c r="I243" s="16"/>
      <c r="J243" s="16"/>
      <c r="K243" s="16"/>
      <c r="L243" s="16"/>
      <c r="M243" s="16"/>
      <c r="N243" s="16"/>
      <c r="O243" s="16"/>
      <c r="P243" s="16"/>
      <c r="Q243" s="16"/>
      <c r="R243" s="16"/>
      <c r="S243" s="16"/>
      <c r="T243" s="16"/>
      <c r="U243" s="16"/>
      <c r="V243" s="16"/>
      <c r="W243" s="16"/>
      <c r="X243" s="16"/>
      <c r="Y243" s="16"/>
      <c r="Z243" s="16"/>
      <c r="AA243" s="16"/>
    </row>
    <row r="244" spans="1:27">
      <c r="A244" s="16"/>
      <c r="B244" s="16"/>
      <c r="C244" s="348" t="s">
        <v>659</v>
      </c>
      <c r="D244" s="179" t="s">
        <v>655</v>
      </c>
      <c r="E244" s="180"/>
      <c r="F244" s="85">
        <v>4.2</v>
      </c>
      <c r="G244" s="158">
        <v>1E-3</v>
      </c>
      <c r="H244" s="172"/>
      <c r="I244" s="16"/>
      <c r="J244" s="16"/>
      <c r="K244" s="16"/>
      <c r="L244" s="16"/>
      <c r="M244" s="16"/>
      <c r="N244" s="16"/>
      <c r="O244" s="16"/>
      <c r="P244" s="16"/>
      <c r="Q244" s="16"/>
      <c r="R244" s="16"/>
      <c r="S244" s="16"/>
      <c r="T244" s="16"/>
      <c r="U244" s="16"/>
      <c r="V244" s="16"/>
      <c r="W244" s="16"/>
      <c r="X244" s="16"/>
      <c r="Y244" s="16"/>
      <c r="Z244" s="16"/>
      <c r="AA244" s="16"/>
    </row>
    <row r="245" spans="1:27">
      <c r="A245" s="16"/>
      <c r="B245" s="16"/>
      <c r="C245" s="343"/>
      <c r="D245" s="179" t="s">
        <v>656</v>
      </c>
      <c r="E245" s="180"/>
      <c r="F245" s="157">
        <v>1.4E-2</v>
      </c>
      <c r="G245" s="158">
        <v>3.4000000000000002E-2</v>
      </c>
      <c r="H245" s="172"/>
      <c r="I245" s="16"/>
      <c r="J245" s="16"/>
      <c r="K245" s="16"/>
      <c r="L245" s="16"/>
      <c r="M245" s="16"/>
      <c r="N245" s="16"/>
      <c r="O245" s="16"/>
      <c r="P245" s="16"/>
      <c r="Q245" s="16"/>
      <c r="R245" s="16"/>
      <c r="S245" s="16"/>
      <c r="T245" s="16"/>
      <c r="U245" s="16"/>
      <c r="V245" s="16"/>
      <c r="W245" s="16"/>
      <c r="X245" s="16"/>
      <c r="Y245" s="16"/>
      <c r="Z245" s="16"/>
      <c r="AA245" s="16"/>
    </row>
    <row r="246" spans="1:27">
      <c r="A246" s="16"/>
      <c r="B246" s="16"/>
      <c r="C246" s="343"/>
      <c r="D246" s="179" t="s">
        <v>658</v>
      </c>
      <c r="E246" s="180"/>
      <c r="F246" s="85">
        <v>4.2</v>
      </c>
      <c r="G246" s="181">
        <v>1E-3</v>
      </c>
      <c r="H246" s="172"/>
      <c r="I246" s="16"/>
      <c r="J246" s="16"/>
      <c r="K246" s="16"/>
      <c r="L246" s="16"/>
      <c r="M246" s="16"/>
      <c r="N246" s="16"/>
      <c r="O246" s="16"/>
      <c r="P246" s="16"/>
      <c r="Q246" s="16"/>
      <c r="R246" s="16"/>
      <c r="S246" s="16"/>
      <c r="T246" s="16"/>
      <c r="U246" s="16"/>
      <c r="V246" s="16"/>
      <c r="W246" s="16"/>
      <c r="X246" s="16"/>
      <c r="Y246" s="16"/>
      <c r="Z246" s="16"/>
      <c r="AA246" s="16"/>
    </row>
    <row r="247" spans="1:27">
      <c r="A247" s="16"/>
      <c r="B247" s="16"/>
      <c r="C247" s="349"/>
      <c r="D247" s="179" t="s">
        <v>657</v>
      </c>
      <c r="E247" s="180"/>
      <c r="F247" s="157">
        <v>8.9999999999999993E-3</v>
      </c>
      <c r="G247" s="181">
        <v>4.2999999999999997E-2</v>
      </c>
      <c r="H247" s="172"/>
      <c r="I247" s="16"/>
      <c r="J247" s="16"/>
      <c r="K247" s="16"/>
      <c r="L247" s="16"/>
      <c r="M247" s="16"/>
      <c r="N247" s="16"/>
      <c r="O247" s="16"/>
      <c r="P247" s="16"/>
      <c r="Q247" s="16"/>
      <c r="R247" s="16"/>
      <c r="S247" s="16"/>
      <c r="T247" s="16"/>
      <c r="U247" s="16"/>
      <c r="V247" s="16"/>
      <c r="W247" s="16"/>
      <c r="X247" s="16"/>
      <c r="Y247" s="16"/>
      <c r="Z247" s="16"/>
      <c r="AA247" s="16"/>
    </row>
    <row r="248" spans="1:27">
      <c r="A248" s="16"/>
      <c r="B248" s="16"/>
      <c r="C248" s="348" t="s">
        <v>660</v>
      </c>
      <c r="D248" s="179" t="s">
        <v>653</v>
      </c>
      <c r="E248" s="180"/>
      <c r="F248" s="157">
        <v>7.4999999999999997E-2</v>
      </c>
      <c r="G248" s="158">
        <v>2.8000000000000001E-2</v>
      </c>
      <c r="H248" s="172"/>
      <c r="I248" s="16"/>
      <c r="J248" s="16"/>
      <c r="K248" s="16"/>
      <c r="L248" s="16"/>
      <c r="M248" s="16"/>
      <c r="N248" s="16"/>
      <c r="O248" s="16"/>
      <c r="P248" s="16"/>
      <c r="Q248" s="16"/>
      <c r="R248" s="16"/>
      <c r="S248" s="16"/>
      <c r="T248" s="16"/>
      <c r="U248" s="16"/>
      <c r="V248" s="16"/>
      <c r="W248" s="16"/>
      <c r="X248" s="16"/>
      <c r="Y248" s="16"/>
      <c r="Z248" s="16"/>
      <c r="AA248" s="16"/>
    </row>
    <row r="249" spans="1:27">
      <c r="A249" s="16"/>
      <c r="B249" s="16"/>
      <c r="C249" s="343"/>
      <c r="D249" s="179" t="s">
        <v>654</v>
      </c>
      <c r="E249" s="180"/>
      <c r="F249" s="157">
        <v>7.4999999999999997E-2</v>
      </c>
      <c r="G249" s="158">
        <v>2.8000000000000001E-2</v>
      </c>
      <c r="H249" s="172"/>
      <c r="I249" s="16"/>
      <c r="J249" s="16"/>
      <c r="K249" s="16"/>
      <c r="L249" s="16"/>
      <c r="M249" s="16"/>
      <c r="N249" s="16"/>
      <c r="O249" s="16"/>
      <c r="P249" s="16"/>
      <c r="Q249" s="16"/>
      <c r="R249" s="16"/>
      <c r="S249" s="16"/>
      <c r="T249" s="16"/>
      <c r="U249" s="16"/>
      <c r="V249" s="16"/>
      <c r="W249" s="16"/>
      <c r="X249" s="16"/>
      <c r="Y249" s="16"/>
      <c r="Z249" s="16"/>
      <c r="AA249" s="16"/>
    </row>
    <row r="250" spans="1:27">
      <c r="A250" s="16"/>
      <c r="B250" s="16"/>
      <c r="C250" s="343"/>
      <c r="D250" s="179" t="s">
        <v>655</v>
      </c>
      <c r="E250" s="180"/>
      <c r="F250" s="53">
        <v>3.7</v>
      </c>
      <c r="G250" s="158">
        <v>1E-3</v>
      </c>
      <c r="H250" s="172"/>
      <c r="I250" s="16"/>
      <c r="J250" s="16"/>
      <c r="K250" s="16"/>
      <c r="L250" s="16"/>
      <c r="M250" s="16"/>
      <c r="N250" s="16"/>
      <c r="O250" s="16"/>
      <c r="P250" s="16"/>
      <c r="Q250" s="16"/>
      <c r="R250" s="16"/>
      <c r="S250" s="16"/>
      <c r="T250" s="16"/>
      <c r="U250" s="16"/>
      <c r="V250" s="16"/>
      <c r="W250" s="16"/>
      <c r="X250" s="16"/>
      <c r="Y250" s="16"/>
      <c r="Z250" s="16"/>
      <c r="AA250" s="16"/>
    </row>
    <row r="251" spans="1:27">
      <c r="A251" s="16"/>
      <c r="B251" s="16"/>
      <c r="C251" s="343"/>
      <c r="D251" s="179" t="s">
        <v>656</v>
      </c>
      <c r="E251" s="180"/>
      <c r="F251" s="157">
        <v>1.2999999999999999E-2</v>
      </c>
      <c r="G251" s="158">
        <v>2.5999999999999999E-2</v>
      </c>
      <c r="H251" s="172"/>
      <c r="I251" s="16"/>
      <c r="J251" s="16"/>
      <c r="K251" s="16"/>
      <c r="L251" s="16"/>
      <c r="M251" s="16"/>
      <c r="N251" s="16"/>
      <c r="O251" s="16"/>
      <c r="P251" s="16"/>
      <c r="Q251" s="16"/>
      <c r="R251" s="16"/>
      <c r="S251" s="16"/>
      <c r="T251" s="16"/>
      <c r="U251" s="16"/>
      <c r="V251" s="16"/>
      <c r="W251" s="16"/>
      <c r="X251" s="16"/>
      <c r="Y251" s="16"/>
      <c r="Z251" s="16"/>
      <c r="AA251" s="16"/>
    </row>
    <row r="252" spans="1:27" s="337" customFormat="1" ht="13.5" customHeight="1">
      <c r="C252" s="343"/>
      <c r="D252" s="179" t="s">
        <v>658</v>
      </c>
      <c r="E252" s="180"/>
      <c r="F252" s="53">
        <v>3.7</v>
      </c>
      <c r="G252" s="158">
        <v>1E-3</v>
      </c>
      <c r="J252" s="16"/>
      <c r="K252" s="16"/>
      <c r="L252" s="16"/>
      <c r="M252" s="16"/>
    </row>
    <row r="253" spans="1:27" s="337" customFormat="1" ht="13.5" customHeight="1">
      <c r="C253" s="349"/>
      <c r="D253" s="179" t="s">
        <v>657</v>
      </c>
      <c r="E253" s="180"/>
      <c r="F253" s="157">
        <v>8.9999999999999993E-3</v>
      </c>
      <c r="G253" s="158">
        <v>4.2999999999999997E-2</v>
      </c>
      <c r="J253" s="16"/>
      <c r="K253" s="16"/>
      <c r="L253" s="16"/>
      <c r="M253" s="16"/>
    </row>
    <row r="254" spans="1:27" s="337" customFormat="1" ht="13.5" customHeight="1">
      <c r="C254" s="342" t="s">
        <v>661</v>
      </c>
      <c r="D254" s="179" t="s">
        <v>653</v>
      </c>
      <c r="E254" s="180"/>
      <c r="F254" s="182">
        <v>1.6E-2</v>
      </c>
      <c r="G254" s="158">
        <v>3.2000000000000001E-2</v>
      </c>
      <c r="J254" s="16"/>
      <c r="K254" s="16"/>
      <c r="L254" s="16"/>
      <c r="M254" s="16"/>
    </row>
    <row r="255" spans="1:27" s="337" customFormat="1" ht="13.5" customHeight="1">
      <c r="C255" s="343"/>
      <c r="D255" s="183" t="s">
        <v>654</v>
      </c>
      <c r="E255" s="180"/>
      <c r="F255" s="182">
        <v>1.6E-2</v>
      </c>
      <c r="G255" s="158">
        <v>3.2000000000000001E-2</v>
      </c>
      <c r="J255" s="16"/>
      <c r="K255" s="16"/>
      <c r="L255" s="16"/>
      <c r="M255" s="16"/>
    </row>
    <row r="256" spans="1:27" s="337" customFormat="1" ht="13.5" customHeight="1">
      <c r="C256" s="343"/>
      <c r="D256" s="183" t="s">
        <v>655</v>
      </c>
      <c r="E256" s="180"/>
      <c r="F256" s="53">
        <v>10</v>
      </c>
      <c r="G256" s="158">
        <v>1E-3</v>
      </c>
      <c r="J256" s="16"/>
      <c r="K256" s="16"/>
      <c r="L256" s="16"/>
      <c r="M256" s="16"/>
    </row>
    <row r="257" spans="1:27" s="337" customFormat="1" ht="13.5" customHeight="1">
      <c r="C257" s="343"/>
      <c r="D257" s="183" t="s">
        <v>656</v>
      </c>
      <c r="E257" s="180"/>
      <c r="F257" s="157">
        <v>3.4000000000000002E-2</v>
      </c>
      <c r="G257" s="158">
        <v>1.7000000000000001E-2</v>
      </c>
      <c r="J257" s="16"/>
      <c r="K257" s="16"/>
      <c r="L257" s="16"/>
      <c r="M257" s="16"/>
    </row>
    <row r="258" spans="1:27" s="337" customFormat="1" ht="13.5" customHeight="1">
      <c r="C258" s="343"/>
      <c r="D258" s="183" t="s">
        <v>658</v>
      </c>
      <c r="E258" s="180"/>
      <c r="F258" s="53">
        <v>10</v>
      </c>
      <c r="G258" s="158">
        <v>1E-3</v>
      </c>
      <c r="J258" s="16"/>
      <c r="K258" s="16"/>
      <c r="L258" s="16"/>
      <c r="M258" s="16"/>
    </row>
    <row r="259" spans="1:27" s="337" customFormat="1" ht="13.9" customHeight="1" thickBot="1">
      <c r="C259" s="344"/>
      <c r="D259" s="184" t="s">
        <v>657</v>
      </c>
      <c r="E259" s="185"/>
      <c r="F259" s="163">
        <v>8.9999999999999993E-3</v>
      </c>
      <c r="G259" s="164">
        <v>4.2999999999999997E-2</v>
      </c>
      <c r="J259" s="16"/>
      <c r="K259" s="16"/>
      <c r="L259" s="16"/>
      <c r="M259" s="16"/>
    </row>
    <row r="260" spans="1:27" s="337" customFormat="1" ht="13.5" customHeight="1">
      <c r="C260" s="37" t="s">
        <v>662</v>
      </c>
      <c r="I260" s="22"/>
      <c r="L260" s="16"/>
      <c r="M260" s="16"/>
    </row>
    <row r="261" spans="1:27" s="337" customFormat="1" ht="12.6" customHeight="1"/>
    <row r="262" spans="1:27" ht="18" customHeight="1">
      <c r="B262" s="137" t="s">
        <v>663</v>
      </c>
      <c r="C262" s="138" t="s">
        <v>664</v>
      </c>
      <c r="D262" s="186"/>
      <c r="E262" s="186"/>
      <c r="F262" s="186"/>
      <c r="G262" s="140"/>
      <c r="H262" s="140"/>
      <c r="I262" s="140"/>
      <c r="J262" s="140"/>
      <c r="K262" s="140"/>
      <c r="L262" s="141"/>
      <c r="M262" s="16"/>
      <c r="N262" s="16"/>
      <c r="O262" s="16"/>
      <c r="P262" s="16"/>
      <c r="Q262" s="16"/>
      <c r="R262" s="16"/>
      <c r="S262" s="16"/>
      <c r="T262" s="16"/>
      <c r="U262" s="16"/>
      <c r="V262" s="16"/>
      <c r="W262" s="16"/>
      <c r="X262" s="16"/>
      <c r="Y262" s="16"/>
      <c r="Z262" s="16"/>
      <c r="AA262" s="16"/>
    </row>
    <row r="263" spans="1:27" ht="13.9" customHeight="1" thickBot="1">
      <c r="A263" s="16"/>
      <c r="B263" s="16"/>
      <c r="C263" s="124"/>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29.45" customHeight="1" thickBot="1">
      <c r="A264" s="16"/>
      <c r="B264" s="16"/>
      <c r="C264" s="187" t="s">
        <v>573</v>
      </c>
      <c r="D264" s="144" t="s">
        <v>561</v>
      </c>
      <c r="E264" s="144" t="s">
        <v>665</v>
      </c>
      <c r="F264" s="145" t="s">
        <v>666</v>
      </c>
      <c r="G264" s="146"/>
      <c r="H264" s="16"/>
      <c r="I264" s="16"/>
      <c r="J264" s="16"/>
      <c r="K264" s="16"/>
      <c r="L264" s="16"/>
      <c r="M264" s="16"/>
      <c r="N264" s="16"/>
      <c r="O264" s="16"/>
      <c r="P264" s="16"/>
      <c r="Q264" s="16"/>
      <c r="R264" s="16"/>
      <c r="S264" s="16"/>
      <c r="T264" s="16"/>
      <c r="U264" s="16"/>
      <c r="V264" s="16"/>
      <c r="W264" s="16"/>
      <c r="X264" s="16"/>
      <c r="Y264" s="16"/>
      <c r="Z264" s="16"/>
      <c r="AA264" s="16"/>
    </row>
    <row r="265" spans="1:27">
      <c r="A265" s="16"/>
      <c r="B265" s="16"/>
      <c r="C265" s="367" t="s">
        <v>667</v>
      </c>
      <c r="D265" s="179" t="s">
        <v>568</v>
      </c>
      <c r="E265" s="188">
        <v>1.1100000000000001</v>
      </c>
      <c r="F265" s="189">
        <v>0.32</v>
      </c>
      <c r="G265" s="190"/>
      <c r="H265" s="190"/>
      <c r="I265" s="16"/>
      <c r="J265" s="16"/>
      <c r="K265" s="16"/>
      <c r="L265" s="16"/>
      <c r="M265" s="16"/>
      <c r="N265" s="16"/>
      <c r="O265" s="16"/>
      <c r="P265" s="16"/>
      <c r="Q265" s="16"/>
      <c r="R265" s="16"/>
      <c r="S265" s="16"/>
      <c r="T265" s="16"/>
      <c r="U265" s="16"/>
      <c r="V265" s="16"/>
      <c r="W265" s="16"/>
      <c r="X265" s="16"/>
      <c r="Y265" s="16"/>
      <c r="Z265" s="16"/>
      <c r="AA265" s="16"/>
    </row>
    <row r="266" spans="1:27">
      <c r="A266" s="16"/>
      <c r="B266" s="16"/>
      <c r="C266" s="343"/>
      <c r="D266" s="179" t="s">
        <v>668</v>
      </c>
      <c r="E266" s="191">
        <v>4.58</v>
      </c>
      <c r="F266" s="192">
        <v>0.08</v>
      </c>
      <c r="G266" s="190"/>
      <c r="H266" s="190"/>
      <c r="I266" s="16"/>
      <c r="J266" s="16"/>
      <c r="K266" s="16"/>
      <c r="L266" s="16"/>
      <c r="M266" s="16"/>
      <c r="N266" s="16"/>
      <c r="O266" s="16"/>
      <c r="P266" s="16"/>
      <c r="Q266" s="16"/>
      <c r="R266" s="16"/>
      <c r="S266" s="16"/>
      <c r="T266" s="16"/>
      <c r="U266" s="16"/>
      <c r="V266" s="16"/>
      <c r="W266" s="16"/>
      <c r="X266" s="16"/>
      <c r="Y266" s="16"/>
      <c r="Z266" s="16"/>
      <c r="AA266" s="16"/>
    </row>
    <row r="267" spans="1:27">
      <c r="A267" s="16"/>
      <c r="B267" s="16"/>
      <c r="C267" s="343"/>
      <c r="D267" s="179" t="s">
        <v>669</v>
      </c>
      <c r="E267" s="191">
        <v>2.2400000000000002</v>
      </c>
      <c r="F267" s="192">
        <v>0.01</v>
      </c>
      <c r="G267" s="190"/>
      <c r="H267" s="190"/>
      <c r="I267" s="16"/>
      <c r="J267" s="16"/>
      <c r="K267" s="16"/>
      <c r="L267" s="16"/>
      <c r="M267" s="16"/>
      <c r="N267" s="16"/>
      <c r="O267" s="16"/>
      <c r="P267" s="16"/>
      <c r="Q267" s="16"/>
      <c r="R267" s="16"/>
      <c r="S267" s="16"/>
      <c r="T267" s="16"/>
      <c r="U267" s="16"/>
      <c r="V267" s="16"/>
      <c r="W267" s="16"/>
      <c r="X267" s="16"/>
      <c r="Y267" s="16"/>
      <c r="Z267" s="16"/>
      <c r="AA267" s="16"/>
    </row>
    <row r="268" spans="1:27">
      <c r="A268" s="16"/>
      <c r="B268" s="16"/>
      <c r="C268" s="349"/>
      <c r="D268" s="179" t="s">
        <v>229</v>
      </c>
      <c r="E268" s="191">
        <v>6.41</v>
      </c>
      <c r="F268" s="192">
        <v>0.17</v>
      </c>
      <c r="G268" s="190"/>
      <c r="H268" s="190"/>
      <c r="I268" s="16"/>
      <c r="J268" s="16"/>
      <c r="K268" s="16"/>
      <c r="L268" s="16"/>
      <c r="M268" s="16"/>
      <c r="N268" s="16"/>
      <c r="O268" s="16"/>
      <c r="P268" s="16"/>
      <c r="Q268" s="16"/>
      <c r="R268" s="16"/>
      <c r="S268" s="16"/>
      <c r="T268" s="16"/>
      <c r="U268" s="16"/>
      <c r="V268" s="16"/>
      <c r="W268" s="16"/>
      <c r="X268" s="16"/>
      <c r="Y268" s="16"/>
      <c r="Z268" s="16"/>
      <c r="AA268" s="16"/>
    </row>
    <row r="269" spans="1:27">
      <c r="A269" s="16"/>
      <c r="B269" s="16"/>
      <c r="C269" s="193" t="s">
        <v>670</v>
      </c>
      <c r="D269" s="179" t="s">
        <v>229</v>
      </c>
      <c r="E269" s="194">
        <v>0.8</v>
      </c>
      <c r="F269" s="195">
        <v>0.26</v>
      </c>
      <c r="G269" s="190"/>
      <c r="H269" s="190"/>
      <c r="I269" s="16"/>
      <c r="J269" s="16"/>
      <c r="K269" s="16"/>
      <c r="L269" s="16"/>
      <c r="M269" s="16"/>
      <c r="N269" s="16"/>
      <c r="O269" s="16"/>
      <c r="P269" s="16"/>
      <c r="Q269" s="16"/>
      <c r="R269" s="16"/>
      <c r="S269" s="16"/>
      <c r="T269" s="16"/>
      <c r="U269" s="16"/>
      <c r="V269" s="16"/>
      <c r="W269" s="16"/>
      <c r="X269" s="16"/>
      <c r="Y269" s="16"/>
      <c r="Z269" s="16"/>
      <c r="AA269" s="16"/>
    </row>
    <row r="270" spans="1:27">
      <c r="A270" s="16"/>
      <c r="B270" s="16"/>
      <c r="C270" s="348" t="s">
        <v>671</v>
      </c>
      <c r="D270" s="179" t="s">
        <v>672</v>
      </c>
      <c r="E270" s="194">
        <v>0</v>
      </c>
      <c r="F270" s="195">
        <v>0.3</v>
      </c>
      <c r="G270" s="190"/>
      <c r="H270" s="190"/>
      <c r="I270" s="16"/>
      <c r="J270" s="16"/>
      <c r="K270" s="16"/>
      <c r="L270" s="16"/>
      <c r="M270" s="16"/>
      <c r="N270" s="16"/>
      <c r="O270" s="16"/>
      <c r="P270" s="16"/>
      <c r="Q270" s="16"/>
      <c r="R270" s="16"/>
      <c r="S270" s="16"/>
      <c r="T270" s="16"/>
      <c r="U270" s="16"/>
      <c r="V270" s="16"/>
      <c r="W270" s="16"/>
      <c r="X270" s="16"/>
      <c r="Y270" s="16"/>
      <c r="Z270" s="16"/>
      <c r="AA270" s="16"/>
    </row>
    <row r="271" spans="1:27">
      <c r="A271" s="16"/>
      <c r="B271" s="16"/>
      <c r="C271" s="349"/>
      <c r="D271" s="179" t="s">
        <v>515</v>
      </c>
      <c r="E271" s="194">
        <v>7.06</v>
      </c>
      <c r="F271" s="195">
        <v>0.11</v>
      </c>
      <c r="G271" s="190"/>
      <c r="H271" s="190"/>
      <c r="I271" s="16"/>
      <c r="J271" s="16"/>
      <c r="K271" s="16"/>
      <c r="L271" s="16"/>
      <c r="M271" s="16"/>
      <c r="N271" s="16"/>
      <c r="O271" s="16"/>
      <c r="P271" s="16"/>
      <c r="Q271" s="16"/>
      <c r="R271" s="16"/>
      <c r="S271" s="16"/>
      <c r="T271" s="16"/>
      <c r="U271" s="16"/>
      <c r="V271" s="16"/>
      <c r="W271" s="16"/>
      <c r="X271" s="16"/>
      <c r="Y271" s="16"/>
      <c r="Z271" s="16"/>
      <c r="AA271" s="16"/>
    </row>
    <row r="272" spans="1:27">
      <c r="A272" s="16"/>
      <c r="B272" s="16"/>
      <c r="C272" s="348" t="s">
        <v>673</v>
      </c>
      <c r="D272" s="179" t="s">
        <v>668</v>
      </c>
      <c r="E272" s="191">
        <v>9.19</v>
      </c>
      <c r="F272" s="192">
        <v>0.26</v>
      </c>
      <c r="G272" s="190"/>
      <c r="H272" s="190"/>
      <c r="I272" s="16"/>
      <c r="J272" s="16"/>
      <c r="K272" s="16"/>
      <c r="L272" s="16"/>
      <c r="M272" s="16"/>
      <c r="N272" s="16"/>
      <c r="O272" s="16"/>
      <c r="P272" s="16"/>
      <c r="Q272" s="16"/>
      <c r="R272" s="16"/>
      <c r="S272" s="16"/>
      <c r="T272" s="16"/>
      <c r="U272" s="16"/>
      <c r="V272" s="16"/>
      <c r="W272" s="16"/>
      <c r="X272" s="16"/>
      <c r="Y272" s="16"/>
      <c r="Z272" s="16"/>
      <c r="AA272" s="16"/>
    </row>
    <row r="273" spans="1:27">
      <c r="A273" s="16"/>
      <c r="B273" s="16"/>
      <c r="C273" s="343"/>
      <c r="D273" s="179" t="s">
        <v>669</v>
      </c>
      <c r="E273" s="191">
        <v>3.33</v>
      </c>
      <c r="F273" s="192">
        <v>1.83</v>
      </c>
      <c r="G273" s="190"/>
      <c r="H273" s="190"/>
      <c r="I273" s="16"/>
      <c r="J273" s="16"/>
      <c r="K273" s="16"/>
      <c r="L273" s="16"/>
      <c r="M273" s="16"/>
      <c r="N273" s="16"/>
      <c r="O273" s="16"/>
      <c r="P273" s="16"/>
      <c r="Q273" s="16"/>
      <c r="R273" s="16"/>
      <c r="S273" s="16"/>
      <c r="T273" s="16"/>
      <c r="U273" s="16"/>
      <c r="V273" s="16"/>
      <c r="W273" s="16"/>
      <c r="X273" s="16"/>
      <c r="Y273" s="16"/>
      <c r="Z273" s="16"/>
      <c r="AA273" s="16"/>
    </row>
    <row r="274" spans="1:27">
      <c r="A274" s="16"/>
      <c r="B274" s="16"/>
      <c r="C274" s="343"/>
      <c r="D274" s="179" t="s">
        <v>229</v>
      </c>
      <c r="E274" s="191">
        <v>0.97</v>
      </c>
      <c r="F274" s="192">
        <v>0.9</v>
      </c>
      <c r="G274" s="190"/>
      <c r="H274" s="190"/>
      <c r="I274" s="16"/>
      <c r="J274" s="16"/>
      <c r="K274" s="16"/>
      <c r="L274" s="16"/>
      <c r="M274" s="16"/>
      <c r="N274" s="16"/>
      <c r="O274" s="16"/>
      <c r="P274" s="16"/>
      <c r="Q274" s="16"/>
      <c r="R274" s="16"/>
      <c r="S274" s="16"/>
      <c r="T274" s="16"/>
      <c r="U274" s="16"/>
      <c r="V274" s="16"/>
      <c r="W274" s="16"/>
      <c r="X274" s="16"/>
      <c r="Y274" s="16"/>
      <c r="Z274" s="16"/>
      <c r="AA274" s="16"/>
    </row>
    <row r="275" spans="1:27">
      <c r="A275" s="16"/>
      <c r="B275" s="16"/>
      <c r="C275" s="349"/>
      <c r="D275" s="179" t="s">
        <v>656</v>
      </c>
      <c r="E275" s="191">
        <v>0.42</v>
      </c>
      <c r="F275" s="192">
        <v>0.6</v>
      </c>
      <c r="G275" s="190"/>
      <c r="H275" s="190"/>
      <c r="I275" s="16"/>
      <c r="J275" s="16"/>
      <c r="K275" s="16"/>
      <c r="L275" s="16"/>
      <c r="M275" s="16"/>
      <c r="N275" s="16"/>
      <c r="O275" s="16"/>
      <c r="P275" s="16"/>
      <c r="Q275" s="16"/>
      <c r="R275" s="16"/>
      <c r="S275" s="16"/>
      <c r="T275" s="16"/>
      <c r="U275" s="16"/>
      <c r="V275" s="16"/>
      <c r="W275" s="16"/>
      <c r="X275" s="16"/>
      <c r="Y275" s="16"/>
      <c r="Z275" s="16"/>
      <c r="AA275" s="16"/>
    </row>
    <row r="276" spans="1:27">
      <c r="A276" s="16"/>
      <c r="B276" s="16"/>
      <c r="C276" s="348" t="s">
        <v>674</v>
      </c>
      <c r="D276" s="179" t="s">
        <v>675</v>
      </c>
      <c r="E276" s="191">
        <v>3.33</v>
      </c>
      <c r="F276" s="192">
        <v>1.84</v>
      </c>
      <c r="G276" s="190"/>
      <c r="H276" s="190"/>
      <c r="I276" s="16"/>
      <c r="J276" s="16"/>
      <c r="K276" s="16"/>
      <c r="L276" s="16"/>
      <c r="M276" s="16"/>
      <c r="N276" s="16"/>
      <c r="O276" s="16"/>
      <c r="P276" s="16"/>
      <c r="Q276" s="16"/>
      <c r="R276" s="16"/>
      <c r="S276" s="16"/>
      <c r="T276" s="16"/>
      <c r="U276" s="16"/>
      <c r="V276" s="16"/>
      <c r="W276" s="16"/>
      <c r="X276" s="16"/>
      <c r="Y276" s="16"/>
      <c r="Z276" s="16"/>
      <c r="AA276" s="16"/>
    </row>
    <row r="277" spans="1:27">
      <c r="A277" s="16"/>
      <c r="B277" s="16"/>
      <c r="C277" s="349"/>
      <c r="D277" s="179" t="s">
        <v>229</v>
      </c>
      <c r="E277" s="191">
        <v>0.99</v>
      </c>
      <c r="F277" s="192">
        <v>0.92</v>
      </c>
      <c r="G277" s="190"/>
      <c r="H277" s="190"/>
      <c r="I277" s="16"/>
      <c r="J277" s="16"/>
      <c r="K277" s="16"/>
      <c r="L277" s="16"/>
      <c r="M277" s="16"/>
      <c r="N277" s="16"/>
      <c r="O277" s="16"/>
      <c r="P277" s="16"/>
      <c r="Q277" s="16"/>
      <c r="R277" s="16"/>
      <c r="S277" s="16"/>
      <c r="T277" s="16"/>
      <c r="U277" s="16"/>
      <c r="V277" s="16"/>
      <c r="W277" s="16"/>
      <c r="X277" s="16"/>
      <c r="Y277" s="16"/>
      <c r="Z277" s="16"/>
      <c r="AA277" s="16"/>
    </row>
    <row r="278" spans="1:27">
      <c r="A278" s="16"/>
      <c r="B278" s="16"/>
      <c r="C278" s="348" t="s">
        <v>676</v>
      </c>
      <c r="D278" s="179" t="s">
        <v>668</v>
      </c>
      <c r="E278" s="191">
        <v>12.11</v>
      </c>
      <c r="F278" s="192">
        <v>0.34</v>
      </c>
      <c r="G278" s="190"/>
      <c r="H278" s="190"/>
      <c r="I278" s="16"/>
      <c r="J278" s="16"/>
      <c r="K278" s="16"/>
      <c r="L278" s="16"/>
      <c r="M278" s="16"/>
      <c r="N278" s="16"/>
      <c r="O278" s="16"/>
      <c r="P278" s="16"/>
      <c r="Q278" s="16"/>
      <c r="R278" s="16"/>
      <c r="S278" s="16"/>
      <c r="T278" s="16"/>
      <c r="U278" s="16"/>
      <c r="V278" s="16"/>
      <c r="W278" s="16"/>
      <c r="X278" s="16"/>
      <c r="Y278" s="16"/>
      <c r="Z278" s="16"/>
      <c r="AA278" s="16"/>
    </row>
    <row r="279" spans="1:27">
      <c r="A279" s="16"/>
      <c r="B279" s="16"/>
      <c r="C279" s="343"/>
      <c r="D279" s="179" t="s">
        <v>669</v>
      </c>
      <c r="E279" s="191">
        <v>3.03</v>
      </c>
      <c r="F279" s="192">
        <v>1.67</v>
      </c>
      <c r="G279" s="190"/>
      <c r="H279" s="190"/>
      <c r="I279" s="16"/>
      <c r="J279" s="16"/>
      <c r="K279" s="16"/>
      <c r="L279" s="16"/>
      <c r="M279" s="16"/>
      <c r="N279" s="16"/>
      <c r="O279" s="16"/>
      <c r="P279" s="16"/>
      <c r="Q279" s="16"/>
      <c r="R279" s="16"/>
      <c r="S279" s="16"/>
      <c r="T279" s="16"/>
      <c r="U279" s="16"/>
      <c r="V279" s="16"/>
      <c r="W279" s="16"/>
      <c r="X279" s="16"/>
      <c r="Y279" s="16"/>
      <c r="Z279" s="16"/>
      <c r="AA279" s="16"/>
    </row>
    <row r="280" spans="1:27">
      <c r="A280" s="16"/>
      <c r="B280" s="16"/>
      <c r="C280" s="343"/>
      <c r="D280" s="179" t="s">
        <v>229</v>
      </c>
      <c r="E280" s="191">
        <v>0.94</v>
      </c>
      <c r="F280" s="192">
        <v>0.87</v>
      </c>
      <c r="G280" s="190"/>
      <c r="H280" s="190"/>
      <c r="I280" s="16"/>
      <c r="J280" s="16"/>
      <c r="K280" s="16"/>
      <c r="L280" s="16"/>
      <c r="M280" s="16"/>
      <c r="N280" s="16"/>
      <c r="O280" s="16"/>
      <c r="P280" s="16"/>
      <c r="Q280" s="16"/>
      <c r="R280" s="16"/>
      <c r="S280" s="16"/>
      <c r="T280" s="16"/>
      <c r="U280" s="16"/>
      <c r="V280" s="16"/>
      <c r="W280" s="16"/>
      <c r="X280" s="16"/>
      <c r="Y280" s="16"/>
      <c r="Z280" s="16"/>
      <c r="AA280" s="16"/>
    </row>
    <row r="281" spans="1:27">
      <c r="A281" s="16"/>
      <c r="B281" s="16"/>
      <c r="C281" s="349"/>
      <c r="D281" s="196" t="s">
        <v>656</v>
      </c>
      <c r="E281" s="191">
        <v>0.44</v>
      </c>
      <c r="F281" s="192">
        <v>0.63</v>
      </c>
      <c r="G281" s="190"/>
      <c r="H281" s="190"/>
      <c r="I281" s="16"/>
      <c r="J281" s="16"/>
      <c r="K281" s="16"/>
      <c r="L281" s="16"/>
      <c r="M281" s="16"/>
      <c r="N281" s="16"/>
      <c r="O281" s="16"/>
      <c r="P281" s="16"/>
      <c r="Q281" s="16"/>
      <c r="R281" s="16"/>
      <c r="S281" s="16"/>
      <c r="T281" s="16"/>
      <c r="U281" s="16"/>
      <c r="V281" s="16"/>
      <c r="W281" s="16"/>
      <c r="X281" s="16"/>
      <c r="Y281" s="16"/>
      <c r="Z281" s="16"/>
      <c r="AA281" s="16"/>
    </row>
    <row r="282" spans="1:27">
      <c r="A282" s="16"/>
      <c r="B282" s="16"/>
      <c r="C282" s="348" t="s">
        <v>677</v>
      </c>
      <c r="D282" s="179" t="s">
        <v>675</v>
      </c>
      <c r="E282" s="191">
        <v>3.03</v>
      </c>
      <c r="F282" s="192">
        <v>1.67</v>
      </c>
      <c r="G282" s="190"/>
      <c r="H282" s="190"/>
      <c r="I282" s="16"/>
      <c r="J282" s="16"/>
      <c r="K282" s="16"/>
      <c r="L282" s="16"/>
      <c r="M282" s="16"/>
      <c r="N282" s="16"/>
      <c r="O282" s="16"/>
      <c r="P282" s="16"/>
      <c r="Q282" s="16"/>
      <c r="R282" s="16"/>
      <c r="S282" s="16"/>
      <c r="T282" s="16"/>
      <c r="U282" s="16"/>
      <c r="V282" s="16"/>
      <c r="W282" s="16"/>
      <c r="X282" s="16"/>
      <c r="Y282" s="16"/>
      <c r="Z282" s="16"/>
      <c r="AA282" s="16"/>
    </row>
    <row r="283" spans="1:27">
      <c r="A283" s="16"/>
      <c r="B283" s="16"/>
      <c r="C283" s="349"/>
      <c r="D283" s="179" t="s">
        <v>229</v>
      </c>
      <c r="E283" s="191">
        <v>0.99</v>
      </c>
      <c r="F283" s="192">
        <v>0.92</v>
      </c>
      <c r="G283" s="190"/>
      <c r="H283" s="190"/>
      <c r="I283" s="16"/>
      <c r="J283" s="16"/>
      <c r="K283" s="16"/>
      <c r="L283" s="16"/>
      <c r="M283" s="16"/>
      <c r="N283" s="16"/>
      <c r="O283" s="16"/>
      <c r="P283" s="16"/>
      <c r="Q283" s="16"/>
      <c r="R283" s="16"/>
      <c r="S283" s="16"/>
      <c r="T283" s="16"/>
      <c r="U283" s="16"/>
      <c r="V283" s="16"/>
      <c r="W283" s="16"/>
      <c r="X283" s="16"/>
      <c r="Y283" s="16"/>
      <c r="Z283" s="16"/>
      <c r="AA283" s="16"/>
    </row>
    <row r="284" spans="1:27">
      <c r="A284" s="16"/>
      <c r="B284" s="16"/>
      <c r="C284" s="348" t="s">
        <v>678</v>
      </c>
      <c r="D284" s="179" t="s">
        <v>668</v>
      </c>
      <c r="E284" s="191">
        <v>10.210000000000001</v>
      </c>
      <c r="F284" s="192">
        <v>0.28000000000000003</v>
      </c>
      <c r="G284" s="190"/>
      <c r="H284" s="190"/>
      <c r="I284" s="16"/>
      <c r="J284" s="16"/>
      <c r="K284" s="16"/>
      <c r="L284" s="16"/>
      <c r="M284" s="16"/>
      <c r="N284" s="16"/>
      <c r="O284" s="16"/>
      <c r="P284" s="16"/>
      <c r="Q284" s="16"/>
      <c r="R284" s="16"/>
      <c r="S284" s="16"/>
      <c r="T284" s="16"/>
      <c r="U284" s="16"/>
      <c r="V284" s="16"/>
      <c r="W284" s="16"/>
      <c r="X284" s="16"/>
      <c r="Y284" s="16"/>
      <c r="Z284" s="16"/>
      <c r="AA284" s="16"/>
    </row>
    <row r="285" spans="1:27">
      <c r="A285" s="16"/>
      <c r="B285" s="16"/>
      <c r="C285" s="343"/>
      <c r="D285" s="179" t="s">
        <v>669</v>
      </c>
      <c r="E285" s="191">
        <v>2.85</v>
      </c>
      <c r="F285" s="192">
        <v>1.56</v>
      </c>
      <c r="G285" s="190"/>
      <c r="H285" s="190"/>
      <c r="I285" s="16"/>
      <c r="J285" s="16"/>
      <c r="K285" s="16"/>
      <c r="L285" s="16"/>
      <c r="M285" s="16"/>
      <c r="N285" s="16"/>
      <c r="O285" s="16"/>
      <c r="P285" s="16"/>
      <c r="Q285" s="16"/>
      <c r="R285" s="16"/>
      <c r="S285" s="16"/>
      <c r="T285" s="16"/>
      <c r="U285" s="16"/>
      <c r="V285" s="16"/>
      <c r="W285" s="16"/>
      <c r="X285" s="16"/>
      <c r="Y285" s="16"/>
      <c r="Z285" s="16"/>
      <c r="AA285" s="16"/>
    </row>
    <row r="286" spans="1:27">
      <c r="A286" s="16"/>
      <c r="B286" s="16"/>
      <c r="C286" s="343"/>
      <c r="D286" s="179" t="s">
        <v>229</v>
      </c>
      <c r="E286" s="191">
        <v>0.93</v>
      </c>
      <c r="F286" s="192">
        <v>0.86</v>
      </c>
      <c r="G286" s="190"/>
      <c r="H286" s="190"/>
      <c r="I286" s="16"/>
      <c r="J286" s="16"/>
      <c r="K286" s="16"/>
      <c r="L286" s="16"/>
      <c r="M286" s="16"/>
      <c r="N286" s="16"/>
      <c r="O286" s="16"/>
      <c r="P286" s="16"/>
      <c r="Q286" s="16"/>
      <c r="R286" s="16"/>
      <c r="S286" s="16"/>
      <c r="T286" s="16"/>
      <c r="U286" s="16"/>
      <c r="V286" s="16"/>
      <c r="W286" s="16"/>
      <c r="X286" s="16"/>
      <c r="Y286" s="16"/>
      <c r="Z286" s="16"/>
      <c r="AA286" s="16"/>
    </row>
    <row r="287" spans="1:27">
      <c r="A287" s="16"/>
      <c r="B287" s="16"/>
      <c r="C287" s="349"/>
      <c r="D287" s="197" t="s">
        <v>656</v>
      </c>
      <c r="E287" s="191">
        <v>0.45</v>
      </c>
      <c r="F287" s="192">
        <v>0.64</v>
      </c>
      <c r="G287" s="190"/>
      <c r="H287" s="190"/>
      <c r="I287" s="16"/>
      <c r="J287" s="16"/>
      <c r="K287" s="16"/>
      <c r="L287" s="16"/>
      <c r="M287" s="16"/>
      <c r="N287" s="16"/>
      <c r="O287" s="16"/>
      <c r="P287" s="16"/>
      <c r="Q287" s="16"/>
      <c r="R287" s="16"/>
      <c r="S287" s="16"/>
      <c r="T287" s="16"/>
      <c r="U287" s="16"/>
      <c r="V287" s="16"/>
      <c r="W287" s="16"/>
      <c r="X287" s="16"/>
      <c r="Y287" s="16"/>
      <c r="Z287" s="16"/>
      <c r="AA287" s="16"/>
    </row>
    <row r="288" spans="1:27">
      <c r="A288" s="16"/>
      <c r="B288" s="16"/>
      <c r="C288" s="348" t="s">
        <v>679</v>
      </c>
      <c r="D288" s="179" t="s">
        <v>675</v>
      </c>
      <c r="E288" s="191">
        <v>3.88</v>
      </c>
      <c r="F288" s="192">
        <v>2.13</v>
      </c>
      <c r="G288" s="190"/>
      <c r="H288" s="190"/>
      <c r="I288" s="16"/>
      <c r="J288" s="16"/>
      <c r="K288" s="16"/>
      <c r="L288" s="16"/>
      <c r="M288" s="16"/>
      <c r="N288" s="16"/>
      <c r="O288" s="16"/>
      <c r="P288" s="16"/>
      <c r="Q288" s="16"/>
      <c r="R288" s="16"/>
      <c r="S288" s="16"/>
      <c r="T288" s="16"/>
      <c r="U288" s="16"/>
      <c r="V288" s="16"/>
      <c r="W288" s="16"/>
      <c r="X288" s="16"/>
      <c r="Y288" s="16"/>
      <c r="Z288" s="16"/>
      <c r="AA288" s="16"/>
    </row>
    <row r="289" spans="1:27">
      <c r="A289" s="16"/>
      <c r="B289" s="16"/>
      <c r="C289" s="343"/>
      <c r="D289" s="179" t="s">
        <v>229</v>
      </c>
      <c r="E289" s="191">
        <v>0.99</v>
      </c>
      <c r="F289" s="192">
        <v>0.91</v>
      </c>
      <c r="G289" s="190"/>
      <c r="H289" s="190"/>
      <c r="I289" s="16"/>
      <c r="J289" s="16"/>
      <c r="K289" s="16"/>
      <c r="L289" s="16"/>
      <c r="M289" s="16"/>
      <c r="N289" s="16"/>
      <c r="O289" s="16"/>
      <c r="P289" s="16"/>
      <c r="Q289" s="16"/>
      <c r="R289" s="16"/>
      <c r="S289" s="16"/>
      <c r="T289" s="16"/>
      <c r="U289" s="16"/>
      <c r="V289" s="16"/>
      <c r="W289" s="16"/>
      <c r="X289" s="16"/>
      <c r="Y289" s="16"/>
      <c r="Z289" s="16"/>
      <c r="AA289" s="16"/>
    </row>
    <row r="290" spans="1:27">
      <c r="A290" s="16"/>
      <c r="B290" s="16"/>
      <c r="C290" s="349"/>
      <c r="D290" s="179" t="s">
        <v>656</v>
      </c>
      <c r="E290" s="191">
        <v>0.45</v>
      </c>
      <c r="F290" s="192">
        <v>0.64</v>
      </c>
      <c r="G290" s="190"/>
      <c r="H290" s="190"/>
      <c r="I290" s="16"/>
      <c r="J290" s="16"/>
      <c r="K290" s="16"/>
      <c r="L290" s="16"/>
      <c r="M290" s="16"/>
      <c r="N290" s="16"/>
      <c r="O290" s="16"/>
      <c r="P290" s="16"/>
      <c r="Q290" s="16"/>
      <c r="R290" s="16"/>
      <c r="S290" s="16"/>
      <c r="T290" s="16"/>
      <c r="U290" s="16"/>
      <c r="V290" s="16"/>
      <c r="W290" s="16"/>
      <c r="X290" s="16"/>
      <c r="Y290" s="16"/>
      <c r="Z290" s="16"/>
      <c r="AA290" s="16"/>
    </row>
    <row r="291" spans="1:27">
      <c r="A291" s="16"/>
      <c r="B291" s="16"/>
      <c r="C291" s="348" t="s">
        <v>680</v>
      </c>
      <c r="D291" s="179" t="s">
        <v>668</v>
      </c>
      <c r="E291" s="191">
        <v>9.2100000000000009</v>
      </c>
      <c r="F291" s="192">
        <v>0.26</v>
      </c>
      <c r="G291" s="190"/>
      <c r="H291" s="190"/>
      <c r="I291" s="16"/>
      <c r="J291" s="16"/>
      <c r="K291" s="16"/>
      <c r="L291" s="16"/>
      <c r="M291" s="16"/>
      <c r="N291" s="16"/>
      <c r="O291" s="16"/>
      <c r="P291" s="16"/>
      <c r="Q291" s="16"/>
      <c r="R291" s="16"/>
      <c r="S291" s="16"/>
      <c r="T291" s="16"/>
      <c r="U291" s="16"/>
      <c r="V291" s="16"/>
      <c r="W291" s="16"/>
      <c r="X291" s="16"/>
      <c r="Y291" s="16"/>
      <c r="Z291" s="16"/>
      <c r="AA291" s="16"/>
    </row>
    <row r="292" spans="1:27">
      <c r="A292" s="16"/>
      <c r="B292" s="16"/>
      <c r="C292" s="343"/>
      <c r="D292" s="179" t="s">
        <v>669</v>
      </c>
      <c r="E292" s="191">
        <v>3.04</v>
      </c>
      <c r="F292" s="192">
        <v>1.67</v>
      </c>
      <c r="G292" s="190"/>
      <c r="H292" s="190"/>
      <c r="I292" s="16"/>
      <c r="J292" s="16"/>
      <c r="K292" s="16"/>
      <c r="L292" s="16"/>
      <c r="M292" s="16"/>
      <c r="N292" s="16"/>
      <c r="O292" s="16"/>
      <c r="P292" s="16"/>
      <c r="Q292" s="16"/>
      <c r="R292" s="16"/>
      <c r="S292" s="16"/>
      <c r="T292" s="16"/>
      <c r="U292" s="16"/>
      <c r="V292" s="16"/>
      <c r="W292" s="16"/>
      <c r="X292" s="16"/>
      <c r="Y292" s="16"/>
      <c r="Z292" s="16"/>
      <c r="AA292" s="16"/>
    </row>
    <row r="293" spans="1:27">
      <c r="A293" s="16"/>
      <c r="B293" s="16"/>
      <c r="C293" s="343"/>
      <c r="D293" s="179" t="s">
        <v>229</v>
      </c>
      <c r="E293" s="191">
        <v>0.93</v>
      </c>
      <c r="F293" s="192">
        <v>0.87</v>
      </c>
      <c r="G293" s="190"/>
      <c r="H293" s="190"/>
      <c r="I293" s="16"/>
      <c r="J293" s="16"/>
      <c r="K293" s="16"/>
      <c r="L293" s="16"/>
      <c r="M293" s="16"/>
      <c r="N293" s="16"/>
      <c r="O293" s="16"/>
      <c r="P293" s="16"/>
      <c r="Q293" s="16"/>
      <c r="R293" s="16"/>
      <c r="S293" s="16"/>
      <c r="T293" s="16"/>
      <c r="U293" s="16"/>
      <c r="V293" s="16"/>
      <c r="W293" s="16"/>
      <c r="X293" s="16"/>
      <c r="Y293" s="16"/>
      <c r="Z293" s="16"/>
      <c r="AA293" s="16"/>
    </row>
    <row r="294" spans="1:27">
      <c r="A294" s="16"/>
      <c r="B294" s="16"/>
      <c r="C294" s="349"/>
      <c r="D294" s="179" t="s">
        <v>656</v>
      </c>
      <c r="E294" s="191">
        <v>0.45</v>
      </c>
      <c r="F294" s="192">
        <v>0.64</v>
      </c>
      <c r="G294" s="190"/>
      <c r="H294" s="190"/>
      <c r="I294" s="16"/>
      <c r="J294" s="16"/>
      <c r="K294" s="16"/>
      <c r="L294" s="16"/>
      <c r="M294" s="16"/>
      <c r="N294" s="16"/>
      <c r="O294" s="16"/>
      <c r="P294" s="16"/>
      <c r="Q294" s="16"/>
      <c r="R294" s="16"/>
      <c r="S294" s="16"/>
      <c r="T294" s="16"/>
      <c r="U294" s="16"/>
      <c r="V294" s="16"/>
      <c r="W294" s="16"/>
      <c r="X294" s="16"/>
      <c r="Y294" s="16"/>
      <c r="Z294" s="16"/>
      <c r="AA294" s="16"/>
    </row>
    <row r="295" spans="1:27">
      <c r="A295" s="16"/>
      <c r="B295" s="16"/>
      <c r="C295" s="348" t="s">
        <v>681</v>
      </c>
      <c r="D295" s="179" t="s">
        <v>668</v>
      </c>
      <c r="E295" s="191">
        <v>12.48</v>
      </c>
      <c r="F295" s="192">
        <v>0.35</v>
      </c>
      <c r="G295" s="190"/>
      <c r="H295" s="190"/>
      <c r="I295" s="16"/>
      <c r="J295" s="16"/>
      <c r="K295" s="16"/>
      <c r="L295" s="16"/>
      <c r="M295" s="16"/>
      <c r="N295" s="16"/>
      <c r="O295" s="16"/>
      <c r="P295" s="16"/>
      <c r="Q295" s="16"/>
      <c r="R295" s="16"/>
      <c r="S295" s="16"/>
      <c r="T295" s="16"/>
      <c r="U295" s="16"/>
      <c r="V295" s="16"/>
      <c r="W295" s="16"/>
      <c r="X295" s="16"/>
      <c r="Y295" s="16"/>
      <c r="Z295" s="16"/>
      <c r="AA295" s="16"/>
    </row>
    <row r="296" spans="1:27">
      <c r="A296" s="16"/>
      <c r="B296" s="16"/>
      <c r="C296" s="343"/>
      <c r="D296" s="179" t="s">
        <v>669</v>
      </c>
      <c r="E296" s="191">
        <v>2.85</v>
      </c>
      <c r="F296" s="192">
        <v>1.57</v>
      </c>
      <c r="G296" s="190"/>
      <c r="H296" s="190"/>
      <c r="I296" s="16"/>
      <c r="J296" s="16"/>
      <c r="K296" s="16"/>
      <c r="L296" s="16"/>
      <c r="M296" s="16"/>
      <c r="N296" s="16"/>
      <c r="O296" s="16"/>
      <c r="P296" s="16"/>
      <c r="Q296" s="16"/>
      <c r="R296" s="16"/>
      <c r="S296" s="16"/>
      <c r="T296" s="16"/>
      <c r="U296" s="16"/>
      <c r="V296" s="16"/>
      <c r="W296" s="16"/>
      <c r="X296" s="16"/>
      <c r="Y296" s="16"/>
      <c r="Z296" s="16"/>
      <c r="AA296" s="16"/>
    </row>
    <row r="297" spans="1:27">
      <c r="A297" s="16"/>
      <c r="B297" s="16"/>
      <c r="C297" s="349"/>
      <c r="D297" s="179" t="s">
        <v>229</v>
      </c>
      <c r="E297" s="191">
        <v>0.99</v>
      </c>
      <c r="F297" s="192">
        <v>0.92</v>
      </c>
      <c r="G297" s="190"/>
      <c r="H297" s="190"/>
      <c r="I297" s="16"/>
      <c r="J297" s="16"/>
      <c r="K297" s="16"/>
      <c r="L297" s="16"/>
      <c r="M297" s="16"/>
      <c r="N297" s="16"/>
      <c r="O297" s="16"/>
      <c r="P297" s="16"/>
      <c r="Q297" s="16"/>
      <c r="R297" s="16"/>
      <c r="S297" s="16"/>
      <c r="T297" s="16"/>
      <c r="U297" s="16"/>
      <c r="V297" s="16"/>
      <c r="W297" s="16"/>
      <c r="X297" s="16"/>
      <c r="Y297" s="16"/>
      <c r="Z297" s="16"/>
      <c r="AA297" s="16"/>
    </row>
    <row r="298" spans="1:27">
      <c r="A298" s="16"/>
      <c r="B298" s="16"/>
      <c r="C298" s="348" t="s">
        <v>682</v>
      </c>
      <c r="D298" s="179" t="s">
        <v>675</v>
      </c>
      <c r="E298" s="191">
        <v>2.87</v>
      </c>
      <c r="F298" s="192">
        <v>1.59</v>
      </c>
      <c r="G298" s="190"/>
      <c r="H298" s="190"/>
      <c r="I298" s="16"/>
      <c r="J298" s="16"/>
      <c r="K298" s="16"/>
      <c r="L298" s="16"/>
      <c r="M298" s="16"/>
      <c r="N298" s="16"/>
      <c r="O298" s="16"/>
      <c r="P298" s="16"/>
      <c r="Q298" s="16"/>
      <c r="R298" s="16"/>
      <c r="S298" s="16"/>
      <c r="T298" s="16"/>
      <c r="U298" s="16"/>
      <c r="V298" s="16"/>
      <c r="W298" s="16"/>
      <c r="X298" s="16"/>
      <c r="Y298" s="16"/>
      <c r="Z298" s="16"/>
      <c r="AA298" s="16"/>
    </row>
    <row r="299" spans="1:27">
      <c r="A299" s="16"/>
      <c r="B299" s="16"/>
      <c r="C299" s="343"/>
      <c r="D299" s="179" t="s">
        <v>229</v>
      </c>
      <c r="E299" s="191">
        <v>0.83</v>
      </c>
      <c r="F299" s="192">
        <v>0.78</v>
      </c>
      <c r="G299" s="190"/>
      <c r="H299" s="190"/>
      <c r="I299" s="16"/>
      <c r="J299" s="16"/>
      <c r="K299" s="16"/>
      <c r="L299" s="16"/>
      <c r="M299" s="16"/>
      <c r="N299" s="16"/>
      <c r="O299" s="16"/>
      <c r="P299" s="16"/>
      <c r="Q299" s="16"/>
      <c r="R299" s="16"/>
      <c r="S299" s="16"/>
      <c r="T299" s="16"/>
      <c r="U299" s="16"/>
      <c r="V299" s="16"/>
      <c r="W299" s="16"/>
      <c r="X299" s="16"/>
      <c r="Y299" s="16"/>
      <c r="Z299" s="16"/>
      <c r="AA299" s="16"/>
    </row>
    <row r="300" spans="1:27">
      <c r="A300" s="16"/>
      <c r="B300" s="16"/>
      <c r="C300" s="349"/>
      <c r="D300" s="179" t="s">
        <v>656</v>
      </c>
      <c r="E300" s="191">
        <v>0.43</v>
      </c>
      <c r="F300" s="192">
        <v>0.63</v>
      </c>
      <c r="G300" s="190"/>
      <c r="H300" s="190"/>
      <c r="I300" s="16"/>
      <c r="J300" s="16"/>
      <c r="K300" s="16"/>
      <c r="L300" s="16"/>
      <c r="M300" s="16"/>
      <c r="N300" s="16"/>
      <c r="O300" s="16"/>
      <c r="P300" s="16"/>
      <c r="Q300" s="16"/>
      <c r="R300" s="16"/>
      <c r="S300" s="16"/>
      <c r="T300" s="16"/>
      <c r="U300" s="16"/>
      <c r="V300" s="16"/>
      <c r="W300" s="16"/>
      <c r="X300" s="16"/>
      <c r="Y300" s="16"/>
      <c r="Z300" s="16"/>
      <c r="AA300" s="16"/>
    </row>
    <row r="301" spans="1:27">
      <c r="A301" s="16"/>
      <c r="B301" s="16"/>
      <c r="C301" s="342" t="s">
        <v>683</v>
      </c>
      <c r="D301" s="179" t="s">
        <v>668</v>
      </c>
      <c r="E301" s="191">
        <v>4.2699999999999996</v>
      </c>
      <c r="F301" s="192">
        <v>0.2</v>
      </c>
      <c r="G301" s="190"/>
      <c r="H301" s="190"/>
      <c r="I301" s="16"/>
      <c r="J301" s="16"/>
      <c r="K301" s="16"/>
      <c r="L301" s="16"/>
      <c r="M301" s="16"/>
      <c r="N301" s="16"/>
      <c r="O301" s="16"/>
      <c r="P301" s="16"/>
      <c r="Q301" s="16"/>
      <c r="R301" s="16"/>
      <c r="S301" s="16"/>
      <c r="T301" s="16"/>
      <c r="U301" s="16"/>
      <c r="V301" s="16"/>
      <c r="W301" s="16"/>
      <c r="X301" s="16"/>
      <c r="Y301" s="16"/>
      <c r="Z301" s="16"/>
      <c r="AA301" s="16"/>
    </row>
    <row r="302" spans="1:27">
      <c r="A302" s="16"/>
      <c r="B302" s="16"/>
      <c r="C302" s="343"/>
      <c r="D302" s="179" t="s">
        <v>669</v>
      </c>
      <c r="E302" s="191">
        <v>4.3</v>
      </c>
      <c r="F302" s="192">
        <v>2.2200000000000002</v>
      </c>
      <c r="G302" s="190"/>
      <c r="H302" s="190"/>
      <c r="I302" s="16"/>
      <c r="J302" s="16"/>
      <c r="K302" s="16"/>
      <c r="L302" s="16"/>
      <c r="M302" s="16"/>
      <c r="N302" s="16"/>
      <c r="O302" s="16"/>
      <c r="P302" s="16"/>
      <c r="Q302" s="16"/>
      <c r="R302" s="16"/>
      <c r="S302" s="16"/>
      <c r="T302" s="16"/>
      <c r="U302" s="16"/>
      <c r="V302" s="16"/>
      <c r="W302" s="16"/>
      <c r="X302" s="16"/>
      <c r="Y302" s="16"/>
      <c r="Z302" s="16"/>
      <c r="AA302" s="16"/>
    </row>
    <row r="303" spans="1:27">
      <c r="A303" s="16"/>
      <c r="B303" s="16"/>
      <c r="C303" s="343"/>
      <c r="D303" s="179" t="s">
        <v>229</v>
      </c>
      <c r="E303" s="191">
        <v>0.8</v>
      </c>
      <c r="F303" s="192">
        <v>0.75</v>
      </c>
      <c r="G303" s="190"/>
      <c r="H303" s="190"/>
      <c r="I303" s="16"/>
      <c r="J303" s="16"/>
      <c r="K303" s="16"/>
      <c r="L303" s="16"/>
      <c r="M303" s="16"/>
      <c r="N303" s="16"/>
      <c r="O303" s="16"/>
      <c r="P303" s="16"/>
      <c r="Q303" s="16"/>
      <c r="R303" s="16"/>
      <c r="S303" s="16"/>
      <c r="T303" s="16"/>
      <c r="U303" s="16"/>
      <c r="V303" s="16"/>
      <c r="W303" s="16"/>
      <c r="X303" s="16"/>
      <c r="Y303" s="16"/>
      <c r="Z303" s="16"/>
      <c r="AA303" s="16"/>
    </row>
    <row r="304" spans="1:27" ht="13.9" customHeight="1" thickBot="1">
      <c r="A304" s="16"/>
      <c r="B304" s="16"/>
      <c r="C304" s="344"/>
      <c r="D304" s="198" t="s">
        <v>656</v>
      </c>
      <c r="E304" s="199">
        <v>0.41</v>
      </c>
      <c r="F304" s="200">
        <v>0.57999999999999996</v>
      </c>
      <c r="G304" s="190"/>
      <c r="H304" s="190"/>
      <c r="I304" s="16"/>
      <c r="J304" s="16"/>
      <c r="K304" s="16"/>
      <c r="L304" s="16"/>
      <c r="M304" s="16"/>
      <c r="N304" s="16"/>
      <c r="O304" s="16"/>
      <c r="P304" s="16"/>
      <c r="Q304" s="16"/>
      <c r="R304" s="16"/>
      <c r="S304" s="16"/>
      <c r="T304" s="16"/>
      <c r="U304" s="16"/>
      <c r="V304" s="16"/>
      <c r="W304" s="16"/>
      <c r="X304" s="16"/>
      <c r="Y304" s="16"/>
      <c r="Z304" s="16"/>
      <c r="AA304" s="16"/>
    </row>
    <row r="305" spans="1:27">
      <c r="A305" s="16"/>
      <c r="B305" s="16"/>
      <c r="C305" s="37" t="s">
        <v>684</v>
      </c>
      <c r="D305" s="334"/>
      <c r="E305" s="334"/>
      <c r="F305" s="334"/>
      <c r="G305" s="334"/>
      <c r="H305" s="334"/>
      <c r="I305" s="16"/>
      <c r="J305" s="16"/>
      <c r="K305" s="16"/>
      <c r="L305" s="16"/>
      <c r="M305" s="16"/>
      <c r="N305" s="16"/>
      <c r="O305" s="16"/>
      <c r="P305" s="16"/>
      <c r="Q305" s="16"/>
      <c r="R305" s="16"/>
      <c r="S305" s="16"/>
      <c r="T305" s="16"/>
      <c r="U305" s="16"/>
      <c r="V305" s="16"/>
      <c r="W305" s="16"/>
      <c r="X305" s="16"/>
      <c r="Y305" s="16"/>
      <c r="Z305" s="16"/>
      <c r="AA305" s="16"/>
    </row>
    <row r="306" spans="1:27" s="337" customFormat="1" ht="54" customHeight="1">
      <c r="C306" s="381" t="s">
        <v>685</v>
      </c>
      <c r="D306" s="385"/>
      <c r="E306" s="385"/>
      <c r="F306" s="385"/>
      <c r="G306" s="385"/>
      <c r="H306" s="385"/>
      <c r="I306" s="385"/>
      <c r="J306" s="385"/>
      <c r="K306" s="385"/>
      <c r="L306" s="385"/>
    </row>
    <row r="307" spans="1:27">
      <c r="A307" s="16"/>
      <c r="B307" s="16"/>
      <c r="C307" s="334"/>
      <c r="D307" s="334"/>
      <c r="E307" s="334"/>
      <c r="F307" s="334"/>
      <c r="G307" s="334"/>
      <c r="H307" s="334"/>
      <c r="I307" s="16"/>
      <c r="J307" s="16"/>
      <c r="K307" s="16"/>
      <c r="L307" s="16"/>
      <c r="M307" s="16"/>
      <c r="N307" s="16"/>
      <c r="O307" s="16"/>
      <c r="P307" s="16"/>
      <c r="Q307" s="16"/>
      <c r="R307" s="16"/>
      <c r="S307" s="16"/>
      <c r="T307" s="16"/>
      <c r="U307" s="16"/>
      <c r="V307" s="16"/>
      <c r="W307" s="16"/>
      <c r="X307" s="16"/>
      <c r="Y307" s="16"/>
      <c r="Z307" s="16"/>
      <c r="AA307" s="16"/>
    </row>
    <row r="308" spans="1:27" s="336" customFormat="1" ht="15.6" customHeight="1">
      <c r="A308" s="31"/>
      <c r="B308" s="32" t="s">
        <v>686</v>
      </c>
      <c r="C308" s="33" t="s">
        <v>687</v>
      </c>
      <c r="D308" s="34"/>
      <c r="E308" s="34"/>
      <c r="F308" s="35"/>
      <c r="G308" s="140"/>
      <c r="H308" s="140"/>
      <c r="I308" s="140"/>
      <c r="J308" s="140"/>
      <c r="K308" s="140"/>
      <c r="L308" s="141"/>
      <c r="M308" s="16"/>
      <c r="N308" s="31"/>
      <c r="O308" s="31"/>
      <c r="P308" s="31"/>
      <c r="Q308" s="31"/>
      <c r="R308" s="31"/>
      <c r="S308" s="31"/>
      <c r="T308" s="31"/>
      <c r="U308" s="31"/>
      <c r="V308" s="31"/>
      <c r="W308" s="31"/>
      <c r="X308" s="31"/>
      <c r="Y308" s="31"/>
      <c r="Z308" s="31"/>
      <c r="AA308" s="31"/>
    </row>
    <row r="309" spans="1:27" ht="13.9" customHeight="1" thickBot="1">
      <c r="A309" s="16"/>
      <c r="B309" s="17"/>
      <c r="C309" s="124"/>
      <c r="D309" s="124"/>
      <c r="E309" s="124"/>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4.45" customHeight="1">
      <c r="A310" s="16"/>
      <c r="B310" s="17"/>
      <c r="C310" s="201"/>
      <c r="D310" s="380" t="s">
        <v>688</v>
      </c>
      <c r="E310" s="372"/>
      <c r="F310" s="373"/>
      <c r="G310" s="380" t="s">
        <v>689</v>
      </c>
      <c r="H310" s="372"/>
      <c r="I310" s="373"/>
      <c r="J310" s="22"/>
      <c r="K310" s="16"/>
      <c r="L310" s="16"/>
      <c r="M310" s="16"/>
      <c r="N310" s="16"/>
      <c r="O310" s="16"/>
      <c r="P310" s="16"/>
      <c r="Q310" s="16"/>
      <c r="R310" s="16"/>
      <c r="S310" s="16"/>
      <c r="T310" s="16"/>
      <c r="U310" s="16"/>
      <c r="V310" s="16"/>
      <c r="W310" s="16"/>
      <c r="X310" s="16"/>
      <c r="Y310" s="16"/>
      <c r="Z310" s="16"/>
      <c r="AA310" s="16"/>
    </row>
    <row r="311" spans="1:27" ht="15.6" customHeight="1">
      <c r="A311" s="16"/>
      <c r="B311" s="17"/>
      <c r="C311" s="202" t="s">
        <v>690</v>
      </c>
      <c r="D311" s="203" t="s">
        <v>466</v>
      </c>
      <c r="E311" s="204" t="s">
        <v>467</v>
      </c>
      <c r="F311" s="205" t="s">
        <v>468</v>
      </c>
      <c r="G311" s="203" t="s">
        <v>466</v>
      </c>
      <c r="H311" s="204" t="s">
        <v>467</v>
      </c>
      <c r="I311" s="205" t="s">
        <v>468</v>
      </c>
      <c r="J311" s="16"/>
      <c r="K311" s="16"/>
      <c r="L311" s="16"/>
      <c r="M311" s="16"/>
      <c r="N311" s="16"/>
      <c r="O311" s="16"/>
      <c r="P311" s="16"/>
      <c r="Q311" s="16"/>
      <c r="R311" s="16"/>
      <c r="S311" s="16"/>
      <c r="T311" s="16"/>
      <c r="U311" s="16"/>
      <c r="V311" s="16"/>
      <c r="W311" s="16"/>
      <c r="X311" s="16"/>
      <c r="Y311" s="16"/>
      <c r="Z311" s="16"/>
      <c r="AA311" s="16"/>
    </row>
    <row r="312" spans="1:27" ht="13.9" customHeight="1" thickBot="1">
      <c r="A312" s="16"/>
      <c r="B312" s="17"/>
      <c r="C312" s="206"/>
      <c r="D312" s="207" t="s">
        <v>691</v>
      </c>
      <c r="E312" s="208" t="s">
        <v>691</v>
      </c>
      <c r="F312" s="209" t="s">
        <v>691</v>
      </c>
      <c r="G312" s="207" t="s">
        <v>691</v>
      </c>
      <c r="H312" s="208" t="s">
        <v>691</v>
      </c>
      <c r="I312" s="209" t="s">
        <v>691</v>
      </c>
      <c r="J312" s="16"/>
      <c r="K312" s="337"/>
      <c r="L312" s="16"/>
      <c r="M312" s="16"/>
      <c r="N312" s="16"/>
      <c r="O312" s="16"/>
      <c r="P312" s="16"/>
      <c r="Q312" s="16"/>
      <c r="R312" s="16"/>
      <c r="S312" s="16"/>
      <c r="T312" s="16"/>
      <c r="U312" s="16"/>
      <c r="V312" s="16"/>
      <c r="W312" s="16"/>
      <c r="X312" s="16"/>
      <c r="Y312" s="16"/>
      <c r="Z312" s="16"/>
      <c r="AA312" s="16"/>
    </row>
    <row r="313" spans="1:27" ht="13.5" customHeight="1">
      <c r="A313" s="16"/>
      <c r="B313" s="16"/>
      <c r="C313" s="210" t="s">
        <v>692</v>
      </c>
      <c r="D313" s="211">
        <v>1097.5999999999999</v>
      </c>
      <c r="E313" s="212">
        <v>0.1</v>
      </c>
      <c r="F313" s="213">
        <v>1.4E-2</v>
      </c>
      <c r="G313" s="211">
        <v>1315.1</v>
      </c>
      <c r="H313" s="212">
        <v>0.126</v>
      </c>
      <c r="I313" s="214">
        <v>1.7000000000000001E-2</v>
      </c>
      <c r="J313" s="16"/>
      <c r="K313" s="16"/>
      <c r="L313" s="16"/>
      <c r="M313" s="16"/>
      <c r="N313" s="337"/>
      <c r="O313" s="337"/>
      <c r="P313" s="337"/>
      <c r="Q313" s="16"/>
      <c r="R313" s="16"/>
      <c r="S313" s="16"/>
      <c r="T313" s="16"/>
      <c r="U313" s="16"/>
      <c r="V313" s="16"/>
      <c r="W313" s="16"/>
      <c r="X313" s="16"/>
      <c r="Y313" s="16"/>
      <c r="Z313" s="16"/>
      <c r="AA313" s="16"/>
    </row>
    <row r="314" spans="1:27" ht="13.5" customHeight="1">
      <c r="A314" s="16"/>
      <c r="B314" s="16"/>
      <c r="C314" s="215" t="s">
        <v>693</v>
      </c>
      <c r="D314" s="216">
        <v>534.1</v>
      </c>
      <c r="E314" s="217">
        <v>2.7E-2</v>
      </c>
      <c r="F314" s="218">
        <v>5.0000000000000001E-3</v>
      </c>
      <c r="G314" s="216">
        <v>1517.7</v>
      </c>
      <c r="H314" s="217">
        <v>6.6000000000000003E-2</v>
      </c>
      <c r="I314" s="219">
        <v>1.2E-2</v>
      </c>
      <c r="J314" s="16"/>
      <c r="K314" s="16"/>
      <c r="L314" s="16"/>
      <c r="M314" s="16"/>
      <c r="N314" s="337"/>
      <c r="O314" s="337"/>
      <c r="P314" s="337"/>
      <c r="Q314" s="16"/>
      <c r="R314" s="16"/>
      <c r="S314" s="16"/>
      <c r="T314" s="16"/>
      <c r="U314" s="16"/>
      <c r="V314" s="16"/>
      <c r="W314" s="16"/>
      <c r="X314" s="16"/>
      <c r="Y314" s="16"/>
      <c r="Z314" s="16"/>
      <c r="AA314" s="16"/>
    </row>
    <row r="315" spans="1:27" ht="13.5" customHeight="1">
      <c r="A315" s="16"/>
      <c r="B315" s="16"/>
      <c r="C315" s="215" t="s">
        <v>694</v>
      </c>
      <c r="D315" s="216">
        <v>846.6</v>
      </c>
      <c r="E315" s="217">
        <v>5.3999999999999999E-2</v>
      </c>
      <c r="F315" s="218">
        <v>7.0000000000000001E-3</v>
      </c>
      <c r="G315" s="216">
        <v>1368.6</v>
      </c>
      <c r="H315" s="217">
        <v>0.09</v>
      </c>
      <c r="I315" s="219">
        <v>1.2999999999999999E-2</v>
      </c>
      <c r="J315" s="16"/>
      <c r="K315" s="16"/>
      <c r="L315" s="16"/>
      <c r="M315" s="16"/>
      <c r="N315" s="337"/>
      <c r="O315" s="337"/>
      <c r="P315" s="337"/>
      <c r="Q315" s="16"/>
      <c r="R315" s="16"/>
      <c r="S315" s="16"/>
      <c r="T315" s="16"/>
      <c r="U315" s="16"/>
      <c r="V315" s="16"/>
      <c r="W315" s="16"/>
      <c r="X315" s="16"/>
      <c r="Y315" s="16"/>
      <c r="Z315" s="16"/>
      <c r="AA315" s="16"/>
    </row>
    <row r="316" spans="1:27" ht="13.5" customHeight="1">
      <c r="A316" s="16"/>
      <c r="B316" s="16"/>
      <c r="C316" s="215" t="s">
        <v>695</v>
      </c>
      <c r="D316" s="216">
        <v>513.5</v>
      </c>
      <c r="E316" s="217">
        <v>3.2000000000000001E-2</v>
      </c>
      <c r="F316" s="218">
        <v>4.0000000000000001E-3</v>
      </c>
      <c r="G316" s="216">
        <v>1006.5</v>
      </c>
      <c r="H316" s="217">
        <v>5.2999999999999999E-2</v>
      </c>
      <c r="I316" s="219">
        <v>7.0000000000000001E-3</v>
      </c>
      <c r="J316" s="16"/>
      <c r="K316" s="16"/>
      <c r="L316" s="16"/>
      <c r="M316" s="16"/>
      <c r="N316" s="337"/>
      <c r="O316" s="337"/>
      <c r="P316" s="337"/>
      <c r="Q316" s="16"/>
      <c r="R316" s="16"/>
      <c r="S316" s="16"/>
      <c r="T316" s="16"/>
      <c r="U316" s="16"/>
      <c r="V316" s="16"/>
      <c r="W316" s="16"/>
      <c r="X316" s="16"/>
      <c r="Y316" s="16"/>
      <c r="Z316" s="16"/>
      <c r="AA316" s="16"/>
    </row>
    <row r="317" spans="1:27" ht="13.5" customHeight="1">
      <c r="A317" s="16"/>
      <c r="B317" s="16"/>
      <c r="C317" s="215" t="s">
        <v>696</v>
      </c>
      <c r="D317" s="216">
        <v>818.6</v>
      </c>
      <c r="E317" s="217">
        <v>5.1999999999999998E-2</v>
      </c>
      <c r="F317" s="218">
        <v>7.0000000000000001E-3</v>
      </c>
      <c r="G317" s="216">
        <v>1296.5999999999999</v>
      </c>
      <c r="H317" s="217">
        <v>8.5999999999999993E-2</v>
      </c>
      <c r="I317" s="219">
        <v>1.2E-2</v>
      </c>
      <c r="J317" s="16"/>
      <c r="K317" s="16"/>
      <c r="L317" s="16"/>
      <c r="M317" s="16"/>
      <c r="N317" s="337"/>
      <c r="O317" s="337"/>
      <c r="P317" s="337"/>
      <c r="Q317" s="16"/>
      <c r="R317" s="16"/>
      <c r="S317" s="16"/>
      <c r="T317" s="16"/>
      <c r="U317" s="16"/>
      <c r="V317" s="16"/>
      <c r="W317" s="16"/>
      <c r="X317" s="16"/>
      <c r="Y317" s="16"/>
      <c r="Z317" s="16"/>
      <c r="AA317" s="16"/>
    </row>
    <row r="318" spans="1:27" ht="13.5" customHeight="1">
      <c r="A318" s="16"/>
      <c r="B318" s="16"/>
      <c r="C318" s="215" t="s">
        <v>697</v>
      </c>
      <c r="D318" s="216">
        <v>835.1</v>
      </c>
      <c r="E318" s="217">
        <v>4.9000000000000002E-2</v>
      </c>
      <c r="F318" s="218">
        <v>6.0000000000000001E-3</v>
      </c>
      <c r="G318" s="216">
        <v>1011</v>
      </c>
      <c r="H318" s="217">
        <v>5.1999999999999998E-2</v>
      </c>
      <c r="I318" s="219">
        <v>7.0000000000000001E-3</v>
      </c>
      <c r="J318" s="16"/>
      <c r="K318" s="16"/>
      <c r="L318" s="16"/>
      <c r="M318" s="16"/>
      <c r="N318" s="337"/>
      <c r="O318" s="337"/>
      <c r="P318" s="337"/>
      <c r="Q318" s="16"/>
      <c r="R318" s="16"/>
      <c r="S318" s="16"/>
      <c r="T318" s="16"/>
      <c r="U318" s="16"/>
      <c r="V318" s="16"/>
      <c r="W318" s="16"/>
      <c r="X318" s="16"/>
      <c r="Y318" s="16"/>
      <c r="Z318" s="16"/>
      <c r="AA318" s="16"/>
    </row>
    <row r="319" spans="1:27" ht="13.5" customHeight="1">
      <c r="A319" s="16"/>
      <c r="B319" s="16"/>
      <c r="C319" s="215" t="s">
        <v>698</v>
      </c>
      <c r="D319" s="216">
        <v>1143.2</v>
      </c>
      <c r="E319" s="217">
        <v>0.11</v>
      </c>
      <c r="F319" s="218">
        <v>1.7000000000000001E-2</v>
      </c>
      <c r="G319" s="216">
        <v>1542.1</v>
      </c>
      <c r="H319" s="217">
        <v>0.13400000000000001</v>
      </c>
      <c r="I319" s="219">
        <v>2.1999999999999999E-2</v>
      </c>
      <c r="J319" s="16"/>
      <c r="K319" s="16"/>
      <c r="L319" s="16"/>
      <c r="M319" s="16"/>
      <c r="N319" s="337"/>
      <c r="O319" s="337"/>
      <c r="P319" s="337"/>
      <c r="Q319" s="16"/>
      <c r="R319" s="16"/>
      <c r="S319" s="16"/>
      <c r="T319" s="16"/>
      <c r="U319" s="16"/>
      <c r="V319" s="16"/>
      <c r="W319" s="16"/>
      <c r="X319" s="16"/>
      <c r="Y319" s="16"/>
      <c r="Z319" s="16"/>
      <c r="AA319" s="16"/>
    </row>
    <row r="320" spans="1:27" ht="13.5" customHeight="1">
      <c r="A320" s="16"/>
      <c r="B320" s="16"/>
      <c r="C320" s="215" t="s">
        <v>699</v>
      </c>
      <c r="D320" s="216">
        <v>1653</v>
      </c>
      <c r="E320" s="217">
        <v>0.17799999999999999</v>
      </c>
      <c r="F320" s="218">
        <v>2.7E-2</v>
      </c>
      <c r="G320" s="216">
        <v>1753.5</v>
      </c>
      <c r="H320" s="217">
        <v>0.17499999999999999</v>
      </c>
      <c r="I320" s="219">
        <v>2.7E-2</v>
      </c>
      <c r="J320" s="16"/>
      <c r="K320" s="16"/>
      <c r="L320" s="16"/>
      <c r="M320" s="16"/>
      <c r="N320" s="337"/>
      <c r="O320" s="337"/>
      <c r="P320" s="337"/>
      <c r="Q320" s="16"/>
      <c r="R320" s="16"/>
      <c r="S320" s="16"/>
      <c r="T320" s="16"/>
      <c r="U320" s="16"/>
      <c r="V320" s="16"/>
      <c r="W320" s="16"/>
      <c r="X320" s="16"/>
      <c r="Y320" s="16"/>
      <c r="Z320" s="16"/>
      <c r="AA320" s="16"/>
    </row>
    <row r="321" spans="1:27" ht="13.5" customHeight="1">
      <c r="A321" s="16"/>
      <c r="B321" s="16"/>
      <c r="C321" s="215" t="s">
        <v>700</v>
      </c>
      <c r="D321" s="216">
        <v>1526.4</v>
      </c>
      <c r="E321" s="217">
        <v>0.13900000000000001</v>
      </c>
      <c r="F321" s="218">
        <v>0.02</v>
      </c>
      <c r="G321" s="216">
        <v>1628.9</v>
      </c>
      <c r="H321" s="217">
        <v>0.14299999999999999</v>
      </c>
      <c r="I321" s="219">
        <v>2.1000000000000001E-2</v>
      </c>
      <c r="J321" s="16"/>
      <c r="K321" s="16"/>
      <c r="L321" s="16"/>
      <c r="M321" s="16"/>
      <c r="N321" s="337"/>
      <c r="O321" s="337"/>
      <c r="P321" s="337"/>
      <c r="Q321" s="16"/>
      <c r="R321" s="16"/>
      <c r="S321" s="16"/>
      <c r="T321" s="16"/>
      <c r="U321" s="16"/>
      <c r="V321" s="16"/>
      <c r="W321" s="16"/>
      <c r="X321" s="16"/>
      <c r="Y321" s="16"/>
      <c r="Z321" s="16"/>
      <c r="AA321" s="16"/>
    </row>
    <row r="322" spans="1:27" ht="13.5" customHeight="1">
      <c r="A322" s="16"/>
      <c r="B322" s="16"/>
      <c r="C322" s="215" t="s">
        <v>701</v>
      </c>
      <c r="D322" s="216">
        <v>979.5</v>
      </c>
      <c r="E322" s="217">
        <v>0.104</v>
      </c>
      <c r="F322" s="218">
        <v>1.4999999999999999E-2</v>
      </c>
      <c r="G322" s="216">
        <v>1810</v>
      </c>
      <c r="H322" s="217">
        <v>0.185</v>
      </c>
      <c r="I322" s="219">
        <v>2.7E-2</v>
      </c>
      <c r="J322" s="16"/>
      <c r="K322" s="16"/>
      <c r="L322" s="16"/>
      <c r="M322" s="16"/>
      <c r="N322" s="337"/>
      <c r="O322" s="337"/>
      <c r="P322" s="337"/>
      <c r="Q322" s="16"/>
      <c r="R322" s="16"/>
      <c r="S322" s="16"/>
      <c r="T322" s="16"/>
      <c r="U322" s="16"/>
      <c r="V322" s="16"/>
      <c r="W322" s="16"/>
      <c r="X322" s="16"/>
      <c r="Y322" s="16"/>
      <c r="Z322" s="16"/>
      <c r="AA322" s="16"/>
    </row>
    <row r="323" spans="1:27" ht="13.5" customHeight="1">
      <c r="A323" s="16"/>
      <c r="B323" s="16"/>
      <c r="C323" s="215" t="s">
        <v>702</v>
      </c>
      <c r="D323" s="216">
        <v>528.20000000000005</v>
      </c>
      <c r="E323" s="217">
        <v>7.3999999999999996E-2</v>
      </c>
      <c r="F323" s="218">
        <v>0.01</v>
      </c>
      <c r="G323" s="216">
        <v>882.5</v>
      </c>
      <c r="H323" s="217">
        <v>7.0000000000000007E-2</v>
      </c>
      <c r="I323" s="219">
        <v>8.9999999999999993E-3</v>
      </c>
      <c r="J323" s="16"/>
      <c r="K323" s="16"/>
      <c r="L323" s="16"/>
      <c r="M323" s="16"/>
      <c r="N323" s="337"/>
      <c r="O323" s="337"/>
      <c r="P323" s="337"/>
      <c r="Q323" s="16"/>
      <c r="R323" s="16"/>
      <c r="S323" s="16"/>
      <c r="T323" s="16"/>
      <c r="U323" s="16"/>
      <c r="V323" s="16"/>
      <c r="W323" s="16"/>
      <c r="X323" s="16"/>
      <c r="Y323" s="16"/>
      <c r="Z323" s="16"/>
      <c r="AA323" s="16"/>
    </row>
    <row r="324" spans="1:27" ht="13.5" customHeight="1">
      <c r="A324" s="16"/>
      <c r="B324" s="16"/>
      <c r="C324" s="215" t="s">
        <v>703</v>
      </c>
      <c r="D324" s="216">
        <v>600</v>
      </c>
      <c r="E324" s="217">
        <v>5.6000000000000001E-2</v>
      </c>
      <c r="F324" s="218">
        <v>8.0000000000000002E-3</v>
      </c>
      <c r="G324" s="216">
        <v>1653</v>
      </c>
      <c r="H324" s="217">
        <v>0.159</v>
      </c>
      <c r="I324" s="219">
        <v>2.3E-2</v>
      </c>
      <c r="J324" s="16"/>
      <c r="K324" s="16"/>
      <c r="L324" s="16"/>
      <c r="M324" s="16"/>
      <c r="N324" s="337"/>
      <c r="O324" s="337"/>
      <c r="P324" s="337"/>
      <c r="Q324" s="16"/>
      <c r="R324" s="16"/>
      <c r="S324" s="16"/>
      <c r="T324" s="16"/>
      <c r="U324" s="16"/>
      <c r="V324" s="16"/>
      <c r="W324" s="16"/>
      <c r="X324" s="16"/>
      <c r="Y324" s="16"/>
      <c r="Z324" s="16"/>
      <c r="AA324" s="16"/>
    </row>
    <row r="325" spans="1:27" ht="13.5" customHeight="1">
      <c r="A325" s="16"/>
      <c r="B325" s="16"/>
      <c r="C325" s="215" t="s">
        <v>704</v>
      </c>
      <c r="D325" s="216">
        <v>634.6</v>
      </c>
      <c r="E325" s="217">
        <v>2.1999999999999999E-2</v>
      </c>
      <c r="F325" s="218">
        <v>3.0000000000000001E-3</v>
      </c>
      <c r="G325" s="216">
        <v>970.2</v>
      </c>
      <c r="H325" s="217">
        <v>2.1000000000000001E-2</v>
      </c>
      <c r="I325" s="219">
        <v>2E-3</v>
      </c>
      <c r="J325" s="16"/>
      <c r="K325" s="16"/>
      <c r="L325" s="16"/>
      <c r="M325" s="16"/>
      <c r="N325" s="337"/>
      <c r="O325" s="337"/>
      <c r="P325" s="337"/>
      <c r="Q325" s="16"/>
      <c r="R325" s="16"/>
      <c r="S325" s="16"/>
      <c r="T325" s="16"/>
      <c r="U325" s="16"/>
      <c r="V325" s="16"/>
      <c r="W325" s="16"/>
      <c r="X325" s="16"/>
      <c r="Y325" s="16"/>
      <c r="Z325" s="16"/>
      <c r="AA325" s="16"/>
    </row>
    <row r="326" spans="1:27" ht="13.5" customHeight="1">
      <c r="A326" s="16"/>
      <c r="B326" s="16"/>
      <c r="C326" s="215" t="s">
        <v>705</v>
      </c>
      <c r="D326" s="216">
        <v>1203.9000000000001</v>
      </c>
      <c r="E326" s="217">
        <v>0.13800000000000001</v>
      </c>
      <c r="F326" s="218">
        <v>1.7999999999999999E-2</v>
      </c>
      <c r="G326" s="216">
        <v>1260.5999999999999</v>
      </c>
      <c r="H326" s="217">
        <v>3.4000000000000002E-2</v>
      </c>
      <c r="I326" s="219">
        <v>4.0000000000000001E-3</v>
      </c>
      <c r="J326" s="16"/>
      <c r="K326" s="16"/>
      <c r="L326" s="16"/>
      <c r="M326" s="16"/>
      <c r="N326" s="337"/>
      <c r="O326" s="337"/>
      <c r="P326" s="337"/>
      <c r="Q326" s="16"/>
      <c r="R326" s="16"/>
      <c r="S326" s="16"/>
      <c r="T326" s="16"/>
      <c r="U326" s="16"/>
      <c r="V326" s="16"/>
      <c r="W326" s="16"/>
      <c r="X326" s="16"/>
      <c r="Y326" s="16"/>
      <c r="Z326" s="16"/>
      <c r="AA326" s="16"/>
    </row>
    <row r="327" spans="1:27" ht="13.5" customHeight="1">
      <c r="A327" s="16"/>
      <c r="B327" s="16"/>
      <c r="C327" s="215" t="s">
        <v>706</v>
      </c>
      <c r="D327" s="216">
        <v>233.5</v>
      </c>
      <c r="E327" s="217">
        <v>1.6E-2</v>
      </c>
      <c r="F327" s="218">
        <v>2E-3</v>
      </c>
      <c r="G327" s="216">
        <v>877.9</v>
      </c>
      <c r="H327" s="217">
        <v>4.2000000000000003E-2</v>
      </c>
      <c r="I327" s="219">
        <v>5.0000000000000001E-3</v>
      </c>
      <c r="J327" s="16"/>
      <c r="K327" s="16"/>
      <c r="L327" s="16"/>
      <c r="M327" s="16"/>
      <c r="N327" s="337"/>
      <c r="O327" s="337"/>
      <c r="P327" s="337"/>
      <c r="Q327" s="16"/>
      <c r="R327" s="16"/>
      <c r="S327" s="16"/>
      <c r="T327" s="16"/>
      <c r="U327" s="16"/>
      <c r="V327" s="16"/>
      <c r="W327" s="16"/>
      <c r="X327" s="16"/>
      <c r="Y327" s="16"/>
      <c r="Z327" s="16"/>
      <c r="AA327" s="16"/>
    </row>
    <row r="328" spans="1:27" ht="13.5" customHeight="1">
      <c r="A328" s="16"/>
      <c r="B328" s="16"/>
      <c r="C328" s="215" t="s">
        <v>707</v>
      </c>
      <c r="D328" s="216">
        <v>1602.2</v>
      </c>
      <c r="E328" s="217">
        <v>8.5000000000000006E-2</v>
      </c>
      <c r="F328" s="218">
        <v>1.4E-2</v>
      </c>
      <c r="G328" s="216">
        <v>1673.3</v>
      </c>
      <c r="H328" s="217">
        <v>7.0000000000000007E-2</v>
      </c>
      <c r="I328" s="219">
        <v>1.2999999999999999E-2</v>
      </c>
      <c r="J328" s="16"/>
      <c r="K328" s="16"/>
      <c r="L328" s="16"/>
      <c r="M328" s="16"/>
      <c r="N328" s="337"/>
      <c r="O328" s="337"/>
      <c r="P328" s="337"/>
      <c r="Q328" s="16"/>
      <c r="R328" s="16"/>
      <c r="S328" s="16"/>
      <c r="T328" s="16"/>
      <c r="U328" s="16"/>
      <c r="V328" s="16"/>
      <c r="W328" s="16"/>
      <c r="X328" s="16"/>
      <c r="Y328" s="16"/>
      <c r="Z328" s="16"/>
      <c r="AA328" s="16"/>
    </row>
    <row r="329" spans="1:27" ht="13.5" customHeight="1">
      <c r="A329" s="16"/>
      <c r="B329" s="16"/>
      <c r="C329" s="215" t="s">
        <v>708</v>
      </c>
      <c r="D329" s="216">
        <v>652.5</v>
      </c>
      <c r="E329" s="217">
        <v>4.4999999999999998E-2</v>
      </c>
      <c r="F329" s="218">
        <v>6.0000000000000001E-3</v>
      </c>
      <c r="G329" s="216">
        <v>1233.4000000000001</v>
      </c>
      <c r="H329" s="217">
        <v>8.5000000000000006E-2</v>
      </c>
      <c r="I329" s="219">
        <v>1.2E-2</v>
      </c>
      <c r="J329" s="16"/>
      <c r="K329" s="16"/>
      <c r="L329" s="16"/>
      <c r="M329" s="16"/>
      <c r="N329" s="337"/>
      <c r="O329" s="337"/>
      <c r="P329" s="337"/>
      <c r="Q329" s="16"/>
      <c r="R329" s="16"/>
      <c r="S329" s="16"/>
      <c r="T329" s="16"/>
      <c r="U329" s="16"/>
      <c r="V329" s="16"/>
      <c r="W329" s="16"/>
      <c r="X329" s="16"/>
      <c r="Y329" s="16"/>
      <c r="Z329" s="16"/>
      <c r="AA329" s="16"/>
    </row>
    <row r="330" spans="1:27" ht="13.5" customHeight="1">
      <c r="A330" s="16"/>
      <c r="B330" s="16"/>
      <c r="C330" s="215" t="s">
        <v>709</v>
      </c>
      <c r="D330" s="216">
        <v>1153.0999999999999</v>
      </c>
      <c r="E330" s="217">
        <v>0.10100000000000001</v>
      </c>
      <c r="F330" s="218">
        <v>1.4E-2</v>
      </c>
      <c r="G330" s="216">
        <v>1725.7</v>
      </c>
      <c r="H330" s="217">
        <v>0.16300000000000001</v>
      </c>
      <c r="I330" s="219">
        <v>2.3E-2</v>
      </c>
      <c r="J330" s="16"/>
      <c r="K330" s="16"/>
      <c r="L330" s="16"/>
      <c r="M330" s="16"/>
      <c r="N330" s="337"/>
      <c r="O330" s="337"/>
      <c r="P330" s="337"/>
      <c r="Q330" s="16"/>
      <c r="R330" s="16"/>
      <c r="S330" s="16"/>
      <c r="T330" s="16"/>
      <c r="U330" s="16"/>
      <c r="V330" s="16"/>
      <c r="W330" s="16"/>
      <c r="X330" s="16"/>
      <c r="Y330" s="16"/>
      <c r="Z330" s="16"/>
      <c r="AA330" s="16"/>
    </row>
    <row r="331" spans="1:27" ht="13.5" customHeight="1">
      <c r="A331" s="16"/>
      <c r="B331" s="16"/>
      <c r="C331" s="215" t="s">
        <v>710</v>
      </c>
      <c r="D331" s="216">
        <v>985</v>
      </c>
      <c r="E331" s="217">
        <v>8.5999999999999993E-2</v>
      </c>
      <c r="F331" s="218">
        <v>1.2E-2</v>
      </c>
      <c r="G331" s="216">
        <v>1810.4</v>
      </c>
      <c r="H331" s="217">
        <v>0.17299999999999999</v>
      </c>
      <c r="I331" s="219">
        <v>2.5000000000000001E-2</v>
      </c>
      <c r="J331" s="16"/>
      <c r="K331" s="16"/>
      <c r="L331" s="16"/>
      <c r="M331" s="16"/>
      <c r="N331" s="337"/>
      <c r="O331" s="337"/>
      <c r="P331" s="337"/>
      <c r="Q331" s="16"/>
      <c r="R331" s="16"/>
      <c r="S331" s="16"/>
      <c r="T331" s="16"/>
      <c r="U331" s="16"/>
      <c r="V331" s="16"/>
      <c r="W331" s="16"/>
      <c r="X331" s="16"/>
      <c r="Y331" s="16"/>
      <c r="Z331" s="16"/>
      <c r="AA331" s="16"/>
    </row>
    <row r="332" spans="1:27" ht="13.5" customHeight="1">
      <c r="A332" s="16"/>
      <c r="B332" s="16"/>
      <c r="C332" s="215" t="s">
        <v>711</v>
      </c>
      <c r="D332" s="216">
        <v>1144.8</v>
      </c>
      <c r="E332" s="217">
        <v>0.10100000000000001</v>
      </c>
      <c r="F332" s="218">
        <v>1.4E-2</v>
      </c>
      <c r="G332" s="216">
        <v>1651.9</v>
      </c>
      <c r="H332" s="217">
        <v>0.13100000000000001</v>
      </c>
      <c r="I332" s="219">
        <v>1.9E-2</v>
      </c>
      <c r="J332" s="16"/>
      <c r="K332" s="16"/>
      <c r="L332" s="16"/>
      <c r="M332" s="16"/>
      <c r="N332" s="337"/>
      <c r="O332" s="337"/>
      <c r="P332" s="337"/>
      <c r="Q332" s="16"/>
      <c r="R332" s="16"/>
      <c r="S332" s="16"/>
      <c r="T332" s="16"/>
      <c r="U332" s="16"/>
      <c r="V332" s="16"/>
      <c r="W332" s="16"/>
      <c r="X332" s="16"/>
      <c r="Y332" s="16"/>
      <c r="Z332" s="16"/>
      <c r="AA332" s="16"/>
    </row>
    <row r="333" spans="1:27" ht="13.5" customHeight="1">
      <c r="A333" s="16"/>
      <c r="B333" s="16"/>
      <c r="C333" s="215" t="s">
        <v>712</v>
      </c>
      <c r="D333" s="216">
        <v>954</v>
      </c>
      <c r="E333" s="217">
        <v>0.1</v>
      </c>
      <c r="F333" s="218">
        <v>1.4E-2</v>
      </c>
      <c r="G333" s="216">
        <v>1969.9</v>
      </c>
      <c r="H333" s="217">
        <v>0.20499999999999999</v>
      </c>
      <c r="I333" s="219">
        <v>0.03</v>
      </c>
      <c r="J333" s="16"/>
      <c r="K333" s="16"/>
      <c r="L333" s="16"/>
      <c r="M333" s="16"/>
      <c r="N333" s="337"/>
      <c r="O333" s="337"/>
      <c r="P333" s="337"/>
      <c r="Q333" s="16"/>
      <c r="R333" s="16"/>
      <c r="S333" s="16"/>
      <c r="T333" s="16"/>
      <c r="U333" s="16"/>
      <c r="V333" s="16"/>
      <c r="W333" s="16"/>
      <c r="X333" s="16"/>
      <c r="Y333" s="16"/>
      <c r="Z333" s="16"/>
      <c r="AA333" s="16"/>
    </row>
    <row r="334" spans="1:27" ht="13.5" customHeight="1">
      <c r="A334" s="16"/>
      <c r="B334" s="16"/>
      <c r="C334" s="215" t="s">
        <v>713</v>
      </c>
      <c r="D334" s="216">
        <v>931.8</v>
      </c>
      <c r="E334" s="217">
        <v>0.06</v>
      </c>
      <c r="F334" s="218">
        <v>8.9999999999999993E-3</v>
      </c>
      <c r="G334" s="216">
        <v>1514.1</v>
      </c>
      <c r="H334" s="217">
        <v>0.1</v>
      </c>
      <c r="I334" s="219">
        <v>1.4E-2</v>
      </c>
      <c r="J334" s="16"/>
      <c r="K334" s="16"/>
      <c r="L334" s="16"/>
      <c r="M334" s="16"/>
      <c r="N334" s="337"/>
      <c r="O334" s="337"/>
      <c r="P334" s="337"/>
      <c r="Q334" s="16"/>
      <c r="R334" s="16"/>
      <c r="S334" s="16"/>
      <c r="T334" s="16"/>
      <c r="U334" s="16"/>
      <c r="V334" s="16"/>
      <c r="W334" s="16"/>
      <c r="X334" s="16"/>
      <c r="Y334" s="16"/>
      <c r="Z334" s="16"/>
      <c r="AA334" s="16"/>
    </row>
    <row r="335" spans="1:27" ht="13.5" customHeight="1">
      <c r="A335" s="16"/>
      <c r="B335" s="16"/>
      <c r="C335" s="215" t="s">
        <v>714</v>
      </c>
      <c r="D335" s="216">
        <v>740.4</v>
      </c>
      <c r="E335" s="217">
        <v>3.2000000000000001E-2</v>
      </c>
      <c r="F335" s="218">
        <v>4.0000000000000001E-3</v>
      </c>
      <c r="G335" s="216">
        <v>1137.4000000000001</v>
      </c>
      <c r="H335" s="217">
        <v>5.5E-2</v>
      </c>
      <c r="I335" s="219">
        <v>8.0000000000000002E-3</v>
      </c>
      <c r="J335" s="16"/>
      <c r="K335" s="16"/>
      <c r="L335" s="16"/>
      <c r="M335" s="16"/>
      <c r="N335" s="337"/>
      <c r="O335" s="337"/>
      <c r="P335" s="337"/>
      <c r="Q335" s="16"/>
      <c r="R335" s="16"/>
      <c r="S335" s="16"/>
      <c r="T335" s="16"/>
      <c r="U335" s="16"/>
      <c r="V335" s="16"/>
      <c r="W335" s="16"/>
      <c r="X335" s="16"/>
      <c r="Y335" s="16"/>
      <c r="Z335" s="16"/>
      <c r="AA335" s="16"/>
    </row>
    <row r="336" spans="1:27" ht="13.5" customHeight="1">
      <c r="A336" s="16"/>
      <c r="B336" s="16"/>
      <c r="C336" s="215" t="s">
        <v>715</v>
      </c>
      <c r="D336" s="216">
        <v>1480.7</v>
      </c>
      <c r="E336" s="217">
        <v>0.156</v>
      </c>
      <c r="F336" s="218">
        <v>2.3E-2</v>
      </c>
      <c r="G336" s="216">
        <v>1866.5</v>
      </c>
      <c r="H336" s="217">
        <v>0.19400000000000001</v>
      </c>
      <c r="I336" s="219">
        <v>2.8000000000000001E-2</v>
      </c>
      <c r="J336" s="16"/>
      <c r="K336" s="16"/>
      <c r="L336" s="16"/>
      <c r="M336" s="16"/>
      <c r="N336" s="337"/>
      <c r="O336" s="337"/>
      <c r="P336" s="337"/>
      <c r="Q336" s="16"/>
      <c r="R336" s="16"/>
      <c r="S336" s="16"/>
      <c r="T336" s="16"/>
      <c r="U336" s="16"/>
      <c r="V336" s="16"/>
      <c r="W336" s="16"/>
      <c r="X336" s="16"/>
      <c r="Y336" s="16"/>
      <c r="Z336" s="16"/>
      <c r="AA336" s="16"/>
    </row>
    <row r="337" spans="1:27" ht="13.5" customHeight="1">
      <c r="A337" s="16"/>
      <c r="B337" s="16"/>
      <c r="C337" s="215" t="s">
        <v>716</v>
      </c>
      <c r="D337" s="216">
        <v>860.2</v>
      </c>
      <c r="E337" s="217">
        <v>0.06</v>
      </c>
      <c r="F337" s="218">
        <v>8.9999999999999993E-3</v>
      </c>
      <c r="G337" s="216">
        <v>1336.9</v>
      </c>
      <c r="H337" s="217">
        <v>9.4E-2</v>
      </c>
      <c r="I337" s="219">
        <v>1.2999999999999999E-2</v>
      </c>
      <c r="J337" s="16"/>
      <c r="K337" s="16"/>
      <c r="L337" s="16"/>
      <c r="M337" s="16"/>
      <c r="N337" s="337"/>
      <c r="O337" s="337"/>
      <c r="P337" s="337"/>
      <c r="Q337" s="16"/>
      <c r="R337" s="16"/>
      <c r="S337" s="16"/>
      <c r="T337" s="16"/>
      <c r="U337" s="16"/>
      <c r="V337" s="16"/>
      <c r="W337" s="16"/>
      <c r="X337" s="16"/>
      <c r="Y337" s="16"/>
      <c r="Z337" s="16"/>
      <c r="AA337" s="16"/>
    </row>
    <row r="338" spans="1:27" ht="13.5" customHeight="1">
      <c r="A338" s="16"/>
      <c r="B338" s="16"/>
      <c r="C338" s="215" t="s">
        <v>717</v>
      </c>
      <c r="D338" s="216">
        <v>834.2</v>
      </c>
      <c r="E338" s="217">
        <v>7.4999999999999997E-2</v>
      </c>
      <c r="F338" s="218">
        <v>1.0999999999999999E-2</v>
      </c>
      <c r="G338" s="216">
        <v>1511.8</v>
      </c>
      <c r="H338" s="217">
        <v>0.13500000000000001</v>
      </c>
      <c r="I338" s="219">
        <v>1.9E-2</v>
      </c>
      <c r="J338" s="16"/>
      <c r="K338" s="16"/>
      <c r="L338" s="16"/>
      <c r="M338" s="16"/>
      <c r="N338" s="337"/>
      <c r="O338" s="337"/>
      <c r="P338" s="337"/>
      <c r="Q338" s="16"/>
      <c r="R338" s="16"/>
      <c r="S338" s="16"/>
      <c r="T338" s="16"/>
      <c r="U338" s="16"/>
      <c r="V338" s="16"/>
      <c r="W338" s="16"/>
      <c r="X338" s="16"/>
      <c r="Y338" s="16"/>
      <c r="Z338" s="16"/>
      <c r="AA338" s="16"/>
    </row>
    <row r="339" spans="1:27" ht="13.5" customHeight="1">
      <c r="A339" s="16"/>
      <c r="B339" s="16"/>
      <c r="C339" s="215" t="s">
        <v>718</v>
      </c>
      <c r="D339" s="216">
        <v>623.1</v>
      </c>
      <c r="E339" s="217">
        <v>0.05</v>
      </c>
      <c r="F339" s="218">
        <v>7.0000000000000001E-3</v>
      </c>
      <c r="G339" s="216">
        <v>1323.9</v>
      </c>
      <c r="H339" s="217">
        <v>0.114</v>
      </c>
      <c r="I339" s="219">
        <v>1.6E-2</v>
      </c>
      <c r="J339" s="16"/>
      <c r="K339" s="16"/>
      <c r="L339" s="16"/>
      <c r="M339" s="16"/>
      <c r="N339" s="337"/>
      <c r="O339" s="337"/>
      <c r="P339" s="337"/>
      <c r="Q339" s="16"/>
      <c r="R339" s="16"/>
      <c r="S339" s="16"/>
      <c r="T339" s="16"/>
      <c r="U339" s="16"/>
      <c r="V339" s="16"/>
      <c r="W339" s="16"/>
      <c r="X339" s="16"/>
      <c r="Y339" s="16"/>
      <c r="Z339" s="16"/>
      <c r="AA339" s="16"/>
    </row>
    <row r="340" spans="1:27" ht="13.9" customHeight="1" thickBot="1">
      <c r="A340" s="16"/>
      <c r="B340" s="16"/>
      <c r="C340" s="220" t="s">
        <v>719</v>
      </c>
      <c r="D340" s="221">
        <v>818.3</v>
      </c>
      <c r="E340" s="222">
        <v>6.5000000000000002E-2</v>
      </c>
      <c r="F340" s="223">
        <v>8.9999999999999993E-3</v>
      </c>
      <c r="G340" s="221">
        <v>1399.6</v>
      </c>
      <c r="H340" s="222">
        <v>0.109</v>
      </c>
      <c r="I340" s="224">
        <v>1.4999999999999999E-2</v>
      </c>
      <c r="J340" s="16"/>
      <c r="K340" s="16"/>
      <c r="L340" s="16"/>
      <c r="M340" s="16"/>
      <c r="N340" s="337"/>
      <c r="O340" s="337"/>
      <c r="P340" s="337"/>
      <c r="Q340" s="16"/>
      <c r="R340" s="16"/>
      <c r="S340" s="16"/>
      <c r="T340" s="16"/>
      <c r="U340" s="16"/>
      <c r="V340" s="16"/>
      <c r="W340" s="16"/>
      <c r="X340" s="16"/>
      <c r="Y340" s="16"/>
      <c r="Z340" s="16"/>
      <c r="AA340" s="16"/>
    </row>
    <row r="341" spans="1:27" ht="14.45" customHeight="1">
      <c r="A341" s="16"/>
      <c r="B341" s="17"/>
      <c r="C341" s="391" t="s">
        <v>720</v>
      </c>
      <c r="D341" s="392"/>
      <c r="E341" s="392"/>
      <c r="F341" s="392"/>
      <c r="G341" s="392"/>
      <c r="H341" s="392"/>
      <c r="I341" s="392"/>
      <c r="J341" s="16"/>
      <c r="K341" s="225"/>
      <c r="L341" s="225"/>
      <c r="M341" s="16"/>
      <c r="N341" s="16"/>
      <c r="O341" s="16"/>
      <c r="P341" s="16"/>
      <c r="Q341" s="16"/>
      <c r="R341" s="16"/>
      <c r="S341" s="16"/>
      <c r="T341" s="16"/>
      <c r="U341" s="16"/>
      <c r="V341" s="16"/>
      <c r="W341" s="16"/>
      <c r="X341" s="16"/>
      <c r="Y341" s="16"/>
      <c r="Z341" s="16"/>
      <c r="AA341" s="16"/>
    </row>
    <row r="342" spans="1:27" ht="22.5" customHeight="1">
      <c r="A342" s="16"/>
      <c r="B342" s="17"/>
      <c r="C342" s="370" t="s">
        <v>721</v>
      </c>
      <c r="D342" s="351"/>
      <c r="E342" s="351"/>
      <c r="F342" s="351"/>
      <c r="G342" s="351"/>
      <c r="H342" s="351"/>
      <c r="I342" s="351"/>
      <c r="J342" s="16"/>
      <c r="K342" s="16"/>
      <c r="L342" s="16"/>
      <c r="M342" s="16"/>
      <c r="N342" s="16"/>
      <c r="O342" s="16"/>
      <c r="P342" s="16"/>
      <c r="Q342" s="16"/>
      <c r="R342" s="16"/>
      <c r="S342" s="16"/>
      <c r="T342" s="16"/>
      <c r="U342" s="16"/>
      <c r="V342" s="16"/>
      <c r="W342" s="16"/>
      <c r="X342" s="16"/>
      <c r="Y342" s="16"/>
      <c r="Z342" s="16"/>
      <c r="AA342" s="16"/>
    </row>
    <row r="343" spans="1:27">
      <c r="A343" s="16"/>
      <c r="B343" s="17"/>
      <c r="C343" s="226"/>
      <c r="D343" s="226"/>
      <c r="E343" s="22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c r="A344" s="16"/>
      <c r="B344" s="17"/>
      <c r="C344" s="226"/>
      <c r="D344" s="226"/>
      <c r="E344" s="22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c r="A345" s="16"/>
      <c r="B345" s="17"/>
      <c r="C345" s="226"/>
      <c r="D345" s="226"/>
      <c r="E345" s="226"/>
      <c r="F345" s="16"/>
      <c r="G345" s="16"/>
      <c r="H345" s="16"/>
      <c r="I345" s="227"/>
      <c r="J345" s="16"/>
      <c r="K345" s="16"/>
      <c r="L345" s="16"/>
      <c r="M345" s="16"/>
      <c r="N345" s="16"/>
      <c r="O345" s="16"/>
      <c r="P345" s="16"/>
      <c r="Q345" s="16"/>
      <c r="R345" s="16"/>
      <c r="S345" s="16"/>
      <c r="T345" s="16"/>
      <c r="U345" s="16"/>
      <c r="V345" s="16"/>
      <c r="W345" s="16"/>
      <c r="X345" s="16"/>
      <c r="Y345" s="16"/>
      <c r="Z345" s="16"/>
      <c r="AA345" s="16"/>
    </row>
    <row r="346" spans="1:27">
      <c r="A346" s="16"/>
      <c r="B346" s="17"/>
      <c r="C346" s="226"/>
      <c r="D346" s="226"/>
      <c r="E346" s="22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c r="A347" s="16"/>
      <c r="B347" s="17"/>
      <c r="C347" s="226"/>
      <c r="D347" s="226"/>
      <c r="E347" s="22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3.5" customHeight="1">
      <c r="A348" s="16"/>
      <c r="B348" s="17"/>
      <c r="C348" s="226"/>
      <c r="D348" s="226"/>
      <c r="E348" s="226"/>
      <c r="F348" s="16"/>
      <c r="G348" s="16"/>
      <c r="H348" s="16"/>
      <c r="I348" s="16"/>
      <c r="J348" s="16"/>
      <c r="K348" s="337"/>
      <c r="L348" s="16"/>
      <c r="M348" s="16"/>
      <c r="N348" s="16"/>
      <c r="O348" s="16"/>
      <c r="P348" s="16"/>
      <c r="Q348" s="16"/>
      <c r="R348" s="16"/>
      <c r="S348" s="16"/>
      <c r="T348" s="16"/>
      <c r="U348" s="16"/>
      <c r="V348" s="16"/>
      <c r="W348" s="16"/>
      <c r="X348" s="16"/>
      <c r="Y348" s="16"/>
      <c r="Z348" s="16"/>
      <c r="AA348" s="16"/>
    </row>
    <row r="349" spans="1:27">
      <c r="A349" s="16"/>
      <c r="B349" s="17"/>
      <c r="C349" s="226"/>
      <c r="D349" s="226"/>
      <c r="E349" s="22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c r="A350" s="16"/>
      <c r="B350" s="17"/>
      <c r="C350" s="226"/>
      <c r="D350" s="226"/>
      <c r="E350" s="22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c r="A351" s="16"/>
      <c r="B351" s="17"/>
      <c r="C351" s="226"/>
      <c r="D351" s="226"/>
      <c r="E351" s="22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c r="A352" s="16"/>
      <c r="B352" s="17"/>
      <c r="C352" s="226"/>
      <c r="D352" s="226"/>
      <c r="E352" s="22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c r="A353" s="16"/>
      <c r="B353" s="17"/>
      <c r="C353" s="226"/>
      <c r="D353" s="226"/>
      <c r="E353" s="22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c r="A354" s="16"/>
      <c r="B354" s="17"/>
      <c r="C354" s="226"/>
      <c r="D354" s="226"/>
      <c r="E354" s="22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c r="A355" s="16"/>
      <c r="B355" s="17"/>
      <c r="C355" s="226"/>
      <c r="D355" s="226"/>
      <c r="E355" s="22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c r="A356" s="16"/>
      <c r="B356" s="17"/>
      <c r="C356" s="226"/>
      <c r="D356" s="226"/>
      <c r="E356" s="22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c r="A357" s="16"/>
      <c r="B357" s="17"/>
      <c r="C357" s="226"/>
      <c r="D357" s="226"/>
      <c r="E357" s="22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c r="A358" s="16"/>
      <c r="B358" s="17"/>
      <c r="C358" s="226"/>
      <c r="D358" s="226"/>
      <c r="E358" s="22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c r="A359" s="16"/>
      <c r="B359" s="17"/>
      <c r="C359" s="226"/>
      <c r="D359" s="226"/>
      <c r="E359" s="22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c r="A360" s="16"/>
      <c r="B360" s="17"/>
      <c r="C360" s="226"/>
      <c r="D360" s="226"/>
      <c r="E360" s="22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c r="A361" s="16"/>
      <c r="B361" s="17"/>
      <c r="C361" s="226"/>
      <c r="D361" s="226"/>
      <c r="E361" s="22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c r="A362" s="16"/>
      <c r="B362" s="17"/>
      <c r="C362" s="226"/>
      <c r="D362" s="226"/>
      <c r="E362" s="22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c r="A363" s="16"/>
      <c r="B363" s="17"/>
      <c r="C363" s="226"/>
      <c r="D363" s="226"/>
      <c r="E363" s="22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c r="A364" s="16"/>
      <c r="B364" s="17"/>
      <c r="C364" s="226"/>
      <c r="D364" s="226"/>
      <c r="E364" s="22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c r="A365" s="16"/>
      <c r="B365" s="17"/>
      <c r="C365" s="226"/>
      <c r="D365" s="226"/>
      <c r="E365" s="22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c r="A366" s="16"/>
      <c r="B366" s="17"/>
      <c r="C366" s="226"/>
      <c r="D366" s="226"/>
      <c r="E366" s="22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c r="A367" s="16"/>
      <c r="B367" s="17"/>
      <c r="C367" s="226"/>
      <c r="D367" s="226"/>
      <c r="E367" s="22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c r="A368" s="16"/>
      <c r="B368" s="17"/>
      <c r="C368" s="226"/>
      <c r="D368" s="226"/>
      <c r="E368" s="22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c r="A369" s="16"/>
      <c r="B369" s="17"/>
      <c r="C369" s="226"/>
      <c r="D369" s="226"/>
      <c r="E369" s="22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c r="A370" s="16"/>
      <c r="B370" s="17"/>
      <c r="C370" s="226"/>
      <c r="D370" s="226"/>
      <c r="E370" s="22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c r="A371" s="16"/>
      <c r="B371" s="17"/>
      <c r="C371" s="226"/>
      <c r="D371" s="226"/>
      <c r="E371" s="22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c r="A372" s="16"/>
      <c r="B372" s="17"/>
      <c r="C372" s="226"/>
      <c r="D372" s="226"/>
      <c r="E372" s="22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c r="A373" s="16"/>
      <c r="B373" s="17"/>
      <c r="C373" s="226"/>
      <c r="D373" s="226"/>
      <c r="E373" s="22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c r="A374" s="16"/>
      <c r="B374" s="17"/>
      <c r="C374" s="226"/>
      <c r="D374" s="226"/>
      <c r="E374" s="226"/>
      <c r="F374" s="16"/>
      <c r="G374" s="16"/>
      <c r="H374" s="16"/>
      <c r="I374" s="115"/>
      <c r="J374" s="115"/>
      <c r="K374" s="16"/>
      <c r="L374" s="16"/>
      <c r="M374" s="16"/>
      <c r="N374" s="16"/>
      <c r="O374" s="16"/>
      <c r="P374" s="16"/>
      <c r="Q374" s="16"/>
      <c r="R374" s="16"/>
      <c r="S374" s="16"/>
      <c r="T374" s="16"/>
      <c r="U374" s="16"/>
      <c r="V374" s="16"/>
      <c r="W374" s="16"/>
      <c r="X374" s="16"/>
      <c r="Y374" s="16"/>
      <c r="Z374" s="16"/>
      <c r="AA374" s="16"/>
    </row>
    <row r="375" spans="1:27" ht="15.6" customHeight="1">
      <c r="A375" s="16"/>
      <c r="B375" s="137" t="s">
        <v>722</v>
      </c>
      <c r="C375" s="138" t="s">
        <v>723</v>
      </c>
      <c r="D375" s="228"/>
      <c r="E375" s="229"/>
      <c r="F375" s="140"/>
      <c r="G375" s="140"/>
      <c r="H375" s="140"/>
      <c r="I375" s="140"/>
      <c r="J375" s="140"/>
      <c r="K375" s="140"/>
      <c r="L375" s="141"/>
      <c r="M375" s="16"/>
      <c r="N375" s="16"/>
      <c r="O375" s="16"/>
      <c r="P375" s="16"/>
      <c r="Q375" s="16"/>
      <c r="R375" s="16"/>
      <c r="S375" s="16"/>
      <c r="T375" s="16"/>
      <c r="U375" s="16"/>
      <c r="V375" s="16"/>
      <c r="W375" s="16"/>
      <c r="X375" s="16"/>
      <c r="Y375" s="16"/>
      <c r="Z375" s="16"/>
      <c r="AA375" s="16"/>
    </row>
    <row r="376" spans="1:27" ht="13.9" customHeight="1" thickBot="1">
      <c r="A376" s="16"/>
      <c r="B376" s="17"/>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29.45" customHeight="1" thickBot="1">
      <c r="A377" s="16"/>
      <c r="B377" s="17"/>
      <c r="C377" s="187"/>
      <c r="D377" s="230" t="s">
        <v>724</v>
      </c>
      <c r="E377" s="144" t="s">
        <v>725</v>
      </c>
      <c r="F377" s="145" t="s">
        <v>726</v>
      </c>
      <c r="G377" s="22"/>
      <c r="H377" s="44"/>
      <c r="I377" s="16"/>
      <c r="J377" s="16"/>
      <c r="K377" s="16"/>
      <c r="L377" s="16"/>
      <c r="M377" s="16"/>
      <c r="N377" s="16"/>
      <c r="O377" s="16"/>
      <c r="P377" s="16"/>
      <c r="Q377" s="16"/>
      <c r="R377" s="16"/>
      <c r="S377" s="16"/>
      <c r="T377" s="16"/>
      <c r="U377" s="16"/>
      <c r="V377" s="16"/>
      <c r="W377" s="16"/>
      <c r="X377" s="16"/>
      <c r="Y377" s="16"/>
      <c r="Z377" s="16"/>
      <c r="AA377" s="16"/>
    </row>
    <row r="378" spans="1:27" ht="13.9" customHeight="1" thickBot="1">
      <c r="A378" s="16"/>
      <c r="B378" s="17"/>
      <c r="C378" s="231" t="s">
        <v>723</v>
      </c>
      <c r="D378" s="232">
        <v>66.33</v>
      </c>
      <c r="E378" s="233">
        <v>1.25</v>
      </c>
      <c r="F378" s="234">
        <v>0.125</v>
      </c>
      <c r="G378" s="16"/>
      <c r="H378" s="44"/>
      <c r="I378" s="16"/>
      <c r="J378" s="16"/>
      <c r="L378" s="16"/>
      <c r="M378" s="16"/>
      <c r="N378" s="16"/>
      <c r="O378" s="16"/>
      <c r="P378" s="16"/>
      <c r="Q378" s="16"/>
      <c r="R378" s="16"/>
      <c r="S378" s="16"/>
      <c r="T378" s="16"/>
      <c r="U378" s="16"/>
      <c r="V378" s="16"/>
      <c r="W378" s="16"/>
      <c r="X378" s="16"/>
      <c r="Y378" s="16"/>
      <c r="Z378" s="16"/>
      <c r="AA378" s="16"/>
    </row>
    <row r="379" spans="1:27">
      <c r="A379" s="16"/>
      <c r="B379" s="17"/>
      <c r="C379" s="109" t="s">
        <v>727</v>
      </c>
      <c r="D379" s="31"/>
      <c r="E379" s="110"/>
      <c r="F379" s="110"/>
      <c r="G379" s="110"/>
      <c r="H379" s="31"/>
      <c r="I379" s="31"/>
      <c r="J379" s="31"/>
      <c r="K379" s="31"/>
      <c r="L379" s="16"/>
      <c r="M379" s="16"/>
      <c r="N379" s="16"/>
      <c r="O379" s="16"/>
      <c r="P379" s="16"/>
      <c r="Q379" s="16"/>
      <c r="R379" s="16"/>
      <c r="S379" s="16"/>
      <c r="T379" s="16"/>
      <c r="U379" s="16"/>
      <c r="V379" s="16"/>
      <c r="W379" s="16"/>
      <c r="X379" s="16"/>
      <c r="Y379" s="16"/>
      <c r="Z379" s="16"/>
      <c r="AA379" s="16"/>
    </row>
    <row r="380" spans="1:27">
      <c r="A380" s="16"/>
      <c r="B380" s="17"/>
      <c r="C380" s="381"/>
      <c r="D380" s="351"/>
      <c r="E380" s="351"/>
      <c r="F380" s="351"/>
      <c r="G380" s="351"/>
      <c r="H380" s="351"/>
      <c r="I380" s="351"/>
      <c r="J380" s="351"/>
      <c r="K380" s="351"/>
      <c r="L380" s="16"/>
      <c r="M380" s="16"/>
      <c r="N380" s="16"/>
      <c r="O380" s="16"/>
      <c r="P380" s="16"/>
      <c r="Q380" s="16"/>
      <c r="R380" s="16"/>
      <c r="S380" s="16"/>
      <c r="T380" s="16"/>
      <c r="U380" s="16"/>
      <c r="V380" s="16"/>
      <c r="W380" s="16"/>
      <c r="X380" s="16"/>
      <c r="Y380" s="16"/>
      <c r="Z380" s="16"/>
      <c r="AA380" s="16"/>
    </row>
    <row r="381" spans="1:27" ht="15.6" customHeight="1">
      <c r="A381" s="16"/>
      <c r="B381" s="362" t="s">
        <v>728</v>
      </c>
      <c r="C381" s="346"/>
      <c r="D381" s="346"/>
      <c r="E381" s="346"/>
      <c r="F381" s="346"/>
      <c r="G381" s="346"/>
      <c r="H381" s="346"/>
      <c r="I381" s="346"/>
      <c r="J381" s="346"/>
      <c r="K381" s="346"/>
      <c r="L381" s="363"/>
      <c r="M381" s="16"/>
      <c r="N381" s="16"/>
      <c r="O381" s="16"/>
      <c r="P381" s="16"/>
      <c r="Q381" s="16"/>
      <c r="R381" s="16"/>
      <c r="S381" s="16"/>
      <c r="T381" s="16"/>
      <c r="U381" s="16"/>
      <c r="V381" s="16"/>
      <c r="W381" s="16"/>
      <c r="X381" s="16"/>
      <c r="Y381" s="16"/>
      <c r="Z381" s="16"/>
      <c r="AA381" s="16"/>
    </row>
    <row r="382" spans="1:27" ht="27" customHeight="1">
      <c r="B382" s="368" t="s">
        <v>729</v>
      </c>
      <c r="C382" s="369"/>
      <c r="D382" s="369"/>
      <c r="E382" s="369"/>
      <c r="F382" s="369"/>
      <c r="G382" s="369"/>
      <c r="H382" s="369"/>
      <c r="I382" s="369"/>
      <c r="J382" s="369"/>
      <c r="K382" s="369"/>
      <c r="L382" s="369"/>
    </row>
    <row r="384" spans="1:27" ht="15.6" customHeight="1">
      <c r="A384" s="16"/>
      <c r="B384" s="137" t="s">
        <v>730</v>
      </c>
      <c r="C384" s="138" t="s">
        <v>731</v>
      </c>
      <c r="D384" s="228"/>
      <c r="E384" s="228"/>
      <c r="F384" s="140"/>
      <c r="G384" s="140"/>
      <c r="H384" s="140"/>
      <c r="I384" s="140"/>
      <c r="J384" s="140"/>
      <c r="K384" s="140"/>
      <c r="L384" s="141"/>
      <c r="M384" s="16"/>
      <c r="N384" s="16"/>
      <c r="O384" s="16"/>
      <c r="P384" s="16"/>
      <c r="Q384" s="16"/>
      <c r="R384" s="16"/>
      <c r="S384" s="16"/>
      <c r="T384" s="16"/>
      <c r="U384" s="16"/>
      <c r="V384" s="16"/>
      <c r="W384" s="16"/>
      <c r="X384" s="16"/>
      <c r="Y384" s="16"/>
      <c r="Z384" s="16"/>
      <c r="AA384" s="16"/>
    </row>
    <row r="385" spans="1:27" ht="32.1" customHeight="1" thickBot="1">
      <c r="A385" s="16"/>
      <c r="B385" s="235"/>
      <c r="C385" s="389" t="s">
        <v>732</v>
      </c>
      <c r="D385" s="369"/>
      <c r="E385" s="369"/>
      <c r="F385" s="369"/>
      <c r="G385" s="369"/>
      <c r="H385" s="369"/>
      <c r="I385" s="369"/>
      <c r="J385" s="369"/>
      <c r="K385" s="369"/>
      <c r="L385" s="369"/>
      <c r="M385" s="16"/>
      <c r="N385" s="16"/>
      <c r="O385" s="16"/>
      <c r="P385" s="16"/>
      <c r="Q385" s="16"/>
      <c r="R385" s="16"/>
      <c r="S385" s="16"/>
      <c r="T385" s="16"/>
      <c r="U385" s="16"/>
      <c r="V385" s="16"/>
      <c r="W385" s="16"/>
      <c r="X385" s="16"/>
      <c r="Y385" s="16"/>
      <c r="Z385" s="16"/>
      <c r="AA385" s="16"/>
    </row>
    <row r="386" spans="1:27" ht="29.45" customHeight="1" thickBot="1">
      <c r="A386" s="16"/>
      <c r="B386" s="17"/>
      <c r="C386" s="187" t="s">
        <v>573</v>
      </c>
      <c r="D386" s="144" t="s">
        <v>733</v>
      </c>
      <c r="E386" s="144" t="s">
        <v>734</v>
      </c>
      <c r="F386" s="144" t="s">
        <v>735</v>
      </c>
      <c r="G386" s="145" t="s">
        <v>12</v>
      </c>
      <c r="H386" s="22"/>
      <c r="I386" s="57"/>
      <c r="J386" s="16"/>
      <c r="K386" s="16"/>
      <c r="L386" s="16"/>
      <c r="M386" s="16"/>
      <c r="N386" s="16"/>
      <c r="O386" s="16"/>
      <c r="P386" s="16"/>
      <c r="Q386" s="16"/>
      <c r="R386" s="16"/>
      <c r="S386" s="16"/>
      <c r="T386" s="16"/>
      <c r="U386" s="16"/>
      <c r="V386" s="16"/>
      <c r="W386" s="16"/>
      <c r="X386" s="16"/>
      <c r="Y386" s="16"/>
      <c r="Z386" s="16"/>
      <c r="AA386" s="16"/>
    </row>
    <row r="387" spans="1:27">
      <c r="A387" s="16"/>
      <c r="B387" s="17"/>
      <c r="C387" s="236" t="s">
        <v>736</v>
      </c>
      <c r="D387" s="237">
        <v>1.45</v>
      </c>
      <c r="E387" s="238">
        <v>1.2999999999999999E-2</v>
      </c>
      <c r="F387" s="237">
        <v>3.4000000000000002E-2</v>
      </c>
      <c r="G387" s="239" t="s">
        <v>737</v>
      </c>
      <c r="H387" s="16"/>
      <c r="I387" s="16"/>
      <c r="J387" s="16"/>
      <c r="K387" s="16"/>
      <c r="L387" s="16"/>
      <c r="M387" s="16"/>
      <c r="N387" s="16"/>
      <c r="O387" s="16"/>
      <c r="P387" s="16"/>
      <c r="Q387" s="16"/>
      <c r="R387" s="16"/>
      <c r="S387" s="16"/>
      <c r="T387" s="16"/>
      <c r="U387" s="16"/>
      <c r="V387" s="16"/>
      <c r="W387" s="16"/>
      <c r="X387" s="16"/>
      <c r="Y387" s="16"/>
      <c r="Z387" s="16"/>
      <c r="AA387" s="16"/>
    </row>
    <row r="388" spans="1:27" ht="15.6" customHeight="1">
      <c r="A388" s="16"/>
      <c r="B388" s="17"/>
      <c r="C388" s="240" t="s">
        <v>738</v>
      </c>
      <c r="D388" s="241">
        <v>0.33200000000000002</v>
      </c>
      <c r="E388" s="241">
        <v>7.0000000000000001E-3</v>
      </c>
      <c r="F388" s="241">
        <v>7.0000000000000001E-3</v>
      </c>
      <c r="G388" s="242" t="s">
        <v>737</v>
      </c>
      <c r="H388" s="16"/>
      <c r="I388" s="16"/>
      <c r="J388" s="16"/>
      <c r="K388" s="16"/>
      <c r="L388" s="16"/>
      <c r="M388" s="16"/>
      <c r="N388" s="16"/>
      <c r="O388" s="16"/>
      <c r="P388" s="16"/>
      <c r="Q388" s="16"/>
      <c r="R388" s="16"/>
      <c r="S388" s="16"/>
      <c r="T388" s="16"/>
      <c r="U388" s="16"/>
      <c r="V388" s="16"/>
      <c r="W388" s="16"/>
      <c r="X388" s="16"/>
      <c r="Y388" s="16"/>
      <c r="Z388" s="16"/>
      <c r="AA388" s="16"/>
    </row>
    <row r="389" spans="1:27" ht="16.149999999999999" customHeight="1" thickBot="1">
      <c r="A389" s="16"/>
      <c r="B389" s="17"/>
      <c r="C389" s="243" t="s">
        <v>739</v>
      </c>
      <c r="D389" s="244">
        <v>0.45400000000000001</v>
      </c>
      <c r="E389" s="245">
        <v>1.2E-2</v>
      </c>
      <c r="F389" s="244">
        <v>8.9999999999999993E-3</v>
      </c>
      <c r="G389" s="246" t="s">
        <v>737</v>
      </c>
      <c r="H389" s="16"/>
      <c r="I389" s="16"/>
      <c r="J389" s="16"/>
      <c r="K389" s="16"/>
      <c r="L389" s="16"/>
      <c r="M389" s="16"/>
      <c r="N389" s="16"/>
      <c r="O389" s="16"/>
      <c r="P389" s="16"/>
      <c r="Q389" s="16"/>
      <c r="R389" s="16"/>
      <c r="S389" s="16"/>
      <c r="T389" s="16"/>
      <c r="U389" s="16"/>
      <c r="V389" s="16"/>
      <c r="W389" s="16"/>
      <c r="X389" s="16"/>
      <c r="Y389" s="16"/>
      <c r="Z389" s="16"/>
      <c r="AA389" s="16"/>
    </row>
    <row r="390" spans="1:27">
      <c r="A390" s="16"/>
      <c r="B390" s="17"/>
      <c r="C390" s="236" t="s">
        <v>736</v>
      </c>
      <c r="D390" s="247">
        <v>0.21099999999999999</v>
      </c>
      <c r="E390" s="248">
        <v>2E-3</v>
      </c>
      <c r="F390" s="248">
        <v>4.8999999999999998E-3</v>
      </c>
      <c r="G390" s="239" t="s">
        <v>740</v>
      </c>
      <c r="H390" s="16"/>
      <c r="I390" s="16"/>
      <c r="J390" s="16"/>
      <c r="K390" s="16"/>
      <c r="L390" s="16"/>
      <c r="M390" s="16"/>
      <c r="N390" s="16"/>
      <c r="O390" s="16"/>
      <c r="P390" s="16"/>
      <c r="Q390" s="16"/>
      <c r="R390" s="16"/>
      <c r="S390" s="16"/>
      <c r="T390" s="16"/>
      <c r="U390" s="16"/>
      <c r="V390" s="16"/>
      <c r="W390" s="16"/>
      <c r="X390" s="16"/>
      <c r="Y390" s="16"/>
      <c r="Z390" s="16"/>
      <c r="AA390" s="16"/>
    </row>
    <row r="391" spans="1:27" ht="16.5" customHeight="1">
      <c r="A391" s="16"/>
      <c r="B391" s="17"/>
      <c r="C391" s="193" t="s">
        <v>160</v>
      </c>
      <c r="D391" s="249">
        <v>2.1999999999999999E-2</v>
      </c>
      <c r="E391" s="250">
        <v>1.6999999999999999E-3</v>
      </c>
      <c r="F391" s="251">
        <v>5.9999999999999995E-4</v>
      </c>
      <c r="G391" s="252" t="s">
        <v>740</v>
      </c>
      <c r="H391" s="16"/>
      <c r="I391" s="16"/>
      <c r="J391" s="16"/>
      <c r="K391" s="16"/>
      <c r="L391" s="16"/>
      <c r="M391" s="16"/>
      <c r="N391" s="16"/>
      <c r="O391" s="16"/>
      <c r="P391" s="16"/>
      <c r="Q391" s="16"/>
      <c r="R391" s="16"/>
      <c r="S391" s="16"/>
      <c r="T391" s="16"/>
      <c r="U391" s="16"/>
      <c r="V391" s="16"/>
      <c r="W391" s="16"/>
      <c r="X391" s="16"/>
      <c r="Y391" s="16"/>
      <c r="Z391" s="16"/>
      <c r="AA391" s="16"/>
    </row>
    <row r="392" spans="1:27">
      <c r="A392" s="16"/>
      <c r="B392" s="17"/>
      <c r="C392" s="193" t="s">
        <v>741</v>
      </c>
      <c r="D392" s="241">
        <v>4.1000000000000002E-2</v>
      </c>
      <c r="E392" s="251">
        <v>1.83E-2</v>
      </c>
      <c r="F392" s="251">
        <v>8.0000000000000004E-4</v>
      </c>
      <c r="G392" s="252" t="s">
        <v>740</v>
      </c>
      <c r="H392" s="16"/>
      <c r="I392" s="16"/>
      <c r="J392" s="16"/>
      <c r="K392" s="16"/>
      <c r="L392" s="16"/>
      <c r="M392" s="16"/>
      <c r="N392" s="16"/>
      <c r="O392" s="16"/>
      <c r="P392" s="16"/>
      <c r="Q392" s="16"/>
      <c r="R392" s="16"/>
      <c r="S392" s="16"/>
      <c r="T392" s="16"/>
      <c r="U392" s="16"/>
      <c r="V392" s="16"/>
      <c r="W392" s="16"/>
      <c r="X392" s="16"/>
      <c r="Y392" s="16"/>
      <c r="Z392" s="16"/>
      <c r="AA392" s="16"/>
    </row>
    <row r="393" spans="1:27" ht="16.149999999999999" customHeight="1" thickBot="1">
      <c r="A393" s="16"/>
      <c r="B393" s="17"/>
      <c r="C393" s="243" t="s">
        <v>742</v>
      </c>
      <c r="D393" s="244">
        <v>1.165</v>
      </c>
      <c r="E393" s="107">
        <v>0</v>
      </c>
      <c r="F393" s="253">
        <v>3.5900000000000001E-2</v>
      </c>
      <c r="G393" s="246" t="s">
        <v>740</v>
      </c>
      <c r="H393" s="16"/>
      <c r="I393" s="16"/>
      <c r="J393" s="16"/>
      <c r="K393" s="16"/>
      <c r="L393" s="16"/>
      <c r="M393" s="16"/>
      <c r="N393" s="16"/>
      <c r="O393" s="16"/>
      <c r="P393" s="16"/>
      <c r="Q393" s="16"/>
      <c r="R393" s="16"/>
      <c r="S393" s="16"/>
      <c r="T393" s="16"/>
      <c r="U393" s="16"/>
      <c r="V393" s="16"/>
      <c r="W393" s="16"/>
      <c r="X393" s="16"/>
      <c r="Y393" s="16"/>
      <c r="Z393" s="16"/>
      <c r="AA393" s="16"/>
    </row>
    <row r="394" spans="1:27" ht="75" customHeight="1">
      <c r="A394" s="16"/>
      <c r="B394" s="17"/>
      <c r="C394" s="378" t="s">
        <v>743</v>
      </c>
      <c r="D394" s="351"/>
      <c r="E394" s="351"/>
      <c r="F394" s="351"/>
      <c r="G394" s="351"/>
      <c r="H394" s="351"/>
      <c r="I394" s="351"/>
      <c r="J394" s="351"/>
      <c r="K394" s="351"/>
      <c r="L394" s="351"/>
      <c r="M394" s="16"/>
      <c r="N394" s="16"/>
      <c r="O394" s="16"/>
      <c r="P394" s="16"/>
      <c r="Q394" s="16"/>
      <c r="R394" s="16"/>
      <c r="S394" s="16"/>
      <c r="T394" s="16"/>
      <c r="U394" s="16"/>
      <c r="V394" s="16"/>
      <c r="W394" s="16"/>
      <c r="X394" s="16"/>
      <c r="Y394" s="16"/>
      <c r="Z394" s="16"/>
      <c r="AA394" s="16"/>
    </row>
    <row r="395" spans="1:27" ht="71.099999999999994" customHeight="1">
      <c r="A395" s="16"/>
      <c r="B395" s="17"/>
      <c r="C395" s="350" t="s">
        <v>744</v>
      </c>
      <c r="D395" s="351"/>
      <c r="E395" s="351"/>
      <c r="F395" s="351"/>
      <c r="G395" s="351"/>
      <c r="H395" s="351"/>
      <c r="I395" s="351"/>
      <c r="J395" s="351"/>
      <c r="K395" s="351"/>
      <c r="L395" s="351"/>
      <c r="M395" s="16"/>
      <c r="N395" s="16"/>
      <c r="O395" s="16"/>
      <c r="P395" s="16"/>
      <c r="Q395" s="16"/>
      <c r="R395" s="16"/>
      <c r="S395" s="16"/>
      <c r="T395" s="16"/>
      <c r="U395" s="16"/>
      <c r="V395" s="16"/>
      <c r="W395" s="16"/>
      <c r="X395" s="16"/>
      <c r="Y395" s="16"/>
      <c r="Z395" s="16"/>
      <c r="AA395" s="16"/>
    </row>
    <row r="396" spans="1:27">
      <c r="A396" s="16"/>
      <c r="B396" s="17"/>
      <c r="C396" s="370"/>
      <c r="D396" s="351"/>
      <c r="E396" s="351"/>
      <c r="F396" s="351"/>
      <c r="G396" s="351"/>
      <c r="H396" s="351"/>
      <c r="I396" s="351"/>
      <c r="J396" s="351"/>
      <c r="K396" s="351"/>
      <c r="L396" s="16"/>
      <c r="M396" s="16"/>
      <c r="N396" s="16"/>
      <c r="O396" s="16"/>
      <c r="P396" s="16"/>
      <c r="Q396" s="16"/>
      <c r="R396" s="16"/>
      <c r="S396" s="16"/>
      <c r="T396" s="16"/>
      <c r="U396" s="16"/>
      <c r="V396" s="16"/>
      <c r="W396" s="16"/>
      <c r="X396" s="16"/>
      <c r="Y396" s="16"/>
      <c r="Z396" s="16"/>
      <c r="AA396" s="16"/>
    </row>
    <row r="397" spans="1:27" ht="15.6" customHeight="1">
      <c r="B397" s="137" t="s">
        <v>745</v>
      </c>
      <c r="C397" s="254" t="s">
        <v>746</v>
      </c>
      <c r="D397" s="140"/>
      <c r="E397" s="140"/>
      <c r="F397" s="140"/>
      <c r="G397" s="140"/>
      <c r="H397" s="140"/>
      <c r="I397" s="140"/>
      <c r="J397" s="140"/>
      <c r="K397" s="140"/>
      <c r="L397" s="141"/>
      <c r="M397" s="16"/>
      <c r="N397" s="16"/>
      <c r="O397" s="16"/>
      <c r="P397" s="16"/>
      <c r="Q397" s="16"/>
      <c r="R397" s="16"/>
      <c r="S397" s="16"/>
      <c r="T397" s="16"/>
      <c r="U397" s="16"/>
      <c r="V397" s="16"/>
      <c r="W397" s="16"/>
      <c r="X397" s="16"/>
      <c r="Y397" s="16"/>
      <c r="Z397" s="16"/>
      <c r="AA397" s="16"/>
    </row>
    <row r="398" spans="1:27" ht="45" customHeight="1" thickBot="1">
      <c r="A398" s="16"/>
      <c r="B398" s="255"/>
      <c r="C398" s="393" t="s">
        <v>747</v>
      </c>
      <c r="D398" s="369"/>
      <c r="E398" s="369"/>
      <c r="F398" s="369"/>
      <c r="G398" s="369"/>
      <c r="H398" s="369"/>
      <c r="I398" s="369"/>
      <c r="J398" s="369"/>
      <c r="K398" s="369"/>
      <c r="L398" s="16"/>
      <c r="M398" s="16"/>
      <c r="N398" s="16"/>
      <c r="O398" s="16"/>
      <c r="P398" s="16"/>
      <c r="Q398" s="16"/>
      <c r="R398" s="16"/>
      <c r="S398" s="16"/>
      <c r="T398" s="16"/>
      <c r="U398" s="16"/>
      <c r="V398" s="16"/>
      <c r="W398" s="16"/>
      <c r="X398" s="16"/>
      <c r="Y398" s="16"/>
      <c r="Z398" s="16"/>
      <c r="AA398" s="16"/>
    </row>
    <row r="399" spans="1:27" ht="16.149999999999999" customHeight="1" thickBot="1">
      <c r="C399" s="257"/>
      <c r="D399" s="374" t="s">
        <v>748</v>
      </c>
      <c r="E399" s="340"/>
      <c r="F399" s="340"/>
      <c r="G399" s="340"/>
      <c r="H399" s="340"/>
      <c r="I399" s="341"/>
    </row>
    <row r="400" spans="1:27" ht="62.25" customHeight="1" thickBot="1">
      <c r="C400" s="258" t="s">
        <v>749</v>
      </c>
      <c r="D400" s="259" t="s">
        <v>750</v>
      </c>
      <c r="E400" s="259" t="s">
        <v>751</v>
      </c>
      <c r="F400" s="259" t="s">
        <v>752</v>
      </c>
      <c r="G400" s="259" t="s">
        <v>753</v>
      </c>
      <c r="H400" s="259" t="s">
        <v>754</v>
      </c>
      <c r="I400" s="260" t="s">
        <v>755</v>
      </c>
      <c r="K400" s="261"/>
      <c r="L400" s="261"/>
    </row>
    <row r="401" spans="3:16">
      <c r="C401" s="262" t="s">
        <v>756</v>
      </c>
      <c r="D401" s="263">
        <v>0.06</v>
      </c>
      <c r="E401" s="263">
        <v>0.02</v>
      </c>
      <c r="F401" s="263">
        <v>0.01</v>
      </c>
      <c r="G401" s="264" t="s">
        <v>757</v>
      </c>
      <c r="H401" s="264" t="s">
        <v>757</v>
      </c>
      <c r="I401" s="265" t="s">
        <v>757</v>
      </c>
      <c r="J401" s="266"/>
      <c r="K401" s="261"/>
      <c r="L401" s="261"/>
      <c r="M401" s="261"/>
      <c r="N401" s="261"/>
      <c r="O401" s="261"/>
      <c r="P401" s="261"/>
    </row>
    <row r="402" spans="3:16">
      <c r="C402" s="267" t="s">
        <v>758</v>
      </c>
      <c r="D402" s="268">
        <v>0.04</v>
      </c>
      <c r="E402" s="268">
        <v>0.02</v>
      </c>
      <c r="F402" s="268">
        <v>0.01</v>
      </c>
      <c r="G402" s="269" t="s">
        <v>757</v>
      </c>
      <c r="H402" s="269" t="s">
        <v>757</v>
      </c>
      <c r="I402" s="270" t="s">
        <v>757</v>
      </c>
      <c r="J402" s="261"/>
      <c r="K402" s="261"/>
      <c r="L402" s="261"/>
      <c r="M402" s="261"/>
      <c r="N402" s="261"/>
      <c r="O402" s="261"/>
      <c r="P402" s="261"/>
    </row>
    <row r="403" spans="3:16">
      <c r="C403" s="267" t="s">
        <v>759</v>
      </c>
      <c r="D403" s="268">
        <v>0.32</v>
      </c>
      <c r="E403" s="268">
        <v>0.02</v>
      </c>
      <c r="F403" s="268">
        <v>0.01</v>
      </c>
      <c r="G403" s="269" t="s">
        <v>757</v>
      </c>
      <c r="H403" s="269" t="s">
        <v>757</v>
      </c>
      <c r="I403" s="270" t="s">
        <v>757</v>
      </c>
      <c r="J403" s="261"/>
      <c r="K403" s="261"/>
      <c r="L403" s="261"/>
      <c r="M403" s="261"/>
      <c r="N403" s="261"/>
      <c r="O403" s="261"/>
      <c r="P403" s="261"/>
    </row>
    <row r="404" spans="3:16">
      <c r="C404" s="267" t="s">
        <v>760</v>
      </c>
      <c r="D404" s="268">
        <v>0.18</v>
      </c>
      <c r="E404" s="268">
        <v>0.02</v>
      </c>
      <c r="F404" s="268">
        <v>0.01</v>
      </c>
      <c r="G404" s="269" t="s">
        <v>757</v>
      </c>
      <c r="H404" s="269" t="s">
        <v>757</v>
      </c>
      <c r="I404" s="270" t="s">
        <v>757</v>
      </c>
      <c r="J404" s="261"/>
      <c r="K404" s="261"/>
      <c r="L404" s="261"/>
      <c r="M404" s="261"/>
      <c r="N404" s="261"/>
      <c r="O404" s="261"/>
      <c r="P404" s="261"/>
    </row>
    <row r="405" spans="3:16">
      <c r="C405" s="267" t="s">
        <v>181</v>
      </c>
      <c r="D405" s="268">
        <v>0.05</v>
      </c>
      <c r="E405" s="268">
        <v>0.02</v>
      </c>
      <c r="F405" s="268">
        <v>0.01</v>
      </c>
      <c r="G405" s="269" t="s">
        <v>757</v>
      </c>
      <c r="H405" s="269" t="s">
        <v>757</v>
      </c>
      <c r="I405" s="270" t="s">
        <v>757</v>
      </c>
      <c r="J405" s="261"/>
      <c r="K405" s="261"/>
      <c r="L405" s="261"/>
      <c r="M405" s="261"/>
      <c r="N405" s="261"/>
      <c r="O405" s="261"/>
      <c r="P405" s="261"/>
    </row>
    <row r="406" spans="3:16">
      <c r="C406" s="267" t="s">
        <v>761</v>
      </c>
      <c r="D406" s="268">
        <v>0.21</v>
      </c>
      <c r="E406" s="268">
        <v>0.02</v>
      </c>
      <c r="F406" s="268">
        <v>2.8</v>
      </c>
      <c r="G406" s="269" t="s">
        <v>757</v>
      </c>
      <c r="H406" s="269" t="s">
        <v>757</v>
      </c>
      <c r="I406" s="270" t="s">
        <v>757</v>
      </c>
      <c r="J406" s="261"/>
      <c r="K406" s="261"/>
      <c r="L406" s="261"/>
      <c r="M406" s="261"/>
      <c r="N406" s="261"/>
      <c r="O406" s="261"/>
      <c r="P406" s="261"/>
    </row>
    <row r="407" spans="3:16">
      <c r="C407" s="267" t="s">
        <v>762</v>
      </c>
      <c r="D407" s="268" t="s">
        <v>757</v>
      </c>
      <c r="E407" s="268">
        <v>0.02</v>
      </c>
      <c r="F407" s="268">
        <v>2.8</v>
      </c>
      <c r="G407" s="269" t="s">
        <v>757</v>
      </c>
      <c r="H407" s="269" t="s">
        <v>757</v>
      </c>
      <c r="I407" s="270" t="s">
        <v>757</v>
      </c>
      <c r="J407" s="261"/>
      <c r="K407" s="261"/>
      <c r="L407" s="261"/>
      <c r="M407" s="261"/>
      <c r="N407" s="261"/>
      <c r="O407" s="261"/>
      <c r="P407" s="261"/>
    </row>
    <row r="408" spans="3:16">
      <c r="C408" s="267" t="s">
        <v>763</v>
      </c>
      <c r="D408" s="268">
        <v>0.23</v>
      </c>
      <c r="E408" s="268">
        <v>0.02</v>
      </c>
      <c r="F408" s="268">
        <v>2.0499999999999998</v>
      </c>
      <c r="G408" s="269" t="s">
        <v>757</v>
      </c>
      <c r="H408" s="269" t="s">
        <v>757</v>
      </c>
      <c r="I408" s="270" t="s">
        <v>757</v>
      </c>
      <c r="J408" s="261"/>
      <c r="K408" s="261"/>
      <c r="L408" s="261"/>
      <c r="M408" s="261"/>
      <c r="N408" s="261"/>
      <c r="O408" s="261"/>
      <c r="P408" s="261"/>
    </row>
    <row r="409" spans="3:16">
      <c r="C409" s="267" t="s">
        <v>764</v>
      </c>
      <c r="D409" s="268" t="s">
        <v>757</v>
      </c>
      <c r="E409" s="268">
        <v>0.02</v>
      </c>
      <c r="F409" s="268">
        <v>2.8</v>
      </c>
      <c r="G409" s="269" t="s">
        <v>757</v>
      </c>
      <c r="H409" s="269" t="s">
        <v>757</v>
      </c>
      <c r="I409" s="270" t="s">
        <v>757</v>
      </c>
      <c r="J409" s="261"/>
      <c r="K409" s="261"/>
      <c r="L409" s="261"/>
      <c r="M409" s="261"/>
      <c r="N409" s="261"/>
      <c r="O409" s="261"/>
      <c r="P409" s="261"/>
    </row>
    <row r="410" spans="3:16">
      <c r="C410" s="267" t="s">
        <v>765</v>
      </c>
      <c r="D410" s="268" t="s">
        <v>757</v>
      </c>
      <c r="E410" s="268">
        <v>0.02</v>
      </c>
      <c r="F410" s="268">
        <v>2.8</v>
      </c>
      <c r="G410" s="269" t="s">
        <v>757</v>
      </c>
      <c r="H410" s="269" t="s">
        <v>757</v>
      </c>
      <c r="I410" s="270" t="s">
        <v>757</v>
      </c>
      <c r="J410" s="261"/>
      <c r="K410" s="261"/>
      <c r="L410" s="261"/>
      <c r="M410" s="261"/>
      <c r="N410" s="261"/>
      <c r="O410" s="261"/>
      <c r="P410" s="261"/>
    </row>
    <row r="411" spans="3:16">
      <c r="C411" s="267" t="s">
        <v>766</v>
      </c>
      <c r="D411" s="268" t="s">
        <v>757</v>
      </c>
      <c r="E411" s="268">
        <v>0.02</v>
      </c>
      <c r="F411" s="268">
        <v>3.02</v>
      </c>
      <c r="G411" s="269" t="s">
        <v>757</v>
      </c>
      <c r="H411" s="269" t="s">
        <v>757</v>
      </c>
      <c r="I411" s="270" t="s">
        <v>757</v>
      </c>
      <c r="J411" s="261"/>
      <c r="K411" s="261"/>
      <c r="L411" s="261"/>
      <c r="M411" s="261"/>
      <c r="N411" s="261"/>
      <c r="O411" s="261"/>
      <c r="P411" s="261"/>
    </row>
    <row r="412" spans="3:16">
      <c r="C412" s="267" t="s">
        <v>767</v>
      </c>
      <c r="D412" s="268" t="s">
        <v>757</v>
      </c>
      <c r="E412" s="268">
        <v>0.02</v>
      </c>
      <c r="F412" s="268">
        <v>1.26</v>
      </c>
      <c r="G412" s="269" t="s">
        <v>757</v>
      </c>
      <c r="H412" s="269" t="s">
        <v>757</v>
      </c>
      <c r="I412" s="270" t="s">
        <v>757</v>
      </c>
      <c r="J412" s="261"/>
      <c r="K412" s="261"/>
      <c r="L412" s="261"/>
      <c r="M412" s="261"/>
      <c r="N412" s="261"/>
      <c r="O412" s="261"/>
      <c r="P412" s="261"/>
    </row>
    <row r="413" spans="3:16">
      <c r="C413" s="267" t="s">
        <v>768</v>
      </c>
      <c r="D413" s="268" t="s">
        <v>757</v>
      </c>
      <c r="E413" s="268">
        <v>0.02</v>
      </c>
      <c r="F413" s="268">
        <v>0.01</v>
      </c>
      <c r="G413" s="271">
        <v>0.17</v>
      </c>
      <c r="H413" s="269" t="s">
        <v>757</v>
      </c>
      <c r="I413" s="270" t="s">
        <v>757</v>
      </c>
      <c r="J413" s="261"/>
      <c r="K413" s="261"/>
      <c r="L413" s="261"/>
      <c r="M413" s="261"/>
      <c r="N413" s="261"/>
      <c r="O413" s="261"/>
      <c r="P413" s="261"/>
    </row>
    <row r="414" spans="3:16">
      <c r="C414" s="267" t="s">
        <v>769</v>
      </c>
      <c r="D414" s="268">
        <v>0.11</v>
      </c>
      <c r="E414" s="268">
        <v>0.9</v>
      </c>
      <c r="F414" s="268">
        <v>0.05</v>
      </c>
      <c r="G414" s="271" t="s">
        <v>757</v>
      </c>
      <c r="H414" s="269" t="s">
        <v>757</v>
      </c>
      <c r="I414" s="270" t="s">
        <v>757</v>
      </c>
      <c r="J414" s="261"/>
      <c r="K414" s="261"/>
      <c r="L414" s="261"/>
      <c r="M414" s="261"/>
      <c r="N414" s="261"/>
      <c r="O414" s="261"/>
      <c r="P414" s="261"/>
    </row>
    <row r="415" spans="3:16">
      <c r="C415" s="267" t="s">
        <v>770</v>
      </c>
      <c r="D415" s="268">
        <v>0.02</v>
      </c>
      <c r="E415" s="268">
        <v>0.42</v>
      </c>
      <c r="F415" s="268">
        <v>0.05</v>
      </c>
      <c r="G415" s="271" t="s">
        <v>757</v>
      </c>
      <c r="H415" s="269" t="s">
        <v>757</v>
      </c>
      <c r="I415" s="270" t="s">
        <v>757</v>
      </c>
      <c r="J415" s="261"/>
      <c r="K415" s="261"/>
      <c r="L415" s="261"/>
      <c r="M415" s="261"/>
      <c r="N415" s="261"/>
      <c r="O415" s="261"/>
      <c r="P415" s="261"/>
    </row>
    <row r="416" spans="3:16">
      <c r="C416" s="267" t="s">
        <v>771</v>
      </c>
      <c r="D416" s="268">
        <v>0.02</v>
      </c>
      <c r="E416" s="268">
        <v>0.35</v>
      </c>
      <c r="F416" s="268">
        <v>0.05</v>
      </c>
      <c r="G416" s="271" t="s">
        <v>757</v>
      </c>
      <c r="H416" s="269" t="s">
        <v>757</v>
      </c>
      <c r="I416" s="270" t="s">
        <v>757</v>
      </c>
      <c r="J416" s="261"/>
      <c r="K416" s="261"/>
      <c r="L416" s="261"/>
      <c r="M416" s="261"/>
      <c r="N416" s="261"/>
      <c r="O416" s="261"/>
      <c r="P416" s="261"/>
    </row>
    <row r="417" spans="3:16">
      <c r="C417" s="267" t="s">
        <v>772</v>
      </c>
      <c r="D417" s="268">
        <v>0.02</v>
      </c>
      <c r="E417" s="268">
        <v>1.25</v>
      </c>
      <c r="F417" s="268">
        <v>0.05</v>
      </c>
      <c r="G417" s="271" t="s">
        <v>757</v>
      </c>
      <c r="H417" s="269" t="s">
        <v>757</v>
      </c>
      <c r="I417" s="270" t="s">
        <v>757</v>
      </c>
      <c r="J417" s="261"/>
      <c r="K417" s="261"/>
      <c r="L417" s="261"/>
      <c r="M417" s="261"/>
      <c r="N417" s="261"/>
      <c r="O417" s="261"/>
      <c r="P417" s="261"/>
    </row>
    <row r="418" spans="3:16">
      <c r="C418" s="267" t="s">
        <v>773</v>
      </c>
      <c r="D418" s="268">
        <v>0.04</v>
      </c>
      <c r="E418" s="268">
        <v>0.35</v>
      </c>
      <c r="F418" s="268">
        <v>0.05</v>
      </c>
      <c r="G418" s="271" t="s">
        <v>757</v>
      </c>
      <c r="H418" s="269" t="s">
        <v>757</v>
      </c>
      <c r="I418" s="270" t="s">
        <v>757</v>
      </c>
      <c r="J418" s="261"/>
      <c r="K418" s="261"/>
      <c r="L418" s="261"/>
      <c r="M418" s="261"/>
      <c r="N418" s="261"/>
      <c r="O418" s="261"/>
      <c r="P418" s="261"/>
    </row>
    <row r="419" spans="3:16">
      <c r="C419" s="267" t="s">
        <v>774</v>
      </c>
      <c r="D419" s="268">
        <v>0.04</v>
      </c>
      <c r="E419" s="268">
        <v>1.25</v>
      </c>
      <c r="F419" s="268">
        <v>0.05</v>
      </c>
      <c r="G419" s="271" t="s">
        <v>757</v>
      </c>
      <c r="H419" s="269" t="s">
        <v>757</v>
      </c>
      <c r="I419" s="270" t="s">
        <v>757</v>
      </c>
      <c r="J419" s="261"/>
      <c r="K419" s="261"/>
      <c r="L419" s="261"/>
      <c r="M419" s="261"/>
      <c r="N419" s="261"/>
      <c r="O419" s="261"/>
      <c r="P419" s="261"/>
    </row>
    <row r="420" spans="3:16">
      <c r="C420" s="267" t="s">
        <v>775</v>
      </c>
      <c r="D420" s="268">
        <v>0.09</v>
      </c>
      <c r="E420" s="268">
        <v>0.17</v>
      </c>
      <c r="F420" s="268">
        <v>0.05</v>
      </c>
      <c r="G420" s="271" t="s">
        <v>757</v>
      </c>
      <c r="H420" s="269" t="s">
        <v>757</v>
      </c>
      <c r="I420" s="270" t="s">
        <v>757</v>
      </c>
      <c r="J420" s="261"/>
      <c r="K420" s="261"/>
      <c r="L420" s="261"/>
      <c r="M420" s="261"/>
      <c r="N420" s="261"/>
      <c r="O420" s="261"/>
      <c r="P420" s="261"/>
    </row>
    <row r="421" spans="3:16">
      <c r="C421" s="267" t="s">
        <v>776</v>
      </c>
      <c r="D421" s="268">
        <v>0.15</v>
      </c>
      <c r="E421" s="268">
        <v>7.0000000000000007E-2</v>
      </c>
      <c r="F421" s="268">
        <v>0.05</v>
      </c>
      <c r="G421" s="271" t="s">
        <v>757</v>
      </c>
      <c r="H421" s="269" t="s">
        <v>757</v>
      </c>
      <c r="I421" s="270" t="s">
        <v>757</v>
      </c>
      <c r="J421" s="261"/>
      <c r="K421" s="261"/>
      <c r="L421" s="261"/>
      <c r="M421" s="261"/>
      <c r="N421" s="261"/>
      <c r="O421" s="261"/>
      <c r="P421" s="261"/>
    </row>
    <row r="422" spans="3:16">
      <c r="C422" s="267" t="s">
        <v>777</v>
      </c>
      <c r="D422" s="268" t="s">
        <v>757</v>
      </c>
      <c r="E422" s="268">
        <v>0.57999999999999996</v>
      </c>
      <c r="F422" s="268">
        <v>0.05</v>
      </c>
      <c r="G422" s="271">
        <v>0.15</v>
      </c>
      <c r="H422" s="271">
        <v>0.14000000000000001</v>
      </c>
      <c r="I422" s="272">
        <v>0.11</v>
      </c>
      <c r="J422" s="261"/>
      <c r="K422" s="261"/>
      <c r="L422" s="261"/>
      <c r="M422" s="261"/>
      <c r="N422" s="261"/>
      <c r="O422" s="261"/>
      <c r="P422" s="261"/>
    </row>
    <row r="423" spans="3:16">
      <c r="C423" s="267" t="s">
        <v>778</v>
      </c>
      <c r="D423" s="268" t="s">
        <v>757</v>
      </c>
      <c r="E423" s="268">
        <v>0.57999999999999996</v>
      </c>
      <c r="F423" s="268">
        <v>0.05</v>
      </c>
      <c r="G423" s="271" t="s">
        <v>757</v>
      </c>
      <c r="H423" s="271">
        <v>0.14000000000000001</v>
      </c>
      <c r="I423" s="272">
        <v>0.11</v>
      </c>
      <c r="J423" s="261"/>
      <c r="K423" s="261"/>
      <c r="L423" s="261"/>
      <c r="M423" s="261"/>
      <c r="N423" s="261"/>
      <c r="O423" s="261"/>
      <c r="P423" s="261"/>
    </row>
    <row r="424" spans="3:16">
      <c r="C424" s="267" t="s">
        <v>779</v>
      </c>
      <c r="D424" s="268" t="s">
        <v>757</v>
      </c>
      <c r="E424" s="268">
        <v>0.57999999999999996</v>
      </c>
      <c r="F424" s="268">
        <v>0.05</v>
      </c>
      <c r="G424" s="271">
        <v>0.15</v>
      </c>
      <c r="H424" s="271">
        <v>0.14000000000000001</v>
      </c>
      <c r="I424" s="272">
        <v>0.11</v>
      </c>
      <c r="J424" s="261"/>
      <c r="K424" s="261"/>
      <c r="L424" s="261"/>
      <c r="M424" s="261"/>
      <c r="N424" s="261"/>
      <c r="O424" s="261"/>
      <c r="P424" s="261"/>
    </row>
    <row r="425" spans="3:16">
      <c r="C425" s="267" t="s">
        <v>780</v>
      </c>
      <c r="D425" s="268" t="s">
        <v>757</v>
      </c>
      <c r="E425" s="268">
        <v>0.57999999999999996</v>
      </c>
      <c r="F425" s="268">
        <v>0.05</v>
      </c>
      <c r="G425" s="271">
        <v>0.15</v>
      </c>
      <c r="H425" s="271">
        <v>0.14000000000000001</v>
      </c>
      <c r="I425" s="272">
        <v>0.11</v>
      </c>
      <c r="J425" s="261"/>
      <c r="K425" s="261"/>
      <c r="L425" s="261"/>
      <c r="M425" s="261"/>
      <c r="N425" s="261"/>
      <c r="O425" s="261"/>
      <c r="P425" s="261"/>
    </row>
    <row r="426" spans="3:16">
      <c r="C426" s="267" t="s">
        <v>781</v>
      </c>
      <c r="D426" s="268" t="s">
        <v>757</v>
      </c>
      <c r="E426" s="268">
        <v>0.57999999999999996</v>
      </c>
      <c r="F426" s="268">
        <v>0.05</v>
      </c>
      <c r="G426" s="271">
        <v>0.15</v>
      </c>
      <c r="H426" s="271">
        <v>0.14000000000000001</v>
      </c>
      <c r="I426" s="272">
        <v>0.11</v>
      </c>
      <c r="J426" s="261"/>
      <c r="K426" s="261"/>
      <c r="L426" s="261"/>
      <c r="M426" s="261"/>
      <c r="N426" s="261"/>
      <c r="O426" s="261"/>
      <c r="P426" s="261"/>
    </row>
    <row r="427" spans="3:16">
      <c r="C427" s="267" t="s">
        <v>782</v>
      </c>
      <c r="D427" s="268" t="s">
        <v>757</v>
      </c>
      <c r="E427" s="268">
        <v>0.57999999999999996</v>
      </c>
      <c r="F427" s="268">
        <v>0.05</v>
      </c>
      <c r="G427" s="271">
        <v>0.15</v>
      </c>
      <c r="H427" s="271">
        <v>0.14000000000000001</v>
      </c>
      <c r="I427" s="272">
        <v>0.11</v>
      </c>
      <c r="J427" s="261"/>
      <c r="K427" s="261"/>
      <c r="L427" s="261"/>
      <c r="M427" s="261"/>
      <c r="N427" s="261"/>
      <c r="O427" s="261"/>
      <c r="P427" s="261"/>
    </row>
    <row r="428" spans="3:16">
      <c r="C428" s="267" t="s">
        <v>783</v>
      </c>
      <c r="D428" s="268" t="s">
        <v>757</v>
      </c>
      <c r="E428" s="268">
        <v>0.57999999999999996</v>
      </c>
      <c r="F428" s="268">
        <v>0.05</v>
      </c>
      <c r="G428" s="271">
        <v>0.15</v>
      </c>
      <c r="H428" s="271">
        <v>0.14000000000000001</v>
      </c>
      <c r="I428" s="272">
        <v>0.11</v>
      </c>
      <c r="J428" s="261"/>
      <c r="K428" s="261"/>
      <c r="L428" s="261"/>
      <c r="M428" s="261"/>
      <c r="N428" s="261"/>
      <c r="O428" s="261"/>
      <c r="P428" s="261"/>
    </row>
    <row r="429" spans="3:16">
      <c r="C429" s="267" t="s">
        <v>784</v>
      </c>
      <c r="D429" s="268" t="s">
        <v>757</v>
      </c>
      <c r="E429" s="268">
        <v>0.57999999999999996</v>
      </c>
      <c r="F429" s="268">
        <v>0.05</v>
      </c>
      <c r="G429" s="271">
        <v>0.15</v>
      </c>
      <c r="H429" s="271">
        <v>0.14000000000000001</v>
      </c>
      <c r="I429" s="272">
        <v>0.11</v>
      </c>
      <c r="J429" s="261"/>
      <c r="K429" s="261"/>
      <c r="L429" s="261"/>
      <c r="M429" s="261"/>
      <c r="N429" s="261"/>
      <c r="O429" s="261"/>
      <c r="P429" s="261"/>
    </row>
    <row r="430" spans="3:16">
      <c r="C430" s="267" t="s">
        <v>785</v>
      </c>
      <c r="D430" s="268" t="s">
        <v>757</v>
      </c>
      <c r="E430" s="268">
        <v>0.33</v>
      </c>
      <c r="F430" s="268">
        <v>0.05</v>
      </c>
      <c r="G430" s="271">
        <v>0.19</v>
      </c>
      <c r="H430" s="271">
        <v>0.11</v>
      </c>
      <c r="I430" s="272" t="s">
        <v>757</v>
      </c>
      <c r="J430" s="261"/>
      <c r="K430" s="261"/>
      <c r="L430" s="261"/>
      <c r="M430" s="261"/>
      <c r="N430" s="261"/>
      <c r="O430" s="261"/>
      <c r="P430" s="261"/>
    </row>
    <row r="431" spans="3:16">
      <c r="C431" s="267" t="s">
        <v>786</v>
      </c>
      <c r="D431" s="268" t="s">
        <v>757</v>
      </c>
      <c r="E431" s="268">
        <v>0.26</v>
      </c>
      <c r="F431" s="268">
        <v>0.05</v>
      </c>
      <c r="G431" s="271">
        <v>0.19</v>
      </c>
      <c r="H431" s="271">
        <v>0.09</v>
      </c>
      <c r="I431" s="272" t="s">
        <v>757</v>
      </c>
      <c r="J431" s="261"/>
      <c r="K431" s="261"/>
      <c r="L431" s="261"/>
      <c r="M431" s="261"/>
      <c r="N431" s="261"/>
      <c r="O431" s="261"/>
      <c r="P431" s="261"/>
    </row>
    <row r="432" spans="3:16">
      <c r="C432" s="267" t="s">
        <v>787</v>
      </c>
      <c r="D432" s="268" t="s">
        <v>757</v>
      </c>
      <c r="E432" s="268">
        <v>0.26</v>
      </c>
      <c r="F432" s="268">
        <v>0.05</v>
      </c>
      <c r="G432" s="271">
        <v>0.19</v>
      </c>
      <c r="H432" s="271">
        <v>0.13</v>
      </c>
      <c r="I432" s="272" t="s">
        <v>757</v>
      </c>
      <c r="J432" s="261"/>
      <c r="K432" s="261"/>
      <c r="L432" s="261"/>
      <c r="M432" s="261"/>
      <c r="N432" s="261"/>
      <c r="O432" s="261"/>
      <c r="P432" s="261"/>
    </row>
    <row r="433" spans="3:16">
      <c r="C433" s="267" t="s">
        <v>788</v>
      </c>
      <c r="D433" s="268" t="s">
        <v>757</v>
      </c>
      <c r="E433" s="268">
        <v>0.53</v>
      </c>
      <c r="F433" s="268">
        <v>0.05</v>
      </c>
      <c r="G433" s="271">
        <v>0.19</v>
      </c>
      <c r="H433" s="271">
        <v>0.16</v>
      </c>
      <c r="I433" s="272" t="s">
        <v>757</v>
      </c>
      <c r="J433" s="261"/>
      <c r="K433" s="261"/>
      <c r="L433" s="261"/>
      <c r="M433" s="261"/>
      <c r="N433" s="261"/>
      <c r="O433" s="261"/>
      <c r="P433" s="261"/>
    </row>
    <row r="434" spans="3:16">
      <c r="C434" s="267" t="s">
        <v>789</v>
      </c>
      <c r="D434" s="268">
        <v>7.0000000000000007E-2</v>
      </c>
      <c r="E434" s="268">
        <v>0.8</v>
      </c>
      <c r="F434" s="268">
        <v>0.05</v>
      </c>
      <c r="G434" s="271" t="s">
        <v>757</v>
      </c>
      <c r="H434" s="271" t="s">
        <v>757</v>
      </c>
      <c r="I434" s="272" t="s">
        <v>757</v>
      </c>
      <c r="J434" s="261"/>
      <c r="K434" s="261"/>
      <c r="L434" s="261"/>
      <c r="M434" s="261"/>
      <c r="N434" s="261"/>
      <c r="O434" s="261"/>
      <c r="P434" s="261"/>
    </row>
    <row r="435" spans="3:16">
      <c r="C435" s="267" t="s">
        <v>790</v>
      </c>
      <c r="D435" s="268">
        <v>7.0000000000000007E-2</v>
      </c>
      <c r="E435" s="268">
        <v>0.77</v>
      </c>
      <c r="F435" s="268">
        <v>0.05</v>
      </c>
      <c r="G435" s="271" t="s">
        <v>757</v>
      </c>
      <c r="H435" s="271" t="s">
        <v>757</v>
      </c>
      <c r="I435" s="272" t="s">
        <v>757</v>
      </c>
      <c r="J435" s="261"/>
      <c r="K435" s="261"/>
      <c r="L435" s="261"/>
      <c r="M435" s="261"/>
      <c r="N435" s="261"/>
      <c r="O435" s="261"/>
      <c r="P435" s="261"/>
    </row>
    <row r="436" spans="3:16">
      <c r="C436" s="267" t="s">
        <v>791</v>
      </c>
      <c r="D436" s="268">
        <v>0.03</v>
      </c>
      <c r="E436" s="268">
        <v>0.75</v>
      </c>
      <c r="F436" s="268">
        <v>0.05</v>
      </c>
      <c r="G436" s="271" t="s">
        <v>757</v>
      </c>
      <c r="H436" s="271" t="s">
        <v>757</v>
      </c>
      <c r="I436" s="272" t="s">
        <v>757</v>
      </c>
      <c r="J436" s="261"/>
      <c r="K436" s="261"/>
      <c r="L436" s="261"/>
      <c r="M436" s="261"/>
      <c r="N436" s="261"/>
      <c r="O436" s="261"/>
      <c r="P436" s="261"/>
    </row>
    <row r="437" spans="3:16">
      <c r="C437" s="267" t="s">
        <v>792</v>
      </c>
      <c r="D437" s="268">
        <v>0.23</v>
      </c>
      <c r="E437" s="268">
        <v>0.02</v>
      </c>
      <c r="F437" s="268">
        <v>0.01</v>
      </c>
      <c r="G437" s="271" t="s">
        <v>757</v>
      </c>
      <c r="H437" s="271" t="s">
        <v>757</v>
      </c>
      <c r="I437" s="272" t="s">
        <v>757</v>
      </c>
      <c r="J437" s="261"/>
      <c r="K437" s="261"/>
      <c r="L437" s="261"/>
      <c r="M437" s="261"/>
      <c r="N437" s="261"/>
      <c r="O437" s="261"/>
      <c r="P437" s="261"/>
    </row>
    <row r="438" spans="3:16">
      <c r="C438" s="267" t="s">
        <v>793</v>
      </c>
      <c r="D438" s="268">
        <v>0.22</v>
      </c>
      <c r="E438" s="268">
        <v>0.02</v>
      </c>
      <c r="F438" s="268">
        <v>2.34</v>
      </c>
      <c r="G438" s="271" t="s">
        <v>757</v>
      </c>
      <c r="H438" s="271" t="s">
        <v>757</v>
      </c>
      <c r="I438" s="272" t="s">
        <v>757</v>
      </c>
      <c r="J438" s="261"/>
      <c r="K438" s="261"/>
      <c r="L438" s="261"/>
      <c r="M438" s="261"/>
      <c r="N438" s="261"/>
      <c r="O438" s="261"/>
      <c r="P438" s="261"/>
    </row>
    <row r="439" spans="3:16">
      <c r="C439" s="267" t="s">
        <v>794</v>
      </c>
      <c r="D439" s="268">
        <v>0.09</v>
      </c>
      <c r="E439" s="268">
        <v>0.68</v>
      </c>
      <c r="F439" s="268">
        <v>0.11</v>
      </c>
      <c r="G439" s="271" t="s">
        <v>757</v>
      </c>
      <c r="H439" s="271" t="s">
        <v>757</v>
      </c>
      <c r="I439" s="272" t="s">
        <v>757</v>
      </c>
      <c r="J439" s="261"/>
      <c r="K439" s="261"/>
      <c r="L439" s="261"/>
      <c r="M439" s="261"/>
      <c r="N439" s="261"/>
      <c r="O439" s="261"/>
      <c r="P439" s="261"/>
    </row>
    <row r="440" spans="3:16">
      <c r="C440" s="267" t="s">
        <v>795</v>
      </c>
      <c r="D440" s="268" t="s">
        <v>757</v>
      </c>
      <c r="E440" s="268">
        <v>0.57999999999999996</v>
      </c>
      <c r="F440" s="268">
        <v>0.05</v>
      </c>
      <c r="G440" s="271">
        <v>0.15</v>
      </c>
      <c r="H440" s="271" t="s">
        <v>757</v>
      </c>
      <c r="I440" s="272" t="s">
        <v>757</v>
      </c>
      <c r="J440" s="261"/>
      <c r="K440" s="261"/>
      <c r="L440" s="261"/>
      <c r="M440" s="261"/>
      <c r="N440" s="261"/>
      <c r="O440" s="261"/>
      <c r="P440" s="261"/>
    </row>
    <row r="441" spans="3:16">
      <c r="C441" s="267" t="s">
        <v>796</v>
      </c>
      <c r="D441" s="268" t="s">
        <v>757</v>
      </c>
      <c r="E441" s="268">
        <v>0.48</v>
      </c>
      <c r="F441" s="268">
        <v>0.05</v>
      </c>
      <c r="G441" s="271">
        <v>0.17</v>
      </c>
      <c r="H441" s="271" t="s">
        <v>757</v>
      </c>
      <c r="I441" s="272" t="s">
        <v>757</v>
      </c>
      <c r="J441" s="261"/>
      <c r="K441" s="261"/>
      <c r="L441" s="261"/>
      <c r="M441" s="261"/>
      <c r="N441" s="261"/>
      <c r="O441" s="261"/>
      <c r="P441" s="261"/>
    </row>
    <row r="442" spans="3:16">
      <c r="C442" s="267" t="s">
        <v>797</v>
      </c>
      <c r="D442" s="268" t="s">
        <v>757</v>
      </c>
      <c r="E442" s="268">
        <v>0.52</v>
      </c>
      <c r="F442" s="268">
        <v>0.43</v>
      </c>
      <c r="G442" s="271" t="s">
        <v>757</v>
      </c>
      <c r="H442" s="271" t="s">
        <v>757</v>
      </c>
      <c r="I442" s="272" t="s">
        <v>757</v>
      </c>
      <c r="J442" s="261"/>
      <c r="K442" s="261"/>
      <c r="L442" s="261"/>
      <c r="M442" s="261"/>
      <c r="N442" s="261"/>
      <c r="O442" s="261"/>
      <c r="P442" s="261"/>
    </row>
    <row r="443" spans="3:16">
      <c r="C443" s="267" t="s">
        <v>798</v>
      </c>
      <c r="D443" s="268" t="s">
        <v>757</v>
      </c>
      <c r="E443" s="268">
        <v>0.02</v>
      </c>
      <c r="F443" s="268">
        <v>1.68</v>
      </c>
      <c r="G443" s="269" t="s">
        <v>757</v>
      </c>
      <c r="H443" s="269" t="s">
        <v>757</v>
      </c>
      <c r="I443" s="270" t="s">
        <v>757</v>
      </c>
      <c r="J443" s="261"/>
      <c r="K443" s="261"/>
      <c r="L443" s="261"/>
      <c r="M443" s="261"/>
      <c r="N443" s="261"/>
      <c r="O443" s="261"/>
      <c r="P443" s="261"/>
    </row>
    <row r="444" spans="3:16">
      <c r="C444" s="267" t="s">
        <v>799</v>
      </c>
      <c r="D444" s="268" t="s">
        <v>757</v>
      </c>
      <c r="E444" s="268">
        <v>0.02</v>
      </c>
      <c r="F444" s="268">
        <v>0.4</v>
      </c>
      <c r="G444" s="269" t="s">
        <v>757</v>
      </c>
      <c r="H444" s="269" t="s">
        <v>757</v>
      </c>
      <c r="I444" s="270" t="s">
        <v>757</v>
      </c>
      <c r="J444" s="261"/>
      <c r="K444" s="261"/>
      <c r="L444" s="261"/>
      <c r="M444" s="261"/>
      <c r="N444" s="261"/>
      <c r="O444" s="261"/>
      <c r="P444" s="261"/>
    </row>
    <row r="445" spans="3:16">
      <c r="C445" s="267" t="s">
        <v>800</v>
      </c>
      <c r="D445" s="268" t="s">
        <v>757</v>
      </c>
      <c r="E445" s="268">
        <v>0.02</v>
      </c>
      <c r="F445" s="268">
        <v>0.89</v>
      </c>
      <c r="G445" s="269" t="s">
        <v>757</v>
      </c>
      <c r="H445" s="269" t="s">
        <v>757</v>
      </c>
      <c r="I445" s="270" t="s">
        <v>757</v>
      </c>
      <c r="J445" s="261"/>
      <c r="K445" s="261"/>
      <c r="L445" s="261"/>
      <c r="M445" s="261"/>
      <c r="N445" s="261"/>
      <c r="O445" s="261"/>
      <c r="P445" s="261"/>
    </row>
    <row r="446" spans="3:16">
      <c r="C446" s="267" t="s">
        <v>801</v>
      </c>
      <c r="D446" s="268" t="s">
        <v>757</v>
      </c>
      <c r="E446" s="268">
        <v>0.02</v>
      </c>
      <c r="F446" s="268">
        <v>0.74</v>
      </c>
      <c r="G446" s="269" t="s">
        <v>757</v>
      </c>
      <c r="H446" s="269" t="s">
        <v>757</v>
      </c>
      <c r="I446" s="270" t="s">
        <v>757</v>
      </c>
      <c r="J446" s="261"/>
      <c r="K446" s="261"/>
      <c r="L446" s="261"/>
      <c r="M446" s="261"/>
      <c r="N446" s="261"/>
      <c r="O446" s="261"/>
      <c r="P446" s="261"/>
    </row>
    <row r="447" spans="3:16">
      <c r="C447" s="267" t="s">
        <v>802</v>
      </c>
      <c r="D447" s="268" t="s">
        <v>757</v>
      </c>
      <c r="E447" s="268">
        <v>0.02</v>
      </c>
      <c r="F447" s="268">
        <v>0.64</v>
      </c>
      <c r="G447" s="269" t="s">
        <v>757</v>
      </c>
      <c r="H447" s="269" t="s">
        <v>757</v>
      </c>
      <c r="I447" s="270" t="s">
        <v>757</v>
      </c>
      <c r="J447" s="261"/>
      <c r="K447" s="261"/>
      <c r="L447" s="261"/>
      <c r="M447" s="261"/>
      <c r="N447" s="261"/>
      <c r="O447" s="261"/>
      <c r="P447" s="261"/>
    </row>
    <row r="448" spans="3:16">
      <c r="C448" s="267" t="s">
        <v>803</v>
      </c>
      <c r="D448" s="268" t="s">
        <v>757</v>
      </c>
      <c r="E448" s="268">
        <v>0.02</v>
      </c>
      <c r="F448" s="268">
        <v>2.23</v>
      </c>
      <c r="G448" s="269" t="s">
        <v>757</v>
      </c>
      <c r="H448" s="269" t="s">
        <v>757</v>
      </c>
      <c r="I448" s="270" t="s">
        <v>757</v>
      </c>
      <c r="J448" s="261"/>
      <c r="K448" s="261"/>
      <c r="L448" s="261"/>
      <c r="M448" s="261"/>
      <c r="N448" s="261"/>
      <c r="O448" s="261"/>
      <c r="P448" s="261"/>
    </row>
    <row r="449" spans="1:27">
      <c r="C449" s="267" t="s">
        <v>804</v>
      </c>
      <c r="D449" s="268" t="s">
        <v>757</v>
      </c>
      <c r="E449" s="268">
        <v>0.02</v>
      </c>
      <c r="F449" s="268">
        <v>1.92</v>
      </c>
      <c r="G449" s="269" t="s">
        <v>757</v>
      </c>
      <c r="H449" s="269" t="s">
        <v>757</v>
      </c>
      <c r="I449" s="270" t="s">
        <v>757</v>
      </c>
      <c r="J449" s="261"/>
      <c r="K449" s="261"/>
      <c r="L449" s="261"/>
      <c r="M449" s="261"/>
      <c r="N449" s="261"/>
      <c r="O449" s="261"/>
      <c r="P449" s="261"/>
    </row>
    <row r="450" spans="1:27">
      <c r="C450" s="267" t="s">
        <v>805</v>
      </c>
      <c r="D450" s="268" t="s">
        <v>757</v>
      </c>
      <c r="E450" s="268">
        <v>0.02</v>
      </c>
      <c r="F450" s="268">
        <v>0.87</v>
      </c>
      <c r="G450" s="269" t="s">
        <v>757</v>
      </c>
      <c r="H450" s="269" t="s">
        <v>757</v>
      </c>
      <c r="I450" s="270" t="s">
        <v>757</v>
      </c>
      <c r="J450" s="261"/>
      <c r="K450" s="261"/>
      <c r="L450" s="261"/>
      <c r="M450" s="261"/>
      <c r="N450" s="261"/>
      <c r="O450" s="261"/>
      <c r="P450" s="261"/>
    </row>
    <row r="451" spans="1:27">
      <c r="C451" s="267" t="s">
        <v>806</v>
      </c>
      <c r="D451" s="268" t="s">
        <v>757</v>
      </c>
      <c r="E451" s="268">
        <v>0.02</v>
      </c>
      <c r="F451" s="268" t="s">
        <v>757</v>
      </c>
      <c r="G451" s="269" t="s">
        <v>757</v>
      </c>
      <c r="H451" s="269" t="s">
        <v>757</v>
      </c>
      <c r="I451" s="270" t="s">
        <v>757</v>
      </c>
      <c r="J451" s="261"/>
      <c r="K451" s="261"/>
      <c r="L451" s="261"/>
      <c r="M451" s="261"/>
      <c r="N451" s="261"/>
      <c r="O451" s="261"/>
      <c r="P451" s="261"/>
    </row>
    <row r="452" spans="1:27">
      <c r="C452" s="267" t="s">
        <v>807</v>
      </c>
      <c r="D452" s="268">
        <v>0.01</v>
      </c>
      <c r="E452" s="268">
        <v>0.02</v>
      </c>
      <c r="F452" s="268" t="s">
        <v>757</v>
      </c>
      <c r="G452" s="269" t="s">
        <v>757</v>
      </c>
      <c r="H452" s="269" t="s">
        <v>757</v>
      </c>
      <c r="I452" s="270" t="s">
        <v>757</v>
      </c>
      <c r="J452" s="261"/>
      <c r="K452" s="261"/>
      <c r="L452" s="261"/>
      <c r="M452" s="261"/>
      <c r="N452" s="261"/>
      <c r="O452" s="261"/>
      <c r="P452" s="261"/>
    </row>
    <row r="453" spans="1:27">
      <c r="C453" s="267" t="s">
        <v>808</v>
      </c>
      <c r="D453" s="268">
        <v>0.01</v>
      </c>
      <c r="E453" s="268">
        <v>0.02</v>
      </c>
      <c r="F453" s="268" t="s">
        <v>757</v>
      </c>
      <c r="G453" s="269" t="s">
        <v>757</v>
      </c>
      <c r="H453" s="269" t="s">
        <v>757</v>
      </c>
      <c r="I453" s="270" t="s">
        <v>757</v>
      </c>
      <c r="J453" s="261"/>
      <c r="K453" s="261"/>
      <c r="L453" s="261"/>
      <c r="M453" s="261"/>
      <c r="N453" s="261"/>
      <c r="O453" s="261"/>
      <c r="P453" s="261"/>
    </row>
    <row r="454" spans="1:27">
      <c r="C454" s="267" t="s">
        <v>489</v>
      </c>
      <c r="D454" s="268">
        <v>0.1</v>
      </c>
      <c r="E454" s="268">
        <v>0.02</v>
      </c>
      <c r="F454" s="268">
        <v>2.21</v>
      </c>
      <c r="G454" s="269" t="s">
        <v>757</v>
      </c>
      <c r="H454" s="269" t="s">
        <v>757</v>
      </c>
      <c r="I454" s="270" t="s">
        <v>757</v>
      </c>
      <c r="J454" s="261"/>
      <c r="K454" s="261"/>
      <c r="L454" s="261"/>
      <c r="M454" s="261"/>
      <c r="N454" s="261"/>
      <c r="O454" s="261"/>
      <c r="P454" s="261"/>
    </row>
    <row r="455" spans="1:27">
      <c r="C455" s="267" t="s">
        <v>809</v>
      </c>
      <c r="D455" s="273">
        <v>0</v>
      </c>
      <c r="E455" s="268">
        <v>0.02</v>
      </c>
      <c r="F455" s="268" t="s">
        <v>757</v>
      </c>
      <c r="G455" s="269" t="s">
        <v>757</v>
      </c>
      <c r="H455" s="269" t="s">
        <v>757</v>
      </c>
      <c r="I455" s="270" t="s">
        <v>757</v>
      </c>
      <c r="J455" s="261"/>
      <c r="K455" s="261"/>
      <c r="L455" s="261"/>
      <c r="M455" s="261"/>
      <c r="N455" s="261"/>
      <c r="O455" s="261"/>
      <c r="P455" s="261"/>
    </row>
    <row r="456" spans="1:27">
      <c r="C456" s="267" t="s">
        <v>810</v>
      </c>
      <c r="D456" s="268">
        <v>0.03</v>
      </c>
      <c r="E456" s="268">
        <v>0.02</v>
      </c>
      <c r="F456" s="268">
        <v>0.7</v>
      </c>
      <c r="G456" s="269" t="s">
        <v>757</v>
      </c>
      <c r="H456" s="269" t="s">
        <v>757</v>
      </c>
      <c r="I456" s="270" t="s">
        <v>757</v>
      </c>
      <c r="J456" s="261"/>
      <c r="K456" s="261"/>
      <c r="L456" s="261"/>
      <c r="M456" s="261"/>
      <c r="N456" s="261"/>
      <c r="O456" s="261"/>
      <c r="P456" s="261"/>
    </row>
    <row r="457" spans="1:27">
      <c r="C457" s="267" t="s">
        <v>811</v>
      </c>
      <c r="D457" s="268" t="s">
        <v>757</v>
      </c>
      <c r="E457" s="268">
        <v>0.02</v>
      </c>
      <c r="F457" s="268" t="s">
        <v>757</v>
      </c>
      <c r="G457" s="269" t="s">
        <v>757</v>
      </c>
      <c r="H457" s="269" t="s">
        <v>757</v>
      </c>
      <c r="I457" s="270" t="s">
        <v>757</v>
      </c>
      <c r="J457" s="261"/>
      <c r="K457" s="261"/>
      <c r="L457" s="261"/>
      <c r="M457" s="261"/>
      <c r="N457" s="261"/>
      <c r="O457" s="261"/>
      <c r="P457" s="261"/>
    </row>
    <row r="458" spans="1:27">
      <c r="C458" s="267" t="s">
        <v>812</v>
      </c>
      <c r="D458" s="268">
        <v>0.05</v>
      </c>
      <c r="E458" s="268">
        <v>0.02</v>
      </c>
      <c r="F458" s="268" t="s">
        <v>757</v>
      </c>
      <c r="G458" s="269" t="s">
        <v>757</v>
      </c>
      <c r="H458" s="269" t="s">
        <v>757</v>
      </c>
      <c r="I458" s="270" t="s">
        <v>757</v>
      </c>
      <c r="J458" s="261"/>
      <c r="K458" s="261"/>
      <c r="L458" s="261"/>
      <c r="M458" s="261"/>
      <c r="N458" s="261"/>
      <c r="O458" s="261"/>
      <c r="P458" s="261"/>
    </row>
    <row r="459" spans="1:27">
      <c r="C459" s="267" t="s">
        <v>813</v>
      </c>
      <c r="D459" s="268" t="s">
        <v>757</v>
      </c>
      <c r="E459" s="268">
        <v>0.02</v>
      </c>
      <c r="F459" s="268">
        <v>0.28999999999999998</v>
      </c>
      <c r="G459" s="269" t="s">
        <v>757</v>
      </c>
      <c r="H459" s="269" t="s">
        <v>757</v>
      </c>
      <c r="I459" s="270" t="s">
        <v>757</v>
      </c>
      <c r="J459" s="261"/>
      <c r="K459" s="261"/>
      <c r="L459" s="261"/>
      <c r="M459" s="261"/>
      <c r="N459" s="261"/>
      <c r="O459" s="261"/>
      <c r="P459" s="261"/>
    </row>
    <row r="460" spans="1:27" ht="13.9" customHeight="1" thickBot="1">
      <c r="C460" s="274" t="s">
        <v>814</v>
      </c>
      <c r="D460" s="275" t="s">
        <v>757</v>
      </c>
      <c r="E460" s="275">
        <v>0.18</v>
      </c>
      <c r="F460" s="275">
        <v>0.08</v>
      </c>
      <c r="G460" s="276" t="s">
        <v>757</v>
      </c>
      <c r="H460" s="276" t="s">
        <v>757</v>
      </c>
      <c r="I460" s="277" t="s">
        <v>757</v>
      </c>
      <c r="J460" s="261"/>
      <c r="K460" s="261"/>
      <c r="L460" s="261"/>
      <c r="M460" s="261"/>
      <c r="N460" s="261"/>
      <c r="O460" s="261"/>
      <c r="P460" s="261"/>
    </row>
    <row r="461" spans="1:27" ht="27" customHeight="1">
      <c r="A461" s="16"/>
      <c r="B461" s="17"/>
      <c r="C461" s="384" t="s">
        <v>815</v>
      </c>
      <c r="D461" s="351"/>
      <c r="E461" s="351"/>
      <c r="F461" s="351"/>
      <c r="G461" s="351"/>
      <c r="H461" s="351"/>
      <c r="I461" s="351"/>
      <c r="J461" s="351"/>
      <c r="K461" s="351"/>
      <c r="L461" s="351"/>
      <c r="M461" s="16"/>
      <c r="N461" s="16"/>
      <c r="P461" s="16"/>
      <c r="Q461" s="16"/>
      <c r="R461" s="16"/>
      <c r="S461" s="16"/>
      <c r="T461" s="16"/>
      <c r="U461" s="16"/>
      <c r="V461" s="16"/>
      <c r="W461" s="16"/>
      <c r="X461" s="16"/>
      <c r="Y461" s="16"/>
      <c r="Z461" s="16"/>
      <c r="AA461" s="16"/>
    </row>
    <row r="462" spans="1:27" ht="98.45" customHeight="1">
      <c r="A462" s="16"/>
      <c r="B462" s="17"/>
      <c r="C462" s="370" t="s">
        <v>816</v>
      </c>
      <c r="D462" s="351"/>
      <c r="E462" s="351"/>
      <c r="F462" s="351"/>
      <c r="G462" s="351"/>
      <c r="H462" s="351"/>
      <c r="I462" s="351"/>
      <c r="J462" s="351"/>
      <c r="K462" s="351"/>
      <c r="L462" s="351"/>
      <c r="M462" s="16"/>
      <c r="N462" s="16"/>
      <c r="P462" s="16"/>
      <c r="Q462" s="16"/>
      <c r="R462" s="16"/>
      <c r="S462" s="16"/>
      <c r="T462" s="16"/>
      <c r="U462" s="16"/>
      <c r="V462" s="16"/>
      <c r="W462" s="16"/>
      <c r="X462" s="16"/>
      <c r="Y462" s="16"/>
      <c r="Z462" s="16"/>
      <c r="AA462" s="16"/>
    </row>
    <row r="463" spans="1:27">
      <c r="A463" s="16"/>
      <c r="B463" s="17"/>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5.6" customHeight="1">
      <c r="A464" s="16"/>
      <c r="B464" s="137" t="s">
        <v>817</v>
      </c>
      <c r="C464" s="353" t="s">
        <v>818</v>
      </c>
      <c r="D464" s="346"/>
      <c r="E464" s="346"/>
      <c r="F464" s="346"/>
      <c r="G464" s="346"/>
      <c r="H464" s="140"/>
      <c r="I464" s="140"/>
      <c r="J464" s="140"/>
      <c r="K464" s="140"/>
      <c r="L464" s="141"/>
      <c r="M464" s="16"/>
      <c r="N464" s="16"/>
      <c r="O464" s="16"/>
      <c r="P464" s="16"/>
      <c r="Q464" s="16"/>
      <c r="R464" s="16"/>
      <c r="S464" s="16"/>
      <c r="T464" s="16"/>
      <c r="U464" s="16"/>
      <c r="V464" s="16"/>
      <c r="W464" s="16"/>
      <c r="X464" s="16"/>
      <c r="Y464" s="16"/>
      <c r="Z464" s="16"/>
      <c r="AA464" s="16"/>
    </row>
    <row r="465" spans="1:27" s="336" customFormat="1" ht="45" customHeight="1" thickBot="1">
      <c r="A465" s="31"/>
      <c r="B465" s="278"/>
      <c r="C465" s="375" t="s">
        <v>819</v>
      </c>
      <c r="D465" s="376"/>
      <c r="E465" s="376"/>
      <c r="F465" s="376"/>
      <c r="G465" s="376"/>
      <c r="H465" s="376"/>
      <c r="I465" s="376"/>
      <c r="J465" s="376"/>
      <c r="K465" s="376"/>
      <c r="L465" s="31"/>
      <c r="M465" s="31"/>
      <c r="N465" s="31"/>
      <c r="O465" s="31"/>
      <c r="P465" s="31"/>
      <c r="Q465" s="31"/>
      <c r="R465" s="31"/>
      <c r="S465" s="31"/>
      <c r="T465" s="31"/>
      <c r="U465" s="31"/>
      <c r="V465" s="31"/>
      <c r="W465" s="31"/>
      <c r="X465" s="31"/>
      <c r="Y465" s="31"/>
      <c r="Z465" s="31"/>
      <c r="AA465" s="31"/>
    </row>
    <row r="466" spans="1:27" ht="29.45" customHeight="1" thickBot="1">
      <c r="A466" s="16"/>
      <c r="B466" s="17"/>
      <c r="C466" s="187" t="s">
        <v>573</v>
      </c>
      <c r="D466" s="144" t="s">
        <v>733</v>
      </c>
      <c r="E466" s="144" t="s">
        <v>734</v>
      </c>
      <c r="F466" s="144" t="s">
        <v>735</v>
      </c>
      <c r="G466" s="145" t="s">
        <v>12</v>
      </c>
      <c r="H466" s="22"/>
      <c r="I466" s="57"/>
      <c r="J466" s="16"/>
      <c r="K466" s="16"/>
      <c r="L466" s="16"/>
      <c r="M466" s="16"/>
      <c r="N466" s="16"/>
      <c r="O466" s="16"/>
      <c r="P466" s="16"/>
      <c r="Q466" s="16"/>
      <c r="R466" s="16"/>
      <c r="S466" s="16"/>
      <c r="T466" s="16"/>
      <c r="U466" s="16"/>
      <c r="V466" s="16"/>
      <c r="W466" s="16"/>
      <c r="X466" s="16"/>
      <c r="Y466" s="16"/>
      <c r="Z466" s="16"/>
      <c r="AA466" s="16"/>
    </row>
    <row r="467" spans="1:27" ht="15.6" customHeight="1">
      <c r="A467" s="16"/>
      <c r="B467" s="17"/>
      <c r="C467" s="279" t="s">
        <v>738</v>
      </c>
      <c r="D467" s="212">
        <v>0.33200000000000002</v>
      </c>
      <c r="E467" s="212">
        <v>7.0000000000000001E-3</v>
      </c>
      <c r="F467" s="212">
        <v>7.0000000000000001E-3</v>
      </c>
      <c r="G467" s="280" t="s">
        <v>737</v>
      </c>
      <c r="H467" s="146"/>
      <c r="I467" s="146"/>
      <c r="J467" s="146"/>
      <c r="K467" s="16"/>
      <c r="L467" s="16"/>
      <c r="M467" s="16"/>
      <c r="N467" s="16"/>
      <c r="O467" s="16"/>
      <c r="P467" s="16"/>
      <c r="Q467" s="16"/>
      <c r="R467" s="16"/>
      <c r="S467" s="16"/>
      <c r="T467" s="16"/>
      <c r="U467" s="16"/>
      <c r="V467" s="16"/>
      <c r="W467" s="16"/>
      <c r="X467" s="16"/>
      <c r="Y467" s="16"/>
      <c r="Z467" s="16"/>
      <c r="AA467" s="16"/>
    </row>
    <row r="468" spans="1:27" ht="15.6" customHeight="1">
      <c r="A468" s="16"/>
      <c r="B468" s="17"/>
      <c r="C468" s="52" t="s">
        <v>739</v>
      </c>
      <c r="D468" s="217">
        <v>0.45400000000000001</v>
      </c>
      <c r="E468" s="217">
        <v>1.2E-2</v>
      </c>
      <c r="F468" s="217">
        <v>8.9999999999999993E-3</v>
      </c>
      <c r="G468" s="281" t="s">
        <v>737</v>
      </c>
      <c r="H468" s="146"/>
      <c r="I468" s="146"/>
      <c r="J468" s="146"/>
      <c r="K468" s="16"/>
      <c r="L468" s="16"/>
      <c r="M468" s="16"/>
      <c r="N468" s="16"/>
      <c r="O468" s="16"/>
      <c r="P468" s="16"/>
      <c r="Q468" s="16"/>
      <c r="R468" s="16"/>
      <c r="S468" s="16"/>
      <c r="T468" s="16"/>
      <c r="U468" s="16"/>
      <c r="V468" s="16"/>
      <c r="W468" s="16"/>
      <c r="X468" s="16"/>
      <c r="Y468" s="16"/>
      <c r="Z468" s="16"/>
      <c r="AA468" s="16"/>
    </row>
    <row r="469" spans="1:27" ht="13.9" customHeight="1" thickBot="1">
      <c r="A469" s="16"/>
      <c r="B469" s="17"/>
      <c r="C469" s="104" t="s">
        <v>139</v>
      </c>
      <c r="D469" s="222">
        <v>0.183</v>
      </c>
      <c r="E469" s="282">
        <v>7.0000000000000007E-2</v>
      </c>
      <c r="F469" s="282">
        <v>7.0000000000000001E-3</v>
      </c>
      <c r="G469" s="283" t="s">
        <v>737</v>
      </c>
      <c r="H469" s="146"/>
      <c r="I469" s="146"/>
      <c r="J469" s="146"/>
      <c r="K469" s="16"/>
      <c r="L469" s="16"/>
      <c r="M469" s="16"/>
      <c r="N469" s="16"/>
      <c r="O469" s="16"/>
      <c r="P469" s="16"/>
      <c r="Q469" s="16"/>
      <c r="R469" s="16"/>
      <c r="S469" s="16"/>
      <c r="T469" s="16"/>
      <c r="U469" s="16"/>
      <c r="V469" s="16"/>
      <c r="W469" s="16"/>
      <c r="X469" s="16"/>
      <c r="Y469" s="16"/>
      <c r="Z469" s="16"/>
      <c r="AA469" s="16"/>
    </row>
    <row r="470" spans="1:27" ht="15.6" customHeight="1">
      <c r="A470" s="16"/>
      <c r="B470" s="17"/>
      <c r="C470" s="284" t="s">
        <v>820</v>
      </c>
      <c r="D470" s="285">
        <v>5.8000000000000003E-2</v>
      </c>
      <c r="E470" s="286">
        <v>5.4999999999999997E-3</v>
      </c>
      <c r="F470" s="286">
        <v>6.9999999999999999E-4</v>
      </c>
      <c r="G470" s="287" t="s">
        <v>821</v>
      </c>
      <c r="H470" s="146"/>
      <c r="I470" s="146"/>
      <c r="J470" s="146"/>
      <c r="K470" s="288"/>
      <c r="L470" s="16"/>
      <c r="M470" s="16"/>
      <c r="N470" s="16"/>
      <c r="O470" s="16"/>
      <c r="P470" s="16"/>
      <c r="Q470" s="16"/>
      <c r="R470" s="16"/>
      <c r="S470" s="16"/>
      <c r="T470" s="16"/>
      <c r="U470" s="16"/>
      <c r="V470" s="16"/>
      <c r="W470" s="16"/>
      <c r="X470" s="16"/>
      <c r="Y470" s="16"/>
      <c r="Z470" s="16"/>
      <c r="AA470" s="16"/>
    </row>
    <row r="471" spans="1:27" ht="15.6" customHeight="1">
      <c r="A471" s="16"/>
      <c r="B471" s="17"/>
      <c r="C471" s="289" t="s">
        <v>822</v>
      </c>
      <c r="D471" s="85">
        <v>0.15</v>
      </c>
      <c r="E471" s="157">
        <v>1.17E-2</v>
      </c>
      <c r="F471" s="157">
        <v>3.8E-3</v>
      </c>
      <c r="G471" s="287" t="s">
        <v>821</v>
      </c>
      <c r="H471" s="146"/>
      <c r="I471" s="146"/>
      <c r="J471" s="146"/>
      <c r="K471" s="288"/>
      <c r="L471" s="16"/>
      <c r="M471" s="16"/>
      <c r="N471" s="16"/>
      <c r="O471" s="16"/>
      <c r="P471" s="16"/>
      <c r="Q471" s="16"/>
      <c r="R471" s="16"/>
      <c r="S471" s="16"/>
      <c r="T471" s="16"/>
      <c r="U471" s="16"/>
      <c r="V471" s="16"/>
      <c r="W471" s="16"/>
      <c r="X471" s="16"/>
      <c r="Y471" s="16"/>
      <c r="Z471" s="16"/>
      <c r="AA471" s="16"/>
    </row>
    <row r="472" spans="1:27" ht="15.6" customHeight="1">
      <c r="A472" s="16"/>
      <c r="B472" s="17"/>
      <c r="C472" s="289" t="s">
        <v>823</v>
      </c>
      <c r="D472" s="85">
        <v>0.113</v>
      </c>
      <c r="E472" s="157">
        <v>9.1999999999999998E-3</v>
      </c>
      <c r="F472" s="157">
        <v>2.5999999999999999E-3</v>
      </c>
      <c r="G472" s="287" t="s">
        <v>821</v>
      </c>
      <c r="H472" s="146"/>
      <c r="I472" s="146"/>
      <c r="J472" s="146"/>
      <c r="K472" s="288"/>
      <c r="L472" s="16"/>
      <c r="M472" s="16"/>
      <c r="N472" s="16"/>
      <c r="O472" s="16"/>
      <c r="P472" s="16"/>
      <c r="Q472" s="16"/>
      <c r="R472" s="16"/>
      <c r="S472" s="16"/>
      <c r="T472" s="16"/>
      <c r="U472" s="16"/>
      <c r="V472" s="16"/>
      <c r="W472" s="16"/>
      <c r="X472" s="16"/>
      <c r="Y472" s="16"/>
      <c r="Z472" s="16"/>
      <c r="AA472" s="16"/>
    </row>
    <row r="473" spans="1:27" ht="15.6" customHeight="1">
      <c r="A473" s="16"/>
      <c r="B473" s="17"/>
      <c r="C473" s="290" t="s">
        <v>824</v>
      </c>
      <c r="D473" s="291">
        <v>0.13900000000000001</v>
      </c>
      <c r="E473" s="292">
        <v>1.12E-2</v>
      </c>
      <c r="F473" s="292">
        <v>2.8E-3</v>
      </c>
      <c r="G473" s="281" t="s">
        <v>821</v>
      </c>
      <c r="H473" s="146"/>
      <c r="I473" s="146"/>
      <c r="J473" s="146"/>
      <c r="K473" s="288"/>
      <c r="L473" s="16"/>
      <c r="M473" s="16"/>
      <c r="N473" s="16"/>
      <c r="O473" s="16"/>
      <c r="P473" s="16"/>
      <c r="Q473" s="16"/>
      <c r="R473" s="16"/>
      <c r="S473" s="16"/>
      <c r="T473" s="16"/>
      <c r="U473" s="16"/>
      <c r="V473" s="16"/>
      <c r="W473" s="16"/>
      <c r="X473" s="16"/>
      <c r="Y473" s="16"/>
      <c r="Z473" s="16"/>
      <c r="AA473" s="16"/>
    </row>
    <row r="474" spans="1:27" ht="15.6" customHeight="1">
      <c r="A474" s="16"/>
      <c r="B474" s="17"/>
      <c r="C474" s="293" t="s">
        <v>825</v>
      </c>
      <c r="D474" s="291">
        <v>9.9000000000000005E-2</v>
      </c>
      <c r="E474" s="292">
        <v>8.3999999999999995E-3</v>
      </c>
      <c r="F474" s="292">
        <v>1.1999999999999999E-3</v>
      </c>
      <c r="G474" s="281" t="s">
        <v>821</v>
      </c>
      <c r="H474" s="146"/>
      <c r="I474" s="146"/>
      <c r="J474" s="146"/>
      <c r="K474" s="288"/>
      <c r="L474" s="16"/>
      <c r="M474" s="16"/>
      <c r="N474" s="16"/>
      <c r="O474" s="16"/>
      <c r="P474" s="16"/>
      <c r="Q474" s="16"/>
      <c r="R474" s="16"/>
      <c r="S474" s="16"/>
      <c r="T474" s="16"/>
      <c r="U474" s="16"/>
      <c r="V474" s="16"/>
      <c r="W474" s="16"/>
      <c r="X474" s="16"/>
      <c r="Y474" s="16"/>
      <c r="Z474" s="16"/>
      <c r="AA474" s="16"/>
    </row>
    <row r="475" spans="1:27">
      <c r="A475" s="16"/>
      <c r="B475" s="17"/>
      <c r="C475" s="293" t="s">
        <v>826</v>
      </c>
      <c r="D475" s="217">
        <v>5.6000000000000001E-2</v>
      </c>
      <c r="E475" s="294">
        <v>2.1000000000000001E-2</v>
      </c>
      <c r="F475" s="182">
        <v>8.9999999999999998E-4</v>
      </c>
      <c r="G475" s="281" t="s">
        <v>821</v>
      </c>
      <c r="H475" s="146"/>
      <c r="I475" s="146"/>
      <c r="J475" s="146"/>
      <c r="K475" s="16"/>
      <c r="L475" s="16"/>
      <c r="M475" s="16"/>
      <c r="N475" s="16"/>
      <c r="O475" s="16"/>
      <c r="P475" s="16"/>
      <c r="Q475" s="16"/>
      <c r="R475" s="16"/>
      <c r="S475" s="16"/>
      <c r="T475" s="16"/>
      <c r="U475" s="16"/>
      <c r="V475" s="16"/>
      <c r="W475" s="16"/>
      <c r="X475" s="16"/>
      <c r="Y475" s="16"/>
      <c r="Z475" s="16"/>
      <c r="AA475" s="16"/>
    </row>
    <row r="476" spans="1:27">
      <c r="A476" s="16"/>
      <c r="B476" s="30"/>
      <c r="C476" s="52" t="s">
        <v>827</v>
      </c>
      <c r="D476" s="295">
        <v>0.20699999999999999</v>
      </c>
      <c r="E476" s="182">
        <v>6.4000000000000003E-3</v>
      </c>
      <c r="F476" s="182">
        <v>6.6E-3</v>
      </c>
      <c r="G476" s="281" t="s">
        <v>821</v>
      </c>
      <c r="H476" s="146"/>
      <c r="I476" s="146"/>
      <c r="J476" s="146"/>
      <c r="K476" s="16"/>
      <c r="L476" s="16"/>
      <c r="M476" s="16"/>
      <c r="N476" s="16"/>
      <c r="O476" s="16"/>
      <c r="P476" s="16"/>
      <c r="Q476" s="16"/>
      <c r="R476" s="16"/>
      <c r="S476" s="16"/>
      <c r="T476" s="16"/>
      <c r="U476" s="16"/>
      <c r="V476" s="16"/>
      <c r="W476" s="16"/>
      <c r="X476" s="16"/>
      <c r="Y476" s="16"/>
      <c r="Z476" s="16"/>
      <c r="AA476" s="16"/>
    </row>
    <row r="477" spans="1:27" ht="39.6" customHeight="1">
      <c r="A477" s="16"/>
      <c r="B477" s="30"/>
      <c r="C477" s="296" t="s">
        <v>828</v>
      </c>
      <c r="D477" s="217">
        <v>0.129</v>
      </c>
      <c r="E477" s="157">
        <v>5.9999999999999995E-4</v>
      </c>
      <c r="F477" s="182">
        <v>4.1000000000000003E-3</v>
      </c>
      <c r="G477" s="281" t="s">
        <v>821</v>
      </c>
      <c r="H477" s="146"/>
      <c r="I477" s="146"/>
      <c r="J477" s="146"/>
      <c r="K477" s="16"/>
      <c r="L477" s="16"/>
      <c r="M477" s="16"/>
      <c r="N477" s="16"/>
      <c r="O477" s="16"/>
      <c r="P477" s="16"/>
      <c r="Q477" s="16"/>
      <c r="R477" s="16"/>
      <c r="S477" s="16"/>
      <c r="T477" s="16"/>
      <c r="U477" s="16"/>
      <c r="V477" s="16"/>
      <c r="W477" s="16"/>
      <c r="X477" s="16"/>
      <c r="Y477" s="16"/>
      <c r="Z477" s="16"/>
      <c r="AA477" s="16"/>
    </row>
    <row r="478" spans="1:27" ht="17.25" customHeight="1" thickBot="1">
      <c r="A478" s="16"/>
      <c r="B478" s="30"/>
      <c r="C478" s="104" t="s">
        <v>829</v>
      </c>
      <c r="D478" s="222">
        <v>0.16300000000000001</v>
      </c>
      <c r="E478" s="297">
        <v>5.9999999999999995E-4</v>
      </c>
      <c r="F478" s="298">
        <v>5.1999999999999998E-3</v>
      </c>
      <c r="G478" s="283" t="s">
        <v>821</v>
      </c>
      <c r="H478" s="146"/>
      <c r="I478" s="146"/>
      <c r="J478" s="146"/>
      <c r="K478" s="16"/>
      <c r="L478" s="16"/>
      <c r="M478" s="16"/>
      <c r="N478" s="16"/>
      <c r="O478" s="16"/>
      <c r="P478" s="16"/>
      <c r="Q478" s="16"/>
      <c r="R478" s="16"/>
      <c r="S478" s="16"/>
      <c r="T478" s="16"/>
      <c r="U478" s="16"/>
      <c r="V478" s="16"/>
      <c r="W478" s="16"/>
      <c r="X478" s="16"/>
      <c r="Y478" s="16"/>
      <c r="Z478" s="16"/>
      <c r="AA478" s="16"/>
    </row>
    <row r="479" spans="1:27" ht="92.45" customHeight="1">
      <c r="A479" s="16"/>
      <c r="B479" s="30"/>
      <c r="C479" s="350" t="s">
        <v>830</v>
      </c>
      <c r="D479" s="351"/>
      <c r="E479" s="351"/>
      <c r="F479" s="351"/>
      <c r="G479" s="351"/>
      <c r="H479" s="351"/>
      <c r="I479" s="351"/>
      <c r="J479" s="351"/>
      <c r="K479" s="351"/>
      <c r="L479" s="351"/>
      <c r="M479" s="16"/>
      <c r="N479" s="16"/>
      <c r="O479" s="16"/>
      <c r="P479" s="16"/>
      <c r="Q479" s="16"/>
      <c r="R479" s="16"/>
      <c r="S479" s="16"/>
      <c r="T479" s="16"/>
      <c r="U479" s="16"/>
      <c r="V479" s="16"/>
      <c r="W479" s="16"/>
      <c r="X479" s="16"/>
      <c r="Y479" s="16"/>
      <c r="Z479" s="16"/>
      <c r="AA479" s="16"/>
    </row>
    <row r="480" spans="1:27" ht="93.75" customHeight="1">
      <c r="A480" s="16"/>
      <c r="B480" s="17"/>
      <c r="C480" s="350" t="s">
        <v>831</v>
      </c>
      <c r="D480" s="351"/>
      <c r="E480" s="351"/>
      <c r="F480" s="351"/>
      <c r="G480" s="351"/>
      <c r="H480" s="351"/>
      <c r="I480" s="351"/>
      <c r="J480" s="351"/>
      <c r="K480" s="351"/>
      <c r="L480" s="351"/>
      <c r="M480" s="16"/>
      <c r="N480" s="16"/>
      <c r="O480" s="16"/>
      <c r="P480" s="16"/>
      <c r="Q480" s="16"/>
      <c r="R480" s="16"/>
      <c r="S480" s="16"/>
      <c r="T480" s="16"/>
      <c r="U480" s="16"/>
      <c r="V480" s="16"/>
      <c r="W480" s="16"/>
      <c r="X480" s="16"/>
      <c r="Y480" s="16"/>
      <c r="Z480" s="16"/>
      <c r="AA480" s="16"/>
    </row>
    <row r="481" spans="1:27">
      <c r="A481" s="16"/>
      <c r="B481" s="17"/>
      <c r="C481" s="334"/>
      <c r="D481" s="334"/>
      <c r="E481" s="334"/>
      <c r="F481" s="334"/>
      <c r="G481" s="334"/>
      <c r="H481" s="334"/>
      <c r="I481" s="334"/>
      <c r="J481" s="334"/>
      <c r="K481" s="334"/>
      <c r="L481" s="334"/>
      <c r="M481" s="16"/>
      <c r="N481" s="16"/>
      <c r="O481" s="16"/>
      <c r="P481" s="16"/>
      <c r="Q481" s="16"/>
      <c r="R481" s="16"/>
      <c r="S481" s="16"/>
      <c r="T481" s="16"/>
      <c r="U481" s="16"/>
      <c r="V481" s="16"/>
      <c r="W481" s="16"/>
      <c r="X481" s="16"/>
      <c r="Y481" s="16"/>
      <c r="Z481" s="16"/>
      <c r="AA481" s="16"/>
    </row>
    <row r="482" spans="1:27" ht="15.6" customHeight="1">
      <c r="A482" s="16"/>
      <c r="B482" s="362" t="s">
        <v>832</v>
      </c>
      <c r="C482" s="346"/>
      <c r="D482" s="346"/>
      <c r="E482" s="346"/>
      <c r="F482" s="346"/>
      <c r="G482" s="346"/>
      <c r="H482" s="346"/>
      <c r="I482" s="346"/>
      <c r="J482" s="346"/>
      <c r="K482" s="346"/>
      <c r="L482" s="363"/>
      <c r="M482" s="16"/>
      <c r="N482" s="16"/>
      <c r="O482" s="16"/>
      <c r="P482" s="16"/>
      <c r="Q482" s="16"/>
      <c r="R482" s="16"/>
      <c r="S482" s="16"/>
      <c r="T482" s="16"/>
      <c r="U482" s="16"/>
      <c r="V482" s="16"/>
      <c r="W482" s="16"/>
      <c r="X482" s="16"/>
      <c r="Y482" s="16"/>
      <c r="Z482" s="16"/>
      <c r="AA482" s="16"/>
    </row>
    <row r="483" spans="1:27">
      <c r="A483" s="16"/>
      <c r="B483" s="17"/>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5.6" customHeight="1">
      <c r="A484" s="16"/>
      <c r="B484" s="137" t="s">
        <v>833</v>
      </c>
      <c r="C484" s="254" t="s">
        <v>834</v>
      </c>
      <c r="D484" s="140"/>
      <c r="E484" s="140"/>
      <c r="F484" s="140"/>
      <c r="G484" s="140"/>
      <c r="H484" s="140"/>
      <c r="I484" s="140"/>
      <c r="J484" s="140"/>
      <c r="K484" s="140"/>
      <c r="L484" s="141"/>
      <c r="M484" s="16"/>
      <c r="N484" s="16"/>
      <c r="O484" s="16"/>
      <c r="P484" s="16"/>
      <c r="Q484" s="16"/>
      <c r="R484" s="16"/>
      <c r="S484" s="16"/>
      <c r="T484" s="16"/>
      <c r="U484" s="16"/>
      <c r="V484" s="16"/>
      <c r="W484" s="16"/>
      <c r="X484" s="16"/>
      <c r="Y484" s="16"/>
      <c r="Z484" s="16"/>
      <c r="AA484" s="16"/>
    </row>
    <row r="485" spans="1:27" ht="13.9" customHeight="1" thickBo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3.9" customHeight="1" thickBot="1">
      <c r="A486" s="16"/>
      <c r="B486" s="16"/>
      <c r="C486" s="299" t="s">
        <v>459</v>
      </c>
      <c r="D486" s="300" t="s">
        <v>460</v>
      </c>
      <c r="E486" s="301"/>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5.6" customHeight="1">
      <c r="A487" s="16"/>
      <c r="B487" s="16"/>
      <c r="C487" s="302" t="s">
        <v>835</v>
      </c>
      <c r="D487" s="303">
        <v>1</v>
      </c>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5.6" customHeight="1">
      <c r="A488" s="16"/>
      <c r="B488" s="16"/>
      <c r="C488" s="304" t="s">
        <v>450</v>
      </c>
      <c r="D488" s="305">
        <v>25</v>
      </c>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5.6" customHeight="1">
      <c r="A489" s="16"/>
      <c r="B489" s="16"/>
      <c r="C489" s="304" t="s">
        <v>451</v>
      </c>
      <c r="D489" s="305">
        <v>298</v>
      </c>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c r="A490" s="16"/>
      <c r="B490" s="16"/>
      <c r="C490" s="304" t="s">
        <v>836</v>
      </c>
      <c r="D490" s="305">
        <v>14800</v>
      </c>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c r="A491" s="16"/>
      <c r="B491" s="16"/>
      <c r="C491" s="304" t="s">
        <v>837</v>
      </c>
      <c r="D491" s="305">
        <v>675</v>
      </c>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c r="A492" s="16"/>
      <c r="B492" s="16"/>
      <c r="C492" s="304" t="s">
        <v>838</v>
      </c>
      <c r="D492" s="305">
        <v>92</v>
      </c>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c r="A493" s="16"/>
      <c r="B493" s="16"/>
      <c r="C493" s="304" t="s">
        <v>839</v>
      </c>
      <c r="D493" s="305">
        <v>3500</v>
      </c>
      <c r="E493" s="16"/>
      <c r="F493" s="16"/>
      <c r="G493" s="361"/>
      <c r="H493" s="351"/>
      <c r="I493" s="351"/>
      <c r="J493" s="351"/>
      <c r="K493" s="351"/>
      <c r="L493" s="351"/>
      <c r="M493" s="351"/>
      <c r="N493" s="16"/>
      <c r="O493" s="16"/>
      <c r="P493" s="16"/>
      <c r="Q493" s="16"/>
      <c r="R493" s="16"/>
      <c r="S493" s="16"/>
      <c r="T493" s="16"/>
      <c r="U493" s="16"/>
      <c r="V493" s="16"/>
      <c r="W493" s="16"/>
      <c r="X493" s="16"/>
      <c r="Y493" s="16"/>
      <c r="Z493" s="16"/>
      <c r="AA493" s="16"/>
    </row>
    <row r="494" spans="1:27">
      <c r="A494" s="16"/>
      <c r="B494" s="16"/>
      <c r="C494" s="304" t="s">
        <v>840</v>
      </c>
      <c r="D494" s="305">
        <v>1100</v>
      </c>
      <c r="E494" s="16"/>
      <c r="F494" s="16"/>
      <c r="G494" s="361"/>
      <c r="H494" s="351"/>
      <c r="I494" s="351"/>
      <c r="J494" s="351"/>
      <c r="K494" s="351"/>
      <c r="L494" s="351"/>
      <c r="M494" s="351"/>
      <c r="N494" s="16"/>
      <c r="O494" s="16"/>
      <c r="P494" s="16"/>
      <c r="Q494" s="16"/>
      <c r="R494" s="16"/>
      <c r="S494" s="16"/>
      <c r="T494" s="16"/>
      <c r="U494" s="16"/>
      <c r="V494" s="16"/>
      <c r="W494" s="16"/>
      <c r="X494" s="16"/>
      <c r="Y494" s="16"/>
      <c r="Z494" s="16"/>
      <c r="AA494" s="16"/>
    </row>
    <row r="495" spans="1:27">
      <c r="A495" s="16"/>
      <c r="B495" s="16"/>
      <c r="C495" s="304" t="s">
        <v>841</v>
      </c>
      <c r="D495" s="305">
        <v>1430</v>
      </c>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c r="A496" s="16"/>
      <c r="B496" s="16"/>
      <c r="C496" s="304" t="s">
        <v>842</v>
      </c>
      <c r="D496" s="305">
        <v>353</v>
      </c>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c r="A497" s="16"/>
      <c r="B497" s="16"/>
      <c r="C497" s="193" t="s">
        <v>843</v>
      </c>
      <c r="D497" s="305">
        <v>4470</v>
      </c>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c r="A498" s="16"/>
      <c r="B498" s="16"/>
      <c r="C498" s="304" t="s">
        <v>844</v>
      </c>
      <c r="D498" s="305">
        <v>53</v>
      </c>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c r="A499" s="16"/>
      <c r="B499" s="16"/>
      <c r="C499" s="304" t="s">
        <v>845</v>
      </c>
      <c r="D499" s="305">
        <v>124</v>
      </c>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c r="A500" s="16"/>
      <c r="B500" s="16"/>
      <c r="C500" s="304" t="s">
        <v>846</v>
      </c>
      <c r="D500" s="305">
        <v>12</v>
      </c>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c r="A501" s="16"/>
      <c r="B501" s="16"/>
      <c r="C501" s="304" t="s">
        <v>847</v>
      </c>
      <c r="D501" s="305">
        <v>3220</v>
      </c>
      <c r="E501" s="16"/>
      <c r="F501" s="16"/>
      <c r="G501" s="361"/>
      <c r="H501" s="351"/>
      <c r="I501" s="351"/>
      <c r="J501" s="351"/>
      <c r="K501" s="351"/>
      <c r="L501" s="351"/>
      <c r="M501" s="351"/>
      <c r="N501" s="16"/>
      <c r="O501" s="16"/>
      <c r="P501" s="16"/>
      <c r="Q501" s="16"/>
      <c r="R501" s="16"/>
      <c r="S501" s="16"/>
      <c r="T501" s="16"/>
      <c r="U501" s="16"/>
      <c r="V501" s="16"/>
      <c r="W501" s="16"/>
      <c r="X501" s="16"/>
      <c r="Y501" s="16"/>
      <c r="Z501" s="16"/>
      <c r="AA501" s="16"/>
    </row>
    <row r="502" spans="1:27">
      <c r="A502" s="16"/>
      <c r="B502" s="16"/>
      <c r="C502" s="304" t="s">
        <v>848</v>
      </c>
      <c r="D502" s="305">
        <v>1340</v>
      </c>
      <c r="E502" s="16"/>
      <c r="F502" s="16"/>
      <c r="G502" s="361"/>
      <c r="H502" s="351"/>
      <c r="I502" s="351"/>
      <c r="J502" s="351"/>
      <c r="K502" s="351"/>
      <c r="L502" s="351"/>
      <c r="M502" s="351"/>
      <c r="N502" s="16"/>
      <c r="O502" s="16"/>
      <c r="P502" s="16"/>
      <c r="Q502" s="16"/>
      <c r="R502" s="16"/>
      <c r="S502" s="16"/>
      <c r="T502" s="16"/>
      <c r="U502" s="16"/>
      <c r="V502" s="16"/>
      <c r="W502" s="16"/>
      <c r="X502" s="16"/>
      <c r="Y502" s="16"/>
      <c r="Z502" s="16"/>
      <c r="AA502" s="16"/>
    </row>
    <row r="503" spans="1:27">
      <c r="A503" s="16"/>
      <c r="B503" s="16"/>
      <c r="C503" s="304" t="s">
        <v>849</v>
      </c>
      <c r="D503" s="305">
        <v>1370</v>
      </c>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c r="A504" s="16"/>
      <c r="B504" s="16"/>
      <c r="C504" s="304" t="s">
        <v>850</v>
      </c>
      <c r="D504" s="305">
        <v>9810</v>
      </c>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c r="A505" s="16"/>
      <c r="B505" s="16"/>
      <c r="C505" s="193" t="s">
        <v>851</v>
      </c>
      <c r="D505" s="305">
        <v>693</v>
      </c>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c r="A506" s="16"/>
      <c r="B506" s="16"/>
      <c r="C506" s="304" t="s">
        <v>852</v>
      </c>
      <c r="D506" s="305">
        <v>1030</v>
      </c>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c r="A507" s="16"/>
      <c r="B507" s="16"/>
      <c r="C507" s="304" t="s">
        <v>853</v>
      </c>
      <c r="D507" s="305">
        <v>794</v>
      </c>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c r="A508" s="16"/>
      <c r="B508" s="16"/>
      <c r="C508" s="193" t="s">
        <v>854</v>
      </c>
      <c r="D508" s="305">
        <v>1640</v>
      </c>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5.6" customHeight="1">
      <c r="A509" s="16"/>
      <c r="B509" s="16"/>
      <c r="C509" s="304" t="s">
        <v>855</v>
      </c>
      <c r="D509" s="305">
        <v>22800</v>
      </c>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5.6" customHeight="1">
      <c r="A510" s="16"/>
      <c r="B510" s="16"/>
      <c r="C510" s="304" t="s">
        <v>856</v>
      </c>
      <c r="D510" s="305">
        <v>17200</v>
      </c>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5.6" customHeight="1">
      <c r="A511" s="16"/>
      <c r="B511" s="16"/>
      <c r="C511" s="193" t="s">
        <v>857</v>
      </c>
      <c r="D511" s="305">
        <v>7390</v>
      </c>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5.6" customHeight="1">
      <c r="A512" s="16"/>
      <c r="B512" s="16"/>
      <c r="C512" s="193" t="s">
        <v>858</v>
      </c>
      <c r="D512" s="305">
        <v>12200</v>
      </c>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5.6" customHeight="1">
      <c r="A513" s="16"/>
      <c r="B513" s="16"/>
      <c r="C513" s="193" t="s">
        <v>859</v>
      </c>
      <c r="D513" s="305">
        <v>8830</v>
      </c>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5.6" customHeight="1">
      <c r="A514" s="16"/>
      <c r="B514" s="16"/>
      <c r="C514" s="193" t="s">
        <v>860</v>
      </c>
      <c r="D514" s="306">
        <v>10300</v>
      </c>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5.6" customHeight="1">
      <c r="A515" s="16"/>
      <c r="B515" s="16"/>
      <c r="C515" s="193" t="s">
        <v>861</v>
      </c>
      <c r="D515" s="305">
        <v>8860</v>
      </c>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5.6" customHeight="1">
      <c r="A516" s="16"/>
      <c r="B516" s="16"/>
      <c r="C516" s="193" t="s">
        <v>862</v>
      </c>
      <c r="D516" s="305">
        <v>9160</v>
      </c>
      <c r="E516" s="16"/>
      <c r="F516" s="16"/>
      <c r="G516" s="16"/>
      <c r="H516" s="16"/>
      <c r="I516" s="16"/>
      <c r="J516" s="16"/>
      <c r="K516" s="16"/>
      <c r="L516" s="16"/>
      <c r="M516" s="16"/>
      <c r="N516" s="27"/>
      <c r="O516" s="16"/>
      <c r="P516" s="16"/>
      <c r="Q516" s="16"/>
      <c r="R516" s="16"/>
      <c r="S516" s="16"/>
      <c r="T516" s="16"/>
      <c r="U516" s="16"/>
      <c r="V516" s="16"/>
      <c r="W516" s="16"/>
      <c r="X516" s="16"/>
      <c r="Y516" s="16"/>
      <c r="Z516" s="16"/>
      <c r="AA516" s="16"/>
    </row>
    <row r="517" spans="1:27" ht="15.6" customHeight="1">
      <c r="A517" s="16"/>
      <c r="B517" s="16"/>
      <c r="C517" s="193" t="s">
        <v>863</v>
      </c>
      <c r="D517" s="305">
        <v>9300</v>
      </c>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6.149999999999999" customHeight="1" thickBot="1">
      <c r="A518" s="16"/>
      <c r="B518" s="16"/>
      <c r="C518" s="243" t="s">
        <v>864</v>
      </c>
      <c r="D518" s="307" t="s">
        <v>865</v>
      </c>
      <c r="E518" s="16"/>
      <c r="F518" s="16"/>
      <c r="G518" s="16"/>
      <c r="H518" s="16"/>
      <c r="I518" s="16"/>
      <c r="J518" s="16"/>
      <c r="K518" s="16"/>
      <c r="L518" s="16"/>
      <c r="M518" s="16"/>
      <c r="N518" s="27"/>
      <c r="O518" s="16"/>
      <c r="P518" s="16"/>
      <c r="Q518" s="16"/>
      <c r="R518" s="16"/>
      <c r="S518" s="16"/>
      <c r="T518" s="16"/>
      <c r="U518" s="16"/>
      <c r="V518" s="16"/>
      <c r="W518" s="16"/>
      <c r="X518" s="16"/>
      <c r="Y518" s="16"/>
      <c r="Z518" s="16"/>
      <c r="AA518" s="16"/>
    </row>
    <row r="519" spans="1:27" ht="121.5" customHeight="1">
      <c r="A519" s="16"/>
      <c r="B519" s="16"/>
      <c r="C519" s="350" t="s">
        <v>866</v>
      </c>
      <c r="D519" s="351"/>
      <c r="E519" s="351"/>
      <c r="F519" s="351"/>
      <c r="G519" s="351"/>
      <c r="H519" s="351"/>
      <c r="I519" s="351"/>
      <c r="J519" s="351"/>
      <c r="K519" s="351"/>
      <c r="L519" s="351"/>
      <c r="M519" s="16"/>
      <c r="N519" s="16"/>
      <c r="O519" s="16"/>
      <c r="P519" s="16"/>
      <c r="Q519" s="16"/>
      <c r="R519" s="16"/>
      <c r="S519" s="16"/>
      <c r="T519" s="16"/>
      <c r="U519" s="16"/>
      <c r="V519" s="16"/>
      <c r="W519" s="16"/>
      <c r="X519" s="16"/>
      <c r="Y519" s="16"/>
      <c r="Z519" s="16"/>
      <c r="AA519" s="16"/>
    </row>
    <row r="520" spans="1:27">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5.6" customHeight="1">
      <c r="B521" s="137" t="s">
        <v>867</v>
      </c>
      <c r="C521" s="254" t="s">
        <v>868</v>
      </c>
      <c r="D521" s="140"/>
      <c r="E521" s="140"/>
      <c r="F521" s="140"/>
      <c r="G521" s="140"/>
      <c r="H521" s="140"/>
      <c r="I521" s="140"/>
      <c r="J521" s="140"/>
      <c r="K521" s="140"/>
      <c r="L521" s="141"/>
      <c r="M521" s="16"/>
      <c r="N521" s="16"/>
      <c r="O521" s="16"/>
      <c r="P521" s="16"/>
      <c r="Q521" s="16"/>
      <c r="R521" s="16"/>
      <c r="S521" s="16"/>
      <c r="T521" s="16"/>
      <c r="U521" s="16"/>
      <c r="V521" s="16"/>
      <c r="W521" s="16"/>
      <c r="X521" s="16"/>
      <c r="Y521" s="16"/>
      <c r="Z521" s="16"/>
      <c r="AA521" s="16"/>
    </row>
    <row r="522" spans="1:27" ht="16.149999999999999" customHeight="1" thickBot="1">
      <c r="A522" s="16"/>
      <c r="B522" s="235"/>
      <c r="C522" s="308"/>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3.9" customHeight="1" thickBot="1">
      <c r="A523" s="16"/>
      <c r="B523" s="16"/>
      <c r="C523" s="309" t="s">
        <v>869</v>
      </c>
      <c r="D523" s="310" t="s">
        <v>870</v>
      </c>
      <c r="E523" s="339" t="s">
        <v>871</v>
      </c>
      <c r="F523" s="340"/>
      <c r="G523" s="340"/>
      <c r="H523" s="341"/>
      <c r="I523" s="16"/>
      <c r="J523" s="16"/>
      <c r="K523" s="16"/>
      <c r="L523" s="16"/>
      <c r="M523" s="16"/>
      <c r="N523" s="16"/>
      <c r="O523" s="16"/>
      <c r="P523" s="16"/>
      <c r="Q523" s="16"/>
      <c r="R523" s="16"/>
      <c r="S523" s="16"/>
      <c r="T523" s="16"/>
      <c r="U523" s="16"/>
      <c r="V523" s="16"/>
      <c r="W523" s="16"/>
      <c r="X523" s="16"/>
      <c r="Y523" s="16"/>
      <c r="Z523" s="16"/>
      <c r="AA523" s="16"/>
    </row>
    <row r="524" spans="1:27" ht="14.45" customHeight="1">
      <c r="A524" s="16"/>
      <c r="B524" s="16"/>
      <c r="C524" s="236" t="s">
        <v>872</v>
      </c>
      <c r="D524" s="311">
        <v>16</v>
      </c>
      <c r="E524" s="371" t="s">
        <v>873</v>
      </c>
      <c r="F524" s="372"/>
      <c r="G524" s="372"/>
      <c r="H524" s="373"/>
      <c r="I524" s="312"/>
      <c r="J524" s="16"/>
      <c r="K524" s="16"/>
      <c r="L524" s="16"/>
      <c r="M524" s="16"/>
      <c r="N524" s="16"/>
      <c r="O524" s="16"/>
      <c r="P524" s="16"/>
      <c r="Q524" s="16"/>
      <c r="R524" s="16"/>
      <c r="S524" s="16"/>
      <c r="T524" s="16"/>
      <c r="U524" s="16"/>
      <c r="V524" s="16"/>
      <c r="W524" s="16"/>
      <c r="X524" s="16"/>
      <c r="Y524" s="16"/>
      <c r="Z524" s="16"/>
      <c r="AA524" s="16"/>
    </row>
    <row r="525" spans="1:27" ht="14.45" customHeight="1">
      <c r="A525" s="16"/>
      <c r="B525" s="16"/>
      <c r="C525" s="193" t="s">
        <v>874</v>
      </c>
      <c r="D525" s="313">
        <v>14</v>
      </c>
      <c r="E525" s="345" t="s">
        <v>875</v>
      </c>
      <c r="F525" s="346"/>
      <c r="G525" s="346"/>
      <c r="H525" s="347"/>
      <c r="I525" s="312"/>
      <c r="J525" s="16"/>
      <c r="K525" s="16"/>
      <c r="L525" s="16"/>
      <c r="M525" s="16"/>
      <c r="N525" s="16"/>
      <c r="O525" s="16"/>
      <c r="P525" s="16"/>
      <c r="Q525" s="16"/>
      <c r="R525" s="16"/>
      <c r="S525" s="16"/>
      <c r="T525" s="16"/>
      <c r="U525" s="16"/>
      <c r="V525" s="16"/>
      <c r="W525" s="16"/>
      <c r="X525" s="16"/>
      <c r="Y525" s="16"/>
      <c r="Z525" s="16"/>
      <c r="AA525" s="16"/>
    </row>
    <row r="526" spans="1:27" ht="14.45" customHeight="1">
      <c r="A526" s="16"/>
      <c r="B526" s="16"/>
      <c r="C526" s="193" t="s">
        <v>876</v>
      </c>
      <c r="D526" s="313">
        <v>19</v>
      </c>
      <c r="E526" s="345" t="s">
        <v>877</v>
      </c>
      <c r="F526" s="346"/>
      <c r="G526" s="346"/>
      <c r="H526" s="347"/>
      <c r="I526" s="312"/>
      <c r="J526" s="16"/>
      <c r="K526" s="16"/>
      <c r="L526" s="16"/>
      <c r="M526" s="16"/>
      <c r="N526" s="16"/>
      <c r="O526" s="16"/>
      <c r="P526" s="16"/>
      <c r="Q526" s="16"/>
      <c r="R526" s="16"/>
      <c r="S526" s="16"/>
      <c r="T526" s="16"/>
      <c r="U526" s="16"/>
      <c r="V526" s="16"/>
      <c r="W526" s="16"/>
      <c r="X526" s="16"/>
      <c r="Y526" s="16"/>
      <c r="Z526" s="16"/>
      <c r="AA526" s="16"/>
    </row>
    <row r="527" spans="1:27" ht="14.45" customHeight="1">
      <c r="A527" s="16"/>
      <c r="B527" s="16"/>
      <c r="C527" s="193" t="s">
        <v>878</v>
      </c>
      <c r="D527" s="313">
        <v>2100</v>
      </c>
      <c r="E527" s="345" t="s">
        <v>879</v>
      </c>
      <c r="F527" s="346"/>
      <c r="G527" s="346"/>
      <c r="H527" s="347"/>
      <c r="I527" s="312"/>
      <c r="J527" s="16"/>
      <c r="K527" s="16"/>
      <c r="L527" s="16"/>
      <c r="M527" s="16"/>
      <c r="N527" s="16"/>
      <c r="O527" s="16"/>
      <c r="P527" s="16"/>
      <c r="Q527" s="16"/>
      <c r="R527" s="16"/>
      <c r="S527" s="16"/>
      <c r="T527" s="16"/>
      <c r="U527" s="16"/>
      <c r="V527" s="16"/>
      <c r="W527" s="16"/>
      <c r="X527" s="16"/>
      <c r="Y527" s="16"/>
      <c r="Z527" s="16"/>
      <c r="AA527" s="16"/>
    </row>
    <row r="528" spans="1:27" ht="14.45" customHeight="1">
      <c r="A528" s="16"/>
      <c r="B528" s="16"/>
      <c r="C528" s="193" t="s">
        <v>880</v>
      </c>
      <c r="D528" s="313">
        <v>1330</v>
      </c>
      <c r="E528" s="345" t="s">
        <v>881</v>
      </c>
      <c r="F528" s="346"/>
      <c r="G528" s="346"/>
      <c r="H528" s="347"/>
      <c r="I528" s="312"/>
      <c r="J528" s="16"/>
      <c r="K528" s="16"/>
      <c r="L528" s="16"/>
      <c r="M528" s="16"/>
      <c r="N528" s="16"/>
      <c r="O528" s="16"/>
      <c r="P528" s="16"/>
      <c r="Q528" s="16"/>
      <c r="R528" s="16"/>
      <c r="S528" s="16"/>
      <c r="T528" s="16"/>
      <c r="U528" s="16"/>
      <c r="V528" s="16"/>
      <c r="W528" s="16"/>
      <c r="X528" s="16"/>
      <c r="Y528" s="16"/>
      <c r="Z528" s="16"/>
      <c r="AA528" s="16"/>
    </row>
    <row r="529" spans="1:27" ht="14.45" customHeight="1">
      <c r="A529" s="16"/>
      <c r="B529" s="16"/>
      <c r="C529" s="193" t="s">
        <v>882</v>
      </c>
      <c r="D529" s="313">
        <v>3444</v>
      </c>
      <c r="E529" s="345" t="s">
        <v>883</v>
      </c>
      <c r="F529" s="346"/>
      <c r="G529" s="346"/>
      <c r="H529" s="347"/>
      <c r="I529" s="312"/>
      <c r="J529" s="16"/>
      <c r="K529" s="16"/>
      <c r="L529" s="16"/>
      <c r="M529" s="16"/>
      <c r="N529" s="16"/>
      <c r="O529" s="16"/>
      <c r="P529" s="16"/>
      <c r="Q529" s="16"/>
      <c r="R529" s="16"/>
      <c r="S529" s="16"/>
      <c r="T529" s="16"/>
      <c r="U529" s="16"/>
      <c r="V529" s="16"/>
      <c r="W529" s="16"/>
      <c r="X529" s="16"/>
      <c r="Y529" s="16"/>
      <c r="Z529" s="16"/>
      <c r="AA529" s="16"/>
    </row>
    <row r="530" spans="1:27" ht="14.45" customHeight="1">
      <c r="A530" s="16"/>
      <c r="B530" s="16"/>
      <c r="C530" s="193" t="s">
        <v>884</v>
      </c>
      <c r="D530" s="313">
        <v>3922</v>
      </c>
      <c r="E530" s="345" t="s">
        <v>885</v>
      </c>
      <c r="F530" s="346"/>
      <c r="G530" s="346"/>
      <c r="H530" s="347"/>
      <c r="I530" s="312"/>
      <c r="J530" s="16"/>
      <c r="K530" s="16"/>
      <c r="L530" s="16"/>
      <c r="M530" s="16"/>
      <c r="N530" s="16"/>
      <c r="O530" s="16"/>
      <c r="P530" s="16"/>
      <c r="Q530" s="16"/>
      <c r="R530" s="16"/>
      <c r="S530" s="16"/>
      <c r="T530" s="16"/>
      <c r="U530" s="16"/>
      <c r="V530" s="16"/>
      <c r="W530" s="16"/>
      <c r="X530" s="16"/>
      <c r="Y530" s="16"/>
      <c r="Z530" s="16"/>
      <c r="AA530" s="16"/>
    </row>
    <row r="531" spans="1:27" ht="14.45" customHeight="1">
      <c r="A531" s="16"/>
      <c r="B531" s="16"/>
      <c r="C531" s="193" t="s">
        <v>886</v>
      </c>
      <c r="D531" s="313">
        <v>0</v>
      </c>
      <c r="E531" s="345" t="s">
        <v>887</v>
      </c>
      <c r="F531" s="346"/>
      <c r="G531" s="346"/>
      <c r="H531" s="347"/>
      <c r="I531" s="312"/>
      <c r="J531" s="16"/>
      <c r="K531" s="16"/>
      <c r="L531" s="16"/>
      <c r="M531" s="16"/>
      <c r="N531" s="16"/>
      <c r="O531" s="16"/>
      <c r="P531" s="16"/>
      <c r="Q531" s="16"/>
      <c r="R531" s="16"/>
      <c r="S531" s="16"/>
      <c r="T531" s="16"/>
      <c r="U531" s="16"/>
      <c r="V531" s="16"/>
      <c r="W531" s="16"/>
      <c r="X531" s="16"/>
      <c r="Y531" s="16"/>
      <c r="Z531" s="16"/>
      <c r="AA531" s="16"/>
    </row>
    <row r="532" spans="1:27" ht="14.45" customHeight="1">
      <c r="A532" s="16"/>
      <c r="B532" s="16"/>
      <c r="C532" s="193" t="s">
        <v>888</v>
      </c>
      <c r="D532" s="313">
        <v>2107</v>
      </c>
      <c r="E532" s="345" t="s">
        <v>889</v>
      </c>
      <c r="F532" s="346"/>
      <c r="G532" s="346"/>
      <c r="H532" s="347"/>
      <c r="I532" s="312"/>
      <c r="J532" s="16"/>
      <c r="K532" s="16"/>
      <c r="L532" s="16"/>
      <c r="M532" s="16"/>
      <c r="N532" s="16"/>
      <c r="O532" s="16"/>
      <c r="P532" s="16"/>
      <c r="Q532" s="16"/>
      <c r="R532" s="16"/>
      <c r="S532" s="16"/>
      <c r="T532" s="16"/>
      <c r="U532" s="16"/>
      <c r="V532" s="16"/>
      <c r="W532" s="16"/>
      <c r="X532" s="16"/>
      <c r="Y532" s="16"/>
      <c r="Z532" s="16"/>
      <c r="AA532" s="16"/>
    </row>
    <row r="533" spans="1:27" ht="14.45" customHeight="1">
      <c r="A533" s="16"/>
      <c r="B533" s="16"/>
      <c r="C533" s="193" t="s">
        <v>890</v>
      </c>
      <c r="D533" s="313">
        <v>2804</v>
      </c>
      <c r="E533" s="345" t="s">
        <v>891</v>
      </c>
      <c r="F533" s="346"/>
      <c r="G533" s="346"/>
      <c r="H533" s="347"/>
      <c r="I533" s="312"/>
      <c r="J533" s="16"/>
      <c r="K533" s="16"/>
      <c r="L533" s="16"/>
      <c r="M533" s="16"/>
      <c r="N533" s="16"/>
      <c r="O533" s="16"/>
      <c r="P533" s="16"/>
      <c r="Q533" s="16"/>
      <c r="R533" s="16"/>
      <c r="S533" s="16"/>
      <c r="T533" s="16"/>
      <c r="U533" s="16"/>
      <c r="V533" s="16"/>
      <c r="W533" s="16"/>
      <c r="X533" s="16"/>
      <c r="Y533" s="16"/>
      <c r="Z533" s="16"/>
      <c r="AA533" s="16"/>
    </row>
    <row r="534" spans="1:27" ht="14.45" customHeight="1">
      <c r="A534" s="16"/>
      <c r="B534" s="16"/>
      <c r="C534" s="193" t="s">
        <v>892</v>
      </c>
      <c r="D534" s="313">
        <v>1774</v>
      </c>
      <c r="E534" s="345" t="s">
        <v>893</v>
      </c>
      <c r="F534" s="346"/>
      <c r="G534" s="346"/>
      <c r="H534" s="347"/>
      <c r="I534" s="312"/>
      <c r="J534" s="16"/>
      <c r="K534" s="16"/>
      <c r="L534" s="16"/>
      <c r="M534" s="16"/>
      <c r="N534" s="16"/>
      <c r="O534" s="16"/>
      <c r="P534" s="16"/>
      <c r="Q534" s="16"/>
      <c r="R534" s="16"/>
      <c r="S534" s="16"/>
      <c r="T534" s="16"/>
      <c r="U534" s="16"/>
      <c r="V534" s="16"/>
      <c r="W534" s="16"/>
      <c r="X534" s="16"/>
      <c r="Y534" s="16"/>
      <c r="Z534" s="16"/>
      <c r="AA534" s="16"/>
    </row>
    <row r="535" spans="1:27" ht="14.45" customHeight="1">
      <c r="A535" s="16"/>
      <c r="B535" s="16"/>
      <c r="C535" s="193" t="s">
        <v>894</v>
      </c>
      <c r="D535" s="313">
        <v>1627</v>
      </c>
      <c r="E535" s="345" t="s">
        <v>895</v>
      </c>
      <c r="F535" s="346"/>
      <c r="G535" s="346"/>
      <c r="H535" s="347"/>
      <c r="I535" s="312"/>
      <c r="J535" s="16"/>
      <c r="K535" s="16"/>
      <c r="L535" s="16"/>
      <c r="M535" s="16"/>
      <c r="N535" s="16"/>
      <c r="O535" s="16"/>
      <c r="P535" s="16"/>
      <c r="Q535" s="16"/>
      <c r="R535" s="16"/>
      <c r="S535" s="16"/>
      <c r="T535" s="16"/>
      <c r="U535" s="16"/>
      <c r="V535" s="16"/>
      <c r="W535" s="16"/>
      <c r="X535" s="16"/>
      <c r="Y535" s="16"/>
      <c r="Z535" s="16"/>
      <c r="AA535" s="16"/>
    </row>
    <row r="536" spans="1:27" ht="14.45" customHeight="1">
      <c r="A536" s="16"/>
      <c r="B536" s="16"/>
      <c r="C536" s="193" t="s">
        <v>896</v>
      </c>
      <c r="D536" s="313">
        <v>1552</v>
      </c>
      <c r="E536" s="345" t="s">
        <v>897</v>
      </c>
      <c r="F536" s="346"/>
      <c r="G536" s="346"/>
      <c r="H536" s="347"/>
      <c r="I536" s="312"/>
      <c r="J536" s="16"/>
      <c r="K536" s="16"/>
      <c r="L536" s="16"/>
      <c r="M536" s="16"/>
      <c r="N536" s="16"/>
      <c r="O536" s="16"/>
      <c r="P536" s="16"/>
      <c r="Q536" s="16"/>
      <c r="R536" s="16"/>
      <c r="S536" s="16"/>
      <c r="T536" s="16"/>
      <c r="U536" s="16"/>
      <c r="V536" s="16"/>
      <c r="W536" s="16"/>
      <c r="X536" s="16"/>
      <c r="Y536" s="16"/>
      <c r="Z536" s="16"/>
      <c r="AA536" s="16"/>
    </row>
    <row r="537" spans="1:27" ht="14.45" customHeight="1">
      <c r="A537" s="16"/>
      <c r="B537" s="16"/>
      <c r="C537" s="193" t="s">
        <v>898</v>
      </c>
      <c r="D537" s="313">
        <v>2301</v>
      </c>
      <c r="E537" s="345" t="s">
        <v>899</v>
      </c>
      <c r="F537" s="346"/>
      <c r="G537" s="346"/>
      <c r="H537" s="347"/>
      <c r="I537" s="312"/>
      <c r="J537" s="16"/>
      <c r="K537" s="16"/>
      <c r="L537" s="16"/>
      <c r="M537" s="16"/>
      <c r="N537" s="16"/>
      <c r="O537" s="16"/>
      <c r="P537" s="16"/>
      <c r="Q537" s="16"/>
      <c r="R537" s="16"/>
      <c r="S537" s="16"/>
      <c r="T537" s="16"/>
      <c r="U537" s="16"/>
      <c r="V537" s="16"/>
      <c r="W537" s="16"/>
      <c r="X537" s="16"/>
      <c r="Y537" s="16"/>
      <c r="Z537" s="16"/>
      <c r="AA537" s="16"/>
    </row>
    <row r="538" spans="1:27" ht="14.45" customHeight="1">
      <c r="A538" s="16"/>
      <c r="B538" s="16"/>
      <c r="C538" s="193" t="s">
        <v>900</v>
      </c>
      <c r="D538" s="313">
        <v>0</v>
      </c>
      <c r="E538" s="345" t="s">
        <v>901</v>
      </c>
      <c r="F538" s="346"/>
      <c r="G538" s="346"/>
      <c r="H538" s="347"/>
      <c r="I538" s="312"/>
      <c r="J538" s="16"/>
      <c r="K538" s="16"/>
      <c r="L538" s="16"/>
      <c r="M538" s="16"/>
      <c r="N538" s="16"/>
      <c r="O538" s="16"/>
      <c r="P538" s="16"/>
      <c r="Q538" s="16"/>
      <c r="R538" s="16"/>
      <c r="S538" s="16"/>
      <c r="T538" s="16"/>
      <c r="U538" s="16"/>
      <c r="V538" s="16"/>
      <c r="W538" s="16"/>
      <c r="X538" s="16"/>
      <c r="Y538" s="16"/>
      <c r="Z538" s="16"/>
      <c r="AA538" s="16"/>
    </row>
    <row r="539" spans="1:27" ht="14.45" customHeight="1">
      <c r="A539" s="16"/>
      <c r="B539" s="16"/>
      <c r="C539" s="193" t="s">
        <v>902</v>
      </c>
      <c r="D539" s="313">
        <v>2088</v>
      </c>
      <c r="E539" s="345" t="s">
        <v>903</v>
      </c>
      <c r="F539" s="346"/>
      <c r="G539" s="346"/>
      <c r="H539" s="347"/>
      <c r="I539" s="312"/>
      <c r="J539" s="16"/>
      <c r="K539" s="16"/>
      <c r="L539" s="16"/>
      <c r="M539" s="16"/>
      <c r="N539" s="16"/>
      <c r="O539" s="16"/>
      <c r="P539" s="16"/>
      <c r="Q539" s="16"/>
      <c r="R539" s="16"/>
      <c r="S539" s="16"/>
      <c r="T539" s="16"/>
      <c r="U539" s="16"/>
      <c r="V539" s="16"/>
      <c r="W539" s="16"/>
      <c r="X539" s="16"/>
      <c r="Y539" s="16"/>
      <c r="Z539" s="16"/>
      <c r="AA539" s="16"/>
    </row>
    <row r="540" spans="1:27" ht="14.45" customHeight="1">
      <c r="A540" s="16"/>
      <c r="B540" s="16"/>
      <c r="C540" s="193" t="s">
        <v>904</v>
      </c>
      <c r="D540" s="313">
        <v>2229</v>
      </c>
      <c r="E540" s="345" t="s">
        <v>905</v>
      </c>
      <c r="F540" s="346"/>
      <c r="G540" s="346"/>
      <c r="H540" s="347"/>
      <c r="I540" s="312"/>
      <c r="J540" s="16"/>
      <c r="K540" s="16"/>
      <c r="L540" s="16"/>
      <c r="M540" s="16"/>
      <c r="N540" s="16"/>
      <c r="O540" s="16"/>
      <c r="P540" s="16"/>
      <c r="Q540" s="16"/>
      <c r="R540" s="16"/>
      <c r="S540" s="16"/>
      <c r="T540" s="16"/>
      <c r="U540" s="16"/>
      <c r="V540" s="16"/>
      <c r="W540" s="16"/>
      <c r="X540" s="16"/>
      <c r="Y540" s="16"/>
      <c r="Z540" s="16"/>
      <c r="AA540" s="16"/>
    </row>
    <row r="541" spans="1:27" ht="14.45" customHeight="1">
      <c r="A541" s="16"/>
      <c r="B541" s="16"/>
      <c r="C541" s="193" t="s">
        <v>906</v>
      </c>
      <c r="D541" s="313">
        <v>14</v>
      </c>
      <c r="E541" s="345" t="s">
        <v>907</v>
      </c>
      <c r="F541" s="346"/>
      <c r="G541" s="346"/>
      <c r="H541" s="347"/>
      <c r="I541" s="312"/>
      <c r="J541" s="16"/>
      <c r="K541" s="16"/>
      <c r="L541" s="16"/>
      <c r="M541" s="16"/>
      <c r="N541" s="16"/>
      <c r="O541" s="16"/>
      <c r="P541" s="16"/>
      <c r="Q541" s="16"/>
      <c r="R541" s="16"/>
      <c r="S541" s="16"/>
      <c r="T541" s="16"/>
      <c r="U541" s="16"/>
      <c r="V541" s="16"/>
      <c r="W541" s="16"/>
      <c r="X541" s="16"/>
      <c r="Y541" s="16"/>
      <c r="Z541" s="16"/>
      <c r="AA541" s="16"/>
    </row>
    <row r="542" spans="1:27" ht="14.45" customHeight="1">
      <c r="A542" s="16"/>
      <c r="B542" s="16"/>
      <c r="C542" s="193" t="s">
        <v>908</v>
      </c>
      <c r="D542" s="313">
        <v>4</v>
      </c>
      <c r="E542" s="345" t="s">
        <v>909</v>
      </c>
      <c r="F542" s="346"/>
      <c r="G542" s="346"/>
      <c r="H542" s="347"/>
      <c r="I542" s="312"/>
      <c r="J542" s="16"/>
      <c r="K542" s="16"/>
      <c r="L542" s="16"/>
      <c r="M542" s="16"/>
      <c r="N542" s="16"/>
      <c r="O542" s="16"/>
      <c r="P542" s="16"/>
      <c r="Q542" s="16"/>
      <c r="R542" s="16"/>
      <c r="S542" s="16"/>
      <c r="T542" s="16"/>
      <c r="U542" s="16"/>
      <c r="V542" s="16"/>
      <c r="W542" s="16"/>
      <c r="X542" s="16"/>
      <c r="Y542" s="16"/>
      <c r="Z542" s="16"/>
      <c r="AA542" s="16"/>
    </row>
    <row r="543" spans="1:27" ht="14.45" customHeight="1">
      <c r="A543" s="16"/>
      <c r="B543" s="16"/>
      <c r="C543" s="193" t="s">
        <v>910</v>
      </c>
      <c r="D543" s="313">
        <v>2053</v>
      </c>
      <c r="E543" s="345" t="s">
        <v>911</v>
      </c>
      <c r="F543" s="346"/>
      <c r="G543" s="346"/>
      <c r="H543" s="347"/>
      <c r="I543" s="312"/>
      <c r="J543" s="16"/>
      <c r="K543" s="16"/>
      <c r="L543" s="16"/>
      <c r="M543" s="16"/>
      <c r="N543" s="16"/>
      <c r="O543" s="16"/>
      <c r="P543" s="16"/>
      <c r="Q543" s="16"/>
      <c r="R543" s="16"/>
      <c r="S543" s="16"/>
      <c r="T543" s="16"/>
      <c r="U543" s="16"/>
      <c r="V543" s="16"/>
      <c r="W543" s="16"/>
      <c r="X543" s="16"/>
      <c r="Y543" s="16"/>
      <c r="Z543" s="16"/>
      <c r="AA543" s="16"/>
    </row>
    <row r="544" spans="1:27" ht="14.45" customHeight="1">
      <c r="A544" s="16"/>
      <c r="B544" s="16"/>
      <c r="C544" s="193" t="s">
        <v>912</v>
      </c>
      <c r="D544" s="313">
        <v>0</v>
      </c>
      <c r="E544" s="345" t="s">
        <v>913</v>
      </c>
      <c r="F544" s="346"/>
      <c r="G544" s="346"/>
      <c r="H544" s="347"/>
      <c r="I544" s="312"/>
      <c r="J544" s="16"/>
      <c r="K544" s="16"/>
      <c r="L544" s="16"/>
      <c r="M544" s="16"/>
      <c r="N544" s="16"/>
      <c r="O544" s="16"/>
      <c r="P544" s="16"/>
      <c r="Q544" s="16"/>
      <c r="R544" s="16"/>
      <c r="S544" s="16"/>
      <c r="T544" s="16"/>
      <c r="U544" s="16"/>
      <c r="V544" s="16"/>
      <c r="W544" s="16"/>
      <c r="X544" s="16"/>
      <c r="Y544" s="16"/>
      <c r="Z544" s="16"/>
      <c r="AA544" s="16"/>
    </row>
    <row r="545" spans="1:27" ht="14.45" customHeight="1">
      <c r="A545" s="16"/>
      <c r="B545" s="16"/>
      <c r="C545" s="193" t="s">
        <v>914</v>
      </c>
      <c r="D545" s="313">
        <v>0</v>
      </c>
      <c r="E545" s="345" t="s">
        <v>915</v>
      </c>
      <c r="F545" s="346"/>
      <c r="G545" s="346"/>
      <c r="H545" s="347"/>
      <c r="I545" s="312"/>
      <c r="J545" s="16"/>
      <c r="K545" s="16"/>
      <c r="L545" s="16"/>
      <c r="M545" s="16"/>
      <c r="N545" s="16"/>
      <c r="O545" s="16"/>
      <c r="P545" s="16"/>
      <c r="Q545" s="16"/>
      <c r="R545" s="16"/>
      <c r="S545" s="16"/>
      <c r="T545" s="16"/>
      <c r="U545" s="16"/>
      <c r="V545" s="16"/>
      <c r="W545" s="16"/>
      <c r="X545" s="16"/>
      <c r="Y545" s="16"/>
      <c r="Z545" s="16"/>
      <c r="AA545" s="16"/>
    </row>
    <row r="546" spans="1:27" ht="14.45" customHeight="1">
      <c r="A546" s="16"/>
      <c r="B546" s="16"/>
      <c r="C546" s="193" t="s">
        <v>916</v>
      </c>
      <c r="D546" s="313">
        <v>2346</v>
      </c>
      <c r="E546" s="345" t="s">
        <v>917</v>
      </c>
      <c r="F546" s="346"/>
      <c r="G546" s="346"/>
      <c r="H546" s="347"/>
      <c r="I546" s="312"/>
      <c r="J546" s="16"/>
      <c r="K546" s="16"/>
      <c r="L546" s="16"/>
      <c r="M546" s="16"/>
      <c r="N546" s="16"/>
      <c r="O546" s="16"/>
      <c r="P546" s="16"/>
      <c r="Q546" s="16"/>
      <c r="R546" s="16"/>
      <c r="S546" s="16"/>
      <c r="T546" s="16"/>
      <c r="U546" s="16"/>
      <c r="V546" s="16"/>
      <c r="W546" s="16"/>
      <c r="X546" s="16"/>
      <c r="Y546" s="16"/>
      <c r="Z546" s="16"/>
      <c r="AA546" s="16"/>
    </row>
    <row r="547" spans="1:27" ht="14.45" customHeight="1">
      <c r="A547" s="16"/>
      <c r="B547" s="16"/>
      <c r="C547" s="193" t="s">
        <v>918</v>
      </c>
      <c r="D547" s="313">
        <v>3143</v>
      </c>
      <c r="E547" s="345" t="s">
        <v>919</v>
      </c>
      <c r="F547" s="346"/>
      <c r="G547" s="346"/>
      <c r="H547" s="347"/>
      <c r="I547" s="312"/>
      <c r="J547" s="16"/>
      <c r="K547" s="16"/>
      <c r="L547" s="16"/>
      <c r="M547" s="16"/>
      <c r="N547" s="16"/>
      <c r="O547" s="16"/>
      <c r="P547" s="16"/>
      <c r="Q547" s="16"/>
      <c r="R547" s="16"/>
      <c r="S547" s="16"/>
      <c r="T547" s="16"/>
      <c r="U547" s="16"/>
      <c r="V547" s="16"/>
      <c r="W547" s="16"/>
      <c r="X547" s="16"/>
      <c r="Y547" s="16"/>
      <c r="Z547" s="16"/>
      <c r="AA547" s="16"/>
    </row>
    <row r="548" spans="1:27" ht="14.45" customHeight="1">
      <c r="A548" s="16"/>
      <c r="B548" s="16"/>
      <c r="C548" s="193" t="s">
        <v>920</v>
      </c>
      <c r="D548" s="313">
        <v>2729</v>
      </c>
      <c r="E548" s="345" t="s">
        <v>921</v>
      </c>
      <c r="F548" s="346"/>
      <c r="G548" s="346"/>
      <c r="H548" s="347"/>
      <c r="I548" s="312"/>
      <c r="J548" s="16"/>
      <c r="K548" s="16"/>
      <c r="L548" s="16"/>
      <c r="M548" s="16"/>
      <c r="N548" s="16"/>
      <c r="O548" s="16"/>
      <c r="P548" s="16"/>
      <c r="Q548" s="16"/>
      <c r="R548" s="16"/>
      <c r="S548" s="16"/>
      <c r="T548" s="16"/>
      <c r="U548" s="16"/>
      <c r="V548" s="16"/>
      <c r="W548" s="16"/>
      <c r="X548" s="16"/>
      <c r="Y548" s="16"/>
      <c r="Z548" s="16"/>
      <c r="AA548" s="16"/>
    </row>
    <row r="549" spans="1:27" ht="14.45" customHeight="1">
      <c r="A549" s="16"/>
      <c r="B549" s="16"/>
      <c r="C549" s="193" t="s">
        <v>922</v>
      </c>
      <c r="D549" s="313">
        <v>2280</v>
      </c>
      <c r="E549" s="345" t="s">
        <v>923</v>
      </c>
      <c r="F549" s="346"/>
      <c r="G549" s="346"/>
      <c r="H549" s="347"/>
      <c r="I549" s="312"/>
      <c r="J549" s="16"/>
      <c r="K549" s="16"/>
      <c r="L549" s="16"/>
      <c r="M549" s="16"/>
      <c r="N549" s="16"/>
      <c r="O549" s="16"/>
      <c r="P549" s="16"/>
      <c r="Q549" s="16"/>
      <c r="R549" s="16"/>
      <c r="S549" s="16"/>
      <c r="T549" s="16"/>
      <c r="U549" s="16"/>
      <c r="V549" s="16"/>
      <c r="W549" s="16"/>
      <c r="X549" s="16"/>
      <c r="Y549" s="16"/>
      <c r="Z549" s="16"/>
      <c r="AA549" s="16"/>
    </row>
    <row r="550" spans="1:27" ht="14.45" customHeight="1">
      <c r="A550" s="16"/>
      <c r="B550" s="16"/>
      <c r="C550" s="193" t="s">
        <v>924</v>
      </c>
      <c r="D550" s="313">
        <v>2440</v>
      </c>
      <c r="E550" s="379" t="s">
        <v>925</v>
      </c>
      <c r="F550" s="346"/>
      <c r="G550" s="346"/>
      <c r="H550" s="347"/>
      <c r="I550" s="312"/>
      <c r="J550" s="16"/>
      <c r="K550" s="16"/>
      <c r="L550" s="16"/>
      <c r="M550" s="16"/>
      <c r="N550" s="16"/>
      <c r="O550" s="16"/>
      <c r="P550" s="16"/>
      <c r="Q550" s="16"/>
      <c r="R550" s="16"/>
      <c r="S550" s="16"/>
      <c r="T550" s="16"/>
      <c r="U550" s="16"/>
      <c r="V550" s="16"/>
      <c r="W550" s="16"/>
      <c r="X550" s="16"/>
      <c r="Y550" s="16"/>
      <c r="Z550" s="16"/>
      <c r="AA550" s="16"/>
    </row>
    <row r="551" spans="1:27" ht="14.45" customHeight="1">
      <c r="A551" s="16"/>
      <c r="B551" s="16"/>
      <c r="C551" s="193" t="s">
        <v>926</v>
      </c>
      <c r="D551" s="313">
        <v>1508</v>
      </c>
      <c r="E551" s="379" t="s">
        <v>927</v>
      </c>
      <c r="F551" s="346"/>
      <c r="G551" s="346"/>
      <c r="H551" s="347"/>
      <c r="I551" s="312"/>
      <c r="J551" s="16"/>
      <c r="K551" s="16"/>
      <c r="L551" s="16"/>
      <c r="M551" s="16"/>
      <c r="N551" s="16"/>
      <c r="O551" s="16"/>
      <c r="P551" s="16"/>
      <c r="Q551" s="16"/>
      <c r="R551" s="16"/>
      <c r="S551" s="16"/>
      <c r="T551" s="16"/>
      <c r="U551" s="16"/>
      <c r="V551" s="16"/>
      <c r="W551" s="16"/>
      <c r="X551" s="16"/>
      <c r="Y551" s="16"/>
      <c r="Z551" s="16"/>
      <c r="AA551" s="16"/>
    </row>
    <row r="552" spans="1:27" ht="14.45" customHeight="1">
      <c r="A552" s="16"/>
      <c r="B552" s="16"/>
      <c r="C552" s="193" t="s">
        <v>928</v>
      </c>
      <c r="D552" s="313">
        <v>3607</v>
      </c>
      <c r="E552" s="345" t="s">
        <v>929</v>
      </c>
      <c r="F552" s="346"/>
      <c r="G552" s="346"/>
      <c r="H552" s="347"/>
      <c r="I552" s="312"/>
      <c r="J552" s="16"/>
      <c r="K552" s="16"/>
      <c r="L552" s="16"/>
      <c r="M552" s="16"/>
      <c r="N552" s="16"/>
      <c r="O552" s="16"/>
      <c r="P552" s="16"/>
      <c r="Q552" s="16"/>
      <c r="R552" s="16"/>
      <c r="S552" s="16"/>
      <c r="T552" s="16"/>
      <c r="U552" s="16"/>
      <c r="V552" s="16"/>
      <c r="W552" s="16"/>
      <c r="X552" s="16"/>
      <c r="Y552" s="16"/>
      <c r="Z552" s="16"/>
      <c r="AA552" s="16"/>
    </row>
    <row r="553" spans="1:27" ht="14.45" customHeight="1">
      <c r="A553" s="16"/>
      <c r="B553" s="16"/>
      <c r="C553" s="193" t="s">
        <v>930</v>
      </c>
      <c r="D553" s="314">
        <v>3245</v>
      </c>
      <c r="E553" s="379" t="s">
        <v>931</v>
      </c>
      <c r="F553" s="346"/>
      <c r="G553" s="346"/>
      <c r="H553" s="347"/>
      <c r="I553" s="312"/>
      <c r="J553" s="16"/>
      <c r="K553" s="16"/>
      <c r="L553" s="16"/>
      <c r="M553" s="16"/>
      <c r="N553" s="16"/>
      <c r="O553" s="16"/>
      <c r="P553" s="16"/>
      <c r="Q553" s="16"/>
      <c r="R553" s="16"/>
      <c r="S553" s="16"/>
      <c r="T553" s="16"/>
      <c r="U553" s="16"/>
      <c r="V553" s="16"/>
      <c r="W553" s="16"/>
      <c r="X553" s="16"/>
      <c r="Y553" s="16"/>
      <c r="Z553" s="16"/>
      <c r="AA553" s="16"/>
    </row>
    <row r="554" spans="1:27" ht="14.45" customHeight="1">
      <c r="A554" s="16"/>
      <c r="B554" s="16"/>
      <c r="C554" s="315" t="s">
        <v>932</v>
      </c>
      <c r="D554" s="313">
        <v>32</v>
      </c>
      <c r="E554" s="345" t="s">
        <v>933</v>
      </c>
      <c r="F554" s="346"/>
      <c r="G554" s="346"/>
      <c r="H554" s="347"/>
      <c r="I554" s="312"/>
      <c r="J554" s="16"/>
      <c r="K554" s="16"/>
      <c r="L554" s="16"/>
      <c r="M554" s="16"/>
      <c r="N554" s="16"/>
      <c r="O554" s="16"/>
      <c r="P554" s="16"/>
      <c r="Q554" s="16"/>
      <c r="R554" s="16"/>
      <c r="S554" s="16"/>
      <c r="T554" s="16"/>
      <c r="U554" s="16"/>
      <c r="V554" s="16"/>
      <c r="W554" s="16"/>
      <c r="X554" s="16"/>
      <c r="Y554" s="16"/>
      <c r="Z554" s="16"/>
      <c r="AA554" s="16"/>
    </row>
    <row r="555" spans="1:27" ht="14.45" customHeight="1">
      <c r="A555" s="16"/>
      <c r="B555" s="16"/>
      <c r="C555" s="315" t="s">
        <v>934</v>
      </c>
      <c r="D555" s="313">
        <v>0</v>
      </c>
      <c r="E555" s="345" t="s">
        <v>935</v>
      </c>
      <c r="F555" s="346"/>
      <c r="G555" s="346"/>
      <c r="H555" s="347"/>
      <c r="I555" s="312"/>
      <c r="J555" s="16"/>
      <c r="K555" s="16"/>
      <c r="L555" s="16"/>
      <c r="M555" s="16"/>
      <c r="N555" s="16"/>
      <c r="O555" s="16"/>
      <c r="P555" s="16"/>
      <c r="Q555" s="16"/>
      <c r="R555" s="16"/>
      <c r="S555" s="16"/>
      <c r="T555" s="16"/>
      <c r="U555" s="16"/>
      <c r="V555" s="16"/>
      <c r="W555" s="16"/>
      <c r="X555" s="16"/>
      <c r="Y555" s="16"/>
      <c r="Z555" s="16"/>
      <c r="AA555" s="16"/>
    </row>
    <row r="556" spans="1:27" ht="14.45" customHeight="1">
      <c r="A556" s="16"/>
      <c r="B556" s="16"/>
      <c r="C556" s="315" t="s">
        <v>936</v>
      </c>
      <c r="D556" s="313">
        <v>325</v>
      </c>
      <c r="E556" s="345" t="s">
        <v>937</v>
      </c>
      <c r="F556" s="346"/>
      <c r="G556" s="346"/>
      <c r="H556" s="347"/>
      <c r="I556" s="312"/>
      <c r="J556" s="16"/>
      <c r="K556" s="16"/>
      <c r="L556" s="16"/>
      <c r="M556" s="16"/>
      <c r="N556" s="16"/>
      <c r="O556" s="16"/>
      <c r="P556" s="16"/>
      <c r="Q556" s="16"/>
      <c r="R556" s="16"/>
      <c r="S556" s="16"/>
      <c r="T556" s="16"/>
      <c r="U556" s="16"/>
      <c r="V556" s="16"/>
      <c r="W556" s="16"/>
      <c r="X556" s="16"/>
      <c r="Y556" s="16"/>
      <c r="Z556" s="16"/>
      <c r="AA556" s="16"/>
    </row>
    <row r="557" spans="1:27" ht="14.45" customHeight="1">
      <c r="A557" s="16"/>
      <c r="B557" s="16"/>
      <c r="C557" s="315" t="s">
        <v>938</v>
      </c>
      <c r="D557" s="313">
        <v>3985</v>
      </c>
      <c r="E557" s="345" t="s">
        <v>939</v>
      </c>
      <c r="F557" s="346"/>
      <c r="G557" s="346"/>
      <c r="H557" s="347"/>
      <c r="I557" s="312"/>
      <c r="J557" s="16"/>
      <c r="K557" s="16"/>
      <c r="L557" s="16"/>
      <c r="M557" s="16"/>
      <c r="N557" s="16"/>
      <c r="O557" s="16"/>
      <c r="P557" s="16"/>
      <c r="Q557" s="16"/>
      <c r="R557" s="16"/>
      <c r="S557" s="16"/>
      <c r="T557" s="16"/>
      <c r="U557" s="16"/>
      <c r="V557" s="16"/>
      <c r="W557" s="16"/>
      <c r="X557" s="16"/>
      <c r="Y557" s="16"/>
      <c r="Z557" s="16"/>
      <c r="AA557" s="16"/>
    </row>
    <row r="558" spans="1:27" ht="14.45" customHeight="1">
      <c r="A558" s="16"/>
      <c r="B558" s="16"/>
      <c r="C558" s="193" t="s">
        <v>940</v>
      </c>
      <c r="D558" s="313">
        <v>13214</v>
      </c>
      <c r="E558" s="345" t="s">
        <v>941</v>
      </c>
      <c r="F558" s="346"/>
      <c r="G558" s="346"/>
      <c r="H558" s="347"/>
      <c r="I558" s="312"/>
      <c r="J558" s="16"/>
      <c r="K558" s="16"/>
      <c r="L558" s="16"/>
      <c r="M558" s="16"/>
      <c r="N558" s="16"/>
      <c r="O558" s="16"/>
      <c r="P558" s="16"/>
      <c r="Q558" s="16"/>
      <c r="R558" s="16"/>
      <c r="S558" s="16"/>
      <c r="T558" s="16"/>
      <c r="U558" s="16"/>
      <c r="V558" s="16"/>
      <c r="W558" s="16"/>
      <c r="X558" s="16"/>
      <c r="Y558" s="16"/>
      <c r="Z558" s="16"/>
      <c r="AA558" s="16"/>
    </row>
    <row r="559" spans="1:27" ht="13.9" customHeight="1" thickBot="1">
      <c r="A559" s="16"/>
      <c r="B559" s="16"/>
      <c r="C559" s="243" t="s">
        <v>942</v>
      </c>
      <c r="D559" s="316">
        <v>13396</v>
      </c>
      <c r="E559" s="358" t="s">
        <v>943</v>
      </c>
      <c r="F559" s="359"/>
      <c r="G559" s="359"/>
      <c r="H559" s="360"/>
      <c r="I559" s="312"/>
      <c r="J559" s="16"/>
      <c r="K559" s="16"/>
      <c r="L559" s="16"/>
      <c r="M559" s="16"/>
      <c r="N559" s="16"/>
      <c r="O559" s="16"/>
      <c r="P559" s="16"/>
      <c r="Q559" s="16"/>
      <c r="R559" s="16"/>
      <c r="S559" s="16"/>
      <c r="T559" s="16"/>
      <c r="U559" s="16"/>
      <c r="V559" s="16"/>
      <c r="W559" s="16"/>
      <c r="X559" s="16"/>
      <c r="Y559" s="16"/>
      <c r="Z559" s="16"/>
      <c r="AA559" s="16"/>
    </row>
    <row r="560" spans="1:27" s="336" customFormat="1" ht="41.25" customHeight="1">
      <c r="A560" s="31"/>
      <c r="B560" s="94"/>
      <c r="C560" s="350" t="s">
        <v>944</v>
      </c>
      <c r="D560" s="376"/>
      <c r="E560" s="376"/>
      <c r="F560" s="376"/>
      <c r="G560" s="376"/>
      <c r="H560" s="376"/>
      <c r="I560" s="376"/>
      <c r="J560" s="376"/>
      <c r="K560" s="376"/>
      <c r="L560" s="31"/>
      <c r="M560" s="79"/>
      <c r="N560" s="31"/>
      <c r="O560" s="31"/>
      <c r="P560" s="31"/>
      <c r="Q560" s="31"/>
      <c r="R560" s="31"/>
      <c r="S560" s="31"/>
      <c r="T560" s="31"/>
      <c r="U560" s="31"/>
      <c r="V560" s="31"/>
      <c r="W560" s="31"/>
      <c r="X560" s="31"/>
      <c r="Y560" s="31"/>
      <c r="Z560" s="31"/>
      <c r="AA560" s="31"/>
    </row>
  </sheetData>
  <mergeCells count="95">
    <mergeCell ref="E546:H546"/>
    <mergeCell ref="E540:H540"/>
    <mergeCell ref="C396:K396"/>
    <mergeCell ref="C341:I341"/>
    <mergeCell ref="E530:H530"/>
    <mergeCell ref="E539:H539"/>
    <mergeCell ref="C398:K398"/>
    <mergeCell ref="B2:L2"/>
    <mergeCell ref="C301:C304"/>
    <mergeCell ref="C219:C220"/>
    <mergeCell ref="C461:L461"/>
    <mergeCell ref="C272:C275"/>
    <mergeCell ref="C306:L306"/>
    <mergeCell ref="D229:D231"/>
    <mergeCell ref="C226:C228"/>
    <mergeCell ref="C284:C287"/>
    <mergeCell ref="C385:L385"/>
    <mergeCell ref="C239:C243"/>
    <mergeCell ref="C5:L5"/>
    <mergeCell ref="C232:C233"/>
    <mergeCell ref="D310:F310"/>
    <mergeCell ref="C560:K560"/>
    <mergeCell ref="E552:H552"/>
    <mergeCell ref="E535:H535"/>
    <mergeCell ref="G310:I310"/>
    <mergeCell ref="E537:H537"/>
    <mergeCell ref="C380:K380"/>
    <mergeCell ref="B381:L381"/>
    <mergeCell ref="E554:H554"/>
    <mergeCell ref="E541:H541"/>
    <mergeCell ref="E550:H550"/>
    <mergeCell ref="C462:L462"/>
    <mergeCell ref="E555:H555"/>
    <mergeCell ref="E549:H549"/>
    <mergeCell ref="E527:H527"/>
    <mergeCell ref="E536:H536"/>
    <mergeCell ref="G501:M501"/>
    <mergeCell ref="E559:H559"/>
    <mergeCell ref="G493:M493"/>
    <mergeCell ref="C109:K109"/>
    <mergeCell ref="B482:L482"/>
    <mergeCell ref="E548:H548"/>
    <mergeCell ref="C395:L395"/>
    <mergeCell ref="D226:D228"/>
    <mergeCell ref="C265:C268"/>
    <mergeCell ref="E547:H547"/>
    <mergeCell ref="B382:L382"/>
    <mergeCell ref="C519:L519"/>
    <mergeCell ref="E531:H531"/>
    <mergeCell ref="C342:I342"/>
    <mergeCell ref="C298:C300"/>
    <mergeCell ref="C288:C290"/>
    <mergeCell ref="E524:H524"/>
    <mergeCell ref="E558:H558"/>
    <mergeCell ref="C291:C294"/>
    <mergeCell ref="C111:K111"/>
    <mergeCell ref="C244:C247"/>
    <mergeCell ref="C278:C281"/>
    <mergeCell ref="E529:H529"/>
    <mergeCell ref="E544:H544"/>
    <mergeCell ref="C295:C297"/>
    <mergeCell ref="E533:H533"/>
    <mergeCell ref="C282:C283"/>
    <mergeCell ref="D399:I399"/>
    <mergeCell ref="C465:K465"/>
    <mergeCell ref="E534:H534"/>
    <mergeCell ref="E525:H525"/>
    <mergeCell ref="C234:C238"/>
    <mergeCell ref="D232:D233"/>
    <mergeCell ref="E557:H557"/>
    <mergeCell ref="C276:C277"/>
    <mergeCell ref="E556:H556"/>
    <mergeCell ref="E542:H542"/>
    <mergeCell ref="C229:C231"/>
    <mergeCell ref="C394:L394"/>
    <mergeCell ref="E551:H551"/>
    <mergeCell ref="C270:C271"/>
    <mergeCell ref="E526:H526"/>
    <mergeCell ref="E553:H553"/>
    <mergeCell ref="E528:H528"/>
    <mergeCell ref="C480:L480"/>
    <mergeCell ref="E543:H543"/>
    <mergeCell ref="G502:M502"/>
    <mergeCell ref="E545:H545"/>
    <mergeCell ref="E538:H538"/>
    <mergeCell ref="E523:H523"/>
    <mergeCell ref="C254:C259"/>
    <mergeCell ref="E532:H532"/>
    <mergeCell ref="C248:C253"/>
    <mergeCell ref="D10:H10"/>
    <mergeCell ref="C93:K93"/>
    <mergeCell ref="C464:G464"/>
    <mergeCell ref="C479:L479"/>
    <mergeCell ref="C91:K91"/>
    <mergeCell ref="G494:M494"/>
  </mergeCells>
  <hyperlinks>
    <hyperlink ref="C92" r:id="rId1" location="ap40.23.98_19.1" xr:uid="{00000000-0004-0000-0F00-000000000000}"/>
    <hyperlink ref="C110" r:id="rId2" location="ap40.23.98_19.1" xr:uid="{00000000-0004-0000-0F00-000001000000}"/>
  </hyperlinks>
  <printOptions horizontalCentered="1"/>
  <pageMargins left="0" right="0" top="0.4" bottom="0.4" header="0.2" footer="0.2"/>
  <pageSetup scale="42" fitToHeight="7" orientation="portrait" cellComments="atEnd" verticalDpi="4294967292"/>
  <headerFooter differentFirst="1" alignWithMargins="0">
    <oddHeader>&amp;L&amp;"Verdana,Bold"&amp;11 &amp;KFF0000Red text indicates an update 
from the 2021 version of this document.&amp;CEmission Factors for Greenhouse Gas Inventories
Last Modified: 01 April 2022</oddHeader>
    <oddFooter>&amp;L&amp;C&amp;R</oddFooter>
  </headerFooter>
  <rowBreaks count="6" manualBreakCount="6">
    <brk id="94" max="11" man="1"/>
    <brk id="222" max="11" man="1"/>
    <brk id="307" max="11" man="1"/>
    <brk id="380" max="11" man="1"/>
    <brk id="395" max="11" man="1"/>
    <brk id="481" max="11"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&gt;&gt; City Data</vt:lpstr>
      <vt:lpstr>City characteristics</vt:lpstr>
      <vt:lpstr>&gt;&gt; GC_Resid</vt:lpstr>
      <vt:lpstr>Demand</vt:lpstr>
      <vt:lpstr>WAS RESID</vt:lpstr>
      <vt:lpstr>&gt;&gt; TIMES</vt:lpstr>
      <vt:lpstr>Def_Tech</vt:lpstr>
      <vt:lpstr>Def_Comm</vt:lpstr>
      <vt:lpstr>DemandTrans</vt:lpstr>
      <vt:lpstr>ResidWAS</vt:lpstr>
      <vt:lpstr>ResidBGA</vt:lpstr>
      <vt:lpstr>ResidLDF</vt:lpstr>
      <vt:lpstr>GHG_IPCC</vt:lpstr>
      <vt:lpstr>&gt;&gt; Parameters</vt:lpstr>
      <vt:lpstr>Emission Factors Hub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esmia</dc:creator>
  <cp:lastModifiedBy>Carroll, Zane</cp:lastModifiedBy>
  <dcterms:created xsi:type="dcterms:W3CDTF">2015-06-05T18:17:20Z</dcterms:created>
  <dcterms:modified xsi:type="dcterms:W3CDTF">2025-04-08T18:31:13Z</dcterms:modified>
</cp:coreProperties>
</file>
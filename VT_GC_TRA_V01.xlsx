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"/>
    </mc:Choice>
  </mc:AlternateContent>
  <xr:revisionPtr revIDLastSave="0" documentId="13_ncr:1_{C80902C7-99BB-4377-BBB1-EBE5A243B4AA}" xr6:coauthVersionLast="47" xr6:coauthVersionMax="47" xr10:uidLastSave="{00000000-0000-0000-0000-000000000000}"/>
  <bookViews>
    <workbookView xWindow="-120" yWindow="-120" windowWidth="25440" windowHeight="15270" firstSheet="6" activeTab="9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Resid" sheetId="4" r:id="rId4"/>
    <sheet name="TRA RESID" sheetId="5" r:id="rId5"/>
    <sheet name="Demand" sheetId="6" r:id="rId6"/>
    <sheet name="&gt;&gt; TIMES" sheetId="7" r:id="rId7"/>
    <sheet name="Def_Tech" sheetId="8" r:id="rId8"/>
    <sheet name="Def_Comm" sheetId="9" r:id="rId9"/>
    <sheet name="ResidTRA" sheetId="10" r:id="rId10"/>
    <sheet name="&gt;&gt; Parameters" sheetId="11" r:id="rId11"/>
  </sheets>
  <definedNames>
    <definedName name="_Fill" localSheetId="2" hidden="1">#REF!</definedName>
    <definedName name="_Fill" localSheetId="5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localSheetId="5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localSheetId="5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localSheetId="5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localSheetId="5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localSheetId="5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localSheetId="5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localSheetId="5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" i="10" l="1"/>
  <c r="I148" i="10"/>
  <c r="H148" i="10" s="1"/>
  <c r="C148" i="10"/>
  <c r="B148" i="10" s="1"/>
  <c r="J147" i="10"/>
  <c r="I147" i="10"/>
  <c r="H147" i="10" s="1"/>
  <c r="C147" i="10"/>
  <c r="B147" i="10" s="1"/>
  <c r="J146" i="10"/>
  <c r="I146" i="10"/>
  <c r="H146" i="10"/>
  <c r="C146" i="10"/>
  <c r="B146" i="10" s="1"/>
  <c r="J145" i="10"/>
  <c r="I145" i="10"/>
  <c r="H145" i="10" s="1"/>
  <c r="C145" i="10"/>
  <c r="B145" i="10" s="1"/>
  <c r="J144" i="10"/>
  <c r="I144" i="10"/>
  <c r="H144" i="10" s="1"/>
  <c r="C144" i="10"/>
  <c r="B144" i="10" s="1"/>
  <c r="J143" i="10"/>
  <c r="I143" i="10"/>
  <c r="H143" i="10"/>
  <c r="C143" i="10"/>
  <c r="B143" i="10" s="1"/>
  <c r="E143" i="10" s="1"/>
  <c r="J142" i="10"/>
  <c r="I142" i="10"/>
  <c r="H142" i="10" s="1"/>
  <c r="C142" i="10"/>
  <c r="B142" i="10" s="1"/>
  <c r="J141" i="10"/>
  <c r="I141" i="10"/>
  <c r="H141" i="10" s="1"/>
  <c r="C141" i="10"/>
  <c r="B141" i="10" s="1"/>
  <c r="K140" i="10"/>
  <c r="J140" i="10"/>
  <c r="I140" i="10"/>
  <c r="H140" i="10" s="1"/>
  <c r="C140" i="10"/>
  <c r="B140" i="10" s="1"/>
  <c r="E140" i="10" s="1"/>
  <c r="J139" i="10"/>
  <c r="I139" i="10"/>
  <c r="H139" i="10" s="1"/>
  <c r="E139" i="10"/>
  <c r="C139" i="10"/>
  <c r="B139" i="10"/>
  <c r="K139" i="10" s="1"/>
  <c r="J138" i="10"/>
  <c r="I138" i="10"/>
  <c r="H138" i="10" s="1"/>
  <c r="C138" i="10"/>
  <c r="B138" i="10" s="1"/>
  <c r="J137" i="10"/>
  <c r="I137" i="10"/>
  <c r="H137" i="10" s="1"/>
  <c r="C137" i="10"/>
  <c r="B137" i="10"/>
  <c r="J136" i="10"/>
  <c r="I136" i="10"/>
  <c r="H136" i="10"/>
  <c r="C136" i="10"/>
  <c r="B136" i="10" s="1"/>
  <c r="K136" i="10" s="1"/>
  <c r="J135" i="10"/>
  <c r="I135" i="10"/>
  <c r="H135" i="10" s="1"/>
  <c r="C135" i="10"/>
  <c r="B135" i="10" s="1"/>
  <c r="J134" i="10"/>
  <c r="I134" i="10"/>
  <c r="H134" i="10"/>
  <c r="C134" i="10"/>
  <c r="B134" i="10" s="1"/>
  <c r="J133" i="10"/>
  <c r="I133" i="10"/>
  <c r="H133" i="10" s="1"/>
  <c r="C133" i="10"/>
  <c r="B133" i="10" s="1"/>
  <c r="E133" i="10" s="1"/>
  <c r="J132" i="10"/>
  <c r="I132" i="10"/>
  <c r="H132" i="10"/>
  <c r="C132" i="10"/>
  <c r="B132" i="10" s="1"/>
  <c r="J131" i="10"/>
  <c r="I131" i="10"/>
  <c r="H131" i="10"/>
  <c r="C131" i="10"/>
  <c r="B131" i="10" s="1"/>
  <c r="E131" i="10" s="1"/>
  <c r="J130" i="10"/>
  <c r="I130" i="10"/>
  <c r="H130" i="10" s="1"/>
  <c r="C130" i="10"/>
  <c r="B130" i="10" s="1"/>
  <c r="J129" i="10"/>
  <c r="I129" i="10"/>
  <c r="H129" i="10" s="1"/>
  <c r="C129" i="10"/>
  <c r="B129" i="10" s="1"/>
  <c r="K129" i="10" s="1"/>
  <c r="K128" i="10"/>
  <c r="J128" i="10"/>
  <c r="I128" i="10"/>
  <c r="H128" i="10" s="1"/>
  <c r="C128" i="10"/>
  <c r="B128" i="10" s="1"/>
  <c r="E128" i="10" s="1"/>
  <c r="J127" i="10"/>
  <c r="I127" i="10"/>
  <c r="H127" i="10" s="1"/>
  <c r="C127" i="10"/>
  <c r="B127" i="10"/>
  <c r="K127" i="10" s="1"/>
  <c r="J126" i="10"/>
  <c r="I126" i="10"/>
  <c r="H126" i="10" s="1"/>
  <c r="C126" i="10"/>
  <c r="B126" i="10" s="1"/>
  <c r="J125" i="10"/>
  <c r="I125" i="10"/>
  <c r="H125" i="10" s="1"/>
  <c r="E125" i="10"/>
  <c r="C125" i="10"/>
  <c r="B125" i="10"/>
  <c r="K125" i="10" s="1"/>
  <c r="J124" i="10"/>
  <c r="I124" i="10"/>
  <c r="H124" i="10"/>
  <c r="C124" i="10"/>
  <c r="B124" i="10" s="1"/>
  <c r="K124" i="10" s="1"/>
  <c r="J123" i="10"/>
  <c r="I123" i="10"/>
  <c r="H123" i="10" s="1"/>
  <c r="C123" i="10"/>
  <c r="B123" i="10"/>
  <c r="J122" i="10"/>
  <c r="I122" i="10"/>
  <c r="H122" i="10"/>
  <c r="C122" i="10"/>
  <c r="B122" i="10" s="1"/>
  <c r="J121" i="10"/>
  <c r="I121" i="10"/>
  <c r="H121" i="10" s="1"/>
  <c r="C121" i="10"/>
  <c r="B121" i="10" s="1"/>
  <c r="E121" i="10" s="1"/>
  <c r="J120" i="10"/>
  <c r="I120" i="10"/>
  <c r="H120" i="10"/>
  <c r="C120" i="10"/>
  <c r="B120" i="10" s="1"/>
  <c r="K119" i="10"/>
  <c r="J119" i="10"/>
  <c r="I119" i="10"/>
  <c r="H119" i="10" s="1"/>
  <c r="C119" i="10"/>
  <c r="B119" i="10" s="1"/>
  <c r="E119" i="10" s="1"/>
  <c r="J118" i="10"/>
  <c r="I118" i="10"/>
  <c r="H118" i="10" s="1"/>
  <c r="C118" i="10"/>
  <c r="B118" i="10" s="1"/>
  <c r="K117" i="10"/>
  <c r="J117" i="10"/>
  <c r="I117" i="10"/>
  <c r="H117" i="10" s="1"/>
  <c r="C117" i="10"/>
  <c r="B117" i="10" s="1"/>
  <c r="E117" i="10" s="1"/>
  <c r="K116" i="10"/>
  <c r="J116" i="10"/>
  <c r="I116" i="10"/>
  <c r="H116" i="10" s="1"/>
  <c r="C116" i="10"/>
  <c r="B116" i="10" s="1"/>
  <c r="E116" i="10" s="1"/>
  <c r="J115" i="10"/>
  <c r="I115" i="10"/>
  <c r="H115" i="10" s="1"/>
  <c r="C115" i="10"/>
  <c r="B115" i="10"/>
  <c r="K115" i="10" s="1"/>
  <c r="J114" i="10"/>
  <c r="I114" i="10"/>
  <c r="H114" i="10" s="1"/>
  <c r="C114" i="10"/>
  <c r="B114" i="10" s="1"/>
  <c r="J113" i="10"/>
  <c r="I113" i="10"/>
  <c r="H113" i="10" s="1"/>
  <c r="C113" i="10"/>
  <c r="B113" i="10"/>
  <c r="K113" i="10" s="1"/>
  <c r="J112" i="10"/>
  <c r="I112" i="10"/>
  <c r="H112" i="10"/>
  <c r="C112" i="10"/>
  <c r="B112" i="10" s="1"/>
  <c r="K112" i="10" s="1"/>
  <c r="J111" i="10"/>
  <c r="I111" i="10"/>
  <c r="H111" i="10" s="1"/>
  <c r="C111" i="10"/>
  <c r="B111" i="10"/>
  <c r="J110" i="10"/>
  <c r="I110" i="10"/>
  <c r="H110" i="10"/>
  <c r="C110" i="10"/>
  <c r="B110" i="10"/>
  <c r="K109" i="10"/>
  <c r="J109" i="10"/>
  <c r="I109" i="10"/>
  <c r="H109" i="10" s="1"/>
  <c r="C109" i="10"/>
  <c r="B109" i="10" s="1"/>
  <c r="E109" i="10" s="1"/>
  <c r="J108" i="10"/>
  <c r="I108" i="10"/>
  <c r="H108" i="10"/>
  <c r="C108" i="10"/>
  <c r="B108" i="10" s="1"/>
  <c r="K107" i="10"/>
  <c r="J107" i="10"/>
  <c r="I107" i="10"/>
  <c r="H107" i="10"/>
  <c r="C107" i="10"/>
  <c r="B107" i="10" s="1"/>
  <c r="E107" i="10" s="1"/>
  <c r="J106" i="10"/>
  <c r="I106" i="10"/>
  <c r="H106" i="10" s="1"/>
  <c r="C106" i="10"/>
  <c r="B106" i="10" s="1"/>
  <c r="K105" i="10"/>
  <c r="J105" i="10"/>
  <c r="I105" i="10"/>
  <c r="H105" i="10" s="1"/>
  <c r="E105" i="10"/>
  <c r="C105" i="10"/>
  <c r="B105" i="10" s="1"/>
  <c r="J104" i="10"/>
  <c r="I104" i="10"/>
  <c r="H104" i="10" s="1"/>
  <c r="C104" i="10"/>
  <c r="B104" i="10" s="1"/>
  <c r="E104" i="10" s="1"/>
  <c r="J103" i="10"/>
  <c r="I103" i="10"/>
  <c r="H103" i="10" s="1"/>
  <c r="E103" i="10"/>
  <c r="C103" i="10"/>
  <c r="B103" i="10"/>
  <c r="K103" i="10" s="1"/>
  <c r="J102" i="10"/>
  <c r="I102" i="10"/>
  <c r="H102" i="10" s="1"/>
  <c r="C102" i="10"/>
  <c r="B102" i="10" s="1"/>
  <c r="J101" i="10"/>
  <c r="I101" i="10"/>
  <c r="H101" i="10" s="1"/>
  <c r="C101" i="10"/>
  <c r="B101" i="10"/>
  <c r="K101" i="10" s="1"/>
  <c r="J100" i="10"/>
  <c r="I100" i="10"/>
  <c r="H100" i="10"/>
  <c r="E100" i="10"/>
  <c r="C100" i="10"/>
  <c r="B100" i="10" s="1"/>
  <c r="K100" i="10" s="1"/>
  <c r="J99" i="10"/>
  <c r="I99" i="10"/>
  <c r="H99" i="10" s="1"/>
  <c r="C99" i="10"/>
  <c r="B99" i="10"/>
  <c r="J98" i="10"/>
  <c r="I98" i="10"/>
  <c r="H98" i="10"/>
  <c r="C98" i="10"/>
  <c r="B98" i="10"/>
  <c r="K97" i="10"/>
  <c r="J97" i="10"/>
  <c r="I97" i="10"/>
  <c r="H97" i="10" s="1"/>
  <c r="C97" i="10"/>
  <c r="B97" i="10"/>
  <c r="E97" i="10" s="1"/>
  <c r="J96" i="10"/>
  <c r="I96" i="10"/>
  <c r="H96" i="10"/>
  <c r="C96" i="10"/>
  <c r="B96" i="10" s="1"/>
  <c r="K95" i="10"/>
  <c r="J95" i="10"/>
  <c r="I95" i="10"/>
  <c r="H95" i="10"/>
  <c r="E95" i="10"/>
  <c r="C95" i="10"/>
  <c r="B95" i="10"/>
  <c r="J94" i="10"/>
  <c r="I94" i="10"/>
  <c r="H94" i="10"/>
  <c r="C94" i="10"/>
  <c r="B94" i="10" s="1"/>
  <c r="J93" i="10"/>
  <c r="I93" i="10"/>
  <c r="H93" i="10" s="1"/>
  <c r="C93" i="10"/>
  <c r="B93" i="10" s="1"/>
  <c r="K93" i="10" s="1"/>
  <c r="K92" i="10"/>
  <c r="J92" i="10"/>
  <c r="I92" i="10"/>
  <c r="H92" i="10" s="1"/>
  <c r="E92" i="10"/>
  <c r="C92" i="10"/>
  <c r="B92" i="10" s="1"/>
  <c r="J91" i="10"/>
  <c r="I91" i="10"/>
  <c r="H91" i="10"/>
  <c r="C91" i="10"/>
  <c r="B91" i="10"/>
  <c r="E91" i="10" s="1"/>
  <c r="J90" i="10"/>
  <c r="I90" i="10"/>
  <c r="H90" i="10"/>
  <c r="C90" i="10"/>
  <c r="B90" i="10"/>
  <c r="J89" i="10"/>
  <c r="I89" i="10"/>
  <c r="H89" i="10" s="1"/>
  <c r="C89" i="10"/>
  <c r="B89" i="10"/>
  <c r="K89" i="10" s="1"/>
  <c r="J88" i="10"/>
  <c r="I88" i="10"/>
  <c r="H88" i="10"/>
  <c r="C88" i="10"/>
  <c r="B88" i="10"/>
  <c r="K88" i="10" s="1"/>
  <c r="K87" i="10"/>
  <c r="J87" i="10"/>
  <c r="I87" i="10"/>
  <c r="H87" i="10"/>
  <c r="E87" i="10"/>
  <c r="C87" i="10"/>
  <c r="B87" i="10"/>
  <c r="J86" i="10"/>
  <c r="I86" i="10"/>
  <c r="H86" i="10" s="1"/>
  <c r="C86" i="10"/>
  <c r="B86" i="10" s="1"/>
  <c r="J85" i="10"/>
  <c r="I85" i="10"/>
  <c r="H85" i="10" s="1"/>
  <c r="C85" i="10"/>
  <c r="B85" i="10" s="1"/>
  <c r="E85" i="10" s="1"/>
  <c r="J84" i="10"/>
  <c r="I84" i="10"/>
  <c r="H84" i="10"/>
  <c r="C84" i="10"/>
  <c r="B84" i="10" s="1"/>
  <c r="J83" i="10"/>
  <c r="I83" i="10"/>
  <c r="H83" i="10" s="1"/>
  <c r="C83" i="10"/>
  <c r="B83" i="10"/>
  <c r="K82" i="10"/>
  <c r="J82" i="10"/>
  <c r="I82" i="10"/>
  <c r="H82" i="10"/>
  <c r="C82" i="10"/>
  <c r="B82" i="10"/>
  <c r="E82" i="10" s="1"/>
  <c r="J81" i="10"/>
  <c r="I81" i="10"/>
  <c r="H81" i="10" s="1"/>
  <c r="C81" i="10"/>
  <c r="B81" i="10" s="1"/>
  <c r="K80" i="10"/>
  <c r="J80" i="10"/>
  <c r="I80" i="10"/>
  <c r="H80" i="10" s="1"/>
  <c r="E80" i="10"/>
  <c r="C80" i="10"/>
  <c r="B80" i="10" s="1"/>
  <c r="J79" i="10"/>
  <c r="I79" i="10"/>
  <c r="H79" i="10"/>
  <c r="C79" i="10"/>
  <c r="B79" i="10"/>
  <c r="K79" i="10" s="1"/>
  <c r="J78" i="10"/>
  <c r="I78" i="10"/>
  <c r="H78" i="10"/>
  <c r="C78" i="10"/>
  <c r="B78" i="10" s="1"/>
  <c r="K78" i="10" s="1"/>
  <c r="J77" i="10"/>
  <c r="I77" i="10"/>
  <c r="H77" i="10" s="1"/>
  <c r="C77" i="10"/>
  <c r="B77" i="10" s="1"/>
  <c r="E77" i="10" s="1"/>
  <c r="K76" i="10"/>
  <c r="J76" i="10"/>
  <c r="I76" i="10"/>
  <c r="H76" i="10" s="1"/>
  <c r="C76" i="10"/>
  <c r="B76" i="10" s="1"/>
  <c r="E76" i="10" s="1"/>
  <c r="J75" i="10"/>
  <c r="I75" i="10"/>
  <c r="H75" i="10" s="1"/>
  <c r="C75" i="10"/>
  <c r="B75" i="10" s="1"/>
  <c r="J74" i="10"/>
  <c r="I74" i="10"/>
  <c r="H74" i="10" s="1"/>
  <c r="C74" i="10"/>
  <c r="B74" i="10" s="1"/>
  <c r="K73" i="10"/>
  <c r="J73" i="10"/>
  <c r="I73" i="10"/>
  <c r="H73" i="10" s="1"/>
  <c r="E73" i="10"/>
  <c r="C73" i="10"/>
  <c r="B73" i="10"/>
  <c r="J72" i="10"/>
  <c r="I72" i="10"/>
  <c r="H72" i="10" s="1"/>
  <c r="C72" i="10"/>
  <c r="B72" i="10"/>
  <c r="J71" i="10"/>
  <c r="I71" i="10"/>
  <c r="H71" i="10" s="1"/>
  <c r="C71" i="10"/>
  <c r="B71" i="10"/>
  <c r="J70" i="10"/>
  <c r="I70" i="10"/>
  <c r="H70" i="10"/>
  <c r="C70" i="10"/>
  <c r="B70" i="10" s="1"/>
  <c r="K70" i="10" s="1"/>
  <c r="J69" i="10"/>
  <c r="I69" i="10"/>
  <c r="H69" i="10"/>
  <c r="C69" i="10"/>
  <c r="B69" i="10"/>
  <c r="J68" i="10"/>
  <c r="I68" i="10"/>
  <c r="H68" i="10"/>
  <c r="E68" i="10"/>
  <c r="C68" i="10"/>
  <c r="B68" i="10"/>
  <c r="K68" i="10" s="1"/>
  <c r="J67" i="10"/>
  <c r="I67" i="10"/>
  <c r="H67" i="10" s="1"/>
  <c r="C67" i="10"/>
  <c r="B67" i="10" s="1"/>
  <c r="J66" i="10"/>
  <c r="I66" i="10"/>
  <c r="H66" i="10"/>
  <c r="C66" i="10"/>
  <c r="B66" i="10" s="1"/>
  <c r="E66" i="10" s="1"/>
  <c r="K65" i="10"/>
  <c r="J65" i="10"/>
  <c r="I65" i="10"/>
  <c r="H65" i="10" s="1"/>
  <c r="C65" i="10"/>
  <c r="B65" i="10" s="1"/>
  <c r="E65" i="10" s="1"/>
  <c r="K64" i="10"/>
  <c r="J64" i="10"/>
  <c r="I64" i="10"/>
  <c r="H64" i="10"/>
  <c r="C64" i="10"/>
  <c r="B64" i="10" s="1"/>
  <c r="E64" i="10" s="1"/>
  <c r="J63" i="10"/>
  <c r="I63" i="10"/>
  <c r="H63" i="10"/>
  <c r="C63" i="10"/>
  <c r="B63" i="10" s="1"/>
  <c r="J62" i="10"/>
  <c r="I62" i="10"/>
  <c r="H62" i="10" s="1"/>
  <c r="E62" i="10"/>
  <c r="C62" i="10"/>
  <c r="B62" i="10" s="1"/>
  <c r="K62" i="10" s="1"/>
  <c r="J61" i="10"/>
  <c r="I61" i="10"/>
  <c r="H61" i="10" s="1"/>
  <c r="E61" i="10"/>
  <c r="C61" i="10"/>
  <c r="B61" i="10"/>
  <c r="K61" i="10" s="1"/>
  <c r="K60" i="10"/>
  <c r="J60" i="10"/>
  <c r="I60" i="10"/>
  <c r="H60" i="10" s="1"/>
  <c r="E60" i="10"/>
  <c r="C60" i="10"/>
  <c r="B60" i="10"/>
  <c r="J59" i="10"/>
  <c r="I59" i="10"/>
  <c r="H59" i="10" s="1"/>
  <c r="C59" i="10"/>
  <c r="B59" i="10"/>
  <c r="K59" i="10" s="1"/>
  <c r="J58" i="10"/>
  <c r="I58" i="10"/>
  <c r="H58" i="10" s="1"/>
  <c r="E58" i="10"/>
  <c r="C58" i="10"/>
  <c r="B58" i="10" s="1"/>
  <c r="K58" i="10" s="1"/>
  <c r="J57" i="10"/>
  <c r="I57" i="10"/>
  <c r="H57" i="10"/>
  <c r="C57" i="10"/>
  <c r="B57" i="10"/>
  <c r="E57" i="10" s="1"/>
  <c r="J56" i="10"/>
  <c r="I56" i="10"/>
  <c r="H56" i="10"/>
  <c r="C56" i="10"/>
  <c r="B56" i="10"/>
  <c r="K56" i="10" s="1"/>
  <c r="J55" i="10"/>
  <c r="I55" i="10"/>
  <c r="H55" i="10"/>
  <c r="C55" i="10"/>
  <c r="B55" i="10" s="1"/>
  <c r="J54" i="10"/>
  <c r="I54" i="10"/>
  <c r="H54" i="10"/>
  <c r="C54" i="10"/>
  <c r="B54" i="10" s="1"/>
  <c r="E54" i="10" s="1"/>
  <c r="J53" i="10"/>
  <c r="I53" i="10"/>
  <c r="H53" i="10"/>
  <c r="C53" i="10"/>
  <c r="B53" i="10" s="1"/>
  <c r="E53" i="10" s="1"/>
  <c r="K52" i="10"/>
  <c r="J52" i="10"/>
  <c r="I52" i="10"/>
  <c r="H52" i="10"/>
  <c r="C52" i="10"/>
  <c r="B52" i="10" s="1"/>
  <c r="E52" i="10" s="1"/>
  <c r="J51" i="10"/>
  <c r="I51" i="10"/>
  <c r="H51" i="10" s="1"/>
  <c r="C51" i="10"/>
  <c r="B51" i="10"/>
  <c r="E51" i="10" s="1"/>
  <c r="J50" i="10"/>
  <c r="I50" i="10"/>
  <c r="H50" i="10" s="1"/>
  <c r="E50" i="10"/>
  <c r="C50" i="10"/>
  <c r="B50" i="10" s="1"/>
  <c r="K50" i="10" s="1"/>
  <c r="K49" i="10"/>
  <c r="J49" i="10"/>
  <c r="I49" i="10"/>
  <c r="H49" i="10" s="1"/>
  <c r="E49" i="10"/>
  <c r="C49" i="10"/>
  <c r="B49" i="10"/>
  <c r="J48" i="10"/>
  <c r="I48" i="10"/>
  <c r="H48" i="10" s="1"/>
  <c r="C48" i="10"/>
  <c r="B48" i="10"/>
  <c r="K48" i="10" s="1"/>
  <c r="J47" i="10"/>
  <c r="I47" i="10"/>
  <c r="H47" i="10" s="1"/>
  <c r="C47" i="10"/>
  <c r="B47" i="10"/>
  <c r="K47" i="10" s="1"/>
  <c r="J46" i="10"/>
  <c r="I46" i="10"/>
  <c r="H46" i="10"/>
  <c r="E46" i="10"/>
  <c r="C46" i="10"/>
  <c r="B46" i="10" s="1"/>
  <c r="K46" i="10" s="1"/>
  <c r="J45" i="10"/>
  <c r="I45" i="10"/>
  <c r="H45" i="10"/>
  <c r="C45" i="10"/>
  <c r="B45" i="10"/>
  <c r="E45" i="10" s="1"/>
  <c r="J44" i="10"/>
  <c r="I44" i="10"/>
  <c r="H44" i="10"/>
  <c r="C44" i="10"/>
  <c r="B44" i="10"/>
  <c r="K44" i="10" s="1"/>
  <c r="J43" i="10"/>
  <c r="I43" i="10"/>
  <c r="H43" i="10" s="1"/>
  <c r="C43" i="10"/>
  <c r="B43" i="10"/>
  <c r="J42" i="10"/>
  <c r="I42" i="10"/>
  <c r="H42" i="10"/>
  <c r="C42" i="10"/>
  <c r="B42" i="10" s="1"/>
  <c r="E42" i="10" s="1"/>
  <c r="K41" i="10"/>
  <c r="J41" i="10"/>
  <c r="I41" i="10"/>
  <c r="H41" i="10" s="1"/>
  <c r="C41" i="10"/>
  <c r="B41" i="10" s="1"/>
  <c r="E41" i="10" s="1"/>
  <c r="J40" i="10"/>
  <c r="I40" i="10"/>
  <c r="H40" i="10"/>
  <c r="C40" i="10"/>
  <c r="B40" i="10" s="1"/>
  <c r="E40" i="10" s="1"/>
  <c r="J39" i="10"/>
  <c r="I39" i="10"/>
  <c r="H39" i="10" s="1"/>
  <c r="C39" i="10"/>
  <c r="B39" i="10" s="1"/>
  <c r="K39" i="10" s="1"/>
  <c r="J38" i="10"/>
  <c r="I38" i="10"/>
  <c r="H38" i="10" s="1"/>
  <c r="E38" i="10"/>
  <c r="C38" i="10"/>
  <c r="B38" i="10" s="1"/>
  <c r="K38" i="10" s="1"/>
  <c r="J37" i="10"/>
  <c r="I37" i="10"/>
  <c r="H37" i="10" s="1"/>
  <c r="C37" i="10"/>
  <c r="B37" i="10" s="1"/>
  <c r="J36" i="10"/>
  <c r="I36" i="10"/>
  <c r="H36" i="10" s="1"/>
  <c r="C36" i="10"/>
  <c r="B36" i="10" s="1"/>
  <c r="K35" i="10"/>
  <c r="J35" i="10"/>
  <c r="I35" i="10"/>
  <c r="H35" i="10" s="1"/>
  <c r="C35" i="10"/>
  <c r="B35" i="10"/>
  <c r="E35" i="10" s="1"/>
  <c r="J34" i="10"/>
  <c r="I34" i="10"/>
  <c r="H34" i="10" s="1"/>
  <c r="C34" i="10"/>
  <c r="B34" i="10"/>
  <c r="K34" i="10" s="1"/>
  <c r="K33" i="10"/>
  <c r="J33" i="10"/>
  <c r="I33" i="10"/>
  <c r="H33" i="10"/>
  <c r="E33" i="10"/>
  <c r="C33" i="10"/>
  <c r="B33" i="10"/>
  <c r="J32" i="10"/>
  <c r="I32" i="10"/>
  <c r="H32" i="10"/>
  <c r="E32" i="10"/>
  <c r="C32" i="10"/>
  <c r="B32" i="10"/>
  <c r="K32" i="10" s="1"/>
  <c r="P31" i="10"/>
  <c r="J31" i="10"/>
  <c r="I31" i="10"/>
  <c r="H31" i="10" s="1"/>
  <c r="C31" i="10"/>
  <c r="B31" i="10" s="1"/>
  <c r="K30" i="10"/>
  <c r="J30" i="10"/>
  <c r="I30" i="10"/>
  <c r="H30" i="10"/>
  <c r="C30" i="10"/>
  <c r="B30" i="10" s="1"/>
  <c r="E30" i="10" s="1"/>
  <c r="K29" i="10"/>
  <c r="J29" i="10"/>
  <c r="I29" i="10"/>
  <c r="H29" i="10"/>
  <c r="E29" i="10"/>
  <c r="C29" i="10"/>
  <c r="B29" i="10"/>
  <c r="V28" i="10"/>
  <c r="J28" i="10"/>
  <c r="I28" i="10"/>
  <c r="H28" i="10" s="1"/>
  <c r="C28" i="10"/>
  <c r="B28" i="10"/>
  <c r="E28" i="10" s="1"/>
  <c r="J27" i="10"/>
  <c r="I27" i="10"/>
  <c r="H27" i="10" s="1"/>
  <c r="C27" i="10"/>
  <c r="B27" i="10"/>
  <c r="E27" i="10" s="1"/>
  <c r="J26" i="10"/>
  <c r="I26" i="10"/>
  <c r="H26" i="10" s="1"/>
  <c r="C26" i="10"/>
  <c r="B26" i="10" s="1"/>
  <c r="K26" i="10" s="1"/>
  <c r="J25" i="10"/>
  <c r="I25" i="10"/>
  <c r="H25" i="10"/>
  <c r="C25" i="10"/>
  <c r="B25" i="10"/>
  <c r="K25" i="10" s="1"/>
  <c r="J24" i="10"/>
  <c r="I24" i="10"/>
  <c r="H24" i="10"/>
  <c r="C24" i="10"/>
  <c r="B24" i="10"/>
  <c r="E24" i="10" s="1"/>
  <c r="J23" i="10"/>
  <c r="I23" i="10"/>
  <c r="H23" i="10" s="1"/>
  <c r="C23" i="10"/>
  <c r="B23" i="10"/>
  <c r="V22" i="10"/>
  <c r="J22" i="10"/>
  <c r="I22" i="10"/>
  <c r="H22" i="10" s="1"/>
  <c r="C22" i="10"/>
  <c r="B22" i="10"/>
  <c r="K22" i="10" s="1"/>
  <c r="J21" i="10"/>
  <c r="I21" i="10"/>
  <c r="H21" i="10" s="1"/>
  <c r="C21" i="10"/>
  <c r="B21" i="10"/>
  <c r="K21" i="10" s="1"/>
  <c r="J20" i="10"/>
  <c r="I20" i="10"/>
  <c r="H20" i="10"/>
  <c r="C20" i="10"/>
  <c r="B20" i="10" s="1"/>
  <c r="J19" i="10"/>
  <c r="I19" i="10"/>
  <c r="H19" i="10" s="1"/>
  <c r="C19" i="10"/>
  <c r="B19" i="10" s="1"/>
  <c r="K18" i="10"/>
  <c r="J18" i="10"/>
  <c r="I18" i="10"/>
  <c r="H18" i="10"/>
  <c r="E18" i="10"/>
  <c r="C18" i="10"/>
  <c r="B18" i="10"/>
  <c r="J17" i="10"/>
  <c r="I17" i="10"/>
  <c r="H17" i="10" s="1"/>
  <c r="C17" i="10"/>
  <c r="B17" i="10"/>
  <c r="E17" i="10" s="1"/>
  <c r="J16" i="10"/>
  <c r="I16" i="10"/>
  <c r="H16" i="10" s="1"/>
  <c r="C16" i="10"/>
  <c r="B16" i="10"/>
  <c r="J15" i="10"/>
  <c r="I15" i="10"/>
  <c r="H15" i="10"/>
  <c r="C15" i="10"/>
  <c r="B15" i="10" s="1"/>
  <c r="K15" i="10" s="1"/>
  <c r="K14" i="10"/>
  <c r="J14" i="10"/>
  <c r="I14" i="10"/>
  <c r="H14" i="10"/>
  <c r="E14" i="10"/>
  <c r="C14" i="10"/>
  <c r="B14" i="10" s="1"/>
  <c r="J13" i="10"/>
  <c r="I13" i="10"/>
  <c r="H13" i="10"/>
  <c r="C13" i="10"/>
  <c r="B13" i="10" s="1"/>
  <c r="J12" i="10"/>
  <c r="I12" i="10"/>
  <c r="H12" i="10"/>
  <c r="E12" i="10"/>
  <c r="C12" i="10"/>
  <c r="B12" i="10" s="1"/>
  <c r="K12" i="10" s="1"/>
  <c r="J11" i="10"/>
  <c r="I11" i="10"/>
  <c r="H11" i="10" s="1"/>
  <c r="E11" i="10"/>
  <c r="C11" i="10"/>
  <c r="B11" i="10" s="1"/>
  <c r="K11" i="10" s="1"/>
  <c r="P10" i="10"/>
  <c r="J10" i="10"/>
  <c r="I10" i="10"/>
  <c r="H10" i="10"/>
  <c r="C10" i="10"/>
  <c r="B10" i="10"/>
  <c r="E10" i="10" s="1"/>
  <c r="Q9" i="10"/>
  <c r="K9" i="10"/>
  <c r="J9" i="10"/>
  <c r="I9" i="10"/>
  <c r="H9" i="10"/>
  <c r="E9" i="10"/>
  <c r="C9" i="10"/>
  <c r="B9" i="10"/>
  <c r="J8" i="10"/>
  <c r="I8" i="10"/>
  <c r="H8" i="10" s="1"/>
  <c r="C8" i="10"/>
  <c r="B8" i="10"/>
  <c r="K8" i="10" s="1"/>
  <c r="J7" i="10"/>
  <c r="I7" i="10"/>
  <c r="H7" i="10" s="1"/>
  <c r="C7" i="10"/>
  <c r="B7" i="10"/>
  <c r="K7" i="10" s="1"/>
  <c r="V1" i="10"/>
  <c r="V5" i="10" s="1"/>
  <c r="C26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G146" i="8"/>
  <c r="E146" i="8"/>
  <c r="D146" i="8"/>
  <c r="O148" i="10" s="1"/>
  <c r="B146" i="8"/>
  <c r="N148" i="10" s="1"/>
  <c r="G145" i="8"/>
  <c r="E145" i="8"/>
  <c r="D145" i="8"/>
  <c r="O147" i="10" s="1"/>
  <c r="B145" i="8"/>
  <c r="N147" i="10" s="1"/>
  <c r="G144" i="8"/>
  <c r="E144" i="8"/>
  <c r="D144" i="8"/>
  <c r="O146" i="10" s="1"/>
  <c r="B144" i="8"/>
  <c r="N146" i="10" s="1"/>
  <c r="G143" i="8"/>
  <c r="E143" i="8"/>
  <c r="D143" i="8"/>
  <c r="G142" i="8"/>
  <c r="E142" i="8"/>
  <c r="D142" i="8"/>
  <c r="O144" i="10" s="1"/>
  <c r="B142" i="8"/>
  <c r="N144" i="10" s="1"/>
  <c r="G141" i="8"/>
  <c r="E141" i="8"/>
  <c r="D141" i="8"/>
  <c r="O143" i="10" s="1"/>
  <c r="B141" i="8"/>
  <c r="N143" i="10" s="1"/>
  <c r="G140" i="8"/>
  <c r="E140" i="8"/>
  <c r="D140" i="8"/>
  <c r="G139" i="8"/>
  <c r="E139" i="8"/>
  <c r="D139" i="8"/>
  <c r="O141" i="10" s="1"/>
  <c r="B139" i="8"/>
  <c r="N141" i="10" s="1"/>
  <c r="G138" i="8"/>
  <c r="E138" i="8"/>
  <c r="D138" i="8"/>
  <c r="O140" i="10" s="1"/>
  <c r="G137" i="8"/>
  <c r="E137" i="8"/>
  <c r="D137" i="8"/>
  <c r="G136" i="8"/>
  <c r="E136" i="8"/>
  <c r="D136" i="8"/>
  <c r="O138" i="10" s="1"/>
  <c r="B136" i="8"/>
  <c r="N138" i="10" s="1"/>
  <c r="G135" i="8"/>
  <c r="E135" i="8"/>
  <c r="D135" i="8"/>
  <c r="O137" i="10" s="1"/>
  <c r="B135" i="8"/>
  <c r="N137" i="10" s="1"/>
  <c r="G134" i="8"/>
  <c r="E134" i="8"/>
  <c r="D134" i="8"/>
  <c r="G133" i="8"/>
  <c r="E133" i="8"/>
  <c r="D133" i="8"/>
  <c r="O135" i="10" s="1"/>
  <c r="B133" i="8"/>
  <c r="N135" i="10" s="1"/>
  <c r="G132" i="8"/>
  <c r="E132" i="8"/>
  <c r="D132" i="8"/>
  <c r="O134" i="10" s="1"/>
  <c r="B132" i="8"/>
  <c r="N134" i="10" s="1"/>
  <c r="G131" i="8"/>
  <c r="E131" i="8"/>
  <c r="D131" i="8"/>
  <c r="G130" i="8"/>
  <c r="E130" i="8"/>
  <c r="D130" i="8"/>
  <c r="O132" i="10" s="1"/>
  <c r="B130" i="8"/>
  <c r="N132" i="10" s="1"/>
  <c r="G129" i="8"/>
  <c r="E129" i="8"/>
  <c r="D129" i="8"/>
  <c r="O131" i="10" s="1"/>
  <c r="B129" i="8"/>
  <c r="N131" i="10" s="1"/>
  <c r="G128" i="8"/>
  <c r="E128" i="8"/>
  <c r="D128" i="8"/>
  <c r="G127" i="8"/>
  <c r="E127" i="8"/>
  <c r="D127" i="8"/>
  <c r="O129" i="10" s="1"/>
  <c r="G126" i="8"/>
  <c r="E126" i="8"/>
  <c r="D126" i="8"/>
  <c r="O128" i="10" s="1"/>
  <c r="G125" i="8"/>
  <c r="E125" i="8"/>
  <c r="D125" i="8"/>
  <c r="G124" i="8"/>
  <c r="E124" i="8"/>
  <c r="D124" i="8"/>
  <c r="O126" i="10" s="1"/>
  <c r="B124" i="8"/>
  <c r="N126" i="10" s="1"/>
  <c r="G123" i="8"/>
  <c r="E123" i="8"/>
  <c r="D123" i="8"/>
  <c r="O125" i="10" s="1"/>
  <c r="B123" i="8"/>
  <c r="N125" i="10" s="1"/>
  <c r="G122" i="8"/>
  <c r="E122" i="8"/>
  <c r="D122" i="8"/>
  <c r="O124" i="10" s="1"/>
  <c r="B122" i="8"/>
  <c r="N124" i="10" s="1"/>
  <c r="G121" i="8"/>
  <c r="E121" i="8"/>
  <c r="D121" i="8"/>
  <c r="O123" i="10" s="1"/>
  <c r="B121" i="8"/>
  <c r="N123" i="10" s="1"/>
  <c r="G120" i="8"/>
  <c r="E120" i="8"/>
  <c r="D120" i="8"/>
  <c r="O122" i="10" s="1"/>
  <c r="B120" i="8"/>
  <c r="N122" i="10" s="1"/>
  <c r="G119" i="8"/>
  <c r="E119" i="8"/>
  <c r="D119" i="8"/>
  <c r="G118" i="8"/>
  <c r="E118" i="8"/>
  <c r="D118" i="8"/>
  <c r="O120" i="10" s="1"/>
  <c r="B118" i="8"/>
  <c r="N120" i="10" s="1"/>
  <c r="G117" i="8"/>
  <c r="E117" i="8"/>
  <c r="D117" i="8"/>
  <c r="O119" i="10" s="1"/>
  <c r="B117" i="8"/>
  <c r="N119" i="10" s="1"/>
  <c r="G116" i="8"/>
  <c r="E116" i="8"/>
  <c r="D116" i="8"/>
  <c r="G115" i="8"/>
  <c r="E115" i="8"/>
  <c r="D115" i="8"/>
  <c r="O117" i="10" s="1"/>
  <c r="B115" i="8"/>
  <c r="N117" i="10" s="1"/>
  <c r="G114" i="8"/>
  <c r="E114" i="8"/>
  <c r="D114" i="8"/>
  <c r="O116" i="10" s="1"/>
  <c r="B114" i="8"/>
  <c r="N116" i="10" s="1"/>
  <c r="G113" i="8"/>
  <c r="E113" i="8"/>
  <c r="D113" i="8"/>
  <c r="O115" i="10" s="1"/>
  <c r="B113" i="8"/>
  <c r="N115" i="10" s="1"/>
  <c r="G112" i="8"/>
  <c r="E112" i="8"/>
  <c r="D112" i="8"/>
  <c r="O114" i="10" s="1"/>
  <c r="B112" i="8"/>
  <c r="N114" i="10" s="1"/>
  <c r="G111" i="8"/>
  <c r="E111" i="8"/>
  <c r="D111" i="8"/>
  <c r="O113" i="10" s="1"/>
  <c r="B111" i="8"/>
  <c r="N113" i="10" s="1"/>
  <c r="G110" i="8"/>
  <c r="E110" i="8"/>
  <c r="D110" i="8"/>
  <c r="O112" i="10" s="1"/>
  <c r="B110" i="8"/>
  <c r="N112" i="10" s="1"/>
  <c r="G109" i="8"/>
  <c r="E109" i="8"/>
  <c r="D109" i="8"/>
  <c r="O111" i="10" s="1"/>
  <c r="B109" i="8"/>
  <c r="N111" i="10" s="1"/>
  <c r="G108" i="8"/>
  <c r="E108" i="8"/>
  <c r="D108" i="8"/>
  <c r="O110" i="10" s="1"/>
  <c r="B108" i="8"/>
  <c r="N110" i="10" s="1"/>
  <c r="G107" i="8"/>
  <c r="E107" i="8"/>
  <c r="D107" i="8"/>
  <c r="O109" i="10" s="1"/>
  <c r="B107" i="8"/>
  <c r="N109" i="10" s="1"/>
  <c r="G106" i="8"/>
  <c r="E106" i="8"/>
  <c r="D106" i="8"/>
  <c r="O108" i="10" s="1"/>
  <c r="B106" i="8"/>
  <c r="N108" i="10" s="1"/>
  <c r="G105" i="8"/>
  <c r="E105" i="8"/>
  <c r="D105" i="8"/>
  <c r="O107" i="10" s="1"/>
  <c r="B105" i="8"/>
  <c r="N107" i="10" s="1"/>
  <c r="G104" i="8"/>
  <c r="E104" i="8"/>
  <c r="D104" i="8"/>
  <c r="O106" i="10" s="1"/>
  <c r="B104" i="8"/>
  <c r="N106" i="10" s="1"/>
  <c r="G103" i="8"/>
  <c r="E103" i="8"/>
  <c r="D103" i="8"/>
  <c r="O105" i="10" s="1"/>
  <c r="B103" i="8"/>
  <c r="N105" i="10" s="1"/>
  <c r="G102" i="8"/>
  <c r="E102" i="8"/>
  <c r="D102" i="8"/>
  <c r="O104" i="10" s="1"/>
  <c r="B102" i="8"/>
  <c r="N104" i="10" s="1"/>
  <c r="G101" i="8"/>
  <c r="E101" i="8"/>
  <c r="D101" i="8"/>
  <c r="O103" i="10" s="1"/>
  <c r="B101" i="8"/>
  <c r="N103" i="10" s="1"/>
  <c r="G100" i="8"/>
  <c r="E100" i="8"/>
  <c r="D100" i="8"/>
  <c r="O102" i="10" s="1"/>
  <c r="B100" i="8"/>
  <c r="N102" i="10" s="1"/>
  <c r="G99" i="8"/>
  <c r="E99" i="8"/>
  <c r="D99" i="8"/>
  <c r="O101" i="10" s="1"/>
  <c r="B99" i="8"/>
  <c r="N101" i="10" s="1"/>
  <c r="G98" i="8"/>
  <c r="E98" i="8"/>
  <c r="D98" i="8"/>
  <c r="O100" i="10" s="1"/>
  <c r="B98" i="8"/>
  <c r="N100" i="10" s="1"/>
  <c r="G97" i="8"/>
  <c r="E97" i="8"/>
  <c r="D97" i="8"/>
  <c r="O99" i="10" s="1"/>
  <c r="B97" i="8"/>
  <c r="N99" i="10" s="1"/>
  <c r="G96" i="8"/>
  <c r="E96" i="8"/>
  <c r="D96" i="8"/>
  <c r="O98" i="10" s="1"/>
  <c r="B96" i="8"/>
  <c r="N98" i="10" s="1"/>
  <c r="G95" i="8"/>
  <c r="E95" i="8"/>
  <c r="D95" i="8"/>
  <c r="O97" i="10" s="1"/>
  <c r="B95" i="8"/>
  <c r="N97" i="10" s="1"/>
  <c r="G94" i="8"/>
  <c r="E94" i="8"/>
  <c r="D94" i="8"/>
  <c r="O96" i="10" s="1"/>
  <c r="B94" i="8"/>
  <c r="N96" i="10" s="1"/>
  <c r="G93" i="8"/>
  <c r="E93" i="8"/>
  <c r="D93" i="8"/>
  <c r="O95" i="10" s="1"/>
  <c r="B93" i="8"/>
  <c r="N95" i="10" s="1"/>
  <c r="G92" i="8"/>
  <c r="E92" i="8"/>
  <c r="D92" i="8"/>
  <c r="O94" i="10" s="1"/>
  <c r="B92" i="8"/>
  <c r="N94" i="10" s="1"/>
  <c r="G91" i="8"/>
  <c r="E91" i="8"/>
  <c r="D91" i="8"/>
  <c r="O93" i="10" s="1"/>
  <c r="B91" i="8"/>
  <c r="N93" i="10" s="1"/>
  <c r="G90" i="8"/>
  <c r="E90" i="8"/>
  <c r="D90" i="8"/>
  <c r="O92" i="10" s="1"/>
  <c r="B90" i="8"/>
  <c r="N92" i="10" s="1"/>
  <c r="G89" i="8"/>
  <c r="E89" i="8"/>
  <c r="D89" i="8"/>
  <c r="O91" i="10" s="1"/>
  <c r="B89" i="8"/>
  <c r="N91" i="10" s="1"/>
  <c r="G88" i="8"/>
  <c r="E88" i="8"/>
  <c r="D88" i="8"/>
  <c r="O90" i="10" s="1"/>
  <c r="B88" i="8"/>
  <c r="N90" i="10" s="1"/>
  <c r="G87" i="8"/>
  <c r="E87" i="8"/>
  <c r="D87" i="8"/>
  <c r="O89" i="10" s="1"/>
  <c r="B87" i="8"/>
  <c r="N89" i="10" s="1"/>
  <c r="G86" i="8"/>
  <c r="E86" i="8"/>
  <c r="D86" i="8"/>
  <c r="O88" i="10" s="1"/>
  <c r="B86" i="8"/>
  <c r="N88" i="10" s="1"/>
  <c r="G85" i="8"/>
  <c r="E85" i="8"/>
  <c r="D85" i="8"/>
  <c r="O87" i="10" s="1"/>
  <c r="V87" i="10" s="1"/>
  <c r="B85" i="8"/>
  <c r="N87" i="10" s="1"/>
  <c r="G84" i="8"/>
  <c r="E84" i="8"/>
  <c r="D84" i="8"/>
  <c r="O86" i="10" s="1"/>
  <c r="Q86" i="10" s="1"/>
  <c r="B84" i="8"/>
  <c r="N86" i="10" s="1"/>
  <c r="G83" i="8"/>
  <c r="E83" i="8"/>
  <c r="D83" i="8"/>
  <c r="O85" i="10" s="1"/>
  <c r="B83" i="8"/>
  <c r="N85" i="10" s="1"/>
  <c r="G82" i="8"/>
  <c r="E82" i="8"/>
  <c r="D82" i="8"/>
  <c r="O84" i="10" s="1"/>
  <c r="B82" i="8"/>
  <c r="N84" i="10" s="1"/>
  <c r="G81" i="8"/>
  <c r="E81" i="8"/>
  <c r="D81" i="8"/>
  <c r="O83" i="10" s="1"/>
  <c r="B81" i="8"/>
  <c r="N83" i="10" s="1"/>
  <c r="G80" i="8"/>
  <c r="E80" i="8"/>
  <c r="D80" i="8"/>
  <c r="O82" i="10" s="1"/>
  <c r="B80" i="8"/>
  <c r="N82" i="10" s="1"/>
  <c r="G79" i="8"/>
  <c r="E79" i="8"/>
  <c r="D79" i="8"/>
  <c r="O81" i="10" s="1"/>
  <c r="B79" i="8"/>
  <c r="N81" i="10" s="1"/>
  <c r="G78" i="8"/>
  <c r="E78" i="8"/>
  <c r="D78" i="8"/>
  <c r="O80" i="10" s="1"/>
  <c r="B78" i="8"/>
  <c r="N80" i="10" s="1"/>
  <c r="G77" i="8"/>
  <c r="E77" i="8"/>
  <c r="D77" i="8"/>
  <c r="O79" i="10" s="1"/>
  <c r="B77" i="8"/>
  <c r="N79" i="10" s="1"/>
  <c r="G76" i="8"/>
  <c r="E76" i="8"/>
  <c r="D76" i="8"/>
  <c r="O78" i="10" s="1"/>
  <c r="B76" i="8"/>
  <c r="N78" i="10" s="1"/>
  <c r="G75" i="8"/>
  <c r="E75" i="8"/>
  <c r="D75" i="8"/>
  <c r="O77" i="10" s="1"/>
  <c r="S77" i="10" s="1"/>
  <c r="W77" i="10" s="1"/>
  <c r="B75" i="8"/>
  <c r="N77" i="10" s="1"/>
  <c r="G74" i="8"/>
  <c r="E74" i="8"/>
  <c r="D74" i="8"/>
  <c r="O76" i="10" s="1"/>
  <c r="R76" i="10" s="1"/>
  <c r="B74" i="8"/>
  <c r="N76" i="10" s="1"/>
  <c r="G73" i="8"/>
  <c r="E73" i="8"/>
  <c r="D73" i="8"/>
  <c r="O75" i="10" s="1"/>
  <c r="S75" i="10" s="1"/>
  <c r="W75" i="10" s="1"/>
  <c r="B73" i="8"/>
  <c r="N75" i="10" s="1"/>
  <c r="G72" i="8"/>
  <c r="E72" i="8"/>
  <c r="D72" i="8"/>
  <c r="O74" i="10" s="1"/>
  <c r="B72" i="8"/>
  <c r="N74" i="10" s="1"/>
  <c r="G71" i="8"/>
  <c r="E71" i="8"/>
  <c r="D71" i="8"/>
  <c r="O73" i="10" s="1"/>
  <c r="Q73" i="10" s="1"/>
  <c r="B71" i="8"/>
  <c r="N73" i="10" s="1"/>
  <c r="G70" i="8"/>
  <c r="E70" i="8"/>
  <c r="D70" i="8"/>
  <c r="O72" i="10" s="1"/>
  <c r="B70" i="8"/>
  <c r="N72" i="10" s="1"/>
  <c r="G69" i="8"/>
  <c r="E69" i="8"/>
  <c r="D69" i="8"/>
  <c r="O71" i="10" s="1"/>
  <c r="B69" i="8"/>
  <c r="N71" i="10" s="1"/>
  <c r="G68" i="8"/>
  <c r="E68" i="8"/>
  <c r="D68" i="8"/>
  <c r="O70" i="10" s="1"/>
  <c r="U70" i="10" s="1"/>
  <c r="B68" i="8"/>
  <c r="N70" i="10" s="1"/>
  <c r="G67" i="8"/>
  <c r="E67" i="8"/>
  <c r="D67" i="8"/>
  <c r="O69" i="10" s="1"/>
  <c r="B67" i="8"/>
  <c r="N69" i="10" s="1"/>
  <c r="G66" i="8"/>
  <c r="E66" i="8"/>
  <c r="D66" i="8"/>
  <c r="O68" i="10" s="1"/>
  <c r="B66" i="8"/>
  <c r="N68" i="10" s="1"/>
  <c r="G65" i="8"/>
  <c r="E65" i="8"/>
  <c r="D65" i="8"/>
  <c r="O67" i="10" s="1"/>
  <c r="B65" i="8"/>
  <c r="N67" i="10" s="1"/>
  <c r="G64" i="8"/>
  <c r="E64" i="8"/>
  <c r="D64" i="8"/>
  <c r="O66" i="10" s="1"/>
  <c r="B64" i="8"/>
  <c r="N66" i="10" s="1"/>
  <c r="G63" i="8"/>
  <c r="E63" i="8"/>
  <c r="D63" i="8"/>
  <c r="O65" i="10" s="1"/>
  <c r="B63" i="8"/>
  <c r="N65" i="10" s="1"/>
  <c r="G62" i="8"/>
  <c r="E62" i="8"/>
  <c r="D62" i="8"/>
  <c r="O64" i="10" s="1"/>
  <c r="B62" i="8"/>
  <c r="N64" i="10" s="1"/>
  <c r="G61" i="8"/>
  <c r="E61" i="8"/>
  <c r="D61" i="8"/>
  <c r="O63" i="10" s="1"/>
  <c r="B61" i="8"/>
  <c r="N63" i="10" s="1"/>
  <c r="G60" i="8"/>
  <c r="E60" i="8"/>
  <c r="D60" i="8"/>
  <c r="O62" i="10" s="1"/>
  <c r="B60" i="8"/>
  <c r="N62" i="10" s="1"/>
  <c r="G59" i="8"/>
  <c r="E59" i="8"/>
  <c r="D59" i="8"/>
  <c r="O61" i="10" s="1"/>
  <c r="T61" i="10" s="1"/>
  <c r="B59" i="8"/>
  <c r="N61" i="10" s="1"/>
  <c r="G58" i="8"/>
  <c r="E58" i="8"/>
  <c r="D58" i="8"/>
  <c r="O60" i="10" s="1"/>
  <c r="U60" i="10" s="1"/>
  <c r="B58" i="8"/>
  <c r="N60" i="10" s="1"/>
  <c r="G57" i="8"/>
  <c r="E57" i="8"/>
  <c r="D57" i="8"/>
  <c r="O59" i="10" s="1"/>
  <c r="B57" i="8"/>
  <c r="N59" i="10" s="1"/>
  <c r="G56" i="8"/>
  <c r="E56" i="8"/>
  <c r="D56" i="8"/>
  <c r="O58" i="10" s="1"/>
  <c r="B56" i="8"/>
  <c r="N58" i="10" s="1"/>
  <c r="G55" i="8"/>
  <c r="E55" i="8"/>
  <c r="D55" i="8"/>
  <c r="O57" i="10" s="1"/>
  <c r="B55" i="8"/>
  <c r="N57" i="10" s="1"/>
  <c r="G54" i="8"/>
  <c r="E54" i="8"/>
  <c r="D54" i="8"/>
  <c r="O56" i="10" s="1"/>
  <c r="V56" i="10" s="1"/>
  <c r="B54" i="8"/>
  <c r="N56" i="10" s="1"/>
  <c r="G53" i="8"/>
  <c r="E53" i="8"/>
  <c r="D53" i="8"/>
  <c r="O55" i="10" s="1"/>
  <c r="B53" i="8"/>
  <c r="N55" i="10" s="1"/>
  <c r="G52" i="8"/>
  <c r="E52" i="8"/>
  <c r="D52" i="8"/>
  <c r="O54" i="10" s="1"/>
  <c r="B52" i="8"/>
  <c r="N54" i="10" s="1"/>
  <c r="G51" i="8"/>
  <c r="E51" i="8"/>
  <c r="D51" i="8"/>
  <c r="O53" i="10" s="1"/>
  <c r="B51" i="8"/>
  <c r="N53" i="10" s="1"/>
  <c r="G50" i="8"/>
  <c r="E50" i="8"/>
  <c r="D50" i="8"/>
  <c r="O52" i="10" s="1"/>
  <c r="B50" i="8"/>
  <c r="N52" i="10" s="1"/>
  <c r="G49" i="8"/>
  <c r="E49" i="8"/>
  <c r="D49" i="8"/>
  <c r="O51" i="10" s="1"/>
  <c r="B49" i="8"/>
  <c r="N51" i="10" s="1"/>
  <c r="G48" i="8"/>
  <c r="E48" i="8"/>
  <c r="D48" i="8"/>
  <c r="O50" i="10" s="1"/>
  <c r="B48" i="8"/>
  <c r="N50" i="10" s="1"/>
  <c r="G47" i="8"/>
  <c r="E47" i="8"/>
  <c r="D47" i="8"/>
  <c r="O49" i="10" s="1"/>
  <c r="B47" i="8"/>
  <c r="N49" i="10" s="1"/>
  <c r="G46" i="8"/>
  <c r="E46" i="8"/>
  <c r="D46" i="8"/>
  <c r="O48" i="10" s="1"/>
  <c r="V48" i="10" s="1"/>
  <c r="B46" i="8"/>
  <c r="N48" i="10" s="1"/>
  <c r="G45" i="8"/>
  <c r="E45" i="8"/>
  <c r="D45" i="8"/>
  <c r="O47" i="10" s="1"/>
  <c r="B45" i="8"/>
  <c r="N47" i="10" s="1"/>
  <c r="G44" i="8"/>
  <c r="E44" i="8"/>
  <c r="D44" i="8"/>
  <c r="O46" i="10" s="1"/>
  <c r="B44" i="8"/>
  <c r="N46" i="10" s="1"/>
  <c r="G43" i="8"/>
  <c r="E43" i="8"/>
  <c r="D43" i="8"/>
  <c r="O45" i="10" s="1"/>
  <c r="V45" i="10" s="1"/>
  <c r="B43" i="8"/>
  <c r="N45" i="10" s="1"/>
  <c r="G42" i="8"/>
  <c r="E42" i="8"/>
  <c r="D42" i="8"/>
  <c r="O44" i="10" s="1"/>
  <c r="B42" i="8"/>
  <c r="N44" i="10" s="1"/>
  <c r="G41" i="8"/>
  <c r="E41" i="8"/>
  <c r="D41" i="8"/>
  <c r="O43" i="10" s="1"/>
  <c r="B41" i="8"/>
  <c r="N43" i="10" s="1"/>
  <c r="G40" i="8"/>
  <c r="E40" i="8"/>
  <c r="D40" i="8"/>
  <c r="O42" i="10" s="1"/>
  <c r="B40" i="8"/>
  <c r="N42" i="10" s="1"/>
  <c r="G39" i="8"/>
  <c r="E39" i="8"/>
  <c r="D39" i="8"/>
  <c r="O41" i="10" s="1"/>
  <c r="B39" i="8"/>
  <c r="N41" i="10" s="1"/>
  <c r="G38" i="8"/>
  <c r="E38" i="8"/>
  <c r="D38" i="8"/>
  <c r="O40" i="10" s="1"/>
  <c r="B38" i="8"/>
  <c r="N40" i="10" s="1"/>
  <c r="G37" i="8"/>
  <c r="E37" i="8"/>
  <c r="D37" i="8"/>
  <c r="O39" i="10" s="1"/>
  <c r="B37" i="8"/>
  <c r="N39" i="10" s="1"/>
  <c r="G36" i="8"/>
  <c r="E36" i="8"/>
  <c r="D36" i="8"/>
  <c r="O38" i="10" s="1"/>
  <c r="B36" i="8"/>
  <c r="N38" i="10" s="1"/>
  <c r="G35" i="8"/>
  <c r="E35" i="8"/>
  <c r="D35" i="8"/>
  <c r="O37" i="10" s="1"/>
  <c r="B35" i="8"/>
  <c r="N37" i="10" s="1"/>
  <c r="G34" i="8"/>
  <c r="E34" i="8"/>
  <c r="D34" i="8"/>
  <c r="O36" i="10" s="1"/>
  <c r="B34" i="8"/>
  <c r="N36" i="10" s="1"/>
  <c r="G33" i="8"/>
  <c r="E33" i="8"/>
  <c r="D33" i="8"/>
  <c r="O35" i="10" s="1"/>
  <c r="B33" i="8"/>
  <c r="N35" i="10" s="1"/>
  <c r="G32" i="8"/>
  <c r="E32" i="8"/>
  <c r="D32" i="8"/>
  <c r="O34" i="10" s="1"/>
  <c r="B32" i="8"/>
  <c r="N34" i="10" s="1"/>
  <c r="G31" i="8"/>
  <c r="E31" i="8"/>
  <c r="D31" i="8"/>
  <c r="O33" i="10" s="1"/>
  <c r="B31" i="8"/>
  <c r="N33" i="10" s="1"/>
  <c r="G30" i="8"/>
  <c r="E30" i="8"/>
  <c r="D30" i="8"/>
  <c r="O32" i="10" s="1"/>
  <c r="U32" i="10" s="1"/>
  <c r="B30" i="8"/>
  <c r="N32" i="10" s="1"/>
  <c r="G29" i="8"/>
  <c r="E29" i="8"/>
  <c r="D29" i="8"/>
  <c r="O31" i="10" s="1"/>
  <c r="B29" i="8"/>
  <c r="N31" i="10" s="1"/>
  <c r="G28" i="8"/>
  <c r="E28" i="8"/>
  <c r="D28" i="8"/>
  <c r="O30" i="10" s="1"/>
  <c r="B28" i="8"/>
  <c r="N30" i="10" s="1"/>
  <c r="G27" i="8"/>
  <c r="E27" i="8"/>
  <c r="D27" i="8"/>
  <c r="O29" i="10" s="1"/>
  <c r="B27" i="8"/>
  <c r="N29" i="10" s="1"/>
  <c r="G26" i="8"/>
  <c r="E26" i="8"/>
  <c r="D26" i="8"/>
  <c r="O28" i="10" s="1"/>
  <c r="S28" i="10" s="1"/>
  <c r="W28" i="10" s="1"/>
  <c r="B26" i="8"/>
  <c r="N28" i="10" s="1"/>
  <c r="G25" i="8"/>
  <c r="E25" i="8"/>
  <c r="D25" i="8"/>
  <c r="O27" i="10" s="1"/>
  <c r="B25" i="8"/>
  <c r="N27" i="10" s="1"/>
  <c r="G24" i="8"/>
  <c r="E24" i="8"/>
  <c r="D24" i="8"/>
  <c r="O26" i="10" s="1"/>
  <c r="B24" i="8"/>
  <c r="N26" i="10" s="1"/>
  <c r="G23" i="8"/>
  <c r="E23" i="8"/>
  <c r="D23" i="8"/>
  <c r="O25" i="10" s="1"/>
  <c r="B23" i="8"/>
  <c r="N25" i="10" s="1"/>
  <c r="G22" i="8"/>
  <c r="E22" i="8"/>
  <c r="D22" i="8"/>
  <c r="O24" i="10" s="1"/>
  <c r="B22" i="8"/>
  <c r="N24" i="10" s="1"/>
  <c r="G21" i="8"/>
  <c r="E21" i="8"/>
  <c r="D21" i="8"/>
  <c r="O23" i="10" s="1"/>
  <c r="B21" i="8"/>
  <c r="N23" i="10" s="1"/>
  <c r="G20" i="8"/>
  <c r="E20" i="8"/>
  <c r="D20" i="8"/>
  <c r="O22" i="10" s="1"/>
  <c r="Q22" i="10" s="1"/>
  <c r="B20" i="8"/>
  <c r="N22" i="10" s="1"/>
  <c r="G19" i="8"/>
  <c r="E19" i="8"/>
  <c r="D19" i="8"/>
  <c r="O21" i="10" s="1"/>
  <c r="B19" i="8"/>
  <c r="N21" i="10" s="1"/>
  <c r="G18" i="8"/>
  <c r="E18" i="8"/>
  <c r="D18" i="8"/>
  <c r="O20" i="10" s="1"/>
  <c r="B18" i="8"/>
  <c r="N20" i="10" s="1"/>
  <c r="G17" i="8"/>
  <c r="E17" i="8"/>
  <c r="D17" i="8"/>
  <c r="O19" i="10" s="1"/>
  <c r="B17" i="8"/>
  <c r="N19" i="10" s="1"/>
  <c r="G16" i="8"/>
  <c r="E16" i="8"/>
  <c r="D16" i="8"/>
  <c r="O18" i="10" s="1"/>
  <c r="B16" i="8"/>
  <c r="N18" i="10" s="1"/>
  <c r="G15" i="8"/>
  <c r="E15" i="8"/>
  <c r="D15" i="8"/>
  <c r="O17" i="10" s="1"/>
  <c r="B15" i="8"/>
  <c r="N17" i="10" s="1"/>
  <c r="G14" i="8"/>
  <c r="E14" i="8"/>
  <c r="D14" i="8"/>
  <c r="O16" i="10" s="1"/>
  <c r="B14" i="8"/>
  <c r="N16" i="10" s="1"/>
  <c r="G13" i="8"/>
  <c r="E13" i="8"/>
  <c r="D13" i="8"/>
  <c r="O15" i="10" s="1"/>
  <c r="B13" i="8"/>
  <c r="N15" i="10" s="1"/>
  <c r="G12" i="8"/>
  <c r="E12" i="8"/>
  <c r="D12" i="8"/>
  <c r="O14" i="10" s="1"/>
  <c r="B12" i="8"/>
  <c r="N14" i="10" s="1"/>
  <c r="G11" i="8"/>
  <c r="E11" i="8"/>
  <c r="D11" i="8"/>
  <c r="O13" i="10" s="1"/>
  <c r="U13" i="10" s="1"/>
  <c r="B11" i="8"/>
  <c r="N13" i="10" s="1"/>
  <c r="G10" i="8"/>
  <c r="E10" i="8"/>
  <c r="D10" i="8"/>
  <c r="O12" i="10" s="1"/>
  <c r="B10" i="8"/>
  <c r="N12" i="10" s="1"/>
  <c r="G9" i="8"/>
  <c r="E9" i="8"/>
  <c r="D9" i="8"/>
  <c r="O11" i="10" s="1"/>
  <c r="B9" i="8"/>
  <c r="N11" i="10" s="1"/>
  <c r="G8" i="8"/>
  <c r="E8" i="8"/>
  <c r="D8" i="8"/>
  <c r="O10" i="10" s="1"/>
  <c r="U10" i="10" s="1"/>
  <c r="B8" i="8"/>
  <c r="N10" i="10" s="1"/>
  <c r="G7" i="8"/>
  <c r="E7" i="8"/>
  <c r="D7" i="8"/>
  <c r="O9" i="10" s="1"/>
  <c r="V9" i="10" s="1"/>
  <c r="B7" i="8"/>
  <c r="N9" i="10" s="1"/>
  <c r="G6" i="8"/>
  <c r="E6" i="8"/>
  <c r="D6" i="8"/>
  <c r="O8" i="10" s="1"/>
  <c r="B6" i="8"/>
  <c r="N8" i="10" s="1"/>
  <c r="G5" i="8"/>
  <c r="E5" i="8"/>
  <c r="D5" i="8"/>
  <c r="O7" i="10" s="1"/>
  <c r="B5" i="8"/>
  <c r="N7" i="10" s="1"/>
  <c r="Q12" i="10" l="1"/>
  <c r="T12" i="10"/>
  <c r="P12" i="10"/>
  <c r="V12" i="10"/>
  <c r="U12" i="10"/>
  <c r="S12" i="10"/>
  <c r="W12" i="10" s="1"/>
  <c r="R12" i="10"/>
  <c r="T15" i="10"/>
  <c r="Q15" i="10"/>
  <c r="U15" i="10"/>
  <c r="S15" i="10"/>
  <c r="W15" i="10" s="1"/>
  <c r="R15" i="10"/>
  <c r="P15" i="10"/>
  <c r="V15" i="10"/>
  <c r="V27" i="10"/>
  <c r="S27" i="10"/>
  <c r="W27" i="10" s="1"/>
  <c r="P27" i="10"/>
  <c r="U27" i="10"/>
  <c r="T27" i="10"/>
  <c r="R27" i="10"/>
  <c r="Q27" i="10"/>
  <c r="T33" i="10"/>
  <c r="R33" i="10"/>
  <c r="V33" i="10"/>
  <c r="Q33" i="10"/>
  <c r="U33" i="10"/>
  <c r="S33" i="10"/>
  <c r="W33" i="10" s="1"/>
  <c r="P33" i="10"/>
  <c r="K20" i="10"/>
  <c r="E20" i="10"/>
  <c r="E55" i="10"/>
  <c r="K55" i="10"/>
  <c r="K63" i="10"/>
  <c r="E63" i="10"/>
  <c r="U16" i="10"/>
  <c r="P16" i="10"/>
  <c r="T16" i="10"/>
  <c r="S16" i="10"/>
  <c r="W16" i="10" s="1"/>
  <c r="R16" i="10"/>
  <c r="Q16" i="10"/>
  <c r="V16" i="10"/>
  <c r="Q25" i="10"/>
  <c r="V25" i="10"/>
  <c r="U25" i="10"/>
  <c r="T25" i="10"/>
  <c r="S25" i="10"/>
  <c r="W25" i="10" s="1"/>
  <c r="R25" i="10"/>
  <c r="P25" i="10"/>
  <c r="U40" i="10"/>
  <c r="S40" i="10"/>
  <c r="W40" i="10" s="1"/>
  <c r="Q40" i="10"/>
  <c r="V40" i="10"/>
  <c r="T40" i="10"/>
  <c r="R40" i="10"/>
  <c r="P40" i="10"/>
  <c r="U52" i="10"/>
  <c r="S52" i="10"/>
  <c r="W52" i="10" s="1"/>
  <c r="V52" i="10"/>
  <c r="Q52" i="10"/>
  <c r="T52" i="10"/>
  <c r="R52" i="10"/>
  <c r="P52" i="10"/>
  <c r="Q63" i="10"/>
  <c r="T63" i="10"/>
  <c r="P63" i="10"/>
  <c r="V63" i="10"/>
  <c r="U63" i="10"/>
  <c r="S63" i="10"/>
  <c r="W63" i="10" s="1"/>
  <c r="R63" i="10"/>
  <c r="Q8" i="10"/>
  <c r="V8" i="10"/>
  <c r="U8" i="10"/>
  <c r="T8" i="10"/>
  <c r="S8" i="10"/>
  <c r="W8" i="10" s="1"/>
  <c r="R8" i="10"/>
  <c r="P8" i="10"/>
  <c r="V11" i="10"/>
  <c r="T11" i="10"/>
  <c r="Q11" i="10"/>
  <c r="U11" i="10"/>
  <c r="S11" i="10"/>
  <c r="W11" i="10" s="1"/>
  <c r="R11" i="10"/>
  <c r="P11" i="10"/>
  <c r="S14" i="10"/>
  <c r="W14" i="10" s="1"/>
  <c r="U14" i="10"/>
  <c r="Q14" i="10"/>
  <c r="T14" i="10"/>
  <c r="R14" i="10"/>
  <c r="P14" i="10"/>
  <c r="V14" i="10"/>
  <c r="P17" i="10"/>
  <c r="V17" i="10"/>
  <c r="S17" i="10"/>
  <c r="W17" i="10" s="1"/>
  <c r="T17" i="10"/>
  <c r="R17" i="10"/>
  <c r="Q17" i="10"/>
  <c r="U17" i="10"/>
  <c r="V20" i="10"/>
  <c r="S20" i="10"/>
  <c r="W20" i="10" s="1"/>
  <c r="Q20" i="10"/>
  <c r="P20" i="10"/>
  <c r="U20" i="10"/>
  <c r="T20" i="10"/>
  <c r="R20" i="10"/>
  <c r="V23" i="10"/>
  <c r="S23" i="10"/>
  <c r="W23" i="10" s="1"/>
  <c r="P23" i="10"/>
  <c r="U23" i="10"/>
  <c r="T23" i="10"/>
  <c r="R23" i="10"/>
  <c r="Q23" i="10"/>
  <c r="S26" i="10"/>
  <c r="W26" i="10" s="1"/>
  <c r="T26" i="10"/>
  <c r="V26" i="10"/>
  <c r="U26" i="10"/>
  <c r="R26" i="10"/>
  <c r="Q26" i="10"/>
  <c r="P26" i="10"/>
  <c r="P29" i="10"/>
  <c r="U29" i="10"/>
  <c r="V29" i="10"/>
  <c r="T29" i="10"/>
  <c r="S29" i="10"/>
  <c r="W29" i="10" s="1"/>
  <c r="R29" i="10"/>
  <c r="Q29" i="10"/>
  <c r="S38" i="10"/>
  <c r="W38" i="10" s="1"/>
  <c r="Q38" i="10"/>
  <c r="U38" i="10"/>
  <c r="P38" i="10"/>
  <c r="V38" i="10"/>
  <c r="T38" i="10"/>
  <c r="R38" i="10"/>
  <c r="P41" i="10"/>
  <c r="S41" i="10"/>
  <c r="W41" i="10" s="1"/>
  <c r="Q41" i="10"/>
  <c r="V41" i="10"/>
  <c r="U41" i="10"/>
  <c r="T41" i="10"/>
  <c r="R41" i="10"/>
  <c r="P44" i="10"/>
  <c r="V44" i="10"/>
  <c r="S44" i="10"/>
  <c r="W44" i="10" s="1"/>
  <c r="U44" i="10"/>
  <c r="T44" i="10"/>
  <c r="R44" i="10"/>
  <c r="Q44" i="10"/>
  <c r="V47" i="10"/>
  <c r="T47" i="10"/>
  <c r="S47" i="10"/>
  <c r="W47" i="10" s="1"/>
  <c r="P47" i="10"/>
  <c r="U47" i="10"/>
  <c r="R47" i="10"/>
  <c r="Q47" i="10"/>
  <c r="S50" i="10"/>
  <c r="W50" i="10" s="1"/>
  <c r="Q50" i="10"/>
  <c r="V50" i="10"/>
  <c r="U50" i="10"/>
  <c r="T50" i="10"/>
  <c r="R50" i="10"/>
  <c r="P50" i="10"/>
  <c r="P53" i="10"/>
  <c r="S53" i="10"/>
  <c r="W53" i="10" s="1"/>
  <c r="U53" i="10"/>
  <c r="Q53" i="10"/>
  <c r="V53" i="10"/>
  <c r="T53" i="10"/>
  <c r="R53" i="10"/>
  <c r="V59" i="10"/>
  <c r="T59" i="10"/>
  <c r="R59" i="10"/>
  <c r="S59" i="10"/>
  <c r="W59" i="10" s="1"/>
  <c r="U59" i="10"/>
  <c r="Q59" i="10"/>
  <c r="P59" i="10"/>
  <c r="S62" i="10"/>
  <c r="W62" i="10" s="1"/>
  <c r="Q62" i="10"/>
  <c r="V62" i="10"/>
  <c r="R62" i="10"/>
  <c r="U62" i="10"/>
  <c r="T62" i="10"/>
  <c r="P62" i="10"/>
  <c r="P65" i="10"/>
  <c r="S65" i="10"/>
  <c r="W65" i="10" s="1"/>
  <c r="V65" i="10"/>
  <c r="Q65" i="10"/>
  <c r="U65" i="10"/>
  <c r="T65" i="10"/>
  <c r="R65" i="10"/>
  <c r="P68" i="10"/>
  <c r="R68" i="10"/>
  <c r="Q68" i="10"/>
  <c r="V68" i="10"/>
  <c r="U68" i="10"/>
  <c r="S68" i="10"/>
  <c r="W68" i="10" s="1"/>
  <c r="T68" i="10"/>
  <c r="S74" i="10"/>
  <c r="W74" i="10" s="1"/>
  <c r="Q74" i="10"/>
  <c r="V74" i="10"/>
  <c r="T74" i="10"/>
  <c r="U74" i="10"/>
  <c r="R74" i="10"/>
  <c r="P74" i="10"/>
  <c r="E31" i="10"/>
  <c r="K31" i="10"/>
  <c r="E13" i="10"/>
  <c r="K13" i="10"/>
  <c r="E36" i="10"/>
  <c r="K36" i="10"/>
  <c r="T21" i="10"/>
  <c r="U21" i="10"/>
  <c r="Q21" i="10"/>
  <c r="V21" i="10"/>
  <c r="S21" i="10"/>
  <c r="W21" i="10" s="1"/>
  <c r="R21" i="10"/>
  <c r="P21" i="10"/>
  <c r="T39" i="10"/>
  <c r="Q39" i="10"/>
  <c r="V39" i="10"/>
  <c r="U39" i="10"/>
  <c r="S39" i="10"/>
  <c r="W39" i="10" s="1"/>
  <c r="R39" i="10"/>
  <c r="P39" i="10"/>
  <c r="E67" i="10"/>
  <c r="K67" i="10"/>
  <c r="K37" i="10"/>
  <c r="E37" i="10"/>
  <c r="K19" i="10"/>
  <c r="E19" i="10"/>
  <c r="T18" i="10"/>
  <c r="Q18" i="10"/>
  <c r="R18" i="10"/>
  <c r="P18" i="10"/>
  <c r="V18" i="10"/>
  <c r="U18" i="10"/>
  <c r="S18" i="10"/>
  <c r="W18" i="10" s="1"/>
  <c r="V30" i="10"/>
  <c r="S30" i="10"/>
  <c r="W30" i="10" s="1"/>
  <c r="P30" i="10"/>
  <c r="U30" i="10"/>
  <c r="T30" i="10"/>
  <c r="R30" i="10"/>
  <c r="Q30" i="10"/>
  <c r="Q51" i="10"/>
  <c r="T51" i="10"/>
  <c r="V51" i="10"/>
  <c r="U51" i="10"/>
  <c r="S51" i="10"/>
  <c r="W51" i="10" s="1"/>
  <c r="R51" i="10"/>
  <c r="P51" i="10"/>
  <c r="R7" i="10"/>
  <c r="U7" i="10"/>
  <c r="V7" i="10"/>
  <c r="T7" i="10"/>
  <c r="S7" i="10"/>
  <c r="W7" i="10" s="1"/>
  <c r="Q7" i="10"/>
  <c r="P7" i="10"/>
  <c r="R19" i="10"/>
  <c r="P19" i="10"/>
  <c r="S19" i="10"/>
  <c r="W19" i="10" s="1"/>
  <c r="Q19" i="10"/>
  <c r="V19" i="10"/>
  <c r="U19" i="10"/>
  <c r="T19" i="10"/>
  <c r="V37" i="10"/>
  <c r="S37" i="10"/>
  <c r="W37" i="10" s="1"/>
  <c r="U37" i="10"/>
  <c r="T37" i="10"/>
  <c r="R37" i="10"/>
  <c r="Q37" i="10"/>
  <c r="P37" i="10"/>
  <c r="R43" i="10"/>
  <c r="P43" i="10"/>
  <c r="U43" i="10"/>
  <c r="V43" i="10"/>
  <c r="T43" i="10"/>
  <c r="S43" i="10"/>
  <c r="W43" i="10" s="1"/>
  <c r="Q43" i="10"/>
  <c r="R55" i="10"/>
  <c r="P55" i="10"/>
  <c r="U55" i="10"/>
  <c r="V55" i="10"/>
  <c r="Q55" i="10"/>
  <c r="T55" i="10"/>
  <c r="S55" i="10"/>
  <c r="W55" i="10" s="1"/>
  <c r="U64" i="10"/>
  <c r="S64" i="10"/>
  <c r="W64" i="10" s="1"/>
  <c r="Q64" i="10"/>
  <c r="V64" i="10"/>
  <c r="T64" i="10"/>
  <c r="R64" i="10"/>
  <c r="P64" i="10"/>
  <c r="R67" i="10"/>
  <c r="P67" i="10"/>
  <c r="U67" i="10"/>
  <c r="T67" i="10"/>
  <c r="S67" i="10"/>
  <c r="W67" i="10" s="1"/>
  <c r="V67" i="10"/>
  <c r="Q67" i="10"/>
  <c r="R85" i="10"/>
  <c r="U85" i="10"/>
  <c r="S85" i="10"/>
  <c r="W85" i="10" s="1"/>
  <c r="Q85" i="10"/>
  <c r="P85" i="10"/>
  <c r="V85" i="10"/>
  <c r="T85" i="10"/>
  <c r="Q24" i="10"/>
  <c r="V24" i="10"/>
  <c r="S24" i="10"/>
  <c r="W24" i="10" s="1"/>
  <c r="Q36" i="10"/>
  <c r="P36" i="10"/>
  <c r="U42" i="10"/>
  <c r="V42" i="10"/>
  <c r="U54" i="10"/>
  <c r="V54" i="10"/>
  <c r="R54" i="10"/>
  <c r="T57" i="10"/>
  <c r="R57" i="10"/>
  <c r="V57" i="10"/>
  <c r="U66" i="10"/>
  <c r="T66" i="10"/>
  <c r="S66" i="10"/>
  <c r="W66" i="10" s="1"/>
  <c r="V66" i="10"/>
  <c r="T69" i="10"/>
  <c r="R69" i="10"/>
  <c r="S69" i="10"/>
  <c r="W69" i="10" s="1"/>
  <c r="Q69" i="10"/>
  <c r="Q72" i="10"/>
  <c r="T72" i="10"/>
  <c r="R72" i="10"/>
  <c r="V81" i="10"/>
  <c r="U81" i="10"/>
  <c r="S81" i="10"/>
  <c r="W81" i="10" s="1"/>
  <c r="T81" i="10"/>
  <c r="Q81" i="10"/>
  <c r="P81" i="10"/>
  <c r="O127" i="10"/>
  <c r="B125" i="8"/>
  <c r="N127" i="10" s="1"/>
  <c r="V140" i="10"/>
  <c r="U140" i="10"/>
  <c r="T140" i="10"/>
  <c r="S140" i="10"/>
  <c r="W140" i="10" s="1"/>
  <c r="R140" i="10"/>
  <c r="Q140" i="10"/>
  <c r="P140" i="10"/>
  <c r="R22" i="10"/>
  <c r="R24" i="10"/>
  <c r="P28" i="10"/>
  <c r="K42" i="10"/>
  <c r="Q45" i="10"/>
  <c r="K53" i="10"/>
  <c r="Q54" i="10"/>
  <c r="Q61" i="10"/>
  <c r="K66" i="10"/>
  <c r="E81" i="10"/>
  <c r="K81" i="10"/>
  <c r="O121" i="10"/>
  <c r="B119" i="8"/>
  <c r="N121" i="10" s="1"/>
  <c r="T124" i="10"/>
  <c r="S124" i="10"/>
  <c r="W124" i="10" s="1"/>
  <c r="R124" i="10"/>
  <c r="Q124" i="10"/>
  <c r="P124" i="10"/>
  <c r="V124" i="10"/>
  <c r="U124" i="10"/>
  <c r="R137" i="10"/>
  <c r="V137" i="10"/>
  <c r="U137" i="10"/>
  <c r="T137" i="10"/>
  <c r="S137" i="10"/>
  <c r="W137" i="10" s="1"/>
  <c r="Q137" i="10"/>
  <c r="P137" i="10"/>
  <c r="S22" i="10"/>
  <c r="W22" i="10" s="1"/>
  <c r="T24" i="10"/>
  <c r="Q28" i="10"/>
  <c r="P42" i="10"/>
  <c r="U45" i="10"/>
  <c r="S54" i="10"/>
  <c r="W54" i="10" s="1"/>
  <c r="R61" i="10"/>
  <c r="P66" i="10"/>
  <c r="O118" i="10"/>
  <c r="B116" i="8"/>
  <c r="N118" i="10" s="1"/>
  <c r="U134" i="10"/>
  <c r="R134" i="10"/>
  <c r="Q134" i="10"/>
  <c r="P134" i="10"/>
  <c r="S134" i="10"/>
  <c r="W134" i="10" s="1"/>
  <c r="V134" i="10"/>
  <c r="T134" i="10"/>
  <c r="P147" i="10"/>
  <c r="V147" i="10"/>
  <c r="U147" i="10"/>
  <c r="T147" i="10"/>
  <c r="S147" i="10"/>
  <c r="W147" i="10" s="1"/>
  <c r="R147" i="10"/>
  <c r="Q147" i="10"/>
  <c r="E16" i="10"/>
  <c r="K16" i="10"/>
  <c r="T22" i="10"/>
  <c r="U24" i="10"/>
  <c r="E34" i="10"/>
  <c r="K40" i="10"/>
  <c r="Q42" i="10"/>
  <c r="E48" i="10"/>
  <c r="K51" i="10"/>
  <c r="T54" i="10"/>
  <c r="Q66" i="10"/>
  <c r="P69" i="10"/>
  <c r="K71" i="10"/>
  <c r="E71" i="10"/>
  <c r="P75" i="10"/>
  <c r="K84" i="10"/>
  <c r="E84" i="10"/>
  <c r="U28" i="10"/>
  <c r="R28" i="10"/>
  <c r="R31" i="10"/>
  <c r="S31" i="10"/>
  <c r="W31" i="10" s="1"/>
  <c r="V34" i="10"/>
  <c r="S34" i="10"/>
  <c r="W34" i="10" s="1"/>
  <c r="P34" i="10"/>
  <c r="R46" i="10"/>
  <c r="V46" i="10"/>
  <c r="S46" i="10"/>
  <c r="W46" i="10" s="1"/>
  <c r="V49" i="10"/>
  <c r="P49" i="10"/>
  <c r="R58" i="10"/>
  <c r="U58" i="10"/>
  <c r="V58" i="10"/>
  <c r="V61" i="10"/>
  <c r="S61" i="10"/>
  <c r="W61" i="10" s="1"/>
  <c r="P61" i="10"/>
  <c r="R70" i="10"/>
  <c r="V70" i="10"/>
  <c r="S70" i="10"/>
  <c r="W70" i="10" s="1"/>
  <c r="Q70" i="10"/>
  <c r="V73" i="10"/>
  <c r="U73" i="10"/>
  <c r="T73" i="10"/>
  <c r="P73" i="10"/>
  <c r="V76" i="10"/>
  <c r="T76" i="10"/>
  <c r="U76" i="10"/>
  <c r="S76" i="10"/>
  <c r="W76" i="10" s="1"/>
  <c r="T79" i="10"/>
  <c r="P79" i="10"/>
  <c r="V79" i="10"/>
  <c r="U79" i="10"/>
  <c r="R79" i="10"/>
  <c r="Q79" i="10"/>
  <c r="Q82" i="10"/>
  <c r="U82" i="10"/>
  <c r="S82" i="10"/>
  <c r="W82" i="10" s="1"/>
  <c r="P82" i="10"/>
  <c r="T82" i="10"/>
  <c r="V82" i="10"/>
  <c r="R82" i="10"/>
  <c r="Q88" i="10"/>
  <c r="V88" i="10"/>
  <c r="T88" i="10"/>
  <c r="S88" i="10"/>
  <c r="W88" i="10" s="1"/>
  <c r="R88" i="10"/>
  <c r="P88" i="10"/>
  <c r="T91" i="10"/>
  <c r="Q91" i="10"/>
  <c r="U91" i="10"/>
  <c r="R91" i="10"/>
  <c r="V91" i="10"/>
  <c r="S91" i="10"/>
  <c r="W91" i="10" s="1"/>
  <c r="P91" i="10"/>
  <c r="Q94" i="10"/>
  <c r="U94" i="10"/>
  <c r="S94" i="10"/>
  <c r="W94" i="10" s="1"/>
  <c r="T94" i="10"/>
  <c r="P94" i="10"/>
  <c r="V94" i="10"/>
  <c r="R94" i="10"/>
  <c r="V97" i="10"/>
  <c r="U97" i="10"/>
  <c r="T97" i="10"/>
  <c r="S97" i="10"/>
  <c r="W97" i="10" s="1"/>
  <c r="R97" i="10"/>
  <c r="P97" i="10"/>
  <c r="Q97" i="10"/>
  <c r="T100" i="10"/>
  <c r="S100" i="10"/>
  <c r="W100" i="10" s="1"/>
  <c r="R100" i="10"/>
  <c r="Q100" i="10"/>
  <c r="P100" i="10"/>
  <c r="U100" i="10"/>
  <c r="V100" i="10"/>
  <c r="T103" i="10"/>
  <c r="Q103" i="10"/>
  <c r="P103" i="10"/>
  <c r="V103" i="10"/>
  <c r="U103" i="10"/>
  <c r="S103" i="10"/>
  <c r="W103" i="10" s="1"/>
  <c r="R103" i="10"/>
  <c r="Q106" i="10"/>
  <c r="V106" i="10"/>
  <c r="U106" i="10"/>
  <c r="S106" i="10"/>
  <c r="W106" i="10" s="1"/>
  <c r="T106" i="10"/>
  <c r="P106" i="10"/>
  <c r="R106" i="10"/>
  <c r="V109" i="10"/>
  <c r="U109" i="10"/>
  <c r="T109" i="10"/>
  <c r="S109" i="10"/>
  <c r="W109" i="10" s="1"/>
  <c r="R109" i="10"/>
  <c r="P109" i="10"/>
  <c r="Q109" i="10"/>
  <c r="T112" i="10"/>
  <c r="S112" i="10"/>
  <c r="W112" i="10" s="1"/>
  <c r="R112" i="10"/>
  <c r="Q112" i="10"/>
  <c r="P112" i="10"/>
  <c r="V112" i="10"/>
  <c r="U112" i="10"/>
  <c r="T115" i="10"/>
  <c r="Q115" i="10"/>
  <c r="P115" i="10"/>
  <c r="V115" i="10"/>
  <c r="U115" i="10"/>
  <c r="R115" i="10"/>
  <c r="S115" i="10"/>
  <c r="W115" i="10" s="1"/>
  <c r="B126" i="8"/>
  <c r="N128" i="10" s="1"/>
  <c r="U131" i="10"/>
  <c r="T131" i="10"/>
  <c r="S131" i="10"/>
  <c r="W131" i="10" s="1"/>
  <c r="R131" i="10"/>
  <c r="Q131" i="10"/>
  <c r="P131" i="10"/>
  <c r="V131" i="10"/>
  <c r="S144" i="10"/>
  <c r="W144" i="10" s="1"/>
  <c r="R144" i="10"/>
  <c r="Q144" i="10"/>
  <c r="P144" i="10"/>
  <c r="V144" i="10"/>
  <c r="U144" i="10"/>
  <c r="T144" i="10"/>
  <c r="P9" i="10"/>
  <c r="K10" i="10"/>
  <c r="E15" i="10"/>
  <c r="U22" i="10"/>
  <c r="T28" i="10"/>
  <c r="R42" i="10"/>
  <c r="E47" i="10"/>
  <c r="E56" i="10"/>
  <c r="S60" i="10"/>
  <c r="W60" i="10" s="1"/>
  <c r="U61" i="10"/>
  <c r="R66" i="10"/>
  <c r="U69" i="10"/>
  <c r="R73" i="10"/>
  <c r="R75" i="10"/>
  <c r="R81" i="10"/>
  <c r="U88" i="10"/>
  <c r="V128" i="10"/>
  <c r="U128" i="10"/>
  <c r="T128" i="10"/>
  <c r="S128" i="10"/>
  <c r="W128" i="10" s="1"/>
  <c r="Q128" i="10"/>
  <c r="R128" i="10"/>
  <c r="P128" i="10"/>
  <c r="V141" i="10"/>
  <c r="U141" i="10"/>
  <c r="S141" i="10"/>
  <c r="W141" i="10" s="1"/>
  <c r="R141" i="10"/>
  <c r="Q141" i="10"/>
  <c r="P141" i="10"/>
  <c r="T141" i="10"/>
  <c r="S42" i="10"/>
  <c r="W42" i="10" s="1"/>
  <c r="P58" i="10"/>
  <c r="V69" i="10"/>
  <c r="P72" i="10"/>
  <c r="S73" i="10"/>
  <c r="W73" i="10" s="1"/>
  <c r="U122" i="10"/>
  <c r="R122" i="10"/>
  <c r="Q122" i="10"/>
  <c r="P122" i="10"/>
  <c r="V122" i="10"/>
  <c r="T122" i="10"/>
  <c r="S122" i="10"/>
  <c r="W122" i="10" s="1"/>
  <c r="R125" i="10"/>
  <c r="V125" i="10"/>
  <c r="T125" i="10"/>
  <c r="U125" i="10"/>
  <c r="S125" i="10"/>
  <c r="W125" i="10" s="1"/>
  <c r="Q125" i="10"/>
  <c r="P125" i="10"/>
  <c r="V138" i="10"/>
  <c r="U138" i="10"/>
  <c r="T138" i="10"/>
  <c r="S138" i="10"/>
  <c r="W138" i="10" s="1"/>
  <c r="R138" i="10"/>
  <c r="Q138" i="10"/>
  <c r="P138" i="10"/>
  <c r="S9" i="10"/>
  <c r="W9" i="10" s="1"/>
  <c r="Q10" i="10"/>
  <c r="K23" i="10"/>
  <c r="E23" i="10"/>
  <c r="Q31" i="10"/>
  <c r="P32" i="10"/>
  <c r="T42" i="10"/>
  <c r="Q58" i="10"/>
  <c r="S72" i="10"/>
  <c r="W72" i="10" s="1"/>
  <c r="K74" i="10"/>
  <c r="E74" i="10"/>
  <c r="S79" i="10"/>
  <c r="W79" i="10" s="1"/>
  <c r="U119" i="10"/>
  <c r="T119" i="10"/>
  <c r="S119" i="10"/>
  <c r="W119" i="10" s="1"/>
  <c r="R119" i="10"/>
  <c r="Q119" i="10"/>
  <c r="P119" i="10"/>
  <c r="V119" i="10"/>
  <c r="P135" i="10"/>
  <c r="V135" i="10"/>
  <c r="U135" i="10"/>
  <c r="T135" i="10"/>
  <c r="S135" i="10"/>
  <c r="W135" i="10" s="1"/>
  <c r="R135" i="10"/>
  <c r="Q135" i="10"/>
  <c r="O145" i="10"/>
  <c r="B143" i="8"/>
  <c r="N145" i="10" s="1"/>
  <c r="V148" i="10"/>
  <c r="U148" i="10"/>
  <c r="T148" i="10"/>
  <c r="S148" i="10"/>
  <c r="W148" i="10" s="1"/>
  <c r="R148" i="10"/>
  <c r="Q148" i="10"/>
  <c r="P148" i="10"/>
  <c r="E7" i="10"/>
  <c r="U9" i="10"/>
  <c r="R10" i="10"/>
  <c r="P13" i="10"/>
  <c r="K17" i="10"/>
  <c r="E21" i="10"/>
  <c r="E25" i="10"/>
  <c r="T31" i="10"/>
  <c r="Q32" i="10"/>
  <c r="E43" i="10"/>
  <c r="K43" i="10"/>
  <c r="E44" i="10"/>
  <c r="P48" i="10"/>
  <c r="Q49" i="10"/>
  <c r="K57" i="10"/>
  <c r="S58" i="10"/>
  <c r="W58" i="10" s="1"/>
  <c r="E70" i="10"/>
  <c r="U72" i="10"/>
  <c r="V35" i="10"/>
  <c r="T35" i="10"/>
  <c r="R35" i="10"/>
  <c r="P56" i="10"/>
  <c r="S56" i="10"/>
  <c r="W56" i="10" s="1"/>
  <c r="V71" i="10"/>
  <c r="T71" i="10"/>
  <c r="S71" i="10"/>
  <c r="W71" i="10" s="1"/>
  <c r="P71" i="10"/>
  <c r="R77" i="10"/>
  <c r="V77" i="10"/>
  <c r="T77" i="10"/>
  <c r="Q77" i="10"/>
  <c r="U77" i="10"/>
  <c r="P77" i="10"/>
  <c r="S80" i="10"/>
  <c r="W80" i="10" s="1"/>
  <c r="V80" i="10"/>
  <c r="U80" i="10"/>
  <c r="T80" i="10"/>
  <c r="Q80" i="10"/>
  <c r="P80" i="10"/>
  <c r="P83" i="10"/>
  <c r="S83" i="10"/>
  <c r="W83" i="10" s="1"/>
  <c r="Q83" i="10"/>
  <c r="R83" i="10"/>
  <c r="V83" i="10"/>
  <c r="U83" i="10"/>
  <c r="T83" i="10"/>
  <c r="U86" i="10"/>
  <c r="T86" i="10"/>
  <c r="R86" i="10"/>
  <c r="V86" i="10"/>
  <c r="S86" i="10"/>
  <c r="W86" i="10" s="1"/>
  <c r="P86" i="10"/>
  <c r="R89" i="10"/>
  <c r="V89" i="10"/>
  <c r="U89" i="10"/>
  <c r="T89" i="10"/>
  <c r="S89" i="10"/>
  <c r="W89" i="10" s="1"/>
  <c r="Q89" i="10"/>
  <c r="P89" i="10"/>
  <c r="S92" i="10"/>
  <c r="W92" i="10" s="1"/>
  <c r="Q92" i="10"/>
  <c r="T92" i="10"/>
  <c r="P92" i="10"/>
  <c r="V92" i="10"/>
  <c r="U92" i="10"/>
  <c r="R92" i="10"/>
  <c r="T95" i="10"/>
  <c r="S95" i="10"/>
  <c r="W95" i="10" s="1"/>
  <c r="R95" i="10"/>
  <c r="P95" i="10"/>
  <c r="V95" i="10"/>
  <c r="Q95" i="10"/>
  <c r="U95" i="10"/>
  <c r="U98" i="10"/>
  <c r="R98" i="10"/>
  <c r="Q98" i="10"/>
  <c r="P98" i="10"/>
  <c r="V98" i="10"/>
  <c r="T98" i="10"/>
  <c r="S98" i="10"/>
  <c r="W98" i="10" s="1"/>
  <c r="R101" i="10"/>
  <c r="V101" i="10"/>
  <c r="T101" i="10"/>
  <c r="S101" i="10"/>
  <c r="W101" i="10" s="1"/>
  <c r="Q101" i="10"/>
  <c r="U101" i="10"/>
  <c r="P101" i="10"/>
  <c r="V104" i="10"/>
  <c r="U104" i="10"/>
  <c r="T104" i="10"/>
  <c r="S104" i="10"/>
  <c r="W104" i="10" s="1"/>
  <c r="Q104" i="10"/>
  <c r="R104" i="10"/>
  <c r="P104" i="10"/>
  <c r="U107" i="10"/>
  <c r="T107" i="10"/>
  <c r="S107" i="10"/>
  <c r="W107" i="10" s="1"/>
  <c r="R107" i="10"/>
  <c r="Q107" i="10"/>
  <c r="P107" i="10"/>
  <c r="V107" i="10"/>
  <c r="U110" i="10"/>
  <c r="R110" i="10"/>
  <c r="Q110" i="10"/>
  <c r="P110" i="10"/>
  <c r="V110" i="10"/>
  <c r="T110" i="10"/>
  <c r="S110" i="10"/>
  <c r="W110" i="10" s="1"/>
  <c r="R113" i="10"/>
  <c r="V113" i="10"/>
  <c r="T113" i="10"/>
  <c r="S113" i="10"/>
  <c r="W113" i="10" s="1"/>
  <c r="Q113" i="10"/>
  <c r="P113" i="10"/>
  <c r="U113" i="10"/>
  <c r="V116" i="10"/>
  <c r="U116" i="10"/>
  <c r="T116" i="10"/>
  <c r="S116" i="10"/>
  <c r="W116" i="10" s="1"/>
  <c r="Q116" i="10"/>
  <c r="R116" i="10"/>
  <c r="P116" i="10"/>
  <c r="B127" i="8"/>
  <c r="N129" i="10" s="1"/>
  <c r="S132" i="10"/>
  <c r="W132" i="10" s="1"/>
  <c r="P132" i="10"/>
  <c r="V132" i="10"/>
  <c r="U132" i="10"/>
  <c r="R132" i="10"/>
  <c r="Q132" i="10"/>
  <c r="T132" i="10"/>
  <c r="O142" i="10"/>
  <c r="B140" i="8"/>
  <c r="N142" i="10" s="1"/>
  <c r="S10" i="10"/>
  <c r="W10" i="10" s="1"/>
  <c r="Q13" i="10"/>
  <c r="E22" i="10"/>
  <c r="E26" i="10"/>
  <c r="U31" i="10"/>
  <c r="R32" i="10"/>
  <c r="Q34" i="10"/>
  <c r="P35" i="10"/>
  <c r="R36" i="10"/>
  <c r="S48" i="10"/>
  <c r="W48" i="10" s="1"/>
  <c r="R49" i="10"/>
  <c r="T58" i="10"/>
  <c r="Q71" i="10"/>
  <c r="V72" i="10"/>
  <c r="V129" i="10"/>
  <c r="S129" i="10"/>
  <c r="W129" i="10" s="1"/>
  <c r="R129" i="10"/>
  <c r="Q129" i="10"/>
  <c r="P129" i="10"/>
  <c r="U129" i="10"/>
  <c r="T129" i="10"/>
  <c r="O139" i="10"/>
  <c r="B137" i="8"/>
  <c r="N139" i="10" s="1"/>
  <c r="E8" i="10"/>
  <c r="T10" i="10"/>
  <c r="R13" i="10"/>
  <c r="V31" i="10"/>
  <c r="S32" i="10"/>
  <c r="W32" i="10" s="1"/>
  <c r="R34" i="10"/>
  <c r="Q35" i="10"/>
  <c r="S36" i="10"/>
  <c r="W36" i="10" s="1"/>
  <c r="P46" i="10"/>
  <c r="U48" i="10"/>
  <c r="S49" i="10"/>
  <c r="W49" i="10" s="1"/>
  <c r="Q56" i="10"/>
  <c r="P57" i="10"/>
  <c r="R71" i="10"/>
  <c r="P123" i="10"/>
  <c r="V123" i="10"/>
  <c r="U123" i="10"/>
  <c r="T123" i="10"/>
  <c r="R123" i="10"/>
  <c r="S123" i="10"/>
  <c r="W123" i="10" s="1"/>
  <c r="Q123" i="10"/>
  <c r="V126" i="10"/>
  <c r="U126" i="10"/>
  <c r="T126" i="10"/>
  <c r="S126" i="10"/>
  <c r="W126" i="10" s="1"/>
  <c r="R126" i="10"/>
  <c r="Q126" i="10"/>
  <c r="P126" i="10"/>
  <c r="O136" i="10"/>
  <c r="B134" i="8"/>
  <c r="N136" i="10" s="1"/>
  <c r="V10" i="10"/>
  <c r="S13" i="10"/>
  <c r="W13" i="10" s="1"/>
  <c r="K24" i="10"/>
  <c r="T32" i="10"/>
  <c r="T34" i="10"/>
  <c r="S35" i="10"/>
  <c r="W35" i="10" s="1"/>
  <c r="T36" i="10"/>
  <c r="K45" i="10"/>
  <c r="Q46" i="10"/>
  <c r="T49" i="10"/>
  <c r="R56" i="10"/>
  <c r="Q57" i="10"/>
  <c r="K69" i="10"/>
  <c r="E69" i="10"/>
  <c r="U71" i="10"/>
  <c r="S120" i="10"/>
  <c r="W120" i="10" s="1"/>
  <c r="P120" i="10"/>
  <c r="U120" i="10"/>
  <c r="V120" i="10"/>
  <c r="T120" i="10"/>
  <c r="R120" i="10"/>
  <c r="Q120" i="10"/>
  <c r="O133" i="10"/>
  <c r="B131" i="8"/>
  <c r="N133" i="10" s="1"/>
  <c r="U146" i="10"/>
  <c r="T146" i="10"/>
  <c r="S146" i="10"/>
  <c r="W146" i="10" s="1"/>
  <c r="R146" i="10"/>
  <c r="Q146" i="10"/>
  <c r="P146" i="10"/>
  <c r="V146" i="10"/>
  <c r="T13" i="10"/>
  <c r="K27" i="10"/>
  <c r="K28" i="10"/>
  <c r="V32" i="10"/>
  <c r="U34" i="10"/>
  <c r="U35" i="10"/>
  <c r="U36" i="10"/>
  <c r="T46" i="10"/>
  <c r="U49" i="10"/>
  <c r="K54" i="10"/>
  <c r="T56" i="10"/>
  <c r="S57" i="10"/>
  <c r="W57" i="10" s="1"/>
  <c r="P70" i="10"/>
  <c r="P76" i="10"/>
  <c r="K83" i="10"/>
  <c r="E83" i="10"/>
  <c r="T9" i="10"/>
  <c r="R9" i="10"/>
  <c r="T45" i="10"/>
  <c r="R45" i="10"/>
  <c r="S45" i="10"/>
  <c r="W45" i="10" s="1"/>
  <c r="Q48" i="10"/>
  <c r="T48" i="10"/>
  <c r="R48" i="10"/>
  <c r="Q60" i="10"/>
  <c r="T60" i="10"/>
  <c r="P60" i="10"/>
  <c r="V60" i="10"/>
  <c r="R60" i="10"/>
  <c r="Q75" i="10"/>
  <c r="U75" i="10"/>
  <c r="T75" i="10"/>
  <c r="V75" i="10"/>
  <c r="Q78" i="10"/>
  <c r="R78" i="10"/>
  <c r="U78" i="10"/>
  <c r="S78" i="10"/>
  <c r="W78" i="10" s="1"/>
  <c r="V78" i="10"/>
  <c r="P78" i="10"/>
  <c r="S84" i="10"/>
  <c r="W84" i="10" s="1"/>
  <c r="Q84" i="10"/>
  <c r="P84" i="10"/>
  <c r="V84" i="10"/>
  <c r="U84" i="10"/>
  <c r="T84" i="10"/>
  <c r="R84" i="10"/>
  <c r="P87" i="10"/>
  <c r="T87" i="10"/>
  <c r="Q87" i="10"/>
  <c r="U87" i="10"/>
  <c r="R87" i="10"/>
  <c r="S87" i="10"/>
  <c r="W87" i="10" s="1"/>
  <c r="Q90" i="10"/>
  <c r="V90" i="10"/>
  <c r="T90" i="10"/>
  <c r="U90" i="10"/>
  <c r="S90" i="10"/>
  <c r="W90" i="10" s="1"/>
  <c r="R90" i="10"/>
  <c r="P90" i="10"/>
  <c r="V93" i="10"/>
  <c r="R93" i="10"/>
  <c r="S93" i="10"/>
  <c r="W93" i="10" s="1"/>
  <c r="P93" i="10"/>
  <c r="T93" i="10"/>
  <c r="Q93" i="10"/>
  <c r="U93" i="10"/>
  <c r="S96" i="10"/>
  <c r="W96" i="10" s="1"/>
  <c r="U96" i="10"/>
  <c r="T96" i="10"/>
  <c r="Q96" i="10"/>
  <c r="V96" i="10"/>
  <c r="R96" i="10"/>
  <c r="P96" i="10"/>
  <c r="P99" i="10"/>
  <c r="V99" i="10"/>
  <c r="U99" i="10"/>
  <c r="T99" i="10"/>
  <c r="R99" i="10"/>
  <c r="S99" i="10"/>
  <c r="W99" i="10" s="1"/>
  <c r="Q99" i="10"/>
  <c r="V102" i="10"/>
  <c r="U102" i="10"/>
  <c r="T102" i="10"/>
  <c r="S102" i="10"/>
  <c r="W102" i="10" s="1"/>
  <c r="R102" i="10"/>
  <c r="Q102" i="10"/>
  <c r="P102" i="10"/>
  <c r="V105" i="10"/>
  <c r="S105" i="10"/>
  <c r="W105" i="10" s="1"/>
  <c r="R105" i="10"/>
  <c r="Q105" i="10"/>
  <c r="P105" i="10"/>
  <c r="U105" i="10"/>
  <c r="T105" i="10"/>
  <c r="S108" i="10"/>
  <c r="W108" i="10" s="1"/>
  <c r="P108" i="10"/>
  <c r="U108" i="10"/>
  <c r="V108" i="10"/>
  <c r="T108" i="10"/>
  <c r="Q108" i="10"/>
  <c r="R108" i="10"/>
  <c r="P111" i="10"/>
  <c r="V111" i="10"/>
  <c r="U111" i="10"/>
  <c r="T111" i="10"/>
  <c r="R111" i="10"/>
  <c r="Q111" i="10"/>
  <c r="S111" i="10"/>
  <c r="W111" i="10" s="1"/>
  <c r="V114" i="10"/>
  <c r="U114" i="10"/>
  <c r="T114" i="10"/>
  <c r="S114" i="10"/>
  <c r="W114" i="10" s="1"/>
  <c r="R114" i="10"/>
  <c r="Q114" i="10"/>
  <c r="P114" i="10"/>
  <c r="V117" i="10"/>
  <c r="S117" i="10"/>
  <c r="W117" i="10" s="1"/>
  <c r="R117" i="10"/>
  <c r="Q117" i="10"/>
  <c r="P117" i="10"/>
  <c r="U117" i="10"/>
  <c r="T117" i="10"/>
  <c r="O130" i="10"/>
  <c r="B128" i="8"/>
  <c r="N130" i="10" s="1"/>
  <c r="B138" i="8"/>
  <c r="N140" i="10" s="1"/>
  <c r="V143" i="10"/>
  <c r="U143" i="10"/>
  <c r="T143" i="10"/>
  <c r="S143" i="10"/>
  <c r="W143" i="10" s="1"/>
  <c r="R143" i="10"/>
  <c r="Q143" i="10"/>
  <c r="P143" i="10"/>
  <c r="V13" i="10"/>
  <c r="P22" i="10"/>
  <c r="P24" i="10"/>
  <c r="V36" i="10"/>
  <c r="E39" i="10"/>
  <c r="P45" i="10"/>
  <c r="U46" i="10"/>
  <c r="P54" i="10"/>
  <c r="U56" i="10"/>
  <c r="U57" i="10"/>
  <c r="E59" i="10"/>
  <c r="T70" i="10"/>
  <c r="E72" i="10"/>
  <c r="K72" i="10"/>
  <c r="K75" i="10"/>
  <c r="E75" i="10"/>
  <c r="Q76" i="10"/>
  <c r="T78" i="10"/>
  <c r="R80" i="10"/>
  <c r="E88" i="10"/>
  <c r="E89" i="10"/>
  <c r="K114" i="10"/>
  <c r="E114" i="10"/>
  <c r="E86" i="10"/>
  <c r="K86" i="10"/>
  <c r="K91" i="10"/>
  <c r="K77" i="10"/>
  <c r="K96" i="10"/>
  <c r="E96" i="10"/>
  <c r="E98" i="10"/>
  <c r="K98" i="10"/>
  <c r="E93" i="10"/>
  <c r="K85" i="10"/>
  <c r="E134" i="10"/>
  <c r="K134" i="10"/>
  <c r="E122" i="10"/>
  <c r="K122" i="10"/>
  <c r="E79" i="10"/>
  <c r="E78" i="10"/>
  <c r="K90" i="10"/>
  <c r="E90" i="10"/>
  <c r="K99" i="10"/>
  <c r="E99" i="10"/>
  <c r="K111" i="10"/>
  <c r="E111" i="10"/>
  <c r="K108" i="10"/>
  <c r="E108" i="10"/>
  <c r="K131" i="10"/>
  <c r="K135" i="10"/>
  <c r="E135" i="10"/>
  <c r="E146" i="10"/>
  <c r="K146" i="10"/>
  <c r="K130" i="10"/>
  <c r="E130" i="10"/>
  <c r="K137" i="10"/>
  <c r="E137" i="10"/>
  <c r="E141" i="10"/>
  <c r="K141" i="10"/>
  <c r="E110" i="10"/>
  <c r="K110" i="10"/>
  <c r="K133" i="10"/>
  <c r="K102" i="10"/>
  <c r="E102" i="10"/>
  <c r="E124" i="10"/>
  <c r="E127" i="10"/>
  <c r="K143" i="10"/>
  <c r="K94" i="10"/>
  <c r="E94" i="10"/>
  <c r="E113" i="10"/>
  <c r="K132" i="10"/>
  <c r="E132" i="10"/>
  <c r="K144" i="10"/>
  <c r="E144" i="10"/>
  <c r="K147" i="10"/>
  <c r="E147" i="10"/>
  <c r="K118" i="10"/>
  <c r="E118" i="10"/>
  <c r="K123" i="10"/>
  <c r="E123" i="10"/>
  <c r="E129" i="10"/>
  <c r="K142" i="10"/>
  <c r="E142" i="10"/>
  <c r="E112" i="10"/>
  <c r="E115" i="10"/>
  <c r="K121" i="10"/>
  <c r="K126" i="10"/>
  <c r="E126" i="10"/>
  <c r="E136" i="10"/>
  <c r="E148" i="10"/>
  <c r="K148" i="10"/>
  <c r="E101" i="10"/>
  <c r="K120" i="10"/>
  <c r="E120" i="10"/>
  <c r="K138" i="10"/>
  <c r="E138" i="10"/>
  <c r="K145" i="10"/>
  <c r="E145" i="10"/>
  <c r="K104" i="10"/>
  <c r="K106" i="10"/>
  <c r="E106" i="10"/>
  <c r="T127" i="10" l="1"/>
  <c r="Q127" i="10"/>
  <c r="P127" i="10"/>
  <c r="V127" i="10"/>
  <c r="U127" i="10"/>
  <c r="S127" i="10"/>
  <c r="W127" i="10" s="1"/>
  <c r="R127" i="10"/>
  <c r="V133" i="10"/>
  <c r="U133" i="10"/>
  <c r="T133" i="10"/>
  <c r="S133" i="10"/>
  <c r="W133" i="10" s="1"/>
  <c r="R133" i="10"/>
  <c r="Q133" i="10"/>
  <c r="P133" i="10"/>
  <c r="T136" i="10"/>
  <c r="S136" i="10"/>
  <c r="W136" i="10" s="1"/>
  <c r="R136" i="10"/>
  <c r="Q136" i="10"/>
  <c r="P136" i="10"/>
  <c r="V136" i="10"/>
  <c r="U136" i="10"/>
  <c r="V145" i="10"/>
  <c r="U145" i="10"/>
  <c r="T145" i="10"/>
  <c r="S145" i="10"/>
  <c r="W145" i="10" s="1"/>
  <c r="R145" i="10"/>
  <c r="Q145" i="10"/>
  <c r="P145" i="10"/>
  <c r="Q130" i="10"/>
  <c r="V130" i="10"/>
  <c r="U130" i="10"/>
  <c r="S130" i="10"/>
  <c r="W130" i="10" s="1"/>
  <c r="T130" i="10"/>
  <c r="R130" i="10"/>
  <c r="P130" i="10"/>
  <c r="Q118" i="10"/>
  <c r="V118" i="10"/>
  <c r="U118" i="10"/>
  <c r="S118" i="10"/>
  <c r="W118" i="10" s="1"/>
  <c r="P118" i="10"/>
  <c r="R118" i="10"/>
  <c r="T118" i="10"/>
  <c r="V121" i="10"/>
  <c r="U121" i="10"/>
  <c r="T121" i="10"/>
  <c r="S121" i="10"/>
  <c r="W121" i="10" s="1"/>
  <c r="R121" i="10"/>
  <c r="P121" i="10"/>
  <c r="Q121" i="10"/>
  <c r="Q142" i="10"/>
  <c r="P142" i="10"/>
  <c r="V142" i="10"/>
  <c r="U142" i="10"/>
  <c r="T142" i="10"/>
  <c r="S142" i="10"/>
  <c r="W142" i="10" s="1"/>
  <c r="R142" i="10"/>
  <c r="T139" i="10"/>
  <c r="S139" i="10"/>
  <c r="W139" i="10" s="1"/>
  <c r="Q139" i="10"/>
  <c r="P139" i="10"/>
  <c r="V139" i="10"/>
  <c r="U139" i="10"/>
  <c r="R139" i="10"/>
</calcChain>
</file>

<file path=xl/sharedStrings.xml><?xml version="1.0" encoding="utf-8"?>
<sst xmlns="http://schemas.openxmlformats.org/spreadsheetml/2006/main" count="2133" uniqueCount="406">
  <si>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</si>
  <si>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</si>
  <si>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</si>
  <si>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</si>
  <si>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</si>
  <si>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</si>
  <si>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</si>
  <si>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</si>
  <si>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</si>
  <si>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</si>
  <si>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</si>
  <si>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</si>
  <si>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</si>
  <si>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</si>
  <si>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</si>
  <si>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</si>
  <si>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</si>
  <si>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</si>
  <si>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</si>
  <si>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</si>
  <si>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</si>
  <si>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</si>
  <si>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</si>
  <si>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</si>
  <si>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</si>
  <si>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</si>
  <si>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</si>
  <si>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</si>
  <si>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</si>
  <si>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</si>
  <si>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</si>
  <si>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</si>
  <si>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</si>
  <si>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</si>
  <si>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</si>
  <si>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</si>
  <si>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</si>
  <si>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</si>
  <si>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</si>
  <si>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</si>
  <si>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</si>
  <si>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</si>
  <si>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</si>
  <si>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</si>
  <si>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</si>
  <si>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</si>
  <si>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</si>
  <si>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</si>
  <si>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</si>
  <si>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</si>
  <si>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</si>
  <si>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</si>
  <si>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</si>
  <si>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</si>
  <si>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</si>
  <si>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</si>
  <si>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</si>
  <si>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</si>
  <si>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</si>
  <si>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</si>
  <si>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</si>
  <si>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</si>
  <si>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</si>
  <si>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</si>
  <si>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</si>
  <si>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</si>
  <si>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</si>
  <si>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</si>
  <si>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</si>
  <si>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</si>
  <si>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</si>
  <si>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</si>
  <si>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</si>
  <si>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</si>
  <si>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</si>
  <si>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</si>
  <si>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</si>
  <si>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</si>
  <si>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Input Label</t>
  </si>
  <si>
    <t>Output Label</t>
  </si>
  <si>
    <t>Technology Label</t>
  </si>
  <si>
    <t>Main fuel</t>
  </si>
  <si>
    <t>MODE DEMAND (MVkm)</t>
  </si>
  <si>
    <t>Demand SHARE (%)</t>
  </si>
  <si>
    <t>Minimum fuel share (%)</t>
  </si>
  <si>
    <t>Maximum fuel share (%)</t>
  </si>
  <si>
    <t>DEMAND (MVkm)</t>
  </si>
  <si>
    <t>FINAL ENERGY (GJ)</t>
  </si>
  <si>
    <t>RESID (Mvkma)</t>
  </si>
  <si>
    <t>EFF (Vkm/MJ)</t>
  </si>
  <si>
    <t>Residual life (Yr)</t>
  </si>
  <si>
    <t>Fixed O&amp;M (Thousands $/Mvkm/yr)</t>
  </si>
  <si>
    <t>Variable O&amp;M (Thousands $/Mvkm)</t>
  </si>
  <si>
    <t>CFA</t>
  </si>
  <si>
    <t>C2A</t>
  </si>
  <si>
    <t>Transportation</t>
  </si>
  <si>
    <t>Passenger</t>
  </si>
  <si>
    <t>Passenger Car</t>
  </si>
  <si>
    <t>Gasoline ICE Vehicle (spark ignition)</t>
  </si>
  <si>
    <t>Gasoline</t>
  </si>
  <si>
    <t>TRAGSL</t>
  </si>
  <si>
    <t>TRAPASCARDMD</t>
  </si>
  <si>
    <t>TRAPASCARICEVGSL19</t>
  </si>
  <si>
    <t>Ethanol</t>
  </si>
  <si>
    <t>TRAETH</t>
  </si>
  <si>
    <t>Diesel Conventional Compression Ignition Vehicle</t>
  </si>
  <si>
    <t>Diesel</t>
  </si>
  <si>
    <t>TRADSL</t>
  </si>
  <si>
    <t>TRAPASCARICEVDSL19</t>
  </si>
  <si>
    <t>Renewable diesel</t>
  </si>
  <si>
    <t>TRARDS</t>
  </si>
  <si>
    <t>Bio diesel</t>
  </si>
  <si>
    <t>TRABDS</t>
  </si>
  <si>
    <t>Compressed Natural Gas Conventional Vehicle</t>
  </si>
  <si>
    <t>CNG</t>
  </si>
  <si>
    <t>TRACNG</t>
  </si>
  <si>
    <t>TRAPASCARICEVCNG19</t>
  </si>
  <si>
    <t>RNG</t>
  </si>
  <si>
    <t>TRARNG</t>
  </si>
  <si>
    <t>Battery Electric Vehicle (300-mile range)</t>
  </si>
  <si>
    <t>Battery</t>
  </si>
  <si>
    <t>TRABAT</t>
  </si>
  <si>
    <t>TRAPASCAR300BEV19</t>
  </si>
  <si>
    <t>Hydrogen Fuel Cell Electric Vehicle (300-mile range)</t>
  </si>
  <si>
    <t>Hydrogen</t>
  </si>
  <si>
    <t>TRAH2G</t>
  </si>
  <si>
    <t>TRAPASCAR300FCEV19</t>
  </si>
  <si>
    <t>Passenger Truck</t>
  </si>
  <si>
    <t>TRAPASLDTDMD</t>
  </si>
  <si>
    <t>TRAPASLDTICEVGSL19</t>
  </si>
  <si>
    <t>TRAPASLDTICEVDSL19</t>
  </si>
  <si>
    <t>TRAPASLDTICEVCNG19</t>
  </si>
  <si>
    <t>TRAPASLDT300BEV19</t>
  </si>
  <si>
    <t>TRAPASLDT300FCEV19</t>
  </si>
  <si>
    <t>Motorcycle</t>
  </si>
  <si>
    <t>TRAPASMOTDMD</t>
  </si>
  <si>
    <t>TRAPASMOTICEVGSL19</t>
  </si>
  <si>
    <t>TRAPASMOTICEVDSL19</t>
  </si>
  <si>
    <t>TRAPASMOTICEVCNG19</t>
  </si>
  <si>
    <t>TRAPASMOT300BEV19</t>
  </si>
  <si>
    <t>TRAPASMOT300FCEV19</t>
  </si>
  <si>
    <t>Freight</t>
  </si>
  <si>
    <t>Light Commercial Truck</t>
  </si>
  <si>
    <t>TRAFRECLTDMD</t>
  </si>
  <si>
    <t>TRAFRECLTICEVGSL19</t>
  </si>
  <si>
    <t>TRAFRECLTICEVDSL19</t>
  </si>
  <si>
    <t>TRAFRECLTICEVCNG19</t>
  </si>
  <si>
    <t>TRAFRECLT300BEV19</t>
  </si>
  <si>
    <t>TRAFRECLT300FCEV19</t>
  </si>
  <si>
    <t>Refuse Truck</t>
  </si>
  <si>
    <t>TRAFRERFTDMD</t>
  </si>
  <si>
    <t>TRAFRERFTICEVGSL19</t>
  </si>
  <si>
    <t>TRAFRERFTICEVDSL19</t>
  </si>
  <si>
    <t>TRAFRERFTICEVCNG19</t>
  </si>
  <si>
    <t>Battery Freight</t>
  </si>
  <si>
    <t>TRABAF</t>
  </si>
  <si>
    <t>TRAFRERFT300BEV19</t>
  </si>
  <si>
    <t>TRAFRERFT300FCEV19</t>
  </si>
  <si>
    <t>Single Unit Long-haul Truck</t>
  </si>
  <si>
    <t>Gasoline ICE Vehicle</t>
  </si>
  <si>
    <t>TRAFRESLHDMD</t>
  </si>
  <si>
    <t>TRAFRESLHICEVGSL19</t>
  </si>
  <si>
    <t>Diesel ICE Vehicle</t>
  </si>
  <si>
    <t>TRAFRESLHICEVDSL19</t>
  </si>
  <si>
    <t>TRAFRESLHICEVCNG19</t>
  </si>
  <si>
    <t>Battery Electric Vehicle</t>
  </si>
  <si>
    <t>TRAFRESLHBEV19</t>
  </si>
  <si>
    <t>Hydrogen Fuel Cell Electric Vehicle</t>
  </si>
  <si>
    <t>TRAFRESLHFCEV19</t>
  </si>
  <si>
    <t>Single Unit Short-haul Truck</t>
  </si>
  <si>
    <t>TRAFRESSHDMD</t>
  </si>
  <si>
    <t>TRAFRESSHICEVGSL19</t>
  </si>
  <si>
    <t>TRAFRESSHICEVDSL19</t>
  </si>
  <si>
    <t>TRAFRESSHICEVCNG19</t>
  </si>
  <si>
    <t>TRAFRESSHBEV19</t>
  </si>
  <si>
    <t>TRAFRESSHFCEV19</t>
  </si>
  <si>
    <t>Combination Long-haul Truck</t>
  </si>
  <si>
    <t>TRAFRECLHDMD</t>
  </si>
  <si>
    <t>TRAFRECLHICEVGSL19</t>
  </si>
  <si>
    <t>TRAFRECLHICEVDSL19</t>
  </si>
  <si>
    <t>TRAFRECLHICEVCNG19</t>
  </si>
  <si>
    <t>TRAFRECLHBEV19</t>
  </si>
  <si>
    <t>TRAFRECLHFCEV19</t>
  </si>
  <si>
    <t>Combination Short-haul Truck</t>
  </si>
  <si>
    <t>TRAFRECSHDMD</t>
  </si>
  <si>
    <t>TRAFRECSHICEVGSL19</t>
  </si>
  <si>
    <t>TRAFRECSHICEVDSL19</t>
  </si>
  <si>
    <t>TRAFRECSHICEVCNG19</t>
  </si>
  <si>
    <t>TRAFRECSHBEV19</t>
  </si>
  <si>
    <t>TRAFRECSHFCEV19</t>
  </si>
  <si>
    <t>Transit Bus</t>
  </si>
  <si>
    <t>TRAPASTBUDMD</t>
  </si>
  <si>
    <t>TRAPASTBUICEVGSL19</t>
  </si>
  <si>
    <t>TRAPASTBUICEVDSL19</t>
  </si>
  <si>
    <t>TRAPASTBUICEVCNG19</t>
  </si>
  <si>
    <t>TRAPASTBUBEV19</t>
  </si>
  <si>
    <t>TRAPASTBUFCEV19</t>
  </si>
  <si>
    <t>School Bus</t>
  </si>
  <si>
    <t>TRAPASSBUDMD</t>
  </si>
  <si>
    <t>TRAPASSBUICEVGSL19</t>
  </si>
  <si>
    <t>TRAPASSBUICEVDSL19</t>
  </si>
  <si>
    <t>TRAPASSBUICEVCNG19</t>
  </si>
  <si>
    <t>TRAPASSBUBEV19</t>
  </si>
  <si>
    <t>TRAPASSBUFCEV19</t>
  </si>
  <si>
    <t>Other Buses</t>
  </si>
  <si>
    <t>TRAPASOBUDMD</t>
  </si>
  <si>
    <t>TRAPASOBUICEVGSL19</t>
  </si>
  <si>
    <t>TRAPASOBUICEVDSL19</t>
  </si>
  <si>
    <t>TRAPASOBUICEVCNG19</t>
  </si>
  <si>
    <t>TRAPASOBUBEV19</t>
  </si>
  <si>
    <t>TRAPASOBUFCEV19</t>
  </si>
  <si>
    <t>Rail</t>
  </si>
  <si>
    <t>TRAPASRAIDMD</t>
  </si>
  <si>
    <t>TRAPASRAIICEVDSL19</t>
  </si>
  <si>
    <t>TRAPASRAIICEVCNG19</t>
  </si>
  <si>
    <t>Electric Propulsion Vehicle</t>
  </si>
  <si>
    <t>Electricity</t>
  </si>
  <si>
    <t>TRAELC</t>
  </si>
  <si>
    <t>TRAPASRAIPROELC19</t>
  </si>
  <si>
    <t>TRAPASRAIFCEV19</t>
  </si>
  <si>
    <t>Tram</t>
  </si>
  <si>
    <t>TRAPASTRMDMD</t>
  </si>
  <si>
    <t>TRAPASTRMICEVDSL19</t>
  </si>
  <si>
    <t>TRAPASTRMICEVCNG19</t>
  </si>
  <si>
    <t>TRAPASTRMPROELC19</t>
  </si>
  <si>
    <t>Subway</t>
  </si>
  <si>
    <t>TRAPASSUBDMD</t>
  </si>
  <si>
    <t>TRAPASSUBPROELC19</t>
  </si>
  <si>
    <t>Bicycle</t>
  </si>
  <si>
    <t>N/a</t>
  </si>
  <si>
    <t>TRAPASBICDMD</t>
  </si>
  <si>
    <t>TRAPASBIC19</t>
  </si>
  <si>
    <t>Walk</t>
  </si>
  <si>
    <t>TRAPASWALDMD</t>
  </si>
  <si>
    <t>TRAPASWAL19</t>
  </si>
  <si>
    <t>Other</t>
  </si>
  <si>
    <t>Off-Road</t>
  </si>
  <si>
    <t>TRAOTHOFRDMD</t>
  </si>
  <si>
    <t>TRAOTHOFRICEVGSL19</t>
  </si>
  <si>
    <t>TRAOTHOFRICEVDSL19</t>
  </si>
  <si>
    <t>TRAOTHOFRICEVCNG19</t>
  </si>
  <si>
    <t>TRAOTHOFRBEV19</t>
  </si>
  <si>
    <t>TRAOTHOFRFCEV19</t>
  </si>
  <si>
    <t>Waterborne</t>
  </si>
  <si>
    <t>TRAOTHWATDMD</t>
  </si>
  <si>
    <t>TRAOTHWATICEVGSL19</t>
  </si>
  <si>
    <t>TRAOTHWATICEVDSL19</t>
  </si>
  <si>
    <t>Fuel oil ICE Vehicle</t>
  </si>
  <si>
    <t>Fuel oil</t>
  </si>
  <si>
    <t>TRAFOI</t>
  </si>
  <si>
    <t>TRAOTHWATICEFOI19</t>
  </si>
  <si>
    <t>Aviation</t>
  </si>
  <si>
    <t>Aviation Gasoline ICE Vehicle</t>
  </si>
  <si>
    <t>Aviation gasoline</t>
  </si>
  <si>
    <t>TRAAGA</t>
  </si>
  <si>
    <t>TRAOTHAIRDMD</t>
  </si>
  <si>
    <t>TRAOTHAIRICEVAGA19</t>
  </si>
  <si>
    <t>Turbo-reactor</t>
  </si>
  <si>
    <t>Aviation turbo-fuel</t>
  </si>
  <si>
    <t>TRAATF</t>
  </si>
  <si>
    <t>TRAOTHAIRTURREA19</t>
  </si>
  <si>
    <t>Sustainable aviation fuel</t>
  </si>
  <si>
    <t>TRASAF</t>
  </si>
  <si>
    <t>Demand Label</t>
  </si>
  <si>
    <t>Unit</t>
  </si>
  <si>
    <t>Commercial</t>
  </si>
  <si>
    <t>Hotel</t>
  </si>
  <si>
    <t>Old</t>
  </si>
  <si>
    <t>COMHOTOldDMD</t>
  </si>
  <si>
    <t>Mm2</t>
  </si>
  <si>
    <t>Retail</t>
  </si>
  <si>
    <t>COMRETOldDMD</t>
  </si>
  <si>
    <t>Office</t>
  </si>
  <si>
    <t>COMOFFOldDMD</t>
  </si>
  <si>
    <t>Hospital</t>
  </si>
  <si>
    <t>COMHOPOldDMD</t>
  </si>
  <si>
    <t>Educationnal</t>
  </si>
  <si>
    <t>COMEDUOldDMD</t>
  </si>
  <si>
    <t>Warehouse</t>
  </si>
  <si>
    <t>COMWAROldDMD</t>
  </si>
  <si>
    <t>Municipal</t>
  </si>
  <si>
    <t>COMMUNOldDMD</t>
  </si>
  <si>
    <t>COMOTHOldDMD</t>
  </si>
  <si>
    <t>New</t>
  </si>
  <si>
    <t>COMHOTNewDMD</t>
  </si>
  <si>
    <t>COMRETNewDMD</t>
  </si>
  <si>
    <t>COMOFFNewDMD</t>
  </si>
  <si>
    <t>COMHOPNewDMD</t>
  </si>
  <si>
    <t>COMEDUNewDMD</t>
  </si>
  <si>
    <t>COMWARNewDMD</t>
  </si>
  <si>
    <t>COMMUNNewDMD</t>
  </si>
  <si>
    <t>COMOTHNewDMD</t>
  </si>
  <si>
    <t>Residential</t>
  </si>
  <si>
    <t>Apartment</t>
  </si>
  <si>
    <t>Low Income</t>
  </si>
  <si>
    <t>RESAPALOOldDMD</t>
  </si>
  <si>
    <t>House</t>
  </si>
  <si>
    <t>RESHOULOOldDMD</t>
  </si>
  <si>
    <t>Lower-Middle Income</t>
  </si>
  <si>
    <t>RESAPALMOldDMD</t>
  </si>
  <si>
    <t>RESHOULMOldDMD</t>
  </si>
  <si>
    <t>Upper-Middle Income</t>
  </si>
  <si>
    <t>RESAPAUMOldDMD</t>
  </si>
  <si>
    <t>RESHOUUMOldDMD</t>
  </si>
  <si>
    <t>High Income</t>
  </si>
  <si>
    <t>RESAPAHIOldDMD</t>
  </si>
  <si>
    <t>RESHOUHIOldDMD</t>
  </si>
  <si>
    <t>RESAPALONewDMD</t>
  </si>
  <si>
    <t>RESHOULONewDMD</t>
  </si>
  <si>
    <t>RESAPALMNewDMD</t>
  </si>
  <si>
    <t>RESHOULMNewDMD</t>
  </si>
  <si>
    <t>RESAPAUMNewDMD</t>
  </si>
  <si>
    <t>RESHOUUMNewDMD</t>
  </si>
  <si>
    <t>RESAPAHINewDMD</t>
  </si>
  <si>
    <t>RESHOUHINewDMD</t>
  </si>
  <si>
    <t>Industrial</t>
  </si>
  <si>
    <t>All Industries</t>
  </si>
  <si>
    <t>INDAINDMD</t>
  </si>
  <si>
    <t>TJ</t>
  </si>
  <si>
    <t>M Vkm</t>
  </si>
  <si>
    <t>Waste</t>
  </si>
  <si>
    <t>Solid</t>
  </si>
  <si>
    <t>Paper</t>
  </si>
  <si>
    <t>WASSOLPAPDMD</t>
  </si>
  <si>
    <t>k tonnes</t>
  </si>
  <si>
    <t>Glass</t>
  </si>
  <si>
    <t>WASSOLGLADMD</t>
  </si>
  <si>
    <t>Metals</t>
  </si>
  <si>
    <t>WASSOLMETDMD</t>
  </si>
  <si>
    <t>Plastics</t>
  </si>
  <si>
    <t>WASSOLPLADMD</t>
  </si>
  <si>
    <t>Food</t>
  </si>
  <si>
    <t>WASSOLFOODMD</t>
  </si>
  <si>
    <t>Yard trimmings</t>
  </si>
  <si>
    <t>WASSOLYARDMD</t>
  </si>
  <si>
    <t>All other</t>
  </si>
  <si>
    <t>WASSOLAOTDMD</t>
  </si>
  <si>
    <t>Historical</t>
  </si>
  <si>
    <t>WASSOLHISDMD</t>
  </si>
  <si>
    <t>Water</t>
  </si>
  <si>
    <t>Fresh Water</t>
  </si>
  <si>
    <t>WASWATFWADMD</t>
  </si>
  <si>
    <t>Mm3</t>
  </si>
  <si>
    <t>Annual Precipitation</t>
  </si>
  <si>
    <t>WASWATAPRDMD</t>
  </si>
  <si>
    <t>Miscellanous EGRID electricity demand</t>
  </si>
  <si>
    <t>ELCMISEGRIDDMD</t>
  </si>
  <si>
    <t>Treatment</t>
  </si>
  <si>
    <t>WASWATTRTDMD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</si>
  <si>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</si>
  <si>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</si>
  <si>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</si>
  <si>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</si>
  <si>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</si>
  <si>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</si>
  <si>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</si>
  <si>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</si>
  <si>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</si>
  <si>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</si>
  <si>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</si>
  <si>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</si>
  <si>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</si>
  <si>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</si>
  <si>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</si>
  <si>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</si>
  <si>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</si>
  <si>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</si>
  <si>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CITY</t>
  </si>
  <si>
    <t>Mvkm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</si>
  <si>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</si>
  <si>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</si>
  <si>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</si>
  <si>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</si>
  <si>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</si>
  <si>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</si>
  <si>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</si>
  <si>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</si>
  <si>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</si>
  <si>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</si>
  <si>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</si>
  <si>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</si>
  <si>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</si>
  <si>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</si>
  <si>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</si>
  <si>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DEM</t>
  </si>
  <si>
    <t>NRG</t>
  </si>
  <si>
    <t>Transportation Battery</t>
  </si>
  <si>
    <t>Transportation Battery Freight</t>
  </si>
  <si>
    <t>PRC_RESID</t>
  </si>
  <si>
    <t>~FI_T</t>
  </si>
  <si>
    <t>Comm-IN</t>
  </si>
  <si>
    <t>Attribute</t>
  </si>
  <si>
    <t>Comm-OUT</t>
  </si>
  <si>
    <t>EFF</t>
  </si>
  <si>
    <t>PRC_CAPACT</t>
  </si>
  <si>
    <t>NCAP_AFA~UP</t>
  </si>
  <si>
    <t>NCAP_TLIFE</t>
  </si>
  <si>
    <t>NCAP_FOM</t>
  </si>
  <si>
    <t>NCAP_AFA~LO</t>
  </si>
  <si>
    <t>*</t>
  </si>
  <si>
    <t>Out/In</t>
  </si>
  <si>
    <t>TJ/MW</t>
  </si>
  <si>
    <t>%</t>
  </si>
  <si>
    <t>Yr</t>
  </si>
  <si>
    <t>$ / KW /Yr</t>
  </si>
  <si>
    <t>Share~UP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</si>
</sst>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/>
    <xf numFmtId="0" fontId="6" fillId="0" borderId="0"/>
  </cellStyleXfs>
  <cellXfs count="17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9" fontId="0" fillId="0" borderId="0" xfId="1" applyFont="1"/>
    <xf numFmtId="0" fontId="4" fillId="0" borderId="0" xfId="0" applyFont="1"/>
    <xf numFmtId="0" fontId="5" fillId="7" borderId="1" xfId="0" applyFont="1" applyFill="1" applyBorder="1"/>
    <xf numFmtId="0" fontId="6" fillId="8" borderId="2" xfId="2" applyFill="1" applyBorder="1" applyAlignment="1">
      <alignment horizontal="left" wrapText="1"/>
    </xf>
    <xf numFmtId="2" fontId="0" fillId="0" borderId="0" xfId="0" applyNumberFormat="1"/>
    <xf numFmtId="164" fontId="5" fillId="7" borderId="1" xfId="0" applyNumberFormat="1" applyFont="1" applyFill="1" applyBorder="1"/>
    <xf numFmtId="164" fontId="6" fillId="8" borderId="2" xfId="2" applyNumberFormat="1" applyFill="1" applyBorder="1" applyAlignment="1">
      <alignment horizontal="left" wrapText="1"/>
    </xf>
    <xf numFmtId="1" fontId="0" fillId="0" borderId="0" xfId="0" applyNumberFormat="1"/>
  </cellXfs>
  <cellStyles count="3">
    <cellStyle name="Normal" xfId="0" builtinId="0"/>
    <cellStyle name="Normal 10" xfId="2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6" sqref="C6"/>
    </sheetView>
  </sheetViews>
  <sheetFormatPr defaultColWidth="8.85546875" defaultRowHeight="15" x14ac:dyDescent="0.25"/>
  <cols>
    <col min="1" max="30" width="8.85546875" style="2" customWidth="1"/>
    <col min="31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C6" sqref="C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topLeftCell="A6" zoomScaleNormal="100" workbookViewId="0">
      <selection activeCell="C6" sqref="C6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43" width="8.85546875" style="2" customWidth="1"/>
    <col min="44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C6" sqref="C6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3"/>
  <sheetViews>
    <sheetView zoomScale="85" zoomScaleNormal="85" workbookViewId="0">
      <selection activeCell="M1" sqref="M1:O1048576"/>
    </sheetView>
  </sheetViews>
  <sheetFormatPr defaultRowHeight="15" x14ac:dyDescent="0.25"/>
  <cols>
    <col min="1" max="1" width="15" bestFit="1" customWidth="1"/>
    <col min="2" max="2" width="10.7109375" bestFit="1" customWidth="1"/>
    <col min="3" max="3" width="19.140625" bestFit="1" customWidth="1"/>
    <col min="4" max="4" width="8.7109375" bestFit="1" customWidth="1"/>
    <col min="5" max="5" width="8.5703125" bestFit="1" customWidth="1"/>
    <col min="6" max="6" width="49.7109375" bestFit="1" customWidth="1"/>
    <col min="7" max="7" width="25" bestFit="1" customWidth="1"/>
    <col min="8" max="8" width="11.5703125" bestFit="1" customWidth="1"/>
    <col min="9" max="9" width="20.85546875" bestFit="1" customWidth="1"/>
    <col min="10" max="10" width="25.42578125" bestFit="1" customWidth="1"/>
    <col min="11" max="11" width="25.42578125" customWidth="1"/>
    <col min="12" max="12" width="22.85546875" style="8" bestFit="1" customWidth="1"/>
    <col min="13" max="13" width="15.140625" style="8" bestFit="1" customWidth="1"/>
    <col min="14" max="15" width="15.140625" style="8" customWidth="1"/>
    <col min="16" max="16" width="16.7109375" style="8" bestFit="1" customWidth="1"/>
    <col min="17" max="17" width="17.85546875" style="8" bestFit="1" customWidth="1"/>
    <col min="18" max="18" width="14.7109375" style="8" bestFit="1" customWidth="1"/>
    <col min="19" max="19" width="13.28515625" style="8" bestFit="1" customWidth="1"/>
    <col min="20" max="20" width="16.7109375" style="8" bestFit="1" customWidth="1"/>
    <col min="21" max="21" width="33.5703125" style="8" bestFit="1" customWidth="1"/>
    <col min="22" max="22" width="34.42578125" style="8" bestFit="1" customWidth="1"/>
    <col min="23" max="24" width="4.42578125" style="8" bestFit="1" customWidth="1"/>
    <col min="25" max="26" width="14" style="8" customWidth="1"/>
    <col min="27" max="27" width="11.85546875" bestFit="1" customWidth="1"/>
  </cols>
  <sheetData>
    <row r="1" spans="1:24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</row>
    <row r="2" spans="1:24" x14ac:dyDescent="0.25">
      <c r="A2" t="s">
        <v>95</v>
      </c>
      <c r="B2" t="s">
        <v>96</v>
      </c>
      <c r="C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>
        <v>1</v>
      </c>
      <c r="L2">
        <v>68921.250890371171</v>
      </c>
      <c r="M2">
        <v>0.97948822194383345</v>
      </c>
      <c r="N2">
        <v>0.9</v>
      </c>
      <c r="O2">
        <v>1</v>
      </c>
      <c r="P2">
        <v>67507.553488754507</v>
      </c>
      <c r="Q2">
        <v>205180.57951491431</v>
      </c>
      <c r="R2">
        <v>67507.553488754507</v>
      </c>
      <c r="S2">
        <v>0.32901531737728362</v>
      </c>
      <c r="T2">
        <v>12</v>
      </c>
      <c r="U2">
        <v>6.4729489937102871</v>
      </c>
      <c r="W2">
        <v>1</v>
      </c>
      <c r="X2">
        <v>1</v>
      </c>
    </row>
    <row r="3" spans="1:24" x14ac:dyDescent="0.25">
      <c r="A3" t="s">
        <v>95</v>
      </c>
      <c r="B3" t="s">
        <v>96</v>
      </c>
      <c r="C3" t="s">
        <v>97</v>
      </c>
      <c r="F3" t="s">
        <v>98</v>
      </c>
      <c r="G3" t="s">
        <v>103</v>
      </c>
      <c r="H3" t="s">
        <v>104</v>
      </c>
      <c r="I3" t="s">
        <v>101</v>
      </c>
      <c r="J3" t="s">
        <v>102</v>
      </c>
      <c r="K3">
        <v>0</v>
      </c>
      <c r="L3">
        <v>68921.250890371171</v>
      </c>
      <c r="M3">
        <v>0</v>
      </c>
      <c r="N3">
        <v>0</v>
      </c>
      <c r="O3">
        <v>0.1</v>
      </c>
      <c r="P3">
        <v>0</v>
      </c>
      <c r="Q3">
        <v>0</v>
      </c>
      <c r="R3">
        <v>0</v>
      </c>
      <c r="S3">
        <v>0.32901531737728362</v>
      </c>
      <c r="T3">
        <v>12</v>
      </c>
      <c r="U3">
        <v>6.4729489937102871</v>
      </c>
      <c r="W3">
        <v>1</v>
      </c>
      <c r="X3">
        <v>1</v>
      </c>
    </row>
    <row r="4" spans="1:24" x14ac:dyDescent="0.25">
      <c r="A4" t="s">
        <v>95</v>
      </c>
      <c r="B4" t="s">
        <v>96</v>
      </c>
      <c r="C4" t="s">
        <v>97</v>
      </c>
      <c r="F4" t="s">
        <v>105</v>
      </c>
      <c r="G4" t="s">
        <v>106</v>
      </c>
      <c r="H4" t="s">
        <v>107</v>
      </c>
      <c r="I4" t="s">
        <v>101</v>
      </c>
      <c r="J4" t="s">
        <v>108</v>
      </c>
      <c r="K4">
        <v>1</v>
      </c>
      <c r="L4">
        <v>68921.250890371171</v>
      </c>
      <c r="M4">
        <v>1.107478589525775E-2</v>
      </c>
      <c r="N4">
        <v>0</v>
      </c>
      <c r="O4">
        <v>1</v>
      </c>
      <c r="P4">
        <v>763.28809724420307</v>
      </c>
      <c r="Q4">
        <v>2284.357007672636</v>
      </c>
      <c r="R4">
        <v>763.28809724420307</v>
      </c>
      <c r="S4">
        <v>0.33413695612397348</v>
      </c>
      <c r="T4">
        <v>12</v>
      </c>
      <c r="U4">
        <v>6.4729489937102871</v>
      </c>
      <c r="W4">
        <v>1</v>
      </c>
      <c r="X4">
        <v>1</v>
      </c>
    </row>
    <row r="5" spans="1:24" x14ac:dyDescent="0.25">
      <c r="A5" t="s">
        <v>95</v>
      </c>
      <c r="B5" t="s">
        <v>96</v>
      </c>
      <c r="C5" t="s">
        <v>97</v>
      </c>
      <c r="F5" t="s">
        <v>105</v>
      </c>
      <c r="G5" t="s">
        <v>109</v>
      </c>
      <c r="H5" t="s">
        <v>110</v>
      </c>
      <c r="I5" t="s">
        <v>101</v>
      </c>
      <c r="J5" t="s">
        <v>108</v>
      </c>
      <c r="K5">
        <v>0</v>
      </c>
      <c r="L5">
        <v>68921.250890371171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0.33413695612397348</v>
      </c>
      <c r="T5">
        <v>12</v>
      </c>
      <c r="U5">
        <v>6.4729489937102871</v>
      </c>
      <c r="W5">
        <v>1</v>
      </c>
      <c r="X5">
        <v>1</v>
      </c>
    </row>
    <row r="6" spans="1:24" x14ac:dyDescent="0.25">
      <c r="A6" t="s">
        <v>95</v>
      </c>
      <c r="B6" t="s">
        <v>96</v>
      </c>
      <c r="C6" t="s">
        <v>97</v>
      </c>
      <c r="F6" t="s">
        <v>105</v>
      </c>
      <c r="G6" t="s">
        <v>111</v>
      </c>
      <c r="H6" t="s">
        <v>112</v>
      </c>
      <c r="I6" t="s">
        <v>101</v>
      </c>
      <c r="J6" t="s">
        <v>108</v>
      </c>
      <c r="K6">
        <v>0</v>
      </c>
      <c r="L6">
        <v>68921.250890371171</v>
      </c>
      <c r="M6">
        <v>0</v>
      </c>
      <c r="N6">
        <v>0</v>
      </c>
      <c r="O6">
        <v>0.1</v>
      </c>
      <c r="P6">
        <v>0</v>
      </c>
      <c r="Q6">
        <v>0</v>
      </c>
      <c r="R6">
        <v>0</v>
      </c>
      <c r="S6">
        <v>0.33413695612397348</v>
      </c>
      <c r="T6">
        <v>12</v>
      </c>
      <c r="U6">
        <v>6.4729489937102871</v>
      </c>
      <c r="W6">
        <v>1</v>
      </c>
      <c r="X6">
        <v>1</v>
      </c>
    </row>
    <row r="7" spans="1:24" x14ac:dyDescent="0.25">
      <c r="A7" t="s">
        <v>95</v>
      </c>
      <c r="B7" t="s">
        <v>96</v>
      </c>
      <c r="C7" t="s">
        <v>97</v>
      </c>
      <c r="F7" t="s">
        <v>113</v>
      </c>
      <c r="G7" t="s">
        <v>114</v>
      </c>
      <c r="H7" t="s">
        <v>115</v>
      </c>
      <c r="I7" t="s">
        <v>101</v>
      </c>
      <c r="J7" t="s">
        <v>116</v>
      </c>
      <c r="K7">
        <v>1</v>
      </c>
      <c r="L7">
        <v>68921.250890371171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0.25976727580466458</v>
      </c>
      <c r="T7">
        <v>12</v>
      </c>
      <c r="U7">
        <v>6.4729489937102871</v>
      </c>
      <c r="W7">
        <v>1</v>
      </c>
      <c r="X7">
        <v>1</v>
      </c>
    </row>
    <row r="8" spans="1:24" x14ac:dyDescent="0.25">
      <c r="A8" t="s">
        <v>95</v>
      </c>
      <c r="B8" t="s">
        <v>96</v>
      </c>
      <c r="C8" t="s">
        <v>97</v>
      </c>
      <c r="F8" t="s">
        <v>113</v>
      </c>
      <c r="G8" t="s">
        <v>117</v>
      </c>
      <c r="H8" t="s">
        <v>118</v>
      </c>
      <c r="I8" t="s">
        <v>101</v>
      </c>
      <c r="J8" t="s">
        <v>116</v>
      </c>
      <c r="K8">
        <v>0</v>
      </c>
      <c r="L8">
        <v>68921.250890371171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0.25976727580466458</v>
      </c>
      <c r="T8">
        <v>12</v>
      </c>
      <c r="U8">
        <v>6.4729489937102871</v>
      </c>
      <c r="W8">
        <v>1</v>
      </c>
      <c r="X8">
        <v>1</v>
      </c>
    </row>
    <row r="9" spans="1:24" x14ac:dyDescent="0.25">
      <c r="A9" t="s">
        <v>95</v>
      </c>
      <c r="B9" t="s">
        <v>96</v>
      </c>
      <c r="C9" t="s">
        <v>97</v>
      </c>
      <c r="F9" t="s">
        <v>119</v>
      </c>
      <c r="G9" t="s">
        <v>120</v>
      </c>
      <c r="H9" t="s">
        <v>121</v>
      </c>
      <c r="I9" t="s">
        <v>101</v>
      </c>
      <c r="J9" t="s">
        <v>122</v>
      </c>
      <c r="K9">
        <v>1</v>
      </c>
      <c r="L9">
        <v>68921.250890371171</v>
      </c>
      <c r="M9">
        <v>9.436992160908755E-3</v>
      </c>
      <c r="N9">
        <v>1</v>
      </c>
      <c r="O9">
        <v>1</v>
      </c>
      <c r="P9">
        <v>650.40930437245834</v>
      </c>
      <c r="Q9">
        <v>884.34671872651302</v>
      </c>
      <c r="R9">
        <v>650.40930437245834</v>
      </c>
      <c r="S9">
        <v>0.73546866924442045</v>
      </c>
      <c r="T9">
        <v>12</v>
      </c>
      <c r="U9">
        <v>6.4729489937102871</v>
      </c>
      <c r="W9">
        <v>1</v>
      </c>
      <c r="X9">
        <v>1</v>
      </c>
    </row>
    <row r="10" spans="1:24" x14ac:dyDescent="0.25">
      <c r="A10" t="s">
        <v>95</v>
      </c>
      <c r="B10" t="s">
        <v>96</v>
      </c>
      <c r="C10" t="s">
        <v>97</v>
      </c>
      <c r="F10" t="s">
        <v>123</v>
      </c>
      <c r="G10" t="s">
        <v>124</v>
      </c>
      <c r="H10" t="s">
        <v>125</v>
      </c>
      <c r="I10" t="s">
        <v>101</v>
      </c>
      <c r="J10" t="s">
        <v>126</v>
      </c>
      <c r="K10">
        <v>1</v>
      </c>
      <c r="L10">
        <v>68921.250890371171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0.73546866924442045</v>
      </c>
      <c r="T10">
        <v>12</v>
      </c>
      <c r="U10">
        <v>6.4729489937102871</v>
      </c>
      <c r="W10">
        <v>1</v>
      </c>
      <c r="X10">
        <v>1</v>
      </c>
    </row>
    <row r="11" spans="1:24" x14ac:dyDescent="0.25">
      <c r="A11" t="s">
        <v>95</v>
      </c>
      <c r="B11" t="s">
        <v>96</v>
      </c>
      <c r="C11" t="s">
        <v>127</v>
      </c>
      <c r="F11" t="s">
        <v>98</v>
      </c>
      <c r="G11" t="s">
        <v>99</v>
      </c>
      <c r="H11" t="s">
        <v>100</v>
      </c>
      <c r="I11" t="s">
        <v>128</v>
      </c>
      <c r="J11" t="s">
        <v>129</v>
      </c>
      <c r="K11">
        <v>1</v>
      </c>
      <c r="L11">
        <v>0</v>
      </c>
      <c r="M11">
        <v>0</v>
      </c>
      <c r="N11">
        <v>0.9</v>
      </c>
      <c r="O11">
        <v>1</v>
      </c>
      <c r="P11">
        <v>0</v>
      </c>
      <c r="Q11">
        <v>0</v>
      </c>
      <c r="R11">
        <v>0</v>
      </c>
      <c r="S11">
        <v>0.2492597874721639</v>
      </c>
      <c r="T11">
        <v>13</v>
      </c>
      <c r="U11">
        <v>5.8122531888635924</v>
      </c>
      <c r="W11">
        <v>1</v>
      </c>
      <c r="X11">
        <v>1</v>
      </c>
    </row>
    <row r="12" spans="1:24" x14ac:dyDescent="0.25">
      <c r="A12" t="s">
        <v>95</v>
      </c>
      <c r="B12" t="s">
        <v>96</v>
      </c>
      <c r="C12" t="s">
        <v>127</v>
      </c>
      <c r="F12" t="s">
        <v>98</v>
      </c>
      <c r="G12" t="s">
        <v>103</v>
      </c>
      <c r="H12" t="s">
        <v>104</v>
      </c>
      <c r="I12" t="s">
        <v>128</v>
      </c>
      <c r="J12" t="s">
        <v>129</v>
      </c>
      <c r="K12">
        <v>0</v>
      </c>
      <c r="L12">
        <v>0</v>
      </c>
      <c r="M12">
        <v>0</v>
      </c>
      <c r="N12">
        <v>0</v>
      </c>
      <c r="O12">
        <v>0.1</v>
      </c>
      <c r="P12">
        <v>0</v>
      </c>
      <c r="Q12">
        <v>0</v>
      </c>
      <c r="R12">
        <v>0</v>
      </c>
      <c r="S12">
        <v>0.2492597874721639</v>
      </c>
      <c r="T12">
        <v>13</v>
      </c>
      <c r="U12">
        <v>5.8122531888635924</v>
      </c>
      <c r="W12">
        <v>1</v>
      </c>
      <c r="X12">
        <v>1</v>
      </c>
    </row>
    <row r="13" spans="1:24" x14ac:dyDescent="0.25">
      <c r="A13" t="s">
        <v>95</v>
      </c>
      <c r="B13" t="s">
        <v>96</v>
      </c>
      <c r="C13" t="s">
        <v>127</v>
      </c>
      <c r="F13" t="s">
        <v>105</v>
      </c>
      <c r="G13" t="s">
        <v>106</v>
      </c>
      <c r="H13" t="s">
        <v>107</v>
      </c>
      <c r="I13" t="s">
        <v>128</v>
      </c>
      <c r="J13" t="s">
        <v>130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0.1975698698773741</v>
      </c>
      <c r="T13">
        <v>13</v>
      </c>
      <c r="U13">
        <v>5.8122531888635924</v>
      </c>
      <c r="W13">
        <v>1</v>
      </c>
      <c r="X13">
        <v>1</v>
      </c>
    </row>
    <row r="14" spans="1:24" x14ac:dyDescent="0.25">
      <c r="A14" t="s">
        <v>95</v>
      </c>
      <c r="B14" t="s">
        <v>96</v>
      </c>
      <c r="C14" t="s">
        <v>127</v>
      </c>
      <c r="F14" t="s">
        <v>105</v>
      </c>
      <c r="G14" t="s">
        <v>109</v>
      </c>
      <c r="H14" t="s">
        <v>110</v>
      </c>
      <c r="I14" t="s">
        <v>128</v>
      </c>
      <c r="J14" t="s">
        <v>130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0.1975698698773741</v>
      </c>
      <c r="T14">
        <v>13</v>
      </c>
      <c r="U14">
        <v>5.8122531888635924</v>
      </c>
      <c r="W14">
        <v>1</v>
      </c>
      <c r="X14">
        <v>1</v>
      </c>
    </row>
    <row r="15" spans="1:24" x14ac:dyDescent="0.25">
      <c r="A15" t="s">
        <v>95</v>
      </c>
      <c r="B15" t="s">
        <v>96</v>
      </c>
      <c r="C15" t="s">
        <v>127</v>
      </c>
      <c r="F15" t="s">
        <v>105</v>
      </c>
      <c r="G15" t="s">
        <v>111</v>
      </c>
      <c r="H15" t="s">
        <v>112</v>
      </c>
      <c r="I15" t="s">
        <v>128</v>
      </c>
      <c r="J15" t="s">
        <v>130</v>
      </c>
      <c r="K15">
        <v>0</v>
      </c>
      <c r="L15">
        <v>0</v>
      </c>
      <c r="M15">
        <v>0</v>
      </c>
      <c r="N15">
        <v>0</v>
      </c>
      <c r="O15">
        <v>0.1</v>
      </c>
      <c r="P15">
        <v>0</v>
      </c>
      <c r="Q15">
        <v>0</v>
      </c>
      <c r="R15">
        <v>0</v>
      </c>
      <c r="S15">
        <v>0.1975698698773741</v>
      </c>
      <c r="T15">
        <v>13</v>
      </c>
      <c r="U15">
        <v>5.8122531888635924</v>
      </c>
      <c r="W15">
        <v>1</v>
      </c>
      <c r="X15">
        <v>1</v>
      </c>
    </row>
    <row r="16" spans="1:24" x14ac:dyDescent="0.25">
      <c r="A16" t="s">
        <v>95</v>
      </c>
      <c r="B16" t="s">
        <v>96</v>
      </c>
      <c r="C16" t="s">
        <v>127</v>
      </c>
      <c r="F16" t="s">
        <v>113</v>
      </c>
      <c r="G16" t="s">
        <v>114</v>
      </c>
      <c r="H16" t="s">
        <v>115</v>
      </c>
      <c r="I16" t="s">
        <v>128</v>
      </c>
      <c r="J16" t="s">
        <v>131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0.18842471273321851</v>
      </c>
      <c r="T16">
        <v>13</v>
      </c>
      <c r="U16">
        <v>5.8122531888635924</v>
      </c>
      <c r="W16">
        <v>1</v>
      </c>
      <c r="X16">
        <v>1</v>
      </c>
    </row>
    <row r="17" spans="1:24" x14ac:dyDescent="0.25">
      <c r="A17" t="s">
        <v>95</v>
      </c>
      <c r="B17" t="s">
        <v>96</v>
      </c>
      <c r="C17" t="s">
        <v>127</v>
      </c>
      <c r="F17" t="s">
        <v>113</v>
      </c>
      <c r="G17" t="s">
        <v>117</v>
      </c>
      <c r="H17" t="s">
        <v>118</v>
      </c>
      <c r="I17" t="s">
        <v>128</v>
      </c>
      <c r="J17" t="s">
        <v>131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0.18842471273321851</v>
      </c>
      <c r="T17">
        <v>13</v>
      </c>
      <c r="U17">
        <v>5.8122531888635924</v>
      </c>
      <c r="W17">
        <v>1</v>
      </c>
      <c r="X17">
        <v>1</v>
      </c>
    </row>
    <row r="18" spans="1:24" x14ac:dyDescent="0.25">
      <c r="A18" t="s">
        <v>95</v>
      </c>
      <c r="B18" t="s">
        <v>96</v>
      </c>
      <c r="C18" t="s">
        <v>127</v>
      </c>
      <c r="F18" t="s">
        <v>119</v>
      </c>
      <c r="G18" t="s">
        <v>120</v>
      </c>
      <c r="H18" t="s">
        <v>121</v>
      </c>
      <c r="I18" t="s">
        <v>128</v>
      </c>
      <c r="J18" t="s">
        <v>132</v>
      </c>
      <c r="K18">
        <v>1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0.34221936387625351</v>
      </c>
      <c r="T18">
        <v>13</v>
      </c>
      <c r="U18">
        <v>5.8122531888635924</v>
      </c>
      <c r="W18">
        <v>1</v>
      </c>
      <c r="X18">
        <v>1</v>
      </c>
    </row>
    <row r="19" spans="1:24" x14ac:dyDescent="0.25">
      <c r="A19" t="s">
        <v>95</v>
      </c>
      <c r="B19" t="s">
        <v>96</v>
      </c>
      <c r="C19" t="s">
        <v>127</v>
      </c>
      <c r="F19" t="s">
        <v>123</v>
      </c>
      <c r="G19" t="s">
        <v>124</v>
      </c>
      <c r="H19" t="s">
        <v>125</v>
      </c>
      <c r="I19" t="s">
        <v>128</v>
      </c>
      <c r="J19" t="s">
        <v>133</v>
      </c>
      <c r="K19">
        <v>1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0.34221936387625351</v>
      </c>
      <c r="T19">
        <v>13</v>
      </c>
      <c r="U19">
        <v>5.8122531888635924</v>
      </c>
      <c r="W19">
        <v>1</v>
      </c>
      <c r="X19">
        <v>1</v>
      </c>
    </row>
    <row r="20" spans="1:24" x14ac:dyDescent="0.25">
      <c r="A20" t="s">
        <v>95</v>
      </c>
      <c r="B20" t="s">
        <v>96</v>
      </c>
      <c r="C20" t="s">
        <v>134</v>
      </c>
      <c r="F20" t="s">
        <v>98</v>
      </c>
      <c r="G20" t="s">
        <v>99</v>
      </c>
      <c r="H20" t="s">
        <v>100</v>
      </c>
      <c r="I20" t="s">
        <v>135</v>
      </c>
      <c r="J20" t="s">
        <v>136</v>
      </c>
      <c r="K20">
        <v>1</v>
      </c>
      <c r="L20">
        <v>0</v>
      </c>
      <c r="M20">
        <v>0</v>
      </c>
      <c r="N20">
        <v>0.9</v>
      </c>
      <c r="O20">
        <v>1</v>
      </c>
      <c r="P20">
        <v>0</v>
      </c>
      <c r="Q20">
        <v>0</v>
      </c>
      <c r="R20">
        <v>0</v>
      </c>
      <c r="S20">
        <v>0.27793892005546322</v>
      </c>
      <c r="T20">
        <v>73</v>
      </c>
      <c r="U20">
        <v>1.212166586851716</v>
      </c>
      <c r="W20">
        <v>1</v>
      </c>
      <c r="X20">
        <v>1</v>
      </c>
    </row>
    <row r="21" spans="1:24" x14ac:dyDescent="0.25">
      <c r="A21" t="s">
        <v>95</v>
      </c>
      <c r="B21" t="s">
        <v>96</v>
      </c>
      <c r="C21" t="s">
        <v>134</v>
      </c>
      <c r="F21" t="s">
        <v>98</v>
      </c>
      <c r="G21" t="s">
        <v>103</v>
      </c>
      <c r="H21" t="s">
        <v>104</v>
      </c>
      <c r="I21" t="s">
        <v>135</v>
      </c>
      <c r="J21" t="s">
        <v>136</v>
      </c>
      <c r="K21">
        <v>0</v>
      </c>
      <c r="L21">
        <v>0</v>
      </c>
      <c r="M21">
        <v>0</v>
      </c>
      <c r="N21">
        <v>0</v>
      </c>
      <c r="O21">
        <v>0.1</v>
      </c>
      <c r="P21">
        <v>0</v>
      </c>
      <c r="Q21">
        <v>0</v>
      </c>
      <c r="R21">
        <v>0</v>
      </c>
      <c r="S21">
        <v>0.27793892005546322</v>
      </c>
      <c r="T21">
        <v>73</v>
      </c>
      <c r="U21">
        <v>1.212166586851716</v>
      </c>
      <c r="W21">
        <v>1</v>
      </c>
      <c r="X21">
        <v>1</v>
      </c>
    </row>
    <row r="22" spans="1:24" x14ac:dyDescent="0.25">
      <c r="A22" t="s">
        <v>95</v>
      </c>
      <c r="B22" t="s">
        <v>96</v>
      </c>
      <c r="C22" t="s">
        <v>134</v>
      </c>
      <c r="F22" t="s">
        <v>105</v>
      </c>
      <c r="G22" t="s">
        <v>106</v>
      </c>
      <c r="H22" t="s">
        <v>107</v>
      </c>
      <c r="I22" t="s">
        <v>135</v>
      </c>
      <c r="J22" t="s">
        <v>137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0.60859220633235001</v>
      </c>
      <c r="T22">
        <v>73</v>
      </c>
      <c r="U22">
        <v>1.212166586851716</v>
      </c>
      <c r="W22">
        <v>1</v>
      </c>
      <c r="X22">
        <v>1</v>
      </c>
    </row>
    <row r="23" spans="1:24" x14ac:dyDescent="0.25">
      <c r="A23" t="s">
        <v>95</v>
      </c>
      <c r="B23" t="s">
        <v>96</v>
      </c>
      <c r="C23" t="s">
        <v>134</v>
      </c>
      <c r="F23" t="s">
        <v>105</v>
      </c>
      <c r="G23" t="s">
        <v>109</v>
      </c>
      <c r="H23" t="s">
        <v>110</v>
      </c>
      <c r="I23" t="s">
        <v>135</v>
      </c>
      <c r="J23" t="s">
        <v>137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0.60859220633235001</v>
      </c>
      <c r="T23">
        <v>73</v>
      </c>
      <c r="U23">
        <v>1.212166586851716</v>
      </c>
      <c r="W23">
        <v>1</v>
      </c>
      <c r="X23">
        <v>1</v>
      </c>
    </row>
    <row r="24" spans="1:24" x14ac:dyDescent="0.25">
      <c r="A24" t="s">
        <v>95</v>
      </c>
      <c r="B24" t="s">
        <v>96</v>
      </c>
      <c r="C24" t="s">
        <v>134</v>
      </c>
      <c r="F24" t="s">
        <v>105</v>
      </c>
      <c r="G24" t="s">
        <v>111</v>
      </c>
      <c r="H24" t="s">
        <v>112</v>
      </c>
      <c r="I24" t="s">
        <v>135</v>
      </c>
      <c r="J24" t="s">
        <v>137</v>
      </c>
      <c r="K24">
        <v>0</v>
      </c>
      <c r="L24">
        <v>0</v>
      </c>
      <c r="M24">
        <v>0</v>
      </c>
      <c r="N24">
        <v>0</v>
      </c>
      <c r="O24">
        <v>0.1</v>
      </c>
      <c r="P24">
        <v>0</v>
      </c>
      <c r="Q24">
        <v>0</v>
      </c>
      <c r="R24">
        <v>0</v>
      </c>
      <c r="S24">
        <v>0.60859220633235001</v>
      </c>
      <c r="T24">
        <v>73</v>
      </c>
      <c r="U24">
        <v>1.212166586851716</v>
      </c>
      <c r="W24">
        <v>1</v>
      </c>
      <c r="X24">
        <v>1</v>
      </c>
    </row>
    <row r="25" spans="1:24" x14ac:dyDescent="0.25">
      <c r="A25" t="s">
        <v>95</v>
      </c>
      <c r="B25" t="s">
        <v>96</v>
      </c>
      <c r="C25" t="s">
        <v>134</v>
      </c>
      <c r="F25" t="s">
        <v>113</v>
      </c>
      <c r="G25" t="s">
        <v>114</v>
      </c>
      <c r="H25" t="s">
        <v>115</v>
      </c>
      <c r="I25" t="s">
        <v>135</v>
      </c>
      <c r="J25" t="s">
        <v>138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0.49814213089078491</v>
      </c>
      <c r="T25">
        <v>73</v>
      </c>
      <c r="U25">
        <v>1.212166586851716</v>
      </c>
      <c r="W25">
        <v>1</v>
      </c>
      <c r="X25">
        <v>1</v>
      </c>
    </row>
    <row r="26" spans="1:24" x14ac:dyDescent="0.25">
      <c r="A26" t="s">
        <v>95</v>
      </c>
      <c r="B26" t="s">
        <v>96</v>
      </c>
      <c r="C26" t="s">
        <v>134</v>
      </c>
      <c r="F26" t="s">
        <v>113</v>
      </c>
      <c r="G26" t="s">
        <v>117</v>
      </c>
      <c r="H26" t="s">
        <v>118</v>
      </c>
      <c r="I26" t="s">
        <v>135</v>
      </c>
      <c r="J26" t="s">
        <v>138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0.49814213089078491</v>
      </c>
      <c r="T26">
        <v>73</v>
      </c>
      <c r="U26">
        <v>1.212166586851716</v>
      </c>
      <c r="W26">
        <v>1</v>
      </c>
      <c r="X26">
        <v>1</v>
      </c>
    </row>
    <row r="27" spans="1:24" x14ac:dyDescent="0.25">
      <c r="A27" t="s">
        <v>95</v>
      </c>
      <c r="B27" t="s">
        <v>96</v>
      </c>
      <c r="C27" t="s">
        <v>134</v>
      </c>
      <c r="F27" t="s">
        <v>119</v>
      </c>
      <c r="G27" t="s">
        <v>120</v>
      </c>
      <c r="H27" t="s">
        <v>121</v>
      </c>
      <c r="I27" t="s">
        <v>135</v>
      </c>
      <c r="J27" t="s">
        <v>139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1.0113384849146789</v>
      </c>
      <c r="T27">
        <v>73</v>
      </c>
      <c r="U27">
        <v>1.212166586851716</v>
      </c>
      <c r="W27">
        <v>1</v>
      </c>
      <c r="X27">
        <v>1</v>
      </c>
    </row>
    <row r="28" spans="1:24" x14ac:dyDescent="0.25">
      <c r="A28" t="s">
        <v>95</v>
      </c>
      <c r="B28" t="s">
        <v>96</v>
      </c>
      <c r="C28" t="s">
        <v>134</v>
      </c>
      <c r="F28" t="s">
        <v>123</v>
      </c>
      <c r="G28" t="s">
        <v>124</v>
      </c>
      <c r="H28" t="s">
        <v>125</v>
      </c>
      <c r="I28" t="s">
        <v>135</v>
      </c>
      <c r="J28" t="s">
        <v>140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1.0113384849146789</v>
      </c>
      <c r="T28">
        <v>73</v>
      </c>
      <c r="U28">
        <v>1.212166586851716</v>
      </c>
      <c r="W28">
        <v>1</v>
      </c>
      <c r="X28">
        <v>1</v>
      </c>
    </row>
    <row r="29" spans="1:24" x14ac:dyDescent="0.25">
      <c r="A29" t="s">
        <v>95</v>
      </c>
      <c r="B29" t="s">
        <v>141</v>
      </c>
      <c r="C29" t="s">
        <v>142</v>
      </c>
      <c r="F29" t="s">
        <v>98</v>
      </c>
      <c r="G29" t="s">
        <v>99</v>
      </c>
      <c r="H29" t="s">
        <v>100</v>
      </c>
      <c r="I29" t="s">
        <v>143</v>
      </c>
      <c r="J29" t="s">
        <v>144</v>
      </c>
      <c r="K29">
        <v>1</v>
      </c>
      <c r="L29">
        <v>1578.5178847930749</v>
      </c>
      <c r="M29">
        <v>0.83013533837128906</v>
      </c>
      <c r="N29">
        <v>0.9</v>
      </c>
      <c r="O29">
        <v>1</v>
      </c>
      <c r="P29">
        <v>1310.3834784178309</v>
      </c>
      <c r="Q29">
        <v>5439.0502992313704</v>
      </c>
      <c r="R29">
        <v>1310.3834784178309</v>
      </c>
      <c r="S29">
        <v>0.2409213753002083</v>
      </c>
      <c r="T29">
        <v>15</v>
      </c>
      <c r="U29">
        <v>5.922224573942124</v>
      </c>
      <c r="W29">
        <v>1</v>
      </c>
      <c r="X29">
        <v>1</v>
      </c>
    </row>
    <row r="30" spans="1:24" x14ac:dyDescent="0.25">
      <c r="A30" t="s">
        <v>95</v>
      </c>
      <c r="B30" t="s">
        <v>141</v>
      </c>
      <c r="C30" t="s">
        <v>142</v>
      </c>
      <c r="F30" t="s">
        <v>98</v>
      </c>
      <c r="G30" t="s">
        <v>103</v>
      </c>
      <c r="H30" t="s">
        <v>104</v>
      </c>
      <c r="I30" t="s">
        <v>143</v>
      </c>
      <c r="J30" t="s">
        <v>144</v>
      </c>
      <c r="K30">
        <v>0</v>
      </c>
      <c r="L30">
        <v>1578.5178847930749</v>
      </c>
      <c r="M30">
        <v>0</v>
      </c>
      <c r="N30">
        <v>0</v>
      </c>
      <c r="O30">
        <v>0.1</v>
      </c>
      <c r="P30">
        <v>0</v>
      </c>
      <c r="Q30">
        <v>0</v>
      </c>
      <c r="R30">
        <v>0</v>
      </c>
      <c r="S30">
        <v>0.2409213753002083</v>
      </c>
      <c r="T30">
        <v>15</v>
      </c>
      <c r="U30">
        <v>5.922224573942124</v>
      </c>
      <c r="W30">
        <v>1</v>
      </c>
      <c r="X30">
        <v>1</v>
      </c>
    </row>
    <row r="31" spans="1:24" x14ac:dyDescent="0.25">
      <c r="A31" t="s">
        <v>95</v>
      </c>
      <c r="B31" t="s">
        <v>141</v>
      </c>
      <c r="C31" t="s">
        <v>142</v>
      </c>
      <c r="F31" t="s">
        <v>105</v>
      </c>
      <c r="G31" t="s">
        <v>106</v>
      </c>
      <c r="H31" t="s">
        <v>107</v>
      </c>
      <c r="I31" t="s">
        <v>143</v>
      </c>
      <c r="J31" t="s">
        <v>145</v>
      </c>
      <c r="K31">
        <v>1</v>
      </c>
      <c r="L31">
        <v>1578.5178847930749</v>
      </c>
      <c r="M31">
        <v>0.16200256102354729</v>
      </c>
      <c r="N31">
        <v>0</v>
      </c>
      <c r="O31">
        <v>1</v>
      </c>
      <c r="P31">
        <v>255.72393995795099</v>
      </c>
      <c r="Q31">
        <v>1444.03486828822</v>
      </c>
      <c r="R31">
        <v>255.72393995795099</v>
      </c>
      <c r="S31">
        <v>0.17708986505366731</v>
      </c>
      <c r="T31">
        <v>15</v>
      </c>
      <c r="U31">
        <v>5.922224573942124</v>
      </c>
      <c r="W31">
        <v>1</v>
      </c>
      <c r="X31">
        <v>1</v>
      </c>
    </row>
    <row r="32" spans="1:24" x14ac:dyDescent="0.25">
      <c r="A32" t="s">
        <v>95</v>
      </c>
      <c r="B32" t="s">
        <v>141</v>
      </c>
      <c r="C32" t="s">
        <v>142</v>
      </c>
      <c r="F32" t="s">
        <v>105</v>
      </c>
      <c r="G32" t="s">
        <v>109</v>
      </c>
      <c r="H32" t="s">
        <v>110</v>
      </c>
      <c r="I32" t="s">
        <v>143</v>
      </c>
      <c r="J32" t="s">
        <v>145</v>
      </c>
      <c r="K32">
        <v>0</v>
      </c>
      <c r="L32">
        <v>1578.5178847930749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0.17708986505366731</v>
      </c>
      <c r="T32">
        <v>15</v>
      </c>
      <c r="U32">
        <v>5.922224573942124</v>
      </c>
      <c r="W32">
        <v>1</v>
      </c>
      <c r="X32">
        <v>1</v>
      </c>
    </row>
    <row r="33" spans="1:24" x14ac:dyDescent="0.25">
      <c r="A33" t="s">
        <v>95</v>
      </c>
      <c r="B33" t="s">
        <v>141</v>
      </c>
      <c r="C33" t="s">
        <v>142</v>
      </c>
      <c r="F33" t="s">
        <v>105</v>
      </c>
      <c r="G33" t="s">
        <v>111</v>
      </c>
      <c r="H33" t="s">
        <v>112</v>
      </c>
      <c r="I33" t="s">
        <v>143</v>
      </c>
      <c r="J33" t="s">
        <v>145</v>
      </c>
      <c r="K33">
        <v>0</v>
      </c>
      <c r="L33">
        <v>1578.5178847930749</v>
      </c>
      <c r="M33">
        <v>0</v>
      </c>
      <c r="N33">
        <v>0</v>
      </c>
      <c r="O33">
        <v>0.1</v>
      </c>
      <c r="P33">
        <v>0</v>
      </c>
      <c r="Q33">
        <v>0</v>
      </c>
      <c r="R33">
        <v>0</v>
      </c>
      <c r="S33">
        <v>0.17708986505366731</v>
      </c>
      <c r="T33">
        <v>15</v>
      </c>
      <c r="U33">
        <v>5.922224573942124</v>
      </c>
      <c r="W33">
        <v>1</v>
      </c>
      <c r="X33">
        <v>1</v>
      </c>
    </row>
    <row r="34" spans="1:24" x14ac:dyDescent="0.25">
      <c r="A34" t="s">
        <v>95</v>
      </c>
      <c r="B34" t="s">
        <v>141</v>
      </c>
      <c r="C34" t="s">
        <v>142</v>
      </c>
      <c r="F34" t="s">
        <v>113</v>
      </c>
      <c r="G34" t="s">
        <v>114</v>
      </c>
      <c r="H34" t="s">
        <v>115</v>
      </c>
      <c r="I34" t="s">
        <v>143</v>
      </c>
      <c r="J34" t="s">
        <v>146</v>
      </c>
      <c r="K34">
        <v>1</v>
      </c>
      <c r="L34">
        <v>1578.5178847930749</v>
      </c>
      <c r="M34">
        <v>1.363285754824705E-3</v>
      </c>
      <c r="N34">
        <v>0</v>
      </c>
      <c r="O34">
        <v>1</v>
      </c>
      <c r="P34">
        <v>2.151970946074425</v>
      </c>
      <c r="Q34">
        <v>11.4208530020226</v>
      </c>
      <c r="R34">
        <v>2.151970946074425</v>
      </c>
      <c r="S34">
        <v>0.18842471273321851</v>
      </c>
      <c r="T34">
        <v>15</v>
      </c>
      <c r="U34">
        <v>5.922224573942124</v>
      </c>
      <c r="W34">
        <v>1</v>
      </c>
      <c r="X34">
        <v>1</v>
      </c>
    </row>
    <row r="35" spans="1:24" x14ac:dyDescent="0.25">
      <c r="A35" t="s">
        <v>95</v>
      </c>
      <c r="B35" t="s">
        <v>141</v>
      </c>
      <c r="C35" t="s">
        <v>142</v>
      </c>
      <c r="F35" t="s">
        <v>113</v>
      </c>
      <c r="G35" t="s">
        <v>117</v>
      </c>
      <c r="H35" t="s">
        <v>118</v>
      </c>
      <c r="I35" t="s">
        <v>143</v>
      </c>
      <c r="J35" t="s">
        <v>146</v>
      </c>
      <c r="K35">
        <v>0</v>
      </c>
      <c r="L35">
        <v>1578.5178847930749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0.18842471273321851</v>
      </c>
      <c r="T35">
        <v>15</v>
      </c>
      <c r="U35">
        <v>5.922224573942124</v>
      </c>
      <c r="W35">
        <v>1</v>
      </c>
      <c r="X35">
        <v>1</v>
      </c>
    </row>
    <row r="36" spans="1:24" x14ac:dyDescent="0.25">
      <c r="A36" t="s">
        <v>95</v>
      </c>
      <c r="B36" t="s">
        <v>141</v>
      </c>
      <c r="C36" t="s">
        <v>142</v>
      </c>
      <c r="F36" t="s">
        <v>119</v>
      </c>
      <c r="G36" t="s">
        <v>120</v>
      </c>
      <c r="H36" t="s">
        <v>121</v>
      </c>
      <c r="I36" t="s">
        <v>143</v>
      </c>
      <c r="J36" t="s">
        <v>147</v>
      </c>
      <c r="K36">
        <v>1</v>
      </c>
      <c r="L36">
        <v>1578.5178847930749</v>
      </c>
      <c r="M36">
        <v>6.4988148503388986E-3</v>
      </c>
      <c r="N36">
        <v>1</v>
      </c>
      <c r="O36">
        <v>1</v>
      </c>
      <c r="P36">
        <v>10.258495471218779</v>
      </c>
      <c r="Q36">
        <v>29.976373502138401</v>
      </c>
      <c r="R36">
        <v>10.258495471218779</v>
      </c>
      <c r="S36">
        <v>0.34221936387625351</v>
      </c>
      <c r="T36">
        <v>15</v>
      </c>
      <c r="U36">
        <v>5.922224573942124</v>
      </c>
      <c r="W36">
        <v>1</v>
      </c>
      <c r="X36">
        <v>1</v>
      </c>
    </row>
    <row r="37" spans="1:24" x14ac:dyDescent="0.25">
      <c r="A37" t="s">
        <v>95</v>
      </c>
      <c r="B37" t="s">
        <v>141</v>
      </c>
      <c r="C37" t="s">
        <v>142</v>
      </c>
      <c r="F37" t="s">
        <v>123</v>
      </c>
      <c r="G37" t="s">
        <v>124</v>
      </c>
      <c r="H37" t="s">
        <v>125</v>
      </c>
      <c r="I37" t="s">
        <v>143</v>
      </c>
      <c r="J37" t="s">
        <v>148</v>
      </c>
      <c r="K37">
        <v>1</v>
      </c>
      <c r="L37">
        <v>1578.5178847930749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0.34221936387625351</v>
      </c>
      <c r="T37">
        <v>15</v>
      </c>
      <c r="U37">
        <v>5.922224573942124</v>
      </c>
      <c r="W37">
        <v>1</v>
      </c>
      <c r="X37">
        <v>1</v>
      </c>
    </row>
    <row r="38" spans="1:24" x14ac:dyDescent="0.25">
      <c r="A38" t="s">
        <v>95</v>
      </c>
      <c r="B38" t="s">
        <v>141</v>
      </c>
      <c r="C38" t="s">
        <v>149</v>
      </c>
      <c r="F38" t="s">
        <v>98</v>
      </c>
      <c r="G38" t="s">
        <v>99</v>
      </c>
      <c r="H38" t="s">
        <v>100</v>
      </c>
      <c r="I38" t="s">
        <v>150</v>
      </c>
      <c r="J38" t="s">
        <v>151</v>
      </c>
      <c r="K38">
        <v>1</v>
      </c>
      <c r="L38">
        <v>70.026308273942732</v>
      </c>
      <c r="M38">
        <v>3.6974795514361967E-2</v>
      </c>
      <c r="N38">
        <v>0.9</v>
      </c>
      <c r="O38">
        <v>1</v>
      </c>
      <c r="P38">
        <v>2.5892084290547062</v>
      </c>
      <c r="Q38">
        <v>26.454713120968201</v>
      </c>
      <c r="R38">
        <v>2.5892084290547062</v>
      </c>
      <c r="S38">
        <v>9.7873237831578697E-2</v>
      </c>
      <c r="T38">
        <v>8</v>
      </c>
      <c r="U38">
        <v>10.491571958288359</v>
      </c>
      <c r="W38">
        <v>1</v>
      </c>
      <c r="X38">
        <v>1</v>
      </c>
    </row>
    <row r="39" spans="1:24" x14ac:dyDescent="0.25">
      <c r="A39" t="s">
        <v>95</v>
      </c>
      <c r="B39" t="s">
        <v>141</v>
      </c>
      <c r="C39" t="s">
        <v>149</v>
      </c>
      <c r="F39" t="s">
        <v>98</v>
      </c>
      <c r="G39" t="s">
        <v>103</v>
      </c>
      <c r="H39" t="s">
        <v>104</v>
      </c>
      <c r="I39" t="s">
        <v>150</v>
      </c>
      <c r="J39" t="s">
        <v>151</v>
      </c>
      <c r="K39">
        <v>0</v>
      </c>
      <c r="L39">
        <v>70.026308273942732</v>
      </c>
      <c r="M39">
        <v>0</v>
      </c>
      <c r="N39">
        <v>0</v>
      </c>
      <c r="O39">
        <v>0.1</v>
      </c>
      <c r="P39">
        <v>0</v>
      </c>
      <c r="Q39">
        <v>0</v>
      </c>
      <c r="R39">
        <v>0</v>
      </c>
      <c r="S39">
        <v>9.7873237831578697E-2</v>
      </c>
      <c r="T39">
        <v>8</v>
      </c>
      <c r="U39">
        <v>10.491571958288359</v>
      </c>
      <c r="W39">
        <v>1</v>
      </c>
      <c r="X39">
        <v>1</v>
      </c>
    </row>
    <row r="40" spans="1:24" x14ac:dyDescent="0.25">
      <c r="A40" t="s">
        <v>95</v>
      </c>
      <c r="B40" t="s">
        <v>141</v>
      </c>
      <c r="C40" t="s">
        <v>149</v>
      </c>
      <c r="F40" t="s">
        <v>105</v>
      </c>
      <c r="G40" t="s">
        <v>106</v>
      </c>
      <c r="H40" t="s">
        <v>107</v>
      </c>
      <c r="I40" t="s">
        <v>150</v>
      </c>
      <c r="J40" t="s">
        <v>152</v>
      </c>
      <c r="K40">
        <v>1</v>
      </c>
      <c r="L40">
        <v>70.026308273942732</v>
      </c>
      <c r="M40">
        <v>0.95883868427741081</v>
      </c>
      <c r="N40">
        <v>0</v>
      </c>
      <c r="O40">
        <v>1</v>
      </c>
      <c r="P40">
        <v>67.143933290191612</v>
      </c>
      <c r="Q40">
        <v>1000.0455256896601</v>
      </c>
      <c r="R40">
        <v>67.143933290191612</v>
      </c>
      <c r="S40">
        <v>6.7140876655477494E-2</v>
      </c>
      <c r="T40">
        <v>8</v>
      </c>
      <c r="U40">
        <v>10.491571958288359</v>
      </c>
      <c r="W40">
        <v>1</v>
      </c>
      <c r="X40">
        <v>1</v>
      </c>
    </row>
    <row r="41" spans="1:24" x14ac:dyDescent="0.25">
      <c r="A41" t="s">
        <v>95</v>
      </c>
      <c r="B41" t="s">
        <v>141</v>
      </c>
      <c r="C41" t="s">
        <v>149</v>
      </c>
      <c r="F41" t="s">
        <v>105</v>
      </c>
      <c r="G41" t="s">
        <v>109</v>
      </c>
      <c r="H41" t="s">
        <v>110</v>
      </c>
      <c r="I41" t="s">
        <v>150</v>
      </c>
      <c r="J41" t="s">
        <v>152</v>
      </c>
      <c r="K41">
        <v>0</v>
      </c>
      <c r="L41">
        <v>70.026308273942732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6.7140876655477494E-2</v>
      </c>
      <c r="T41">
        <v>8</v>
      </c>
      <c r="U41">
        <v>10.491571958288359</v>
      </c>
      <c r="W41">
        <v>1</v>
      </c>
      <c r="X41">
        <v>1</v>
      </c>
    </row>
    <row r="42" spans="1:24" x14ac:dyDescent="0.25">
      <c r="A42" t="s">
        <v>95</v>
      </c>
      <c r="B42" t="s">
        <v>141</v>
      </c>
      <c r="C42" t="s">
        <v>149</v>
      </c>
      <c r="F42" t="s">
        <v>105</v>
      </c>
      <c r="G42" t="s">
        <v>111</v>
      </c>
      <c r="H42" t="s">
        <v>112</v>
      </c>
      <c r="I42" t="s">
        <v>150</v>
      </c>
      <c r="J42" t="s">
        <v>152</v>
      </c>
      <c r="K42">
        <v>0</v>
      </c>
      <c r="L42">
        <v>70.026308273942732</v>
      </c>
      <c r="M42">
        <v>0</v>
      </c>
      <c r="N42">
        <v>0</v>
      </c>
      <c r="O42">
        <v>0.1</v>
      </c>
      <c r="P42">
        <v>0</v>
      </c>
      <c r="Q42">
        <v>0</v>
      </c>
      <c r="R42">
        <v>0</v>
      </c>
      <c r="S42">
        <v>6.7140876655477494E-2</v>
      </c>
      <c r="T42">
        <v>8</v>
      </c>
      <c r="U42">
        <v>10.491571958288359</v>
      </c>
      <c r="W42">
        <v>1</v>
      </c>
      <c r="X42">
        <v>1</v>
      </c>
    </row>
    <row r="43" spans="1:24" x14ac:dyDescent="0.25">
      <c r="A43" t="s">
        <v>95</v>
      </c>
      <c r="B43" t="s">
        <v>141</v>
      </c>
      <c r="C43" t="s">
        <v>149</v>
      </c>
      <c r="F43" t="s">
        <v>113</v>
      </c>
      <c r="G43" t="s">
        <v>114</v>
      </c>
      <c r="H43" t="s">
        <v>115</v>
      </c>
      <c r="I43" t="s">
        <v>150</v>
      </c>
      <c r="J43" t="s">
        <v>153</v>
      </c>
      <c r="K43">
        <v>1</v>
      </c>
      <c r="L43">
        <v>70.026308273942732</v>
      </c>
      <c r="M43">
        <v>4.1865202082272141E-3</v>
      </c>
      <c r="N43">
        <v>0</v>
      </c>
      <c r="O43">
        <v>1</v>
      </c>
      <c r="P43">
        <v>0.29316655469640979</v>
      </c>
      <c r="Q43">
        <v>5.4830303130142299</v>
      </c>
      <c r="R43">
        <v>0.29316655469640979</v>
      </c>
      <c r="S43">
        <v>5.3467979923540673E-2</v>
      </c>
      <c r="T43">
        <v>8</v>
      </c>
      <c r="U43">
        <v>10.491571958288359</v>
      </c>
      <c r="W43">
        <v>1</v>
      </c>
      <c r="X43">
        <v>1</v>
      </c>
    </row>
    <row r="44" spans="1:24" x14ac:dyDescent="0.25">
      <c r="A44" t="s">
        <v>95</v>
      </c>
      <c r="B44" t="s">
        <v>141</v>
      </c>
      <c r="C44" t="s">
        <v>149</v>
      </c>
      <c r="F44" t="s">
        <v>113</v>
      </c>
      <c r="G44" t="s">
        <v>117</v>
      </c>
      <c r="H44" t="s">
        <v>118</v>
      </c>
      <c r="I44" t="s">
        <v>150</v>
      </c>
      <c r="J44" t="s">
        <v>153</v>
      </c>
      <c r="K44">
        <v>0</v>
      </c>
      <c r="L44">
        <v>70.026308273942732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1.046666208307984E-2</v>
      </c>
      <c r="T44">
        <v>8</v>
      </c>
      <c r="U44">
        <v>10.491571958288359</v>
      </c>
      <c r="W44">
        <v>1</v>
      </c>
      <c r="X44">
        <v>1</v>
      </c>
    </row>
    <row r="45" spans="1:24" x14ac:dyDescent="0.25">
      <c r="A45" t="s">
        <v>95</v>
      </c>
      <c r="B45" t="s">
        <v>141</v>
      </c>
      <c r="C45" t="s">
        <v>149</v>
      </c>
      <c r="F45" t="s">
        <v>119</v>
      </c>
      <c r="G45" t="s">
        <v>154</v>
      </c>
      <c r="H45" t="s">
        <v>155</v>
      </c>
      <c r="I45" t="s">
        <v>150</v>
      </c>
      <c r="J45" t="s">
        <v>156</v>
      </c>
      <c r="K45">
        <v>1</v>
      </c>
      <c r="L45">
        <v>70.026308273942732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0.21465701666491771</v>
      </c>
      <c r="T45">
        <v>8</v>
      </c>
      <c r="U45">
        <v>10.491571958288359</v>
      </c>
      <c r="W45">
        <v>1</v>
      </c>
      <c r="X45">
        <v>1</v>
      </c>
    </row>
    <row r="46" spans="1:24" x14ac:dyDescent="0.25">
      <c r="A46" t="s">
        <v>95</v>
      </c>
      <c r="B46" t="s">
        <v>141</v>
      </c>
      <c r="C46" t="s">
        <v>149</v>
      </c>
      <c r="F46" t="s">
        <v>123</v>
      </c>
      <c r="G46" t="s">
        <v>124</v>
      </c>
      <c r="H46" t="s">
        <v>125</v>
      </c>
      <c r="I46" t="s">
        <v>150</v>
      </c>
      <c r="J46" t="s">
        <v>157</v>
      </c>
      <c r="K46">
        <v>1</v>
      </c>
      <c r="L46">
        <v>70.026308273942732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0.14310467777661179</v>
      </c>
      <c r="T46">
        <v>8</v>
      </c>
      <c r="U46">
        <v>10.491571958288359</v>
      </c>
      <c r="W46">
        <v>1</v>
      </c>
      <c r="X46">
        <v>1</v>
      </c>
    </row>
    <row r="47" spans="1:24" x14ac:dyDescent="0.25">
      <c r="A47" t="s">
        <v>95</v>
      </c>
      <c r="B47" t="s">
        <v>141</v>
      </c>
      <c r="C47" t="s">
        <v>158</v>
      </c>
      <c r="F47" t="s">
        <v>159</v>
      </c>
      <c r="G47" t="s">
        <v>99</v>
      </c>
      <c r="H47" t="s">
        <v>100</v>
      </c>
      <c r="I47" t="s">
        <v>160</v>
      </c>
      <c r="J47" t="s">
        <v>161</v>
      </c>
      <c r="K47">
        <v>1</v>
      </c>
      <c r="L47">
        <v>0</v>
      </c>
      <c r="M47">
        <v>0</v>
      </c>
      <c r="N47">
        <v>0.9</v>
      </c>
      <c r="O47">
        <v>1</v>
      </c>
      <c r="P47">
        <v>0</v>
      </c>
      <c r="Q47">
        <v>0</v>
      </c>
      <c r="R47">
        <v>0</v>
      </c>
      <c r="S47">
        <v>0.1122163330779205</v>
      </c>
      <c r="T47">
        <v>11</v>
      </c>
      <c r="U47">
        <v>10.127280690055271</v>
      </c>
      <c r="W47">
        <v>1</v>
      </c>
      <c r="X47">
        <v>1</v>
      </c>
    </row>
    <row r="48" spans="1:24" x14ac:dyDescent="0.25">
      <c r="A48" t="s">
        <v>95</v>
      </c>
      <c r="B48" t="s">
        <v>141</v>
      </c>
      <c r="C48" t="s">
        <v>158</v>
      </c>
      <c r="F48" t="s">
        <v>159</v>
      </c>
      <c r="G48" t="s">
        <v>103</v>
      </c>
      <c r="H48" t="s">
        <v>104</v>
      </c>
      <c r="I48" t="s">
        <v>160</v>
      </c>
      <c r="J48" t="s">
        <v>161</v>
      </c>
      <c r="K48">
        <v>0</v>
      </c>
      <c r="L48">
        <v>0</v>
      </c>
      <c r="M48">
        <v>0</v>
      </c>
      <c r="N48">
        <v>0</v>
      </c>
      <c r="O48">
        <v>0.1</v>
      </c>
      <c r="P48">
        <v>0</v>
      </c>
      <c r="Q48">
        <v>0</v>
      </c>
      <c r="R48">
        <v>0</v>
      </c>
      <c r="S48">
        <v>0.1122163330779205</v>
      </c>
      <c r="T48">
        <v>11</v>
      </c>
      <c r="U48">
        <v>10.127280690055271</v>
      </c>
      <c r="W48">
        <v>1</v>
      </c>
      <c r="X48">
        <v>1</v>
      </c>
    </row>
    <row r="49" spans="1:24" x14ac:dyDescent="0.25">
      <c r="A49" t="s">
        <v>95</v>
      </c>
      <c r="B49" t="s">
        <v>141</v>
      </c>
      <c r="C49" t="s">
        <v>158</v>
      </c>
      <c r="F49" t="s">
        <v>162</v>
      </c>
      <c r="G49" t="s">
        <v>106</v>
      </c>
      <c r="H49" t="s">
        <v>107</v>
      </c>
      <c r="I49" t="s">
        <v>160</v>
      </c>
      <c r="J49" t="s">
        <v>163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0.1180076741117386</v>
      </c>
      <c r="T49">
        <v>11</v>
      </c>
      <c r="U49">
        <v>10.127280690055271</v>
      </c>
      <c r="W49">
        <v>1</v>
      </c>
      <c r="X49">
        <v>1</v>
      </c>
    </row>
    <row r="50" spans="1:24" x14ac:dyDescent="0.25">
      <c r="A50" t="s">
        <v>95</v>
      </c>
      <c r="B50" t="s">
        <v>141</v>
      </c>
      <c r="C50" t="s">
        <v>158</v>
      </c>
      <c r="F50" t="s">
        <v>162</v>
      </c>
      <c r="G50" t="s">
        <v>109</v>
      </c>
      <c r="H50" t="s">
        <v>110</v>
      </c>
      <c r="I50" t="s">
        <v>160</v>
      </c>
      <c r="J50" t="s">
        <v>163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0.1180076741117386</v>
      </c>
      <c r="T50">
        <v>11</v>
      </c>
      <c r="U50">
        <v>10.127280690055271</v>
      </c>
      <c r="W50">
        <v>1</v>
      </c>
      <c r="X50">
        <v>1</v>
      </c>
    </row>
    <row r="51" spans="1:24" x14ac:dyDescent="0.25">
      <c r="A51" t="s">
        <v>95</v>
      </c>
      <c r="B51" t="s">
        <v>141</v>
      </c>
      <c r="C51" t="s">
        <v>158</v>
      </c>
      <c r="F51" t="s">
        <v>162</v>
      </c>
      <c r="G51" t="s">
        <v>111</v>
      </c>
      <c r="H51" t="s">
        <v>112</v>
      </c>
      <c r="I51" t="s">
        <v>160</v>
      </c>
      <c r="J51" t="s">
        <v>163</v>
      </c>
      <c r="K51">
        <v>0</v>
      </c>
      <c r="L51">
        <v>0</v>
      </c>
      <c r="M51">
        <v>0</v>
      </c>
      <c r="N51">
        <v>0</v>
      </c>
      <c r="O51">
        <v>0.1</v>
      </c>
      <c r="P51">
        <v>0</v>
      </c>
      <c r="Q51">
        <v>0</v>
      </c>
      <c r="R51">
        <v>0</v>
      </c>
      <c r="S51">
        <v>0.1180076741117386</v>
      </c>
      <c r="T51">
        <v>11</v>
      </c>
      <c r="U51">
        <v>10.127280690055271</v>
      </c>
      <c r="W51">
        <v>1</v>
      </c>
      <c r="X51">
        <v>1</v>
      </c>
    </row>
    <row r="52" spans="1:24" x14ac:dyDescent="0.25">
      <c r="A52" t="s">
        <v>95</v>
      </c>
      <c r="B52" t="s">
        <v>141</v>
      </c>
      <c r="C52" t="s">
        <v>158</v>
      </c>
      <c r="F52" t="s">
        <v>113</v>
      </c>
      <c r="G52" t="s">
        <v>114</v>
      </c>
      <c r="H52" t="s">
        <v>115</v>
      </c>
      <c r="I52" t="s">
        <v>160</v>
      </c>
      <c r="J52" t="s">
        <v>164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6.3695954502814248E-2</v>
      </c>
      <c r="T52">
        <v>11</v>
      </c>
      <c r="U52">
        <v>10.127280690055271</v>
      </c>
      <c r="W52">
        <v>1</v>
      </c>
      <c r="X52">
        <v>1</v>
      </c>
    </row>
    <row r="53" spans="1:24" x14ac:dyDescent="0.25">
      <c r="A53" t="s">
        <v>95</v>
      </c>
      <c r="B53" t="s">
        <v>141</v>
      </c>
      <c r="C53" t="s">
        <v>158</v>
      </c>
      <c r="F53" t="s">
        <v>113</v>
      </c>
      <c r="G53" t="s">
        <v>117</v>
      </c>
      <c r="H53" t="s">
        <v>118</v>
      </c>
      <c r="I53" t="s">
        <v>160</v>
      </c>
      <c r="J53" t="s">
        <v>164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1.246245723504761E-2</v>
      </c>
      <c r="T53">
        <v>11</v>
      </c>
      <c r="U53">
        <v>10.127280690055271</v>
      </c>
      <c r="W53">
        <v>1</v>
      </c>
      <c r="X53">
        <v>1</v>
      </c>
    </row>
    <row r="54" spans="1:24" x14ac:dyDescent="0.25">
      <c r="A54" t="s">
        <v>95</v>
      </c>
      <c r="B54" t="s">
        <v>141</v>
      </c>
      <c r="C54" t="s">
        <v>158</v>
      </c>
      <c r="F54" t="s">
        <v>165</v>
      </c>
      <c r="G54" t="s">
        <v>154</v>
      </c>
      <c r="H54" t="s">
        <v>155</v>
      </c>
      <c r="I54" t="s">
        <v>160</v>
      </c>
      <c r="J54" t="s">
        <v>166</v>
      </c>
      <c r="K54">
        <v>1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0.21465701666491771</v>
      </c>
      <c r="T54">
        <v>11</v>
      </c>
      <c r="U54">
        <v>10.127280690055271</v>
      </c>
      <c r="W54">
        <v>1</v>
      </c>
      <c r="X54">
        <v>1</v>
      </c>
    </row>
    <row r="55" spans="1:24" x14ac:dyDescent="0.25">
      <c r="A55" t="s">
        <v>95</v>
      </c>
      <c r="B55" t="s">
        <v>141</v>
      </c>
      <c r="C55" t="s">
        <v>158</v>
      </c>
      <c r="F55" t="s">
        <v>167</v>
      </c>
      <c r="G55" t="s">
        <v>124</v>
      </c>
      <c r="H55" t="s">
        <v>125</v>
      </c>
      <c r="I55" t="s">
        <v>160</v>
      </c>
      <c r="J55" t="s">
        <v>168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0.21465701666491771</v>
      </c>
      <c r="T55">
        <v>11</v>
      </c>
      <c r="U55">
        <v>10.127280690055271</v>
      </c>
      <c r="W55">
        <v>1</v>
      </c>
      <c r="X55">
        <v>1</v>
      </c>
    </row>
    <row r="56" spans="1:24" x14ac:dyDescent="0.25">
      <c r="A56" t="s">
        <v>95</v>
      </c>
      <c r="B56" t="s">
        <v>141</v>
      </c>
      <c r="C56" t="s">
        <v>169</v>
      </c>
      <c r="F56" t="s">
        <v>159</v>
      </c>
      <c r="G56" t="s">
        <v>99</v>
      </c>
      <c r="H56" t="s">
        <v>100</v>
      </c>
      <c r="I56" t="s">
        <v>170</v>
      </c>
      <c r="J56" t="s">
        <v>171</v>
      </c>
      <c r="K56">
        <v>1</v>
      </c>
      <c r="L56">
        <v>0</v>
      </c>
      <c r="M56">
        <v>0</v>
      </c>
      <c r="N56">
        <v>0.9</v>
      </c>
      <c r="O56">
        <v>1</v>
      </c>
      <c r="P56">
        <v>0</v>
      </c>
      <c r="Q56">
        <v>0</v>
      </c>
      <c r="R56">
        <v>0</v>
      </c>
      <c r="S56">
        <v>0.10656537023636201</v>
      </c>
      <c r="T56">
        <v>9</v>
      </c>
      <c r="U56">
        <v>9.8326458748120285</v>
      </c>
      <c r="W56">
        <v>1</v>
      </c>
      <c r="X56">
        <v>1</v>
      </c>
    </row>
    <row r="57" spans="1:24" x14ac:dyDescent="0.25">
      <c r="A57" t="s">
        <v>95</v>
      </c>
      <c r="B57" t="s">
        <v>141</v>
      </c>
      <c r="C57" t="s">
        <v>169</v>
      </c>
      <c r="F57" t="s">
        <v>159</v>
      </c>
      <c r="G57" t="s">
        <v>103</v>
      </c>
      <c r="H57" t="s">
        <v>104</v>
      </c>
      <c r="I57" t="s">
        <v>170</v>
      </c>
      <c r="J57" t="s">
        <v>171</v>
      </c>
      <c r="K57">
        <v>0</v>
      </c>
      <c r="L57">
        <v>0</v>
      </c>
      <c r="M57">
        <v>0</v>
      </c>
      <c r="N57">
        <v>0</v>
      </c>
      <c r="O57">
        <v>0.1</v>
      </c>
      <c r="P57">
        <v>0</v>
      </c>
      <c r="Q57">
        <v>0</v>
      </c>
      <c r="R57">
        <v>0</v>
      </c>
      <c r="S57">
        <v>0.10656537023636201</v>
      </c>
      <c r="T57">
        <v>9</v>
      </c>
      <c r="U57">
        <v>9.8326458748120285</v>
      </c>
      <c r="W57">
        <v>1</v>
      </c>
      <c r="X57">
        <v>1</v>
      </c>
    </row>
    <row r="58" spans="1:24" x14ac:dyDescent="0.25">
      <c r="A58" t="s">
        <v>95</v>
      </c>
      <c r="B58" t="s">
        <v>141</v>
      </c>
      <c r="C58" t="s">
        <v>169</v>
      </c>
      <c r="F58" t="s">
        <v>162</v>
      </c>
      <c r="G58" t="s">
        <v>106</v>
      </c>
      <c r="H58" t="s">
        <v>107</v>
      </c>
      <c r="I58" t="s">
        <v>170</v>
      </c>
      <c r="J58" t="s">
        <v>172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0.10893421111131051</v>
      </c>
      <c r="T58">
        <v>9</v>
      </c>
      <c r="U58">
        <v>9.8326458748120285</v>
      </c>
      <c r="W58">
        <v>1</v>
      </c>
      <c r="X58">
        <v>1</v>
      </c>
    </row>
    <row r="59" spans="1:24" x14ac:dyDescent="0.25">
      <c r="A59" t="s">
        <v>95</v>
      </c>
      <c r="B59" t="s">
        <v>141</v>
      </c>
      <c r="C59" t="s">
        <v>169</v>
      </c>
      <c r="F59" t="s">
        <v>162</v>
      </c>
      <c r="G59" t="s">
        <v>109</v>
      </c>
      <c r="H59" t="s">
        <v>110</v>
      </c>
      <c r="I59" t="s">
        <v>170</v>
      </c>
      <c r="J59" t="s">
        <v>172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0.10893421111131051</v>
      </c>
      <c r="T59">
        <v>9</v>
      </c>
      <c r="U59">
        <v>9.8326458748120285</v>
      </c>
      <c r="W59">
        <v>1</v>
      </c>
      <c r="X59">
        <v>1</v>
      </c>
    </row>
    <row r="60" spans="1:24" x14ac:dyDescent="0.25">
      <c r="A60" t="s">
        <v>95</v>
      </c>
      <c r="B60" t="s">
        <v>141</v>
      </c>
      <c r="C60" t="s">
        <v>169</v>
      </c>
      <c r="F60" t="s">
        <v>162</v>
      </c>
      <c r="G60" t="s">
        <v>111</v>
      </c>
      <c r="H60" t="s">
        <v>112</v>
      </c>
      <c r="I60" t="s">
        <v>170</v>
      </c>
      <c r="J60" t="s">
        <v>172</v>
      </c>
      <c r="K60">
        <v>0</v>
      </c>
      <c r="L60">
        <v>0</v>
      </c>
      <c r="M60">
        <v>0</v>
      </c>
      <c r="N60">
        <v>0</v>
      </c>
      <c r="O60">
        <v>0.1</v>
      </c>
      <c r="P60">
        <v>0</v>
      </c>
      <c r="Q60">
        <v>0</v>
      </c>
      <c r="R60">
        <v>0</v>
      </c>
      <c r="S60">
        <v>0.10893421111131051</v>
      </c>
      <c r="T60">
        <v>9</v>
      </c>
      <c r="U60">
        <v>9.8326458748120285</v>
      </c>
      <c r="W60">
        <v>1</v>
      </c>
      <c r="X60">
        <v>1</v>
      </c>
    </row>
    <row r="61" spans="1:24" x14ac:dyDescent="0.25">
      <c r="A61" t="s">
        <v>95</v>
      </c>
      <c r="B61" t="s">
        <v>141</v>
      </c>
      <c r="C61" t="s">
        <v>169</v>
      </c>
      <c r="F61" t="s">
        <v>113</v>
      </c>
      <c r="G61" t="s">
        <v>114</v>
      </c>
      <c r="H61" t="s">
        <v>115</v>
      </c>
      <c r="I61" t="s">
        <v>170</v>
      </c>
      <c r="J61" t="s">
        <v>173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5.8933359971575977E-2</v>
      </c>
      <c r="T61">
        <v>9</v>
      </c>
      <c r="U61">
        <v>9.8326458748120285</v>
      </c>
      <c r="W61">
        <v>1</v>
      </c>
      <c r="X61">
        <v>1</v>
      </c>
    </row>
    <row r="62" spans="1:24" x14ac:dyDescent="0.25">
      <c r="A62" t="s">
        <v>95</v>
      </c>
      <c r="B62" t="s">
        <v>141</v>
      </c>
      <c r="C62" t="s">
        <v>169</v>
      </c>
      <c r="F62" t="s">
        <v>113</v>
      </c>
      <c r="G62" t="s">
        <v>117</v>
      </c>
      <c r="H62" t="s">
        <v>118</v>
      </c>
      <c r="I62" t="s">
        <v>170</v>
      </c>
      <c r="J62" t="s">
        <v>173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1.152389717713093E-2</v>
      </c>
      <c r="T62">
        <v>9</v>
      </c>
      <c r="U62">
        <v>9.8326458748120285</v>
      </c>
      <c r="W62">
        <v>1</v>
      </c>
      <c r="X62">
        <v>1</v>
      </c>
    </row>
    <row r="63" spans="1:24" x14ac:dyDescent="0.25">
      <c r="A63" t="s">
        <v>95</v>
      </c>
      <c r="B63" t="s">
        <v>141</v>
      </c>
      <c r="C63" t="s">
        <v>169</v>
      </c>
      <c r="F63" t="s">
        <v>165</v>
      </c>
      <c r="G63" t="s">
        <v>154</v>
      </c>
      <c r="H63" t="s">
        <v>155</v>
      </c>
      <c r="I63" t="s">
        <v>170</v>
      </c>
      <c r="J63" t="s">
        <v>174</v>
      </c>
      <c r="K63">
        <v>1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0.21465701666491771</v>
      </c>
      <c r="T63">
        <v>9</v>
      </c>
      <c r="U63">
        <v>9.8326458748120285</v>
      </c>
      <c r="W63">
        <v>1</v>
      </c>
      <c r="X63">
        <v>1</v>
      </c>
    </row>
    <row r="64" spans="1:24" x14ac:dyDescent="0.25">
      <c r="A64" t="s">
        <v>95</v>
      </c>
      <c r="B64" t="s">
        <v>141</v>
      </c>
      <c r="C64" t="s">
        <v>169</v>
      </c>
      <c r="F64" t="s">
        <v>167</v>
      </c>
      <c r="G64" t="s">
        <v>124</v>
      </c>
      <c r="H64" t="s">
        <v>125</v>
      </c>
      <c r="I64" t="s">
        <v>170</v>
      </c>
      <c r="J64" t="s">
        <v>175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0.21465701666491771</v>
      </c>
      <c r="T64">
        <v>9</v>
      </c>
      <c r="U64">
        <v>9.8326458748120285</v>
      </c>
      <c r="W64">
        <v>1</v>
      </c>
      <c r="X64">
        <v>1</v>
      </c>
    </row>
    <row r="65" spans="1:24" x14ac:dyDescent="0.25">
      <c r="A65" t="s">
        <v>95</v>
      </c>
      <c r="B65" t="s">
        <v>141</v>
      </c>
      <c r="C65" t="s">
        <v>176</v>
      </c>
      <c r="F65" t="s">
        <v>159</v>
      </c>
      <c r="G65" t="s">
        <v>99</v>
      </c>
      <c r="H65" t="s">
        <v>100</v>
      </c>
      <c r="I65" t="s">
        <v>177</v>
      </c>
      <c r="J65" t="s">
        <v>178</v>
      </c>
      <c r="K65">
        <v>1</v>
      </c>
      <c r="L65">
        <v>1367.6201505846741</v>
      </c>
      <c r="M65">
        <v>6.6088185994020894E-3</v>
      </c>
      <c r="N65">
        <v>0.9</v>
      </c>
      <c r="O65">
        <v>1</v>
      </c>
      <c r="P65">
        <v>9.0383534881010803</v>
      </c>
      <c r="Q65">
        <v>166.79063573432799</v>
      </c>
      <c r="R65">
        <v>9.0383534881010821</v>
      </c>
      <c r="S65">
        <v>5.4189813764471753E-2</v>
      </c>
      <c r="T65">
        <v>11</v>
      </c>
      <c r="U65">
        <v>10.127280690055271</v>
      </c>
      <c r="W65">
        <v>1</v>
      </c>
      <c r="X65">
        <v>1</v>
      </c>
    </row>
    <row r="66" spans="1:24" x14ac:dyDescent="0.25">
      <c r="A66" t="s">
        <v>95</v>
      </c>
      <c r="B66" t="s">
        <v>141</v>
      </c>
      <c r="C66" t="s">
        <v>176</v>
      </c>
      <c r="F66" t="s">
        <v>159</v>
      </c>
      <c r="G66" t="s">
        <v>103</v>
      </c>
      <c r="H66" t="s">
        <v>104</v>
      </c>
      <c r="I66" t="s">
        <v>177</v>
      </c>
      <c r="J66" t="s">
        <v>178</v>
      </c>
      <c r="K66">
        <v>0</v>
      </c>
      <c r="L66">
        <v>1367.6201505846741</v>
      </c>
      <c r="M66">
        <v>0</v>
      </c>
      <c r="N66">
        <v>0</v>
      </c>
      <c r="O66">
        <v>0.1</v>
      </c>
      <c r="P66">
        <v>0</v>
      </c>
      <c r="Q66">
        <v>0</v>
      </c>
      <c r="R66">
        <v>0</v>
      </c>
      <c r="S66">
        <v>5.4189813764471753E-2</v>
      </c>
      <c r="T66">
        <v>11</v>
      </c>
      <c r="U66">
        <v>10.127280690055271</v>
      </c>
      <c r="W66">
        <v>1</v>
      </c>
      <c r="X66">
        <v>1</v>
      </c>
    </row>
    <row r="67" spans="1:24" x14ac:dyDescent="0.25">
      <c r="A67" t="s">
        <v>95</v>
      </c>
      <c r="B67" t="s">
        <v>141</v>
      </c>
      <c r="C67" t="s">
        <v>176</v>
      </c>
      <c r="F67" t="s">
        <v>162</v>
      </c>
      <c r="G67" t="s">
        <v>106</v>
      </c>
      <c r="H67" t="s">
        <v>107</v>
      </c>
      <c r="I67" t="s">
        <v>177</v>
      </c>
      <c r="J67" t="s">
        <v>179</v>
      </c>
      <c r="K67">
        <v>1</v>
      </c>
      <c r="L67">
        <v>1367.6201505846741</v>
      </c>
      <c r="M67">
        <v>0.98805750297496564</v>
      </c>
      <c r="N67">
        <v>0</v>
      </c>
      <c r="O67">
        <v>1</v>
      </c>
      <c r="P67">
        <v>1351.2873510049401</v>
      </c>
      <c r="Q67">
        <v>20961.412208494599</v>
      </c>
      <c r="R67">
        <v>1351.2873510049401</v>
      </c>
      <c r="S67">
        <v>6.446547291586259E-2</v>
      </c>
      <c r="T67">
        <v>11</v>
      </c>
      <c r="U67">
        <v>10.127280690055271</v>
      </c>
      <c r="W67">
        <v>1</v>
      </c>
      <c r="X67">
        <v>1</v>
      </c>
    </row>
    <row r="68" spans="1:24" x14ac:dyDescent="0.25">
      <c r="A68" t="s">
        <v>95</v>
      </c>
      <c r="B68" t="s">
        <v>141</v>
      </c>
      <c r="C68" t="s">
        <v>176</v>
      </c>
      <c r="F68" t="s">
        <v>162</v>
      </c>
      <c r="G68" t="s">
        <v>109</v>
      </c>
      <c r="H68" t="s">
        <v>110</v>
      </c>
      <c r="I68" t="s">
        <v>177</v>
      </c>
      <c r="J68" t="s">
        <v>179</v>
      </c>
      <c r="K68">
        <v>0</v>
      </c>
      <c r="L68">
        <v>1367.6201505846741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6.446547291586259E-2</v>
      </c>
      <c r="T68">
        <v>11</v>
      </c>
      <c r="U68">
        <v>10.127280690055271</v>
      </c>
      <c r="W68">
        <v>1</v>
      </c>
      <c r="X68">
        <v>1</v>
      </c>
    </row>
    <row r="69" spans="1:24" x14ac:dyDescent="0.25">
      <c r="A69" t="s">
        <v>95</v>
      </c>
      <c r="B69" t="s">
        <v>141</v>
      </c>
      <c r="C69" t="s">
        <v>176</v>
      </c>
      <c r="F69" t="s">
        <v>162</v>
      </c>
      <c r="G69" t="s">
        <v>111</v>
      </c>
      <c r="H69" t="s">
        <v>112</v>
      </c>
      <c r="I69" t="s">
        <v>177</v>
      </c>
      <c r="J69" t="s">
        <v>179</v>
      </c>
      <c r="K69">
        <v>0</v>
      </c>
      <c r="L69">
        <v>1367.6201505846741</v>
      </c>
      <c r="M69">
        <v>0</v>
      </c>
      <c r="N69">
        <v>0</v>
      </c>
      <c r="O69">
        <v>0.1</v>
      </c>
      <c r="P69">
        <v>0</v>
      </c>
      <c r="Q69">
        <v>0</v>
      </c>
      <c r="R69">
        <v>0</v>
      </c>
      <c r="S69">
        <v>6.446547291586259E-2</v>
      </c>
      <c r="T69">
        <v>11</v>
      </c>
      <c r="U69">
        <v>10.127280690055271</v>
      </c>
      <c r="W69">
        <v>1</v>
      </c>
      <c r="X69">
        <v>1</v>
      </c>
    </row>
    <row r="70" spans="1:24" x14ac:dyDescent="0.25">
      <c r="A70" t="s">
        <v>95</v>
      </c>
      <c r="B70" t="s">
        <v>141</v>
      </c>
      <c r="C70" t="s">
        <v>176</v>
      </c>
      <c r="F70" t="s">
        <v>113</v>
      </c>
      <c r="G70" t="s">
        <v>114</v>
      </c>
      <c r="H70" t="s">
        <v>115</v>
      </c>
      <c r="I70" t="s">
        <v>177</v>
      </c>
      <c r="J70" t="s">
        <v>180</v>
      </c>
      <c r="K70">
        <v>1</v>
      </c>
      <c r="L70">
        <v>1367.6201505846741</v>
      </c>
      <c r="M70">
        <v>5.3336784256322002E-3</v>
      </c>
      <c r="N70">
        <v>0</v>
      </c>
      <c r="O70">
        <v>1</v>
      </c>
      <c r="P70">
        <v>7.294446091633338</v>
      </c>
      <c r="Q70">
        <v>134.609174398303</v>
      </c>
      <c r="R70">
        <v>7.2944460916333389</v>
      </c>
      <c r="S70">
        <v>5.4189813764471753E-2</v>
      </c>
      <c r="T70">
        <v>11</v>
      </c>
      <c r="U70">
        <v>10.127280690055271</v>
      </c>
      <c r="W70">
        <v>1</v>
      </c>
      <c r="X70">
        <v>1</v>
      </c>
    </row>
    <row r="71" spans="1:24" x14ac:dyDescent="0.25">
      <c r="A71" t="s">
        <v>95</v>
      </c>
      <c r="B71" t="s">
        <v>141</v>
      </c>
      <c r="C71" t="s">
        <v>176</v>
      </c>
      <c r="F71" t="s">
        <v>113</v>
      </c>
      <c r="G71" t="s">
        <v>117</v>
      </c>
      <c r="H71" t="s">
        <v>118</v>
      </c>
      <c r="I71" t="s">
        <v>177</v>
      </c>
      <c r="J71" t="s">
        <v>180</v>
      </c>
      <c r="K71">
        <v>0</v>
      </c>
      <c r="L71">
        <v>1367.6201505846741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5.4189813764471753E-2</v>
      </c>
      <c r="T71">
        <v>11</v>
      </c>
      <c r="U71">
        <v>10.127280690055271</v>
      </c>
      <c r="W71">
        <v>1</v>
      </c>
      <c r="X71">
        <v>1</v>
      </c>
    </row>
    <row r="72" spans="1:24" x14ac:dyDescent="0.25">
      <c r="A72" t="s">
        <v>95</v>
      </c>
      <c r="B72" t="s">
        <v>141</v>
      </c>
      <c r="C72" t="s">
        <v>176</v>
      </c>
      <c r="F72" t="s">
        <v>165</v>
      </c>
      <c r="G72" t="s">
        <v>154</v>
      </c>
      <c r="H72" t="s">
        <v>155</v>
      </c>
      <c r="I72" t="s">
        <v>177</v>
      </c>
      <c r="J72" t="s">
        <v>181</v>
      </c>
      <c r="K72">
        <v>1</v>
      </c>
      <c r="L72">
        <v>1367.6201505846741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0.1073285083324588</v>
      </c>
      <c r="T72">
        <v>11</v>
      </c>
      <c r="U72">
        <v>10.127280690055271</v>
      </c>
      <c r="W72">
        <v>1</v>
      </c>
      <c r="X72">
        <v>1</v>
      </c>
    </row>
    <row r="73" spans="1:24" x14ac:dyDescent="0.25">
      <c r="A73" t="s">
        <v>95</v>
      </c>
      <c r="B73" t="s">
        <v>141</v>
      </c>
      <c r="C73" t="s">
        <v>176</v>
      </c>
      <c r="F73" t="s">
        <v>167</v>
      </c>
      <c r="G73" t="s">
        <v>124</v>
      </c>
      <c r="H73" t="s">
        <v>125</v>
      </c>
      <c r="I73" t="s">
        <v>177</v>
      </c>
      <c r="J73" t="s">
        <v>182</v>
      </c>
      <c r="K73">
        <v>1</v>
      </c>
      <c r="L73">
        <v>1367.6201505846741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0.1073285083324588</v>
      </c>
      <c r="T73">
        <v>11</v>
      </c>
      <c r="U73">
        <v>10.127280690055271</v>
      </c>
      <c r="W73">
        <v>1</v>
      </c>
      <c r="X73">
        <v>1</v>
      </c>
    </row>
    <row r="74" spans="1:24" x14ac:dyDescent="0.25">
      <c r="A74" t="s">
        <v>95</v>
      </c>
      <c r="B74" t="s">
        <v>141</v>
      </c>
      <c r="C74" t="s">
        <v>183</v>
      </c>
      <c r="F74" t="s">
        <v>159</v>
      </c>
      <c r="G74" t="s">
        <v>99</v>
      </c>
      <c r="H74" t="s">
        <v>100</v>
      </c>
      <c r="I74" t="s">
        <v>184</v>
      </c>
      <c r="J74" t="s">
        <v>185</v>
      </c>
      <c r="K74">
        <v>1</v>
      </c>
      <c r="L74">
        <v>0</v>
      </c>
      <c r="M74">
        <v>0</v>
      </c>
      <c r="N74">
        <v>0.9</v>
      </c>
      <c r="O74">
        <v>1</v>
      </c>
      <c r="P74">
        <v>0</v>
      </c>
      <c r="Q74">
        <v>0</v>
      </c>
      <c r="R74">
        <v>0</v>
      </c>
      <c r="S74">
        <v>7.0956301746689932E-2</v>
      </c>
      <c r="T74">
        <v>21</v>
      </c>
      <c r="U74">
        <v>5.0636403450276344</v>
      </c>
      <c r="W74">
        <v>1</v>
      </c>
      <c r="X74">
        <v>1</v>
      </c>
    </row>
    <row r="75" spans="1:24" x14ac:dyDescent="0.25">
      <c r="A75" t="s">
        <v>95</v>
      </c>
      <c r="B75" t="s">
        <v>141</v>
      </c>
      <c r="C75" t="s">
        <v>183</v>
      </c>
      <c r="F75" t="s">
        <v>159</v>
      </c>
      <c r="G75" t="s">
        <v>103</v>
      </c>
      <c r="H75" t="s">
        <v>104</v>
      </c>
      <c r="I75" t="s">
        <v>184</v>
      </c>
      <c r="J75" t="s">
        <v>185</v>
      </c>
      <c r="K75">
        <v>0</v>
      </c>
      <c r="L75">
        <v>0</v>
      </c>
      <c r="M75">
        <v>0</v>
      </c>
      <c r="N75">
        <v>0</v>
      </c>
      <c r="O75">
        <v>0.1</v>
      </c>
      <c r="P75">
        <v>0</v>
      </c>
      <c r="Q75">
        <v>0</v>
      </c>
      <c r="R75">
        <v>0</v>
      </c>
      <c r="S75">
        <v>7.0956301746689932E-2</v>
      </c>
      <c r="T75">
        <v>21</v>
      </c>
      <c r="U75">
        <v>5.0636403450276344</v>
      </c>
      <c r="W75">
        <v>1</v>
      </c>
      <c r="X75">
        <v>1</v>
      </c>
    </row>
    <row r="76" spans="1:24" x14ac:dyDescent="0.25">
      <c r="A76" t="s">
        <v>95</v>
      </c>
      <c r="B76" t="s">
        <v>141</v>
      </c>
      <c r="C76" t="s">
        <v>183</v>
      </c>
      <c r="F76" t="s">
        <v>162</v>
      </c>
      <c r="G76" t="s">
        <v>106</v>
      </c>
      <c r="H76" t="s">
        <v>107</v>
      </c>
      <c r="I76" t="s">
        <v>184</v>
      </c>
      <c r="J76" t="s">
        <v>186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6.5846402492820186E-2</v>
      </c>
      <c r="T76">
        <v>21</v>
      </c>
      <c r="U76">
        <v>5.0636403450276344</v>
      </c>
      <c r="W76">
        <v>1</v>
      </c>
      <c r="X76">
        <v>1</v>
      </c>
    </row>
    <row r="77" spans="1:24" x14ac:dyDescent="0.25">
      <c r="A77" t="s">
        <v>95</v>
      </c>
      <c r="B77" t="s">
        <v>141</v>
      </c>
      <c r="C77" t="s">
        <v>183</v>
      </c>
      <c r="F77" t="s">
        <v>162</v>
      </c>
      <c r="G77" t="s">
        <v>109</v>
      </c>
      <c r="H77" t="s">
        <v>110</v>
      </c>
      <c r="I77" t="s">
        <v>184</v>
      </c>
      <c r="J77" t="s">
        <v>186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6.5846402492820186E-2</v>
      </c>
      <c r="T77">
        <v>21</v>
      </c>
      <c r="U77">
        <v>5.0636403450276344</v>
      </c>
      <c r="W77">
        <v>1</v>
      </c>
      <c r="X77">
        <v>1</v>
      </c>
    </row>
    <row r="78" spans="1:24" x14ac:dyDescent="0.25">
      <c r="A78" t="s">
        <v>95</v>
      </c>
      <c r="B78" t="s">
        <v>141</v>
      </c>
      <c r="C78" t="s">
        <v>183</v>
      </c>
      <c r="F78" t="s">
        <v>162</v>
      </c>
      <c r="G78" t="s">
        <v>111</v>
      </c>
      <c r="H78" t="s">
        <v>112</v>
      </c>
      <c r="I78" t="s">
        <v>184</v>
      </c>
      <c r="J78" t="s">
        <v>186</v>
      </c>
      <c r="K78">
        <v>0</v>
      </c>
      <c r="L78">
        <v>0</v>
      </c>
      <c r="M78">
        <v>0</v>
      </c>
      <c r="N78">
        <v>0</v>
      </c>
      <c r="O78">
        <v>0.1</v>
      </c>
      <c r="P78">
        <v>0</v>
      </c>
      <c r="Q78">
        <v>0</v>
      </c>
      <c r="R78">
        <v>0</v>
      </c>
      <c r="S78">
        <v>6.5846402492820186E-2</v>
      </c>
      <c r="T78">
        <v>21</v>
      </c>
      <c r="U78">
        <v>5.0636403450276344</v>
      </c>
      <c r="W78">
        <v>1</v>
      </c>
      <c r="X78">
        <v>1</v>
      </c>
    </row>
    <row r="79" spans="1:24" x14ac:dyDescent="0.25">
      <c r="A79" t="s">
        <v>95</v>
      </c>
      <c r="B79" t="s">
        <v>141</v>
      </c>
      <c r="C79" t="s">
        <v>183</v>
      </c>
      <c r="F79" t="s">
        <v>113</v>
      </c>
      <c r="G79" t="s">
        <v>114</v>
      </c>
      <c r="H79" t="s">
        <v>115</v>
      </c>
      <c r="I79" t="s">
        <v>184</v>
      </c>
      <c r="J79" t="s">
        <v>187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5.3888711643790478E-2</v>
      </c>
      <c r="T79">
        <v>21</v>
      </c>
      <c r="U79">
        <v>5.0636403450276344</v>
      </c>
      <c r="W79">
        <v>1</v>
      </c>
      <c r="X79">
        <v>1</v>
      </c>
    </row>
    <row r="80" spans="1:24" x14ac:dyDescent="0.25">
      <c r="A80" t="s">
        <v>95</v>
      </c>
      <c r="B80" t="s">
        <v>141</v>
      </c>
      <c r="C80" t="s">
        <v>183</v>
      </c>
      <c r="F80" t="s">
        <v>113</v>
      </c>
      <c r="G80" t="s">
        <v>117</v>
      </c>
      <c r="H80" t="s">
        <v>118</v>
      </c>
      <c r="I80" t="s">
        <v>184</v>
      </c>
      <c r="J80" t="s">
        <v>187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1.043064523539269E-2</v>
      </c>
      <c r="T80">
        <v>21</v>
      </c>
      <c r="U80">
        <v>5.0636403450276344</v>
      </c>
      <c r="W80">
        <v>1</v>
      </c>
      <c r="X80">
        <v>1</v>
      </c>
    </row>
    <row r="81" spans="1:24" x14ac:dyDescent="0.25">
      <c r="A81" t="s">
        <v>95</v>
      </c>
      <c r="B81" t="s">
        <v>141</v>
      </c>
      <c r="C81" t="s">
        <v>183</v>
      </c>
      <c r="F81" t="s">
        <v>165</v>
      </c>
      <c r="G81" t="s">
        <v>154</v>
      </c>
      <c r="H81" t="s">
        <v>155</v>
      </c>
      <c r="I81" t="s">
        <v>184</v>
      </c>
      <c r="J81" t="s">
        <v>188</v>
      </c>
      <c r="K81">
        <v>1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0.1073285083324588</v>
      </c>
      <c r="T81">
        <v>21</v>
      </c>
      <c r="U81">
        <v>5.0636403450276344</v>
      </c>
      <c r="W81">
        <v>1</v>
      </c>
      <c r="X81">
        <v>1</v>
      </c>
    </row>
    <row r="82" spans="1:24" x14ac:dyDescent="0.25">
      <c r="A82" t="s">
        <v>95</v>
      </c>
      <c r="B82" t="s">
        <v>141</v>
      </c>
      <c r="C82" t="s">
        <v>183</v>
      </c>
      <c r="F82" t="s">
        <v>167</v>
      </c>
      <c r="G82" t="s">
        <v>124</v>
      </c>
      <c r="H82" t="s">
        <v>125</v>
      </c>
      <c r="I82" t="s">
        <v>184</v>
      </c>
      <c r="J82" t="s">
        <v>189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0.1073285083324588</v>
      </c>
      <c r="T82">
        <v>21</v>
      </c>
      <c r="U82">
        <v>5.0636403450276344</v>
      </c>
      <c r="W82">
        <v>1</v>
      </c>
      <c r="X82">
        <v>1</v>
      </c>
    </row>
    <row r="83" spans="1:24" x14ac:dyDescent="0.25">
      <c r="A83" t="s">
        <v>95</v>
      </c>
      <c r="B83" t="s">
        <v>96</v>
      </c>
      <c r="C83" t="s">
        <v>190</v>
      </c>
      <c r="F83" t="s">
        <v>159</v>
      </c>
      <c r="G83" t="s">
        <v>99</v>
      </c>
      <c r="H83" t="s">
        <v>100</v>
      </c>
      <c r="I83" t="s">
        <v>191</v>
      </c>
      <c r="J83" t="s">
        <v>192</v>
      </c>
      <c r="K83">
        <v>1</v>
      </c>
      <c r="L83">
        <v>498.20418535334039</v>
      </c>
      <c r="M83">
        <v>0</v>
      </c>
      <c r="N83">
        <v>0.9</v>
      </c>
      <c r="O83">
        <v>1</v>
      </c>
      <c r="P83">
        <v>0</v>
      </c>
      <c r="Q83">
        <v>0</v>
      </c>
      <c r="R83">
        <v>0</v>
      </c>
      <c r="S83">
        <v>6.9654071185951086E-2</v>
      </c>
      <c r="T83">
        <v>10</v>
      </c>
      <c r="U83">
        <v>8.7429766319069646</v>
      </c>
      <c r="W83">
        <v>1</v>
      </c>
      <c r="X83">
        <v>1</v>
      </c>
    </row>
    <row r="84" spans="1:24" x14ac:dyDescent="0.25">
      <c r="A84" t="s">
        <v>95</v>
      </c>
      <c r="B84" t="s">
        <v>96</v>
      </c>
      <c r="C84" t="s">
        <v>190</v>
      </c>
      <c r="F84" t="s">
        <v>159</v>
      </c>
      <c r="G84" t="s">
        <v>103</v>
      </c>
      <c r="H84" t="s">
        <v>104</v>
      </c>
      <c r="I84" t="s">
        <v>191</v>
      </c>
      <c r="J84" t="s">
        <v>192</v>
      </c>
      <c r="K84">
        <v>0</v>
      </c>
      <c r="L84">
        <v>498.20418535334039</v>
      </c>
      <c r="M84">
        <v>0</v>
      </c>
      <c r="N84">
        <v>0</v>
      </c>
      <c r="O84">
        <v>0.1</v>
      </c>
      <c r="P84">
        <v>0</v>
      </c>
      <c r="Q84">
        <v>0</v>
      </c>
      <c r="R84">
        <v>0</v>
      </c>
      <c r="S84">
        <v>6.9654071185951086E-2</v>
      </c>
      <c r="T84">
        <v>10</v>
      </c>
      <c r="U84">
        <v>8.7429766319069646</v>
      </c>
      <c r="W84">
        <v>1</v>
      </c>
      <c r="X84">
        <v>1</v>
      </c>
    </row>
    <row r="85" spans="1:24" x14ac:dyDescent="0.25">
      <c r="A85" t="s">
        <v>95</v>
      </c>
      <c r="B85" t="s">
        <v>96</v>
      </c>
      <c r="C85" t="s">
        <v>190</v>
      </c>
      <c r="F85" t="s">
        <v>162</v>
      </c>
      <c r="G85" t="s">
        <v>106</v>
      </c>
      <c r="H85" t="s">
        <v>107</v>
      </c>
      <c r="I85" t="s">
        <v>191</v>
      </c>
      <c r="J85" t="s">
        <v>193</v>
      </c>
      <c r="K85">
        <v>1</v>
      </c>
      <c r="L85">
        <v>498.20418535334039</v>
      </c>
      <c r="M85">
        <v>0.88345246589273663</v>
      </c>
      <c r="N85">
        <v>0</v>
      </c>
      <c r="O85">
        <v>1</v>
      </c>
      <c r="P85">
        <v>440.1397160684906</v>
      </c>
      <c r="Q85">
        <v>6299.78916204506</v>
      </c>
      <c r="R85">
        <v>440.1397160684906</v>
      </c>
      <c r="S85">
        <v>6.9865785147262119E-2</v>
      </c>
      <c r="T85">
        <v>10</v>
      </c>
      <c r="U85">
        <v>8.7429766319069646</v>
      </c>
      <c r="W85">
        <v>1</v>
      </c>
      <c r="X85">
        <v>1</v>
      </c>
    </row>
    <row r="86" spans="1:24" x14ac:dyDescent="0.25">
      <c r="A86" t="s">
        <v>95</v>
      </c>
      <c r="B86" t="s">
        <v>96</v>
      </c>
      <c r="C86" t="s">
        <v>190</v>
      </c>
      <c r="F86" t="s">
        <v>162</v>
      </c>
      <c r="G86" t="s">
        <v>109</v>
      </c>
      <c r="H86" t="s">
        <v>110</v>
      </c>
      <c r="I86" t="s">
        <v>191</v>
      </c>
      <c r="J86" t="s">
        <v>193</v>
      </c>
      <c r="K86">
        <v>0</v>
      </c>
      <c r="L86">
        <v>498.20418535334039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6.9865785147262119E-2</v>
      </c>
      <c r="T86">
        <v>10</v>
      </c>
      <c r="U86">
        <v>8.7429766319069646</v>
      </c>
      <c r="W86">
        <v>1</v>
      </c>
      <c r="X86">
        <v>1</v>
      </c>
    </row>
    <row r="87" spans="1:24" x14ac:dyDescent="0.25">
      <c r="A87" t="s">
        <v>95</v>
      </c>
      <c r="B87" t="s">
        <v>96</v>
      </c>
      <c r="C87" t="s">
        <v>190</v>
      </c>
      <c r="F87" t="s">
        <v>162</v>
      </c>
      <c r="G87" t="s">
        <v>111</v>
      </c>
      <c r="H87" t="s">
        <v>112</v>
      </c>
      <c r="I87" t="s">
        <v>191</v>
      </c>
      <c r="J87" t="s">
        <v>193</v>
      </c>
      <c r="K87">
        <v>0</v>
      </c>
      <c r="L87">
        <v>498.20418535334039</v>
      </c>
      <c r="M87">
        <v>0</v>
      </c>
      <c r="N87">
        <v>0</v>
      </c>
      <c r="O87">
        <v>0.1</v>
      </c>
      <c r="P87">
        <v>0</v>
      </c>
      <c r="Q87">
        <v>0</v>
      </c>
      <c r="R87">
        <v>0</v>
      </c>
      <c r="S87">
        <v>6.9865785147262119E-2</v>
      </c>
      <c r="T87">
        <v>10</v>
      </c>
      <c r="U87">
        <v>8.7429766319069646</v>
      </c>
      <c r="W87">
        <v>1</v>
      </c>
      <c r="X87">
        <v>1</v>
      </c>
    </row>
    <row r="88" spans="1:24" x14ac:dyDescent="0.25">
      <c r="A88" t="s">
        <v>95</v>
      </c>
      <c r="B88" t="s">
        <v>96</v>
      </c>
      <c r="C88" t="s">
        <v>190</v>
      </c>
      <c r="F88" t="s">
        <v>113</v>
      </c>
      <c r="G88" t="s">
        <v>114</v>
      </c>
      <c r="H88" t="s">
        <v>115</v>
      </c>
      <c r="I88" t="s">
        <v>191</v>
      </c>
      <c r="J88" t="s">
        <v>194</v>
      </c>
      <c r="K88">
        <v>1</v>
      </c>
      <c r="L88">
        <v>498.20418535334039</v>
      </c>
      <c r="M88">
        <v>0.1165475341072634</v>
      </c>
      <c r="N88">
        <v>0</v>
      </c>
      <c r="O88">
        <v>1</v>
      </c>
      <c r="P88">
        <v>58.064469284849793</v>
      </c>
      <c r="Q88">
        <v>1071.43578502788</v>
      </c>
      <c r="R88">
        <v>58.064469284849793</v>
      </c>
      <c r="S88">
        <v>5.4193139800103728E-2</v>
      </c>
      <c r="T88">
        <v>10</v>
      </c>
      <c r="U88">
        <v>8.7429766319069646</v>
      </c>
      <c r="W88">
        <v>1</v>
      </c>
      <c r="X88">
        <v>1</v>
      </c>
    </row>
    <row r="89" spans="1:24" x14ac:dyDescent="0.25">
      <c r="A89" t="s">
        <v>95</v>
      </c>
      <c r="B89" t="s">
        <v>96</v>
      </c>
      <c r="C89" t="s">
        <v>190</v>
      </c>
      <c r="F89" t="s">
        <v>113</v>
      </c>
      <c r="G89" t="s">
        <v>117</v>
      </c>
      <c r="H89" t="s">
        <v>118</v>
      </c>
      <c r="I89" t="s">
        <v>191</v>
      </c>
      <c r="J89" t="s">
        <v>194</v>
      </c>
      <c r="K89">
        <v>0</v>
      </c>
      <c r="L89">
        <v>498.20418535334039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1.0705899694656641E-2</v>
      </c>
      <c r="T89">
        <v>10</v>
      </c>
      <c r="U89">
        <v>8.7429766319069646</v>
      </c>
      <c r="W89">
        <v>1</v>
      </c>
      <c r="X89">
        <v>1</v>
      </c>
    </row>
    <row r="90" spans="1:24" x14ac:dyDescent="0.25">
      <c r="A90" t="s">
        <v>95</v>
      </c>
      <c r="B90" t="s">
        <v>96</v>
      </c>
      <c r="C90" t="s">
        <v>190</v>
      </c>
      <c r="F90" t="s">
        <v>165</v>
      </c>
      <c r="G90" t="s">
        <v>154</v>
      </c>
      <c r="H90" t="s">
        <v>155</v>
      </c>
      <c r="I90" t="s">
        <v>191</v>
      </c>
      <c r="J90" t="s">
        <v>195</v>
      </c>
      <c r="K90">
        <v>1</v>
      </c>
      <c r="L90">
        <v>498.20418535334039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0.21507770694487269</v>
      </c>
      <c r="T90">
        <v>10</v>
      </c>
      <c r="U90">
        <v>8.7429766319069646</v>
      </c>
      <c r="W90">
        <v>1</v>
      </c>
      <c r="X90">
        <v>1</v>
      </c>
    </row>
    <row r="91" spans="1:24" x14ac:dyDescent="0.25">
      <c r="A91" t="s">
        <v>95</v>
      </c>
      <c r="B91" t="s">
        <v>96</v>
      </c>
      <c r="C91" t="s">
        <v>190</v>
      </c>
      <c r="F91" t="s">
        <v>167</v>
      </c>
      <c r="G91" t="s">
        <v>124</v>
      </c>
      <c r="H91" t="s">
        <v>125</v>
      </c>
      <c r="I91" t="s">
        <v>191</v>
      </c>
      <c r="J91" t="s">
        <v>196</v>
      </c>
      <c r="K91">
        <v>1</v>
      </c>
      <c r="L91">
        <v>498.20418535334039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0.21507770694487269</v>
      </c>
      <c r="T91">
        <v>10</v>
      </c>
      <c r="U91">
        <v>8.7429766319069646</v>
      </c>
      <c r="W91">
        <v>1</v>
      </c>
      <c r="X91">
        <v>1</v>
      </c>
    </row>
    <row r="92" spans="1:24" x14ac:dyDescent="0.25">
      <c r="A92" t="s">
        <v>95</v>
      </c>
      <c r="B92" t="s">
        <v>96</v>
      </c>
      <c r="C92" t="s">
        <v>197</v>
      </c>
      <c r="F92" t="s">
        <v>159</v>
      </c>
      <c r="G92" t="s">
        <v>99</v>
      </c>
      <c r="H92" t="s">
        <v>100</v>
      </c>
      <c r="I92" t="s">
        <v>198</v>
      </c>
      <c r="J92" t="s">
        <v>199</v>
      </c>
      <c r="K92">
        <v>1</v>
      </c>
      <c r="L92">
        <v>86.053217342719677</v>
      </c>
      <c r="M92">
        <v>0.29920853931978519</v>
      </c>
      <c r="N92">
        <v>0.9</v>
      </c>
      <c r="O92">
        <v>1</v>
      </c>
      <c r="P92">
        <v>25.747857464883161</v>
      </c>
      <c r="Q92">
        <v>301.63917065400102</v>
      </c>
      <c r="R92">
        <v>25.747857464883161</v>
      </c>
      <c r="S92">
        <v>8.535979398517031E-2</v>
      </c>
      <c r="T92">
        <v>17</v>
      </c>
      <c r="U92">
        <v>5.0359545399784116</v>
      </c>
      <c r="W92">
        <v>1</v>
      </c>
      <c r="X92">
        <v>1</v>
      </c>
    </row>
    <row r="93" spans="1:24" x14ac:dyDescent="0.25">
      <c r="A93" t="s">
        <v>95</v>
      </c>
      <c r="B93" t="s">
        <v>96</v>
      </c>
      <c r="C93" t="s">
        <v>197</v>
      </c>
      <c r="F93" t="s">
        <v>159</v>
      </c>
      <c r="G93" t="s">
        <v>103</v>
      </c>
      <c r="H93" t="s">
        <v>104</v>
      </c>
      <c r="I93" t="s">
        <v>198</v>
      </c>
      <c r="J93" t="s">
        <v>199</v>
      </c>
      <c r="K93">
        <v>0</v>
      </c>
      <c r="L93">
        <v>86.053217342719677</v>
      </c>
      <c r="M93">
        <v>0</v>
      </c>
      <c r="N93">
        <v>0</v>
      </c>
      <c r="O93">
        <v>0.1</v>
      </c>
      <c r="P93">
        <v>0</v>
      </c>
      <c r="Q93">
        <v>0</v>
      </c>
      <c r="R93">
        <v>0</v>
      </c>
      <c r="S93">
        <v>8.535979398517031E-2</v>
      </c>
      <c r="T93">
        <v>17</v>
      </c>
      <c r="U93">
        <v>5.0359545399784116</v>
      </c>
      <c r="W93">
        <v>1</v>
      </c>
      <c r="X93">
        <v>1</v>
      </c>
    </row>
    <row r="94" spans="1:24" x14ac:dyDescent="0.25">
      <c r="A94" t="s">
        <v>95</v>
      </c>
      <c r="B94" t="s">
        <v>96</v>
      </c>
      <c r="C94" t="s">
        <v>197</v>
      </c>
      <c r="F94" t="s">
        <v>162</v>
      </c>
      <c r="G94" t="s">
        <v>106</v>
      </c>
      <c r="H94" t="s">
        <v>107</v>
      </c>
      <c r="I94" t="s">
        <v>198</v>
      </c>
      <c r="J94" t="s">
        <v>200</v>
      </c>
      <c r="K94">
        <v>1</v>
      </c>
      <c r="L94">
        <v>86.053217342719677</v>
      </c>
      <c r="M94">
        <v>0.70079146068021481</v>
      </c>
      <c r="N94">
        <v>0</v>
      </c>
      <c r="O94">
        <v>1</v>
      </c>
      <c r="P94">
        <v>60.305359877836523</v>
      </c>
      <c r="Q94">
        <v>678.68286660515594</v>
      </c>
      <c r="R94">
        <v>60.305359877836509</v>
      </c>
      <c r="S94">
        <v>8.8856464256259107E-2</v>
      </c>
      <c r="T94">
        <v>17</v>
      </c>
      <c r="U94">
        <v>5.0359545399784116</v>
      </c>
      <c r="W94">
        <v>1</v>
      </c>
      <c r="X94">
        <v>1</v>
      </c>
    </row>
    <row r="95" spans="1:24" x14ac:dyDescent="0.25">
      <c r="A95" t="s">
        <v>95</v>
      </c>
      <c r="B95" t="s">
        <v>96</v>
      </c>
      <c r="C95" t="s">
        <v>197</v>
      </c>
      <c r="F95" t="s">
        <v>162</v>
      </c>
      <c r="G95" t="s">
        <v>109</v>
      </c>
      <c r="H95" t="s">
        <v>110</v>
      </c>
      <c r="I95" t="s">
        <v>198</v>
      </c>
      <c r="J95" t="s">
        <v>200</v>
      </c>
      <c r="K95">
        <v>0</v>
      </c>
      <c r="L95">
        <v>86.053217342719677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8.8856464256259107E-2</v>
      </c>
      <c r="T95">
        <v>17</v>
      </c>
      <c r="U95">
        <v>5.0359545399784116</v>
      </c>
      <c r="W95">
        <v>1</v>
      </c>
      <c r="X95">
        <v>1</v>
      </c>
    </row>
    <row r="96" spans="1:24" x14ac:dyDescent="0.25">
      <c r="A96" t="s">
        <v>95</v>
      </c>
      <c r="B96" t="s">
        <v>96</v>
      </c>
      <c r="C96" t="s">
        <v>197</v>
      </c>
      <c r="F96" t="s">
        <v>162</v>
      </c>
      <c r="G96" t="s">
        <v>111</v>
      </c>
      <c r="H96" t="s">
        <v>112</v>
      </c>
      <c r="I96" t="s">
        <v>198</v>
      </c>
      <c r="J96" t="s">
        <v>200</v>
      </c>
      <c r="K96">
        <v>0</v>
      </c>
      <c r="L96">
        <v>86.053217342719677</v>
      </c>
      <c r="M96">
        <v>0</v>
      </c>
      <c r="N96">
        <v>0</v>
      </c>
      <c r="O96">
        <v>0.1</v>
      </c>
      <c r="P96">
        <v>0</v>
      </c>
      <c r="Q96">
        <v>0</v>
      </c>
      <c r="R96">
        <v>0</v>
      </c>
      <c r="S96">
        <v>8.8856464256259107E-2</v>
      </c>
      <c r="T96">
        <v>17</v>
      </c>
      <c r="U96">
        <v>5.0359545399784116</v>
      </c>
      <c r="W96">
        <v>1</v>
      </c>
      <c r="X96">
        <v>1</v>
      </c>
    </row>
    <row r="97" spans="1:24" x14ac:dyDescent="0.25">
      <c r="A97" t="s">
        <v>95</v>
      </c>
      <c r="B97" t="s">
        <v>96</v>
      </c>
      <c r="C97" t="s">
        <v>197</v>
      </c>
      <c r="F97" t="s">
        <v>113</v>
      </c>
      <c r="G97" t="s">
        <v>114</v>
      </c>
      <c r="H97" t="s">
        <v>115</v>
      </c>
      <c r="I97" t="s">
        <v>198</v>
      </c>
      <c r="J97" t="s">
        <v>201</v>
      </c>
      <c r="K97">
        <v>1</v>
      </c>
      <c r="L97">
        <v>86.053217342719677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6.1385733879640317E-2</v>
      </c>
      <c r="T97">
        <v>17</v>
      </c>
      <c r="U97">
        <v>5.0359545399784116</v>
      </c>
      <c r="W97">
        <v>1</v>
      </c>
      <c r="X97">
        <v>1</v>
      </c>
    </row>
    <row r="98" spans="1:24" x14ac:dyDescent="0.25">
      <c r="A98" t="s">
        <v>95</v>
      </c>
      <c r="B98" t="s">
        <v>96</v>
      </c>
      <c r="C98" t="s">
        <v>197</v>
      </c>
      <c r="F98" t="s">
        <v>113</v>
      </c>
      <c r="G98" t="s">
        <v>117</v>
      </c>
      <c r="H98" t="s">
        <v>118</v>
      </c>
      <c r="I98" t="s">
        <v>198</v>
      </c>
      <c r="J98" t="s">
        <v>201</v>
      </c>
      <c r="K98">
        <v>0</v>
      </c>
      <c r="L98">
        <v>86.053217342719677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1.2132772469277381E-2</v>
      </c>
      <c r="T98">
        <v>17</v>
      </c>
      <c r="U98">
        <v>5.0359545399784116</v>
      </c>
      <c r="W98">
        <v>1</v>
      </c>
      <c r="X98">
        <v>1</v>
      </c>
    </row>
    <row r="99" spans="1:24" x14ac:dyDescent="0.25">
      <c r="A99" t="s">
        <v>95</v>
      </c>
      <c r="B99" t="s">
        <v>96</v>
      </c>
      <c r="C99" t="s">
        <v>197</v>
      </c>
      <c r="F99" t="s">
        <v>165</v>
      </c>
      <c r="G99" t="s">
        <v>154</v>
      </c>
      <c r="H99" t="s">
        <v>155</v>
      </c>
      <c r="I99" t="s">
        <v>198</v>
      </c>
      <c r="J99" t="s">
        <v>202</v>
      </c>
      <c r="K99">
        <v>1</v>
      </c>
      <c r="L99">
        <v>86.053217342719677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0.21507770694487269</v>
      </c>
      <c r="T99">
        <v>17</v>
      </c>
      <c r="U99">
        <v>5.0359545399784116</v>
      </c>
      <c r="W99">
        <v>1</v>
      </c>
      <c r="X99">
        <v>1</v>
      </c>
    </row>
    <row r="100" spans="1:24" x14ac:dyDescent="0.25">
      <c r="A100" t="s">
        <v>95</v>
      </c>
      <c r="B100" t="s">
        <v>96</v>
      </c>
      <c r="C100" t="s">
        <v>197</v>
      </c>
      <c r="F100" t="s">
        <v>167</v>
      </c>
      <c r="G100" t="s">
        <v>124</v>
      </c>
      <c r="H100" t="s">
        <v>125</v>
      </c>
      <c r="I100" t="s">
        <v>198</v>
      </c>
      <c r="J100" t="s">
        <v>203</v>
      </c>
      <c r="K100">
        <v>1</v>
      </c>
      <c r="L100">
        <v>86.053217342719677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0.21507770694487269</v>
      </c>
      <c r="T100">
        <v>17</v>
      </c>
      <c r="U100">
        <v>5.0359545399784116</v>
      </c>
      <c r="W100">
        <v>1</v>
      </c>
      <c r="X100">
        <v>1</v>
      </c>
    </row>
    <row r="101" spans="1:24" x14ac:dyDescent="0.25">
      <c r="A101" t="s">
        <v>95</v>
      </c>
      <c r="B101" t="s">
        <v>96</v>
      </c>
      <c r="C101" t="s">
        <v>204</v>
      </c>
      <c r="F101" t="s">
        <v>159</v>
      </c>
      <c r="G101" t="s">
        <v>99</v>
      </c>
      <c r="H101" t="s">
        <v>100</v>
      </c>
      <c r="I101" t="s">
        <v>205</v>
      </c>
      <c r="J101" t="s">
        <v>206</v>
      </c>
      <c r="K101">
        <v>1</v>
      </c>
      <c r="L101">
        <v>0</v>
      </c>
      <c r="M101">
        <v>0</v>
      </c>
      <c r="N101">
        <v>0.9</v>
      </c>
      <c r="O101">
        <v>1</v>
      </c>
      <c r="P101">
        <v>0</v>
      </c>
      <c r="Q101">
        <v>0</v>
      </c>
      <c r="R101">
        <v>0</v>
      </c>
      <c r="S101">
        <v>7.0102468573991827E-2</v>
      </c>
      <c r="T101">
        <v>9</v>
      </c>
      <c r="U101">
        <v>9.5175344176808672</v>
      </c>
      <c r="W101">
        <v>1</v>
      </c>
      <c r="X101">
        <v>1</v>
      </c>
    </row>
    <row r="102" spans="1:24" x14ac:dyDescent="0.25">
      <c r="A102" t="s">
        <v>95</v>
      </c>
      <c r="B102" t="s">
        <v>96</v>
      </c>
      <c r="C102" t="s">
        <v>204</v>
      </c>
      <c r="F102" t="s">
        <v>159</v>
      </c>
      <c r="G102" t="s">
        <v>103</v>
      </c>
      <c r="H102" t="s">
        <v>104</v>
      </c>
      <c r="I102" t="s">
        <v>205</v>
      </c>
      <c r="J102" t="s">
        <v>206</v>
      </c>
      <c r="K102">
        <v>0</v>
      </c>
      <c r="L102">
        <v>0</v>
      </c>
      <c r="M102">
        <v>0</v>
      </c>
      <c r="N102">
        <v>0</v>
      </c>
      <c r="O102">
        <v>0.1</v>
      </c>
      <c r="P102">
        <v>0</v>
      </c>
      <c r="Q102">
        <v>0</v>
      </c>
      <c r="R102">
        <v>0</v>
      </c>
      <c r="S102">
        <v>7.0102468573991827E-2</v>
      </c>
      <c r="T102">
        <v>9</v>
      </c>
      <c r="U102">
        <v>9.5175344176808672</v>
      </c>
      <c r="W102">
        <v>1</v>
      </c>
      <c r="X102">
        <v>1</v>
      </c>
    </row>
    <row r="103" spans="1:24" x14ac:dyDescent="0.25">
      <c r="A103" t="s">
        <v>95</v>
      </c>
      <c r="B103" t="s">
        <v>96</v>
      </c>
      <c r="C103" t="s">
        <v>204</v>
      </c>
      <c r="F103" t="s">
        <v>162</v>
      </c>
      <c r="G103" t="s">
        <v>106</v>
      </c>
      <c r="H103" t="s">
        <v>107</v>
      </c>
      <c r="I103" t="s">
        <v>205</v>
      </c>
      <c r="J103" t="s">
        <v>207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6.8429855158963215E-2</v>
      </c>
      <c r="T103">
        <v>9</v>
      </c>
      <c r="U103">
        <v>9.5175344176808672</v>
      </c>
      <c r="W103">
        <v>1</v>
      </c>
      <c r="X103">
        <v>1</v>
      </c>
    </row>
    <row r="104" spans="1:24" x14ac:dyDescent="0.25">
      <c r="A104" t="s">
        <v>95</v>
      </c>
      <c r="B104" t="s">
        <v>96</v>
      </c>
      <c r="C104" t="s">
        <v>204</v>
      </c>
      <c r="F104" t="s">
        <v>162</v>
      </c>
      <c r="G104" t="s">
        <v>109</v>
      </c>
      <c r="H104" t="s">
        <v>110</v>
      </c>
      <c r="I104" t="s">
        <v>205</v>
      </c>
      <c r="J104" t="s">
        <v>207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6.8429855158963215E-2</v>
      </c>
      <c r="T104">
        <v>9</v>
      </c>
      <c r="U104">
        <v>9.5175344176808672</v>
      </c>
      <c r="W104">
        <v>1</v>
      </c>
      <c r="X104">
        <v>1</v>
      </c>
    </row>
    <row r="105" spans="1:24" x14ac:dyDescent="0.25">
      <c r="A105" t="s">
        <v>95</v>
      </c>
      <c r="B105" t="s">
        <v>96</v>
      </c>
      <c r="C105" t="s">
        <v>204</v>
      </c>
      <c r="F105" t="s">
        <v>162</v>
      </c>
      <c r="G105" t="s">
        <v>111</v>
      </c>
      <c r="H105" t="s">
        <v>112</v>
      </c>
      <c r="I105" t="s">
        <v>205</v>
      </c>
      <c r="J105" t="s">
        <v>207</v>
      </c>
      <c r="K105">
        <v>0</v>
      </c>
      <c r="L105">
        <v>0</v>
      </c>
      <c r="M105">
        <v>0</v>
      </c>
      <c r="N105">
        <v>0</v>
      </c>
      <c r="O105">
        <v>0.1</v>
      </c>
      <c r="P105">
        <v>0</v>
      </c>
      <c r="Q105">
        <v>0</v>
      </c>
      <c r="R105">
        <v>0</v>
      </c>
      <c r="S105">
        <v>6.8429855158963215E-2</v>
      </c>
      <c r="T105">
        <v>9</v>
      </c>
      <c r="U105">
        <v>9.5175344176808672</v>
      </c>
      <c r="W105">
        <v>1</v>
      </c>
      <c r="X105">
        <v>1</v>
      </c>
    </row>
    <row r="106" spans="1:24" x14ac:dyDescent="0.25">
      <c r="A106" t="s">
        <v>95</v>
      </c>
      <c r="B106" t="s">
        <v>96</v>
      </c>
      <c r="C106" t="s">
        <v>204</v>
      </c>
      <c r="F106" t="s">
        <v>113</v>
      </c>
      <c r="G106" t="s">
        <v>114</v>
      </c>
      <c r="H106" t="s">
        <v>115</v>
      </c>
      <c r="I106" t="s">
        <v>205</v>
      </c>
      <c r="J106" t="s">
        <v>208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5.2339471305836681E-2</v>
      </c>
      <c r="T106">
        <v>9</v>
      </c>
      <c r="U106">
        <v>9.5175344176808672</v>
      </c>
      <c r="W106">
        <v>1</v>
      </c>
      <c r="X106">
        <v>1</v>
      </c>
    </row>
    <row r="107" spans="1:24" x14ac:dyDescent="0.25">
      <c r="A107" t="s">
        <v>95</v>
      </c>
      <c r="B107" t="s">
        <v>96</v>
      </c>
      <c r="C107" t="s">
        <v>204</v>
      </c>
      <c r="F107" t="s">
        <v>113</v>
      </c>
      <c r="G107" t="s">
        <v>117</v>
      </c>
      <c r="H107" t="s">
        <v>118</v>
      </c>
      <c r="I107" t="s">
        <v>205</v>
      </c>
      <c r="J107" t="s">
        <v>208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1.023594180704201E-2</v>
      </c>
      <c r="T107">
        <v>9</v>
      </c>
      <c r="U107">
        <v>9.5175344176808672</v>
      </c>
      <c r="W107">
        <v>1</v>
      </c>
      <c r="X107">
        <v>1</v>
      </c>
    </row>
    <row r="108" spans="1:24" x14ac:dyDescent="0.25">
      <c r="A108" t="s">
        <v>95</v>
      </c>
      <c r="B108" t="s">
        <v>96</v>
      </c>
      <c r="C108" t="s">
        <v>204</v>
      </c>
      <c r="F108" t="s">
        <v>165</v>
      </c>
      <c r="G108" t="s">
        <v>154</v>
      </c>
      <c r="H108" t="s">
        <v>155</v>
      </c>
      <c r="I108" t="s">
        <v>205</v>
      </c>
      <c r="J108" t="s">
        <v>209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0.21507770694487269</v>
      </c>
      <c r="T108">
        <v>9</v>
      </c>
      <c r="U108">
        <v>9.5175344176808672</v>
      </c>
      <c r="W108">
        <v>1</v>
      </c>
      <c r="X108">
        <v>1</v>
      </c>
    </row>
    <row r="109" spans="1:24" x14ac:dyDescent="0.25">
      <c r="A109" t="s">
        <v>95</v>
      </c>
      <c r="B109" t="s">
        <v>96</v>
      </c>
      <c r="C109" t="s">
        <v>204</v>
      </c>
      <c r="F109" t="s">
        <v>167</v>
      </c>
      <c r="G109" t="s">
        <v>124</v>
      </c>
      <c r="H109" t="s">
        <v>125</v>
      </c>
      <c r="I109" t="s">
        <v>205</v>
      </c>
      <c r="J109" t="s">
        <v>210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0.21507770694487269</v>
      </c>
      <c r="T109">
        <v>9</v>
      </c>
      <c r="U109">
        <v>9.5175344176808672</v>
      </c>
      <c r="W109">
        <v>1</v>
      </c>
      <c r="X109">
        <v>1</v>
      </c>
    </row>
    <row r="110" spans="1:24" x14ac:dyDescent="0.25">
      <c r="A110" t="s">
        <v>95</v>
      </c>
      <c r="B110" t="s">
        <v>96</v>
      </c>
      <c r="C110" t="s">
        <v>211</v>
      </c>
      <c r="F110" t="s">
        <v>162</v>
      </c>
      <c r="G110" t="s">
        <v>106</v>
      </c>
      <c r="H110" t="s">
        <v>107</v>
      </c>
      <c r="I110" t="s">
        <v>212</v>
      </c>
      <c r="J110" t="s">
        <v>213</v>
      </c>
      <c r="K110">
        <v>1</v>
      </c>
      <c r="L110">
        <v>364.1076787683694</v>
      </c>
      <c r="M110">
        <v>3.0543994309469039E-2</v>
      </c>
      <c r="N110">
        <v>0</v>
      </c>
      <c r="O110">
        <v>1</v>
      </c>
      <c r="P110">
        <v>11.121302868335061</v>
      </c>
      <c r="Q110">
        <v>247.90562236925601</v>
      </c>
      <c r="R110">
        <v>11.121302868335061</v>
      </c>
      <c r="S110">
        <v>4.4861035268372623E-2</v>
      </c>
      <c r="T110">
        <v>30</v>
      </c>
      <c r="U110">
        <v>3506.474352651599</v>
      </c>
      <c r="W110">
        <v>1</v>
      </c>
      <c r="X110">
        <v>1</v>
      </c>
    </row>
    <row r="111" spans="1:24" x14ac:dyDescent="0.25">
      <c r="A111" t="s">
        <v>95</v>
      </c>
      <c r="B111" t="s">
        <v>96</v>
      </c>
      <c r="C111" t="s">
        <v>211</v>
      </c>
      <c r="F111" t="s">
        <v>162</v>
      </c>
      <c r="G111" t="s">
        <v>109</v>
      </c>
      <c r="H111" t="s">
        <v>110</v>
      </c>
      <c r="I111" t="s">
        <v>212</v>
      </c>
      <c r="J111" t="s">
        <v>213</v>
      </c>
      <c r="K111">
        <v>0</v>
      </c>
      <c r="L111">
        <v>364.1076787683694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4.4861035268372623E-2</v>
      </c>
      <c r="T111">
        <v>30</v>
      </c>
      <c r="U111">
        <v>3506.474352651599</v>
      </c>
      <c r="W111">
        <v>1</v>
      </c>
      <c r="X111">
        <v>1</v>
      </c>
    </row>
    <row r="112" spans="1:24" x14ac:dyDescent="0.25">
      <c r="A112" t="s">
        <v>95</v>
      </c>
      <c r="B112" t="s">
        <v>96</v>
      </c>
      <c r="C112" t="s">
        <v>211</v>
      </c>
      <c r="F112" t="s">
        <v>162</v>
      </c>
      <c r="G112" t="s">
        <v>111</v>
      </c>
      <c r="H112" t="s">
        <v>112</v>
      </c>
      <c r="I112" t="s">
        <v>212</v>
      </c>
      <c r="J112" t="s">
        <v>213</v>
      </c>
      <c r="K112">
        <v>0</v>
      </c>
      <c r="L112">
        <v>364.1076787683694</v>
      </c>
      <c r="M112">
        <v>0</v>
      </c>
      <c r="N112">
        <v>0</v>
      </c>
      <c r="O112">
        <v>0.1</v>
      </c>
      <c r="P112">
        <v>0</v>
      </c>
      <c r="Q112">
        <v>0</v>
      </c>
      <c r="R112">
        <v>0</v>
      </c>
      <c r="S112">
        <v>4.4861035268372623E-2</v>
      </c>
      <c r="T112">
        <v>30</v>
      </c>
      <c r="U112">
        <v>3506.474352651599</v>
      </c>
      <c r="W112">
        <v>1</v>
      </c>
      <c r="X112">
        <v>1</v>
      </c>
    </row>
    <row r="113" spans="1:24" x14ac:dyDescent="0.25">
      <c r="A113" t="s">
        <v>95</v>
      </c>
      <c r="B113" t="s">
        <v>96</v>
      </c>
      <c r="C113" t="s">
        <v>211</v>
      </c>
      <c r="F113" t="s">
        <v>113</v>
      </c>
      <c r="G113" t="s">
        <v>114</v>
      </c>
      <c r="H113" t="s">
        <v>115</v>
      </c>
      <c r="I113" t="s">
        <v>212</v>
      </c>
      <c r="J113" t="s">
        <v>214</v>
      </c>
      <c r="K113">
        <v>1</v>
      </c>
      <c r="L113">
        <v>364.1076787683694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5.0632630449098923E-2</v>
      </c>
      <c r="T113">
        <v>30</v>
      </c>
      <c r="U113">
        <v>3506.474352651599</v>
      </c>
      <c r="W113">
        <v>1</v>
      </c>
      <c r="X113">
        <v>1</v>
      </c>
    </row>
    <row r="114" spans="1:24" x14ac:dyDescent="0.25">
      <c r="A114" t="s">
        <v>95</v>
      </c>
      <c r="B114" t="s">
        <v>96</v>
      </c>
      <c r="C114" t="s">
        <v>211</v>
      </c>
      <c r="F114" t="s">
        <v>113</v>
      </c>
      <c r="G114" t="s">
        <v>117</v>
      </c>
      <c r="H114" t="s">
        <v>118</v>
      </c>
      <c r="I114" t="s">
        <v>212</v>
      </c>
      <c r="J114" t="s">
        <v>214</v>
      </c>
      <c r="K114">
        <v>0</v>
      </c>
      <c r="L114">
        <v>364.1076787683694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5.0632630449098923E-2</v>
      </c>
      <c r="T114">
        <v>30</v>
      </c>
      <c r="U114">
        <v>3506.474352651599</v>
      </c>
      <c r="W114">
        <v>1</v>
      </c>
      <c r="X114">
        <v>1</v>
      </c>
    </row>
    <row r="115" spans="1:24" x14ac:dyDescent="0.25">
      <c r="A115" t="s">
        <v>95</v>
      </c>
      <c r="B115" t="s">
        <v>96</v>
      </c>
      <c r="C115" t="s">
        <v>211</v>
      </c>
      <c r="F115" t="s">
        <v>215</v>
      </c>
      <c r="G115" t="s">
        <v>216</v>
      </c>
      <c r="H115" t="s">
        <v>217</v>
      </c>
      <c r="I115" t="s">
        <v>212</v>
      </c>
      <c r="J115" t="s">
        <v>218</v>
      </c>
      <c r="K115">
        <v>1</v>
      </c>
      <c r="L115">
        <v>364.1076787683694</v>
      </c>
      <c r="M115">
        <v>0.96945600569053092</v>
      </c>
      <c r="N115">
        <v>1</v>
      </c>
      <c r="O115">
        <v>1</v>
      </c>
      <c r="P115">
        <v>352.98637590003432</v>
      </c>
      <c r="Q115">
        <v>8021.3211901118002</v>
      </c>
      <c r="R115">
        <v>352.98637590003432</v>
      </c>
      <c r="S115">
        <v>4.4006014412585122E-2</v>
      </c>
      <c r="T115">
        <v>30</v>
      </c>
      <c r="U115">
        <v>3506.474352651599</v>
      </c>
      <c r="W115">
        <v>1</v>
      </c>
      <c r="X115">
        <v>1</v>
      </c>
    </row>
    <row r="116" spans="1:24" x14ac:dyDescent="0.25">
      <c r="A116" t="s">
        <v>95</v>
      </c>
      <c r="B116" t="s">
        <v>96</v>
      </c>
      <c r="C116" t="s">
        <v>211</v>
      </c>
      <c r="F116" t="s">
        <v>167</v>
      </c>
      <c r="G116" t="s">
        <v>124</v>
      </c>
      <c r="H116" t="s">
        <v>125</v>
      </c>
      <c r="I116" t="s">
        <v>212</v>
      </c>
      <c r="J116" t="s">
        <v>219</v>
      </c>
      <c r="K116">
        <v>1</v>
      </c>
      <c r="L116">
        <v>364.1076787683694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4.4006014412585122E-2</v>
      </c>
      <c r="T116">
        <v>30</v>
      </c>
      <c r="U116">
        <v>3506.474352651599</v>
      </c>
      <c r="W116">
        <v>1</v>
      </c>
      <c r="X116">
        <v>1</v>
      </c>
    </row>
    <row r="117" spans="1:24" x14ac:dyDescent="0.25">
      <c r="A117" t="s">
        <v>95</v>
      </c>
      <c r="B117" t="s">
        <v>96</v>
      </c>
      <c r="C117" t="s">
        <v>220</v>
      </c>
      <c r="F117" t="s">
        <v>162</v>
      </c>
      <c r="G117" t="s">
        <v>106</v>
      </c>
      <c r="H117" t="s">
        <v>107</v>
      </c>
      <c r="I117" t="s">
        <v>221</v>
      </c>
      <c r="J117" t="s">
        <v>222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7.1504496939081452E-2</v>
      </c>
      <c r="T117">
        <v>30</v>
      </c>
      <c r="U117">
        <v>158.5923890582003</v>
      </c>
      <c r="W117">
        <v>1</v>
      </c>
      <c r="X117">
        <v>1</v>
      </c>
    </row>
    <row r="118" spans="1:24" x14ac:dyDescent="0.25">
      <c r="A118" t="s">
        <v>95</v>
      </c>
      <c r="B118" t="s">
        <v>96</v>
      </c>
      <c r="C118" t="s">
        <v>220</v>
      </c>
      <c r="F118" t="s">
        <v>162</v>
      </c>
      <c r="G118" t="s">
        <v>109</v>
      </c>
      <c r="H118" t="s">
        <v>110</v>
      </c>
      <c r="I118" t="s">
        <v>221</v>
      </c>
      <c r="J118" t="s">
        <v>222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7.1504496939081452E-2</v>
      </c>
      <c r="T118">
        <v>30</v>
      </c>
      <c r="U118">
        <v>158.5923890582003</v>
      </c>
      <c r="W118">
        <v>1</v>
      </c>
      <c r="X118">
        <v>1</v>
      </c>
    </row>
    <row r="119" spans="1:24" x14ac:dyDescent="0.25">
      <c r="A119" t="s">
        <v>95</v>
      </c>
      <c r="B119" t="s">
        <v>96</v>
      </c>
      <c r="C119" t="s">
        <v>220</v>
      </c>
      <c r="F119" t="s">
        <v>162</v>
      </c>
      <c r="G119" t="s">
        <v>111</v>
      </c>
      <c r="H119" t="s">
        <v>112</v>
      </c>
      <c r="I119" t="s">
        <v>221</v>
      </c>
      <c r="J119" t="s">
        <v>222</v>
      </c>
      <c r="K119">
        <v>0</v>
      </c>
      <c r="L119">
        <v>0</v>
      </c>
      <c r="M119">
        <v>0</v>
      </c>
      <c r="N119">
        <v>0</v>
      </c>
      <c r="O119">
        <v>0.1</v>
      </c>
      <c r="P119">
        <v>0</v>
      </c>
      <c r="Q119">
        <v>0</v>
      </c>
      <c r="R119">
        <v>0</v>
      </c>
      <c r="S119">
        <v>7.1504496939081452E-2</v>
      </c>
      <c r="T119">
        <v>30</v>
      </c>
      <c r="U119">
        <v>158.5923890582003</v>
      </c>
      <c r="W119">
        <v>1</v>
      </c>
      <c r="X119">
        <v>1</v>
      </c>
    </row>
    <row r="120" spans="1:24" x14ac:dyDescent="0.25">
      <c r="A120" t="s">
        <v>95</v>
      </c>
      <c r="B120" t="s">
        <v>96</v>
      </c>
      <c r="C120" t="s">
        <v>220</v>
      </c>
      <c r="F120" t="s">
        <v>113</v>
      </c>
      <c r="G120" t="s">
        <v>114</v>
      </c>
      <c r="H120" t="s">
        <v>115</v>
      </c>
      <c r="I120" t="s">
        <v>221</v>
      </c>
      <c r="J120" t="s">
        <v>223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8.0703905902004214E-2</v>
      </c>
      <c r="T120">
        <v>30</v>
      </c>
      <c r="U120">
        <v>158.5923890582003</v>
      </c>
      <c r="W120">
        <v>1</v>
      </c>
      <c r="X120">
        <v>1</v>
      </c>
    </row>
    <row r="121" spans="1:24" x14ac:dyDescent="0.25">
      <c r="A121" t="s">
        <v>95</v>
      </c>
      <c r="B121" t="s">
        <v>96</v>
      </c>
      <c r="C121" t="s">
        <v>220</v>
      </c>
      <c r="F121" t="s">
        <v>113</v>
      </c>
      <c r="G121" t="s">
        <v>117</v>
      </c>
      <c r="H121" t="s">
        <v>118</v>
      </c>
      <c r="I121" t="s">
        <v>221</v>
      </c>
      <c r="J121" t="s">
        <v>223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8.0703905902004214E-2</v>
      </c>
      <c r="T121">
        <v>30</v>
      </c>
      <c r="U121">
        <v>158.5923890582003</v>
      </c>
      <c r="W121">
        <v>1</v>
      </c>
      <c r="X121">
        <v>1</v>
      </c>
    </row>
    <row r="122" spans="1:24" x14ac:dyDescent="0.25">
      <c r="A122" t="s">
        <v>95</v>
      </c>
      <c r="B122" t="s">
        <v>96</v>
      </c>
      <c r="C122" t="s">
        <v>220</v>
      </c>
      <c r="F122" t="s">
        <v>215</v>
      </c>
      <c r="G122" t="s">
        <v>216</v>
      </c>
      <c r="H122" t="s">
        <v>217</v>
      </c>
      <c r="I122" t="s">
        <v>221</v>
      </c>
      <c r="J122" t="s">
        <v>224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8.0703905902004214E-2</v>
      </c>
      <c r="T122">
        <v>30</v>
      </c>
      <c r="U122">
        <v>158.5923890582003</v>
      </c>
      <c r="W122">
        <v>1</v>
      </c>
      <c r="X122">
        <v>1</v>
      </c>
    </row>
    <row r="123" spans="1:24" x14ac:dyDescent="0.25">
      <c r="A123" t="s">
        <v>95</v>
      </c>
      <c r="B123" t="s">
        <v>96</v>
      </c>
      <c r="C123" t="s">
        <v>225</v>
      </c>
      <c r="F123" t="s">
        <v>215</v>
      </c>
      <c r="G123" t="s">
        <v>216</v>
      </c>
      <c r="H123" t="s">
        <v>217</v>
      </c>
      <c r="I123" t="s">
        <v>226</v>
      </c>
      <c r="J123" t="s">
        <v>227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8.0703905902004214E-2</v>
      </c>
      <c r="T123">
        <v>30</v>
      </c>
      <c r="U123">
        <v>158.5923890582003</v>
      </c>
      <c r="W123">
        <v>1</v>
      </c>
      <c r="X123">
        <v>1</v>
      </c>
    </row>
    <row r="124" spans="1:24" x14ac:dyDescent="0.25">
      <c r="A124" t="s">
        <v>95</v>
      </c>
      <c r="B124" t="s">
        <v>96</v>
      </c>
      <c r="C124" t="s">
        <v>228</v>
      </c>
      <c r="F124" t="s">
        <v>229</v>
      </c>
      <c r="G124" t="s">
        <v>229</v>
      </c>
      <c r="I124" t="s">
        <v>230</v>
      </c>
      <c r="J124" t="s">
        <v>231</v>
      </c>
      <c r="K124">
        <v>1</v>
      </c>
      <c r="L124">
        <v>783.71641071992963</v>
      </c>
      <c r="M124">
        <v>1</v>
      </c>
      <c r="N124">
        <v>0</v>
      </c>
      <c r="O124">
        <v>0</v>
      </c>
      <c r="P124">
        <v>783.71641071992963</v>
      </c>
      <c r="Q124">
        <v>0</v>
      </c>
      <c r="R124">
        <v>783.71641071992963</v>
      </c>
      <c r="S124">
        <v>1</v>
      </c>
      <c r="T124">
        <v>50</v>
      </c>
      <c r="U124">
        <v>0</v>
      </c>
      <c r="W124">
        <v>1</v>
      </c>
      <c r="X124">
        <v>1</v>
      </c>
    </row>
    <row r="125" spans="1:24" x14ac:dyDescent="0.25">
      <c r="A125" t="s">
        <v>95</v>
      </c>
      <c r="B125" t="s">
        <v>96</v>
      </c>
      <c r="C125" t="s">
        <v>232</v>
      </c>
      <c r="F125" t="s">
        <v>229</v>
      </c>
      <c r="G125" t="s">
        <v>229</v>
      </c>
      <c r="I125" t="s">
        <v>233</v>
      </c>
      <c r="J125" t="s">
        <v>234</v>
      </c>
      <c r="K125">
        <v>1</v>
      </c>
      <c r="L125">
        <v>4185.0616827171943</v>
      </c>
      <c r="M125">
        <v>1</v>
      </c>
      <c r="N125">
        <v>0</v>
      </c>
      <c r="O125">
        <v>0</v>
      </c>
      <c r="P125">
        <v>4185.0616827171943</v>
      </c>
      <c r="Q125">
        <v>0</v>
      </c>
      <c r="R125">
        <v>4185.0616827171943</v>
      </c>
      <c r="S125">
        <v>1</v>
      </c>
      <c r="T125">
        <v>100</v>
      </c>
      <c r="U125">
        <v>0</v>
      </c>
      <c r="W125">
        <v>1</v>
      </c>
      <c r="X125">
        <v>1</v>
      </c>
    </row>
    <row r="126" spans="1:24" x14ac:dyDescent="0.25">
      <c r="A126" t="s">
        <v>95</v>
      </c>
      <c r="B126" t="s">
        <v>235</v>
      </c>
      <c r="C126" t="s">
        <v>236</v>
      </c>
      <c r="F126" t="s">
        <v>159</v>
      </c>
      <c r="G126" t="s">
        <v>99</v>
      </c>
      <c r="H126" t="s">
        <v>100</v>
      </c>
      <c r="I126" t="s">
        <v>237</v>
      </c>
      <c r="J126" t="s">
        <v>238</v>
      </c>
      <c r="K126">
        <v>1</v>
      </c>
      <c r="L126">
        <v>0</v>
      </c>
      <c r="M126">
        <v>0</v>
      </c>
      <c r="N126">
        <v>0.9</v>
      </c>
      <c r="O126">
        <v>1</v>
      </c>
      <c r="P126">
        <v>0</v>
      </c>
      <c r="Q126">
        <v>0</v>
      </c>
      <c r="R126">
        <v>0</v>
      </c>
      <c r="S126">
        <v>0.10837962752894351</v>
      </c>
      <c r="T126">
        <v>8</v>
      </c>
      <c r="U126">
        <v>10.491571958288359</v>
      </c>
      <c r="W126">
        <v>1</v>
      </c>
      <c r="X126">
        <v>1</v>
      </c>
    </row>
    <row r="127" spans="1:24" x14ac:dyDescent="0.25">
      <c r="A127" t="s">
        <v>95</v>
      </c>
      <c r="B127" t="s">
        <v>235</v>
      </c>
      <c r="C127" t="s">
        <v>236</v>
      </c>
      <c r="F127" t="s">
        <v>159</v>
      </c>
      <c r="G127" t="s">
        <v>103</v>
      </c>
      <c r="H127" t="s">
        <v>104</v>
      </c>
      <c r="I127" t="s">
        <v>237</v>
      </c>
      <c r="J127" t="s">
        <v>238</v>
      </c>
      <c r="K127">
        <v>0</v>
      </c>
      <c r="L127">
        <v>0</v>
      </c>
      <c r="M127">
        <v>0</v>
      </c>
      <c r="N127">
        <v>0</v>
      </c>
      <c r="O127">
        <v>0.1</v>
      </c>
      <c r="P127">
        <v>0</v>
      </c>
      <c r="Q127">
        <v>0</v>
      </c>
      <c r="R127">
        <v>0</v>
      </c>
      <c r="S127">
        <v>0.10837962752894351</v>
      </c>
      <c r="T127">
        <v>8</v>
      </c>
      <c r="U127">
        <v>10.491571958288359</v>
      </c>
      <c r="W127">
        <v>1</v>
      </c>
      <c r="X127">
        <v>1</v>
      </c>
    </row>
    <row r="128" spans="1:24" x14ac:dyDescent="0.25">
      <c r="A128" t="s">
        <v>95</v>
      </c>
      <c r="B128" t="s">
        <v>235</v>
      </c>
      <c r="C128" t="s">
        <v>236</v>
      </c>
      <c r="F128" t="s">
        <v>162</v>
      </c>
      <c r="G128" t="s">
        <v>106</v>
      </c>
      <c r="H128" t="s">
        <v>107</v>
      </c>
      <c r="I128" t="s">
        <v>237</v>
      </c>
      <c r="J128" t="s">
        <v>239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0.10461489771314229</v>
      </c>
      <c r="T128">
        <v>8</v>
      </c>
      <c r="U128">
        <v>10.491571958288359</v>
      </c>
      <c r="W128">
        <v>1</v>
      </c>
      <c r="X128">
        <v>1</v>
      </c>
    </row>
    <row r="129" spans="1:24" x14ac:dyDescent="0.25">
      <c r="A129" t="s">
        <v>95</v>
      </c>
      <c r="B129" t="s">
        <v>235</v>
      </c>
      <c r="C129" t="s">
        <v>236</v>
      </c>
      <c r="F129" t="s">
        <v>162</v>
      </c>
      <c r="G129" t="s">
        <v>109</v>
      </c>
      <c r="H129" t="s">
        <v>110</v>
      </c>
      <c r="I129" t="s">
        <v>237</v>
      </c>
      <c r="J129" t="s">
        <v>239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0.10461489771314229</v>
      </c>
      <c r="T129">
        <v>8</v>
      </c>
      <c r="U129">
        <v>10.491571958288359</v>
      </c>
      <c r="W129">
        <v>1</v>
      </c>
      <c r="X129">
        <v>1</v>
      </c>
    </row>
    <row r="130" spans="1:24" x14ac:dyDescent="0.25">
      <c r="A130" t="s">
        <v>95</v>
      </c>
      <c r="B130" t="s">
        <v>235</v>
      </c>
      <c r="C130" t="s">
        <v>236</v>
      </c>
      <c r="F130" t="s">
        <v>162</v>
      </c>
      <c r="G130" t="s">
        <v>111</v>
      </c>
      <c r="H130" t="s">
        <v>112</v>
      </c>
      <c r="I130" t="s">
        <v>237</v>
      </c>
      <c r="J130" t="s">
        <v>239</v>
      </c>
      <c r="K130">
        <v>0</v>
      </c>
      <c r="L130">
        <v>0</v>
      </c>
      <c r="M130">
        <v>0</v>
      </c>
      <c r="N130">
        <v>0</v>
      </c>
      <c r="O130">
        <v>0.1</v>
      </c>
      <c r="P130">
        <v>0</v>
      </c>
      <c r="Q130">
        <v>0</v>
      </c>
      <c r="R130">
        <v>0</v>
      </c>
      <c r="S130">
        <v>0.10461489771314229</v>
      </c>
      <c r="T130">
        <v>8</v>
      </c>
      <c r="U130">
        <v>10.491571958288359</v>
      </c>
      <c r="W130">
        <v>1</v>
      </c>
      <c r="X130">
        <v>1</v>
      </c>
    </row>
    <row r="131" spans="1:24" x14ac:dyDescent="0.25">
      <c r="A131" t="s">
        <v>95</v>
      </c>
      <c r="B131" t="s">
        <v>235</v>
      </c>
      <c r="C131" t="s">
        <v>236</v>
      </c>
      <c r="F131" t="s">
        <v>113</v>
      </c>
      <c r="G131" t="s">
        <v>114</v>
      </c>
      <c r="H131" t="s">
        <v>115</v>
      </c>
      <c r="I131" t="s">
        <v>237</v>
      </c>
      <c r="J131" t="s">
        <v>240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0.10837962752894351</v>
      </c>
      <c r="T131">
        <v>8</v>
      </c>
      <c r="U131">
        <v>10.491571958288359</v>
      </c>
      <c r="W131">
        <v>1</v>
      </c>
      <c r="X131">
        <v>1</v>
      </c>
    </row>
    <row r="132" spans="1:24" x14ac:dyDescent="0.25">
      <c r="A132" t="s">
        <v>95</v>
      </c>
      <c r="B132" t="s">
        <v>235</v>
      </c>
      <c r="C132" t="s">
        <v>236</v>
      </c>
      <c r="F132" t="s">
        <v>113</v>
      </c>
      <c r="G132" t="s">
        <v>117</v>
      </c>
      <c r="H132" t="s">
        <v>118</v>
      </c>
      <c r="I132" t="s">
        <v>237</v>
      </c>
      <c r="J132" t="s">
        <v>240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0.10837962752894351</v>
      </c>
      <c r="T132">
        <v>8</v>
      </c>
      <c r="U132">
        <v>10.491571958288359</v>
      </c>
      <c r="W132">
        <v>1</v>
      </c>
      <c r="X132">
        <v>1</v>
      </c>
    </row>
    <row r="133" spans="1:24" x14ac:dyDescent="0.25">
      <c r="A133" t="s">
        <v>95</v>
      </c>
      <c r="B133" t="s">
        <v>235</v>
      </c>
      <c r="C133" t="s">
        <v>236</v>
      </c>
      <c r="F133" t="s">
        <v>165</v>
      </c>
      <c r="G133" t="s">
        <v>154</v>
      </c>
      <c r="H133" t="s">
        <v>155</v>
      </c>
      <c r="I133" t="s">
        <v>237</v>
      </c>
      <c r="J133" t="s">
        <v>241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0.21465701666491771</v>
      </c>
      <c r="T133">
        <v>8</v>
      </c>
      <c r="U133">
        <v>10.491571958288359</v>
      </c>
      <c r="W133">
        <v>1</v>
      </c>
      <c r="X133">
        <v>1</v>
      </c>
    </row>
    <row r="134" spans="1:24" x14ac:dyDescent="0.25">
      <c r="A134" t="s">
        <v>95</v>
      </c>
      <c r="B134" t="s">
        <v>235</v>
      </c>
      <c r="C134" t="s">
        <v>236</v>
      </c>
      <c r="F134" t="s">
        <v>167</v>
      </c>
      <c r="G134" t="s">
        <v>124</v>
      </c>
      <c r="H134" t="s">
        <v>125</v>
      </c>
      <c r="I134" t="s">
        <v>237</v>
      </c>
      <c r="J134" t="s">
        <v>242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0.21465701666491771</v>
      </c>
      <c r="T134">
        <v>8</v>
      </c>
      <c r="U134">
        <v>10.491571958288359</v>
      </c>
      <c r="W134">
        <v>1</v>
      </c>
      <c r="X134">
        <v>1</v>
      </c>
    </row>
    <row r="135" spans="1:24" x14ac:dyDescent="0.25">
      <c r="A135" t="s">
        <v>95</v>
      </c>
      <c r="B135" t="s">
        <v>235</v>
      </c>
      <c r="C135" t="s">
        <v>243</v>
      </c>
      <c r="F135" t="s">
        <v>159</v>
      </c>
      <c r="G135" t="s">
        <v>99</v>
      </c>
      <c r="H135" t="s">
        <v>100</v>
      </c>
      <c r="I135" t="s">
        <v>244</v>
      </c>
      <c r="J135" t="s">
        <v>245</v>
      </c>
      <c r="K135">
        <v>1</v>
      </c>
      <c r="L135">
        <v>1.605430432772551</v>
      </c>
      <c r="M135">
        <v>0</v>
      </c>
      <c r="N135">
        <v>0.9</v>
      </c>
      <c r="O135">
        <v>1</v>
      </c>
      <c r="P135">
        <v>0</v>
      </c>
      <c r="Q135">
        <v>0</v>
      </c>
      <c r="R135">
        <v>0</v>
      </c>
      <c r="S135">
        <v>1.2937722477707771E-3</v>
      </c>
      <c r="T135">
        <v>30</v>
      </c>
      <c r="U135">
        <v>6522.2353722155358</v>
      </c>
      <c r="W135">
        <v>1</v>
      </c>
      <c r="X135">
        <v>1</v>
      </c>
    </row>
    <row r="136" spans="1:24" x14ac:dyDescent="0.25">
      <c r="A136" t="s">
        <v>95</v>
      </c>
      <c r="B136" t="s">
        <v>235</v>
      </c>
      <c r="C136" t="s">
        <v>243</v>
      </c>
      <c r="F136" t="s">
        <v>159</v>
      </c>
      <c r="G136" t="s">
        <v>103</v>
      </c>
      <c r="H136" t="s">
        <v>104</v>
      </c>
      <c r="I136" t="s">
        <v>244</v>
      </c>
      <c r="J136" t="s">
        <v>245</v>
      </c>
      <c r="K136">
        <v>0</v>
      </c>
      <c r="L136">
        <v>1.605430432772551</v>
      </c>
      <c r="M136">
        <v>0</v>
      </c>
      <c r="N136">
        <v>0</v>
      </c>
      <c r="O136">
        <v>0.1</v>
      </c>
      <c r="P136">
        <v>0</v>
      </c>
      <c r="Q136">
        <v>0</v>
      </c>
      <c r="R136">
        <v>0</v>
      </c>
      <c r="S136">
        <v>1.2937722477707771E-3</v>
      </c>
      <c r="T136">
        <v>30</v>
      </c>
      <c r="U136">
        <v>6522.2353722155358</v>
      </c>
      <c r="W136">
        <v>1</v>
      </c>
      <c r="X136">
        <v>1</v>
      </c>
    </row>
    <row r="137" spans="1:24" x14ac:dyDescent="0.25">
      <c r="A137" t="s">
        <v>95</v>
      </c>
      <c r="B137" t="s">
        <v>235</v>
      </c>
      <c r="C137" t="s">
        <v>243</v>
      </c>
      <c r="F137" t="s">
        <v>162</v>
      </c>
      <c r="G137" t="s">
        <v>106</v>
      </c>
      <c r="H137" t="s">
        <v>107</v>
      </c>
      <c r="I137" t="s">
        <v>244</v>
      </c>
      <c r="J137" t="s">
        <v>246</v>
      </c>
      <c r="K137">
        <v>1</v>
      </c>
      <c r="L137">
        <v>1.605430432772551</v>
      </c>
      <c r="M137">
        <v>1</v>
      </c>
      <c r="N137">
        <v>0</v>
      </c>
      <c r="O137">
        <v>1</v>
      </c>
      <c r="P137">
        <v>1.605430432772551</v>
      </c>
      <c r="Q137">
        <v>1400.5378777297201</v>
      </c>
      <c r="R137">
        <v>1.605430432772551</v>
      </c>
      <c r="S137">
        <v>1.1462956184912069E-3</v>
      </c>
      <c r="T137">
        <v>30</v>
      </c>
      <c r="U137">
        <v>6522.2353722155358</v>
      </c>
      <c r="W137">
        <v>1</v>
      </c>
      <c r="X137">
        <v>1</v>
      </c>
    </row>
    <row r="138" spans="1:24" x14ac:dyDescent="0.25">
      <c r="A138" t="s">
        <v>95</v>
      </c>
      <c r="B138" t="s">
        <v>235</v>
      </c>
      <c r="C138" t="s">
        <v>243</v>
      </c>
      <c r="F138" t="s">
        <v>162</v>
      </c>
      <c r="G138" t="s">
        <v>109</v>
      </c>
      <c r="H138" t="s">
        <v>110</v>
      </c>
      <c r="I138" t="s">
        <v>244</v>
      </c>
      <c r="J138" t="s">
        <v>246</v>
      </c>
      <c r="K138">
        <v>0</v>
      </c>
      <c r="L138">
        <v>1.605430432772551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1.1462956184912069E-3</v>
      </c>
      <c r="T138">
        <v>30</v>
      </c>
      <c r="U138">
        <v>6522.2353722155358</v>
      </c>
      <c r="W138">
        <v>1</v>
      </c>
      <c r="X138">
        <v>1</v>
      </c>
    </row>
    <row r="139" spans="1:24" x14ac:dyDescent="0.25">
      <c r="A139" t="s">
        <v>95</v>
      </c>
      <c r="B139" t="s">
        <v>235</v>
      </c>
      <c r="C139" t="s">
        <v>243</v>
      </c>
      <c r="F139" t="s">
        <v>162</v>
      </c>
      <c r="G139" t="s">
        <v>111</v>
      </c>
      <c r="H139" t="s">
        <v>112</v>
      </c>
      <c r="I139" t="s">
        <v>244</v>
      </c>
      <c r="J139" t="s">
        <v>246</v>
      </c>
      <c r="K139">
        <v>0</v>
      </c>
      <c r="L139">
        <v>1.605430432772551</v>
      </c>
      <c r="M139">
        <v>0</v>
      </c>
      <c r="N139">
        <v>0</v>
      </c>
      <c r="O139">
        <v>0.1</v>
      </c>
      <c r="P139">
        <v>0</v>
      </c>
      <c r="Q139">
        <v>0</v>
      </c>
      <c r="R139">
        <v>0</v>
      </c>
      <c r="S139">
        <v>1.1462956184912069E-3</v>
      </c>
      <c r="T139">
        <v>30</v>
      </c>
      <c r="U139">
        <v>6522.2353722155358</v>
      </c>
      <c r="W139">
        <v>1</v>
      </c>
      <c r="X139">
        <v>1</v>
      </c>
    </row>
    <row r="140" spans="1:24" x14ac:dyDescent="0.25">
      <c r="A140" t="s">
        <v>95</v>
      </c>
      <c r="B140" t="s">
        <v>235</v>
      </c>
      <c r="C140" t="s">
        <v>243</v>
      </c>
      <c r="F140" t="s">
        <v>247</v>
      </c>
      <c r="G140" t="s">
        <v>248</v>
      </c>
      <c r="H140" t="s">
        <v>249</v>
      </c>
      <c r="I140" t="s">
        <v>244</v>
      </c>
      <c r="J140" t="s">
        <v>250</v>
      </c>
      <c r="K140">
        <v>1</v>
      </c>
      <c r="L140">
        <v>1.605430432772551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1.079195387164892E-3</v>
      </c>
      <c r="T140">
        <v>30</v>
      </c>
      <c r="U140">
        <v>6522.2353722155358</v>
      </c>
      <c r="W140">
        <v>1</v>
      </c>
      <c r="X140">
        <v>1</v>
      </c>
    </row>
    <row r="141" spans="1:24" x14ac:dyDescent="0.25">
      <c r="A141" t="s">
        <v>95</v>
      </c>
      <c r="B141" t="s">
        <v>235</v>
      </c>
      <c r="C141" t="s">
        <v>251</v>
      </c>
      <c r="F141" t="s">
        <v>252</v>
      </c>
      <c r="G141" t="s">
        <v>253</v>
      </c>
      <c r="H141" t="s">
        <v>254</v>
      </c>
      <c r="I141" t="s">
        <v>255</v>
      </c>
      <c r="J141" t="s">
        <v>256</v>
      </c>
      <c r="K141">
        <v>1</v>
      </c>
      <c r="L141">
        <v>0.1257155698946095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4.3975373790677216E-3</v>
      </c>
      <c r="T141">
        <v>24</v>
      </c>
      <c r="U141">
        <v>1249.462599766664</v>
      </c>
      <c r="W141">
        <v>1</v>
      </c>
      <c r="X141">
        <v>1</v>
      </c>
    </row>
    <row r="142" spans="1:24" x14ac:dyDescent="0.25">
      <c r="A142" t="s">
        <v>95</v>
      </c>
      <c r="B142" t="s">
        <v>235</v>
      </c>
      <c r="C142" t="s">
        <v>251</v>
      </c>
      <c r="F142" t="s">
        <v>257</v>
      </c>
      <c r="G142" t="s">
        <v>258</v>
      </c>
      <c r="H142" t="s">
        <v>259</v>
      </c>
      <c r="I142" t="s">
        <v>255</v>
      </c>
      <c r="J142" t="s">
        <v>260</v>
      </c>
      <c r="K142">
        <v>1</v>
      </c>
      <c r="L142">
        <v>0.1257155698946095</v>
      </c>
      <c r="M142">
        <v>1</v>
      </c>
      <c r="N142">
        <v>0</v>
      </c>
      <c r="O142">
        <v>1</v>
      </c>
      <c r="P142">
        <v>0.1257155698946095</v>
      </c>
      <c r="Q142">
        <v>28.587720594034199</v>
      </c>
      <c r="R142">
        <v>0.1257155698946095</v>
      </c>
      <c r="S142">
        <v>4.3975373790677216E-3</v>
      </c>
      <c r="T142">
        <v>24</v>
      </c>
      <c r="U142">
        <v>1249.462599766664</v>
      </c>
      <c r="W142">
        <v>1</v>
      </c>
      <c r="X142">
        <v>1</v>
      </c>
    </row>
    <row r="143" spans="1:24" x14ac:dyDescent="0.25">
      <c r="A143" t="s">
        <v>95</v>
      </c>
      <c r="B143" t="s">
        <v>235</v>
      </c>
      <c r="C143" t="s">
        <v>251</v>
      </c>
      <c r="F143" t="s">
        <v>257</v>
      </c>
      <c r="G143" t="s">
        <v>261</v>
      </c>
      <c r="H143" t="s">
        <v>262</v>
      </c>
      <c r="I143" t="s">
        <v>255</v>
      </c>
      <c r="J143" t="s">
        <v>260</v>
      </c>
      <c r="K143">
        <v>0</v>
      </c>
      <c r="L143">
        <v>0.1257155698946095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4.3975373790677216E-3</v>
      </c>
      <c r="T143">
        <v>24</v>
      </c>
      <c r="U143">
        <v>1249.462599766664</v>
      </c>
      <c r="W143">
        <v>1</v>
      </c>
      <c r="X1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6"/>
  <sheetViews>
    <sheetView zoomScale="70" zoomScaleNormal="70" workbookViewId="0">
      <selection activeCell="I15" sqref="I15"/>
    </sheetView>
  </sheetViews>
  <sheetFormatPr defaultRowHeight="15" x14ac:dyDescent="0.25"/>
  <cols>
    <col min="1" max="1" width="12.140625" customWidth="1"/>
    <col min="2" max="2" width="23.28515625" customWidth="1"/>
    <col min="3" max="3" width="24.7109375" customWidth="1"/>
    <col min="5" max="5" width="23" customWidth="1"/>
    <col min="6" max="6" width="23.7109375" customWidth="1"/>
    <col min="7" max="7" width="21.140625" customWidth="1"/>
    <col min="8" max="8" width="20.140625" bestFit="1" customWidth="1"/>
    <col min="9" max="9" width="17.28515625" bestFit="1" customWidth="1"/>
    <col min="10" max="10" width="17.7109375" bestFit="1" customWidth="1"/>
    <col min="11" max="11" width="17.28515625" bestFit="1" customWidth="1"/>
    <col min="12" max="15" width="17.7109375" bestFit="1" customWidth="1"/>
    <col min="16" max="16" width="17.28515625" bestFit="1" customWidth="1"/>
    <col min="17" max="21" width="17.7109375" bestFit="1" customWidth="1"/>
    <col min="22" max="22" width="17.28515625" bestFit="1" customWidth="1"/>
    <col min="23" max="24" width="17.7109375" bestFit="1" customWidth="1"/>
  </cols>
  <sheetData>
    <row r="1" spans="1:24" x14ac:dyDescent="0.25">
      <c r="A1" t="s">
        <v>71</v>
      </c>
      <c r="B1" t="s">
        <v>72</v>
      </c>
      <c r="C1" t="s">
        <v>73</v>
      </c>
      <c r="D1" t="s">
        <v>74</v>
      </c>
      <c r="E1" t="s">
        <v>263</v>
      </c>
      <c r="F1" t="s">
        <v>264</v>
      </c>
      <c r="G1">
        <v>2019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 x14ac:dyDescent="0.25">
      <c r="A2" t="s">
        <v>265</v>
      </c>
      <c r="B2" t="s">
        <v>266</v>
      </c>
      <c r="D2" t="s">
        <v>267</v>
      </c>
      <c r="E2" t="s">
        <v>268</v>
      </c>
      <c r="F2" t="s">
        <v>269</v>
      </c>
      <c r="G2">
        <v>11.97870118205155</v>
      </c>
      <c r="H2">
        <v>11.97870118205155</v>
      </c>
      <c r="I2">
        <v>11.97870118205155</v>
      </c>
      <c r="J2">
        <v>11.97870118205155</v>
      </c>
      <c r="K2">
        <v>11.97870118205155</v>
      </c>
      <c r="L2">
        <v>11.97870118205155</v>
      </c>
      <c r="M2">
        <v>11.97870118205155</v>
      </c>
      <c r="N2">
        <v>11.97870118205155</v>
      </c>
      <c r="O2">
        <v>11.97870118205155</v>
      </c>
      <c r="P2">
        <v>11.97870118205155</v>
      </c>
      <c r="Q2">
        <v>11.97870118205155</v>
      </c>
      <c r="R2">
        <v>11.97870118205155</v>
      </c>
      <c r="S2">
        <v>11.97870118205155</v>
      </c>
      <c r="T2">
        <v>11.97870118205155</v>
      </c>
      <c r="U2">
        <v>11.97870118205155</v>
      </c>
      <c r="V2">
        <v>11.97870118205155</v>
      </c>
      <c r="W2">
        <v>11.97870118205155</v>
      </c>
      <c r="X2">
        <v>11.97870118205155</v>
      </c>
    </row>
    <row r="3" spans="1:24" x14ac:dyDescent="0.25">
      <c r="A3" t="s">
        <v>265</v>
      </c>
      <c r="B3" t="s">
        <v>270</v>
      </c>
      <c r="D3" t="s">
        <v>267</v>
      </c>
      <c r="E3" t="s">
        <v>271</v>
      </c>
      <c r="F3" t="s">
        <v>269</v>
      </c>
      <c r="G3">
        <v>23.081056453704559</v>
      </c>
      <c r="H3">
        <v>23.081056453704559</v>
      </c>
      <c r="I3">
        <v>23.081056453704559</v>
      </c>
      <c r="J3">
        <v>23.081056453704559</v>
      </c>
      <c r="K3">
        <v>23.081056453704559</v>
      </c>
      <c r="L3">
        <v>23.081056453704559</v>
      </c>
      <c r="M3">
        <v>23.081056453704559</v>
      </c>
      <c r="N3">
        <v>23.081056453704559</v>
      </c>
      <c r="O3">
        <v>23.081056453704559</v>
      </c>
      <c r="P3">
        <v>23.081056453704559</v>
      </c>
      <c r="Q3">
        <v>23.081056453704559</v>
      </c>
      <c r="R3">
        <v>23.081056453704559</v>
      </c>
      <c r="S3">
        <v>23.081056453704559</v>
      </c>
      <c r="T3">
        <v>23.081056453704559</v>
      </c>
      <c r="U3">
        <v>23.081056453704559</v>
      </c>
      <c r="V3">
        <v>23.081056453704559</v>
      </c>
      <c r="W3">
        <v>23.081056453704559</v>
      </c>
      <c r="X3">
        <v>23.081056453704559</v>
      </c>
    </row>
    <row r="4" spans="1:24" x14ac:dyDescent="0.25">
      <c r="A4" t="s">
        <v>265</v>
      </c>
      <c r="B4" t="s">
        <v>272</v>
      </c>
      <c r="D4" t="s">
        <v>267</v>
      </c>
      <c r="E4" t="s">
        <v>273</v>
      </c>
      <c r="F4" t="s">
        <v>269</v>
      </c>
      <c r="G4">
        <v>73.164818964644439</v>
      </c>
      <c r="H4">
        <v>73.164818964644439</v>
      </c>
      <c r="I4">
        <v>73.164818964644439</v>
      </c>
      <c r="J4">
        <v>73.164818964644439</v>
      </c>
      <c r="K4">
        <v>73.164818964644439</v>
      </c>
      <c r="L4">
        <v>73.164818964644439</v>
      </c>
      <c r="M4">
        <v>73.164818964644439</v>
      </c>
      <c r="N4">
        <v>73.164818964644439</v>
      </c>
      <c r="O4">
        <v>73.164818964644439</v>
      </c>
      <c r="P4">
        <v>73.164818964644439</v>
      </c>
      <c r="Q4">
        <v>73.164818964644439</v>
      </c>
      <c r="R4">
        <v>73.164818964644439</v>
      </c>
      <c r="S4">
        <v>73.164818964644439</v>
      </c>
      <c r="T4">
        <v>73.164818964644439</v>
      </c>
      <c r="U4">
        <v>73.164818964644439</v>
      </c>
      <c r="V4">
        <v>73.164818964644439</v>
      </c>
      <c r="W4">
        <v>73.164818964644439</v>
      </c>
      <c r="X4">
        <v>73.164818964644439</v>
      </c>
    </row>
    <row r="5" spans="1:24" x14ac:dyDescent="0.25">
      <c r="A5" t="s">
        <v>265</v>
      </c>
      <c r="B5" t="s">
        <v>274</v>
      </c>
      <c r="D5" t="s">
        <v>267</v>
      </c>
      <c r="E5" t="s">
        <v>275</v>
      </c>
      <c r="F5" t="s">
        <v>269</v>
      </c>
      <c r="G5">
        <v>44.382259283666471</v>
      </c>
      <c r="H5">
        <v>44.382259283666471</v>
      </c>
      <c r="I5">
        <v>44.382259283666471</v>
      </c>
      <c r="J5">
        <v>44.382259283666471</v>
      </c>
      <c r="K5">
        <v>44.382259283666471</v>
      </c>
      <c r="L5">
        <v>44.382259283666471</v>
      </c>
      <c r="M5">
        <v>44.382259283666471</v>
      </c>
      <c r="N5">
        <v>44.382259283666471</v>
      </c>
      <c r="O5">
        <v>44.382259283666471</v>
      </c>
      <c r="P5">
        <v>44.382259283666471</v>
      </c>
      <c r="Q5">
        <v>44.382259283666471</v>
      </c>
      <c r="R5">
        <v>44.382259283666471</v>
      </c>
      <c r="S5">
        <v>44.382259283666471</v>
      </c>
      <c r="T5">
        <v>44.382259283666471</v>
      </c>
      <c r="U5">
        <v>44.382259283666471</v>
      </c>
      <c r="V5">
        <v>44.382259283666471</v>
      </c>
      <c r="W5">
        <v>44.382259283666471</v>
      </c>
      <c r="X5">
        <v>44.382259283666471</v>
      </c>
    </row>
    <row r="6" spans="1:24" x14ac:dyDescent="0.25">
      <c r="A6" t="s">
        <v>265</v>
      </c>
      <c r="B6" t="s">
        <v>276</v>
      </c>
      <c r="D6" t="s">
        <v>267</v>
      </c>
      <c r="E6" t="s">
        <v>277</v>
      </c>
      <c r="F6" t="s">
        <v>269</v>
      </c>
      <c r="G6">
        <v>48.565496275889338</v>
      </c>
      <c r="H6">
        <v>48.565496275889338</v>
      </c>
      <c r="I6">
        <v>48.565496275889338</v>
      </c>
      <c r="J6">
        <v>48.565496275889338</v>
      </c>
      <c r="K6">
        <v>48.565496275889338</v>
      </c>
      <c r="L6">
        <v>48.565496275889338</v>
      </c>
      <c r="M6">
        <v>48.565496275889338</v>
      </c>
      <c r="N6">
        <v>48.565496275889338</v>
      </c>
      <c r="O6">
        <v>48.565496275889338</v>
      </c>
      <c r="P6">
        <v>48.565496275889338</v>
      </c>
      <c r="Q6">
        <v>48.565496275889338</v>
      </c>
      <c r="R6">
        <v>48.565496275889338</v>
      </c>
      <c r="S6">
        <v>48.565496275889338</v>
      </c>
      <c r="T6">
        <v>48.565496275889338</v>
      </c>
      <c r="U6">
        <v>48.565496275889338</v>
      </c>
      <c r="V6">
        <v>48.565496275889338</v>
      </c>
      <c r="W6">
        <v>48.565496275889338</v>
      </c>
      <c r="X6">
        <v>48.565496275889338</v>
      </c>
    </row>
    <row r="7" spans="1:24" x14ac:dyDescent="0.25">
      <c r="A7" t="s">
        <v>265</v>
      </c>
      <c r="B7" t="s">
        <v>278</v>
      </c>
      <c r="D7" t="s">
        <v>267</v>
      </c>
      <c r="E7" t="s">
        <v>279</v>
      </c>
      <c r="F7" t="s">
        <v>269</v>
      </c>
      <c r="G7">
        <v>32.733586523867501</v>
      </c>
      <c r="H7">
        <v>32.733586523867501</v>
      </c>
      <c r="I7">
        <v>32.733586523867501</v>
      </c>
      <c r="J7">
        <v>32.733586523867501</v>
      </c>
      <c r="K7">
        <v>32.733586523867501</v>
      </c>
      <c r="L7">
        <v>32.733586523867501</v>
      </c>
      <c r="M7">
        <v>32.733586523867501</v>
      </c>
      <c r="N7">
        <v>32.733586523867501</v>
      </c>
      <c r="O7">
        <v>32.733586523867501</v>
      </c>
      <c r="P7">
        <v>32.733586523867501</v>
      </c>
      <c r="Q7">
        <v>32.733586523867501</v>
      </c>
      <c r="R7">
        <v>32.733586523867501</v>
      </c>
      <c r="S7">
        <v>32.733586523867501</v>
      </c>
      <c r="T7">
        <v>32.733586523867501</v>
      </c>
      <c r="U7">
        <v>32.733586523867501</v>
      </c>
      <c r="V7">
        <v>32.733586523867501</v>
      </c>
      <c r="W7">
        <v>32.733586523867501</v>
      </c>
      <c r="X7">
        <v>32.733586523867501</v>
      </c>
    </row>
    <row r="8" spans="1:24" x14ac:dyDescent="0.25">
      <c r="A8" t="s">
        <v>265</v>
      </c>
      <c r="B8" t="s">
        <v>280</v>
      </c>
      <c r="D8" t="s">
        <v>267</v>
      </c>
      <c r="E8" t="s">
        <v>281</v>
      </c>
      <c r="F8" t="s">
        <v>269</v>
      </c>
      <c r="G8">
        <v>16.841332845916298</v>
      </c>
      <c r="H8">
        <v>16.841332845916298</v>
      </c>
      <c r="I8">
        <v>16.841332845916298</v>
      </c>
      <c r="J8">
        <v>16.841332845916298</v>
      </c>
      <c r="K8">
        <v>16.841332845916298</v>
      </c>
      <c r="L8">
        <v>16.841332845916298</v>
      </c>
      <c r="M8">
        <v>16.841332845916298</v>
      </c>
      <c r="N8">
        <v>16.841332845916298</v>
      </c>
      <c r="O8">
        <v>16.841332845916298</v>
      </c>
      <c r="P8">
        <v>16.841332845916298</v>
      </c>
      <c r="Q8">
        <v>16.841332845916298</v>
      </c>
      <c r="R8">
        <v>16.841332845916298</v>
      </c>
      <c r="S8">
        <v>16.841332845916298</v>
      </c>
      <c r="T8">
        <v>16.841332845916298</v>
      </c>
      <c r="U8">
        <v>16.841332845916298</v>
      </c>
      <c r="V8">
        <v>16.841332845916298</v>
      </c>
      <c r="W8">
        <v>16.841332845916298</v>
      </c>
      <c r="X8">
        <v>16.841332845916298</v>
      </c>
    </row>
    <row r="9" spans="1:24" x14ac:dyDescent="0.25">
      <c r="A9" t="s">
        <v>265</v>
      </c>
      <c r="B9" t="s">
        <v>235</v>
      </c>
      <c r="D9" t="s">
        <v>267</v>
      </c>
      <c r="E9" t="s">
        <v>282</v>
      </c>
      <c r="F9" t="s">
        <v>269</v>
      </c>
      <c r="G9">
        <v>8.7602804457077657</v>
      </c>
      <c r="H9">
        <v>8.7602804457077657</v>
      </c>
      <c r="I9">
        <v>8.7602804457077657</v>
      </c>
      <c r="J9">
        <v>8.7602804457077657</v>
      </c>
      <c r="K9">
        <v>8.7602804457077657</v>
      </c>
      <c r="L9">
        <v>8.7602804457077657</v>
      </c>
      <c r="M9">
        <v>8.7602804457077657</v>
      </c>
      <c r="N9">
        <v>8.7602804457077657</v>
      </c>
      <c r="O9">
        <v>8.7602804457077657</v>
      </c>
      <c r="P9">
        <v>8.7602804457077657</v>
      </c>
      <c r="Q9">
        <v>8.7602804457077657</v>
      </c>
      <c r="R9">
        <v>8.7602804457077657</v>
      </c>
      <c r="S9">
        <v>8.7602804457077657</v>
      </c>
      <c r="T9">
        <v>8.7602804457077657</v>
      </c>
      <c r="U9">
        <v>8.7602804457077657</v>
      </c>
      <c r="V9">
        <v>8.7602804457077657</v>
      </c>
      <c r="W9">
        <v>8.7602804457077657</v>
      </c>
      <c r="X9">
        <v>8.7602804457077657</v>
      </c>
    </row>
    <row r="10" spans="1:24" x14ac:dyDescent="0.25">
      <c r="A10" t="s">
        <v>265</v>
      </c>
      <c r="B10" t="s">
        <v>266</v>
      </c>
      <c r="D10" t="s">
        <v>283</v>
      </c>
      <c r="E10" t="s">
        <v>284</v>
      </c>
      <c r="F10" t="s">
        <v>269</v>
      </c>
      <c r="G10">
        <v>0</v>
      </c>
      <c r="H10">
        <v>0.239574023641031</v>
      </c>
      <c r="I10">
        <v>1.4374441418461861</v>
      </c>
      <c r="J10">
        <v>2.6353142600513411</v>
      </c>
      <c r="K10">
        <v>3.833184378256496</v>
      </c>
      <c r="L10">
        <v>5.0310544964616506</v>
      </c>
      <c r="M10">
        <v>6.2289246146668056</v>
      </c>
      <c r="N10">
        <v>7.4267947328719606</v>
      </c>
      <c r="O10">
        <v>8.6246648510771173</v>
      </c>
      <c r="P10">
        <v>9.8225349692822732</v>
      </c>
      <c r="Q10">
        <v>11.020405087487431</v>
      </c>
      <c r="R10">
        <v>12.21827520569258</v>
      </c>
      <c r="S10">
        <v>13.416145323897741</v>
      </c>
      <c r="T10">
        <v>14.6140154421029</v>
      </c>
      <c r="U10">
        <v>15.811885560308051</v>
      </c>
      <c r="V10">
        <v>17.009755678513208</v>
      </c>
      <c r="W10">
        <v>18.207625796718361</v>
      </c>
      <c r="X10">
        <v>19.40549591492352</v>
      </c>
    </row>
    <row r="11" spans="1:24" x14ac:dyDescent="0.25">
      <c r="A11" t="s">
        <v>265</v>
      </c>
      <c r="B11" t="s">
        <v>270</v>
      </c>
      <c r="D11" t="s">
        <v>283</v>
      </c>
      <c r="E11" t="s">
        <v>285</v>
      </c>
      <c r="F11" t="s">
        <v>269</v>
      </c>
      <c r="G11">
        <v>0</v>
      </c>
      <c r="H11">
        <v>0.46162112907409131</v>
      </c>
      <c r="I11">
        <v>2.7697267744445471</v>
      </c>
      <c r="J11">
        <v>5.0778324198150031</v>
      </c>
      <c r="K11">
        <v>7.3859380651854591</v>
      </c>
      <c r="L11">
        <v>9.6940437105559152</v>
      </c>
      <c r="M11">
        <v>12.00214935592637</v>
      </c>
      <c r="N11">
        <v>14.310255001296831</v>
      </c>
      <c r="O11">
        <v>16.618360646667281</v>
      </c>
      <c r="P11">
        <v>18.926466292037741</v>
      </c>
      <c r="Q11">
        <v>21.234571937408202</v>
      </c>
      <c r="R11">
        <v>23.542677582778651</v>
      </c>
      <c r="S11">
        <v>25.850783228149108</v>
      </c>
      <c r="T11">
        <v>28.158888873519569</v>
      </c>
      <c r="U11">
        <v>30.466994518890029</v>
      </c>
      <c r="V11">
        <v>32.775100164260479</v>
      </c>
      <c r="W11">
        <v>35.083205809630932</v>
      </c>
      <c r="X11">
        <v>37.391311455001393</v>
      </c>
    </row>
    <row r="12" spans="1:24" x14ac:dyDescent="0.25">
      <c r="A12" t="s">
        <v>265</v>
      </c>
      <c r="B12" t="s">
        <v>272</v>
      </c>
      <c r="D12" t="s">
        <v>283</v>
      </c>
      <c r="E12" t="s">
        <v>286</v>
      </c>
      <c r="F12" t="s">
        <v>269</v>
      </c>
      <c r="G12">
        <v>0</v>
      </c>
      <c r="H12">
        <v>1.463296379292889</v>
      </c>
      <c r="I12">
        <v>8.7797782757573319</v>
      </c>
      <c r="J12">
        <v>16.096260172221779</v>
      </c>
      <c r="K12">
        <v>23.412742068686221</v>
      </c>
      <c r="L12">
        <v>30.72922396515067</v>
      </c>
      <c r="M12">
        <v>38.045705861615112</v>
      </c>
      <c r="N12">
        <v>45.362187758079557</v>
      </c>
      <c r="O12">
        <v>52.678669654544002</v>
      </c>
      <c r="P12">
        <v>59.995151551008448</v>
      </c>
      <c r="Q12">
        <v>67.311633447472886</v>
      </c>
      <c r="R12">
        <v>74.628115343937324</v>
      </c>
      <c r="S12">
        <v>81.944597240401762</v>
      </c>
      <c r="T12">
        <v>89.261079136866201</v>
      </c>
      <c r="U12">
        <v>96.577561033330639</v>
      </c>
      <c r="V12">
        <v>103.89404292979511</v>
      </c>
      <c r="W12">
        <v>111.2105248262595</v>
      </c>
      <c r="X12">
        <v>118.527006722724</v>
      </c>
    </row>
    <row r="13" spans="1:24" x14ac:dyDescent="0.25">
      <c r="A13" t="s">
        <v>265</v>
      </c>
      <c r="B13" t="s">
        <v>274</v>
      </c>
      <c r="D13" t="s">
        <v>283</v>
      </c>
      <c r="E13" t="s">
        <v>287</v>
      </c>
      <c r="F13" t="s">
        <v>269</v>
      </c>
      <c r="G13">
        <v>0</v>
      </c>
      <c r="H13">
        <v>0.8876451856733294</v>
      </c>
      <c r="I13">
        <v>5.3258711140399759</v>
      </c>
      <c r="J13">
        <v>9.7640970424066218</v>
      </c>
      <c r="K13">
        <v>14.20232297077327</v>
      </c>
      <c r="L13">
        <v>18.640548899139919</v>
      </c>
      <c r="M13">
        <v>23.07877482750656</v>
      </c>
      <c r="N13">
        <v>27.517000755873209</v>
      </c>
      <c r="O13">
        <v>31.955226684239861</v>
      </c>
      <c r="P13">
        <v>36.393452612606509</v>
      </c>
      <c r="Q13">
        <v>40.831678540973158</v>
      </c>
      <c r="R13">
        <v>45.269904469339806</v>
      </c>
      <c r="S13">
        <v>49.708130397706462</v>
      </c>
      <c r="T13">
        <v>54.146356326073096</v>
      </c>
      <c r="U13">
        <v>58.584582254439752</v>
      </c>
      <c r="V13">
        <v>63.022808182806401</v>
      </c>
      <c r="W13">
        <v>67.461034111173049</v>
      </c>
      <c r="X13">
        <v>71.899260039539698</v>
      </c>
    </row>
    <row r="14" spans="1:24" x14ac:dyDescent="0.25">
      <c r="A14" t="s">
        <v>265</v>
      </c>
      <c r="B14" t="s">
        <v>276</v>
      </c>
      <c r="D14" t="s">
        <v>283</v>
      </c>
      <c r="E14" t="s">
        <v>288</v>
      </c>
      <c r="F14" t="s">
        <v>269</v>
      </c>
      <c r="G14">
        <v>0</v>
      </c>
      <c r="H14">
        <v>0.97130992551778672</v>
      </c>
      <c r="I14">
        <v>5.8278595531067214</v>
      </c>
      <c r="J14">
        <v>10.684409180695649</v>
      </c>
      <c r="K14">
        <v>15.540958808284589</v>
      </c>
      <c r="L14">
        <v>20.397508435873519</v>
      </c>
      <c r="M14">
        <v>25.254058063462459</v>
      </c>
      <c r="N14">
        <v>30.110607691051388</v>
      </c>
      <c r="O14">
        <v>34.967157318640332</v>
      </c>
      <c r="P14">
        <v>39.823706946229258</v>
      </c>
      <c r="Q14">
        <v>44.680256573818191</v>
      </c>
      <c r="R14">
        <v>49.536806201407117</v>
      </c>
      <c r="S14">
        <v>54.393355828996057</v>
      </c>
      <c r="T14">
        <v>59.24990545658499</v>
      </c>
      <c r="U14">
        <v>64.10645508417393</v>
      </c>
      <c r="V14">
        <v>68.963004711762864</v>
      </c>
      <c r="W14">
        <v>73.819554339351797</v>
      </c>
      <c r="X14">
        <v>78.67610396694073</v>
      </c>
    </row>
    <row r="15" spans="1:24" x14ac:dyDescent="0.25">
      <c r="A15" t="s">
        <v>265</v>
      </c>
      <c r="B15" t="s">
        <v>278</v>
      </c>
      <c r="D15" t="s">
        <v>283</v>
      </c>
      <c r="E15" t="s">
        <v>289</v>
      </c>
      <c r="F15" t="s">
        <v>269</v>
      </c>
      <c r="G15">
        <v>0</v>
      </c>
      <c r="H15">
        <v>0.65467173047735006</v>
      </c>
      <c r="I15">
        <v>3.928030382864101</v>
      </c>
      <c r="J15">
        <v>7.2013890352508509</v>
      </c>
      <c r="K15">
        <v>10.474747687637599</v>
      </c>
      <c r="L15">
        <v>13.74810634002435</v>
      </c>
      <c r="M15">
        <v>17.021464992411101</v>
      </c>
      <c r="N15">
        <v>20.294823644797852</v>
      </c>
      <c r="O15">
        <v>23.568182297184599</v>
      </c>
      <c r="P15">
        <v>26.84154094957135</v>
      </c>
      <c r="Q15">
        <v>30.114899601958101</v>
      </c>
      <c r="R15">
        <v>33.388258254344848</v>
      </c>
      <c r="S15">
        <v>36.661616906731602</v>
      </c>
      <c r="T15">
        <v>39.93497555911835</v>
      </c>
      <c r="U15">
        <v>43.208334211505097</v>
      </c>
      <c r="V15">
        <v>46.481692863891837</v>
      </c>
      <c r="W15">
        <v>49.755051516278591</v>
      </c>
      <c r="X15">
        <v>53.028410168665339</v>
      </c>
    </row>
    <row r="16" spans="1:24" x14ac:dyDescent="0.25">
      <c r="A16" t="s">
        <v>265</v>
      </c>
      <c r="B16" t="s">
        <v>280</v>
      </c>
      <c r="D16" t="s">
        <v>283</v>
      </c>
      <c r="E16" t="s">
        <v>290</v>
      </c>
      <c r="F16" t="s">
        <v>269</v>
      </c>
      <c r="G16">
        <v>0</v>
      </c>
      <c r="H16">
        <v>0.33682665691832597</v>
      </c>
      <c r="I16">
        <v>2.0209599415099562</v>
      </c>
      <c r="J16">
        <v>3.7050932261015861</v>
      </c>
      <c r="K16">
        <v>5.3892265106932156</v>
      </c>
      <c r="L16">
        <v>7.0733597952848468</v>
      </c>
      <c r="M16">
        <v>8.7574930798764772</v>
      </c>
      <c r="N16">
        <v>10.44162636446811</v>
      </c>
      <c r="O16">
        <v>12.12575964905974</v>
      </c>
      <c r="P16">
        <v>13.809892933651369</v>
      </c>
      <c r="Q16">
        <v>15.494026218243</v>
      </c>
      <c r="R16">
        <v>17.178159502834621</v>
      </c>
      <c r="S16">
        <v>18.862292787426259</v>
      </c>
      <c r="T16">
        <v>20.546426072017891</v>
      </c>
      <c r="U16">
        <v>22.230559356609518</v>
      </c>
      <c r="V16">
        <v>23.91469264120115</v>
      </c>
      <c r="W16">
        <v>25.598825925792781</v>
      </c>
      <c r="X16">
        <v>27.282959210384409</v>
      </c>
    </row>
    <row r="17" spans="1:24" x14ac:dyDescent="0.25">
      <c r="A17" t="s">
        <v>265</v>
      </c>
      <c r="B17" t="s">
        <v>235</v>
      </c>
      <c r="D17" t="s">
        <v>283</v>
      </c>
      <c r="E17" t="s">
        <v>291</v>
      </c>
      <c r="F17" t="s">
        <v>269</v>
      </c>
      <c r="G17">
        <v>0</v>
      </c>
      <c r="H17">
        <v>0.17520560891415529</v>
      </c>
      <c r="I17">
        <v>1.051233653484932</v>
      </c>
      <c r="J17">
        <v>1.9272616980557089</v>
      </c>
      <c r="K17">
        <v>2.8032897426264851</v>
      </c>
      <c r="L17">
        <v>3.6793177871972622</v>
      </c>
      <c r="M17">
        <v>4.5553458317680384</v>
      </c>
      <c r="N17">
        <v>5.4313738763388164</v>
      </c>
      <c r="O17">
        <v>6.3074019209095926</v>
      </c>
      <c r="P17">
        <v>7.1834299654803697</v>
      </c>
      <c r="Q17">
        <v>8.0594580100511468</v>
      </c>
      <c r="R17">
        <v>8.9354860546219239</v>
      </c>
      <c r="S17">
        <v>9.811514099192701</v>
      </c>
      <c r="T17">
        <v>10.68754214376348</v>
      </c>
      <c r="U17">
        <v>11.563570188334261</v>
      </c>
      <c r="V17">
        <v>12.439598232905031</v>
      </c>
      <c r="W17">
        <v>13.315626277475809</v>
      </c>
      <c r="X17">
        <v>14.19165432204659</v>
      </c>
    </row>
    <row r="18" spans="1:24" x14ac:dyDescent="0.25">
      <c r="A18" t="s">
        <v>292</v>
      </c>
      <c r="B18" t="s">
        <v>293</v>
      </c>
      <c r="C18" t="s">
        <v>294</v>
      </c>
      <c r="D18" t="s">
        <v>267</v>
      </c>
      <c r="E18" t="s">
        <v>295</v>
      </c>
      <c r="F18" t="s">
        <v>269</v>
      </c>
      <c r="G18">
        <v>51.80787747749153</v>
      </c>
      <c r="H18">
        <v>51.80787747749153</v>
      </c>
      <c r="I18">
        <v>51.80787747749153</v>
      </c>
      <c r="J18">
        <v>51.80787747749153</v>
      </c>
      <c r="K18">
        <v>51.80787747749153</v>
      </c>
      <c r="L18">
        <v>51.80787747749153</v>
      </c>
      <c r="M18">
        <v>51.80787747749153</v>
      </c>
      <c r="N18">
        <v>51.80787747749153</v>
      </c>
      <c r="O18">
        <v>51.80787747749153</v>
      </c>
      <c r="P18">
        <v>51.80787747749153</v>
      </c>
      <c r="Q18">
        <v>51.80787747749153</v>
      </c>
      <c r="R18">
        <v>51.80787747749153</v>
      </c>
      <c r="S18">
        <v>51.80787747749153</v>
      </c>
      <c r="T18">
        <v>51.80787747749153</v>
      </c>
      <c r="U18">
        <v>51.80787747749153</v>
      </c>
      <c r="V18">
        <v>51.80787747749153</v>
      </c>
      <c r="W18">
        <v>51.80787747749153</v>
      </c>
      <c r="X18">
        <v>51.80787747749153</v>
      </c>
    </row>
    <row r="19" spans="1:24" x14ac:dyDescent="0.25">
      <c r="A19" t="s">
        <v>292</v>
      </c>
      <c r="B19" t="s">
        <v>296</v>
      </c>
      <c r="C19" t="s">
        <v>294</v>
      </c>
      <c r="D19" t="s">
        <v>267</v>
      </c>
      <c r="E19" t="s">
        <v>297</v>
      </c>
      <c r="F19" t="s">
        <v>269</v>
      </c>
      <c r="G19">
        <v>14.956798014988321</v>
      </c>
      <c r="H19">
        <v>14.956798014988321</v>
      </c>
      <c r="I19">
        <v>14.956798014988321</v>
      </c>
      <c r="J19">
        <v>14.956798014988321</v>
      </c>
      <c r="K19">
        <v>14.956798014988321</v>
      </c>
      <c r="L19">
        <v>14.956798014988321</v>
      </c>
      <c r="M19">
        <v>14.956798014988321</v>
      </c>
      <c r="N19">
        <v>14.956798014988321</v>
      </c>
      <c r="O19">
        <v>14.956798014988321</v>
      </c>
      <c r="P19">
        <v>14.956798014988321</v>
      </c>
      <c r="Q19">
        <v>14.956798014988321</v>
      </c>
      <c r="R19">
        <v>14.956798014988321</v>
      </c>
      <c r="S19">
        <v>14.956798014988321</v>
      </c>
      <c r="T19">
        <v>14.956798014988321</v>
      </c>
      <c r="U19">
        <v>14.956798014988321</v>
      </c>
      <c r="V19">
        <v>14.956798014988321</v>
      </c>
      <c r="W19">
        <v>14.956798014988321</v>
      </c>
      <c r="X19">
        <v>14.956798014988321</v>
      </c>
    </row>
    <row r="20" spans="1:24" x14ac:dyDescent="0.25">
      <c r="A20" t="s">
        <v>292</v>
      </c>
      <c r="B20" t="s">
        <v>293</v>
      </c>
      <c r="C20" t="s">
        <v>298</v>
      </c>
      <c r="D20" t="s">
        <v>267</v>
      </c>
      <c r="E20" t="s">
        <v>299</v>
      </c>
      <c r="F20" t="s">
        <v>269</v>
      </c>
      <c r="G20">
        <v>57.121976335841403</v>
      </c>
      <c r="H20">
        <v>57.121976335841403</v>
      </c>
      <c r="I20">
        <v>57.121976335841403</v>
      </c>
      <c r="J20">
        <v>57.121976335841403</v>
      </c>
      <c r="K20">
        <v>57.121976335841403</v>
      </c>
      <c r="L20">
        <v>57.121976335841403</v>
      </c>
      <c r="M20">
        <v>57.121976335841403</v>
      </c>
      <c r="N20">
        <v>57.121976335841403</v>
      </c>
      <c r="O20">
        <v>57.121976335841403</v>
      </c>
      <c r="P20">
        <v>57.121976335841403</v>
      </c>
      <c r="Q20">
        <v>57.121976335841403</v>
      </c>
      <c r="R20">
        <v>57.121976335841403</v>
      </c>
      <c r="S20">
        <v>57.121976335841403</v>
      </c>
      <c r="T20">
        <v>57.121976335841403</v>
      </c>
      <c r="U20">
        <v>57.121976335841403</v>
      </c>
      <c r="V20">
        <v>57.121976335841403</v>
      </c>
      <c r="W20">
        <v>57.121976335841403</v>
      </c>
      <c r="X20">
        <v>57.121976335841403</v>
      </c>
    </row>
    <row r="21" spans="1:24" x14ac:dyDescent="0.25">
      <c r="A21" t="s">
        <v>292</v>
      </c>
      <c r="B21" t="s">
        <v>296</v>
      </c>
      <c r="C21" t="s">
        <v>298</v>
      </c>
      <c r="D21" t="s">
        <v>267</v>
      </c>
      <c r="E21" t="s">
        <v>300</v>
      </c>
      <c r="F21" t="s">
        <v>269</v>
      </c>
      <c r="G21">
        <v>38.299258577539533</v>
      </c>
      <c r="H21">
        <v>38.299258577539533</v>
      </c>
      <c r="I21">
        <v>38.299258577539533</v>
      </c>
      <c r="J21">
        <v>38.299258577539533</v>
      </c>
      <c r="K21">
        <v>38.299258577539533</v>
      </c>
      <c r="L21">
        <v>38.299258577539533</v>
      </c>
      <c r="M21">
        <v>38.299258577539533</v>
      </c>
      <c r="N21">
        <v>38.299258577539533</v>
      </c>
      <c r="O21">
        <v>38.299258577539533</v>
      </c>
      <c r="P21">
        <v>38.299258577539533</v>
      </c>
      <c r="Q21">
        <v>38.299258577539533</v>
      </c>
      <c r="R21">
        <v>38.299258577539533</v>
      </c>
      <c r="S21">
        <v>38.299258577539533</v>
      </c>
      <c r="T21">
        <v>38.299258577539533</v>
      </c>
      <c r="U21">
        <v>38.299258577539533</v>
      </c>
      <c r="V21">
        <v>38.299258577539533</v>
      </c>
      <c r="W21">
        <v>38.299258577539533</v>
      </c>
      <c r="X21">
        <v>38.299258577539533</v>
      </c>
    </row>
    <row r="22" spans="1:24" x14ac:dyDescent="0.25">
      <c r="A22" t="s">
        <v>292</v>
      </c>
      <c r="B22" t="s">
        <v>293</v>
      </c>
      <c r="C22" t="s">
        <v>301</v>
      </c>
      <c r="D22" t="s">
        <v>267</v>
      </c>
      <c r="E22" t="s">
        <v>302</v>
      </c>
      <c r="F22" t="s">
        <v>269</v>
      </c>
      <c r="G22">
        <v>15.495887810194001</v>
      </c>
      <c r="H22">
        <v>15.495887810194001</v>
      </c>
      <c r="I22">
        <v>15.495887810194001</v>
      </c>
      <c r="J22">
        <v>15.495887810194001</v>
      </c>
      <c r="K22">
        <v>15.495887810194001</v>
      </c>
      <c r="L22">
        <v>15.495887810194001</v>
      </c>
      <c r="M22">
        <v>15.495887810194001</v>
      </c>
      <c r="N22">
        <v>15.495887810194001</v>
      </c>
      <c r="O22">
        <v>15.495887810194001</v>
      </c>
      <c r="P22">
        <v>15.495887810194001</v>
      </c>
      <c r="Q22">
        <v>15.495887810194001</v>
      </c>
      <c r="R22">
        <v>15.495887810194001</v>
      </c>
      <c r="S22">
        <v>15.495887810194001</v>
      </c>
      <c r="T22">
        <v>15.495887810194001</v>
      </c>
      <c r="U22">
        <v>15.495887810194001</v>
      </c>
      <c r="V22">
        <v>15.495887810194001</v>
      </c>
      <c r="W22">
        <v>15.495887810194001</v>
      </c>
      <c r="X22">
        <v>15.495887810194001</v>
      </c>
    </row>
    <row r="23" spans="1:24" x14ac:dyDescent="0.25">
      <c r="A23" t="s">
        <v>292</v>
      </c>
      <c r="B23" t="s">
        <v>296</v>
      </c>
      <c r="C23" t="s">
        <v>301</v>
      </c>
      <c r="D23" t="s">
        <v>267</v>
      </c>
      <c r="E23" t="s">
        <v>303</v>
      </c>
      <c r="F23" t="s">
        <v>269</v>
      </c>
      <c r="G23">
        <v>19.187214429670199</v>
      </c>
      <c r="H23">
        <v>19.187214429670199</v>
      </c>
      <c r="I23">
        <v>19.187214429670199</v>
      </c>
      <c r="J23">
        <v>19.187214429670199</v>
      </c>
      <c r="K23">
        <v>19.187214429670199</v>
      </c>
      <c r="L23">
        <v>19.187214429670199</v>
      </c>
      <c r="M23">
        <v>19.187214429670199</v>
      </c>
      <c r="N23">
        <v>19.187214429670199</v>
      </c>
      <c r="O23">
        <v>19.187214429670199</v>
      </c>
      <c r="P23">
        <v>19.187214429670199</v>
      </c>
      <c r="Q23">
        <v>19.187214429670199</v>
      </c>
      <c r="R23">
        <v>19.187214429670199</v>
      </c>
      <c r="S23">
        <v>19.187214429670199</v>
      </c>
      <c r="T23">
        <v>19.187214429670199</v>
      </c>
      <c r="U23">
        <v>19.187214429670199</v>
      </c>
      <c r="V23">
        <v>19.187214429670199</v>
      </c>
      <c r="W23">
        <v>19.187214429670199</v>
      </c>
      <c r="X23">
        <v>19.187214429670199</v>
      </c>
    </row>
    <row r="24" spans="1:24" x14ac:dyDescent="0.25">
      <c r="A24" t="s">
        <v>292</v>
      </c>
      <c r="B24" t="s">
        <v>293</v>
      </c>
      <c r="C24" t="s">
        <v>304</v>
      </c>
      <c r="D24" t="s">
        <v>267</v>
      </c>
      <c r="E24" t="s">
        <v>305</v>
      </c>
      <c r="F24" t="s">
        <v>269</v>
      </c>
      <c r="G24">
        <v>66.398717380854961</v>
      </c>
      <c r="H24">
        <v>66.398717380854961</v>
      </c>
      <c r="I24">
        <v>66.398717380854961</v>
      </c>
      <c r="J24">
        <v>66.398717380854961</v>
      </c>
      <c r="K24">
        <v>66.398717380854961</v>
      </c>
      <c r="L24">
        <v>66.398717380854961</v>
      </c>
      <c r="M24">
        <v>66.398717380854961</v>
      </c>
      <c r="N24">
        <v>66.398717380854961</v>
      </c>
      <c r="O24">
        <v>66.398717380854961</v>
      </c>
      <c r="P24">
        <v>66.398717380854961</v>
      </c>
      <c r="Q24">
        <v>66.398717380854961</v>
      </c>
      <c r="R24">
        <v>66.398717380854961</v>
      </c>
      <c r="S24">
        <v>66.398717380854961</v>
      </c>
      <c r="T24">
        <v>66.398717380854961</v>
      </c>
      <c r="U24">
        <v>66.398717380854961</v>
      </c>
      <c r="V24">
        <v>66.398717380854961</v>
      </c>
      <c r="W24">
        <v>66.398717380854961</v>
      </c>
      <c r="X24">
        <v>66.398717380854961</v>
      </c>
    </row>
    <row r="25" spans="1:24" x14ac:dyDescent="0.25">
      <c r="A25" t="s">
        <v>292</v>
      </c>
      <c r="B25" t="s">
        <v>296</v>
      </c>
      <c r="C25" t="s">
        <v>304</v>
      </c>
      <c r="D25" t="s">
        <v>267</v>
      </c>
      <c r="E25" t="s">
        <v>306</v>
      </c>
      <c r="F25" t="s">
        <v>269</v>
      </c>
      <c r="G25">
        <v>96.552050846441404</v>
      </c>
      <c r="H25">
        <v>96.552050846441404</v>
      </c>
      <c r="I25">
        <v>96.552050846441404</v>
      </c>
      <c r="J25">
        <v>96.552050846441404</v>
      </c>
      <c r="K25">
        <v>96.552050846441404</v>
      </c>
      <c r="L25">
        <v>96.552050846441404</v>
      </c>
      <c r="M25">
        <v>96.552050846441404</v>
      </c>
      <c r="N25">
        <v>96.552050846441404</v>
      </c>
      <c r="O25">
        <v>96.552050846441404</v>
      </c>
      <c r="P25">
        <v>96.552050846441404</v>
      </c>
      <c r="Q25">
        <v>96.552050846441404</v>
      </c>
      <c r="R25">
        <v>96.552050846441404</v>
      </c>
      <c r="S25">
        <v>96.552050846441404</v>
      </c>
      <c r="T25">
        <v>96.552050846441404</v>
      </c>
      <c r="U25">
        <v>96.552050846441404</v>
      </c>
      <c r="V25">
        <v>96.552050846441404</v>
      </c>
      <c r="W25">
        <v>96.552050846441404</v>
      </c>
      <c r="X25">
        <v>96.552050846441404</v>
      </c>
    </row>
    <row r="26" spans="1:24" x14ac:dyDescent="0.25">
      <c r="A26" t="s">
        <v>292</v>
      </c>
      <c r="B26" t="s">
        <v>293</v>
      </c>
      <c r="C26" t="s">
        <v>294</v>
      </c>
      <c r="D26" t="s">
        <v>283</v>
      </c>
      <c r="E26" t="s">
        <v>307</v>
      </c>
      <c r="F26" t="s">
        <v>269</v>
      </c>
      <c r="G26">
        <v>0</v>
      </c>
      <c r="H26">
        <v>0.25903938738745758</v>
      </c>
      <c r="I26">
        <v>1.5542363243247459</v>
      </c>
      <c r="J26">
        <v>2.8494332612620341</v>
      </c>
      <c r="K26">
        <v>4.1446301981993221</v>
      </c>
      <c r="L26">
        <v>5.4398271351366114</v>
      </c>
      <c r="M26">
        <v>6.735024072073899</v>
      </c>
      <c r="N26">
        <v>8.0302210090111874</v>
      </c>
      <c r="O26">
        <v>9.325417945948475</v>
      </c>
      <c r="P26">
        <v>10.620614882885761</v>
      </c>
      <c r="Q26">
        <v>11.91581181982305</v>
      </c>
      <c r="R26">
        <v>13.211008756760339</v>
      </c>
      <c r="S26">
        <v>14.50620569369763</v>
      </c>
      <c r="T26">
        <v>15.801402630634909</v>
      </c>
      <c r="U26">
        <v>17.096599567572198</v>
      </c>
      <c r="V26">
        <v>18.39179650450949</v>
      </c>
      <c r="W26">
        <v>19.686993441446781</v>
      </c>
      <c r="X26">
        <v>20.982190378384061</v>
      </c>
    </row>
    <row r="27" spans="1:24" x14ac:dyDescent="0.25">
      <c r="A27" t="s">
        <v>292</v>
      </c>
      <c r="B27" t="s">
        <v>296</v>
      </c>
      <c r="C27" t="s">
        <v>294</v>
      </c>
      <c r="D27" t="s">
        <v>283</v>
      </c>
      <c r="E27" t="s">
        <v>308</v>
      </c>
      <c r="F27" t="s">
        <v>269</v>
      </c>
      <c r="G27">
        <v>0</v>
      </c>
      <c r="H27">
        <v>7.4783990074941589E-2</v>
      </c>
      <c r="I27">
        <v>0.44870394044964951</v>
      </c>
      <c r="J27">
        <v>0.8226238908243575</v>
      </c>
      <c r="K27">
        <v>1.196543841199065</v>
      </c>
      <c r="L27">
        <v>1.5704637915737729</v>
      </c>
      <c r="M27">
        <v>1.9443837419484811</v>
      </c>
      <c r="N27">
        <v>2.3183036923231888</v>
      </c>
      <c r="O27">
        <v>2.6922236426978969</v>
      </c>
      <c r="P27">
        <v>3.0661435930726051</v>
      </c>
      <c r="Q27">
        <v>3.4400635434473119</v>
      </c>
      <c r="R27">
        <v>3.8139834938220201</v>
      </c>
      <c r="S27">
        <v>4.1879034441967278</v>
      </c>
      <c r="T27">
        <v>4.5618233945714346</v>
      </c>
      <c r="U27">
        <v>4.9357433449461432</v>
      </c>
      <c r="V27">
        <v>5.3096632953208509</v>
      </c>
      <c r="W27">
        <v>5.6835832456955586</v>
      </c>
      <c r="X27">
        <v>6.0575031960702663</v>
      </c>
    </row>
    <row r="28" spans="1:24" x14ac:dyDescent="0.25">
      <c r="A28" t="s">
        <v>292</v>
      </c>
      <c r="B28" t="s">
        <v>293</v>
      </c>
      <c r="C28" t="s">
        <v>298</v>
      </c>
      <c r="D28" t="s">
        <v>283</v>
      </c>
      <c r="E28" t="s">
        <v>309</v>
      </c>
      <c r="F28" t="s">
        <v>269</v>
      </c>
      <c r="G28">
        <v>0</v>
      </c>
      <c r="H28">
        <v>0.28560988167920698</v>
      </c>
      <c r="I28">
        <v>1.7136592900752421</v>
      </c>
      <c r="J28">
        <v>3.1417086984712772</v>
      </c>
      <c r="K28">
        <v>4.5697581068673134</v>
      </c>
      <c r="L28">
        <v>5.9978075152633474</v>
      </c>
      <c r="M28">
        <v>7.4258569236593823</v>
      </c>
      <c r="N28">
        <v>8.8539063320554181</v>
      </c>
      <c r="O28">
        <v>10.281955740451449</v>
      </c>
      <c r="P28">
        <v>11.71000514884749</v>
      </c>
      <c r="Q28">
        <v>13.138054557243519</v>
      </c>
      <c r="R28">
        <v>14.566103965639559</v>
      </c>
      <c r="S28">
        <v>15.994153374035591</v>
      </c>
      <c r="T28">
        <v>17.422202782431629</v>
      </c>
      <c r="U28">
        <v>18.850252190827661</v>
      </c>
      <c r="V28">
        <v>20.278301599223699</v>
      </c>
      <c r="W28">
        <v>21.70635100761973</v>
      </c>
      <c r="X28">
        <v>23.134400416015769</v>
      </c>
    </row>
    <row r="29" spans="1:24" x14ac:dyDescent="0.25">
      <c r="A29" t="s">
        <v>292</v>
      </c>
      <c r="B29" t="s">
        <v>296</v>
      </c>
      <c r="C29" t="s">
        <v>298</v>
      </c>
      <c r="D29" t="s">
        <v>283</v>
      </c>
      <c r="E29" t="s">
        <v>310</v>
      </c>
      <c r="F29" t="s">
        <v>269</v>
      </c>
      <c r="G29">
        <v>0</v>
      </c>
      <c r="H29">
        <v>0.19149629288769771</v>
      </c>
      <c r="I29">
        <v>1.1489777573261859</v>
      </c>
      <c r="J29">
        <v>2.1064592217646738</v>
      </c>
      <c r="K29">
        <v>3.063940686203162</v>
      </c>
      <c r="L29">
        <v>4.0214221506416514</v>
      </c>
      <c r="M29">
        <v>4.9789036150801387</v>
      </c>
      <c r="N29">
        <v>5.9363850795186268</v>
      </c>
      <c r="O29">
        <v>6.893866543957115</v>
      </c>
      <c r="P29">
        <v>7.8513480083956031</v>
      </c>
      <c r="Q29">
        <v>8.8088294728340912</v>
      </c>
      <c r="R29">
        <v>9.7663109372725803</v>
      </c>
      <c r="S29">
        <v>10.723792401711069</v>
      </c>
      <c r="T29">
        <v>11.68127386614956</v>
      </c>
      <c r="U29">
        <v>12.638755330588049</v>
      </c>
      <c r="V29">
        <v>13.59623679502654</v>
      </c>
      <c r="W29">
        <v>14.553718259465031</v>
      </c>
      <c r="X29">
        <v>15.511199723903511</v>
      </c>
    </row>
    <row r="30" spans="1:24" x14ac:dyDescent="0.25">
      <c r="A30" t="s">
        <v>292</v>
      </c>
      <c r="B30" t="s">
        <v>293</v>
      </c>
      <c r="C30" t="s">
        <v>301</v>
      </c>
      <c r="D30" t="s">
        <v>283</v>
      </c>
      <c r="E30" t="s">
        <v>311</v>
      </c>
      <c r="F30" t="s">
        <v>269</v>
      </c>
      <c r="G30">
        <v>0</v>
      </c>
      <c r="H30">
        <v>7.7479439050969989E-2</v>
      </c>
      <c r="I30">
        <v>0.46487663430581988</v>
      </c>
      <c r="J30">
        <v>0.85227382956066988</v>
      </c>
      <c r="K30">
        <v>1.2396710248155201</v>
      </c>
      <c r="L30">
        <v>1.6270682200703701</v>
      </c>
      <c r="M30">
        <v>2.0144654153252199</v>
      </c>
      <c r="N30">
        <v>2.40186261058007</v>
      </c>
      <c r="O30">
        <v>2.7892598058349201</v>
      </c>
      <c r="P30">
        <v>3.1766570010897701</v>
      </c>
      <c r="Q30">
        <v>3.5640541963446202</v>
      </c>
      <c r="R30">
        <v>3.9514513915994698</v>
      </c>
      <c r="S30">
        <v>4.3388485868543203</v>
      </c>
      <c r="T30">
        <v>4.7262457821091699</v>
      </c>
      <c r="U30">
        <v>5.1136429773640204</v>
      </c>
      <c r="V30">
        <v>5.5010401726188691</v>
      </c>
      <c r="W30">
        <v>5.8884373678737187</v>
      </c>
      <c r="X30">
        <v>6.2758345631285684</v>
      </c>
    </row>
    <row r="31" spans="1:24" x14ac:dyDescent="0.25">
      <c r="A31" t="s">
        <v>292</v>
      </c>
      <c r="B31" t="s">
        <v>296</v>
      </c>
      <c r="C31" t="s">
        <v>301</v>
      </c>
      <c r="D31" t="s">
        <v>283</v>
      </c>
      <c r="E31" t="s">
        <v>312</v>
      </c>
      <c r="F31" t="s">
        <v>269</v>
      </c>
      <c r="G31">
        <v>0</v>
      </c>
      <c r="H31">
        <v>9.5936072148351009E-2</v>
      </c>
      <c r="I31">
        <v>0.575616432890106</v>
      </c>
      <c r="J31">
        <v>1.0552967936318609</v>
      </c>
      <c r="K31">
        <v>1.5349771543736159</v>
      </c>
      <c r="L31">
        <v>2.0146575151153709</v>
      </c>
      <c r="M31">
        <v>2.4943378758571262</v>
      </c>
      <c r="N31">
        <v>2.974018236598881</v>
      </c>
      <c r="O31">
        <v>3.4536985973406358</v>
      </c>
      <c r="P31">
        <v>3.933378958082391</v>
      </c>
      <c r="Q31">
        <v>4.4130593188241454</v>
      </c>
      <c r="R31">
        <v>4.8927396795659002</v>
      </c>
      <c r="S31">
        <v>5.372420040307655</v>
      </c>
      <c r="T31">
        <v>5.8521004010494098</v>
      </c>
      <c r="U31">
        <v>6.3317807617911646</v>
      </c>
      <c r="V31">
        <v>6.8114611225329194</v>
      </c>
      <c r="W31">
        <v>7.2911414832746742</v>
      </c>
      <c r="X31">
        <v>7.7708218440164289</v>
      </c>
    </row>
    <row r="32" spans="1:24" x14ac:dyDescent="0.25">
      <c r="A32" t="s">
        <v>292</v>
      </c>
      <c r="B32" t="s">
        <v>293</v>
      </c>
      <c r="C32" t="s">
        <v>304</v>
      </c>
      <c r="D32" t="s">
        <v>283</v>
      </c>
      <c r="E32" t="s">
        <v>313</v>
      </c>
      <c r="F32" t="s">
        <v>269</v>
      </c>
      <c r="G32">
        <v>0</v>
      </c>
      <c r="H32">
        <v>0.33199358690427477</v>
      </c>
      <c r="I32">
        <v>1.991961521425649</v>
      </c>
      <c r="J32">
        <v>3.6519294559470228</v>
      </c>
      <c r="K32">
        <v>5.3118973904683973</v>
      </c>
      <c r="L32">
        <v>6.9718653249897713</v>
      </c>
      <c r="M32">
        <v>8.6318332595111453</v>
      </c>
      <c r="N32">
        <v>10.291801194032519</v>
      </c>
      <c r="O32">
        <v>11.95176912855389</v>
      </c>
      <c r="P32">
        <v>13.611737063075269</v>
      </c>
      <c r="Q32">
        <v>15.27170499759664</v>
      </c>
      <c r="R32">
        <v>16.931672932118019</v>
      </c>
      <c r="S32">
        <v>18.591640866639391</v>
      </c>
      <c r="T32">
        <v>20.25160880116076</v>
      </c>
      <c r="U32">
        <v>21.911576735682139</v>
      </c>
      <c r="V32">
        <v>23.571544670203519</v>
      </c>
      <c r="W32">
        <v>25.231512604724891</v>
      </c>
      <c r="X32">
        <v>26.89148053924627</v>
      </c>
    </row>
    <row r="33" spans="1:24" x14ac:dyDescent="0.25">
      <c r="A33" t="s">
        <v>292</v>
      </c>
      <c r="B33" t="s">
        <v>296</v>
      </c>
      <c r="C33" t="s">
        <v>304</v>
      </c>
      <c r="D33" t="s">
        <v>283</v>
      </c>
      <c r="E33" t="s">
        <v>314</v>
      </c>
      <c r="F33" t="s">
        <v>269</v>
      </c>
      <c r="G33">
        <v>0</v>
      </c>
      <c r="H33">
        <v>0.48276025423220698</v>
      </c>
      <c r="I33">
        <v>2.896561525393242</v>
      </c>
      <c r="J33">
        <v>5.3103627965542781</v>
      </c>
      <c r="K33">
        <v>7.7241640677153134</v>
      </c>
      <c r="L33">
        <v>10.13796533887635</v>
      </c>
      <c r="M33">
        <v>12.551766610037379</v>
      </c>
      <c r="N33">
        <v>14.965567881198419</v>
      </c>
      <c r="O33">
        <v>17.379369152359448</v>
      </c>
      <c r="P33">
        <v>19.79317042352049</v>
      </c>
      <c r="Q33">
        <v>22.206971694681521</v>
      </c>
      <c r="R33">
        <v>24.620772965842551</v>
      </c>
      <c r="S33">
        <v>27.034574237003589</v>
      </c>
      <c r="T33">
        <v>29.44837550816462</v>
      </c>
      <c r="U33">
        <v>31.862176779325662</v>
      </c>
      <c r="V33">
        <v>34.275978050486692</v>
      </c>
      <c r="W33">
        <v>36.689779321647727</v>
      </c>
      <c r="X33">
        <v>39.103580592808761</v>
      </c>
    </row>
    <row r="34" spans="1:24" x14ac:dyDescent="0.25">
      <c r="A34" t="s">
        <v>315</v>
      </c>
      <c r="B34" t="s">
        <v>316</v>
      </c>
      <c r="E34" t="s">
        <v>317</v>
      </c>
      <c r="F34" t="s">
        <v>318</v>
      </c>
      <c r="G34">
        <v>66716.460830940399</v>
      </c>
      <c r="H34">
        <v>68050.790047559203</v>
      </c>
      <c r="I34">
        <v>74855.869052315131</v>
      </c>
      <c r="J34">
        <v>82341.455957546656</v>
      </c>
      <c r="K34">
        <v>90575.601553301327</v>
      </c>
      <c r="L34">
        <v>99633.161708631465</v>
      </c>
      <c r="M34">
        <v>109596.4778794946</v>
      </c>
      <c r="N34">
        <v>120556.1256674441</v>
      </c>
      <c r="O34">
        <v>132611.73823418849</v>
      </c>
      <c r="P34">
        <v>145872.91205760741</v>
      </c>
      <c r="Q34">
        <v>160460.20326336811</v>
      </c>
      <c r="R34">
        <v>176506.22358970501</v>
      </c>
      <c r="S34">
        <v>194156.8459486755</v>
      </c>
      <c r="T34">
        <v>213572.53054354299</v>
      </c>
      <c r="U34">
        <v>234929.78359789739</v>
      </c>
      <c r="V34">
        <v>258422.76195768709</v>
      </c>
      <c r="W34">
        <v>284265.03815345588</v>
      </c>
      <c r="X34">
        <v>312691.54196880152</v>
      </c>
    </row>
    <row r="35" spans="1:24" x14ac:dyDescent="0.25">
      <c r="A35" t="s">
        <v>95</v>
      </c>
      <c r="B35" t="s">
        <v>96</v>
      </c>
      <c r="C35" t="s">
        <v>97</v>
      </c>
      <c r="E35" t="s">
        <v>101</v>
      </c>
      <c r="F35" t="s">
        <v>319</v>
      </c>
      <c r="G35">
        <v>68921.250890371171</v>
      </c>
      <c r="H35">
        <v>69265.857144823021</v>
      </c>
      <c r="I35">
        <v>70997.503573443595</v>
      </c>
      <c r="J35">
        <v>72772.44116277968</v>
      </c>
      <c r="K35">
        <v>74591.752191849169</v>
      </c>
      <c r="L35">
        <v>76456.545996645393</v>
      </c>
      <c r="M35">
        <v>78367.959646561518</v>
      </c>
      <c r="N35">
        <v>80327.158637725544</v>
      </c>
      <c r="O35">
        <v>82335.337603668682</v>
      </c>
      <c r="P35">
        <v>84393.721043760394</v>
      </c>
      <c r="Q35">
        <v>86503.564069854401</v>
      </c>
      <c r="R35">
        <v>88666.153171600759</v>
      </c>
      <c r="S35">
        <v>90882.807000890767</v>
      </c>
      <c r="T35">
        <v>93154.877175913032</v>
      </c>
      <c r="U35">
        <v>95483.749105310853</v>
      </c>
      <c r="V35">
        <v>97870.842832943614</v>
      </c>
      <c r="W35">
        <v>100317.6139037672</v>
      </c>
      <c r="X35">
        <v>102825.55425136141</v>
      </c>
    </row>
    <row r="36" spans="1:24" x14ac:dyDescent="0.25">
      <c r="A36" t="s">
        <v>95</v>
      </c>
      <c r="B36" t="s">
        <v>96</v>
      </c>
      <c r="C36" t="s">
        <v>127</v>
      </c>
      <c r="E36" t="s">
        <v>128</v>
      </c>
      <c r="F36" t="s">
        <v>319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95</v>
      </c>
      <c r="B37" t="s">
        <v>96</v>
      </c>
      <c r="C37" t="s">
        <v>134</v>
      </c>
      <c r="E37" t="s">
        <v>135</v>
      </c>
      <c r="F37" t="s">
        <v>319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t="s">
        <v>95</v>
      </c>
      <c r="B38" t="s">
        <v>141</v>
      </c>
      <c r="C38" t="s">
        <v>142</v>
      </c>
      <c r="E38" t="s">
        <v>143</v>
      </c>
      <c r="F38" t="s">
        <v>319</v>
      </c>
      <c r="G38">
        <v>1578.5178847930749</v>
      </c>
      <c r="H38">
        <v>1586.41047421704</v>
      </c>
      <c r="I38">
        <v>1626.0707360724659</v>
      </c>
      <c r="J38">
        <v>1666.7225044742779</v>
      </c>
      <c r="K38">
        <v>1708.390567086135</v>
      </c>
      <c r="L38">
        <v>1751.1003312632879</v>
      </c>
      <c r="M38">
        <v>1794.8778395448701</v>
      </c>
      <c r="N38">
        <v>1839.7497855334909</v>
      </c>
      <c r="O38">
        <v>1885.743530171829</v>
      </c>
      <c r="P38">
        <v>1932.8871184261241</v>
      </c>
      <c r="Q38">
        <v>1981.2092963867769</v>
      </c>
      <c r="R38">
        <v>2030.7395287964459</v>
      </c>
      <c r="S38">
        <v>2081.5080170163569</v>
      </c>
      <c r="T38">
        <v>2133.5457174417661</v>
      </c>
      <c r="U38">
        <v>2186.88436037781</v>
      </c>
      <c r="V38">
        <v>2241.5564693872552</v>
      </c>
      <c r="W38">
        <v>2297.595381121936</v>
      </c>
      <c r="X38">
        <v>2355.035265649984</v>
      </c>
    </row>
    <row r="39" spans="1:24" x14ac:dyDescent="0.25">
      <c r="A39" t="s">
        <v>95</v>
      </c>
      <c r="B39" t="s">
        <v>141</v>
      </c>
      <c r="C39" t="s">
        <v>149</v>
      </c>
      <c r="E39" t="s">
        <v>150</v>
      </c>
      <c r="F39" t="s">
        <v>319</v>
      </c>
      <c r="G39">
        <v>70.026308273942732</v>
      </c>
      <c r="H39">
        <v>70.376439815312438</v>
      </c>
      <c r="I39">
        <v>72.135850810695246</v>
      </c>
      <c r="J39">
        <v>73.939247080962616</v>
      </c>
      <c r="K39">
        <v>75.787728257986672</v>
      </c>
      <c r="L39">
        <v>77.682421464436331</v>
      </c>
      <c r="M39">
        <v>79.624482001047227</v>
      </c>
      <c r="N39">
        <v>81.615094051073399</v>
      </c>
      <c r="O39">
        <v>83.65547140235023</v>
      </c>
      <c r="P39">
        <v>85.746858187408975</v>
      </c>
      <c r="Q39">
        <v>87.890529642094194</v>
      </c>
      <c r="R39">
        <v>90.087792883146534</v>
      </c>
      <c r="S39">
        <v>92.339987705225184</v>
      </c>
      <c r="T39">
        <v>94.648487397855803</v>
      </c>
      <c r="U39">
        <v>97.014699582802194</v>
      </c>
      <c r="V39">
        <v>99.440067072372244</v>
      </c>
      <c r="W39">
        <v>101.9260687491815</v>
      </c>
      <c r="X39">
        <v>104.4742204679111</v>
      </c>
    </row>
    <row r="40" spans="1:24" x14ac:dyDescent="0.25">
      <c r="A40" t="s">
        <v>95</v>
      </c>
      <c r="B40" t="s">
        <v>141</v>
      </c>
      <c r="C40" t="s">
        <v>158</v>
      </c>
      <c r="E40" t="s">
        <v>160</v>
      </c>
      <c r="F40" t="s">
        <v>319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95</v>
      </c>
      <c r="B41" t="s">
        <v>141</v>
      </c>
      <c r="C41" t="s">
        <v>169</v>
      </c>
      <c r="E41" t="s">
        <v>170</v>
      </c>
      <c r="F41" t="s">
        <v>319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95</v>
      </c>
      <c r="B42" t="s">
        <v>141</v>
      </c>
      <c r="C42" t="s">
        <v>176</v>
      </c>
      <c r="E42" t="s">
        <v>177</v>
      </c>
      <c r="F42" t="s">
        <v>319</v>
      </c>
      <c r="G42">
        <v>1367.6201505846741</v>
      </c>
      <c r="H42">
        <v>1374.4582513375981</v>
      </c>
      <c r="I42">
        <v>1408.819707621037</v>
      </c>
      <c r="J42">
        <v>1444.040200311563</v>
      </c>
      <c r="K42">
        <v>1480.1412053193519</v>
      </c>
      <c r="L42">
        <v>1517.1447354523359</v>
      </c>
      <c r="M42">
        <v>1555.0733538386439</v>
      </c>
      <c r="N42">
        <v>1593.95018768461</v>
      </c>
      <c r="O42">
        <v>1633.7989423767251</v>
      </c>
      <c r="P42">
        <v>1674.643915936143</v>
      </c>
      <c r="Q42">
        <v>1716.510013834547</v>
      </c>
      <c r="R42">
        <v>1759.42276418041</v>
      </c>
      <c r="S42">
        <v>1803.40833328492</v>
      </c>
      <c r="T42">
        <v>1848.4935416170431</v>
      </c>
      <c r="U42">
        <v>1894.705880157469</v>
      </c>
      <c r="V42">
        <v>1942.073527161406</v>
      </c>
      <c r="W42">
        <v>1990.625365340441</v>
      </c>
      <c r="X42">
        <v>2040.390999473952</v>
      </c>
    </row>
    <row r="43" spans="1:24" x14ac:dyDescent="0.25">
      <c r="A43" t="s">
        <v>95</v>
      </c>
      <c r="B43" t="s">
        <v>141</v>
      </c>
      <c r="C43" t="s">
        <v>183</v>
      </c>
      <c r="E43" t="s">
        <v>184</v>
      </c>
      <c r="F43" t="s">
        <v>319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 t="s">
        <v>95</v>
      </c>
      <c r="B44" t="s">
        <v>96</v>
      </c>
      <c r="C44" t="s">
        <v>190</v>
      </c>
      <c r="E44" t="s">
        <v>191</v>
      </c>
      <c r="F44" t="s">
        <v>319</v>
      </c>
      <c r="G44">
        <v>498.20418535334039</v>
      </c>
      <c r="H44">
        <v>500.69520628010702</v>
      </c>
      <c r="I44">
        <v>513.21258643710962</v>
      </c>
      <c r="J44">
        <v>526.04290109803731</v>
      </c>
      <c r="K44">
        <v>539.19397362548818</v>
      </c>
      <c r="L44">
        <v>552.67382296612539</v>
      </c>
      <c r="M44">
        <v>566.49066854027842</v>
      </c>
      <c r="N44">
        <v>580.65293525378536</v>
      </c>
      <c r="O44">
        <v>595.16925863512995</v>
      </c>
      <c r="P44">
        <v>610.04849010100816</v>
      </c>
      <c r="Q44">
        <v>625.29970235353335</v>
      </c>
      <c r="R44">
        <v>640.93219491237164</v>
      </c>
      <c r="S44">
        <v>656.9554997851809</v>
      </c>
      <c r="T44">
        <v>673.37938727981032</v>
      </c>
      <c r="U44">
        <v>690.21387196180547</v>
      </c>
      <c r="V44">
        <v>707.46921876085059</v>
      </c>
      <c r="W44">
        <v>725.15594922987179</v>
      </c>
      <c r="X44">
        <v>743.28484796061855</v>
      </c>
    </row>
    <row r="45" spans="1:24" x14ac:dyDescent="0.25">
      <c r="A45" t="s">
        <v>95</v>
      </c>
      <c r="B45" t="s">
        <v>96</v>
      </c>
      <c r="C45" t="s">
        <v>197</v>
      </c>
      <c r="E45" t="s">
        <v>198</v>
      </c>
      <c r="F45" t="s">
        <v>319</v>
      </c>
      <c r="G45">
        <v>86.053217342719677</v>
      </c>
      <c r="H45">
        <v>86.483483429433264</v>
      </c>
      <c r="I45">
        <v>88.645570515169084</v>
      </c>
      <c r="J45">
        <v>90.861709778048308</v>
      </c>
      <c r="K45">
        <v>93.133252522499504</v>
      </c>
      <c r="L45">
        <v>95.461583835561981</v>
      </c>
      <c r="M45">
        <v>97.848123431451029</v>
      </c>
      <c r="N45">
        <v>100.29432651723729</v>
      </c>
      <c r="O45">
        <v>102.80168468016819</v>
      </c>
      <c r="P45">
        <v>105.3717267971724</v>
      </c>
      <c r="Q45">
        <v>108.00601996710169</v>
      </c>
      <c r="R45">
        <v>110.7061704662793</v>
      </c>
      <c r="S45">
        <v>113.4738247279362</v>
      </c>
      <c r="T45">
        <v>116.3106703461346</v>
      </c>
      <c r="U45">
        <v>119.21843710478799</v>
      </c>
      <c r="V45">
        <v>122.1988980324077</v>
      </c>
      <c r="W45">
        <v>125.2538704832179</v>
      </c>
      <c r="X45">
        <v>128.38521724529829</v>
      </c>
    </row>
    <row r="46" spans="1:24" x14ac:dyDescent="0.25">
      <c r="A46" t="s">
        <v>95</v>
      </c>
      <c r="B46" t="s">
        <v>96</v>
      </c>
      <c r="C46" t="s">
        <v>204</v>
      </c>
      <c r="E46" t="s">
        <v>205</v>
      </c>
      <c r="F46" t="s">
        <v>319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95</v>
      </c>
      <c r="B47" t="s">
        <v>96</v>
      </c>
      <c r="C47" t="s">
        <v>211</v>
      </c>
      <c r="E47" t="s">
        <v>212</v>
      </c>
      <c r="F47" t="s">
        <v>319</v>
      </c>
      <c r="G47">
        <v>364.1076787683694</v>
      </c>
      <c r="H47">
        <v>365.92821716221118</v>
      </c>
      <c r="I47">
        <v>375.07642259126641</v>
      </c>
      <c r="J47">
        <v>384.45333315604802</v>
      </c>
      <c r="K47">
        <v>394.06466648494921</v>
      </c>
      <c r="L47">
        <v>403.91628314707287</v>
      </c>
      <c r="M47">
        <v>414.01419022574959</v>
      </c>
      <c r="N47">
        <v>424.36454498139341</v>
      </c>
      <c r="O47">
        <v>434.97365860592822</v>
      </c>
      <c r="P47">
        <v>445.84800007107629</v>
      </c>
      <c r="Q47">
        <v>456.99420007285318</v>
      </c>
      <c r="R47">
        <v>468.41905507467447</v>
      </c>
      <c r="S47">
        <v>480.12953145154142</v>
      </c>
      <c r="T47">
        <v>492.13276973782979</v>
      </c>
      <c r="U47">
        <v>504.43608898127547</v>
      </c>
      <c r="V47">
        <v>517.04699120580733</v>
      </c>
      <c r="W47">
        <v>529.97316598595251</v>
      </c>
      <c r="X47">
        <v>543.22249513560132</v>
      </c>
    </row>
    <row r="48" spans="1:24" x14ac:dyDescent="0.25">
      <c r="A48" t="s">
        <v>95</v>
      </c>
      <c r="B48" t="s">
        <v>96</v>
      </c>
      <c r="C48" t="s">
        <v>220</v>
      </c>
      <c r="E48" t="s">
        <v>221</v>
      </c>
      <c r="F48" t="s">
        <v>319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95</v>
      </c>
      <c r="B49" t="s">
        <v>96</v>
      </c>
      <c r="C49" t="s">
        <v>225</v>
      </c>
      <c r="E49" t="s">
        <v>226</v>
      </c>
      <c r="F49" t="s">
        <v>319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95</v>
      </c>
      <c r="B50" t="s">
        <v>96</v>
      </c>
      <c r="C50" t="s">
        <v>228</v>
      </c>
      <c r="E50" t="s">
        <v>230</v>
      </c>
      <c r="F50" t="s">
        <v>319</v>
      </c>
      <c r="G50">
        <v>783.71641071992963</v>
      </c>
      <c r="H50">
        <v>787.63499277352923</v>
      </c>
      <c r="I50">
        <v>807.32586759286744</v>
      </c>
      <c r="J50">
        <v>827.50901428268901</v>
      </c>
      <c r="K50">
        <v>848.19673963975617</v>
      </c>
      <c r="L50">
        <v>869.40165813074998</v>
      </c>
      <c r="M50">
        <v>891.13669958401863</v>
      </c>
      <c r="N50">
        <v>913.41511707361906</v>
      </c>
      <c r="O50">
        <v>936.25049500045941</v>
      </c>
      <c r="P50">
        <v>959.65675737547076</v>
      </c>
      <c r="Q50">
        <v>983.64817630985749</v>
      </c>
      <c r="R50">
        <v>1008.239380717604</v>
      </c>
      <c r="S50">
        <v>1033.4453652355439</v>
      </c>
      <c r="T50">
        <v>1059.2814993664319</v>
      </c>
      <c r="U50">
        <v>1085.763536850593</v>
      </c>
      <c r="V50">
        <v>1112.907625271858</v>
      </c>
      <c r="W50">
        <v>1140.7303159036539</v>
      </c>
      <c r="X50">
        <v>1169.2485738012449</v>
      </c>
    </row>
    <row r="51" spans="1:24" x14ac:dyDescent="0.25">
      <c r="A51" t="s">
        <v>95</v>
      </c>
      <c r="B51" t="s">
        <v>96</v>
      </c>
      <c r="C51" t="s">
        <v>232</v>
      </c>
      <c r="E51" t="s">
        <v>233</v>
      </c>
      <c r="F51" t="s">
        <v>319</v>
      </c>
      <c r="G51">
        <v>4185.0616827171943</v>
      </c>
      <c r="H51">
        <v>4205.9869911307796</v>
      </c>
      <c r="I51">
        <v>4311.136665909049</v>
      </c>
      <c r="J51">
        <v>4418.9150825567749</v>
      </c>
      <c r="K51">
        <v>4529.3879596206934</v>
      </c>
      <c r="L51">
        <v>4642.6226586112107</v>
      </c>
      <c r="M51">
        <v>4758.6882250764902</v>
      </c>
      <c r="N51">
        <v>4877.6554307034021</v>
      </c>
      <c r="O51">
        <v>4999.5968164709866</v>
      </c>
      <c r="P51">
        <v>5124.5867368827612</v>
      </c>
      <c r="Q51">
        <v>5252.7014053048297</v>
      </c>
      <c r="R51">
        <v>5384.0189404374496</v>
      </c>
      <c r="S51">
        <v>5518.619413948385</v>
      </c>
      <c r="T51">
        <v>5656.5848992970941</v>
      </c>
      <c r="U51">
        <v>5797.9995217795213</v>
      </c>
      <c r="V51">
        <v>5942.9495098240086</v>
      </c>
      <c r="W51">
        <v>6091.5232475696084</v>
      </c>
      <c r="X51">
        <v>6243.8113287588494</v>
      </c>
    </row>
    <row r="52" spans="1:24" x14ac:dyDescent="0.25">
      <c r="A52" t="s">
        <v>95</v>
      </c>
      <c r="B52" t="s">
        <v>235</v>
      </c>
      <c r="C52" t="s">
        <v>236</v>
      </c>
      <c r="E52" t="s">
        <v>237</v>
      </c>
      <c r="F52" t="s">
        <v>319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95</v>
      </c>
      <c r="B53" t="s">
        <v>235</v>
      </c>
      <c r="C53" t="s">
        <v>243</v>
      </c>
      <c r="E53" t="s">
        <v>244</v>
      </c>
      <c r="F53" t="s">
        <v>319</v>
      </c>
      <c r="G53">
        <v>1.605430432772551</v>
      </c>
      <c r="H53">
        <v>1.6134575849364139</v>
      </c>
      <c r="I53">
        <v>1.6537940245598239</v>
      </c>
      <c r="J53">
        <v>1.6951388751738199</v>
      </c>
      <c r="K53">
        <v>1.7375173470531651</v>
      </c>
      <c r="L53">
        <v>1.7809552807294939</v>
      </c>
      <c r="M53">
        <v>1.8254791627477309</v>
      </c>
      <c r="N53">
        <v>1.8711161418164239</v>
      </c>
      <c r="O53">
        <v>1.9178940453618341</v>
      </c>
      <c r="P53">
        <v>1.9658413964958801</v>
      </c>
      <c r="Q53">
        <v>2.0149874314082772</v>
      </c>
      <c r="R53">
        <v>2.0653621171934842</v>
      </c>
      <c r="S53">
        <v>2.1169961701233211</v>
      </c>
      <c r="T53">
        <v>2.1699210743764041</v>
      </c>
      <c r="U53">
        <v>2.2241691012358138</v>
      </c>
      <c r="V53">
        <v>2.279773328766709</v>
      </c>
      <c r="W53">
        <v>2.3367676619858759</v>
      </c>
      <c r="X53">
        <v>2.395186853535523</v>
      </c>
    </row>
    <row r="54" spans="1:24" x14ac:dyDescent="0.25">
      <c r="A54" t="s">
        <v>95</v>
      </c>
      <c r="B54" t="s">
        <v>235</v>
      </c>
      <c r="C54" t="s">
        <v>251</v>
      </c>
      <c r="E54" t="s">
        <v>255</v>
      </c>
      <c r="F54" t="s">
        <v>319</v>
      </c>
      <c r="G54">
        <v>0.1257155698946095</v>
      </c>
      <c r="H54">
        <v>0.12634414774408251</v>
      </c>
      <c r="I54">
        <v>0.12950275143768461</v>
      </c>
      <c r="J54">
        <v>0.1327403202236267</v>
      </c>
      <c r="K54">
        <v>0.1360588282292173</v>
      </c>
      <c r="L54">
        <v>0.13946029893494771</v>
      </c>
      <c r="M54">
        <v>0.14294680640832139</v>
      </c>
      <c r="N54">
        <v>0.1465204765685294</v>
      </c>
      <c r="O54">
        <v>0.15018348848274271</v>
      </c>
      <c r="P54">
        <v>0.15393807569481119</v>
      </c>
      <c r="Q54">
        <v>0.15778652758718151</v>
      </c>
      <c r="R54">
        <v>0.16173119077686099</v>
      </c>
      <c r="S54">
        <v>0.1657744705462825</v>
      </c>
      <c r="T54">
        <v>0.16991883230993951</v>
      </c>
      <c r="U54">
        <v>0.17416680311768801</v>
      </c>
      <c r="V54">
        <v>0.17852097319563021</v>
      </c>
      <c r="W54">
        <v>0.18298399752552089</v>
      </c>
      <c r="X54">
        <v>0.18755859746365891</v>
      </c>
    </row>
    <row r="55" spans="1:24" x14ac:dyDescent="0.25">
      <c r="A55" t="s">
        <v>320</v>
      </c>
      <c r="B55" t="s">
        <v>321</v>
      </c>
      <c r="C55" t="s">
        <v>322</v>
      </c>
      <c r="E55" t="s">
        <v>323</v>
      </c>
      <c r="F55" t="s">
        <v>324</v>
      </c>
      <c r="G55">
        <v>3375.0740840299131</v>
      </c>
      <c r="H55">
        <v>3391.9494544500621</v>
      </c>
      <c r="I55">
        <v>3476.7481908113132</v>
      </c>
      <c r="J55">
        <v>3563.6668955815949</v>
      </c>
      <c r="K55">
        <v>3652.7585679711351</v>
      </c>
      <c r="L55">
        <v>3744.0775321704132</v>
      </c>
      <c r="M55">
        <v>3837.6794704746731</v>
      </c>
      <c r="N55">
        <v>3933.6214572365402</v>
      </c>
      <c r="O55">
        <v>4031.961993667453</v>
      </c>
      <c r="P55">
        <v>4132.7610435091392</v>
      </c>
      <c r="Q55">
        <v>4236.0800695968674</v>
      </c>
      <c r="R55">
        <v>4341.982071336789</v>
      </c>
      <c r="S55">
        <v>4450.5316231202087</v>
      </c>
      <c r="T55">
        <v>4561.7949136982133</v>
      </c>
      <c r="U55">
        <v>4675.8397865406687</v>
      </c>
      <c r="V55">
        <v>4792.7357812041846</v>
      </c>
      <c r="W55">
        <v>4912.5541757342889</v>
      </c>
      <c r="X55">
        <v>5035.3680301276454</v>
      </c>
    </row>
    <row r="56" spans="1:24" x14ac:dyDescent="0.25">
      <c r="A56" t="s">
        <v>320</v>
      </c>
      <c r="B56" t="s">
        <v>321</v>
      </c>
      <c r="C56" t="s">
        <v>325</v>
      </c>
      <c r="E56" t="s">
        <v>326</v>
      </c>
      <c r="F56" t="s">
        <v>324</v>
      </c>
      <c r="G56">
        <v>405.00889008358951</v>
      </c>
      <c r="H56">
        <v>407.03393453400741</v>
      </c>
      <c r="I56">
        <v>417.20978289735763</v>
      </c>
      <c r="J56">
        <v>427.64002746979139</v>
      </c>
      <c r="K56">
        <v>438.33102815653621</v>
      </c>
      <c r="L56">
        <v>449.28930386044959</v>
      </c>
      <c r="M56">
        <v>460.5215364569608</v>
      </c>
      <c r="N56">
        <v>472.03457486838482</v>
      </c>
      <c r="O56">
        <v>483.83543924009427</v>
      </c>
      <c r="P56">
        <v>495.93132522109659</v>
      </c>
      <c r="Q56">
        <v>508.32960835162402</v>
      </c>
      <c r="R56">
        <v>521.03784856041455</v>
      </c>
      <c r="S56">
        <v>534.06379477442488</v>
      </c>
      <c r="T56">
        <v>547.41538964378549</v>
      </c>
      <c r="U56">
        <v>561.10077438488008</v>
      </c>
      <c r="V56">
        <v>575.128293744502</v>
      </c>
      <c r="W56">
        <v>589.50650108811453</v>
      </c>
      <c r="X56">
        <v>604.24416361531735</v>
      </c>
    </row>
    <row r="57" spans="1:24" x14ac:dyDescent="0.25">
      <c r="A57" t="s">
        <v>320</v>
      </c>
      <c r="B57" t="s">
        <v>321</v>
      </c>
      <c r="C57" t="s">
        <v>327</v>
      </c>
      <c r="E57" t="s">
        <v>328</v>
      </c>
      <c r="F57" t="s">
        <v>324</v>
      </c>
      <c r="G57">
        <v>540.01185344478597</v>
      </c>
      <c r="H57">
        <v>542.71191271200985</v>
      </c>
      <c r="I57">
        <v>556.27971052981002</v>
      </c>
      <c r="J57">
        <v>570.18670329305519</v>
      </c>
      <c r="K57">
        <v>584.44137087538149</v>
      </c>
      <c r="L57">
        <v>599.05240514726597</v>
      </c>
      <c r="M57">
        <v>614.02871527594755</v>
      </c>
      <c r="N57">
        <v>629.37943315784617</v>
      </c>
      <c r="O57">
        <v>645.11391898679221</v>
      </c>
      <c r="P57">
        <v>661.24176696146196</v>
      </c>
      <c r="Q57">
        <v>677.7728111354985</v>
      </c>
      <c r="R57">
        <v>694.71713141388591</v>
      </c>
      <c r="S57">
        <v>712.08505969923294</v>
      </c>
      <c r="T57">
        <v>729.88718619171368</v>
      </c>
      <c r="U57">
        <v>748.13436584650651</v>
      </c>
      <c r="V57">
        <v>766.83772499266911</v>
      </c>
      <c r="W57">
        <v>786.00866811748574</v>
      </c>
      <c r="X57">
        <v>805.65888482042283</v>
      </c>
    </row>
    <row r="58" spans="1:24" x14ac:dyDescent="0.25">
      <c r="A58" t="s">
        <v>320</v>
      </c>
      <c r="B58" t="s">
        <v>321</v>
      </c>
      <c r="C58" t="s">
        <v>329</v>
      </c>
      <c r="E58" t="s">
        <v>330</v>
      </c>
      <c r="F58" t="s">
        <v>324</v>
      </c>
      <c r="G58">
        <v>1350.029633611965</v>
      </c>
      <c r="H58">
        <v>1356.7797817800249</v>
      </c>
      <c r="I58">
        <v>1390.699276324525</v>
      </c>
      <c r="J58">
        <v>1425.4667582326381</v>
      </c>
      <c r="K58">
        <v>1461.1034271884539</v>
      </c>
      <c r="L58">
        <v>1497.631012868165</v>
      </c>
      <c r="M58">
        <v>1535.071788189869</v>
      </c>
      <c r="N58">
        <v>1573.448582894616</v>
      </c>
      <c r="O58">
        <v>1612.784797466981</v>
      </c>
      <c r="P58">
        <v>1653.1044174036549</v>
      </c>
      <c r="Q58">
        <v>1694.432027838747</v>
      </c>
      <c r="R58">
        <v>1736.792828534715</v>
      </c>
      <c r="S58">
        <v>1780.2126492480829</v>
      </c>
      <c r="T58">
        <v>1824.7179654792851</v>
      </c>
      <c r="U58">
        <v>1870.335914616267</v>
      </c>
      <c r="V58">
        <v>1917.0943124816729</v>
      </c>
      <c r="W58">
        <v>1965.021670293715</v>
      </c>
      <c r="X58">
        <v>2014.147212051058</v>
      </c>
    </row>
    <row r="59" spans="1:24" x14ac:dyDescent="0.25">
      <c r="A59" t="s">
        <v>320</v>
      </c>
      <c r="B59" t="s">
        <v>321</v>
      </c>
      <c r="C59" t="s">
        <v>331</v>
      </c>
      <c r="E59" t="s">
        <v>332</v>
      </c>
      <c r="F59" t="s">
        <v>324</v>
      </c>
      <c r="G59">
        <v>1485.0325969731609</v>
      </c>
      <c r="H59">
        <v>1492.4577599580271</v>
      </c>
      <c r="I59">
        <v>1529.769203956977</v>
      </c>
      <c r="J59">
        <v>1568.0134340559021</v>
      </c>
      <c r="K59">
        <v>1607.2137699072989</v>
      </c>
      <c r="L59">
        <v>1647.394114154981</v>
      </c>
      <c r="M59">
        <v>1688.5789670088559</v>
      </c>
      <c r="N59">
        <v>1730.793441184077</v>
      </c>
      <c r="O59">
        <v>1774.0632772136789</v>
      </c>
      <c r="P59">
        <v>1818.414859144021</v>
      </c>
      <c r="Q59">
        <v>1863.8752306226211</v>
      </c>
      <c r="R59">
        <v>1910.472111388186</v>
      </c>
      <c r="S59">
        <v>1958.233914172891</v>
      </c>
      <c r="T59">
        <v>2007.189762027213</v>
      </c>
      <c r="U59">
        <v>2057.3695060778932</v>
      </c>
      <c r="V59">
        <v>2108.8037437298399</v>
      </c>
      <c r="W59">
        <v>2161.5238373230859</v>
      </c>
      <c r="X59">
        <v>2215.5619332561628</v>
      </c>
    </row>
    <row r="60" spans="1:24" x14ac:dyDescent="0.25">
      <c r="A60" t="s">
        <v>320</v>
      </c>
      <c r="B60" t="s">
        <v>321</v>
      </c>
      <c r="C60" t="s">
        <v>333</v>
      </c>
      <c r="E60" t="s">
        <v>334</v>
      </c>
      <c r="F60" t="s">
        <v>324</v>
      </c>
      <c r="G60">
        <v>1080.0237068895719</v>
      </c>
      <c r="H60">
        <v>1085.4238254240199</v>
      </c>
      <c r="I60">
        <v>1112.55942105962</v>
      </c>
      <c r="J60">
        <v>1140.3734065861099</v>
      </c>
      <c r="K60">
        <v>1168.882741750763</v>
      </c>
      <c r="L60">
        <v>1198.1048102945319</v>
      </c>
      <c r="M60">
        <v>1228.0574305518951</v>
      </c>
      <c r="N60">
        <v>1258.7588663156921</v>
      </c>
      <c r="O60">
        <v>1290.227837973584</v>
      </c>
      <c r="P60">
        <v>1322.4835339229239</v>
      </c>
      <c r="Q60">
        <v>1355.545622270997</v>
      </c>
      <c r="R60">
        <v>1389.434262827772</v>
      </c>
      <c r="S60">
        <v>1424.1701193984661</v>
      </c>
      <c r="T60">
        <v>1459.7743723834269</v>
      </c>
      <c r="U60">
        <v>1496.268731693013</v>
      </c>
      <c r="V60">
        <v>1533.675449985338</v>
      </c>
      <c r="W60">
        <v>1572.017336234971</v>
      </c>
      <c r="X60">
        <v>1611.3177696408461</v>
      </c>
    </row>
    <row r="61" spans="1:24" x14ac:dyDescent="0.25">
      <c r="A61" t="s">
        <v>320</v>
      </c>
      <c r="B61" t="s">
        <v>321</v>
      </c>
      <c r="C61" t="s">
        <v>335</v>
      </c>
      <c r="E61" t="s">
        <v>336</v>
      </c>
      <c r="F61" t="s">
        <v>324</v>
      </c>
      <c r="G61">
        <v>5265.1155710866633</v>
      </c>
      <c r="H61">
        <v>5291.4411489420963</v>
      </c>
      <c r="I61">
        <v>5423.727177665648</v>
      </c>
      <c r="J61">
        <v>5559.3203571072891</v>
      </c>
      <c r="K61">
        <v>5698.3033660349711</v>
      </c>
      <c r="L61">
        <v>5840.7609501858451</v>
      </c>
      <c r="M61">
        <v>5986.7799739404909</v>
      </c>
      <c r="N61">
        <v>6136.4494732890034</v>
      </c>
      <c r="O61">
        <v>6289.8607101212274</v>
      </c>
      <c r="P61">
        <v>6447.1072278742577</v>
      </c>
      <c r="Q61">
        <v>6608.2849085711132</v>
      </c>
      <c r="R61">
        <v>6773.4920312853901</v>
      </c>
      <c r="S61">
        <v>6942.8293320675239</v>
      </c>
      <c r="T61">
        <v>7116.400065369211</v>
      </c>
      <c r="U61">
        <v>7294.310067003441</v>
      </c>
      <c r="V61">
        <v>7476.6678186785266</v>
      </c>
      <c r="W61">
        <v>7663.5845141454893</v>
      </c>
      <c r="X61">
        <v>7855.1741269991262</v>
      </c>
    </row>
    <row r="62" spans="1:24" x14ac:dyDescent="0.25">
      <c r="A62" t="s">
        <v>320</v>
      </c>
      <c r="B62" t="s">
        <v>321</v>
      </c>
      <c r="C62" t="s">
        <v>337</v>
      </c>
      <c r="E62" t="s">
        <v>338</v>
      </c>
      <c r="F62" t="s">
        <v>324</v>
      </c>
      <c r="G62">
        <v>206463.0681189782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320</v>
      </c>
      <c r="B63" t="s">
        <v>339</v>
      </c>
      <c r="C63" t="s">
        <v>340</v>
      </c>
      <c r="E63" t="s">
        <v>341</v>
      </c>
      <c r="F63" t="s">
        <v>342</v>
      </c>
      <c r="G63">
        <v>1957.9449839347731</v>
      </c>
      <c r="H63">
        <v>1967.7347088544459</v>
      </c>
      <c r="I63">
        <v>2016.9280765758069</v>
      </c>
      <c r="J63">
        <v>2067.3512784902018</v>
      </c>
      <c r="K63">
        <v>2119.0350604524569</v>
      </c>
      <c r="L63">
        <v>2172.010936963768</v>
      </c>
      <c r="M63">
        <v>2226.311210387862</v>
      </c>
      <c r="N63">
        <v>2281.9689906475578</v>
      </c>
      <c r="O63">
        <v>2339.0182154137469</v>
      </c>
      <c r="P63">
        <v>2397.493670799091</v>
      </c>
      <c r="Q63">
        <v>2457.4310125690681</v>
      </c>
      <c r="R63">
        <v>2518.8667878832939</v>
      </c>
      <c r="S63">
        <v>2581.8384575803761</v>
      </c>
      <c r="T63">
        <v>2646.3844190198852</v>
      </c>
      <c r="U63">
        <v>2712.5440294953819</v>
      </c>
      <c r="V63">
        <v>2780.357630232766</v>
      </c>
      <c r="W63">
        <v>2849.866570988585</v>
      </c>
      <c r="X63">
        <v>2921.113235263299</v>
      </c>
    </row>
    <row r="64" spans="1:24" x14ac:dyDescent="0.25">
      <c r="A64" t="s">
        <v>320</v>
      </c>
      <c r="B64" t="s">
        <v>339</v>
      </c>
      <c r="C64" t="s">
        <v>343</v>
      </c>
      <c r="E64" t="s">
        <v>344</v>
      </c>
      <c r="F64" t="s">
        <v>342</v>
      </c>
      <c r="G64">
        <v>118.5672</v>
      </c>
      <c r="H64">
        <v>118.5672</v>
      </c>
      <c r="I64">
        <v>118.5672</v>
      </c>
      <c r="J64">
        <v>118.5672</v>
      </c>
      <c r="K64">
        <v>118.5672</v>
      </c>
      <c r="L64">
        <v>118.5672</v>
      </c>
      <c r="M64">
        <v>118.5672</v>
      </c>
      <c r="N64">
        <v>118.5672</v>
      </c>
      <c r="O64">
        <v>118.5672</v>
      </c>
      <c r="P64">
        <v>118.5672</v>
      </c>
      <c r="Q64">
        <v>118.5672</v>
      </c>
      <c r="R64">
        <v>118.5672</v>
      </c>
      <c r="S64">
        <v>118.5672</v>
      </c>
      <c r="T64">
        <v>118.5672</v>
      </c>
      <c r="U64">
        <v>118.5672</v>
      </c>
      <c r="V64">
        <v>118.5672</v>
      </c>
      <c r="W64">
        <v>118.5672</v>
      </c>
      <c r="X64">
        <v>118.5672</v>
      </c>
    </row>
    <row r="65" spans="1:24" x14ac:dyDescent="0.25">
      <c r="A65" t="s">
        <v>216</v>
      </c>
      <c r="B65" t="s">
        <v>345</v>
      </c>
      <c r="E65" t="s">
        <v>346</v>
      </c>
      <c r="F65" t="s">
        <v>318</v>
      </c>
      <c r="G65">
        <v>-43034.141007505437</v>
      </c>
      <c r="H65">
        <v>-43034.141007505437</v>
      </c>
      <c r="I65">
        <v>-43034.141007505437</v>
      </c>
      <c r="J65">
        <v>-43034.141007505437</v>
      </c>
      <c r="K65">
        <v>-43034.141007505437</v>
      </c>
      <c r="L65">
        <v>-43034.141007505437</v>
      </c>
      <c r="M65">
        <v>-43034.141007505437</v>
      </c>
      <c r="N65">
        <v>-43034.141007505437</v>
      </c>
      <c r="O65">
        <v>-43034.141007505437</v>
      </c>
      <c r="P65">
        <v>-43034.141007505437</v>
      </c>
      <c r="Q65">
        <v>-43034.141007505437</v>
      </c>
      <c r="R65">
        <v>-43034.141007505437</v>
      </c>
      <c r="S65">
        <v>-43034.141007505437</v>
      </c>
      <c r="T65">
        <v>-43034.141007505437</v>
      </c>
      <c r="U65">
        <v>-43034.141007505437</v>
      </c>
      <c r="V65">
        <v>-43034.141007505437</v>
      </c>
      <c r="W65">
        <v>-43034.141007505437</v>
      </c>
      <c r="X65">
        <v>-43034.141007505437</v>
      </c>
    </row>
    <row r="66" spans="1:24" x14ac:dyDescent="0.25">
      <c r="A66" t="s">
        <v>320</v>
      </c>
      <c r="B66" t="s">
        <v>339</v>
      </c>
      <c r="C66" t="s">
        <v>347</v>
      </c>
      <c r="E66" t="s">
        <v>348</v>
      </c>
      <c r="F66" t="s">
        <v>342</v>
      </c>
      <c r="G66">
        <v>1718.825872023252</v>
      </c>
      <c r="H66">
        <v>1727.4200013833679</v>
      </c>
      <c r="I66">
        <v>1770.6055014179519</v>
      </c>
      <c r="J66">
        <v>1814.8706389534011</v>
      </c>
      <c r="K66">
        <v>1860.2424049272361</v>
      </c>
      <c r="L66">
        <v>1906.7484650504171</v>
      </c>
      <c r="M66">
        <v>1954.4171766766769</v>
      </c>
      <c r="N66">
        <v>2003.2776060935939</v>
      </c>
      <c r="O66">
        <v>2053.359546245933</v>
      </c>
      <c r="P66">
        <v>2104.693534902081</v>
      </c>
      <c r="Q66">
        <v>2157.3108732746332</v>
      </c>
      <c r="R66">
        <v>2211.2436451064991</v>
      </c>
      <c r="S66">
        <v>2266.5247362341611</v>
      </c>
      <c r="T66">
        <v>2323.1878546400148</v>
      </c>
      <c r="U66">
        <v>2381.2675510060149</v>
      </c>
      <c r="V66">
        <v>2440.7992397811649</v>
      </c>
      <c r="W66">
        <v>2501.8192207756938</v>
      </c>
      <c r="X66">
        <v>2564.364701295086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"/>
  <sheetViews>
    <sheetView workbookViewId="0">
      <selection activeCell="C6" sqref="C6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46"/>
  <sheetViews>
    <sheetView topLeftCell="A93" zoomScale="85" zoomScaleNormal="85" workbookViewId="0">
      <selection activeCell="E137" sqref="E137"/>
    </sheetView>
  </sheetViews>
  <sheetFormatPr defaultRowHeight="15" x14ac:dyDescent="0.25"/>
  <cols>
    <col min="2" max="2" width="22.42578125" bestFit="1" customWidth="1"/>
    <col min="3" max="3" width="10.5703125" bestFit="1" customWidth="1"/>
    <col min="4" max="4" width="24.140625" bestFit="1" customWidth="1"/>
    <col min="5" max="5" width="95.7109375" bestFit="1" customWidth="1"/>
    <col min="6" max="6" width="7.140625" bestFit="1" customWidth="1"/>
    <col min="7" max="7" width="11.7109375" bestFit="1" customWidth="1"/>
    <col min="8" max="8" width="22.5703125" bestFit="1" customWidth="1"/>
    <col min="9" max="9" width="17.28515625" bestFit="1" customWidth="1"/>
    <col min="10" max="10" width="15" bestFit="1" customWidth="1"/>
  </cols>
  <sheetData>
    <row r="2" spans="2:10" x14ac:dyDescent="0.25">
      <c r="B2" s="10" t="s">
        <v>349</v>
      </c>
    </row>
    <row r="3" spans="2:10" x14ac:dyDescent="0.25">
      <c r="B3" s="11" t="s">
        <v>350</v>
      </c>
      <c r="C3" s="11" t="s">
        <v>351</v>
      </c>
      <c r="D3" s="11" t="s">
        <v>352</v>
      </c>
      <c r="E3" s="11" t="s">
        <v>353</v>
      </c>
      <c r="F3" s="11" t="s">
        <v>354</v>
      </c>
      <c r="G3" s="11" t="s">
        <v>355</v>
      </c>
      <c r="H3" s="11" t="s">
        <v>356</v>
      </c>
      <c r="I3" s="11" t="s">
        <v>357</v>
      </c>
      <c r="J3" s="11" t="s">
        <v>358</v>
      </c>
    </row>
    <row r="4" spans="2:10" ht="27.6" customHeight="1" thickBot="1" x14ac:dyDescent="0.3">
      <c r="B4" s="12" t="s">
        <v>359</v>
      </c>
      <c r="C4" s="12" t="s">
        <v>351</v>
      </c>
      <c r="D4" s="12" t="s">
        <v>360</v>
      </c>
      <c r="E4" s="12" t="s">
        <v>361</v>
      </c>
      <c r="F4" s="12" t="s">
        <v>362</v>
      </c>
      <c r="G4" s="12" t="s">
        <v>363</v>
      </c>
      <c r="H4" s="12" t="s">
        <v>364</v>
      </c>
      <c r="I4" s="12" t="s">
        <v>365</v>
      </c>
      <c r="J4" s="12" t="s">
        <v>366</v>
      </c>
    </row>
    <row r="5" spans="2:10" x14ac:dyDescent="0.25">
      <c r="B5" t="str">
        <f>IF('TRA RESID'!K2=0,"*",IF(SUMIFS('TRA RESID'!R:R,'TRA RESID'!J:J,D5)=0,"*","PRE"))</f>
        <v>PRE</v>
      </c>
      <c r="C5" t="s">
        <v>367</v>
      </c>
      <c r="D5" t="str">
        <f>'TRA RESID'!J2</f>
        <v>TRAPASCARICEVGSL19</v>
      </c>
      <c r="E5" t="str">
        <f>'TRA RESID'!A2&amp;" "&amp;'TRA RESID'!B2&amp;" "&amp;'TRA RESID'!C2&amp;" "&amp;'TRA RESID'!F2</f>
        <v>Transportation Passenger Passenger Car Gasoline ICE Vehicle (spark ignition)</v>
      </c>
      <c r="F5" t="s">
        <v>368</v>
      </c>
      <c r="G5" t="str">
        <f t="shared" ref="G5:G36" si="0">F5</f>
        <v>Mvkm</v>
      </c>
    </row>
    <row r="6" spans="2:10" x14ac:dyDescent="0.25">
      <c r="B6" t="str">
        <f>IF('TRA RESID'!K3=0,"*",IF(SUMIFS('TRA RESID'!R:R,'TRA RESID'!J:J,D6)=0,"*","PRE"))</f>
        <v>*</v>
      </c>
      <c r="C6" t="s">
        <v>367</v>
      </c>
      <c r="D6" t="str">
        <f>'TRA RESID'!J3</f>
        <v>TRAPASCARICEVGSL19</v>
      </c>
      <c r="E6" t="str">
        <f>'TRA RESID'!A3&amp;" "&amp;'TRA RESID'!B3&amp;" "&amp;'TRA RESID'!C3&amp;" "&amp;'TRA RESID'!F3</f>
        <v>Transportation Passenger Passenger Car Gasoline ICE Vehicle (spark ignition)</v>
      </c>
      <c r="F6" t="s">
        <v>368</v>
      </c>
      <c r="G6" t="str">
        <f t="shared" si="0"/>
        <v>Mvkm</v>
      </c>
    </row>
    <row r="7" spans="2:10" x14ac:dyDescent="0.25">
      <c r="B7" t="str">
        <f>IF('TRA RESID'!K4=0,"*",IF(SUMIFS('TRA RESID'!R:R,'TRA RESID'!J:J,D7)=0,"*","PRE"))</f>
        <v>PRE</v>
      </c>
      <c r="C7" t="s">
        <v>367</v>
      </c>
      <c r="D7" t="str">
        <f>'TRA RESID'!J4</f>
        <v>TRAPASCARICEVDSL19</v>
      </c>
      <c r="E7" t="str">
        <f>'TRA RESID'!A4&amp;" "&amp;'TRA RESID'!B4&amp;" "&amp;'TRA RESID'!C4&amp;" "&amp;'TRA RESID'!F4</f>
        <v>Transportation Passenger Passenger Car Diesel Conventional Compression Ignition Vehicle</v>
      </c>
      <c r="F7" t="s">
        <v>368</v>
      </c>
      <c r="G7" t="str">
        <f t="shared" si="0"/>
        <v>Mvkm</v>
      </c>
    </row>
    <row r="8" spans="2:10" x14ac:dyDescent="0.25">
      <c r="B8" t="str">
        <f>IF('TRA RESID'!K5=0,"*",IF(SUMIFS('TRA RESID'!R:R,'TRA RESID'!J:J,D8)=0,"*","PRE"))</f>
        <v>*</v>
      </c>
      <c r="C8" t="s">
        <v>367</v>
      </c>
      <c r="D8" t="str">
        <f>'TRA RESID'!J5</f>
        <v>TRAPASCARICEVDSL19</v>
      </c>
      <c r="E8" t="str">
        <f>'TRA RESID'!A5&amp;" "&amp;'TRA RESID'!B5&amp;" "&amp;'TRA RESID'!C5&amp;" "&amp;'TRA RESID'!F5</f>
        <v>Transportation Passenger Passenger Car Diesel Conventional Compression Ignition Vehicle</v>
      </c>
      <c r="F8" t="s">
        <v>368</v>
      </c>
      <c r="G8" t="str">
        <f t="shared" si="0"/>
        <v>Mvkm</v>
      </c>
    </row>
    <row r="9" spans="2:10" x14ac:dyDescent="0.25">
      <c r="B9" t="str">
        <f>IF('TRA RESID'!K6=0,"*",IF(SUMIFS('TRA RESID'!R:R,'TRA RESID'!J:J,D9)=0,"*","PRE"))</f>
        <v>*</v>
      </c>
      <c r="C9" t="s">
        <v>367</v>
      </c>
      <c r="D9" t="str">
        <f>'TRA RESID'!J6</f>
        <v>TRAPASCARICEVDSL19</v>
      </c>
      <c r="E9" t="str">
        <f>'TRA RESID'!A6&amp;" "&amp;'TRA RESID'!B6&amp;" "&amp;'TRA RESID'!C6&amp;" "&amp;'TRA RESID'!F6</f>
        <v>Transportation Passenger Passenger Car Diesel Conventional Compression Ignition Vehicle</v>
      </c>
      <c r="F9" t="s">
        <v>368</v>
      </c>
      <c r="G9" t="str">
        <f t="shared" si="0"/>
        <v>Mvkm</v>
      </c>
    </row>
    <row r="10" spans="2:10" x14ac:dyDescent="0.25">
      <c r="B10" t="str">
        <f>IF('TRA RESID'!K7=0,"*",IF(SUMIFS('TRA RESID'!R:R,'TRA RESID'!J:J,D10)=0,"*","PRE"))</f>
        <v>*</v>
      </c>
      <c r="C10" t="s">
        <v>367</v>
      </c>
      <c r="D10" t="str">
        <f>'TRA RESID'!J7</f>
        <v>TRAPASCARICEVCNG19</v>
      </c>
      <c r="E10" t="str">
        <f>'TRA RESID'!A7&amp;" "&amp;'TRA RESID'!B7&amp;" "&amp;'TRA RESID'!C7&amp;" "&amp;'TRA RESID'!F7</f>
        <v>Transportation Passenger Passenger Car Compressed Natural Gas Conventional Vehicle</v>
      </c>
      <c r="F10" t="s">
        <v>368</v>
      </c>
      <c r="G10" t="str">
        <f t="shared" si="0"/>
        <v>Mvkm</v>
      </c>
    </row>
    <row r="11" spans="2:10" x14ac:dyDescent="0.25">
      <c r="B11" t="str">
        <f>IF('TRA RESID'!K8=0,"*",IF(SUMIFS('TRA RESID'!R:R,'TRA RESID'!J:J,D11)=0,"*","PRE"))</f>
        <v>*</v>
      </c>
      <c r="C11" t="s">
        <v>367</v>
      </c>
      <c r="D11" t="str">
        <f>'TRA RESID'!J8</f>
        <v>TRAPASCARICEVCNG19</v>
      </c>
      <c r="E11" t="str">
        <f>'TRA RESID'!A8&amp;" "&amp;'TRA RESID'!B8&amp;" "&amp;'TRA RESID'!C8&amp;" "&amp;'TRA RESID'!F8</f>
        <v>Transportation Passenger Passenger Car Compressed Natural Gas Conventional Vehicle</v>
      </c>
      <c r="F11" t="s">
        <v>368</v>
      </c>
      <c r="G11" t="str">
        <f t="shared" si="0"/>
        <v>Mvkm</v>
      </c>
    </row>
    <row r="12" spans="2:10" x14ac:dyDescent="0.25">
      <c r="B12" t="str">
        <f>IF('TRA RESID'!K9=0,"*",IF(SUMIFS('TRA RESID'!R:R,'TRA RESID'!J:J,D12)=0,"*","PRE"))</f>
        <v>PRE</v>
      </c>
      <c r="C12" t="s">
        <v>367</v>
      </c>
      <c r="D12" t="str">
        <f>'TRA RESID'!J9</f>
        <v>TRAPASCAR300BEV19</v>
      </c>
      <c r="E12" t="str">
        <f>'TRA RESID'!A9&amp;" "&amp;'TRA RESID'!B9&amp;" "&amp;'TRA RESID'!C9&amp;" "&amp;'TRA RESID'!F9</f>
        <v>Transportation Passenger Passenger Car Battery Electric Vehicle (300-mile range)</v>
      </c>
      <c r="F12" t="s">
        <v>368</v>
      </c>
      <c r="G12" t="str">
        <f t="shared" si="0"/>
        <v>Mvkm</v>
      </c>
    </row>
    <row r="13" spans="2:10" x14ac:dyDescent="0.25">
      <c r="B13" t="str">
        <f>IF('TRA RESID'!K10=0,"*",IF(SUMIFS('TRA RESID'!R:R,'TRA RESID'!J:J,D13)=0,"*","PRE"))</f>
        <v>*</v>
      </c>
      <c r="C13" t="s">
        <v>367</v>
      </c>
      <c r="D13" t="str">
        <f>'TRA RESID'!J10</f>
        <v>TRAPASCAR300FCEV19</v>
      </c>
      <c r="E13" t="str">
        <f>'TRA RESID'!A10&amp;" "&amp;'TRA RESID'!B10&amp;" "&amp;'TRA RESID'!C10&amp;" "&amp;'TRA RESID'!F10</f>
        <v>Transportation Passenger Passenger Car Hydrogen Fuel Cell Electric Vehicle (300-mile range)</v>
      </c>
      <c r="F13" t="s">
        <v>368</v>
      </c>
      <c r="G13" t="str">
        <f t="shared" si="0"/>
        <v>Mvkm</v>
      </c>
    </row>
    <row r="14" spans="2:10" x14ac:dyDescent="0.25">
      <c r="B14" t="str">
        <f>IF('TRA RESID'!K11=0,"*",IF(SUMIFS('TRA RESID'!R:R,'TRA RESID'!J:J,D14)=0,"*","PRE"))</f>
        <v>*</v>
      </c>
      <c r="C14" t="s">
        <v>367</v>
      </c>
      <c r="D14" t="str">
        <f>'TRA RESID'!J11</f>
        <v>TRAPASLDTICEVGSL19</v>
      </c>
      <c r="E14" t="str">
        <f>'TRA RESID'!A11&amp;" "&amp;'TRA RESID'!B11&amp;" "&amp;'TRA RESID'!C11&amp;" "&amp;'TRA RESID'!F11</f>
        <v>Transportation Passenger Passenger Truck Gasoline ICE Vehicle (spark ignition)</v>
      </c>
      <c r="F14" t="s">
        <v>368</v>
      </c>
      <c r="G14" t="str">
        <f t="shared" si="0"/>
        <v>Mvkm</v>
      </c>
    </row>
    <row r="15" spans="2:10" x14ac:dyDescent="0.25">
      <c r="B15" t="str">
        <f>IF('TRA RESID'!K12=0,"*",IF(SUMIFS('TRA RESID'!R:R,'TRA RESID'!J:J,D15)=0,"*","PRE"))</f>
        <v>*</v>
      </c>
      <c r="C15" t="s">
        <v>367</v>
      </c>
      <c r="D15" t="str">
        <f>'TRA RESID'!J12</f>
        <v>TRAPASLDTICEVGSL19</v>
      </c>
      <c r="E15" t="str">
        <f>'TRA RESID'!A12&amp;" "&amp;'TRA RESID'!B12&amp;" "&amp;'TRA RESID'!C12&amp;" "&amp;'TRA RESID'!F12</f>
        <v>Transportation Passenger Passenger Truck Gasoline ICE Vehicle (spark ignition)</v>
      </c>
      <c r="F15" t="s">
        <v>368</v>
      </c>
      <c r="G15" t="str">
        <f t="shared" si="0"/>
        <v>Mvkm</v>
      </c>
    </row>
    <row r="16" spans="2:10" x14ac:dyDescent="0.25">
      <c r="B16" t="str">
        <f>IF('TRA RESID'!K13=0,"*",IF(SUMIFS('TRA RESID'!R:R,'TRA RESID'!J:J,D16)=0,"*","PRE"))</f>
        <v>*</v>
      </c>
      <c r="C16" t="s">
        <v>367</v>
      </c>
      <c r="D16" t="str">
        <f>'TRA RESID'!J13</f>
        <v>TRAPASLDTICEVDSL19</v>
      </c>
      <c r="E16" t="str">
        <f>'TRA RESID'!A13&amp;" "&amp;'TRA RESID'!B13&amp;" "&amp;'TRA RESID'!C13&amp;" "&amp;'TRA RESID'!F13</f>
        <v>Transportation Passenger Passenger Truck Diesel Conventional Compression Ignition Vehicle</v>
      </c>
      <c r="F16" t="s">
        <v>368</v>
      </c>
      <c r="G16" t="str">
        <f t="shared" si="0"/>
        <v>Mvkm</v>
      </c>
    </row>
    <row r="17" spans="2:7" x14ac:dyDescent="0.25">
      <c r="B17" t="str">
        <f>IF('TRA RESID'!K14=0,"*",IF(SUMIFS('TRA RESID'!R:R,'TRA RESID'!J:J,D17)=0,"*","PRE"))</f>
        <v>*</v>
      </c>
      <c r="C17" t="s">
        <v>367</v>
      </c>
      <c r="D17" t="str">
        <f>'TRA RESID'!J14</f>
        <v>TRAPASLDTICEVDSL19</v>
      </c>
      <c r="E17" t="str">
        <f>'TRA RESID'!A14&amp;" "&amp;'TRA RESID'!B14&amp;" "&amp;'TRA RESID'!C14&amp;" "&amp;'TRA RESID'!F14</f>
        <v>Transportation Passenger Passenger Truck Diesel Conventional Compression Ignition Vehicle</v>
      </c>
      <c r="F17" t="s">
        <v>368</v>
      </c>
      <c r="G17" t="str">
        <f t="shared" si="0"/>
        <v>Mvkm</v>
      </c>
    </row>
    <row r="18" spans="2:7" x14ac:dyDescent="0.25">
      <c r="B18" t="str">
        <f>IF('TRA RESID'!K15=0,"*",IF(SUMIFS('TRA RESID'!R:R,'TRA RESID'!J:J,D18)=0,"*","PRE"))</f>
        <v>*</v>
      </c>
      <c r="C18" t="s">
        <v>367</v>
      </c>
      <c r="D18" t="str">
        <f>'TRA RESID'!J15</f>
        <v>TRAPASLDTICEVDSL19</v>
      </c>
      <c r="E18" t="str">
        <f>'TRA RESID'!A15&amp;" "&amp;'TRA RESID'!B15&amp;" "&amp;'TRA RESID'!C15&amp;" "&amp;'TRA RESID'!F15</f>
        <v>Transportation Passenger Passenger Truck Diesel Conventional Compression Ignition Vehicle</v>
      </c>
      <c r="F18" t="s">
        <v>368</v>
      </c>
      <c r="G18" t="str">
        <f t="shared" si="0"/>
        <v>Mvkm</v>
      </c>
    </row>
    <row r="19" spans="2:7" x14ac:dyDescent="0.25">
      <c r="B19" t="str">
        <f>IF('TRA RESID'!K16=0,"*",IF(SUMIFS('TRA RESID'!R:R,'TRA RESID'!J:J,D19)=0,"*","PRE"))</f>
        <v>*</v>
      </c>
      <c r="C19" t="s">
        <v>367</v>
      </c>
      <c r="D19" t="str">
        <f>'TRA RESID'!J16</f>
        <v>TRAPASLDTICEVCNG19</v>
      </c>
      <c r="E19" t="str">
        <f>'TRA RESID'!A16&amp;" "&amp;'TRA RESID'!B16&amp;" "&amp;'TRA RESID'!C16&amp;" "&amp;'TRA RESID'!F16</f>
        <v>Transportation Passenger Passenger Truck Compressed Natural Gas Conventional Vehicle</v>
      </c>
      <c r="F19" t="s">
        <v>368</v>
      </c>
      <c r="G19" t="str">
        <f t="shared" si="0"/>
        <v>Mvkm</v>
      </c>
    </row>
    <row r="20" spans="2:7" x14ac:dyDescent="0.25">
      <c r="B20" t="str">
        <f>IF('TRA RESID'!K17=0,"*",IF(SUMIFS('TRA RESID'!R:R,'TRA RESID'!J:J,D20)=0,"*","PRE"))</f>
        <v>*</v>
      </c>
      <c r="C20" t="s">
        <v>367</v>
      </c>
      <c r="D20" t="str">
        <f>'TRA RESID'!J17</f>
        <v>TRAPASLDTICEVCNG19</v>
      </c>
      <c r="E20" t="str">
        <f>'TRA RESID'!A17&amp;" "&amp;'TRA RESID'!B17&amp;" "&amp;'TRA RESID'!C17&amp;" "&amp;'TRA RESID'!F17</f>
        <v>Transportation Passenger Passenger Truck Compressed Natural Gas Conventional Vehicle</v>
      </c>
      <c r="F20" t="s">
        <v>368</v>
      </c>
      <c r="G20" t="str">
        <f t="shared" si="0"/>
        <v>Mvkm</v>
      </c>
    </row>
    <row r="21" spans="2:7" x14ac:dyDescent="0.25">
      <c r="B21" t="str">
        <f>IF('TRA RESID'!K18=0,"*",IF(SUMIFS('TRA RESID'!R:R,'TRA RESID'!J:J,D21)=0,"*","PRE"))</f>
        <v>*</v>
      </c>
      <c r="C21" t="s">
        <v>367</v>
      </c>
      <c r="D21" t="str">
        <f>'TRA RESID'!J18</f>
        <v>TRAPASLDT300BEV19</v>
      </c>
      <c r="E21" t="str">
        <f>'TRA RESID'!A18&amp;" "&amp;'TRA RESID'!B18&amp;" "&amp;'TRA RESID'!C18&amp;" "&amp;'TRA RESID'!F18</f>
        <v>Transportation Passenger Passenger Truck Battery Electric Vehicle (300-mile range)</v>
      </c>
      <c r="F21" t="s">
        <v>368</v>
      </c>
      <c r="G21" t="str">
        <f t="shared" si="0"/>
        <v>Mvkm</v>
      </c>
    </row>
    <row r="22" spans="2:7" x14ac:dyDescent="0.25">
      <c r="B22" t="str">
        <f>IF('TRA RESID'!K19=0,"*",IF(SUMIFS('TRA RESID'!R:R,'TRA RESID'!J:J,D22)=0,"*","PRE"))</f>
        <v>*</v>
      </c>
      <c r="C22" t="s">
        <v>367</v>
      </c>
      <c r="D22" t="str">
        <f>'TRA RESID'!J19</f>
        <v>TRAPASLDT300FCEV19</v>
      </c>
      <c r="E22" t="str">
        <f>'TRA RESID'!A19&amp;" "&amp;'TRA RESID'!B19&amp;" "&amp;'TRA RESID'!C19&amp;" "&amp;'TRA RESID'!F19</f>
        <v>Transportation Passenger Passenger Truck Hydrogen Fuel Cell Electric Vehicle (300-mile range)</v>
      </c>
      <c r="F22" t="s">
        <v>368</v>
      </c>
      <c r="G22" t="str">
        <f t="shared" si="0"/>
        <v>Mvkm</v>
      </c>
    </row>
    <row r="23" spans="2:7" x14ac:dyDescent="0.25">
      <c r="B23" t="str">
        <f>IF('TRA RESID'!K20=0,"*",IF(SUMIFS('TRA RESID'!R:R,'TRA RESID'!J:J,D23)=0,"*","PRE"))</f>
        <v>*</v>
      </c>
      <c r="C23" t="s">
        <v>367</v>
      </c>
      <c r="D23" t="str">
        <f>'TRA RESID'!J20</f>
        <v>TRAPASMOTICEVGSL19</v>
      </c>
      <c r="E23" t="str">
        <f>'TRA RESID'!A20&amp;" "&amp;'TRA RESID'!B20&amp;" "&amp;'TRA RESID'!C20&amp;" "&amp;'TRA RESID'!F20</f>
        <v>Transportation Passenger Motorcycle Gasoline ICE Vehicle (spark ignition)</v>
      </c>
      <c r="F23" t="s">
        <v>368</v>
      </c>
      <c r="G23" t="str">
        <f t="shared" si="0"/>
        <v>Mvkm</v>
      </c>
    </row>
    <row r="24" spans="2:7" x14ac:dyDescent="0.25">
      <c r="B24" t="str">
        <f>IF('TRA RESID'!K21=0,"*",IF(SUMIFS('TRA RESID'!R:R,'TRA RESID'!J:J,D24)=0,"*","PRE"))</f>
        <v>*</v>
      </c>
      <c r="C24" t="s">
        <v>367</v>
      </c>
      <c r="D24" t="str">
        <f>'TRA RESID'!J21</f>
        <v>TRAPASMOTICEVGSL19</v>
      </c>
      <c r="E24" t="str">
        <f>'TRA RESID'!A21&amp;" "&amp;'TRA RESID'!B21&amp;" "&amp;'TRA RESID'!C21&amp;" "&amp;'TRA RESID'!F21</f>
        <v>Transportation Passenger Motorcycle Gasoline ICE Vehicle (spark ignition)</v>
      </c>
      <c r="F24" t="s">
        <v>368</v>
      </c>
      <c r="G24" t="str">
        <f t="shared" si="0"/>
        <v>Mvkm</v>
      </c>
    </row>
    <row r="25" spans="2:7" x14ac:dyDescent="0.25">
      <c r="B25" t="str">
        <f>IF('TRA RESID'!K22=0,"*",IF(SUMIFS('TRA RESID'!R:R,'TRA RESID'!J:J,D25)=0,"*","PRE"))</f>
        <v>*</v>
      </c>
      <c r="C25" t="s">
        <v>367</v>
      </c>
      <c r="D25" t="str">
        <f>'TRA RESID'!J22</f>
        <v>TRAPASMOTICEVDSL19</v>
      </c>
      <c r="E25" t="str">
        <f>'TRA RESID'!A22&amp;" "&amp;'TRA RESID'!B22&amp;" "&amp;'TRA RESID'!C22&amp;" "&amp;'TRA RESID'!F22</f>
        <v>Transportation Passenger Motorcycle Diesel Conventional Compression Ignition Vehicle</v>
      </c>
      <c r="F25" t="s">
        <v>368</v>
      </c>
      <c r="G25" t="str">
        <f t="shared" si="0"/>
        <v>Mvkm</v>
      </c>
    </row>
    <row r="26" spans="2:7" x14ac:dyDescent="0.25">
      <c r="B26" t="str">
        <f>IF('TRA RESID'!K23=0,"*",IF(SUMIFS('TRA RESID'!R:R,'TRA RESID'!J:J,D26)=0,"*","PRE"))</f>
        <v>*</v>
      </c>
      <c r="C26" t="s">
        <v>367</v>
      </c>
      <c r="D26" t="str">
        <f>'TRA RESID'!J23</f>
        <v>TRAPASMOTICEVDSL19</v>
      </c>
      <c r="E26" t="str">
        <f>'TRA RESID'!A23&amp;" "&amp;'TRA RESID'!B23&amp;" "&amp;'TRA RESID'!C23&amp;" "&amp;'TRA RESID'!F23</f>
        <v>Transportation Passenger Motorcycle Diesel Conventional Compression Ignition Vehicle</v>
      </c>
      <c r="F26" t="s">
        <v>368</v>
      </c>
      <c r="G26" t="str">
        <f t="shared" si="0"/>
        <v>Mvkm</v>
      </c>
    </row>
    <row r="27" spans="2:7" x14ac:dyDescent="0.25">
      <c r="B27" t="str">
        <f>IF('TRA RESID'!K24=0,"*",IF(SUMIFS('TRA RESID'!R:R,'TRA RESID'!J:J,D27)=0,"*","PRE"))</f>
        <v>*</v>
      </c>
      <c r="C27" t="s">
        <v>367</v>
      </c>
      <c r="D27" t="str">
        <f>'TRA RESID'!J24</f>
        <v>TRAPASMOTICEVDSL19</v>
      </c>
      <c r="E27" t="str">
        <f>'TRA RESID'!A24&amp;" "&amp;'TRA RESID'!B24&amp;" "&amp;'TRA RESID'!C24&amp;" "&amp;'TRA RESID'!F24</f>
        <v>Transportation Passenger Motorcycle Diesel Conventional Compression Ignition Vehicle</v>
      </c>
      <c r="F27" t="s">
        <v>368</v>
      </c>
      <c r="G27" t="str">
        <f t="shared" si="0"/>
        <v>Mvkm</v>
      </c>
    </row>
    <row r="28" spans="2:7" x14ac:dyDescent="0.25">
      <c r="B28" t="str">
        <f>IF('TRA RESID'!K25=0,"*",IF(SUMIFS('TRA RESID'!R:R,'TRA RESID'!J:J,D28)=0,"*","PRE"))</f>
        <v>*</v>
      </c>
      <c r="C28" t="s">
        <v>367</v>
      </c>
      <c r="D28" t="str">
        <f>'TRA RESID'!J25</f>
        <v>TRAPASMOTICEVCNG19</v>
      </c>
      <c r="E28" t="str">
        <f>'TRA RESID'!A25&amp;" "&amp;'TRA RESID'!B25&amp;" "&amp;'TRA RESID'!C25&amp;" "&amp;'TRA RESID'!F25</f>
        <v>Transportation Passenger Motorcycle Compressed Natural Gas Conventional Vehicle</v>
      </c>
      <c r="F28" t="s">
        <v>368</v>
      </c>
      <c r="G28" t="str">
        <f t="shared" si="0"/>
        <v>Mvkm</v>
      </c>
    </row>
    <row r="29" spans="2:7" x14ac:dyDescent="0.25">
      <c r="B29" t="str">
        <f>IF('TRA RESID'!K26=0,"*",IF(SUMIFS('TRA RESID'!R:R,'TRA RESID'!J:J,D29)=0,"*","PRE"))</f>
        <v>*</v>
      </c>
      <c r="C29" t="s">
        <v>367</v>
      </c>
      <c r="D29" t="str">
        <f>'TRA RESID'!J26</f>
        <v>TRAPASMOTICEVCNG19</v>
      </c>
      <c r="E29" t="str">
        <f>'TRA RESID'!A26&amp;" "&amp;'TRA RESID'!B26&amp;" "&amp;'TRA RESID'!C26&amp;" "&amp;'TRA RESID'!F26</f>
        <v>Transportation Passenger Motorcycle Compressed Natural Gas Conventional Vehicle</v>
      </c>
      <c r="F29" t="s">
        <v>368</v>
      </c>
      <c r="G29" t="str">
        <f t="shared" si="0"/>
        <v>Mvkm</v>
      </c>
    </row>
    <row r="30" spans="2:7" x14ac:dyDescent="0.25">
      <c r="B30" t="str">
        <f>IF('TRA RESID'!K27=0,"*",IF(SUMIFS('TRA RESID'!R:R,'TRA RESID'!J:J,D30)=0,"*","PRE"))</f>
        <v>*</v>
      </c>
      <c r="C30" t="s">
        <v>367</v>
      </c>
      <c r="D30" t="str">
        <f>'TRA RESID'!J27</f>
        <v>TRAPASMOT300BEV19</v>
      </c>
      <c r="E30" t="str">
        <f>'TRA RESID'!A27&amp;" "&amp;'TRA RESID'!B27&amp;" "&amp;'TRA RESID'!C27&amp;" "&amp;'TRA RESID'!F27</f>
        <v>Transportation Passenger Motorcycle Battery Electric Vehicle (300-mile range)</v>
      </c>
      <c r="F30" t="s">
        <v>368</v>
      </c>
      <c r="G30" t="str">
        <f t="shared" si="0"/>
        <v>Mvkm</v>
      </c>
    </row>
    <row r="31" spans="2:7" x14ac:dyDescent="0.25">
      <c r="B31" t="str">
        <f>IF('TRA RESID'!K28=0,"*",IF(SUMIFS('TRA RESID'!R:R,'TRA RESID'!J:J,D31)=0,"*","PRE"))</f>
        <v>*</v>
      </c>
      <c r="C31" t="s">
        <v>367</v>
      </c>
      <c r="D31" t="str">
        <f>'TRA RESID'!J28</f>
        <v>TRAPASMOT300FCEV19</v>
      </c>
      <c r="E31" t="str">
        <f>'TRA RESID'!A28&amp;" "&amp;'TRA RESID'!B28&amp;" "&amp;'TRA RESID'!C28&amp;" "&amp;'TRA RESID'!F28</f>
        <v>Transportation Passenger Motorcycle Hydrogen Fuel Cell Electric Vehicle (300-mile range)</v>
      </c>
      <c r="F31" t="s">
        <v>368</v>
      </c>
      <c r="G31" t="str">
        <f t="shared" si="0"/>
        <v>Mvkm</v>
      </c>
    </row>
    <row r="32" spans="2:7" x14ac:dyDescent="0.25">
      <c r="B32" t="str">
        <f>IF('TRA RESID'!K29=0,"*",IF(SUMIFS('TRA RESID'!R:R,'TRA RESID'!J:J,D32)=0,"*","PRE"))</f>
        <v>PRE</v>
      </c>
      <c r="C32" t="s">
        <v>367</v>
      </c>
      <c r="D32" t="str">
        <f>'TRA RESID'!J29</f>
        <v>TRAFRECLTICEVGSL19</v>
      </c>
      <c r="E32" t="str">
        <f>'TRA RESID'!A29&amp;" "&amp;'TRA RESID'!B29&amp;" "&amp;'TRA RESID'!C29&amp;" "&amp;'TRA RESID'!F29</f>
        <v>Transportation Freight Light Commercial Truck Gasoline ICE Vehicle (spark ignition)</v>
      </c>
      <c r="F32" t="s">
        <v>368</v>
      </c>
      <c r="G32" t="str">
        <f t="shared" si="0"/>
        <v>Mvkm</v>
      </c>
    </row>
    <row r="33" spans="2:7" x14ac:dyDescent="0.25">
      <c r="B33" t="str">
        <f>IF('TRA RESID'!K30=0,"*",IF(SUMIFS('TRA RESID'!R:R,'TRA RESID'!J:J,D33)=0,"*","PRE"))</f>
        <v>*</v>
      </c>
      <c r="C33" t="s">
        <v>367</v>
      </c>
      <c r="D33" t="str">
        <f>'TRA RESID'!J30</f>
        <v>TRAFRECLTICEVGSL19</v>
      </c>
      <c r="E33" t="str">
        <f>'TRA RESID'!A30&amp;" "&amp;'TRA RESID'!B30&amp;" "&amp;'TRA RESID'!C30&amp;" "&amp;'TRA RESID'!F30</f>
        <v>Transportation Freight Light Commercial Truck Gasoline ICE Vehicle (spark ignition)</v>
      </c>
      <c r="F33" t="s">
        <v>368</v>
      </c>
      <c r="G33" t="str">
        <f t="shared" si="0"/>
        <v>Mvkm</v>
      </c>
    </row>
    <row r="34" spans="2:7" x14ac:dyDescent="0.25">
      <c r="B34" t="str">
        <f>IF('TRA RESID'!K31=0,"*",IF(SUMIFS('TRA RESID'!R:R,'TRA RESID'!J:J,D34)=0,"*","PRE"))</f>
        <v>PRE</v>
      </c>
      <c r="C34" t="s">
        <v>367</v>
      </c>
      <c r="D34" t="str">
        <f>'TRA RESID'!J31</f>
        <v>TRAFRECLTICEVDSL19</v>
      </c>
      <c r="E34" t="str">
        <f>'TRA RESID'!A31&amp;" "&amp;'TRA RESID'!B31&amp;" "&amp;'TRA RESID'!C31&amp;" "&amp;'TRA RESID'!F31</f>
        <v>Transportation Freight Light Commercial Truck Diesel Conventional Compression Ignition Vehicle</v>
      </c>
      <c r="F34" t="s">
        <v>368</v>
      </c>
      <c r="G34" t="str">
        <f t="shared" si="0"/>
        <v>Mvkm</v>
      </c>
    </row>
    <row r="35" spans="2:7" x14ac:dyDescent="0.25">
      <c r="B35" t="str">
        <f>IF('TRA RESID'!K32=0,"*",IF(SUMIFS('TRA RESID'!R:R,'TRA RESID'!J:J,D35)=0,"*","PRE"))</f>
        <v>*</v>
      </c>
      <c r="C35" t="s">
        <v>367</v>
      </c>
      <c r="D35" t="str">
        <f>'TRA RESID'!J32</f>
        <v>TRAFRECLTICEVDSL19</v>
      </c>
      <c r="E35" t="str">
        <f>'TRA RESID'!A32&amp;" "&amp;'TRA RESID'!B32&amp;" "&amp;'TRA RESID'!C32&amp;" "&amp;'TRA RESID'!F32</f>
        <v>Transportation Freight Light Commercial Truck Diesel Conventional Compression Ignition Vehicle</v>
      </c>
      <c r="F35" t="s">
        <v>368</v>
      </c>
      <c r="G35" t="str">
        <f t="shared" si="0"/>
        <v>Mvkm</v>
      </c>
    </row>
    <row r="36" spans="2:7" x14ac:dyDescent="0.25">
      <c r="B36" t="str">
        <f>IF('TRA RESID'!K33=0,"*",IF(SUMIFS('TRA RESID'!R:R,'TRA RESID'!J:J,D36)=0,"*","PRE"))</f>
        <v>*</v>
      </c>
      <c r="C36" t="s">
        <v>367</v>
      </c>
      <c r="D36" t="str">
        <f>'TRA RESID'!J33</f>
        <v>TRAFRECLTICEVDSL19</v>
      </c>
      <c r="E36" t="str">
        <f>'TRA RESID'!A33&amp;" "&amp;'TRA RESID'!B33&amp;" "&amp;'TRA RESID'!C33&amp;" "&amp;'TRA RESID'!F33</f>
        <v>Transportation Freight Light Commercial Truck Diesel Conventional Compression Ignition Vehicle</v>
      </c>
      <c r="F36" t="s">
        <v>368</v>
      </c>
      <c r="G36" t="str">
        <f t="shared" si="0"/>
        <v>Mvkm</v>
      </c>
    </row>
    <row r="37" spans="2:7" x14ac:dyDescent="0.25">
      <c r="B37" t="str">
        <f>IF('TRA RESID'!K34=0,"*",IF(SUMIFS('TRA RESID'!R:R,'TRA RESID'!J:J,D37)=0,"*","PRE"))</f>
        <v>PRE</v>
      </c>
      <c r="C37" t="s">
        <v>367</v>
      </c>
      <c r="D37" t="str">
        <f>'TRA RESID'!J34</f>
        <v>TRAFRECLTICEVCNG19</v>
      </c>
      <c r="E37" t="str">
        <f>'TRA RESID'!A34&amp;" "&amp;'TRA RESID'!B34&amp;" "&amp;'TRA RESID'!C34&amp;" "&amp;'TRA RESID'!F34</f>
        <v>Transportation Freight Light Commercial Truck Compressed Natural Gas Conventional Vehicle</v>
      </c>
      <c r="F37" t="s">
        <v>368</v>
      </c>
      <c r="G37" t="str">
        <f t="shared" ref="G37:G68" si="1">F37</f>
        <v>Mvkm</v>
      </c>
    </row>
    <row r="38" spans="2:7" x14ac:dyDescent="0.25">
      <c r="B38" t="str">
        <f>IF('TRA RESID'!K35=0,"*",IF(SUMIFS('TRA RESID'!R:R,'TRA RESID'!J:J,D38)=0,"*","PRE"))</f>
        <v>*</v>
      </c>
      <c r="C38" t="s">
        <v>367</v>
      </c>
      <c r="D38" t="str">
        <f>'TRA RESID'!J35</f>
        <v>TRAFRECLTICEVCNG19</v>
      </c>
      <c r="E38" t="str">
        <f>'TRA RESID'!A35&amp;" "&amp;'TRA RESID'!B35&amp;" "&amp;'TRA RESID'!C35&amp;" "&amp;'TRA RESID'!F35</f>
        <v>Transportation Freight Light Commercial Truck Compressed Natural Gas Conventional Vehicle</v>
      </c>
      <c r="F38" t="s">
        <v>368</v>
      </c>
      <c r="G38" t="str">
        <f t="shared" si="1"/>
        <v>Mvkm</v>
      </c>
    </row>
    <row r="39" spans="2:7" x14ac:dyDescent="0.25">
      <c r="B39" t="str">
        <f>IF('TRA RESID'!K36=0,"*",IF(SUMIFS('TRA RESID'!R:R,'TRA RESID'!J:J,D39)=0,"*","PRE"))</f>
        <v>PRE</v>
      </c>
      <c r="C39" t="s">
        <v>367</v>
      </c>
      <c r="D39" t="str">
        <f>'TRA RESID'!J36</f>
        <v>TRAFRECLT300BEV19</v>
      </c>
      <c r="E39" t="str">
        <f>'TRA RESID'!A36&amp;" "&amp;'TRA RESID'!B36&amp;" "&amp;'TRA RESID'!C36&amp;" "&amp;'TRA RESID'!F36</f>
        <v>Transportation Freight Light Commercial Truck Battery Electric Vehicle (300-mile range)</v>
      </c>
      <c r="F39" t="s">
        <v>368</v>
      </c>
      <c r="G39" t="str">
        <f t="shared" si="1"/>
        <v>Mvkm</v>
      </c>
    </row>
    <row r="40" spans="2:7" x14ac:dyDescent="0.25">
      <c r="B40" t="str">
        <f>IF('TRA RESID'!K37=0,"*",IF(SUMIFS('TRA RESID'!R:R,'TRA RESID'!J:J,D40)=0,"*","PRE"))</f>
        <v>*</v>
      </c>
      <c r="C40" t="s">
        <v>367</v>
      </c>
      <c r="D40" t="str">
        <f>'TRA RESID'!J37</f>
        <v>TRAFRECLT300FCEV19</v>
      </c>
      <c r="E40" t="str">
        <f>'TRA RESID'!A37&amp;" "&amp;'TRA RESID'!B37&amp;" "&amp;'TRA RESID'!C37&amp;" "&amp;'TRA RESID'!F37</f>
        <v>Transportation Freight Light Commercial Truck Hydrogen Fuel Cell Electric Vehicle (300-mile range)</v>
      </c>
      <c r="F40" t="s">
        <v>368</v>
      </c>
      <c r="G40" t="str">
        <f t="shared" si="1"/>
        <v>Mvkm</v>
      </c>
    </row>
    <row r="41" spans="2:7" x14ac:dyDescent="0.25">
      <c r="B41" t="str">
        <f>IF('TRA RESID'!K38=0,"*",IF(SUMIFS('TRA RESID'!R:R,'TRA RESID'!J:J,D41)=0,"*","PRE"))</f>
        <v>PRE</v>
      </c>
      <c r="C41" t="s">
        <v>367</v>
      </c>
      <c r="D41" t="str">
        <f>'TRA RESID'!J38</f>
        <v>TRAFRERFTICEVGSL19</v>
      </c>
      <c r="E41" t="str">
        <f>'TRA RESID'!A38&amp;" "&amp;'TRA RESID'!B38&amp;" "&amp;'TRA RESID'!C38&amp;" "&amp;'TRA RESID'!F38</f>
        <v>Transportation Freight Refuse Truck Gasoline ICE Vehicle (spark ignition)</v>
      </c>
      <c r="F41" t="s">
        <v>368</v>
      </c>
      <c r="G41" t="str">
        <f t="shared" si="1"/>
        <v>Mvkm</v>
      </c>
    </row>
    <row r="42" spans="2:7" x14ac:dyDescent="0.25">
      <c r="B42" t="str">
        <f>IF('TRA RESID'!K39=0,"*",IF(SUMIFS('TRA RESID'!R:R,'TRA RESID'!J:J,D42)=0,"*","PRE"))</f>
        <v>*</v>
      </c>
      <c r="C42" t="s">
        <v>367</v>
      </c>
      <c r="D42" t="str">
        <f>'TRA RESID'!J39</f>
        <v>TRAFRERFTICEVGSL19</v>
      </c>
      <c r="E42" t="str">
        <f>'TRA RESID'!A39&amp;" "&amp;'TRA RESID'!B39&amp;" "&amp;'TRA RESID'!C39&amp;" "&amp;'TRA RESID'!F39</f>
        <v>Transportation Freight Refuse Truck Gasoline ICE Vehicle (spark ignition)</v>
      </c>
      <c r="F42" t="s">
        <v>368</v>
      </c>
      <c r="G42" t="str">
        <f t="shared" si="1"/>
        <v>Mvkm</v>
      </c>
    </row>
    <row r="43" spans="2:7" x14ac:dyDescent="0.25">
      <c r="B43" t="str">
        <f>IF('TRA RESID'!K40=0,"*",IF(SUMIFS('TRA RESID'!R:R,'TRA RESID'!J:J,D43)=0,"*","PRE"))</f>
        <v>PRE</v>
      </c>
      <c r="C43" t="s">
        <v>367</v>
      </c>
      <c r="D43" t="str">
        <f>'TRA RESID'!J40</f>
        <v>TRAFRERFTICEVDSL19</v>
      </c>
      <c r="E43" t="str">
        <f>'TRA RESID'!A40&amp;" "&amp;'TRA RESID'!B40&amp;" "&amp;'TRA RESID'!C40&amp;" "&amp;'TRA RESID'!F40</f>
        <v>Transportation Freight Refuse Truck Diesel Conventional Compression Ignition Vehicle</v>
      </c>
      <c r="F43" t="s">
        <v>368</v>
      </c>
      <c r="G43" t="str">
        <f t="shared" si="1"/>
        <v>Mvkm</v>
      </c>
    </row>
    <row r="44" spans="2:7" x14ac:dyDescent="0.25">
      <c r="B44" t="str">
        <f>IF('TRA RESID'!K41=0,"*",IF(SUMIFS('TRA RESID'!R:R,'TRA RESID'!J:J,D44)=0,"*","PRE"))</f>
        <v>*</v>
      </c>
      <c r="C44" t="s">
        <v>367</v>
      </c>
      <c r="D44" t="str">
        <f>'TRA RESID'!J41</f>
        <v>TRAFRERFTICEVDSL19</v>
      </c>
      <c r="E44" t="str">
        <f>'TRA RESID'!A41&amp;" "&amp;'TRA RESID'!B41&amp;" "&amp;'TRA RESID'!C41&amp;" "&amp;'TRA RESID'!F41</f>
        <v>Transportation Freight Refuse Truck Diesel Conventional Compression Ignition Vehicle</v>
      </c>
      <c r="F44" t="s">
        <v>368</v>
      </c>
      <c r="G44" t="str">
        <f t="shared" si="1"/>
        <v>Mvkm</v>
      </c>
    </row>
    <row r="45" spans="2:7" x14ac:dyDescent="0.25">
      <c r="B45" t="str">
        <f>IF('TRA RESID'!K42=0,"*",IF(SUMIFS('TRA RESID'!R:R,'TRA RESID'!J:J,D45)=0,"*","PRE"))</f>
        <v>*</v>
      </c>
      <c r="C45" t="s">
        <v>367</v>
      </c>
      <c r="D45" t="str">
        <f>'TRA RESID'!J42</f>
        <v>TRAFRERFTICEVDSL19</v>
      </c>
      <c r="E45" t="str">
        <f>'TRA RESID'!A42&amp;" "&amp;'TRA RESID'!B42&amp;" "&amp;'TRA RESID'!C42&amp;" "&amp;'TRA RESID'!F42</f>
        <v>Transportation Freight Refuse Truck Diesel Conventional Compression Ignition Vehicle</v>
      </c>
      <c r="F45" t="s">
        <v>368</v>
      </c>
      <c r="G45" t="str">
        <f t="shared" si="1"/>
        <v>Mvkm</v>
      </c>
    </row>
    <row r="46" spans="2:7" x14ac:dyDescent="0.25">
      <c r="B46" t="str">
        <f>IF('TRA RESID'!K43=0,"*",IF(SUMIFS('TRA RESID'!R:R,'TRA RESID'!J:J,D46)=0,"*","PRE"))</f>
        <v>PRE</v>
      </c>
      <c r="C46" t="s">
        <v>367</v>
      </c>
      <c r="D46" t="str">
        <f>'TRA RESID'!J43</f>
        <v>TRAFRERFTICEVCNG19</v>
      </c>
      <c r="E46" t="str">
        <f>'TRA RESID'!A43&amp;" "&amp;'TRA RESID'!B43&amp;" "&amp;'TRA RESID'!C43&amp;" "&amp;'TRA RESID'!F43</f>
        <v>Transportation Freight Refuse Truck Compressed Natural Gas Conventional Vehicle</v>
      </c>
      <c r="F46" t="s">
        <v>368</v>
      </c>
      <c r="G46" t="str">
        <f t="shared" si="1"/>
        <v>Mvkm</v>
      </c>
    </row>
    <row r="47" spans="2:7" x14ac:dyDescent="0.25">
      <c r="B47" t="str">
        <f>IF('TRA RESID'!K44=0,"*",IF(SUMIFS('TRA RESID'!R:R,'TRA RESID'!J:J,D47)=0,"*","PRE"))</f>
        <v>*</v>
      </c>
      <c r="C47" t="s">
        <v>367</v>
      </c>
      <c r="D47" t="str">
        <f>'TRA RESID'!J44</f>
        <v>TRAFRERFTICEVCNG19</v>
      </c>
      <c r="E47" t="str">
        <f>'TRA RESID'!A44&amp;" "&amp;'TRA RESID'!B44&amp;" "&amp;'TRA RESID'!C44&amp;" "&amp;'TRA RESID'!F44</f>
        <v>Transportation Freight Refuse Truck Compressed Natural Gas Conventional Vehicle</v>
      </c>
      <c r="F47" t="s">
        <v>368</v>
      </c>
      <c r="G47" t="str">
        <f t="shared" si="1"/>
        <v>Mvkm</v>
      </c>
    </row>
    <row r="48" spans="2:7" x14ac:dyDescent="0.25">
      <c r="B48" t="str">
        <f>IF('TRA RESID'!K45=0,"*",IF(SUMIFS('TRA RESID'!R:R,'TRA RESID'!J:J,D48)=0,"*","PRE"))</f>
        <v>*</v>
      </c>
      <c r="C48" t="s">
        <v>367</v>
      </c>
      <c r="D48" t="str">
        <f>'TRA RESID'!J45</f>
        <v>TRAFRERFT300BEV19</v>
      </c>
      <c r="E48" t="str">
        <f>'TRA RESID'!A45&amp;" "&amp;'TRA RESID'!B45&amp;" "&amp;'TRA RESID'!C45&amp;" "&amp;'TRA RESID'!F45</f>
        <v>Transportation Freight Refuse Truck Battery Electric Vehicle (300-mile range)</v>
      </c>
      <c r="F48" t="s">
        <v>368</v>
      </c>
      <c r="G48" t="str">
        <f t="shared" si="1"/>
        <v>Mvkm</v>
      </c>
    </row>
    <row r="49" spans="2:7" x14ac:dyDescent="0.25">
      <c r="B49" t="str">
        <f>IF('TRA RESID'!K46=0,"*",IF(SUMIFS('TRA RESID'!R:R,'TRA RESID'!J:J,D49)=0,"*","PRE"))</f>
        <v>*</v>
      </c>
      <c r="C49" t="s">
        <v>367</v>
      </c>
      <c r="D49" t="str">
        <f>'TRA RESID'!J46</f>
        <v>TRAFRERFT300FCEV19</v>
      </c>
      <c r="E49" t="str">
        <f>'TRA RESID'!A46&amp;" "&amp;'TRA RESID'!B46&amp;" "&amp;'TRA RESID'!C46&amp;" "&amp;'TRA RESID'!F46</f>
        <v>Transportation Freight Refuse Truck Hydrogen Fuel Cell Electric Vehicle (300-mile range)</v>
      </c>
      <c r="F49" t="s">
        <v>368</v>
      </c>
      <c r="G49" t="str">
        <f t="shared" si="1"/>
        <v>Mvkm</v>
      </c>
    </row>
    <row r="50" spans="2:7" x14ac:dyDescent="0.25">
      <c r="B50" t="str">
        <f>IF('TRA RESID'!K47=0,"*",IF(SUMIFS('TRA RESID'!R:R,'TRA RESID'!J:J,D50)=0,"*","PRE"))</f>
        <v>*</v>
      </c>
      <c r="C50" t="s">
        <v>367</v>
      </c>
      <c r="D50" t="str">
        <f>'TRA RESID'!J47</f>
        <v>TRAFRESLHICEVGSL19</v>
      </c>
      <c r="E50" t="str">
        <f>'TRA RESID'!A47&amp;" "&amp;'TRA RESID'!B47&amp;" "&amp;'TRA RESID'!C47&amp;" "&amp;'TRA RESID'!F47</f>
        <v>Transportation Freight Single Unit Long-haul Truck Gasoline ICE Vehicle</v>
      </c>
      <c r="F50" t="s">
        <v>368</v>
      </c>
      <c r="G50" t="str">
        <f t="shared" si="1"/>
        <v>Mvkm</v>
      </c>
    </row>
    <row r="51" spans="2:7" x14ac:dyDescent="0.25">
      <c r="B51" t="str">
        <f>IF('TRA RESID'!K48=0,"*",IF(SUMIFS('TRA RESID'!R:R,'TRA RESID'!J:J,D51)=0,"*","PRE"))</f>
        <v>*</v>
      </c>
      <c r="C51" t="s">
        <v>367</v>
      </c>
      <c r="D51" t="str">
        <f>'TRA RESID'!J48</f>
        <v>TRAFRESLHICEVGSL19</v>
      </c>
      <c r="E51" t="str">
        <f>'TRA RESID'!A48&amp;" "&amp;'TRA RESID'!B48&amp;" "&amp;'TRA RESID'!C48&amp;" "&amp;'TRA RESID'!F48</f>
        <v>Transportation Freight Single Unit Long-haul Truck Gasoline ICE Vehicle</v>
      </c>
      <c r="F51" t="s">
        <v>368</v>
      </c>
      <c r="G51" t="str">
        <f t="shared" si="1"/>
        <v>Mvkm</v>
      </c>
    </row>
    <row r="52" spans="2:7" x14ac:dyDescent="0.25">
      <c r="B52" t="str">
        <f>IF('TRA RESID'!K49=0,"*",IF(SUMIFS('TRA RESID'!R:R,'TRA RESID'!J:J,D52)=0,"*","PRE"))</f>
        <v>*</v>
      </c>
      <c r="C52" t="s">
        <v>367</v>
      </c>
      <c r="D52" t="str">
        <f>'TRA RESID'!J49</f>
        <v>TRAFRESLHICEVDSL19</v>
      </c>
      <c r="E52" t="str">
        <f>'TRA RESID'!A49&amp;" "&amp;'TRA RESID'!B49&amp;" "&amp;'TRA RESID'!C49&amp;" "&amp;'TRA RESID'!F49</f>
        <v>Transportation Freight Single Unit Long-haul Truck Diesel ICE Vehicle</v>
      </c>
      <c r="F52" t="s">
        <v>368</v>
      </c>
      <c r="G52" t="str">
        <f t="shared" si="1"/>
        <v>Mvkm</v>
      </c>
    </row>
    <row r="53" spans="2:7" x14ac:dyDescent="0.25">
      <c r="B53" t="str">
        <f>IF('TRA RESID'!K50=0,"*",IF(SUMIFS('TRA RESID'!R:R,'TRA RESID'!J:J,D53)=0,"*","PRE"))</f>
        <v>*</v>
      </c>
      <c r="C53" t="s">
        <v>367</v>
      </c>
      <c r="D53" t="str">
        <f>'TRA RESID'!J50</f>
        <v>TRAFRESLHICEVDSL19</v>
      </c>
      <c r="E53" t="str">
        <f>'TRA RESID'!A50&amp;" "&amp;'TRA RESID'!B50&amp;" "&amp;'TRA RESID'!C50&amp;" "&amp;'TRA RESID'!F50</f>
        <v>Transportation Freight Single Unit Long-haul Truck Diesel ICE Vehicle</v>
      </c>
      <c r="F53" t="s">
        <v>368</v>
      </c>
      <c r="G53" t="str">
        <f t="shared" si="1"/>
        <v>Mvkm</v>
      </c>
    </row>
    <row r="54" spans="2:7" x14ac:dyDescent="0.25">
      <c r="B54" t="str">
        <f>IF('TRA RESID'!K51=0,"*",IF(SUMIFS('TRA RESID'!R:R,'TRA RESID'!J:J,D54)=0,"*","PRE"))</f>
        <v>*</v>
      </c>
      <c r="C54" t="s">
        <v>367</v>
      </c>
      <c r="D54" t="str">
        <f>'TRA RESID'!J51</f>
        <v>TRAFRESLHICEVDSL19</v>
      </c>
      <c r="E54" t="str">
        <f>'TRA RESID'!A51&amp;" "&amp;'TRA RESID'!B51&amp;" "&amp;'TRA RESID'!C51&amp;" "&amp;'TRA RESID'!F51</f>
        <v>Transportation Freight Single Unit Long-haul Truck Diesel ICE Vehicle</v>
      </c>
      <c r="F54" t="s">
        <v>368</v>
      </c>
      <c r="G54" t="str">
        <f t="shared" si="1"/>
        <v>Mvkm</v>
      </c>
    </row>
    <row r="55" spans="2:7" x14ac:dyDescent="0.25">
      <c r="B55" t="str">
        <f>IF('TRA RESID'!K52=0,"*",IF(SUMIFS('TRA RESID'!R:R,'TRA RESID'!J:J,D55)=0,"*","PRE"))</f>
        <v>*</v>
      </c>
      <c r="C55" t="s">
        <v>367</v>
      </c>
      <c r="D55" t="str">
        <f>'TRA RESID'!J52</f>
        <v>TRAFRESLHICEVCNG19</v>
      </c>
      <c r="E55" t="str">
        <f>'TRA RESID'!A52&amp;" "&amp;'TRA RESID'!B52&amp;" "&amp;'TRA RESID'!C52&amp;" "&amp;'TRA RESID'!F52</f>
        <v>Transportation Freight Single Unit Long-haul Truck Compressed Natural Gas Conventional Vehicle</v>
      </c>
      <c r="F55" t="s">
        <v>368</v>
      </c>
      <c r="G55" t="str">
        <f t="shared" si="1"/>
        <v>Mvkm</v>
      </c>
    </row>
    <row r="56" spans="2:7" x14ac:dyDescent="0.25">
      <c r="B56" t="str">
        <f>IF('TRA RESID'!K53=0,"*",IF(SUMIFS('TRA RESID'!R:R,'TRA RESID'!J:J,D56)=0,"*","PRE"))</f>
        <v>*</v>
      </c>
      <c r="C56" t="s">
        <v>367</v>
      </c>
      <c r="D56" t="str">
        <f>'TRA RESID'!J53</f>
        <v>TRAFRESLHICEVCNG19</v>
      </c>
      <c r="E56" t="str">
        <f>'TRA RESID'!A53&amp;" "&amp;'TRA RESID'!B53&amp;" "&amp;'TRA RESID'!C53&amp;" "&amp;'TRA RESID'!F53</f>
        <v>Transportation Freight Single Unit Long-haul Truck Compressed Natural Gas Conventional Vehicle</v>
      </c>
      <c r="F56" t="s">
        <v>368</v>
      </c>
      <c r="G56" t="str">
        <f t="shared" si="1"/>
        <v>Mvkm</v>
      </c>
    </row>
    <row r="57" spans="2:7" x14ac:dyDescent="0.25">
      <c r="B57" t="str">
        <f>IF('TRA RESID'!K54=0,"*",IF(SUMIFS('TRA RESID'!R:R,'TRA RESID'!J:J,D57)=0,"*","PRE"))</f>
        <v>*</v>
      </c>
      <c r="C57" t="s">
        <v>367</v>
      </c>
      <c r="D57" t="str">
        <f>'TRA RESID'!J54</f>
        <v>TRAFRESLHBEV19</v>
      </c>
      <c r="E57" t="str">
        <f>'TRA RESID'!A54&amp;" "&amp;'TRA RESID'!B54&amp;" "&amp;'TRA RESID'!C54&amp;" "&amp;'TRA RESID'!F54</f>
        <v>Transportation Freight Single Unit Long-haul Truck Battery Electric Vehicle</v>
      </c>
      <c r="F57" t="s">
        <v>368</v>
      </c>
      <c r="G57" t="str">
        <f t="shared" si="1"/>
        <v>Mvkm</v>
      </c>
    </row>
    <row r="58" spans="2:7" x14ac:dyDescent="0.25">
      <c r="B58" t="str">
        <f>IF('TRA RESID'!K55=0,"*",IF(SUMIFS('TRA RESID'!R:R,'TRA RESID'!J:J,D58)=0,"*","PRE"))</f>
        <v>*</v>
      </c>
      <c r="C58" t="s">
        <v>367</v>
      </c>
      <c r="D58" t="str">
        <f>'TRA RESID'!J55</f>
        <v>TRAFRESLHFCEV19</v>
      </c>
      <c r="E58" t="str">
        <f>'TRA RESID'!A55&amp;" "&amp;'TRA RESID'!B55&amp;" "&amp;'TRA RESID'!C55&amp;" "&amp;'TRA RESID'!F55</f>
        <v>Transportation Freight Single Unit Long-haul Truck Hydrogen Fuel Cell Electric Vehicle</v>
      </c>
      <c r="F58" t="s">
        <v>368</v>
      </c>
      <c r="G58" t="str">
        <f t="shared" si="1"/>
        <v>Mvkm</v>
      </c>
    </row>
    <row r="59" spans="2:7" x14ac:dyDescent="0.25">
      <c r="B59" t="str">
        <f>IF('TRA RESID'!K56=0,"*",IF(SUMIFS('TRA RESID'!R:R,'TRA RESID'!J:J,D59)=0,"*","PRE"))</f>
        <v>*</v>
      </c>
      <c r="C59" t="s">
        <v>367</v>
      </c>
      <c r="D59" t="str">
        <f>'TRA RESID'!J56</f>
        <v>TRAFRESSHICEVGSL19</v>
      </c>
      <c r="E59" t="str">
        <f>'TRA RESID'!A56&amp;" "&amp;'TRA RESID'!B56&amp;" "&amp;'TRA RESID'!C56&amp;" "&amp;'TRA RESID'!F56</f>
        <v>Transportation Freight Single Unit Short-haul Truck Gasoline ICE Vehicle</v>
      </c>
      <c r="F59" t="s">
        <v>368</v>
      </c>
      <c r="G59" t="str">
        <f t="shared" si="1"/>
        <v>Mvkm</v>
      </c>
    </row>
    <row r="60" spans="2:7" x14ac:dyDescent="0.25">
      <c r="B60" t="str">
        <f>IF('TRA RESID'!K57=0,"*",IF(SUMIFS('TRA RESID'!R:R,'TRA RESID'!J:J,D60)=0,"*","PRE"))</f>
        <v>*</v>
      </c>
      <c r="C60" t="s">
        <v>367</v>
      </c>
      <c r="D60" t="str">
        <f>'TRA RESID'!J57</f>
        <v>TRAFRESSHICEVGSL19</v>
      </c>
      <c r="E60" t="str">
        <f>'TRA RESID'!A57&amp;" "&amp;'TRA RESID'!B57&amp;" "&amp;'TRA RESID'!C57&amp;" "&amp;'TRA RESID'!F57</f>
        <v>Transportation Freight Single Unit Short-haul Truck Gasoline ICE Vehicle</v>
      </c>
      <c r="F60" t="s">
        <v>368</v>
      </c>
      <c r="G60" t="str">
        <f t="shared" si="1"/>
        <v>Mvkm</v>
      </c>
    </row>
    <row r="61" spans="2:7" x14ac:dyDescent="0.25">
      <c r="B61" t="str">
        <f>IF('TRA RESID'!K58=0,"*",IF(SUMIFS('TRA RESID'!R:R,'TRA RESID'!J:J,D61)=0,"*","PRE"))</f>
        <v>*</v>
      </c>
      <c r="C61" t="s">
        <v>367</v>
      </c>
      <c r="D61" t="str">
        <f>'TRA RESID'!J58</f>
        <v>TRAFRESSHICEVDSL19</v>
      </c>
      <c r="E61" t="str">
        <f>'TRA RESID'!A58&amp;" "&amp;'TRA RESID'!B58&amp;" "&amp;'TRA RESID'!C58&amp;" "&amp;'TRA RESID'!F58</f>
        <v>Transportation Freight Single Unit Short-haul Truck Diesel ICE Vehicle</v>
      </c>
      <c r="F61" t="s">
        <v>368</v>
      </c>
      <c r="G61" t="str">
        <f t="shared" si="1"/>
        <v>Mvkm</v>
      </c>
    </row>
    <row r="62" spans="2:7" x14ac:dyDescent="0.25">
      <c r="B62" t="str">
        <f>IF('TRA RESID'!K59=0,"*",IF(SUMIFS('TRA RESID'!R:R,'TRA RESID'!J:J,D62)=0,"*","PRE"))</f>
        <v>*</v>
      </c>
      <c r="C62" t="s">
        <v>367</v>
      </c>
      <c r="D62" t="str">
        <f>'TRA RESID'!J59</f>
        <v>TRAFRESSHICEVDSL19</v>
      </c>
      <c r="E62" t="str">
        <f>'TRA RESID'!A59&amp;" "&amp;'TRA RESID'!B59&amp;" "&amp;'TRA RESID'!C59&amp;" "&amp;'TRA RESID'!F59</f>
        <v>Transportation Freight Single Unit Short-haul Truck Diesel ICE Vehicle</v>
      </c>
      <c r="F62" t="s">
        <v>368</v>
      </c>
      <c r="G62" t="str">
        <f t="shared" si="1"/>
        <v>Mvkm</v>
      </c>
    </row>
    <row r="63" spans="2:7" x14ac:dyDescent="0.25">
      <c r="B63" t="str">
        <f>IF('TRA RESID'!K60=0,"*",IF(SUMIFS('TRA RESID'!R:R,'TRA RESID'!J:J,D63)=0,"*","PRE"))</f>
        <v>*</v>
      </c>
      <c r="C63" t="s">
        <v>367</v>
      </c>
      <c r="D63" t="str">
        <f>'TRA RESID'!J60</f>
        <v>TRAFRESSHICEVDSL19</v>
      </c>
      <c r="E63" t="str">
        <f>'TRA RESID'!A60&amp;" "&amp;'TRA RESID'!B60&amp;" "&amp;'TRA RESID'!C60&amp;" "&amp;'TRA RESID'!F60</f>
        <v>Transportation Freight Single Unit Short-haul Truck Diesel ICE Vehicle</v>
      </c>
      <c r="F63" t="s">
        <v>368</v>
      </c>
      <c r="G63" t="str">
        <f t="shared" si="1"/>
        <v>Mvkm</v>
      </c>
    </row>
    <row r="64" spans="2:7" x14ac:dyDescent="0.25">
      <c r="B64" t="str">
        <f>IF('TRA RESID'!K61=0,"*",IF(SUMIFS('TRA RESID'!R:R,'TRA RESID'!J:J,D64)=0,"*","PRE"))</f>
        <v>*</v>
      </c>
      <c r="C64" t="s">
        <v>367</v>
      </c>
      <c r="D64" t="str">
        <f>'TRA RESID'!J61</f>
        <v>TRAFRESSHICEVCNG19</v>
      </c>
      <c r="E64" t="str">
        <f>'TRA RESID'!A61&amp;" "&amp;'TRA RESID'!B61&amp;" "&amp;'TRA RESID'!C61&amp;" "&amp;'TRA RESID'!F61</f>
        <v>Transportation Freight Single Unit Short-haul Truck Compressed Natural Gas Conventional Vehicle</v>
      </c>
      <c r="F64" t="s">
        <v>368</v>
      </c>
      <c r="G64" t="str">
        <f t="shared" si="1"/>
        <v>Mvkm</v>
      </c>
    </row>
    <row r="65" spans="2:7" x14ac:dyDescent="0.25">
      <c r="B65" t="str">
        <f>IF('TRA RESID'!K62=0,"*",IF(SUMIFS('TRA RESID'!R:R,'TRA RESID'!J:J,D65)=0,"*","PRE"))</f>
        <v>*</v>
      </c>
      <c r="C65" t="s">
        <v>367</v>
      </c>
      <c r="D65" t="str">
        <f>'TRA RESID'!J62</f>
        <v>TRAFRESSHICEVCNG19</v>
      </c>
      <c r="E65" t="str">
        <f>'TRA RESID'!A62&amp;" "&amp;'TRA RESID'!B62&amp;" "&amp;'TRA RESID'!C62&amp;" "&amp;'TRA RESID'!F62</f>
        <v>Transportation Freight Single Unit Short-haul Truck Compressed Natural Gas Conventional Vehicle</v>
      </c>
      <c r="F65" t="s">
        <v>368</v>
      </c>
      <c r="G65" t="str">
        <f t="shared" si="1"/>
        <v>Mvkm</v>
      </c>
    </row>
    <row r="66" spans="2:7" x14ac:dyDescent="0.25">
      <c r="B66" t="str">
        <f>IF('TRA RESID'!K63=0,"*",IF(SUMIFS('TRA RESID'!R:R,'TRA RESID'!J:J,D66)=0,"*","PRE"))</f>
        <v>*</v>
      </c>
      <c r="C66" t="s">
        <v>367</v>
      </c>
      <c r="D66" t="str">
        <f>'TRA RESID'!J63</f>
        <v>TRAFRESSHBEV19</v>
      </c>
      <c r="E66" t="str">
        <f>'TRA RESID'!A63&amp;" "&amp;'TRA RESID'!B63&amp;" "&amp;'TRA RESID'!C63&amp;" "&amp;'TRA RESID'!F63</f>
        <v>Transportation Freight Single Unit Short-haul Truck Battery Electric Vehicle</v>
      </c>
      <c r="F66" t="s">
        <v>368</v>
      </c>
      <c r="G66" t="str">
        <f t="shared" si="1"/>
        <v>Mvkm</v>
      </c>
    </row>
    <row r="67" spans="2:7" x14ac:dyDescent="0.25">
      <c r="B67" t="str">
        <f>IF('TRA RESID'!K64=0,"*",IF(SUMIFS('TRA RESID'!R:R,'TRA RESID'!J:J,D67)=0,"*","PRE"))</f>
        <v>*</v>
      </c>
      <c r="C67" t="s">
        <v>367</v>
      </c>
      <c r="D67" t="str">
        <f>'TRA RESID'!J64</f>
        <v>TRAFRESSHFCEV19</v>
      </c>
      <c r="E67" t="str">
        <f>'TRA RESID'!A64&amp;" "&amp;'TRA RESID'!B64&amp;" "&amp;'TRA RESID'!C64&amp;" "&amp;'TRA RESID'!F64</f>
        <v>Transportation Freight Single Unit Short-haul Truck Hydrogen Fuel Cell Electric Vehicle</v>
      </c>
      <c r="F67" t="s">
        <v>368</v>
      </c>
      <c r="G67" t="str">
        <f t="shared" si="1"/>
        <v>Mvkm</v>
      </c>
    </row>
    <row r="68" spans="2:7" x14ac:dyDescent="0.25">
      <c r="B68" t="str">
        <f>IF('TRA RESID'!K65=0,"*",IF(SUMIFS('TRA RESID'!R:R,'TRA RESID'!J:J,D68)=0,"*","PRE"))</f>
        <v>PRE</v>
      </c>
      <c r="C68" t="s">
        <v>367</v>
      </c>
      <c r="D68" t="str">
        <f>'TRA RESID'!J65</f>
        <v>TRAFRECLHICEVGSL19</v>
      </c>
      <c r="E68" t="str">
        <f>'TRA RESID'!A65&amp;" "&amp;'TRA RESID'!B65&amp;" "&amp;'TRA RESID'!C65&amp;" "&amp;'TRA RESID'!F65</f>
        <v>Transportation Freight Combination Long-haul Truck Gasoline ICE Vehicle</v>
      </c>
      <c r="F68" t="s">
        <v>368</v>
      </c>
      <c r="G68" t="str">
        <f t="shared" si="1"/>
        <v>Mvkm</v>
      </c>
    </row>
    <row r="69" spans="2:7" x14ac:dyDescent="0.25">
      <c r="B69" t="str">
        <f>IF('TRA RESID'!K66=0,"*",IF(SUMIFS('TRA RESID'!R:R,'TRA RESID'!J:J,D69)=0,"*","PRE"))</f>
        <v>*</v>
      </c>
      <c r="C69" t="s">
        <v>367</v>
      </c>
      <c r="D69" t="str">
        <f>'TRA RESID'!J66</f>
        <v>TRAFRECLHICEVGSL19</v>
      </c>
      <c r="E69" t="str">
        <f>'TRA RESID'!A66&amp;" "&amp;'TRA RESID'!B66&amp;" "&amp;'TRA RESID'!C66&amp;" "&amp;'TRA RESID'!F66</f>
        <v>Transportation Freight Combination Long-haul Truck Gasoline ICE Vehicle</v>
      </c>
      <c r="F69" t="s">
        <v>368</v>
      </c>
      <c r="G69" t="str">
        <f t="shared" ref="G69:G100" si="2">F69</f>
        <v>Mvkm</v>
      </c>
    </row>
    <row r="70" spans="2:7" x14ac:dyDescent="0.25">
      <c r="B70" t="str">
        <f>IF('TRA RESID'!K67=0,"*",IF(SUMIFS('TRA RESID'!R:R,'TRA RESID'!J:J,D70)=0,"*","PRE"))</f>
        <v>PRE</v>
      </c>
      <c r="C70" t="s">
        <v>367</v>
      </c>
      <c r="D70" t="str">
        <f>'TRA RESID'!J67</f>
        <v>TRAFRECLHICEVDSL19</v>
      </c>
      <c r="E70" t="str">
        <f>'TRA RESID'!A67&amp;" "&amp;'TRA RESID'!B67&amp;" "&amp;'TRA RESID'!C67&amp;" "&amp;'TRA RESID'!F67</f>
        <v>Transportation Freight Combination Long-haul Truck Diesel ICE Vehicle</v>
      </c>
      <c r="F70" t="s">
        <v>368</v>
      </c>
      <c r="G70" t="str">
        <f t="shared" si="2"/>
        <v>Mvkm</v>
      </c>
    </row>
    <row r="71" spans="2:7" x14ac:dyDescent="0.25">
      <c r="B71" t="str">
        <f>IF('TRA RESID'!K68=0,"*",IF(SUMIFS('TRA RESID'!R:R,'TRA RESID'!J:J,D71)=0,"*","PRE"))</f>
        <v>*</v>
      </c>
      <c r="C71" t="s">
        <v>367</v>
      </c>
      <c r="D71" t="str">
        <f>'TRA RESID'!J68</f>
        <v>TRAFRECLHICEVDSL19</v>
      </c>
      <c r="E71" t="str">
        <f>'TRA RESID'!A68&amp;" "&amp;'TRA RESID'!B68&amp;" "&amp;'TRA RESID'!C68&amp;" "&amp;'TRA RESID'!F68</f>
        <v>Transportation Freight Combination Long-haul Truck Diesel ICE Vehicle</v>
      </c>
      <c r="F71" t="s">
        <v>368</v>
      </c>
      <c r="G71" t="str">
        <f t="shared" si="2"/>
        <v>Mvkm</v>
      </c>
    </row>
    <row r="72" spans="2:7" x14ac:dyDescent="0.25">
      <c r="B72" t="str">
        <f>IF('TRA RESID'!K69=0,"*",IF(SUMIFS('TRA RESID'!R:R,'TRA RESID'!J:J,D72)=0,"*","PRE"))</f>
        <v>*</v>
      </c>
      <c r="C72" t="s">
        <v>367</v>
      </c>
      <c r="D72" t="str">
        <f>'TRA RESID'!J69</f>
        <v>TRAFRECLHICEVDSL19</v>
      </c>
      <c r="E72" t="str">
        <f>'TRA RESID'!A69&amp;" "&amp;'TRA RESID'!B69&amp;" "&amp;'TRA RESID'!C69&amp;" "&amp;'TRA RESID'!F69</f>
        <v>Transportation Freight Combination Long-haul Truck Diesel ICE Vehicle</v>
      </c>
      <c r="F72" t="s">
        <v>368</v>
      </c>
      <c r="G72" t="str">
        <f t="shared" si="2"/>
        <v>Mvkm</v>
      </c>
    </row>
    <row r="73" spans="2:7" x14ac:dyDescent="0.25">
      <c r="B73" t="str">
        <f>IF('TRA RESID'!K70=0,"*",IF(SUMIFS('TRA RESID'!R:R,'TRA RESID'!J:J,D73)=0,"*","PRE"))</f>
        <v>PRE</v>
      </c>
      <c r="C73" t="s">
        <v>367</v>
      </c>
      <c r="D73" t="str">
        <f>'TRA RESID'!J70</f>
        <v>TRAFRECLHICEVCNG19</v>
      </c>
      <c r="E73" t="str">
        <f>'TRA RESID'!A70&amp;" "&amp;'TRA RESID'!B70&amp;" "&amp;'TRA RESID'!C70&amp;" "&amp;'TRA RESID'!F70</f>
        <v>Transportation Freight Combination Long-haul Truck Compressed Natural Gas Conventional Vehicle</v>
      </c>
      <c r="F73" t="s">
        <v>368</v>
      </c>
      <c r="G73" t="str">
        <f t="shared" si="2"/>
        <v>Mvkm</v>
      </c>
    </row>
    <row r="74" spans="2:7" x14ac:dyDescent="0.25">
      <c r="B74" t="str">
        <f>IF('TRA RESID'!K71=0,"*",IF(SUMIFS('TRA RESID'!R:R,'TRA RESID'!J:J,D74)=0,"*","PRE"))</f>
        <v>*</v>
      </c>
      <c r="C74" t="s">
        <v>367</v>
      </c>
      <c r="D74" t="str">
        <f>'TRA RESID'!J71</f>
        <v>TRAFRECLHICEVCNG19</v>
      </c>
      <c r="E74" t="str">
        <f>'TRA RESID'!A71&amp;" "&amp;'TRA RESID'!B71&amp;" "&amp;'TRA RESID'!C71&amp;" "&amp;'TRA RESID'!F71</f>
        <v>Transportation Freight Combination Long-haul Truck Compressed Natural Gas Conventional Vehicle</v>
      </c>
      <c r="F74" t="s">
        <v>368</v>
      </c>
      <c r="G74" t="str">
        <f t="shared" si="2"/>
        <v>Mvkm</v>
      </c>
    </row>
    <row r="75" spans="2:7" x14ac:dyDescent="0.25">
      <c r="B75" t="str">
        <f>IF('TRA RESID'!K72=0,"*",IF(SUMIFS('TRA RESID'!R:R,'TRA RESID'!J:J,D75)=0,"*","PRE"))</f>
        <v>*</v>
      </c>
      <c r="C75" t="s">
        <v>367</v>
      </c>
      <c r="D75" t="str">
        <f>'TRA RESID'!J72</f>
        <v>TRAFRECLHBEV19</v>
      </c>
      <c r="E75" t="str">
        <f>'TRA RESID'!A72&amp;" "&amp;'TRA RESID'!B72&amp;" "&amp;'TRA RESID'!C72&amp;" "&amp;'TRA RESID'!F72</f>
        <v>Transportation Freight Combination Long-haul Truck Battery Electric Vehicle</v>
      </c>
      <c r="F75" t="s">
        <v>368</v>
      </c>
      <c r="G75" t="str">
        <f t="shared" si="2"/>
        <v>Mvkm</v>
      </c>
    </row>
    <row r="76" spans="2:7" x14ac:dyDescent="0.25">
      <c r="B76" t="str">
        <f>IF('TRA RESID'!K73=0,"*",IF(SUMIFS('TRA RESID'!R:R,'TRA RESID'!J:J,D76)=0,"*","PRE"))</f>
        <v>*</v>
      </c>
      <c r="C76" t="s">
        <v>367</v>
      </c>
      <c r="D76" t="str">
        <f>'TRA RESID'!J73</f>
        <v>TRAFRECLHFCEV19</v>
      </c>
      <c r="E76" t="str">
        <f>'TRA RESID'!A73&amp;" "&amp;'TRA RESID'!B73&amp;" "&amp;'TRA RESID'!C73&amp;" "&amp;'TRA RESID'!F73</f>
        <v>Transportation Freight Combination Long-haul Truck Hydrogen Fuel Cell Electric Vehicle</v>
      </c>
      <c r="F76" t="s">
        <v>368</v>
      </c>
      <c r="G76" t="str">
        <f t="shared" si="2"/>
        <v>Mvkm</v>
      </c>
    </row>
    <row r="77" spans="2:7" x14ac:dyDescent="0.25">
      <c r="B77" t="str">
        <f>IF('TRA RESID'!K74=0,"*",IF(SUMIFS('TRA RESID'!R:R,'TRA RESID'!J:J,D77)=0,"*","PRE"))</f>
        <v>*</v>
      </c>
      <c r="C77" t="s">
        <v>367</v>
      </c>
      <c r="D77" t="str">
        <f>'TRA RESID'!J74</f>
        <v>TRAFRECSHICEVGSL19</v>
      </c>
      <c r="E77" t="str">
        <f>'TRA RESID'!A74&amp;" "&amp;'TRA RESID'!B74&amp;" "&amp;'TRA RESID'!C74&amp;" "&amp;'TRA RESID'!F74</f>
        <v>Transportation Freight Combination Short-haul Truck Gasoline ICE Vehicle</v>
      </c>
      <c r="F77" t="s">
        <v>368</v>
      </c>
      <c r="G77" t="str">
        <f t="shared" si="2"/>
        <v>Mvkm</v>
      </c>
    </row>
    <row r="78" spans="2:7" x14ac:dyDescent="0.25">
      <c r="B78" t="str">
        <f>IF('TRA RESID'!K75=0,"*",IF(SUMIFS('TRA RESID'!R:R,'TRA RESID'!J:J,D78)=0,"*","PRE"))</f>
        <v>*</v>
      </c>
      <c r="C78" t="s">
        <v>367</v>
      </c>
      <c r="D78" t="str">
        <f>'TRA RESID'!J75</f>
        <v>TRAFRECSHICEVGSL19</v>
      </c>
      <c r="E78" t="str">
        <f>'TRA RESID'!A75&amp;" "&amp;'TRA RESID'!B75&amp;" "&amp;'TRA RESID'!C75&amp;" "&amp;'TRA RESID'!F75</f>
        <v>Transportation Freight Combination Short-haul Truck Gasoline ICE Vehicle</v>
      </c>
      <c r="F78" t="s">
        <v>368</v>
      </c>
      <c r="G78" t="str">
        <f t="shared" si="2"/>
        <v>Mvkm</v>
      </c>
    </row>
    <row r="79" spans="2:7" x14ac:dyDescent="0.25">
      <c r="B79" t="str">
        <f>IF('TRA RESID'!K76=0,"*",IF(SUMIFS('TRA RESID'!R:R,'TRA RESID'!J:J,D79)=0,"*","PRE"))</f>
        <v>*</v>
      </c>
      <c r="C79" t="s">
        <v>367</v>
      </c>
      <c r="D79" t="str">
        <f>'TRA RESID'!J76</f>
        <v>TRAFRECSHICEVDSL19</v>
      </c>
      <c r="E79" t="str">
        <f>'TRA RESID'!A76&amp;" "&amp;'TRA RESID'!B76&amp;" "&amp;'TRA RESID'!C76&amp;" "&amp;'TRA RESID'!F76</f>
        <v>Transportation Freight Combination Short-haul Truck Diesel ICE Vehicle</v>
      </c>
      <c r="F79" t="s">
        <v>368</v>
      </c>
      <c r="G79" t="str">
        <f t="shared" si="2"/>
        <v>Mvkm</v>
      </c>
    </row>
    <row r="80" spans="2:7" x14ac:dyDescent="0.25">
      <c r="B80" t="str">
        <f>IF('TRA RESID'!K77=0,"*",IF(SUMIFS('TRA RESID'!R:R,'TRA RESID'!J:J,D80)=0,"*","PRE"))</f>
        <v>*</v>
      </c>
      <c r="C80" t="s">
        <v>367</v>
      </c>
      <c r="D80" t="str">
        <f>'TRA RESID'!J77</f>
        <v>TRAFRECSHICEVDSL19</v>
      </c>
      <c r="E80" t="str">
        <f>'TRA RESID'!A77&amp;" "&amp;'TRA RESID'!B77&amp;" "&amp;'TRA RESID'!C77&amp;" "&amp;'TRA RESID'!F77</f>
        <v>Transportation Freight Combination Short-haul Truck Diesel ICE Vehicle</v>
      </c>
      <c r="F80" t="s">
        <v>368</v>
      </c>
      <c r="G80" t="str">
        <f t="shared" si="2"/>
        <v>Mvkm</v>
      </c>
    </row>
    <row r="81" spans="2:7" x14ac:dyDescent="0.25">
      <c r="B81" t="str">
        <f>IF('TRA RESID'!K78=0,"*",IF(SUMIFS('TRA RESID'!R:R,'TRA RESID'!J:J,D81)=0,"*","PRE"))</f>
        <v>*</v>
      </c>
      <c r="C81" t="s">
        <v>367</v>
      </c>
      <c r="D81" t="str">
        <f>'TRA RESID'!J78</f>
        <v>TRAFRECSHICEVDSL19</v>
      </c>
      <c r="E81" t="str">
        <f>'TRA RESID'!A78&amp;" "&amp;'TRA RESID'!B78&amp;" "&amp;'TRA RESID'!C78&amp;" "&amp;'TRA RESID'!F78</f>
        <v>Transportation Freight Combination Short-haul Truck Diesel ICE Vehicle</v>
      </c>
      <c r="F81" t="s">
        <v>368</v>
      </c>
      <c r="G81" t="str">
        <f t="shared" si="2"/>
        <v>Mvkm</v>
      </c>
    </row>
    <row r="82" spans="2:7" x14ac:dyDescent="0.25">
      <c r="B82" t="str">
        <f>IF('TRA RESID'!K79=0,"*",IF(SUMIFS('TRA RESID'!R:R,'TRA RESID'!J:J,D82)=0,"*","PRE"))</f>
        <v>*</v>
      </c>
      <c r="C82" t="s">
        <v>367</v>
      </c>
      <c r="D82" t="str">
        <f>'TRA RESID'!J79</f>
        <v>TRAFRECSHICEVCNG19</v>
      </c>
      <c r="E82" t="str">
        <f>'TRA RESID'!A79&amp;" "&amp;'TRA RESID'!B79&amp;" "&amp;'TRA RESID'!C79&amp;" "&amp;'TRA RESID'!F79</f>
        <v>Transportation Freight Combination Short-haul Truck Compressed Natural Gas Conventional Vehicle</v>
      </c>
      <c r="F82" t="s">
        <v>368</v>
      </c>
      <c r="G82" t="str">
        <f t="shared" si="2"/>
        <v>Mvkm</v>
      </c>
    </row>
    <row r="83" spans="2:7" x14ac:dyDescent="0.25">
      <c r="B83" t="str">
        <f>IF('TRA RESID'!K80=0,"*",IF(SUMIFS('TRA RESID'!R:R,'TRA RESID'!J:J,D83)=0,"*","PRE"))</f>
        <v>*</v>
      </c>
      <c r="C83" t="s">
        <v>367</v>
      </c>
      <c r="D83" t="str">
        <f>'TRA RESID'!J80</f>
        <v>TRAFRECSHICEVCNG19</v>
      </c>
      <c r="E83" t="str">
        <f>'TRA RESID'!A80&amp;" "&amp;'TRA RESID'!B80&amp;" "&amp;'TRA RESID'!C80&amp;" "&amp;'TRA RESID'!F80</f>
        <v>Transportation Freight Combination Short-haul Truck Compressed Natural Gas Conventional Vehicle</v>
      </c>
      <c r="F83" t="s">
        <v>368</v>
      </c>
      <c r="G83" t="str">
        <f t="shared" si="2"/>
        <v>Mvkm</v>
      </c>
    </row>
    <row r="84" spans="2:7" x14ac:dyDescent="0.25">
      <c r="B84" t="str">
        <f>IF('TRA RESID'!K81=0,"*",IF(SUMIFS('TRA RESID'!R:R,'TRA RESID'!J:J,D84)=0,"*","PRE"))</f>
        <v>*</v>
      </c>
      <c r="C84" t="s">
        <v>367</v>
      </c>
      <c r="D84" t="str">
        <f>'TRA RESID'!J81</f>
        <v>TRAFRECSHBEV19</v>
      </c>
      <c r="E84" t="str">
        <f>'TRA RESID'!A81&amp;" "&amp;'TRA RESID'!B81&amp;" "&amp;'TRA RESID'!C81&amp;" "&amp;'TRA RESID'!F81</f>
        <v>Transportation Freight Combination Short-haul Truck Battery Electric Vehicle</v>
      </c>
      <c r="F84" t="s">
        <v>368</v>
      </c>
      <c r="G84" t="str">
        <f t="shared" si="2"/>
        <v>Mvkm</v>
      </c>
    </row>
    <row r="85" spans="2:7" x14ac:dyDescent="0.25">
      <c r="B85" t="str">
        <f>IF('TRA RESID'!K82=0,"*",IF(SUMIFS('TRA RESID'!R:R,'TRA RESID'!J:J,D85)=0,"*","PRE"))</f>
        <v>*</v>
      </c>
      <c r="C85" t="s">
        <v>367</v>
      </c>
      <c r="D85" t="str">
        <f>'TRA RESID'!J82</f>
        <v>TRAFRECSHFCEV19</v>
      </c>
      <c r="E85" t="str">
        <f>'TRA RESID'!A82&amp;" "&amp;'TRA RESID'!B82&amp;" "&amp;'TRA RESID'!C82&amp;" "&amp;'TRA RESID'!F82</f>
        <v>Transportation Freight Combination Short-haul Truck Hydrogen Fuel Cell Electric Vehicle</v>
      </c>
      <c r="F85" t="s">
        <v>368</v>
      </c>
      <c r="G85" t="str">
        <f t="shared" si="2"/>
        <v>Mvkm</v>
      </c>
    </row>
    <row r="86" spans="2:7" x14ac:dyDescent="0.25">
      <c r="B86" t="str">
        <f>IF('TRA RESID'!K83=0,"*",IF(SUMIFS('TRA RESID'!R:R,'TRA RESID'!J:J,D86)=0,"*","PRE"))</f>
        <v>*</v>
      </c>
      <c r="C86" t="s">
        <v>367</v>
      </c>
      <c r="D86" t="str">
        <f>'TRA RESID'!J83</f>
        <v>TRAPASTBUICEVGSL19</v>
      </c>
      <c r="E86" t="str">
        <f>'TRA RESID'!A83&amp;" "&amp;'TRA RESID'!B83&amp;" "&amp;'TRA RESID'!C83&amp;" "&amp;'TRA RESID'!F83</f>
        <v>Transportation Passenger Transit Bus Gasoline ICE Vehicle</v>
      </c>
      <c r="F86" t="s">
        <v>368</v>
      </c>
      <c r="G86" t="str">
        <f t="shared" si="2"/>
        <v>Mvkm</v>
      </c>
    </row>
    <row r="87" spans="2:7" x14ac:dyDescent="0.25">
      <c r="B87" t="str">
        <f>IF('TRA RESID'!K84=0,"*",IF(SUMIFS('TRA RESID'!R:R,'TRA RESID'!J:J,D87)=0,"*","PRE"))</f>
        <v>*</v>
      </c>
      <c r="C87" t="s">
        <v>367</v>
      </c>
      <c r="D87" t="str">
        <f>'TRA RESID'!J84</f>
        <v>TRAPASTBUICEVGSL19</v>
      </c>
      <c r="E87" t="str">
        <f>'TRA RESID'!A84&amp;" "&amp;'TRA RESID'!B84&amp;" "&amp;'TRA RESID'!C84&amp;" "&amp;'TRA RESID'!F84</f>
        <v>Transportation Passenger Transit Bus Gasoline ICE Vehicle</v>
      </c>
      <c r="F87" t="s">
        <v>368</v>
      </c>
      <c r="G87" t="str">
        <f t="shared" si="2"/>
        <v>Mvkm</v>
      </c>
    </row>
    <row r="88" spans="2:7" x14ac:dyDescent="0.25">
      <c r="B88" t="str">
        <f>IF('TRA RESID'!K85=0,"*",IF(SUMIFS('TRA RESID'!R:R,'TRA RESID'!J:J,D88)=0,"*","PRE"))</f>
        <v>PRE</v>
      </c>
      <c r="C88" t="s">
        <v>367</v>
      </c>
      <c r="D88" t="str">
        <f>'TRA RESID'!J85</f>
        <v>TRAPASTBUICEVDSL19</v>
      </c>
      <c r="E88" t="str">
        <f>'TRA RESID'!A85&amp;" "&amp;'TRA RESID'!B85&amp;" "&amp;'TRA RESID'!C85&amp;" "&amp;'TRA RESID'!F85</f>
        <v>Transportation Passenger Transit Bus Diesel ICE Vehicle</v>
      </c>
      <c r="F88" t="s">
        <v>368</v>
      </c>
      <c r="G88" t="str">
        <f t="shared" si="2"/>
        <v>Mvkm</v>
      </c>
    </row>
    <row r="89" spans="2:7" x14ac:dyDescent="0.25">
      <c r="B89" t="str">
        <f>IF('TRA RESID'!K86=0,"*",IF(SUMIFS('TRA RESID'!R:R,'TRA RESID'!J:J,D89)=0,"*","PRE"))</f>
        <v>*</v>
      </c>
      <c r="C89" t="s">
        <v>367</v>
      </c>
      <c r="D89" t="str">
        <f>'TRA RESID'!J86</f>
        <v>TRAPASTBUICEVDSL19</v>
      </c>
      <c r="E89" t="str">
        <f>'TRA RESID'!A86&amp;" "&amp;'TRA RESID'!B86&amp;" "&amp;'TRA RESID'!C86&amp;" "&amp;'TRA RESID'!F86</f>
        <v>Transportation Passenger Transit Bus Diesel ICE Vehicle</v>
      </c>
      <c r="F89" t="s">
        <v>368</v>
      </c>
      <c r="G89" t="str">
        <f t="shared" si="2"/>
        <v>Mvkm</v>
      </c>
    </row>
    <row r="90" spans="2:7" x14ac:dyDescent="0.25">
      <c r="B90" t="str">
        <f>IF('TRA RESID'!K87=0,"*",IF(SUMIFS('TRA RESID'!R:R,'TRA RESID'!J:J,D90)=0,"*","PRE"))</f>
        <v>*</v>
      </c>
      <c r="C90" t="s">
        <v>367</v>
      </c>
      <c r="D90" t="str">
        <f>'TRA RESID'!J87</f>
        <v>TRAPASTBUICEVDSL19</v>
      </c>
      <c r="E90" t="str">
        <f>'TRA RESID'!A87&amp;" "&amp;'TRA RESID'!B87&amp;" "&amp;'TRA RESID'!C87&amp;" "&amp;'TRA RESID'!F87</f>
        <v>Transportation Passenger Transit Bus Diesel ICE Vehicle</v>
      </c>
      <c r="F90" t="s">
        <v>368</v>
      </c>
      <c r="G90" t="str">
        <f t="shared" si="2"/>
        <v>Mvkm</v>
      </c>
    </row>
    <row r="91" spans="2:7" x14ac:dyDescent="0.25">
      <c r="B91" t="str">
        <f>IF('TRA RESID'!K88=0,"*",IF(SUMIFS('TRA RESID'!R:R,'TRA RESID'!J:J,D91)=0,"*","PRE"))</f>
        <v>PRE</v>
      </c>
      <c r="C91" t="s">
        <v>367</v>
      </c>
      <c r="D91" t="str">
        <f>'TRA RESID'!J88</f>
        <v>TRAPASTBUICEVCNG19</v>
      </c>
      <c r="E91" t="str">
        <f>'TRA RESID'!A88&amp;" "&amp;'TRA RESID'!B88&amp;" "&amp;'TRA RESID'!C88&amp;" "&amp;'TRA RESID'!F88</f>
        <v>Transportation Passenger Transit Bus Compressed Natural Gas Conventional Vehicle</v>
      </c>
      <c r="F91" t="s">
        <v>368</v>
      </c>
      <c r="G91" t="str">
        <f t="shared" si="2"/>
        <v>Mvkm</v>
      </c>
    </row>
    <row r="92" spans="2:7" x14ac:dyDescent="0.25">
      <c r="B92" t="str">
        <f>IF('TRA RESID'!K89=0,"*",IF(SUMIFS('TRA RESID'!R:R,'TRA RESID'!J:J,D92)=0,"*","PRE"))</f>
        <v>*</v>
      </c>
      <c r="C92" t="s">
        <v>367</v>
      </c>
      <c r="D92" t="str">
        <f>'TRA RESID'!J89</f>
        <v>TRAPASTBUICEVCNG19</v>
      </c>
      <c r="E92" t="str">
        <f>'TRA RESID'!A89&amp;" "&amp;'TRA RESID'!B89&amp;" "&amp;'TRA RESID'!C89&amp;" "&amp;'TRA RESID'!F89</f>
        <v>Transportation Passenger Transit Bus Compressed Natural Gas Conventional Vehicle</v>
      </c>
      <c r="F92" t="s">
        <v>368</v>
      </c>
      <c r="G92" t="str">
        <f t="shared" si="2"/>
        <v>Mvkm</v>
      </c>
    </row>
    <row r="93" spans="2:7" x14ac:dyDescent="0.25">
      <c r="B93" t="str">
        <f>IF('TRA RESID'!K90=0,"*",IF(SUMIFS('TRA RESID'!R:R,'TRA RESID'!J:J,D93)=0,"*","PRE"))</f>
        <v>*</v>
      </c>
      <c r="C93" t="s">
        <v>367</v>
      </c>
      <c r="D93" t="str">
        <f>'TRA RESID'!J90</f>
        <v>TRAPASTBUBEV19</v>
      </c>
      <c r="E93" t="str">
        <f>'TRA RESID'!A90&amp;" "&amp;'TRA RESID'!B90&amp;" "&amp;'TRA RESID'!C90&amp;" "&amp;'TRA RESID'!F90</f>
        <v>Transportation Passenger Transit Bus Battery Electric Vehicle</v>
      </c>
      <c r="F93" t="s">
        <v>368</v>
      </c>
      <c r="G93" t="str">
        <f t="shared" si="2"/>
        <v>Mvkm</v>
      </c>
    </row>
    <row r="94" spans="2:7" x14ac:dyDescent="0.25">
      <c r="B94" t="str">
        <f>IF('TRA RESID'!K91=0,"*",IF(SUMIFS('TRA RESID'!R:R,'TRA RESID'!J:J,D94)=0,"*","PRE"))</f>
        <v>*</v>
      </c>
      <c r="C94" t="s">
        <v>367</v>
      </c>
      <c r="D94" t="str">
        <f>'TRA RESID'!J91</f>
        <v>TRAPASTBUFCEV19</v>
      </c>
      <c r="E94" t="str">
        <f>'TRA RESID'!A91&amp;" "&amp;'TRA RESID'!B91&amp;" "&amp;'TRA RESID'!C91&amp;" "&amp;'TRA RESID'!F91</f>
        <v>Transportation Passenger Transit Bus Hydrogen Fuel Cell Electric Vehicle</v>
      </c>
      <c r="F94" t="s">
        <v>368</v>
      </c>
      <c r="G94" t="str">
        <f t="shared" si="2"/>
        <v>Mvkm</v>
      </c>
    </row>
    <row r="95" spans="2:7" x14ac:dyDescent="0.25">
      <c r="B95" t="str">
        <f>IF('TRA RESID'!K92=0,"*",IF(SUMIFS('TRA RESID'!R:R,'TRA RESID'!J:J,D95)=0,"*","PRE"))</f>
        <v>PRE</v>
      </c>
      <c r="C95" t="s">
        <v>367</v>
      </c>
      <c r="D95" t="str">
        <f>'TRA RESID'!J92</f>
        <v>TRAPASSBUICEVGSL19</v>
      </c>
      <c r="E95" t="str">
        <f>'TRA RESID'!A92&amp;" "&amp;'TRA RESID'!B92&amp;" "&amp;'TRA RESID'!C92&amp;" "&amp;'TRA RESID'!F92</f>
        <v>Transportation Passenger School Bus Gasoline ICE Vehicle</v>
      </c>
      <c r="F95" t="s">
        <v>368</v>
      </c>
      <c r="G95" t="str">
        <f t="shared" si="2"/>
        <v>Mvkm</v>
      </c>
    </row>
    <row r="96" spans="2:7" x14ac:dyDescent="0.25">
      <c r="B96" t="str">
        <f>IF('TRA RESID'!K93=0,"*",IF(SUMIFS('TRA RESID'!R:R,'TRA RESID'!J:J,D96)=0,"*","PRE"))</f>
        <v>*</v>
      </c>
      <c r="C96" t="s">
        <v>367</v>
      </c>
      <c r="D96" t="str">
        <f>'TRA RESID'!J93</f>
        <v>TRAPASSBUICEVGSL19</v>
      </c>
      <c r="E96" t="str">
        <f>'TRA RESID'!A93&amp;" "&amp;'TRA RESID'!B93&amp;" "&amp;'TRA RESID'!C93&amp;" "&amp;'TRA RESID'!F93</f>
        <v>Transportation Passenger School Bus Gasoline ICE Vehicle</v>
      </c>
      <c r="F96" t="s">
        <v>368</v>
      </c>
      <c r="G96" t="str">
        <f t="shared" si="2"/>
        <v>Mvkm</v>
      </c>
    </row>
    <row r="97" spans="2:7" x14ac:dyDescent="0.25">
      <c r="B97" t="str">
        <f>IF('TRA RESID'!K94=0,"*",IF(SUMIFS('TRA RESID'!R:R,'TRA RESID'!J:J,D97)=0,"*","PRE"))</f>
        <v>PRE</v>
      </c>
      <c r="C97" t="s">
        <v>367</v>
      </c>
      <c r="D97" t="str">
        <f>'TRA RESID'!J94</f>
        <v>TRAPASSBUICEVDSL19</v>
      </c>
      <c r="E97" t="str">
        <f>'TRA RESID'!A94&amp;" "&amp;'TRA RESID'!B94&amp;" "&amp;'TRA RESID'!C94&amp;" "&amp;'TRA RESID'!F94</f>
        <v>Transportation Passenger School Bus Diesel ICE Vehicle</v>
      </c>
      <c r="F97" t="s">
        <v>368</v>
      </c>
      <c r="G97" t="str">
        <f t="shared" si="2"/>
        <v>Mvkm</v>
      </c>
    </row>
    <row r="98" spans="2:7" x14ac:dyDescent="0.25">
      <c r="B98" t="str">
        <f>IF('TRA RESID'!K95=0,"*",IF(SUMIFS('TRA RESID'!R:R,'TRA RESID'!J:J,D98)=0,"*","PRE"))</f>
        <v>*</v>
      </c>
      <c r="C98" t="s">
        <v>367</v>
      </c>
      <c r="D98" t="str">
        <f>'TRA RESID'!J95</f>
        <v>TRAPASSBUICEVDSL19</v>
      </c>
      <c r="E98" t="str">
        <f>'TRA RESID'!A95&amp;" "&amp;'TRA RESID'!B95&amp;" "&amp;'TRA RESID'!C95&amp;" "&amp;'TRA RESID'!F95</f>
        <v>Transportation Passenger School Bus Diesel ICE Vehicle</v>
      </c>
      <c r="F98" t="s">
        <v>368</v>
      </c>
      <c r="G98" t="str">
        <f t="shared" si="2"/>
        <v>Mvkm</v>
      </c>
    </row>
    <row r="99" spans="2:7" x14ac:dyDescent="0.25">
      <c r="B99" t="str">
        <f>IF('TRA RESID'!K96=0,"*",IF(SUMIFS('TRA RESID'!R:R,'TRA RESID'!J:J,D99)=0,"*","PRE"))</f>
        <v>*</v>
      </c>
      <c r="C99" t="s">
        <v>367</v>
      </c>
      <c r="D99" t="str">
        <f>'TRA RESID'!J96</f>
        <v>TRAPASSBUICEVDSL19</v>
      </c>
      <c r="E99" t="str">
        <f>'TRA RESID'!A96&amp;" "&amp;'TRA RESID'!B96&amp;" "&amp;'TRA RESID'!C96&amp;" "&amp;'TRA RESID'!F96</f>
        <v>Transportation Passenger School Bus Diesel ICE Vehicle</v>
      </c>
      <c r="F99" t="s">
        <v>368</v>
      </c>
      <c r="G99" t="str">
        <f t="shared" si="2"/>
        <v>Mvkm</v>
      </c>
    </row>
    <row r="100" spans="2:7" x14ac:dyDescent="0.25">
      <c r="B100" t="str">
        <f>IF('TRA RESID'!K97=0,"*",IF(SUMIFS('TRA RESID'!R:R,'TRA RESID'!J:J,D100)=0,"*","PRE"))</f>
        <v>*</v>
      </c>
      <c r="C100" t="s">
        <v>367</v>
      </c>
      <c r="D100" t="str">
        <f>'TRA RESID'!J97</f>
        <v>TRAPASSBUICEVCNG19</v>
      </c>
      <c r="E100" t="str">
        <f>'TRA RESID'!A97&amp;" "&amp;'TRA RESID'!B97&amp;" "&amp;'TRA RESID'!C97&amp;" "&amp;'TRA RESID'!F97</f>
        <v>Transportation Passenger School Bus Compressed Natural Gas Conventional Vehicle</v>
      </c>
      <c r="F100" t="s">
        <v>368</v>
      </c>
      <c r="G100" t="str">
        <f t="shared" si="2"/>
        <v>Mvkm</v>
      </c>
    </row>
    <row r="101" spans="2:7" x14ac:dyDescent="0.25">
      <c r="B101" t="str">
        <f>IF('TRA RESID'!K98=0,"*",IF(SUMIFS('TRA RESID'!R:R,'TRA RESID'!J:J,D101)=0,"*","PRE"))</f>
        <v>*</v>
      </c>
      <c r="C101" t="s">
        <v>367</v>
      </c>
      <c r="D101" t="str">
        <f>'TRA RESID'!J98</f>
        <v>TRAPASSBUICEVCNG19</v>
      </c>
      <c r="E101" t="str">
        <f>'TRA RESID'!A98&amp;" "&amp;'TRA RESID'!B98&amp;" "&amp;'TRA RESID'!C98&amp;" "&amp;'TRA RESID'!F98</f>
        <v>Transportation Passenger School Bus Compressed Natural Gas Conventional Vehicle</v>
      </c>
      <c r="F101" t="s">
        <v>368</v>
      </c>
      <c r="G101" t="str">
        <f t="shared" ref="G101:G132" si="3">F101</f>
        <v>Mvkm</v>
      </c>
    </row>
    <row r="102" spans="2:7" x14ac:dyDescent="0.25">
      <c r="B102" t="str">
        <f>IF('TRA RESID'!K99=0,"*",IF(SUMIFS('TRA RESID'!R:R,'TRA RESID'!J:J,D102)=0,"*","PRE"))</f>
        <v>*</v>
      </c>
      <c r="C102" t="s">
        <v>367</v>
      </c>
      <c r="D102" t="str">
        <f>'TRA RESID'!J99</f>
        <v>TRAPASSBUBEV19</v>
      </c>
      <c r="E102" t="str">
        <f>'TRA RESID'!A99&amp;" "&amp;'TRA RESID'!B99&amp;" "&amp;'TRA RESID'!C99&amp;" "&amp;'TRA RESID'!F99</f>
        <v>Transportation Passenger School Bus Battery Electric Vehicle</v>
      </c>
      <c r="F102" t="s">
        <v>368</v>
      </c>
      <c r="G102" t="str">
        <f t="shared" si="3"/>
        <v>Mvkm</v>
      </c>
    </row>
    <row r="103" spans="2:7" x14ac:dyDescent="0.25">
      <c r="B103" t="str">
        <f>IF('TRA RESID'!K100=0,"*",IF(SUMIFS('TRA RESID'!R:R,'TRA RESID'!J:J,D103)=0,"*","PRE"))</f>
        <v>*</v>
      </c>
      <c r="C103" t="s">
        <v>367</v>
      </c>
      <c r="D103" t="str">
        <f>'TRA RESID'!J100</f>
        <v>TRAPASSBUFCEV19</v>
      </c>
      <c r="E103" t="str">
        <f>'TRA RESID'!A100&amp;" "&amp;'TRA RESID'!B100&amp;" "&amp;'TRA RESID'!C100&amp;" "&amp;'TRA RESID'!F100</f>
        <v>Transportation Passenger School Bus Hydrogen Fuel Cell Electric Vehicle</v>
      </c>
      <c r="F103" t="s">
        <v>368</v>
      </c>
      <c r="G103" t="str">
        <f t="shared" si="3"/>
        <v>Mvkm</v>
      </c>
    </row>
    <row r="104" spans="2:7" x14ac:dyDescent="0.25">
      <c r="B104" t="str">
        <f>IF('TRA RESID'!K101=0,"*",IF(SUMIFS('TRA RESID'!R:R,'TRA RESID'!J:J,D104)=0,"*","PRE"))</f>
        <v>*</v>
      </c>
      <c r="C104" t="s">
        <v>367</v>
      </c>
      <c r="D104" t="str">
        <f>'TRA RESID'!J101</f>
        <v>TRAPASOBUICEVGSL19</v>
      </c>
      <c r="E104" t="str">
        <f>'TRA RESID'!A101&amp;" "&amp;'TRA RESID'!B101&amp;" "&amp;'TRA RESID'!C101&amp;" "&amp;'TRA RESID'!F101</f>
        <v>Transportation Passenger Other Buses Gasoline ICE Vehicle</v>
      </c>
      <c r="F104" t="s">
        <v>368</v>
      </c>
      <c r="G104" t="str">
        <f t="shared" si="3"/>
        <v>Mvkm</v>
      </c>
    </row>
    <row r="105" spans="2:7" x14ac:dyDescent="0.25">
      <c r="B105" t="str">
        <f>IF('TRA RESID'!K102=0,"*",IF(SUMIFS('TRA RESID'!R:R,'TRA RESID'!J:J,D105)=0,"*","PRE"))</f>
        <v>*</v>
      </c>
      <c r="C105" t="s">
        <v>367</v>
      </c>
      <c r="D105" t="str">
        <f>'TRA RESID'!J102</f>
        <v>TRAPASOBUICEVGSL19</v>
      </c>
      <c r="E105" t="str">
        <f>'TRA RESID'!A102&amp;" "&amp;'TRA RESID'!B102&amp;" "&amp;'TRA RESID'!C102&amp;" "&amp;'TRA RESID'!F102</f>
        <v>Transportation Passenger Other Buses Gasoline ICE Vehicle</v>
      </c>
      <c r="F105" t="s">
        <v>368</v>
      </c>
      <c r="G105" t="str">
        <f t="shared" si="3"/>
        <v>Mvkm</v>
      </c>
    </row>
    <row r="106" spans="2:7" x14ac:dyDescent="0.25">
      <c r="B106" t="str">
        <f>IF('TRA RESID'!K103=0,"*",IF(SUMIFS('TRA RESID'!R:R,'TRA RESID'!J:J,D106)=0,"*","PRE"))</f>
        <v>*</v>
      </c>
      <c r="C106" t="s">
        <v>367</v>
      </c>
      <c r="D106" t="str">
        <f>'TRA RESID'!J103</f>
        <v>TRAPASOBUICEVDSL19</v>
      </c>
      <c r="E106" t="str">
        <f>'TRA RESID'!A103&amp;" "&amp;'TRA RESID'!B103&amp;" "&amp;'TRA RESID'!C103&amp;" "&amp;'TRA RESID'!F103</f>
        <v>Transportation Passenger Other Buses Diesel ICE Vehicle</v>
      </c>
      <c r="F106" t="s">
        <v>368</v>
      </c>
      <c r="G106" t="str">
        <f t="shared" si="3"/>
        <v>Mvkm</v>
      </c>
    </row>
    <row r="107" spans="2:7" x14ac:dyDescent="0.25">
      <c r="B107" t="str">
        <f>IF('TRA RESID'!K104=0,"*",IF(SUMIFS('TRA RESID'!R:R,'TRA RESID'!J:J,D107)=0,"*","PRE"))</f>
        <v>*</v>
      </c>
      <c r="C107" t="s">
        <v>367</v>
      </c>
      <c r="D107" t="str">
        <f>'TRA RESID'!J104</f>
        <v>TRAPASOBUICEVDSL19</v>
      </c>
      <c r="E107" t="str">
        <f>'TRA RESID'!A104&amp;" "&amp;'TRA RESID'!B104&amp;" "&amp;'TRA RESID'!C104&amp;" "&amp;'TRA RESID'!F104</f>
        <v>Transportation Passenger Other Buses Diesel ICE Vehicle</v>
      </c>
      <c r="F107" t="s">
        <v>368</v>
      </c>
      <c r="G107" t="str">
        <f t="shared" si="3"/>
        <v>Mvkm</v>
      </c>
    </row>
    <row r="108" spans="2:7" x14ac:dyDescent="0.25">
      <c r="B108" t="str">
        <f>IF('TRA RESID'!K105=0,"*",IF(SUMIFS('TRA RESID'!R:R,'TRA RESID'!J:J,D108)=0,"*","PRE"))</f>
        <v>*</v>
      </c>
      <c r="C108" t="s">
        <v>367</v>
      </c>
      <c r="D108" t="str">
        <f>'TRA RESID'!J105</f>
        <v>TRAPASOBUICEVDSL19</v>
      </c>
      <c r="E108" t="str">
        <f>'TRA RESID'!A105&amp;" "&amp;'TRA RESID'!B105&amp;" "&amp;'TRA RESID'!C105&amp;" "&amp;'TRA RESID'!F105</f>
        <v>Transportation Passenger Other Buses Diesel ICE Vehicle</v>
      </c>
      <c r="F108" t="s">
        <v>368</v>
      </c>
      <c r="G108" t="str">
        <f t="shared" si="3"/>
        <v>Mvkm</v>
      </c>
    </row>
    <row r="109" spans="2:7" x14ac:dyDescent="0.25">
      <c r="B109" t="str">
        <f>IF('TRA RESID'!K106=0,"*",IF(SUMIFS('TRA RESID'!R:R,'TRA RESID'!J:J,D109)=0,"*","PRE"))</f>
        <v>*</v>
      </c>
      <c r="C109" t="s">
        <v>367</v>
      </c>
      <c r="D109" t="str">
        <f>'TRA RESID'!J106</f>
        <v>TRAPASOBUICEVCNG19</v>
      </c>
      <c r="E109" t="str">
        <f>'TRA RESID'!A106&amp;" "&amp;'TRA RESID'!B106&amp;" "&amp;'TRA RESID'!C106&amp;" "&amp;'TRA RESID'!F106</f>
        <v>Transportation Passenger Other Buses Compressed Natural Gas Conventional Vehicle</v>
      </c>
      <c r="F109" t="s">
        <v>368</v>
      </c>
      <c r="G109" t="str">
        <f t="shared" si="3"/>
        <v>Mvkm</v>
      </c>
    </row>
    <row r="110" spans="2:7" x14ac:dyDescent="0.25">
      <c r="B110" t="str">
        <f>IF('TRA RESID'!K107=0,"*",IF(SUMIFS('TRA RESID'!R:R,'TRA RESID'!J:J,D110)=0,"*","PRE"))</f>
        <v>*</v>
      </c>
      <c r="C110" t="s">
        <v>367</v>
      </c>
      <c r="D110" t="str">
        <f>'TRA RESID'!J107</f>
        <v>TRAPASOBUICEVCNG19</v>
      </c>
      <c r="E110" t="str">
        <f>'TRA RESID'!A107&amp;" "&amp;'TRA RESID'!B107&amp;" "&amp;'TRA RESID'!C107&amp;" "&amp;'TRA RESID'!F107</f>
        <v>Transportation Passenger Other Buses Compressed Natural Gas Conventional Vehicle</v>
      </c>
      <c r="F110" t="s">
        <v>368</v>
      </c>
      <c r="G110" t="str">
        <f t="shared" si="3"/>
        <v>Mvkm</v>
      </c>
    </row>
    <row r="111" spans="2:7" x14ac:dyDescent="0.25">
      <c r="B111" t="str">
        <f>IF('TRA RESID'!K108=0,"*",IF(SUMIFS('TRA RESID'!R:R,'TRA RESID'!J:J,D111)=0,"*","PRE"))</f>
        <v>*</v>
      </c>
      <c r="C111" t="s">
        <v>367</v>
      </c>
      <c r="D111" t="str">
        <f>'TRA RESID'!J108</f>
        <v>TRAPASOBUBEV19</v>
      </c>
      <c r="E111" t="str">
        <f>'TRA RESID'!A108&amp;" "&amp;'TRA RESID'!B108&amp;" "&amp;'TRA RESID'!C108&amp;" "&amp;'TRA RESID'!F108</f>
        <v>Transportation Passenger Other Buses Battery Electric Vehicle</v>
      </c>
      <c r="F111" t="s">
        <v>368</v>
      </c>
      <c r="G111" t="str">
        <f t="shared" si="3"/>
        <v>Mvkm</v>
      </c>
    </row>
    <row r="112" spans="2:7" x14ac:dyDescent="0.25">
      <c r="B112" t="str">
        <f>IF('TRA RESID'!K109=0,"*",IF(SUMIFS('TRA RESID'!R:R,'TRA RESID'!J:J,D112)=0,"*","PRE"))</f>
        <v>*</v>
      </c>
      <c r="C112" t="s">
        <v>367</v>
      </c>
      <c r="D112" t="str">
        <f>'TRA RESID'!J109</f>
        <v>TRAPASOBUFCEV19</v>
      </c>
      <c r="E112" t="str">
        <f>'TRA RESID'!A109&amp;" "&amp;'TRA RESID'!B109&amp;" "&amp;'TRA RESID'!C109&amp;" "&amp;'TRA RESID'!F109</f>
        <v>Transportation Passenger Other Buses Hydrogen Fuel Cell Electric Vehicle</v>
      </c>
      <c r="F112" t="s">
        <v>368</v>
      </c>
      <c r="G112" t="str">
        <f t="shared" si="3"/>
        <v>Mvkm</v>
      </c>
    </row>
    <row r="113" spans="2:7" x14ac:dyDescent="0.25">
      <c r="B113" t="str">
        <f>IF('TRA RESID'!K110=0,"*",IF(SUMIFS('TRA RESID'!R:R,'TRA RESID'!J:J,D113)=0,"*","PRE"))</f>
        <v>PRE</v>
      </c>
      <c r="C113" t="s">
        <v>367</v>
      </c>
      <c r="D113" t="str">
        <f>'TRA RESID'!J110</f>
        <v>TRAPASRAIICEVDSL19</v>
      </c>
      <c r="E113" t="str">
        <f>'TRA RESID'!A110&amp;" "&amp;'TRA RESID'!B110&amp;" "&amp;'TRA RESID'!C110&amp;" "&amp;'TRA RESID'!F110</f>
        <v>Transportation Passenger Rail Diesel ICE Vehicle</v>
      </c>
      <c r="F113" t="s">
        <v>368</v>
      </c>
      <c r="G113" t="str">
        <f t="shared" si="3"/>
        <v>Mvkm</v>
      </c>
    </row>
    <row r="114" spans="2:7" x14ac:dyDescent="0.25">
      <c r="B114" t="str">
        <f>IF('TRA RESID'!K111=0,"*",IF(SUMIFS('TRA RESID'!R:R,'TRA RESID'!J:J,D114)=0,"*","PRE"))</f>
        <v>*</v>
      </c>
      <c r="C114" t="s">
        <v>367</v>
      </c>
      <c r="D114" t="str">
        <f>'TRA RESID'!J111</f>
        <v>TRAPASRAIICEVDSL19</v>
      </c>
      <c r="E114" t="str">
        <f>'TRA RESID'!A111&amp;" "&amp;'TRA RESID'!B111&amp;" "&amp;'TRA RESID'!C111&amp;" "&amp;'TRA RESID'!F111</f>
        <v>Transportation Passenger Rail Diesel ICE Vehicle</v>
      </c>
      <c r="F114" t="s">
        <v>368</v>
      </c>
      <c r="G114" t="str">
        <f t="shared" si="3"/>
        <v>Mvkm</v>
      </c>
    </row>
    <row r="115" spans="2:7" x14ac:dyDescent="0.25">
      <c r="B115" t="str">
        <f>IF('TRA RESID'!K112=0,"*",IF(SUMIFS('TRA RESID'!R:R,'TRA RESID'!J:J,D115)=0,"*","PRE"))</f>
        <v>*</v>
      </c>
      <c r="C115" t="s">
        <v>367</v>
      </c>
      <c r="D115" t="str">
        <f>'TRA RESID'!J112</f>
        <v>TRAPASRAIICEVDSL19</v>
      </c>
      <c r="E115" t="str">
        <f>'TRA RESID'!A112&amp;" "&amp;'TRA RESID'!B112&amp;" "&amp;'TRA RESID'!C112&amp;" "&amp;'TRA RESID'!F112</f>
        <v>Transportation Passenger Rail Diesel ICE Vehicle</v>
      </c>
      <c r="F115" t="s">
        <v>368</v>
      </c>
      <c r="G115" t="str">
        <f t="shared" si="3"/>
        <v>Mvkm</v>
      </c>
    </row>
    <row r="116" spans="2:7" x14ac:dyDescent="0.25">
      <c r="B116" t="str">
        <f>IF('TRA RESID'!K113=0,"*",IF(SUMIFS('TRA RESID'!R:R,'TRA RESID'!J:J,D116)=0,"*","PRE"))</f>
        <v>*</v>
      </c>
      <c r="C116" t="s">
        <v>367</v>
      </c>
      <c r="D116" t="str">
        <f>'TRA RESID'!J113</f>
        <v>TRAPASRAIICEVCNG19</v>
      </c>
      <c r="E116" t="str">
        <f>'TRA RESID'!A113&amp;" "&amp;'TRA RESID'!B113&amp;" "&amp;'TRA RESID'!C113&amp;" "&amp;'TRA RESID'!F113</f>
        <v>Transportation Passenger Rail Compressed Natural Gas Conventional Vehicle</v>
      </c>
      <c r="F116" t="s">
        <v>368</v>
      </c>
      <c r="G116" t="str">
        <f t="shared" si="3"/>
        <v>Mvkm</v>
      </c>
    </row>
    <row r="117" spans="2:7" x14ac:dyDescent="0.25">
      <c r="B117" t="str">
        <f>IF('TRA RESID'!K114=0,"*",IF(SUMIFS('TRA RESID'!R:R,'TRA RESID'!J:J,D117)=0,"*","PRE"))</f>
        <v>*</v>
      </c>
      <c r="C117" t="s">
        <v>367</v>
      </c>
      <c r="D117" t="str">
        <f>'TRA RESID'!J114</f>
        <v>TRAPASRAIICEVCNG19</v>
      </c>
      <c r="E117" t="str">
        <f>'TRA RESID'!A114&amp;" "&amp;'TRA RESID'!B114&amp;" "&amp;'TRA RESID'!C114&amp;" "&amp;'TRA RESID'!F114</f>
        <v>Transportation Passenger Rail Compressed Natural Gas Conventional Vehicle</v>
      </c>
      <c r="F117" t="s">
        <v>368</v>
      </c>
      <c r="G117" t="str">
        <f t="shared" si="3"/>
        <v>Mvkm</v>
      </c>
    </row>
    <row r="118" spans="2:7" x14ac:dyDescent="0.25">
      <c r="B118" t="str">
        <f>IF('TRA RESID'!K115=0,"*",IF(SUMIFS('TRA RESID'!R:R,'TRA RESID'!J:J,D118)=0,"*","PRE"))</f>
        <v>PRE</v>
      </c>
      <c r="C118" t="s">
        <v>367</v>
      </c>
      <c r="D118" t="str">
        <f>'TRA RESID'!J115</f>
        <v>TRAPASRAIPROELC19</v>
      </c>
      <c r="E118" t="str">
        <f>'TRA RESID'!A115&amp;" "&amp;'TRA RESID'!B115&amp;" "&amp;'TRA RESID'!C115&amp;" "&amp;'TRA RESID'!F115</f>
        <v>Transportation Passenger Rail Electric Propulsion Vehicle</v>
      </c>
      <c r="F118" t="s">
        <v>368</v>
      </c>
      <c r="G118" t="str">
        <f t="shared" si="3"/>
        <v>Mvkm</v>
      </c>
    </row>
    <row r="119" spans="2:7" x14ac:dyDescent="0.25">
      <c r="B119" t="str">
        <f>IF('TRA RESID'!K116=0,"*",IF(SUMIFS('TRA RESID'!R:R,'TRA RESID'!J:J,D119)=0,"*","PRE"))</f>
        <v>*</v>
      </c>
      <c r="C119" t="s">
        <v>367</v>
      </c>
      <c r="D119" t="str">
        <f>'TRA RESID'!J116</f>
        <v>TRAPASRAIFCEV19</v>
      </c>
      <c r="E119" t="str">
        <f>'TRA RESID'!A116&amp;" "&amp;'TRA RESID'!B116&amp;" "&amp;'TRA RESID'!C116&amp;" "&amp;'TRA RESID'!F116</f>
        <v>Transportation Passenger Rail Hydrogen Fuel Cell Electric Vehicle</v>
      </c>
      <c r="F119" t="s">
        <v>368</v>
      </c>
      <c r="G119" t="str">
        <f t="shared" si="3"/>
        <v>Mvkm</v>
      </c>
    </row>
    <row r="120" spans="2:7" x14ac:dyDescent="0.25">
      <c r="B120" t="str">
        <f>IF('TRA RESID'!K117=0,"*",IF(SUMIFS('TRA RESID'!R:R,'TRA RESID'!J:J,D120)=0,"*","PRE"))</f>
        <v>*</v>
      </c>
      <c r="C120" t="s">
        <v>367</v>
      </c>
      <c r="D120" t="str">
        <f>'TRA RESID'!J117</f>
        <v>TRAPASTRMICEVDSL19</v>
      </c>
      <c r="E120" t="str">
        <f>'TRA RESID'!A117&amp;" "&amp;'TRA RESID'!B117&amp;" "&amp;'TRA RESID'!C117&amp;" "&amp;'TRA RESID'!F117</f>
        <v>Transportation Passenger Tram Diesel ICE Vehicle</v>
      </c>
      <c r="F120" t="s">
        <v>368</v>
      </c>
      <c r="G120" t="str">
        <f t="shared" si="3"/>
        <v>Mvkm</v>
      </c>
    </row>
    <row r="121" spans="2:7" x14ac:dyDescent="0.25">
      <c r="B121" t="str">
        <f>IF('TRA RESID'!K118=0,"*",IF(SUMIFS('TRA RESID'!R:R,'TRA RESID'!J:J,D121)=0,"*","PRE"))</f>
        <v>*</v>
      </c>
      <c r="C121" t="s">
        <v>367</v>
      </c>
      <c r="D121" t="str">
        <f>'TRA RESID'!J118</f>
        <v>TRAPASTRMICEVDSL19</v>
      </c>
      <c r="E121" t="str">
        <f>'TRA RESID'!A118&amp;" "&amp;'TRA RESID'!B118&amp;" "&amp;'TRA RESID'!C118&amp;" "&amp;'TRA RESID'!F118</f>
        <v>Transportation Passenger Tram Diesel ICE Vehicle</v>
      </c>
      <c r="F121" t="s">
        <v>368</v>
      </c>
      <c r="G121" t="str">
        <f t="shared" si="3"/>
        <v>Mvkm</v>
      </c>
    </row>
    <row r="122" spans="2:7" x14ac:dyDescent="0.25">
      <c r="B122" t="str">
        <f>IF('TRA RESID'!K119=0,"*",IF(SUMIFS('TRA RESID'!R:R,'TRA RESID'!J:J,D122)=0,"*","PRE"))</f>
        <v>*</v>
      </c>
      <c r="C122" t="s">
        <v>367</v>
      </c>
      <c r="D122" t="str">
        <f>'TRA RESID'!J119</f>
        <v>TRAPASTRMICEVDSL19</v>
      </c>
      <c r="E122" t="str">
        <f>'TRA RESID'!A119&amp;" "&amp;'TRA RESID'!B119&amp;" "&amp;'TRA RESID'!C119&amp;" "&amp;'TRA RESID'!F119</f>
        <v>Transportation Passenger Tram Diesel ICE Vehicle</v>
      </c>
      <c r="F122" t="s">
        <v>368</v>
      </c>
      <c r="G122" t="str">
        <f t="shared" si="3"/>
        <v>Mvkm</v>
      </c>
    </row>
    <row r="123" spans="2:7" x14ac:dyDescent="0.25">
      <c r="B123" t="str">
        <f>IF('TRA RESID'!K120=0,"*",IF(SUMIFS('TRA RESID'!R:R,'TRA RESID'!J:J,D123)=0,"*","PRE"))</f>
        <v>*</v>
      </c>
      <c r="C123" t="s">
        <v>367</v>
      </c>
      <c r="D123" t="str">
        <f>'TRA RESID'!J120</f>
        <v>TRAPASTRMICEVCNG19</v>
      </c>
      <c r="E123" t="str">
        <f>'TRA RESID'!A120&amp;" "&amp;'TRA RESID'!B120&amp;" "&amp;'TRA RESID'!C120&amp;" "&amp;'TRA RESID'!F120</f>
        <v>Transportation Passenger Tram Compressed Natural Gas Conventional Vehicle</v>
      </c>
      <c r="F123" t="s">
        <v>368</v>
      </c>
      <c r="G123" t="str">
        <f t="shared" si="3"/>
        <v>Mvkm</v>
      </c>
    </row>
    <row r="124" spans="2:7" x14ac:dyDescent="0.25">
      <c r="B124" t="str">
        <f>IF('TRA RESID'!K121=0,"*",IF(SUMIFS('TRA RESID'!R:R,'TRA RESID'!J:J,D124)=0,"*","PRE"))</f>
        <v>*</v>
      </c>
      <c r="C124" t="s">
        <v>367</v>
      </c>
      <c r="D124" t="str">
        <f>'TRA RESID'!J121</f>
        <v>TRAPASTRMICEVCNG19</v>
      </c>
      <c r="E124" t="str">
        <f>'TRA RESID'!A121&amp;" "&amp;'TRA RESID'!B121&amp;" "&amp;'TRA RESID'!C121&amp;" "&amp;'TRA RESID'!F121</f>
        <v>Transportation Passenger Tram Compressed Natural Gas Conventional Vehicle</v>
      </c>
      <c r="F124" t="s">
        <v>368</v>
      </c>
      <c r="G124" t="str">
        <f t="shared" si="3"/>
        <v>Mvkm</v>
      </c>
    </row>
    <row r="125" spans="2:7" x14ac:dyDescent="0.25">
      <c r="B125" t="str">
        <f>IF('TRA RESID'!K122=0,"*",IF(SUMIFS('TRA RESID'!R:R,'TRA RESID'!J:J,D125)=0,"*","PRE"))</f>
        <v>*</v>
      </c>
      <c r="C125" t="s">
        <v>367</v>
      </c>
      <c r="D125" t="str">
        <f>'TRA RESID'!J122</f>
        <v>TRAPASTRMPROELC19</v>
      </c>
      <c r="E125" t="str">
        <f>'TRA RESID'!A122&amp;" "&amp;'TRA RESID'!B122&amp;" "&amp;'TRA RESID'!C122&amp;" "&amp;'TRA RESID'!F122</f>
        <v>Transportation Passenger Tram Electric Propulsion Vehicle</v>
      </c>
      <c r="F125" t="s">
        <v>368</v>
      </c>
      <c r="G125" t="str">
        <f t="shared" si="3"/>
        <v>Mvkm</v>
      </c>
    </row>
    <row r="126" spans="2:7" x14ac:dyDescent="0.25">
      <c r="B126" t="str">
        <f>IF('TRA RESID'!K123=0,"*",IF(SUMIFS('TRA RESID'!R:R,'TRA RESID'!J:J,D126)=0,"*","PRE"))</f>
        <v>*</v>
      </c>
      <c r="C126" t="s">
        <v>367</v>
      </c>
      <c r="D126" t="str">
        <f>'TRA RESID'!J123</f>
        <v>TRAPASSUBPROELC19</v>
      </c>
      <c r="E126" t="str">
        <f>'TRA RESID'!A123&amp;" "&amp;'TRA RESID'!B123&amp;" "&amp;'TRA RESID'!C123&amp;" "&amp;'TRA RESID'!F123</f>
        <v>Transportation Passenger Subway Electric Propulsion Vehicle</v>
      </c>
      <c r="F126" t="s">
        <v>368</v>
      </c>
      <c r="G126" t="str">
        <f t="shared" si="3"/>
        <v>Mvkm</v>
      </c>
    </row>
    <row r="127" spans="2:7" x14ac:dyDescent="0.25">
      <c r="B127" t="str">
        <f>IF('TRA RESID'!K124=0,"*",IF(SUMIFS('TRA RESID'!R:R,'TRA RESID'!J:J,D127)=0,"*","PRE"))</f>
        <v>PRE</v>
      </c>
      <c r="C127" t="s">
        <v>367</v>
      </c>
      <c r="D127" t="str">
        <f>'TRA RESID'!J124</f>
        <v>TRAPASBIC19</v>
      </c>
      <c r="E127" t="str">
        <f>'TRA RESID'!A124&amp;" "&amp;'TRA RESID'!B124&amp;" "&amp;'TRA RESID'!C124&amp;" "&amp;'TRA RESID'!F124</f>
        <v>Transportation Passenger Bicycle N/a</v>
      </c>
      <c r="F127" t="s">
        <v>368</v>
      </c>
      <c r="G127" t="str">
        <f t="shared" si="3"/>
        <v>Mvkm</v>
      </c>
    </row>
    <row r="128" spans="2:7" x14ac:dyDescent="0.25">
      <c r="B128" t="str">
        <f>IF('TRA RESID'!K125=0,"*",IF(SUMIFS('TRA RESID'!R:R,'TRA RESID'!J:J,D128)=0,"*","PRE"))</f>
        <v>PRE</v>
      </c>
      <c r="C128" t="s">
        <v>367</v>
      </c>
      <c r="D128" t="str">
        <f>'TRA RESID'!J125</f>
        <v>TRAPASWAL19</v>
      </c>
      <c r="E128" t="str">
        <f>'TRA RESID'!A125&amp;" "&amp;'TRA RESID'!B125&amp;" "&amp;'TRA RESID'!C125&amp;" "&amp;'TRA RESID'!F125</f>
        <v>Transportation Passenger Walk N/a</v>
      </c>
      <c r="F128" t="s">
        <v>368</v>
      </c>
      <c r="G128" t="str">
        <f t="shared" si="3"/>
        <v>Mvkm</v>
      </c>
    </row>
    <row r="129" spans="2:7" x14ac:dyDescent="0.25">
      <c r="B129" t="str">
        <f>IF('TRA RESID'!K126=0,"*",IF(SUMIFS('TRA RESID'!R:R,'TRA RESID'!J:J,D129)=0,"*","PRE"))</f>
        <v>*</v>
      </c>
      <c r="C129" t="s">
        <v>367</v>
      </c>
      <c r="D129" t="str">
        <f>'TRA RESID'!J126</f>
        <v>TRAOTHOFRICEVGSL19</v>
      </c>
      <c r="E129" t="str">
        <f>'TRA RESID'!A126&amp;" "&amp;'TRA RESID'!B126&amp;" "&amp;'TRA RESID'!C126&amp;" "&amp;'TRA RESID'!F126</f>
        <v>Transportation Other Off-Road Gasoline ICE Vehicle</v>
      </c>
      <c r="F129" t="s">
        <v>368</v>
      </c>
      <c r="G129" t="str">
        <f t="shared" si="3"/>
        <v>Mvkm</v>
      </c>
    </row>
    <row r="130" spans="2:7" x14ac:dyDescent="0.25">
      <c r="B130" t="str">
        <f>IF('TRA RESID'!K127=0,"*",IF(SUMIFS('TRA RESID'!R:R,'TRA RESID'!J:J,D130)=0,"*","PRE"))</f>
        <v>*</v>
      </c>
      <c r="C130" t="s">
        <v>367</v>
      </c>
      <c r="D130" t="str">
        <f>'TRA RESID'!J127</f>
        <v>TRAOTHOFRICEVGSL19</v>
      </c>
      <c r="E130" t="str">
        <f>'TRA RESID'!A127&amp;" "&amp;'TRA RESID'!B127&amp;" "&amp;'TRA RESID'!C127&amp;" "&amp;'TRA RESID'!F127</f>
        <v>Transportation Other Off-Road Gasoline ICE Vehicle</v>
      </c>
      <c r="F130" t="s">
        <v>368</v>
      </c>
      <c r="G130" t="str">
        <f t="shared" si="3"/>
        <v>Mvkm</v>
      </c>
    </row>
    <row r="131" spans="2:7" x14ac:dyDescent="0.25">
      <c r="B131" t="str">
        <f>IF('TRA RESID'!K128=0,"*",IF(SUMIFS('TRA RESID'!R:R,'TRA RESID'!J:J,D131)=0,"*","PRE"))</f>
        <v>*</v>
      </c>
      <c r="C131" t="s">
        <v>367</v>
      </c>
      <c r="D131" t="str">
        <f>'TRA RESID'!J128</f>
        <v>TRAOTHOFRICEVDSL19</v>
      </c>
      <c r="E131" t="str">
        <f>'TRA RESID'!A128&amp;" "&amp;'TRA RESID'!B128&amp;" "&amp;'TRA RESID'!C128&amp;" "&amp;'TRA RESID'!F128</f>
        <v>Transportation Other Off-Road Diesel ICE Vehicle</v>
      </c>
      <c r="F131" t="s">
        <v>368</v>
      </c>
      <c r="G131" t="str">
        <f t="shared" si="3"/>
        <v>Mvkm</v>
      </c>
    </row>
    <row r="132" spans="2:7" x14ac:dyDescent="0.25">
      <c r="B132" t="str">
        <f>IF('TRA RESID'!K129=0,"*",IF(SUMIFS('TRA RESID'!R:R,'TRA RESID'!J:J,D132)=0,"*","PRE"))</f>
        <v>*</v>
      </c>
      <c r="C132" t="s">
        <v>367</v>
      </c>
      <c r="D132" t="str">
        <f>'TRA RESID'!J129</f>
        <v>TRAOTHOFRICEVDSL19</v>
      </c>
      <c r="E132" t="str">
        <f>'TRA RESID'!A129&amp;" "&amp;'TRA RESID'!B129&amp;" "&amp;'TRA RESID'!C129&amp;" "&amp;'TRA RESID'!F129</f>
        <v>Transportation Other Off-Road Diesel ICE Vehicle</v>
      </c>
      <c r="F132" t="s">
        <v>368</v>
      </c>
      <c r="G132" t="str">
        <f t="shared" si="3"/>
        <v>Mvkm</v>
      </c>
    </row>
    <row r="133" spans="2:7" x14ac:dyDescent="0.25">
      <c r="B133" t="str">
        <f>IF('TRA RESID'!K130=0,"*",IF(SUMIFS('TRA RESID'!R:R,'TRA RESID'!J:J,D133)=0,"*","PRE"))</f>
        <v>*</v>
      </c>
      <c r="C133" t="s">
        <v>367</v>
      </c>
      <c r="D133" t="str">
        <f>'TRA RESID'!J130</f>
        <v>TRAOTHOFRICEVDSL19</v>
      </c>
      <c r="E133" t="str">
        <f>'TRA RESID'!A130&amp;" "&amp;'TRA RESID'!B130&amp;" "&amp;'TRA RESID'!C130&amp;" "&amp;'TRA RESID'!F130</f>
        <v>Transportation Other Off-Road Diesel ICE Vehicle</v>
      </c>
      <c r="F133" t="s">
        <v>368</v>
      </c>
      <c r="G133" t="str">
        <f t="shared" ref="G133:G164" si="4">F133</f>
        <v>Mvkm</v>
      </c>
    </row>
    <row r="134" spans="2:7" x14ac:dyDescent="0.25">
      <c r="B134" t="str">
        <f>IF('TRA RESID'!K131=0,"*",IF(SUMIFS('TRA RESID'!R:R,'TRA RESID'!J:J,D134)=0,"*","PRE"))</f>
        <v>*</v>
      </c>
      <c r="C134" t="s">
        <v>367</v>
      </c>
      <c r="D134" t="str">
        <f>'TRA RESID'!J131</f>
        <v>TRAOTHOFRICEVCNG19</v>
      </c>
      <c r="E134" t="str">
        <f>'TRA RESID'!A131&amp;" "&amp;'TRA RESID'!B131&amp;" "&amp;'TRA RESID'!C131&amp;" "&amp;'TRA RESID'!F131</f>
        <v>Transportation Other Off-Road Compressed Natural Gas Conventional Vehicle</v>
      </c>
      <c r="F134" t="s">
        <v>368</v>
      </c>
      <c r="G134" t="str">
        <f t="shared" si="4"/>
        <v>Mvkm</v>
      </c>
    </row>
    <row r="135" spans="2:7" x14ac:dyDescent="0.25">
      <c r="B135" t="str">
        <f>IF('TRA RESID'!K132=0,"*",IF(SUMIFS('TRA RESID'!R:R,'TRA RESID'!J:J,D135)=0,"*","PRE"))</f>
        <v>*</v>
      </c>
      <c r="C135" t="s">
        <v>367</v>
      </c>
      <c r="D135" t="str">
        <f>'TRA RESID'!J132</f>
        <v>TRAOTHOFRICEVCNG19</v>
      </c>
      <c r="E135" t="str">
        <f>'TRA RESID'!A132&amp;" "&amp;'TRA RESID'!B132&amp;" "&amp;'TRA RESID'!C132&amp;" "&amp;'TRA RESID'!F132</f>
        <v>Transportation Other Off-Road Compressed Natural Gas Conventional Vehicle</v>
      </c>
      <c r="F135" t="s">
        <v>368</v>
      </c>
      <c r="G135" t="str">
        <f t="shared" si="4"/>
        <v>Mvkm</v>
      </c>
    </row>
    <row r="136" spans="2:7" x14ac:dyDescent="0.25">
      <c r="B136" t="str">
        <f>IF('TRA RESID'!K133=0,"*",IF(SUMIFS('TRA RESID'!R:R,'TRA RESID'!J:J,D136)=0,"*","PRE"))</f>
        <v>*</v>
      </c>
      <c r="C136" t="s">
        <v>367</v>
      </c>
      <c r="D136" t="str">
        <f>'TRA RESID'!J133</f>
        <v>TRAOTHOFRBEV19</v>
      </c>
      <c r="E136" t="str">
        <f>'TRA RESID'!A133&amp;" "&amp;'TRA RESID'!B133&amp;" "&amp;'TRA RESID'!C133&amp;" "&amp;'TRA RESID'!F133</f>
        <v>Transportation Other Off-Road Battery Electric Vehicle</v>
      </c>
      <c r="F136" t="s">
        <v>368</v>
      </c>
      <c r="G136" t="str">
        <f t="shared" si="4"/>
        <v>Mvkm</v>
      </c>
    </row>
    <row r="137" spans="2:7" x14ac:dyDescent="0.25">
      <c r="B137" t="str">
        <f>IF('TRA RESID'!K134=0,"*",IF(SUMIFS('TRA RESID'!R:R,'TRA RESID'!J:J,D137)=0,"*","PRE"))</f>
        <v>*</v>
      </c>
      <c r="C137" t="s">
        <v>367</v>
      </c>
      <c r="D137" t="str">
        <f>'TRA RESID'!J134</f>
        <v>TRAOTHOFRFCEV19</v>
      </c>
      <c r="E137" t="str">
        <f>'TRA RESID'!A134&amp;" "&amp;'TRA RESID'!B134&amp;" "&amp;'TRA RESID'!C134&amp;" "&amp;'TRA RESID'!F134</f>
        <v>Transportation Other Off-Road Hydrogen Fuel Cell Electric Vehicle</v>
      </c>
      <c r="F137" t="s">
        <v>368</v>
      </c>
      <c r="G137" t="str">
        <f t="shared" si="4"/>
        <v>Mvkm</v>
      </c>
    </row>
    <row r="138" spans="2:7" x14ac:dyDescent="0.25">
      <c r="B138" t="str">
        <f>IF('TRA RESID'!K135=0,"*",IF(SUMIFS('TRA RESID'!R:R,'TRA RESID'!J:J,D138)=0,"*","PRE"))</f>
        <v>*</v>
      </c>
      <c r="C138" t="s">
        <v>367</v>
      </c>
      <c r="D138" t="str">
        <f>'TRA RESID'!J135</f>
        <v>TRAOTHWATICEVGSL19</v>
      </c>
      <c r="E138" t="str">
        <f>'TRA RESID'!A135&amp;" "&amp;'TRA RESID'!B135&amp;" "&amp;'TRA RESID'!C135&amp;" "&amp;'TRA RESID'!F135</f>
        <v>Transportation Other Waterborne Gasoline ICE Vehicle</v>
      </c>
      <c r="F138" t="s">
        <v>368</v>
      </c>
      <c r="G138" t="str">
        <f t="shared" si="4"/>
        <v>Mvkm</v>
      </c>
    </row>
    <row r="139" spans="2:7" x14ac:dyDescent="0.25">
      <c r="B139" t="str">
        <f>IF('TRA RESID'!K136=0,"*",IF(SUMIFS('TRA RESID'!R:R,'TRA RESID'!J:J,D139)=0,"*","PRE"))</f>
        <v>*</v>
      </c>
      <c r="C139" t="s">
        <v>367</v>
      </c>
      <c r="D139" t="str">
        <f>'TRA RESID'!J136</f>
        <v>TRAOTHWATICEVGSL19</v>
      </c>
      <c r="E139" t="str">
        <f>'TRA RESID'!A136&amp;" "&amp;'TRA RESID'!B136&amp;" "&amp;'TRA RESID'!C136&amp;" "&amp;'TRA RESID'!F136</f>
        <v>Transportation Other Waterborne Gasoline ICE Vehicle</v>
      </c>
      <c r="F139" t="s">
        <v>368</v>
      </c>
      <c r="G139" t="str">
        <f t="shared" si="4"/>
        <v>Mvkm</v>
      </c>
    </row>
    <row r="140" spans="2:7" x14ac:dyDescent="0.25">
      <c r="B140" t="str">
        <f>IF('TRA RESID'!K137=0,"*",IF(SUMIFS('TRA RESID'!R:R,'TRA RESID'!J:J,D140)=0,"*","PRE"))</f>
        <v>PRE</v>
      </c>
      <c r="C140" t="s">
        <v>367</v>
      </c>
      <c r="D140" t="str">
        <f>'TRA RESID'!J137</f>
        <v>TRAOTHWATICEVDSL19</v>
      </c>
      <c r="E140" t="str">
        <f>'TRA RESID'!A137&amp;" "&amp;'TRA RESID'!B137&amp;" "&amp;'TRA RESID'!C137&amp;" "&amp;'TRA RESID'!F137</f>
        <v>Transportation Other Waterborne Diesel ICE Vehicle</v>
      </c>
      <c r="F140" t="s">
        <v>368</v>
      </c>
      <c r="G140" t="str">
        <f t="shared" si="4"/>
        <v>Mvkm</v>
      </c>
    </row>
    <row r="141" spans="2:7" x14ac:dyDescent="0.25">
      <c r="B141" t="str">
        <f>IF('TRA RESID'!K138=0,"*",IF(SUMIFS('TRA RESID'!R:R,'TRA RESID'!J:J,D141)=0,"*","PRE"))</f>
        <v>*</v>
      </c>
      <c r="C141" t="s">
        <v>367</v>
      </c>
      <c r="D141" t="str">
        <f>'TRA RESID'!J138</f>
        <v>TRAOTHWATICEVDSL19</v>
      </c>
      <c r="E141" t="str">
        <f>'TRA RESID'!A138&amp;" "&amp;'TRA RESID'!B138&amp;" "&amp;'TRA RESID'!C138&amp;" "&amp;'TRA RESID'!F138</f>
        <v>Transportation Other Waterborne Diesel ICE Vehicle</v>
      </c>
      <c r="F141" t="s">
        <v>368</v>
      </c>
      <c r="G141" t="str">
        <f t="shared" si="4"/>
        <v>Mvkm</v>
      </c>
    </row>
    <row r="142" spans="2:7" x14ac:dyDescent="0.25">
      <c r="B142" t="str">
        <f>IF('TRA RESID'!K139=0,"*",IF(SUMIFS('TRA RESID'!R:R,'TRA RESID'!J:J,D142)=0,"*","PRE"))</f>
        <v>*</v>
      </c>
      <c r="C142" t="s">
        <v>367</v>
      </c>
      <c r="D142" t="str">
        <f>'TRA RESID'!J139</f>
        <v>TRAOTHWATICEVDSL19</v>
      </c>
      <c r="E142" t="str">
        <f>'TRA RESID'!A139&amp;" "&amp;'TRA RESID'!B139&amp;" "&amp;'TRA RESID'!C139&amp;" "&amp;'TRA RESID'!F139</f>
        <v>Transportation Other Waterborne Diesel ICE Vehicle</v>
      </c>
      <c r="F142" t="s">
        <v>368</v>
      </c>
      <c r="G142" t="str">
        <f t="shared" si="4"/>
        <v>Mvkm</v>
      </c>
    </row>
    <row r="143" spans="2:7" x14ac:dyDescent="0.25">
      <c r="B143" t="str">
        <f>IF('TRA RESID'!K140=0,"*",IF(SUMIFS('TRA RESID'!R:R,'TRA RESID'!J:J,D143)=0,"*","PRE"))</f>
        <v>*</v>
      </c>
      <c r="C143" t="s">
        <v>367</v>
      </c>
      <c r="D143" t="str">
        <f>'TRA RESID'!J140</f>
        <v>TRAOTHWATICEFOI19</v>
      </c>
      <c r="E143" t="str">
        <f>'TRA RESID'!A140&amp;" "&amp;'TRA RESID'!B140&amp;" "&amp;'TRA RESID'!C140&amp;" "&amp;'TRA RESID'!F140</f>
        <v>Transportation Other Waterborne Fuel oil ICE Vehicle</v>
      </c>
      <c r="F143" t="s">
        <v>368</v>
      </c>
      <c r="G143" t="str">
        <f t="shared" si="4"/>
        <v>Mvkm</v>
      </c>
    </row>
    <row r="144" spans="2:7" x14ac:dyDescent="0.25">
      <c r="B144" t="str">
        <f>IF('TRA RESID'!K141=0,"*",IF(SUMIFS('TRA RESID'!R:R,'TRA RESID'!J:J,D144)=0,"*","PRE"))</f>
        <v>*</v>
      </c>
      <c r="C144" t="s">
        <v>367</v>
      </c>
      <c r="D144" t="str">
        <f>'TRA RESID'!J141</f>
        <v>TRAOTHAIRICEVAGA19</v>
      </c>
      <c r="E144" t="str">
        <f>'TRA RESID'!A141&amp;" "&amp;'TRA RESID'!B141&amp;" "&amp;'TRA RESID'!C141&amp;" "&amp;'TRA RESID'!F141</f>
        <v>Transportation Other Aviation Aviation Gasoline ICE Vehicle</v>
      </c>
      <c r="F144" t="s">
        <v>368</v>
      </c>
      <c r="G144" t="str">
        <f t="shared" si="4"/>
        <v>Mvkm</v>
      </c>
    </row>
    <row r="145" spans="2:7" x14ac:dyDescent="0.25">
      <c r="B145" t="str">
        <f>IF('TRA RESID'!K142=0,"*",IF(SUMIFS('TRA RESID'!R:R,'TRA RESID'!J:J,D145)=0,"*","PRE"))</f>
        <v>PRE</v>
      </c>
      <c r="C145" t="s">
        <v>367</v>
      </c>
      <c r="D145" t="str">
        <f>'TRA RESID'!J142</f>
        <v>TRAOTHAIRTURREA19</v>
      </c>
      <c r="E145" t="str">
        <f>'TRA RESID'!A142&amp;" "&amp;'TRA RESID'!B142&amp;" "&amp;'TRA RESID'!C142&amp;" "&amp;'TRA RESID'!F142</f>
        <v>Transportation Other Aviation Turbo-reactor</v>
      </c>
      <c r="F145" t="s">
        <v>368</v>
      </c>
      <c r="G145" t="str">
        <f t="shared" si="4"/>
        <v>Mvkm</v>
      </c>
    </row>
    <row r="146" spans="2:7" x14ac:dyDescent="0.25">
      <c r="B146" t="str">
        <f>IF('TRA RESID'!K143=0,"*",IF(SUMIFS('TRA RESID'!R:R,'TRA RESID'!J:J,D146)=0,"*","PRE"))</f>
        <v>*</v>
      </c>
      <c r="C146" t="s">
        <v>367</v>
      </c>
      <c r="D146" t="str">
        <f>'TRA RESID'!J143</f>
        <v>TRAOTHAIRTURREA19</v>
      </c>
      <c r="E146" t="str">
        <f>'TRA RESID'!A143&amp;" "&amp;'TRA RESID'!B143&amp;" "&amp;'TRA RESID'!C143&amp;" "&amp;'TRA RESID'!F143</f>
        <v>Transportation Other Aviation Turbo-reactor</v>
      </c>
      <c r="F146" t="s">
        <v>368</v>
      </c>
      <c r="G146" t="str">
        <f t="shared" si="4"/>
        <v>Mvkm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26"/>
  <sheetViews>
    <sheetView workbookViewId="0">
      <selection activeCell="D25" sqref="D25"/>
    </sheetView>
  </sheetViews>
  <sheetFormatPr defaultRowHeight="15" x14ac:dyDescent="0.25"/>
  <cols>
    <col min="2" max="2" width="12.5703125" customWidth="1"/>
    <col min="3" max="3" width="21.28515625" bestFit="1" customWidth="1"/>
    <col min="4" max="4" width="70.28515625" bestFit="1" customWidth="1"/>
    <col min="5" max="5" width="6.42578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 x14ac:dyDescent="0.25">
      <c r="B2" s="10" t="s">
        <v>369</v>
      </c>
    </row>
    <row r="3" spans="2:9" x14ac:dyDescent="0.25">
      <c r="B3" s="11" t="s">
        <v>370</v>
      </c>
      <c r="C3" s="11" t="s">
        <v>371</v>
      </c>
      <c r="D3" s="11" t="s">
        <v>372</v>
      </c>
      <c r="E3" s="11" t="s">
        <v>264</v>
      </c>
      <c r="F3" s="11" t="s">
        <v>373</v>
      </c>
      <c r="G3" s="11" t="s">
        <v>374</v>
      </c>
      <c r="H3" s="11" t="s">
        <v>375</v>
      </c>
      <c r="I3" s="11" t="s">
        <v>376</v>
      </c>
    </row>
    <row r="4" spans="2:9" ht="40.9" customHeight="1" thickBot="1" x14ac:dyDescent="0.3">
      <c r="B4" s="12" t="s">
        <v>377</v>
      </c>
      <c r="C4" s="12" t="s">
        <v>378</v>
      </c>
      <c r="D4" s="12" t="s">
        <v>379</v>
      </c>
      <c r="E4" s="12" t="s">
        <v>264</v>
      </c>
      <c r="F4" s="12" t="s">
        <v>380</v>
      </c>
      <c r="G4" s="12" t="s">
        <v>381</v>
      </c>
      <c r="H4" s="12" t="s">
        <v>382</v>
      </c>
      <c r="I4" s="12" t="s">
        <v>383</v>
      </c>
    </row>
    <row r="5" spans="2:9" x14ac:dyDescent="0.25">
      <c r="B5" t="s">
        <v>384</v>
      </c>
      <c r="C5" t="str">
        <f>Demand!E35</f>
        <v>TRAPASCARDMD</v>
      </c>
      <c r="D5" t="str">
        <f>Demand!A35&amp;" "&amp;Demand!B35&amp;" "&amp;Demand!C35&amp;" "&amp;Demand!D35&amp;" "&amp;"demand"</f>
        <v>Transportation Passenger Passenger Car  demand</v>
      </c>
      <c r="E5" t="s">
        <v>368</v>
      </c>
    </row>
    <row r="6" spans="2:9" x14ac:dyDescent="0.25">
      <c r="B6" t="s">
        <v>384</v>
      </c>
      <c r="C6" t="str">
        <f>Demand!E36</f>
        <v>TRAPASLDTDMD</v>
      </c>
      <c r="D6" t="str">
        <f>Demand!A36&amp;" "&amp;Demand!B36&amp;" "&amp;Demand!C36&amp;" "&amp;Demand!D36&amp;" "&amp;"demand"</f>
        <v>Transportation Passenger Passenger Truck  demand</v>
      </c>
      <c r="E6" t="s">
        <v>368</v>
      </c>
    </row>
    <row r="7" spans="2:9" x14ac:dyDescent="0.25">
      <c r="B7" t="s">
        <v>384</v>
      </c>
      <c r="C7" t="str">
        <f>Demand!E37</f>
        <v>TRAPASMOTDMD</v>
      </c>
      <c r="D7" t="str">
        <f>Demand!A37&amp;" "&amp;Demand!B37&amp;" "&amp;Demand!C37&amp;" "&amp;Demand!D37&amp;" "&amp;"demand"</f>
        <v>Transportation Passenger Motorcycle  demand</v>
      </c>
      <c r="E7" t="s">
        <v>368</v>
      </c>
    </row>
    <row r="8" spans="2:9" x14ac:dyDescent="0.25">
      <c r="B8" t="s">
        <v>384</v>
      </c>
      <c r="C8" t="str">
        <f>Demand!E38</f>
        <v>TRAFRECLTDMD</v>
      </c>
      <c r="D8" t="str">
        <f>Demand!A38&amp;" "&amp;Demand!B38&amp;" "&amp;Demand!C38&amp;" "&amp;Demand!D38&amp;" "&amp;"demand"</f>
        <v>Transportation Freight Light Commercial Truck  demand</v>
      </c>
      <c r="E8" t="s">
        <v>368</v>
      </c>
    </row>
    <row r="9" spans="2:9" x14ac:dyDescent="0.25">
      <c r="B9" t="s">
        <v>384</v>
      </c>
      <c r="C9" t="str">
        <f>Demand!E39</f>
        <v>TRAFRERFTDMD</v>
      </c>
      <c r="D9" t="str">
        <f>Demand!A39&amp;" "&amp;Demand!B39&amp;" "&amp;Demand!C39&amp;" "&amp;Demand!D39&amp;" "&amp;"demand"</f>
        <v>Transportation Freight Refuse Truck  demand</v>
      </c>
      <c r="E9" t="s">
        <v>368</v>
      </c>
    </row>
    <row r="10" spans="2:9" x14ac:dyDescent="0.25">
      <c r="B10" t="s">
        <v>384</v>
      </c>
      <c r="C10" t="str">
        <f>Demand!E40</f>
        <v>TRAFRESLHDMD</v>
      </c>
      <c r="D10" t="str">
        <f>Demand!A40&amp;" "&amp;Demand!B40&amp;" "&amp;Demand!C40&amp;" "&amp;Demand!D40&amp;" "&amp;"demand"</f>
        <v>Transportation Freight Single Unit Long-haul Truck  demand</v>
      </c>
      <c r="E10" t="s">
        <v>368</v>
      </c>
    </row>
    <row r="11" spans="2:9" x14ac:dyDescent="0.25">
      <c r="B11" t="s">
        <v>384</v>
      </c>
      <c r="C11" t="str">
        <f>Demand!E41</f>
        <v>TRAFRESSHDMD</v>
      </c>
      <c r="D11" t="str">
        <f>Demand!A41&amp;" "&amp;Demand!B41&amp;" "&amp;Demand!C41&amp;" "&amp;Demand!D41&amp;" "&amp;"demand"</f>
        <v>Transportation Freight Single Unit Short-haul Truck  demand</v>
      </c>
      <c r="E11" t="s">
        <v>368</v>
      </c>
    </row>
    <row r="12" spans="2:9" x14ac:dyDescent="0.25">
      <c r="B12" t="s">
        <v>384</v>
      </c>
      <c r="C12" t="str">
        <f>Demand!E42</f>
        <v>TRAFRECLHDMD</v>
      </c>
      <c r="D12" t="str">
        <f>Demand!A42&amp;" "&amp;Demand!B42&amp;" "&amp;Demand!C42&amp;" "&amp;Demand!D42&amp;" "&amp;"demand"</f>
        <v>Transportation Freight Combination Long-haul Truck  demand</v>
      </c>
      <c r="E12" t="s">
        <v>368</v>
      </c>
    </row>
    <row r="13" spans="2:9" x14ac:dyDescent="0.25">
      <c r="B13" t="s">
        <v>384</v>
      </c>
      <c r="C13" t="str">
        <f>Demand!E43</f>
        <v>TRAFRECSHDMD</v>
      </c>
      <c r="D13" t="str">
        <f>Demand!A43&amp;" "&amp;Demand!B43&amp;" "&amp;Demand!C43&amp;" "&amp;Demand!D43&amp;" "&amp;"demand"</f>
        <v>Transportation Freight Combination Short-haul Truck  demand</v>
      </c>
      <c r="E13" t="s">
        <v>368</v>
      </c>
    </row>
    <row r="14" spans="2:9" x14ac:dyDescent="0.25">
      <c r="B14" t="s">
        <v>384</v>
      </c>
      <c r="C14" t="str">
        <f>Demand!E44</f>
        <v>TRAPASTBUDMD</v>
      </c>
      <c r="D14" t="str">
        <f>Demand!A44&amp;" "&amp;Demand!B44&amp;" "&amp;Demand!C44&amp;" "&amp;Demand!D44&amp;" "&amp;"demand"</f>
        <v>Transportation Passenger Transit Bus  demand</v>
      </c>
      <c r="E14" t="s">
        <v>368</v>
      </c>
    </row>
    <row r="15" spans="2:9" x14ac:dyDescent="0.25">
      <c r="B15" t="s">
        <v>384</v>
      </c>
      <c r="C15" t="str">
        <f>Demand!E45</f>
        <v>TRAPASSBUDMD</v>
      </c>
      <c r="D15" t="str">
        <f>Demand!A45&amp;" "&amp;Demand!B45&amp;" "&amp;Demand!C45&amp;" "&amp;Demand!D45&amp;" "&amp;"demand"</f>
        <v>Transportation Passenger School Bus  demand</v>
      </c>
      <c r="E15" t="s">
        <v>368</v>
      </c>
    </row>
    <row r="16" spans="2:9" x14ac:dyDescent="0.25">
      <c r="B16" t="s">
        <v>384</v>
      </c>
      <c r="C16" t="str">
        <f>Demand!E46</f>
        <v>TRAPASOBUDMD</v>
      </c>
      <c r="D16" t="str">
        <f>Demand!A46&amp;" "&amp;Demand!B46&amp;" "&amp;Demand!C46&amp;" "&amp;Demand!D46&amp;" "&amp;"demand"</f>
        <v>Transportation Passenger Other Buses  demand</v>
      </c>
      <c r="E16" t="s">
        <v>368</v>
      </c>
    </row>
    <row r="17" spans="2:5" x14ac:dyDescent="0.25">
      <c r="B17" t="s">
        <v>384</v>
      </c>
      <c r="C17" t="str">
        <f>Demand!E47</f>
        <v>TRAPASRAIDMD</v>
      </c>
      <c r="D17" t="str">
        <f>Demand!A47&amp;" "&amp;Demand!B47&amp;" "&amp;Demand!C47&amp;" "&amp;Demand!D47&amp;" "&amp;"demand"</f>
        <v>Transportation Passenger Rail  demand</v>
      </c>
      <c r="E17" t="s">
        <v>368</v>
      </c>
    </row>
    <row r="18" spans="2:5" x14ac:dyDescent="0.25">
      <c r="B18" t="s">
        <v>384</v>
      </c>
      <c r="C18" t="str">
        <f>Demand!E48</f>
        <v>TRAPASTRMDMD</v>
      </c>
      <c r="D18" t="str">
        <f>Demand!A48&amp;" "&amp;Demand!B48&amp;" "&amp;Demand!C48&amp;" "&amp;Demand!D48&amp;" "&amp;"demand"</f>
        <v>Transportation Passenger Tram  demand</v>
      </c>
      <c r="E18" t="s">
        <v>368</v>
      </c>
    </row>
    <row r="19" spans="2:5" x14ac:dyDescent="0.25">
      <c r="B19" t="s">
        <v>384</v>
      </c>
      <c r="C19" t="str">
        <f>Demand!E49</f>
        <v>TRAPASSUBDMD</v>
      </c>
      <c r="D19" t="str">
        <f>Demand!A49&amp;" "&amp;Demand!B49&amp;" "&amp;Demand!C49&amp;" "&amp;Demand!D49&amp;" "&amp;"demand"</f>
        <v>Transportation Passenger Subway  demand</v>
      </c>
      <c r="E19" t="s">
        <v>368</v>
      </c>
    </row>
    <row r="20" spans="2:5" x14ac:dyDescent="0.25">
      <c r="B20" t="s">
        <v>384</v>
      </c>
      <c r="C20" t="str">
        <f>Demand!E50</f>
        <v>TRAPASBICDMD</v>
      </c>
      <c r="D20" t="str">
        <f>Demand!A50&amp;" "&amp;Demand!B50&amp;" "&amp;Demand!C50&amp;" "&amp;Demand!D50&amp;" "&amp;"demand"</f>
        <v>Transportation Passenger Bicycle  demand</v>
      </c>
      <c r="E20" t="s">
        <v>368</v>
      </c>
    </row>
    <row r="21" spans="2:5" x14ac:dyDescent="0.25">
      <c r="B21" t="s">
        <v>384</v>
      </c>
      <c r="C21" t="str">
        <f>Demand!E51</f>
        <v>TRAPASWALDMD</v>
      </c>
      <c r="D21" t="str">
        <f>Demand!A51&amp;" "&amp;Demand!B51&amp;" "&amp;Demand!C51&amp;" "&amp;Demand!D51&amp;" "&amp;"demand"</f>
        <v>Transportation Passenger Walk  demand</v>
      </c>
      <c r="E21" t="s">
        <v>368</v>
      </c>
    </row>
    <row r="22" spans="2:5" x14ac:dyDescent="0.25">
      <c r="B22" t="s">
        <v>384</v>
      </c>
      <c r="C22" t="str">
        <f>Demand!E52</f>
        <v>TRAOTHOFRDMD</v>
      </c>
      <c r="D22" t="str">
        <f>Demand!A52&amp;" "&amp;Demand!B52&amp;" "&amp;Demand!C52&amp;" "&amp;Demand!D52&amp;" "&amp;"demand"</f>
        <v>Transportation Other Off-Road  demand</v>
      </c>
      <c r="E22" t="s">
        <v>368</v>
      </c>
    </row>
    <row r="23" spans="2:5" x14ac:dyDescent="0.25">
      <c r="B23" t="s">
        <v>384</v>
      </c>
      <c r="C23" t="str">
        <f>Demand!E53</f>
        <v>TRAOTHWATDMD</v>
      </c>
      <c r="D23" t="str">
        <f>Demand!A53&amp;" "&amp;Demand!B53&amp;" "&amp;Demand!C53&amp;" "&amp;Demand!D53&amp;" "&amp;"demand"</f>
        <v>Transportation Other Waterborne  demand</v>
      </c>
      <c r="E23" t="s">
        <v>368</v>
      </c>
    </row>
    <row r="24" spans="2:5" x14ac:dyDescent="0.25">
      <c r="B24" t="s">
        <v>384</v>
      </c>
      <c r="C24" t="str">
        <f>Demand!E54</f>
        <v>TRAOTHAIRDMD</v>
      </c>
      <c r="D24" t="str">
        <f>Demand!A54&amp;" "&amp;Demand!B54&amp;" "&amp;Demand!C54&amp;" "&amp;Demand!D54&amp;" "&amp;"demand"</f>
        <v>Transportation Other Aviation  demand</v>
      </c>
      <c r="E24" t="s">
        <v>368</v>
      </c>
    </row>
    <row r="25" spans="2:5" x14ac:dyDescent="0.25">
      <c r="B25" t="s">
        <v>385</v>
      </c>
      <c r="C25" t="str">
        <f>'TRA RESID'!H9</f>
        <v>TRABAT</v>
      </c>
      <c r="D25" t="s">
        <v>386</v>
      </c>
      <c r="E25" t="s">
        <v>318</v>
      </c>
    </row>
    <row r="26" spans="2:5" x14ac:dyDescent="0.25">
      <c r="B26" t="s">
        <v>385</v>
      </c>
      <c r="C26" t="str">
        <f>'TRA RESID'!H45</f>
        <v>TRABAF</v>
      </c>
      <c r="D26" t="s">
        <v>387</v>
      </c>
      <c r="E26" t="s">
        <v>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370"/>
  <sheetViews>
    <sheetView tabSelected="1" zoomScale="85" zoomScaleNormal="85" workbookViewId="0">
      <selection activeCell="K7" sqref="K7:K148"/>
    </sheetView>
  </sheetViews>
  <sheetFormatPr defaultRowHeight="15" x14ac:dyDescent="0.25"/>
  <cols>
    <col min="2" max="2" width="22.28515625" bestFit="1" customWidth="1"/>
    <col min="3" max="4" width="9.7109375" bestFit="1" customWidth="1"/>
    <col min="8" max="8" width="22.28515625" bestFit="1" customWidth="1"/>
    <col min="9" max="9" width="9.7109375" bestFit="1" customWidth="1"/>
    <col min="10" max="10" width="14.28515625" bestFit="1" customWidth="1"/>
    <col min="15" max="15" width="25.140625" bestFit="1" customWidth="1"/>
    <col min="16" max="16" width="18.7109375" bestFit="1" customWidth="1"/>
    <col min="17" max="17" width="5.85546875" bestFit="1" customWidth="1"/>
    <col min="18" max="18" width="13.42578125" bestFit="1" customWidth="1"/>
    <col min="19" max="19" width="14.7109375" bestFit="1" customWidth="1"/>
    <col min="20" max="20" width="12.28515625" bestFit="1" customWidth="1"/>
    <col min="21" max="21" width="11.28515625" style="8" bestFit="1" customWidth="1"/>
    <col min="22" max="22" width="16.7109375" bestFit="1" customWidth="1"/>
    <col min="23" max="23" width="14.7109375" bestFit="1" customWidth="1"/>
  </cols>
  <sheetData>
    <row r="1" spans="2:23" x14ac:dyDescent="0.25">
      <c r="V1">
        <f>'City characteristics'!C20</f>
        <v>2019</v>
      </c>
      <c r="W1">
        <v>0.98</v>
      </c>
    </row>
    <row r="2" spans="2:23" x14ac:dyDescent="0.25">
      <c r="V2" t="s">
        <v>388</v>
      </c>
    </row>
    <row r="4" spans="2:23" x14ac:dyDescent="0.25">
      <c r="C4" s="10" t="s">
        <v>389</v>
      </c>
      <c r="E4" s="10"/>
      <c r="I4" s="10" t="s">
        <v>389</v>
      </c>
      <c r="K4" s="10"/>
      <c r="P4" s="10" t="s">
        <v>389</v>
      </c>
    </row>
    <row r="5" spans="2:23" x14ac:dyDescent="0.25">
      <c r="B5" s="11" t="s">
        <v>352</v>
      </c>
      <c r="C5" s="11" t="s">
        <v>390</v>
      </c>
      <c r="D5" s="11" t="s">
        <v>391</v>
      </c>
      <c r="E5" s="11" t="s">
        <v>367</v>
      </c>
      <c r="H5" s="11" t="s">
        <v>352</v>
      </c>
      <c r="I5" s="11" t="s">
        <v>390</v>
      </c>
      <c r="J5" s="11" t="s">
        <v>391</v>
      </c>
      <c r="K5" s="11" t="s">
        <v>367</v>
      </c>
      <c r="N5" s="11" t="s">
        <v>351</v>
      </c>
      <c r="O5" s="11" t="s">
        <v>352</v>
      </c>
      <c r="P5" s="11" t="s">
        <v>392</v>
      </c>
      <c r="Q5" s="11" t="s">
        <v>393</v>
      </c>
      <c r="R5" s="11" t="s">
        <v>394</v>
      </c>
      <c r="S5" s="11" t="s">
        <v>395</v>
      </c>
      <c r="T5" s="11" t="s">
        <v>396</v>
      </c>
      <c r="U5" s="14" t="s">
        <v>397</v>
      </c>
      <c r="V5" s="11" t="str">
        <f>V2&amp;"~"&amp;V1</f>
        <v>PRC_RESID~2019</v>
      </c>
      <c r="W5" s="11" t="s">
        <v>398</v>
      </c>
    </row>
    <row r="6" spans="2:23" ht="15" customHeight="1" thickBot="1" x14ac:dyDescent="0.3">
      <c r="B6" s="12" t="s">
        <v>399</v>
      </c>
      <c r="C6" s="12"/>
      <c r="D6" s="12"/>
      <c r="E6" s="12"/>
      <c r="H6" s="12" t="s">
        <v>399</v>
      </c>
      <c r="I6" s="12"/>
      <c r="J6" s="12"/>
      <c r="K6" s="12"/>
      <c r="N6" s="12" t="s">
        <v>399</v>
      </c>
      <c r="O6" s="12" t="s">
        <v>399</v>
      </c>
      <c r="P6" s="12"/>
      <c r="Q6" s="12" t="s">
        <v>400</v>
      </c>
      <c r="R6" s="12" t="s">
        <v>401</v>
      </c>
      <c r="S6" s="12" t="s">
        <v>402</v>
      </c>
      <c r="T6" s="12" t="s">
        <v>403</v>
      </c>
      <c r="U6" s="15" t="s">
        <v>404</v>
      </c>
      <c r="V6" s="12" t="s">
        <v>368</v>
      </c>
      <c r="W6" s="12" t="s">
        <v>402</v>
      </c>
    </row>
    <row r="7" spans="2:23" x14ac:dyDescent="0.25">
      <c r="B7" t="str">
        <f>IF(C7="","*",IF(SUMIFS('TRA RESID'!R:R,'TRA RESID'!J:J,'TRA RESID'!J2)=0,"*",'TRA RESID'!J2))</f>
        <v>TRAPASCARICEVGSL19</v>
      </c>
      <c r="C7" t="str">
        <f>IF('TRA RESID'!H2="","",'TRA RESID'!H2)</f>
        <v>TRAGSL</v>
      </c>
      <c r="D7" t="s">
        <v>405</v>
      </c>
      <c r="E7" s="9">
        <f>IF(B7="*",1,SUMIFS('TRA RESID'!O:O,'TRA RESID'!J:J,B7,'TRA RESID'!H:H,C7))</f>
        <v>1</v>
      </c>
      <c r="H7" t="str">
        <f>IF(I7="","*",IF(SUMIFS('TRA RESID'!R:R,'TRA RESID'!J:J,'TRA RESID'!J2)=0,"*",'TRA RESID'!J2))</f>
        <v>TRAPASCARICEVGSL19</v>
      </c>
      <c r="I7" t="str">
        <f>IF('TRA RESID'!H2="","",'TRA RESID'!H2)</f>
        <v>TRAGSL</v>
      </c>
      <c r="J7" t="str">
        <f>"Share~LO~"&amp;'City characteristics'!$C$20</f>
        <v>Share~LO~2019</v>
      </c>
      <c r="K7" s="9">
        <f>IF(B7="*",0,SUMIFS('TRA RESID'!N:N,'TRA RESID'!J:J,B7,'TRA RESID'!H:H,C7))</f>
        <v>0.9</v>
      </c>
      <c r="N7" t="str">
        <f>IF(Def_Tech!B5="*","*",Def_Tech!C5)</f>
        <v>CITY</v>
      </c>
      <c r="O7" t="str">
        <f>Def_Tech!D5</f>
        <v>TRAPASCARICEVGSL19</v>
      </c>
      <c r="P7" t="str">
        <f>_xlfn.XLOOKUP(O7,'TRA RESID'!J:J,'TRA RESID'!I:I)</f>
        <v>TRAPASCARDMD</v>
      </c>
      <c r="Q7" s="13">
        <f>_xlfn.XLOOKUP(O7,'TRA RESID'!J:J,'TRA RESID'!S:S)</f>
        <v>0.32901531737728362</v>
      </c>
      <c r="R7">
        <f>_xlfn.XLOOKUP(O7,'TRA RESID'!J:J,'TRA RESID'!X:X)</f>
        <v>1</v>
      </c>
      <c r="S7" s="9">
        <f>_xlfn.XLOOKUP(O7,'TRA RESID'!J:J,'TRA RESID'!W:W)</f>
        <v>1</v>
      </c>
      <c r="T7" s="16">
        <f>_xlfn.XLOOKUP(O7,'TRA RESID'!J:J,'TRA RESID'!T:T)</f>
        <v>12</v>
      </c>
      <c r="U7" s="8">
        <f>_xlfn.XLOOKUP(O7,'TRA RESID'!J:J,'TRA RESID'!U:U)</f>
        <v>6.4729489937102871</v>
      </c>
      <c r="V7" s="16">
        <f>SUMIFS('TRA RESID'!R:R,'TRA RESID'!J:J,O7)</f>
        <v>67507.553488754507</v>
      </c>
      <c r="W7" s="9">
        <f t="shared" ref="W7:W38" si="0">S7*W$1</f>
        <v>0.98</v>
      </c>
    </row>
    <row r="8" spans="2:23" x14ac:dyDescent="0.25">
      <c r="B8" t="str">
        <f>IF(C8="","*",IF(SUMIFS('TRA RESID'!R:R,'TRA RESID'!J:J,'TRA RESID'!J3)=0,"*",'TRA RESID'!J3))</f>
        <v>TRAPASCARICEVGSL19</v>
      </c>
      <c r="C8" t="str">
        <f>IF('TRA RESID'!H3="","",'TRA RESID'!H3)</f>
        <v>TRAETH</v>
      </c>
      <c r="D8" t="s">
        <v>405</v>
      </c>
      <c r="E8" s="9">
        <f>IF(B8="*",1,SUMIFS('TRA RESID'!O:O,'TRA RESID'!J:J,B8,'TRA RESID'!H:H,C8))</f>
        <v>0.1</v>
      </c>
      <c r="H8" t="str">
        <f>IF(I8="","*",IF(SUMIFS('TRA RESID'!R:R,'TRA RESID'!J:J,'TRA RESID'!J3)=0,"*",'TRA RESID'!J3))</f>
        <v>TRAPASCARICEVGSL19</v>
      </c>
      <c r="I8" t="str">
        <f>IF('TRA RESID'!H3="","",'TRA RESID'!H3)</f>
        <v>TRAETH</v>
      </c>
      <c r="J8" t="str">
        <f>"Share~LO~"&amp;'City characteristics'!$C$20</f>
        <v>Share~LO~2019</v>
      </c>
      <c r="K8" s="9">
        <f>IF(B8="*",0,SUMIFS('TRA RESID'!N:N,'TRA RESID'!J:J,B8,'TRA RESID'!H:H,C8))</f>
        <v>0</v>
      </c>
      <c r="N8" t="str">
        <f>IF(Def_Tech!B6="*","*",Def_Tech!C6)</f>
        <v>*</v>
      </c>
      <c r="O8" t="str">
        <f>Def_Tech!D6</f>
        <v>TRAPASCARICEVGSL19</v>
      </c>
      <c r="P8" t="str">
        <f>_xlfn.XLOOKUP(O8,'TRA RESID'!J:J,'TRA RESID'!I:I)</f>
        <v>TRAPASCARDMD</v>
      </c>
      <c r="Q8" s="13">
        <f>_xlfn.XLOOKUP(O8,'TRA RESID'!J:J,'TRA RESID'!S:S)</f>
        <v>0.32901531737728362</v>
      </c>
      <c r="R8">
        <f>_xlfn.XLOOKUP(O8,'TRA RESID'!J:J,'TRA RESID'!X:X)</f>
        <v>1</v>
      </c>
      <c r="S8" s="9">
        <f>_xlfn.XLOOKUP(O8,'TRA RESID'!J:J,'TRA RESID'!W:W)</f>
        <v>1</v>
      </c>
      <c r="T8" s="16">
        <f>_xlfn.XLOOKUP(O8,'TRA RESID'!J:J,'TRA RESID'!T:T)</f>
        <v>12</v>
      </c>
      <c r="U8" s="8">
        <f>_xlfn.XLOOKUP(O8,'TRA RESID'!J:J,'TRA RESID'!U:U)</f>
        <v>6.4729489937102871</v>
      </c>
      <c r="V8" s="16">
        <f>SUMIFS('TRA RESID'!R:R,'TRA RESID'!J:J,O8)</f>
        <v>67507.553488754507</v>
      </c>
      <c r="W8" s="9">
        <f t="shared" si="0"/>
        <v>0.98</v>
      </c>
    </row>
    <row r="9" spans="2:23" x14ac:dyDescent="0.25">
      <c r="B9" t="str">
        <f>IF(C9="","*",IF(SUMIFS('TRA RESID'!R:R,'TRA RESID'!J:J,'TRA RESID'!J4)=0,"*",'TRA RESID'!J4))</f>
        <v>TRAPASCARICEVDSL19</v>
      </c>
      <c r="C9" t="str">
        <f>IF('TRA RESID'!H4="","",'TRA RESID'!H4)</f>
        <v>TRADSL</v>
      </c>
      <c r="D9" t="s">
        <v>405</v>
      </c>
      <c r="E9" s="9">
        <f>IF(B9="*",1,SUMIFS('TRA RESID'!O:O,'TRA RESID'!J:J,B9,'TRA RESID'!H:H,C9))</f>
        <v>1</v>
      </c>
      <c r="H9" t="str">
        <f>IF(I9="","*",IF(SUMIFS('TRA RESID'!R:R,'TRA RESID'!J:J,'TRA RESID'!J4)=0,"*",'TRA RESID'!J4))</f>
        <v>TRAPASCARICEVDSL19</v>
      </c>
      <c r="I9" t="str">
        <f>IF('TRA RESID'!H4="","",'TRA RESID'!H4)</f>
        <v>TRADSL</v>
      </c>
      <c r="J9" t="str">
        <f>"Share~LO~"&amp;'City characteristics'!$C$20</f>
        <v>Share~LO~2019</v>
      </c>
      <c r="K9" s="9">
        <f>IF(B9="*",0,SUMIFS('TRA RESID'!N:N,'TRA RESID'!J:J,B9,'TRA RESID'!H:H,C9))</f>
        <v>0</v>
      </c>
      <c r="N9" t="str">
        <f>IF(Def_Tech!B7="*","*",Def_Tech!C7)</f>
        <v>CITY</v>
      </c>
      <c r="O9" t="str">
        <f>Def_Tech!D7</f>
        <v>TRAPASCARICEVDSL19</v>
      </c>
      <c r="P9" t="str">
        <f>_xlfn.XLOOKUP(O9,'TRA RESID'!J:J,'TRA RESID'!I:I)</f>
        <v>TRAPASCARDMD</v>
      </c>
      <c r="Q9" s="13">
        <f>_xlfn.XLOOKUP(O9,'TRA RESID'!J:J,'TRA RESID'!S:S)</f>
        <v>0.33413695612397348</v>
      </c>
      <c r="R9">
        <f>_xlfn.XLOOKUP(O9,'TRA RESID'!J:J,'TRA RESID'!X:X)</f>
        <v>1</v>
      </c>
      <c r="S9" s="9">
        <f>_xlfn.XLOOKUP(O9,'TRA RESID'!J:J,'TRA RESID'!W:W)</f>
        <v>1</v>
      </c>
      <c r="T9" s="16">
        <f>_xlfn.XLOOKUP(O9,'TRA RESID'!J:J,'TRA RESID'!T:T)</f>
        <v>12</v>
      </c>
      <c r="U9" s="8">
        <f>_xlfn.XLOOKUP(O9,'TRA RESID'!J:J,'TRA RESID'!U:U)</f>
        <v>6.4729489937102871</v>
      </c>
      <c r="V9" s="16">
        <f>SUMIFS('TRA RESID'!R:R,'TRA RESID'!J:J,O9)</f>
        <v>763.28809724420307</v>
      </c>
      <c r="W9" s="9">
        <f t="shared" si="0"/>
        <v>0.98</v>
      </c>
    </row>
    <row r="10" spans="2:23" x14ac:dyDescent="0.25">
      <c r="B10" t="str">
        <f>IF(C10="","*",IF(SUMIFS('TRA RESID'!R:R,'TRA RESID'!J:J,'TRA RESID'!J5)=0,"*",'TRA RESID'!J5))</f>
        <v>TRAPASCARICEVDSL19</v>
      </c>
      <c r="C10" t="str">
        <f>IF('TRA RESID'!H5="","",'TRA RESID'!H5)</f>
        <v>TRARDS</v>
      </c>
      <c r="D10" t="s">
        <v>405</v>
      </c>
      <c r="E10" s="9">
        <f>IF(B10="*",1,SUMIFS('TRA RESID'!O:O,'TRA RESID'!J:J,B10,'TRA RESID'!H:H,C10))</f>
        <v>1</v>
      </c>
      <c r="H10" t="str">
        <f>IF(I10="","*",IF(SUMIFS('TRA RESID'!R:R,'TRA RESID'!J:J,'TRA RESID'!J5)=0,"*",'TRA RESID'!J5))</f>
        <v>TRAPASCARICEVDSL19</v>
      </c>
      <c r="I10" t="str">
        <f>IF('TRA RESID'!H5="","",'TRA RESID'!H5)</f>
        <v>TRARDS</v>
      </c>
      <c r="J10" t="str">
        <f>"Share~LO~"&amp;'City characteristics'!$C$20</f>
        <v>Share~LO~2019</v>
      </c>
      <c r="K10" s="9">
        <f>IF(B10="*",0,SUMIFS('TRA RESID'!N:N,'TRA RESID'!J:J,B10,'TRA RESID'!H:H,C10))</f>
        <v>0</v>
      </c>
      <c r="N10" t="str">
        <f>IF(Def_Tech!B8="*","*",Def_Tech!C8)</f>
        <v>*</v>
      </c>
      <c r="O10" t="str">
        <f>Def_Tech!D8</f>
        <v>TRAPASCARICEVDSL19</v>
      </c>
      <c r="P10" t="str">
        <f>_xlfn.XLOOKUP(O10,'TRA RESID'!J:J,'TRA RESID'!I:I)</f>
        <v>TRAPASCARDMD</v>
      </c>
      <c r="Q10" s="13">
        <f>_xlfn.XLOOKUP(O10,'TRA RESID'!J:J,'TRA RESID'!S:S)</f>
        <v>0.33413695612397348</v>
      </c>
      <c r="R10">
        <f>_xlfn.XLOOKUP(O10,'TRA RESID'!J:J,'TRA RESID'!X:X)</f>
        <v>1</v>
      </c>
      <c r="S10" s="9">
        <f>_xlfn.XLOOKUP(O10,'TRA RESID'!J:J,'TRA RESID'!W:W)</f>
        <v>1</v>
      </c>
      <c r="T10" s="16">
        <f>_xlfn.XLOOKUP(O10,'TRA RESID'!J:J,'TRA RESID'!T:T)</f>
        <v>12</v>
      </c>
      <c r="U10" s="8">
        <f>_xlfn.XLOOKUP(O10,'TRA RESID'!J:J,'TRA RESID'!U:U)</f>
        <v>6.4729489937102871</v>
      </c>
      <c r="V10" s="16">
        <f>SUMIFS('TRA RESID'!R:R,'TRA RESID'!J:J,O10)</f>
        <v>763.28809724420307</v>
      </c>
      <c r="W10" s="9">
        <f t="shared" si="0"/>
        <v>0.98</v>
      </c>
    </row>
    <row r="11" spans="2:23" x14ac:dyDescent="0.25">
      <c r="B11" t="str">
        <f>IF(C11="","*",IF(SUMIFS('TRA RESID'!R:R,'TRA RESID'!J:J,'TRA RESID'!J6)=0,"*",'TRA RESID'!J6))</f>
        <v>TRAPASCARICEVDSL19</v>
      </c>
      <c r="C11" t="str">
        <f>IF('TRA RESID'!H6="","",'TRA RESID'!H6)</f>
        <v>TRABDS</v>
      </c>
      <c r="D11" t="s">
        <v>405</v>
      </c>
      <c r="E11" s="9">
        <f>IF(B11="*",1,SUMIFS('TRA RESID'!O:O,'TRA RESID'!J:J,B11,'TRA RESID'!H:H,C11))</f>
        <v>0.1</v>
      </c>
      <c r="H11" t="str">
        <f>IF(I11="","*",IF(SUMIFS('TRA RESID'!R:R,'TRA RESID'!J:J,'TRA RESID'!J6)=0,"*",'TRA RESID'!J6))</f>
        <v>TRAPASCARICEVDSL19</v>
      </c>
      <c r="I11" t="str">
        <f>IF('TRA RESID'!H6="","",'TRA RESID'!H6)</f>
        <v>TRABDS</v>
      </c>
      <c r="J11" t="str">
        <f>"Share~LO~"&amp;'City characteristics'!$C$20</f>
        <v>Share~LO~2019</v>
      </c>
      <c r="K11" s="9">
        <f>IF(B11="*",0,SUMIFS('TRA RESID'!N:N,'TRA RESID'!J:J,B11,'TRA RESID'!H:H,C11))</f>
        <v>0</v>
      </c>
      <c r="N11" t="str">
        <f>IF(Def_Tech!B9="*","*",Def_Tech!C9)</f>
        <v>*</v>
      </c>
      <c r="O11" t="str">
        <f>Def_Tech!D9</f>
        <v>TRAPASCARICEVDSL19</v>
      </c>
      <c r="P11" t="str">
        <f>_xlfn.XLOOKUP(O11,'TRA RESID'!J:J,'TRA RESID'!I:I)</f>
        <v>TRAPASCARDMD</v>
      </c>
      <c r="Q11" s="13">
        <f>_xlfn.XLOOKUP(O11,'TRA RESID'!J:J,'TRA RESID'!S:S)</f>
        <v>0.33413695612397348</v>
      </c>
      <c r="R11">
        <f>_xlfn.XLOOKUP(O11,'TRA RESID'!J:J,'TRA RESID'!X:X)</f>
        <v>1</v>
      </c>
      <c r="S11" s="9">
        <f>_xlfn.XLOOKUP(O11,'TRA RESID'!J:J,'TRA RESID'!W:W)</f>
        <v>1</v>
      </c>
      <c r="T11" s="16">
        <f>_xlfn.XLOOKUP(O11,'TRA RESID'!J:J,'TRA RESID'!T:T)</f>
        <v>12</v>
      </c>
      <c r="U11" s="8">
        <f>_xlfn.XLOOKUP(O11,'TRA RESID'!J:J,'TRA RESID'!U:U)</f>
        <v>6.4729489937102871</v>
      </c>
      <c r="V11" s="16">
        <f>SUMIFS('TRA RESID'!R:R,'TRA RESID'!J:J,O11)</f>
        <v>763.28809724420307</v>
      </c>
      <c r="W11" s="9">
        <f t="shared" si="0"/>
        <v>0.98</v>
      </c>
    </row>
    <row r="12" spans="2:23" x14ac:dyDescent="0.25">
      <c r="B12" t="str">
        <f>IF(C12="","*",IF(SUMIFS('TRA RESID'!R:R,'TRA RESID'!J:J,'TRA RESID'!J7)=0,"*",'TRA RESID'!J7))</f>
        <v>*</v>
      </c>
      <c r="C12" t="str">
        <f>IF('TRA RESID'!H7="","",'TRA RESID'!H7)</f>
        <v>TRACNG</v>
      </c>
      <c r="D12" t="s">
        <v>405</v>
      </c>
      <c r="E12" s="9">
        <f>IF(B12="*",1,SUMIFS('TRA RESID'!O:O,'TRA RESID'!J:J,B12,'TRA RESID'!H:H,C12))</f>
        <v>1</v>
      </c>
      <c r="H12" t="str">
        <f>IF(I12="","*",IF(SUMIFS('TRA RESID'!R:R,'TRA RESID'!J:J,'TRA RESID'!J7)=0,"*",'TRA RESID'!J7))</f>
        <v>*</v>
      </c>
      <c r="I12" t="str">
        <f>IF('TRA RESID'!H7="","",'TRA RESID'!H7)</f>
        <v>TRACNG</v>
      </c>
      <c r="J12" t="str">
        <f>"Share~LO~"&amp;'City characteristics'!$C$20</f>
        <v>Share~LO~2019</v>
      </c>
      <c r="K12" s="9">
        <f>IF(B12="*",0,SUMIFS('TRA RESID'!N:N,'TRA RESID'!J:J,B12,'TRA RESID'!H:H,C12))</f>
        <v>0</v>
      </c>
      <c r="N12" t="str">
        <f>IF(Def_Tech!B10="*","*",Def_Tech!C10)</f>
        <v>*</v>
      </c>
      <c r="O12" t="str">
        <f>Def_Tech!D10</f>
        <v>TRAPASCARICEVCNG19</v>
      </c>
      <c r="P12" t="str">
        <f>_xlfn.XLOOKUP(O12,'TRA RESID'!J:J,'TRA RESID'!I:I)</f>
        <v>TRAPASCARDMD</v>
      </c>
      <c r="Q12" s="13">
        <f>_xlfn.XLOOKUP(O12,'TRA RESID'!J:J,'TRA RESID'!S:S)</f>
        <v>0.25976727580466458</v>
      </c>
      <c r="R12">
        <f>_xlfn.XLOOKUP(O12,'TRA RESID'!J:J,'TRA RESID'!X:X)</f>
        <v>1</v>
      </c>
      <c r="S12" s="9">
        <f>_xlfn.XLOOKUP(O12,'TRA RESID'!J:J,'TRA RESID'!W:W)</f>
        <v>1</v>
      </c>
      <c r="T12" s="16">
        <f>_xlfn.XLOOKUP(O12,'TRA RESID'!J:J,'TRA RESID'!T:T)</f>
        <v>12</v>
      </c>
      <c r="U12" s="8">
        <f>_xlfn.XLOOKUP(O12,'TRA RESID'!J:J,'TRA RESID'!U:U)</f>
        <v>6.4729489937102871</v>
      </c>
      <c r="V12" s="16">
        <f>SUMIFS('TRA RESID'!R:R,'TRA RESID'!J:J,O12)</f>
        <v>0</v>
      </c>
      <c r="W12" s="9">
        <f t="shared" si="0"/>
        <v>0.98</v>
      </c>
    </row>
    <row r="13" spans="2:23" x14ac:dyDescent="0.25">
      <c r="B13" t="str">
        <f>IF(C13="","*",IF(SUMIFS('TRA RESID'!R:R,'TRA RESID'!J:J,'TRA RESID'!J8)=0,"*",'TRA RESID'!J8))</f>
        <v>*</v>
      </c>
      <c r="C13" t="str">
        <f>IF('TRA RESID'!H8="","",'TRA RESID'!H8)</f>
        <v>TRARNG</v>
      </c>
      <c r="D13" t="s">
        <v>405</v>
      </c>
      <c r="E13" s="9">
        <f>IF(B13="*",1,SUMIFS('TRA RESID'!O:O,'TRA RESID'!J:J,B13,'TRA RESID'!H:H,C13))</f>
        <v>1</v>
      </c>
      <c r="H13" t="str">
        <f>IF(I13="","*",IF(SUMIFS('TRA RESID'!R:R,'TRA RESID'!J:J,'TRA RESID'!J8)=0,"*",'TRA RESID'!J8))</f>
        <v>*</v>
      </c>
      <c r="I13" t="str">
        <f>IF('TRA RESID'!H8="","",'TRA RESID'!H8)</f>
        <v>TRARNG</v>
      </c>
      <c r="J13" t="str">
        <f>"Share~LO~"&amp;'City characteristics'!$C$20</f>
        <v>Share~LO~2019</v>
      </c>
      <c r="K13" s="9">
        <f>IF(B13="*",0,SUMIFS('TRA RESID'!N:N,'TRA RESID'!J:J,B13,'TRA RESID'!H:H,C13))</f>
        <v>0</v>
      </c>
      <c r="N13" t="str">
        <f>IF(Def_Tech!B11="*","*",Def_Tech!C11)</f>
        <v>*</v>
      </c>
      <c r="O13" t="str">
        <f>Def_Tech!D11</f>
        <v>TRAPASCARICEVCNG19</v>
      </c>
      <c r="P13" t="str">
        <f>_xlfn.XLOOKUP(O13,'TRA RESID'!J:J,'TRA RESID'!I:I)</f>
        <v>TRAPASCARDMD</v>
      </c>
      <c r="Q13" s="13">
        <f>_xlfn.XLOOKUP(O13,'TRA RESID'!J:J,'TRA RESID'!S:S)</f>
        <v>0.25976727580466458</v>
      </c>
      <c r="R13">
        <f>_xlfn.XLOOKUP(O13,'TRA RESID'!J:J,'TRA RESID'!X:X)</f>
        <v>1</v>
      </c>
      <c r="S13" s="9">
        <f>_xlfn.XLOOKUP(O13,'TRA RESID'!J:J,'TRA RESID'!W:W)</f>
        <v>1</v>
      </c>
      <c r="T13" s="16">
        <f>_xlfn.XLOOKUP(O13,'TRA RESID'!J:J,'TRA RESID'!T:T)</f>
        <v>12</v>
      </c>
      <c r="U13" s="8">
        <f>_xlfn.XLOOKUP(O13,'TRA RESID'!J:J,'TRA RESID'!U:U)</f>
        <v>6.4729489937102871</v>
      </c>
      <c r="V13" s="16">
        <f>SUMIFS('TRA RESID'!R:R,'TRA RESID'!J:J,O13)</f>
        <v>0</v>
      </c>
      <c r="W13" s="9">
        <f t="shared" si="0"/>
        <v>0.98</v>
      </c>
    </row>
    <row r="14" spans="2:23" x14ac:dyDescent="0.25">
      <c r="B14" t="str">
        <f>IF(C14="","*",IF(SUMIFS('TRA RESID'!R:R,'TRA RESID'!J:J,'TRA RESID'!J9)=0,"*",'TRA RESID'!J9))</f>
        <v>TRAPASCAR300BEV19</v>
      </c>
      <c r="C14" t="str">
        <f>IF('TRA RESID'!H9="","",'TRA RESID'!H9)</f>
        <v>TRABAT</v>
      </c>
      <c r="D14" t="s">
        <v>405</v>
      </c>
      <c r="E14" s="9">
        <f>IF(B14="*",1,SUMIFS('TRA RESID'!O:O,'TRA RESID'!J:J,B14,'TRA RESID'!H:H,C14))</f>
        <v>1</v>
      </c>
      <c r="H14" t="str">
        <f>IF(I14="","*",IF(SUMIFS('TRA RESID'!R:R,'TRA RESID'!J:J,'TRA RESID'!J9)=0,"*",'TRA RESID'!J9))</f>
        <v>TRAPASCAR300BEV19</v>
      </c>
      <c r="I14" t="str">
        <f>IF('TRA RESID'!H9="","",'TRA RESID'!H9)</f>
        <v>TRABAT</v>
      </c>
      <c r="J14" t="str">
        <f>"Share~LO~"&amp;'City characteristics'!$C$20</f>
        <v>Share~LO~2019</v>
      </c>
      <c r="K14" s="9">
        <f>IF(B14="*",0,SUMIFS('TRA RESID'!N:N,'TRA RESID'!J:J,B14,'TRA RESID'!H:H,C14))</f>
        <v>1</v>
      </c>
      <c r="N14" t="str">
        <f>IF(Def_Tech!B12="*","*",Def_Tech!C12)</f>
        <v>CITY</v>
      </c>
      <c r="O14" t="str">
        <f>Def_Tech!D12</f>
        <v>TRAPASCAR300BEV19</v>
      </c>
      <c r="P14" t="str">
        <f>_xlfn.XLOOKUP(O14,'TRA RESID'!J:J,'TRA RESID'!I:I)</f>
        <v>TRAPASCARDMD</v>
      </c>
      <c r="Q14" s="13">
        <f>_xlfn.XLOOKUP(O14,'TRA RESID'!J:J,'TRA RESID'!S:S)</f>
        <v>0.73546866924442045</v>
      </c>
      <c r="R14">
        <f>_xlfn.XLOOKUP(O14,'TRA RESID'!J:J,'TRA RESID'!X:X)</f>
        <v>1</v>
      </c>
      <c r="S14" s="9">
        <f>_xlfn.XLOOKUP(O14,'TRA RESID'!J:J,'TRA RESID'!W:W)</f>
        <v>1</v>
      </c>
      <c r="T14" s="16">
        <f>_xlfn.XLOOKUP(O14,'TRA RESID'!J:J,'TRA RESID'!T:T)</f>
        <v>12</v>
      </c>
      <c r="U14" s="8">
        <f>_xlfn.XLOOKUP(O14,'TRA RESID'!J:J,'TRA RESID'!U:U)</f>
        <v>6.4729489937102871</v>
      </c>
      <c r="V14" s="16">
        <f>SUMIFS('TRA RESID'!R:R,'TRA RESID'!J:J,O14)</f>
        <v>650.40930437245834</v>
      </c>
      <c r="W14" s="9">
        <f t="shared" si="0"/>
        <v>0.98</v>
      </c>
    </row>
    <row r="15" spans="2:23" x14ac:dyDescent="0.25">
      <c r="B15" t="str">
        <f>IF(C15="","*",IF(SUMIFS('TRA RESID'!R:R,'TRA RESID'!J:J,'TRA RESID'!J10)=0,"*",'TRA RESID'!J10))</f>
        <v>*</v>
      </c>
      <c r="C15" t="str">
        <f>IF('TRA RESID'!H10="","",'TRA RESID'!H10)</f>
        <v>TRAH2G</v>
      </c>
      <c r="D15" t="s">
        <v>405</v>
      </c>
      <c r="E15" s="9">
        <f>IF(B15="*",1,SUMIFS('TRA RESID'!O:O,'TRA RESID'!J:J,B15,'TRA RESID'!H:H,C15))</f>
        <v>1</v>
      </c>
      <c r="H15" t="str">
        <f>IF(I15="","*",IF(SUMIFS('TRA RESID'!R:R,'TRA RESID'!J:J,'TRA RESID'!J10)=0,"*",'TRA RESID'!J10))</f>
        <v>*</v>
      </c>
      <c r="I15" t="str">
        <f>IF('TRA RESID'!H10="","",'TRA RESID'!H10)</f>
        <v>TRAH2G</v>
      </c>
      <c r="J15" t="str">
        <f>"Share~LO~"&amp;'City characteristics'!$C$20</f>
        <v>Share~LO~2019</v>
      </c>
      <c r="K15" s="9">
        <f>IF(B15="*",0,SUMIFS('TRA RESID'!N:N,'TRA RESID'!J:J,B15,'TRA RESID'!H:H,C15))</f>
        <v>0</v>
      </c>
      <c r="N15" t="str">
        <f>IF(Def_Tech!B13="*","*",Def_Tech!C13)</f>
        <v>*</v>
      </c>
      <c r="O15" t="str">
        <f>Def_Tech!D13</f>
        <v>TRAPASCAR300FCEV19</v>
      </c>
      <c r="P15" t="str">
        <f>_xlfn.XLOOKUP(O15,'TRA RESID'!J:J,'TRA RESID'!I:I)</f>
        <v>TRAPASCARDMD</v>
      </c>
      <c r="Q15" s="13">
        <f>_xlfn.XLOOKUP(O15,'TRA RESID'!J:J,'TRA RESID'!S:S)</f>
        <v>0.73546866924442045</v>
      </c>
      <c r="R15">
        <f>_xlfn.XLOOKUP(O15,'TRA RESID'!J:J,'TRA RESID'!X:X)</f>
        <v>1</v>
      </c>
      <c r="S15" s="9">
        <f>_xlfn.XLOOKUP(O15,'TRA RESID'!J:J,'TRA RESID'!W:W)</f>
        <v>1</v>
      </c>
      <c r="T15" s="16">
        <f>_xlfn.XLOOKUP(O15,'TRA RESID'!J:J,'TRA RESID'!T:T)</f>
        <v>12</v>
      </c>
      <c r="U15" s="8">
        <f>_xlfn.XLOOKUP(O15,'TRA RESID'!J:J,'TRA RESID'!U:U)</f>
        <v>6.4729489937102871</v>
      </c>
      <c r="V15" s="16">
        <f>SUMIFS('TRA RESID'!R:R,'TRA RESID'!J:J,O15)</f>
        <v>0</v>
      </c>
      <c r="W15" s="9">
        <f t="shared" si="0"/>
        <v>0.98</v>
      </c>
    </row>
    <row r="16" spans="2:23" x14ac:dyDescent="0.25">
      <c r="B16" t="str">
        <f>IF(C16="","*",IF(SUMIFS('TRA RESID'!R:R,'TRA RESID'!J:J,'TRA RESID'!J11)=0,"*",'TRA RESID'!J11))</f>
        <v>*</v>
      </c>
      <c r="C16" t="str">
        <f>IF('TRA RESID'!H11="","",'TRA RESID'!H11)</f>
        <v>TRAGSL</v>
      </c>
      <c r="D16" t="s">
        <v>405</v>
      </c>
      <c r="E16" s="9">
        <f>IF(B16="*",1,SUMIFS('TRA RESID'!O:O,'TRA RESID'!J:J,B16,'TRA RESID'!H:H,C16))</f>
        <v>1</v>
      </c>
      <c r="H16" t="str">
        <f>IF(I16="","*",IF(SUMIFS('TRA RESID'!R:R,'TRA RESID'!J:J,'TRA RESID'!J11)=0,"*",'TRA RESID'!J11))</f>
        <v>*</v>
      </c>
      <c r="I16" t="str">
        <f>IF('TRA RESID'!H11="","",'TRA RESID'!H11)</f>
        <v>TRAGSL</v>
      </c>
      <c r="J16" t="str">
        <f>"Share~LO~"&amp;'City characteristics'!$C$20</f>
        <v>Share~LO~2019</v>
      </c>
      <c r="K16" s="9">
        <f>IF(B16="*",0,SUMIFS('TRA RESID'!N:N,'TRA RESID'!J:J,B16,'TRA RESID'!H:H,C16))</f>
        <v>0</v>
      </c>
      <c r="N16" t="str">
        <f>IF(Def_Tech!B14="*","*",Def_Tech!C14)</f>
        <v>*</v>
      </c>
      <c r="O16" t="str">
        <f>Def_Tech!D14</f>
        <v>TRAPASLDTICEVGSL19</v>
      </c>
      <c r="P16" t="str">
        <f>_xlfn.XLOOKUP(O16,'TRA RESID'!J:J,'TRA RESID'!I:I)</f>
        <v>TRAPASLDTDMD</v>
      </c>
      <c r="Q16" s="13">
        <f>_xlfn.XLOOKUP(O16,'TRA RESID'!J:J,'TRA RESID'!S:S)</f>
        <v>0.2492597874721639</v>
      </c>
      <c r="R16">
        <f>_xlfn.XLOOKUP(O16,'TRA RESID'!J:J,'TRA RESID'!X:X)</f>
        <v>1</v>
      </c>
      <c r="S16" s="9">
        <f>_xlfn.XLOOKUP(O16,'TRA RESID'!J:J,'TRA RESID'!W:W)</f>
        <v>1</v>
      </c>
      <c r="T16" s="16">
        <f>_xlfn.XLOOKUP(O16,'TRA RESID'!J:J,'TRA RESID'!T:T)</f>
        <v>13</v>
      </c>
      <c r="U16" s="8">
        <f>_xlfn.XLOOKUP(O16,'TRA RESID'!J:J,'TRA RESID'!U:U)</f>
        <v>5.8122531888635924</v>
      </c>
      <c r="V16" s="16">
        <f>SUMIFS('TRA RESID'!R:R,'TRA RESID'!J:J,O16)</f>
        <v>0</v>
      </c>
      <c r="W16" s="9">
        <f t="shared" si="0"/>
        <v>0.98</v>
      </c>
    </row>
    <row r="17" spans="2:23" x14ac:dyDescent="0.25">
      <c r="B17" t="str">
        <f>IF(C17="","*",IF(SUMIFS('TRA RESID'!R:R,'TRA RESID'!J:J,'TRA RESID'!J12)=0,"*",'TRA RESID'!J12))</f>
        <v>*</v>
      </c>
      <c r="C17" t="str">
        <f>IF('TRA RESID'!H12="","",'TRA RESID'!H12)</f>
        <v>TRAETH</v>
      </c>
      <c r="D17" t="s">
        <v>405</v>
      </c>
      <c r="E17" s="9">
        <f>IF(B17="*",1,SUMIFS('TRA RESID'!O:O,'TRA RESID'!J:J,B17,'TRA RESID'!H:H,C17))</f>
        <v>1</v>
      </c>
      <c r="H17" t="str">
        <f>IF(I17="","*",IF(SUMIFS('TRA RESID'!R:R,'TRA RESID'!J:J,'TRA RESID'!J12)=0,"*",'TRA RESID'!J12))</f>
        <v>*</v>
      </c>
      <c r="I17" t="str">
        <f>IF('TRA RESID'!H12="","",'TRA RESID'!H12)</f>
        <v>TRAETH</v>
      </c>
      <c r="J17" t="str">
        <f>"Share~LO~"&amp;'City characteristics'!$C$20</f>
        <v>Share~LO~2019</v>
      </c>
      <c r="K17" s="9">
        <f>IF(B17="*",0,SUMIFS('TRA RESID'!N:N,'TRA RESID'!J:J,B17,'TRA RESID'!H:H,C17))</f>
        <v>0</v>
      </c>
      <c r="N17" t="str">
        <f>IF(Def_Tech!B15="*","*",Def_Tech!C15)</f>
        <v>*</v>
      </c>
      <c r="O17" t="str">
        <f>Def_Tech!D15</f>
        <v>TRAPASLDTICEVGSL19</v>
      </c>
      <c r="P17" t="str">
        <f>_xlfn.XLOOKUP(O17,'TRA RESID'!J:J,'TRA RESID'!I:I)</f>
        <v>TRAPASLDTDMD</v>
      </c>
      <c r="Q17" s="13">
        <f>_xlfn.XLOOKUP(O17,'TRA RESID'!J:J,'TRA RESID'!S:S)</f>
        <v>0.2492597874721639</v>
      </c>
      <c r="R17">
        <f>_xlfn.XLOOKUP(O17,'TRA RESID'!J:J,'TRA RESID'!X:X)</f>
        <v>1</v>
      </c>
      <c r="S17" s="9">
        <f>_xlfn.XLOOKUP(O17,'TRA RESID'!J:J,'TRA RESID'!W:W)</f>
        <v>1</v>
      </c>
      <c r="T17" s="16">
        <f>_xlfn.XLOOKUP(O17,'TRA RESID'!J:J,'TRA RESID'!T:T)</f>
        <v>13</v>
      </c>
      <c r="U17" s="8">
        <f>_xlfn.XLOOKUP(O17,'TRA RESID'!J:J,'TRA RESID'!U:U)</f>
        <v>5.8122531888635924</v>
      </c>
      <c r="V17" s="16">
        <f>SUMIFS('TRA RESID'!R:R,'TRA RESID'!J:J,O17)</f>
        <v>0</v>
      </c>
      <c r="W17" s="9">
        <f t="shared" si="0"/>
        <v>0.98</v>
      </c>
    </row>
    <row r="18" spans="2:23" x14ac:dyDescent="0.25">
      <c r="B18" t="str">
        <f>IF(C18="","*",IF(SUMIFS('TRA RESID'!R:R,'TRA RESID'!J:J,'TRA RESID'!J13)=0,"*",'TRA RESID'!J13))</f>
        <v>*</v>
      </c>
      <c r="C18" t="str">
        <f>IF('TRA RESID'!H13="","",'TRA RESID'!H13)</f>
        <v>TRADSL</v>
      </c>
      <c r="D18" t="s">
        <v>405</v>
      </c>
      <c r="E18" s="9">
        <f>IF(B18="*",1,SUMIFS('TRA RESID'!O:O,'TRA RESID'!J:J,B18,'TRA RESID'!H:H,C18))</f>
        <v>1</v>
      </c>
      <c r="H18" t="str">
        <f>IF(I18="","*",IF(SUMIFS('TRA RESID'!R:R,'TRA RESID'!J:J,'TRA RESID'!J13)=0,"*",'TRA RESID'!J13))</f>
        <v>*</v>
      </c>
      <c r="I18" t="str">
        <f>IF('TRA RESID'!H13="","",'TRA RESID'!H13)</f>
        <v>TRADSL</v>
      </c>
      <c r="J18" t="str">
        <f>"Share~LO~"&amp;'City characteristics'!$C$20</f>
        <v>Share~LO~2019</v>
      </c>
      <c r="K18" s="9">
        <f>IF(B18="*",0,SUMIFS('TRA RESID'!N:N,'TRA RESID'!J:J,B18,'TRA RESID'!H:H,C18))</f>
        <v>0</v>
      </c>
      <c r="N18" t="str">
        <f>IF(Def_Tech!B16="*","*",Def_Tech!C16)</f>
        <v>*</v>
      </c>
      <c r="O18" t="str">
        <f>Def_Tech!D16</f>
        <v>TRAPASLDTICEVDSL19</v>
      </c>
      <c r="P18" t="str">
        <f>_xlfn.XLOOKUP(O18,'TRA RESID'!J:J,'TRA RESID'!I:I)</f>
        <v>TRAPASLDTDMD</v>
      </c>
      <c r="Q18" s="13">
        <f>_xlfn.XLOOKUP(O18,'TRA RESID'!J:J,'TRA RESID'!S:S)</f>
        <v>0.1975698698773741</v>
      </c>
      <c r="R18">
        <f>_xlfn.XLOOKUP(O18,'TRA RESID'!J:J,'TRA RESID'!X:X)</f>
        <v>1</v>
      </c>
      <c r="S18" s="9">
        <f>_xlfn.XLOOKUP(O18,'TRA RESID'!J:J,'TRA RESID'!W:W)</f>
        <v>1</v>
      </c>
      <c r="T18" s="16">
        <f>_xlfn.XLOOKUP(O18,'TRA RESID'!J:J,'TRA RESID'!T:T)</f>
        <v>13</v>
      </c>
      <c r="U18" s="8">
        <f>_xlfn.XLOOKUP(O18,'TRA RESID'!J:J,'TRA RESID'!U:U)</f>
        <v>5.8122531888635924</v>
      </c>
      <c r="V18" s="16">
        <f>SUMIFS('TRA RESID'!R:R,'TRA RESID'!J:J,O18)</f>
        <v>0</v>
      </c>
      <c r="W18" s="9">
        <f t="shared" si="0"/>
        <v>0.98</v>
      </c>
    </row>
    <row r="19" spans="2:23" x14ac:dyDescent="0.25">
      <c r="B19" t="str">
        <f>IF(C19="","*",IF(SUMIFS('TRA RESID'!R:R,'TRA RESID'!J:J,'TRA RESID'!J14)=0,"*",'TRA RESID'!J14))</f>
        <v>*</v>
      </c>
      <c r="C19" t="str">
        <f>IF('TRA RESID'!H14="","",'TRA RESID'!H14)</f>
        <v>TRARDS</v>
      </c>
      <c r="D19" t="s">
        <v>405</v>
      </c>
      <c r="E19" s="9">
        <f>IF(B19="*",1,SUMIFS('TRA RESID'!O:O,'TRA RESID'!J:J,B19,'TRA RESID'!H:H,C19))</f>
        <v>1</v>
      </c>
      <c r="H19" t="str">
        <f>IF(I19="","*",IF(SUMIFS('TRA RESID'!R:R,'TRA RESID'!J:J,'TRA RESID'!J14)=0,"*",'TRA RESID'!J14))</f>
        <v>*</v>
      </c>
      <c r="I19" t="str">
        <f>IF('TRA RESID'!H14="","",'TRA RESID'!H14)</f>
        <v>TRARDS</v>
      </c>
      <c r="J19" t="str">
        <f>"Share~LO~"&amp;'City characteristics'!$C$20</f>
        <v>Share~LO~2019</v>
      </c>
      <c r="K19" s="9">
        <f>IF(B19="*",0,SUMIFS('TRA RESID'!N:N,'TRA RESID'!J:J,B19,'TRA RESID'!H:H,C19))</f>
        <v>0</v>
      </c>
      <c r="N19" t="str">
        <f>IF(Def_Tech!B17="*","*",Def_Tech!C17)</f>
        <v>*</v>
      </c>
      <c r="O19" t="str">
        <f>Def_Tech!D17</f>
        <v>TRAPASLDTICEVDSL19</v>
      </c>
      <c r="P19" t="str">
        <f>_xlfn.XLOOKUP(O19,'TRA RESID'!J:J,'TRA RESID'!I:I)</f>
        <v>TRAPASLDTDMD</v>
      </c>
      <c r="Q19" s="13">
        <f>_xlfn.XLOOKUP(O19,'TRA RESID'!J:J,'TRA RESID'!S:S)</f>
        <v>0.1975698698773741</v>
      </c>
      <c r="R19">
        <f>_xlfn.XLOOKUP(O19,'TRA RESID'!J:J,'TRA RESID'!X:X)</f>
        <v>1</v>
      </c>
      <c r="S19" s="9">
        <f>_xlfn.XLOOKUP(O19,'TRA RESID'!J:J,'TRA RESID'!W:W)</f>
        <v>1</v>
      </c>
      <c r="T19" s="16">
        <f>_xlfn.XLOOKUP(O19,'TRA RESID'!J:J,'TRA RESID'!T:T)</f>
        <v>13</v>
      </c>
      <c r="U19" s="8">
        <f>_xlfn.XLOOKUP(O19,'TRA RESID'!J:J,'TRA RESID'!U:U)</f>
        <v>5.8122531888635924</v>
      </c>
      <c r="V19" s="16">
        <f>SUMIFS('TRA RESID'!R:R,'TRA RESID'!J:J,O19)</f>
        <v>0</v>
      </c>
      <c r="W19" s="9">
        <f t="shared" si="0"/>
        <v>0.98</v>
      </c>
    </row>
    <row r="20" spans="2:23" x14ac:dyDescent="0.25">
      <c r="B20" t="str">
        <f>IF(C20="","*",IF(SUMIFS('TRA RESID'!R:R,'TRA RESID'!J:J,'TRA RESID'!J15)=0,"*",'TRA RESID'!J15))</f>
        <v>*</v>
      </c>
      <c r="C20" t="str">
        <f>IF('TRA RESID'!H15="","",'TRA RESID'!H15)</f>
        <v>TRABDS</v>
      </c>
      <c r="D20" t="s">
        <v>405</v>
      </c>
      <c r="E20" s="9">
        <f>IF(B20="*",1,SUMIFS('TRA RESID'!O:O,'TRA RESID'!J:J,B20,'TRA RESID'!H:H,C20))</f>
        <v>1</v>
      </c>
      <c r="H20" t="str">
        <f>IF(I20="","*",IF(SUMIFS('TRA RESID'!R:R,'TRA RESID'!J:J,'TRA RESID'!J15)=0,"*",'TRA RESID'!J15))</f>
        <v>*</v>
      </c>
      <c r="I20" t="str">
        <f>IF('TRA RESID'!H15="","",'TRA RESID'!H15)</f>
        <v>TRABDS</v>
      </c>
      <c r="J20" t="str">
        <f>"Share~LO~"&amp;'City characteristics'!$C$20</f>
        <v>Share~LO~2019</v>
      </c>
      <c r="K20" s="9">
        <f>IF(B20="*",0,SUMIFS('TRA RESID'!N:N,'TRA RESID'!J:J,B20,'TRA RESID'!H:H,C20))</f>
        <v>0</v>
      </c>
      <c r="N20" t="str">
        <f>IF(Def_Tech!B18="*","*",Def_Tech!C18)</f>
        <v>*</v>
      </c>
      <c r="O20" t="str">
        <f>Def_Tech!D18</f>
        <v>TRAPASLDTICEVDSL19</v>
      </c>
      <c r="P20" t="str">
        <f>_xlfn.XLOOKUP(O20,'TRA RESID'!J:J,'TRA RESID'!I:I)</f>
        <v>TRAPASLDTDMD</v>
      </c>
      <c r="Q20" s="13">
        <f>_xlfn.XLOOKUP(O20,'TRA RESID'!J:J,'TRA RESID'!S:S)</f>
        <v>0.1975698698773741</v>
      </c>
      <c r="R20">
        <f>_xlfn.XLOOKUP(O20,'TRA RESID'!J:J,'TRA RESID'!X:X)</f>
        <v>1</v>
      </c>
      <c r="S20" s="9">
        <f>_xlfn.XLOOKUP(O20,'TRA RESID'!J:J,'TRA RESID'!W:W)</f>
        <v>1</v>
      </c>
      <c r="T20" s="16">
        <f>_xlfn.XLOOKUP(O20,'TRA RESID'!J:J,'TRA RESID'!T:T)</f>
        <v>13</v>
      </c>
      <c r="U20" s="8">
        <f>_xlfn.XLOOKUP(O20,'TRA RESID'!J:J,'TRA RESID'!U:U)</f>
        <v>5.8122531888635924</v>
      </c>
      <c r="V20" s="16">
        <f>SUMIFS('TRA RESID'!R:R,'TRA RESID'!J:J,O20)</f>
        <v>0</v>
      </c>
      <c r="W20" s="9">
        <f t="shared" si="0"/>
        <v>0.98</v>
      </c>
    </row>
    <row r="21" spans="2:23" x14ac:dyDescent="0.25">
      <c r="B21" t="str">
        <f>IF(C21="","*",IF(SUMIFS('TRA RESID'!R:R,'TRA RESID'!J:J,'TRA RESID'!J16)=0,"*",'TRA RESID'!J16))</f>
        <v>*</v>
      </c>
      <c r="C21" t="str">
        <f>IF('TRA RESID'!H16="","",'TRA RESID'!H16)</f>
        <v>TRACNG</v>
      </c>
      <c r="D21" t="s">
        <v>405</v>
      </c>
      <c r="E21" s="9">
        <f>IF(B21="*",1,SUMIFS('TRA RESID'!O:O,'TRA RESID'!J:J,B21,'TRA RESID'!H:H,C21))</f>
        <v>1</v>
      </c>
      <c r="H21" t="str">
        <f>IF(I21="","*",IF(SUMIFS('TRA RESID'!R:R,'TRA RESID'!J:J,'TRA RESID'!J16)=0,"*",'TRA RESID'!J16))</f>
        <v>*</v>
      </c>
      <c r="I21" t="str">
        <f>IF('TRA RESID'!H16="","",'TRA RESID'!H16)</f>
        <v>TRACNG</v>
      </c>
      <c r="J21" t="str">
        <f>"Share~LO~"&amp;'City characteristics'!$C$20</f>
        <v>Share~LO~2019</v>
      </c>
      <c r="K21" s="9">
        <f>IF(B21="*",0,SUMIFS('TRA RESID'!N:N,'TRA RESID'!J:J,B21,'TRA RESID'!H:H,C21))</f>
        <v>0</v>
      </c>
      <c r="N21" t="str">
        <f>IF(Def_Tech!B19="*","*",Def_Tech!C19)</f>
        <v>*</v>
      </c>
      <c r="O21" t="str">
        <f>Def_Tech!D19</f>
        <v>TRAPASLDTICEVCNG19</v>
      </c>
      <c r="P21" t="str">
        <f>_xlfn.XLOOKUP(O21,'TRA RESID'!J:J,'TRA RESID'!I:I)</f>
        <v>TRAPASLDTDMD</v>
      </c>
      <c r="Q21" s="13">
        <f>_xlfn.XLOOKUP(O21,'TRA RESID'!J:J,'TRA RESID'!S:S)</f>
        <v>0.18842471273321851</v>
      </c>
      <c r="R21">
        <f>_xlfn.XLOOKUP(O21,'TRA RESID'!J:J,'TRA RESID'!X:X)</f>
        <v>1</v>
      </c>
      <c r="S21" s="9">
        <f>_xlfn.XLOOKUP(O21,'TRA RESID'!J:J,'TRA RESID'!W:W)</f>
        <v>1</v>
      </c>
      <c r="T21" s="16">
        <f>_xlfn.XLOOKUP(O21,'TRA RESID'!J:J,'TRA RESID'!T:T)</f>
        <v>13</v>
      </c>
      <c r="U21" s="8">
        <f>_xlfn.XLOOKUP(O21,'TRA RESID'!J:J,'TRA RESID'!U:U)</f>
        <v>5.8122531888635924</v>
      </c>
      <c r="V21" s="16">
        <f>SUMIFS('TRA RESID'!R:R,'TRA RESID'!J:J,O21)</f>
        <v>0</v>
      </c>
      <c r="W21" s="9">
        <f t="shared" si="0"/>
        <v>0.98</v>
      </c>
    </row>
    <row r="22" spans="2:23" x14ac:dyDescent="0.25">
      <c r="B22" t="str">
        <f>IF(C22="","*",IF(SUMIFS('TRA RESID'!R:R,'TRA RESID'!J:J,'TRA RESID'!J17)=0,"*",'TRA RESID'!J17))</f>
        <v>*</v>
      </c>
      <c r="C22" t="str">
        <f>IF('TRA RESID'!H17="","",'TRA RESID'!H17)</f>
        <v>TRARNG</v>
      </c>
      <c r="D22" t="s">
        <v>405</v>
      </c>
      <c r="E22" s="9">
        <f>IF(B22="*",1,SUMIFS('TRA RESID'!O:O,'TRA RESID'!J:J,B22,'TRA RESID'!H:H,C22))</f>
        <v>1</v>
      </c>
      <c r="H22" t="str">
        <f>IF(I22="","*",IF(SUMIFS('TRA RESID'!R:R,'TRA RESID'!J:J,'TRA RESID'!J17)=0,"*",'TRA RESID'!J17))</f>
        <v>*</v>
      </c>
      <c r="I22" t="str">
        <f>IF('TRA RESID'!H17="","",'TRA RESID'!H17)</f>
        <v>TRARNG</v>
      </c>
      <c r="J22" t="str">
        <f>"Share~LO~"&amp;'City characteristics'!$C$20</f>
        <v>Share~LO~2019</v>
      </c>
      <c r="K22" s="9">
        <f>IF(B22="*",0,SUMIFS('TRA RESID'!N:N,'TRA RESID'!J:J,B22,'TRA RESID'!H:H,C22))</f>
        <v>0</v>
      </c>
      <c r="N22" t="str">
        <f>IF(Def_Tech!B20="*","*",Def_Tech!C20)</f>
        <v>*</v>
      </c>
      <c r="O22" t="str">
        <f>Def_Tech!D20</f>
        <v>TRAPASLDTICEVCNG19</v>
      </c>
      <c r="P22" t="str">
        <f>_xlfn.XLOOKUP(O22,'TRA RESID'!J:J,'TRA RESID'!I:I)</f>
        <v>TRAPASLDTDMD</v>
      </c>
      <c r="Q22" s="13">
        <f>_xlfn.XLOOKUP(O22,'TRA RESID'!J:J,'TRA RESID'!S:S)</f>
        <v>0.18842471273321851</v>
      </c>
      <c r="R22">
        <f>_xlfn.XLOOKUP(O22,'TRA RESID'!J:J,'TRA RESID'!X:X)</f>
        <v>1</v>
      </c>
      <c r="S22" s="9">
        <f>_xlfn.XLOOKUP(O22,'TRA RESID'!J:J,'TRA RESID'!W:W)</f>
        <v>1</v>
      </c>
      <c r="T22" s="16">
        <f>_xlfn.XLOOKUP(O22,'TRA RESID'!J:J,'TRA RESID'!T:T)</f>
        <v>13</v>
      </c>
      <c r="U22" s="8">
        <f>_xlfn.XLOOKUP(O22,'TRA RESID'!J:J,'TRA RESID'!U:U)</f>
        <v>5.8122531888635924</v>
      </c>
      <c r="V22" s="16">
        <f>SUMIFS('TRA RESID'!R:R,'TRA RESID'!J:J,O22)</f>
        <v>0</v>
      </c>
      <c r="W22" s="9">
        <f t="shared" si="0"/>
        <v>0.98</v>
      </c>
    </row>
    <row r="23" spans="2:23" x14ac:dyDescent="0.25">
      <c r="B23" t="str">
        <f>IF(C23="","*",IF(SUMIFS('TRA RESID'!R:R,'TRA RESID'!J:J,'TRA RESID'!J18)=0,"*",'TRA RESID'!J18))</f>
        <v>*</v>
      </c>
      <c r="C23" t="str">
        <f>IF('TRA RESID'!H18="","",'TRA RESID'!H18)</f>
        <v>TRABAT</v>
      </c>
      <c r="D23" t="s">
        <v>405</v>
      </c>
      <c r="E23" s="9">
        <f>IF(B23="*",1,SUMIFS('TRA RESID'!O:O,'TRA RESID'!J:J,B23,'TRA RESID'!H:H,C23))</f>
        <v>1</v>
      </c>
      <c r="H23" t="str">
        <f>IF(I23="","*",IF(SUMIFS('TRA RESID'!R:R,'TRA RESID'!J:J,'TRA RESID'!J18)=0,"*",'TRA RESID'!J18))</f>
        <v>*</v>
      </c>
      <c r="I23" t="str">
        <f>IF('TRA RESID'!H18="","",'TRA RESID'!H18)</f>
        <v>TRABAT</v>
      </c>
      <c r="J23" t="str">
        <f>"Share~LO~"&amp;'City characteristics'!$C$20</f>
        <v>Share~LO~2019</v>
      </c>
      <c r="K23" s="9">
        <f>IF(B23="*",0,SUMIFS('TRA RESID'!N:N,'TRA RESID'!J:J,B23,'TRA RESID'!H:H,C23))</f>
        <v>0</v>
      </c>
      <c r="N23" t="str">
        <f>IF(Def_Tech!B21="*","*",Def_Tech!C21)</f>
        <v>*</v>
      </c>
      <c r="O23" t="str">
        <f>Def_Tech!D21</f>
        <v>TRAPASLDT300BEV19</v>
      </c>
      <c r="P23" t="str">
        <f>_xlfn.XLOOKUP(O23,'TRA RESID'!J:J,'TRA RESID'!I:I)</f>
        <v>TRAPASLDTDMD</v>
      </c>
      <c r="Q23" s="13">
        <f>_xlfn.XLOOKUP(O23,'TRA RESID'!J:J,'TRA RESID'!S:S)</f>
        <v>0.34221936387625351</v>
      </c>
      <c r="R23">
        <f>_xlfn.XLOOKUP(O23,'TRA RESID'!J:J,'TRA RESID'!X:X)</f>
        <v>1</v>
      </c>
      <c r="S23" s="9">
        <f>_xlfn.XLOOKUP(O23,'TRA RESID'!J:J,'TRA RESID'!W:W)</f>
        <v>1</v>
      </c>
      <c r="T23" s="16">
        <f>_xlfn.XLOOKUP(O23,'TRA RESID'!J:J,'TRA RESID'!T:T)</f>
        <v>13</v>
      </c>
      <c r="U23" s="8">
        <f>_xlfn.XLOOKUP(O23,'TRA RESID'!J:J,'TRA RESID'!U:U)</f>
        <v>5.8122531888635924</v>
      </c>
      <c r="V23" s="16">
        <f>SUMIFS('TRA RESID'!R:R,'TRA RESID'!J:J,O23)</f>
        <v>0</v>
      </c>
      <c r="W23" s="9">
        <f t="shared" si="0"/>
        <v>0.98</v>
      </c>
    </row>
    <row r="24" spans="2:23" x14ac:dyDescent="0.25">
      <c r="B24" t="str">
        <f>IF(C24="","*",IF(SUMIFS('TRA RESID'!R:R,'TRA RESID'!J:J,'TRA RESID'!J19)=0,"*",'TRA RESID'!J19))</f>
        <v>*</v>
      </c>
      <c r="C24" t="str">
        <f>IF('TRA RESID'!H19="","",'TRA RESID'!H19)</f>
        <v>TRAH2G</v>
      </c>
      <c r="D24" t="s">
        <v>405</v>
      </c>
      <c r="E24" s="9">
        <f>IF(B24="*",1,SUMIFS('TRA RESID'!O:O,'TRA RESID'!J:J,B24,'TRA RESID'!H:H,C24))</f>
        <v>1</v>
      </c>
      <c r="H24" t="str">
        <f>IF(I24="","*",IF(SUMIFS('TRA RESID'!R:R,'TRA RESID'!J:J,'TRA RESID'!J19)=0,"*",'TRA RESID'!J19))</f>
        <v>*</v>
      </c>
      <c r="I24" t="str">
        <f>IF('TRA RESID'!H19="","",'TRA RESID'!H19)</f>
        <v>TRAH2G</v>
      </c>
      <c r="J24" t="str">
        <f>"Share~LO~"&amp;'City characteristics'!$C$20</f>
        <v>Share~LO~2019</v>
      </c>
      <c r="K24" s="9">
        <f>IF(B24="*",0,SUMIFS('TRA RESID'!N:N,'TRA RESID'!J:J,B24,'TRA RESID'!H:H,C24))</f>
        <v>0</v>
      </c>
      <c r="N24" t="str">
        <f>IF(Def_Tech!B22="*","*",Def_Tech!C22)</f>
        <v>*</v>
      </c>
      <c r="O24" t="str">
        <f>Def_Tech!D22</f>
        <v>TRAPASLDT300FCEV19</v>
      </c>
      <c r="P24" t="str">
        <f>_xlfn.XLOOKUP(O24,'TRA RESID'!J:J,'TRA RESID'!I:I)</f>
        <v>TRAPASLDTDMD</v>
      </c>
      <c r="Q24" s="13">
        <f>_xlfn.XLOOKUP(O24,'TRA RESID'!J:J,'TRA RESID'!S:S)</f>
        <v>0.34221936387625351</v>
      </c>
      <c r="R24">
        <f>_xlfn.XLOOKUP(O24,'TRA RESID'!J:J,'TRA RESID'!X:X)</f>
        <v>1</v>
      </c>
      <c r="S24" s="9">
        <f>_xlfn.XLOOKUP(O24,'TRA RESID'!J:J,'TRA RESID'!W:W)</f>
        <v>1</v>
      </c>
      <c r="T24" s="16">
        <f>_xlfn.XLOOKUP(O24,'TRA RESID'!J:J,'TRA RESID'!T:T)</f>
        <v>13</v>
      </c>
      <c r="U24" s="8">
        <f>_xlfn.XLOOKUP(O24,'TRA RESID'!J:J,'TRA RESID'!U:U)</f>
        <v>5.8122531888635924</v>
      </c>
      <c r="V24" s="16">
        <f>SUMIFS('TRA RESID'!R:R,'TRA RESID'!J:J,O24)</f>
        <v>0</v>
      </c>
      <c r="W24" s="9">
        <f t="shared" si="0"/>
        <v>0.98</v>
      </c>
    </row>
    <row r="25" spans="2:23" x14ac:dyDescent="0.25">
      <c r="B25" t="str">
        <f>IF(C25="","*",IF(SUMIFS('TRA RESID'!R:R,'TRA RESID'!J:J,'TRA RESID'!J20)=0,"*",'TRA RESID'!J20))</f>
        <v>*</v>
      </c>
      <c r="C25" t="str">
        <f>IF('TRA RESID'!H20="","",'TRA RESID'!H20)</f>
        <v>TRAGSL</v>
      </c>
      <c r="D25" t="s">
        <v>405</v>
      </c>
      <c r="E25" s="9">
        <f>IF(B25="*",1,SUMIFS('TRA RESID'!O:O,'TRA RESID'!J:J,B25,'TRA RESID'!H:H,C25))</f>
        <v>1</v>
      </c>
      <c r="H25" t="str">
        <f>IF(I25="","*",IF(SUMIFS('TRA RESID'!R:R,'TRA RESID'!J:J,'TRA RESID'!J20)=0,"*",'TRA RESID'!J20))</f>
        <v>*</v>
      </c>
      <c r="I25" t="str">
        <f>IF('TRA RESID'!H20="","",'TRA RESID'!H20)</f>
        <v>TRAGSL</v>
      </c>
      <c r="J25" t="str">
        <f>"Share~LO~"&amp;'City characteristics'!$C$20</f>
        <v>Share~LO~2019</v>
      </c>
      <c r="K25" s="9">
        <f>IF(B25="*",0,SUMIFS('TRA RESID'!N:N,'TRA RESID'!J:J,B25,'TRA RESID'!H:H,C25))</f>
        <v>0</v>
      </c>
      <c r="N25" t="str">
        <f>IF(Def_Tech!B23="*","*",Def_Tech!C23)</f>
        <v>*</v>
      </c>
      <c r="O25" t="str">
        <f>Def_Tech!D23</f>
        <v>TRAPASMOTICEVGSL19</v>
      </c>
      <c r="P25" t="str">
        <f>_xlfn.XLOOKUP(O25,'TRA RESID'!J:J,'TRA RESID'!I:I)</f>
        <v>TRAPASMOTDMD</v>
      </c>
      <c r="Q25" s="13">
        <f>_xlfn.XLOOKUP(O25,'TRA RESID'!J:J,'TRA RESID'!S:S)</f>
        <v>0.27793892005546322</v>
      </c>
      <c r="R25">
        <f>_xlfn.XLOOKUP(O25,'TRA RESID'!J:J,'TRA RESID'!X:X)</f>
        <v>1</v>
      </c>
      <c r="S25" s="9">
        <f>_xlfn.XLOOKUP(O25,'TRA RESID'!J:J,'TRA RESID'!W:W)</f>
        <v>1</v>
      </c>
      <c r="T25" s="16">
        <f>_xlfn.XLOOKUP(O25,'TRA RESID'!J:J,'TRA RESID'!T:T)</f>
        <v>73</v>
      </c>
      <c r="U25" s="8">
        <f>_xlfn.XLOOKUP(O25,'TRA RESID'!J:J,'TRA RESID'!U:U)</f>
        <v>1.212166586851716</v>
      </c>
      <c r="V25" s="16">
        <f>SUMIFS('TRA RESID'!R:R,'TRA RESID'!J:J,O25)</f>
        <v>0</v>
      </c>
      <c r="W25" s="9">
        <f t="shared" si="0"/>
        <v>0.98</v>
      </c>
    </row>
    <row r="26" spans="2:23" x14ac:dyDescent="0.25">
      <c r="B26" t="str">
        <f>IF(C26="","*",IF(SUMIFS('TRA RESID'!R:R,'TRA RESID'!J:J,'TRA RESID'!J21)=0,"*",'TRA RESID'!J21))</f>
        <v>*</v>
      </c>
      <c r="C26" t="str">
        <f>IF('TRA RESID'!H21="","",'TRA RESID'!H21)</f>
        <v>TRAETH</v>
      </c>
      <c r="D26" t="s">
        <v>405</v>
      </c>
      <c r="E26" s="9">
        <f>IF(B26="*",1,SUMIFS('TRA RESID'!O:O,'TRA RESID'!J:J,B26,'TRA RESID'!H:H,C26))</f>
        <v>1</v>
      </c>
      <c r="H26" t="str">
        <f>IF(I26="","*",IF(SUMIFS('TRA RESID'!R:R,'TRA RESID'!J:J,'TRA RESID'!J21)=0,"*",'TRA RESID'!J21))</f>
        <v>*</v>
      </c>
      <c r="I26" t="str">
        <f>IF('TRA RESID'!H21="","",'TRA RESID'!H21)</f>
        <v>TRAETH</v>
      </c>
      <c r="J26" t="str">
        <f>"Share~LO~"&amp;'City characteristics'!$C$20</f>
        <v>Share~LO~2019</v>
      </c>
      <c r="K26" s="9">
        <f>IF(B26="*",0,SUMIFS('TRA RESID'!N:N,'TRA RESID'!J:J,B26,'TRA RESID'!H:H,C26))</f>
        <v>0</v>
      </c>
      <c r="N26" t="str">
        <f>IF(Def_Tech!B24="*","*",Def_Tech!C24)</f>
        <v>*</v>
      </c>
      <c r="O26" t="str">
        <f>Def_Tech!D24</f>
        <v>TRAPASMOTICEVGSL19</v>
      </c>
      <c r="P26" t="str">
        <f>_xlfn.XLOOKUP(O26,'TRA RESID'!J:J,'TRA RESID'!I:I)</f>
        <v>TRAPASMOTDMD</v>
      </c>
      <c r="Q26" s="13">
        <f>_xlfn.XLOOKUP(O26,'TRA RESID'!J:J,'TRA RESID'!S:S)</f>
        <v>0.27793892005546322</v>
      </c>
      <c r="R26">
        <f>_xlfn.XLOOKUP(O26,'TRA RESID'!J:J,'TRA RESID'!X:X)</f>
        <v>1</v>
      </c>
      <c r="S26" s="9">
        <f>_xlfn.XLOOKUP(O26,'TRA RESID'!J:J,'TRA RESID'!W:W)</f>
        <v>1</v>
      </c>
      <c r="T26" s="16">
        <f>_xlfn.XLOOKUP(O26,'TRA RESID'!J:J,'TRA RESID'!T:T)</f>
        <v>73</v>
      </c>
      <c r="U26" s="8">
        <f>_xlfn.XLOOKUP(O26,'TRA RESID'!J:J,'TRA RESID'!U:U)</f>
        <v>1.212166586851716</v>
      </c>
      <c r="V26" s="16">
        <f>SUMIFS('TRA RESID'!R:R,'TRA RESID'!J:J,O26)</f>
        <v>0</v>
      </c>
      <c r="W26" s="9">
        <f t="shared" si="0"/>
        <v>0.98</v>
      </c>
    </row>
    <row r="27" spans="2:23" x14ac:dyDescent="0.25">
      <c r="B27" t="str">
        <f>IF(C27="","*",IF(SUMIFS('TRA RESID'!R:R,'TRA RESID'!J:J,'TRA RESID'!J22)=0,"*",'TRA RESID'!J22))</f>
        <v>*</v>
      </c>
      <c r="C27" t="str">
        <f>IF('TRA RESID'!H22="","",'TRA RESID'!H22)</f>
        <v>TRADSL</v>
      </c>
      <c r="D27" t="s">
        <v>405</v>
      </c>
      <c r="E27" s="9">
        <f>IF(B27="*",1,SUMIFS('TRA RESID'!O:O,'TRA RESID'!J:J,B27,'TRA RESID'!H:H,C27))</f>
        <v>1</v>
      </c>
      <c r="H27" t="str">
        <f>IF(I27="","*",IF(SUMIFS('TRA RESID'!R:R,'TRA RESID'!J:J,'TRA RESID'!J22)=0,"*",'TRA RESID'!J22))</f>
        <v>*</v>
      </c>
      <c r="I27" t="str">
        <f>IF('TRA RESID'!H22="","",'TRA RESID'!H22)</f>
        <v>TRADSL</v>
      </c>
      <c r="J27" t="str">
        <f>"Share~LO~"&amp;'City characteristics'!$C$20</f>
        <v>Share~LO~2019</v>
      </c>
      <c r="K27" s="9">
        <f>IF(B27="*",0,SUMIFS('TRA RESID'!N:N,'TRA RESID'!J:J,B27,'TRA RESID'!H:H,C27))</f>
        <v>0</v>
      </c>
      <c r="N27" t="str">
        <f>IF(Def_Tech!B25="*","*",Def_Tech!C25)</f>
        <v>*</v>
      </c>
      <c r="O27" t="str">
        <f>Def_Tech!D25</f>
        <v>TRAPASMOTICEVDSL19</v>
      </c>
      <c r="P27" t="str">
        <f>_xlfn.XLOOKUP(O27,'TRA RESID'!J:J,'TRA RESID'!I:I)</f>
        <v>TRAPASMOTDMD</v>
      </c>
      <c r="Q27" s="13">
        <f>_xlfn.XLOOKUP(O27,'TRA RESID'!J:J,'TRA RESID'!S:S)</f>
        <v>0.60859220633235001</v>
      </c>
      <c r="R27">
        <f>_xlfn.XLOOKUP(O27,'TRA RESID'!J:J,'TRA RESID'!X:X)</f>
        <v>1</v>
      </c>
      <c r="S27" s="9">
        <f>_xlfn.XLOOKUP(O27,'TRA RESID'!J:J,'TRA RESID'!W:W)</f>
        <v>1</v>
      </c>
      <c r="T27" s="16">
        <f>_xlfn.XLOOKUP(O27,'TRA RESID'!J:J,'TRA RESID'!T:T)</f>
        <v>73</v>
      </c>
      <c r="U27" s="8">
        <f>_xlfn.XLOOKUP(O27,'TRA RESID'!J:J,'TRA RESID'!U:U)</f>
        <v>1.212166586851716</v>
      </c>
      <c r="V27" s="16">
        <f>SUMIFS('TRA RESID'!R:R,'TRA RESID'!J:J,O27)</f>
        <v>0</v>
      </c>
      <c r="W27" s="9">
        <f t="shared" si="0"/>
        <v>0.98</v>
      </c>
    </row>
    <row r="28" spans="2:23" x14ac:dyDescent="0.25">
      <c r="B28" t="str">
        <f>IF(C28="","*",IF(SUMIFS('TRA RESID'!R:R,'TRA RESID'!J:J,'TRA RESID'!J23)=0,"*",'TRA RESID'!J23))</f>
        <v>*</v>
      </c>
      <c r="C28" t="str">
        <f>IF('TRA RESID'!H23="","",'TRA RESID'!H23)</f>
        <v>TRARDS</v>
      </c>
      <c r="D28" t="s">
        <v>405</v>
      </c>
      <c r="E28" s="9">
        <f>IF(B28="*",1,SUMIFS('TRA RESID'!O:O,'TRA RESID'!J:J,B28,'TRA RESID'!H:H,C28))</f>
        <v>1</v>
      </c>
      <c r="H28" t="str">
        <f>IF(I28="","*",IF(SUMIFS('TRA RESID'!R:R,'TRA RESID'!J:J,'TRA RESID'!J23)=0,"*",'TRA RESID'!J23))</f>
        <v>*</v>
      </c>
      <c r="I28" t="str">
        <f>IF('TRA RESID'!H23="","",'TRA RESID'!H23)</f>
        <v>TRARDS</v>
      </c>
      <c r="J28" t="str">
        <f>"Share~LO~"&amp;'City characteristics'!$C$20</f>
        <v>Share~LO~2019</v>
      </c>
      <c r="K28" s="9">
        <f>IF(B28="*",0,SUMIFS('TRA RESID'!N:N,'TRA RESID'!J:J,B28,'TRA RESID'!H:H,C28))</f>
        <v>0</v>
      </c>
      <c r="N28" t="str">
        <f>IF(Def_Tech!B26="*","*",Def_Tech!C26)</f>
        <v>*</v>
      </c>
      <c r="O28" t="str">
        <f>Def_Tech!D26</f>
        <v>TRAPASMOTICEVDSL19</v>
      </c>
      <c r="P28" t="str">
        <f>_xlfn.XLOOKUP(O28,'TRA RESID'!J:J,'TRA RESID'!I:I)</f>
        <v>TRAPASMOTDMD</v>
      </c>
      <c r="Q28" s="13">
        <f>_xlfn.XLOOKUP(O28,'TRA RESID'!J:J,'TRA RESID'!S:S)</f>
        <v>0.60859220633235001</v>
      </c>
      <c r="R28">
        <f>_xlfn.XLOOKUP(O28,'TRA RESID'!J:J,'TRA RESID'!X:X)</f>
        <v>1</v>
      </c>
      <c r="S28" s="9">
        <f>_xlfn.XLOOKUP(O28,'TRA RESID'!J:J,'TRA RESID'!W:W)</f>
        <v>1</v>
      </c>
      <c r="T28" s="16">
        <f>_xlfn.XLOOKUP(O28,'TRA RESID'!J:J,'TRA RESID'!T:T)</f>
        <v>73</v>
      </c>
      <c r="U28" s="8">
        <f>_xlfn.XLOOKUP(O28,'TRA RESID'!J:J,'TRA RESID'!U:U)</f>
        <v>1.212166586851716</v>
      </c>
      <c r="V28" s="16">
        <f>SUMIFS('TRA RESID'!R:R,'TRA RESID'!J:J,O28)</f>
        <v>0</v>
      </c>
      <c r="W28" s="9">
        <f t="shared" si="0"/>
        <v>0.98</v>
      </c>
    </row>
    <row r="29" spans="2:23" x14ac:dyDescent="0.25">
      <c r="B29" t="str">
        <f>IF(C29="","*",IF(SUMIFS('TRA RESID'!R:R,'TRA RESID'!J:J,'TRA RESID'!J24)=0,"*",'TRA RESID'!J24))</f>
        <v>*</v>
      </c>
      <c r="C29" t="str">
        <f>IF('TRA RESID'!H24="","",'TRA RESID'!H24)</f>
        <v>TRABDS</v>
      </c>
      <c r="D29" t="s">
        <v>405</v>
      </c>
      <c r="E29" s="9">
        <f>IF(B29="*",1,SUMIFS('TRA RESID'!O:O,'TRA RESID'!J:J,B29,'TRA RESID'!H:H,C29))</f>
        <v>1</v>
      </c>
      <c r="H29" t="str">
        <f>IF(I29="","*",IF(SUMIFS('TRA RESID'!R:R,'TRA RESID'!J:J,'TRA RESID'!J24)=0,"*",'TRA RESID'!J24))</f>
        <v>*</v>
      </c>
      <c r="I29" t="str">
        <f>IF('TRA RESID'!H24="","",'TRA RESID'!H24)</f>
        <v>TRABDS</v>
      </c>
      <c r="J29" t="str">
        <f>"Share~LO~"&amp;'City characteristics'!$C$20</f>
        <v>Share~LO~2019</v>
      </c>
      <c r="K29" s="9">
        <f>IF(B29="*",0,SUMIFS('TRA RESID'!N:N,'TRA RESID'!J:J,B29,'TRA RESID'!H:H,C29))</f>
        <v>0</v>
      </c>
      <c r="N29" t="str">
        <f>IF(Def_Tech!B27="*","*",Def_Tech!C27)</f>
        <v>*</v>
      </c>
      <c r="O29" t="str">
        <f>Def_Tech!D27</f>
        <v>TRAPASMOTICEVDSL19</v>
      </c>
      <c r="P29" t="str">
        <f>_xlfn.XLOOKUP(O29,'TRA RESID'!J:J,'TRA RESID'!I:I)</f>
        <v>TRAPASMOTDMD</v>
      </c>
      <c r="Q29" s="13">
        <f>_xlfn.XLOOKUP(O29,'TRA RESID'!J:J,'TRA RESID'!S:S)</f>
        <v>0.60859220633235001</v>
      </c>
      <c r="R29">
        <f>_xlfn.XLOOKUP(O29,'TRA RESID'!J:J,'TRA RESID'!X:X)</f>
        <v>1</v>
      </c>
      <c r="S29" s="9">
        <f>_xlfn.XLOOKUP(O29,'TRA RESID'!J:J,'TRA RESID'!W:W)</f>
        <v>1</v>
      </c>
      <c r="T29" s="16">
        <f>_xlfn.XLOOKUP(O29,'TRA RESID'!J:J,'TRA RESID'!T:T)</f>
        <v>73</v>
      </c>
      <c r="U29" s="8">
        <f>_xlfn.XLOOKUP(O29,'TRA RESID'!J:J,'TRA RESID'!U:U)</f>
        <v>1.212166586851716</v>
      </c>
      <c r="V29" s="16">
        <f>SUMIFS('TRA RESID'!R:R,'TRA RESID'!J:J,O29)</f>
        <v>0</v>
      </c>
      <c r="W29" s="9">
        <f t="shared" si="0"/>
        <v>0.98</v>
      </c>
    </row>
    <row r="30" spans="2:23" x14ac:dyDescent="0.25">
      <c r="B30" t="str">
        <f>IF(C30="","*",IF(SUMIFS('TRA RESID'!R:R,'TRA RESID'!J:J,'TRA RESID'!J25)=0,"*",'TRA RESID'!J25))</f>
        <v>*</v>
      </c>
      <c r="C30" t="str">
        <f>IF('TRA RESID'!H25="","",'TRA RESID'!H25)</f>
        <v>TRACNG</v>
      </c>
      <c r="D30" t="s">
        <v>405</v>
      </c>
      <c r="E30" s="9">
        <f>IF(B30="*",1,SUMIFS('TRA RESID'!O:O,'TRA RESID'!J:J,B30,'TRA RESID'!H:H,C30))</f>
        <v>1</v>
      </c>
      <c r="H30" t="str">
        <f>IF(I30="","*",IF(SUMIFS('TRA RESID'!R:R,'TRA RESID'!J:J,'TRA RESID'!J25)=0,"*",'TRA RESID'!J25))</f>
        <v>*</v>
      </c>
      <c r="I30" t="str">
        <f>IF('TRA RESID'!H25="","",'TRA RESID'!H25)</f>
        <v>TRACNG</v>
      </c>
      <c r="J30" t="str">
        <f>"Share~LO~"&amp;'City characteristics'!$C$20</f>
        <v>Share~LO~2019</v>
      </c>
      <c r="K30" s="9">
        <f>IF(B30="*",0,SUMIFS('TRA RESID'!N:N,'TRA RESID'!J:J,B30,'TRA RESID'!H:H,C30))</f>
        <v>0</v>
      </c>
      <c r="N30" t="str">
        <f>IF(Def_Tech!B28="*","*",Def_Tech!C28)</f>
        <v>*</v>
      </c>
      <c r="O30" t="str">
        <f>Def_Tech!D28</f>
        <v>TRAPASMOTICEVCNG19</v>
      </c>
      <c r="P30" t="str">
        <f>_xlfn.XLOOKUP(O30,'TRA RESID'!J:J,'TRA RESID'!I:I)</f>
        <v>TRAPASMOTDMD</v>
      </c>
      <c r="Q30" s="13">
        <f>_xlfn.XLOOKUP(O30,'TRA RESID'!J:J,'TRA RESID'!S:S)</f>
        <v>0.49814213089078491</v>
      </c>
      <c r="R30">
        <f>_xlfn.XLOOKUP(O30,'TRA RESID'!J:J,'TRA RESID'!X:X)</f>
        <v>1</v>
      </c>
      <c r="S30" s="9">
        <f>_xlfn.XLOOKUP(O30,'TRA RESID'!J:J,'TRA RESID'!W:W)</f>
        <v>1</v>
      </c>
      <c r="T30" s="16">
        <f>_xlfn.XLOOKUP(O30,'TRA RESID'!J:J,'TRA RESID'!T:T)</f>
        <v>73</v>
      </c>
      <c r="U30" s="8">
        <f>_xlfn.XLOOKUP(O30,'TRA RESID'!J:J,'TRA RESID'!U:U)</f>
        <v>1.212166586851716</v>
      </c>
      <c r="V30" s="16">
        <f>SUMIFS('TRA RESID'!R:R,'TRA RESID'!J:J,O30)</f>
        <v>0</v>
      </c>
      <c r="W30" s="9">
        <f t="shared" si="0"/>
        <v>0.98</v>
      </c>
    </row>
    <row r="31" spans="2:23" x14ac:dyDescent="0.25">
      <c r="B31" t="str">
        <f>IF(C31="","*",IF(SUMIFS('TRA RESID'!R:R,'TRA RESID'!J:J,'TRA RESID'!J26)=0,"*",'TRA RESID'!J26))</f>
        <v>*</v>
      </c>
      <c r="C31" t="str">
        <f>IF('TRA RESID'!H26="","",'TRA RESID'!H26)</f>
        <v>TRARNG</v>
      </c>
      <c r="D31" t="s">
        <v>405</v>
      </c>
      <c r="E31" s="9">
        <f>IF(B31="*",1,SUMIFS('TRA RESID'!O:O,'TRA RESID'!J:J,B31,'TRA RESID'!H:H,C31))</f>
        <v>1</v>
      </c>
      <c r="H31" t="str">
        <f>IF(I31="","*",IF(SUMIFS('TRA RESID'!R:R,'TRA RESID'!J:J,'TRA RESID'!J26)=0,"*",'TRA RESID'!J26))</f>
        <v>*</v>
      </c>
      <c r="I31" t="str">
        <f>IF('TRA RESID'!H26="","",'TRA RESID'!H26)</f>
        <v>TRARNG</v>
      </c>
      <c r="J31" t="str">
        <f>"Share~LO~"&amp;'City characteristics'!$C$20</f>
        <v>Share~LO~2019</v>
      </c>
      <c r="K31" s="9">
        <f>IF(B31="*",0,SUMIFS('TRA RESID'!N:N,'TRA RESID'!J:J,B31,'TRA RESID'!H:H,C31))</f>
        <v>0</v>
      </c>
      <c r="N31" t="str">
        <f>IF(Def_Tech!B29="*","*",Def_Tech!C29)</f>
        <v>*</v>
      </c>
      <c r="O31" t="str">
        <f>Def_Tech!D29</f>
        <v>TRAPASMOTICEVCNG19</v>
      </c>
      <c r="P31" t="str">
        <f>_xlfn.XLOOKUP(O31,'TRA RESID'!J:J,'TRA RESID'!I:I)</f>
        <v>TRAPASMOTDMD</v>
      </c>
      <c r="Q31" s="13">
        <f>_xlfn.XLOOKUP(O31,'TRA RESID'!J:J,'TRA RESID'!S:S)</f>
        <v>0.49814213089078491</v>
      </c>
      <c r="R31">
        <f>_xlfn.XLOOKUP(O31,'TRA RESID'!J:J,'TRA RESID'!X:X)</f>
        <v>1</v>
      </c>
      <c r="S31" s="9">
        <f>_xlfn.XLOOKUP(O31,'TRA RESID'!J:J,'TRA RESID'!W:W)</f>
        <v>1</v>
      </c>
      <c r="T31" s="16">
        <f>_xlfn.XLOOKUP(O31,'TRA RESID'!J:J,'TRA RESID'!T:T)</f>
        <v>73</v>
      </c>
      <c r="U31" s="8">
        <f>_xlfn.XLOOKUP(O31,'TRA RESID'!J:J,'TRA RESID'!U:U)</f>
        <v>1.212166586851716</v>
      </c>
      <c r="V31" s="16">
        <f>SUMIFS('TRA RESID'!R:R,'TRA RESID'!J:J,O31)</f>
        <v>0</v>
      </c>
      <c r="W31" s="9">
        <f t="shared" si="0"/>
        <v>0.98</v>
      </c>
    </row>
    <row r="32" spans="2:23" x14ac:dyDescent="0.25">
      <c r="B32" t="str">
        <f>IF(C32="","*",IF(SUMIFS('TRA RESID'!R:R,'TRA RESID'!J:J,'TRA RESID'!J27)=0,"*",'TRA RESID'!J27))</f>
        <v>*</v>
      </c>
      <c r="C32" t="str">
        <f>IF('TRA RESID'!H27="","",'TRA RESID'!H27)</f>
        <v>TRABAT</v>
      </c>
      <c r="D32" t="s">
        <v>405</v>
      </c>
      <c r="E32" s="9">
        <f>IF(B32="*",1,SUMIFS('TRA RESID'!O:O,'TRA RESID'!J:J,B32,'TRA RESID'!H:H,C32))</f>
        <v>1</v>
      </c>
      <c r="H32" t="str">
        <f>IF(I32="","*",IF(SUMIFS('TRA RESID'!R:R,'TRA RESID'!J:J,'TRA RESID'!J27)=0,"*",'TRA RESID'!J27))</f>
        <v>*</v>
      </c>
      <c r="I32" t="str">
        <f>IF('TRA RESID'!H27="","",'TRA RESID'!H27)</f>
        <v>TRABAT</v>
      </c>
      <c r="J32" t="str">
        <f>"Share~LO~"&amp;'City characteristics'!$C$20</f>
        <v>Share~LO~2019</v>
      </c>
      <c r="K32" s="9">
        <f>IF(B32="*",0,SUMIFS('TRA RESID'!N:N,'TRA RESID'!J:J,B32,'TRA RESID'!H:H,C32))</f>
        <v>0</v>
      </c>
      <c r="N32" t="str">
        <f>IF(Def_Tech!B30="*","*",Def_Tech!C30)</f>
        <v>*</v>
      </c>
      <c r="O32" t="str">
        <f>Def_Tech!D30</f>
        <v>TRAPASMOT300BEV19</v>
      </c>
      <c r="P32" t="str">
        <f>_xlfn.XLOOKUP(O32,'TRA RESID'!J:J,'TRA RESID'!I:I)</f>
        <v>TRAPASMOTDMD</v>
      </c>
      <c r="Q32" s="13">
        <f>_xlfn.XLOOKUP(O32,'TRA RESID'!J:J,'TRA RESID'!S:S)</f>
        <v>1.0113384849146789</v>
      </c>
      <c r="R32">
        <f>_xlfn.XLOOKUP(O32,'TRA RESID'!J:J,'TRA RESID'!X:X)</f>
        <v>1</v>
      </c>
      <c r="S32" s="9">
        <f>_xlfn.XLOOKUP(O32,'TRA RESID'!J:J,'TRA RESID'!W:W)</f>
        <v>1</v>
      </c>
      <c r="T32" s="16">
        <f>_xlfn.XLOOKUP(O32,'TRA RESID'!J:J,'TRA RESID'!T:T)</f>
        <v>73</v>
      </c>
      <c r="U32" s="8">
        <f>_xlfn.XLOOKUP(O32,'TRA RESID'!J:J,'TRA RESID'!U:U)</f>
        <v>1.212166586851716</v>
      </c>
      <c r="V32" s="16">
        <f>SUMIFS('TRA RESID'!R:R,'TRA RESID'!J:J,O32)</f>
        <v>0</v>
      </c>
      <c r="W32" s="9">
        <f t="shared" si="0"/>
        <v>0.98</v>
      </c>
    </row>
    <row r="33" spans="2:23" x14ac:dyDescent="0.25">
      <c r="B33" t="str">
        <f>IF(C33="","*",IF(SUMIFS('TRA RESID'!R:R,'TRA RESID'!J:J,'TRA RESID'!J28)=0,"*",'TRA RESID'!J28))</f>
        <v>*</v>
      </c>
      <c r="C33" t="str">
        <f>IF('TRA RESID'!H28="","",'TRA RESID'!H28)</f>
        <v>TRAH2G</v>
      </c>
      <c r="D33" t="s">
        <v>405</v>
      </c>
      <c r="E33" s="9">
        <f>IF(B33="*",1,SUMIFS('TRA RESID'!O:O,'TRA RESID'!J:J,B33,'TRA RESID'!H:H,C33))</f>
        <v>1</v>
      </c>
      <c r="H33" t="str">
        <f>IF(I33="","*",IF(SUMIFS('TRA RESID'!R:R,'TRA RESID'!J:J,'TRA RESID'!J28)=0,"*",'TRA RESID'!J28))</f>
        <v>*</v>
      </c>
      <c r="I33" t="str">
        <f>IF('TRA RESID'!H28="","",'TRA RESID'!H28)</f>
        <v>TRAH2G</v>
      </c>
      <c r="J33" t="str">
        <f>"Share~LO~"&amp;'City characteristics'!$C$20</f>
        <v>Share~LO~2019</v>
      </c>
      <c r="K33" s="9">
        <f>IF(B33="*",0,SUMIFS('TRA RESID'!N:N,'TRA RESID'!J:J,B33,'TRA RESID'!H:H,C33))</f>
        <v>0</v>
      </c>
      <c r="N33" t="str">
        <f>IF(Def_Tech!B31="*","*",Def_Tech!C31)</f>
        <v>*</v>
      </c>
      <c r="O33" t="str">
        <f>Def_Tech!D31</f>
        <v>TRAPASMOT300FCEV19</v>
      </c>
      <c r="P33" t="str">
        <f>_xlfn.XLOOKUP(O33,'TRA RESID'!J:J,'TRA RESID'!I:I)</f>
        <v>TRAPASMOTDMD</v>
      </c>
      <c r="Q33" s="13">
        <f>_xlfn.XLOOKUP(O33,'TRA RESID'!J:J,'TRA RESID'!S:S)</f>
        <v>1.0113384849146789</v>
      </c>
      <c r="R33">
        <f>_xlfn.XLOOKUP(O33,'TRA RESID'!J:J,'TRA RESID'!X:X)</f>
        <v>1</v>
      </c>
      <c r="S33" s="9">
        <f>_xlfn.XLOOKUP(O33,'TRA RESID'!J:J,'TRA RESID'!W:W)</f>
        <v>1</v>
      </c>
      <c r="T33" s="16">
        <f>_xlfn.XLOOKUP(O33,'TRA RESID'!J:J,'TRA RESID'!T:T)</f>
        <v>73</v>
      </c>
      <c r="U33" s="8">
        <f>_xlfn.XLOOKUP(O33,'TRA RESID'!J:J,'TRA RESID'!U:U)</f>
        <v>1.212166586851716</v>
      </c>
      <c r="V33" s="16">
        <f>SUMIFS('TRA RESID'!R:R,'TRA RESID'!J:J,O33)</f>
        <v>0</v>
      </c>
      <c r="W33" s="9">
        <f t="shared" si="0"/>
        <v>0.98</v>
      </c>
    </row>
    <row r="34" spans="2:23" x14ac:dyDescent="0.25">
      <c r="B34" t="str">
        <f>IF(C34="","*",IF(SUMIFS('TRA RESID'!R:R,'TRA RESID'!J:J,'TRA RESID'!J29)=0,"*",'TRA RESID'!J29))</f>
        <v>TRAFRECLTICEVGSL19</v>
      </c>
      <c r="C34" t="str">
        <f>IF('TRA RESID'!H29="","",'TRA RESID'!H29)</f>
        <v>TRAGSL</v>
      </c>
      <c r="D34" t="s">
        <v>405</v>
      </c>
      <c r="E34" s="9">
        <f>IF(B34="*",1,SUMIFS('TRA RESID'!O:O,'TRA RESID'!J:J,B34,'TRA RESID'!H:H,C34))</f>
        <v>1</v>
      </c>
      <c r="H34" t="str">
        <f>IF(I34="","*",IF(SUMIFS('TRA RESID'!R:R,'TRA RESID'!J:J,'TRA RESID'!J29)=0,"*",'TRA RESID'!J29))</f>
        <v>TRAFRECLTICEVGSL19</v>
      </c>
      <c r="I34" t="str">
        <f>IF('TRA RESID'!H29="","",'TRA RESID'!H29)</f>
        <v>TRAGSL</v>
      </c>
      <c r="J34" t="str">
        <f>"Share~LO~"&amp;'City characteristics'!$C$20</f>
        <v>Share~LO~2019</v>
      </c>
      <c r="K34" s="9">
        <f>IF(B34="*",0,SUMIFS('TRA RESID'!N:N,'TRA RESID'!J:J,B34,'TRA RESID'!H:H,C34))</f>
        <v>0.9</v>
      </c>
      <c r="N34" t="str">
        <f>IF(Def_Tech!B32="*","*",Def_Tech!C32)</f>
        <v>CITY</v>
      </c>
      <c r="O34" t="str">
        <f>Def_Tech!D32</f>
        <v>TRAFRECLTICEVGSL19</v>
      </c>
      <c r="P34" t="str">
        <f>_xlfn.XLOOKUP(O34,'TRA RESID'!J:J,'TRA RESID'!I:I)</f>
        <v>TRAFRECLTDMD</v>
      </c>
      <c r="Q34" s="13">
        <f>_xlfn.XLOOKUP(O34,'TRA RESID'!J:J,'TRA RESID'!S:S)</f>
        <v>0.2409213753002083</v>
      </c>
      <c r="R34">
        <f>_xlfn.XLOOKUP(O34,'TRA RESID'!J:J,'TRA RESID'!X:X)</f>
        <v>1</v>
      </c>
      <c r="S34" s="9">
        <f>_xlfn.XLOOKUP(O34,'TRA RESID'!J:J,'TRA RESID'!W:W)</f>
        <v>1</v>
      </c>
      <c r="T34" s="16">
        <f>_xlfn.XLOOKUP(O34,'TRA RESID'!J:J,'TRA RESID'!T:T)</f>
        <v>15</v>
      </c>
      <c r="U34" s="8">
        <f>_xlfn.XLOOKUP(O34,'TRA RESID'!J:J,'TRA RESID'!U:U)</f>
        <v>5.922224573942124</v>
      </c>
      <c r="V34" s="16">
        <f>SUMIFS('TRA RESID'!R:R,'TRA RESID'!J:J,O34)</f>
        <v>1310.3834784178309</v>
      </c>
      <c r="W34" s="9">
        <f t="shared" si="0"/>
        <v>0.98</v>
      </c>
    </row>
    <row r="35" spans="2:23" x14ac:dyDescent="0.25">
      <c r="B35" t="str">
        <f>IF(C35="","*",IF(SUMIFS('TRA RESID'!R:R,'TRA RESID'!J:J,'TRA RESID'!J30)=0,"*",'TRA RESID'!J30))</f>
        <v>TRAFRECLTICEVGSL19</v>
      </c>
      <c r="C35" t="str">
        <f>IF('TRA RESID'!H30="","",'TRA RESID'!H30)</f>
        <v>TRAETH</v>
      </c>
      <c r="D35" t="s">
        <v>405</v>
      </c>
      <c r="E35" s="9">
        <f>IF(B35="*",1,SUMIFS('TRA RESID'!O:O,'TRA RESID'!J:J,B35,'TRA RESID'!H:H,C35))</f>
        <v>0.1</v>
      </c>
      <c r="H35" t="str">
        <f>IF(I35="","*",IF(SUMIFS('TRA RESID'!R:R,'TRA RESID'!J:J,'TRA RESID'!J30)=0,"*",'TRA RESID'!J30))</f>
        <v>TRAFRECLTICEVGSL19</v>
      </c>
      <c r="I35" t="str">
        <f>IF('TRA RESID'!H30="","",'TRA RESID'!H30)</f>
        <v>TRAETH</v>
      </c>
      <c r="J35" t="str">
        <f>"Share~LO~"&amp;'City characteristics'!$C$20</f>
        <v>Share~LO~2019</v>
      </c>
      <c r="K35" s="9">
        <f>IF(B35="*",0,SUMIFS('TRA RESID'!N:N,'TRA RESID'!J:J,B35,'TRA RESID'!H:H,C35))</f>
        <v>0</v>
      </c>
      <c r="N35" t="str">
        <f>IF(Def_Tech!B33="*","*",Def_Tech!C33)</f>
        <v>*</v>
      </c>
      <c r="O35" t="str">
        <f>Def_Tech!D33</f>
        <v>TRAFRECLTICEVGSL19</v>
      </c>
      <c r="P35" t="str">
        <f>_xlfn.XLOOKUP(O35,'TRA RESID'!J:J,'TRA RESID'!I:I)</f>
        <v>TRAFRECLTDMD</v>
      </c>
      <c r="Q35" s="13">
        <f>_xlfn.XLOOKUP(O35,'TRA RESID'!J:J,'TRA RESID'!S:S)</f>
        <v>0.2409213753002083</v>
      </c>
      <c r="R35">
        <f>_xlfn.XLOOKUP(O35,'TRA RESID'!J:J,'TRA RESID'!X:X)</f>
        <v>1</v>
      </c>
      <c r="S35" s="9">
        <f>_xlfn.XLOOKUP(O35,'TRA RESID'!J:J,'TRA RESID'!W:W)</f>
        <v>1</v>
      </c>
      <c r="T35" s="16">
        <f>_xlfn.XLOOKUP(O35,'TRA RESID'!J:J,'TRA RESID'!T:T)</f>
        <v>15</v>
      </c>
      <c r="U35" s="8">
        <f>_xlfn.XLOOKUP(O35,'TRA RESID'!J:J,'TRA RESID'!U:U)</f>
        <v>5.922224573942124</v>
      </c>
      <c r="V35" s="16">
        <f>SUMIFS('TRA RESID'!R:R,'TRA RESID'!J:J,O35)</f>
        <v>1310.3834784178309</v>
      </c>
      <c r="W35" s="9">
        <f t="shared" si="0"/>
        <v>0.98</v>
      </c>
    </row>
    <row r="36" spans="2:23" x14ac:dyDescent="0.25">
      <c r="B36" t="str">
        <f>IF(C36="","*",IF(SUMIFS('TRA RESID'!R:R,'TRA RESID'!J:J,'TRA RESID'!J31)=0,"*",'TRA RESID'!J31))</f>
        <v>TRAFRECLTICEVDSL19</v>
      </c>
      <c r="C36" t="str">
        <f>IF('TRA RESID'!H31="","",'TRA RESID'!H31)</f>
        <v>TRADSL</v>
      </c>
      <c r="D36" t="s">
        <v>405</v>
      </c>
      <c r="E36" s="9">
        <f>IF(B36="*",1,SUMIFS('TRA RESID'!O:O,'TRA RESID'!J:J,B36,'TRA RESID'!H:H,C36))</f>
        <v>1</v>
      </c>
      <c r="H36" t="str">
        <f>IF(I36="","*",IF(SUMIFS('TRA RESID'!R:R,'TRA RESID'!J:J,'TRA RESID'!J31)=0,"*",'TRA RESID'!J31))</f>
        <v>TRAFRECLTICEVDSL19</v>
      </c>
      <c r="I36" t="str">
        <f>IF('TRA RESID'!H31="","",'TRA RESID'!H31)</f>
        <v>TRADSL</v>
      </c>
      <c r="J36" t="str">
        <f>"Share~LO~"&amp;'City characteristics'!$C$20</f>
        <v>Share~LO~2019</v>
      </c>
      <c r="K36" s="9">
        <f>IF(B36="*",0,SUMIFS('TRA RESID'!N:N,'TRA RESID'!J:J,B36,'TRA RESID'!H:H,C36))</f>
        <v>0</v>
      </c>
      <c r="N36" t="str">
        <f>IF(Def_Tech!B34="*","*",Def_Tech!C34)</f>
        <v>CITY</v>
      </c>
      <c r="O36" t="str">
        <f>Def_Tech!D34</f>
        <v>TRAFRECLTICEVDSL19</v>
      </c>
      <c r="P36" t="str">
        <f>_xlfn.XLOOKUP(O36,'TRA RESID'!J:J,'TRA RESID'!I:I)</f>
        <v>TRAFRECLTDMD</v>
      </c>
      <c r="Q36" s="13">
        <f>_xlfn.XLOOKUP(O36,'TRA RESID'!J:J,'TRA RESID'!S:S)</f>
        <v>0.17708986505366731</v>
      </c>
      <c r="R36">
        <f>_xlfn.XLOOKUP(O36,'TRA RESID'!J:J,'TRA RESID'!X:X)</f>
        <v>1</v>
      </c>
      <c r="S36" s="9">
        <f>_xlfn.XLOOKUP(O36,'TRA RESID'!J:J,'TRA RESID'!W:W)</f>
        <v>1</v>
      </c>
      <c r="T36" s="16">
        <f>_xlfn.XLOOKUP(O36,'TRA RESID'!J:J,'TRA RESID'!T:T)</f>
        <v>15</v>
      </c>
      <c r="U36" s="8">
        <f>_xlfn.XLOOKUP(O36,'TRA RESID'!J:J,'TRA RESID'!U:U)</f>
        <v>5.922224573942124</v>
      </c>
      <c r="V36" s="16">
        <f>SUMIFS('TRA RESID'!R:R,'TRA RESID'!J:J,O36)</f>
        <v>255.72393995795099</v>
      </c>
      <c r="W36" s="9">
        <f t="shared" si="0"/>
        <v>0.98</v>
      </c>
    </row>
    <row r="37" spans="2:23" x14ac:dyDescent="0.25">
      <c r="B37" t="str">
        <f>IF(C37="","*",IF(SUMIFS('TRA RESID'!R:R,'TRA RESID'!J:J,'TRA RESID'!J32)=0,"*",'TRA RESID'!J32))</f>
        <v>TRAFRECLTICEVDSL19</v>
      </c>
      <c r="C37" t="str">
        <f>IF('TRA RESID'!H32="","",'TRA RESID'!H32)</f>
        <v>TRARDS</v>
      </c>
      <c r="D37" t="s">
        <v>405</v>
      </c>
      <c r="E37" s="9">
        <f>IF(B37="*",1,SUMIFS('TRA RESID'!O:O,'TRA RESID'!J:J,B37,'TRA RESID'!H:H,C37))</f>
        <v>1</v>
      </c>
      <c r="H37" t="str">
        <f>IF(I37="","*",IF(SUMIFS('TRA RESID'!R:R,'TRA RESID'!J:J,'TRA RESID'!J32)=0,"*",'TRA RESID'!J32))</f>
        <v>TRAFRECLTICEVDSL19</v>
      </c>
      <c r="I37" t="str">
        <f>IF('TRA RESID'!H32="","",'TRA RESID'!H32)</f>
        <v>TRARDS</v>
      </c>
      <c r="J37" t="str">
        <f>"Share~LO~"&amp;'City characteristics'!$C$20</f>
        <v>Share~LO~2019</v>
      </c>
      <c r="K37" s="9">
        <f>IF(B37="*",0,SUMIFS('TRA RESID'!N:N,'TRA RESID'!J:J,B37,'TRA RESID'!H:H,C37))</f>
        <v>0</v>
      </c>
      <c r="N37" t="str">
        <f>IF(Def_Tech!B35="*","*",Def_Tech!C35)</f>
        <v>*</v>
      </c>
      <c r="O37" t="str">
        <f>Def_Tech!D35</f>
        <v>TRAFRECLTICEVDSL19</v>
      </c>
      <c r="P37" t="str">
        <f>_xlfn.XLOOKUP(O37,'TRA RESID'!J:J,'TRA RESID'!I:I)</f>
        <v>TRAFRECLTDMD</v>
      </c>
      <c r="Q37" s="13">
        <f>_xlfn.XLOOKUP(O37,'TRA RESID'!J:J,'TRA RESID'!S:S)</f>
        <v>0.17708986505366731</v>
      </c>
      <c r="R37">
        <f>_xlfn.XLOOKUP(O37,'TRA RESID'!J:J,'TRA RESID'!X:X)</f>
        <v>1</v>
      </c>
      <c r="S37" s="9">
        <f>_xlfn.XLOOKUP(O37,'TRA RESID'!J:J,'TRA RESID'!W:W)</f>
        <v>1</v>
      </c>
      <c r="T37" s="16">
        <f>_xlfn.XLOOKUP(O37,'TRA RESID'!J:J,'TRA RESID'!T:T)</f>
        <v>15</v>
      </c>
      <c r="U37" s="8">
        <f>_xlfn.XLOOKUP(O37,'TRA RESID'!J:J,'TRA RESID'!U:U)</f>
        <v>5.922224573942124</v>
      </c>
      <c r="V37" s="16">
        <f>SUMIFS('TRA RESID'!R:R,'TRA RESID'!J:J,O37)</f>
        <v>255.72393995795099</v>
      </c>
      <c r="W37" s="9">
        <f t="shared" si="0"/>
        <v>0.98</v>
      </c>
    </row>
    <row r="38" spans="2:23" x14ac:dyDescent="0.25">
      <c r="B38" t="str">
        <f>IF(C38="","*",IF(SUMIFS('TRA RESID'!R:R,'TRA RESID'!J:J,'TRA RESID'!J33)=0,"*",'TRA RESID'!J33))</f>
        <v>TRAFRECLTICEVDSL19</v>
      </c>
      <c r="C38" t="str">
        <f>IF('TRA RESID'!H33="","",'TRA RESID'!H33)</f>
        <v>TRABDS</v>
      </c>
      <c r="D38" t="s">
        <v>405</v>
      </c>
      <c r="E38" s="9">
        <f>IF(B38="*",1,SUMIFS('TRA RESID'!O:O,'TRA RESID'!J:J,B38,'TRA RESID'!H:H,C38))</f>
        <v>0.1</v>
      </c>
      <c r="H38" t="str">
        <f>IF(I38="","*",IF(SUMIFS('TRA RESID'!R:R,'TRA RESID'!J:J,'TRA RESID'!J33)=0,"*",'TRA RESID'!J33))</f>
        <v>TRAFRECLTICEVDSL19</v>
      </c>
      <c r="I38" t="str">
        <f>IF('TRA RESID'!H33="","",'TRA RESID'!H33)</f>
        <v>TRABDS</v>
      </c>
      <c r="J38" t="str">
        <f>"Share~LO~"&amp;'City characteristics'!$C$20</f>
        <v>Share~LO~2019</v>
      </c>
      <c r="K38" s="9">
        <f>IF(B38="*",0,SUMIFS('TRA RESID'!N:N,'TRA RESID'!J:J,B38,'TRA RESID'!H:H,C38))</f>
        <v>0</v>
      </c>
      <c r="N38" t="str">
        <f>IF(Def_Tech!B36="*","*",Def_Tech!C36)</f>
        <v>*</v>
      </c>
      <c r="O38" t="str">
        <f>Def_Tech!D36</f>
        <v>TRAFRECLTICEVDSL19</v>
      </c>
      <c r="P38" t="str">
        <f>_xlfn.XLOOKUP(O38,'TRA RESID'!J:J,'TRA RESID'!I:I)</f>
        <v>TRAFRECLTDMD</v>
      </c>
      <c r="Q38" s="13">
        <f>_xlfn.XLOOKUP(O38,'TRA RESID'!J:J,'TRA RESID'!S:S)</f>
        <v>0.17708986505366731</v>
      </c>
      <c r="R38">
        <f>_xlfn.XLOOKUP(O38,'TRA RESID'!J:J,'TRA RESID'!X:X)</f>
        <v>1</v>
      </c>
      <c r="S38" s="9">
        <f>_xlfn.XLOOKUP(O38,'TRA RESID'!J:J,'TRA RESID'!W:W)</f>
        <v>1</v>
      </c>
      <c r="T38" s="16">
        <f>_xlfn.XLOOKUP(O38,'TRA RESID'!J:J,'TRA RESID'!T:T)</f>
        <v>15</v>
      </c>
      <c r="U38" s="8">
        <f>_xlfn.XLOOKUP(O38,'TRA RESID'!J:J,'TRA RESID'!U:U)</f>
        <v>5.922224573942124</v>
      </c>
      <c r="V38" s="16">
        <f>SUMIFS('TRA RESID'!R:R,'TRA RESID'!J:J,O38)</f>
        <v>255.72393995795099</v>
      </c>
      <c r="W38" s="9">
        <f t="shared" si="0"/>
        <v>0.98</v>
      </c>
    </row>
    <row r="39" spans="2:23" x14ac:dyDescent="0.25">
      <c r="B39" t="str">
        <f>IF(C39="","*",IF(SUMIFS('TRA RESID'!R:R,'TRA RESID'!J:J,'TRA RESID'!J34)=0,"*",'TRA RESID'!J34))</f>
        <v>TRAFRECLTICEVCNG19</v>
      </c>
      <c r="C39" t="str">
        <f>IF('TRA RESID'!H34="","",'TRA RESID'!H34)</f>
        <v>TRACNG</v>
      </c>
      <c r="D39" t="s">
        <v>405</v>
      </c>
      <c r="E39" s="9">
        <f>IF(B39="*",1,SUMIFS('TRA RESID'!O:O,'TRA RESID'!J:J,B39,'TRA RESID'!H:H,C39))</f>
        <v>1</v>
      </c>
      <c r="H39" t="str">
        <f>IF(I39="","*",IF(SUMIFS('TRA RESID'!R:R,'TRA RESID'!J:J,'TRA RESID'!J34)=0,"*",'TRA RESID'!J34))</f>
        <v>TRAFRECLTICEVCNG19</v>
      </c>
      <c r="I39" t="str">
        <f>IF('TRA RESID'!H34="","",'TRA RESID'!H34)</f>
        <v>TRACNG</v>
      </c>
      <c r="J39" t="str">
        <f>"Share~LO~"&amp;'City characteristics'!$C$20</f>
        <v>Share~LO~2019</v>
      </c>
      <c r="K39" s="9">
        <f>IF(B39="*",0,SUMIFS('TRA RESID'!N:N,'TRA RESID'!J:J,B39,'TRA RESID'!H:H,C39))</f>
        <v>0</v>
      </c>
      <c r="N39" t="str">
        <f>IF(Def_Tech!B37="*","*",Def_Tech!C37)</f>
        <v>CITY</v>
      </c>
      <c r="O39" t="str">
        <f>Def_Tech!D37</f>
        <v>TRAFRECLTICEVCNG19</v>
      </c>
      <c r="P39" t="str">
        <f>_xlfn.XLOOKUP(O39,'TRA RESID'!J:J,'TRA RESID'!I:I)</f>
        <v>TRAFRECLTDMD</v>
      </c>
      <c r="Q39" s="13">
        <f>_xlfn.XLOOKUP(O39,'TRA RESID'!J:J,'TRA RESID'!S:S)</f>
        <v>0.18842471273321851</v>
      </c>
      <c r="R39">
        <f>_xlfn.XLOOKUP(O39,'TRA RESID'!J:J,'TRA RESID'!X:X)</f>
        <v>1</v>
      </c>
      <c r="S39" s="9">
        <f>_xlfn.XLOOKUP(O39,'TRA RESID'!J:J,'TRA RESID'!W:W)</f>
        <v>1</v>
      </c>
      <c r="T39" s="16">
        <f>_xlfn.XLOOKUP(O39,'TRA RESID'!J:J,'TRA RESID'!T:T)</f>
        <v>15</v>
      </c>
      <c r="U39" s="8">
        <f>_xlfn.XLOOKUP(O39,'TRA RESID'!J:J,'TRA RESID'!U:U)</f>
        <v>5.922224573942124</v>
      </c>
      <c r="V39" s="16">
        <f>SUMIFS('TRA RESID'!R:R,'TRA RESID'!J:J,O39)</f>
        <v>2.151970946074425</v>
      </c>
      <c r="W39" s="9">
        <f t="shared" ref="W39:W70" si="1">S39*W$1</f>
        <v>0.98</v>
      </c>
    </row>
    <row r="40" spans="2:23" x14ac:dyDescent="0.25">
      <c r="B40" t="str">
        <f>IF(C40="","*",IF(SUMIFS('TRA RESID'!R:R,'TRA RESID'!J:J,'TRA RESID'!J35)=0,"*",'TRA RESID'!J35))</f>
        <v>TRAFRECLTICEVCNG19</v>
      </c>
      <c r="C40" t="str">
        <f>IF('TRA RESID'!H35="","",'TRA RESID'!H35)</f>
        <v>TRARNG</v>
      </c>
      <c r="D40" t="s">
        <v>405</v>
      </c>
      <c r="E40" s="9">
        <f>IF(B40="*",1,SUMIFS('TRA RESID'!O:O,'TRA RESID'!J:J,B40,'TRA RESID'!H:H,C40))</f>
        <v>1</v>
      </c>
      <c r="H40" t="str">
        <f>IF(I40="","*",IF(SUMIFS('TRA RESID'!R:R,'TRA RESID'!J:J,'TRA RESID'!J35)=0,"*",'TRA RESID'!J35))</f>
        <v>TRAFRECLTICEVCNG19</v>
      </c>
      <c r="I40" t="str">
        <f>IF('TRA RESID'!H35="","",'TRA RESID'!H35)</f>
        <v>TRARNG</v>
      </c>
      <c r="J40" t="str">
        <f>"Share~LO~"&amp;'City characteristics'!$C$20</f>
        <v>Share~LO~2019</v>
      </c>
      <c r="K40" s="9">
        <f>IF(B40="*",0,SUMIFS('TRA RESID'!N:N,'TRA RESID'!J:J,B40,'TRA RESID'!H:H,C40))</f>
        <v>0</v>
      </c>
      <c r="N40" t="str">
        <f>IF(Def_Tech!B38="*","*",Def_Tech!C38)</f>
        <v>*</v>
      </c>
      <c r="O40" t="str">
        <f>Def_Tech!D38</f>
        <v>TRAFRECLTICEVCNG19</v>
      </c>
      <c r="P40" t="str">
        <f>_xlfn.XLOOKUP(O40,'TRA RESID'!J:J,'TRA RESID'!I:I)</f>
        <v>TRAFRECLTDMD</v>
      </c>
      <c r="Q40" s="13">
        <f>_xlfn.XLOOKUP(O40,'TRA RESID'!J:J,'TRA RESID'!S:S)</f>
        <v>0.18842471273321851</v>
      </c>
      <c r="R40">
        <f>_xlfn.XLOOKUP(O40,'TRA RESID'!J:J,'TRA RESID'!X:X)</f>
        <v>1</v>
      </c>
      <c r="S40" s="9">
        <f>_xlfn.XLOOKUP(O40,'TRA RESID'!J:J,'TRA RESID'!W:W)</f>
        <v>1</v>
      </c>
      <c r="T40" s="16">
        <f>_xlfn.XLOOKUP(O40,'TRA RESID'!J:J,'TRA RESID'!T:T)</f>
        <v>15</v>
      </c>
      <c r="U40" s="8">
        <f>_xlfn.XLOOKUP(O40,'TRA RESID'!J:J,'TRA RESID'!U:U)</f>
        <v>5.922224573942124</v>
      </c>
      <c r="V40" s="16">
        <f>SUMIFS('TRA RESID'!R:R,'TRA RESID'!J:J,O40)</f>
        <v>2.151970946074425</v>
      </c>
      <c r="W40" s="9">
        <f t="shared" si="1"/>
        <v>0.98</v>
      </c>
    </row>
    <row r="41" spans="2:23" x14ac:dyDescent="0.25">
      <c r="B41" t="str">
        <f>IF(C41="","*",IF(SUMIFS('TRA RESID'!R:R,'TRA RESID'!J:J,'TRA RESID'!J36)=0,"*",'TRA RESID'!J36))</f>
        <v>TRAFRECLT300BEV19</v>
      </c>
      <c r="C41" t="str">
        <f>IF('TRA RESID'!H36="","",'TRA RESID'!H36)</f>
        <v>TRABAT</v>
      </c>
      <c r="D41" t="s">
        <v>405</v>
      </c>
      <c r="E41" s="9">
        <f>IF(B41="*",1,SUMIFS('TRA RESID'!O:O,'TRA RESID'!J:J,B41,'TRA RESID'!H:H,C41))</f>
        <v>1</v>
      </c>
      <c r="H41" t="str">
        <f>IF(I41="","*",IF(SUMIFS('TRA RESID'!R:R,'TRA RESID'!J:J,'TRA RESID'!J36)=0,"*",'TRA RESID'!J36))</f>
        <v>TRAFRECLT300BEV19</v>
      </c>
      <c r="I41" t="str">
        <f>IF('TRA RESID'!H36="","",'TRA RESID'!H36)</f>
        <v>TRABAT</v>
      </c>
      <c r="J41" t="str">
        <f>"Share~LO~"&amp;'City characteristics'!$C$20</f>
        <v>Share~LO~2019</v>
      </c>
      <c r="K41" s="9">
        <f>IF(B41="*",0,SUMIFS('TRA RESID'!N:N,'TRA RESID'!J:J,B41,'TRA RESID'!H:H,C41))</f>
        <v>1</v>
      </c>
      <c r="N41" t="str">
        <f>IF(Def_Tech!B39="*","*",Def_Tech!C39)</f>
        <v>CITY</v>
      </c>
      <c r="O41" t="str">
        <f>Def_Tech!D39</f>
        <v>TRAFRECLT300BEV19</v>
      </c>
      <c r="P41" t="str">
        <f>_xlfn.XLOOKUP(O41,'TRA RESID'!J:J,'TRA RESID'!I:I)</f>
        <v>TRAFRECLTDMD</v>
      </c>
      <c r="Q41" s="13">
        <f>_xlfn.XLOOKUP(O41,'TRA RESID'!J:J,'TRA RESID'!S:S)</f>
        <v>0.34221936387625351</v>
      </c>
      <c r="R41">
        <f>_xlfn.XLOOKUP(O41,'TRA RESID'!J:J,'TRA RESID'!X:X)</f>
        <v>1</v>
      </c>
      <c r="S41" s="9">
        <f>_xlfn.XLOOKUP(O41,'TRA RESID'!J:J,'TRA RESID'!W:W)</f>
        <v>1</v>
      </c>
      <c r="T41" s="16">
        <f>_xlfn.XLOOKUP(O41,'TRA RESID'!J:J,'TRA RESID'!T:T)</f>
        <v>15</v>
      </c>
      <c r="U41" s="8">
        <f>_xlfn.XLOOKUP(O41,'TRA RESID'!J:J,'TRA RESID'!U:U)</f>
        <v>5.922224573942124</v>
      </c>
      <c r="V41" s="16">
        <f>SUMIFS('TRA RESID'!R:R,'TRA RESID'!J:J,O41)</f>
        <v>10.258495471218779</v>
      </c>
      <c r="W41" s="9">
        <f t="shared" si="1"/>
        <v>0.98</v>
      </c>
    </row>
    <row r="42" spans="2:23" x14ac:dyDescent="0.25">
      <c r="B42" t="str">
        <f>IF(C42="","*",IF(SUMIFS('TRA RESID'!R:R,'TRA RESID'!J:J,'TRA RESID'!J37)=0,"*",'TRA RESID'!J37))</f>
        <v>*</v>
      </c>
      <c r="C42" t="str">
        <f>IF('TRA RESID'!H37="","",'TRA RESID'!H37)</f>
        <v>TRAH2G</v>
      </c>
      <c r="D42" t="s">
        <v>405</v>
      </c>
      <c r="E42" s="9">
        <f>IF(B42="*",1,SUMIFS('TRA RESID'!O:O,'TRA RESID'!J:J,B42,'TRA RESID'!H:H,C42))</f>
        <v>1</v>
      </c>
      <c r="H42" t="str">
        <f>IF(I42="","*",IF(SUMIFS('TRA RESID'!R:R,'TRA RESID'!J:J,'TRA RESID'!J37)=0,"*",'TRA RESID'!J37))</f>
        <v>*</v>
      </c>
      <c r="I42" t="str">
        <f>IF('TRA RESID'!H37="","",'TRA RESID'!H37)</f>
        <v>TRAH2G</v>
      </c>
      <c r="J42" t="str">
        <f>"Share~LO~"&amp;'City characteristics'!$C$20</f>
        <v>Share~LO~2019</v>
      </c>
      <c r="K42" s="9">
        <f>IF(B42="*",0,SUMIFS('TRA RESID'!N:N,'TRA RESID'!J:J,B42,'TRA RESID'!H:H,C42))</f>
        <v>0</v>
      </c>
      <c r="N42" t="str">
        <f>IF(Def_Tech!B40="*","*",Def_Tech!C40)</f>
        <v>*</v>
      </c>
      <c r="O42" t="str">
        <f>Def_Tech!D40</f>
        <v>TRAFRECLT300FCEV19</v>
      </c>
      <c r="P42" t="str">
        <f>_xlfn.XLOOKUP(O42,'TRA RESID'!J:J,'TRA RESID'!I:I)</f>
        <v>TRAFRECLTDMD</v>
      </c>
      <c r="Q42" s="13">
        <f>_xlfn.XLOOKUP(O42,'TRA RESID'!J:J,'TRA RESID'!S:S)</f>
        <v>0.34221936387625351</v>
      </c>
      <c r="R42">
        <f>_xlfn.XLOOKUP(O42,'TRA RESID'!J:J,'TRA RESID'!X:X)</f>
        <v>1</v>
      </c>
      <c r="S42" s="9">
        <f>_xlfn.XLOOKUP(O42,'TRA RESID'!J:J,'TRA RESID'!W:W)</f>
        <v>1</v>
      </c>
      <c r="T42" s="16">
        <f>_xlfn.XLOOKUP(O42,'TRA RESID'!J:J,'TRA RESID'!T:T)</f>
        <v>15</v>
      </c>
      <c r="U42" s="8">
        <f>_xlfn.XLOOKUP(O42,'TRA RESID'!J:J,'TRA RESID'!U:U)</f>
        <v>5.922224573942124</v>
      </c>
      <c r="V42" s="16">
        <f>SUMIFS('TRA RESID'!R:R,'TRA RESID'!J:J,O42)</f>
        <v>0</v>
      </c>
      <c r="W42" s="9">
        <f t="shared" si="1"/>
        <v>0.98</v>
      </c>
    </row>
    <row r="43" spans="2:23" x14ac:dyDescent="0.25">
      <c r="B43" t="str">
        <f>IF(C43="","*",IF(SUMIFS('TRA RESID'!R:R,'TRA RESID'!J:J,'TRA RESID'!J38)=0,"*",'TRA RESID'!J38))</f>
        <v>TRAFRERFTICEVGSL19</v>
      </c>
      <c r="C43" t="str">
        <f>IF('TRA RESID'!H38="","",'TRA RESID'!H38)</f>
        <v>TRAGSL</v>
      </c>
      <c r="D43" t="s">
        <v>405</v>
      </c>
      <c r="E43" s="9">
        <f>IF(B43="*",1,SUMIFS('TRA RESID'!O:O,'TRA RESID'!J:J,B43,'TRA RESID'!H:H,C43))</f>
        <v>1</v>
      </c>
      <c r="H43" t="str">
        <f>IF(I43="","*",IF(SUMIFS('TRA RESID'!R:R,'TRA RESID'!J:J,'TRA RESID'!J38)=0,"*",'TRA RESID'!J38))</f>
        <v>TRAFRERFTICEVGSL19</v>
      </c>
      <c r="I43" t="str">
        <f>IF('TRA RESID'!H38="","",'TRA RESID'!H38)</f>
        <v>TRAGSL</v>
      </c>
      <c r="J43" t="str">
        <f>"Share~LO~"&amp;'City characteristics'!$C$20</f>
        <v>Share~LO~2019</v>
      </c>
      <c r="K43" s="9">
        <f>IF(B43="*",0,SUMIFS('TRA RESID'!N:N,'TRA RESID'!J:J,B43,'TRA RESID'!H:H,C43))</f>
        <v>0.9</v>
      </c>
      <c r="N43" t="str">
        <f>IF(Def_Tech!B41="*","*",Def_Tech!C41)</f>
        <v>CITY</v>
      </c>
      <c r="O43" t="str">
        <f>Def_Tech!D41</f>
        <v>TRAFRERFTICEVGSL19</v>
      </c>
      <c r="P43" t="str">
        <f>_xlfn.XLOOKUP(O43,'TRA RESID'!J:J,'TRA RESID'!I:I)</f>
        <v>TRAFRERFTDMD</v>
      </c>
      <c r="Q43" s="13">
        <f>_xlfn.XLOOKUP(O43,'TRA RESID'!J:J,'TRA RESID'!S:S)</f>
        <v>9.7873237831578697E-2</v>
      </c>
      <c r="R43">
        <f>_xlfn.XLOOKUP(O43,'TRA RESID'!J:J,'TRA RESID'!X:X)</f>
        <v>1</v>
      </c>
      <c r="S43" s="9">
        <f>_xlfn.XLOOKUP(O43,'TRA RESID'!J:J,'TRA RESID'!W:W)</f>
        <v>1</v>
      </c>
      <c r="T43" s="16">
        <f>_xlfn.XLOOKUP(O43,'TRA RESID'!J:J,'TRA RESID'!T:T)</f>
        <v>8</v>
      </c>
      <c r="U43" s="8">
        <f>_xlfn.XLOOKUP(O43,'TRA RESID'!J:J,'TRA RESID'!U:U)</f>
        <v>10.491571958288359</v>
      </c>
      <c r="V43" s="16">
        <f>SUMIFS('TRA RESID'!R:R,'TRA RESID'!J:J,O43)</f>
        <v>2.5892084290547062</v>
      </c>
      <c r="W43" s="9">
        <f t="shared" si="1"/>
        <v>0.98</v>
      </c>
    </row>
    <row r="44" spans="2:23" x14ac:dyDescent="0.25">
      <c r="B44" t="str">
        <f>IF(C44="","*",IF(SUMIFS('TRA RESID'!R:R,'TRA RESID'!J:J,'TRA RESID'!J39)=0,"*",'TRA RESID'!J39))</f>
        <v>TRAFRERFTICEVGSL19</v>
      </c>
      <c r="C44" t="str">
        <f>IF('TRA RESID'!H39="","",'TRA RESID'!H39)</f>
        <v>TRAETH</v>
      </c>
      <c r="D44" t="s">
        <v>405</v>
      </c>
      <c r="E44" s="9">
        <f>IF(B44="*",1,SUMIFS('TRA RESID'!O:O,'TRA RESID'!J:J,B44,'TRA RESID'!H:H,C44))</f>
        <v>0.1</v>
      </c>
      <c r="H44" t="str">
        <f>IF(I44="","*",IF(SUMIFS('TRA RESID'!R:R,'TRA RESID'!J:J,'TRA RESID'!J39)=0,"*",'TRA RESID'!J39))</f>
        <v>TRAFRERFTICEVGSL19</v>
      </c>
      <c r="I44" t="str">
        <f>IF('TRA RESID'!H39="","",'TRA RESID'!H39)</f>
        <v>TRAETH</v>
      </c>
      <c r="J44" t="str">
        <f>"Share~LO~"&amp;'City characteristics'!$C$20</f>
        <v>Share~LO~2019</v>
      </c>
      <c r="K44" s="9">
        <f>IF(B44="*",0,SUMIFS('TRA RESID'!N:N,'TRA RESID'!J:J,B44,'TRA RESID'!H:H,C44))</f>
        <v>0</v>
      </c>
      <c r="N44" t="str">
        <f>IF(Def_Tech!B42="*","*",Def_Tech!C42)</f>
        <v>*</v>
      </c>
      <c r="O44" t="str">
        <f>Def_Tech!D42</f>
        <v>TRAFRERFTICEVGSL19</v>
      </c>
      <c r="P44" t="str">
        <f>_xlfn.XLOOKUP(O44,'TRA RESID'!J:J,'TRA RESID'!I:I)</f>
        <v>TRAFRERFTDMD</v>
      </c>
      <c r="Q44" s="13">
        <f>_xlfn.XLOOKUP(O44,'TRA RESID'!J:J,'TRA RESID'!S:S)</f>
        <v>9.7873237831578697E-2</v>
      </c>
      <c r="R44">
        <f>_xlfn.XLOOKUP(O44,'TRA RESID'!J:J,'TRA RESID'!X:X)</f>
        <v>1</v>
      </c>
      <c r="S44" s="9">
        <f>_xlfn.XLOOKUP(O44,'TRA RESID'!J:J,'TRA RESID'!W:W)</f>
        <v>1</v>
      </c>
      <c r="T44" s="16">
        <f>_xlfn.XLOOKUP(O44,'TRA RESID'!J:J,'TRA RESID'!T:T)</f>
        <v>8</v>
      </c>
      <c r="U44" s="8">
        <f>_xlfn.XLOOKUP(O44,'TRA RESID'!J:J,'TRA RESID'!U:U)</f>
        <v>10.491571958288359</v>
      </c>
      <c r="V44" s="16">
        <f>SUMIFS('TRA RESID'!R:R,'TRA RESID'!J:J,O44)</f>
        <v>2.5892084290547062</v>
      </c>
      <c r="W44" s="9">
        <f t="shared" si="1"/>
        <v>0.98</v>
      </c>
    </row>
    <row r="45" spans="2:23" x14ac:dyDescent="0.25">
      <c r="B45" t="str">
        <f>IF(C45="","*",IF(SUMIFS('TRA RESID'!R:R,'TRA RESID'!J:J,'TRA RESID'!J40)=0,"*",'TRA RESID'!J40))</f>
        <v>TRAFRERFTICEVDSL19</v>
      </c>
      <c r="C45" t="str">
        <f>IF('TRA RESID'!H40="","",'TRA RESID'!H40)</f>
        <v>TRADSL</v>
      </c>
      <c r="D45" t="s">
        <v>405</v>
      </c>
      <c r="E45" s="9">
        <f>IF(B45="*",1,SUMIFS('TRA RESID'!O:O,'TRA RESID'!J:J,B45,'TRA RESID'!H:H,C45))</f>
        <v>1</v>
      </c>
      <c r="H45" t="str">
        <f>IF(I45="","*",IF(SUMIFS('TRA RESID'!R:R,'TRA RESID'!J:J,'TRA RESID'!J40)=0,"*",'TRA RESID'!J40))</f>
        <v>TRAFRERFTICEVDSL19</v>
      </c>
      <c r="I45" t="str">
        <f>IF('TRA RESID'!H40="","",'TRA RESID'!H40)</f>
        <v>TRADSL</v>
      </c>
      <c r="J45" t="str">
        <f>"Share~LO~"&amp;'City characteristics'!$C$20</f>
        <v>Share~LO~2019</v>
      </c>
      <c r="K45" s="9">
        <f>IF(B45="*",0,SUMIFS('TRA RESID'!N:N,'TRA RESID'!J:J,B45,'TRA RESID'!H:H,C45))</f>
        <v>0</v>
      </c>
      <c r="N45" t="str">
        <f>IF(Def_Tech!B43="*","*",Def_Tech!C43)</f>
        <v>CITY</v>
      </c>
      <c r="O45" t="str">
        <f>Def_Tech!D43</f>
        <v>TRAFRERFTICEVDSL19</v>
      </c>
      <c r="P45" t="str">
        <f>_xlfn.XLOOKUP(O45,'TRA RESID'!J:J,'TRA RESID'!I:I)</f>
        <v>TRAFRERFTDMD</v>
      </c>
      <c r="Q45" s="13">
        <f>_xlfn.XLOOKUP(O45,'TRA RESID'!J:J,'TRA RESID'!S:S)</f>
        <v>6.7140876655477494E-2</v>
      </c>
      <c r="R45">
        <f>_xlfn.XLOOKUP(O45,'TRA RESID'!J:J,'TRA RESID'!X:X)</f>
        <v>1</v>
      </c>
      <c r="S45" s="9">
        <f>_xlfn.XLOOKUP(O45,'TRA RESID'!J:J,'TRA RESID'!W:W)</f>
        <v>1</v>
      </c>
      <c r="T45" s="16">
        <f>_xlfn.XLOOKUP(O45,'TRA RESID'!J:J,'TRA RESID'!T:T)</f>
        <v>8</v>
      </c>
      <c r="U45" s="8">
        <f>_xlfn.XLOOKUP(O45,'TRA RESID'!J:J,'TRA RESID'!U:U)</f>
        <v>10.491571958288359</v>
      </c>
      <c r="V45" s="16">
        <f>SUMIFS('TRA RESID'!R:R,'TRA RESID'!J:J,O45)</f>
        <v>67.143933290191612</v>
      </c>
      <c r="W45" s="9">
        <f t="shared" si="1"/>
        <v>0.98</v>
      </c>
    </row>
    <row r="46" spans="2:23" x14ac:dyDescent="0.25">
      <c r="B46" t="str">
        <f>IF(C46="","*",IF(SUMIFS('TRA RESID'!R:R,'TRA RESID'!J:J,'TRA RESID'!J41)=0,"*",'TRA RESID'!J41))</f>
        <v>TRAFRERFTICEVDSL19</v>
      </c>
      <c r="C46" t="str">
        <f>IF('TRA RESID'!H41="","",'TRA RESID'!H41)</f>
        <v>TRARDS</v>
      </c>
      <c r="D46" t="s">
        <v>405</v>
      </c>
      <c r="E46" s="9">
        <f>IF(B46="*",1,SUMIFS('TRA RESID'!O:O,'TRA RESID'!J:J,B46,'TRA RESID'!H:H,C46))</f>
        <v>1</v>
      </c>
      <c r="H46" t="str">
        <f>IF(I46="","*",IF(SUMIFS('TRA RESID'!R:R,'TRA RESID'!J:J,'TRA RESID'!J41)=0,"*",'TRA RESID'!J41))</f>
        <v>TRAFRERFTICEVDSL19</v>
      </c>
      <c r="I46" t="str">
        <f>IF('TRA RESID'!H41="","",'TRA RESID'!H41)</f>
        <v>TRARDS</v>
      </c>
      <c r="J46" t="str">
        <f>"Share~LO~"&amp;'City characteristics'!$C$20</f>
        <v>Share~LO~2019</v>
      </c>
      <c r="K46" s="9">
        <f>IF(B46="*",0,SUMIFS('TRA RESID'!N:N,'TRA RESID'!J:J,B46,'TRA RESID'!H:H,C46))</f>
        <v>0</v>
      </c>
      <c r="N46" t="str">
        <f>IF(Def_Tech!B44="*","*",Def_Tech!C44)</f>
        <v>*</v>
      </c>
      <c r="O46" t="str">
        <f>Def_Tech!D44</f>
        <v>TRAFRERFTICEVDSL19</v>
      </c>
      <c r="P46" t="str">
        <f>_xlfn.XLOOKUP(O46,'TRA RESID'!J:J,'TRA RESID'!I:I)</f>
        <v>TRAFRERFTDMD</v>
      </c>
      <c r="Q46" s="13">
        <f>_xlfn.XLOOKUP(O46,'TRA RESID'!J:J,'TRA RESID'!S:S)</f>
        <v>6.7140876655477494E-2</v>
      </c>
      <c r="R46">
        <f>_xlfn.XLOOKUP(O46,'TRA RESID'!J:J,'TRA RESID'!X:X)</f>
        <v>1</v>
      </c>
      <c r="S46" s="9">
        <f>_xlfn.XLOOKUP(O46,'TRA RESID'!J:J,'TRA RESID'!W:W)</f>
        <v>1</v>
      </c>
      <c r="T46" s="16">
        <f>_xlfn.XLOOKUP(O46,'TRA RESID'!J:J,'TRA RESID'!T:T)</f>
        <v>8</v>
      </c>
      <c r="U46" s="8">
        <f>_xlfn.XLOOKUP(O46,'TRA RESID'!J:J,'TRA RESID'!U:U)</f>
        <v>10.491571958288359</v>
      </c>
      <c r="V46" s="16">
        <f>SUMIFS('TRA RESID'!R:R,'TRA RESID'!J:J,O46)</f>
        <v>67.143933290191612</v>
      </c>
      <c r="W46" s="9">
        <f t="shared" si="1"/>
        <v>0.98</v>
      </c>
    </row>
    <row r="47" spans="2:23" x14ac:dyDescent="0.25">
      <c r="B47" t="str">
        <f>IF(C47="","*",IF(SUMIFS('TRA RESID'!R:R,'TRA RESID'!J:J,'TRA RESID'!J42)=0,"*",'TRA RESID'!J42))</f>
        <v>TRAFRERFTICEVDSL19</v>
      </c>
      <c r="C47" t="str">
        <f>IF('TRA RESID'!H42="","",'TRA RESID'!H42)</f>
        <v>TRABDS</v>
      </c>
      <c r="D47" t="s">
        <v>405</v>
      </c>
      <c r="E47" s="9">
        <f>IF(B47="*",1,SUMIFS('TRA RESID'!O:O,'TRA RESID'!J:J,B47,'TRA RESID'!H:H,C47))</f>
        <v>0.1</v>
      </c>
      <c r="H47" t="str">
        <f>IF(I47="","*",IF(SUMIFS('TRA RESID'!R:R,'TRA RESID'!J:J,'TRA RESID'!J42)=0,"*",'TRA RESID'!J42))</f>
        <v>TRAFRERFTICEVDSL19</v>
      </c>
      <c r="I47" t="str">
        <f>IF('TRA RESID'!H42="","",'TRA RESID'!H42)</f>
        <v>TRABDS</v>
      </c>
      <c r="J47" t="str">
        <f>"Share~LO~"&amp;'City characteristics'!$C$20</f>
        <v>Share~LO~2019</v>
      </c>
      <c r="K47" s="9">
        <f>IF(B47="*",0,SUMIFS('TRA RESID'!N:N,'TRA RESID'!J:J,B47,'TRA RESID'!H:H,C47))</f>
        <v>0</v>
      </c>
      <c r="N47" t="str">
        <f>IF(Def_Tech!B45="*","*",Def_Tech!C45)</f>
        <v>*</v>
      </c>
      <c r="O47" t="str">
        <f>Def_Tech!D45</f>
        <v>TRAFRERFTICEVDSL19</v>
      </c>
      <c r="P47" t="str">
        <f>_xlfn.XLOOKUP(O47,'TRA RESID'!J:J,'TRA RESID'!I:I)</f>
        <v>TRAFRERFTDMD</v>
      </c>
      <c r="Q47" s="13">
        <f>_xlfn.XLOOKUP(O47,'TRA RESID'!J:J,'TRA RESID'!S:S)</f>
        <v>6.7140876655477494E-2</v>
      </c>
      <c r="R47">
        <f>_xlfn.XLOOKUP(O47,'TRA RESID'!J:J,'TRA RESID'!X:X)</f>
        <v>1</v>
      </c>
      <c r="S47" s="9">
        <f>_xlfn.XLOOKUP(O47,'TRA RESID'!J:J,'TRA RESID'!W:W)</f>
        <v>1</v>
      </c>
      <c r="T47" s="16">
        <f>_xlfn.XLOOKUP(O47,'TRA RESID'!J:J,'TRA RESID'!T:T)</f>
        <v>8</v>
      </c>
      <c r="U47" s="8">
        <f>_xlfn.XLOOKUP(O47,'TRA RESID'!J:J,'TRA RESID'!U:U)</f>
        <v>10.491571958288359</v>
      </c>
      <c r="V47" s="16">
        <f>SUMIFS('TRA RESID'!R:R,'TRA RESID'!J:J,O47)</f>
        <v>67.143933290191612</v>
      </c>
      <c r="W47" s="9">
        <f t="shared" si="1"/>
        <v>0.98</v>
      </c>
    </row>
    <row r="48" spans="2:23" x14ac:dyDescent="0.25">
      <c r="B48" t="str">
        <f>IF(C48="","*",IF(SUMIFS('TRA RESID'!R:R,'TRA RESID'!J:J,'TRA RESID'!J43)=0,"*",'TRA RESID'!J43))</f>
        <v>TRAFRERFTICEVCNG19</v>
      </c>
      <c r="C48" t="str">
        <f>IF('TRA RESID'!H43="","",'TRA RESID'!H43)</f>
        <v>TRACNG</v>
      </c>
      <c r="D48" t="s">
        <v>405</v>
      </c>
      <c r="E48" s="9">
        <f>IF(B48="*",1,SUMIFS('TRA RESID'!O:O,'TRA RESID'!J:J,B48,'TRA RESID'!H:H,C48))</f>
        <v>1</v>
      </c>
      <c r="H48" t="str">
        <f>IF(I48="","*",IF(SUMIFS('TRA RESID'!R:R,'TRA RESID'!J:J,'TRA RESID'!J43)=0,"*",'TRA RESID'!J43))</f>
        <v>TRAFRERFTICEVCNG19</v>
      </c>
      <c r="I48" t="str">
        <f>IF('TRA RESID'!H43="","",'TRA RESID'!H43)</f>
        <v>TRACNG</v>
      </c>
      <c r="J48" t="str">
        <f>"Share~LO~"&amp;'City characteristics'!$C$20</f>
        <v>Share~LO~2019</v>
      </c>
      <c r="K48" s="9">
        <f>IF(B48="*",0,SUMIFS('TRA RESID'!N:N,'TRA RESID'!J:J,B48,'TRA RESID'!H:H,C48))</f>
        <v>0</v>
      </c>
      <c r="N48" t="str">
        <f>IF(Def_Tech!B46="*","*",Def_Tech!C46)</f>
        <v>CITY</v>
      </c>
      <c r="O48" t="str">
        <f>Def_Tech!D46</f>
        <v>TRAFRERFTICEVCNG19</v>
      </c>
      <c r="P48" t="str">
        <f>_xlfn.XLOOKUP(O48,'TRA RESID'!J:J,'TRA RESID'!I:I)</f>
        <v>TRAFRERFTDMD</v>
      </c>
      <c r="Q48" s="13">
        <f>_xlfn.XLOOKUP(O48,'TRA RESID'!J:J,'TRA RESID'!S:S)</f>
        <v>5.3467979923540673E-2</v>
      </c>
      <c r="R48">
        <f>_xlfn.XLOOKUP(O48,'TRA RESID'!J:J,'TRA RESID'!X:X)</f>
        <v>1</v>
      </c>
      <c r="S48" s="9">
        <f>_xlfn.XLOOKUP(O48,'TRA RESID'!J:J,'TRA RESID'!W:W)</f>
        <v>1</v>
      </c>
      <c r="T48" s="16">
        <f>_xlfn.XLOOKUP(O48,'TRA RESID'!J:J,'TRA RESID'!T:T)</f>
        <v>8</v>
      </c>
      <c r="U48" s="8">
        <f>_xlfn.XLOOKUP(O48,'TRA RESID'!J:J,'TRA RESID'!U:U)</f>
        <v>10.491571958288359</v>
      </c>
      <c r="V48" s="16">
        <f>SUMIFS('TRA RESID'!R:R,'TRA RESID'!J:J,O48)</f>
        <v>0.29316655469640979</v>
      </c>
      <c r="W48" s="9">
        <f t="shared" si="1"/>
        <v>0.98</v>
      </c>
    </row>
    <row r="49" spans="2:23" x14ac:dyDescent="0.25">
      <c r="B49" t="str">
        <f>IF(C49="","*",IF(SUMIFS('TRA RESID'!R:R,'TRA RESID'!J:J,'TRA RESID'!J44)=0,"*",'TRA RESID'!J44))</f>
        <v>TRAFRERFTICEVCNG19</v>
      </c>
      <c r="C49" t="str">
        <f>IF('TRA RESID'!H44="","",'TRA RESID'!H44)</f>
        <v>TRARNG</v>
      </c>
      <c r="D49" t="s">
        <v>405</v>
      </c>
      <c r="E49" s="9">
        <f>IF(B49="*",1,SUMIFS('TRA RESID'!O:O,'TRA RESID'!J:J,B49,'TRA RESID'!H:H,C49))</f>
        <v>1</v>
      </c>
      <c r="H49" t="str">
        <f>IF(I49="","*",IF(SUMIFS('TRA RESID'!R:R,'TRA RESID'!J:J,'TRA RESID'!J44)=0,"*",'TRA RESID'!J44))</f>
        <v>TRAFRERFTICEVCNG19</v>
      </c>
      <c r="I49" t="str">
        <f>IF('TRA RESID'!H44="","",'TRA RESID'!H44)</f>
        <v>TRARNG</v>
      </c>
      <c r="J49" t="str">
        <f>"Share~LO~"&amp;'City characteristics'!$C$20</f>
        <v>Share~LO~2019</v>
      </c>
      <c r="K49" s="9">
        <f>IF(B49="*",0,SUMIFS('TRA RESID'!N:N,'TRA RESID'!J:J,B49,'TRA RESID'!H:H,C49))</f>
        <v>0</v>
      </c>
      <c r="N49" t="str">
        <f>IF(Def_Tech!B47="*","*",Def_Tech!C47)</f>
        <v>*</v>
      </c>
      <c r="O49" t="str">
        <f>Def_Tech!D47</f>
        <v>TRAFRERFTICEVCNG19</v>
      </c>
      <c r="P49" t="str">
        <f>_xlfn.XLOOKUP(O49,'TRA RESID'!J:J,'TRA RESID'!I:I)</f>
        <v>TRAFRERFTDMD</v>
      </c>
      <c r="Q49" s="13">
        <f>_xlfn.XLOOKUP(O49,'TRA RESID'!J:J,'TRA RESID'!S:S)</f>
        <v>5.3467979923540673E-2</v>
      </c>
      <c r="R49">
        <f>_xlfn.XLOOKUP(O49,'TRA RESID'!J:J,'TRA RESID'!X:X)</f>
        <v>1</v>
      </c>
      <c r="S49" s="9">
        <f>_xlfn.XLOOKUP(O49,'TRA RESID'!J:J,'TRA RESID'!W:W)</f>
        <v>1</v>
      </c>
      <c r="T49" s="16">
        <f>_xlfn.XLOOKUP(O49,'TRA RESID'!J:J,'TRA RESID'!T:T)</f>
        <v>8</v>
      </c>
      <c r="U49" s="8">
        <f>_xlfn.XLOOKUP(O49,'TRA RESID'!J:J,'TRA RESID'!U:U)</f>
        <v>10.491571958288359</v>
      </c>
      <c r="V49" s="16">
        <f>SUMIFS('TRA RESID'!R:R,'TRA RESID'!J:J,O49)</f>
        <v>0.29316655469640979</v>
      </c>
      <c r="W49" s="9">
        <f t="shared" si="1"/>
        <v>0.98</v>
      </c>
    </row>
    <row r="50" spans="2:23" x14ac:dyDescent="0.25">
      <c r="B50" t="str">
        <f>IF(C50="","*",IF(SUMIFS('TRA RESID'!R:R,'TRA RESID'!J:J,'TRA RESID'!J45)=0,"*",'TRA RESID'!J45))</f>
        <v>*</v>
      </c>
      <c r="C50" t="str">
        <f>IF('TRA RESID'!H45="","",'TRA RESID'!H45)</f>
        <v>TRABAF</v>
      </c>
      <c r="D50" t="s">
        <v>405</v>
      </c>
      <c r="E50" s="9">
        <f>IF(B50="*",1,SUMIFS('TRA RESID'!O:O,'TRA RESID'!J:J,B50,'TRA RESID'!H:H,C50))</f>
        <v>1</v>
      </c>
      <c r="H50" t="str">
        <f>IF(I50="","*",IF(SUMIFS('TRA RESID'!R:R,'TRA RESID'!J:J,'TRA RESID'!J45)=0,"*",'TRA RESID'!J45))</f>
        <v>*</v>
      </c>
      <c r="I50" t="str">
        <f>IF('TRA RESID'!H45="","",'TRA RESID'!H45)</f>
        <v>TRABAF</v>
      </c>
      <c r="J50" t="str">
        <f>"Share~LO~"&amp;'City characteristics'!$C$20</f>
        <v>Share~LO~2019</v>
      </c>
      <c r="K50" s="9">
        <f>IF(B50="*",0,SUMIFS('TRA RESID'!N:N,'TRA RESID'!J:J,B50,'TRA RESID'!H:H,C50))</f>
        <v>0</v>
      </c>
      <c r="N50" t="str">
        <f>IF(Def_Tech!B48="*","*",Def_Tech!C48)</f>
        <v>*</v>
      </c>
      <c r="O50" t="str">
        <f>Def_Tech!D48</f>
        <v>TRAFRERFT300BEV19</v>
      </c>
      <c r="P50" t="str">
        <f>_xlfn.XLOOKUP(O50,'TRA RESID'!J:J,'TRA RESID'!I:I)</f>
        <v>TRAFRERFTDMD</v>
      </c>
      <c r="Q50" s="13">
        <f>_xlfn.XLOOKUP(O50,'TRA RESID'!J:J,'TRA RESID'!S:S)</f>
        <v>0.21465701666491771</v>
      </c>
      <c r="R50">
        <f>_xlfn.XLOOKUP(O50,'TRA RESID'!J:J,'TRA RESID'!X:X)</f>
        <v>1</v>
      </c>
      <c r="S50" s="9">
        <f>_xlfn.XLOOKUP(O50,'TRA RESID'!J:J,'TRA RESID'!W:W)</f>
        <v>1</v>
      </c>
      <c r="T50" s="16">
        <f>_xlfn.XLOOKUP(O50,'TRA RESID'!J:J,'TRA RESID'!T:T)</f>
        <v>8</v>
      </c>
      <c r="U50" s="8">
        <f>_xlfn.XLOOKUP(O50,'TRA RESID'!J:J,'TRA RESID'!U:U)</f>
        <v>10.491571958288359</v>
      </c>
      <c r="V50" s="16">
        <f>SUMIFS('TRA RESID'!R:R,'TRA RESID'!J:J,O50)</f>
        <v>0</v>
      </c>
      <c r="W50" s="9">
        <f t="shared" si="1"/>
        <v>0.98</v>
      </c>
    </row>
    <row r="51" spans="2:23" x14ac:dyDescent="0.25">
      <c r="B51" t="str">
        <f>IF(C51="","*",IF(SUMIFS('TRA RESID'!R:R,'TRA RESID'!J:J,'TRA RESID'!J46)=0,"*",'TRA RESID'!J46))</f>
        <v>*</v>
      </c>
      <c r="C51" t="str">
        <f>IF('TRA RESID'!H46="","",'TRA RESID'!H46)</f>
        <v>TRAH2G</v>
      </c>
      <c r="D51" t="s">
        <v>405</v>
      </c>
      <c r="E51" s="9">
        <f>IF(B51="*",1,SUMIFS('TRA RESID'!O:O,'TRA RESID'!J:J,B51,'TRA RESID'!H:H,C51))</f>
        <v>1</v>
      </c>
      <c r="H51" t="str">
        <f>IF(I51="","*",IF(SUMIFS('TRA RESID'!R:R,'TRA RESID'!J:J,'TRA RESID'!J46)=0,"*",'TRA RESID'!J46))</f>
        <v>*</v>
      </c>
      <c r="I51" t="str">
        <f>IF('TRA RESID'!H46="","",'TRA RESID'!H46)</f>
        <v>TRAH2G</v>
      </c>
      <c r="J51" t="str">
        <f>"Share~LO~"&amp;'City characteristics'!$C$20</f>
        <v>Share~LO~2019</v>
      </c>
      <c r="K51" s="9">
        <f>IF(B51="*",0,SUMIFS('TRA RESID'!N:N,'TRA RESID'!J:J,B51,'TRA RESID'!H:H,C51))</f>
        <v>0</v>
      </c>
      <c r="N51" t="str">
        <f>IF(Def_Tech!B49="*","*",Def_Tech!C49)</f>
        <v>*</v>
      </c>
      <c r="O51" t="str">
        <f>Def_Tech!D49</f>
        <v>TRAFRERFT300FCEV19</v>
      </c>
      <c r="P51" t="str">
        <f>_xlfn.XLOOKUP(O51,'TRA RESID'!J:J,'TRA RESID'!I:I)</f>
        <v>TRAFRERFTDMD</v>
      </c>
      <c r="Q51" s="13">
        <f>_xlfn.XLOOKUP(O51,'TRA RESID'!J:J,'TRA RESID'!S:S)</f>
        <v>0.14310467777661179</v>
      </c>
      <c r="R51">
        <f>_xlfn.XLOOKUP(O51,'TRA RESID'!J:J,'TRA RESID'!X:X)</f>
        <v>1</v>
      </c>
      <c r="S51" s="9">
        <f>_xlfn.XLOOKUP(O51,'TRA RESID'!J:J,'TRA RESID'!W:W)</f>
        <v>1</v>
      </c>
      <c r="T51" s="16">
        <f>_xlfn.XLOOKUP(O51,'TRA RESID'!J:J,'TRA RESID'!T:T)</f>
        <v>8</v>
      </c>
      <c r="U51" s="8">
        <f>_xlfn.XLOOKUP(O51,'TRA RESID'!J:J,'TRA RESID'!U:U)</f>
        <v>10.491571958288359</v>
      </c>
      <c r="V51" s="16">
        <f>SUMIFS('TRA RESID'!R:R,'TRA RESID'!J:J,O51)</f>
        <v>0</v>
      </c>
      <c r="W51" s="9">
        <f t="shared" si="1"/>
        <v>0.98</v>
      </c>
    </row>
    <row r="52" spans="2:23" x14ac:dyDescent="0.25">
      <c r="B52" t="str">
        <f>IF(C52="","*",IF(SUMIFS('TRA RESID'!R:R,'TRA RESID'!J:J,'TRA RESID'!J47)=0,"*",'TRA RESID'!J47))</f>
        <v>*</v>
      </c>
      <c r="C52" t="str">
        <f>IF('TRA RESID'!H47="","",'TRA RESID'!H47)</f>
        <v>TRAGSL</v>
      </c>
      <c r="D52" t="s">
        <v>405</v>
      </c>
      <c r="E52" s="9">
        <f>IF(B52="*",1,SUMIFS('TRA RESID'!O:O,'TRA RESID'!J:J,B52,'TRA RESID'!H:H,C52))</f>
        <v>1</v>
      </c>
      <c r="H52" t="str">
        <f>IF(I52="","*",IF(SUMIFS('TRA RESID'!R:R,'TRA RESID'!J:J,'TRA RESID'!J47)=0,"*",'TRA RESID'!J47))</f>
        <v>*</v>
      </c>
      <c r="I52" t="str">
        <f>IF('TRA RESID'!H47="","",'TRA RESID'!H47)</f>
        <v>TRAGSL</v>
      </c>
      <c r="J52" t="str">
        <f>"Share~LO~"&amp;'City characteristics'!$C$20</f>
        <v>Share~LO~2019</v>
      </c>
      <c r="K52" s="9">
        <f>IF(B52="*",0,SUMIFS('TRA RESID'!N:N,'TRA RESID'!J:J,B52,'TRA RESID'!H:H,C52))</f>
        <v>0</v>
      </c>
      <c r="N52" t="str">
        <f>IF(Def_Tech!B50="*","*",Def_Tech!C50)</f>
        <v>*</v>
      </c>
      <c r="O52" t="str">
        <f>Def_Tech!D50</f>
        <v>TRAFRESLHICEVGSL19</v>
      </c>
      <c r="P52" t="str">
        <f>_xlfn.XLOOKUP(O52,'TRA RESID'!J:J,'TRA RESID'!I:I)</f>
        <v>TRAFRESLHDMD</v>
      </c>
      <c r="Q52" s="13">
        <f>_xlfn.XLOOKUP(O52,'TRA RESID'!J:J,'TRA RESID'!S:S)</f>
        <v>0.1122163330779205</v>
      </c>
      <c r="R52">
        <f>_xlfn.XLOOKUP(O52,'TRA RESID'!J:J,'TRA RESID'!X:X)</f>
        <v>1</v>
      </c>
      <c r="S52" s="9">
        <f>_xlfn.XLOOKUP(O52,'TRA RESID'!J:J,'TRA RESID'!W:W)</f>
        <v>1</v>
      </c>
      <c r="T52" s="16">
        <f>_xlfn.XLOOKUP(O52,'TRA RESID'!J:J,'TRA RESID'!T:T)</f>
        <v>11</v>
      </c>
      <c r="U52" s="8">
        <f>_xlfn.XLOOKUP(O52,'TRA RESID'!J:J,'TRA RESID'!U:U)</f>
        <v>10.127280690055271</v>
      </c>
      <c r="V52" s="16">
        <f>SUMIFS('TRA RESID'!R:R,'TRA RESID'!J:J,O52)</f>
        <v>0</v>
      </c>
      <c r="W52" s="9">
        <f t="shared" si="1"/>
        <v>0.98</v>
      </c>
    </row>
    <row r="53" spans="2:23" x14ac:dyDescent="0.25">
      <c r="B53" t="str">
        <f>IF(C53="","*",IF(SUMIFS('TRA RESID'!R:R,'TRA RESID'!J:J,'TRA RESID'!J48)=0,"*",'TRA RESID'!J48))</f>
        <v>*</v>
      </c>
      <c r="C53" t="str">
        <f>IF('TRA RESID'!H48="","",'TRA RESID'!H48)</f>
        <v>TRAETH</v>
      </c>
      <c r="D53" t="s">
        <v>405</v>
      </c>
      <c r="E53" s="9">
        <f>IF(B53="*",1,SUMIFS('TRA RESID'!O:O,'TRA RESID'!J:J,B53,'TRA RESID'!H:H,C53))</f>
        <v>1</v>
      </c>
      <c r="H53" t="str">
        <f>IF(I53="","*",IF(SUMIFS('TRA RESID'!R:R,'TRA RESID'!J:J,'TRA RESID'!J48)=0,"*",'TRA RESID'!J48))</f>
        <v>*</v>
      </c>
      <c r="I53" t="str">
        <f>IF('TRA RESID'!H48="","",'TRA RESID'!H48)</f>
        <v>TRAETH</v>
      </c>
      <c r="J53" t="str">
        <f>"Share~LO~"&amp;'City characteristics'!$C$20</f>
        <v>Share~LO~2019</v>
      </c>
      <c r="K53" s="9">
        <f>IF(B53="*",0,SUMIFS('TRA RESID'!N:N,'TRA RESID'!J:J,B53,'TRA RESID'!H:H,C53))</f>
        <v>0</v>
      </c>
      <c r="N53" t="str">
        <f>IF(Def_Tech!B51="*","*",Def_Tech!C51)</f>
        <v>*</v>
      </c>
      <c r="O53" t="str">
        <f>Def_Tech!D51</f>
        <v>TRAFRESLHICEVGSL19</v>
      </c>
      <c r="P53" t="str">
        <f>_xlfn.XLOOKUP(O53,'TRA RESID'!J:J,'TRA RESID'!I:I)</f>
        <v>TRAFRESLHDMD</v>
      </c>
      <c r="Q53" s="13">
        <f>_xlfn.XLOOKUP(O53,'TRA RESID'!J:J,'TRA RESID'!S:S)</f>
        <v>0.1122163330779205</v>
      </c>
      <c r="R53">
        <f>_xlfn.XLOOKUP(O53,'TRA RESID'!J:J,'TRA RESID'!X:X)</f>
        <v>1</v>
      </c>
      <c r="S53" s="9">
        <f>_xlfn.XLOOKUP(O53,'TRA RESID'!J:J,'TRA RESID'!W:W)</f>
        <v>1</v>
      </c>
      <c r="T53" s="16">
        <f>_xlfn.XLOOKUP(O53,'TRA RESID'!J:J,'TRA RESID'!T:T)</f>
        <v>11</v>
      </c>
      <c r="U53" s="8">
        <f>_xlfn.XLOOKUP(O53,'TRA RESID'!J:J,'TRA RESID'!U:U)</f>
        <v>10.127280690055271</v>
      </c>
      <c r="V53" s="16">
        <f>SUMIFS('TRA RESID'!R:R,'TRA RESID'!J:J,O53)</f>
        <v>0</v>
      </c>
      <c r="W53" s="9">
        <f t="shared" si="1"/>
        <v>0.98</v>
      </c>
    </row>
    <row r="54" spans="2:23" x14ac:dyDescent="0.25">
      <c r="B54" t="str">
        <f>IF(C54="","*",IF(SUMIFS('TRA RESID'!R:R,'TRA RESID'!J:J,'TRA RESID'!J49)=0,"*",'TRA RESID'!J49))</f>
        <v>*</v>
      </c>
      <c r="C54" t="str">
        <f>IF('TRA RESID'!H49="","",'TRA RESID'!H49)</f>
        <v>TRADSL</v>
      </c>
      <c r="D54" t="s">
        <v>405</v>
      </c>
      <c r="E54" s="9">
        <f>IF(B54="*",1,SUMIFS('TRA RESID'!O:O,'TRA RESID'!J:J,B54,'TRA RESID'!H:H,C54))</f>
        <v>1</v>
      </c>
      <c r="H54" t="str">
        <f>IF(I54="","*",IF(SUMIFS('TRA RESID'!R:R,'TRA RESID'!J:J,'TRA RESID'!J49)=0,"*",'TRA RESID'!J49))</f>
        <v>*</v>
      </c>
      <c r="I54" t="str">
        <f>IF('TRA RESID'!H49="","",'TRA RESID'!H49)</f>
        <v>TRADSL</v>
      </c>
      <c r="J54" t="str">
        <f>"Share~LO~"&amp;'City characteristics'!$C$20</f>
        <v>Share~LO~2019</v>
      </c>
      <c r="K54" s="9">
        <f>IF(B54="*",0,SUMIFS('TRA RESID'!N:N,'TRA RESID'!J:J,B54,'TRA RESID'!H:H,C54))</f>
        <v>0</v>
      </c>
      <c r="N54" t="str">
        <f>IF(Def_Tech!B52="*","*",Def_Tech!C52)</f>
        <v>*</v>
      </c>
      <c r="O54" t="str">
        <f>Def_Tech!D52</f>
        <v>TRAFRESLHICEVDSL19</v>
      </c>
      <c r="P54" t="str">
        <f>_xlfn.XLOOKUP(O54,'TRA RESID'!J:J,'TRA RESID'!I:I)</f>
        <v>TRAFRESLHDMD</v>
      </c>
      <c r="Q54" s="13">
        <f>_xlfn.XLOOKUP(O54,'TRA RESID'!J:J,'TRA RESID'!S:S)</f>
        <v>0.1180076741117386</v>
      </c>
      <c r="R54">
        <f>_xlfn.XLOOKUP(O54,'TRA RESID'!J:J,'TRA RESID'!X:X)</f>
        <v>1</v>
      </c>
      <c r="S54" s="9">
        <f>_xlfn.XLOOKUP(O54,'TRA RESID'!J:J,'TRA RESID'!W:W)</f>
        <v>1</v>
      </c>
      <c r="T54" s="16">
        <f>_xlfn.XLOOKUP(O54,'TRA RESID'!J:J,'TRA RESID'!T:T)</f>
        <v>11</v>
      </c>
      <c r="U54" s="8">
        <f>_xlfn.XLOOKUP(O54,'TRA RESID'!J:J,'TRA RESID'!U:U)</f>
        <v>10.127280690055271</v>
      </c>
      <c r="V54" s="16">
        <f>SUMIFS('TRA RESID'!R:R,'TRA RESID'!J:J,O54)</f>
        <v>0</v>
      </c>
      <c r="W54" s="9">
        <f t="shared" si="1"/>
        <v>0.98</v>
      </c>
    </row>
    <row r="55" spans="2:23" x14ac:dyDescent="0.25">
      <c r="B55" t="str">
        <f>IF(C55="","*",IF(SUMIFS('TRA RESID'!R:R,'TRA RESID'!J:J,'TRA RESID'!J50)=0,"*",'TRA RESID'!J50))</f>
        <v>*</v>
      </c>
      <c r="C55" t="str">
        <f>IF('TRA RESID'!H50="","",'TRA RESID'!H50)</f>
        <v>TRARDS</v>
      </c>
      <c r="D55" t="s">
        <v>405</v>
      </c>
      <c r="E55" s="9">
        <f>IF(B55="*",1,SUMIFS('TRA RESID'!O:O,'TRA RESID'!J:J,B55,'TRA RESID'!H:H,C55))</f>
        <v>1</v>
      </c>
      <c r="H55" t="str">
        <f>IF(I55="","*",IF(SUMIFS('TRA RESID'!R:R,'TRA RESID'!J:J,'TRA RESID'!J50)=0,"*",'TRA RESID'!J50))</f>
        <v>*</v>
      </c>
      <c r="I55" t="str">
        <f>IF('TRA RESID'!H50="","",'TRA RESID'!H50)</f>
        <v>TRARDS</v>
      </c>
      <c r="J55" t="str">
        <f>"Share~LO~"&amp;'City characteristics'!$C$20</f>
        <v>Share~LO~2019</v>
      </c>
      <c r="K55" s="9">
        <f>IF(B55="*",0,SUMIFS('TRA RESID'!N:N,'TRA RESID'!J:J,B55,'TRA RESID'!H:H,C55))</f>
        <v>0</v>
      </c>
      <c r="N55" t="str">
        <f>IF(Def_Tech!B53="*","*",Def_Tech!C53)</f>
        <v>*</v>
      </c>
      <c r="O55" t="str">
        <f>Def_Tech!D53</f>
        <v>TRAFRESLHICEVDSL19</v>
      </c>
      <c r="P55" t="str">
        <f>_xlfn.XLOOKUP(O55,'TRA RESID'!J:J,'TRA RESID'!I:I)</f>
        <v>TRAFRESLHDMD</v>
      </c>
      <c r="Q55" s="13">
        <f>_xlfn.XLOOKUP(O55,'TRA RESID'!J:J,'TRA RESID'!S:S)</f>
        <v>0.1180076741117386</v>
      </c>
      <c r="R55">
        <f>_xlfn.XLOOKUP(O55,'TRA RESID'!J:J,'TRA RESID'!X:X)</f>
        <v>1</v>
      </c>
      <c r="S55" s="9">
        <f>_xlfn.XLOOKUP(O55,'TRA RESID'!J:J,'TRA RESID'!W:W)</f>
        <v>1</v>
      </c>
      <c r="T55" s="16">
        <f>_xlfn.XLOOKUP(O55,'TRA RESID'!J:J,'TRA RESID'!T:T)</f>
        <v>11</v>
      </c>
      <c r="U55" s="8">
        <f>_xlfn.XLOOKUP(O55,'TRA RESID'!J:J,'TRA RESID'!U:U)</f>
        <v>10.127280690055271</v>
      </c>
      <c r="V55" s="16">
        <f>SUMIFS('TRA RESID'!R:R,'TRA RESID'!J:J,O55)</f>
        <v>0</v>
      </c>
      <c r="W55" s="9">
        <f t="shared" si="1"/>
        <v>0.98</v>
      </c>
    </row>
    <row r="56" spans="2:23" x14ac:dyDescent="0.25">
      <c r="B56" t="str">
        <f>IF(C56="","*",IF(SUMIFS('TRA RESID'!R:R,'TRA RESID'!J:J,'TRA RESID'!J51)=0,"*",'TRA RESID'!J51))</f>
        <v>*</v>
      </c>
      <c r="C56" t="str">
        <f>IF('TRA RESID'!H51="","",'TRA RESID'!H51)</f>
        <v>TRABDS</v>
      </c>
      <c r="D56" t="s">
        <v>405</v>
      </c>
      <c r="E56" s="9">
        <f>IF(B56="*",1,SUMIFS('TRA RESID'!O:O,'TRA RESID'!J:J,B56,'TRA RESID'!H:H,C56))</f>
        <v>1</v>
      </c>
      <c r="H56" t="str">
        <f>IF(I56="","*",IF(SUMIFS('TRA RESID'!R:R,'TRA RESID'!J:J,'TRA RESID'!J51)=0,"*",'TRA RESID'!J51))</f>
        <v>*</v>
      </c>
      <c r="I56" t="str">
        <f>IF('TRA RESID'!H51="","",'TRA RESID'!H51)</f>
        <v>TRABDS</v>
      </c>
      <c r="J56" t="str">
        <f>"Share~LO~"&amp;'City characteristics'!$C$20</f>
        <v>Share~LO~2019</v>
      </c>
      <c r="K56" s="9">
        <f>IF(B56="*",0,SUMIFS('TRA RESID'!N:N,'TRA RESID'!J:J,B56,'TRA RESID'!H:H,C56))</f>
        <v>0</v>
      </c>
      <c r="N56" t="str">
        <f>IF(Def_Tech!B54="*","*",Def_Tech!C54)</f>
        <v>*</v>
      </c>
      <c r="O56" t="str">
        <f>Def_Tech!D54</f>
        <v>TRAFRESLHICEVDSL19</v>
      </c>
      <c r="P56" t="str">
        <f>_xlfn.XLOOKUP(O56,'TRA RESID'!J:J,'TRA RESID'!I:I)</f>
        <v>TRAFRESLHDMD</v>
      </c>
      <c r="Q56" s="13">
        <f>_xlfn.XLOOKUP(O56,'TRA RESID'!J:J,'TRA RESID'!S:S)</f>
        <v>0.1180076741117386</v>
      </c>
      <c r="R56">
        <f>_xlfn.XLOOKUP(O56,'TRA RESID'!J:J,'TRA RESID'!X:X)</f>
        <v>1</v>
      </c>
      <c r="S56" s="9">
        <f>_xlfn.XLOOKUP(O56,'TRA RESID'!J:J,'TRA RESID'!W:W)</f>
        <v>1</v>
      </c>
      <c r="T56" s="16">
        <f>_xlfn.XLOOKUP(O56,'TRA RESID'!J:J,'TRA RESID'!T:T)</f>
        <v>11</v>
      </c>
      <c r="U56" s="8">
        <f>_xlfn.XLOOKUP(O56,'TRA RESID'!J:J,'TRA RESID'!U:U)</f>
        <v>10.127280690055271</v>
      </c>
      <c r="V56" s="16">
        <f>SUMIFS('TRA RESID'!R:R,'TRA RESID'!J:J,O56)</f>
        <v>0</v>
      </c>
      <c r="W56" s="9">
        <f t="shared" si="1"/>
        <v>0.98</v>
      </c>
    </row>
    <row r="57" spans="2:23" x14ac:dyDescent="0.25">
      <c r="B57" t="str">
        <f>IF(C57="","*",IF(SUMIFS('TRA RESID'!R:R,'TRA RESID'!J:J,'TRA RESID'!J52)=0,"*",'TRA RESID'!J52))</f>
        <v>*</v>
      </c>
      <c r="C57" t="str">
        <f>IF('TRA RESID'!H52="","",'TRA RESID'!H52)</f>
        <v>TRACNG</v>
      </c>
      <c r="D57" t="s">
        <v>405</v>
      </c>
      <c r="E57" s="9">
        <f>IF(B57="*",1,SUMIFS('TRA RESID'!O:O,'TRA RESID'!J:J,B57,'TRA RESID'!H:H,C57))</f>
        <v>1</v>
      </c>
      <c r="H57" t="str">
        <f>IF(I57="","*",IF(SUMIFS('TRA RESID'!R:R,'TRA RESID'!J:J,'TRA RESID'!J52)=0,"*",'TRA RESID'!J52))</f>
        <v>*</v>
      </c>
      <c r="I57" t="str">
        <f>IF('TRA RESID'!H52="","",'TRA RESID'!H52)</f>
        <v>TRACNG</v>
      </c>
      <c r="J57" t="str">
        <f>"Share~LO~"&amp;'City characteristics'!$C$20</f>
        <v>Share~LO~2019</v>
      </c>
      <c r="K57" s="9">
        <f>IF(B57="*",0,SUMIFS('TRA RESID'!N:N,'TRA RESID'!J:J,B57,'TRA RESID'!H:H,C57))</f>
        <v>0</v>
      </c>
      <c r="N57" t="str">
        <f>IF(Def_Tech!B55="*","*",Def_Tech!C55)</f>
        <v>*</v>
      </c>
      <c r="O57" t="str">
        <f>Def_Tech!D55</f>
        <v>TRAFRESLHICEVCNG19</v>
      </c>
      <c r="P57" t="str">
        <f>_xlfn.XLOOKUP(O57,'TRA RESID'!J:J,'TRA RESID'!I:I)</f>
        <v>TRAFRESLHDMD</v>
      </c>
      <c r="Q57" s="13">
        <f>_xlfn.XLOOKUP(O57,'TRA RESID'!J:J,'TRA RESID'!S:S)</f>
        <v>6.3695954502814248E-2</v>
      </c>
      <c r="R57">
        <f>_xlfn.XLOOKUP(O57,'TRA RESID'!J:J,'TRA RESID'!X:X)</f>
        <v>1</v>
      </c>
      <c r="S57" s="9">
        <f>_xlfn.XLOOKUP(O57,'TRA RESID'!J:J,'TRA RESID'!W:W)</f>
        <v>1</v>
      </c>
      <c r="T57" s="16">
        <f>_xlfn.XLOOKUP(O57,'TRA RESID'!J:J,'TRA RESID'!T:T)</f>
        <v>11</v>
      </c>
      <c r="U57" s="8">
        <f>_xlfn.XLOOKUP(O57,'TRA RESID'!J:J,'TRA RESID'!U:U)</f>
        <v>10.127280690055271</v>
      </c>
      <c r="V57" s="16">
        <f>SUMIFS('TRA RESID'!R:R,'TRA RESID'!J:J,O57)</f>
        <v>0</v>
      </c>
      <c r="W57" s="9">
        <f t="shared" si="1"/>
        <v>0.98</v>
      </c>
    </row>
    <row r="58" spans="2:23" x14ac:dyDescent="0.25">
      <c r="B58" t="str">
        <f>IF(C58="","*",IF(SUMIFS('TRA RESID'!R:R,'TRA RESID'!J:J,'TRA RESID'!J53)=0,"*",'TRA RESID'!J53))</f>
        <v>*</v>
      </c>
      <c r="C58" t="str">
        <f>IF('TRA RESID'!H53="","",'TRA RESID'!H53)</f>
        <v>TRARNG</v>
      </c>
      <c r="D58" t="s">
        <v>405</v>
      </c>
      <c r="E58" s="9">
        <f>IF(B58="*",1,SUMIFS('TRA RESID'!O:O,'TRA RESID'!J:J,B58,'TRA RESID'!H:H,C58))</f>
        <v>1</v>
      </c>
      <c r="H58" t="str">
        <f>IF(I58="","*",IF(SUMIFS('TRA RESID'!R:R,'TRA RESID'!J:J,'TRA RESID'!J53)=0,"*",'TRA RESID'!J53))</f>
        <v>*</v>
      </c>
      <c r="I58" t="str">
        <f>IF('TRA RESID'!H53="","",'TRA RESID'!H53)</f>
        <v>TRARNG</v>
      </c>
      <c r="J58" t="str">
        <f>"Share~LO~"&amp;'City characteristics'!$C$20</f>
        <v>Share~LO~2019</v>
      </c>
      <c r="K58" s="9">
        <f>IF(B58="*",0,SUMIFS('TRA RESID'!N:N,'TRA RESID'!J:J,B58,'TRA RESID'!H:H,C58))</f>
        <v>0</v>
      </c>
      <c r="N58" t="str">
        <f>IF(Def_Tech!B56="*","*",Def_Tech!C56)</f>
        <v>*</v>
      </c>
      <c r="O58" t="str">
        <f>Def_Tech!D56</f>
        <v>TRAFRESLHICEVCNG19</v>
      </c>
      <c r="P58" t="str">
        <f>_xlfn.XLOOKUP(O58,'TRA RESID'!J:J,'TRA RESID'!I:I)</f>
        <v>TRAFRESLHDMD</v>
      </c>
      <c r="Q58" s="13">
        <f>_xlfn.XLOOKUP(O58,'TRA RESID'!J:J,'TRA RESID'!S:S)</f>
        <v>6.3695954502814248E-2</v>
      </c>
      <c r="R58">
        <f>_xlfn.XLOOKUP(O58,'TRA RESID'!J:J,'TRA RESID'!X:X)</f>
        <v>1</v>
      </c>
      <c r="S58" s="9">
        <f>_xlfn.XLOOKUP(O58,'TRA RESID'!J:J,'TRA RESID'!W:W)</f>
        <v>1</v>
      </c>
      <c r="T58" s="16">
        <f>_xlfn.XLOOKUP(O58,'TRA RESID'!J:J,'TRA RESID'!T:T)</f>
        <v>11</v>
      </c>
      <c r="U58" s="8">
        <f>_xlfn.XLOOKUP(O58,'TRA RESID'!J:J,'TRA RESID'!U:U)</f>
        <v>10.127280690055271</v>
      </c>
      <c r="V58" s="16">
        <f>SUMIFS('TRA RESID'!R:R,'TRA RESID'!J:J,O58)</f>
        <v>0</v>
      </c>
      <c r="W58" s="9">
        <f t="shared" si="1"/>
        <v>0.98</v>
      </c>
    </row>
    <row r="59" spans="2:23" x14ac:dyDescent="0.25">
      <c r="B59" t="str">
        <f>IF(C59="","*",IF(SUMIFS('TRA RESID'!R:R,'TRA RESID'!J:J,'TRA RESID'!J54)=0,"*",'TRA RESID'!J54))</f>
        <v>*</v>
      </c>
      <c r="C59" t="str">
        <f>IF('TRA RESID'!H54="","",'TRA RESID'!H54)</f>
        <v>TRABAF</v>
      </c>
      <c r="D59" t="s">
        <v>405</v>
      </c>
      <c r="E59" s="9">
        <f>IF(B59="*",1,SUMIFS('TRA RESID'!O:O,'TRA RESID'!J:J,B59,'TRA RESID'!H:H,C59))</f>
        <v>1</v>
      </c>
      <c r="H59" t="str">
        <f>IF(I59="","*",IF(SUMIFS('TRA RESID'!R:R,'TRA RESID'!J:J,'TRA RESID'!J54)=0,"*",'TRA RESID'!J54))</f>
        <v>*</v>
      </c>
      <c r="I59" t="str">
        <f>IF('TRA RESID'!H54="","",'TRA RESID'!H54)</f>
        <v>TRABAF</v>
      </c>
      <c r="J59" t="str">
        <f>"Share~LO~"&amp;'City characteristics'!$C$20</f>
        <v>Share~LO~2019</v>
      </c>
      <c r="K59" s="9">
        <f>IF(B59="*",0,SUMIFS('TRA RESID'!N:N,'TRA RESID'!J:J,B59,'TRA RESID'!H:H,C59))</f>
        <v>0</v>
      </c>
      <c r="N59" t="str">
        <f>IF(Def_Tech!B57="*","*",Def_Tech!C57)</f>
        <v>*</v>
      </c>
      <c r="O59" t="str">
        <f>Def_Tech!D57</f>
        <v>TRAFRESLHBEV19</v>
      </c>
      <c r="P59" t="str">
        <f>_xlfn.XLOOKUP(O59,'TRA RESID'!J:J,'TRA RESID'!I:I)</f>
        <v>TRAFRESLHDMD</v>
      </c>
      <c r="Q59" s="13">
        <f>_xlfn.XLOOKUP(O59,'TRA RESID'!J:J,'TRA RESID'!S:S)</f>
        <v>0.21465701666491771</v>
      </c>
      <c r="R59">
        <f>_xlfn.XLOOKUP(O59,'TRA RESID'!J:J,'TRA RESID'!X:X)</f>
        <v>1</v>
      </c>
      <c r="S59" s="9">
        <f>_xlfn.XLOOKUP(O59,'TRA RESID'!J:J,'TRA RESID'!W:W)</f>
        <v>1</v>
      </c>
      <c r="T59" s="16">
        <f>_xlfn.XLOOKUP(O59,'TRA RESID'!J:J,'TRA RESID'!T:T)</f>
        <v>11</v>
      </c>
      <c r="U59" s="8">
        <f>_xlfn.XLOOKUP(O59,'TRA RESID'!J:J,'TRA RESID'!U:U)</f>
        <v>10.127280690055271</v>
      </c>
      <c r="V59" s="16">
        <f>SUMIFS('TRA RESID'!R:R,'TRA RESID'!J:J,O59)</f>
        <v>0</v>
      </c>
      <c r="W59" s="9">
        <f t="shared" si="1"/>
        <v>0.98</v>
      </c>
    </row>
    <row r="60" spans="2:23" x14ac:dyDescent="0.25">
      <c r="B60" t="str">
        <f>IF(C60="","*",IF(SUMIFS('TRA RESID'!R:R,'TRA RESID'!J:J,'TRA RESID'!J55)=0,"*",'TRA RESID'!J55))</f>
        <v>*</v>
      </c>
      <c r="C60" t="str">
        <f>IF('TRA RESID'!H55="","",'TRA RESID'!H55)</f>
        <v>TRAH2G</v>
      </c>
      <c r="D60" t="s">
        <v>405</v>
      </c>
      <c r="E60" s="9">
        <f>IF(B60="*",1,SUMIFS('TRA RESID'!O:O,'TRA RESID'!J:J,B60,'TRA RESID'!H:H,C60))</f>
        <v>1</v>
      </c>
      <c r="H60" t="str">
        <f>IF(I60="","*",IF(SUMIFS('TRA RESID'!R:R,'TRA RESID'!J:J,'TRA RESID'!J55)=0,"*",'TRA RESID'!J55))</f>
        <v>*</v>
      </c>
      <c r="I60" t="str">
        <f>IF('TRA RESID'!H55="","",'TRA RESID'!H55)</f>
        <v>TRAH2G</v>
      </c>
      <c r="J60" t="str">
        <f>"Share~LO~"&amp;'City characteristics'!$C$20</f>
        <v>Share~LO~2019</v>
      </c>
      <c r="K60" s="9">
        <f>IF(B60="*",0,SUMIFS('TRA RESID'!N:N,'TRA RESID'!J:J,B60,'TRA RESID'!H:H,C60))</f>
        <v>0</v>
      </c>
      <c r="N60" t="str">
        <f>IF(Def_Tech!B58="*","*",Def_Tech!C58)</f>
        <v>*</v>
      </c>
      <c r="O60" t="str">
        <f>Def_Tech!D58</f>
        <v>TRAFRESLHFCEV19</v>
      </c>
      <c r="P60" t="str">
        <f>_xlfn.XLOOKUP(O60,'TRA RESID'!J:J,'TRA RESID'!I:I)</f>
        <v>TRAFRESLHDMD</v>
      </c>
      <c r="Q60" s="13">
        <f>_xlfn.XLOOKUP(O60,'TRA RESID'!J:J,'TRA RESID'!S:S)</f>
        <v>0.21465701666491771</v>
      </c>
      <c r="R60">
        <f>_xlfn.XLOOKUP(O60,'TRA RESID'!J:J,'TRA RESID'!X:X)</f>
        <v>1</v>
      </c>
      <c r="S60" s="9">
        <f>_xlfn.XLOOKUP(O60,'TRA RESID'!J:J,'TRA RESID'!W:W)</f>
        <v>1</v>
      </c>
      <c r="T60" s="16">
        <f>_xlfn.XLOOKUP(O60,'TRA RESID'!J:J,'TRA RESID'!T:T)</f>
        <v>11</v>
      </c>
      <c r="U60" s="8">
        <f>_xlfn.XLOOKUP(O60,'TRA RESID'!J:J,'TRA RESID'!U:U)</f>
        <v>10.127280690055271</v>
      </c>
      <c r="V60" s="16">
        <f>SUMIFS('TRA RESID'!R:R,'TRA RESID'!J:J,O60)</f>
        <v>0</v>
      </c>
      <c r="W60" s="9">
        <f t="shared" si="1"/>
        <v>0.98</v>
      </c>
    </row>
    <row r="61" spans="2:23" x14ac:dyDescent="0.25">
      <c r="B61" t="str">
        <f>IF(C61="","*",IF(SUMIFS('TRA RESID'!R:R,'TRA RESID'!J:J,'TRA RESID'!J56)=0,"*",'TRA RESID'!J56))</f>
        <v>*</v>
      </c>
      <c r="C61" t="str">
        <f>IF('TRA RESID'!H56="","",'TRA RESID'!H56)</f>
        <v>TRAGSL</v>
      </c>
      <c r="D61" t="s">
        <v>405</v>
      </c>
      <c r="E61" s="9">
        <f>IF(B61="*",1,SUMIFS('TRA RESID'!O:O,'TRA RESID'!J:J,B61,'TRA RESID'!H:H,C61))</f>
        <v>1</v>
      </c>
      <c r="H61" t="str">
        <f>IF(I61="","*",IF(SUMIFS('TRA RESID'!R:R,'TRA RESID'!J:J,'TRA RESID'!J56)=0,"*",'TRA RESID'!J56))</f>
        <v>*</v>
      </c>
      <c r="I61" t="str">
        <f>IF('TRA RESID'!H56="","",'TRA RESID'!H56)</f>
        <v>TRAGSL</v>
      </c>
      <c r="J61" t="str">
        <f>"Share~LO~"&amp;'City characteristics'!$C$20</f>
        <v>Share~LO~2019</v>
      </c>
      <c r="K61" s="9">
        <f>IF(B61="*",0,SUMIFS('TRA RESID'!N:N,'TRA RESID'!J:J,B61,'TRA RESID'!H:H,C61))</f>
        <v>0</v>
      </c>
      <c r="N61" t="str">
        <f>IF(Def_Tech!B59="*","*",Def_Tech!C59)</f>
        <v>*</v>
      </c>
      <c r="O61" t="str">
        <f>Def_Tech!D59</f>
        <v>TRAFRESSHICEVGSL19</v>
      </c>
      <c r="P61" t="str">
        <f>_xlfn.XLOOKUP(O61,'TRA RESID'!J:J,'TRA RESID'!I:I)</f>
        <v>TRAFRESSHDMD</v>
      </c>
      <c r="Q61" s="13">
        <f>_xlfn.XLOOKUP(O61,'TRA RESID'!J:J,'TRA RESID'!S:S)</f>
        <v>0.10656537023636201</v>
      </c>
      <c r="R61">
        <f>_xlfn.XLOOKUP(O61,'TRA RESID'!J:J,'TRA RESID'!X:X)</f>
        <v>1</v>
      </c>
      <c r="S61" s="9">
        <f>_xlfn.XLOOKUP(O61,'TRA RESID'!J:J,'TRA RESID'!W:W)</f>
        <v>1</v>
      </c>
      <c r="T61" s="16">
        <f>_xlfn.XLOOKUP(O61,'TRA RESID'!J:J,'TRA RESID'!T:T)</f>
        <v>9</v>
      </c>
      <c r="U61" s="8">
        <f>_xlfn.XLOOKUP(O61,'TRA RESID'!J:J,'TRA RESID'!U:U)</f>
        <v>9.8326458748120285</v>
      </c>
      <c r="V61" s="16">
        <f>SUMIFS('TRA RESID'!R:R,'TRA RESID'!J:J,O61)</f>
        <v>0</v>
      </c>
      <c r="W61" s="9">
        <f t="shared" si="1"/>
        <v>0.98</v>
      </c>
    </row>
    <row r="62" spans="2:23" x14ac:dyDescent="0.25">
      <c r="B62" t="str">
        <f>IF(C62="","*",IF(SUMIFS('TRA RESID'!R:R,'TRA RESID'!J:J,'TRA RESID'!J57)=0,"*",'TRA RESID'!J57))</f>
        <v>*</v>
      </c>
      <c r="C62" t="str">
        <f>IF('TRA RESID'!H57="","",'TRA RESID'!H57)</f>
        <v>TRAETH</v>
      </c>
      <c r="D62" t="s">
        <v>405</v>
      </c>
      <c r="E62" s="9">
        <f>IF(B62="*",1,SUMIFS('TRA RESID'!O:O,'TRA RESID'!J:J,B62,'TRA RESID'!H:H,C62))</f>
        <v>1</v>
      </c>
      <c r="H62" t="str">
        <f>IF(I62="","*",IF(SUMIFS('TRA RESID'!R:R,'TRA RESID'!J:J,'TRA RESID'!J57)=0,"*",'TRA RESID'!J57))</f>
        <v>*</v>
      </c>
      <c r="I62" t="str">
        <f>IF('TRA RESID'!H57="","",'TRA RESID'!H57)</f>
        <v>TRAETH</v>
      </c>
      <c r="J62" t="str">
        <f>"Share~LO~"&amp;'City characteristics'!$C$20</f>
        <v>Share~LO~2019</v>
      </c>
      <c r="K62" s="9">
        <f>IF(B62="*",0,SUMIFS('TRA RESID'!N:N,'TRA RESID'!J:J,B62,'TRA RESID'!H:H,C62))</f>
        <v>0</v>
      </c>
      <c r="N62" t="str">
        <f>IF(Def_Tech!B60="*","*",Def_Tech!C60)</f>
        <v>*</v>
      </c>
      <c r="O62" t="str">
        <f>Def_Tech!D60</f>
        <v>TRAFRESSHICEVGSL19</v>
      </c>
      <c r="P62" t="str">
        <f>_xlfn.XLOOKUP(O62,'TRA RESID'!J:J,'TRA RESID'!I:I)</f>
        <v>TRAFRESSHDMD</v>
      </c>
      <c r="Q62" s="13">
        <f>_xlfn.XLOOKUP(O62,'TRA RESID'!J:J,'TRA RESID'!S:S)</f>
        <v>0.10656537023636201</v>
      </c>
      <c r="R62">
        <f>_xlfn.XLOOKUP(O62,'TRA RESID'!J:J,'TRA RESID'!X:X)</f>
        <v>1</v>
      </c>
      <c r="S62" s="9">
        <f>_xlfn.XLOOKUP(O62,'TRA RESID'!J:J,'TRA RESID'!W:W)</f>
        <v>1</v>
      </c>
      <c r="T62" s="16">
        <f>_xlfn.XLOOKUP(O62,'TRA RESID'!J:J,'TRA RESID'!T:T)</f>
        <v>9</v>
      </c>
      <c r="U62" s="8">
        <f>_xlfn.XLOOKUP(O62,'TRA RESID'!J:J,'TRA RESID'!U:U)</f>
        <v>9.8326458748120285</v>
      </c>
      <c r="V62" s="16">
        <f>SUMIFS('TRA RESID'!R:R,'TRA RESID'!J:J,O62)</f>
        <v>0</v>
      </c>
      <c r="W62" s="9">
        <f t="shared" si="1"/>
        <v>0.98</v>
      </c>
    </row>
    <row r="63" spans="2:23" x14ac:dyDescent="0.25">
      <c r="B63" t="str">
        <f>IF(C63="","*",IF(SUMIFS('TRA RESID'!R:R,'TRA RESID'!J:J,'TRA RESID'!J58)=0,"*",'TRA RESID'!J58))</f>
        <v>*</v>
      </c>
      <c r="C63" t="str">
        <f>IF('TRA RESID'!H58="","",'TRA RESID'!H58)</f>
        <v>TRADSL</v>
      </c>
      <c r="D63" t="s">
        <v>405</v>
      </c>
      <c r="E63" s="9">
        <f>IF(B63="*",1,SUMIFS('TRA RESID'!O:O,'TRA RESID'!J:J,B63,'TRA RESID'!H:H,C63))</f>
        <v>1</v>
      </c>
      <c r="H63" t="str">
        <f>IF(I63="","*",IF(SUMIFS('TRA RESID'!R:R,'TRA RESID'!J:J,'TRA RESID'!J58)=0,"*",'TRA RESID'!J58))</f>
        <v>*</v>
      </c>
      <c r="I63" t="str">
        <f>IF('TRA RESID'!H58="","",'TRA RESID'!H58)</f>
        <v>TRADSL</v>
      </c>
      <c r="J63" t="str">
        <f>"Share~LO~"&amp;'City characteristics'!$C$20</f>
        <v>Share~LO~2019</v>
      </c>
      <c r="K63" s="9">
        <f>IF(B63="*",0,SUMIFS('TRA RESID'!N:N,'TRA RESID'!J:J,B63,'TRA RESID'!H:H,C63))</f>
        <v>0</v>
      </c>
      <c r="N63" t="str">
        <f>IF(Def_Tech!B61="*","*",Def_Tech!C61)</f>
        <v>*</v>
      </c>
      <c r="O63" t="str">
        <f>Def_Tech!D61</f>
        <v>TRAFRESSHICEVDSL19</v>
      </c>
      <c r="P63" t="str">
        <f>_xlfn.XLOOKUP(O63,'TRA RESID'!J:J,'TRA RESID'!I:I)</f>
        <v>TRAFRESSHDMD</v>
      </c>
      <c r="Q63" s="13">
        <f>_xlfn.XLOOKUP(O63,'TRA RESID'!J:J,'TRA RESID'!S:S)</f>
        <v>0.10893421111131051</v>
      </c>
      <c r="R63">
        <f>_xlfn.XLOOKUP(O63,'TRA RESID'!J:J,'TRA RESID'!X:X)</f>
        <v>1</v>
      </c>
      <c r="S63" s="9">
        <f>_xlfn.XLOOKUP(O63,'TRA RESID'!J:J,'TRA RESID'!W:W)</f>
        <v>1</v>
      </c>
      <c r="T63" s="16">
        <f>_xlfn.XLOOKUP(O63,'TRA RESID'!J:J,'TRA RESID'!T:T)</f>
        <v>9</v>
      </c>
      <c r="U63" s="8">
        <f>_xlfn.XLOOKUP(O63,'TRA RESID'!J:J,'TRA RESID'!U:U)</f>
        <v>9.8326458748120285</v>
      </c>
      <c r="V63" s="16">
        <f>SUMIFS('TRA RESID'!R:R,'TRA RESID'!J:J,O63)</f>
        <v>0</v>
      </c>
      <c r="W63" s="9">
        <f t="shared" si="1"/>
        <v>0.98</v>
      </c>
    </row>
    <row r="64" spans="2:23" x14ac:dyDescent="0.25">
      <c r="B64" t="str">
        <f>IF(C64="","*",IF(SUMIFS('TRA RESID'!R:R,'TRA RESID'!J:J,'TRA RESID'!J59)=0,"*",'TRA RESID'!J59))</f>
        <v>*</v>
      </c>
      <c r="C64" t="str">
        <f>IF('TRA RESID'!H59="","",'TRA RESID'!H59)</f>
        <v>TRARDS</v>
      </c>
      <c r="D64" t="s">
        <v>405</v>
      </c>
      <c r="E64" s="9">
        <f>IF(B64="*",1,SUMIFS('TRA RESID'!O:O,'TRA RESID'!J:J,B64,'TRA RESID'!H:H,C64))</f>
        <v>1</v>
      </c>
      <c r="H64" t="str">
        <f>IF(I64="","*",IF(SUMIFS('TRA RESID'!R:R,'TRA RESID'!J:J,'TRA RESID'!J59)=0,"*",'TRA RESID'!J59))</f>
        <v>*</v>
      </c>
      <c r="I64" t="str">
        <f>IF('TRA RESID'!H59="","",'TRA RESID'!H59)</f>
        <v>TRARDS</v>
      </c>
      <c r="J64" t="str">
        <f>"Share~LO~"&amp;'City characteristics'!$C$20</f>
        <v>Share~LO~2019</v>
      </c>
      <c r="K64" s="9">
        <f>IF(B64="*",0,SUMIFS('TRA RESID'!N:N,'TRA RESID'!J:J,B64,'TRA RESID'!H:H,C64))</f>
        <v>0</v>
      </c>
      <c r="N64" t="str">
        <f>IF(Def_Tech!B62="*","*",Def_Tech!C62)</f>
        <v>*</v>
      </c>
      <c r="O64" t="str">
        <f>Def_Tech!D62</f>
        <v>TRAFRESSHICEVDSL19</v>
      </c>
      <c r="P64" t="str">
        <f>_xlfn.XLOOKUP(O64,'TRA RESID'!J:J,'TRA RESID'!I:I)</f>
        <v>TRAFRESSHDMD</v>
      </c>
      <c r="Q64" s="13">
        <f>_xlfn.XLOOKUP(O64,'TRA RESID'!J:J,'TRA RESID'!S:S)</f>
        <v>0.10893421111131051</v>
      </c>
      <c r="R64">
        <f>_xlfn.XLOOKUP(O64,'TRA RESID'!J:J,'TRA RESID'!X:X)</f>
        <v>1</v>
      </c>
      <c r="S64" s="9">
        <f>_xlfn.XLOOKUP(O64,'TRA RESID'!J:J,'TRA RESID'!W:W)</f>
        <v>1</v>
      </c>
      <c r="T64" s="16">
        <f>_xlfn.XLOOKUP(O64,'TRA RESID'!J:J,'TRA RESID'!T:T)</f>
        <v>9</v>
      </c>
      <c r="U64" s="8">
        <f>_xlfn.XLOOKUP(O64,'TRA RESID'!J:J,'TRA RESID'!U:U)</f>
        <v>9.8326458748120285</v>
      </c>
      <c r="V64" s="16">
        <f>SUMIFS('TRA RESID'!R:R,'TRA RESID'!J:J,O64)</f>
        <v>0</v>
      </c>
      <c r="W64" s="9">
        <f t="shared" si="1"/>
        <v>0.98</v>
      </c>
    </row>
    <row r="65" spans="2:23" x14ac:dyDescent="0.25">
      <c r="B65" t="str">
        <f>IF(C65="","*",IF(SUMIFS('TRA RESID'!R:R,'TRA RESID'!J:J,'TRA RESID'!J60)=0,"*",'TRA RESID'!J60))</f>
        <v>*</v>
      </c>
      <c r="C65" t="str">
        <f>IF('TRA RESID'!H60="","",'TRA RESID'!H60)</f>
        <v>TRABDS</v>
      </c>
      <c r="D65" t="s">
        <v>405</v>
      </c>
      <c r="E65" s="9">
        <f>IF(B65="*",1,SUMIFS('TRA RESID'!O:O,'TRA RESID'!J:J,B65,'TRA RESID'!H:H,C65))</f>
        <v>1</v>
      </c>
      <c r="H65" t="str">
        <f>IF(I65="","*",IF(SUMIFS('TRA RESID'!R:R,'TRA RESID'!J:J,'TRA RESID'!J60)=0,"*",'TRA RESID'!J60))</f>
        <v>*</v>
      </c>
      <c r="I65" t="str">
        <f>IF('TRA RESID'!H60="","",'TRA RESID'!H60)</f>
        <v>TRABDS</v>
      </c>
      <c r="J65" t="str">
        <f>"Share~LO~"&amp;'City characteristics'!$C$20</f>
        <v>Share~LO~2019</v>
      </c>
      <c r="K65" s="9">
        <f>IF(B65="*",0,SUMIFS('TRA RESID'!N:N,'TRA RESID'!J:J,B65,'TRA RESID'!H:H,C65))</f>
        <v>0</v>
      </c>
      <c r="N65" t="str">
        <f>IF(Def_Tech!B63="*","*",Def_Tech!C63)</f>
        <v>*</v>
      </c>
      <c r="O65" t="str">
        <f>Def_Tech!D63</f>
        <v>TRAFRESSHICEVDSL19</v>
      </c>
      <c r="P65" t="str">
        <f>_xlfn.XLOOKUP(O65,'TRA RESID'!J:J,'TRA RESID'!I:I)</f>
        <v>TRAFRESSHDMD</v>
      </c>
      <c r="Q65" s="13">
        <f>_xlfn.XLOOKUP(O65,'TRA RESID'!J:J,'TRA RESID'!S:S)</f>
        <v>0.10893421111131051</v>
      </c>
      <c r="R65">
        <f>_xlfn.XLOOKUP(O65,'TRA RESID'!J:J,'TRA RESID'!X:X)</f>
        <v>1</v>
      </c>
      <c r="S65" s="9">
        <f>_xlfn.XLOOKUP(O65,'TRA RESID'!J:J,'TRA RESID'!W:W)</f>
        <v>1</v>
      </c>
      <c r="T65" s="16">
        <f>_xlfn.XLOOKUP(O65,'TRA RESID'!J:J,'TRA RESID'!T:T)</f>
        <v>9</v>
      </c>
      <c r="U65" s="8">
        <f>_xlfn.XLOOKUP(O65,'TRA RESID'!J:J,'TRA RESID'!U:U)</f>
        <v>9.8326458748120285</v>
      </c>
      <c r="V65" s="16">
        <f>SUMIFS('TRA RESID'!R:R,'TRA RESID'!J:J,O65)</f>
        <v>0</v>
      </c>
      <c r="W65" s="9">
        <f t="shared" si="1"/>
        <v>0.98</v>
      </c>
    </row>
    <row r="66" spans="2:23" x14ac:dyDescent="0.25">
      <c r="B66" t="str">
        <f>IF(C66="","*",IF(SUMIFS('TRA RESID'!R:R,'TRA RESID'!J:J,'TRA RESID'!J61)=0,"*",'TRA RESID'!J61))</f>
        <v>*</v>
      </c>
      <c r="C66" t="str">
        <f>IF('TRA RESID'!H61="","",'TRA RESID'!H61)</f>
        <v>TRACNG</v>
      </c>
      <c r="D66" t="s">
        <v>405</v>
      </c>
      <c r="E66" s="9">
        <f>IF(B66="*",1,SUMIFS('TRA RESID'!O:O,'TRA RESID'!J:J,B66,'TRA RESID'!H:H,C66))</f>
        <v>1</v>
      </c>
      <c r="H66" t="str">
        <f>IF(I66="","*",IF(SUMIFS('TRA RESID'!R:R,'TRA RESID'!J:J,'TRA RESID'!J61)=0,"*",'TRA RESID'!J61))</f>
        <v>*</v>
      </c>
      <c r="I66" t="str">
        <f>IF('TRA RESID'!H61="","",'TRA RESID'!H61)</f>
        <v>TRACNG</v>
      </c>
      <c r="J66" t="str">
        <f>"Share~LO~"&amp;'City characteristics'!$C$20</f>
        <v>Share~LO~2019</v>
      </c>
      <c r="K66" s="9">
        <f>IF(B66="*",0,SUMIFS('TRA RESID'!N:N,'TRA RESID'!J:J,B66,'TRA RESID'!H:H,C66))</f>
        <v>0</v>
      </c>
      <c r="N66" t="str">
        <f>IF(Def_Tech!B64="*","*",Def_Tech!C64)</f>
        <v>*</v>
      </c>
      <c r="O66" t="str">
        <f>Def_Tech!D64</f>
        <v>TRAFRESSHICEVCNG19</v>
      </c>
      <c r="P66" t="str">
        <f>_xlfn.XLOOKUP(O66,'TRA RESID'!J:J,'TRA RESID'!I:I)</f>
        <v>TRAFRESSHDMD</v>
      </c>
      <c r="Q66" s="13">
        <f>_xlfn.XLOOKUP(O66,'TRA RESID'!J:J,'TRA RESID'!S:S)</f>
        <v>5.8933359971575977E-2</v>
      </c>
      <c r="R66">
        <f>_xlfn.XLOOKUP(O66,'TRA RESID'!J:J,'TRA RESID'!X:X)</f>
        <v>1</v>
      </c>
      <c r="S66" s="9">
        <f>_xlfn.XLOOKUP(O66,'TRA RESID'!J:J,'TRA RESID'!W:W)</f>
        <v>1</v>
      </c>
      <c r="T66" s="16">
        <f>_xlfn.XLOOKUP(O66,'TRA RESID'!J:J,'TRA RESID'!T:T)</f>
        <v>9</v>
      </c>
      <c r="U66" s="8">
        <f>_xlfn.XLOOKUP(O66,'TRA RESID'!J:J,'TRA RESID'!U:U)</f>
        <v>9.8326458748120285</v>
      </c>
      <c r="V66" s="16">
        <f>SUMIFS('TRA RESID'!R:R,'TRA RESID'!J:J,O66)</f>
        <v>0</v>
      </c>
      <c r="W66" s="9">
        <f t="shared" si="1"/>
        <v>0.98</v>
      </c>
    </row>
    <row r="67" spans="2:23" x14ac:dyDescent="0.25">
      <c r="B67" t="str">
        <f>IF(C67="","*",IF(SUMIFS('TRA RESID'!R:R,'TRA RESID'!J:J,'TRA RESID'!J62)=0,"*",'TRA RESID'!J62))</f>
        <v>*</v>
      </c>
      <c r="C67" t="str">
        <f>IF('TRA RESID'!H62="","",'TRA RESID'!H62)</f>
        <v>TRARNG</v>
      </c>
      <c r="D67" t="s">
        <v>405</v>
      </c>
      <c r="E67" s="9">
        <f>IF(B67="*",1,SUMIFS('TRA RESID'!O:O,'TRA RESID'!J:J,B67,'TRA RESID'!H:H,C67))</f>
        <v>1</v>
      </c>
      <c r="H67" t="str">
        <f>IF(I67="","*",IF(SUMIFS('TRA RESID'!R:R,'TRA RESID'!J:J,'TRA RESID'!J62)=0,"*",'TRA RESID'!J62))</f>
        <v>*</v>
      </c>
      <c r="I67" t="str">
        <f>IF('TRA RESID'!H62="","",'TRA RESID'!H62)</f>
        <v>TRARNG</v>
      </c>
      <c r="J67" t="str">
        <f>"Share~LO~"&amp;'City characteristics'!$C$20</f>
        <v>Share~LO~2019</v>
      </c>
      <c r="K67" s="9">
        <f>IF(B67="*",0,SUMIFS('TRA RESID'!N:N,'TRA RESID'!J:J,B67,'TRA RESID'!H:H,C67))</f>
        <v>0</v>
      </c>
      <c r="N67" t="str">
        <f>IF(Def_Tech!B65="*","*",Def_Tech!C65)</f>
        <v>*</v>
      </c>
      <c r="O67" t="str">
        <f>Def_Tech!D65</f>
        <v>TRAFRESSHICEVCNG19</v>
      </c>
      <c r="P67" t="str">
        <f>_xlfn.XLOOKUP(O67,'TRA RESID'!J:J,'TRA RESID'!I:I)</f>
        <v>TRAFRESSHDMD</v>
      </c>
      <c r="Q67" s="13">
        <f>_xlfn.XLOOKUP(O67,'TRA RESID'!J:J,'TRA RESID'!S:S)</f>
        <v>5.8933359971575977E-2</v>
      </c>
      <c r="R67">
        <f>_xlfn.XLOOKUP(O67,'TRA RESID'!J:J,'TRA RESID'!X:X)</f>
        <v>1</v>
      </c>
      <c r="S67" s="9">
        <f>_xlfn.XLOOKUP(O67,'TRA RESID'!J:J,'TRA RESID'!W:W)</f>
        <v>1</v>
      </c>
      <c r="T67" s="16">
        <f>_xlfn.XLOOKUP(O67,'TRA RESID'!J:J,'TRA RESID'!T:T)</f>
        <v>9</v>
      </c>
      <c r="U67" s="8">
        <f>_xlfn.XLOOKUP(O67,'TRA RESID'!J:J,'TRA RESID'!U:U)</f>
        <v>9.8326458748120285</v>
      </c>
      <c r="V67" s="16">
        <f>SUMIFS('TRA RESID'!R:R,'TRA RESID'!J:J,O67)</f>
        <v>0</v>
      </c>
      <c r="W67" s="9">
        <f t="shared" si="1"/>
        <v>0.98</v>
      </c>
    </row>
    <row r="68" spans="2:23" x14ac:dyDescent="0.25">
      <c r="B68" t="str">
        <f>IF(C68="","*",IF(SUMIFS('TRA RESID'!R:R,'TRA RESID'!J:J,'TRA RESID'!J63)=0,"*",'TRA RESID'!J63))</f>
        <v>*</v>
      </c>
      <c r="C68" t="str">
        <f>IF('TRA RESID'!H63="","",'TRA RESID'!H63)</f>
        <v>TRABAF</v>
      </c>
      <c r="D68" t="s">
        <v>405</v>
      </c>
      <c r="E68" s="9">
        <f>IF(B68="*",1,SUMIFS('TRA RESID'!O:O,'TRA RESID'!J:J,B68,'TRA RESID'!H:H,C68))</f>
        <v>1</v>
      </c>
      <c r="H68" t="str">
        <f>IF(I68="","*",IF(SUMIFS('TRA RESID'!R:R,'TRA RESID'!J:J,'TRA RESID'!J63)=0,"*",'TRA RESID'!J63))</f>
        <v>*</v>
      </c>
      <c r="I68" t="str">
        <f>IF('TRA RESID'!H63="","",'TRA RESID'!H63)</f>
        <v>TRABAF</v>
      </c>
      <c r="J68" t="str">
        <f>"Share~LO~"&amp;'City characteristics'!$C$20</f>
        <v>Share~LO~2019</v>
      </c>
      <c r="K68" s="9">
        <f>IF(B68="*",0,SUMIFS('TRA RESID'!N:N,'TRA RESID'!J:J,B68,'TRA RESID'!H:H,C68))</f>
        <v>0</v>
      </c>
      <c r="N68" t="str">
        <f>IF(Def_Tech!B66="*","*",Def_Tech!C66)</f>
        <v>*</v>
      </c>
      <c r="O68" t="str">
        <f>Def_Tech!D66</f>
        <v>TRAFRESSHBEV19</v>
      </c>
      <c r="P68" t="str">
        <f>_xlfn.XLOOKUP(O68,'TRA RESID'!J:J,'TRA RESID'!I:I)</f>
        <v>TRAFRESSHDMD</v>
      </c>
      <c r="Q68" s="13">
        <f>_xlfn.XLOOKUP(O68,'TRA RESID'!J:J,'TRA RESID'!S:S)</f>
        <v>0.21465701666491771</v>
      </c>
      <c r="R68">
        <f>_xlfn.XLOOKUP(O68,'TRA RESID'!J:J,'TRA RESID'!X:X)</f>
        <v>1</v>
      </c>
      <c r="S68" s="9">
        <f>_xlfn.XLOOKUP(O68,'TRA RESID'!J:J,'TRA RESID'!W:W)</f>
        <v>1</v>
      </c>
      <c r="T68" s="16">
        <f>_xlfn.XLOOKUP(O68,'TRA RESID'!J:J,'TRA RESID'!T:T)</f>
        <v>9</v>
      </c>
      <c r="U68" s="8">
        <f>_xlfn.XLOOKUP(O68,'TRA RESID'!J:J,'TRA RESID'!U:U)</f>
        <v>9.8326458748120285</v>
      </c>
      <c r="V68" s="16">
        <f>SUMIFS('TRA RESID'!R:R,'TRA RESID'!J:J,O68)</f>
        <v>0</v>
      </c>
      <c r="W68" s="9">
        <f t="shared" si="1"/>
        <v>0.98</v>
      </c>
    </row>
    <row r="69" spans="2:23" x14ac:dyDescent="0.25">
      <c r="B69" t="str">
        <f>IF(C69="","*",IF(SUMIFS('TRA RESID'!R:R,'TRA RESID'!J:J,'TRA RESID'!J64)=0,"*",'TRA RESID'!J64))</f>
        <v>*</v>
      </c>
      <c r="C69" t="str">
        <f>IF('TRA RESID'!H64="","",'TRA RESID'!H64)</f>
        <v>TRAH2G</v>
      </c>
      <c r="D69" t="s">
        <v>405</v>
      </c>
      <c r="E69" s="9">
        <f>IF(B69="*",1,SUMIFS('TRA RESID'!O:O,'TRA RESID'!J:J,B69,'TRA RESID'!H:H,C69))</f>
        <v>1</v>
      </c>
      <c r="H69" t="str">
        <f>IF(I69="","*",IF(SUMIFS('TRA RESID'!R:R,'TRA RESID'!J:J,'TRA RESID'!J64)=0,"*",'TRA RESID'!J64))</f>
        <v>*</v>
      </c>
      <c r="I69" t="str">
        <f>IF('TRA RESID'!H64="","",'TRA RESID'!H64)</f>
        <v>TRAH2G</v>
      </c>
      <c r="J69" t="str">
        <f>"Share~LO~"&amp;'City characteristics'!$C$20</f>
        <v>Share~LO~2019</v>
      </c>
      <c r="K69" s="9">
        <f>IF(B69="*",0,SUMIFS('TRA RESID'!N:N,'TRA RESID'!J:J,B69,'TRA RESID'!H:H,C69))</f>
        <v>0</v>
      </c>
      <c r="N69" t="str">
        <f>IF(Def_Tech!B67="*","*",Def_Tech!C67)</f>
        <v>*</v>
      </c>
      <c r="O69" t="str">
        <f>Def_Tech!D67</f>
        <v>TRAFRESSHFCEV19</v>
      </c>
      <c r="P69" t="str">
        <f>_xlfn.XLOOKUP(O69,'TRA RESID'!J:J,'TRA RESID'!I:I)</f>
        <v>TRAFRESSHDMD</v>
      </c>
      <c r="Q69" s="13">
        <f>_xlfn.XLOOKUP(O69,'TRA RESID'!J:J,'TRA RESID'!S:S)</f>
        <v>0.21465701666491771</v>
      </c>
      <c r="R69">
        <f>_xlfn.XLOOKUP(O69,'TRA RESID'!J:J,'TRA RESID'!X:X)</f>
        <v>1</v>
      </c>
      <c r="S69" s="9">
        <f>_xlfn.XLOOKUP(O69,'TRA RESID'!J:J,'TRA RESID'!W:W)</f>
        <v>1</v>
      </c>
      <c r="T69" s="16">
        <f>_xlfn.XLOOKUP(O69,'TRA RESID'!J:J,'TRA RESID'!T:T)</f>
        <v>9</v>
      </c>
      <c r="U69" s="8">
        <f>_xlfn.XLOOKUP(O69,'TRA RESID'!J:J,'TRA RESID'!U:U)</f>
        <v>9.8326458748120285</v>
      </c>
      <c r="V69" s="16">
        <f>SUMIFS('TRA RESID'!R:R,'TRA RESID'!J:J,O69)</f>
        <v>0</v>
      </c>
      <c r="W69" s="9">
        <f t="shared" si="1"/>
        <v>0.98</v>
      </c>
    </row>
    <row r="70" spans="2:23" x14ac:dyDescent="0.25">
      <c r="B70" t="str">
        <f>IF(C70="","*",IF(SUMIFS('TRA RESID'!R:R,'TRA RESID'!J:J,'TRA RESID'!J65)=0,"*",'TRA RESID'!J65))</f>
        <v>TRAFRECLHICEVGSL19</v>
      </c>
      <c r="C70" t="str">
        <f>IF('TRA RESID'!H65="","",'TRA RESID'!H65)</f>
        <v>TRAGSL</v>
      </c>
      <c r="D70" t="s">
        <v>405</v>
      </c>
      <c r="E70" s="9">
        <f>IF(B70="*",1,SUMIFS('TRA RESID'!O:O,'TRA RESID'!J:J,B70,'TRA RESID'!H:H,C70))</f>
        <v>1</v>
      </c>
      <c r="H70" t="str">
        <f>IF(I70="","*",IF(SUMIFS('TRA RESID'!R:R,'TRA RESID'!J:J,'TRA RESID'!J65)=0,"*",'TRA RESID'!J65))</f>
        <v>TRAFRECLHICEVGSL19</v>
      </c>
      <c r="I70" t="str">
        <f>IF('TRA RESID'!H65="","",'TRA RESID'!H65)</f>
        <v>TRAGSL</v>
      </c>
      <c r="J70" t="str">
        <f>"Share~LO~"&amp;'City characteristics'!$C$20</f>
        <v>Share~LO~2019</v>
      </c>
      <c r="K70" s="9">
        <f>IF(B70="*",0,SUMIFS('TRA RESID'!N:N,'TRA RESID'!J:J,B70,'TRA RESID'!H:H,C70))</f>
        <v>0.9</v>
      </c>
      <c r="N70" t="str">
        <f>IF(Def_Tech!B68="*","*",Def_Tech!C68)</f>
        <v>CITY</v>
      </c>
      <c r="O70" t="str">
        <f>Def_Tech!D68</f>
        <v>TRAFRECLHICEVGSL19</v>
      </c>
      <c r="P70" t="str">
        <f>_xlfn.XLOOKUP(O70,'TRA RESID'!J:J,'TRA RESID'!I:I)</f>
        <v>TRAFRECLHDMD</v>
      </c>
      <c r="Q70" s="13">
        <f>_xlfn.XLOOKUP(O70,'TRA RESID'!J:J,'TRA RESID'!S:S)</f>
        <v>5.4189813764471753E-2</v>
      </c>
      <c r="R70">
        <f>_xlfn.XLOOKUP(O70,'TRA RESID'!J:J,'TRA RESID'!X:X)</f>
        <v>1</v>
      </c>
      <c r="S70" s="9">
        <f>_xlfn.XLOOKUP(O70,'TRA RESID'!J:J,'TRA RESID'!W:W)</f>
        <v>1</v>
      </c>
      <c r="T70" s="16">
        <f>_xlfn.XLOOKUP(O70,'TRA RESID'!J:J,'TRA RESID'!T:T)</f>
        <v>11</v>
      </c>
      <c r="U70" s="8">
        <f>_xlfn.XLOOKUP(O70,'TRA RESID'!J:J,'TRA RESID'!U:U)</f>
        <v>10.127280690055271</v>
      </c>
      <c r="V70" s="16">
        <f>SUMIFS('TRA RESID'!R:R,'TRA RESID'!J:J,O70)</f>
        <v>9.0383534881010821</v>
      </c>
      <c r="W70" s="9">
        <f t="shared" si="1"/>
        <v>0.98</v>
      </c>
    </row>
    <row r="71" spans="2:23" x14ac:dyDescent="0.25">
      <c r="B71" t="str">
        <f>IF(C71="","*",IF(SUMIFS('TRA RESID'!R:R,'TRA RESID'!J:J,'TRA RESID'!J66)=0,"*",'TRA RESID'!J66))</f>
        <v>TRAFRECLHICEVGSL19</v>
      </c>
      <c r="C71" t="str">
        <f>IF('TRA RESID'!H66="","",'TRA RESID'!H66)</f>
        <v>TRAETH</v>
      </c>
      <c r="D71" t="s">
        <v>405</v>
      </c>
      <c r="E71" s="9">
        <f>IF(B71="*",1,SUMIFS('TRA RESID'!O:O,'TRA RESID'!J:J,B71,'TRA RESID'!H:H,C71))</f>
        <v>0.1</v>
      </c>
      <c r="H71" t="str">
        <f>IF(I71="","*",IF(SUMIFS('TRA RESID'!R:R,'TRA RESID'!J:J,'TRA RESID'!J66)=0,"*",'TRA RESID'!J66))</f>
        <v>TRAFRECLHICEVGSL19</v>
      </c>
      <c r="I71" t="str">
        <f>IF('TRA RESID'!H66="","",'TRA RESID'!H66)</f>
        <v>TRAETH</v>
      </c>
      <c r="J71" t="str">
        <f>"Share~LO~"&amp;'City characteristics'!$C$20</f>
        <v>Share~LO~2019</v>
      </c>
      <c r="K71" s="9">
        <f>IF(B71="*",0,SUMIFS('TRA RESID'!N:N,'TRA RESID'!J:J,B71,'TRA RESID'!H:H,C71))</f>
        <v>0</v>
      </c>
      <c r="N71" t="str">
        <f>IF(Def_Tech!B69="*","*",Def_Tech!C69)</f>
        <v>*</v>
      </c>
      <c r="O71" t="str">
        <f>Def_Tech!D69</f>
        <v>TRAFRECLHICEVGSL19</v>
      </c>
      <c r="P71" t="str">
        <f>_xlfn.XLOOKUP(O71,'TRA RESID'!J:J,'TRA RESID'!I:I)</f>
        <v>TRAFRECLHDMD</v>
      </c>
      <c r="Q71" s="13">
        <f>_xlfn.XLOOKUP(O71,'TRA RESID'!J:J,'TRA RESID'!S:S)</f>
        <v>5.4189813764471753E-2</v>
      </c>
      <c r="R71">
        <f>_xlfn.XLOOKUP(O71,'TRA RESID'!J:J,'TRA RESID'!X:X)</f>
        <v>1</v>
      </c>
      <c r="S71" s="9">
        <f>_xlfn.XLOOKUP(O71,'TRA RESID'!J:J,'TRA RESID'!W:W)</f>
        <v>1</v>
      </c>
      <c r="T71" s="16">
        <f>_xlfn.XLOOKUP(O71,'TRA RESID'!J:J,'TRA RESID'!T:T)</f>
        <v>11</v>
      </c>
      <c r="U71" s="8">
        <f>_xlfn.XLOOKUP(O71,'TRA RESID'!J:J,'TRA RESID'!U:U)</f>
        <v>10.127280690055271</v>
      </c>
      <c r="V71" s="16">
        <f>SUMIFS('TRA RESID'!R:R,'TRA RESID'!J:J,O71)</f>
        <v>9.0383534881010821</v>
      </c>
      <c r="W71" s="9">
        <f t="shared" ref="W71:W102" si="2">S71*W$1</f>
        <v>0.98</v>
      </c>
    </row>
    <row r="72" spans="2:23" x14ac:dyDescent="0.25">
      <c r="B72" t="str">
        <f>IF(C72="","*",IF(SUMIFS('TRA RESID'!R:R,'TRA RESID'!J:J,'TRA RESID'!J67)=0,"*",'TRA RESID'!J67))</f>
        <v>TRAFRECLHICEVDSL19</v>
      </c>
      <c r="C72" t="str">
        <f>IF('TRA RESID'!H67="","",'TRA RESID'!H67)</f>
        <v>TRADSL</v>
      </c>
      <c r="D72" t="s">
        <v>405</v>
      </c>
      <c r="E72" s="9">
        <f>IF(B72="*",1,SUMIFS('TRA RESID'!O:O,'TRA RESID'!J:J,B72,'TRA RESID'!H:H,C72))</f>
        <v>1</v>
      </c>
      <c r="H72" t="str">
        <f>IF(I72="","*",IF(SUMIFS('TRA RESID'!R:R,'TRA RESID'!J:J,'TRA RESID'!J67)=0,"*",'TRA RESID'!J67))</f>
        <v>TRAFRECLHICEVDSL19</v>
      </c>
      <c r="I72" t="str">
        <f>IF('TRA RESID'!H67="","",'TRA RESID'!H67)</f>
        <v>TRADSL</v>
      </c>
      <c r="J72" t="str">
        <f>"Share~LO~"&amp;'City characteristics'!$C$20</f>
        <v>Share~LO~2019</v>
      </c>
      <c r="K72" s="9">
        <f>IF(B72="*",0,SUMIFS('TRA RESID'!N:N,'TRA RESID'!J:J,B72,'TRA RESID'!H:H,C72))</f>
        <v>0</v>
      </c>
      <c r="N72" t="str">
        <f>IF(Def_Tech!B70="*","*",Def_Tech!C70)</f>
        <v>CITY</v>
      </c>
      <c r="O72" t="str">
        <f>Def_Tech!D70</f>
        <v>TRAFRECLHICEVDSL19</v>
      </c>
      <c r="P72" t="str">
        <f>_xlfn.XLOOKUP(O72,'TRA RESID'!J:J,'TRA RESID'!I:I)</f>
        <v>TRAFRECLHDMD</v>
      </c>
      <c r="Q72" s="13">
        <f>_xlfn.XLOOKUP(O72,'TRA RESID'!J:J,'TRA RESID'!S:S)</f>
        <v>6.446547291586259E-2</v>
      </c>
      <c r="R72">
        <f>_xlfn.XLOOKUP(O72,'TRA RESID'!J:J,'TRA RESID'!X:X)</f>
        <v>1</v>
      </c>
      <c r="S72" s="9">
        <f>_xlfn.XLOOKUP(O72,'TRA RESID'!J:J,'TRA RESID'!W:W)</f>
        <v>1</v>
      </c>
      <c r="T72" s="16">
        <f>_xlfn.XLOOKUP(O72,'TRA RESID'!J:J,'TRA RESID'!T:T)</f>
        <v>11</v>
      </c>
      <c r="U72" s="8">
        <f>_xlfn.XLOOKUP(O72,'TRA RESID'!J:J,'TRA RESID'!U:U)</f>
        <v>10.127280690055271</v>
      </c>
      <c r="V72" s="16">
        <f>SUMIFS('TRA RESID'!R:R,'TRA RESID'!J:J,O72)</f>
        <v>1351.2873510049401</v>
      </c>
      <c r="W72" s="9">
        <f t="shared" si="2"/>
        <v>0.98</v>
      </c>
    </row>
    <row r="73" spans="2:23" x14ac:dyDescent="0.25">
      <c r="B73" t="str">
        <f>IF(C73="","*",IF(SUMIFS('TRA RESID'!R:R,'TRA RESID'!J:J,'TRA RESID'!J68)=0,"*",'TRA RESID'!J68))</f>
        <v>TRAFRECLHICEVDSL19</v>
      </c>
      <c r="C73" t="str">
        <f>IF('TRA RESID'!H68="","",'TRA RESID'!H68)</f>
        <v>TRARDS</v>
      </c>
      <c r="D73" t="s">
        <v>405</v>
      </c>
      <c r="E73" s="9">
        <f>IF(B73="*",1,SUMIFS('TRA RESID'!O:O,'TRA RESID'!J:J,B73,'TRA RESID'!H:H,C73))</f>
        <v>1</v>
      </c>
      <c r="H73" t="str">
        <f>IF(I73="","*",IF(SUMIFS('TRA RESID'!R:R,'TRA RESID'!J:J,'TRA RESID'!J68)=0,"*",'TRA RESID'!J68))</f>
        <v>TRAFRECLHICEVDSL19</v>
      </c>
      <c r="I73" t="str">
        <f>IF('TRA RESID'!H68="","",'TRA RESID'!H68)</f>
        <v>TRARDS</v>
      </c>
      <c r="J73" t="str">
        <f>"Share~LO~"&amp;'City characteristics'!$C$20</f>
        <v>Share~LO~2019</v>
      </c>
      <c r="K73" s="9">
        <f>IF(B73="*",0,SUMIFS('TRA RESID'!N:N,'TRA RESID'!J:J,B73,'TRA RESID'!H:H,C73))</f>
        <v>0</v>
      </c>
      <c r="N73" t="str">
        <f>IF(Def_Tech!B71="*","*",Def_Tech!C71)</f>
        <v>*</v>
      </c>
      <c r="O73" t="str">
        <f>Def_Tech!D71</f>
        <v>TRAFRECLHICEVDSL19</v>
      </c>
      <c r="P73" t="str">
        <f>_xlfn.XLOOKUP(O73,'TRA RESID'!J:J,'TRA RESID'!I:I)</f>
        <v>TRAFRECLHDMD</v>
      </c>
      <c r="Q73" s="13">
        <f>_xlfn.XLOOKUP(O73,'TRA RESID'!J:J,'TRA RESID'!S:S)</f>
        <v>6.446547291586259E-2</v>
      </c>
      <c r="R73">
        <f>_xlfn.XLOOKUP(O73,'TRA RESID'!J:J,'TRA RESID'!X:X)</f>
        <v>1</v>
      </c>
      <c r="S73" s="9">
        <f>_xlfn.XLOOKUP(O73,'TRA RESID'!J:J,'TRA RESID'!W:W)</f>
        <v>1</v>
      </c>
      <c r="T73" s="16">
        <f>_xlfn.XLOOKUP(O73,'TRA RESID'!J:J,'TRA RESID'!T:T)</f>
        <v>11</v>
      </c>
      <c r="U73" s="8">
        <f>_xlfn.XLOOKUP(O73,'TRA RESID'!J:J,'TRA RESID'!U:U)</f>
        <v>10.127280690055271</v>
      </c>
      <c r="V73" s="16">
        <f>SUMIFS('TRA RESID'!R:R,'TRA RESID'!J:J,O73)</f>
        <v>1351.2873510049401</v>
      </c>
      <c r="W73" s="9">
        <f t="shared" si="2"/>
        <v>0.98</v>
      </c>
    </row>
    <row r="74" spans="2:23" x14ac:dyDescent="0.25">
      <c r="B74" t="str">
        <f>IF(C74="","*",IF(SUMIFS('TRA RESID'!R:R,'TRA RESID'!J:J,'TRA RESID'!J69)=0,"*",'TRA RESID'!J69))</f>
        <v>TRAFRECLHICEVDSL19</v>
      </c>
      <c r="C74" t="str">
        <f>IF('TRA RESID'!H69="","",'TRA RESID'!H69)</f>
        <v>TRABDS</v>
      </c>
      <c r="D74" t="s">
        <v>405</v>
      </c>
      <c r="E74" s="9">
        <f>IF(B74="*",1,SUMIFS('TRA RESID'!O:O,'TRA RESID'!J:J,B74,'TRA RESID'!H:H,C74))</f>
        <v>0.1</v>
      </c>
      <c r="H74" t="str">
        <f>IF(I74="","*",IF(SUMIFS('TRA RESID'!R:R,'TRA RESID'!J:J,'TRA RESID'!J69)=0,"*",'TRA RESID'!J69))</f>
        <v>TRAFRECLHICEVDSL19</v>
      </c>
      <c r="I74" t="str">
        <f>IF('TRA RESID'!H69="","",'TRA RESID'!H69)</f>
        <v>TRABDS</v>
      </c>
      <c r="J74" t="str">
        <f>"Share~LO~"&amp;'City characteristics'!$C$20</f>
        <v>Share~LO~2019</v>
      </c>
      <c r="K74" s="9">
        <f>IF(B74="*",0,SUMIFS('TRA RESID'!N:N,'TRA RESID'!J:J,B74,'TRA RESID'!H:H,C74))</f>
        <v>0</v>
      </c>
      <c r="N74" t="str">
        <f>IF(Def_Tech!B72="*","*",Def_Tech!C72)</f>
        <v>*</v>
      </c>
      <c r="O74" t="str">
        <f>Def_Tech!D72</f>
        <v>TRAFRECLHICEVDSL19</v>
      </c>
      <c r="P74" t="str">
        <f>_xlfn.XLOOKUP(O74,'TRA RESID'!J:J,'TRA RESID'!I:I)</f>
        <v>TRAFRECLHDMD</v>
      </c>
      <c r="Q74" s="13">
        <f>_xlfn.XLOOKUP(O74,'TRA RESID'!J:J,'TRA RESID'!S:S)</f>
        <v>6.446547291586259E-2</v>
      </c>
      <c r="R74">
        <f>_xlfn.XLOOKUP(O74,'TRA RESID'!J:J,'TRA RESID'!X:X)</f>
        <v>1</v>
      </c>
      <c r="S74" s="9">
        <f>_xlfn.XLOOKUP(O74,'TRA RESID'!J:J,'TRA RESID'!W:W)</f>
        <v>1</v>
      </c>
      <c r="T74" s="16">
        <f>_xlfn.XLOOKUP(O74,'TRA RESID'!J:J,'TRA RESID'!T:T)</f>
        <v>11</v>
      </c>
      <c r="U74" s="8">
        <f>_xlfn.XLOOKUP(O74,'TRA RESID'!J:J,'TRA RESID'!U:U)</f>
        <v>10.127280690055271</v>
      </c>
      <c r="V74" s="16">
        <f>SUMIFS('TRA RESID'!R:R,'TRA RESID'!J:J,O74)</f>
        <v>1351.2873510049401</v>
      </c>
      <c r="W74" s="9">
        <f t="shared" si="2"/>
        <v>0.98</v>
      </c>
    </row>
    <row r="75" spans="2:23" x14ac:dyDescent="0.25">
      <c r="B75" t="str">
        <f>IF(C75="","*",IF(SUMIFS('TRA RESID'!R:R,'TRA RESID'!J:J,'TRA RESID'!J70)=0,"*",'TRA RESID'!J70))</f>
        <v>TRAFRECLHICEVCNG19</v>
      </c>
      <c r="C75" t="str">
        <f>IF('TRA RESID'!H70="","",'TRA RESID'!H70)</f>
        <v>TRACNG</v>
      </c>
      <c r="D75" t="s">
        <v>405</v>
      </c>
      <c r="E75" s="9">
        <f>IF(B75="*",1,SUMIFS('TRA RESID'!O:O,'TRA RESID'!J:J,B75,'TRA RESID'!H:H,C75))</f>
        <v>1</v>
      </c>
      <c r="H75" t="str">
        <f>IF(I75="","*",IF(SUMIFS('TRA RESID'!R:R,'TRA RESID'!J:J,'TRA RESID'!J70)=0,"*",'TRA RESID'!J70))</f>
        <v>TRAFRECLHICEVCNG19</v>
      </c>
      <c r="I75" t="str">
        <f>IF('TRA RESID'!H70="","",'TRA RESID'!H70)</f>
        <v>TRACNG</v>
      </c>
      <c r="J75" t="str">
        <f>"Share~LO~"&amp;'City characteristics'!$C$20</f>
        <v>Share~LO~2019</v>
      </c>
      <c r="K75" s="9">
        <f>IF(B75="*",0,SUMIFS('TRA RESID'!N:N,'TRA RESID'!J:J,B75,'TRA RESID'!H:H,C75))</f>
        <v>0</v>
      </c>
      <c r="N75" t="str">
        <f>IF(Def_Tech!B73="*","*",Def_Tech!C73)</f>
        <v>CITY</v>
      </c>
      <c r="O75" t="str">
        <f>Def_Tech!D73</f>
        <v>TRAFRECLHICEVCNG19</v>
      </c>
      <c r="P75" t="str">
        <f>_xlfn.XLOOKUP(O75,'TRA RESID'!J:J,'TRA RESID'!I:I)</f>
        <v>TRAFRECLHDMD</v>
      </c>
      <c r="Q75" s="13">
        <f>_xlfn.XLOOKUP(O75,'TRA RESID'!J:J,'TRA RESID'!S:S)</f>
        <v>5.4189813764471753E-2</v>
      </c>
      <c r="R75">
        <f>_xlfn.XLOOKUP(O75,'TRA RESID'!J:J,'TRA RESID'!X:X)</f>
        <v>1</v>
      </c>
      <c r="S75" s="9">
        <f>_xlfn.XLOOKUP(O75,'TRA RESID'!J:J,'TRA RESID'!W:W)</f>
        <v>1</v>
      </c>
      <c r="T75" s="16">
        <f>_xlfn.XLOOKUP(O75,'TRA RESID'!J:J,'TRA RESID'!T:T)</f>
        <v>11</v>
      </c>
      <c r="U75" s="8">
        <f>_xlfn.XLOOKUP(O75,'TRA RESID'!J:J,'TRA RESID'!U:U)</f>
        <v>10.127280690055271</v>
      </c>
      <c r="V75" s="16">
        <f>SUMIFS('TRA RESID'!R:R,'TRA RESID'!J:J,O75)</f>
        <v>7.2944460916333389</v>
      </c>
      <c r="W75" s="9">
        <f t="shared" si="2"/>
        <v>0.98</v>
      </c>
    </row>
    <row r="76" spans="2:23" x14ac:dyDescent="0.25">
      <c r="B76" t="str">
        <f>IF(C76="","*",IF(SUMIFS('TRA RESID'!R:R,'TRA RESID'!J:J,'TRA RESID'!J71)=0,"*",'TRA RESID'!J71))</f>
        <v>TRAFRECLHICEVCNG19</v>
      </c>
      <c r="C76" t="str">
        <f>IF('TRA RESID'!H71="","",'TRA RESID'!H71)</f>
        <v>TRARNG</v>
      </c>
      <c r="D76" t="s">
        <v>405</v>
      </c>
      <c r="E76" s="9">
        <f>IF(B76="*",1,SUMIFS('TRA RESID'!O:O,'TRA RESID'!J:J,B76,'TRA RESID'!H:H,C76))</f>
        <v>1</v>
      </c>
      <c r="H76" t="str">
        <f>IF(I76="","*",IF(SUMIFS('TRA RESID'!R:R,'TRA RESID'!J:J,'TRA RESID'!J71)=0,"*",'TRA RESID'!J71))</f>
        <v>TRAFRECLHICEVCNG19</v>
      </c>
      <c r="I76" t="str">
        <f>IF('TRA RESID'!H71="","",'TRA RESID'!H71)</f>
        <v>TRARNG</v>
      </c>
      <c r="J76" t="str">
        <f>"Share~LO~"&amp;'City characteristics'!$C$20</f>
        <v>Share~LO~2019</v>
      </c>
      <c r="K76" s="9">
        <f>IF(B76="*",0,SUMIFS('TRA RESID'!N:N,'TRA RESID'!J:J,B76,'TRA RESID'!H:H,C76))</f>
        <v>0</v>
      </c>
      <c r="N76" t="str">
        <f>IF(Def_Tech!B74="*","*",Def_Tech!C74)</f>
        <v>*</v>
      </c>
      <c r="O76" t="str">
        <f>Def_Tech!D74</f>
        <v>TRAFRECLHICEVCNG19</v>
      </c>
      <c r="P76" t="str">
        <f>_xlfn.XLOOKUP(O76,'TRA RESID'!J:J,'TRA RESID'!I:I)</f>
        <v>TRAFRECLHDMD</v>
      </c>
      <c r="Q76" s="13">
        <f>_xlfn.XLOOKUP(O76,'TRA RESID'!J:J,'TRA RESID'!S:S)</f>
        <v>5.4189813764471753E-2</v>
      </c>
      <c r="R76">
        <f>_xlfn.XLOOKUP(O76,'TRA RESID'!J:J,'TRA RESID'!X:X)</f>
        <v>1</v>
      </c>
      <c r="S76" s="9">
        <f>_xlfn.XLOOKUP(O76,'TRA RESID'!J:J,'TRA RESID'!W:W)</f>
        <v>1</v>
      </c>
      <c r="T76" s="16">
        <f>_xlfn.XLOOKUP(O76,'TRA RESID'!J:J,'TRA RESID'!T:T)</f>
        <v>11</v>
      </c>
      <c r="U76" s="8">
        <f>_xlfn.XLOOKUP(O76,'TRA RESID'!J:J,'TRA RESID'!U:U)</f>
        <v>10.127280690055271</v>
      </c>
      <c r="V76" s="16">
        <f>SUMIFS('TRA RESID'!R:R,'TRA RESID'!J:J,O76)</f>
        <v>7.2944460916333389</v>
      </c>
      <c r="W76" s="9">
        <f t="shared" si="2"/>
        <v>0.98</v>
      </c>
    </row>
    <row r="77" spans="2:23" x14ac:dyDescent="0.25">
      <c r="B77" t="str">
        <f>IF(C77="","*",IF(SUMIFS('TRA RESID'!R:R,'TRA RESID'!J:J,'TRA RESID'!J72)=0,"*",'TRA RESID'!J72))</f>
        <v>*</v>
      </c>
      <c r="C77" t="str">
        <f>IF('TRA RESID'!H72="","",'TRA RESID'!H72)</f>
        <v>TRABAF</v>
      </c>
      <c r="D77" t="s">
        <v>405</v>
      </c>
      <c r="E77" s="9">
        <f>IF(B77="*",1,SUMIFS('TRA RESID'!O:O,'TRA RESID'!J:J,B77,'TRA RESID'!H:H,C77))</f>
        <v>1</v>
      </c>
      <c r="H77" t="str">
        <f>IF(I77="","*",IF(SUMIFS('TRA RESID'!R:R,'TRA RESID'!J:J,'TRA RESID'!J72)=0,"*",'TRA RESID'!J72))</f>
        <v>*</v>
      </c>
      <c r="I77" t="str">
        <f>IF('TRA RESID'!H72="","",'TRA RESID'!H72)</f>
        <v>TRABAF</v>
      </c>
      <c r="J77" t="str">
        <f>"Share~LO~"&amp;'City characteristics'!$C$20</f>
        <v>Share~LO~2019</v>
      </c>
      <c r="K77" s="9">
        <f>IF(B77="*",0,SUMIFS('TRA RESID'!N:N,'TRA RESID'!J:J,B77,'TRA RESID'!H:H,C77))</f>
        <v>0</v>
      </c>
      <c r="N77" t="str">
        <f>IF(Def_Tech!B75="*","*",Def_Tech!C75)</f>
        <v>*</v>
      </c>
      <c r="O77" t="str">
        <f>Def_Tech!D75</f>
        <v>TRAFRECLHBEV19</v>
      </c>
      <c r="P77" t="str">
        <f>_xlfn.XLOOKUP(O77,'TRA RESID'!J:J,'TRA RESID'!I:I)</f>
        <v>TRAFRECLHDMD</v>
      </c>
      <c r="Q77" s="13">
        <f>_xlfn.XLOOKUP(O77,'TRA RESID'!J:J,'TRA RESID'!S:S)</f>
        <v>0.1073285083324588</v>
      </c>
      <c r="R77">
        <f>_xlfn.XLOOKUP(O77,'TRA RESID'!J:J,'TRA RESID'!X:X)</f>
        <v>1</v>
      </c>
      <c r="S77" s="9">
        <f>_xlfn.XLOOKUP(O77,'TRA RESID'!J:J,'TRA RESID'!W:W)</f>
        <v>1</v>
      </c>
      <c r="T77" s="16">
        <f>_xlfn.XLOOKUP(O77,'TRA RESID'!J:J,'TRA RESID'!T:T)</f>
        <v>11</v>
      </c>
      <c r="U77" s="8">
        <f>_xlfn.XLOOKUP(O77,'TRA RESID'!J:J,'TRA RESID'!U:U)</f>
        <v>10.127280690055271</v>
      </c>
      <c r="V77" s="16">
        <f>SUMIFS('TRA RESID'!R:R,'TRA RESID'!J:J,O77)</f>
        <v>0</v>
      </c>
      <c r="W77" s="9">
        <f t="shared" si="2"/>
        <v>0.98</v>
      </c>
    </row>
    <row r="78" spans="2:23" x14ac:dyDescent="0.25">
      <c r="B78" t="str">
        <f>IF(C78="","*",IF(SUMIFS('TRA RESID'!R:R,'TRA RESID'!J:J,'TRA RESID'!J73)=0,"*",'TRA RESID'!J73))</f>
        <v>*</v>
      </c>
      <c r="C78" t="str">
        <f>IF('TRA RESID'!H73="","",'TRA RESID'!H73)</f>
        <v>TRAH2G</v>
      </c>
      <c r="D78" t="s">
        <v>405</v>
      </c>
      <c r="E78" s="9">
        <f>IF(B78="*",1,SUMIFS('TRA RESID'!O:O,'TRA RESID'!J:J,B78,'TRA RESID'!H:H,C78))</f>
        <v>1</v>
      </c>
      <c r="H78" t="str">
        <f>IF(I78="","*",IF(SUMIFS('TRA RESID'!R:R,'TRA RESID'!J:J,'TRA RESID'!J73)=0,"*",'TRA RESID'!J73))</f>
        <v>*</v>
      </c>
      <c r="I78" t="str">
        <f>IF('TRA RESID'!H73="","",'TRA RESID'!H73)</f>
        <v>TRAH2G</v>
      </c>
      <c r="J78" t="str">
        <f>"Share~LO~"&amp;'City characteristics'!$C$20</f>
        <v>Share~LO~2019</v>
      </c>
      <c r="K78" s="9">
        <f>IF(B78="*",0,SUMIFS('TRA RESID'!N:N,'TRA RESID'!J:J,B78,'TRA RESID'!H:H,C78))</f>
        <v>0</v>
      </c>
      <c r="N78" t="str">
        <f>IF(Def_Tech!B76="*","*",Def_Tech!C76)</f>
        <v>*</v>
      </c>
      <c r="O78" t="str">
        <f>Def_Tech!D76</f>
        <v>TRAFRECLHFCEV19</v>
      </c>
      <c r="P78" t="str">
        <f>_xlfn.XLOOKUP(O78,'TRA RESID'!J:J,'TRA RESID'!I:I)</f>
        <v>TRAFRECLHDMD</v>
      </c>
      <c r="Q78" s="13">
        <f>_xlfn.XLOOKUP(O78,'TRA RESID'!J:J,'TRA RESID'!S:S)</f>
        <v>0.1073285083324588</v>
      </c>
      <c r="R78">
        <f>_xlfn.XLOOKUP(O78,'TRA RESID'!J:J,'TRA RESID'!X:X)</f>
        <v>1</v>
      </c>
      <c r="S78" s="9">
        <f>_xlfn.XLOOKUP(O78,'TRA RESID'!J:J,'TRA RESID'!W:W)</f>
        <v>1</v>
      </c>
      <c r="T78" s="16">
        <f>_xlfn.XLOOKUP(O78,'TRA RESID'!J:J,'TRA RESID'!T:T)</f>
        <v>11</v>
      </c>
      <c r="U78" s="8">
        <f>_xlfn.XLOOKUP(O78,'TRA RESID'!J:J,'TRA RESID'!U:U)</f>
        <v>10.127280690055271</v>
      </c>
      <c r="V78" s="16">
        <f>SUMIFS('TRA RESID'!R:R,'TRA RESID'!J:J,O78)</f>
        <v>0</v>
      </c>
      <c r="W78" s="9">
        <f t="shared" si="2"/>
        <v>0.98</v>
      </c>
    </row>
    <row r="79" spans="2:23" x14ac:dyDescent="0.25">
      <c r="B79" t="str">
        <f>IF(C79="","*",IF(SUMIFS('TRA RESID'!R:R,'TRA RESID'!J:J,'TRA RESID'!J74)=0,"*",'TRA RESID'!J74))</f>
        <v>*</v>
      </c>
      <c r="C79" t="str">
        <f>IF('TRA RESID'!H74="","",'TRA RESID'!H74)</f>
        <v>TRAGSL</v>
      </c>
      <c r="D79" t="s">
        <v>405</v>
      </c>
      <c r="E79" s="9">
        <f>IF(B79="*",1,SUMIFS('TRA RESID'!O:O,'TRA RESID'!J:J,B79,'TRA RESID'!H:H,C79))</f>
        <v>1</v>
      </c>
      <c r="H79" t="str">
        <f>IF(I79="","*",IF(SUMIFS('TRA RESID'!R:R,'TRA RESID'!J:J,'TRA RESID'!J74)=0,"*",'TRA RESID'!J74))</f>
        <v>*</v>
      </c>
      <c r="I79" t="str">
        <f>IF('TRA RESID'!H74="","",'TRA RESID'!H74)</f>
        <v>TRAGSL</v>
      </c>
      <c r="J79" t="str">
        <f>"Share~LO~"&amp;'City characteristics'!$C$20</f>
        <v>Share~LO~2019</v>
      </c>
      <c r="K79" s="9">
        <f>IF(B79="*",0,SUMIFS('TRA RESID'!N:N,'TRA RESID'!J:J,B79,'TRA RESID'!H:H,C79))</f>
        <v>0</v>
      </c>
      <c r="N79" t="str">
        <f>IF(Def_Tech!B77="*","*",Def_Tech!C77)</f>
        <v>*</v>
      </c>
      <c r="O79" t="str">
        <f>Def_Tech!D77</f>
        <v>TRAFRECSHICEVGSL19</v>
      </c>
      <c r="P79" t="str">
        <f>_xlfn.XLOOKUP(O79,'TRA RESID'!J:J,'TRA RESID'!I:I)</f>
        <v>TRAFRECSHDMD</v>
      </c>
      <c r="Q79" s="13">
        <f>_xlfn.XLOOKUP(O79,'TRA RESID'!J:J,'TRA RESID'!S:S)</f>
        <v>7.0956301746689932E-2</v>
      </c>
      <c r="R79">
        <f>_xlfn.XLOOKUP(O79,'TRA RESID'!J:J,'TRA RESID'!X:X)</f>
        <v>1</v>
      </c>
      <c r="S79" s="9">
        <f>_xlfn.XLOOKUP(O79,'TRA RESID'!J:J,'TRA RESID'!W:W)</f>
        <v>1</v>
      </c>
      <c r="T79" s="16">
        <f>_xlfn.XLOOKUP(O79,'TRA RESID'!J:J,'TRA RESID'!T:T)</f>
        <v>21</v>
      </c>
      <c r="U79" s="8">
        <f>_xlfn.XLOOKUP(O79,'TRA RESID'!J:J,'TRA RESID'!U:U)</f>
        <v>5.0636403450276344</v>
      </c>
      <c r="V79" s="16">
        <f>SUMIFS('TRA RESID'!R:R,'TRA RESID'!J:J,O79)</f>
        <v>0</v>
      </c>
      <c r="W79" s="9">
        <f t="shared" si="2"/>
        <v>0.98</v>
      </c>
    </row>
    <row r="80" spans="2:23" x14ac:dyDescent="0.25">
      <c r="B80" t="str">
        <f>IF(C80="","*",IF(SUMIFS('TRA RESID'!R:R,'TRA RESID'!J:J,'TRA RESID'!J75)=0,"*",'TRA RESID'!J75))</f>
        <v>*</v>
      </c>
      <c r="C80" t="str">
        <f>IF('TRA RESID'!H75="","",'TRA RESID'!H75)</f>
        <v>TRAETH</v>
      </c>
      <c r="D80" t="s">
        <v>405</v>
      </c>
      <c r="E80" s="9">
        <f>IF(B80="*",1,SUMIFS('TRA RESID'!O:O,'TRA RESID'!J:J,B80,'TRA RESID'!H:H,C80))</f>
        <v>1</v>
      </c>
      <c r="H80" t="str">
        <f>IF(I80="","*",IF(SUMIFS('TRA RESID'!R:R,'TRA RESID'!J:J,'TRA RESID'!J75)=0,"*",'TRA RESID'!J75))</f>
        <v>*</v>
      </c>
      <c r="I80" t="str">
        <f>IF('TRA RESID'!H75="","",'TRA RESID'!H75)</f>
        <v>TRAETH</v>
      </c>
      <c r="J80" t="str">
        <f>"Share~LO~"&amp;'City characteristics'!$C$20</f>
        <v>Share~LO~2019</v>
      </c>
      <c r="K80" s="9">
        <f>IF(B80="*",0,SUMIFS('TRA RESID'!N:N,'TRA RESID'!J:J,B80,'TRA RESID'!H:H,C80))</f>
        <v>0</v>
      </c>
      <c r="N80" t="str">
        <f>IF(Def_Tech!B78="*","*",Def_Tech!C78)</f>
        <v>*</v>
      </c>
      <c r="O80" t="str">
        <f>Def_Tech!D78</f>
        <v>TRAFRECSHICEVGSL19</v>
      </c>
      <c r="P80" t="str">
        <f>_xlfn.XLOOKUP(O80,'TRA RESID'!J:J,'TRA RESID'!I:I)</f>
        <v>TRAFRECSHDMD</v>
      </c>
      <c r="Q80" s="13">
        <f>_xlfn.XLOOKUP(O80,'TRA RESID'!J:J,'TRA RESID'!S:S)</f>
        <v>7.0956301746689932E-2</v>
      </c>
      <c r="R80">
        <f>_xlfn.XLOOKUP(O80,'TRA RESID'!J:J,'TRA RESID'!X:X)</f>
        <v>1</v>
      </c>
      <c r="S80" s="9">
        <f>_xlfn.XLOOKUP(O80,'TRA RESID'!J:J,'TRA RESID'!W:W)</f>
        <v>1</v>
      </c>
      <c r="T80" s="16">
        <f>_xlfn.XLOOKUP(O80,'TRA RESID'!J:J,'TRA RESID'!T:T)</f>
        <v>21</v>
      </c>
      <c r="U80" s="8">
        <f>_xlfn.XLOOKUP(O80,'TRA RESID'!J:J,'TRA RESID'!U:U)</f>
        <v>5.0636403450276344</v>
      </c>
      <c r="V80" s="16">
        <f>SUMIFS('TRA RESID'!R:R,'TRA RESID'!J:J,O80)</f>
        <v>0</v>
      </c>
      <c r="W80" s="9">
        <f t="shared" si="2"/>
        <v>0.98</v>
      </c>
    </row>
    <row r="81" spans="2:23" x14ac:dyDescent="0.25">
      <c r="B81" t="str">
        <f>IF(C81="","*",IF(SUMIFS('TRA RESID'!R:R,'TRA RESID'!J:J,'TRA RESID'!J76)=0,"*",'TRA RESID'!J76))</f>
        <v>*</v>
      </c>
      <c r="C81" t="str">
        <f>IF('TRA RESID'!H76="","",'TRA RESID'!H76)</f>
        <v>TRADSL</v>
      </c>
      <c r="D81" t="s">
        <v>405</v>
      </c>
      <c r="E81" s="9">
        <f>IF(B81="*",1,SUMIFS('TRA RESID'!O:O,'TRA RESID'!J:J,B81,'TRA RESID'!H:H,C81))</f>
        <v>1</v>
      </c>
      <c r="H81" t="str">
        <f>IF(I81="","*",IF(SUMIFS('TRA RESID'!R:R,'TRA RESID'!J:J,'TRA RESID'!J76)=0,"*",'TRA RESID'!J76))</f>
        <v>*</v>
      </c>
      <c r="I81" t="str">
        <f>IF('TRA RESID'!H76="","",'TRA RESID'!H76)</f>
        <v>TRADSL</v>
      </c>
      <c r="J81" t="str">
        <f>"Share~LO~"&amp;'City characteristics'!$C$20</f>
        <v>Share~LO~2019</v>
      </c>
      <c r="K81" s="9">
        <f>IF(B81="*",0,SUMIFS('TRA RESID'!N:N,'TRA RESID'!J:J,B81,'TRA RESID'!H:H,C81))</f>
        <v>0</v>
      </c>
      <c r="N81" t="str">
        <f>IF(Def_Tech!B79="*","*",Def_Tech!C79)</f>
        <v>*</v>
      </c>
      <c r="O81" t="str">
        <f>Def_Tech!D79</f>
        <v>TRAFRECSHICEVDSL19</v>
      </c>
      <c r="P81" t="str">
        <f>_xlfn.XLOOKUP(O81,'TRA RESID'!J:J,'TRA RESID'!I:I)</f>
        <v>TRAFRECSHDMD</v>
      </c>
      <c r="Q81" s="13">
        <f>_xlfn.XLOOKUP(O81,'TRA RESID'!J:J,'TRA RESID'!S:S)</f>
        <v>6.5846402492820186E-2</v>
      </c>
      <c r="R81">
        <f>_xlfn.XLOOKUP(O81,'TRA RESID'!J:J,'TRA RESID'!X:X)</f>
        <v>1</v>
      </c>
      <c r="S81" s="9">
        <f>_xlfn.XLOOKUP(O81,'TRA RESID'!J:J,'TRA RESID'!W:W)</f>
        <v>1</v>
      </c>
      <c r="T81" s="16">
        <f>_xlfn.XLOOKUP(O81,'TRA RESID'!J:J,'TRA RESID'!T:T)</f>
        <v>21</v>
      </c>
      <c r="U81" s="8">
        <f>_xlfn.XLOOKUP(O81,'TRA RESID'!J:J,'TRA RESID'!U:U)</f>
        <v>5.0636403450276344</v>
      </c>
      <c r="V81" s="16">
        <f>SUMIFS('TRA RESID'!R:R,'TRA RESID'!J:J,O81)</f>
        <v>0</v>
      </c>
      <c r="W81" s="9">
        <f t="shared" si="2"/>
        <v>0.98</v>
      </c>
    </row>
    <row r="82" spans="2:23" x14ac:dyDescent="0.25">
      <c r="B82" t="str">
        <f>IF(C82="","*",IF(SUMIFS('TRA RESID'!R:R,'TRA RESID'!J:J,'TRA RESID'!J77)=0,"*",'TRA RESID'!J77))</f>
        <v>*</v>
      </c>
      <c r="C82" t="str">
        <f>IF('TRA RESID'!H77="","",'TRA RESID'!H77)</f>
        <v>TRARDS</v>
      </c>
      <c r="D82" t="s">
        <v>405</v>
      </c>
      <c r="E82" s="9">
        <f>IF(B82="*",1,SUMIFS('TRA RESID'!O:O,'TRA RESID'!J:J,B82,'TRA RESID'!H:H,C82))</f>
        <v>1</v>
      </c>
      <c r="H82" t="str">
        <f>IF(I82="","*",IF(SUMIFS('TRA RESID'!R:R,'TRA RESID'!J:J,'TRA RESID'!J77)=0,"*",'TRA RESID'!J77))</f>
        <v>*</v>
      </c>
      <c r="I82" t="str">
        <f>IF('TRA RESID'!H77="","",'TRA RESID'!H77)</f>
        <v>TRARDS</v>
      </c>
      <c r="J82" t="str">
        <f>"Share~LO~"&amp;'City characteristics'!$C$20</f>
        <v>Share~LO~2019</v>
      </c>
      <c r="K82" s="9">
        <f>IF(B82="*",0,SUMIFS('TRA RESID'!N:N,'TRA RESID'!J:J,B82,'TRA RESID'!H:H,C82))</f>
        <v>0</v>
      </c>
      <c r="N82" t="str">
        <f>IF(Def_Tech!B80="*","*",Def_Tech!C80)</f>
        <v>*</v>
      </c>
      <c r="O82" t="str">
        <f>Def_Tech!D80</f>
        <v>TRAFRECSHICEVDSL19</v>
      </c>
      <c r="P82" t="str">
        <f>_xlfn.XLOOKUP(O82,'TRA RESID'!J:J,'TRA RESID'!I:I)</f>
        <v>TRAFRECSHDMD</v>
      </c>
      <c r="Q82" s="13">
        <f>_xlfn.XLOOKUP(O82,'TRA RESID'!J:J,'TRA RESID'!S:S)</f>
        <v>6.5846402492820186E-2</v>
      </c>
      <c r="R82">
        <f>_xlfn.XLOOKUP(O82,'TRA RESID'!J:J,'TRA RESID'!X:X)</f>
        <v>1</v>
      </c>
      <c r="S82" s="9">
        <f>_xlfn.XLOOKUP(O82,'TRA RESID'!J:J,'TRA RESID'!W:W)</f>
        <v>1</v>
      </c>
      <c r="T82" s="16">
        <f>_xlfn.XLOOKUP(O82,'TRA RESID'!J:J,'TRA RESID'!T:T)</f>
        <v>21</v>
      </c>
      <c r="U82" s="8">
        <f>_xlfn.XLOOKUP(O82,'TRA RESID'!J:J,'TRA RESID'!U:U)</f>
        <v>5.0636403450276344</v>
      </c>
      <c r="V82" s="16">
        <f>SUMIFS('TRA RESID'!R:R,'TRA RESID'!J:J,O82)</f>
        <v>0</v>
      </c>
      <c r="W82" s="9">
        <f t="shared" si="2"/>
        <v>0.98</v>
      </c>
    </row>
    <row r="83" spans="2:23" x14ac:dyDescent="0.25">
      <c r="B83" t="str">
        <f>IF(C83="","*",IF(SUMIFS('TRA RESID'!R:R,'TRA RESID'!J:J,'TRA RESID'!J78)=0,"*",'TRA RESID'!J78))</f>
        <v>*</v>
      </c>
      <c r="C83" t="str">
        <f>IF('TRA RESID'!H78="","",'TRA RESID'!H78)</f>
        <v>TRABDS</v>
      </c>
      <c r="D83" t="s">
        <v>405</v>
      </c>
      <c r="E83" s="9">
        <f>IF(B83="*",1,SUMIFS('TRA RESID'!O:O,'TRA RESID'!J:J,B83,'TRA RESID'!H:H,C83))</f>
        <v>1</v>
      </c>
      <c r="H83" t="str">
        <f>IF(I83="","*",IF(SUMIFS('TRA RESID'!R:R,'TRA RESID'!J:J,'TRA RESID'!J78)=0,"*",'TRA RESID'!J78))</f>
        <v>*</v>
      </c>
      <c r="I83" t="str">
        <f>IF('TRA RESID'!H78="","",'TRA RESID'!H78)</f>
        <v>TRABDS</v>
      </c>
      <c r="J83" t="str">
        <f>"Share~LO~"&amp;'City characteristics'!$C$20</f>
        <v>Share~LO~2019</v>
      </c>
      <c r="K83" s="9">
        <f>IF(B83="*",0,SUMIFS('TRA RESID'!N:N,'TRA RESID'!J:J,B83,'TRA RESID'!H:H,C83))</f>
        <v>0</v>
      </c>
      <c r="N83" t="str">
        <f>IF(Def_Tech!B81="*","*",Def_Tech!C81)</f>
        <v>*</v>
      </c>
      <c r="O83" t="str">
        <f>Def_Tech!D81</f>
        <v>TRAFRECSHICEVDSL19</v>
      </c>
      <c r="P83" t="str">
        <f>_xlfn.XLOOKUP(O83,'TRA RESID'!J:J,'TRA RESID'!I:I)</f>
        <v>TRAFRECSHDMD</v>
      </c>
      <c r="Q83" s="13">
        <f>_xlfn.XLOOKUP(O83,'TRA RESID'!J:J,'TRA RESID'!S:S)</f>
        <v>6.5846402492820186E-2</v>
      </c>
      <c r="R83">
        <f>_xlfn.XLOOKUP(O83,'TRA RESID'!J:J,'TRA RESID'!X:X)</f>
        <v>1</v>
      </c>
      <c r="S83" s="9">
        <f>_xlfn.XLOOKUP(O83,'TRA RESID'!J:J,'TRA RESID'!W:W)</f>
        <v>1</v>
      </c>
      <c r="T83" s="16">
        <f>_xlfn.XLOOKUP(O83,'TRA RESID'!J:J,'TRA RESID'!T:T)</f>
        <v>21</v>
      </c>
      <c r="U83" s="8">
        <f>_xlfn.XLOOKUP(O83,'TRA RESID'!J:J,'TRA RESID'!U:U)</f>
        <v>5.0636403450276344</v>
      </c>
      <c r="V83" s="16">
        <f>SUMIFS('TRA RESID'!R:R,'TRA RESID'!J:J,O83)</f>
        <v>0</v>
      </c>
      <c r="W83" s="9">
        <f t="shared" si="2"/>
        <v>0.98</v>
      </c>
    </row>
    <row r="84" spans="2:23" x14ac:dyDescent="0.25">
      <c r="B84" t="str">
        <f>IF(C84="","*",IF(SUMIFS('TRA RESID'!R:R,'TRA RESID'!J:J,'TRA RESID'!J79)=0,"*",'TRA RESID'!J79))</f>
        <v>*</v>
      </c>
      <c r="C84" t="str">
        <f>IF('TRA RESID'!H79="","",'TRA RESID'!H79)</f>
        <v>TRACNG</v>
      </c>
      <c r="D84" t="s">
        <v>405</v>
      </c>
      <c r="E84" s="9">
        <f>IF(B84="*",1,SUMIFS('TRA RESID'!O:O,'TRA RESID'!J:J,B84,'TRA RESID'!H:H,C84))</f>
        <v>1</v>
      </c>
      <c r="H84" t="str">
        <f>IF(I84="","*",IF(SUMIFS('TRA RESID'!R:R,'TRA RESID'!J:J,'TRA RESID'!J79)=0,"*",'TRA RESID'!J79))</f>
        <v>*</v>
      </c>
      <c r="I84" t="str">
        <f>IF('TRA RESID'!H79="","",'TRA RESID'!H79)</f>
        <v>TRACNG</v>
      </c>
      <c r="J84" t="str">
        <f>"Share~LO~"&amp;'City characteristics'!$C$20</f>
        <v>Share~LO~2019</v>
      </c>
      <c r="K84" s="9">
        <f>IF(B84="*",0,SUMIFS('TRA RESID'!N:N,'TRA RESID'!J:J,B84,'TRA RESID'!H:H,C84))</f>
        <v>0</v>
      </c>
      <c r="N84" t="str">
        <f>IF(Def_Tech!B82="*","*",Def_Tech!C82)</f>
        <v>*</v>
      </c>
      <c r="O84" t="str">
        <f>Def_Tech!D82</f>
        <v>TRAFRECSHICEVCNG19</v>
      </c>
      <c r="P84" t="str">
        <f>_xlfn.XLOOKUP(O84,'TRA RESID'!J:J,'TRA RESID'!I:I)</f>
        <v>TRAFRECSHDMD</v>
      </c>
      <c r="Q84" s="13">
        <f>_xlfn.XLOOKUP(O84,'TRA RESID'!J:J,'TRA RESID'!S:S)</f>
        <v>5.3888711643790478E-2</v>
      </c>
      <c r="R84">
        <f>_xlfn.XLOOKUP(O84,'TRA RESID'!J:J,'TRA RESID'!X:X)</f>
        <v>1</v>
      </c>
      <c r="S84" s="9">
        <f>_xlfn.XLOOKUP(O84,'TRA RESID'!J:J,'TRA RESID'!W:W)</f>
        <v>1</v>
      </c>
      <c r="T84" s="16">
        <f>_xlfn.XLOOKUP(O84,'TRA RESID'!J:J,'TRA RESID'!T:T)</f>
        <v>21</v>
      </c>
      <c r="U84" s="8">
        <f>_xlfn.XLOOKUP(O84,'TRA RESID'!J:J,'TRA RESID'!U:U)</f>
        <v>5.0636403450276344</v>
      </c>
      <c r="V84" s="16">
        <f>SUMIFS('TRA RESID'!R:R,'TRA RESID'!J:J,O84)</f>
        <v>0</v>
      </c>
      <c r="W84" s="9">
        <f t="shared" si="2"/>
        <v>0.98</v>
      </c>
    </row>
    <row r="85" spans="2:23" x14ac:dyDescent="0.25">
      <c r="B85" t="str">
        <f>IF(C85="","*",IF(SUMIFS('TRA RESID'!R:R,'TRA RESID'!J:J,'TRA RESID'!J80)=0,"*",'TRA RESID'!J80))</f>
        <v>*</v>
      </c>
      <c r="C85" t="str">
        <f>IF('TRA RESID'!H80="","",'TRA RESID'!H80)</f>
        <v>TRARNG</v>
      </c>
      <c r="D85" t="s">
        <v>405</v>
      </c>
      <c r="E85" s="9">
        <f>IF(B85="*",1,SUMIFS('TRA RESID'!O:O,'TRA RESID'!J:J,B85,'TRA RESID'!H:H,C85))</f>
        <v>1</v>
      </c>
      <c r="H85" t="str">
        <f>IF(I85="","*",IF(SUMIFS('TRA RESID'!R:R,'TRA RESID'!J:J,'TRA RESID'!J80)=0,"*",'TRA RESID'!J80))</f>
        <v>*</v>
      </c>
      <c r="I85" t="str">
        <f>IF('TRA RESID'!H80="","",'TRA RESID'!H80)</f>
        <v>TRARNG</v>
      </c>
      <c r="J85" t="str">
        <f>"Share~LO~"&amp;'City characteristics'!$C$20</f>
        <v>Share~LO~2019</v>
      </c>
      <c r="K85" s="9">
        <f>IF(B85="*",0,SUMIFS('TRA RESID'!N:N,'TRA RESID'!J:J,B85,'TRA RESID'!H:H,C85))</f>
        <v>0</v>
      </c>
      <c r="N85" t="str">
        <f>IF(Def_Tech!B83="*","*",Def_Tech!C83)</f>
        <v>*</v>
      </c>
      <c r="O85" t="str">
        <f>Def_Tech!D83</f>
        <v>TRAFRECSHICEVCNG19</v>
      </c>
      <c r="P85" t="str">
        <f>_xlfn.XLOOKUP(O85,'TRA RESID'!J:J,'TRA RESID'!I:I)</f>
        <v>TRAFRECSHDMD</v>
      </c>
      <c r="Q85" s="13">
        <f>_xlfn.XLOOKUP(O85,'TRA RESID'!J:J,'TRA RESID'!S:S)</f>
        <v>5.3888711643790478E-2</v>
      </c>
      <c r="R85">
        <f>_xlfn.XLOOKUP(O85,'TRA RESID'!J:J,'TRA RESID'!X:X)</f>
        <v>1</v>
      </c>
      <c r="S85" s="9">
        <f>_xlfn.XLOOKUP(O85,'TRA RESID'!J:J,'TRA RESID'!W:W)</f>
        <v>1</v>
      </c>
      <c r="T85" s="16">
        <f>_xlfn.XLOOKUP(O85,'TRA RESID'!J:J,'TRA RESID'!T:T)</f>
        <v>21</v>
      </c>
      <c r="U85" s="8">
        <f>_xlfn.XLOOKUP(O85,'TRA RESID'!J:J,'TRA RESID'!U:U)</f>
        <v>5.0636403450276344</v>
      </c>
      <c r="V85" s="16">
        <f>SUMIFS('TRA RESID'!R:R,'TRA RESID'!J:J,O85)</f>
        <v>0</v>
      </c>
      <c r="W85" s="9">
        <f t="shared" si="2"/>
        <v>0.98</v>
      </c>
    </row>
    <row r="86" spans="2:23" x14ac:dyDescent="0.25">
      <c r="B86" t="str">
        <f>IF(C86="","*",IF(SUMIFS('TRA RESID'!R:R,'TRA RESID'!J:J,'TRA RESID'!J81)=0,"*",'TRA RESID'!J81))</f>
        <v>*</v>
      </c>
      <c r="C86" t="str">
        <f>IF('TRA RESID'!H81="","",'TRA RESID'!H81)</f>
        <v>TRABAF</v>
      </c>
      <c r="D86" t="s">
        <v>405</v>
      </c>
      <c r="E86" s="9">
        <f>IF(B86="*",1,SUMIFS('TRA RESID'!O:O,'TRA RESID'!J:J,B86,'TRA RESID'!H:H,C86))</f>
        <v>1</v>
      </c>
      <c r="H86" t="str">
        <f>IF(I86="","*",IF(SUMIFS('TRA RESID'!R:R,'TRA RESID'!J:J,'TRA RESID'!J81)=0,"*",'TRA RESID'!J81))</f>
        <v>*</v>
      </c>
      <c r="I86" t="str">
        <f>IF('TRA RESID'!H81="","",'TRA RESID'!H81)</f>
        <v>TRABAF</v>
      </c>
      <c r="J86" t="str">
        <f>"Share~LO~"&amp;'City characteristics'!$C$20</f>
        <v>Share~LO~2019</v>
      </c>
      <c r="K86" s="9">
        <f>IF(B86="*",0,SUMIFS('TRA RESID'!N:N,'TRA RESID'!J:J,B86,'TRA RESID'!H:H,C86))</f>
        <v>0</v>
      </c>
      <c r="N86" t="str">
        <f>IF(Def_Tech!B84="*","*",Def_Tech!C84)</f>
        <v>*</v>
      </c>
      <c r="O86" t="str">
        <f>Def_Tech!D84</f>
        <v>TRAFRECSHBEV19</v>
      </c>
      <c r="P86" t="str">
        <f>_xlfn.XLOOKUP(O86,'TRA RESID'!J:J,'TRA RESID'!I:I)</f>
        <v>TRAFRECSHDMD</v>
      </c>
      <c r="Q86" s="13">
        <f>_xlfn.XLOOKUP(O86,'TRA RESID'!J:J,'TRA RESID'!S:S)</f>
        <v>0.1073285083324588</v>
      </c>
      <c r="R86">
        <f>_xlfn.XLOOKUP(O86,'TRA RESID'!J:J,'TRA RESID'!X:X)</f>
        <v>1</v>
      </c>
      <c r="S86" s="9">
        <f>_xlfn.XLOOKUP(O86,'TRA RESID'!J:J,'TRA RESID'!W:W)</f>
        <v>1</v>
      </c>
      <c r="T86" s="16">
        <f>_xlfn.XLOOKUP(O86,'TRA RESID'!J:J,'TRA RESID'!T:T)</f>
        <v>21</v>
      </c>
      <c r="U86" s="8">
        <f>_xlfn.XLOOKUP(O86,'TRA RESID'!J:J,'TRA RESID'!U:U)</f>
        <v>5.0636403450276344</v>
      </c>
      <c r="V86" s="16">
        <f>SUMIFS('TRA RESID'!R:R,'TRA RESID'!J:J,O86)</f>
        <v>0</v>
      </c>
      <c r="W86" s="9">
        <f t="shared" si="2"/>
        <v>0.98</v>
      </c>
    </row>
    <row r="87" spans="2:23" x14ac:dyDescent="0.25">
      <c r="B87" t="str">
        <f>IF(C87="","*",IF(SUMIFS('TRA RESID'!R:R,'TRA RESID'!J:J,'TRA RESID'!J82)=0,"*",'TRA RESID'!J82))</f>
        <v>*</v>
      </c>
      <c r="C87" t="str">
        <f>IF('TRA RESID'!H82="","",'TRA RESID'!H82)</f>
        <v>TRAH2G</v>
      </c>
      <c r="D87" t="s">
        <v>405</v>
      </c>
      <c r="E87" s="9">
        <f>IF(B87="*",1,SUMIFS('TRA RESID'!O:O,'TRA RESID'!J:J,B87,'TRA RESID'!H:H,C87))</f>
        <v>1</v>
      </c>
      <c r="H87" t="str">
        <f>IF(I87="","*",IF(SUMIFS('TRA RESID'!R:R,'TRA RESID'!J:J,'TRA RESID'!J82)=0,"*",'TRA RESID'!J82))</f>
        <v>*</v>
      </c>
      <c r="I87" t="str">
        <f>IF('TRA RESID'!H82="","",'TRA RESID'!H82)</f>
        <v>TRAH2G</v>
      </c>
      <c r="J87" t="str">
        <f>"Share~LO~"&amp;'City characteristics'!$C$20</f>
        <v>Share~LO~2019</v>
      </c>
      <c r="K87" s="9">
        <f>IF(B87="*",0,SUMIFS('TRA RESID'!N:N,'TRA RESID'!J:J,B87,'TRA RESID'!H:H,C87))</f>
        <v>0</v>
      </c>
      <c r="N87" t="str">
        <f>IF(Def_Tech!B85="*","*",Def_Tech!C85)</f>
        <v>*</v>
      </c>
      <c r="O87" t="str">
        <f>Def_Tech!D85</f>
        <v>TRAFRECSHFCEV19</v>
      </c>
      <c r="P87" t="str">
        <f>_xlfn.XLOOKUP(O87,'TRA RESID'!J:J,'TRA RESID'!I:I)</f>
        <v>TRAFRECSHDMD</v>
      </c>
      <c r="Q87" s="13">
        <f>_xlfn.XLOOKUP(O87,'TRA RESID'!J:J,'TRA RESID'!S:S)</f>
        <v>0.1073285083324588</v>
      </c>
      <c r="R87">
        <f>_xlfn.XLOOKUP(O87,'TRA RESID'!J:J,'TRA RESID'!X:X)</f>
        <v>1</v>
      </c>
      <c r="S87" s="9">
        <f>_xlfn.XLOOKUP(O87,'TRA RESID'!J:J,'TRA RESID'!W:W)</f>
        <v>1</v>
      </c>
      <c r="T87" s="16">
        <f>_xlfn.XLOOKUP(O87,'TRA RESID'!J:J,'TRA RESID'!T:T)</f>
        <v>21</v>
      </c>
      <c r="U87" s="8">
        <f>_xlfn.XLOOKUP(O87,'TRA RESID'!J:J,'TRA RESID'!U:U)</f>
        <v>5.0636403450276344</v>
      </c>
      <c r="V87" s="16">
        <f>SUMIFS('TRA RESID'!R:R,'TRA RESID'!J:J,O87)</f>
        <v>0</v>
      </c>
      <c r="W87" s="9">
        <f t="shared" si="2"/>
        <v>0.98</v>
      </c>
    </row>
    <row r="88" spans="2:23" x14ac:dyDescent="0.25">
      <c r="B88" t="str">
        <f>IF(C88="","*",IF(SUMIFS('TRA RESID'!R:R,'TRA RESID'!J:J,'TRA RESID'!J83)=0,"*",'TRA RESID'!J83))</f>
        <v>*</v>
      </c>
      <c r="C88" t="str">
        <f>IF('TRA RESID'!H83="","",'TRA RESID'!H83)</f>
        <v>TRAGSL</v>
      </c>
      <c r="D88" t="s">
        <v>405</v>
      </c>
      <c r="E88" s="9">
        <f>IF(B88="*",1,SUMIFS('TRA RESID'!O:O,'TRA RESID'!J:J,B88,'TRA RESID'!H:H,C88))</f>
        <v>1</v>
      </c>
      <c r="H88" t="str">
        <f>IF(I88="","*",IF(SUMIFS('TRA RESID'!R:R,'TRA RESID'!J:J,'TRA RESID'!J83)=0,"*",'TRA RESID'!J83))</f>
        <v>*</v>
      </c>
      <c r="I88" t="str">
        <f>IF('TRA RESID'!H83="","",'TRA RESID'!H83)</f>
        <v>TRAGSL</v>
      </c>
      <c r="J88" t="str">
        <f>"Share~LO~"&amp;'City characteristics'!$C$20</f>
        <v>Share~LO~2019</v>
      </c>
      <c r="K88" s="9">
        <f>IF(B88="*",0,SUMIFS('TRA RESID'!N:N,'TRA RESID'!J:J,B88,'TRA RESID'!H:H,C88))</f>
        <v>0</v>
      </c>
      <c r="N88" t="str">
        <f>IF(Def_Tech!B86="*","*",Def_Tech!C86)</f>
        <v>*</v>
      </c>
      <c r="O88" t="str">
        <f>Def_Tech!D86</f>
        <v>TRAPASTBUICEVGSL19</v>
      </c>
      <c r="P88" t="str">
        <f>_xlfn.XLOOKUP(O88,'TRA RESID'!J:J,'TRA RESID'!I:I)</f>
        <v>TRAPASTBUDMD</v>
      </c>
      <c r="Q88" s="13">
        <f>_xlfn.XLOOKUP(O88,'TRA RESID'!J:J,'TRA RESID'!S:S)</f>
        <v>6.9654071185951086E-2</v>
      </c>
      <c r="R88">
        <f>_xlfn.XLOOKUP(O88,'TRA RESID'!J:J,'TRA RESID'!X:X)</f>
        <v>1</v>
      </c>
      <c r="S88" s="9">
        <f>_xlfn.XLOOKUP(O88,'TRA RESID'!J:J,'TRA RESID'!W:W)</f>
        <v>1</v>
      </c>
      <c r="T88" s="16">
        <f>_xlfn.XLOOKUP(O88,'TRA RESID'!J:J,'TRA RESID'!T:T)</f>
        <v>10</v>
      </c>
      <c r="U88" s="8">
        <f>_xlfn.XLOOKUP(O88,'TRA RESID'!J:J,'TRA RESID'!U:U)</f>
        <v>8.7429766319069646</v>
      </c>
      <c r="V88" s="16">
        <f>SUMIFS('TRA RESID'!R:R,'TRA RESID'!J:J,O88)</f>
        <v>0</v>
      </c>
      <c r="W88" s="9">
        <f t="shared" si="2"/>
        <v>0.98</v>
      </c>
    </row>
    <row r="89" spans="2:23" x14ac:dyDescent="0.25">
      <c r="B89" t="str">
        <f>IF(C89="","*",IF(SUMIFS('TRA RESID'!R:R,'TRA RESID'!J:J,'TRA RESID'!J84)=0,"*",'TRA RESID'!J84))</f>
        <v>*</v>
      </c>
      <c r="C89" t="str">
        <f>IF('TRA RESID'!H84="","",'TRA RESID'!H84)</f>
        <v>TRAETH</v>
      </c>
      <c r="D89" t="s">
        <v>405</v>
      </c>
      <c r="E89" s="9">
        <f>IF(B89="*",1,SUMIFS('TRA RESID'!O:O,'TRA RESID'!J:J,B89,'TRA RESID'!H:H,C89))</f>
        <v>1</v>
      </c>
      <c r="H89" t="str">
        <f>IF(I89="","*",IF(SUMIFS('TRA RESID'!R:R,'TRA RESID'!J:J,'TRA RESID'!J84)=0,"*",'TRA RESID'!J84))</f>
        <v>*</v>
      </c>
      <c r="I89" t="str">
        <f>IF('TRA RESID'!H84="","",'TRA RESID'!H84)</f>
        <v>TRAETH</v>
      </c>
      <c r="J89" t="str">
        <f>"Share~LO~"&amp;'City characteristics'!$C$20</f>
        <v>Share~LO~2019</v>
      </c>
      <c r="K89" s="9">
        <f>IF(B89="*",0,SUMIFS('TRA RESID'!N:N,'TRA RESID'!J:J,B89,'TRA RESID'!H:H,C89))</f>
        <v>0</v>
      </c>
      <c r="N89" t="str">
        <f>IF(Def_Tech!B87="*","*",Def_Tech!C87)</f>
        <v>*</v>
      </c>
      <c r="O89" t="str">
        <f>Def_Tech!D87</f>
        <v>TRAPASTBUICEVGSL19</v>
      </c>
      <c r="P89" t="str">
        <f>_xlfn.XLOOKUP(O89,'TRA RESID'!J:J,'TRA RESID'!I:I)</f>
        <v>TRAPASTBUDMD</v>
      </c>
      <c r="Q89" s="13">
        <f>_xlfn.XLOOKUP(O89,'TRA RESID'!J:J,'TRA RESID'!S:S)</f>
        <v>6.9654071185951086E-2</v>
      </c>
      <c r="R89">
        <f>_xlfn.XLOOKUP(O89,'TRA RESID'!J:J,'TRA RESID'!X:X)</f>
        <v>1</v>
      </c>
      <c r="S89" s="9">
        <f>_xlfn.XLOOKUP(O89,'TRA RESID'!J:J,'TRA RESID'!W:W)</f>
        <v>1</v>
      </c>
      <c r="T89" s="16">
        <f>_xlfn.XLOOKUP(O89,'TRA RESID'!J:J,'TRA RESID'!T:T)</f>
        <v>10</v>
      </c>
      <c r="U89" s="8">
        <f>_xlfn.XLOOKUP(O89,'TRA RESID'!J:J,'TRA RESID'!U:U)</f>
        <v>8.7429766319069646</v>
      </c>
      <c r="V89" s="16">
        <f>SUMIFS('TRA RESID'!R:R,'TRA RESID'!J:J,O89)</f>
        <v>0</v>
      </c>
      <c r="W89" s="9">
        <f t="shared" si="2"/>
        <v>0.98</v>
      </c>
    </row>
    <row r="90" spans="2:23" x14ac:dyDescent="0.25">
      <c r="B90" t="str">
        <f>IF(C90="","*",IF(SUMIFS('TRA RESID'!R:R,'TRA RESID'!J:J,'TRA RESID'!J85)=0,"*",'TRA RESID'!J85))</f>
        <v>TRAPASTBUICEVDSL19</v>
      </c>
      <c r="C90" t="str">
        <f>IF('TRA RESID'!H85="","",'TRA RESID'!H85)</f>
        <v>TRADSL</v>
      </c>
      <c r="D90" t="s">
        <v>405</v>
      </c>
      <c r="E90" s="9">
        <f>IF(B90="*",1,SUMIFS('TRA RESID'!O:O,'TRA RESID'!J:J,B90,'TRA RESID'!H:H,C90))</f>
        <v>1</v>
      </c>
      <c r="H90" t="str">
        <f>IF(I90="","*",IF(SUMIFS('TRA RESID'!R:R,'TRA RESID'!J:J,'TRA RESID'!J85)=0,"*",'TRA RESID'!J85))</f>
        <v>TRAPASTBUICEVDSL19</v>
      </c>
      <c r="I90" t="str">
        <f>IF('TRA RESID'!H85="","",'TRA RESID'!H85)</f>
        <v>TRADSL</v>
      </c>
      <c r="J90" t="str">
        <f>"Share~LO~"&amp;'City characteristics'!$C$20</f>
        <v>Share~LO~2019</v>
      </c>
      <c r="K90" s="9">
        <f>IF(B90="*",0,SUMIFS('TRA RESID'!N:N,'TRA RESID'!J:J,B90,'TRA RESID'!H:H,C90))</f>
        <v>0</v>
      </c>
      <c r="N90" t="str">
        <f>IF(Def_Tech!B88="*","*",Def_Tech!C88)</f>
        <v>CITY</v>
      </c>
      <c r="O90" t="str">
        <f>Def_Tech!D88</f>
        <v>TRAPASTBUICEVDSL19</v>
      </c>
      <c r="P90" t="str">
        <f>_xlfn.XLOOKUP(O90,'TRA RESID'!J:J,'TRA RESID'!I:I)</f>
        <v>TRAPASTBUDMD</v>
      </c>
      <c r="Q90" s="13">
        <f>_xlfn.XLOOKUP(O90,'TRA RESID'!J:J,'TRA RESID'!S:S)</f>
        <v>6.9865785147262119E-2</v>
      </c>
      <c r="R90">
        <f>_xlfn.XLOOKUP(O90,'TRA RESID'!J:J,'TRA RESID'!X:X)</f>
        <v>1</v>
      </c>
      <c r="S90" s="9">
        <f>_xlfn.XLOOKUP(O90,'TRA RESID'!J:J,'TRA RESID'!W:W)</f>
        <v>1</v>
      </c>
      <c r="T90" s="16">
        <f>_xlfn.XLOOKUP(O90,'TRA RESID'!J:J,'TRA RESID'!T:T)</f>
        <v>10</v>
      </c>
      <c r="U90" s="8">
        <f>_xlfn.XLOOKUP(O90,'TRA RESID'!J:J,'TRA RESID'!U:U)</f>
        <v>8.7429766319069646</v>
      </c>
      <c r="V90" s="16">
        <f>SUMIFS('TRA RESID'!R:R,'TRA RESID'!J:J,O90)</f>
        <v>440.1397160684906</v>
      </c>
      <c r="W90" s="9">
        <f t="shared" si="2"/>
        <v>0.98</v>
      </c>
    </row>
    <row r="91" spans="2:23" x14ac:dyDescent="0.25">
      <c r="B91" t="str">
        <f>IF(C91="","*",IF(SUMIFS('TRA RESID'!R:R,'TRA RESID'!J:J,'TRA RESID'!J86)=0,"*",'TRA RESID'!J86))</f>
        <v>TRAPASTBUICEVDSL19</v>
      </c>
      <c r="C91" t="str">
        <f>IF('TRA RESID'!H86="","",'TRA RESID'!H86)</f>
        <v>TRARDS</v>
      </c>
      <c r="D91" t="s">
        <v>405</v>
      </c>
      <c r="E91" s="9">
        <f>IF(B91="*",1,SUMIFS('TRA RESID'!O:O,'TRA RESID'!J:J,B91,'TRA RESID'!H:H,C91))</f>
        <v>1</v>
      </c>
      <c r="H91" t="str">
        <f>IF(I91="","*",IF(SUMIFS('TRA RESID'!R:R,'TRA RESID'!J:J,'TRA RESID'!J86)=0,"*",'TRA RESID'!J86))</f>
        <v>TRAPASTBUICEVDSL19</v>
      </c>
      <c r="I91" t="str">
        <f>IF('TRA RESID'!H86="","",'TRA RESID'!H86)</f>
        <v>TRARDS</v>
      </c>
      <c r="J91" t="str">
        <f>"Share~LO~"&amp;'City characteristics'!$C$20</f>
        <v>Share~LO~2019</v>
      </c>
      <c r="K91" s="9">
        <f>IF(B91="*",0,SUMIFS('TRA RESID'!N:N,'TRA RESID'!J:J,B91,'TRA RESID'!H:H,C91))</f>
        <v>0</v>
      </c>
      <c r="N91" t="str">
        <f>IF(Def_Tech!B89="*","*",Def_Tech!C89)</f>
        <v>*</v>
      </c>
      <c r="O91" t="str">
        <f>Def_Tech!D89</f>
        <v>TRAPASTBUICEVDSL19</v>
      </c>
      <c r="P91" t="str">
        <f>_xlfn.XLOOKUP(O91,'TRA RESID'!J:J,'TRA RESID'!I:I)</f>
        <v>TRAPASTBUDMD</v>
      </c>
      <c r="Q91" s="13">
        <f>_xlfn.XLOOKUP(O91,'TRA RESID'!J:J,'TRA RESID'!S:S)</f>
        <v>6.9865785147262119E-2</v>
      </c>
      <c r="R91">
        <f>_xlfn.XLOOKUP(O91,'TRA RESID'!J:J,'TRA RESID'!X:X)</f>
        <v>1</v>
      </c>
      <c r="S91" s="9">
        <f>_xlfn.XLOOKUP(O91,'TRA RESID'!J:J,'TRA RESID'!W:W)</f>
        <v>1</v>
      </c>
      <c r="T91" s="16">
        <f>_xlfn.XLOOKUP(O91,'TRA RESID'!J:J,'TRA RESID'!T:T)</f>
        <v>10</v>
      </c>
      <c r="U91" s="8">
        <f>_xlfn.XLOOKUP(O91,'TRA RESID'!J:J,'TRA RESID'!U:U)</f>
        <v>8.7429766319069646</v>
      </c>
      <c r="V91" s="16">
        <f>SUMIFS('TRA RESID'!R:R,'TRA RESID'!J:J,O91)</f>
        <v>440.1397160684906</v>
      </c>
      <c r="W91" s="9">
        <f t="shared" si="2"/>
        <v>0.98</v>
      </c>
    </row>
    <row r="92" spans="2:23" x14ac:dyDescent="0.25">
      <c r="B92" t="str">
        <f>IF(C92="","*",IF(SUMIFS('TRA RESID'!R:R,'TRA RESID'!J:J,'TRA RESID'!J87)=0,"*",'TRA RESID'!J87))</f>
        <v>TRAPASTBUICEVDSL19</v>
      </c>
      <c r="C92" t="str">
        <f>IF('TRA RESID'!H87="","",'TRA RESID'!H87)</f>
        <v>TRABDS</v>
      </c>
      <c r="D92" t="s">
        <v>405</v>
      </c>
      <c r="E92" s="9">
        <f>IF(B92="*",1,SUMIFS('TRA RESID'!O:O,'TRA RESID'!J:J,B92,'TRA RESID'!H:H,C92))</f>
        <v>0.1</v>
      </c>
      <c r="H92" t="str">
        <f>IF(I92="","*",IF(SUMIFS('TRA RESID'!R:R,'TRA RESID'!J:J,'TRA RESID'!J87)=0,"*",'TRA RESID'!J87))</f>
        <v>TRAPASTBUICEVDSL19</v>
      </c>
      <c r="I92" t="str">
        <f>IF('TRA RESID'!H87="","",'TRA RESID'!H87)</f>
        <v>TRABDS</v>
      </c>
      <c r="J92" t="str">
        <f>"Share~LO~"&amp;'City characteristics'!$C$20</f>
        <v>Share~LO~2019</v>
      </c>
      <c r="K92" s="9">
        <f>IF(B92="*",0,SUMIFS('TRA RESID'!N:N,'TRA RESID'!J:J,B92,'TRA RESID'!H:H,C92))</f>
        <v>0</v>
      </c>
      <c r="N92" t="str">
        <f>IF(Def_Tech!B90="*","*",Def_Tech!C90)</f>
        <v>*</v>
      </c>
      <c r="O92" t="str">
        <f>Def_Tech!D90</f>
        <v>TRAPASTBUICEVDSL19</v>
      </c>
      <c r="P92" t="str">
        <f>_xlfn.XLOOKUP(O92,'TRA RESID'!J:J,'TRA RESID'!I:I)</f>
        <v>TRAPASTBUDMD</v>
      </c>
      <c r="Q92" s="13">
        <f>_xlfn.XLOOKUP(O92,'TRA RESID'!J:J,'TRA RESID'!S:S)</f>
        <v>6.9865785147262119E-2</v>
      </c>
      <c r="R92">
        <f>_xlfn.XLOOKUP(O92,'TRA RESID'!J:J,'TRA RESID'!X:X)</f>
        <v>1</v>
      </c>
      <c r="S92" s="9">
        <f>_xlfn.XLOOKUP(O92,'TRA RESID'!J:J,'TRA RESID'!W:W)</f>
        <v>1</v>
      </c>
      <c r="T92" s="16">
        <f>_xlfn.XLOOKUP(O92,'TRA RESID'!J:J,'TRA RESID'!T:T)</f>
        <v>10</v>
      </c>
      <c r="U92" s="8">
        <f>_xlfn.XLOOKUP(O92,'TRA RESID'!J:J,'TRA RESID'!U:U)</f>
        <v>8.7429766319069646</v>
      </c>
      <c r="V92" s="16">
        <f>SUMIFS('TRA RESID'!R:R,'TRA RESID'!J:J,O92)</f>
        <v>440.1397160684906</v>
      </c>
      <c r="W92" s="9">
        <f t="shared" si="2"/>
        <v>0.98</v>
      </c>
    </row>
    <row r="93" spans="2:23" x14ac:dyDescent="0.25">
      <c r="B93" t="str">
        <f>IF(C93="","*",IF(SUMIFS('TRA RESID'!R:R,'TRA RESID'!J:J,'TRA RESID'!J88)=0,"*",'TRA RESID'!J88))</f>
        <v>TRAPASTBUICEVCNG19</v>
      </c>
      <c r="C93" t="str">
        <f>IF('TRA RESID'!H88="","",'TRA RESID'!H88)</f>
        <v>TRACNG</v>
      </c>
      <c r="D93" t="s">
        <v>405</v>
      </c>
      <c r="E93" s="9">
        <f>IF(B93="*",1,SUMIFS('TRA RESID'!O:O,'TRA RESID'!J:J,B93,'TRA RESID'!H:H,C93))</f>
        <v>1</v>
      </c>
      <c r="H93" t="str">
        <f>IF(I93="","*",IF(SUMIFS('TRA RESID'!R:R,'TRA RESID'!J:J,'TRA RESID'!J88)=0,"*",'TRA RESID'!J88))</f>
        <v>TRAPASTBUICEVCNG19</v>
      </c>
      <c r="I93" t="str">
        <f>IF('TRA RESID'!H88="","",'TRA RESID'!H88)</f>
        <v>TRACNG</v>
      </c>
      <c r="J93" t="str">
        <f>"Share~LO~"&amp;'City characteristics'!$C$20</f>
        <v>Share~LO~2019</v>
      </c>
      <c r="K93" s="9">
        <f>IF(B93="*",0,SUMIFS('TRA RESID'!N:N,'TRA RESID'!J:J,B93,'TRA RESID'!H:H,C93))</f>
        <v>0</v>
      </c>
      <c r="N93" t="str">
        <f>IF(Def_Tech!B91="*","*",Def_Tech!C91)</f>
        <v>CITY</v>
      </c>
      <c r="O93" t="str">
        <f>Def_Tech!D91</f>
        <v>TRAPASTBUICEVCNG19</v>
      </c>
      <c r="P93" t="str">
        <f>_xlfn.XLOOKUP(O93,'TRA RESID'!J:J,'TRA RESID'!I:I)</f>
        <v>TRAPASTBUDMD</v>
      </c>
      <c r="Q93" s="13">
        <f>_xlfn.XLOOKUP(O93,'TRA RESID'!J:J,'TRA RESID'!S:S)</f>
        <v>5.4193139800103728E-2</v>
      </c>
      <c r="R93">
        <f>_xlfn.XLOOKUP(O93,'TRA RESID'!J:J,'TRA RESID'!X:X)</f>
        <v>1</v>
      </c>
      <c r="S93" s="9">
        <f>_xlfn.XLOOKUP(O93,'TRA RESID'!J:J,'TRA RESID'!W:W)</f>
        <v>1</v>
      </c>
      <c r="T93" s="16">
        <f>_xlfn.XLOOKUP(O93,'TRA RESID'!J:J,'TRA RESID'!T:T)</f>
        <v>10</v>
      </c>
      <c r="U93" s="8">
        <f>_xlfn.XLOOKUP(O93,'TRA RESID'!J:J,'TRA RESID'!U:U)</f>
        <v>8.7429766319069646</v>
      </c>
      <c r="V93" s="16">
        <f>SUMIFS('TRA RESID'!R:R,'TRA RESID'!J:J,O93)</f>
        <v>58.064469284849793</v>
      </c>
      <c r="W93" s="9">
        <f t="shared" si="2"/>
        <v>0.98</v>
      </c>
    </row>
    <row r="94" spans="2:23" x14ac:dyDescent="0.25">
      <c r="B94" t="str">
        <f>IF(C94="","*",IF(SUMIFS('TRA RESID'!R:R,'TRA RESID'!J:J,'TRA RESID'!J89)=0,"*",'TRA RESID'!J89))</f>
        <v>TRAPASTBUICEVCNG19</v>
      </c>
      <c r="C94" t="str">
        <f>IF('TRA RESID'!H89="","",'TRA RESID'!H89)</f>
        <v>TRARNG</v>
      </c>
      <c r="D94" t="s">
        <v>405</v>
      </c>
      <c r="E94" s="9">
        <f>IF(B94="*",1,SUMIFS('TRA RESID'!O:O,'TRA RESID'!J:J,B94,'TRA RESID'!H:H,C94))</f>
        <v>1</v>
      </c>
      <c r="H94" t="str">
        <f>IF(I94="","*",IF(SUMIFS('TRA RESID'!R:R,'TRA RESID'!J:J,'TRA RESID'!J89)=0,"*",'TRA RESID'!J89))</f>
        <v>TRAPASTBUICEVCNG19</v>
      </c>
      <c r="I94" t="str">
        <f>IF('TRA RESID'!H89="","",'TRA RESID'!H89)</f>
        <v>TRARNG</v>
      </c>
      <c r="J94" t="str">
        <f>"Share~LO~"&amp;'City characteristics'!$C$20</f>
        <v>Share~LO~2019</v>
      </c>
      <c r="K94" s="9">
        <f>IF(B94="*",0,SUMIFS('TRA RESID'!N:N,'TRA RESID'!J:J,B94,'TRA RESID'!H:H,C94))</f>
        <v>0</v>
      </c>
      <c r="N94" t="str">
        <f>IF(Def_Tech!B92="*","*",Def_Tech!C92)</f>
        <v>*</v>
      </c>
      <c r="O94" t="str">
        <f>Def_Tech!D92</f>
        <v>TRAPASTBUICEVCNG19</v>
      </c>
      <c r="P94" t="str">
        <f>_xlfn.XLOOKUP(O94,'TRA RESID'!J:J,'TRA RESID'!I:I)</f>
        <v>TRAPASTBUDMD</v>
      </c>
      <c r="Q94" s="13">
        <f>_xlfn.XLOOKUP(O94,'TRA RESID'!J:J,'TRA RESID'!S:S)</f>
        <v>5.4193139800103728E-2</v>
      </c>
      <c r="R94">
        <f>_xlfn.XLOOKUP(O94,'TRA RESID'!J:J,'TRA RESID'!X:X)</f>
        <v>1</v>
      </c>
      <c r="S94" s="9">
        <f>_xlfn.XLOOKUP(O94,'TRA RESID'!J:J,'TRA RESID'!W:W)</f>
        <v>1</v>
      </c>
      <c r="T94" s="16">
        <f>_xlfn.XLOOKUP(O94,'TRA RESID'!J:J,'TRA RESID'!T:T)</f>
        <v>10</v>
      </c>
      <c r="U94" s="8">
        <f>_xlfn.XLOOKUP(O94,'TRA RESID'!J:J,'TRA RESID'!U:U)</f>
        <v>8.7429766319069646</v>
      </c>
      <c r="V94" s="16">
        <f>SUMIFS('TRA RESID'!R:R,'TRA RESID'!J:J,O94)</f>
        <v>58.064469284849793</v>
      </c>
      <c r="W94" s="9">
        <f t="shared" si="2"/>
        <v>0.98</v>
      </c>
    </row>
    <row r="95" spans="2:23" x14ac:dyDescent="0.25">
      <c r="B95" t="str">
        <f>IF(C95="","*",IF(SUMIFS('TRA RESID'!R:R,'TRA RESID'!J:J,'TRA RESID'!J90)=0,"*",'TRA RESID'!J90))</f>
        <v>*</v>
      </c>
      <c r="C95" t="str">
        <f>IF('TRA RESID'!H90="","",'TRA RESID'!H90)</f>
        <v>TRABAF</v>
      </c>
      <c r="D95" t="s">
        <v>405</v>
      </c>
      <c r="E95" s="9">
        <f>IF(B95="*",1,SUMIFS('TRA RESID'!O:O,'TRA RESID'!J:J,B95,'TRA RESID'!H:H,C95))</f>
        <v>1</v>
      </c>
      <c r="H95" t="str">
        <f>IF(I95="","*",IF(SUMIFS('TRA RESID'!R:R,'TRA RESID'!J:J,'TRA RESID'!J90)=0,"*",'TRA RESID'!J90))</f>
        <v>*</v>
      </c>
      <c r="I95" t="str">
        <f>IF('TRA RESID'!H90="","",'TRA RESID'!H90)</f>
        <v>TRABAF</v>
      </c>
      <c r="J95" t="str">
        <f>"Share~LO~"&amp;'City characteristics'!$C$20</f>
        <v>Share~LO~2019</v>
      </c>
      <c r="K95" s="9">
        <f>IF(B95="*",0,SUMIFS('TRA RESID'!N:N,'TRA RESID'!J:J,B95,'TRA RESID'!H:H,C95))</f>
        <v>0</v>
      </c>
      <c r="N95" t="str">
        <f>IF(Def_Tech!B93="*","*",Def_Tech!C93)</f>
        <v>*</v>
      </c>
      <c r="O95" t="str">
        <f>Def_Tech!D93</f>
        <v>TRAPASTBUBEV19</v>
      </c>
      <c r="P95" t="str">
        <f>_xlfn.XLOOKUP(O95,'TRA RESID'!J:J,'TRA RESID'!I:I)</f>
        <v>TRAPASTBUDMD</v>
      </c>
      <c r="Q95" s="13">
        <f>_xlfn.XLOOKUP(O95,'TRA RESID'!J:J,'TRA RESID'!S:S)</f>
        <v>0.21507770694487269</v>
      </c>
      <c r="R95">
        <f>_xlfn.XLOOKUP(O95,'TRA RESID'!J:J,'TRA RESID'!X:X)</f>
        <v>1</v>
      </c>
      <c r="S95" s="9">
        <f>_xlfn.XLOOKUP(O95,'TRA RESID'!J:J,'TRA RESID'!W:W)</f>
        <v>1</v>
      </c>
      <c r="T95" s="16">
        <f>_xlfn.XLOOKUP(O95,'TRA RESID'!J:J,'TRA RESID'!T:T)</f>
        <v>10</v>
      </c>
      <c r="U95" s="8">
        <f>_xlfn.XLOOKUP(O95,'TRA RESID'!J:J,'TRA RESID'!U:U)</f>
        <v>8.7429766319069646</v>
      </c>
      <c r="V95" s="16">
        <f>SUMIFS('TRA RESID'!R:R,'TRA RESID'!J:J,O95)</f>
        <v>0</v>
      </c>
      <c r="W95" s="9">
        <f t="shared" si="2"/>
        <v>0.98</v>
      </c>
    </row>
    <row r="96" spans="2:23" x14ac:dyDescent="0.25">
      <c r="B96" t="str">
        <f>IF(C96="","*",IF(SUMIFS('TRA RESID'!R:R,'TRA RESID'!J:J,'TRA RESID'!J91)=0,"*",'TRA RESID'!J91))</f>
        <v>*</v>
      </c>
      <c r="C96" t="str">
        <f>IF('TRA RESID'!H91="","",'TRA RESID'!H91)</f>
        <v>TRAH2G</v>
      </c>
      <c r="D96" t="s">
        <v>405</v>
      </c>
      <c r="E96" s="9">
        <f>IF(B96="*",1,SUMIFS('TRA RESID'!O:O,'TRA RESID'!J:J,B96,'TRA RESID'!H:H,C96))</f>
        <v>1</v>
      </c>
      <c r="H96" t="str">
        <f>IF(I96="","*",IF(SUMIFS('TRA RESID'!R:R,'TRA RESID'!J:J,'TRA RESID'!J91)=0,"*",'TRA RESID'!J91))</f>
        <v>*</v>
      </c>
      <c r="I96" t="str">
        <f>IF('TRA RESID'!H91="","",'TRA RESID'!H91)</f>
        <v>TRAH2G</v>
      </c>
      <c r="J96" t="str">
        <f>"Share~LO~"&amp;'City characteristics'!$C$20</f>
        <v>Share~LO~2019</v>
      </c>
      <c r="K96" s="9">
        <f>IF(B96="*",0,SUMIFS('TRA RESID'!N:N,'TRA RESID'!J:J,B96,'TRA RESID'!H:H,C96))</f>
        <v>0</v>
      </c>
      <c r="N96" t="str">
        <f>IF(Def_Tech!B94="*","*",Def_Tech!C94)</f>
        <v>*</v>
      </c>
      <c r="O96" t="str">
        <f>Def_Tech!D94</f>
        <v>TRAPASTBUFCEV19</v>
      </c>
      <c r="P96" t="str">
        <f>_xlfn.XLOOKUP(O96,'TRA RESID'!J:J,'TRA RESID'!I:I)</f>
        <v>TRAPASTBUDMD</v>
      </c>
      <c r="Q96" s="13">
        <f>_xlfn.XLOOKUP(O96,'TRA RESID'!J:J,'TRA RESID'!S:S)</f>
        <v>0.21507770694487269</v>
      </c>
      <c r="R96">
        <f>_xlfn.XLOOKUP(O96,'TRA RESID'!J:J,'TRA RESID'!X:X)</f>
        <v>1</v>
      </c>
      <c r="S96" s="9">
        <f>_xlfn.XLOOKUP(O96,'TRA RESID'!J:J,'TRA RESID'!W:W)</f>
        <v>1</v>
      </c>
      <c r="T96" s="16">
        <f>_xlfn.XLOOKUP(O96,'TRA RESID'!J:J,'TRA RESID'!T:T)</f>
        <v>10</v>
      </c>
      <c r="U96" s="8">
        <f>_xlfn.XLOOKUP(O96,'TRA RESID'!J:J,'TRA RESID'!U:U)</f>
        <v>8.7429766319069646</v>
      </c>
      <c r="V96" s="16">
        <f>SUMIFS('TRA RESID'!R:R,'TRA RESID'!J:J,O96)</f>
        <v>0</v>
      </c>
      <c r="W96" s="9">
        <f t="shared" si="2"/>
        <v>0.98</v>
      </c>
    </row>
    <row r="97" spans="2:23" x14ac:dyDescent="0.25">
      <c r="B97" t="str">
        <f>IF(C97="","*",IF(SUMIFS('TRA RESID'!R:R,'TRA RESID'!J:J,'TRA RESID'!J92)=0,"*",'TRA RESID'!J92))</f>
        <v>TRAPASSBUICEVGSL19</v>
      </c>
      <c r="C97" t="str">
        <f>IF('TRA RESID'!H92="","",'TRA RESID'!H92)</f>
        <v>TRAGSL</v>
      </c>
      <c r="D97" t="s">
        <v>405</v>
      </c>
      <c r="E97" s="9">
        <f>IF(B97="*",1,SUMIFS('TRA RESID'!O:O,'TRA RESID'!J:J,B97,'TRA RESID'!H:H,C97))</f>
        <v>1</v>
      </c>
      <c r="H97" t="str">
        <f>IF(I97="","*",IF(SUMIFS('TRA RESID'!R:R,'TRA RESID'!J:J,'TRA RESID'!J92)=0,"*",'TRA RESID'!J92))</f>
        <v>TRAPASSBUICEVGSL19</v>
      </c>
      <c r="I97" t="str">
        <f>IF('TRA RESID'!H92="","",'TRA RESID'!H92)</f>
        <v>TRAGSL</v>
      </c>
      <c r="J97" t="str">
        <f>"Share~LO~"&amp;'City characteristics'!$C$20</f>
        <v>Share~LO~2019</v>
      </c>
      <c r="K97" s="9">
        <f>IF(B97="*",0,SUMIFS('TRA RESID'!N:N,'TRA RESID'!J:J,B97,'TRA RESID'!H:H,C97))</f>
        <v>0.9</v>
      </c>
      <c r="N97" t="str">
        <f>IF(Def_Tech!B95="*","*",Def_Tech!C95)</f>
        <v>CITY</v>
      </c>
      <c r="O97" t="str">
        <f>Def_Tech!D95</f>
        <v>TRAPASSBUICEVGSL19</v>
      </c>
      <c r="P97" t="str">
        <f>_xlfn.XLOOKUP(O97,'TRA RESID'!J:J,'TRA RESID'!I:I)</f>
        <v>TRAPASSBUDMD</v>
      </c>
      <c r="Q97" s="13">
        <f>_xlfn.XLOOKUP(O97,'TRA RESID'!J:J,'TRA RESID'!S:S)</f>
        <v>8.535979398517031E-2</v>
      </c>
      <c r="R97">
        <f>_xlfn.XLOOKUP(O97,'TRA RESID'!J:J,'TRA RESID'!X:X)</f>
        <v>1</v>
      </c>
      <c r="S97" s="9">
        <f>_xlfn.XLOOKUP(O97,'TRA RESID'!J:J,'TRA RESID'!W:W)</f>
        <v>1</v>
      </c>
      <c r="T97" s="16">
        <f>_xlfn.XLOOKUP(O97,'TRA RESID'!J:J,'TRA RESID'!T:T)</f>
        <v>17</v>
      </c>
      <c r="U97" s="8">
        <f>_xlfn.XLOOKUP(O97,'TRA RESID'!J:J,'TRA RESID'!U:U)</f>
        <v>5.0359545399784116</v>
      </c>
      <c r="V97" s="16">
        <f>SUMIFS('TRA RESID'!R:R,'TRA RESID'!J:J,O97)</f>
        <v>25.747857464883161</v>
      </c>
      <c r="W97" s="9">
        <f t="shared" si="2"/>
        <v>0.98</v>
      </c>
    </row>
    <row r="98" spans="2:23" x14ac:dyDescent="0.25">
      <c r="B98" t="str">
        <f>IF(C98="","*",IF(SUMIFS('TRA RESID'!R:R,'TRA RESID'!J:J,'TRA RESID'!J93)=0,"*",'TRA RESID'!J93))</f>
        <v>TRAPASSBUICEVGSL19</v>
      </c>
      <c r="C98" t="str">
        <f>IF('TRA RESID'!H93="","",'TRA RESID'!H93)</f>
        <v>TRAETH</v>
      </c>
      <c r="D98" t="s">
        <v>405</v>
      </c>
      <c r="E98" s="9">
        <f>IF(B98="*",1,SUMIFS('TRA RESID'!O:O,'TRA RESID'!J:J,B98,'TRA RESID'!H:H,C98))</f>
        <v>0.1</v>
      </c>
      <c r="H98" t="str">
        <f>IF(I98="","*",IF(SUMIFS('TRA RESID'!R:R,'TRA RESID'!J:J,'TRA RESID'!J93)=0,"*",'TRA RESID'!J93))</f>
        <v>TRAPASSBUICEVGSL19</v>
      </c>
      <c r="I98" t="str">
        <f>IF('TRA RESID'!H93="","",'TRA RESID'!H93)</f>
        <v>TRAETH</v>
      </c>
      <c r="J98" t="str">
        <f>"Share~LO~"&amp;'City characteristics'!$C$20</f>
        <v>Share~LO~2019</v>
      </c>
      <c r="K98" s="9">
        <f>IF(B98="*",0,SUMIFS('TRA RESID'!N:N,'TRA RESID'!J:J,B98,'TRA RESID'!H:H,C98))</f>
        <v>0</v>
      </c>
      <c r="N98" t="str">
        <f>IF(Def_Tech!B96="*","*",Def_Tech!C96)</f>
        <v>*</v>
      </c>
      <c r="O98" t="str">
        <f>Def_Tech!D96</f>
        <v>TRAPASSBUICEVGSL19</v>
      </c>
      <c r="P98" t="str">
        <f>_xlfn.XLOOKUP(O98,'TRA RESID'!J:J,'TRA RESID'!I:I)</f>
        <v>TRAPASSBUDMD</v>
      </c>
      <c r="Q98" s="13">
        <f>_xlfn.XLOOKUP(O98,'TRA RESID'!J:J,'TRA RESID'!S:S)</f>
        <v>8.535979398517031E-2</v>
      </c>
      <c r="R98">
        <f>_xlfn.XLOOKUP(O98,'TRA RESID'!J:J,'TRA RESID'!X:X)</f>
        <v>1</v>
      </c>
      <c r="S98" s="9">
        <f>_xlfn.XLOOKUP(O98,'TRA RESID'!J:J,'TRA RESID'!W:W)</f>
        <v>1</v>
      </c>
      <c r="T98" s="16">
        <f>_xlfn.XLOOKUP(O98,'TRA RESID'!J:J,'TRA RESID'!T:T)</f>
        <v>17</v>
      </c>
      <c r="U98" s="8">
        <f>_xlfn.XLOOKUP(O98,'TRA RESID'!J:J,'TRA RESID'!U:U)</f>
        <v>5.0359545399784116</v>
      </c>
      <c r="V98" s="16">
        <f>SUMIFS('TRA RESID'!R:R,'TRA RESID'!J:J,O98)</f>
        <v>25.747857464883161</v>
      </c>
      <c r="W98" s="9">
        <f t="shared" si="2"/>
        <v>0.98</v>
      </c>
    </row>
    <row r="99" spans="2:23" x14ac:dyDescent="0.25">
      <c r="B99" t="str">
        <f>IF(C99="","*",IF(SUMIFS('TRA RESID'!R:R,'TRA RESID'!J:J,'TRA RESID'!J94)=0,"*",'TRA RESID'!J94))</f>
        <v>TRAPASSBUICEVDSL19</v>
      </c>
      <c r="C99" t="str">
        <f>IF('TRA RESID'!H94="","",'TRA RESID'!H94)</f>
        <v>TRADSL</v>
      </c>
      <c r="D99" t="s">
        <v>405</v>
      </c>
      <c r="E99" s="9">
        <f>IF(B99="*",1,SUMIFS('TRA RESID'!O:O,'TRA RESID'!J:J,B99,'TRA RESID'!H:H,C99))</f>
        <v>1</v>
      </c>
      <c r="H99" t="str">
        <f>IF(I99="","*",IF(SUMIFS('TRA RESID'!R:R,'TRA RESID'!J:J,'TRA RESID'!J94)=0,"*",'TRA RESID'!J94))</f>
        <v>TRAPASSBUICEVDSL19</v>
      </c>
      <c r="I99" t="str">
        <f>IF('TRA RESID'!H94="","",'TRA RESID'!H94)</f>
        <v>TRADSL</v>
      </c>
      <c r="J99" t="str">
        <f>"Share~LO~"&amp;'City characteristics'!$C$20</f>
        <v>Share~LO~2019</v>
      </c>
      <c r="K99" s="9">
        <f>IF(B99="*",0,SUMIFS('TRA RESID'!N:N,'TRA RESID'!J:J,B99,'TRA RESID'!H:H,C99))</f>
        <v>0</v>
      </c>
      <c r="N99" t="str">
        <f>IF(Def_Tech!B97="*","*",Def_Tech!C97)</f>
        <v>CITY</v>
      </c>
      <c r="O99" t="str">
        <f>Def_Tech!D97</f>
        <v>TRAPASSBUICEVDSL19</v>
      </c>
      <c r="P99" t="str">
        <f>_xlfn.XLOOKUP(O99,'TRA RESID'!J:J,'TRA RESID'!I:I)</f>
        <v>TRAPASSBUDMD</v>
      </c>
      <c r="Q99" s="13">
        <f>_xlfn.XLOOKUP(O99,'TRA RESID'!J:J,'TRA RESID'!S:S)</f>
        <v>8.8856464256259107E-2</v>
      </c>
      <c r="R99">
        <f>_xlfn.XLOOKUP(O99,'TRA RESID'!J:J,'TRA RESID'!X:X)</f>
        <v>1</v>
      </c>
      <c r="S99" s="9">
        <f>_xlfn.XLOOKUP(O99,'TRA RESID'!J:J,'TRA RESID'!W:W)</f>
        <v>1</v>
      </c>
      <c r="T99" s="16">
        <f>_xlfn.XLOOKUP(O99,'TRA RESID'!J:J,'TRA RESID'!T:T)</f>
        <v>17</v>
      </c>
      <c r="U99" s="8">
        <f>_xlfn.XLOOKUP(O99,'TRA RESID'!J:J,'TRA RESID'!U:U)</f>
        <v>5.0359545399784116</v>
      </c>
      <c r="V99" s="16">
        <f>SUMIFS('TRA RESID'!R:R,'TRA RESID'!J:J,O99)</f>
        <v>60.305359877836509</v>
      </c>
      <c r="W99" s="9">
        <f t="shared" si="2"/>
        <v>0.98</v>
      </c>
    </row>
    <row r="100" spans="2:23" x14ac:dyDescent="0.25">
      <c r="B100" t="str">
        <f>IF(C100="","*",IF(SUMIFS('TRA RESID'!R:R,'TRA RESID'!J:J,'TRA RESID'!J95)=0,"*",'TRA RESID'!J95))</f>
        <v>TRAPASSBUICEVDSL19</v>
      </c>
      <c r="C100" t="str">
        <f>IF('TRA RESID'!H95="","",'TRA RESID'!H95)</f>
        <v>TRARDS</v>
      </c>
      <c r="D100" t="s">
        <v>405</v>
      </c>
      <c r="E100" s="9">
        <f>IF(B100="*",1,SUMIFS('TRA RESID'!O:O,'TRA RESID'!J:J,B100,'TRA RESID'!H:H,C100))</f>
        <v>1</v>
      </c>
      <c r="H100" t="str">
        <f>IF(I100="","*",IF(SUMIFS('TRA RESID'!R:R,'TRA RESID'!J:J,'TRA RESID'!J95)=0,"*",'TRA RESID'!J95))</f>
        <v>TRAPASSBUICEVDSL19</v>
      </c>
      <c r="I100" t="str">
        <f>IF('TRA RESID'!H95="","",'TRA RESID'!H95)</f>
        <v>TRARDS</v>
      </c>
      <c r="J100" t="str">
        <f>"Share~LO~"&amp;'City characteristics'!$C$20</f>
        <v>Share~LO~2019</v>
      </c>
      <c r="K100" s="9">
        <f>IF(B100="*",0,SUMIFS('TRA RESID'!N:N,'TRA RESID'!J:J,B100,'TRA RESID'!H:H,C100))</f>
        <v>0</v>
      </c>
      <c r="N100" t="str">
        <f>IF(Def_Tech!B98="*","*",Def_Tech!C98)</f>
        <v>*</v>
      </c>
      <c r="O100" t="str">
        <f>Def_Tech!D98</f>
        <v>TRAPASSBUICEVDSL19</v>
      </c>
      <c r="P100" t="str">
        <f>_xlfn.XLOOKUP(O100,'TRA RESID'!J:J,'TRA RESID'!I:I)</f>
        <v>TRAPASSBUDMD</v>
      </c>
      <c r="Q100" s="13">
        <f>_xlfn.XLOOKUP(O100,'TRA RESID'!J:J,'TRA RESID'!S:S)</f>
        <v>8.8856464256259107E-2</v>
      </c>
      <c r="R100">
        <f>_xlfn.XLOOKUP(O100,'TRA RESID'!J:J,'TRA RESID'!X:X)</f>
        <v>1</v>
      </c>
      <c r="S100" s="9">
        <f>_xlfn.XLOOKUP(O100,'TRA RESID'!J:J,'TRA RESID'!W:W)</f>
        <v>1</v>
      </c>
      <c r="T100" s="16">
        <f>_xlfn.XLOOKUP(O100,'TRA RESID'!J:J,'TRA RESID'!T:T)</f>
        <v>17</v>
      </c>
      <c r="U100" s="8">
        <f>_xlfn.XLOOKUP(O100,'TRA RESID'!J:J,'TRA RESID'!U:U)</f>
        <v>5.0359545399784116</v>
      </c>
      <c r="V100" s="16">
        <f>SUMIFS('TRA RESID'!R:R,'TRA RESID'!J:J,O100)</f>
        <v>60.305359877836509</v>
      </c>
      <c r="W100" s="9">
        <f t="shared" si="2"/>
        <v>0.98</v>
      </c>
    </row>
    <row r="101" spans="2:23" x14ac:dyDescent="0.25">
      <c r="B101" t="str">
        <f>IF(C101="","*",IF(SUMIFS('TRA RESID'!R:R,'TRA RESID'!J:J,'TRA RESID'!J96)=0,"*",'TRA RESID'!J96))</f>
        <v>TRAPASSBUICEVDSL19</v>
      </c>
      <c r="C101" t="str">
        <f>IF('TRA RESID'!H96="","",'TRA RESID'!H96)</f>
        <v>TRABDS</v>
      </c>
      <c r="D101" t="s">
        <v>405</v>
      </c>
      <c r="E101" s="9">
        <f>IF(B101="*",1,SUMIFS('TRA RESID'!O:O,'TRA RESID'!J:J,B101,'TRA RESID'!H:H,C101))</f>
        <v>0.1</v>
      </c>
      <c r="H101" t="str">
        <f>IF(I101="","*",IF(SUMIFS('TRA RESID'!R:R,'TRA RESID'!J:J,'TRA RESID'!J96)=0,"*",'TRA RESID'!J96))</f>
        <v>TRAPASSBUICEVDSL19</v>
      </c>
      <c r="I101" t="str">
        <f>IF('TRA RESID'!H96="","",'TRA RESID'!H96)</f>
        <v>TRABDS</v>
      </c>
      <c r="J101" t="str">
        <f>"Share~LO~"&amp;'City characteristics'!$C$20</f>
        <v>Share~LO~2019</v>
      </c>
      <c r="K101" s="9">
        <f>IF(B101="*",0,SUMIFS('TRA RESID'!N:N,'TRA RESID'!J:J,B101,'TRA RESID'!H:H,C101))</f>
        <v>0</v>
      </c>
      <c r="N101" t="str">
        <f>IF(Def_Tech!B99="*","*",Def_Tech!C99)</f>
        <v>*</v>
      </c>
      <c r="O101" t="str">
        <f>Def_Tech!D99</f>
        <v>TRAPASSBUICEVDSL19</v>
      </c>
      <c r="P101" t="str">
        <f>_xlfn.XLOOKUP(O101,'TRA RESID'!J:J,'TRA RESID'!I:I)</f>
        <v>TRAPASSBUDMD</v>
      </c>
      <c r="Q101" s="13">
        <f>_xlfn.XLOOKUP(O101,'TRA RESID'!J:J,'TRA RESID'!S:S)</f>
        <v>8.8856464256259107E-2</v>
      </c>
      <c r="R101">
        <f>_xlfn.XLOOKUP(O101,'TRA RESID'!J:J,'TRA RESID'!X:X)</f>
        <v>1</v>
      </c>
      <c r="S101" s="9">
        <f>_xlfn.XLOOKUP(O101,'TRA RESID'!J:J,'TRA RESID'!W:W)</f>
        <v>1</v>
      </c>
      <c r="T101" s="16">
        <f>_xlfn.XLOOKUP(O101,'TRA RESID'!J:J,'TRA RESID'!T:T)</f>
        <v>17</v>
      </c>
      <c r="U101" s="8">
        <f>_xlfn.XLOOKUP(O101,'TRA RESID'!J:J,'TRA RESID'!U:U)</f>
        <v>5.0359545399784116</v>
      </c>
      <c r="V101" s="16">
        <f>SUMIFS('TRA RESID'!R:R,'TRA RESID'!J:J,O101)</f>
        <v>60.305359877836509</v>
      </c>
      <c r="W101" s="9">
        <f t="shared" si="2"/>
        <v>0.98</v>
      </c>
    </row>
    <row r="102" spans="2:23" x14ac:dyDescent="0.25">
      <c r="B102" t="str">
        <f>IF(C102="","*",IF(SUMIFS('TRA RESID'!R:R,'TRA RESID'!J:J,'TRA RESID'!J97)=0,"*",'TRA RESID'!J97))</f>
        <v>*</v>
      </c>
      <c r="C102" t="str">
        <f>IF('TRA RESID'!H97="","",'TRA RESID'!H97)</f>
        <v>TRACNG</v>
      </c>
      <c r="D102" t="s">
        <v>405</v>
      </c>
      <c r="E102" s="9">
        <f>IF(B102="*",1,SUMIFS('TRA RESID'!O:O,'TRA RESID'!J:J,B102,'TRA RESID'!H:H,C102))</f>
        <v>1</v>
      </c>
      <c r="H102" t="str">
        <f>IF(I102="","*",IF(SUMIFS('TRA RESID'!R:R,'TRA RESID'!J:J,'TRA RESID'!J97)=0,"*",'TRA RESID'!J97))</f>
        <v>*</v>
      </c>
      <c r="I102" t="str">
        <f>IF('TRA RESID'!H97="","",'TRA RESID'!H97)</f>
        <v>TRACNG</v>
      </c>
      <c r="J102" t="str">
        <f>"Share~LO~"&amp;'City characteristics'!$C$20</f>
        <v>Share~LO~2019</v>
      </c>
      <c r="K102" s="9">
        <f>IF(B102="*",0,SUMIFS('TRA RESID'!N:N,'TRA RESID'!J:J,B102,'TRA RESID'!H:H,C102))</f>
        <v>0</v>
      </c>
      <c r="N102" t="str">
        <f>IF(Def_Tech!B100="*","*",Def_Tech!C100)</f>
        <v>*</v>
      </c>
      <c r="O102" t="str">
        <f>Def_Tech!D100</f>
        <v>TRAPASSBUICEVCNG19</v>
      </c>
      <c r="P102" t="str">
        <f>_xlfn.XLOOKUP(O102,'TRA RESID'!J:J,'TRA RESID'!I:I)</f>
        <v>TRAPASSBUDMD</v>
      </c>
      <c r="Q102" s="13">
        <f>_xlfn.XLOOKUP(O102,'TRA RESID'!J:J,'TRA RESID'!S:S)</f>
        <v>6.1385733879640317E-2</v>
      </c>
      <c r="R102">
        <f>_xlfn.XLOOKUP(O102,'TRA RESID'!J:J,'TRA RESID'!X:X)</f>
        <v>1</v>
      </c>
      <c r="S102" s="9">
        <f>_xlfn.XLOOKUP(O102,'TRA RESID'!J:J,'TRA RESID'!W:W)</f>
        <v>1</v>
      </c>
      <c r="T102" s="16">
        <f>_xlfn.XLOOKUP(O102,'TRA RESID'!J:J,'TRA RESID'!T:T)</f>
        <v>17</v>
      </c>
      <c r="U102" s="8">
        <f>_xlfn.XLOOKUP(O102,'TRA RESID'!J:J,'TRA RESID'!U:U)</f>
        <v>5.0359545399784116</v>
      </c>
      <c r="V102" s="16">
        <f>SUMIFS('TRA RESID'!R:R,'TRA RESID'!J:J,O102)</f>
        <v>0</v>
      </c>
      <c r="W102" s="9">
        <f t="shared" si="2"/>
        <v>0.98</v>
      </c>
    </row>
    <row r="103" spans="2:23" x14ac:dyDescent="0.25">
      <c r="B103" t="str">
        <f>IF(C103="","*",IF(SUMIFS('TRA RESID'!R:R,'TRA RESID'!J:J,'TRA RESID'!J98)=0,"*",'TRA RESID'!J98))</f>
        <v>*</v>
      </c>
      <c r="C103" t="str">
        <f>IF('TRA RESID'!H98="","",'TRA RESID'!H98)</f>
        <v>TRARNG</v>
      </c>
      <c r="D103" t="s">
        <v>405</v>
      </c>
      <c r="E103" s="9">
        <f>IF(B103="*",1,SUMIFS('TRA RESID'!O:O,'TRA RESID'!J:J,B103,'TRA RESID'!H:H,C103))</f>
        <v>1</v>
      </c>
      <c r="H103" t="str">
        <f>IF(I103="","*",IF(SUMIFS('TRA RESID'!R:R,'TRA RESID'!J:J,'TRA RESID'!J98)=0,"*",'TRA RESID'!J98))</f>
        <v>*</v>
      </c>
      <c r="I103" t="str">
        <f>IF('TRA RESID'!H98="","",'TRA RESID'!H98)</f>
        <v>TRARNG</v>
      </c>
      <c r="J103" t="str">
        <f>"Share~LO~"&amp;'City characteristics'!$C$20</f>
        <v>Share~LO~2019</v>
      </c>
      <c r="K103" s="9">
        <f>IF(B103="*",0,SUMIFS('TRA RESID'!N:N,'TRA RESID'!J:J,B103,'TRA RESID'!H:H,C103))</f>
        <v>0</v>
      </c>
      <c r="N103" t="str">
        <f>IF(Def_Tech!B101="*","*",Def_Tech!C101)</f>
        <v>*</v>
      </c>
      <c r="O103" t="str">
        <f>Def_Tech!D101</f>
        <v>TRAPASSBUICEVCNG19</v>
      </c>
      <c r="P103" t="str">
        <f>_xlfn.XLOOKUP(O103,'TRA RESID'!J:J,'TRA RESID'!I:I)</f>
        <v>TRAPASSBUDMD</v>
      </c>
      <c r="Q103" s="13">
        <f>_xlfn.XLOOKUP(O103,'TRA RESID'!J:J,'TRA RESID'!S:S)</f>
        <v>6.1385733879640317E-2</v>
      </c>
      <c r="R103">
        <f>_xlfn.XLOOKUP(O103,'TRA RESID'!J:J,'TRA RESID'!X:X)</f>
        <v>1</v>
      </c>
      <c r="S103" s="9">
        <f>_xlfn.XLOOKUP(O103,'TRA RESID'!J:J,'TRA RESID'!W:W)</f>
        <v>1</v>
      </c>
      <c r="T103" s="16">
        <f>_xlfn.XLOOKUP(O103,'TRA RESID'!J:J,'TRA RESID'!T:T)</f>
        <v>17</v>
      </c>
      <c r="U103" s="8">
        <f>_xlfn.XLOOKUP(O103,'TRA RESID'!J:J,'TRA RESID'!U:U)</f>
        <v>5.0359545399784116</v>
      </c>
      <c r="V103" s="16">
        <f>SUMIFS('TRA RESID'!R:R,'TRA RESID'!J:J,O103)</f>
        <v>0</v>
      </c>
      <c r="W103" s="9">
        <f t="shared" ref="W103:W134" si="3">S103*W$1</f>
        <v>0.98</v>
      </c>
    </row>
    <row r="104" spans="2:23" x14ac:dyDescent="0.25">
      <c r="B104" t="str">
        <f>IF(C104="","*",IF(SUMIFS('TRA RESID'!R:R,'TRA RESID'!J:J,'TRA RESID'!J99)=0,"*",'TRA RESID'!J99))</f>
        <v>*</v>
      </c>
      <c r="C104" t="str">
        <f>IF('TRA RESID'!H99="","",'TRA RESID'!H99)</f>
        <v>TRABAF</v>
      </c>
      <c r="D104" t="s">
        <v>405</v>
      </c>
      <c r="E104" s="9">
        <f>IF(B104="*",1,SUMIFS('TRA RESID'!O:O,'TRA RESID'!J:J,B104,'TRA RESID'!H:H,C104))</f>
        <v>1</v>
      </c>
      <c r="H104" t="str">
        <f>IF(I104="","*",IF(SUMIFS('TRA RESID'!R:R,'TRA RESID'!J:J,'TRA RESID'!J99)=0,"*",'TRA RESID'!J99))</f>
        <v>*</v>
      </c>
      <c r="I104" t="str">
        <f>IF('TRA RESID'!H99="","",'TRA RESID'!H99)</f>
        <v>TRABAF</v>
      </c>
      <c r="J104" t="str">
        <f>"Share~LO~"&amp;'City characteristics'!$C$20</f>
        <v>Share~LO~2019</v>
      </c>
      <c r="K104" s="9">
        <f>IF(B104="*",0,SUMIFS('TRA RESID'!N:N,'TRA RESID'!J:J,B104,'TRA RESID'!H:H,C104))</f>
        <v>0</v>
      </c>
      <c r="N104" t="str">
        <f>IF(Def_Tech!B102="*","*",Def_Tech!C102)</f>
        <v>*</v>
      </c>
      <c r="O104" t="str">
        <f>Def_Tech!D102</f>
        <v>TRAPASSBUBEV19</v>
      </c>
      <c r="P104" t="str">
        <f>_xlfn.XLOOKUP(O104,'TRA RESID'!J:J,'TRA RESID'!I:I)</f>
        <v>TRAPASSBUDMD</v>
      </c>
      <c r="Q104" s="13">
        <f>_xlfn.XLOOKUP(O104,'TRA RESID'!J:J,'TRA RESID'!S:S)</f>
        <v>0.21507770694487269</v>
      </c>
      <c r="R104">
        <f>_xlfn.XLOOKUP(O104,'TRA RESID'!J:J,'TRA RESID'!X:X)</f>
        <v>1</v>
      </c>
      <c r="S104" s="9">
        <f>_xlfn.XLOOKUP(O104,'TRA RESID'!J:J,'TRA RESID'!W:W)</f>
        <v>1</v>
      </c>
      <c r="T104" s="16">
        <f>_xlfn.XLOOKUP(O104,'TRA RESID'!J:J,'TRA RESID'!T:T)</f>
        <v>17</v>
      </c>
      <c r="U104" s="8">
        <f>_xlfn.XLOOKUP(O104,'TRA RESID'!J:J,'TRA RESID'!U:U)</f>
        <v>5.0359545399784116</v>
      </c>
      <c r="V104" s="16">
        <f>SUMIFS('TRA RESID'!R:R,'TRA RESID'!J:J,O104)</f>
        <v>0</v>
      </c>
      <c r="W104" s="9">
        <f t="shared" si="3"/>
        <v>0.98</v>
      </c>
    </row>
    <row r="105" spans="2:23" x14ac:dyDescent="0.25">
      <c r="B105" t="str">
        <f>IF(C105="","*",IF(SUMIFS('TRA RESID'!R:R,'TRA RESID'!J:J,'TRA RESID'!J100)=0,"*",'TRA RESID'!J100))</f>
        <v>*</v>
      </c>
      <c r="C105" t="str">
        <f>IF('TRA RESID'!H100="","",'TRA RESID'!H100)</f>
        <v>TRAH2G</v>
      </c>
      <c r="D105" t="s">
        <v>405</v>
      </c>
      <c r="E105" s="9">
        <f>IF(B105="*",1,SUMIFS('TRA RESID'!O:O,'TRA RESID'!J:J,B105,'TRA RESID'!H:H,C105))</f>
        <v>1</v>
      </c>
      <c r="H105" t="str">
        <f>IF(I105="","*",IF(SUMIFS('TRA RESID'!R:R,'TRA RESID'!J:J,'TRA RESID'!J100)=0,"*",'TRA RESID'!J100))</f>
        <v>*</v>
      </c>
      <c r="I105" t="str">
        <f>IF('TRA RESID'!H100="","",'TRA RESID'!H100)</f>
        <v>TRAH2G</v>
      </c>
      <c r="J105" t="str">
        <f>"Share~LO~"&amp;'City characteristics'!$C$20</f>
        <v>Share~LO~2019</v>
      </c>
      <c r="K105" s="9">
        <f>IF(B105="*",0,SUMIFS('TRA RESID'!N:N,'TRA RESID'!J:J,B105,'TRA RESID'!H:H,C105))</f>
        <v>0</v>
      </c>
      <c r="N105" t="str">
        <f>IF(Def_Tech!B103="*","*",Def_Tech!C103)</f>
        <v>*</v>
      </c>
      <c r="O105" t="str">
        <f>Def_Tech!D103</f>
        <v>TRAPASSBUFCEV19</v>
      </c>
      <c r="P105" t="str">
        <f>_xlfn.XLOOKUP(O105,'TRA RESID'!J:J,'TRA RESID'!I:I)</f>
        <v>TRAPASSBUDMD</v>
      </c>
      <c r="Q105" s="13">
        <f>_xlfn.XLOOKUP(O105,'TRA RESID'!J:J,'TRA RESID'!S:S)</f>
        <v>0.21507770694487269</v>
      </c>
      <c r="R105">
        <f>_xlfn.XLOOKUP(O105,'TRA RESID'!J:J,'TRA RESID'!X:X)</f>
        <v>1</v>
      </c>
      <c r="S105" s="9">
        <f>_xlfn.XLOOKUP(O105,'TRA RESID'!J:J,'TRA RESID'!W:W)</f>
        <v>1</v>
      </c>
      <c r="T105" s="16">
        <f>_xlfn.XLOOKUP(O105,'TRA RESID'!J:J,'TRA RESID'!T:T)</f>
        <v>17</v>
      </c>
      <c r="U105" s="8">
        <f>_xlfn.XLOOKUP(O105,'TRA RESID'!J:J,'TRA RESID'!U:U)</f>
        <v>5.0359545399784116</v>
      </c>
      <c r="V105" s="16">
        <f>SUMIFS('TRA RESID'!R:R,'TRA RESID'!J:J,O105)</f>
        <v>0</v>
      </c>
      <c r="W105" s="9">
        <f t="shared" si="3"/>
        <v>0.98</v>
      </c>
    </row>
    <row r="106" spans="2:23" x14ac:dyDescent="0.25">
      <c r="B106" t="str">
        <f>IF(C106="","*",IF(SUMIFS('TRA RESID'!R:R,'TRA RESID'!J:J,'TRA RESID'!J101)=0,"*",'TRA RESID'!J101))</f>
        <v>*</v>
      </c>
      <c r="C106" t="str">
        <f>IF('TRA RESID'!H101="","",'TRA RESID'!H101)</f>
        <v>TRAGSL</v>
      </c>
      <c r="D106" t="s">
        <v>405</v>
      </c>
      <c r="E106" s="9">
        <f>IF(B106="*",1,SUMIFS('TRA RESID'!O:O,'TRA RESID'!J:J,B106,'TRA RESID'!H:H,C106))</f>
        <v>1</v>
      </c>
      <c r="H106" t="str">
        <f>IF(I106="","*",IF(SUMIFS('TRA RESID'!R:R,'TRA RESID'!J:J,'TRA RESID'!J101)=0,"*",'TRA RESID'!J101))</f>
        <v>*</v>
      </c>
      <c r="I106" t="str">
        <f>IF('TRA RESID'!H101="","",'TRA RESID'!H101)</f>
        <v>TRAGSL</v>
      </c>
      <c r="J106" t="str">
        <f>"Share~LO~"&amp;'City characteristics'!$C$20</f>
        <v>Share~LO~2019</v>
      </c>
      <c r="K106" s="9">
        <f>IF(B106="*",0,SUMIFS('TRA RESID'!N:N,'TRA RESID'!J:J,B106,'TRA RESID'!H:H,C106))</f>
        <v>0</v>
      </c>
      <c r="N106" t="str">
        <f>IF(Def_Tech!B104="*","*",Def_Tech!C104)</f>
        <v>*</v>
      </c>
      <c r="O106" t="str">
        <f>Def_Tech!D104</f>
        <v>TRAPASOBUICEVGSL19</v>
      </c>
      <c r="P106" t="str">
        <f>_xlfn.XLOOKUP(O106,'TRA RESID'!J:J,'TRA RESID'!I:I)</f>
        <v>TRAPASOBUDMD</v>
      </c>
      <c r="Q106" s="13">
        <f>_xlfn.XLOOKUP(O106,'TRA RESID'!J:J,'TRA RESID'!S:S)</f>
        <v>7.0102468573991827E-2</v>
      </c>
      <c r="R106">
        <f>_xlfn.XLOOKUP(O106,'TRA RESID'!J:J,'TRA RESID'!X:X)</f>
        <v>1</v>
      </c>
      <c r="S106" s="9">
        <f>_xlfn.XLOOKUP(O106,'TRA RESID'!J:J,'TRA RESID'!W:W)</f>
        <v>1</v>
      </c>
      <c r="T106" s="16">
        <f>_xlfn.XLOOKUP(O106,'TRA RESID'!J:J,'TRA RESID'!T:T)</f>
        <v>9</v>
      </c>
      <c r="U106" s="8">
        <f>_xlfn.XLOOKUP(O106,'TRA RESID'!J:J,'TRA RESID'!U:U)</f>
        <v>9.5175344176808672</v>
      </c>
      <c r="V106" s="16">
        <f>SUMIFS('TRA RESID'!R:R,'TRA RESID'!J:J,O106)</f>
        <v>0</v>
      </c>
      <c r="W106" s="9">
        <f t="shared" si="3"/>
        <v>0.98</v>
      </c>
    </row>
    <row r="107" spans="2:23" x14ac:dyDescent="0.25">
      <c r="B107" t="str">
        <f>IF(C107="","*",IF(SUMIFS('TRA RESID'!R:R,'TRA RESID'!J:J,'TRA RESID'!J102)=0,"*",'TRA RESID'!J102))</f>
        <v>*</v>
      </c>
      <c r="C107" t="str">
        <f>IF('TRA RESID'!H102="","",'TRA RESID'!H102)</f>
        <v>TRAETH</v>
      </c>
      <c r="D107" t="s">
        <v>405</v>
      </c>
      <c r="E107" s="9">
        <f>IF(B107="*",1,SUMIFS('TRA RESID'!O:O,'TRA RESID'!J:J,B107,'TRA RESID'!H:H,C107))</f>
        <v>1</v>
      </c>
      <c r="H107" t="str">
        <f>IF(I107="","*",IF(SUMIFS('TRA RESID'!R:R,'TRA RESID'!J:J,'TRA RESID'!J102)=0,"*",'TRA RESID'!J102))</f>
        <v>*</v>
      </c>
      <c r="I107" t="str">
        <f>IF('TRA RESID'!H102="","",'TRA RESID'!H102)</f>
        <v>TRAETH</v>
      </c>
      <c r="J107" t="str">
        <f>"Share~LO~"&amp;'City characteristics'!$C$20</f>
        <v>Share~LO~2019</v>
      </c>
      <c r="K107" s="9">
        <f>IF(B107="*",0,SUMIFS('TRA RESID'!N:N,'TRA RESID'!J:J,B107,'TRA RESID'!H:H,C107))</f>
        <v>0</v>
      </c>
      <c r="N107" t="str">
        <f>IF(Def_Tech!B105="*","*",Def_Tech!C105)</f>
        <v>*</v>
      </c>
      <c r="O107" t="str">
        <f>Def_Tech!D105</f>
        <v>TRAPASOBUICEVGSL19</v>
      </c>
      <c r="P107" t="str">
        <f>_xlfn.XLOOKUP(O107,'TRA RESID'!J:J,'TRA RESID'!I:I)</f>
        <v>TRAPASOBUDMD</v>
      </c>
      <c r="Q107" s="13">
        <f>_xlfn.XLOOKUP(O107,'TRA RESID'!J:J,'TRA RESID'!S:S)</f>
        <v>7.0102468573991827E-2</v>
      </c>
      <c r="R107">
        <f>_xlfn.XLOOKUP(O107,'TRA RESID'!J:J,'TRA RESID'!X:X)</f>
        <v>1</v>
      </c>
      <c r="S107" s="9">
        <f>_xlfn.XLOOKUP(O107,'TRA RESID'!J:J,'TRA RESID'!W:W)</f>
        <v>1</v>
      </c>
      <c r="T107" s="16">
        <f>_xlfn.XLOOKUP(O107,'TRA RESID'!J:J,'TRA RESID'!T:T)</f>
        <v>9</v>
      </c>
      <c r="U107" s="8">
        <f>_xlfn.XLOOKUP(O107,'TRA RESID'!J:J,'TRA RESID'!U:U)</f>
        <v>9.5175344176808672</v>
      </c>
      <c r="V107" s="16">
        <f>SUMIFS('TRA RESID'!R:R,'TRA RESID'!J:J,O107)</f>
        <v>0</v>
      </c>
      <c r="W107" s="9">
        <f t="shared" si="3"/>
        <v>0.98</v>
      </c>
    </row>
    <row r="108" spans="2:23" x14ac:dyDescent="0.25">
      <c r="B108" t="str">
        <f>IF(C108="","*",IF(SUMIFS('TRA RESID'!R:R,'TRA RESID'!J:J,'TRA RESID'!J103)=0,"*",'TRA RESID'!J103))</f>
        <v>*</v>
      </c>
      <c r="C108" t="str">
        <f>IF('TRA RESID'!H103="","",'TRA RESID'!H103)</f>
        <v>TRADSL</v>
      </c>
      <c r="D108" t="s">
        <v>405</v>
      </c>
      <c r="E108" s="9">
        <f>IF(B108="*",1,SUMIFS('TRA RESID'!O:O,'TRA RESID'!J:J,B108,'TRA RESID'!H:H,C108))</f>
        <v>1</v>
      </c>
      <c r="H108" t="str">
        <f>IF(I108="","*",IF(SUMIFS('TRA RESID'!R:R,'TRA RESID'!J:J,'TRA RESID'!J103)=0,"*",'TRA RESID'!J103))</f>
        <v>*</v>
      </c>
      <c r="I108" t="str">
        <f>IF('TRA RESID'!H103="","",'TRA RESID'!H103)</f>
        <v>TRADSL</v>
      </c>
      <c r="J108" t="str">
        <f>"Share~LO~"&amp;'City characteristics'!$C$20</f>
        <v>Share~LO~2019</v>
      </c>
      <c r="K108" s="9">
        <f>IF(B108="*",0,SUMIFS('TRA RESID'!N:N,'TRA RESID'!J:J,B108,'TRA RESID'!H:H,C108))</f>
        <v>0</v>
      </c>
      <c r="N108" t="str">
        <f>IF(Def_Tech!B106="*","*",Def_Tech!C106)</f>
        <v>*</v>
      </c>
      <c r="O108" t="str">
        <f>Def_Tech!D106</f>
        <v>TRAPASOBUICEVDSL19</v>
      </c>
      <c r="P108" t="str">
        <f>_xlfn.XLOOKUP(O108,'TRA RESID'!J:J,'TRA RESID'!I:I)</f>
        <v>TRAPASOBUDMD</v>
      </c>
      <c r="Q108" s="13">
        <f>_xlfn.XLOOKUP(O108,'TRA RESID'!J:J,'TRA RESID'!S:S)</f>
        <v>6.8429855158963215E-2</v>
      </c>
      <c r="R108">
        <f>_xlfn.XLOOKUP(O108,'TRA RESID'!J:J,'TRA RESID'!X:X)</f>
        <v>1</v>
      </c>
      <c r="S108" s="9">
        <f>_xlfn.XLOOKUP(O108,'TRA RESID'!J:J,'TRA RESID'!W:W)</f>
        <v>1</v>
      </c>
      <c r="T108" s="16">
        <f>_xlfn.XLOOKUP(O108,'TRA RESID'!J:J,'TRA RESID'!T:T)</f>
        <v>9</v>
      </c>
      <c r="U108" s="8">
        <f>_xlfn.XLOOKUP(O108,'TRA RESID'!J:J,'TRA RESID'!U:U)</f>
        <v>9.5175344176808672</v>
      </c>
      <c r="V108" s="16">
        <f>SUMIFS('TRA RESID'!R:R,'TRA RESID'!J:J,O108)</f>
        <v>0</v>
      </c>
      <c r="W108" s="9">
        <f t="shared" si="3"/>
        <v>0.98</v>
      </c>
    </row>
    <row r="109" spans="2:23" x14ac:dyDescent="0.25">
      <c r="B109" t="str">
        <f>IF(C109="","*",IF(SUMIFS('TRA RESID'!R:R,'TRA RESID'!J:J,'TRA RESID'!J104)=0,"*",'TRA RESID'!J104))</f>
        <v>*</v>
      </c>
      <c r="C109" t="str">
        <f>IF('TRA RESID'!H104="","",'TRA RESID'!H104)</f>
        <v>TRARDS</v>
      </c>
      <c r="D109" t="s">
        <v>405</v>
      </c>
      <c r="E109" s="9">
        <f>IF(B109="*",1,SUMIFS('TRA RESID'!O:O,'TRA RESID'!J:J,B109,'TRA RESID'!H:H,C109))</f>
        <v>1</v>
      </c>
      <c r="H109" t="str">
        <f>IF(I109="","*",IF(SUMIFS('TRA RESID'!R:R,'TRA RESID'!J:J,'TRA RESID'!J104)=0,"*",'TRA RESID'!J104))</f>
        <v>*</v>
      </c>
      <c r="I109" t="str">
        <f>IF('TRA RESID'!H104="","",'TRA RESID'!H104)</f>
        <v>TRARDS</v>
      </c>
      <c r="J109" t="str">
        <f>"Share~LO~"&amp;'City characteristics'!$C$20</f>
        <v>Share~LO~2019</v>
      </c>
      <c r="K109" s="9">
        <f>IF(B109="*",0,SUMIFS('TRA RESID'!N:N,'TRA RESID'!J:J,B109,'TRA RESID'!H:H,C109))</f>
        <v>0</v>
      </c>
      <c r="N109" t="str">
        <f>IF(Def_Tech!B107="*","*",Def_Tech!C107)</f>
        <v>*</v>
      </c>
      <c r="O109" t="str">
        <f>Def_Tech!D107</f>
        <v>TRAPASOBUICEVDSL19</v>
      </c>
      <c r="P109" t="str">
        <f>_xlfn.XLOOKUP(O109,'TRA RESID'!J:J,'TRA RESID'!I:I)</f>
        <v>TRAPASOBUDMD</v>
      </c>
      <c r="Q109" s="13">
        <f>_xlfn.XLOOKUP(O109,'TRA RESID'!J:J,'TRA RESID'!S:S)</f>
        <v>6.8429855158963215E-2</v>
      </c>
      <c r="R109">
        <f>_xlfn.XLOOKUP(O109,'TRA RESID'!J:J,'TRA RESID'!X:X)</f>
        <v>1</v>
      </c>
      <c r="S109" s="9">
        <f>_xlfn.XLOOKUP(O109,'TRA RESID'!J:J,'TRA RESID'!W:W)</f>
        <v>1</v>
      </c>
      <c r="T109" s="16">
        <f>_xlfn.XLOOKUP(O109,'TRA RESID'!J:J,'TRA RESID'!T:T)</f>
        <v>9</v>
      </c>
      <c r="U109" s="8">
        <f>_xlfn.XLOOKUP(O109,'TRA RESID'!J:J,'TRA RESID'!U:U)</f>
        <v>9.5175344176808672</v>
      </c>
      <c r="V109" s="16">
        <f>SUMIFS('TRA RESID'!R:R,'TRA RESID'!J:J,O109)</f>
        <v>0</v>
      </c>
      <c r="W109" s="9">
        <f t="shared" si="3"/>
        <v>0.98</v>
      </c>
    </row>
    <row r="110" spans="2:23" x14ac:dyDescent="0.25">
      <c r="B110" t="str">
        <f>IF(C110="","*",IF(SUMIFS('TRA RESID'!R:R,'TRA RESID'!J:J,'TRA RESID'!J105)=0,"*",'TRA RESID'!J105))</f>
        <v>*</v>
      </c>
      <c r="C110" t="str">
        <f>IF('TRA RESID'!H105="","",'TRA RESID'!H105)</f>
        <v>TRABDS</v>
      </c>
      <c r="D110" t="s">
        <v>405</v>
      </c>
      <c r="E110" s="9">
        <f>IF(B110="*",1,SUMIFS('TRA RESID'!O:O,'TRA RESID'!J:J,B110,'TRA RESID'!H:H,C110))</f>
        <v>1</v>
      </c>
      <c r="H110" t="str">
        <f>IF(I110="","*",IF(SUMIFS('TRA RESID'!R:R,'TRA RESID'!J:J,'TRA RESID'!J105)=0,"*",'TRA RESID'!J105))</f>
        <v>*</v>
      </c>
      <c r="I110" t="str">
        <f>IF('TRA RESID'!H105="","",'TRA RESID'!H105)</f>
        <v>TRABDS</v>
      </c>
      <c r="J110" t="str">
        <f>"Share~LO~"&amp;'City characteristics'!$C$20</f>
        <v>Share~LO~2019</v>
      </c>
      <c r="K110" s="9">
        <f>IF(B110="*",0,SUMIFS('TRA RESID'!N:N,'TRA RESID'!J:J,B110,'TRA RESID'!H:H,C110))</f>
        <v>0</v>
      </c>
      <c r="N110" t="str">
        <f>IF(Def_Tech!B108="*","*",Def_Tech!C108)</f>
        <v>*</v>
      </c>
      <c r="O110" t="str">
        <f>Def_Tech!D108</f>
        <v>TRAPASOBUICEVDSL19</v>
      </c>
      <c r="P110" t="str">
        <f>_xlfn.XLOOKUP(O110,'TRA RESID'!J:J,'TRA RESID'!I:I)</f>
        <v>TRAPASOBUDMD</v>
      </c>
      <c r="Q110" s="13">
        <f>_xlfn.XLOOKUP(O110,'TRA RESID'!J:J,'TRA RESID'!S:S)</f>
        <v>6.8429855158963215E-2</v>
      </c>
      <c r="R110">
        <f>_xlfn.XLOOKUP(O110,'TRA RESID'!J:J,'TRA RESID'!X:X)</f>
        <v>1</v>
      </c>
      <c r="S110" s="9">
        <f>_xlfn.XLOOKUP(O110,'TRA RESID'!J:J,'TRA RESID'!W:W)</f>
        <v>1</v>
      </c>
      <c r="T110" s="16">
        <f>_xlfn.XLOOKUP(O110,'TRA RESID'!J:J,'TRA RESID'!T:T)</f>
        <v>9</v>
      </c>
      <c r="U110" s="8">
        <f>_xlfn.XLOOKUP(O110,'TRA RESID'!J:J,'TRA RESID'!U:U)</f>
        <v>9.5175344176808672</v>
      </c>
      <c r="V110" s="16">
        <f>SUMIFS('TRA RESID'!R:R,'TRA RESID'!J:J,O110)</f>
        <v>0</v>
      </c>
      <c r="W110" s="9">
        <f t="shared" si="3"/>
        <v>0.98</v>
      </c>
    </row>
    <row r="111" spans="2:23" x14ac:dyDescent="0.25">
      <c r="B111" t="str">
        <f>IF(C111="","*",IF(SUMIFS('TRA RESID'!R:R,'TRA RESID'!J:J,'TRA RESID'!J106)=0,"*",'TRA RESID'!J106))</f>
        <v>*</v>
      </c>
      <c r="C111" t="str">
        <f>IF('TRA RESID'!H106="","",'TRA RESID'!H106)</f>
        <v>TRACNG</v>
      </c>
      <c r="D111" t="s">
        <v>405</v>
      </c>
      <c r="E111" s="9">
        <f>IF(B111="*",1,SUMIFS('TRA RESID'!O:O,'TRA RESID'!J:J,B111,'TRA RESID'!H:H,C111))</f>
        <v>1</v>
      </c>
      <c r="H111" t="str">
        <f>IF(I111="","*",IF(SUMIFS('TRA RESID'!R:R,'TRA RESID'!J:J,'TRA RESID'!J106)=0,"*",'TRA RESID'!J106))</f>
        <v>*</v>
      </c>
      <c r="I111" t="str">
        <f>IF('TRA RESID'!H106="","",'TRA RESID'!H106)</f>
        <v>TRACNG</v>
      </c>
      <c r="J111" t="str">
        <f>"Share~LO~"&amp;'City characteristics'!$C$20</f>
        <v>Share~LO~2019</v>
      </c>
      <c r="K111" s="9">
        <f>IF(B111="*",0,SUMIFS('TRA RESID'!N:N,'TRA RESID'!J:J,B111,'TRA RESID'!H:H,C111))</f>
        <v>0</v>
      </c>
      <c r="N111" t="str">
        <f>IF(Def_Tech!B109="*","*",Def_Tech!C109)</f>
        <v>*</v>
      </c>
      <c r="O111" t="str">
        <f>Def_Tech!D109</f>
        <v>TRAPASOBUICEVCNG19</v>
      </c>
      <c r="P111" t="str">
        <f>_xlfn.XLOOKUP(O111,'TRA RESID'!J:J,'TRA RESID'!I:I)</f>
        <v>TRAPASOBUDMD</v>
      </c>
      <c r="Q111" s="13">
        <f>_xlfn.XLOOKUP(O111,'TRA RESID'!J:J,'TRA RESID'!S:S)</f>
        <v>5.2339471305836681E-2</v>
      </c>
      <c r="R111">
        <f>_xlfn.XLOOKUP(O111,'TRA RESID'!J:J,'TRA RESID'!X:X)</f>
        <v>1</v>
      </c>
      <c r="S111" s="9">
        <f>_xlfn.XLOOKUP(O111,'TRA RESID'!J:J,'TRA RESID'!W:W)</f>
        <v>1</v>
      </c>
      <c r="T111" s="16">
        <f>_xlfn.XLOOKUP(O111,'TRA RESID'!J:J,'TRA RESID'!T:T)</f>
        <v>9</v>
      </c>
      <c r="U111" s="8">
        <f>_xlfn.XLOOKUP(O111,'TRA RESID'!J:J,'TRA RESID'!U:U)</f>
        <v>9.5175344176808672</v>
      </c>
      <c r="V111" s="16">
        <f>SUMIFS('TRA RESID'!R:R,'TRA RESID'!J:J,O111)</f>
        <v>0</v>
      </c>
      <c r="W111" s="9">
        <f t="shared" si="3"/>
        <v>0.98</v>
      </c>
    </row>
    <row r="112" spans="2:23" x14ac:dyDescent="0.25">
      <c r="B112" t="str">
        <f>IF(C112="","*",IF(SUMIFS('TRA RESID'!R:R,'TRA RESID'!J:J,'TRA RESID'!J107)=0,"*",'TRA RESID'!J107))</f>
        <v>*</v>
      </c>
      <c r="C112" t="str">
        <f>IF('TRA RESID'!H107="","",'TRA RESID'!H107)</f>
        <v>TRARNG</v>
      </c>
      <c r="D112" t="s">
        <v>405</v>
      </c>
      <c r="E112" s="9">
        <f>IF(B112="*",1,SUMIFS('TRA RESID'!O:O,'TRA RESID'!J:J,B112,'TRA RESID'!H:H,C112))</f>
        <v>1</v>
      </c>
      <c r="H112" t="str">
        <f>IF(I112="","*",IF(SUMIFS('TRA RESID'!R:R,'TRA RESID'!J:J,'TRA RESID'!J107)=0,"*",'TRA RESID'!J107))</f>
        <v>*</v>
      </c>
      <c r="I112" t="str">
        <f>IF('TRA RESID'!H107="","",'TRA RESID'!H107)</f>
        <v>TRARNG</v>
      </c>
      <c r="J112" t="str">
        <f>"Share~LO~"&amp;'City characteristics'!$C$20</f>
        <v>Share~LO~2019</v>
      </c>
      <c r="K112" s="9">
        <f>IF(B112="*",0,SUMIFS('TRA RESID'!N:N,'TRA RESID'!J:J,B112,'TRA RESID'!H:H,C112))</f>
        <v>0</v>
      </c>
      <c r="N112" t="str">
        <f>IF(Def_Tech!B110="*","*",Def_Tech!C110)</f>
        <v>*</v>
      </c>
      <c r="O112" t="str">
        <f>Def_Tech!D110</f>
        <v>TRAPASOBUICEVCNG19</v>
      </c>
      <c r="P112" t="str">
        <f>_xlfn.XLOOKUP(O112,'TRA RESID'!J:J,'TRA RESID'!I:I)</f>
        <v>TRAPASOBUDMD</v>
      </c>
      <c r="Q112" s="13">
        <f>_xlfn.XLOOKUP(O112,'TRA RESID'!J:J,'TRA RESID'!S:S)</f>
        <v>5.2339471305836681E-2</v>
      </c>
      <c r="R112">
        <f>_xlfn.XLOOKUP(O112,'TRA RESID'!J:J,'TRA RESID'!X:X)</f>
        <v>1</v>
      </c>
      <c r="S112" s="9">
        <f>_xlfn.XLOOKUP(O112,'TRA RESID'!J:J,'TRA RESID'!W:W)</f>
        <v>1</v>
      </c>
      <c r="T112" s="16">
        <f>_xlfn.XLOOKUP(O112,'TRA RESID'!J:J,'TRA RESID'!T:T)</f>
        <v>9</v>
      </c>
      <c r="U112" s="8">
        <f>_xlfn.XLOOKUP(O112,'TRA RESID'!J:J,'TRA RESID'!U:U)</f>
        <v>9.5175344176808672</v>
      </c>
      <c r="V112" s="16">
        <f>SUMIFS('TRA RESID'!R:R,'TRA RESID'!J:J,O112)</f>
        <v>0</v>
      </c>
      <c r="W112" s="9">
        <f t="shared" si="3"/>
        <v>0.98</v>
      </c>
    </row>
    <row r="113" spans="2:23" x14ac:dyDescent="0.25">
      <c r="B113" t="str">
        <f>IF(C113="","*",IF(SUMIFS('TRA RESID'!R:R,'TRA RESID'!J:J,'TRA RESID'!J108)=0,"*",'TRA RESID'!J108))</f>
        <v>*</v>
      </c>
      <c r="C113" t="str">
        <f>IF('TRA RESID'!H108="","",'TRA RESID'!H108)</f>
        <v>TRABAF</v>
      </c>
      <c r="D113" t="s">
        <v>405</v>
      </c>
      <c r="E113" s="9">
        <f>IF(B113="*",1,SUMIFS('TRA RESID'!O:O,'TRA RESID'!J:J,B113,'TRA RESID'!H:H,C113))</f>
        <v>1</v>
      </c>
      <c r="H113" t="str">
        <f>IF(I113="","*",IF(SUMIFS('TRA RESID'!R:R,'TRA RESID'!J:J,'TRA RESID'!J108)=0,"*",'TRA RESID'!J108))</f>
        <v>*</v>
      </c>
      <c r="I113" t="str">
        <f>IF('TRA RESID'!H108="","",'TRA RESID'!H108)</f>
        <v>TRABAF</v>
      </c>
      <c r="J113" t="str">
        <f>"Share~LO~"&amp;'City characteristics'!$C$20</f>
        <v>Share~LO~2019</v>
      </c>
      <c r="K113" s="9">
        <f>IF(B113="*",0,SUMIFS('TRA RESID'!N:N,'TRA RESID'!J:J,B113,'TRA RESID'!H:H,C113))</f>
        <v>0</v>
      </c>
      <c r="N113" t="str">
        <f>IF(Def_Tech!B111="*","*",Def_Tech!C111)</f>
        <v>*</v>
      </c>
      <c r="O113" t="str">
        <f>Def_Tech!D111</f>
        <v>TRAPASOBUBEV19</v>
      </c>
      <c r="P113" t="str">
        <f>_xlfn.XLOOKUP(O113,'TRA RESID'!J:J,'TRA RESID'!I:I)</f>
        <v>TRAPASOBUDMD</v>
      </c>
      <c r="Q113" s="13">
        <f>_xlfn.XLOOKUP(O113,'TRA RESID'!J:J,'TRA RESID'!S:S)</f>
        <v>0.21507770694487269</v>
      </c>
      <c r="R113">
        <f>_xlfn.XLOOKUP(O113,'TRA RESID'!J:J,'TRA RESID'!X:X)</f>
        <v>1</v>
      </c>
      <c r="S113" s="9">
        <f>_xlfn.XLOOKUP(O113,'TRA RESID'!J:J,'TRA RESID'!W:W)</f>
        <v>1</v>
      </c>
      <c r="T113" s="16">
        <f>_xlfn.XLOOKUP(O113,'TRA RESID'!J:J,'TRA RESID'!T:T)</f>
        <v>9</v>
      </c>
      <c r="U113" s="8">
        <f>_xlfn.XLOOKUP(O113,'TRA RESID'!J:J,'TRA RESID'!U:U)</f>
        <v>9.5175344176808672</v>
      </c>
      <c r="V113" s="16">
        <f>SUMIFS('TRA RESID'!R:R,'TRA RESID'!J:J,O113)</f>
        <v>0</v>
      </c>
      <c r="W113" s="9">
        <f t="shared" si="3"/>
        <v>0.98</v>
      </c>
    </row>
    <row r="114" spans="2:23" x14ac:dyDescent="0.25">
      <c r="B114" t="str">
        <f>IF(C114="","*",IF(SUMIFS('TRA RESID'!R:R,'TRA RESID'!J:J,'TRA RESID'!J109)=0,"*",'TRA RESID'!J109))</f>
        <v>*</v>
      </c>
      <c r="C114" t="str">
        <f>IF('TRA RESID'!H109="","",'TRA RESID'!H109)</f>
        <v>TRAH2G</v>
      </c>
      <c r="D114" t="s">
        <v>405</v>
      </c>
      <c r="E114" s="9">
        <f>IF(B114="*",1,SUMIFS('TRA RESID'!O:O,'TRA RESID'!J:J,B114,'TRA RESID'!H:H,C114))</f>
        <v>1</v>
      </c>
      <c r="H114" t="str">
        <f>IF(I114="","*",IF(SUMIFS('TRA RESID'!R:R,'TRA RESID'!J:J,'TRA RESID'!J109)=0,"*",'TRA RESID'!J109))</f>
        <v>*</v>
      </c>
      <c r="I114" t="str">
        <f>IF('TRA RESID'!H109="","",'TRA RESID'!H109)</f>
        <v>TRAH2G</v>
      </c>
      <c r="J114" t="str">
        <f>"Share~LO~"&amp;'City characteristics'!$C$20</f>
        <v>Share~LO~2019</v>
      </c>
      <c r="K114" s="9">
        <f>IF(B114="*",0,SUMIFS('TRA RESID'!N:N,'TRA RESID'!J:J,B114,'TRA RESID'!H:H,C114))</f>
        <v>0</v>
      </c>
      <c r="N114" t="str">
        <f>IF(Def_Tech!B112="*","*",Def_Tech!C112)</f>
        <v>*</v>
      </c>
      <c r="O114" t="str">
        <f>Def_Tech!D112</f>
        <v>TRAPASOBUFCEV19</v>
      </c>
      <c r="P114" t="str">
        <f>_xlfn.XLOOKUP(O114,'TRA RESID'!J:J,'TRA RESID'!I:I)</f>
        <v>TRAPASOBUDMD</v>
      </c>
      <c r="Q114" s="13">
        <f>_xlfn.XLOOKUP(O114,'TRA RESID'!J:J,'TRA RESID'!S:S)</f>
        <v>0.21507770694487269</v>
      </c>
      <c r="R114">
        <f>_xlfn.XLOOKUP(O114,'TRA RESID'!J:J,'TRA RESID'!X:X)</f>
        <v>1</v>
      </c>
      <c r="S114" s="9">
        <f>_xlfn.XLOOKUP(O114,'TRA RESID'!J:J,'TRA RESID'!W:W)</f>
        <v>1</v>
      </c>
      <c r="T114" s="16">
        <f>_xlfn.XLOOKUP(O114,'TRA RESID'!J:J,'TRA RESID'!T:T)</f>
        <v>9</v>
      </c>
      <c r="U114" s="8">
        <f>_xlfn.XLOOKUP(O114,'TRA RESID'!J:J,'TRA RESID'!U:U)</f>
        <v>9.5175344176808672</v>
      </c>
      <c r="V114" s="16">
        <f>SUMIFS('TRA RESID'!R:R,'TRA RESID'!J:J,O114)</f>
        <v>0</v>
      </c>
      <c r="W114" s="9">
        <f t="shared" si="3"/>
        <v>0.98</v>
      </c>
    </row>
    <row r="115" spans="2:23" x14ac:dyDescent="0.25">
      <c r="B115" t="str">
        <f>IF(C115="","*",IF(SUMIFS('TRA RESID'!R:R,'TRA RESID'!J:J,'TRA RESID'!J110)=0,"*",'TRA RESID'!J110))</f>
        <v>TRAPASRAIICEVDSL19</v>
      </c>
      <c r="C115" t="str">
        <f>IF('TRA RESID'!H110="","",'TRA RESID'!H110)</f>
        <v>TRADSL</v>
      </c>
      <c r="D115" t="s">
        <v>405</v>
      </c>
      <c r="E115" s="9">
        <f>IF(B115="*",1,SUMIFS('TRA RESID'!O:O,'TRA RESID'!J:J,B115,'TRA RESID'!H:H,C115))</f>
        <v>1</v>
      </c>
      <c r="H115" t="str">
        <f>IF(I115="","*",IF(SUMIFS('TRA RESID'!R:R,'TRA RESID'!J:J,'TRA RESID'!J110)=0,"*",'TRA RESID'!J110))</f>
        <v>TRAPASRAIICEVDSL19</v>
      </c>
      <c r="I115" t="str">
        <f>IF('TRA RESID'!H110="","",'TRA RESID'!H110)</f>
        <v>TRADSL</v>
      </c>
      <c r="J115" t="str">
        <f>"Share~LO~"&amp;'City characteristics'!$C$20</f>
        <v>Share~LO~2019</v>
      </c>
      <c r="K115" s="9">
        <f>IF(B115="*",0,SUMIFS('TRA RESID'!N:N,'TRA RESID'!J:J,B115,'TRA RESID'!H:H,C115))</f>
        <v>0</v>
      </c>
      <c r="N115" t="str">
        <f>IF(Def_Tech!B113="*","*",Def_Tech!C113)</f>
        <v>CITY</v>
      </c>
      <c r="O115" t="str">
        <f>Def_Tech!D113</f>
        <v>TRAPASRAIICEVDSL19</v>
      </c>
      <c r="P115" t="str">
        <f>_xlfn.XLOOKUP(O115,'TRA RESID'!J:J,'TRA RESID'!I:I)</f>
        <v>TRAPASRAIDMD</v>
      </c>
      <c r="Q115" s="13">
        <f>_xlfn.XLOOKUP(O115,'TRA RESID'!J:J,'TRA RESID'!S:S)</f>
        <v>4.4861035268372623E-2</v>
      </c>
      <c r="R115">
        <f>_xlfn.XLOOKUP(O115,'TRA RESID'!J:J,'TRA RESID'!X:X)</f>
        <v>1</v>
      </c>
      <c r="S115" s="9">
        <f>_xlfn.XLOOKUP(O115,'TRA RESID'!J:J,'TRA RESID'!W:W)</f>
        <v>1</v>
      </c>
      <c r="T115" s="16">
        <f>_xlfn.XLOOKUP(O115,'TRA RESID'!J:J,'TRA RESID'!T:T)</f>
        <v>30</v>
      </c>
      <c r="U115" s="8">
        <f>_xlfn.XLOOKUP(O115,'TRA RESID'!J:J,'TRA RESID'!U:U)</f>
        <v>3506.474352651599</v>
      </c>
      <c r="V115" s="16">
        <f>SUMIFS('TRA RESID'!R:R,'TRA RESID'!J:J,O115)</f>
        <v>11.121302868335061</v>
      </c>
      <c r="W115" s="9">
        <f t="shared" si="3"/>
        <v>0.98</v>
      </c>
    </row>
    <row r="116" spans="2:23" x14ac:dyDescent="0.25">
      <c r="B116" t="str">
        <f>IF(C116="","*",IF(SUMIFS('TRA RESID'!R:R,'TRA RESID'!J:J,'TRA RESID'!J111)=0,"*",'TRA RESID'!J111))</f>
        <v>TRAPASRAIICEVDSL19</v>
      </c>
      <c r="C116" t="str">
        <f>IF('TRA RESID'!H111="","",'TRA RESID'!H111)</f>
        <v>TRARDS</v>
      </c>
      <c r="D116" t="s">
        <v>405</v>
      </c>
      <c r="E116" s="9">
        <f>IF(B116="*",1,SUMIFS('TRA RESID'!O:O,'TRA RESID'!J:J,B116,'TRA RESID'!H:H,C116))</f>
        <v>1</v>
      </c>
      <c r="H116" t="str">
        <f>IF(I116="","*",IF(SUMIFS('TRA RESID'!R:R,'TRA RESID'!J:J,'TRA RESID'!J111)=0,"*",'TRA RESID'!J111))</f>
        <v>TRAPASRAIICEVDSL19</v>
      </c>
      <c r="I116" t="str">
        <f>IF('TRA RESID'!H111="","",'TRA RESID'!H111)</f>
        <v>TRARDS</v>
      </c>
      <c r="J116" t="str">
        <f>"Share~LO~"&amp;'City characteristics'!$C$20</f>
        <v>Share~LO~2019</v>
      </c>
      <c r="K116" s="9">
        <f>IF(B116="*",0,SUMIFS('TRA RESID'!N:N,'TRA RESID'!J:J,B116,'TRA RESID'!H:H,C116))</f>
        <v>0</v>
      </c>
      <c r="N116" t="str">
        <f>IF(Def_Tech!B114="*","*",Def_Tech!C114)</f>
        <v>*</v>
      </c>
      <c r="O116" t="str">
        <f>Def_Tech!D114</f>
        <v>TRAPASRAIICEVDSL19</v>
      </c>
      <c r="P116" t="str">
        <f>_xlfn.XLOOKUP(O116,'TRA RESID'!J:J,'TRA RESID'!I:I)</f>
        <v>TRAPASRAIDMD</v>
      </c>
      <c r="Q116" s="13">
        <f>_xlfn.XLOOKUP(O116,'TRA RESID'!J:J,'TRA RESID'!S:S)</f>
        <v>4.4861035268372623E-2</v>
      </c>
      <c r="R116">
        <f>_xlfn.XLOOKUP(O116,'TRA RESID'!J:J,'TRA RESID'!X:X)</f>
        <v>1</v>
      </c>
      <c r="S116" s="9">
        <f>_xlfn.XLOOKUP(O116,'TRA RESID'!J:J,'TRA RESID'!W:W)</f>
        <v>1</v>
      </c>
      <c r="T116" s="16">
        <f>_xlfn.XLOOKUP(O116,'TRA RESID'!J:J,'TRA RESID'!T:T)</f>
        <v>30</v>
      </c>
      <c r="U116" s="8">
        <f>_xlfn.XLOOKUP(O116,'TRA RESID'!J:J,'TRA RESID'!U:U)</f>
        <v>3506.474352651599</v>
      </c>
      <c r="V116" s="16">
        <f>SUMIFS('TRA RESID'!R:R,'TRA RESID'!J:J,O116)</f>
        <v>11.121302868335061</v>
      </c>
      <c r="W116" s="9">
        <f t="shared" si="3"/>
        <v>0.98</v>
      </c>
    </row>
    <row r="117" spans="2:23" x14ac:dyDescent="0.25">
      <c r="B117" t="str">
        <f>IF(C117="","*",IF(SUMIFS('TRA RESID'!R:R,'TRA RESID'!J:J,'TRA RESID'!J112)=0,"*",'TRA RESID'!J112))</f>
        <v>TRAPASRAIICEVDSL19</v>
      </c>
      <c r="C117" t="str">
        <f>IF('TRA RESID'!H112="","",'TRA RESID'!H112)</f>
        <v>TRABDS</v>
      </c>
      <c r="D117" t="s">
        <v>405</v>
      </c>
      <c r="E117" s="9">
        <f>IF(B117="*",1,SUMIFS('TRA RESID'!O:O,'TRA RESID'!J:J,B117,'TRA RESID'!H:H,C117))</f>
        <v>0.1</v>
      </c>
      <c r="H117" t="str">
        <f>IF(I117="","*",IF(SUMIFS('TRA RESID'!R:R,'TRA RESID'!J:J,'TRA RESID'!J112)=0,"*",'TRA RESID'!J112))</f>
        <v>TRAPASRAIICEVDSL19</v>
      </c>
      <c r="I117" t="str">
        <f>IF('TRA RESID'!H112="","",'TRA RESID'!H112)</f>
        <v>TRABDS</v>
      </c>
      <c r="J117" t="str">
        <f>"Share~LO~"&amp;'City characteristics'!$C$20</f>
        <v>Share~LO~2019</v>
      </c>
      <c r="K117" s="9">
        <f>IF(B117="*",0,SUMIFS('TRA RESID'!N:N,'TRA RESID'!J:J,B117,'TRA RESID'!H:H,C117))</f>
        <v>0</v>
      </c>
      <c r="N117" t="str">
        <f>IF(Def_Tech!B115="*","*",Def_Tech!C115)</f>
        <v>*</v>
      </c>
      <c r="O117" t="str">
        <f>Def_Tech!D115</f>
        <v>TRAPASRAIICEVDSL19</v>
      </c>
      <c r="P117" t="str">
        <f>_xlfn.XLOOKUP(O117,'TRA RESID'!J:J,'TRA RESID'!I:I)</f>
        <v>TRAPASRAIDMD</v>
      </c>
      <c r="Q117" s="13">
        <f>_xlfn.XLOOKUP(O117,'TRA RESID'!J:J,'TRA RESID'!S:S)</f>
        <v>4.4861035268372623E-2</v>
      </c>
      <c r="R117">
        <f>_xlfn.XLOOKUP(O117,'TRA RESID'!J:J,'TRA RESID'!X:X)</f>
        <v>1</v>
      </c>
      <c r="S117" s="9">
        <f>_xlfn.XLOOKUP(O117,'TRA RESID'!J:J,'TRA RESID'!W:W)</f>
        <v>1</v>
      </c>
      <c r="T117" s="16">
        <f>_xlfn.XLOOKUP(O117,'TRA RESID'!J:J,'TRA RESID'!T:T)</f>
        <v>30</v>
      </c>
      <c r="U117" s="8">
        <f>_xlfn.XLOOKUP(O117,'TRA RESID'!J:J,'TRA RESID'!U:U)</f>
        <v>3506.474352651599</v>
      </c>
      <c r="V117" s="16">
        <f>SUMIFS('TRA RESID'!R:R,'TRA RESID'!J:J,O117)</f>
        <v>11.121302868335061</v>
      </c>
      <c r="W117" s="9">
        <f t="shared" si="3"/>
        <v>0.98</v>
      </c>
    </row>
    <row r="118" spans="2:23" x14ac:dyDescent="0.25">
      <c r="B118" t="str">
        <f>IF(C118="","*",IF(SUMIFS('TRA RESID'!R:R,'TRA RESID'!J:J,'TRA RESID'!J113)=0,"*",'TRA RESID'!J113))</f>
        <v>*</v>
      </c>
      <c r="C118" t="str">
        <f>IF('TRA RESID'!H113="","",'TRA RESID'!H113)</f>
        <v>TRACNG</v>
      </c>
      <c r="D118" t="s">
        <v>405</v>
      </c>
      <c r="E118" s="9">
        <f>IF(B118="*",1,SUMIFS('TRA RESID'!O:O,'TRA RESID'!J:J,B118,'TRA RESID'!H:H,C118))</f>
        <v>1</v>
      </c>
      <c r="H118" t="str">
        <f>IF(I118="","*",IF(SUMIFS('TRA RESID'!R:R,'TRA RESID'!J:J,'TRA RESID'!J113)=0,"*",'TRA RESID'!J113))</f>
        <v>*</v>
      </c>
      <c r="I118" t="str">
        <f>IF('TRA RESID'!H113="","",'TRA RESID'!H113)</f>
        <v>TRACNG</v>
      </c>
      <c r="J118" t="str">
        <f>"Share~LO~"&amp;'City characteristics'!$C$20</f>
        <v>Share~LO~2019</v>
      </c>
      <c r="K118" s="9">
        <f>IF(B118="*",0,SUMIFS('TRA RESID'!N:N,'TRA RESID'!J:J,B118,'TRA RESID'!H:H,C118))</f>
        <v>0</v>
      </c>
      <c r="N118" t="str">
        <f>IF(Def_Tech!B116="*","*",Def_Tech!C116)</f>
        <v>*</v>
      </c>
      <c r="O118" t="str">
        <f>Def_Tech!D116</f>
        <v>TRAPASRAIICEVCNG19</v>
      </c>
      <c r="P118" t="str">
        <f>_xlfn.XLOOKUP(O118,'TRA RESID'!J:J,'TRA RESID'!I:I)</f>
        <v>TRAPASRAIDMD</v>
      </c>
      <c r="Q118" s="13">
        <f>_xlfn.XLOOKUP(O118,'TRA RESID'!J:J,'TRA RESID'!S:S)</f>
        <v>5.0632630449098923E-2</v>
      </c>
      <c r="R118">
        <f>_xlfn.XLOOKUP(O118,'TRA RESID'!J:J,'TRA RESID'!X:X)</f>
        <v>1</v>
      </c>
      <c r="S118" s="9">
        <f>_xlfn.XLOOKUP(O118,'TRA RESID'!J:J,'TRA RESID'!W:W)</f>
        <v>1</v>
      </c>
      <c r="T118" s="16">
        <f>_xlfn.XLOOKUP(O118,'TRA RESID'!J:J,'TRA RESID'!T:T)</f>
        <v>30</v>
      </c>
      <c r="U118" s="8">
        <f>_xlfn.XLOOKUP(O118,'TRA RESID'!J:J,'TRA RESID'!U:U)</f>
        <v>3506.474352651599</v>
      </c>
      <c r="V118" s="16">
        <f>SUMIFS('TRA RESID'!R:R,'TRA RESID'!J:J,O118)</f>
        <v>0</v>
      </c>
      <c r="W118" s="9">
        <f t="shared" si="3"/>
        <v>0.98</v>
      </c>
    </row>
    <row r="119" spans="2:23" x14ac:dyDescent="0.25">
      <c r="B119" t="str">
        <f>IF(C119="","*",IF(SUMIFS('TRA RESID'!R:R,'TRA RESID'!J:J,'TRA RESID'!J114)=0,"*",'TRA RESID'!J114))</f>
        <v>*</v>
      </c>
      <c r="C119" t="str">
        <f>IF('TRA RESID'!H114="","",'TRA RESID'!H114)</f>
        <v>TRARNG</v>
      </c>
      <c r="D119" t="s">
        <v>405</v>
      </c>
      <c r="E119" s="9">
        <f>IF(B119="*",1,SUMIFS('TRA RESID'!O:O,'TRA RESID'!J:J,B119,'TRA RESID'!H:H,C119))</f>
        <v>1</v>
      </c>
      <c r="H119" t="str">
        <f>IF(I119="","*",IF(SUMIFS('TRA RESID'!R:R,'TRA RESID'!J:J,'TRA RESID'!J114)=0,"*",'TRA RESID'!J114))</f>
        <v>*</v>
      </c>
      <c r="I119" t="str">
        <f>IF('TRA RESID'!H114="","",'TRA RESID'!H114)</f>
        <v>TRARNG</v>
      </c>
      <c r="J119" t="str">
        <f>"Share~LO~"&amp;'City characteristics'!$C$20</f>
        <v>Share~LO~2019</v>
      </c>
      <c r="K119" s="9">
        <f>IF(B119="*",0,SUMIFS('TRA RESID'!N:N,'TRA RESID'!J:J,B119,'TRA RESID'!H:H,C119))</f>
        <v>0</v>
      </c>
      <c r="N119" t="str">
        <f>IF(Def_Tech!B117="*","*",Def_Tech!C117)</f>
        <v>*</v>
      </c>
      <c r="O119" t="str">
        <f>Def_Tech!D117</f>
        <v>TRAPASRAIICEVCNG19</v>
      </c>
      <c r="P119" t="str">
        <f>_xlfn.XLOOKUP(O119,'TRA RESID'!J:J,'TRA RESID'!I:I)</f>
        <v>TRAPASRAIDMD</v>
      </c>
      <c r="Q119" s="13">
        <f>_xlfn.XLOOKUP(O119,'TRA RESID'!J:J,'TRA RESID'!S:S)</f>
        <v>5.0632630449098923E-2</v>
      </c>
      <c r="R119">
        <f>_xlfn.XLOOKUP(O119,'TRA RESID'!J:J,'TRA RESID'!X:X)</f>
        <v>1</v>
      </c>
      <c r="S119" s="9">
        <f>_xlfn.XLOOKUP(O119,'TRA RESID'!J:J,'TRA RESID'!W:W)</f>
        <v>1</v>
      </c>
      <c r="T119" s="16">
        <f>_xlfn.XLOOKUP(O119,'TRA RESID'!J:J,'TRA RESID'!T:T)</f>
        <v>30</v>
      </c>
      <c r="U119" s="8">
        <f>_xlfn.XLOOKUP(O119,'TRA RESID'!J:J,'TRA RESID'!U:U)</f>
        <v>3506.474352651599</v>
      </c>
      <c r="V119" s="16">
        <f>SUMIFS('TRA RESID'!R:R,'TRA RESID'!J:J,O119)</f>
        <v>0</v>
      </c>
      <c r="W119" s="9">
        <f t="shared" si="3"/>
        <v>0.98</v>
      </c>
    </row>
    <row r="120" spans="2:23" x14ac:dyDescent="0.25">
      <c r="B120" t="str">
        <f>IF(C120="","*",IF(SUMIFS('TRA RESID'!R:R,'TRA RESID'!J:J,'TRA RESID'!J115)=0,"*",'TRA RESID'!J115))</f>
        <v>TRAPASRAIPROELC19</v>
      </c>
      <c r="C120" t="str">
        <f>IF('TRA RESID'!H115="","",'TRA RESID'!H115)</f>
        <v>TRAELC</v>
      </c>
      <c r="D120" t="s">
        <v>405</v>
      </c>
      <c r="E120" s="9">
        <f>IF(B120="*",1,SUMIFS('TRA RESID'!O:O,'TRA RESID'!J:J,B120,'TRA RESID'!H:H,C120))</f>
        <v>1</v>
      </c>
      <c r="H120" t="str">
        <f>IF(I120="","*",IF(SUMIFS('TRA RESID'!R:R,'TRA RESID'!J:J,'TRA RESID'!J115)=0,"*",'TRA RESID'!J115))</f>
        <v>TRAPASRAIPROELC19</v>
      </c>
      <c r="I120" t="str">
        <f>IF('TRA RESID'!H115="","",'TRA RESID'!H115)</f>
        <v>TRAELC</v>
      </c>
      <c r="J120" t="str">
        <f>"Share~LO~"&amp;'City characteristics'!$C$20</f>
        <v>Share~LO~2019</v>
      </c>
      <c r="K120" s="9">
        <f>IF(B120="*",0,SUMIFS('TRA RESID'!N:N,'TRA RESID'!J:J,B120,'TRA RESID'!H:H,C120))</f>
        <v>1</v>
      </c>
      <c r="N120" t="str">
        <f>IF(Def_Tech!B118="*","*",Def_Tech!C118)</f>
        <v>CITY</v>
      </c>
      <c r="O120" t="str">
        <f>Def_Tech!D118</f>
        <v>TRAPASRAIPROELC19</v>
      </c>
      <c r="P120" t="str">
        <f>_xlfn.XLOOKUP(O120,'TRA RESID'!J:J,'TRA RESID'!I:I)</f>
        <v>TRAPASRAIDMD</v>
      </c>
      <c r="Q120" s="13">
        <f>_xlfn.XLOOKUP(O120,'TRA RESID'!J:J,'TRA RESID'!S:S)</f>
        <v>4.4006014412585122E-2</v>
      </c>
      <c r="R120">
        <f>_xlfn.XLOOKUP(O120,'TRA RESID'!J:J,'TRA RESID'!X:X)</f>
        <v>1</v>
      </c>
      <c r="S120" s="9">
        <f>_xlfn.XLOOKUP(O120,'TRA RESID'!J:J,'TRA RESID'!W:W)</f>
        <v>1</v>
      </c>
      <c r="T120" s="16">
        <f>_xlfn.XLOOKUP(O120,'TRA RESID'!J:J,'TRA RESID'!T:T)</f>
        <v>30</v>
      </c>
      <c r="U120" s="8">
        <f>_xlfn.XLOOKUP(O120,'TRA RESID'!J:J,'TRA RESID'!U:U)</f>
        <v>3506.474352651599</v>
      </c>
      <c r="V120" s="16">
        <f>SUMIFS('TRA RESID'!R:R,'TRA RESID'!J:J,O120)</f>
        <v>352.98637590003432</v>
      </c>
      <c r="W120" s="9">
        <f t="shared" si="3"/>
        <v>0.98</v>
      </c>
    </row>
    <row r="121" spans="2:23" x14ac:dyDescent="0.25">
      <c r="B121" t="str">
        <f>IF(C121="","*",IF(SUMIFS('TRA RESID'!R:R,'TRA RESID'!J:J,'TRA RESID'!J116)=0,"*",'TRA RESID'!J116))</f>
        <v>*</v>
      </c>
      <c r="C121" t="str">
        <f>IF('TRA RESID'!H116="","",'TRA RESID'!H116)</f>
        <v>TRAH2G</v>
      </c>
      <c r="D121" t="s">
        <v>405</v>
      </c>
      <c r="E121" s="9">
        <f>IF(B121="*",1,SUMIFS('TRA RESID'!O:O,'TRA RESID'!J:J,B121,'TRA RESID'!H:H,C121))</f>
        <v>1</v>
      </c>
      <c r="H121" t="str">
        <f>IF(I121="","*",IF(SUMIFS('TRA RESID'!R:R,'TRA RESID'!J:J,'TRA RESID'!J116)=0,"*",'TRA RESID'!J116))</f>
        <v>*</v>
      </c>
      <c r="I121" t="str">
        <f>IF('TRA RESID'!H116="","",'TRA RESID'!H116)</f>
        <v>TRAH2G</v>
      </c>
      <c r="J121" t="str">
        <f>"Share~LO~"&amp;'City characteristics'!$C$20</f>
        <v>Share~LO~2019</v>
      </c>
      <c r="K121" s="9">
        <f>IF(B121="*",0,SUMIFS('TRA RESID'!N:N,'TRA RESID'!J:J,B121,'TRA RESID'!H:H,C121))</f>
        <v>0</v>
      </c>
      <c r="N121" t="str">
        <f>IF(Def_Tech!B119="*","*",Def_Tech!C119)</f>
        <v>*</v>
      </c>
      <c r="O121" t="str">
        <f>Def_Tech!D119</f>
        <v>TRAPASRAIFCEV19</v>
      </c>
      <c r="P121" t="str">
        <f>_xlfn.XLOOKUP(O121,'TRA RESID'!J:J,'TRA RESID'!I:I)</f>
        <v>TRAPASRAIDMD</v>
      </c>
      <c r="Q121" s="13">
        <f>_xlfn.XLOOKUP(O121,'TRA RESID'!J:J,'TRA RESID'!S:S)</f>
        <v>4.4006014412585122E-2</v>
      </c>
      <c r="R121">
        <f>_xlfn.XLOOKUP(O121,'TRA RESID'!J:J,'TRA RESID'!X:X)</f>
        <v>1</v>
      </c>
      <c r="S121" s="9">
        <f>_xlfn.XLOOKUP(O121,'TRA RESID'!J:J,'TRA RESID'!W:W)</f>
        <v>1</v>
      </c>
      <c r="T121" s="16">
        <f>_xlfn.XLOOKUP(O121,'TRA RESID'!J:J,'TRA RESID'!T:T)</f>
        <v>30</v>
      </c>
      <c r="U121" s="8">
        <f>_xlfn.XLOOKUP(O121,'TRA RESID'!J:J,'TRA RESID'!U:U)</f>
        <v>3506.474352651599</v>
      </c>
      <c r="V121" s="16">
        <f>SUMIFS('TRA RESID'!R:R,'TRA RESID'!J:J,O121)</f>
        <v>0</v>
      </c>
      <c r="W121" s="9">
        <f t="shared" si="3"/>
        <v>0.98</v>
      </c>
    </row>
    <row r="122" spans="2:23" x14ac:dyDescent="0.25">
      <c r="B122" t="str">
        <f>IF(C122="","*",IF(SUMIFS('TRA RESID'!R:R,'TRA RESID'!J:J,'TRA RESID'!J117)=0,"*",'TRA RESID'!J117))</f>
        <v>*</v>
      </c>
      <c r="C122" t="str">
        <f>IF('TRA RESID'!H117="","",'TRA RESID'!H117)</f>
        <v>TRADSL</v>
      </c>
      <c r="D122" t="s">
        <v>405</v>
      </c>
      <c r="E122" s="9">
        <f>IF(B122="*",1,SUMIFS('TRA RESID'!O:O,'TRA RESID'!J:J,B122,'TRA RESID'!H:H,C122))</f>
        <v>1</v>
      </c>
      <c r="H122" t="str">
        <f>IF(I122="","*",IF(SUMIFS('TRA RESID'!R:R,'TRA RESID'!J:J,'TRA RESID'!J117)=0,"*",'TRA RESID'!J117))</f>
        <v>*</v>
      </c>
      <c r="I122" t="str">
        <f>IF('TRA RESID'!H117="","",'TRA RESID'!H117)</f>
        <v>TRADSL</v>
      </c>
      <c r="J122" t="str">
        <f>"Share~LO~"&amp;'City characteristics'!$C$20</f>
        <v>Share~LO~2019</v>
      </c>
      <c r="K122" s="9">
        <f>IF(B122="*",0,SUMIFS('TRA RESID'!N:N,'TRA RESID'!J:J,B122,'TRA RESID'!H:H,C122))</f>
        <v>0</v>
      </c>
      <c r="N122" t="str">
        <f>IF(Def_Tech!B120="*","*",Def_Tech!C120)</f>
        <v>*</v>
      </c>
      <c r="O122" t="str">
        <f>Def_Tech!D120</f>
        <v>TRAPASTRMICEVDSL19</v>
      </c>
      <c r="P122" t="str">
        <f>_xlfn.XLOOKUP(O122,'TRA RESID'!J:J,'TRA RESID'!I:I)</f>
        <v>TRAPASTRMDMD</v>
      </c>
      <c r="Q122" s="13">
        <f>_xlfn.XLOOKUP(O122,'TRA RESID'!J:J,'TRA RESID'!S:S)</f>
        <v>7.1504496939081452E-2</v>
      </c>
      <c r="R122">
        <f>_xlfn.XLOOKUP(O122,'TRA RESID'!J:J,'TRA RESID'!X:X)</f>
        <v>1</v>
      </c>
      <c r="S122" s="9">
        <f>_xlfn.XLOOKUP(O122,'TRA RESID'!J:J,'TRA RESID'!W:W)</f>
        <v>1</v>
      </c>
      <c r="T122" s="16">
        <f>_xlfn.XLOOKUP(O122,'TRA RESID'!J:J,'TRA RESID'!T:T)</f>
        <v>30</v>
      </c>
      <c r="U122" s="8">
        <f>_xlfn.XLOOKUP(O122,'TRA RESID'!J:J,'TRA RESID'!U:U)</f>
        <v>158.5923890582003</v>
      </c>
      <c r="V122" s="16">
        <f>SUMIFS('TRA RESID'!R:R,'TRA RESID'!J:J,O122)</f>
        <v>0</v>
      </c>
      <c r="W122" s="9">
        <f t="shared" si="3"/>
        <v>0.98</v>
      </c>
    </row>
    <row r="123" spans="2:23" x14ac:dyDescent="0.25">
      <c r="B123" t="str">
        <f>IF(C123="","*",IF(SUMIFS('TRA RESID'!R:R,'TRA RESID'!J:J,'TRA RESID'!J118)=0,"*",'TRA RESID'!J118))</f>
        <v>*</v>
      </c>
      <c r="C123" t="str">
        <f>IF('TRA RESID'!H118="","",'TRA RESID'!H118)</f>
        <v>TRARDS</v>
      </c>
      <c r="D123" t="s">
        <v>405</v>
      </c>
      <c r="E123" s="9">
        <f>IF(B123="*",1,SUMIFS('TRA RESID'!O:O,'TRA RESID'!J:J,B123,'TRA RESID'!H:H,C123))</f>
        <v>1</v>
      </c>
      <c r="H123" t="str">
        <f>IF(I123="","*",IF(SUMIFS('TRA RESID'!R:R,'TRA RESID'!J:J,'TRA RESID'!J118)=0,"*",'TRA RESID'!J118))</f>
        <v>*</v>
      </c>
      <c r="I123" t="str">
        <f>IF('TRA RESID'!H118="","",'TRA RESID'!H118)</f>
        <v>TRARDS</v>
      </c>
      <c r="J123" t="str">
        <f>"Share~LO~"&amp;'City characteristics'!$C$20</f>
        <v>Share~LO~2019</v>
      </c>
      <c r="K123" s="9">
        <f>IF(B123="*",0,SUMIFS('TRA RESID'!N:N,'TRA RESID'!J:J,B123,'TRA RESID'!H:H,C123))</f>
        <v>0</v>
      </c>
      <c r="N123" t="str">
        <f>IF(Def_Tech!B121="*","*",Def_Tech!C121)</f>
        <v>*</v>
      </c>
      <c r="O123" t="str">
        <f>Def_Tech!D121</f>
        <v>TRAPASTRMICEVDSL19</v>
      </c>
      <c r="P123" t="str">
        <f>_xlfn.XLOOKUP(O123,'TRA RESID'!J:J,'TRA RESID'!I:I)</f>
        <v>TRAPASTRMDMD</v>
      </c>
      <c r="Q123" s="13">
        <f>_xlfn.XLOOKUP(O123,'TRA RESID'!J:J,'TRA RESID'!S:S)</f>
        <v>7.1504496939081452E-2</v>
      </c>
      <c r="R123">
        <f>_xlfn.XLOOKUP(O123,'TRA RESID'!J:J,'TRA RESID'!X:X)</f>
        <v>1</v>
      </c>
      <c r="S123" s="9">
        <f>_xlfn.XLOOKUP(O123,'TRA RESID'!J:J,'TRA RESID'!W:W)</f>
        <v>1</v>
      </c>
      <c r="T123" s="16">
        <f>_xlfn.XLOOKUP(O123,'TRA RESID'!J:J,'TRA RESID'!T:T)</f>
        <v>30</v>
      </c>
      <c r="U123" s="8">
        <f>_xlfn.XLOOKUP(O123,'TRA RESID'!J:J,'TRA RESID'!U:U)</f>
        <v>158.5923890582003</v>
      </c>
      <c r="V123" s="16">
        <f>SUMIFS('TRA RESID'!R:R,'TRA RESID'!J:J,O123)</f>
        <v>0</v>
      </c>
      <c r="W123" s="9">
        <f t="shared" si="3"/>
        <v>0.98</v>
      </c>
    </row>
    <row r="124" spans="2:23" x14ac:dyDescent="0.25">
      <c r="B124" t="str">
        <f>IF(C124="","*",IF(SUMIFS('TRA RESID'!R:R,'TRA RESID'!J:J,'TRA RESID'!J119)=0,"*",'TRA RESID'!J119))</f>
        <v>*</v>
      </c>
      <c r="C124" t="str">
        <f>IF('TRA RESID'!H119="","",'TRA RESID'!H119)</f>
        <v>TRABDS</v>
      </c>
      <c r="D124" t="s">
        <v>405</v>
      </c>
      <c r="E124" s="9">
        <f>IF(B124="*",1,SUMIFS('TRA RESID'!O:O,'TRA RESID'!J:J,B124,'TRA RESID'!H:H,C124))</f>
        <v>1</v>
      </c>
      <c r="H124" t="str">
        <f>IF(I124="","*",IF(SUMIFS('TRA RESID'!R:R,'TRA RESID'!J:J,'TRA RESID'!J119)=0,"*",'TRA RESID'!J119))</f>
        <v>*</v>
      </c>
      <c r="I124" t="str">
        <f>IF('TRA RESID'!H119="","",'TRA RESID'!H119)</f>
        <v>TRABDS</v>
      </c>
      <c r="J124" t="str">
        <f>"Share~LO~"&amp;'City characteristics'!$C$20</f>
        <v>Share~LO~2019</v>
      </c>
      <c r="K124" s="9">
        <f>IF(B124="*",0,SUMIFS('TRA RESID'!N:N,'TRA RESID'!J:J,B124,'TRA RESID'!H:H,C124))</f>
        <v>0</v>
      </c>
      <c r="N124" t="str">
        <f>IF(Def_Tech!B122="*","*",Def_Tech!C122)</f>
        <v>*</v>
      </c>
      <c r="O124" t="str">
        <f>Def_Tech!D122</f>
        <v>TRAPASTRMICEVDSL19</v>
      </c>
      <c r="P124" t="str">
        <f>_xlfn.XLOOKUP(O124,'TRA RESID'!J:J,'TRA RESID'!I:I)</f>
        <v>TRAPASTRMDMD</v>
      </c>
      <c r="Q124" s="13">
        <f>_xlfn.XLOOKUP(O124,'TRA RESID'!J:J,'TRA RESID'!S:S)</f>
        <v>7.1504496939081452E-2</v>
      </c>
      <c r="R124">
        <f>_xlfn.XLOOKUP(O124,'TRA RESID'!J:J,'TRA RESID'!X:X)</f>
        <v>1</v>
      </c>
      <c r="S124" s="9">
        <f>_xlfn.XLOOKUP(O124,'TRA RESID'!J:J,'TRA RESID'!W:W)</f>
        <v>1</v>
      </c>
      <c r="T124" s="16">
        <f>_xlfn.XLOOKUP(O124,'TRA RESID'!J:J,'TRA RESID'!T:T)</f>
        <v>30</v>
      </c>
      <c r="U124" s="8">
        <f>_xlfn.XLOOKUP(O124,'TRA RESID'!J:J,'TRA RESID'!U:U)</f>
        <v>158.5923890582003</v>
      </c>
      <c r="V124" s="16">
        <f>SUMIFS('TRA RESID'!R:R,'TRA RESID'!J:J,O124)</f>
        <v>0</v>
      </c>
      <c r="W124" s="9">
        <f t="shared" si="3"/>
        <v>0.98</v>
      </c>
    </row>
    <row r="125" spans="2:23" x14ac:dyDescent="0.25">
      <c r="B125" t="str">
        <f>IF(C125="","*",IF(SUMIFS('TRA RESID'!R:R,'TRA RESID'!J:J,'TRA RESID'!J120)=0,"*",'TRA RESID'!J120))</f>
        <v>*</v>
      </c>
      <c r="C125" t="str">
        <f>IF('TRA RESID'!H120="","",'TRA RESID'!H120)</f>
        <v>TRACNG</v>
      </c>
      <c r="D125" t="s">
        <v>405</v>
      </c>
      <c r="E125" s="9">
        <f>IF(B125="*",1,SUMIFS('TRA RESID'!O:O,'TRA RESID'!J:J,B125,'TRA RESID'!H:H,C125))</f>
        <v>1</v>
      </c>
      <c r="H125" t="str">
        <f>IF(I125="","*",IF(SUMIFS('TRA RESID'!R:R,'TRA RESID'!J:J,'TRA RESID'!J120)=0,"*",'TRA RESID'!J120))</f>
        <v>*</v>
      </c>
      <c r="I125" t="str">
        <f>IF('TRA RESID'!H120="","",'TRA RESID'!H120)</f>
        <v>TRACNG</v>
      </c>
      <c r="J125" t="str">
        <f>"Share~LO~"&amp;'City characteristics'!$C$20</f>
        <v>Share~LO~2019</v>
      </c>
      <c r="K125" s="9">
        <f>IF(B125="*",0,SUMIFS('TRA RESID'!N:N,'TRA RESID'!J:J,B125,'TRA RESID'!H:H,C125))</f>
        <v>0</v>
      </c>
      <c r="N125" t="str">
        <f>IF(Def_Tech!B123="*","*",Def_Tech!C123)</f>
        <v>*</v>
      </c>
      <c r="O125" t="str">
        <f>Def_Tech!D123</f>
        <v>TRAPASTRMICEVCNG19</v>
      </c>
      <c r="P125" t="str">
        <f>_xlfn.XLOOKUP(O125,'TRA RESID'!J:J,'TRA RESID'!I:I)</f>
        <v>TRAPASTRMDMD</v>
      </c>
      <c r="Q125" s="13">
        <f>_xlfn.XLOOKUP(O125,'TRA RESID'!J:J,'TRA RESID'!S:S)</f>
        <v>8.0703905902004214E-2</v>
      </c>
      <c r="R125">
        <f>_xlfn.XLOOKUP(O125,'TRA RESID'!J:J,'TRA RESID'!X:X)</f>
        <v>1</v>
      </c>
      <c r="S125" s="9">
        <f>_xlfn.XLOOKUP(O125,'TRA RESID'!J:J,'TRA RESID'!W:W)</f>
        <v>1</v>
      </c>
      <c r="T125" s="16">
        <f>_xlfn.XLOOKUP(O125,'TRA RESID'!J:J,'TRA RESID'!T:T)</f>
        <v>30</v>
      </c>
      <c r="U125" s="8">
        <f>_xlfn.XLOOKUP(O125,'TRA RESID'!J:J,'TRA RESID'!U:U)</f>
        <v>158.5923890582003</v>
      </c>
      <c r="V125" s="16">
        <f>SUMIFS('TRA RESID'!R:R,'TRA RESID'!J:J,O125)</f>
        <v>0</v>
      </c>
      <c r="W125" s="9">
        <f t="shared" si="3"/>
        <v>0.98</v>
      </c>
    </row>
    <row r="126" spans="2:23" x14ac:dyDescent="0.25">
      <c r="B126" t="str">
        <f>IF(C126="","*",IF(SUMIFS('TRA RESID'!R:R,'TRA RESID'!J:J,'TRA RESID'!J121)=0,"*",'TRA RESID'!J121))</f>
        <v>*</v>
      </c>
      <c r="C126" t="str">
        <f>IF('TRA RESID'!H121="","",'TRA RESID'!H121)</f>
        <v>TRARNG</v>
      </c>
      <c r="D126" t="s">
        <v>405</v>
      </c>
      <c r="E126" s="9">
        <f>IF(B126="*",1,SUMIFS('TRA RESID'!O:O,'TRA RESID'!J:J,B126,'TRA RESID'!H:H,C126))</f>
        <v>1</v>
      </c>
      <c r="H126" t="str">
        <f>IF(I126="","*",IF(SUMIFS('TRA RESID'!R:R,'TRA RESID'!J:J,'TRA RESID'!J121)=0,"*",'TRA RESID'!J121))</f>
        <v>*</v>
      </c>
      <c r="I126" t="str">
        <f>IF('TRA RESID'!H121="","",'TRA RESID'!H121)</f>
        <v>TRARNG</v>
      </c>
      <c r="J126" t="str">
        <f>"Share~LO~"&amp;'City characteristics'!$C$20</f>
        <v>Share~LO~2019</v>
      </c>
      <c r="K126" s="9">
        <f>IF(B126="*",0,SUMIFS('TRA RESID'!N:N,'TRA RESID'!J:J,B126,'TRA RESID'!H:H,C126))</f>
        <v>0</v>
      </c>
      <c r="N126" t="str">
        <f>IF(Def_Tech!B124="*","*",Def_Tech!C124)</f>
        <v>*</v>
      </c>
      <c r="O126" t="str">
        <f>Def_Tech!D124</f>
        <v>TRAPASTRMICEVCNG19</v>
      </c>
      <c r="P126" t="str">
        <f>_xlfn.XLOOKUP(O126,'TRA RESID'!J:J,'TRA RESID'!I:I)</f>
        <v>TRAPASTRMDMD</v>
      </c>
      <c r="Q126" s="13">
        <f>_xlfn.XLOOKUP(O126,'TRA RESID'!J:J,'TRA RESID'!S:S)</f>
        <v>8.0703905902004214E-2</v>
      </c>
      <c r="R126">
        <f>_xlfn.XLOOKUP(O126,'TRA RESID'!J:J,'TRA RESID'!X:X)</f>
        <v>1</v>
      </c>
      <c r="S126" s="9">
        <f>_xlfn.XLOOKUP(O126,'TRA RESID'!J:J,'TRA RESID'!W:W)</f>
        <v>1</v>
      </c>
      <c r="T126" s="16">
        <f>_xlfn.XLOOKUP(O126,'TRA RESID'!J:J,'TRA RESID'!T:T)</f>
        <v>30</v>
      </c>
      <c r="U126" s="8">
        <f>_xlfn.XLOOKUP(O126,'TRA RESID'!J:J,'TRA RESID'!U:U)</f>
        <v>158.5923890582003</v>
      </c>
      <c r="V126" s="16">
        <f>SUMIFS('TRA RESID'!R:R,'TRA RESID'!J:J,O126)</f>
        <v>0</v>
      </c>
      <c r="W126" s="9">
        <f t="shared" si="3"/>
        <v>0.98</v>
      </c>
    </row>
    <row r="127" spans="2:23" x14ac:dyDescent="0.25">
      <c r="B127" t="str">
        <f>IF(C127="","*",IF(SUMIFS('TRA RESID'!R:R,'TRA RESID'!J:J,'TRA RESID'!J122)=0,"*",'TRA RESID'!J122))</f>
        <v>*</v>
      </c>
      <c r="C127" t="str">
        <f>IF('TRA RESID'!H122="","",'TRA RESID'!H122)</f>
        <v>TRAELC</v>
      </c>
      <c r="D127" t="s">
        <v>405</v>
      </c>
      <c r="E127" s="9">
        <f>IF(B127="*",1,SUMIFS('TRA RESID'!O:O,'TRA RESID'!J:J,B127,'TRA RESID'!H:H,C127))</f>
        <v>1</v>
      </c>
      <c r="H127" t="str">
        <f>IF(I127="","*",IF(SUMIFS('TRA RESID'!R:R,'TRA RESID'!J:J,'TRA RESID'!J122)=0,"*",'TRA RESID'!J122))</f>
        <v>*</v>
      </c>
      <c r="I127" t="str">
        <f>IF('TRA RESID'!H122="","",'TRA RESID'!H122)</f>
        <v>TRAELC</v>
      </c>
      <c r="J127" t="str">
        <f>"Share~LO~"&amp;'City characteristics'!$C$20</f>
        <v>Share~LO~2019</v>
      </c>
      <c r="K127" s="9">
        <f>IF(B127="*",0,SUMIFS('TRA RESID'!N:N,'TRA RESID'!J:J,B127,'TRA RESID'!H:H,C127))</f>
        <v>0</v>
      </c>
      <c r="N127" t="str">
        <f>IF(Def_Tech!B125="*","*",Def_Tech!C125)</f>
        <v>*</v>
      </c>
      <c r="O127" t="str">
        <f>Def_Tech!D125</f>
        <v>TRAPASTRMPROELC19</v>
      </c>
      <c r="P127" t="str">
        <f>_xlfn.XLOOKUP(O127,'TRA RESID'!J:J,'TRA RESID'!I:I)</f>
        <v>TRAPASTRMDMD</v>
      </c>
      <c r="Q127" s="13">
        <f>_xlfn.XLOOKUP(O127,'TRA RESID'!J:J,'TRA RESID'!S:S)</f>
        <v>8.0703905902004214E-2</v>
      </c>
      <c r="R127">
        <f>_xlfn.XLOOKUP(O127,'TRA RESID'!J:J,'TRA RESID'!X:X)</f>
        <v>1</v>
      </c>
      <c r="S127" s="9">
        <f>_xlfn.XLOOKUP(O127,'TRA RESID'!J:J,'TRA RESID'!W:W)</f>
        <v>1</v>
      </c>
      <c r="T127" s="16">
        <f>_xlfn.XLOOKUP(O127,'TRA RESID'!J:J,'TRA RESID'!T:T)</f>
        <v>30</v>
      </c>
      <c r="U127" s="8">
        <f>_xlfn.XLOOKUP(O127,'TRA RESID'!J:J,'TRA RESID'!U:U)</f>
        <v>158.5923890582003</v>
      </c>
      <c r="V127" s="16">
        <f>SUMIFS('TRA RESID'!R:R,'TRA RESID'!J:J,O127)</f>
        <v>0</v>
      </c>
      <c r="W127" s="9">
        <f t="shared" si="3"/>
        <v>0.98</v>
      </c>
    </row>
    <row r="128" spans="2:23" x14ac:dyDescent="0.25">
      <c r="B128" t="str">
        <f>IF(C128="","*",IF(SUMIFS('TRA RESID'!R:R,'TRA RESID'!J:J,'TRA RESID'!J123)=0,"*",'TRA RESID'!J123))</f>
        <v>*</v>
      </c>
      <c r="C128" t="str">
        <f>IF('TRA RESID'!H123="","",'TRA RESID'!H123)</f>
        <v>TRAELC</v>
      </c>
      <c r="D128" t="s">
        <v>405</v>
      </c>
      <c r="E128" s="9">
        <f>IF(B128="*",1,SUMIFS('TRA RESID'!O:O,'TRA RESID'!J:J,B128,'TRA RESID'!H:H,C128))</f>
        <v>1</v>
      </c>
      <c r="H128" t="str">
        <f>IF(I128="","*",IF(SUMIFS('TRA RESID'!R:R,'TRA RESID'!J:J,'TRA RESID'!J123)=0,"*",'TRA RESID'!J123))</f>
        <v>*</v>
      </c>
      <c r="I128" t="str">
        <f>IF('TRA RESID'!H123="","",'TRA RESID'!H123)</f>
        <v>TRAELC</v>
      </c>
      <c r="J128" t="str">
        <f>"Share~LO~"&amp;'City characteristics'!$C$20</f>
        <v>Share~LO~2019</v>
      </c>
      <c r="K128" s="9">
        <f>IF(B128="*",0,SUMIFS('TRA RESID'!N:N,'TRA RESID'!J:J,B128,'TRA RESID'!H:H,C128))</f>
        <v>0</v>
      </c>
      <c r="N128" t="str">
        <f>IF(Def_Tech!B126="*","*",Def_Tech!C126)</f>
        <v>*</v>
      </c>
      <c r="O128" t="str">
        <f>Def_Tech!D126</f>
        <v>TRAPASSUBPROELC19</v>
      </c>
      <c r="P128" t="str">
        <f>_xlfn.XLOOKUP(O128,'TRA RESID'!J:J,'TRA RESID'!I:I)</f>
        <v>TRAPASSUBDMD</v>
      </c>
      <c r="Q128" s="13">
        <f>_xlfn.XLOOKUP(O128,'TRA RESID'!J:J,'TRA RESID'!S:S)</f>
        <v>8.0703905902004214E-2</v>
      </c>
      <c r="R128">
        <f>_xlfn.XLOOKUP(O128,'TRA RESID'!J:J,'TRA RESID'!X:X)</f>
        <v>1</v>
      </c>
      <c r="S128" s="9">
        <f>_xlfn.XLOOKUP(O128,'TRA RESID'!J:J,'TRA RESID'!W:W)</f>
        <v>1</v>
      </c>
      <c r="T128" s="16">
        <f>_xlfn.XLOOKUP(O128,'TRA RESID'!J:J,'TRA RESID'!T:T)</f>
        <v>30</v>
      </c>
      <c r="U128" s="8">
        <f>_xlfn.XLOOKUP(O128,'TRA RESID'!J:J,'TRA RESID'!U:U)</f>
        <v>158.5923890582003</v>
      </c>
      <c r="V128" s="16">
        <f>SUMIFS('TRA RESID'!R:R,'TRA RESID'!J:J,O128)</f>
        <v>0</v>
      </c>
      <c r="W128" s="9">
        <f t="shared" si="3"/>
        <v>0.98</v>
      </c>
    </row>
    <row r="129" spans="2:23" x14ac:dyDescent="0.25">
      <c r="B129" t="str">
        <f>IF(C129="","*",IF(SUMIFS('TRA RESID'!R:R,'TRA RESID'!J:J,'TRA RESID'!J124)=0,"*",'TRA RESID'!J124))</f>
        <v>*</v>
      </c>
      <c r="C129" t="str">
        <f>IF('TRA RESID'!H124="","",'TRA RESID'!H124)</f>
        <v/>
      </c>
      <c r="D129" t="s">
        <v>405</v>
      </c>
      <c r="E129" s="9">
        <f>IF(B129="*",1,SUMIFS('TRA RESID'!O:O,'TRA RESID'!J:J,B129,'TRA RESID'!H:H,C129))</f>
        <v>1</v>
      </c>
      <c r="H129" t="str">
        <f>IF(I129="","*",IF(SUMIFS('TRA RESID'!R:R,'TRA RESID'!J:J,'TRA RESID'!J124)=0,"*",'TRA RESID'!J124))</f>
        <v>*</v>
      </c>
      <c r="I129" t="str">
        <f>IF('TRA RESID'!H124="","",'TRA RESID'!H124)</f>
        <v/>
      </c>
      <c r="J129" t="str">
        <f>"Share~LO~"&amp;'City characteristics'!$C$20</f>
        <v>Share~LO~2019</v>
      </c>
      <c r="K129" s="9">
        <f>IF(B129="*",0,SUMIFS('TRA RESID'!N:N,'TRA RESID'!J:J,B129,'TRA RESID'!H:H,C129))</f>
        <v>0</v>
      </c>
      <c r="N129" t="str">
        <f>IF(Def_Tech!B127="*","*",Def_Tech!C127)</f>
        <v>CITY</v>
      </c>
      <c r="O129" t="str">
        <f>Def_Tech!D127</f>
        <v>TRAPASBIC19</v>
      </c>
      <c r="P129" t="str">
        <f>_xlfn.XLOOKUP(O129,'TRA RESID'!J:J,'TRA RESID'!I:I)</f>
        <v>TRAPASBICDMD</v>
      </c>
      <c r="Q129" s="13">
        <f>_xlfn.XLOOKUP(O129,'TRA RESID'!J:J,'TRA RESID'!S:S)</f>
        <v>1</v>
      </c>
      <c r="R129">
        <f>_xlfn.XLOOKUP(O129,'TRA RESID'!J:J,'TRA RESID'!X:X)</f>
        <v>1</v>
      </c>
      <c r="S129" s="9">
        <f>_xlfn.XLOOKUP(O129,'TRA RESID'!J:J,'TRA RESID'!W:W)</f>
        <v>1</v>
      </c>
      <c r="T129" s="16">
        <f>_xlfn.XLOOKUP(O129,'TRA RESID'!J:J,'TRA RESID'!T:T)</f>
        <v>50</v>
      </c>
      <c r="U129" s="8">
        <f>_xlfn.XLOOKUP(O129,'TRA RESID'!J:J,'TRA RESID'!U:U)</f>
        <v>0</v>
      </c>
      <c r="V129" s="16">
        <f>SUMIFS('TRA RESID'!R:R,'TRA RESID'!J:J,O129)</f>
        <v>783.71641071992963</v>
      </c>
      <c r="W129" s="9">
        <f t="shared" si="3"/>
        <v>0.98</v>
      </c>
    </row>
    <row r="130" spans="2:23" x14ac:dyDescent="0.25">
      <c r="B130" t="str">
        <f>IF(C130="","*",IF(SUMIFS('TRA RESID'!R:R,'TRA RESID'!J:J,'TRA RESID'!J125)=0,"*",'TRA RESID'!J125))</f>
        <v>*</v>
      </c>
      <c r="C130" t="str">
        <f>IF('TRA RESID'!H125="","",'TRA RESID'!H125)</f>
        <v/>
      </c>
      <c r="D130" t="s">
        <v>405</v>
      </c>
      <c r="E130" s="9">
        <f>IF(B130="*",1,SUMIFS('TRA RESID'!O:O,'TRA RESID'!J:J,B130,'TRA RESID'!H:H,C130))</f>
        <v>1</v>
      </c>
      <c r="H130" t="str">
        <f>IF(I130="","*",IF(SUMIFS('TRA RESID'!R:R,'TRA RESID'!J:J,'TRA RESID'!J125)=0,"*",'TRA RESID'!J125))</f>
        <v>*</v>
      </c>
      <c r="I130" t="str">
        <f>IF('TRA RESID'!H125="","",'TRA RESID'!H125)</f>
        <v/>
      </c>
      <c r="J130" t="str">
        <f>"Share~LO~"&amp;'City characteristics'!$C$20</f>
        <v>Share~LO~2019</v>
      </c>
      <c r="K130" s="9">
        <f>IF(B130="*",0,SUMIFS('TRA RESID'!N:N,'TRA RESID'!J:J,B130,'TRA RESID'!H:H,C130))</f>
        <v>0</v>
      </c>
      <c r="N130" t="str">
        <f>IF(Def_Tech!B128="*","*",Def_Tech!C128)</f>
        <v>CITY</v>
      </c>
      <c r="O130" t="str">
        <f>Def_Tech!D128</f>
        <v>TRAPASWAL19</v>
      </c>
      <c r="P130" t="str">
        <f>_xlfn.XLOOKUP(O130,'TRA RESID'!J:J,'TRA RESID'!I:I)</f>
        <v>TRAPASWALDMD</v>
      </c>
      <c r="Q130" s="13">
        <f>_xlfn.XLOOKUP(O130,'TRA RESID'!J:J,'TRA RESID'!S:S)</f>
        <v>1</v>
      </c>
      <c r="R130">
        <f>_xlfn.XLOOKUP(O130,'TRA RESID'!J:J,'TRA RESID'!X:X)</f>
        <v>1</v>
      </c>
      <c r="S130" s="9">
        <f>_xlfn.XLOOKUP(O130,'TRA RESID'!J:J,'TRA RESID'!W:W)</f>
        <v>1</v>
      </c>
      <c r="T130" s="16">
        <f>_xlfn.XLOOKUP(O130,'TRA RESID'!J:J,'TRA RESID'!T:T)</f>
        <v>100</v>
      </c>
      <c r="U130" s="8">
        <f>_xlfn.XLOOKUP(O130,'TRA RESID'!J:J,'TRA RESID'!U:U)</f>
        <v>0</v>
      </c>
      <c r="V130" s="16">
        <f>SUMIFS('TRA RESID'!R:R,'TRA RESID'!J:J,O130)</f>
        <v>4185.0616827171943</v>
      </c>
      <c r="W130" s="9">
        <f t="shared" si="3"/>
        <v>0.98</v>
      </c>
    </row>
    <row r="131" spans="2:23" x14ac:dyDescent="0.25">
      <c r="B131" t="str">
        <f>IF(C131="","*",IF(SUMIFS('TRA RESID'!R:R,'TRA RESID'!J:J,'TRA RESID'!J126)=0,"*",'TRA RESID'!J126))</f>
        <v>*</v>
      </c>
      <c r="C131" t="str">
        <f>IF('TRA RESID'!H126="","",'TRA RESID'!H126)</f>
        <v>TRAGSL</v>
      </c>
      <c r="D131" t="s">
        <v>405</v>
      </c>
      <c r="E131" s="9">
        <f>IF(B131="*",1,SUMIFS('TRA RESID'!O:O,'TRA RESID'!J:J,B131,'TRA RESID'!H:H,C131))</f>
        <v>1</v>
      </c>
      <c r="H131" t="str">
        <f>IF(I131="","*",IF(SUMIFS('TRA RESID'!R:R,'TRA RESID'!J:J,'TRA RESID'!J126)=0,"*",'TRA RESID'!J126))</f>
        <v>*</v>
      </c>
      <c r="I131" t="str">
        <f>IF('TRA RESID'!H126="","",'TRA RESID'!H126)</f>
        <v>TRAGSL</v>
      </c>
      <c r="J131" t="str">
        <f>"Share~LO~"&amp;'City characteristics'!$C$20</f>
        <v>Share~LO~2019</v>
      </c>
      <c r="K131" s="9">
        <f>IF(B131="*",0,SUMIFS('TRA RESID'!N:N,'TRA RESID'!J:J,B131,'TRA RESID'!H:H,C131))</f>
        <v>0</v>
      </c>
      <c r="N131" t="str">
        <f>IF(Def_Tech!B129="*","*",Def_Tech!C129)</f>
        <v>*</v>
      </c>
      <c r="O131" t="str">
        <f>Def_Tech!D129</f>
        <v>TRAOTHOFRICEVGSL19</v>
      </c>
      <c r="P131" t="str">
        <f>_xlfn.XLOOKUP(O131,'TRA RESID'!J:J,'TRA RESID'!I:I)</f>
        <v>TRAOTHOFRDMD</v>
      </c>
      <c r="Q131" s="13">
        <f>_xlfn.XLOOKUP(O131,'TRA RESID'!J:J,'TRA RESID'!S:S)</f>
        <v>0.10837962752894351</v>
      </c>
      <c r="R131">
        <f>_xlfn.XLOOKUP(O131,'TRA RESID'!J:J,'TRA RESID'!X:X)</f>
        <v>1</v>
      </c>
      <c r="S131" s="9">
        <f>_xlfn.XLOOKUP(O131,'TRA RESID'!J:J,'TRA RESID'!W:W)</f>
        <v>1</v>
      </c>
      <c r="T131" s="16">
        <f>_xlfn.XLOOKUP(O131,'TRA RESID'!J:J,'TRA RESID'!T:T)</f>
        <v>8</v>
      </c>
      <c r="U131" s="8">
        <f>_xlfn.XLOOKUP(O131,'TRA RESID'!J:J,'TRA RESID'!U:U)</f>
        <v>10.491571958288359</v>
      </c>
      <c r="V131" s="16">
        <f>SUMIFS('TRA RESID'!R:R,'TRA RESID'!J:J,O131)</f>
        <v>0</v>
      </c>
      <c r="W131" s="9">
        <f t="shared" si="3"/>
        <v>0.98</v>
      </c>
    </row>
    <row r="132" spans="2:23" x14ac:dyDescent="0.25">
      <c r="B132" t="str">
        <f>IF(C132="","*",IF(SUMIFS('TRA RESID'!R:R,'TRA RESID'!J:J,'TRA RESID'!J127)=0,"*",'TRA RESID'!J127))</f>
        <v>*</v>
      </c>
      <c r="C132" t="str">
        <f>IF('TRA RESID'!H127="","",'TRA RESID'!H127)</f>
        <v>TRAETH</v>
      </c>
      <c r="D132" t="s">
        <v>405</v>
      </c>
      <c r="E132" s="9">
        <f>IF(B132="*",1,SUMIFS('TRA RESID'!O:O,'TRA RESID'!J:J,B132,'TRA RESID'!H:H,C132))</f>
        <v>1</v>
      </c>
      <c r="H132" t="str">
        <f>IF(I132="","*",IF(SUMIFS('TRA RESID'!R:R,'TRA RESID'!J:J,'TRA RESID'!J127)=0,"*",'TRA RESID'!J127))</f>
        <v>*</v>
      </c>
      <c r="I132" t="str">
        <f>IF('TRA RESID'!H127="","",'TRA RESID'!H127)</f>
        <v>TRAETH</v>
      </c>
      <c r="J132" t="str">
        <f>"Share~LO~"&amp;'City characteristics'!$C$20</f>
        <v>Share~LO~2019</v>
      </c>
      <c r="K132" s="9">
        <f>IF(B132="*",0,SUMIFS('TRA RESID'!N:N,'TRA RESID'!J:J,B132,'TRA RESID'!H:H,C132))</f>
        <v>0</v>
      </c>
      <c r="N132" t="str">
        <f>IF(Def_Tech!B130="*","*",Def_Tech!C130)</f>
        <v>*</v>
      </c>
      <c r="O132" t="str">
        <f>Def_Tech!D130</f>
        <v>TRAOTHOFRICEVGSL19</v>
      </c>
      <c r="P132" t="str">
        <f>_xlfn.XLOOKUP(O132,'TRA RESID'!J:J,'TRA RESID'!I:I)</f>
        <v>TRAOTHOFRDMD</v>
      </c>
      <c r="Q132" s="13">
        <f>_xlfn.XLOOKUP(O132,'TRA RESID'!J:J,'TRA RESID'!S:S)</f>
        <v>0.10837962752894351</v>
      </c>
      <c r="R132">
        <f>_xlfn.XLOOKUP(O132,'TRA RESID'!J:J,'TRA RESID'!X:X)</f>
        <v>1</v>
      </c>
      <c r="S132" s="9">
        <f>_xlfn.XLOOKUP(O132,'TRA RESID'!J:J,'TRA RESID'!W:W)</f>
        <v>1</v>
      </c>
      <c r="T132" s="16">
        <f>_xlfn.XLOOKUP(O132,'TRA RESID'!J:J,'TRA RESID'!T:T)</f>
        <v>8</v>
      </c>
      <c r="U132" s="8">
        <f>_xlfn.XLOOKUP(O132,'TRA RESID'!J:J,'TRA RESID'!U:U)</f>
        <v>10.491571958288359</v>
      </c>
      <c r="V132" s="16">
        <f>SUMIFS('TRA RESID'!R:R,'TRA RESID'!J:J,O132)</f>
        <v>0</v>
      </c>
      <c r="W132" s="9">
        <f t="shared" si="3"/>
        <v>0.98</v>
      </c>
    </row>
    <row r="133" spans="2:23" x14ac:dyDescent="0.25">
      <c r="B133" t="str">
        <f>IF(C133="","*",IF(SUMIFS('TRA RESID'!R:R,'TRA RESID'!J:J,'TRA RESID'!J128)=0,"*",'TRA RESID'!J128))</f>
        <v>*</v>
      </c>
      <c r="C133" t="str">
        <f>IF('TRA RESID'!H128="","",'TRA RESID'!H128)</f>
        <v>TRADSL</v>
      </c>
      <c r="D133" t="s">
        <v>405</v>
      </c>
      <c r="E133" s="9">
        <f>IF(B133="*",1,SUMIFS('TRA RESID'!O:O,'TRA RESID'!J:J,B133,'TRA RESID'!H:H,C133))</f>
        <v>1</v>
      </c>
      <c r="H133" t="str">
        <f>IF(I133="","*",IF(SUMIFS('TRA RESID'!R:R,'TRA RESID'!J:J,'TRA RESID'!J128)=0,"*",'TRA RESID'!J128))</f>
        <v>*</v>
      </c>
      <c r="I133" t="str">
        <f>IF('TRA RESID'!H128="","",'TRA RESID'!H128)</f>
        <v>TRADSL</v>
      </c>
      <c r="J133" t="str">
        <f>"Share~LO~"&amp;'City characteristics'!$C$20</f>
        <v>Share~LO~2019</v>
      </c>
      <c r="K133" s="9">
        <f>IF(B133="*",0,SUMIFS('TRA RESID'!N:N,'TRA RESID'!J:J,B133,'TRA RESID'!H:H,C133))</f>
        <v>0</v>
      </c>
      <c r="N133" t="str">
        <f>IF(Def_Tech!B131="*","*",Def_Tech!C131)</f>
        <v>*</v>
      </c>
      <c r="O133" t="str">
        <f>Def_Tech!D131</f>
        <v>TRAOTHOFRICEVDSL19</v>
      </c>
      <c r="P133" t="str">
        <f>_xlfn.XLOOKUP(O133,'TRA RESID'!J:J,'TRA RESID'!I:I)</f>
        <v>TRAOTHOFRDMD</v>
      </c>
      <c r="Q133" s="13">
        <f>_xlfn.XLOOKUP(O133,'TRA RESID'!J:J,'TRA RESID'!S:S)</f>
        <v>0.10461489771314229</v>
      </c>
      <c r="R133">
        <f>_xlfn.XLOOKUP(O133,'TRA RESID'!J:J,'TRA RESID'!X:X)</f>
        <v>1</v>
      </c>
      <c r="S133" s="9">
        <f>_xlfn.XLOOKUP(O133,'TRA RESID'!J:J,'TRA RESID'!W:W)</f>
        <v>1</v>
      </c>
      <c r="T133" s="16">
        <f>_xlfn.XLOOKUP(O133,'TRA RESID'!J:J,'TRA RESID'!T:T)</f>
        <v>8</v>
      </c>
      <c r="U133" s="8">
        <f>_xlfn.XLOOKUP(O133,'TRA RESID'!J:J,'TRA RESID'!U:U)</f>
        <v>10.491571958288359</v>
      </c>
      <c r="V133" s="16">
        <f>SUMIFS('TRA RESID'!R:R,'TRA RESID'!J:J,O133)</f>
        <v>0</v>
      </c>
      <c r="W133" s="9">
        <f t="shared" si="3"/>
        <v>0.98</v>
      </c>
    </row>
    <row r="134" spans="2:23" x14ac:dyDescent="0.25">
      <c r="B134" t="str">
        <f>IF(C134="","*",IF(SUMIFS('TRA RESID'!R:R,'TRA RESID'!J:J,'TRA RESID'!J129)=0,"*",'TRA RESID'!J129))</f>
        <v>*</v>
      </c>
      <c r="C134" t="str">
        <f>IF('TRA RESID'!H129="","",'TRA RESID'!H129)</f>
        <v>TRARDS</v>
      </c>
      <c r="D134" t="s">
        <v>405</v>
      </c>
      <c r="E134" s="9">
        <f>IF(B134="*",1,SUMIFS('TRA RESID'!O:O,'TRA RESID'!J:J,B134,'TRA RESID'!H:H,C134))</f>
        <v>1</v>
      </c>
      <c r="H134" t="str">
        <f>IF(I134="","*",IF(SUMIFS('TRA RESID'!R:R,'TRA RESID'!J:J,'TRA RESID'!J129)=0,"*",'TRA RESID'!J129))</f>
        <v>*</v>
      </c>
      <c r="I134" t="str">
        <f>IF('TRA RESID'!H129="","",'TRA RESID'!H129)</f>
        <v>TRARDS</v>
      </c>
      <c r="J134" t="str">
        <f>"Share~LO~"&amp;'City characteristics'!$C$20</f>
        <v>Share~LO~2019</v>
      </c>
      <c r="K134" s="9">
        <f>IF(B134="*",0,SUMIFS('TRA RESID'!N:N,'TRA RESID'!J:J,B134,'TRA RESID'!H:H,C134))</f>
        <v>0</v>
      </c>
      <c r="N134" t="str">
        <f>IF(Def_Tech!B132="*","*",Def_Tech!C132)</f>
        <v>*</v>
      </c>
      <c r="O134" t="str">
        <f>Def_Tech!D132</f>
        <v>TRAOTHOFRICEVDSL19</v>
      </c>
      <c r="P134" t="str">
        <f>_xlfn.XLOOKUP(O134,'TRA RESID'!J:J,'TRA RESID'!I:I)</f>
        <v>TRAOTHOFRDMD</v>
      </c>
      <c r="Q134" s="13">
        <f>_xlfn.XLOOKUP(O134,'TRA RESID'!J:J,'TRA RESID'!S:S)</f>
        <v>0.10461489771314229</v>
      </c>
      <c r="R134">
        <f>_xlfn.XLOOKUP(O134,'TRA RESID'!J:J,'TRA RESID'!X:X)</f>
        <v>1</v>
      </c>
      <c r="S134" s="9">
        <f>_xlfn.XLOOKUP(O134,'TRA RESID'!J:J,'TRA RESID'!W:W)</f>
        <v>1</v>
      </c>
      <c r="T134" s="16">
        <f>_xlfn.XLOOKUP(O134,'TRA RESID'!J:J,'TRA RESID'!T:T)</f>
        <v>8</v>
      </c>
      <c r="U134" s="8">
        <f>_xlfn.XLOOKUP(O134,'TRA RESID'!J:J,'TRA RESID'!U:U)</f>
        <v>10.491571958288359</v>
      </c>
      <c r="V134" s="16">
        <f>SUMIFS('TRA RESID'!R:R,'TRA RESID'!J:J,O134)</f>
        <v>0</v>
      </c>
      <c r="W134" s="9">
        <f t="shared" si="3"/>
        <v>0.98</v>
      </c>
    </row>
    <row r="135" spans="2:23" x14ac:dyDescent="0.25">
      <c r="B135" t="str">
        <f>IF(C135="","*",IF(SUMIFS('TRA RESID'!R:R,'TRA RESID'!J:J,'TRA RESID'!J130)=0,"*",'TRA RESID'!J130))</f>
        <v>*</v>
      </c>
      <c r="C135" t="str">
        <f>IF('TRA RESID'!H130="","",'TRA RESID'!H130)</f>
        <v>TRABDS</v>
      </c>
      <c r="D135" t="s">
        <v>405</v>
      </c>
      <c r="E135" s="9">
        <f>IF(B135="*",1,SUMIFS('TRA RESID'!O:O,'TRA RESID'!J:J,B135,'TRA RESID'!H:H,C135))</f>
        <v>1</v>
      </c>
      <c r="H135" t="str">
        <f>IF(I135="","*",IF(SUMIFS('TRA RESID'!R:R,'TRA RESID'!J:J,'TRA RESID'!J130)=0,"*",'TRA RESID'!J130))</f>
        <v>*</v>
      </c>
      <c r="I135" t="str">
        <f>IF('TRA RESID'!H130="","",'TRA RESID'!H130)</f>
        <v>TRABDS</v>
      </c>
      <c r="J135" t="str">
        <f>"Share~LO~"&amp;'City characteristics'!$C$20</f>
        <v>Share~LO~2019</v>
      </c>
      <c r="K135" s="9">
        <f>IF(B135="*",0,SUMIFS('TRA RESID'!N:N,'TRA RESID'!J:J,B135,'TRA RESID'!H:H,C135))</f>
        <v>0</v>
      </c>
      <c r="N135" t="str">
        <f>IF(Def_Tech!B133="*","*",Def_Tech!C133)</f>
        <v>*</v>
      </c>
      <c r="O135" t="str">
        <f>Def_Tech!D133</f>
        <v>TRAOTHOFRICEVDSL19</v>
      </c>
      <c r="P135" t="str">
        <f>_xlfn.XLOOKUP(O135,'TRA RESID'!J:J,'TRA RESID'!I:I)</f>
        <v>TRAOTHOFRDMD</v>
      </c>
      <c r="Q135" s="13">
        <f>_xlfn.XLOOKUP(O135,'TRA RESID'!J:J,'TRA RESID'!S:S)</f>
        <v>0.10461489771314229</v>
      </c>
      <c r="R135">
        <f>_xlfn.XLOOKUP(O135,'TRA RESID'!J:J,'TRA RESID'!X:X)</f>
        <v>1</v>
      </c>
      <c r="S135" s="9">
        <f>_xlfn.XLOOKUP(O135,'TRA RESID'!J:J,'TRA RESID'!W:W)</f>
        <v>1</v>
      </c>
      <c r="T135" s="16">
        <f>_xlfn.XLOOKUP(O135,'TRA RESID'!J:J,'TRA RESID'!T:T)</f>
        <v>8</v>
      </c>
      <c r="U135" s="8">
        <f>_xlfn.XLOOKUP(O135,'TRA RESID'!J:J,'TRA RESID'!U:U)</f>
        <v>10.491571958288359</v>
      </c>
      <c r="V135" s="16">
        <f>SUMIFS('TRA RESID'!R:R,'TRA RESID'!J:J,O135)</f>
        <v>0</v>
      </c>
      <c r="W135" s="9">
        <f t="shared" ref="W135:W148" si="4">S135*W$1</f>
        <v>0.98</v>
      </c>
    </row>
    <row r="136" spans="2:23" x14ac:dyDescent="0.25">
      <c r="B136" t="str">
        <f>IF(C136="","*",IF(SUMIFS('TRA RESID'!R:R,'TRA RESID'!J:J,'TRA RESID'!J131)=0,"*",'TRA RESID'!J131))</f>
        <v>*</v>
      </c>
      <c r="C136" t="str">
        <f>IF('TRA RESID'!H131="","",'TRA RESID'!H131)</f>
        <v>TRACNG</v>
      </c>
      <c r="D136" t="s">
        <v>405</v>
      </c>
      <c r="E136" s="9">
        <f>IF(B136="*",1,SUMIFS('TRA RESID'!O:O,'TRA RESID'!J:J,B136,'TRA RESID'!H:H,C136))</f>
        <v>1</v>
      </c>
      <c r="H136" t="str">
        <f>IF(I136="","*",IF(SUMIFS('TRA RESID'!R:R,'TRA RESID'!J:J,'TRA RESID'!J131)=0,"*",'TRA RESID'!J131))</f>
        <v>*</v>
      </c>
      <c r="I136" t="str">
        <f>IF('TRA RESID'!H131="","",'TRA RESID'!H131)</f>
        <v>TRACNG</v>
      </c>
      <c r="J136" t="str">
        <f>"Share~LO~"&amp;'City characteristics'!$C$20</f>
        <v>Share~LO~2019</v>
      </c>
      <c r="K136" s="9">
        <f>IF(B136="*",0,SUMIFS('TRA RESID'!N:N,'TRA RESID'!J:J,B136,'TRA RESID'!H:H,C136))</f>
        <v>0</v>
      </c>
      <c r="N136" t="str">
        <f>IF(Def_Tech!B134="*","*",Def_Tech!C134)</f>
        <v>*</v>
      </c>
      <c r="O136" t="str">
        <f>Def_Tech!D134</f>
        <v>TRAOTHOFRICEVCNG19</v>
      </c>
      <c r="P136" t="str">
        <f>_xlfn.XLOOKUP(O136,'TRA RESID'!J:J,'TRA RESID'!I:I)</f>
        <v>TRAOTHOFRDMD</v>
      </c>
      <c r="Q136" s="13">
        <f>_xlfn.XLOOKUP(O136,'TRA RESID'!J:J,'TRA RESID'!S:S)</f>
        <v>0.10837962752894351</v>
      </c>
      <c r="R136">
        <f>_xlfn.XLOOKUP(O136,'TRA RESID'!J:J,'TRA RESID'!X:X)</f>
        <v>1</v>
      </c>
      <c r="S136" s="9">
        <f>_xlfn.XLOOKUP(O136,'TRA RESID'!J:J,'TRA RESID'!W:W)</f>
        <v>1</v>
      </c>
      <c r="T136" s="16">
        <f>_xlfn.XLOOKUP(O136,'TRA RESID'!J:J,'TRA RESID'!T:T)</f>
        <v>8</v>
      </c>
      <c r="U136" s="8">
        <f>_xlfn.XLOOKUP(O136,'TRA RESID'!J:J,'TRA RESID'!U:U)</f>
        <v>10.491571958288359</v>
      </c>
      <c r="V136" s="16">
        <f>SUMIFS('TRA RESID'!R:R,'TRA RESID'!J:J,O136)</f>
        <v>0</v>
      </c>
      <c r="W136" s="9">
        <f t="shared" si="4"/>
        <v>0.98</v>
      </c>
    </row>
    <row r="137" spans="2:23" x14ac:dyDescent="0.25">
      <c r="B137" t="str">
        <f>IF(C137="","*",IF(SUMIFS('TRA RESID'!R:R,'TRA RESID'!J:J,'TRA RESID'!J132)=0,"*",'TRA RESID'!J132))</f>
        <v>*</v>
      </c>
      <c r="C137" t="str">
        <f>IF('TRA RESID'!H132="","",'TRA RESID'!H132)</f>
        <v>TRARNG</v>
      </c>
      <c r="D137" t="s">
        <v>405</v>
      </c>
      <c r="E137" s="9">
        <f>IF(B137="*",1,SUMIFS('TRA RESID'!O:O,'TRA RESID'!J:J,B137,'TRA RESID'!H:H,C137))</f>
        <v>1</v>
      </c>
      <c r="H137" t="str">
        <f>IF(I137="","*",IF(SUMIFS('TRA RESID'!R:R,'TRA RESID'!J:J,'TRA RESID'!J132)=0,"*",'TRA RESID'!J132))</f>
        <v>*</v>
      </c>
      <c r="I137" t="str">
        <f>IF('TRA RESID'!H132="","",'TRA RESID'!H132)</f>
        <v>TRARNG</v>
      </c>
      <c r="J137" t="str">
        <f>"Share~LO~"&amp;'City characteristics'!$C$20</f>
        <v>Share~LO~2019</v>
      </c>
      <c r="K137" s="9">
        <f>IF(B137="*",0,SUMIFS('TRA RESID'!N:N,'TRA RESID'!J:J,B137,'TRA RESID'!H:H,C137))</f>
        <v>0</v>
      </c>
      <c r="N137" t="str">
        <f>IF(Def_Tech!B135="*","*",Def_Tech!C135)</f>
        <v>*</v>
      </c>
      <c r="O137" t="str">
        <f>Def_Tech!D135</f>
        <v>TRAOTHOFRICEVCNG19</v>
      </c>
      <c r="P137" t="str">
        <f>_xlfn.XLOOKUP(O137,'TRA RESID'!J:J,'TRA RESID'!I:I)</f>
        <v>TRAOTHOFRDMD</v>
      </c>
      <c r="Q137" s="13">
        <f>_xlfn.XLOOKUP(O137,'TRA RESID'!J:J,'TRA RESID'!S:S)</f>
        <v>0.10837962752894351</v>
      </c>
      <c r="R137">
        <f>_xlfn.XLOOKUP(O137,'TRA RESID'!J:J,'TRA RESID'!X:X)</f>
        <v>1</v>
      </c>
      <c r="S137" s="9">
        <f>_xlfn.XLOOKUP(O137,'TRA RESID'!J:J,'TRA RESID'!W:W)</f>
        <v>1</v>
      </c>
      <c r="T137" s="16">
        <f>_xlfn.XLOOKUP(O137,'TRA RESID'!J:J,'TRA RESID'!T:T)</f>
        <v>8</v>
      </c>
      <c r="U137" s="8">
        <f>_xlfn.XLOOKUP(O137,'TRA RESID'!J:J,'TRA RESID'!U:U)</f>
        <v>10.491571958288359</v>
      </c>
      <c r="V137" s="16">
        <f>SUMIFS('TRA RESID'!R:R,'TRA RESID'!J:J,O137)</f>
        <v>0</v>
      </c>
      <c r="W137" s="9">
        <f t="shared" si="4"/>
        <v>0.98</v>
      </c>
    </row>
    <row r="138" spans="2:23" x14ac:dyDescent="0.25">
      <c r="B138" t="str">
        <f>IF(C138="","*",IF(SUMIFS('TRA RESID'!R:R,'TRA RESID'!J:J,'TRA RESID'!J133)=0,"*",'TRA RESID'!J133))</f>
        <v>*</v>
      </c>
      <c r="C138" t="str">
        <f>IF('TRA RESID'!H133="","",'TRA RESID'!H133)</f>
        <v>TRABAF</v>
      </c>
      <c r="D138" t="s">
        <v>405</v>
      </c>
      <c r="E138" s="9">
        <f>IF(B138="*",1,SUMIFS('TRA RESID'!O:O,'TRA RESID'!J:J,B138,'TRA RESID'!H:H,C138))</f>
        <v>1</v>
      </c>
      <c r="H138" t="str">
        <f>IF(I138="","*",IF(SUMIFS('TRA RESID'!R:R,'TRA RESID'!J:J,'TRA RESID'!J133)=0,"*",'TRA RESID'!J133))</f>
        <v>*</v>
      </c>
      <c r="I138" t="str">
        <f>IF('TRA RESID'!H133="","",'TRA RESID'!H133)</f>
        <v>TRABAF</v>
      </c>
      <c r="J138" t="str">
        <f>"Share~LO~"&amp;'City characteristics'!$C$20</f>
        <v>Share~LO~2019</v>
      </c>
      <c r="K138" s="9">
        <f>IF(B138="*",0,SUMIFS('TRA RESID'!N:N,'TRA RESID'!J:J,B138,'TRA RESID'!H:H,C138))</f>
        <v>0</v>
      </c>
      <c r="N138" t="str">
        <f>IF(Def_Tech!B136="*","*",Def_Tech!C136)</f>
        <v>*</v>
      </c>
      <c r="O138" t="str">
        <f>Def_Tech!D136</f>
        <v>TRAOTHOFRBEV19</v>
      </c>
      <c r="P138" t="str">
        <f>_xlfn.XLOOKUP(O138,'TRA RESID'!J:J,'TRA RESID'!I:I)</f>
        <v>TRAOTHOFRDMD</v>
      </c>
      <c r="Q138" s="13">
        <f>_xlfn.XLOOKUP(O138,'TRA RESID'!J:J,'TRA RESID'!S:S)</f>
        <v>0.21465701666491771</v>
      </c>
      <c r="R138">
        <f>_xlfn.XLOOKUP(O138,'TRA RESID'!J:J,'TRA RESID'!X:X)</f>
        <v>1</v>
      </c>
      <c r="S138" s="9">
        <f>_xlfn.XLOOKUP(O138,'TRA RESID'!J:J,'TRA RESID'!W:W)</f>
        <v>1</v>
      </c>
      <c r="T138" s="16">
        <f>_xlfn.XLOOKUP(O138,'TRA RESID'!J:J,'TRA RESID'!T:T)</f>
        <v>8</v>
      </c>
      <c r="U138" s="8">
        <f>_xlfn.XLOOKUP(O138,'TRA RESID'!J:J,'TRA RESID'!U:U)</f>
        <v>10.491571958288359</v>
      </c>
      <c r="V138" s="16">
        <f>SUMIFS('TRA RESID'!R:R,'TRA RESID'!J:J,O138)</f>
        <v>0</v>
      </c>
      <c r="W138" s="9">
        <f t="shared" si="4"/>
        <v>0.98</v>
      </c>
    </row>
    <row r="139" spans="2:23" x14ac:dyDescent="0.25">
      <c r="B139" t="str">
        <f>IF(C139="","*",IF(SUMIFS('TRA RESID'!R:R,'TRA RESID'!J:J,'TRA RESID'!J134)=0,"*",'TRA RESID'!J134))</f>
        <v>*</v>
      </c>
      <c r="C139" t="str">
        <f>IF('TRA RESID'!H134="","",'TRA RESID'!H134)</f>
        <v>TRAH2G</v>
      </c>
      <c r="D139" t="s">
        <v>405</v>
      </c>
      <c r="E139" s="9">
        <f>IF(B139="*",1,SUMIFS('TRA RESID'!O:O,'TRA RESID'!J:J,B139,'TRA RESID'!H:H,C139))</f>
        <v>1</v>
      </c>
      <c r="H139" t="str">
        <f>IF(I139="","*",IF(SUMIFS('TRA RESID'!R:R,'TRA RESID'!J:J,'TRA RESID'!J134)=0,"*",'TRA RESID'!J134))</f>
        <v>*</v>
      </c>
      <c r="I139" t="str">
        <f>IF('TRA RESID'!H134="","",'TRA RESID'!H134)</f>
        <v>TRAH2G</v>
      </c>
      <c r="J139" t="str">
        <f>"Share~LO~"&amp;'City characteristics'!$C$20</f>
        <v>Share~LO~2019</v>
      </c>
      <c r="K139" s="9">
        <f>IF(B139="*",0,SUMIFS('TRA RESID'!N:N,'TRA RESID'!J:J,B139,'TRA RESID'!H:H,C139))</f>
        <v>0</v>
      </c>
      <c r="N139" t="str">
        <f>IF(Def_Tech!B137="*","*",Def_Tech!C137)</f>
        <v>*</v>
      </c>
      <c r="O139" t="str">
        <f>Def_Tech!D137</f>
        <v>TRAOTHOFRFCEV19</v>
      </c>
      <c r="P139" t="str">
        <f>_xlfn.XLOOKUP(O139,'TRA RESID'!J:J,'TRA RESID'!I:I)</f>
        <v>TRAOTHOFRDMD</v>
      </c>
      <c r="Q139" s="13">
        <f>_xlfn.XLOOKUP(O139,'TRA RESID'!J:J,'TRA RESID'!S:S)</f>
        <v>0.21465701666491771</v>
      </c>
      <c r="R139">
        <f>_xlfn.XLOOKUP(O139,'TRA RESID'!J:J,'TRA RESID'!X:X)</f>
        <v>1</v>
      </c>
      <c r="S139" s="9">
        <f>_xlfn.XLOOKUP(O139,'TRA RESID'!J:J,'TRA RESID'!W:W)</f>
        <v>1</v>
      </c>
      <c r="T139" s="16">
        <f>_xlfn.XLOOKUP(O139,'TRA RESID'!J:J,'TRA RESID'!T:T)</f>
        <v>8</v>
      </c>
      <c r="U139" s="8">
        <f>_xlfn.XLOOKUP(O139,'TRA RESID'!J:J,'TRA RESID'!U:U)</f>
        <v>10.491571958288359</v>
      </c>
      <c r="V139" s="16">
        <f>SUMIFS('TRA RESID'!R:R,'TRA RESID'!J:J,O139)</f>
        <v>0</v>
      </c>
      <c r="W139" s="9">
        <f t="shared" si="4"/>
        <v>0.98</v>
      </c>
    </row>
    <row r="140" spans="2:23" x14ac:dyDescent="0.25">
      <c r="B140" t="str">
        <f>IF(C140="","*",IF(SUMIFS('TRA RESID'!R:R,'TRA RESID'!J:J,'TRA RESID'!J135)=0,"*",'TRA RESID'!J135))</f>
        <v>*</v>
      </c>
      <c r="C140" t="str">
        <f>IF('TRA RESID'!H135="","",'TRA RESID'!H135)</f>
        <v>TRAGSL</v>
      </c>
      <c r="D140" t="s">
        <v>405</v>
      </c>
      <c r="E140" s="9">
        <f>IF(B140="*",1,SUMIFS('TRA RESID'!O:O,'TRA RESID'!J:J,B140,'TRA RESID'!H:H,C140))</f>
        <v>1</v>
      </c>
      <c r="H140" t="str">
        <f>IF(I140="","*",IF(SUMIFS('TRA RESID'!R:R,'TRA RESID'!J:J,'TRA RESID'!J135)=0,"*",'TRA RESID'!J135))</f>
        <v>*</v>
      </c>
      <c r="I140" t="str">
        <f>IF('TRA RESID'!H135="","",'TRA RESID'!H135)</f>
        <v>TRAGSL</v>
      </c>
      <c r="J140" t="str">
        <f>"Share~LO~"&amp;'City characteristics'!$C$20</f>
        <v>Share~LO~2019</v>
      </c>
      <c r="K140" s="9">
        <f>IF(B140="*",0,SUMIFS('TRA RESID'!N:N,'TRA RESID'!J:J,B140,'TRA RESID'!H:H,C140))</f>
        <v>0</v>
      </c>
      <c r="N140" t="str">
        <f>IF(Def_Tech!B138="*","*",Def_Tech!C138)</f>
        <v>*</v>
      </c>
      <c r="O140" t="str">
        <f>Def_Tech!D138</f>
        <v>TRAOTHWATICEVGSL19</v>
      </c>
      <c r="P140" t="str">
        <f>_xlfn.XLOOKUP(O140,'TRA RESID'!J:J,'TRA RESID'!I:I)</f>
        <v>TRAOTHWATDMD</v>
      </c>
      <c r="Q140" s="13">
        <f>_xlfn.XLOOKUP(O140,'TRA RESID'!J:J,'TRA RESID'!S:S)</f>
        <v>1.2937722477707771E-3</v>
      </c>
      <c r="R140">
        <f>_xlfn.XLOOKUP(O140,'TRA RESID'!J:J,'TRA RESID'!X:X)</f>
        <v>1</v>
      </c>
      <c r="S140" s="9">
        <f>_xlfn.XLOOKUP(O140,'TRA RESID'!J:J,'TRA RESID'!W:W)</f>
        <v>1</v>
      </c>
      <c r="T140" s="16">
        <f>_xlfn.XLOOKUP(O140,'TRA RESID'!J:J,'TRA RESID'!T:T)</f>
        <v>30</v>
      </c>
      <c r="U140" s="8">
        <f>_xlfn.XLOOKUP(O140,'TRA RESID'!J:J,'TRA RESID'!U:U)</f>
        <v>6522.2353722155358</v>
      </c>
      <c r="V140" s="16">
        <f>SUMIFS('TRA RESID'!R:R,'TRA RESID'!J:J,O140)</f>
        <v>0</v>
      </c>
      <c r="W140" s="9">
        <f t="shared" si="4"/>
        <v>0.98</v>
      </c>
    </row>
    <row r="141" spans="2:23" x14ac:dyDescent="0.25">
      <c r="B141" t="str">
        <f>IF(C141="","*",IF(SUMIFS('TRA RESID'!R:R,'TRA RESID'!J:J,'TRA RESID'!J136)=0,"*",'TRA RESID'!J136))</f>
        <v>*</v>
      </c>
      <c r="C141" t="str">
        <f>IF('TRA RESID'!H136="","",'TRA RESID'!H136)</f>
        <v>TRAETH</v>
      </c>
      <c r="D141" t="s">
        <v>405</v>
      </c>
      <c r="E141" s="9">
        <f>IF(B141="*",1,SUMIFS('TRA RESID'!O:O,'TRA RESID'!J:J,B141,'TRA RESID'!H:H,C141))</f>
        <v>1</v>
      </c>
      <c r="H141" t="str">
        <f>IF(I141="","*",IF(SUMIFS('TRA RESID'!R:R,'TRA RESID'!J:J,'TRA RESID'!J136)=0,"*",'TRA RESID'!J136))</f>
        <v>*</v>
      </c>
      <c r="I141" t="str">
        <f>IF('TRA RESID'!H136="","",'TRA RESID'!H136)</f>
        <v>TRAETH</v>
      </c>
      <c r="J141" t="str">
        <f>"Share~LO~"&amp;'City characteristics'!$C$20</f>
        <v>Share~LO~2019</v>
      </c>
      <c r="K141" s="9">
        <f>IF(B141="*",0,SUMIFS('TRA RESID'!N:N,'TRA RESID'!J:J,B141,'TRA RESID'!H:H,C141))</f>
        <v>0</v>
      </c>
      <c r="N141" t="str">
        <f>IF(Def_Tech!B139="*","*",Def_Tech!C139)</f>
        <v>*</v>
      </c>
      <c r="O141" t="str">
        <f>Def_Tech!D139</f>
        <v>TRAOTHWATICEVGSL19</v>
      </c>
      <c r="P141" t="str">
        <f>_xlfn.XLOOKUP(O141,'TRA RESID'!J:J,'TRA RESID'!I:I)</f>
        <v>TRAOTHWATDMD</v>
      </c>
      <c r="Q141" s="13">
        <f>_xlfn.XLOOKUP(O141,'TRA RESID'!J:J,'TRA RESID'!S:S)</f>
        <v>1.2937722477707771E-3</v>
      </c>
      <c r="R141">
        <f>_xlfn.XLOOKUP(O141,'TRA RESID'!J:J,'TRA RESID'!X:X)</f>
        <v>1</v>
      </c>
      <c r="S141" s="9">
        <f>_xlfn.XLOOKUP(O141,'TRA RESID'!J:J,'TRA RESID'!W:W)</f>
        <v>1</v>
      </c>
      <c r="T141" s="16">
        <f>_xlfn.XLOOKUP(O141,'TRA RESID'!J:J,'TRA RESID'!T:T)</f>
        <v>30</v>
      </c>
      <c r="U141" s="8">
        <f>_xlfn.XLOOKUP(O141,'TRA RESID'!J:J,'TRA RESID'!U:U)</f>
        <v>6522.2353722155358</v>
      </c>
      <c r="V141" s="16">
        <f>SUMIFS('TRA RESID'!R:R,'TRA RESID'!J:J,O141)</f>
        <v>0</v>
      </c>
      <c r="W141" s="9">
        <f t="shared" si="4"/>
        <v>0.98</v>
      </c>
    </row>
    <row r="142" spans="2:23" x14ac:dyDescent="0.25">
      <c r="B142" t="str">
        <f>IF(C142="","*",IF(SUMIFS('TRA RESID'!R:R,'TRA RESID'!J:J,'TRA RESID'!J137)=0,"*",'TRA RESID'!J137))</f>
        <v>TRAOTHWATICEVDSL19</v>
      </c>
      <c r="C142" t="str">
        <f>IF('TRA RESID'!H137="","",'TRA RESID'!H137)</f>
        <v>TRADSL</v>
      </c>
      <c r="D142" t="s">
        <v>405</v>
      </c>
      <c r="E142" s="9">
        <f>IF(B142="*",1,SUMIFS('TRA RESID'!O:O,'TRA RESID'!J:J,B142,'TRA RESID'!H:H,C142))</f>
        <v>1</v>
      </c>
      <c r="H142" t="str">
        <f>IF(I142="","*",IF(SUMIFS('TRA RESID'!R:R,'TRA RESID'!J:J,'TRA RESID'!J137)=0,"*",'TRA RESID'!J137))</f>
        <v>TRAOTHWATICEVDSL19</v>
      </c>
      <c r="I142" t="str">
        <f>IF('TRA RESID'!H137="","",'TRA RESID'!H137)</f>
        <v>TRADSL</v>
      </c>
      <c r="J142" t="str">
        <f>"Share~LO~"&amp;'City characteristics'!$C$20</f>
        <v>Share~LO~2019</v>
      </c>
      <c r="K142" s="9">
        <f>IF(B142="*",0,SUMIFS('TRA RESID'!N:N,'TRA RESID'!J:J,B142,'TRA RESID'!H:H,C142))</f>
        <v>0</v>
      </c>
      <c r="N142" t="str">
        <f>IF(Def_Tech!B140="*","*",Def_Tech!C140)</f>
        <v>CITY</v>
      </c>
      <c r="O142" t="str">
        <f>Def_Tech!D140</f>
        <v>TRAOTHWATICEVDSL19</v>
      </c>
      <c r="P142" t="str">
        <f>_xlfn.XLOOKUP(O142,'TRA RESID'!J:J,'TRA RESID'!I:I)</f>
        <v>TRAOTHWATDMD</v>
      </c>
      <c r="Q142" s="13">
        <f>_xlfn.XLOOKUP(O142,'TRA RESID'!J:J,'TRA RESID'!S:S)</f>
        <v>1.1462956184912069E-3</v>
      </c>
      <c r="R142">
        <f>_xlfn.XLOOKUP(O142,'TRA RESID'!J:J,'TRA RESID'!X:X)</f>
        <v>1</v>
      </c>
      <c r="S142" s="9">
        <f>_xlfn.XLOOKUP(O142,'TRA RESID'!J:J,'TRA RESID'!W:W)</f>
        <v>1</v>
      </c>
      <c r="T142" s="16">
        <f>_xlfn.XLOOKUP(O142,'TRA RESID'!J:J,'TRA RESID'!T:T)</f>
        <v>30</v>
      </c>
      <c r="U142" s="8">
        <f>_xlfn.XLOOKUP(O142,'TRA RESID'!J:J,'TRA RESID'!U:U)</f>
        <v>6522.2353722155358</v>
      </c>
      <c r="V142" s="16">
        <f>SUMIFS('TRA RESID'!R:R,'TRA RESID'!J:J,O142)</f>
        <v>1.605430432772551</v>
      </c>
      <c r="W142" s="9">
        <f t="shared" si="4"/>
        <v>0.98</v>
      </c>
    </row>
    <row r="143" spans="2:23" x14ac:dyDescent="0.25">
      <c r="B143" t="str">
        <f>IF(C143="","*",IF(SUMIFS('TRA RESID'!R:R,'TRA RESID'!J:J,'TRA RESID'!J138)=0,"*",'TRA RESID'!J138))</f>
        <v>TRAOTHWATICEVDSL19</v>
      </c>
      <c r="C143" t="str">
        <f>IF('TRA RESID'!H138="","",'TRA RESID'!H138)</f>
        <v>TRARDS</v>
      </c>
      <c r="D143" t="s">
        <v>405</v>
      </c>
      <c r="E143" s="9">
        <f>IF(B143="*",1,SUMIFS('TRA RESID'!O:O,'TRA RESID'!J:J,B143,'TRA RESID'!H:H,C143))</f>
        <v>1</v>
      </c>
      <c r="H143" t="str">
        <f>IF(I143="","*",IF(SUMIFS('TRA RESID'!R:R,'TRA RESID'!J:J,'TRA RESID'!J138)=0,"*",'TRA RESID'!J138))</f>
        <v>TRAOTHWATICEVDSL19</v>
      </c>
      <c r="I143" t="str">
        <f>IF('TRA RESID'!H138="","",'TRA RESID'!H138)</f>
        <v>TRARDS</v>
      </c>
      <c r="J143" t="str">
        <f>"Share~LO~"&amp;'City characteristics'!$C$20</f>
        <v>Share~LO~2019</v>
      </c>
      <c r="K143" s="9">
        <f>IF(B143="*",0,SUMIFS('TRA RESID'!N:N,'TRA RESID'!J:J,B143,'TRA RESID'!H:H,C143))</f>
        <v>0</v>
      </c>
      <c r="N143" t="str">
        <f>IF(Def_Tech!B141="*","*",Def_Tech!C141)</f>
        <v>*</v>
      </c>
      <c r="O143" t="str">
        <f>Def_Tech!D141</f>
        <v>TRAOTHWATICEVDSL19</v>
      </c>
      <c r="P143" t="str">
        <f>_xlfn.XLOOKUP(O143,'TRA RESID'!J:J,'TRA RESID'!I:I)</f>
        <v>TRAOTHWATDMD</v>
      </c>
      <c r="Q143" s="13">
        <f>_xlfn.XLOOKUP(O143,'TRA RESID'!J:J,'TRA RESID'!S:S)</f>
        <v>1.1462956184912069E-3</v>
      </c>
      <c r="R143">
        <f>_xlfn.XLOOKUP(O143,'TRA RESID'!J:J,'TRA RESID'!X:X)</f>
        <v>1</v>
      </c>
      <c r="S143" s="9">
        <f>_xlfn.XLOOKUP(O143,'TRA RESID'!J:J,'TRA RESID'!W:W)</f>
        <v>1</v>
      </c>
      <c r="T143" s="16">
        <f>_xlfn.XLOOKUP(O143,'TRA RESID'!J:J,'TRA RESID'!T:T)</f>
        <v>30</v>
      </c>
      <c r="U143" s="8">
        <f>_xlfn.XLOOKUP(O143,'TRA RESID'!J:J,'TRA RESID'!U:U)</f>
        <v>6522.2353722155358</v>
      </c>
      <c r="V143" s="16">
        <f>SUMIFS('TRA RESID'!R:R,'TRA RESID'!J:J,O143)</f>
        <v>1.605430432772551</v>
      </c>
      <c r="W143" s="9">
        <f t="shared" si="4"/>
        <v>0.98</v>
      </c>
    </row>
    <row r="144" spans="2:23" x14ac:dyDescent="0.25">
      <c r="B144" t="str">
        <f>IF(C144="","*",IF(SUMIFS('TRA RESID'!R:R,'TRA RESID'!J:J,'TRA RESID'!J139)=0,"*",'TRA RESID'!J139))</f>
        <v>TRAOTHWATICEVDSL19</v>
      </c>
      <c r="C144" t="str">
        <f>IF('TRA RESID'!H139="","",'TRA RESID'!H139)</f>
        <v>TRABDS</v>
      </c>
      <c r="D144" t="s">
        <v>405</v>
      </c>
      <c r="E144" s="9">
        <f>IF(B144="*",1,SUMIFS('TRA RESID'!O:O,'TRA RESID'!J:J,B144,'TRA RESID'!H:H,C144))</f>
        <v>0.1</v>
      </c>
      <c r="H144" t="str">
        <f>IF(I144="","*",IF(SUMIFS('TRA RESID'!R:R,'TRA RESID'!J:J,'TRA RESID'!J139)=0,"*",'TRA RESID'!J139))</f>
        <v>TRAOTHWATICEVDSL19</v>
      </c>
      <c r="I144" t="str">
        <f>IF('TRA RESID'!H139="","",'TRA RESID'!H139)</f>
        <v>TRABDS</v>
      </c>
      <c r="J144" t="str">
        <f>"Share~LO~"&amp;'City characteristics'!$C$20</f>
        <v>Share~LO~2019</v>
      </c>
      <c r="K144" s="9">
        <f>IF(B144="*",0,SUMIFS('TRA RESID'!N:N,'TRA RESID'!J:J,B144,'TRA RESID'!H:H,C144))</f>
        <v>0</v>
      </c>
      <c r="N144" t="str">
        <f>IF(Def_Tech!B142="*","*",Def_Tech!C142)</f>
        <v>*</v>
      </c>
      <c r="O144" t="str">
        <f>Def_Tech!D142</f>
        <v>TRAOTHWATICEVDSL19</v>
      </c>
      <c r="P144" t="str">
        <f>_xlfn.XLOOKUP(O144,'TRA RESID'!J:J,'TRA RESID'!I:I)</f>
        <v>TRAOTHWATDMD</v>
      </c>
      <c r="Q144" s="13">
        <f>_xlfn.XLOOKUP(O144,'TRA RESID'!J:J,'TRA RESID'!S:S)</f>
        <v>1.1462956184912069E-3</v>
      </c>
      <c r="R144">
        <f>_xlfn.XLOOKUP(O144,'TRA RESID'!J:J,'TRA RESID'!X:X)</f>
        <v>1</v>
      </c>
      <c r="S144" s="9">
        <f>_xlfn.XLOOKUP(O144,'TRA RESID'!J:J,'TRA RESID'!W:W)</f>
        <v>1</v>
      </c>
      <c r="T144" s="16">
        <f>_xlfn.XLOOKUP(O144,'TRA RESID'!J:J,'TRA RESID'!T:T)</f>
        <v>30</v>
      </c>
      <c r="U144" s="8">
        <f>_xlfn.XLOOKUP(O144,'TRA RESID'!J:J,'TRA RESID'!U:U)</f>
        <v>6522.2353722155358</v>
      </c>
      <c r="V144" s="16">
        <f>SUMIFS('TRA RESID'!R:R,'TRA RESID'!J:J,O144)</f>
        <v>1.605430432772551</v>
      </c>
      <c r="W144" s="9">
        <f t="shared" si="4"/>
        <v>0.98</v>
      </c>
    </row>
    <row r="145" spans="2:23" x14ac:dyDescent="0.25">
      <c r="B145" t="str">
        <f>IF(C145="","*",IF(SUMIFS('TRA RESID'!R:R,'TRA RESID'!J:J,'TRA RESID'!J140)=0,"*",'TRA RESID'!J140))</f>
        <v>*</v>
      </c>
      <c r="C145" t="str">
        <f>IF('TRA RESID'!H140="","",'TRA RESID'!H140)</f>
        <v>TRAFOI</v>
      </c>
      <c r="D145" t="s">
        <v>405</v>
      </c>
      <c r="E145" s="9">
        <f>IF(B145="*",1,SUMIFS('TRA RESID'!O:O,'TRA RESID'!J:J,B145,'TRA RESID'!H:H,C145))</f>
        <v>1</v>
      </c>
      <c r="H145" t="str">
        <f>IF(I145="","*",IF(SUMIFS('TRA RESID'!R:R,'TRA RESID'!J:J,'TRA RESID'!J140)=0,"*",'TRA RESID'!J140))</f>
        <v>*</v>
      </c>
      <c r="I145" t="str">
        <f>IF('TRA RESID'!H140="","",'TRA RESID'!H140)</f>
        <v>TRAFOI</v>
      </c>
      <c r="J145" t="str">
        <f>"Share~LO~"&amp;'City characteristics'!$C$20</f>
        <v>Share~LO~2019</v>
      </c>
      <c r="K145" s="9">
        <f>IF(B145="*",0,SUMIFS('TRA RESID'!N:N,'TRA RESID'!J:J,B145,'TRA RESID'!H:H,C145))</f>
        <v>0</v>
      </c>
      <c r="N145" t="str">
        <f>IF(Def_Tech!B143="*","*",Def_Tech!C143)</f>
        <v>*</v>
      </c>
      <c r="O145" t="str">
        <f>Def_Tech!D143</f>
        <v>TRAOTHWATICEFOI19</v>
      </c>
      <c r="P145" t="str">
        <f>_xlfn.XLOOKUP(O145,'TRA RESID'!J:J,'TRA RESID'!I:I)</f>
        <v>TRAOTHWATDMD</v>
      </c>
      <c r="Q145" s="13">
        <f>_xlfn.XLOOKUP(O145,'TRA RESID'!J:J,'TRA RESID'!S:S)</f>
        <v>1.079195387164892E-3</v>
      </c>
      <c r="R145">
        <f>_xlfn.XLOOKUP(O145,'TRA RESID'!J:J,'TRA RESID'!X:X)</f>
        <v>1</v>
      </c>
      <c r="S145" s="9">
        <f>_xlfn.XLOOKUP(O145,'TRA RESID'!J:J,'TRA RESID'!W:W)</f>
        <v>1</v>
      </c>
      <c r="T145" s="16">
        <f>_xlfn.XLOOKUP(O145,'TRA RESID'!J:J,'TRA RESID'!T:T)</f>
        <v>30</v>
      </c>
      <c r="U145" s="8">
        <f>_xlfn.XLOOKUP(O145,'TRA RESID'!J:J,'TRA RESID'!U:U)</f>
        <v>6522.2353722155358</v>
      </c>
      <c r="V145" s="16">
        <f>SUMIFS('TRA RESID'!R:R,'TRA RESID'!J:J,O145)</f>
        <v>0</v>
      </c>
      <c r="W145" s="9">
        <f t="shared" si="4"/>
        <v>0.98</v>
      </c>
    </row>
    <row r="146" spans="2:23" x14ac:dyDescent="0.25">
      <c r="B146" t="str">
        <f>IF(C146="","*",IF(SUMIFS('TRA RESID'!R:R,'TRA RESID'!J:J,'TRA RESID'!J141)=0,"*",'TRA RESID'!J141))</f>
        <v>*</v>
      </c>
      <c r="C146" t="str">
        <f>IF('TRA RESID'!H141="","",'TRA RESID'!H141)</f>
        <v>TRAAGA</v>
      </c>
      <c r="D146" t="s">
        <v>405</v>
      </c>
      <c r="E146" s="9">
        <f>IF(B146="*",1,SUMIFS('TRA RESID'!O:O,'TRA RESID'!J:J,B146,'TRA RESID'!H:H,C146))</f>
        <v>1</v>
      </c>
      <c r="H146" t="str">
        <f>IF(I146="","*",IF(SUMIFS('TRA RESID'!R:R,'TRA RESID'!J:J,'TRA RESID'!J141)=0,"*",'TRA RESID'!J141))</f>
        <v>*</v>
      </c>
      <c r="I146" t="str">
        <f>IF('TRA RESID'!H141="","",'TRA RESID'!H141)</f>
        <v>TRAAGA</v>
      </c>
      <c r="J146" t="str">
        <f>"Share~LO~"&amp;'City characteristics'!$C$20</f>
        <v>Share~LO~2019</v>
      </c>
      <c r="K146" s="9">
        <f>IF(B146="*",0,SUMIFS('TRA RESID'!N:N,'TRA RESID'!J:J,B146,'TRA RESID'!H:H,C146))</f>
        <v>0</v>
      </c>
      <c r="N146" t="str">
        <f>IF(Def_Tech!B144="*","*",Def_Tech!C144)</f>
        <v>*</v>
      </c>
      <c r="O146" t="str">
        <f>Def_Tech!D144</f>
        <v>TRAOTHAIRICEVAGA19</v>
      </c>
      <c r="P146" t="str">
        <f>_xlfn.XLOOKUP(O146,'TRA RESID'!J:J,'TRA RESID'!I:I)</f>
        <v>TRAOTHAIRDMD</v>
      </c>
      <c r="Q146" s="13">
        <f>_xlfn.XLOOKUP(O146,'TRA RESID'!J:J,'TRA RESID'!S:S)</f>
        <v>4.3975373790677216E-3</v>
      </c>
      <c r="R146">
        <f>_xlfn.XLOOKUP(O146,'TRA RESID'!J:J,'TRA RESID'!X:X)</f>
        <v>1</v>
      </c>
      <c r="S146" s="9">
        <f>_xlfn.XLOOKUP(O146,'TRA RESID'!J:J,'TRA RESID'!W:W)</f>
        <v>1</v>
      </c>
      <c r="T146" s="16">
        <f>_xlfn.XLOOKUP(O146,'TRA RESID'!J:J,'TRA RESID'!T:T)</f>
        <v>24</v>
      </c>
      <c r="U146" s="8">
        <f>_xlfn.XLOOKUP(O146,'TRA RESID'!J:J,'TRA RESID'!U:U)</f>
        <v>1249.462599766664</v>
      </c>
      <c r="V146" s="16">
        <f>SUMIFS('TRA RESID'!R:R,'TRA RESID'!J:J,O146)</f>
        <v>0</v>
      </c>
      <c r="W146" s="9">
        <f t="shared" si="4"/>
        <v>0.98</v>
      </c>
    </row>
    <row r="147" spans="2:23" x14ac:dyDescent="0.25">
      <c r="B147" t="str">
        <f>IF(C147="","*",IF(SUMIFS('TRA RESID'!R:R,'TRA RESID'!J:J,'TRA RESID'!J142)=0,"*",'TRA RESID'!J142))</f>
        <v>TRAOTHAIRTURREA19</v>
      </c>
      <c r="C147" t="str">
        <f>IF('TRA RESID'!H142="","",'TRA RESID'!H142)</f>
        <v>TRAATF</v>
      </c>
      <c r="D147" t="s">
        <v>405</v>
      </c>
      <c r="E147" s="9">
        <f>IF(B147="*",1,SUMIFS('TRA RESID'!O:O,'TRA RESID'!J:J,B147,'TRA RESID'!H:H,C147))</f>
        <v>1</v>
      </c>
      <c r="H147" t="str">
        <f>IF(I147="","*",IF(SUMIFS('TRA RESID'!R:R,'TRA RESID'!J:J,'TRA RESID'!J142)=0,"*",'TRA RESID'!J142))</f>
        <v>TRAOTHAIRTURREA19</v>
      </c>
      <c r="I147" t="str">
        <f>IF('TRA RESID'!H142="","",'TRA RESID'!H142)</f>
        <v>TRAATF</v>
      </c>
      <c r="J147" t="str">
        <f>"Share~LO~"&amp;'City characteristics'!$C$20</f>
        <v>Share~LO~2019</v>
      </c>
      <c r="K147" s="9">
        <f>IF(B147="*",0,SUMIFS('TRA RESID'!N:N,'TRA RESID'!J:J,B147,'TRA RESID'!H:H,C147))</f>
        <v>0</v>
      </c>
      <c r="N147" t="str">
        <f>IF(Def_Tech!B145="*","*",Def_Tech!C145)</f>
        <v>CITY</v>
      </c>
      <c r="O147" t="str">
        <f>Def_Tech!D145</f>
        <v>TRAOTHAIRTURREA19</v>
      </c>
      <c r="P147" t="str">
        <f>_xlfn.XLOOKUP(O147,'TRA RESID'!J:J,'TRA RESID'!I:I)</f>
        <v>TRAOTHAIRDMD</v>
      </c>
      <c r="Q147" s="13">
        <f>_xlfn.XLOOKUP(O147,'TRA RESID'!J:J,'TRA RESID'!S:S)</f>
        <v>4.3975373790677216E-3</v>
      </c>
      <c r="R147">
        <f>_xlfn.XLOOKUP(O147,'TRA RESID'!J:J,'TRA RESID'!X:X)</f>
        <v>1</v>
      </c>
      <c r="S147" s="9">
        <f>_xlfn.XLOOKUP(O147,'TRA RESID'!J:J,'TRA RESID'!W:W)</f>
        <v>1</v>
      </c>
      <c r="T147" s="16">
        <f>_xlfn.XLOOKUP(O147,'TRA RESID'!J:J,'TRA RESID'!T:T)</f>
        <v>24</v>
      </c>
      <c r="U147" s="8">
        <f>_xlfn.XLOOKUP(O147,'TRA RESID'!J:J,'TRA RESID'!U:U)</f>
        <v>1249.462599766664</v>
      </c>
      <c r="V147" s="16">
        <f>SUMIFS('TRA RESID'!R:R,'TRA RESID'!J:J,O147)</f>
        <v>0.1257155698946095</v>
      </c>
      <c r="W147" s="9">
        <f t="shared" si="4"/>
        <v>0.98</v>
      </c>
    </row>
    <row r="148" spans="2:23" x14ac:dyDescent="0.25">
      <c r="B148" t="str">
        <f>IF(C148="","*",IF(SUMIFS('TRA RESID'!R:R,'TRA RESID'!J:J,'TRA RESID'!J143)=0,"*",'TRA RESID'!J143))</f>
        <v>TRAOTHAIRTURREA19</v>
      </c>
      <c r="C148" t="str">
        <f>IF('TRA RESID'!H143="","",'TRA RESID'!H143)</f>
        <v>TRASAF</v>
      </c>
      <c r="D148" t="s">
        <v>405</v>
      </c>
      <c r="E148" s="9">
        <f>IF(B148="*",1,SUMIFS('TRA RESID'!O:O,'TRA RESID'!J:J,B148,'TRA RESID'!H:H,C148))</f>
        <v>1</v>
      </c>
      <c r="H148" t="str">
        <f>IF(I148="","*",IF(SUMIFS('TRA RESID'!R:R,'TRA RESID'!J:J,'TRA RESID'!J143)=0,"*",'TRA RESID'!J143))</f>
        <v>TRAOTHAIRTURREA19</v>
      </c>
      <c r="I148" t="str">
        <f>IF('TRA RESID'!H143="","",'TRA RESID'!H143)</f>
        <v>TRASAF</v>
      </c>
      <c r="J148" t="str">
        <f>"Share~LO~"&amp;'City characteristics'!$C$20</f>
        <v>Share~LO~2019</v>
      </c>
      <c r="K148" s="9">
        <f>IF(B148="*",0,SUMIFS('TRA RESID'!N:N,'TRA RESID'!J:J,B148,'TRA RESID'!H:H,C148))</f>
        <v>0</v>
      </c>
      <c r="N148" t="str">
        <f>IF(Def_Tech!B146="*","*",Def_Tech!C146)</f>
        <v>*</v>
      </c>
      <c r="O148" t="str">
        <f>Def_Tech!D146</f>
        <v>TRAOTHAIRTURREA19</v>
      </c>
      <c r="P148" t="str">
        <f>_xlfn.XLOOKUP(O148,'TRA RESID'!J:J,'TRA RESID'!I:I)</f>
        <v>TRAOTHAIRDMD</v>
      </c>
      <c r="Q148" s="13">
        <f>_xlfn.XLOOKUP(O148,'TRA RESID'!J:J,'TRA RESID'!S:S)</f>
        <v>4.3975373790677216E-3</v>
      </c>
      <c r="R148">
        <f>_xlfn.XLOOKUP(O148,'TRA RESID'!J:J,'TRA RESID'!X:X)</f>
        <v>1</v>
      </c>
      <c r="S148" s="9">
        <f>_xlfn.XLOOKUP(O148,'TRA RESID'!J:J,'TRA RESID'!W:W)</f>
        <v>1</v>
      </c>
      <c r="T148" s="16">
        <f>_xlfn.XLOOKUP(O148,'TRA RESID'!J:J,'TRA RESID'!T:T)</f>
        <v>24</v>
      </c>
      <c r="U148" s="8">
        <f>_xlfn.XLOOKUP(O148,'TRA RESID'!J:J,'TRA RESID'!U:U)</f>
        <v>1249.462599766664</v>
      </c>
      <c r="V148" s="16">
        <f>SUMIFS('TRA RESID'!R:R,'TRA RESID'!J:J,O148)</f>
        <v>0.1257155698946095</v>
      </c>
      <c r="W148" s="9">
        <f t="shared" si="4"/>
        <v>0.98</v>
      </c>
    </row>
    <row r="149" spans="2:23" x14ac:dyDescent="0.25">
      <c r="Q149" s="13"/>
      <c r="S149" s="9"/>
      <c r="T149" s="16"/>
      <c r="V149" s="16"/>
      <c r="W149" s="9"/>
    </row>
    <row r="150" spans="2:23" x14ac:dyDescent="0.25">
      <c r="Q150" s="13"/>
      <c r="S150" s="9"/>
      <c r="T150" s="16"/>
      <c r="V150" s="16"/>
      <c r="W150" s="9"/>
    </row>
    <row r="151" spans="2:23" x14ac:dyDescent="0.25">
      <c r="Q151" s="13"/>
      <c r="S151" s="9"/>
      <c r="T151" s="16"/>
      <c r="V151" s="16"/>
      <c r="W151" s="9"/>
    </row>
    <row r="152" spans="2:23" x14ac:dyDescent="0.25">
      <c r="Q152" s="13"/>
      <c r="S152" s="9"/>
      <c r="T152" s="16"/>
      <c r="V152" s="16"/>
      <c r="W152" s="9"/>
    </row>
    <row r="153" spans="2:23" x14ac:dyDescent="0.25">
      <c r="Q153" s="13"/>
      <c r="S153" s="9"/>
      <c r="T153" s="16"/>
      <c r="V153" s="16"/>
      <c r="W153" s="9"/>
    </row>
    <row r="154" spans="2:23" x14ac:dyDescent="0.25">
      <c r="Q154" s="13"/>
      <c r="S154" s="9"/>
      <c r="T154" s="16"/>
      <c r="V154" s="16"/>
      <c r="W154" s="9"/>
    </row>
    <row r="155" spans="2:23" x14ac:dyDescent="0.25">
      <c r="Q155" s="13"/>
      <c r="S155" s="9"/>
      <c r="T155" s="16"/>
      <c r="V155" s="16"/>
      <c r="W155" s="9"/>
    </row>
    <row r="156" spans="2:23" x14ac:dyDescent="0.25">
      <c r="Q156" s="13"/>
      <c r="S156" s="9"/>
      <c r="T156" s="16"/>
      <c r="V156" s="16"/>
      <c r="W156" s="9"/>
    </row>
    <row r="157" spans="2:23" x14ac:dyDescent="0.25">
      <c r="Q157" s="13"/>
      <c r="S157" s="9"/>
      <c r="T157" s="16"/>
      <c r="V157" s="16"/>
      <c r="W157" s="9"/>
    </row>
    <row r="158" spans="2:23" x14ac:dyDescent="0.25">
      <c r="Q158" s="13"/>
      <c r="S158" s="9"/>
      <c r="T158" s="16"/>
      <c r="V158" s="16"/>
      <c r="W158" s="9"/>
    </row>
    <row r="159" spans="2:23" x14ac:dyDescent="0.25">
      <c r="Q159" s="13"/>
      <c r="S159" s="9"/>
      <c r="T159" s="16"/>
      <c r="V159" s="16"/>
      <c r="W159" s="9"/>
    </row>
    <row r="160" spans="2:23" x14ac:dyDescent="0.25">
      <c r="Q160" s="13"/>
      <c r="S160" s="9"/>
      <c r="T160" s="16"/>
      <c r="V160" s="16"/>
      <c r="W160" s="9"/>
    </row>
    <row r="161" spans="17:23" x14ac:dyDescent="0.25">
      <c r="Q161" s="13"/>
      <c r="S161" s="9"/>
      <c r="T161" s="16"/>
      <c r="V161" s="16"/>
      <c r="W161" s="9"/>
    </row>
    <row r="162" spans="17:23" x14ac:dyDescent="0.25">
      <c r="Q162" s="13"/>
      <c r="S162" s="9"/>
      <c r="T162" s="16"/>
      <c r="V162" s="16"/>
      <c r="W162" s="9"/>
    </row>
    <row r="163" spans="17:23" x14ac:dyDescent="0.25">
      <c r="Q163" s="13"/>
      <c r="S163" s="9"/>
      <c r="T163" s="16"/>
      <c r="V163" s="16"/>
      <c r="W163" s="9"/>
    </row>
    <row r="164" spans="17:23" x14ac:dyDescent="0.25">
      <c r="Q164" s="13"/>
      <c r="S164" s="9"/>
      <c r="T164" s="16"/>
      <c r="V164" s="16"/>
      <c r="W164" s="9"/>
    </row>
    <row r="165" spans="17:23" x14ac:dyDescent="0.25">
      <c r="Q165" s="13"/>
      <c r="S165" s="9"/>
      <c r="T165" s="16"/>
      <c r="V165" s="16"/>
      <c r="W165" s="9"/>
    </row>
    <row r="166" spans="17:23" x14ac:dyDescent="0.25">
      <c r="Q166" s="13"/>
      <c r="S166" s="9"/>
      <c r="T166" s="16"/>
      <c r="V166" s="16"/>
      <c r="W166" s="9"/>
    </row>
    <row r="167" spans="17:23" x14ac:dyDescent="0.25">
      <c r="Q167" s="13"/>
      <c r="S167" s="9"/>
      <c r="T167" s="16"/>
      <c r="V167" s="16"/>
      <c r="W167" s="9"/>
    </row>
    <row r="168" spans="17:23" x14ac:dyDescent="0.25">
      <c r="Q168" s="13"/>
      <c r="S168" s="9"/>
      <c r="T168" s="16"/>
      <c r="V168" s="16"/>
      <c r="W168" s="9"/>
    </row>
    <row r="169" spans="17:23" x14ac:dyDescent="0.25">
      <c r="Q169" s="13"/>
      <c r="S169" s="9"/>
      <c r="T169" s="16"/>
      <c r="V169" s="16"/>
      <c r="W169" s="9"/>
    </row>
    <row r="170" spans="17:23" x14ac:dyDescent="0.25">
      <c r="Q170" s="13"/>
      <c r="S170" s="9"/>
      <c r="T170" s="16"/>
      <c r="V170" s="16"/>
      <c r="W170" s="9"/>
    </row>
    <row r="171" spans="17:23" x14ac:dyDescent="0.25">
      <c r="Q171" s="13"/>
      <c r="S171" s="9"/>
      <c r="T171" s="16"/>
      <c r="V171" s="16"/>
      <c r="W171" s="9"/>
    </row>
    <row r="172" spans="17:23" x14ac:dyDescent="0.25">
      <c r="Q172" s="13"/>
      <c r="S172" s="9"/>
      <c r="T172" s="16"/>
      <c r="V172" s="16"/>
      <c r="W172" s="9"/>
    </row>
    <row r="173" spans="17:23" x14ac:dyDescent="0.25">
      <c r="Q173" s="13"/>
      <c r="S173" s="9"/>
      <c r="T173" s="16"/>
      <c r="V173" s="16"/>
      <c r="W173" s="9"/>
    </row>
    <row r="174" spans="17:23" x14ac:dyDescent="0.25">
      <c r="Q174" s="13"/>
      <c r="S174" s="9"/>
      <c r="T174" s="16"/>
      <c r="V174" s="16"/>
      <c r="W174" s="9"/>
    </row>
    <row r="175" spans="17:23" x14ac:dyDescent="0.25">
      <c r="Q175" s="13"/>
      <c r="S175" s="9"/>
      <c r="T175" s="16"/>
      <c r="V175" s="16"/>
      <c r="W175" s="9"/>
    </row>
    <row r="176" spans="17:23" x14ac:dyDescent="0.25">
      <c r="Q176" s="13"/>
      <c r="S176" s="9"/>
      <c r="T176" s="16"/>
      <c r="V176" s="16"/>
      <c r="W176" s="9"/>
    </row>
    <row r="177" spans="17:23" x14ac:dyDescent="0.25">
      <c r="Q177" s="13"/>
      <c r="S177" s="9"/>
      <c r="T177" s="16"/>
      <c r="V177" s="16"/>
      <c r="W177" s="9"/>
    </row>
    <row r="178" spans="17:23" x14ac:dyDescent="0.25">
      <c r="Q178" s="13"/>
      <c r="S178" s="9"/>
      <c r="T178" s="16"/>
      <c r="V178" s="16"/>
      <c r="W178" s="9"/>
    </row>
    <row r="179" spans="17:23" x14ac:dyDescent="0.25">
      <c r="Q179" s="13"/>
      <c r="S179" s="9"/>
      <c r="T179" s="16"/>
      <c r="V179" s="16"/>
      <c r="W179" s="9"/>
    </row>
    <row r="180" spans="17:23" x14ac:dyDescent="0.25">
      <c r="Q180" s="13"/>
      <c r="S180" s="9"/>
      <c r="T180" s="16"/>
      <c r="V180" s="16"/>
      <c r="W180" s="9"/>
    </row>
    <row r="181" spans="17:23" x14ac:dyDescent="0.25">
      <c r="Q181" s="13"/>
      <c r="S181" s="9"/>
      <c r="T181" s="16"/>
      <c r="V181" s="16"/>
      <c r="W181" s="9"/>
    </row>
    <row r="182" spans="17:23" x14ac:dyDescent="0.25">
      <c r="Q182" s="13"/>
      <c r="S182" s="9"/>
      <c r="T182" s="16"/>
      <c r="V182" s="16"/>
      <c r="W182" s="9"/>
    </row>
    <row r="183" spans="17:23" x14ac:dyDescent="0.25">
      <c r="Q183" s="13"/>
      <c r="S183" s="9"/>
      <c r="T183" s="16"/>
      <c r="V183" s="16"/>
      <c r="W183" s="9"/>
    </row>
    <row r="184" spans="17:23" x14ac:dyDescent="0.25">
      <c r="Q184" s="13"/>
      <c r="S184" s="9"/>
      <c r="T184" s="16"/>
      <c r="V184" s="16"/>
      <c r="W184" s="9"/>
    </row>
    <row r="185" spans="17:23" x14ac:dyDescent="0.25">
      <c r="Q185" s="13"/>
      <c r="S185" s="9"/>
      <c r="T185" s="16"/>
      <c r="V185" s="16"/>
      <c r="W185" s="9"/>
    </row>
    <row r="186" spans="17:23" x14ac:dyDescent="0.25">
      <c r="Q186" s="13"/>
      <c r="S186" s="9"/>
      <c r="T186" s="16"/>
      <c r="V186" s="16"/>
      <c r="W186" s="9"/>
    </row>
    <row r="187" spans="17:23" x14ac:dyDescent="0.25">
      <c r="Q187" s="13"/>
      <c r="S187" s="9"/>
      <c r="T187" s="16"/>
      <c r="V187" s="16"/>
      <c r="W187" s="9"/>
    </row>
    <row r="188" spans="17:23" x14ac:dyDescent="0.25">
      <c r="Q188" s="13"/>
      <c r="S188" s="9"/>
      <c r="T188" s="16"/>
      <c r="V188" s="16"/>
      <c r="W188" s="9"/>
    </row>
    <row r="189" spans="17:23" x14ac:dyDescent="0.25">
      <c r="Q189" s="13"/>
      <c r="S189" s="9"/>
      <c r="T189" s="16"/>
      <c r="V189" s="16"/>
      <c r="W189" s="9"/>
    </row>
    <row r="190" spans="17:23" x14ac:dyDescent="0.25">
      <c r="Q190" s="13"/>
      <c r="S190" s="9"/>
      <c r="T190" s="16"/>
      <c r="V190" s="16"/>
      <c r="W190" s="9"/>
    </row>
    <row r="191" spans="17:23" x14ac:dyDescent="0.25">
      <c r="Q191" s="13"/>
      <c r="S191" s="9"/>
      <c r="T191" s="16"/>
      <c r="V191" s="16"/>
      <c r="W191" s="9"/>
    </row>
    <row r="192" spans="17:23" x14ac:dyDescent="0.25">
      <c r="Q192" s="13"/>
      <c r="S192" s="9"/>
      <c r="T192" s="16"/>
      <c r="V192" s="16"/>
      <c r="W192" s="9"/>
    </row>
    <row r="193" spans="17:23" x14ac:dyDescent="0.25">
      <c r="Q193" s="13"/>
      <c r="S193" s="9"/>
      <c r="T193" s="16"/>
      <c r="V193" s="16"/>
      <c r="W193" s="9"/>
    </row>
    <row r="194" spans="17:23" x14ac:dyDescent="0.25">
      <c r="Q194" s="13"/>
      <c r="S194" s="9"/>
      <c r="T194" s="16"/>
      <c r="V194" s="16"/>
      <c r="W194" s="9"/>
    </row>
    <row r="195" spans="17:23" x14ac:dyDescent="0.25">
      <c r="Q195" s="13"/>
      <c r="S195" s="9"/>
      <c r="T195" s="16"/>
      <c r="V195" s="16"/>
      <c r="W195" s="9"/>
    </row>
    <row r="196" spans="17:23" x14ac:dyDescent="0.25">
      <c r="Q196" s="13"/>
      <c r="S196" s="9"/>
      <c r="T196" s="16"/>
      <c r="V196" s="16"/>
      <c r="W196" s="9"/>
    </row>
    <row r="197" spans="17:23" x14ac:dyDescent="0.25">
      <c r="Q197" s="13"/>
      <c r="S197" s="9"/>
      <c r="T197" s="16"/>
      <c r="V197" s="16"/>
      <c r="W197" s="9"/>
    </row>
    <row r="198" spans="17:23" x14ac:dyDescent="0.25">
      <c r="Q198" s="13"/>
      <c r="S198" s="9"/>
      <c r="T198" s="16"/>
      <c r="V198" s="16"/>
      <c r="W198" s="9"/>
    </row>
    <row r="199" spans="17:23" x14ac:dyDescent="0.25">
      <c r="Q199" s="13"/>
      <c r="S199" s="9"/>
      <c r="T199" s="16"/>
      <c r="V199" s="16"/>
      <c r="W199" s="9"/>
    </row>
    <row r="200" spans="17:23" x14ac:dyDescent="0.25">
      <c r="Q200" s="13"/>
      <c r="S200" s="9"/>
      <c r="T200" s="16"/>
      <c r="V200" s="16"/>
      <c r="W200" s="9"/>
    </row>
    <row r="201" spans="17:23" x14ac:dyDescent="0.25">
      <c r="Q201" s="13"/>
      <c r="S201" s="9"/>
      <c r="T201" s="16"/>
      <c r="V201" s="16"/>
      <c r="W201" s="9"/>
    </row>
    <row r="202" spans="17:23" x14ac:dyDescent="0.25">
      <c r="Q202" s="13"/>
      <c r="S202" s="9"/>
      <c r="T202" s="16"/>
      <c r="V202" s="16"/>
      <c r="W202" s="9"/>
    </row>
    <row r="203" spans="17:23" x14ac:dyDescent="0.25">
      <c r="Q203" s="13"/>
      <c r="S203" s="9"/>
      <c r="T203" s="16"/>
      <c r="V203" s="16"/>
      <c r="W203" s="9"/>
    </row>
    <row r="204" spans="17:23" x14ac:dyDescent="0.25">
      <c r="Q204" s="13"/>
      <c r="S204" s="9"/>
      <c r="T204" s="16"/>
      <c r="V204" s="16"/>
      <c r="W204" s="9"/>
    </row>
    <row r="205" spans="17:23" x14ac:dyDescent="0.25">
      <c r="Q205" s="13"/>
      <c r="S205" s="9"/>
      <c r="T205" s="16"/>
      <c r="V205" s="16"/>
      <c r="W205" s="9"/>
    </row>
    <row r="206" spans="17:23" x14ac:dyDescent="0.25">
      <c r="Q206" s="13"/>
      <c r="S206" s="9"/>
      <c r="T206" s="16"/>
      <c r="V206" s="16"/>
      <c r="W206" s="9"/>
    </row>
    <row r="207" spans="17:23" x14ac:dyDescent="0.25">
      <c r="Q207" s="13"/>
      <c r="S207" s="9"/>
      <c r="T207" s="16"/>
      <c r="V207" s="16"/>
      <c r="W207" s="9"/>
    </row>
    <row r="208" spans="17:23" x14ac:dyDescent="0.25">
      <c r="Q208" s="13"/>
      <c r="S208" s="9"/>
      <c r="T208" s="16"/>
      <c r="V208" s="16"/>
      <c r="W208" s="9"/>
    </row>
    <row r="209" spans="17:23" x14ac:dyDescent="0.25">
      <c r="Q209" s="13"/>
      <c r="S209" s="9"/>
      <c r="T209" s="16"/>
      <c r="V209" s="16"/>
      <c r="W209" s="9"/>
    </row>
    <row r="210" spans="17:23" x14ac:dyDescent="0.25">
      <c r="Q210" s="13"/>
      <c r="S210" s="9"/>
      <c r="T210" s="16"/>
      <c r="V210" s="16"/>
      <c r="W210" s="9"/>
    </row>
    <row r="211" spans="17:23" x14ac:dyDescent="0.25">
      <c r="Q211" s="13"/>
      <c r="S211" s="9"/>
      <c r="T211" s="16"/>
      <c r="V211" s="16"/>
      <c r="W211" s="9"/>
    </row>
    <row r="212" spans="17:23" x14ac:dyDescent="0.25">
      <c r="Q212" s="13"/>
      <c r="S212" s="9"/>
      <c r="T212" s="16"/>
      <c r="V212" s="16"/>
      <c r="W212" s="9"/>
    </row>
    <row r="213" spans="17:23" x14ac:dyDescent="0.25">
      <c r="Q213" s="13"/>
      <c r="S213" s="9"/>
      <c r="T213" s="16"/>
      <c r="V213" s="16"/>
      <c r="W213" s="9"/>
    </row>
    <row r="214" spans="17:23" x14ac:dyDescent="0.25">
      <c r="Q214" s="13"/>
      <c r="S214" s="9"/>
      <c r="T214" s="16"/>
      <c r="V214" s="16"/>
      <c r="W214" s="9"/>
    </row>
    <row r="215" spans="17:23" x14ac:dyDescent="0.25">
      <c r="Q215" s="13"/>
      <c r="S215" s="9"/>
      <c r="T215" s="16"/>
      <c r="V215" s="16"/>
      <c r="W215" s="9"/>
    </row>
    <row r="216" spans="17:23" x14ac:dyDescent="0.25">
      <c r="Q216" s="13"/>
      <c r="S216" s="9"/>
      <c r="T216" s="16"/>
      <c r="V216" s="16"/>
      <c r="W216" s="9"/>
    </row>
    <row r="217" spans="17:23" x14ac:dyDescent="0.25">
      <c r="Q217" s="13"/>
      <c r="S217" s="9"/>
      <c r="T217" s="16"/>
      <c r="V217" s="16"/>
      <c r="W217" s="9"/>
    </row>
    <row r="218" spans="17:23" x14ac:dyDescent="0.25">
      <c r="Q218" s="13"/>
      <c r="S218" s="9"/>
      <c r="T218" s="16"/>
      <c r="V218" s="16"/>
      <c r="W218" s="9"/>
    </row>
    <row r="219" spans="17:23" x14ac:dyDescent="0.25">
      <c r="Q219" s="13"/>
      <c r="S219" s="9"/>
      <c r="T219" s="16"/>
      <c r="V219" s="16"/>
      <c r="W219" s="9"/>
    </row>
    <row r="220" spans="17:23" x14ac:dyDescent="0.25">
      <c r="Q220" s="13"/>
      <c r="S220" s="9"/>
      <c r="T220" s="16"/>
      <c r="V220" s="16"/>
      <c r="W220" s="9"/>
    </row>
    <row r="221" spans="17:23" x14ac:dyDescent="0.25">
      <c r="Q221" s="13"/>
      <c r="S221" s="9"/>
      <c r="T221" s="16"/>
      <c r="V221" s="16"/>
      <c r="W221" s="9"/>
    </row>
    <row r="222" spans="17:23" x14ac:dyDescent="0.25">
      <c r="Q222" s="13"/>
      <c r="S222" s="9"/>
      <c r="T222" s="16"/>
      <c r="V222" s="16"/>
      <c r="W222" s="9"/>
    </row>
    <row r="223" spans="17:23" x14ac:dyDescent="0.25">
      <c r="Q223" s="13"/>
      <c r="S223" s="9"/>
      <c r="T223" s="16"/>
      <c r="V223" s="16"/>
      <c r="W223" s="9"/>
    </row>
    <row r="224" spans="17:23" x14ac:dyDescent="0.25">
      <c r="Q224" s="13"/>
      <c r="S224" s="9"/>
      <c r="T224" s="16"/>
      <c r="V224" s="16"/>
      <c r="W224" s="9"/>
    </row>
    <row r="225" spans="17:23" x14ac:dyDescent="0.25">
      <c r="Q225" s="13"/>
      <c r="S225" s="9"/>
      <c r="T225" s="16"/>
      <c r="V225" s="16"/>
      <c r="W225" s="9"/>
    </row>
    <row r="226" spans="17:23" x14ac:dyDescent="0.25">
      <c r="Q226" s="13"/>
      <c r="S226" s="9"/>
      <c r="T226" s="16"/>
      <c r="V226" s="16"/>
      <c r="W226" s="9"/>
    </row>
    <row r="227" spans="17:23" x14ac:dyDescent="0.25">
      <c r="Q227" s="13"/>
      <c r="S227" s="9"/>
      <c r="T227" s="16"/>
      <c r="V227" s="16"/>
      <c r="W227" s="9"/>
    </row>
    <row r="228" spans="17:23" x14ac:dyDescent="0.25">
      <c r="Q228" s="13"/>
      <c r="S228" s="9"/>
      <c r="T228" s="16"/>
      <c r="V228" s="16"/>
      <c r="W228" s="9"/>
    </row>
    <row r="229" spans="17:23" x14ac:dyDescent="0.25">
      <c r="Q229" s="13"/>
      <c r="S229" s="9"/>
      <c r="T229" s="16"/>
      <c r="V229" s="16"/>
      <c r="W229" s="9"/>
    </row>
    <row r="230" spans="17:23" x14ac:dyDescent="0.25">
      <c r="Q230" s="13"/>
      <c r="S230" s="9"/>
      <c r="T230" s="16"/>
      <c r="V230" s="16"/>
      <c r="W230" s="9"/>
    </row>
    <row r="231" spans="17:23" x14ac:dyDescent="0.25">
      <c r="Q231" s="13"/>
      <c r="S231" s="9"/>
      <c r="T231" s="16"/>
      <c r="V231" s="16"/>
      <c r="W231" s="9"/>
    </row>
    <row r="232" spans="17:23" x14ac:dyDescent="0.25">
      <c r="Q232" s="13"/>
      <c r="S232" s="9"/>
      <c r="T232" s="16"/>
      <c r="V232" s="16"/>
      <c r="W232" s="9"/>
    </row>
    <row r="233" spans="17:23" x14ac:dyDescent="0.25">
      <c r="Q233" s="13"/>
      <c r="S233" s="9"/>
      <c r="T233" s="16"/>
      <c r="V233" s="16"/>
      <c r="W233" s="9"/>
    </row>
    <row r="234" spans="17:23" x14ac:dyDescent="0.25">
      <c r="Q234" s="13"/>
      <c r="S234" s="9"/>
      <c r="T234" s="16"/>
      <c r="V234" s="16"/>
      <c r="W234" s="9"/>
    </row>
    <row r="235" spans="17:23" x14ac:dyDescent="0.25">
      <c r="Q235" s="13"/>
      <c r="S235" s="9"/>
      <c r="T235" s="16"/>
      <c r="V235" s="16"/>
      <c r="W235" s="9"/>
    </row>
    <row r="236" spans="17:23" x14ac:dyDescent="0.25">
      <c r="Q236" s="13"/>
      <c r="S236" s="9"/>
      <c r="T236" s="16"/>
      <c r="V236" s="16"/>
      <c r="W236" s="9"/>
    </row>
    <row r="237" spans="17:23" x14ac:dyDescent="0.25">
      <c r="Q237" s="13"/>
      <c r="S237" s="9"/>
      <c r="T237" s="16"/>
      <c r="V237" s="16"/>
      <c r="W237" s="9"/>
    </row>
    <row r="238" spans="17:23" x14ac:dyDescent="0.25">
      <c r="Q238" s="13"/>
      <c r="S238" s="9"/>
      <c r="T238" s="16"/>
      <c r="V238" s="16"/>
      <c r="W238" s="9"/>
    </row>
    <row r="239" spans="17:23" x14ac:dyDescent="0.25">
      <c r="Q239" s="13"/>
      <c r="S239" s="9"/>
      <c r="T239" s="16"/>
      <c r="V239" s="16"/>
      <c r="W239" s="9"/>
    </row>
    <row r="240" spans="17:23" x14ac:dyDescent="0.25">
      <c r="Q240" s="13"/>
      <c r="S240" s="9"/>
      <c r="T240" s="16"/>
      <c r="V240" s="16"/>
      <c r="W240" s="9"/>
    </row>
    <row r="241" spans="17:23" x14ac:dyDescent="0.25">
      <c r="Q241" s="13"/>
      <c r="S241" s="9"/>
      <c r="T241" s="16"/>
      <c r="V241" s="16"/>
      <c r="W241" s="9"/>
    </row>
    <row r="242" spans="17:23" x14ac:dyDescent="0.25">
      <c r="Q242" s="13"/>
      <c r="S242" s="9"/>
      <c r="T242" s="16"/>
      <c r="V242" s="16"/>
      <c r="W242" s="9"/>
    </row>
    <row r="243" spans="17:23" x14ac:dyDescent="0.25">
      <c r="Q243" s="13"/>
      <c r="S243" s="9"/>
      <c r="T243" s="16"/>
      <c r="V243" s="16"/>
      <c r="W243" s="9"/>
    </row>
    <row r="244" spans="17:23" x14ac:dyDescent="0.25">
      <c r="Q244" s="13"/>
      <c r="S244" s="9"/>
      <c r="T244" s="16"/>
      <c r="V244" s="16"/>
      <c r="W244" s="9"/>
    </row>
    <row r="245" spans="17:23" x14ac:dyDescent="0.25">
      <c r="Q245" s="13"/>
      <c r="S245" s="9"/>
      <c r="T245" s="16"/>
      <c r="V245" s="16"/>
      <c r="W245" s="9"/>
    </row>
    <row r="246" spans="17:23" x14ac:dyDescent="0.25">
      <c r="Q246" s="13"/>
      <c r="S246" s="9"/>
      <c r="T246" s="16"/>
      <c r="V246" s="16"/>
      <c r="W246" s="9"/>
    </row>
    <row r="247" spans="17:23" x14ac:dyDescent="0.25">
      <c r="Q247" s="13"/>
      <c r="S247" s="9"/>
      <c r="T247" s="16"/>
      <c r="V247" s="16"/>
      <c r="W247" s="9"/>
    </row>
    <row r="248" spans="17:23" x14ac:dyDescent="0.25">
      <c r="Q248" s="13"/>
      <c r="S248" s="9"/>
      <c r="T248" s="16"/>
      <c r="V248" s="16"/>
      <c r="W248" s="9"/>
    </row>
    <row r="249" spans="17:23" x14ac:dyDescent="0.25">
      <c r="Q249" s="13"/>
      <c r="S249" s="9"/>
      <c r="T249" s="16"/>
      <c r="V249" s="16"/>
      <c r="W249" s="9"/>
    </row>
    <row r="250" spans="17:23" x14ac:dyDescent="0.25">
      <c r="Q250" s="13"/>
      <c r="S250" s="9"/>
      <c r="T250" s="16"/>
      <c r="V250" s="16"/>
      <c r="W250" s="9"/>
    </row>
    <row r="251" spans="17:23" x14ac:dyDescent="0.25">
      <c r="Q251" s="13"/>
      <c r="S251" s="9"/>
      <c r="T251" s="16"/>
      <c r="V251" s="16"/>
      <c r="W251" s="9"/>
    </row>
    <row r="252" spans="17:23" x14ac:dyDescent="0.25">
      <c r="Q252" s="13"/>
      <c r="S252" s="9"/>
      <c r="T252" s="16"/>
      <c r="V252" s="16"/>
      <c r="W252" s="9"/>
    </row>
    <row r="253" spans="17:23" x14ac:dyDescent="0.25">
      <c r="Q253" s="13"/>
      <c r="S253" s="9"/>
      <c r="T253" s="16"/>
      <c r="V253" s="16"/>
      <c r="W253" s="9"/>
    </row>
    <row r="254" spans="17:23" x14ac:dyDescent="0.25">
      <c r="Q254" s="13"/>
      <c r="S254" s="9"/>
      <c r="T254" s="16"/>
      <c r="V254" s="16"/>
      <c r="W254" s="9"/>
    </row>
    <row r="255" spans="17:23" x14ac:dyDescent="0.25">
      <c r="Q255" s="13"/>
      <c r="S255" s="9"/>
      <c r="T255" s="16"/>
      <c r="V255" s="16"/>
      <c r="W255" s="9"/>
    </row>
    <row r="256" spans="17:23" x14ac:dyDescent="0.25">
      <c r="Q256" s="13"/>
      <c r="S256" s="9"/>
      <c r="T256" s="16"/>
      <c r="V256" s="16"/>
      <c r="W256" s="9"/>
    </row>
    <row r="257" spans="17:23" x14ac:dyDescent="0.25">
      <c r="Q257" s="13"/>
      <c r="S257" s="9"/>
      <c r="T257" s="16"/>
      <c r="V257" s="16"/>
      <c r="W257" s="9"/>
    </row>
    <row r="258" spans="17:23" x14ac:dyDescent="0.25">
      <c r="Q258" s="13"/>
      <c r="S258" s="9"/>
      <c r="T258" s="16"/>
      <c r="V258" s="16"/>
      <c r="W258" s="9"/>
    </row>
    <row r="259" spans="17:23" x14ac:dyDescent="0.25">
      <c r="Q259" s="13"/>
      <c r="S259" s="9"/>
      <c r="T259" s="16"/>
      <c r="V259" s="16"/>
      <c r="W259" s="9"/>
    </row>
    <row r="260" spans="17:23" x14ac:dyDescent="0.25">
      <c r="Q260" s="13"/>
      <c r="S260" s="9"/>
      <c r="T260" s="16"/>
      <c r="V260" s="16"/>
      <c r="W260" s="9"/>
    </row>
    <row r="261" spans="17:23" x14ac:dyDescent="0.25">
      <c r="Q261" s="13"/>
      <c r="S261" s="9"/>
      <c r="T261" s="16"/>
      <c r="V261" s="16"/>
      <c r="W261" s="9"/>
    </row>
    <row r="262" spans="17:23" x14ac:dyDescent="0.25">
      <c r="Q262" s="13"/>
      <c r="S262" s="9"/>
      <c r="T262" s="16"/>
      <c r="V262" s="16"/>
      <c r="W262" s="9"/>
    </row>
    <row r="263" spans="17:23" x14ac:dyDescent="0.25">
      <c r="Q263" s="13"/>
      <c r="S263" s="9"/>
      <c r="T263" s="16"/>
      <c r="V263" s="16"/>
      <c r="W263" s="9"/>
    </row>
    <row r="264" spans="17:23" x14ac:dyDescent="0.25">
      <c r="Q264" s="13"/>
      <c r="S264" s="9"/>
      <c r="T264" s="16"/>
      <c r="V264" s="16"/>
      <c r="W264" s="9"/>
    </row>
    <row r="265" spans="17:23" x14ac:dyDescent="0.25">
      <c r="Q265" s="13"/>
      <c r="S265" s="9"/>
      <c r="T265" s="16"/>
      <c r="V265" s="16"/>
      <c r="W265" s="9"/>
    </row>
    <row r="266" spans="17:23" x14ac:dyDescent="0.25">
      <c r="Q266" s="13"/>
      <c r="S266" s="9"/>
      <c r="T266" s="16"/>
      <c r="V266" s="16"/>
      <c r="W266" s="9"/>
    </row>
    <row r="267" spans="17:23" x14ac:dyDescent="0.25">
      <c r="Q267" s="13"/>
      <c r="S267" s="9"/>
      <c r="T267" s="16"/>
      <c r="V267" s="16"/>
      <c r="W267" s="9"/>
    </row>
    <row r="268" spans="17:23" x14ac:dyDescent="0.25">
      <c r="Q268" s="13"/>
      <c r="S268" s="9"/>
      <c r="T268" s="16"/>
      <c r="V268" s="16"/>
      <c r="W268" s="9"/>
    </row>
    <row r="269" spans="17:23" x14ac:dyDescent="0.25">
      <c r="Q269" s="13"/>
      <c r="S269" s="9"/>
      <c r="T269" s="16"/>
      <c r="V269" s="16"/>
      <c r="W269" s="9"/>
    </row>
    <row r="270" spans="17:23" x14ac:dyDescent="0.25">
      <c r="Q270" s="13"/>
      <c r="S270" s="9"/>
      <c r="T270" s="16"/>
      <c r="V270" s="16"/>
      <c r="W270" s="9"/>
    </row>
    <row r="271" spans="17:23" x14ac:dyDescent="0.25">
      <c r="Q271" s="13"/>
      <c r="S271" s="9"/>
      <c r="T271" s="16"/>
      <c r="V271" s="16"/>
      <c r="W271" s="9"/>
    </row>
    <row r="272" spans="17:23" x14ac:dyDescent="0.25">
      <c r="Q272" s="13"/>
      <c r="S272" s="9"/>
      <c r="T272" s="16"/>
      <c r="V272" s="16"/>
      <c r="W272" s="9"/>
    </row>
    <row r="273" spans="17:23" x14ac:dyDescent="0.25">
      <c r="Q273" s="13"/>
      <c r="S273" s="9"/>
      <c r="T273" s="16"/>
      <c r="V273" s="16"/>
      <c r="W273" s="9"/>
    </row>
    <row r="274" spans="17:23" x14ac:dyDescent="0.25">
      <c r="Q274" s="13"/>
      <c r="S274" s="9"/>
      <c r="T274" s="16"/>
      <c r="V274" s="16"/>
      <c r="W274" s="9"/>
    </row>
    <row r="275" spans="17:23" x14ac:dyDescent="0.25">
      <c r="Q275" s="13"/>
      <c r="S275" s="9"/>
      <c r="T275" s="16"/>
      <c r="V275" s="16"/>
      <c r="W275" s="9"/>
    </row>
    <row r="276" spans="17:23" x14ac:dyDescent="0.25">
      <c r="Q276" s="13"/>
      <c r="S276" s="9"/>
      <c r="T276" s="16"/>
      <c r="V276" s="16"/>
      <c r="W276" s="9"/>
    </row>
    <row r="277" spans="17:23" x14ac:dyDescent="0.25">
      <c r="Q277" s="13"/>
      <c r="S277" s="9"/>
      <c r="T277" s="16"/>
      <c r="V277" s="16"/>
      <c r="W277" s="9"/>
    </row>
    <row r="278" spans="17:23" x14ac:dyDescent="0.25">
      <c r="Q278" s="13"/>
      <c r="S278" s="9"/>
      <c r="T278" s="16"/>
      <c r="V278" s="16"/>
      <c r="W278" s="9"/>
    </row>
    <row r="279" spans="17:23" x14ac:dyDescent="0.25">
      <c r="Q279" s="13"/>
      <c r="S279" s="9"/>
      <c r="T279" s="16"/>
      <c r="V279" s="16"/>
      <c r="W279" s="9"/>
    </row>
    <row r="280" spans="17:23" x14ac:dyDescent="0.25">
      <c r="Q280" s="13"/>
      <c r="S280" s="9"/>
      <c r="T280" s="16"/>
      <c r="V280" s="16"/>
      <c r="W280" s="9"/>
    </row>
    <row r="281" spans="17:23" x14ac:dyDescent="0.25">
      <c r="Q281" s="13"/>
      <c r="S281" s="9"/>
      <c r="T281" s="16"/>
      <c r="V281" s="16"/>
      <c r="W281" s="9"/>
    </row>
    <row r="282" spans="17:23" x14ac:dyDescent="0.25">
      <c r="Q282" s="13"/>
      <c r="S282" s="9"/>
      <c r="T282" s="16"/>
      <c r="V282" s="16"/>
      <c r="W282" s="9"/>
    </row>
    <row r="283" spans="17:23" x14ac:dyDescent="0.25">
      <c r="Q283" s="13"/>
      <c r="S283" s="9"/>
      <c r="T283" s="16"/>
      <c r="V283" s="16"/>
      <c r="W283" s="9"/>
    </row>
    <row r="284" spans="17:23" x14ac:dyDescent="0.25">
      <c r="Q284" s="13"/>
      <c r="S284" s="9"/>
      <c r="T284" s="16"/>
      <c r="V284" s="16"/>
      <c r="W284" s="9"/>
    </row>
    <row r="285" spans="17:23" x14ac:dyDescent="0.25">
      <c r="Q285" s="13"/>
      <c r="S285" s="9"/>
      <c r="T285" s="16"/>
      <c r="V285" s="16"/>
      <c r="W285" s="9"/>
    </row>
    <row r="286" spans="17:23" x14ac:dyDescent="0.25">
      <c r="Q286" s="13"/>
      <c r="S286" s="9"/>
      <c r="T286" s="16"/>
      <c r="V286" s="16"/>
      <c r="W286" s="9"/>
    </row>
    <row r="287" spans="17:23" x14ac:dyDescent="0.25">
      <c r="Q287" s="13"/>
      <c r="S287" s="9"/>
      <c r="T287" s="16"/>
      <c r="V287" s="16"/>
      <c r="W287" s="9"/>
    </row>
    <row r="288" spans="17:23" x14ac:dyDescent="0.25">
      <c r="Q288" s="13"/>
      <c r="S288" s="9"/>
      <c r="T288" s="16"/>
      <c r="V288" s="16"/>
      <c r="W288" s="9"/>
    </row>
    <row r="289" spans="17:23" x14ac:dyDescent="0.25">
      <c r="Q289" s="13"/>
      <c r="S289" s="9"/>
      <c r="T289" s="16"/>
      <c r="V289" s="16"/>
      <c r="W289" s="9"/>
    </row>
    <row r="290" spans="17:23" x14ac:dyDescent="0.25">
      <c r="Q290" s="13"/>
      <c r="S290" s="9"/>
      <c r="T290" s="16"/>
      <c r="V290" s="16"/>
      <c r="W290" s="9"/>
    </row>
    <row r="291" spans="17:23" x14ac:dyDescent="0.25">
      <c r="Q291" s="13"/>
      <c r="S291" s="9"/>
      <c r="T291" s="16"/>
      <c r="V291" s="16"/>
      <c r="W291" s="9"/>
    </row>
    <row r="292" spans="17:23" x14ac:dyDescent="0.25">
      <c r="Q292" s="13"/>
      <c r="S292" s="9"/>
      <c r="T292" s="16"/>
      <c r="V292" s="16"/>
      <c r="W292" s="9"/>
    </row>
    <row r="293" spans="17:23" x14ac:dyDescent="0.25">
      <c r="Q293" s="13"/>
      <c r="S293" s="9"/>
      <c r="T293" s="16"/>
      <c r="V293" s="16"/>
      <c r="W293" s="9"/>
    </row>
    <row r="294" spans="17:23" x14ac:dyDescent="0.25">
      <c r="Q294" s="13"/>
      <c r="S294" s="9"/>
      <c r="T294" s="16"/>
      <c r="V294" s="16"/>
      <c r="W294" s="9"/>
    </row>
    <row r="295" spans="17:23" x14ac:dyDescent="0.25">
      <c r="Q295" s="13"/>
      <c r="S295" s="9"/>
      <c r="T295" s="16"/>
      <c r="V295" s="16"/>
      <c r="W295" s="9"/>
    </row>
    <row r="296" spans="17:23" x14ac:dyDescent="0.25">
      <c r="Q296" s="13"/>
      <c r="S296" s="9"/>
      <c r="T296" s="16"/>
      <c r="V296" s="16"/>
      <c r="W296" s="9"/>
    </row>
    <row r="297" spans="17:23" x14ac:dyDescent="0.25">
      <c r="Q297" s="13"/>
      <c r="S297" s="9"/>
      <c r="T297" s="16"/>
      <c r="V297" s="16"/>
      <c r="W297" s="9"/>
    </row>
    <row r="298" spans="17:23" x14ac:dyDescent="0.25">
      <c r="Q298" s="13"/>
      <c r="S298" s="9"/>
      <c r="T298" s="16"/>
      <c r="V298" s="16"/>
      <c r="W298" s="9"/>
    </row>
    <row r="299" spans="17:23" x14ac:dyDescent="0.25">
      <c r="Q299" s="13"/>
      <c r="S299" s="9"/>
      <c r="T299" s="16"/>
      <c r="V299" s="16"/>
      <c r="W299" s="9"/>
    </row>
    <row r="300" spans="17:23" x14ac:dyDescent="0.25">
      <c r="Q300" s="13"/>
      <c r="S300" s="9"/>
      <c r="T300" s="16"/>
      <c r="V300" s="16"/>
      <c r="W300" s="9"/>
    </row>
    <row r="301" spans="17:23" x14ac:dyDescent="0.25">
      <c r="Q301" s="13"/>
      <c r="S301" s="9"/>
      <c r="T301" s="16"/>
      <c r="V301" s="16"/>
      <c r="W301" s="9"/>
    </row>
    <row r="302" spans="17:23" x14ac:dyDescent="0.25">
      <c r="Q302" s="13"/>
      <c r="S302" s="9"/>
      <c r="T302" s="16"/>
      <c r="V302" s="16"/>
      <c r="W302" s="9"/>
    </row>
    <row r="303" spans="17:23" x14ac:dyDescent="0.25">
      <c r="Q303" s="13"/>
      <c r="S303" s="9"/>
      <c r="T303" s="16"/>
      <c r="V303" s="16"/>
      <c r="W303" s="9"/>
    </row>
    <row r="304" spans="17:23" x14ac:dyDescent="0.25">
      <c r="Q304" s="13"/>
      <c r="S304" s="9"/>
      <c r="T304" s="16"/>
      <c r="V304" s="16"/>
      <c r="W304" s="9"/>
    </row>
    <row r="305" spans="17:23" x14ac:dyDescent="0.25">
      <c r="Q305" s="13"/>
      <c r="S305" s="9"/>
      <c r="T305" s="16"/>
      <c r="V305" s="16"/>
      <c r="W305" s="9"/>
    </row>
    <row r="306" spans="17:23" x14ac:dyDescent="0.25">
      <c r="Q306" s="13"/>
      <c r="S306" s="9"/>
      <c r="T306" s="16"/>
      <c r="V306" s="16"/>
      <c r="W306" s="9"/>
    </row>
    <row r="307" spans="17:23" x14ac:dyDescent="0.25">
      <c r="Q307" s="13"/>
      <c r="S307" s="9"/>
      <c r="T307" s="16"/>
      <c r="V307" s="16"/>
      <c r="W307" s="9"/>
    </row>
    <row r="308" spans="17:23" x14ac:dyDescent="0.25">
      <c r="Q308" s="13"/>
      <c r="S308" s="9"/>
      <c r="T308" s="16"/>
      <c r="V308" s="16"/>
      <c r="W308" s="9"/>
    </row>
    <row r="309" spans="17:23" x14ac:dyDescent="0.25">
      <c r="Q309" s="13"/>
      <c r="S309" s="9"/>
      <c r="T309" s="16"/>
      <c r="V309" s="16"/>
      <c r="W309" s="9"/>
    </row>
    <row r="310" spans="17:23" x14ac:dyDescent="0.25">
      <c r="Q310" s="13"/>
      <c r="S310" s="9"/>
      <c r="T310" s="16"/>
      <c r="V310" s="16"/>
      <c r="W310" s="9"/>
    </row>
    <row r="311" spans="17:23" x14ac:dyDescent="0.25">
      <c r="Q311" s="13"/>
      <c r="S311" s="9"/>
      <c r="T311" s="16"/>
      <c r="V311" s="16"/>
      <c r="W311" s="9"/>
    </row>
    <row r="312" spans="17:23" x14ac:dyDescent="0.25">
      <c r="Q312" s="13"/>
      <c r="S312" s="9"/>
      <c r="T312" s="16"/>
      <c r="V312" s="16"/>
      <c r="W312" s="9"/>
    </row>
    <row r="313" spans="17:23" x14ac:dyDescent="0.25">
      <c r="Q313" s="13"/>
      <c r="S313" s="9"/>
      <c r="T313" s="16"/>
      <c r="V313" s="16"/>
      <c r="W313" s="9"/>
    </row>
    <row r="314" spans="17:23" x14ac:dyDescent="0.25">
      <c r="Q314" s="13"/>
      <c r="S314" s="9"/>
      <c r="T314" s="16"/>
      <c r="V314" s="16"/>
      <c r="W314" s="9"/>
    </row>
    <row r="315" spans="17:23" x14ac:dyDescent="0.25">
      <c r="Q315" s="13"/>
      <c r="S315" s="9"/>
      <c r="T315" s="16"/>
      <c r="V315" s="16"/>
      <c r="W315" s="9"/>
    </row>
    <row r="316" spans="17:23" x14ac:dyDescent="0.25">
      <c r="Q316" s="13"/>
      <c r="S316" s="9"/>
      <c r="T316" s="16"/>
      <c r="V316" s="16"/>
      <c r="W316" s="9"/>
    </row>
    <row r="317" spans="17:23" x14ac:dyDescent="0.25">
      <c r="Q317" s="13"/>
      <c r="S317" s="9"/>
      <c r="T317" s="16"/>
      <c r="V317" s="16"/>
      <c r="W317" s="9"/>
    </row>
    <row r="318" spans="17:23" x14ac:dyDescent="0.25">
      <c r="Q318" s="13"/>
      <c r="S318" s="9"/>
      <c r="T318" s="16"/>
      <c r="V318" s="16"/>
      <c r="W318" s="9"/>
    </row>
    <row r="319" spans="17:23" x14ac:dyDescent="0.25">
      <c r="Q319" s="13"/>
      <c r="S319" s="9"/>
      <c r="T319" s="16"/>
      <c r="V319" s="16"/>
      <c r="W319" s="9"/>
    </row>
    <row r="320" spans="17:23" x14ac:dyDescent="0.25">
      <c r="Q320" s="13"/>
      <c r="S320" s="9"/>
      <c r="T320" s="16"/>
      <c r="V320" s="16"/>
      <c r="W320" s="9"/>
    </row>
    <row r="321" spans="17:23" x14ac:dyDescent="0.25">
      <c r="Q321" s="13"/>
      <c r="S321" s="9"/>
      <c r="T321" s="16"/>
      <c r="V321" s="16"/>
      <c r="W321" s="9"/>
    </row>
    <row r="322" spans="17:23" x14ac:dyDescent="0.25">
      <c r="Q322" s="13"/>
      <c r="S322" s="9"/>
      <c r="T322" s="16"/>
      <c r="V322" s="16"/>
      <c r="W322" s="9"/>
    </row>
    <row r="323" spans="17:23" x14ac:dyDescent="0.25">
      <c r="Q323" s="13"/>
      <c r="S323" s="9"/>
      <c r="T323" s="16"/>
      <c r="V323" s="16"/>
      <c r="W323" s="9"/>
    </row>
    <row r="324" spans="17:23" x14ac:dyDescent="0.25">
      <c r="Q324" s="13"/>
      <c r="S324" s="9"/>
      <c r="T324" s="16"/>
      <c r="V324" s="16"/>
      <c r="W324" s="9"/>
    </row>
    <row r="325" spans="17:23" x14ac:dyDescent="0.25">
      <c r="Q325" s="13"/>
      <c r="S325" s="9"/>
      <c r="T325" s="16"/>
      <c r="V325" s="16"/>
      <c r="W325" s="9"/>
    </row>
    <row r="326" spans="17:23" x14ac:dyDescent="0.25">
      <c r="Q326" s="13"/>
      <c r="S326" s="9"/>
      <c r="T326" s="16"/>
      <c r="V326" s="16"/>
      <c r="W326" s="9"/>
    </row>
    <row r="327" spans="17:23" x14ac:dyDescent="0.25">
      <c r="Q327" s="13"/>
      <c r="S327" s="9"/>
      <c r="T327" s="16"/>
      <c r="V327" s="16"/>
      <c r="W327" s="9"/>
    </row>
    <row r="328" spans="17:23" x14ac:dyDescent="0.25">
      <c r="Q328" s="13"/>
      <c r="S328" s="9"/>
      <c r="T328" s="16"/>
      <c r="V328" s="16"/>
      <c r="W328" s="9"/>
    </row>
    <row r="329" spans="17:23" x14ac:dyDescent="0.25">
      <c r="Q329" s="13"/>
      <c r="S329" s="9"/>
      <c r="T329" s="16"/>
      <c r="V329" s="16"/>
      <c r="W329" s="9"/>
    </row>
    <row r="330" spans="17:23" x14ac:dyDescent="0.25">
      <c r="Q330" s="13"/>
      <c r="S330" s="9"/>
      <c r="T330" s="16"/>
      <c r="V330" s="16"/>
      <c r="W330" s="9"/>
    </row>
    <row r="331" spans="17:23" x14ac:dyDescent="0.25">
      <c r="Q331" s="13"/>
      <c r="S331" s="9"/>
      <c r="T331" s="16"/>
      <c r="V331" s="16"/>
      <c r="W331" s="9"/>
    </row>
    <row r="332" spans="17:23" x14ac:dyDescent="0.25">
      <c r="Q332" s="13"/>
      <c r="S332" s="9"/>
      <c r="T332" s="16"/>
      <c r="V332" s="16"/>
      <c r="W332" s="9"/>
    </row>
    <row r="333" spans="17:23" x14ac:dyDescent="0.25">
      <c r="Q333" s="13"/>
      <c r="S333" s="9"/>
      <c r="T333" s="16"/>
      <c r="V333" s="16"/>
      <c r="W333" s="9"/>
    </row>
    <row r="334" spans="17:23" x14ac:dyDescent="0.25">
      <c r="Q334" s="13"/>
      <c r="S334" s="9"/>
      <c r="T334" s="16"/>
      <c r="V334" s="16"/>
      <c r="W334" s="9"/>
    </row>
    <row r="335" spans="17:23" x14ac:dyDescent="0.25">
      <c r="Q335" s="13"/>
      <c r="S335" s="9"/>
      <c r="T335" s="16"/>
      <c r="V335" s="16"/>
      <c r="W335" s="9"/>
    </row>
    <row r="336" spans="17:23" x14ac:dyDescent="0.25">
      <c r="Q336" s="13"/>
      <c r="S336" s="9"/>
      <c r="T336" s="16"/>
      <c r="V336" s="16"/>
      <c r="W336" s="9"/>
    </row>
    <row r="337" spans="17:23" x14ac:dyDescent="0.25">
      <c r="Q337" s="13"/>
      <c r="S337" s="9"/>
      <c r="T337" s="16"/>
      <c r="V337" s="16"/>
      <c r="W337" s="9"/>
    </row>
    <row r="338" spans="17:23" x14ac:dyDescent="0.25">
      <c r="Q338" s="13"/>
      <c r="S338" s="9"/>
      <c r="T338" s="16"/>
      <c r="V338" s="16"/>
      <c r="W338" s="9"/>
    </row>
    <row r="339" spans="17:23" x14ac:dyDescent="0.25">
      <c r="Q339" s="13"/>
      <c r="S339" s="9"/>
      <c r="T339" s="16"/>
      <c r="V339" s="16"/>
      <c r="W339" s="9"/>
    </row>
    <row r="340" spans="17:23" x14ac:dyDescent="0.25">
      <c r="Q340" s="13"/>
      <c r="S340" s="9"/>
      <c r="T340" s="16"/>
      <c r="V340" s="16"/>
      <c r="W340" s="9"/>
    </row>
    <row r="341" spans="17:23" x14ac:dyDescent="0.25">
      <c r="Q341" s="13"/>
      <c r="S341" s="9"/>
      <c r="T341" s="16"/>
      <c r="V341" s="16"/>
      <c r="W341" s="9"/>
    </row>
    <row r="342" spans="17:23" x14ac:dyDescent="0.25">
      <c r="Q342" s="13"/>
      <c r="S342" s="9"/>
      <c r="T342" s="16"/>
      <c r="V342" s="16"/>
      <c r="W342" s="9"/>
    </row>
    <row r="343" spans="17:23" x14ac:dyDescent="0.25">
      <c r="Q343" s="13"/>
      <c r="S343" s="9"/>
      <c r="T343" s="16"/>
      <c r="V343" s="16"/>
      <c r="W343" s="9"/>
    </row>
    <row r="344" spans="17:23" x14ac:dyDescent="0.25">
      <c r="Q344" s="13"/>
      <c r="S344" s="13"/>
      <c r="T344" s="13"/>
      <c r="V344" s="16"/>
      <c r="W344" s="13"/>
    </row>
    <row r="345" spans="17:23" x14ac:dyDescent="0.25">
      <c r="Q345" s="13"/>
      <c r="S345" s="13"/>
      <c r="T345" s="13"/>
      <c r="V345" s="16"/>
      <c r="W345" s="13"/>
    </row>
    <row r="346" spans="17:23" x14ac:dyDescent="0.25">
      <c r="Q346" s="13"/>
      <c r="S346" s="13"/>
      <c r="T346" s="13"/>
      <c r="V346" s="16"/>
      <c r="W346" s="13"/>
    </row>
    <row r="347" spans="17:23" x14ac:dyDescent="0.25">
      <c r="Q347" s="13"/>
      <c r="S347" s="13"/>
      <c r="T347" s="13"/>
      <c r="V347" s="16"/>
      <c r="W347" s="13"/>
    </row>
    <row r="348" spans="17:23" x14ac:dyDescent="0.25">
      <c r="Q348" s="13"/>
      <c r="S348" s="13"/>
      <c r="T348" s="13"/>
      <c r="V348" s="16"/>
      <c r="W348" s="13"/>
    </row>
    <row r="349" spans="17:23" x14ac:dyDescent="0.25">
      <c r="Q349" s="13"/>
      <c r="S349" s="13"/>
      <c r="T349" s="13"/>
      <c r="V349" s="16"/>
      <c r="W349" s="13"/>
    </row>
    <row r="350" spans="17:23" x14ac:dyDescent="0.25">
      <c r="Q350" s="13"/>
      <c r="S350" s="13"/>
      <c r="T350" s="13"/>
      <c r="V350" s="16"/>
      <c r="W350" s="13"/>
    </row>
    <row r="351" spans="17:23" x14ac:dyDescent="0.25">
      <c r="Q351" s="13"/>
      <c r="S351" s="13"/>
      <c r="T351" s="13"/>
      <c r="V351" s="16"/>
      <c r="W351" s="13"/>
    </row>
    <row r="352" spans="17:23" x14ac:dyDescent="0.25">
      <c r="Q352" s="13"/>
      <c r="S352" s="13"/>
      <c r="T352" s="13"/>
      <c r="V352" s="16"/>
      <c r="W352" s="13"/>
    </row>
    <row r="353" spans="17:23" x14ac:dyDescent="0.25">
      <c r="Q353" s="13"/>
      <c r="S353" s="13"/>
      <c r="T353" s="13"/>
      <c r="V353" s="16"/>
      <c r="W353" s="13"/>
    </row>
    <row r="354" spans="17:23" x14ac:dyDescent="0.25">
      <c r="Q354" s="13"/>
      <c r="S354" s="13"/>
      <c r="T354" s="13"/>
      <c r="V354" s="16"/>
      <c r="W354" s="13"/>
    </row>
    <row r="355" spans="17:23" x14ac:dyDescent="0.25">
      <c r="Q355" s="13"/>
      <c r="S355" s="13"/>
      <c r="T355" s="13"/>
      <c r="V355" s="16"/>
      <c r="W355" s="13"/>
    </row>
    <row r="356" spans="17:23" x14ac:dyDescent="0.25">
      <c r="Q356" s="13"/>
      <c r="S356" s="13"/>
      <c r="T356" s="13"/>
      <c r="V356" s="16"/>
      <c r="W356" s="13"/>
    </row>
    <row r="357" spans="17:23" x14ac:dyDescent="0.25">
      <c r="Q357" s="13"/>
      <c r="S357" s="13"/>
      <c r="T357" s="13"/>
      <c r="V357" s="16"/>
      <c r="W357" s="13"/>
    </row>
    <row r="358" spans="17:23" x14ac:dyDescent="0.25">
      <c r="Q358" s="13"/>
      <c r="S358" s="13"/>
      <c r="T358" s="13"/>
      <c r="V358" s="16"/>
      <c r="W358" s="13"/>
    </row>
    <row r="359" spans="17:23" x14ac:dyDescent="0.25">
      <c r="Q359" s="13"/>
      <c r="S359" s="13"/>
      <c r="T359" s="13"/>
      <c r="V359" s="16"/>
      <c r="W359" s="13"/>
    </row>
    <row r="360" spans="17:23" x14ac:dyDescent="0.25">
      <c r="Q360" s="13"/>
      <c r="S360" s="13"/>
      <c r="T360" s="13"/>
      <c r="V360" s="16"/>
      <c r="W360" s="13"/>
    </row>
    <row r="361" spans="17:23" x14ac:dyDescent="0.25">
      <c r="Q361" s="13"/>
      <c r="S361" s="13"/>
      <c r="T361" s="13"/>
      <c r="V361" s="16"/>
      <c r="W361" s="13"/>
    </row>
    <row r="362" spans="17:23" x14ac:dyDescent="0.25">
      <c r="Q362" s="13"/>
      <c r="S362" s="13"/>
      <c r="T362" s="13"/>
      <c r="V362" s="16"/>
      <c r="W362" s="13"/>
    </row>
    <row r="363" spans="17:23" x14ac:dyDescent="0.25">
      <c r="Q363" s="13"/>
      <c r="S363" s="13"/>
      <c r="T363" s="13"/>
      <c r="V363" s="16"/>
      <c r="W363" s="13"/>
    </row>
    <row r="364" spans="17:23" x14ac:dyDescent="0.25">
      <c r="Q364" s="13"/>
      <c r="S364" s="13"/>
      <c r="T364" s="13"/>
      <c r="V364" s="16"/>
      <c r="W364" s="13"/>
    </row>
    <row r="365" spans="17:23" x14ac:dyDescent="0.25">
      <c r="Q365" s="13"/>
      <c r="S365" s="13"/>
      <c r="T365" s="13"/>
      <c r="V365" s="16"/>
      <c r="W365" s="13"/>
    </row>
    <row r="366" spans="17:23" x14ac:dyDescent="0.25">
      <c r="Q366" s="13"/>
      <c r="S366" s="13"/>
      <c r="T366" s="13"/>
      <c r="V366" s="16"/>
      <c r="W366" s="13"/>
    </row>
    <row r="367" spans="17:23" x14ac:dyDescent="0.25">
      <c r="Q367" s="13"/>
      <c r="S367" s="13"/>
      <c r="T367" s="13"/>
      <c r="V367" s="16"/>
      <c r="W367" s="13"/>
    </row>
    <row r="368" spans="17:23" x14ac:dyDescent="0.25">
      <c r="Q368" s="13"/>
      <c r="S368" s="13"/>
      <c r="T368" s="13"/>
      <c r="V368" s="16"/>
      <c r="W368" s="13"/>
    </row>
    <row r="369" spans="17:23" x14ac:dyDescent="0.25">
      <c r="Q369" s="13"/>
      <c r="S369" s="13"/>
      <c r="T369" s="13"/>
      <c r="V369" s="16"/>
      <c r="W369" s="13"/>
    </row>
    <row r="370" spans="17:23" x14ac:dyDescent="0.25">
      <c r="Q370" s="13"/>
      <c r="S370" s="13"/>
      <c r="T370" s="13"/>
      <c r="V370" s="16"/>
      <c r="W370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"/>
  <sheetViews>
    <sheetView topLeftCell="A2" workbookViewId="0">
      <selection activeCell="R12" sqref="R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GC_Resid</vt:lpstr>
      <vt:lpstr>TRA RESID</vt:lpstr>
      <vt:lpstr>Demand</vt:lpstr>
      <vt:lpstr>&gt;&gt; TIMES</vt:lpstr>
      <vt:lpstr>Def_Tech</vt:lpstr>
      <vt:lpstr>Def_Comm</vt:lpstr>
      <vt:lpstr>ResidTRA</vt:lpstr>
      <vt:lpstr>&gt;&gt;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2025-04-08T18:31:09Z</dcterms:modified>
</cp:coreProperties>
</file>
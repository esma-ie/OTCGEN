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Veda\Veda_models\COMET_Generative_NYC\"/>
    </mc:Choice>
  </mc:AlternateContent>
  <xr:revisionPtr revIDLastSave="0" documentId="13_ncr:1_{E9D5B434-E300-441D-A09B-97B2142EEEE4}" xr6:coauthVersionLast="47" xr6:coauthVersionMax="47" xr10:uidLastSave="{00000000-0000-0000-0000-000000000000}"/>
  <bookViews>
    <workbookView xWindow="-120" yWindow="-120" windowWidth="25440" windowHeight="15270" firstSheet="7" activeTab="7" xr2:uid="{00000000-000D-0000-FFFF-FFFF00000000}"/>
  </bookViews>
  <sheets>
    <sheet name="ReadMe" sheetId="1" r:id="rId1"/>
    <sheet name="&gt;&gt; City Data" sheetId="2" r:id="rId2"/>
    <sheet name="City characteristics" sheetId="3" r:id="rId3"/>
    <sheet name="&gt;&gt; GC_Resid" sheetId="4" r:id="rId4"/>
    <sheet name="IND RESID" sheetId="5" r:id="rId5"/>
    <sheet name="Demand" sheetId="6" r:id="rId6"/>
    <sheet name="&gt;&gt; TIMES" sheetId="7" r:id="rId7"/>
    <sheet name="Def_Tech" sheetId="8" r:id="rId8"/>
    <sheet name="Def_Comm" sheetId="9" r:id="rId9"/>
    <sheet name="ResidIND" sheetId="10" r:id="rId10"/>
    <sheet name="&gt;&gt; Parameters" sheetId="11" r:id="rId11"/>
  </sheets>
  <definedNames>
    <definedName name="_Fill" localSheetId="2" hidden="1">#REF!</definedName>
    <definedName name="_Fill" localSheetId="5" hidden="1">#REF!</definedName>
    <definedName name="_Fill" hidden="1">#REF!</definedName>
    <definedName name="_Order1" hidden="1">0</definedName>
    <definedName name="_Order2" hidden="1">0</definedName>
    <definedName name="_Sort" localSheetId="2" hidden="1">#REF!</definedName>
    <definedName name="_Sort" localSheetId="5" hidden="1">#REF!</definedName>
    <definedName name="_Sort" hidden="1">#REF!</definedName>
    <definedName name="anscount" hidden="1">1</definedName>
    <definedName name="CBWorkbookPriority" hidden="1">-1587101571</definedName>
    <definedName name="sencount" hidden="1">2</definedName>
    <definedName name="wrn.com_msw." localSheetId="2" hidden="1">{"com_msw",#N/A,FALSE,"Common"}</definedName>
    <definedName name="wrn.com_msw." localSheetId="5" hidden="1">{"com_msw",#N/A,FALSE,"Common"}</definedName>
    <definedName name="wrn.com_msw." hidden="1">{"com_msw",#N/A,FALSE,"Common"}</definedName>
    <definedName name="wrn.msw_1." localSheetId="2" hidden="1">{"msw_1",#N/A,FALSE,"Common"}</definedName>
    <definedName name="wrn.msw_1." localSheetId="5" hidden="1">{"msw_1",#N/A,FALSE,"Common"}</definedName>
    <definedName name="wrn.msw_1." hidden="1">{"msw_1",#N/A,FALSE,"Common"}</definedName>
    <definedName name="wrn.msw_2." localSheetId="2" hidden="1">{"msw_2",#N/A,FALSE,"Common"}</definedName>
    <definedName name="wrn.msw_2." localSheetId="5" hidden="1">{"msw_2",#N/A,FALSE,"Common"}</definedName>
    <definedName name="wrn.msw_2." hidden="1">{"msw_2",#N/A,FALSE,"Common"}</definedName>
    <definedName name="wrn.NATIONAL._.GRID." localSheetId="2" hidden="1">{"NATIONAL GRID",#N/A,FALSE,"Sheet1"}</definedName>
    <definedName name="wrn.NATIONAL._.GRID." localSheetId="5" hidden="1">{"NATIONAL GRID",#N/A,FALSE,"Sheet1"}</definedName>
    <definedName name="wrn.NATIONAL._.GRID." hidden="1">{"NATIONAL GRID",#N/A,FALSE,"Sheet1"}</definedName>
    <definedName name="wrn.regional._.grid." localSheetId="2" hidden="1">{"regional grid",#N/A,FALSE,"Sheet1"}</definedName>
    <definedName name="wrn.regional._.grid." localSheetId="5" hidden="1">{"regional grid",#N/A,FALSE,"Sheet1"}</definedName>
    <definedName name="wrn.regional._.grid." hidden="1">{"regional grid",#N/A,FALSE,"Sheet1"}</definedName>
    <definedName name="wrn.res_mf_msw." localSheetId="2" hidden="1">{"res_mf_mssw",#N/A,FALSE,"Common"}</definedName>
    <definedName name="wrn.res_mf_msw." localSheetId="5" hidden="1">{"res_mf_mssw",#N/A,FALSE,"Common"}</definedName>
    <definedName name="wrn.res_mf_msw." hidden="1">{"res_mf_mssw",#N/A,FALSE,"Common"}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0" l="1"/>
  <c r="L19" i="10" s="1"/>
  <c r="B19" i="10" s="1"/>
  <c r="C16" i="10"/>
  <c r="L16" i="10" s="1"/>
  <c r="B16" i="10" s="1"/>
  <c r="C10" i="10"/>
  <c r="L10" i="10" s="1"/>
  <c r="B10" i="10" s="1"/>
  <c r="C7" i="10"/>
  <c r="L7" i="10" s="1"/>
  <c r="B7" i="10" s="1"/>
  <c r="L1" i="10"/>
  <c r="L5" i="10" s="1"/>
  <c r="D5" i="9"/>
  <c r="C5" i="9"/>
  <c r="E17" i="8"/>
  <c r="D17" i="8"/>
  <c r="B17" i="8" s="1"/>
  <c r="E16" i="8"/>
  <c r="D16" i="8"/>
  <c r="C18" i="10" s="1"/>
  <c r="B16" i="8"/>
  <c r="E15" i="8"/>
  <c r="D15" i="8"/>
  <c r="C17" i="10" s="1"/>
  <c r="B15" i="8"/>
  <c r="E14" i="8"/>
  <c r="D14" i="8"/>
  <c r="B14" i="8"/>
  <c r="E13" i="8"/>
  <c r="D13" i="8"/>
  <c r="C15" i="10" s="1"/>
  <c r="E12" i="8"/>
  <c r="D12" i="8"/>
  <c r="C14" i="10" s="1"/>
  <c r="B12" i="8"/>
  <c r="E11" i="8"/>
  <c r="D11" i="8"/>
  <c r="C13" i="10" s="1"/>
  <c r="B11" i="8"/>
  <c r="E10" i="8"/>
  <c r="D10" i="8"/>
  <c r="C12" i="10" s="1"/>
  <c r="B10" i="8"/>
  <c r="E9" i="8"/>
  <c r="D9" i="8"/>
  <c r="B9" i="8" s="1"/>
  <c r="E8" i="8"/>
  <c r="D8" i="8"/>
  <c r="B8" i="8"/>
  <c r="E7" i="8"/>
  <c r="D7" i="8"/>
  <c r="C9" i="10" s="1"/>
  <c r="B7" i="8"/>
  <c r="E6" i="8"/>
  <c r="D6" i="8"/>
  <c r="C8" i="10" s="1"/>
  <c r="B6" i="8"/>
  <c r="E5" i="8"/>
  <c r="D5" i="8"/>
  <c r="B5" i="8" s="1"/>
  <c r="E9" i="10" l="1"/>
  <c r="D9" i="10"/>
  <c r="L9" i="10"/>
  <c r="B9" i="10" s="1"/>
  <c r="H9" i="10"/>
  <c r="I9" i="10" s="1"/>
  <c r="G9" i="10"/>
  <c r="E18" i="10"/>
  <c r="D18" i="10"/>
  <c r="L18" i="10"/>
  <c r="B18" i="10" s="1"/>
  <c r="H18" i="10"/>
  <c r="I18" i="10" s="1"/>
  <c r="G18" i="10"/>
  <c r="G14" i="10"/>
  <c r="H14" i="10"/>
  <c r="I14" i="10" s="1"/>
  <c r="E14" i="10"/>
  <c r="L14" i="10"/>
  <c r="B14" i="10" s="1"/>
  <c r="D14" i="10"/>
  <c r="E15" i="10"/>
  <c r="D15" i="10"/>
  <c r="L15" i="10"/>
  <c r="B15" i="10" s="1"/>
  <c r="H15" i="10"/>
  <c r="I15" i="10" s="1"/>
  <c r="G15" i="10"/>
  <c r="E17" i="10"/>
  <c r="H17" i="10"/>
  <c r="I17" i="10" s="1"/>
  <c r="G17" i="10"/>
  <c r="L17" i="10"/>
  <c r="B17" i="10" s="1"/>
  <c r="D17" i="10"/>
  <c r="L13" i="10"/>
  <c r="B13" i="10" s="1"/>
  <c r="H13" i="10"/>
  <c r="I13" i="10" s="1"/>
  <c r="G13" i="10"/>
  <c r="E13" i="10"/>
  <c r="D13" i="10"/>
  <c r="E12" i="10"/>
  <c r="D12" i="10"/>
  <c r="L12" i="10"/>
  <c r="B12" i="10" s="1"/>
  <c r="H12" i="10"/>
  <c r="I12" i="10" s="1"/>
  <c r="G12" i="10"/>
  <c r="G8" i="10"/>
  <c r="H8" i="10"/>
  <c r="I8" i="10" s="1"/>
  <c r="E8" i="10"/>
  <c r="L8" i="10"/>
  <c r="B8" i="10" s="1"/>
  <c r="D8" i="10"/>
  <c r="C11" i="10"/>
  <c r="D7" i="10"/>
  <c r="D10" i="10"/>
  <c r="D16" i="10"/>
  <c r="D19" i="10"/>
  <c r="E7" i="10"/>
  <c r="E10" i="10"/>
  <c r="E16" i="10"/>
  <c r="E19" i="10"/>
  <c r="G7" i="10"/>
  <c r="G10" i="10"/>
  <c r="G16" i="10"/>
  <c r="G19" i="10"/>
  <c r="B13" i="8"/>
  <c r="H7" i="10"/>
  <c r="I7" i="10" s="1"/>
  <c r="H10" i="10"/>
  <c r="I10" i="10" s="1"/>
  <c r="H16" i="10"/>
  <c r="I16" i="10" s="1"/>
  <c r="H19" i="10"/>
  <c r="I19" i="10" s="1"/>
  <c r="G11" i="10" l="1"/>
  <c r="E11" i="10"/>
  <c r="H11" i="10"/>
  <c r="I11" i="10" s="1"/>
  <c r="L11" i="10"/>
  <c r="B11" i="10" s="1"/>
  <c r="D11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esmia</author>
  </authors>
  <commentList>
    <comment ref="K5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esmia:
Undocumented</t>
        </r>
      </text>
    </comment>
  </commentList>
</comments>
</file>

<file path=xl/sharedStrings.xml><?xml version="1.0" encoding="utf-8"?>
<sst xmlns="http://schemas.openxmlformats.org/spreadsheetml/2006/main" count="640" uniqueCount="308">
  <si>
    <t>Generic Comet (GC) TIMES Supply</t>
  </si>
  <si>
    <t>Sheet color</t>
  </si>
  <si>
    <t>Raw Data and Parameters</t>
  </si>
  <si>
    <t>City Specific Data</t>
  </si>
  <si>
    <t>Post processing for TIMES</t>
  </si>
  <si>
    <t>Table formatted for TIMES</t>
  </si>
  <si>
    <t>City Basic Data</t>
  </si>
  <si>
    <t>Calibration methodology</t>
  </si>
  <si>
    <t>GHG Inventory</t>
  </si>
  <si>
    <t>A. City Characteristics</t>
  </si>
  <si>
    <t>Data Item</t>
  </si>
  <si>
    <t>Value</t>
  </si>
  <si>
    <t>Units</t>
  </si>
  <si>
    <t>City Name</t>
  </si>
  <si>
    <t>New York</t>
  </si>
  <si>
    <t>Latitude</t>
  </si>
  <si>
    <t>Longitude</t>
  </si>
  <si>
    <t>County</t>
  </si>
  <si>
    <t>New York County</t>
  </si>
  <si>
    <t>State</t>
  </si>
  <si>
    <t>Census Division</t>
  </si>
  <si>
    <t>Middle Atlantic</t>
  </si>
  <si>
    <t>Climate Division</t>
  </si>
  <si>
    <t>Northeast</t>
  </si>
  <si>
    <t>Egrid Region</t>
  </si>
  <si>
    <t>NPCC NYC/Westchester</t>
  </si>
  <si>
    <t>Area of city (excluding water, natural and agricultural areas)</t>
  </si>
  <si>
    <t>square kilometers</t>
  </si>
  <si>
    <t>* Division and Region Map can be found in the Maps sheet.</t>
  </si>
  <si>
    <t>B. Planning Base Year and Target Years</t>
  </si>
  <si>
    <t>Year</t>
  </si>
  <si>
    <t>Base Year</t>
  </si>
  <si>
    <t>Acceptable range [2018,2021]</t>
  </si>
  <si>
    <t>End Year</t>
  </si>
  <si>
    <t>C. City Population and GDP</t>
  </si>
  <si>
    <t>Population in Base Year</t>
  </si>
  <si>
    <t>Thousand of people</t>
  </si>
  <si>
    <t>Annual population growth (Base Year - End Year)</t>
  </si>
  <si>
    <t>% people</t>
  </si>
  <si>
    <t>GDP in Base Year</t>
  </si>
  <si>
    <t>Million US$</t>
  </si>
  <si>
    <t>Annual GDP growth rate</t>
  </si>
  <si>
    <t>% US$</t>
  </si>
  <si>
    <t>Share of manufacturing GDP</t>
  </si>
  <si>
    <t>Share of State population</t>
  </si>
  <si>
    <t>Share of State GDP</t>
  </si>
  <si>
    <t>Adjustment from state manufacturing GDP</t>
  </si>
  <si>
    <t>D. Climate Data</t>
  </si>
  <si>
    <t>Heating degree days (HDD)</t>
  </si>
  <si>
    <t>F</t>
  </si>
  <si>
    <t>Cooling degree days (CDD)</t>
  </si>
  <si>
    <t>Correction from State HDD</t>
  </si>
  <si>
    <t>Correction from State CDD</t>
  </si>
  <si>
    <t>Annual precipitation</t>
  </si>
  <si>
    <t>mm / year</t>
  </si>
  <si>
    <t>Climate change scenario</t>
  </si>
  <si>
    <t>RCP4.5</t>
  </si>
  <si>
    <t>Average temperature increase in 1980-2020</t>
  </si>
  <si>
    <t>Forecasted average temperature increase in 2035-2065</t>
  </si>
  <si>
    <t>Forecasted average temperature increase in 2070-2100</t>
  </si>
  <si>
    <t>*Climate change scenario description can be found in the Lists sheet.</t>
  </si>
  <si>
    <t>E. Energy scenario</t>
  </si>
  <si>
    <t>AEO energy scenario</t>
  </si>
  <si>
    <t>lowmachighZTC</t>
  </si>
  <si>
    <t>Electricity technology scenario</t>
  </si>
  <si>
    <t>Moderate</t>
  </si>
  <si>
    <t>Transport technology scenario</t>
  </si>
  <si>
    <t>Mid</t>
  </si>
  <si>
    <t>District energy</t>
  </si>
  <si>
    <t>Yes</t>
  </si>
  <si>
    <t>* Energy scenario description can be foundin the Lists sheet.</t>
  </si>
  <si>
    <t>Sector</t>
  </si>
  <si>
    <t>Sub-sector</t>
  </si>
  <si>
    <t>Archetype</t>
  </si>
  <si>
    <t xml:space="preserve">Vintage </t>
  </si>
  <si>
    <t>End Use</t>
  </si>
  <si>
    <t>Technology</t>
  </si>
  <si>
    <t>Energy</t>
  </si>
  <si>
    <t>Input Label</t>
  </si>
  <si>
    <t>Output Label</t>
  </si>
  <si>
    <t>Technology Label</t>
  </si>
  <si>
    <t>DEMAND (TJ)</t>
  </si>
  <si>
    <t>SPLIT (%)</t>
  </si>
  <si>
    <t>DEMAND EUSE (TJ)</t>
  </si>
  <si>
    <t>RESID (MW)</t>
  </si>
  <si>
    <t>CFA</t>
  </si>
  <si>
    <t>C2A</t>
  </si>
  <si>
    <t>Industrial</t>
  </si>
  <si>
    <t>All Industries</t>
  </si>
  <si>
    <t>All end use</t>
  </si>
  <si>
    <t>Coal</t>
  </si>
  <si>
    <t>INDCOA</t>
  </si>
  <si>
    <t>INDAINDMD</t>
  </si>
  <si>
    <t>INDAINAEUCOA19</t>
  </si>
  <si>
    <t>Petcoke</t>
  </si>
  <si>
    <t>INDPCK</t>
  </si>
  <si>
    <t>INDAINAEUPCK19</t>
  </si>
  <si>
    <t>LPG</t>
  </si>
  <si>
    <t>INDLPG</t>
  </si>
  <si>
    <t>INDAINAEULPG19</t>
  </si>
  <si>
    <t>Fuel oil</t>
  </si>
  <si>
    <t>INDFOI</t>
  </si>
  <si>
    <t>INDAINAEUFOI19</t>
  </si>
  <si>
    <t>Natural gas</t>
  </si>
  <si>
    <t>INDNGA</t>
  </si>
  <si>
    <t>INDAINAEUNGA19</t>
  </si>
  <si>
    <t>RNG</t>
  </si>
  <si>
    <t>INDRNG</t>
  </si>
  <si>
    <t>INDAINAEURNG19</t>
  </si>
  <si>
    <t>Kerosene</t>
  </si>
  <si>
    <t>INDKER</t>
  </si>
  <si>
    <t>INDAINAEUKER19</t>
  </si>
  <si>
    <t>Waste</t>
  </si>
  <si>
    <t>INDWAS</t>
  </si>
  <si>
    <t>INDAINAEUWAS19</t>
  </si>
  <si>
    <t>Wood biomass</t>
  </si>
  <si>
    <t>INDBIO</t>
  </si>
  <si>
    <t>INDAINAEUBIO19</t>
  </si>
  <si>
    <t>Gasoline</t>
  </si>
  <si>
    <t>INDGSL</t>
  </si>
  <si>
    <t>INDAINAEUGSL19</t>
  </si>
  <si>
    <t>Diesel</t>
  </si>
  <si>
    <t>INDDSL</t>
  </si>
  <si>
    <t>INDAINAEUDSL19</t>
  </si>
  <si>
    <t>Steam</t>
  </si>
  <si>
    <t>INDSTM</t>
  </si>
  <si>
    <t>INDAINAEUSTM19</t>
  </si>
  <si>
    <t>Electricity</t>
  </si>
  <si>
    <t>INDELC</t>
  </si>
  <si>
    <t>INDAINAEUELC19</t>
  </si>
  <si>
    <t>Demand Label</t>
  </si>
  <si>
    <t>Unit</t>
  </si>
  <si>
    <t>Commercial</t>
  </si>
  <si>
    <t>Hotel</t>
  </si>
  <si>
    <t>Old</t>
  </si>
  <si>
    <t>COMHOTOldDMD</t>
  </si>
  <si>
    <t>Mm2</t>
  </si>
  <si>
    <t>Retail</t>
  </si>
  <si>
    <t>COMRETOldDMD</t>
  </si>
  <si>
    <t>Office</t>
  </si>
  <si>
    <t>COMOFFOldDMD</t>
  </si>
  <si>
    <t>Hospital</t>
  </si>
  <si>
    <t>COMHOPOldDMD</t>
  </si>
  <si>
    <t>Educationnal</t>
  </si>
  <si>
    <t>COMEDUOldDMD</t>
  </si>
  <si>
    <t>Warehouse</t>
  </si>
  <si>
    <t>COMWAROldDMD</t>
  </si>
  <si>
    <t>Municipal</t>
  </si>
  <si>
    <t>COMMUNOldDMD</t>
  </si>
  <si>
    <t>Other</t>
  </si>
  <si>
    <t>COMOTHOldDMD</t>
  </si>
  <si>
    <t>New</t>
  </si>
  <si>
    <t>COMHOTNewDMD</t>
  </si>
  <si>
    <t>COMRETNewDMD</t>
  </si>
  <si>
    <t>COMOFFNewDMD</t>
  </si>
  <si>
    <t>COMHOPNewDMD</t>
  </si>
  <si>
    <t>COMEDUNewDMD</t>
  </si>
  <si>
    <t>COMWARNewDMD</t>
  </si>
  <si>
    <t>COMMUNNewDMD</t>
  </si>
  <si>
    <t>COMOTHNewDMD</t>
  </si>
  <si>
    <t>Residential</t>
  </si>
  <si>
    <t>Apartment</t>
  </si>
  <si>
    <t>Low Income</t>
  </si>
  <si>
    <t>RESAPALOOldDMD</t>
  </si>
  <si>
    <t>House</t>
  </si>
  <si>
    <t>RESHOULOOldDMD</t>
  </si>
  <si>
    <t>Lower-Middle Income</t>
  </si>
  <si>
    <t>RESAPALMOldDMD</t>
  </si>
  <si>
    <t>RESHOULMOldDMD</t>
  </si>
  <si>
    <t>Upper-Middle Income</t>
  </si>
  <si>
    <t>RESAPAUMOldDMD</t>
  </si>
  <si>
    <t>RESHOUUMOldDMD</t>
  </si>
  <si>
    <t>High Income</t>
  </si>
  <si>
    <t>RESAPAHIOldDMD</t>
  </si>
  <si>
    <t>RESHOUHIOldDMD</t>
  </si>
  <si>
    <t>RESAPALONewDMD</t>
  </si>
  <si>
    <t>RESHOULONewDMD</t>
  </si>
  <si>
    <t>RESAPALMNewDMD</t>
  </si>
  <si>
    <t>RESHOULMNewDMD</t>
  </si>
  <si>
    <t>RESAPAUMNewDMD</t>
  </si>
  <si>
    <t>RESHOUUMNewDMD</t>
  </si>
  <si>
    <t>RESAPAHINewDMD</t>
  </si>
  <si>
    <t>RESHOUHINewDMD</t>
  </si>
  <si>
    <t>TJ</t>
  </si>
  <si>
    <t>Transportation</t>
  </si>
  <si>
    <t>Passenger</t>
  </si>
  <si>
    <t>Passenger Car</t>
  </si>
  <si>
    <t>TRAPASCARDMD</t>
  </si>
  <si>
    <t>M Vkm</t>
  </si>
  <si>
    <t>Passenger Truck</t>
  </si>
  <si>
    <t>TRAPASLDTDMD</t>
  </si>
  <si>
    <t>Motorcycle</t>
  </si>
  <si>
    <t>TRAPASMOTDMD</t>
  </si>
  <si>
    <t>Freight</t>
  </si>
  <si>
    <t>Light Commercial Truck</t>
  </si>
  <si>
    <t>TRAFRECLTDMD</t>
  </si>
  <si>
    <t>Refuse Truck</t>
  </si>
  <si>
    <t>TRAFRERFTDMD</t>
  </si>
  <si>
    <t>Single Unit Long-haul Truck</t>
  </si>
  <si>
    <t>TRAFRESLHDMD</t>
  </si>
  <si>
    <t>Single Unit Short-haul Truck</t>
  </si>
  <si>
    <t>TRAFRESSHDMD</t>
  </si>
  <si>
    <t>Combination Long-haul Truck</t>
  </si>
  <si>
    <t>TRAFRECLHDMD</t>
  </si>
  <si>
    <t>Combination Short-haul Truck</t>
  </si>
  <si>
    <t>TRAFRECSHDMD</t>
  </si>
  <si>
    <t>Transit Bus</t>
  </si>
  <si>
    <t>TRAPASTBUDMD</t>
  </si>
  <si>
    <t>School Bus</t>
  </si>
  <si>
    <t>TRAPASSBUDMD</t>
  </si>
  <si>
    <t>Other Buses</t>
  </si>
  <si>
    <t>TRAPASOBUDMD</t>
  </si>
  <si>
    <t>Rail</t>
  </si>
  <si>
    <t>TRAPASRAIDMD</t>
  </si>
  <si>
    <t>Tram</t>
  </si>
  <si>
    <t>TRAPASTRMDMD</t>
  </si>
  <si>
    <t>Subway</t>
  </si>
  <si>
    <t>TRAPASSUBDMD</t>
  </si>
  <si>
    <t>Bicycle</t>
  </si>
  <si>
    <t>TRAPASBICDMD</t>
  </si>
  <si>
    <t>Walk</t>
  </si>
  <si>
    <t>TRAPASWALDMD</t>
  </si>
  <si>
    <t>Off-Road</t>
  </si>
  <si>
    <t>TRAOTHOFRDMD</t>
  </si>
  <si>
    <t>Waterborne</t>
  </si>
  <si>
    <t>TRAOTHWATDMD</t>
  </si>
  <si>
    <t>Aviation</t>
  </si>
  <si>
    <t>TRAOTHAIRDMD</t>
  </si>
  <si>
    <t>Solid</t>
  </si>
  <si>
    <t>Paper</t>
  </si>
  <si>
    <t>WASSOLPAPDMD</t>
  </si>
  <si>
    <t>k tonnes</t>
  </si>
  <si>
    <t>Glass</t>
  </si>
  <si>
    <t>WASSOLGLADMD</t>
  </si>
  <si>
    <t>Metals</t>
  </si>
  <si>
    <t>WASSOLMETDMD</t>
  </si>
  <si>
    <t>Plastics</t>
  </si>
  <si>
    <t>WASSOLPLADMD</t>
  </si>
  <si>
    <t>Food</t>
  </si>
  <si>
    <t>WASSOLFOODMD</t>
  </si>
  <si>
    <t>Yard trimmings</t>
  </si>
  <si>
    <t>WASSOLYARDMD</t>
  </si>
  <si>
    <t>All other</t>
  </si>
  <si>
    <t>WASSOLAOTDMD</t>
  </si>
  <si>
    <t>Historical</t>
  </si>
  <si>
    <t>WASSOLHISDMD</t>
  </si>
  <si>
    <t>Water</t>
  </si>
  <si>
    <t>Fresh Water</t>
  </si>
  <si>
    <t>WASWATFWADMD</t>
  </si>
  <si>
    <t>Mm3</t>
  </si>
  <si>
    <t>Annual Precipitation</t>
  </si>
  <si>
    <t>WASWATAPRDMD</t>
  </si>
  <si>
    <t>Miscellanous EGRID electricity demand</t>
  </si>
  <si>
    <t>ELCMISEGRIDDMD</t>
  </si>
  <si>
    <t>Treatment</t>
  </si>
  <si>
    <t>WASWATTRTDMD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</si>
  <si>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</si>
  <si>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</si>
  <si>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</si>
  <si>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</si>
  <si>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</si>
  <si>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</si>
  <si>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</si>
  <si>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</si>
  <si>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</si>
  <si>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</si>
  <si>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*Process Set Membership</t>
  </si>
  <si>
    <t>Technology Name</t>
  </si>
  <si>
    <t>Technology Description</t>
  </si>
  <si>
    <t>Activity Unit</t>
  </si>
  <si>
    <t>Capacity Unit</t>
  </si>
  <si>
    <t>TimeSlice level of Process Activity</t>
  </si>
  <si>
    <t>Primary Commodity Group</t>
  </si>
  <si>
    <t>Vintage Tracking</t>
  </si>
  <si>
    <t>CITY</t>
  </si>
  <si>
    <t>MW</t>
  </si>
  <si>
    <t>~FI_Comm</t>
  </si>
  <si>
    <t>Csets</t>
  </si>
  <si>
    <t>CommName</t>
  </si>
  <si>
    <t>CommDesc</t>
  </si>
  <si>
    <t>LimType</t>
  </si>
  <si>
    <t>CTSLvl</t>
  </si>
  <si>
    <t>PeakTS</t>
  </si>
  <si>
    <t>Ctype</t>
  </si>
  <si>
    <t>*Commodity Set Membership</t>
  </si>
  <si>
    <t>Commodity Name</t>
  </si>
  <si>
    <t>Commodity Description</t>
  </si>
  <si>
    <t>Sense of the Balance EQN.</t>
  </si>
  <si>
    <t>Timeslice Level</t>
  </si>
  <si>
    <t>Peak Monitoring</t>
  </si>
  <si>
    <t>Electricity Indicator</t>
  </si>
  <si>
    <t>DEM</t>
  </si>
  <si>
    <t>PRC_RESID</t>
  </si>
  <si>
    <t>~FI_T</t>
  </si>
  <si>
    <t>Comm-IN</t>
  </si>
  <si>
    <t>Comm-OUT</t>
  </si>
  <si>
    <t>EFF</t>
  </si>
  <si>
    <t>PRC_CAPACT</t>
  </si>
  <si>
    <t>NCAP_AFA</t>
  </si>
  <si>
    <t>NCAP_AFA~LO</t>
  </si>
  <si>
    <t>NCAP_TLIFE</t>
  </si>
  <si>
    <t>NCAP_FOM</t>
  </si>
  <si>
    <t>*</t>
  </si>
  <si>
    <t>Out/In</t>
  </si>
  <si>
    <t>TJ/MW</t>
  </si>
  <si>
    <t>%</t>
  </si>
  <si>
    <t>Yr</t>
  </si>
  <si>
    <t>$ /kW /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</si>
</sst>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0.0"/>
    <numFmt numFmtId="165" formatCode="[$-409]mmm\-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color rgb="FF0070C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6"/>
      <name val="Calibri"/>
      <family val="2"/>
    </font>
    <font>
      <u/>
      <sz val="10"/>
      <color theme="4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name val="Geneva"/>
    </font>
    <font>
      <sz val="10"/>
      <name val="Verdana"/>
      <family val="2"/>
    </font>
    <font>
      <u/>
      <sz val="10"/>
      <color indexed="12"/>
      <name val="Verdana"/>
      <family val="2"/>
    </font>
    <font>
      <b/>
      <sz val="12"/>
      <color indexed="30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2"/>
      <color theme="1"/>
      <name val="Calibri"/>
      <family val="2"/>
      <scheme val="minor"/>
    </font>
    <font>
      <sz val="10"/>
      <name val="Courier"/>
      <family val="3"/>
    </font>
  </fonts>
  <fills count="1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</borders>
  <cellStyleXfs count="52">
    <xf numFmtId="0" fontId="0" fillId="0" borderId="0"/>
    <xf numFmtId="43" fontId="1" fillId="0" borderId="0"/>
    <xf numFmtId="0" fontId="5" fillId="0" borderId="0"/>
    <xf numFmtId="0" fontId="8" fillId="0" borderId="0">
      <alignment horizontal="left"/>
    </xf>
    <xf numFmtId="0" fontId="9" fillId="0" borderId="4">
      <alignment horizontal="left" wrapText="1"/>
    </xf>
    <xf numFmtId="0" fontId="9" fillId="0" borderId="1">
      <alignment wrapText="1"/>
    </xf>
    <xf numFmtId="0" fontId="10" fillId="0" borderId="5">
      <alignment wrapText="1"/>
    </xf>
    <xf numFmtId="0" fontId="9" fillId="0" borderId="6">
      <alignment wrapText="1"/>
    </xf>
    <xf numFmtId="0" fontId="10" fillId="0" borderId="7">
      <alignment vertical="top" wrapText="1"/>
    </xf>
    <xf numFmtId="0" fontId="3" fillId="3" borderId="0"/>
    <xf numFmtId="0" fontId="3" fillId="4" borderId="0"/>
    <xf numFmtId="0" fontId="3" fillId="5" borderId="0"/>
    <xf numFmtId="0" fontId="3" fillId="6" borderId="0"/>
    <xf numFmtId="0" fontId="3" fillId="7" borderId="0"/>
    <xf numFmtId="0" fontId="3" fillId="8" borderId="0"/>
    <xf numFmtId="0" fontId="11" fillId="0" borderId="0">
      <alignment vertical="top"/>
      <protection locked="0"/>
    </xf>
    <xf numFmtId="0" fontId="10" fillId="0" borderId="0"/>
    <xf numFmtId="0" fontId="10" fillId="0" borderId="0">
      <alignment vertical="top" wrapText="1"/>
    </xf>
    <xf numFmtId="0" fontId="12" fillId="0" borderId="0">
      <alignment vertical="top"/>
      <protection locked="0"/>
    </xf>
    <xf numFmtId="0" fontId="13" fillId="2" borderId="0"/>
    <xf numFmtId="0" fontId="5" fillId="0" borderId="0"/>
    <xf numFmtId="0" fontId="10" fillId="0" borderId="8">
      <alignment wrapText="1"/>
    </xf>
    <xf numFmtId="0" fontId="9" fillId="0" borderId="9">
      <alignment wrapText="1"/>
    </xf>
    <xf numFmtId="0" fontId="14" fillId="0" borderId="0"/>
    <xf numFmtId="0" fontId="15" fillId="0" borderId="0"/>
    <xf numFmtId="43" fontId="15" fillId="0" borderId="0"/>
    <xf numFmtId="0" fontId="16" fillId="0" borderId="0"/>
    <xf numFmtId="43" fontId="16" fillId="0" borderId="0"/>
    <xf numFmtId="0" fontId="17" fillId="0" borderId="0">
      <alignment vertical="top"/>
      <protection locked="0"/>
    </xf>
    <xf numFmtId="9" fontId="16" fillId="0" borderId="0"/>
    <xf numFmtId="0" fontId="5" fillId="0" borderId="0"/>
    <xf numFmtId="0" fontId="5" fillId="0" borderId="0"/>
    <xf numFmtId="0" fontId="16" fillId="0" borderId="0"/>
    <xf numFmtId="0" fontId="16" fillId="0" borderId="0"/>
    <xf numFmtId="0" fontId="5" fillId="0" borderId="0"/>
    <xf numFmtId="165" fontId="5" fillId="0" borderId="0"/>
    <xf numFmtId="43" fontId="5" fillId="0" borderId="0"/>
    <xf numFmtId="9" fontId="5" fillId="0" borderId="0"/>
    <xf numFmtId="0" fontId="5" fillId="0" borderId="0"/>
    <xf numFmtId="0" fontId="5" fillId="0" borderId="0"/>
    <xf numFmtId="0" fontId="18" fillId="0" borderId="0">
      <alignment horizontal="left"/>
    </xf>
    <xf numFmtId="0" fontId="19" fillId="0" borderId="0"/>
    <xf numFmtId="0" fontId="20" fillId="0" borderId="10">
      <alignment wrapText="1"/>
    </xf>
    <xf numFmtId="0" fontId="20" fillId="0" borderId="11">
      <alignment wrapText="1"/>
    </xf>
    <xf numFmtId="0" fontId="19" fillId="0" borderId="12">
      <alignment wrapText="1"/>
    </xf>
    <xf numFmtId="0" fontId="21" fillId="0" borderId="0"/>
    <xf numFmtId="0" fontId="5" fillId="0" borderId="0"/>
    <xf numFmtId="0" fontId="1" fillId="0" borderId="0"/>
    <xf numFmtId="0" fontId="1" fillId="0" borderId="0"/>
    <xf numFmtId="9" fontId="5" fillId="0" borderId="0"/>
    <xf numFmtId="43" fontId="5" fillId="0" borderId="0"/>
    <xf numFmtId="0" fontId="22" fillId="0" borderId="0"/>
  </cellStyleXfs>
  <cellXfs count="15">
    <xf numFmtId="0" fontId="0" fillId="0" borderId="0" xfId="0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2" fillId="9" borderId="0" xfId="0" applyFont="1" applyFill="1"/>
    <xf numFmtId="0" fontId="4" fillId="9" borderId="0" xfId="0" applyFont="1" applyFill="1"/>
    <xf numFmtId="164" fontId="0" fillId="0" borderId="0" xfId="0" applyNumberFormat="1"/>
    <xf numFmtId="0" fontId="5" fillId="14" borderId="2" xfId="2" applyFill="1" applyBorder="1" applyAlignment="1">
      <alignment horizontal="left" wrapText="1"/>
    </xf>
    <xf numFmtId="0" fontId="6" fillId="15" borderId="3" xfId="0" applyFont="1" applyFill="1" applyBorder="1"/>
    <xf numFmtId="0" fontId="7" fillId="0" borderId="0" xfId="0" applyFont="1"/>
    <xf numFmtId="2" fontId="0" fillId="0" borderId="0" xfId="0" applyNumberFormat="1"/>
    <xf numFmtId="1" fontId="0" fillId="0" borderId="0" xfId="0" applyNumberFormat="1"/>
    <xf numFmtId="43" fontId="0" fillId="0" borderId="0" xfId="1" applyFont="1"/>
  </cellXfs>
  <cellStyles count="52">
    <cellStyle name="60% - Accent1 2" xfId="9" xr:uid="{00000000-0005-0000-0000-000009000000}"/>
    <cellStyle name="60% - Accent2 2" xfId="10" xr:uid="{00000000-0005-0000-0000-00000A000000}"/>
    <cellStyle name="60% - Accent3 2" xfId="11" xr:uid="{00000000-0005-0000-0000-00000B000000}"/>
    <cellStyle name="60% - Accent4 2" xfId="12" xr:uid="{00000000-0005-0000-0000-00000C000000}"/>
    <cellStyle name="60% - Accent5 2" xfId="13" xr:uid="{00000000-0005-0000-0000-00000D000000}"/>
    <cellStyle name="60% - Accent6 2" xfId="14" xr:uid="{00000000-0005-0000-0000-00000E000000}"/>
    <cellStyle name="Body: normal cell" xfId="6" xr:uid="{00000000-0005-0000-0000-000006000000}"/>
    <cellStyle name="Body: normal cell 2" xfId="44" xr:uid="{00000000-0005-0000-0000-00002C000000}"/>
    <cellStyle name="Comma" xfId="1" builtinId="3"/>
    <cellStyle name="Comma 10" xfId="50" xr:uid="{00000000-0005-0000-0000-000032000000}"/>
    <cellStyle name="Comma 2" xfId="25" xr:uid="{00000000-0005-0000-0000-000019000000}"/>
    <cellStyle name="Comma 3" xfId="27" xr:uid="{00000000-0005-0000-0000-00001B000000}"/>
    <cellStyle name="Comma 4" xfId="36" xr:uid="{00000000-0005-0000-0000-000024000000}"/>
    <cellStyle name="Followed Hyperlink 2" xfId="15" xr:uid="{00000000-0005-0000-0000-00000F000000}"/>
    <cellStyle name="Font: Calibri, 9pt regular" xfId="16" xr:uid="{00000000-0005-0000-0000-000010000000}"/>
    <cellStyle name="Font: Calibri, 9pt regular 2" xfId="41" xr:uid="{00000000-0005-0000-0000-000029000000}"/>
    <cellStyle name="Footnotes: all except top row" xfId="17" xr:uid="{00000000-0005-0000-0000-000011000000}"/>
    <cellStyle name="Footnotes: top row" xfId="8" xr:uid="{00000000-0005-0000-0000-000008000000}"/>
    <cellStyle name="Header: bottom row" xfId="5" xr:uid="{00000000-0005-0000-0000-000005000000}"/>
    <cellStyle name="Header: bottom row 2" xfId="42" xr:uid="{00000000-0005-0000-0000-00002A000000}"/>
    <cellStyle name="Header: top rows" xfId="4" xr:uid="{00000000-0005-0000-0000-000004000000}"/>
    <cellStyle name="Hyperlink 2" xfId="18" xr:uid="{00000000-0005-0000-0000-000012000000}"/>
    <cellStyle name="Hyperlink 3" xfId="28" xr:uid="{00000000-0005-0000-0000-00001C000000}"/>
    <cellStyle name="Neutral 2" xfId="19" xr:uid="{00000000-0005-0000-0000-000013000000}"/>
    <cellStyle name="Normal" xfId="0" builtinId="0"/>
    <cellStyle name="Normal 10" xfId="2" xr:uid="{00000000-0005-0000-0000-000002000000}"/>
    <cellStyle name="Normal 10 2" xfId="39" xr:uid="{00000000-0005-0000-0000-000027000000}"/>
    <cellStyle name="Normal 10 2 2 3" xfId="48" xr:uid="{00000000-0005-0000-0000-000030000000}"/>
    <cellStyle name="Normal 10 3" xfId="31" xr:uid="{00000000-0005-0000-0000-00001F000000}"/>
    <cellStyle name="Normal 128" xfId="33" xr:uid="{00000000-0005-0000-0000-000021000000}"/>
    <cellStyle name="Normal 153" xfId="30" xr:uid="{00000000-0005-0000-0000-00001E000000}"/>
    <cellStyle name="Normal 2" xfId="20" xr:uid="{00000000-0005-0000-0000-000014000000}"/>
    <cellStyle name="Normal 2 2 2 3" xfId="34" xr:uid="{00000000-0005-0000-0000-000022000000}"/>
    <cellStyle name="Normal 2 3" xfId="51" xr:uid="{00000000-0005-0000-0000-000033000000}"/>
    <cellStyle name="Normal 3" xfId="24" xr:uid="{00000000-0005-0000-0000-000018000000}"/>
    <cellStyle name="Normal 3 2" xfId="32" xr:uid="{00000000-0005-0000-0000-000020000000}"/>
    <cellStyle name="Normal 4" xfId="26" xr:uid="{00000000-0005-0000-0000-00001A000000}"/>
    <cellStyle name="Normal 4 2" xfId="38" xr:uid="{00000000-0005-0000-0000-000026000000}"/>
    <cellStyle name="Normal 5" xfId="45" xr:uid="{00000000-0005-0000-0000-00002D000000}"/>
    <cellStyle name="Normal 6" xfId="46" xr:uid="{00000000-0005-0000-0000-00002E000000}"/>
    <cellStyle name="Normal 8" xfId="35" xr:uid="{00000000-0005-0000-0000-000023000000}"/>
    <cellStyle name="Normal 9" xfId="47" xr:uid="{00000000-0005-0000-0000-00002F000000}"/>
    <cellStyle name="Parent row" xfId="7" xr:uid="{00000000-0005-0000-0000-000007000000}"/>
    <cellStyle name="Parent row 2" xfId="43" xr:uid="{00000000-0005-0000-0000-00002B000000}"/>
    <cellStyle name="Percent 10" xfId="49" xr:uid="{00000000-0005-0000-0000-000031000000}"/>
    <cellStyle name="Percent 2" xfId="29" xr:uid="{00000000-0005-0000-0000-00001D000000}"/>
    <cellStyle name="Percent 3" xfId="37" xr:uid="{00000000-0005-0000-0000-000025000000}"/>
    <cellStyle name="Section Break" xfId="21" xr:uid="{00000000-0005-0000-0000-000015000000}"/>
    <cellStyle name="Section Break: parent row" xfId="22" xr:uid="{00000000-0005-0000-0000-000016000000}"/>
    <cellStyle name="Table title" xfId="3" xr:uid="{00000000-0005-0000-0000-000003000000}"/>
    <cellStyle name="Table title 2" xfId="40" xr:uid="{00000000-0005-0000-0000-000028000000}"/>
    <cellStyle name="Title 2" xfId="23" xr:uid="{00000000-0005-0000-0000-000017000000}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K26" sqref="K26"/>
    </sheetView>
  </sheetViews>
  <sheetFormatPr defaultColWidth="8.85546875" defaultRowHeight="15"/>
  <cols>
    <col min="1" max="30" width="8.85546875" style="1" customWidth="1"/>
    <col min="31" max="16384" width="8.85546875" style="1"/>
  </cols>
  <sheetData>
    <row r="1" spans="1:3" s="7" customFormat="1" ht="23.45" customHeight="1">
      <c r="A1" s="7" t="s">
        <v>0</v>
      </c>
    </row>
    <row r="2" spans="1:3" s="7" customFormat="1" ht="23.45" customHeight="1"/>
    <row r="3" spans="1:3">
      <c r="B3" s="6" t="s">
        <v>1</v>
      </c>
    </row>
    <row r="4" spans="1:3">
      <c r="B4" s="5"/>
      <c r="C4" s="1" t="s">
        <v>2</v>
      </c>
    </row>
    <row r="6" spans="1:3">
      <c r="B6" s="4"/>
      <c r="C6" s="1" t="s">
        <v>3</v>
      </c>
    </row>
    <row r="8" spans="1:3">
      <c r="B8" s="3"/>
      <c r="C8" s="1" t="s">
        <v>4</v>
      </c>
    </row>
    <row r="10" spans="1:3">
      <c r="B10" s="2"/>
      <c r="C10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1"/>
  <sheetViews>
    <sheetView workbookViewId="0">
      <selection activeCell="K26" sqref="K26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54"/>
  <sheetViews>
    <sheetView topLeftCell="A6" zoomScaleNormal="100" workbookViewId="0">
      <selection activeCell="C25" sqref="C25"/>
    </sheetView>
  </sheetViews>
  <sheetFormatPr defaultColWidth="8.85546875" defaultRowHeight="15"/>
  <cols>
    <col min="1" max="1" width="8.85546875" style="1" customWidth="1"/>
    <col min="2" max="2" width="47.7109375" style="1" customWidth="1"/>
    <col min="3" max="3" width="26.140625" style="1" customWidth="1"/>
    <col min="4" max="4" width="14.42578125" style="1" customWidth="1"/>
    <col min="5" max="13" width="10.85546875" style="1" customWidth="1"/>
    <col min="14" max="43" width="8.85546875" style="1" customWidth="1"/>
    <col min="44" max="16384" width="8.85546875" style="1"/>
  </cols>
  <sheetData>
    <row r="2" spans="2:4" ht="18" customHeight="1" thickBot="1">
      <c r="B2" t="s">
        <v>6</v>
      </c>
    </row>
    <row r="3" spans="2:4" ht="15" customHeight="1" thickTop="1"/>
    <row r="4" spans="2:4" ht="15" customHeight="1" thickBot="1">
      <c r="B4" t="s">
        <v>7</v>
      </c>
      <c r="C4" t="s">
        <v>8</v>
      </c>
    </row>
    <row r="6" spans="2:4">
      <c r="B6" t="s">
        <v>9</v>
      </c>
    </row>
    <row r="7" spans="2:4" ht="15" customHeight="1" thickBot="1">
      <c r="B7" t="s">
        <v>10</v>
      </c>
      <c r="C7" t="s">
        <v>11</v>
      </c>
      <c r="D7" t="s">
        <v>12</v>
      </c>
    </row>
    <row r="8" spans="2:4">
      <c r="B8" t="s">
        <v>13</v>
      </c>
      <c r="C8" t="s">
        <v>14</v>
      </c>
    </row>
    <row r="9" spans="2:4">
      <c r="B9" t="s">
        <v>15</v>
      </c>
      <c r="C9">
        <v>40.5</v>
      </c>
    </row>
    <row r="10" spans="2:4">
      <c r="B10" t="s">
        <v>16</v>
      </c>
      <c r="C10">
        <v>-75</v>
      </c>
    </row>
    <row r="11" spans="2:4">
      <c r="B11" t="s">
        <v>17</v>
      </c>
      <c r="C11" t="s">
        <v>18</v>
      </c>
    </row>
    <row r="12" spans="2:4">
      <c r="B12" t="s">
        <v>19</v>
      </c>
      <c r="C12" t="s">
        <v>14</v>
      </c>
    </row>
    <row r="13" spans="2:4">
      <c r="B13" t="s">
        <v>20</v>
      </c>
      <c r="C13" t="s">
        <v>21</v>
      </c>
    </row>
    <row r="14" spans="2:4">
      <c r="B14" t="s">
        <v>22</v>
      </c>
      <c r="C14" t="s">
        <v>23</v>
      </c>
    </row>
    <row r="15" spans="2:4">
      <c r="B15" t="s">
        <v>24</v>
      </c>
      <c r="C15" t="s">
        <v>25</v>
      </c>
    </row>
    <row r="16" spans="2:4">
      <c r="B16" t="s">
        <v>26</v>
      </c>
      <c r="C16">
        <v>778</v>
      </c>
      <c r="D16" t="s">
        <v>27</v>
      </c>
    </row>
    <row r="17" spans="2:4">
      <c r="B17" t="s">
        <v>28</v>
      </c>
    </row>
    <row r="18" spans="2:4">
      <c r="B18" t="s">
        <v>29</v>
      </c>
    </row>
    <row r="19" spans="2:4" ht="15" customHeight="1" thickBot="1">
      <c r="B19" t="s">
        <v>30</v>
      </c>
      <c r="C19" t="s">
        <v>11</v>
      </c>
      <c r="D19" t="s">
        <v>12</v>
      </c>
    </row>
    <row r="20" spans="2:4">
      <c r="B20" t="s">
        <v>31</v>
      </c>
      <c r="C20">
        <v>2019</v>
      </c>
      <c r="D20" t="s">
        <v>32</v>
      </c>
    </row>
    <row r="21" spans="2:4">
      <c r="B21" t="s">
        <v>33</v>
      </c>
      <c r="C21">
        <v>2050</v>
      </c>
    </row>
    <row r="23" spans="2:4">
      <c r="B23" t="s">
        <v>34</v>
      </c>
    </row>
    <row r="24" spans="2:4" ht="15" customHeight="1" thickBot="1">
      <c r="B24" t="s">
        <v>10</v>
      </c>
      <c r="C24" t="s">
        <v>11</v>
      </c>
      <c r="D24" t="s">
        <v>12</v>
      </c>
    </row>
    <row r="25" spans="2:4">
      <c r="B25" t="s">
        <v>35</v>
      </c>
      <c r="C25">
        <v>8337</v>
      </c>
      <c r="D25" t="s">
        <v>36</v>
      </c>
    </row>
    <row r="26" spans="2:4">
      <c r="B26" t="s">
        <v>37</v>
      </c>
      <c r="C26">
        <v>0.5</v>
      </c>
      <c r="D26" t="s">
        <v>38</v>
      </c>
    </row>
    <row r="27" spans="2:4">
      <c r="B27" t="s">
        <v>39</v>
      </c>
      <c r="C27">
        <v>1206000</v>
      </c>
      <c r="D27" t="s">
        <v>40</v>
      </c>
    </row>
    <row r="28" spans="2:4">
      <c r="B28" t="s">
        <v>41</v>
      </c>
      <c r="C28">
        <v>2</v>
      </c>
      <c r="D28" t="s">
        <v>42</v>
      </c>
    </row>
    <row r="29" spans="2:4">
      <c r="B29" t="s">
        <v>43</v>
      </c>
      <c r="C29">
        <v>5</v>
      </c>
      <c r="D29" t="s">
        <v>42</v>
      </c>
    </row>
    <row r="30" spans="2:4">
      <c r="B30" t="s">
        <v>44</v>
      </c>
      <c r="C30">
        <v>0.42835123053999902</v>
      </c>
    </row>
    <row r="31" spans="2:4">
      <c r="B31" t="s">
        <v>45</v>
      </c>
      <c r="C31">
        <v>0.67251771953144812</v>
      </c>
    </row>
    <row r="32" spans="2:4">
      <c r="B32" t="s">
        <v>46</v>
      </c>
      <c r="C32">
        <v>1.063829787234043</v>
      </c>
    </row>
    <row r="34" spans="2:6">
      <c r="B34" t="s">
        <v>47</v>
      </c>
    </row>
    <row r="35" spans="2:6" ht="15" customHeight="1" thickBot="1">
      <c r="B35" t="s">
        <v>10</v>
      </c>
      <c r="C35">
        <v>2000</v>
      </c>
      <c r="D35">
        <v>2050</v>
      </c>
      <c r="E35">
        <v>2100</v>
      </c>
      <c r="F35" t="s">
        <v>12</v>
      </c>
    </row>
    <row r="36" spans="2:6">
      <c r="B36" t="s">
        <v>48</v>
      </c>
      <c r="C36">
        <v>4473.4625000000005</v>
      </c>
      <c r="D36">
        <v>4066.4182142857139</v>
      </c>
      <c r="E36">
        <v>3763.8582142857172</v>
      </c>
      <c r="F36" t="s">
        <v>49</v>
      </c>
    </row>
    <row r="37" spans="2:6">
      <c r="B37" t="s">
        <v>50</v>
      </c>
      <c r="C37">
        <v>1020.733333333334</v>
      </c>
      <c r="D37">
        <v>1224.255476190476</v>
      </c>
      <c r="E37">
        <v>1375.5354761904771</v>
      </c>
      <c r="F37" t="s">
        <v>49</v>
      </c>
    </row>
    <row r="39" spans="2:6" ht="15" customHeight="1" thickBot="1">
      <c r="B39" t="s">
        <v>10</v>
      </c>
      <c r="C39" t="s">
        <v>11</v>
      </c>
      <c r="D39" t="s">
        <v>12</v>
      </c>
    </row>
    <row r="40" spans="2:6">
      <c r="B40" t="s">
        <v>51</v>
      </c>
      <c r="C40">
        <v>0.72727402048447432</v>
      </c>
    </row>
    <row r="41" spans="2:6">
      <c r="B41" t="s">
        <v>52</v>
      </c>
      <c r="C41">
        <v>1.558371501272265</v>
      </c>
    </row>
    <row r="42" spans="2:6">
      <c r="B42" t="s">
        <v>53</v>
      </c>
      <c r="C42">
        <v>762</v>
      </c>
      <c r="D42" t="s">
        <v>54</v>
      </c>
    </row>
    <row r="43" spans="2:6">
      <c r="B43" t="s">
        <v>55</v>
      </c>
      <c r="C43" t="s">
        <v>56</v>
      </c>
    </row>
    <row r="44" spans="2:6">
      <c r="B44" t="s">
        <v>57</v>
      </c>
      <c r="C44">
        <v>1.461785714285714</v>
      </c>
      <c r="D44" t="s">
        <v>49</v>
      </c>
    </row>
    <row r="45" spans="2:6">
      <c r="B45" t="s">
        <v>58</v>
      </c>
      <c r="C45">
        <v>3.13</v>
      </c>
      <c r="D45" t="s">
        <v>49</v>
      </c>
    </row>
    <row r="46" spans="2:6">
      <c r="B46" t="s">
        <v>59</v>
      </c>
      <c r="C46">
        <v>4.37</v>
      </c>
      <c r="D46" t="s">
        <v>49</v>
      </c>
    </row>
    <row r="47" spans="2:6">
      <c r="B47" t="s">
        <v>60</v>
      </c>
    </row>
    <row r="48" spans="2:6">
      <c r="B48" t="s">
        <v>61</v>
      </c>
    </row>
    <row r="49" spans="2:4" ht="15" customHeight="1" thickBot="1">
      <c r="B49" t="s">
        <v>10</v>
      </c>
      <c r="C49" t="s">
        <v>11</v>
      </c>
      <c r="D49" t="s">
        <v>12</v>
      </c>
    </row>
    <row r="50" spans="2:4">
      <c r="B50" t="s">
        <v>62</v>
      </c>
      <c r="C50" t="s">
        <v>63</v>
      </c>
    </row>
    <row r="51" spans="2:4">
      <c r="B51" t="s">
        <v>64</v>
      </c>
      <c r="C51" t="s">
        <v>65</v>
      </c>
    </row>
    <row r="52" spans="2:4">
      <c r="B52" t="s">
        <v>66</v>
      </c>
      <c r="C52" t="s">
        <v>67</v>
      </c>
    </row>
    <row r="53" spans="2:4">
      <c r="B53" t="s">
        <v>68</v>
      </c>
      <c r="C53" t="s">
        <v>69</v>
      </c>
    </row>
    <row r="54" spans="2:4">
      <c r="B5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"/>
  <sheetViews>
    <sheetView workbookViewId="0">
      <selection activeCell="K26" sqref="K26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4"/>
  <sheetViews>
    <sheetView zoomScale="85" zoomScaleNormal="85" workbookViewId="0">
      <selection activeCell="H14" sqref="H14"/>
    </sheetView>
  </sheetViews>
  <sheetFormatPr defaultRowHeight="15"/>
  <cols>
    <col min="1" max="1" width="9.85546875" bestFit="1" customWidth="1"/>
    <col min="2" max="2" width="9.7109375" bestFit="1" customWidth="1"/>
    <col min="3" max="3" width="19.140625" bestFit="1" customWidth="1"/>
    <col min="4" max="4" width="7.5703125" bestFit="1" customWidth="1"/>
    <col min="5" max="5" width="14.28515625" bestFit="1" customWidth="1"/>
    <col min="6" max="6" width="18.42578125" bestFit="1" customWidth="1"/>
    <col min="7" max="7" width="10.28515625" bestFit="1" customWidth="1"/>
    <col min="8" max="9" width="10.28515625" customWidth="1"/>
    <col min="10" max="10" width="16.7109375" bestFit="1" customWidth="1"/>
    <col min="11" max="11" width="20.85546875" bestFit="1" customWidth="1"/>
    <col min="12" max="12" width="25.42578125" bestFit="1" customWidth="1"/>
    <col min="13" max="16" width="14" style="8" customWidth="1"/>
  </cols>
  <sheetData>
    <row r="1" spans="1:16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</row>
    <row r="2" spans="1:16">
      <c r="A2" t="s">
        <v>87</v>
      </c>
      <c r="B2" t="s">
        <v>88</v>
      </c>
      <c r="E2" t="s">
        <v>89</v>
      </c>
      <c r="G2" t="s">
        <v>90</v>
      </c>
      <c r="H2" t="s">
        <v>91</v>
      </c>
      <c r="I2" t="s">
        <v>92</v>
      </c>
      <c r="J2" t="s">
        <v>93</v>
      </c>
      <c r="K2">
        <v>66716.460830940399</v>
      </c>
      <c r="L2">
        <v>0</v>
      </c>
      <c r="M2">
        <v>0</v>
      </c>
      <c r="N2">
        <v>0</v>
      </c>
      <c r="O2">
        <v>0.9</v>
      </c>
      <c r="P2">
        <v>31.536000000000001</v>
      </c>
    </row>
    <row r="3" spans="1:16">
      <c r="A3" t="s">
        <v>87</v>
      </c>
      <c r="B3" t="s">
        <v>88</v>
      </c>
      <c r="E3" t="s">
        <v>89</v>
      </c>
      <c r="G3" t="s">
        <v>94</v>
      </c>
      <c r="H3" t="s">
        <v>95</v>
      </c>
      <c r="I3" t="s">
        <v>92</v>
      </c>
      <c r="J3" t="s">
        <v>96</v>
      </c>
      <c r="K3">
        <v>66716.460830940399</v>
      </c>
      <c r="L3">
        <v>0</v>
      </c>
      <c r="M3">
        <v>0</v>
      </c>
      <c r="N3">
        <v>0</v>
      </c>
      <c r="O3">
        <v>0.9</v>
      </c>
      <c r="P3">
        <v>31.536000000000001</v>
      </c>
    </row>
    <row r="4" spans="1:16">
      <c r="A4" t="s">
        <v>87</v>
      </c>
      <c r="B4" t="s">
        <v>88</v>
      </c>
      <c r="E4" t="s">
        <v>89</v>
      </c>
      <c r="G4" t="s">
        <v>97</v>
      </c>
      <c r="H4" t="s">
        <v>98</v>
      </c>
      <c r="I4" t="s">
        <v>92</v>
      </c>
      <c r="J4" t="s">
        <v>99</v>
      </c>
      <c r="K4">
        <v>66716.460830940399</v>
      </c>
      <c r="L4">
        <v>0</v>
      </c>
      <c r="M4">
        <v>0</v>
      </c>
      <c r="N4">
        <v>0</v>
      </c>
      <c r="O4">
        <v>0.9</v>
      </c>
      <c r="P4">
        <v>31.536000000000001</v>
      </c>
    </row>
    <row r="5" spans="1:16">
      <c r="A5" t="s">
        <v>87</v>
      </c>
      <c r="B5" t="s">
        <v>88</v>
      </c>
      <c r="E5" t="s">
        <v>89</v>
      </c>
      <c r="G5" t="s">
        <v>100</v>
      </c>
      <c r="H5" t="s">
        <v>101</v>
      </c>
      <c r="I5" t="s">
        <v>92</v>
      </c>
      <c r="J5" t="s">
        <v>102</v>
      </c>
      <c r="K5">
        <v>66716.460830940399</v>
      </c>
      <c r="L5">
        <v>4.4204541355000647E-2</v>
      </c>
      <c r="M5">
        <v>2949.1705518605859</v>
      </c>
      <c r="N5">
        <v>103.9084274712705</v>
      </c>
      <c r="O5">
        <v>0.9</v>
      </c>
      <c r="P5">
        <v>31.536000000000001</v>
      </c>
    </row>
    <row r="6" spans="1:16">
      <c r="A6" t="s">
        <v>87</v>
      </c>
      <c r="B6" t="s">
        <v>88</v>
      </c>
      <c r="E6" t="s">
        <v>89</v>
      </c>
      <c r="G6" t="s">
        <v>103</v>
      </c>
      <c r="H6" t="s">
        <v>104</v>
      </c>
      <c r="I6" t="s">
        <v>92</v>
      </c>
      <c r="J6" t="s">
        <v>105</v>
      </c>
      <c r="K6">
        <v>66716.460830940399</v>
      </c>
      <c r="L6">
        <v>0.46029788244104752</v>
      </c>
      <c r="M6">
        <v>30709.445644442949</v>
      </c>
      <c r="N6">
        <v>1081.989037024457</v>
      </c>
      <c r="O6">
        <v>0.9</v>
      </c>
      <c r="P6">
        <v>31.536000000000001</v>
      </c>
    </row>
    <row r="7" spans="1:16">
      <c r="A7" t="s">
        <v>87</v>
      </c>
      <c r="B7" t="s">
        <v>88</v>
      </c>
      <c r="E7" t="s">
        <v>89</v>
      </c>
      <c r="G7" t="s">
        <v>106</v>
      </c>
      <c r="H7" t="s">
        <v>107</v>
      </c>
      <c r="I7" t="s">
        <v>92</v>
      </c>
      <c r="J7" t="s">
        <v>108</v>
      </c>
      <c r="K7">
        <v>66716.460830940399</v>
      </c>
      <c r="L7">
        <v>1.2123439560265601E-3</v>
      </c>
      <c r="M7">
        <v>80.88329805587334</v>
      </c>
      <c r="N7">
        <v>2.849769507013971</v>
      </c>
      <c r="O7">
        <v>0.9</v>
      </c>
      <c r="P7">
        <v>31.536000000000001</v>
      </c>
    </row>
    <row r="8" spans="1:16">
      <c r="A8" t="s">
        <v>87</v>
      </c>
      <c r="B8" t="s">
        <v>88</v>
      </c>
      <c r="E8" t="s">
        <v>89</v>
      </c>
      <c r="G8" t="s">
        <v>109</v>
      </c>
      <c r="H8" t="s">
        <v>110</v>
      </c>
      <c r="I8" t="s">
        <v>92</v>
      </c>
      <c r="J8" t="s">
        <v>111</v>
      </c>
      <c r="K8">
        <v>66716.460830940399</v>
      </c>
      <c r="L8">
        <v>0</v>
      </c>
      <c r="M8">
        <v>0</v>
      </c>
      <c r="N8">
        <v>0</v>
      </c>
      <c r="O8">
        <v>0.9</v>
      </c>
      <c r="P8">
        <v>31.536000000000001</v>
      </c>
    </row>
    <row r="9" spans="1:16">
      <c r="A9" t="s">
        <v>87</v>
      </c>
      <c r="B9" t="s">
        <v>88</v>
      </c>
      <c r="E9" t="s">
        <v>89</v>
      </c>
      <c r="G9" t="s">
        <v>112</v>
      </c>
      <c r="H9" t="s">
        <v>113</v>
      </c>
      <c r="I9" t="s">
        <v>92</v>
      </c>
      <c r="J9" t="s">
        <v>114</v>
      </c>
      <c r="K9">
        <v>66716.460830940399</v>
      </c>
      <c r="L9">
        <v>0</v>
      </c>
      <c r="M9">
        <v>0</v>
      </c>
      <c r="N9">
        <v>0</v>
      </c>
      <c r="O9">
        <v>0.9</v>
      </c>
      <c r="P9">
        <v>31.536000000000001</v>
      </c>
    </row>
    <row r="10" spans="1:16">
      <c r="A10" t="s">
        <v>87</v>
      </c>
      <c r="B10" t="s">
        <v>88</v>
      </c>
      <c r="E10" t="s">
        <v>89</v>
      </c>
      <c r="G10" t="s">
        <v>115</v>
      </c>
      <c r="H10" t="s">
        <v>116</v>
      </c>
      <c r="I10" t="s">
        <v>92</v>
      </c>
      <c r="J10" t="s">
        <v>117</v>
      </c>
      <c r="K10">
        <v>66716.460830940399</v>
      </c>
      <c r="L10">
        <v>0</v>
      </c>
      <c r="M10">
        <v>0</v>
      </c>
      <c r="N10">
        <v>0</v>
      </c>
      <c r="O10">
        <v>0.9</v>
      </c>
      <c r="P10">
        <v>31.536000000000001</v>
      </c>
    </row>
    <row r="11" spans="1:16">
      <c r="A11" t="s">
        <v>87</v>
      </c>
      <c r="B11" t="s">
        <v>88</v>
      </c>
      <c r="E11" t="s">
        <v>89</v>
      </c>
      <c r="G11" t="s">
        <v>118</v>
      </c>
      <c r="H11" t="s">
        <v>119</v>
      </c>
      <c r="I11" t="s">
        <v>92</v>
      </c>
      <c r="J11" t="s">
        <v>120</v>
      </c>
      <c r="K11">
        <v>66716.460830940399</v>
      </c>
      <c r="L11">
        <v>0</v>
      </c>
      <c r="M11">
        <v>0</v>
      </c>
      <c r="N11">
        <v>0</v>
      </c>
      <c r="O11">
        <v>0.9</v>
      </c>
      <c r="P11">
        <v>31.536000000000001</v>
      </c>
    </row>
    <row r="12" spans="1:16">
      <c r="A12" t="s">
        <v>87</v>
      </c>
      <c r="B12" t="s">
        <v>88</v>
      </c>
      <c r="E12" t="s">
        <v>89</v>
      </c>
      <c r="G12" t="s">
        <v>121</v>
      </c>
      <c r="H12" t="s">
        <v>122</v>
      </c>
      <c r="I12" t="s">
        <v>92</v>
      </c>
      <c r="J12" t="s">
        <v>123</v>
      </c>
      <c r="K12">
        <v>66716.460830940399</v>
      </c>
      <c r="L12">
        <v>0</v>
      </c>
      <c r="M12">
        <v>0</v>
      </c>
      <c r="N12">
        <v>0</v>
      </c>
      <c r="O12">
        <v>0.9</v>
      </c>
      <c r="P12">
        <v>31.536000000000001</v>
      </c>
    </row>
    <row r="13" spans="1:16">
      <c r="A13" t="s">
        <v>87</v>
      </c>
      <c r="B13" t="s">
        <v>88</v>
      </c>
      <c r="E13" t="s">
        <v>89</v>
      </c>
      <c r="G13" t="s">
        <v>124</v>
      </c>
      <c r="H13" t="s">
        <v>125</v>
      </c>
      <c r="I13" t="s">
        <v>92</v>
      </c>
      <c r="J13" t="s">
        <v>126</v>
      </c>
      <c r="K13">
        <v>66716.460830940399</v>
      </c>
      <c r="L13">
        <v>1.2291579089705299E-2</v>
      </c>
      <c r="M13">
        <v>820.05065488872958</v>
      </c>
      <c r="N13">
        <v>28.89292853630171</v>
      </c>
      <c r="O13">
        <v>0.9</v>
      </c>
      <c r="P13">
        <v>31.536000000000001</v>
      </c>
    </row>
    <row r="14" spans="1:16">
      <c r="A14" t="s">
        <v>87</v>
      </c>
      <c r="B14" t="s">
        <v>88</v>
      </c>
      <c r="E14" t="s">
        <v>89</v>
      </c>
      <c r="G14" t="s">
        <v>127</v>
      </c>
      <c r="H14" t="s">
        <v>128</v>
      </c>
      <c r="I14" t="s">
        <v>92</v>
      </c>
      <c r="J14" t="s">
        <v>129</v>
      </c>
      <c r="K14">
        <v>66716.460830940399</v>
      </c>
      <c r="L14">
        <v>0.48199365315822013</v>
      </c>
      <c r="M14">
        <v>32156.910681692261</v>
      </c>
      <c r="N14">
        <v>1132.987720618843</v>
      </c>
      <c r="O14">
        <v>0.9</v>
      </c>
      <c r="P14">
        <v>31.536000000000001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66"/>
  <sheetViews>
    <sheetView zoomScale="55" zoomScaleNormal="55" workbookViewId="0">
      <selection activeCell="E34" sqref="E34"/>
    </sheetView>
  </sheetViews>
  <sheetFormatPr defaultRowHeight="15"/>
  <cols>
    <col min="1" max="1" width="12.140625" customWidth="1"/>
    <col min="2" max="2" width="23.28515625" customWidth="1"/>
    <col min="3" max="3" width="24.7109375" customWidth="1"/>
    <col min="5" max="5" width="23" customWidth="1"/>
    <col min="6" max="6" width="23.7109375" customWidth="1"/>
    <col min="7" max="7" width="21.140625" customWidth="1"/>
    <col min="8" max="8" width="20.140625" bestFit="1" customWidth="1"/>
    <col min="9" max="9" width="17.28515625" bestFit="1" customWidth="1"/>
    <col min="10" max="10" width="17.7109375" bestFit="1" customWidth="1"/>
    <col min="11" max="11" width="17.28515625" bestFit="1" customWidth="1"/>
    <col min="12" max="15" width="17.7109375" bestFit="1" customWidth="1"/>
    <col min="16" max="16" width="17.28515625" bestFit="1" customWidth="1"/>
    <col min="17" max="21" width="17.7109375" bestFit="1" customWidth="1"/>
    <col min="22" max="22" width="17.28515625" bestFit="1" customWidth="1"/>
    <col min="23" max="24" width="17.7109375" bestFit="1" customWidth="1"/>
  </cols>
  <sheetData>
    <row r="1" spans="1:24">
      <c r="A1" t="s">
        <v>71</v>
      </c>
      <c r="B1" t="s">
        <v>72</v>
      </c>
      <c r="C1" t="s">
        <v>73</v>
      </c>
      <c r="D1" t="s">
        <v>74</v>
      </c>
      <c r="E1" t="s">
        <v>130</v>
      </c>
      <c r="F1" t="s">
        <v>131</v>
      </c>
      <c r="G1">
        <v>2019</v>
      </c>
      <c r="H1">
        <v>2020</v>
      </c>
      <c r="I1">
        <v>2025</v>
      </c>
      <c r="J1">
        <v>2030</v>
      </c>
      <c r="K1">
        <v>2035</v>
      </c>
      <c r="L1">
        <v>2040</v>
      </c>
      <c r="M1">
        <v>2045</v>
      </c>
      <c r="N1">
        <v>2050</v>
      </c>
      <c r="O1">
        <v>2055</v>
      </c>
      <c r="P1">
        <v>2060</v>
      </c>
      <c r="Q1">
        <v>2065</v>
      </c>
      <c r="R1">
        <v>2070</v>
      </c>
      <c r="S1">
        <v>2075</v>
      </c>
      <c r="T1">
        <v>2080</v>
      </c>
      <c r="U1">
        <v>2085</v>
      </c>
      <c r="V1">
        <v>2090</v>
      </c>
      <c r="W1">
        <v>2095</v>
      </c>
      <c r="X1">
        <v>2100</v>
      </c>
    </row>
    <row r="2" spans="1:24">
      <c r="A2" t="s">
        <v>132</v>
      </c>
      <c r="B2" t="s">
        <v>133</v>
      </c>
      <c r="D2" t="s">
        <v>134</v>
      </c>
      <c r="E2" t="s">
        <v>135</v>
      </c>
      <c r="F2" t="s">
        <v>136</v>
      </c>
      <c r="G2">
        <v>11.97870118205155</v>
      </c>
      <c r="H2">
        <v>11.97870118205155</v>
      </c>
      <c r="I2">
        <v>11.97870118205155</v>
      </c>
      <c r="J2">
        <v>11.97870118205155</v>
      </c>
      <c r="K2">
        <v>11.97870118205155</v>
      </c>
      <c r="L2">
        <v>11.97870118205155</v>
      </c>
      <c r="M2">
        <v>11.97870118205155</v>
      </c>
      <c r="N2">
        <v>11.97870118205155</v>
      </c>
      <c r="O2">
        <v>11.97870118205155</v>
      </c>
      <c r="P2">
        <v>11.97870118205155</v>
      </c>
      <c r="Q2">
        <v>11.97870118205155</v>
      </c>
      <c r="R2">
        <v>11.97870118205155</v>
      </c>
      <c r="S2">
        <v>11.97870118205155</v>
      </c>
      <c r="T2">
        <v>11.97870118205155</v>
      </c>
      <c r="U2">
        <v>11.97870118205155</v>
      </c>
      <c r="V2">
        <v>11.97870118205155</v>
      </c>
      <c r="W2">
        <v>11.97870118205155</v>
      </c>
      <c r="X2">
        <v>11.97870118205155</v>
      </c>
    </row>
    <row r="3" spans="1:24">
      <c r="A3" t="s">
        <v>132</v>
      </c>
      <c r="B3" t="s">
        <v>137</v>
      </c>
      <c r="D3" t="s">
        <v>134</v>
      </c>
      <c r="E3" t="s">
        <v>138</v>
      </c>
      <c r="F3" t="s">
        <v>136</v>
      </c>
      <c r="G3">
        <v>23.081056453704559</v>
      </c>
      <c r="H3">
        <v>23.081056453704559</v>
      </c>
      <c r="I3">
        <v>23.081056453704559</v>
      </c>
      <c r="J3">
        <v>23.081056453704559</v>
      </c>
      <c r="K3">
        <v>23.081056453704559</v>
      </c>
      <c r="L3">
        <v>23.081056453704559</v>
      </c>
      <c r="M3">
        <v>23.081056453704559</v>
      </c>
      <c r="N3">
        <v>23.081056453704559</v>
      </c>
      <c r="O3">
        <v>23.081056453704559</v>
      </c>
      <c r="P3">
        <v>23.081056453704559</v>
      </c>
      <c r="Q3">
        <v>23.081056453704559</v>
      </c>
      <c r="R3">
        <v>23.081056453704559</v>
      </c>
      <c r="S3">
        <v>23.081056453704559</v>
      </c>
      <c r="T3">
        <v>23.081056453704559</v>
      </c>
      <c r="U3">
        <v>23.081056453704559</v>
      </c>
      <c r="V3">
        <v>23.081056453704559</v>
      </c>
      <c r="W3">
        <v>23.081056453704559</v>
      </c>
      <c r="X3">
        <v>23.081056453704559</v>
      </c>
    </row>
    <row r="4" spans="1:24">
      <c r="A4" t="s">
        <v>132</v>
      </c>
      <c r="B4" t="s">
        <v>139</v>
      </c>
      <c r="D4" t="s">
        <v>134</v>
      </c>
      <c r="E4" t="s">
        <v>140</v>
      </c>
      <c r="F4" t="s">
        <v>136</v>
      </c>
      <c r="G4">
        <v>73.164818964644439</v>
      </c>
      <c r="H4">
        <v>73.164818964644439</v>
      </c>
      <c r="I4">
        <v>73.164818964644439</v>
      </c>
      <c r="J4">
        <v>73.164818964644439</v>
      </c>
      <c r="K4">
        <v>73.164818964644439</v>
      </c>
      <c r="L4">
        <v>73.164818964644439</v>
      </c>
      <c r="M4">
        <v>73.164818964644439</v>
      </c>
      <c r="N4">
        <v>73.164818964644439</v>
      </c>
      <c r="O4">
        <v>73.164818964644439</v>
      </c>
      <c r="P4">
        <v>73.164818964644439</v>
      </c>
      <c r="Q4">
        <v>73.164818964644439</v>
      </c>
      <c r="R4">
        <v>73.164818964644439</v>
      </c>
      <c r="S4">
        <v>73.164818964644439</v>
      </c>
      <c r="T4">
        <v>73.164818964644439</v>
      </c>
      <c r="U4">
        <v>73.164818964644439</v>
      </c>
      <c r="V4">
        <v>73.164818964644439</v>
      </c>
      <c r="W4">
        <v>73.164818964644439</v>
      </c>
      <c r="X4">
        <v>73.164818964644439</v>
      </c>
    </row>
    <row r="5" spans="1:24">
      <c r="A5" t="s">
        <v>132</v>
      </c>
      <c r="B5" t="s">
        <v>141</v>
      </c>
      <c r="D5" t="s">
        <v>134</v>
      </c>
      <c r="E5" t="s">
        <v>142</v>
      </c>
      <c r="F5" t="s">
        <v>136</v>
      </c>
      <c r="G5">
        <v>44.382259283666471</v>
      </c>
      <c r="H5">
        <v>44.382259283666471</v>
      </c>
      <c r="I5">
        <v>44.382259283666471</v>
      </c>
      <c r="J5">
        <v>44.382259283666471</v>
      </c>
      <c r="K5">
        <v>44.382259283666471</v>
      </c>
      <c r="L5">
        <v>44.382259283666471</v>
      </c>
      <c r="M5">
        <v>44.382259283666471</v>
      </c>
      <c r="N5">
        <v>44.382259283666471</v>
      </c>
      <c r="O5">
        <v>44.382259283666471</v>
      </c>
      <c r="P5">
        <v>44.382259283666471</v>
      </c>
      <c r="Q5">
        <v>44.382259283666471</v>
      </c>
      <c r="R5">
        <v>44.382259283666471</v>
      </c>
      <c r="S5">
        <v>44.382259283666471</v>
      </c>
      <c r="T5">
        <v>44.382259283666471</v>
      </c>
      <c r="U5">
        <v>44.382259283666471</v>
      </c>
      <c r="V5">
        <v>44.382259283666471</v>
      </c>
      <c r="W5">
        <v>44.382259283666471</v>
      </c>
      <c r="X5">
        <v>44.382259283666471</v>
      </c>
    </row>
    <row r="6" spans="1:24">
      <c r="A6" t="s">
        <v>132</v>
      </c>
      <c r="B6" t="s">
        <v>143</v>
      </c>
      <c r="D6" t="s">
        <v>134</v>
      </c>
      <c r="E6" t="s">
        <v>144</v>
      </c>
      <c r="F6" t="s">
        <v>136</v>
      </c>
      <c r="G6">
        <v>48.565496275889338</v>
      </c>
      <c r="H6">
        <v>48.565496275889338</v>
      </c>
      <c r="I6">
        <v>48.565496275889338</v>
      </c>
      <c r="J6">
        <v>48.565496275889338</v>
      </c>
      <c r="K6">
        <v>48.565496275889338</v>
      </c>
      <c r="L6">
        <v>48.565496275889338</v>
      </c>
      <c r="M6">
        <v>48.565496275889338</v>
      </c>
      <c r="N6">
        <v>48.565496275889338</v>
      </c>
      <c r="O6">
        <v>48.565496275889338</v>
      </c>
      <c r="P6">
        <v>48.565496275889338</v>
      </c>
      <c r="Q6">
        <v>48.565496275889338</v>
      </c>
      <c r="R6">
        <v>48.565496275889338</v>
      </c>
      <c r="S6">
        <v>48.565496275889338</v>
      </c>
      <c r="T6">
        <v>48.565496275889338</v>
      </c>
      <c r="U6">
        <v>48.565496275889338</v>
      </c>
      <c r="V6">
        <v>48.565496275889338</v>
      </c>
      <c r="W6">
        <v>48.565496275889338</v>
      </c>
      <c r="X6">
        <v>48.565496275889338</v>
      </c>
    </row>
    <row r="7" spans="1:24">
      <c r="A7" t="s">
        <v>132</v>
      </c>
      <c r="B7" t="s">
        <v>145</v>
      </c>
      <c r="D7" t="s">
        <v>134</v>
      </c>
      <c r="E7" t="s">
        <v>146</v>
      </c>
      <c r="F7" t="s">
        <v>136</v>
      </c>
      <c r="G7">
        <v>32.733586523867501</v>
      </c>
      <c r="H7">
        <v>32.733586523867501</v>
      </c>
      <c r="I7">
        <v>32.733586523867501</v>
      </c>
      <c r="J7">
        <v>32.733586523867501</v>
      </c>
      <c r="K7">
        <v>32.733586523867501</v>
      </c>
      <c r="L7">
        <v>32.733586523867501</v>
      </c>
      <c r="M7">
        <v>32.733586523867501</v>
      </c>
      <c r="N7">
        <v>32.733586523867501</v>
      </c>
      <c r="O7">
        <v>32.733586523867501</v>
      </c>
      <c r="P7">
        <v>32.733586523867501</v>
      </c>
      <c r="Q7">
        <v>32.733586523867501</v>
      </c>
      <c r="R7">
        <v>32.733586523867501</v>
      </c>
      <c r="S7">
        <v>32.733586523867501</v>
      </c>
      <c r="T7">
        <v>32.733586523867501</v>
      </c>
      <c r="U7">
        <v>32.733586523867501</v>
      </c>
      <c r="V7">
        <v>32.733586523867501</v>
      </c>
      <c r="W7">
        <v>32.733586523867501</v>
      </c>
      <c r="X7">
        <v>32.733586523867501</v>
      </c>
    </row>
    <row r="8" spans="1:24">
      <c r="A8" t="s">
        <v>132</v>
      </c>
      <c r="B8" t="s">
        <v>147</v>
      </c>
      <c r="D8" t="s">
        <v>134</v>
      </c>
      <c r="E8" t="s">
        <v>148</v>
      </c>
      <c r="F8" t="s">
        <v>136</v>
      </c>
      <c r="G8">
        <v>16.841332845916298</v>
      </c>
      <c r="H8">
        <v>16.841332845916298</v>
      </c>
      <c r="I8">
        <v>16.841332845916298</v>
      </c>
      <c r="J8">
        <v>16.841332845916298</v>
      </c>
      <c r="K8">
        <v>16.841332845916298</v>
      </c>
      <c r="L8">
        <v>16.841332845916298</v>
      </c>
      <c r="M8">
        <v>16.841332845916298</v>
      </c>
      <c r="N8">
        <v>16.841332845916298</v>
      </c>
      <c r="O8">
        <v>16.841332845916298</v>
      </c>
      <c r="P8">
        <v>16.841332845916298</v>
      </c>
      <c r="Q8">
        <v>16.841332845916298</v>
      </c>
      <c r="R8">
        <v>16.841332845916298</v>
      </c>
      <c r="S8">
        <v>16.841332845916298</v>
      </c>
      <c r="T8">
        <v>16.841332845916298</v>
      </c>
      <c r="U8">
        <v>16.841332845916298</v>
      </c>
      <c r="V8">
        <v>16.841332845916298</v>
      </c>
      <c r="W8">
        <v>16.841332845916298</v>
      </c>
      <c r="X8">
        <v>16.841332845916298</v>
      </c>
    </row>
    <row r="9" spans="1:24">
      <c r="A9" t="s">
        <v>132</v>
      </c>
      <c r="B9" t="s">
        <v>149</v>
      </c>
      <c r="D9" t="s">
        <v>134</v>
      </c>
      <c r="E9" t="s">
        <v>150</v>
      </c>
      <c r="F9" t="s">
        <v>136</v>
      </c>
      <c r="G9">
        <v>8.7602804457077657</v>
      </c>
      <c r="H9">
        <v>8.7602804457077657</v>
      </c>
      <c r="I9">
        <v>8.7602804457077657</v>
      </c>
      <c r="J9">
        <v>8.7602804457077657</v>
      </c>
      <c r="K9">
        <v>8.7602804457077657</v>
      </c>
      <c r="L9">
        <v>8.7602804457077657</v>
      </c>
      <c r="M9">
        <v>8.7602804457077657</v>
      </c>
      <c r="N9">
        <v>8.7602804457077657</v>
      </c>
      <c r="O9">
        <v>8.7602804457077657</v>
      </c>
      <c r="P9">
        <v>8.7602804457077657</v>
      </c>
      <c r="Q9">
        <v>8.7602804457077657</v>
      </c>
      <c r="R9">
        <v>8.7602804457077657</v>
      </c>
      <c r="S9">
        <v>8.7602804457077657</v>
      </c>
      <c r="T9">
        <v>8.7602804457077657</v>
      </c>
      <c r="U9">
        <v>8.7602804457077657</v>
      </c>
      <c r="V9">
        <v>8.7602804457077657</v>
      </c>
      <c r="W9">
        <v>8.7602804457077657</v>
      </c>
      <c r="X9">
        <v>8.7602804457077657</v>
      </c>
    </row>
    <row r="10" spans="1:24">
      <c r="A10" t="s">
        <v>132</v>
      </c>
      <c r="B10" t="s">
        <v>133</v>
      </c>
      <c r="D10" t="s">
        <v>151</v>
      </c>
      <c r="E10" t="s">
        <v>152</v>
      </c>
      <c r="F10" t="s">
        <v>136</v>
      </c>
      <c r="G10">
        <v>0</v>
      </c>
      <c r="H10">
        <v>0.239574023641031</v>
      </c>
      <c r="I10">
        <v>1.4374441418461861</v>
      </c>
      <c r="J10">
        <v>2.6353142600513411</v>
      </c>
      <c r="K10">
        <v>3.833184378256496</v>
      </c>
      <c r="L10">
        <v>5.0310544964616506</v>
      </c>
      <c r="M10">
        <v>6.2289246146668056</v>
      </c>
      <c r="N10">
        <v>7.4267947328719606</v>
      </c>
      <c r="O10">
        <v>8.6246648510771173</v>
      </c>
      <c r="P10">
        <v>9.8225349692822732</v>
      </c>
      <c r="Q10">
        <v>11.020405087487431</v>
      </c>
      <c r="R10">
        <v>12.21827520569258</v>
      </c>
      <c r="S10">
        <v>13.416145323897741</v>
      </c>
      <c r="T10">
        <v>14.6140154421029</v>
      </c>
      <c r="U10">
        <v>15.811885560308051</v>
      </c>
      <c r="V10">
        <v>17.009755678513208</v>
      </c>
      <c r="W10">
        <v>18.207625796718361</v>
      </c>
      <c r="X10">
        <v>19.40549591492352</v>
      </c>
    </row>
    <row r="11" spans="1:24">
      <c r="A11" t="s">
        <v>132</v>
      </c>
      <c r="B11" t="s">
        <v>137</v>
      </c>
      <c r="D11" t="s">
        <v>151</v>
      </c>
      <c r="E11" t="s">
        <v>153</v>
      </c>
      <c r="F11" t="s">
        <v>136</v>
      </c>
      <c r="G11">
        <v>0</v>
      </c>
      <c r="H11">
        <v>0.46162112907409131</v>
      </c>
      <c r="I11">
        <v>2.7697267744445471</v>
      </c>
      <c r="J11">
        <v>5.0778324198150031</v>
      </c>
      <c r="K11">
        <v>7.3859380651854591</v>
      </c>
      <c r="L11">
        <v>9.6940437105559152</v>
      </c>
      <c r="M11">
        <v>12.00214935592637</v>
      </c>
      <c r="N11">
        <v>14.310255001296831</v>
      </c>
      <c r="O11">
        <v>16.618360646667281</v>
      </c>
      <c r="P11">
        <v>18.926466292037741</v>
      </c>
      <c r="Q11">
        <v>21.234571937408202</v>
      </c>
      <c r="R11">
        <v>23.542677582778651</v>
      </c>
      <c r="S11">
        <v>25.850783228149108</v>
      </c>
      <c r="T11">
        <v>28.158888873519569</v>
      </c>
      <c r="U11">
        <v>30.466994518890029</v>
      </c>
      <c r="V11">
        <v>32.775100164260479</v>
      </c>
      <c r="W11">
        <v>35.083205809630932</v>
      </c>
      <c r="X11">
        <v>37.391311455001393</v>
      </c>
    </row>
    <row r="12" spans="1:24">
      <c r="A12" t="s">
        <v>132</v>
      </c>
      <c r="B12" t="s">
        <v>139</v>
      </c>
      <c r="D12" t="s">
        <v>151</v>
      </c>
      <c r="E12" t="s">
        <v>154</v>
      </c>
      <c r="F12" t="s">
        <v>136</v>
      </c>
      <c r="G12">
        <v>0</v>
      </c>
      <c r="H12">
        <v>1.463296379292889</v>
      </c>
      <c r="I12">
        <v>8.7797782757573319</v>
      </c>
      <c r="J12">
        <v>16.096260172221779</v>
      </c>
      <c r="K12">
        <v>23.412742068686221</v>
      </c>
      <c r="L12">
        <v>30.72922396515067</v>
      </c>
      <c r="M12">
        <v>38.045705861615112</v>
      </c>
      <c r="N12">
        <v>45.362187758079557</v>
      </c>
      <c r="O12">
        <v>52.678669654544002</v>
      </c>
      <c r="P12">
        <v>59.995151551008448</v>
      </c>
      <c r="Q12">
        <v>67.311633447472886</v>
      </c>
      <c r="R12">
        <v>74.628115343937324</v>
      </c>
      <c r="S12">
        <v>81.944597240401762</v>
      </c>
      <c r="T12">
        <v>89.261079136866201</v>
      </c>
      <c r="U12">
        <v>96.577561033330639</v>
      </c>
      <c r="V12">
        <v>103.89404292979511</v>
      </c>
      <c r="W12">
        <v>111.2105248262595</v>
      </c>
      <c r="X12">
        <v>118.527006722724</v>
      </c>
    </row>
    <row r="13" spans="1:24">
      <c r="A13" t="s">
        <v>132</v>
      </c>
      <c r="B13" t="s">
        <v>141</v>
      </c>
      <c r="D13" t="s">
        <v>151</v>
      </c>
      <c r="E13" t="s">
        <v>155</v>
      </c>
      <c r="F13" t="s">
        <v>136</v>
      </c>
      <c r="G13">
        <v>0</v>
      </c>
      <c r="H13">
        <v>0.8876451856733294</v>
      </c>
      <c r="I13">
        <v>5.3258711140399759</v>
      </c>
      <c r="J13">
        <v>9.7640970424066218</v>
      </c>
      <c r="K13">
        <v>14.20232297077327</v>
      </c>
      <c r="L13">
        <v>18.640548899139919</v>
      </c>
      <c r="M13">
        <v>23.07877482750656</v>
      </c>
      <c r="N13">
        <v>27.517000755873209</v>
      </c>
      <c r="O13">
        <v>31.955226684239861</v>
      </c>
      <c r="P13">
        <v>36.393452612606509</v>
      </c>
      <c r="Q13">
        <v>40.831678540973158</v>
      </c>
      <c r="R13">
        <v>45.269904469339806</v>
      </c>
      <c r="S13">
        <v>49.708130397706462</v>
      </c>
      <c r="T13">
        <v>54.146356326073096</v>
      </c>
      <c r="U13">
        <v>58.584582254439752</v>
      </c>
      <c r="V13">
        <v>63.022808182806401</v>
      </c>
      <c r="W13">
        <v>67.461034111173049</v>
      </c>
      <c r="X13">
        <v>71.899260039539698</v>
      </c>
    </row>
    <row r="14" spans="1:24">
      <c r="A14" t="s">
        <v>132</v>
      </c>
      <c r="B14" t="s">
        <v>143</v>
      </c>
      <c r="D14" t="s">
        <v>151</v>
      </c>
      <c r="E14" t="s">
        <v>156</v>
      </c>
      <c r="F14" t="s">
        <v>136</v>
      </c>
      <c r="G14">
        <v>0</v>
      </c>
      <c r="H14">
        <v>0.97130992551778672</v>
      </c>
      <c r="I14">
        <v>5.8278595531067214</v>
      </c>
      <c r="J14">
        <v>10.684409180695649</v>
      </c>
      <c r="K14">
        <v>15.540958808284589</v>
      </c>
      <c r="L14">
        <v>20.397508435873519</v>
      </c>
      <c r="M14">
        <v>25.254058063462459</v>
      </c>
      <c r="N14">
        <v>30.110607691051388</v>
      </c>
      <c r="O14">
        <v>34.967157318640332</v>
      </c>
      <c r="P14">
        <v>39.823706946229258</v>
      </c>
      <c r="Q14">
        <v>44.680256573818191</v>
      </c>
      <c r="R14">
        <v>49.536806201407117</v>
      </c>
      <c r="S14">
        <v>54.393355828996057</v>
      </c>
      <c r="T14">
        <v>59.24990545658499</v>
      </c>
      <c r="U14">
        <v>64.10645508417393</v>
      </c>
      <c r="V14">
        <v>68.963004711762864</v>
      </c>
      <c r="W14">
        <v>73.819554339351797</v>
      </c>
      <c r="X14">
        <v>78.67610396694073</v>
      </c>
    </row>
    <row r="15" spans="1:24">
      <c r="A15" t="s">
        <v>132</v>
      </c>
      <c r="B15" t="s">
        <v>145</v>
      </c>
      <c r="D15" t="s">
        <v>151</v>
      </c>
      <c r="E15" t="s">
        <v>157</v>
      </c>
      <c r="F15" t="s">
        <v>136</v>
      </c>
      <c r="G15">
        <v>0</v>
      </c>
      <c r="H15">
        <v>0.65467173047735006</v>
      </c>
      <c r="I15">
        <v>3.928030382864101</v>
      </c>
      <c r="J15">
        <v>7.2013890352508509</v>
      </c>
      <c r="K15">
        <v>10.474747687637599</v>
      </c>
      <c r="L15">
        <v>13.74810634002435</v>
      </c>
      <c r="M15">
        <v>17.021464992411101</v>
      </c>
      <c r="N15">
        <v>20.294823644797852</v>
      </c>
      <c r="O15">
        <v>23.568182297184599</v>
      </c>
      <c r="P15">
        <v>26.84154094957135</v>
      </c>
      <c r="Q15">
        <v>30.114899601958101</v>
      </c>
      <c r="R15">
        <v>33.388258254344848</v>
      </c>
      <c r="S15">
        <v>36.661616906731602</v>
      </c>
      <c r="T15">
        <v>39.93497555911835</v>
      </c>
      <c r="U15">
        <v>43.208334211505097</v>
      </c>
      <c r="V15">
        <v>46.481692863891837</v>
      </c>
      <c r="W15">
        <v>49.755051516278591</v>
      </c>
      <c r="X15">
        <v>53.028410168665339</v>
      </c>
    </row>
    <row r="16" spans="1:24">
      <c r="A16" t="s">
        <v>132</v>
      </c>
      <c r="B16" t="s">
        <v>147</v>
      </c>
      <c r="D16" t="s">
        <v>151</v>
      </c>
      <c r="E16" t="s">
        <v>158</v>
      </c>
      <c r="F16" t="s">
        <v>136</v>
      </c>
      <c r="G16">
        <v>0</v>
      </c>
      <c r="H16">
        <v>0.33682665691832597</v>
      </c>
      <c r="I16">
        <v>2.0209599415099562</v>
      </c>
      <c r="J16">
        <v>3.7050932261015861</v>
      </c>
      <c r="K16">
        <v>5.3892265106932156</v>
      </c>
      <c r="L16">
        <v>7.0733597952848468</v>
      </c>
      <c r="M16">
        <v>8.7574930798764772</v>
      </c>
      <c r="N16">
        <v>10.44162636446811</v>
      </c>
      <c r="O16">
        <v>12.12575964905974</v>
      </c>
      <c r="P16">
        <v>13.809892933651369</v>
      </c>
      <c r="Q16">
        <v>15.494026218243</v>
      </c>
      <c r="R16">
        <v>17.178159502834621</v>
      </c>
      <c r="S16">
        <v>18.862292787426259</v>
      </c>
      <c r="T16">
        <v>20.546426072017891</v>
      </c>
      <c r="U16">
        <v>22.230559356609518</v>
      </c>
      <c r="V16">
        <v>23.91469264120115</v>
      </c>
      <c r="W16">
        <v>25.598825925792781</v>
      </c>
      <c r="X16">
        <v>27.282959210384409</v>
      </c>
    </row>
    <row r="17" spans="1:24">
      <c r="A17" t="s">
        <v>132</v>
      </c>
      <c r="B17" t="s">
        <v>149</v>
      </c>
      <c r="D17" t="s">
        <v>151</v>
      </c>
      <c r="E17" t="s">
        <v>159</v>
      </c>
      <c r="F17" t="s">
        <v>136</v>
      </c>
      <c r="G17">
        <v>0</v>
      </c>
      <c r="H17">
        <v>0.17520560891415529</v>
      </c>
      <c r="I17">
        <v>1.051233653484932</v>
      </c>
      <c r="J17">
        <v>1.9272616980557089</v>
      </c>
      <c r="K17">
        <v>2.8032897426264851</v>
      </c>
      <c r="L17">
        <v>3.6793177871972622</v>
      </c>
      <c r="M17">
        <v>4.5553458317680384</v>
      </c>
      <c r="N17">
        <v>5.4313738763388164</v>
      </c>
      <c r="O17">
        <v>6.3074019209095926</v>
      </c>
      <c r="P17">
        <v>7.1834299654803697</v>
      </c>
      <c r="Q17">
        <v>8.0594580100511468</v>
      </c>
      <c r="R17">
        <v>8.9354860546219239</v>
      </c>
      <c r="S17">
        <v>9.811514099192701</v>
      </c>
      <c r="T17">
        <v>10.68754214376348</v>
      </c>
      <c r="U17">
        <v>11.563570188334261</v>
      </c>
      <c r="V17">
        <v>12.439598232905031</v>
      </c>
      <c r="W17">
        <v>13.315626277475809</v>
      </c>
      <c r="X17">
        <v>14.19165432204659</v>
      </c>
    </row>
    <row r="18" spans="1:24">
      <c r="A18" t="s">
        <v>160</v>
      </c>
      <c r="B18" t="s">
        <v>161</v>
      </c>
      <c r="C18" t="s">
        <v>162</v>
      </c>
      <c r="D18" t="s">
        <v>134</v>
      </c>
      <c r="E18" t="s">
        <v>163</v>
      </c>
      <c r="F18" t="s">
        <v>136</v>
      </c>
      <c r="G18">
        <v>51.80787747749153</v>
      </c>
      <c r="H18">
        <v>51.80787747749153</v>
      </c>
      <c r="I18">
        <v>51.80787747749153</v>
      </c>
      <c r="J18">
        <v>51.80787747749153</v>
      </c>
      <c r="K18">
        <v>51.80787747749153</v>
      </c>
      <c r="L18">
        <v>51.80787747749153</v>
      </c>
      <c r="M18">
        <v>51.80787747749153</v>
      </c>
      <c r="N18">
        <v>51.80787747749153</v>
      </c>
      <c r="O18">
        <v>51.80787747749153</v>
      </c>
      <c r="P18">
        <v>51.80787747749153</v>
      </c>
      <c r="Q18">
        <v>51.80787747749153</v>
      </c>
      <c r="R18">
        <v>51.80787747749153</v>
      </c>
      <c r="S18">
        <v>51.80787747749153</v>
      </c>
      <c r="T18">
        <v>51.80787747749153</v>
      </c>
      <c r="U18">
        <v>51.80787747749153</v>
      </c>
      <c r="V18">
        <v>51.80787747749153</v>
      </c>
      <c r="W18">
        <v>51.80787747749153</v>
      </c>
      <c r="X18">
        <v>51.80787747749153</v>
      </c>
    </row>
    <row r="19" spans="1:24">
      <c r="A19" t="s">
        <v>160</v>
      </c>
      <c r="B19" t="s">
        <v>164</v>
      </c>
      <c r="C19" t="s">
        <v>162</v>
      </c>
      <c r="D19" t="s">
        <v>134</v>
      </c>
      <c r="E19" t="s">
        <v>165</v>
      </c>
      <c r="F19" t="s">
        <v>136</v>
      </c>
      <c r="G19">
        <v>14.956798014988321</v>
      </c>
      <c r="H19">
        <v>14.956798014988321</v>
      </c>
      <c r="I19">
        <v>14.956798014988321</v>
      </c>
      <c r="J19">
        <v>14.956798014988321</v>
      </c>
      <c r="K19">
        <v>14.956798014988321</v>
      </c>
      <c r="L19">
        <v>14.956798014988321</v>
      </c>
      <c r="M19">
        <v>14.956798014988321</v>
      </c>
      <c r="N19">
        <v>14.956798014988321</v>
      </c>
      <c r="O19">
        <v>14.956798014988321</v>
      </c>
      <c r="P19">
        <v>14.956798014988321</v>
      </c>
      <c r="Q19">
        <v>14.956798014988321</v>
      </c>
      <c r="R19">
        <v>14.956798014988321</v>
      </c>
      <c r="S19">
        <v>14.956798014988321</v>
      </c>
      <c r="T19">
        <v>14.956798014988321</v>
      </c>
      <c r="U19">
        <v>14.956798014988321</v>
      </c>
      <c r="V19">
        <v>14.956798014988321</v>
      </c>
      <c r="W19">
        <v>14.956798014988321</v>
      </c>
      <c r="X19">
        <v>14.956798014988321</v>
      </c>
    </row>
    <row r="20" spans="1:24">
      <c r="A20" t="s">
        <v>160</v>
      </c>
      <c r="B20" t="s">
        <v>161</v>
      </c>
      <c r="C20" t="s">
        <v>166</v>
      </c>
      <c r="D20" t="s">
        <v>134</v>
      </c>
      <c r="E20" t="s">
        <v>167</v>
      </c>
      <c r="F20" t="s">
        <v>136</v>
      </c>
      <c r="G20">
        <v>57.121976335841403</v>
      </c>
      <c r="H20">
        <v>57.121976335841403</v>
      </c>
      <c r="I20">
        <v>57.121976335841403</v>
      </c>
      <c r="J20">
        <v>57.121976335841403</v>
      </c>
      <c r="K20">
        <v>57.121976335841403</v>
      </c>
      <c r="L20">
        <v>57.121976335841403</v>
      </c>
      <c r="M20">
        <v>57.121976335841403</v>
      </c>
      <c r="N20">
        <v>57.121976335841403</v>
      </c>
      <c r="O20">
        <v>57.121976335841403</v>
      </c>
      <c r="P20">
        <v>57.121976335841403</v>
      </c>
      <c r="Q20">
        <v>57.121976335841403</v>
      </c>
      <c r="R20">
        <v>57.121976335841403</v>
      </c>
      <c r="S20">
        <v>57.121976335841403</v>
      </c>
      <c r="T20">
        <v>57.121976335841403</v>
      </c>
      <c r="U20">
        <v>57.121976335841403</v>
      </c>
      <c r="V20">
        <v>57.121976335841403</v>
      </c>
      <c r="W20">
        <v>57.121976335841403</v>
      </c>
      <c r="X20">
        <v>57.121976335841403</v>
      </c>
    </row>
    <row r="21" spans="1:24">
      <c r="A21" t="s">
        <v>160</v>
      </c>
      <c r="B21" t="s">
        <v>164</v>
      </c>
      <c r="C21" t="s">
        <v>166</v>
      </c>
      <c r="D21" t="s">
        <v>134</v>
      </c>
      <c r="E21" t="s">
        <v>168</v>
      </c>
      <c r="F21" t="s">
        <v>136</v>
      </c>
      <c r="G21">
        <v>38.299258577539533</v>
      </c>
      <c r="H21">
        <v>38.299258577539533</v>
      </c>
      <c r="I21">
        <v>38.299258577539533</v>
      </c>
      <c r="J21">
        <v>38.299258577539533</v>
      </c>
      <c r="K21">
        <v>38.299258577539533</v>
      </c>
      <c r="L21">
        <v>38.299258577539533</v>
      </c>
      <c r="M21">
        <v>38.299258577539533</v>
      </c>
      <c r="N21">
        <v>38.299258577539533</v>
      </c>
      <c r="O21">
        <v>38.299258577539533</v>
      </c>
      <c r="P21">
        <v>38.299258577539533</v>
      </c>
      <c r="Q21">
        <v>38.299258577539533</v>
      </c>
      <c r="R21">
        <v>38.299258577539533</v>
      </c>
      <c r="S21">
        <v>38.299258577539533</v>
      </c>
      <c r="T21">
        <v>38.299258577539533</v>
      </c>
      <c r="U21">
        <v>38.299258577539533</v>
      </c>
      <c r="V21">
        <v>38.299258577539533</v>
      </c>
      <c r="W21">
        <v>38.299258577539533</v>
      </c>
      <c r="X21">
        <v>38.299258577539533</v>
      </c>
    </row>
    <row r="22" spans="1:24">
      <c r="A22" t="s">
        <v>160</v>
      </c>
      <c r="B22" t="s">
        <v>161</v>
      </c>
      <c r="C22" t="s">
        <v>169</v>
      </c>
      <c r="D22" t="s">
        <v>134</v>
      </c>
      <c r="E22" t="s">
        <v>170</v>
      </c>
      <c r="F22" t="s">
        <v>136</v>
      </c>
      <c r="G22">
        <v>15.495887810194001</v>
      </c>
      <c r="H22">
        <v>15.495887810194001</v>
      </c>
      <c r="I22">
        <v>15.495887810194001</v>
      </c>
      <c r="J22">
        <v>15.495887810194001</v>
      </c>
      <c r="K22">
        <v>15.495887810194001</v>
      </c>
      <c r="L22">
        <v>15.495887810194001</v>
      </c>
      <c r="M22">
        <v>15.495887810194001</v>
      </c>
      <c r="N22">
        <v>15.495887810194001</v>
      </c>
      <c r="O22">
        <v>15.495887810194001</v>
      </c>
      <c r="P22">
        <v>15.495887810194001</v>
      </c>
      <c r="Q22">
        <v>15.495887810194001</v>
      </c>
      <c r="R22">
        <v>15.495887810194001</v>
      </c>
      <c r="S22">
        <v>15.495887810194001</v>
      </c>
      <c r="T22">
        <v>15.495887810194001</v>
      </c>
      <c r="U22">
        <v>15.495887810194001</v>
      </c>
      <c r="V22">
        <v>15.495887810194001</v>
      </c>
      <c r="W22">
        <v>15.495887810194001</v>
      </c>
      <c r="X22">
        <v>15.495887810194001</v>
      </c>
    </row>
    <row r="23" spans="1:24">
      <c r="A23" t="s">
        <v>160</v>
      </c>
      <c r="B23" t="s">
        <v>164</v>
      </c>
      <c r="C23" t="s">
        <v>169</v>
      </c>
      <c r="D23" t="s">
        <v>134</v>
      </c>
      <c r="E23" t="s">
        <v>171</v>
      </c>
      <c r="F23" t="s">
        <v>136</v>
      </c>
      <c r="G23">
        <v>19.187214429670199</v>
      </c>
      <c r="H23">
        <v>19.187214429670199</v>
      </c>
      <c r="I23">
        <v>19.187214429670199</v>
      </c>
      <c r="J23">
        <v>19.187214429670199</v>
      </c>
      <c r="K23">
        <v>19.187214429670199</v>
      </c>
      <c r="L23">
        <v>19.187214429670199</v>
      </c>
      <c r="M23">
        <v>19.187214429670199</v>
      </c>
      <c r="N23">
        <v>19.187214429670199</v>
      </c>
      <c r="O23">
        <v>19.187214429670199</v>
      </c>
      <c r="P23">
        <v>19.187214429670199</v>
      </c>
      <c r="Q23">
        <v>19.187214429670199</v>
      </c>
      <c r="R23">
        <v>19.187214429670199</v>
      </c>
      <c r="S23">
        <v>19.187214429670199</v>
      </c>
      <c r="T23">
        <v>19.187214429670199</v>
      </c>
      <c r="U23">
        <v>19.187214429670199</v>
      </c>
      <c r="V23">
        <v>19.187214429670199</v>
      </c>
      <c r="W23">
        <v>19.187214429670199</v>
      </c>
      <c r="X23">
        <v>19.187214429670199</v>
      </c>
    </row>
    <row r="24" spans="1:24">
      <c r="A24" t="s">
        <v>160</v>
      </c>
      <c r="B24" t="s">
        <v>161</v>
      </c>
      <c r="C24" t="s">
        <v>172</v>
      </c>
      <c r="D24" t="s">
        <v>134</v>
      </c>
      <c r="E24" t="s">
        <v>173</v>
      </c>
      <c r="F24" t="s">
        <v>136</v>
      </c>
      <c r="G24">
        <v>66.398717380854961</v>
      </c>
      <c r="H24">
        <v>66.398717380854961</v>
      </c>
      <c r="I24">
        <v>66.398717380854961</v>
      </c>
      <c r="J24">
        <v>66.398717380854961</v>
      </c>
      <c r="K24">
        <v>66.398717380854961</v>
      </c>
      <c r="L24">
        <v>66.398717380854961</v>
      </c>
      <c r="M24">
        <v>66.398717380854961</v>
      </c>
      <c r="N24">
        <v>66.398717380854961</v>
      </c>
      <c r="O24">
        <v>66.398717380854961</v>
      </c>
      <c r="P24">
        <v>66.398717380854961</v>
      </c>
      <c r="Q24">
        <v>66.398717380854961</v>
      </c>
      <c r="R24">
        <v>66.398717380854961</v>
      </c>
      <c r="S24">
        <v>66.398717380854961</v>
      </c>
      <c r="T24">
        <v>66.398717380854961</v>
      </c>
      <c r="U24">
        <v>66.398717380854961</v>
      </c>
      <c r="V24">
        <v>66.398717380854961</v>
      </c>
      <c r="W24">
        <v>66.398717380854961</v>
      </c>
      <c r="X24">
        <v>66.398717380854961</v>
      </c>
    </row>
    <row r="25" spans="1:24">
      <c r="A25" t="s">
        <v>160</v>
      </c>
      <c r="B25" t="s">
        <v>164</v>
      </c>
      <c r="C25" t="s">
        <v>172</v>
      </c>
      <c r="D25" t="s">
        <v>134</v>
      </c>
      <c r="E25" t="s">
        <v>174</v>
      </c>
      <c r="F25" t="s">
        <v>136</v>
      </c>
      <c r="G25">
        <v>96.552050846441404</v>
      </c>
      <c r="H25">
        <v>96.552050846441404</v>
      </c>
      <c r="I25">
        <v>96.552050846441404</v>
      </c>
      <c r="J25">
        <v>96.552050846441404</v>
      </c>
      <c r="K25">
        <v>96.552050846441404</v>
      </c>
      <c r="L25">
        <v>96.552050846441404</v>
      </c>
      <c r="M25">
        <v>96.552050846441404</v>
      </c>
      <c r="N25">
        <v>96.552050846441404</v>
      </c>
      <c r="O25">
        <v>96.552050846441404</v>
      </c>
      <c r="P25">
        <v>96.552050846441404</v>
      </c>
      <c r="Q25">
        <v>96.552050846441404</v>
      </c>
      <c r="R25">
        <v>96.552050846441404</v>
      </c>
      <c r="S25">
        <v>96.552050846441404</v>
      </c>
      <c r="T25">
        <v>96.552050846441404</v>
      </c>
      <c r="U25">
        <v>96.552050846441404</v>
      </c>
      <c r="V25">
        <v>96.552050846441404</v>
      </c>
      <c r="W25">
        <v>96.552050846441404</v>
      </c>
      <c r="X25">
        <v>96.552050846441404</v>
      </c>
    </row>
    <row r="26" spans="1:24">
      <c r="A26" t="s">
        <v>160</v>
      </c>
      <c r="B26" t="s">
        <v>161</v>
      </c>
      <c r="C26" t="s">
        <v>162</v>
      </c>
      <c r="D26" t="s">
        <v>151</v>
      </c>
      <c r="E26" t="s">
        <v>175</v>
      </c>
      <c r="F26" t="s">
        <v>136</v>
      </c>
      <c r="G26">
        <v>0</v>
      </c>
      <c r="H26">
        <v>0.25903938738745758</v>
      </c>
      <c r="I26">
        <v>1.5542363243247459</v>
      </c>
      <c r="J26">
        <v>2.8494332612620341</v>
      </c>
      <c r="K26">
        <v>4.1446301981993221</v>
      </c>
      <c r="L26">
        <v>5.4398271351366114</v>
      </c>
      <c r="M26">
        <v>6.735024072073899</v>
      </c>
      <c r="N26">
        <v>8.0302210090111874</v>
      </c>
      <c r="O26">
        <v>9.325417945948475</v>
      </c>
      <c r="P26">
        <v>10.620614882885761</v>
      </c>
      <c r="Q26">
        <v>11.91581181982305</v>
      </c>
      <c r="R26">
        <v>13.211008756760339</v>
      </c>
      <c r="S26">
        <v>14.50620569369763</v>
      </c>
      <c r="T26">
        <v>15.801402630634909</v>
      </c>
      <c r="U26">
        <v>17.096599567572198</v>
      </c>
      <c r="V26">
        <v>18.39179650450949</v>
      </c>
      <c r="W26">
        <v>19.686993441446781</v>
      </c>
      <c r="X26">
        <v>20.982190378384061</v>
      </c>
    </row>
    <row r="27" spans="1:24">
      <c r="A27" t="s">
        <v>160</v>
      </c>
      <c r="B27" t="s">
        <v>164</v>
      </c>
      <c r="C27" t="s">
        <v>162</v>
      </c>
      <c r="D27" t="s">
        <v>151</v>
      </c>
      <c r="E27" t="s">
        <v>176</v>
      </c>
      <c r="F27" t="s">
        <v>136</v>
      </c>
      <c r="G27">
        <v>0</v>
      </c>
      <c r="H27">
        <v>7.4783990074941589E-2</v>
      </c>
      <c r="I27">
        <v>0.44870394044964951</v>
      </c>
      <c r="J27">
        <v>0.8226238908243575</v>
      </c>
      <c r="K27">
        <v>1.196543841199065</v>
      </c>
      <c r="L27">
        <v>1.5704637915737729</v>
      </c>
      <c r="M27">
        <v>1.9443837419484811</v>
      </c>
      <c r="N27">
        <v>2.3183036923231888</v>
      </c>
      <c r="O27">
        <v>2.6922236426978969</v>
      </c>
      <c r="P27">
        <v>3.0661435930726051</v>
      </c>
      <c r="Q27">
        <v>3.4400635434473119</v>
      </c>
      <c r="R27">
        <v>3.8139834938220201</v>
      </c>
      <c r="S27">
        <v>4.1879034441967278</v>
      </c>
      <c r="T27">
        <v>4.5618233945714346</v>
      </c>
      <c r="U27">
        <v>4.9357433449461432</v>
      </c>
      <c r="V27">
        <v>5.3096632953208509</v>
      </c>
      <c r="W27">
        <v>5.6835832456955586</v>
      </c>
      <c r="X27">
        <v>6.0575031960702663</v>
      </c>
    </row>
    <row r="28" spans="1:24">
      <c r="A28" t="s">
        <v>160</v>
      </c>
      <c r="B28" t="s">
        <v>161</v>
      </c>
      <c r="C28" t="s">
        <v>166</v>
      </c>
      <c r="D28" t="s">
        <v>151</v>
      </c>
      <c r="E28" t="s">
        <v>177</v>
      </c>
      <c r="F28" t="s">
        <v>136</v>
      </c>
      <c r="G28">
        <v>0</v>
      </c>
      <c r="H28">
        <v>0.28560988167920698</v>
      </c>
      <c r="I28">
        <v>1.7136592900752421</v>
      </c>
      <c r="J28">
        <v>3.1417086984712772</v>
      </c>
      <c r="K28">
        <v>4.5697581068673134</v>
      </c>
      <c r="L28">
        <v>5.9978075152633474</v>
      </c>
      <c r="M28">
        <v>7.4258569236593823</v>
      </c>
      <c r="N28">
        <v>8.8539063320554181</v>
      </c>
      <c r="O28">
        <v>10.281955740451449</v>
      </c>
      <c r="P28">
        <v>11.71000514884749</v>
      </c>
      <c r="Q28">
        <v>13.138054557243519</v>
      </c>
      <c r="R28">
        <v>14.566103965639559</v>
      </c>
      <c r="S28">
        <v>15.994153374035591</v>
      </c>
      <c r="T28">
        <v>17.422202782431629</v>
      </c>
      <c r="U28">
        <v>18.850252190827661</v>
      </c>
      <c r="V28">
        <v>20.278301599223699</v>
      </c>
      <c r="W28">
        <v>21.70635100761973</v>
      </c>
      <c r="X28">
        <v>23.134400416015769</v>
      </c>
    </row>
    <row r="29" spans="1:24">
      <c r="A29" t="s">
        <v>160</v>
      </c>
      <c r="B29" t="s">
        <v>164</v>
      </c>
      <c r="C29" t="s">
        <v>166</v>
      </c>
      <c r="D29" t="s">
        <v>151</v>
      </c>
      <c r="E29" t="s">
        <v>178</v>
      </c>
      <c r="F29" t="s">
        <v>136</v>
      </c>
      <c r="G29">
        <v>0</v>
      </c>
      <c r="H29">
        <v>0.19149629288769771</v>
      </c>
      <c r="I29">
        <v>1.1489777573261859</v>
      </c>
      <c r="J29">
        <v>2.1064592217646738</v>
      </c>
      <c r="K29">
        <v>3.063940686203162</v>
      </c>
      <c r="L29">
        <v>4.0214221506416514</v>
      </c>
      <c r="M29">
        <v>4.9789036150801387</v>
      </c>
      <c r="N29">
        <v>5.9363850795186268</v>
      </c>
      <c r="O29">
        <v>6.893866543957115</v>
      </c>
      <c r="P29">
        <v>7.8513480083956031</v>
      </c>
      <c r="Q29">
        <v>8.8088294728340912</v>
      </c>
      <c r="R29">
        <v>9.7663109372725803</v>
      </c>
      <c r="S29">
        <v>10.723792401711069</v>
      </c>
      <c r="T29">
        <v>11.68127386614956</v>
      </c>
      <c r="U29">
        <v>12.638755330588049</v>
      </c>
      <c r="V29">
        <v>13.59623679502654</v>
      </c>
      <c r="W29">
        <v>14.553718259465031</v>
      </c>
      <c r="X29">
        <v>15.511199723903511</v>
      </c>
    </row>
    <row r="30" spans="1:24">
      <c r="A30" t="s">
        <v>160</v>
      </c>
      <c r="B30" t="s">
        <v>161</v>
      </c>
      <c r="C30" t="s">
        <v>169</v>
      </c>
      <c r="D30" t="s">
        <v>151</v>
      </c>
      <c r="E30" t="s">
        <v>179</v>
      </c>
      <c r="F30" t="s">
        <v>136</v>
      </c>
      <c r="G30">
        <v>0</v>
      </c>
      <c r="H30">
        <v>7.7479439050969989E-2</v>
      </c>
      <c r="I30">
        <v>0.46487663430581988</v>
      </c>
      <c r="J30">
        <v>0.85227382956066988</v>
      </c>
      <c r="K30">
        <v>1.2396710248155201</v>
      </c>
      <c r="L30">
        <v>1.6270682200703701</v>
      </c>
      <c r="M30">
        <v>2.0144654153252199</v>
      </c>
      <c r="N30">
        <v>2.40186261058007</v>
      </c>
      <c r="O30">
        <v>2.7892598058349201</v>
      </c>
      <c r="P30">
        <v>3.1766570010897701</v>
      </c>
      <c r="Q30">
        <v>3.5640541963446202</v>
      </c>
      <c r="R30">
        <v>3.9514513915994698</v>
      </c>
      <c r="S30">
        <v>4.3388485868543203</v>
      </c>
      <c r="T30">
        <v>4.7262457821091699</v>
      </c>
      <c r="U30">
        <v>5.1136429773640204</v>
      </c>
      <c r="V30">
        <v>5.5010401726188691</v>
      </c>
      <c r="W30">
        <v>5.8884373678737187</v>
      </c>
      <c r="X30">
        <v>6.2758345631285684</v>
      </c>
    </row>
    <row r="31" spans="1:24">
      <c r="A31" t="s">
        <v>160</v>
      </c>
      <c r="B31" t="s">
        <v>164</v>
      </c>
      <c r="C31" t="s">
        <v>169</v>
      </c>
      <c r="D31" t="s">
        <v>151</v>
      </c>
      <c r="E31" t="s">
        <v>180</v>
      </c>
      <c r="F31" t="s">
        <v>136</v>
      </c>
      <c r="G31">
        <v>0</v>
      </c>
      <c r="H31">
        <v>9.5936072148351009E-2</v>
      </c>
      <c r="I31">
        <v>0.575616432890106</v>
      </c>
      <c r="J31">
        <v>1.0552967936318609</v>
      </c>
      <c r="K31">
        <v>1.5349771543736159</v>
      </c>
      <c r="L31">
        <v>2.0146575151153709</v>
      </c>
      <c r="M31">
        <v>2.4943378758571262</v>
      </c>
      <c r="N31">
        <v>2.974018236598881</v>
      </c>
      <c r="O31">
        <v>3.4536985973406358</v>
      </c>
      <c r="P31">
        <v>3.933378958082391</v>
      </c>
      <c r="Q31">
        <v>4.4130593188241454</v>
      </c>
      <c r="R31">
        <v>4.8927396795659002</v>
      </c>
      <c r="S31">
        <v>5.372420040307655</v>
      </c>
      <c r="T31">
        <v>5.8521004010494098</v>
      </c>
      <c r="U31">
        <v>6.3317807617911646</v>
      </c>
      <c r="V31">
        <v>6.8114611225329194</v>
      </c>
      <c r="W31">
        <v>7.2911414832746742</v>
      </c>
      <c r="X31">
        <v>7.7708218440164289</v>
      </c>
    </row>
    <row r="32" spans="1:24">
      <c r="A32" t="s">
        <v>160</v>
      </c>
      <c r="B32" t="s">
        <v>161</v>
      </c>
      <c r="C32" t="s">
        <v>172</v>
      </c>
      <c r="D32" t="s">
        <v>151</v>
      </c>
      <c r="E32" t="s">
        <v>181</v>
      </c>
      <c r="F32" t="s">
        <v>136</v>
      </c>
      <c r="G32">
        <v>0</v>
      </c>
      <c r="H32">
        <v>0.33199358690427477</v>
      </c>
      <c r="I32">
        <v>1.991961521425649</v>
      </c>
      <c r="J32">
        <v>3.6519294559470228</v>
      </c>
      <c r="K32">
        <v>5.3118973904683973</v>
      </c>
      <c r="L32">
        <v>6.9718653249897713</v>
      </c>
      <c r="M32">
        <v>8.6318332595111453</v>
      </c>
      <c r="N32">
        <v>10.291801194032519</v>
      </c>
      <c r="O32">
        <v>11.95176912855389</v>
      </c>
      <c r="P32">
        <v>13.611737063075269</v>
      </c>
      <c r="Q32">
        <v>15.27170499759664</v>
      </c>
      <c r="R32">
        <v>16.931672932118019</v>
      </c>
      <c r="S32">
        <v>18.591640866639391</v>
      </c>
      <c r="T32">
        <v>20.25160880116076</v>
      </c>
      <c r="U32">
        <v>21.911576735682139</v>
      </c>
      <c r="V32">
        <v>23.571544670203519</v>
      </c>
      <c r="W32">
        <v>25.231512604724891</v>
      </c>
      <c r="X32">
        <v>26.89148053924627</v>
      </c>
    </row>
    <row r="33" spans="1:24">
      <c r="A33" t="s">
        <v>160</v>
      </c>
      <c r="B33" t="s">
        <v>164</v>
      </c>
      <c r="C33" t="s">
        <v>172</v>
      </c>
      <c r="D33" t="s">
        <v>151</v>
      </c>
      <c r="E33" t="s">
        <v>182</v>
      </c>
      <c r="F33" t="s">
        <v>136</v>
      </c>
      <c r="G33">
        <v>0</v>
      </c>
      <c r="H33">
        <v>0.48276025423220698</v>
      </c>
      <c r="I33">
        <v>2.896561525393242</v>
      </c>
      <c r="J33">
        <v>5.3103627965542781</v>
      </c>
      <c r="K33">
        <v>7.7241640677153134</v>
      </c>
      <c r="L33">
        <v>10.13796533887635</v>
      </c>
      <c r="M33">
        <v>12.551766610037379</v>
      </c>
      <c r="N33">
        <v>14.965567881198419</v>
      </c>
      <c r="O33">
        <v>17.379369152359448</v>
      </c>
      <c r="P33">
        <v>19.79317042352049</v>
      </c>
      <c r="Q33">
        <v>22.206971694681521</v>
      </c>
      <c r="R33">
        <v>24.620772965842551</v>
      </c>
      <c r="S33">
        <v>27.034574237003589</v>
      </c>
      <c r="T33">
        <v>29.44837550816462</v>
      </c>
      <c r="U33">
        <v>31.862176779325662</v>
      </c>
      <c r="V33">
        <v>34.275978050486692</v>
      </c>
      <c r="W33">
        <v>36.689779321647727</v>
      </c>
      <c r="X33">
        <v>39.103580592808761</v>
      </c>
    </row>
    <row r="34" spans="1:24">
      <c r="A34" t="s">
        <v>87</v>
      </c>
      <c r="B34" t="s">
        <v>88</v>
      </c>
      <c r="E34" t="s">
        <v>92</v>
      </c>
      <c r="F34" t="s">
        <v>183</v>
      </c>
      <c r="G34">
        <v>66716.460830940399</v>
      </c>
      <c r="H34">
        <v>68050.790047559203</v>
      </c>
      <c r="I34">
        <v>74855.869052315131</v>
      </c>
      <c r="J34">
        <v>82341.455957546656</v>
      </c>
      <c r="K34">
        <v>90575.601553301327</v>
      </c>
      <c r="L34">
        <v>99633.161708631465</v>
      </c>
      <c r="M34">
        <v>109596.4778794946</v>
      </c>
      <c r="N34">
        <v>120556.1256674441</v>
      </c>
      <c r="O34">
        <v>132611.73823418849</v>
      </c>
      <c r="P34">
        <v>145872.91205760741</v>
      </c>
      <c r="Q34">
        <v>160460.20326336811</v>
      </c>
      <c r="R34">
        <v>176506.22358970501</v>
      </c>
      <c r="S34">
        <v>194156.8459486755</v>
      </c>
      <c r="T34">
        <v>213572.53054354299</v>
      </c>
      <c r="U34">
        <v>234929.78359789739</v>
      </c>
      <c r="V34">
        <v>258422.76195768709</v>
      </c>
      <c r="W34">
        <v>284265.03815345588</v>
      </c>
      <c r="X34">
        <v>312691.54196880152</v>
      </c>
    </row>
    <row r="35" spans="1:24">
      <c r="A35" t="s">
        <v>184</v>
      </c>
      <c r="B35" t="s">
        <v>185</v>
      </c>
      <c r="C35" t="s">
        <v>186</v>
      </c>
      <c r="E35" t="s">
        <v>187</v>
      </c>
      <c r="F35" t="s">
        <v>188</v>
      </c>
      <c r="G35">
        <v>68921.250890371171</v>
      </c>
      <c r="H35">
        <v>69265.857144823021</v>
      </c>
      <c r="I35">
        <v>70997.503573443595</v>
      </c>
      <c r="J35">
        <v>72772.44116277968</v>
      </c>
      <c r="K35">
        <v>74591.752191849169</v>
      </c>
      <c r="L35">
        <v>76456.545996645393</v>
      </c>
      <c r="M35">
        <v>78367.959646561518</v>
      </c>
      <c r="N35">
        <v>80327.158637725544</v>
      </c>
      <c r="O35">
        <v>82335.337603668682</v>
      </c>
      <c r="P35">
        <v>84393.721043760394</v>
      </c>
      <c r="Q35">
        <v>86503.564069854401</v>
      </c>
      <c r="R35">
        <v>88666.153171600759</v>
      </c>
      <c r="S35">
        <v>90882.807000890767</v>
      </c>
      <c r="T35">
        <v>93154.877175913032</v>
      </c>
      <c r="U35">
        <v>95483.749105310853</v>
      </c>
      <c r="V35">
        <v>97870.842832943614</v>
      </c>
      <c r="W35">
        <v>100317.6139037672</v>
      </c>
      <c r="X35">
        <v>102825.55425136141</v>
      </c>
    </row>
    <row r="36" spans="1:24">
      <c r="A36" t="s">
        <v>184</v>
      </c>
      <c r="B36" t="s">
        <v>185</v>
      </c>
      <c r="C36" t="s">
        <v>189</v>
      </c>
      <c r="E36" t="s">
        <v>190</v>
      </c>
      <c r="F36" t="s">
        <v>188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>
      <c r="A37" t="s">
        <v>184</v>
      </c>
      <c r="B37" t="s">
        <v>185</v>
      </c>
      <c r="C37" t="s">
        <v>191</v>
      </c>
      <c r="E37" t="s">
        <v>192</v>
      </c>
      <c r="F37" t="s">
        <v>188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>
      <c r="A38" t="s">
        <v>184</v>
      </c>
      <c r="B38" t="s">
        <v>193</v>
      </c>
      <c r="C38" t="s">
        <v>194</v>
      </c>
      <c r="E38" t="s">
        <v>195</v>
      </c>
      <c r="F38" t="s">
        <v>188</v>
      </c>
      <c r="G38">
        <v>1578.5178847930749</v>
      </c>
      <c r="H38">
        <v>1586.41047421704</v>
      </c>
      <c r="I38">
        <v>1626.0707360724659</v>
      </c>
      <c r="J38">
        <v>1666.7225044742779</v>
      </c>
      <c r="K38">
        <v>1708.390567086135</v>
      </c>
      <c r="L38">
        <v>1751.1003312632879</v>
      </c>
      <c r="M38">
        <v>1794.8778395448701</v>
      </c>
      <c r="N38">
        <v>1839.7497855334909</v>
      </c>
      <c r="O38">
        <v>1885.743530171829</v>
      </c>
      <c r="P38">
        <v>1932.8871184261241</v>
      </c>
      <c r="Q38">
        <v>1981.2092963867769</v>
      </c>
      <c r="R38">
        <v>2030.7395287964459</v>
      </c>
      <c r="S38">
        <v>2081.5080170163569</v>
      </c>
      <c r="T38">
        <v>2133.5457174417661</v>
      </c>
      <c r="U38">
        <v>2186.88436037781</v>
      </c>
      <c r="V38">
        <v>2241.5564693872552</v>
      </c>
      <c r="W38">
        <v>2297.595381121936</v>
      </c>
      <c r="X38">
        <v>2355.035265649984</v>
      </c>
    </row>
    <row r="39" spans="1:24">
      <c r="A39" t="s">
        <v>184</v>
      </c>
      <c r="B39" t="s">
        <v>193</v>
      </c>
      <c r="C39" t="s">
        <v>196</v>
      </c>
      <c r="E39" t="s">
        <v>197</v>
      </c>
      <c r="F39" t="s">
        <v>188</v>
      </c>
      <c r="G39">
        <v>70.026308273942732</v>
      </c>
      <c r="H39">
        <v>70.376439815312438</v>
      </c>
      <c r="I39">
        <v>72.135850810695246</v>
      </c>
      <c r="J39">
        <v>73.939247080962616</v>
      </c>
      <c r="K39">
        <v>75.787728257986672</v>
      </c>
      <c r="L39">
        <v>77.682421464436331</v>
      </c>
      <c r="M39">
        <v>79.624482001047227</v>
      </c>
      <c r="N39">
        <v>81.615094051073399</v>
      </c>
      <c r="O39">
        <v>83.65547140235023</v>
      </c>
      <c r="P39">
        <v>85.746858187408975</v>
      </c>
      <c r="Q39">
        <v>87.890529642094194</v>
      </c>
      <c r="R39">
        <v>90.087792883146534</v>
      </c>
      <c r="S39">
        <v>92.339987705225184</v>
      </c>
      <c r="T39">
        <v>94.648487397855803</v>
      </c>
      <c r="U39">
        <v>97.014699582802194</v>
      </c>
      <c r="V39">
        <v>99.440067072372244</v>
      </c>
      <c r="W39">
        <v>101.9260687491815</v>
      </c>
      <c r="X39">
        <v>104.4742204679111</v>
      </c>
    </row>
    <row r="40" spans="1:24">
      <c r="A40" t="s">
        <v>184</v>
      </c>
      <c r="B40" t="s">
        <v>193</v>
      </c>
      <c r="C40" t="s">
        <v>198</v>
      </c>
      <c r="E40" t="s">
        <v>199</v>
      </c>
      <c r="F40" t="s">
        <v>188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>
      <c r="A41" t="s">
        <v>184</v>
      </c>
      <c r="B41" t="s">
        <v>193</v>
      </c>
      <c r="C41" t="s">
        <v>200</v>
      </c>
      <c r="E41" t="s">
        <v>201</v>
      </c>
      <c r="F41" t="s">
        <v>188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 t="s">
        <v>184</v>
      </c>
      <c r="B42" t="s">
        <v>193</v>
      </c>
      <c r="C42" t="s">
        <v>202</v>
      </c>
      <c r="E42" t="s">
        <v>203</v>
      </c>
      <c r="F42" t="s">
        <v>188</v>
      </c>
      <c r="G42">
        <v>1367.6201505846741</v>
      </c>
      <c r="H42">
        <v>1374.4582513375981</v>
      </c>
      <c r="I42">
        <v>1408.819707621037</v>
      </c>
      <c r="J42">
        <v>1444.040200311563</v>
      </c>
      <c r="K42">
        <v>1480.1412053193519</v>
      </c>
      <c r="L42">
        <v>1517.1447354523359</v>
      </c>
      <c r="M42">
        <v>1555.0733538386439</v>
      </c>
      <c r="N42">
        <v>1593.95018768461</v>
      </c>
      <c r="O42">
        <v>1633.7989423767251</v>
      </c>
      <c r="P42">
        <v>1674.643915936143</v>
      </c>
      <c r="Q42">
        <v>1716.510013834547</v>
      </c>
      <c r="R42">
        <v>1759.42276418041</v>
      </c>
      <c r="S42">
        <v>1803.40833328492</v>
      </c>
      <c r="T42">
        <v>1848.4935416170431</v>
      </c>
      <c r="U42">
        <v>1894.705880157469</v>
      </c>
      <c r="V42">
        <v>1942.073527161406</v>
      </c>
      <c r="W42">
        <v>1990.625365340441</v>
      </c>
      <c r="X42">
        <v>2040.390999473952</v>
      </c>
    </row>
    <row r="43" spans="1:24">
      <c r="A43" t="s">
        <v>184</v>
      </c>
      <c r="B43" t="s">
        <v>193</v>
      </c>
      <c r="C43" t="s">
        <v>204</v>
      </c>
      <c r="E43" t="s">
        <v>205</v>
      </c>
      <c r="F43" t="s">
        <v>188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 t="s">
        <v>184</v>
      </c>
      <c r="B44" t="s">
        <v>185</v>
      </c>
      <c r="C44" t="s">
        <v>206</v>
      </c>
      <c r="E44" t="s">
        <v>207</v>
      </c>
      <c r="F44" t="s">
        <v>188</v>
      </c>
      <c r="G44">
        <v>498.20418535334039</v>
      </c>
      <c r="H44">
        <v>500.69520628010702</v>
      </c>
      <c r="I44">
        <v>513.21258643710962</v>
      </c>
      <c r="J44">
        <v>526.04290109803731</v>
      </c>
      <c r="K44">
        <v>539.19397362548818</v>
      </c>
      <c r="L44">
        <v>552.67382296612539</v>
      </c>
      <c r="M44">
        <v>566.49066854027842</v>
      </c>
      <c r="N44">
        <v>580.65293525378536</v>
      </c>
      <c r="O44">
        <v>595.16925863512995</v>
      </c>
      <c r="P44">
        <v>610.04849010100816</v>
      </c>
      <c r="Q44">
        <v>625.29970235353335</v>
      </c>
      <c r="R44">
        <v>640.93219491237164</v>
      </c>
      <c r="S44">
        <v>656.9554997851809</v>
      </c>
      <c r="T44">
        <v>673.37938727981032</v>
      </c>
      <c r="U44">
        <v>690.21387196180547</v>
      </c>
      <c r="V44">
        <v>707.46921876085059</v>
      </c>
      <c r="W44">
        <v>725.15594922987179</v>
      </c>
      <c r="X44">
        <v>743.28484796061855</v>
      </c>
    </row>
    <row r="45" spans="1:24">
      <c r="A45" t="s">
        <v>184</v>
      </c>
      <c r="B45" t="s">
        <v>185</v>
      </c>
      <c r="C45" t="s">
        <v>208</v>
      </c>
      <c r="E45" t="s">
        <v>209</v>
      </c>
      <c r="F45" t="s">
        <v>188</v>
      </c>
      <c r="G45">
        <v>86.053217342719677</v>
      </c>
      <c r="H45">
        <v>86.483483429433264</v>
      </c>
      <c r="I45">
        <v>88.645570515169084</v>
      </c>
      <c r="J45">
        <v>90.861709778048308</v>
      </c>
      <c r="K45">
        <v>93.133252522499504</v>
      </c>
      <c r="L45">
        <v>95.461583835561981</v>
      </c>
      <c r="M45">
        <v>97.848123431451029</v>
      </c>
      <c r="N45">
        <v>100.29432651723729</v>
      </c>
      <c r="O45">
        <v>102.80168468016819</v>
      </c>
      <c r="P45">
        <v>105.3717267971724</v>
      </c>
      <c r="Q45">
        <v>108.00601996710169</v>
      </c>
      <c r="R45">
        <v>110.7061704662793</v>
      </c>
      <c r="S45">
        <v>113.4738247279362</v>
      </c>
      <c r="T45">
        <v>116.3106703461346</v>
      </c>
      <c r="U45">
        <v>119.21843710478799</v>
      </c>
      <c r="V45">
        <v>122.1988980324077</v>
      </c>
      <c r="W45">
        <v>125.2538704832179</v>
      </c>
      <c r="X45">
        <v>128.38521724529829</v>
      </c>
    </row>
    <row r="46" spans="1:24">
      <c r="A46" t="s">
        <v>184</v>
      </c>
      <c r="B46" t="s">
        <v>185</v>
      </c>
      <c r="C46" t="s">
        <v>210</v>
      </c>
      <c r="E46" t="s">
        <v>211</v>
      </c>
      <c r="F46" t="s">
        <v>188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>
      <c r="A47" t="s">
        <v>184</v>
      </c>
      <c r="B47" t="s">
        <v>185</v>
      </c>
      <c r="C47" t="s">
        <v>212</v>
      </c>
      <c r="E47" t="s">
        <v>213</v>
      </c>
      <c r="F47" t="s">
        <v>188</v>
      </c>
      <c r="G47">
        <v>364.1076787683694</v>
      </c>
      <c r="H47">
        <v>365.92821716221118</v>
      </c>
      <c r="I47">
        <v>375.07642259126641</v>
      </c>
      <c r="J47">
        <v>384.45333315604802</v>
      </c>
      <c r="K47">
        <v>394.06466648494921</v>
      </c>
      <c r="L47">
        <v>403.91628314707287</v>
      </c>
      <c r="M47">
        <v>414.01419022574959</v>
      </c>
      <c r="N47">
        <v>424.36454498139341</v>
      </c>
      <c r="O47">
        <v>434.97365860592822</v>
      </c>
      <c r="P47">
        <v>445.84800007107629</v>
      </c>
      <c r="Q47">
        <v>456.99420007285318</v>
      </c>
      <c r="R47">
        <v>468.41905507467447</v>
      </c>
      <c r="S47">
        <v>480.12953145154142</v>
      </c>
      <c r="T47">
        <v>492.13276973782979</v>
      </c>
      <c r="U47">
        <v>504.43608898127547</v>
      </c>
      <c r="V47">
        <v>517.04699120580733</v>
      </c>
      <c r="W47">
        <v>529.97316598595251</v>
      </c>
      <c r="X47">
        <v>543.22249513560132</v>
      </c>
    </row>
    <row r="48" spans="1:24">
      <c r="A48" t="s">
        <v>184</v>
      </c>
      <c r="B48" t="s">
        <v>185</v>
      </c>
      <c r="C48" t="s">
        <v>214</v>
      </c>
      <c r="E48" t="s">
        <v>215</v>
      </c>
      <c r="F48" t="s">
        <v>188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 t="s">
        <v>184</v>
      </c>
      <c r="B49" t="s">
        <v>185</v>
      </c>
      <c r="C49" t="s">
        <v>216</v>
      </c>
      <c r="E49" t="s">
        <v>217</v>
      </c>
      <c r="F49" t="s">
        <v>188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>
      <c r="A50" t="s">
        <v>184</v>
      </c>
      <c r="B50" t="s">
        <v>185</v>
      </c>
      <c r="C50" t="s">
        <v>218</v>
      </c>
      <c r="E50" t="s">
        <v>219</v>
      </c>
      <c r="F50" t="s">
        <v>188</v>
      </c>
      <c r="G50">
        <v>783.71641071992963</v>
      </c>
      <c r="H50">
        <v>787.63499277352923</v>
      </c>
      <c r="I50">
        <v>807.32586759286744</v>
      </c>
      <c r="J50">
        <v>827.50901428268901</v>
      </c>
      <c r="K50">
        <v>848.19673963975617</v>
      </c>
      <c r="L50">
        <v>869.40165813074998</v>
      </c>
      <c r="M50">
        <v>891.13669958401863</v>
      </c>
      <c r="N50">
        <v>913.41511707361906</v>
      </c>
      <c r="O50">
        <v>936.25049500045941</v>
      </c>
      <c r="P50">
        <v>959.65675737547076</v>
      </c>
      <c r="Q50">
        <v>983.64817630985749</v>
      </c>
      <c r="R50">
        <v>1008.239380717604</v>
      </c>
      <c r="S50">
        <v>1033.4453652355439</v>
      </c>
      <c r="T50">
        <v>1059.2814993664319</v>
      </c>
      <c r="U50">
        <v>1085.763536850593</v>
      </c>
      <c r="V50">
        <v>1112.907625271858</v>
      </c>
      <c r="W50">
        <v>1140.7303159036539</v>
      </c>
      <c r="X50">
        <v>1169.2485738012449</v>
      </c>
    </row>
    <row r="51" spans="1:24">
      <c r="A51" t="s">
        <v>184</v>
      </c>
      <c r="B51" t="s">
        <v>185</v>
      </c>
      <c r="C51" t="s">
        <v>220</v>
      </c>
      <c r="E51" t="s">
        <v>221</v>
      </c>
      <c r="F51" t="s">
        <v>188</v>
      </c>
      <c r="G51">
        <v>4185.0616827171943</v>
      </c>
      <c r="H51">
        <v>4205.9869911307796</v>
      </c>
      <c r="I51">
        <v>4311.136665909049</v>
      </c>
      <c r="J51">
        <v>4418.9150825567749</v>
      </c>
      <c r="K51">
        <v>4529.3879596206934</v>
      </c>
      <c r="L51">
        <v>4642.6226586112107</v>
      </c>
      <c r="M51">
        <v>4758.6882250764902</v>
      </c>
      <c r="N51">
        <v>4877.6554307034021</v>
      </c>
      <c r="O51">
        <v>4999.5968164709866</v>
      </c>
      <c r="P51">
        <v>5124.5867368827612</v>
      </c>
      <c r="Q51">
        <v>5252.7014053048297</v>
      </c>
      <c r="R51">
        <v>5384.0189404374496</v>
      </c>
      <c r="S51">
        <v>5518.619413948385</v>
      </c>
      <c r="T51">
        <v>5656.5848992970941</v>
      </c>
      <c r="U51">
        <v>5797.9995217795213</v>
      </c>
      <c r="V51">
        <v>5942.9495098240086</v>
      </c>
      <c r="W51">
        <v>6091.5232475696084</v>
      </c>
      <c r="X51">
        <v>6243.8113287588494</v>
      </c>
    </row>
    <row r="52" spans="1:24">
      <c r="A52" t="s">
        <v>184</v>
      </c>
      <c r="B52" t="s">
        <v>149</v>
      </c>
      <c r="C52" t="s">
        <v>222</v>
      </c>
      <c r="E52" t="s">
        <v>223</v>
      </c>
      <c r="F52" t="s">
        <v>188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>
      <c r="A53" t="s">
        <v>184</v>
      </c>
      <c r="B53" t="s">
        <v>149</v>
      </c>
      <c r="C53" t="s">
        <v>224</v>
      </c>
      <c r="E53" t="s">
        <v>225</v>
      </c>
      <c r="F53" t="s">
        <v>188</v>
      </c>
      <c r="G53">
        <v>1.605430432772551</v>
      </c>
      <c r="H53">
        <v>1.6134575849364139</v>
      </c>
      <c r="I53">
        <v>1.6537940245598239</v>
      </c>
      <c r="J53">
        <v>1.6951388751738199</v>
      </c>
      <c r="K53">
        <v>1.7375173470531651</v>
      </c>
      <c r="L53">
        <v>1.7809552807294939</v>
      </c>
      <c r="M53">
        <v>1.8254791627477309</v>
      </c>
      <c r="N53">
        <v>1.8711161418164239</v>
      </c>
      <c r="O53">
        <v>1.9178940453618341</v>
      </c>
      <c r="P53">
        <v>1.9658413964958801</v>
      </c>
      <c r="Q53">
        <v>2.0149874314082772</v>
      </c>
      <c r="R53">
        <v>2.0653621171934842</v>
      </c>
      <c r="S53">
        <v>2.1169961701233211</v>
      </c>
      <c r="T53">
        <v>2.1699210743764041</v>
      </c>
      <c r="U53">
        <v>2.2241691012358138</v>
      </c>
      <c r="V53">
        <v>2.279773328766709</v>
      </c>
      <c r="W53">
        <v>2.3367676619858759</v>
      </c>
      <c r="X53">
        <v>2.395186853535523</v>
      </c>
    </row>
    <row r="54" spans="1:24">
      <c r="A54" t="s">
        <v>184</v>
      </c>
      <c r="B54" t="s">
        <v>149</v>
      </c>
      <c r="C54" t="s">
        <v>226</v>
      </c>
      <c r="E54" t="s">
        <v>227</v>
      </c>
      <c r="F54" t="s">
        <v>188</v>
      </c>
      <c r="G54">
        <v>0.1257155698946095</v>
      </c>
      <c r="H54">
        <v>0.12634414774408251</v>
      </c>
      <c r="I54">
        <v>0.12950275143768461</v>
      </c>
      <c r="J54">
        <v>0.1327403202236267</v>
      </c>
      <c r="K54">
        <v>0.1360588282292173</v>
      </c>
      <c r="L54">
        <v>0.13946029893494771</v>
      </c>
      <c r="M54">
        <v>0.14294680640832139</v>
      </c>
      <c r="N54">
        <v>0.1465204765685294</v>
      </c>
      <c r="O54">
        <v>0.15018348848274271</v>
      </c>
      <c r="P54">
        <v>0.15393807569481119</v>
      </c>
      <c r="Q54">
        <v>0.15778652758718151</v>
      </c>
      <c r="R54">
        <v>0.16173119077686099</v>
      </c>
      <c r="S54">
        <v>0.1657744705462825</v>
      </c>
      <c r="T54">
        <v>0.16991883230993951</v>
      </c>
      <c r="U54">
        <v>0.17416680311768801</v>
      </c>
      <c r="V54">
        <v>0.17852097319563021</v>
      </c>
      <c r="W54">
        <v>0.18298399752552089</v>
      </c>
      <c r="X54">
        <v>0.18755859746365891</v>
      </c>
    </row>
    <row r="55" spans="1:24">
      <c r="A55" t="s">
        <v>112</v>
      </c>
      <c r="B55" t="s">
        <v>228</v>
      </c>
      <c r="C55" t="s">
        <v>229</v>
      </c>
      <c r="E55" t="s">
        <v>230</v>
      </c>
      <c r="F55" t="s">
        <v>231</v>
      </c>
      <c r="G55">
        <v>3375.0740840299131</v>
      </c>
      <c r="H55">
        <v>3391.9494544500621</v>
      </c>
      <c r="I55">
        <v>3476.7481908113132</v>
      </c>
      <c r="J55">
        <v>3563.6668955815949</v>
      </c>
      <c r="K55">
        <v>3652.7585679711351</v>
      </c>
      <c r="L55">
        <v>3744.0775321704132</v>
      </c>
      <c r="M55">
        <v>3837.6794704746731</v>
      </c>
      <c r="N55">
        <v>3933.6214572365402</v>
      </c>
      <c r="O55">
        <v>4031.961993667453</v>
      </c>
      <c r="P55">
        <v>4132.7610435091392</v>
      </c>
      <c r="Q55">
        <v>4236.0800695968674</v>
      </c>
      <c r="R55">
        <v>4341.982071336789</v>
      </c>
      <c r="S55">
        <v>4450.5316231202087</v>
      </c>
      <c r="T55">
        <v>4561.7949136982133</v>
      </c>
      <c r="U55">
        <v>4675.8397865406687</v>
      </c>
      <c r="V55">
        <v>4792.7357812041846</v>
      </c>
      <c r="W55">
        <v>4912.5541757342889</v>
      </c>
      <c r="X55">
        <v>5035.3680301276454</v>
      </c>
    </row>
    <row r="56" spans="1:24">
      <c r="A56" t="s">
        <v>112</v>
      </c>
      <c r="B56" t="s">
        <v>228</v>
      </c>
      <c r="C56" t="s">
        <v>232</v>
      </c>
      <c r="E56" t="s">
        <v>233</v>
      </c>
      <c r="F56" t="s">
        <v>231</v>
      </c>
      <c r="G56">
        <v>405.00889008358951</v>
      </c>
      <c r="H56">
        <v>407.03393453400741</v>
      </c>
      <c r="I56">
        <v>417.20978289735763</v>
      </c>
      <c r="J56">
        <v>427.64002746979139</v>
      </c>
      <c r="K56">
        <v>438.33102815653621</v>
      </c>
      <c r="L56">
        <v>449.28930386044959</v>
      </c>
      <c r="M56">
        <v>460.5215364569608</v>
      </c>
      <c r="N56">
        <v>472.03457486838482</v>
      </c>
      <c r="O56">
        <v>483.83543924009427</v>
      </c>
      <c r="P56">
        <v>495.93132522109659</v>
      </c>
      <c r="Q56">
        <v>508.32960835162402</v>
      </c>
      <c r="R56">
        <v>521.03784856041455</v>
      </c>
      <c r="S56">
        <v>534.06379477442488</v>
      </c>
      <c r="T56">
        <v>547.41538964378549</v>
      </c>
      <c r="U56">
        <v>561.10077438488008</v>
      </c>
      <c r="V56">
        <v>575.128293744502</v>
      </c>
      <c r="W56">
        <v>589.50650108811453</v>
      </c>
      <c r="X56">
        <v>604.24416361531735</v>
      </c>
    </row>
    <row r="57" spans="1:24">
      <c r="A57" t="s">
        <v>112</v>
      </c>
      <c r="B57" t="s">
        <v>228</v>
      </c>
      <c r="C57" t="s">
        <v>234</v>
      </c>
      <c r="E57" t="s">
        <v>235</v>
      </c>
      <c r="F57" t="s">
        <v>231</v>
      </c>
      <c r="G57">
        <v>540.01185344478597</v>
      </c>
      <c r="H57">
        <v>542.71191271200985</v>
      </c>
      <c r="I57">
        <v>556.27971052981002</v>
      </c>
      <c r="J57">
        <v>570.18670329305519</v>
      </c>
      <c r="K57">
        <v>584.44137087538149</v>
      </c>
      <c r="L57">
        <v>599.05240514726597</v>
      </c>
      <c r="M57">
        <v>614.02871527594755</v>
      </c>
      <c r="N57">
        <v>629.37943315784617</v>
      </c>
      <c r="O57">
        <v>645.11391898679221</v>
      </c>
      <c r="P57">
        <v>661.24176696146196</v>
      </c>
      <c r="Q57">
        <v>677.7728111354985</v>
      </c>
      <c r="R57">
        <v>694.71713141388591</v>
      </c>
      <c r="S57">
        <v>712.08505969923294</v>
      </c>
      <c r="T57">
        <v>729.88718619171368</v>
      </c>
      <c r="U57">
        <v>748.13436584650651</v>
      </c>
      <c r="V57">
        <v>766.83772499266911</v>
      </c>
      <c r="W57">
        <v>786.00866811748574</v>
      </c>
      <c r="X57">
        <v>805.65888482042283</v>
      </c>
    </row>
    <row r="58" spans="1:24">
      <c r="A58" t="s">
        <v>112</v>
      </c>
      <c r="B58" t="s">
        <v>228</v>
      </c>
      <c r="C58" t="s">
        <v>236</v>
      </c>
      <c r="E58" t="s">
        <v>237</v>
      </c>
      <c r="F58" t="s">
        <v>231</v>
      </c>
      <c r="G58">
        <v>1350.029633611965</v>
      </c>
      <c r="H58">
        <v>1356.7797817800249</v>
      </c>
      <c r="I58">
        <v>1390.699276324525</v>
      </c>
      <c r="J58">
        <v>1425.4667582326381</v>
      </c>
      <c r="K58">
        <v>1461.1034271884539</v>
      </c>
      <c r="L58">
        <v>1497.631012868165</v>
      </c>
      <c r="M58">
        <v>1535.071788189869</v>
      </c>
      <c r="N58">
        <v>1573.448582894616</v>
      </c>
      <c r="O58">
        <v>1612.784797466981</v>
      </c>
      <c r="P58">
        <v>1653.1044174036549</v>
      </c>
      <c r="Q58">
        <v>1694.432027838747</v>
      </c>
      <c r="R58">
        <v>1736.792828534715</v>
      </c>
      <c r="S58">
        <v>1780.2126492480829</v>
      </c>
      <c r="T58">
        <v>1824.7179654792851</v>
      </c>
      <c r="U58">
        <v>1870.335914616267</v>
      </c>
      <c r="V58">
        <v>1917.0943124816729</v>
      </c>
      <c r="W58">
        <v>1965.021670293715</v>
      </c>
      <c r="X58">
        <v>2014.147212051058</v>
      </c>
    </row>
    <row r="59" spans="1:24">
      <c r="A59" t="s">
        <v>112</v>
      </c>
      <c r="B59" t="s">
        <v>228</v>
      </c>
      <c r="C59" t="s">
        <v>238</v>
      </c>
      <c r="E59" t="s">
        <v>239</v>
      </c>
      <c r="F59" t="s">
        <v>231</v>
      </c>
      <c r="G59">
        <v>1485.0325969731609</v>
      </c>
      <c r="H59">
        <v>1492.4577599580271</v>
      </c>
      <c r="I59">
        <v>1529.769203956977</v>
      </c>
      <c r="J59">
        <v>1568.0134340559021</v>
      </c>
      <c r="K59">
        <v>1607.2137699072989</v>
      </c>
      <c r="L59">
        <v>1647.394114154981</v>
      </c>
      <c r="M59">
        <v>1688.5789670088559</v>
      </c>
      <c r="N59">
        <v>1730.793441184077</v>
      </c>
      <c r="O59">
        <v>1774.0632772136789</v>
      </c>
      <c r="P59">
        <v>1818.414859144021</v>
      </c>
      <c r="Q59">
        <v>1863.8752306226211</v>
      </c>
      <c r="R59">
        <v>1910.472111388186</v>
      </c>
      <c r="S59">
        <v>1958.233914172891</v>
      </c>
      <c r="T59">
        <v>2007.189762027213</v>
      </c>
      <c r="U59">
        <v>2057.3695060778932</v>
      </c>
      <c r="V59">
        <v>2108.8037437298399</v>
      </c>
      <c r="W59">
        <v>2161.5238373230859</v>
      </c>
      <c r="X59">
        <v>2215.5619332561628</v>
      </c>
    </row>
    <row r="60" spans="1:24">
      <c r="A60" t="s">
        <v>112</v>
      </c>
      <c r="B60" t="s">
        <v>228</v>
      </c>
      <c r="C60" t="s">
        <v>240</v>
      </c>
      <c r="E60" t="s">
        <v>241</v>
      </c>
      <c r="F60" t="s">
        <v>231</v>
      </c>
      <c r="G60">
        <v>1080.0237068895719</v>
      </c>
      <c r="H60">
        <v>1085.4238254240199</v>
      </c>
      <c r="I60">
        <v>1112.55942105962</v>
      </c>
      <c r="J60">
        <v>1140.3734065861099</v>
      </c>
      <c r="K60">
        <v>1168.882741750763</v>
      </c>
      <c r="L60">
        <v>1198.1048102945319</v>
      </c>
      <c r="M60">
        <v>1228.0574305518951</v>
      </c>
      <c r="N60">
        <v>1258.7588663156921</v>
      </c>
      <c r="O60">
        <v>1290.227837973584</v>
      </c>
      <c r="P60">
        <v>1322.4835339229239</v>
      </c>
      <c r="Q60">
        <v>1355.545622270997</v>
      </c>
      <c r="R60">
        <v>1389.434262827772</v>
      </c>
      <c r="S60">
        <v>1424.1701193984661</v>
      </c>
      <c r="T60">
        <v>1459.7743723834269</v>
      </c>
      <c r="U60">
        <v>1496.268731693013</v>
      </c>
      <c r="V60">
        <v>1533.675449985338</v>
      </c>
      <c r="W60">
        <v>1572.017336234971</v>
      </c>
      <c r="X60">
        <v>1611.3177696408461</v>
      </c>
    </row>
    <row r="61" spans="1:24">
      <c r="A61" t="s">
        <v>112</v>
      </c>
      <c r="B61" t="s">
        <v>228</v>
      </c>
      <c r="C61" t="s">
        <v>242</v>
      </c>
      <c r="E61" t="s">
        <v>243</v>
      </c>
      <c r="F61" t="s">
        <v>231</v>
      </c>
      <c r="G61">
        <v>5265.1155710866633</v>
      </c>
      <c r="H61">
        <v>5291.4411489420963</v>
      </c>
      <c r="I61">
        <v>5423.727177665648</v>
      </c>
      <c r="J61">
        <v>5559.3203571072891</v>
      </c>
      <c r="K61">
        <v>5698.3033660349711</v>
      </c>
      <c r="L61">
        <v>5840.7609501858451</v>
      </c>
      <c r="M61">
        <v>5986.7799739404909</v>
      </c>
      <c r="N61">
        <v>6136.4494732890034</v>
      </c>
      <c r="O61">
        <v>6289.8607101212274</v>
      </c>
      <c r="P61">
        <v>6447.1072278742577</v>
      </c>
      <c r="Q61">
        <v>6608.2849085711132</v>
      </c>
      <c r="R61">
        <v>6773.4920312853901</v>
      </c>
      <c r="S61">
        <v>6942.8293320675239</v>
      </c>
      <c r="T61">
        <v>7116.400065369211</v>
      </c>
      <c r="U61">
        <v>7294.310067003441</v>
      </c>
      <c r="V61">
        <v>7476.6678186785266</v>
      </c>
      <c r="W61">
        <v>7663.5845141454893</v>
      </c>
      <c r="X61">
        <v>7855.1741269991262</v>
      </c>
    </row>
    <row r="62" spans="1:24">
      <c r="A62" t="s">
        <v>112</v>
      </c>
      <c r="B62" t="s">
        <v>228</v>
      </c>
      <c r="C62" t="s">
        <v>244</v>
      </c>
      <c r="E62" t="s">
        <v>245</v>
      </c>
      <c r="F62" t="s">
        <v>231</v>
      </c>
      <c r="G62">
        <v>206463.0681189782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</row>
    <row r="63" spans="1:24">
      <c r="A63" t="s">
        <v>112</v>
      </c>
      <c r="B63" t="s">
        <v>246</v>
      </c>
      <c r="C63" t="s">
        <v>247</v>
      </c>
      <c r="E63" t="s">
        <v>248</v>
      </c>
      <c r="F63" t="s">
        <v>249</v>
      </c>
      <c r="G63">
        <v>1957.9449839347731</v>
      </c>
      <c r="H63">
        <v>1967.7347088544459</v>
      </c>
      <c r="I63">
        <v>2016.9280765758069</v>
      </c>
      <c r="J63">
        <v>2067.3512784902018</v>
      </c>
      <c r="K63">
        <v>2119.0350604524569</v>
      </c>
      <c r="L63">
        <v>2172.010936963768</v>
      </c>
      <c r="M63">
        <v>2226.311210387862</v>
      </c>
      <c r="N63">
        <v>2281.9689906475578</v>
      </c>
      <c r="O63">
        <v>2339.0182154137469</v>
      </c>
      <c r="P63">
        <v>2397.493670799091</v>
      </c>
      <c r="Q63">
        <v>2457.4310125690681</v>
      </c>
      <c r="R63">
        <v>2518.8667878832939</v>
      </c>
      <c r="S63">
        <v>2581.8384575803761</v>
      </c>
      <c r="T63">
        <v>2646.3844190198852</v>
      </c>
      <c r="U63">
        <v>2712.5440294953819</v>
      </c>
      <c r="V63">
        <v>2780.357630232766</v>
      </c>
      <c r="W63">
        <v>2849.866570988585</v>
      </c>
      <c r="X63">
        <v>2921.113235263299</v>
      </c>
    </row>
    <row r="64" spans="1:24">
      <c r="A64" t="s">
        <v>112</v>
      </c>
      <c r="B64" t="s">
        <v>246</v>
      </c>
      <c r="C64" t="s">
        <v>250</v>
      </c>
      <c r="E64" t="s">
        <v>251</v>
      </c>
      <c r="F64" t="s">
        <v>249</v>
      </c>
      <c r="G64">
        <v>118.5672</v>
      </c>
      <c r="H64">
        <v>118.5672</v>
      </c>
      <c r="I64">
        <v>118.5672</v>
      </c>
      <c r="J64">
        <v>118.5672</v>
      </c>
      <c r="K64">
        <v>118.5672</v>
      </c>
      <c r="L64">
        <v>118.5672</v>
      </c>
      <c r="M64">
        <v>118.5672</v>
      </c>
      <c r="N64">
        <v>118.5672</v>
      </c>
      <c r="O64">
        <v>118.5672</v>
      </c>
      <c r="P64">
        <v>118.5672</v>
      </c>
      <c r="Q64">
        <v>118.5672</v>
      </c>
      <c r="R64">
        <v>118.5672</v>
      </c>
      <c r="S64">
        <v>118.5672</v>
      </c>
      <c r="T64">
        <v>118.5672</v>
      </c>
      <c r="U64">
        <v>118.5672</v>
      </c>
      <c r="V64">
        <v>118.5672</v>
      </c>
      <c r="W64">
        <v>118.5672</v>
      </c>
      <c r="X64">
        <v>118.5672</v>
      </c>
    </row>
    <row r="65" spans="1:24">
      <c r="A65" t="s">
        <v>127</v>
      </c>
      <c r="B65" t="s">
        <v>252</v>
      </c>
      <c r="E65" t="s">
        <v>253</v>
      </c>
      <c r="F65" t="s">
        <v>183</v>
      </c>
      <c r="G65">
        <v>-43034.141007505437</v>
      </c>
      <c r="H65">
        <v>-43034.141007505437</v>
      </c>
      <c r="I65">
        <v>-43034.141007505437</v>
      </c>
      <c r="J65">
        <v>-43034.141007505437</v>
      </c>
      <c r="K65">
        <v>-43034.141007505437</v>
      </c>
      <c r="L65">
        <v>-43034.141007505437</v>
      </c>
      <c r="M65">
        <v>-43034.141007505437</v>
      </c>
      <c r="N65">
        <v>-43034.141007505437</v>
      </c>
      <c r="O65">
        <v>-43034.141007505437</v>
      </c>
      <c r="P65">
        <v>-43034.141007505437</v>
      </c>
      <c r="Q65">
        <v>-43034.141007505437</v>
      </c>
      <c r="R65">
        <v>-43034.141007505437</v>
      </c>
      <c r="S65">
        <v>-43034.141007505437</v>
      </c>
      <c r="T65">
        <v>-43034.141007505437</v>
      </c>
      <c r="U65">
        <v>-43034.141007505437</v>
      </c>
      <c r="V65">
        <v>-43034.141007505437</v>
      </c>
      <c r="W65">
        <v>-43034.141007505437</v>
      </c>
      <c r="X65">
        <v>-43034.141007505437</v>
      </c>
    </row>
    <row r="66" spans="1:24">
      <c r="A66" t="s">
        <v>112</v>
      </c>
      <c r="B66" t="s">
        <v>246</v>
      </c>
      <c r="C66" t="s">
        <v>254</v>
      </c>
      <c r="E66" t="s">
        <v>255</v>
      </c>
      <c r="F66" t="s">
        <v>249</v>
      </c>
      <c r="G66">
        <v>1718.825872023252</v>
      </c>
      <c r="H66">
        <v>1727.4200013833679</v>
      </c>
      <c r="I66">
        <v>1770.6055014179519</v>
      </c>
      <c r="J66">
        <v>1814.8706389534011</v>
      </c>
      <c r="K66">
        <v>1860.2424049272361</v>
      </c>
      <c r="L66">
        <v>1906.7484650504171</v>
      </c>
      <c r="M66">
        <v>1954.4171766766769</v>
      </c>
      <c r="N66">
        <v>2003.2776060935939</v>
      </c>
      <c r="O66">
        <v>2053.359546245933</v>
      </c>
      <c r="P66">
        <v>2104.693534902081</v>
      </c>
      <c r="Q66">
        <v>2157.3108732746332</v>
      </c>
      <c r="R66">
        <v>2211.2436451064991</v>
      </c>
      <c r="S66">
        <v>2266.5247362341611</v>
      </c>
      <c r="T66">
        <v>2323.1878546400148</v>
      </c>
      <c r="U66">
        <v>2381.2675510060149</v>
      </c>
      <c r="V66">
        <v>2440.7992397811649</v>
      </c>
      <c r="W66">
        <v>2501.8192207756938</v>
      </c>
      <c r="X66">
        <v>2564.364701295086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/>
  </sheetPr>
  <dimension ref="A1"/>
  <sheetViews>
    <sheetView workbookViewId="0">
      <selection activeCell="K9" sqref="K9"/>
    </sheetView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J17"/>
  <sheetViews>
    <sheetView tabSelected="1" zoomScale="85" zoomScaleNormal="85" workbookViewId="0">
      <selection activeCell="C22" sqref="C22"/>
    </sheetView>
  </sheetViews>
  <sheetFormatPr defaultRowHeight="15"/>
  <cols>
    <col min="2" max="2" width="22.42578125" bestFit="1" customWidth="1"/>
    <col min="3" max="3" width="10.5703125" bestFit="1" customWidth="1"/>
    <col min="4" max="4" width="24.140625" bestFit="1" customWidth="1"/>
    <col min="5" max="5" width="75.7109375" bestFit="1" customWidth="1"/>
    <col min="6" max="6" width="10.42578125" bestFit="1" customWidth="1"/>
    <col min="7" max="7" width="11.85546875" bestFit="1" customWidth="1"/>
    <col min="8" max="8" width="22.5703125" bestFit="1" customWidth="1"/>
    <col min="9" max="9" width="17.28515625" bestFit="1" customWidth="1"/>
    <col min="10" max="10" width="15" bestFit="1" customWidth="1"/>
  </cols>
  <sheetData>
    <row r="2" spans="2:10">
      <c r="B2" s="11" t="s">
        <v>256</v>
      </c>
    </row>
    <row r="3" spans="2:10">
      <c r="B3" s="10" t="s">
        <v>257</v>
      </c>
      <c r="C3" s="10" t="s">
        <v>258</v>
      </c>
      <c r="D3" s="10" t="s">
        <v>259</v>
      </c>
      <c r="E3" s="10" t="s">
        <v>260</v>
      </c>
      <c r="F3" s="10" t="s">
        <v>261</v>
      </c>
      <c r="G3" s="10" t="s">
        <v>262</v>
      </c>
      <c r="H3" s="10" t="s">
        <v>263</v>
      </c>
      <c r="I3" s="10" t="s">
        <v>264</v>
      </c>
      <c r="J3" s="10" t="s">
        <v>265</v>
      </c>
    </row>
    <row r="4" spans="2:10" ht="27.6" customHeight="1" thickBot="1">
      <c r="B4" s="9" t="s">
        <v>266</v>
      </c>
      <c r="C4" s="9" t="s">
        <v>258</v>
      </c>
      <c r="D4" s="9" t="s">
        <v>267</v>
      </c>
      <c r="E4" s="9" t="s">
        <v>268</v>
      </c>
      <c r="F4" s="9" t="s">
        <v>269</v>
      </c>
      <c r="G4" s="9" t="s">
        <v>270</v>
      </c>
      <c r="H4" s="9" t="s">
        <v>271</v>
      </c>
      <c r="I4" s="9" t="s">
        <v>272</v>
      </c>
      <c r="J4" s="9" t="s">
        <v>273</v>
      </c>
    </row>
    <row r="5" spans="2:10">
      <c r="B5" t="str">
        <f>IF(_xlfn.XLOOKUP(D5,'IND RESID'!J:J,'IND RESID'!N:N)=0,"*","PRE")</f>
        <v>*</v>
      </c>
      <c r="C5" t="s">
        <v>274</v>
      </c>
      <c r="D5" t="str">
        <f>'IND RESID'!J2</f>
        <v>INDAINAEUCOA19</v>
      </c>
      <c r="E5" t="str">
        <f>'IND RESID'!A2&amp;" "&amp;'IND RESID'!B2&amp;" "&amp;'IND RESID'!E2&amp;" "&amp;'IND RESID'!G2&amp;" "&amp;'City characteristics'!$C$20</f>
        <v>Industrial All Industries All end use Coal 2019</v>
      </c>
      <c r="F5" t="s">
        <v>183</v>
      </c>
      <c r="G5" t="s">
        <v>275</v>
      </c>
    </row>
    <row r="6" spans="2:10">
      <c r="B6" t="str">
        <f>IF(_xlfn.XLOOKUP(D6,'IND RESID'!J:J,'IND RESID'!N:N)=0,"*","PRE")</f>
        <v>*</v>
      </c>
      <c r="C6" t="s">
        <v>274</v>
      </c>
      <c r="D6" t="str">
        <f>'IND RESID'!J3</f>
        <v>INDAINAEUPCK19</v>
      </c>
      <c r="E6" t="str">
        <f>'IND RESID'!A3&amp;" "&amp;'IND RESID'!B3&amp;" "&amp;'IND RESID'!E3&amp;" "&amp;'IND RESID'!G3&amp;" "&amp;'City characteristics'!$C$20</f>
        <v>Industrial All Industries All end use Petcoke 2019</v>
      </c>
      <c r="F6" t="s">
        <v>183</v>
      </c>
      <c r="G6" t="s">
        <v>275</v>
      </c>
    </row>
    <row r="7" spans="2:10">
      <c r="B7" t="str">
        <f>IF(_xlfn.XLOOKUP(D7,'IND RESID'!J:J,'IND RESID'!N:N)=0,"*","PRE")</f>
        <v>*</v>
      </c>
      <c r="C7" t="s">
        <v>274</v>
      </c>
      <c r="D7" t="str">
        <f>'IND RESID'!J4</f>
        <v>INDAINAEULPG19</v>
      </c>
      <c r="E7" t="str">
        <f>'IND RESID'!A4&amp;" "&amp;'IND RESID'!B4&amp;" "&amp;'IND RESID'!E4&amp;" "&amp;'IND RESID'!G4&amp;" "&amp;'City characteristics'!$C$20</f>
        <v>Industrial All Industries All end use LPG 2019</v>
      </c>
      <c r="F7" t="s">
        <v>183</v>
      </c>
      <c r="G7" t="s">
        <v>275</v>
      </c>
    </row>
    <row r="8" spans="2:10">
      <c r="B8" t="str">
        <f>IF(_xlfn.XLOOKUP(D8,'IND RESID'!J:J,'IND RESID'!N:N)=0,"*","PRE")</f>
        <v>PRE</v>
      </c>
      <c r="C8" t="s">
        <v>274</v>
      </c>
      <c r="D8" t="str">
        <f>'IND RESID'!J5</f>
        <v>INDAINAEUFOI19</v>
      </c>
      <c r="E8" t="str">
        <f>'IND RESID'!A5&amp;" "&amp;'IND RESID'!B5&amp;" "&amp;'IND RESID'!E5&amp;" "&amp;'IND RESID'!G5&amp;" "&amp;'City characteristics'!$C$20</f>
        <v>Industrial All Industries All end use Fuel oil 2019</v>
      </c>
      <c r="F8" t="s">
        <v>183</v>
      </c>
      <c r="G8" t="s">
        <v>275</v>
      </c>
    </row>
    <row r="9" spans="2:10">
      <c r="B9" t="str">
        <f>IF(_xlfn.XLOOKUP(D9,'IND RESID'!J:J,'IND RESID'!N:N)=0,"*","PRE")</f>
        <v>PRE</v>
      </c>
      <c r="C9" t="s">
        <v>274</v>
      </c>
      <c r="D9" t="str">
        <f>'IND RESID'!J6</f>
        <v>INDAINAEUNGA19</v>
      </c>
      <c r="E9" t="str">
        <f>'IND RESID'!A6&amp;" "&amp;'IND RESID'!B6&amp;" "&amp;'IND RESID'!E6&amp;" "&amp;'IND RESID'!G6&amp;" "&amp;'City characteristics'!$C$20</f>
        <v>Industrial All Industries All end use Natural gas 2019</v>
      </c>
      <c r="F9" t="s">
        <v>183</v>
      </c>
      <c r="G9" t="s">
        <v>275</v>
      </c>
    </row>
    <row r="10" spans="2:10">
      <c r="B10" t="str">
        <f>IF(_xlfn.XLOOKUP(D10,'IND RESID'!J:J,'IND RESID'!N:N)=0,"*","PRE")</f>
        <v>PRE</v>
      </c>
      <c r="C10" t="s">
        <v>274</v>
      </c>
      <c r="D10" t="str">
        <f>'IND RESID'!J7</f>
        <v>INDAINAEURNG19</v>
      </c>
      <c r="E10" t="str">
        <f>'IND RESID'!A7&amp;" "&amp;'IND RESID'!B7&amp;" "&amp;'IND RESID'!E7&amp;" "&amp;'IND RESID'!G7&amp;" "&amp;'City characteristics'!$C$20</f>
        <v>Industrial All Industries All end use RNG 2019</v>
      </c>
      <c r="F10" t="s">
        <v>183</v>
      </c>
      <c r="G10" t="s">
        <v>275</v>
      </c>
    </row>
    <row r="11" spans="2:10">
      <c r="B11" t="str">
        <f>IF(_xlfn.XLOOKUP(D11,'IND RESID'!J:J,'IND RESID'!N:N)=0,"*","PRE")</f>
        <v>*</v>
      </c>
      <c r="C11" t="s">
        <v>274</v>
      </c>
      <c r="D11" t="str">
        <f>'IND RESID'!J8</f>
        <v>INDAINAEUKER19</v>
      </c>
      <c r="E11" t="str">
        <f>'IND RESID'!A8&amp;" "&amp;'IND RESID'!B8&amp;" "&amp;'IND RESID'!E8&amp;" "&amp;'IND RESID'!G8&amp;" "&amp;'City characteristics'!$C$20</f>
        <v>Industrial All Industries All end use Kerosene 2019</v>
      </c>
      <c r="F11" t="s">
        <v>183</v>
      </c>
      <c r="G11" t="s">
        <v>275</v>
      </c>
    </row>
    <row r="12" spans="2:10">
      <c r="B12" t="str">
        <f>IF(_xlfn.XLOOKUP(D12,'IND RESID'!J:J,'IND RESID'!N:N)=0,"*","PRE")</f>
        <v>*</v>
      </c>
      <c r="C12" t="s">
        <v>274</v>
      </c>
      <c r="D12" t="str">
        <f>'IND RESID'!J9</f>
        <v>INDAINAEUWAS19</v>
      </c>
      <c r="E12" t="str">
        <f>'IND RESID'!A9&amp;" "&amp;'IND RESID'!B9&amp;" "&amp;'IND RESID'!E9&amp;" "&amp;'IND RESID'!G9&amp;" "&amp;'City characteristics'!$C$20</f>
        <v>Industrial All Industries All end use Waste 2019</v>
      </c>
      <c r="F12" t="s">
        <v>183</v>
      </c>
      <c r="G12" t="s">
        <v>275</v>
      </c>
    </row>
    <row r="13" spans="2:10">
      <c r="B13" t="str">
        <f>IF(_xlfn.XLOOKUP(D13,'IND RESID'!J:J,'IND RESID'!N:N)=0,"*","PRE")</f>
        <v>*</v>
      </c>
      <c r="C13" t="s">
        <v>274</v>
      </c>
      <c r="D13" t="str">
        <f>'IND RESID'!J10</f>
        <v>INDAINAEUBIO19</v>
      </c>
      <c r="E13" t="str">
        <f>'IND RESID'!A10&amp;" "&amp;'IND RESID'!B10&amp;" "&amp;'IND RESID'!E10&amp;" "&amp;'IND RESID'!G10&amp;" "&amp;'City characteristics'!$C$20</f>
        <v>Industrial All Industries All end use Wood biomass 2019</v>
      </c>
      <c r="F13" t="s">
        <v>183</v>
      </c>
      <c r="G13" t="s">
        <v>275</v>
      </c>
    </row>
    <row r="14" spans="2:10">
      <c r="B14" t="str">
        <f>IF(_xlfn.XLOOKUP(D14,'IND RESID'!J:J,'IND RESID'!N:N)=0,"*","PRE")</f>
        <v>*</v>
      </c>
      <c r="C14" t="s">
        <v>274</v>
      </c>
      <c r="D14" t="str">
        <f>'IND RESID'!J11</f>
        <v>INDAINAEUGSL19</v>
      </c>
      <c r="E14" t="str">
        <f>'IND RESID'!A11&amp;" "&amp;'IND RESID'!B11&amp;" "&amp;'IND RESID'!E11&amp;" "&amp;'IND RESID'!G11&amp;" "&amp;'City characteristics'!$C$20</f>
        <v>Industrial All Industries All end use Gasoline 2019</v>
      </c>
      <c r="F14" t="s">
        <v>183</v>
      </c>
      <c r="G14" t="s">
        <v>275</v>
      </c>
    </row>
    <row r="15" spans="2:10">
      <c r="B15" t="str">
        <f>IF(_xlfn.XLOOKUP(D15,'IND RESID'!J:J,'IND RESID'!N:N)=0,"*","PRE")</f>
        <v>*</v>
      </c>
      <c r="C15" t="s">
        <v>274</v>
      </c>
      <c r="D15" t="str">
        <f>'IND RESID'!J12</f>
        <v>INDAINAEUDSL19</v>
      </c>
      <c r="E15" t="str">
        <f>'IND RESID'!A12&amp;" "&amp;'IND RESID'!B12&amp;" "&amp;'IND RESID'!E12&amp;" "&amp;'IND RESID'!G12&amp;" "&amp;'City characteristics'!$C$20</f>
        <v>Industrial All Industries All end use Diesel 2019</v>
      </c>
      <c r="F15" t="s">
        <v>183</v>
      </c>
      <c r="G15" t="s">
        <v>275</v>
      </c>
    </row>
    <row r="16" spans="2:10">
      <c r="B16" t="str">
        <f>IF(_xlfn.XLOOKUP(D16,'IND RESID'!J:J,'IND RESID'!N:N)=0,"*","PRE")</f>
        <v>PRE</v>
      </c>
      <c r="C16" t="s">
        <v>274</v>
      </c>
      <c r="D16" t="str">
        <f>'IND RESID'!J13</f>
        <v>INDAINAEUSTM19</v>
      </c>
      <c r="E16" t="str">
        <f>'IND RESID'!A13&amp;" "&amp;'IND RESID'!B13&amp;" "&amp;'IND RESID'!E13&amp;" "&amp;'IND RESID'!G13&amp;" "&amp;'City characteristics'!$C$20</f>
        <v>Industrial All Industries All end use Steam 2019</v>
      </c>
      <c r="F16" t="s">
        <v>183</v>
      </c>
      <c r="G16" t="s">
        <v>275</v>
      </c>
    </row>
    <row r="17" spans="2:7">
      <c r="B17" t="str">
        <f>IF(_xlfn.XLOOKUP(D17,'IND RESID'!J:J,'IND RESID'!N:N)=0,"*","PRE")</f>
        <v>PRE</v>
      </c>
      <c r="C17" t="s">
        <v>274</v>
      </c>
      <c r="D17" t="str">
        <f>'IND RESID'!J14</f>
        <v>INDAINAEUELC19</v>
      </c>
      <c r="E17" t="str">
        <f>'IND RESID'!A14&amp;" "&amp;'IND RESID'!B14&amp;" "&amp;'IND RESID'!E14&amp;" "&amp;'IND RESID'!G14&amp;" "&amp;'City characteristics'!$C$20</f>
        <v>Industrial All Industries All end use Electricity 2019</v>
      </c>
      <c r="F17" t="s">
        <v>183</v>
      </c>
      <c r="G17" t="s">
        <v>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I5"/>
  <sheetViews>
    <sheetView workbookViewId="0">
      <selection activeCell="D6" sqref="D6"/>
    </sheetView>
  </sheetViews>
  <sheetFormatPr defaultRowHeight="15"/>
  <cols>
    <col min="2" max="2" width="12.5703125" customWidth="1"/>
    <col min="3" max="3" width="21.28515625" bestFit="1" customWidth="1"/>
    <col min="4" max="4" width="70.28515625" bestFit="1" customWidth="1"/>
    <col min="5" max="5" width="4.5703125" bestFit="1" customWidth="1"/>
    <col min="6" max="6" width="15.7109375" customWidth="1"/>
    <col min="7" max="7" width="8.5703125" bestFit="1" customWidth="1"/>
    <col min="8" max="8" width="10.140625" customWidth="1"/>
    <col min="9" max="9" width="8.140625" bestFit="1" customWidth="1"/>
  </cols>
  <sheetData>
    <row r="2" spans="2:9">
      <c r="B2" s="11" t="s">
        <v>276</v>
      </c>
    </row>
    <row r="3" spans="2:9">
      <c r="B3" s="10" t="s">
        <v>277</v>
      </c>
      <c r="C3" s="10" t="s">
        <v>278</v>
      </c>
      <c r="D3" s="10" t="s">
        <v>279</v>
      </c>
      <c r="E3" s="10" t="s">
        <v>131</v>
      </c>
      <c r="F3" s="10" t="s">
        <v>280</v>
      </c>
      <c r="G3" s="10" t="s">
        <v>281</v>
      </c>
      <c r="H3" s="10" t="s">
        <v>282</v>
      </c>
      <c r="I3" s="10" t="s">
        <v>283</v>
      </c>
    </row>
    <row r="4" spans="2:9" ht="40.9" customHeight="1" thickBot="1">
      <c r="B4" s="9" t="s">
        <v>284</v>
      </c>
      <c r="C4" s="9" t="s">
        <v>285</v>
      </c>
      <c r="D4" s="9" t="s">
        <v>286</v>
      </c>
      <c r="E4" s="9" t="s">
        <v>131</v>
      </c>
      <c r="F4" s="9" t="s">
        <v>287</v>
      </c>
      <c r="G4" s="9" t="s">
        <v>288</v>
      </c>
      <c r="H4" s="9" t="s">
        <v>289</v>
      </c>
      <c r="I4" s="9" t="s">
        <v>290</v>
      </c>
    </row>
    <row r="5" spans="2:9">
      <c r="B5" t="s">
        <v>291</v>
      </c>
      <c r="C5" t="str">
        <f>Demand!E34</f>
        <v>INDAINDMD</v>
      </c>
      <c r="D5" t="str">
        <f>Demand!A34&amp;" "&amp;Demand!B34&amp;" "&amp;Demand!C34&amp;" "&amp;Demand!D34&amp;" "&amp;"demand"</f>
        <v>Industrial All Industries   demand</v>
      </c>
      <c r="E5" t="s">
        <v>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369"/>
  <sheetViews>
    <sheetView zoomScale="85" zoomScaleNormal="85" workbookViewId="0">
      <selection activeCell="L8" sqref="L8"/>
    </sheetView>
  </sheetViews>
  <sheetFormatPr defaultRowHeight="15"/>
  <cols>
    <col min="3" max="3" width="25.140625" bestFit="1" customWidth="1"/>
    <col min="4" max="4" width="9.28515625" bestFit="1" customWidth="1"/>
    <col min="5" max="5" width="18.7109375" bestFit="1" customWidth="1"/>
    <col min="6" max="6" width="5.85546875" bestFit="1" customWidth="1"/>
    <col min="7" max="7" width="13.42578125" bestFit="1" customWidth="1"/>
    <col min="8" max="8" width="10.7109375" bestFit="1" customWidth="1"/>
    <col min="9" max="9" width="10.7109375" customWidth="1"/>
    <col min="10" max="10" width="12.140625" bestFit="1" customWidth="1"/>
    <col min="11" max="11" width="10.7109375" customWidth="1"/>
    <col min="12" max="12" width="16.7109375" bestFit="1" customWidth="1"/>
  </cols>
  <sheetData>
    <row r="1" spans="2:12">
      <c r="L1">
        <f>'City characteristics'!C20</f>
        <v>2019</v>
      </c>
    </row>
    <row r="2" spans="2:12">
      <c r="L2" t="s">
        <v>292</v>
      </c>
    </row>
    <row r="4" spans="2:12">
      <c r="E4" s="11" t="s">
        <v>293</v>
      </c>
    </row>
    <row r="5" spans="2:12">
      <c r="B5" s="10" t="s">
        <v>258</v>
      </c>
      <c r="C5" s="10" t="s">
        <v>259</v>
      </c>
      <c r="D5" s="10" t="s">
        <v>294</v>
      </c>
      <c r="E5" s="10" t="s">
        <v>295</v>
      </c>
      <c r="F5" s="10" t="s">
        <v>296</v>
      </c>
      <c r="G5" s="10" t="s">
        <v>297</v>
      </c>
      <c r="H5" s="10" t="s">
        <v>298</v>
      </c>
      <c r="I5" s="10" t="s">
        <v>299</v>
      </c>
      <c r="J5" s="10" t="s">
        <v>300</v>
      </c>
      <c r="K5" s="10" t="s">
        <v>301</v>
      </c>
      <c r="L5" s="10" t="str">
        <f>L2&amp;"~"&amp;L1</f>
        <v>PRC_RESID~2019</v>
      </c>
    </row>
    <row r="6" spans="2:12" ht="15" customHeight="1" thickBot="1">
      <c r="B6" s="9" t="s">
        <v>302</v>
      </c>
      <c r="C6" s="9" t="s">
        <v>302</v>
      </c>
      <c r="D6" s="9"/>
      <c r="E6" s="9"/>
      <c r="F6" s="9" t="s">
        <v>303</v>
      </c>
      <c r="G6" s="9" t="s">
        <v>304</v>
      </c>
      <c r="H6" s="9" t="s">
        <v>305</v>
      </c>
      <c r="I6" s="9" t="s">
        <v>305</v>
      </c>
      <c r="J6" s="9" t="s">
        <v>306</v>
      </c>
      <c r="K6" s="9" t="s">
        <v>307</v>
      </c>
      <c r="L6" s="9" t="s">
        <v>275</v>
      </c>
    </row>
    <row r="7" spans="2:12">
      <c r="B7" t="str">
        <f>IF(L7=0,"*",Def_Tech!C5)</f>
        <v>*</v>
      </c>
      <c r="C7" t="str">
        <f>Def_Tech!D5</f>
        <v>INDAINAEUCOA19</v>
      </c>
      <c r="D7" t="str">
        <f>_xlfn.XLOOKUP(C7,'IND RESID'!J:J,'IND RESID'!H:H)</f>
        <v>INDCOA</v>
      </c>
      <c r="E7" t="str">
        <f>_xlfn.XLOOKUP(C7,'IND RESID'!J:J,'IND RESID'!I:I)</f>
        <v>INDAINDMD</v>
      </c>
      <c r="F7" s="12">
        <v>1</v>
      </c>
      <c r="G7">
        <f>_xlfn.XLOOKUP(C7,'IND RESID'!J:J,'IND RESID'!P:P)</f>
        <v>31.536000000000001</v>
      </c>
      <c r="H7" s="12">
        <f>_xlfn.XLOOKUP(C7,'IND RESID'!J:J,'IND RESID'!O:O)</f>
        <v>0.9</v>
      </c>
      <c r="I7" s="12">
        <f t="shared" ref="I7:I19" si="0">H7*0.9</f>
        <v>0.81</v>
      </c>
      <c r="J7" s="12">
        <v>25</v>
      </c>
      <c r="K7" s="12"/>
      <c r="L7" s="14">
        <f>_xlfn.XLOOKUP(C7,'IND RESID'!J:J,'IND RESID'!N:N)</f>
        <v>0</v>
      </c>
    </row>
    <row r="8" spans="2:12">
      <c r="B8" t="str">
        <f>IF(L8=0,"*",Def_Tech!C6)</f>
        <v>*</v>
      </c>
      <c r="C8" t="str">
        <f>Def_Tech!D6</f>
        <v>INDAINAEUPCK19</v>
      </c>
      <c r="D8" t="str">
        <f>_xlfn.XLOOKUP(C8,'IND RESID'!J:J,'IND RESID'!H:H)</f>
        <v>INDPCK</v>
      </c>
      <c r="E8" t="str">
        <f>_xlfn.XLOOKUP(C8,'IND RESID'!J:J,'IND RESID'!I:I)</f>
        <v>INDAINDMD</v>
      </c>
      <c r="F8" s="12">
        <v>1</v>
      </c>
      <c r="G8">
        <f>_xlfn.XLOOKUP(C8,'IND RESID'!J:J,'IND RESID'!P:P)</f>
        <v>31.536000000000001</v>
      </c>
      <c r="H8" s="12">
        <f>_xlfn.XLOOKUP(C8,'IND RESID'!J:J,'IND RESID'!O:O)</f>
        <v>0.9</v>
      </c>
      <c r="I8" s="12">
        <f t="shared" si="0"/>
        <v>0.81</v>
      </c>
      <c r="J8" s="12">
        <v>25</v>
      </c>
      <c r="K8" s="12"/>
      <c r="L8" s="14">
        <f>_xlfn.XLOOKUP(C8,'IND RESID'!J:J,'IND RESID'!N:N)</f>
        <v>0</v>
      </c>
    </row>
    <row r="9" spans="2:12">
      <c r="B9" t="str">
        <f>IF(L9=0,"*",Def_Tech!C7)</f>
        <v>*</v>
      </c>
      <c r="C9" t="str">
        <f>Def_Tech!D7</f>
        <v>INDAINAEULPG19</v>
      </c>
      <c r="D9" t="str">
        <f>_xlfn.XLOOKUP(C9,'IND RESID'!J:J,'IND RESID'!H:H)</f>
        <v>INDLPG</v>
      </c>
      <c r="E9" t="str">
        <f>_xlfn.XLOOKUP(C9,'IND RESID'!J:J,'IND RESID'!I:I)</f>
        <v>INDAINDMD</v>
      </c>
      <c r="F9" s="12">
        <v>1</v>
      </c>
      <c r="G9">
        <f>_xlfn.XLOOKUP(C9,'IND RESID'!J:J,'IND RESID'!P:P)</f>
        <v>31.536000000000001</v>
      </c>
      <c r="H9" s="12">
        <f>_xlfn.XLOOKUP(C9,'IND RESID'!J:J,'IND RESID'!O:O)</f>
        <v>0.9</v>
      </c>
      <c r="I9" s="12">
        <f t="shared" si="0"/>
        <v>0.81</v>
      </c>
      <c r="J9" s="12">
        <v>25</v>
      </c>
      <c r="K9" s="12"/>
      <c r="L9" s="14">
        <f>_xlfn.XLOOKUP(C9,'IND RESID'!J:J,'IND RESID'!N:N)</f>
        <v>0</v>
      </c>
    </row>
    <row r="10" spans="2:12">
      <c r="B10" t="str">
        <f>IF(L10=0,"*",Def_Tech!C8)</f>
        <v>CITY</v>
      </c>
      <c r="C10" t="str">
        <f>Def_Tech!D8</f>
        <v>INDAINAEUFOI19</v>
      </c>
      <c r="D10" t="str">
        <f>_xlfn.XLOOKUP(C10,'IND RESID'!J:J,'IND RESID'!H:H)</f>
        <v>INDFOI</v>
      </c>
      <c r="E10" t="str">
        <f>_xlfn.XLOOKUP(C10,'IND RESID'!J:J,'IND RESID'!I:I)</f>
        <v>INDAINDMD</v>
      </c>
      <c r="F10" s="12">
        <v>1</v>
      </c>
      <c r="G10">
        <f>_xlfn.XLOOKUP(C10,'IND RESID'!J:J,'IND RESID'!P:P)</f>
        <v>31.536000000000001</v>
      </c>
      <c r="H10" s="12">
        <f>_xlfn.XLOOKUP(C10,'IND RESID'!J:J,'IND RESID'!O:O)</f>
        <v>0.9</v>
      </c>
      <c r="I10" s="12">
        <f t="shared" si="0"/>
        <v>0.81</v>
      </c>
      <c r="J10" s="12">
        <v>25</v>
      </c>
      <c r="K10" s="12"/>
      <c r="L10" s="14">
        <f>_xlfn.XLOOKUP(C10,'IND RESID'!J:J,'IND RESID'!N:N)</f>
        <v>103.9084274712705</v>
      </c>
    </row>
    <row r="11" spans="2:12">
      <c r="B11" t="str">
        <f>IF(L11=0,"*",Def_Tech!C9)</f>
        <v>CITY</v>
      </c>
      <c r="C11" t="str">
        <f>Def_Tech!D9</f>
        <v>INDAINAEUNGA19</v>
      </c>
      <c r="D11" t="str">
        <f>_xlfn.XLOOKUP(C11,'IND RESID'!J:J,'IND RESID'!H:H)</f>
        <v>INDNGA</v>
      </c>
      <c r="E11" t="str">
        <f>_xlfn.XLOOKUP(C11,'IND RESID'!J:J,'IND RESID'!I:I)</f>
        <v>INDAINDMD</v>
      </c>
      <c r="F11" s="12">
        <v>1</v>
      </c>
      <c r="G11">
        <f>_xlfn.XLOOKUP(C11,'IND RESID'!J:J,'IND RESID'!P:P)</f>
        <v>31.536000000000001</v>
      </c>
      <c r="H11" s="12">
        <f>_xlfn.XLOOKUP(C11,'IND RESID'!J:J,'IND RESID'!O:O)</f>
        <v>0.9</v>
      </c>
      <c r="I11" s="12">
        <f t="shared" si="0"/>
        <v>0.81</v>
      </c>
      <c r="J11" s="12">
        <v>25</v>
      </c>
      <c r="K11" s="12"/>
      <c r="L11" s="14">
        <f>_xlfn.XLOOKUP(C11,'IND RESID'!J:J,'IND RESID'!N:N)</f>
        <v>1081.989037024457</v>
      </c>
    </row>
    <row r="12" spans="2:12">
      <c r="B12" t="str">
        <f>IF(L12=0,"*",Def_Tech!C10)</f>
        <v>CITY</v>
      </c>
      <c r="C12" t="str">
        <f>Def_Tech!D10</f>
        <v>INDAINAEURNG19</v>
      </c>
      <c r="D12" t="str">
        <f>_xlfn.XLOOKUP(C12,'IND RESID'!J:J,'IND RESID'!H:H)</f>
        <v>INDRNG</v>
      </c>
      <c r="E12" t="str">
        <f>_xlfn.XLOOKUP(C12,'IND RESID'!J:J,'IND RESID'!I:I)</f>
        <v>INDAINDMD</v>
      </c>
      <c r="F12" s="12">
        <v>1</v>
      </c>
      <c r="G12">
        <f>_xlfn.XLOOKUP(C12,'IND RESID'!J:J,'IND RESID'!P:P)</f>
        <v>31.536000000000001</v>
      </c>
      <c r="H12" s="12">
        <f>_xlfn.XLOOKUP(C12,'IND RESID'!J:J,'IND RESID'!O:O)</f>
        <v>0.9</v>
      </c>
      <c r="I12" s="12">
        <f t="shared" si="0"/>
        <v>0.81</v>
      </c>
      <c r="J12" s="12">
        <v>25</v>
      </c>
      <c r="K12" s="12"/>
      <c r="L12" s="14">
        <f>_xlfn.XLOOKUP(C12,'IND RESID'!J:J,'IND RESID'!N:N)</f>
        <v>2.849769507013971</v>
      </c>
    </row>
    <row r="13" spans="2:12">
      <c r="B13" t="str">
        <f>IF(L13=0,"*",Def_Tech!C11)</f>
        <v>*</v>
      </c>
      <c r="C13" t="str">
        <f>Def_Tech!D11</f>
        <v>INDAINAEUKER19</v>
      </c>
      <c r="D13" t="str">
        <f>_xlfn.XLOOKUP(C13,'IND RESID'!J:J,'IND RESID'!H:H)</f>
        <v>INDKER</v>
      </c>
      <c r="E13" t="str">
        <f>_xlfn.XLOOKUP(C13,'IND RESID'!J:J,'IND RESID'!I:I)</f>
        <v>INDAINDMD</v>
      </c>
      <c r="F13" s="12">
        <v>1</v>
      </c>
      <c r="G13">
        <f>_xlfn.XLOOKUP(C13,'IND RESID'!J:J,'IND RESID'!P:P)</f>
        <v>31.536000000000001</v>
      </c>
      <c r="H13" s="12">
        <f>_xlfn.XLOOKUP(C13,'IND RESID'!J:J,'IND RESID'!O:O)</f>
        <v>0.9</v>
      </c>
      <c r="I13" s="12">
        <f t="shared" si="0"/>
        <v>0.81</v>
      </c>
      <c r="J13" s="12">
        <v>25</v>
      </c>
      <c r="K13" s="12"/>
      <c r="L13" s="14">
        <f>_xlfn.XLOOKUP(C13,'IND RESID'!J:J,'IND RESID'!N:N)</f>
        <v>0</v>
      </c>
    </row>
    <row r="14" spans="2:12">
      <c r="B14" t="str">
        <f>IF(L14=0,"*",Def_Tech!C12)</f>
        <v>*</v>
      </c>
      <c r="C14" t="str">
        <f>Def_Tech!D12</f>
        <v>INDAINAEUWAS19</v>
      </c>
      <c r="D14" t="str">
        <f>_xlfn.XLOOKUP(C14,'IND RESID'!J:J,'IND RESID'!H:H)</f>
        <v>INDWAS</v>
      </c>
      <c r="E14" t="str">
        <f>_xlfn.XLOOKUP(C14,'IND RESID'!J:J,'IND RESID'!I:I)</f>
        <v>INDAINDMD</v>
      </c>
      <c r="F14" s="12">
        <v>1</v>
      </c>
      <c r="G14">
        <f>_xlfn.XLOOKUP(C14,'IND RESID'!J:J,'IND RESID'!P:P)</f>
        <v>31.536000000000001</v>
      </c>
      <c r="H14" s="12">
        <f>_xlfn.XLOOKUP(C14,'IND RESID'!J:J,'IND RESID'!O:O)</f>
        <v>0.9</v>
      </c>
      <c r="I14" s="12">
        <f t="shared" si="0"/>
        <v>0.81</v>
      </c>
      <c r="J14" s="12">
        <v>25</v>
      </c>
      <c r="K14" s="12"/>
      <c r="L14" s="14">
        <f>_xlfn.XLOOKUP(C14,'IND RESID'!J:J,'IND RESID'!N:N)</f>
        <v>0</v>
      </c>
    </row>
    <row r="15" spans="2:12">
      <c r="B15" t="str">
        <f>IF(L15=0,"*",Def_Tech!C13)</f>
        <v>*</v>
      </c>
      <c r="C15" t="str">
        <f>Def_Tech!D13</f>
        <v>INDAINAEUBIO19</v>
      </c>
      <c r="D15" t="str">
        <f>_xlfn.XLOOKUP(C15,'IND RESID'!J:J,'IND RESID'!H:H)</f>
        <v>INDBIO</v>
      </c>
      <c r="E15" t="str">
        <f>_xlfn.XLOOKUP(C15,'IND RESID'!J:J,'IND RESID'!I:I)</f>
        <v>INDAINDMD</v>
      </c>
      <c r="F15" s="12">
        <v>1</v>
      </c>
      <c r="G15">
        <f>_xlfn.XLOOKUP(C15,'IND RESID'!J:J,'IND RESID'!P:P)</f>
        <v>31.536000000000001</v>
      </c>
      <c r="H15" s="12">
        <f>_xlfn.XLOOKUP(C15,'IND RESID'!J:J,'IND RESID'!O:O)</f>
        <v>0.9</v>
      </c>
      <c r="I15" s="12">
        <f t="shared" si="0"/>
        <v>0.81</v>
      </c>
      <c r="J15" s="12">
        <v>25</v>
      </c>
      <c r="K15" s="12"/>
      <c r="L15" s="14">
        <f>_xlfn.XLOOKUP(C15,'IND RESID'!J:J,'IND RESID'!N:N)</f>
        <v>0</v>
      </c>
    </row>
    <row r="16" spans="2:12">
      <c r="B16" t="str">
        <f>IF(L16=0,"*",Def_Tech!C14)</f>
        <v>*</v>
      </c>
      <c r="C16" t="str">
        <f>Def_Tech!D14</f>
        <v>INDAINAEUGSL19</v>
      </c>
      <c r="D16" t="str">
        <f>_xlfn.XLOOKUP(C16,'IND RESID'!J:J,'IND RESID'!H:H)</f>
        <v>INDGSL</v>
      </c>
      <c r="E16" t="str">
        <f>_xlfn.XLOOKUP(C16,'IND RESID'!J:J,'IND RESID'!I:I)</f>
        <v>INDAINDMD</v>
      </c>
      <c r="F16" s="12">
        <v>1</v>
      </c>
      <c r="G16">
        <f>_xlfn.XLOOKUP(C16,'IND RESID'!J:J,'IND RESID'!P:P)</f>
        <v>31.536000000000001</v>
      </c>
      <c r="H16" s="12">
        <f>_xlfn.XLOOKUP(C16,'IND RESID'!J:J,'IND RESID'!O:O)</f>
        <v>0.9</v>
      </c>
      <c r="I16" s="12">
        <f t="shared" si="0"/>
        <v>0.81</v>
      </c>
      <c r="J16" s="12">
        <v>25</v>
      </c>
      <c r="K16" s="12"/>
      <c r="L16" s="14">
        <f>_xlfn.XLOOKUP(C16,'IND RESID'!J:J,'IND RESID'!N:N)</f>
        <v>0</v>
      </c>
    </row>
    <row r="17" spans="2:12">
      <c r="B17" t="str">
        <f>IF(L17=0,"*",Def_Tech!C15)</f>
        <v>*</v>
      </c>
      <c r="C17" t="str">
        <f>Def_Tech!D15</f>
        <v>INDAINAEUDSL19</v>
      </c>
      <c r="D17" t="str">
        <f>_xlfn.XLOOKUP(C17,'IND RESID'!J:J,'IND RESID'!H:H)</f>
        <v>INDDSL</v>
      </c>
      <c r="E17" t="str">
        <f>_xlfn.XLOOKUP(C17,'IND RESID'!J:J,'IND RESID'!I:I)</f>
        <v>INDAINDMD</v>
      </c>
      <c r="F17" s="12">
        <v>1</v>
      </c>
      <c r="G17">
        <f>_xlfn.XLOOKUP(C17,'IND RESID'!J:J,'IND RESID'!P:P)</f>
        <v>31.536000000000001</v>
      </c>
      <c r="H17" s="12">
        <f>_xlfn.XLOOKUP(C17,'IND RESID'!J:J,'IND RESID'!O:O)</f>
        <v>0.9</v>
      </c>
      <c r="I17" s="12">
        <f t="shared" si="0"/>
        <v>0.81</v>
      </c>
      <c r="J17" s="12">
        <v>25</v>
      </c>
      <c r="K17" s="12"/>
      <c r="L17" s="14">
        <f>_xlfn.XLOOKUP(C17,'IND RESID'!J:J,'IND RESID'!N:N)</f>
        <v>0</v>
      </c>
    </row>
    <row r="18" spans="2:12">
      <c r="B18" t="str">
        <f>IF(L18=0,"*",Def_Tech!C16)</f>
        <v>CITY</v>
      </c>
      <c r="C18" t="str">
        <f>Def_Tech!D16</f>
        <v>INDAINAEUSTM19</v>
      </c>
      <c r="D18" t="str">
        <f>_xlfn.XLOOKUP(C18,'IND RESID'!J:J,'IND RESID'!H:H)</f>
        <v>INDSTM</v>
      </c>
      <c r="E18" t="str">
        <f>_xlfn.XLOOKUP(C18,'IND RESID'!J:J,'IND RESID'!I:I)</f>
        <v>INDAINDMD</v>
      </c>
      <c r="F18" s="12">
        <v>1</v>
      </c>
      <c r="G18">
        <f>_xlfn.XLOOKUP(C18,'IND RESID'!J:J,'IND RESID'!P:P)</f>
        <v>31.536000000000001</v>
      </c>
      <c r="H18" s="12">
        <f>_xlfn.XLOOKUP(C18,'IND RESID'!J:J,'IND RESID'!O:O)</f>
        <v>0.9</v>
      </c>
      <c r="I18" s="12">
        <f t="shared" si="0"/>
        <v>0.81</v>
      </c>
      <c r="J18" s="12">
        <v>25</v>
      </c>
      <c r="K18" s="12"/>
      <c r="L18" s="14">
        <f>_xlfn.XLOOKUP(C18,'IND RESID'!J:J,'IND RESID'!N:N)</f>
        <v>28.89292853630171</v>
      </c>
    </row>
    <row r="19" spans="2:12">
      <c r="B19" t="str">
        <f>IF(L19=0,"*",Def_Tech!C17)</f>
        <v>CITY</v>
      </c>
      <c r="C19" t="str">
        <f>Def_Tech!D17</f>
        <v>INDAINAEUELC19</v>
      </c>
      <c r="D19" t="str">
        <f>_xlfn.XLOOKUP(C19,'IND RESID'!J:J,'IND RESID'!H:H)</f>
        <v>INDELC</v>
      </c>
      <c r="E19" t="str">
        <f>_xlfn.XLOOKUP(C19,'IND RESID'!J:J,'IND RESID'!I:I)</f>
        <v>INDAINDMD</v>
      </c>
      <c r="F19" s="12">
        <v>1</v>
      </c>
      <c r="G19">
        <f>_xlfn.XLOOKUP(C19,'IND RESID'!J:J,'IND RESID'!P:P)</f>
        <v>31.536000000000001</v>
      </c>
      <c r="H19" s="12">
        <f>_xlfn.XLOOKUP(C19,'IND RESID'!J:J,'IND RESID'!O:O)</f>
        <v>0.9</v>
      </c>
      <c r="I19" s="12">
        <f t="shared" si="0"/>
        <v>0.81</v>
      </c>
      <c r="J19" s="12">
        <v>25</v>
      </c>
      <c r="K19" s="12"/>
      <c r="L19" s="14">
        <f>_xlfn.XLOOKUP(C19,'IND RESID'!J:J,'IND RESID'!N:N)</f>
        <v>1132.987720618843</v>
      </c>
    </row>
    <row r="20" spans="2:12">
      <c r="F20" s="12"/>
      <c r="H20" s="12"/>
      <c r="I20" s="12"/>
      <c r="J20" s="12"/>
      <c r="K20" s="12"/>
      <c r="L20" s="13"/>
    </row>
    <row r="21" spans="2:12">
      <c r="F21" s="12"/>
      <c r="H21" s="12"/>
      <c r="I21" s="12"/>
      <c r="J21" s="12"/>
      <c r="K21" s="12"/>
      <c r="L21" s="13"/>
    </row>
    <row r="22" spans="2:12">
      <c r="F22" s="12"/>
      <c r="H22" s="12"/>
      <c r="I22" s="12"/>
      <c r="J22" s="12"/>
      <c r="K22" s="12"/>
      <c r="L22" s="13"/>
    </row>
    <row r="23" spans="2:12">
      <c r="F23" s="12"/>
      <c r="H23" s="12"/>
      <c r="I23" s="12"/>
      <c r="J23" s="12"/>
      <c r="K23" s="12"/>
      <c r="L23" s="13"/>
    </row>
    <row r="24" spans="2:12">
      <c r="F24" s="12"/>
      <c r="H24" s="12"/>
      <c r="I24" s="12"/>
      <c r="J24" s="12"/>
      <c r="K24" s="12"/>
      <c r="L24" s="13"/>
    </row>
    <row r="25" spans="2:12">
      <c r="F25" s="12"/>
      <c r="H25" s="12"/>
      <c r="I25" s="12"/>
      <c r="J25" s="12"/>
      <c r="K25" s="12"/>
      <c r="L25" s="13"/>
    </row>
    <row r="26" spans="2:12">
      <c r="F26" s="12"/>
      <c r="H26" s="12"/>
      <c r="I26" s="12"/>
      <c r="J26" s="12"/>
      <c r="K26" s="12"/>
      <c r="L26" s="13"/>
    </row>
    <row r="27" spans="2:12">
      <c r="F27" s="12"/>
      <c r="H27" s="12"/>
      <c r="I27" s="12"/>
      <c r="J27" s="12"/>
      <c r="K27" s="12"/>
      <c r="L27" s="13"/>
    </row>
    <row r="28" spans="2:12">
      <c r="F28" s="12"/>
      <c r="H28" s="12"/>
      <c r="I28" s="12"/>
      <c r="J28" s="12"/>
      <c r="K28" s="12"/>
      <c r="L28" s="13"/>
    </row>
    <row r="29" spans="2:12">
      <c r="F29" s="12"/>
      <c r="H29" s="12"/>
      <c r="I29" s="12"/>
      <c r="J29" s="12"/>
      <c r="K29" s="12"/>
      <c r="L29" s="13"/>
    </row>
    <row r="30" spans="2:12">
      <c r="F30" s="12"/>
      <c r="H30" s="12"/>
      <c r="I30" s="12"/>
      <c r="J30" s="12"/>
      <c r="K30" s="12"/>
      <c r="L30" s="13"/>
    </row>
    <row r="31" spans="2:12">
      <c r="F31" s="12"/>
      <c r="H31" s="12"/>
      <c r="I31" s="12"/>
      <c r="J31" s="12"/>
      <c r="K31" s="12"/>
      <c r="L31" s="13"/>
    </row>
    <row r="32" spans="2:12">
      <c r="F32" s="12"/>
      <c r="H32" s="12"/>
      <c r="I32" s="12"/>
      <c r="J32" s="12"/>
      <c r="K32" s="12"/>
      <c r="L32" s="13"/>
    </row>
    <row r="33" spans="6:12">
      <c r="F33" s="12"/>
      <c r="H33" s="12"/>
      <c r="I33" s="12"/>
      <c r="J33" s="12"/>
      <c r="K33" s="12"/>
      <c r="L33" s="13"/>
    </row>
    <row r="34" spans="6:12">
      <c r="F34" s="12"/>
      <c r="H34" s="12"/>
      <c r="I34" s="12"/>
      <c r="J34" s="12"/>
      <c r="K34" s="12"/>
      <c r="L34" s="13"/>
    </row>
    <row r="35" spans="6:12">
      <c r="F35" s="12"/>
      <c r="H35" s="12"/>
      <c r="I35" s="12"/>
      <c r="J35" s="12"/>
      <c r="K35" s="12"/>
      <c r="L35" s="13"/>
    </row>
    <row r="36" spans="6:12">
      <c r="F36" s="12"/>
      <c r="H36" s="12"/>
      <c r="I36" s="12"/>
      <c r="J36" s="12"/>
      <c r="K36" s="12"/>
      <c r="L36" s="13"/>
    </row>
    <row r="37" spans="6:12">
      <c r="F37" s="12"/>
      <c r="H37" s="12"/>
      <c r="I37" s="12"/>
      <c r="J37" s="12"/>
      <c r="K37" s="12"/>
      <c r="L37" s="13"/>
    </row>
    <row r="38" spans="6:12">
      <c r="F38" s="12"/>
      <c r="H38" s="12"/>
      <c r="I38" s="12"/>
      <c r="J38" s="12"/>
      <c r="K38" s="12"/>
      <c r="L38" s="13"/>
    </row>
    <row r="39" spans="6:12">
      <c r="F39" s="12"/>
      <c r="H39" s="12"/>
      <c r="I39" s="12"/>
      <c r="J39" s="12"/>
      <c r="K39" s="12"/>
      <c r="L39" s="13"/>
    </row>
    <row r="40" spans="6:12">
      <c r="F40" s="12"/>
      <c r="H40" s="12"/>
      <c r="I40" s="12"/>
      <c r="J40" s="12"/>
      <c r="K40" s="12"/>
      <c r="L40" s="13"/>
    </row>
    <row r="41" spans="6:12">
      <c r="F41" s="12"/>
      <c r="H41" s="12"/>
      <c r="I41" s="12"/>
      <c r="J41" s="12"/>
      <c r="K41" s="12"/>
      <c r="L41" s="13"/>
    </row>
    <row r="42" spans="6:12">
      <c r="F42" s="12"/>
      <c r="H42" s="12"/>
      <c r="I42" s="12"/>
      <c r="J42" s="12"/>
      <c r="K42" s="12"/>
      <c r="L42" s="13"/>
    </row>
    <row r="43" spans="6:12">
      <c r="F43" s="12"/>
      <c r="H43" s="12"/>
      <c r="I43" s="12"/>
      <c r="J43" s="12"/>
      <c r="K43" s="12"/>
      <c r="L43" s="13"/>
    </row>
    <row r="44" spans="6:12">
      <c r="F44" s="12"/>
      <c r="H44" s="12"/>
      <c r="I44" s="12"/>
      <c r="J44" s="12"/>
      <c r="K44" s="12"/>
      <c r="L44" s="13"/>
    </row>
    <row r="45" spans="6:12">
      <c r="F45" s="12"/>
      <c r="H45" s="12"/>
      <c r="I45" s="12"/>
      <c r="J45" s="12"/>
      <c r="K45" s="12"/>
      <c r="L45" s="13"/>
    </row>
    <row r="46" spans="6:12">
      <c r="F46" s="12"/>
      <c r="H46" s="12"/>
      <c r="I46" s="12"/>
      <c r="J46" s="12"/>
      <c r="K46" s="12"/>
      <c r="L46" s="13"/>
    </row>
    <row r="47" spans="6:12">
      <c r="F47" s="12"/>
      <c r="H47" s="12"/>
      <c r="I47" s="12"/>
      <c r="J47" s="12"/>
      <c r="K47" s="12"/>
      <c r="L47" s="13"/>
    </row>
    <row r="48" spans="6:12">
      <c r="F48" s="12"/>
      <c r="H48" s="12"/>
      <c r="I48" s="12"/>
      <c r="J48" s="12"/>
      <c r="K48" s="12"/>
      <c r="L48" s="13"/>
    </row>
    <row r="49" spans="6:12">
      <c r="F49" s="12"/>
      <c r="H49" s="12"/>
      <c r="I49" s="12"/>
      <c r="J49" s="12"/>
      <c r="K49" s="12"/>
      <c r="L49" s="13"/>
    </row>
    <row r="50" spans="6:12">
      <c r="F50" s="12"/>
      <c r="H50" s="12"/>
      <c r="I50" s="12"/>
      <c r="J50" s="12"/>
      <c r="K50" s="12"/>
      <c r="L50" s="13"/>
    </row>
    <row r="51" spans="6:12">
      <c r="F51" s="12"/>
      <c r="H51" s="12"/>
      <c r="I51" s="12"/>
      <c r="J51" s="12"/>
      <c r="K51" s="12"/>
      <c r="L51" s="13"/>
    </row>
    <row r="52" spans="6:12">
      <c r="F52" s="12"/>
      <c r="H52" s="12"/>
      <c r="I52" s="12"/>
      <c r="J52" s="12"/>
      <c r="K52" s="12"/>
      <c r="L52" s="13"/>
    </row>
    <row r="53" spans="6:12">
      <c r="F53" s="12"/>
      <c r="H53" s="12"/>
      <c r="I53" s="12"/>
      <c r="J53" s="12"/>
      <c r="K53" s="12"/>
      <c r="L53" s="13"/>
    </row>
    <row r="54" spans="6:12">
      <c r="F54" s="12"/>
      <c r="H54" s="12"/>
      <c r="I54" s="12"/>
      <c r="J54" s="12"/>
      <c r="K54" s="12"/>
      <c r="L54" s="13"/>
    </row>
    <row r="55" spans="6:12">
      <c r="F55" s="12"/>
      <c r="H55" s="12"/>
      <c r="I55" s="12"/>
      <c r="J55" s="12"/>
      <c r="K55" s="12"/>
      <c r="L55" s="13"/>
    </row>
    <row r="56" spans="6:12">
      <c r="F56" s="12"/>
      <c r="H56" s="12"/>
      <c r="I56" s="12"/>
      <c r="J56" s="12"/>
      <c r="K56" s="12"/>
      <c r="L56" s="13"/>
    </row>
    <row r="57" spans="6:12">
      <c r="F57" s="12"/>
      <c r="H57" s="12"/>
      <c r="I57" s="12"/>
      <c r="J57" s="12"/>
      <c r="K57" s="12"/>
      <c r="L57" s="13"/>
    </row>
    <row r="58" spans="6:12">
      <c r="F58" s="12"/>
      <c r="H58" s="12"/>
      <c r="I58" s="12"/>
      <c r="J58" s="12"/>
      <c r="K58" s="12"/>
      <c r="L58" s="13"/>
    </row>
    <row r="59" spans="6:12">
      <c r="F59" s="12"/>
      <c r="H59" s="12"/>
      <c r="I59" s="12"/>
      <c r="J59" s="12"/>
      <c r="K59" s="12"/>
      <c r="L59" s="13"/>
    </row>
    <row r="60" spans="6:12">
      <c r="F60" s="12"/>
      <c r="H60" s="12"/>
      <c r="I60" s="12"/>
      <c r="J60" s="12"/>
      <c r="K60" s="12"/>
      <c r="L60" s="13"/>
    </row>
    <row r="61" spans="6:12">
      <c r="F61" s="12"/>
      <c r="H61" s="12"/>
      <c r="I61" s="12"/>
      <c r="J61" s="12"/>
      <c r="K61" s="12"/>
      <c r="L61" s="13"/>
    </row>
    <row r="62" spans="6:12">
      <c r="F62" s="12"/>
      <c r="H62" s="12"/>
      <c r="I62" s="12"/>
      <c r="J62" s="12"/>
      <c r="K62" s="12"/>
      <c r="L62" s="13"/>
    </row>
    <row r="63" spans="6:12">
      <c r="F63" s="12"/>
      <c r="H63" s="12"/>
      <c r="I63" s="12"/>
      <c r="J63" s="12"/>
      <c r="K63" s="12"/>
      <c r="L63" s="13"/>
    </row>
    <row r="64" spans="6:12">
      <c r="F64" s="12"/>
      <c r="H64" s="12"/>
      <c r="I64" s="12"/>
      <c r="J64" s="12"/>
      <c r="K64" s="12"/>
      <c r="L64" s="13"/>
    </row>
    <row r="65" spans="6:12">
      <c r="F65" s="12"/>
      <c r="H65" s="12"/>
      <c r="I65" s="12"/>
      <c r="J65" s="12"/>
      <c r="K65" s="12"/>
      <c r="L65" s="13"/>
    </row>
    <row r="66" spans="6:12">
      <c r="F66" s="12"/>
      <c r="H66" s="12"/>
      <c r="I66" s="12"/>
      <c r="J66" s="12"/>
      <c r="K66" s="12"/>
      <c r="L66" s="13"/>
    </row>
    <row r="67" spans="6:12">
      <c r="F67" s="12"/>
      <c r="H67" s="12"/>
      <c r="I67" s="12"/>
      <c r="J67" s="12"/>
      <c r="K67" s="12"/>
      <c r="L67" s="13"/>
    </row>
    <row r="68" spans="6:12">
      <c r="F68" s="12"/>
      <c r="H68" s="12"/>
      <c r="I68" s="12"/>
      <c r="J68" s="12"/>
      <c r="K68" s="12"/>
      <c r="L68" s="13"/>
    </row>
    <row r="69" spans="6:12">
      <c r="F69" s="12"/>
      <c r="H69" s="12"/>
      <c r="I69" s="12"/>
      <c r="J69" s="12"/>
      <c r="K69" s="12"/>
      <c r="L69" s="13"/>
    </row>
    <row r="70" spans="6:12">
      <c r="F70" s="12"/>
      <c r="H70" s="12"/>
      <c r="I70" s="12"/>
      <c r="J70" s="12"/>
      <c r="K70" s="12"/>
      <c r="L70" s="13"/>
    </row>
    <row r="71" spans="6:12">
      <c r="F71" s="12"/>
      <c r="H71" s="12"/>
      <c r="I71" s="12"/>
      <c r="J71" s="12"/>
      <c r="K71" s="12"/>
      <c r="L71" s="13"/>
    </row>
    <row r="72" spans="6:12">
      <c r="F72" s="12"/>
      <c r="H72" s="12"/>
      <c r="I72" s="12"/>
      <c r="J72" s="12"/>
      <c r="K72" s="12"/>
      <c r="L72" s="13"/>
    </row>
    <row r="73" spans="6:12">
      <c r="F73" s="12"/>
      <c r="H73" s="12"/>
      <c r="I73" s="12"/>
      <c r="J73" s="12"/>
      <c r="K73" s="12"/>
      <c r="L73" s="13"/>
    </row>
    <row r="74" spans="6:12">
      <c r="F74" s="12"/>
      <c r="H74" s="12"/>
      <c r="I74" s="12"/>
      <c r="J74" s="12"/>
      <c r="K74" s="12"/>
      <c r="L74" s="13"/>
    </row>
    <row r="75" spans="6:12">
      <c r="F75" s="12"/>
      <c r="H75" s="12"/>
      <c r="I75" s="12"/>
      <c r="J75" s="12"/>
      <c r="K75" s="12"/>
      <c r="L75" s="13"/>
    </row>
    <row r="76" spans="6:12">
      <c r="F76" s="12"/>
      <c r="H76" s="12"/>
      <c r="I76" s="12"/>
      <c r="J76" s="12"/>
      <c r="K76" s="12"/>
      <c r="L76" s="13"/>
    </row>
    <row r="77" spans="6:12">
      <c r="F77" s="12"/>
      <c r="H77" s="12"/>
      <c r="I77" s="12"/>
      <c r="J77" s="12"/>
      <c r="K77" s="12"/>
      <c r="L77" s="13"/>
    </row>
    <row r="78" spans="6:12">
      <c r="F78" s="12"/>
      <c r="H78" s="12"/>
      <c r="I78" s="12"/>
      <c r="J78" s="12"/>
      <c r="K78" s="12"/>
      <c r="L78" s="13"/>
    </row>
    <row r="79" spans="6:12">
      <c r="F79" s="12"/>
      <c r="H79" s="12"/>
      <c r="I79" s="12"/>
      <c r="J79" s="12"/>
      <c r="K79" s="12"/>
      <c r="L79" s="13"/>
    </row>
    <row r="80" spans="6:12">
      <c r="F80" s="12"/>
      <c r="H80" s="12"/>
      <c r="I80" s="12"/>
      <c r="J80" s="12"/>
      <c r="K80" s="12"/>
      <c r="L80" s="13"/>
    </row>
    <row r="81" spans="6:12">
      <c r="F81" s="12"/>
      <c r="H81" s="12"/>
      <c r="I81" s="12"/>
      <c r="J81" s="12"/>
      <c r="K81" s="12"/>
      <c r="L81" s="13"/>
    </row>
    <row r="82" spans="6:12">
      <c r="F82" s="12"/>
      <c r="H82" s="12"/>
      <c r="I82" s="12"/>
      <c r="J82" s="12"/>
      <c r="K82" s="12"/>
      <c r="L82" s="13"/>
    </row>
    <row r="83" spans="6:12">
      <c r="F83" s="12"/>
      <c r="H83" s="12"/>
      <c r="I83" s="12"/>
      <c r="J83" s="12"/>
      <c r="K83" s="12"/>
      <c r="L83" s="13"/>
    </row>
    <row r="84" spans="6:12">
      <c r="F84" s="12"/>
      <c r="H84" s="12"/>
      <c r="I84" s="12"/>
      <c r="J84" s="12"/>
      <c r="K84" s="12"/>
      <c r="L84" s="13"/>
    </row>
    <row r="85" spans="6:12">
      <c r="F85" s="12"/>
      <c r="H85" s="12"/>
      <c r="I85" s="12"/>
      <c r="J85" s="12"/>
      <c r="K85" s="12"/>
      <c r="L85" s="13"/>
    </row>
    <row r="86" spans="6:12">
      <c r="F86" s="12"/>
      <c r="H86" s="12"/>
      <c r="I86" s="12"/>
      <c r="J86" s="12"/>
      <c r="K86" s="12"/>
      <c r="L86" s="13"/>
    </row>
    <row r="87" spans="6:12">
      <c r="F87" s="12"/>
      <c r="H87" s="12"/>
      <c r="I87" s="12"/>
      <c r="J87" s="12"/>
      <c r="K87" s="12"/>
      <c r="L87" s="13"/>
    </row>
    <row r="88" spans="6:12">
      <c r="F88" s="12"/>
      <c r="H88" s="12"/>
      <c r="I88" s="12"/>
      <c r="J88" s="12"/>
      <c r="K88" s="12"/>
      <c r="L88" s="13"/>
    </row>
    <row r="89" spans="6:12">
      <c r="F89" s="12"/>
      <c r="H89" s="12"/>
      <c r="I89" s="12"/>
      <c r="J89" s="12"/>
      <c r="K89" s="12"/>
      <c r="L89" s="13"/>
    </row>
    <row r="90" spans="6:12">
      <c r="F90" s="12"/>
      <c r="H90" s="12"/>
      <c r="I90" s="12"/>
      <c r="J90" s="12"/>
      <c r="K90" s="12"/>
      <c r="L90" s="13"/>
    </row>
    <row r="91" spans="6:12">
      <c r="F91" s="12"/>
      <c r="H91" s="12"/>
      <c r="I91" s="12"/>
      <c r="J91" s="12"/>
      <c r="K91" s="12"/>
      <c r="L91" s="13"/>
    </row>
    <row r="92" spans="6:12">
      <c r="F92" s="12"/>
      <c r="H92" s="12"/>
      <c r="I92" s="12"/>
      <c r="J92" s="12"/>
      <c r="K92" s="12"/>
      <c r="L92" s="13"/>
    </row>
    <row r="93" spans="6:12">
      <c r="F93" s="12"/>
      <c r="H93" s="12"/>
      <c r="I93" s="12"/>
      <c r="J93" s="12"/>
      <c r="K93" s="12"/>
      <c r="L93" s="13"/>
    </row>
    <row r="94" spans="6:12">
      <c r="F94" s="12"/>
      <c r="H94" s="12"/>
      <c r="I94" s="12"/>
      <c r="J94" s="12"/>
      <c r="K94" s="12"/>
      <c r="L94" s="13"/>
    </row>
    <row r="95" spans="6:12">
      <c r="F95" s="12"/>
      <c r="H95" s="12"/>
      <c r="I95" s="12"/>
      <c r="J95" s="12"/>
      <c r="K95" s="12"/>
      <c r="L95" s="13"/>
    </row>
    <row r="96" spans="6:12">
      <c r="F96" s="12"/>
      <c r="H96" s="12"/>
      <c r="I96" s="12"/>
      <c r="J96" s="12"/>
      <c r="K96" s="12"/>
      <c r="L96" s="13"/>
    </row>
    <row r="97" spans="6:12">
      <c r="F97" s="12"/>
      <c r="H97" s="12"/>
      <c r="I97" s="12"/>
      <c r="J97" s="12"/>
      <c r="K97" s="12"/>
      <c r="L97" s="13"/>
    </row>
    <row r="98" spans="6:12">
      <c r="F98" s="12"/>
      <c r="H98" s="12"/>
      <c r="I98" s="12"/>
      <c r="J98" s="12"/>
      <c r="K98" s="12"/>
      <c r="L98" s="13"/>
    </row>
    <row r="99" spans="6:12">
      <c r="F99" s="12"/>
      <c r="H99" s="12"/>
      <c r="I99" s="12"/>
      <c r="J99" s="12"/>
      <c r="K99" s="12"/>
      <c r="L99" s="13"/>
    </row>
    <row r="100" spans="6:12">
      <c r="F100" s="12"/>
      <c r="H100" s="12"/>
      <c r="I100" s="12"/>
      <c r="J100" s="12"/>
      <c r="K100" s="12"/>
      <c r="L100" s="13"/>
    </row>
    <row r="101" spans="6:12">
      <c r="F101" s="12"/>
      <c r="H101" s="12"/>
      <c r="I101" s="12"/>
      <c r="J101" s="12"/>
      <c r="K101" s="12"/>
      <c r="L101" s="13"/>
    </row>
    <row r="102" spans="6:12">
      <c r="F102" s="12"/>
      <c r="H102" s="12"/>
      <c r="I102" s="12"/>
      <c r="J102" s="12"/>
      <c r="K102" s="12"/>
      <c r="L102" s="13"/>
    </row>
    <row r="103" spans="6:12">
      <c r="F103" s="12"/>
      <c r="H103" s="12"/>
      <c r="I103" s="12"/>
      <c r="J103" s="12"/>
      <c r="K103" s="12"/>
      <c r="L103" s="13"/>
    </row>
    <row r="104" spans="6:12">
      <c r="F104" s="12"/>
      <c r="H104" s="12"/>
      <c r="I104" s="12"/>
      <c r="J104" s="12"/>
      <c r="K104" s="12"/>
      <c r="L104" s="13"/>
    </row>
    <row r="105" spans="6:12">
      <c r="F105" s="12"/>
      <c r="H105" s="12"/>
      <c r="I105" s="12"/>
      <c r="J105" s="12"/>
      <c r="K105" s="12"/>
      <c r="L105" s="13"/>
    </row>
    <row r="106" spans="6:12">
      <c r="F106" s="12"/>
      <c r="H106" s="12"/>
      <c r="I106" s="12"/>
      <c r="J106" s="12"/>
      <c r="K106" s="12"/>
      <c r="L106" s="13"/>
    </row>
    <row r="107" spans="6:12">
      <c r="F107" s="12"/>
      <c r="H107" s="12"/>
      <c r="I107" s="12"/>
      <c r="J107" s="12"/>
      <c r="K107" s="12"/>
      <c r="L107" s="13"/>
    </row>
    <row r="108" spans="6:12">
      <c r="F108" s="12"/>
      <c r="H108" s="12"/>
      <c r="I108" s="12"/>
      <c r="J108" s="12"/>
      <c r="K108" s="12"/>
      <c r="L108" s="13"/>
    </row>
    <row r="109" spans="6:12">
      <c r="F109" s="12"/>
      <c r="H109" s="12"/>
      <c r="I109" s="12"/>
      <c r="J109" s="12"/>
      <c r="K109" s="12"/>
      <c r="L109" s="13"/>
    </row>
    <row r="110" spans="6:12">
      <c r="F110" s="12"/>
      <c r="H110" s="12"/>
      <c r="I110" s="12"/>
      <c r="J110" s="12"/>
      <c r="K110" s="12"/>
      <c r="L110" s="13"/>
    </row>
    <row r="111" spans="6:12">
      <c r="F111" s="12"/>
      <c r="H111" s="12"/>
      <c r="I111" s="12"/>
      <c r="J111" s="12"/>
      <c r="K111" s="12"/>
      <c r="L111" s="13"/>
    </row>
    <row r="112" spans="6:12">
      <c r="F112" s="12"/>
      <c r="H112" s="12"/>
      <c r="I112" s="12"/>
      <c r="J112" s="12"/>
      <c r="K112" s="12"/>
      <c r="L112" s="13"/>
    </row>
    <row r="113" spans="6:12">
      <c r="F113" s="12"/>
      <c r="H113" s="12"/>
      <c r="I113" s="12"/>
      <c r="J113" s="12"/>
      <c r="K113" s="12"/>
      <c r="L113" s="13"/>
    </row>
    <row r="114" spans="6:12">
      <c r="F114" s="12"/>
      <c r="H114" s="12"/>
      <c r="I114" s="12"/>
      <c r="J114" s="12"/>
      <c r="K114" s="12"/>
      <c r="L114" s="13"/>
    </row>
    <row r="115" spans="6:12">
      <c r="F115" s="12"/>
      <c r="H115" s="12"/>
      <c r="I115" s="12"/>
      <c r="J115" s="12"/>
      <c r="K115" s="12"/>
      <c r="L115" s="13"/>
    </row>
    <row r="116" spans="6:12">
      <c r="F116" s="12"/>
      <c r="H116" s="12"/>
      <c r="I116" s="12"/>
      <c r="J116" s="12"/>
      <c r="K116" s="12"/>
      <c r="L116" s="13"/>
    </row>
    <row r="117" spans="6:12">
      <c r="F117" s="12"/>
      <c r="H117" s="12"/>
      <c r="I117" s="12"/>
      <c r="J117" s="12"/>
      <c r="K117" s="12"/>
      <c r="L117" s="13"/>
    </row>
    <row r="118" spans="6:12">
      <c r="F118" s="12"/>
      <c r="H118" s="12"/>
      <c r="I118" s="12"/>
      <c r="J118" s="12"/>
      <c r="K118" s="12"/>
      <c r="L118" s="13"/>
    </row>
    <row r="119" spans="6:12">
      <c r="F119" s="12"/>
      <c r="H119" s="12"/>
      <c r="I119" s="12"/>
      <c r="J119" s="12"/>
      <c r="K119" s="12"/>
      <c r="L119" s="13"/>
    </row>
    <row r="120" spans="6:12">
      <c r="F120" s="12"/>
      <c r="H120" s="12"/>
      <c r="I120" s="12"/>
      <c r="J120" s="12"/>
      <c r="K120" s="12"/>
      <c r="L120" s="13"/>
    </row>
    <row r="121" spans="6:12">
      <c r="F121" s="12"/>
      <c r="H121" s="12"/>
      <c r="I121" s="12"/>
      <c r="J121" s="12"/>
      <c r="K121" s="12"/>
      <c r="L121" s="13"/>
    </row>
    <row r="122" spans="6:12">
      <c r="F122" s="12"/>
      <c r="H122" s="12"/>
      <c r="I122" s="12"/>
      <c r="J122" s="12"/>
      <c r="K122" s="12"/>
      <c r="L122" s="13"/>
    </row>
    <row r="123" spans="6:12">
      <c r="F123" s="12"/>
      <c r="H123" s="12"/>
      <c r="I123" s="12"/>
      <c r="J123" s="12"/>
      <c r="K123" s="12"/>
      <c r="L123" s="13"/>
    </row>
    <row r="124" spans="6:12">
      <c r="F124" s="12"/>
      <c r="H124" s="12"/>
      <c r="I124" s="12"/>
      <c r="J124" s="12"/>
      <c r="K124" s="12"/>
      <c r="L124" s="13"/>
    </row>
    <row r="125" spans="6:12">
      <c r="F125" s="12"/>
      <c r="H125" s="12"/>
      <c r="I125" s="12"/>
      <c r="J125" s="12"/>
      <c r="K125" s="12"/>
      <c r="L125" s="13"/>
    </row>
    <row r="126" spans="6:12">
      <c r="F126" s="12"/>
      <c r="H126" s="12"/>
      <c r="I126" s="12"/>
      <c r="J126" s="12"/>
      <c r="K126" s="12"/>
      <c r="L126" s="13"/>
    </row>
    <row r="127" spans="6:12">
      <c r="F127" s="12"/>
      <c r="H127" s="12"/>
      <c r="I127" s="12"/>
      <c r="J127" s="12"/>
      <c r="K127" s="12"/>
      <c r="L127" s="13"/>
    </row>
    <row r="128" spans="6:12">
      <c r="F128" s="12"/>
      <c r="H128" s="12"/>
      <c r="I128" s="12"/>
      <c r="J128" s="12"/>
      <c r="K128" s="12"/>
      <c r="L128" s="13"/>
    </row>
    <row r="129" spans="6:12">
      <c r="F129" s="12"/>
      <c r="H129" s="12"/>
      <c r="I129" s="12"/>
      <c r="J129" s="12"/>
      <c r="K129" s="12"/>
      <c r="L129" s="13"/>
    </row>
    <row r="130" spans="6:12">
      <c r="F130" s="12"/>
      <c r="H130" s="12"/>
      <c r="I130" s="12"/>
      <c r="J130" s="12"/>
      <c r="K130" s="12"/>
      <c r="L130" s="13"/>
    </row>
    <row r="131" spans="6:12">
      <c r="F131" s="12"/>
      <c r="H131" s="12"/>
      <c r="I131" s="12"/>
      <c r="J131" s="12"/>
      <c r="K131" s="12"/>
      <c r="L131" s="13"/>
    </row>
    <row r="132" spans="6:12">
      <c r="F132" s="12"/>
      <c r="H132" s="12"/>
      <c r="I132" s="12"/>
      <c r="J132" s="12"/>
      <c r="K132" s="12"/>
      <c r="L132" s="13"/>
    </row>
    <row r="133" spans="6:12">
      <c r="F133" s="12"/>
      <c r="H133" s="12"/>
      <c r="I133" s="12"/>
      <c r="J133" s="12"/>
      <c r="K133" s="12"/>
      <c r="L133" s="13"/>
    </row>
    <row r="134" spans="6:12">
      <c r="F134" s="12"/>
      <c r="H134" s="12"/>
      <c r="I134" s="12"/>
      <c r="J134" s="12"/>
      <c r="K134" s="12"/>
      <c r="L134" s="13"/>
    </row>
    <row r="135" spans="6:12">
      <c r="F135" s="12"/>
      <c r="H135" s="12"/>
      <c r="I135" s="12"/>
      <c r="J135" s="12"/>
      <c r="K135" s="12"/>
      <c r="L135" s="13"/>
    </row>
    <row r="136" spans="6:12">
      <c r="F136" s="12"/>
      <c r="H136" s="12"/>
      <c r="I136" s="12"/>
      <c r="J136" s="12"/>
      <c r="K136" s="12"/>
      <c r="L136" s="13"/>
    </row>
    <row r="137" spans="6:12">
      <c r="F137" s="12"/>
      <c r="H137" s="12"/>
      <c r="I137" s="12"/>
      <c r="J137" s="12"/>
      <c r="K137" s="12"/>
      <c r="L137" s="13"/>
    </row>
    <row r="138" spans="6:12">
      <c r="F138" s="12"/>
      <c r="H138" s="12"/>
      <c r="I138" s="12"/>
      <c r="J138" s="12"/>
      <c r="K138" s="12"/>
      <c r="L138" s="13"/>
    </row>
    <row r="139" spans="6:12">
      <c r="F139" s="12"/>
      <c r="H139" s="12"/>
      <c r="I139" s="12"/>
      <c r="J139" s="12"/>
      <c r="K139" s="12"/>
      <c r="L139" s="13"/>
    </row>
    <row r="140" spans="6:12">
      <c r="F140" s="12"/>
      <c r="H140" s="12"/>
      <c r="I140" s="12"/>
      <c r="J140" s="12"/>
      <c r="K140" s="12"/>
      <c r="L140" s="13"/>
    </row>
    <row r="141" spans="6:12">
      <c r="F141" s="12"/>
      <c r="H141" s="12"/>
      <c r="I141" s="12"/>
      <c r="J141" s="12"/>
      <c r="K141" s="12"/>
      <c r="L141" s="13"/>
    </row>
    <row r="142" spans="6:12">
      <c r="F142" s="12"/>
      <c r="H142" s="12"/>
      <c r="I142" s="12"/>
      <c r="J142" s="12"/>
      <c r="K142" s="12"/>
      <c r="L142" s="13"/>
    </row>
    <row r="143" spans="6:12">
      <c r="F143" s="12"/>
      <c r="H143" s="12"/>
      <c r="I143" s="12"/>
      <c r="J143" s="12"/>
      <c r="K143" s="12"/>
      <c r="L143" s="13"/>
    </row>
    <row r="144" spans="6:12">
      <c r="F144" s="12"/>
      <c r="H144" s="12"/>
      <c r="I144" s="12"/>
      <c r="J144" s="12"/>
      <c r="K144" s="12"/>
      <c r="L144" s="13"/>
    </row>
    <row r="145" spans="6:12">
      <c r="F145" s="12"/>
      <c r="H145" s="12"/>
      <c r="I145" s="12"/>
      <c r="J145" s="12"/>
      <c r="K145" s="12"/>
      <c r="L145" s="13"/>
    </row>
    <row r="146" spans="6:12">
      <c r="F146" s="12"/>
      <c r="H146" s="12"/>
      <c r="I146" s="12"/>
      <c r="J146" s="12"/>
      <c r="K146" s="12"/>
      <c r="L146" s="13"/>
    </row>
    <row r="147" spans="6:12">
      <c r="F147" s="12"/>
      <c r="H147" s="12"/>
      <c r="I147" s="12"/>
      <c r="J147" s="12"/>
      <c r="K147" s="12"/>
      <c r="L147" s="13"/>
    </row>
    <row r="148" spans="6:12">
      <c r="F148" s="12"/>
      <c r="H148" s="12"/>
      <c r="I148" s="12"/>
      <c r="J148" s="12"/>
      <c r="K148" s="12"/>
      <c r="L148" s="13"/>
    </row>
    <row r="149" spans="6:12">
      <c r="F149" s="12"/>
      <c r="H149" s="12"/>
      <c r="I149" s="12"/>
      <c r="J149" s="12"/>
      <c r="K149" s="12"/>
      <c r="L149" s="13"/>
    </row>
    <row r="150" spans="6:12">
      <c r="F150" s="12"/>
      <c r="H150" s="12"/>
      <c r="I150" s="12"/>
      <c r="J150" s="12"/>
      <c r="K150" s="12"/>
      <c r="L150" s="13"/>
    </row>
    <row r="151" spans="6:12">
      <c r="F151" s="12"/>
      <c r="H151" s="12"/>
      <c r="I151" s="12"/>
      <c r="J151" s="12"/>
      <c r="K151" s="12"/>
      <c r="L151" s="13"/>
    </row>
    <row r="152" spans="6:12">
      <c r="F152" s="12"/>
      <c r="H152" s="12"/>
      <c r="I152" s="12"/>
      <c r="J152" s="12"/>
      <c r="K152" s="12"/>
      <c r="L152" s="13"/>
    </row>
    <row r="153" spans="6:12">
      <c r="F153" s="12"/>
      <c r="H153" s="12"/>
      <c r="I153" s="12"/>
      <c r="J153" s="12"/>
      <c r="K153" s="12"/>
      <c r="L153" s="13"/>
    </row>
    <row r="154" spans="6:12">
      <c r="F154" s="12"/>
      <c r="H154" s="12"/>
      <c r="I154" s="12"/>
      <c r="J154" s="12"/>
      <c r="K154" s="12"/>
      <c r="L154" s="13"/>
    </row>
    <row r="155" spans="6:12">
      <c r="F155" s="12"/>
      <c r="H155" s="12"/>
      <c r="I155" s="12"/>
      <c r="J155" s="12"/>
      <c r="K155" s="12"/>
      <c r="L155" s="13"/>
    </row>
    <row r="156" spans="6:12">
      <c r="F156" s="12"/>
      <c r="H156" s="12"/>
      <c r="I156" s="12"/>
      <c r="J156" s="12"/>
      <c r="K156" s="12"/>
      <c r="L156" s="13"/>
    </row>
    <row r="157" spans="6:12">
      <c r="F157" s="12"/>
      <c r="H157" s="12"/>
      <c r="I157" s="12"/>
      <c r="J157" s="12"/>
      <c r="K157" s="12"/>
      <c r="L157" s="13"/>
    </row>
    <row r="158" spans="6:12">
      <c r="F158" s="12"/>
      <c r="H158" s="12"/>
      <c r="I158" s="12"/>
      <c r="J158" s="12"/>
      <c r="K158" s="12"/>
      <c r="L158" s="13"/>
    </row>
    <row r="159" spans="6:12">
      <c r="F159" s="12"/>
      <c r="H159" s="12"/>
      <c r="I159" s="12"/>
      <c r="J159" s="12"/>
      <c r="K159" s="12"/>
      <c r="L159" s="13"/>
    </row>
    <row r="160" spans="6:12">
      <c r="F160" s="12"/>
      <c r="H160" s="12"/>
      <c r="I160" s="12"/>
      <c r="J160" s="12"/>
      <c r="K160" s="12"/>
      <c r="L160" s="13"/>
    </row>
    <row r="161" spans="6:12">
      <c r="F161" s="12"/>
      <c r="H161" s="12"/>
      <c r="I161" s="12"/>
      <c r="J161" s="12"/>
      <c r="K161" s="12"/>
      <c r="L161" s="13"/>
    </row>
    <row r="162" spans="6:12">
      <c r="F162" s="12"/>
      <c r="H162" s="12"/>
      <c r="I162" s="12"/>
      <c r="J162" s="12"/>
      <c r="K162" s="12"/>
      <c r="L162" s="13"/>
    </row>
    <row r="163" spans="6:12">
      <c r="F163" s="12"/>
      <c r="H163" s="12"/>
      <c r="I163" s="12"/>
      <c r="J163" s="12"/>
      <c r="K163" s="12"/>
      <c r="L163" s="13"/>
    </row>
    <row r="164" spans="6:12">
      <c r="F164" s="12"/>
      <c r="H164" s="12"/>
      <c r="I164" s="12"/>
      <c r="J164" s="12"/>
      <c r="K164" s="12"/>
      <c r="L164" s="13"/>
    </row>
    <row r="165" spans="6:12">
      <c r="F165" s="12"/>
      <c r="H165" s="12"/>
      <c r="I165" s="12"/>
      <c r="J165" s="12"/>
      <c r="K165" s="12"/>
      <c r="L165" s="13"/>
    </row>
    <row r="166" spans="6:12">
      <c r="F166" s="12"/>
      <c r="H166" s="12"/>
      <c r="I166" s="12"/>
      <c r="J166" s="12"/>
      <c r="K166" s="12"/>
      <c r="L166" s="13"/>
    </row>
    <row r="167" spans="6:12">
      <c r="F167" s="12"/>
      <c r="H167" s="12"/>
      <c r="I167" s="12"/>
      <c r="J167" s="12"/>
      <c r="K167" s="12"/>
      <c r="L167" s="13"/>
    </row>
    <row r="168" spans="6:12">
      <c r="F168" s="12"/>
      <c r="H168" s="12"/>
      <c r="I168" s="12"/>
      <c r="J168" s="12"/>
      <c r="K168" s="12"/>
      <c r="L168" s="13"/>
    </row>
    <row r="169" spans="6:12">
      <c r="F169" s="12"/>
      <c r="H169" s="12"/>
      <c r="I169" s="12"/>
      <c r="J169" s="12"/>
      <c r="K169" s="12"/>
      <c r="L169" s="13"/>
    </row>
    <row r="170" spans="6:12">
      <c r="F170" s="12"/>
      <c r="H170" s="12"/>
      <c r="I170" s="12"/>
      <c r="J170" s="12"/>
      <c r="K170" s="12"/>
      <c r="L170" s="13"/>
    </row>
    <row r="171" spans="6:12">
      <c r="F171" s="12"/>
      <c r="H171" s="12"/>
      <c r="I171" s="12"/>
      <c r="J171" s="12"/>
      <c r="K171" s="12"/>
      <c r="L171" s="13"/>
    </row>
    <row r="172" spans="6:12">
      <c r="F172" s="12"/>
      <c r="H172" s="12"/>
      <c r="I172" s="12"/>
      <c r="J172" s="12"/>
      <c r="K172" s="12"/>
      <c r="L172" s="13"/>
    </row>
    <row r="173" spans="6:12">
      <c r="F173" s="12"/>
      <c r="H173" s="12"/>
      <c r="I173" s="12"/>
      <c r="J173" s="12"/>
      <c r="K173" s="12"/>
      <c r="L173" s="13"/>
    </row>
    <row r="174" spans="6:12">
      <c r="F174" s="12"/>
      <c r="H174" s="12"/>
      <c r="I174" s="12"/>
      <c r="J174" s="12"/>
      <c r="K174" s="12"/>
      <c r="L174" s="13"/>
    </row>
    <row r="175" spans="6:12">
      <c r="F175" s="12"/>
      <c r="H175" s="12"/>
      <c r="I175" s="12"/>
      <c r="J175" s="12"/>
      <c r="K175" s="12"/>
      <c r="L175" s="13"/>
    </row>
    <row r="176" spans="6:12">
      <c r="F176" s="12"/>
      <c r="H176" s="12"/>
      <c r="I176" s="12"/>
      <c r="J176" s="12"/>
      <c r="K176" s="12"/>
      <c r="L176" s="13"/>
    </row>
    <row r="177" spans="6:12">
      <c r="F177" s="12"/>
      <c r="H177" s="12"/>
      <c r="I177" s="12"/>
      <c r="J177" s="12"/>
      <c r="K177" s="12"/>
      <c r="L177" s="13"/>
    </row>
    <row r="178" spans="6:12">
      <c r="F178" s="12"/>
      <c r="H178" s="12"/>
      <c r="I178" s="12"/>
      <c r="J178" s="12"/>
      <c r="K178" s="12"/>
      <c r="L178" s="13"/>
    </row>
    <row r="179" spans="6:12">
      <c r="F179" s="12"/>
      <c r="H179" s="12"/>
      <c r="I179" s="12"/>
      <c r="J179" s="12"/>
      <c r="K179" s="12"/>
      <c r="L179" s="13"/>
    </row>
    <row r="180" spans="6:12">
      <c r="F180" s="12"/>
      <c r="H180" s="12"/>
      <c r="I180" s="12"/>
      <c r="J180" s="12"/>
      <c r="K180" s="12"/>
      <c r="L180" s="13"/>
    </row>
    <row r="181" spans="6:12">
      <c r="F181" s="12"/>
      <c r="H181" s="12"/>
      <c r="I181" s="12"/>
      <c r="J181" s="12"/>
      <c r="K181" s="12"/>
      <c r="L181" s="13"/>
    </row>
    <row r="182" spans="6:12">
      <c r="F182" s="12"/>
      <c r="H182" s="12"/>
      <c r="I182" s="12"/>
      <c r="J182" s="12"/>
      <c r="K182" s="12"/>
      <c r="L182" s="13"/>
    </row>
    <row r="183" spans="6:12">
      <c r="F183" s="12"/>
      <c r="H183" s="12"/>
      <c r="I183" s="12"/>
      <c r="J183" s="12"/>
      <c r="K183" s="12"/>
      <c r="L183" s="13"/>
    </row>
    <row r="184" spans="6:12">
      <c r="F184" s="12"/>
      <c r="H184" s="12"/>
      <c r="I184" s="12"/>
      <c r="J184" s="12"/>
      <c r="K184" s="12"/>
      <c r="L184" s="13"/>
    </row>
    <row r="185" spans="6:12">
      <c r="F185" s="12"/>
      <c r="H185" s="12"/>
      <c r="I185" s="12"/>
      <c r="J185" s="12"/>
      <c r="K185" s="12"/>
      <c r="L185" s="13"/>
    </row>
    <row r="186" spans="6:12">
      <c r="F186" s="12"/>
      <c r="H186" s="12"/>
      <c r="I186" s="12"/>
      <c r="J186" s="12"/>
      <c r="K186" s="12"/>
      <c r="L186" s="13"/>
    </row>
    <row r="187" spans="6:12">
      <c r="F187" s="12"/>
      <c r="H187" s="12"/>
      <c r="I187" s="12"/>
      <c r="J187" s="12"/>
      <c r="K187" s="12"/>
      <c r="L187" s="13"/>
    </row>
    <row r="188" spans="6:12">
      <c r="F188" s="12"/>
      <c r="H188" s="12"/>
      <c r="I188" s="12"/>
      <c r="J188" s="12"/>
      <c r="K188" s="12"/>
      <c r="L188" s="13"/>
    </row>
    <row r="189" spans="6:12">
      <c r="F189" s="12"/>
      <c r="H189" s="12"/>
      <c r="I189" s="12"/>
      <c r="J189" s="12"/>
      <c r="K189" s="12"/>
      <c r="L189" s="13"/>
    </row>
    <row r="190" spans="6:12">
      <c r="F190" s="12"/>
      <c r="H190" s="12"/>
      <c r="I190" s="12"/>
      <c r="J190" s="12"/>
      <c r="K190" s="12"/>
      <c r="L190" s="13"/>
    </row>
    <row r="191" spans="6:12">
      <c r="F191" s="12"/>
      <c r="H191" s="12"/>
      <c r="I191" s="12"/>
      <c r="J191" s="12"/>
      <c r="K191" s="12"/>
      <c r="L191" s="13"/>
    </row>
    <row r="192" spans="6:12">
      <c r="F192" s="12"/>
      <c r="H192" s="12"/>
      <c r="I192" s="12"/>
      <c r="J192" s="12"/>
      <c r="K192" s="12"/>
      <c r="L192" s="13"/>
    </row>
    <row r="193" spans="6:12">
      <c r="F193" s="12"/>
      <c r="H193" s="12"/>
      <c r="I193" s="12"/>
      <c r="J193" s="12"/>
      <c r="K193" s="12"/>
      <c r="L193" s="13"/>
    </row>
    <row r="194" spans="6:12">
      <c r="F194" s="12"/>
      <c r="H194" s="12"/>
      <c r="I194" s="12"/>
      <c r="J194" s="12"/>
      <c r="K194" s="12"/>
      <c r="L194" s="13"/>
    </row>
    <row r="195" spans="6:12">
      <c r="F195" s="12"/>
      <c r="H195" s="12"/>
      <c r="I195" s="12"/>
      <c r="J195" s="12"/>
      <c r="K195" s="12"/>
      <c r="L195" s="13"/>
    </row>
    <row r="196" spans="6:12">
      <c r="F196" s="12"/>
      <c r="H196" s="12"/>
      <c r="I196" s="12"/>
      <c r="J196" s="12"/>
      <c r="K196" s="12"/>
      <c r="L196" s="13"/>
    </row>
    <row r="197" spans="6:12">
      <c r="F197" s="12"/>
      <c r="H197" s="12"/>
      <c r="I197" s="12"/>
      <c r="J197" s="12"/>
      <c r="K197" s="12"/>
      <c r="L197" s="13"/>
    </row>
    <row r="198" spans="6:12">
      <c r="F198" s="12"/>
      <c r="H198" s="12"/>
      <c r="I198" s="12"/>
      <c r="J198" s="12"/>
      <c r="K198" s="12"/>
      <c r="L198" s="13"/>
    </row>
    <row r="199" spans="6:12">
      <c r="F199" s="12"/>
      <c r="H199" s="12"/>
      <c r="I199" s="12"/>
      <c r="J199" s="12"/>
      <c r="K199" s="12"/>
      <c r="L199" s="13"/>
    </row>
    <row r="200" spans="6:12">
      <c r="F200" s="12"/>
      <c r="H200" s="12"/>
      <c r="I200" s="12"/>
      <c r="J200" s="12"/>
      <c r="K200" s="12"/>
      <c r="L200" s="13"/>
    </row>
    <row r="201" spans="6:12">
      <c r="F201" s="12"/>
      <c r="H201" s="12"/>
      <c r="I201" s="12"/>
      <c r="J201" s="12"/>
      <c r="K201" s="12"/>
      <c r="L201" s="13"/>
    </row>
    <row r="202" spans="6:12">
      <c r="F202" s="12"/>
      <c r="H202" s="12"/>
      <c r="I202" s="12"/>
      <c r="J202" s="12"/>
      <c r="K202" s="12"/>
      <c r="L202" s="13"/>
    </row>
    <row r="203" spans="6:12">
      <c r="F203" s="12"/>
      <c r="H203" s="12"/>
      <c r="I203" s="12"/>
      <c r="J203" s="12"/>
      <c r="K203" s="12"/>
      <c r="L203" s="13"/>
    </row>
    <row r="204" spans="6:12">
      <c r="F204" s="12"/>
      <c r="H204" s="12"/>
      <c r="I204" s="12"/>
      <c r="J204" s="12"/>
      <c r="K204" s="12"/>
      <c r="L204" s="13"/>
    </row>
    <row r="205" spans="6:12">
      <c r="F205" s="12"/>
      <c r="H205" s="12"/>
      <c r="I205" s="12"/>
      <c r="J205" s="12"/>
      <c r="K205" s="12"/>
      <c r="L205" s="13"/>
    </row>
    <row r="206" spans="6:12">
      <c r="F206" s="12"/>
      <c r="H206" s="12"/>
      <c r="I206" s="12"/>
      <c r="J206" s="12"/>
      <c r="K206" s="12"/>
      <c r="L206" s="13"/>
    </row>
    <row r="207" spans="6:12">
      <c r="F207" s="12"/>
      <c r="H207" s="12"/>
      <c r="I207" s="12"/>
      <c r="J207" s="12"/>
      <c r="K207" s="12"/>
      <c r="L207" s="13"/>
    </row>
    <row r="208" spans="6:12">
      <c r="F208" s="12"/>
      <c r="H208" s="12"/>
      <c r="I208" s="12"/>
      <c r="J208" s="12"/>
      <c r="K208" s="12"/>
      <c r="L208" s="13"/>
    </row>
    <row r="209" spans="6:12">
      <c r="F209" s="12"/>
      <c r="H209" s="12"/>
      <c r="I209" s="12"/>
      <c r="J209" s="12"/>
      <c r="K209" s="12"/>
      <c r="L209" s="13"/>
    </row>
    <row r="210" spans="6:12">
      <c r="F210" s="12"/>
      <c r="H210" s="12"/>
      <c r="I210" s="12"/>
      <c r="J210" s="12"/>
      <c r="K210" s="12"/>
      <c r="L210" s="13"/>
    </row>
    <row r="211" spans="6:12">
      <c r="F211" s="12"/>
      <c r="H211" s="12"/>
      <c r="I211" s="12"/>
      <c r="J211" s="12"/>
      <c r="K211" s="12"/>
      <c r="L211" s="13"/>
    </row>
    <row r="212" spans="6:12">
      <c r="F212" s="12"/>
      <c r="H212" s="12"/>
      <c r="I212" s="12"/>
      <c r="J212" s="12"/>
      <c r="K212" s="12"/>
      <c r="L212" s="13"/>
    </row>
    <row r="213" spans="6:12">
      <c r="F213" s="12"/>
      <c r="H213" s="12"/>
      <c r="I213" s="12"/>
      <c r="J213" s="12"/>
      <c r="K213" s="12"/>
      <c r="L213" s="13"/>
    </row>
    <row r="214" spans="6:12">
      <c r="F214" s="12"/>
      <c r="H214" s="12"/>
      <c r="I214" s="12"/>
      <c r="J214" s="12"/>
      <c r="K214" s="12"/>
      <c r="L214" s="13"/>
    </row>
    <row r="215" spans="6:12">
      <c r="F215" s="12"/>
      <c r="H215" s="12"/>
      <c r="I215" s="12"/>
      <c r="J215" s="12"/>
      <c r="K215" s="12"/>
      <c r="L215" s="13"/>
    </row>
    <row r="216" spans="6:12">
      <c r="F216" s="12"/>
      <c r="H216" s="12"/>
      <c r="I216" s="12"/>
      <c r="J216" s="12"/>
      <c r="K216" s="12"/>
      <c r="L216" s="13"/>
    </row>
    <row r="217" spans="6:12">
      <c r="F217" s="12"/>
      <c r="H217" s="12"/>
      <c r="I217" s="12"/>
      <c r="J217" s="12"/>
      <c r="K217" s="12"/>
      <c r="L217" s="13"/>
    </row>
    <row r="218" spans="6:12">
      <c r="F218" s="12"/>
      <c r="H218" s="12"/>
      <c r="I218" s="12"/>
      <c r="J218" s="12"/>
      <c r="K218" s="12"/>
      <c r="L218" s="13"/>
    </row>
    <row r="219" spans="6:12">
      <c r="F219" s="12"/>
      <c r="H219" s="12"/>
      <c r="I219" s="12"/>
      <c r="J219" s="12"/>
      <c r="K219" s="12"/>
      <c r="L219" s="13"/>
    </row>
    <row r="220" spans="6:12">
      <c r="F220" s="12"/>
      <c r="H220" s="12"/>
      <c r="I220" s="12"/>
      <c r="J220" s="12"/>
      <c r="K220" s="12"/>
      <c r="L220" s="13"/>
    </row>
    <row r="221" spans="6:12">
      <c r="F221" s="12"/>
      <c r="H221" s="12"/>
      <c r="I221" s="12"/>
      <c r="J221" s="12"/>
      <c r="K221" s="12"/>
      <c r="L221" s="13"/>
    </row>
    <row r="222" spans="6:12">
      <c r="F222" s="12"/>
      <c r="H222" s="12"/>
      <c r="I222" s="12"/>
      <c r="J222" s="12"/>
      <c r="K222" s="12"/>
      <c r="L222" s="13"/>
    </row>
    <row r="223" spans="6:12">
      <c r="F223" s="12"/>
      <c r="H223" s="12"/>
      <c r="I223" s="12"/>
      <c r="J223" s="12"/>
      <c r="K223" s="12"/>
      <c r="L223" s="13"/>
    </row>
    <row r="224" spans="6:12">
      <c r="F224" s="12"/>
      <c r="H224" s="12"/>
      <c r="I224" s="12"/>
      <c r="J224" s="12"/>
      <c r="K224" s="12"/>
      <c r="L224" s="13"/>
    </row>
    <row r="225" spans="6:12">
      <c r="F225" s="12"/>
      <c r="H225" s="12"/>
      <c r="I225" s="12"/>
      <c r="J225" s="12"/>
      <c r="K225" s="12"/>
      <c r="L225" s="13"/>
    </row>
    <row r="226" spans="6:12">
      <c r="F226" s="12"/>
      <c r="H226" s="12"/>
      <c r="I226" s="12"/>
      <c r="J226" s="12"/>
      <c r="K226" s="12"/>
      <c r="L226" s="13"/>
    </row>
    <row r="227" spans="6:12">
      <c r="F227" s="12"/>
      <c r="H227" s="12"/>
      <c r="I227" s="12"/>
      <c r="J227" s="12"/>
      <c r="K227" s="12"/>
      <c r="L227" s="13"/>
    </row>
    <row r="228" spans="6:12">
      <c r="F228" s="12"/>
      <c r="H228" s="12"/>
      <c r="I228" s="12"/>
      <c r="J228" s="12"/>
      <c r="K228" s="12"/>
      <c r="L228" s="13"/>
    </row>
    <row r="229" spans="6:12">
      <c r="F229" s="12"/>
      <c r="H229" s="12"/>
      <c r="I229" s="12"/>
      <c r="J229" s="12"/>
      <c r="K229" s="12"/>
      <c r="L229" s="13"/>
    </row>
    <row r="230" spans="6:12">
      <c r="F230" s="12"/>
      <c r="H230" s="12"/>
      <c r="I230" s="12"/>
      <c r="J230" s="12"/>
      <c r="K230" s="12"/>
      <c r="L230" s="13"/>
    </row>
    <row r="231" spans="6:12">
      <c r="F231" s="12"/>
      <c r="H231" s="12"/>
      <c r="I231" s="12"/>
      <c r="J231" s="12"/>
      <c r="K231" s="12"/>
      <c r="L231" s="13"/>
    </row>
    <row r="232" spans="6:12">
      <c r="F232" s="12"/>
      <c r="H232" s="12"/>
      <c r="I232" s="12"/>
      <c r="J232" s="12"/>
      <c r="K232" s="12"/>
      <c r="L232" s="13"/>
    </row>
    <row r="233" spans="6:12">
      <c r="F233" s="12"/>
      <c r="H233" s="12"/>
      <c r="I233" s="12"/>
      <c r="J233" s="12"/>
      <c r="K233" s="12"/>
      <c r="L233" s="13"/>
    </row>
    <row r="234" spans="6:12">
      <c r="F234" s="12"/>
      <c r="H234" s="12"/>
      <c r="I234" s="12"/>
      <c r="J234" s="12"/>
      <c r="K234" s="12"/>
      <c r="L234" s="13"/>
    </row>
    <row r="235" spans="6:12">
      <c r="F235" s="12"/>
      <c r="H235" s="12"/>
      <c r="I235" s="12"/>
      <c r="J235" s="12"/>
      <c r="K235" s="12"/>
      <c r="L235" s="13"/>
    </row>
    <row r="236" spans="6:12">
      <c r="F236" s="12"/>
      <c r="H236" s="12"/>
      <c r="I236" s="12"/>
      <c r="J236" s="12"/>
      <c r="K236" s="12"/>
      <c r="L236" s="13"/>
    </row>
    <row r="237" spans="6:12">
      <c r="F237" s="12"/>
      <c r="H237" s="12"/>
      <c r="I237" s="12"/>
      <c r="J237" s="12"/>
      <c r="K237" s="12"/>
      <c r="L237" s="13"/>
    </row>
    <row r="238" spans="6:12">
      <c r="F238" s="12"/>
      <c r="H238" s="12"/>
      <c r="I238" s="12"/>
      <c r="J238" s="12"/>
      <c r="K238" s="12"/>
      <c r="L238" s="13"/>
    </row>
    <row r="239" spans="6:12">
      <c r="F239" s="12"/>
      <c r="H239" s="12"/>
      <c r="I239" s="12"/>
      <c r="J239" s="12"/>
      <c r="K239" s="12"/>
      <c r="L239" s="13"/>
    </row>
    <row r="240" spans="6:12">
      <c r="F240" s="12"/>
      <c r="H240" s="12"/>
      <c r="I240" s="12"/>
      <c r="J240" s="12"/>
      <c r="K240" s="12"/>
      <c r="L240" s="13"/>
    </row>
    <row r="241" spans="6:12">
      <c r="F241" s="12"/>
      <c r="H241" s="12"/>
      <c r="I241" s="12"/>
      <c r="J241" s="12"/>
      <c r="K241" s="12"/>
      <c r="L241" s="13"/>
    </row>
    <row r="242" spans="6:12">
      <c r="F242" s="12"/>
      <c r="H242" s="12"/>
      <c r="I242" s="12"/>
      <c r="J242" s="12"/>
      <c r="K242" s="12"/>
      <c r="L242" s="13"/>
    </row>
    <row r="243" spans="6:12">
      <c r="F243" s="12"/>
      <c r="H243" s="12"/>
      <c r="I243" s="12"/>
      <c r="J243" s="12"/>
      <c r="K243" s="12"/>
      <c r="L243" s="13"/>
    </row>
    <row r="244" spans="6:12">
      <c r="F244" s="12"/>
      <c r="H244" s="12"/>
      <c r="I244" s="12"/>
      <c r="J244" s="12"/>
      <c r="K244" s="12"/>
      <c r="L244" s="13"/>
    </row>
    <row r="245" spans="6:12">
      <c r="F245" s="12"/>
      <c r="H245" s="12"/>
      <c r="I245" s="12"/>
      <c r="J245" s="12"/>
      <c r="K245" s="12"/>
      <c r="L245" s="13"/>
    </row>
    <row r="246" spans="6:12">
      <c r="F246" s="12"/>
      <c r="H246" s="12"/>
      <c r="I246" s="12"/>
      <c r="J246" s="12"/>
      <c r="K246" s="12"/>
      <c r="L246" s="13"/>
    </row>
    <row r="247" spans="6:12">
      <c r="F247" s="12"/>
      <c r="H247" s="12"/>
      <c r="I247" s="12"/>
      <c r="J247" s="12"/>
      <c r="K247" s="12"/>
      <c r="L247" s="13"/>
    </row>
    <row r="248" spans="6:12">
      <c r="F248" s="12"/>
      <c r="H248" s="12"/>
      <c r="I248" s="12"/>
      <c r="J248" s="12"/>
      <c r="K248" s="12"/>
      <c r="L248" s="13"/>
    </row>
    <row r="249" spans="6:12">
      <c r="F249" s="12"/>
      <c r="H249" s="12"/>
      <c r="I249" s="12"/>
      <c r="J249" s="12"/>
      <c r="K249" s="12"/>
      <c r="L249" s="13"/>
    </row>
    <row r="250" spans="6:12">
      <c r="F250" s="12"/>
      <c r="H250" s="12"/>
      <c r="I250" s="12"/>
      <c r="J250" s="12"/>
      <c r="K250" s="12"/>
      <c r="L250" s="13"/>
    </row>
    <row r="251" spans="6:12">
      <c r="F251" s="12"/>
      <c r="H251" s="12"/>
      <c r="I251" s="12"/>
      <c r="J251" s="12"/>
      <c r="K251" s="12"/>
      <c r="L251" s="13"/>
    </row>
    <row r="252" spans="6:12">
      <c r="F252" s="12"/>
      <c r="H252" s="12"/>
      <c r="I252" s="12"/>
      <c r="J252" s="12"/>
      <c r="K252" s="12"/>
      <c r="L252" s="13"/>
    </row>
    <row r="253" spans="6:12">
      <c r="F253" s="12"/>
      <c r="H253" s="12"/>
      <c r="I253" s="12"/>
      <c r="J253" s="12"/>
      <c r="K253" s="12"/>
      <c r="L253" s="13"/>
    </row>
    <row r="254" spans="6:12">
      <c r="F254" s="12"/>
      <c r="H254" s="12"/>
      <c r="I254" s="12"/>
      <c r="J254" s="12"/>
      <c r="K254" s="12"/>
      <c r="L254" s="13"/>
    </row>
    <row r="255" spans="6:12">
      <c r="F255" s="12"/>
      <c r="H255" s="12"/>
      <c r="I255" s="12"/>
      <c r="J255" s="12"/>
      <c r="K255" s="12"/>
      <c r="L255" s="13"/>
    </row>
    <row r="256" spans="6:12">
      <c r="F256" s="12"/>
      <c r="H256" s="12"/>
      <c r="I256" s="12"/>
      <c r="J256" s="12"/>
      <c r="K256" s="12"/>
      <c r="L256" s="13"/>
    </row>
    <row r="257" spans="6:12">
      <c r="F257" s="12"/>
      <c r="H257" s="12"/>
      <c r="I257" s="12"/>
      <c r="J257" s="12"/>
      <c r="K257" s="12"/>
      <c r="L257" s="13"/>
    </row>
    <row r="258" spans="6:12">
      <c r="F258" s="12"/>
      <c r="H258" s="12"/>
      <c r="I258" s="12"/>
      <c r="J258" s="12"/>
      <c r="K258" s="12"/>
      <c r="L258" s="13"/>
    </row>
    <row r="259" spans="6:12">
      <c r="F259" s="12"/>
      <c r="H259" s="12"/>
      <c r="I259" s="12"/>
      <c r="J259" s="12"/>
      <c r="K259" s="12"/>
      <c r="L259" s="13"/>
    </row>
    <row r="260" spans="6:12">
      <c r="F260" s="12"/>
      <c r="H260" s="12"/>
      <c r="I260" s="12"/>
      <c r="J260" s="12"/>
      <c r="K260" s="12"/>
      <c r="L260" s="13"/>
    </row>
    <row r="261" spans="6:12">
      <c r="F261" s="12"/>
      <c r="H261" s="12"/>
      <c r="I261" s="12"/>
      <c r="J261" s="12"/>
      <c r="K261" s="12"/>
      <c r="L261" s="13"/>
    </row>
    <row r="262" spans="6:12">
      <c r="F262" s="12"/>
      <c r="H262" s="12"/>
      <c r="I262" s="12"/>
      <c r="J262" s="12"/>
      <c r="K262" s="12"/>
      <c r="L262" s="13"/>
    </row>
    <row r="263" spans="6:12">
      <c r="F263" s="12"/>
      <c r="H263" s="12"/>
      <c r="I263" s="12"/>
      <c r="J263" s="12"/>
      <c r="K263" s="12"/>
      <c r="L263" s="13"/>
    </row>
    <row r="264" spans="6:12">
      <c r="F264" s="12"/>
      <c r="H264" s="12"/>
      <c r="I264" s="12"/>
      <c r="J264" s="12"/>
      <c r="K264" s="12"/>
      <c r="L264" s="13"/>
    </row>
    <row r="265" spans="6:12">
      <c r="F265" s="12"/>
      <c r="H265" s="12"/>
      <c r="I265" s="12"/>
      <c r="J265" s="12"/>
      <c r="K265" s="12"/>
      <c r="L265" s="13"/>
    </row>
    <row r="266" spans="6:12">
      <c r="F266" s="12"/>
      <c r="H266" s="12"/>
      <c r="I266" s="12"/>
      <c r="J266" s="12"/>
      <c r="K266" s="12"/>
      <c r="L266" s="13"/>
    </row>
    <row r="267" spans="6:12">
      <c r="F267" s="12"/>
      <c r="H267" s="12"/>
      <c r="I267" s="12"/>
      <c r="J267" s="12"/>
      <c r="K267" s="12"/>
      <c r="L267" s="13"/>
    </row>
    <row r="268" spans="6:12">
      <c r="F268" s="12"/>
      <c r="H268" s="12"/>
      <c r="I268" s="12"/>
      <c r="J268" s="12"/>
      <c r="K268" s="12"/>
      <c r="L268" s="13"/>
    </row>
    <row r="269" spans="6:12">
      <c r="F269" s="12"/>
      <c r="H269" s="12"/>
      <c r="I269" s="12"/>
      <c r="J269" s="12"/>
      <c r="K269" s="12"/>
      <c r="L269" s="13"/>
    </row>
    <row r="270" spans="6:12">
      <c r="F270" s="12"/>
      <c r="H270" s="12"/>
      <c r="I270" s="12"/>
      <c r="J270" s="12"/>
      <c r="K270" s="12"/>
      <c r="L270" s="13"/>
    </row>
    <row r="271" spans="6:12">
      <c r="F271" s="12"/>
      <c r="H271" s="12"/>
      <c r="I271" s="12"/>
      <c r="J271" s="12"/>
      <c r="K271" s="12"/>
      <c r="L271" s="13"/>
    </row>
    <row r="272" spans="6:12">
      <c r="F272" s="12"/>
      <c r="H272" s="12"/>
      <c r="I272" s="12"/>
      <c r="J272" s="12"/>
      <c r="K272" s="12"/>
      <c r="L272" s="13"/>
    </row>
    <row r="273" spans="6:12">
      <c r="F273" s="12"/>
      <c r="H273" s="12"/>
      <c r="I273" s="12"/>
      <c r="J273" s="12"/>
      <c r="K273" s="12"/>
      <c r="L273" s="13"/>
    </row>
    <row r="274" spans="6:12">
      <c r="F274" s="12"/>
      <c r="H274" s="12"/>
      <c r="I274" s="12"/>
      <c r="J274" s="12"/>
      <c r="K274" s="12"/>
      <c r="L274" s="13"/>
    </row>
    <row r="275" spans="6:12">
      <c r="F275" s="12"/>
      <c r="H275" s="12"/>
      <c r="I275" s="12"/>
      <c r="J275" s="12"/>
      <c r="K275" s="12"/>
      <c r="L275" s="13"/>
    </row>
    <row r="276" spans="6:12">
      <c r="F276" s="12"/>
      <c r="H276" s="12"/>
      <c r="I276" s="12"/>
      <c r="J276" s="12"/>
      <c r="K276" s="12"/>
      <c r="L276" s="13"/>
    </row>
    <row r="277" spans="6:12">
      <c r="F277" s="12"/>
      <c r="H277" s="12"/>
      <c r="I277" s="12"/>
      <c r="J277" s="12"/>
      <c r="K277" s="12"/>
      <c r="L277" s="13"/>
    </row>
    <row r="278" spans="6:12">
      <c r="F278" s="12"/>
      <c r="H278" s="12"/>
      <c r="I278" s="12"/>
      <c r="J278" s="12"/>
      <c r="K278" s="12"/>
      <c r="L278" s="13"/>
    </row>
    <row r="279" spans="6:12">
      <c r="F279" s="12"/>
      <c r="H279" s="12"/>
      <c r="I279" s="12"/>
      <c r="J279" s="12"/>
      <c r="K279" s="12"/>
      <c r="L279" s="13"/>
    </row>
    <row r="280" spans="6:12">
      <c r="F280" s="12"/>
      <c r="H280" s="12"/>
      <c r="I280" s="12"/>
      <c r="J280" s="12"/>
      <c r="K280" s="12"/>
      <c r="L280" s="13"/>
    </row>
    <row r="281" spans="6:12">
      <c r="F281" s="12"/>
      <c r="H281" s="12"/>
      <c r="I281" s="12"/>
      <c r="J281" s="12"/>
      <c r="K281" s="12"/>
      <c r="L281" s="13"/>
    </row>
    <row r="282" spans="6:12">
      <c r="F282" s="12"/>
      <c r="H282" s="12"/>
      <c r="I282" s="12"/>
      <c r="J282" s="12"/>
      <c r="K282" s="12"/>
      <c r="L282" s="13"/>
    </row>
    <row r="283" spans="6:12">
      <c r="F283" s="12"/>
      <c r="H283" s="12"/>
      <c r="I283" s="12"/>
      <c r="J283" s="12"/>
      <c r="K283" s="12"/>
      <c r="L283" s="13"/>
    </row>
    <row r="284" spans="6:12">
      <c r="F284" s="12"/>
      <c r="H284" s="12"/>
      <c r="I284" s="12"/>
      <c r="J284" s="12"/>
      <c r="K284" s="12"/>
      <c r="L284" s="13"/>
    </row>
    <row r="285" spans="6:12">
      <c r="F285" s="12"/>
      <c r="H285" s="12"/>
      <c r="I285" s="12"/>
      <c r="J285" s="12"/>
      <c r="K285" s="12"/>
      <c r="L285" s="13"/>
    </row>
    <row r="286" spans="6:12">
      <c r="F286" s="12"/>
      <c r="H286" s="12"/>
      <c r="I286" s="12"/>
      <c r="J286" s="12"/>
      <c r="K286" s="12"/>
      <c r="L286" s="13"/>
    </row>
    <row r="287" spans="6:12">
      <c r="F287" s="12"/>
      <c r="H287" s="12"/>
      <c r="I287" s="12"/>
      <c r="J287" s="12"/>
      <c r="K287" s="12"/>
      <c r="L287" s="13"/>
    </row>
    <row r="288" spans="6:12">
      <c r="F288" s="12"/>
      <c r="H288" s="12"/>
      <c r="I288" s="12"/>
      <c r="J288" s="12"/>
      <c r="K288" s="12"/>
      <c r="L288" s="13"/>
    </row>
    <row r="289" spans="6:12">
      <c r="F289" s="12"/>
      <c r="H289" s="12"/>
      <c r="I289" s="12"/>
      <c r="J289" s="12"/>
      <c r="K289" s="12"/>
      <c r="L289" s="13"/>
    </row>
    <row r="290" spans="6:12">
      <c r="F290" s="12"/>
      <c r="H290" s="12"/>
      <c r="I290" s="12"/>
      <c r="J290" s="12"/>
      <c r="K290" s="12"/>
      <c r="L290" s="13"/>
    </row>
    <row r="291" spans="6:12">
      <c r="F291" s="12"/>
      <c r="H291" s="12"/>
      <c r="I291" s="12"/>
      <c r="J291" s="12"/>
      <c r="K291" s="12"/>
      <c r="L291" s="13"/>
    </row>
    <row r="292" spans="6:12">
      <c r="F292" s="12"/>
      <c r="H292" s="12"/>
      <c r="I292" s="12"/>
      <c r="J292" s="12"/>
      <c r="K292" s="12"/>
      <c r="L292" s="13"/>
    </row>
    <row r="293" spans="6:12">
      <c r="F293" s="12"/>
      <c r="H293" s="12"/>
      <c r="I293" s="12"/>
      <c r="J293" s="12"/>
      <c r="K293" s="12"/>
      <c r="L293" s="13"/>
    </row>
    <row r="294" spans="6:12">
      <c r="F294" s="12"/>
      <c r="H294" s="12"/>
      <c r="I294" s="12"/>
      <c r="J294" s="12"/>
      <c r="K294" s="12"/>
      <c r="L294" s="13"/>
    </row>
    <row r="295" spans="6:12">
      <c r="F295" s="12"/>
      <c r="H295" s="12"/>
      <c r="I295" s="12"/>
      <c r="J295" s="12"/>
      <c r="K295" s="12"/>
      <c r="L295" s="13"/>
    </row>
    <row r="296" spans="6:12">
      <c r="F296" s="12"/>
      <c r="H296" s="12"/>
      <c r="I296" s="12"/>
      <c r="J296" s="12"/>
      <c r="K296" s="12"/>
      <c r="L296" s="13"/>
    </row>
    <row r="297" spans="6:12">
      <c r="F297" s="12"/>
      <c r="H297" s="12"/>
      <c r="I297" s="12"/>
      <c r="J297" s="12"/>
      <c r="K297" s="12"/>
      <c r="L297" s="13"/>
    </row>
    <row r="298" spans="6:12">
      <c r="F298" s="12"/>
      <c r="H298" s="12"/>
      <c r="I298" s="12"/>
      <c r="J298" s="12"/>
      <c r="K298" s="12"/>
      <c r="L298" s="13"/>
    </row>
    <row r="299" spans="6:12">
      <c r="F299" s="12"/>
      <c r="H299" s="12"/>
      <c r="I299" s="12"/>
      <c r="J299" s="12"/>
      <c r="K299" s="12"/>
      <c r="L299" s="13"/>
    </row>
    <row r="300" spans="6:12">
      <c r="F300" s="12"/>
      <c r="H300" s="12"/>
      <c r="I300" s="12"/>
      <c r="J300" s="12"/>
      <c r="K300" s="12"/>
      <c r="L300" s="13"/>
    </row>
    <row r="301" spans="6:12">
      <c r="F301" s="12"/>
      <c r="H301" s="12"/>
      <c r="I301" s="12"/>
      <c r="J301" s="12"/>
      <c r="K301" s="12"/>
      <c r="L301" s="13"/>
    </row>
    <row r="302" spans="6:12">
      <c r="F302" s="12"/>
      <c r="H302" s="12"/>
      <c r="I302" s="12"/>
      <c r="J302" s="12"/>
      <c r="K302" s="12"/>
      <c r="L302" s="13"/>
    </row>
    <row r="303" spans="6:12">
      <c r="F303" s="12"/>
      <c r="H303" s="12"/>
      <c r="I303" s="12"/>
      <c r="J303" s="12"/>
      <c r="K303" s="12"/>
      <c r="L303" s="13"/>
    </row>
    <row r="304" spans="6:12">
      <c r="F304" s="12"/>
      <c r="H304" s="12"/>
      <c r="I304" s="12"/>
      <c r="J304" s="12"/>
      <c r="K304" s="12"/>
      <c r="L304" s="13"/>
    </row>
    <row r="305" spans="6:12">
      <c r="F305" s="12"/>
      <c r="H305" s="12"/>
      <c r="I305" s="12"/>
      <c r="J305" s="12"/>
      <c r="K305" s="12"/>
      <c r="L305" s="13"/>
    </row>
    <row r="306" spans="6:12">
      <c r="F306" s="12"/>
      <c r="H306" s="12"/>
      <c r="I306" s="12"/>
      <c r="J306" s="12"/>
      <c r="K306" s="12"/>
      <c r="L306" s="13"/>
    </row>
    <row r="307" spans="6:12">
      <c r="F307" s="12"/>
      <c r="H307" s="12"/>
      <c r="I307" s="12"/>
      <c r="J307" s="12"/>
      <c r="K307" s="12"/>
      <c r="L307" s="13"/>
    </row>
    <row r="308" spans="6:12">
      <c r="F308" s="12"/>
      <c r="H308" s="12"/>
      <c r="I308" s="12"/>
      <c r="J308" s="12"/>
      <c r="K308" s="12"/>
      <c r="L308" s="13"/>
    </row>
    <row r="309" spans="6:12">
      <c r="F309" s="12"/>
      <c r="H309" s="12"/>
      <c r="I309" s="12"/>
      <c r="J309" s="12"/>
      <c r="K309" s="12"/>
      <c r="L309" s="13"/>
    </row>
    <row r="310" spans="6:12">
      <c r="F310" s="12"/>
      <c r="H310" s="12"/>
      <c r="I310" s="12"/>
      <c r="J310" s="12"/>
      <c r="K310" s="12"/>
      <c r="L310" s="13"/>
    </row>
    <row r="311" spans="6:12">
      <c r="F311" s="12"/>
      <c r="H311" s="12"/>
      <c r="I311" s="12"/>
      <c r="J311" s="12"/>
      <c r="K311" s="12"/>
      <c r="L311" s="13"/>
    </row>
    <row r="312" spans="6:12">
      <c r="F312" s="12"/>
      <c r="H312" s="12"/>
      <c r="I312" s="12"/>
      <c r="J312" s="12"/>
      <c r="K312" s="12"/>
      <c r="L312" s="13"/>
    </row>
    <row r="313" spans="6:12">
      <c r="F313" s="12"/>
      <c r="H313" s="12"/>
      <c r="I313" s="12"/>
      <c r="J313" s="12"/>
      <c r="K313" s="12"/>
      <c r="L313" s="13"/>
    </row>
    <row r="314" spans="6:12">
      <c r="F314" s="12"/>
      <c r="H314" s="12"/>
      <c r="I314" s="12"/>
      <c r="J314" s="12"/>
      <c r="K314" s="12"/>
      <c r="L314" s="13"/>
    </row>
    <row r="315" spans="6:12">
      <c r="F315" s="12"/>
      <c r="H315" s="12"/>
      <c r="I315" s="12"/>
      <c r="J315" s="12"/>
      <c r="K315" s="12"/>
      <c r="L315" s="13"/>
    </row>
    <row r="316" spans="6:12">
      <c r="F316" s="12"/>
      <c r="H316" s="12"/>
      <c r="I316" s="12"/>
      <c r="J316" s="12"/>
      <c r="K316" s="12"/>
      <c r="L316" s="13"/>
    </row>
    <row r="317" spans="6:12">
      <c r="F317" s="12"/>
      <c r="H317" s="12"/>
      <c r="I317" s="12"/>
      <c r="J317" s="12"/>
      <c r="K317" s="12"/>
      <c r="L317" s="13"/>
    </row>
    <row r="318" spans="6:12">
      <c r="F318" s="12"/>
      <c r="H318" s="12"/>
      <c r="I318" s="12"/>
      <c r="J318" s="12"/>
      <c r="K318" s="12"/>
      <c r="L318" s="13"/>
    </row>
    <row r="319" spans="6:12">
      <c r="F319" s="12"/>
      <c r="H319" s="12"/>
      <c r="I319" s="12"/>
      <c r="J319" s="12"/>
      <c r="K319" s="12"/>
      <c r="L319" s="13"/>
    </row>
    <row r="320" spans="6:12">
      <c r="F320" s="12"/>
      <c r="H320" s="12"/>
      <c r="I320" s="12"/>
      <c r="J320" s="12"/>
      <c r="K320" s="12"/>
      <c r="L320" s="13"/>
    </row>
    <row r="321" spans="6:12">
      <c r="F321" s="12"/>
      <c r="H321" s="12"/>
      <c r="I321" s="12"/>
      <c r="J321" s="12"/>
      <c r="K321" s="12"/>
      <c r="L321" s="13"/>
    </row>
    <row r="322" spans="6:12">
      <c r="F322" s="12"/>
      <c r="H322" s="12"/>
      <c r="I322" s="12"/>
      <c r="J322" s="12"/>
      <c r="K322" s="12"/>
      <c r="L322" s="13"/>
    </row>
    <row r="323" spans="6:12">
      <c r="F323" s="12"/>
      <c r="H323" s="12"/>
      <c r="I323" s="12"/>
      <c r="J323" s="12"/>
      <c r="K323" s="12"/>
      <c r="L323" s="13"/>
    </row>
    <row r="324" spans="6:12">
      <c r="F324" s="12"/>
      <c r="H324" s="12"/>
      <c r="I324" s="12"/>
      <c r="J324" s="12"/>
      <c r="K324" s="12"/>
      <c r="L324" s="13"/>
    </row>
    <row r="325" spans="6:12">
      <c r="F325" s="12"/>
      <c r="H325" s="12"/>
      <c r="I325" s="12"/>
      <c r="J325" s="12"/>
      <c r="K325" s="12"/>
      <c r="L325" s="13"/>
    </row>
    <row r="326" spans="6:12">
      <c r="F326" s="12"/>
      <c r="H326" s="12"/>
      <c r="I326" s="12"/>
      <c r="J326" s="12"/>
      <c r="K326" s="12"/>
      <c r="L326" s="13"/>
    </row>
    <row r="327" spans="6:12">
      <c r="F327" s="12"/>
      <c r="H327" s="12"/>
      <c r="I327" s="12"/>
      <c r="J327" s="12"/>
      <c r="K327" s="12"/>
      <c r="L327" s="13"/>
    </row>
    <row r="328" spans="6:12">
      <c r="F328" s="12"/>
      <c r="H328" s="12"/>
      <c r="I328" s="12"/>
      <c r="J328" s="12"/>
      <c r="K328" s="12"/>
      <c r="L328" s="13"/>
    </row>
    <row r="329" spans="6:12">
      <c r="F329" s="12"/>
      <c r="H329" s="12"/>
      <c r="I329" s="12"/>
      <c r="J329" s="12"/>
      <c r="K329" s="12"/>
      <c r="L329" s="13"/>
    </row>
    <row r="330" spans="6:12">
      <c r="F330" s="12"/>
      <c r="H330" s="12"/>
      <c r="I330" s="12"/>
      <c r="J330" s="12"/>
      <c r="K330" s="12"/>
      <c r="L330" s="13"/>
    </row>
    <row r="331" spans="6:12">
      <c r="F331" s="12"/>
      <c r="H331" s="12"/>
      <c r="I331" s="12"/>
      <c r="J331" s="12"/>
      <c r="K331" s="12"/>
      <c r="L331" s="13"/>
    </row>
    <row r="332" spans="6:12">
      <c r="F332" s="12"/>
      <c r="H332" s="12"/>
      <c r="I332" s="12"/>
      <c r="J332" s="12"/>
      <c r="K332" s="12"/>
      <c r="L332" s="13"/>
    </row>
    <row r="333" spans="6:12">
      <c r="F333" s="12"/>
      <c r="H333" s="12"/>
      <c r="I333" s="12"/>
      <c r="J333" s="12"/>
      <c r="K333" s="12"/>
      <c r="L333" s="13"/>
    </row>
    <row r="334" spans="6:12">
      <c r="F334" s="12"/>
      <c r="H334" s="12"/>
      <c r="I334" s="12"/>
      <c r="J334" s="12"/>
      <c r="K334" s="12"/>
      <c r="L334" s="13"/>
    </row>
    <row r="335" spans="6:12">
      <c r="F335" s="12"/>
      <c r="H335" s="12"/>
      <c r="I335" s="12"/>
      <c r="J335" s="12"/>
      <c r="K335" s="12"/>
      <c r="L335" s="13"/>
    </row>
    <row r="336" spans="6:12">
      <c r="F336" s="12"/>
      <c r="H336" s="12"/>
      <c r="I336" s="12"/>
      <c r="J336" s="12"/>
      <c r="K336" s="12"/>
      <c r="L336" s="13"/>
    </row>
    <row r="337" spans="6:12">
      <c r="F337" s="12"/>
      <c r="H337" s="12"/>
      <c r="I337" s="12"/>
      <c r="J337" s="12"/>
      <c r="K337" s="12"/>
      <c r="L337" s="13"/>
    </row>
    <row r="338" spans="6:12">
      <c r="F338" s="12"/>
      <c r="H338" s="12"/>
      <c r="I338" s="12"/>
      <c r="J338" s="12"/>
      <c r="K338" s="12"/>
      <c r="L338" s="13"/>
    </row>
    <row r="339" spans="6:12">
      <c r="F339" s="12"/>
      <c r="H339" s="12"/>
      <c r="I339" s="12"/>
      <c r="J339" s="12"/>
      <c r="K339" s="12"/>
      <c r="L339" s="13"/>
    </row>
    <row r="340" spans="6:12">
      <c r="F340" s="12"/>
      <c r="H340" s="12"/>
      <c r="I340" s="12"/>
      <c r="J340" s="12"/>
      <c r="K340" s="12"/>
      <c r="L340" s="13"/>
    </row>
    <row r="341" spans="6:12">
      <c r="F341" s="12"/>
      <c r="H341" s="12"/>
      <c r="I341" s="12"/>
      <c r="J341" s="12"/>
      <c r="K341" s="12"/>
      <c r="L341" s="13"/>
    </row>
    <row r="342" spans="6:12">
      <c r="F342" s="12"/>
      <c r="H342" s="12"/>
      <c r="I342" s="12"/>
      <c r="J342" s="12"/>
      <c r="K342" s="12"/>
      <c r="L342" s="13"/>
    </row>
    <row r="343" spans="6:12">
      <c r="F343" s="12"/>
      <c r="H343" s="12"/>
      <c r="I343" s="12"/>
      <c r="J343" s="12"/>
      <c r="K343" s="12"/>
      <c r="L343" s="13"/>
    </row>
    <row r="344" spans="6:12">
      <c r="F344" s="12"/>
      <c r="H344" s="12"/>
      <c r="I344" s="12"/>
      <c r="J344" s="12"/>
      <c r="K344" s="12"/>
      <c r="L344" s="13"/>
    </row>
    <row r="345" spans="6:12">
      <c r="F345" s="12"/>
      <c r="H345" s="12"/>
      <c r="I345" s="12"/>
      <c r="J345" s="12"/>
      <c r="K345" s="12"/>
      <c r="L345" s="13"/>
    </row>
    <row r="346" spans="6:12">
      <c r="F346" s="12"/>
      <c r="H346" s="12"/>
      <c r="I346" s="12"/>
      <c r="J346" s="12"/>
      <c r="K346" s="12"/>
      <c r="L346" s="13"/>
    </row>
    <row r="347" spans="6:12">
      <c r="F347" s="12"/>
      <c r="H347" s="12"/>
      <c r="I347" s="12"/>
      <c r="J347" s="12"/>
      <c r="K347" s="12"/>
      <c r="L347" s="13"/>
    </row>
    <row r="348" spans="6:12">
      <c r="F348" s="12"/>
      <c r="H348" s="12"/>
      <c r="I348" s="12"/>
      <c r="J348" s="12"/>
      <c r="K348" s="12"/>
      <c r="L348" s="13"/>
    </row>
    <row r="349" spans="6:12">
      <c r="F349" s="12"/>
      <c r="H349" s="12"/>
      <c r="I349" s="12"/>
      <c r="J349" s="12"/>
      <c r="K349" s="12"/>
      <c r="L349" s="13"/>
    </row>
    <row r="350" spans="6:12">
      <c r="F350" s="12"/>
      <c r="H350" s="12"/>
      <c r="I350" s="12"/>
      <c r="J350" s="12"/>
      <c r="K350" s="12"/>
      <c r="L350" s="13"/>
    </row>
    <row r="351" spans="6:12">
      <c r="F351" s="12"/>
      <c r="H351" s="12"/>
      <c r="I351" s="12"/>
      <c r="J351" s="12"/>
      <c r="K351" s="12"/>
      <c r="L351" s="13"/>
    </row>
    <row r="352" spans="6:12">
      <c r="F352" s="12"/>
      <c r="H352" s="12"/>
      <c r="I352" s="12"/>
      <c r="J352" s="12"/>
      <c r="K352" s="12"/>
      <c r="L352" s="13"/>
    </row>
    <row r="353" spans="6:12">
      <c r="F353" s="12"/>
      <c r="H353" s="12"/>
      <c r="I353" s="12"/>
      <c r="J353" s="12"/>
      <c r="K353" s="12"/>
      <c r="L353" s="13"/>
    </row>
    <row r="354" spans="6:12">
      <c r="F354" s="12"/>
      <c r="H354" s="12"/>
      <c r="I354" s="12"/>
      <c r="J354" s="12"/>
      <c r="K354" s="12"/>
      <c r="L354" s="13"/>
    </row>
    <row r="355" spans="6:12">
      <c r="F355" s="12"/>
      <c r="H355" s="12"/>
      <c r="I355" s="12"/>
      <c r="J355" s="12"/>
      <c r="K355" s="12"/>
      <c r="L355" s="13"/>
    </row>
    <row r="356" spans="6:12">
      <c r="F356" s="12"/>
      <c r="H356" s="12"/>
      <c r="I356" s="12"/>
      <c r="J356" s="12"/>
      <c r="K356" s="12"/>
      <c r="L356" s="13"/>
    </row>
    <row r="357" spans="6:12">
      <c r="F357" s="12"/>
      <c r="H357" s="12"/>
      <c r="I357" s="12"/>
      <c r="J357" s="12"/>
      <c r="K357" s="12"/>
      <c r="L357" s="13"/>
    </row>
    <row r="358" spans="6:12">
      <c r="F358" s="12"/>
      <c r="H358" s="12"/>
      <c r="I358" s="12"/>
      <c r="J358" s="12"/>
      <c r="K358" s="12"/>
      <c r="L358" s="13"/>
    </row>
    <row r="359" spans="6:12">
      <c r="F359" s="12"/>
      <c r="H359" s="12"/>
      <c r="I359" s="12"/>
      <c r="J359" s="12"/>
      <c r="K359" s="12"/>
      <c r="L359" s="13"/>
    </row>
    <row r="360" spans="6:12">
      <c r="F360" s="12"/>
      <c r="H360" s="12"/>
      <c r="I360" s="12"/>
      <c r="J360" s="12"/>
      <c r="K360" s="12"/>
      <c r="L360" s="13"/>
    </row>
    <row r="361" spans="6:12">
      <c r="F361" s="12"/>
      <c r="H361" s="12"/>
      <c r="I361" s="12"/>
      <c r="J361" s="12"/>
      <c r="K361" s="12"/>
      <c r="L361" s="13"/>
    </row>
    <row r="362" spans="6:12">
      <c r="F362" s="12"/>
      <c r="H362" s="12"/>
      <c r="I362" s="12"/>
      <c r="J362" s="12"/>
      <c r="K362" s="12"/>
      <c r="L362" s="13"/>
    </row>
    <row r="363" spans="6:12">
      <c r="F363" s="12"/>
      <c r="H363" s="12"/>
      <c r="I363" s="12"/>
      <c r="J363" s="12"/>
      <c r="K363" s="12"/>
      <c r="L363" s="13"/>
    </row>
    <row r="364" spans="6:12">
      <c r="F364" s="12"/>
      <c r="H364" s="12"/>
      <c r="I364" s="12"/>
      <c r="J364" s="12"/>
      <c r="K364" s="12"/>
      <c r="L364" s="13"/>
    </row>
    <row r="365" spans="6:12">
      <c r="F365" s="12"/>
      <c r="H365" s="12"/>
      <c r="I365" s="12"/>
      <c r="J365" s="12"/>
      <c r="K365" s="12"/>
      <c r="L365" s="13"/>
    </row>
    <row r="366" spans="6:12">
      <c r="F366" s="12"/>
      <c r="H366" s="12"/>
      <c r="I366" s="12"/>
      <c r="J366" s="12"/>
      <c r="K366" s="12"/>
      <c r="L366" s="13"/>
    </row>
    <row r="367" spans="6:12">
      <c r="F367" s="12"/>
      <c r="H367" s="12"/>
      <c r="I367" s="12"/>
      <c r="J367" s="12"/>
      <c r="K367" s="12"/>
      <c r="L367" s="13"/>
    </row>
    <row r="368" spans="6:12">
      <c r="F368" s="12"/>
      <c r="H368" s="12"/>
      <c r="I368" s="12"/>
      <c r="J368" s="12"/>
      <c r="K368" s="12"/>
      <c r="L368" s="13"/>
    </row>
    <row r="369" spans="6:12">
      <c r="F369" s="12"/>
      <c r="H369" s="12"/>
      <c r="I369" s="12"/>
      <c r="J369" s="12"/>
      <c r="K369" s="12"/>
      <c r="L369" s="13"/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 tint="-0.499984740745262"/>
  </sheetPr>
  <dimension ref="A1"/>
  <sheetViews>
    <sheetView workbookViewId="0">
      <selection activeCell="L11" sqref="L11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&gt;&gt; City Data</vt:lpstr>
      <vt:lpstr>City characteristics</vt:lpstr>
      <vt:lpstr>&gt;&gt; GC_Resid</vt:lpstr>
      <vt:lpstr>IND RESID</vt:lpstr>
      <vt:lpstr>Demand</vt:lpstr>
      <vt:lpstr>&gt;&gt; TIMES</vt:lpstr>
      <vt:lpstr>Def_Tech</vt:lpstr>
      <vt:lpstr>Def_Comm</vt:lpstr>
      <vt:lpstr>ResidIND</vt:lpstr>
      <vt:lpstr>&gt;&gt;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esmia</dc:creator>
  <cp:lastModifiedBy>Carroll, Zane</cp:lastModifiedBy>
  <dcterms:created xsi:type="dcterms:W3CDTF">2015-06-05T18:17:20Z</dcterms:created>
  <dcterms:modified xsi:type="dcterms:W3CDTF">2025-04-08T18:30:47Z</dcterms:modified>
</cp:coreProperties>
</file>